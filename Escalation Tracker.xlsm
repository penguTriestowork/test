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3500" activeTab="1"/>
  </bookViews>
  <sheets>
    <sheet name="User Guide" sheetId="1" r:id="rId1"/>
    <sheet name="365 Days" sheetId="2" r:id="rId2"/>
    <sheet name="180 Days" sheetId="3" r:id="rId3"/>
    <sheet name="120 Days" sheetId="4" r:id="rId4"/>
    <sheet name="90 Days" sheetId="5" r:id="rId5"/>
    <sheet name="Holidays" sheetId="6" r:id="rId6"/>
  </sheets>
  <definedNames>
    <definedName name="Holidays">Holidays!$A$2:$A$101</definedName>
  </definedNames>
  <calcPr calcId="124519" fullCalcOnLoad="1"/>
</workbook>
</file>

<file path=xl/sharedStrings.xml><?xml version="1.0" encoding="utf-8"?>
<sst xmlns="http://schemas.openxmlformats.org/spreadsheetml/2006/main" count="210" uniqueCount="101">
  <si>
    <t>3 DAYS</t>
  </si>
  <si>
    <t>48 HOURS</t>
  </si>
  <si>
    <t>CategoryCode</t>
  </si>
  <si>
    <t>AccountNo</t>
  </si>
  <si>
    <t>AccountName</t>
  </si>
  <si>
    <t>PolicyNo</t>
  </si>
  <si>
    <t>EntryDate</t>
  </si>
  <si>
    <t>EffDate</t>
  </si>
  <si>
    <t>Type</t>
  </si>
  <si>
    <t>Insured</t>
  </si>
  <si>
    <t>Ccy</t>
  </si>
  <si>
    <t>OpenAmt</t>
  </si>
  <si>
    <t>Functional Amount</t>
  </si>
  <si>
    <t>Request Inv</t>
  </si>
  <si>
    <t>Invoice Receive</t>
  </si>
  <si>
    <t>Collection Email</t>
  </si>
  <si>
    <t>1st Email Follow-up</t>
  </si>
  <si>
    <t>2nd Email Follow-up</t>
  </si>
  <si>
    <t>ESCALATE LOCAL OFFICE</t>
  </si>
  <si>
    <t>ESCALATE TO CBE</t>
  </si>
  <si>
    <t>ESCALATE TO ROXANNE</t>
  </si>
  <si>
    <t>RESOLUTION</t>
  </si>
  <si>
    <t>STATUS</t>
  </si>
  <si>
    <t>STATUS DESCRIPTION</t>
  </si>
  <si>
    <t>AGING STAGE</t>
  </si>
  <si>
    <t>PC COMMENTS</t>
  </si>
  <si>
    <t>AR COMMENTS</t>
  </si>
  <si>
    <t>_StageNo</t>
  </si>
  <si>
    <t>_LastAction</t>
  </si>
  <si>
    <t>_NextDue</t>
  </si>
  <si>
    <t>_NextStep</t>
  </si>
  <si>
    <t>HOLIDAY DATE</t>
  </si>
  <si>
    <t>DESCRIPTION</t>
  </si>
  <si>
    <t>Optional. Dates listed here are skipped by all aging and due-date formulas (same as weekends).</t>
  </si>
  <si>
    <t>Maintained by the SME/admin: click LOCK / UNLOCK SHEETS on a tracker sheet, edit, then click it again to lock.</t>
  </si>
  <si>
    <t>ESCALATION TRACKER - USER GUIDE</t>
  </si>
  <si>
    <t>Purpose</t>
  </si>
  <si>
    <t>This tracker is used to monitor collection email activities and escalation requirements for outstanding accounts.</t>
  </si>
  <si>
    <t>The tracker automatically identifies: Completed Actions, Due Tomorrow, Overdue Actions, Escalated Accounts and Final Escalations.</t>
  </si>
  <si>
    <t>Aging Process</t>
  </si>
  <si>
    <t>The collection process starts once the Collection Email is time stamped.</t>
  </si>
  <si>
    <t>Request Inv is for reference only and is not included in aging calculations.</t>
  </si>
  <si>
    <t>All aging calculations use Business Days only. Weekends (Saturday and Sunday) are excluded, plus any dates listed on the Holidays sheet.</t>
  </si>
  <si>
    <t>Each next step is due a set number of business days after the previous step was actually sent.</t>
  </si>
  <si>
    <t>AGING STAGE shows the current stage, the business day within that stage's band (e.g. 1st Follow-up - Day 2 of 3) and the total business days since the Collection Email.</t>
  </si>
  <si>
    <t>STATUS and STATUS DESCRIPTION are evaluated against today's date, so they change automatically each day as the account moves through its aging band.</t>
  </si>
  <si>
    <t>Escalation Timeline</t>
  </si>
  <si>
    <t>Start of aging</t>
  </si>
  <si>
    <t>+3 business days after Collection Email</t>
  </si>
  <si>
    <t>+3 business days after 1st Follow-up</t>
  </si>
  <si>
    <t>Escalate Local Office</t>
  </si>
  <si>
    <t>+2 business days (48 hours) after 2nd Follow-up</t>
  </si>
  <si>
    <t>Escalate to CBE</t>
  </si>
  <si>
    <t>+2 business days (48 hours) after Local Office</t>
  </si>
  <si>
    <t>Escalate to Roxanne</t>
  </si>
  <si>
    <t>+3 business days after CBE (final escalation)</t>
  </si>
  <si>
    <t>Status Color Guide</t>
  </si>
  <si>
    <t>EMAIL SENT</t>
  </si>
  <si>
    <t>Action completed today. No immediate action required.</t>
  </si>
  <si>
    <t>PAID</t>
  </si>
  <si>
    <t>Account paid (set in RESOLUTION). Action completed.</t>
  </si>
  <si>
    <t>CLOSED</t>
  </si>
  <si>
    <t>Account closed (set in RESOLUTION). No further action required.</t>
  </si>
  <si>
    <t>DUE TOMORROW</t>
  </si>
  <si>
    <t>Next action is due today or on the next business day.</t>
  </si>
  <si>
    <t>OVERDUE</t>
  </si>
  <si>
    <t>Required action has not been completed by the due date.</t>
  </si>
  <si>
    <t>ESCALATED TO LOCAL OFFICE</t>
  </si>
  <si>
    <t>Escalation has been completed and sent.</t>
  </si>
  <si>
    <t>ESCALATED TO CBE</t>
  </si>
  <si>
    <t>ESCALATED TO ROXANNE</t>
  </si>
  <si>
    <t>Final escalation completed.</t>
  </si>
  <si>
    <t>MONITORING</t>
  </si>
  <si>
    <t>Waiting for next due date. No action required today.</t>
  </si>
  <si>
    <t>Priority when more than one applies: Paid/Closed &gt; Overdue &gt; Due Tomorrow &gt; Escalated &gt; Email Sent &gt; Monitoring.</t>
  </si>
  <si>
    <t>How to Use</t>
  </si>
  <si>
    <t>Step 1</t>
  </si>
  <si>
    <t>Account details are loaded by the SME/admin (account columns are locked for collectors).</t>
  </si>
  <si>
    <t>Step 2</t>
  </si>
  <si>
    <t>After sending the initial collection email, select any cell in the account's row and click EMAIL SENT - TIME STAMP (upper right). The first click stamps the Collection Email date and time.</t>
  </si>
  <si>
    <t>Step 3</t>
  </si>
  <si>
    <t>Click EMAIL SENT - TIME STAMP whenever a follow-up or escalation email has been sent. It records the date and time for the next stage in order. Stages cannot be skipped or overwritten.</t>
  </si>
  <si>
    <t>Step 4</t>
  </si>
  <si>
    <t>Review STATUS and STATUS DESCRIPTION daily. Focus on OVERDUE (red) and DUE TOMORROW (yellow) items first.</t>
  </si>
  <si>
    <t>Step 5</t>
  </si>
  <si>
    <t>Use PC COMMENTS for collector remarks, customer responses, payment updates and investigation notes. Use AR COMMENTS for AR team notes.</t>
  </si>
  <si>
    <t>Step 6</t>
  </si>
  <si>
    <t>Set INVOICE RECEIVE to Yes or No from the dropdown. When an account is settled, set RESOLUTION to Paid or Closed.</t>
  </si>
  <si>
    <t>Lock / Unlock</t>
  </si>
  <si>
    <t>Click LOCK / UNLOCK SHEETS (upper right). Unlocking asks for the password; sheets stay unlocked until you click it again. Time stamping does not change the lock state.</t>
  </si>
  <si>
    <t>Mistake?</t>
  </si>
  <si>
    <t>Select the row and click Undo Last Stage to clear the most recent time stamp (asks for confirmation).</t>
  </si>
  <si>
    <t>Important Notes</t>
  </si>
  <si>
    <t>•  Request Inv and Invoice Receive are for reference only and are not part of the aging calculation.</t>
  </si>
  <si>
    <t>•  Aging starts at Collection Email.</t>
  </si>
  <si>
    <t>•  Business days exclude weekends (and listed holidays).</t>
  </si>
  <si>
    <t>•  STATUS, STATUS DESCRIPTION and AGING STAGE are system-generated.</t>
  </si>
  <si>
    <t>•  Collectors can only edit INVOICE RECEIVE, RESOLUTION, PC COMMENTS and AR COMMENTS. Stage time stamps are recorded only through the button after the email has been sent.</t>
  </si>
  <si>
    <t>•  Filtering is available. Sorting is disabled while the sheet is protected.</t>
  </si>
  <si>
    <t>•  Macros must be enabled for the buttons to work (click Enable Content when the file opens).</t>
  </si>
  <si>
    <t>•  Formulas are hidden and the sheets are password-protected.</t>
  </si>
</sst>
</file>

<file path=xl/styles.xml><?xml version="1.0" encoding="utf-8"?>
<styleSheet xmlns="http://schemas.openxmlformats.org/spreadsheetml/2006/main">
  <numFmts count="5">
    <numFmt numFmtId="164" formatCode="d-mmm-yy"/>
    <numFmt numFmtId="165" formatCode="#,##0.00"/>
    <numFmt numFmtId="166" formatCode="d-mmm h:mm AM/PM"/>
    <numFmt numFmtId="167" formatCode="d-mmm"/>
    <numFmt numFmtId="168" formatCode="dd-mmm-yyyy"/>
  </numFmts>
  <fonts count="14">
    <font>
      <sz val="11"/>
      <color theme="1"/>
      <name val="Calibri"/>
      <family val="2"/>
      <scheme val="minor"/>
    </font>
    <font>
      <b/>
      <sz val="16"/>
      <color rgb="FF1F3864"/>
      <name val="Arial"/>
      <family val="2"/>
    </font>
    <font>
      <b/>
      <sz val="13"/>
      <color rgb="FF1F3864"/>
      <name val="Arial"/>
      <family val="2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0"/>
      <color rgb="FF006100"/>
      <name val="Arial"/>
      <family val="2"/>
    </font>
    <font>
      <b/>
      <sz val="10"/>
      <color rgb="FF7F6000"/>
      <name val="Arial"/>
      <family val="2"/>
    </font>
    <font>
      <b/>
      <sz val="10"/>
      <color rgb="FF9C0006"/>
      <name val="Arial"/>
      <family val="2"/>
    </font>
    <font>
      <b/>
      <sz val="10"/>
      <color rgb="FF1F4E78"/>
      <name val="Arial"/>
      <family val="2"/>
    </font>
    <font>
      <b/>
      <sz val="10"/>
      <color rgb="FF5B2C6F"/>
      <name val="Arial"/>
      <family val="2"/>
    </font>
    <font>
      <b/>
      <sz val="10"/>
      <color rgb="FF404040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i/>
      <sz val="9"/>
      <color rgb="FF59595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C3E9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/>
    <xf numFmtId="0" fontId="5" fillId="2" borderId="0" xfId="0" applyFont="1" applyFill="1"/>
    <xf numFmtId="0" fontId="6" fillId="3" borderId="0" xfId="0" applyFont="1" applyFill="1"/>
    <xf numFmtId="0" fontId="7" fillId="4" borderId="0" xfId="0" applyFont="1" applyFill="1"/>
    <xf numFmtId="0" fontId="8" fillId="5" borderId="0" xfId="0" applyFont="1" applyFill="1"/>
    <xf numFmtId="0" fontId="9" fillId="6" borderId="0" xfId="0" applyFont="1" applyFill="1"/>
    <xf numFmtId="0" fontId="10" fillId="7" borderId="0" xfId="0" applyFont="1" applyFill="1"/>
    <xf numFmtId="0" fontId="3" fillId="0" borderId="1" xfId="0" applyFont="1" applyBorder="1"/>
    <xf numFmtId="164" fontId="3" fillId="0" borderId="1" xfId="0" applyNumberFormat="1" applyFont="1" applyBorder="1"/>
    <xf numFmtId="165" fontId="3" fillId="0" borderId="1" xfId="0" applyNumberFormat="1" applyFont="1" applyBorder="1"/>
    <xf numFmtId="0" fontId="3" fillId="0" borderId="1" xfId="0" applyFont="1" applyBorder="1" applyAlignment="1" applyProtection="1">
      <alignment horizontal="center"/>
      <protection locked="0"/>
    </xf>
    <xf numFmtId="166" fontId="3" fillId="0" borderId="1" xfId="0" applyNumberFormat="1" applyFont="1" applyBorder="1"/>
    <xf numFmtId="0" fontId="3" fillId="0" borderId="1" xfId="0" applyFont="1" applyBorder="1" applyProtection="1">
      <protection locked="0"/>
    </xf>
    <xf numFmtId="0" fontId="3" fillId="0" borderId="1" xfId="0" applyFont="1" applyBorder="1" applyProtection="1">
      <protection hidden="1"/>
    </xf>
    <xf numFmtId="0" fontId="3" fillId="0" borderId="1" xfId="0" applyFont="1" applyBorder="1" applyAlignment="1" applyProtection="1">
      <alignment vertical="top" wrapText="1"/>
      <protection locked="0"/>
    </xf>
    <xf numFmtId="167" fontId="3" fillId="0" borderId="1" xfId="0" applyNumberFormat="1" applyFont="1" applyBorder="1" applyProtection="1">
      <protection hidden="1"/>
    </xf>
    <xf numFmtId="0" fontId="11" fillId="8" borderId="0" xfId="0" applyFont="1" applyFill="1"/>
    <xf numFmtId="0" fontId="12" fillId="9" borderId="1" xfId="0" applyFont="1" applyFill="1" applyBorder="1" applyAlignment="1">
      <alignment vertical="center" wrapText="1"/>
    </xf>
    <xf numFmtId="0" fontId="11" fillId="10" borderId="1" xfId="0" applyFont="1" applyFill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168" fontId="3" fillId="0" borderId="0" xfId="0" applyNumberFormat="1" applyFont="1"/>
    <xf numFmtId="0" fontId="12" fillId="9" borderId="0" xfId="0" applyFont="1" applyFill="1"/>
    <xf numFmtId="0" fontId="13" fillId="0" borderId="0" xfId="0" applyFont="1"/>
  </cellXfs>
  <cellStyles count="1">
    <cellStyle name="Normal" xfId="0" builtinId="0"/>
  </cellStyles>
  <dxfs count="6">
    <dxf>
      <font>
        <b/>
        <color rgb="FF006100"/>
      </font>
      <fill>
        <patternFill>
          <bgColor rgb="FFC6EFCE"/>
        </patternFill>
      </fill>
    </dxf>
    <dxf>
      <font>
        <b/>
        <color rgb="FF7F60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1F4E78"/>
      </font>
      <fill>
        <patternFill>
          <bgColor rgb="FFBDD7EE"/>
        </patternFill>
      </fill>
    </dxf>
    <dxf>
      <font>
        <b/>
        <color rgb="FF5B2C6F"/>
      </font>
      <fill>
        <patternFill>
          <bgColor rgb="FFD9C3E9"/>
        </patternFill>
      </fill>
    </dxf>
    <dxf>
      <font>
        <b/>
        <color rgb="FF404040"/>
      </font>
      <fill>
        <patternFill>
          <bgColor rgb="FFE7E6E6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racker365" displayName="Tracker365" ref="A3:AC1003" totalsRowShown="0">
  <autoFilter ref="A3:AC1003"/>
  <tableColumns count="29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Functional Amount"/>
    <tableColumn id="12" name="Request Inv"/>
    <tableColumn id="13" name="Invoice Receive"/>
    <tableColumn id="14" name="Collection Email"/>
    <tableColumn id="15" name="1st Email Follow-up"/>
    <tableColumn id="16" name="2nd Email Follow-up"/>
    <tableColumn id="17" name="ESCALATE LOCAL OFFICE"/>
    <tableColumn id="18" name="ESCALATE TO CBE"/>
    <tableColumn id="19" name="ESCALATE TO ROXANNE"/>
    <tableColumn id="20" name="RESOLUTION"/>
    <tableColumn id="21" name="STATUS"/>
    <tableColumn id="22" name="STATUS DESCRIPTION"/>
    <tableColumn id="23" name="AGING STAGE"/>
    <tableColumn id="24" name="PC COMMENTS"/>
    <tableColumn id="25" name="AR COMMENTS"/>
    <tableColumn id="26" name="_StageNo"/>
    <tableColumn id="27" name="_LastAction"/>
    <tableColumn id="28" name="_NextDue"/>
    <tableColumn id="29" name="_NextStep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Tracker180" displayName="Tracker180" ref="A3:AC1003" totalsRowShown="0">
  <autoFilter ref="A3:AC1003"/>
  <tableColumns count="29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Functional Amount"/>
    <tableColumn id="12" name="Request Inv"/>
    <tableColumn id="13" name="Invoice Receive"/>
    <tableColumn id="14" name="Collection Email"/>
    <tableColumn id="15" name="1st Email Follow-up"/>
    <tableColumn id="16" name="2nd Email Follow-up"/>
    <tableColumn id="17" name="ESCALATE LOCAL OFFICE"/>
    <tableColumn id="18" name="ESCALATE TO CBE"/>
    <tableColumn id="19" name="ESCALATE TO ROXANNE"/>
    <tableColumn id="20" name="RESOLUTION"/>
    <tableColumn id="21" name="STATUS"/>
    <tableColumn id="22" name="STATUS DESCRIPTION"/>
    <tableColumn id="23" name="AGING STAGE"/>
    <tableColumn id="24" name="PC COMMENTS"/>
    <tableColumn id="25" name="AR COMMENTS"/>
    <tableColumn id="26" name="_StageNo"/>
    <tableColumn id="27" name="_LastAction"/>
    <tableColumn id="28" name="_NextDue"/>
    <tableColumn id="29" name="_NextStep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3" name="Tracker120" displayName="Tracker120" ref="A3:AC1003" totalsRowShown="0">
  <autoFilter ref="A3:AC1003"/>
  <tableColumns count="29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Functional Amount"/>
    <tableColumn id="12" name="Request Inv"/>
    <tableColumn id="13" name="Invoice Receive"/>
    <tableColumn id="14" name="Collection Email"/>
    <tableColumn id="15" name="1st Email Follow-up"/>
    <tableColumn id="16" name="2nd Email Follow-up"/>
    <tableColumn id="17" name="ESCALATE LOCAL OFFICE"/>
    <tableColumn id="18" name="ESCALATE TO CBE"/>
    <tableColumn id="19" name="ESCALATE TO ROXANNE"/>
    <tableColumn id="20" name="RESOLUTION"/>
    <tableColumn id="21" name="STATUS"/>
    <tableColumn id="22" name="STATUS DESCRIPTION"/>
    <tableColumn id="23" name="AGING STAGE"/>
    <tableColumn id="24" name="PC COMMENTS"/>
    <tableColumn id="25" name="AR COMMENTS"/>
    <tableColumn id="26" name="_StageNo"/>
    <tableColumn id="27" name="_LastAction"/>
    <tableColumn id="28" name="_NextDue"/>
    <tableColumn id="29" name="_NextStep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id="4" name="Tracker90" displayName="Tracker90" ref="A3:AC1003" totalsRowShown="0">
  <autoFilter ref="A3:AC1003"/>
  <tableColumns count="29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Functional Amount"/>
    <tableColumn id="12" name="Request Inv"/>
    <tableColumn id="13" name="Invoice Receive"/>
    <tableColumn id="14" name="Collection Email"/>
    <tableColumn id="15" name="1st Email Follow-up"/>
    <tableColumn id="16" name="2nd Email Follow-up"/>
    <tableColumn id="17" name="ESCALATE LOCAL OFFICE"/>
    <tableColumn id="18" name="ESCALATE TO CBE"/>
    <tableColumn id="19" name="ESCALATE TO ROXANNE"/>
    <tableColumn id="20" name="RESOLUTION"/>
    <tableColumn id="21" name="STATUS"/>
    <tableColumn id="22" name="STATUS DESCRIPTION"/>
    <tableColumn id="23" name="AGING STAGE"/>
    <tableColumn id="24" name="PC COMMENTS"/>
    <tableColumn id="25" name="AR COMMENTS"/>
    <tableColumn id="26" name="_StageNo"/>
    <tableColumn id="27" name="_LastAction"/>
    <tableColumn id="28" name="_NextDue"/>
    <tableColumn id="29" name="_NextStep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table" Target="../tables/table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table" Target="../tables/table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C54"/>
  <sheetViews>
    <sheetView showGridLines="0" workbookViewId="0"/>
  </sheetViews>
  <sheetFormatPr defaultRowHeight="15"/>
  <cols>
    <col min="1" max="1" width="3.7109375" customWidth="1"/>
    <col min="2" max="2" width="30.7109375" customWidth="1"/>
    <col min="3" max="3" width="95.7109375" customWidth="1"/>
  </cols>
  <sheetData>
    <row r="2" spans="2:3">
      <c r="B2" s="1" t="s">
        <v>35</v>
      </c>
    </row>
    <row r="4" spans="2:3">
      <c r="B4" s="2" t="s">
        <v>36</v>
      </c>
    </row>
    <row r="5" spans="2:3">
      <c r="B5" s="3" t="s">
        <v>37</v>
      </c>
      <c r="C5" s="3"/>
    </row>
    <row r="6" spans="2:3">
      <c r="B6" s="3" t="s">
        <v>38</v>
      </c>
      <c r="C6" s="3"/>
    </row>
    <row r="8" spans="2:3">
      <c r="B8" s="2" t="s">
        <v>39</v>
      </c>
    </row>
    <row r="9" spans="2:3">
      <c r="B9" s="3" t="s">
        <v>40</v>
      </c>
      <c r="C9" s="3"/>
    </row>
    <row r="10" spans="2:3">
      <c r="B10" s="3" t="s">
        <v>41</v>
      </c>
      <c r="C10" s="3"/>
    </row>
    <row r="11" spans="2:3">
      <c r="B11" s="3" t="s">
        <v>42</v>
      </c>
      <c r="C11" s="3"/>
    </row>
    <row r="12" spans="2:3">
      <c r="B12" s="3" t="s">
        <v>43</v>
      </c>
      <c r="C12" s="3"/>
    </row>
    <row r="13" spans="2:3">
      <c r="B13" s="3" t="s">
        <v>44</v>
      </c>
      <c r="C13" s="3"/>
    </row>
    <row r="14" spans="2:3">
      <c r="B14" s="3" t="s">
        <v>45</v>
      </c>
      <c r="C14" s="3"/>
    </row>
    <row r="16" spans="2:3">
      <c r="B16" s="2" t="s">
        <v>46</v>
      </c>
    </row>
    <row r="17" spans="2:3">
      <c r="B17" s="4" t="s">
        <v>15</v>
      </c>
      <c r="C17" s="3" t="s">
        <v>47</v>
      </c>
    </row>
    <row r="18" spans="2:3">
      <c r="B18" s="4" t="s">
        <v>16</v>
      </c>
      <c r="C18" s="3" t="s">
        <v>48</v>
      </c>
    </row>
    <row r="19" spans="2:3">
      <c r="B19" s="4" t="s">
        <v>17</v>
      </c>
      <c r="C19" s="3" t="s">
        <v>49</v>
      </c>
    </row>
    <row r="20" spans="2:3">
      <c r="B20" s="4" t="s">
        <v>50</v>
      </c>
      <c r="C20" s="3" t="s">
        <v>51</v>
      </c>
    </row>
    <row r="21" spans="2:3">
      <c r="B21" s="4" t="s">
        <v>52</v>
      </c>
      <c r="C21" s="3" t="s">
        <v>53</v>
      </c>
    </row>
    <row r="22" spans="2:3">
      <c r="B22" s="4" t="s">
        <v>54</v>
      </c>
      <c r="C22" s="3" t="s">
        <v>55</v>
      </c>
    </row>
    <row r="24" spans="2:3">
      <c r="B24" s="2" t="s">
        <v>56</v>
      </c>
    </row>
    <row r="25" spans="2:3">
      <c r="B25" s="5" t="s">
        <v>57</v>
      </c>
      <c r="C25" s="3" t="s">
        <v>58</v>
      </c>
    </row>
    <row r="26" spans="2:3">
      <c r="B26" s="5" t="s">
        <v>59</v>
      </c>
      <c r="C26" s="3" t="s">
        <v>60</v>
      </c>
    </row>
    <row r="27" spans="2:3">
      <c r="B27" s="5" t="s">
        <v>61</v>
      </c>
      <c r="C27" s="3" t="s">
        <v>62</v>
      </c>
    </row>
    <row r="28" spans="2:3">
      <c r="B28" s="6" t="s">
        <v>63</v>
      </c>
      <c r="C28" s="3" t="s">
        <v>64</v>
      </c>
    </row>
    <row r="29" spans="2:3">
      <c r="B29" s="7" t="s">
        <v>65</v>
      </c>
      <c r="C29" s="3" t="s">
        <v>66</v>
      </c>
    </row>
    <row r="30" spans="2:3">
      <c r="B30" s="8" t="s">
        <v>67</v>
      </c>
      <c r="C30" s="3" t="s">
        <v>68</v>
      </c>
    </row>
    <row r="31" spans="2:3">
      <c r="B31" s="8" t="s">
        <v>69</v>
      </c>
      <c r="C31" s="3" t="s">
        <v>68</v>
      </c>
    </row>
    <row r="32" spans="2:3">
      <c r="B32" s="9" t="s">
        <v>70</v>
      </c>
      <c r="C32" s="3" t="s">
        <v>71</v>
      </c>
    </row>
    <row r="33" spans="2:3">
      <c r="B33" s="10" t="s">
        <v>72</v>
      </c>
      <c r="C33" s="3" t="s">
        <v>73</v>
      </c>
    </row>
    <row r="34" spans="2:3">
      <c r="B34" s="3" t="s">
        <v>74</v>
      </c>
      <c r="C34" s="3"/>
    </row>
    <row r="36" spans="2:3">
      <c r="B36" s="2" t="s">
        <v>75</v>
      </c>
    </row>
    <row r="37" spans="2:3">
      <c r="B37" s="4" t="s">
        <v>76</v>
      </c>
      <c r="C37" s="3" t="s">
        <v>77</v>
      </c>
    </row>
    <row r="38" spans="2:3">
      <c r="B38" s="4" t="s">
        <v>78</v>
      </c>
      <c r="C38" s="3" t="s">
        <v>79</v>
      </c>
    </row>
    <row r="39" spans="2:3">
      <c r="B39" s="4" t="s">
        <v>80</v>
      </c>
      <c r="C39" s="3" t="s">
        <v>81</v>
      </c>
    </row>
    <row r="40" spans="2:3">
      <c r="B40" s="4" t="s">
        <v>82</v>
      </c>
      <c r="C40" s="3" t="s">
        <v>83</v>
      </c>
    </row>
    <row r="41" spans="2:3">
      <c r="B41" s="4" t="s">
        <v>84</v>
      </c>
      <c r="C41" s="3" t="s">
        <v>85</v>
      </c>
    </row>
    <row r="42" spans="2:3">
      <c r="B42" s="4" t="s">
        <v>86</v>
      </c>
      <c r="C42" s="3" t="s">
        <v>87</v>
      </c>
    </row>
    <row r="43" spans="2:3">
      <c r="B43" s="4" t="s">
        <v>88</v>
      </c>
      <c r="C43" s="3" t="s">
        <v>89</v>
      </c>
    </row>
    <row r="44" spans="2:3">
      <c r="B44" s="4" t="s">
        <v>90</v>
      </c>
      <c r="C44" s="3" t="s">
        <v>91</v>
      </c>
    </row>
    <row r="46" spans="2:3">
      <c r="B46" s="2" t="s">
        <v>92</v>
      </c>
    </row>
    <row r="47" spans="2:3">
      <c r="B47" s="3" t="s">
        <v>93</v>
      </c>
      <c r="C47" s="3"/>
    </row>
    <row r="48" spans="2:3">
      <c r="B48" s="3" t="s">
        <v>94</v>
      </c>
      <c r="C48" s="3"/>
    </row>
    <row r="49" spans="2:3">
      <c r="B49" s="3" t="s">
        <v>95</v>
      </c>
      <c r="C49" s="3"/>
    </row>
    <row r="50" spans="2:3">
      <c r="B50" s="3" t="s">
        <v>96</v>
      </c>
      <c r="C50" s="3"/>
    </row>
    <row r="51" spans="2:3">
      <c r="B51" s="3" t="s">
        <v>97</v>
      </c>
      <c r="C51" s="3"/>
    </row>
    <row r="52" spans="2:3">
      <c r="B52" s="3" t="s">
        <v>98</v>
      </c>
      <c r="C52" s="3"/>
    </row>
    <row r="53" spans="2:3">
      <c r="B53" s="3" t="s">
        <v>99</v>
      </c>
      <c r="C53" s="3"/>
    </row>
    <row r="54" spans="2:3">
      <c r="B54" s="3" t="s">
        <v>100</v>
      </c>
      <c r="C54" s="3"/>
    </row>
  </sheetData>
  <sheetProtection password="F422" sheet="1" objects="1" scenarios="1" autoFilter="0"/>
  <mergeCells count="17">
    <mergeCell ref="B5:C5"/>
    <mergeCell ref="B6:C6"/>
    <mergeCell ref="B9:C9"/>
    <mergeCell ref="B10:C10"/>
    <mergeCell ref="B11:C11"/>
    <mergeCell ref="B12:C12"/>
    <mergeCell ref="B13:C13"/>
    <mergeCell ref="B14:C14"/>
    <mergeCell ref="B34:C34"/>
    <mergeCell ref="B47:C47"/>
    <mergeCell ref="B48:C48"/>
    <mergeCell ref="B49:C49"/>
    <mergeCell ref="B50:C50"/>
    <mergeCell ref="B51:C51"/>
    <mergeCell ref="B52:C52"/>
    <mergeCell ref="B53:C53"/>
    <mergeCell ref="B54:C5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C1003"/>
  <sheetViews>
    <sheetView tabSelected="1" workbookViewId="0">
      <pane ySplit="3" topLeftCell="A4" activePane="bottomLeft" state="frozen"/>
      <selection pane="bottomLeft"/>
    </sheetView>
  </sheetViews>
  <sheetFormatPr defaultRowHeight="15"/>
  <cols>
    <col min="1" max="1" width="12.7109375" style="11" customWidth="1"/>
    <col min="2" max="2" width="14.7109375" style="11" customWidth="1"/>
    <col min="3" max="3" width="34.7109375" style="11" customWidth="1"/>
    <col min="4" max="4" width="18.7109375" style="11" customWidth="1"/>
    <col min="5" max="6" width="11.7109375" style="12" customWidth="1"/>
    <col min="7" max="7" width="7.7109375" style="11" customWidth="1"/>
    <col min="8" max="8" width="34.7109375" style="11" customWidth="1"/>
    <col min="9" max="9" width="6.7109375" style="11" customWidth="1"/>
    <col min="10" max="10" width="14.7109375" style="13" customWidth="1"/>
    <col min="11" max="11" width="16.7109375" style="13" customWidth="1"/>
    <col min="12" max="12" width="16.7109375" style="11" customWidth="1"/>
    <col min="13" max="13" width="12.7109375" style="14" customWidth="1"/>
    <col min="14" max="14" width="15.7109375" style="15" customWidth="1"/>
    <col min="15" max="16" width="16.7109375" style="15" customWidth="1"/>
    <col min="17" max="18" width="18.7109375" style="15" customWidth="1"/>
    <col min="19" max="19" width="20.7109375" style="15" customWidth="1"/>
    <col min="20" max="20" width="14.7109375" style="16" customWidth="1"/>
    <col min="21" max="21" width="26.7109375" style="17" customWidth="1"/>
    <col min="22" max="22" width="70.7109375" style="17" customWidth="1"/>
    <col min="23" max="23" width="34.7109375" style="17" customWidth="1"/>
    <col min="24" max="25" width="40.7109375" style="18" customWidth="1"/>
    <col min="26" max="26" width="8.7109375" style="17" hidden="1" customWidth="1"/>
    <col min="27" max="28" width="12.7109375" style="19" hidden="1" customWidth="1"/>
    <col min="29" max="29" width="22.7109375" style="17" hidden="1" customWidth="1"/>
  </cols>
  <sheetData>
    <row r="1" spans="1:29" ht="30" customHeight="1"/>
    <row r="2" spans="1:29">
      <c r="O2" s="20" t="s">
        <v>0</v>
      </c>
      <c r="P2" s="20" t="s">
        <v>0</v>
      </c>
      <c r="Q2" s="20" t="s">
        <v>1</v>
      </c>
      <c r="R2" s="20" t="s">
        <v>1</v>
      </c>
      <c r="S2" s="20" t="s">
        <v>0</v>
      </c>
    </row>
    <row r="3" spans="1:29" ht="32" customHeight="1">
      <c r="A3" s="21" t="s">
        <v>2</v>
      </c>
      <c r="B3" s="21" t="s">
        <v>3</v>
      </c>
      <c r="C3" s="21" t="s">
        <v>4</v>
      </c>
      <c r="D3" s="21" t="s">
        <v>5</v>
      </c>
      <c r="E3" s="21" t="s">
        <v>6</v>
      </c>
      <c r="F3" s="21" t="s">
        <v>7</v>
      </c>
      <c r="G3" s="21" t="s">
        <v>8</v>
      </c>
      <c r="H3" s="21" t="s">
        <v>9</v>
      </c>
      <c r="I3" s="21" t="s">
        <v>10</v>
      </c>
      <c r="J3" s="21" t="s">
        <v>11</v>
      </c>
      <c r="K3" s="21" t="s">
        <v>12</v>
      </c>
      <c r="L3" s="21" t="s">
        <v>13</v>
      </c>
      <c r="M3" s="22" t="s">
        <v>14</v>
      </c>
      <c r="N3" s="23" t="s">
        <v>15</v>
      </c>
      <c r="O3" s="23" t="s">
        <v>16</v>
      </c>
      <c r="P3" s="23" t="s">
        <v>17</v>
      </c>
      <c r="Q3" s="23" t="s">
        <v>18</v>
      </c>
      <c r="R3" s="23" t="s">
        <v>19</v>
      </c>
      <c r="S3" s="23" t="s">
        <v>20</v>
      </c>
      <c r="T3" s="22" t="s">
        <v>21</v>
      </c>
      <c r="U3" s="21" t="s">
        <v>22</v>
      </c>
      <c r="V3" s="21" t="s">
        <v>23</v>
      </c>
      <c r="W3" s="21" t="s">
        <v>24</v>
      </c>
      <c r="X3" s="22" t="s">
        <v>25</v>
      </c>
      <c r="Y3" s="22" t="s">
        <v>26</v>
      </c>
      <c r="Z3" s="21" t="s">
        <v>27</v>
      </c>
      <c r="AA3" s="21" t="s">
        <v>28</v>
      </c>
      <c r="AB3" s="21" t="s">
        <v>29</v>
      </c>
      <c r="AC3" s="21" t="s">
        <v>30</v>
      </c>
    </row>
    <row r="4" spans="1:29">
      <c r="M4" s="14"/>
      <c r="T4" s="16"/>
      <c r="U4" s="17">
        <f>IF(AND(COUNTA($A4:$L4)=0,$N4=""),"",IF($T4="Paid","PAID",IF($T4="Closed","CLOSED",IF($Z4="","",IF($Z4=6,"ESCALATED TO ROXANNE",IF(TODAY()&gt;$AB4,"OVERDUE",IF($AB4&lt;=WORKDAY(TODAY(),1,Holidays),"DUE TOMORROW",IF($Z4=4,"ESCALATED TO LOCAL OFFICE",IF($Z4=5,"ESCALATED TO CBE",IF($AA4=TODAY(),"EMAIL SENT","MONITORING"))))))))))</f>
        <v/>
      </c>
      <c r="V4" s="17">
        <f>IF($U4="",IF(AND(COUNTA($A4:$L4)&gt;0,$N4=""),"Awaiting Collection Email time stamp.",""),IF(OR($U4="PAID",$U4="CLOSED"),IF($U4="PAID","Account paid. Action completed.","Account closed. No further action required."),CHOOSE($Z4,"Collection Email","1st Email Follow-up","2nd Email Follow-up","Escalation to Local Office","Escalation to CBE","Escalation to Roxanne")&amp;" sent "&amp;TEXT($AA4,"dd-mmm")&amp;". "&amp;IF($Z4=6,"Final escalation completed.",IF($U4="OVERDUE","Next: "&amp;$AC4&amp;" was due "&amp;TEXT($AB4,"dd-mmm")&amp;" - "&amp;(NETWORKDAYS($AB4,TODAY(),Holidays)-1)&amp;" business day(s) late. Send now.",IF($U4="DUE TOMORROW","Next: "&amp;$AC4&amp;IF($AB4&lt;=TODAY()," is due TODAY ("," is due next business day (")&amp;TEXT($AB4,"dd-mmm")&amp;").","Next: "&amp;$AC4&amp;" due "&amp;TEXT($AB4,"dd-mmm")&amp;" ("&amp;(NETWORKDAYS(TODAY(),$AB4,Holidays)-1)&amp;" business day(s) left).")))))</f>
        <v/>
      </c>
      <c r="W4" s="17">
        <f>IF($Z4="","",CHOOSE($Z4,"Collection Email","1st Follow-up","2nd Follow-up","Local Office","CBE","Roxanne")&amp;IF($Z4=6," - Final"," - Day "&amp;MAX(0,NETWORKDAYS($AA4,TODAY(),Holidays)-1)&amp;" of "&amp;CHOOSE($Z4,3,3,2,2,3))&amp;" | Total Day "&amp;MAX(0,NETWORKDAYS($N4,TODAY(),Holidays)-1))</f>
        <v/>
      </c>
      <c r="X4" s="18"/>
      <c r="Y4" s="18"/>
      <c r="Z4" s="17">
        <f>IF($N4="","",COUNT($N4:$S4))</f>
        <v/>
      </c>
      <c r="AA4" s="19">
        <f>IF($Z4="","",INT(INDEX($N4:$S4,$Z4)))</f>
        <v/>
      </c>
      <c r="AB4" s="19">
        <f>IF(OR($Z4="",$Z4=6),"",WORKDAY($AA4,CHOOSE($Z4,3,3,2,2,3),Holidays))</f>
        <v/>
      </c>
      <c r="AC4" s="17">
        <f>IF(OR($Z4="",$Z4=6),"",CHOOSE($Z4,"1st Email Follow-up","2nd Email Follow-up","Escalate Local Office","Escalate to CBE","Escalate to Roxanne"))</f>
        <v/>
      </c>
    </row>
    <row r="5" spans="1:29">
      <c r="M5" s="14"/>
      <c r="T5" s="16"/>
      <c r="U5" s="17">
        <f>IF(AND(COUNTA($A5:$L5)=0,$N5=""),"",IF($T5="Paid","PAID",IF($T5="Closed","CLOSED",IF($Z5="","",IF($Z5=6,"ESCALATED TO ROXANNE",IF(TODAY()&gt;$AB5,"OVERDUE",IF($AB5&lt;=WORKDAY(TODAY(),1,Holidays),"DUE TOMORROW",IF($Z5=4,"ESCALATED TO LOCAL OFFICE",IF($Z5=5,"ESCALATED TO CBE",IF($AA5=TODAY(),"EMAIL SENT","MONITORING"))))))))))</f>
        <v/>
      </c>
      <c r="V5" s="17">
        <f>IF($U5="",IF(AND(COUNTA($A5:$L5)&gt;0,$N5=""),"Awaiting Collection Email time stamp.",""),IF(OR($U5="PAID",$U5="CLOSED"),IF($U5="PAID","Account paid. Action completed.","Account closed. No further action required."),CHOOSE($Z5,"Collection Email","1st Email Follow-up","2nd Email Follow-up","Escalation to Local Office","Escalation to CBE","Escalation to Roxanne")&amp;" sent "&amp;TEXT($AA5,"dd-mmm")&amp;". "&amp;IF($Z5=6,"Final escalation completed.",IF($U5="OVERDUE","Next: "&amp;$AC5&amp;" was due "&amp;TEXT($AB5,"dd-mmm")&amp;" - "&amp;(NETWORKDAYS($AB5,TODAY(),Holidays)-1)&amp;" business day(s) late. Send now.",IF($U5="DUE TOMORROW","Next: "&amp;$AC5&amp;IF($AB5&lt;=TODAY()," is due TODAY ("," is due next business day (")&amp;TEXT($AB5,"dd-mmm")&amp;").","Next: "&amp;$AC5&amp;" due "&amp;TEXT($AB5,"dd-mmm")&amp;" ("&amp;(NETWORKDAYS(TODAY(),$AB5,Holidays)-1)&amp;" business day(s) left).")))))</f>
        <v/>
      </c>
      <c r="W5" s="17">
        <f>IF($Z5="","",CHOOSE($Z5,"Collection Email","1st Follow-up","2nd Follow-up","Local Office","CBE","Roxanne")&amp;IF($Z5=6," - Final"," - Day "&amp;MAX(0,NETWORKDAYS($AA5,TODAY(),Holidays)-1)&amp;" of "&amp;CHOOSE($Z5,3,3,2,2,3))&amp;" | Total Day "&amp;MAX(0,NETWORKDAYS($N5,TODAY(),Holidays)-1))</f>
        <v/>
      </c>
      <c r="X5" s="18"/>
      <c r="Y5" s="18"/>
      <c r="Z5" s="17">
        <f>IF($N5="","",COUNT($N5:$S5))</f>
        <v/>
      </c>
      <c r="AA5" s="19">
        <f>IF($Z5="","",INT(INDEX($N5:$S5,$Z5)))</f>
        <v/>
      </c>
      <c r="AB5" s="19">
        <f>IF(OR($Z5="",$Z5=6),"",WORKDAY($AA5,CHOOSE($Z5,3,3,2,2,3),Holidays))</f>
        <v/>
      </c>
      <c r="AC5" s="17">
        <f>IF(OR($Z5="",$Z5=6),"",CHOOSE($Z5,"1st Email Follow-up","2nd Email Follow-up","Escalate Local Office","Escalate to CBE","Escalate to Roxanne"))</f>
        <v/>
      </c>
    </row>
    <row r="6" spans="1:29">
      <c r="M6" s="14"/>
      <c r="T6" s="16"/>
      <c r="U6" s="17">
        <f>IF(AND(COUNTA($A6:$L6)=0,$N6=""),"",IF($T6="Paid","PAID",IF($T6="Closed","CLOSED",IF($Z6="","",IF($Z6=6,"ESCALATED TO ROXANNE",IF(TODAY()&gt;$AB6,"OVERDUE",IF($AB6&lt;=WORKDAY(TODAY(),1,Holidays),"DUE TOMORROW",IF($Z6=4,"ESCALATED TO LOCAL OFFICE",IF($Z6=5,"ESCALATED TO CBE",IF($AA6=TODAY(),"EMAIL SENT","MONITORING"))))))))))</f>
        <v/>
      </c>
      <c r="V6" s="17">
        <f>IF($U6="",IF(AND(COUNTA($A6:$L6)&gt;0,$N6=""),"Awaiting Collection Email time stamp.",""),IF(OR($U6="PAID",$U6="CLOSED"),IF($U6="PAID","Account paid. Action completed.","Account closed. No further action required."),CHOOSE($Z6,"Collection Email","1st Email Follow-up","2nd Email Follow-up","Escalation to Local Office","Escalation to CBE","Escalation to Roxanne")&amp;" sent "&amp;TEXT($AA6,"dd-mmm")&amp;". "&amp;IF($Z6=6,"Final escalation completed.",IF($U6="OVERDUE","Next: "&amp;$AC6&amp;" was due "&amp;TEXT($AB6,"dd-mmm")&amp;" - "&amp;(NETWORKDAYS($AB6,TODAY(),Holidays)-1)&amp;" business day(s) late. Send now.",IF($U6="DUE TOMORROW","Next: "&amp;$AC6&amp;IF($AB6&lt;=TODAY()," is due TODAY ("," is due next business day (")&amp;TEXT($AB6,"dd-mmm")&amp;").","Next: "&amp;$AC6&amp;" due "&amp;TEXT($AB6,"dd-mmm")&amp;" ("&amp;(NETWORKDAYS(TODAY(),$AB6,Holidays)-1)&amp;" business day(s) left).")))))</f>
        <v/>
      </c>
      <c r="W6" s="17">
        <f>IF($Z6="","",CHOOSE($Z6,"Collection Email","1st Follow-up","2nd Follow-up","Local Office","CBE","Roxanne")&amp;IF($Z6=6," - Final"," - Day "&amp;MAX(0,NETWORKDAYS($AA6,TODAY(),Holidays)-1)&amp;" of "&amp;CHOOSE($Z6,3,3,2,2,3))&amp;" | Total Day "&amp;MAX(0,NETWORKDAYS($N6,TODAY(),Holidays)-1))</f>
        <v/>
      </c>
      <c r="X6" s="18"/>
      <c r="Y6" s="18"/>
      <c r="Z6" s="17">
        <f>IF($N6="","",COUNT($N6:$S6))</f>
        <v/>
      </c>
      <c r="AA6" s="19">
        <f>IF($Z6="","",INT(INDEX($N6:$S6,$Z6)))</f>
        <v/>
      </c>
      <c r="AB6" s="19">
        <f>IF(OR($Z6="",$Z6=6),"",WORKDAY($AA6,CHOOSE($Z6,3,3,2,2,3),Holidays))</f>
        <v/>
      </c>
      <c r="AC6" s="17">
        <f>IF(OR($Z6="",$Z6=6),"",CHOOSE($Z6,"1st Email Follow-up","2nd Email Follow-up","Escalate Local Office","Escalate to CBE","Escalate to Roxanne"))</f>
        <v/>
      </c>
    </row>
    <row r="7" spans="1:29">
      <c r="M7" s="14"/>
      <c r="T7" s="16"/>
      <c r="U7" s="17">
        <f>IF(AND(COUNTA($A7:$L7)=0,$N7=""),"",IF($T7="Paid","PAID",IF($T7="Closed","CLOSED",IF($Z7="","",IF($Z7=6,"ESCALATED TO ROXANNE",IF(TODAY()&gt;$AB7,"OVERDUE",IF($AB7&lt;=WORKDAY(TODAY(),1,Holidays),"DUE TOMORROW",IF($Z7=4,"ESCALATED TO LOCAL OFFICE",IF($Z7=5,"ESCALATED TO CBE",IF($AA7=TODAY(),"EMAIL SENT","MONITORING"))))))))))</f>
        <v/>
      </c>
      <c r="V7" s="17">
        <f>IF($U7="",IF(AND(COUNTA($A7:$L7)&gt;0,$N7=""),"Awaiting Collection Email time stamp.",""),IF(OR($U7="PAID",$U7="CLOSED"),IF($U7="PAID","Account paid. Action completed.","Account closed. No further action required."),CHOOSE($Z7,"Collection Email","1st Email Follow-up","2nd Email Follow-up","Escalation to Local Office","Escalation to CBE","Escalation to Roxanne")&amp;" sent "&amp;TEXT($AA7,"dd-mmm")&amp;". "&amp;IF($Z7=6,"Final escalation completed.",IF($U7="OVERDUE","Next: "&amp;$AC7&amp;" was due "&amp;TEXT($AB7,"dd-mmm")&amp;" - "&amp;(NETWORKDAYS($AB7,TODAY(),Holidays)-1)&amp;" business day(s) late. Send now.",IF($U7="DUE TOMORROW","Next: "&amp;$AC7&amp;IF($AB7&lt;=TODAY()," is due TODAY ("," is due next business day (")&amp;TEXT($AB7,"dd-mmm")&amp;").","Next: "&amp;$AC7&amp;" due "&amp;TEXT($AB7,"dd-mmm")&amp;" ("&amp;(NETWORKDAYS(TODAY(),$AB7,Holidays)-1)&amp;" business day(s) left).")))))</f>
        <v/>
      </c>
      <c r="W7" s="17">
        <f>IF($Z7="","",CHOOSE($Z7,"Collection Email","1st Follow-up","2nd Follow-up","Local Office","CBE","Roxanne")&amp;IF($Z7=6," - Final"," - Day "&amp;MAX(0,NETWORKDAYS($AA7,TODAY(),Holidays)-1)&amp;" of "&amp;CHOOSE($Z7,3,3,2,2,3))&amp;" | Total Day "&amp;MAX(0,NETWORKDAYS($N7,TODAY(),Holidays)-1))</f>
        <v/>
      </c>
      <c r="X7" s="18"/>
      <c r="Y7" s="18"/>
      <c r="Z7" s="17">
        <f>IF($N7="","",COUNT($N7:$S7))</f>
        <v/>
      </c>
      <c r="AA7" s="19">
        <f>IF($Z7="","",INT(INDEX($N7:$S7,$Z7)))</f>
        <v/>
      </c>
      <c r="AB7" s="19">
        <f>IF(OR($Z7="",$Z7=6),"",WORKDAY($AA7,CHOOSE($Z7,3,3,2,2,3),Holidays))</f>
        <v/>
      </c>
      <c r="AC7" s="17">
        <f>IF(OR($Z7="",$Z7=6),"",CHOOSE($Z7,"1st Email Follow-up","2nd Email Follow-up","Escalate Local Office","Escalate to CBE","Escalate to Roxanne"))</f>
        <v/>
      </c>
    </row>
    <row r="8" spans="1:29">
      <c r="M8" s="14"/>
      <c r="T8" s="16"/>
      <c r="U8" s="17">
        <f>IF(AND(COUNTA($A8:$L8)=0,$N8=""),"",IF($T8="Paid","PAID",IF($T8="Closed","CLOSED",IF($Z8="","",IF($Z8=6,"ESCALATED TO ROXANNE",IF(TODAY()&gt;$AB8,"OVERDUE",IF($AB8&lt;=WORKDAY(TODAY(),1,Holidays),"DUE TOMORROW",IF($Z8=4,"ESCALATED TO LOCAL OFFICE",IF($Z8=5,"ESCALATED TO CBE",IF($AA8=TODAY(),"EMAIL SENT","MONITORING"))))))))))</f>
        <v/>
      </c>
      <c r="V8" s="17">
        <f>IF($U8="",IF(AND(COUNTA($A8:$L8)&gt;0,$N8=""),"Awaiting Collection Email time stamp.",""),IF(OR($U8="PAID",$U8="CLOSED"),IF($U8="PAID","Account paid. Action completed.","Account closed. No further action required."),CHOOSE($Z8,"Collection Email","1st Email Follow-up","2nd Email Follow-up","Escalation to Local Office","Escalation to CBE","Escalation to Roxanne")&amp;" sent "&amp;TEXT($AA8,"dd-mmm")&amp;". "&amp;IF($Z8=6,"Final escalation completed.",IF($U8="OVERDUE","Next: "&amp;$AC8&amp;" was due "&amp;TEXT($AB8,"dd-mmm")&amp;" - "&amp;(NETWORKDAYS($AB8,TODAY(),Holidays)-1)&amp;" business day(s) late. Send now.",IF($U8="DUE TOMORROW","Next: "&amp;$AC8&amp;IF($AB8&lt;=TODAY()," is due TODAY ("," is due next business day (")&amp;TEXT($AB8,"dd-mmm")&amp;").","Next: "&amp;$AC8&amp;" due "&amp;TEXT($AB8,"dd-mmm")&amp;" ("&amp;(NETWORKDAYS(TODAY(),$AB8,Holidays)-1)&amp;" business day(s) left).")))))</f>
        <v/>
      </c>
      <c r="W8" s="17">
        <f>IF($Z8="","",CHOOSE($Z8,"Collection Email","1st Follow-up","2nd Follow-up","Local Office","CBE","Roxanne")&amp;IF($Z8=6," - Final"," - Day "&amp;MAX(0,NETWORKDAYS($AA8,TODAY(),Holidays)-1)&amp;" of "&amp;CHOOSE($Z8,3,3,2,2,3))&amp;" | Total Day "&amp;MAX(0,NETWORKDAYS($N8,TODAY(),Holidays)-1))</f>
        <v/>
      </c>
      <c r="X8" s="18"/>
      <c r="Y8" s="18"/>
      <c r="Z8" s="17">
        <f>IF($N8="","",COUNT($N8:$S8))</f>
        <v/>
      </c>
      <c r="AA8" s="19">
        <f>IF($Z8="","",INT(INDEX($N8:$S8,$Z8)))</f>
        <v/>
      </c>
      <c r="AB8" s="19">
        <f>IF(OR($Z8="",$Z8=6),"",WORKDAY($AA8,CHOOSE($Z8,3,3,2,2,3),Holidays))</f>
        <v/>
      </c>
      <c r="AC8" s="17">
        <f>IF(OR($Z8="",$Z8=6),"",CHOOSE($Z8,"1st Email Follow-up","2nd Email Follow-up","Escalate Local Office","Escalate to CBE","Escalate to Roxanne"))</f>
        <v/>
      </c>
    </row>
    <row r="9" spans="1:29">
      <c r="M9" s="14"/>
      <c r="T9" s="16"/>
      <c r="U9" s="17">
        <f>IF(AND(COUNTA($A9:$L9)=0,$N9=""),"",IF($T9="Paid","PAID",IF($T9="Closed","CLOSED",IF($Z9="","",IF($Z9=6,"ESCALATED TO ROXANNE",IF(TODAY()&gt;$AB9,"OVERDUE",IF($AB9&lt;=WORKDAY(TODAY(),1,Holidays),"DUE TOMORROW",IF($Z9=4,"ESCALATED TO LOCAL OFFICE",IF($Z9=5,"ESCALATED TO CBE",IF($AA9=TODAY(),"EMAIL SENT","MONITORING"))))))))))</f>
        <v/>
      </c>
      <c r="V9" s="17">
        <f>IF($U9="",IF(AND(COUNTA($A9:$L9)&gt;0,$N9=""),"Awaiting Collection Email time stamp.",""),IF(OR($U9="PAID",$U9="CLOSED"),IF($U9="PAID","Account paid. Action completed.","Account closed. No further action required."),CHOOSE($Z9,"Collection Email","1st Email Follow-up","2nd Email Follow-up","Escalation to Local Office","Escalation to CBE","Escalation to Roxanne")&amp;" sent "&amp;TEXT($AA9,"dd-mmm")&amp;". "&amp;IF($Z9=6,"Final escalation completed.",IF($U9="OVERDUE","Next: "&amp;$AC9&amp;" was due "&amp;TEXT($AB9,"dd-mmm")&amp;" - "&amp;(NETWORKDAYS($AB9,TODAY(),Holidays)-1)&amp;" business day(s) late. Send now.",IF($U9="DUE TOMORROW","Next: "&amp;$AC9&amp;IF($AB9&lt;=TODAY()," is due TODAY ("," is due next business day (")&amp;TEXT($AB9,"dd-mmm")&amp;").","Next: "&amp;$AC9&amp;" due "&amp;TEXT($AB9,"dd-mmm")&amp;" ("&amp;(NETWORKDAYS(TODAY(),$AB9,Holidays)-1)&amp;" business day(s) left).")))))</f>
        <v/>
      </c>
      <c r="W9" s="17">
        <f>IF($Z9="","",CHOOSE($Z9,"Collection Email","1st Follow-up","2nd Follow-up","Local Office","CBE","Roxanne")&amp;IF($Z9=6," - Final"," - Day "&amp;MAX(0,NETWORKDAYS($AA9,TODAY(),Holidays)-1)&amp;" of "&amp;CHOOSE($Z9,3,3,2,2,3))&amp;" | Total Day "&amp;MAX(0,NETWORKDAYS($N9,TODAY(),Holidays)-1))</f>
        <v/>
      </c>
      <c r="X9" s="18"/>
      <c r="Y9" s="18"/>
      <c r="Z9" s="17">
        <f>IF($N9="","",COUNT($N9:$S9))</f>
        <v/>
      </c>
      <c r="AA9" s="19">
        <f>IF($Z9="","",INT(INDEX($N9:$S9,$Z9)))</f>
        <v/>
      </c>
      <c r="AB9" s="19">
        <f>IF(OR($Z9="",$Z9=6),"",WORKDAY($AA9,CHOOSE($Z9,3,3,2,2,3),Holidays))</f>
        <v/>
      </c>
      <c r="AC9" s="17">
        <f>IF(OR($Z9="",$Z9=6),"",CHOOSE($Z9,"1st Email Follow-up","2nd Email Follow-up","Escalate Local Office","Escalate to CBE","Escalate to Roxanne"))</f>
        <v/>
      </c>
    </row>
    <row r="10" spans="1:29">
      <c r="M10" s="14"/>
      <c r="T10" s="16"/>
      <c r="U10" s="17">
        <f>IF(AND(COUNTA($A10:$L10)=0,$N10=""),"",IF($T10="Paid","PAID",IF($T10="Closed","CLOSED",IF($Z10="","",IF($Z10=6,"ESCALATED TO ROXANNE",IF(TODAY()&gt;$AB10,"OVERDUE",IF($AB10&lt;=WORKDAY(TODAY(),1,Holidays),"DUE TOMORROW",IF($Z10=4,"ESCALATED TO LOCAL OFFICE",IF($Z10=5,"ESCALATED TO CBE",IF($AA10=TODAY(),"EMAIL SENT","MONITORING"))))))))))</f>
        <v/>
      </c>
      <c r="V10" s="17">
        <f>IF($U10="",IF(AND(COUNTA($A10:$L10)&gt;0,$N10=""),"Awaiting Collection Email time stamp.",""),IF(OR($U10="PAID",$U10="CLOSED"),IF($U10="PAID","Account paid. Action completed.","Account closed. No further action required."),CHOOSE($Z10,"Collection Email","1st Email Follow-up","2nd Email Follow-up","Escalation to Local Office","Escalation to CBE","Escalation to Roxanne")&amp;" sent "&amp;TEXT($AA10,"dd-mmm")&amp;". "&amp;IF($Z10=6,"Final escalation completed.",IF($U10="OVERDUE","Next: "&amp;$AC10&amp;" was due "&amp;TEXT($AB10,"dd-mmm")&amp;" - "&amp;(NETWORKDAYS($AB10,TODAY(),Holidays)-1)&amp;" business day(s) late. Send now.",IF($U10="DUE TOMORROW","Next: "&amp;$AC10&amp;IF($AB10&lt;=TODAY()," is due TODAY ("," is due next business day (")&amp;TEXT($AB10,"dd-mmm")&amp;").","Next: "&amp;$AC10&amp;" due "&amp;TEXT($AB10,"dd-mmm")&amp;" ("&amp;(NETWORKDAYS(TODAY(),$AB10,Holidays)-1)&amp;" business day(s) left).")))))</f>
        <v/>
      </c>
      <c r="W10" s="17">
        <f>IF($Z10="","",CHOOSE($Z10,"Collection Email","1st Follow-up","2nd Follow-up","Local Office","CBE","Roxanne")&amp;IF($Z10=6," - Final"," - Day "&amp;MAX(0,NETWORKDAYS($AA10,TODAY(),Holidays)-1)&amp;" of "&amp;CHOOSE($Z10,3,3,2,2,3))&amp;" | Total Day "&amp;MAX(0,NETWORKDAYS($N10,TODAY(),Holidays)-1))</f>
        <v/>
      </c>
      <c r="X10" s="18"/>
      <c r="Y10" s="18"/>
      <c r="Z10" s="17">
        <f>IF($N10="","",COUNT($N10:$S10))</f>
        <v/>
      </c>
      <c r="AA10" s="19">
        <f>IF($Z10="","",INT(INDEX($N10:$S10,$Z10)))</f>
        <v/>
      </c>
      <c r="AB10" s="19">
        <f>IF(OR($Z10="",$Z10=6),"",WORKDAY($AA10,CHOOSE($Z10,3,3,2,2,3),Holidays))</f>
        <v/>
      </c>
      <c r="AC10" s="17">
        <f>IF(OR($Z10="",$Z10=6),"",CHOOSE($Z10,"1st Email Follow-up","2nd Email Follow-up","Escalate Local Office","Escalate to CBE","Escalate to Roxanne"))</f>
        <v/>
      </c>
    </row>
    <row r="11" spans="1:29">
      <c r="M11" s="14"/>
      <c r="T11" s="16"/>
      <c r="U11" s="17">
        <f>IF(AND(COUNTA($A11:$L11)=0,$N11=""),"",IF($T11="Paid","PAID",IF($T11="Closed","CLOSED",IF($Z11="","",IF($Z11=6,"ESCALATED TO ROXANNE",IF(TODAY()&gt;$AB11,"OVERDUE",IF($AB11&lt;=WORKDAY(TODAY(),1,Holidays),"DUE TOMORROW",IF($Z11=4,"ESCALATED TO LOCAL OFFICE",IF($Z11=5,"ESCALATED TO CBE",IF($AA11=TODAY(),"EMAIL SENT","MONITORING"))))))))))</f>
        <v/>
      </c>
      <c r="V11" s="17">
        <f>IF($U11="",IF(AND(COUNTA($A11:$L11)&gt;0,$N11=""),"Awaiting Collection Email time stamp.",""),IF(OR($U11="PAID",$U11="CLOSED"),IF($U11="PAID","Account paid. Action completed.","Account closed. No further action required."),CHOOSE($Z11,"Collection Email","1st Email Follow-up","2nd Email Follow-up","Escalation to Local Office","Escalation to CBE","Escalation to Roxanne")&amp;" sent "&amp;TEXT($AA11,"dd-mmm")&amp;". "&amp;IF($Z11=6,"Final escalation completed.",IF($U11="OVERDUE","Next: "&amp;$AC11&amp;" was due "&amp;TEXT($AB11,"dd-mmm")&amp;" - "&amp;(NETWORKDAYS($AB11,TODAY(),Holidays)-1)&amp;" business day(s) late. Send now.",IF($U11="DUE TOMORROW","Next: "&amp;$AC11&amp;IF($AB11&lt;=TODAY()," is due TODAY ("," is due next business day (")&amp;TEXT($AB11,"dd-mmm")&amp;").","Next: "&amp;$AC11&amp;" due "&amp;TEXT($AB11,"dd-mmm")&amp;" ("&amp;(NETWORKDAYS(TODAY(),$AB11,Holidays)-1)&amp;" business day(s) left).")))))</f>
        <v/>
      </c>
      <c r="W11" s="17">
        <f>IF($Z11="","",CHOOSE($Z11,"Collection Email","1st Follow-up","2nd Follow-up","Local Office","CBE","Roxanne")&amp;IF($Z11=6," - Final"," - Day "&amp;MAX(0,NETWORKDAYS($AA11,TODAY(),Holidays)-1)&amp;" of "&amp;CHOOSE($Z11,3,3,2,2,3))&amp;" | Total Day "&amp;MAX(0,NETWORKDAYS($N11,TODAY(),Holidays)-1))</f>
        <v/>
      </c>
      <c r="X11" s="18"/>
      <c r="Y11" s="18"/>
      <c r="Z11" s="17">
        <f>IF($N11="","",COUNT($N11:$S11))</f>
        <v/>
      </c>
      <c r="AA11" s="19">
        <f>IF($Z11="","",INT(INDEX($N11:$S11,$Z11)))</f>
        <v/>
      </c>
      <c r="AB11" s="19">
        <f>IF(OR($Z11="",$Z11=6),"",WORKDAY($AA11,CHOOSE($Z11,3,3,2,2,3),Holidays))</f>
        <v/>
      </c>
      <c r="AC11" s="17">
        <f>IF(OR($Z11="",$Z11=6),"",CHOOSE($Z11,"1st Email Follow-up","2nd Email Follow-up","Escalate Local Office","Escalate to CBE","Escalate to Roxanne"))</f>
        <v/>
      </c>
    </row>
    <row r="12" spans="1:29">
      <c r="M12" s="14"/>
      <c r="T12" s="16"/>
      <c r="U12" s="17">
        <f>IF(AND(COUNTA($A12:$L12)=0,$N12=""),"",IF($T12="Paid","PAID",IF($T12="Closed","CLOSED",IF($Z12="","",IF($Z12=6,"ESCALATED TO ROXANNE",IF(TODAY()&gt;$AB12,"OVERDUE",IF($AB12&lt;=WORKDAY(TODAY(),1,Holidays),"DUE TOMORROW",IF($Z12=4,"ESCALATED TO LOCAL OFFICE",IF($Z12=5,"ESCALATED TO CBE",IF($AA12=TODAY(),"EMAIL SENT","MONITORING"))))))))))</f>
        <v/>
      </c>
      <c r="V12" s="17">
        <f>IF($U12="",IF(AND(COUNTA($A12:$L12)&gt;0,$N12=""),"Awaiting Collection Email time stamp.",""),IF(OR($U12="PAID",$U12="CLOSED"),IF($U12="PAID","Account paid. Action completed.","Account closed. No further action required."),CHOOSE($Z12,"Collection Email","1st Email Follow-up","2nd Email Follow-up","Escalation to Local Office","Escalation to CBE","Escalation to Roxanne")&amp;" sent "&amp;TEXT($AA12,"dd-mmm")&amp;". "&amp;IF($Z12=6,"Final escalation completed.",IF($U12="OVERDUE","Next: "&amp;$AC12&amp;" was due "&amp;TEXT($AB12,"dd-mmm")&amp;" - "&amp;(NETWORKDAYS($AB12,TODAY(),Holidays)-1)&amp;" business day(s) late. Send now.",IF($U12="DUE TOMORROW","Next: "&amp;$AC12&amp;IF($AB12&lt;=TODAY()," is due TODAY ("," is due next business day (")&amp;TEXT($AB12,"dd-mmm")&amp;").","Next: "&amp;$AC12&amp;" due "&amp;TEXT($AB12,"dd-mmm")&amp;" ("&amp;(NETWORKDAYS(TODAY(),$AB12,Holidays)-1)&amp;" business day(s) left).")))))</f>
        <v/>
      </c>
      <c r="W12" s="17">
        <f>IF($Z12="","",CHOOSE($Z12,"Collection Email","1st Follow-up","2nd Follow-up","Local Office","CBE","Roxanne")&amp;IF($Z12=6," - Final"," - Day "&amp;MAX(0,NETWORKDAYS($AA12,TODAY(),Holidays)-1)&amp;" of "&amp;CHOOSE($Z12,3,3,2,2,3))&amp;" | Total Day "&amp;MAX(0,NETWORKDAYS($N12,TODAY(),Holidays)-1))</f>
        <v/>
      </c>
      <c r="X12" s="18"/>
      <c r="Y12" s="18"/>
      <c r="Z12" s="17">
        <f>IF($N12="","",COUNT($N12:$S12))</f>
        <v/>
      </c>
      <c r="AA12" s="19">
        <f>IF($Z12="","",INT(INDEX($N12:$S12,$Z12)))</f>
        <v/>
      </c>
      <c r="AB12" s="19">
        <f>IF(OR($Z12="",$Z12=6),"",WORKDAY($AA12,CHOOSE($Z12,3,3,2,2,3),Holidays))</f>
        <v/>
      </c>
      <c r="AC12" s="17">
        <f>IF(OR($Z12="",$Z12=6),"",CHOOSE($Z12,"1st Email Follow-up","2nd Email Follow-up","Escalate Local Office","Escalate to CBE","Escalate to Roxanne"))</f>
        <v/>
      </c>
    </row>
    <row r="13" spans="1:29">
      <c r="M13" s="14"/>
      <c r="T13" s="16"/>
      <c r="U13" s="17">
        <f>IF(AND(COUNTA($A13:$L13)=0,$N13=""),"",IF($T13="Paid","PAID",IF($T13="Closed","CLOSED",IF($Z13="","",IF($Z13=6,"ESCALATED TO ROXANNE",IF(TODAY()&gt;$AB13,"OVERDUE",IF($AB13&lt;=WORKDAY(TODAY(),1,Holidays),"DUE TOMORROW",IF($Z13=4,"ESCALATED TO LOCAL OFFICE",IF($Z13=5,"ESCALATED TO CBE",IF($AA13=TODAY(),"EMAIL SENT","MONITORING"))))))))))</f>
        <v/>
      </c>
      <c r="V13" s="17">
        <f>IF($U13="",IF(AND(COUNTA($A13:$L13)&gt;0,$N13=""),"Awaiting Collection Email time stamp.",""),IF(OR($U13="PAID",$U13="CLOSED"),IF($U13="PAID","Account paid. Action completed.","Account closed. No further action required."),CHOOSE($Z13,"Collection Email","1st Email Follow-up","2nd Email Follow-up","Escalation to Local Office","Escalation to CBE","Escalation to Roxanne")&amp;" sent "&amp;TEXT($AA13,"dd-mmm")&amp;". "&amp;IF($Z13=6,"Final escalation completed.",IF($U13="OVERDUE","Next: "&amp;$AC13&amp;" was due "&amp;TEXT($AB13,"dd-mmm")&amp;" - "&amp;(NETWORKDAYS($AB13,TODAY(),Holidays)-1)&amp;" business day(s) late. Send now.",IF($U13="DUE TOMORROW","Next: "&amp;$AC13&amp;IF($AB13&lt;=TODAY()," is due TODAY ("," is due next business day (")&amp;TEXT($AB13,"dd-mmm")&amp;").","Next: "&amp;$AC13&amp;" due "&amp;TEXT($AB13,"dd-mmm")&amp;" ("&amp;(NETWORKDAYS(TODAY(),$AB13,Holidays)-1)&amp;" business day(s) left).")))))</f>
        <v/>
      </c>
      <c r="W13" s="17">
        <f>IF($Z13="","",CHOOSE($Z13,"Collection Email","1st Follow-up","2nd Follow-up","Local Office","CBE","Roxanne")&amp;IF($Z13=6," - Final"," - Day "&amp;MAX(0,NETWORKDAYS($AA13,TODAY(),Holidays)-1)&amp;" of "&amp;CHOOSE($Z13,3,3,2,2,3))&amp;" | Total Day "&amp;MAX(0,NETWORKDAYS($N13,TODAY(),Holidays)-1))</f>
        <v/>
      </c>
      <c r="X13" s="18"/>
      <c r="Y13" s="18"/>
      <c r="Z13" s="17">
        <f>IF($N13="","",COUNT($N13:$S13))</f>
        <v/>
      </c>
      <c r="AA13" s="19">
        <f>IF($Z13="","",INT(INDEX($N13:$S13,$Z13)))</f>
        <v/>
      </c>
      <c r="AB13" s="19">
        <f>IF(OR($Z13="",$Z13=6),"",WORKDAY($AA13,CHOOSE($Z13,3,3,2,2,3),Holidays))</f>
        <v/>
      </c>
      <c r="AC13" s="17">
        <f>IF(OR($Z13="",$Z13=6),"",CHOOSE($Z13,"1st Email Follow-up","2nd Email Follow-up","Escalate Local Office","Escalate to CBE","Escalate to Roxanne"))</f>
        <v/>
      </c>
    </row>
    <row r="14" spans="1:29">
      <c r="M14" s="14"/>
      <c r="T14" s="16"/>
      <c r="U14" s="17">
        <f>IF(AND(COUNTA($A14:$L14)=0,$N14=""),"",IF($T14="Paid","PAID",IF($T14="Closed","CLOSED",IF($Z14="","",IF($Z14=6,"ESCALATED TO ROXANNE",IF(TODAY()&gt;$AB14,"OVERDUE",IF($AB14&lt;=WORKDAY(TODAY(),1,Holidays),"DUE TOMORROW",IF($Z14=4,"ESCALATED TO LOCAL OFFICE",IF($Z14=5,"ESCALATED TO CBE",IF($AA14=TODAY(),"EMAIL SENT","MONITORING"))))))))))</f>
        <v/>
      </c>
      <c r="V14" s="17">
        <f>IF($U14="",IF(AND(COUNTA($A14:$L14)&gt;0,$N14=""),"Awaiting Collection Email time stamp.",""),IF(OR($U14="PAID",$U14="CLOSED"),IF($U14="PAID","Account paid. Action completed.","Account closed. No further action required."),CHOOSE($Z14,"Collection Email","1st Email Follow-up","2nd Email Follow-up","Escalation to Local Office","Escalation to CBE","Escalation to Roxanne")&amp;" sent "&amp;TEXT($AA14,"dd-mmm")&amp;". "&amp;IF($Z14=6,"Final escalation completed.",IF($U14="OVERDUE","Next: "&amp;$AC14&amp;" was due "&amp;TEXT($AB14,"dd-mmm")&amp;" - "&amp;(NETWORKDAYS($AB14,TODAY(),Holidays)-1)&amp;" business day(s) late. Send now.",IF($U14="DUE TOMORROW","Next: "&amp;$AC14&amp;IF($AB14&lt;=TODAY()," is due TODAY ("," is due next business day (")&amp;TEXT($AB14,"dd-mmm")&amp;").","Next: "&amp;$AC14&amp;" due "&amp;TEXT($AB14,"dd-mmm")&amp;" ("&amp;(NETWORKDAYS(TODAY(),$AB14,Holidays)-1)&amp;" business day(s) left).")))))</f>
        <v/>
      </c>
      <c r="W14" s="17">
        <f>IF($Z14="","",CHOOSE($Z14,"Collection Email","1st Follow-up","2nd Follow-up","Local Office","CBE","Roxanne")&amp;IF($Z14=6," - Final"," - Day "&amp;MAX(0,NETWORKDAYS($AA14,TODAY(),Holidays)-1)&amp;" of "&amp;CHOOSE($Z14,3,3,2,2,3))&amp;" | Total Day "&amp;MAX(0,NETWORKDAYS($N14,TODAY(),Holidays)-1))</f>
        <v/>
      </c>
      <c r="X14" s="18"/>
      <c r="Y14" s="18"/>
      <c r="Z14" s="17">
        <f>IF($N14="","",COUNT($N14:$S14))</f>
        <v/>
      </c>
      <c r="AA14" s="19">
        <f>IF($Z14="","",INT(INDEX($N14:$S14,$Z14)))</f>
        <v/>
      </c>
      <c r="AB14" s="19">
        <f>IF(OR($Z14="",$Z14=6),"",WORKDAY($AA14,CHOOSE($Z14,3,3,2,2,3),Holidays))</f>
        <v/>
      </c>
      <c r="AC14" s="17">
        <f>IF(OR($Z14="",$Z14=6),"",CHOOSE($Z14,"1st Email Follow-up","2nd Email Follow-up","Escalate Local Office","Escalate to CBE","Escalate to Roxanne"))</f>
        <v/>
      </c>
    </row>
    <row r="15" spans="1:29">
      <c r="M15" s="14"/>
      <c r="T15" s="16"/>
      <c r="U15" s="17">
        <f>IF(AND(COUNTA($A15:$L15)=0,$N15=""),"",IF($T15="Paid","PAID",IF($T15="Closed","CLOSED",IF($Z15="","",IF($Z15=6,"ESCALATED TO ROXANNE",IF(TODAY()&gt;$AB15,"OVERDUE",IF($AB15&lt;=WORKDAY(TODAY(),1,Holidays),"DUE TOMORROW",IF($Z15=4,"ESCALATED TO LOCAL OFFICE",IF($Z15=5,"ESCALATED TO CBE",IF($AA15=TODAY(),"EMAIL SENT","MONITORING"))))))))))</f>
        <v/>
      </c>
      <c r="V15" s="17">
        <f>IF($U15="",IF(AND(COUNTA($A15:$L15)&gt;0,$N15=""),"Awaiting Collection Email time stamp.",""),IF(OR($U15="PAID",$U15="CLOSED"),IF($U15="PAID","Account paid. Action completed.","Account closed. No further action required."),CHOOSE($Z15,"Collection Email","1st Email Follow-up","2nd Email Follow-up","Escalation to Local Office","Escalation to CBE","Escalation to Roxanne")&amp;" sent "&amp;TEXT($AA15,"dd-mmm")&amp;". "&amp;IF($Z15=6,"Final escalation completed.",IF($U15="OVERDUE","Next: "&amp;$AC15&amp;" was due "&amp;TEXT($AB15,"dd-mmm")&amp;" - "&amp;(NETWORKDAYS($AB15,TODAY(),Holidays)-1)&amp;" business day(s) late. Send now.",IF($U15="DUE TOMORROW","Next: "&amp;$AC15&amp;IF($AB15&lt;=TODAY()," is due TODAY ("," is due next business day (")&amp;TEXT($AB15,"dd-mmm")&amp;").","Next: "&amp;$AC15&amp;" due "&amp;TEXT($AB15,"dd-mmm")&amp;" ("&amp;(NETWORKDAYS(TODAY(),$AB15,Holidays)-1)&amp;" business day(s) left).")))))</f>
        <v/>
      </c>
      <c r="W15" s="17">
        <f>IF($Z15="","",CHOOSE($Z15,"Collection Email","1st Follow-up","2nd Follow-up","Local Office","CBE","Roxanne")&amp;IF($Z15=6," - Final"," - Day "&amp;MAX(0,NETWORKDAYS($AA15,TODAY(),Holidays)-1)&amp;" of "&amp;CHOOSE($Z15,3,3,2,2,3))&amp;" | Total Day "&amp;MAX(0,NETWORKDAYS($N15,TODAY(),Holidays)-1))</f>
        <v/>
      </c>
      <c r="X15" s="18"/>
      <c r="Y15" s="18"/>
      <c r="Z15" s="17">
        <f>IF($N15="","",COUNT($N15:$S15))</f>
        <v/>
      </c>
      <c r="AA15" s="19">
        <f>IF($Z15="","",INT(INDEX($N15:$S15,$Z15)))</f>
        <v/>
      </c>
      <c r="AB15" s="19">
        <f>IF(OR($Z15="",$Z15=6),"",WORKDAY($AA15,CHOOSE($Z15,3,3,2,2,3),Holidays))</f>
        <v/>
      </c>
      <c r="AC15" s="17">
        <f>IF(OR($Z15="",$Z15=6),"",CHOOSE($Z15,"1st Email Follow-up","2nd Email Follow-up","Escalate Local Office","Escalate to CBE","Escalate to Roxanne"))</f>
        <v/>
      </c>
    </row>
    <row r="16" spans="1:29">
      <c r="M16" s="14"/>
      <c r="T16" s="16"/>
      <c r="U16" s="17">
        <f>IF(AND(COUNTA($A16:$L16)=0,$N16=""),"",IF($T16="Paid","PAID",IF($T16="Closed","CLOSED",IF($Z16="","",IF($Z16=6,"ESCALATED TO ROXANNE",IF(TODAY()&gt;$AB16,"OVERDUE",IF($AB16&lt;=WORKDAY(TODAY(),1,Holidays),"DUE TOMORROW",IF($Z16=4,"ESCALATED TO LOCAL OFFICE",IF($Z16=5,"ESCALATED TO CBE",IF($AA16=TODAY(),"EMAIL SENT","MONITORING"))))))))))</f>
        <v/>
      </c>
      <c r="V16" s="17">
        <f>IF($U16="",IF(AND(COUNTA($A16:$L16)&gt;0,$N16=""),"Awaiting Collection Email time stamp.",""),IF(OR($U16="PAID",$U16="CLOSED"),IF($U16="PAID","Account paid. Action completed.","Account closed. No further action required."),CHOOSE($Z16,"Collection Email","1st Email Follow-up","2nd Email Follow-up","Escalation to Local Office","Escalation to CBE","Escalation to Roxanne")&amp;" sent "&amp;TEXT($AA16,"dd-mmm")&amp;". "&amp;IF($Z16=6,"Final escalation completed.",IF($U16="OVERDUE","Next: "&amp;$AC16&amp;" was due "&amp;TEXT($AB16,"dd-mmm")&amp;" - "&amp;(NETWORKDAYS($AB16,TODAY(),Holidays)-1)&amp;" business day(s) late. Send now.",IF($U16="DUE TOMORROW","Next: "&amp;$AC16&amp;IF($AB16&lt;=TODAY()," is due TODAY ("," is due next business day (")&amp;TEXT($AB16,"dd-mmm")&amp;").","Next: "&amp;$AC16&amp;" due "&amp;TEXT($AB16,"dd-mmm")&amp;" ("&amp;(NETWORKDAYS(TODAY(),$AB16,Holidays)-1)&amp;" business day(s) left).")))))</f>
        <v/>
      </c>
      <c r="W16" s="17">
        <f>IF($Z16="","",CHOOSE($Z16,"Collection Email","1st Follow-up","2nd Follow-up","Local Office","CBE","Roxanne")&amp;IF($Z16=6," - Final"," - Day "&amp;MAX(0,NETWORKDAYS($AA16,TODAY(),Holidays)-1)&amp;" of "&amp;CHOOSE($Z16,3,3,2,2,3))&amp;" | Total Day "&amp;MAX(0,NETWORKDAYS($N16,TODAY(),Holidays)-1))</f>
        <v/>
      </c>
      <c r="X16" s="18"/>
      <c r="Y16" s="18"/>
      <c r="Z16" s="17">
        <f>IF($N16="","",COUNT($N16:$S16))</f>
        <v/>
      </c>
      <c r="AA16" s="19">
        <f>IF($Z16="","",INT(INDEX($N16:$S16,$Z16)))</f>
        <v/>
      </c>
      <c r="AB16" s="19">
        <f>IF(OR($Z16="",$Z16=6),"",WORKDAY($AA16,CHOOSE($Z16,3,3,2,2,3),Holidays))</f>
        <v/>
      </c>
      <c r="AC16" s="17">
        <f>IF(OR($Z16="",$Z16=6),"",CHOOSE($Z16,"1st Email Follow-up","2nd Email Follow-up","Escalate Local Office","Escalate to CBE","Escalate to Roxanne"))</f>
        <v/>
      </c>
    </row>
    <row r="17" spans="13:29">
      <c r="M17" s="14"/>
      <c r="T17" s="16"/>
      <c r="U17" s="17">
        <f>IF(AND(COUNTA($A17:$L17)=0,$N17=""),"",IF($T17="Paid","PAID",IF($T17="Closed","CLOSED",IF($Z17="","",IF($Z17=6,"ESCALATED TO ROXANNE",IF(TODAY()&gt;$AB17,"OVERDUE",IF($AB17&lt;=WORKDAY(TODAY(),1,Holidays),"DUE TOMORROW",IF($Z17=4,"ESCALATED TO LOCAL OFFICE",IF($Z17=5,"ESCALATED TO CBE",IF($AA17=TODAY(),"EMAIL SENT","MONITORING"))))))))))</f>
        <v/>
      </c>
      <c r="V17" s="17">
        <f>IF($U17="",IF(AND(COUNTA($A17:$L17)&gt;0,$N17=""),"Awaiting Collection Email time stamp.",""),IF(OR($U17="PAID",$U17="CLOSED"),IF($U17="PAID","Account paid. Action completed.","Account closed. No further action required."),CHOOSE($Z17,"Collection Email","1st Email Follow-up","2nd Email Follow-up","Escalation to Local Office","Escalation to CBE","Escalation to Roxanne")&amp;" sent "&amp;TEXT($AA17,"dd-mmm")&amp;". "&amp;IF($Z17=6,"Final escalation completed.",IF($U17="OVERDUE","Next: "&amp;$AC17&amp;" was due "&amp;TEXT($AB17,"dd-mmm")&amp;" - "&amp;(NETWORKDAYS($AB17,TODAY(),Holidays)-1)&amp;" business day(s) late. Send now.",IF($U17="DUE TOMORROW","Next: "&amp;$AC17&amp;IF($AB17&lt;=TODAY()," is due TODAY ("," is due next business day (")&amp;TEXT($AB17,"dd-mmm")&amp;").","Next: "&amp;$AC17&amp;" due "&amp;TEXT($AB17,"dd-mmm")&amp;" ("&amp;(NETWORKDAYS(TODAY(),$AB17,Holidays)-1)&amp;" business day(s) left).")))))</f>
        <v/>
      </c>
      <c r="W17" s="17">
        <f>IF($Z17="","",CHOOSE($Z17,"Collection Email","1st Follow-up","2nd Follow-up","Local Office","CBE","Roxanne")&amp;IF($Z17=6," - Final"," - Day "&amp;MAX(0,NETWORKDAYS($AA17,TODAY(),Holidays)-1)&amp;" of "&amp;CHOOSE($Z17,3,3,2,2,3))&amp;" | Total Day "&amp;MAX(0,NETWORKDAYS($N17,TODAY(),Holidays)-1))</f>
        <v/>
      </c>
      <c r="X17" s="18"/>
      <c r="Y17" s="18"/>
      <c r="Z17" s="17">
        <f>IF($N17="","",COUNT($N17:$S17))</f>
        <v/>
      </c>
      <c r="AA17" s="19">
        <f>IF($Z17="","",INT(INDEX($N17:$S17,$Z17)))</f>
        <v/>
      </c>
      <c r="AB17" s="19">
        <f>IF(OR($Z17="",$Z17=6),"",WORKDAY($AA17,CHOOSE($Z17,3,3,2,2,3),Holidays))</f>
        <v/>
      </c>
      <c r="AC17" s="17">
        <f>IF(OR($Z17="",$Z17=6),"",CHOOSE($Z17,"1st Email Follow-up","2nd Email Follow-up","Escalate Local Office","Escalate to CBE","Escalate to Roxanne"))</f>
        <v/>
      </c>
    </row>
    <row r="18" spans="13:29">
      <c r="M18" s="14"/>
      <c r="T18" s="16"/>
      <c r="U18" s="17">
        <f>IF(AND(COUNTA($A18:$L18)=0,$N18=""),"",IF($T18="Paid","PAID",IF($T18="Closed","CLOSED",IF($Z18="","",IF($Z18=6,"ESCALATED TO ROXANNE",IF(TODAY()&gt;$AB18,"OVERDUE",IF($AB18&lt;=WORKDAY(TODAY(),1,Holidays),"DUE TOMORROW",IF($Z18=4,"ESCALATED TO LOCAL OFFICE",IF($Z18=5,"ESCALATED TO CBE",IF($AA18=TODAY(),"EMAIL SENT","MONITORING"))))))))))</f>
        <v/>
      </c>
      <c r="V18" s="17">
        <f>IF($U18="",IF(AND(COUNTA($A18:$L18)&gt;0,$N18=""),"Awaiting Collection Email time stamp.",""),IF(OR($U18="PAID",$U18="CLOSED"),IF($U18="PAID","Account paid. Action completed.","Account closed. No further action required."),CHOOSE($Z18,"Collection Email","1st Email Follow-up","2nd Email Follow-up","Escalation to Local Office","Escalation to CBE","Escalation to Roxanne")&amp;" sent "&amp;TEXT($AA18,"dd-mmm")&amp;". "&amp;IF($Z18=6,"Final escalation completed.",IF($U18="OVERDUE","Next: "&amp;$AC18&amp;" was due "&amp;TEXT($AB18,"dd-mmm")&amp;" - "&amp;(NETWORKDAYS($AB18,TODAY(),Holidays)-1)&amp;" business day(s) late. Send now.",IF($U18="DUE TOMORROW","Next: "&amp;$AC18&amp;IF($AB18&lt;=TODAY()," is due TODAY ("," is due next business day (")&amp;TEXT($AB18,"dd-mmm")&amp;").","Next: "&amp;$AC18&amp;" due "&amp;TEXT($AB18,"dd-mmm")&amp;" ("&amp;(NETWORKDAYS(TODAY(),$AB18,Holidays)-1)&amp;" business day(s) left).")))))</f>
        <v/>
      </c>
      <c r="W18" s="17">
        <f>IF($Z18="","",CHOOSE($Z18,"Collection Email","1st Follow-up","2nd Follow-up","Local Office","CBE","Roxanne")&amp;IF($Z18=6," - Final"," - Day "&amp;MAX(0,NETWORKDAYS($AA18,TODAY(),Holidays)-1)&amp;" of "&amp;CHOOSE($Z18,3,3,2,2,3))&amp;" | Total Day "&amp;MAX(0,NETWORKDAYS($N18,TODAY(),Holidays)-1))</f>
        <v/>
      </c>
      <c r="X18" s="18"/>
      <c r="Y18" s="18"/>
      <c r="Z18" s="17">
        <f>IF($N18="","",COUNT($N18:$S18))</f>
        <v/>
      </c>
      <c r="AA18" s="19">
        <f>IF($Z18="","",INT(INDEX($N18:$S18,$Z18)))</f>
        <v/>
      </c>
      <c r="AB18" s="19">
        <f>IF(OR($Z18="",$Z18=6),"",WORKDAY($AA18,CHOOSE($Z18,3,3,2,2,3),Holidays))</f>
        <v/>
      </c>
      <c r="AC18" s="17">
        <f>IF(OR($Z18="",$Z18=6),"",CHOOSE($Z18,"1st Email Follow-up","2nd Email Follow-up","Escalate Local Office","Escalate to CBE","Escalate to Roxanne"))</f>
        <v/>
      </c>
    </row>
    <row r="19" spans="13:29">
      <c r="M19" s="14"/>
      <c r="T19" s="16"/>
      <c r="U19" s="17">
        <f>IF(AND(COUNTA($A19:$L19)=0,$N19=""),"",IF($T19="Paid","PAID",IF($T19="Closed","CLOSED",IF($Z19="","",IF($Z19=6,"ESCALATED TO ROXANNE",IF(TODAY()&gt;$AB19,"OVERDUE",IF($AB19&lt;=WORKDAY(TODAY(),1,Holidays),"DUE TOMORROW",IF($Z19=4,"ESCALATED TO LOCAL OFFICE",IF($Z19=5,"ESCALATED TO CBE",IF($AA19=TODAY(),"EMAIL SENT","MONITORING"))))))))))</f>
        <v/>
      </c>
      <c r="V19" s="17">
        <f>IF($U19="",IF(AND(COUNTA($A19:$L19)&gt;0,$N19=""),"Awaiting Collection Email time stamp.",""),IF(OR($U19="PAID",$U19="CLOSED"),IF($U19="PAID","Account paid. Action completed.","Account closed. No further action required."),CHOOSE($Z19,"Collection Email","1st Email Follow-up","2nd Email Follow-up","Escalation to Local Office","Escalation to CBE","Escalation to Roxanne")&amp;" sent "&amp;TEXT($AA19,"dd-mmm")&amp;". "&amp;IF($Z19=6,"Final escalation completed.",IF($U19="OVERDUE","Next: "&amp;$AC19&amp;" was due "&amp;TEXT($AB19,"dd-mmm")&amp;" - "&amp;(NETWORKDAYS($AB19,TODAY(),Holidays)-1)&amp;" business day(s) late. Send now.",IF($U19="DUE TOMORROW","Next: "&amp;$AC19&amp;IF($AB19&lt;=TODAY()," is due TODAY ("," is due next business day (")&amp;TEXT($AB19,"dd-mmm")&amp;").","Next: "&amp;$AC19&amp;" due "&amp;TEXT($AB19,"dd-mmm")&amp;" ("&amp;(NETWORKDAYS(TODAY(),$AB19,Holidays)-1)&amp;" business day(s) left).")))))</f>
        <v/>
      </c>
      <c r="W19" s="17">
        <f>IF($Z19="","",CHOOSE($Z19,"Collection Email","1st Follow-up","2nd Follow-up","Local Office","CBE","Roxanne")&amp;IF($Z19=6," - Final"," - Day "&amp;MAX(0,NETWORKDAYS($AA19,TODAY(),Holidays)-1)&amp;" of "&amp;CHOOSE($Z19,3,3,2,2,3))&amp;" | Total Day "&amp;MAX(0,NETWORKDAYS($N19,TODAY(),Holidays)-1))</f>
        <v/>
      </c>
      <c r="X19" s="18"/>
      <c r="Y19" s="18"/>
      <c r="Z19" s="17">
        <f>IF($N19="","",COUNT($N19:$S19))</f>
        <v/>
      </c>
      <c r="AA19" s="19">
        <f>IF($Z19="","",INT(INDEX($N19:$S19,$Z19)))</f>
        <v/>
      </c>
      <c r="AB19" s="19">
        <f>IF(OR($Z19="",$Z19=6),"",WORKDAY($AA19,CHOOSE($Z19,3,3,2,2,3),Holidays))</f>
        <v/>
      </c>
      <c r="AC19" s="17">
        <f>IF(OR($Z19="",$Z19=6),"",CHOOSE($Z19,"1st Email Follow-up","2nd Email Follow-up","Escalate Local Office","Escalate to CBE","Escalate to Roxanne"))</f>
        <v/>
      </c>
    </row>
    <row r="20" spans="13:29">
      <c r="M20" s="14"/>
      <c r="T20" s="16"/>
      <c r="U20" s="17">
        <f>IF(AND(COUNTA($A20:$L20)=0,$N20=""),"",IF($T20="Paid","PAID",IF($T20="Closed","CLOSED",IF($Z20="","",IF($Z20=6,"ESCALATED TO ROXANNE",IF(TODAY()&gt;$AB20,"OVERDUE",IF($AB20&lt;=WORKDAY(TODAY(),1,Holidays),"DUE TOMORROW",IF($Z20=4,"ESCALATED TO LOCAL OFFICE",IF($Z20=5,"ESCALATED TO CBE",IF($AA20=TODAY(),"EMAIL SENT","MONITORING"))))))))))</f>
        <v/>
      </c>
      <c r="V20" s="17">
        <f>IF($U20="",IF(AND(COUNTA($A20:$L20)&gt;0,$N20=""),"Awaiting Collection Email time stamp.",""),IF(OR($U20="PAID",$U20="CLOSED"),IF($U20="PAID","Account paid. Action completed.","Account closed. No further action required."),CHOOSE($Z20,"Collection Email","1st Email Follow-up","2nd Email Follow-up","Escalation to Local Office","Escalation to CBE","Escalation to Roxanne")&amp;" sent "&amp;TEXT($AA20,"dd-mmm")&amp;". "&amp;IF($Z20=6,"Final escalation completed.",IF($U20="OVERDUE","Next: "&amp;$AC20&amp;" was due "&amp;TEXT($AB20,"dd-mmm")&amp;" - "&amp;(NETWORKDAYS($AB20,TODAY(),Holidays)-1)&amp;" business day(s) late. Send now.",IF($U20="DUE TOMORROW","Next: "&amp;$AC20&amp;IF($AB20&lt;=TODAY()," is due TODAY ("," is due next business day (")&amp;TEXT($AB20,"dd-mmm")&amp;").","Next: "&amp;$AC20&amp;" due "&amp;TEXT($AB20,"dd-mmm")&amp;" ("&amp;(NETWORKDAYS(TODAY(),$AB20,Holidays)-1)&amp;" business day(s) left).")))))</f>
        <v/>
      </c>
      <c r="W20" s="17">
        <f>IF($Z20="","",CHOOSE($Z20,"Collection Email","1st Follow-up","2nd Follow-up","Local Office","CBE","Roxanne")&amp;IF($Z20=6," - Final"," - Day "&amp;MAX(0,NETWORKDAYS($AA20,TODAY(),Holidays)-1)&amp;" of "&amp;CHOOSE($Z20,3,3,2,2,3))&amp;" | Total Day "&amp;MAX(0,NETWORKDAYS($N20,TODAY(),Holidays)-1))</f>
        <v/>
      </c>
      <c r="X20" s="18"/>
      <c r="Y20" s="18"/>
      <c r="Z20" s="17">
        <f>IF($N20="","",COUNT($N20:$S20))</f>
        <v/>
      </c>
      <c r="AA20" s="19">
        <f>IF($Z20="","",INT(INDEX($N20:$S20,$Z20)))</f>
        <v/>
      </c>
      <c r="AB20" s="19">
        <f>IF(OR($Z20="",$Z20=6),"",WORKDAY($AA20,CHOOSE($Z20,3,3,2,2,3),Holidays))</f>
        <v/>
      </c>
      <c r="AC20" s="17">
        <f>IF(OR($Z20="",$Z20=6),"",CHOOSE($Z20,"1st Email Follow-up","2nd Email Follow-up","Escalate Local Office","Escalate to CBE","Escalate to Roxanne"))</f>
        <v/>
      </c>
    </row>
    <row r="21" spans="13:29">
      <c r="M21" s="14"/>
      <c r="T21" s="16"/>
      <c r="U21" s="17">
        <f>IF(AND(COUNTA($A21:$L21)=0,$N21=""),"",IF($T21="Paid","PAID",IF($T21="Closed","CLOSED",IF($Z21="","",IF($Z21=6,"ESCALATED TO ROXANNE",IF(TODAY()&gt;$AB21,"OVERDUE",IF($AB21&lt;=WORKDAY(TODAY(),1,Holidays),"DUE TOMORROW",IF($Z21=4,"ESCALATED TO LOCAL OFFICE",IF($Z21=5,"ESCALATED TO CBE",IF($AA21=TODAY(),"EMAIL SENT","MONITORING"))))))))))</f>
        <v/>
      </c>
      <c r="V21" s="17">
        <f>IF($U21="",IF(AND(COUNTA($A21:$L21)&gt;0,$N21=""),"Awaiting Collection Email time stamp.",""),IF(OR($U21="PAID",$U21="CLOSED"),IF($U21="PAID","Account paid. Action completed.","Account closed. No further action required."),CHOOSE($Z21,"Collection Email","1st Email Follow-up","2nd Email Follow-up","Escalation to Local Office","Escalation to CBE","Escalation to Roxanne")&amp;" sent "&amp;TEXT($AA21,"dd-mmm")&amp;". "&amp;IF($Z21=6,"Final escalation completed.",IF($U21="OVERDUE","Next: "&amp;$AC21&amp;" was due "&amp;TEXT($AB21,"dd-mmm")&amp;" - "&amp;(NETWORKDAYS($AB21,TODAY(),Holidays)-1)&amp;" business day(s) late. Send now.",IF($U21="DUE TOMORROW","Next: "&amp;$AC21&amp;IF($AB21&lt;=TODAY()," is due TODAY ("," is due next business day (")&amp;TEXT($AB21,"dd-mmm")&amp;").","Next: "&amp;$AC21&amp;" due "&amp;TEXT($AB21,"dd-mmm")&amp;" ("&amp;(NETWORKDAYS(TODAY(),$AB21,Holidays)-1)&amp;" business day(s) left).")))))</f>
        <v/>
      </c>
      <c r="W21" s="17">
        <f>IF($Z21="","",CHOOSE($Z21,"Collection Email","1st Follow-up","2nd Follow-up","Local Office","CBE","Roxanne")&amp;IF($Z21=6," - Final"," - Day "&amp;MAX(0,NETWORKDAYS($AA21,TODAY(),Holidays)-1)&amp;" of "&amp;CHOOSE($Z21,3,3,2,2,3))&amp;" | Total Day "&amp;MAX(0,NETWORKDAYS($N21,TODAY(),Holidays)-1))</f>
        <v/>
      </c>
      <c r="X21" s="18"/>
      <c r="Y21" s="18"/>
      <c r="Z21" s="17">
        <f>IF($N21="","",COUNT($N21:$S21))</f>
        <v/>
      </c>
      <c r="AA21" s="19">
        <f>IF($Z21="","",INT(INDEX($N21:$S21,$Z21)))</f>
        <v/>
      </c>
      <c r="AB21" s="19">
        <f>IF(OR($Z21="",$Z21=6),"",WORKDAY($AA21,CHOOSE($Z21,3,3,2,2,3),Holidays))</f>
        <v/>
      </c>
      <c r="AC21" s="17">
        <f>IF(OR($Z21="",$Z21=6),"",CHOOSE($Z21,"1st Email Follow-up","2nd Email Follow-up","Escalate Local Office","Escalate to CBE","Escalate to Roxanne"))</f>
        <v/>
      </c>
    </row>
    <row r="22" spans="13:29">
      <c r="M22" s="14"/>
      <c r="T22" s="16"/>
      <c r="U22" s="17">
        <f>IF(AND(COUNTA($A22:$L22)=0,$N22=""),"",IF($T22="Paid","PAID",IF($T22="Closed","CLOSED",IF($Z22="","",IF($Z22=6,"ESCALATED TO ROXANNE",IF(TODAY()&gt;$AB22,"OVERDUE",IF($AB22&lt;=WORKDAY(TODAY(),1,Holidays),"DUE TOMORROW",IF($Z22=4,"ESCALATED TO LOCAL OFFICE",IF($Z22=5,"ESCALATED TO CBE",IF($AA22=TODAY(),"EMAIL SENT","MONITORING"))))))))))</f>
        <v/>
      </c>
      <c r="V22" s="17">
        <f>IF($U22="",IF(AND(COUNTA($A22:$L22)&gt;0,$N22=""),"Awaiting Collection Email time stamp.",""),IF(OR($U22="PAID",$U22="CLOSED"),IF($U22="PAID","Account paid. Action completed.","Account closed. No further action required."),CHOOSE($Z22,"Collection Email","1st Email Follow-up","2nd Email Follow-up","Escalation to Local Office","Escalation to CBE","Escalation to Roxanne")&amp;" sent "&amp;TEXT($AA22,"dd-mmm")&amp;". "&amp;IF($Z22=6,"Final escalation completed.",IF($U22="OVERDUE","Next: "&amp;$AC22&amp;" was due "&amp;TEXT($AB22,"dd-mmm")&amp;" - "&amp;(NETWORKDAYS($AB22,TODAY(),Holidays)-1)&amp;" business day(s) late. Send now.",IF($U22="DUE TOMORROW","Next: "&amp;$AC22&amp;IF($AB22&lt;=TODAY()," is due TODAY ("," is due next business day (")&amp;TEXT($AB22,"dd-mmm")&amp;").","Next: "&amp;$AC22&amp;" due "&amp;TEXT($AB22,"dd-mmm")&amp;" ("&amp;(NETWORKDAYS(TODAY(),$AB22,Holidays)-1)&amp;" business day(s) left).")))))</f>
        <v/>
      </c>
      <c r="W22" s="17">
        <f>IF($Z22="","",CHOOSE($Z22,"Collection Email","1st Follow-up","2nd Follow-up","Local Office","CBE","Roxanne")&amp;IF($Z22=6," - Final"," - Day "&amp;MAX(0,NETWORKDAYS($AA22,TODAY(),Holidays)-1)&amp;" of "&amp;CHOOSE($Z22,3,3,2,2,3))&amp;" | Total Day "&amp;MAX(0,NETWORKDAYS($N22,TODAY(),Holidays)-1))</f>
        <v/>
      </c>
      <c r="X22" s="18"/>
      <c r="Y22" s="18"/>
      <c r="Z22" s="17">
        <f>IF($N22="","",COUNT($N22:$S22))</f>
        <v/>
      </c>
      <c r="AA22" s="19">
        <f>IF($Z22="","",INT(INDEX($N22:$S22,$Z22)))</f>
        <v/>
      </c>
      <c r="AB22" s="19">
        <f>IF(OR($Z22="",$Z22=6),"",WORKDAY($AA22,CHOOSE($Z22,3,3,2,2,3),Holidays))</f>
        <v/>
      </c>
      <c r="AC22" s="17">
        <f>IF(OR($Z22="",$Z22=6),"",CHOOSE($Z22,"1st Email Follow-up","2nd Email Follow-up","Escalate Local Office","Escalate to CBE","Escalate to Roxanne"))</f>
        <v/>
      </c>
    </row>
    <row r="23" spans="13:29">
      <c r="M23" s="14"/>
      <c r="T23" s="16"/>
      <c r="U23" s="17">
        <f>IF(AND(COUNTA($A23:$L23)=0,$N23=""),"",IF($T23="Paid","PAID",IF($T23="Closed","CLOSED",IF($Z23="","",IF($Z23=6,"ESCALATED TO ROXANNE",IF(TODAY()&gt;$AB23,"OVERDUE",IF($AB23&lt;=WORKDAY(TODAY(),1,Holidays),"DUE TOMORROW",IF($Z23=4,"ESCALATED TO LOCAL OFFICE",IF($Z23=5,"ESCALATED TO CBE",IF($AA23=TODAY(),"EMAIL SENT","MONITORING"))))))))))</f>
        <v/>
      </c>
      <c r="V23" s="17">
        <f>IF($U23="",IF(AND(COUNTA($A23:$L23)&gt;0,$N23=""),"Awaiting Collection Email time stamp.",""),IF(OR($U23="PAID",$U23="CLOSED"),IF($U23="PAID","Account paid. Action completed.","Account closed. No further action required."),CHOOSE($Z23,"Collection Email","1st Email Follow-up","2nd Email Follow-up","Escalation to Local Office","Escalation to CBE","Escalation to Roxanne")&amp;" sent "&amp;TEXT($AA23,"dd-mmm")&amp;". "&amp;IF($Z23=6,"Final escalation completed.",IF($U23="OVERDUE","Next: "&amp;$AC23&amp;" was due "&amp;TEXT($AB23,"dd-mmm")&amp;" - "&amp;(NETWORKDAYS($AB23,TODAY(),Holidays)-1)&amp;" business day(s) late. Send now.",IF($U23="DUE TOMORROW","Next: "&amp;$AC23&amp;IF($AB23&lt;=TODAY()," is due TODAY ("," is due next business day (")&amp;TEXT($AB23,"dd-mmm")&amp;").","Next: "&amp;$AC23&amp;" due "&amp;TEXT($AB23,"dd-mmm")&amp;" ("&amp;(NETWORKDAYS(TODAY(),$AB23,Holidays)-1)&amp;" business day(s) left).")))))</f>
        <v/>
      </c>
      <c r="W23" s="17">
        <f>IF($Z23="","",CHOOSE($Z23,"Collection Email","1st Follow-up","2nd Follow-up","Local Office","CBE","Roxanne")&amp;IF($Z23=6," - Final"," - Day "&amp;MAX(0,NETWORKDAYS($AA23,TODAY(),Holidays)-1)&amp;" of "&amp;CHOOSE($Z23,3,3,2,2,3))&amp;" | Total Day "&amp;MAX(0,NETWORKDAYS($N23,TODAY(),Holidays)-1))</f>
        <v/>
      </c>
      <c r="X23" s="18"/>
      <c r="Y23" s="18"/>
      <c r="Z23" s="17">
        <f>IF($N23="","",COUNT($N23:$S23))</f>
        <v/>
      </c>
      <c r="AA23" s="19">
        <f>IF($Z23="","",INT(INDEX($N23:$S23,$Z23)))</f>
        <v/>
      </c>
      <c r="AB23" s="19">
        <f>IF(OR($Z23="",$Z23=6),"",WORKDAY($AA23,CHOOSE($Z23,3,3,2,2,3),Holidays))</f>
        <v/>
      </c>
      <c r="AC23" s="17">
        <f>IF(OR($Z23="",$Z23=6),"",CHOOSE($Z23,"1st Email Follow-up","2nd Email Follow-up","Escalate Local Office","Escalate to CBE","Escalate to Roxanne"))</f>
        <v/>
      </c>
    </row>
    <row r="24" spans="13:29">
      <c r="M24" s="14"/>
      <c r="T24" s="16"/>
      <c r="U24" s="17">
        <f>IF(AND(COUNTA($A24:$L24)=0,$N24=""),"",IF($T24="Paid","PAID",IF($T24="Closed","CLOSED",IF($Z24="","",IF($Z24=6,"ESCALATED TO ROXANNE",IF(TODAY()&gt;$AB24,"OVERDUE",IF($AB24&lt;=WORKDAY(TODAY(),1,Holidays),"DUE TOMORROW",IF($Z24=4,"ESCALATED TO LOCAL OFFICE",IF($Z24=5,"ESCALATED TO CBE",IF($AA24=TODAY(),"EMAIL SENT","MONITORING"))))))))))</f>
        <v/>
      </c>
      <c r="V24" s="17">
        <f>IF($U24="",IF(AND(COUNTA($A24:$L24)&gt;0,$N24=""),"Awaiting Collection Email time stamp.",""),IF(OR($U24="PAID",$U24="CLOSED"),IF($U24="PAID","Account paid. Action completed.","Account closed. No further action required."),CHOOSE($Z24,"Collection Email","1st Email Follow-up","2nd Email Follow-up","Escalation to Local Office","Escalation to CBE","Escalation to Roxanne")&amp;" sent "&amp;TEXT($AA24,"dd-mmm")&amp;". "&amp;IF($Z24=6,"Final escalation completed.",IF($U24="OVERDUE","Next: "&amp;$AC24&amp;" was due "&amp;TEXT($AB24,"dd-mmm")&amp;" - "&amp;(NETWORKDAYS($AB24,TODAY(),Holidays)-1)&amp;" business day(s) late. Send now.",IF($U24="DUE TOMORROW","Next: "&amp;$AC24&amp;IF($AB24&lt;=TODAY()," is due TODAY ("," is due next business day (")&amp;TEXT($AB24,"dd-mmm")&amp;").","Next: "&amp;$AC24&amp;" due "&amp;TEXT($AB24,"dd-mmm")&amp;" ("&amp;(NETWORKDAYS(TODAY(),$AB24,Holidays)-1)&amp;" business day(s) left).")))))</f>
        <v/>
      </c>
      <c r="W24" s="17">
        <f>IF($Z24="","",CHOOSE($Z24,"Collection Email","1st Follow-up","2nd Follow-up","Local Office","CBE","Roxanne")&amp;IF($Z24=6," - Final"," - Day "&amp;MAX(0,NETWORKDAYS($AA24,TODAY(),Holidays)-1)&amp;" of "&amp;CHOOSE($Z24,3,3,2,2,3))&amp;" | Total Day "&amp;MAX(0,NETWORKDAYS($N24,TODAY(),Holidays)-1))</f>
        <v/>
      </c>
      <c r="X24" s="18"/>
      <c r="Y24" s="18"/>
      <c r="Z24" s="17">
        <f>IF($N24="","",COUNT($N24:$S24))</f>
        <v/>
      </c>
      <c r="AA24" s="19">
        <f>IF($Z24="","",INT(INDEX($N24:$S24,$Z24)))</f>
        <v/>
      </c>
      <c r="AB24" s="19">
        <f>IF(OR($Z24="",$Z24=6),"",WORKDAY($AA24,CHOOSE($Z24,3,3,2,2,3),Holidays))</f>
        <v/>
      </c>
      <c r="AC24" s="17">
        <f>IF(OR($Z24="",$Z24=6),"",CHOOSE($Z24,"1st Email Follow-up","2nd Email Follow-up","Escalate Local Office","Escalate to CBE","Escalate to Roxanne"))</f>
        <v/>
      </c>
    </row>
    <row r="25" spans="13:29">
      <c r="M25" s="14"/>
      <c r="T25" s="16"/>
      <c r="U25" s="17">
        <f>IF(AND(COUNTA($A25:$L25)=0,$N25=""),"",IF($T25="Paid","PAID",IF($T25="Closed","CLOSED",IF($Z25="","",IF($Z25=6,"ESCALATED TO ROXANNE",IF(TODAY()&gt;$AB25,"OVERDUE",IF($AB25&lt;=WORKDAY(TODAY(),1,Holidays),"DUE TOMORROW",IF($Z25=4,"ESCALATED TO LOCAL OFFICE",IF($Z25=5,"ESCALATED TO CBE",IF($AA25=TODAY(),"EMAIL SENT","MONITORING"))))))))))</f>
        <v/>
      </c>
      <c r="V25" s="17">
        <f>IF($U25="",IF(AND(COUNTA($A25:$L25)&gt;0,$N25=""),"Awaiting Collection Email time stamp.",""),IF(OR($U25="PAID",$U25="CLOSED"),IF($U25="PAID","Account paid. Action completed.","Account closed. No further action required."),CHOOSE($Z25,"Collection Email","1st Email Follow-up","2nd Email Follow-up","Escalation to Local Office","Escalation to CBE","Escalation to Roxanne")&amp;" sent "&amp;TEXT($AA25,"dd-mmm")&amp;". "&amp;IF($Z25=6,"Final escalation completed.",IF($U25="OVERDUE","Next: "&amp;$AC25&amp;" was due "&amp;TEXT($AB25,"dd-mmm")&amp;" - "&amp;(NETWORKDAYS($AB25,TODAY(),Holidays)-1)&amp;" business day(s) late. Send now.",IF($U25="DUE TOMORROW","Next: "&amp;$AC25&amp;IF($AB25&lt;=TODAY()," is due TODAY ("," is due next business day (")&amp;TEXT($AB25,"dd-mmm")&amp;").","Next: "&amp;$AC25&amp;" due "&amp;TEXT($AB25,"dd-mmm")&amp;" ("&amp;(NETWORKDAYS(TODAY(),$AB25,Holidays)-1)&amp;" business day(s) left).")))))</f>
        <v/>
      </c>
      <c r="W25" s="17">
        <f>IF($Z25="","",CHOOSE($Z25,"Collection Email","1st Follow-up","2nd Follow-up","Local Office","CBE","Roxanne")&amp;IF($Z25=6," - Final"," - Day "&amp;MAX(0,NETWORKDAYS($AA25,TODAY(),Holidays)-1)&amp;" of "&amp;CHOOSE($Z25,3,3,2,2,3))&amp;" | Total Day "&amp;MAX(0,NETWORKDAYS($N25,TODAY(),Holidays)-1))</f>
        <v/>
      </c>
      <c r="X25" s="18"/>
      <c r="Y25" s="18"/>
      <c r="Z25" s="17">
        <f>IF($N25="","",COUNT($N25:$S25))</f>
        <v/>
      </c>
      <c r="AA25" s="19">
        <f>IF($Z25="","",INT(INDEX($N25:$S25,$Z25)))</f>
        <v/>
      </c>
      <c r="AB25" s="19">
        <f>IF(OR($Z25="",$Z25=6),"",WORKDAY($AA25,CHOOSE($Z25,3,3,2,2,3),Holidays))</f>
        <v/>
      </c>
      <c r="AC25" s="17">
        <f>IF(OR($Z25="",$Z25=6),"",CHOOSE($Z25,"1st Email Follow-up","2nd Email Follow-up","Escalate Local Office","Escalate to CBE","Escalate to Roxanne"))</f>
        <v/>
      </c>
    </row>
    <row r="26" spans="13:29">
      <c r="M26" s="14"/>
      <c r="T26" s="16"/>
      <c r="U26" s="17">
        <f>IF(AND(COUNTA($A26:$L26)=0,$N26=""),"",IF($T26="Paid","PAID",IF($T26="Closed","CLOSED",IF($Z26="","",IF($Z26=6,"ESCALATED TO ROXANNE",IF(TODAY()&gt;$AB26,"OVERDUE",IF($AB26&lt;=WORKDAY(TODAY(),1,Holidays),"DUE TOMORROW",IF($Z26=4,"ESCALATED TO LOCAL OFFICE",IF($Z26=5,"ESCALATED TO CBE",IF($AA26=TODAY(),"EMAIL SENT","MONITORING"))))))))))</f>
        <v/>
      </c>
      <c r="V26" s="17">
        <f>IF($U26="",IF(AND(COUNTA($A26:$L26)&gt;0,$N26=""),"Awaiting Collection Email time stamp.",""),IF(OR($U26="PAID",$U26="CLOSED"),IF($U26="PAID","Account paid. Action completed.","Account closed. No further action required."),CHOOSE($Z26,"Collection Email","1st Email Follow-up","2nd Email Follow-up","Escalation to Local Office","Escalation to CBE","Escalation to Roxanne")&amp;" sent "&amp;TEXT($AA26,"dd-mmm")&amp;". "&amp;IF($Z26=6,"Final escalation completed.",IF($U26="OVERDUE","Next: "&amp;$AC26&amp;" was due "&amp;TEXT($AB26,"dd-mmm")&amp;" - "&amp;(NETWORKDAYS($AB26,TODAY(),Holidays)-1)&amp;" business day(s) late. Send now.",IF($U26="DUE TOMORROW","Next: "&amp;$AC26&amp;IF($AB26&lt;=TODAY()," is due TODAY ("," is due next business day (")&amp;TEXT($AB26,"dd-mmm")&amp;").","Next: "&amp;$AC26&amp;" due "&amp;TEXT($AB26,"dd-mmm")&amp;" ("&amp;(NETWORKDAYS(TODAY(),$AB26,Holidays)-1)&amp;" business day(s) left).")))))</f>
        <v/>
      </c>
      <c r="W26" s="17">
        <f>IF($Z26="","",CHOOSE($Z26,"Collection Email","1st Follow-up","2nd Follow-up","Local Office","CBE","Roxanne")&amp;IF($Z26=6," - Final"," - Day "&amp;MAX(0,NETWORKDAYS($AA26,TODAY(),Holidays)-1)&amp;" of "&amp;CHOOSE($Z26,3,3,2,2,3))&amp;" | Total Day "&amp;MAX(0,NETWORKDAYS($N26,TODAY(),Holidays)-1))</f>
        <v/>
      </c>
      <c r="X26" s="18"/>
      <c r="Y26" s="18"/>
      <c r="Z26" s="17">
        <f>IF($N26="","",COUNT($N26:$S26))</f>
        <v/>
      </c>
      <c r="AA26" s="19">
        <f>IF($Z26="","",INT(INDEX($N26:$S26,$Z26)))</f>
        <v/>
      </c>
      <c r="AB26" s="19">
        <f>IF(OR($Z26="",$Z26=6),"",WORKDAY($AA26,CHOOSE($Z26,3,3,2,2,3),Holidays))</f>
        <v/>
      </c>
      <c r="AC26" s="17">
        <f>IF(OR($Z26="",$Z26=6),"",CHOOSE($Z26,"1st Email Follow-up","2nd Email Follow-up","Escalate Local Office","Escalate to CBE","Escalate to Roxanne"))</f>
        <v/>
      </c>
    </row>
    <row r="27" spans="13:29">
      <c r="M27" s="14"/>
      <c r="T27" s="16"/>
      <c r="U27" s="17">
        <f>IF(AND(COUNTA($A27:$L27)=0,$N27=""),"",IF($T27="Paid","PAID",IF($T27="Closed","CLOSED",IF($Z27="","",IF($Z27=6,"ESCALATED TO ROXANNE",IF(TODAY()&gt;$AB27,"OVERDUE",IF($AB27&lt;=WORKDAY(TODAY(),1,Holidays),"DUE TOMORROW",IF($Z27=4,"ESCALATED TO LOCAL OFFICE",IF($Z27=5,"ESCALATED TO CBE",IF($AA27=TODAY(),"EMAIL SENT","MONITORING"))))))))))</f>
        <v/>
      </c>
      <c r="V27" s="17">
        <f>IF($U27="",IF(AND(COUNTA($A27:$L27)&gt;0,$N27=""),"Awaiting Collection Email time stamp.",""),IF(OR($U27="PAID",$U27="CLOSED"),IF($U27="PAID","Account paid. Action completed.","Account closed. No further action required."),CHOOSE($Z27,"Collection Email","1st Email Follow-up","2nd Email Follow-up","Escalation to Local Office","Escalation to CBE","Escalation to Roxanne")&amp;" sent "&amp;TEXT($AA27,"dd-mmm")&amp;". "&amp;IF($Z27=6,"Final escalation completed.",IF($U27="OVERDUE","Next: "&amp;$AC27&amp;" was due "&amp;TEXT($AB27,"dd-mmm")&amp;" - "&amp;(NETWORKDAYS($AB27,TODAY(),Holidays)-1)&amp;" business day(s) late. Send now.",IF($U27="DUE TOMORROW","Next: "&amp;$AC27&amp;IF($AB27&lt;=TODAY()," is due TODAY ("," is due next business day (")&amp;TEXT($AB27,"dd-mmm")&amp;").","Next: "&amp;$AC27&amp;" due "&amp;TEXT($AB27,"dd-mmm")&amp;" ("&amp;(NETWORKDAYS(TODAY(),$AB27,Holidays)-1)&amp;" business day(s) left).")))))</f>
        <v/>
      </c>
      <c r="W27" s="17">
        <f>IF($Z27="","",CHOOSE($Z27,"Collection Email","1st Follow-up","2nd Follow-up","Local Office","CBE","Roxanne")&amp;IF($Z27=6," - Final"," - Day "&amp;MAX(0,NETWORKDAYS($AA27,TODAY(),Holidays)-1)&amp;" of "&amp;CHOOSE($Z27,3,3,2,2,3))&amp;" | Total Day "&amp;MAX(0,NETWORKDAYS($N27,TODAY(),Holidays)-1))</f>
        <v/>
      </c>
      <c r="X27" s="18"/>
      <c r="Y27" s="18"/>
      <c r="Z27" s="17">
        <f>IF($N27="","",COUNT($N27:$S27))</f>
        <v/>
      </c>
      <c r="AA27" s="19">
        <f>IF($Z27="","",INT(INDEX($N27:$S27,$Z27)))</f>
        <v/>
      </c>
      <c r="AB27" s="19">
        <f>IF(OR($Z27="",$Z27=6),"",WORKDAY($AA27,CHOOSE($Z27,3,3,2,2,3),Holidays))</f>
        <v/>
      </c>
      <c r="AC27" s="17">
        <f>IF(OR($Z27="",$Z27=6),"",CHOOSE($Z27,"1st Email Follow-up","2nd Email Follow-up","Escalate Local Office","Escalate to CBE","Escalate to Roxanne"))</f>
        <v/>
      </c>
    </row>
    <row r="28" spans="13:29">
      <c r="M28" s="14"/>
      <c r="T28" s="16"/>
      <c r="U28" s="17">
        <f>IF(AND(COUNTA($A28:$L28)=0,$N28=""),"",IF($T28="Paid","PAID",IF($T28="Closed","CLOSED",IF($Z28="","",IF($Z28=6,"ESCALATED TO ROXANNE",IF(TODAY()&gt;$AB28,"OVERDUE",IF($AB28&lt;=WORKDAY(TODAY(),1,Holidays),"DUE TOMORROW",IF($Z28=4,"ESCALATED TO LOCAL OFFICE",IF($Z28=5,"ESCALATED TO CBE",IF($AA28=TODAY(),"EMAIL SENT","MONITORING"))))))))))</f>
        <v/>
      </c>
      <c r="V28" s="17">
        <f>IF($U28="",IF(AND(COUNTA($A28:$L28)&gt;0,$N28=""),"Awaiting Collection Email time stamp.",""),IF(OR($U28="PAID",$U28="CLOSED"),IF($U28="PAID","Account paid. Action completed.","Account closed. No further action required."),CHOOSE($Z28,"Collection Email","1st Email Follow-up","2nd Email Follow-up","Escalation to Local Office","Escalation to CBE","Escalation to Roxanne")&amp;" sent "&amp;TEXT($AA28,"dd-mmm")&amp;". "&amp;IF($Z28=6,"Final escalation completed.",IF($U28="OVERDUE","Next: "&amp;$AC28&amp;" was due "&amp;TEXT($AB28,"dd-mmm")&amp;" - "&amp;(NETWORKDAYS($AB28,TODAY(),Holidays)-1)&amp;" business day(s) late. Send now.",IF($U28="DUE TOMORROW","Next: "&amp;$AC28&amp;IF($AB28&lt;=TODAY()," is due TODAY ("," is due next business day (")&amp;TEXT($AB28,"dd-mmm")&amp;").","Next: "&amp;$AC28&amp;" due "&amp;TEXT($AB28,"dd-mmm")&amp;" ("&amp;(NETWORKDAYS(TODAY(),$AB28,Holidays)-1)&amp;" business day(s) left).")))))</f>
        <v/>
      </c>
      <c r="W28" s="17">
        <f>IF($Z28="","",CHOOSE($Z28,"Collection Email","1st Follow-up","2nd Follow-up","Local Office","CBE","Roxanne")&amp;IF($Z28=6," - Final"," - Day "&amp;MAX(0,NETWORKDAYS($AA28,TODAY(),Holidays)-1)&amp;" of "&amp;CHOOSE($Z28,3,3,2,2,3))&amp;" | Total Day "&amp;MAX(0,NETWORKDAYS($N28,TODAY(),Holidays)-1))</f>
        <v/>
      </c>
      <c r="X28" s="18"/>
      <c r="Y28" s="18"/>
      <c r="Z28" s="17">
        <f>IF($N28="","",COUNT($N28:$S28))</f>
        <v/>
      </c>
      <c r="AA28" s="19">
        <f>IF($Z28="","",INT(INDEX($N28:$S28,$Z28)))</f>
        <v/>
      </c>
      <c r="AB28" s="19">
        <f>IF(OR($Z28="",$Z28=6),"",WORKDAY($AA28,CHOOSE($Z28,3,3,2,2,3),Holidays))</f>
        <v/>
      </c>
      <c r="AC28" s="17">
        <f>IF(OR($Z28="",$Z28=6),"",CHOOSE($Z28,"1st Email Follow-up","2nd Email Follow-up","Escalate Local Office","Escalate to CBE","Escalate to Roxanne"))</f>
        <v/>
      </c>
    </row>
    <row r="29" spans="13:29">
      <c r="M29" s="14"/>
      <c r="T29" s="16"/>
      <c r="U29" s="17">
        <f>IF(AND(COUNTA($A29:$L29)=0,$N29=""),"",IF($T29="Paid","PAID",IF($T29="Closed","CLOSED",IF($Z29="","",IF($Z29=6,"ESCALATED TO ROXANNE",IF(TODAY()&gt;$AB29,"OVERDUE",IF($AB29&lt;=WORKDAY(TODAY(),1,Holidays),"DUE TOMORROW",IF($Z29=4,"ESCALATED TO LOCAL OFFICE",IF($Z29=5,"ESCALATED TO CBE",IF($AA29=TODAY(),"EMAIL SENT","MONITORING"))))))))))</f>
        <v/>
      </c>
      <c r="V29" s="17">
        <f>IF($U29="",IF(AND(COUNTA($A29:$L29)&gt;0,$N29=""),"Awaiting Collection Email time stamp.",""),IF(OR($U29="PAID",$U29="CLOSED"),IF($U29="PAID","Account paid. Action completed.","Account closed. No further action required."),CHOOSE($Z29,"Collection Email","1st Email Follow-up","2nd Email Follow-up","Escalation to Local Office","Escalation to CBE","Escalation to Roxanne")&amp;" sent "&amp;TEXT($AA29,"dd-mmm")&amp;". "&amp;IF($Z29=6,"Final escalation completed.",IF($U29="OVERDUE","Next: "&amp;$AC29&amp;" was due "&amp;TEXT($AB29,"dd-mmm")&amp;" - "&amp;(NETWORKDAYS($AB29,TODAY(),Holidays)-1)&amp;" business day(s) late. Send now.",IF($U29="DUE TOMORROW","Next: "&amp;$AC29&amp;IF($AB29&lt;=TODAY()," is due TODAY ("," is due next business day (")&amp;TEXT($AB29,"dd-mmm")&amp;").","Next: "&amp;$AC29&amp;" due "&amp;TEXT($AB29,"dd-mmm")&amp;" ("&amp;(NETWORKDAYS(TODAY(),$AB29,Holidays)-1)&amp;" business day(s) left).")))))</f>
        <v/>
      </c>
      <c r="W29" s="17">
        <f>IF($Z29="","",CHOOSE($Z29,"Collection Email","1st Follow-up","2nd Follow-up","Local Office","CBE","Roxanne")&amp;IF($Z29=6," - Final"," - Day "&amp;MAX(0,NETWORKDAYS($AA29,TODAY(),Holidays)-1)&amp;" of "&amp;CHOOSE($Z29,3,3,2,2,3))&amp;" | Total Day "&amp;MAX(0,NETWORKDAYS($N29,TODAY(),Holidays)-1))</f>
        <v/>
      </c>
      <c r="X29" s="18"/>
      <c r="Y29" s="18"/>
      <c r="Z29" s="17">
        <f>IF($N29="","",COUNT($N29:$S29))</f>
        <v/>
      </c>
      <c r="AA29" s="19">
        <f>IF($Z29="","",INT(INDEX($N29:$S29,$Z29)))</f>
        <v/>
      </c>
      <c r="AB29" s="19">
        <f>IF(OR($Z29="",$Z29=6),"",WORKDAY($AA29,CHOOSE($Z29,3,3,2,2,3),Holidays))</f>
        <v/>
      </c>
      <c r="AC29" s="17">
        <f>IF(OR($Z29="",$Z29=6),"",CHOOSE($Z29,"1st Email Follow-up","2nd Email Follow-up","Escalate Local Office","Escalate to CBE","Escalate to Roxanne"))</f>
        <v/>
      </c>
    </row>
    <row r="30" spans="13:29">
      <c r="M30" s="14"/>
      <c r="T30" s="16"/>
      <c r="U30" s="17">
        <f>IF(AND(COUNTA($A30:$L30)=0,$N30=""),"",IF($T30="Paid","PAID",IF($T30="Closed","CLOSED",IF($Z30="","",IF($Z30=6,"ESCALATED TO ROXANNE",IF(TODAY()&gt;$AB30,"OVERDUE",IF($AB30&lt;=WORKDAY(TODAY(),1,Holidays),"DUE TOMORROW",IF($Z30=4,"ESCALATED TO LOCAL OFFICE",IF($Z30=5,"ESCALATED TO CBE",IF($AA30=TODAY(),"EMAIL SENT","MONITORING"))))))))))</f>
        <v/>
      </c>
      <c r="V30" s="17">
        <f>IF($U30="",IF(AND(COUNTA($A30:$L30)&gt;0,$N30=""),"Awaiting Collection Email time stamp.",""),IF(OR($U30="PAID",$U30="CLOSED"),IF($U30="PAID","Account paid. Action completed.","Account closed. No further action required."),CHOOSE($Z30,"Collection Email","1st Email Follow-up","2nd Email Follow-up","Escalation to Local Office","Escalation to CBE","Escalation to Roxanne")&amp;" sent "&amp;TEXT($AA30,"dd-mmm")&amp;". "&amp;IF($Z30=6,"Final escalation completed.",IF($U30="OVERDUE","Next: "&amp;$AC30&amp;" was due "&amp;TEXT($AB30,"dd-mmm")&amp;" - "&amp;(NETWORKDAYS($AB30,TODAY(),Holidays)-1)&amp;" business day(s) late. Send now.",IF($U30="DUE TOMORROW","Next: "&amp;$AC30&amp;IF($AB30&lt;=TODAY()," is due TODAY ("," is due next business day (")&amp;TEXT($AB30,"dd-mmm")&amp;").","Next: "&amp;$AC30&amp;" due "&amp;TEXT($AB30,"dd-mmm")&amp;" ("&amp;(NETWORKDAYS(TODAY(),$AB30,Holidays)-1)&amp;" business day(s) left).")))))</f>
        <v/>
      </c>
      <c r="W30" s="17">
        <f>IF($Z30="","",CHOOSE($Z30,"Collection Email","1st Follow-up","2nd Follow-up","Local Office","CBE","Roxanne")&amp;IF($Z30=6," - Final"," - Day "&amp;MAX(0,NETWORKDAYS($AA30,TODAY(),Holidays)-1)&amp;" of "&amp;CHOOSE($Z30,3,3,2,2,3))&amp;" | Total Day "&amp;MAX(0,NETWORKDAYS($N30,TODAY(),Holidays)-1))</f>
        <v/>
      </c>
      <c r="X30" s="18"/>
      <c r="Y30" s="18"/>
      <c r="Z30" s="17">
        <f>IF($N30="","",COUNT($N30:$S30))</f>
        <v/>
      </c>
      <c r="AA30" s="19">
        <f>IF($Z30="","",INT(INDEX($N30:$S30,$Z30)))</f>
        <v/>
      </c>
      <c r="AB30" s="19">
        <f>IF(OR($Z30="",$Z30=6),"",WORKDAY($AA30,CHOOSE($Z30,3,3,2,2,3),Holidays))</f>
        <v/>
      </c>
      <c r="AC30" s="17">
        <f>IF(OR($Z30="",$Z30=6),"",CHOOSE($Z30,"1st Email Follow-up","2nd Email Follow-up","Escalate Local Office","Escalate to CBE","Escalate to Roxanne"))</f>
        <v/>
      </c>
    </row>
    <row r="31" spans="13:29">
      <c r="M31" s="14"/>
      <c r="T31" s="16"/>
      <c r="U31" s="17">
        <f>IF(AND(COUNTA($A31:$L31)=0,$N31=""),"",IF($T31="Paid","PAID",IF($T31="Closed","CLOSED",IF($Z31="","",IF($Z31=6,"ESCALATED TO ROXANNE",IF(TODAY()&gt;$AB31,"OVERDUE",IF($AB31&lt;=WORKDAY(TODAY(),1,Holidays),"DUE TOMORROW",IF($Z31=4,"ESCALATED TO LOCAL OFFICE",IF($Z31=5,"ESCALATED TO CBE",IF($AA31=TODAY(),"EMAIL SENT","MONITORING"))))))))))</f>
        <v/>
      </c>
      <c r="V31" s="17">
        <f>IF($U31="",IF(AND(COUNTA($A31:$L31)&gt;0,$N31=""),"Awaiting Collection Email time stamp.",""),IF(OR($U31="PAID",$U31="CLOSED"),IF($U31="PAID","Account paid. Action completed.","Account closed. No further action required."),CHOOSE($Z31,"Collection Email","1st Email Follow-up","2nd Email Follow-up","Escalation to Local Office","Escalation to CBE","Escalation to Roxanne")&amp;" sent "&amp;TEXT($AA31,"dd-mmm")&amp;". "&amp;IF($Z31=6,"Final escalation completed.",IF($U31="OVERDUE","Next: "&amp;$AC31&amp;" was due "&amp;TEXT($AB31,"dd-mmm")&amp;" - "&amp;(NETWORKDAYS($AB31,TODAY(),Holidays)-1)&amp;" business day(s) late. Send now.",IF($U31="DUE TOMORROW","Next: "&amp;$AC31&amp;IF($AB31&lt;=TODAY()," is due TODAY ("," is due next business day (")&amp;TEXT($AB31,"dd-mmm")&amp;").","Next: "&amp;$AC31&amp;" due "&amp;TEXT($AB31,"dd-mmm")&amp;" ("&amp;(NETWORKDAYS(TODAY(),$AB31,Holidays)-1)&amp;" business day(s) left).")))))</f>
        <v/>
      </c>
      <c r="W31" s="17">
        <f>IF($Z31="","",CHOOSE($Z31,"Collection Email","1st Follow-up","2nd Follow-up","Local Office","CBE","Roxanne")&amp;IF($Z31=6," - Final"," - Day "&amp;MAX(0,NETWORKDAYS($AA31,TODAY(),Holidays)-1)&amp;" of "&amp;CHOOSE($Z31,3,3,2,2,3))&amp;" | Total Day "&amp;MAX(0,NETWORKDAYS($N31,TODAY(),Holidays)-1))</f>
        <v/>
      </c>
      <c r="X31" s="18"/>
      <c r="Y31" s="18"/>
      <c r="Z31" s="17">
        <f>IF($N31="","",COUNT($N31:$S31))</f>
        <v/>
      </c>
      <c r="AA31" s="19">
        <f>IF($Z31="","",INT(INDEX($N31:$S31,$Z31)))</f>
        <v/>
      </c>
      <c r="AB31" s="19">
        <f>IF(OR($Z31="",$Z31=6),"",WORKDAY($AA31,CHOOSE($Z31,3,3,2,2,3),Holidays))</f>
        <v/>
      </c>
      <c r="AC31" s="17">
        <f>IF(OR($Z31="",$Z31=6),"",CHOOSE($Z31,"1st Email Follow-up","2nd Email Follow-up","Escalate Local Office","Escalate to CBE","Escalate to Roxanne"))</f>
        <v/>
      </c>
    </row>
    <row r="32" spans="13:29">
      <c r="M32" s="14"/>
      <c r="T32" s="16"/>
      <c r="U32" s="17">
        <f>IF(AND(COUNTA($A32:$L32)=0,$N32=""),"",IF($T32="Paid","PAID",IF($T32="Closed","CLOSED",IF($Z32="","",IF($Z32=6,"ESCALATED TO ROXANNE",IF(TODAY()&gt;$AB32,"OVERDUE",IF($AB32&lt;=WORKDAY(TODAY(),1,Holidays),"DUE TOMORROW",IF($Z32=4,"ESCALATED TO LOCAL OFFICE",IF($Z32=5,"ESCALATED TO CBE",IF($AA32=TODAY(),"EMAIL SENT","MONITORING"))))))))))</f>
        <v/>
      </c>
      <c r="V32" s="17">
        <f>IF($U32="",IF(AND(COUNTA($A32:$L32)&gt;0,$N32=""),"Awaiting Collection Email time stamp.",""),IF(OR($U32="PAID",$U32="CLOSED"),IF($U32="PAID","Account paid. Action completed.","Account closed. No further action required."),CHOOSE($Z32,"Collection Email","1st Email Follow-up","2nd Email Follow-up","Escalation to Local Office","Escalation to CBE","Escalation to Roxanne")&amp;" sent "&amp;TEXT($AA32,"dd-mmm")&amp;". "&amp;IF($Z32=6,"Final escalation completed.",IF($U32="OVERDUE","Next: "&amp;$AC32&amp;" was due "&amp;TEXT($AB32,"dd-mmm")&amp;" - "&amp;(NETWORKDAYS($AB32,TODAY(),Holidays)-1)&amp;" business day(s) late. Send now.",IF($U32="DUE TOMORROW","Next: "&amp;$AC32&amp;IF($AB32&lt;=TODAY()," is due TODAY ("," is due next business day (")&amp;TEXT($AB32,"dd-mmm")&amp;").","Next: "&amp;$AC32&amp;" due "&amp;TEXT($AB32,"dd-mmm")&amp;" ("&amp;(NETWORKDAYS(TODAY(),$AB32,Holidays)-1)&amp;" business day(s) left).")))))</f>
        <v/>
      </c>
      <c r="W32" s="17">
        <f>IF($Z32="","",CHOOSE($Z32,"Collection Email","1st Follow-up","2nd Follow-up","Local Office","CBE","Roxanne")&amp;IF($Z32=6," - Final"," - Day "&amp;MAX(0,NETWORKDAYS($AA32,TODAY(),Holidays)-1)&amp;" of "&amp;CHOOSE($Z32,3,3,2,2,3))&amp;" | Total Day "&amp;MAX(0,NETWORKDAYS($N32,TODAY(),Holidays)-1))</f>
        <v/>
      </c>
      <c r="X32" s="18"/>
      <c r="Y32" s="18"/>
      <c r="Z32" s="17">
        <f>IF($N32="","",COUNT($N32:$S32))</f>
        <v/>
      </c>
      <c r="AA32" s="19">
        <f>IF($Z32="","",INT(INDEX($N32:$S32,$Z32)))</f>
        <v/>
      </c>
      <c r="AB32" s="19">
        <f>IF(OR($Z32="",$Z32=6),"",WORKDAY($AA32,CHOOSE($Z32,3,3,2,2,3),Holidays))</f>
        <v/>
      </c>
      <c r="AC32" s="17">
        <f>IF(OR($Z32="",$Z32=6),"",CHOOSE($Z32,"1st Email Follow-up","2nd Email Follow-up","Escalate Local Office","Escalate to CBE","Escalate to Roxanne"))</f>
        <v/>
      </c>
    </row>
    <row r="33" spans="13:29">
      <c r="M33" s="14"/>
      <c r="T33" s="16"/>
      <c r="U33" s="17">
        <f>IF(AND(COUNTA($A33:$L33)=0,$N33=""),"",IF($T33="Paid","PAID",IF($T33="Closed","CLOSED",IF($Z33="","",IF($Z33=6,"ESCALATED TO ROXANNE",IF(TODAY()&gt;$AB33,"OVERDUE",IF($AB33&lt;=WORKDAY(TODAY(),1,Holidays),"DUE TOMORROW",IF($Z33=4,"ESCALATED TO LOCAL OFFICE",IF($Z33=5,"ESCALATED TO CBE",IF($AA33=TODAY(),"EMAIL SENT","MONITORING"))))))))))</f>
        <v/>
      </c>
      <c r="V33" s="17">
        <f>IF($U33="",IF(AND(COUNTA($A33:$L33)&gt;0,$N33=""),"Awaiting Collection Email time stamp.",""),IF(OR($U33="PAID",$U33="CLOSED"),IF($U33="PAID","Account paid. Action completed.","Account closed. No further action required."),CHOOSE($Z33,"Collection Email","1st Email Follow-up","2nd Email Follow-up","Escalation to Local Office","Escalation to CBE","Escalation to Roxanne")&amp;" sent "&amp;TEXT($AA33,"dd-mmm")&amp;". "&amp;IF($Z33=6,"Final escalation completed.",IF($U33="OVERDUE","Next: "&amp;$AC33&amp;" was due "&amp;TEXT($AB33,"dd-mmm")&amp;" - "&amp;(NETWORKDAYS($AB33,TODAY(),Holidays)-1)&amp;" business day(s) late. Send now.",IF($U33="DUE TOMORROW","Next: "&amp;$AC33&amp;IF($AB33&lt;=TODAY()," is due TODAY ("," is due next business day (")&amp;TEXT($AB33,"dd-mmm")&amp;").","Next: "&amp;$AC33&amp;" due "&amp;TEXT($AB33,"dd-mmm")&amp;" ("&amp;(NETWORKDAYS(TODAY(),$AB33,Holidays)-1)&amp;" business day(s) left).")))))</f>
        <v/>
      </c>
      <c r="W33" s="17">
        <f>IF($Z33="","",CHOOSE($Z33,"Collection Email","1st Follow-up","2nd Follow-up","Local Office","CBE","Roxanne")&amp;IF($Z33=6," - Final"," - Day "&amp;MAX(0,NETWORKDAYS($AA33,TODAY(),Holidays)-1)&amp;" of "&amp;CHOOSE($Z33,3,3,2,2,3))&amp;" | Total Day "&amp;MAX(0,NETWORKDAYS($N33,TODAY(),Holidays)-1))</f>
        <v/>
      </c>
      <c r="X33" s="18"/>
      <c r="Y33" s="18"/>
      <c r="Z33" s="17">
        <f>IF($N33="","",COUNT($N33:$S33))</f>
        <v/>
      </c>
      <c r="AA33" s="19">
        <f>IF($Z33="","",INT(INDEX($N33:$S33,$Z33)))</f>
        <v/>
      </c>
      <c r="AB33" s="19">
        <f>IF(OR($Z33="",$Z33=6),"",WORKDAY($AA33,CHOOSE($Z33,3,3,2,2,3),Holidays))</f>
        <v/>
      </c>
      <c r="AC33" s="17">
        <f>IF(OR($Z33="",$Z33=6),"",CHOOSE($Z33,"1st Email Follow-up","2nd Email Follow-up","Escalate Local Office","Escalate to CBE","Escalate to Roxanne"))</f>
        <v/>
      </c>
    </row>
    <row r="34" spans="13:29">
      <c r="M34" s="14"/>
      <c r="T34" s="16"/>
      <c r="U34" s="17">
        <f>IF(AND(COUNTA($A34:$L34)=0,$N34=""),"",IF($T34="Paid","PAID",IF($T34="Closed","CLOSED",IF($Z34="","",IF($Z34=6,"ESCALATED TO ROXANNE",IF(TODAY()&gt;$AB34,"OVERDUE",IF($AB34&lt;=WORKDAY(TODAY(),1,Holidays),"DUE TOMORROW",IF($Z34=4,"ESCALATED TO LOCAL OFFICE",IF($Z34=5,"ESCALATED TO CBE",IF($AA34=TODAY(),"EMAIL SENT","MONITORING"))))))))))</f>
        <v/>
      </c>
      <c r="V34" s="17">
        <f>IF($U34="",IF(AND(COUNTA($A34:$L34)&gt;0,$N34=""),"Awaiting Collection Email time stamp.",""),IF(OR($U34="PAID",$U34="CLOSED"),IF($U34="PAID","Account paid. Action completed.","Account closed. No further action required."),CHOOSE($Z34,"Collection Email","1st Email Follow-up","2nd Email Follow-up","Escalation to Local Office","Escalation to CBE","Escalation to Roxanne")&amp;" sent "&amp;TEXT($AA34,"dd-mmm")&amp;". "&amp;IF($Z34=6,"Final escalation completed.",IF($U34="OVERDUE","Next: "&amp;$AC34&amp;" was due "&amp;TEXT($AB34,"dd-mmm")&amp;" - "&amp;(NETWORKDAYS($AB34,TODAY(),Holidays)-1)&amp;" business day(s) late. Send now.",IF($U34="DUE TOMORROW","Next: "&amp;$AC34&amp;IF($AB34&lt;=TODAY()," is due TODAY ("," is due next business day (")&amp;TEXT($AB34,"dd-mmm")&amp;").","Next: "&amp;$AC34&amp;" due "&amp;TEXT($AB34,"dd-mmm")&amp;" ("&amp;(NETWORKDAYS(TODAY(),$AB34,Holidays)-1)&amp;" business day(s) left).")))))</f>
        <v/>
      </c>
      <c r="W34" s="17">
        <f>IF($Z34="","",CHOOSE($Z34,"Collection Email","1st Follow-up","2nd Follow-up","Local Office","CBE","Roxanne")&amp;IF($Z34=6," - Final"," - Day "&amp;MAX(0,NETWORKDAYS($AA34,TODAY(),Holidays)-1)&amp;" of "&amp;CHOOSE($Z34,3,3,2,2,3))&amp;" | Total Day "&amp;MAX(0,NETWORKDAYS($N34,TODAY(),Holidays)-1))</f>
        <v/>
      </c>
      <c r="X34" s="18"/>
      <c r="Y34" s="18"/>
      <c r="Z34" s="17">
        <f>IF($N34="","",COUNT($N34:$S34))</f>
        <v/>
      </c>
      <c r="AA34" s="19">
        <f>IF($Z34="","",INT(INDEX($N34:$S34,$Z34)))</f>
        <v/>
      </c>
      <c r="AB34" s="19">
        <f>IF(OR($Z34="",$Z34=6),"",WORKDAY($AA34,CHOOSE($Z34,3,3,2,2,3),Holidays))</f>
        <v/>
      </c>
      <c r="AC34" s="17">
        <f>IF(OR($Z34="",$Z34=6),"",CHOOSE($Z34,"1st Email Follow-up","2nd Email Follow-up","Escalate Local Office","Escalate to CBE","Escalate to Roxanne"))</f>
        <v/>
      </c>
    </row>
    <row r="35" spans="13:29">
      <c r="M35" s="14"/>
      <c r="T35" s="16"/>
      <c r="U35" s="17">
        <f>IF(AND(COUNTA($A35:$L35)=0,$N35=""),"",IF($T35="Paid","PAID",IF($T35="Closed","CLOSED",IF($Z35="","",IF($Z35=6,"ESCALATED TO ROXANNE",IF(TODAY()&gt;$AB35,"OVERDUE",IF($AB35&lt;=WORKDAY(TODAY(),1,Holidays),"DUE TOMORROW",IF($Z35=4,"ESCALATED TO LOCAL OFFICE",IF($Z35=5,"ESCALATED TO CBE",IF($AA35=TODAY(),"EMAIL SENT","MONITORING"))))))))))</f>
        <v/>
      </c>
      <c r="V35" s="17">
        <f>IF($U35="",IF(AND(COUNTA($A35:$L35)&gt;0,$N35=""),"Awaiting Collection Email time stamp.",""),IF(OR($U35="PAID",$U35="CLOSED"),IF($U35="PAID","Account paid. Action completed.","Account closed. No further action required."),CHOOSE($Z35,"Collection Email","1st Email Follow-up","2nd Email Follow-up","Escalation to Local Office","Escalation to CBE","Escalation to Roxanne")&amp;" sent "&amp;TEXT($AA35,"dd-mmm")&amp;". "&amp;IF($Z35=6,"Final escalation completed.",IF($U35="OVERDUE","Next: "&amp;$AC35&amp;" was due "&amp;TEXT($AB35,"dd-mmm")&amp;" - "&amp;(NETWORKDAYS($AB35,TODAY(),Holidays)-1)&amp;" business day(s) late. Send now.",IF($U35="DUE TOMORROW","Next: "&amp;$AC35&amp;IF($AB35&lt;=TODAY()," is due TODAY ("," is due next business day (")&amp;TEXT($AB35,"dd-mmm")&amp;").","Next: "&amp;$AC35&amp;" due "&amp;TEXT($AB35,"dd-mmm")&amp;" ("&amp;(NETWORKDAYS(TODAY(),$AB35,Holidays)-1)&amp;" business day(s) left).")))))</f>
        <v/>
      </c>
      <c r="W35" s="17">
        <f>IF($Z35="","",CHOOSE($Z35,"Collection Email","1st Follow-up","2nd Follow-up","Local Office","CBE","Roxanne")&amp;IF($Z35=6," - Final"," - Day "&amp;MAX(0,NETWORKDAYS($AA35,TODAY(),Holidays)-1)&amp;" of "&amp;CHOOSE($Z35,3,3,2,2,3))&amp;" | Total Day "&amp;MAX(0,NETWORKDAYS($N35,TODAY(),Holidays)-1))</f>
        <v/>
      </c>
      <c r="X35" s="18"/>
      <c r="Y35" s="18"/>
      <c r="Z35" s="17">
        <f>IF($N35="","",COUNT($N35:$S35))</f>
        <v/>
      </c>
      <c r="AA35" s="19">
        <f>IF($Z35="","",INT(INDEX($N35:$S35,$Z35)))</f>
        <v/>
      </c>
      <c r="AB35" s="19">
        <f>IF(OR($Z35="",$Z35=6),"",WORKDAY($AA35,CHOOSE($Z35,3,3,2,2,3),Holidays))</f>
        <v/>
      </c>
      <c r="AC35" s="17">
        <f>IF(OR($Z35="",$Z35=6),"",CHOOSE($Z35,"1st Email Follow-up","2nd Email Follow-up","Escalate Local Office","Escalate to CBE","Escalate to Roxanne"))</f>
        <v/>
      </c>
    </row>
    <row r="36" spans="13:29">
      <c r="M36" s="14"/>
      <c r="T36" s="16"/>
      <c r="U36" s="17">
        <f>IF(AND(COUNTA($A36:$L36)=0,$N36=""),"",IF($T36="Paid","PAID",IF($T36="Closed","CLOSED",IF($Z36="","",IF($Z36=6,"ESCALATED TO ROXANNE",IF(TODAY()&gt;$AB36,"OVERDUE",IF($AB36&lt;=WORKDAY(TODAY(),1,Holidays),"DUE TOMORROW",IF($Z36=4,"ESCALATED TO LOCAL OFFICE",IF($Z36=5,"ESCALATED TO CBE",IF($AA36=TODAY(),"EMAIL SENT","MONITORING"))))))))))</f>
        <v/>
      </c>
      <c r="V36" s="17">
        <f>IF($U36="",IF(AND(COUNTA($A36:$L36)&gt;0,$N36=""),"Awaiting Collection Email time stamp.",""),IF(OR($U36="PAID",$U36="CLOSED"),IF($U36="PAID","Account paid. Action completed.","Account closed. No further action required."),CHOOSE($Z36,"Collection Email","1st Email Follow-up","2nd Email Follow-up","Escalation to Local Office","Escalation to CBE","Escalation to Roxanne")&amp;" sent "&amp;TEXT($AA36,"dd-mmm")&amp;". "&amp;IF($Z36=6,"Final escalation completed.",IF($U36="OVERDUE","Next: "&amp;$AC36&amp;" was due "&amp;TEXT($AB36,"dd-mmm")&amp;" - "&amp;(NETWORKDAYS($AB36,TODAY(),Holidays)-1)&amp;" business day(s) late. Send now.",IF($U36="DUE TOMORROW","Next: "&amp;$AC36&amp;IF($AB36&lt;=TODAY()," is due TODAY ("," is due next business day (")&amp;TEXT($AB36,"dd-mmm")&amp;").","Next: "&amp;$AC36&amp;" due "&amp;TEXT($AB36,"dd-mmm")&amp;" ("&amp;(NETWORKDAYS(TODAY(),$AB36,Holidays)-1)&amp;" business day(s) left).")))))</f>
        <v/>
      </c>
      <c r="W36" s="17">
        <f>IF($Z36="","",CHOOSE($Z36,"Collection Email","1st Follow-up","2nd Follow-up","Local Office","CBE","Roxanne")&amp;IF($Z36=6," - Final"," - Day "&amp;MAX(0,NETWORKDAYS($AA36,TODAY(),Holidays)-1)&amp;" of "&amp;CHOOSE($Z36,3,3,2,2,3))&amp;" | Total Day "&amp;MAX(0,NETWORKDAYS($N36,TODAY(),Holidays)-1))</f>
        <v/>
      </c>
      <c r="X36" s="18"/>
      <c r="Y36" s="18"/>
      <c r="Z36" s="17">
        <f>IF($N36="","",COUNT($N36:$S36))</f>
        <v/>
      </c>
      <c r="AA36" s="19">
        <f>IF($Z36="","",INT(INDEX($N36:$S36,$Z36)))</f>
        <v/>
      </c>
      <c r="AB36" s="19">
        <f>IF(OR($Z36="",$Z36=6),"",WORKDAY($AA36,CHOOSE($Z36,3,3,2,2,3),Holidays))</f>
        <v/>
      </c>
      <c r="AC36" s="17">
        <f>IF(OR($Z36="",$Z36=6),"",CHOOSE($Z36,"1st Email Follow-up","2nd Email Follow-up","Escalate Local Office","Escalate to CBE","Escalate to Roxanne"))</f>
        <v/>
      </c>
    </row>
    <row r="37" spans="13:29">
      <c r="M37" s="14"/>
      <c r="T37" s="16"/>
      <c r="U37" s="17">
        <f>IF(AND(COUNTA($A37:$L37)=0,$N37=""),"",IF($T37="Paid","PAID",IF($T37="Closed","CLOSED",IF($Z37="","",IF($Z37=6,"ESCALATED TO ROXANNE",IF(TODAY()&gt;$AB37,"OVERDUE",IF($AB37&lt;=WORKDAY(TODAY(),1,Holidays),"DUE TOMORROW",IF($Z37=4,"ESCALATED TO LOCAL OFFICE",IF($Z37=5,"ESCALATED TO CBE",IF($AA37=TODAY(),"EMAIL SENT","MONITORING"))))))))))</f>
        <v/>
      </c>
      <c r="V37" s="17">
        <f>IF($U37="",IF(AND(COUNTA($A37:$L37)&gt;0,$N37=""),"Awaiting Collection Email time stamp.",""),IF(OR($U37="PAID",$U37="CLOSED"),IF($U37="PAID","Account paid. Action completed.","Account closed. No further action required."),CHOOSE($Z37,"Collection Email","1st Email Follow-up","2nd Email Follow-up","Escalation to Local Office","Escalation to CBE","Escalation to Roxanne")&amp;" sent "&amp;TEXT($AA37,"dd-mmm")&amp;". "&amp;IF($Z37=6,"Final escalation completed.",IF($U37="OVERDUE","Next: "&amp;$AC37&amp;" was due "&amp;TEXT($AB37,"dd-mmm")&amp;" - "&amp;(NETWORKDAYS($AB37,TODAY(),Holidays)-1)&amp;" business day(s) late. Send now.",IF($U37="DUE TOMORROW","Next: "&amp;$AC37&amp;IF($AB37&lt;=TODAY()," is due TODAY ("," is due next business day (")&amp;TEXT($AB37,"dd-mmm")&amp;").","Next: "&amp;$AC37&amp;" due "&amp;TEXT($AB37,"dd-mmm")&amp;" ("&amp;(NETWORKDAYS(TODAY(),$AB37,Holidays)-1)&amp;" business day(s) left).")))))</f>
        <v/>
      </c>
      <c r="W37" s="17">
        <f>IF($Z37="","",CHOOSE($Z37,"Collection Email","1st Follow-up","2nd Follow-up","Local Office","CBE","Roxanne")&amp;IF($Z37=6," - Final"," - Day "&amp;MAX(0,NETWORKDAYS($AA37,TODAY(),Holidays)-1)&amp;" of "&amp;CHOOSE($Z37,3,3,2,2,3))&amp;" | Total Day "&amp;MAX(0,NETWORKDAYS($N37,TODAY(),Holidays)-1))</f>
        <v/>
      </c>
      <c r="X37" s="18"/>
      <c r="Y37" s="18"/>
      <c r="Z37" s="17">
        <f>IF($N37="","",COUNT($N37:$S37))</f>
        <v/>
      </c>
      <c r="AA37" s="19">
        <f>IF($Z37="","",INT(INDEX($N37:$S37,$Z37)))</f>
        <v/>
      </c>
      <c r="AB37" s="19">
        <f>IF(OR($Z37="",$Z37=6),"",WORKDAY($AA37,CHOOSE($Z37,3,3,2,2,3),Holidays))</f>
        <v/>
      </c>
      <c r="AC37" s="17">
        <f>IF(OR($Z37="",$Z37=6),"",CHOOSE($Z37,"1st Email Follow-up","2nd Email Follow-up","Escalate Local Office","Escalate to CBE","Escalate to Roxanne"))</f>
        <v/>
      </c>
    </row>
    <row r="38" spans="13:29">
      <c r="M38" s="14"/>
      <c r="T38" s="16"/>
      <c r="U38" s="17">
        <f>IF(AND(COUNTA($A38:$L38)=0,$N38=""),"",IF($T38="Paid","PAID",IF($T38="Closed","CLOSED",IF($Z38="","",IF($Z38=6,"ESCALATED TO ROXANNE",IF(TODAY()&gt;$AB38,"OVERDUE",IF($AB38&lt;=WORKDAY(TODAY(),1,Holidays),"DUE TOMORROW",IF($Z38=4,"ESCALATED TO LOCAL OFFICE",IF($Z38=5,"ESCALATED TO CBE",IF($AA38=TODAY(),"EMAIL SENT","MONITORING"))))))))))</f>
        <v/>
      </c>
      <c r="V38" s="17">
        <f>IF($U38="",IF(AND(COUNTA($A38:$L38)&gt;0,$N38=""),"Awaiting Collection Email time stamp.",""),IF(OR($U38="PAID",$U38="CLOSED"),IF($U38="PAID","Account paid. Action completed.","Account closed. No further action required."),CHOOSE($Z38,"Collection Email","1st Email Follow-up","2nd Email Follow-up","Escalation to Local Office","Escalation to CBE","Escalation to Roxanne")&amp;" sent "&amp;TEXT($AA38,"dd-mmm")&amp;". "&amp;IF($Z38=6,"Final escalation completed.",IF($U38="OVERDUE","Next: "&amp;$AC38&amp;" was due "&amp;TEXT($AB38,"dd-mmm")&amp;" - "&amp;(NETWORKDAYS($AB38,TODAY(),Holidays)-1)&amp;" business day(s) late. Send now.",IF($U38="DUE TOMORROW","Next: "&amp;$AC38&amp;IF($AB38&lt;=TODAY()," is due TODAY ("," is due next business day (")&amp;TEXT($AB38,"dd-mmm")&amp;").","Next: "&amp;$AC38&amp;" due "&amp;TEXT($AB38,"dd-mmm")&amp;" ("&amp;(NETWORKDAYS(TODAY(),$AB38,Holidays)-1)&amp;" business day(s) left).")))))</f>
        <v/>
      </c>
      <c r="W38" s="17">
        <f>IF($Z38="","",CHOOSE($Z38,"Collection Email","1st Follow-up","2nd Follow-up","Local Office","CBE","Roxanne")&amp;IF($Z38=6," - Final"," - Day "&amp;MAX(0,NETWORKDAYS($AA38,TODAY(),Holidays)-1)&amp;" of "&amp;CHOOSE($Z38,3,3,2,2,3))&amp;" | Total Day "&amp;MAX(0,NETWORKDAYS($N38,TODAY(),Holidays)-1))</f>
        <v/>
      </c>
      <c r="X38" s="18"/>
      <c r="Y38" s="18"/>
      <c r="Z38" s="17">
        <f>IF($N38="","",COUNT($N38:$S38))</f>
        <v/>
      </c>
      <c r="AA38" s="19">
        <f>IF($Z38="","",INT(INDEX($N38:$S38,$Z38)))</f>
        <v/>
      </c>
      <c r="AB38" s="19">
        <f>IF(OR($Z38="",$Z38=6),"",WORKDAY($AA38,CHOOSE($Z38,3,3,2,2,3),Holidays))</f>
        <v/>
      </c>
      <c r="AC38" s="17">
        <f>IF(OR($Z38="",$Z38=6),"",CHOOSE($Z38,"1st Email Follow-up","2nd Email Follow-up","Escalate Local Office","Escalate to CBE","Escalate to Roxanne"))</f>
        <v/>
      </c>
    </row>
    <row r="39" spans="13:29">
      <c r="M39" s="14"/>
      <c r="T39" s="16"/>
      <c r="U39" s="17">
        <f>IF(AND(COUNTA($A39:$L39)=0,$N39=""),"",IF($T39="Paid","PAID",IF($T39="Closed","CLOSED",IF($Z39="","",IF($Z39=6,"ESCALATED TO ROXANNE",IF(TODAY()&gt;$AB39,"OVERDUE",IF($AB39&lt;=WORKDAY(TODAY(),1,Holidays),"DUE TOMORROW",IF($Z39=4,"ESCALATED TO LOCAL OFFICE",IF($Z39=5,"ESCALATED TO CBE",IF($AA39=TODAY(),"EMAIL SENT","MONITORING"))))))))))</f>
        <v/>
      </c>
      <c r="V39" s="17">
        <f>IF($U39="",IF(AND(COUNTA($A39:$L39)&gt;0,$N39=""),"Awaiting Collection Email time stamp.",""),IF(OR($U39="PAID",$U39="CLOSED"),IF($U39="PAID","Account paid. Action completed.","Account closed. No further action required."),CHOOSE($Z39,"Collection Email","1st Email Follow-up","2nd Email Follow-up","Escalation to Local Office","Escalation to CBE","Escalation to Roxanne")&amp;" sent "&amp;TEXT($AA39,"dd-mmm")&amp;". "&amp;IF($Z39=6,"Final escalation completed.",IF($U39="OVERDUE","Next: "&amp;$AC39&amp;" was due "&amp;TEXT($AB39,"dd-mmm")&amp;" - "&amp;(NETWORKDAYS($AB39,TODAY(),Holidays)-1)&amp;" business day(s) late. Send now.",IF($U39="DUE TOMORROW","Next: "&amp;$AC39&amp;IF($AB39&lt;=TODAY()," is due TODAY ("," is due next business day (")&amp;TEXT($AB39,"dd-mmm")&amp;").","Next: "&amp;$AC39&amp;" due "&amp;TEXT($AB39,"dd-mmm")&amp;" ("&amp;(NETWORKDAYS(TODAY(),$AB39,Holidays)-1)&amp;" business day(s) left).")))))</f>
        <v/>
      </c>
      <c r="W39" s="17">
        <f>IF($Z39="","",CHOOSE($Z39,"Collection Email","1st Follow-up","2nd Follow-up","Local Office","CBE","Roxanne")&amp;IF($Z39=6," - Final"," - Day "&amp;MAX(0,NETWORKDAYS($AA39,TODAY(),Holidays)-1)&amp;" of "&amp;CHOOSE($Z39,3,3,2,2,3))&amp;" | Total Day "&amp;MAX(0,NETWORKDAYS($N39,TODAY(),Holidays)-1))</f>
        <v/>
      </c>
      <c r="X39" s="18"/>
      <c r="Y39" s="18"/>
      <c r="Z39" s="17">
        <f>IF($N39="","",COUNT($N39:$S39))</f>
        <v/>
      </c>
      <c r="AA39" s="19">
        <f>IF($Z39="","",INT(INDEX($N39:$S39,$Z39)))</f>
        <v/>
      </c>
      <c r="AB39" s="19">
        <f>IF(OR($Z39="",$Z39=6),"",WORKDAY($AA39,CHOOSE($Z39,3,3,2,2,3),Holidays))</f>
        <v/>
      </c>
      <c r="AC39" s="17">
        <f>IF(OR($Z39="",$Z39=6),"",CHOOSE($Z39,"1st Email Follow-up","2nd Email Follow-up","Escalate Local Office","Escalate to CBE","Escalate to Roxanne"))</f>
        <v/>
      </c>
    </row>
    <row r="40" spans="13:29">
      <c r="M40" s="14"/>
      <c r="T40" s="16"/>
      <c r="U40" s="17">
        <f>IF(AND(COUNTA($A40:$L40)=0,$N40=""),"",IF($T40="Paid","PAID",IF($T40="Closed","CLOSED",IF($Z40="","",IF($Z40=6,"ESCALATED TO ROXANNE",IF(TODAY()&gt;$AB40,"OVERDUE",IF($AB40&lt;=WORKDAY(TODAY(),1,Holidays),"DUE TOMORROW",IF($Z40=4,"ESCALATED TO LOCAL OFFICE",IF($Z40=5,"ESCALATED TO CBE",IF($AA40=TODAY(),"EMAIL SENT","MONITORING"))))))))))</f>
        <v/>
      </c>
      <c r="V40" s="17">
        <f>IF($U40="",IF(AND(COUNTA($A40:$L40)&gt;0,$N40=""),"Awaiting Collection Email time stamp.",""),IF(OR($U40="PAID",$U40="CLOSED"),IF($U40="PAID","Account paid. Action completed.","Account closed. No further action required."),CHOOSE($Z40,"Collection Email","1st Email Follow-up","2nd Email Follow-up","Escalation to Local Office","Escalation to CBE","Escalation to Roxanne")&amp;" sent "&amp;TEXT($AA40,"dd-mmm")&amp;". "&amp;IF($Z40=6,"Final escalation completed.",IF($U40="OVERDUE","Next: "&amp;$AC40&amp;" was due "&amp;TEXT($AB40,"dd-mmm")&amp;" - "&amp;(NETWORKDAYS($AB40,TODAY(),Holidays)-1)&amp;" business day(s) late. Send now.",IF($U40="DUE TOMORROW","Next: "&amp;$AC40&amp;IF($AB40&lt;=TODAY()," is due TODAY ("," is due next business day (")&amp;TEXT($AB40,"dd-mmm")&amp;").","Next: "&amp;$AC40&amp;" due "&amp;TEXT($AB40,"dd-mmm")&amp;" ("&amp;(NETWORKDAYS(TODAY(),$AB40,Holidays)-1)&amp;" business day(s) left).")))))</f>
        <v/>
      </c>
      <c r="W40" s="17">
        <f>IF($Z40="","",CHOOSE($Z40,"Collection Email","1st Follow-up","2nd Follow-up","Local Office","CBE","Roxanne")&amp;IF($Z40=6," - Final"," - Day "&amp;MAX(0,NETWORKDAYS($AA40,TODAY(),Holidays)-1)&amp;" of "&amp;CHOOSE($Z40,3,3,2,2,3))&amp;" | Total Day "&amp;MAX(0,NETWORKDAYS($N40,TODAY(),Holidays)-1))</f>
        <v/>
      </c>
      <c r="X40" s="18"/>
      <c r="Y40" s="18"/>
      <c r="Z40" s="17">
        <f>IF($N40="","",COUNT($N40:$S40))</f>
        <v/>
      </c>
      <c r="AA40" s="19">
        <f>IF($Z40="","",INT(INDEX($N40:$S40,$Z40)))</f>
        <v/>
      </c>
      <c r="AB40" s="19">
        <f>IF(OR($Z40="",$Z40=6),"",WORKDAY($AA40,CHOOSE($Z40,3,3,2,2,3),Holidays))</f>
        <v/>
      </c>
      <c r="AC40" s="17">
        <f>IF(OR($Z40="",$Z40=6),"",CHOOSE($Z40,"1st Email Follow-up","2nd Email Follow-up","Escalate Local Office","Escalate to CBE","Escalate to Roxanne"))</f>
        <v/>
      </c>
    </row>
    <row r="41" spans="13:29">
      <c r="M41" s="14"/>
      <c r="T41" s="16"/>
      <c r="U41" s="17">
        <f>IF(AND(COUNTA($A41:$L41)=0,$N41=""),"",IF($T41="Paid","PAID",IF($T41="Closed","CLOSED",IF($Z41="","",IF($Z41=6,"ESCALATED TO ROXANNE",IF(TODAY()&gt;$AB41,"OVERDUE",IF($AB41&lt;=WORKDAY(TODAY(),1,Holidays),"DUE TOMORROW",IF($Z41=4,"ESCALATED TO LOCAL OFFICE",IF($Z41=5,"ESCALATED TO CBE",IF($AA41=TODAY(),"EMAIL SENT","MONITORING"))))))))))</f>
        <v/>
      </c>
      <c r="V41" s="17">
        <f>IF($U41="",IF(AND(COUNTA($A41:$L41)&gt;0,$N41=""),"Awaiting Collection Email time stamp.",""),IF(OR($U41="PAID",$U41="CLOSED"),IF($U41="PAID","Account paid. Action completed.","Account closed. No further action required."),CHOOSE($Z41,"Collection Email","1st Email Follow-up","2nd Email Follow-up","Escalation to Local Office","Escalation to CBE","Escalation to Roxanne")&amp;" sent "&amp;TEXT($AA41,"dd-mmm")&amp;". "&amp;IF($Z41=6,"Final escalation completed.",IF($U41="OVERDUE","Next: "&amp;$AC41&amp;" was due "&amp;TEXT($AB41,"dd-mmm")&amp;" - "&amp;(NETWORKDAYS($AB41,TODAY(),Holidays)-1)&amp;" business day(s) late. Send now.",IF($U41="DUE TOMORROW","Next: "&amp;$AC41&amp;IF($AB41&lt;=TODAY()," is due TODAY ("," is due next business day (")&amp;TEXT($AB41,"dd-mmm")&amp;").","Next: "&amp;$AC41&amp;" due "&amp;TEXT($AB41,"dd-mmm")&amp;" ("&amp;(NETWORKDAYS(TODAY(),$AB41,Holidays)-1)&amp;" business day(s) left).")))))</f>
        <v/>
      </c>
      <c r="W41" s="17">
        <f>IF($Z41="","",CHOOSE($Z41,"Collection Email","1st Follow-up","2nd Follow-up","Local Office","CBE","Roxanne")&amp;IF($Z41=6," - Final"," - Day "&amp;MAX(0,NETWORKDAYS($AA41,TODAY(),Holidays)-1)&amp;" of "&amp;CHOOSE($Z41,3,3,2,2,3))&amp;" | Total Day "&amp;MAX(0,NETWORKDAYS($N41,TODAY(),Holidays)-1))</f>
        <v/>
      </c>
      <c r="X41" s="18"/>
      <c r="Y41" s="18"/>
      <c r="Z41" s="17">
        <f>IF($N41="","",COUNT($N41:$S41))</f>
        <v/>
      </c>
      <c r="AA41" s="19">
        <f>IF($Z41="","",INT(INDEX($N41:$S41,$Z41)))</f>
        <v/>
      </c>
      <c r="AB41" s="19">
        <f>IF(OR($Z41="",$Z41=6),"",WORKDAY($AA41,CHOOSE($Z41,3,3,2,2,3),Holidays))</f>
        <v/>
      </c>
      <c r="AC41" s="17">
        <f>IF(OR($Z41="",$Z41=6),"",CHOOSE($Z41,"1st Email Follow-up","2nd Email Follow-up","Escalate Local Office","Escalate to CBE","Escalate to Roxanne"))</f>
        <v/>
      </c>
    </row>
    <row r="42" spans="13:29">
      <c r="M42" s="14"/>
      <c r="T42" s="16"/>
      <c r="U42" s="17">
        <f>IF(AND(COUNTA($A42:$L42)=0,$N42=""),"",IF($T42="Paid","PAID",IF($T42="Closed","CLOSED",IF($Z42="","",IF($Z42=6,"ESCALATED TO ROXANNE",IF(TODAY()&gt;$AB42,"OVERDUE",IF($AB42&lt;=WORKDAY(TODAY(),1,Holidays),"DUE TOMORROW",IF($Z42=4,"ESCALATED TO LOCAL OFFICE",IF($Z42=5,"ESCALATED TO CBE",IF($AA42=TODAY(),"EMAIL SENT","MONITORING"))))))))))</f>
        <v/>
      </c>
      <c r="V42" s="17">
        <f>IF($U42="",IF(AND(COUNTA($A42:$L42)&gt;0,$N42=""),"Awaiting Collection Email time stamp.",""),IF(OR($U42="PAID",$U42="CLOSED"),IF($U42="PAID","Account paid. Action completed.","Account closed. No further action required."),CHOOSE($Z42,"Collection Email","1st Email Follow-up","2nd Email Follow-up","Escalation to Local Office","Escalation to CBE","Escalation to Roxanne")&amp;" sent "&amp;TEXT($AA42,"dd-mmm")&amp;". "&amp;IF($Z42=6,"Final escalation completed.",IF($U42="OVERDUE","Next: "&amp;$AC42&amp;" was due "&amp;TEXT($AB42,"dd-mmm")&amp;" - "&amp;(NETWORKDAYS($AB42,TODAY(),Holidays)-1)&amp;" business day(s) late. Send now.",IF($U42="DUE TOMORROW","Next: "&amp;$AC42&amp;IF($AB42&lt;=TODAY()," is due TODAY ("," is due next business day (")&amp;TEXT($AB42,"dd-mmm")&amp;").","Next: "&amp;$AC42&amp;" due "&amp;TEXT($AB42,"dd-mmm")&amp;" ("&amp;(NETWORKDAYS(TODAY(),$AB42,Holidays)-1)&amp;" business day(s) left).")))))</f>
        <v/>
      </c>
      <c r="W42" s="17">
        <f>IF($Z42="","",CHOOSE($Z42,"Collection Email","1st Follow-up","2nd Follow-up","Local Office","CBE","Roxanne")&amp;IF($Z42=6," - Final"," - Day "&amp;MAX(0,NETWORKDAYS($AA42,TODAY(),Holidays)-1)&amp;" of "&amp;CHOOSE($Z42,3,3,2,2,3))&amp;" | Total Day "&amp;MAX(0,NETWORKDAYS($N42,TODAY(),Holidays)-1))</f>
        <v/>
      </c>
      <c r="X42" s="18"/>
      <c r="Y42" s="18"/>
      <c r="Z42" s="17">
        <f>IF($N42="","",COUNT($N42:$S42))</f>
        <v/>
      </c>
      <c r="AA42" s="19">
        <f>IF($Z42="","",INT(INDEX($N42:$S42,$Z42)))</f>
        <v/>
      </c>
      <c r="AB42" s="19">
        <f>IF(OR($Z42="",$Z42=6),"",WORKDAY($AA42,CHOOSE($Z42,3,3,2,2,3),Holidays))</f>
        <v/>
      </c>
      <c r="AC42" s="17">
        <f>IF(OR($Z42="",$Z42=6),"",CHOOSE($Z42,"1st Email Follow-up","2nd Email Follow-up","Escalate Local Office","Escalate to CBE","Escalate to Roxanne"))</f>
        <v/>
      </c>
    </row>
    <row r="43" spans="13:29">
      <c r="M43" s="14"/>
      <c r="T43" s="16"/>
      <c r="U43" s="17">
        <f>IF(AND(COUNTA($A43:$L43)=0,$N43=""),"",IF($T43="Paid","PAID",IF($T43="Closed","CLOSED",IF($Z43="","",IF($Z43=6,"ESCALATED TO ROXANNE",IF(TODAY()&gt;$AB43,"OVERDUE",IF($AB43&lt;=WORKDAY(TODAY(),1,Holidays),"DUE TOMORROW",IF($Z43=4,"ESCALATED TO LOCAL OFFICE",IF($Z43=5,"ESCALATED TO CBE",IF($AA43=TODAY(),"EMAIL SENT","MONITORING"))))))))))</f>
        <v/>
      </c>
      <c r="V43" s="17">
        <f>IF($U43="",IF(AND(COUNTA($A43:$L43)&gt;0,$N43=""),"Awaiting Collection Email time stamp.",""),IF(OR($U43="PAID",$U43="CLOSED"),IF($U43="PAID","Account paid. Action completed.","Account closed. No further action required."),CHOOSE($Z43,"Collection Email","1st Email Follow-up","2nd Email Follow-up","Escalation to Local Office","Escalation to CBE","Escalation to Roxanne")&amp;" sent "&amp;TEXT($AA43,"dd-mmm")&amp;". "&amp;IF($Z43=6,"Final escalation completed.",IF($U43="OVERDUE","Next: "&amp;$AC43&amp;" was due "&amp;TEXT($AB43,"dd-mmm")&amp;" - "&amp;(NETWORKDAYS($AB43,TODAY(),Holidays)-1)&amp;" business day(s) late. Send now.",IF($U43="DUE TOMORROW","Next: "&amp;$AC43&amp;IF($AB43&lt;=TODAY()," is due TODAY ("," is due next business day (")&amp;TEXT($AB43,"dd-mmm")&amp;").","Next: "&amp;$AC43&amp;" due "&amp;TEXT($AB43,"dd-mmm")&amp;" ("&amp;(NETWORKDAYS(TODAY(),$AB43,Holidays)-1)&amp;" business day(s) left).")))))</f>
        <v/>
      </c>
      <c r="W43" s="17">
        <f>IF($Z43="","",CHOOSE($Z43,"Collection Email","1st Follow-up","2nd Follow-up","Local Office","CBE","Roxanne")&amp;IF($Z43=6," - Final"," - Day "&amp;MAX(0,NETWORKDAYS($AA43,TODAY(),Holidays)-1)&amp;" of "&amp;CHOOSE($Z43,3,3,2,2,3))&amp;" | Total Day "&amp;MAX(0,NETWORKDAYS($N43,TODAY(),Holidays)-1))</f>
        <v/>
      </c>
      <c r="X43" s="18"/>
      <c r="Y43" s="18"/>
      <c r="Z43" s="17">
        <f>IF($N43="","",COUNT($N43:$S43))</f>
        <v/>
      </c>
      <c r="AA43" s="19">
        <f>IF($Z43="","",INT(INDEX($N43:$S43,$Z43)))</f>
        <v/>
      </c>
      <c r="AB43" s="19">
        <f>IF(OR($Z43="",$Z43=6),"",WORKDAY($AA43,CHOOSE($Z43,3,3,2,2,3),Holidays))</f>
        <v/>
      </c>
      <c r="AC43" s="17">
        <f>IF(OR($Z43="",$Z43=6),"",CHOOSE($Z43,"1st Email Follow-up","2nd Email Follow-up","Escalate Local Office","Escalate to CBE","Escalate to Roxanne"))</f>
        <v/>
      </c>
    </row>
    <row r="44" spans="13:29">
      <c r="M44" s="14"/>
      <c r="T44" s="16"/>
      <c r="U44" s="17">
        <f>IF(AND(COUNTA($A44:$L44)=0,$N44=""),"",IF($T44="Paid","PAID",IF($T44="Closed","CLOSED",IF($Z44="","",IF($Z44=6,"ESCALATED TO ROXANNE",IF(TODAY()&gt;$AB44,"OVERDUE",IF($AB44&lt;=WORKDAY(TODAY(),1,Holidays),"DUE TOMORROW",IF($Z44=4,"ESCALATED TO LOCAL OFFICE",IF($Z44=5,"ESCALATED TO CBE",IF($AA44=TODAY(),"EMAIL SENT","MONITORING"))))))))))</f>
        <v/>
      </c>
      <c r="V44" s="17">
        <f>IF($U44="",IF(AND(COUNTA($A44:$L44)&gt;0,$N44=""),"Awaiting Collection Email time stamp.",""),IF(OR($U44="PAID",$U44="CLOSED"),IF($U44="PAID","Account paid. Action completed.","Account closed. No further action required."),CHOOSE($Z44,"Collection Email","1st Email Follow-up","2nd Email Follow-up","Escalation to Local Office","Escalation to CBE","Escalation to Roxanne")&amp;" sent "&amp;TEXT($AA44,"dd-mmm")&amp;". "&amp;IF($Z44=6,"Final escalation completed.",IF($U44="OVERDUE","Next: "&amp;$AC44&amp;" was due "&amp;TEXT($AB44,"dd-mmm")&amp;" - "&amp;(NETWORKDAYS($AB44,TODAY(),Holidays)-1)&amp;" business day(s) late. Send now.",IF($U44="DUE TOMORROW","Next: "&amp;$AC44&amp;IF($AB44&lt;=TODAY()," is due TODAY ("," is due next business day (")&amp;TEXT($AB44,"dd-mmm")&amp;").","Next: "&amp;$AC44&amp;" due "&amp;TEXT($AB44,"dd-mmm")&amp;" ("&amp;(NETWORKDAYS(TODAY(),$AB44,Holidays)-1)&amp;" business day(s) left).")))))</f>
        <v/>
      </c>
      <c r="W44" s="17">
        <f>IF($Z44="","",CHOOSE($Z44,"Collection Email","1st Follow-up","2nd Follow-up","Local Office","CBE","Roxanne")&amp;IF($Z44=6," - Final"," - Day "&amp;MAX(0,NETWORKDAYS($AA44,TODAY(),Holidays)-1)&amp;" of "&amp;CHOOSE($Z44,3,3,2,2,3))&amp;" | Total Day "&amp;MAX(0,NETWORKDAYS($N44,TODAY(),Holidays)-1))</f>
        <v/>
      </c>
      <c r="X44" s="18"/>
      <c r="Y44" s="18"/>
      <c r="Z44" s="17">
        <f>IF($N44="","",COUNT($N44:$S44))</f>
        <v/>
      </c>
      <c r="AA44" s="19">
        <f>IF($Z44="","",INT(INDEX($N44:$S44,$Z44)))</f>
        <v/>
      </c>
      <c r="AB44" s="19">
        <f>IF(OR($Z44="",$Z44=6),"",WORKDAY($AA44,CHOOSE($Z44,3,3,2,2,3),Holidays))</f>
        <v/>
      </c>
      <c r="AC44" s="17">
        <f>IF(OR($Z44="",$Z44=6),"",CHOOSE($Z44,"1st Email Follow-up","2nd Email Follow-up","Escalate Local Office","Escalate to CBE","Escalate to Roxanne"))</f>
        <v/>
      </c>
    </row>
    <row r="45" spans="13:29">
      <c r="M45" s="14"/>
      <c r="T45" s="16"/>
      <c r="U45" s="17">
        <f>IF(AND(COUNTA($A45:$L45)=0,$N45=""),"",IF($T45="Paid","PAID",IF($T45="Closed","CLOSED",IF($Z45="","",IF($Z45=6,"ESCALATED TO ROXANNE",IF(TODAY()&gt;$AB45,"OVERDUE",IF($AB45&lt;=WORKDAY(TODAY(),1,Holidays),"DUE TOMORROW",IF($Z45=4,"ESCALATED TO LOCAL OFFICE",IF($Z45=5,"ESCALATED TO CBE",IF($AA45=TODAY(),"EMAIL SENT","MONITORING"))))))))))</f>
        <v/>
      </c>
      <c r="V45" s="17">
        <f>IF($U45="",IF(AND(COUNTA($A45:$L45)&gt;0,$N45=""),"Awaiting Collection Email time stamp.",""),IF(OR($U45="PAID",$U45="CLOSED"),IF($U45="PAID","Account paid. Action completed.","Account closed. No further action required."),CHOOSE($Z45,"Collection Email","1st Email Follow-up","2nd Email Follow-up","Escalation to Local Office","Escalation to CBE","Escalation to Roxanne")&amp;" sent "&amp;TEXT($AA45,"dd-mmm")&amp;". "&amp;IF($Z45=6,"Final escalation completed.",IF($U45="OVERDUE","Next: "&amp;$AC45&amp;" was due "&amp;TEXT($AB45,"dd-mmm")&amp;" - "&amp;(NETWORKDAYS($AB45,TODAY(),Holidays)-1)&amp;" business day(s) late. Send now.",IF($U45="DUE TOMORROW","Next: "&amp;$AC45&amp;IF($AB45&lt;=TODAY()," is due TODAY ("," is due next business day (")&amp;TEXT($AB45,"dd-mmm")&amp;").","Next: "&amp;$AC45&amp;" due "&amp;TEXT($AB45,"dd-mmm")&amp;" ("&amp;(NETWORKDAYS(TODAY(),$AB45,Holidays)-1)&amp;" business day(s) left).")))))</f>
        <v/>
      </c>
      <c r="W45" s="17">
        <f>IF($Z45="","",CHOOSE($Z45,"Collection Email","1st Follow-up","2nd Follow-up","Local Office","CBE","Roxanne")&amp;IF($Z45=6," - Final"," - Day "&amp;MAX(0,NETWORKDAYS($AA45,TODAY(),Holidays)-1)&amp;" of "&amp;CHOOSE($Z45,3,3,2,2,3))&amp;" | Total Day "&amp;MAX(0,NETWORKDAYS($N45,TODAY(),Holidays)-1))</f>
        <v/>
      </c>
      <c r="X45" s="18"/>
      <c r="Y45" s="18"/>
      <c r="Z45" s="17">
        <f>IF($N45="","",COUNT($N45:$S45))</f>
        <v/>
      </c>
      <c r="AA45" s="19">
        <f>IF($Z45="","",INT(INDEX($N45:$S45,$Z45)))</f>
        <v/>
      </c>
      <c r="AB45" s="19">
        <f>IF(OR($Z45="",$Z45=6),"",WORKDAY($AA45,CHOOSE($Z45,3,3,2,2,3),Holidays))</f>
        <v/>
      </c>
      <c r="AC45" s="17">
        <f>IF(OR($Z45="",$Z45=6),"",CHOOSE($Z45,"1st Email Follow-up","2nd Email Follow-up","Escalate Local Office","Escalate to CBE","Escalate to Roxanne"))</f>
        <v/>
      </c>
    </row>
    <row r="46" spans="13:29">
      <c r="M46" s="14"/>
      <c r="T46" s="16"/>
      <c r="U46" s="17">
        <f>IF(AND(COUNTA($A46:$L46)=0,$N46=""),"",IF($T46="Paid","PAID",IF($T46="Closed","CLOSED",IF($Z46="","",IF($Z46=6,"ESCALATED TO ROXANNE",IF(TODAY()&gt;$AB46,"OVERDUE",IF($AB46&lt;=WORKDAY(TODAY(),1,Holidays),"DUE TOMORROW",IF($Z46=4,"ESCALATED TO LOCAL OFFICE",IF($Z46=5,"ESCALATED TO CBE",IF($AA46=TODAY(),"EMAIL SENT","MONITORING"))))))))))</f>
        <v/>
      </c>
      <c r="V46" s="17">
        <f>IF($U46="",IF(AND(COUNTA($A46:$L46)&gt;0,$N46=""),"Awaiting Collection Email time stamp.",""),IF(OR($U46="PAID",$U46="CLOSED"),IF($U46="PAID","Account paid. Action completed.","Account closed. No further action required."),CHOOSE($Z46,"Collection Email","1st Email Follow-up","2nd Email Follow-up","Escalation to Local Office","Escalation to CBE","Escalation to Roxanne")&amp;" sent "&amp;TEXT($AA46,"dd-mmm")&amp;". "&amp;IF($Z46=6,"Final escalation completed.",IF($U46="OVERDUE","Next: "&amp;$AC46&amp;" was due "&amp;TEXT($AB46,"dd-mmm")&amp;" - "&amp;(NETWORKDAYS($AB46,TODAY(),Holidays)-1)&amp;" business day(s) late. Send now.",IF($U46="DUE TOMORROW","Next: "&amp;$AC46&amp;IF($AB46&lt;=TODAY()," is due TODAY ("," is due next business day (")&amp;TEXT($AB46,"dd-mmm")&amp;").","Next: "&amp;$AC46&amp;" due "&amp;TEXT($AB46,"dd-mmm")&amp;" ("&amp;(NETWORKDAYS(TODAY(),$AB46,Holidays)-1)&amp;" business day(s) left).")))))</f>
        <v/>
      </c>
      <c r="W46" s="17">
        <f>IF($Z46="","",CHOOSE($Z46,"Collection Email","1st Follow-up","2nd Follow-up","Local Office","CBE","Roxanne")&amp;IF($Z46=6," - Final"," - Day "&amp;MAX(0,NETWORKDAYS($AA46,TODAY(),Holidays)-1)&amp;" of "&amp;CHOOSE($Z46,3,3,2,2,3))&amp;" | Total Day "&amp;MAX(0,NETWORKDAYS($N46,TODAY(),Holidays)-1))</f>
        <v/>
      </c>
      <c r="X46" s="18"/>
      <c r="Y46" s="18"/>
      <c r="Z46" s="17">
        <f>IF($N46="","",COUNT($N46:$S46))</f>
        <v/>
      </c>
      <c r="AA46" s="19">
        <f>IF($Z46="","",INT(INDEX($N46:$S46,$Z46)))</f>
        <v/>
      </c>
      <c r="AB46" s="19">
        <f>IF(OR($Z46="",$Z46=6),"",WORKDAY($AA46,CHOOSE($Z46,3,3,2,2,3),Holidays))</f>
        <v/>
      </c>
      <c r="AC46" s="17">
        <f>IF(OR($Z46="",$Z46=6),"",CHOOSE($Z46,"1st Email Follow-up","2nd Email Follow-up","Escalate Local Office","Escalate to CBE","Escalate to Roxanne"))</f>
        <v/>
      </c>
    </row>
    <row r="47" spans="13:29">
      <c r="M47" s="14"/>
      <c r="T47" s="16"/>
      <c r="U47" s="17">
        <f>IF(AND(COUNTA($A47:$L47)=0,$N47=""),"",IF($T47="Paid","PAID",IF($T47="Closed","CLOSED",IF($Z47="","",IF($Z47=6,"ESCALATED TO ROXANNE",IF(TODAY()&gt;$AB47,"OVERDUE",IF($AB47&lt;=WORKDAY(TODAY(),1,Holidays),"DUE TOMORROW",IF($Z47=4,"ESCALATED TO LOCAL OFFICE",IF($Z47=5,"ESCALATED TO CBE",IF($AA47=TODAY(),"EMAIL SENT","MONITORING"))))))))))</f>
        <v/>
      </c>
      <c r="V47" s="17">
        <f>IF($U47="",IF(AND(COUNTA($A47:$L47)&gt;0,$N47=""),"Awaiting Collection Email time stamp.",""),IF(OR($U47="PAID",$U47="CLOSED"),IF($U47="PAID","Account paid. Action completed.","Account closed. No further action required."),CHOOSE($Z47,"Collection Email","1st Email Follow-up","2nd Email Follow-up","Escalation to Local Office","Escalation to CBE","Escalation to Roxanne")&amp;" sent "&amp;TEXT($AA47,"dd-mmm")&amp;". "&amp;IF($Z47=6,"Final escalation completed.",IF($U47="OVERDUE","Next: "&amp;$AC47&amp;" was due "&amp;TEXT($AB47,"dd-mmm")&amp;" - "&amp;(NETWORKDAYS($AB47,TODAY(),Holidays)-1)&amp;" business day(s) late. Send now.",IF($U47="DUE TOMORROW","Next: "&amp;$AC47&amp;IF($AB47&lt;=TODAY()," is due TODAY ("," is due next business day (")&amp;TEXT($AB47,"dd-mmm")&amp;").","Next: "&amp;$AC47&amp;" due "&amp;TEXT($AB47,"dd-mmm")&amp;" ("&amp;(NETWORKDAYS(TODAY(),$AB47,Holidays)-1)&amp;" business day(s) left).")))))</f>
        <v/>
      </c>
      <c r="W47" s="17">
        <f>IF($Z47="","",CHOOSE($Z47,"Collection Email","1st Follow-up","2nd Follow-up","Local Office","CBE","Roxanne")&amp;IF($Z47=6," - Final"," - Day "&amp;MAX(0,NETWORKDAYS($AA47,TODAY(),Holidays)-1)&amp;" of "&amp;CHOOSE($Z47,3,3,2,2,3))&amp;" | Total Day "&amp;MAX(0,NETWORKDAYS($N47,TODAY(),Holidays)-1))</f>
        <v/>
      </c>
      <c r="X47" s="18"/>
      <c r="Y47" s="18"/>
      <c r="Z47" s="17">
        <f>IF($N47="","",COUNT($N47:$S47))</f>
        <v/>
      </c>
      <c r="AA47" s="19">
        <f>IF($Z47="","",INT(INDEX($N47:$S47,$Z47)))</f>
        <v/>
      </c>
      <c r="AB47" s="19">
        <f>IF(OR($Z47="",$Z47=6),"",WORKDAY($AA47,CHOOSE($Z47,3,3,2,2,3),Holidays))</f>
        <v/>
      </c>
      <c r="AC47" s="17">
        <f>IF(OR($Z47="",$Z47=6),"",CHOOSE($Z47,"1st Email Follow-up","2nd Email Follow-up","Escalate Local Office","Escalate to CBE","Escalate to Roxanne"))</f>
        <v/>
      </c>
    </row>
    <row r="48" spans="13:29">
      <c r="M48" s="14"/>
      <c r="T48" s="16"/>
      <c r="U48" s="17">
        <f>IF(AND(COUNTA($A48:$L48)=0,$N48=""),"",IF($T48="Paid","PAID",IF($T48="Closed","CLOSED",IF($Z48="","",IF($Z48=6,"ESCALATED TO ROXANNE",IF(TODAY()&gt;$AB48,"OVERDUE",IF($AB48&lt;=WORKDAY(TODAY(),1,Holidays),"DUE TOMORROW",IF($Z48=4,"ESCALATED TO LOCAL OFFICE",IF($Z48=5,"ESCALATED TO CBE",IF($AA48=TODAY(),"EMAIL SENT","MONITORING"))))))))))</f>
        <v/>
      </c>
      <c r="V48" s="17">
        <f>IF($U48="",IF(AND(COUNTA($A48:$L48)&gt;0,$N48=""),"Awaiting Collection Email time stamp.",""),IF(OR($U48="PAID",$U48="CLOSED"),IF($U48="PAID","Account paid. Action completed.","Account closed. No further action required."),CHOOSE($Z48,"Collection Email","1st Email Follow-up","2nd Email Follow-up","Escalation to Local Office","Escalation to CBE","Escalation to Roxanne")&amp;" sent "&amp;TEXT($AA48,"dd-mmm")&amp;". "&amp;IF($Z48=6,"Final escalation completed.",IF($U48="OVERDUE","Next: "&amp;$AC48&amp;" was due "&amp;TEXT($AB48,"dd-mmm")&amp;" - "&amp;(NETWORKDAYS($AB48,TODAY(),Holidays)-1)&amp;" business day(s) late. Send now.",IF($U48="DUE TOMORROW","Next: "&amp;$AC48&amp;IF($AB48&lt;=TODAY()," is due TODAY ("," is due next business day (")&amp;TEXT($AB48,"dd-mmm")&amp;").","Next: "&amp;$AC48&amp;" due "&amp;TEXT($AB48,"dd-mmm")&amp;" ("&amp;(NETWORKDAYS(TODAY(),$AB48,Holidays)-1)&amp;" business day(s) left).")))))</f>
        <v/>
      </c>
      <c r="W48" s="17">
        <f>IF($Z48="","",CHOOSE($Z48,"Collection Email","1st Follow-up","2nd Follow-up","Local Office","CBE","Roxanne")&amp;IF($Z48=6," - Final"," - Day "&amp;MAX(0,NETWORKDAYS($AA48,TODAY(),Holidays)-1)&amp;" of "&amp;CHOOSE($Z48,3,3,2,2,3))&amp;" | Total Day "&amp;MAX(0,NETWORKDAYS($N48,TODAY(),Holidays)-1))</f>
        <v/>
      </c>
      <c r="X48" s="18"/>
      <c r="Y48" s="18"/>
      <c r="Z48" s="17">
        <f>IF($N48="","",COUNT($N48:$S48))</f>
        <v/>
      </c>
      <c r="AA48" s="19">
        <f>IF($Z48="","",INT(INDEX($N48:$S48,$Z48)))</f>
        <v/>
      </c>
      <c r="AB48" s="19">
        <f>IF(OR($Z48="",$Z48=6),"",WORKDAY($AA48,CHOOSE($Z48,3,3,2,2,3),Holidays))</f>
        <v/>
      </c>
      <c r="AC48" s="17">
        <f>IF(OR($Z48="",$Z48=6),"",CHOOSE($Z48,"1st Email Follow-up","2nd Email Follow-up","Escalate Local Office","Escalate to CBE","Escalate to Roxanne"))</f>
        <v/>
      </c>
    </row>
    <row r="49" spans="13:29">
      <c r="M49" s="14"/>
      <c r="T49" s="16"/>
      <c r="U49" s="17">
        <f>IF(AND(COUNTA($A49:$L49)=0,$N49=""),"",IF($T49="Paid","PAID",IF($T49="Closed","CLOSED",IF($Z49="","",IF($Z49=6,"ESCALATED TO ROXANNE",IF(TODAY()&gt;$AB49,"OVERDUE",IF($AB49&lt;=WORKDAY(TODAY(),1,Holidays),"DUE TOMORROW",IF($Z49=4,"ESCALATED TO LOCAL OFFICE",IF($Z49=5,"ESCALATED TO CBE",IF($AA49=TODAY(),"EMAIL SENT","MONITORING"))))))))))</f>
        <v/>
      </c>
      <c r="V49" s="17">
        <f>IF($U49="",IF(AND(COUNTA($A49:$L49)&gt;0,$N49=""),"Awaiting Collection Email time stamp.",""),IF(OR($U49="PAID",$U49="CLOSED"),IF($U49="PAID","Account paid. Action completed.","Account closed. No further action required."),CHOOSE($Z49,"Collection Email","1st Email Follow-up","2nd Email Follow-up","Escalation to Local Office","Escalation to CBE","Escalation to Roxanne")&amp;" sent "&amp;TEXT($AA49,"dd-mmm")&amp;". "&amp;IF($Z49=6,"Final escalation completed.",IF($U49="OVERDUE","Next: "&amp;$AC49&amp;" was due "&amp;TEXT($AB49,"dd-mmm")&amp;" - "&amp;(NETWORKDAYS($AB49,TODAY(),Holidays)-1)&amp;" business day(s) late. Send now.",IF($U49="DUE TOMORROW","Next: "&amp;$AC49&amp;IF($AB49&lt;=TODAY()," is due TODAY ("," is due next business day (")&amp;TEXT($AB49,"dd-mmm")&amp;").","Next: "&amp;$AC49&amp;" due "&amp;TEXT($AB49,"dd-mmm")&amp;" ("&amp;(NETWORKDAYS(TODAY(),$AB49,Holidays)-1)&amp;" business day(s) left).")))))</f>
        <v/>
      </c>
      <c r="W49" s="17">
        <f>IF($Z49="","",CHOOSE($Z49,"Collection Email","1st Follow-up","2nd Follow-up","Local Office","CBE","Roxanne")&amp;IF($Z49=6," - Final"," - Day "&amp;MAX(0,NETWORKDAYS($AA49,TODAY(),Holidays)-1)&amp;" of "&amp;CHOOSE($Z49,3,3,2,2,3))&amp;" | Total Day "&amp;MAX(0,NETWORKDAYS($N49,TODAY(),Holidays)-1))</f>
        <v/>
      </c>
      <c r="X49" s="18"/>
      <c r="Y49" s="18"/>
      <c r="Z49" s="17">
        <f>IF($N49="","",COUNT($N49:$S49))</f>
        <v/>
      </c>
      <c r="AA49" s="19">
        <f>IF($Z49="","",INT(INDEX($N49:$S49,$Z49)))</f>
        <v/>
      </c>
      <c r="AB49" s="19">
        <f>IF(OR($Z49="",$Z49=6),"",WORKDAY($AA49,CHOOSE($Z49,3,3,2,2,3),Holidays))</f>
        <v/>
      </c>
      <c r="AC49" s="17">
        <f>IF(OR($Z49="",$Z49=6),"",CHOOSE($Z49,"1st Email Follow-up","2nd Email Follow-up","Escalate Local Office","Escalate to CBE","Escalate to Roxanne"))</f>
        <v/>
      </c>
    </row>
    <row r="50" spans="13:29">
      <c r="M50" s="14"/>
      <c r="T50" s="16"/>
      <c r="U50" s="17">
        <f>IF(AND(COUNTA($A50:$L50)=0,$N50=""),"",IF($T50="Paid","PAID",IF($T50="Closed","CLOSED",IF($Z50="","",IF($Z50=6,"ESCALATED TO ROXANNE",IF(TODAY()&gt;$AB50,"OVERDUE",IF($AB50&lt;=WORKDAY(TODAY(),1,Holidays),"DUE TOMORROW",IF($Z50=4,"ESCALATED TO LOCAL OFFICE",IF($Z50=5,"ESCALATED TO CBE",IF($AA50=TODAY(),"EMAIL SENT","MONITORING"))))))))))</f>
        <v/>
      </c>
      <c r="V50" s="17">
        <f>IF($U50="",IF(AND(COUNTA($A50:$L50)&gt;0,$N50=""),"Awaiting Collection Email time stamp.",""),IF(OR($U50="PAID",$U50="CLOSED"),IF($U50="PAID","Account paid. Action completed.","Account closed. No further action required."),CHOOSE($Z50,"Collection Email","1st Email Follow-up","2nd Email Follow-up","Escalation to Local Office","Escalation to CBE","Escalation to Roxanne")&amp;" sent "&amp;TEXT($AA50,"dd-mmm")&amp;". "&amp;IF($Z50=6,"Final escalation completed.",IF($U50="OVERDUE","Next: "&amp;$AC50&amp;" was due "&amp;TEXT($AB50,"dd-mmm")&amp;" - "&amp;(NETWORKDAYS($AB50,TODAY(),Holidays)-1)&amp;" business day(s) late. Send now.",IF($U50="DUE TOMORROW","Next: "&amp;$AC50&amp;IF($AB50&lt;=TODAY()," is due TODAY ("," is due next business day (")&amp;TEXT($AB50,"dd-mmm")&amp;").","Next: "&amp;$AC50&amp;" due "&amp;TEXT($AB50,"dd-mmm")&amp;" ("&amp;(NETWORKDAYS(TODAY(),$AB50,Holidays)-1)&amp;" business day(s) left).")))))</f>
        <v/>
      </c>
      <c r="W50" s="17">
        <f>IF($Z50="","",CHOOSE($Z50,"Collection Email","1st Follow-up","2nd Follow-up","Local Office","CBE","Roxanne")&amp;IF($Z50=6," - Final"," - Day "&amp;MAX(0,NETWORKDAYS($AA50,TODAY(),Holidays)-1)&amp;" of "&amp;CHOOSE($Z50,3,3,2,2,3))&amp;" | Total Day "&amp;MAX(0,NETWORKDAYS($N50,TODAY(),Holidays)-1))</f>
        <v/>
      </c>
      <c r="X50" s="18"/>
      <c r="Y50" s="18"/>
      <c r="Z50" s="17">
        <f>IF($N50="","",COUNT($N50:$S50))</f>
        <v/>
      </c>
      <c r="AA50" s="19">
        <f>IF($Z50="","",INT(INDEX($N50:$S50,$Z50)))</f>
        <v/>
      </c>
      <c r="AB50" s="19">
        <f>IF(OR($Z50="",$Z50=6),"",WORKDAY($AA50,CHOOSE($Z50,3,3,2,2,3),Holidays))</f>
        <v/>
      </c>
      <c r="AC50" s="17">
        <f>IF(OR($Z50="",$Z50=6),"",CHOOSE($Z50,"1st Email Follow-up","2nd Email Follow-up","Escalate Local Office","Escalate to CBE","Escalate to Roxanne"))</f>
        <v/>
      </c>
    </row>
    <row r="51" spans="13:29">
      <c r="M51" s="14"/>
      <c r="T51" s="16"/>
      <c r="U51" s="17">
        <f>IF(AND(COUNTA($A51:$L51)=0,$N51=""),"",IF($T51="Paid","PAID",IF($T51="Closed","CLOSED",IF($Z51="","",IF($Z51=6,"ESCALATED TO ROXANNE",IF(TODAY()&gt;$AB51,"OVERDUE",IF($AB51&lt;=WORKDAY(TODAY(),1,Holidays),"DUE TOMORROW",IF($Z51=4,"ESCALATED TO LOCAL OFFICE",IF($Z51=5,"ESCALATED TO CBE",IF($AA51=TODAY(),"EMAIL SENT","MONITORING"))))))))))</f>
        <v/>
      </c>
      <c r="V51" s="17">
        <f>IF($U51="",IF(AND(COUNTA($A51:$L51)&gt;0,$N51=""),"Awaiting Collection Email time stamp.",""),IF(OR($U51="PAID",$U51="CLOSED"),IF($U51="PAID","Account paid. Action completed.","Account closed. No further action required."),CHOOSE($Z51,"Collection Email","1st Email Follow-up","2nd Email Follow-up","Escalation to Local Office","Escalation to CBE","Escalation to Roxanne")&amp;" sent "&amp;TEXT($AA51,"dd-mmm")&amp;". "&amp;IF($Z51=6,"Final escalation completed.",IF($U51="OVERDUE","Next: "&amp;$AC51&amp;" was due "&amp;TEXT($AB51,"dd-mmm")&amp;" - "&amp;(NETWORKDAYS($AB51,TODAY(),Holidays)-1)&amp;" business day(s) late. Send now.",IF($U51="DUE TOMORROW","Next: "&amp;$AC51&amp;IF($AB51&lt;=TODAY()," is due TODAY ("," is due next business day (")&amp;TEXT($AB51,"dd-mmm")&amp;").","Next: "&amp;$AC51&amp;" due "&amp;TEXT($AB51,"dd-mmm")&amp;" ("&amp;(NETWORKDAYS(TODAY(),$AB51,Holidays)-1)&amp;" business day(s) left).")))))</f>
        <v/>
      </c>
      <c r="W51" s="17">
        <f>IF($Z51="","",CHOOSE($Z51,"Collection Email","1st Follow-up","2nd Follow-up","Local Office","CBE","Roxanne")&amp;IF($Z51=6," - Final"," - Day "&amp;MAX(0,NETWORKDAYS($AA51,TODAY(),Holidays)-1)&amp;" of "&amp;CHOOSE($Z51,3,3,2,2,3))&amp;" | Total Day "&amp;MAX(0,NETWORKDAYS($N51,TODAY(),Holidays)-1))</f>
        <v/>
      </c>
      <c r="X51" s="18"/>
      <c r="Y51" s="18"/>
      <c r="Z51" s="17">
        <f>IF($N51="","",COUNT($N51:$S51))</f>
        <v/>
      </c>
      <c r="AA51" s="19">
        <f>IF($Z51="","",INT(INDEX($N51:$S51,$Z51)))</f>
        <v/>
      </c>
      <c r="AB51" s="19">
        <f>IF(OR($Z51="",$Z51=6),"",WORKDAY($AA51,CHOOSE($Z51,3,3,2,2,3),Holidays))</f>
        <v/>
      </c>
      <c r="AC51" s="17">
        <f>IF(OR($Z51="",$Z51=6),"",CHOOSE($Z51,"1st Email Follow-up","2nd Email Follow-up","Escalate Local Office","Escalate to CBE","Escalate to Roxanne"))</f>
        <v/>
      </c>
    </row>
    <row r="52" spans="13:29">
      <c r="M52" s="14"/>
      <c r="T52" s="16"/>
      <c r="U52" s="17">
        <f>IF(AND(COUNTA($A52:$L52)=0,$N52=""),"",IF($T52="Paid","PAID",IF($T52="Closed","CLOSED",IF($Z52="","",IF($Z52=6,"ESCALATED TO ROXANNE",IF(TODAY()&gt;$AB52,"OVERDUE",IF($AB52&lt;=WORKDAY(TODAY(),1,Holidays),"DUE TOMORROW",IF($Z52=4,"ESCALATED TO LOCAL OFFICE",IF($Z52=5,"ESCALATED TO CBE",IF($AA52=TODAY(),"EMAIL SENT","MONITORING"))))))))))</f>
        <v/>
      </c>
      <c r="V52" s="17">
        <f>IF($U52="",IF(AND(COUNTA($A52:$L52)&gt;0,$N52=""),"Awaiting Collection Email time stamp.",""),IF(OR($U52="PAID",$U52="CLOSED"),IF($U52="PAID","Account paid. Action completed.","Account closed. No further action required."),CHOOSE($Z52,"Collection Email","1st Email Follow-up","2nd Email Follow-up","Escalation to Local Office","Escalation to CBE","Escalation to Roxanne")&amp;" sent "&amp;TEXT($AA52,"dd-mmm")&amp;". "&amp;IF($Z52=6,"Final escalation completed.",IF($U52="OVERDUE","Next: "&amp;$AC52&amp;" was due "&amp;TEXT($AB52,"dd-mmm")&amp;" - "&amp;(NETWORKDAYS($AB52,TODAY(),Holidays)-1)&amp;" business day(s) late. Send now.",IF($U52="DUE TOMORROW","Next: "&amp;$AC52&amp;IF($AB52&lt;=TODAY()," is due TODAY ("," is due next business day (")&amp;TEXT($AB52,"dd-mmm")&amp;").","Next: "&amp;$AC52&amp;" due "&amp;TEXT($AB52,"dd-mmm")&amp;" ("&amp;(NETWORKDAYS(TODAY(),$AB52,Holidays)-1)&amp;" business day(s) left).")))))</f>
        <v/>
      </c>
      <c r="W52" s="17">
        <f>IF($Z52="","",CHOOSE($Z52,"Collection Email","1st Follow-up","2nd Follow-up","Local Office","CBE","Roxanne")&amp;IF($Z52=6," - Final"," - Day "&amp;MAX(0,NETWORKDAYS($AA52,TODAY(),Holidays)-1)&amp;" of "&amp;CHOOSE($Z52,3,3,2,2,3))&amp;" | Total Day "&amp;MAX(0,NETWORKDAYS($N52,TODAY(),Holidays)-1))</f>
        <v/>
      </c>
      <c r="X52" s="18"/>
      <c r="Y52" s="18"/>
      <c r="Z52" s="17">
        <f>IF($N52="","",COUNT($N52:$S52))</f>
        <v/>
      </c>
      <c r="AA52" s="19">
        <f>IF($Z52="","",INT(INDEX($N52:$S52,$Z52)))</f>
        <v/>
      </c>
      <c r="AB52" s="19">
        <f>IF(OR($Z52="",$Z52=6),"",WORKDAY($AA52,CHOOSE($Z52,3,3,2,2,3),Holidays))</f>
        <v/>
      </c>
      <c r="AC52" s="17">
        <f>IF(OR($Z52="",$Z52=6),"",CHOOSE($Z52,"1st Email Follow-up","2nd Email Follow-up","Escalate Local Office","Escalate to CBE","Escalate to Roxanne"))</f>
        <v/>
      </c>
    </row>
    <row r="53" spans="13:29">
      <c r="M53" s="14"/>
      <c r="T53" s="16"/>
      <c r="U53" s="17">
        <f>IF(AND(COUNTA($A53:$L53)=0,$N53=""),"",IF($T53="Paid","PAID",IF($T53="Closed","CLOSED",IF($Z53="","",IF($Z53=6,"ESCALATED TO ROXANNE",IF(TODAY()&gt;$AB53,"OVERDUE",IF($AB53&lt;=WORKDAY(TODAY(),1,Holidays),"DUE TOMORROW",IF($Z53=4,"ESCALATED TO LOCAL OFFICE",IF($Z53=5,"ESCALATED TO CBE",IF($AA53=TODAY(),"EMAIL SENT","MONITORING"))))))))))</f>
        <v/>
      </c>
      <c r="V53" s="17">
        <f>IF($U53="",IF(AND(COUNTA($A53:$L53)&gt;0,$N53=""),"Awaiting Collection Email time stamp.",""),IF(OR($U53="PAID",$U53="CLOSED"),IF($U53="PAID","Account paid. Action completed.","Account closed. No further action required."),CHOOSE($Z53,"Collection Email","1st Email Follow-up","2nd Email Follow-up","Escalation to Local Office","Escalation to CBE","Escalation to Roxanne")&amp;" sent "&amp;TEXT($AA53,"dd-mmm")&amp;". "&amp;IF($Z53=6,"Final escalation completed.",IF($U53="OVERDUE","Next: "&amp;$AC53&amp;" was due "&amp;TEXT($AB53,"dd-mmm")&amp;" - "&amp;(NETWORKDAYS($AB53,TODAY(),Holidays)-1)&amp;" business day(s) late. Send now.",IF($U53="DUE TOMORROW","Next: "&amp;$AC53&amp;IF($AB53&lt;=TODAY()," is due TODAY ("," is due next business day (")&amp;TEXT($AB53,"dd-mmm")&amp;").","Next: "&amp;$AC53&amp;" due "&amp;TEXT($AB53,"dd-mmm")&amp;" ("&amp;(NETWORKDAYS(TODAY(),$AB53,Holidays)-1)&amp;" business day(s) left).")))))</f>
        <v/>
      </c>
      <c r="W53" s="17">
        <f>IF($Z53="","",CHOOSE($Z53,"Collection Email","1st Follow-up","2nd Follow-up","Local Office","CBE","Roxanne")&amp;IF($Z53=6," - Final"," - Day "&amp;MAX(0,NETWORKDAYS($AA53,TODAY(),Holidays)-1)&amp;" of "&amp;CHOOSE($Z53,3,3,2,2,3))&amp;" | Total Day "&amp;MAX(0,NETWORKDAYS($N53,TODAY(),Holidays)-1))</f>
        <v/>
      </c>
      <c r="X53" s="18"/>
      <c r="Y53" s="18"/>
      <c r="Z53" s="17">
        <f>IF($N53="","",COUNT($N53:$S53))</f>
        <v/>
      </c>
      <c r="AA53" s="19">
        <f>IF($Z53="","",INT(INDEX($N53:$S53,$Z53)))</f>
        <v/>
      </c>
      <c r="AB53" s="19">
        <f>IF(OR($Z53="",$Z53=6),"",WORKDAY($AA53,CHOOSE($Z53,3,3,2,2,3),Holidays))</f>
        <v/>
      </c>
      <c r="AC53" s="17">
        <f>IF(OR($Z53="",$Z53=6),"",CHOOSE($Z53,"1st Email Follow-up","2nd Email Follow-up","Escalate Local Office","Escalate to CBE","Escalate to Roxanne"))</f>
        <v/>
      </c>
    </row>
    <row r="54" spans="13:29">
      <c r="M54" s="14"/>
      <c r="T54" s="16"/>
      <c r="U54" s="17">
        <f>IF(AND(COUNTA($A54:$L54)=0,$N54=""),"",IF($T54="Paid","PAID",IF($T54="Closed","CLOSED",IF($Z54="","",IF($Z54=6,"ESCALATED TO ROXANNE",IF(TODAY()&gt;$AB54,"OVERDUE",IF($AB54&lt;=WORKDAY(TODAY(),1,Holidays),"DUE TOMORROW",IF($Z54=4,"ESCALATED TO LOCAL OFFICE",IF($Z54=5,"ESCALATED TO CBE",IF($AA54=TODAY(),"EMAIL SENT","MONITORING"))))))))))</f>
        <v/>
      </c>
      <c r="V54" s="17">
        <f>IF($U54="",IF(AND(COUNTA($A54:$L54)&gt;0,$N54=""),"Awaiting Collection Email time stamp.",""),IF(OR($U54="PAID",$U54="CLOSED"),IF($U54="PAID","Account paid. Action completed.","Account closed. No further action required."),CHOOSE($Z54,"Collection Email","1st Email Follow-up","2nd Email Follow-up","Escalation to Local Office","Escalation to CBE","Escalation to Roxanne")&amp;" sent "&amp;TEXT($AA54,"dd-mmm")&amp;". "&amp;IF($Z54=6,"Final escalation completed.",IF($U54="OVERDUE","Next: "&amp;$AC54&amp;" was due "&amp;TEXT($AB54,"dd-mmm")&amp;" - "&amp;(NETWORKDAYS($AB54,TODAY(),Holidays)-1)&amp;" business day(s) late. Send now.",IF($U54="DUE TOMORROW","Next: "&amp;$AC54&amp;IF($AB54&lt;=TODAY()," is due TODAY ("," is due next business day (")&amp;TEXT($AB54,"dd-mmm")&amp;").","Next: "&amp;$AC54&amp;" due "&amp;TEXT($AB54,"dd-mmm")&amp;" ("&amp;(NETWORKDAYS(TODAY(),$AB54,Holidays)-1)&amp;" business day(s) left).")))))</f>
        <v/>
      </c>
      <c r="W54" s="17">
        <f>IF($Z54="","",CHOOSE($Z54,"Collection Email","1st Follow-up","2nd Follow-up","Local Office","CBE","Roxanne")&amp;IF($Z54=6," - Final"," - Day "&amp;MAX(0,NETWORKDAYS($AA54,TODAY(),Holidays)-1)&amp;" of "&amp;CHOOSE($Z54,3,3,2,2,3))&amp;" | Total Day "&amp;MAX(0,NETWORKDAYS($N54,TODAY(),Holidays)-1))</f>
        <v/>
      </c>
      <c r="X54" s="18"/>
      <c r="Y54" s="18"/>
      <c r="Z54" s="17">
        <f>IF($N54="","",COUNT($N54:$S54))</f>
        <v/>
      </c>
      <c r="AA54" s="19">
        <f>IF($Z54="","",INT(INDEX($N54:$S54,$Z54)))</f>
        <v/>
      </c>
      <c r="AB54" s="19">
        <f>IF(OR($Z54="",$Z54=6),"",WORKDAY($AA54,CHOOSE($Z54,3,3,2,2,3),Holidays))</f>
        <v/>
      </c>
      <c r="AC54" s="17">
        <f>IF(OR($Z54="",$Z54=6),"",CHOOSE($Z54,"1st Email Follow-up","2nd Email Follow-up","Escalate Local Office","Escalate to CBE","Escalate to Roxanne"))</f>
        <v/>
      </c>
    </row>
    <row r="55" spans="13:29">
      <c r="M55" s="14"/>
      <c r="T55" s="16"/>
      <c r="U55" s="17">
        <f>IF(AND(COUNTA($A55:$L55)=0,$N55=""),"",IF($T55="Paid","PAID",IF($T55="Closed","CLOSED",IF($Z55="","",IF($Z55=6,"ESCALATED TO ROXANNE",IF(TODAY()&gt;$AB55,"OVERDUE",IF($AB55&lt;=WORKDAY(TODAY(),1,Holidays),"DUE TOMORROW",IF($Z55=4,"ESCALATED TO LOCAL OFFICE",IF($Z55=5,"ESCALATED TO CBE",IF($AA55=TODAY(),"EMAIL SENT","MONITORING"))))))))))</f>
        <v/>
      </c>
      <c r="V55" s="17">
        <f>IF($U55="",IF(AND(COUNTA($A55:$L55)&gt;0,$N55=""),"Awaiting Collection Email time stamp.",""),IF(OR($U55="PAID",$U55="CLOSED"),IF($U55="PAID","Account paid. Action completed.","Account closed. No further action required."),CHOOSE($Z55,"Collection Email","1st Email Follow-up","2nd Email Follow-up","Escalation to Local Office","Escalation to CBE","Escalation to Roxanne")&amp;" sent "&amp;TEXT($AA55,"dd-mmm")&amp;". "&amp;IF($Z55=6,"Final escalation completed.",IF($U55="OVERDUE","Next: "&amp;$AC55&amp;" was due "&amp;TEXT($AB55,"dd-mmm")&amp;" - "&amp;(NETWORKDAYS($AB55,TODAY(),Holidays)-1)&amp;" business day(s) late. Send now.",IF($U55="DUE TOMORROW","Next: "&amp;$AC55&amp;IF($AB55&lt;=TODAY()," is due TODAY ("," is due next business day (")&amp;TEXT($AB55,"dd-mmm")&amp;").","Next: "&amp;$AC55&amp;" due "&amp;TEXT($AB55,"dd-mmm")&amp;" ("&amp;(NETWORKDAYS(TODAY(),$AB55,Holidays)-1)&amp;" business day(s) left).")))))</f>
        <v/>
      </c>
      <c r="W55" s="17">
        <f>IF($Z55="","",CHOOSE($Z55,"Collection Email","1st Follow-up","2nd Follow-up","Local Office","CBE","Roxanne")&amp;IF($Z55=6," - Final"," - Day "&amp;MAX(0,NETWORKDAYS($AA55,TODAY(),Holidays)-1)&amp;" of "&amp;CHOOSE($Z55,3,3,2,2,3))&amp;" | Total Day "&amp;MAX(0,NETWORKDAYS($N55,TODAY(),Holidays)-1))</f>
        <v/>
      </c>
      <c r="X55" s="18"/>
      <c r="Y55" s="18"/>
      <c r="Z55" s="17">
        <f>IF($N55="","",COUNT($N55:$S55))</f>
        <v/>
      </c>
      <c r="AA55" s="19">
        <f>IF($Z55="","",INT(INDEX($N55:$S55,$Z55)))</f>
        <v/>
      </c>
      <c r="AB55" s="19">
        <f>IF(OR($Z55="",$Z55=6),"",WORKDAY($AA55,CHOOSE($Z55,3,3,2,2,3),Holidays))</f>
        <v/>
      </c>
      <c r="AC55" s="17">
        <f>IF(OR($Z55="",$Z55=6),"",CHOOSE($Z55,"1st Email Follow-up","2nd Email Follow-up","Escalate Local Office","Escalate to CBE","Escalate to Roxanne"))</f>
        <v/>
      </c>
    </row>
    <row r="56" spans="13:29">
      <c r="M56" s="14"/>
      <c r="T56" s="16"/>
      <c r="U56" s="17">
        <f>IF(AND(COUNTA($A56:$L56)=0,$N56=""),"",IF($T56="Paid","PAID",IF($T56="Closed","CLOSED",IF($Z56="","",IF($Z56=6,"ESCALATED TO ROXANNE",IF(TODAY()&gt;$AB56,"OVERDUE",IF($AB56&lt;=WORKDAY(TODAY(),1,Holidays),"DUE TOMORROW",IF($Z56=4,"ESCALATED TO LOCAL OFFICE",IF($Z56=5,"ESCALATED TO CBE",IF($AA56=TODAY(),"EMAIL SENT","MONITORING"))))))))))</f>
        <v/>
      </c>
      <c r="V56" s="17">
        <f>IF($U56="",IF(AND(COUNTA($A56:$L56)&gt;0,$N56=""),"Awaiting Collection Email time stamp.",""),IF(OR($U56="PAID",$U56="CLOSED"),IF($U56="PAID","Account paid. Action completed.","Account closed. No further action required."),CHOOSE($Z56,"Collection Email","1st Email Follow-up","2nd Email Follow-up","Escalation to Local Office","Escalation to CBE","Escalation to Roxanne")&amp;" sent "&amp;TEXT($AA56,"dd-mmm")&amp;". "&amp;IF($Z56=6,"Final escalation completed.",IF($U56="OVERDUE","Next: "&amp;$AC56&amp;" was due "&amp;TEXT($AB56,"dd-mmm")&amp;" - "&amp;(NETWORKDAYS($AB56,TODAY(),Holidays)-1)&amp;" business day(s) late. Send now.",IF($U56="DUE TOMORROW","Next: "&amp;$AC56&amp;IF($AB56&lt;=TODAY()," is due TODAY ("," is due next business day (")&amp;TEXT($AB56,"dd-mmm")&amp;").","Next: "&amp;$AC56&amp;" due "&amp;TEXT($AB56,"dd-mmm")&amp;" ("&amp;(NETWORKDAYS(TODAY(),$AB56,Holidays)-1)&amp;" business day(s) left).")))))</f>
        <v/>
      </c>
      <c r="W56" s="17">
        <f>IF($Z56="","",CHOOSE($Z56,"Collection Email","1st Follow-up","2nd Follow-up","Local Office","CBE","Roxanne")&amp;IF($Z56=6," - Final"," - Day "&amp;MAX(0,NETWORKDAYS($AA56,TODAY(),Holidays)-1)&amp;" of "&amp;CHOOSE($Z56,3,3,2,2,3))&amp;" | Total Day "&amp;MAX(0,NETWORKDAYS($N56,TODAY(),Holidays)-1))</f>
        <v/>
      </c>
      <c r="X56" s="18"/>
      <c r="Y56" s="18"/>
      <c r="Z56" s="17">
        <f>IF($N56="","",COUNT($N56:$S56))</f>
        <v/>
      </c>
      <c r="AA56" s="19">
        <f>IF($Z56="","",INT(INDEX($N56:$S56,$Z56)))</f>
        <v/>
      </c>
      <c r="AB56" s="19">
        <f>IF(OR($Z56="",$Z56=6),"",WORKDAY($AA56,CHOOSE($Z56,3,3,2,2,3),Holidays))</f>
        <v/>
      </c>
      <c r="AC56" s="17">
        <f>IF(OR($Z56="",$Z56=6),"",CHOOSE($Z56,"1st Email Follow-up","2nd Email Follow-up","Escalate Local Office","Escalate to CBE","Escalate to Roxanne"))</f>
        <v/>
      </c>
    </row>
    <row r="57" spans="13:29">
      <c r="M57" s="14"/>
      <c r="T57" s="16"/>
      <c r="U57" s="17">
        <f>IF(AND(COUNTA($A57:$L57)=0,$N57=""),"",IF($T57="Paid","PAID",IF($T57="Closed","CLOSED",IF($Z57="","",IF($Z57=6,"ESCALATED TO ROXANNE",IF(TODAY()&gt;$AB57,"OVERDUE",IF($AB57&lt;=WORKDAY(TODAY(),1,Holidays),"DUE TOMORROW",IF($Z57=4,"ESCALATED TO LOCAL OFFICE",IF($Z57=5,"ESCALATED TO CBE",IF($AA57=TODAY(),"EMAIL SENT","MONITORING"))))))))))</f>
        <v/>
      </c>
      <c r="V57" s="17">
        <f>IF($U57="",IF(AND(COUNTA($A57:$L57)&gt;0,$N57=""),"Awaiting Collection Email time stamp.",""),IF(OR($U57="PAID",$U57="CLOSED"),IF($U57="PAID","Account paid. Action completed.","Account closed. No further action required."),CHOOSE($Z57,"Collection Email","1st Email Follow-up","2nd Email Follow-up","Escalation to Local Office","Escalation to CBE","Escalation to Roxanne")&amp;" sent "&amp;TEXT($AA57,"dd-mmm")&amp;". "&amp;IF($Z57=6,"Final escalation completed.",IF($U57="OVERDUE","Next: "&amp;$AC57&amp;" was due "&amp;TEXT($AB57,"dd-mmm")&amp;" - "&amp;(NETWORKDAYS($AB57,TODAY(),Holidays)-1)&amp;" business day(s) late. Send now.",IF($U57="DUE TOMORROW","Next: "&amp;$AC57&amp;IF($AB57&lt;=TODAY()," is due TODAY ("," is due next business day (")&amp;TEXT($AB57,"dd-mmm")&amp;").","Next: "&amp;$AC57&amp;" due "&amp;TEXT($AB57,"dd-mmm")&amp;" ("&amp;(NETWORKDAYS(TODAY(),$AB57,Holidays)-1)&amp;" business day(s) left).")))))</f>
        <v/>
      </c>
      <c r="W57" s="17">
        <f>IF($Z57="","",CHOOSE($Z57,"Collection Email","1st Follow-up","2nd Follow-up","Local Office","CBE","Roxanne")&amp;IF($Z57=6," - Final"," - Day "&amp;MAX(0,NETWORKDAYS($AA57,TODAY(),Holidays)-1)&amp;" of "&amp;CHOOSE($Z57,3,3,2,2,3))&amp;" | Total Day "&amp;MAX(0,NETWORKDAYS($N57,TODAY(),Holidays)-1))</f>
        <v/>
      </c>
      <c r="X57" s="18"/>
      <c r="Y57" s="18"/>
      <c r="Z57" s="17">
        <f>IF($N57="","",COUNT($N57:$S57))</f>
        <v/>
      </c>
      <c r="AA57" s="19">
        <f>IF($Z57="","",INT(INDEX($N57:$S57,$Z57)))</f>
        <v/>
      </c>
      <c r="AB57" s="19">
        <f>IF(OR($Z57="",$Z57=6),"",WORKDAY($AA57,CHOOSE($Z57,3,3,2,2,3),Holidays))</f>
        <v/>
      </c>
      <c r="AC57" s="17">
        <f>IF(OR($Z57="",$Z57=6),"",CHOOSE($Z57,"1st Email Follow-up","2nd Email Follow-up","Escalate Local Office","Escalate to CBE","Escalate to Roxanne"))</f>
        <v/>
      </c>
    </row>
    <row r="58" spans="13:29">
      <c r="M58" s="14"/>
      <c r="T58" s="16"/>
      <c r="U58" s="17">
        <f>IF(AND(COUNTA($A58:$L58)=0,$N58=""),"",IF($T58="Paid","PAID",IF($T58="Closed","CLOSED",IF($Z58="","",IF($Z58=6,"ESCALATED TO ROXANNE",IF(TODAY()&gt;$AB58,"OVERDUE",IF($AB58&lt;=WORKDAY(TODAY(),1,Holidays),"DUE TOMORROW",IF($Z58=4,"ESCALATED TO LOCAL OFFICE",IF($Z58=5,"ESCALATED TO CBE",IF($AA58=TODAY(),"EMAIL SENT","MONITORING"))))))))))</f>
        <v/>
      </c>
      <c r="V58" s="17">
        <f>IF($U58="",IF(AND(COUNTA($A58:$L58)&gt;0,$N58=""),"Awaiting Collection Email time stamp.",""),IF(OR($U58="PAID",$U58="CLOSED"),IF($U58="PAID","Account paid. Action completed.","Account closed. No further action required."),CHOOSE($Z58,"Collection Email","1st Email Follow-up","2nd Email Follow-up","Escalation to Local Office","Escalation to CBE","Escalation to Roxanne")&amp;" sent "&amp;TEXT($AA58,"dd-mmm")&amp;". "&amp;IF($Z58=6,"Final escalation completed.",IF($U58="OVERDUE","Next: "&amp;$AC58&amp;" was due "&amp;TEXT($AB58,"dd-mmm")&amp;" - "&amp;(NETWORKDAYS($AB58,TODAY(),Holidays)-1)&amp;" business day(s) late. Send now.",IF($U58="DUE TOMORROW","Next: "&amp;$AC58&amp;IF($AB58&lt;=TODAY()," is due TODAY ("," is due next business day (")&amp;TEXT($AB58,"dd-mmm")&amp;").","Next: "&amp;$AC58&amp;" due "&amp;TEXT($AB58,"dd-mmm")&amp;" ("&amp;(NETWORKDAYS(TODAY(),$AB58,Holidays)-1)&amp;" business day(s) left).")))))</f>
        <v/>
      </c>
      <c r="W58" s="17">
        <f>IF($Z58="","",CHOOSE($Z58,"Collection Email","1st Follow-up","2nd Follow-up","Local Office","CBE","Roxanne")&amp;IF($Z58=6," - Final"," - Day "&amp;MAX(0,NETWORKDAYS($AA58,TODAY(),Holidays)-1)&amp;" of "&amp;CHOOSE($Z58,3,3,2,2,3))&amp;" | Total Day "&amp;MAX(0,NETWORKDAYS($N58,TODAY(),Holidays)-1))</f>
        <v/>
      </c>
      <c r="X58" s="18"/>
      <c r="Y58" s="18"/>
      <c r="Z58" s="17">
        <f>IF($N58="","",COUNT($N58:$S58))</f>
        <v/>
      </c>
      <c r="AA58" s="19">
        <f>IF($Z58="","",INT(INDEX($N58:$S58,$Z58)))</f>
        <v/>
      </c>
      <c r="AB58" s="19">
        <f>IF(OR($Z58="",$Z58=6),"",WORKDAY($AA58,CHOOSE($Z58,3,3,2,2,3),Holidays))</f>
        <v/>
      </c>
      <c r="AC58" s="17">
        <f>IF(OR($Z58="",$Z58=6),"",CHOOSE($Z58,"1st Email Follow-up","2nd Email Follow-up","Escalate Local Office","Escalate to CBE","Escalate to Roxanne"))</f>
        <v/>
      </c>
    </row>
    <row r="59" spans="13:29">
      <c r="M59" s="14"/>
      <c r="T59" s="16"/>
      <c r="U59" s="17">
        <f>IF(AND(COUNTA($A59:$L59)=0,$N59=""),"",IF($T59="Paid","PAID",IF($T59="Closed","CLOSED",IF($Z59="","",IF($Z59=6,"ESCALATED TO ROXANNE",IF(TODAY()&gt;$AB59,"OVERDUE",IF($AB59&lt;=WORKDAY(TODAY(),1,Holidays),"DUE TOMORROW",IF($Z59=4,"ESCALATED TO LOCAL OFFICE",IF($Z59=5,"ESCALATED TO CBE",IF($AA59=TODAY(),"EMAIL SENT","MONITORING"))))))))))</f>
        <v/>
      </c>
      <c r="V59" s="17">
        <f>IF($U59="",IF(AND(COUNTA($A59:$L59)&gt;0,$N59=""),"Awaiting Collection Email time stamp.",""),IF(OR($U59="PAID",$U59="CLOSED"),IF($U59="PAID","Account paid. Action completed.","Account closed. No further action required."),CHOOSE($Z59,"Collection Email","1st Email Follow-up","2nd Email Follow-up","Escalation to Local Office","Escalation to CBE","Escalation to Roxanne")&amp;" sent "&amp;TEXT($AA59,"dd-mmm")&amp;". "&amp;IF($Z59=6,"Final escalation completed.",IF($U59="OVERDUE","Next: "&amp;$AC59&amp;" was due "&amp;TEXT($AB59,"dd-mmm")&amp;" - "&amp;(NETWORKDAYS($AB59,TODAY(),Holidays)-1)&amp;" business day(s) late. Send now.",IF($U59="DUE TOMORROW","Next: "&amp;$AC59&amp;IF($AB59&lt;=TODAY()," is due TODAY ("," is due next business day (")&amp;TEXT($AB59,"dd-mmm")&amp;").","Next: "&amp;$AC59&amp;" due "&amp;TEXT($AB59,"dd-mmm")&amp;" ("&amp;(NETWORKDAYS(TODAY(),$AB59,Holidays)-1)&amp;" business day(s) left).")))))</f>
        <v/>
      </c>
      <c r="W59" s="17">
        <f>IF($Z59="","",CHOOSE($Z59,"Collection Email","1st Follow-up","2nd Follow-up","Local Office","CBE","Roxanne")&amp;IF($Z59=6," - Final"," - Day "&amp;MAX(0,NETWORKDAYS($AA59,TODAY(),Holidays)-1)&amp;" of "&amp;CHOOSE($Z59,3,3,2,2,3))&amp;" | Total Day "&amp;MAX(0,NETWORKDAYS($N59,TODAY(),Holidays)-1))</f>
        <v/>
      </c>
      <c r="X59" s="18"/>
      <c r="Y59" s="18"/>
      <c r="Z59" s="17">
        <f>IF($N59="","",COUNT($N59:$S59))</f>
        <v/>
      </c>
      <c r="AA59" s="19">
        <f>IF($Z59="","",INT(INDEX($N59:$S59,$Z59)))</f>
        <v/>
      </c>
      <c r="AB59" s="19">
        <f>IF(OR($Z59="",$Z59=6),"",WORKDAY($AA59,CHOOSE($Z59,3,3,2,2,3),Holidays))</f>
        <v/>
      </c>
      <c r="AC59" s="17">
        <f>IF(OR($Z59="",$Z59=6),"",CHOOSE($Z59,"1st Email Follow-up","2nd Email Follow-up","Escalate Local Office","Escalate to CBE","Escalate to Roxanne"))</f>
        <v/>
      </c>
    </row>
    <row r="60" spans="13:29">
      <c r="M60" s="14"/>
      <c r="T60" s="16"/>
      <c r="U60" s="17">
        <f>IF(AND(COUNTA($A60:$L60)=0,$N60=""),"",IF($T60="Paid","PAID",IF($T60="Closed","CLOSED",IF($Z60="","",IF($Z60=6,"ESCALATED TO ROXANNE",IF(TODAY()&gt;$AB60,"OVERDUE",IF($AB60&lt;=WORKDAY(TODAY(),1,Holidays),"DUE TOMORROW",IF($Z60=4,"ESCALATED TO LOCAL OFFICE",IF($Z60=5,"ESCALATED TO CBE",IF($AA60=TODAY(),"EMAIL SENT","MONITORING"))))))))))</f>
        <v/>
      </c>
      <c r="V60" s="17">
        <f>IF($U60="",IF(AND(COUNTA($A60:$L60)&gt;0,$N60=""),"Awaiting Collection Email time stamp.",""),IF(OR($U60="PAID",$U60="CLOSED"),IF($U60="PAID","Account paid. Action completed.","Account closed. No further action required."),CHOOSE($Z60,"Collection Email","1st Email Follow-up","2nd Email Follow-up","Escalation to Local Office","Escalation to CBE","Escalation to Roxanne")&amp;" sent "&amp;TEXT($AA60,"dd-mmm")&amp;". "&amp;IF($Z60=6,"Final escalation completed.",IF($U60="OVERDUE","Next: "&amp;$AC60&amp;" was due "&amp;TEXT($AB60,"dd-mmm")&amp;" - "&amp;(NETWORKDAYS($AB60,TODAY(),Holidays)-1)&amp;" business day(s) late. Send now.",IF($U60="DUE TOMORROW","Next: "&amp;$AC60&amp;IF($AB60&lt;=TODAY()," is due TODAY ("," is due next business day (")&amp;TEXT($AB60,"dd-mmm")&amp;").","Next: "&amp;$AC60&amp;" due "&amp;TEXT($AB60,"dd-mmm")&amp;" ("&amp;(NETWORKDAYS(TODAY(),$AB60,Holidays)-1)&amp;" business day(s) left).")))))</f>
        <v/>
      </c>
      <c r="W60" s="17">
        <f>IF($Z60="","",CHOOSE($Z60,"Collection Email","1st Follow-up","2nd Follow-up","Local Office","CBE","Roxanne")&amp;IF($Z60=6," - Final"," - Day "&amp;MAX(0,NETWORKDAYS($AA60,TODAY(),Holidays)-1)&amp;" of "&amp;CHOOSE($Z60,3,3,2,2,3))&amp;" | Total Day "&amp;MAX(0,NETWORKDAYS($N60,TODAY(),Holidays)-1))</f>
        <v/>
      </c>
      <c r="X60" s="18"/>
      <c r="Y60" s="18"/>
      <c r="Z60" s="17">
        <f>IF($N60="","",COUNT($N60:$S60))</f>
        <v/>
      </c>
      <c r="AA60" s="19">
        <f>IF($Z60="","",INT(INDEX($N60:$S60,$Z60)))</f>
        <v/>
      </c>
      <c r="AB60" s="19">
        <f>IF(OR($Z60="",$Z60=6),"",WORKDAY($AA60,CHOOSE($Z60,3,3,2,2,3),Holidays))</f>
        <v/>
      </c>
      <c r="AC60" s="17">
        <f>IF(OR($Z60="",$Z60=6),"",CHOOSE($Z60,"1st Email Follow-up","2nd Email Follow-up","Escalate Local Office","Escalate to CBE","Escalate to Roxanne"))</f>
        <v/>
      </c>
    </row>
    <row r="61" spans="13:29">
      <c r="M61" s="14"/>
      <c r="T61" s="16"/>
      <c r="U61" s="17">
        <f>IF(AND(COUNTA($A61:$L61)=0,$N61=""),"",IF($T61="Paid","PAID",IF($T61="Closed","CLOSED",IF($Z61="","",IF($Z61=6,"ESCALATED TO ROXANNE",IF(TODAY()&gt;$AB61,"OVERDUE",IF($AB61&lt;=WORKDAY(TODAY(),1,Holidays),"DUE TOMORROW",IF($Z61=4,"ESCALATED TO LOCAL OFFICE",IF($Z61=5,"ESCALATED TO CBE",IF($AA61=TODAY(),"EMAIL SENT","MONITORING"))))))))))</f>
        <v/>
      </c>
      <c r="V61" s="17">
        <f>IF($U61="",IF(AND(COUNTA($A61:$L61)&gt;0,$N61=""),"Awaiting Collection Email time stamp.",""),IF(OR($U61="PAID",$U61="CLOSED"),IF($U61="PAID","Account paid. Action completed.","Account closed. No further action required."),CHOOSE($Z61,"Collection Email","1st Email Follow-up","2nd Email Follow-up","Escalation to Local Office","Escalation to CBE","Escalation to Roxanne")&amp;" sent "&amp;TEXT($AA61,"dd-mmm")&amp;". "&amp;IF($Z61=6,"Final escalation completed.",IF($U61="OVERDUE","Next: "&amp;$AC61&amp;" was due "&amp;TEXT($AB61,"dd-mmm")&amp;" - "&amp;(NETWORKDAYS($AB61,TODAY(),Holidays)-1)&amp;" business day(s) late. Send now.",IF($U61="DUE TOMORROW","Next: "&amp;$AC61&amp;IF($AB61&lt;=TODAY()," is due TODAY ("," is due next business day (")&amp;TEXT($AB61,"dd-mmm")&amp;").","Next: "&amp;$AC61&amp;" due "&amp;TEXT($AB61,"dd-mmm")&amp;" ("&amp;(NETWORKDAYS(TODAY(),$AB61,Holidays)-1)&amp;" business day(s) left).")))))</f>
        <v/>
      </c>
      <c r="W61" s="17">
        <f>IF($Z61="","",CHOOSE($Z61,"Collection Email","1st Follow-up","2nd Follow-up","Local Office","CBE","Roxanne")&amp;IF($Z61=6," - Final"," - Day "&amp;MAX(0,NETWORKDAYS($AA61,TODAY(),Holidays)-1)&amp;" of "&amp;CHOOSE($Z61,3,3,2,2,3))&amp;" | Total Day "&amp;MAX(0,NETWORKDAYS($N61,TODAY(),Holidays)-1))</f>
        <v/>
      </c>
      <c r="X61" s="18"/>
      <c r="Y61" s="18"/>
      <c r="Z61" s="17">
        <f>IF($N61="","",COUNT($N61:$S61))</f>
        <v/>
      </c>
      <c r="AA61" s="19">
        <f>IF($Z61="","",INT(INDEX($N61:$S61,$Z61)))</f>
        <v/>
      </c>
      <c r="AB61" s="19">
        <f>IF(OR($Z61="",$Z61=6),"",WORKDAY($AA61,CHOOSE($Z61,3,3,2,2,3),Holidays))</f>
        <v/>
      </c>
      <c r="AC61" s="17">
        <f>IF(OR($Z61="",$Z61=6),"",CHOOSE($Z61,"1st Email Follow-up","2nd Email Follow-up","Escalate Local Office","Escalate to CBE","Escalate to Roxanne"))</f>
        <v/>
      </c>
    </row>
    <row r="62" spans="13:29">
      <c r="M62" s="14"/>
      <c r="T62" s="16"/>
      <c r="U62" s="17">
        <f>IF(AND(COUNTA($A62:$L62)=0,$N62=""),"",IF($T62="Paid","PAID",IF($T62="Closed","CLOSED",IF($Z62="","",IF($Z62=6,"ESCALATED TO ROXANNE",IF(TODAY()&gt;$AB62,"OVERDUE",IF($AB62&lt;=WORKDAY(TODAY(),1,Holidays),"DUE TOMORROW",IF($Z62=4,"ESCALATED TO LOCAL OFFICE",IF($Z62=5,"ESCALATED TO CBE",IF($AA62=TODAY(),"EMAIL SENT","MONITORING"))))))))))</f>
        <v/>
      </c>
      <c r="V62" s="17">
        <f>IF($U62="",IF(AND(COUNTA($A62:$L62)&gt;0,$N62=""),"Awaiting Collection Email time stamp.",""),IF(OR($U62="PAID",$U62="CLOSED"),IF($U62="PAID","Account paid. Action completed.","Account closed. No further action required."),CHOOSE($Z62,"Collection Email","1st Email Follow-up","2nd Email Follow-up","Escalation to Local Office","Escalation to CBE","Escalation to Roxanne")&amp;" sent "&amp;TEXT($AA62,"dd-mmm")&amp;". "&amp;IF($Z62=6,"Final escalation completed.",IF($U62="OVERDUE","Next: "&amp;$AC62&amp;" was due "&amp;TEXT($AB62,"dd-mmm")&amp;" - "&amp;(NETWORKDAYS($AB62,TODAY(),Holidays)-1)&amp;" business day(s) late. Send now.",IF($U62="DUE TOMORROW","Next: "&amp;$AC62&amp;IF($AB62&lt;=TODAY()," is due TODAY ("," is due next business day (")&amp;TEXT($AB62,"dd-mmm")&amp;").","Next: "&amp;$AC62&amp;" due "&amp;TEXT($AB62,"dd-mmm")&amp;" ("&amp;(NETWORKDAYS(TODAY(),$AB62,Holidays)-1)&amp;" business day(s) left).")))))</f>
        <v/>
      </c>
      <c r="W62" s="17">
        <f>IF($Z62="","",CHOOSE($Z62,"Collection Email","1st Follow-up","2nd Follow-up","Local Office","CBE","Roxanne")&amp;IF($Z62=6," - Final"," - Day "&amp;MAX(0,NETWORKDAYS($AA62,TODAY(),Holidays)-1)&amp;" of "&amp;CHOOSE($Z62,3,3,2,2,3))&amp;" | Total Day "&amp;MAX(0,NETWORKDAYS($N62,TODAY(),Holidays)-1))</f>
        <v/>
      </c>
      <c r="X62" s="18"/>
      <c r="Y62" s="18"/>
      <c r="Z62" s="17">
        <f>IF($N62="","",COUNT($N62:$S62))</f>
        <v/>
      </c>
      <c r="AA62" s="19">
        <f>IF($Z62="","",INT(INDEX($N62:$S62,$Z62)))</f>
        <v/>
      </c>
      <c r="AB62" s="19">
        <f>IF(OR($Z62="",$Z62=6),"",WORKDAY($AA62,CHOOSE($Z62,3,3,2,2,3),Holidays))</f>
        <v/>
      </c>
      <c r="AC62" s="17">
        <f>IF(OR($Z62="",$Z62=6),"",CHOOSE($Z62,"1st Email Follow-up","2nd Email Follow-up","Escalate Local Office","Escalate to CBE","Escalate to Roxanne"))</f>
        <v/>
      </c>
    </row>
    <row r="63" spans="13:29">
      <c r="M63" s="14"/>
      <c r="T63" s="16"/>
      <c r="U63" s="17">
        <f>IF(AND(COUNTA($A63:$L63)=0,$N63=""),"",IF($T63="Paid","PAID",IF($T63="Closed","CLOSED",IF($Z63="","",IF($Z63=6,"ESCALATED TO ROXANNE",IF(TODAY()&gt;$AB63,"OVERDUE",IF($AB63&lt;=WORKDAY(TODAY(),1,Holidays),"DUE TOMORROW",IF($Z63=4,"ESCALATED TO LOCAL OFFICE",IF($Z63=5,"ESCALATED TO CBE",IF($AA63=TODAY(),"EMAIL SENT","MONITORING"))))))))))</f>
        <v/>
      </c>
      <c r="V63" s="17">
        <f>IF($U63="",IF(AND(COUNTA($A63:$L63)&gt;0,$N63=""),"Awaiting Collection Email time stamp.",""),IF(OR($U63="PAID",$U63="CLOSED"),IF($U63="PAID","Account paid. Action completed.","Account closed. No further action required."),CHOOSE($Z63,"Collection Email","1st Email Follow-up","2nd Email Follow-up","Escalation to Local Office","Escalation to CBE","Escalation to Roxanne")&amp;" sent "&amp;TEXT($AA63,"dd-mmm")&amp;". "&amp;IF($Z63=6,"Final escalation completed.",IF($U63="OVERDUE","Next: "&amp;$AC63&amp;" was due "&amp;TEXT($AB63,"dd-mmm")&amp;" - "&amp;(NETWORKDAYS($AB63,TODAY(),Holidays)-1)&amp;" business day(s) late. Send now.",IF($U63="DUE TOMORROW","Next: "&amp;$AC63&amp;IF($AB63&lt;=TODAY()," is due TODAY ("," is due next business day (")&amp;TEXT($AB63,"dd-mmm")&amp;").","Next: "&amp;$AC63&amp;" due "&amp;TEXT($AB63,"dd-mmm")&amp;" ("&amp;(NETWORKDAYS(TODAY(),$AB63,Holidays)-1)&amp;" business day(s) left).")))))</f>
        <v/>
      </c>
      <c r="W63" s="17">
        <f>IF($Z63="","",CHOOSE($Z63,"Collection Email","1st Follow-up","2nd Follow-up","Local Office","CBE","Roxanne")&amp;IF($Z63=6," - Final"," - Day "&amp;MAX(0,NETWORKDAYS($AA63,TODAY(),Holidays)-1)&amp;" of "&amp;CHOOSE($Z63,3,3,2,2,3))&amp;" | Total Day "&amp;MAX(0,NETWORKDAYS($N63,TODAY(),Holidays)-1))</f>
        <v/>
      </c>
      <c r="X63" s="18"/>
      <c r="Y63" s="18"/>
      <c r="Z63" s="17">
        <f>IF($N63="","",COUNT($N63:$S63))</f>
        <v/>
      </c>
      <c r="AA63" s="19">
        <f>IF($Z63="","",INT(INDEX($N63:$S63,$Z63)))</f>
        <v/>
      </c>
      <c r="AB63" s="19">
        <f>IF(OR($Z63="",$Z63=6),"",WORKDAY($AA63,CHOOSE($Z63,3,3,2,2,3),Holidays))</f>
        <v/>
      </c>
      <c r="AC63" s="17">
        <f>IF(OR($Z63="",$Z63=6),"",CHOOSE($Z63,"1st Email Follow-up","2nd Email Follow-up","Escalate Local Office","Escalate to CBE","Escalate to Roxanne"))</f>
        <v/>
      </c>
    </row>
    <row r="64" spans="13:29">
      <c r="M64" s="14"/>
      <c r="T64" s="16"/>
      <c r="U64" s="17">
        <f>IF(AND(COUNTA($A64:$L64)=0,$N64=""),"",IF($T64="Paid","PAID",IF($T64="Closed","CLOSED",IF($Z64="","",IF($Z64=6,"ESCALATED TO ROXANNE",IF(TODAY()&gt;$AB64,"OVERDUE",IF($AB64&lt;=WORKDAY(TODAY(),1,Holidays),"DUE TOMORROW",IF($Z64=4,"ESCALATED TO LOCAL OFFICE",IF($Z64=5,"ESCALATED TO CBE",IF($AA64=TODAY(),"EMAIL SENT","MONITORING"))))))))))</f>
        <v/>
      </c>
      <c r="V64" s="17">
        <f>IF($U64="",IF(AND(COUNTA($A64:$L64)&gt;0,$N64=""),"Awaiting Collection Email time stamp.",""),IF(OR($U64="PAID",$U64="CLOSED"),IF($U64="PAID","Account paid. Action completed.","Account closed. No further action required."),CHOOSE($Z64,"Collection Email","1st Email Follow-up","2nd Email Follow-up","Escalation to Local Office","Escalation to CBE","Escalation to Roxanne")&amp;" sent "&amp;TEXT($AA64,"dd-mmm")&amp;". "&amp;IF($Z64=6,"Final escalation completed.",IF($U64="OVERDUE","Next: "&amp;$AC64&amp;" was due "&amp;TEXT($AB64,"dd-mmm")&amp;" - "&amp;(NETWORKDAYS($AB64,TODAY(),Holidays)-1)&amp;" business day(s) late. Send now.",IF($U64="DUE TOMORROW","Next: "&amp;$AC64&amp;IF($AB64&lt;=TODAY()," is due TODAY ("," is due next business day (")&amp;TEXT($AB64,"dd-mmm")&amp;").","Next: "&amp;$AC64&amp;" due "&amp;TEXT($AB64,"dd-mmm")&amp;" ("&amp;(NETWORKDAYS(TODAY(),$AB64,Holidays)-1)&amp;" business day(s) left).")))))</f>
        <v/>
      </c>
      <c r="W64" s="17">
        <f>IF($Z64="","",CHOOSE($Z64,"Collection Email","1st Follow-up","2nd Follow-up","Local Office","CBE","Roxanne")&amp;IF($Z64=6," - Final"," - Day "&amp;MAX(0,NETWORKDAYS($AA64,TODAY(),Holidays)-1)&amp;" of "&amp;CHOOSE($Z64,3,3,2,2,3))&amp;" | Total Day "&amp;MAX(0,NETWORKDAYS($N64,TODAY(),Holidays)-1))</f>
        <v/>
      </c>
      <c r="X64" s="18"/>
      <c r="Y64" s="18"/>
      <c r="Z64" s="17">
        <f>IF($N64="","",COUNT($N64:$S64))</f>
        <v/>
      </c>
      <c r="AA64" s="19">
        <f>IF($Z64="","",INT(INDEX($N64:$S64,$Z64)))</f>
        <v/>
      </c>
      <c r="AB64" s="19">
        <f>IF(OR($Z64="",$Z64=6),"",WORKDAY($AA64,CHOOSE($Z64,3,3,2,2,3),Holidays))</f>
        <v/>
      </c>
      <c r="AC64" s="17">
        <f>IF(OR($Z64="",$Z64=6),"",CHOOSE($Z64,"1st Email Follow-up","2nd Email Follow-up","Escalate Local Office","Escalate to CBE","Escalate to Roxanne"))</f>
        <v/>
      </c>
    </row>
    <row r="65" spans="13:29">
      <c r="M65" s="14"/>
      <c r="T65" s="16"/>
      <c r="U65" s="17">
        <f>IF(AND(COUNTA($A65:$L65)=0,$N65=""),"",IF($T65="Paid","PAID",IF($T65="Closed","CLOSED",IF($Z65="","",IF($Z65=6,"ESCALATED TO ROXANNE",IF(TODAY()&gt;$AB65,"OVERDUE",IF($AB65&lt;=WORKDAY(TODAY(),1,Holidays),"DUE TOMORROW",IF($Z65=4,"ESCALATED TO LOCAL OFFICE",IF($Z65=5,"ESCALATED TO CBE",IF($AA65=TODAY(),"EMAIL SENT","MONITORING"))))))))))</f>
        <v/>
      </c>
      <c r="V65" s="17">
        <f>IF($U65="",IF(AND(COUNTA($A65:$L65)&gt;0,$N65=""),"Awaiting Collection Email time stamp.",""),IF(OR($U65="PAID",$U65="CLOSED"),IF($U65="PAID","Account paid. Action completed.","Account closed. No further action required."),CHOOSE($Z65,"Collection Email","1st Email Follow-up","2nd Email Follow-up","Escalation to Local Office","Escalation to CBE","Escalation to Roxanne")&amp;" sent "&amp;TEXT($AA65,"dd-mmm")&amp;". "&amp;IF($Z65=6,"Final escalation completed.",IF($U65="OVERDUE","Next: "&amp;$AC65&amp;" was due "&amp;TEXT($AB65,"dd-mmm")&amp;" - "&amp;(NETWORKDAYS($AB65,TODAY(),Holidays)-1)&amp;" business day(s) late. Send now.",IF($U65="DUE TOMORROW","Next: "&amp;$AC65&amp;IF($AB65&lt;=TODAY()," is due TODAY ("," is due next business day (")&amp;TEXT($AB65,"dd-mmm")&amp;").","Next: "&amp;$AC65&amp;" due "&amp;TEXT($AB65,"dd-mmm")&amp;" ("&amp;(NETWORKDAYS(TODAY(),$AB65,Holidays)-1)&amp;" business day(s) left).")))))</f>
        <v/>
      </c>
      <c r="W65" s="17">
        <f>IF($Z65="","",CHOOSE($Z65,"Collection Email","1st Follow-up","2nd Follow-up","Local Office","CBE","Roxanne")&amp;IF($Z65=6," - Final"," - Day "&amp;MAX(0,NETWORKDAYS($AA65,TODAY(),Holidays)-1)&amp;" of "&amp;CHOOSE($Z65,3,3,2,2,3))&amp;" | Total Day "&amp;MAX(0,NETWORKDAYS($N65,TODAY(),Holidays)-1))</f>
        <v/>
      </c>
      <c r="X65" s="18"/>
      <c r="Y65" s="18"/>
      <c r="Z65" s="17">
        <f>IF($N65="","",COUNT($N65:$S65))</f>
        <v/>
      </c>
      <c r="AA65" s="19">
        <f>IF($Z65="","",INT(INDEX($N65:$S65,$Z65)))</f>
        <v/>
      </c>
      <c r="AB65" s="19">
        <f>IF(OR($Z65="",$Z65=6),"",WORKDAY($AA65,CHOOSE($Z65,3,3,2,2,3),Holidays))</f>
        <v/>
      </c>
      <c r="AC65" s="17">
        <f>IF(OR($Z65="",$Z65=6),"",CHOOSE($Z65,"1st Email Follow-up","2nd Email Follow-up","Escalate Local Office","Escalate to CBE","Escalate to Roxanne"))</f>
        <v/>
      </c>
    </row>
    <row r="66" spans="13:29">
      <c r="M66" s="14"/>
      <c r="T66" s="16"/>
      <c r="U66" s="17">
        <f>IF(AND(COUNTA($A66:$L66)=0,$N66=""),"",IF($T66="Paid","PAID",IF($T66="Closed","CLOSED",IF($Z66="","",IF($Z66=6,"ESCALATED TO ROXANNE",IF(TODAY()&gt;$AB66,"OVERDUE",IF($AB66&lt;=WORKDAY(TODAY(),1,Holidays),"DUE TOMORROW",IF($Z66=4,"ESCALATED TO LOCAL OFFICE",IF($Z66=5,"ESCALATED TO CBE",IF($AA66=TODAY(),"EMAIL SENT","MONITORING"))))))))))</f>
        <v/>
      </c>
      <c r="V66" s="17">
        <f>IF($U66="",IF(AND(COUNTA($A66:$L66)&gt;0,$N66=""),"Awaiting Collection Email time stamp.",""),IF(OR($U66="PAID",$U66="CLOSED"),IF($U66="PAID","Account paid. Action completed.","Account closed. No further action required."),CHOOSE($Z66,"Collection Email","1st Email Follow-up","2nd Email Follow-up","Escalation to Local Office","Escalation to CBE","Escalation to Roxanne")&amp;" sent "&amp;TEXT($AA66,"dd-mmm")&amp;". "&amp;IF($Z66=6,"Final escalation completed.",IF($U66="OVERDUE","Next: "&amp;$AC66&amp;" was due "&amp;TEXT($AB66,"dd-mmm")&amp;" - "&amp;(NETWORKDAYS($AB66,TODAY(),Holidays)-1)&amp;" business day(s) late. Send now.",IF($U66="DUE TOMORROW","Next: "&amp;$AC66&amp;IF($AB66&lt;=TODAY()," is due TODAY ("," is due next business day (")&amp;TEXT($AB66,"dd-mmm")&amp;").","Next: "&amp;$AC66&amp;" due "&amp;TEXT($AB66,"dd-mmm")&amp;" ("&amp;(NETWORKDAYS(TODAY(),$AB66,Holidays)-1)&amp;" business day(s) left).")))))</f>
        <v/>
      </c>
      <c r="W66" s="17">
        <f>IF($Z66="","",CHOOSE($Z66,"Collection Email","1st Follow-up","2nd Follow-up","Local Office","CBE","Roxanne")&amp;IF($Z66=6," - Final"," - Day "&amp;MAX(0,NETWORKDAYS($AA66,TODAY(),Holidays)-1)&amp;" of "&amp;CHOOSE($Z66,3,3,2,2,3))&amp;" | Total Day "&amp;MAX(0,NETWORKDAYS($N66,TODAY(),Holidays)-1))</f>
        <v/>
      </c>
      <c r="X66" s="18"/>
      <c r="Y66" s="18"/>
      <c r="Z66" s="17">
        <f>IF($N66="","",COUNT($N66:$S66))</f>
        <v/>
      </c>
      <c r="AA66" s="19">
        <f>IF($Z66="","",INT(INDEX($N66:$S66,$Z66)))</f>
        <v/>
      </c>
      <c r="AB66" s="19">
        <f>IF(OR($Z66="",$Z66=6),"",WORKDAY($AA66,CHOOSE($Z66,3,3,2,2,3),Holidays))</f>
        <v/>
      </c>
      <c r="AC66" s="17">
        <f>IF(OR($Z66="",$Z66=6),"",CHOOSE($Z66,"1st Email Follow-up","2nd Email Follow-up","Escalate Local Office","Escalate to CBE","Escalate to Roxanne"))</f>
        <v/>
      </c>
    </row>
    <row r="67" spans="13:29">
      <c r="M67" s="14"/>
      <c r="T67" s="16"/>
      <c r="U67" s="17">
        <f>IF(AND(COUNTA($A67:$L67)=0,$N67=""),"",IF($T67="Paid","PAID",IF($T67="Closed","CLOSED",IF($Z67="","",IF($Z67=6,"ESCALATED TO ROXANNE",IF(TODAY()&gt;$AB67,"OVERDUE",IF($AB67&lt;=WORKDAY(TODAY(),1,Holidays),"DUE TOMORROW",IF($Z67=4,"ESCALATED TO LOCAL OFFICE",IF($Z67=5,"ESCALATED TO CBE",IF($AA67=TODAY(),"EMAIL SENT","MONITORING"))))))))))</f>
        <v/>
      </c>
      <c r="V67" s="17">
        <f>IF($U67="",IF(AND(COUNTA($A67:$L67)&gt;0,$N67=""),"Awaiting Collection Email time stamp.",""),IF(OR($U67="PAID",$U67="CLOSED"),IF($U67="PAID","Account paid. Action completed.","Account closed. No further action required."),CHOOSE($Z67,"Collection Email","1st Email Follow-up","2nd Email Follow-up","Escalation to Local Office","Escalation to CBE","Escalation to Roxanne")&amp;" sent "&amp;TEXT($AA67,"dd-mmm")&amp;". "&amp;IF($Z67=6,"Final escalation completed.",IF($U67="OVERDUE","Next: "&amp;$AC67&amp;" was due "&amp;TEXT($AB67,"dd-mmm")&amp;" - "&amp;(NETWORKDAYS($AB67,TODAY(),Holidays)-1)&amp;" business day(s) late. Send now.",IF($U67="DUE TOMORROW","Next: "&amp;$AC67&amp;IF($AB67&lt;=TODAY()," is due TODAY ("," is due next business day (")&amp;TEXT($AB67,"dd-mmm")&amp;").","Next: "&amp;$AC67&amp;" due "&amp;TEXT($AB67,"dd-mmm")&amp;" ("&amp;(NETWORKDAYS(TODAY(),$AB67,Holidays)-1)&amp;" business day(s) left).")))))</f>
        <v/>
      </c>
      <c r="W67" s="17">
        <f>IF($Z67="","",CHOOSE($Z67,"Collection Email","1st Follow-up","2nd Follow-up","Local Office","CBE","Roxanne")&amp;IF($Z67=6," - Final"," - Day "&amp;MAX(0,NETWORKDAYS($AA67,TODAY(),Holidays)-1)&amp;" of "&amp;CHOOSE($Z67,3,3,2,2,3))&amp;" | Total Day "&amp;MAX(0,NETWORKDAYS($N67,TODAY(),Holidays)-1))</f>
        <v/>
      </c>
      <c r="X67" s="18"/>
      <c r="Y67" s="18"/>
      <c r="Z67" s="17">
        <f>IF($N67="","",COUNT($N67:$S67))</f>
        <v/>
      </c>
      <c r="AA67" s="19">
        <f>IF($Z67="","",INT(INDEX($N67:$S67,$Z67)))</f>
        <v/>
      </c>
      <c r="AB67" s="19">
        <f>IF(OR($Z67="",$Z67=6),"",WORKDAY($AA67,CHOOSE($Z67,3,3,2,2,3),Holidays))</f>
        <v/>
      </c>
      <c r="AC67" s="17">
        <f>IF(OR($Z67="",$Z67=6),"",CHOOSE($Z67,"1st Email Follow-up","2nd Email Follow-up","Escalate Local Office","Escalate to CBE","Escalate to Roxanne"))</f>
        <v/>
      </c>
    </row>
    <row r="68" spans="13:29">
      <c r="M68" s="14"/>
      <c r="T68" s="16"/>
      <c r="U68" s="17">
        <f>IF(AND(COUNTA($A68:$L68)=0,$N68=""),"",IF($T68="Paid","PAID",IF($T68="Closed","CLOSED",IF($Z68="","",IF($Z68=6,"ESCALATED TO ROXANNE",IF(TODAY()&gt;$AB68,"OVERDUE",IF($AB68&lt;=WORKDAY(TODAY(),1,Holidays),"DUE TOMORROW",IF($Z68=4,"ESCALATED TO LOCAL OFFICE",IF($Z68=5,"ESCALATED TO CBE",IF($AA68=TODAY(),"EMAIL SENT","MONITORING"))))))))))</f>
        <v/>
      </c>
      <c r="V68" s="17">
        <f>IF($U68="",IF(AND(COUNTA($A68:$L68)&gt;0,$N68=""),"Awaiting Collection Email time stamp.",""),IF(OR($U68="PAID",$U68="CLOSED"),IF($U68="PAID","Account paid. Action completed.","Account closed. No further action required."),CHOOSE($Z68,"Collection Email","1st Email Follow-up","2nd Email Follow-up","Escalation to Local Office","Escalation to CBE","Escalation to Roxanne")&amp;" sent "&amp;TEXT($AA68,"dd-mmm")&amp;". "&amp;IF($Z68=6,"Final escalation completed.",IF($U68="OVERDUE","Next: "&amp;$AC68&amp;" was due "&amp;TEXT($AB68,"dd-mmm")&amp;" - "&amp;(NETWORKDAYS($AB68,TODAY(),Holidays)-1)&amp;" business day(s) late. Send now.",IF($U68="DUE TOMORROW","Next: "&amp;$AC68&amp;IF($AB68&lt;=TODAY()," is due TODAY ("," is due next business day (")&amp;TEXT($AB68,"dd-mmm")&amp;").","Next: "&amp;$AC68&amp;" due "&amp;TEXT($AB68,"dd-mmm")&amp;" ("&amp;(NETWORKDAYS(TODAY(),$AB68,Holidays)-1)&amp;" business day(s) left).")))))</f>
        <v/>
      </c>
      <c r="W68" s="17">
        <f>IF($Z68="","",CHOOSE($Z68,"Collection Email","1st Follow-up","2nd Follow-up","Local Office","CBE","Roxanne")&amp;IF($Z68=6," - Final"," - Day "&amp;MAX(0,NETWORKDAYS($AA68,TODAY(),Holidays)-1)&amp;" of "&amp;CHOOSE($Z68,3,3,2,2,3))&amp;" | Total Day "&amp;MAX(0,NETWORKDAYS($N68,TODAY(),Holidays)-1))</f>
        <v/>
      </c>
      <c r="X68" s="18"/>
      <c r="Y68" s="18"/>
      <c r="Z68" s="17">
        <f>IF($N68="","",COUNT($N68:$S68))</f>
        <v/>
      </c>
      <c r="AA68" s="19">
        <f>IF($Z68="","",INT(INDEX($N68:$S68,$Z68)))</f>
        <v/>
      </c>
      <c r="AB68" s="19">
        <f>IF(OR($Z68="",$Z68=6),"",WORKDAY($AA68,CHOOSE($Z68,3,3,2,2,3),Holidays))</f>
        <v/>
      </c>
      <c r="AC68" s="17">
        <f>IF(OR($Z68="",$Z68=6),"",CHOOSE($Z68,"1st Email Follow-up","2nd Email Follow-up","Escalate Local Office","Escalate to CBE","Escalate to Roxanne"))</f>
        <v/>
      </c>
    </row>
    <row r="69" spans="13:29">
      <c r="M69" s="14"/>
      <c r="T69" s="16"/>
      <c r="U69" s="17">
        <f>IF(AND(COUNTA($A69:$L69)=0,$N69=""),"",IF($T69="Paid","PAID",IF($T69="Closed","CLOSED",IF($Z69="","",IF($Z69=6,"ESCALATED TO ROXANNE",IF(TODAY()&gt;$AB69,"OVERDUE",IF($AB69&lt;=WORKDAY(TODAY(),1,Holidays),"DUE TOMORROW",IF($Z69=4,"ESCALATED TO LOCAL OFFICE",IF($Z69=5,"ESCALATED TO CBE",IF($AA69=TODAY(),"EMAIL SENT","MONITORING"))))))))))</f>
        <v/>
      </c>
      <c r="V69" s="17">
        <f>IF($U69="",IF(AND(COUNTA($A69:$L69)&gt;0,$N69=""),"Awaiting Collection Email time stamp.",""),IF(OR($U69="PAID",$U69="CLOSED"),IF($U69="PAID","Account paid. Action completed.","Account closed. No further action required."),CHOOSE($Z69,"Collection Email","1st Email Follow-up","2nd Email Follow-up","Escalation to Local Office","Escalation to CBE","Escalation to Roxanne")&amp;" sent "&amp;TEXT($AA69,"dd-mmm")&amp;". "&amp;IF($Z69=6,"Final escalation completed.",IF($U69="OVERDUE","Next: "&amp;$AC69&amp;" was due "&amp;TEXT($AB69,"dd-mmm")&amp;" - "&amp;(NETWORKDAYS($AB69,TODAY(),Holidays)-1)&amp;" business day(s) late. Send now.",IF($U69="DUE TOMORROW","Next: "&amp;$AC69&amp;IF($AB69&lt;=TODAY()," is due TODAY ("," is due next business day (")&amp;TEXT($AB69,"dd-mmm")&amp;").","Next: "&amp;$AC69&amp;" due "&amp;TEXT($AB69,"dd-mmm")&amp;" ("&amp;(NETWORKDAYS(TODAY(),$AB69,Holidays)-1)&amp;" business day(s) left).")))))</f>
        <v/>
      </c>
      <c r="W69" s="17">
        <f>IF($Z69="","",CHOOSE($Z69,"Collection Email","1st Follow-up","2nd Follow-up","Local Office","CBE","Roxanne")&amp;IF($Z69=6," - Final"," - Day "&amp;MAX(0,NETWORKDAYS($AA69,TODAY(),Holidays)-1)&amp;" of "&amp;CHOOSE($Z69,3,3,2,2,3))&amp;" | Total Day "&amp;MAX(0,NETWORKDAYS($N69,TODAY(),Holidays)-1))</f>
        <v/>
      </c>
      <c r="X69" s="18"/>
      <c r="Y69" s="18"/>
      <c r="Z69" s="17">
        <f>IF($N69="","",COUNT($N69:$S69))</f>
        <v/>
      </c>
      <c r="AA69" s="19">
        <f>IF($Z69="","",INT(INDEX($N69:$S69,$Z69)))</f>
        <v/>
      </c>
      <c r="AB69" s="19">
        <f>IF(OR($Z69="",$Z69=6),"",WORKDAY($AA69,CHOOSE($Z69,3,3,2,2,3),Holidays))</f>
        <v/>
      </c>
      <c r="AC69" s="17">
        <f>IF(OR($Z69="",$Z69=6),"",CHOOSE($Z69,"1st Email Follow-up","2nd Email Follow-up","Escalate Local Office","Escalate to CBE","Escalate to Roxanne"))</f>
        <v/>
      </c>
    </row>
    <row r="70" spans="13:29">
      <c r="M70" s="14"/>
      <c r="T70" s="16"/>
      <c r="U70" s="17">
        <f>IF(AND(COUNTA($A70:$L70)=0,$N70=""),"",IF($T70="Paid","PAID",IF($T70="Closed","CLOSED",IF($Z70="","",IF($Z70=6,"ESCALATED TO ROXANNE",IF(TODAY()&gt;$AB70,"OVERDUE",IF($AB70&lt;=WORKDAY(TODAY(),1,Holidays),"DUE TOMORROW",IF($Z70=4,"ESCALATED TO LOCAL OFFICE",IF($Z70=5,"ESCALATED TO CBE",IF($AA70=TODAY(),"EMAIL SENT","MONITORING"))))))))))</f>
        <v/>
      </c>
      <c r="V70" s="17">
        <f>IF($U70="",IF(AND(COUNTA($A70:$L70)&gt;0,$N70=""),"Awaiting Collection Email time stamp.",""),IF(OR($U70="PAID",$U70="CLOSED"),IF($U70="PAID","Account paid. Action completed.","Account closed. No further action required."),CHOOSE($Z70,"Collection Email","1st Email Follow-up","2nd Email Follow-up","Escalation to Local Office","Escalation to CBE","Escalation to Roxanne")&amp;" sent "&amp;TEXT($AA70,"dd-mmm")&amp;". "&amp;IF($Z70=6,"Final escalation completed.",IF($U70="OVERDUE","Next: "&amp;$AC70&amp;" was due "&amp;TEXT($AB70,"dd-mmm")&amp;" - "&amp;(NETWORKDAYS($AB70,TODAY(),Holidays)-1)&amp;" business day(s) late. Send now.",IF($U70="DUE TOMORROW","Next: "&amp;$AC70&amp;IF($AB70&lt;=TODAY()," is due TODAY ("," is due next business day (")&amp;TEXT($AB70,"dd-mmm")&amp;").","Next: "&amp;$AC70&amp;" due "&amp;TEXT($AB70,"dd-mmm")&amp;" ("&amp;(NETWORKDAYS(TODAY(),$AB70,Holidays)-1)&amp;" business day(s) left).")))))</f>
        <v/>
      </c>
      <c r="W70" s="17">
        <f>IF($Z70="","",CHOOSE($Z70,"Collection Email","1st Follow-up","2nd Follow-up","Local Office","CBE","Roxanne")&amp;IF($Z70=6," - Final"," - Day "&amp;MAX(0,NETWORKDAYS($AA70,TODAY(),Holidays)-1)&amp;" of "&amp;CHOOSE($Z70,3,3,2,2,3))&amp;" | Total Day "&amp;MAX(0,NETWORKDAYS($N70,TODAY(),Holidays)-1))</f>
        <v/>
      </c>
      <c r="X70" s="18"/>
      <c r="Y70" s="18"/>
      <c r="Z70" s="17">
        <f>IF($N70="","",COUNT($N70:$S70))</f>
        <v/>
      </c>
      <c r="AA70" s="19">
        <f>IF($Z70="","",INT(INDEX($N70:$S70,$Z70)))</f>
        <v/>
      </c>
      <c r="AB70" s="19">
        <f>IF(OR($Z70="",$Z70=6),"",WORKDAY($AA70,CHOOSE($Z70,3,3,2,2,3),Holidays))</f>
        <v/>
      </c>
      <c r="AC70" s="17">
        <f>IF(OR($Z70="",$Z70=6),"",CHOOSE($Z70,"1st Email Follow-up","2nd Email Follow-up","Escalate Local Office","Escalate to CBE","Escalate to Roxanne"))</f>
        <v/>
      </c>
    </row>
    <row r="71" spans="13:29">
      <c r="M71" s="14"/>
      <c r="T71" s="16"/>
      <c r="U71" s="17">
        <f>IF(AND(COUNTA($A71:$L71)=0,$N71=""),"",IF($T71="Paid","PAID",IF($T71="Closed","CLOSED",IF($Z71="","",IF($Z71=6,"ESCALATED TO ROXANNE",IF(TODAY()&gt;$AB71,"OVERDUE",IF($AB71&lt;=WORKDAY(TODAY(),1,Holidays),"DUE TOMORROW",IF($Z71=4,"ESCALATED TO LOCAL OFFICE",IF($Z71=5,"ESCALATED TO CBE",IF($AA71=TODAY(),"EMAIL SENT","MONITORING"))))))))))</f>
        <v/>
      </c>
      <c r="V71" s="17">
        <f>IF($U71="",IF(AND(COUNTA($A71:$L71)&gt;0,$N71=""),"Awaiting Collection Email time stamp.",""),IF(OR($U71="PAID",$U71="CLOSED"),IF($U71="PAID","Account paid. Action completed.","Account closed. No further action required."),CHOOSE($Z71,"Collection Email","1st Email Follow-up","2nd Email Follow-up","Escalation to Local Office","Escalation to CBE","Escalation to Roxanne")&amp;" sent "&amp;TEXT($AA71,"dd-mmm")&amp;". "&amp;IF($Z71=6,"Final escalation completed.",IF($U71="OVERDUE","Next: "&amp;$AC71&amp;" was due "&amp;TEXT($AB71,"dd-mmm")&amp;" - "&amp;(NETWORKDAYS($AB71,TODAY(),Holidays)-1)&amp;" business day(s) late. Send now.",IF($U71="DUE TOMORROW","Next: "&amp;$AC71&amp;IF($AB71&lt;=TODAY()," is due TODAY ("," is due next business day (")&amp;TEXT($AB71,"dd-mmm")&amp;").","Next: "&amp;$AC71&amp;" due "&amp;TEXT($AB71,"dd-mmm")&amp;" ("&amp;(NETWORKDAYS(TODAY(),$AB71,Holidays)-1)&amp;" business day(s) left).")))))</f>
        <v/>
      </c>
      <c r="W71" s="17">
        <f>IF($Z71="","",CHOOSE($Z71,"Collection Email","1st Follow-up","2nd Follow-up","Local Office","CBE","Roxanne")&amp;IF($Z71=6," - Final"," - Day "&amp;MAX(0,NETWORKDAYS($AA71,TODAY(),Holidays)-1)&amp;" of "&amp;CHOOSE($Z71,3,3,2,2,3))&amp;" | Total Day "&amp;MAX(0,NETWORKDAYS($N71,TODAY(),Holidays)-1))</f>
        <v/>
      </c>
      <c r="X71" s="18"/>
      <c r="Y71" s="18"/>
      <c r="Z71" s="17">
        <f>IF($N71="","",COUNT($N71:$S71))</f>
        <v/>
      </c>
      <c r="AA71" s="19">
        <f>IF($Z71="","",INT(INDEX($N71:$S71,$Z71)))</f>
        <v/>
      </c>
      <c r="AB71" s="19">
        <f>IF(OR($Z71="",$Z71=6),"",WORKDAY($AA71,CHOOSE($Z71,3,3,2,2,3),Holidays))</f>
        <v/>
      </c>
      <c r="AC71" s="17">
        <f>IF(OR($Z71="",$Z71=6),"",CHOOSE($Z71,"1st Email Follow-up","2nd Email Follow-up","Escalate Local Office","Escalate to CBE","Escalate to Roxanne"))</f>
        <v/>
      </c>
    </row>
    <row r="72" spans="13:29">
      <c r="M72" s="14"/>
      <c r="T72" s="16"/>
      <c r="U72" s="17">
        <f>IF(AND(COUNTA($A72:$L72)=0,$N72=""),"",IF($T72="Paid","PAID",IF($T72="Closed","CLOSED",IF($Z72="","",IF($Z72=6,"ESCALATED TO ROXANNE",IF(TODAY()&gt;$AB72,"OVERDUE",IF($AB72&lt;=WORKDAY(TODAY(),1,Holidays),"DUE TOMORROW",IF($Z72=4,"ESCALATED TO LOCAL OFFICE",IF($Z72=5,"ESCALATED TO CBE",IF($AA72=TODAY(),"EMAIL SENT","MONITORING"))))))))))</f>
        <v/>
      </c>
      <c r="V72" s="17">
        <f>IF($U72="",IF(AND(COUNTA($A72:$L72)&gt;0,$N72=""),"Awaiting Collection Email time stamp.",""),IF(OR($U72="PAID",$U72="CLOSED"),IF($U72="PAID","Account paid. Action completed.","Account closed. No further action required."),CHOOSE($Z72,"Collection Email","1st Email Follow-up","2nd Email Follow-up","Escalation to Local Office","Escalation to CBE","Escalation to Roxanne")&amp;" sent "&amp;TEXT($AA72,"dd-mmm")&amp;". "&amp;IF($Z72=6,"Final escalation completed.",IF($U72="OVERDUE","Next: "&amp;$AC72&amp;" was due "&amp;TEXT($AB72,"dd-mmm")&amp;" - "&amp;(NETWORKDAYS($AB72,TODAY(),Holidays)-1)&amp;" business day(s) late. Send now.",IF($U72="DUE TOMORROW","Next: "&amp;$AC72&amp;IF($AB72&lt;=TODAY()," is due TODAY ("," is due next business day (")&amp;TEXT($AB72,"dd-mmm")&amp;").","Next: "&amp;$AC72&amp;" due "&amp;TEXT($AB72,"dd-mmm")&amp;" ("&amp;(NETWORKDAYS(TODAY(),$AB72,Holidays)-1)&amp;" business day(s) left).")))))</f>
        <v/>
      </c>
      <c r="W72" s="17">
        <f>IF($Z72="","",CHOOSE($Z72,"Collection Email","1st Follow-up","2nd Follow-up","Local Office","CBE","Roxanne")&amp;IF($Z72=6," - Final"," - Day "&amp;MAX(0,NETWORKDAYS($AA72,TODAY(),Holidays)-1)&amp;" of "&amp;CHOOSE($Z72,3,3,2,2,3))&amp;" | Total Day "&amp;MAX(0,NETWORKDAYS($N72,TODAY(),Holidays)-1))</f>
        <v/>
      </c>
      <c r="X72" s="18"/>
      <c r="Y72" s="18"/>
      <c r="Z72" s="17">
        <f>IF($N72="","",COUNT($N72:$S72))</f>
        <v/>
      </c>
      <c r="AA72" s="19">
        <f>IF($Z72="","",INT(INDEX($N72:$S72,$Z72)))</f>
        <v/>
      </c>
      <c r="AB72" s="19">
        <f>IF(OR($Z72="",$Z72=6),"",WORKDAY($AA72,CHOOSE($Z72,3,3,2,2,3),Holidays))</f>
        <v/>
      </c>
      <c r="AC72" s="17">
        <f>IF(OR($Z72="",$Z72=6),"",CHOOSE($Z72,"1st Email Follow-up","2nd Email Follow-up","Escalate Local Office","Escalate to CBE","Escalate to Roxanne"))</f>
        <v/>
      </c>
    </row>
    <row r="73" spans="13:29">
      <c r="M73" s="14"/>
      <c r="T73" s="16"/>
      <c r="U73" s="17">
        <f>IF(AND(COUNTA($A73:$L73)=0,$N73=""),"",IF($T73="Paid","PAID",IF($T73="Closed","CLOSED",IF($Z73="","",IF($Z73=6,"ESCALATED TO ROXANNE",IF(TODAY()&gt;$AB73,"OVERDUE",IF($AB73&lt;=WORKDAY(TODAY(),1,Holidays),"DUE TOMORROW",IF($Z73=4,"ESCALATED TO LOCAL OFFICE",IF($Z73=5,"ESCALATED TO CBE",IF($AA73=TODAY(),"EMAIL SENT","MONITORING"))))))))))</f>
        <v/>
      </c>
      <c r="V73" s="17">
        <f>IF($U73="",IF(AND(COUNTA($A73:$L73)&gt;0,$N73=""),"Awaiting Collection Email time stamp.",""),IF(OR($U73="PAID",$U73="CLOSED"),IF($U73="PAID","Account paid. Action completed.","Account closed. No further action required."),CHOOSE($Z73,"Collection Email","1st Email Follow-up","2nd Email Follow-up","Escalation to Local Office","Escalation to CBE","Escalation to Roxanne")&amp;" sent "&amp;TEXT($AA73,"dd-mmm")&amp;". "&amp;IF($Z73=6,"Final escalation completed.",IF($U73="OVERDUE","Next: "&amp;$AC73&amp;" was due "&amp;TEXT($AB73,"dd-mmm")&amp;" - "&amp;(NETWORKDAYS($AB73,TODAY(),Holidays)-1)&amp;" business day(s) late. Send now.",IF($U73="DUE TOMORROW","Next: "&amp;$AC73&amp;IF($AB73&lt;=TODAY()," is due TODAY ("," is due next business day (")&amp;TEXT($AB73,"dd-mmm")&amp;").","Next: "&amp;$AC73&amp;" due "&amp;TEXT($AB73,"dd-mmm")&amp;" ("&amp;(NETWORKDAYS(TODAY(),$AB73,Holidays)-1)&amp;" business day(s) left).")))))</f>
        <v/>
      </c>
      <c r="W73" s="17">
        <f>IF($Z73="","",CHOOSE($Z73,"Collection Email","1st Follow-up","2nd Follow-up","Local Office","CBE","Roxanne")&amp;IF($Z73=6," - Final"," - Day "&amp;MAX(0,NETWORKDAYS($AA73,TODAY(),Holidays)-1)&amp;" of "&amp;CHOOSE($Z73,3,3,2,2,3))&amp;" | Total Day "&amp;MAX(0,NETWORKDAYS($N73,TODAY(),Holidays)-1))</f>
        <v/>
      </c>
      <c r="X73" s="18"/>
      <c r="Y73" s="18"/>
      <c r="Z73" s="17">
        <f>IF($N73="","",COUNT($N73:$S73))</f>
        <v/>
      </c>
      <c r="AA73" s="19">
        <f>IF($Z73="","",INT(INDEX($N73:$S73,$Z73)))</f>
        <v/>
      </c>
      <c r="AB73" s="19">
        <f>IF(OR($Z73="",$Z73=6),"",WORKDAY($AA73,CHOOSE($Z73,3,3,2,2,3),Holidays))</f>
        <v/>
      </c>
      <c r="AC73" s="17">
        <f>IF(OR($Z73="",$Z73=6),"",CHOOSE($Z73,"1st Email Follow-up","2nd Email Follow-up","Escalate Local Office","Escalate to CBE","Escalate to Roxanne"))</f>
        <v/>
      </c>
    </row>
    <row r="74" spans="13:29">
      <c r="M74" s="14"/>
      <c r="T74" s="16"/>
      <c r="U74" s="17">
        <f>IF(AND(COUNTA($A74:$L74)=0,$N74=""),"",IF($T74="Paid","PAID",IF($T74="Closed","CLOSED",IF($Z74="","",IF($Z74=6,"ESCALATED TO ROXANNE",IF(TODAY()&gt;$AB74,"OVERDUE",IF($AB74&lt;=WORKDAY(TODAY(),1,Holidays),"DUE TOMORROW",IF($Z74=4,"ESCALATED TO LOCAL OFFICE",IF($Z74=5,"ESCALATED TO CBE",IF($AA74=TODAY(),"EMAIL SENT","MONITORING"))))))))))</f>
        <v/>
      </c>
      <c r="V74" s="17">
        <f>IF($U74="",IF(AND(COUNTA($A74:$L74)&gt;0,$N74=""),"Awaiting Collection Email time stamp.",""),IF(OR($U74="PAID",$U74="CLOSED"),IF($U74="PAID","Account paid. Action completed.","Account closed. No further action required."),CHOOSE($Z74,"Collection Email","1st Email Follow-up","2nd Email Follow-up","Escalation to Local Office","Escalation to CBE","Escalation to Roxanne")&amp;" sent "&amp;TEXT($AA74,"dd-mmm")&amp;". "&amp;IF($Z74=6,"Final escalation completed.",IF($U74="OVERDUE","Next: "&amp;$AC74&amp;" was due "&amp;TEXT($AB74,"dd-mmm")&amp;" - "&amp;(NETWORKDAYS($AB74,TODAY(),Holidays)-1)&amp;" business day(s) late. Send now.",IF($U74="DUE TOMORROW","Next: "&amp;$AC74&amp;IF($AB74&lt;=TODAY()," is due TODAY ("," is due next business day (")&amp;TEXT($AB74,"dd-mmm")&amp;").","Next: "&amp;$AC74&amp;" due "&amp;TEXT($AB74,"dd-mmm")&amp;" ("&amp;(NETWORKDAYS(TODAY(),$AB74,Holidays)-1)&amp;" business day(s) left).")))))</f>
        <v/>
      </c>
      <c r="W74" s="17">
        <f>IF($Z74="","",CHOOSE($Z74,"Collection Email","1st Follow-up","2nd Follow-up","Local Office","CBE","Roxanne")&amp;IF($Z74=6," - Final"," - Day "&amp;MAX(0,NETWORKDAYS($AA74,TODAY(),Holidays)-1)&amp;" of "&amp;CHOOSE($Z74,3,3,2,2,3))&amp;" | Total Day "&amp;MAX(0,NETWORKDAYS($N74,TODAY(),Holidays)-1))</f>
        <v/>
      </c>
      <c r="X74" s="18"/>
      <c r="Y74" s="18"/>
      <c r="Z74" s="17">
        <f>IF($N74="","",COUNT($N74:$S74))</f>
        <v/>
      </c>
      <c r="AA74" s="19">
        <f>IF($Z74="","",INT(INDEX($N74:$S74,$Z74)))</f>
        <v/>
      </c>
      <c r="AB74" s="19">
        <f>IF(OR($Z74="",$Z74=6),"",WORKDAY($AA74,CHOOSE($Z74,3,3,2,2,3),Holidays))</f>
        <v/>
      </c>
      <c r="AC74" s="17">
        <f>IF(OR($Z74="",$Z74=6),"",CHOOSE($Z74,"1st Email Follow-up","2nd Email Follow-up","Escalate Local Office","Escalate to CBE","Escalate to Roxanne"))</f>
        <v/>
      </c>
    </row>
    <row r="75" spans="13:29">
      <c r="M75" s="14"/>
      <c r="T75" s="16"/>
      <c r="U75" s="17">
        <f>IF(AND(COUNTA($A75:$L75)=0,$N75=""),"",IF($T75="Paid","PAID",IF($T75="Closed","CLOSED",IF($Z75="","",IF($Z75=6,"ESCALATED TO ROXANNE",IF(TODAY()&gt;$AB75,"OVERDUE",IF($AB75&lt;=WORKDAY(TODAY(),1,Holidays),"DUE TOMORROW",IF($Z75=4,"ESCALATED TO LOCAL OFFICE",IF($Z75=5,"ESCALATED TO CBE",IF($AA75=TODAY(),"EMAIL SENT","MONITORING"))))))))))</f>
        <v/>
      </c>
      <c r="V75" s="17">
        <f>IF($U75="",IF(AND(COUNTA($A75:$L75)&gt;0,$N75=""),"Awaiting Collection Email time stamp.",""),IF(OR($U75="PAID",$U75="CLOSED"),IF($U75="PAID","Account paid. Action completed.","Account closed. No further action required."),CHOOSE($Z75,"Collection Email","1st Email Follow-up","2nd Email Follow-up","Escalation to Local Office","Escalation to CBE","Escalation to Roxanne")&amp;" sent "&amp;TEXT($AA75,"dd-mmm")&amp;". "&amp;IF($Z75=6,"Final escalation completed.",IF($U75="OVERDUE","Next: "&amp;$AC75&amp;" was due "&amp;TEXT($AB75,"dd-mmm")&amp;" - "&amp;(NETWORKDAYS($AB75,TODAY(),Holidays)-1)&amp;" business day(s) late. Send now.",IF($U75="DUE TOMORROW","Next: "&amp;$AC75&amp;IF($AB75&lt;=TODAY()," is due TODAY ("," is due next business day (")&amp;TEXT($AB75,"dd-mmm")&amp;").","Next: "&amp;$AC75&amp;" due "&amp;TEXT($AB75,"dd-mmm")&amp;" ("&amp;(NETWORKDAYS(TODAY(),$AB75,Holidays)-1)&amp;" business day(s) left).")))))</f>
        <v/>
      </c>
      <c r="W75" s="17">
        <f>IF($Z75="","",CHOOSE($Z75,"Collection Email","1st Follow-up","2nd Follow-up","Local Office","CBE","Roxanne")&amp;IF($Z75=6," - Final"," - Day "&amp;MAX(0,NETWORKDAYS($AA75,TODAY(),Holidays)-1)&amp;" of "&amp;CHOOSE($Z75,3,3,2,2,3))&amp;" | Total Day "&amp;MAX(0,NETWORKDAYS($N75,TODAY(),Holidays)-1))</f>
        <v/>
      </c>
      <c r="X75" s="18"/>
      <c r="Y75" s="18"/>
      <c r="Z75" s="17">
        <f>IF($N75="","",COUNT($N75:$S75))</f>
        <v/>
      </c>
      <c r="AA75" s="19">
        <f>IF($Z75="","",INT(INDEX($N75:$S75,$Z75)))</f>
        <v/>
      </c>
      <c r="AB75" s="19">
        <f>IF(OR($Z75="",$Z75=6),"",WORKDAY($AA75,CHOOSE($Z75,3,3,2,2,3),Holidays))</f>
        <v/>
      </c>
      <c r="AC75" s="17">
        <f>IF(OR($Z75="",$Z75=6),"",CHOOSE($Z75,"1st Email Follow-up","2nd Email Follow-up","Escalate Local Office","Escalate to CBE","Escalate to Roxanne"))</f>
        <v/>
      </c>
    </row>
    <row r="76" spans="13:29">
      <c r="M76" s="14"/>
      <c r="T76" s="16"/>
      <c r="U76" s="17">
        <f>IF(AND(COUNTA($A76:$L76)=0,$N76=""),"",IF($T76="Paid","PAID",IF($T76="Closed","CLOSED",IF($Z76="","",IF($Z76=6,"ESCALATED TO ROXANNE",IF(TODAY()&gt;$AB76,"OVERDUE",IF($AB76&lt;=WORKDAY(TODAY(),1,Holidays),"DUE TOMORROW",IF($Z76=4,"ESCALATED TO LOCAL OFFICE",IF($Z76=5,"ESCALATED TO CBE",IF($AA76=TODAY(),"EMAIL SENT","MONITORING"))))))))))</f>
        <v/>
      </c>
      <c r="V76" s="17">
        <f>IF($U76="",IF(AND(COUNTA($A76:$L76)&gt;0,$N76=""),"Awaiting Collection Email time stamp.",""),IF(OR($U76="PAID",$U76="CLOSED"),IF($U76="PAID","Account paid. Action completed.","Account closed. No further action required."),CHOOSE($Z76,"Collection Email","1st Email Follow-up","2nd Email Follow-up","Escalation to Local Office","Escalation to CBE","Escalation to Roxanne")&amp;" sent "&amp;TEXT($AA76,"dd-mmm")&amp;". "&amp;IF($Z76=6,"Final escalation completed.",IF($U76="OVERDUE","Next: "&amp;$AC76&amp;" was due "&amp;TEXT($AB76,"dd-mmm")&amp;" - "&amp;(NETWORKDAYS($AB76,TODAY(),Holidays)-1)&amp;" business day(s) late. Send now.",IF($U76="DUE TOMORROW","Next: "&amp;$AC76&amp;IF($AB76&lt;=TODAY()," is due TODAY ("," is due next business day (")&amp;TEXT($AB76,"dd-mmm")&amp;").","Next: "&amp;$AC76&amp;" due "&amp;TEXT($AB76,"dd-mmm")&amp;" ("&amp;(NETWORKDAYS(TODAY(),$AB76,Holidays)-1)&amp;" business day(s) left).")))))</f>
        <v/>
      </c>
      <c r="W76" s="17">
        <f>IF($Z76="","",CHOOSE($Z76,"Collection Email","1st Follow-up","2nd Follow-up","Local Office","CBE","Roxanne")&amp;IF($Z76=6," - Final"," - Day "&amp;MAX(0,NETWORKDAYS($AA76,TODAY(),Holidays)-1)&amp;" of "&amp;CHOOSE($Z76,3,3,2,2,3))&amp;" | Total Day "&amp;MAX(0,NETWORKDAYS($N76,TODAY(),Holidays)-1))</f>
        <v/>
      </c>
      <c r="X76" s="18"/>
      <c r="Y76" s="18"/>
      <c r="Z76" s="17">
        <f>IF($N76="","",COUNT($N76:$S76))</f>
        <v/>
      </c>
      <c r="AA76" s="19">
        <f>IF($Z76="","",INT(INDEX($N76:$S76,$Z76)))</f>
        <v/>
      </c>
      <c r="AB76" s="19">
        <f>IF(OR($Z76="",$Z76=6),"",WORKDAY($AA76,CHOOSE($Z76,3,3,2,2,3),Holidays))</f>
        <v/>
      </c>
      <c r="AC76" s="17">
        <f>IF(OR($Z76="",$Z76=6),"",CHOOSE($Z76,"1st Email Follow-up","2nd Email Follow-up","Escalate Local Office","Escalate to CBE","Escalate to Roxanne"))</f>
        <v/>
      </c>
    </row>
    <row r="77" spans="13:29">
      <c r="M77" s="14"/>
      <c r="T77" s="16"/>
      <c r="U77" s="17">
        <f>IF(AND(COUNTA($A77:$L77)=0,$N77=""),"",IF($T77="Paid","PAID",IF($T77="Closed","CLOSED",IF($Z77="","",IF($Z77=6,"ESCALATED TO ROXANNE",IF(TODAY()&gt;$AB77,"OVERDUE",IF($AB77&lt;=WORKDAY(TODAY(),1,Holidays),"DUE TOMORROW",IF($Z77=4,"ESCALATED TO LOCAL OFFICE",IF($Z77=5,"ESCALATED TO CBE",IF($AA77=TODAY(),"EMAIL SENT","MONITORING"))))))))))</f>
        <v/>
      </c>
      <c r="V77" s="17">
        <f>IF($U77="",IF(AND(COUNTA($A77:$L77)&gt;0,$N77=""),"Awaiting Collection Email time stamp.",""),IF(OR($U77="PAID",$U77="CLOSED"),IF($U77="PAID","Account paid. Action completed.","Account closed. No further action required."),CHOOSE($Z77,"Collection Email","1st Email Follow-up","2nd Email Follow-up","Escalation to Local Office","Escalation to CBE","Escalation to Roxanne")&amp;" sent "&amp;TEXT($AA77,"dd-mmm")&amp;". "&amp;IF($Z77=6,"Final escalation completed.",IF($U77="OVERDUE","Next: "&amp;$AC77&amp;" was due "&amp;TEXT($AB77,"dd-mmm")&amp;" - "&amp;(NETWORKDAYS($AB77,TODAY(),Holidays)-1)&amp;" business day(s) late. Send now.",IF($U77="DUE TOMORROW","Next: "&amp;$AC77&amp;IF($AB77&lt;=TODAY()," is due TODAY ("," is due next business day (")&amp;TEXT($AB77,"dd-mmm")&amp;").","Next: "&amp;$AC77&amp;" due "&amp;TEXT($AB77,"dd-mmm")&amp;" ("&amp;(NETWORKDAYS(TODAY(),$AB77,Holidays)-1)&amp;" business day(s) left).")))))</f>
        <v/>
      </c>
      <c r="W77" s="17">
        <f>IF($Z77="","",CHOOSE($Z77,"Collection Email","1st Follow-up","2nd Follow-up","Local Office","CBE","Roxanne")&amp;IF($Z77=6," - Final"," - Day "&amp;MAX(0,NETWORKDAYS($AA77,TODAY(),Holidays)-1)&amp;" of "&amp;CHOOSE($Z77,3,3,2,2,3))&amp;" | Total Day "&amp;MAX(0,NETWORKDAYS($N77,TODAY(),Holidays)-1))</f>
        <v/>
      </c>
      <c r="X77" s="18"/>
      <c r="Y77" s="18"/>
      <c r="Z77" s="17">
        <f>IF($N77="","",COUNT($N77:$S77))</f>
        <v/>
      </c>
      <c r="AA77" s="19">
        <f>IF($Z77="","",INT(INDEX($N77:$S77,$Z77)))</f>
        <v/>
      </c>
      <c r="AB77" s="19">
        <f>IF(OR($Z77="",$Z77=6),"",WORKDAY($AA77,CHOOSE($Z77,3,3,2,2,3),Holidays))</f>
        <v/>
      </c>
      <c r="AC77" s="17">
        <f>IF(OR($Z77="",$Z77=6),"",CHOOSE($Z77,"1st Email Follow-up","2nd Email Follow-up","Escalate Local Office","Escalate to CBE","Escalate to Roxanne"))</f>
        <v/>
      </c>
    </row>
    <row r="78" spans="13:29">
      <c r="M78" s="14"/>
      <c r="T78" s="16"/>
      <c r="U78" s="17">
        <f>IF(AND(COUNTA($A78:$L78)=0,$N78=""),"",IF($T78="Paid","PAID",IF($T78="Closed","CLOSED",IF($Z78="","",IF($Z78=6,"ESCALATED TO ROXANNE",IF(TODAY()&gt;$AB78,"OVERDUE",IF($AB78&lt;=WORKDAY(TODAY(),1,Holidays),"DUE TOMORROW",IF($Z78=4,"ESCALATED TO LOCAL OFFICE",IF($Z78=5,"ESCALATED TO CBE",IF($AA78=TODAY(),"EMAIL SENT","MONITORING"))))))))))</f>
        <v/>
      </c>
      <c r="V78" s="17">
        <f>IF($U78="",IF(AND(COUNTA($A78:$L78)&gt;0,$N78=""),"Awaiting Collection Email time stamp.",""),IF(OR($U78="PAID",$U78="CLOSED"),IF($U78="PAID","Account paid. Action completed.","Account closed. No further action required."),CHOOSE($Z78,"Collection Email","1st Email Follow-up","2nd Email Follow-up","Escalation to Local Office","Escalation to CBE","Escalation to Roxanne")&amp;" sent "&amp;TEXT($AA78,"dd-mmm")&amp;". "&amp;IF($Z78=6,"Final escalation completed.",IF($U78="OVERDUE","Next: "&amp;$AC78&amp;" was due "&amp;TEXT($AB78,"dd-mmm")&amp;" - "&amp;(NETWORKDAYS($AB78,TODAY(),Holidays)-1)&amp;" business day(s) late. Send now.",IF($U78="DUE TOMORROW","Next: "&amp;$AC78&amp;IF($AB78&lt;=TODAY()," is due TODAY ("," is due next business day (")&amp;TEXT($AB78,"dd-mmm")&amp;").","Next: "&amp;$AC78&amp;" due "&amp;TEXT($AB78,"dd-mmm")&amp;" ("&amp;(NETWORKDAYS(TODAY(),$AB78,Holidays)-1)&amp;" business day(s) left).")))))</f>
        <v/>
      </c>
      <c r="W78" s="17">
        <f>IF($Z78="","",CHOOSE($Z78,"Collection Email","1st Follow-up","2nd Follow-up","Local Office","CBE","Roxanne")&amp;IF($Z78=6," - Final"," - Day "&amp;MAX(0,NETWORKDAYS($AA78,TODAY(),Holidays)-1)&amp;" of "&amp;CHOOSE($Z78,3,3,2,2,3))&amp;" | Total Day "&amp;MAX(0,NETWORKDAYS($N78,TODAY(),Holidays)-1))</f>
        <v/>
      </c>
      <c r="X78" s="18"/>
      <c r="Y78" s="18"/>
      <c r="Z78" s="17">
        <f>IF($N78="","",COUNT($N78:$S78))</f>
        <v/>
      </c>
      <c r="AA78" s="19">
        <f>IF($Z78="","",INT(INDEX($N78:$S78,$Z78)))</f>
        <v/>
      </c>
      <c r="AB78" s="19">
        <f>IF(OR($Z78="",$Z78=6),"",WORKDAY($AA78,CHOOSE($Z78,3,3,2,2,3),Holidays))</f>
        <v/>
      </c>
      <c r="AC78" s="17">
        <f>IF(OR($Z78="",$Z78=6),"",CHOOSE($Z78,"1st Email Follow-up","2nd Email Follow-up","Escalate Local Office","Escalate to CBE","Escalate to Roxanne"))</f>
        <v/>
      </c>
    </row>
    <row r="79" spans="13:29">
      <c r="M79" s="14"/>
      <c r="T79" s="16"/>
      <c r="U79" s="17">
        <f>IF(AND(COUNTA($A79:$L79)=0,$N79=""),"",IF($T79="Paid","PAID",IF($T79="Closed","CLOSED",IF($Z79="","",IF($Z79=6,"ESCALATED TO ROXANNE",IF(TODAY()&gt;$AB79,"OVERDUE",IF($AB79&lt;=WORKDAY(TODAY(),1,Holidays),"DUE TOMORROW",IF($Z79=4,"ESCALATED TO LOCAL OFFICE",IF($Z79=5,"ESCALATED TO CBE",IF($AA79=TODAY(),"EMAIL SENT","MONITORING"))))))))))</f>
        <v/>
      </c>
      <c r="V79" s="17">
        <f>IF($U79="",IF(AND(COUNTA($A79:$L79)&gt;0,$N79=""),"Awaiting Collection Email time stamp.",""),IF(OR($U79="PAID",$U79="CLOSED"),IF($U79="PAID","Account paid. Action completed.","Account closed. No further action required."),CHOOSE($Z79,"Collection Email","1st Email Follow-up","2nd Email Follow-up","Escalation to Local Office","Escalation to CBE","Escalation to Roxanne")&amp;" sent "&amp;TEXT($AA79,"dd-mmm")&amp;". "&amp;IF($Z79=6,"Final escalation completed.",IF($U79="OVERDUE","Next: "&amp;$AC79&amp;" was due "&amp;TEXT($AB79,"dd-mmm")&amp;" - "&amp;(NETWORKDAYS($AB79,TODAY(),Holidays)-1)&amp;" business day(s) late. Send now.",IF($U79="DUE TOMORROW","Next: "&amp;$AC79&amp;IF($AB79&lt;=TODAY()," is due TODAY ("," is due next business day (")&amp;TEXT($AB79,"dd-mmm")&amp;").","Next: "&amp;$AC79&amp;" due "&amp;TEXT($AB79,"dd-mmm")&amp;" ("&amp;(NETWORKDAYS(TODAY(),$AB79,Holidays)-1)&amp;" business day(s) left).")))))</f>
        <v/>
      </c>
      <c r="W79" s="17">
        <f>IF($Z79="","",CHOOSE($Z79,"Collection Email","1st Follow-up","2nd Follow-up","Local Office","CBE","Roxanne")&amp;IF($Z79=6," - Final"," - Day "&amp;MAX(0,NETWORKDAYS($AA79,TODAY(),Holidays)-1)&amp;" of "&amp;CHOOSE($Z79,3,3,2,2,3))&amp;" | Total Day "&amp;MAX(0,NETWORKDAYS($N79,TODAY(),Holidays)-1))</f>
        <v/>
      </c>
      <c r="X79" s="18"/>
      <c r="Y79" s="18"/>
      <c r="Z79" s="17">
        <f>IF($N79="","",COUNT($N79:$S79))</f>
        <v/>
      </c>
      <c r="AA79" s="19">
        <f>IF($Z79="","",INT(INDEX($N79:$S79,$Z79)))</f>
        <v/>
      </c>
      <c r="AB79" s="19">
        <f>IF(OR($Z79="",$Z79=6),"",WORKDAY($AA79,CHOOSE($Z79,3,3,2,2,3),Holidays))</f>
        <v/>
      </c>
      <c r="AC79" s="17">
        <f>IF(OR($Z79="",$Z79=6),"",CHOOSE($Z79,"1st Email Follow-up","2nd Email Follow-up","Escalate Local Office","Escalate to CBE","Escalate to Roxanne"))</f>
        <v/>
      </c>
    </row>
    <row r="80" spans="13:29">
      <c r="M80" s="14"/>
      <c r="T80" s="16"/>
      <c r="U80" s="17">
        <f>IF(AND(COUNTA($A80:$L80)=0,$N80=""),"",IF($T80="Paid","PAID",IF($T80="Closed","CLOSED",IF($Z80="","",IF($Z80=6,"ESCALATED TO ROXANNE",IF(TODAY()&gt;$AB80,"OVERDUE",IF($AB80&lt;=WORKDAY(TODAY(),1,Holidays),"DUE TOMORROW",IF($Z80=4,"ESCALATED TO LOCAL OFFICE",IF($Z80=5,"ESCALATED TO CBE",IF($AA80=TODAY(),"EMAIL SENT","MONITORING"))))))))))</f>
        <v/>
      </c>
      <c r="V80" s="17">
        <f>IF($U80="",IF(AND(COUNTA($A80:$L80)&gt;0,$N80=""),"Awaiting Collection Email time stamp.",""),IF(OR($U80="PAID",$U80="CLOSED"),IF($U80="PAID","Account paid. Action completed.","Account closed. No further action required."),CHOOSE($Z80,"Collection Email","1st Email Follow-up","2nd Email Follow-up","Escalation to Local Office","Escalation to CBE","Escalation to Roxanne")&amp;" sent "&amp;TEXT($AA80,"dd-mmm")&amp;". "&amp;IF($Z80=6,"Final escalation completed.",IF($U80="OVERDUE","Next: "&amp;$AC80&amp;" was due "&amp;TEXT($AB80,"dd-mmm")&amp;" - "&amp;(NETWORKDAYS($AB80,TODAY(),Holidays)-1)&amp;" business day(s) late. Send now.",IF($U80="DUE TOMORROW","Next: "&amp;$AC80&amp;IF($AB80&lt;=TODAY()," is due TODAY ("," is due next business day (")&amp;TEXT($AB80,"dd-mmm")&amp;").","Next: "&amp;$AC80&amp;" due "&amp;TEXT($AB80,"dd-mmm")&amp;" ("&amp;(NETWORKDAYS(TODAY(),$AB80,Holidays)-1)&amp;" business day(s) left).")))))</f>
        <v/>
      </c>
      <c r="W80" s="17">
        <f>IF($Z80="","",CHOOSE($Z80,"Collection Email","1st Follow-up","2nd Follow-up","Local Office","CBE","Roxanne")&amp;IF($Z80=6," - Final"," - Day "&amp;MAX(0,NETWORKDAYS($AA80,TODAY(),Holidays)-1)&amp;" of "&amp;CHOOSE($Z80,3,3,2,2,3))&amp;" | Total Day "&amp;MAX(0,NETWORKDAYS($N80,TODAY(),Holidays)-1))</f>
        <v/>
      </c>
      <c r="X80" s="18"/>
      <c r="Y80" s="18"/>
      <c r="Z80" s="17">
        <f>IF($N80="","",COUNT($N80:$S80))</f>
        <v/>
      </c>
      <c r="AA80" s="19">
        <f>IF($Z80="","",INT(INDEX($N80:$S80,$Z80)))</f>
        <v/>
      </c>
      <c r="AB80" s="19">
        <f>IF(OR($Z80="",$Z80=6),"",WORKDAY($AA80,CHOOSE($Z80,3,3,2,2,3),Holidays))</f>
        <v/>
      </c>
      <c r="AC80" s="17">
        <f>IF(OR($Z80="",$Z80=6),"",CHOOSE($Z80,"1st Email Follow-up","2nd Email Follow-up","Escalate Local Office","Escalate to CBE","Escalate to Roxanne"))</f>
        <v/>
      </c>
    </row>
    <row r="81" spans="13:29">
      <c r="M81" s="14"/>
      <c r="T81" s="16"/>
      <c r="U81" s="17">
        <f>IF(AND(COUNTA($A81:$L81)=0,$N81=""),"",IF($T81="Paid","PAID",IF($T81="Closed","CLOSED",IF($Z81="","",IF($Z81=6,"ESCALATED TO ROXANNE",IF(TODAY()&gt;$AB81,"OVERDUE",IF($AB81&lt;=WORKDAY(TODAY(),1,Holidays),"DUE TOMORROW",IF($Z81=4,"ESCALATED TO LOCAL OFFICE",IF($Z81=5,"ESCALATED TO CBE",IF($AA81=TODAY(),"EMAIL SENT","MONITORING"))))))))))</f>
        <v/>
      </c>
      <c r="V81" s="17">
        <f>IF($U81="",IF(AND(COUNTA($A81:$L81)&gt;0,$N81=""),"Awaiting Collection Email time stamp.",""),IF(OR($U81="PAID",$U81="CLOSED"),IF($U81="PAID","Account paid. Action completed.","Account closed. No further action required."),CHOOSE($Z81,"Collection Email","1st Email Follow-up","2nd Email Follow-up","Escalation to Local Office","Escalation to CBE","Escalation to Roxanne")&amp;" sent "&amp;TEXT($AA81,"dd-mmm")&amp;". "&amp;IF($Z81=6,"Final escalation completed.",IF($U81="OVERDUE","Next: "&amp;$AC81&amp;" was due "&amp;TEXT($AB81,"dd-mmm")&amp;" - "&amp;(NETWORKDAYS($AB81,TODAY(),Holidays)-1)&amp;" business day(s) late. Send now.",IF($U81="DUE TOMORROW","Next: "&amp;$AC81&amp;IF($AB81&lt;=TODAY()," is due TODAY ("," is due next business day (")&amp;TEXT($AB81,"dd-mmm")&amp;").","Next: "&amp;$AC81&amp;" due "&amp;TEXT($AB81,"dd-mmm")&amp;" ("&amp;(NETWORKDAYS(TODAY(),$AB81,Holidays)-1)&amp;" business day(s) left).")))))</f>
        <v/>
      </c>
      <c r="W81" s="17">
        <f>IF($Z81="","",CHOOSE($Z81,"Collection Email","1st Follow-up","2nd Follow-up","Local Office","CBE","Roxanne")&amp;IF($Z81=6," - Final"," - Day "&amp;MAX(0,NETWORKDAYS($AA81,TODAY(),Holidays)-1)&amp;" of "&amp;CHOOSE($Z81,3,3,2,2,3))&amp;" | Total Day "&amp;MAX(0,NETWORKDAYS($N81,TODAY(),Holidays)-1))</f>
        <v/>
      </c>
      <c r="X81" s="18"/>
      <c r="Y81" s="18"/>
      <c r="Z81" s="17">
        <f>IF($N81="","",COUNT($N81:$S81))</f>
        <v/>
      </c>
      <c r="AA81" s="19">
        <f>IF($Z81="","",INT(INDEX($N81:$S81,$Z81)))</f>
        <v/>
      </c>
      <c r="AB81" s="19">
        <f>IF(OR($Z81="",$Z81=6),"",WORKDAY($AA81,CHOOSE($Z81,3,3,2,2,3),Holidays))</f>
        <v/>
      </c>
      <c r="AC81" s="17">
        <f>IF(OR($Z81="",$Z81=6),"",CHOOSE($Z81,"1st Email Follow-up","2nd Email Follow-up","Escalate Local Office","Escalate to CBE","Escalate to Roxanne"))</f>
        <v/>
      </c>
    </row>
    <row r="82" spans="13:29">
      <c r="M82" s="14"/>
      <c r="T82" s="16"/>
      <c r="U82" s="17">
        <f>IF(AND(COUNTA($A82:$L82)=0,$N82=""),"",IF($T82="Paid","PAID",IF($T82="Closed","CLOSED",IF($Z82="","",IF($Z82=6,"ESCALATED TO ROXANNE",IF(TODAY()&gt;$AB82,"OVERDUE",IF($AB82&lt;=WORKDAY(TODAY(),1,Holidays),"DUE TOMORROW",IF($Z82=4,"ESCALATED TO LOCAL OFFICE",IF($Z82=5,"ESCALATED TO CBE",IF($AA82=TODAY(),"EMAIL SENT","MONITORING"))))))))))</f>
        <v/>
      </c>
      <c r="V82" s="17">
        <f>IF($U82="",IF(AND(COUNTA($A82:$L82)&gt;0,$N82=""),"Awaiting Collection Email time stamp.",""),IF(OR($U82="PAID",$U82="CLOSED"),IF($U82="PAID","Account paid. Action completed.","Account closed. No further action required."),CHOOSE($Z82,"Collection Email","1st Email Follow-up","2nd Email Follow-up","Escalation to Local Office","Escalation to CBE","Escalation to Roxanne")&amp;" sent "&amp;TEXT($AA82,"dd-mmm")&amp;". "&amp;IF($Z82=6,"Final escalation completed.",IF($U82="OVERDUE","Next: "&amp;$AC82&amp;" was due "&amp;TEXT($AB82,"dd-mmm")&amp;" - "&amp;(NETWORKDAYS($AB82,TODAY(),Holidays)-1)&amp;" business day(s) late. Send now.",IF($U82="DUE TOMORROW","Next: "&amp;$AC82&amp;IF($AB82&lt;=TODAY()," is due TODAY ("," is due next business day (")&amp;TEXT($AB82,"dd-mmm")&amp;").","Next: "&amp;$AC82&amp;" due "&amp;TEXT($AB82,"dd-mmm")&amp;" ("&amp;(NETWORKDAYS(TODAY(),$AB82,Holidays)-1)&amp;" business day(s) left).")))))</f>
        <v/>
      </c>
      <c r="W82" s="17">
        <f>IF($Z82="","",CHOOSE($Z82,"Collection Email","1st Follow-up","2nd Follow-up","Local Office","CBE","Roxanne")&amp;IF($Z82=6," - Final"," - Day "&amp;MAX(0,NETWORKDAYS($AA82,TODAY(),Holidays)-1)&amp;" of "&amp;CHOOSE($Z82,3,3,2,2,3))&amp;" | Total Day "&amp;MAX(0,NETWORKDAYS($N82,TODAY(),Holidays)-1))</f>
        <v/>
      </c>
      <c r="X82" s="18"/>
      <c r="Y82" s="18"/>
      <c r="Z82" s="17">
        <f>IF($N82="","",COUNT($N82:$S82))</f>
        <v/>
      </c>
      <c r="AA82" s="19">
        <f>IF($Z82="","",INT(INDEX($N82:$S82,$Z82)))</f>
        <v/>
      </c>
      <c r="AB82" s="19">
        <f>IF(OR($Z82="",$Z82=6),"",WORKDAY($AA82,CHOOSE($Z82,3,3,2,2,3),Holidays))</f>
        <v/>
      </c>
      <c r="AC82" s="17">
        <f>IF(OR($Z82="",$Z82=6),"",CHOOSE($Z82,"1st Email Follow-up","2nd Email Follow-up","Escalate Local Office","Escalate to CBE","Escalate to Roxanne"))</f>
        <v/>
      </c>
    </row>
    <row r="83" spans="13:29">
      <c r="M83" s="14"/>
      <c r="T83" s="16"/>
      <c r="U83" s="17">
        <f>IF(AND(COUNTA($A83:$L83)=0,$N83=""),"",IF($T83="Paid","PAID",IF($T83="Closed","CLOSED",IF($Z83="","",IF($Z83=6,"ESCALATED TO ROXANNE",IF(TODAY()&gt;$AB83,"OVERDUE",IF($AB83&lt;=WORKDAY(TODAY(),1,Holidays),"DUE TOMORROW",IF($Z83=4,"ESCALATED TO LOCAL OFFICE",IF($Z83=5,"ESCALATED TO CBE",IF($AA83=TODAY(),"EMAIL SENT","MONITORING"))))))))))</f>
        <v/>
      </c>
      <c r="V83" s="17">
        <f>IF($U83="",IF(AND(COUNTA($A83:$L83)&gt;0,$N83=""),"Awaiting Collection Email time stamp.",""),IF(OR($U83="PAID",$U83="CLOSED"),IF($U83="PAID","Account paid. Action completed.","Account closed. No further action required."),CHOOSE($Z83,"Collection Email","1st Email Follow-up","2nd Email Follow-up","Escalation to Local Office","Escalation to CBE","Escalation to Roxanne")&amp;" sent "&amp;TEXT($AA83,"dd-mmm")&amp;". "&amp;IF($Z83=6,"Final escalation completed.",IF($U83="OVERDUE","Next: "&amp;$AC83&amp;" was due "&amp;TEXT($AB83,"dd-mmm")&amp;" - "&amp;(NETWORKDAYS($AB83,TODAY(),Holidays)-1)&amp;" business day(s) late. Send now.",IF($U83="DUE TOMORROW","Next: "&amp;$AC83&amp;IF($AB83&lt;=TODAY()," is due TODAY ("," is due next business day (")&amp;TEXT($AB83,"dd-mmm")&amp;").","Next: "&amp;$AC83&amp;" due "&amp;TEXT($AB83,"dd-mmm")&amp;" ("&amp;(NETWORKDAYS(TODAY(),$AB83,Holidays)-1)&amp;" business day(s) left).")))))</f>
        <v/>
      </c>
      <c r="W83" s="17">
        <f>IF($Z83="","",CHOOSE($Z83,"Collection Email","1st Follow-up","2nd Follow-up","Local Office","CBE","Roxanne")&amp;IF($Z83=6," - Final"," - Day "&amp;MAX(0,NETWORKDAYS($AA83,TODAY(),Holidays)-1)&amp;" of "&amp;CHOOSE($Z83,3,3,2,2,3))&amp;" | Total Day "&amp;MAX(0,NETWORKDAYS($N83,TODAY(),Holidays)-1))</f>
        <v/>
      </c>
      <c r="X83" s="18"/>
      <c r="Y83" s="18"/>
      <c r="Z83" s="17">
        <f>IF($N83="","",COUNT($N83:$S83))</f>
        <v/>
      </c>
      <c r="AA83" s="19">
        <f>IF($Z83="","",INT(INDEX($N83:$S83,$Z83)))</f>
        <v/>
      </c>
      <c r="AB83" s="19">
        <f>IF(OR($Z83="",$Z83=6),"",WORKDAY($AA83,CHOOSE($Z83,3,3,2,2,3),Holidays))</f>
        <v/>
      </c>
      <c r="AC83" s="17">
        <f>IF(OR($Z83="",$Z83=6),"",CHOOSE($Z83,"1st Email Follow-up","2nd Email Follow-up","Escalate Local Office","Escalate to CBE","Escalate to Roxanne"))</f>
        <v/>
      </c>
    </row>
    <row r="84" spans="13:29">
      <c r="M84" s="14"/>
      <c r="T84" s="16"/>
      <c r="U84" s="17">
        <f>IF(AND(COUNTA($A84:$L84)=0,$N84=""),"",IF($T84="Paid","PAID",IF($T84="Closed","CLOSED",IF($Z84="","",IF($Z84=6,"ESCALATED TO ROXANNE",IF(TODAY()&gt;$AB84,"OVERDUE",IF($AB84&lt;=WORKDAY(TODAY(),1,Holidays),"DUE TOMORROW",IF($Z84=4,"ESCALATED TO LOCAL OFFICE",IF($Z84=5,"ESCALATED TO CBE",IF($AA84=TODAY(),"EMAIL SENT","MONITORING"))))))))))</f>
        <v/>
      </c>
      <c r="V84" s="17">
        <f>IF($U84="",IF(AND(COUNTA($A84:$L84)&gt;0,$N84=""),"Awaiting Collection Email time stamp.",""),IF(OR($U84="PAID",$U84="CLOSED"),IF($U84="PAID","Account paid. Action completed.","Account closed. No further action required."),CHOOSE($Z84,"Collection Email","1st Email Follow-up","2nd Email Follow-up","Escalation to Local Office","Escalation to CBE","Escalation to Roxanne")&amp;" sent "&amp;TEXT($AA84,"dd-mmm")&amp;". "&amp;IF($Z84=6,"Final escalation completed.",IF($U84="OVERDUE","Next: "&amp;$AC84&amp;" was due "&amp;TEXT($AB84,"dd-mmm")&amp;" - "&amp;(NETWORKDAYS($AB84,TODAY(),Holidays)-1)&amp;" business day(s) late. Send now.",IF($U84="DUE TOMORROW","Next: "&amp;$AC84&amp;IF($AB84&lt;=TODAY()," is due TODAY ("," is due next business day (")&amp;TEXT($AB84,"dd-mmm")&amp;").","Next: "&amp;$AC84&amp;" due "&amp;TEXT($AB84,"dd-mmm")&amp;" ("&amp;(NETWORKDAYS(TODAY(),$AB84,Holidays)-1)&amp;" business day(s) left).")))))</f>
        <v/>
      </c>
      <c r="W84" s="17">
        <f>IF($Z84="","",CHOOSE($Z84,"Collection Email","1st Follow-up","2nd Follow-up","Local Office","CBE","Roxanne")&amp;IF($Z84=6," - Final"," - Day "&amp;MAX(0,NETWORKDAYS($AA84,TODAY(),Holidays)-1)&amp;" of "&amp;CHOOSE($Z84,3,3,2,2,3))&amp;" | Total Day "&amp;MAX(0,NETWORKDAYS($N84,TODAY(),Holidays)-1))</f>
        <v/>
      </c>
      <c r="X84" s="18"/>
      <c r="Y84" s="18"/>
      <c r="Z84" s="17">
        <f>IF($N84="","",COUNT($N84:$S84))</f>
        <v/>
      </c>
      <c r="AA84" s="19">
        <f>IF($Z84="","",INT(INDEX($N84:$S84,$Z84)))</f>
        <v/>
      </c>
      <c r="AB84" s="19">
        <f>IF(OR($Z84="",$Z84=6),"",WORKDAY($AA84,CHOOSE($Z84,3,3,2,2,3),Holidays))</f>
        <v/>
      </c>
      <c r="AC84" s="17">
        <f>IF(OR($Z84="",$Z84=6),"",CHOOSE($Z84,"1st Email Follow-up","2nd Email Follow-up","Escalate Local Office","Escalate to CBE","Escalate to Roxanne"))</f>
        <v/>
      </c>
    </row>
    <row r="85" spans="13:29">
      <c r="M85" s="14"/>
      <c r="T85" s="16"/>
      <c r="U85" s="17">
        <f>IF(AND(COUNTA($A85:$L85)=0,$N85=""),"",IF($T85="Paid","PAID",IF($T85="Closed","CLOSED",IF($Z85="","",IF($Z85=6,"ESCALATED TO ROXANNE",IF(TODAY()&gt;$AB85,"OVERDUE",IF($AB85&lt;=WORKDAY(TODAY(),1,Holidays),"DUE TOMORROW",IF($Z85=4,"ESCALATED TO LOCAL OFFICE",IF($Z85=5,"ESCALATED TO CBE",IF($AA85=TODAY(),"EMAIL SENT","MONITORING"))))))))))</f>
        <v/>
      </c>
      <c r="V85" s="17">
        <f>IF($U85="",IF(AND(COUNTA($A85:$L85)&gt;0,$N85=""),"Awaiting Collection Email time stamp.",""),IF(OR($U85="PAID",$U85="CLOSED"),IF($U85="PAID","Account paid. Action completed.","Account closed. No further action required."),CHOOSE($Z85,"Collection Email","1st Email Follow-up","2nd Email Follow-up","Escalation to Local Office","Escalation to CBE","Escalation to Roxanne")&amp;" sent "&amp;TEXT($AA85,"dd-mmm")&amp;". "&amp;IF($Z85=6,"Final escalation completed.",IF($U85="OVERDUE","Next: "&amp;$AC85&amp;" was due "&amp;TEXT($AB85,"dd-mmm")&amp;" - "&amp;(NETWORKDAYS($AB85,TODAY(),Holidays)-1)&amp;" business day(s) late. Send now.",IF($U85="DUE TOMORROW","Next: "&amp;$AC85&amp;IF($AB85&lt;=TODAY()," is due TODAY ("," is due next business day (")&amp;TEXT($AB85,"dd-mmm")&amp;").","Next: "&amp;$AC85&amp;" due "&amp;TEXT($AB85,"dd-mmm")&amp;" ("&amp;(NETWORKDAYS(TODAY(),$AB85,Holidays)-1)&amp;" business day(s) left).")))))</f>
        <v/>
      </c>
      <c r="W85" s="17">
        <f>IF($Z85="","",CHOOSE($Z85,"Collection Email","1st Follow-up","2nd Follow-up","Local Office","CBE","Roxanne")&amp;IF($Z85=6," - Final"," - Day "&amp;MAX(0,NETWORKDAYS($AA85,TODAY(),Holidays)-1)&amp;" of "&amp;CHOOSE($Z85,3,3,2,2,3))&amp;" | Total Day "&amp;MAX(0,NETWORKDAYS($N85,TODAY(),Holidays)-1))</f>
        <v/>
      </c>
      <c r="X85" s="18"/>
      <c r="Y85" s="18"/>
      <c r="Z85" s="17">
        <f>IF($N85="","",COUNT($N85:$S85))</f>
        <v/>
      </c>
      <c r="AA85" s="19">
        <f>IF($Z85="","",INT(INDEX($N85:$S85,$Z85)))</f>
        <v/>
      </c>
      <c r="AB85" s="19">
        <f>IF(OR($Z85="",$Z85=6),"",WORKDAY($AA85,CHOOSE($Z85,3,3,2,2,3),Holidays))</f>
        <v/>
      </c>
      <c r="AC85" s="17">
        <f>IF(OR($Z85="",$Z85=6),"",CHOOSE($Z85,"1st Email Follow-up","2nd Email Follow-up","Escalate Local Office","Escalate to CBE","Escalate to Roxanne"))</f>
        <v/>
      </c>
    </row>
    <row r="86" spans="13:29">
      <c r="M86" s="14"/>
      <c r="T86" s="16"/>
      <c r="U86" s="17">
        <f>IF(AND(COUNTA($A86:$L86)=0,$N86=""),"",IF($T86="Paid","PAID",IF($T86="Closed","CLOSED",IF($Z86="","",IF($Z86=6,"ESCALATED TO ROXANNE",IF(TODAY()&gt;$AB86,"OVERDUE",IF($AB86&lt;=WORKDAY(TODAY(),1,Holidays),"DUE TOMORROW",IF($Z86=4,"ESCALATED TO LOCAL OFFICE",IF($Z86=5,"ESCALATED TO CBE",IF($AA86=TODAY(),"EMAIL SENT","MONITORING"))))))))))</f>
        <v/>
      </c>
      <c r="V86" s="17">
        <f>IF($U86="",IF(AND(COUNTA($A86:$L86)&gt;0,$N86=""),"Awaiting Collection Email time stamp.",""),IF(OR($U86="PAID",$U86="CLOSED"),IF($U86="PAID","Account paid. Action completed.","Account closed. No further action required."),CHOOSE($Z86,"Collection Email","1st Email Follow-up","2nd Email Follow-up","Escalation to Local Office","Escalation to CBE","Escalation to Roxanne")&amp;" sent "&amp;TEXT($AA86,"dd-mmm")&amp;". "&amp;IF($Z86=6,"Final escalation completed.",IF($U86="OVERDUE","Next: "&amp;$AC86&amp;" was due "&amp;TEXT($AB86,"dd-mmm")&amp;" - "&amp;(NETWORKDAYS($AB86,TODAY(),Holidays)-1)&amp;" business day(s) late. Send now.",IF($U86="DUE TOMORROW","Next: "&amp;$AC86&amp;IF($AB86&lt;=TODAY()," is due TODAY ("," is due next business day (")&amp;TEXT($AB86,"dd-mmm")&amp;").","Next: "&amp;$AC86&amp;" due "&amp;TEXT($AB86,"dd-mmm")&amp;" ("&amp;(NETWORKDAYS(TODAY(),$AB86,Holidays)-1)&amp;" business day(s) left).")))))</f>
        <v/>
      </c>
      <c r="W86" s="17">
        <f>IF($Z86="","",CHOOSE($Z86,"Collection Email","1st Follow-up","2nd Follow-up","Local Office","CBE","Roxanne")&amp;IF($Z86=6," - Final"," - Day "&amp;MAX(0,NETWORKDAYS($AA86,TODAY(),Holidays)-1)&amp;" of "&amp;CHOOSE($Z86,3,3,2,2,3))&amp;" | Total Day "&amp;MAX(0,NETWORKDAYS($N86,TODAY(),Holidays)-1))</f>
        <v/>
      </c>
      <c r="X86" s="18"/>
      <c r="Y86" s="18"/>
      <c r="Z86" s="17">
        <f>IF($N86="","",COUNT($N86:$S86))</f>
        <v/>
      </c>
      <c r="AA86" s="19">
        <f>IF($Z86="","",INT(INDEX($N86:$S86,$Z86)))</f>
        <v/>
      </c>
      <c r="AB86" s="19">
        <f>IF(OR($Z86="",$Z86=6),"",WORKDAY($AA86,CHOOSE($Z86,3,3,2,2,3),Holidays))</f>
        <v/>
      </c>
      <c r="AC86" s="17">
        <f>IF(OR($Z86="",$Z86=6),"",CHOOSE($Z86,"1st Email Follow-up","2nd Email Follow-up","Escalate Local Office","Escalate to CBE","Escalate to Roxanne"))</f>
        <v/>
      </c>
    </row>
    <row r="87" spans="13:29">
      <c r="M87" s="14"/>
      <c r="T87" s="16"/>
      <c r="U87" s="17">
        <f>IF(AND(COUNTA($A87:$L87)=0,$N87=""),"",IF($T87="Paid","PAID",IF($T87="Closed","CLOSED",IF($Z87="","",IF($Z87=6,"ESCALATED TO ROXANNE",IF(TODAY()&gt;$AB87,"OVERDUE",IF($AB87&lt;=WORKDAY(TODAY(),1,Holidays),"DUE TOMORROW",IF($Z87=4,"ESCALATED TO LOCAL OFFICE",IF($Z87=5,"ESCALATED TO CBE",IF($AA87=TODAY(),"EMAIL SENT","MONITORING"))))))))))</f>
        <v/>
      </c>
      <c r="V87" s="17">
        <f>IF($U87="",IF(AND(COUNTA($A87:$L87)&gt;0,$N87=""),"Awaiting Collection Email time stamp.",""),IF(OR($U87="PAID",$U87="CLOSED"),IF($U87="PAID","Account paid. Action completed.","Account closed. No further action required."),CHOOSE($Z87,"Collection Email","1st Email Follow-up","2nd Email Follow-up","Escalation to Local Office","Escalation to CBE","Escalation to Roxanne")&amp;" sent "&amp;TEXT($AA87,"dd-mmm")&amp;". "&amp;IF($Z87=6,"Final escalation completed.",IF($U87="OVERDUE","Next: "&amp;$AC87&amp;" was due "&amp;TEXT($AB87,"dd-mmm")&amp;" - "&amp;(NETWORKDAYS($AB87,TODAY(),Holidays)-1)&amp;" business day(s) late. Send now.",IF($U87="DUE TOMORROW","Next: "&amp;$AC87&amp;IF($AB87&lt;=TODAY()," is due TODAY ("," is due next business day (")&amp;TEXT($AB87,"dd-mmm")&amp;").","Next: "&amp;$AC87&amp;" due "&amp;TEXT($AB87,"dd-mmm")&amp;" ("&amp;(NETWORKDAYS(TODAY(),$AB87,Holidays)-1)&amp;" business day(s) left).")))))</f>
        <v/>
      </c>
      <c r="W87" s="17">
        <f>IF($Z87="","",CHOOSE($Z87,"Collection Email","1st Follow-up","2nd Follow-up","Local Office","CBE","Roxanne")&amp;IF($Z87=6," - Final"," - Day "&amp;MAX(0,NETWORKDAYS($AA87,TODAY(),Holidays)-1)&amp;" of "&amp;CHOOSE($Z87,3,3,2,2,3))&amp;" | Total Day "&amp;MAX(0,NETWORKDAYS($N87,TODAY(),Holidays)-1))</f>
        <v/>
      </c>
      <c r="X87" s="18"/>
      <c r="Y87" s="18"/>
      <c r="Z87" s="17">
        <f>IF($N87="","",COUNT($N87:$S87))</f>
        <v/>
      </c>
      <c r="AA87" s="19">
        <f>IF($Z87="","",INT(INDEX($N87:$S87,$Z87)))</f>
        <v/>
      </c>
      <c r="AB87" s="19">
        <f>IF(OR($Z87="",$Z87=6),"",WORKDAY($AA87,CHOOSE($Z87,3,3,2,2,3),Holidays))</f>
        <v/>
      </c>
      <c r="AC87" s="17">
        <f>IF(OR($Z87="",$Z87=6),"",CHOOSE($Z87,"1st Email Follow-up","2nd Email Follow-up","Escalate Local Office","Escalate to CBE","Escalate to Roxanne"))</f>
        <v/>
      </c>
    </row>
    <row r="88" spans="13:29">
      <c r="M88" s="14"/>
      <c r="T88" s="16"/>
      <c r="U88" s="17">
        <f>IF(AND(COUNTA($A88:$L88)=0,$N88=""),"",IF($T88="Paid","PAID",IF($T88="Closed","CLOSED",IF($Z88="","",IF($Z88=6,"ESCALATED TO ROXANNE",IF(TODAY()&gt;$AB88,"OVERDUE",IF($AB88&lt;=WORKDAY(TODAY(),1,Holidays),"DUE TOMORROW",IF($Z88=4,"ESCALATED TO LOCAL OFFICE",IF($Z88=5,"ESCALATED TO CBE",IF($AA88=TODAY(),"EMAIL SENT","MONITORING"))))))))))</f>
        <v/>
      </c>
      <c r="V88" s="17">
        <f>IF($U88="",IF(AND(COUNTA($A88:$L88)&gt;0,$N88=""),"Awaiting Collection Email time stamp.",""),IF(OR($U88="PAID",$U88="CLOSED"),IF($U88="PAID","Account paid. Action completed.","Account closed. No further action required."),CHOOSE($Z88,"Collection Email","1st Email Follow-up","2nd Email Follow-up","Escalation to Local Office","Escalation to CBE","Escalation to Roxanne")&amp;" sent "&amp;TEXT($AA88,"dd-mmm")&amp;". "&amp;IF($Z88=6,"Final escalation completed.",IF($U88="OVERDUE","Next: "&amp;$AC88&amp;" was due "&amp;TEXT($AB88,"dd-mmm")&amp;" - "&amp;(NETWORKDAYS($AB88,TODAY(),Holidays)-1)&amp;" business day(s) late. Send now.",IF($U88="DUE TOMORROW","Next: "&amp;$AC88&amp;IF($AB88&lt;=TODAY()," is due TODAY ("," is due next business day (")&amp;TEXT($AB88,"dd-mmm")&amp;").","Next: "&amp;$AC88&amp;" due "&amp;TEXT($AB88,"dd-mmm")&amp;" ("&amp;(NETWORKDAYS(TODAY(),$AB88,Holidays)-1)&amp;" business day(s) left).")))))</f>
        <v/>
      </c>
      <c r="W88" s="17">
        <f>IF($Z88="","",CHOOSE($Z88,"Collection Email","1st Follow-up","2nd Follow-up","Local Office","CBE","Roxanne")&amp;IF($Z88=6," - Final"," - Day "&amp;MAX(0,NETWORKDAYS($AA88,TODAY(),Holidays)-1)&amp;" of "&amp;CHOOSE($Z88,3,3,2,2,3))&amp;" | Total Day "&amp;MAX(0,NETWORKDAYS($N88,TODAY(),Holidays)-1))</f>
        <v/>
      </c>
      <c r="X88" s="18"/>
      <c r="Y88" s="18"/>
      <c r="Z88" s="17">
        <f>IF($N88="","",COUNT($N88:$S88))</f>
        <v/>
      </c>
      <c r="AA88" s="19">
        <f>IF($Z88="","",INT(INDEX($N88:$S88,$Z88)))</f>
        <v/>
      </c>
      <c r="AB88" s="19">
        <f>IF(OR($Z88="",$Z88=6),"",WORKDAY($AA88,CHOOSE($Z88,3,3,2,2,3),Holidays))</f>
        <v/>
      </c>
      <c r="AC88" s="17">
        <f>IF(OR($Z88="",$Z88=6),"",CHOOSE($Z88,"1st Email Follow-up","2nd Email Follow-up","Escalate Local Office","Escalate to CBE","Escalate to Roxanne"))</f>
        <v/>
      </c>
    </row>
    <row r="89" spans="13:29">
      <c r="M89" s="14"/>
      <c r="T89" s="16"/>
      <c r="U89" s="17">
        <f>IF(AND(COUNTA($A89:$L89)=0,$N89=""),"",IF($T89="Paid","PAID",IF($T89="Closed","CLOSED",IF($Z89="","",IF($Z89=6,"ESCALATED TO ROXANNE",IF(TODAY()&gt;$AB89,"OVERDUE",IF($AB89&lt;=WORKDAY(TODAY(),1,Holidays),"DUE TOMORROW",IF($Z89=4,"ESCALATED TO LOCAL OFFICE",IF($Z89=5,"ESCALATED TO CBE",IF($AA89=TODAY(),"EMAIL SENT","MONITORING"))))))))))</f>
        <v/>
      </c>
      <c r="V89" s="17">
        <f>IF($U89="",IF(AND(COUNTA($A89:$L89)&gt;0,$N89=""),"Awaiting Collection Email time stamp.",""),IF(OR($U89="PAID",$U89="CLOSED"),IF($U89="PAID","Account paid. Action completed.","Account closed. No further action required."),CHOOSE($Z89,"Collection Email","1st Email Follow-up","2nd Email Follow-up","Escalation to Local Office","Escalation to CBE","Escalation to Roxanne")&amp;" sent "&amp;TEXT($AA89,"dd-mmm")&amp;". "&amp;IF($Z89=6,"Final escalation completed.",IF($U89="OVERDUE","Next: "&amp;$AC89&amp;" was due "&amp;TEXT($AB89,"dd-mmm")&amp;" - "&amp;(NETWORKDAYS($AB89,TODAY(),Holidays)-1)&amp;" business day(s) late. Send now.",IF($U89="DUE TOMORROW","Next: "&amp;$AC89&amp;IF($AB89&lt;=TODAY()," is due TODAY ("," is due next business day (")&amp;TEXT($AB89,"dd-mmm")&amp;").","Next: "&amp;$AC89&amp;" due "&amp;TEXT($AB89,"dd-mmm")&amp;" ("&amp;(NETWORKDAYS(TODAY(),$AB89,Holidays)-1)&amp;" business day(s) left).")))))</f>
        <v/>
      </c>
      <c r="W89" s="17">
        <f>IF($Z89="","",CHOOSE($Z89,"Collection Email","1st Follow-up","2nd Follow-up","Local Office","CBE","Roxanne")&amp;IF($Z89=6," - Final"," - Day "&amp;MAX(0,NETWORKDAYS($AA89,TODAY(),Holidays)-1)&amp;" of "&amp;CHOOSE($Z89,3,3,2,2,3))&amp;" | Total Day "&amp;MAX(0,NETWORKDAYS($N89,TODAY(),Holidays)-1))</f>
        <v/>
      </c>
      <c r="X89" s="18"/>
      <c r="Y89" s="18"/>
      <c r="Z89" s="17">
        <f>IF($N89="","",COUNT($N89:$S89))</f>
        <v/>
      </c>
      <c r="AA89" s="19">
        <f>IF($Z89="","",INT(INDEX($N89:$S89,$Z89)))</f>
        <v/>
      </c>
      <c r="AB89" s="19">
        <f>IF(OR($Z89="",$Z89=6),"",WORKDAY($AA89,CHOOSE($Z89,3,3,2,2,3),Holidays))</f>
        <v/>
      </c>
      <c r="AC89" s="17">
        <f>IF(OR($Z89="",$Z89=6),"",CHOOSE($Z89,"1st Email Follow-up","2nd Email Follow-up","Escalate Local Office","Escalate to CBE","Escalate to Roxanne"))</f>
        <v/>
      </c>
    </row>
    <row r="90" spans="13:29">
      <c r="M90" s="14"/>
      <c r="T90" s="16"/>
      <c r="U90" s="17">
        <f>IF(AND(COUNTA($A90:$L90)=0,$N90=""),"",IF($T90="Paid","PAID",IF($T90="Closed","CLOSED",IF($Z90="","",IF($Z90=6,"ESCALATED TO ROXANNE",IF(TODAY()&gt;$AB90,"OVERDUE",IF($AB90&lt;=WORKDAY(TODAY(),1,Holidays),"DUE TOMORROW",IF($Z90=4,"ESCALATED TO LOCAL OFFICE",IF($Z90=5,"ESCALATED TO CBE",IF($AA90=TODAY(),"EMAIL SENT","MONITORING"))))))))))</f>
        <v/>
      </c>
      <c r="V90" s="17">
        <f>IF($U90="",IF(AND(COUNTA($A90:$L90)&gt;0,$N90=""),"Awaiting Collection Email time stamp.",""),IF(OR($U90="PAID",$U90="CLOSED"),IF($U90="PAID","Account paid. Action completed.","Account closed. No further action required."),CHOOSE($Z90,"Collection Email","1st Email Follow-up","2nd Email Follow-up","Escalation to Local Office","Escalation to CBE","Escalation to Roxanne")&amp;" sent "&amp;TEXT($AA90,"dd-mmm")&amp;". "&amp;IF($Z90=6,"Final escalation completed.",IF($U90="OVERDUE","Next: "&amp;$AC90&amp;" was due "&amp;TEXT($AB90,"dd-mmm")&amp;" - "&amp;(NETWORKDAYS($AB90,TODAY(),Holidays)-1)&amp;" business day(s) late. Send now.",IF($U90="DUE TOMORROW","Next: "&amp;$AC90&amp;IF($AB90&lt;=TODAY()," is due TODAY ("," is due next business day (")&amp;TEXT($AB90,"dd-mmm")&amp;").","Next: "&amp;$AC90&amp;" due "&amp;TEXT($AB90,"dd-mmm")&amp;" ("&amp;(NETWORKDAYS(TODAY(),$AB90,Holidays)-1)&amp;" business day(s) left).")))))</f>
        <v/>
      </c>
      <c r="W90" s="17">
        <f>IF($Z90="","",CHOOSE($Z90,"Collection Email","1st Follow-up","2nd Follow-up","Local Office","CBE","Roxanne")&amp;IF($Z90=6," - Final"," - Day "&amp;MAX(0,NETWORKDAYS($AA90,TODAY(),Holidays)-1)&amp;" of "&amp;CHOOSE($Z90,3,3,2,2,3))&amp;" | Total Day "&amp;MAX(0,NETWORKDAYS($N90,TODAY(),Holidays)-1))</f>
        <v/>
      </c>
      <c r="X90" s="18"/>
      <c r="Y90" s="18"/>
      <c r="Z90" s="17">
        <f>IF($N90="","",COUNT($N90:$S90))</f>
        <v/>
      </c>
      <c r="AA90" s="19">
        <f>IF($Z90="","",INT(INDEX($N90:$S90,$Z90)))</f>
        <v/>
      </c>
      <c r="AB90" s="19">
        <f>IF(OR($Z90="",$Z90=6),"",WORKDAY($AA90,CHOOSE($Z90,3,3,2,2,3),Holidays))</f>
        <v/>
      </c>
      <c r="AC90" s="17">
        <f>IF(OR($Z90="",$Z90=6),"",CHOOSE($Z90,"1st Email Follow-up","2nd Email Follow-up","Escalate Local Office","Escalate to CBE","Escalate to Roxanne"))</f>
        <v/>
      </c>
    </row>
    <row r="91" spans="13:29">
      <c r="M91" s="14"/>
      <c r="T91" s="16"/>
      <c r="U91" s="17">
        <f>IF(AND(COUNTA($A91:$L91)=0,$N91=""),"",IF($T91="Paid","PAID",IF($T91="Closed","CLOSED",IF($Z91="","",IF($Z91=6,"ESCALATED TO ROXANNE",IF(TODAY()&gt;$AB91,"OVERDUE",IF($AB91&lt;=WORKDAY(TODAY(),1,Holidays),"DUE TOMORROW",IF($Z91=4,"ESCALATED TO LOCAL OFFICE",IF($Z91=5,"ESCALATED TO CBE",IF($AA91=TODAY(),"EMAIL SENT","MONITORING"))))))))))</f>
        <v/>
      </c>
      <c r="V91" s="17">
        <f>IF($U91="",IF(AND(COUNTA($A91:$L91)&gt;0,$N91=""),"Awaiting Collection Email time stamp.",""),IF(OR($U91="PAID",$U91="CLOSED"),IF($U91="PAID","Account paid. Action completed.","Account closed. No further action required."),CHOOSE($Z91,"Collection Email","1st Email Follow-up","2nd Email Follow-up","Escalation to Local Office","Escalation to CBE","Escalation to Roxanne")&amp;" sent "&amp;TEXT($AA91,"dd-mmm")&amp;". "&amp;IF($Z91=6,"Final escalation completed.",IF($U91="OVERDUE","Next: "&amp;$AC91&amp;" was due "&amp;TEXT($AB91,"dd-mmm")&amp;" - "&amp;(NETWORKDAYS($AB91,TODAY(),Holidays)-1)&amp;" business day(s) late. Send now.",IF($U91="DUE TOMORROW","Next: "&amp;$AC91&amp;IF($AB91&lt;=TODAY()," is due TODAY ("," is due next business day (")&amp;TEXT($AB91,"dd-mmm")&amp;").","Next: "&amp;$AC91&amp;" due "&amp;TEXT($AB91,"dd-mmm")&amp;" ("&amp;(NETWORKDAYS(TODAY(),$AB91,Holidays)-1)&amp;" business day(s) left).")))))</f>
        <v/>
      </c>
      <c r="W91" s="17">
        <f>IF($Z91="","",CHOOSE($Z91,"Collection Email","1st Follow-up","2nd Follow-up","Local Office","CBE","Roxanne")&amp;IF($Z91=6," - Final"," - Day "&amp;MAX(0,NETWORKDAYS($AA91,TODAY(),Holidays)-1)&amp;" of "&amp;CHOOSE($Z91,3,3,2,2,3))&amp;" | Total Day "&amp;MAX(0,NETWORKDAYS($N91,TODAY(),Holidays)-1))</f>
        <v/>
      </c>
      <c r="X91" s="18"/>
      <c r="Y91" s="18"/>
      <c r="Z91" s="17">
        <f>IF($N91="","",COUNT($N91:$S91))</f>
        <v/>
      </c>
      <c r="AA91" s="19">
        <f>IF($Z91="","",INT(INDEX($N91:$S91,$Z91)))</f>
        <v/>
      </c>
      <c r="AB91" s="19">
        <f>IF(OR($Z91="",$Z91=6),"",WORKDAY($AA91,CHOOSE($Z91,3,3,2,2,3),Holidays))</f>
        <v/>
      </c>
      <c r="AC91" s="17">
        <f>IF(OR($Z91="",$Z91=6),"",CHOOSE($Z91,"1st Email Follow-up","2nd Email Follow-up","Escalate Local Office","Escalate to CBE","Escalate to Roxanne"))</f>
        <v/>
      </c>
    </row>
    <row r="92" spans="13:29">
      <c r="M92" s="14"/>
      <c r="T92" s="16"/>
      <c r="U92" s="17">
        <f>IF(AND(COUNTA($A92:$L92)=0,$N92=""),"",IF($T92="Paid","PAID",IF($T92="Closed","CLOSED",IF($Z92="","",IF($Z92=6,"ESCALATED TO ROXANNE",IF(TODAY()&gt;$AB92,"OVERDUE",IF($AB92&lt;=WORKDAY(TODAY(),1,Holidays),"DUE TOMORROW",IF($Z92=4,"ESCALATED TO LOCAL OFFICE",IF($Z92=5,"ESCALATED TO CBE",IF($AA92=TODAY(),"EMAIL SENT","MONITORING"))))))))))</f>
        <v/>
      </c>
      <c r="V92" s="17">
        <f>IF($U92="",IF(AND(COUNTA($A92:$L92)&gt;0,$N92=""),"Awaiting Collection Email time stamp.",""),IF(OR($U92="PAID",$U92="CLOSED"),IF($U92="PAID","Account paid. Action completed.","Account closed. No further action required."),CHOOSE($Z92,"Collection Email","1st Email Follow-up","2nd Email Follow-up","Escalation to Local Office","Escalation to CBE","Escalation to Roxanne")&amp;" sent "&amp;TEXT($AA92,"dd-mmm")&amp;". "&amp;IF($Z92=6,"Final escalation completed.",IF($U92="OVERDUE","Next: "&amp;$AC92&amp;" was due "&amp;TEXT($AB92,"dd-mmm")&amp;" - "&amp;(NETWORKDAYS($AB92,TODAY(),Holidays)-1)&amp;" business day(s) late. Send now.",IF($U92="DUE TOMORROW","Next: "&amp;$AC92&amp;IF($AB92&lt;=TODAY()," is due TODAY ("," is due next business day (")&amp;TEXT($AB92,"dd-mmm")&amp;").","Next: "&amp;$AC92&amp;" due "&amp;TEXT($AB92,"dd-mmm")&amp;" ("&amp;(NETWORKDAYS(TODAY(),$AB92,Holidays)-1)&amp;" business day(s) left).")))))</f>
        <v/>
      </c>
      <c r="W92" s="17">
        <f>IF($Z92="","",CHOOSE($Z92,"Collection Email","1st Follow-up","2nd Follow-up","Local Office","CBE","Roxanne")&amp;IF($Z92=6," - Final"," - Day "&amp;MAX(0,NETWORKDAYS($AA92,TODAY(),Holidays)-1)&amp;" of "&amp;CHOOSE($Z92,3,3,2,2,3))&amp;" | Total Day "&amp;MAX(0,NETWORKDAYS($N92,TODAY(),Holidays)-1))</f>
        <v/>
      </c>
      <c r="X92" s="18"/>
      <c r="Y92" s="18"/>
      <c r="Z92" s="17">
        <f>IF($N92="","",COUNT($N92:$S92))</f>
        <v/>
      </c>
      <c r="AA92" s="19">
        <f>IF($Z92="","",INT(INDEX($N92:$S92,$Z92)))</f>
        <v/>
      </c>
      <c r="AB92" s="19">
        <f>IF(OR($Z92="",$Z92=6),"",WORKDAY($AA92,CHOOSE($Z92,3,3,2,2,3),Holidays))</f>
        <v/>
      </c>
      <c r="AC92" s="17">
        <f>IF(OR($Z92="",$Z92=6),"",CHOOSE($Z92,"1st Email Follow-up","2nd Email Follow-up","Escalate Local Office","Escalate to CBE","Escalate to Roxanne"))</f>
        <v/>
      </c>
    </row>
    <row r="93" spans="13:29">
      <c r="M93" s="14"/>
      <c r="T93" s="16"/>
      <c r="U93" s="17">
        <f>IF(AND(COUNTA($A93:$L93)=0,$N93=""),"",IF($T93="Paid","PAID",IF($T93="Closed","CLOSED",IF($Z93="","",IF($Z93=6,"ESCALATED TO ROXANNE",IF(TODAY()&gt;$AB93,"OVERDUE",IF($AB93&lt;=WORKDAY(TODAY(),1,Holidays),"DUE TOMORROW",IF($Z93=4,"ESCALATED TO LOCAL OFFICE",IF($Z93=5,"ESCALATED TO CBE",IF($AA93=TODAY(),"EMAIL SENT","MONITORING"))))))))))</f>
        <v/>
      </c>
      <c r="V93" s="17">
        <f>IF($U93="",IF(AND(COUNTA($A93:$L93)&gt;0,$N93=""),"Awaiting Collection Email time stamp.",""),IF(OR($U93="PAID",$U93="CLOSED"),IF($U93="PAID","Account paid. Action completed.","Account closed. No further action required."),CHOOSE($Z93,"Collection Email","1st Email Follow-up","2nd Email Follow-up","Escalation to Local Office","Escalation to CBE","Escalation to Roxanne")&amp;" sent "&amp;TEXT($AA93,"dd-mmm")&amp;". "&amp;IF($Z93=6,"Final escalation completed.",IF($U93="OVERDUE","Next: "&amp;$AC93&amp;" was due "&amp;TEXT($AB93,"dd-mmm")&amp;" - "&amp;(NETWORKDAYS($AB93,TODAY(),Holidays)-1)&amp;" business day(s) late. Send now.",IF($U93="DUE TOMORROW","Next: "&amp;$AC93&amp;IF($AB93&lt;=TODAY()," is due TODAY ("," is due next business day (")&amp;TEXT($AB93,"dd-mmm")&amp;").","Next: "&amp;$AC93&amp;" due "&amp;TEXT($AB93,"dd-mmm")&amp;" ("&amp;(NETWORKDAYS(TODAY(),$AB93,Holidays)-1)&amp;" business day(s) left).")))))</f>
        <v/>
      </c>
      <c r="W93" s="17">
        <f>IF($Z93="","",CHOOSE($Z93,"Collection Email","1st Follow-up","2nd Follow-up","Local Office","CBE","Roxanne")&amp;IF($Z93=6," - Final"," - Day "&amp;MAX(0,NETWORKDAYS($AA93,TODAY(),Holidays)-1)&amp;" of "&amp;CHOOSE($Z93,3,3,2,2,3))&amp;" | Total Day "&amp;MAX(0,NETWORKDAYS($N93,TODAY(),Holidays)-1))</f>
        <v/>
      </c>
      <c r="X93" s="18"/>
      <c r="Y93" s="18"/>
      <c r="Z93" s="17">
        <f>IF($N93="","",COUNT($N93:$S93))</f>
        <v/>
      </c>
      <c r="AA93" s="19">
        <f>IF($Z93="","",INT(INDEX($N93:$S93,$Z93)))</f>
        <v/>
      </c>
      <c r="AB93" s="19">
        <f>IF(OR($Z93="",$Z93=6),"",WORKDAY($AA93,CHOOSE($Z93,3,3,2,2,3),Holidays))</f>
        <v/>
      </c>
      <c r="AC93" s="17">
        <f>IF(OR($Z93="",$Z93=6),"",CHOOSE($Z93,"1st Email Follow-up","2nd Email Follow-up","Escalate Local Office","Escalate to CBE","Escalate to Roxanne"))</f>
        <v/>
      </c>
    </row>
    <row r="94" spans="13:29">
      <c r="M94" s="14"/>
      <c r="T94" s="16"/>
      <c r="U94" s="17">
        <f>IF(AND(COUNTA($A94:$L94)=0,$N94=""),"",IF($T94="Paid","PAID",IF($T94="Closed","CLOSED",IF($Z94="","",IF($Z94=6,"ESCALATED TO ROXANNE",IF(TODAY()&gt;$AB94,"OVERDUE",IF($AB94&lt;=WORKDAY(TODAY(),1,Holidays),"DUE TOMORROW",IF($Z94=4,"ESCALATED TO LOCAL OFFICE",IF($Z94=5,"ESCALATED TO CBE",IF($AA94=TODAY(),"EMAIL SENT","MONITORING"))))))))))</f>
        <v/>
      </c>
      <c r="V94" s="17">
        <f>IF($U94="",IF(AND(COUNTA($A94:$L94)&gt;0,$N94=""),"Awaiting Collection Email time stamp.",""),IF(OR($U94="PAID",$U94="CLOSED"),IF($U94="PAID","Account paid. Action completed.","Account closed. No further action required."),CHOOSE($Z94,"Collection Email","1st Email Follow-up","2nd Email Follow-up","Escalation to Local Office","Escalation to CBE","Escalation to Roxanne")&amp;" sent "&amp;TEXT($AA94,"dd-mmm")&amp;". "&amp;IF($Z94=6,"Final escalation completed.",IF($U94="OVERDUE","Next: "&amp;$AC94&amp;" was due "&amp;TEXT($AB94,"dd-mmm")&amp;" - "&amp;(NETWORKDAYS($AB94,TODAY(),Holidays)-1)&amp;" business day(s) late. Send now.",IF($U94="DUE TOMORROW","Next: "&amp;$AC94&amp;IF($AB94&lt;=TODAY()," is due TODAY ("," is due next business day (")&amp;TEXT($AB94,"dd-mmm")&amp;").","Next: "&amp;$AC94&amp;" due "&amp;TEXT($AB94,"dd-mmm")&amp;" ("&amp;(NETWORKDAYS(TODAY(),$AB94,Holidays)-1)&amp;" business day(s) left).")))))</f>
        <v/>
      </c>
      <c r="W94" s="17">
        <f>IF($Z94="","",CHOOSE($Z94,"Collection Email","1st Follow-up","2nd Follow-up","Local Office","CBE","Roxanne")&amp;IF($Z94=6," - Final"," - Day "&amp;MAX(0,NETWORKDAYS($AA94,TODAY(),Holidays)-1)&amp;" of "&amp;CHOOSE($Z94,3,3,2,2,3))&amp;" | Total Day "&amp;MAX(0,NETWORKDAYS($N94,TODAY(),Holidays)-1))</f>
        <v/>
      </c>
      <c r="X94" s="18"/>
      <c r="Y94" s="18"/>
      <c r="Z94" s="17">
        <f>IF($N94="","",COUNT($N94:$S94))</f>
        <v/>
      </c>
      <c r="AA94" s="19">
        <f>IF($Z94="","",INT(INDEX($N94:$S94,$Z94)))</f>
        <v/>
      </c>
      <c r="AB94" s="19">
        <f>IF(OR($Z94="",$Z94=6),"",WORKDAY($AA94,CHOOSE($Z94,3,3,2,2,3),Holidays))</f>
        <v/>
      </c>
      <c r="AC94" s="17">
        <f>IF(OR($Z94="",$Z94=6),"",CHOOSE($Z94,"1st Email Follow-up","2nd Email Follow-up","Escalate Local Office","Escalate to CBE","Escalate to Roxanne"))</f>
        <v/>
      </c>
    </row>
    <row r="95" spans="13:29">
      <c r="M95" s="14"/>
      <c r="T95" s="16"/>
      <c r="U95" s="17">
        <f>IF(AND(COUNTA($A95:$L95)=0,$N95=""),"",IF($T95="Paid","PAID",IF($T95="Closed","CLOSED",IF($Z95="","",IF($Z95=6,"ESCALATED TO ROXANNE",IF(TODAY()&gt;$AB95,"OVERDUE",IF($AB95&lt;=WORKDAY(TODAY(),1,Holidays),"DUE TOMORROW",IF($Z95=4,"ESCALATED TO LOCAL OFFICE",IF($Z95=5,"ESCALATED TO CBE",IF($AA95=TODAY(),"EMAIL SENT","MONITORING"))))))))))</f>
        <v/>
      </c>
      <c r="V95" s="17">
        <f>IF($U95="",IF(AND(COUNTA($A95:$L95)&gt;0,$N95=""),"Awaiting Collection Email time stamp.",""),IF(OR($U95="PAID",$U95="CLOSED"),IF($U95="PAID","Account paid. Action completed.","Account closed. No further action required."),CHOOSE($Z95,"Collection Email","1st Email Follow-up","2nd Email Follow-up","Escalation to Local Office","Escalation to CBE","Escalation to Roxanne")&amp;" sent "&amp;TEXT($AA95,"dd-mmm")&amp;". "&amp;IF($Z95=6,"Final escalation completed.",IF($U95="OVERDUE","Next: "&amp;$AC95&amp;" was due "&amp;TEXT($AB95,"dd-mmm")&amp;" - "&amp;(NETWORKDAYS($AB95,TODAY(),Holidays)-1)&amp;" business day(s) late. Send now.",IF($U95="DUE TOMORROW","Next: "&amp;$AC95&amp;IF($AB95&lt;=TODAY()," is due TODAY ("," is due next business day (")&amp;TEXT($AB95,"dd-mmm")&amp;").","Next: "&amp;$AC95&amp;" due "&amp;TEXT($AB95,"dd-mmm")&amp;" ("&amp;(NETWORKDAYS(TODAY(),$AB95,Holidays)-1)&amp;" business day(s) left).")))))</f>
        <v/>
      </c>
      <c r="W95" s="17">
        <f>IF($Z95="","",CHOOSE($Z95,"Collection Email","1st Follow-up","2nd Follow-up","Local Office","CBE","Roxanne")&amp;IF($Z95=6," - Final"," - Day "&amp;MAX(0,NETWORKDAYS($AA95,TODAY(),Holidays)-1)&amp;" of "&amp;CHOOSE($Z95,3,3,2,2,3))&amp;" | Total Day "&amp;MAX(0,NETWORKDAYS($N95,TODAY(),Holidays)-1))</f>
        <v/>
      </c>
      <c r="X95" s="18"/>
      <c r="Y95" s="18"/>
      <c r="Z95" s="17">
        <f>IF($N95="","",COUNT($N95:$S95))</f>
        <v/>
      </c>
      <c r="AA95" s="19">
        <f>IF($Z95="","",INT(INDEX($N95:$S95,$Z95)))</f>
        <v/>
      </c>
      <c r="AB95" s="19">
        <f>IF(OR($Z95="",$Z95=6),"",WORKDAY($AA95,CHOOSE($Z95,3,3,2,2,3),Holidays))</f>
        <v/>
      </c>
      <c r="AC95" s="17">
        <f>IF(OR($Z95="",$Z95=6),"",CHOOSE($Z95,"1st Email Follow-up","2nd Email Follow-up","Escalate Local Office","Escalate to CBE","Escalate to Roxanne"))</f>
        <v/>
      </c>
    </row>
    <row r="96" spans="13:29">
      <c r="M96" s="14"/>
      <c r="T96" s="16"/>
      <c r="U96" s="17">
        <f>IF(AND(COUNTA($A96:$L96)=0,$N96=""),"",IF($T96="Paid","PAID",IF($T96="Closed","CLOSED",IF($Z96="","",IF($Z96=6,"ESCALATED TO ROXANNE",IF(TODAY()&gt;$AB96,"OVERDUE",IF($AB96&lt;=WORKDAY(TODAY(),1,Holidays),"DUE TOMORROW",IF($Z96=4,"ESCALATED TO LOCAL OFFICE",IF($Z96=5,"ESCALATED TO CBE",IF($AA96=TODAY(),"EMAIL SENT","MONITORING"))))))))))</f>
        <v/>
      </c>
      <c r="V96" s="17">
        <f>IF($U96="",IF(AND(COUNTA($A96:$L96)&gt;0,$N96=""),"Awaiting Collection Email time stamp.",""),IF(OR($U96="PAID",$U96="CLOSED"),IF($U96="PAID","Account paid. Action completed.","Account closed. No further action required."),CHOOSE($Z96,"Collection Email","1st Email Follow-up","2nd Email Follow-up","Escalation to Local Office","Escalation to CBE","Escalation to Roxanne")&amp;" sent "&amp;TEXT($AA96,"dd-mmm")&amp;". "&amp;IF($Z96=6,"Final escalation completed.",IF($U96="OVERDUE","Next: "&amp;$AC96&amp;" was due "&amp;TEXT($AB96,"dd-mmm")&amp;" - "&amp;(NETWORKDAYS($AB96,TODAY(),Holidays)-1)&amp;" business day(s) late. Send now.",IF($U96="DUE TOMORROW","Next: "&amp;$AC96&amp;IF($AB96&lt;=TODAY()," is due TODAY ("," is due next business day (")&amp;TEXT($AB96,"dd-mmm")&amp;").","Next: "&amp;$AC96&amp;" due "&amp;TEXT($AB96,"dd-mmm")&amp;" ("&amp;(NETWORKDAYS(TODAY(),$AB96,Holidays)-1)&amp;" business day(s) left).")))))</f>
        <v/>
      </c>
      <c r="W96" s="17">
        <f>IF($Z96="","",CHOOSE($Z96,"Collection Email","1st Follow-up","2nd Follow-up","Local Office","CBE","Roxanne")&amp;IF($Z96=6," - Final"," - Day "&amp;MAX(0,NETWORKDAYS($AA96,TODAY(),Holidays)-1)&amp;" of "&amp;CHOOSE($Z96,3,3,2,2,3))&amp;" | Total Day "&amp;MAX(0,NETWORKDAYS($N96,TODAY(),Holidays)-1))</f>
        <v/>
      </c>
      <c r="X96" s="18"/>
      <c r="Y96" s="18"/>
      <c r="Z96" s="17">
        <f>IF($N96="","",COUNT($N96:$S96))</f>
        <v/>
      </c>
      <c r="AA96" s="19">
        <f>IF($Z96="","",INT(INDEX($N96:$S96,$Z96)))</f>
        <v/>
      </c>
      <c r="AB96" s="19">
        <f>IF(OR($Z96="",$Z96=6),"",WORKDAY($AA96,CHOOSE($Z96,3,3,2,2,3),Holidays))</f>
        <v/>
      </c>
      <c r="AC96" s="17">
        <f>IF(OR($Z96="",$Z96=6),"",CHOOSE($Z96,"1st Email Follow-up","2nd Email Follow-up","Escalate Local Office","Escalate to CBE","Escalate to Roxanne"))</f>
        <v/>
      </c>
    </row>
    <row r="97" spans="13:29">
      <c r="M97" s="14"/>
      <c r="T97" s="16"/>
      <c r="U97" s="17">
        <f>IF(AND(COUNTA($A97:$L97)=0,$N97=""),"",IF($T97="Paid","PAID",IF($T97="Closed","CLOSED",IF($Z97="","",IF($Z97=6,"ESCALATED TO ROXANNE",IF(TODAY()&gt;$AB97,"OVERDUE",IF($AB97&lt;=WORKDAY(TODAY(),1,Holidays),"DUE TOMORROW",IF($Z97=4,"ESCALATED TO LOCAL OFFICE",IF($Z97=5,"ESCALATED TO CBE",IF($AA97=TODAY(),"EMAIL SENT","MONITORING"))))))))))</f>
        <v/>
      </c>
      <c r="V97" s="17">
        <f>IF($U97="",IF(AND(COUNTA($A97:$L97)&gt;0,$N97=""),"Awaiting Collection Email time stamp.",""),IF(OR($U97="PAID",$U97="CLOSED"),IF($U97="PAID","Account paid. Action completed.","Account closed. No further action required."),CHOOSE($Z97,"Collection Email","1st Email Follow-up","2nd Email Follow-up","Escalation to Local Office","Escalation to CBE","Escalation to Roxanne")&amp;" sent "&amp;TEXT($AA97,"dd-mmm")&amp;". "&amp;IF($Z97=6,"Final escalation completed.",IF($U97="OVERDUE","Next: "&amp;$AC97&amp;" was due "&amp;TEXT($AB97,"dd-mmm")&amp;" - "&amp;(NETWORKDAYS($AB97,TODAY(),Holidays)-1)&amp;" business day(s) late. Send now.",IF($U97="DUE TOMORROW","Next: "&amp;$AC97&amp;IF($AB97&lt;=TODAY()," is due TODAY ("," is due next business day (")&amp;TEXT($AB97,"dd-mmm")&amp;").","Next: "&amp;$AC97&amp;" due "&amp;TEXT($AB97,"dd-mmm")&amp;" ("&amp;(NETWORKDAYS(TODAY(),$AB97,Holidays)-1)&amp;" business day(s) left).")))))</f>
        <v/>
      </c>
      <c r="W97" s="17">
        <f>IF($Z97="","",CHOOSE($Z97,"Collection Email","1st Follow-up","2nd Follow-up","Local Office","CBE","Roxanne")&amp;IF($Z97=6," - Final"," - Day "&amp;MAX(0,NETWORKDAYS($AA97,TODAY(),Holidays)-1)&amp;" of "&amp;CHOOSE($Z97,3,3,2,2,3))&amp;" | Total Day "&amp;MAX(0,NETWORKDAYS($N97,TODAY(),Holidays)-1))</f>
        <v/>
      </c>
      <c r="X97" s="18"/>
      <c r="Y97" s="18"/>
      <c r="Z97" s="17">
        <f>IF($N97="","",COUNT($N97:$S97))</f>
        <v/>
      </c>
      <c r="AA97" s="19">
        <f>IF($Z97="","",INT(INDEX($N97:$S97,$Z97)))</f>
        <v/>
      </c>
      <c r="AB97" s="19">
        <f>IF(OR($Z97="",$Z97=6),"",WORKDAY($AA97,CHOOSE($Z97,3,3,2,2,3),Holidays))</f>
        <v/>
      </c>
      <c r="AC97" s="17">
        <f>IF(OR($Z97="",$Z97=6),"",CHOOSE($Z97,"1st Email Follow-up","2nd Email Follow-up","Escalate Local Office","Escalate to CBE","Escalate to Roxanne"))</f>
        <v/>
      </c>
    </row>
    <row r="98" spans="13:29">
      <c r="M98" s="14"/>
      <c r="T98" s="16"/>
      <c r="U98" s="17">
        <f>IF(AND(COUNTA($A98:$L98)=0,$N98=""),"",IF($T98="Paid","PAID",IF($T98="Closed","CLOSED",IF($Z98="","",IF($Z98=6,"ESCALATED TO ROXANNE",IF(TODAY()&gt;$AB98,"OVERDUE",IF($AB98&lt;=WORKDAY(TODAY(),1,Holidays),"DUE TOMORROW",IF($Z98=4,"ESCALATED TO LOCAL OFFICE",IF($Z98=5,"ESCALATED TO CBE",IF($AA98=TODAY(),"EMAIL SENT","MONITORING"))))))))))</f>
        <v/>
      </c>
      <c r="V98" s="17">
        <f>IF($U98="",IF(AND(COUNTA($A98:$L98)&gt;0,$N98=""),"Awaiting Collection Email time stamp.",""),IF(OR($U98="PAID",$U98="CLOSED"),IF($U98="PAID","Account paid. Action completed.","Account closed. No further action required."),CHOOSE($Z98,"Collection Email","1st Email Follow-up","2nd Email Follow-up","Escalation to Local Office","Escalation to CBE","Escalation to Roxanne")&amp;" sent "&amp;TEXT($AA98,"dd-mmm")&amp;". "&amp;IF($Z98=6,"Final escalation completed.",IF($U98="OVERDUE","Next: "&amp;$AC98&amp;" was due "&amp;TEXT($AB98,"dd-mmm")&amp;" - "&amp;(NETWORKDAYS($AB98,TODAY(),Holidays)-1)&amp;" business day(s) late. Send now.",IF($U98="DUE TOMORROW","Next: "&amp;$AC98&amp;IF($AB98&lt;=TODAY()," is due TODAY ("," is due next business day (")&amp;TEXT($AB98,"dd-mmm")&amp;").","Next: "&amp;$AC98&amp;" due "&amp;TEXT($AB98,"dd-mmm")&amp;" ("&amp;(NETWORKDAYS(TODAY(),$AB98,Holidays)-1)&amp;" business day(s) left).")))))</f>
        <v/>
      </c>
      <c r="W98" s="17">
        <f>IF($Z98="","",CHOOSE($Z98,"Collection Email","1st Follow-up","2nd Follow-up","Local Office","CBE","Roxanne")&amp;IF($Z98=6," - Final"," - Day "&amp;MAX(0,NETWORKDAYS($AA98,TODAY(),Holidays)-1)&amp;" of "&amp;CHOOSE($Z98,3,3,2,2,3))&amp;" | Total Day "&amp;MAX(0,NETWORKDAYS($N98,TODAY(),Holidays)-1))</f>
        <v/>
      </c>
      <c r="X98" s="18"/>
      <c r="Y98" s="18"/>
      <c r="Z98" s="17">
        <f>IF($N98="","",COUNT($N98:$S98))</f>
        <v/>
      </c>
      <c r="AA98" s="19">
        <f>IF($Z98="","",INT(INDEX($N98:$S98,$Z98)))</f>
        <v/>
      </c>
      <c r="AB98" s="19">
        <f>IF(OR($Z98="",$Z98=6),"",WORKDAY($AA98,CHOOSE($Z98,3,3,2,2,3),Holidays))</f>
        <v/>
      </c>
      <c r="AC98" s="17">
        <f>IF(OR($Z98="",$Z98=6),"",CHOOSE($Z98,"1st Email Follow-up","2nd Email Follow-up","Escalate Local Office","Escalate to CBE","Escalate to Roxanne"))</f>
        <v/>
      </c>
    </row>
    <row r="99" spans="13:29">
      <c r="M99" s="14"/>
      <c r="T99" s="16"/>
      <c r="U99" s="17">
        <f>IF(AND(COUNTA($A99:$L99)=0,$N99=""),"",IF($T99="Paid","PAID",IF($T99="Closed","CLOSED",IF($Z99="","",IF($Z99=6,"ESCALATED TO ROXANNE",IF(TODAY()&gt;$AB99,"OVERDUE",IF($AB99&lt;=WORKDAY(TODAY(),1,Holidays),"DUE TOMORROW",IF($Z99=4,"ESCALATED TO LOCAL OFFICE",IF($Z99=5,"ESCALATED TO CBE",IF($AA99=TODAY(),"EMAIL SENT","MONITORING"))))))))))</f>
        <v/>
      </c>
      <c r="V99" s="17">
        <f>IF($U99="",IF(AND(COUNTA($A99:$L99)&gt;0,$N99=""),"Awaiting Collection Email time stamp.",""),IF(OR($U99="PAID",$U99="CLOSED"),IF($U99="PAID","Account paid. Action completed.","Account closed. No further action required."),CHOOSE($Z99,"Collection Email","1st Email Follow-up","2nd Email Follow-up","Escalation to Local Office","Escalation to CBE","Escalation to Roxanne")&amp;" sent "&amp;TEXT($AA99,"dd-mmm")&amp;". "&amp;IF($Z99=6,"Final escalation completed.",IF($U99="OVERDUE","Next: "&amp;$AC99&amp;" was due "&amp;TEXT($AB99,"dd-mmm")&amp;" - "&amp;(NETWORKDAYS($AB99,TODAY(),Holidays)-1)&amp;" business day(s) late. Send now.",IF($U99="DUE TOMORROW","Next: "&amp;$AC99&amp;IF($AB99&lt;=TODAY()," is due TODAY ("," is due next business day (")&amp;TEXT($AB99,"dd-mmm")&amp;").","Next: "&amp;$AC99&amp;" due "&amp;TEXT($AB99,"dd-mmm")&amp;" ("&amp;(NETWORKDAYS(TODAY(),$AB99,Holidays)-1)&amp;" business day(s) left).")))))</f>
        <v/>
      </c>
      <c r="W99" s="17">
        <f>IF($Z99="","",CHOOSE($Z99,"Collection Email","1st Follow-up","2nd Follow-up","Local Office","CBE","Roxanne")&amp;IF($Z99=6," - Final"," - Day "&amp;MAX(0,NETWORKDAYS($AA99,TODAY(),Holidays)-1)&amp;" of "&amp;CHOOSE($Z99,3,3,2,2,3))&amp;" | Total Day "&amp;MAX(0,NETWORKDAYS($N99,TODAY(),Holidays)-1))</f>
        <v/>
      </c>
      <c r="X99" s="18"/>
      <c r="Y99" s="18"/>
      <c r="Z99" s="17">
        <f>IF($N99="","",COUNT($N99:$S99))</f>
        <v/>
      </c>
      <c r="AA99" s="19">
        <f>IF($Z99="","",INT(INDEX($N99:$S99,$Z99)))</f>
        <v/>
      </c>
      <c r="AB99" s="19">
        <f>IF(OR($Z99="",$Z99=6),"",WORKDAY($AA99,CHOOSE($Z99,3,3,2,2,3),Holidays))</f>
        <v/>
      </c>
      <c r="AC99" s="17">
        <f>IF(OR($Z99="",$Z99=6),"",CHOOSE($Z99,"1st Email Follow-up","2nd Email Follow-up","Escalate Local Office","Escalate to CBE","Escalate to Roxanne"))</f>
        <v/>
      </c>
    </row>
    <row r="100" spans="13:29">
      <c r="M100" s="14"/>
      <c r="T100" s="16"/>
      <c r="U100" s="17">
        <f>IF(AND(COUNTA($A100:$L100)=0,$N100=""),"",IF($T100="Paid","PAID",IF($T100="Closed","CLOSED",IF($Z100="","",IF($Z100=6,"ESCALATED TO ROXANNE",IF(TODAY()&gt;$AB100,"OVERDUE",IF($AB100&lt;=WORKDAY(TODAY(),1,Holidays),"DUE TOMORROW",IF($Z100=4,"ESCALATED TO LOCAL OFFICE",IF($Z100=5,"ESCALATED TO CBE",IF($AA100=TODAY(),"EMAIL SENT","MONITORING"))))))))))</f>
        <v/>
      </c>
      <c r="V100" s="17">
        <f>IF($U100="",IF(AND(COUNTA($A100:$L100)&gt;0,$N100=""),"Awaiting Collection Email time stamp.",""),IF(OR($U100="PAID",$U100="CLOSED"),IF($U100="PAID","Account paid. Action completed.","Account closed. No further action required."),CHOOSE($Z100,"Collection Email","1st Email Follow-up","2nd Email Follow-up","Escalation to Local Office","Escalation to CBE","Escalation to Roxanne")&amp;" sent "&amp;TEXT($AA100,"dd-mmm")&amp;". "&amp;IF($Z100=6,"Final escalation completed.",IF($U100="OVERDUE","Next: "&amp;$AC100&amp;" was due "&amp;TEXT($AB100,"dd-mmm")&amp;" - "&amp;(NETWORKDAYS($AB100,TODAY(),Holidays)-1)&amp;" business day(s) late. Send now.",IF($U100="DUE TOMORROW","Next: "&amp;$AC100&amp;IF($AB100&lt;=TODAY()," is due TODAY ("," is due next business day (")&amp;TEXT($AB100,"dd-mmm")&amp;").","Next: "&amp;$AC100&amp;" due "&amp;TEXT($AB100,"dd-mmm")&amp;" ("&amp;(NETWORKDAYS(TODAY(),$AB100,Holidays)-1)&amp;" business day(s) left).")))))</f>
        <v/>
      </c>
      <c r="W100" s="17">
        <f>IF($Z100="","",CHOOSE($Z100,"Collection Email","1st Follow-up","2nd Follow-up","Local Office","CBE","Roxanne")&amp;IF($Z100=6," - Final"," - Day "&amp;MAX(0,NETWORKDAYS($AA100,TODAY(),Holidays)-1)&amp;" of "&amp;CHOOSE($Z100,3,3,2,2,3))&amp;" | Total Day "&amp;MAX(0,NETWORKDAYS($N100,TODAY(),Holidays)-1))</f>
        <v/>
      </c>
      <c r="X100" s="18"/>
      <c r="Y100" s="18"/>
      <c r="Z100" s="17">
        <f>IF($N100="","",COUNT($N100:$S100))</f>
        <v/>
      </c>
      <c r="AA100" s="19">
        <f>IF($Z100="","",INT(INDEX($N100:$S100,$Z100)))</f>
        <v/>
      </c>
      <c r="AB100" s="19">
        <f>IF(OR($Z100="",$Z100=6),"",WORKDAY($AA100,CHOOSE($Z100,3,3,2,2,3),Holidays))</f>
        <v/>
      </c>
      <c r="AC100" s="17">
        <f>IF(OR($Z100="",$Z100=6),"",CHOOSE($Z100,"1st Email Follow-up","2nd Email Follow-up","Escalate Local Office","Escalate to CBE","Escalate to Roxanne"))</f>
        <v/>
      </c>
    </row>
    <row r="101" spans="13:29">
      <c r="M101" s="14"/>
      <c r="T101" s="16"/>
      <c r="U101" s="17">
        <f>IF(AND(COUNTA($A101:$L101)=0,$N101=""),"",IF($T101="Paid","PAID",IF($T101="Closed","CLOSED",IF($Z101="","",IF($Z101=6,"ESCALATED TO ROXANNE",IF(TODAY()&gt;$AB101,"OVERDUE",IF($AB101&lt;=WORKDAY(TODAY(),1,Holidays),"DUE TOMORROW",IF($Z101=4,"ESCALATED TO LOCAL OFFICE",IF($Z101=5,"ESCALATED TO CBE",IF($AA101=TODAY(),"EMAIL SENT","MONITORING"))))))))))</f>
        <v/>
      </c>
      <c r="V101" s="17">
        <f>IF($U101="",IF(AND(COUNTA($A101:$L101)&gt;0,$N101=""),"Awaiting Collection Email time stamp.",""),IF(OR($U101="PAID",$U101="CLOSED"),IF($U101="PAID","Account paid. Action completed.","Account closed. No further action required."),CHOOSE($Z101,"Collection Email","1st Email Follow-up","2nd Email Follow-up","Escalation to Local Office","Escalation to CBE","Escalation to Roxanne")&amp;" sent "&amp;TEXT($AA101,"dd-mmm")&amp;". "&amp;IF($Z101=6,"Final escalation completed.",IF($U101="OVERDUE","Next: "&amp;$AC101&amp;" was due "&amp;TEXT($AB101,"dd-mmm")&amp;" - "&amp;(NETWORKDAYS($AB101,TODAY(),Holidays)-1)&amp;" business day(s) late. Send now.",IF($U101="DUE TOMORROW","Next: "&amp;$AC101&amp;IF($AB101&lt;=TODAY()," is due TODAY ("," is due next business day (")&amp;TEXT($AB101,"dd-mmm")&amp;").","Next: "&amp;$AC101&amp;" due "&amp;TEXT($AB101,"dd-mmm")&amp;" ("&amp;(NETWORKDAYS(TODAY(),$AB101,Holidays)-1)&amp;" business day(s) left).")))))</f>
        <v/>
      </c>
      <c r="W101" s="17">
        <f>IF($Z101="","",CHOOSE($Z101,"Collection Email","1st Follow-up","2nd Follow-up","Local Office","CBE","Roxanne")&amp;IF($Z101=6," - Final"," - Day "&amp;MAX(0,NETWORKDAYS($AA101,TODAY(),Holidays)-1)&amp;" of "&amp;CHOOSE($Z101,3,3,2,2,3))&amp;" | Total Day "&amp;MAX(0,NETWORKDAYS($N101,TODAY(),Holidays)-1))</f>
        <v/>
      </c>
      <c r="X101" s="18"/>
      <c r="Y101" s="18"/>
      <c r="Z101" s="17">
        <f>IF($N101="","",COUNT($N101:$S101))</f>
        <v/>
      </c>
      <c r="AA101" s="19">
        <f>IF($Z101="","",INT(INDEX($N101:$S101,$Z101)))</f>
        <v/>
      </c>
      <c r="AB101" s="19">
        <f>IF(OR($Z101="",$Z101=6),"",WORKDAY($AA101,CHOOSE($Z101,3,3,2,2,3),Holidays))</f>
        <v/>
      </c>
      <c r="AC101" s="17">
        <f>IF(OR($Z101="",$Z101=6),"",CHOOSE($Z101,"1st Email Follow-up","2nd Email Follow-up","Escalate Local Office","Escalate to CBE","Escalate to Roxanne"))</f>
        <v/>
      </c>
    </row>
    <row r="102" spans="13:29">
      <c r="M102" s="14"/>
      <c r="T102" s="16"/>
      <c r="U102" s="17">
        <f>IF(AND(COUNTA($A102:$L102)=0,$N102=""),"",IF($T102="Paid","PAID",IF($T102="Closed","CLOSED",IF($Z102="","",IF($Z102=6,"ESCALATED TO ROXANNE",IF(TODAY()&gt;$AB102,"OVERDUE",IF($AB102&lt;=WORKDAY(TODAY(),1,Holidays),"DUE TOMORROW",IF($Z102=4,"ESCALATED TO LOCAL OFFICE",IF($Z102=5,"ESCALATED TO CBE",IF($AA102=TODAY(),"EMAIL SENT","MONITORING"))))))))))</f>
        <v/>
      </c>
      <c r="V102" s="17">
        <f>IF($U102="",IF(AND(COUNTA($A102:$L102)&gt;0,$N102=""),"Awaiting Collection Email time stamp.",""),IF(OR($U102="PAID",$U102="CLOSED"),IF($U102="PAID","Account paid. Action completed.","Account closed. No further action required."),CHOOSE($Z102,"Collection Email","1st Email Follow-up","2nd Email Follow-up","Escalation to Local Office","Escalation to CBE","Escalation to Roxanne")&amp;" sent "&amp;TEXT($AA102,"dd-mmm")&amp;". "&amp;IF($Z102=6,"Final escalation completed.",IF($U102="OVERDUE","Next: "&amp;$AC102&amp;" was due "&amp;TEXT($AB102,"dd-mmm")&amp;" - "&amp;(NETWORKDAYS($AB102,TODAY(),Holidays)-1)&amp;" business day(s) late. Send now.",IF($U102="DUE TOMORROW","Next: "&amp;$AC102&amp;IF($AB102&lt;=TODAY()," is due TODAY ("," is due next business day (")&amp;TEXT($AB102,"dd-mmm")&amp;").","Next: "&amp;$AC102&amp;" due "&amp;TEXT($AB102,"dd-mmm")&amp;" ("&amp;(NETWORKDAYS(TODAY(),$AB102,Holidays)-1)&amp;" business day(s) left).")))))</f>
        <v/>
      </c>
      <c r="W102" s="17">
        <f>IF($Z102="","",CHOOSE($Z102,"Collection Email","1st Follow-up","2nd Follow-up","Local Office","CBE","Roxanne")&amp;IF($Z102=6," - Final"," - Day "&amp;MAX(0,NETWORKDAYS($AA102,TODAY(),Holidays)-1)&amp;" of "&amp;CHOOSE($Z102,3,3,2,2,3))&amp;" | Total Day "&amp;MAX(0,NETWORKDAYS($N102,TODAY(),Holidays)-1))</f>
        <v/>
      </c>
      <c r="X102" s="18"/>
      <c r="Y102" s="18"/>
      <c r="Z102" s="17">
        <f>IF($N102="","",COUNT($N102:$S102))</f>
        <v/>
      </c>
      <c r="AA102" s="19">
        <f>IF($Z102="","",INT(INDEX($N102:$S102,$Z102)))</f>
        <v/>
      </c>
      <c r="AB102" s="19">
        <f>IF(OR($Z102="",$Z102=6),"",WORKDAY($AA102,CHOOSE($Z102,3,3,2,2,3),Holidays))</f>
        <v/>
      </c>
      <c r="AC102" s="17">
        <f>IF(OR($Z102="",$Z102=6),"",CHOOSE($Z102,"1st Email Follow-up","2nd Email Follow-up","Escalate Local Office","Escalate to CBE","Escalate to Roxanne"))</f>
        <v/>
      </c>
    </row>
    <row r="103" spans="13:29">
      <c r="M103" s="14"/>
      <c r="T103" s="16"/>
      <c r="U103" s="17">
        <f>IF(AND(COUNTA($A103:$L103)=0,$N103=""),"",IF($T103="Paid","PAID",IF($T103="Closed","CLOSED",IF($Z103="","",IF($Z103=6,"ESCALATED TO ROXANNE",IF(TODAY()&gt;$AB103,"OVERDUE",IF($AB103&lt;=WORKDAY(TODAY(),1,Holidays),"DUE TOMORROW",IF($Z103=4,"ESCALATED TO LOCAL OFFICE",IF($Z103=5,"ESCALATED TO CBE",IF($AA103=TODAY(),"EMAIL SENT","MONITORING"))))))))))</f>
        <v/>
      </c>
      <c r="V103" s="17">
        <f>IF($U103="",IF(AND(COUNTA($A103:$L103)&gt;0,$N103=""),"Awaiting Collection Email time stamp.",""),IF(OR($U103="PAID",$U103="CLOSED"),IF($U103="PAID","Account paid. Action completed.","Account closed. No further action required."),CHOOSE($Z103,"Collection Email","1st Email Follow-up","2nd Email Follow-up","Escalation to Local Office","Escalation to CBE","Escalation to Roxanne")&amp;" sent "&amp;TEXT($AA103,"dd-mmm")&amp;". "&amp;IF($Z103=6,"Final escalation completed.",IF($U103="OVERDUE","Next: "&amp;$AC103&amp;" was due "&amp;TEXT($AB103,"dd-mmm")&amp;" - "&amp;(NETWORKDAYS($AB103,TODAY(),Holidays)-1)&amp;" business day(s) late. Send now.",IF($U103="DUE TOMORROW","Next: "&amp;$AC103&amp;IF($AB103&lt;=TODAY()," is due TODAY ("," is due next business day (")&amp;TEXT($AB103,"dd-mmm")&amp;").","Next: "&amp;$AC103&amp;" due "&amp;TEXT($AB103,"dd-mmm")&amp;" ("&amp;(NETWORKDAYS(TODAY(),$AB103,Holidays)-1)&amp;" business day(s) left).")))))</f>
        <v/>
      </c>
      <c r="W103" s="17">
        <f>IF($Z103="","",CHOOSE($Z103,"Collection Email","1st Follow-up","2nd Follow-up","Local Office","CBE","Roxanne")&amp;IF($Z103=6," - Final"," - Day "&amp;MAX(0,NETWORKDAYS($AA103,TODAY(),Holidays)-1)&amp;" of "&amp;CHOOSE($Z103,3,3,2,2,3))&amp;" | Total Day "&amp;MAX(0,NETWORKDAYS($N103,TODAY(),Holidays)-1))</f>
        <v/>
      </c>
      <c r="X103" s="18"/>
      <c r="Y103" s="18"/>
      <c r="Z103" s="17">
        <f>IF($N103="","",COUNT($N103:$S103))</f>
        <v/>
      </c>
      <c r="AA103" s="19">
        <f>IF($Z103="","",INT(INDEX($N103:$S103,$Z103)))</f>
        <v/>
      </c>
      <c r="AB103" s="19">
        <f>IF(OR($Z103="",$Z103=6),"",WORKDAY($AA103,CHOOSE($Z103,3,3,2,2,3),Holidays))</f>
        <v/>
      </c>
      <c r="AC103" s="17">
        <f>IF(OR($Z103="",$Z103=6),"",CHOOSE($Z103,"1st Email Follow-up","2nd Email Follow-up","Escalate Local Office","Escalate to CBE","Escalate to Roxanne"))</f>
        <v/>
      </c>
    </row>
    <row r="104" spans="13:29">
      <c r="M104" s="14"/>
      <c r="T104" s="16"/>
      <c r="U104" s="17">
        <f>IF(AND(COUNTA($A104:$L104)=0,$N104=""),"",IF($T104="Paid","PAID",IF($T104="Closed","CLOSED",IF($Z104="","",IF($Z104=6,"ESCALATED TO ROXANNE",IF(TODAY()&gt;$AB104,"OVERDUE",IF($AB104&lt;=WORKDAY(TODAY(),1,Holidays),"DUE TOMORROW",IF($Z104=4,"ESCALATED TO LOCAL OFFICE",IF($Z104=5,"ESCALATED TO CBE",IF($AA104=TODAY(),"EMAIL SENT","MONITORING"))))))))))</f>
        <v/>
      </c>
      <c r="V104" s="17">
        <f>IF($U104="",IF(AND(COUNTA($A104:$L104)&gt;0,$N104=""),"Awaiting Collection Email time stamp.",""),IF(OR($U104="PAID",$U104="CLOSED"),IF($U104="PAID","Account paid. Action completed.","Account closed. No further action required."),CHOOSE($Z104,"Collection Email","1st Email Follow-up","2nd Email Follow-up","Escalation to Local Office","Escalation to CBE","Escalation to Roxanne")&amp;" sent "&amp;TEXT($AA104,"dd-mmm")&amp;". "&amp;IF($Z104=6,"Final escalation completed.",IF($U104="OVERDUE","Next: "&amp;$AC104&amp;" was due "&amp;TEXT($AB104,"dd-mmm")&amp;" - "&amp;(NETWORKDAYS($AB104,TODAY(),Holidays)-1)&amp;" business day(s) late. Send now.",IF($U104="DUE TOMORROW","Next: "&amp;$AC104&amp;IF($AB104&lt;=TODAY()," is due TODAY ("," is due next business day (")&amp;TEXT($AB104,"dd-mmm")&amp;").","Next: "&amp;$AC104&amp;" due "&amp;TEXT($AB104,"dd-mmm")&amp;" ("&amp;(NETWORKDAYS(TODAY(),$AB104,Holidays)-1)&amp;" business day(s) left).")))))</f>
        <v/>
      </c>
      <c r="W104" s="17">
        <f>IF($Z104="","",CHOOSE($Z104,"Collection Email","1st Follow-up","2nd Follow-up","Local Office","CBE","Roxanne")&amp;IF($Z104=6," - Final"," - Day "&amp;MAX(0,NETWORKDAYS($AA104,TODAY(),Holidays)-1)&amp;" of "&amp;CHOOSE($Z104,3,3,2,2,3))&amp;" | Total Day "&amp;MAX(0,NETWORKDAYS($N104,TODAY(),Holidays)-1))</f>
        <v/>
      </c>
      <c r="X104" s="18"/>
      <c r="Y104" s="18"/>
      <c r="Z104" s="17">
        <f>IF($N104="","",COUNT($N104:$S104))</f>
        <v/>
      </c>
      <c r="AA104" s="19">
        <f>IF($Z104="","",INT(INDEX($N104:$S104,$Z104)))</f>
        <v/>
      </c>
      <c r="AB104" s="19">
        <f>IF(OR($Z104="",$Z104=6),"",WORKDAY($AA104,CHOOSE($Z104,3,3,2,2,3),Holidays))</f>
        <v/>
      </c>
      <c r="AC104" s="17">
        <f>IF(OR($Z104="",$Z104=6),"",CHOOSE($Z104,"1st Email Follow-up","2nd Email Follow-up","Escalate Local Office","Escalate to CBE","Escalate to Roxanne"))</f>
        <v/>
      </c>
    </row>
    <row r="105" spans="13:29">
      <c r="M105" s="14"/>
      <c r="T105" s="16"/>
      <c r="U105" s="17">
        <f>IF(AND(COUNTA($A105:$L105)=0,$N105=""),"",IF($T105="Paid","PAID",IF($T105="Closed","CLOSED",IF($Z105="","",IF($Z105=6,"ESCALATED TO ROXANNE",IF(TODAY()&gt;$AB105,"OVERDUE",IF($AB105&lt;=WORKDAY(TODAY(),1,Holidays),"DUE TOMORROW",IF($Z105=4,"ESCALATED TO LOCAL OFFICE",IF($Z105=5,"ESCALATED TO CBE",IF($AA105=TODAY(),"EMAIL SENT","MONITORING"))))))))))</f>
        <v/>
      </c>
      <c r="V105" s="17">
        <f>IF($U105="",IF(AND(COUNTA($A105:$L105)&gt;0,$N105=""),"Awaiting Collection Email time stamp.",""),IF(OR($U105="PAID",$U105="CLOSED"),IF($U105="PAID","Account paid. Action completed.","Account closed. No further action required."),CHOOSE($Z105,"Collection Email","1st Email Follow-up","2nd Email Follow-up","Escalation to Local Office","Escalation to CBE","Escalation to Roxanne")&amp;" sent "&amp;TEXT($AA105,"dd-mmm")&amp;". "&amp;IF($Z105=6,"Final escalation completed.",IF($U105="OVERDUE","Next: "&amp;$AC105&amp;" was due "&amp;TEXT($AB105,"dd-mmm")&amp;" - "&amp;(NETWORKDAYS($AB105,TODAY(),Holidays)-1)&amp;" business day(s) late. Send now.",IF($U105="DUE TOMORROW","Next: "&amp;$AC105&amp;IF($AB105&lt;=TODAY()," is due TODAY ("," is due next business day (")&amp;TEXT($AB105,"dd-mmm")&amp;").","Next: "&amp;$AC105&amp;" due "&amp;TEXT($AB105,"dd-mmm")&amp;" ("&amp;(NETWORKDAYS(TODAY(),$AB105,Holidays)-1)&amp;" business day(s) left).")))))</f>
        <v/>
      </c>
      <c r="W105" s="17">
        <f>IF($Z105="","",CHOOSE($Z105,"Collection Email","1st Follow-up","2nd Follow-up","Local Office","CBE","Roxanne")&amp;IF($Z105=6," - Final"," - Day "&amp;MAX(0,NETWORKDAYS($AA105,TODAY(),Holidays)-1)&amp;" of "&amp;CHOOSE($Z105,3,3,2,2,3))&amp;" | Total Day "&amp;MAX(0,NETWORKDAYS($N105,TODAY(),Holidays)-1))</f>
        <v/>
      </c>
      <c r="X105" s="18"/>
      <c r="Y105" s="18"/>
      <c r="Z105" s="17">
        <f>IF($N105="","",COUNT($N105:$S105))</f>
        <v/>
      </c>
      <c r="AA105" s="19">
        <f>IF($Z105="","",INT(INDEX($N105:$S105,$Z105)))</f>
        <v/>
      </c>
      <c r="AB105" s="19">
        <f>IF(OR($Z105="",$Z105=6),"",WORKDAY($AA105,CHOOSE($Z105,3,3,2,2,3),Holidays))</f>
        <v/>
      </c>
      <c r="AC105" s="17">
        <f>IF(OR($Z105="",$Z105=6),"",CHOOSE($Z105,"1st Email Follow-up","2nd Email Follow-up","Escalate Local Office","Escalate to CBE","Escalate to Roxanne"))</f>
        <v/>
      </c>
    </row>
    <row r="106" spans="13:29">
      <c r="M106" s="14"/>
      <c r="T106" s="16"/>
      <c r="U106" s="17">
        <f>IF(AND(COUNTA($A106:$L106)=0,$N106=""),"",IF($T106="Paid","PAID",IF($T106="Closed","CLOSED",IF($Z106="","",IF($Z106=6,"ESCALATED TO ROXANNE",IF(TODAY()&gt;$AB106,"OVERDUE",IF($AB106&lt;=WORKDAY(TODAY(),1,Holidays),"DUE TOMORROW",IF($Z106=4,"ESCALATED TO LOCAL OFFICE",IF($Z106=5,"ESCALATED TO CBE",IF($AA106=TODAY(),"EMAIL SENT","MONITORING"))))))))))</f>
        <v/>
      </c>
      <c r="V106" s="17">
        <f>IF($U106="",IF(AND(COUNTA($A106:$L106)&gt;0,$N106=""),"Awaiting Collection Email time stamp.",""),IF(OR($U106="PAID",$U106="CLOSED"),IF($U106="PAID","Account paid. Action completed.","Account closed. No further action required."),CHOOSE($Z106,"Collection Email","1st Email Follow-up","2nd Email Follow-up","Escalation to Local Office","Escalation to CBE","Escalation to Roxanne")&amp;" sent "&amp;TEXT($AA106,"dd-mmm")&amp;". "&amp;IF($Z106=6,"Final escalation completed.",IF($U106="OVERDUE","Next: "&amp;$AC106&amp;" was due "&amp;TEXT($AB106,"dd-mmm")&amp;" - "&amp;(NETWORKDAYS($AB106,TODAY(),Holidays)-1)&amp;" business day(s) late. Send now.",IF($U106="DUE TOMORROW","Next: "&amp;$AC106&amp;IF($AB106&lt;=TODAY()," is due TODAY ("," is due next business day (")&amp;TEXT($AB106,"dd-mmm")&amp;").","Next: "&amp;$AC106&amp;" due "&amp;TEXT($AB106,"dd-mmm")&amp;" ("&amp;(NETWORKDAYS(TODAY(),$AB106,Holidays)-1)&amp;" business day(s) left).")))))</f>
        <v/>
      </c>
      <c r="W106" s="17">
        <f>IF($Z106="","",CHOOSE($Z106,"Collection Email","1st Follow-up","2nd Follow-up","Local Office","CBE","Roxanne")&amp;IF($Z106=6," - Final"," - Day "&amp;MAX(0,NETWORKDAYS($AA106,TODAY(),Holidays)-1)&amp;" of "&amp;CHOOSE($Z106,3,3,2,2,3))&amp;" | Total Day "&amp;MAX(0,NETWORKDAYS($N106,TODAY(),Holidays)-1))</f>
        <v/>
      </c>
      <c r="X106" s="18"/>
      <c r="Y106" s="18"/>
      <c r="Z106" s="17">
        <f>IF($N106="","",COUNT($N106:$S106))</f>
        <v/>
      </c>
      <c r="AA106" s="19">
        <f>IF($Z106="","",INT(INDEX($N106:$S106,$Z106)))</f>
        <v/>
      </c>
      <c r="AB106" s="19">
        <f>IF(OR($Z106="",$Z106=6),"",WORKDAY($AA106,CHOOSE($Z106,3,3,2,2,3),Holidays))</f>
        <v/>
      </c>
      <c r="AC106" s="17">
        <f>IF(OR($Z106="",$Z106=6),"",CHOOSE($Z106,"1st Email Follow-up","2nd Email Follow-up","Escalate Local Office","Escalate to CBE","Escalate to Roxanne"))</f>
        <v/>
      </c>
    </row>
    <row r="107" spans="13:29">
      <c r="M107" s="14"/>
      <c r="T107" s="16"/>
      <c r="U107" s="17">
        <f>IF(AND(COUNTA($A107:$L107)=0,$N107=""),"",IF($T107="Paid","PAID",IF($T107="Closed","CLOSED",IF($Z107="","",IF($Z107=6,"ESCALATED TO ROXANNE",IF(TODAY()&gt;$AB107,"OVERDUE",IF($AB107&lt;=WORKDAY(TODAY(),1,Holidays),"DUE TOMORROW",IF($Z107=4,"ESCALATED TO LOCAL OFFICE",IF($Z107=5,"ESCALATED TO CBE",IF($AA107=TODAY(),"EMAIL SENT","MONITORING"))))))))))</f>
        <v/>
      </c>
      <c r="V107" s="17">
        <f>IF($U107="",IF(AND(COUNTA($A107:$L107)&gt;0,$N107=""),"Awaiting Collection Email time stamp.",""),IF(OR($U107="PAID",$U107="CLOSED"),IF($U107="PAID","Account paid. Action completed.","Account closed. No further action required."),CHOOSE($Z107,"Collection Email","1st Email Follow-up","2nd Email Follow-up","Escalation to Local Office","Escalation to CBE","Escalation to Roxanne")&amp;" sent "&amp;TEXT($AA107,"dd-mmm")&amp;". "&amp;IF($Z107=6,"Final escalation completed.",IF($U107="OVERDUE","Next: "&amp;$AC107&amp;" was due "&amp;TEXT($AB107,"dd-mmm")&amp;" - "&amp;(NETWORKDAYS($AB107,TODAY(),Holidays)-1)&amp;" business day(s) late. Send now.",IF($U107="DUE TOMORROW","Next: "&amp;$AC107&amp;IF($AB107&lt;=TODAY()," is due TODAY ("," is due next business day (")&amp;TEXT($AB107,"dd-mmm")&amp;").","Next: "&amp;$AC107&amp;" due "&amp;TEXT($AB107,"dd-mmm")&amp;" ("&amp;(NETWORKDAYS(TODAY(),$AB107,Holidays)-1)&amp;" business day(s) left).")))))</f>
        <v/>
      </c>
      <c r="W107" s="17">
        <f>IF($Z107="","",CHOOSE($Z107,"Collection Email","1st Follow-up","2nd Follow-up","Local Office","CBE","Roxanne")&amp;IF($Z107=6," - Final"," - Day "&amp;MAX(0,NETWORKDAYS($AA107,TODAY(),Holidays)-1)&amp;" of "&amp;CHOOSE($Z107,3,3,2,2,3))&amp;" | Total Day "&amp;MAX(0,NETWORKDAYS($N107,TODAY(),Holidays)-1))</f>
        <v/>
      </c>
      <c r="X107" s="18"/>
      <c r="Y107" s="18"/>
      <c r="Z107" s="17">
        <f>IF($N107="","",COUNT($N107:$S107))</f>
        <v/>
      </c>
      <c r="AA107" s="19">
        <f>IF($Z107="","",INT(INDEX($N107:$S107,$Z107)))</f>
        <v/>
      </c>
      <c r="AB107" s="19">
        <f>IF(OR($Z107="",$Z107=6),"",WORKDAY($AA107,CHOOSE($Z107,3,3,2,2,3),Holidays))</f>
        <v/>
      </c>
      <c r="AC107" s="17">
        <f>IF(OR($Z107="",$Z107=6),"",CHOOSE($Z107,"1st Email Follow-up","2nd Email Follow-up","Escalate Local Office","Escalate to CBE","Escalate to Roxanne"))</f>
        <v/>
      </c>
    </row>
    <row r="108" spans="13:29">
      <c r="M108" s="14"/>
      <c r="T108" s="16"/>
      <c r="U108" s="17">
        <f>IF(AND(COUNTA($A108:$L108)=0,$N108=""),"",IF($T108="Paid","PAID",IF($T108="Closed","CLOSED",IF($Z108="","",IF($Z108=6,"ESCALATED TO ROXANNE",IF(TODAY()&gt;$AB108,"OVERDUE",IF($AB108&lt;=WORKDAY(TODAY(),1,Holidays),"DUE TOMORROW",IF($Z108=4,"ESCALATED TO LOCAL OFFICE",IF($Z108=5,"ESCALATED TO CBE",IF($AA108=TODAY(),"EMAIL SENT","MONITORING"))))))))))</f>
        <v/>
      </c>
      <c r="V108" s="17">
        <f>IF($U108="",IF(AND(COUNTA($A108:$L108)&gt;0,$N108=""),"Awaiting Collection Email time stamp.",""),IF(OR($U108="PAID",$U108="CLOSED"),IF($U108="PAID","Account paid. Action completed.","Account closed. No further action required."),CHOOSE($Z108,"Collection Email","1st Email Follow-up","2nd Email Follow-up","Escalation to Local Office","Escalation to CBE","Escalation to Roxanne")&amp;" sent "&amp;TEXT($AA108,"dd-mmm")&amp;". "&amp;IF($Z108=6,"Final escalation completed.",IF($U108="OVERDUE","Next: "&amp;$AC108&amp;" was due "&amp;TEXT($AB108,"dd-mmm")&amp;" - "&amp;(NETWORKDAYS($AB108,TODAY(),Holidays)-1)&amp;" business day(s) late. Send now.",IF($U108="DUE TOMORROW","Next: "&amp;$AC108&amp;IF($AB108&lt;=TODAY()," is due TODAY ("," is due next business day (")&amp;TEXT($AB108,"dd-mmm")&amp;").","Next: "&amp;$AC108&amp;" due "&amp;TEXT($AB108,"dd-mmm")&amp;" ("&amp;(NETWORKDAYS(TODAY(),$AB108,Holidays)-1)&amp;" business day(s) left).")))))</f>
        <v/>
      </c>
      <c r="W108" s="17">
        <f>IF($Z108="","",CHOOSE($Z108,"Collection Email","1st Follow-up","2nd Follow-up","Local Office","CBE","Roxanne")&amp;IF($Z108=6," - Final"," - Day "&amp;MAX(0,NETWORKDAYS($AA108,TODAY(),Holidays)-1)&amp;" of "&amp;CHOOSE($Z108,3,3,2,2,3))&amp;" | Total Day "&amp;MAX(0,NETWORKDAYS($N108,TODAY(),Holidays)-1))</f>
        <v/>
      </c>
      <c r="X108" s="18"/>
      <c r="Y108" s="18"/>
      <c r="Z108" s="17">
        <f>IF($N108="","",COUNT($N108:$S108))</f>
        <v/>
      </c>
      <c r="AA108" s="19">
        <f>IF($Z108="","",INT(INDEX($N108:$S108,$Z108)))</f>
        <v/>
      </c>
      <c r="AB108" s="19">
        <f>IF(OR($Z108="",$Z108=6),"",WORKDAY($AA108,CHOOSE($Z108,3,3,2,2,3),Holidays))</f>
        <v/>
      </c>
      <c r="AC108" s="17">
        <f>IF(OR($Z108="",$Z108=6),"",CHOOSE($Z108,"1st Email Follow-up","2nd Email Follow-up","Escalate Local Office","Escalate to CBE","Escalate to Roxanne"))</f>
        <v/>
      </c>
    </row>
    <row r="109" spans="13:29">
      <c r="M109" s="14"/>
      <c r="T109" s="16"/>
      <c r="U109" s="17">
        <f>IF(AND(COUNTA($A109:$L109)=0,$N109=""),"",IF($T109="Paid","PAID",IF($T109="Closed","CLOSED",IF($Z109="","",IF($Z109=6,"ESCALATED TO ROXANNE",IF(TODAY()&gt;$AB109,"OVERDUE",IF($AB109&lt;=WORKDAY(TODAY(),1,Holidays),"DUE TOMORROW",IF($Z109=4,"ESCALATED TO LOCAL OFFICE",IF($Z109=5,"ESCALATED TO CBE",IF($AA109=TODAY(),"EMAIL SENT","MONITORING"))))))))))</f>
        <v/>
      </c>
      <c r="V109" s="17">
        <f>IF($U109="",IF(AND(COUNTA($A109:$L109)&gt;0,$N109=""),"Awaiting Collection Email time stamp.",""),IF(OR($U109="PAID",$U109="CLOSED"),IF($U109="PAID","Account paid. Action completed.","Account closed. No further action required."),CHOOSE($Z109,"Collection Email","1st Email Follow-up","2nd Email Follow-up","Escalation to Local Office","Escalation to CBE","Escalation to Roxanne")&amp;" sent "&amp;TEXT($AA109,"dd-mmm")&amp;". "&amp;IF($Z109=6,"Final escalation completed.",IF($U109="OVERDUE","Next: "&amp;$AC109&amp;" was due "&amp;TEXT($AB109,"dd-mmm")&amp;" - "&amp;(NETWORKDAYS($AB109,TODAY(),Holidays)-1)&amp;" business day(s) late. Send now.",IF($U109="DUE TOMORROW","Next: "&amp;$AC109&amp;IF($AB109&lt;=TODAY()," is due TODAY ("," is due next business day (")&amp;TEXT($AB109,"dd-mmm")&amp;").","Next: "&amp;$AC109&amp;" due "&amp;TEXT($AB109,"dd-mmm")&amp;" ("&amp;(NETWORKDAYS(TODAY(),$AB109,Holidays)-1)&amp;" business day(s) left).")))))</f>
        <v/>
      </c>
      <c r="W109" s="17">
        <f>IF($Z109="","",CHOOSE($Z109,"Collection Email","1st Follow-up","2nd Follow-up","Local Office","CBE","Roxanne")&amp;IF($Z109=6," - Final"," - Day "&amp;MAX(0,NETWORKDAYS($AA109,TODAY(),Holidays)-1)&amp;" of "&amp;CHOOSE($Z109,3,3,2,2,3))&amp;" | Total Day "&amp;MAX(0,NETWORKDAYS($N109,TODAY(),Holidays)-1))</f>
        <v/>
      </c>
      <c r="X109" s="18"/>
      <c r="Y109" s="18"/>
      <c r="Z109" s="17">
        <f>IF($N109="","",COUNT($N109:$S109))</f>
        <v/>
      </c>
      <c r="AA109" s="19">
        <f>IF($Z109="","",INT(INDEX($N109:$S109,$Z109)))</f>
        <v/>
      </c>
      <c r="AB109" s="19">
        <f>IF(OR($Z109="",$Z109=6),"",WORKDAY($AA109,CHOOSE($Z109,3,3,2,2,3),Holidays))</f>
        <v/>
      </c>
      <c r="AC109" s="17">
        <f>IF(OR($Z109="",$Z109=6),"",CHOOSE($Z109,"1st Email Follow-up","2nd Email Follow-up","Escalate Local Office","Escalate to CBE","Escalate to Roxanne"))</f>
        <v/>
      </c>
    </row>
    <row r="110" spans="13:29">
      <c r="M110" s="14"/>
      <c r="T110" s="16"/>
      <c r="U110" s="17">
        <f>IF(AND(COUNTA($A110:$L110)=0,$N110=""),"",IF($T110="Paid","PAID",IF($T110="Closed","CLOSED",IF($Z110="","",IF($Z110=6,"ESCALATED TO ROXANNE",IF(TODAY()&gt;$AB110,"OVERDUE",IF($AB110&lt;=WORKDAY(TODAY(),1,Holidays),"DUE TOMORROW",IF($Z110=4,"ESCALATED TO LOCAL OFFICE",IF($Z110=5,"ESCALATED TO CBE",IF($AA110=TODAY(),"EMAIL SENT","MONITORING"))))))))))</f>
        <v/>
      </c>
      <c r="V110" s="17">
        <f>IF($U110="",IF(AND(COUNTA($A110:$L110)&gt;0,$N110=""),"Awaiting Collection Email time stamp.",""),IF(OR($U110="PAID",$U110="CLOSED"),IF($U110="PAID","Account paid. Action completed.","Account closed. No further action required."),CHOOSE($Z110,"Collection Email","1st Email Follow-up","2nd Email Follow-up","Escalation to Local Office","Escalation to CBE","Escalation to Roxanne")&amp;" sent "&amp;TEXT($AA110,"dd-mmm")&amp;". "&amp;IF($Z110=6,"Final escalation completed.",IF($U110="OVERDUE","Next: "&amp;$AC110&amp;" was due "&amp;TEXT($AB110,"dd-mmm")&amp;" - "&amp;(NETWORKDAYS($AB110,TODAY(),Holidays)-1)&amp;" business day(s) late. Send now.",IF($U110="DUE TOMORROW","Next: "&amp;$AC110&amp;IF($AB110&lt;=TODAY()," is due TODAY ("," is due next business day (")&amp;TEXT($AB110,"dd-mmm")&amp;").","Next: "&amp;$AC110&amp;" due "&amp;TEXT($AB110,"dd-mmm")&amp;" ("&amp;(NETWORKDAYS(TODAY(),$AB110,Holidays)-1)&amp;" business day(s) left).")))))</f>
        <v/>
      </c>
      <c r="W110" s="17">
        <f>IF($Z110="","",CHOOSE($Z110,"Collection Email","1st Follow-up","2nd Follow-up","Local Office","CBE","Roxanne")&amp;IF($Z110=6," - Final"," - Day "&amp;MAX(0,NETWORKDAYS($AA110,TODAY(),Holidays)-1)&amp;" of "&amp;CHOOSE($Z110,3,3,2,2,3))&amp;" | Total Day "&amp;MAX(0,NETWORKDAYS($N110,TODAY(),Holidays)-1))</f>
        <v/>
      </c>
      <c r="X110" s="18"/>
      <c r="Y110" s="18"/>
      <c r="Z110" s="17">
        <f>IF($N110="","",COUNT($N110:$S110))</f>
        <v/>
      </c>
      <c r="AA110" s="19">
        <f>IF($Z110="","",INT(INDEX($N110:$S110,$Z110)))</f>
        <v/>
      </c>
      <c r="AB110" s="19">
        <f>IF(OR($Z110="",$Z110=6),"",WORKDAY($AA110,CHOOSE($Z110,3,3,2,2,3),Holidays))</f>
        <v/>
      </c>
      <c r="AC110" s="17">
        <f>IF(OR($Z110="",$Z110=6),"",CHOOSE($Z110,"1st Email Follow-up","2nd Email Follow-up","Escalate Local Office","Escalate to CBE","Escalate to Roxanne"))</f>
        <v/>
      </c>
    </row>
    <row r="111" spans="13:29">
      <c r="M111" s="14"/>
      <c r="T111" s="16"/>
      <c r="U111" s="17">
        <f>IF(AND(COUNTA($A111:$L111)=0,$N111=""),"",IF($T111="Paid","PAID",IF($T111="Closed","CLOSED",IF($Z111="","",IF($Z111=6,"ESCALATED TO ROXANNE",IF(TODAY()&gt;$AB111,"OVERDUE",IF($AB111&lt;=WORKDAY(TODAY(),1,Holidays),"DUE TOMORROW",IF($Z111=4,"ESCALATED TO LOCAL OFFICE",IF($Z111=5,"ESCALATED TO CBE",IF($AA111=TODAY(),"EMAIL SENT","MONITORING"))))))))))</f>
        <v/>
      </c>
      <c r="V111" s="17">
        <f>IF($U111="",IF(AND(COUNTA($A111:$L111)&gt;0,$N111=""),"Awaiting Collection Email time stamp.",""),IF(OR($U111="PAID",$U111="CLOSED"),IF($U111="PAID","Account paid. Action completed.","Account closed. No further action required."),CHOOSE($Z111,"Collection Email","1st Email Follow-up","2nd Email Follow-up","Escalation to Local Office","Escalation to CBE","Escalation to Roxanne")&amp;" sent "&amp;TEXT($AA111,"dd-mmm")&amp;". "&amp;IF($Z111=6,"Final escalation completed.",IF($U111="OVERDUE","Next: "&amp;$AC111&amp;" was due "&amp;TEXT($AB111,"dd-mmm")&amp;" - "&amp;(NETWORKDAYS($AB111,TODAY(),Holidays)-1)&amp;" business day(s) late. Send now.",IF($U111="DUE TOMORROW","Next: "&amp;$AC111&amp;IF($AB111&lt;=TODAY()," is due TODAY ("," is due next business day (")&amp;TEXT($AB111,"dd-mmm")&amp;").","Next: "&amp;$AC111&amp;" due "&amp;TEXT($AB111,"dd-mmm")&amp;" ("&amp;(NETWORKDAYS(TODAY(),$AB111,Holidays)-1)&amp;" business day(s) left).")))))</f>
        <v/>
      </c>
      <c r="W111" s="17">
        <f>IF($Z111="","",CHOOSE($Z111,"Collection Email","1st Follow-up","2nd Follow-up","Local Office","CBE","Roxanne")&amp;IF($Z111=6," - Final"," - Day "&amp;MAX(0,NETWORKDAYS($AA111,TODAY(),Holidays)-1)&amp;" of "&amp;CHOOSE($Z111,3,3,2,2,3))&amp;" | Total Day "&amp;MAX(0,NETWORKDAYS($N111,TODAY(),Holidays)-1))</f>
        <v/>
      </c>
      <c r="X111" s="18"/>
      <c r="Y111" s="18"/>
      <c r="Z111" s="17">
        <f>IF($N111="","",COUNT($N111:$S111))</f>
        <v/>
      </c>
      <c r="AA111" s="19">
        <f>IF($Z111="","",INT(INDEX($N111:$S111,$Z111)))</f>
        <v/>
      </c>
      <c r="AB111" s="19">
        <f>IF(OR($Z111="",$Z111=6),"",WORKDAY($AA111,CHOOSE($Z111,3,3,2,2,3),Holidays))</f>
        <v/>
      </c>
      <c r="AC111" s="17">
        <f>IF(OR($Z111="",$Z111=6),"",CHOOSE($Z111,"1st Email Follow-up","2nd Email Follow-up","Escalate Local Office","Escalate to CBE","Escalate to Roxanne"))</f>
        <v/>
      </c>
    </row>
    <row r="112" spans="13:29">
      <c r="M112" s="14"/>
      <c r="T112" s="16"/>
      <c r="U112" s="17">
        <f>IF(AND(COUNTA($A112:$L112)=0,$N112=""),"",IF($T112="Paid","PAID",IF($T112="Closed","CLOSED",IF($Z112="","",IF($Z112=6,"ESCALATED TO ROXANNE",IF(TODAY()&gt;$AB112,"OVERDUE",IF($AB112&lt;=WORKDAY(TODAY(),1,Holidays),"DUE TOMORROW",IF($Z112=4,"ESCALATED TO LOCAL OFFICE",IF($Z112=5,"ESCALATED TO CBE",IF($AA112=TODAY(),"EMAIL SENT","MONITORING"))))))))))</f>
        <v/>
      </c>
      <c r="V112" s="17">
        <f>IF($U112="",IF(AND(COUNTA($A112:$L112)&gt;0,$N112=""),"Awaiting Collection Email time stamp.",""),IF(OR($U112="PAID",$U112="CLOSED"),IF($U112="PAID","Account paid. Action completed.","Account closed. No further action required."),CHOOSE($Z112,"Collection Email","1st Email Follow-up","2nd Email Follow-up","Escalation to Local Office","Escalation to CBE","Escalation to Roxanne")&amp;" sent "&amp;TEXT($AA112,"dd-mmm")&amp;". "&amp;IF($Z112=6,"Final escalation completed.",IF($U112="OVERDUE","Next: "&amp;$AC112&amp;" was due "&amp;TEXT($AB112,"dd-mmm")&amp;" - "&amp;(NETWORKDAYS($AB112,TODAY(),Holidays)-1)&amp;" business day(s) late. Send now.",IF($U112="DUE TOMORROW","Next: "&amp;$AC112&amp;IF($AB112&lt;=TODAY()," is due TODAY ("," is due next business day (")&amp;TEXT($AB112,"dd-mmm")&amp;").","Next: "&amp;$AC112&amp;" due "&amp;TEXT($AB112,"dd-mmm")&amp;" ("&amp;(NETWORKDAYS(TODAY(),$AB112,Holidays)-1)&amp;" business day(s) left).")))))</f>
        <v/>
      </c>
      <c r="W112" s="17">
        <f>IF($Z112="","",CHOOSE($Z112,"Collection Email","1st Follow-up","2nd Follow-up","Local Office","CBE","Roxanne")&amp;IF($Z112=6," - Final"," - Day "&amp;MAX(0,NETWORKDAYS($AA112,TODAY(),Holidays)-1)&amp;" of "&amp;CHOOSE($Z112,3,3,2,2,3))&amp;" | Total Day "&amp;MAX(0,NETWORKDAYS($N112,TODAY(),Holidays)-1))</f>
        <v/>
      </c>
      <c r="X112" s="18"/>
      <c r="Y112" s="18"/>
      <c r="Z112" s="17">
        <f>IF($N112="","",COUNT($N112:$S112))</f>
        <v/>
      </c>
      <c r="AA112" s="19">
        <f>IF($Z112="","",INT(INDEX($N112:$S112,$Z112)))</f>
        <v/>
      </c>
      <c r="AB112" s="19">
        <f>IF(OR($Z112="",$Z112=6),"",WORKDAY($AA112,CHOOSE($Z112,3,3,2,2,3),Holidays))</f>
        <v/>
      </c>
      <c r="AC112" s="17">
        <f>IF(OR($Z112="",$Z112=6),"",CHOOSE($Z112,"1st Email Follow-up","2nd Email Follow-up","Escalate Local Office","Escalate to CBE","Escalate to Roxanne"))</f>
        <v/>
      </c>
    </row>
    <row r="113" spans="13:29">
      <c r="M113" s="14"/>
      <c r="T113" s="16"/>
      <c r="U113" s="17">
        <f>IF(AND(COUNTA($A113:$L113)=0,$N113=""),"",IF($T113="Paid","PAID",IF($T113="Closed","CLOSED",IF($Z113="","",IF($Z113=6,"ESCALATED TO ROXANNE",IF(TODAY()&gt;$AB113,"OVERDUE",IF($AB113&lt;=WORKDAY(TODAY(),1,Holidays),"DUE TOMORROW",IF($Z113=4,"ESCALATED TO LOCAL OFFICE",IF($Z113=5,"ESCALATED TO CBE",IF($AA113=TODAY(),"EMAIL SENT","MONITORING"))))))))))</f>
        <v/>
      </c>
      <c r="V113" s="17">
        <f>IF($U113="",IF(AND(COUNTA($A113:$L113)&gt;0,$N113=""),"Awaiting Collection Email time stamp.",""),IF(OR($U113="PAID",$U113="CLOSED"),IF($U113="PAID","Account paid. Action completed.","Account closed. No further action required."),CHOOSE($Z113,"Collection Email","1st Email Follow-up","2nd Email Follow-up","Escalation to Local Office","Escalation to CBE","Escalation to Roxanne")&amp;" sent "&amp;TEXT($AA113,"dd-mmm")&amp;". "&amp;IF($Z113=6,"Final escalation completed.",IF($U113="OVERDUE","Next: "&amp;$AC113&amp;" was due "&amp;TEXT($AB113,"dd-mmm")&amp;" - "&amp;(NETWORKDAYS($AB113,TODAY(),Holidays)-1)&amp;" business day(s) late. Send now.",IF($U113="DUE TOMORROW","Next: "&amp;$AC113&amp;IF($AB113&lt;=TODAY()," is due TODAY ("," is due next business day (")&amp;TEXT($AB113,"dd-mmm")&amp;").","Next: "&amp;$AC113&amp;" due "&amp;TEXT($AB113,"dd-mmm")&amp;" ("&amp;(NETWORKDAYS(TODAY(),$AB113,Holidays)-1)&amp;" business day(s) left).")))))</f>
        <v/>
      </c>
      <c r="W113" s="17">
        <f>IF($Z113="","",CHOOSE($Z113,"Collection Email","1st Follow-up","2nd Follow-up","Local Office","CBE","Roxanne")&amp;IF($Z113=6," - Final"," - Day "&amp;MAX(0,NETWORKDAYS($AA113,TODAY(),Holidays)-1)&amp;" of "&amp;CHOOSE($Z113,3,3,2,2,3))&amp;" | Total Day "&amp;MAX(0,NETWORKDAYS($N113,TODAY(),Holidays)-1))</f>
        <v/>
      </c>
      <c r="X113" s="18"/>
      <c r="Y113" s="18"/>
      <c r="Z113" s="17">
        <f>IF($N113="","",COUNT($N113:$S113))</f>
        <v/>
      </c>
      <c r="AA113" s="19">
        <f>IF($Z113="","",INT(INDEX($N113:$S113,$Z113)))</f>
        <v/>
      </c>
      <c r="AB113" s="19">
        <f>IF(OR($Z113="",$Z113=6),"",WORKDAY($AA113,CHOOSE($Z113,3,3,2,2,3),Holidays))</f>
        <v/>
      </c>
      <c r="AC113" s="17">
        <f>IF(OR($Z113="",$Z113=6),"",CHOOSE($Z113,"1st Email Follow-up","2nd Email Follow-up","Escalate Local Office","Escalate to CBE","Escalate to Roxanne"))</f>
        <v/>
      </c>
    </row>
    <row r="114" spans="13:29">
      <c r="M114" s="14"/>
      <c r="T114" s="16"/>
      <c r="U114" s="17">
        <f>IF(AND(COUNTA($A114:$L114)=0,$N114=""),"",IF($T114="Paid","PAID",IF($T114="Closed","CLOSED",IF($Z114="","",IF($Z114=6,"ESCALATED TO ROXANNE",IF(TODAY()&gt;$AB114,"OVERDUE",IF($AB114&lt;=WORKDAY(TODAY(),1,Holidays),"DUE TOMORROW",IF($Z114=4,"ESCALATED TO LOCAL OFFICE",IF($Z114=5,"ESCALATED TO CBE",IF($AA114=TODAY(),"EMAIL SENT","MONITORING"))))))))))</f>
        <v/>
      </c>
      <c r="V114" s="17">
        <f>IF($U114="",IF(AND(COUNTA($A114:$L114)&gt;0,$N114=""),"Awaiting Collection Email time stamp.",""),IF(OR($U114="PAID",$U114="CLOSED"),IF($U114="PAID","Account paid. Action completed.","Account closed. No further action required."),CHOOSE($Z114,"Collection Email","1st Email Follow-up","2nd Email Follow-up","Escalation to Local Office","Escalation to CBE","Escalation to Roxanne")&amp;" sent "&amp;TEXT($AA114,"dd-mmm")&amp;". "&amp;IF($Z114=6,"Final escalation completed.",IF($U114="OVERDUE","Next: "&amp;$AC114&amp;" was due "&amp;TEXT($AB114,"dd-mmm")&amp;" - "&amp;(NETWORKDAYS($AB114,TODAY(),Holidays)-1)&amp;" business day(s) late. Send now.",IF($U114="DUE TOMORROW","Next: "&amp;$AC114&amp;IF($AB114&lt;=TODAY()," is due TODAY ("," is due next business day (")&amp;TEXT($AB114,"dd-mmm")&amp;").","Next: "&amp;$AC114&amp;" due "&amp;TEXT($AB114,"dd-mmm")&amp;" ("&amp;(NETWORKDAYS(TODAY(),$AB114,Holidays)-1)&amp;" business day(s) left).")))))</f>
        <v/>
      </c>
      <c r="W114" s="17">
        <f>IF($Z114="","",CHOOSE($Z114,"Collection Email","1st Follow-up","2nd Follow-up","Local Office","CBE","Roxanne")&amp;IF($Z114=6," - Final"," - Day "&amp;MAX(0,NETWORKDAYS($AA114,TODAY(),Holidays)-1)&amp;" of "&amp;CHOOSE($Z114,3,3,2,2,3))&amp;" | Total Day "&amp;MAX(0,NETWORKDAYS($N114,TODAY(),Holidays)-1))</f>
        <v/>
      </c>
      <c r="X114" s="18"/>
      <c r="Y114" s="18"/>
      <c r="Z114" s="17">
        <f>IF($N114="","",COUNT($N114:$S114))</f>
        <v/>
      </c>
      <c r="AA114" s="19">
        <f>IF($Z114="","",INT(INDEX($N114:$S114,$Z114)))</f>
        <v/>
      </c>
      <c r="AB114" s="19">
        <f>IF(OR($Z114="",$Z114=6),"",WORKDAY($AA114,CHOOSE($Z114,3,3,2,2,3),Holidays))</f>
        <v/>
      </c>
      <c r="AC114" s="17">
        <f>IF(OR($Z114="",$Z114=6),"",CHOOSE($Z114,"1st Email Follow-up","2nd Email Follow-up","Escalate Local Office","Escalate to CBE","Escalate to Roxanne"))</f>
        <v/>
      </c>
    </row>
    <row r="115" spans="13:29">
      <c r="M115" s="14"/>
      <c r="T115" s="16"/>
      <c r="U115" s="17">
        <f>IF(AND(COUNTA($A115:$L115)=0,$N115=""),"",IF($T115="Paid","PAID",IF($T115="Closed","CLOSED",IF($Z115="","",IF($Z115=6,"ESCALATED TO ROXANNE",IF(TODAY()&gt;$AB115,"OVERDUE",IF($AB115&lt;=WORKDAY(TODAY(),1,Holidays),"DUE TOMORROW",IF($Z115=4,"ESCALATED TO LOCAL OFFICE",IF($Z115=5,"ESCALATED TO CBE",IF($AA115=TODAY(),"EMAIL SENT","MONITORING"))))))))))</f>
        <v/>
      </c>
      <c r="V115" s="17">
        <f>IF($U115="",IF(AND(COUNTA($A115:$L115)&gt;0,$N115=""),"Awaiting Collection Email time stamp.",""),IF(OR($U115="PAID",$U115="CLOSED"),IF($U115="PAID","Account paid. Action completed.","Account closed. No further action required."),CHOOSE($Z115,"Collection Email","1st Email Follow-up","2nd Email Follow-up","Escalation to Local Office","Escalation to CBE","Escalation to Roxanne")&amp;" sent "&amp;TEXT($AA115,"dd-mmm")&amp;". "&amp;IF($Z115=6,"Final escalation completed.",IF($U115="OVERDUE","Next: "&amp;$AC115&amp;" was due "&amp;TEXT($AB115,"dd-mmm")&amp;" - "&amp;(NETWORKDAYS($AB115,TODAY(),Holidays)-1)&amp;" business day(s) late. Send now.",IF($U115="DUE TOMORROW","Next: "&amp;$AC115&amp;IF($AB115&lt;=TODAY()," is due TODAY ("," is due next business day (")&amp;TEXT($AB115,"dd-mmm")&amp;").","Next: "&amp;$AC115&amp;" due "&amp;TEXT($AB115,"dd-mmm")&amp;" ("&amp;(NETWORKDAYS(TODAY(),$AB115,Holidays)-1)&amp;" business day(s) left).")))))</f>
        <v/>
      </c>
      <c r="W115" s="17">
        <f>IF($Z115="","",CHOOSE($Z115,"Collection Email","1st Follow-up","2nd Follow-up","Local Office","CBE","Roxanne")&amp;IF($Z115=6," - Final"," - Day "&amp;MAX(0,NETWORKDAYS($AA115,TODAY(),Holidays)-1)&amp;" of "&amp;CHOOSE($Z115,3,3,2,2,3))&amp;" | Total Day "&amp;MAX(0,NETWORKDAYS($N115,TODAY(),Holidays)-1))</f>
        <v/>
      </c>
      <c r="X115" s="18"/>
      <c r="Y115" s="18"/>
      <c r="Z115" s="17">
        <f>IF($N115="","",COUNT($N115:$S115))</f>
        <v/>
      </c>
      <c r="AA115" s="19">
        <f>IF($Z115="","",INT(INDEX($N115:$S115,$Z115)))</f>
        <v/>
      </c>
      <c r="AB115" s="19">
        <f>IF(OR($Z115="",$Z115=6),"",WORKDAY($AA115,CHOOSE($Z115,3,3,2,2,3),Holidays))</f>
        <v/>
      </c>
      <c r="AC115" s="17">
        <f>IF(OR($Z115="",$Z115=6),"",CHOOSE($Z115,"1st Email Follow-up","2nd Email Follow-up","Escalate Local Office","Escalate to CBE","Escalate to Roxanne"))</f>
        <v/>
      </c>
    </row>
    <row r="116" spans="13:29">
      <c r="M116" s="14"/>
      <c r="T116" s="16"/>
      <c r="U116" s="17">
        <f>IF(AND(COUNTA($A116:$L116)=0,$N116=""),"",IF($T116="Paid","PAID",IF($T116="Closed","CLOSED",IF($Z116="","",IF($Z116=6,"ESCALATED TO ROXANNE",IF(TODAY()&gt;$AB116,"OVERDUE",IF($AB116&lt;=WORKDAY(TODAY(),1,Holidays),"DUE TOMORROW",IF($Z116=4,"ESCALATED TO LOCAL OFFICE",IF($Z116=5,"ESCALATED TO CBE",IF($AA116=TODAY(),"EMAIL SENT","MONITORING"))))))))))</f>
        <v/>
      </c>
      <c r="V116" s="17">
        <f>IF($U116="",IF(AND(COUNTA($A116:$L116)&gt;0,$N116=""),"Awaiting Collection Email time stamp.",""),IF(OR($U116="PAID",$U116="CLOSED"),IF($U116="PAID","Account paid. Action completed.","Account closed. No further action required."),CHOOSE($Z116,"Collection Email","1st Email Follow-up","2nd Email Follow-up","Escalation to Local Office","Escalation to CBE","Escalation to Roxanne")&amp;" sent "&amp;TEXT($AA116,"dd-mmm")&amp;". "&amp;IF($Z116=6,"Final escalation completed.",IF($U116="OVERDUE","Next: "&amp;$AC116&amp;" was due "&amp;TEXT($AB116,"dd-mmm")&amp;" - "&amp;(NETWORKDAYS($AB116,TODAY(),Holidays)-1)&amp;" business day(s) late. Send now.",IF($U116="DUE TOMORROW","Next: "&amp;$AC116&amp;IF($AB116&lt;=TODAY()," is due TODAY ("," is due next business day (")&amp;TEXT($AB116,"dd-mmm")&amp;").","Next: "&amp;$AC116&amp;" due "&amp;TEXT($AB116,"dd-mmm")&amp;" ("&amp;(NETWORKDAYS(TODAY(),$AB116,Holidays)-1)&amp;" business day(s) left).")))))</f>
        <v/>
      </c>
      <c r="W116" s="17">
        <f>IF($Z116="","",CHOOSE($Z116,"Collection Email","1st Follow-up","2nd Follow-up","Local Office","CBE","Roxanne")&amp;IF($Z116=6," - Final"," - Day "&amp;MAX(0,NETWORKDAYS($AA116,TODAY(),Holidays)-1)&amp;" of "&amp;CHOOSE($Z116,3,3,2,2,3))&amp;" | Total Day "&amp;MAX(0,NETWORKDAYS($N116,TODAY(),Holidays)-1))</f>
        <v/>
      </c>
      <c r="X116" s="18"/>
      <c r="Y116" s="18"/>
      <c r="Z116" s="17">
        <f>IF($N116="","",COUNT($N116:$S116))</f>
        <v/>
      </c>
      <c r="AA116" s="19">
        <f>IF($Z116="","",INT(INDEX($N116:$S116,$Z116)))</f>
        <v/>
      </c>
      <c r="AB116" s="19">
        <f>IF(OR($Z116="",$Z116=6),"",WORKDAY($AA116,CHOOSE($Z116,3,3,2,2,3),Holidays))</f>
        <v/>
      </c>
      <c r="AC116" s="17">
        <f>IF(OR($Z116="",$Z116=6),"",CHOOSE($Z116,"1st Email Follow-up","2nd Email Follow-up","Escalate Local Office","Escalate to CBE","Escalate to Roxanne"))</f>
        <v/>
      </c>
    </row>
    <row r="117" spans="13:29">
      <c r="M117" s="14"/>
      <c r="T117" s="16"/>
      <c r="U117" s="17">
        <f>IF(AND(COUNTA($A117:$L117)=0,$N117=""),"",IF($T117="Paid","PAID",IF($T117="Closed","CLOSED",IF($Z117="","",IF($Z117=6,"ESCALATED TO ROXANNE",IF(TODAY()&gt;$AB117,"OVERDUE",IF($AB117&lt;=WORKDAY(TODAY(),1,Holidays),"DUE TOMORROW",IF($Z117=4,"ESCALATED TO LOCAL OFFICE",IF($Z117=5,"ESCALATED TO CBE",IF($AA117=TODAY(),"EMAIL SENT","MONITORING"))))))))))</f>
        <v/>
      </c>
      <c r="V117" s="17">
        <f>IF($U117="",IF(AND(COUNTA($A117:$L117)&gt;0,$N117=""),"Awaiting Collection Email time stamp.",""),IF(OR($U117="PAID",$U117="CLOSED"),IF($U117="PAID","Account paid. Action completed.","Account closed. No further action required."),CHOOSE($Z117,"Collection Email","1st Email Follow-up","2nd Email Follow-up","Escalation to Local Office","Escalation to CBE","Escalation to Roxanne")&amp;" sent "&amp;TEXT($AA117,"dd-mmm")&amp;". "&amp;IF($Z117=6,"Final escalation completed.",IF($U117="OVERDUE","Next: "&amp;$AC117&amp;" was due "&amp;TEXT($AB117,"dd-mmm")&amp;" - "&amp;(NETWORKDAYS($AB117,TODAY(),Holidays)-1)&amp;" business day(s) late. Send now.",IF($U117="DUE TOMORROW","Next: "&amp;$AC117&amp;IF($AB117&lt;=TODAY()," is due TODAY ("," is due next business day (")&amp;TEXT($AB117,"dd-mmm")&amp;").","Next: "&amp;$AC117&amp;" due "&amp;TEXT($AB117,"dd-mmm")&amp;" ("&amp;(NETWORKDAYS(TODAY(),$AB117,Holidays)-1)&amp;" business day(s) left).")))))</f>
        <v/>
      </c>
      <c r="W117" s="17">
        <f>IF($Z117="","",CHOOSE($Z117,"Collection Email","1st Follow-up","2nd Follow-up","Local Office","CBE","Roxanne")&amp;IF($Z117=6," - Final"," - Day "&amp;MAX(0,NETWORKDAYS($AA117,TODAY(),Holidays)-1)&amp;" of "&amp;CHOOSE($Z117,3,3,2,2,3))&amp;" | Total Day "&amp;MAX(0,NETWORKDAYS($N117,TODAY(),Holidays)-1))</f>
        <v/>
      </c>
      <c r="X117" s="18"/>
      <c r="Y117" s="18"/>
      <c r="Z117" s="17">
        <f>IF($N117="","",COUNT($N117:$S117))</f>
        <v/>
      </c>
      <c r="AA117" s="19">
        <f>IF($Z117="","",INT(INDEX($N117:$S117,$Z117)))</f>
        <v/>
      </c>
      <c r="AB117" s="19">
        <f>IF(OR($Z117="",$Z117=6),"",WORKDAY($AA117,CHOOSE($Z117,3,3,2,2,3),Holidays))</f>
        <v/>
      </c>
      <c r="AC117" s="17">
        <f>IF(OR($Z117="",$Z117=6),"",CHOOSE($Z117,"1st Email Follow-up","2nd Email Follow-up","Escalate Local Office","Escalate to CBE","Escalate to Roxanne"))</f>
        <v/>
      </c>
    </row>
    <row r="118" spans="13:29">
      <c r="M118" s="14"/>
      <c r="T118" s="16"/>
      <c r="U118" s="17">
        <f>IF(AND(COUNTA($A118:$L118)=0,$N118=""),"",IF($T118="Paid","PAID",IF($T118="Closed","CLOSED",IF($Z118="","",IF($Z118=6,"ESCALATED TO ROXANNE",IF(TODAY()&gt;$AB118,"OVERDUE",IF($AB118&lt;=WORKDAY(TODAY(),1,Holidays),"DUE TOMORROW",IF($Z118=4,"ESCALATED TO LOCAL OFFICE",IF($Z118=5,"ESCALATED TO CBE",IF($AA118=TODAY(),"EMAIL SENT","MONITORING"))))))))))</f>
        <v/>
      </c>
      <c r="V118" s="17">
        <f>IF($U118="",IF(AND(COUNTA($A118:$L118)&gt;0,$N118=""),"Awaiting Collection Email time stamp.",""),IF(OR($U118="PAID",$U118="CLOSED"),IF($U118="PAID","Account paid. Action completed.","Account closed. No further action required."),CHOOSE($Z118,"Collection Email","1st Email Follow-up","2nd Email Follow-up","Escalation to Local Office","Escalation to CBE","Escalation to Roxanne")&amp;" sent "&amp;TEXT($AA118,"dd-mmm")&amp;". "&amp;IF($Z118=6,"Final escalation completed.",IF($U118="OVERDUE","Next: "&amp;$AC118&amp;" was due "&amp;TEXT($AB118,"dd-mmm")&amp;" - "&amp;(NETWORKDAYS($AB118,TODAY(),Holidays)-1)&amp;" business day(s) late. Send now.",IF($U118="DUE TOMORROW","Next: "&amp;$AC118&amp;IF($AB118&lt;=TODAY()," is due TODAY ("," is due next business day (")&amp;TEXT($AB118,"dd-mmm")&amp;").","Next: "&amp;$AC118&amp;" due "&amp;TEXT($AB118,"dd-mmm")&amp;" ("&amp;(NETWORKDAYS(TODAY(),$AB118,Holidays)-1)&amp;" business day(s) left).")))))</f>
        <v/>
      </c>
      <c r="W118" s="17">
        <f>IF($Z118="","",CHOOSE($Z118,"Collection Email","1st Follow-up","2nd Follow-up","Local Office","CBE","Roxanne")&amp;IF($Z118=6," - Final"," - Day "&amp;MAX(0,NETWORKDAYS($AA118,TODAY(),Holidays)-1)&amp;" of "&amp;CHOOSE($Z118,3,3,2,2,3))&amp;" | Total Day "&amp;MAX(0,NETWORKDAYS($N118,TODAY(),Holidays)-1))</f>
        <v/>
      </c>
      <c r="X118" s="18"/>
      <c r="Y118" s="18"/>
      <c r="Z118" s="17">
        <f>IF($N118="","",COUNT($N118:$S118))</f>
        <v/>
      </c>
      <c r="AA118" s="19">
        <f>IF($Z118="","",INT(INDEX($N118:$S118,$Z118)))</f>
        <v/>
      </c>
      <c r="AB118" s="19">
        <f>IF(OR($Z118="",$Z118=6),"",WORKDAY($AA118,CHOOSE($Z118,3,3,2,2,3),Holidays))</f>
        <v/>
      </c>
      <c r="AC118" s="17">
        <f>IF(OR($Z118="",$Z118=6),"",CHOOSE($Z118,"1st Email Follow-up","2nd Email Follow-up","Escalate Local Office","Escalate to CBE","Escalate to Roxanne"))</f>
        <v/>
      </c>
    </row>
    <row r="119" spans="13:29">
      <c r="M119" s="14"/>
      <c r="T119" s="16"/>
      <c r="U119" s="17">
        <f>IF(AND(COUNTA($A119:$L119)=0,$N119=""),"",IF($T119="Paid","PAID",IF($T119="Closed","CLOSED",IF($Z119="","",IF($Z119=6,"ESCALATED TO ROXANNE",IF(TODAY()&gt;$AB119,"OVERDUE",IF($AB119&lt;=WORKDAY(TODAY(),1,Holidays),"DUE TOMORROW",IF($Z119=4,"ESCALATED TO LOCAL OFFICE",IF($Z119=5,"ESCALATED TO CBE",IF($AA119=TODAY(),"EMAIL SENT","MONITORING"))))))))))</f>
        <v/>
      </c>
      <c r="V119" s="17">
        <f>IF($U119="",IF(AND(COUNTA($A119:$L119)&gt;0,$N119=""),"Awaiting Collection Email time stamp.",""),IF(OR($U119="PAID",$U119="CLOSED"),IF($U119="PAID","Account paid. Action completed.","Account closed. No further action required."),CHOOSE($Z119,"Collection Email","1st Email Follow-up","2nd Email Follow-up","Escalation to Local Office","Escalation to CBE","Escalation to Roxanne")&amp;" sent "&amp;TEXT($AA119,"dd-mmm")&amp;". "&amp;IF($Z119=6,"Final escalation completed.",IF($U119="OVERDUE","Next: "&amp;$AC119&amp;" was due "&amp;TEXT($AB119,"dd-mmm")&amp;" - "&amp;(NETWORKDAYS($AB119,TODAY(),Holidays)-1)&amp;" business day(s) late. Send now.",IF($U119="DUE TOMORROW","Next: "&amp;$AC119&amp;IF($AB119&lt;=TODAY()," is due TODAY ("," is due next business day (")&amp;TEXT($AB119,"dd-mmm")&amp;").","Next: "&amp;$AC119&amp;" due "&amp;TEXT($AB119,"dd-mmm")&amp;" ("&amp;(NETWORKDAYS(TODAY(),$AB119,Holidays)-1)&amp;" business day(s) left).")))))</f>
        <v/>
      </c>
      <c r="W119" s="17">
        <f>IF($Z119="","",CHOOSE($Z119,"Collection Email","1st Follow-up","2nd Follow-up","Local Office","CBE","Roxanne")&amp;IF($Z119=6," - Final"," - Day "&amp;MAX(0,NETWORKDAYS($AA119,TODAY(),Holidays)-1)&amp;" of "&amp;CHOOSE($Z119,3,3,2,2,3))&amp;" | Total Day "&amp;MAX(0,NETWORKDAYS($N119,TODAY(),Holidays)-1))</f>
        <v/>
      </c>
      <c r="X119" s="18"/>
      <c r="Y119" s="18"/>
      <c r="Z119" s="17">
        <f>IF($N119="","",COUNT($N119:$S119))</f>
        <v/>
      </c>
      <c r="AA119" s="19">
        <f>IF($Z119="","",INT(INDEX($N119:$S119,$Z119)))</f>
        <v/>
      </c>
      <c r="AB119" s="19">
        <f>IF(OR($Z119="",$Z119=6),"",WORKDAY($AA119,CHOOSE($Z119,3,3,2,2,3),Holidays))</f>
        <v/>
      </c>
      <c r="AC119" s="17">
        <f>IF(OR($Z119="",$Z119=6),"",CHOOSE($Z119,"1st Email Follow-up","2nd Email Follow-up","Escalate Local Office","Escalate to CBE","Escalate to Roxanne"))</f>
        <v/>
      </c>
    </row>
    <row r="120" spans="13:29">
      <c r="M120" s="14"/>
      <c r="T120" s="16"/>
      <c r="U120" s="17">
        <f>IF(AND(COUNTA($A120:$L120)=0,$N120=""),"",IF($T120="Paid","PAID",IF($T120="Closed","CLOSED",IF($Z120="","",IF($Z120=6,"ESCALATED TO ROXANNE",IF(TODAY()&gt;$AB120,"OVERDUE",IF($AB120&lt;=WORKDAY(TODAY(),1,Holidays),"DUE TOMORROW",IF($Z120=4,"ESCALATED TO LOCAL OFFICE",IF($Z120=5,"ESCALATED TO CBE",IF($AA120=TODAY(),"EMAIL SENT","MONITORING"))))))))))</f>
        <v/>
      </c>
      <c r="V120" s="17">
        <f>IF($U120="",IF(AND(COUNTA($A120:$L120)&gt;0,$N120=""),"Awaiting Collection Email time stamp.",""),IF(OR($U120="PAID",$U120="CLOSED"),IF($U120="PAID","Account paid. Action completed.","Account closed. No further action required."),CHOOSE($Z120,"Collection Email","1st Email Follow-up","2nd Email Follow-up","Escalation to Local Office","Escalation to CBE","Escalation to Roxanne")&amp;" sent "&amp;TEXT($AA120,"dd-mmm")&amp;". "&amp;IF($Z120=6,"Final escalation completed.",IF($U120="OVERDUE","Next: "&amp;$AC120&amp;" was due "&amp;TEXT($AB120,"dd-mmm")&amp;" - "&amp;(NETWORKDAYS($AB120,TODAY(),Holidays)-1)&amp;" business day(s) late. Send now.",IF($U120="DUE TOMORROW","Next: "&amp;$AC120&amp;IF($AB120&lt;=TODAY()," is due TODAY ("," is due next business day (")&amp;TEXT($AB120,"dd-mmm")&amp;").","Next: "&amp;$AC120&amp;" due "&amp;TEXT($AB120,"dd-mmm")&amp;" ("&amp;(NETWORKDAYS(TODAY(),$AB120,Holidays)-1)&amp;" business day(s) left).")))))</f>
        <v/>
      </c>
      <c r="W120" s="17">
        <f>IF($Z120="","",CHOOSE($Z120,"Collection Email","1st Follow-up","2nd Follow-up","Local Office","CBE","Roxanne")&amp;IF($Z120=6," - Final"," - Day "&amp;MAX(0,NETWORKDAYS($AA120,TODAY(),Holidays)-1)&amp;" of "&amp;CHOOSE($Z120,3,3,2,2,3))&amp;" | Total Day "&amp;MAX(0,NETWORKDAYS($N120,TODAY(),Holidays)-1))</f>
        <v/>
      </c>
      <c r="X120" s="18"/>
      <c r="Y120" s="18"/>
      <c r="Z120" s="17">
        <f>IF($N120="","",COUNT($N120:$S120))</f>
        <v/>
      </c>
      <c r="AA120" s="19">
        <f>IF($Z120="","",INT(INDEX($N120:$S120,$Z120)))</f>
        <v/>
      </c>
      <c r="AB120" s="19">
        <f>IF(OR($Z120="",$Z120=6),"",WORKDAY($AA120,CHOOSE($Z120,3,3,2,2,3),Holidays))</f>
        <v/>
      </c>
      <c r="AC120" s="17">
        <f>IF(OR($Z120="",$Z120=6),"",CHOOSE($Z120,"1st Email Follow-up","2nd Email Follow-up","Escalate Local Office","Escalate to CBE","Escalate to Roxanne"))</f>
        <v/>
      </c>
    </row>
    <row r="121" spans="13:29">
      <c r="M121" s="14"/>
      <c r="T121" s="16"/>
      <c r="U121" s="17">
        <f>IF(AND(COUNTA($A121:$L121)=0,$N121=""),"",IF($T121="Paid","PAID",IF($T121="Closed","CLOSED",IF($Z121="","",IF($Z121=6,"ESCALATED TO ROXANNE",IF(TODAY()&gt;$AB121,"OVERDUE",IF($AB121&lt;=WORKDAY(TODAY(),1,Holidays),"DUE TOMORROW",IF($Z121=4,"ESCALATED TO LOCAL OFFICE",IF($Z121=5,"ESCALATED TO CBE",IF($AA121=TODAY(),"EMAIL SENT","MONITORING"))))))))))</f>
        <v/>
      </c>
      <c r="V121" s="17">
        <f>IF($U121="",IF(AND(COUNTA($A121:$L121)&gt;0,$N121=""),"Awaiting Collection Email time stamp.",""),IF(OR($U121="PAID",$U121="CLOSED"),IF($U121="PAID","Account paid. Action completed.","Account closed. No further action required."),CHOOSE($Z121,"Collection Email","1st Email Follow-up","2nd Email Follow-up","Escalation to Local Office","Escalation to CBE","Escalation to Roxanne")&amp;" sent "&amp;TEXT($AA121,"dd-mmm")&amp;". "&amp;IF($Z121=6,"Final escalation completed.",IF($U121="OVERDUE","Next: "&amp;$AC121&amp;" was due "&amp;TEXT($AB121,"dd-mmm")&amp;" - "&amp;(NETWORKDAYS($AB121,TODAY(),Holidays)-1)&amp;" business day(s) late. Send now.",IF($U121="DUE TOMORROW","Next: "&amp;$AC121&amp;IF($AB121&lt;=TODAY()," is due TODAY ("," is due next business day (")&amp;TEXT($AB121,"dd-mmm")&amp;").","Next: "&amp;$AC121&amp;" due "&amp;TEXT($AB121,"dd-mmm")&amp;" ("&amp;(NETWORKDAYS(TODAY(),$AB121,Holidays)-1)&amp;" business day(s) left).")))))</f>
        <v/>
      </c>
      <c r="W121" s="17">
        <f>IF($Z121="","",CHOOSE($Z121,"Collection Email","1st Follow-up","2nd Follow-up","Local Office","CBE","Roxanne")&amp;IF($Z121=6," - Final"," - Day "&amp;MAX(0,NETWORKDAYS($AA121,TODAY(),Holidays)-1)&amp;" of "&amp;CHOOSE($Z121,3,3,2,2,3))&amp;" | Total Day "&amp;MAX(0,NETWORKDAYS($N121,TODAY(),Holidays)-1))</f>
        <v/>
      </c>
      <c r="X121" s="18"/>
      <c r="Y121" s="18"/>
      <c r="Z121" s="17">
        <f>IF($N121="","",COUNT($N121:$S121))</f>
        <v/>
      </c>
      <c r="AA121" s="19">
        <f>IF($Z121="","",INT(INDEX($N121:$S121,$Z121)))</f>
        <v/>
      </c>
      <c r="AB121" s="19">
        <f>IF(OR($Z121="",$Z121=6),"",WORKDAY($AA121,CHOOSE($Z121,3,3,2,2,3),Holidays))</f>
        <v/>
      </c>
      <c r="AC121" s="17">
        <f>IF(OR($Z121="",$Z121=6),"",CHOOSE($Z121,"1st Email Follow-up","2nd Email Follow-up","Escalate Local Office","Escalate to CBE","Escalate to Roxanne"))</f>
        <v/>
      </c>
    </row>
    <row r="122" spans="13:29">
      <c r="M122" s="14"/>
      <c r="T122" s="16"/>
      <c r="U122" s="17">
        <f>IF(AND(COUNTA($A122:$L122)=0,$N122=""),"",IF($T122="Paid","PAID",IF($T122="Closed","CLOSED",IF($Z122="","",IF($Z122=6,"ESCALATED TO ROXANNE",IF(TODAY()&gt;$AB122,"OVERDUE",IF($AB122&lt;=WORKDAY(TODAY(),1,Holidays),"DUE TOMORROW",IF($Z122=4,"ESCALATED TO LOCAL OFFICE",IF($Z122=5,"ESCALATED TO CBE",IF($AA122=TODAY(),"EMAIL SENT","MONITORING"))))))))))</f>
        <v/>
      </c>
      <c r="V122" s="17">
        <f>IF($U122="",IF(AND(COUNTA($A122:$L122)&gt;0,$N122=""),"Awaiting Collection Email time stamp.",""),IF(OR($U122="PAID",$U122="CLOSED"),IF($U122="PAID","Account paid. Action completed.","Account closed. No further action required."),CHOOSE($Z122,"Collection Email","1st Email Follow-up","2nd Email Follow-up","Escalation to Local Office","Escalation to CBE","Escalation to Roxanne")&amp;" sent "&amp;TEXT($AA122,"dd-mmm")&amp;". "&amp;IF($Z122=6,"Final escalation completed.",IF($U122="OVERDUE","Next: "&amp;$AC122&amp;" was due "&amp;TEXT($AB122,"dd-mmm")&amp;" - "&amp;(NETWORKDAYS($AB122,TODAY(),Holidays)-1)&amp;" business day(s) late. Send now.",IF($U122="DUE TOMORROW","Next: "&amp;$AC122&amp;IF($AB122&lt;=TODAY()," is due TODAY ("," is due next business day (")&amp;TEXT($AB122,"dd-mmm")&amp;").","Next: "&amp;$AC122&amp;" due "&amp;TEXT($AB122,"dd-mmm")&amp;" ("&amp;(NETWORKDAYS(TODAY(),$AB122,Holidays)-1)&amp;" business day(s) left).")))))</f>
        <v/>
      </c>
      <c r="W122" s="17">
        <f>IF($Z122="","",CHOOSE($Z122,"Collection Email","1st Follow-up","2nd Follow-up","Local Office","CBE","Roxanne")&amp;IF($Z122=6," - Final"," - Day "&amp;MAX(0,NETWORKDAYS($AA122,TODAY(),Holidays)-1)&amp;" of "&amp;CHOOSE($Z122,3,3,2,2,3))&amp;" | Total Day "&amp;MAX(0,NETWORKDAYS($N122,TODAY(),Holidays)-1))</f>
        <v/>
      </c>
      <c r="X122" s="18"/>
      <c r="Y122" s="18"/>
      <c r="Z122" s="17">
        <f>IF($N122="","",COUNT($N122:$S122))</f>
        <v/>
      </c>
      <c r="AA122" s="19">
        <f>IF($Z122="","",INT(INDEX($N122:$S122,$Z122)))</f>
        <v/>
      </c>
      <c r="AB122" s="19">
        <f>IF(OR($Z122="",$Z122=6),"",WORKDAY($AA122,CHOOSE($Z122,3,3,2,2,3),Holidays))</f>
        <v/>
      </c>
      <c r="AC122" s="17">
        <f>IF(OR($Z122="",$Z122=6),"",CHOOSE($Z122,"1st Email Follow-up","2nd Email Follow-up","Escalate Local Office","Escalate to CBE","Escalate to Roxanne"))</f>
        <v/>
      </c>
    </row>
    <row r="123" spans="13:29">
      <c r="M123" s="14"/>
      <c r="T123" s="16"/>
      <c r="U123" s="17">
        <f>IF(AND(COUNTA($A123:$L123)=0,$N123=""),"",IF($T123="Paid","PAID",IF($T123="Closed","CLOSED",IF($Z123="","",IF($Z123=6,"ESCALATED TO ROXANNE",IF(TODAY()&gt;$AB123,"OVERDUE",IF($AB123&lt;=WORKDAY(TODAY(),1,Holidays),"DUE TOMORROW",IF($Z123=4,"ESCALATED TO LOCAL OFFICE",IF($Z123=5,"ESCALATED TO CBE",IF($AA123=TODAY(),"EMAIL SENT","MONITORING"))))))))))</f>
        <v/>
      </c>
      <c r="V123" s="17">
        <f>IF($U123="",IF(AND(COUNTA($A123:$L123)&gt;0,$N123=""),"Awaiting Collection Email time stamp.",""),IF(OR($U123="PAID",$U123="CLOSED"),IF($U123="PAID","Account paid. Action completed.","Account closed. No further action required."),CHOOSE($Z123,"Collection Email","1st Email Follow-up","2nd Email Follow-up","Escalation to Local Office","Escalation to CBE","Escalation to Roxanne")&amp;" sent "&amp;TEXT($AA123,"dd-mmm")&amp;". "&amp;IF($Z123=6,"Final escalation completed.",IF($U123="OVERDUE","Next: "&amp;$AC123&amp;" was due "&amp;TEXT($AB123,"dd-mmm")&amp;" - "&amp;(NETWORKDAYS($AB123,TODAY(),Holidays)-1)&amp;" business day(s) late. Send now.",IF($U123="DUE TOMORROW","Next: "&amp;$AC123&amp;IF($AB123&lt;=TODAY()," is due TODAY ("," is due next business day (")&amp;TEXT($AB123,"dd-mmm")&amp;").","Next: "&amp;$AC123&amp;" due "&amp;TEXT($AB123,"dd-mmm")&amp;" ("&amp;(NETWORKDAYS(TODAY(),$AB123,Holidays)-1)&amp;" business day(s) left).")))))</f>
        <v/>
      </c>
      <c r="W123" s="17">
        <f>IF($Z123="","",CHOOSE($Z123,"Collection Email","1st Follow-up","2nd Follow-up","Local Office","CBE","Roxanne")&amp;IF($Z123=6," - Final"," - Day "&amp;MAX(0,NETWORKDAYS($AA123,TODAY(),Holidays)-1)&amp;" of "&amp;CHOOSE($Z123,3,3,2,2,3))&amp;" | Total Day "&amp;MAX(0,NETWORKDAYS($N123,TODAY(),Holidays)-1))</f>
        <v/>
      </c>
      <c r="X123" s="18"/>
      <c r="Y123" s="18"/>
      <c r="Z123" s="17">
        <f>IF($N123="","",COUNT($N123:$S123))</f>
        <v/>
      </c>
      <c r="AA123" s="19">
        <f>IF($Z123="","",INT(INDEX($N123:$S123,$Z123)))</f>
        <v/>
      </c>
      <c r="AB123" s="19">
        <f>IF(OR($Z123="",$Z123=6),"",WORKDAY($AA123,CHOOSE($Z123,3,3,2,2,3),Holidays))</f>
        <v/>
      </c>
      <c r="AC123" s="17">
        <f>IF(OR($Z123="",$Z123=6),"",CHOOSE($Z123,"1st Email Follow-up","2nd Email Follow-up","Escalate Local Office","Escalate to CBE","Escalate to Roxanne"))</f>
        <v/>
      </c>
    </row>
    <row r="124" spans="13:29">
      <c r="M124" s="14"/>
      <c r="T124" s="16"/>
      <c r="U124" s="17">
        <f>IF(AND(COUNTA($A124:$L124)=0,$N124=""),"",IF($T124="Paid","PAID",IF($T124="Closed","CLOSED",IF($Z124="","",IF($Z124=6,"ESCALATED TO ROXANNE",IF(TODAY()&gt;$AB124,"OVERDUE",IF($AB124&lt;=WORKDAY(TODAY(),1,Holidays),"DUE TOMORROW",IF($Z124=4,"ESCALATED TO LOCAL OFFICE",IF($Z124=5,"ESCALATED TO CBE",IF($AA124=TODAY(),"EMAIL SENT","MONITORING"))))))))))</f>
        <v/>
      </c>
      <c r="V124" s="17">
        <f>IF($U124="",IF(AND(COUNTA($A124:$L124)&gt;0,$N124=""),"Awaiting Collection Email time stamp.",""),IF(OR($U124="PAID",$U124="CLOSED"),IF($U124="PAID","Account paid. Action completed.","Account closed. No further action required."),CHOOSE($Z124,"Collection Email","1st Email Follow-up","2nd Email Follow-up","Escalation to Local Office","Escalation to CBE","Escalation to Roxanne")&amp;" sent "&amp;TEXT($AA124,"dd-mmm")&amp;". "&amp;IF($Z124=6,"Final escalation completed.",IF($U124="OVERDUE","Next: "&amp;$AC124&amp;" was due "&amp;TEXT($AB124,"dd-mmm")&amp;" - "&amp;(NETWORKDAYS($AB124,TODAY(),Holidays)-1)&amp;" business day(s) late. Send now.",IF($U124="DUE TOMORROW","Next: "&amp;$AC124&amp;IF($AB124&lt;=TODAY()," is due TODAY ("," is due next business day (")&amp;TEXT($AB124,"dd-mmm")&amp;").","Next: "&amp;$AC124&amp;" due "&amp;TEXT($AB124,"dd-mmm")&amp;" ("&amp;(NETWORKDAYS(TODAY(),$AB124,Holidays)-1)&amp;" business day(s) left).")))))</f>
        <v/>
      </c>
      <c r="W124" s="17">
        <f>IF($Z124="","",CHOOSE($Z124,"Collection Email","1st Follow-up","2nd Follow-up","Local Office","CBE","Roxanne")&amp;IF($Z124=6," - Final"," - Day "&amp;MAX(0,NETWORKDAYS($AA124,TODAY(),Holidays)-1)&amp;" of "&amp;CHOOSE($Z124,3,3,2,2,3))&amp;" | Total Day "&amp;MAX(0,NETWORKDAYS($N124,TODAY(),Holidays)-1))</f>
        <v/>
      </c>
      <c r="X124" s="18"/>
      <c r="Y124" s="18"/>
      <c r="Z124" s="17">
        <f>IF($N124="","",COUNT($N124:$S124))</f>
        <v/>
      </c>
      <c r="AA124" s="19">
        <f>IF($Z124="","",INT(INDEX($N124:$S124,$Z124)))</f>
        <v/>
      </c>
      <c r="AB124" s="19">
        <f>IF(OR($Z124="",$Z124=6),"",WORKDAY($AA124,CHOOSE($Z124,3,3,2,2,3),Holidays))</f>
        <v/>
      </c>
      <c r="AC124" s="17">
        <f>IF(OR($Z124="",$Z124=6),"",CHOOSE($Z124,"1st Email Follow-up","2nd Email Follow-up","Escalate Local Office","Escalate to CBE","Escalate to Roxanne"))</f>
        <v/>
      </c>
    </row>
    <row r="125" spans="13:29">
      <c r="M125" s="14"/>
      <c r="T125" s="16"/>
      <c r="U125" s="17">
        <f>IF(AND(COUNTA($A125:$L125)=0,$N125=""),"",IF($T125="Paid","PAID",IF($T125="Closed","CLOSED",IF($Z125="","",IF($Z125=6,"ESCALATED TO ROXANNE",IF(TODAY()&gt;$AB125,"OVERDUE",IF($AB125&lt;=WORKDAY(TODAY(),1,Holidays),"DUE TOMORROW",IF($Z125=4,"ESCALATED TO LOCAL OFFICE",IF($Z125=5,"ESCALATED TO CBE",IF($AA125=TODAY(),"EMAIL SENT","MONITORING"))))))))))</f>
        <v/>
      </c>
      <c r="V125" s="17">
        <f>IF($U125="",IF(AND(COUNTA($A125:$L125)&gt;0,$N125=""),"Awaiting Collection Email time stamp.",""),IF(OR($U125="PAID",$U125="CLOSED"),IF($U125="PAID","Account paid. Action completed.","Account closed. No further action required."),CHOOSE($Z125,"Collection Email","1st Email Follow-up","2nd Email Follow-up","Escalation to Local Office","Escalation to CBE","Escalation to Roxanne")&amp;" sent "&amp;TEXT($AA125,"dd-mmm")&amp;". "&amp;IF($Z125=6,"Final escalation completed.",IF($U125="OVERDUE","Next: "&amp;$AC125&amp;" was due "&amp;TEXT($AB125,"dd-mmm")&amp;" - "&amp;(NETWORKDAYS($AB125,TODAY(),Holidays)-1)&amp;" business day(s) late. Send now.",IF($U125="DUE TOMORROW","Next: "&amp;$AC125&amp;IF($AB125&lt;=TODAY()," is due TODAY ("," is due next business day (")&amp;TEXT($AB125,"dd-mmm")&amp;").","Next: "&amp;$AC125&amp;" due "&amp;TEXT($AB125,"dd-mmm")&amp;" ("&amp;(NETWORKDAYS(TODAY(),$AB125,Holidays)-1)&amp;" business day(s) left).")))))</f>
        <v/>
      </c>
      <c r="W125" s="17">
        <f>IF($Z125="","",CHOOSE($Z125,"Collection Email","1st Follow-up","2nd Follow-up","Local Office","CBE","Roxanne")&amp;IF($Z125=6," - Final"," - Day "&amp;MAX(0,NETWORKDAYS($AA125,TODAY(),Holidays)-1)&amp;" of "&amp;CHOOSE($Z125,3,3,2,2,3))&amp;" | Total Day "&amp;MAX(0,NETWORKDAYS($N125,TODAY(),Holidays)-1))</f>
        <v/>
      </c>
      <c r="X125" s="18"/>
      <c r="Y125" s="18"/>
      <c r="Z125" s="17">
        <f>IF($N125="","",COUNT($N125:$S125))</f>
        <v/>
      </c>
      <c r="AA125" s="19">
        <f>IF($Z125="","",INT(INDEX($N125:$S125,$Z125)))</f>
        <v/>
      </c>
      <c r="AB125" s="19">
        <f>IF(OR($Z125="",$Z125=6),"",WORKDAY($AA125,CHOOSE($Z125,3,3,2,2,3),Holidays))</f>
        <v/>
      </c>
      <c r="AC125" s="17">
        <f>IF(OR($Z125="",$Z125=6),"",CHOOSE($Z125,"1st Email Follow-up","2nd Email Follow-up","Escalate Local Office","Escalate to CBE","Escalate to Roxanne"))</f>
        <v/>
      </c>
    </row>
    <row r="126" spans="13:29">
      <c r="M126" s="14"/>
      <c r="T126" s="16"/>
      <c r="U126" s="17">
        <f>IF(AND(COUNTA($A126:$L126)=0,$N126=""),"",IF($T126="Paid","PAID",IF($T126="Closed","CLOSED",IF($Z126="","",IF($Z126=6,"ESCALATED TO ROXANNE",IF(TODAY()&gt;$AB126,"OVERDUE",IF($AB126&lt;=WORKDAY(TODAY(),1,Holidays),"DUE TOMORROW",IF($Z126=4,"ESCALATED TO LOCAL OFFICE",IF($Z126=5,"ESCALATED TO CBE",IF($AA126=TODAY(),"EMAIL SENT","MONITORING"))))))))))</f>
        <v/>
      </c>
      <c r="V126" s="17">
        <f>IF($U126="",IF(AND(COUNTA($A126:$L126)&gt;0,$N126=""),"Awaiting Collection Email time stamp.",""),IF(OR($U126="PAID",$U126="CLOSED"),IF($U126="PAID","Account paid. Action completed.","Account closed. No further action required."),CHOOSE($Z126,"Collection Email","1st Email Follow-up","2nd Email Follow-up","Escalation to Local Office","Escalation to CBE","Escalation to Roxanne")&amp;" sent "&amp;TEXT($AA126,"dd-mmm")&amp;". "&amp;IF($Z126=6,"Final escalation completed.",IF($U126="OVERDUE","Next: "&amp;$AC126&amp;" was due "&amp;TEXT($AB126,"dd-mmm")&amp;" - "&amp;(NETWORKDAYS($AB126,TODAY(),Holidays)-1)&amp;" business day(s) late. Send now.",IF($U126="DUE TOMORROW","Next: "&amp;$AC126&amp;IF($AB126&lt;=TODAY()," is due TODAY ("," is due next business day (")&amp;TEXT($AB126,"dd-mmm")&amp;").","Next: "&amp;$AC126&amp;" due "&amp;TEXT($AB126,"dd-mmm")&amp;" ("&amp;(NETWORKDAYS(TODAY(),$AB126,Holidays)-1)&amp;" business day(s) left).")))))</f>
        <v/>
      </c>
      <c r="W126" s="17">
        <f>IF($Z126="","",CHOOSE($Z126,"Collection Email","1st Follow-up","2nd Follow-up","Local Office","CBE","Roxanne")&amp;IF($Z126=6," - Final"," - Day "&amp;MAX(0,NETWORKDAYS($AA126,TODAY(),Holidays)-1)&amp;" of "&amp;CHOOSE($Z126,3,3,2,2,3))&amp;" | Total Day "&amp;MAX(0,NETWORKDAYS($N126,TODAY(),Holidays)-1))</f>
        <v/>
      </c>
      <c r="X126" s="18"/>
      <c r="Y126" s="18"/>
      <c r="Z126" s="17">
        <f>IF($N126="","",COUNT($N126:$S126))</f>
        <v/>
      </c>
      <c r="AA126" s="19">
        <f>IF($Z126="","",INT(INDEX($N126:$S126,$Z126)))</f>
        <v/>
      </c>
      <c r="AB126" s="19">
        <f>IF(OR($Z126="",$Z126=6),"",WORKDAY($AA126,CHOOSE($Z126,3,3,2,2,3),Holidays))</f>
        <v/>
      </c>
      <c r="AC126" s="17">
        <f>IF(OR($Z126="",$Z126=6),"",CHOOSE($Z126,"1st Email Follow-up","2nd Email Follow-up","Escalate Local Office","Escalate to CBE","Escalate to Roxanne"))</f>
        <v/>
      </c>
    </row>
    <row r="127" spans="13:29">
      <c r="M127" s="14"/>
      <c r="T127" s="16"/>
      <c r="U127" s="17">
        <f>IF(AND(COUNTA($A127:$L127)=0,$N127=""),"",IF($T127="Paid","PAID",IF($T127="Closed","CLOSED",IF($Z127="","",IF($Z127=6,"ESCALATED TO ROXANNE",IF(TODAY()&gt;$AB127,"OVERDUE",IF($AB127&lt;=WORKDAY(TODAY(),1,Holidays),"DUE TOMORROW",IF($Z127=4,"ESCALATED TO LOCAL OFFICE",IF($Z127=5,"ESCALATED TO CBE",IF($AA127=TODAY(),"EMAIL SENT","MONITORING"))))))))))</f>
        <v/>
      </c>
      <c r="V127" s="17">
        <f>IF($U127="",IF(AND(COUNTA($A127:$L127)&gt;0,$N127=""),"Awaiting Collection Email time stamp.",""),IF(OR($U127="PAID",$U127="CLOSED"),IF($U127="PAID","Account paid. Action completed.","Account closed. No further action required."),CHOOSE($Z127,"Collection Email","1st Email Follow-up","2nd Email Follow-up","Escalation to Local Office","Escalation to CBE","Escalation to Roxanne")&amp;" sent "&amp;TEXT($AA127,"dd-mmm")&amp;". "&amp;IF($Z127=6,"Final escalation completed.",IF($U127="OVERDUE","Next: "&amp;$AC127&amp;" was due "&amp;TEXT($AB127,"dd-mmm")&amp;" - "&amp;(NETWORKDAYS($AB127,TODAY(),Holidays)-1)&amp;" business day(s) late. Send now.",IF($U127="DUE TOMORROW","Next: "&amp;$AC127&amp;IF($AB127&lt;=TODAY()," is due TODAY ("," is due next business day (")&amp;TEXT($AB127,"dd-mmm")&amp;").","Next: "&amp;$AC127&amp;" due "&amp;TEXT($AB127,"dd-mmm")&amp;" ("&amp;(NETWORKDAYS(TODAY(),$AB127,Holidays)-1)&amp;" business day(s) left).")))))</f>
        <v/>
      </c>
      <c r="W127" s="17">
        <f>IF($Z127="","",CHOOSE($Z127,"Collection Email","1st Follow-up","2nd Follow-up","Local Office","CBE","Roxanne")&amp;IF($Z127=6," - Final"," - Day "&amp;MAX(0,NETWORKDAYS($AA127,TODAY(),Holidays)-1)&amp;" of "&amp;CHOOSE($Z127,3,3,2,2,3))&amp;" | Total Day "&amp;MAX(0,NETWORKDAYS($N127,TODAY(),Holidays)-1))</f>
        <v/>
      </c>
      <c r="X127" s="18"/>
      <c r="Y127" s="18"/>
      <c r="Z127" s="17">
        <f>IF($N127="","",COUNT($N127:$S127))</f>
        <v/>
      </c>
      <c r="AA127" s="19">
        <f>IF($Z127="","",INT(INDEX($N127:$S127,$Z127)))</f>
        <v/>
      </c>
      <c r="AB127" s="19">
        <f>IF(OR($Z127="",$Z127=6),"",WORKDAY($AA127,CHOOSE($Z127,3,3,2,2,3),Holidays))</f>
        <v/>
      </c>
      <c r="AC127" s="17">
        <f>IF(OR($Z127="",$Z127=6),"",CHOOSE($Z127,"1st Email Follow-up","2nd Email Follow-up","Escalate Local Office","Escalate to CBE","Escalate to Roxanne"))</f>
        <v/>
      </c>
    </row>
    <row r="128" spans="13:29">
      <c r="M128" s="14"/>
      <c r="T128" s="16"/>
      <c r="U128" s="17">
        <f>IF(AND(COUNTA($A128:$L128)=0,$N128=""),"",IF($T128="Paid","PAID",IF($T128="Closed","CLOSED",IF($Z128="","",IF($Z128=6,"ESCALATED TO ROXANNE",IF(TODAY()&gt;$AB128,"OVERDUE",IF($AB128&lt;=WORKDAY(TODAY(),1,Holidays),"DUE TOMORROW",IF($Z128=4,"ESCALATED TO LOCAL OFFICE",IF($Z128=5,"ESCALATED TO CBE",IF($AA128=TODAY(),"EMAIL SENT","MONITORING"))))))))))</f>
        <v/>
      </c>
      <c r="V128" s="17">
        <f>IF($U128="",IF(AND(COUNTA($A128:$L128)&gt;0,$N128=""),"Awaiting Collection Email time stamp.",""),IF(OR($U128="PAID",$U128="CLOSED"),IF($U128="PAID","Account paid. Action completed.","Account closed. No further action required."),CHOOSE($Z128,"Collection Email","1st Email Follow-up","2nd Email Follow-up","Escalation to Local Office","Escalation to CBE","Escalation to Roxanne")&amp;" sent "&amp;TEXT($AA128,"dd-mmm")&amp;". "&amp;IF($Z128=6,"Final escalation completed.",IF($U128="OVERDUE","Next: "&amp;$AC128&amp;" was due "&amp;TEXT($AB128,"dd-mmm")&amp;" - "&amp;(NETWORKDAYS($AB128,TODAY(),Holidays)-1)&amp;" business day(s) late. Send now.",IF($U128="DUE TOMORROW","Next: "&amp;$AC128&amp;IF($AB128&lt;=TODAY()," is due TODAY ("," is due next business day (")&amp;TEXT($AB128,"dd-mmm")&amp;").","Next: "&amp;$AC128&amp;" due "&amp;TEXT($AB128,"dd-mmm")&amp;" ("&amp;(NETWORKDAYS(TODAY(),$AB128,Holidays)-1)&amp;" business day(s) left).")))))</f>
        <v/>
      </c>
      <c r="W128" s="17">
        <f>IF($Z128="","",CHOOSE($Z128,"Collection Email","1st Follow-up","2nd Follow-up","Local Office","CBE","Roxanne")&amp;IF($Z128=6," - Final"," - Day "&amp;MAX(0,NETWORKDAYS($AA128,TODAY(),Holidays)-1)&amp;" of "&amp;CHOOSE($Z128,3,3,2,2,3))&amp;" | Total Day "&amp;MAX(0,NETWORKDAYS($N128,TODAY(),Holidays)-1))</f>
        <v/>
      </c>
      <c r="X128" s="18"/>
      <c r="Y128" s="18"/>
      <c r="Z128" s="17">
        <f>IF($N128="","",COUNT($N128:$S128))</f>
        <v/>
      </c>
      <c r="AA128" s="19">
        <f>IF($Z128="","",INT(INDEX($N128:$S128,$Z128)))</f>
        <v/>
      </c>
      <c r="AB128" s="19">
        <f>IF(OR($Z128="",$Z128=6),"",WORKDAY($AA128,CHOOSE($Z128,3,3,2,2,3),Holidays))</f>
        <v/>
      </c>
      <c r="AC128" s="17">
        <f>IF(OR($Z128="",$Z128=6),"",CHOOSE($Z128,"1st Email Follow-up","2nd Email Follow-up","Escalate Local Office","Escalate to CBE","Escalate to Roxanne"))</f>
        <v/>
      </c>
    </row>
    <row r="129" spans="13:29">
      <c r="M129" s="14"/>
      <c r="T129" s="16"/>
      <c r="U129" s="17">
        <f>IF(AND(COUNTA($A129:$L129)=0,$N129=""),"",IF($T129="Paid","PAID",IF($T129="Closed","CLOSED",IF($Z129="","",IF($Z129=6,"ESCALATED TO ROXANNE",IF(TODAY()&gt;$AB129,"OVERDUE",IF($AB129&lt;=WORKDAY(TODAY(),1,Holidays),"DUE TOMORROW",IF($Z129=4,"ESCALATED TO LOCAL OFFICE",IF($Z129=5,"ESCALATED TO CBE",IF($AA129=TODAY(),"EMAIL SENT","MONITORING"))))))))))</f>
        <v/>
      </c>
      <c r="V129" s="17">
        <f>IF($U129="",IF(AND(COUNTA($A129:$L129)&gt;0,$N129=""),"Awaiting Collection Email time stamp.",""),IF(OR($U129="PAID",$U129="CLOSED"),IF($U129="PAID","Account paid. Action completed.","Account closed. No further action required."),CHOOSE($Z129,"Collection Email","1st Email Follow-up","2nd Email Follow-up","Escalation to Local Office","Escalation to CBE","Escalation to Roxanne")&amp;" sent "&amp;TEXT($AA129,"dd-mmm")&amp;". "&amp;IF($Z129=6,"Final escalation completed.",IF($U129="OVERDUE","Next: "&amp;$AC129&amp;" was due "&amp;TEXT($AB129,"dd-mmm")&amp;" - "&amp;(NETWORKDAYS($AB129,TODAY(),Holidays)-1)&amp;" business day(s) late. Send now.",IF($U129="DUE TOMORROW","Next: "&amp;$AC129&amp;IF($AB129&lt;=TODAY()," is due TODAY ("," is due next business day (")&amp;TEXT($AB129,"dd-mmm")&amp;").","Next: "&amp;$AC129&amp;" due "&amp;TEXT($AB129,"dd-mmm")&amp;" ("&amp;(NETWORKDAYS(TODAY(),$AB129,Holidays)-1)&amp;" business day(s) left).")))))</f>
        <v/>
      </c>
      <c r="W129" s="17">
        <f>IF($Z129="","",CHOOSE($Z129,"Collection Email","1st Follow-up","2nd Follow-up","Local Office","CBE","Roxanne")&amp;IF($Z129=6," - Final"," - Day "&amp;MAX(0,NETWORKDAYS($AA129,TODAY(),Holidays)-1)&amp;" of "&amp;CHOOSE($Z129,3,3,2,2,3))&amp;" | Total Day "&amp;MAX(0,NETWORKDAYS($N129,TODAY(),Holidays)-1))</f>
        <v/>
      </c>
      <c r="X129" s="18"/>
      <c r="Y129" s="18"/>
      <c r="Z129" s="17">
        <f>IF($N129="","",COUNT($N129:$S129))</f>
        <v/>
      </c>
      <c r="AA129" s="19">
        <f>IF($Z129="","",INT(INDEX($N129:$S129,$Z129)))</f>
        <v/>
      </c>
      <c r="AB129" s="19">
        <f>IF(OR($Z129="",$Z129=6),"",WORKDAY($AA129,CHOOSE($Z129,3,3,2,2,3),Holidays))</f>
        <v/>
      </c>
      <c r="AC129" s="17">
        <f>IF(OR($Z129="",$Z129=6),"",CHOOSE($Z129,"1st Email Follow-up","2nd Email Follow-up","Escalate Local Office","Escalate to CBE","Escalate to Roxanne"))</f>
        <v/>
      </c>
    </row>
    <row r="130" spans="13:29">
      <c r="M130" s="14"/>
      <c r="T130" s="16"/>
      <c r="U130" s="17">
        <f>IF(AND(COUNTA($A130:$L130)=0,$N130=""),"",IF($T130="Paid","PAID",IF($T130="Closed","CLOSED",IF($Z130="","",IF($Z130=6,"ESCALATED TO ROXANNE",IF(TODAY()&gt;$AB130,"OVERDUE",IF($AB130&lt;=WORKDAY(TODAY(),1,Holidays),"DUE TOMORROW",IF($Z130=4,"ESCALATED TO LOCAL OFFICE",IF($Z130=5,"ESCALATED TO CBE",IF($AA130=TODAY(),"EMAIL SENT","MONITORING"))))))))))</f>
        <v/>
      </c>
      <c r="V130" s="17">
        <f>IF($U130="",IF(AND(COUNTA($A130:$L130)&gt;0,$N130=""),"Awaiting Collection Email time stamp.",""),IF(OR($U130="PAID",$U130="CLOSED"),IF($U130="PAID","Account paid. Action completed.","Account closed. No further action required."),CHOOSE($Z130,"Collection Email","1st Email Follow-up","2nd Email Follow-up","Escalation to Local Office","Escalation to CBE","Escalation to Roxanne")&amp;" sent "&amp;TEXT($AA130,"dd-mmm")&amp;". "&amp;IF($Z130=6,"Final escalation completed.",IF($U130="OVERDUE","Next: "&amp;$AC130&amp;" was due "&amp;TEXT($AB130,"dd-mmm")&amp;" - "&amp;(NETWORKDAYS($AB130,TODAY(),Holidays)-1)&amp;" business day(s) late. Send now.",IF($U130="DUE TOMORROW","Next: "&amp;$AC130&amp;IF($AB130&lt;=TODAY()," is due TODAY ("," is due next business day (")&amp;TEXT($AB130,"dd-mmm")&amp;").","Next: "&amp;$AC130&amp;" due "&amp;TEXT($AB130,"dd-mmm")&amp;" ("&amp;(NETWORKDAYS(TODAY(),$AB130,Holidays)-1)&amp;" business day(s) left).")))))</f>
        <v/>
      </c>
      <c r="W130" s="17">
        <f>IF($Z130="","",CHOOSE($Z130,"Collection Email","1st Follow-up","2nd Follow-up","Local Office","CBE","Roxanne")&amp;IF($Z130=6," - Final"," - Day "&amp;MAX(0,NETWORKDAYS($AA130,TODAY(),Holidays)-1)&amp;" of "&amp;CHOOSE($Z130,3,3,2,2,3))&amp;" | Total Day "&amp;MAX(0,NETWORKDAYS($N130,TODAY(),Holidays)-1))</f>
        <v/>
      </c>
      <c r="X130" s="18"/>
      <c r="Y130" s="18"/>
      <c r="Z130" s="17">
        <f>IF($N130="","",COUNT($N130:$S130))</f>
        <v/>
      </c>
      <c r="AA130" s="19">
        <f>IF($Z130="","",INT(INDEX($N130:$S130,$Z130)))</f>
        <v/>
      </c>
      <c r="AB130" s="19">
        <f>IF(OR($Z130="",$Z130=6),"",WORKDAY($AA130,CHOOSE($Z130,3,3,2,2,3),Holidays))</f>
        <v/>
      </c>
      <c r="AC130" s="17">
        <f>IF(OR($Z130="",$Z130=6),"",CHOOSE($Z130,"1st Email Follow-up","2nd Email Follow-up","Escalate Local Office","Escalate to CBE","Escalate to Roxanne"))</f>
        <v/>
      </c>
    </row>
    <row r="131" spans="13:29">
      <c r="M131" s="14"/>
      <c r="T131" s="16"/>
      <c r="U131" s="17">
        <f>IF(AND(COUNTA($A131:$L131)=0,$N131=""),"",IF($T131="Paid","PAID",IF($T131="Closed","CLOSED",IF($Z131="","",IF($Z131=6,"ESCALATED TO ROXANNE",IF(TODAY()&gt;$AB131,"OVERDUE",IF($AB131&lt;=WORKDAY(TODAY(),1,Holidays),"DUE TOMORROW",IF($Z131=4,"ESCALATED TO LOCAL OFFICE",IF($Z131=5,"ESCALATED TO CBE",IF($AA131=TODAY(),"EMAIL SENT","MONITORING"))))))))))</f>
        <v/>
      </c>
      <c r="V131" s="17">
        <f>IF($U131="",IF(AND(COUNTA($A131:$L131)&gt;0,$N131=""),"Awaiting Collection Email time stamp.",""),IF(OR($U131="PAID",$U131="CLOSED"),IF($U131="PAID","Account paid. Action completed.","Account closed. No further action required."),CHOOSE($Z131,"Collection Email","1st Email Follow-up","2nd Email Follow-up","Escalation to Local Office","Escalation to CBE","Escalation to Roxanne")&amp;" sent "&amp;TEXT($AA131,"dd-mmm")&amp;". "&amp;IF($Z131=6,"Final escalation completed.",IF($U131="OVERDUE","Next: "&amp;$AC131&amp;" was due "&amp;TEXT($AB131,"dd-mmm")&amp;" - "&amp;(NETWORKDAYS($AB131,TODAY(),Holidays)-1)&amp;" business day(s) late. Send now.",IF($U131="DUE TOMORROW","Next: "&amp;$AC131&amp;IF($AB131&lt;=TODAY()," is due TODAY ("," is due next business day (")&amp;TEXT($AB131,"dd-mmm")&amp;").","Next: "&amp;$AC131&amp;" due "&amp;TEXT($AB131,"dd-mmm")&amp;" ("&amp;(NETWORKDAYS(TODAY(),$AB131,Holidays)-1)&amp;" business day(s) left).")))))</f>
        <v/>
      </c>
      <c r="W131" s="17">
        <f>IF($Z131="","",CHOOSE($Z131,"Collection Email","1st Follow-up","2nd Follow-up","Local Office","CBE","Roxanne")&amp;IF($Z131=6," - Final"," - Day "&amp;MAX(0,NETWORKDAYS($AA131,TODAY(),Holidays)-1)&amp;" of "&amp;CHOOSE($Z131,3,3,2,2,3))&amp;" | Total Day "&amp;MAX(0,NETWORKDAYS($N131,TODAY(),Holidays)-1))</f>
        <v/>
      </c>
      <c r="X131" s="18"/>
      <c r="Y131" s="18"/>
      <c r="Z131" s="17">
        <f>IF($N131="","",COUNT($N131:$S131))</f>
        <v/>
      </c>
      <c r="AA131" s="19">
        <f>IF($Z131="","",INT(INDEX($N131:$S131,$Z131)))</f>
        <v/>
      </c>
      <c r="AB131" s="19">
        <f>IF(OR($Z131="",$Z131=6),"",WORKDAY($AA131,CHOOSE($Z131,3,3,2,2,3),Holidays))</f>
        <v/>
      </c>
      <c r="AC131" s="17">
        <f>IF(OR($Z131="",$Z131=6),"",CHOOSE($Z131,"1st Email Follow-up","2nd Email Follow-up","Escalate Local Office","Escalate to CBE","Escalate to Roxanne"))</f>
        <v/>
      </c>
    </row>
    <row r="132" spans="13:29">
      <c r="M132" s="14"/>
      <c r="T132" s="16"/>
      <c r="U132" s="17">
        <f>IF(AND(COUNTA($A132:$L132)=0,$N132=""),"",IF($T132="Paid","PAID",IF($T132="Closed","CLOSED",IF($Z132="","",IF($Z132=6,"ESCALATED TO ROXANNE",IF(TODAY()&gt;$AB132,"OVERDUE",IF($AB132&lt;=WORKDAY(TODAY(),1,Holidays),"DUE TOMORROW",IF($Z132=4,"ESCALATED TO LOCAL OFFICE",IF($Z132=5,"ESCALATED TO CBE",IF($AA132=TODAY(),"EMAIL SENT","MONITORING"))))))))))</f>
        <v/>
      </c>
      <c r="V132" s="17">
        <f>IF($U132="",IF(AND(COUNTA($A132:$L132)&gt;0,$N132=""),"Awaiting Collection Email time stamp.",""),IF(OR($U132="PAID",$U132="CLOSED"),IF($U132="PAID","Account paid. Action completed.","Account closed. No further action required."),CHOOSE($Z132,"Collection Email","1st Email Follow-up","2nd Email Follow-up","Escalation to Local Office","Escalation to CBE","Escalation to Roxanne")&amp;" sent "&amp;TEXT($AA132,"dd-mmm")&amp;". "&amp;IF($Z132=6,"Final escalation completed.",IF($U132="OVERDUE","Next: "&amp;$AC132&amp;" was due "&amp;TEXT($AB132,"dd-mmm")&amp;" - "&amp;(NETWORKDAYS($AB132,TODAY(),Holidays)-1)&amp;" business day(s) late. Send now.",IF($U132="DUE TOMORROW","Next: "&amp;$AC132&amp;IF($AB132&lt;=TODAY()," is due TODAY ("," is due next business day (")&amp;TEXT($AB132,"dd-mmm")&amp;").","Next: "&amp;$AC132&amp;" due "&amp;TEXT($AB132,"dd-mmm")&amp;" ("&amp;(NETWORKDAYS(TODAY(),$AB132,Holidays)-1)&amp;" business day(s) left).")))))</f>
        <v/>
      </c>
      <c r="W132" s="17">
        <f>IF($Z132="","",CHOOSE($Z132,"Collection Email","1st Follow-up","2nd Follow-up","Local Office","CBE","Roxanne")&amp;IF($Z132=6," - Final"," - Day "&amp;MAX(0,NETWORKDAYS($AA132,TODAY(),Holidays)-1)&amp;" of "&amp;CHOOSE($Z132,3,3,2,2,3))&amp;" | Total Day "&amp;MAX(0,NETWORKDAYS($N132,TODAY(),Holidays)-1))</f>
        <v/>
      </c>
      <c r="X132" s="18"/>
      <c r="Y132" s="18"/>
      <c r="Z132" s="17">
        <f>IF($N132="","",COUNT($N132:$S132))</f>
        <v/>
      </c>
      <c r="AA132" s="19">
        <f>IF($Z132="","",INT(INDEX($N132:$S132,$Z132)))</f>
        <v/>
      </c>
      <c r="AB132" s="19">
        <f>IF(OR($Z132="",$Z132=6),"",WORKDAY($AA132,CHOOSE($Z132,3,3,2,2,3),Holidays))</f>
        <v/>
      </c>
      <c r="AC132" s="17">
        <f>IF(OR($Z132="",$Z132=6),"",CHOOSE($Z132,"1st Email Follow-up","2nd Email Follow-up","Escalate Local Office","Escalate to CBE","Escalate to Roxanne"))</f>
        <v/>
      </c>
    </row>
    <row r="133" spans="13:29">
      <c r="M133" s="14"/>
      <c r="T133" s="16"/>
      <c r="U133" s="17">
        <f>IF(AND(COUNTA($A133:$L133)=0,$N133=""),"",IF($T133="Paid","PAID",IF($T133="Closed","CLOSED",IF($Z133="","",IF($Z133=6,"ESCALATED TO ROXANNE",IF(TODAY()&gt;$AB133,"OVERDUE",IF($AB133&lt;=WORKDAY(TODAY(),1,Holidays),"DUE TOMORROW",IF($Z133=4,"ESCALATED TO LOCAL OFFICE",IF($Z133=5,"ESCALATED TO CBE",IF($AA133=TODAY(),"EMAIL SENT","MONITORING"))))))))))</f>
        <v/>
      </c>
      <c r="V133" s="17">
        <f>IF($U133="",IF(AND(COUNTA($A133:$L133)&gt;0,$N133=""),"Awaiting Collection Email time stamp.",""),IF(OR($U133="PAID",$U133="CLOSED"),IF($U133="PAID","Account paid. Action completed.","Account closed. No further action required."),CHOOSE($Z133,"Collection Email","1st Email Follow-up","2nd Email Follow-up","Escalation to Local Office","Escalation to CBE","Escalation to Roxanne")&amp;" sent "&amp;TEXT($AA133,"dd-mmm")&amp;". "&amp;IF($Z133=6,"Final escalation completed.",IF($U133="OVERDUE","Next: "&amp;$AC133&amp;" was due "&amp;TEXT($AB133,"dd-mmm")&amp;" - "&amp;(NETWORKDAYS($AB133,TODAY(),Holidays)-1)&amp;" business day(s) late. Send now.",IF($U133="DUE TOMORROW","Next: "&amp;$AC133&amp;IF($AB133&lt;=TODAY()," is due TODAY ("," is due next business day (")&amp;TEXT($AB133,"dd-mmm")&amp;").","Next: "&amp;$AC133&amp;" due "&amp;TEXT($AB133,"dd-mmm")&amp;" ("&amp;(NETWORKDAYS(TODAY(),$AB133,Holidays)-1)&amp;" business day(s) left).")))))</f>
        <v/>
      </c>
      <c r="W133" s="17">
        <f>IF($Z133="","",CHOOSE($Z133,"Collection Email","1st Follow-up","2nd Follow-up","Local Office","CBE","Roxanne")&amp;IF($Z133=6," - Final"," - Day "&amp;MAX(0,NETWORKDAYS($AA133,TODAY(),Holidays)-1)&amp;" of "&amp;CHOOSE($Z133,3,3,2,2,3))&amp;" | Total Day "&amp;MAX(0,NETWORKDAYS($N133,TODAY(),Holidays)-1))</f>
        <v/>
      </c>
      <c r="X133" s="18"/>
      <c r="Y133" s="18"/>
      <c r="Z133" s="17">
        <f>IF($N133="","",COUNT($N133:$S133))</f>
        <v/>
      </c>
      <c r="AA133" s="19">
        <f>IF($Z133="","",INT(INDEX($N133:$S133,$Z133)))</f>
        <v/>
      </c>
      <c r="AB133" s="19">
        <f>IF(OR($Z133="",$Z133=6),"",WORKDAY($AA133,CHOOSE($Z133,3,3,2,2,3),Holidays))</f>
        <v/>
      </c>
      <c r="AC133" s="17">
        <f>IF(OR($Z133="",$Z133=6),"",CHOOSE($Z133,"1st Email Follow-up","2nd Email Follow-up","Escalate Local Office","Escalate to CBE","Escalate to Roxanne"))</f>
        <v/>
      </c>
    </row>
    <row r="134" spans="13:29">
      <c r="M134" s="14"/>
      <c r="T134" s="16"/>
      <c r="U134" s="17">
        <f>IF(AND(COUNTA($A134:$L134)=0,$N134=""),"",IF($T134="Paid","PAID",IF($T134="Closed","CLOSED",IF($Z134="","",IF($Z134=6,"ESCALATED TO ROXANNE",IF(TODAY()&gt;$AB134,"OVERDUE",IF($AB134&lt;=WORKDAY(TODAY(),1,Holidays),"DUE TOMORROW",IF($Z134=4,"ESCALATED TO LOCAL OFFICE",IF($Z134=5,"ESCALATED TO CBE",IF($AA134=TODAY(),"EMAIL SENT","MONITORING"))))))))))</f>
        <v/>
      </c>
      <c r="V134" s="17">
        <f>IF($U134="",IF(AND(COUNTA($A134:$L134)&gt;0,$N134=""),"Awaiting Collection Email time stamp.",""),IF(OR($U134="PAID",$U134="CLOSED"),IF($U134="PAID","Account paid. Action completed.","Account closed. No further action required."),CHOOSE($Z134,"Collection Email","1st Email Follow-up","2nd Email Follow-up","Escalation to Local Office","Escalation to CBE","Escalation to Roxanne")&amp;" sent "&amp;TEXT($AA134,"dd-mmm")&amp;". "&amp;IF($Z134=6,"Final escalation completed.",IF($U134="OVERDUE","Next: "&amp;$AC134&amp;" was due "&amp;TEXT($AB134,"dd-mmm")&amp;" - "&amp;(NETWORKDAYS($AB134,TODAY(),Holidays)-1)&amp;" business day(s) late. Send now.",IF($U134="DUE TOMORROW","Next: "&amp;$AC134&amp;IF($AB134&lt;=TODAY()," is due TODAY ("," is due next business day (")&amp;TEXT($AB134,"dd-mmm")&amp;").","Next: "&amp;$AC134&amp;" due "&amp;TEXT($AB134,"dd-mmm")&amp;" ("&amp;(NETWORKDAYS(TODAY(),$AB134,Holidays)-1)&amp;" business day(s) left).")))))</f>
        <v/>
      </c>
      <c r="W134" s="17">
        <f>IF($Z134="","",CHOOSE($Z134,"Collection Email","1st Follow-up","2nd Follow-up","Local Office","CBE","Roxanne")&amp;IF($Z134=6," - Final"," - Day "&amp;MAX(0,NETWORKDAYS($AA134,TODAY(),Holidays)-1)&amp;" of "&amp;CHOOSE($Z134,3,3,2,2,3))&amp;" | Total Day "&amp;MAX(0,NETWORKDAYS($N134,TODAY(),Holidays)-1))</f>
        <v/>
      </c>
      <c r="X134" s="18"/>
      <c r="Y134" s="18"/>
      <c r="Z134" s="17">
        <f>IF($N134="","",COUNT($N134:$S134))</f>
        <v/>
      </c>
      <c r="AA134" s="19">
        <f>IF($Z134="","",INT(INDEX($N134:$S134,$Z134)))</f>
        <v/>
      </c>
      <c r="AB134" s="19">
        <f>IF(OR($Z134="",$Z134=6),"",WORKDAY($AA134,CHOOSE($Z134,3,3,2,2,3),Holidays))</f>
        <v/>
      </c>
      <c r="AC134" s="17">
        <f>IF(OR($Z134="",$Z134=6),"",CHOOSE($Z134,"1st Email Follow-up","2nd Email Follow-up","Escalate Local Office","Escalate to CBE","Escalate to Roxanne"))</f>
        <v/>
      </c>
    </row>
    <row r="135" spans="13:29">
      <c r="M135" s="14"/>
      <c r="T135" s="16"/>
      <c r="U135" s="17">
        <f>IF(AND(COUNTA($A135:$L135)=0,$N135=""),"",IF($T135="Paid","PAID",IF($T135="Closed","CLOSED",IF($Z135="","",IF($Z135=6,"ESCALATED TO ROXANNE",IF(TODAY()&gt;$AB135,"OVERDUE",IF($AB135&lt;=WORKDAY(TODAY(),1,Holidays),"DUE TOMORROW",IF($Z135=4,"ESCALATED TO LOCAL OFFICE",IF($Z135=5,"ESCALATED TO CBE",IF($AA135=TODAY(),"EMAIL SENT","MONITORING"))))))))))</f>
        <v/>
      </c>
      <c r="V135" s="17">
        <f>IF($U135="",IF(AND(COUNTA($A135:$L135)&gt;0,$N135=""),"Awaiting Collection Email time stamp.",""),IF(OR($U135="PAID",$U135="CLOSED"),IF($U135="PAID","Account paid. Action completed.","Account closed. No further action required."),CHOOSE($Z135,"Collection Email","1st Email Follow-up","2nd Email Follow-up","Escalation to Local Office","Escalation to CBE","Escalation to Roxanne")&amp;" sent "&amp;TEXT($AA135,"dd-mmm")&amp;". "&amp;IF($Z135=6,"Final escalation completed.",IF($U135="OVERDUE","Next: "&amp;$AC135&amp;" was due "&amp;TEXT($AB135,"dd-mmm")&amp;" - "&amp;(NETWORKDAYS($AB135,TODAY(),Holidays)-1)&amp;" business day(s) late. Send now.",IF($U135="DUE TOMORROW","Next: "&amp;$AC135&amp;IF($AB135&lt;=TODAY()," is due TODAY ("," is due next business day (")&amp;TEXT($AB135,"dd-mmm")&amp;").","Next: "&amp;$AC135&amp;" due "&amp;TEXT($AB135,"dd-mmm")&amp;" ("&amp;(NETWORKDAYS(TODAY(),$AB135,Holidays)-1)&amp;" business day(s) left).")))))</f>
        <v/>
      </c>
      <c r="W135" s="17">
        <f>IF($Z135="","",CHOOSE($Z135,"Collection Email","1st Follow-up","2nd Follow-up","Local Office","CBE","Roxanne")&amp;IF($Z135=6," - Final"," - Day "&amp;MAX(0,NETWORKDAYS($AA135,TODAY(),Holidays)-1)&amp;" of "&amp;CHOOSE($Z135,3,3,2,2,3))&amp;" | Total Day "&amp;MAX(0,NETWORKDAYS($N135,TODAY(),Holidays)-1))</f>
        <v/>
      </c>
      <c r="X135" s="18"/>
      <c r="Y135" s="18"/>
      <c r="Z135" s="17">
        <f>IF($N135="","",COUNT($N135:$S135))</f>
        <v/>
      </c>
      <c r="AA135" s="19">
        <f>IF($Z135="","",INT(INDEX($N135:$S135,$Z135)))</f>
        <v/>
      </c>
      <c r="AB135" s="19">
        <f>IF(OR($Z135="",$Z135=6),"",WORKDAY($AA135,CHOOSE($Z135,3,3,2,2,3),Holidays))</f>
        <v/>
      </c>
      <c r="AC135" s="17">
        <f>IF(OR($Z135="",$Z135=6),"",CHOOSE($Z135,"1st Email Follow-up","2nd Email Follow-up","Escalate Local Office","Escalate to CBE","Escalate to Roxanne"))</f>
        <v/>
      </c>
    </row>
    <row r="136" spans="13:29">
      <c r="M136" s="14"/>
      <c r="T136" s="16"/>
      <c r="U136" s="17">
        <f>IF(AND(COUNTA($A136:$L136)=0,$N136=""),"",IF($T136="Paid","PAID",IF($T136="Closed","CLOSED",IF($Z136="","",IF($Z136=6,"ESCALATED TO ROXANNE",IF(TODAY()&gt;$AB136,"OVERDUE",IF($AB136&lt;=WORKDAY(TODAY(),1,Holidays),"DUE TOMORROW",IF($Z136=4,"ESCALATED TO LOCAL OFFICE",IF($Z136=5,"ESCALATED TO CBE",IF($AA136=TODAY(),"EMAIL SENT","MONITORING"))))))))))</f>
        <v/>
      </c>
      <c r="V136" s="17">
        <f>IF($U136="",IF(AND(COUNTA($A136:$L136)&gt;0,$N136=""),"Awaiting Collection Email time stamp.",""),IF(OR($U136="PAID",$U136="CLOSED"),IF($U136="PAID","Account paid. Action completed.","Account closed. No further action required."),CHOOSE($Z136,"Collection Email","1st Email Follow-up","2nd Email Follow-up","Escalation to Local Office","Escalation to CBE","Escalation to Roxanne")&amp;" sent "&amp;TEXT($AA136,"dd-mmm")&amp;". "&amp;IF($Z136=6,"Final escalation completed.",IF($U136="OVERDUE","Next: "&amp;$AC136&amp;" was due "&amp;TEXT($AB136,"dd-mmm")&amp;" - "&amp;(NETWORKDAYS($AB136,TODAY(),Holidays)-1)&amp;" business day(s) late. Send now.",IF($U136="DUE TOMORROW","Next: "&amp;$AC136&amp;IF($AB136&lt;=TODAY()," is due TODAY ("," is due next business day (")&amp;TEXT($AB136,"dd-mmm")&amp;").","Next: "&amp;$AC136&amp;" due "&amp;TEXT($AB136,"dd-mmm")&amp;" ("&amp;(NETWORKDAYS(TODAY(),$AB136,Holidays)-1)&amp;" business day(s) left).")))))</f>
        <v/>
      </c>
      <c r="W136" s="17">
        <f>IF($Z136="","",CHOOSE($Z136,"Collection Email","1st Follow-up","2nd Follow-up","Local Office","CBE","Roxanne")&amp;IF($Z136=6," - Final"," - Day "&amp;MAX(0,NETWORKDAYS($AA136,TODAY(),Holidays)-1)&amp;" of "&amp;CHOOSE($Z136,3,3,2,2,3))&amp;" | Total Day "&amp;MAX(0,NETWORKDAYS($N136,TODAY(),Holidays)-1))</f>
        <v/>
      </c>
      <c r="X136" s="18"/>
      <c r="Y136" s="18"/>
      <c r="Z136" s="17">
        <f>IF($N136="","",COUNT($N136:$S136))</f>
        <v/>
      </c>
      <c r="AA136" s="19">
        <f>IF($Z136="","",INT(INDEX($N136:$S136,$Z136)))</f>
        <v/>
      </c>
      <c r="AB136" s="19">
        <f>IF(OR($Z136="",$Z136=6),"",WORKDAY($AA136,CHOOSE($Z136,3,3,2,2,3),Holidays))</f>
        <v/>
      </c>
      <c r="AC136" s="17">
        <f>IF(OR($Z136="",$Z136=6),"",CHOOSE($Z136,"1st Email Follow-up","2nd Email Follow-up","Escalate Local Office","Escalate to CBE","Escalate to Roxanne"))</f>
        <v/>
      </c>
    </row>
    <row r="137" spans="13:29">
      <c r="M137" s="14"/>
      <c r="T137" s="16"/>
      <c r="U137" s="17">
        <f>IF(AND(COUNTA($A137:$L137)=0,$N137=""),"",IF($T137="Paid","PAID",IF($T137="Closed","CLOSED",IF($Z137="","",IF($Z137=6,"ESCALATED TO ROXANNE",IF(TODAY()&gt;$AB137,"OVERDUE",IF($AB137&lt;=WORKDAY(TODAY(),1,Holidays),"DUE TOMORROW",IF($Z137=4,"ESCALATED TO LOCAL OFFICE",IF($Z137=5,"ESCALATED TO CBE",IF($AA137=TODAY(),"EMAIL SENT","MONITORING"))))))))))</f>
        <v/>
      </c>
      <c r="V137" s="17">
        <f>IF($U137="",IF(AND(COUNTA($A137:$L137)&gt;0,$N137=""),"Awaiting Collection Email time stamp.",""),IF(OR($U137="PAID",$U137="CLOSED"),IF($U137="PAID","Account paid. Action completed.","Account closed. No further action required."),CHOOSE($Z137,"Collection Email","1st Email Follow-up","2nd Email Follow-up","Escalation to Local Office","Escalation to CBE","Escalation to Roxanne")&amp;" sent "&amp;TEXT($AA137,"dd-mmm")&amp;". "&amp;IF($Z137=6,"Final escalation completed.",IF($U137="OVERDUE","Next: "&amp;$AC137&amp;" was due "&amp;TEXT($AB137,"dd-mmm")&amp;" - "&amp;(NETWORKDAYS($AB137,TODAY(),Holidays)-1)&amp;" business day(s) late. Send now.",IF($U137="DUE TOMORROW","Next: "&amp;$AC137&amp;IF($AB137&lt;=TODAY()," is due TODAY ("," is due next business day (")&amp;TEXT($AB137,"dd-mmm")&amp;").","Next: "&amp;$AC137&amp;" due "&amp;TEXT($AB137,"dd-mmm")&amp;" ("&amp;(NETWORKDAYS(TODAY(),$AB137,Holidays)-1)&amp;" business day(s) left).")))))</f>
        <v/>
      </c>
      <c r="W137" s="17">
        <f>IF($Z137="","",CHOOSE($Z137,"Collection Email","1st Follow-up","2nd Follow-up","Local Office","CBE","Roxanne")&amp;IF($Z137=6," - Final"," - Day "&amp;MAX(0,NETWORKDAYS($AA137,TODAY(),Holidays)-1)&amp;" of "&amp;CHOOSE($Z137,3,3,2,2,3))&amp;" | Total Day "&amp;MAX(0,NETWORKDAYS($N137,TODAY(),Holidays)-1))</f>
        <v/>
      </c>
      <c r="X137" s="18"/>
      <c r="Y137" s="18"/>
      <c r="Z137" s="17">
        <f>IF($N137="","",COUNT($N137:$S137))</f>
        <v/>
      </c>
      <c r="AA137" s="19">
        <f>IF($Z137="","",INT(INDEX($N137:$S137,$Z137)))</f>
        <v/>
      </c>
      <c r="AB137" s="19">
        <f>IF(OR($Z137="",$Z137=6),"",WORKDAY($AA137,CHOOSE($Z137,3,3,2,2,3),Holidays))</f>
        <v/>
      </c>
      <c r="AC137" s="17">
        <f>IF(OR($Z137="",$Z137=6),"",CHOOSE($Z137,"1st Email Follow-up","2nd Email Follow-up","Escalate Local Office","Escalate to CBE","Escalate to Roxanne"))</f>
        <v/>
      </c>
    </row>
    <row r="138" spans="13:29">
      <c r="M138" s="14"/>
      <c r="T138" s="16"/>
      <c r="U138" s="17">
        <f>IF(AND(COUNTA($A138:$L138)=0,$N138=""),"",IF($T138="Paid","PAID",IF($T138="Closed","CLOSED",IF($Z138="","",IF($Z138=6,"ESCALATED TO ROXANNE",IF(TODAY()&gt;$AB138,"OVERDUE",IF($AB138&lt;=WORKDAY(TODAY(),1,Holidays),"DUE TOMORROW",IF($Z138=4,"ESCALATED TO LOCAL OFFICE",IF($Z138=5,"ESCALATED TO CBE",IF($AA138=TODAY(),"EMAIL SENT","MONITORING"))))))))))</f>
        <v/>
      </c>
      <c r="V138" s="17">
        <f>IF($U138="",IF(AND(COUNTA($A138:$L138)&gt;0,$N138=""),"Awaiting Collection Email time stamp.",""),IF(OR($U138="PAID",$U138="CLOSED"),IF($U138="PAID","Account paid. Action completed.","Account closed. No further action required."),CHOOSE($Z138,"Collection Email","1st Email Follow-up","2nd Email Follow-up","Escalation to Local Office","Escalation to CBE","Escalation to Roxanne")&amp;" sent "&amp;TEXT($AA138,"dd-mmm")&amp;". "&amp;IF($Z138=6,"Final escalation completed.",IF($U138="OVERDUE","Next: "&amp;$AC138&amp;" was due "&amp;TEXT($AB138,"dd-mmm")&amp;" - "&amp;(NETWORKDAYS($AB138,TODAY(),Holidays)-1)&amp;" business day(s) late. Send now.",IF($U138="DUE TOMORROW","Next: "&amp;$AC138&amp;IF($AB138&lt;=TODAY()," is due TODAY ("," is due next business day (")&amp;TEXT($AB138,"dd-mmm")&amp;").","Next: "&amp;$AC138&amp;" due "&amp;TEXT($AB138,"dd-mmm")&amp;" ("&amp;(NETWORKDAYS(TODAY(),$AB138,Holidays)-1)&amp;" business day(s) left).")))))</f>
        <v/>
      </c>
      <c r="W138" s="17">
        <f>IF($Z138="","",CHOOSE($Z138,"Collection Email","1st Follow-up","2nd Follow-up","Local Office","CBE","Roxanne")&amp;IF($Z138=6," - Final"," - Day "&amp;MAX(0,NETWORKDAYS($AA138,TODAY(),Holidays)-1)&amp;" of "&amp;CHOOSE($Z138,3,3,2,2,3))&amp;" | Total Day "&amp;MAX(0,NETWORKDAYS($N138,TODAY(),Holidays)-1))</f>
        <v/>
      </c>
      <c r="X138" s="18"/>
      <c r="Y138" s="18"/>
      <c r="Z138" s="17">
        <f>IF($N138="","",COUNT($N138:$S138))</f>
        <v/>
      </c>
      <c r="AA138" s="19">
        <f>IF($Z138="","",INT(INDEX($N138:$S138,$Z138)))</f>
        <v/>
      </c>
      <c r="AB138" s="19">
        <f>IF(OR($Z138="",$Z138=6),"",WORKDAY($AA138,CHOOSE($Z138,3,3,2,2,3),Holidays))</f>
        <v/>
      </c>
      <c r="AC138" s="17">
        <f>IF(OR($Z138="",$Z138=6),"",CHOOSE($Z138,"1st Email Follow-up","2nd Email Follow-up","Escalate Local Office","Escalate to CBE","Escalate to Roxanne"))</f>
        <v/>
      </c>
    </row>
    <row r="139" spans="13:29">
      <c r="M139" s="14"/>
      <c r="T139" s="16"/>
      <c r="U139" s="17">
        <f>IF(AND(COUNTA($A139:$L139)=0,$N139=""),"",IF($T139="Paid","PAID",IF($T139="Closed","CLOSED",IF($Z139="","",IF($Z139=6,"ESCALATED TO ROXANNE",IF(TODAY()&gt;$AB139,"OVERDUE",IF($AB139&lt;=WORKDAY(TODAY(),1,Holidays),"DUE TOMORROW",IF($Z139=4,"ESCALATED TO LOCAL OFFICE",IF($Z139=5,"ESCALATED TO CBE",IF($AA139=TODAY(),"EMAIL SENT","MONITORING"))))))))))</f>
        <v/>
      </c>
      <c r="V139" s="17">
        <f>IF($U139="",IF(AND(COUNTA($A139:$L139)&gt;0,$N139=""),"Awaiting Collection Email time stamp.",""),IF(OR($U139="PAID",$U139="CLOSED"),IF($U139="PAID","Account paid. Action completed.","Account closed. No further action required."),CHOOSE($Z139,"Collection Email","1st Email Follow-up","2nd Email Follow-up","Escalation to Local Office","Escalation to CBE","Escalation to Roxanne")&amp;" sent "&amp;TEXT($AA139,"dd-mmm")&amp;". "&amp;IF($Z139=6,"Final escalation completed.",IF($U139="OVERDUE","Next: "&amp;$AC139&amp;" was due "&amp;TEXT($AB139,"dd-mmm")&amp;" - "&amp;(NETWORKDAYS($AB139,TODAY(),Holidays)-1)&amp;" business day(s) late. Send now.",IF($U139="DUE TOMORROW","Next: "&amp;$AC139&amp;IF($AB139&lt;=TODAY()," is due TODAY ("," is due next business day (")&amp;TEXT($AB139,"dd-mmm")&amp;").","Next: "&amp;$AC139&amp;" due "&amp;TEXT($AB139,"dd-mmm")&amp;" ("&amp;(NETWORKDAYS(TODAY(),$AB139,Holidays)-1)&amp;" business day(s) left).")))))</f>
        <v/>
      </c>
      <c r="W139" s="17">
        <f>IF($Z139="","",CHOOSE($Z139,"Collection Email","1st Follow-up","2nd Follow-up","Local Office","CBE","Roxanne")&amp;IF($Z139=6," - Final"," - Day "&amp;MAX(0,NETWORKDAYS($AA139,TODAY(),Holidays)-1)&amp;" of "&amp;CHOOSE($Z139,3,3,2,2,3))&amp;" | Total Day "&amp;MAX(0,NETWORKDAYS($N139,TODAY(),Holidays)-1))</f>
        <v/>
      </c>
      <c r="X139" s="18"/>
      <c r="Y139" s="18"/>
      <c r="Z139" s="17">
        <f>IF($N139="","",COUNT($N139:$S139))</f>
        <v/>
      </c>
      <c r="AA139" s="19">
        <f>IF($Z139="","",INT(INDEX($N139:$S139,$Z139)))</f>
        <v/>
      </c>
      <c r="AB139" s="19">
        <f>IF(OR($Z139="",$Z139=6),"",WORKDAY($AA139,CHOOSE($Z139,3,3,2,2,3),Holidays))</f>
        <v/>
      </c>
      <c r="AC139" s="17">
        <f>IF(OR($Z139="",$Z139=6),"",CHOOSE($Z139,"1st Email Follow-up","2nd Email Follow-up","Escalate Local Office","Escalate to CBE","Escalate to Roxanne"))</f>
        <v/>
      </c>
    </row>
    <row r="140" spans="13:29">
      <c r="M140" s="14"/>
      <c r="T140" s="16"/>
      <c r="U140" s="17">
        <f>IF(AND(COUNTA($A140:$L140)=0,$N140=""),"",IF($T140="Paid","PAID",IF($T140="Closed","CLOSED",IF($Z140="","",IF($Z140=6,"ESCALATED TO ROXANNE",IF(TODAY()&gt;$AB140,"OVERDUE",IF($AB140&lt;=WORKDAY(TODAY(),1,Holidays),"DUE TOMORROW",IF($Z140=4,"ESCALATED TO LOCAL OFFICE",IF($Z140=5,"ESCALATED TO CBE",IF($AA140=TODAY(),"EMAIL SENT","MONITORING"))))))))))</f>
        <v/>
      </c>
      <c r="V140" s="17">
        <f>IF($U140="",IF(AND(COUNTA($A140:$L140)&gt;0,$N140=""),"Awaiting Collection Email time stamp.",""),IF(OR($U140="PAID",$U140="CLOSED"),IF($U140="PAID","Account paid. Action completed.","Account closed. No further action required."),CHOOSE($Z140,"Collection Email","1st Email Follow-up","2nd Email Follow-up","Escalation to Local Office","Escalation to CBE","Escalation to Roxanne")&amp;" sent "&amp;TEXT($AA140,"dd-mmm")&amp;". "&amp;IF($Z140=6,"Final escalation completed.",IF($U140="OVERDUE","Next: "&amp;$AC140&amp;" was due "&amp;TEXT($AB140,"dd-mmm")&amp;" - "&amp;(NETWORKDAYS($AB140,TODAY(),Holidays)-1)&amp;" business day(s) late. Send now.",IF($U140="DUE TOMORROW","Next: "&amp;$AC140&amp;IF($AB140&lt;=TODAY()," is due TODAY ("," is due next business day (")&amp;TEXT($AB140,"dd-mmm")&amp;").","Next: "&amp;$AC140&amp;" due "&amp;TEXT($AB140,"dd-mmm")&amp;" ("&amp;(NETWORKDAYS(TODAY(),$AB140,Holidays)-1)&amp;" business day(s) left).")))))</f>
        <v/>
      </c>
      <c r="W140" s="17">
        <f>IF($Z140="","",CHOOSE($Z140,"Collection Email","1st Follow-up","2nd Follow-up","Local Office","CBE","Roxanne")&amp;IF($Z140=6," - Final"," - Day "&amp;MAX(0,NETWORKDAYS($AA140,TODAY(),Holidays)-1)&amp;" of "&amp;CHOOSE($Z140,3,3,2,2,3))&amp;" | Total Day "&amp;MAX(0,NETWORKDAYS($N140,TODAY(),Holidays)-1))</f>
        <v/>
      </c>
      <c r="X140" s="18"/>
      <c r="Y140" s="18"/>
      <c r="Z140" s="17">
        <f>IF($N140="","",COUNT($N140:$S140))</f>
        <v/>
      </c>
      <c r="AA140" s="19">
        <f>IF($Z140="","",INT(INDEX($N140:$S140,$Z140)))</f>
        <v/>
      </c>
      <c r="AB140" s="19">
        <f>IF(OR($Z140="",$Z140=6),"",WORKDAY($AA140,CHOOSE($Z140,3,3,2,2,3),Holidays))</f>
        <v/>
      </c>
      <c r="AC140" s="17">
        <f>IF(OR($Z140="",$Z140=6),"",CHOOSE($Z140,"1st Email Follow-up","2nd Email Follow-up","Escalate Local Office","Escalate to CBE","Escalate to Roxanne"))</f>
        <v/>
      </c>
    </row>
    <row r="141" spans="13:29">
      <c r="M141" s="14"/>
      <c r="T141" s="16"/>
      <c r="U141" s="17">
        <f>IF(AND(COUNTA($A141:$L141)=0,$N141=""),"",IF($T141="Paid","PAID",IF($T141="Closed","CLOSED",IF($Z141="","",IF($Z141=6,"ESCALATED TO ROXANNE",IF(TODAY()&gt;$AB141,"OVERDUE",IF($AB141&lt;=WORKDAY(TODAY(),1,Holidays),"DUE TOMORROW",IF($Z141=4,"ESCALATED TO LOCAL OFFICE",IF($Z141=5,"ESCALATED TO CBE",IF($AA141=TODAY(),"EMAIL SENT","MONITORING"))))))))))</f>
        <v/>
      </c>
      <c r="V141" s="17">
        <f>IF($U141="",IF(AND(COUNTA($A141:$L141)&gt;0,$N141=""),"Awaiting Collection Email time stamp.",""),IF(OR($U141="PAID",$U141="CLOSED"),IF($U141="PAID","Account paid. Action completed.","Account closed. No further action required."),CHOOSE($Z141,"Collection Email","1st Email Follow-up","2nd Email Follow-up","Escalation to Local Office","Escalation to CBE","Escalation to Roxanne")&amp;" sent "&amp;TEXT($AA141,"dd-mmm")&amp;". "&amp;IF($Z141=6,"Final escalation completed.",IF($U141="OVERDUE","Next: "&amp;$AC141&amp;" was due "&amp;TEXT($AB141,"dd-mmm")&amp;" - "&amp;(NETWORKDAYS($AB141,TODAY(),Holidays)-1)&amp;" business day(s) late. Send now.",IF($U141="DUE TOMORROW","Next: "&amp;$AC141&amp;IF($AB141&lt;=TODAY()," is due TODAY ("," is due next business day (")&amp;TEXT($AB141,"dd-mmm")&amp;").","Next: "&amp;$AC141&amp;" due "&amp;TEXT($AB141,"dd-mmm")&amp;" ("&amp;(NETWORKDAYS(TODAY(),$AB141,Holidays)-1)&amp;" business day(s) left).")))))</f>
        <v/>
      </c>
      <c r="W141" s="17">
        <f>IF($Z141="","",CHOOSE($Z141,"Collection Email","1st Follow-up","2nd Follow-up","Local Office","CBE","Roxanne")&amp;IF($Z141=6," - Final"," - Day "&amp;MAX(0,NETWORKDAYS($AA141,TODAY(),Holidays)-1)&amp;" of "&amp;CHOOSE($Z141,3,3,2,2,3))&amp;" | Total Day "&amp;MAX(0,NETWORKDAYS($N141,TODAY(),Holidays)-1))</f>
        <v/>
      </c>
      <c r="X141" s="18"/>
      <c r="Y141" s="18"/>
      <c r="Z141" s="17">
        <f>IF($N141="","",COUNT($N141:$S141))</f>
        <v/>
      </c>
      <c r="AA141" s="19">
        <f>IF($Z141="","",INT(INDEX($N141:$S141,$Z141)))</f>
        <v/>
      </c>
      <c r="AB141" s="19">
        <f>IF(OR($Z141="",$Z141=6),"",WORKDAY($AA141,CHOOSE($Z141,3,3,2,2,3),Holidays))</f>
        <v/>
      </c>
      <c r="AC141" s="17">
        <f>IF(OR($Z141="",$Z141=6),"",CHOOSE($Z141,"1st Email Follow-up","2nd Email Follow-up","Escalate Local Office","Escalate to CBE","Escalate to Roxanne"))</f>
        <v/>
      </c>
    </row>
    <row r="142" spans="13:29">
      <c r="M142" s="14"/>
      <c r="T142" s="16"/>
      <c r="U142" s="17">
        <f>IF(AND(COUNTA($A142:$L142)=0,$N142=""),"",IF($T142="Paid","PAID",IF($T142="Closed","CLOSED",IF($Z142="","",IF($Z142=6,"ESCALATED TO ROXANNE",IF(TODAY()&gt;$AB142,"OVERDUE",IF($AB142&lt;=WORKDAY(TODAY(),1,Holidays),"DUE TOMORROW",IF($Z142=4,"ESCALATED TO LOCAL OFFICE",IF($Z142=5,"ESCALATED TO CBE",IF($AA142=TODAY(),"EMAIL SENT","MONITORING"))))))))))</f>
        <v/>
      </c>
      <c r="V142" s="17">
        <f>IF($U142="",IF(AND(COUNTA($A142:$L142)&gt;0,$N142=""),"Awaiting Collection Email time stamp.",""),IF(OR($U142="PAID",$U142="CLOSED"),IF($U142="PAID","Account paid. Action completed.","Account closed. No further action required."),CHOOSE($Z142,"Collection Email","1st Email Follow-up","2nd Email Follow-up","Escalation to Local Office","Escalation to CBE","Escalation to Roxanne")&amp;" sent "&amp;TEXT($AA142,"dd-mmm")&amp;". "&amp;IF($Z142=6,"Final escalation completed.",IF($U142="OVERDUE","Next: "&amp;$AC142&amp;" was due "&amp;TEXT($AB142,"dd-mmm")&amp;" - "&amp;(NETWORKDAYS($AB142,TODAY(),Holidays)-1)&amp;" business day(s) late. Send now.",IF($U142="DUE TOMORROW","Next: "&amp;$AC142&amp;IF($AB142&lt;=TODAY()," is due TODAY ("," is due next business day (")&amp;TEXT($AB142,"dd-mmm")&amp;").","Next: "&amp;$AC142&amp;" due "&amp;TEXT($AB142,"dd-mmm")&amp;" ("&amp;(NETWORKDAYS(TODAY(),$AB142,Holidays)-1)&amp;" business day(s) left).")))))</f>
        <v/>
      </c>
      <c r="W142" s="17">
        <f>IF($Z142="","",CHOOSE($Z142,"Collection Email","1st Follow-up","2nd Follow-up","Local Office","CBE","Roxanne")&amp;IF($Z142=6," - Final"," - Day "&amp;MAX(0,NETWORKDAYS($AA142,TODAY(),Holidays)-1)&amp;" of "&amp;CHOOSE($Z142,3,3,2,2,3))&amp;" | Total Day "&amp;MAX(0,NETWORKDAYS($N142,TODAY(),Holidays)-1))</f>
        <v/>
      </c>
      <c r="X142" s="18"/>
      <c r="Y142" s="18"/>
      <c r="Z142" s="17">
        <f>IF($N142="","",COUNT($N142:$S142))</f>
        <v/>
      </c>
      <c r="AA142" s="19">
        <f>IF($Z142="","",INT(INDEX($N142:$S142,$Z142)))</f>
        <v/>
      </c>
      <c r="AB142" s="19">
        <f>IF(OR($Z142="",$Z142=6),"",WORKDAY($AA142,CHOOSE($Z142,3,3,2,2,3),Holidays))</f>
        <v/>
      </c>
      <c r="AC142" s="17">
        <f>IF(OR($Z142="",$Z142=6),"",CHOOSE($Z142,"1st Email Follow-up","2nd Email Follow-up","Escalate Local Office","Escalate to CBE","Escalate to Roxanne"))</f>
        <v/>
      </c>
    </row>
    <row r="143" spans="13:29">
      <c r="M143" s="14"/>
      <c r="T143" s="16"/>
      <c r="U143" s="17">
        <f>IF(AND(COUNTA($A143:$L143)=0,$N143=""),"",IF($T143="Paid","PAID",IF($T143="Closed","CLOSED",IF($Z143="","",IF($Z143=6,"ESCALATED TO ROXANNE",IF(TODAY()&gt;$AB143,"OVERDUE",IF($AB143&lt;=WORKDAY(TODAY(),1,Holidays),"DUE TOMORROW",IF($Z143=4,"ESCALATED TO LOCAL OFFICE",IF($Z143=5,"ESCALATED TO CBE",IF($AA143=TODAY(),"EMAIL SENT","MONITORING"))))))))))</f>
        <v/>
      </c>
      <c r="V143" s="17">
        <f>IF($U143="",IF(AND(COUNTA($A143:$L143)&gt;0,$N143=""),"Awaiting Collection Email time stamp.",""),IF(OR($U143="PAID",$U143="CLOSED"),IF($U143="PAID","Account paid. Action completed.","Account closed. No further action required."),CHOOSE($Z143,"Collection Email","1st Email Follow-up","2nd Email Follow-up","Escalation to Local Office","Escalation to CBE","Escalation to Roxanne")&amp;" sent "&amp;TEXT($AA143,"dd-mmm")&amp;". "&amp;IF($Z143=6,"Final escalation completed.",IF($U143="OVERDUE","Next: "&amp;$AC143&amp;" was due "&amp;TEXT($AB143,"dd-mmm")&amp;" - "&amp;(NETWORKDAYS($AB143,TODAY(),Holidays)-1)&amp;" business day(s) late. Send now.",IF($U143="DUE TOMORROW","Next: "&amp;$AC143&amp;IF($AB143&lt;=TODAY()," is due TODAY ("," is due next business day (")&amp;TEXT($AB143,"dd-mmm")&amp;").","Next: "&amp;$AC143&amp;" due "&amp;TEXT($AB143,"dd-mmm")&amp;" ("&amp;(NETWORKDAYS(TODAY(),$AB143,Holidays)-1)&amp;" business day(s) left).")))))</f>
        <v/>
      </c>
      <c r="W143" s="17">
        <f>IF($Z143="","",CHOOSE($Z143,"Collection Email","1st Follow-up","2nd Follow-up","Local Office","CBE","Roxanne")&amp;IF($Z143=6," - Final"," - Day "&amp;MAX(0,NETWORKDAYS($AA143,TODAY(),Holidays)-1)&amp;" of "&amp;CHOOSE($Z143,3,3,2,2,3))&amp;" | Total Day "&amp;MAX(0,NETWORKDAYS($N143,TODAY(),Holidays)-1))</f>
        <v/>
      </c>
      <c r="X143" s="18"/>
      <c r="Y143" s="18"/>
      <c r="Z143" s="17">
        <f>IF($N143="","",COUNT($N143:$S143))</f>
        <v/>
      </c>
      <c r="AA143" s="19">
        <f>IF($Z143="","",INT(INDEX($N143:$S143,$Z143)))</f>
        <v/>
      </c>
      <c r="AB143" s="19">
        <f>IF(OR($Z143="",$Z143=6),"",WORKDAY($AA143,CHOOSE($Z143,3,3,2,2,3),Holidays))</f>
        <v/>
      </c>
      <c r="AC143" s="17">
        <f>IF(OR($Z143="",$Z143=6),"",CHOOSE($Z143,"1st Email Follow-up","2nd Email Follow-up","Escalate Local Office","Escalate to CBE","Escalate to Roxanne"))</f>
        <v/>
      </c>
    </row>
    <row r="144" spans="13:29">
      <c r="M144" s="14"/>
      <c r="T144" s="16"/>
      <c r="U144" s="17">
        <f>IF(AND(COUNTA($A144:$L144)=0,$N144=""),"",IF($T144="Paid","PAID",IF($T144="Closed","CLOSED",IF($Z144="","",IF($Z144=6,"ESCALATED TO ROXANNE",IF(TODAY()&gt;$AB144,"OVERDUE",IF($AB144&lt;=WORKDAY(TODAY(),1,Holidays),"DUE TOMORROW",IF($Z144=4,"ESCALATED TO LOCAL OFFICE",IF($Z144=5,"ESCALATED TO CBE",IF($AA144=TODAY(),"EMAIL SENT","MONITORING"))))))))))</f>
        <v/>
      </c>
      <c r="V144" s="17">
        <f>IF($U144="",IF(AND(COUNTA($A144:$L144)&gt;0,$N144=""),"Awaiting Collection Email time stamp.",""),IF(OR($U144="PAID",$U144="CLOSED"),IF($U144="PAID","Account paid. Action completed.","Account closed. No further action required."),CHOOSE($Z144,"Collection Email","1st Email Follow-up","2nd Email Follow-up","Escalation to Local Office","Escalation to CBE","Escalation to Roxanne")&amp;" sent "&amp;TEXT($AA144,"dd-mmm")&amp;". "&amp;IF($Z144=6,"Final escalation completed.",IF($U144="OVERDUE","Next: "&amp;$AC144&amp;" was due "&amp;TEXT($AB144,"dd-mmm")&amp;" - "&amp;(NETWORKDAYS($AB144,TODAY(),Holidays)-1)&amp;" business day(s) late. Send now.",IF($U144="DUE TOMORROW","Next: "&amp;$AC144&amp;IF($AB144&lt;=TODAY()," is due TODAY ("," is due next business day (")&amp;TEXT($AB144,"dd-mmm")&amp;").","Next: "&amp;$AC144&amp;" due "&amp;TEXT($AB144,"dd-mmm")&amp;" ("&amp;(NETWORKDAYS(TODAY(),$AB144,Holidays)-1)&amp;" business day(s) left).")))))</f>
        <v/>
      </c>
      <c r="W144" s="17">
        <f>IF($Z144="","",CHOOSE($Z144,"Collection Email","1st Follow-up","2nd Follow-up","Local Office","CBE","Roxanne")&amp;IF($Z144=6," - Final"," - Day "&amp;MAX(0,NETWORKDAYS($AA144,TODAY(),Holidays)-1)&amp;" of "&amp;CHOOSE($Z144,3,3,2,2,3))&amp;" | Total Day "&amp;MAX(0,NETWORKDAYS($N144,TODAY(),Holidays)-1))</f>
        <v/>
      </c>
      <c r="X144" s="18"/>
      <c r="Y144" s="18"/>
      <c r="Z144" s="17">
        <f>IF($N144="","",COUNT($N144:$S144))</f>
        <v/>
      </c>
      <c r="AA144" s="19">
        <f>IF($Z144="","",INT(INDEX($N144:$S144,$Z144)))</f>
        <v/>
      </c>
      <c r="AB144" s="19">
        <f>IF(OR($Z144="",$Z144=6),"",WORKDAY($AA144,CHOOSE($Z144,3,3,2,2,3),Holidays))</f>
        <v/>
      </c>
      <c r="AC144" s="17">
        <f>IF(OR($Z144="",$Z144=6),"",CHOOSE($Z144,"1st Email Follow-up","2nd Email Follow-up","Escalate Local Office","Escalate to CBE","Escalate to Roxanne"))</f>
        <v/>
      </c>
    </row>
    <row r="145" spans="13:29">
      <c r="M145" s="14"/>
      <c r="T145" s="16"/>
      <c r="U145" s="17">
        <f>IF(AND(COUNTA($A145:$L145)=0,$N145=""),"",IF($T145="Paid","PAID",IF($T145="Closed","CLOSED",IF($Z145="","",IF($Z145=6,"ESCALATED TO ROXANNE",IF(TODAY()&gt;$AB145,"OVERDUE",IF($AB145&lt;=WORKDAY(TODAY(),1,Holidays),"DUE TOMORROW",IF($Z145=4,"ESCALATED TO LOCAL OFFICE",IF($Z145=5,"ESCALATED TO CBE",IF($AA145=TODAY(),"EMAIL SENT","MONITORING"))))))))))</f>
        <v/>
      </c>
      <c r="V145" s="17">
        <f>IF($U145="",IF(AND(COUNTA($A145:$L145)&gt;0,$N145=""),"Awaiting Collection Email time stamp.",""),IF(OR($U145="PAID",$U145="CLOSED"),IF($U145="PAID","Account paid. Action completed.","Account closed. No further action required."),CHOOSE($Z145,"Collection Email","1st Email Follow-up","2nd Email Follow-up","Escalation to Local Office","Escalation to CBE","Escalation to Roxanne")&amp;" sent "&amp;TEXT($AA145,"dd-mmm")&amp;". "&amp;IF($Z145=6,"Final escalation completed.",IF($U145="OVERDUE","Next: "&amp;$AC145&amp;" was due "&amp;TEXT($AB145,"dd-mmm")&amp;" - "&amp;(NETWORKDAYS($AB145,TODAY(),Holidays)-1)&amp;" business day(s) late. Send now.",IF($U145="DUE TOMORROW","Next: "&amp;$AC145&amp;IF($AB145&lt;=TODAY()," is due TODAY ("," is due next business day (")&amp;TEXT($AB145,"dd-mmm")&amp;").","Next: "&amp;$AC145&amp;" due "&amp;TEXT($AB145,"dd-mmm")&amp;" ("&amp;(NETWORKDAYS(TODAY(),$AB145,Holidays)-1)&amp;" business day(s) left).")))))</f>
        <v/>
      </c>
      <c r="W145" s="17">
        <f>IF($Z145="","",CHOOSE($Z145,"Collection Email","1st Follow-up","2nd Follow-up","Local Office","CBE","Roxanne")&amp;IF($Z145=6," - Final"," - Day "&amp;MAX(0,NETWORKDAYS($AA145,TODAY(),Holidays)-1)&amp;" of "&amp;CHOOSE($Z145,3,3,2,2,3))&amp;" | Total Day "&amp;MAX(0,NETWORKDAYS($N145,TODAY(),Holidays)-1))</f>
        <v/>
      </c>
      <c r="X145" s="18"/>
      <c r="Y145" s="18"/>
      <c r="Z145" s="17">
        <f>IF($N145="","",COUNT($N145:$S145))</f>
        <v/>
      </c>
      <c r="AA145" s="19">
        <f>IF($Z145="","",INT(INDEX($N145:$S145,$Z145)))</f>
        <v/>
      </c>
      <c r="AB145" s="19">
        <f>IF(OR($Z145="",$Z145=6),"",WORKDAY($AA145,CHOOSE($Z145,3,3,2,2,3),Holidays))</f>
        <v/>
      </c>
      <c r="AC145" s="17">
        <f>IF(OR($Z145="",$Z145=6),"",CHOOSE($Z145,"1st Email Follow-up","2nd Email Follow-up","Escalate Local Office","Escalate to CBE","Escalate to Roxanne"))</f>
        <v/>
      </c>
    </row>
    <row r="146" spans="13:29">
      <c r="M146" s="14"/>
      <c r="T146" s="16"/>
      <c r="U146" s="17">
        <f>IF(AND(COUNTA($A146:$L146)=0,$N146=""),"",IF($T146="Paid","PAID",IF($T146="Closed","CLOSED",IF($Z146="","",IF($Z146=6,"ESCALATED TO ROXANNE",IF(TODAY()&gt;$AB146,"OVERDUE",IF($AB146&lt;=WORKDAY(TODAY(),1,Holidays),"DUE TOMORROW",IF($Z146=4,"ESCALATED TO LOCAL OFFICE",IF($Z146=5,"ESCALATED TO CBE",IF($AA146=TODAY(),"EMAIL SENT","MONITORING"))))))))))</f>
        <v/>
      </c>
      <c r="V146" s="17">
        <f>IF($U146="",IF(AND(COUNTA($A146:$L146)&gt;0,$N146=""),"Awaiting Collection Email time stamp.",""),IF(OR($U146="PAID",$U146="CLOSED"),IF($U146="PAID","Account paid. Action completed.","Account closed. No further action required."),CHOOSE($Z146,"Collection Email","1st Email Follow-up","2nd Email Follow-up","Escalation to Local Office","Escalation to CBE","Escalation to Roxanne")&amp;" sent "&amp;TEXT($AA146,"dd-mmm")&amp;". "&amp;IF($Z146=6,"Final escalation completed.",IF($U146="OVERDUE","Next: "&amp;$AC146&amp;" was due "&amp;TEXT($AB146,"dd-mmm")&amp;" - "&amp;(NETWORKDAYS($AB146,TODAY(),Holidays)-1)&amp;" business day(s) late. Send now.",IF($U146="DUE TOMORROW","Next: "&amp;$AC146&amp;IF($AB146&lt;=TODAY()," is due TODAY ("," is due next business day (")&amp;TEXT($AB146,"dd-mmm")&amp;").","Next: "&amp;$AC146&amp;" due "&amp;TEXT($AB146,"dd-mmm")&amp;" ("&amp;(NETWORKDAYS(TODAY(),$AB146,Holidays)-1)&amp;" business day(s) left).")))))</f>
        <v/>
      </c>
      <c r="W146" s="17">
        <f>IF($Z146="","",CHOOSE($Z146,"Collection Email","1st Follow-up","2nd Follow-up","Local Office","CBE","Roxanne")&amp;IF($Z146=6," - Final"," - Day "&amp;MAX(0,NETWORKDAYS($AA146,TODAY(),Holidays)-1)&amp;" of "&amp;CHOOSE($Z146,3,3,2,2,3))&amp;" | Total Day "&amp;MAX(0,NETWORKDAYS($N146,TODAY(),Holidays)-1))</f>
        <v/>
      </c>
      <c r="X146" s="18"/>
      <c r="Y146" s="18"/>
      <c r="Z146" s="17">
        <f>IF($N146="","",COUNT($N146:$S146))</f>
        <v/>
      </c>
      <c r="AA146" s="19">
        <f>IF($Z146="","",INT(INDEX($N146:$S146,$Z146)))</f>
        <v/>
      </c>
      <c r="AB146" s="19">
        <f>IF(OR($Z146="",$Z146=6),"",WORKDAY($AA146,CHOOSE($Z146,3,3,2,2,3),Holidays))</f>
        <v/>
      </c>
      <c r="AC146" s="17">
        <f>IF(OR($Z146="",$Z146=6),"",CHOOSE($Z146,"1st Email Follow-up","2nd Email Follow-up","Escalate Local Office","Escalate to CBE","Escalate to Roxanne"))</f>
        <v/>
      </c>
    </row>
    <row r="147" spans="13:29">
      <c r="M147" s="14"/>
      <c r="T147" s="16"/>
      <c r="U147" s="17">
        <f>IF(AND(COUNTA($A147:$L147)=0,$N147=""),"",IF($T147="Paid","PAID",IF($T147="Closed","CLOSED",IF($Z147="","",IF($Z147=6,"ESCALATED TO ROXANNE",IF(TODAY()&gt;$AB147,"OVERDUE",IF($AB147&lt;=WORKDAY(TODAY(),1,Holidays),"DUE TOMORROW",IF($Z147=4,"ESCALATED TO LOCAL OFFICE",IF($Z147=5,"ESCALATED TO CBE",IF($AA147=TODAY(),"EMAIL SENT","MONITORING"))))))))))</f>
        <v/>
      </c>
      <c r="V147" s="17">
        <f>IF($U147="",IF(AND(COUNTA($A147:$L147)&gt;0,$N147=""),"Awaiting Collection Email time stamp.",""),IF(OR($U147="PAID",$U147="CLOSED"),IF($U147="PAID","Account paid. Action completed.","Account closed. No further action required."),CHOOSE($Z147,"Collection Email","1st Email Follow-up","2nd Email Follow-up","Escalation to Local Office","Escalation to CBE","Escalation to Roxanne")&amp;" sent "&amp;TEXT($AA147,"dd-mmm")&amp;". "&amp;IF($Z147=6,"Final escalation completed.",IF($U147="OVERDUE","Next: "&amp;$AC147&amp;" was due "&amp;TEXT($AB147,"dd-mmm")&amp;" - "&amp;(NETWORKDAYS($AB147,TODAY(),Holidays)-1)&amp;" business day(s) late. Send now.",IF($U147="DUE TOMORROW","Next: "&amp;$AC147&amp;IF($AB147&lt;=TODAY()," is due TODAY ("," is due next business day (")&amp;TEXT($AB147,"dd-mmm")&amp;").","Next: "&amp;$AC147&amp;" due "&amp;TEXT($AB147,"dd-mmm")&amp;" ("&amp;(NETWORKDAYS(TODAY(),$AB147,Holidays)-1)&amp;" business day(s) left).")))))</f>
        <v/>
      </c>
      <c r="W147" s="17">
        <f>IF($Z147="","",CHOOSE($Z147,"Collection Email","1st Follow-up","2nd Follow-up","Local Office","CBE","Roxanne")&amp;IF($Z147=6," - Final"," - Day "&amp;MAX(0,NETWORKDAYS($AA147,TODAY(),Holidays)-1)&amp;" of "&amp;CHOOSE($Z147,3,3,2,2,3))&amp;" | Total Day "&amp;MAX(0,NETWORKDAYS($N147,TODAY(),Holidays)-1))</f>
        <v/>
      </c>
      <c r="X147" s="18"/>
      <c r="Y147" s="18"/>
      <c r="Z147" s="17">
        <f>IF($N147="","",COUNT($N147:$S147))</f>
        <v/>
      </c>
      <c r="AA147" s="19">
        <f>IF($Z147="","",INT(INDEX($N147:$S147,$Z147)))</f>
        <v/>
      </c>
      <c r="AB147" s="19">
        <f>IF(OR($Z147="",$Z147=6),"",WORKDAY($AA147,CHOOSE($Z147,3,3,2,2,3),Holidays))</f>
        <v/>
      </c>
      <c r="AC147" s="17">
        <f>IF(OR($Z147="",$Z147=6),"",CHOOSE($Z147,"1st Email Follow-up","2nd Email Follow-up","Escalate Local Office","Escalate to CBE","Escalate to Roxanne"))</f>
        <v/>
      </c>
    </row>
    <row r="148" spans="13:29">
      <c r="M148" s="14"/>
      <c r="T148" s="16"/>
      <c r="U148" s="17">
        <f>IF(AND(COUNTA($A148:$L148)=0,$N148=""),"",IF($T148="Paid","PAID",IF($T148="Closed","CLOSED",IF($Z148="","",IF($Z148=6,"ESCALATED TO ROXANNE",IF(TODAY()&gt;$AB148,"OVERDUE",IF($AB148&lt;=WORKDAY(TODAY(),1,Holidays),"DUE TOMORROW",IF($Z148=4,"ESCALATED TO LOCAL OFFICE",IF($Z148=5,"ESCALATED TO CBE",IF($AA148=TODAY(),"EMAIL SENT","MONITORING"))))))))))</f>
        <v/>
      </c>
      <c r="V148" s="17">
        <f>IF($U148="",IF(AND(COUNTA($A148:$L148)&gt;0,$N148=""),"Awaiting Collection Email time stamp.",""),IF(OR($U148="PAID",$U148="CLOSED"),IF($U148="PAID","Account paid. Action completed.","Account closed. No further action required."),CHOOSE($Z148,"Collection Email","1st Email Follow-up","2nd Email Follow-up","Escalation to Local Office","Escalation to CBE","Escalation to Roxanne")&amp;" sent "&amp;TEXT($AA148,"dd-mmm")&amp;". "&amp;IF($Z148=6,"Final escalation completed.",IF($U148="OVERDUE","Next: "&amp;$AC148&amp;" was due "&amp;TEXT($AB148,"dd-mmm")&amp;" - "&amp;(NETWORKDAYS($AB148,TODAY(),Holidays)-1)&amp;" business day(s) late. Send now.",IF($U148="DUE TOMORROW","Next: "&amp;$AC148&amp;IF($AB148&lt;=TODAY()," is due TODAY ("," is due next business day (")&amp;TEXT($AB148,"dd-mmm")&amp;").","Next: "&amp;$AC148&amp;" due "&amp;TEXT($AB148,"dd-mmm")&amp;" ("&amp;(NETWORKDAYS(TODAY(),$AB148,Holidays)-1)&amp;" business day(s) left).")))))</f>
        <v/>
      </c>
      <c r="W148" s="17">
        <f>IF($Z148="","",CHOOSE($Z148,"Collection Email","1st Follow-up","2nd Follow-up","Local Office","CBE","Roxanne")&amp;IF($Z148=6," - Final"," - Day "&amp;MAX(0,NETWORKDAYS($AA148,TODAY(),Holidays)-1)&amp;" of "&amp;CHOOSE($Z148,3,3,2,2,3))&amp;" | Total Day "&amp;MAX(0,NETWORKDAYS($N148,TODAY(),Holidays)-1))</f>
        <v/>
      </c>
      <c r="X148" s="18"/>
      <c r="Y148" s="18"/>
      <c r="Z148" s="17">
        <f>IF($N148="","",COUNT($N148:$S148))</f>
        <v/>
      </c>
      <c r="AA148" s="19">
        <f>IF($Z148="","",INT(INDEX($N148:$S148,$Z148)))</f>
        <v/>
      </c>
      <c r="AB148" s="19">
        <f>IF(OR($Z148="",$Z148=6),"",WORKDAY($AA148,CHOOSE($Z148,3,3,2,2,3),Holidays))</f>
        <v/>
      </c>
      <c r="AC148" s="17">
        <f>IF(OR($Z148="",$Z148=6),"",CHOOSE($Z148,"1st Email Follow-up","2nd Email Follow-up","Escalate Local Office","Escalate to CBE","Escalate to Roxanne"))</f>
        <v/>
      </c>
    </row>
    <row r="149" spans="13:29">
      <c r="M149" s="14"/>
      <c r="T149" s="16"/>
      <c r="U149" s="17">
        <f>IF(AND(COUNTA($A149:$L149)=0,$N149=""),"",IF($T149="Paid","PAID",IF($T149="Closed","CLOSED",IF($Z149="","",IF($Z149=6,"ESCALATED TO ROXANNE",IF(TODAY()&gt;$AB149,"OVERDUE",IF($AB149&lt;=WORKDAY(TODAY(),1,Holidays),"DUE TOMORROW",IF($Z149=4,"ESCALATED TO LOCAL OFFICE",IF($Z149=5,"ESCALATED TO CBE",IF($AA149=TODAY(),"EMAIL SENT","MONITORING"))))))))))</f>
        <v/>
      </c>
      <c r="V149" s="17">
        <f>IF($U149="",IF(AND(COUNTA($A149:$L149)&gt;0,$N149=""),"Awaiting Collection Email time stamp.",""),IF(OR($U149="PAID",$U149="CLOSED"),IF($U149="PAID","Account paid. Action completed.","Account closed. No further action required."),CHOOSE($Z149,"Collection Email","1st Email Follow-up","2nd Email Follow-up","Escalation to Local Office","Escalation to CBE","Escalation to Roxanne")&amp;" sent "&amp;TEXT($AA149,"dd-mmm")&amp;". "&amp;IF($Z149=6,"Final escalation completed.",IF($U149="OVERDUE","Next: "&amp;$AC149&amp;" was due "&amp;TEXT($AB149,"dd-mmm")&amp;" - "&amp;(NETWORKDAYS($AB149,TODAY(),Holidays)-1)&amp;" business day(s) late. Send now.",IF($U149="DUE TOMORROW","Next: "&amp;$AC149&amp;IF($AB149&lt;=TODAY()," is due TODAY ("," is due next business day (")&amp;TEXT($AB149,"dd-mmm")&amp;").","Next: "&amp;$AC149&amp;" due "&amp;TEXT($AB149,"dd-mmm")&amp;" ("&amp;(NETWORKDAYS(TODAY(),$AB149,Holidays)-1)&amp;" business day(s) left).")))))</f>
        <v/>
      </c>
      <c r="W149" s="17">
        <f>IF($Z149="","",CHOOSE($Z149,"Collection Email","1st Follow-up","2nd Follow-up","Local Office","CBE","Roxanne")&amp;IF($Z149=6," - Final"," - Day "&amp;MAX(0,NETWORKDAYS($AA149,TODAY(),Holidays)-1)&amp;" of "&amp;CHOOSE($Z149,3,3,2,2,3))&amp;" | Total Day "&amp;MAX(0,NETWORKDAYS($N149,TODAY(),Holidays)-1))</f>
        <v/>
      </c>
      <c r="X149" s="18"/>
      <c r="Y149" s="18"/>
      <c r="Z149" s="17">
        <f>IF($N149="","",COUNT($N149:$S149))</f>
        <v/>
      </c>
      <c r="AA149" s="19">
        <f>IF($Z149="","",INT(INDEX($N149:$S149,$Z149)))</f>
        <v/>
      </c>
      <c r="AB149" s="19">
        <f>IF(OR($Z149="",$Z149=6),"",WORKDAY($AA149,CHOOSE($Z149,3,3,2,2,3),Holidays))</f>
        <v/>
      </c>
      <c r="AC149" s="17">
        <f>IF(OR($Z149="",$Z149=6),"",CHOOSE($Z149,"1st Email Follow-up","2nd Email Follow-up","Escalate Local Office","Escalate to CBE","Escalate to Roxanne"))</f>
        <v/>
      </c>
    </row>
    <row r="150" spans="13:29">
      <c r="M150" s="14"/>
      <c r="T150" s="16"/>
      <c r="U150" s="17">
        <f>IF(AND(COUNTA($A150:$L150)=0,$N150=""),"",IF($T150="Paid","PAID",IF($T150="Closed","CLOSED",IF($Z150="","",IF($Z150=6,"ESCALATED TO ROXANNE",IF(TODAY()&gt;$AB150,"OVERDUE",IF($AB150&lt;=WORKDAY(TODAY(),1,Holidays),"DUE TOMORROW",IF($Z150=4,"ESCALATED TO LOCAL OFFICE",IF($Z150=5,"ESCALATED TO CBE",IF($AA150=TODAY(),"EMAIL SENT","MONITORING"))))))))))</f>
        <v/>
      </c>
      <c r="V150" s="17">
        <f>IF($U150="",IF(AND(COUNTA($A150:$L150)&gt;0,$N150=""),"Awaiting Collection Email time stamp.",""),IF(OR($U150="PAID",$U150="CLOSED"),IF($U150="PAID","Account paid. Action completed.","Account closed. No further action required."),CHOOSE($Z150,"Collection Email","1st Email Follow-up","2nd Email Follow-up","Escalation to Local Office","Escalation to CBE","Escalation to Roxanne")&amp;" sent "&amp;TEXT($AA150,"dd-mmm")&amp;". "&amp;IF($Z150=6,"Final escalation completed.",IF($U150="OVERDUE","Next: "&amp;$AC150&amp;" was due "&amp;TEXT($AB150,"dd-mmm")&amp;" - "&amp;(NETWORKDAYS($AB150,TODAY(),Holidays)-1)&amp;" business day(s) late. Send now.",IF($U150="DUE TOMORROW","Next: "&amp;$AC150&amp;IF($AB150&lt;=TODAY()," is due TODAY ("," is due next business day (")&amp;TEXT($AB150,"dd-mmm")&amp;").","Next: "&amp;$AC150&amp;" due "&amp;TEXT($AB150,"dd-mmm")&amp;" ("&amp;(NETWORKDAYS(TODAY(),$AB150,Holidays)-1)&amp;" business day(s) left).")))))</f>
        <v/>
      </c>
      <c r="W150" s="17">
        <f>IF($Z150="","",CHOOSE($Z150,"Collection Email","1st Follow-up","2nd Follow-up","Local Office","CBE","Roxanne")&amp;IF($Z150=6," - Final"," - Day "&amp;MAX(0,NETWORKDAYS($AA150,TODAY(),Holidays)-1)&amp;" of "&amp;CHOOSE($Z150,3,3,2,2,3))&amp;" | Total Day "&amp;MAX(0,NETWORKDAYS($N150,TODAY(),Holidays)-1))</f>
        <v/>
      </c>
      <c r="X150" s="18"/>
      <c r="Y150" s="18"/>
      <c r="Z150" s="17">
        <f>IF($N150="","",COUNT($N150:$S150))</f>
        <v/>
      </c>
      <c r="AA150" s="19">
        <f>IF($Z150="","",INT(INDEX($N150:$S150,$Z150)))</f>
        <v/>
      </c>
      <c r="AB150" s="19">
        <f>IF(OR($Z150="",$Z150=6),"",WORKDAY($AA150,CHOOSE($Z150,3,3,2,2,3),Holidays))</f>
        <v/>
      </c>
      <c r="AC150" s="17">
        <f>IF(OR($Z150="",$Z150=6),"",CHOOSE($Z150,"1st Email Follow-up","2nd Email Follow-up","Escalate Local Office","Escalate to CBE","Escalate to Roxanne"))</f>
        <v/>
      </c>
    </row>
    <row r="151" spans="13:29">
      <c r="M151" s="14"/>
      <c r="T151" s="16"/>
      <c r="U151" s="17">
        <f>IF(AND(COUNTA($A151:$L151)=0,$N151=""),"",IF($T151="Paid","PAID",IF($T151="Closed","CLOSED",IF($Z151="","",IF($Z151=6,"ESCALATED TO ROXANNE",IF(TODAY()&gt;$AB151,"OVERDUE",IF($AB151&lt;=WORKDAY(TODAY(),1,Holidays),"DUE TOMORROW",IF($Z151=4,"ESCALATED TO LOCAL OFFICE",IF($Z151=5,"ESCALATED TO CBE",IF($AA151=TODAY(),"EMAIL SENT","MONITORING"))))))))))</f>
        <v/>
      </c>
      <c r="V151" s="17">
        <f>IF($U151="",IF(AND(COUNTA($A151:$L151)&gt;0,$N151=""),"Awaiting Collection Email time stamp.",""),IF(OR($U151="PAID",$U151="CLOSED"),IF($U151="PAID","Account paid. Action completed.","Account closed. No further action required."),CHOOSE($Z151,"Collection Email","1st Email Follow-up","2nd Email Follow-up","Escalation to Local Office","Escalation to CBE","Escalation to Roxanne")&amp;" sent "&amp;TEXT($AA151,"dd-mmm")&amp;". "&amp;IF($Z151=6,"Final escalation completed.",IF($U151="OVERDUE","Next: "&amp;$AC151&amp;" was due "&amp;TEXT($AB151,"dd-mmm")&amp;" - "&amp;(NETWORKDAYS($AB151,TODAY(),Holidays)-1)&amp;" business day(s) late. Send now.",IF($U151="DUE TOMORROW","Next: "&amp;$AC151&amp;IF($AB151&lt;=TODAY()," is due TODAY ("," is due next business day (")&amp;TEXT($AB151,"dd-mmm")&amp;").","Next: "&amp;$AC151&amp;" due "&amp;TEXT($AB151,"dd-mmm")&amp;" ("&amp;(NETWORKDAYS(TODAY(),$AB151,Holidays)-1)&amp;" business day(s) left).")))))</f>
        <v/>
      </c>
      <c r="W151" s="17">
        <f>IF($Z151="","",CHOOSE($Z151,"Collection Email","1st Follow-up","2nd Follow-up","Local Office","CBE","Roxanne")&amp;IF($Z151=6," - Final"," - Day "&amp;MAX(0,NETWORKDAYS($AA151,TODAY(),Holidays)-1)&amp;" of "&amp;CHOOSE($Z151,3,3,2,2,3))&amp;" | Total Day "&amp;MAX(0,NETWORKDAYS($N151,TODAY(),Holidays)-1))</f>
        <v/>
      </c>
      <c r="X151" s="18"/>
      <c r="Y151" s="18"/>
      <c r="Z151" s="17">
        <f>IF($N151="","",COUNT($N151:$S151))</f>
        <v/>
      </c>
      <c r="AA151" s="19">
        <f>IF($Z151="","",INT(INDEX($N151:$S151,$Z151)))</f>
        <v/>
      </c>
      <c r="AB151" s="19">
        <f>IF(OR($Z151="",$Z151=6),"",WORKDAY($AA151,CHOOSE($Z151,3,3,2,2,3),Holidays))</f>
        <v/>
      </c>
      <c r="AC151" s="17">
        <f>IF(OR($Z151="",$Z151=6),"",CHOOSE($Z151,"1st Email Follow-up","2nd Email Follow-up","Escalate Local Office","Escalate to CBE","Escalate to Roxanne"))</f>
        <v/>
      </c>
    </row>
    <row r="152" spans="13:29">
      <c r="M152" s="14"/>
      <c r="T152" s="16"/>
      <c r="U152" s="17">
        <f>IF(AND(COUNTA($A152:$L152)=0,$N152=""),"",IF($T152="Paid","PAID",IF($T152="Closed","CLOSED",IF($Z152="","",IF($Z152=6,"ESCALATED TO ROXANNE",IF(TODAY()&gt;$AB152,"OVERDUE",IF($AB152&lt;=WORKDAY(TODAY(),1,Holidays),"DUE TOMORROW",IF($Z152=4,"ESCALATED TO LOCAL OFFICE",IF($Z152=5,"ESCALATED TO CBE",IF($AA152=TODAY(),"EMAIL SENT","MONITORING"))))))))))</f>
        <v/>
      </c>
      <c r="V152" s="17">
        <f>IF($U152="",IF(AND(COUNTA($A152:$L152)&gt;0,$N152=""),"Awaiting Collection Email time stamp.",""),IF(OR($U152="PAID",$U152="CLOSED"),IF($U152="PAID","Account paid. Action completed.","Account closed. No further action required."),CHOOSE($Z152,"Collection Email","1st Email Follow-up","2nd Email Follow-up","Escalation to Local Office","Escalation to CBE","Escalation to Roxanne")&amp;" sent "&amp;TEXT($AA152,"dd-mmm")&amp;". "&amp;IF($Z152=6,"Final escalation completed.",IF($U152="OVERDUE","Next: "&amp;$AC152&amp;" was due "&amp;TEXT($AB152,"dd-mmm")&amp;" - "&amp;(NETWORKDAYS($AB152,TODAY(),Holidays)-1)&amp;" business day(s) late. Send now.",IF($U152="DUE TOMORROW","Next: "&amp;$AC152&amp;IF($AB152&lt;=TODAY()," is due TODAY ("," is due next business day (")&amp;TEXT($AB152,"dd-mmm")&amp;").","Next: "&amp;$AC152&amp;" due "&amp;TEXT($AB152,"dd-mmm")&amp;" ("&amp;(NETWORKDAYS(TODAY(),$AB152,Holidays)-1)&amp;" business day(s) left).")))))</f>
        <v/>
      </c>
      <c r="W152" s="17">
        <f>IF($Z152="","",CHOOSE($Z152,"Collection Email","1st Follow-up","2nd Follow-up","Local Office","CBE","Roxanne")&amp;IF($Z152=6," - Final"," - Day "&amp;MAX(0,NETWORKDAYS($AA152,TODAY(),Holidays)-1)&amp;" of "&amp;CHOOSE($Z152,3,3,2,2,3))&amp;" | Total Day "&amp;MAX(0,NETWORKDAYS($N152,TODAY(),Holidays)-1))</f>
        <v/>
      </c>
      <c r="X152" s="18"/>
      <c r="Y152" s="18"/>
      <c r="Z152" s="17">
        <f>IF($N152="","",COUNT($N152:$S152))</f>
        <v/>
      </c>
      <c r="AA152" s="19">
        <f>IF($Z152="","",INT(INDEX($N152:$S152,$Z152)))</f>
        <v/>
      </c>
      <c r="AB152" s="19">
        <f>IF(OR($Z152="",$Z152=6),"",WORKDAY($AA152,CHOOSE($Z152,3,3,2,2,3),Holidays))</f>
        <v/>
      </c>
      <c r="AC152" s="17">
        <f>IF(OR($Z152="",$Z152=6),"",CHOOSE($Z152,"1st Email Follow-up","2nd Email Follow-up","Escalate Local Office","Escalate to CBE","Escalate to Roxanne"))</f>
        <v/>
      </c>
    </row>
    <row r="153" spans="13:29">
      <c r="M153" s="14"/>
      <c r="T153" s="16"/>
      <c r="U153" s="17">
        <f>IF(AND(COUNTA($A153:$L153)=0,$N153=""),"",IF($T153="Paid","PAID",IF($T153="Closed","CLOSED",IF($Z153="","",IF($Z153=6,"ESCALATED TO ROXANNE",IF(TODAY()&gt;$AB153,"OVERDUE",IF($AB153&lt;=WORKDAY(TODAY(),1,Holidays),"DUE TOMORROW",IF($Z153=4,"ESCALATED TO LOCAL OFFICE",IF($Z153=5,"ESCALATED TO CBE",IF($AA153=TODAY(),"EMAIL SENT","MONITORING"))))))))))</f>
        <v/>
      </c>
      <c r="V153" s="17">
        <f>IF($U153="",IF(AND(COUNTA($A153:$L153)&gt;0,$N153=""),"Awaiting Collection Email time stamp.",""),IF(OR($U153="PAID",$U153="CLOSED"),IF($U153="PAID","Account paid. Action completed.","Account closed. No further action required."),CHOOSE($Z153,"Collection Email","1st Email Follow-up","2nd Email Follow-up","Escalation to Local Office","Escalation to CBE","Escalation to Roxanne")&amp;" sent "&amp;TEXT($AA153,"dd-mmm")&amp;". "&amp;IF($Z153=6,"Final escalation completed.",IF($U153="OVERDUE","Next: "&amp;$AC153&amp;" was due "&amp;TEXT($AB153,"dd-mmm")&amp;" - "&amp;(NETWORKDAYS($AB153,TODAY(),Holidays)-1)&amp;" business day(s) late. Send now.",IF($U153="DUE TOMORROW","Next: "&amp;$AC153&amp;IF($AB153&lt;=TODAY()," is due TODAY ("," is due next business day (")&amp;TEXT($AB153,"dd-mmm")&amp;").","Next: "&amp;$AC153&amp;" due "&amp;TEXT($AB153,"dd-mmm")&amp;" ("&amp;(NETWORKDAYS(TODAY(),$AB153,Holidays)-1)&amp;" business day(s) left).")))))</f>
        <v/>
      </c>
      <c r="W153" s="17">
        <f>IF($Z153="","",CHOOSE($Z153,"Collection Email","1st Follow-up","2nd Follow-up","Local Office","CBE","Roxanne")&amp;IF($Z153=6," - Final"," - Day "&amp;MAX(0,NETWORKDAYS($AA153,TODAY(),Holidays)-1)&amp;" of "&amp;CHOOSE($Z153,3,3,2,2,3))&amp;" | Total Day "&amp;MAX(0,NETWORKDAYS($N153,TODAY(),Holidays)-1))</f>
        <v/>
      </c>
      <c r="X153" s="18"/>
      <c r="Y153" s="18"/>
      <c r="Z153" s="17">
        <f>IF($N153="","",COUNT($N153:$S153))</f>
        <v/>
      </c>
      <c r="AA153" s="19">
        <f>IF($Z153="","",INT(INDEX($N153:$S153,$Z153)))</f>
        <v/>
      </c>
      <c r="AB153" s="19">
        <f>IF(OR($Z153="",$Z153=6),"",WORKDAY($AA153,CHOOSE($Z153,3,3,2,2,3),Holidays))</f>
        <v/>
      </c>
      <c r="AC153" s="17">
        <f>IF(OR($Z153="",$Z153=6),"",CHOOSE($Z153,"1st Email Follow-up","2nd Email Follow-up","Escalate Local Office","Escalate to CBE","Escalate to Roxanne"))</f>
        <v/>
      </c>
    </row>
    <row r="154" spans="13:29">
      <c r="M154" s="14"/>
      <c r="T154" s="16"/>
      <c r="U154" s="17">
        <f>IF(AND(COUNTA($A154:$L154)=0,$N154=""),"",IF($T154="Paid","PAID",IF($T154="Closed","CLOSED",IF($Z154="","",IF($Z154=6,"ESCALATED TO ROXANNE",IF(TODAY()&gt;$AB154,"OVERDUE",IF($AB154&lt;=WORKDAY(TODAY(),1,Holidays),"DUE TOMORROW",IF($Z154=4,"ESCALATED TO LOCAL OFFICE",IF($Z154=5,"ESCALATED TO CBE",IF($AA154=TODAY(),"EMAIL SENT","MONITORING"))))))))))</f>
        <v/>
      </c>
      <c r="V154" s="17">
        <f>IF($U154="",IF(AND(COUNTA($A154:$L154)&gt;0,$N154=""),"Awaiting Collection Email time stamp.",""),IF(OR($U154="PAID",$U154="CLOSED"),IF($U154="PAID","Account paid. Action completed.","Account closed. No further action required."),CHOOSE($Z154,"Collection Email","1st Email Follow-up","2nd Email Follow-up","Escalation to Local Office","Escalation to CBE","Escalation to Roxanne")&amp;" sent "&amp;TEXT($AA154,"dd-mmm")&amp;". "&amp;IF($Z154=6,"Final escalation completed.",IF($U154="OVERDUE","Next: "&amp;$AC154&amp;" was due "&amp;TEXT($AB154,"dd-mmm")&amp;" - "&amp;(NETWORKDAYS($AB154,TODAY(),Holidays)-1)&amp;" business day(s) late. Send now.",IF($U154="DUE TOMORROW","Next: "&amp;$AC154&amp;IF($AB154&lt;=TODAY()," is due TODAY ("," is due next business day (")&amp;TEXT($AB154,"dd-mmm")&amp;").","Next: "&amp;$AC154&amp;" due "&amp;TEXT($AB154,"dd-mmm")&amp;" ("&amp;(NETWORKDAYS(TODAY(),$AB154,Holidays)-1)&amp;" business day(s) left).")))))</f>
        <v/>
      </c>
      <c r="W154" s="17">
        <f>IF($Z154="","",CHOOSE($Z154,"Collection Email","1st Follow-up","2nd Follow-up","Local Office","CBE","Roxanne")&amp;IF($Z154=6," - Final"," - Day "&amp;MAX(0,NETWORKDAYS($AA154,TODAY(),Holidays)-1)&amp;" of "&amp;CHOOSE($Z154,3,3,2,2,3))&amp;" | Total Day "&amp;MAX(0,NETWORKDAYS($N154,TODAY(),Holidays)-1))</f>
        <v/>
      </c>
      <c r="X154" s="18"/>
      <c r="Y154" s="18"/>
      <c r="Z154" s="17">
        <f>IF($N154="","",COUNT($N154:$S154))</f>
        <v/>
      </c>
      <c r="AA154" s="19">
        <f>IF($Z154="","",INT(INDEX($N154:$S154,$Z154)))</f>
        <v/>
      </c>
      <c r="AB154" s="19">
        <f>IF(OR($Z154="",$Z154=6),"",WORKDAY($AA154,CHOOSE($Z154,3,3,2,2,3),Holidays))</f>
        <v/>
      </c>
      <c r="AC154" s="17">
        <f>IF(OR($Z154="",$Z154=6),"",CHOOSE($Z154,"1st Email Follow-up","2nd Email Follow-up","Escalate Local Office","Escalate to CBE","Escalate to Roxanne"))</f>
        <v/>
      </c>
    </row>
    <row r="155" spans="13:29">
      <c r="M155" s="14"/>
      <c r="T155" s="16"/>
      <c r="U155" s="17">
        <f>IF(AND(COUNTA($A155:$L155)=0,$N155=""),"",IF($T155="Paid","PAID",IF($T155="Closed","CLOSED",IF($Z155="","",IF($Z155=6,"ESCALATED TO ROXANNE",IF(TODAY()&gt;$AB155,"OVERDUE",IF($AB155&lt;=WORKDAY(TODAY(),1,Holidays),"DUE TOMORROW",IF($Z155=4,"ESCALATED TO LOCAL OFFICE",IF($Z155=5,"ESCALATED TO CBE",IF($AA155=TODAY(),"EMAIL SENT","MONITORING"))))))))))</f>
        <v/>
      </c>
      <c r="V155" s="17">
        <f>IF($U155="",IF(AND(COUNTA($A155:$L155)&gt;0,$N155=""),"Awaiting Collection Email time stamp.",""),IF(OR($U155="PAID",$U155="CLOSED"),IF($U155="PAID","Account paid. Action completed.","Account closed. No further action required."),CHOOSE($Z155,"Collection Email","1st Email Follow-up","2nd Email Follow-up","Escalation to Local Office","Escalation to CBE","Escalation to Roxanne")&amp;" sent "&amp;TEXT($AA155,"dd-mmm")&amp;". "&amp;IF($Z155=6,"Final escalation completed.",IF($U155="OVERDUE","Next: "&amp;$AC155&amp;" was due "&amp;TEXT($AB155,"dd-mmm")&amp;" - "&amp;(NETWORKDAYS($AB155,TODAY(),Holidays)-1)&amp;" business day(s) late. Send now.",IF($U155="DUE TOMORROW","Next: "&amp;$AC155&amp;IF($AB155&lt;=TODAY()," is due TODAY ("," is due next business day (")&amp;TEXT($AB155,"dd-mmm")&amp;").","Next: "&amp;$AC155&amp;" due "&amp;TEXT($AB155,"dd-mmm")&amp;" ("&amp;(NETWORKDAYS(TODAY(),$AB155,Holidays)-1)&amp;" business day(s) left).")))))</f>
        <v/>
      </c>
      <c r="W155" s="17">
        <f>IF($Z155="","",CHOOSE($Z155,"Collection Email","1st Follow-up","2nd Follow-up","Local Office","CBE","Roxanne")&amp;IF($Z155=6," - Final"," - Day "&amp;MAX(0,NETWORKDAYS($AA155,TODAY(),Holidays)-1)&amp;" of "&amp;CHOOSE($Z155,3,3,2,2,3))&amp;" | Total Day "&amp;MAX(0,NETWORKDAYS($N155,TODAY(),Holidays)-1))</f>
        <v/>
      </c>
      <c r="X155" s="18"/>
      <c r="Y155" s="18"/>
      <c r="Z155" s="17">
        <f>IF($N155="","",COUNT($N155:$S155))</f>
        <v/>
      </c>
      <c r="AA155" s="19">
        <f>IF($Z155="","",INT(INDEX($N155:$S155,$Z155)))</f>
        <v/>
      </c>
      <c r="AB155" s="19">
        <f>IF(OR($Z155="",$Z155=6),"",WORKDAY($AA155,CHOOSE($Z155,3,3,2,2,3),Holidays))</f>
        <v/>
      </c>
      <c r="AC155" s="17">
        <f>IF(OR($Z155="",$Z155=6),"",CHOOSE($Z155,"1st Email Follow-up","2nd Email Follow-up","Escalate Local Office","Escalate to CBE","Escalate to Roxanne"))</f>
        <v/>
      </c>
    </row>
    <row r="156" spans="13:29">
      <c r="M156" s="14"/>
      <c r="T156" s="16"/>
      <c r="U156" s="17">
        <f>IF(AND(COUNTA($A156:$L156)=0,$N156=""),"",IF($T156="Paid","PAID",IF($T156="Closed","CLOSED",IF($Z156="","",IF($Z156=6,"ESCALATED TO ROXANNE",IF(TODAY()&gt;$AB156,"OVERDUE",IF($AB156&lt;=WORKDAY(TODAY(),1,Holidays),"DUE TOMORROW",IF($Z156=4,"ESCALATED TO LOCAL OFFICE",IF($Z156=5,"ESCALATED TO CBE",IF($AA156=TODAY(),"EMAIL SENT","MONITORING"))))))))))</f>
        <v/>
      </c>
      <c r="V156" s="17">
        <f>IF($U156="",IF(AND(COUNTA($A156:$L156)&gt;0,$N156=""),"Awaiting Collection Email time stamp.",""),IF(OR($U156="PAID",$U156="CLOSED"),IF($U156="PAID","Account paid. Action completed.","Account closed. No further action required."),CHOOSE($Z156,"Collection Email","1st Email Follow-up","2nd Email Follow-up","Escalation to Local Office","Escalation to CBE","Escalation to Roxanne")&amp;" sent "&amp;TEXT($AA156,"dd-mmm")&amp;". "&amp;IF($Z156=6,"Final escalation completed.",IF($U156="OVERDUE","Next: "&amp;$AC156&amp;" was due "&amp;TEXT($AB156,"dd-mmm")&amp;" - "&amp;(NETWORKDAYS($AB156,TODAY(),Holidays)-1)&amp;" business day(s) late. Send now.",IF($U156="DUE TOMORROW","Next: "&amp;$AC156&amp;IF($AB156&lt;=TODAY()," is due TODAY ("," is due next business day (")&amp;TEXT($AB156,"dd-mmm")&amp;").","Next: "&amp;$AC156&amp;" due "&amp;TEXT($AB156,"dd-mmm")&amp;" ("&amp;(NETWORKDAYS(TODAY(),$AB156,Holidays)-1)&amp;" business day(s) left).")))))</f>
        <v/>
      </c>
      <c r="W156" s="17">
        <f>IF($Z156="","",CHOOSE($Z156,"Collection Email","1st Follow-up","2nd Follow-up","Local Office","CBE","Roxanne")&amp;IF($Z156=6," - Final"," - Day "&amp;MAX(0,NETWORKDAYS($AA156,TODAY(),Holidays)-1)&amp;" of "&amp;CHOOSE($Z156,3,3,2,2,3))&amp;" | Total Day "&amp;MAX(0,NETWORKDAYS($N156,TODAY(),Holidays)-1))</f>
        <v/>
      </c>
      <c r="X156" s="18"/>
      <c r="Y156" s="18"/>
      <c r="Z156" s="17">
        <f>IF($N156="","",COUNT($N156:$S156))</f>
        <v/>
      </c>
      <c r="AA156" s="19">
        <f>IF($Z156="","",INT(INDEX($N156:$S156,$Z156)))</f>
        <v/>
      </c>
      <c r="AB156" s="19">
        <f>IF(OR($Z156="",$Z156=6),"",WORKDAY($AA156,CHOOSE($Z156,3,3,2,2,3),Holidays))</f>
        <v/>
      </c>
      <c r="AC156" s="17">
        <f>IF(OR($Z156="",$Z156=6),"",CHOOSE($Z156,"1st Email Follow-up","2nd Email Follow-up","Escalate Local Office","Escalate to CBE","Escalate to Roxanne"))</f>
        <v/>
      </c>
    </row>
    <row r="157" spans="13:29">
      <c r="M157" s="14"/>
      <c r="T157" s="16"/>
      <c r="U157" s="17">
        <f>IF(AND(COUNTA($A157:$L157)=0,$N157=""),"",IF($T157="Paid","PAID",IF($T157="Closed","CLOSED",IF($Z157="","",IF($Z157=6,"ESCALATED TO ROXANNE",IF(TODAY()&gt;$AB157,"OVERDUE",IF($AB157&lt;=WORKDAY(TODAY(),1,Holidays),"DUE TOMORROW",IF($Z157=4,"ESCALATED TO LOCAL OFFICE",IF($Z157=5,"ESCALATED TO CBE",IF($AA157=TODAY(),"EMAIL SENT","MONITORING"))))))))))</f>
        <v/>
      </c>
      <c r="V157" s="17">
        <f>IF($U157="",IF(AND(COUNTA($A157:$L157)&gt;0,$N157=""),"Awaiting Collection Email time stamp.",""),IF(OR($U157="PAID",$U157="CLOSED"),IF($U157="PAID","Account paid. Action completed.","Account closed. No further action required."),CHOOSE($Z157,"Collection Email","1st Email Follow-up","2nd Email Follow-up","Escalation to Local Office","Escalation to CBE","Escalation to Roxanne")&amp;" sent "&amp;TEXT($AA157,"dd-mmm")&amp;". "&amp;IF($Z157=6,"Final escalation completed.",IF($U157="OVERDUE","Next: "&amp;$AC157&amp;" was due "&amp;TEXT($AB157,"dd-mmm")&amp;" - "&amp;(NETWORKDAYS($AB157,TODAY(),Holidays)-1)&amp;" business day(s) late. Send now.",IF($U157="DUE TOMORROW","Next: "&amp;$AC157&amp;IF($AB157&lt;=TODAY()," is due TODAY ("," is due next business day (")&amp;TEXT($AB157,"dd-mmm")&amp;").","Next: "&amp;$AC157&amp;" due "&amp;TEXT($AB157,"dd-mmm")&amp;" ("&amp;(NETWORKDAYS(TODAY(),$AB157,Holidays)-1)&amp;" business day(s) left).")))))</f>
        <v/>
      </c>
      <c r="W157" s="17">
        <f>IF($Z157="","",CHOOSE($Z157,"Collection Email","1st Follow-up","2nd Follow-up","Local Office","CBE","Roxanne")&amp;IF($Z157=6," - Final"," - Day "&amp;MAX(0,NETWORKDAYS($AA157,TODAY(),Holidays)-1)&amp;" of "&amp;CHOOSE($Z157,3,3,2,2,3))&amp;" | Total Day "&amp;MAX(0,NETWORKDAYS($N157,TODAY(),Holidays)-1))</f>
        <v/>
      </c>
      <c r="X157" s="18"/>
      <c r="Y157" s="18"/>
      <c r="Z157" s="17">
        <f>IF($N157="","",COUNT($N157:$S157))</f>
        <v/>
      </c>
      <c r="AA157" s="19">
        <f>IF($Z157="","",INT(INDEX($N157:$S157,$Z157)))</f>
        <v/>
      </c>
      <c r="AB157" s="19">
        <f>IF(OR($Z157="",$Z157=6),"",WORKDAY($AA157,CHOOSE($Z157,3,3,2,2,3),Holidays))</f>
        <v/>
      </c>
      <c r="AC157" s="17">
        <f>IF(OR($Z157="",$Z157=6),"",CHOOSE($Z157,"1st Email Follow-up","2nd Email Follow-up","Escalate Local Office","Escalate to CBE","Escalate to Roxanne"))</f>
        <v/>
      </c>
    </row>
    <row r="158" spans="13:29">
      <c r="M158" s="14"/>
      <c r="T158" s="16"/>
      <c r="U158" s="17">
        <f>IF(AND(COUNTA($A158:$L158)=0,$N158=""),"",IF($T158="Paid","PAID",IF($T158="Closed","CLOSED",IF($Z158="","",IF($Z158=6,"ESCALATED TO ROXANNE",IF(TODAY()&gt;$AB158,"OVERDUE",IF($AB158&lt;=WORKDAY(TODAY(),1,Holidays),"DUE TOMORROW",IF($Z158=4,"ESCALATED TO LOCAL OFFICE",IF($Z158=5,"ESCALATED TO CBE",IF($AA158=TODAY(),"EMAIL SENT","MONITORING"))))))))))</f>
        <v/>
      </c>
      <c r="V158" s="17">
        <f>IF($U158="",IF(AND(COUNTA($A158:$L158)&gt;0,$N158=""),"Awaiting Collection Email time stamp.",""),IF(OR($U158="PAID",$U158="CLOSED"),IF($U158="PAID","Account paid. Action completed.","Account closed. No further action required."),CHOOSE($Z158,"Collection Email","1st Email Follow-up","2nd Email Follow-up","Escalation to Local Office","Escalation to CBE","Escalation to Roxanne")&amp;" sent "&amp;TEXT($AA158,"dd-mmm")&amp;". "&amp;IF($Z158=6,"Final escalation completed.",IF($U158="OVERDUE","Next: "&amp;$AC158&amp;" was due "&amp;TEXT($AB158,"dd-mmm")&amp;" - "&amp;(NETWORKDAYS($AB158,TODAY(),Holidays)-1)&amp;" business day(s) late. Send now.",IF($U158="DUE TOMORROW","Next: "&amp;$AC158&amp;IF($AB158&lt;=TODAY()," is due TODAY ("," is due next business day (")&amp;TEXT($AB158,"dd-mmm")&amp;").","Next: "&amp;$AC158&amp;" due "&amp;TEXT($AB158,"dd-mmm")&amp;" ("&amp;(NETWORKDAYS(TODAY(),$AB158,Holidays)-1)&amp;" business day(s) left).")))))</f>
        <v/>
      </c>
      <c r="W158" s="17">
        <f>IF($Z158="","",CHOOSE($Z158,"Collection Email","1st Follow-up","2nd Follow-up","Local Office","CBE","Roxanne")&amp;IF($Z158=6," - Final"," - Day "&amp;MAX(0,NETWORKDAYS($AA158,TODAY(),Holidays)-1)&amp;" of "&amp;CHOOSE($Z158,3,3,2,2,3))&amp;" | Total Day "&amp;MAX(0,NETWORKDAYS($N158,TODAY(),Holidays)-1))</f>
        <v/>
      </c>
      <c r="X158" s="18"/>
      <c r="Y158" s="18"/>
      <c r="Z158" s="17">
        <f>IF($N158="","",COUNT($N158:$S158))</f>
        <v/>
      </c>
      <c r="AA158" s="19">
        <f>IF($Z158="","",INT(INDEX($N158:$S158,$Z158)))</f>
        <v/>
      </c>
      <c r="AB158" s="19">
        <f>IF(OR($Z158="",$Z158=6),"",WORKDAY($AA158,CHOOSE($Z158,3,3,2,2,3),Holidays))</f>
        <v/>
      </c>
      <c r="AC158" s="17">
        <f>IF(OR($Z158="",$Z158=6),"",CHOOSE($Z158,"1st Email Follow-up","2nd Email Follow-up","Escalate Local Office","Escalate to CBE","Escalate to Roxanne"))</f>
        <v/>
      </c>
    </row>
    <row r="159" spans="13:29">
      <c r="M159" s="14"/>
      <c r="T159" s="16"/>
      <c r="U159" s="17">
        <f>IF(AND(COUNTA($A159:$L159)=0,$N159=""),"",IF($T159="Paid","PAID",IF($T159="Closed","CLOSED",IF($Z159="","",IF($Z159=6,"ESCALATED TO ROXANNE",IF(TODAY()&gt;$AB159,"OVERDUE",IF($AB159&lt;=WORKDAY(TODAY(),1,Holidays),"DUE TOMORROW",IF($Z159=4,"ESCALATED TO LOCAL OFFICE",IF($Z159=5,"ESCALATED TO CBE",IF($AA159=TODAY(),"EMAIL SENT","MONITORING"))))))))))</f>
        <v/>
      </c>
      <c r="V159" s="17">
        <f>IF($U159="",IF(AND(COUNTA($A159:$L159)&gt;0,$N159=""),"Awaiting Collection Email time stamp.",""),IF(OR($U159="PAID",$U159="CLOSED"),IF($U159="PAID","Account paid. Action completed.","Account closed. No further action required."),CHOOSE($Z159,"Collection Email","1st Email Follow-up","2nd Email Follow-up","Escalation to Local Office","Escalation to CBE","Escalation to Roxanne")&amp;" sent "&amp;TEXT($AA159,"dd-mmm")&amp;". "&amp;IF($Z159=6,"Final escalation completed.",IF($U159="OVERDUE","Next: "&amp;$AC159&amp;" was due "&amp;TEXT($AB159,"dd-mmm")&amp;" - "&amp;(NETWORKDAYS($AB159,TODAY(),Holidays)-1)&amp;" business day(s) late. Send now.",IF($U159="DUE TOMORROW","Next: "&amp;$AC159&amp;IF($AB159&lt;=TODAY()," is due TODAY ("," is due next business day (")&amp;TEXT($AB159,"dd-mmm")&amp;").","Next: "&amp;$AC159&amp;" due "&amp;TEXT($AB159,"dd-mmm")&amp;" ("&amp;(NETWORKDAYS(TODAY(),$AB159,Holidays)-1)&amp;" business day(s) left).")))))</f>
        <v/>
      </c>
      <c r="W159" s="17">
        <f>IF($Z159="","",CHOOSE($Z159,"Collection Email","1st Follow-up","2nd Follow-up","Local Office","CBE","Roxanne")&amp;IF($Z159=6," - Final"," - Day "&amp;MAX(0,NETWORKDAYS($AA159,TODAY(),Holidays)-1)&amp;" of "&amp;CHOOSE($Z159,3,3,2,2,3))&amp;" | Total Day "&amp;MAX(0,NETWORKDAYS($N159,TODAY(),Holidays)-1))</f>
        <v/>
      </c>
      <c r="X159" s="18"/>
      <c r="Y159" s="18"/>
      <c r="Z159" s="17">
        <f>IF($N159="","",COUNT($N159:$S159))</f>
        <v/>
      </c>
      <c r="AA159" s="19">
        <f>IF($Z159="","",INT(INDEX($N159:$S159,$Z159)))</f>
        <v/>
      </c>
      <c r="AB159" s="19">
        <f>IF(OR($Z159="",$Z159=6),"",WORKDAY($AA159,CHOOSE($Z159,3,3,2,2,3),Holidays))</f>
        <v/>
      </c>
      <c r="AC159" s="17">
        <f>IF(OR($Z159="",$Z159=6),"",CHOOSE($Z159,"1st Email Follow-up","2nd Email Follow-up","Escalate Local Office","Escalate to CBE","Escalate to Roxanne"))</f>
        <v/>
      </c>
    </row>
    <row r="160" spans="13:29">
      <c r="M160" s="14"/>
      <c r="T160" s="16"/>
      <c r="U160" s="17">
        <f>IF(AND(COUNTA($A160:$L160)=0,$N160=""),"",IF($T160="Paid","PAID",IF($T160="Closed","CLOSED",IF($Z160="","",IF($Z160=6,"ESCALATED TO ROXANNE",IF(TODAY()&gt;$AB160,"OVERDUE",IF($AB160&lt;=WORKDAY(TODAY(),1,Holidays),"DUE TOMORROW",IF($Z160=4,"ESCALATED TO LOCAL OFFICE",IF($Z160=5,"ESCALATED TO CBE",IF($AA160=TODAY(),"EMAIL SENT","MONITORING"))))))))))</f>
        <v/>
      </c>
      <c r="V160" s="17">
        <f>IF($U160="",IF(AND(COUNTA($A160:$L160)&gt;0,$N160=""),"Awaiting Collection Email time stamp.",""),IF(OR($U160="PAID",$U160="CLOSED"),IF($U160="PAID","Account paid. Action completed.","Account closed. No further action required."),CHOOSE($Z160,"Collection Email","1st Email Follow-up","2nd Email Follow-up","Escalation to Local Office","Escalation to CBE","Escalation to Roxanne")&amp;" sent "&amp;TEXT($AA160,"dd-mmm")&amp;". "&amp;IF($Z160=6,"Final escalation completed.",IF($U160="OVERDUE","Next: "&amp;$AC160&amp;" was due "&amp;TEXT($AB160,"dd-mmm")&amp;" - "&amp;(NETWORKDAYS($AB160,TODAY(),Holidays)-1)&amp;" business day(s) late. Send now.",IF($U160="DUE TOMORROW","Next: "&amp;$AC160&amp;IF($AB160&lt;=TODAY()," is due TODAY ("," is due next business day (")&amp;TEXT($AB160,"dd-mmm")&amp;").","Next: "&amp;$AC160&amp;" due "&amp;TEXT($AB160,"dd-mmm")&amp;" ("&amp;(NETWORKDAYS(TODAY(),$AB160,Holidays)-1)&amp;" business day(s) left).")))))</f>
        <v/>
      </c>
      <c r="W160" s="17">
        <f>IF($Z160="","",CHOOSE($Z160,"Collection Email","1st Follow-up","2nd Follow-up","Local Office","CBE","Roxanne")&amp;IF($Z160=6," - Final"," - Day "&amp;MAX(0,NETWORKDAYS($AA160,TODAY(),Holidays)-1)&amp;" of "&amp;CHOOSE($Z160,3,3,2,2,3))&amp;" | Total Day "&amp;MAX(0,NETWORKDAYS($N160,TODAY(),Holidays)-1))</f>
        <v/>
      </c>
      <c r="X160" s="18"/>
      <c r="Y160" s="18"/>
      <c r="Z160" s="17">
        <f>IF($N160="","",COUNT($N160:$S160))</f>
        <v/>
      </c>
      <c r="AA160" s="19">
        <f>IF($Z160="","",INT(INDEX($N160:$S160,$Z160)))</f>
        <v/>
      </c>
      <c r="AB160" s="19">
        <f>IF(OR($Z160="",$Z160=6),"",WORKDAY($AA160,CHOOSE($Z160,3,3,2,2,3),Holidays))</f>
        <v/>
      </c>
      <c r="AC160" s="17">
        <f>IF(OR($Z160="",$Z160=6),"",CHOOSE($Z160,"1st Email Follow-up","2nd Email Follow-up","Escalate Local Office","Escalate to CBE","Escalate to Roxanne"))</f>
        <v/>
      </c>
    </row>
    <row r="161" spans="13:29">
      <c r="M161" s="14"/>
      <c r="T161" s="16"/>
      <c r="U161" s="17">
        <f>IF(AND(COUNTA($A161:$L161)=0,$N161=""),"",IF($T161="Paid","PAID",IF($T161="Closed","CLOSED",IF($Z161="","",IF($Z161=6,"ESCALATED TO ROXANNE",IF(TODAY()&gt;$AB161,"OVERDUE",IF($AB161&lt;=WORKDAY(TODAY(),1,Holidays),"DUE TOMORROW",IF($Z161=4,"ESCALATED TO LOCAL OFFICE",IF($Z161=5,"ESCALATED TO CBE",IF($AA161=TODAY(),"EMAIL SENT","MONITORING"))))))))))</f>
        <v/>
      </c>
      <c r="V161" s="17">
        <f>IF($U161="",IF(AND(COUNTA($A161:$L161)&gt;0,$N161=""),"Awaiting Collection Email time stamp.",""),IF(OR($U161="PAID",$U161="CLOSED"),IF($U161="PAID","Account paid. Action completed.","Account closed. No further action required."),CHOOSE($Z161,"Collection Email","1st Email Follow-up","2nd Email Follow-up","Escalation to Local Office","Escalation to CBE","Escalation to Roxanne")&amp;" sent "&amp;TEXT($AA161,"dd-mmm")&amp;". "&amp;IF($Z161=6,"Final escalation completed.",IF($U161="OVERDUE","Next: "&amp;$AC161&amp;" was due "&amp;TEXT($AB161,"dd-mmm")&amp;" - "&amp;(NETWORKDAYS($AB161,TODAY(),Holidays)-1)&amp;" business day(s) late. Send now.",IF($U161="DUE TOMORROW","Next: "&amp;$AC161&amp;IF($AB161&lt;=TODAY()," is due TODAY ("," is due next business day (")&amp;TEXT($AB161,"dd-mmm")&amp;").","Next: "&amp;$AC161&amp;" due "&amp;TEXT($AB161,"dd-mmm")&amp;" ("&amp;(NETWORKDAYS(TODAY(),$AB161,Holidays)-1)&amp;" business day(s) left).")))))</f>
        <v/>
      </c>
      <c r="W161" s="17">
        <f>IF($Z161="","",CHOOSE($Z161,"Collection Email","1st Follow-up","2nd Follow-up","Local Office","CBE","Roxanne")&amp;IF($Z161=6," - Final"," - Day "&amp;MAX(0,NETWORKDAYS($AA161,TODAY(),Holidays)-1)&amp;" of "&amp;CHOOSE($Z161,3,3,2,2,3))&amp;" | Total Day "&amp;MAX(0,NETWORKDAYS($N161,TODAY(),Holidays)-1))</f>
        <v/>
      </c>
      <c r="X161" s="18"/>
      <c r="Y161" s="18"/>
      <c r="Z161" s="17">
        <f>IF($N161="","",COUNT($N161:$S161))</f>
        <v/>
      </c>
      <c r="AA161" s="19">
        <f>IF($Z161="","",INT(INDEX($N161:$S161,$Z161)))</f>
        <v/>
      </c>
      <c r="AB161" s="19">
        <f>IF(OR($Z161="",$Z161=6),"",WORKDAY($AA161,CHOOSE($Z161,3,3,2,2,3),Holidays))</f>
        <v/>
      </c>
      <c r="AC161" s="17">
        <f>IF(OR($Z161="",$Z161=6),"",CHOOSE($Z161,"1st Email Follow-up","2nd Email Follow-up","Escalate Local Office","Escalate to CBE","Escalate to Roxanne"))</f>
        <v/>
      </c>
    </row>
    <row r="162" spans="13:29">
      <c r="M162" s="14"/>
      <c r="T162" s="16"/>
      <c r="U162" s="17">
        <f>IF(AND(COUNTA($A162:$L162)=0,$N162=""),"",IF($T162="Paid","PAID",IF($T162="Closed","CLOSED",IF($Z162="","",IF($Z162=6,"ESCALATED TO ROXANNE",IF(TODAY()&gt;$AB162,"OVERDUE",IF($AB162&lt;=WORKDAY(TODAY(),1,Holidays),"DUE TOMORROW",IF($Z162=4,"ESCALATED TO LOCAL OFFICE",IF($Z162=5,"ESCALATED TO CBE",IF($AA162=TODAY(),"EMAIL SENT","MONITORING"))))))))))</f>
        <v/>
      </c>
      <c r="V162" s="17">
        <f>IF($U162="",IF(AND(COUNTA($A162:$L162)&gt;0,$N162=""),"Awaiting Collection Email time stamp.",""),IF(OR($U162="PAID",$U162="CLOSED"),IF($U162="PAID","Account paid. Action completed.","Account closed. No further action required."),CHOOSE($Z162,"Collection Email","1st Email Follow-up","2nd Email Follow-up","Escalation to Local Office","Escalation to CBE","Escalation to Roxanne")&amp;" sent "&amp;TEXT($AA162,"dd-mmm")&amp;". "&amp;IF($Z162=6,"Final escalation completed.",IF($U162="OVERDUE","Next: "&amp;$AC162&amp;" was due "&amp;TEXT($AB162,"dd-mmm")&amp;" - "&amp;(NETWORKDAYS($AB162,TODAY(),Holidays)-1)&amp;" business day(s) late. Send now.",IF($U162="DUE TOMORROW","Next: "&amp;$AC162&amp;IF($AB162&lt;=TODAY()," is due TODAY ("," is due next business day (")&amp;TEXT($AB162,"dd-mmm")&amp;").","Next: "&amp;$AC162&amp;" due "&amp;TEXT($AB162,"dd-mmm")&amp;" ("&amp;(NETWORKDAYS(TODAY(),$AB162,Holidays)-1)&amp;" business day(s) left).")))))</f>
        <v/>
      </c>
      <c r="W162" s="17">
        <f>IF($Z162="","",CHOOSE($Z162,"Collection Email","1st Follow-up","2nd Follow-up","Local Office","CBE","Roxanne")&amp;IF($Z162=6," - Final"," - Day "&amp;MAX(0,NETWORKDAYS($AA162,TODAY(),Holidays)-1)&amp;" of "&amp;CHOOSE($Z162,3,3,2,2,3))&amp;" | Total Day "&amp;MAX(0,NETWORKDAYS($N162,TODAY(),Holidays)-1))</f>
        <v/>
      </c>
      <c r="X162" s="18"/>
      <c r="Y162" s="18"/>
      <c r="Z162" s="17">
        <f>IF($N162="","",COUNT($N162:$S162))</f>
        <v/>
      </c>
      <c r="AA162" s="19">
        <f>IF($Z162="","",INT(INDEX($N162:$S162,$Z162)))</f>
        <v/>
      </c>
      <c r="AB162" s="19">
        <f>IF(OR($Z162="",$Z162=6),"",WORKDAY($AA162,CHOOSE($Z162,3,3,2,2,3),Holidays))</f>
        <v/>
      </c>
      <c r="AC162" s="17">
        <f>IF(OR($Z162="",$Z162=6),"",CHOOSE($Z162,"1st Email Follow-up","2nd Email Follow-up","Escalate Local Office","Escalate to CBE","Escalate to Roxanne"))</f>
        <v/>
      </c>
    </row>
    <row r="163" spans="13:29">
      <c r="M163" s="14"/>
      <c r="T163" s="16"/>
      <c r="U163" s="17">
        <f>IF(AND(COUNTA($A163:$L163)=0,$N163=""),"",IF($T163="Paid","PAID",IF($T163="Closed","CLOSED",IF($Z163="","",IF($Z163=6,"ESCALATED TO ROXANNE",IF(TODAY()&gt;$AB163,"OVERDUE",IF($AB163&lt;=WORKDAY(TODAY(),1,Holidays),"DUE TOMORROW",IF($Z163=4,"ESCALATED TO LOCAL OFFICE",IF($Z163=5,"ESCALATED TO CBE",IF($AA163=TODAY(),"EMAIL SENT","MONITORING"))))))))))</f>
        <v/>
      </c>
      <c r="V163" s="17">
        <f>IF($U163="",IF(AND(COUNTA($A163:$L163)&gt;0,$N163=""),"Awaiting Collection Email time stamp.",""),IF(OR($U163="PAID",$U163="CLOSED"),IF($U163="PAID","Account paid. Action completed.","Account closed. No further action required."),CHOOSE($Z163,"Collection Email","1st Email Follow-up","2nd Email Follow-up","Escalation to Local Office","Escalation to CBE","Escalation to Roxanne")&amp;" sent "&amp;TEXT($AA163,"dd-mmm")&amp;". "&amp;IF($Z163=6,"Final escalation completed.",IF($U163="OVERDUE","Next: "&amp;$AC163&amp;" was due "&amp;TEXT($AB163,"dd-mmm")&amp;" - "&amp;(NETWORKDAYS($AB163,TODAY(),Holidays)-1)&amp;" business day(s) late. Send now.",IF($U163="DUE TOMORROW","Next: "&amp;$AC163&amp;IF($AB163&lt;=TODAY()," is due TODAY ("," is due next business day (")&amp;TEXT($AB163,"dd-mmm")&amp;").","Next: "&amp;$AC163&amp;" due "&amp;TEXT($AB163,"dd-mmm")&amp;" ("&amp;(NETWORKDAYS(TODAY(),$AB163,Holidays)-1)&amp;" business day(s) left).")))))</f>
        <v/>
      </c>
      <c r="W163" s="17">
        <f>IF($Z163="","",CHOOSE($Z163,"Collection Email","1st Follow-up","2nd Follow-up","Local Office","CBE","Roxanne")&amp;IF($Z163=6," - Final"," - Day "&amp;MAX(0,NETWORKDAYS($AA163,TODAY(),Holidays)-1)&amp;" of "&amp;CHOOSE($Z163,3,3,2,2,3))&amp;" | Total Day "&amp;MAX(0,NETWORKDAYS($N163,TODAY(),Holidays)-1))</f>
        <v/>
      </c>
      <c r="X163" s="18"/>
      <c r="Y163" s="18"/>
      <c r="Z163" s="17">
        <f>IF($N163="","",COUNT($N163:$S163))</f>
        <v/>
      </c>
      <c r="AA163" s="19">
        <f>IF($Z163="","",INT(INDEX($N163:$S163,$Z163)))</f>
        <v/>
      </c>
      <c r="AB163" s="19">
        <f>IF(OR($Z163="",$Z163=6),"",WORKDAY($AA163,CHOOSE($Z163,3,3,2,2,3),Holidays))</f>
        <v/>
      </c>
      <c r="AC163" s="17">
        <f>IF(OR($Z163="",$Z163=6),"",CHOOSE($Z163,"1st Email Follow-up","2nd Email Follow-up","Escalate Local Office","Escalate to CBE","Escalate to Roxanne"))</f>
        <v/>
      </c>
    </row>
    <row r="164" spans="13:29">
      <c r="M164" s="14"/>
      <c r="T164" s="16"/>
      <c r="U164" s="17">
        <f>IF(AND(COUNTA($A164:$L164)=0,$N164=""),"",IF($T164="Paid","PAID",IF($T164="Closed","CLOSED",IF($Z164="","",IF($Z164=6,"ESCALATED TO ROXANNE",IF(TODAY()&gt;$AB164,"OVERDUE",IF($AB164&lt;=WORKDAY(TODAY(),1,Holidays),"DUE TOMORROW",IF($Z164=4,"ESCALATED TO LOCAL OFFICE",IF($Z164=5,"ESCALATED TO CBE",IF($AA164=TODAY(),"EMAIL SENT","MONITORING"))))))))))</f>
        <v/>
      </c>
      <c r="V164" s="17">
        <f>IF($U164="",IF(AND(COUNTA($A164:$L164)&gt;0,$N164=""),"Awaiting Collection Email time stamp.",""),IF(OR($U164="PAID",$U164="CLOSED"),IF($U164="PAID","Account paid. Action completed.","Account closed. No further action required."),CHOOSE($Z164,"Collection Email","1st Email Follow-up","2nd Email Follow-up","Escalation to Local Office","Escalation to CBE","Escalation to Roxanne")&amp;" sent "&amp;TEXT($AA164,"dd-mmm")&amp;". "&amp;IF($Z164=6,"Final escalation completed.",IF($U164="OVERDUE","Next: "&amp;$AC164&amp;" was due "&amp;TEXT($AB164,"dd-mmm")&amp;" - "&amp;(NETWORKDAYS($AB164,TODAY(),Holidays)-1)&amp;" business day(s) late. Send now.",IF($U164="DUE TOMORROW","Next: "&amp;$AC164&amp;IF($AB164&lt;=TODAY()," is due TODAY ("," is due next business day (")&amp;TEXT($AB164,"dd-mmm")&amp;").","Next: "&amp;$AC164&amp;" due "&amp;TEXT($AB164,"dd-mmm")&amp;" ("&amp;(NETWORKDAYS(TODAY(),$AB164,Holidays)-1)&amp;" business day(s) left).")))))</f>
        <v/>
      </c>
      <c r="W164" s="17">
        <f>IF($Z164="","",CHOOSE($Z164,"Collection Email","1st Follow-up","2nd Follow-up","Local Office","CBE","Roxanne")&amp;IF($Z164=6," - Final"," - Day "&amp;MAX(0,NETWORKDAYS($AA164,TODAY(),Holidays)-1)&amp;" of "&amp;CHOOSE($Z164,3,3,2,2,3))&amp;" | Total Day "&amp;MAX(0,NETWORKDAYS($N164,TODAY(),Holidays)-1))</f>
        <v/>
      </c>
      <c r="X164" s="18"/>
      <c r="Y164" s="18"/>
      <c r="Z164" s="17">
        <f>IF($N164="","",COUNT($N164:$S164))</f>
        <v/>
      </c>
      <c r="AA164" s="19">
        <f>IF($Z164="","",INT(INDEX($N164:$S164,$Z164)))</f>
        <v/>
      </c>
      <c r="AB164" s="19">
        <f>IF(OR($Z164="",$Z164=6),"",WORKDAY($AA164,CHOOSE($Z164,3,3,2,2,3),Holidays))</f>
        <v/>
      </c>
      <c r="AC164" s="17">
        <f>IF(OR($Z164="",$Z164=6),"",CHOOSE($Z164,"1st Email Follow-up","2nd Email Follow-up","Escalate Local Office","Escalate to CBE","Escalate to Roxanne"))</f>
        <v/>
      </c>
    </row>
    <row r="165" spans="13:29">
      <c r="M165" s="14"/>
      <c r="T165" s="16"/>
      <c r="U165" s="17">
        <f>IF(AND(COUNTA($A165:$L165)=0,$N165=""),"",IF($T165="Paid","PAID",IF($T165="Closed","CLOSED",IF($Z165="","",IF($Z165=6,"ESCALATED TO ROXANNE",IF(TODAY()&gt;$AB165,"OVERDUE",IF($AB165&lt;=WORKDAY(TODAY(),1,Holidays),"DUE TOMORROW",IF($Z165=4,"ESCALATED TO LOCAL OFFICE",IF($Z165=5,"ESCALATED TO CBE",IF($AA165=TODAY(),"EMAIL SENT","MONITORING"))))))))))</f>
        <v/>
      </c>
      <c r="V165" s="17">
        <f>IF($U165="",IF(AND(COUNTA($A165:$L165)&gt;0,$N165=""),"Awaiting Collection Email time stamp.",""),IF(OR($U165="PAID",$U165="CLOSED"),IF($U165="PAID","Account paid. Action completed.","Account closed. No further action required."),CHOOSE($Z165,"Collection Email","1st Email Follow-up","2nd Email Follow-up","Escalation to Local Office","Escalation to CBE","Escalation to Roxanne")&amp;" sent "&amp;TEXT($AA165,"dd-mmm")&amp;". "&amp;IF($Z165=6,"Final escalation completed.",IF($U165="OVERDUE","Next: "&amp;$AC165&amp;" was due "&amp;TEXT($AB165,"dd-mmm")&amp;" - "&amp;(NETWORKDAYS($AB165,TODAY(),Holidays)-1)&amp;" business day(s) late. Send now.",IF($U165="DUE TOMORROW","Next: "&amp;$AC165&amp;IF($AB165&lt;=TODAY()," is due TODAY ("," is due next business day (")&amp;TEXT($AB165,"dd-mmm")&amp;").","Next: "&amp;$AC165&amp;" due "&amp;TEXT($AB165,"dd-mmm")&amp;" ("&amp;(NETWORKDAYS(TODAY(),$AB165,Holidays)-1)&amp;" business day(s) left).")))))</f>
        <v/>
      </c>
      <c r="W165" s="17">
        <f>IF($Z165="","",CHOOSE($Z165,"Collection Email","1st Follow-up","2nd Follow-up","Local Office","CBE","Roxanne")&amp;IF($Z165=6," - Final"," - Day "&amp;MAX(0,NETWORKDAYS($AA165,TODAY(),Holidays)-1)&amp;" of "&amp;CHOOSE($Z165,3,3,2,2,3))&amp;" | Total Day "&amp;MAX(0,NETWORKDAYS($N165,TODAY(),Holidays)-1))</f>
        <v/>
      </c>
      <c r="X165" s="18"/>
      <c r="Y165" s="18"/>
      <c r="Z165" s="17">
        <f>IF($N165="","",COUNT($N165:$S165))</f>
        <v/>
      </c>
      <c r="AA165" s="19">
        <f>IF($Z165="","",INT(INDEX($N165:$S165,$Z165)))</f>
        <v/>
      </c>
      <c r="AB165" s="19">
        <f>IF(OR($Z165="",$Z165=6),"",WORKDAY($AA165,CHOOSE($Z165,3,3,2,2,3),Holidays))</f>
        <v/>
      </c>
      <c r="AC165" s="17">
        <f>IF(OR($Z165="",$Z165=6),"",CHOOSE($Z165,"1st Email Follow-up","2nd Email Follow-up","Escalate Local Office","Escalate to CBE","Escalate to Roxanne"))</f>
        <v/>
      </c>
    </row>
    <row r="166" spans="13:29">
      <c r="M166" s="14"/>
      <c r="T166" s="16"/>
      <c r="U166" s="17">
        <f>IF(AND(COUNTA($A166:$L166)=0,$N166=""),"",IF($T166="Paid","PAID",IF($T166="Closed","CLOSED",IF($Z166="","",IF($Z166=6,"ESCALATED TO ROXANNE",IF(TODAY()&gt;$AB166,"OVERDUE",IF($AB166&lt;=WORKDAY(TODAY(),1,Holidays),"DUE TOMORROW",IF($Z166=4,"ESCALATED TO LOCAL OFFICE",IF($Z166=5,"ESCALATED TO CBE",IF($AA166=TODAY(),"EMAIL SENT","MONITORING"))))))))))</f>
        <v/>
      </c>
      <c r="V166" s="17">
        <f>IF($U166="",IF(AND(COUNTA($A166:$L166)&gt;0,$N166=""),"Awaiting Collection Email time stamp.",""),IF(OR($U166="PAID",$U166="CLOSED"),IF($U166="PAID","Account paid. Action completed.","Account closed. No further action required."),CHOOSE($Z166,"Collection Email","1st Email Follow-up","2nd Email Follow-up","Escalation to Local Office","Escalation to CBE","Escalation to Roxanne")&amp;" sent "&amp;TEXT($AA166,"dd-mmm")&amp;". "&amp;IF($Z166=6,"Final escalation completed.",IF($U166="OVERDUE","Next: "&amp;$AC166&amp;" was due "&amp;TEXT($AB166,"dd-mmm")&amp;" - "&amp;(NETWORKDAYS($AB166,TODAY(),Holidays)-1)&amp;" business day(s) late. Send now.",IF($U166="DUE TOMORROW","Next: "&amp;$AC166&amp;IF($AB166&lt;=TODAY()," is due TODAY ("," is due next business day (")&amp;TEXT($AB166,"dd-mmm")&amp;").","Next: "&amp;$AC166&amp;" due "&amp;TEXT($AB166,"dd-mmm")&amp;" ("&amp;(NETWORKDAYS(TODAY(),$AB166,Holidays)-1)&amp;" business day(s) left).")))))</f>
        <v/>
      </c>
      <c r="W166" s="17">
        <f>IF($Z166="","",CHOOSE($Z166,"Collection Email","1st Follow-up","2nd Follow-up","Local Office","CBE","Roxanne")&amp;IF($Z166=6," - Final"," - Day "&amp;MAX(0,NETWORKDAYS($AA166,TODAY(),Holidays)-1)&amp;" of "&amp;CHOOSE($Z166,3,3,2,2,3))&amp;" | Total Day "&amp;MAX(0,NETWORKDAYS($N166,TODAY(),Holidays)-1))</f>
        <v/>
      </c>
      <c r="X166" s="18"/>
      <c r="Y166" s="18"/>
      <c r="Z166" s="17">
        <f>IF($N166="","",COUNT($N166:$S166))</f>
        <v/>
      </c>
      <c r="AA166" s="19">
        <f>IF($Z166="","",INT(INDEX($N166:$S166,$Z166)))</f>
        <v/>
      </c>
      <c r="AB166" s="19">
        <f>IF(OR($Z166="",$Z166=6),"",WORKDAY($AA166,CHOOSE($Z166,3,3,2,2,3),Holidays))</f>
        <v/>
      </c>
      <c r="AC166" s="17">
        <f>IF(OR($Z166="",$Z166=6),"",CHOOSE($Z166,"1st Email Follow-up","2nd Email Follow-up","Escalate Local Office","Escalate to CBE","Escalate to Roxanne"))</f>
        <v/>
      </c>
    </row>
    <row r="167" spans="13:29">
      <c r="M167" s="14"/>
      <c r="T167" s="16"/>
      <c r="U167" s="17">
        <f>IF(AND(COUNTA($A167:$L167)=0,$N167=""),"",IF($T167="Paid","PAID",IF($T167="Closed","CLOSED",IF($Z167="","",IF($Z167=6,"ESCALATED TO ROXANNE",IF(TODAY()&gt;$AB167,"OVERDUE",IF($AB167&lt;=WORKDAY(TODAY(),1,Holidays),"DUE TOMORROW",IF($Z167=4,"ESCALATED TO LOCAL OFFICE",IF($Z167=5,"ESCALATED TO CBE",IF($AA167=TODAY(),"EMAIL SENT","MONITORING"))))))))))</f>
        <v/>
      </c>
      <c r="V167" s="17">
        <f>IF($U167="",IF(AND(COUNTA($A167:$L167)&gt;0,$N167=""),"Awaiting Collection Email time stamp.",""),IF(OR($U167="PAID",$U167="CLOSED"),IF($U167="PAID","Account paid. Action completed.","Account closed. No further action required."),CHOOSE($Z167,"Collection Email","1st Email Follow-up","2nd Email Follow-up","Escalation to Local Office","Escalation to CBE","Escalation to Roxanne")&amp;" sent "&amp;TEXT($AA167,"dd-mmm")&amp;". "&amp;IF($Z167=6,"Final escalation completed.",IF($U167="OVERDUE","Next: "&amp;$AC167&amp;" was due "&amp;TEXT($AB167,"dd-mmm")&amp;" - "&amp;(NETWORKDAYS($AB167,TODAY(),Holidays)-1)&amp;" business day(s) late. Send now.",IF($U167="DUE TOMORROW","Next: "&amp;$AC167&amp;IF($AB167&lt;=TODAY()," is due TODAY ("," is due next business day (")&amp;TEXT($AB167,"dd-mmm")&amp;").","Next: "&amp;$AC167&amp;" due "&amp;TEXT($AB167,"dd-mmm")&amp;" ("&amp;(NETWORKDAYS(TODAY(),$AB167,Holidays)-1)&amp;" business day(s) left).")))))</f>
        <v/>
      </c>
      <c r="W167" s="17">
        <f>IF($Z167="","",CHOOSE($Z167,"Collection Email","1st Follow-up","2nd Follow-up","Local Office","CBE","Roxanne")&amp;IF($Z167=6," - Final"," - Day "&amp;MAX(0,NETWORKDAYS($AA167,TODAY(),Holidays)-1)&amp;" of "&amp;CHOOSE($Z167,3,3,2,2,3))&amp;" | Total Day "&amp;MAX(0,NETWORKDAYS($N167,TODAY(),Holidays)-1))</f>
        <v/>
      </c>
      <c r="X167" s="18"/>
      <c r="Y167" s="18"/>
      <c r="Z167" s="17">
        <f>IF($N167="","",COUNT($N167:$S167))</f>
        <v/>
      </c>
      <c r="AA167" s="19">
        <f>IF($Z167="","",INT(INDEX($N167:$S167,$Z167)))</f>
        <v/>
      </c>
      <c r="AB167" s="19">
        <f>IF(OR($Z167="",$Z167=6),"",WORKDAY($AA167,CHOOSE($Z167,3,3,2,2,3),Holidays))</f>
        <v/>
      </c>
      <c r="AC167" s="17">
        <f>IF(OR($Z167="",$Z167=6),"",CHOOSE($Z167,"1st Email Follow-up","2nd Email Follow-up","Escalate Local Office","Escalate to CBE","Escalate to Roxanne"))</f>
        <v/>
      </c>
    </row>
    <row r="168" spans="13:29">
      <c r="M168" s="14"/>
      <c r="T168" s="16"/>
      <c r="U168" s="17">
        <f>IF(AND(COUNTA($A168:$L168)=0,$N168=""),"",IF($T168="Paid","PAID",IF($T168="Closed","CLOSED",IF($Z168="","",IF($Z168=6,"ESCALATED TO ROXANNE",IF(TODAY()&gt;$AB168,"OVERDUE",IF($AB168&lt;=WORKDAY(TODAY(),1,Holidays),"DUE TOMORROW",IF($Z168=4,"ESCALATED TO LOCAL OFFICE",IF($Z168=5,"ESCALATED TO CBE",IF($AA168=TODAY(),"EMAIL SENT","MONITORING"))))))))))</f>
        <v/>
      </c>
      <c r="V168" s="17">
        <f>IF($U168="",IF(AND(COUNTA($A168:$L168)&gt;0,$N168=""),"Awaiting Collection Email time stamp.",""),IF(OR($U168="PAID",$U168="CLOSED"),IF($U168="PAID","Account paid. Action completed.","Account closed. No further action required."),CHOOSE($Z168,"Collection Email","1st Email Follow-up","2nd Email Follow-up","Escalation to Local Office","Escalation to CBE","Escalation to Roxanne")&amp;" sent "&amp;TEXT($AA168,"dd-mmm")&amp;". "&amp;IF($Z168=6,"Final escalation completed.",IF($U168="OVERDUE","Next: "&amp;$AC168&amp;" was due "&amp;TEXT($AB168,"dd-mmm")&amp;" - "&amp;(NETWORKDAYS($AB168,TODAY(),Holidays)-1)&amp;" business day(s) late. Send now.",IF($U168="DUE TOMORROW","Next: "&amp;$AC168&amp;IF($AB168&lt;=TODAY()," is due TODAY ("," is due next business day (")&amp;TEXT($AB168,"dd-mmm")&amp;").","Next: "&amp;$AC168&amp;" due "&amp;TEXT($AB168,"dd-mmm")&amp;" ("&amp;(NETWORKDAYS(TODAY(),$AB168,Holidays)-1)&amp;" business day(s) left).")))))</f>
        <v/>
      </c>
      <c r="W168" s="17">
        <f>IF($Z168="","",CHOOSE($Z168,"Collection Email","1st Follow-up","2nd Follow-up","Local Office","CBE","Roxanne")&amp;IF($Z168=6," - Final"," - Day "&amp;MAX(0,NETWORKDAYS($AA168,TODAY(),Holidays)-1)&amp;" of "&amp;CHOOSE($Z168,3,3,2,2,3))&amp;" | Total Day "&amp;MAX(0,NETWORKDAYS($N168,TODAY(),Holidays)-1))</f>
        <v/>
      </c>
      <c r="X168" s="18"/>
      <c r="Y168" s="18"/>
      <c r="Z168" s="17">
        <f>IF($N168="","",COUNT($N168:$S168))</f>
        <v/>
      </c>
      <c r="AA168" s="19">
        <f>IF($Z168="","",INT(INDEX($N168:$S168,$Z168)))</f>
        <v/>
      </c>
      <c r="AB168" s="19">
        <f>IF(OR($Z168="",$Z168=6),"",WORKDAY($AA168,CHOOSE($Z168,3,3,2,2,3),Holidays))</f>
        <v/>
      </c>
      <c r="AC168" s="17">
        <f>IF(OR($Z168="",$Z168=6),"",CHOOSE($Z168,"1st Email Follow-up","2nd Email Follow-up","Escalate Local Office","Escalate to CBE","Escalate to Roxanne"))</f>
        <v/>
      </c>
    </row>
    <row r="169" spans="13:29">
      <c r="M169" s="14"/>
      <c r="T169" s="16"/>
      <c r="U169" s="17">
        <f>IF(AND(COUNTA($A169:$L169)=0,$N169=""),"",IF($T169="Paid","PAID",IF($T169="Closed","CLOSED",IF($Z169="","",IF($Z169=6,"ESCALATED TO ROXANNE",IF(TODAY()&gt;$AB169,"OVERDUE",IF($AB169&lt;=WORKDAY(TODAY(),1,Holidays),"DUE TOMORROW",IF($Z169=4,"ESCALATED TO LOCAL OFFICE",IF($Z169=5,"ESCALATED TO CBE",IF($AA169=TODAY(),"EMAIL SENT","MONITORING"))))))))))</f>
        <v/>
      </c>
      <c r="V169" s="17">
        <f>IF($U169="",IF(AND(COUNTA($A169:$L169)&gt;0,$N169=""),"Awaiting Collection Email time stamp.",""),IF(OR($U169="PAID",$U169="CLOSED"),IF($U169="PAID","Account paid. Action completed.","Account closed. No further action required."),CHOOSE($Z169,"Collection Email","1st Email Follow-up","2nd Email Follow-up","Escalation to Local Office","Escalation to CBE","Escalation to Roxanne")&amp;" sent "&amp;TEXT($AA169,"dd-mmm")&amp;". "&amp;IF($Z169=6,"Final escalation completed.",IF($U169="OVERDUE","Next: "&amp;$AC169&amp;" was due "&amp;TEXT($AB169,"dd-mmm")&amp;" - "&amp;(NETWORKDAYS($AB169,TODAY(),Holidays)-1)&amp;" business day(s) late. Send now.",IF($U169="DUE TOMORROW","Next: "&amp;$AC169&amp;IF($AB169&lt;=TODAY()," is due TODAY ("," is due next business day (")&amp;TEXT($AB169,"dd-mmm")&amp;").","Next: "&amp;$AC169&amp;" due "&amp;TEXT($AB169,"dd-mmm")&amp;" ("&amp;(NETWORKDAYS(TODAY(),$AB169,Holidays)-1)&amp;" business day(s) left).")))))</f>
        <v/>
      </c>
      <c r="W169" s="17">
        <f>IF($Z169="","",CHOOSE($Z169,"Collection Email","1st Follow-up","2nd Follow-up","Local Office","CBE","Roxanne")&amp;IF($Z169=6," - Final"," - Day "&amp;MAX(0,NETWORKDAYS($AA169,TODAY(),Holidays)-1)&amp;" of "&amp;CHOOSE($Z169,3,3,2,2,3))&amp;" | Total Day "&amp;MAX(0,NETWORKDAYS($N169,TODAY(),Holidays)-1))</f>
        <v/>
      </c>
      <c r="X169" s="18"/>
      <c r="Y169" s="18"/>
      <c r="Z169" s="17">
        <f>IF($N169="","",COUNT($N169:$S169))</f>
        <v/>
      </c>
      <c r="AA169" s="19">
        <f>IF($Z169="","",INT(INDEX($N169:$S169,$Z169)))</f>
        <v/>
      </c>
      <c r="AB169" s="19">
        <f>IF(OR($Z169="",$Z169=6),"",WORKDAY($AA169,CHOOSE($Z169,3,3,2,2,3),Holidays))</f>
        <v/>
      </c>
      <c r="AC169" s="17">
        <f>IF(OR($Z169="",$Z169=6),"",CHOOSE($Z169,"1st Email Follow-up","2nd Email Follow-up","Escalate Local Office","Escalate to CBE","Escalate to Roxanne"))</f>
        <v/>
      </c>
    </row>
    <row r="170" spans="13:29">
      <c r="M170" s="14"/>
      <c r="T170" s="16"/>
      <c r="U170" s="17">
        <f>IF(AND(COUNTA($A170:$L170)=0,$N170=""),"",IF($T170="Paid","PAID",IF($T170="Closed","CLOSED",IF($Z170="","",IF($Z170=6,"ESCALATED TO ROXANNE",IF(TODAY()&gt;$AB170,"OVERDUE",IF($AB170&lt;=WORKDAY(TODAY(),1,Holidays),"DUE TOMORROW",IF($Z170=4,"ESCALATED TO LOCAL OFFICE",IF($Z170=5,"ESCALATED TO CBE",IF($AA170=TODAY(),"EMAIL SENT","MONITORING"))))))))))</f>
        <v/>
      </c>
      <c r="V170" s="17">
        <f>IF($U170="",IF(AND(COUNTA($A170:$L170)&gt;0,$N170=""),"Awaiting Collection Email time stamp.",""),IF(OR($U170="PAID",$U170="CLOSED"),IF($U170="PAID","Account paid. Action completed.","Account closed. No further action required."),CHOOSE($Z170,"Collection Email","1st Email Follow-up","2nd Email Follow-up","Escalation to Local Office","Escalation to CBE","Escalation to Roxanne")&amp;" sent "&amp;TEXT($AA170,"dd-mmm")&amp;". "&amp;IF($Z170=6,"Final escalation completed.",IF($U170="OVERDUE","Next: "&amp;$AC170&amp;" was due "&amp;TEXT($AB170,"dd-mmm")&amp;" - "&amp;(NETWORKDAYS($AB170,TODAY(),Holidays)-1)&amp;" business day(s) late. Send now.",IF($U170="DUE TOMORROW","Next: "&amp;$AC170&amp;IF($AB170&lt;=TODAY()," is due TODAY ("," is due next business day (")&amp;TEXT($AB170,"dd-mmm")&amp;").","Next: "&amp;$AC170&amp;" due "&amp;TEXT($AB170,"dd-mmm")&amp;" ("&amp;(NETWORKDAYS(TODAY(),$AB170,Holidays)-1)&amp;" business day(s) left).")))))</f>
        <v/>
      </c>
      <c r="W170" s="17">
        <f>IF($Z170="","",CHOOSE($Z170,"Collection Email","1st Follow-up","2nd Follow-up","Local Office","CBE","Roxanne")&amp;IF($Z170=6," - Final"," - Day "&amp;MAX(0,NETWORKDAYS($AA170,TODAY(),Holidays)-1)&amp;" of "&amp;CHOOSE($Z170,3,3,2,2,3))&amp;" | Total Day "&amp;MAX(0,NETWORKDAYS($N170,TODAY(),Holidays)-1))</f>
        <v/>
      </c>
      <c r="X170" s="18"/>
      <c r="Y170" s="18"/>
      <c r="Z170" s="17">
        <f>IF($N170="","",COUNT($N170:$S170))</f>
        <v/>
      </c>
      <c r="AA170" s="19">
        <f>IF($Z170="","",INT(INDEX($N170:$S170,$Z170)))</f>
        <v/>
      </c>
      <c r="AB170" s="19">
        <f>IF(OR($Z170="",$Z170=6),"",WORKDAY($AA170,CHOOSE($Z170,3,3,2,2,3),Holidays))</f>
        <v/>
      </c>
      <c r="AC170" s="17">
        <f>IF(OR($Z170="",$Z170=6),"",CHOOSE($Z170,"1st Email Follow-up","2nd Email Follow-up","Escalate Local Office","Escalate to CBE","Escalate to Roxanne"))</f>
        <v/>
      </c>
    </row>
    <row r="171" spans="13:29">
      <c r="M171" s="14"/>
      <c r="T171" s="16"/>
      <c r="U171" s="17">
        <f>IF(AND(COUNTA($A171:$L171)=0,$N171=""),"",IF($T171="Paid","PAID",IF($T171="Closed","CLOSED",IF($Z171="","",IF($Z171=6,"ESCALATED TO ROXANNE",IF(TODAY()&gt;$AB171,"OVERDUE",IF($AB171&lt;=WORKDAY(TODAY(),1,Holidays),"DUE TOMORROW",IF($Z171=4,"ESCALATED TO LOCAL OFFICE",IF($Z171=5,"ESCALATED TO CBE",IF($AA171=TODAY(),"EMAIL SENT","MONITORING"))))))))))</f>
        <v/>
      </c>
      <c r="V171" s="17">
        <f>IF($U171="",IF(AND(COUNTA($A171:$L171)&gt;0,$N171=""),"Awaiting Collection Email time stamp.",""),IF(OR($U171="PAID",$U171="CLOSED"),IF($U171="PAID","Account paid. Action completed.","Account closed. No further action required."),CHOOSE($Z171,"Collection Email","1st Email Follow-up","2nd Email Follow-up","Escalation to Local Office","Escalation to CBE","Escalation to Roxanne")&amp;" sent "&amp;TEXT($AA171,"dd-mmm")&amp;". "&amp;IF($Z171=6,"Final escalation completed.",IF($U171="OVERDUE","Next: "&amp;$AC171&amp;" was due "&amp;TEXT($AB171,"dd-mmm")&amp;" - "&amp;(NETWORKDAYS($AB171,TODAY(),Holidays)-1)&amp;" business day(s) late. Send now.",IF($U171="DUE TOMORROW","Next: "&amp;$AC171&amp;IF($AB171&lt;=TODAY()," is due TODAY ("," is due next business day (")&amp;TEXT($AB171,"dd-mmm")&amp;").","Next: "&amp;$AC171&amp;" due "&amp;TEXT($AB171,"dd-mmm")&amp;" ("&amp;(NETWORKDAYS(TODAY(),$AB171,Holidays)-1)&amp;" business day(s) left).")))))</f>
        <v/>
      </c>
      <c r="W171" s="17">
        <f>IF($Z171="","",CHOOSE($Z171,"Collection Email","1st Follow-up","2nd Follow-up","Local Office","CBE","Roxanne")&amp;IF($Z171=6," - Final"," - Day "&amp;MAX(0,NETWORKDAYS($AA171,TODAY(),Holidays)-1)&amp;" of "&amp;CHOOSE($Z171,3,3,2,2,3))&amp;" | Total Day "&amp;MAX(0,NETWORKDAYS($N171,TODAY(),Holidays)-1))</f>
        <v/>
      </c>
      <c r="X171" s="18"/>
      <c r="Y171" s="18"/>
      <c r="Z171" s="17">
        <f>IF($N171="","",COUNT($N171:$S171))</f>
        <v/>
      </c>
      <c r="AA171" s="19">
        <f>IF($Z171="","",INT(INDEX($N171:$S171,$Z171)))</f>
        <v/>
      </c>
      <c r="AB171" s="19">
        <f>IF(OR($Z171="",$Z171=6),"",WORKDAY($AA171,CHOOSE($Z171,3,3,2,2,3),Holidays))</f>
        <v/>
      </c>
      <c r="AC171" s="17">
        <f>IF(OR($Z171="",$Z171=6),"",CHOOSE($Z171,"1st Email Follow-up","2nd Email Follow-up","Escalate Local Office","Escalate to CBE","Escalate to Roxanne"))</f>
        <v/>
      </c>
    </row>
    <row r="172" spans="13:29">
      <c r="M172" s="14"/>
      <c r="T172" s="16"/>
      <c r="U172" s="17">
        <f>IF(AND(COUNTA($A172:$L172)=0,$N172=""),"",IF($T172="Paid","PAID",IF($T172="Closed","CLOSED",IF($Z172="","",IF($Z172=6,"ESCALATED TO ROXANNE",IF(TODAY()&gt;$AB172,"OVERDUE",IF($AB172&lt;=WORKDAY(TODAY(),1,Holidays),"DUE TOMORROW",IF($Z172=4,"ESCALATED TO LOCAL OFFICE",IF($Z172=5,"ESCALATED TO CBE",IF($AA172=TODAY(),"EMAIL SENT","MONITORING"))))))))))</f>
        <v/>
      </c>
      <c r="V172" s="17">
        <f>IF($U172="",IF(AND(COUNTA($A172:$L172)&gt;0,$N172=""),"Awaiting Collection Email time stamp.",""),IF(OR($U172="PAID",$U172="CLOSED"),IF($U172="PAID","Account paid. Action completed.","Account closed. No further action required."),CHOOSE($Z172,"Collection Email","1st Email Follow-up","2nd Email Follow-up","Escalation to Local Office","Escalation to CBE","Escalation to Roxanne")&amp;" sent "&amp;TEXT($AA172,"dd-mmm")&amp;". "&amp;IF($Z172=6,"Final escalation completed.",IF($U172="OVERDUE","Next: "&amp;$AC172&amp;" was due "&amp;TEXT($AB172,"dd-mmm")&amp;" - "&amp;(NETWORKDAYS($AB172,TODAY(),Holidays)-1)&amp;" business day(s) late. Send now.",IF($U172="DUE TOMORROW","Next: "&amp;$AC172&amp;IF($AB172&lt;=TODAY()," is due TODAY ("," is due next business day (")&amp;TEXT($AB172,"dd-mmm")&amp;").","Next: "&amp;$AC172&amp;" due "&amp;TEXT($AB172,"dd-mmm")&amp;" ("&amp;(NETWORKDAYS(TODAY(),$AB172,Holidays)-1)&amp;" business day(s) left).")))))</f>
        <v/>
      </c>
      <c r="W172" s="17">
        <f>IF($Z172="","",CHOOSE($Z172,"Collection Email","1st Follow-up","2nd Follow-up","Local Office","CBE","Roxanne")&amp;IF($Z172=6," - Final"," - Day "&amp;MAX(0,NETWORKDAYS($AA172,TODAY(),Holidays)-1)&amp;" of "&amp;CHOOSE($Z172,3,3,2,2,3))&amp;" | Total Day "&amp;MAX(0,NETWORKDAYS($N172,TODAY(),Holidays)-1))</f>
        <v/>
      </c>
      <c r="X172" s="18"/>
      <c r="Y172" s="18"/>
      <c r="Z172" s="17">
        <f>IF($N172="","",COUNT($N172:$S172))</f>
        <v/>
      </c>
      <c r="AA172" s="19">
        <f>IF($Z172="","",INT(INDEX($N172:$S172,$Z172)))</f>
        <v/>
      </c>
      <c r="AB172" s="19">
        <f>IF(OR($Z172="",$Z172=6),"",WORKDAY($AA172,CHOOSE($Z172,3,3,2,2,3),Holidays))</f>
        <v/>
      </c>
      <c r="AC172" s="17">
        <f>IF(OR($Z172="",$Z172=6),"",CHOOSE($Z172,"1st Email Follow-up","2nd Email Follow-up","Escalate Local Office","Escalate to CBE","Escalate to Roxanne"))</f>
        <v/>
      </c>
    </row>
    <row r="173" spans="13:29">
      <c r="M173" s="14"/>
      <c r="T173" s="16"/>
      <c r="U173" s="17">
        <f>IF(AND(COUNTA($A173:$L173)=0,$N173=""),"",IF($T173="Paid","PAID",IF($T173="Closed","CLOSED",IF($Z173="","",IF($Z173=6,"ESCALATED TO ROXANNE",IF(TODAY()&gt;$AB173,"OVERDUE",IF($AB173&lt;=WORKDAY(TODAY(),1,Holidays),"DUE TOMORROW",IF($Z173=4,"ESCALATED TO LOCAL OFFICE",IF($Z173=5,"ESCALATED TO CBE",IF($AA173=TODAY(),"EMAIL SENT","MONITORING"))))))))))</f>
        <v/>
      </c>
      <c r="V173" s="17">
        <f>IF($U173="",IF(AND(COUNTA($A173:$L173)&gt;0,$N173=""),"Awaiting Collection Email time stamp.",""),IF(OR($U173="PAID",$U173="CLOSED"),IF($U173="PAID","Account paid. Action completed.","Account closed. No further action required."),CHOOSE($Z173,"Collection Email","1st Email Follow-up","2nd Email Follow-up","Escalation to Local Office","Escalation to CBE","Escalation to Roxanne")&amp;" sent "&amp;TEXT($AA173,"dd-mmm")&amp;". "&amp;IF($Z173=6,"Final escalation completed.",IF($U173="OVERDUE","Next: "&amp;$AC173&amp;" was due "&amp;TEXT($AB173,"dd-mmm")&amp;" - "&amp;(NETWORKDAYS($AB173,TODAY(),Holidays)-1)&amp;" business day(s) late. Send now.",IF($U173="DUE TOMORROW","Next: "&amp;$AC173&amp;IF($AB173&lt;=TODAY()," is due TODAY ("," is due next business day (")&amp;TEXT($AB173,"dd-mmm")&amp;").","Next: "&amp;$AC173&amp;" due "&amp;TEXT($AB173,"dd-mmm")&amp;" ("&amp;(NETWORKDAYS(TODAY(),$AB173,Holidays)-1)&amp;" business day(s) left).")))))</f>
        <v/>
      </c>
      <c r="W173" s="17">
        <f>IF($Z173="","",CHOOSE($Z173,"Collection Email","1st Follow-up","2nd Follow-up","Local Office","CBE","Roxanne")&amp;IF($Z173=6," - Final"," - Day "&amp;MAX(0,NETWORKDAYS($AA173,TODAY(),Holidays)-1)&amp;" of "&amp;CHOOSE($Z173,3,3,2,2,3))&amp;" | Total Day "&amp;MAX(0,NETWORKDAYS($N173,TODAY(),Holidays)-1))</f>
        <v/>
      </c>
      <c r="X173" s="18"/>
      <c r="Y173" s="18"/>
      <c r="Z173" s="17">
        <f>IF($N173="","",COUNT($N173:$S173))</f>
        <v/>
      </c>
      <c r="AA173" s="19">
        <f>IF($Z173="","",INT(INDEX($N173:$S173,$Z173)))</f>
        <v/>
      </c>
      <c r="AB173" s="19">
        <f>IF(OR($Z173="",$Z173=6),"",WORKDAY($AA173,CHOOSE($Z173,3,3,2,2,3),Holidays))</f>
        <v/>
      </c>
      <c r="AC173" s="17">
        <f>IF(OR($Z173="",$Z173=6),"",CHOOSE($Z173,"1st Email Follow-up","2nd Email Follow-up","Escalate Local Office","Escalate to CBE","Escalate to Roxanne"))</f>
        <v/>
      </c>
    </row>
    <row r="174" spans="13:29">
      <c r="M174" s="14"/>
      <c r="T174" s="16"/>
      <c r="U174" s="17">
        <f>IF(AND(COUNTA($A174:$L174)=0,$N174=""),"",IF($T174="Paid","PAID",IF($T174="Closed","CLOSED",IF($Z174="","",IF($Z174=6,"ESCALATED TO ROXANNE",IF(TODAY()&gt;$AB174,"OVERDUE",IF($AB174&lt;=WORKDAY(TODAY(),1,Holidays),"DUE TOMORROW",IF($Z174=4,"ESCALATED TO LOCAL OFFICE",IF($Z174=5,"ESCALATED TO CBE",IF($AA174=TODAY(),"EMAIL SENT","MONITORING"))))))))))</f>
        <v/>
      </c>
      <c r="V174" s="17">
        <f>IF($U174="",IF(AND(COUNTA($A174:$L174)&gt;0,$N174=""),"Awaiting Collection Email time stamp.",""),IF(OR($U174="PAID",$U174="CLOSED"),IF($U174="PAID","Account paid. Action completed.","Account closed. No further action required."),CHOOSE($Z174,"Collection Email","1st Email Follow-up","2nd Email Follow-up","Escalation to Local Office","Escalation to CBE","Escalation to Roxanne")&amp;" sent "&amp;TEXT($AA174,"dd-mmm")&amp;". "&amp;IF($Z174=6,"Final escalation completed.",IF($U174="OVERDUE","Next: "&amp;$AC174&amp;" was due "&amp;TEXT($AB174,"dd-mmm")&amp;" - "&amp;(NETWORKDAYS($AB174,TODAY(),Holidays)-1)&amp;" business day(s) late. Send now.",IF($U174="DUE TOMORROW","Next: "&amp;$AC174&amp;IF($AB174&lt;=TODAY()," is due TODAY ("," is due next business day (")&amp;TEXT($AB174,"dd-mmm")&amp;").","Next: "&amp;$AC174&amp;" due "&amp;TEXT($AB174,"dd-mmm")&amp;" ("&amp;(NETWORKDAYS(TODAY(),$AB174,Holidays)-1)&amp;" business day(s) left).")))))</f>
        <v/>
      </c>
      <c r="W174" s="17">
        <f>IF($Z174="","",CHOOSE($Z174,"Collection Email","1st Follow-up","2nd Follow-up","Local Office","CBE","Roxanne")&amp;IF($Z174=6," - Final"," - Day "&amp;MAX(0,NETWORKDAYS($AA174,TODAY(),Holidays)-1)&amp;" of "&amp;CHOOSE($Z174,3,3,2,2,3))&amp;" | Total Day "&amp;MAX(0,NETWORKDAYS($N174,TODAY(),Holidays)-1))</f>
        <v/>
      </c>
      <c r="X174" s="18"/>
      <c r="Y174" s="18"/>
      <c r="Z174" s="17">
        <f>IF($N174="","",COUNT($N174:$S174))</f>
        <v/>
      </c>
      <c r="AA174" s="19">
        <f>IF($Z174="","",INT(INDEX($N174:$S174,$Z174)))</f>
        <v/>
      </c>
      <c r="AB174" s="19">
        <f>IF(OR($Z174="",$Z174=6),"",WORKDAY($AA174,CHOOSE($Z174,3,3,2,2,3),Holidays))</f>
        <v/>
      </c>
      <c r="AC174" s="17">
        <f>IF(OR($Z174="",$Z174=6),"",CHOOSE($Z174,"1st Email Follow-up","2nd Email Follow-up","Escalate Local Office","Escalate to CBE","Escalate to Roxanne"))</f>
        <v/>
      </c>
    </row>
    <row r="175" spans="13:29">
      <c r="M175" s="14"/>
      <c r="T175" s="16"/>
      <c r="U175" s="17">
        <f>IF(AND(COUNTA($A175:$L175)=0,$N175=""),"",IF($T175="Paid","PAID",IF($T175="Closed","CLOSED",IF($Z175="","",IF($Z175=6,"ESCALATED TO ROXANNE",IF(TODAY()&gt;$AB175,"OVERDUE",IF($AB175&lt;=WORKDAY(TODAY(),1,Holidays),"DUE TOMORROW",IF($Z175=4,"ESCALATED TO LOCAL OFFICE",IF($Z175=5,"ESCALATED TO CBE",IF($AA175=TODAY(),"EMAIL SENT","MONITORING"))))))))))</f>
        <v/>
      </c>
      <c r="V175" s="17">
        <f>IF($U175="",IF(AND(COUNTA($A175:$L175)&gt;0,$N175=""),"Awaiting Collection Email time stamp.",""),IF(OR($U175="PAID",$U175="CLOSED"),IF($U175="PAID","Account paid. Action completed.","Account closed. No further action required."),CHOOSE($Z175,"Collection Email","1st Email Follow-up","2nd Email Follow-up","Escalation to Local Office","Escalation to CBE","Escalation to Roxanne")&amp;" sent "&amp;TEXT($AA175,"dd-mmm")&amp;". "&amp;IF($Z175=6,"Final escalation completed.",IF($U175="OVERDUE","Next: "&amp;$AC175&amp;" was due "&amp;TEXT($AB175,"dd-mmm")&amp;" - "&amp;(NETWORKDAYS($AB175,TODAY(),Holidays)-1)&amp;" business day(s) late. Send now.",IF($U175="DUE TOMORROW","Next: "&amp;$AC175&amp;IF($AB175&lt;=TODAY()," is due TODAY ("," is due next business day (")&amp;TEXT($AB175,"dd-mmm")&amp;").","Next: "&amp;$AC175&amp;" due "&amp;TEXT($AB175,"dd-mmm")&amp;" ("&amp;(NETWORKDAYS(TODAY(),$AB175,Holidays)-1)&amp;" business day(s) left).")))))</f>
        <v/>
      </c>
      <c r="W175" s="17">
        <f>IF($Z175="","",CHOOSE($Z175,"Collection Email","1st Follow-up","2nd Follow-up","Local Office","CBE","Roxanne")&amp;IF($Z175=6," - Final"," - Day "&amp;MAX(0,NETWORKDAYS($AA175,TODAY(),Holidays)-1)&amp;" of "&amp;CHOOSE($Z175,3,3,2,2,3))&amp;" | Total Day "&amp;MAX(0,NETWORKDAYS($N175,TODAY(),Holidays)-1))</f>
        <v/>
      </c>
      <c r="X175" s="18"/>
      <c r="Y175" s="18"/>
      <c r="Z175" s="17">
        <f>IF($N175="","",COUNT($N175:$S175))</f>
        <v/>
      </c>
      <c r="AA175" s="19">
        <f>IF($Z175="","",INT(INDEX($N175:$S175,$Z175)))</f>
        <v/>
      </c>
      <c r="AB175" s="19">
        <f>IF(OR($Z175="",$Z175=6),"",WORKDAY($AA175,CHOOSE($Z175,3,3,2,2,3),Holidays))</f>
        <v/>
      </c>
      <c r="AC175" s="17">
        <f>IF(OR($Z175="",$Z175=6),"",CHOOSE($Z175,"1st Email Follow-up","2nd Email Follow-up","Escalate Local Office","Escalate to CBE","Escalate to Roxanne"))</f>
        <v/>
      </c>
    </row>
    <row r="176" spans="13:29">
      <c r="M176" s="14"/>
      <c r="T176" s="16"/>
      <c r="U176" s="17">
        <f>IF(AND(COUNTA($A176:$L176)=0,$N176=""),"",IF($T176="Paid","PAID",IF($T176="Closed","CLOSED",IF($Z176="","",IF($Z176=6,"ESCALATED TO ROXANNE",IF(TODAY()&gt;$AB176,"OVERDUE",IF($AB176&lt;=WORKDAY(TODAY(),1,Holidays),"DUE TOMORROW",IF($Z176=4,"ESCALATED TO LOCAL OFFICE",IF($Z176=5,"ESCALATED TO CBE",IF($AA176=TODAY(),"EMAIL SENT","MONITORING"))))))))))</f>
        <v/>
      </c>
      <c r="V176" s="17">
        <f>IF($U176="",IF(AND(COUNTA($A176:$L176)&gt;0,$N176=""),"Awaiting Collection Email time stamp.",""),IF(OR($U176="PAID",$U176="CLOSED"),IF($U176="PAID","Account paid. Action completed.","Account closed. No further action required."),CHOOSE($Z176,"Collection Email","1st Email Follow-up","2nd Email Follow-up","Escalation to Local Office","Escalation to CBE","Escalation to Roxanne")&amp;" sent "&amp;TEXT($AA176,"dd-mmm")&amp;". "&amp;IF($Z176=6,"Final escalation completed.",IF($U176="OVERDUE","Next: "&amp;$AC176&amp;" was due "&amp;TEXT($AB176,"dd-mmm")&amp;" - "&amp;(NETWORKDAYS($AB176,TODAY(),Holidays)-1)&amp;" business day(s) late. Send now.",IF($U176="DUE TOMORROW","Next: "&amp;$AC176&amp;IF($AB176&lt;=TODAY()," is due TODAY ("," is due next business day (")&amp;TEXT($AB176,"dd-mmm")&amp;").","Next: "&amp;$AC176&amp;" due "&amp;TEXT($AB176,"dd-mmm")&amp;" ("&amp;(NETWORKDAYS(TODAY(),$AB176,Holidays)-1)&amp;" business day(s) left).")))))</f>
        <v/>
      </c>
      <c r="W176" s="17">
        <f>IF($Z176="","",CHOOSE($Z176,"Collection Email","1st Follow-up","2nd Follow-up","Local Office","CBE","Roxanne")&amp;IF($Z176=6," - Final"," - Day "&amp;MAX(0,NETWORKDAYS($AA176,TODAY(),Holidays)-1)&amp;" of "&amp;CHOOSE($Z176,3,3,2,2,3))&amp;" | Total Day "&amp;MAX(0,NETWORKDAYS($N176,TODAY(),Holidays)-1))</f>
        <v/>
      </c>
      <c r="X176" s="18"/>
      <c r="Y176" s="18"/>
      <c r="Z176" s="17">
        <f>IF($N176="","",COUNT($N176:$S176))</f>
        <v/>
      </c>
      <c r="AA176" s="19">
        <f>IF($Z176="","",INT(INDEX($N176:$S176,$Z176)))</f>
        <v/>
      </c>
      <c r="AB176" s="19">
        <f>IF(OR($Z176="",$Z176=6),"",WORKDAY($AA176,CHOOSE($Z176,3,3,2,2,3),Holidays))</f>
        <v/>
      </c>
      <c r="AC176" s="17">
        <f>IF(OR($Z176="",$Z176=6),"",CHOOSE($Z176,"1st Email Follow-up","2nd Email Follow-up","Escalate Local Office","Escalate to CBE","Escalate to Roxanne"))</f>
        <v/>
      </c>
    </row>
    <row r="177" spans="13:29">
      <c r="M177" s="14"/>
      <c r="T177" s="16"/>
      <c r="U177" s="17">
        <f>IF(AND(COUNTA($A177:$L177)=0,$N177=""),"",IF($T177="Paid","PAID",IF($T177="Closed","CLOSED",IF($Z177="","",IF($Z177=6,"ESCALATED TO ROXANNE",IF(TODAY()&gt;$AB177,"OVERDUE",IF($AB177&lt;=WORKDAY(TODAY(),1,Holidays),"DUE TOMORROW",IF($Z177=4,"ESCALATED TO LOCAL OFFICE",IF($Z177=5,"ESCALATED TO CBE",IF($AA177=TODAY(),"EMAIL SENT","MONITORING"))))))))))</f>
        <v/>
      </c>
      <c r="V177" s="17">
        <f>IF($U177="",IF(AND(COUNTA($A177:$L177)&gt;0,$N177=""),"Awaiting Collection Email time stamp.",""),IF(OR($U177="PAID",$U177="CLOSED"),IF($U177="PAID","Account paid. Action completed.","Account closed. No further action required."),CHOOSE($Z177,"Collection Email","1st Email Follow-up","2nd Email Follow-up","Escalation to Local Office","Escalation to CBE","Escalation to Roxanne")&amp;" sent "&amp;TEXT($AA177,"dd-mmm")&amp;". "&amp;IF($Z177=6,"Final escalation completed.",IF($U177="OVERDUE","Next: "&amp;$AC177&amp;" was due "&amp;TEXT($AB177,"dd-mmm")&amp;" - "&amp;(NETWORKDAYS($AB177,TODAY(),Holidays)-1)&amp;" business day(s) late. Send now.",IF($U177="DUE TOMORROW","Next: "&amp;$AC177&amp;IF($AB177&lt;=TODAY()," is due TODAY ("," is due next business day (")&amp;TEXT($AB177,"dd-mmm")&amp;").","Next: "&amp;$AC177&amp;" due "&amp;TEXT($AB177,"dd-mmm")&amp;" ("&amp;(NETWORKDAYS(TODAY(),$AB177,Holidays)-1)&amp;" business day(s) left).")))))</f>
        <v/>
      </c>
      <c r="W177" s="17">
        <f>IF($Z177="","",CHOOSE($Z177,"Collection Email","1st Follow-up","2nd Follow-up","Local Office","CBE","Roxanne")&amp;IF($Z177=6," - Final"," - Day "&amp;MAX(0,NETWORKDAYS($AA177,TODAY(),Holidays)-1)&amp;" of "&amp;CHOOSE($Z177,3,3,2,2,3))&amp;" | Total Day "&amp;MAX(0,NETWORKDAYS($N177,TODAY(),Holidays)-1))</f>
        <v/>
      </c>
      <c r="X177" s="18"/>
      <c r="Y177" s="18"/>
      <c r="Z177" s="17">
        <f>IF($N177="","",COUNT($N177:$S177))</f>
        <v/>
      </c>
      <c r="AA177" s="19">
        <f>IF($Z177="","",INT(INDEX($N177:$S177,$Z177)))</f>
        <v/>
      </c>
      <c r="AB177" s="19">
        <f>IF(OR($Z177="",$Z177=6),"",WORKDAY($AA177,CHOOSE($Z177,3,3,2,2,3),Holidays))</f>
        <v/>
      </c>
      <c r="AC177" s="17">
        <f>IF(OR($Z177="",$Z177=6),"",CHOOSE($Z177,"1st Email Follow-up","2nd Email Follow-up","Escalate Local Office","Escalate to CBE","Escalate to Roxanne"))</f>
        <v/>
      </c>
    </row>
    <row r="178" spans="13:29">
      <c r="M178" s="14"/>
      <c r="T178" s="16"/>
      <c r="U178" s="17">
        <f>IF(AND(COUNTA($A178:$L178)=0,$N178=""),"",IF($T178="Paid","PAID",IF($T178="Closed","CLOSED",IF($Z178="","",IF($Z178=6,"ESCALATED TO ROXANNE",IF(TODAY()&gt;$AB178,"OVERDUE",IF($AB178&lt;=WORKDAY(TODAY(),1,Holidays),"DUE TOMORROW",IF($Z178=4,"ESCALATED TO LOCAL OFFICE",IF($Z178=5,"ESCALATED TO CBE",IF($AA178=TODAY(),"EMAIL SENT","MONITORING"))))))))))</f>
        <v/>
      </c>
      <c r="V178" s="17">
        <f>IF($U178="",IF(AND(COUNTA($A178:$L178)&gt;0,$N178=""),"Awaiting Collection Email time stamp.",""),IF(OR($U178="PAID",$U178="CLOSED"),IF($U178="PAID","Account paid. Action completed.","Account closed. No further action required."),CHOOSE($Z178,"Collection Email","1st Email Follow-up","2nd Email Follow-up","Escalation to Local Office","Escalation to CBE","Escalation to Roxanne")&amp;" sent "&amp;TEXT($AA178,"dd-mmm")&amp;". "&amp;IF($Z178=6,"Final escalation completed.",IF($U178="OVERDUE","Next: "&amp;$AC178&amp;" was due "&amp;TEXT($AB178,"dd-mmm")&amp;" - "&amp;(NETWORKDAYS($AB178,TODAY(),Holidays)-1)&amp;" business day(s) late. Send now.",IF($U178="DUE TOMORROW","Next: "&amp;$AC178&amp;IF($AB178&lt;=TODAY()," is due TODAY ("," is due next business day (")&amp;TEXT($AB178,"dd-mmm")&amp;").","Next: "&amp;$AC178&amp;" due "&amp;TEXT($AB178,"dd-mmm")&amp;" ("&amp;(NETWORKDAYS(TODAY(),$AB178,Holidays)-1)&amp;" business day(s) left).")))))</f>
        <v/>
      </c>
      <c r="W178" s="17">
        <f>IF($Z178="","",CHOOSE($Z178,"Collection Email","1st Follow-up","2nd Follow-up","Local Office","CBE","Roxanne")&amp;IF($Z178=6," - Final"," - Day "&amp;MAX(0,NETWORKDAYS($AA178,TODAY(),Holidays)-1)&amp;" of "&amp;CHOOSE($Z178,3,3,2,2,3))&amp;" | Total Day "&amp;MAX(0,NETWORKDAYS($N178,TODAY(),Holidays)-1))</f>
        <v/>
      </c>
      <c r="X178" s="18"/>
      <c r="Y178" s="18"/>
      <c r="Z178" s="17">
        <f>IF($N178="","",COUNT($N178:$S178))</f>
        <v/>
      </c>
      <c r="AA178" s="19">
        <f>IF($Z178="","",INT(INDEX($N178:$S178,$Z178)))</f>
        <v/>
      </c>
      <c r="AB178" s="19">
        <f>IF(OR($Z178="",$Z178=6),"",WORKDAY($AA178,CHOOSE($Z178,3,3,2,2,3),Holidays))</f>
        <v/>
      </c>
      <c r="AC178" s="17">
        <f>IF(OR($Z178="",$Z178=6),"",CHOOSE($Z178,"1st Email Follow-up","2nd Email Follow-up","Escalate Local Office","Escalate to CBE","Escalate to Roxanne"))</f>
        <v/>
      </c>
    </row>
    <row r="179" spans="13:29">
      <c r="M179" s="14"/>
      <c r="T179" s="16"/>
      <c r="U179" s="17">
        <f>IF(AND(COUNTA($A179:$L179)=0,$N179=""),"",IF($T179="Paid","PAID",IF($T179="Closed","CLOSED",IF($Z179="","",IF($Z179=6,"ESCALATED TO ROXANNE",IF(TODAY()&gt;$AB179,"OVERDUE",IF($AB179&lt;=WORKDAY(TODAY(),1,Holidays),"DUE TOMORROW",IF($Z179=4,"ESCALATED TO LOCAL OFFICE",IF($Z179=5,"ESCALATED TO CBE",IF($AA179=TODAY(),"EMAIL SENT","MONITORING"))))))))))</f>
        <v/>
      </c>
      <c r="V179" s="17">
        <f>IF($U179="",IF(AND(COUNTA($A179:$L179)&gt;0,$N179=""),"Awaiting Collection Email time stamp.",""),IF(OR($U179="PAID",$U179="CLOSED"),IF($U179="PAID","Account paid. Action completed.","Account closed. No further action required."),CHOOSE($Z179,"Collection Email","1st Email Follow-up","2nd Email Follow-up","Escalation to Local Office","Escalation to CBE","Escalation to Roxanne")&amp;" sent "&amp;TEXT($AA179,"dd-mmm")&amp;". "&amp;IF($Z179=6,"Final escalation completed.",IF($U179="OVERDUE","Next: "&amp;$AC179&amp;" was due "&amp;TEXT($AB179,"dd-mmm")&amp;" - "&amp;(NETWORKDAYS($AB179,TODAY(),Holidays)-1)&amp;" business day(s) late. Send now.",IF($U179="DUE TOMORROW","Next: "&amp;$AC179&amp;IF($AB179&lt;=TODAY()," is due TODAY ("," is due next business day (")&amp;TEXT($AB179,"dd-mmm")&amp;").","Next: "&amp;$AC179&amp;" due "&amp;TEXT($AB179,"dd-mmm")&amp;" ("&amp;(NETWORKDAYS(TODAY(),$AB179,Holidays)-1)&amp;" business day(s) left).")))))</f>
        <v/>
      </c>
      <c r="W179" s="17">
        <f>IF($Z179="","",CHOOSE($Z179,"Collection Email","1st Follow-up","2nd Follow-up","Local Office","CBE","Roxanne")&amp;IF($Z179=6," - Final"," - Day "&amp;MAX(0,NETWORKDAYS($AA179,TODAY(),Holidays)-1)&amp;" of "&amp;CHOOSE($Z179,3,3,2,2,3))&amp;" | Total Day "&amp;MAX(0,NETWORKDAYS($N179,TODAY(),Holidays)-1))</f>
        <v/>
      </c>
      <c r="X179" s="18"/>
      <c r="Y179" s="18"/>
      <c r="Z179" s="17">
        <f>IF($N179="","",COUNT($N179:$S179))</f>
        <v/>
      </c>
      <c r="AA179" s="19">
        <f>IF($Z179="","",INT(INDEX($N179:$S179,$Z179)))</f>
        <v/>
      </c>
      <c r="AB179" s="19">
        <f>IF(OR($Z179="",$Z179=6),"",WORKDAY($AA179,CHOOSE($Z179,3,3,2,2,3),Holidays))</f>
        <v/>
      </c>
      <c r="AC179" s="17">
        <f>IF(OR($Z179="",$Z179=6),"",CHOOSE($Z179,"1st Email Follow-up","2nd Email Follow-up","Escalate Local Office","Escalate to CBE","Escalate to Roxanne"))</f>
        <v/>
      </c>
    </row>
    <row r="180" spans="13:29">
      <c r="M180" s="14"/>
      <c r="T180" s="16"/>
      <c r="U180" s="17">
        <f>IF(AND(COUNTA($A180:$L180)=0,$N180=""),"",IF($T180="Paid","PAID",IF($T180="Closed","CLOSED",IF($Z180="","",IF($Z180=6,"ESCALATED TO ROXANNE",IF(TODAY()&gt;$AB180,"OVERDUE",IF($AB180&lt;=WORKDAY(TODAY(),1,Holidays),"DUE TOMORROW",IF($Z180=4,"ESCALATED TO LOCAL OFFICE",IF($Z180=5,"ESCALATED TO CBE",IF($AA180=TODAY(),"EMAIL SENT","MONITORING"))))))))))</f>
        <v/>
      </c>
      <c r="V180" s="17">
        <f>IF($U180="",IF(AND(COUNTA($A180:$L180)&gt;0,$N180=""),"Awaiting Collection Email time stamp.",""),IF(OR($U180="PAID",$U180="CLOSED"),IF($U180="PAID","Account paid. Action completed.","Account closed. No further action required."),CHOOSE($Z180,"Collection Email","1st Email Follow-up","2nd Email Follow-up","Escalation to Local Office","Escalation to CBE","Escalation to Roxanne")&amp;" sent "&amp;TEXT($AA180,"dd-mmm")&amp;". "&amp;IF($Z180=6,"Final escalation completed.",IF($U180="OVERDUE","Next: "&amp;$AC180&amp;" was due "&amp;TEXT($AB180,"dd-mmm")&amp;" - "&amp;(NETWORKDAYS($AB180,TODAY(),Holidays)-1)&amp;" business day(s) late. Send now.",IF($U180="DUE TOMORROW","Next: "&amp;$AC180&amp;IF($AB180&lt;=TODAY()," is due TODAY ("," is due next business day (")&amp;TEXT($AB180,"dd-mmm")&amp;").","Next: "&amp;$AC180&amp;" due "&amp;TEXT($AB180,"dd-mmm")&amp;" ("&amp;(NETWORKDAYS(TODAY(),$AB180,Holidays)-1)&amp;" business day(s) left).")))))</f>
        <v/>
      </c>
      <c r="W180" s="17">
        <f>IF($Z180="","",CHOOSE($Z180,"Collection Email","1st Follow-up","2nd Follow-up","Local Office","CBE","Roxanne")&amp;IF($Z180=6," - Final"," - Day "&amp;MAX(0,NETWORKDAYS($AA180,TODAY(),Holidays)-1)&amp;" of "&amp;CHOOSE($Z180,3,3,2,2,3))&amp;" | Total Day "&amp;MAX(0,NETWORKDAYS($N180,TODAY(),Holidays)-1))</f>
        <v/>
      </c>
      <c r="X180" s="18"/>
      <c r="Y180" s="18"/>
      <c r="Z180" s="17">
        <f>IF($N180="","",COUNT($N180:$S180))</f>
        <v/>
      </c>
      <c r="AA180" s="19">
        <f>IF($Z180="","",INT(INDEX($N180:$S180,$Z180)))</f>
        <v/>
      </c>
      <c r="AB180" s="19">
        <f>IF(OR($Z180="",$Z180=6),"",WORKDAY($AA180,CHOOSE($Z180,3,3,2,2,3),Holidays))</f>
        <v/>
      </c>
      <c r="AC180" s="17">
        <f>IF(OR($Z180="",$Z180=6),"",CHOOSE($Z180,"1st Email Follow-up","2nd Email Follow-up","Escalate Local Office","Escalate to CBE","Escalate to Roxanne"))</f>
        <v/>
      </c>
    </row>
    <row r="181" spans="13:29">
      <c r="M181" s="14"/>
      <c r="T181" s="16"/>
      <c r="U181" s="17">
        <f>IF(AND(COUNTA($A181:$L181)=0,$N181=""),"",IF($T181="Paid","PAID",IF($T181="Closed","CLOSED",IF($Z181="","",IF($Z181=6,"ESCALATED TO ROXANNE",IF(TODAY()&gt;$AB181,"OVERDUE",IF($AB181&lt;=WORKDAY(TODAY(),1,Holidays),"DUE TOMORROW",IF($Z181=4,"ESCALATED TO LOCAL OFFICE",IF($Z181=5,"ESCALATED TO CBE",IF($AA181=TODAY(),"EMAIL SENT","MONITORING"))))))))))</f>
        <v/>
      </c>
      <c r="V181" s="17">
        <f>IF($U181="",IF(AND(COUNTA($A181:$L181)&gt;0,$N181=""),"Awaiting Collection Email time stamp.",""),IF(OR($U181="PAID",$U181="CLOSED"),IF($U181="PAID","Account paid. Action completed.","Account closed. No further action required."),CHOOSE($Z181,"Collection Email","1st Email Follow-up","2nd Email Follow-up","Escalation to Local Office","Escalation to CBE","Escalation to Roxanne")&amp;" sent "&amp;TEXT($AA181,"dd-mmm")&amp;". "&amp;IF($Z181=6,"Final escalation completed.",IF($U181="OVERDUE","Next: "&amp;$AC181&amp;" was due "&amp;TEXT($AB181,"dd-mmm")&amp;" - "&amp;(NETWORKDAYS($AB181,TODAY(),Holidays)-1)&amp;" business day(s) late. Send now.",IF($U181="DUE TOMORROW","Next: "&amp;$AC181&amp;IF($AB181&lt;=TODAY()," is due TODAY ("," is due next business day (")&amp;TEXT($AB181,"dd-mmm")&amp;").","Next: "&amp;$AC181&amp;" due "&amp;TEXT($AB181,"dd-mmm")&amp;" ("&amp;(NETWORKDAYS(TODAY(),$AB181,Holidays)-1)&amp;" business day(s) left).")))))</f>
        <v/>
      </c>
      <c r="W181" s="17">
        <f>IF($Z181="","",CHOOSE($Z181,"Collection Email","1st Follow-up","2nd Follow-up","Local Office","CBE","Roxanne")&amp;IF($Z181=6," - Final"," - Day "&amp;MAX(0,NETWORKDAYS($AA181,TODAY(),Holidays)-1)&amp;" of "&amp;CHOOSE($Z181,3,3,2,2,3))&amp;" | Total Day "&amp;MAX(0,NETWORKDAYS($N181,TODAY(),Holidays)-1))</f>
        <v/>
      </c>
      <c r="X181" s="18"/>
      <c r="Y181" s="18"/>
      <c r="Z181" s="17">
        <f>IF($N181="","",COUNT($N181:$S181))</f>
        <v/>
      </c>
      <c r="AA181" s="19">
        <f>IF($Z181="","",INT(INDEX($N181:$S181,$Z181)))</f>
        <v/>
      </c>
      <c r="AB181" s="19">
        <f>IF(OR($Z181="",$Z181=6),"",WORKDAY($AA181,CHOOSE($Z181,3,3,2,2,3),Holidays))</f>
        <v/>
      </c>
      <c r="AC181" s="17">
        <f>IF(OR($Z181="",$Z181=6),"",CHOOSE($Z181,"1st Email Follow-up","2nd Email Follow-up","Escalate Local Office","Escalate to CBE","Escalate to Roxanne"))</f>
        <v/>
      </c>
    </row>
    <row r="182" spans="13:29">
      <c r="M182" s="14"/>
      <c r="T182" s="16"/>
      <c r="U182" s="17">
        <f>IF(AND(COUNTA($A182:$L182)=0,$N182=""),"",IF($T182="Paid","PAID",IF($T182="Closed","CLOSED",IF($Z182="","",IF($Z182=6,"ESCALATED TO ROXANNE",IF(TODAY()&gt;$AB182,"OVERDUE",IF($AB182&lt;=WORKDAY(TODAY(),1,Holidays),"DUE TOMORROW",IF($Z182=4,"ESCALATED TO LOCAL OFFICE",IF($Z182=5,"ESCALATED TO CBE",IF($AA182=TODAY(),"EMAIL SENT","MONITORING"))))))))))</f>
        <v/>
      </c>
      <c r="V182" s="17">
        <f>IF($U182="",IF(AND(COUNTA($A182:$L182)&gt;0,$N182=""),"Awaiting Collection Email time stamp.",""),IF(OR($U182="PAID",$U182="CLOSED"),IF($U182="PAID","Account paid. Action completed.","Account closed. No further action required."),CHOOSE($Z182,"Collection Email","1st Email Follow-up","2nd Email Follow-up","Escalation to Local Office","Escalation to CBE","Escalation to Roxanne")&amp;" sent "&amp;TEXT($AA182,"dd-mmm")&amp;". "&amp;IF($Z182=6,"Final escalation completed.",IF($U182="OVERDUE","Next: "&amp;$AC182&amp;" was due "&amp;TEXT($AB182,"dd-mmm")&amp;" - "&amp;(NETWORKDAYS($AB182,TODAY(),Holidays)-1)&amp;" business day(s) late. Send now.",IF($U182="DUE TOMORROW","Next: "&amp;$AC182&amp;IF($AB182&lt;=TODAY()," is due TODAY ("," is due next business day (")&amp;TEXT($AB182,"dd-mmm")&amp;").","Next: "&amp;$AC182&amp;" due "&amp;TEXT($AB182,"dd-mmm")&amp;" ("&amp;(NETWORKDAYS(TODAY(),$AB182,Holidays)-1)&amp;" business day(s) left).")))))</f>
        <v/>
      </c>
      <c r="W182" s="17">
        <f>IF($Z182="","",CHOOSE($Z182,"Collection Email","1st Follow-up","2nd Follow-up","Local Office","CBE","Roxanne")&amp;IF($Z182=6," - Final"," - Day "&amp;MAX(0,NETWORKDAYS($AA182,TODAY(),Holidays)-1)&amp;" of "&amp;CHOOSE($Z182,3,3,2,2,3))&amp;" | Total Day "&amp;MAX(0,NETWORKDAYS($N182,TODAY(),Holidays)-1))</f>
        <v/>
      </c>
      <c r="X182" s="18"/>
      <c r="Y182" s="18"/>
      <c r="Z182" s="17">
        <f>IF($N182="","",COUNT($N182:$S182))</f>
        <v/>
      </c>
      <c r="AA182" s="19">
        <f>IF($Z182="","",INT(INDEX($N182:$S182,$Z182)))</f>
        <v/>
      </c>
      <c r="AB182" s="19">
        <f>IF(OR($Z182="",$Z182=6),"",WORKDAY($AA182,CHOOSE($Z182,3,3,2,2,3),Holidays))</f>
        <v/>
      </c>
      <c r="AC182" s="17">
        <f>IF(OR($Z182="",$Z182=6),"",CHOOSE($Z182,"1st Email Follow-up","2nd Email Follow-up","Escalate Local Office","Escalate to CBE","Escalate to Roxanne"))</f>
        <v/>
      </c>
    </row>
    <row r="183" spans="13:29">
      <c r="M183" s="14"/>
      <c r="T183" s="16"/>
      <c r="U183" s="17">
        <f>IF(AND(COUNTA($A183:$L183)=0,$N183=""),"",IF($T183="Paid","PAID",IF($T183="Closed","CLOSED",IF($Z183="","",IF($Z183=6,"ESCALATED TO ROXANNE",IF(TODAY()&gt;$AB183,"OVERDUE",IF($AB183&lt;=WORKDAY(TODAY(),1,Holidays),"DUE TOMORROW",IF($Z183=4,"ESCALATED TO LOCAL OFFICE",IF($Z183=5,"ESCALATED TO CBE",IF($AA183=TODAY(),"EMAIL SENT","MONITORING"))))))))))</f>
        <v/>
      </c>
      <c r="V183" s="17">
        <f>IF($U183="",IF(AND(COUNTA($A183:$L183)&gt;0,$N183=""),"Awaiting Collection Email time stamp.",""),IF(OR($U183="PAID",$U183="CLOSED"),IF($U183="PAID","Account paid. Action completed.","Account closed. No further action required."),CHOOSE($Z183,"Collection Email","1st Email Follow-up","2nd Email Follow-up","Escalation to Local Office","Escalation to CBE","Escalation to Roxanne")&amp;" sent "&amp;TEXT($AA183,"dd-mmm")&amp;". "&amp;IF($Z183=6,"Final escalation completed.",IF($U183="OVERDUE","Next: "&amp;$AC183&amp;" was due "&amp;TEXT($AB183,"dd-mmm")&amp;" - "&amp;(NETWORKDAYS($AB183,TODAY(),Holidays)-1)&amp;" business day(s) late. Send now.",IF($U183="DUE TOMORROW","Next: "&amp;$AC183&amp;IF($AB183&lt;=TODAY()," is due TODAY ("," is due next business day (")&amp;TEXT($AB183,"dd-mmm")&amp;").","Next: "&amp;$AC183&amp;" due "&amp;TEXT($AB183,"dd-mmm")&amp;" ("&amp;(NETWORKDAYS(TODAY(),$AB183,Holidays)-1)&amp;" business day(s) left).")))))</f>
        <v/>
      </c>
      <c r="W183" s="17">
        <f>IF($Z183="","",CHOOSE($Z183,"Collection Email","1st Follow-up","2nd Follow-up","Local Office","CBE","Roxanne")&amp;IF($Z183=6," - Final"," - Day "&amp;MAX(0,NETWORKDAYS($AA183,TODAY(),Holidays)-1)&amp;" of "&amp;CHOOSE($Z183,3,3,2,2,3))&amp;" | Total Day "&amp;MAX(0,NETWORKDAYS($N183,TODAY(),Holidays)-1))</f>
        <v/>
      </c>
      <c r="X183" s="18"/>
      <c r="Y183" s="18"/>
      <c r="Z183" s="17">
        <f>IF($N183="","",COUNT($N183:$S183))</f>
        <v/>
      </c>
      <c r="AA183" s="19">
        <f>IF($Z183="","",INT(INDEX($N183:$S183,$Z183)))</f>
        <v/>
      </c>
      <c r="AB183" s="19">
        <f>IF(OR($Z183="",$Z183=6),"",WORKDAY($AA183,CHOOSE($Z183,3,3,2,2,3),Holidays))</f>
        <v/>
      </c>
      <c r="AC183" s="17">
        <f>IF(OR($Z183="",$Z183=6),"",CHOOSE($Z183,"1st Email Follow-up","2nd Email Follow-up","Escalate Local Office","Escalate to CBE","Escalate to Roxanne"))</f>
        <v/>
      </c>
    </row>
    <row r="184" spans="13:29">
      <c r="M184" s="14"/>
      <c r="T184" s="16"/>
      <c r="U184" s="17">
        <f>IF(AND(COUNTA($A184:$L184)=0,$N184=""),"",IF($T184="Paid","PAID",IF($T184="Closed","CLOSED",IF($Z184="","",IF($Z184=6,"ESCALATED TO ROXANNE",IF(TODAY()&gt;$AB184,"OVERDUE",IF($AB184&lt;=WORKDAY(TODAY(),1,Holidays),"DUE TOMORROW",IF($Z184=4,"ESCALATED TO LOCAL OFFICE",IF($Z184=5,"ESCALATED TO CBE",IF($AA184=TODAY(),"EMAIL SENT","MONITORING"))))))))))</f>
        <v/>
      </c>
      <c r="V184" s="17">
        <f>IF($U184="",IF(AND(COUNTA($A184:$L184)&gt;0,$N184=""),"Awaiting Collection Email time stamp.",""),IF(OR($U184="PAID",$U184="CLOSED"),IF($U184="PAID","Account paid. Action completed.","Account closed. No further action required."),CHOOSE($Z184,"Collection Email","1st Email Follow-up","2nd Email Follow-up","Escalation to Local Office","Escalation to CBE","Escalation to Roxanne")&amp;" sent "&amp;TEXT($AA184,"dd-mmm")&amp;". "&amp;IF($Z184=6,"Final escalation completed.",IF($U184="OVERDUE","Next: "&amp;$AC184&amp;" was due "&amp;TEXT($AB184,"dd-mmm")&amp;" - "&amp;(NETWORKDAYS($AB184,TODAY(),Holidays)-1)&amp;" business day(s) late. Send now.",IF($U184="DUE TOMORROW","Next: "&amp;$AC184&amp;IF($AB184&lt;=TODAY()," is due TODAY ("," is due next business day (")&amp;TEXT($AB184,"dd-mmm")&amp;").","Next: "&amp;$AC184&amp;" due "&amp;TEXT($AB184,"dd-mmm")&amp;" ("&amp;(NETWORKDAYS(TODAY(),$AB184,Holidays)-1)&amp;" business day(s) left).")))))</f>
        <v/>
      </c>
      <c r="W184" s="17">
        <f>IF($Z184="","",CHOOSE($Z184,"Collection Email","1st Follow-up","2nd Follow-up","Local Office","CBE","Roxanne")&amp;IF($Z184=6," - Final"," - Day "&amp;MAX(0,NETWORKDAYS($AA184,TODAY(),Holidays)-1)&amp;" of "&amp;CHOOSE($Z184,3,3,2,2,3))&amp;" | Total Day "&amp;MAX(0,NETWORKDAYS($N184,TODAY(),Holidays)-1))</f>
        <v/>
      </c>
      <c r="X184" s="18"/>
      <c r="Y184" s="18"/>
      <c r="Z184" s="17">
        <f>IF($N184="","",COUNT($N184:$S184))</f>
        <v/>
      </c>
      <c r="AA184" s="19">
        <f>IF($Z184="","",INT(INDEX($N184:$S184,$Z184)))</f>
        <v/>
      </c>
      <c r="AB184" s="19">
        <f>IF(OR($Z184="",$Z184=6),"",WORKDAY($AA184,CHOOSE($Z184,3,3,2,2,3),Holidays))</f>
        <v/>
      </c>
      <c r="AC184" s="17">
        <f>IF(OR($Z184="",$Z184=6),"",CHOOSE($Z184,"1st Email Follow-up","2nd Email Follow-up","Escalate Local Office","Escalate to CBE","Escalate to Roxanne"))</f>
        <v/>
      </c>
    </row>
    <row r="185" spans="13:29">
      <c r="M185" s="14"/>
      <c r="T185" s="16"/>
      <c r="U185" s="17">
        <f>IF(AND(COUNTA($A185:$L185)=0,$N185=""),"",IF($T185="Paid","PAID",IF($T185="Closed","CLOSED",IF($Z185="","",IF($Z185=6,"ESCALATED TO ROXANNE",IF(TODAY()&gt;$AB185,"OVERDUE",IF($AB185&lt;=WORKDAY(TODAY(),1,Holidays),"DUE TOMORROW",IF($Z185=4,"ESCALATED TO LOCAL OFFICE",IF($Z185=5,"ESCALATED TO CBE",IF($AA185=TODAY(),"EMAIL SENT","MONITORING"))))))))))</f>
        <v/>
      </c>
      <c r="V185" s="17">
        <f>IF($U185="",IF(AND(COUNTA($A185:$L185)&gt;0,$N185=""),"Awaiting Collection Email time stamp.",""),IF(OR($U185="PAID",$U185="CLOSED"),IF($U185="PAID","Account paid. Action completed.","Account closed. No further action required."),CHOOSE($Z185,"Collection Email","1st Email Follow-up","2nd Email Follow-up","Escalation to Local Office","Escalation to CBE","Escalation to Roxanne")&amp;" sent "&amp;TEXT($AA185,"dd-mmm")&amp;". "&amp;IF($Z185=6,"Final escalation completed.",IF($U185="OVERDUE","Next: "&amp;$AC185&amp;" was due "&amp;TEXT($AB185,"dd-mmm")&amp;" - "&amp;(NETWORKDAYS($AB185,TODAY(),Holidays)-1)&amp;" business day(s) late. Send now.",IF($U185="DUE TOMORROW","Next: "&amp;$AC185&amp;IF($AB185&lt;=TODAY()," is due TODAY ("," is due next business day (")&amp;TEXT($AB185,"dd-mmm")&amp;").","Next: "&amp;$AC185&amp;" due "&amp;TEXT($AB185,"dd-mmm")&amp;" ("&amp;(NETWORKDAYS(TODAY(),$AB185,Holidays)-1)&amp;" business day(s) left).")))))</f>
        <v/>
      </c>
      <c r="W185" s="17">
        <f>IF($Z185="","",CHOOSE($Z185,"Collection Email","1st Follow-up","2nd Follow-up","Local Office","CBE","Roxanne")&amp;IF($Z185=6," - Final"," - Day "&amp;MAX(0,NETWORKDAYS($AA185,TODAY(),Holidays)-1)&amp;" of "&amp;CHOOSE($Z185,3,3,2,2,3))&amp;" | Total Day "&amp;MAX(0,NETWORKDAYS($N185,TODAY(),Holidays)-1))</f>
        <v/>
      </c>
      <c r="X185" s="18"/>
      <c r="Y185" s="18"/>
      <c r="Z185" s="17">
        <f>IF($N185="","",COUNT($N185:$S185))</f>
        <v/>
      </c>
      <c r="AA185" s="19">
        <f>IF($Z185="","",INT(INDEX($N185:$S185,$Z185)))</f>
        <v/>
      </c>
      <c r="AB185" s="19">
        <f>IF(OR($Z185="",$Z185=6),"",WORKDAY($AA185,CHOOSE($Z185,3,3,2,2,3),Holidays))</f>
        <v/>
      </c>
      <c r="AC185" s="17">
        <f>IF(OR($Z185="",$Z185=6),"",CHOOSE($Z185,"1st Email Follow-up","2nd Email Follow-up","Escalate Local Office","Escalate to CBE","Escalate to Roxanne"))</f>
        <v/>
      </c>
    </row>
    <row r="186" spans="13:29">
      <c r="M186" s="14"/>
      <c r="T186" s="16"/>
      <c r="U186" s="17">
        <f>IF(AND(COUNTA($A186:$L186)=0,$N186=""),"",IF($T186="Paid","PAID",IF($T186="Closed","CLOSED",IF($Z186="","",IF($Z186=6,"ESCALATED TO ROXANNE",IF(TODAY()&gt;$AB186,"OVERDUE",IF($AB186&lt;=WORKDAY(TODAY(),1,Holidays),"DUE TOMORROW",IF($Z186=4,"ESCALATED TO LOCAL OFFICE",IF($Z186=5,"ESCALATED TO CBE",IF($AA186=TODAY(),"EMAIL SENT","MONITORING"))))))))))</f>
        <v/>
      </c>
      <c r="V186" s="17">
        <f>IF($U186="",IF(AND(COUNTA($A186:$L186)&gt;0,$N186=""),"Awaiting Collection Email time stamp.",""),IF(OR($U186="PAID",$U186="CLOSED"),IF($U186="PAID","Account paid. Action completed.","Account closed. No further action required."),CHOOSE($Z186,"Collection Email","1st Email Follow-up","2nd Email Follow-up","Escalation to Local Office","Escalation to CBE","Escalation to Roxanne")&amp;" sent "&amp;TEXT($AA186,"dd-mmm")&amp;". "&amp;IF($Z186=6,"Final escalation completed.",IF($U186="OVERDUE","Next: "&amp;$AC186&amp;" was due "&amp;TEXT($AB186,"dd-mmm")&amp;" - "&amp;(NETWORKDAYS($AB186,TODAY(),Holidays)-1)&amp;" business day(s) late. Send now.",IF($U186="DUE TOMORROW","Next: "&amp;$AC186&amp;IF($AB186&lt;=TODAY()," is due TODAY ("," is due next business day (")&amp;TEXT($AB186,"dd-mmm")&amp;").","Next: "&amp;$AC186&amp;" due "&amp;TEXT($AB186,"dd-mmm")&amp;" ("&amp;(NETWORKDAYS(TODAY(),$AB186,Holidays)-1)&amp;" business day(s) left).")))))</f>
        <v/>
      </c>
      <c r="W186" s="17">
        <f>IF($Z186="","",CHOOSE($Z186,"Collection Email","1st Follow-up","2nd Follow-up","Local Office","CBE","Roxanne")&amp;IF($Z186=6," - Final"," - Day "&amp;MAX(0,NETWORKDAYS($AA186,TODAY(),Holidays)-1)&amp;" of "&amp;CHOOSE($Z186,3,3,2,2,3))&amp;" | Total Day "&amp;MAX(0,NETWORKDAYS($N186,TODAY(),Holidays)-1))</f>
        <v/>
      </c>
      <c r="X186" s="18"/>
      <c r="Y186" s="18"/>
      <c r="Z186" s="17">
        <f>IF($N186="","",COUNT($N186:$S186))</f>
        <v/>
      </c>
      <c r="AA186" s="19">
        <f>IF($Z186="","",INT(INDEX($N186:$S186,$Z186)))</f>
        <v/>
      </c>
      <c r="AB186" s="19">
        <f>IF(OR($Z186="",$Z186=6),"",WORKDAY($AA186,CHOOSE($Z186,3,3,2,2,3),Holidays))</f>
        <v/>
      </c>
      <c r="AC186" s="17">
        <f>IF(OR($Z186="",$Z186=6),"",CHOOSE($Z186,"1st Email Follow-up","2nd Email Follow-up","Escalate Local Office","Escalate to CBE","Escalate to Roxanne"))</f>
        <v/>
      </c>
    </row>
    <row r="187" spans="13:29">
      <c r="M187" s="14"/>
      <c r="T187" s="16"/>
      <c r="U187" s="17">
        <f>IF(AND(COUNTA($A187:$L187)=0,$N187=""),"",IF($T187="Paid","PAID",IF($T187="Closed","CLOSED",IF($Z187="","",IF($Z187=6,"ESCALATED TO ROXANNE",IF(TODAY()&gt;$AB187,"OVERDUE",IF($AB187&lt;=WORKDAY(TODAY(),1,Holidays),"DUE TOMORROW",IF($Z187=4,"ESCALATED TO LOCAL OFFICE",IF($Z187=5,"ESCALATED TO CBE",IF($AA187=TODAY(),"EMAIL SENT","MONITORING"))))))))))</f>
        <v/>
      </c>
      <c r="V187" s="17">
        <f>IF($U187="",IF(AND(COUNTA($A187:$L187)&gt;0,$N187=""),"Awaiting Collection Email time stamp.",""),IF(OR($U187="PAID",$U187="CLOSED"),IF($U187="PAID","Account paid. Action completed.","Account closed. No further action required."),CHOOSE($Z187,"Collection Email","1st Email Follow-up","2nd Email Follow-up","Escalation to Local Office","Escalation to CBE","Escalation to Roxanne")&amp;" sent "&amp;TEXT($AA187,"dd-mmm")&amp;". "&amp;IF($Z187=6,"Final escalation completed.",IF($U187="OVERDUE","Next: "&amp;$AC187&amp;" was due "&amp;TEXT($AB187,"dd-mmm")&amp;" - "&amp;(NETWORKDAYS($AB187,TODAY(),Holidays)-1)&amp;" business day(s) late. Send now.",IF($U187="DUE TOMORROW","Next: "&amp;$AC187&amp;IF($AB187&lt;=TODAY()," is due TODAY ("," is due next business day (")&amp;TEXT($AB187,"dd-mmm")&amp;").","Next: "&amp;$AC187&amp;" due "&amp;TEXT($AB187,"dd-mmm")&amp;" ("&amp;(NETWORKDAYS(TODAY(),$AB187,Holidays)-1)&amp;" business day(s) left).")))))</f>
        <v/>
      </c>
      <c r="W187" s="17">
        <f>IF($Z187="","",CHOOSE($Z187,"Collection Email","1st Follow-up","2nd Follow-up","Local Office","CBE","Roxanne")&amp;IF($Z187=6," - Final"," - Day "&amp;MAX(0,NETWORKDAYS($AA187,TODAY(),Holidays)-1)&amp;" of "&amp;CHOOSE($Z187,3,3,2,2,3))&amp;" | Total Day "&amp;MAX(0,NETWORKDAYS($N187,TODAY(),Holidays)-1))</f>
        <v/>
      </c>
      <c r="X187" s="18"/>
      <c r="Y187" s="18"/>
      <c r="Z187" s="17">
        <f>IF($N187="","",COUNT($N187:$S187))</f>
        <v/>
      </c>
      <c r="AA187" s="19">
        <f>IF($Z187="","",INT(INDEX($N187:$S187,$Z187)))</f>
        <v/>
      </c>
      <c r="AB187" s="19">
        <f>IF(OR($Z187="",$Z187=6),"",WORKDAY($AA187,CHOOSE($Z187,3,3,2,2,3),Holidays))</f>
        <v/>
      </c>
      <c r="AC187" s="17">
        <f>IF(OR($Z187="",$Z187=6),"",CHOOSE($Z187,"1st Email Follow-up","2nd Email Follow-up","Escalate Local Office","Escalate to CBE","Escalate to Roxanne"))</f>
        <v/>
      </c>
    </row>
    <row r="188" spans="13:29">
      <c r="M188" s="14"/>
      <c r="T188" s="16"/>
      <c r="U188" s="17">
        <f>IF(AND(COUNTA($A188:$L188)=0,$N188=""),"",IF($T188="Paid","PAID",IF($T188="Closed","CLOSED",IF($Z188="","",IF($Z188=6,"ESCALATED TO ROXANNE",IF(TODAY()&gt;$AB188,"OVERDUE",IF($AB188&lt;=WORKDAY(TODAY(),1,Holidays),"DUE TOMORROW",IF($Z188=4,"ESCALATED TO LOCAL OFFICE",IF($Z188=5,"ESCALATED TO CBE",IF($AA188=TODAY(),"EMAIL SENT","MONITORING"))))))))))</f>
        <v/>
      </c>
      <c r="V188" s="17">
        <f>IF($U188="",IF(AND(COUNTA($A188:$L188)&gt;0,$N188=""),"Awaiting Collection Email time stamp.",""),IF(OR($U188="PAID",$U188="CLOSED"),IF($U188="PAID","Account paid. Action completed.","Account closed. No further action required."),CHOOSE($Z188,"Collection Email","1st Email Follow-up","2nd Email Follow-up","Escalation to Local Office","Escalation to CBE","Escalation to Roxanne")&amp;" sent "&amp;TEXT($AA188,"dd-mmm")&amp;". "&amp;IF($Z188=6,"Final escalation completed.",IF($U188="OVERDUE","Next: "&amp;$AC188&amp;" was due "&amp;TEXT($AB188,"dd-mmm")&amp;" - "&amp;(NETWORKDAYS($AB188,TODAY(),Holidays)-1)&amp;" business day(s) late. Send now.",IF($U188="DUE TOMORROW","Next: "&amp;$AC188&amp;IF($AB188&lt;=TODAY()," is due TODAY ("," is due next business day (")&amp;TEXT($AB188,"dd-mmm")&amp;").","Next: "&amp;$AC188&amp;" due "&amp;TEXT($AB188,"dd-mmm")&amp;" ("&amp;(NETWORKDAYS(TODAY(),$AB188,Holidays)-1)&amp;" business day(s) left).")))))</f>
        <v/>
      </c>
      <c r="W188" s="17">
        <f>IF($Z188="","",CHOOSE($Z188,"Collection Email","1st Follow-up","2nd Follow-up","Local Office","CBE","Roxanne")&amp;IF($Z188=6," - Final"," - Day "&amp;MAX(0,NETWORKDAYS($AA188,TODAY(),Holidays)-1)&amp;" of "&amp;CHOOSE($Z188,3,3,2,2,3))&amp;" | Total Day "&amp;MAX(0,NETWORKDAYS($N188,TODAY(),Holidays)-1))</f>
        <v/>
      </c>
      <c r="X188" s="18"/>
      <c r="Y188" s="18"/>
      <c r="Z188" s="17">
        <f>IF($N188="","",COUNT($N188:$S188))</f>
        <v/>
      </c>
      <c r="AA188" s="19">
        <f>IF($Z188="","",INT(INDEX($N188:$S188,$Z188)))</f>
        <v/>
      </c>
      <c r="AB188" s="19">
        <f>IF(OR($Z188="",$Z188=6),"",WORKDAY($AA188,CHOOSE($Z188,3,3,2,2,3),Holidays))</f>
        <v/>
      </c>
      <c r="AC188" s="17">
        <f>IF(OR($Z188="",$Z188=6),"",CHOOSE($Z188,"1st Email Follow-up","2nd Email Follow-up","Escalate Local Office","Escalate to CBE","Escalate to Roxanne"))</f>
        <v/>
      </c>
    </row>
    <row r="189" spans="13:29">
      <c r="M189" s="14"/>
      <c r="T189" s="16"/>
      <c r="U189" s="17">
        <f>IF(AND(COUNTA($A189:$L189)=0,$N189=""),"",IF($T189="Paid","PAID",IF($T189="Closed","CLOSED",IF($Z189="","",IF($Z189=6,"ESCALATED TO ROXANNE",IF(TODAY()&gt;$AB189,"OVERDUE",IF($AB189&lt;=WORKDAY(TODAY(),1,Holidays),"DUE TOMORROW",IF($Z189=4,"ESCALATED TO LOCAL OFFICE",IF($Z189=5,"ESCALATED TO CBE",IF($AA189=TODAY(),"EMAIL SENT","MONITORING"))))))))))</f>
        <v/>
      </c>
      <c r="V189" s="17">
        <f>IF($U189="",IF(AND(COUNTA($A189:$L189)&gt;0,$N189=""),"Awaiting Collection Email time stamp.",""),IF(OR($U189="PAID",$U189="CLOSED"),IF($U189="PAID","Account paid. Action completed.","Account closed. No further action required."),CHOOSE($Z189,"Collection Email","1st Email Follow-up","2nd Email Follow-up","Escalation to Local Office","Escalation to CBE","Escalation to Roxanne")&amp;" sent "&amp;TEXT($AA189,"dd-mmm")&amp;". "&amp;IF($Z189=6,"Final escalation completed.",IF($U189="OVERDUE","Next: "&amp;$AC189&amp;" was due "&amp;TEXT($AB189,"dd-mmm")&amp;" - "&amp;(NETWORKDAYS($AB189,TODAY(),Holidays)-1)&amp;" business day(s) late. Send now.",IF($U189="DUE TOMORROW","Next: "&amp;$AC189&amp;IF($AB189&lt;=TODAY()," is due TODAY ("," is due next business day (")&amp;TEXT($AB189,"dd-mmm")&amp;").","Next: "&amp;$AC189&amp;" due "&amp;TEXT($AB189,"dd-mmm")&amp;" ("&amp;(NETWORKDAYS(TODAY(),$AB189,Holidays)-1)&amp;" business day(s) left).")))))</f>
        <v/>
      </c>
      <c r="W189" s="17">
        <f>IF($Z189="","",CHOOSE($Z189,"Collection Email","1st Follow-up","2nd Follow-up","Local Office","CBE","Roxanne")&amp;IF($Z189=6," - Final"," - Day "&amp;MAX(0,NETWORKDAYS($AA189,TODAY(),Holidays)-1)&amp;" of "&amp;CHOOSE($Z189,3,3,2,2,3))&amp;" | Total Day "&amp;MAX(0,NETWORKDAYS($N189,TODAY(),Holidays)-1))</f>
        <v/>
      </c>
      <c r="X189" s="18"/>
      <c r="Y189" s="18"/>
      <c r="Z189" s="17">
        <f>IF($N189="","",COUNT($N189:$S189))</f>
        <v/>
      </c>
      <c r="AA189" s="19">
        <f>IF($Z189="","",INT(INDEX($N189:$S189,$Z189)))</f>
        <v/>
      </c>
      <c r="AB189" s="19">
        <f>IF(OR($Z189="",$Z189=6),"",WORKDAY($AA189,CHOOSE($Z189,3,3,2,2,3),Holidays))</f>
        <v/>
      </c>
      <c r="AC189" s="17">
        <f>IF(OR($Z189="",$Z189=6),"",CHOOSE($Z189,"1st Email Follow-up","2nd Email Follow-up","Escalate Local Office","Escalate to CBE","Escalate to Roxanne"))</f>
        <v/>
      </c>
    </row>
    <row r="190" spans="13:29">
      <c r="M190" s="14"/>
      <c r="T190" s="16"/>
      <c r="U190" s="17">
        <f>IF(AND(COUNTA($A190:$L190)=0,$N190=""),"",IF($T190="Paid","PAID",IF($T190="Closed","CLOSED",IF($Z190="","",IF($Z190=6,"ESCALATED TO ROXANNE",IF(TODAY()&gt;$AB190,"OVERDUE",IF($AB190&lt;=WORKDAY(TODAY(),1,Holidays),"DUE TOMORROW",IF($Z190=4,"ESCALATED TO LOCAL OFFICE",IF($Z190=5,"ESCALATED TO CBE",IF($AA190=TODAY(),"EMAIL SENT","MONITORING"))))))))))</f>
        <v/>
      </c>
      <c r="V190" s="17">
        <f>IF($U190="",IF(AND(COUNTA($A190:$L190)&gt;0,$N190=""),"Awaiting Collection Email time stamp.",""),IF(OR($U190="PAID",$U190="CLOSED"),IF($U190="PAID","Account paid. Action completed.","Account closed. No further action required."),CHOOSE($Z190,"Collection Email","1st Email Follow-up","2nd Email Follow-up","Escalation to Local Office","Escalation to CBE","Escalation to Roxanne")&amp;" sent "&amp;TEXT($AA190,"dd-mmm")&amp;". "&amp;IF($Z190=6,"Final escalation completed.",IF($U190="OVERDUE","Next: "&amp;$AC190&amp;" was due "&amp;TEXT($AB190,"dd-mmm")&amp;" - "&amp;(NETWORKDAYS($AB190,TODAY(),Holidays)-1)&amp;" business day(s) late. Send now.",IF($U190="DUE TOMORROW","Next: "&amp;$AC190&amp;IF($AB190&lt;=TODAY()," is due TODAY ("," is due next business day (")&amp;TEXT($AB190,"dd-mmm")&amp;").","Next: "&amp;$AC190&amp;" due "&amp;TEXT($AB190,"dd-mmm")&amp;" ("&amp;(NETWORKDAYS(TODAY(),$AB190,Holidays)-1)&amp;" business day(s) left).")))))</f>
        <v/>
      </c>
      <c r="W190" s="17">
        <f>IF($Z190="","",CHOOSE($Z190,"Collection Email","1st Follow-up","2nd Follow-up","Local Office","CBE","Roxanne")&amp;IF($Z190=6," - Final"," - Day "&amp;MAX(0,NETWORKDAYS($AA190,TODAY(),Holidays)-1)&amp;" of "&amp;CHOOSE($Z190,3,3,2,2,3))&amp;" | Total Day "&amp;MAX(0,NETWORKDAYS($N190,TODAY(),Holidays)-1))</f>
        <v/>
      </c>
      <c r="X190" s="18"/>
      <c r="Y190" s="18"/>
      <c r="Z190" s="17">
        <f>IF($N190="","",COUNT($N190:$S190))</f>
        <v/>
      </c>
      <c r="AA190" s="19">
        <f>IF($Z190="","",INT(INDEX($N190:$S190,$Z190)))</f>
        <v/>
      </c>
      <c r="AB190" s="19">
        <f>IF(OR($Z190="",$Z190=6),"",WORKDAY($AA190,CHOOSE($Z190,3,3,2,2,3),Holidays))</f>
        <v/>
      </c>
      <c r="AC190" s="17">
        <f>IF(OR($Z190="",$Z190=6),"",CHOOSE($Z190,"1st Email Follow-up","2nd Email Follow-up","Escalate Local Office","Escalate to CBE","Escalate to Roxanne"))</f>
        <v/>
      </c>
    </row>
    <row r="191" spans="13:29">
      <c r="M191" s="14"/>
      <c r="T191" s="16"/>
      <c r="U191" s="17">
        <f>IF(AND(COUNTA($A191:$L191)=0,$N191=""),"",IF($T191="Paid","PAID",IF($T191="Closed","CLOSED",IF($Z191="","",IF($Z191=6,"ESCALATED TO ROXANNE",IF(TODAY()&gt;$AB191,"OVERDUE",IF($AB191&lt;=WORKDAY(TODAY(),1,Holidays),"DUE TOMORROW",IF($Z191=4,"ESCALATED TO LOCAL OFFICE",IF($Z191=5,"ESCALATED TO CBE",IF($AA191=TODAY(),"EMAIL SENT","MONITORING"))))))))))</f>
        <v/>
      </c>
      <c r="V191" s="17">
        <f>IF($U191="",IF(AND(COUNTA($A191:$L191)&gt;0,$N191=""),"Awaiting Collection Email time stamp.",""),IF(OR($U191="PAID",$U191="CLOSED"),IF($U191="PAID","Account paid. Action completed.","Account closed. No further action required."),CHOOSE($Z191,"Collection Email","1st Email Follow-up","2nd Email Follow-up","Escalation to Local Office","Escalation to CBE","Escalation to Roxanne")&amp;" sent "&amp;TEXT($AA191,"dd-mmm")&amp;". "&amp;IF($Z191=6,"Final escalation completed.",IF($U191="OVERDUE","Next: "&amp;$AC191&amp;" was due "&amp;TEXT($AB191,"dd-mmm")&amp;" - "&amp;(NETWORKDAYS($AB191,TODAY(),Holidays)-1)&amp;" business day(s) late. Send now.",IF($U191="DUE TOMORROW","Next: "&amp;$AC191&amp;IF($AB191&lt;=TODAY()," is due TODAY ("," is due next business day (")&amp;TEXT($AB191,"dd-mmm")&amp;").","Next: "&amp;$AC191&amp;" due "&amp;TEXT($AB191,"dd-mmm")&amp;" ("&amp;(NETWORKDAYS(TODAY(),$AB191,Holidays)-1)&amp;" business day(s) left).")))))</f>
        <v/>
      </c>
      <c r="W191" s="17">
        <f>IF($Z191="","",CHOOSE($Z191,"Collection Email","1st Follow-up","2nd Follow-up","Local Office","CBE","Roxanne")&amp;IF($Z191=6," - Final"," - Day "&amp;MAX(0,NETWORKDAYS($AA191,TODAY(),Holidays)-1)&amp;" of "&amp;CHOOSE($Z191,3,3,2,2,3))&amp;" | Total Day "&amp;MAX(0,NETWORKDAYS($N191,TODAY(),Holidays)-1))</f>
        <v/>
      </c>
      <c r="X191" s="18"/>
      <c r="Y191" s="18"/>
      <c r="Z191" s="17">
        <f>IF($N191="","",COUNT($N191:$S191))</f>
        <v/>
      </c>
      <c r="AA191" s="19">
        <f>IF($Z191="","",INT(INDEX($N191:$S191,$Z191)))</f>
        <v/>
      </c>
      <c r="AB191" s="19">
        <f>IF(OR($Z191="",$Z191=6),"",WORKDAY($AA191,CHOOSE($Z191,3,3,2,2,3),Holidays))</f>
        <v/>
      </c>
      <c r="AC191" s="17">
        <f>IF(OR($Z191="",$Z191=6),"",CHOOSE($Z191,"1st Email Follow-up","2nd Email Follow-up","Escalate Local Office","Escalate to CBE","Escalate to Roxanne"))</f>
        <v/>
      </c>
    </row>
    <row r="192" spans="13:29">
      <c r="M192" s="14"/>
      <c r="T192" s="16"/>
      <c r="U192" s="17">
        <f>IF(AND(COUNTA($A192:$L192)=0,$N192=""),"",IF($T192="Paid","PAID",IF($T192="Closed","CLOSED",IF($Z192="","",IF($Z192=6,"ESCALATED TO ROXANNE",IF(TODAY()&gt;$AB192,"OVERDUE",IF($AB192&lt;=WORKDAY(TODAY(),1,Holidays),"DUE TOMORROW",IF($Z192=4,"ESCALATED TO LOCAL OFFICE",IF($Z192=5,"ESCALATED TO CBE",IF($AA192=TODAY(),"EMAIL SENT","MONITORING"))))))))))</f>
        <v/>
      </c>
      <c r="V192" s="17">
        <f>IF($U192="",IF(AND(COUNTA($A192:$L192)&gt;0,$N192=""),"Awaiting Collection Email time stamp.",""),IF(OR($U192="PAID",$U192="CLOSED"),IF($U192="PAID","Account paid. Action completed.","Account closed. No further action required."),CHOOSE($Z192,"Collection Email","1st Email Follow-up","2nd Email Follow-up","Escalation to Local Office","Escalation to CBE","Escalation to Roxanne")&amp;" sent "&amp;TEXT($AA192,"dd-mmm")&amp;". "&amp;IF($Z192=6,"Final escalation completed.",IF($U192="OVERDUE","Next: "&amp;$AC192&amp;" was due "&amp;TEXT($AB192,"dd-mmm")&amp;" - "&amp;(NETWORKDAYS($AB192,TODAY(),Holidays)-1)&amp;" business day(s) late. Send now.",IF($U192="DUE TOMORROW","Next: "&amp;$AC192&amp;IF($AB192&lt;=TODAY()," is due TODAY ("," is due next business day (")&amp;TEXT($AB192,"dd-mmm")&amp;").","Next: "&amp;$AC192&amp;" due "&amp;TEXT($AB192,"dd-mmm")&amp;" ("&amp;(NETWORKDAYS(TODAY(),$AB192,Holidays)-1)&amp;" business day(s) left).")))))</f>
        <v/>
      </c>
      <c r="W192" s="17">
        <f>IF($Z192="","",CHOOSE($Z192,"Collection Email","1st Follow-up","2nd Follow-up","Local Office","CBE","Roxanne")&amp;IF($Z192=6," - Final"," - Day "&amp;MAX(0,NETWORKDAYS($AA192,TODAY(),Holidays)-1)&amp;" of "&amp;CHOOSE($Z192,3,3,2,2,3))&amp;" | Total Day "&amp;MAX(0,NETWORKDAYS($N192,TODAY(),Holidays)-1))</f>
        <v/>
      </c>
      <c r="X192" s="18"/>
      <c r="Y192" s="18"/>
      <c r="Z192" s="17">
        <f>IF($N192="","",COUNT($N192:$S192))</f>
        <v/>
      </c>
      <c r="AA192" s="19">
        <f>IF($Z192="","",INT(INDEX($N192:$S192,$Z192)))</f>
        <v/>
      </c>
      <c r="AB192" s="19">
        <f>IF(OR($Z192="",$Z192=6),"",WORKDAY($AA192,CHOOSE($Z192,3,3,2,2,3),Holidays))</f>
        <v/>
      </c>
      <c r="AC192" s="17">
        <f>IF(OR($Z192="",$Z192=6),"",CHOOSE($Z192,"1st Email Follow-up","2nd Email Follow-up","Escalate Local Office","Escalate to CBE","Escalate to Roxanne"))</f>
        <v/>
      </c>
    </row>
    <row r="193" spans="13:29">
      <c r="M193" s="14"/>
      <c r="T193" s="16"/>
      <c r="U193" s="17">
        <f>IF(AND(COUNTA($A193:$L193)=0,$N193=""),"",IF($T193="Paid","PAID",IF($T193="Closed","CLOSED",IF($Z193="","",IF($Z193=6,"ESCALATED TO ROXANNE",IF(TODAY()&gt;$AB193,"OVERDUE",IF($AB193&lt;=WORKDAY(TODAY(),1,Holidays),"DUE TOMORROW",IF($Z193=4,"ESCALATED TO LOCAL OFFICE",IF($Z193=5,"ESCALATED TO CBE",IF($AA193=TODAY(),"EMAIL SENT","MONITORING"))))))))))</f>
        <v/>
      </c>
      <c r="V193" s="17">
        <f>IF($U193="",IF(AND(COUNTA($A193:$L193)&gt;0,$N193=""),"Awaiting Collection Email time stamp.",""),IF(OR($U193="PAID",$U193="CLOSED"),IF($U193="PAID","Account paid. Action completed.","Account closed. No further action required."),CHOOSE($Z193,"Collection Email","1st Email Follow-up","2nd Email Follow-up","Escalation to Local Office","Escalation to CBE","Escalation to Roxanne")&amp;" sent "&amp;TEXT($AA193,"dd-mmm")&amp;". "&amp;IF($Z193=6,"Final escalation completed.",IF($U193="OVERDUE","Next: "&amp;$AC193&amp;" was due "&amp;TEXT($AB193,"dd-mmm")&amp;" - "&amp;(NETWORKDAYS($AB193,TODAY(),Holidays)-1)&amp;" business day(s) late. Send now.",IF($U193="DUE TOMORROW","Next: "&amp;$AC193&amp;IF($AB193&lt;=TODAY()," is due TODAY ("," is due next business day (")&amp;TEXT($AB193,"dd-mmm")&amp;").","Next: "&amp;$AC193&amp;" due "&amp;TEXT($AB193,"dd-mmm")&amp;" ("&amp;(NETWORKDAYS(TODAY(),$AB193,Holidays)-1)&amp;" business day(s) left).")))))</f>
        <v/>
      </c>
      <c r="W193" s="17">
        <f>IF($Z193="","",CHOOSE($Z193,"Collection Email","1st Follow-up","2nd Follow-up","Local Office","CBE","Roxanne")&amp;IF($Z193=6," - Final"," - Day "&amp;MAX(0,NETWORKDAYS($AA193,TODAY(),Holidays)-1)&amp;" of "&amp;CHOOSE($Z193,3,3,2,2,3))&amp;" | Total Day "&amp;MAX(0,NETWORKDAYS($N193,TODAY(),Holidays)-1))</f>
        <v/>
      </c>
      <c r="X193" s="18"/>
      <c r="Y193" s="18"/>
      <c r="Z193" s="17">
        <f>IF($N193="","",COUNT($N193:$S193))</f>
        <v/>
      </c>
      <c r="AA193" s="19">
        <f>IF($Z193="","",INT(INDEX($N193:$S193,$Z193)))</f>
        <v/>
      </c>
      <c r="AB193" s="19">
        <f>IF(OR($Z193="",$Z193=6),"",WORKDAY($AA193,CHOOSE($Z193,3,3,2,2,3),Holidays))</f>
        <v/>
      </c>
      <c r="AC193" s="17">
        <f>IF(OR($Z193="",$Z193=6),"",CHOOSE($Z193,"1st Email Follow-up","2nd Email Follow-up","Escalate Local Office","Escalate to CBE","Escalate to Roxanne"))</f>
        <v/>
      </c>
    </row>
    <row r="194" spans="13:29">
      <c r="M194" s="14"/>
      <c r="T194" s="16"/>
      <c r="U194" s="17">
        <f>IF(AND(COUNTA($A194:$L194)=0,$N194=""),"",IF($T194="Paid","PAID",IF($T194="Closed","CLOSED",IF($Z194="","",IF($Z194=6,"ESCALATED TO ROXANNE",IF(TODAY()&gt;$AB194,"OVERDUE",IF($AB194&lt;=WORKDAY(TODAY(),1,Holidays),"DUE TOMORROW",IF($Z194=4,"ESCALATED TO LOCAL OFFICE",IF($Z194=5,"ESCALATED TO CBE",IF($AA194=TODAY(),"EMAIL SENT","MONITORING"))))))))))</f>
        <v/>
      </c>
      <c r="V194" s="17">
        <f>IF($U194="",IF(AND(COUNTA($A194:$L194)&gt;0,$N194=""),"Awaiting Collection Email time stamp.",""),IF(OR($U194="PAID",$U194="CLOSED"),IF($U194="PAID","Account paid. Action completed.","Account closed. No further action required."),CHOOSE($Z194,"Collection Email","1st Email Follow-up","2nd Email Follow-up","Escalation to Local Office","Escalation to CBE","Escalation to Roxanne")&amp;" sent "&amp;TEXT($AA194,"dd-mmm")&amp;". "&amp;IF($Z194=6,"Final escalation completed.",IF($U194="OVERDUE","Next: "&amp;$AC194&amp;" was due "&amp;TEXT($AB194,"dd-mmm")&amp;" - "&amp;(NETWORKDAYS($AB194,TODAY(),Holidays)-1)&amp;" business day(s) late. Send now.",IF($U194="DUE TOMORROW","Next: "&amp;$AC194&amp;IF($AB194&lt;=TODAY()," is due TODAY ("," is due next business day (")&amp;TEXT($AB194,"dd-mmm")&amp;").","Next: "&amp;$AC194&amp;" due "&amp;TEXT($AB194,"dd-mmm")&amp;" ("&amp;(NETWORKDAYS(TODAY(),$AB194,Holidays)-1)&amp;" business day(s) left).")))))</f>
        <v/>
      </c>
      <c r="W194" s="17">
        <f>IF($Z194="","",CHOOSE($Z194,"Collection Email","1st Follow-up","2nd Follow-up","Local Office","CBE","Roxanne")&amp;IF($Z194=6," - Final"," - Day "&amp;MAX(0,NETWORKDAYS($AA194,TODAY(),Holidays)-1)&amp;" of "&amp;CHOOSE($Z194,3,3,2,2,3))&amp;" | Total Day "&amp;MAX(0,NETWORKDAYS($N194,TODAY(),Holidays)-1))</f>
        <v/>
      </c>
      <c r="X194" s="18"/>
      <c r="Y194" s="18"/>
      <c r="Z194" s="17">
        <f>IF($N194="","",COUNT($N194:$S194))</f>
        <v/>
      </c>
      <c r="AA194" s="19">
        <f>IF($Z194="","",INT(INDEX($N194:$S194,$Z194)))</f>
        <v/>
      </c>
      <c r="AB194" s="19">
        <f>IF(OR($Z194="",$Z194=6),"",WORKDAY($AA194,CHOOSE($Z194,3,3,2,2,3),Holidays))</f>
        <v/>
      </c>
      <c r="AC194" s="17">
        <f>IF(OR($Z194="",$Z194=6),"",CHOOSE($Z194,"1st Email Follow-up","2nd Email Follow-up","Escalate Local Office","Escalate to CBE","Escalate to Roxanne"))</f>
        <v/>
      </c>
    </row>
    <row r="195" spans="13:29">
      <c r="M195" s="14"/>
      <c r="T195" s="16"/>
      <c r="U195" s="17">
        <f>IF(AND(COUNTA($A195:$L195)=0,$N195=""),"",IF($T195="Paid","PAID",IF($T195="Closed","CLOSED",IF($Z195="","",IF($Z195=6,"ESCALATED TO ROXANNE",IF(TODAY()&gt;$AB195,"OVERDUE",IF($AB195&lt;=WORKDAY(TODAY(),1,Holidays),"DUE TOMORROW",IF($Z195=4,"ESCALATED TO LOCAL OFFICE",IF($Z195=5,"ESCALATED TO CBE",IF($AA195=TODAY(),"EMAIL SENT","MONITORING"))))))))))</f>
        <v/>
      </c>
      <c r="V195" s="17">
        <f>IF($U195="",IF(AND(COUNTA($A195:$L195)&gt;0,$N195=""),"Awaiting Collection Email time stamp.",""),IF(OR($U195="PAID",$U195="CLOSED"),IF($U195="PAID","Account paid. Action completed.","Account closed. No further action required."),CHOOSE($Z195,"Collection Email","1st Email Follow-up","2nd Email Follow-up","Escalation to Local Office","Escalation to CBE","Escalation to Roxanne")&amp;" sent "&amp;TEXT($AA195,"dd-mmm")&amp;". "&amp;IF($Z195=6,"Final escalation completed.",IF($U195="OVERDUE","Next: "&amp;$AC195&amp;" was due "&amp;TEXT($AB195,"dd-mmm")&amp;" - "&amp;(NETWORKDAYS($AB195,TODAY(),Holidays)-1)&amp;" business day(s) late. Send now.",IF($U195="DUE TOMORROW","Next: "&amp;$AC195&amp;IF($AB195&lt;=TODAY()," is due TODAY ("," is due next business day (")&amp;TEXT($AB195,"dd-mmm")&amp;").","Next: "&amp;$AC195&amp;" due "&amp;TEXT($AB195,"dd-mmm")&amp;" ("&amp;(NETWORKDAYS(TODAY(),$AB195,Holidays)-1)&amp;" business day(s) left).")))))</f>
        <v/>
      </c>
      <c r="W195" s="17">
        <f>IF($Z195="","",CHOOSE($Z195,"Collection Email","1st Follow-up","2nd Follow-up","Local Office","CBE","Roxanne")&amp;IF($Z195=6," - Final"," - Day "&amp;MAX(0,NETWORKDAYS($AA195,TODAY(),Holidays)-1)&amp;" of "&amp;CHOOSE($Z195,3,3,2,2,3))&amp;" | Total Day "&amp;MAX(0,NETWORKDAYS($N195,TODAY(),Holidays)-1))</f>
        <v/>
      </c>
      <c r="X195" s="18"/>
      <c r="Y195" s="18"/>
      <c r="Z195" s="17">
        <f>IF($N195="","",COUNT($N195:$S195))</f>
        <v/>
      </c>
      <c r="AA195" s="19">
        <f>IF($Z195="","",INT(INDEX($N195:$S195,$Z195)))</f>
        <v/>
      </c>
      <c r="AB195" s="19">
        <f>IF(OR($Z195="",$Z195=6),"",WORKDAY($AA195,CHOOSE($Z195,3,3,2,2,3),Holidays))</f>
        <v/>
      </c>
      <c r="AC195" s="17">
        <f>IF(OR($Z195="",$Z195=6),"",CHOOSE($Z195,"1st Email Follow-up","2nd Email Follow-up","Escalate Local Office","Escalate to CBE","Escalate to Roxanne"))</f>
        <v/>
      </c>
    </row>
    <row r="196" spans="13:29">
      <c r="M196" s="14"/>
      <c r="T196" s="16"/>
      <c r="U196" s="17">
        <f>IF(AND(COUNTA($A196:$L196)=0,$N196=""),"",IF($T196="Paid","PAID",IF($T196="Closed","CLOSED",IF($Z196="","",IF($Z196=6,"ESCALATED TO ROXANNE",IF(TODAY()&gt;$AB196,"OVERDUE",IF($AB196&lt;=WORKDAY(TODAY(),1,Holidays),"DUE TOMORROW",IF($Z196=4,"ESCALATED TO LOCAL OFFICE",IF($Z196=5,"ESCALATED TO CBE",IF($AA196=TODAY(),"EMAIL SENT","MONITORING"))))))))))</f>
        <v/>
      </c>
      <c r="V196" s="17">
        <f>IF($U196="",IF(AND(COUNTA($A196:$L196)&gt;0,$N196=""),"Awaiting Collection Email time stamp.",""),IF(OR($U196="PAID",$U196="CLOSED"),IF($U196="PAID","Account paid. Action completed.","Account closed. No further action required."),CHOOSE($Z196,"Collection Email","1st Email Follow-up","2nd Email Follow-up","Escalation to Local Office","Escalation to CBE","Escalation to Roxanne")&amp;" sent "&amp;TEXT($AA196,"dd-mmm")&amp;". "&amp;IF($Z196=6,"Final escalation completed.",IF($U196="OVERDUE","Next: "&amp;$AC196&amp;" was due "&amp;TEXT($AB196,"dd-mmm")&amp;" - "&amp;(NETWORKDAYS($AB196,TODAY(),Holidays)-1)&amp;" business day(s) late. Send now.",IF($U196="DUE TOMORROW","Next: "&amp;$AC196&amp;IF($AB196&lt;=TODAY()," is due TODAY ("," is due next business day (")&amp;TEXT($AB196,"dd-mmm")&amp;").","Next: "&amp;$AC196&amp;" due "&amp;TEXT($AB196,"dd-mmm")&amp;" ("&amp;(NETWORKDAYS(TODAY(),$AB196,Holidays)-1)&amp;" business day(s) left).")))))</f>
        <v/>
      </c>
      <c r="W196" s="17">
        <f>IF($Z196="","",CHOOSE($Z196,"Collection Email","1st Follow-up","2nd Follow-up","Local Office","CBE","Roxanne")&amp;IF($Z196=6," - Final"," - Day "&amp;MAX(0,NETWORKDAYS($AA196,TODAY(),Holidays)-1)&amp;" of "&amp;CHOOSE($Z196,3,3,2,2,3))&amp;" | Total Day "&amp;MAX(0,NETWORKDAYS($N196,TODAY(),Holidays)-1))</f>
        <v/>
      </c>
      <c r="X196" s="18"/>
      <c r="Y196" s="18"/>
      <c r="Z196" s="17">
        <f>IF($N196="","",COUNT($N196:$S196))</f>
        <v/>
      </c>
      <c r="AA196" s="19">
        <f>IF($Z196="","",INT(INDEX($N196:$S196,$Z196)))</f>
        <v/>
      </c>
      <c r="AB196" s="19">
        <f>IF(OR($Z196="",$Z196=6),"",WORKDAY($AA196,CHOOSE($Z196,3,3,2,2,3),Holidays))</f>
        <v/>
      </c>
      <c r="AC196" s="17">
        <f>IF(OR($Z196="",$Z196=6),"",CHOOSE($Z196,"1st Email Follow-up","2nd Email Follow-up","Escalate Local Office","Escalate to CBE","Escalate to Roxanne"))</f>
        <v/>
      </c>
    </row>
    <row r="197" spans="13:29">
      <c r="M197" s="14"/>
      <c r="T197" s="16"/>
      <c r="U197" s="17">
        <f>IF(AND(COUNTA($A197:$L197)=0,$N197=""),"",IF($T197="Paid","PAID",IF($T197="Closed","CLOSED",IF($Z197="","",IF($Z197=6,"ESCALATED TO ROXANNE",IF(TODAY()&gt;$AB197,"OVERDUE",IF($AB197&lt;=WORKDAY(TODAY(),1,Holidays),"DUE TOMORROW",IF($Z197=4,"ESCALATED TO LOCAL OFFICE",IF($Z197=5,"ESCALATED TO CBE",IF($AA197=TODAY(),"EMAIL SENT","MONITORING"))))))))))</f>
        <v/>
      </c>
      <c r="V197" s="17">
        <f>IF($U197="",IF(AND(COUNTA($A197:$L197)&gt;0,$N197=""),"Awaiting Collection Email time stamp.",""),IF(OR($U197="PAID",$U197="CLOSED"),IF($U197="PAID","Account paid. Action completed.","Account closed. No further action required."),CHOOSE($Z197,"Collection Email","1st Email Follow-up","2nd Email Follow-up","Escalation to Local Office","Escalation to CBE","Escalation to Roxanne")&amp;" sent "&amp;TEXT($AA197,"dd-mmm")&amp;". "&amp;IF($Z197=6,"Final escalation completed.",IF($U197="OVERDUE","Next: "&amp;$AC197&amp;" was due "&amp;TEXT($AB197,"dd-mmm")&amp;" - "&amp;(NETWORKDAYS($AB197,TODAY(),Holidays)-1)&amp;" business day(s) late. Send now.",IF($U197="DUE TOMORROW","Next: "&amp;$AC197&amp;IF($AB197&lt;=TODAY()," is due TODAY ("," is due next business day (")&amp;TEXT($AB197,"dd-mmm")&amp;").","Next: "&amp;$AC197&amp;" due "&amp;TEXT($AB197,"dd-mmm")&amp;" ("&amp;(NETWORKDAYS(TODAY(),$AB197,Holidays)-1)&amp;" business day(s) left).")))))</f>
        <v/>
      </c>
      <c r="W197" s="17">
        <f>IF($Z197="","",CHOOSE($Z197,"Collection Email","1st Follow-up","2nd Follow-up","Local Office","CBE","Roxanne")&amp;IF($Z197=6," - Final"," - Day "&amp;MAX(0,NETWORKDAYS($AA197,TODAY(),Holidays)-1)&amp;" of "&amp;CHOOSE($Z197,3,3,2,2,3))&amp;" | Total Day "&amp;MAX(0,NETWORKDAYS($N197,TODAY(),Holidays)-1))</f>
        <v/>
      </c>
      <c r="X197" s="18"/>
      <c r="Y197" s="18"/>
      <c r="Z197" s="17">
        <f>IF($N197="","",COUNT($N197:$S197))</f>
        <v/>
      </c>
      <c r="AA197" s="19">
        <f>IF($Z197="","",INT(INDEX($N197:$S197,$Z197)))</f>
        <v/>
      </c>
      <c r="AB197" s="19">
        <f>IF(OR($Z197="",$Z197=6),"",WORKDAY($AA197,CHOOSE($Z197,3,3,2,2,3),Holidays))</f>
        <v/>
      </c>
      <c r="AC197" s="17">
        <f>IF(OR($Z197="",$Z197=6),"",CHOOSE($Z197,"1st Email Follow-up","2nd Email Follow-up","Escalate Local Office","Escalate to CBE","Escalate to Roxanne"))</f>
        <v/>
      </c>
    </row>
    <row r="198" spans="13:29">
      <c r="M198" s="14"/>
      <c r="T198" s="16"/>
      <c r="U198" s="17">
        <f>IF(AND(COUNTA($A198:$L198)=0,$N198=""),"",IF($T198="Paid","PAID",IF($T198="Closed","CLOSED",IF($Z198="","",IF($Z198=6,"ESCALATED TO ROXANNE",IF(TODAY()&gt;$AB198,"OVERDUE",IF($AB198&lt;=WORKDAY(TODAY(),1,Holidays),"DUE TOMORROW",IF($Z198=4,"ESCALATED TO LOCAL OFFICE",IF($Z198=5,"ESCALATED TO CBE",IF($AA198=TODAY(),"EMAIL SENT","MONITORING"))))))))))</f>
        <v/>
      </c>
      <c r="V198" s="17">
        <f>IF($U198="",IF(AND(COUNTA($A198:$L198)&gt;0,$N198=""),"Awaiting Collection Email time stamp.",""),IF(OR($U198="PAID",$U198="CLOSED"),IF($U198="PAID","Account paid. Action completed.","Account closed. No further action required."),CHOOSE($Z198,"Collection Email","1st Email Follow-up","2nd Email Follow-up","Escalation to Local Office","Escalation to CBE","Escalation to Roxanne")&amp;" sent "&amp;TEXT($AA198,"dd-mmm")&amp;". "&amp;IF($Z198=6,"Final escalation completed.",IF($U198="OVERDUE","Next: "&amp;$AC198&amp;" was due "&amp;TEXT($AB198,"dd-mmm")&amp;" - "&amp;(NETWORKDAYS($AB198,TODAY(),Holidays)-1)&amp;" business day(s) late. Send now.",IF($U198="DUE TOMORROW","Next: "&amp;$AC198&amp;IF($AB198&lt;=TODAY()," is due TODAY ("," is due next business day (")&amp;TEXT($AB198,"dd-mmm")&amp;").","Next: "&amp;$AC198&amp;" due "&amp;TEXT($AB198,"dd-mmm")&amp;" ("&amp;(NETWORKDAYS(TODAY(),$AB198,Holidays)-1)&amp;" business day(s) left).")))))</f>
        <v/>
      </c>
      <c r="W198" s="17">
        <f>IF($Z198="","",CHOOSE($Z198,"Collection Email","1st Follow-up","2nd Follow-up","Local Office","CBE","Roxanne")&amp;IF($Z198=6," - Final"," - Day "&amp;MAX(0,NETWORKDAYS($AA198,TODAY(),Holidays)-1)&amp;" of "&amp;CHOOSE($Z198,3,3,2,2,3))&amp;" | Total Day "&amp;MAX(0,NETWORKDAYS($N198,TODAY(),Holidays)-1))</f>
        <v/>
      </c>
      <c r="X198" s="18"/>
      <c r="Y198" s="18"/>
      <c r="Z198" s="17">
        <f>IF($N198="","",COUNT($N198:$S198))</f>
        <v/>
      </c>
      <c r="AA198" s="19">
        <f>IF($Z198="","",INT(INDEX($N198:$S198,$Z198)))</f>
        <v/>
      </c>
      <c r="AB198" s="19">
        <f>IF(OR($Z198="",$Z198=6),"",WORKDAY($AA198,CHOOSE($Z198,3,3,2,2,3),Holidays))</f>
        <v/>
      </c>
      <c r="AC198" s="17">
        <f>IF(OR($Z198="",$Z198=6),"",CHOOSE($Z198,"1st Email Follow-up","2nd Email Follow-up","Escalate Local Office","Escalate to CBE","Escalate to Roxanne"))</f>
        <v/>
      </c>
    </row>
    <row r="199" spans="13:29">
      <c r="M199" s="14"/>
      <c r="T199" s="16"/>
      <c r="U199" s="17">
        <f>IF(AND(COUNTA($A199:$L199)=0,$N199=""),"",IF($T199="Paid","PAID",IF($T199="Closed","CLOSED",IF($Z199="","",IF($Z199=6,"ESCALATED TO ROXANNE",IF(TODAY()&gt;$AB199,"OVERDUE",IF($AB199&lt;=WORKDAY(TODAY(),1,Holidays),"DUE TOMORROW",IF($Z199=4,"ESCALATED TO LOCAL OFFICE",IF($Z199=5,"ESCALATED TO CBE",IF($AA199=TODAY(),"EMAIL SENT","MONITORING"))))))))))</f>
        <v/>
      </c>
      <c r="V199" s="17">
        <f>IF($U199="",IF(AND(COUNTA($A199:$L199)&gt;0,$N199=""),"Awaiting Collection Email time stamp.",""),IF(OR($U199="PAID",$U199="CLOSED"),IF($U199="PAID","Account paid. Action completed.","Account closed. No further action required."),CHOOSE($Z199,"Collection Email","1st Email Follow-up","2nd Email Follow-up","Escalation to Local Office","Escalation to CBE","Escalation to Roxanne")&amp;" sent "&amp;TEXT($AA199,"dd-mmm")&amp;". "&amp;IF($Z199=6,"Final escalation completed.",IF($U199="OVERDUE","Next: "&amp;$AC199&amp;" was due "&amp;TEXT($AB199,"dd-mmm")&amp;" - "&amp;(NETWORKDAYS($AB199,TODAY(),Holidays)-1)&amp;" business day(s) late. Send now.",IF($U199="DUE TOMORROW","Next: "&amp;$AC199&amp;IF($AB199&lt;=TODAY()," is due TODAY ("," is due next business day (")&amp;TEXT($AB199,"dd-mmm")&amp;").","Next: "&amp;$AC199&amp;" due "&amp;TEXT($AB199,"dd-mmm")&amp;" ("&amp;(NETWORKDAYS(TODAY(),$AB199,Holidays)-1)&amp;" business day(s) left).")))))</f>
        <v/>
      </c>
      <c r="W199" s="17">
        <f>IF($Z199="","",CHOOSE($Z199,"Collection Email","1st Follow-up","2nd Follow-up","Local Office","CBE","Roxanne")&amp;IF($Z199=6," - Final"," - Day "&amp;MAX(0,NETWORKDAYS($AA199,TODAY(),Holidays)-1)&amp;" of "&amp;CHOOSE($Z199,3,3,2,2,3))&amp;" | Total Day "&amp;MAX(0,NETWORKDAYS($N199,TODAY(),Holidays)-1))</f>
        <v/>
      </c>
      <c r="X199" s="18"/>
      <c r="Y199" s="18"/>
      <c r="Z199" s="17">
        <f>IF($N199="","",COUNT($N199:$S199))</f>
        <v/>
      </c>
      <c r="AA199" s="19">
        <f>IF($Z199="","",INT(INDEX($N199:$S199,$Z199)))</f>
        <v/>
      </c>
      <c r="AB199" s="19">
        <f>IF(OR($Z199="",$Z199=6),"",WORKDAY($AA199,CHOOSE($Z199,3,3,2,2,3),Holidays))</f>
        <v/>
      </c>
      <c r="AC199" s="17">
        <f>IF(OR($Z199="",$Z199=6),"",CHOOSE($Z199,"1st Email Follow-up","2nd Email Follow-up","Escalate Local Office","Escalate to CBE","Escalate to Roxanne"))</f>
        <v/>
      </c>
    </row>
    <row r="200" spans="13:29">
      <c r="M200" s="14"/>
      <c r="T200" s="16"/>
      <c r="U200" s="17">
        <f>IF(AND(COUNTA($A200:$L200)=0,$N200=""),"",IF($T200="Paid","PAID",IF($T200="Closed","CLOSED",IF($Z200="","",IF($Z200=6,"ESCALATED TO ROXANNE",IF(TODAY()&gt;$AB200,"OVERDUE",IF($AB200&lt;=WORKDAY(TODAY(),1,Holidays),"DUE TOMORROW",IF($Z200=4,"ESCALATED TO LOCAL OFFICE",IF($Z200=5,"ESCALATED TO CBE",IF($AA200=TODAY(),"EMAIL SENT","MONITORING"))))))))))</f>
        <v/>
      </c>
      <c r="V200" s="17">
        <f>IF($U200="",IF(AND(COUNTA($A200:$L200)&gt;0,$N200=""),"Awaiting Collection Email time stamp.",""),IF(OR($U200="PAID",$U200="CLOSED"),IF($U200="PAID","Account paid. Action completed.","Account closed. No further action required."),CHOOSE($Z200,"Collection Email","1st Email Follow-up","2nd Email Follow-up","Escalation to Local Office","Escalation to CBE","Escalation to Roxanne")&amp;" sent "&amp;TEXT($AA200,"dd-mmm")&amp;". "&amp;IF($Z200=6,"Final escalation completed.",IF($U200="OVERDUE","Next: "&amp;$AC200&amp;" was due "&amp;TEXT($AB200,"dd-mmm")&amp;" - "&amp;(NETWORKDAYS($AB200,TODAY(),Holidays)-1)&amp;" business day(s) late. Send now.",IF($U200="DUE TOMORROW","Next: "&amp;$AC200&amp;IF($AB200&lt;=TODAY()," is due TODAY ("," is due next business day (")&amp;TEXT($AB200,"dd-mmm")&amp;").","Next: "&amp;$AC200&amp;" due "&amp;TEXT($AB200,"dd-mmm")&amp;" ("&amp;(NETWORKDAYS(TODAY(),$AB200,Holidays)-1)&amp;" business day(s) left).")))))</f>
        <v/>
      </c>
      <c r="W200" s="17">
        <f>IF($Z200="","",CHOOSE($Z200,"Collection Email","1st Follow-up","2nd Follow-up","Local Office","CBE","Roxanne")&amp;IF($Z200=6," - Final"," - Day "&amp;MAX(0,NETWORKDAYS($AA200,TODAY(),Holidays)-1)&amp;" of "&amp;CHOOSE($Z200,3,3,2,2,3))&amp;" | Total Day "&amp;MAX(0,NETWORKDAYS($N200,TODAY(),Holidays)-1))</f>
        <v/>
      </c>
      <c r="X200" s="18"/>
      <c r="Y200" s="18"/>
      <c r="Z200" s="17">
        <f>IF($N200="","",COUNT($N200:$S200))</f>
        <v/>
      </c>
      <c r="AA200" s="19">
        <f>IF($Z200="","",INT(INDEX($N200:$S200,$Z200)))</f>
        <v/>
      </c>
      <c r="AB200" s="19">
        <f>IF(OR($Z200="",$Z200=6),"",WORKDAY($AA200,CHOOSE($Z200,3,3,2,2,3),Holidays))</f>
        <v/>
      </c>
      <c r="AC200" s="17">
        <f>IF(OR($Z200="",$Z200=6),"",CHOOSE($Z200,"1st Email Follow-up","2nd Email Follow-up","Escalate Local Office","Escalate to CBE","Escalate to Roxanne"))</f>
        <v/>
      </c>
    </row>
    <row r="201" spans="13:29">
      <c r="M201" s="14"/>
      <c r="T201" s="16"/>
      <c r="U201" s="17">
        <f>IF(AND(COUNTA($A201:$L201)=0,$N201=""),"",IF($T201="Paid","PAID",IF($T201="Closed","CLOSED",IF($Z201="","",IF($Z201=6,"ESCALATED TO ROXANNE",IF(TODAY()&gt;$AB201,"OVERDUE",IF($AB201&lt;=WORKDAY(TODAY(),1,Holidays),"DUE TOMORROW",IF($Z201=4,"ESCALATED TO LOCAL OFFICE",IF($Z201=5,"ESCALATED TO CBE",IF($AA201=TODAY(),"EMAIL SENT","MONITORING"))))))))))</f>
        <v/>
      </c>
      <c r="V201" s="17">
        <f>IF($U201="",IF(AND(COUNTA($A201:$L201)&gt;0,$N201=""),"Awaiting Collection Email time stamp.",""),IF(OR($U201="PAID",$U201="CLOSED"),IF($U201="PAID","Account paid. Action completed.","Account closed. No further action required."),CHOOSE($Z201,"Collection Email","1st Email Follow-up","2nd Email Follow-up","Escalation to Local Office","Escalation to CBE","Escalation to Roxanne")&amp;" sent "&amp;TEXT($AA201,"dd-mmm")&amp;". "&amp;IF($Z201=6,"Final escalation completed.",IF($U201="OVERDUE","Next: "&amp;$AC201&amp;" was due "&amp;TEXT($AB201,"dd-mmm")&amp;" - "&amp;(NETWORKDAYS($AB201,TODAY(),Holidays)-1)&amp;" business day(s) late. Send now.",IF($U201="DUE TOMORROW","Next: "&amp;$AC201&amp;IF($AB201&lt;=TODAY()," is due TODAY ("," is due next business day (")&amp;TEXT($AB201,"dd-mmm")&amp;").","Next: "&amp;$AC201&amp;" due "&amp;TEXT($AB201,"dd-mmm")&amp;" ("&amp;(NETWORKDAYS(TODAY(),$AB201,Holidays)-1)&amp;" business day(s) left).")))))</f>
        <v/>
      </c>
      <c r="W201" s="17">
        <f>IF($Z201="","",CHOOSE($Z201,"Collection Email","1st Follow-up","2nd Follow-up","Local Office","CBE","Roxanne")&amp;IF($Z201=6," - Final"," - Day "&amp;MAX(0,NETWORKDAYS($AA201,TODAY(),Holidays)-1)&amp;" of "&amp;CHOOSE($Z201,3,3,2,2,3))&amp;" | Total Day "&amp;MAX(0,NETWORKDAYS($N201,TODAY(),Holidays)-1))</f>
        <v/>
      </c>
      <c r="X201" s="18"/>
      <c r="Y201" s="18"/>
      <c r="Z201" s="17">
        <f>IF($N201="","",COUNT($N201:$S201))</f>
        <v/>
      </c>
      <c r="AA201" s="19">
        <f>IF($Z201="","",INT(INDEX($N201:$S201,$Z201)))</f>
        <v/>
      </c>
      <c r="AB201" s="19">
        <f>IF(OR($Z201="",$Z201=6),"",WORKDAY($AA201,CHOOSE($Z201,3,3,2,2,3),Holidays))</f>
        <v/>
      </c>
      <c r="AC201" s="17">
        <f>IF(OR($Z201="",$Z201=6),"",CHOOSE($Z201,"1st Email Follow-up","2nd Email Follow-up","Escalate Local Office","Escalate to CBE","Escalate to Roxanne"))</f>
        <v/>
      </c>
    </row>
    <row r="202" spans="13:29">
      <c r="M202" s="14"/>
      <c r="T202" s="16"/>
      <c r="U202" s="17">
        <f>IF(AND(COUNTA($A202:$L202)=0,$N202=""),"",IF($T202="Paid","PAID",IF($T202="Closed","CLOSED",IF($Z202="","",IF($Z202=6,"ESCALATED TO ROXANNE",IF(TODAY()&gt;$AB202,"OVERDUE",IF($AB202&lt;=WORKDAY(TODAY(),1,Holidays),"DUE TOMORROW",IF($Z202=4,"ESCALATED TO LOCAL OFFICE",IF($Z202=5,"ESCALATED TO CBE",IF($AA202=TODAY(),"EMAIL SENT","MONITORING"))))))))))</f>
        <v/>
      </c>
      <c r="V202" s="17">
        <f>IF($U202="",IF(AND(COUNTA($A202:$L202)&gt;0,$N202=""),"Awaiting Collection Email time stamp.",""),IF(OR($U202="PAID",$U202="CLOSED"),IF($U202="PAID","Account paid. Action completed.","Account closed. No further action required."),CHOOSE($Z202,"Collection Email","1st Email Follow-up","2nd Email Follow-up","Escalation to Local Office","Escalation to CBE","Escalation to Roxanne")&amp;" sent "&amp;TEXT($AA202,"dd-mmm")&amp;". "&amp;IF($Z202=6,"Final escalation completed.",IF($U202="OVERDUE","Next: "&amp;$AC202&amp;" was due "&amp;TEXT($AB202,"dd-mmm")&amp;" - "&amp;(NETWORKDAYS($AB202,TODAY(),Holidays)-1)&amp;" business day(s) late. Send now.",IF($U202="DUE TOMORROW","Next: "&amp;$AC202&amp;IF($AB202&lt;=TODAY()," is due TODAY ("," is due next business day (")&amp;TEXT($AB202,"dd-mmm")&amp;").","Next: "&amp;$AC202&amp;" due "&amp;TEXT($AB202,"dd-mmm")&amp;" ("&amp;(NETWORKDAYS(TODAY(),$AB202,Holidays)-1)&amp;" business day(s) left).")))))</f>
        <v/>
      </c>
      <c r="W202" s="17">
        <f>IF($Z202="","",CHOOSE($Z202,"Collection Email","1st Follow-up","2nd Follow-up","Local Office","CBE","Roxanne")&amp;IF($Z202=6," - Final"," - Day "&amp;MAX(0,NETWORKDAYS($AA202,TODAY(),Holidays)-1)&amp;" of "&amp;CHOOSE($Z202,3,3,2,2,3))&amp;" | Total Day "&amp;MAX(0,NETWORKDAYS($N202,TODAY(),Holidays)-1))</f>
        <v/>
      </c>
      <c r="X202" s="18"/>
      <c r="Y202" s="18"/>
      <c r="Z202" s="17">
        <f>IF($N202="","",COUNT($N202:$S202))</f>
        <v/>
      </c>
      <c r="AA202" s="19">
        <f>IF($Z202="","",INT(INDEX($N202:$S202,$Z202)))</f>
        <v/>
      </c>
      <c r="AB202" s="19">
        <f>IF(OR($Z202="",$Z202=6),"",WORKDAY($AA202,CHOOSE($Z202,3,3,2,2,3),Holidays))</f>
        <v/>
      </c>
      <c r="AC202" s="17">
        <f>IF(OR($Z202="",$Z202=6),"",CHOOSE($Z202,"1st Email Follow-up","2nd Email Follow-up","Escalate Local Office","Escalate to CBE","Escalate to Roxanne"))</f>
        <v/>
      </c>
    </row>
    <row r="203" spans="13:29">
      <c r="M203" s="14"/>
      <c r="T203" s="16"/>
      <c r="U203" s="17">
        <f>IF(AND(COUNTA($A203:$L203)=0,$N203=""),"",IF($T203="Paid","PAID",IF($T203="Closed","CLOSED",IF($Z203="","",IF($Z203=6,"ESCALATED TO ROXANNE",IF(TODAY()&gt;$AB203,"OVERDUE",IF($AB203&lt;=WORKDAY(TODAY(),1,Holidays),"DUE TOMORROW",IF($Z203=4,"ESCALATED TO LOCAL OFFICE",IF($Z203=5,"ESCALATED TO CBE",IF($AA203=TODAY(),"EMAIL SENT","MONITORING"))))))))))</f>
        <v/>
      </c>
      <c r="V203" s="17">
        <f>IF($U203="",IF(AND(COUNTA($A203:$L203)&gt;0,$N203=""),"Awaiting Collection Email time stamp.",""),IF(OR($U203="PAID",$U203="CLOSED"),IF($U203="PAID","Account paid. Action completed.","Account closed. No further action required."),CHOOSE($Z203,"Collection Email","1st Email Follow-up","2nd Email Follow-up","Escalation to Local Office","Escalation to CBE","Escalation to Roxanne")&amp;" sent "&amp;TEXT($AA203,"dd-mmm")&amp;". "&amp;IF($Z203=6,"Final escalation completed.",IF($U203="OVERDUE","Next: "&amp;$AC203&amp;" was due "&amp;TEXT($AB203,"dd-mmm")&amp;" - "&amp;(NETWORKDAYS($AB203,TODAY(),Holidays)-1)&amp;" business day(s) late. Send now.",IF($U203="DUE TOMORROW","Next: "&amp;$AC203&amp;IF($AB203&lt;=TODAY()," is due TODAY ("," is due next business day (")&amp;TEXT($AB203,"dd-mmm")&amp;").","Next: "&amp;$AC203&amp;" due "&amp;TEXT($AB203,"dd-mmm")&amp;" ("&amp;(NETWORKDAYS(TODAY(),$AB203,Holidays)-1)&amp;" business day(s) left).")))))</f>
        <v/>
      </c>
      <c r="W203" s="17">
        <f>IF($Z203="","",CHOOSE($Z203,"Collection Email","1st Follow-up","2nd Follow-up","Local Office","CBE","Roxanne")&amp;IF($Z203=6," - Final"," - Day "&amp;MAX(0,NETWORKDAYS($AA203,TODAY(),Holidays)-1)&amp;" of "&amp;CHOOSE($Z203,3,3,2,2,3))&amp;" | Total Day "&amp;MAX(0,NETWORKDAYS($N203,TODAY(),Holidays)-1))</f>
        <v/>
      </c>
      <c r="X203" s="18"/>
      <c r="Y203" s="18"/>
      <c r="Z203" s="17">
        <f>IF($N203="","",COUNT($N203:$S203))</f>
        <v/>
      </c>
      <c r="AA203" s="19">
        <f>IF($Z203="","",INT(INDEX($N203:$S203,$Z203)))</f>
        <v/>
      </c>
      <c r="AB203" s="19">
        <f>IF(OR($Z203="",$Z203=6),"",WORKDAY($AA203,CHOOSE($Z203,3,3,2,2,3),Holidays))</f>
        <v/>
      </c>
      <c r="AC203" s="17">
        <f>IF(OR($Z203="",$Z203=6),"",CHOOSE($Z203,"1st Email Follow-up","2nd Email Follow-up","Escalate Local Office","Escalate to CBE","Escalate to Roxanne"))</f>
        <v/>
      </c>
    </row>
    <row r="204" spans="13:29">
      <c r="M204" s="14"/>
      <c r="T204" s="16"/>
      <c r="U204" s="17">
        <f>IF(AND(COUNTA($A204:$L204)=0,$N204=""),"",IF($T204="Paid","PAID",IF($T204="Closed","CLOSED",IF($Z204="","",IF($Z204=6,"ESCALATED TO ROXANNE",IF(TODAY()&gt;$AB204,"OVERDUE",IF($AB204&lt;=WORKDAY(TODAY(),1,Holidays),"DUE TOMORROW",IF($Z204=4,"ESCALATED TO LOCAL OFFICE",IF($Z204=5,"ESCALATED TO CBE",IF($AA204=TODAY(),"EMAIL SENT","MONITORING"))))))))))</f>
        <v/>
      </c>
      <c r="V204" s="17">
        <f>IF($U204="",IF(AND(COUNTA($A204:$L204)&gt;0,$N204=""),"Awaiting Collection Email time stamp.",""),IF(OR($U204="PAID",$U204="CLOSED"),IF($U204="PAID","Account paid. Action completed.","Account closed. No further action required."),CHOOSE($Z204,"Collection Email","1st Email Follow-up","2nd Email Follow-up","Escalation to Local Office","Escalation to CBE","Escalation to Roxanne")&amp;" sent "&amp;TEXT($AA204,"dd-mmm")&amp;". "&amp;IF($Z204=6,"Final escalation completed.",IF($U204="OVERDUE","Next: "&amp;$AC204&amp;" was due "&amp;TEXT($AB204,"dd-mmm")&amp;" - "&amp;(NETWORKDAYS($AB204,TODAY(),Holidays)-1)&amp;" business day(s) late. Send now.",IF($U204="DUE TOMORROW","Next: "&amp;$AC204&amp;IF($AB204&lt;=TODAY()," is due TODAY ("," is due next business day (")&amp;TEXT($AB204,"dd-mmm")&amp;").","Next: "&amp;$AC204&amp;" due "&amp;TEXT($AB204,"dd-mmm")&amp;" ("&amp;(NETWORKDAYS(TODAY(),$AB204,Holidays)-1)&amp;" business day(s) left).")))))</f>
        <v/>
      </c>
      <c r="W204" s="17">
        <f>IF($Z204="","",CHOOSE($Z204,"Collection Email","1st Follow-up","2nd Follow-up","Local Office","CBE","Roxanne")&amp;IF($Z204=6," - Final"," - Day "&amp;MAX(0,NETWORKDAYS($AA204,TODAY(),Holidays)-1)&amp;" of "&amp;CHOOSE($Z204,3,3,2,2,3))&amp;" | Total Day "&amp;MAX(0,NETWORKDAYS($N204,TODAY(),Holidays)-1))</f>
        <v/>
      </c>
      <c r="X204" s="18"/>
      <c r="Y204" s="18"/>
      <c r="Z204" s="17">
        <f>IF($N204="","",COUNT($N204:$S204))</f>
        <v/>
      </c>
      <c r="AA204" s="19">
        <f>IF($Z204="","",INT(INDEX($N204:$S204,$Z204)))</f>
        <v/>
      </c>
      <c r="AB204" s="19">
        <f>IF(OR($Z204="",$Z204=6),"",WORKDAY($AA204,CHOOSE($Z204,3,3,2,2,3),Holidays))</f>
        <v/>
      </c>
      <c r="AC204" s="17">
        <f>IF(OR($Z204="",$Z204=6),"",CHOOSE($Z204,"1st Email Follow-up","2nd Email Follow-up","Escalate Local Office","Escalate to CBE","Escalate to Roxanne"))</f>
        <v/>
      </c>
    </row>
    <row r="205" spans="13:29">
      <c r="M205" s="14"/>
      <c r="T205" s="16"/>
      <c r="U205" s="17">
        <f>IF(AND(COUNTA($A205:$L205)=0,$N205=""),"",IF($T205="Paid","PAID",IF($T205="Closed","CLOSED",IF($Z205="","",IF($Z205=6,"ESCALATED TO ROXANNE",IF(TODAY()&gt;$AB205,"OVERDUE",IF($AB205&lt;=WORKDAY(TODAY(),1,Holidays),"DUE TOMORROW",IF($Z205=4,"ESCALATED TO LOCAL OFFICE",IF($Z205=5,"ESCALATED TO CBE",IF($AA205=TODAY(),"EMAIL SENT","MONITORING"))))))))))</f>
        <v/>
      </c>
      <c r="V205" s="17">
        <f>IF($U205="",IF(AND(COUNTA($A205:$L205)&gt;0,$N205=""),"Awaiting Collection Email time stamp.",""),IF(OR($U205="PAID",$U205="CLOSED"),IF($U205="PAID","Account paid. Action completed.","Account closed. No further action required."),CHOOSE($Z205,"Collection Email","1st Email Follow-up","2nd Email Follow-up","Escalation to Local Office","Escalation to CBE","Escalation to Roxanne")&amp;" sent "&amp;TEXT($AA205,"dd-mmm")&amp;". "&amp;IF($Z205=6,"Final escalation completed.",IF($U205="OVERDUE","Next: "&amp;$AC205&amp;" was due "&amp;TEXT($AB205,"dd-mmm")&amp;" - "&amp;(NETWORKDAYS($AB205,TODAY(),Holidays)-1)&amp;" business day(s) late. Send now.",IF($U205="DUE TOMORROW","Next: "&amp;$AC205&amp;IF($AB205&lt;=TODAY()," is due TODAY ("," is due next business day (")&amp;TEXT($AB205,"dd-mmm")&amp;").","Next: "&amp;$AC205&amp;" due "&amp;TEXT($AB205,"dd-mmm")&amp;" ("&amp;(NETWORKDAYS(TODAY(),$AB205,Holidays)-1)&amp;" business day(s) left).")))))</f>
        <v/>
      </c>
      <c r="W205" s="17">
        <f>IF($Z205="","",CHOOSE($Z205,"Collection Email","1st Follow-up","2nd Follow-up","Local Office","CBE","Roxanne")&amp;IF($Z205=6," - Final"," - Day "&amp;MAX(0,NETWORKDAYS($AA205,TODAY(),Holidays)-1)&amp;" of "&amp;CHOOSE($Z205,3,3,2,2,3))&amp;" | Total Day "&amp;MAX(0,NETWORKDAYS($N205,TODAY(),Holidays)-1))</f>
        <v/>
      </c>
      <c r="X205" s="18"/>
      <c r="Y205" s="18"/>
      <c r="Z205" s="17">
        <f>IF($N205="","",COUNT($N205:$S205))</f>
        <v/>
      </c>
      <c r="AA205" s="19">
        <f>IF($Z205="","",INT(INDEX($N205:$S205,$Z205)))</f>
        <v/>
      </c>
      <c r="AB205" s="19">
        <f>IF(OR($Z205="",$Z205=6),"",WORKDAY($AA205,CHOOSE($Z205,3,3,2,2,3),Holidays))</f>
        <v/>
      </c>
      <c r="AC205" s="17">
        <f>IF(OR($Z205="",$Z205=6),"",CHOOSE($Z205,"1st Email Follow-up","2nd Email Follow-up","Escalate Local Office","Escalate to CBE","Escalate to Roxanne"))</f>
        <v/>
      </c>
    </row>
    <row r="206" spans="13:29">
      <c r="M206" s="14"/>
      <c r="T206" s="16"/>
      <c r="U206" s="17">
        <f>IF(AND(COUNTA($A206:$L206)=0,$N206=""),"",IF($T206="Paid","PAID",IF($T206="Closed","CLOSED",IF($Z206="","",IF($Z206=6,"ESCALATED TO ROXANNE",IF(TODAY()&gt;$AB206,"OVERDUE",IF($AB206&lt;=WORKDAY(TODAY(),1,Holidays),"DUE TOMORROW",IF($Z206=4,"ESCALATED TO LOCAL OFFICE",IF($Z206=5,"ESCALATED TO CBE",IF($AA206=TODAY(),"EMAIL SENT","MONITORING"))))))))))</f>
        <v/>
      </c>
      <c r="V206" s="17">
        <f>IF($U206="",IF(AND(COUNTA($A206:$L206)&gt;0,$N206=""),"Awaiting Collection Email time stamp.",""),IF(OR($U206="PAID",$U206="CLOSED"),IF($U206="PAID","Account paid. Action completed.","Account closed. No further action required."),CHOOSE($Z206,"Collection Email","1st Email Follow-up","2nd Email Follow-up","Escalation to Local Office","Escalation to CBE","Escalation to Roxanne")&amp;" sent "&amp;TEXT($AA206,"dd-mmm")&amp;". "&amp;IF($Z206=6,"Final escalation completed.",IF($U206="OVERDUE","Next: "&amp;$AC206&amp;" was due "&amp;TEXT($AB206,"dd-mmm")&amp;" - "&amp;(NETWORKDAYS($AB206,TODAY(),Holidays)-1)&amp;" business day(s) late. Send now.",IF($U206="DUE TOMORROW","Next: "&amp;$AC206&amp;IF($AB206&lt;=TODAY()," is due TODAY ("," is due next business day (")&amp;TEXT($AB206,"dd-mmm")&amp;").","Next: "&amp;$AC206&amp;" due "&amp;TEXT($AB206,"dd-mmm")&amp;" ("&amp;(NETWORKDAYS(TODAY(),$AB206,Holidays)-1)&amp;" business day(s) left).")))))</f>
        <v/>
      </c>
      <c r="W206" s="17">
        <f>IF($Z206="","",CHOOSE($Z206,"Collection Email","1st Follow-up","2nd Follow-up","Local Office","CBE","Roxanne")&amp;IF($Z206=6," - Final"," - Day "&amp;MAX(0,NETWORKDAYS($AA206,TODAY(),Holidays)-1)&amp;" of "&amp;CHOOSE($Z206,3,3,2,2,3))&amp;" | Total Day "&amp;MAX(0,NETWORKDAYS($N206,TODAY(),Holidays)-1))</f>
        <v/>
      </c>
      <c r="X206" s="18"/>
      <c r="Y206" s="18"/>
      <c r="Z206" s="17">
        <f>IF($N206="","",COUNT($N206:$S206))</f>
        <v/>
      </c>
      <c r="AA206" s="19">
        <f>IF($Z206="","",INT(INDEX($N206:$S206,$Z206)))</f>
        <v/>
      </c>
      <c r="AB206" s="19">
        <f>IF(OR($Z206="",$Z206=6),"",WORKDAY($AA206,CHOOSE($Z206,3,3,2,2,3),Holidays))</f>
        <v/>
      </c>
      <c r="AC206" s="17">
        <f>IF(OR($Z206="",$Z206=6),"",CHOOSE($Z206,"1st Email Follow-up","2nd Email Follow-up","Escalate Local Office","Escalate to CBE","Escalate to Roxanne"))</f>
        <v/>
      </c>
    </row>
    <row r="207" spans="13:29">
      <c r="M207" s="14"/>
      <c r="T207" s="16"/>
      <c r="U207" s="17">
        <f>IF(AND(COUNTA($A207:$L207)=0,$N207=""),"",IF($T207="Paid","PAID",IF($T207="Closed","CLOSED",IF($Z207="","",IF($Z207=6,"ESCALATED TO ROXANNE",IF(TODAY()&gt;$AB207,"OVERDUE",IF($AB207&lt;=WORKDAY(TODAY(),1,Holidays),"DUE TOMORROW",IF($Z207=4,"ESCALATED TO LOCAL OFFICE",IF($Z207=5,"ESCALATED TO CBE",IF($AA207=TODAY(),"EMAIL SENT","MONITORING"))))))))))</f>
        <v/>
      </c>
      <c r="V207" s="17">
        <f>IF($U207="",IF(AND(COUNTA($A207:$L207)&gt;0,$N207=""),"Awaiting Collection Email time stamp.",""),IF(OR($U207="PAID",$U207="CLOSED"),IF($U207="PAID","Account paid. Action completed.","Account closed. No further action required."),CHOOSE($Z207,"Collection Email","1st Email Follow-up","2nd Email Follow-up","Escalation to Local Office","Escalation to CBE","Escalation to Roxanne")&amp;" sent "&amp;TEXT($AA207,"dd-mmm")&amp;". "&amp;IF($Z207=6,"Final escalation completed.",IF($U207="OVERDUE","Next: "&amp;$AC207&amp;" was due "&amp;TEXT($AB207,"dd-mmm")&amp;" - "&amp;(NETWORKDAYS($AB207,TODAY(),Holidays)-1)&amp;" business day(s) late. Send now.",IF($U207="DUE TOMORROW","Next: "&amp;$AC207&amp;IF($AB207&lt;=TODAY()," is due TODAY ("," is due next business day (")&amp;TEXT($AB207,"dd-mmm")&amp;").","Next: "&amp;$AC207&amp;" due "&amp;TEXT($AB207,"dd-mmm")&amp;" ("&amp;(NETWORKDAYS(TODAY(),$AB207,Holidays)-1)&amp;" business day(s) left).")))))</f>
        <v/>
      </c>
      <c r="W207" s="17">
        <f>IF($Z207="","",CHOOSE($Z207,"Collection Email","1st Follow-up","2nd Follow-up","Local Office","CBE","Roxanne")&amp;IF($Z207=6," - Final"," - Day "&amp;MAX(0,NETWORKDAYS($AA207,TODAY(),Holidays)-1)&amp;" of "&amp;CHOOSE($Z207,3,3,2,2,3))&amp;" | Total Day "&amp;MAX(0,NETWORKDAYS($N207,TODAY(),Holidays)-1))</f>
        <v/>
      </c>
      <c r="X207" s="18"/>
      <c r="Y207" s="18"/>
      <c r="Z207" s="17">
        <f>IF($N207="","",COUNT($N207:$S207))</f>
        <v/>
      </c>
      <c r="AA207" s="19">
        <f>IF($Z207="","",INT(INDEX($N207:$S207,$Z207)))</f>
        <v/>
      </c>
      <c r="AB207" s="19">
        <f>IF(OR($Z207="",$Z207=6),"",WORKDAY($AA207,CHOOSE($Z207,3,3,2,2,3),Holidays))</f>
        <v/>
      </c>
      <c r="AC207" s="17">
        <f>IF(OR($Z207="",$Z207=6),"",CHOOSE($Z207,"1st Email Follow-up","2nd Email Follow-up","Escalate Local Office","Escalate to CBE","Escalate to Roxanne"))</f>
        <v/>
      </c>
    </row>
    <row r="208" spans="13:29">
      <c r="M208" s="14"/>
      <c r="T208" s="16"/>
      <c r="U208" s="17">
        <f>IF(AND(COUNTA($A208:$L208)=0,$N208=""),"",IF($T208="Paid","PAID",IF($T208="Closed","CLOSED",IF($Z208="","",IF($Z208=6,"ESCALATED TO ROXANNE",IF(TODAY()&gt;$AB208,"OVERDUE",IF($AB208&lt;=WORKDAY(TODAY(),1,Holidays),"DUE TOMORROW",IF($Z208=4,"ESCALATED TO LOCAL OFFICE",IF($Z208=5,"ESCALATED TO CBE",IF($AA208=TODAY(),"EMAIL SENT","MONITORING"))))))))))</f>
        <v/>
      </c>
      <c r="V208" s="17">
        <f>IF($U208="",IF(AND(COUNTA($A208:$L208)&gt;0,$N208=""),"Awaiting Collection Email time stamp.",""),IF(OR($U208="PAID",$U208="CLOSED"),IF($U208="PAID","Account paid. Action completed.","Account closed. No further action required."),CHOOSE($Z208,"Collection Email","1st Email Follow-up","2nd Email Follow-up","Escalation to Local Office","Escalation to CBE","Escalation to Roxanne")&amp;" sent "&amp;TEXT($AA208,"dd-mmm")&amp;". "&amp;IF($Z208=6,"Final escalation completed.",IF($U208="OVERDUE","Next: "&amp;$AC208&amp;" was due "&amp;TEXT($AB208,"dd-mmm")&amp;" - "&amp;(NETWORKDAYS($AB208,TODAY(),Holidays)-1)&amp;" business day(s) late. Send now.",IF($U208="DUE TOMORROW","Next: "&amp;$AC208&amp;IF($AB208&lt;=TODAY()," is due TODAY ("," is due next business day (")&amp;TEXT($AB208,"dd-mmm")&amp;").","Next: "&amp;$AC208&amp;" due "&amp;TEXT($AB208,"dd-mmm")&amp;" ("&amp;(NETWORKDAYS(TODAY(),$AB208,Holidays)-1)&amp;" business day(s) left).")))))</f>
        <v/>
      </c>
      <c r="W208" s="17">
        <f>IF($Z208="","",CHOOSE($Z208,"Collection Email","1st Follow-up","2nd Follow-up","Local Office","CBE","Roxanne")&amp;IF($Z208=6," - Final"," - Day "&amp;MAX(0,NETWORKDAYS($AA208,TODAY(),Holidays)-1)&amp;" of "&amp;CHOOSE($Z208,3,3,2,2,3))&amp;" | Total Day "&amp;MAX(0,NETWORKDAYS($N208,TODAY(),Holidays)-1))</f>
        <v/>
      </c>
      <c r="X208" s="18"/>
      <c r="Y208" s="18"/>
      <c r="Z208" s="17">
        <f>IF($N208="","",COUNT($N208:$S208))</f>
        <v/>
      </c>
      <c r="AA208" s="19">
        <f>IF($Z208="","",INT(INDEX($N208:$S208,$Z208)))</f>
        <v/>
      </c>
      <c r="AB208" s="19">
        <f>IF(OR($Z208="",$Z208=6),"",WORKDAY($AA208,CHOOSE($Z208,3,3,2,2,3),Holidays))</f>
        <v/>
      </c>
      <c r="AC208" s="17">
        <f>IF(OR($Z208="",$Z208=6),"",CHOOSE($Z208,"1st Email Follow-up","2nd Email Follow-up","Escalate Local Office","Escalate to CBE","Escalate to Roxanne"))</f>
        <v/>
      </c>
    </row>
    <row r="209" spans="13:29">
      <c r="M209" s="14"/>
      <c r="T209" s="16"/>
      <c r="U209" s="17">
        <f>IF(AND(COUNTA($A209:$L209)=0,$N209=""),"",IF($T209="Paid","PAID",IF($T209="Closed","CLOSED",IF($Z209="","",IF($Z209=6,"ESCALATED TO ROXANNE",IF(TODAY()&gt;$AB209,"OVERDUE",IF($AB209&lt;=WORKDAY(TODAY(),1,Holidays),"DUE TOMORROW",IF($Z209=4,"ESCALATED TO LOCAL OFFICE",IF($Z209=5,"ESCALATED TO CBE",IF($AA209=TODAY(),"EMAIL SENT","MONITORING"))))))))))</f>
        <v/>
      </c>
      <c r="V209" s="17">
        <f>IF($U209="",IF(AND(COUNTA($A209:$L209)&gt;0,$N209=""),"Awaiting Collection Email time stamp.",""),IF(OR($U209="PAID",$U209="CLOSED"),IF($U209="PAID","Account paid. Action completed.","Account closed. No further action required."),CHOOSE($Z209,"Collection Email","1st Email Follow-up","2nd Email Follow-up","Escalation to Local Office","Escalation to CBE","Escalation to Roxanne")&amp;" sent "&amp;TEXT($AA209,"dd-mmm")&amp;". "&amp;IF($Z209=6,"Final escalation completed.",IF($U209="OVERDUE","Next: "&amp;$AC209&amp;" was due "&amp;TEXT($AB209,"dd-mmm")&amp;" - "&amp;(NETWORKDAYS($AB209,TODAY(),Holidays)-1)&amp;" business day(s) late. Send now.",IF($U209="DUE TOMORROW","Next: "&amp;$AC209&amp;IF($AB209&lt;=TODAY()," is due TODAY ("," is due next business day (")&amp;TEXT($AB209,"dd-mmm")&amp;").","Next: "&amp;$AC209&amp;" due "&amp;TEXT($AB209,"dd-mmm")&amp;" ("&amp;(NETWORKDAYS(TODAY(),$AB209,Holidays)-1)&amp;" business day(s) left).")))))</f>
        <v/>
      </c>
      <c r="W209" s="17">
        <f>IF($Z209="","",CHOOSE($Z209,"Collection Email","1st Follow-up","2nd Follow-up","Local Office","CBE","Roxanne")&amp;IF($Z209=6," - Final"," - Day "&amp;MAX(0,NETWORKDAYS($AA209,TODAY(),Holidays)-1)&amp;" of "&amp;CHOOSE($Z209,3,3,2,2,3))&amp;" | Total Day "&amp;MAX(0,NETWORKDAYS($N209,TODAY(),Holidays)-1))</f>
        <v/>
      </c>
      <c r="X209" s="18"/>
      <c r="Y209" s="18"/>
      <c r="Z209" s="17">
        <f>IF($N209="","",COUNT($N209:$S209))</f>
        <v/>
      </c>
      <c r="AA209" s="19">
        <f>IF($Z209="","",INT(INDEX($N209:$S209,$Z209)))</f>
        <v/>
      </c>
      <c r="AB209" s="19">
        <f>IF(OR($Z209="",$Z209=6),"",WORKDAY($AA209,CHOOSE($Z209,3,3,2,2,3),Holidays))</f>
        <v/>
      </c>
      <c r="AC209" s="17">
        <f>IF(OR($Z209="",$Z209=6),"",CHOOSE($Z209,"1st Email Follow-up","2nd Email Follow-up","Escalate Local Office","Escalate to CBE","Escalate to Roxanne"))</f>
        <v/>
      </c>
    </row>
    <row r="210" spans="13:29">
      <c r="M210" s="14"/>
      <c r="T210" s="16"/>
      <c r="U210" s="17">
        <f>IF(AND(COUNTA($A210:$L210)=0,$N210=""),"",IF($T210="Paid","PAID",IF($T210="Closed","CLOSED",IF($Z210="","",IF($Z210=6,"ESCALATED TO ROXANNE",IF(TODAY()&gt;$AB210,"OVERDUE",IF($AB210&lt;=WORKDAY(TODAY(),1,Holidays),"DUE TOMORROW",IF($Z210=4,"ESCALATED TO LOCAL OFFICE",IF($Z210=5,"ESCALATED TO CBE",IF($AA210=TODAY(),"EMAIL SENT","MONITORING"))))))))))</f>
        <v/>
      </c>
      <c r="V210" s="17">
        <f>IF($U210="",IF(AND(COUNTA($A210:$L210)&gt;0,$N210=""),"Awaiting Collection Email time stamp.",""),IF(OR($U210="PAID",$U210="CLOSED"),IF($U210="PAID","Account paid. Action completed.","Account closed. No further action required."),CHOOSE($Z210,"Collection Email","1st Email Follow-up","2nd Email Follow-up","Escalation to Local Office","Escalation to CBE","Escalation to Roxanne")&amp;" sent "&amp;TEXT($AA210,"dd-mmm")&amp;". "&amp;IF($Z210=6,"Final escalation completed.",IF($U210="OVERDUE","Next: "&amp;$AC210&amp;" was due "&amp;TEXT($AB210,"dd-mmm")&amp;" - "&amp;(NETWORKDAYS($AB210,TODAY(),Holidays)-1)&amp;" business day(s) late. Send now.",IF($U210="DUE TOMORROW","Next: "&amp;$AC210&amp;IF($AB210&lt;=TODAY()," is due TODAY ("," is due next business day (")&amp;TEXT($AB210,"dd-mmm")&amp;").","Next: "&amp;$AC210&amp;" due "&amp;TEXT($AB210,"dd-mmm")&amp;" ("&amp;(NETWORKDAYS(TODAY(),$AB210,Holidays)-1)&amp;" business day(s) left).")))))</f>
        <v/>
      </c>
      <c r="W210" s="17">
        <f>IF($Z210="","",CHOOSE($Z210,"Collection Email","1st Follow-up","2nd Follow-up","Local Office","CBE","Roxanne")&amp;IF($Z210=6," - Final"," - Day "&amp;MAX(0,NETWORKDAYS($AA210,TODAY(),Holidays)-1)&amp;" of "&amp;CHOOSE($Z210,3,3,2,2,3))&amp;" | Total Day "&amp;MAX(0,NETWORKDAYS($N210,TODAY(),Holidays)-1))</f>
        <v/>
      </c>
      <c r="X210" s="18"/>
      <c r="Y210" s="18"/>
      <c r="Z210" s="17">
        <f>IF($N210="","",COUNT($N210:$S210))</f>
        <v/>
      </c>
      <c r="AA210" s="19">
        <f>IF($Z210="","",INT(INDEX($N210:$S210,$Z210)))</f>
        <v/>
      </c>
      <c r="AB210" s="19">
        <f>IF(OR($Z210="",$Z210=6),"",WORKDAY($AA210,CHOOSE($Z210,3,3,2,2,3),Holidays))</f>
        <v/>
      </c>
      <c r="AC210" s="17">
        <f>IF(OR($Z210="",$Z210=6),"",CHOOSE($Z210,"1st Email Follow-up","2nd Email Follow-up","Escalate Local Office","Escalate to CBE","Escalate to Roxanne"))</f>
        <v/>
      </c>
    </row>
    <row r="211" spans="13:29">
      <c r="M211" s="14"/>
      <c r="T211" s="16"/>
      <c r="U211" s="17">
        <f>IF(AND(COUNTA($A211:$L211)=0,$N211=""),"",IF($T211="Paid","PAID",IF($T211="Closed","CLOSED",IF($Z211="","",IF($Z211=6,"ESCALATED TO ROXANNE",IF(TODAY()&gt;$AB211,"OVERDUE",IF($AB211&lt;=WORKDAY(TODAY(),1,Holidays),"DUE TOMORROW",IF($Z211=4,"ESCALATED TO LOCAL OFFICE",IF($Z211=5,"ESCALATED TO CBE",IF($AA211=TODAY(),"EMAIL SENT","MONITORING"))))))))))</f>
        <v/>
      </c>
      <c r="V211" s="17">
        <f>IF($U211="",IF(AND(COUNTA($A211:$L211)&gt;0,$N211=""),"Awaiting Collection Email time stamp.",""),IF(OR($U211="PAID",$U211="CLOSED"),IF($U211="PAID","Account paid. Action completed.","Account closed. No further action required."),CHOOSE($Z211,"Collection Email","1st Email Follow-up","2nd Email Follow-up","Escalation to Local Office","Escalation to CBE","Escalation to Roxanne")&amp;" sent "&amp;TEXT($AA211,"dd-mmm")&amp;". "&amp;IF($Z211=6,"Final escalation completed.",IF($U211="OVERDUE","Next: "&amp;$AC211&amp;" was due "&amp;TEXT($AB211,"dd-mmm")&amp;" - "&amp;(NETWORKDAYS($AB211,TODAY(),Holidays)-1)&amp;" business day(s) late. Send now.",IF($U211="DUE TOMORROW","Next: "&amp;$AC211&amp;IF($AB211&lt;=TODAY()," is due TODAY ("," is due next business day (")&amp;TEXT($AB211,"dd-mmm")&amp;").","Next: "&amp;$AC211&amp;" due "&amp;TEXT($AB211,"dd-mmm")&amp;" ("&amp;(NETWORKDAYS(TODAY(),$AB211,Holidays)-1)&amp;" business day(s) left).")))))</f>
        <v/>
      </c>
      <c r="W211" s="17">
        <f>IF($Z211="","",CHOOSE($Z211,"Collection Email","1st Follow-up","2nd Follow-up","Local Office","CBE","Roxanne")&amp;IF($Z211=6," - Final"," - Day "&amp;MAX(0,NETWORKDAYS($AA211,TODAY(),Holidays)-1)&amp;" of "&amp;CHOOSE($Z211,3,3,2,2,3))&amp;" | Total Day "&amp;MAX(0,NETWORKDAYS($N211,TODAY(),Holidays)-1))</f>
        <v/>
      </c>
      <c r="X211" s="18"/>
      <c r="Y211" s="18"/>
      <c r="Z211" s="17">
        <f>IF($N211="","",COUNT($N211:$S211))</f>
        <v/>
      </c>
      <c r="AA211" s="19">
        <f>IF($Z211="","",INT(INDEX($N211:$S211,$Z211)))</f>
        <v/>
      </c>
      <c r="AB211" s="19">
        <f>IF(OR($Z211="",$Z211=6),"",WORKDAY($AA211,CHOOSE($Z211,3,3,2,2,3),Holidays))</f>
        <v/>
      </c>
      <c r="AC211" s="17">
        <f>IF(OR($Z211="",$Z211=6),"",CHOOSE($Z211,"1st Email Follow-up","2nd Email Follow-up","Escalate Local Office","Escalate to CBE","Escalate to Roxanne"))</f>
        <v/>
      </c>
    </row>
    <row r="212" spans="13:29">
      <c r="M212" s="14"/>
      <c r="T212" s="16"/>
      <c r="U212" s="17">
        <f>IF(AND(COUNTA($A212:$L212)=0,$N212=""),"",IF($T212="Paid","PAID",IF($T212="Closed","CLOSED",IF($Z212="","",IF($Z212=6,"ESCALATED TO ROXANNE",IF(TODAY()&gt;$AB212,"OVERDUE",IF($AB212&lt;=WORKDAY(TODAY(),1,Holidays),"DUE TOMORROW",IF($Z212=4,"ESCALATED TO LOCAL OFFICE",IF($Z212=5,"ESCALATED TO CBE",IF($AA212=TODAY(),"EMAIL SENT","MONITORING"))))))))))</f>
        <v/>
      </c>
      <c r="V212" s="17">
        <f>IF($U212="",IF(AND(COUNTA($A212:$L212)&gt;0,$N212=""),"Awaiting Collection Email time stamp.",""),IF(OR($U212="PAID",$U212="CLOSED"),IF($U212="PAID","Account paid. Action completed.","Account closed. No further action required."),CHOOSE($Z212,"Collection Email","1st Email Follow-up","2nd Email Follow-up","Escalation to Local Office","Escalation to CBE","Escalation to Roxanne")&amp;" sent "&amp;TEXT($AA212,"dd-mmm")&amp;". "&amp;IF($Z212=6,"Final escalation completed.",IF($U212="OVERDUE","Next: "&amp;$AC212&amp;" was due "&amp;TEXT($AB212,"dd-mmm")&amp;" - "&amp;(NETWORKDAYS($AB212,TODAY(),Holidays)-1)&amp;" business day(s) late. Send now.",IF($U212="DUE TOMORROW","Next: "&amp;$AC212&amp;IF($AB212&lt;=TODAY()," is due TODAY ("," is due next business day (")&amp;TEXT($AB212,"dd-mmm")&amp;").","Next: "&amp;$AC212&amp;" due "&amp;TEXT($AB212,"dd-mmm")&amp;" ("&amp;(NETWORKDAYS(TODAY(),$AB212,Holidays)-1)&amp;" business day(s) left).")))))</f>
        <v/>
      </c>
      <c r="W212" s="17">
        <f>IF($Z212="","",CHOOSE($Z212,"Collection Email","1st Follow-up","2nd Follow-up","Local Office","CBE","Roxanne")&amp;IF($Z212=6," - Final"," - Day "&amp;MAX(0,NETWORKDAYS($AA212,TODAY(),Holidays)-1)&amp;" of "&amp;CHOOSE($Z212,3,3,2,2,3))&amp;" | Total Day "&amp;MAX(0,NETWORKDAYS($N212,TODAY(),Holidays)-1))</f>
        <v/>
      </c>
      <c r="X212" s="18"/>
      <c r="Y212" s="18"/>
      <c r="Z212" s="17">
        <f>IF($N212="","",COUNT($N212:$S212))</f>
        <v/>
      </c>
      <c r="AA212" s="19">
        <f>IF($Z212="","",INT(INDEX($N212:$S212,$Z212)))</f>
        <v/>
      </c>
      <c r="AB212" s="19">
        <f>IF(OR($Z212="",$Z212=6),"",WORKDAY($AA212,CHOOSE($Z212,3,3,2,2,3),Holidays))</f>
        <v/>
      </c>
      <c r="AC212" s="17">
        <f>IF(OR($Z212="",$Z212=6),"",CHOOSE($Z212,"1st Email Follow-up","2nd Email Follow-up","Escalate Local Office","Escalate to CBE","Escalate to Roxanne"))</f>
        <v/>
      </c>
    </row>
    <row r="213" spans="13:29">
      <c r="M213" s="14"/>
      <c r="T213" s="16"/>
      <c r="U213" s="17">
        <f>IF(AND(COUNTA($A213:$L213)=0,$N213=""),"",IF($T213="Paid","PAID",IF($T213="Closed","CLOSED",IF($Z213="","",IF($Z213=6,"ESCALATED TO ROXANNE",IF(TODAY()&gt;$AB213,"OVERDUE",IF($AB213&lt;=WORKDAY(TODAY(),1,Holidays),"DUE TOMORROW",IF($Z213=4,"ESCALATED TO LOCAL OFFICE",IF($Z213=5,"ESCALATED TO CBE",IF($AA213=TODAY(),"EMAIL SENT","MONITORING"))))))))))</f>
        <v/>
      </c>
      <c r="V213" s="17">
        <f>IF($U213="",IF(AND(COUNTA($A213:$L213)&gt;0,$N213=""),"Awaiting Collection Email time stamp.",""),IF(OR($U213="PAID",$U213="CLOSED"),IF($U213="PAID","Account paid. Action completed.","Account closed. No further action required."),CHOOSE($Z213,"Collection Email","1st Email Follow-up","2nd Email Follow-up","Escalation to Local Office","Escalation to CBE","Escalation to Roxanne")&amp;" sent "&amp;TEXT($AA213,"dd-mmm")&amp;". "&amp;IF($Z213=6,"Final escalation completed.",IF($U213="OVERDUE","Next: "&amp;$AC213&amp;" was due "&amp;TEXT($AB213,"dd-mmm")&amp;" - "&amp;(NETWORKDAYS($AB213,TODAY(),Holidays)-1)&amp;" business day(s) late. Send now.",IF($U213="DUE TOMORROW","Next: "&amp;$AC213&amp;IF($AB213&lt;=TODAY()," is due TODAY ("," is due next business day (")&amp;TEXT($AB213,"dd-mmm")&amp;").","Next: "&amp;$AC213&amp;" due "&amp;TEXT($AB213,"dd-mmm")&amp;" ("&amp;(NETWORKDAYS(TODAY(),$AB213,Holidays)-1)&amp;" business day(s) left).")))))</f>
        <v/>
      </c>
      <c r="W213" s="17">
        <f>IF($Z213="","",CHOOSE($Z213,"Collection Email","1st Follow-up","2nd Follow-up","Local Office","CBE","Roxanne")&amp;IF($Z213=6," - Final"," - Day "&amp;MAX(0,NETWORKDAYS($AA213,TODAY(),Holidays)-1)&amp;" of "&amp;CHOOSE($Z213,3,3,2,2,3))&amp;" | Total Day "&amp;MAX(0,NETWORKDAYS($N213,TODAY(),Holidays)-1))</f>
        <v/>
      </c>
      <c r="X213" s="18"/>
      <c r="Y213" s="18"/>
      <c r="Z213" s="17">
        <f>IF($N213="","",COUNT($N213:$S213))</f>
        <v/>
      </c>
      <c r="AA213" s="19">
        <f>IF($Z213="","",INT(INDEX($N213:$S213,$Z213)))</f>
        <v/>
      </c>
      <c r="AB213" s="19">
        <f>IF(OR($Z213="",$Z213=6),"",WORKDAY($AA213,CHOOSE($Z213,3,3,2,2,3),Holidays))</f>
        <v/>
      </c>
      <c r="AC213" s="17">
        <f>IF(OR($Z213="",$Z213=6),"",CHOOSE($Z213,"1st Email Follow-up","2nd Email Follow-up","Escalate Local Office","Escalate to CBE","Escalate to Roxanne"))</f>
        <v/>
      </c>
    </row>
    <row r="214" spans="13:29">
      <c r="M214" s="14"/>
      <c r="T214" s="16"/>
      <c r="U214" s="17">
        <f>IF(AND(COUNTA($A214:$L214)=0,$N214=""),"",IF($T214="Paid","PAID",IF($T214="Closed","CLOSED",IF($Z214="","",IF($Z214=6,"ESCALATED TO ROXANNE",IF(TODAY()&gt;$AB214,"OVERDUE",IF($AB214&lt;=WORKDAY(TODAY(),1,Holidays),"DUE TOMORROW",IF($Z214=4,"ESCALATED TO LOCAL OFFICE",IF($Z214=5,"ESCALATED TO CBE",IF($AA214=TODAY(),"EMAIL SENT","MONITORING"))))))))))</f>
        <v/>
      </c>
      <c r="V214" s="17">
        <f>IF($U214="",IF(AND(COUNTA($A214:$L214)&gt;0,$N214=""),"Awaiting Collection Email time stamp.",""),IF(OR($U214="PAID",$U214="CLOSED"),IF($U214="PAID","Account paid. Action completed.","Account closed. No further action required."),CHOOSE($Z214,"Collection Email","1st Email Follow-up","2nd Email Follow-up","Escalation to Local Office","Escalation to CBE","Escalation to Roxanne")&amp;" sent "&amp;TEXT($AA214,"dd-mmm")&amp;". "&amp;IF($Z214=6,"Final escalation completed.",IF($U214="OVERDUE","Next: "&amp;$AC214&amp;" was due "&amp;TEXT($AB214,"dd-mmm")&amp;" - "&amp;(NETWORKDAYS($AB214,TODAY(),Holidays)-1)&amp;" business day(s) late. Send now.",IF($U214="DUE TOMORROW","Next: "&amp;$AC214&amp;IF($AB214&lt;=TODAY()," is due TODAY ("," is due next business day (")&amp;TEXT($AB214,"dd-mmm")&amp;").","Next: "&amp;$AC214&amp;" due "&amp;TEXT($AB214,"dd-mmm")&amp;" ("&amp;(NETWORKDAYS(TODAY(),$AB214,Holidays)-1)&amp;" business day(s) left).")))))</f>
        <v/>
      </c>
      <c r="W214" s="17">
        <f>IF($Z214="","",CHOOSE($Z214,"Collection Email","1st Follow-up","2nd Follow-up","Local Office","CBE","Roxanne")&amp;IF($Z214=6," - Final"," - Day "&amp;MAX(0,NETWORKDAYS($AA214,TODAY(),Holidays)-1)&amp;" of "&amp;CHOOSE($Z214,3,3,2,2,3))&amp;" | Total Day "&amp;MAX(0,NETWORKDAYS($N214,TODAY(),Holidays)-1))</f>
        <v/>
      </c>
      <c r="X214" s="18"/>
      <c r="Y214" s="18"/>
      <c r="Z214" s="17">
        <f>IF($N214="","",COUNT($N214:$S214))</f>
        <v/>
      </c>
      <c r="AA214" s="19">
        <f>IF($Z214="","",INT(INDEX($N214:$S214,$Z214)))</f>
        <v/>
      </c>
      <c r="AB214" s="19">
        <f>IF(OR($Z214="",$Z214=6),"",WORKDAY($AA214,CHOOSE($Z214,3,3,2,2,3),Holidays))</f>
        <v/>
      </c>
      <c r="AC214" s="17">
        <f>IF(OR($Z214="",$Z214=6),"",CHOOSE($Z214,"1st Email Follow-up","2nd Email Follow-up","Escalate Local Office","Escalate to CBE","Escalate to Roxanne"))</f>
        <v/>
      </c>
    </row>
    <row r="215" spans="13:29">
      <c r="M215" s="14"/>
      <c r="T215" s="16"/>
      <c r="U215" s="17">
        <f>IF(AND(COUNTA($A215:$L215)=0,$N215=""),"",IF($T215="Paid","PAID",IF($T215="Closed","CLOSED",IF($Z215="","",IF($Z215=6,"ESCALATED TO ROXANNE",IF(TODAY()&gt;$AB215,"OVERDUE",IF($AB215&lt;=WORKDAY(TODAY(),1,Holidays),"DUE TOMORROW",IF($Z215=4,"ESCALATED TO LOCAL OFFICE",IF($Z215=5,"ESCALATED TO CBE",IF($AA215=TODAY(),"EMAIL SENT","MONITORING"))))))))))</f>
        <v/>
      </c>
      <c r="V215" s="17">
        <f>IF($U215="",IF(AND(COUNTA($A215:$L215)&gt;0,$N215=""),"Awaiting Collection Email time stamp.",""),IF(OR($U215="PAID",$U215="CLOSED"),IF($U215="PAID","Account paid. Action completed.","Account closed. No further action required."),CHOOSE($Z215,"Collection Email","1st Email Follow-up","2nd Email Follow-up","Escalation to Local Office","Escalation to CBE","Escalation to Roxanne")&amp;" sent "&amp;TEXT($AA215,"dd-mmm")&amp;". "&amp;IF($Z215=6,"Final escalation completed.",IF($U215="OVERDUE","Next: "&amp;$AC215&amp;" was due "&amp;TEXT($AB215,"dd-mmm")&amp;" - "&amp;(NETWORKDAYS($AB215,TODAY(),Holidays)-1)&amp;" business day(s) late. Send now.",IF($U215="DUE TOMORROW","Next: "&amp;$AC215&amp;IF($AB215&lt;=TODAY()," is due TODAY ("," is due next business day (")&amp;TEXT($AB215,"dd-mmm")&amp;").","Next: "&amp;$AC215&amp;" due "&amp;TEXT($AB215,"dd-mmm")&amp;" ("&amp;(NETWORKDAYS(TODAY(),$AB215,Holidays)-1)&amp;" business day(s) left).")))))</f>
        <v/>
      </c>
      <c r="W215" s="17">
        <f>IF($Z215="","",CHOOSE($Z215,"Collection Email","1st Follow-up","2nd Follow-up","Local Office","CBE","Roxanne")&amp;IF($Z215=6," - Final"," - Day "&amp;MAX(0,NETWORKDAYS($AA215,TODAY(),Holidays)-1)&amp;" of "&amp;CHOOSE($Z215,3,3,2,2,3))&amp;" | Total Day "&amp;MAX(0,NETWORKDAYS($N215,TODAY(),Holidays)-1))</f>
        <v/>
      </c>
      <c r="X215" s="18"/>
      <c r="Y215" s="18"/>
      <c r="Z215" s="17">
        <f>IF($N215="","",COUNT($N215:$S215))</f>
        <v/>
      </c>
      <c r="AA215" s="19">
        <f>IF($Z215="","",INT(INDEX($N215:$S215,$Z215)))</f>
        <v/>
      </c>
      <c r="AB215" s="19">
        <f>IF(OR($Z215="",$Z215=6),"",WORKDAY($AA215,CHOOSE($Z215,3,3,2,2,3),Holidays))</f>
        <v/>
      </c>
      <c r="AC215" s="17">
        <f>IF(OR($Z215="",$Z215=6),"",CHOOSE($Z215,"1st Email Follow-up","2nd Email Follow-up","Escalate Local Office","Escalate to CBE","Escalate to Roxanne"))</f>
        <v/>
      </c>
    </row>
    <row r="216" spans="13:29">
      <c r="M216" s="14"/>
      <c r="T216" s="16"/>
      <c r="U216" s="17">
        <f>IF(AND(COUNTA($A216:$L216)=0,$N216=""),"",IF($T216="Paid","PAID",IF($T216="Closed","CLOSED",IF($Z216="","",IF($Z216=6,"ESCALATED TO ROXANNE",IF(TODAY()&gt;$AB216,"OVERDUE",IF($AB216&lt;=WORKDAY(TODAY(),1,Holidays),"DUE TOMORROW",IF($Z216=4,"ESCALATED TO LOCAL OFFICE",IF($Z216=5,"ESCALATED TO CBE",IF($AA216=TODAY(),"EMAIL SENT","MONITORING"))))))))))</f>
        <v/>
      </c>
      <c r="V216" s="17">
        <f>IF($U216="",IF(AND(COUNTA($A216:$L216)&gt;0,$N216=""),"Awaiting Collection Email time stamp.",""),IF(OR($U216="PAID",$U216="CLOSED"),IF($U216="PAID","Account paid. Action completed.","Account closed. No further action required."),CHOOSE($Z216,"Collection Email","1st Email Follow-up","2nd Email Follow-up","Escalation to Local Office","Escalation to CBE","Escalation to Roxanne")&amp;" sent "&amp;TEXT($AA216,"dd-mmm")&amp;". "&amp;IF($Z216=6,"Final escalation completed.",IF($U216="OVERDUE","Next: "&amp;$AC216&amp;" was due "&amp;TEXT($AB216,"dd-mmm")&amp;" - "&amp;(NETWORKDAYS($AB216,TODAY(),Holidays)-1)&amp;" business day(s) late. Send now.",IF($U216="DUE TOMORROW","Next: "&amp;$AC216&amp;IF($AB216&lt;=TODAY()," is due TODAY ("," is due next business day (")&amp;TEXT($AB216,"dd-mmm")&amp;").","Next: "&amp;$AC216&amp;" due "&amp;TEXT($AB216,"dd-mmm")&amp;" ("&amp;(NETWORKDAYS(TODAY(),$AB216,Holidays)-1)&amp;" business day(s) left).")))))</f>
        <v/>
      </c>
      <c r="W216" s="17">
        <f>IF($Z216="","",CHOOSE($Z216,"Collection Email","1st Follow-up","2nd Follow-up","Local Office","CBE","Roxanne")&amp;IF($Z216=6," - Final"," - Day "&amp;MAX(0,NETWORKDAYS($AA216,TODAY(),Holidays)-1)&amp;" of "&amp;CHOOSE($Z216,3,3,2,2,3))&amp;" | Total Day "&amp;MAX(0,NETWORKDAYS($N216,TODAY(),Holidays)-1))</f>
        <v/>
      </c>
      <c r="X216" s="18"/>
      <c r="Y216" s="18"/>
      <c r="Z216" s="17">
        <f>IF($N216="","",COUNT($N216:$S216))</f>
        <v/>
      </c>
      <c r="AA216" s="19">
        <f>IF($Z216="","",INT(INDEX($N216:$S216,$Z216)))</f>
        <v/>
      </c>
      <c r="AB216" s="19">
        <f>IF(OR($Z216="",$Z216=6),"",WORKDAY($AA216,CHOOSE($Z216,3,3,2,2,3),Holidays))</f>
        <v/>
      </c>
      <c r="AC216" s="17">
        <f>IF(OR($Z216="",$Z216=6),"",CHOOSE($Z216,"1st Email Follow-up","2nd Email Follow-up","Escalate Local Office","Escalate to CBE","Escalate to Roxanne"))</f>
        <v/>
      </c>
    </row>
    <row r="217" spans="13:29">
      <c r="M217" s="14"/>
      <c r="T217" s="16"/>
      <c r="U217" s="17">
        <f>IF(AND(COUNTA($A217:$L217)=0,$N217=""),"",IF($T217="Paid","PAID",IF($T217="Closed","CLOSED",IF($Z217="","",IF($Z217=6,"ESCALATED TO ROXANNE",IF(TODAY()&gt;$AB217,"OVERDUE",IF($AB217&lt;=WORKDAY(TODAY(),1,Holidays),"DUE TOMORROW",IF($Z217=4,"ESCALATED TO LOCAL OFFICE",IF($Z217=5,"ESCALATED TO CBE",IF($AA217=TODAY(),"EMAIL SENT","MONITORING"))))))))))</f>
        <v/>
      </c>
      <c r="V217" s="17">
        <f>IF($U217="",IF(AND(COUNTA($A217:$L217)&gt;0,$N217=""),"Awaiting Collection Email time stamp.",""),IF(OR($U217="PAID",$U217="CLOSED"),IF($U217="PAID","Account paid. Action completed.","Account closed. No further action required."),CHOOSE($Z217,"Collection Email","1st Email Follow-up","2nd Email Follow-up","Escalation to Local Office","Escalation to CBE","Escalation to Roxanne")&amp;" sent "&amp;TEXT($AA217,"dd-mmm")&amp;". "&amp;IF($Z217=6,"Final escalation completed.",IF($U217="OVERDUE","Next: "&amp;$AC217&amp;" was due "&amp;TEXT($AB217,"dd-mmm")&amp;" - "&amp;(NETWORKDAYS($AB217,TODAY(),Holidays)-1)&amp;" business day(s) late. Send now.",IF($U217="DUE TOMORROW","Next: "&amp;$AC217&amp;IF($AB217&lt;=TODAY()," is due TODAY ("," is due next business day (")&amp;TEXT($AB217,"dd-mmm")&amp;").","Next: "&amp;$AC217&amp;" due "&amp;TEXT($AB217,"dd-mmm")&amp;" ("&amp;(NETWORKDAYS(TODAY(),$AB217,Holidays)-1)&amp;" business day(s) left).")))))</f>
        <v/>
      </c>
      <c r="W217" s="17">
        <f>IF($Z217="","",CHOOSE($Z217,"Collection Email","1st Follow-up","2nd Follow-up","Local Office","CBE","Roxanne")&amp;IF($Z217=6," - Final"," - Day "&amp;MAX(0,NETWORKDAYS($AA217,TODAY(),Holidays)-1)&amp;" of "&amp;CHOOSE($Z217,3,3,2,2,3))&amp;" | Total Day "&amp;MAX(0,NETWORKDAYS($N217,TODAY(),Holidays)-1))</f>
        <v/>
      </c>
      <c r="X217" s="18"/>
      <c r="Y217" s="18"/>
      <c r="Z217" s="17">
        <f>IF($N217="","",COUNT($N217:$S217))</f>
        <v/>
      </c>
      <c r="AA217" s="19">
        <f>IF($Z217="","",INT(INDEX($N217:$S217,$Z217)))</f>
        <v/>
      </c>
      <c r="AB217" s="19">
        <f>IF(OR($Z217="",$Z217=6),"",WORKDAY($AA217,CHOOSE($Z217,3,3,2,2,3),Holidays))</f>
        <v/>
      </c>
      <c r="AC217" s="17">
        <f>IF(OR($Z217="",$Z217=6),"",CHOOSE($Z217,"1st Email Follow-up","2nd Email Follow-up","Escalate Local Office","Escalate to CBE","Escalate to Roxanne"))</f>
        <v/>
      </c>
    </row>
    <row r="218" spans="13:29">
      <c r="M218" s="14"/>
      <c r="T218" s="16"/>
      <c r="U218" s="17">
        <f>IF(AND(COUNTA($A218:$L218)=0,$N218=""),"",IF($T218="Paid","PAID",IF($T218="Closed","CLOSED",IF($Z218="","",IF($Z218=6,"ESCALATED TO ROXANNE",IF(TODAY()&gt;$AB218,"OVERDUE",IF($AB218&lt;=WORKDAY(TODAY(),1,Holidays),"DUE TOMORROW",IF($Z218=4,"ESCALATED TO LOCAL OFFICE",IF($Z218=5,"ESCALATED TO CBE",IF($AA218=TODAY(),"EMAIL SENT","MONITORING"))))))))))</f>
        <v/>
      </c>
      <c r="V218" s="17">
        <f>IF($U218="",IF(AND(COUNTA($A218:$L218)&gt;0,$N218=""),"Awaiting Collection Email time stamp.",""),IF(OR($U218="PAID",$U218="CLOSED"),IF($U218="PAID","Account paid. Action completed.","Account closed. No further action required."),CHOOSE($Z218,"Collection Email","1st Email Follow-up","2nd Email Follow-up","Escalation to Local Office","Escalation to CBE","Escalation to Roxanne")&amp;" sent "&amp;TEXT($AA218,"dd-mmm")&amp;". "&amp;IF($Z218=6,"Final escalation completed.",IF($U218="OVERDUE","Next: "&amp;$AC218&amp;" was due "&amp;TEXT($AB218,"dd-mmm")&amp;" - "&amp;(NETWORKDAYS($AB218,TODAY(),Holidays)-1)&amp;" business day(s) late. Send now.",IF($U218="DUE TOMORROW","Next: "&amp;$AC218&amp;IF($AB218&lt;=TODAY()," is due TODAY ("," is due next business day (")&amp;TEXT($AB218,"dd-mmm")&amp;").","Next: "&amp;$AC218&amp;" due "&amp;TEXT($AB218,"dd-mmm")&amp;" ("&amp;(NETWORKDAYS(TODAY(),$AB218,Holidays)-1)&amp;" business day(s) left).")))))</f>
        <v/>
      </c>
      <c r="W218" s="17">
        <f>IF($Z218="","",CHOOSE($Z218,"Collection Email","1st Follow-up","2nd Follow-up","Local Office","CBE","Roxanne")&amp;IF($Z218=6," - Final"," - Day "&amp;MAX(0,NETWORKDAYS($AA218,TODAY(),Holidays)-1)&amp;" of "&amp;CHOOSE($Z218,3,3,2,2,3))&amp;" | Total Day "&amp;MAX(0,NETWORKDAYS($N218,TODAY(),Holidays)-1))</f>
        <v/>
      </c>
      <c r="X218" s="18"/>
      <c r="Y218" s="18"/>
      <c r="Z218" s="17">
        <f>IF($N218="","",COUNT($N218:$S218))</f>
        <v/>
      </c>
      <c r="AA218" s="19">
        <f>IF($Z218="","",INT(INDEX($N218:$S218,$Z218)))</f>
        <v/>
      </c>
      <c r="AB218" s="19">
        <f>IF(OR($Z218="",$Z218=6),"",WORKDAY($AA218,CHOOSE($Z218,3,3,2,2,3),Holidays))</f>
        <v/>
      </c>
      <c r="AC218" s="17">
        <f>IF(OR($Z218="",$Z218=6),"",CHOOSE($Z218,"1st Email Follow-up","2nd Email Follow-up","Escalate Local Office","Escalate to CBE","Escalate to Roxanne"))</f>
        <v/>
      </c>
    </row>
    <row r="219" spans="13:29">
      <c r="M219" s="14"/>
      <c r="T219" s="16"/>
      <c r="U219" s="17">
        <f>IF(AND(COUNTA($A219:$L219)=0,$N219=""),"",IF($T219="Paid","PAID",IF($T219="Closed","CLOSED",IF($Z219="","",IF($Z219=6,"ESCALATED TO ROXANNE",IF(TODAY()&gt;$AB219,"OVERDUE",IF($AB219&lt;=WORKDAY(TODAY(),1,Holidays),"DUE TOMORROW",IF($Z219=4,"ESCALATED TO LOCAL OFFICE",IF($Z219=5,"ESCALATED TO CBE",IF($AA219=TODAY(),"EMAIL SENT","MONITORING"))))))))))</f>
        <v/>
      </c>
      <c r="V219" s="17">
        <f>IF($U219="",IF(AND(COUNTA($A219:$L219)&gt;0,$N219=""),"Awaiting Collection Email time stamp.",""),IF(OR($U219="PAID",$U219="CLOSED"),IF($U219="PAID","Account paid. Action completed.","Account closed. No further action required."),CHOOSE($Z219,"Collection Email","1st Email Follow-up","2nd Email Follow-up","Escalation to Local Office","Escalation to CBE","Escalation to Roxanne")&amp;" sent "&amp;TEXT($AA219,"dd-mmm")&amp;". "&amp;IF($Z219=6,"Final escalation completed.",IF($U219="OVERDUE","Next: "&amp;$AC219&amp;" was due "&amp;TEXT($AB219,"dd-mmm")&amp;" - "&amp;(NETWORKDAYS($AB219,TODAY(),Holidays)-1)&amp;" business day(s) late. Send now.",IF($U219="DUE TOMORROW","Next: "&amp;$AC219&amp;IF($AB219&lt;=TODAY()," is due TODAY ("," is due next business day (")&amp;TEXT($AB219,"dd-mmm")&amp;").","Next: "&amp;$AC219&amp;" due "&amp;TEXT($AB219,"dd-mmm")&amp;" ("&amp;(NETWORKDAYS(TODAY(),$AB219,Holidays)-1)&amp;" business day(s) left).")))))</f>
        <v/>
      </c>
      <c r="W219" s="17">
        <f>IF($Z219="","",CHOOSE($Z219,"Collection Email","1st Follow-up","2nd Follow-up","Local Office","CBE","Roxanne")&amp;IF($Z219=6," - Final"," - Day "&amp;MAX(0,NETWORKDAYS($AA219,TODAY(),Holidays)-1)&amp;" of "&amp;CHOOSE($Z219,3,3,2,2,3))&amp;" | Total Day "&amp;MAX(0,NETWORKDAYS($N219,TODAY(),Holidays)-1))</f>
        <v/>
      </c>
      <c r="X219" s="18"/>
      <c r="Y219" s="18"/>
      <c r="Z219" s="17">
        <f>IF($N219="","",COUNT($N219:$S219))</f>
        <v/>
      </c>
      <c r="AA219" s="19">
        <f>IF($Z219="","",INT(INDEX($N219:$S219,$Z219)))</f>
        <v/>
      </c>
      <c r="AB219" s="19">
        <f>IF(OR($Z219="",$Z219=6),"",WORKDAY($AA219,CHOOSE($Z219,3,3,2,2,3),Holidays))</f>
        <v/>
      </c>
      <c r="AC219" s="17">
        <f>IF(OR($Z219="",$Z219=6),"",CHOOSE($Z219,"1st Email Follow-up","2nd Email Follow-up","Escalate Local Office","Escalate to CBE","Escalate to Roxanne"))</f>
        <v/>
      </c>
    </row>
    <row r="220" spans="13:29">
      <c r="M220" s="14"/>
      <c r="T220" s="16"/>
      <c r="U220" s="17">
        <f>IF(AND(COUNTA($A220:$L220)=0,$N220=""),"",IF($T220="Paid","PAID",IF($T220="Closed","CLOSED",IF($Z220="","",IF($Z220=6,"ESCALATED TO ROXANNE",IF(TODAY()&gt;$AB220,"OVERDUE",IF($AB220&lt;=WORKDAY(TODAY(),1,Holidays),"DUE TOMORROW",IF($Z220=4,"ESCALATED TO LOCAL OFFICE",IF($Z220=5,"ESCALATED TO CBE",IF($AA220=TODAY(),"EMAIL SENT","MONITORING"))))))))))</f>
        <v/>
      </c>
      <c r="V220" s="17">
        <f>IF($U220="",IF(AND(COUNTA($A220:$L220)&gt;0,$N220=""),"Awaiting Collection Email time stamp.",""),IF(OR($U220="PAID",$U220="CLOSED"),IF($U220="PAID","Account paid. Action completed.","Account closed. No further action required."),CHOOSE($Z220,"Collection Email","1st Email Follow-up","2nd Email Follow-up","Escalation to Local Office","Escalation to CBE","Escalation to Roxanne")&amp;" sent "&amp;TEXT($AA220,"dd-mmm")&amp;". "&amp;IF($Z220=6,"Final escalation completed.",IF($U220="OVERDUE","Next: "&amp;$AC220&amp;" was due "&amp;TEXT($AB220,"dd-mmm")&amp;" - "&amp;(NETWORKDAYS($AB220,TODAY(),Holidays)-1)&amp;" business day(s) late. Send now.",IF($U220="DUE TOMORROW","Next: "&amp;$AC220&amp;IF($AB220&lt;=TODAY()," is due TODAY ("," is due next business day (")&amp;TEXT($AB220,"dd-mmm")&amp;").","Next: "&amp;$AC220&amp;" due "&amp;TEXT($AB220,"dd-mmm")&amp;" ("&amp;(NETWORKDAYS(TODAY(),$AB220,Holidays)-1)&amp;" business day(s) left).")))))</f>
        <v/>
      </c>
      <c r="W220" s="17">
        <f>IF($Z220="","",CHOOSE($Z220,"Collection Email","1st Follow-up","2nd Follow-up","Local Office","CBE","Roxanne")&amp;IF($Z220=6," - Final"," - Day "&amp;MAX(0,NETWORKDAYS($AA220,TODAY(),Holidays)-1)&amp;" of "&amp;CHOOSE($Z220,3,3,2,2,3))&amp;" | Total Day "&amp;MAX(0,NETWORKDAYS($N220,TODAY(),Holidays)-1))</f>
        <v/>
      </c>
      <c r="X220" s="18"/>
      <c r="Y220" s="18"/>
      <c r="Z220" s="17">
        <f>IF($N220="","",COUNT($N220:$S220))</f>
        <v/>
      </c>
      <c r="AA220" s="19">
        <f>IF($Z220="","",INT(INDEX($N220:$S220,$Z220)))</f>
        <v/>
      </c>
      <c r="AB220" s="19">
        <f>IF(OR($Z220="",$Z220=6),"",WORKDAY($AA220,CHOOSE($Z220,3,3,2,2,3),Holidays))</f>
        <v/>
      </c>
      <c r="AC220" s="17">
        <f>IF(OR($Z220="",$Z220=6),"",CHOOSE($Z220,"1st Email Follow-up","2nd Email Follow-up","Escalate Local Office","Escalate to CBE","Escalate to Roxanne"))</f>
        <v/>
      </c>
    </row>
    <row r="221" spans="13:29">
      <c r="M221" s="14"/>
      <c r="T221" s="16"/>
      <c r="U221" s="17">
        <f>IF(AND(COUNTA($A221:$L221)=0,$N221=""),"",IF($T221="Paid","PAID",IF($T221="Closed","CLOSED",IF($Z221="","",IF($Z221=6,"ESCALATED TO ROXANNE",IF(TODAY()&gt;$AB221,"OVERDUE",IF($AB221&lt;=WORKDAY(TODAY(),1,Holidays),"DUE TOMORROW",IF($Z221=4,"ESCALATED TO LOCAL OFFICE",IF($Z221=5,"ESCALATED TO CBE",IF($AA221=TODAY(),"EMAIL SENT","MONITORING"))))))))))</f>
        <v/>
      </c>
      <c r="V221" s="17">
        <f>IF($U221="",IF(AND(COUNTA($A221:$L221)&gt;0,$N221=""),"Awaiting Collection Email time stamp.",""),IF(OR($U221="PAID",$U221="CLOSED"),IF($U221="PAID","Account paid. Action completed.","Account closed. No further action required."),CHOOSE($Z221,"Collection Email","1st Email Follow-up","2nd Email Follow-up","Escalation to Local Office","Escalation to CBE","Escalation to Roxanne")&amp;" sent "&amp;TEXT($AA221,"dd-mmm")&amp;". "&amp;IF($Z221=6,"Final escalation completed.",IF($U221="OVERDUE","Next: "&amp;$AC221&amp;" was due "&amp;TEXT($AB221,"dd-mmm")&amp;" - "&amp;(NETWORKDAYS($AB221,TODAY(),Holidays)-1)&amp;" business day(s) late. Send now.",IF($U221="DUE TOMORROW","Next: "&amp;$AC221&amp;IF($AB221&lt;=TODAY()," is due TODAY ("," is due next business day (")&amp;TEXT($AB221,"dd-mmm")&amp;").","Next: "&amp;$AC221&amp;" due "&amp;TEXT($AB221,"dd-mmm")&amp;" ("&amp;(NETWORKDAYS(TODAY(),$AB221,Holidays)-1)&amp;" business day(s) left).")))))</f>
        <v/>
      </c>
      <c r="W221" s="17">
        <f>IF($Z221="","",CHOOSE($Z221,"Collection Email","1st Follow-up","2nd Follow-up","Local Office","CBE","Roxanne")&amp;IF($Z221=6," - Final"," - Day "&amp;MAX(0,NETWORKDAYS($AA221,TODAY(),Holidays)-1)&amp;" of "&amp;CHOOSE($Z221,3,3,2,2,3))&amp;" | Total Day "&amp;MAX(0,NETWORKDAYS($N221,TODAY(),Holidays)-1))</f>
        <v/>
      </c>
      <c r="X221" s="18"/>
      <c r="Y221" s="18"/>
      <c r="Z221" s="17">
        <f>IF($N221="","",COUNT($N221:$S221))</f>
        <v/>
      </c>
      <c r="AA221" s="19">
        <f>IF($Z221="","",INT(INDEX($N221:$S221,$Z221)))</f>
        <v/>
      </c>
      <c r="AB221" s="19">
        <f>IF(OR($Z221="",$Z221=6),"",WORKDAY($AA221,CHOOSE($Z221,3,3,2,2,3),Holidays))</f>
        <v/>
      </c>
      <c r="AC221" s="17">
        <f>IF(OR($Z221="",$Z221=6),"",CHOOSE($Z221,"1st Email Follow-up","2nd Email Follow-up","Escalate Local Office","Escalate to CBE","Escalate to Roxanne"))</f>
        <v/>
      </c>
    </row>
    <row r="222" spans="13:29">
      <c r="M222" s="14"/>
      <c r="T222" s="16"/>
      <c r="U222" s="17">
        <f>IF(AND(COUNTA($A222:$L222)=0,$N222=""),"",IF($T222="Paid","PAID",IF($T222="Closed","CLOSED",IF($Z222="","",IF($Z222=6,"ESCALATED TO ROXANNE",IF(TODAY()&gt;$AB222,"OVERDUE",IF($AB222&lt;=WORKDAY(TODAY(),1,Holidays),"DUE TOMORROW",IF($Z222=4,"ESCALATED TO LOCAL OFFICE",IF($Z222=5,"ESCALATED TO CBE",IF($AA222=TODAY(),"EMAIL SENT","MONITORING"))))))))))</f>
        <v/>
      </c>
      <c r="V222" s="17">
        <f>IF($U222="",IF(AND(COUNTA($A222:$L222)&gt;0,$N222=""),"Awaiting Collection Email time stamp.",""),IF(OR($U222="PAID",$U222="CLOSED"),IF($U222="PAID","Account paid. Action completed.","Account closed. No further action required."),CHOOSE($Z222,"Collection Email","1st Email Follow-up","2nd Email Follow-up","Escalation to Local Office","Escalation to CBE","Escalation to Roxanne")&amp;" sent "&amp;TEXT($AA222,"dd-mmm")&amp;". "&amp;IF($Z222=6,"Final escalation completed.",IF($U222="OVERDUE","Next: "&amp;$AC222&amp;" was due "&amp;TEXT($AB222,"dd-mmm")&amp;" - "&amp;(NETWORKDAYS($AB222,TODAY(),Holidays)-1)&amp;" business day(s) late. Send now.",IF($U222="DUE TOMORROW","Next: "&amp;$AC222&amp;IF($AB222&lt;=TODAY()," is due TODAY ("," is due next business day (")&amp;TEXT($AB222,"dd-mmm")&amp;").","Next: "&amp;$AC222&amp;" due "&amp;TEXT($AB222,"dd-mmm")&amp;" ("&amp;(NETWORKDAYS(TODAY(),$AB222,Holidays)-1)&amp;" business day(s) left).")))))</f>
        <v/>
      </c>
      <c r="W222" s="17">
        <f>IF($Z222="","",CHOOSE($Z222,"Collection Email","1st Follow-up","2nd Follow-up","Local Office","CBE","Roxanne")&amp;IF($Z222=6," - Final"," - Day "&amp;MAX(0,NETWORKDAYS($AA222,TODAY(),Holidays)-1)&amp;" of "&amp;CHOOSE($Z222,3,3,2,2,3))&amp;" | Total Day "&amp;MAX(0,NETWORKDAYS($N222,TODAY(),Holidays)-1))</f>
        <v/>
      </c>
      <c r="X222" s="18"/>
      <c r="Y222" s="18"/>
      <c r="Z222" s="17">
        <f>IF($N222="","",COUNT($N222:$S222))</f>
        <v/>
      </c>
      <c r="AA222" s="19">
        <f>IF($Z222="","",INT(INDEX($N222:$S222,$Z222)))</f>
        <v/>
      </c>
      <c r="AB222" s="19">
        <f>IF(OR($Z222="",$Z222=6),"",WORKDAY($AA222,CHOOSE($Z222,3,3,2,2,3),Holidays))</f>
        <v/>
      </c>
      <c r="AC222" s="17">
        <f>IF(OR($Z222="",$Z222=6),"",CHOOSE($Z222,"1st Email Follow-up","2nd Email Follow-up","Escalate Local Office","Escalate to CBE","Escalate to Roxanne"))</f>
        <v/>
      </c>
    </row>
    <row r="223" spans="13:29">
      <c r="M223" s="14"/>
      <c r="T223" s="16"/>
      <c r="U223" s="17">
        <f>IF(AND(COUNTA($A223:$L223)=0,$N223=""),"",IF($T223="Paid","PAID",IF($T223="Closed","CLOSED",IF($Z223="","",IF($Z223=6,"ESCALATED TO ROXANNE",IF(TODAY()&gt;$AB223,"OVERDUE",IF($AB223&lt;=WORKDAY(TODAY(),1,Holidays),"DUE TOMORROW",IF($Z223=4,"ESCALATED TO LOCAL OFFICE",IF($Z223=5,"ESCALATED TO CBE",IF($AA223=TODAY(),"EMAIL SENT","MONITORING"))))))))))</f>
        <v/>
      </c>
      <c r="V223" s="17">
        <f>IF($U223="",IF(AND(COUNTA($A223:$L223)&gt;0,$N223=""),"Awaiting Collection Email time stamp.",""),IF(OR($U223="PAID",$U223="CLOSED"),IF($U223="PAID","Account paid. Action completed.","Account closed. No further action required."),CHOOSE($Z223,"Collection Email","1st Email Follow-up","2nd Email Follow-up","Escalation to Local Office","Escalation to CBE","Escalation to Roxanne")&amp;" sent "&amp;TEXT($AA223,"dd-mmm")&amp;". "&amp;IF($Z223=6,"Final escalation completed.",IF($U223="OVERDUE","Next: "&amp;$AC223&amp;" was due "&amp;TEXT($AB223,"dd-mmm")&amp;" - "&amp;(NETWORKDAYS($AB223,TODAY(),Holidays)-1)&amp;" business day(s) late. Send now.",IF($U223="DUE TOMORROW","Next: "&amp;$AC223&amp;IF($AB223&lt;=TODAY()," is due TODAY ("," is due next business day (")&amp;TEXT($AB223,"dd-mmm")&amp;").","Next: "&amp;$AC223&amp;" due "&amp;TEXT($AB223,"dd-mmm")&amp;" ("&amp;(NETWORKDAYS(TODAY(),$AB223,Holidays)-1)&amp;" business day(s) left).")))))</f>
        <v/>
      </c>
      <c r="W223" s="17">
        <f>IF($Z223="","",CHOOSE($Z223,"Collection Email","1st Follow-up","2nd Follow-up","Local Office","CBE","Roxanne")&amp;IF($Z223=6," - Final"," - Day "&amp;MAX(0,NETWORKDAYS($AA223,TODAY(),Holidays)-1)&amp;" of "&amp;CHOOSE($Z223,3,3,2,2,3))&amp;" | Total Day "&amp;MAX(0,NETWORKDAYS($N223,TODAY(),Holidays)-1))</f>
        <v/>
      </c>
      <c r="X223" s="18"/>
      <c r="Y223" s="18"/>
      <c r="Z223" s="17">
        <f>IF($N223="","",COUNT($N223:$S223))</f>
        <v/>
      </c>
      <c r="AA223" s="19">
        <f>IF($Z223="","",INT(INDEX($N223:$S223,$Z223)))</f>
        <v/>
      </c>
      <c r="AB223" s="19">
        <f>IF(OR($Z223="",$Z223=6),"",WORKDAY($AA223,CHOOSE($Z223,3,3,2,2,3),Holidays))</f>
        <v/>
      </c>
      <c r="AC223" s="17">
        <f>IF(OR($Z223="",$Z223=6),"",CHOOSE($Z223,"1st Email Follow-up","2nd Email Follow-up","Escalate Local Office","Escalate to CBE","Escalate to Roxanne"))</f>
        <v/>
      </c>
    </row>
    <row r="224" spans="13:29">
      <c r="M224" s="14"/>
      <c r="T224" s="16"/>
      <c r="U224" s="17">
        <f>IF(AND(COUNTA($A224:$L224)=0,$N224=""),"",IF($T224="Paid","PAID",IF($T224="Closed","CLOSED",IF($Z224="","",IF($Z224=6,"ESCALATED TO ROXANNE",IF(TODAY()&gt;$AB224,"OVERDUE",IF($AB224&lt;=WORKDAY(TODAY(),1,Holidays),"DUE TOMORROW",IF($Z224=4,"ESCALATED TO LOCAL OFFICE",IF($Z224=5,"ESCALATED TO CBE",IF($AA224=TODAY(),"EMAIL SENT","MONITORING"))))))))))</f>
        <v/>
      </c>
      <c r="V224" s="17">
        <f>IF($U224="",IF(AND(COUNTA($A224:$L224)&gt;0,$N224=""),"Awaiting Collection Email time stamp.",""),IF(OR($U224="PAID",$U224="CLOSED"),IF($U224="PAID","Account paid. Action completed.","Account closed. No further action required."),CHOOSE($Z224,"Collection Email","1st Email Follow-up","2nd Email Follow-up","Escalation to Local Office","Escalation to CBE","Escalation to Roxanne")&amp;" sent "&amp;TEXT($AA224,"dd-mmm")&amp;". "&amp;IF($Z224=6,"Final escalation completed.",IF($U224="OVERDUE","Next: "&amp;$AC224&amp;" was due "&amp;TEXT($AB224,"dd-mmm")&amp;" - "&amp;(NETWORKDAYS($AB224,TODAY(),Holidays)-1)&amp;" business day(s) late. Send now.",IF($U224="DUE TOMORROW","Next: "&amp;$AC224&amp;IF($AB224&lt;=TODAY()," is due TODAY ("," is due next business day (")&amp;TEXT($AB224,"dd-mmm")&amp;").","Next: "&amp;$AC224&amp;" due "&amp;TEXT($AB224,"dd-mmm")&amp;" ("&amp;(NETWORKDAYS(TODAY(),$AB224,Holidays)-1)&amp;" business day(s) left).")))))</f>
        <v/>
      </c>
      <c r="W224" s="17">
        <f>IF($Z224="","",CHOOSE($Z224,"Collection Email","1st Follow-up","2nd Follow-up","Local Office","CBE","Roxanne")&amp;IF($Z224=6," - Final"," - Day "&amp;MAX(0,NETWORKDAYS($AA224,TODAY(),Holidays)-1)&amp;" of "&amp;CHOOSE($Z224,3,3,2,2,3))&amp;" | Total Day "&amp;MAX(0,NETWORKDAYS($N224,TODAY(),Holidays)-1))</f>
        <v/>
      </c>
      <c r="X224" s="18"/>
      <c r="Y224" s="18"/>
      <c r="Z224" s="17">
        <f>IF($N224="","",COUNT($N224:$S224))</f>
        <v/>
      </c>
      <c r="AA224" s="19">
        <f>IF($Z224="","",INT(INDEX($N224:$S224,$Z224)))</f>
        <v/>
      </c>
      <c r="AB224" s="19">
        <f>IF(OR($Z224="",$Z224=6),"",WORKDAY($AA224,CHOOSE($Z224,3,3,2,2,3),Holidays))</f>
        <v/>
      </c>
      <c r="AC224" s="17">
        <f>IF(OR($Z224="",$Z224=6),"",CHOOSE($Z224,"1st Email Follow-up","2nd Email Follow-up","Escalate Local Office","Escalate to CBE","Escalate to Roxanne"))</f>
        <v/>
      </c>
    </row>
    <row r="225" spans="13:29">
      <c r="M225" s="14"/>
      <c r="T225" s="16"/>
      <c r="U225" s="17">
        <f>IF(AND(COUNTA($A225:$L225)=0,$N225=""),"",IF($T225="Paid","PAID",IF($T225="Closed","CLOSED",IF($Z225="","",IF($Z225=6,"ESCALATED TO ROXANNE",IF(TODAY()&gt;$AB225,"OVERDUE",IF($AB225&lt;=WORKDAY(TODAY(),1,Holidays),"DUE TOMORROW",IF($Z225=4,"ESCALATED TO LOCAL OFFICE",IF($Z225=5,"ESCALATED TO CBE",IF($AA225=TODAY(),"EMAIL SENT","MONITORING"))))))))))</f>
        <v/>
      </c>
      <c r="V225" s="17">
        <f>IF($U225="",IF(AND(COUNTA($A225:$L225)&gt;0,$N225=""),"Awaiting Collection Email time stamp.",""),IF(OR($U225="PAID",$U225="CLOSED"),IF($U225="PAID","Account paid. Action completed.","Account closed. No further action required."),CHOOSE($Z225,"Collection Email","1st Email Follow-up","2nd Email Follow-up","Escalation to Local Office","Escalation to CBE","Escalation to Roxanne")&amp;" sent "&amp;TEXT($AA225,"dd-mmm")&amp;". "&amp;IF($Z225=6,"Final escalation completed.",IF($U225="OVERDUE","Next: "&amp;$AC225&amp;" was due "&amp;TEXT($AB225,"dd-mmm")&amp;" - "&amp;(NETWORKDAYS($AB225,TODAY(),Holidays)-1)&amp;" business day(s) late. Send now.",IF($U225="DUE TOMORROW","Next: "&amp;$AC225&amp;IF($AB225&lt;=TODAY()," is due TODAY ("," is due next business day (")&amp;TEXT($AB225,"dd-mmm")&amp;").","Next: "&amp;$AC225&amp;" due "&amp;TEXT($AB225,"dd-mmm")&amp;" ("&amp;(NETWORKDAYS(TODAY(),$AB225,Holidays)-1)&amp;" business day(s) left).")))))</f>
        <v/>
      </c>
      <c r="W225" s="17">
        <f>IF($Z225="","",CHOOSE($Z225,"Collection Email","1st Follow-up","2nd Follow-up","Local Office","CBE","Roxanne")&amp;IF($Z225=6," - Final"," - Day "&amp;MAX(0,NETWORKDAYS($AA225,TODAY(),Holidays)-1)&amp;" of "&amp;CHOOSE($Z225,3,3,2,2,3))&amp;" | Total Day "&amp;MAX(0,NETWORKDAYS($N225,TODAY(),Holidays)-1))</f>
        <v/>
      </c>
      <c r="X225" s="18"/>
      <c r="Y225" s="18"/>
      <c r="Z225" s="17">
        <f>IF($N225="","",COUNT($N225:$S225))</f>
        <v/>
      </c>
      <c r="AA225" s="19">
        <f>IF($Z225="","",INT(INDEX($N225:$S225,$Z225)))</f>
        <v/>
      </c>
      <c r="AB225" s="19">
        <f>IF(OR($Z225="",$Z225=6),"",WORKDAY($AA225,CHOOSE($Z225,3,3,2,2,3),Holidays))</f>
        <v/>
      </c>
      <c r="AC225" s="17">
        <f>IF(OR($Z225="",$Z225=6),"",CHOOSE($Z225,"1st Email Follow-up","2nd Email Follow-up","Escalate Local Office","Escalate to CBE","Escalate to Roxanne"))</f>
        <v/>
      </c>
    </row>
    <row r="226" spans="13:29">
      <c r="M226" s="14"/>
      <c r="T226" s="16"/>
      <c r="U226" s="17">
        <f>IF(AND(COUNTA($A226:$L226)=0,$N226=""),"",IF($T226="Paid","PAID",IF($T226="Closed","CLOSED",IF($Z226="","",IF($Z226=6,"ESCALATED TO ROXANNE",IF(TODAY()&gt;$AB226,"OVERDUE",IF($AB226&lt;=WORKDAY(TODAY(),1,Holidays),"DUE TOMORROW",IF($Z226=4,"ESCALATED TO LOCAL OFFICE",IF($Z226=5,"ESCALATED TO CBE",IF($AA226=TODAY(),"EMAIL SENT","MONITORING"))))))))))</f>
        <v/>
      </c>
      <c r="V226" s="17">
        <f>IF($U226="",IF(AND(COUNTA($A226:$L226)&gt;0,$N226=""),"Awaiting Collection Email time stamp.",""),IF(OR($U226="PAID",$U226="CLOSED"),IF($U226="PAID","Account paid. Action completed.","Account closed. No further action required."),CHOOSE($Z226,"Collection Email","1st Email Follow-up","2nd Email Follow-up","Escalation to Local Office","Escalation to CBE","Escalation to Roxanne")&amp;" sent "&amp;TEXT($AA226,"dd-mmm")&amp;". "&amp;IF($Z226=6,"Final escalation completed.",IF($U226="OVERDUE","Next: "&amp;$AC226&amp;" was due "&amp;TEXT($AB226,"dd-mmm")&amp;" - "&amp;(NETWORKDAYS($AB226,TODAY(),Holidays)-1)&amp;" business day(s) late. Send now.",IF($U226="DUE TOMORROW","Next: "&amp;$AC226&amp;IF($AB226&lt;=TODAY()," is due TODAY ("," is due next business day (")&amp;TEXT($AB226,"dd-mmm")&amp;").","Next: "&amp;$AC226&amp;" due "&amp;TEXT($AB226,"dd-mmm")&amp;" ("&amp;(NETWORKDAYS(TODAY(),$AB226,Holidays)-1)&amp;" business day(s) left).")))))</f>
        <v/>
      </c>
      <c r="W226" s="17">
        <f>IF($Z226="","",CHOOSE($Z226,"Collection Email","1st Follow-up","2nd Follow-up","Local Office","CBE","Roxanne")&amp;IF($Z226=6," - Final"," - Day "&amp;MAX(0,NETWORKDAYS($AA226,TODAY(),Holidays)-1)&amp;" of "&amp;CHOOSE($Z226,3,3,2,2,3))&amp;" | Total Day "&amp;MAX(0,NETWORKDAYS($N226,TODAY(),Holidays)-1))</f>
        <v/>
      </c>
      <c r="X226" s="18"/>
      <c r="Y226" s="18"/>
      <c r="Z226" s="17">
        <f>IF($N226="","",COUNT($N226:$S226))</f>
        <v/>
      </c>
      <c r="AA226" s="19">
        <f>IF($Z226="","",INT(INDEX($N226:$S226,$Z226)))</f>
        <v/>
      </c>
      <c r="AB226" s="19">
        <f>IF(OR($Z226="",$Z226=6),"",WORKDAY($AA226,CHOOSE($Z226,3,3,2,2,3),Holidays))</f>
        <v/>
      </c>
      <c r="AC226" s="17">
        <f>IF(OR($Z226="",$Z226=6),"",CHOOSE($Z226,"1st Email Follow-up","2nd Email Follow-up","Escalate Local Office","Escalate to CBE","Escalate to Roxanne"))</f>
        <v/>
      </c>
    </row>
    <row r="227" spans="13:29">
      <c r="M227" s="14"/>
      <c r="T227" s="16"/>
      <c r="U227" s="17">
        <f>IF(AND(COUNTA($A227:$L227)=0,$N227=""),"",IF($T227="Paid","PAID",IF($T227="Closed","CLOSED",IF($Z227="","",IF($Z227=6,"ESCALATED TO ROXANNE",IF(TODAY()&gt;$AB227,"OVERDUE",IF($AB227&lt;=WORKDAY(TODAY(),1,Holidays),"DUE TOMORROW",IF($Z227=4,"ESCALATED TO LOCAL OFFICE",IF($Z227=5,"ESCALATED TO CBE",IF($AA227=TODAY(),"EMAIL SENT","MONITORING"))))))))))</f>
        <v/>
      </c>
      <c r="V227" s="17">
        <f>IF($U227="",IF(AND(COUNTA($A227:$L227)&gt;0,$N227=""),"Awaiting Collection Email time stamp.",""),IF(OR($U227="PAID",$U227="CLOSED"),IF($U227="PAID","Account paid. Action completed.","Account closed. No further action required."),CHOOSE($Z227,"Collection Email","1st Email Follow-up","2nd Email Follow-up","Escalation to Local Office","Escalation to CBE","Escalation to Roxanne")&amp;" sent "&amp;TEXT($AA227,"dd-mmm")&amp;". "&amp;IF($Z227=6,"Final escalation completed.",IF($U227="OVERDUE","Next: "&amp;$AC227&amp;" was due "&amp;TEXT($AB227,"dd-mmm")&amp;" - "&amp;(NETWORKDAYS($AB227,TODAY(),Holidays)-1)&amp;" business day(s) late. Send now.",IF($U227="DUE TOMORROW","Next: "&amp;$AC227&amp;IF($AB227&lt;=TODAY()," is due TODAY ("," is due next business day (")&amp;TEXT($AB227,"dd-mmm")&amp;").","Next: "&amp;$AC227&amp;" due "&amp;TEXT($AB227,"dd-mmm")&amp;" ("&amp;(NETWORKDAYS(TODAY(),$AB227,Holidays)-1)&amp;" business day(s) left).")))))</f>
        <v/>
      </c>
      <c r="W227" s="17">
        <f>IF($Z227="","",CHOOSE($Z227,"Collection Email","1st Follow-up","2nd Follow-up","Local Office","CBE","Roxanne")&amp;IF($Z227=6," - Final"," - Day "&amp;MAX(0,NETWORKDAYS($AA227,TODAY(),Holidays)-1)&amp;" of "&amp;CHOOSE($Z227,3,3,2,2,3))&amp;" | Total Day "&amp;MAX(0,NETWORKDAYS($N227,TODAY(),Holidays)-1))</f>
        <v/>
      </c>
      <c r="X227" s="18"/>
      <c r="Y227" s="18"/>
      <c r="Z227" s="17">
        <f>IF($N227="","",COUNT($N227:$S227))</f>
        <v/>
      </c>
      <c r="AA227" s="19">
        <f>IF($Z227="","",INT(INDEX($N227:$S227,$Z227)))</f>
        <v/>
      </c>
      <c r="AB227" s="19">
        <f>IF(OR($Z227="",$Z227=6),"",WORKDAY($AA227,CHOOSE($Z227,3,3,2,2,3),Holidays))</f>
        <v/>
      </c>
      <c r="AC227" s="17">
        <f>IF(OR($Z227="",$Z227=6),"",CHOOSE($Z227,"1st Email Follow-up","2nd Email Follow-up","Escalate Local Office","Escalate to CBE","Escalate to Roxanne"))</f>
        <v/>
      </c>
    </row>
    <row r="228" spans="13:29">
      <c r="M228" s="14"/>
      <c r="T228" s="16"/>
      <c r="U228" s="17">
        <f>IF(AND(COUNTA($A228:$L228)=0,$N228=""),"",IF($T228="Paid","PAID",IF($T228="Closed","CLOSED",IF($Z228="","",IF($Z228=6,"ESCALATED TO ROXANNE",IF(TODAY()&gt;$AB228,"OVERDUE",IF($AB228&lt;=WORKDAY(TODAY(),1,Holidays),"DUE TOMORROW",IF($Z228=4,"ESCALATED TO LOCAL OFFICE",IF($Z228=5,"ESCALATED TO CBE",IF($AA228=TODAY(),"EMAIL SENT","MONITORING"))))))))))</f>
        <v/>
      </c>
      <c r="V228" s="17">
        <f>IF($U228="",IF(AND(COUNTA($A228:$L228)&gt;0,$N228=""),"Awaiting Collection Email time stamp.",""),IF(OR($U228="PAID",$U228="CLOSED"),IF($U228="PAID","Account paid. Action completed.","Account closed. No further action required."),CHOOSE($Z228,"Collection Email","1st Email Follow-up","2nd Email Follow-up","Escalation to Local Office","Escalation to CBE","Escalation to Roxanne")&amp;" sent "&amp;TEXT($AA228,"dd-mmm")&amp;". "&amp;IF($Z228=6,"Final escalation completed.",IF($U228="OVERDUE","Next: "&amp;$AC228&amp;" was due "&amp;TEXT($AB228,"dd-mmm")&amp;" - "&amp;(NETWORKDAYS($AB228,TODAY(),Holidays)-1)&amp;" business day(s) late. Send now.",IF($U228="DUE TOMORROW","Next: "&amp;$AC228&amp;IF($AB228&lt;=TODAY()," is due TODAY ("," is due next business day (")&amp;TEXT($AB228,"dd-mmm")&amp;").","Next: "&amp;$AC228&amp;" due "&amp;TEXT($AB228,"dd-mmm")&amp;" ("&amp;(NETWORKDAYS(TODAY(),$AB228,Holidays)-1)&amp;" business day(s) left).")))))</f>
        <v/>
      </c>
      <c r="W228" s="17">
        <f>IF($Z228="","",CHOOSE($Z228,"Collection Email","1st Follow-up","2nd Follow-up","Local Office","CBE","Roxanne")&amp;IF($Z228=6," - Final"," - Day "&amp;MAX(0,NETWORKDAYS($AA228,TODAY(),Holidays)-1)&amp;" of "&amp;CHOOSE($Z228,3,3,2,2,3))&amp;" | Total Day "&amp;MAX(0,NETWORKDAYS($N228,TODAY(),Holidays)-1))</f>
        <v/>
      </c>
      <c r="X228" s="18"/>
      <c r="Y228" s="18"/>
      <c r="Z228" s="17">
        <f>IF($N228="","",COUNT($N228:$S228))</f>
        <v/>
      </c>
      <c r="AA228" s="19">
        <f>IF($Z228="","",INT(INDEX($N228:$S228,$Z228)))</f>
        <v/>
      </c>
      <c r="AB228" s="19">
        <f>IF(OR($Z228="",$Z228=6),"",WORKDAY($AA228,CHOOSE($Z228,3,3,2,2,3),Holidays))</f>
        <v/>
      </c>
      <c r="AC228" s="17">
        <f>IF(OR($Z228="",$Z228=6),"",CHOOSE($Z228,"1st Email Follow-up","2nd Email Follow-up","Escalate Local Office","Escalate to CBE","Escalate to Roxanne"))</f>
        <v/>
      </c>
    </row>
    <row r="229" spans="13:29">
      <c r="M229" s="14"/>
      <c r="T229" s="16"/>
      <c r="U229" s="17">
        <f>IF(AND(COUNTA($A229:$L229)=0,$N229=""),"",IF($T229="Paid","PAID",IF($T229="Closed","CLOSED",IF($Z229="","",IF($Z229=6,"ESCALATED TO ROXANNE",IF(TODAY()&gt;$AB229,"OVERDUE",IF($AB229&lt;=WORKDAY(TODAY(),1,Holidays),"DUE TOMORROW",IF($Z229=4,"ESCALATED TO LOCAL OFFICE",IF($Z229=5,"ESCALATED TO CBE",IF($AA229=TODAY(),"EMAIL SENT","MONITORING"))))))))))</f>
        <v/>
      </c>
      <c r="V229" s="17">
        <f>IF($U229="",IF(AND(COUNTA($A229:$L229)&gt;0,$N229=""),"Awaiting Collection Email time stamp.",""),IF(OR($U229="PAID",$U229="CLOSED"),IF($U229="PAID","Account paid. Action completed.","Account closed. No further action required."),CHOOSE($Z229,"Collection Email","1st Email Follow-up","2nd Email Follow-up","Escalation to Local Office","Escalation to CBE","Escalation to Roxanne")&amp;" sent "&amp;TEXT($AA229,"dd-mmm")&amp;". "&amp;IF($Z229=6,"Final escalation completed.",IF($U229="OVERDUE","Next: "&amp;$AC229&amp;" was due "&amp;TEXT($AB229,"dd-mmm")&amp;" - "&amp;(NETWORKDAYS($AB229,TODAY(),Holidays)-1)&amp;" business day(s) late. Send now.",IF($U229="DUE TOMORROW","Next: "&amp;$AC229&amp;IF($AB229&lt;=TODAY()," is due TODAY ("," is due next business day (")&amp;TEXT($AB229,"dd-mmm")&amp;").","Next: "&amp;$AC229&amp;" due "&amp;TEXT($AB229,"dd-mmm")&amp;" ("&amp;(NETWORKDAYS(TODAY(),$AB229,Holidays)-1)&amp;" business day(s) left).")))))</f>
        <v/>
      </c>
      <c r="W229" s="17">
        <f>IF($Z229="","",CHOOSE($Z229,"Collection Email","1st Follow-up","2nd Follow-up","Local Office","CBE","Roxanne")&amp;IF($Z229=6," - Final"," - Day "&amp;MAX(0,NETWORKDAYS($AA229,TODAY(),Holidays)-1)&amp;" of "&amp;CHOOSE($Z229,3,3,2,2,3))&amp;" | Total Day "&amp;MAX(0,NETWORKDAYS($N229,TODAY(),Holidays)-1))</f>
        <v/>
      </c>
      <c r="X229" s="18"/>
      <c r="Y229" s="18"/>
      <c r="Z229" s="17">
        <f>IF($N229="","",COUNT($N229:$S229))</f>
        <v/>
      </c>
      <c r="AA229" s="19">
        <f>IF($Z229="","",INT(INDEX($N229:$S229,$Z229)))</f>
        <v/>
      </c>
      <c r="AB229" s="19">
        <f>IF(OR($Z229="",$Z229=6),"",WORKDAY($AA229,CHOOSE($Z229,3,3,2,2,3),Holidays))</f>
        <v/>
      </c>
      <c r="AC229" s="17">
        <f>IF(OR($Z229="",$Z229=6),"",CHOOSE($Z229,"1st Email Follow-up","2nd Email Follow-up","Escalate Local Office","Escalate to CBE","Escalate to Roxanne"))</f>
        <v/>
      </c>
    </row>
    <row r="230" spans="13:29">
      <c r="M230" s="14"/>
      <c r="T230" s="16"/>
      <c r="U230" s="17">
        <f>IF(AND(COUNTA($A230:$L230)=0,$N230=""),"",IF($T230="Paid","PAID",IF($T230="Closed","CLOSED",IF($Z230="","",IF($Z230=6,"ESCALATED TO ROXANNE",IF(TODAY()&gt;$AB230,"OVERDUE",IF($AB230&lt;=WORKDAY(TODAY(),1,Holidays),"DUE TOMORROW",IF($Z230=4,"ESCALATED TO LOCAL OFFICE",IF($Z230=5,"ESCALATED TO CBE",IF($AA230=TODAY(),"EMAIL SENT","MONITORING"))))))))))</f>
        <v/>
      </c>
      <c r="V230" s="17">
        <f>IF($U230="",IF(AND(COUNTA($A230:$L230)&gt;0,$N230=""),"Awaiting Collection Email time stamp.",""),IF(OR($U230="PAID",$U230="CLOSED"),IF($U230="PAID","Account paid. Action completed.","Account closed. No further action required."),CHOOSE($Z230,"Collection Email","1st Email Follow-up","2nd Email Follow-up","Escalation to Local Office","Escalation to CBE","Escalation to Roxanne")&amp;" sent "&amp;TEXT($AA230,"dd-mmm")&amp;". "&amp;IF($Z230=6,"Final escalation completed.",IF($U230="OVERDUE","Next: "&amp;$AC230&amp;" was due "&amp;TEXT($AB230,"dd-mmm")&amp;" - "&amp;(NETWORKDAYS($AB230,TODAY(),Holidays)-1)&amp;" business day(s) late. Send now.",IF($U230="DUE TOMORROW","Next: "&amp;$AC230&amp;IF($AB230&lt;=TODAY()," is due TODAY ("," is due next business day (")&amp;TEXT($AB230,"dd-mmm")&amp;").","Next: "&amp;$AC230&amp;" due "&amp;TEXT($AB230,"dd-mmm")&amp;" ("&amp;(NETWORKDAYS(TODAY(),$AB230,Holidays)-1)&amp;" business day(s) left).")))))</f>
        <v/>
      </c>
      <c r="W230" s="17">
        <f>IF($Z230="","",CHOOSE($Z230,"Collection Email","1st Follow-up","2nd Follow-up","Local Office","CBE","Roxanne")&amp;IF($Z230=6," - Final"," - Day "&amp;MAX(0,NETWORKDAYS($AA230,TODAY(),Holidays)-1)&amp;" of "&amp;CHOOSE($Z230,3,3,2,2,3))&amp;" | Total Day "&amp;MAX(0,NETWORKDAYS($N230,TODAY(),Holidays)-1))</f>
        <v/>
      </c>
      <c r="X230" s="18"/>
      <c r="Y230" s="18"/>
      <c r="Z230" s="17">
        <f>IF($N230="","",COUNT($N230:$S230))</f>
        <v/>
      </c>
      <c r="AA230" s="19">
        <f>IF($Z230="","",INT(INDEX($N230:$S230,$Z230)))</f>
        <v/>
      </c>
      <c r="AB230" s="19">
        <f>IF(OR($Z230="",$Z230=6),"",WORKDAY($AA230,CHOOSE($Z230,3,3,2,2,3),Holidays))</f>
        <v/>
      </c>
      <c r="AC230" s="17">
        <f>IF(OR($Z230="",$Z230=6),"",CHOOSE($Z230,"1st Email Follow-up","2nd Email Follow-up","Escalate Local Office","Escalate to CBE","Escalate to Roxanne"))</f>
        <v/>
      </c>
    </row>
    <row r="231" spans="13:29">
      <c r="M231" s="14"/>
      <c r="T231" s="16"/>
      <c r="U231" s="17">
        <f>IF(AND(COUNTA($A231:$L231)=0,$N231=""),"",IF($T231="Paid","PAID",IF($T231="Closed","CLOSED",IF($Z231="","",IF($Z231=6,"ESCALATED TO ROXANNE",IF(TODAY()&gt;$AB231,"OVERDUE",IF($AB231&lt;=WORKDAY(TODAY(),1,Holidays),"DUE TOMORROW",IF($Z231=4,"ESCALATED TO LOCAL OFFICE",IF($Z231=5,"ESCALATED TO CBE",IF($AA231=TODAY(),"EMAIL SENT","MONITORING"))))))))))</f>
        <v/>
      </c>
      <c r="V231" s="17">
        <f>IF($U231="",IF(AND(COUNTA($A231:$L231)&gt;0,$N231=""),"Awaiting Collection Email time stamp.",""),IF(OR($U231="PAID",$U231="CLOSED"),IF($U231="PAID","Account paid. Action completed.","Account closed. No further action required."),CHOOSE($Z231,"Collection Email","1st Email Follow-up","2nd Email Follow-up","Escalation to Local Office","Escalation to CBE","Escalation to Roxanne")&amp;" sent "&amp;TEXT($AA231,"dd-mmm")&amp;". "&amp;IF($Z231=6,"Final escalation completed.",IF($U231="OVERDUE","Next: "&amp;$AC231&amp;" was due "&amp;TEXT($AB231,"dd-mmm")&amp;" - "&amp;(NETWORKDAYS($AB231,TODAY(),Holidays)-1)&amp;" business day(s) late. Send now.",IF($U231="DUE TOMORROW","Next: "&amp;$AC231&amp;IF($AB231&lt;=TODAY()," is due TODAY ("," is due next business day (")&amp;TEXT($AB231,"dd-mmm")&amp;").","Next: "&amp;$AC231&amp;" due "&amp;TEXT($AB231,"dd-mmm")&amp;" ("&amp;(NETWORKDAYS(TODAY(),$AB231,Holidays)-1)&amp;" business day(s) left).")))))</f>
        <v/>
      </c>
      <c r="W231" s="17">
        <f>IF($Z231="","",CHOOSE($Z231,"Collection Email","1st Follow-up","2nd Follow-up","Local Office","CBE","Roxanne")&amp;IF($Z231=6," - Final"," - Day "&amp;MAX(0,NETWORKDAYS($AA231,TODAY(),Holidays)-1)&amp;" of "&amp;CHOOSE($Z231,3,3,2,2,3))&amp;" | Total Day "&amp;MAX(0,NETWORKDAYS($N231,TODAY(),Holidays)-1))</f>
        <v/>
      </c>
      <c r="X231" s="18"/>
      <c r="Y231" s="18"/>
      <c r="Z231" s="17">
        <f>IF($N231="","",COUNT($N231:$S231))</f>
        <v/>
      </c>
      <c r="AA231" s="19">
        <f>IF($Z231="","",INT(INDEX($N231:$S231,$Z231)))</f>
        <v/>
      </c>
      <c r="AB231" s="19">
        <f>IF(OR($Z231="",$Z231=6),"",WORKDAY($AA231,CHOOSE($Z231,3,3,2,2,3),Holidays))</f>
        <v/>
      </c>
      <c r="AC231" s="17">
        <f>IF(OR($Z231="",$Z231=6),"",CHOOSE($Z231,"1st Email Follow-up","2nd Email Follow-up","Escalate Local Office","Escalate to CBE","Escalate to Roxanne"))</f>
        <v/>
      </c>
    </row>
    <row r="232" spans="13:29">
      <c r="M232" s="14"/>
      <c r="T232" s="16"/>
      <c r="U232" s="17">
        <f>IF(AND(COUNTA($A232:$L232)=0,$N232=""),"",IF($T232="Paid","PAID",IF($T232="Closed","CLOSED",IF($Z232="","",IF($Z232=6,"ESCALATED TO ROXANNE",IF(TODAY()&gt;$AB232,"OVERDUE",IF($AB232&lt;=WORKDAY(TODAY(),1,Holidays),"DUE TOMORROW",IF($Z232=4,"ESCALATED TO LOCAL OFFICE",IF($Z232=5,"ESCALATED TO CBE",IF($AA232=TODAY(),"EMAIL SENT","MONITORING"))))))))))</f>
        <v/>
      </c>
      <c r="V232" s="17">
        <f>IF($U232="",IF(AND(COUNTA($A232:$L232)&gt;0,$N232=""),"Awaiting Collection Email time stamp.",""),IF(OR($U232="PAID",$U232="CLOSED"),IF($U232="PAID","Account paid. Action completed.","Account closed. No further action required."),CHOOSE($Z232,"Collection Email","1st Email Follow-up","2nd Email Follow-up","Escalation to Local Office","Escalation to CBE","Escalation to Roxanne")&amp;" sent "&amp;TEXT($AA232,"dd-mmm")&amp;". "&amp;IF($Z232=6,"Final escalation completed.",IF($U232="OVERDUE","Next: "&amp;$AC232&amp;" was due "&amp;TEXT($AB232,"dd-mmm")&amp;" - "&amp;(NETWORKDAYS($AB232,TODAY(),Holidays)-1)&amp;" business day(s) late. Send now.",IF($U232="DUE TOMORROW","Next: "&amp;$AC232&amp;IF($AB232&lt;=TODAY()," is due TODAY ("," is due next business day (")&amp;TEXT($AB232,"dd-mmm")&amp;").","Next: "&amp;$AC232&amp;" due "&amp;TEXT($AB232,"dd-mmm")&amp;" ("&amp;(NETWORKDAYS(TODAY(),$AB232,Holidays)-1)&amp;" business day(s) left).")))))</f>
        <v/>
      </c>
      <c r="W232" s="17">
        <f>IF($Z232="","",CHOOSE($Z232,"Collection Email","1st Follow-up","2nd Follow-up","Local Office","CBE","Roxanne")&amp;IF($Z232=6," - Final"," - Day "&amp;MAX(0,NETWORKDAYS($AA232,TODAY(),Holidays)-1)&amp;" of "&amp;CHOOSE($Z232,3,3,2,2,3))&amp;" | Total Day "&amp;MAX(0,NETWORKDAYS($N232,TODAY(),Holidays)-1))</f>
        <v/>
      </c>
      <c r="X232" s="18"/>
      <c r="Y232" s="18"/>
      <c r="Z232" s="17">
        <f>IF($N232="","",COUNT($N232:$S232))</f>
        <v/>
      </c>
      <c r="AA232" s="19">
        <f>IF($Z232="","",INT(INDEX($N232:$S232,$Z232)))</f>
        <v/>
      </c>
      <c r="AB232" s="19">
        <f>IF(OR($Z232="",$Z232=6),"",WORKDAY($AA232,CHOOSE($Z232,3,3,2,2,3),Holidays))</f>
        <v/>
      </c>
      <c r="AC232" s="17">
        <f>IF(OR($Z232="",$Z232=6),"",CHOOSE($Z232,"1st Email Follow-up","2nd Email Follow-up","Escalate Local Office","Escalate to CBE","Escalate to Roxanne"))</f>
        <v/>
      </c>
    </row>
    <row r="233" spans="13:29">
      <c r="M233" s="14"/>
      <c r="T233" s="16"/>
      <c r="U233" s="17">
        <f>IF(AND(COUNTA($A233:$L233)=0,$N233=""),"",IF($T233="Paid","PAID",IF($T233="Closed","CLOSED",IF($Z233="","",IF($Z233=6,"ESCALATED TO ROXANNE",IF(TODAY()&gt;$AB233,"OVERDUE",IF($AB233&lt;=WORKDAY(TODAY(),1,Holidays),"DUE TOMORROW",IF($Z233=4,"ESCALATED TO LOCAL OFFICE",IF($Z233=5,"ESCALATED TO CBE",IF($AA233=TODAY(),"EMAIL SENT","MONITORING"))))))))))</f>
        <v/>
      </c>
      <c r="V233" s="17">
        <f>IF($U233="",IF(AND(COUNTA($A233:$L233)&gt;0,$N233=""),"Awaiting Collection Email time stamp.",""),IF(OR($U233="PAID",$U233="CLOSED"),IF($U233="PAID","Account paid. Action completed.","Account closed. No further action required."),CHOOSE($Z233,"Collection Email","1st Email Follow-up","2nd Email Follow-up","Escalation to Local Office","Escalation to CBE","Escalation to Roxanne")&amp;" sent "&amp;TEXT($AA233,"dd-mmm")&amp;". "&amp;IF($Z233=6,"Final escalation completed.",IF($U233="OVERDUE","Next: "&amp;$AC233&amp;" was due "&amp;TEXT($AB233,"dd-mmm")&amp;" - "&amp;(NETWORKDAYS($AB233,TODAY(),Holidays)-1)&amp;" business day(s) late. Send now.",IF($U233="DUE TOMORROW","Next: "&amp;$AC233&amp;IF($AB233&lt;=TODAY()," is due TODAY ("," is due next business day (")&amp;TEXT($AB233,"dd-mmm")&amp;").","Next: "&amp;$AC233&amp;" due "&amp;TEXT($AB233,"dd-mmm")&amp;" ("&amp;(NETWORKDAYS(TODAY(),$AB233,Holidays)-1)&amp;" business day(s) left).")))))</f>
        <v/>
      </c>
      <c r="W233" s="17">
        <f>IF($Z233="","",CHOOSE($Z233,"Collection Email","1st Follow-up","2nd Follow-up","Local Office","CBE","Roxanne")&amp;IF($Z233=6," - Final"," - Day "&amp;MAX(0,NETWORKDAYS($AA233,TODAY(),Holidays)-1)&amp;" of "&amp;CHOOSE($Z233,3,3,2,2,3))&amp;" | Total Day "&amp;MAX(0,NETWORKDAYS($N233,TODAY(),Holidays)-1))</f>
        <v/>
      </c>
      <c r="X233" s="18"/>
      <c r="Y233" s="18"/>
      <c r="Z233" s="17">
        <f>IF($N233="","",COUNT($N233:$S233))</f>
        <v/>
      </c>
      <c r="AA233" s="19">
        <f>IF($Z233="","",INT(INDEX($N233:$S233,$Z233)))</f>
        <v/>
      </c>
      <c r="AB233" s="19">
        <f>IF(OR($Z233="",$Z233=6),"",WORKDAY($AA233,CHOOSE($Z233,3,3,2,2,3),Holidays))</f>
        <v/>
      </c>
      <c r="AC233" s="17">
        <f>IF(OR($Z233="",$Z233=6),"",CHOOSE($Z233,"1st Email Follow-up","2nd Email Follow-up","Escalate Local Office","Escalate to CBE","Escalate to Roxanne"))</f>
        <v/>
      </c>
    </row>
    <row r="234" spans="13:29">
      <c r="M234" s="14"/>
      <c r="T234" s="16"/>
      <c r="U234" s="17">
        <f>IF(AND(COUNTA($A234:$L234)=0,$N234=""),"",IF($T234="Paid","PAID",IF($T234="Closed","CLOSED",IF($Z234="","",IF($Z234=6,"ESCALATED TO ROXANNE",IF(TODAY()&gt;$AB234,"OVERDUE",IF($AB234&lt;=WORKDAY(TODAY(),1,Holidays),"DUE TOMORROW",IF($Z234=4,"ESCALATED TO LOCAL OFFICE",IF($Z234=5,"ESCALATED TO CBE",IF($AA234=TODAY(),"EMAIL SENT","MONITORING"))))))))))</f>
        <v/>
      </c>
      <c r="V234" s="17">
        <f>IF($U234="",IF(AND(COUNTA($A234:$L234)&gt;0,$N234=""),"Awaiting Collection Email time stamp.",""),IF(OR($U234="PAID",$U234="CLOSED"),IF($U234="PAID","Account paid. Action completed.","Account closed. No further action required."),CHOOSE($Z234,"Collection Email","1st Email Follow-up","2nd Email Follow-up","Escalation to Local Office","Escalation to CBE","Escalation to Roxanne")&amp;" sent "&amp;TEXT($AA234,"dd-mmm")&amp;". "&amp;IF($Z234=6,"Final escalation completed.",IF($U234="OVERDUE","Next: "&amp;$AC234&amp;" was due "&amp;TEXT($AB234,"dd-mmm")&amp;" - "&amp;(NETWORKDAYS($AB234,TODAY(),Holidays)-1)&amp;" business day(s) late. Send now.",IF($U234="DUE TOMORROW","Next: "&amp;$AC234&amp;IF($AB234&lt;=TODAY()," is due TODAY ("," is due next business day (")&amp;TEXT($AB234,"dd-mmm")&amp;").","Next: "&amp;$AC234&amp;" due "&amp;TEXT($AB234,"dd-mmm")&amp;" ("&amp;(NETWORKDAYS(TODAY(),$AB234,Holidays)-1)&amp;" business day(s) left).")))))</f>
        <v/>
      </c>
      <c r="W234" s="17">
        <f>IF($Z234="","",CHOOSE($Z234,"Collection Email","1st Follow-up","2nd Follow-up","Local Office","CBE","Roxanne")&amp;IF($Z234=6," - Final"," - Day "&amp;MAX(0,NETWORKDAYS($AA234,TODAY(),Holidays)-1)&amp;" of "&amp;CHOOSE($Z234,3,3,2,2,3))&amp;" | Total Day "&amp;MAX(0,NETWORKDAYS($N234,TODAY(),Holidays)-1))</f>
        <v/>
      </c>
      <c r="X234" s="18"/>
      <c r="Y234" s="18"/>
      <c r="Z234" s="17">
        <f>IF($N234="","",COUNT($N234:$S234))</f>
        <v/>
      </c>
      <c r="AA234" s="19">
        <f>IF($Z234="","",INT(INDEX($N234:$S234,$Z234)))</f>
        <v/>
      </c>
      <c r="AB234" s="19">
        <f>IF(OR($Z234="",$Z234=6),"",WORKDAY($AA234,CHOOSE($Z234,3,3,2,2,3),Holidays))</f>
        <v/>
      </c>
      <c r="AC234" s="17">
        <f>IF(OR($Z234="",$Z234=6),"",CHOOSE($Z234,"1st Email Follow-up","2nd Email Follow-up","Escalate Local Office","Escalate to CBE","Escalate to Roxanne"))</f>
        <v/>
      </c>
    </row>
    <row r="235" spans="13:29">
      <c r="M235" s="14"/>
      <c r="T235" s="16"/>
      <c r="U235" s="17">
        <f>IF(AND(COUNTA($A235:$L235)=0,$N235=""),"",IF($T235="Paid","PAID",IF($T235="Closed","CLOSED",IF($Z235="","",IF($Z235=6,"ESCALATED TO ROXANNE",IF(TODAY()&gt;$AB235,"OVERDUE",IF($AB235&lt;=WORKDAY(TODAY(),1,Holidays),"DUE TOMORROW",IF($Z235=4,"ESCALATED TO LOCAL OFFICE",IF($Z235=5,"ESCALATED TO CBE",IF($AA235=TODAY(),"EMAIL SENT","MONITORING"))))))))))</f>
        <v/>
      </c>
      <c r="V235" s="17">
        <f>IF($U235="",IF(AND(COUNTA($A235:$L235)&gt;0,$N235=""),"Awaiting Collection Email time stamp.",""),IF(OR($U235="PAID",$U235="CLOSED"),IF($U235="PAID","Account paid. Action completed.","Account closed. No further action required."),CHOOSE($Z235,"Collection Email","1st Email Follow-up","2nd Email Follow-up","Escalation to Local Office","Escalation to CBE","Escalation to Roxanne")&amp;" sent "&amp;TEXT($AA235,"dd-mmm")&amp;". "&amp;IF($Z235=6,"Final escalation completed.",IF($U235="OVERDUE","Next: "&amp;$AC235&amp;" was due "&amp;TEXT($AB235,"dd-mmm")&amp;" - "&amp;(NETWORKDAYS($AB235,TODAY(),Holidays)-1)&amp;" business day(s) late. Send now.",IF($U235="DUE TOMORROW","Next: "&amp;$AC235&amp;IF($AB235&lt;=TODAY()," is due TODAY ("," is due next business day (")&amp;TEXT($AB235,"dd-mmm")&amp;").","Next: "&amp;$AC235&amp;" due "&amp;TEXT($AB235,"dd-mmm")&amp;" ("&amp;(NETWORKDAYS(TODAY(),$AB235,Holidays)-1)&amp;" business day(s) left).")))))</f>
        <v/>
      </c>
      <c r="W235" s="17">
        <f>IF($Z235="","",CHOOSE($Z235,"Collection Email","1st Follow-up","2nd Follow-up","Local Office","CBE","Roxanne")&amp;IF($Z235=6," - Final"," - Day "&amp;MAX(0,NETWORKDAYS($AA235,TODAY(),Holidays)-1)&amp;" of "&amp;CHOOSE($Z235,3,3,2,2,3))&amp;" | Total Day "&amp;MAX(0,NETWORKDAYS($N235,TODAY(),Holidays)-1))</f>
        <v/>
      </c>
      <c r="X235" s="18"/>
      <c r="Y235" s="18"/>
      <c r="Z235" s="17">
        <f>IF($N235="","",COUNT($N235:$S235))</f>
        <v/>
      </c>
      <c r="AA235" s="19">
        <f>IF($Z235="","",INT(INDEX($N235:$S235,$Z235)))</f>
        <v/>
      </c>
      <c r="AB235" s="19">
        <f>IF(OR($Z235="",$Z235=6),"",WORKDAY($AA235,CHOOSE($Z235,3,3,2,2,3),Holidays))</f>
        <v/>
      </c>
      <c r="AC235" s="17">
        <f>IF(OR($Z235="",$Z235=6),"",CHOOSE($Z235,"1st Email Follow-up","2nd Email Follow-up","Escalate Local Office","Escalate to CBE","Escalate to Roxanne"))</f>
        <v/>
      </c>
    </row>
    <row r="236" spans="13:29">
      <c r="M236" s="14"/>
      <c r="T236" s="16"/>
      <c r="U236" s="17">
        <f>IF(AND(COUNTA($A236:$L236)=0,$N236=""),"",IF($T236="Paid","PAID",IF($T236="Closed","CLOSED",IF($Z236="","",IF($Z236=6,"ESCALATED TO ROXANNE",IF(TODAY()&gt;$AB236,"OVERDUE",IF($AB236&lt;=WORKDAY(TODAY(),1,Holidays),"DUE TOMORROW",IF($Z236=4,"ESCALATED TO LOCAL OFFICE",IF($Z236=5,"ESCALATED TO CBE",IF($AA236=TODAY(),"EMAIL SENT","MONITORING"))))))))))</f>
        <v/>
      </c>
      <c r="V236" s="17">
        <f>IF($U236="",IF(AND(COUNTA($A236:$L236)&gt;0,$N236=""),"Awaiting Collection Email time stamp.",""),IF(OR($U236="PAID",$U236="CLOSED"),IF($U236="PAID","Account paid. Action completed.","Account closed. No further action required."),CHOOSE($Z236,"Collection Email","1st Email Follow-up","2nd Email Follow-up","Escalation to Local Office","Escalation to CBE","Escalation to Roxanne")&amp;" sent "&amp;TEXT($AA236,"dd-mmm")&amp;". "&amp;IF($Z236=6,"Final escalation completed.",IF($U236="OVERDUE","Next: "&amp;$AC236&amp;" was due "&amp;TEXT($AB236,"dd-mmm")&amp;" - "&amp;(NETWORKDAYS($AB236,TODAY(),Holidays)-1)&amp;" business day(s) late. Send now.",IF($U236="DUE TOMORROW","Next: "&amp;$AC236&amp;IF($AB236&lt;=TODAY()," is due TODAY ("," is due next business day (")&amp;TEXT($AB236,"dd-mmm")&amp;").","Next: "&amp;$AC236&amp;" due "&amp;TEXT($AB236,"dd-mmm")&amp;" ("&amp;(NETWORKDAYS(TODAY(),$AB236,Holidays)-1)&amp;" business day(s) left).")))))</f>
        <v/>
      </c>
      <c r="W236" s="17">
        <f>IF($Z236="","",CHOOSE($Z236,"Collection Email","1st Follow-up","2nd Follow-up","Local Office","CBE","Roxanne")&amp;IF($Z236=6," - Final"," - Day "&amp;MAX(0,NETWORKDAYS($AA236,TODAY(),Holidays)-1)&amp;" of "&amp;CHOOSE($Z236,3,3,2,2,3))&amp;" | Total Day "&amp;MAX(0,NETWORKDAYS($N236,TODAY(),Holidays)-1))</f>
        <v/>
      </c>
      <c r="X236" s="18"/>
      <c r="Y236" s="18"/>
      <c r="Z236" s="17">
        <f>IF($N236="","",COUNT($N236:$S236))</f>
        <v/>
      </c>
      <c r="AA236" s="19">
        <f>IF($Z236="","",INT(INDEX($N236:$S236,$Z236)))</f>
        <v/>
      </c>
      <c r="AB236" s="19">
        <f>IF(OR($Z236="",$Z236=6),"",WORKDAY($AA236,CHOOSE($Z236,3,3,2,2,3),Holidays))</f>
        <v/>
      </c>
      <c r="AC236" s="17">
        <f>IF(OR($Z236="",$Z236=6),"",CHOOSE($Z236,"1st Email Follow-up","2nd Email Follow-up","Escalate Local Office","Escalate to CBE","Escalate to Roxanne"))</f>
        <v/>
      </c>
    </row>
    <row r="237" spans="13:29">
      <c r="M237" s="14"/>
      <c r="T237" s="16"/>
      <c r="U237" s="17">
        <f>IF(AND(COUNTA($A237:$L237)=0,$N237=""),"",IF($T237="Paid","PAID",IF($T237="Closed","CLOSED",IF($Z237="","",IF($Z237=6,"ESCALATED TO ROXANNE",IF(TODAY()&gt;$AB237,"OVERDUE",IF($AB237&lt;=WORKDAY(TODAY(),1,Holidays),"DUE TOMORROW",IF($Z237=4,"ESCALATED TO LOCAL OFFICE",IF($Z237=5,"ESCALATED TO CBE",IF($AA237=TODAY(),"EMAIL SENT","MONITORING"))))))))))</f>
        <v/>
      </c>
      <c r="V237" s="17">
        <f>IF($U237="",IF(AND(COUNTA($A237:$L237)&gt;0,$N237=""),"Awaiting Collection Email time stamp.",""),IF(OR($U237="PAID",$U237="CLOSED"),IF($U237="PAID","Account paid. Action completed.","Account closed. No further action required."),CHOOSE($Z237,"Collection Email","1st Email Follow-up","2nd Email Follow-up","Escalation to Local Office","Escalation to CBE","Escalation to Roxanne")&amp;" sent "&amp;TEXT($AA237,"dd-mmm")&amp;". "&amp;IF($Z237=6,"Final escalation completed.",IF($U237="OVERDUE","Next: "&amp;$AC237&amp;" was due "&amp;TEXT($AB237,"dd-mmm")&amp;" - "&amp;(NETWORKDAYS($AB237,TODAY(),Holidays)-1)&amp;" business day(s) late. Send now.",IF($U237="DUE TOMORROW","Next: "&amp;$AC237&amp;IF($AB237&lt;=TODAY()," is due TODAY ("," is due next business day (")&amp;TEXT($AB237,"dd-mmm")&amp;").","Next: "&amp;$AC237&amp;" due "&amp;TEXT($AB237,"dd-mmm")&amp;" ("&amp;(NETWORKDAYS(TODAY(),$AB237,Holidays)-1)&amp;" business day(s) left).")))))</f>
        <v/>
      </c>
      <c r="W237" s="17">
        <f>IF($Z237="","",CHOOSE($Z237,"Collection Email","1st Follow-up","2nd Follow-up","Local Office","CBE","Roxanne")&amp;IF($Z237=6," - Final"," - Day "&amp;MAX(0,NETWORKDAYS($AA237,TODAY(),Holidays)-1)&amp;" of "&amp;CHOOSE($Z237,3,3,2,2,3))&amp;" | Total Day "&amp;MAX(0,NETWORKDAYS($N237,TODAY(),Holidays)-1))</f>
        <v/>
      </c>
      <c r="X237" s="18"/>
      <c r="Y237" s="18"/>
      <c r="Z237" s="17">
        <f>IF($N237="","",COUNT($N237:$S237))</f>
        <v/>
      </c>
      <c r="AA237" s="19">
        <f>IF($Z237="","",INT(INDEX($N237:$S237,$Z237)))</f>
        <v/>
      </c>
      <c r="AB237" s="19">
        <f>IF(OR($Z237="",$Z237=6),"",WORKDAY($AA237,CHOOSE($Z237,3,3,2,2,3),Holidays))</f>
        <v/>
      </c>
      <c r="AC237" s="17">
        <f>IF(OR($Z237="",$Z237=6),"",CHOOSE($Z237,"1st Email Follow-up","2nd Email Follow-up","Escalate Local Office","Escalate to CBE","Escalate to Roxanne"))</f>
        <v/>
      </c>
    </row>
    <row r="238" spans="13:29">
      <c r="M238" s="14"/>
      <c r="T238" s="16"/>
      <c r="U238" s="17">
        <f>IF(AND(COUNTA($A238:$L238)=0,$N238=""),"",IF($T238="Paid","PAID",IF($T238="Closed","CLOSED",IF($Z238="","",IF($Z238=6,"ESCALATED TO ROXANNE",IF(TODAY()&gt;$AB238,"OVERDUE",IF($AB238&lt;=WORKDAY(TODAY(),1,Holidays),"DUE TOMORROW",IF($Z238=4,"ESCALATED TO LOCAL OFFICE",IF($Z238=5,"ESCALATED TO CBE",IF($AA238=TODAY(),"EMAIL SENT","MONITORING"))))))))))</f>
        <v/>
      </c>
      <c r="V238" s="17">
        <f>IF($U238="",IF(AND(COUNTA($A238:$L238)&gt;0,$N238=""),"Awaiting Collection Email time stamp.",""),IF(OR($U238="PAID",$U238="CLOSED"),IF($U238="PAID","Account paid. Action completed.","Account closed. No further action required."),CHOOSE($Z238,"Collection Email","1st Email Follow-up","2nd Email Follow-up","Escalation to Local Office","Escalation to CBE","Escalation to Roxanne")&amp;" sent "&amp;TEXT($AA238,"dd-mmm")&amp;". "&amp;IF($Z238=6,"Final escalation completed.",IF($U238="OVERDUE","Next: "&amp;$AC238&amp;" was due "&amp;TEXT($AB238,"dd-mmm")&amp;" - "&amp;(NETWORKDAYS($AB238,TODAY(),Holidays)-1)&amp;" business day(s) late. Send now.",IF($U238="DUE TOMORROW","Next: "&amp;$AC238&amp;IF($AB238&lt;=TODAY()," is due TODAY ("," is due next business day (")&amp;TEXT($AB238,"dd-mmm")&amp;").","Next: "&amp;$AC238&amp;" due "&amp;TEXT($AB238,"dd-mmm")&amp;" ("&amp;(NETWORKDAYS(TODAY(),$AB238,Holidays)-1)&amp;" business day(s) left).")))))</f>
        <v/>
      </c>
      <c r="W238" s="17">
        <f>IF($Z238="","",CHOOSE($Z238,"Collection Email","1st Follow-up","2nd Follow-up","Local Office","CBE","Roxanne")&amp;IF($Z238=6," - Final"," - Day "&amp;MAX(0,NETWORKDAYS($AA238,TODAY(),Holidays)-1)&amp;" of "&amp;CHOOSE($Z238,3,3,2,2,3))&amp;" | Total Day "&amp;MAX(0,NETWORKDAYS($N238,TODAY(),Holidays)-1))</f>
        <v/>
      </c>
      <c r="X238" s="18"/>
      <c r="Y238" s="18"/>
      <c r="Z238" s="17">
        <f>IF($N238="","",COUNT($N238:$S238))</f>
        <v/>
      </c>
      <c r="AA238" s="19">
        <f>IF($Z238="","",INT(INDEX($N238:$S238,$Z238)))</f>
        <v/>
      </c>
      <c r="AB238" s="19">
        <f>IF(OR($Z238="",$Z238=6),"",WORKDAY($AA238,CHOOSE($Z238,3,3,2,2,3),Holidays))</f>
        <v/>
      </c>
      <c r="AC238" s="17">
        <f>IF(OR($Z238="",$Z238=6),"",CHOOSE($Z238,"1st Email Follow-up","2nd Email Follow-up","Escalate Local Office","Escalate to CBE","Escalate to Roxanne"))</f>
        <v/>
      </c>
    </row>
    <row r="239" spans="13:29">
      <c r="M239" s="14"/>
      <c r="T239" s="16"/>
      <c r="U239" s="17">
        <f>IF(AND(COUNTA($A239:$L239)=0,$N239=""),"",IF($T239="Paid","PAID",IF($T239="Closed","CLOSED",IF($Z239="","",IF($Z239=6,"ESCALATED TO ROXANNE",IF(TODAY()&gt;$AB239,"OVERDUE",IF($AB239&lt;=WORKDAY(TODAY(),1,Holidays),"DUE TOMORROW",IF($Z239=4,"ESCALATED TO LOCAL OFFICE",IF($Z239=5,"ESCALATED TO CBE",IF($AA239=TODAY(),"EMAIL SENT","MONITORING"))))))))))</f>
        <v/>
      </c>
      <c r="V239" s="17">
        <f>IF($U239="",IF(AND(COUNTA($A239:$L239)&gt;0,$N239=""),"Awaiting Collection Email time stamp.",""),IF(OR($U239="PAID",$U239="CLOSED"),IF($U239="PAID","Account paid. Action completed.","Account closed. No further action required."),CHOOSE($Z239,"Collection Email","1st Email Follow-up","2nd Email Follow-up","Escalation to Local Office","Escalation to CBE","Escalation to Roxanne")&amp;" sent "&amp;TEXT($AA239,"dd-mmm")&amp;". "&amp;IF($Z239=6,"Final escalation completed.",IF($U239="OVERDUE","Next: "&amp;$AC239&amp;" was due "&amp;TEXT($AB239,"dd-mmm")&amp;" - "&amp;(NETWORKDAYS($AB239,TODAY(),Holidays)-1)&amp;" business day(s) late. Send now.",IF($U239="DUE TOMORROW","Next: "&amp;$AC239&amp;IF($AB239&lt;=TODAY()," is due TODAY ("," is due next business day (")&amp;TEXT($AB239,"dd-mmm")&amp;").","Next: "&amp;$AC239&amp;" due "&amp;TEXT($AB239,"dd-mmm")&amp;" ("&amp;(NETWORKDAYS(TODAY(),$AB239,Holidays)-1)&amp;" business day(s) left).")))))</f>
        <v/>
      </c>
      <c r="W239" s="17">
        <f>IF($Z239="","",CHOOSE($Z239,"Collection Email","1st Follow-up","2nd Follow-up","Local Office","CBE","Roxanne")&amp;IF($Z239=6," - Final"," - Day "&amp;MAX(0,NETWORKDAYS($AA239,TODAY(),Holidays)-1)&amp;" of "&amp;CHOOSE($Z239,3,3,2,2,3))&amp;" | Total Day "&amp;MAX(0,NETWORKDAYS($N239,TODAY(),Holidays)-1))</f>
        <v/>
      </c>
      <c r="X239" s="18"/>
      <c r="Y239" s="18"/>
      <c r="Z239" s="17">
        <f>IF($N239="","",COUNT($N239:$S239))</f>
        <v/>
      </c>
      <c r="AA239" s="19">
        <f>IF($Z239="","",INT(INDEX($N239:$S239,$Z239)))</f>
        <v/>
      </c>
      <c r="AB239" s="19">
        <f>IF(OR($Z239="",$Z239=6),"",WORKDAY($AA239,CHOOSE($Z239,3,3,2,2,3),Holidays))</f>
        <v/>
      </c>
      <c r="AC239" s="17">
        <f>IF(OR($Z239="",$Z239=6),"",CHOOSE($Z239,"1st Email Follow-up","2nd Email Follow-up","Escalate Local Office","Escalate to CBE","Escalate to Roxanne"))</f>
        <v/>
      </c>
    </row>
    <row r="240" spans="13:29">
      <c r="M240" s="14"/>
      <c r="T240" s="16"/>
      <c r="U240" s="17">
        <f>IF(AND(COUNTA($A240:$L240)=0,$N240=""),"",IF($T240="Paid","PAID",IF($T240="Closed","CLOSED",IF($Z240="","",IF($Z240=6,"ESCALATED TO ROXANNE",IF(TODAY()&gt;$AB240,"OVERDUE",IF($AB240&lt;=WORKDAY(TODAY(),1,Holidays),"DUE TOMORROW",IF($Z240=4,"ESCALATED TO LOCAL OFFICE",IF($Z240=5,"ESCALATED TO CBE",IF($AA240=TODAY(),"EMAIL SENT","MONITORING"))))))))))</f>
        <v/>
      </c>
      <c r="V240" s="17">
        <f>IF($U240="",IF(AND(COUNTA($A240:$L240)&gt;0,$N240=""),"Awaiting Collection Email time stamp.",""),IF(OR($U240="PAID",$U240="CLOSED"),IF($U240="PAID","Account paid. Action completed.","Account closed. No further action required."),CHOOSE($Z240,"Collection Email","1st Email Follow-up","2nd Email Follow-up","Escalation to Local Office","Escalation to CBE","Escalation to Roxanne")&amp;" sent "&amp;TEXT($AA240,"dd-mmm")&amp;". "&amp;IF($Z240=6,"Final escalation completed.",IF($U240="OVERDUE","Next: "&amp;$AC240&amp;" was due "&amp;TEXT($AB240,"dd-mmm")&amp;" - "&amp;(NETWORKDAYS($AB240,TODAY(),Holidays)-1)&amp;" business day(s) late. Send now.",IF($U240="DUE TOMORROW","Next: "&amp;$AC240&amp;IF($AB240&lt;=TODAY()," is due TODAY ("," is due next business day (")&amp;TEXT($AB240,"dd-mmm")&amp;").","Next: "&amp;$AC240&amp;" due "&amp;TEXT($AB240,"dd-mmm")&amp;" ("&amp;(NETWORKDAYS(TODAY(),$AB240,Holidays)-1)&amp;" business day(s) left).")))))</f>
        <v/>
      </c>
      <c r="W240" s="17">
        <f>IF($Z240="","",CHOOSE($Z240,"Collection Email","1st Follow-up","2nd Follow-up","Local Office","CBE","Roxanne")&amp;IF($Z240=6," - Final"," - Day "&amp;MAX(0,NETWORKDAYS($AA240,TODAY(),Holidays)-1)&amp;" of "&amp;CHOOSE($Z240,3,3,2,2,3))&amp;" | Total Day "&amp;MAX(0,NETWORKDAYS($N240,TODAY(),Holidays)-1))</f>
        <v/>
      </c>
      <c r="X240" s="18"/>
      <c r="Y240" s="18"/>
      <c r="Z240" s="17">
        <f>IF($N240="","",COUNT($N240:$S240))</f>
        <v/>
      </c>
      <c r="AA240" s="19">
        <f>IF($Z240="","",INT(INDEX($N240:$S240,$Z240)))</f>
        <v/>
      </c>
      <c r="AB240" s="19">
        <f>IF(OR($Z240="",$Z240=6),"",WORKDAY($AA240,CHOOSE($Z240,3,3,2,2,3),Holidays))</f>
        <v/>
      </c>
      <c r="AC240" s="17">
        <f>IF(OR($Z240="",$Z240=6),"",CHOOSE($Z240,"1st Email Follow-up","2nd Email Follow-up","Escalate Local Office","Escalate to CBE","Escalate to Roxanne"))</f>
        <v/>
      </c>
    </row>
    <row r="241" spans="13:29">
      <c r="M241" s="14"/>
      <c r="T241" s="16"/>
      <c r="U241" s="17">
        <f>IF(AND(COUNTA($A241:$L241)=0,$N241=""),"",IF($T241="Paid","PAID",IF($T241="Closed","CLOSED",IF($Z241="","",IF($Z241=6,"ESCALATED TO ROXANNE",IF(TODAY()&gt;$AB241,"OVERDUE",IF($AB241&lt;=WORKDAY(TODAY(),1,Holidays),"DUE TOMORROW",IF($Z241=4,"ESCALATED TO LOCAL OFFICE",IF($Z241=5,"ESCALATED TO CBE",IF($AA241=TODAY(),"EMAIL SENT","MONITORING"))))))))))</f>
        <v/>
      </c>
      <c r="V241" s="17">
        <f>IF($U241="",IF(AND(COUNTA($A241:$L241)&gt;0,$N241=""),"Awaiting Collection Email time stamp.",""),IF(OR($U241="PAID",$U241="CLOSED"),IF($U241="PAID","Account paid. Action completed.","Account closed. No further action required."),CHOOSE($Z241,"Collection Email","1st Email Follow-up","2nd Email Follow-up","Escalation to Local Office","Escalation to CBE","Escalation to Roxanne")&amp;" sent "&amp;TEXT($AA241,"dd-mmm")&amp;". "&amp;IF($Z241=6,"Final escalation completed.",IF($U241="OVERDUE","Next: "&amp;$AC241&amp;" was due "&amp;TEXT($AB241,"dd-mmm")&amp;" - "&amp;(NETWORKDAYS($AB241,TODAY(),Holidays)-1)&amp;" business day(s) late. Send now.",IF($U241="DUE TOMORROW","Next: "&amp;$AC241&amp;IF($AB241&lt;=TODAY()," is due TODAY ("," is due next business day (")&amp;TEXT($AB241,"dd-mmm")&amp;").","Next: "&amp;$AC241&amp;" due "&amp;TEXT($AB241,"dd-mmm")&amp;" ("&amp;(NETWORKDAYS(TODAY(),$AB241,Holidays)-1)&amp;" business day(s) left).")))))</f>
        <v/>
      </c>
      <c r="W241" s="17">
        <f>IF($Z241="","",CHOOSE($Z241,"Collection Email","1st Follow-up","2nd Follow-up","Local Office","CBE","Roxanne")&amp;IF($Z241=6," - Final"," - Day "&amp;MAX(0,NETWORKDAYS($AA241,TODAY(),Holidays)-1)&amp;" of "&amp;CHOOSE($Z241,3,3,2,2,3))&amp;" | Total Day "&amp;MAX(0,NETWORKDAYS($N241,TODAY(),Holidays)-1))</f>
        <v/>
      </c>
      <c r="X241" s="18"/>
      <c r="Y241" s="18"/>
      <c r="Z241" s="17">
        <f>IF($N241="","",COUNT($N241:$S241))</f>
        <v/>
      </c>
      <c r="AA241" s="19">
        <f>IF($Z241="","",INT(INDEX($N241:$S241,$Z241)))</f>
        <v/>
      </c>
      <c r="AB241" s="19">
        <f>IF(OR($Z241="",$Z241=6),"",WORKDAY($AA241,CHOOSE($Z241,3,3,2,2,3),Holidays))</f>
        <v/>
      </c>
      <c r="AC241" s="17">
        <f>IF(OR($Z241="",$Z241=6),"",CHOOSE($Z241,"1st Email Follow-up","2nd Email Follow-up","Escalate Local Office","Escalate to CBE","Escalate to Roxanne"))</f>
        <v/>
      </c>
    </row>
    <row r="242" spans="13:29">
      <c r="M242" s="14"/>
      <c r="T242" s="16"/>
      <c r="U242" s="17">
        <f>IF(AND(COUNTA($A242:$L242)=0,$N242=""),"",IF($T242="Paid","PAID",IF($T242="Closed","CLOSED",IF($Z242="","",IF($Z242=6,"ESCALATED TO ROXANNE",IF(TODAY()&gt;$AB242,"OVERDUE",IF($AB242&lt;=WORKDAY(TODAY(),1,Holidays),"DUE TOMORROW",IF($Z242=4,"ESCALATED TO LOCAL OFFICE",IF($Z242=5,"ESCALATED TO CBE",IF($AA242=TODAY(),"EMAIL SENT","MONITORING"))))))))))</f>
        <v/>
      </c>
      <c r="V242" s="17">
        <f>IF($U242="",IF(AND(COUNTA($A242:$L242)&gt;0,$N242=""),"Awaiting Collection Email time stamp.",""),IF(OR($U242="PAID",$U242="CLOSED"),IF($U242="PAID","Account paid. Action completed.","Account closed. No further action required."),CHOOSE($Z242,"Collection Email","1st Email Follow-up","2nd Email Follow-up","Escalation to Local Office","Escalation to CBE","Escalation to Roxanne")&amp;" sent "&amp;TEXT($AA242,"dd-mmm")&amp;". "&amp;IF($Z242=6,"Final escalation completed.",IF($U242="OVERDUE","Next: "&amp;$AC242&amp;" was due "&amp;TEXT($AB242,"dd-mmm")&amp;" - "&amp;(NETWORKDAYS($AB242,TODAY(),Holidays)-1)&amp;" business day(s) late. Send now.",IF($U242="DUE TOMORROW","Next: "&amp;$AC242&amp;IF($AB242&lt;=TODAY()," is due TODAY ("," is due next business day (")&amp;TEXT($AB242,"dd-mmm")&amp;").","Next: "&amp;$AC242&amp;" due "&amp;TEXT($AB242,"dd-mmm")&amp;" ("&amp;(NETWORKDAYS(TODAY(),$AB242,Holidays)-1)&amp;" business day(s) left).")))))</f>
        <v/>
      </c>
      <c r="W242" s="17">
        <f>IF($Z242="","",CHOOSE($Z242,"Collection Email","1st Follow-up","2nd Follow-up","Local Office","CBE","Roxanne")&amp;IF($Z242=6," - Final"," - Day "&amp;MAX(0,NETWORKDAYS($AA242,TODAY(),Holidays)-1)&amp;" of "&amp;CHOOSE($Z242,3,3,2,2,3))&amp;" | Total Day "&amp;MAX(0,NETWORKDAYS($N242,TODAY(),Holidays)-1))</f>
        <v/>
      </c>
      <c r="X242" s="18"/>
      <c r="Y242" s="18"/>
      <c r="Z242" s="17">
        <f>IF($N242="","",COUNT($N242:$S242))</f>
        <v/>
      </c>
      <c r="AA242" s="19">
        <f>IF($Z242="","",INT(INDEX($N242:$S242,$Z242)))</f>
        <v/>
      </c>
      <c r="AB242" s="19">
        <f>IF(OR($Z242="",$Z242=6),"",WORKDAY($AA242,CHOOSE($Z242,3,3,2,2,3),Holidays))</f>
        <v/>
      </c>
      <c r="AC242" s="17">
        <f>IF(OR($Z242="",$Z242=6),"",CHOOSE($Z242,"1st Email Follow-up","2nd Email Follow-up","Escalate Local Office","Escalate to CBE","Escalate to Roxanne"))</f>
        <v/>
      </c>
    </row>
    <row r="243" spans="13:29">
      <c r="M243" s="14"/>
      <c r="T243" s="16"/>
      <c r="U243" s="17">
        <f>IF(AND(COUNTA($A243:$L243)=0,$N243=""),"",IF($T243="Paid","PAID",IF($T243="Closed","CLOSED",IF($Z243="","",IF($Z243=6,"ESCALATED TO ROXANNE",IF(TODAY()&gt;$AB243,"OVERDUE",IF($AB243&lt;=WORKDAY(TODAY(),1,Holidays),"DUE TOMORROW",IF($Z243=4,"ESCALATED TO LOCAL OFFICE",IF($Z243=5,"ESCALATED TO CBE",IF($AA243=TODAY(),"EMAIL SENT","MONITORING"))))))))))</f>
        <v/>
      </c>
      <c r="V243" s="17">
        <f>IF($U243="",IF(AND(COUNTA($A243:$L243)&gt;0,$N243=""),"Awaiting Collection Email time stamp.",""),IF(OR($U243="PAID",$U243="CLOSED"),IF($U243="PAID","Account paid. Action completed.","Account closed. No further action required."),CHOOSE($Z243,"Collection Email","1st Email Follow-up","2nd Email Follow-up","Escalation to Local Office","Escalation to CBE","Escalation to Roxanne")&amp;" sent "&amp;TEXT($AA243,"dd-mmm")&amp;". "&amp;IF($Z243=6,"Final escalation completed.",IF($U243="OVERDUE","Next: "&amp;$AC243&amp;" was due "&amp;TEXT($AB243,"dd-mmm")&amp;" - "&amp;(NETWORKDAYS($AB243,TODAY(),Holidays)-1)&amp;" business day(s) late. Send now.",IF($U243="DUE TOMORROW","Next: "&amp;$AC243&amp;IF($AB243&lt;=TODAY()," is due TODAY ("," is due next business day (")&amp;TEXT($AB243,"dd-mmm")&amp;").","Next: "&amp;$AC243&amp;" due "&amp;TEXT($AB243,"dd-mmm")&amp;" ("&amp;(NETWORKDAYS(TODAY(),$AB243,Holidays)-1)&amp;" business day(s) left).")))))</f>
        <v/>
      </c>
      <c r="W243" s="17">
        <f>IF($Z243="","",CHOOSE($Z243,"Collection Email","1st Follow-up","2nd Follow-up","Local Office","CBE","Roxanne")&amp;IF($Z243=6," - Final"," - Day "&amp;MAX(0,NETWORKDAYS($AA243,TODAY(),Holidays)-1)&amp;" of "&amp;CHOOSE($Z243,3,3,2,2,3))&amp;" | Total Day "&amp;MAX(0,NETWORKDAYS($N243,TODAY(),Holidays)-1))</f>
        <v/>
      </c>
      <c r="X243" s="18"/>
      <c r="Y243" s="18"/>
      <c r="Z243" s="17">
        <f>IF($N243="","",COUNT($N243:$S243))</f>
        <v/>
      </c>
      <c r="AA243" s="19">
        <f>IF($Z243="","",INT(INDEX($N243:$S243,$Z243)))</f>
        <v/>
      </c>
      <c r="AB243" s="19">
        <f>IF(OR($Z243="",$Z243=6),"",WORKDAY($AA243,CHOOSE($Z243,3,3,2,2,3),Holidays))</f>
        <v/>
      </c>
      <c r="AC243" s="17">
        <f>IF(OR($Z243="",$Z243=6),"",CHOOSE($Z243,"1st Email Follow-up","2nd Email Follow-up","Escalate Local Office","Escalate to CBE","Escalate to Roxanne"))</f>
        <v/>
      </c>
    </row>
    <row r="244" spans="13:29">
      <c r="M244" s="14"/>
      <c r="T244" s="16"/>
      <c r="U244" s="17">
        <f>IF(AND(COUNTA($A244:$L244)=0,$N244=""),"",IF($T244="Paid","PAID",IF($T244="Closed","CLOSED",IF($Z244="","",IF($Z244=6,"ESCALATED TO ROXANNE",IF(TODAY()&gt;$AB244,"OVERDUE",IF($AB244&lt;=WORKDAY(TODAY(),1,Holidays),"DUE TOMORROW",IF($Z244=4,"ESCALATED TO LOCAL OFFICE",IF($Z244=5,"ESCALATED TO CBE",IF($AA244=TODAY(),"EMAIL SENT","MONITORING"))))))))))</f>
        <v/>
      </c>
      <c r="V244" s="17">
        <f>IF($U244="",IF(AND(COUNTA($A244:$L244)&gt;0,$N244=""),"Awaiting Collection Email time stamp.",""),IF(OR($U244="PAID",$U244="CLOSED"),IF($U244="PAID","Account paid. Action completed.","Account closed. No further action required."),CHOOSE($Z244,"Collection Email","1st Email Follow-up","2nd Email Follow-up","Escalation to Local Office","Escalation to CBE","Escalation to Roxanne")&amp;" sent "&amp;TEXT($AA244,"dd-mmm")&amp;". "&amp;IF($Z244=6,"Final escalation completed.",IF($U244="OVERDUE","Next: "&amp;$AC244&amp;" was due "&amp;TEXT($AB244,"dd-mmm")&amp;" - "&amp;(NETWORKDAYS($AB244,TODAY(),Holidays)-1)&amp;" business day(s) late. Send now.",IF($U244="DUE TOMORROW","Next: "&amp;$AC244&amp;IF($AB244&lt;=TODAY()," is due TODAY ("," is due next business day (")&amp;TEXT($AB244,"dd-mmm")&amp;").","Next: "&amp;$AC244&amp;" due "&amp;TEXT($AB244,"dd-mmm")&amp;" ("&amp;(NETWORKDAYS(TODAY(),$AB244,Holidays)-1)&amp;" business day(s) left).")))))</f>
        <v/>
      </c>
      <c r="W244" s="17">
        <f>IF($Z244="","",CHOOSE($Z244,"Collection Email","1st Follow-up","2nd Follow-up","Local Office","CBE","Roxanne")&amp;IF($Z244=6," - Final"," - Day "&amp;MAX(0,NETWORKDAYS($AA244,TODAY(),Holidays)-1)&amp;" of "&amp;CHOOSE($Z244,3,3,2,2,3))&amp;" | Total Day "&amp;MAX(0,NETWORKDAYS($N244,TODAY(),Holidays)-1))</f>
        <v/>
      </c>
      <c r="X244" s="18"/>
      <c r="Y244" s="18"/>
      <c r="Z244" s="17">
        <f>IF($N244="","",COUNT($N244:$S244))</f>
        <v/>
      </c>
      <c r="AA244" s="19">
        <f>IF($Z244="","",INT(INDEX($N244:$S244,$Z244)))</f>
        <v/>
      </c>
      <c r="AB244" s="19">
        <f>IF(OR($Z244="",$Z244=6),"",WORKDAY($AA244,CHOOSE($Z244,3,3,2,2,3),Holidays))</f>
        <v/>
      </c>
      <c r="AC244" s="17">
        <f>IF(OR($Z244="",$Z244=6),"",CHOOSE($Z244,"1st Email Follow-up","2nd Email Follow-up","Escalate Local Office","Escalate to CBE","Escalate to Roxanne"))</f>
        <v/>
      </c>
    </row>
    <row r="245" spans="13:29">
      <c r="M245" s="14"/>
      <c r="T245" s="16"/>
      <c r="U245" s="17">
        <f>IF(AND(COUNTA($A245:$L245)=0,$N245=""),"",IF($T245="Paid","PAID",IF($T245="Closed","CLOSED",IF($Z245="","",IF($Z245=6,"ESCALATED TO ROXANNE",IF(TODAY()&gt;$AB245,"OVERDUE",IF($AB245&lt;=WORKDAY(TODAY(),1,Holidays),"DUE TOMORROW",IF($Z245=4,"ESCALATED TO LOCAL OFFICE",IF($Z245=5,"ESCALATED TO CBE",IF($AA245=TODAY(),"EMAIL SENT","MONITORING"))))))))))</f>
        <v/>
      </c>
      <c r="V245" s="17">
        <f>IF($U245="",IF(AND(COUNTA($A245:$L245)&gt;0,$N245=""),"Awaiting Collection Email time stamp.",""),IF(OR($U245="PAID",$U245="CLOSED"),IF($U245="PAID","Account paid. Action completed.","Account closed. No further action required."),CHOOSE($Z245,"Collection Email","1st Email Follow-up","2nd Email Follow-up","Escalation to Local Office","Escalation to CBE","Escalation to Roxanne")&amp;" sent "&amp;TEXT($AA245,"dd-mmm")&amp;". "&amp;IF($Z245=6,"Final escalation completed.",IF($U245="OVERDUE","Next: "&amp;$AC245&amp;" was due "&amp;TEXT($AB245,"dd-mmm")&amp;" - "&amp;(NETWORKDAYS($AB245,TODAY(),Holidays)-1)&amp;" business day(s) late. Send now.",IF($U245="DUE TOMORROW","Next: "&amp;$AC245&amp;IF($AB245&lt;=TODAY()," is due TODAY ("," is due next business day (")&amp;TEXT($AB245,"dd-mmm")&amp;").","Next: "&amp;$AC245&amp;" due "&amp;TEXT($AB245,"dd-mmm")&amp;" ("&amp;(NETWORKDAYS(TODAY(),$AB245,Holidays)-1)&amp;" business day(s) left).")))))</f>
        <v/>
      </c>
      <c r="W245" s="17">
        <f>IF($Z245="","",CHOOSE($Z245,"Collection Email","1st Follow-up","2nd Follow-up","Local Office","CBE","Roxanne")&amp;IF($Z245=6," - Final"," - Day "&amp;MAX(0,NETWORKDAYS($AA245,TODAY(),Holidays)-1)&amp;" of "&amp;CHOOSE($Z245,3,3,2,2,3))&amp;" | Total Day "&amp;MAX(0,NETWORKDAYS($N245,TODAY(),Holidays)-1))</f>
        <v/>
      </c>
      <c r="X245" s="18"/>
      <c r="Y245" s="18"/>
      <c r="Z245" s="17">
        <f>IF($N245="","",COUNT($N245:$S245))</f>
        <v/>
      </c>
      <c r="AA245" s="19">
        <f>IF($Z245="","",INT(INDEX($N245:$S245,$Z245)))</f>
        <v/>
      </c>
      <c r="AB245" s="19">
        <f>IF(OR($Z245="",$Z245=6),"",WORKDAY($AA245,CHOOSE($Z245,3,3,2,2,3),Holidays))</f>
        <v/>
      </c>
      <c r="AC245" s="17">
        <f>IF(OR($Z245="",$Z245=6),"",CHOOSE($Z245,"1st Email Follow-up","2nd Email Follow-up","Escalate Local Office","Escalate to CBE","Escalate to Roxanne"))</f>
        <v/>
      </c>
    </row>
    <row r="246" spans="13:29">
      <c r="M246" s="14"/>
      <c r="T246" s="16"/>
      <c r="U246" s="17">
        <f>IF(AND(COUNTA($A246:$L246)=0,$N246=""),"",IF($T246="Paid","PAID",IF($T246="Closed","CLOSED",IF($Z246="","",IF($Z246=6,"ESCALATED TO ROXANNE",IF(TODAY()&gt;$AB246,"OVERDUE",IF($AB246&lt;=WORKDAY(TODAY(),1,Holidays),"DUE TOMORROW",IF($Z246=4,"ESCALATED TO LOCAL OFFICE",IF($Z246=5,"ESCALATED TO CBE",IF($AA246=TODAY(),"EMAIL SENT","MONITORING"))))))))))</f>
        <v/>
      </c>
      <c r="V246" s="17">
        <f>IF($U246="",IF(AND(COUNTA($A246:$L246)&gt;0,$N246=""),"Awaiting Collection Email time stamp.",""),IF(OR($U246="PAID",$U246="CLOSED"),IF($U246="PAID","Account paid. Action completed.","Account closed. No further action required."),CHOOSE($Z246,"Collection Email","1st Email Follow-up","2nd Email Follow-up","Escalation to Local Office","Escalation to CBE","Escalation to Roxanne")&amp;" sent "&amp;TEXT($AA246,"dd-mmm")&amp;". "&amp;IF($Z246=6,"Final escalation completed.",IF($U246="OVERDUE","Next: "&amp;$AC246&amp;" was due "&amp;TEXT($AB246,"dd-mmm")&amp;" - "&amp;(NETWORKDAYS($AB246,TODAY(),Holidays)-1)&amp;" business day(s) late. Send now.",IF($U246="DUE TOMORROW","Next: "&amp;$AC246&amp;IF($AB246&lt;=TODAY()," is due TODAY ("," is due next business day (")&amp;TEXT($AB246,"dd-mmm")&amp;").","Next: "&amp;$AC246&amp;" due "&amp;TEXT($AB246,"dd-mmm")&amp;" ("&amp;(NETWORKDAYS(TODAY(),$AB246,Holidays)-1)&amp;" business day(s) left).")))))</f>
        <v/>
      </c>
      <c r="W246" s="17">
        <f>IF($Z246="","",CHOOSE($Z246,"Collection Email","1st Follow-up","2nd Follow-up","Local Office","CBE","Roxanne")&amp;IF($Z246=6," - Final"," - Day "&amp;MAX(0,NETWORKDAYS($AA246,TODAY(),Holidays)-1)&amp;" of "&amp;CHOOSE($Z246,3,3,2,2,3))&amp;" | Total Day "&amp;MAX(0,NETWORKDAYS($N246,TODAY(),Holidays)-1))</f>
        <v/>
      </c>
      <c r="X246" s="18"/>
      <c r="Y246" s="18"/>
      <c r="Z246" s="17">
        <f>IF($N246="","",COUNT($N246:$S246))</f>
        <v/>
      </c>
      <c r="AA246" s="19">
        <f>IF($Z246="","",INT(INDEX($N246:$S246,$Z246)))</f>
        <v/>
      </c>
      <c r="AB246" s="19">
        <f>IF(OR($Z246="",$Z246=6),"",WORKDAY($AA246,CHOOSE($Z246,3,3,2,2,3),Holidays))</f>
        <v/>
      </c>
      <c r="AC246" s="17">
        <f>IF(OR($Z246="",$Z246=6),"",CHOOSE($Z246,"1st Email Follow-up","2nd Email Follow-up","Escalate Local Office","Escalate to CBE","Escalate to Roxanne"))</f>
        <v/>
      </c>
    </row>
    <row r="247" spans="13:29">
      <c r="M247" s="14"/>
      <c r="T247" s="16"/>
      <c r="U247" s="17">
        <f>IF(AND(COUNTA($A247:$L247)=0,$N247=""),"",IF($T247="Paid","PAID",IF($T247="Closed","CLOSED",IF($Z247="","",IF($Z247=6,"ESCALATED TO ROXANNE",IF(TODAY()&gt;$AB247,"OVERDUE",IF($AB247&lt;=WORKDAY(TODAY(),1,Holidays),"DUE TOMORROW",IF($Z247=4,"ESCALATED TO LOCAL OFFICE",IF($Z247=5,"ESCALATED TO CBE",IF($AA247=TODAY(),"EMAIL SENT","MONITORING"))))))))))</f>
        <v/>
      </c>
      <c r="V247" s="17">
        <f>IF($U247="",IF(AND(COUNTA($A247:$L247)&gt;0,$N247=""),"Awaiting Collection Email time stamp.",""),IF(OR($U247="PAID",$U247="CLOSED"),IF($U247="PAID","Account paid. Action completed.","Account closed. No further action required."),CHOOSE($Z247,"Collection Email","1st Email Follow-up","2nd Email Follow-up","Escalation to Local Office","Escalation to CBE","Escalation to Roxanne")&amp;" sent "&amp;TEXT($AA247,"dd-mmm")&amp;". "&amp;IF($Z247=6,"Final escalation completed.",IF($U247="OVERDUE","Next: "&amp;$AC247&amp;" was due "&amp;TEXT($AB247,"dd-mmm")&amp;" - "&amp;(NETWORKDAYS($AB247,TODAY(),Holidays)-1)&amp;" business day(s) late. Send now.",IF($U247="DUE TOMORROW","Next: "&amp;$AC247&amp;IF($AB247&lt;=TODAY()," is due TODAY ("," is due next business day (")&amp;TEXT($AB247,"dd-mmm")&amp;").","Next: "&amp;$AC247&amp;" due "&amp;TEXT($AB247,"dd-mmm")&amp;" ("&amp;(NETWORKDAYS(TODAY(),$AB247,Holidays)-1)&amp;" business day(s) left).")))))</f>
        <v/>
      </c>
      <c r="W247" s="17">
        <f>IF($Z247="","",CHOOSE($Z247,"Collection Email","1st Follow-up","2nd Follow-up","Local Office","CBE","Roxanne")&amp;IF($Z247=6," - Final"," - Day "&amp;MAX(0,NETWORKDAYS($AA247,TODAY(),Holidays)-1)&amp;" of "&amp;CHOOSE($Z247,3,3,2,2,3))&amp;" | Total Day "&amp;MAX(0,NETWORKDAYS($N247,TODAY(),Holidays)-1))</f>
        <v/>
      </c>
      <c r="X247" s="18"/>
      <c r="Y247" s="18"/>
      <c r="Z247" s="17">
        <f>IF($N247="","",COUNT($N247:$S247))</f>
        <v/>
      </c>
      <c r="AA247" s="19">
        <f>IF($Z247="","",INT(INDEX($N247:$S247,$Z247)))</f>
        <v/>
      </c>
      <c r="AB247" s="19">
        <f>IF(OR($Z247="",$Z247=6),"",WORKDAY($AA247,CHOOSE($Z247,3,3,2,2,3),Holidays))</f>
        <v/>
      </c>
      <c r="AC247" s="17">
        <f>IF(OR($Z247="",$Z247=6),"",CHOOSE($Z247,"1st Email Follow-up","2nd Email Follow-up","Escalate Local Office","Escalate to CBE","Escalate to Roxanne"))</f>
        <v/>
      </c>
    </row>
    <row r="248" spans="13:29">
      <c r="M248" s="14"/>
      <c r="T248" s="16"/>
      <c r="U248" s="17">
        <f>IF(AND(COUNTA($A248:$L248)=0,$N248=""),"",IF($T248="Paid","PAID",IF($T248="Closed","CLOSED",IF($Z248="","",IF($Z248=6,"ESCALATED TO ROXANNE",IF(TODAY()&gt;$AB248,"OVERDUE",IF($AB248&lt;=WORKDAY(TODAY(),1,Holidays),"DUE TOMORROW",IF($Z248=4,"ESCALATED TO LOCAL OFFICE",IF($Z248=5,"ESCALATED TO CBE",IF($AA248=TODAY(),"EMAIL SENT","MONITORING"))))))))))</f>
        <v/>
      </c>
      <c r="V248" s="17">
        <f>IF($U248="",IF(AND(COUNTA($A248:$L248)&gt;0,$N248=""),"Awaiting Collection Email time stamp.",""),IF(OR($U248="PAID",$U248="CLOSED"),IF($U248="PAID","Account paid. Action completed.","Account closed. No further action required."),CHOOSE($Z248,"Collection Email","1st Email Follow-up","2nd Email Follow-up","Escalation to Local Office","Escalation to CBE","Escalation to Roxanne")&amp;" sent "&amp;TEXT($AA248,"dd-mmm")&amp;". "&amp;IF($Z248=6,"Final escalation completed.",IF($U248="OVERDUE","Next: "&amp;$AC248&amp;" was due "&amp;TEXT($AB248,"dd-mmm")&amp;" - "&amp;(NETWORKDAYS($AB248,TODAY(),Holidays)-1)&amp;" business day(s) late. Send now.",IF($U248="DUE TOMORROW","Next: "&amp;$AC248&amp;IF($AB248&lt;=TODAY()," is due TODAY ("," is due next business day (")&amp;TEXT($AB248,"dd-mmm")&amp;").","Next: "&amp;$AC248&amp;" due "&amp;TEXT($AB248,"dd-mmm")&amp;" ("&amp;(NETWORKDAYS(TODAY(),$AB248,Holidays)-1)&amp;" business day(s) left).")))))</f>
        <v/>
      </c>
      <c r="W248" s="17">
        <f>IF($Z248="","",CHOOSE($Z248,"Collection Email","1st Follow-up","2nd Follow-up","Local Office","CBE","Roxanne")&amp;IF($Z248=6," - Final"," - Day "&amp;MAX(0,NETWORKDAYS($AA248,TODAY(),Holidays)-1)&amp;" of "&amp;CHOOSE($Z248,3,3,2,2,3))&amp;" | Total Day "&amp;MAX(0,NETWORKDAYS($N248,TODAY(),Holidays)-1))</f>
        <v/>
      </c>
      <c r="X248" s="18"/>
      <c r="Y248" s="18"/>
      <c r="Z248" s="17">
        <f>IF($N248="","",COUNT($N248:$S248))</f>
        <v/>
      </c>
      <c r="AA248" s="19">
        <f>IF($Z248="","",INT(INDEX($N248:$S248,$Z248)))</f>
        <v/>
      </c>
      <c r="AB248" s="19">
        <f>IF(OR($Z248="",$Z248=6),"",WORKDAY($AA248,CHOOSE($Z248,3,3,2,2,3),Holidays))</f>
        <v/>
      </c>
      <c r="AC248" s="17">
        <f>IF(OR($Z248="",$Z248=6),"",CHOOSE($Z248,"1st Email Follow-up","2nd Email Follow-up","Escalate Local Office","Escalate to CBE","Escalate to Roxanne"))</f>
        <v/>
      </c>
    </row>
    <row r="249" spans="13:29">
      <c r="M249" s="14"/>
      <c r="T249" s="16"/>
      <c r="U249" s="17">
        <f>IF(AND(COUNTA($A249:$L249)=0,$N249=""),"",IF($T249="Paid","PAID",IF($T249="Closed","CLOSED",IF($Z249="","",IF($Z249=6,"ESCALATED TO ROXANNE",IF(TODAY()&gt;$AB249,"OVERDUE",IF($AB249&lt;=WORKDAY(TODAY(),1,Holidays),"DUE TOMORROW",IF($Z249=4,"ESCALATED TO LOCAL OFFICE",IF($Z249=5,"ESCALATED TO CBE",IF($AA249=TODAY(),"EMAIL SENT","MONITORING"))))))))))</f>
        <v/>
      </c>
      <c r="V249" s="17">
        <f>IF($U249="",IF(AND(COUNTA($A249:$L249)&gt;0,$N249=""),"Awaiting Collection Email time stamp.",""),IF(OR($U249="PAID",$U249="CLOSED"),IF($U249="PAID","Account paid. Action completed.","Account closed. No further action required."),CHOOSE($Z249,"Collection Email","1st Email Follow-up","2nd Email Follow-up","Escalation to Local Office","Escalation to CBE","Escalation to Roxanne")&amp;" sent "&amp;TEXT($AA249,"dd-mmm")&amp;". "&amp;IF($Z249=6,"Final escalation completed.",IF($U249="OVERDUE","Next: "&amp;$AC249&amp;" was due "&amp;TEXT($AB249,"dd-mmm")&amp;" - "&amp;(NETWORKDAYS($AB249,TODAY(),Holidays)-1)&amp;" business day(s) late. Send now.",IF($U249="DUE TOMORROW","Next: "&amp;$AC249&amp;IF($AB249&lt;=TODAY()," is due TODAY ("," is due next business day (")&amp;TEXT($AB249,"dd-mmm")&amp;").","Next: "&amp;$AC249&amp;" due "&amp;TEXT($AB249,"dd-mmm")&amp;" ("&amp;(NETWORKDAYS(TODAY(),$AB249,Holidays)-1)&amp;" business day(s) left).")))))</f>
        <v/>
      </c>
      <c r="W249" s="17">
        <f>IF($Z249="","",CHOOSE($Z249,"Collection Email","1st Follow-up","2nd Follow-up","Local Office","CBE","Roxanne")&amp;IF($Z249=6," - Final"," - Day "&amp;MAX(0,NETWORKDAYS($AA249,TODAY(),Holidays)-1)&amp;" of "&amp;CHOOSE($Z249,3,3,2,2,3))&amp;" | Total Day "&amp;MAX(0,NETWORKDAYS($N249,TODAY(),Holidays)-1))</f>
        <v/>
      </c>
      <c r="X249" s="18"/>
      <c r="Y249" s="18"/>
      <c r="Z249" s="17">
        <f>IF($N249="","",COUNT($N249:$S249))</f>
        <v/>
      </c>
      <c r="AA249" s="19">
        <f>IF($Z249="","",INT(INDEX($N249:$S249,$Z249)))</f>
        <v/>
      </c>
      <c r="AB249" s="19">
        <f>IF(OR($Z249="",$Z249=6),"",WORKDAY($AA249,CHOOSE($Z249,3,3,2,2,3),Holidays))</f>
        <v/>
      </c>
      <c r="AC249" s="17">
        <f>IF(OR($Z249="",$Z249=6),"",CHOOSE($Z249,"1st Email Follow-up","2nd Email Follow-up","Escalate Local Office","Escalate to CBE","Escalate to Roxanne"))</f>
        <v/>
      </c>
    </row>
    <row r="250" spans="13:29">
      <c r="M250" s="14"/>
      <c r="T250" s="16"/>
      <c r="U250" s="17">
        <f>IF(AND(COUNTA($A250:$L250)=0,$N250=""),"",IF($T250="Paid","PAID",IF($T250="Closed","CLOSED",IF($Z250="","",IF($Z250=6,"ESCALATED TO ROXANNE",IF(TODAY()&gt;$AB250,"OVERDUE",IF($AB250&lt;=WORKDAY(TODAY(),1,Holidays),"DUE TOMORROW",IF($Z250=4,"ESCALATED TO LOCAL OFFICE",IF($Z250=5,"ESCALATED TO CBE",IF($AA250=TODAY(),"EMAIL SENT","MONITORING"))))))))))</f>
        <v/>
      </c>
      <c r="V250" s="17">
        <f>IF($U250="",IF(AND(COUNTA($A250:$L250)&gt;0,$N250=""),"Awaiting Collection Email time stamp.",""),IF(OR($U250="PAID",$U250="CLOSED"),IF($U250="PAID","Account paid. Action completed.","Account closed. No further action required."),CHOOSE($Z250,"Collection Email","1st Email Follow-up","2nd Email Follow-up","Escalation to Local Office","Escalation to CBE","Escalation to Roxanne")&amp;" sent "&amp;TEXT($AA250,"dd-mmm")&amp;". "&amp;IF($Z250=6,"Final escalation completed.",IF($U250="OVERDUE","Next: "&amp;$AC250&amp;" was due "&amp;TEXT($AB250,"dd-mmm")&amp;" - "&amp;(NETWORKDAYS($AB250,TODAY(),Holidays)-1)&amp;" business day(s) late. Send now.",IF($U250="DUE TOMORROW","Next: "&amp;$AC250&amp;IF($AB250&lt;=TODAY()," is due TODAY ("," is due next business day (")&amp;TEXT($AB250,"dd-mmm")&amp;").","Next: "&amp;$AC250&amp;" due "&amp;TEXT($AB250,"dd-mmm")&amp;" ("&amp;(NETWORKDAYS(TODAY(),$AB250,Holidays)-1)&amp;" business day(s) left).")))))</f>
        <v/>
      </c>
      <c r="W250" s="17">
        <f>IF($Z250="","",CHOOSE($Z250,"Collection Email","1st Follow-up","2nd Follow-up","Local Office","CBE","Roxanne")&amp;IF($Z250=6," - Final"," - Day "&amp;MAX(0,NETWORKDAYS($AA250,TODAY(),Holidays)-1)&amp;" of "&amp;CHOOSE($Z250,3,3,2,2,3))&amp;" | Total Day "&amp;MAX(0,NETWORKDAYS($N250,TODAY(),Holidays)-1))</f>
        <v/>
      </c>
      <c r="X250" s="18"/>
      <c r="Y250" s="18"/>
      <c r="Z250" s="17">
        <f>IF($N250="","",COUNT($N250:$S250))</f>
        <v/>
      </c>
      <c r="AA250" s="19">
        <f>IF($Z250="","",INT(INDEX($N250:$S250,$Z250)))</f>
        <v/>
      </c>
      <c r="AB250" s="19">
        <f>IF(OR($Z250="",$Z250=6),"",WORKDAY($AA250,CHOOSE($Z250,3,3,2,2,3),Holidays))</f>
        <v/>
      </c>
      <c r="AC250" s="17">
        <f>IF(OR($Z250="",$Z250=6),"",CHOOSE($Z250,"1st Email Follow-up","2nd Email Follow-up","Escalate Local Office","Escalate to CBE","Escalate to Roxanne"))</f>
        <v/>
      </c>
    </row>
    <row r="251" spans="13:29">
      <c r="M251" s="14"/>
      <c r="T251" s="16"/>
      <c r="U251" s="17">
        <f>IF(AND(COUNTA($A251:$L251)=0,$N251=""),"",IF($T251="Paid","PAID",IF($T251="Closed","CLOSED",IF($Z251="","",IF($Z251=6,"ESCALATED TO ROXANNE",IF(TODAY()&gt;$AB251,"OVERDUE",IF($AB251&lt;=WORKDAY(TODAY(),1,Holidays),"DUE TOMORROW",IF($Z251=4,"ESCALATED TO LOCAL OFFICE",IF($Z251=5,"ESCALATED TO CBE",IF($AA251=TODAY(),"EMAIL SENT","MONITORING"))))))))))</f>
        <v/>
      </c>
      <c r="V251" s="17">
        <f>IF($U251="",IF(AND(COUNTA($A251:$L251)&gt;0,$N251=""),"Awaiting Collection Email time stamp.",""),IF(OR($U251="PAID",$U251="CLOSED"),IF($U251="PAID","Account paid. Action completed.","Account closed. No further action required."),CHOOSE($Z251,"Collection Email","1st Email Follow-up","2nd Email Follow-up","Escalation to Local Office","Escalation to CBE","Escalation to Roxanne")&amp;" sent "&amp;TEXT($AA251,"dd-mmm")&amp;". "&amp;IF($Z251=6,"Final escalation completed.",IF($U251="OVERDUE","Next: "&amp;$AC251&amp;" was due "&amp;TEXT($AB251,"dd-mmm")&amp;" - "&amp;(NETWORKDAYS($AB251,TODAY(),Holidays)-1)&amp;" business day(s) late. Send now.",IF($U251="DUE TOMORROW","Next: "&amp;$AC251&amp;IF($AB251&lt;=TODAY()," is due TODAY ("," is due next business day (")&amp;TEXT($AB251,"dd-mmm")&amp;").","Next: "&amp;$AC251&amp;" due "&amp;TEXT($AB251,"dd-mmm")&amp;" ("&amp;(NETWORKDAYS(TODAY(),$AB251,Holidays)-1)&amp;" business day(s) left).")))))</f>
        <v/>
      </c>
      <c r="W251" s="17">
        <f>IF($Z251="","",CHOOSE($Z251,"Collection Email","1st Follow-up","2nd Follow-up","Local Office","CBE","Roxanne")&amp;IF($Z251=6," - Final"," - Day "&amp;MAX(0,NETWORKDAYS($AA251,TODAY(),Holidays)-1)&amp;" of "&amp;CHOOSE($Z251,3,3,2,2,3))&amp;" | Total Day "&amp;MAX(0,NETWORKDAYS($N251,TODAY(),Holidays)-1))</f>
        <v/>
      </c>
      <c r="X251" s="18"/>
      <c r="Y251" s="18"/>
      <c r="Z251" s="17">
        <f>IF($N251="","",COUNT($N251:$S251))</f>
        <v/>
      </c>
      <c r="AA251" s="19">
        <f>IF($Z251="","",INT(INDEX($N251:$S251,$Z251)))</f>
        <v/>
      </c>
      <c r="AB251" s="19">
        <f>IF(OR($Z251="",$Z251=6),"",WORKDAY($AA251,CHOOSE($Z251,3,3,2,2,3),Holidays))</f>
        <v/>
      </c>
      <c r="AC251" s="17">
        <f>IF(OR($Z251="",$Z251=6),"",CHOOSE($Z251,"1st Email Follow-up","2nd Email Follow-up","Escalate Local Office","Escalate to CBE","Escalate to Roxanne"))</f>
        <v/>
      </c>
    </row>
    <row r="252" spans="13:29">
      <c r="M252" s="14"/>
      <c r="T252" s="16"/>
      <c r="U252" s="17">
        <f>IF(AND(COUNTA($A252:$L252)=0,$N252=""),"",IF($T252="Paid","PAID",IF($T252="Closed","CLOSED",IF($Z252="","",IF($Z252=6,"ESCALATED TO ROXANNE",IF(TODAY()&gt;$AB252,"OVERDUE",IF($AB252&lt;=WORKDAY(TODAY(),1,Holidays),"DUE TOMORROW",IF($Z252=4,"ESCALATED TO LOCAL OFFICE",IF($Z252=5,"ESCALATED TO CBE",IF($AA252=TODAY(),"EMAIL SENT","MONITORING"))))))))))</f>
        <v/>
      </c>
      <c r="V252" s="17">
        <f>IF($U252="",IF(AND(COUNTA($A252:$L252)&gt;0,$N252=""),"Awaiting Collection Email time stamp.",""),IF(OR($U252="PAID",$U252="CLOSED"),IF($U252="PAID","Account paid. Action completed.","Account closed. No further action required."),CHOOSE($Z252,"Collection Email","1st Email Follow-up","2nd Email Follow-up","Escalation to Local Office","Escalation to CBE","Escalation to Roxanne")&amp;" sent "&amp;TEXT($AA252,"dd-mmm")&amp;". "&amp;IF($Z252=6,"Final escalation completed.",IF($U252="OVERDUE","Next: "&amp;$AC252&amp;" was due "&amp;TEXT($AB252,"dd-mmm")&amp;" - "&amp;(NETWORKDAYS($AB252,TODAY(),Holidays)-1)&amp;" business day(s) late. Send now.",IF($U252="DUE TOMORROW","Next: "&amp;$AC252&amp;IF($AB252&lt;=TODAY()," is due TODAY ("," is due next business day (")&amp;TEXT($AB252,"dd-mmm")&amp;").","Next: "&amp;$AC252&amp;" due "&amp;TEXT($AB252,"dd-mmm")&amp;" ("&amp;(NETWORKDAYS(TODAY(),$AB252,Holidays)-1)&amp;" business day(s) left).")))))</f>
        <v/>
      </c>
      <c r="W252" s="17">
        <f>IF($Z252="","",CHOOSE($Z252,"Collection Email","1st Follow-up","2nd Follow-up","Local Office","CBE","Roxanne")&amp;IF($Z252=6," - Final"," - Day "&amp;MAX(0,NETWORKDAYS($AA252,TODAY(),Holidays)-1)&amp;" of "&amp;CHOOSE($Z252,3,3,2,2,3))&amp;" | Total Day "&amp;MAX(0,NETWORKDAYS($N252,TODAY(),Holidays)-1))</f>
        <v/>
      </c>
      <c r="X252" s="18"/>
      <c r="Y252" s="18"/>
      <c r="Z252" s="17">
        <f>IF($N252="","",COUNT($N252:$S252))</f>
        <v/>
      </c>
      <c r="AA252" s="19">
        <f>IF($Z252="","",INT(INDEX($N252:$S252,$Z252)))</f>
        <v/>
      </c>
      <c r="AB252" s="19">
        <f>IF(OR($Z252="",$Z252=6),"",WORKDAY($AA252,CHOOSE($Z252,3,3,2,2,3),Holidays))</f>
        <v/>
      </c>
      <c r="AC252" s="17">
        <f>IF(OR($Z252="",$Z252=6),"",CHOOSE($Z252,"1st Email Follow-up","2nd Email Follow-up","Escalate Local Office","Escalate to CBE","Escalate to Roxanne"))</f>
        <v/>
      </c>
    </row>
    <row r="253" spans="13:29">
      <c r="M253" s="14"/>
      <c r="T253" s="16"/>
      <c r="U253" s="17">
        <f>IF(AND(COUNTA($A253:$L253)=0,$N253=""),"",IF($T253="Paid","PAID",IF($T253="Closed","CLOSED",IF($Z253="","",IF($Z253=6,"ESCALATED TO ROXANNE",IF(TODAY()&gt;$AB253,"OVERDUE",IF($AB253&lt;=WORKDAY(TODAY(),1,Holidays),"DUE TOMORROW",IF($Z253=4,"ESCALATED TO LOCAL OFFICE",IF($Z253=5,"ESCALATED TO CBE",IF($AA253=TODAY(),"EMAIL SENT","MONITORING"))))))))))</f>
        <v/>
      </c>
      <c r="V253" s="17">
        <f>IF($U253="",IF(AND(COUNTA($A253:$L253)&gt;0,$N253=""),"Awaiting Collection Email time stamp.",""),IF(OR($U253="PAID",$U253="CLOSED"),IF($U253="PAID","Account paid. Action completed.","Account closed. No further action required."),CHOOSE($Z253,"Collection Email","1st Email Follow-up","2nd Email Follow-up","Escalation to Local Office","Escalation to CBE","Escalation to Roxanne")&amp;" sent "&amp;TEXT($AA253,"dd-mmm")&amp;". "&amp;IF($Z253=6,"Final escalation completed.",IF($U253="OVERDUE","Next: "&amp;$AC253&amp;" was due "&amp;TEXT($AB253,"dd-mmm")&amp;" - "&amp;(NETWORKDAYS($AB253,TODAY(),Holidays)-1)&amp;" business day(s) late. Send now.",IF($U253="DUE TOMORROW","Next: "&amp;$AC253&amp;IF($AB253&lt;=TODAY()," is due TODAY ("," is due next business day (")&amp;TEXT($AB253,"dd-mmm")&amp;").","Next: "&amp;$AC253&amp;" due "&amp;TEXT($AB253,"dd-mmm")&amp;" ("&amp;(NETWORKDAYS(TODAY(),$AB253,Holidays)-1)&amp;" business day(s) left).")))))</f>
        <v/>
      </c>
      <c r="W253" s="17">
        <f>IF($Z253="","",CHOOSE($Z253,"Collection Email","1st Follow-up","2nd Follow-up","Local Office","CBE","Roxanne")&amp;IF($Z253=6," - Final"," - Day "&amp;MAX(0,NETWORKDAYS($AA253,TODAY(),Holidays)-1)&amp;" of "&amp;CHOOSE($Z253,3,3,2,2,3))&amp;" | Total Day "&amp;MAX(0,NETWORKDAYS($N253,TODAY(),Holidays)-1))</f>
        <v/>
      </c>
      <c r="X253" s="18"/>
      <c r="Y253" s="18"/>
      <c r="Z253" s="17">
        <f>IF($N253="","",COUNT($N253:$S253))</f>
        <v/>
      </c>
      <c r="AA253" s="19">
        <f>IF($Z253="","",INT(INDEX($N253:$S253,$Z253)))</f>
        <v/>
      </c>
      <c r="AB253" s="19">
        <f>IF(OR($Z253="",$Z253=6),"",WORKDAY($AA253,CHOOSE($Z253,3,3,2,2,3),Holidays))</f>
        <v/>
      </c>
      <c r="AC253" s="17">
        <f>IF(OR($Z253="",$Z253=6),"",CHOOSE($Z253,"1st Email Follow-up","2nd Email Follow-up","Escalate Local Office","Escalate to CBE","Escalate to Roxanne"))</f>
        <v/>
      </c>
    </row>
    <row r="254" spans="13:29">
      <c r="M254" s="14"/>
      <c r="T254" s="16"/>
      <c r="U254" s="17">
        <f>IF(AND(COUNTA($A254:$L254)=0,$N254=""),"",IF($T254="Paid","PAID",IF($T254="Closed","CLOSED",IF($Z254="","",IF($Z254=6,"ESCALATED TO ROXANNE",IF(TODAY()&gt;$AB254,"OVERDUE",IF($AB254&lt;=WORKDAY(TODAY(),1,Holidays),"DUE TOMORROW",IF($Z254=4,"ESCALATED TO LOCAL OFFICE",IF($Z254=5,"ESCALATED TO CBE",IF($AA254=TODAY(),"EMAIL SENT","MONITORING"))))))))))</f>
        <v/>
      </c>
      <c r="V254" s="17">
        <f>IF($U254="",IF(AND(COUNTA($A254:$L254)&gt;0,$N254=""),"Awaiting Collection Email time stamp.",""),IF(OR($U254="PAID",$U254="CLOSED"),IF($U254="PAID","Account paid. Action completed.","Account closed. No further action required."),CHOOSE($Z254,"Collection Email","1st Email Follow-up","2nd Email Follow-up","Escalation to Local Office","Escalation to CBE","Escalation to Roxanne")&amp;" sent "&amp;TEXT($AA254,"dd-mmm")&amp;". "&amp;IF($Z254=6,"Final escalation completed.",IF($U254="OVERDUE","Next: "&amp;$AC254&amp;" was due "&amp;TEXT($AB254,"dd-mmm")&amp;" - "&amp;(NETWORKDAYS($AB254,TODAY(),Holidays)-1)&amp;" business day(s) late. Send now.",IF($U254="DUE TOMORROW","Next: "&amp;$AC254&amp;IF($AB254&lt;=TODAY()," is due TODAY ("," is due next business day (")&amp;TEXT($AB254,"dd-mmm")&amp;").","Next: "&amp;$AC254&amp;" due "&amp;TEXT($AB254,"dd-mmm")&amp;" ("&amp;(NETWORKDAYS(TODAY(),$AB254,Holidays)-1)&amp;" business day(s) left).")))))</f>
        <v/>
      </c>
      <c r="W254" s="17">
        <f>IF($Z254="","",CHOOSE($Z254,"Collection Email","1st Follow-up","2nd Follow-up","Local Office","CBE","Roxanne")&amp;IF($Z254=6," - Final"," - Day "&amp;MAX(0,NETWORKDAYS($AA254,TODAY(),Holidays)-1)&amp;" of "&amp;CHOOSE($Z254,3,3,2,2,3))&amp;" | Total Day "&amp;MAX(0,NETWORKDAYS($N254,TODAY(),Holidays)-1))</f>
        <v/>
      </c>
      <c r="X254" s="18"/>
      <c r="Y254" s="18"/>
      <c r="Z254" s="17">
        <f>IF($N254="","",COUNT($N254:$S254))</f>
        <v/>
      </c>
      <c r="AA254" s="19">
        <f>IF($Z254="","",INT(INDEX($N254:$S254,$Z254)))</f>
        <v/>
      </c>
      <c r="AB254" s="19">
        <f>IF(OR($Z254="",$Z254=6),"",WORKDAY($AA254,CHOOSE($Z254,3,3,2,2,3),Holidays))</f>
        <v/>
      </c>
      <c r="AC254" s="17">
        <f>IF(OR($Z254="",$Z254=6),"",CHOOSE($Z254,"1st Email Follow-up","2nd Email Follow-up","Escalate Local Office","Escalate to CBE","Escalate to Roxanne"))</f>
        <v/>
      </c>
    </row>
    <row r="255" spans="13:29">
      <c r="M255" s="14"/>
      <c r="T255" s="16"/>
      <c r="U255" s="17">
        <f>IF(AND(COUNTA($A255:$L255)=0,$N255=""),"",IF($T255="Paid","PAID",IF($T255="Closed","CLOSED",IF($Z255="","",IF($Z255=6,"ESCALATED TO ROXANNE",IF(TODAY()&gt;$AB255,"OVERDUE",IF($AB255&lt;=WORKDAY(TODAY(),1,Holidays),"DUE TOMORROW",IF($Z255=4,"ESCALATED TO LOCAL OFFICE",IF($Z255=5,"ESCALATED TO CBE",IF($AA255=TODAY(),"EMAIL SENT","MONITORING"))))))))))</f>
        <v/>
      </c>
      <c r="V255" s="17">
        <f>IF($U255="",IF(AND(COUNTA($A255:$L255)&gt;0,$N255=""),"Awaiting Collection Email time stamp.",""),IF(OR($U255="PAID",$U255="CLOSED"),IF($U255="PAID","Account paid. Action completed.","Account closed. No further action required."),CHOOSE($Z255,"Collection Email","1st Email Follow-up","2nd Email Follow-up","Escalation to Local Office","Escalation to CBE","Escalation to Roxanne")&amp;" sent "&amp;TEXT($AA255,"dd-mmm")&amp;". "&amp;IF($Z255=6,"Final escalation completed.",IF($U255="OVERDUE","Next: "&amp;$AC255&amp;" was due "&amp;TEXT($AB255,"dd-mmm")&amp;" - "&amp;(NETWORKDAYS($AB255,TODAY(),Holidays)-1)&amp;" business day(s) late. Send now.",IF($U255="DUE TOMORROW","Next: "&amp;$AC255&amp;IF($AB255&lt;=TODAY()," is due TODAY ("," is due next business day (")&amp;TEXT($AB255,"dd-mmm")&amp;").","Next: "&amp;$AC255&amp;" due "&amp;TEXT($AB255,"dd-mmm")&amp;" ("&amp;(NETWORKDAYS(TODAY(),$AB255,Holidays)-1)&amp;" business day(s) left).")))))</f>
        <v/>
      </c>
      <c r="W255" s="17">
        <f>IF($Z255="","",CHOOSE($Z255,"Collection Email","1st Follow-up","2nd Follow-up","Local Office","CBE","Roxanne")&amp;IF($Z255=6," - Final"," - Day "&amp;MAX(0,NETWORKDAYS($AA255,TODAY(),Holidays)-1)&amp;" of "&amp;CHOOSE($Z255,3,3,2,2,3))&amp;" | Total Day "&amp;MAX(0,NETWORKDAYS($N255,TODAY(),Holidays)-1))</f>
        <v/>
      </c>
      <c r="X255" s="18"/>
      <c r="Y255" s="18"/>
      <c r="Z255" s="17">
        <f>IF($N255="","",COUNT($N255:$S255))</f>
        <v/>
      </c>
      <c r="AA255" s="19">
        <f>IF($Z255="","",INT(INDEX($N255:$S255,$Z255)))</f>
        <v/>
      </c>
      <c r="AB255" s="19">
        <f>IF(OR($Z255="",$Z255=6),"",WORKDAY($AA255,CHOOSE($Z255,3,3,2,2,3),Holidays))</f>
        <v/>
      </c>
      <c r="AC255" s="17">
        <f>IF(OR($Z255="",$Z255=6),"",CHOOSE($Z255,"1st Email Follow-up","2nd Email Follow-up","Escalate Local Office","Escalate to CBE","Escalate to Roxanne"))</f>
        <v/>
      </c>
    </row>
    <row r="256" spans="13:29">
      <c r="M256" s="14"/>
      <c r="T256" s="16"/>
      <c r="U256" s="17">
        <f>IF(AND(COUNTA($A256:$L256)=0,$N256=""),"",IF($T256="Paid","PAID",IF($T256="Closed","CLOSED",IF($Z256="","",IF($Z256=6,"ESCALATED TO ROXANNE",IF(TODAY()&gt;$AB256,"OVERDUE",IF($AB256&lt;=WORKDAY(TODAY(),1,Holidays),"DUE TOMORROW",IF($Z256=4,"ESCALATED TO LOCAL OFFICE",IF($Z256=5,"ESCALATED TO CBE",IF($AA256=TODAY(),"EMAIL SENT","MONITORING"))))))))))</f>
        <v/>
      </c>
      <c r="V256" s="17">
        <f>IF($U256="",IF(AND(COUNTA($A256:$L256)&gt;0,$N256=""),"Awaiting Collection Email time stamp.",""),IF(OR($U256="PAID",$U256="CLOSED"),IF($U256="PAID","Account paid. Action completed.","Account closed. No further action required."),CHOOSE($Z256,"Collection Email","1st Email Follow-up","2nd Email Follow-up","Escalation to Local Office","Escalation to CBE","Escalation to Roxanne")&amp;" sent "&amp;TEXT($AA256,"dd-mmm")&amp;". "&amp;IF($Z256=6,"Final escalation completed.",IF($U256="OVERDUE","Next: "&amp;$AC256&amp;" was due "&amp;TEXT($AB256,"dd-mmm")&amp;" - "&amp;(NETWORKDAYS($AB256,TODAY(),Holidays)-1)&amp;" business day(s) late. Send now.",IF($U256="DUE TOMORROW","Next: "&amp;$AC256&amp;IF($AB256&lt;=TODAY()," is due TODAY ("," is due next business day (")&amp;TEXT($AB256,"dd-mmm")&amp;").","Next: "&amp;$AC256&amp;" due "&amp;TEXT($AB256,"dd-mmm")&amp;" ("&amp;(NETWORKDAYS(TODAY(),$AB256,Holidays)-1)&amp;" business day(s) left).")))))</f>
        <v/>
      </c>
      <c r="W256" s="17">
        <f>IF($Z256="","",CHOOSE($Z256,"Collection Email","1st Follow-up","2nd Follow-up","Local Office","CBE","Roxanne")&amp;IF($Z256=6," - Final"," - Day "&amp;MAX(0,NETWORKDAYS($AA256,TODAY(),Holidays)-1)&amp;" of "&amp;CHOOSE($Z256,3,3,2,2,3))&amp;" | Total Day "&amp;MAX(0,NETWORKDAYS($N256,TODAY(),Holidays)-1))</f>
        <v/>
      </c>
      <c r="X256" s="18"/>
      <c r="Y256" s="18"/>
      <c r="Z256" s="17">
        <f>IF($N256="","",COUNT($N256:$S256))</f>
        <v/>
      </c>
      <c r="AA256" s="19">
        <f>IF($Z256="","",INT(INDEX($N256:$S256,$Z256)))</f>
        <v/>
      </c>
      <c r="AB256" s="19">
        <f>IF(OR($Z256="",$Z256=6),"",WORKDAY($AA256,CHOOSE($Z256,3,3,2,2,3),Holidays))</f>
        <v/>
      </c>
      <c r="AC256" s="17">
        <f>IF(OR($Z256="",$Z256=6),"",CHOOSE($Z256,"1st Email Follow-up","2nd Email Follow-up","Escalate Local Office","Escalate to CBE","Escalate to Roxanne"))</f>
        <v/>
      </c>
    </row>
    <row r="257" spans="13:29">
      <c r="M257" s="14"/>
      <c r="T257" s="16"/>
      <c r="U257" s="17">
        <f>IF(AND(COUNTA($A257:$L257)=0,$N257=""),"",IF($T257="Paid","PAID",IF($T257="Closed","CLOSED",IF($Z257="","",IF($Z257=6,"ESCALATED TO ROXANNE",IF(TODAY()&gt;$AB257,"OVERDUE",IF($AB257&lt;=WORKDAY(TODAY(),1,Holidays),"DUE TOMORROW",IF($Z257=4,"ESCALATED TO LOCAL OFFICE",IF($Z257=5,"ESCALATED TO CBE",IF($AA257=TODAY(),"EMAIL SENT","MONITORING"))))))))))</f>
        <v/>
      </c>
      <c r="V257" s="17">
        <f>IF($U257="",IF(AND(COUNTA($A257:$L257)&gt;0,$N257=""),"Awaiting Collection Email time stamp.",""),IF(OR($U257="PAID",$U257="CLOSED"),IF($U257="PAID","Account paid. Action completed.","Account closed. No further action required."),CHOOSE($Z257,"Collection Email","1st Email Follow-up","2nd Email Follow-up","Escalation to Local Office","Escalation to CBE","Escalation to Roxanne")&amp;" sent "&amp;TEXT($AA257,"dd-mmm")&amp;". "&amp;IF($Z257=6,"Final escalation completed.",IF($U257="OVERDUE","Next: "&amp;$AC257&amp;" was due "&amp;TEXT($AB257,"dd-mmm")&amp;" - "&amp;(NETWORKDAYS($AB257,TODAY(),Holidays)-1)&amp;" business day(s) late. Send now.",IF($U257="DUE TOMORROW","Next: "&amp;$AC257&amp;IF($AB257&lt;=TODAY()," is due TODAY ("," is due next business day (")&amp;TEXT($AB257,"dd-mmm")&amp;").","Next: "&amp;$AC257&amp;" due "&amp;TEXT($AB257,"dd-mmm")&amp;" ("&amp;(NETWORKDAYS(TODAY(),$AB257,Holidays)-1)&amp;" business day(s) left).")))))</f>
        <v/>
      </c>
      <c r="W257" s="17">
        <f>IF($Z257="","",CHOOSE($Z257,"Collection Email","1st Follow-up","2nd Follow-up","Local Office","CBE","Roxanne")&amp;IF($Z257=6," - Final"," - Day "&amp;MAX(0,NETWORKDAYS($AA257,TODAY(),Holidays)-1)&amp;" of "&amp;CHOOSE($Z257,3,3,2,2,3))&amp;" | Total Day "&amp;MAX(0,NETWORKDAYS($N257,TODAY(),Holidays)-1))</f>
        <v/>
      </c>
      <c r="X257" s="18"/>
      <c r="Y257" s="18"/>
      <c r="Z257" s="17">
        <f>IF($N257="","",COUNT($N257:$S257))</f>
        <v/>
      </c>
      <c r="AA257" s="19">
        <f>IF($Z257="","",INT(INDEX($N257:$S257,$Z257)))</f>
        <v/>
      </c>
      <c r="AB257" s="19">
        <f>IF(OR($Z257="",$Z257=6),"",WORKDAY($AA257,CHOOSE($Z257,3,3,2,2,3),Holidays))</f>
        <v/>
      </c>
      <c r="AC257" s="17">
        <f>IF(OR($Z257="",$Z257=6),"",CHOOSE($Z257,"1st Email Follow-up","2nd Email Follow-up","Escalate Local Office","Escalate to CBE","Escalate to Roxanne"))</f>
        <v/>
      </c>
    </row>
    <row r="258" spans="13:29">
      <c r="M258" s="14"/>
      <c r="T258" s="16"/>
      <c r="U258" s="17">
        <f>IF(AND(COUNTA($A258:$L258)=0,$N258=""),"",IF($T258="Paid","PAID",IF($T258="Closed","CLOSED",IF($Z258="","",IF($Z258=6,"ESCALATED TO ROXANNE",IF(TODAY()&gt;$AB258,"OVERDUE",IF($AB258&lt;=WORKDAY(TODAY(),1,Holidays),"DUE TOMORROW",IF($Z258=4,"ESCALATED TO LOCAL OFFICE",IF($Z258=5,"ESCALATED TO CBE",IF($AA258=TODAY(),"EMAIL SENT","MONITORING"))))))))))</f>
        <v/>
      </c>
      <c r="V258" s="17">
        <f>IF($U258="",IF(AND(COUNTA($A258:$L258)&gt;0,$N258=""),"Awaiting Collection Email time stamp.",""),IF(OR($U258="PAID",$U258="CLOSED"),IF($U258="PAID","Account paid. Action completed.","Account closed. No further action required."),CHOOSE($Z258,"Collection Email","1st Email Follow-up","2nd Email Follow-up","Escalation to Local Office","Escalation to CBE","Escalation to Roxanne")&amp;" sent "&amp;TEXT($AA258,"dd-mmm")&amp;". "&amp;IF($Z258=6,"Final escalation completed.",IF($U258="OVERDUE","Next: "&amp;$AC258&amp;" was due "&amp;TEXT($AB258,"dd-mmm")&amp;" - "&amp;(NETWORKDAYS($AB258,TODAY(),Holidays)-1)&amp;" business day(s) late. Send now.",IF($U258="DUE TOMORROW","Next: "&amp;$AC258&amp;IF($AB258&lt;=TODAY()," is due TODAY ("," is due next business day (")&amp;TEXT($AB258,"dd-mmm")&amp;").","Next: "&amp;$AC258&amp;" due "&amp;TEXT($AB258,"dd-mmm")&amp;" ("&amp;(NETWORKDAYS(TODAY(),$AB258,Holidays)-1)&amp;" business day(s) left).")))))</f>
        <v/>
      </c>
      <c r="W258" s="17">
        <f>IF($Z258="","",CHOOSE($Z258,"Collection Email","1st Follow-up","2nd Follow-up","Local Office","CBE","Roxanne")&amp;IF($Z258=6," - Final"," - Day "&amp;MAX(0,NETWORKDAYS($AA258,TODAY(),Holidays)-1)&amp;" of "&amp;CHOOSE($Z258,3,3,2,2,3))&amp;" | Total Day "&amp;MAX(0,NETWORKDAYS($N258,TODAY(),Holidays)-1))</f>
        <v/>
      </c>
      <c r="X258" s="18"/>
      <c r="Y258" s="18"/>
      <c r="Z258" s="17">
        <f>IF($N258="","",COUNT($N258:$S258))</f>
        <v/>
      </c>
      <c r="AA258" s="19">
        <f>IF($Z258="","",INT(INDEX($N258:$S258,$Z258)))</f>
        <v/>
      </c>
      <c r="AB258" s="19">
        <f>IF(OR($Z258="",$Z258=6),"",WORKDAY($AA258,CHOOSE($Z258,3,3,2,2,3),Holidays))</f>
        <v/>
      </c>
      <c r="AC258" s="17">
        <f>IF(OR($Z258="",$Z258=6),"",CHOOSE($Z258,"1st Email Follow-up","2nd Email Follow-up","Escalate Local Office","Escalate to CBE","Escalate to Roxanne"))</f>
        <v/>
      </c>
    </row>
    <row r="259" spans="13:29">
      <c r="M259" s="14"/>
      <c r="T259" s="16"/>
      <c r="U259" s="17">
        <f>IF(AND(COUNTA($A259:$L259)=0,$N259=""),"",IF($T259="Paid","PAID",IF($T259="Closed","CLOSED",IF($Z259="","",IF($Z259=6,"ESCALATED TO ROXANNE",IF(TODAY()&gt;$AB259,"OVERDUE",IF($AB259&lt;=WORKDAY(TODAY(),1,Holidays),"DUE TOMORROW",IF($Z259=4,"ESCALATED TO LOCAL OFFICE",IF($Z259=5,"ESCALATED TO CBE",IF($AA259=TODAY(),"EMAIL SENT","MONITORING"))))))))))</f>
        <v/>
      </c>
      <c r="V259" s="17">
        <f>IF($U259="",IF(AND(COUNTA($A259:$L259)&gt;0,$N259=""),"Awaiting Collection Email time stamp.",""),IF(OR($U259="PAID",$U259="CLOSED"),IF($U259="PAID","Account paid. Action completed.","Account closed. No further action required."),CHOOSE($Z259,"Collection Email","1st Email Follow-up","2nd Email Follow-up","Escalation to Local Office","Escalation to CBE","Escalation to Roxanne")&amp;" sent "&amp;TEXT($AA259,"dd-mmm")&amp;". "&amp;IF($Z259=6,"Final escalation completed.",IF($U259="OVERDUE","Next: "&amp;$AC259&amp;" was due "&amp;TEXT($AB259,"dd-mmm")&amp;" - "&amp;(NETWORKDAYS($AB259,TODAY(),Holidays)-1)&amp;" business day(s) late. Send now.",IF($U259="DUE TOMORROW","Next: "&amp;$AC259&amp;IF($AB259&lt;=TODAY()," is due TODAY ("," is due next business day (")&amp;TEXT($AB259,"dd-mmm")&amp;").","Next: "&amp;$AC259&amp;" due "&amp;TEXT($AB259,"dd-mmm")&amp;" ("&amp;(NETWORKDAYS(TODAY(),$AB259,Holidays)-1)&amp;" business day(s) left).")))))</f>
        <v/>
      </c>
      <c r="W259" s="17">
        <f>IF($Z259="","",CHOOSE($Z259,"Collection Email","1st Follow-up","2nd Follow-up","Local Office","CBE","Roxanne")&amp;IF($Z259=6," - Final"," - Day "&amp;MAX(0,NETWORKDAYS($AA259,TODAY(),Holidays)-1)&amp;" of "&amp;CHOOSE($Z259,3,3,2,2,3))&amp;" | Total Day "&amp;MAX(0,NETWORKDAYS($N259,TODAY(),Holidays)-1))</f>
        <v/>
      </c>
      <c r="X259" s="18"/>
      <c r="Y259" s="18"/>
      <c r="Z259" s="17">
        <f>IF($N259="","",COUNT($N259:$S259))</f>
        <v/>
      </c>
      <c r="AA259" s="19">
        <f>IF($Z259="","",INT(INDEX($N259:$S259,$Z259)))</f>
        <v/>
      </c>
      <c r="AB259" s="19">
        <f>IF(OR($Z259="",$Z259=6),"",WORKDAY($AA259,CHOOSE($Z259,3,3,2,2,3),Holidays))</f>
        <v/>
      </c>
      <c r="AC259" s="17">
        <f>IF(OR($Z259="",$Z259=6),"",CHOOSE($Z259,"1st Email Follow-up","2nd Email Follow-up","Escalate Local Office","Escalate to CBE","Escalate to Roxanne"))</f>
        <v/>
      </c>
    </row>
    <row r="260" spans="13:29">
      <c r="M260" s="14"/>
      <c r="T260" s="16"/>
      <c r="U260" s="17">
        <f>IF(AND(COUNTA($A260:$L260)=0,$N260=""),"",IF($T260="Paid","PAID",IF($T260="Closed","CLOSED",IF($Z260="","",IF($Z260=6,"ESCALATED TO ROXANNE",IF(TODAY()&gt;$AB260,"OVERDUE",IF($AB260&lt;=WORKDAY(TODAY(),1,Holidays),"DUE TOMORROW",IF($Z260=4,"ESCALATED TO LOCAL OFFICE",IF($Z260=5,"ESCALATED TO CBE",IF($AA260=TODAY(),"EMAIL SENT","MONITORING"))))))))))</f>
        <v/>
      </c>
      <c r="V260" s="17">
        <f>IF($U260="",IF(AND(COUNTA($A260:$L260)&gt;0,$N260=""),"Awaiting Collection Email time stamp.",""),IF(OR($U260="PAID",$U260="CLOSED"),IF($U260="PAID","Account paid. Action completed.","Account closed. No further action required."),CHOOSE($Z260,"Collection Email","1st Email Follow-up","2nd Email Follow-up","Escalation to Local Office","Escalation to CBE","Escalation to Roxanne")&amp;" sent "&amp;TEXT($AA260,"dd-mmm")&amp;". "&amp;IF($Z260=6,"Final escalation completed.",IF($U260="OVERDUE","Next: "&amp;$AC260&amp;" was due "&amp;TEXT($AB260,"dd-mmm")&amp;" - "&amp;(NETWORKDAYS($AB260,TODAY(),Holidays)-1)&amp;" business day(s) late. Send now.",IF($U260="DUE TOMORROW","Next: "&amp;$AC260&amp;IF($AB260&lt;=TODAY()," is due TODAY ("," is due next business day (")&amp;TEXT($AB260,"dd-mmm")&amp;").","Next: "&amp;$AC260&amp;" due "&amp;TEXT($AB260,"dd-mmm")&amp;" ("&amp;(NETWORKDAYS(TODAY(),$AB260,Holidays)-1)&amp;" business day(s) left).")))))</f>
        <v/>
      </c>
      <c r="W260" s="17">
        <f>IF($Z260="","",CHOOSE($Z260,"Collection Email","1st Follow-up","2nd Follow-up","Local Office","CBE","Roxanne")&amp;IF($Z260=6," - Final"," - Day "&amp;MAX(0,NETWORKDAYS($AA260,TODAY(),Holidays)-1)&amp;" of "&amp;CHOOSE($Z260,3,3,2,2,3))&amp;" | Total Day "&amp;MAX(0,NETWORKDAYS($N260,TODAY(),Holidays)-1))</f>
        <v/>
      </c>
      <c r="X260" s="18"/>
      <c r="Y260" s="18"/>
      <c r="Z260" s="17">
        <f>IF($N260="","",COUNT($N260:$S260))</f>
        <v/>
      </c>
      <c r="AA260" s="19">
        <f>IF($Z260="","",INT(INDEX($N260:$S260,$Z260)))</f>
        <v/>
      </c>
      <c r="AB260" s="19">
        <f>IF(OR($Z260="",$Z260=6),"",WORKDAY($AA260,CHOOSE($Z260,3,3,2,2,3),Holidays))</f>
        <v/>
      </c>
      <c r="AC260" s="17">
        <f>IF(OR($Z260="",$Z260=6),"",CHOOSE($Z260,"1st Email Follow-up","2nd Email Follow-up","Escalate Local Office","Escalate to CBE","Escalate to Roxanne"))</f>
        <v/>
      </c>
    </row>
    <row r="261" spans="13:29">
      <c r="M261" s="14"/>
      <c r="T261" s="16"/>
      <c r="U261" s="17">
        <f>IF(AND(COUNTA($A261:$L261)=0,$N261=""),"",IF($T261="Paid","PAID",IF($T261="Closed","CLOSED",IF($Z261="","",IF($Z261=6,"ESCALATED TO ROXANNE",IF(TODAY()&gt;$AB261,"OVERDUE",IF($AB261&lt;=WORKDAY(TODAY(),1,Holidays),"DUE TOMORROW",IF($Z261=4,"ESCALATED TO LOCAL OFFICE",IF($Z261=5,"ESCALATED TO CBE",IF($AA261=TODAY(),"EMAIL SENT","MONITORING"))))))))))</f>
        <v/>
      </c>
      <c r="V261" s="17">
        <f>IF($U261="",IF(AND(COUNTA($A261:$L261)&gt;0,$N261=""),"Awaiting Collection Email time stamp.",""),IF(OR($U261="PAID",$U261="CLOSED"),IF($U261="PAID","Account paid. Action completed.","Account closed. No further action required."),CHOOSE($Z261,"Collection Email","1st Email Follow-up","2nd Email Follow-up","Escalation to Local Office","Escalation to CBE","Escalation to Roxanne")&amp;" sent "&amp;TEXT($AA261,"dd-mmm")&amp;". "&amp;IF($Z261=6,"Final escalation completed.",IF($U261="OVERDUE","Next: "&amp;$AC261&amp;" was due "&amp;TEXT($AB261,"dd-mmm")&amp;" - "&amp;(NETWORKDAYS($AB261,TODAY(),Holidays)-1)&amp;" business day(s) late. Send now.",IF($U261="DUE TOMORROW","Next: "&amp;$AC261&amp;IF($AB261&lt;=TODAY()," is due TODAY ("," is due next business day (")&amp;TEXT($AB261,"dd-mmm")&amp;").","Next: "&amp;$AC261&amp;" due "&amp;TEXT($AB261,"dd-mmm")&amp;" ("&amp;(NETWORKDAYS(TODAY(),$AB261,Holidays)-1)&amp;" business day(s) left).")))))</f>
        <v/>
      </c>
      <c r="W261" s="17">
        <f>IF($Z261="","",CHOOSE($Z261,"Collection Email","1st Follow-up","2nd Follow-up","Local Office","CBE","Roxanne")&amp;IF($Z261=6," - Final"," - Day "&amp;MAX(0,NETWORKDAYS($AA261,TODAY(),Holidays)-1)&amp;" of "&amp;CHOOSE($Z261,3,3,2,2,3))&amp;" | Total Day "&amp;MAX(0,NETWORKDAYS($N261,TODAY(),Holidays)-1))</f>
        <v/>
      </c>
      <c r="X261" s="18"/>
      <c r="Y261" s="18"/>
      <c r="Z261" s="17">
        <f>IF($N261="","",COUNT($N261:$S261))</f>
        <v/>
      </c>
      <c r="AA261" s="19">
        <f>IF($Z261="","",INT(INDEX($N261:$S261,$Z261)))</f>
        <v/>
      </c>
      <c r="AB261" s="19">
        <f>IF(OR($Z261="",$Z261=6),"",WORKDAY($AA261,CHOOSE($Z261,3,3,2,2,3),Holidays))</f>
        <v/>
      </c>
      <c r="AC261" s="17">
        <f>IF(OR($Z261="",$Z261=6),"",CHOOSE($Z261,"1st Email Follow-up","2nd Email Follow-up","Escalate Local Office","Escalate to CBE","Escalate to Roxanne"))</f>
        <v/>
      </c>
    </row>
    <row r="262" spans="13:29">
      <c r="M262" s="14"/>
      <c r="T262" s="16"/>
      <c r="U262" s="17">
        <f>IF(AND(COUNTA($A262:$L262)=0,$N262=""),"",IF($T262="Paid","PAID",IF($T262="Closed","CLOSED",IF($Z262="","",IF($Z262=6,"ESCALATED TO ROXANNE",IF(TODAY()&gt;$AB262,"OVERDUE",IF($AB262&lt;=WORKDAY(TODAY(),1,Holidays),"DUE TOMORROW",IF($Z262=4,"ESCALATED TO LOCAL OFFICE",IF($Z262=5,"ESCALATED TO CBE",IF($AA262=TODAY(),"EMAIL SENT","MONITORING"))))))))))</f>
        <v/>
      </c>
      <c r="V262" s="17">
        <f>IF($U262="",IF(AND(COUNTA($A262:$L262)&gt;0,$N262=""),"Awaiting Collection Email time stamp.",""),IF(OR($U262="PAID",$U262="CLOSED"),IF($U262="PAID","Account paid. Action completed.","Account closed. No further action required."),CHOOSE($Z262,"Collection Email","1st Email Follow-up","2nd Email Follow-up","Escalation to Local Office","Escalation to CBE","Escalation to Roxanne")&amp;" sent "&amp;TEXT($AA262,"dd-mmm")&amp;". "&amp;IF($Z262=6,"Final escalation completed.",IF($U262="OVERDUE","Next: "&amp;$AC262&amp;" was due "&amp;TEXT($AB262,"dd-mmm")&amp;" - "&amp;(NETWORKDAYS($AB262,TODAY(),Holidays)-1)&amp;" business day(s) late. Send now.",IF($U262="DUE TOMORROW","Next: "&amp;$AC262&amp;IF($AB262&lt;=TODAY()," is due TODAY ("," is due next business day (")&amp;TEXT($AB262,"dd-mmm")&amp;").","Next: "&amp;$AC262&amp;" due "&amp;TEXT($AB262,"dd-mmm")&amp;" ("&amp;(NETWORKDAYS(TODAY(),$AB262,Holidays)-1)&amp;" business day(s) left).")))))</f>
        <v/>
      </c>
      <c r="W262" s="17">
        <f>IF($Z262="","",CHOOSE($Z262,"Collection Email","1st Follow-up","2nd Follow-up","Local Office","CBE","Roxanne")&amp;IF($Z262=6," - Final"," - Day "&amp;MAX(0,NETWORKDAYS($AA262,TODAY(),Holidays)-1)&amp;" of "&amp;CHOOSE($Z262,3,3,2,2,3))&amp;" | Total Day "&amp;MAX(0,NETWORKDAYS($N262,TODAY(),Holidays)-1))</f>
        <v/>
      </c>
      <c r="X262" s="18"/>
      <c r="Y262" s="18"/>
      <c r="Z262" s="17">
        <f>IF($N262="","",COUNT($N262:$S262))</f>
        <v/>
      </c>
      <c r="AA262" s="19">
        <f>IF($Z262="","",INT(INDEX($N262:$S262,$Z262)))</f>
        <v/>
      </c>
      <c r="AB262" s="19">
        <f>IF(OR($Z262="",$Z262=6),"",WORKDAY($AA262,CHOOSE($Z262,3,3,2,2,3),Holidays))</f>
        <v/>
      </c>
      <c r="AC262" s="17">
        <f>IF(OR($Z262="",$Z262=6),"",CHOOSE($Z262,"1st Email Follow-up","2nd Email Follow-up","Escalate Local Office","Escalate to CBE","Escalate to Roxanne"))</f>
        <v/>
      </c>
    </row>
    <row r="263" spans="13:29">
      <c r="M263" s="14"/>
      <c r="T263" s="16"/>
      <c r="U263" s="17">
        <f>IF(AND(COUNTA($A263:$L263)=0,$N263=""),"",IF($T263="Paid","PAID",IF($T263="Closed","CLOSED",IF($Z263="","",IF($Z263=6,"ESCALATED TO ROXANNE",IF(TODAY()&gt;$AB263,"OVERDUE",IF($AB263&lt;=WORKDAY(TODAY(),1,Holidays),"DUE TOMORROW",IF($Z263=4,"ESCALATED TO LOCAL OFFICE",IF($Z263=5,"ESCALATED TO CBE",IF($AA263=TODAY(),"EMAIL SENT","MONITORING"))))))))))</f>
        <v/>
      </c>
      <c r="V263" s="17">
        <f>IF($U263="",IF(AND(COUNTA($A263:$L263)&gt;0,$N263=""),"Awaiting Collection Email time stamp.",""),IF(OR($U263="PAID",$U263="CLOSED"),IF($U263="PAID","Account paid. Action completed.","Account closed. No further action required."),CHOOSE($Z263,"Collection Email","1st Email Follow-up","2nd Email Follow-up","Escalation to Local Office","Escalation to CBE","Escalation to Roxanne")&amp;" sent "&amp;TEXT($AA263,"dd-mmm")&amp;". "&amp;IF($Z263=6,"Final escalation completed.",IF($U263="OVERDUE","Next: "&amp;$AC263&amp;" was due "&amp;TEXT($AB263,"dd-mmm")&amp;" - "&amp;(NETWORKDAYS($AB263,TODAY(),Holidays)-1)&amp;" business day(s) late. Send now.",IF($U263="DUE TOMORROW","Next: "&amp;$AC263&amp;IF($AB263&lt;=TODAY()," is due TODAY ("," is due next business day (")&amp;TEXT($AB263,"dd-mmm")&amp;").","Next: "&amp;$AC263&amp;" due "&amp;TEXT($AB263,"dd-mmm")&amp;" ("&amp;(NETWORKDAYS(TODAY(),$AB263,Holidays)-1)&amp;" business day(s) left).")))))</f>
        <v/>
      </c>
      <c r="W263" s="17">
        <f>IF($Z263="","",CHOOSE($Z263,"Collection Email","1st Follow-up","2nd Follow-up","Local Office","CBE","Roxanne")&amp;IF($Z263=6," - Final"," - Day "&amp;MAX(0,NETWORKDAYS($AA263,TODAY(),Holidays)-1)&amp;" of "&amp;CHOOSE($Z263,3,3,2,2,3))&amp;" | Total Day "&amp;MAX(0,NETWORKDAYS($N263,TODAY(),Holidays)-1))</f>
        <v/>
      </c>
      <c r="X263" s="18"/>
      <c r="Y263" s="18"/>
      <c r="Z263" s="17">
        <f>IF($N263="","",COUNT($N263:$S263))</f>
        <v/>
      </c>
      <c r="AA263" s="19">
        <f>IF($Z263="","",INT(INDEX($N263:$S263,$Z263)))</f>
        <v/>
      </c>
      <c r="AB263" s="19">
        <f>IF(OR($Z263="",$Z263=6),"",WORKDAY($AA263,CHOOSE($Z263,3,3,2,2,3),Holidays))</f>
        <v/>
      </c>
      <c r="AC263" s="17">
        <f>IF(OR($Z263="",$Z263=6),"",CHOOSE($Z263,"1st Email Follow-up","2nd Email Follow-up","Escalate Local Office","Escalate to CBE","Escalate to Roxanne"))</f>
        <v/>
      </c>
    </row>
    <row r="264" spans="13:29">
      <c r="M264" s="14"/>
      <c r="T264" s="16"/>
      <c r="U264" s="17">
        <f>IF(AND(COUNTA($A264:$L264)=0,$N264=""),"",IF($T264="Paid","PAID",IF($T264="Closed","CLOSED",IF($Z264="","",IF($Z264=6,"ESCALATED TO ROXANNE",IF(TODAY()&gt;$AB264,"OVERDUE",IF($AB264&lt;=WORKDAY(TODAY(),1,Holidays),"DUE TOMORROW",IF($Z264=4,"ESCALATED TO LOCAL OFFICE",IF($Z264=5,"ESCALATED TO CBE",IF($AA264=TODAY(),"EMAIL SENT","MONITORING"))))))))))</f>
        <v/>
      </c>
      <c r="V264" s="17">
        <f>IF($U264="",IF(AND(COUNTA($A264:$L264)&gt;0,$N264=""),"Awaiting Collection Email time stamp.",""),IF(OR($U264="PAID",$U264="CLOSED"),IF($U264="PAID","Account paid. Action completed.","Account closed. No further action required."),CHOOSE($Z264,"Collection Email","1st Email Follow-up","2nd Email Follow-up","Escalation to Local Office","Escalation to CBE","Escalation to Roxanne")&amp;" sent "&amp;TEXT($AA264,"dd-mmm")&amp;". "&amp;IF($Z264=6,"Final escalation completed.",IF($U264="OVERDUE","Next: "&amp;$AC264&amp;" was due "&amp;TEXT($AB264,"dd-mmm")&amp;" - "&amp;(NETWORKDAYS($AB264,TODAY(),Holidays)-1)&amp;" business day(s) late. Send now.",IF($U264="DUE TOMORROW","Next: "&amp;$AC264&amp;IF($AB264&lt;=TODAY()," is due TODAY ("," is due next business day (")&amp;TEXT($AB264,"dd-mmm")&amp;").","Next: "&amp;$AC264&amp;" due "&amp;TEXT($AB264,"dd-mmm")&amp;" ("&amp;(NETWORKDAYS(TODAY(),$AB264,Holidays)-1)&amp;" business day(s) left).")))))</f>
        <v/>
      </c>
      <c r="W264" s="17">
        <f>IF($Z264="","",CHOOSE($Z264,"Collection Email","1st Follow-up","2nd Follow-up","Local Office","CBE","Roxanne")&amp;IF($Z264=6," - Final"," - Day "&amp;MAX(0,NETWORKDAYS($AA264,TODAY(),Holidays)-1)&amp;" of "&amp;CHOOSE($Z264,3,3,2,2,3))&amp;" | Total Day "&amp;MAX(0,NETWORKDAYS($N264,TODAY(),Holidays)-1))</f>
        <v/>
      </c>
      <c r="X264" s="18"/>
      <c r="Y264" s="18"/>
      <c r="Z264" s="17">
        <f>IF($N264="","",COUNT($N264:$S264))</f>
        <v/>
      </c>
      <c r="AA264" s="19">
        <f>IF($Z264="","",INT(INDEX($N264:$S264,$Z264)))</f>
        <v/>
      </c>
      <c r="AB264" s="19">
        <f>IF(OR($Z264="",$Z264=6),"",WORKDAY($AA264,CHOOSE($Z264,3,3,2,2,3),Holidays))</f>
        <v/>
      </c>
      <c r="AC264" s="17">
        <f>IF(OR($Z264="",$Z264=6),"",CHOOSE($Z264,"1st Email Follow-up","2nd Email Follow-up","Escalate Local Office","Escalate to CBE","Escalate to Roxanne"))</f>
        <v/>
      </c>
    </row>
    <row r="265" spans="13:29">
      <c r="M265" s="14"/>
      <c r="T265" s="16"/>
      <c r="U265" s="17">
        <f>IF(AND(COUNTA($A265:$L265)=0,$N265=""),"",IF($T265="Paid","PAID",IF($T265="Closed","CLOSED",IF($Z265="","",IF($Z265=6,"ESCALATED TO ROXANNE",IF(TODAY()&gt;$AB265,"OVERDUE",IF($AB265&lt;=WORKDAY(TODAY(),1,Holidays),"DUE TOMORROW",IF($Z265=4,"ESCALATED TO LOCAL OFFICE",IF($Z265=5,"ESCALATED TO CBE",IF($AA265=TODAY(),"EMAIL SENT","MONITORING"))))))))))</f>
        <v/>
      </c>
      <c r="V265" s="17">
        <f>IF($U265="",IF(AND(COUNTA($A265:$L265)&gt;0,$N265=""),"Awaiting Collection Email time stamp.",""),IF(OR($U265="PAID",$U265="CLOSED"),IF($U265="PAID","Account paid. Action completed.","Account closed. No further action required."),CHOOSE($Z265,"Collection Email","1st Email Follow-up","2nd Email Follow-up","Escalation to Local Office","Escalation to CBE","Escalation to Roxanne")&amp;" sent "&amp;TEXT($AA265,"dd-mmm")&amp;". "&amp;IF($Z265=6,"Final escalation completed.",IF($U265="OVERDUE","Next: "&amp;$AC265&amp;" was due "&amp;TEXT($AB265,"dd-mmm")&amp;" - "&amp;(NETWORKDAYS($AB265,TODAY(),Holidays)-1)&amp;" business day(s) late. Send now.",IF($U265="DUE TOMORROW","Next: "&amp;$AC265&amp;IF($AB265&lt;=TODAY()," is due TODAY ("," is due next business day (")&amp;TEXT($AB265,"dd-mmm")&amp;").","Next: "&amp;$AC265&amp;" due "&amp;TEXT($AB265,"dd-mmm")&amp;" ("&amp;(NETWORKDAYS(TODAY(),$AB265,Holidays)-1)&amp;" business day(s) left).")))))</f>
        <v/>
      </c>
      <c r="W265" s="17">
        <f>IF($Z265="","",CHOOSE($Z265,"Collection Email","1st Follow-up","2nd Follow-up","Local Office","CBE","Roxanne")&amp;IF($Z265=6," - Final"," - Day "&amp;MAX(0,NETWORKDAYS($AA265,TODAY(),Holidays)-1)&amp;" of "&amp;CHOOSE($Z265,3,3,2,2,3))&amp;" | Total Day "&amp;MAX(0,NETWORKDAYS($N265,TODAY(),Holidays)-1))</f>
        <v/>
      </c>
      <c r="X265" s="18"/>
      <c r="Y265" s="18"/>
      <c r="Z265" s="17">
        <f>IF($N265="","",COUNT($N265:$S265))</f>
        <v/>
      </c>
      <c r="AA265" s="19">
        <f>IF($Z265="","",INT(INDEX($N265:$S265,$Z265)))</f>
        <v/>
      </c>
      <c r="AB265" s="19">
        <f>IF(OR($Z265="",$Z265=6),"",WORKDAY($AA265,CHOOSE($Z265,3,3,2,2,3),Holidays))</f>
        <v/>
      </c>
      <c r="AC265" s="17">
        <f>IF(OR($Z265="",$Z265=6),"",CHOOSE($Z265,"1st Email Follow-up","2nd Email Follow-up","Escalate Local Office","Escalate to CBE","Escalate to Roxanne"))</f>
        <v/>
      </c>
    </row>
    <row r="266" spans="13:29">
      <c r="M266" s="14"/>
      <c r="T266" s="16"/>
      <c r="U266" s="17">
        <f>IF(AND(COUNTA($A266:$L266)=0,$N266=""),"",IF($T266="Paid","PAID",IF($T266="Closed","CLOSED",IF($Z266="","",IF($Z266=6,"ESCALATED TO ROXANNE",IF(TODAY()&gt;$AB266,"OVERDUE",IF($AB266&lt;=WORKDAY(TODAY(),1,Holidays),"DUE TOMORROW",IF($Z266=4,"ESCALATED TO LOCAL OFFICE",IF($Z266=5,"ESCALATED TO CBE",IF($AA266=TODAY(),"EMAIL SENT","MONITORING"))))))))))</f>
        <v/>
      </c>
      <c r="V266" s="17">
        <f>IF($U266="",IF(AND(COUNTA($A266:$L266)&gt;0,$N266=""),"Awaiting Collection Email time stamp.",""),IF(OR($U266="PAID",$U266="CLOSED"),IF($U266="PAID","Account paid. Action completed.","Account closed. No further action required."),CHOOSE($Z266,"Collection Email","1st Email Follow-up","2nd Email Follow-up","Escalation to Local Office","Escalation to CBE","Escalation to Roxanne")&amp;" sent "&amp;TEXT($AA266,"dd-mmm")&amp;". "&amp;IF($Z266=6,"Final escalation completed.",IF($U266="OVERDUE","Next: "&amp;$AC266&amp;" was due "&amp;TEXT($AB266,"dd-mmm")&amp;" - "&amp;(NETWORKDAYS($AB266,TODAY(),Holidays)-1)&amp;" business day(s) late. Send now.",IF($U266="DUE TOMORROW","Next: "&amp;$AC266&amp;IF($AB266&lt;=TODAY()," is due TODAY ("," is due next business day (")&amp;TEXT($AB266,"dd-mmm")&amp;").","Next: "&amp;$AC266&amp;" due "&amp;TEXT($AB266,"dd-mmm")&amp;" ("&amp;(NETWORKDAYS(TODAY(),$AB266,Holidays)-1)&amp;" business day(s) left).")))))</f>
        <v/>
      </c>
      <c r="W266" s="17">
        <f>IF($Z266="","",CHOOSE($Z266,"Collection Email","1st Follow-up","2nd Follow-up","Local Office","CBE","Roxanne")&amp;IF($Z266=6," - Final"," - Day "&amp;MAX(0,NETWORKDAYS($AA266,TODAY(),Holidays)-1)&amp;" of "&amp;CHOOSE($Z266,3,3,2,2,3))&amp;" | Total Day "&amp;MAX(0,NETWORKDAYS($N266,TODAY(),Holidays)-1))</f>
        <v/>
      </c>
      <c r="X266" s="18"/>
      <c r="Y266" s="18"/>
      <c r="Z266" s="17">
        <f>IF($N266="","",COUNT($N266:$S266))</f>
        <v/>
      </c>
      <c r="AA266" s="19">
        <f>IF($Z266="","",INT(INDEX($N266:$S266,$Z266)))</f>
        <v/>
      </c>
      <c r="AB266" s="19">
        <f>IF(OR($Z266="",$Z266=6),"",WORKDAY($AA266,CHOOSE($Z266,3,3,2,2,3),Holidays))</f>
        <v/>
      </c>
      <c r="AC266" s="17">
        <f>IF(OR($Z266="",$Z266=6),"",CHOOSE($Z266,"1st Email Follow-up","2nd Email Follow-up","Escalate Local Office","Escalate to CBE","Escalate to Roxanne"))</f>
        <v/>
      </c>
    </row>
    <row r="267" spans="13:29">
      <c r="M267" s="14"/>
      <c r="T267" s="16"/>
      <c r="U267" s="17">
        <f>IF(AND(COUNTA($A267:$L267)=0,$N267=""),"",IF($T267="Paid","PAID",IF($T267="Closed","CLOSED",IF($Z267="","",IF($Z267=6,"ESCALATED TO ROXANNE",IF(TODAY()&gt;$AB267,"OVERDUE",IF($AB267&lt;=WORKDAY(TODAY(),1,Holidays),"DUE TOMORROW",IF($Z267=4,"ESCALATED TO LOCAL OFFICE",IF($Z267=5,"ESCALATED TO CBE",IF($AA267=TODAY(),"EMAIL SENT","MONITORING"))))))))))</f>
        <v/>
      </c>
      <c r="V267" s="17">
        <f>IF($U267="",IF(AND(COUNTA($A267:$L267)&gt;0,$N267=""),"Awaiting Collection Email time stamp.",""),IF(OR($U267="PAID",$U267="CLOSED"),IF($U267="PAID","Account paid. Action completed.","Account closed. No further action required."),CHOOSE($Z267,"Collection Email","1st Email Follow-up","2nd Email Follow-up","Escalation to Local Office","Escalation to CBE","Escalation to Roxanne")&amp;" sent "&amp;TEXT($AA267,"dd-mmm")&amp;". "&amp;IF($Z267=6,"Final escalation completed.",IF($U267="OVERDUE","Next: "&amp;$AC267&amp;" was due "&amp;TEXT($AB267,"dd-mmm")&amp;" - "&amp;(NETWORKDAYS($AB267,TODAY(),Holidays)-1)&amp;" business day(s) late. Send now.",IF($U267="DUE TOMORROW","Next: "&amp;$AC267&amp;IF($AB267&lt;=TODAY()," is due TODAY ("," is due next business day (")&amp;TEXT($AB267,"dd-mmm")&amp;").","Next: "&amp;$AC267&amp;" due "&amp;TEXT($AB267,"dd-mmm")&amp;" ("&amp;(NETWORKDAYS(TODAY(),$AB267,Holidays)-1)&amp;" business day(s) left).")))))</f>
        <v/>
      </c>
      <c r="W267" s="17">
        <f>IF($Z267="","",CHOOSE($Z267,"Collection Email","1st Follow-up","2nd Follow-up","Local Office","CBE","Roxanne")&amp;IF($Z267=6," - Final"," - Day "&amp;MAX(0,NETWORKDAYS($AA267,TODAY(),Holidays)-1)&amp;" of "&amp;CHOOSE($Z267,3,3,2,2,3))&amp;" | Total Day "&amp;MAX(0,NETWORKDAYS($N267,TODAY(),Holidays)-1))</f>
        <v/>
      </c>
      <c r="X267" s="18"/>
      <c r="Y267" s="18"/>
      <c r="Z267" s="17">
        <f>IF($N267="","",COUNT($N267:$S267))</f>
        <v/>
      </c>
      <c r="AA267" s="19">
        <f>IF($Z267="","",INT(INDEX($N267:$S267,$Z267)))</f>
        <v/>
      </c>
      <c r="AB267" s="19">
        <f>IF(OR($Z267="",$Z267=6),"",WORKDAY($AA267,CHOOSE($Z267,3,3,2,2,3),Holidays))</f>
        <v/>
      </c>
      <c r="AC267" s="17">
        <f>IF(OR($Z267="",$Z267=6),"",CHOOSE($Z267,"1st Email Follow-up","2nd Email Follow-up","Escalate Local Office","Escalate to CBE","Escalate to Roxanne"))</f>
        <v/>
      </c>
    </row>
    <row r="268" spans="13:29">
      <c r="M268" s="14"/>
      <c r="T268" s="16"/>
      <c r="U268" s="17">
        <f>IF(AND(COUNTA($A268:$L268)=0,$N268=""),"",IF($T268="Paid","PAID",IF($T268="Closed","CLOSED",IF($Z268="","",IF($Z268=6,"ESCALATED TO ROXANNE",IF(TODAY()&gt;$AB268,"OVERDUE",IF($AB268&lt;=WORKDAY(TODAY(),1,Holidays),"DUE TOMORROW",IF($Z268=4,"ESCALATED TO LOCAL OFFICE",IF($Z268=5,"ESCALATED TO CBE",IF($AA268=TODAY(),"EMAIL SENT","MONITORING"))))))))))</f>
        <v/>
      </c>
      <c r="V268" s="17">
        <f>IF($U268="",IF(AND(COUNTA($A268:$L268)&gt;0,$N268=""),"Awaiting Collection Email time stamp.",""),IF(OR($U268="PAID",$U268="CLOSED"),IF($U268="PAID","Account paid. Action completed.","Account closed. No further action required."),CHOOSE($Z268,"Collection Email","1st Email Follow-up","2nd Email Follow-up","Escalation to Local Office","Escalation to CBE","Escalation to Roxanne")&amp;" sent "&amp;TEXT($AA268,"dd-mmm")&amp;". "&amp;IF($Z268=6,"Final escalation completed.",IF($U268="OVERDUE","Next: "&amp;$AC268&amp;" was due "&amp;TEXT($AB268,"dd-mmm")&amp;" - "&amp;(NETWORKDAYS($AB268,TODAY(),Holidays)-1)&amp;" business day(s) late. Send now.",IF($U268="DUE TOMORROW","Next: "&amp;$AC268&amp;IF($AB268&lt;=TODAY()," is due TODAY ("," is due next business day (")&amp;TEXT($AB268,"dd-mmm")&amp;").","Next: "&amp;$AC268&amp;" due "&amp;TEXT($AB268,"dd-mmm")&amp;" ("&amp;(NETWORKDAYS(TODAY(),$AB268,Holidays)-1)&amp;" business day(s) left).")))))</f>
        <v/>
      </c>
      <c r="W268" s="17">
        <f>IF($Z268="","",CHOOSE($Z268,"Collection Email","1st Follow-up","2nd Follow-up","Local Office","CBE","Roxanne")&amp;IF($Z268=6," - Final"," - Day "&amp;MAX(0,NETWORKDAYS($AA268,TODAY(),Holidays)-1)&amp;" of "&amp;CHOOSE($Z268,3,3,2,2,3))&amp;" | Total Day "&amp;MAX(0,NETWORKDAYS($N268,TODAY(),Holidays)-1))</f>
        <v/>
      </c>
      <c r="X268" s="18"/>
      <c r="Y268" s="18"/>
      <c r="Z268" s="17">
        <f>IF($N268="","",COUNT($N268:$S268))</f>
        <v/>
      </c>
      <c r="AA268" s="19">
        <f>IF($Z268="","",INT(INDEX($N268:$S268,$Z268)))</f>
        <v/>
      </c>
      <c r="AB268" s="19">
        <f>IF(OR($Z268="",$Z268=6),"",WORKDAY($AA268,CHOOSE($Z268,3,3,2,2,3),Holidays))</f>
        <v/>
      </c>
      <c r="AC268" s="17">
        <f>IF(OR($Z268="",$Z268=6),"",CHOOSE($Z268,"1st Email Follow-up","2nd Email Follow-up","Escalate Local Office","Escalate to CBE","Escalate to Roxanne"))</f>
        <v/>
      </c>
    </row>
    <row r="269" spans="13:29">
      <c r="M269" s="14"/>
      <c r="T269" s="16"/>
      <c r="U269" s="17">
        <f>IF(AND(COUNTA($A269:$L269)=0,$N269=""),"",IF($T269="Paid","PAID",IF($T269="Closed","CLOSED",IF($Z269="","",IF($Z269=6,"ESCALATED TO ROXANNE",IF(TODAY()&gt;$AB269,"OVERDUE",IF($AB269&lt;=WORKDAY(TODAY(),1,Holidays),"DUE TOMORROW",IF($Z269=4,"ESCALATED TO LOCAL OFFICE",IF($Z269=5,"ESCALATED TO CBE",IF($AA269=TODAY(),"EMAIL SENT","MONITORING"))))))))))</f>
        <v/>
      </c>
      <c r="V269" s="17">
        <f>IF($U269="",IF(AND(COUNTA($A269:$L269)&gt;0,$N269=""),"Awaiting Collection Email time stamp.",""),IF(OR($U269="PAID",$U269="CLOSED"),IF($U269="PAID","Account paid. Action completed.","Account closed. No further action required."),CHOOSE($Z269,"Collection Email","1st Email Follow-up","2nd Email Follow-up","Escalation to Local Office","Escalation to CBE","Escalation to Roxanne")&amp;" sent "&amp;TEXT($AA269,"dd-mmm")&amp;". "&amp;IF($Z269=6,"Final escalation completed.",IF($U269="OVERDUE","Next: "&amp;$AC269&amp;" was due "&amp;TEXT($AB269,"dd-mmm")&amp;" - "&amp;(NETWORKDAYS($AB269,TODAY(),Holidays)-1)&amp;" business day(s) late. Send now.",IF($U269="DUE TOMORROW","Next: "&amp;$AC269&amp;IF($AB269&lt;=TODAY()," is due TODAY ("," is due next business day (")&amp;TEXT($AB269,"dd-mmm")&amp;").","Next: "&amp;$AC269&amp;" due "&amp;TEXT($AB269,"dd-mmm")&amp;" ("&amp;(NETWORKDAYS(TODAY(),$AB269,Holidays)-1)&amp;" business day(s) left).")))))</f>
        <v/>
      </c>
      <c r="W269" s="17">
        <f>IF($Z269="","",CHOOSE($Z269,"Collection Email","1st Follow-up","2nd Follow-up","Local Office","CBE","Roxanne")&amp;IF($Z269=6," - Final"," - Day "&amp;MAX(0,NETWORKDAYS($AA269,TODAY(),Holidays)-1)&amp;" of "&amp;CHOOSE($Z269,3,3,2,2,3))&amp;" | Total Day "&amp;MAX(0,NETWORKDAYS($N269,TODAY(),Holidays)-1))</f>
        <v/>
      </c>
      <c r="X269" s="18"/>
      <c r="Y269" s="18"/>
      <c r="Z269" s="17">
        <f>IF($N269="","",COUNT($N269:$S269))</f>
        <v/>
      </c>
      <c r="AA269" s="19">
        <f>IF($Z269="","",INT(INDEX($N269:$S269,$Z269)))</f>
        <v/>
      </c>
      <c r="AB269" s="19">
        <f>IF(OR($Z269="",$Z269=6),"",WORKDAY($AA269,CHOOSE($Z269,3,3,2,2,3),Holidays))</f>
        <v/>
      </c>
      <c r="AC269" s="17">
        <f>IF(OR($Z269="",$Z269=6),"",CHOOSE($Z269,"1st Email Follow-up","2nd Email Follow-up","Escalate Local Office","Escalate to CBE","Escalate to Roxanne"))</f>
        <v/>
      </c>
    </row>
    <row r="270" spans="13:29">
      <c r="M270" s="14"/>
      <c r="T270" s="16"/>
      <c r="U270" s="17">
        <f>IF(AND(COUNTA($A270:$L270)=0,$N270=""),"",IF($T270="Paid","PAID",IF($T270="Closed","CLOSED",IF($Z270="","",IF($Z270=6,"ESCALATED TO ROXANNE",IF(TODAY()&gt;$AB270,"OVERDUE",IF($AB270&lt;=WORKDAY(TODAY(),1,Holidays),"DUE TOMORROW",IF($Z270=4,"ESCALATED TO LOCAL OFFICE",IF($Z270=5,"ESCALATED TO CBE",IF($AA270=TODAY(),"EMAIL SENT","MONITORING"))))))))))</f>
        <v/>
      </c>
      <c r="V270" s="17">
        <f>IF($U270="",IF(AND(COUNTA($A270:$L270)&gt;0,$N270=""),"Awaiting Collection Email time stamp.",""),IF(OR($U270="PAID",$U270="CLOSED"),IF($U270="PAID","Account paid. Action completed.","Account closed. No further action required."),CHOOSE($Z270,"Collection Email","1st Email Follow-up","2nd Email Follow-up","Escalation to Local Office","Escalation to CBE","Escalation to Roxanne")&amp;" sent "&amp;TEXT($AA270,"dd-mmm")&amp;". "&amp;IF($Z270=6,"Final escalation completed.",IF($U270="OVERDUE","Next: "&amp;$AC270&amp;" was due "&amp;TEXT($AB270,"dd-mmm")&amp;" - "&amp;(NETWORKDAYS($AB270,TODAY(),Holidays)-1)&amp;" business day(s) late. Send now.",IF($U270="DUE TOMORROW","Next: "&amp;$AC270&amp;IF($AB270&lt;=TODAY()," is due TODAY ("," is due next business day (")&amp;TEXT($AB270,"dd-mmm")&amp;").","Next: "&amp;$AC270&amp;" due "&amp;TEXT($AB270,"dd-mmm")&amp;" ("&amp;(NETWORKDAYS(TODAY(),$AB270,Holidays)-1)&amp;" business day(s) left).")))))</f>
        <v/>
      </c>
      <c r="W270" s="17">
        <f>IF($Z270="","",CHOOSE($Z270,"Collection Email","1st Follow-up","2nd Follow-up","Local Office","CBE","Roxanne")&amp;IF($Z270=6," - Final"," - Day "&amp;MAX(0,NETWORKDAYS($AA270,TODAY(),Holidays)-1)&amp;" of "&amp;CHOOSE($Z270,3,3,2,2,3))&amp;" | Total Day "&amp;MAX(0,NETWORKDAYS($N270,TODAY(),Holidays)-1))</f>
        <v/>
      </c>
      <c r="X270" s="18"/>
      <c r="Y270" s="18"/>
      <c r="Z270" s="17">
        <f>IF($N270="","",COUNT($N270:$S270))</f>
        <v/>
      </c>
      <c r="AA270" s="19">
        <f>IF($Z270="","",INT(INDEX($N270:$S270,$Z270)))</f>
        <v/>
      </c>
      <c r="AB270" s="19">
        <f>IF(OR($Z270="",$Z270=6),"",WORKDAY($AA270,CHOOSE($Z270,3,3,2,2,3),Holidays))</f>
        <v/>
      </c>
      <c r="AC270" s="17">
        <f>IF(OR($Z270="",$Z270=6),"",CHOOSE($Z270,"1st Email Follow-up","2nd Email Follow-up","Escalate Local Office","Escalate to CBE","Escalate to Roxanne"))</f>
        <v/>
      </c>
    </row>
    <row r="271" spans="13:29">
      <c r="M271" s="14"/>
      <c r="T271" s="16"/>
      <c r="U271" s="17">
        <f>IF(AND(COUNTA($A271:$L271)=0,$N271=""),"",IF($T271="Paid","PAID",IF($T271="Closed","CLOSED",IF($Z271="","",IF($Z271=6,"ESCALATED TO ROXANNE",IF(TODAY()&gt;$AB271,"OVERDUE",IF($AB271&lt;=WORKDAY(TODAY(),1,Holidays),"DUE TOMORROW",IF($Z271=4,"ESCALATED TO LOCAL OFFICE",IF($Z271=5,"ESCALATED TO CBE",IF($AA271=TODAY(),"EMAIL SENT","MONITORING"))))))))))</f>
        <v/>
      </c>
      <c r="V271" s="17">
        <f>IF($U271="",IF(AND(COUNTA($A271:$L271)&gt;0,$N271=""),"Awaiting Collection Email time stamp.",""),IF(OR($U271="PAID",$U271="CLOSED"),IF($U271="PAID","Account paid. Action completed.","Account closed. No further action required."),CHOOSE($Z271,"Collection Email","1st Email Follow-up","2nd Email Follow-up","Escalation to Local Office","Escalation to CBE","Escalation to Roxanne")&amp;" sent "&amp;TEXT($AA271,"dd-mmm")&amp;". "&amp;IF($Z271=6,"Final escalation completed.",IF($U271="OVERDUE","Next: "&amp;$AC271&amp;" was due "&amp;TEXT($AB271,"dd-mmm")&amp;" - "&amp;(NETWORKDAYS($AB271,TODAY(),Holidays)-1)&amp;" business day(s) late. Send now.",IF($U271="DUE TOMORROW","Next: "&amp;$AC271&amp;IF($AB271&lt;=TODAY()," is due TODAY ("," is due next business day (")&amp;TEXT($AB271,"dd-mmm")&amp;").","Next: "&amp;$AC271&amp;" due "&amp;TEXT($AB271,"dd-mmm")&amp;" ("&amp;(NETWORKDAYS(TODAY(),$AB271,Holidays)-1)&amp;" business day(s) left).")))))</f>
        <v/>
      </c>
      <c r="W271" s="17">
        <f>IF($Z271="","",CHOOSE($Z271,"Collection Email","1st Follow-up","2nd Follow-up","Local Office","CBE","Roxanne")&amp;IF($Z271=6," - Final"," - Day "&amp;MAX(0,NETWORKDAYS($AA271,TODAY(),Holidays)-1)&amp;" of "&amp;CHOOSE($Z271,3,3,2,2,3))&amp;" | Total Day "&amp;MAX(0,NETWORKDAYS($N271,TODAY(),Holidays)-1))</f>
        <v/>
      </c>
      <c r="X271" s="18"/>
      <c r="Y271" s="18"/>
      <c r="Z271" s="17">
        <f>IF($N271="","",COUNT($N271:$S271))</f>
        <v/>
      </c>
      <c r="AA271" s="19">
        <f>IF($Z271="","",INT(INDEX($N271:$S271,$Z271)))</f>
        <v/>
      </c>
      <c r="AB271" s="19">
        <f>IF(OR($Z271="",$Z271=6),"",WORKDAY($AA271,CHOOSE($Z271,3,3,2,2,3),Holidays))</f>
        <v/>
      </c>
      <c r="AC271" s="17">
        <f>IF(OR($Z271="",$Z271=6),"",CHOOSE($Z271,"1st Email Follow-up","2nd Email Follow-up","Escalate Local Office","Escalate to CBE","Escalate to Roxanne"))</f>
        <v/>
      </c>
    </row>
    <row r="272" spans="13:29">
      <c r="M272" s="14"/>
      <c r="T272" s="16"/>
      <c r="U272" s="17">
        <f>IF(AND(COUNTA($A272:$L272)=0,$N272=""),"",IF($T272="Paid","PAID",IF($T272="Closed","CLOSED",IF($Z272="","",IF($Z272=6,"ESCALATED TO ROXANNE",IF(TODAY()&gt;$AB272,"OVERDUE",IF($AB272&lt;=WORKDAY(TODAY(),1,Holidays),"DUE TOMORROW",IF($Z272=4,"ESCALATED TO LOCAL OFFICE",IF($Z272=5,"ESCALATED TO CBE",IF($AA272=TODAY(),"EMAIL SENT","MONITORING"))))))))))</f>
        <v/>
      </c>
      <c r="V272" s="17">
        <f>IF($U272="",IF(AND(COUNTA($A272:$L272)&gt;0,$N272=""),"Awaiting Collection Email time stamp.",""),IF(OR($U272="PAID",$U272="CLOSED"),IF($U272="PAID","Account paid. Action completed.","Account closed. No further action required."),CHOOSE($Z272,"Collection Email","1st Email Follow-up","2nd Email Follow-up","Escalation to Local Office","Escalation to CBE","Escalation to Roxanne")&amp;" sent "&amp;TEXT($AA272,"dd-mmm")&amp;". "&amp;IF($Z272=6,"Final escalation completed.",IF($U272="OVERDUE","Next: "&amp;$AC272&amp;" was due "&amp;TEXT($AB272,"dd-mmm")&amp;" - "&amp;(NETWORKDAYS($AB272,TODAY(),Holidays)-1)&amp;" business day(s) late. Send now.",IF($U272="DUE TOMORROW","Next: "&amp;$AC272&amp;IF($AB272&lt;=TODAY()," is due TODAY ("," is due next business day (")&amp;TEXT($AB272,"dd-mmm")&amp;").","Next: "&amp;$AC272&amp;" due "&amp;TEXT($AB272,"dd-mmm")&amp;" ("&amp;(NETWORKDAYS(TODAY(),$AB272,Holidays)-1)&amp;" business day(s) left).")))))</f>
        <v/>
      </c>
      <c r="W272" s="17">
        <f>IF($Z272="","",CHOOSE($Z272,"Collection Email","1st Follow-up","2nd Follow-up","Local Office","CBE","Roxanne")&amp;IF($Z272=6," - Final"," - Day "&amp;MAX(0,NETWORKDAYS($AA272,TODAY(),Holidays)-1)&amp;" of "&amp;CHOOSE($Z272,3,3,2,2,3))&amp;" | Total Day "&amp;MAX(0,NETWORKDAYS($N272,TODAY(),Holidays)-1))</f>
        <v/>
      </c>
      <c r="X272" s="18"/>
      <c r="Y272" s="18"/>
      <c r="Z272" s="17">
        <f>IF($N272="","",COUNT($N272:$S272))</f>
        <v/>
      </c>
      <c r="AA272" s="19">
        <f>IF($Z272="","",INT(INDEX($N272:$S272,$Z272)))</f>
        <v/>
      </c>
      <c r="AB272" s="19">
        <f>IF(OR($Z272="",$Z272=6),"",WORKDAY($AA272,CHOOSE($Z272,3,3,2,2,3),Holidays))</f>
        <v/>
      </c>
      <c r="AC272" s="17">
        <f>IF(OR($Z272="",$Z272=6),"",CHOOSE($Z272,"1st Email Follow-up","2nd Email Follow-up","Escalate Local Office","Escalate to CBE","Escalate to Roxanne"))</f>
        <v/>
      </c>
    </row>
    <row r="273" spans="13:29">
      <c r="M273" s="14"/>
      <c r="T273" s="16"/>
      <c r="U273" s="17">
        <f>IF(AND(COUNTA($A273:$L273)=0,$N273=""),"",IF($T273="Paid","PAID",IF($T273="Closed","CLOSED",IF($Z273="","",IF($Z273=6,"ESCALATED TO ROXANNE",IF(TODAY()&gt;$AB273,"OVERDUE",IF($AB273&lt;=WORKDAY(TODAY(),1,Holidays),"DUE TOMORROW",IF($Z273=4,"ESCALATED TO LOCAL OFFICE",IF($Z273=5,"ESCALATED TO CBE",IF($AA273=TODAY(),"EMAIL SENT","MONITORING"))))))))))</f>
        <v/>
      </c>
      <c r="V273" s="17">
        <f>IF($U273="",IF(AND(COUNTA($A273:$L273)&gt;0,$N273=""),"Awaiting Collection Email time stamp.",""),IF(OR($U273="PAID",$U273="CLOSED"),IF($U273="PAID","Account paid. Action completed.","Account closed. No further action required."),CHOOSE($Z273,"Collection Email","1st Email Follow-up","2nd Email Follow-up","Escalation to Local Office","Escalation to CBE","Escalation to Roxanne")&amp;" sent "&amp;TEXT($AA273,"dd-mmm")&amp;". "&amp;IF($Z273=6,"Final escalation completed.",IF($U273="OVERDUE","Next: "&amp;$AC273&amp;" was due "&amp;TEXT($AB273,"dd-mmm")&amp;" - "&amp;(NETWORKDAYS($AB273,TODAY(),Holidays)-1)&amp;" business day(s) late. Send now.",IF($U273="DUE TOMORROW","Next: "&amp;$AC273&amp;IF($AB273&lt;=TODAY()," is due TODAY ("," is due next business day (")&amp;TEXT($AB273,"dd-mmm")&amp;").","Next: "&amp;$AC273&amp;" due "&amp;TEXT($AB273,"dd-mmm")&amp;" ("&amp;(NETWORKDAYS(TODAY(),$AB273,Holidays)-1)&amp;" business day(s) left).")))))</f>
        <v/>
      </c>
      <c r="W273" s="17">
        <f>IF($Z273="","",CHOOSE($Z273,"Collection Email","1st Follow-up","2nd Follow-up","Local Office","CBE","Roxanne")&amp;IF($Z273=6," - Final"," - Day "&amp;MAX(0,NETWORKDAYS($AA273,TODAY(),Holidays)-1)&amp;" of "&amp;CHOOSE($Z273,3,3,2,2,3))&amp;" | Total Day "&amp;MAX(0,NETWORKDAYS($N273,TODAY(),Holidays)-1))</f>
        <v/>
      </c>
      <c r="X273" s="18"/>
      <c r="Y273" s="18"/>
      <c r="Z273" s="17">
        <f>IF($N273="","",COUNT($N273:$S273))</f>
        <v/>
      </c>
      <c r="AA273" s="19">
        <f>IF($Z273="","",INT(INDEX($N273:$S273,$Z273)))</f>
        <v/>
      </c>
      <c r="AB273" s="19">
        <f>IF(OR($Z273="",$Z273=6),"",WORKDAY($AA273,CHOOSE($Z273,3,3,2,2,3),Holidays))</f>
        <v/>
      </c>
      <c r="AC273" s="17">
        <f>IF(OR($Z273="",$Z273=6),"",CHOOSE($Z273,"1st Email Follow-up","2nd Email Follow-up","Escalate Local Office","Escalate to CBE","Escalate to Roxanne"))</f>
        <v/>
      </c>
    </row>
    <row r="274" spans="13:29">
      <c r="M274" s="14"/>
      <c r="T274" s="16"/>
      <c r="U274" s="17">
        <f>IF(AND(COUNTA($A274:$L274)=0,$N274=""),"",IF($T274="Paid","PAID",IF($T274="Closed","CLOSED",IF($Z274="","",IF($Z274=6,"ESCALATED TO ROXANNE",IF(TODAY()&gt;$AB274,"OVERDUE",IF($AB274&lt;=WORKDAY(TODAY(),1,Holidays),"DUE TOMORROW",IF($Z274=4,"ESCALATED TO LOCAL OFFICE",IF($Z274=5,"ESCALATED TO CBE",IF($AA274=TODAY(),"EMAIL SENT","MONITORING"))))))))))</f>
        <v/>
      </c>
      <c r="V274" s="17">
        <f>IF($U274="",IF(AND(COUNTA($A274:$L274)&gt;0,$N274=""),"Awaiting Collection Email time stamp.",""),IF(OR($U274="PAID",$U274="CLOSED"),IF($U274="PAID","Account paid. Action completed.","Account closed. No further action required."),CHOOSE($Z274,"Collection Email","1st Email Follow-up","2nd Email Follow-up","Escalation to Local Office","Escalation to CBE","Escalation to Roxanne")&amp;" sent "&amp;TEXT($AA274,"dd-mmm")&amp;". "&amp;IF($Z274=6,"Final escalation completed.",IF($U274="OVERDUE","Next: "&amp;$AC274&amp;" was due "&amp;TEXT($AB274,"dd-mmm")&amp;" - "&amp;(NETWORKDAYS($AB274,TODAY(),Holidays)-1)&amp;" business day(s) late. Send now.",IF($U274="DUE TOMORROW","Next: "&amp;$AC274&amp;IF($AB274&lt;=TODAY()," is due TODAY ("," is due next business day (")&amp;TEXT($AB274,"dd-mmm")&amp;").","Next: "&amp;$AC274&amp;" due "&amp;TEXT($AB274,"dd-mmm")&amp;" ("&amp;(NETWORKDAYS(TODAY(),$AB274,Holidays)-1)&amp;" business day(s) left).")))))</f>
        <v/>
      </c>
      <c r="W274" s="17">
        <f>IF($Z274="","",CHOOSE($Z274,"Collection Email","1st Follow-up","2nd Follow-up","Local Office","CBE","Roxanne")&amp;IF($Z274=6," - Final"," - Day "&amp;MAX(0,NETWORKDAYS($AA274,TODAY(),Holidays)-1)&amp;" of "&amp;CHOOSE($Z274,3,3,2,2,3))&amp;" | Total Day "&amp;MAX(0,NETWORKDAYS($N274,TODAY(),Holidays)-1))</f>
        <v/>
      </c>
      <c r="X274" s="18"/>
      <c r="Y274" s="18"/>
      <c r="Z274" s="17">
        <f>IF($N274="","",COUNT($N274:$S274))</f>
        <v/>
      </c>
      <c r="AA274" s="19">
        <f>IF($Z274="","",INT(INDEX($N274:$S274,$Z274)))</f>
        <v/>
      </c>
      <c r="AB274" s="19">
        <f>IF(OR($Z274="",$Z274=6),"",WORKDAY($AA274,CHOOSE($Z274,3,3,2,2,3),Holidays))</f>
        <v/>
      </c>
      <c r="AC274" s="17">
        <f>IF(OR($Z274="",$Z274=6),"",CHOOSE($Z274,"1st Email Follow-up","2nd Email Follow-up","Escalate Local Office","Escalate to CBE","Escalate to Roxanne"))</f>
        <v/>
      </c>
    </row>
    <row r="275" spans="13:29">
      <c r="M275" s="14"/>
      <c r="T275" s="16"/>
      <c r="U275" s="17">
        <f>IF(AND(COUNTA($A275:$L275)=0,$N275=""),"",IF($T275="Paid","PAID",IF($T275="Closed","CLOSED",IF($Z275="","",IF($Z275=6,"ESCALATED TO ROXANNE",IF(TODAY()&gt;$AB275,"OVERDUE",IF($AB275&lt;=WORKDAY(TODAY(),1,Holidays),"DUE TOMORROW",IF($Z275=4,"ESCALATED TO LOCAL OFFICE",IF($Z275=5,"ESCALATED TO CBE",IF($AA275=TODAY(),"EMAIL SENT","MONITORING"))))))))))</f>
        <v/>
      </c>
      <c r="V275" s="17">
        <f>IF($U275="",IF(AND(COUNTA($A275:$L275)&gt;0,$N275=""),"Awaiting Collection Email time stamp.",""),IF(OR($U275="PAID",$U275="CLOSED"),IF($U275="PAID","Account paid. Action completed.","Account closed. No further action required."),CHOOSE($Z275,"Collection Email","1st Email Follow-up","2nd Email Follow-up","Escalation to Local Office","Escalation to CBE","Escalation to Roxanne")&amp;" sent "&amp;TEXT($AA275,"dd-mmm")&amp;". "&amp;IF($Z275=6,"Final escalation completed.",IF($U275="OVERDUE","Next: "&amp;$AC275&amp;" was due "&amp;TEXT($AB275,"dd-mmm")&amp;" - "&amp;(NETWORKDAYS($AB275,TODAY(),Holidays)-1)&amp;" business day(s) late. Send now.",IF($U275="DUE TOMORROW","Next: "&amp;$AC275&amp;IF($AB275&lt;=TODAY()," is due TODAY ("," is due next business day (")&amp;TEXT($AB275,"dd-mmm")&amp;").","Next: "&amp;$AC275&amp;" due "&amp;TEXT($AB275,"dd-mmm")&amp;" ("&amp;(NETWORKDAYS(TODAY(),$AB275,Holidays)-1)&amp;" business day(s) left).")))))</f>
        <v/>
      </c>
      <c r="W275" s="17">
        <f>IF($Z275="","",CHOOSE($Z275,"Collection Email","1st Follow-up","2nd Follow-up","Local Office","CBE","Roxanne")&amp;IF($Z275=6," - Final"," - Day "&amp;MAX(0,NETWORKDAYS($AA275,TODAY(),Holidays)-1)&amp;" of "&amp;CHOOSE($Z275,3,3,2,2,3))&amp;" | Total Day "&amp;MAX(0,NETWORKDAYS($N275,TODAY(),Holidays)-1))</f>
        <v/>
      </c>
      <c r="X275" s="18"/>
      <c r="Y275" s="18"/>
      <c r="Z275" s="17">
        <f>IF($N275="","",COUNT($N275:$S275))</f>
        <v/>
      </c>
      <c r="AA275" s="19">
        <f>IF($Z275="","",INT(INDEX($N275:$S275,$Z275)))</f>
        <v/>
      </c>
      <c r="AB275" s="19">
        <f>IF(OR($Z275="",$Z275=6),"",WORKDAY($AA275,CHOOSE($Z275,3,3,2,2,3),Holidays))</f>
        <v/>
      </c>
      <c r="AC275" s="17">
        <f>IF(OR($Z275="",$Z275=6),"",CHOOSE($Z275,"1st Email Follow-up","2nd Email Follow-up","Escalate Local Office","Escalate to CBE","Escalate to Roxanne"))</f>
        <v/>
      </c>
    </row>
    <row r="276" spans="13:29">
      <c r="M276" s="14"/>
      <c r="T276" s="16"/>
      <c r="U276" s="17">
        <f>IF(AND(COUNTA($A276:$L276)=0,$N276=""),"",IF($T276="Paid","PAID",IF($T276="Closed","CLOSED",IF($Z276="","",IF($Z276=6,"ESCALATED TO ROXANNE",IF(TODAY()&gt;$AB276,"OVERDUE",IF($AB276&lt;=WORKDAY(TODAY(),1,Holidays),"DUE TOMORROW",IF($Z276=4,"ESCALATED TO LOCAL OFFICE",IF($Z276=5,"ESCALATED TO CBE",IF($AA276=TODAY(),"EMAIL SENT","MONITORING"))))))))))</f>
        <v/>
      </c>
      <c r="V276" s="17">
        <f>IF($U276="",IF(AND(COUNTA($A276:$L276)&gt;0,$N276=""),"Awaiting Collection Email time stamp.",""),IF(OR($U276="PAID",$U276="CLOSED"),IF($U276="PAID","Account paid. Action completed.","Account closed. No further action required."),CHOOSE($Z276,"Collection Email","1st Email Follow-up","2nd Email Follow-up","Escalation to Local Office","Escalation to CBE","Escalation to Roxanne")&amp;" sent "&amp;TEXT($AA276,"dd-mmm")&amp;". "&amp;IF($Z276=6,"Final escalation completed.",IF($U276="OVERDUE","Next: "&amp;$AC276&amp;" was due "&amp;TEXT($AB276,"dd-mmm")&amp;" - "&amp;(NETWORKDAYS($AB276,TODAY(),Holidays)-1)&amp;" business day(s) late. Send now.",IF($U276="DUE TOMORROW","Next: "&amp;$AC276&amp;IF($AB276&lt;=TODAY()," is due TODAY ("," is due next business day (")&amp;TEXT($AB276,"dd-mmm")&amp;").","Next: "&amp;$AC276&amp;" due "&amp;TEXT($AB276,"dd-mmm")&amp;" ("&amp;(NETWORKDAYS(TODAY(),$AB276,Holidays)-1)&amp;" business day(s) left).")))))</f>
        <v/>
      </c>
      <c r="W276" s="17">
        <f>IF($Z276="","",CHOOSE($Z276,"Collection Email","1st Follow-up","2nd Follow-up","Local Office","CBE","Roxanne")&amp;IF($Z276=6," - Final"," - Day "&amp;MAX(0,NETWORKDAYS($AA276,TODAY(),Holidays)-1)&amp;" of "&amp;CHOOSE($Z276,3,3,2,2,3))&amp;" | Total Day "&amp;MAX(0,NETWORKDAYS($N276,TODAY(),Holidays)-1))</f>
        <v/>
      </c>
      <c r="X276" s="18"/>
      <c r="Y276" s="18"/>
      <c r="Z276" s="17">
        <f>IF($N276="","",COUNT($N276:$S276))</f>
        <v/>
      </c>
      <c r="AA276" s="19">
        <f>IF($Z276="","",INT(INDEX($N276:$S276,$Z276)))</f>
        <v/>
      </c>
      <c r="AB276" s="19">
        <f>IF(OR($Z276="",$Z276=6),"",WORKDAY($AA276,CHOOSE($Z276,3,3,2,2,3),Holidays))</f>
        <v/>
      </c>
      <c r="AC276" s="17">
        <f>IF(OR($Z276="",$Z276=6),"",CHOOSE($Z276,"1st Email Follow-up","2nd Email Follow-up","Escalate Local Office","Escalate to CBE","Escalate to Roxanne"))</f>
        <v/>
      </c>
    </row>
    <row r="277" spans="13:29">
      <c r="M277" s="14"/>
      <c r="T277" s="16"/>
      <c r="U277" s="17">
        <f>IF(AND(COUNTA($A277:$L277)=0,$N277=""),"",IF($T277="Paid","PAID",IF($T277="Closed","CLOSED",IF($Z277="","",IF($Z277=6,"ESCALATED TO ROXANNE",IF(TODAY()&gt;$AB277,"OVERDUE",IF($AB277&lt;=WORKDAY(TODAY(),1,Holidays),"DUE TOMORROW",IF($Z277=4,"ESCALATED TO LOCAL OFFICE",IF($Z277=5,"ESCALATED TO CBE",IF($AA277=TODAY(),"EMAIL SENT","MONITORING"))))))))))</f>
        <v/>
      </c>
      <c r="V277" s="17">
        <f>IF($U277="",IF(AND(COUNTA($A277:$L277)&gt;0,$N277=""),"Awaiting Collection Email time stamp.",""),IF(OR($U277="PAID",$U277="CLOSED"),IF($U277="PAID","Account paid. Action completed.","Account closed. No further action required."),CHOOSE($Z277,"Collection Email","1st Email Follow-up","2nd Email Follow-up","Escalation to Local Office","Escalation to CBE","Escalation to Roxanne")&amp;" sent "&amp;TEXT($AA277,"dd-mmm")&amp;". "&amp;IF($Z277=6,"Final escalation completed.",IF($U277="OVERDUE","Next: "&amp;$AC277&amp;" was due "&amp;TEXT($AB277,"dd-mmm")&amp;" - "&amp;(NETWORKDAYS($AB277,TODAY(),Holidays)-1)&amp;" business day(s) late. Send now.",IF($U277="DUE TOMORROW","Next: "&amp;$AC277&amp;IF($AB277&lt;=TODAY()," is due TODAY ("," is due next business day (")&amp;TEXT($AB277,"dd-mmm")&amp;").","Next: "&amp;$AC277&amp;" due "&amp;TEXT($AB277,"dd-mmm")&amp;" ("&amp;(NETWORKDAYS(TODAY(),$AB277,Holidays)-1)&amp;" business day(s) left).")))))</f>
        <v/>
      </c>
      <c r="W277" s="17">
        <f>IF($Z277="","",CHOOSE($Z277,"Collection Email","1st Follow-up","2nd Follow-up","Local Office","CBE","Roxanne")&amp;IF($Z277=6," - Final"," - Day "&amp;MAX(0,NETWORKDAYS($AA277,TODAY(),Holidays)-1)&amp;" of "&amp;CHOOSE($Z277,3,3,2,2,3))&amp;" | Total Day "&amp;MAX(0,NETWORKDAYS($N277,TODAY(),Holidays)-1))</f>
        <v/>
      </c>
      <c r="X277" s="18"/>
      <c r="Y277" s="18"/>
      <c r="Z277" s="17">
        <f>IF($N277="","",COUNT($N277:$S277))</f>
        <v/>
      </c>
      <c r="AA277" s="19">
        <f>IF($Z277="","",INT(INDEX($N277:$S277,$Z277)))</f>
        <v/>
      </c>
      <c r="AB277" s="19">
        <f>IF(OR($Z277="",$Z277=6),"",WORKDAY($AA277,CHOOSE($Z277,3,3,2,2,3),Holidays))</f>
        <v/>
      </c>
      <c r="AC277" s="17">
        <f>IF(OR($Z277="",$Z277=6),"",CHOOSE($Z277,"1st Email Follow-up","2nd Email Follow-up","Escalate Local Office","Escalate to CBE","Escalate to Roxanne"))</f>
        <v/>
      </c>
    </row>
    <row r="278" spans="13:29">
      <c r="M278" s="14"/>
      <c r="T278" s="16"/>
      <c r="U278" s="17">
        <f>IF(AND(COUNTA($A278:$L278)=0,$N278=""),"",IF($T278="Paid","PAID",IF($T278="Closed","CLOSED",IF($Z278="","",IF($Z278=6,"ESCALATED TO ROXANNE",IF(TODAY()&gt;$AB278,"OVERDUE",IF($AB278&lt;=WORKDAY(TODAY(),1,Holidays),"DUE TOMORROW",IF($Z278=4,"ESCALATED TO LOCAL OFFICE",IF($Z278=5,"ESCALATED TO CBE",IF($AA278=TODAY(),"EMAIL SENT","MONITORING"))))))))))</f>
        <v/>
      </c>
      <c r="V278" s="17">
        <f>IF($U278="",IF(AND(COUNTA($A278:$L278)&gt;0,$N278=""),"Awaiting Collection Email time stamp.",""),IF(OR($U278="PAID",$U278="CLOSED"),IF($U278="PAID","Account paid. Action completed.","Account closed. No further action required."),CHOOSE($Z278,"Collection Email","1st Email Follow-up","2nd Email Follow-up","Escalation to Local Office","Escalation to CBE","Escalation to Roxanne")&amp;" sent "&amp;TEXT($AA278,"dd-mmm")&amp;". "&amp;IF($Z278=6,"Final escalation completed.",IF($U278="OVERDUE","Next: "&amp;$AC278&amp;" was due "&amp;TEXT($AB278,"dd-mmm")&amp;" - "&amp;(NETWORKDAYS($AB278,TODAY(),Holidays)-1)&amp;" business day(s) late. Send now.",IF($U278="DUE TOMORROW","Next: "&amp;$AC278&amp;IF($AB278&lt;=TODAY()," is due TODAY ("," is due next business day (")&amp;TEXT($AB278,"dd-mmm")&amp;").","Next: "&amp;$AC278&amp;" due "&amp;TEXT($AB278,"dd-mmm")&amp;" ("&amp;(NETWORKDAYS(TODAY(),$AB278,Holidays)-1)&amp;" business day(s) left).")))))</f>
        <v/>
      </c>
      <c r="W278" s="17">
        <f>IF($Z278="","",CHOOSE($Z278,"Collection Email","1st Follow-up","2nd Follow-up","Local Office","CBE","Roxanne")&amp;IF($Z278=6," - Final"," - Day "&amp;MAX(0,NETWORKDAYS($AA278,TODAY(),Holidays)-1)&amp;" of "&amp;CHOOSE($Z278,3,3,2,2,3))&amp;" | Total Day "&amp;MAX(0,NETWORKDAYS($N278,TODAY(),Holidays)-1))</f>
        <v/>
      </c>
      <c r="X278" s="18"/>
      <c r="Y278" s="18"/>
      <c r="Z278" s="17">
        <f>IF($N278="","",COUNT($N278:$S278))</f>
        <v/>
      </c>
      <c r="AA278" s="19">
        <f>IF($Z278="","",INT(INDEX($N278:$S278,$Z278)))</f>
        <v/>
      </c>
      <c r="AB278" s="19">
        <f>IF(OR($Z278="",$Z278=6),"",WORKDAY($AA278,CHOOSE($Z278,3,3,2,2,3),Holidays))</f>
        <v/>
      </c>
      <c r="AC278" s="17">
        <f>IF(OR($Z278="",$Z278=6),"",CHOOSE($Z278,"1st Email Follow-up","2nd Email Follow-up","Escalate Local Office","Escalate to CBE","Escalate to Roxanne"))</f>
        <v/>
      </c>
    </row>
    <row r="279" spans="13:29">
      <c r="M279" s="14"/>
      <c r="T279" s="16"/>
      <c r="U279" s="17">
        <f>IF(AND(COUNTA($A279:$L279)=0,$N279=""),"",IF($T279="Paid","PAID",IF($T279="Closed","CLOSED",IF($Z279="","",IF($Z279=6,"ESCALATED TO ROXANNE",IF(TODAY()&gt;$AB279,"OVERDUE",IF($AB279&lt;=WORKDAY(TODAY(),1,Holidays),"DUE TOMORROW",IF($Z279=4,"ESCALATED TO LOCAL OFFICE",IF($Z279=5,"ESCALATED TO CBE",IF($AA279=TODAY(),"EMAIL SENT","MONITORING"))))))))))</f>
        <v/>
      </c>
      <c r="V279" s="17">
        <f>IF($U279="",IF(AND(COUNTA($A279:$L279)&gt;0,$N279=""),"Awaiting Collection Email time stamp.",""),IF(OR($U279="PAID",$U279="CLOSED"),IF($U279="PAID","Account paid. Action completed.","Account closed. No further action required."),CHOOSE($Z279,"Collection Email","1st Email Follow-up","2nd Email Follow-up","Escalation to Local Office","Escalation to CBE","Escalation to Roxanne")&amp;" sent "&amp;TEXT($AA279,"dd-mmm")&amp;". "&amp;IF($Z279=6,"Final escalation completed.",IF($U279="OVERDUE","Next: "&amp;$AC279&amp;" was due "&amp;TEXT($AB279,"dd-mmm")&amp;" - "&amp;(NETWORKDAYS($AB279,TODAY(),Holidays)-1)&amp;" business day(s) late. Send now.",IF($U279="DUE TOMORROW","Next: "&amp;$AC279&amp;IF($AB279&lt;=TODAY()," is due TODAY ("," is due next business day (")&amp;TEXT($AB279,"dd-mmm")&amp;").","Next: "&amp;$AC279&amp;" due "&amp;TEXT($AB279,"dd-mmm")&amp;" ("&amp;(NETWORKDAYS(TODAY(),$AB279,Holidays)-1)&amp;" business day(s) left).")))))</f>
        <v/>
      </c>
      <c r="W279" s="17">
        <f>IF($Z279="","",CHOOSE($Z279,"Collection Email","1st Follow-up","2nd Follow-up","Local Office","CBE","Roxanne")&amp;IF($Z279=6," - Final"," - Day "&amp;MAX(0,NETWORKDAYS($AA279,TODAY(),Holidays)-1)&amp;" of "&amp;CHOOSE($Z279,3,3,2,2,3))&amp;" | Total Day "&amp;MAX(0,NETWORKDAYS($N279,TODAY(),Holidays)-1))</f>
        <v/>
      </c>
      <c r="X279" s="18"/>
      <c r="Y279" s="18"/>
      <c r="Z279" s="17">
        <f>IF($N279="","",COUNT($N279:$S279))</f>
        <v/>
      </c>
      <c r="AA279" s="19">
        <f>IF($Z279="","",INT(INDEX($N279:$S279,$Z279)))</f>
        <v/>
      </c>
      <c r="AB279" s="19">
        <f>IF(OR($Z279="",$Z279=6),"",WORKDAY($AA279,CHOOSE($Z279,3,3,2,2,3),Holidays))</f>
        <v/>
      </c>
      <c r="AC279" s="17">
        <f>IF(OR($Z279="",$Z279=6),"",CHOOSE($Z279,"1st Email Follow-up","2nd Email Follow-up","Escalate Local Office","Escalate to CBE","Escalate to Roxanne"))</f>
        <v/>
      </c>
    </row>
    <row r="280" spans="13:29">
      <c r="M280" s="14"/>
      <c r="T280" s="16"/>
      <c r="U280" s="17">
        <f>IF(AND(COUNTA($A280:$L280)=0,$N280=""),"",IF($T280="Paid","PAID",IF($T280="Closed","CLOSED",IF($Z280="","",IF($Z280=6,"ESCALATED TO ROXANNE",IF(TODAY()&gt;$AB280,"OVERDUE",IF($AB280&lt;=WORKDAY(TODAY(),1,Holidays),"DUE TOMORROW",IF($Z280=4,"ESCALATED TO LOCAL OFFICE",IF($Z280=5,"ESCALATED TO CBE",IF($AA280=TODAY(),"EMAIL SENT","MONITORING"))))))))))</f>
        <v/>
      </c>
      <c r="V280" s="17">
        <f>IF($U280="",IF(AND(COUNTA($A280:$L280)&gt;0,$N280=""),"Awaiting Collection Email time stamp.",""),IF(OR($U280="PAID",$U280="CLOSED"),IF($U280="PAID","Account paid. Action completed.","Account closed. No further action required."),CHOOSE($Z280,"Collection Email","1st Email Follow-up","2nd Email Follow-up","Escalation to Local Office","Escalation to CBE","Escalation to Roxanne")&amp;" sent "&amp;TEXT($AA280,"dd-mmm")&amp;". "&amp;IF($Z280=6,"Final escalation completed.",IF($U280="OVERDUE","Next: "&amp;$AC280&amp;" was due "&amp;TEXT($AB280,"dd-mmm")&amp;" - "&amp;(NETWORKDAYS($AB280,TODAY(),Holidays)-1)&amp;" business day(s) late. Send now.",IF($U280="DUE TOMORROW","Next: "&amp;$AC280&amp;IF($AB280&lt;=TODAY()," is due TODAY ("," is due next business day (")&amp;TEXT($AB280,"dd-mmm")&amp;").","Next: "&amp;$AC280&amp;" due "&amp;TEXT($AB280,"dd-mmm")&amp;" ("&amp;(NETWORKDAYS(TODAY(),$AB280,Holidays)-1)&amp;" business day(s) left).")))))</f>
        <v/>
      </c>
      <c r="W280" s="17">
        <f>IF($Z280="","",CHOOSE($Z280,"Collection Email","1st Follow-up","2nd Follow-up","Local Office","CBE","Roxanne")&amp;IF($Z280=6," - Final"," - Day "&amp;MAX(0,NETWORKDAYS($AA280,TODAY(),Holidays)-1)&amp;" of "&amp;CHOOSE($Z280,3,3,2,2,3))&amp;" | Total Day "&amp;MAX(0,NETWORKDAYS($N280,TODAY(),Holidays)-1))</f>
        <v/>
      </c>
      <c r="X280" s="18"/>
      <c r="Y280" s="18"/>
      <c r="Z280" s="17">
        <f>IF($N280="","",COUNT($N280:$S280))</f>
        <v/>
      </c>
      <c r="AA280" s="19">
        <f>IF($Z280="","",INT(INDEX($N280:$S280,$Z280)))</f>
        <v/>
      </c>
      <c r="AB280" s="19">
        <f>IF(OR($Z280="",$Z280=6),"",WORKDAY($AA280,CHOOSE($Z280,3,3,2,2,3),Holidays))</f>
        <v/>
      </c>
      <c r="AC280" s="17">
        <f>IF(OR($Z280="",$Z280=6),"",CHOOSE($Z280,"1st Email Follow-up","2nd Email Follow-up","Escalate Local Office","Escalate to CBE","Escalate to Roxanne"))</f>
        <v/>
      </c>
    </row>
    <row r="281" spans="13:29">
      <c r="M281" s="14"/>
      <c r="T281" s="16"/>
      <c r="U281" s="17">
        <f>IF(AND(COUNTA($A281:$L281)=0,$N281=""),"",IF($T281="Paid","PAID",IF($T281="Closed","CLOSED",IF($Z281="","",IF($Z281=6,"ESCALATED TO ROXANNE",IF(TODAY()&gt;$AB281,"OVERDUE",IF($AB281&lt;=WORKDAY(TODAY(),1,Holidays),"DUE TOMORROW",IF($Z281=4,"ESCALATED TO LOCAL OFFICE",IF($Z281=5,"ESCALATED TO CBE",IF($AA281=TODAY(),"EMAIL SENT","MONITORING"))))))))))</f>
        <v/>
      </c>
      <c r="V281" s="17">
        <f>IF($U281="",IF(AND(COUNTA($A281:$L281)&gt;0,$N281=""),"Awaiting Collection Email time stamp.",""),IF(OR($U281="PAID",$U281="CLOSED"),IF($U281="PAID","Account paid. Action completed.","Account closed. No further action required."),CHOOSE($Z281,"Collection Email","1st Email Follow-up","2nd Email Follow-up","Escalation to Local Office","Escalation to CBE","Escalation to Roxanne")&amp;" sent "&amp;TEXT($AA281,"dd-mmm")&amp;". "&amp;IF($Z281=6,"Final escalation completed.",IF($U281="OVERDUE","Next: "&amp;$AC281&amp;" was due "&amp;TEXT($AB281,"dd-mmm")&amp;" - "&amp;(NETWORKDAYS($AB281,TODAY(),Holidays)-1)&amp;" business day(s) late. Send now.",IF($U281="DUE TOMORROW","Next: "&amp;$AC281&amp;IF($AB281&lt;=TODAY()," is due TODAY ("," is due next business day (")&amp;TEXT($AB281,"dd-mmm")&amp;").","Next: "&amp;$AC281&amp;" due "&amp;TEXT($AB281,"dd-mmm")&amp;" ("&amp;(NETWORKDAYS(TODAY(),$AB281,Holidays)-1)&amp;" business day(s) left).")))))</f>
        <v/>
      </c>
      <c r="W281" s="17">
        <f>IF($Z281="","",CHOOSE($Z281,"Collection Email","1st Follow-up","2nd Follow-up","Local Office","CBE","Roxanne")&amp;IF($Z281=6," - Final"," - Day "&amp;MAX(0,NETWORKDAYS($AA281,TODAY(),Holidays)-1)&amp;" of "&amp;CHOOSE($Z281,3,3,2,2,3))&amp;" | Total Day "&amp;MAX(0,NETWORKDAYS($N281,TODAY(),Holidays)-1))</f>
        <v/>
      </c>
      <c r="X281" s="18"/>
      <c r="Y281" s="18"/>
      <c r="Z281" s="17">
        <f>IF($N281="","",COUNT($N281:$S281))</f>
        <v/>
      </c>
      <c r="AA281" s="19">
        <f>IF($Z281="","",INT(INDEX($N281:$S281,$Z281)))</f>
        <v/>
      </c>
      <c r="AB281" s="19">
        <f>IF(OR($Z281="",$Z281=6),"",WORKDAY($AA281,CHOOSE($Z281,3,3,2,2,3),Holidays))</f>
        <v/>
      </c>
      <c r="AC281" s="17">
        <f>IF(OR($Z281="",$Z281=6),"",CHOOSE($Z281,"1st Email Follow-up","2nd Email Follow-up","Escalate Local Office","Escalate to CBE","Escalate to Roxanne"))</f>
        <v/>
      </c>
    </row>
    <row r="282" spans="13:29">
      <c r="M282" s="14"/>
      <c r="T282" s="16"/>
      <c r="U282" s="17">
        <f>IF(AND(COUNTA($A282:$L282)=0,$N282=""),"",IF($T282="Paid","PAID",IF($T282="Closed","CLOSED",IF($Z282="","",IF($Z282=6,"ESCALATED TO ROXANNE",IF(TODAY()&gt;$AB282,"OVERDUE",IF($AB282&lt;=WORKDAY(TODAY(),1,Holidays),"DUE TOMORROW",IF($Z282=4,"ESCALATED TO LOCAL OFFICE",IF($Z282=5,"ESCALATED TO CBE",IF($AA282=TODAY(),"EMAIL SENT","MONITORING"))))))))))</f>
        <v/>
      </c>
      <c r="V282" s="17">
        <f>IF($U282="",IF(AND(COUNTA($A282:$L282)&gt;0,$N282=""),"Awaiting Collection Email time stamp.",""),IF(OR($U282="PAID",$U282="CLOSED"),IF($U282="PAID","Account paid. Action completed.","Account closed. No further action required."),CHOOSE($Z282,"Collection Email","1st Email Follow-up","2nd Email Follow-up","Escalation to Local Office","Escalation to CBE","Escalation to Roxanne")&amp;" sent "&amp;TEXT($AA282,"dd-mmm")&amp;". "&amp;IF($Z282=6,"Final escalation completed.",IF($U282="OVERDUE","Next: "&amp;$AC282&amp;" was due "&amp;TEXT($AB282,"dd-mmm")&amp;" - "&amp;(NETWORKDAYS($AB282,TODAY(),Holidays)-1)&amp;" business day(s) late. Send now.",IF($U282="DUE TOMORROW","Next: "&amp;$AC282&amp;IF($AB282&lt;=TODAY()," is due TODAY ("," is due next business day (")&amp;TEXT($AB282,"dd-mmm")&amp;").","Next: "&amp;$AC282&amp;" due "&amp;TEXT($AB282,"dd-mmm")&amp;" ("&amp;(NETWORKDAYS(TODAY(),$AB282,Holidays)-1)&amp;" business day(s) left).")))))</f>
        <v/>
      </c>
      <c r="W282" s="17">
        <f>IF($Z282="","",CHOOSE($Z282,"Collection Email","1st Follow-up","2nd Follow-up","Local Office","CBE","Roxanne")&amp;IF($Z282=6," - Final"," - Day "&amp;MAX(0,NETWORKDAYS($AA282,TODAY(),Holidays)-1)&amp;" of "&amp;CHOOSE($Z282,3,3,2,2,3))&amp;" | Total Day "&amp;MAX(0,NETWORKDAYS($N282,TODAY(),Holidays)-1))</f>
        <v/>
      </c>
      <c r="X282" s="18"/>
      <c r="Y282" s="18"/>
      <c r="Z282" s="17">
        <f>IF($N282="","",COUNT($N282:$S282))</f>
        <v/>
      </c>
      <c r="AA282" s="19">
        <f>IF($Z282="","",INT(INDEX($N282:$S282,$Z282)))</f>
        <v/>
      </c>
      <c r="AB282" s="19">
        <f>IF(OR($Z282="",$Z282=6),"",WORKDAY($AA282,CHOOSE($Z282,3,3,2,2,3),Holidays))</f>
        <v/>
      </c>
      <c r="AC282" s="17">
        <f>IF(OR($Z282="",$Z282=6),"",CHOOSE($Z282,"1st Email Follow-up","2nd Email Follow-up","Escalate Local Office","Escalate to CBE","Escalate to Roxanne"))</f>
        <v/>
      </c>
    </row>
    <row r="283" spans="13:29">
      <c r="M283" s="14"/>
      <c r="T283" s="16"/>
      <c r="U283" s="17">
        <f>IF(AND(COUNTA($A283:$L283)=0,$N283=""),"",IF($T283="Paid","PAID",IF($T283="Closed","CLOSED",IF($Z283="","",IF($Z283=6,"ESCALATED TO ROXANNE",IF(TODAY()&gt;$AB283,"OVERDUE",IF($AB283&lt;=WORKDAY(TODAY(),1,Holidays),"DUE TOMORROW",IF($Z283=4,"ESCALATED TO LOCAL OFFICE",IF($Z283=5,"ESCALATED TO CBE",IF($AA283=TODAY(),"EMAIL SENT","MONITORING"))))))))))</f>
        <v/>
      </c>
      <c r="V283" s="17">
        <f>IF($U283="",IF(AND(COUNTA($A283:$L283)&gt;0,$N283=""),"Awaiting Collection Email time stamp.",""),IF(OR($U283="PAID",$U283="CLOSED"),IF($U283="PAID","Account paid. Action completed.","Account closed. No further action required."),CHOOSE($Z283,"Collection Email","1st Email Follow-up","2nd Email Follow-up","Escalation to Local Office","Escalation to CBE","Escalation to Roxanne")&amp;" sent "&amp;TEXT($AA283,"dd-mmm")&amp;". "&amp;IF($Z283=6,"Final escalation completed.",IF($U283="OVERDUE","Next: "&amp;$AC283&amp;" was due "&amp;TEXT($AB283,"dd-mmm")&amp;" - "&amp;(NETWORKDAYS($AB283,TODAY(),Holidays)-1)&amp;" business day(s) late. Send now.",IF($U283="DUE TOMORROW","Next: "&amp;$AC283&amp;IF($AB283&lt;=TODAY()," is due TODAY ("," is due next business day (")&amp;TEXT($AB283,"dd-mmm")&amp;").","Next: "&amp;$AC283&amp;" due "&amp;TEXT($AB283,"dd-mmm")&amp;" ("&amp;(NETWORKDAYS(TODAY(),$AB283,Holidays)-1)&amp;" business day(s) left).")))))</f>
        <v/>
      </c>
      <c r="W283" s="17">
        <f>IF($Z283="","",CHOOSE($Z283,"Collection Email","1st Follow-up","2nd Follow-up","Local Office","CBE","Roxanne")&amp;IF($Z283=6," - Final"," - Day "&amp;MAX(0,NETWORKDAYS($AA283,TODAY(),Holidays)-1)&amp;" of "&amp;CHOOSE($Z283,3,3,2,2,3))&amp;" | Total Day "&amp;MAX(0,NETWORKDAYS($N283,TODAY(),Holidays)-1))</f>
        <v/>
      </c>
      <c r="X283" s="18"/>
      <c r="Y283" s="18"/>
      <c r="Z283" s="17">
        <f>IF($N283="","",COUNT($N283:$S283))</f>
        <v/>
      </c>
      <c r="AA283" s="19">
        <f>IF($Z283="","",INT(INDEX($N283:$S283,$Z283)))</f>
        <v/>
      </c>
      <c r="AB283" s="19">
        <f>IF(OR($Z283="",$Z283=6),"",WORKDAY($AA283,CHOOSE($Z283,3,3,2,2,3),Holidays))</f>
        <v/>
      </c>
      <c r="AC283" s="17">
        <f>IF(OR($Z283="",$Z283=6),"",CHOOSE($Z283,"1st Email Follow-up","2nd Email Follow-up","Escalate Local Office","Escalate to CBE","Escalate to Roxanne"))</f>
        <v/>
      </c>
    </row>
    <row r="284" spans="13:29">
      <c r="M284" s="14"/>
      <c r="T284" s="16"/>
      <c r="U284" s="17">
        <f>IF(AND(COUNTA($A284:$L284)=0,$N284=""),"",IF($T284="Paid","PAID",IF($T284="Closed","CLOSED",IF($Z284="","",IF($Z284=6,"ESCALATED TO ROXANNE",IF(TODAY()&gt;$AB284,"OVERDUE",IF($AB284&lt;=WORKDAY(TODAY(),1,Holidays),"DUE TOMORROW",IF($Z284=4,"ESCALATED TO LOCAL OFFICE",IF($Z284=5,"ESCALATED TO CBE",IF($AA284=TODAY(),"EMAIL SENT","MONITORING"))))))))))</f>
        <v/>
      </c>
      <c r="V284" s="17">
        <f>IF($U284="",IF(AND(COUNTA($A284:$L284)&gt;0,$N284=""),"Awaiting Collection Email time stamp.",""),IF(OR($U284="PAID",$U284="CLOSED"),IF($U284="PAID","Account paid. Action completed.","Account closed. No further action required."),CHOOSE($Z284,"Collection Email","1st Email Follow-up","2nd Email Follow-up","Escalation to Local Office","Escalation to CBE","Escalation to Roxanne")&amp;" sent "&amp;TEXT($AA284,"dd-mmm")&amp;". "&amp;IF($Z284=6,"Final escalation completed.",IF($U284="OVERDUE","Next: "&amp;$AC284&amp;" was due "&amp;TEXT($AB284,"dd-mmm")&amp;" - "&amp;(NETWORKDAYS($AB284,TODAY(),Holidays)-1)&amp;" business day(s) late. Send now.",IF($U284="DUE TOMORROW","Next: "&amp;$AC284&amp;IF($AB284&lt;=TODAY()," is due TODAY ("," is due next business day (")&amp;TEXT($AB284,"dd-mmm")&amp;").","Next: "&amp;$AC284&amp;" due "&amp;TEXT($AB284,"dd-mmm")&amp;" ("&amp;(NETWORKDAYS(TODAY(),$AB284,Holidays)-1)&amp;" business day(s) left).")))))</f>
        <v/>
      </c>
      <c r="W284" s="17">
        <f>IF($Z284="","",CHOOSE($Z284,"Collection Email","1st Follow-up","2nd Follow-up","Local Office","CBE","Roxanne")&amp;IF($Z284=6," - Final"," - Day "&amp;MAX(0,NETWORKDAYS($AA284,TODAY(),Holidays)-1)&amp;" of "&amp;CHOOSE($Z284,3,3,2,2,3))&amp;" | Total Day "&amp;MAX(0,NETWORKDAYS($N284,TODAY(),Holidays)-1))</f>
        <v/>
      </c>
      <c r="X284" s="18"/>
      <c r="Y284" s="18"/>
      <c r="Z284" s="17">
        <f>IF($N284="","",COUNT($N284:$S284))</f>
        <v/>
      </c>
      <c r="AA284" s="19">
        <f>IF($Z284="","",INT(INDEX($N284:$S284,$Z284)))</f>
        <v/>
      </c>
      <c r="AB284" s="19">
        <f>IF(OR($Z284="",$Z284=6),"",WORKDAY($AA284,CHOOSE($Z284,3,3,2,2,3),Holidays))</f>
        <v/>
      </c>
      <c r="AC284" s="17">
        <f>IF(OR($Z284="",$Z284=6),"",CHOOSE($Z284,"1st Email Follow-up","2nd Email Follow-up","Escalate Local Office","Escalate to CBE","Escalate to Roxanne"))</f>
        <v/>
      </c>
    </row>
    <row r="285" spans="13:29">
      <c r="M285" s="14"/>
      <c r="T285" s="16"/>
      <c r="U285" s="17">
        <f>IF(AND(COUNTA($A285:$L285)=0,$N285=""),"",IF($T285="Paid","PAID",IF($T285="Closed","CLOSED",IF($Z285="","",IF($Z285=6,"ESCALATED TO ROXANNE",IF(TODAY()&gt;$AB285,"OVERDUE",IF($AB285&lt;=WORKDAY(TODAY(),1,Holidays),"DUE TOMORROW",IF($Z285=4,"ESCALATED TO LOCAL OFFICE",IF($Z285=5,"ESCALATED TO CBE",IF($AA285=TODAY(),"EMAIL SENT","MONITORING"))))))))))</f>
        <v/>
      </c>
      <c r="V285" s="17">
        <f>IF($U285="",IF(AND(COUNTA($A285:$L285)&gt;0,$N285=""),"Awaiting Collection Email time stamp.",""),IF(OR($U285="PAID",$U285="CLOSED"),IF($U285="PAID","Account paid. Action completed.","Account closed. No further action required."),CHOOSE($Z285,"Collection Email","1st Email Follow-up","2nd Email Follow-up","Escalation to Local Office","Escalation to CBE","Escalation to Roxanne")&amp;" sent "&amp;TEXT($AA285,"dd-mmm")&amp;". "&amp;IF($Z285=6,"Final escalation completed.",IF($U285="OVERDUE","Next: "&amp;$AC285&amp;" was due "&amp;TEXT($AB285,"dd-mmm")&amp;" - "&amp;(NETWORKDAYS($AB285,TODAY(),Holidays)-1)&amp;" business day(s) late. Send now.",IF($U285="DUE TOMORROW","Next: "&amp;$AC285&amp;IF($AB285&lt;=TODAY()," is due TODAY ("," is due next business day (")&amp;TEXT($AB285,"dd-mmm")&amp;").","Next: "&amp;$AC285&amp;" due "&amp;TEXT($AB285,"dd-mmm")&amp;" ("&amp;(NETWORKDAYS(TODAY(),$AB285,Holidays)-1)&amp;" business day(s) left).")))))</f>
        <v/>
      </c>
      <c r="W285" s="17">
        <f>IF($Z285="","",CHOOSE($Z285,"Collection Email","1st Follow-up","2nd Follow-up","Local Office","CBE","Roxanne")&amp;IF($Z285=6," - Final"," - Day "&amp;MAX(0,NETWORKDAYS($AA285,TODAY(),Holidays)-1)&amp;" of "&amp;CHOOSE($Z285,3,3,2,2,3))&amp;" | Total Day "&amp;MAX(0,NETWORKDAYS($N285,TODAY(),Holidays)-1))</f>
        <v/>
      </c>
      <c r="X285" s="18"/>
      <c r="Y285" s="18"/>
      <c r="Z285" s="17">
        <f>IF($N285="","",COUNT($N285:$S285))</f>
        <v/>
      </c>
      <c r="AA285" s="19">
        <f>IF($Z285="","",INT(INDEX($N285:$S285,$Z285)))</f>
        <v/>
      </c>
      <c r="AB285" s="19">
        <f>IF(OR($Z285="",$Z285=6),"",WORKDAY($AA285,CHOOSE($Z285,3,3,2,2,3),Holidays))</f>
        <v/>
      </c>
      <c r="AC285" s="17">
        <f>IF(OR($Z285="",$Z285=6),"",CHOOSE($Z285,"1st Email Follow-up","2nd Email Follow-up","Escalate Local Office","Escalate to CBE","Escalate to Roxanne"))</f>
        <v/>
      </c>
    </row>
    <row r="286" spans="13:29">
      <c r="M286" s="14"/>
      <c r="T286" s="16"/>
      <c r="U286" s="17">
        <f>IF(AND(COUNTA($A286:$L286)=0,$N286=""),"",IF($T286="Paid","PAID",IF($T286="Closed","CLOSED",IF($Z286="","",IF($Z286=6,"ESCALATED TO ROXANNE",IF(TODAY()&gt;$AB286,"OVERDUE",IF($AB286&lt;=WORKDAY(TODAY(),1,Holidays),"DUE TOMORROW",IF($Z286=4,"ESCALATED TO LOCAL OFFICE",IF($Z286=5,"ESCALATED TO CBE",IF($AA286=TODAY(),"EMAIL SENT","MONITORING"))))))))))</f>
        <v/>
      </c>
      <c r="V286" s="17">
        <f>IF($U286="",IF(AND(COUNTA($A286:$L286)&gt;0,$N286=""),"Awaiting Collection Email time stamp.",""),IF(OR($U286="PAID",$U286="CLOSED"),IF($U286="PAID","Account paid. Action completed.","Account closed. No further action required."),CHOOSE($Z286,"Collection Email","1st Email Follow-up","2nd Email Follow-up","Escalation to Local Office","Escalation to CBE","Escalation to Roxanne")&amp;" sent "&amp;TEXT($AA286,"dd-mmm")&amp;". "&amp;IF($Z286=6,"Final escalation completed.",IF($U286="OVERDUE","Next: "&amp;$AC286&amp;" was due "&amp;TEXT($AB286,"dd-mmm")&amp;" - "&amp;(NETWORKDAYS($AB286,TODAY(),Holidays)-1)&amp;" business day(s) late. Send now.",IF($U286="DUE TOMORROW","Next: "&amp;$AC286&amp;IF($AB286&lt;=TODAY()," is due TODAY ("," is due next business day (")&amp;TEXT($AB286,"dd-mmm")&amp;").","Next: "&amp;$AC286&amp;" due "&amp;TEXT($AB286,"dd-mmm")&amp;" ("&amp;(NETWORKDAYS(TODAY(),$AB286,Holidays)-1)&amp;" business day(s) left).")))))</f>
        <v/>
      </c>
      <c r="W286" s="17">
        <f>IF($Z286="","",CHOOSE($Z286,"Collection Email","1st Follow-up","2nd Follow-up","Local Office","CBE","Roxanne")&amp;IF($Z286=6," - Final"," - Day "&amp;MAX(0,NETWORKDAYS($AA286,TODAY(),Holidays)-1)&amp;" of "&amp;CHOOSE($Z286,3,3,2,2,3))&amp;" | Total Day "&amp;MAX(0,NETWORKDAYS($N286,TODAY(),Holidays)-1))</f>
        <v/>
      </c>
      <c r="X286" s="18"/>
      <c r="Y286" s="18"/>
      <c r="Z286" s="17">
        <f>IF($N286="","",COUNT($N286:$S286))</f>
        <v/>
      </c>
      <c r="AA286" s="19">
        <f>IF($Z286="","",INT(INDEX($N286:$S286,$Z286)))</f>
        <v/>
      </c>
      <c r="AB286" s="19">
        <f>IF(OR($Z286="",$Z286=6),"",WORKDAY($AA286,CHOOSE($Z286,3,3,2,2,3),Holidays))</f>
        <v/>
      </c>
      <c r="AC286" s="17">
        <f>IF(OR($Z286="",$Z286=6),"",CHOOSE($Z286,"1st Email Follow-up","2nd Email Follow-up","Escalate Local Office","Escalate to CBE","Escalate to Roxanne"))</f>
        <v/>
      </c>
    </row>
    <row r="287" spans="13:29">
      <c r="M287" s="14"/>
      <c r="T287" s="16"/>
      <c r="U287" s="17">
        <f>IF(AND(COUNTA($A287:$L287)=0,$N287=""),"",IF($T287="Paid","PAID",IF($T287="Closed","CLOSED",IF($Z287="","",IF($Z287=6,"ESCALATED TO ROXANNE",IF(TODAY()&gt;$AB287,"OVERDUE",IF($AB287&lt;=WORKDAY(TODAY(),1,Holidays),"DUE TOMORROW",IF($Z287=4,"ESCALATED TO LOCAL OFFICE",IF($Z287=5,"ESCALATED TO CBE",IF($AA287=TODAY(),"EMAIL SENT","MONITORING"))))))))))</f>
        <v/>
      </c>
      <c r="V287" s="17">
        <f>IF($U287="",IF(AND(COUNTA($A287:$L287)&gt;0,$N287=""),"Awaiting Collection Email time stamp.",""),IF(OR($U287="PAID",$U287="CLOSED"),IF($U287="PAID","Account paid. Action completed.","Account closed. No further action required."),CHOOSE($Z287,"Collection Email","1st Email Follow-up","2nd Email Follow-up","Escalation to Local Office","Escalation to CBE","Escalation to Roxanne")&amp;" sent "&amp;TEXT($AA287,"dd-mmm")&amp;". "&amp;IF($Z287=6,"Final escalation completed.",IF($U287="OVERDUE","Next: "&amp;$AC287&amp;" was due "&amp;TEXT($AB287,"dd-mmm")&amp;" - "&amp;(NETWORKDAYS($AB287,TODAY(),Holidays)-1)&amp;" business day(s) late. Send now.",IF($U287="DUE TOMORROW","Next: "&amp;$AC287&amp;IF($AB287&lt;=TODAY()," is due TODAY ("," is due next business day (")&amp;TEXT($AB287,"dd-mmm")&amp;").","Next: "&amp;$AC287&amp;" due "&amp;TEXT($AB287,"dd-mmm")&amp;" ("&amp;(NETWORKDAYS(TODAY(),$AB287,Holidays)-1)&amp;" business day(s) left).")))))</f>
        <v/>
      </c>
      <c r="W287" s="17">
        <f>IF($Z287="","",CHOOSE($Z287,"Collection Email","1st Follow-up","2nd Follow-up","Local Office","CBE","Roxanne")&amp;IF($Z287=6," - Final"," - Day "&amp;MAX(0,NETWORKDAYS($AA287,TODAY(),Holidays)-1)&amp;" of "&amp;CHOOSE($Z287,3,3,2,2,3))&amp;" | Total Day "&amp;MAX(0,NETWORKDAYS($N287,TODAY(),Holidays)-1))</f>
        <v/>
      </c>
      <c r="X287" s="18"/>
      <c r="Y287" s="18"/>
      <c r="Z287" s="17">
        <f>IF($N287="","",COUNT($N287:$S287))</f>
        <v/>
      </c>
      <c r="AA287" s="19">
        <f>IF($Z287="","",INT(INDEX($N287:$S287,$Z287)))</f>
        <v/>
      </c>
      <c r="AB287" s="19">
        <f>IF(OR($Z287="",$Z287=6),"",WORKDAY($AA287,CHOOSE($Z287,3,3,2,2,3),Holidays))</f>
        <v/>
      </c>
      <c r="AC287" s="17">
        <f>IF(OR($Z287="",$Z287=6),"",CHOOSE($Z287,"1st Email Follow-up","2nd Email Follow-up","Escalate Local Office","Escalate to CBE","Escalate to Roxanne"))</f>
        <v/>
      </c>
    </row>
    <row r="288" spans="13:29">
      <c r="M288" s="14"/>
      <c r="T288" s="16"/>
      <c r="U288" s="17">
        <f>IF(AND(COUNTA($A288:$L288)=0,$N288=""),"",IF($T288="Paid","PAID",IF($T288="Closed","CLOSED",IF($Z288="","",IF($Z288=6,"ESCALATED TO ROXANNE",IF(TODAY()&gt;$AB288,"OVERDUE",IF($AB288&lt;=WORKDAY(TODAY(),1,Holidays),"DUE TOMORROW",IF($Z288=4,"ESCALATED TO LOCAL OFFICE",IF($Z288=5,"ESCALATED TO CBE",IF($AA288=TODAY(),"EMAIL SENT","MONITORING"))))))))))</f>
        <v/>
      </c>
      <c r="V288" s="17">
        <f>IF($U288="",IF(AND(COUNTA($A288:$L288)&gt;0,$N288=""),"Awaiting Collection Email time stamp.",""),IF(OR($U288="PAID",$U288="CLOSED"),IF($U288="PAID","Account paid. Action completed.","Account closed. No further action required."),CHOOSE($Z288,"Collection Email","1st Email Follow-up","2nd Email Follow-up","Escalation to Local Office","Escalation to CBE","Escalation to Roxanne")&amp;" sent "&amp;TEXT($AA288,"dd-mmm")&amp;". "&amp;IF($Z288=6,"Final escalation completed.",IF($U288="OVERDUE","Next: "&amp;$AC288&amp;" was due "&amp;TEXT($AB288,"dd-mmm")&amp;" - "&amp;(NETWORKDAYS($AB288,TODAY(),Holidays)-1)&amp;" business day(s) late. Send now.",IF($U288="DUE TOMORROW","Next: "&amp;$AC288&amp;IF($AB288&lt;=TODAY()," is due TODAY ("," is due next business day (")&amp;TEXT($AB288,"dd-mmm")&amp;").","Next: "&amp;$AC288&amp;" due "&amp;TEXT($AB288,"dd-mmm")&amp;" ("&amp;(NETWORKDAYS(TODAY(),$AB288,Holidays)-1)&amp;" business day(s) left).")))))</f>
        <v/>
      </c>
      <c r="W288" s="17">
        <f>IF($Z288="","",CHOOSE($Z288,"Collection Email","1st Follow-up","2nd Follow-up","Local Office","CBE","Roxanne")&amp;IF($Z288=6," - Final"," - Day "&amp;MAX(0,NETWORKDAYS($AA288,TODAY(),Holidays)-1)&amp;" of "&amp;CHOOSE($Z288,3,3,2,2,3))&amp;" | Total Day "&amp;MAX(0,NETWORKDAYS($N288,TODAY(),Holidays)-1))</f>
        <v/>
      </c>
      <c r="X288" s="18"/>
      <c r="Y288" s="18"/>
      <c r="Z288" s="17">
        <f>IF($N288="","",COUNT($N288:$S288))</f>
        <v/>
      </c>
      <c r="AA288" s="19">
        <f>IF($Z288="","",INT(INDEX($N288:$S288,$Z288)))</f>
        <v/>
      </c>
      <c r="AB288" s="19">
        <f>IF(OR($Z288="",$Z288=6),"",WORKDAY($AA288,CHOOSE($Z288,3,3,2,2,3),Holidays))</f>
        <v/>
      </c>
      <c r="AC288" s="17">
        <f>IF(OR($Z288="",$Z288=6),"",CHOOSE($Z288,"1st Email Follow-up","2nd Email Follow-up","Escalate Local Office","Escalate to CBE","Escalate to Roxanne"))</f>
        <v/>
      </c>
    </row>
    <row r="289" spans="13:29">
      <c r="M289" s="14"/>
      <c r="T289" s="16"/>
      <c r="U289" s="17">
        <f>IF(AND(COUNTA($A289:$L289)=0,$N289=""),"",IF($T289="Paid","PAID",IF($T289="Closed","CLOSED",IF($Z289="","",IF($Z289=6,"ESCALATED TO ROXANNE",IF(TODAY()&gt;$AB289,"OVERDUE",IF($AB289&lt;=WORKDAY(TODAY(),1,Holidays),"DUE TOMORROW",IF($Z289=4,"ESCALATED TO LOCAL OFFICE",IF($Z289=5,"ESCALATED TO CBE",IF($AA289=TODAY(),"EMAIL SENT","MONITORING"))))))))))</f>
        <v/>
      </c>
      <c r="V289" s="17">
        <f>IF($U289="",IF(AND(COUNTA($A289:$L289)&gt;0,$N289=""),"Awaiting Collection Email time stamp.",""),IF(OR($U289="PAID",$U289="CLOSED"),IF($U289="PAID","Account paid. Action completed.","Account closed. No further action required."),CHOOSE($Z289,"Collection Email","1st Email Follow-up","2nd Email Follow-up","Escalation to Local Office","Escalation to CBE","Escalation to Roxanne")&amp;" sent "&amp;TEXT($AA289,"dd-mmm")&amp;". "&amp;IF($Z289=6,"Final escalation completed.",IF($U289="OVERDUE","Next: "&amp;$AC289&amp;" was due "&amp;TEXT($AB289,"dd-mmm")&amp;" - "&amp;(NETWORKDAYS($AB289,TODAY(),Holidays)-1)&amp;" business day(s) late. Send now.",IF($U289="DUE TOMORROW","Next: "&amp;$AC289&amp;IF($AB289&lt;=TODAY()," is due TODAY ("," is due next business day (")&amp;TEXT($AB289,"dd-mmm")&amp;").","Next: "&amp;$AC289&amp;" due "&amp;TEXT($AB289,"dd-mmm")&amp;" ("&amp;(NETWORKDAYS(TODAY(),$AB289,Holidays)-1)&amp;" business day(s) left).")))))</f>
        <v/>
      </c>
      <c r="W289" s="17">
        <f>IF($Z289="","",CHOOSE($Z289,"Collection Email","1st Follow-up","2nd Follow-up","Local Office","CBE","Roxanne")&amp;IF($Z289=6," - Final"," - Day "&amp;MAX(0,NETWORKDAYS($AA289,TODAY(),Holidays)-1)&amp;" of "&amp;CHOOSE($Z289,3,3,2,2,3))&amp;" | Total Day "&amp;MAX(0,NETWORKDAYS($N289,TODAY(),Holidays)-1))</f>
        <v/>
      </c>
      <c r="X289" s="18"/>
      <c r="Y289" s="18"/>
      <c r="Z289" s="17">
        <f>IF($N289="","",COUNT($N289:$S289))</f>
        <v/>
      </c>
      <c r="AA289" s="19">
        <f>IF($Z289="","",INT(INDEX($N289:$S289,$Z289)))</f>
        <v/>
      </c>
      <c r="AB289" s="19">
        <f>IF(OR($Z289="",$Z289=6),"",WORKDAY($AA289,CHOOSE($Z289,3,3,2,2,3),Holidays))</f>
        <v/>
      </c>
      <c r="AC289" s="17">
        <f>IF(OR($Z289="",$Z289=6),"",CHOOSE($Z289,"1st Email Follow-up","2nd Email Follow-up","Escalate Local Office","Escalate to CBE","Escalate to Roxanne"))</f>
        <v/>
      </c>
    </row>
    <row r="290" spans="13:29">
      <c r="M290" s="14"/>
      <c r="T290" s="16"/>
      <c r="U290" s="17">
        <f>IF(AND(COUNTA($A290:$L290)=0,$N290=""),"",IF($T290="Paid","PAID",IF($T290="Closed","CLOSED",IF($Z290="","",IF($Z290=6,"ESCALATED TO ROXANNE",IF(TODAY()&gt;$AB290,"OVERDUE",IF($AB290&lt;=WORKDAY(TODAY(),1,Holidays),"DUE TOMORROW",IF($Z290=4,"ESCALATED TO LOCAL OFFICE",IF($Z290=5,"ESCALATED TO CBE",IF($AA290=TODAY(),"EMAIL SENT","MONITORING"))))))))))</f>
        <v/>
      </c>
      <c r="V290" s="17">
        <f>IF($U290="",IF(AND(COUNTA($A290:$L290)&gt;0,$N290=""),"Awaiting Collection Email time stamp.",""),IF(OR($U290="PAID",$U290="CLOSED"),IF($U290="PAID","Account paid. Action completed.","Account closed. No further action required."),CHOOSE($Z290,"Collection Email","1st Email Follow-up","2nd Email Follow-up","Escalation to Local Office","Escalation to CBE","Escalation to Roxanne")&amp;" sent "&amp;TEXT($AA290,"dd-mmm")&amp;". "&amp;IF($Z290=6,"Final escalation completed.",IF($U290="OVERDUE","Next: "&amp;$AC290&amp;" was due "&amp;TEXT($AB290,"dd-mmm")&amp;" - "&amp;(NETWORKDAYS($AB290,TODAY(),Holidays)-1)&amp;" business day(s) late. Send now.",IF($U290="DUE TOMORROW","Next: "&amp;$AC290&amp;IF($AB290&lt;=TODAY()," is due TODAY ("," is due next business day (")&amp;TEXT($AB290,"dd-mmm")&amp;").","Next: "&amp;$AC290&amp;" due "&amp;TEXT($AB290,"dd-mmm")&amp;" ("&amp;(NETWORKDAYS(TODAY(),$AB290,Holidays)-1)&amp;" business day(s) left).")))))</f>
        <v/>
      </c>
      <c r="W290" s="17">
        <f>IF($Z290="","",CHOOSE($Z290,"Collection Email","1st Follow-up","2nd Follow-up","Local Office","CBE","Roxanne")&amp;IF($Z290=6," - Final"," - Day "&amp;MAX(0,NETWORKDAYS($AA290,TODAY(),Holidays)-1)&amp;" of "&amp;CHOOSE($Z290,3,3,2,2,3))&amp;" | Total Day "&amp;MAX(0,NETWORKDAYS($N290,TODAY(),Holidays)-1))</f>
        <v/>
      </c>
      <c r="X290" s="18"/>
      <c r="Y290" s="18"/>
      <c r="Z290" s="17">
        <f>IF($N290="","",COUNT($N290:$S290))</f>
        <v/>
      </c>
      <c r="AA290" s="19">
        <f>IF($Z290="","",INT(INDEX($N290:$S290,$Z290)))</f>
        <v/>
      </c>
      <c r="AB290" s="19">
        <f>IF(OR($Z290="",$Z290=6),"",WORKDAY($AA290,CHOOSE($Z290,3,3,2,2,3),Holidays))</f>
        <v/>
      </c>
      <c r="AC290" s="17">
        <f>IF(OR($Z290="",$Z290=6),"",CHOOSE($Z290,"1st Email Follow-up","2nd Email Follow-up","Escalate Local Office","Escalate to CBE","Escalate to Roxanne"))</f>
        <v/>
      </c>
    </row>
    <row r="291" spans="13:29">
      <c r="M291" s="14"/>
      <c r="T291" s="16"/>
      <c r="U291" s="17">
        <f>IF(AND(COUNTA($A291:$L291)=0,$N291=""),"",IF($T291="Paid","PAID",IF($T291="Closed","CLOSED",IF($Z291="","",IF($Z291=6,"ESCALATED TO ROXANNE",IF(TODAY()&gt;$AB291,"OVERDUE",IF($AB291&lt;=WORKDAY(TODAY(),1,Holidays),"DUE TOMORROW",IF($Z291=4,"ESCALATED TO LOCAL OFFICE",IF($Z291=5,"ESCALATED TO CBE",IF($AA291=TODAY(),"EMAIL SENT","MONITORING"))))))))))</f>
        <v/>
      </c>
      <c r="V291" s="17">
        <f>IF($U291="",IF(AND(COUNTA($A291:$L291)&gt;0,$N291=""),"Awaiting Collection Email time stamp.",""),IF(OR($U291="PAID",$U291="CLOSED"),IF($U291="PAID","Account paid. Action completed.","Account closed. No further action required."),CHOOSE($Z291,"Collection Email","1st Email Follow-up","2nd Email Follow-up","Escalation to Local Office","Escalation to CBE","Escalation to Roxanne")&amp;" sent "&amp;TEXT($AA291,"dd-mmm")&amp;". "&amp;IF($Z291=6,"Final escalation completed.",IF($U291="OVERDUE","Next: "&amp;$AC291&amp;" was due "&amp;TEXT($AB291,"dd-mmm")&amp;" - "&amp;(NETWORKDAYS($AB291,TODAY(),Holidays)-1)&amp;" business day(s) late. Send now.",IF($U291="DUE TOMORROW","Next: "&amp;$AC291&amp;IF($AB291&lt;=TODAY()," is due TODAY ("," is due next business day (")&amp;TEXT($AB291,"dd-mmm")&amp;").","Next: "&amp;$AC291&amp;" due "&amp;TEXT($AB291,"dd-mmm")&amp;" ("&amp;(NETWORKDAYS(TODAY(),$AB291,Holidays)-1)&amp;" business day(s) left).")))))</f>
        <v/>
      </c>
      <c r="W291" s="17">
        <f>IF($Z291="","",CHOOSE($Z291,"Collection Email","1st Follow-up","2nd Follow-up","Local Office","CBE","Roxanne")&amp;IF($Z291=6," - Final"," - Day "&amp;MAX(0,NETWORKDAYS($AA291,TODAY(),Holidays)-1)&amp;" of "&amp;CHOOSE($Z291,3,3,2,2,3))&amp;" | Total Day "&amp;MAX(0,NETWORKDAYS($N291,TODAY(),Holidays)-1))</f>
        <v/>
      </c>
      <c r="X291" s="18"/>
      <c r="Y291" s="18"/>
      <c r="Z291" s="17">
        <f>IF($N291="","",COUNT($N291:$S291))</f>
        <v/>
      </c>
      <c r="AA291" s="19">
        <f>IF($Z291="","",INT(INDEX($N291:$S291,$Z291)))</f>
        <v/>
      </c>
      <c r="AB291" s="19">
        <f>IF(OR($Z291="",$Z291=6),"",WORKDAY($AA291,CHOOSE($Z291,3,3,2,2,3),Holidays))</f>
        <v/>
      </c>
      <c r="AC291" s="17">
        <f>IF(OR($Z291="",$Z291=6),"",CHOOSE($Z291,"1st Email Follow-up","2nd Email Follow-up","Escalate Local Office","Escalate to CBE","Escalate to Roxanne"))</f>
        <v/>
      </c>
    </row>
    <row r="292" spans="13:29">
      <c r="M292" s="14"/>
      <c r="T292" s="16"/>
      <c r="U292" s="17">
        <f>IF(AND(COUNTA($A292:$L292)=0,$N292=""),"",IF($T292="Paid","PAID",IF($T292="Closed","CLOSED",IF($Z292="","",IF($Z292=6,"ESCALATED TO ROXANNE",IF(TODAY()&gt;$AB292,"OVERDUE",IF($AB292&lt;=WORKDAY(TODAY(),1,Holidays),"DUE TOMORROW",IF($Z292=4,"ESCALATED TO LOCAL OFFICE",IF($Z292=5,"ESCALATED TO CBE",IF($AA292=TODAY(),"EMAIL SENT","MONITORING"))))))))))</f>
        <v/>
      </c>
      <c r="V292" s="17">
        <f>IF($U292="",IF(AND(COUNTA($A292:$L292)&gt;0,$N292=""),"Awaiting Collection Email time stamp.",""),IF(OR($U292="PAID",$U292="CLOSED"),IF($U292="PAID","Account paid. Action completed.","Account closed. No further action required."),CHOOSE($Z292,"Collection Email","1st Email Follow-up","2nd Email Follow-up","Escalation to Local Office","Escalation to CBE","Escalation to Roxanne")&amp;" sent "&amp;TEXT($AA292,"dd-mmm")&amp;". "&amp;IF($Z292=6,"Final escalation completed.",IF($U292="OVERDUE","Next: "&amp;$AC292&amp;" was due "&amp;TEXT($AB292,"dd-mmm")&amp;" - "&amp;(NETWORKDAYS($AB292,TODAY(),Holidays)-1)&amp;" business day(s) late. Send now.",IF($U292="DUE TOMORROW","Next: "&amp;$AC292&amp;IF($AB292&lt;=TODAY()," is due TODAY ("," is due next business day (")&amp;TEXT($AB292,"dd-mmm")&amp;").","Next: "&amp;$AC292&amp;" due "&amp;TEXT($AB292,"dd-mmm")&amp;" ("&amp;(NETWORKDAYS(TODAY(),$AB292,Holidays)-1)&amp;" business day(s) left).")))))</f>
        <v/>
      </c>
      <c r="W292" s="17">
        <f>IF($Z292="","",CHOOSE($Z292,"Collection Email","1st Follow-up","2nd Follow-up","Local Office","CBE","Roxanne")&amp;IF($Z292=6," - Final"," - Day "&amp;MAX(0,NETWORKDAYS($AA292,TODAY(),Holidays)-1)&amp;" of "&amp;CHOOSE($Z292,3,3,2,2,3))&amp;" | Total Day "&amp;MAX(0,NETWORKDAYS($N292,TODAY(),Holidays)-1))</f>
        <v/>
      </c>
      <c r="X292" s="18"/>
      <c r="Y292" s="18"/>
      <c r="Z292" s="17">
        <f>IF($N292="","",COUNT($N292:$S292))</f>
        <v/>
      </c>
      <c r="AA292" s="19">
        <f>IF($Z292="","",INT(INDEX($N292:$S292,$Z292)))</f>
        <v/>
      </c>
      <c r="AB292" s="19">
        <f>IF(OR($Z292="",$Z292=6),"",WORKDAY($AA292,CHOOSE($Z292,3,3,2,2,3),Holidays))</f>
        <v/>
      </c>
      <c r="AC292" s="17">
        <f>IF(OR($Z292="",$Z292=6),"",CHOOSE($Z292,"1st Email Follow-up","2nd Email Follow-up","Escalate Local Office","Escalate to CBE","Escalate to Roxanne"))</f>
        <v/>
      </c>
    </row>
    <row r="293" spans="13:29">
      <c r="M293" s="14"/>
      <c r="T293" s="16"/>
      <c r="U293" s="17">
        <f>IF(AND(COUNTA($A293:$L293)=0,$N293=""),"",IF($T293="Paid","PAID",IF($T293="Closed","CLOSED",IF($Z293="","",IF($Z293=6,"ESCALATED TO ROXANNE",IF(TODAY()&gt;$AB293,"OVERDUE",IF($AB293&lt;=WORKDAY(TODAY(),1,Holidays),"DUE TOMORROW",IF($Z293=4,"ESCALATED TO LOCAL OFFICE",IF($Z293=5,"ESCALATED TO CBE",IF($AA293=TODAY(),"EMAIL SENT","MONITORING"))))))))))</f>
        <v/>
      </c>
      <c r="V293" s="17">
        <f>IF($U293="",IF(AND(COUNTA($A293:$L293)&gt;0,$N293=""),"Awaiting Collection Email time stamp.",""),IF(OR($U293="PAID",$U293="CLOSED"),IF($U293="PAID","Account paid. Action completed.","Account closed. No further action required."),CHOOSE($Z293,"Collection Email","1st Email Follow-up","2nd Email Follow-up","Escalation to Local Office","Escalation to CBE","Escalation to Roxanne")&amp;" sent "&amp;TEXT($AA293,"dd-mmm")&amp;". "&amp;IF($Z293=6,"Final escalation completed.",IF($U293="OVERDUE","Next: "&amp;$AC293&amp;" was due "&amp;TEXT($AB293,"dd-mmm")&amp;" - "&amp;(NETWORKDAYS($AB293,TODAY(),Holidays)-1)&amp;" business day(s) late. Send now.",IF($U293="DUE TOMORROW","Next: "&amp;$AC293&amp;IF($AB293&lt;=TODAY()," is due TODAY ("," is due next business day (")&amp;TEXT($AB293,"dd-mmm")&amp;").","Next: "&amp;$AC293&amp;" due "&amp;TEXT($AB293,"dd-mmm")&amp;" ("&amp;(NETWORKDAYS(TODAY(),$AB293,Holidays)-1)&amp;" business day(s) left).")))))</f>
        <v/>
      </c>
      <c r="W293" s="17">
        <f>IF($Z293="","",CHOOSE($Z293,"Collection Email","1st Follow-up","2nd Follow-up","Local Office","CBE","Roxanne")&amp;IF($Z293=6," - Final"," - Day "&amp;MAX(0,NETWORKDAYS($AA293,TODAY(),Holidays)-1)&amp;" of "&amp;CHOOSE($Z293,3,3,2,2,3))&amp;" | Total Day "&amp;MAX(0,NETWORKDAYS($N293,TODAY(),Holidays)-1))</f>
        <v/>
      </c>
      <c r="X293" s="18"/>
      <c r="Y293" s="18"/>
      <c r="Z293" s="17">
        <f>IF($N293="","",COUNT($N293:$S293))</f>
        <v/>
      </c>
      <c r="AA293" s="19">
        <f>IF($Z293="","",INT(INDEX($N293:$S293,$Z293)))</f>
        <v/>
      </c>
      <c r="AB293" s="19">
        <f>IF(OR($Z293="",$Z293=6),"",WORKDAY($AA293,CHOOSE($Z293,3,3,2,2,3),Holidays))</f>
        <v/>
      </c>
      <c r="AC293" s="17">
        <f>IF(OR($Z293="",$Z293=6),"",CHOOSE($Z293,"1st Email Follow-up","2nd Email Follow-up","Escalate Local Office","Escalate to CBE","Escalate to Roxanne"))</f>
        <v/>
      </c>
    </row>
    <row r="294" spans="13:29">
      <c r="M294" s="14"/>
      <c r="T294" s="16"/>
      <c r="U294" s="17">
        <f>IF(AND(COUNTA($A294:$L294)=0,$N294=""),"",IF($T294="Paid","PAID",IF($T294="Closed","CLOSED",IF($Z294="","",IF($Z294=6,"ESCALATED TO ROXANNE",IF(TODAY()&gt;$AB294,"OVERDUE",IF($AB294&lt;=WORKDAY(TODAY(),1,Holidays),"DUE TOMORROW",IF($Z294=4,"ESCALATED TO LOCAL OFFICE",IF($Z294=5,"ESCALATED TO CBE",IF($AA294=TODAY(),"EMAIL SENT","MONITORING"))))))))))</f>
        <v/>
      </c>
      <c r="V294" s="17">
        <f>IF($U294="",IF(AND(COUNTA($A294:$L294)&gt;0,$N294=""),"Awaiting Collection Email time stamp.",""),IF(OR($U294="PAID",$U294="CLOSED"),IF($U294="PAID","Account paid. Action completed.","Account closed. No further action required."),CHOOSE($Z294,"Collection Email","1st Email Follow-up","2nd Email Follow-up","Escalation to Local Office","Escalation to CBE","Escalation to Roxanne")&amp;" sent "&amp;TEXT($AA294,"dd-mmm")&amp;". "&amp;IF($Z294=6,"Final escalation completed.",IF($U294="OVERDUE","Next: "&amp;$AC294&amp;" was due "&amp;TEXT($AB294,"dd-mmm")&amp;" - "&amp;(NETWORKDAYS($AB294,TODAY(),Holidays)-1)&amp;" business day(s) late. Send now.",IF($U294="DUE TOMORROW","Next: "&amp;$AC294&amp;IF($AB294&lt;=TODAY()," is due TODAY ("," is due next business day (")&amp;TEXT($AB294,"dd-mmm")&amp;").","Next: "&amp;$AC294&amp;" due "&amp;TEXT($AB294,"dd-mmm")&amp;" ("&amp;(NETWORKDAYS(TODAY(),$AB294,Holidays)-1)&amp;" business day(s) left).")))))</f>
        <v/>
      </c>
      <c r="W294" s="17">
        <f>IF($Z294="","",CHOOSE($Z294,"Collection Email","1st Follow-up","2nd Follow-up","Local Office","CBE","Roxanne")&amp;IF($Z294=6," - Final"," - Day "&amp;MAX(0,NETWORKDAYS($AA294,TODAY(),Holidays)-1)&amp;" of "&amp;CHOOSE($Z294,3,3,2,2,3))&amp;" | Total Day "&amp;MAX(0,NETWORKDAYS($N294,TODAY(),Holidays)-1))</f>
        <v/>
      </c>
      <c r="X294" s="18"/>
      <c r="Y294" s="18"/>
      <c r="Z294" s="17">
        <f>IF($N294="","",COUNT($N294:$S294))</f>
        <v/>
      </c>
      <c r="AA294" s="19">
        <f>IF($Z294="","",INT(INDEX($N294:$S294,$Z294)))</f>
        <v/>
      </c>
      <c r="AB294" s="19">
        <f>IF(OR($Z294="",$Z294=6),"",WORKDAY($AA294,CHOOSE($Z294,3,3,2,2,3),Holidays))</f>
        <v/>
      </c>
      <c r="AC294" s="17">
        <f>IF(OR($Z294="",$Z294=6),"",CHOOSE($Z294,"1st Email Follow-up","2nd Email Follow-up","Escalate Local Office","Escalate to CBE","Escalate to Roxanne"))</f>
        <v/>
      </c>
    </row>
    <row r="295" spans="13:29">
      <c r="M295" s="14"/>
      <c r="T295" s="16"/>
      <c r="U295" s="17">
        <f>IF(AND(COUNTA($A295:$L295)=0,$N295=""),"",IF($T295="Paid","PAID",IF($T295="Closed","CLOSED",IF($Z295="","",IF($Z295=6,"ESCALATED TO ROXANNE",IF(TODAY()&gt;$AB295,"OVERDUE",IF($AB295&lt;=WORKDAY(TODAY(),1,Holidays),"DUE TOMORROW",IF($Z295=4,"ESCALATED TO LOCAL OFFICE",IF($Z295=5,"ESCALATED TO CBE",IF($AA295=TODAY(),"EMAIL SENT","MONITORING"))))))))))</f>
        <v/>
      </c>
      <c r="V295" s="17">
        <f>IF($U295="",IF(AND(COUNTA($A295:$L295)&gt;0,$N295=""),"Awaiting Collection Email time stamp.",""),IF(OR($U295="PAID",$U295="CLOSED"),IF($U295="PAID","Account paid. Action completed.","Account closed. No further action required."),CHOOSE($Z295,"Collection Email","1st Email Follow-up","2nd Email Follow-up","Escalation to Local Office","Escalation to CBE","Escalation to Roxanne")&amp;" sent "&amp;TEXT($AA295,"dd-mmm")&amp;". "&amp;IF($Z295=6,"Final escalation completed.",IF($U295="OVERDUE","Next: "&amp;$AC295&amp;" was due "&amp;TEXT($AB295,"dd-mmm")&amp;" - "&amp;(NETWORKDAYS($AB295,TODAY(),Holidays)-1)&amp;" business day(s) late. Send now.",IF($U295="DUE TOMORROW","Next: "&amp;$AC295&amp;IF($AB295&lt;=TODAY()," is due TODAY ("," is due next business day (")&amp;TEXT($AB295,"dd-mmm")&amp;").","Next: "&amp;$AC295&amp;" due "&amp;TEXT($AB295,"dd-mmm")&amp;" ("&amp;(NETWORKDAYS(TODAY(),$AB295,Holidays)-1)&amp;" business day(s) left).")))))</f>
        <v/>
      </c>
      <c r="W295" s="17">
        <f>IF($Z295="","",CHOOSE($Z295,"Collection Email","1st Follow-up","2nd Follow-up","Local Office","CBE","Roxanne")&amp;IF($Z295=6," - Final"," - Day "&amp;MAX(0,NETWORKDAYS($AA295,TODAY(),Holidays)-1)&amp;" of "&amp;CHOOSE($Z295,3,3,2,2,3))&amp;" | Total Day "&amp;MAX(0,NETWORKDAYS($N295,TODAY(),Holidays)-1))</f>
        <v/>
      </c>
      <c r="X295" s="18"/>
      <c r="Y295" s="18"/>
      <c r="Z295" s="17">
        <f>IF($N295="","",COUNT($N295:$S295))</f>
        <v/>
      </c>
      <c r="AA295" s="19">
        <f>IF($Z295="","",INT(INDEX($N295:$S295,$Z295)))</f>
        <v/>
      </c>
      <c r="AB295" s="19">
        <f>IF(OR($Z295="",$Z295=6),"",WORKDAY($AA295,CHOOSE($Z295,3,3,2,2,3),Holidays))</f>
        <v/>
      </c>
      <c r="AC295" s="17">
        <f>IF(OR($Z295="",$Z295=6),"",CHOOSE($Z295,"1st Email Follow-up","2nd Email Follow-up","Escalate Local Office","Escalate to CBE","Escalate to Roxanne"))</f>
        <v/>
      </c>
    </row>
    <row r="296" spans="13:29">
      <c r="M296" s="14"/>
      <c r="T296" s="16"/>
      <c r="U296" s="17">
        <f>IF(AND(COUNTA($A296:$L296)=0,$N296=""),"",IF($T296="Paid","PAID",IF($T296="Closed","CLOSED",IF($Z296="","",IF($Z296=6,"ESCALATED TO ROXANNE",IF(TODAY()&gt;$AB296,"OVERDUE",IF($AB296&lt;=WORKDAY(TODAY(),1,Holidays),"DUE TOMORROW",IF($Z296=4,"ESCALATED TO LOCAL OFFICE",IF($Z296=5,"ESCALATED TO CBE",IF($AA296=TODAY(),"EMAIL SENT","MONITORING"))))))))))</f>
        <v/>
      </c>
      <c r="V296" s="17">
        <f>IF($U296="",IF(AND(COUNTA($A296:$L296)&gt;0,$N296=""),"Awaiting Collection Email time stamp.",""),IF(OR($U296="PAID",$U296="CLOSED"),IF($U296="PAID","Account paid. Action completed.","Account closed. No further action required."),CHOOSE($Z296,"Collection Email","1st Email Follow-up","2nd Email Follow-up","Escalation to Local Office","Escalation to CBE","Escalation to Roxanne")&amp;" sent "&amp;TEXT($AA296,"dd-mmm")&amp;". "&amp;IF($Z296=6,"Final escalation completed.",IF($U296="OVERDUE","Next: "&amp;$AC296&amp;" was due "&amp;TEXT($AB296,"dd-mmm")&amp;" - "&amp;(NETWORKDAYS($AB296,TODAY(),Holidays)-1)&amp;" business day(s) late. Send now.",IF($U296="DUE TOMORROW","Next: "&amp;$AC296&amp;IF($AB296&lt;=TODAY()," is due TODAY ("," is due next business day (")&amp;TEXT($AB296,"dd-mmm")&amp;").","Next: "&amp;$AC296&amp;" due "&amp;TEXT($AB296,"dd-mmm")&amp;" ("&amp;(NETWORKDAYS(TODAY(),$AB296,Holidays)-1)&amp;" business day(s) left).")))))</f>
        <v/>
      </c>
      <c r="W296" s="17">
        <f>IF($Z296="","",CHOOSE($Z296,"Collection Email","1st Follow-up","2nd Follow-up","Local Office","CBE","Roxanne")&amp;IF($Z296=6," - Final"," - Day "&amp;MAX(0,NETWORKDAYS($AA296,TODAY(),Holidays)-1)&amp;" of "&amp;CHOOSE($Z296,3,3,2,2,3))&amp;" | Total Day "&amp;MAX(0,NETWORKDAYS($N296,TODAY(),Holidays)-1))</f>
        <v/>
      </c>
      <c r="X296" s="18"/>
      <c r="Y296" s="18"/>
      <c r="Z296" s="17">
        <f>IF($N296="","",COUNT($N296:$S296))</f>
        <v/>
      </c>
      <c r="AA296" s="19">
        <f>IF($Z296="","",INT(INDEX($N296:$S296,$Z296)))</f>
        <v/>
      </c>
      <c r="AB296" s="19">
        <f>IF(OR($Z296="",$Z296=6),"",WORKDAY($AA296,CHOOSE($Z296,3,3,2,2,3),Holidays))</f>
        <v/>
      </c>
      <c r="AC296" s="17">
        <f>IF(OR($Z296="",$Z296=6),"",CHOOSE($Z296,"1st Email Follow-up","2nd Email Follow-up","Escalate Local Office","Escalate to CBE","Escalate to Roxanne"))</f>
        <v/>
      </c>
    </row>
    <row r="297" spans="13:29">
      <c r="M297" s="14"/>
      <c r="T297" s="16"/>
      <c r="U297" s="17">
        <f>IF(AND(COUNTA($A297:$L297)=0,$N297=""),"",IF($T297="Paid","PAID",IF($T297="Closed","CLOSED",IF($Z297="","",IF($Z297=6,"ESCALATED TO ROXANNE",IF(TODAY()&gt;$AB297,"OVERDUE",IF($AB297&lt;=WORKDAY(TODAY(),1,Holidays),"DUE TOMORROW",IF($Z297=4,"ESCALATED TO LOCAL OFFICE",IF($Z297=5,"ESCALATED TO CBE",IF($AA297=TODAY(),"EMAIL SENT","MONITORING"))))))))))</f>
        <v/>
      </c>
      <c r="V297" s="17">
        <f>IF($U297="",IF(AND(COUNTA($A297:$L297)&gt;0,$N297=""),"Awaiting Collection Email time stamp.",""),IF(OR($U297="PAID",$U297="CLOSED"),IF($U297="PAID","Account paid. Action completed.","Account closed. No further action required."),CHOOSE($Z297,"Collection Email","1st Email Follow-up","2nd Email Follow-up","Escalation to Local Office","Escalation to CBE","Escalation to Roxanne")&amp;" sent "&amp;TEXT($AA297,"dd-mmm")&amp;". "&amp;IF($Z297=6,"Final escalation completed.",IF($U297="OVERDUE","Next: "&amp;$AC297&amp;" was due "&amp;TEXT($AB297,"dd-mmm")&amp;" - "&amp;(NETWORKDAYS($AB297,TODAY(),Holidays)-1)&amp;" business day(s) late. Send now.",IF($U297="DUE TOMORROW","Next: "&amp;$AC297&amp;IF($AB297&lt;=TODAY()," is due TODAY ("," is due next business day (")&amp;TEXT($AB297,"dd-mmm")&amp;").","Next: "&amp;$AC297&amp;" due "&amp;TEXT($AB297,"dd-mmm")&amp;" ("&amp;(NETWORKDAYS(TODAY(),$AB297,Holidays)-1)&amp;" business day(s) left).")))))</f>
        <v/>
      </c>
      <c r="W297" s="17">
        <f>IF($Z297="","",CHOOSE($Z297,"Collection Email","1st Follow-up","2nd Follow-up","Local Office","CBE","Roxanne")&amp;IF($Z297=6," - Final"," - Day "&amp;MAX(0,NETWORKDAYS($AA297,TODAY(),Holidays)-1)&amp;" of "&amp;CHOOSE($Z297,3,3,2,2,3))&amp;" | Total Day "&amp;MAX(0,NETWORKDAYS($N297,TODAY(),Holidays)-1))</f>
        <v/>
      </c>
      <c r="X297" s="18"/>
      <c r="Y297" s="18"/>
      <c r="Z297" s="17">
        <f>IF($N297="","",COUNT($N297:$S297))</f>
        <v/>
      </c>
      <c r="AA297" s="19">
        <f>IF($Z297="","",INT(INDEX($N297:$S297,$Z297)))</f>
        <v/>
      </c>
      <c r="AB297" s="19">
        <f>IF(OR($Z297="",$Z297=6),"",WORKDAY($AA297,CHOOSE($Z297,3,3,2,2,3),Holidays))</f>
        <v/>
      </c>
      <c r="AC297" s="17">
        <f>IF(OR($Z297="",$Z297=6),"",CHOOSE($Z297,"1st Email Follow-up","2nd Email Follow-up","Escalate Local Office","Escalate to CBE","Escalate to Roxanne"))</f>
        <v/>
      </c>
    </row>
    <row r="298" spans="13:29">
      <c r="M298" s="14"/>
      <c r="T298" s="16"/>
      <c r="U298" s="17">
        <f>IF(AND(COUNTA($A298:$L298)=0,$N298=""),"",IF($T298="Paid","PAID",IF($T298="Closed","CLOSED",IF($Z298="","",IF($Z298=6,"ESCALATED TO ROXANNE",IF(TODAY()&gt;$AB298,"OVERDUE",IF($AB298&lt;=WORKDAY(TODAY(),1,Holidays),"DUE TOMORROW",IF($Z298=4,"ESCALATED TO LOCAL OFFICE",IF($Z298=5,"ESCALATED TO CBE",IF($AA298=TODAY(),"EMAIL SENT","MONITORING"))))))))))</f>
        <v/>
      </c>
      <c r="V298" s="17">
        <f>IF($U298="",IF(AND(COUNTA($A298:$L298)&gt;0,$N298=""),"Awaiting Collection Email time stamp.",""),IF(OR($U298="PAID",$U298="CLOSED"),IF($U298="PAID","Account paid. Action completed.","Account closed. No further action required."),CHOOSE($Z298,"Collection Email","1st Email Follow-up","2nd Email Follow-up","Escalation to Local Office","Escalation to CBE","Escalation to Roxanne")&amp;" sent "&amp;TEXT($AA298,"dd-mmm")&amp;". "&amp;IF($Z298=6,"Final escalation completed.",IF($U298="OVERDUE","Next: "&amp;$AC298&amp;" was due "&amp;TEXT($AB298,"dd-mmm")&amp;" - "&amp;(NETWORKDAYS($AB298,TODAY(),Holidays)-1)&amp;" business day(s) late. Send now.",IF($U298="DUE TOMORROW","Next: "&amp;$AC298&amp;IF($AB298&lt;=TODAY()," is due TODAY ("," is due next business day (")&amp;TEXT($AB298,"dd-mmm")&amp;").","Next: "&amp;$AC298&amp;" due "&amp;TEXT($AB298,"dd-mmm")&amp;" ("&amp;(NETWORKDAYS(TODAY(),$AB298,Holidays)-1)&amp;" business day(s) left).")))))</f>
        <v/>
      </c>
      <c r="W298" s="17">
        <f>IF($Z298="","",CHOOSE($Z298,"Collection Email","1st Follow-up","2nd Follow-up","Local Office","CBE","Roxanne")&amp;IF($Z298=6," - Final"," - Day "&amp;MAX(0,NETWORKDAYS($AA298,TODAY(),Holidays)-1)&amp;" of "&amp;CHOOSE($Z298,3,3,2,2,3))&amp;" | Total Day "&amp;MAX(0,NETWORKDAYS($N298,TODAY(),Holidays)-1))</f>
        <v/>
      </c>
      <c r="X298" s="18"/>
      <c r="Y298" s="18"/>
      <c r="Z298" s="17">
        <f>IF($N298="","",COUNT($N298:$S298))</f>
        <v/>
      </c>
      <c r="AA298" s="19">
        <f>IF($Z298="","",INT(INDEX($N298:$S298,$Z298)))</f>
        <v/>
      </c>
      <c r="AB298" s="19">
        <f>IF(OR($Z298="",$Z298=6),"",WORKDAY($AA298,CHOOSE($Z298,3,3,2,2,3),Holidays))</f>
        <v/>
      </c>
      <c r="AC298" s="17">
        <f>IF(OR($Z298="",$Z298=6),"",CHOOSE($Z298,"1st Email Follow-up","2nd Email Follow-up","Escalate Local Office","Escalate to CBE","Escalate to Roxanne"))</f>
        <v/>
      </c>
    </row>
    <row r="299" spans="13:29">
      <c r="M299" s="14"/>
      <c r="T299" s="16"/>
      <c r="U299" s="17">
        <f>IF(AND(COUNTA($A299:$L299)=0,$N299=""),"",IF($T299="Paid","PAID",IF($T299="Closed","CLOSED",IF($Z299="","",IF($Z299=6,"ESCALATED TO ROXANNE",IF(TODAY()&gt;$AB299,"OVERDUE",IF($AB299&lt;=WORKDAY(TODAY(),1,Holidays),"DUE TOMORROW",IF($Z299=4,"ESCALATED TO LOCAL OFFICE",IF($Z299=5,"ESCALATED TO CBE",IF($AA299=TODAY(),"EMAIL SENT","MONITORING"))))))))))</f>
        <v/>
      </c>
      <c r="V299" s="17">
        <f>IF($U299="",IF(AND(COUNTA($A299:$L299)&gt;0,$N299=""),"Awaiting Collection Email time stamp.",""),IF(OR($U299="PAID",$U299="CLOSED"),IF($U299="PAID","Account paid. Action completed.","Account closed. No further action required."),CHOOSE($Z299,"Collection Email","1st Email Follow-up","2nd Email Follow-up","Escalation to Local Office","Escalation to CBE","Escalation to Roxanne")&amp;" sent "&amp;TEXT($AA299,"dd-mmm")&amp;". "&amp;IF($Z299=6,"Final escalation completed.",IF($U299="OVERDUE","Next: "&amp;$AC299&amp;" was due "&amp;TEXT($AB299,"dd-mmm")&amp;" - "&amp;(NETWORKDAYS($AB299,TODAY(),Holidays)-1)&amp;" business day(s) late. Send now.",IF($U299="DUE TOMORROW","Next: "&amp;$AC299&amp;IF($AB299&lt;=TODAY()," is due TODAY ("," is due next business day (")&amp;TEXT($AB299,"dd-mmm")&amp;").","Next: "&amp;$AC299&amp;" due "&amp;TEXT($AB299,"dd-mmm")&amp;" ("&amp;(NETWORKDAYS(TODAY(),$AB299,Holidays)-1)&amp;" business day(s) left).")))))</f>
        <v/>
      </c>
      <c r="W299" s="17">
        <f>IF($Z299="","",CHOOSE($Z299,"Collection Email","1st Follow-up","2nd Follow-up","Local Office","CBE","Roxanne")&amp;IF($Z299=6," - Final"," - Day "&amp;MAX(0,NETWORKDAYS($AA299,TODAY(),Holidays)-1)&amp;" of "&amp;CHOOSE($Z299,3,3,2,2,3))&amp;" | Total Day "&amp;MAX(0,NETWORKDAYS($N299,TODAY(),Holidays)-1))</f>
        <v/>
      </c>
      <c r="X299" s="18"/>
      <c r="Y299" s="18"/>
      <c r="Z299" s="17">
        <f>IF($N299="","",COUNT($N299:$S299))</f>
        <v/>
      </c>
      <c r="AA299" s="19">
        <f>IF($Z299="","",INT(INDEX($N299:$S299,$Z299)))</f>
        <v/>
      </c>
      <c r="AB299" s="19">
        <f>IF(OR($Z299="",$Z299=6),"",WORKDAY($AA299,CHOOSE($Z299,3,3,2,2,3),Holidays))</f>
        <v/>
      </c>
      <c r="AC299" s="17">
        <f>IF(OR($Z299="",$Z299=6),"",CHOOSE($Z299,"1st Email Follow-up","2nd Email Follow-up","Escalate Local Office","Escalate to CBE","Escalate to Roxanne"))</f>
        <v/>
      </c>
    </row>
    <row r="300" spans="13:29">
      <c r="M300" s="14"/>
      <c r="T300" s="16"/>
      <c r="U300" s="17">
        <f>IF(AND(COUNTA($A300:$L300)=0,$N300=""),"",IF($T300="Paid","PAID",IF($T300="Closed","CLOSED",IF($Z300="","",IF($Z300=6,"ESCALATED TO ROXANNE",IF(TODAY()&gt;$AB300,"OVERDUE",IF($AB300&lt;=WORKDAY(TODAY(),1,Holidays),"DUE TOMORROW",IF($Z300=4,"ESCALATED TO LOCAL OFFICE",IF($Z300=5,"ESCALATED TO CBE",IF($AA300=TODAY(),"EMAIL SENT","MONITORING"))))))))))</f>
        <v/>
      </c>
      <c r="V300" s="17">
        <f>IF($U300="",IF(AND(COUNTA($A300:$L300)&gt;0,$N300=""),"Awaiting Collection Email time stamp.",""),IF(OR($U300="PAID",$U300="CLOSED"),IF($U300="PAID","Account paid. Action completed.","Account closed. No further action required."),CHOOSE($Z300,"Collection Email","1st Email Follow-up","2nd Email Follow-up","Escalation to Local Office","Escalation to CBE","Escalation to Roxanne")&amp;" sent "&amp;TEXT($AA300,"dd-mmm")&amp;". "&amp;IF($Z300=6,"Final escalation completed.",IF($U300="OVERDUE","Next: "&amp;$AC300&amp;" was due "&amp;TEXT($AB300,"dd-mmm")&amp;" - "&amp;(NETWORKDAYS($AB300,TODAY(),Holidays)-1)&amp;" business day(s) late. Send now.",IF($U300="DUE TOMORROW","Next: "&amp;$AC300&amp;IF($AB300&lt;=TODAY()," is due TODAY ("," is due next business day (")&amp;TEXT($AB300,"dd-mmm")&amp;").","Next: "&amp;$AC300&amp;" due "&amp;TEXT($AB300,"dd-mmm")&amp;" ("&amp;(NETWORKDAYS(TODAY(),$AB300,Holidays)-1)&amp;" business day(s) left).")))))</f>
        <v/>
      </c>
      <c r="W300" s="17">
        <f>IF($Z300="","",CHOOSE($Z300,"Collection Email","1st Follow-up","2nd Follow-up","Local Office","CBE","Roxanne")&amp;IF($Z300=6," - Final"," - Day "&amp;MAX(0,NETWORKDAYS($AA300,TODAY(),Holidays)-1)&amp;" of "&amp;CHOOSE($Z300,3,3,2,2,3))&amp;" | Total Day "&amp;MAX(0,NETWORKDAYS($N300,TODAY(),Holidays)-1))</f>
        <v/>
      </c>
      <c r="X300" s="18"/>
      <c r="Y300" s="18"/>
      <c r="Z300" s="17">
        <f>IF($N300="","",COUNT($N300:$S300))</f>
        <v/>
      </c>
      <c r="AA300" s="19">
        <f>IF($Z300="","",INT(INDEX($N300:$S300,$Z300)))</f>
        <v/>
      </c>
      <c r="AB300" s="19">
        <f>IF(OR($Z300="",$Z300=6),"",WORKDAY($AA300,CHOOSE($Z300,3,3,2,2,3),Holidays))</f>
        <v/>
      </c>
      <c r="AC300" s="17">
        <f>IF(OR($Z300="",$Z300=6),"",CHOOSE($Z300,"1st Email Follow-up","2nd Email Follow-up","Escalate Local Office","Escalate to CBE","Escalate to Roxanne"))</f>
        <v/>
      </c>
    </row>
    <row r="301" spans="13:29">
      <c r="M301" s="14"/>
      <c r="T301" s="16"/>
      <c r="U301" s="17">
        <f>IF(AND(COUNTA($A301:$L301)=0,$N301=""),"",IF($T301="Paid","PAID",IF($T301="Closed","CLOSED",IF($Z301="","",IF($Z301=6,"ESCALATED TO ROXANNE",IF(TODAY()&gt;$AB301,"OVERDUE",IF($AB301&lt;=WORKDAY(TODAY(),1,Holidays),"DUE TOMORROW",IF($Z301=4,"ESCALATED TO LOCAL OFFICE",IF($Z301=5,"ESCALATED TO CBE",IF($AA301=TODAY(),"EMAIL SENT","MONITORING"))))))))))</f>
        <v/>
      </c>
      <c r="V301" s="17">
        <f>IF($U301="",IF(AND(COUNTA($A301:$L301)&gt;0,$N301=""),"Awaiting Collection Email time stamp.",""),IF(OR($U301="PAID",$U301="CLOSED"),IF($U301="PAID","Account paid. Action completed.","Account closed. No further action required."),CHOOSE($Z301,"Collection Email","1st Email Follow-up","2nd Email Follow-up","Escalation to Local Office","Escalation to CBE","Escalation to Roxanne")&amp;" sent "&amp;TEXT($AA301,"dd-mmm")&amp;". "&amp;IF($Z301=6,"Final escalation completed.",IF($U301="OVERDUE","Next: "&amp;$AC301&amp;" was due "&amp;TEXT($AB301,"dd-mmm")&amp;" - "&amp;(NETWORKDAYS($AB301,TODAY(),Holidays)-1)&amp;" business day(s) late. Send now.",IF($U301="DUE TOMORROW","Next: "&amp;$AC301&amp;IF($AB301&lt;=TODAY()," is due TODAY ("," is due next business day (")&amp;TEXT($AB301,"dd-mmm")&amp;").","Next: "&amp;$AC301&amp;" due "&amp;TEXT($AB301,"dd-mmm")&amp;" ("&amp;(NETWORKDAYS(TODAY(),$AB301,Holidays)-1)&amp;" business day(s) left).")))))</f>
        <v/>
      </c>
      <c r="W301" s="17">
        <f>IF($Z301="","",CHOOSE($Z301,"Collection Email","1st Follow-up","2nd Follow-up","Local Office","CBE","Roxanne")&amp;IF($Z301=6," - Final"," - Day "&amp;MAX(0,NETWORKDAYS($AA301,TODAY(),Holidays)-1)&amp;" of "&amp;CHOOSE($Z301,3,3,2,2,3))&amp;" | Total Day "&amp;MAX(0,NETWORKDAYS($N301,TODAY(),Holidays)-1))</f>
        <v/>
      </c>
      <c r="X301" s="18"/>
      <c r="Y301" s="18"/>
      <c r="Z301" s="17">
        <f>IF($N301="","",COUNT($N301:$S301))</f>
        <v/>
      </c>
      <c r="AA301" s="19">
        <f>IF($Z301="","",INT(INDEX($N301:$S301,$Z301)))</f>
        <v/>
      </c>
      <c r="AB301" s="19">
        <f>IF(OR($Z301="",$Z301=6),"",WORKDAY($AA301,CHOOSE($Z301,3,3,2,2,3),Holidays))</f>
        <v/>
      </c>
      <c r="AC301" s="17">
        <f>IF(OR($Z301="",$Z301=6),"",CHOOSE($Z301,"1st Email Follow-up","2nd Email Follow-up","Escalate Local Office","Escalate to CBE","Escalate to Roxanne"))</f>
        <v/>
      </c>
    </row>
    <row r="302" spans="13:29">
      <c r="M302" s="14"/>
      <c r="T302" s="16"/>
      <c r="U302" s="17">
        <f>IF(AND(COUNTA($A302:$L302)=0,$N302=""),"",IF($T302="Paid","PAID",IF($T302="Closed","CLOSED",IF($Z302="","",IF($Z302=6,"ESCALATED TO ROXANNE",IF(TODAY()&gt;$AB302,"OVERDUE",IF($AB302&lt;=WORKDAY(TODAY(),1,Holidays),"DUE TOMORROW",IF($Z302=4,"ESCALATED TO LOCAL OFFICE",IF($Z302=5,"ESCALATED TO CBE",IF($AA302=TODAY(),"EMAIL SENT","MONITORING"))))))))))</f>
        <v/>
      </c>
      <c r="V302" s="17">
        <f>IF($U302="",IF(AND(COUNTA($A302:$L302)&gt;0,$N302=""),"Awaiting Collection Email time stamp.",""),IF(OR($U302="PAID",$U302="CLOSED"),IF($U302="PAID","Account paid. Action completed.","Account closed. No further action required."),CHOOSE($Z302,"Collection Email","1st Email Follow-up","2nd Email Follow-up","Escalation to Local Office","Escalation to CBE","Escalation to Roxanne")&amp;" sent "&amp;TEXT($AA302,"dd-mmm")&amp;". "&amp;IF($Z302=6,"Final escalation completed.",IF($U302="OVERDUE","Next: "&amp;$AC302&amp;" was due "&amp;TEXT($AB302,"dd-mmm")&amp;" - "&amp;(NETWORKDAYS($AB302,TODAY(),Holidays)-1)&amp;" business day(s) late. Send now.",IF($U302="DUE TOMORROW","Next: "&amp;$AC302&amp;IF($AB302&lt;=TODAY()," is due TODAY ("," is due next business day (")&amp;TEXT($AB302,"dd-mmm")&amp;").","Next: "&amp;$AC302&amp;" due "&amp;TEXT($AB302,"dd-mmm")&amp;" ("&amp;(NETWORKDAYS(TODAY(),$AB302,Holidays)-1)&amp;" business day(s) left).")))))</f>
        <v/>
      </c>
      <c r="W302" s="17">
        <f>IF($Z302="","",CHOOSE($Z302,"Collection Email","1st Follow-up","2nd Follow-up","Local Office","CBE","Roxanne")&amp;IF($Z302=6," - Final"," - Day "&amp;MAX(0,NETWORKDAYS($AA302,TODAY(),Holidays)-1)&amp;" of "&amp;CHOOSE($Z302,3,3,2,2,3))&amp;" | Total Day "&amp;MAX(0,NETWORKDAYS($N302,TODAY(),Holidays)-1))</f>
        <v/>
      </c>
      <c r="X302" s="18"/>
      <c r="Y302" s="18"/>
      <c r="Z302" s="17">
        <f>IF($N302="","",COUNT($N302:$S302))</f>
        <v/>
      </c>
      <c r="AA302" s="19">
        <f>IF($Z302="","",INT(INDEX($N302:$S302,$Z302)))</f>
        <v/>
      </c>
      <c r="AB302" s="19">
        <f>IF(OR($Z302="",$Z302=6),"",WORKDAY($AA302,CHOOSE($Z302,3,3,2,2,3),Holidays))</f>
        <v/>
      </c>
      <c r="AC302" s="17">
        <f>IF(OR($Z302="",$Z302=6),"",CHOOSE($Z302,"1st Email Follow-up","2nd Email Follow-up","Escalate Local Office","Escalate to CBE","Escalate to Roxanne"))</f>
        <v/>
      </c>
    </row>
    <row r="303" spans="13:29">
      <c r="M303" s="14"/>
      <c r="T303" s="16"/>
      <c r="U303" s="17">
        <f>IF(AND(COUNTA($A303:$L303)=0,$N303=""),"",IF($T303="Paid","PAID",IF($T303="Closed","CLOSED",IF($Z303="","",IF($Z303=6,"ESCALATED TO ROXANNE",IF(TODAY()&gt;$AB303,"OVERDUE",IF($AB303&lt;=WORKDAY(TODAY(),1,Holidays),"DUE TOMORROW",IF($Z303=4,"ESCALATED TO LOCAL OFFICE",IF($Z303=5,"ESCALATED TO CBE",IF($AA303=TODAY(),"EMAIL SENT","MONITORING"))))))))))</f>
        <v/>
      </c>
      <c r="V303" s="17">
        <f>IF($U303="",IF(AND(COUNTA($A303:$L303)&gt;0,$N303=""),"Awaiting Collection Email time stamp.",""),IF(OR($U303="PAID",$U303="CLOSED"),IF($U303="PAID","Account paid. Action completed.","Account closed. No further action required."),CHOOSE($Z303,"Collection Email","1st Email Follow-up","2nd Email Follow-up","Escalation to Local Office","Escalation to CBE","Escalation to Roxanne")&amp;" sent "&amp;TEXT($AA303,"dd-mmm")&amp;". "&amp;IF($Z303=6,"Final escalation completed.",IF($U303="OVERDUE","Next: "&amp;$AC303&amp;" was due "&amp;TEXT($AB303,"dd-mmm")&amp;" - "&amp;(NETWORKDAYS($AB303,TODAY(),Holidays)-1)&amp;" business day(s) late. Send now.",IF($U303="DUE TOMORROW","Next: "&amp;$AC303&amp;IF($AB303&lt;=TODAY()," is due TODAY ("," is due next business day (")&amp;TEXT($AB303,"dd-mmm")&amp;").","Next: "&amp;$AC303&amp;" due "&amp;TEXT($AB303,"dd-mmm")&amp;" ("&amp;(NETWORKDAYS(TODAY(),$AB303,Holidays)-1)&amp;" business day(s) left).")))))</f>
        <v/>
      </c>
      <c r="W303" s="17">
        <f>IF($Z303="","",CHOOSE($Z303,"Collection Email","1st Follow-up","2nd Follow-up","Local Office","CBE","Roxanne")&amp;IF($Z303=6," - Final"," - Day "&amp;MAX(0,NETWORKDAYS($AA303,TODAY(),Holidays)-1)&amp;" of "&amp;CHOOSE($Z303,3,3,2,2,3))&amp;" | Total Day "&amp;MAX(0,NETWORKDAYS($N303,TODAY(),Holidays)-1))</f>
        <v/>
      </c>
      <c r="X303" s="18"/>
      <c r="Y303" s="18"/>
      <c r="Z303" s="17">
        <f>IF($N303="","",COUNT($N303:$S303))</f>
        <v/>
      </c>
      <c r="AA303" s="19">
        <f>IF($Z303="","",INT(INDEX($N303:$S303,$Z303)))</f>
        <v/>
      </c>
      <c r="AB303" s="19">
        <f>IF(OR($Z303="",$Z303=6),"",WORKDAY($AA303,CHOOSE($Z303,3,3,2,2,3),Holidays))</f>
        <v/>
      </c>
      <c r="AC303" s="17">
        <f>IF(OR($Z303="",$Z303=6),"",CHOOSE($Z303,"1st Email Follow-up","2nd Email Follow-up","Escalate Local Office","Escalate to CBE","Escalate to Roxanne"))</f>
        <v/>
      </c>
    </row>
    <row r="304" spans="13:29">
      <c r="M304" s="14"/>
      <c r="T304" s="16"/>
      <c r="U304" s="17">
        <f>IF(AND(COUNTA($A304:$L304)=0,$N304=""),"",IF($T304="Paid","PAID",IF($T304="Closed","CLOSED",IF($Z304="","",IF($Z304=6,"ESCALATED TO ROXANNE",IF(TODAY()&gt;$AB304,"OVERDUE",IF($AB304&lt;=WORKDAY(TODAY(),1,Holidays),"DUE TOMORROW",IF($Z304=4,"ESCALATED TO LOCAL OFFICE",IF($Z304=5,"ESCALATED TO CBE",IF($AA304=TODAY(),"EMAIL SENT","MONITORING"))))))))))</f>
        <v/>
      </c>
      <c r="V304" s="17">
        <f>IF($U304="",IF(AND(COUNTA($A304:$L304)&gt;0,$N304=""),"Awaiting Collection Email time stamp.",""),IF(OR($U304="PAID",$U304="CLOSED"),IF($U304="PAID","Account paid. Action completed.","Account closed. No further action required."),CHOOSE($Z304,"Collection Email","1st Email Follow-up","2nd Email Follow-up","Escalation to Local Office","Escalation to CBE","Escalation to Roxanne")&amp;" sent "&amp;TEXT($AA304,"dd-mmm")&amp;". "&amp;IF($Z304=6,"Final escalation completed.",IF($U304="OVERDUE","Next: "&amp;$AC304&amp;" was due "&amp;TEXT($AB304,"dd-mmm")&amp;" - "&amp;(NETWORKDAYS($AB304,TODAY(),Holidays)-1)&amp;" business day(s) late. Send now.",IF($U304="DUE TOMORROW","Next: "&amp;$AC304&amp;IF($AB304&lt;=TODAY()," is due TODAY ("," is due next business day (")&amp;TEXT($AB304,"dd-mmm")&amp;").","Next: "&amp;$AC304&amp;" due "&amp;TEXT($AB304,"dd-mmm")&amp;" ("&amp;(NETWORKDAYS(TODAY(),$AB304,Holidays)-1)&amp;" business day(s) left).")))))</f>
        <v/>
      </c>
      <c r="W304" s="17">
        <f>IF($Z304="","",CHOOSE($Z304,"Collection Email","1st Follow-up","2nd Follow-up","Local Office","CBE","Roxanne")&amp;IF($Z304=6," - Final"," - Day "&amp;MAX(0,NETWORKDAYS($AA304,TODAY(),Holidays)-1)&amp;" of "&amp;CHOOSE($Z304,3,3,2,2,3))&amp;" | Total Day "&amp;MAX(0,NETWORKDAYS($N304,TODAY(),Holidays)-1))</f>
        <v/>
      </c>
      <c r="X304" s="18"/>
      <c r="Y304" s="18"/>
      <c r="Z304" s="17">
        <f>IF($N304="","",COUNT($N304:$S304))</f>
        <v/>
      </c>
      <c r="AA304" s="19">
        <f>IF($Z304="","",INT(INDEX($N304:$S304,$Z304)))</f>
        <v/>
      </c>
      <c r="AB304" s="19">
        <f>IF(OR($Z304="",$Z304=6),"",WORKDAY($AA304,CHOOSE($Z304,3,3,2,2,3),Holidays))</f>
        <v/>
      </c>
      <c r="AC304" s="17">
        <f>IF(OR($Z304="",$Z304=6),"",CHOOSE($Z304,"1st Email Follow-up","2nd Email Follow-up","Escalate Local Office","Escalate to CBE","Escalate to Roxanne"))</f>
        <v/>
      </c>
    </row>
    <row r="305" spans="13:29">
      <c r="M305" s="14"/>
      <c r="T305" s="16"/>
      <c r="U305" s="17">
        <f>IF(AND(COUNTA($A305:$L305)=0,$N305=""),"",IF($T305="Paid","PAID",IF($T305="Closed","CLOSED",IF($Z305="","",IF($Z305=6,"ESCALATED TO ROXANNE",IF(TODAY()&gt;$AB305,"OVERDUE",IF($AB305&lt;=WORKDAY(TODAY(),1,Holidays),"DUE TOMORROW",IF($Z305=4,"ESCALATED TO LOCAL OFFICE",IF($Z305=5,"ESCALATED TO CBE",IF($AA305=TODAY(),"EMAIL SENT","MONITORING"))))))))))</f>
        <v/>
      </c>
      <c r="V305" s="17">
        <f>IF($U305="",IF(AND(COUNTA($A305:$L305)&gt;0,$N305=""),"Awaiting Collection Email time stamp.",""),IF(OR($U305="PAID",$U305="CLOSED"),IF($U305="PAID","Account paid. Action completed.","Account closed. No further action required."),CHOOSE($Z305,"Collection Email","1st Email Follow-up","2nd Email Follow-up","Escalation to Local Office","Escalation to CBE","Escalation to Roxanne")&amp;" sent "&amp;TEXT($AA305,"dd-mmm")&amp;". "&amp;IF($Z305=6,"Final escalation completed.",IF($U305="OVERDUE","Next: "&amp;$AC305&amp;" was due "&amp;TEXT($AB305,"dd-mmm")&amp;" - "&amp;(NETWORKDAYS($AB305,TODAY(),Holidays)-1)&amp;" business day(s) late. Send now.",IF($U305="DUE TOMORROW","Next: "&amp;$AC305&amp;IF($AB305&lt;=TODAY()," is due TODAY ("," is due next business day (")&amp;TEXT($AB305,"dd-mmm")&amp;").","Next: "&amp;$AC305&amp;" due "&amp;TEXT($AB305,"dd-mmm")&amp;" ("&amp;(NETWORKDAYS(TODAY(),$AB305,Holidays)-1)&amp;" business day(s) left).")))))</f>
        <v/>
      </c>
      <c r="W305" s="17">
        <f>IF($Z305="","",CHOOSE($Z305,"Collection Email","1st Follow-up","2nd Follow-up","Local Office","CBE","Roxanne")&amp;IF($Z305=6," - Final"," - Day "&amp;MAX(0,NETWORKDAYS($AA305,TODAY(),Holidays)-1)&amp;" of "&amp;CHOOSE($Z305,3,3,2,2,3))&amp;" | Total Day "&amp;MAX(0,NETWORKDAYS($N305,TODAY(),Holidays)-1))</f>
        <v/>
      </c>
      <c r="X305" s="18"/>
      <c r="Y305" s="18"/>
      <c r="Z305" s="17">
        <f>IF($N305="","",COUNT($N305:$S305))</f>
        <v/>
      </c>
      <c r="AA305" s="19">
        <f>IF($Z305="","",INT(INDEX($N305:$S305,$Z305)))</f>
        <v/>
      </c>
      <c r="AB305" s="19">
        <f>IF(OR($Z305="",$Z305=6),"",WORKDAY($AA305,CHOOSE($Z305,3,3,2,2,3),Holidays))</f>
        <v/>
      </c>
      <c r="AC305" s="17">
        <f>IF(OR($Z305="",$Z305=6),"",CHOOSE($Z305,"1st Email Follow-up","2nd Email Follow-up","Escalate Local Office","Escalate to CBE","Escalate to Roxanne"))</f>
        <v/>
      </c>
    </row>
    <row r="306" spans="13:29">
      <c r="M306" s="14"/>
      <c r="T306" s="16"/>
      <c r="U306" s="17">
        <f>IF(AND(COUNTA($A306:$L306)=0,$N306=""),"",IF($T306="Paid","PAID",IF($T306="Closed","CLOSED",IF($Z306="","",IF($Z306=6,"ESCALATED TO ROXANNE",IF(TODAY()&gt;$AB306,"OVERDUE",IF($AB306&lt;=WORKDAY(TODAY(),1,Holidays),"DUE TOMORROW",IF($Z306=4,"ESCALATED TO LOCAL OFFICE",IF($Z306=5,"ESCALATED TO CBE",IF($AA306=TODAY(),"EMAIL SENT","MONITORING"))))))))))</f>
        <v/>
      </c>
      <c r="V306" s="17">
        <f>IF($U306="",IF(AND(COUNTA($A306:$L306)&gt;0,$N306=""),"Awaiting Collection Email time stamp.",""),IF(OR($U306="PAID",$U306="CLOSED"),IF($U306="PAID","Account paid. Action completed.","Account closed. No further action required."),CHOOSE($Z306,"Collection Email","1st Email Follow-up","2nd Email Follow-up","Escalation to Local Office","Escalation to CBE","Escalation to Roxanne")&amp;" sent "&amp;TEXT($AA306,"dd-mmm")&amp;". "&amp;IF($Z306=6,"Final escalation completed.",IF($U306="OVERDUE","Next: "&amp;$AC306&amp;" was due "&amp;TEXT($AB306,"dd-mmm")&amp;" - "&amp;(NETWORKDAYS($AB306,TODAY(),Holidays)-1)&amp;" business day(s) late. Send now.",IF($U306="DUE TOMORROW","Next: "&amp;$AC306&amp;IF($AB306&lt;=TODAY()," is due TODAY ("," is due next business day (")&amp;TEXT($AB306,"dd-mmm")&amp;").","Next: "&amp;$AC306&amp;" due "&amp;TEXT($AB306,"dd-mmm")&amp;" ("&amp;(NETWORKDAYS(TODAY(),$AB306,Holidays)-1)&amp;" business day(s) left).")))))</f>
        <v/>
      </c>
      <c r="W306" s="17">
        <f>IF($Z306="","",CHOOSE($Z306,"Collection Email","1st Follow-up","2nd Follow-up","Local Office","CBE","Roxanne")&amp;IF($Z306=6," - Final"," - Day "&amp;MAX(0,NETWORKDAYS($AA306,TODAY(),Holidays)-1)&amp;" of "&amp;CHOOSE($Z306,3,3,2,2,3))&amp;" | Total Day "&amp;MAX(0,NETWORKDAYS($N306,TODAY(),Holidays)-1))</f>
        <v/>
      </c>
      <c r="X306" s="18"/>
      <c r="Y306" s="18"/>
      <c r="Z306" s="17">
        <f>IF($N306="","",COUNT($N306:$S306))</f>
        <v/>
      </c>
      <c r="AA306" s="19">
        <f>IF($Z306="","",INT(INDEX($N306:$S306,$Z306)))</f>
        <v/>
      </c>
      <c r="AB306" s="19">
        <f>IF(OR($Z306="",$Z306=6),"",WORKDAY($AA306,CHOOSE($Z306,3,3,2,2,3),Holidays))</f>
        <v/>
      </c>
      <c r="AC306" s="17">
        <f>IF(OR($Z306="",$Z306=6),"",CHOOSE($Z306,"1st Email Follow-up","2nd Email Follow-up","Escalate Local Office","Escalate to CBE","Escalate to Roxanne"))</f>
        <v/>
      </c>
    </row>
    <row r="307" spans="13:29">
      <c r="M307" s="14"/>
      <c r="T307" s="16"/>
      <c r="U307" s="17">
        <f>IF(AND(COUNTA($A307:$L307)=0,$N307=""),"",IF($T307="Paid","PAID",IF($T307="Closed","CLOSED",IF($Z307="","",IF($Z307=6,"ESCALATED TO ROXANNE",IF(TODAY()&gt;$AB307,"OVERDUE",IF($AB307&lt;=WORKDAY(TODAY(),1,Holidays),"DUE TOMORROW",IF($Z307=4,"ESCALATED TO LOCAL OFFICE",IF($Z307=5,"ESCALATED TO CBE",IF($AA307=TODAY(),"EMAIL SENT","MONITORING"))))))))))</f>
        <v/>
      </c>
      <c r="V307" s="17">
        <f>IF($U307="",IF(AND(COUNTA($A307:$L307)&gt;0,$N307=""),"Awaiting Collection Email time stamp.",""),IF(OR($U307="PAID",$U307="CLOSED"),IF($U307="PAID","Account paid. Action completed.","Account closed. No further action required."),CHOOSE($Z307,"Collection Email","1st Email Follow-up","2nd Email Follow-up","Escalation to Local Office","Escalation to CBE","Escalation to Roxanne")&amp;" sent "&amp;TEXT($AA307,"dd-mmm")&amp;". "&amp;IF($Z307=6,"Final escalation completed.",IF($U307="OVERDUE","Next: "&amp;$AC307&amp;" was due "&amp;TEXT($AB307,"dd-mmm")&amp;" - "&amp;(NETWORKDAYS($AB307,TODAY(),Holidays)-1)&amp;" business day(s) late. Send now.",IF($U307="DUE TOMORROW","Next: "&amp;$AC307&amp;IF($AB307&lt;=TODAY()," is due TODAY ("," is due next business day (")&amp;TEXT($AB307,"dd-mmm")&amp;").","Next: "&amp;$AC307&amp;" due "&amp;TEXT($AB307,"dd-mmm")&amp;" ("&amp;(NETWORKDAYS(TODAY(),$AB307,Holidays)-1)&amp;" business day(s) left).")))))</f>
        <v/>
      </c>
      <c r="W307" s="17">
        <f>IF($Z307="","",CHOOSE($Z307,"Collection Email","1st Follow-up","2nd Follow-up","Local Office","CBE","Roxanne")&amp;IF($Z307=6," - Final"," - Day "&amp;MAX(0,NETWORKDAYS($AA307,TODAY(),Holidays)-1)&amp;" of "&amp;CHOOSE($Z307,3,3,2,2,3))&amp;" | Total Day "&amp;MAX(0,NETWORKDAYS($N307,TODAY(),Holidays)-1))</f>
        <v/>
      </c>
      <c r="X307" s="18"/>
      <c r="Y307" s="18"/>
      <c r="Z307" s="17">
        <f>IF($N307="","",COUNT($N307:$S307))</f>
        <v/>
      </c>
      <c r="AA307" s="19">
        <f>IF($Z307="","",INT(INDEX($N307:$S307,$Z307)))</f>
        <v/>
      </c>
      <c r="AB307" s="19">
        <f>IF(OR($Z307="",$Z307=6),"",WORKDAY($AA307,CHOOSE($Z307,3,3,2,2,3),Holidays))</f>
        <v/>
      </c>
      <c r="AC307" s="17">
        <f>IF(OR($Z307="",$Z307=6),"",CHOOSE($Z307,"1st Email Follow-up","2nd Email Follow-up","Escalate Local Office","Escalate to CBE","Escalate to Roxanne"))</f>
        <v/>
      </c>
    </row>
    <row r="308" spans="13:29">
      <c r="M308" s="14"/>
      <c r="T308" s="16"/>
      <c r="U308" s="17">
        <f>IF(AND(COUNTA($A308:$L308)=0,$N308=""),"",IF($T308="Paid","PAID",IF($T308="Closed","CLOSED",IF($Z308="","",IF($Z308=6,"ESCALATED TO ROXANNE",IF(TODAY()&gt;$AB308,"OVERDUE",IF($AB308&lt;=WORKDAY(TODAY(),1,Holidays),"DUE TOMORROW",IF($Z308=4,"ESCALATED TO LOCAL OFFICE",IF($Z308=5,"ESCALATED TO CBE",IF($AA308=TODAY(),"EMAIL SENT","MONITORING"))))))))))</f>
        <v/>
      </c>
      <c r="V308" s="17">
        <f>IF($U308="",IF(AND(COUNTA($A308:$L308)&gt;0,$N308=""),"Awaiting Collection Email time stamp.",""),IF(OR($U308="PAID",$U308="CLOSED"),IF($U308="PAID","Account paid. Action completed.","Account closed. No further action required."),CHOOSE($Z308,"Collection Email","1st Email Follow-up","2nd Email Follow-up","Escalation to Local Office","Escalation to CBE","Escalation to Roxanne")&amp;" sent "&amp;TEXT($AA308,"dd-mmm")&amp;". "&amp;IF($Z308=6,"Final escalation completed.",IF($U308="OVERDUE","Next: "&amp;$AC308&amp;" was due "&amp;TEXT($AB308,"dd-mmm")&amp;" - "&amp;(NETWORKDAYS($AB308,TODAY(),Holidays)-1)&amp;" business day(s) late. Send now.",IF($U308="DUE TOMORROW","Next: "&amp;$AC308&amp;IF($AB308&lt;=TODAY()," is due TODAY ("," is due next business day (")&amp;TEXT($AB308,"dd-mmm")&amp;").","Next: "&amp;$AC308&amp;" due "&amp;TEXT($AB308,"dd-mmm")&amp;" ("&amp;(NETWORKDAYS(TODAY(),$AB308,Holidays)-1)&amp;" business day(s) left).")))))</f>
        <v/>
      </c>
      <c r="W308" s="17">
        <f>IF($Z308="","",CHOOSE($Z308,"Collection Email","1st Follow-up","2nd Follow-up","Local Office","CBE","Roxanne")&amp;IF($Z308=6," - Final"," - Day "&amp;MAX(0,NETWORKDAYS($AA308,TODAY(),Holidays)-1)&amp;" of "&amp;CHOOSE($Z308,3,3,2,2,3))&amp;" | Total Day "&amp;MAX(0,NETWORKDAYS($N308,TODAY(),Holidays)-1))</f>
        <v/>
      </c>
      <c r="X308" s="18"/>
      <c r="Y308" s="18"/>
      <c r="Z308" s="17">
        <f>IF($N308="","",COUNT($N308:$S308))</f>
        <v/>
      </c>
      <c r="AA308" s="19">
        <f>IF($Z308="","",INT(INDEX($N308:$S308,$Z308)))</f>
        <v/>
      </c>
      <c r="AB308" s="19">
        <f>IF(OR($Z308="",$Z308=6),"",WORKDAY($AA308,CHOOSE($Z308,3,3,2,2,3),Holidays))</f>
        <v/>
      </c>
      <c r="AC308" s="17">
        <f>IF(OR($Z308="",$Z308=6),"",CHOOSE($Z308,"1st Email Follow-up","2nd Email Follow-up","Escalate Local Office","Escalate to CBE","Escalate to Roxanne"))</f>
        <v/>
      </c>
    </row>
    <row r="309" spans="13:29">
      <c r="M309" s="14"/>
      <c r="T309" s="16"/>
      <c r="U309" s="17">
        <f>IF(AND(COUNTA($A309:$L309)=0,$N309=""),"",IF($T309="Paid","PAID",IF($T309="Closed","CLOSED",IF($Z309="","",IF($Z309=6,"ESCALATED TO ROXANNE",IF(TODAY()&gt;$AB309,"OVERDUE",IF($AB309&lt;=WORKDAY(TODAY(),1,Holidays),"DUE TOMORROW",IF($Z309=4,"ESCALATED TO LOCAL OFFICE",IF($Z309=5,"ESCALATED TO CBE",IF($AA309=TODAY(),"EMAIL SENT","MONITORING"))))))))))</f>
        <v/>
      </c>
      <c r="V309" s="17">
        <f>IF($U309="",IF(AND(COUNTA($A309:$L309)&gt;0,$N309=""),"Awaiting Collection Email time stamp.",""),IF(OR($U309="PAID",$U309="CLOSED"),IF($U309="PAID","Account paid. Action completed.","Account closed. No further action required."),CHOOSE($Z309,"Collection Email","1st Email Follow-up","2nd Email Follow-up","Escalation to Local Office","Escalation to CBE","Escalation to Roxanne")&amp;" sent "&amp;TEXT($AA309,"dd-mmm")&amp;". "&amp;IF($Z309=6,"Final escalation completed.",IF($U309="OVERDUE","Next: "&amp;$AC309&amp;" was due "&amp;TEXT($AB309,"dd-mmm")&amp;" - "&amp;(NETWORKDAYS($AB309,TODAY(),Holidays)-1)&amp;" business day(s) late. Send now.",IF($U309="DUE TOMORROW","Next: "&amp;$AC309&amp;IF($AB309&lt;=TODAY()," is due TODAY ("," is due next business day (")&amp;TEXT($AB309,"dd-mmm")&amp;").","Next: "&amp;$AC309&amp;" due "&amp;TEXT($AB309,"dd-mmm")&amp;" ("&amp;(NETWORKDAYS(TODAY(),$AB309,Holidays)-1)&amp;" business day(s) left).")))))</f>
        <v/>
      </c>
      <c r="W309" s="17">
        <f>IF($Z309="","",CHOOSE($Z309,"Collection Email","1st Follow-up","2nd Follow-up","Local Office","CBE","Roxanne")&amp;IF($Z309=6," - Final"," - Day "&amp;MAX(0,NETWORKDAYS($AA309,TODAY(),Holidays)-1)&amp;" of "&amp;CHOOSE($Z309,3,3,2,2,3))&amp;" | Total Day "&amp;MAX(0,NETWORKDAYS($N309,TODAY(),Holidays)-1))</f>
        <v/>
      </c>
      <c r="X309" s="18"/>
      <c r="Y309" s="18"/>
      <c r="Z309" s="17">
        <f>IF($N309="","",COUNT($N309:$S309))</f>
        <v/>
      </c>
      <c r="AA309" s="19">
        <f>IF($Z309="","",INT(INDEX($N309:$S309,$Z309)))</f>
        <v/>
      </c>
      <c r="AB309" s="19">
        <f>IF(OR($Z309="",$Z309=6),"",WORKDAY($AA309,CHOOSE($Z309,3,3,2,2,3),Holidays))</f>
        <v/>
      </c>
      <c r="AC309" s="17">
        <f>IF(OR($Z309="",$Z309=6),"",CHOOSE($Z309,"1st Email Follow-up","2nd Email Follow-up","Escalate Local Office","Escalate to CBE","Escalate to Roxanne"))</f>
        <v/>
      </c>
    </row>
    <row r="310" spans="13:29">
      <c r="M310" s="14"/>
      <c r="T310" s="16"/>
      <c r="U310" s="17">
        <f>IF(AND(COUNTA($A310:$L310)=0,$N310=""),"",IF($T310="Paid","PAID",IF($T310="Closed","CLOSED",IF($Z310="","",IF($Z310=6,"ESCALATED TO ROXANNE",IF(TODAY()&gt;$AB310,"OVERDUE",IF($AB310&lt;=WORKDAY(TODAY(),1,Holidays),"DUE TOMORROW",IF($Z310=4,"ESCALATED TO LOCAL OFFICE",IF($Z310=5,"ESCALATED TO CBE",IF($AA310=TODAY(),"EMAIL SENT","MONITORING"))))))))))</f>
        <v/>
      </c>
      <c r="V310" s="17">
        <f>IF($U310="",IF(AND(COUNTA($A310:$L310)&gt;0,$N310=""),"Awaiting Collection Email time stamp.",""),IF(OR($U310="PAID",$U310="CLOSED"),IF($U310="PAID","Account paid. Action completed.","Account closed. No further action required."),CHOOSE($Z310,"Collection Email","1st Email Follow-up","2nd Email Follow-up","Escalation to Local Office","Escalation to CBE","Escalation to Roxanne")&amp;" sent "&amp;TEXT($AA310,"dd-mmm")&amp;". "&amp;IF($Z310=6,"Final escalation completed.",IF($U310="OVERDUE","Next: "&amp;$AC310&amp;" was due "&amp;TEXT($AB310,"dd-mmm")&amp;" - "&amp;(NETWORKDAYS($AB310,TODAY(),Holidays)-1)&amp;" business day(s) late. Send now.",IF($U310="DUE TOMORROW","Next: "&amp;$AC310&amp;IF($AB310&lt;=TODAY()," is due TODAY ("," is due next business day (")&amp;TEXT($AB310,"dd-mmm")&amp;").","Next: "&amp;$AC310&amp;" due "&amp;TEXT($AB310,"dd-mmm")&amp;" ("&amp;(NETWORKDAYS(TODAY(),$AB310,Holidays)-1)&amp;" business day(s) left).")))))</f>
        <v/>
      </c>
      <c r="W310" s="17">
        <f>IF($Z310="","",CHOOSE($Z310,"Collection Email","1st Follow-up","2nd Follow-up","Local Office","CBE","Roxanne")&amp;IF($Z310=6," - Final"," - Day "&amp;MAX(0,NETWORKDAYS($AA310,TODAY(),Holidays)-1)&amp;" of "&amp;CHOOSE($Z310,3,3,2,2,3))&amp;" | Total Day "&amp;MAX(0,NETWORKDAYS($N310,TODAY(),Holidays)-1))</f>
        <v/>
      </c>
      <c r="X310" s="18"/>
      <c r="Y310" s="18"/>
      <c r="Z310" s="17">
        <f>IF($N310="","",COUNT($N310:$S310))</f>
        <v/>
      </c>
      <c r="AA310" s="19">
        <f>IF($Z310="","",INT(INDEX($N310:$S310,$Z310)))</f>
        <v/>
      </c>
      <c r="AB310" s="19">
        <f>IF(OR($Z310="",$Z310=6),"",WORKDAY($AA310,CHOOSE($Z310,3,3,2,2,3),Holidays))</f>
        <v/>
      </c>
      <c r="AC310" s="17">
        <f>IF(OR($Z310="",$Z310=6),"",CHOOSE($Z310,"1st Email Follow-up","2nd Email Follow-up","Escalate Local Office","Escalate to CBE","Escalate to Roxanne"))</f>
        <v/>
      </c>
    </row>
    <row r="311" spans="13:29">
      <c r="M311" s="14"/>
      <c r="T311" s="16"/>
      <c r="U311" s="17">
        <f>IF(AND(COUNTA($A311:$L311)=0,$N311=""),"",IF($T311="Paid","PAID",IF($T311="Closed","CLOSED",IF($Z311="","",IF($Z311=6,"ESCALATED TO ROXANNE",IF(TODAY()&gt;$AB311,"OVERDUE",IF($AB311&lt;=WORKDAY(TODAY(),1,Holidays),"DUE TOMORROW",IF($Z311=4,"ESCALATED TO LOCAL OFFICE",IF($Z311=5,"ESCALATED TO CBE",IF($AA311=TODAY(),"EMAIL SENT","MONITORING"))))))))))</f>
        <v/>
      </c>
      <c r="V311" s="17">
        <f>IF($U311="",IF(AND(COUNTA($A311:$L311)&gt;0,$N311=""),"Awaiting Collection Email time stamp.",""),IF(OR($U311="PAID",$U311="CLOSED"),IF($U311="PAID","Account paid. Action completed.","Account closed. No further action required."),CHOOSE($Z311,"Collection Email","1st Email Follow-up","2nd Email Follow-up","Escalation to Local Office","Escalation to CBE","Escalation to Roxanne")&amp;" sent "&amp;TEXT($AA311,"dd-mmm")&amp;". "&amp;IF($Z311=6,"Final escalation completed.",IF($U311="OVERDUE","Next: "&amp;$AC311&amp;" was due "&amp;TEXT($AB311,"dd-mmm")&amp;" - "&amp;(NETWORKDAYS($AB311,TODAY(),Holidays)-1)&amp;" business day(s) late. Send now.",IF($U311="DUE TOMORROW","Next: "&amp;$AC311&amp;IF($AB311&lt;=TODAY()," is due TODAY ("," is due next business day (")&amp;TEXT($AB311,"dd-mmm")&amp;").","Next: "&amp;$AC311&amp;" due "&amp;TEXT($AB311,"dd-mmm")&amp;" ("&amp;(NETWORKDAYS(TODAY(),$AB311,Holidays)-1)&amp;" business day(s) left).")))))</f>
        <v/>
      </c>
      <c r="W311" s="17">
        <f>IF($Z311="","",CHOOSE($Z311,"Collection Email","1st Follow-up","2nd Follow-up","Local Office","CBE","Roxanne")&amp;IF($Z311=6," - Final"," - Day "&amp;MAX(0,NETWORKDAYS($AA311,TODAY(),Holidays)-1)&amp;" of "&amp;CHOOSE($Z311,3,3,2,2,3))&amp;" | Total Day "&amp;MAX(0,NETWORKDAYS($N311,TODAY(),Holidays)-1))</f>
        <v/>
      </c>
      <c r="X311" s="18"/>
      <c r="Y311" s="18"/>
      <c r="Z311" s="17">
        <f>IF($N311="","",COUNT($N311:$S311))</f>
        <v/>
      </c>
      <c r="AA311" s="19">
        <f>IF($Z311="","",INT(INDEX($N311:$S311,$Z311)))</f>
        <v/>
      </c>
      <c r="AB311" s="19">
        <f>IF(OR($Z311="",$Z311=6),"",WORKDAY($AA311,CHOOSE($Z311,3,3,2,2,3),Holidays))</f>
        <v/>
      </c>
      <c r="AC311" s="17">
        <f>IF(OR($Z311="",$Z311=6),"",CHOOSE($Z311,"1st Email Follow-up","2nd Email Follow-up","Escalate Local Office","Escalate to CBE","Escalate to Roxanne"))</f>
        <v/>
      </c>
    </row>
    <row r="312" spans="13:29">
      <c r="M312" s="14"/>
      <c r="T312" s="16"/>
      <c r="U312" s="17">
        <f>IF(AND(COUNTA($A312:$L312)=0,$N312=""),"",IF($T312="Paid","PAID",IF($T312="Closed","CLOSED",IF($Z312="","",IF($Z312=6,"ESCALATED TO ROXANNE",IF(TODAY()&gt;$AB312,"OVERDUE",IF($AB312&lt;=WORKDAY(TODAY(),1,Holidays),"DUE TOMORROW",IF($Z312=4,"ESCALATED TO LOCAL OFFICE",IF($Z312=5,"ESCALATED TO CBE",IF($AA312=TODAY(),"EMAIL SENT","MONITORING"))))))))))</f>
        <v/>
      </c>
      <c r="V312" s="17">
        <f>IF($U312="",IF(AND(COUNTA($A312:$L312)&gt;0,$N312=""),"Awaiting Collection Email time stamp.",""),IF(OR($U312="PAID",$U312="CLOSED"),IF($U312="PAID","Account paid. Action completed.","Account closed. No further action required."),CHOOSE($Z312,"Collection Email","1st Email Follow-up","2nd Email Follow-up","Escalation to Local Office","Escalation to CBE","Escalation to Roxanne")&amp;" sent "&amp;TEXT($AA312,"dd-mmm")&amp;". "&amp;IF($Z312=6,"Final escalation completed.",IF($U312="OVERDUE","Next: "&amp;$AC312&amp;" was due "&amp;TEXT($AB312,"dd-mmm")&amp;" - "&amp;(NETWORKDAYS($AB312,TODAY(),Holidays)-1)&amp;" business day(s) late. Send now.",IF($U312="DUE TOMORROW","Next: "&amp;$AC312&amp;IF($AB312&lt;=TODAY()," is due TODAY ("," is due next business day (")&amp;TEXT($AB312,"dd-mmm")&amp;").","Next: "&amp;$AC312&amp;" due "&amp;TEXT($AB312,"dd-mmm")&amp;" ("&amp;(NETWORKDAYS(TODAY(),$AB312,Holidays)-1)&amp;" business day(s) left).")))))</f>
        <v/>
      </c>
      <c r="W312" s="17">
        <f>IF($Z312="","",CHOOSE($Z312,"Collection Email","1st Follow-up","2nd Follow-up","Local Office","CBE","Roxanne")&amp;IF($Z312=6," - Final"," - Day "&amp;MAX(0,NETWORKDAYS($AA312,TODAY(),Holidays)-1)&amp;" of "&amp;CHOOSE($Z312,3,3,2,2,3))&amp;" | Total Day "&amp;MAX(0,NETWORKDAYS($N312,TODAY(),Holidays)-1))</f>
        <v/>
      </c>
      <c r="X312" s="18"/>
      <c r="Y312" s="18"/>
      <c r="Z312" s="17">
        <f>IF($N312="","",COUNT($N312:$S312))</f>
        <v/>
      </c>
      <c r="AA312" s="19">
        <f>IF($Z312="","",INT(INDEX($N312:$S312,$Z312)))</f>
        <v/>
      </c>
      <c r="AB312" s="19">
        <f>IF(OR($Z312="",$Z312=6),"",WORKDAY($AA312,CHOOSE($Z312,3,3,2,2,3),Holidays))</f>
        <v/>
      </c>
      <c r="AC312" s="17">
        <f>IF(OR($Z312="",$Z312=6),"",CHOOSE($Z312,"1st Email Follow-up","2nd Email Follow-up","Escalate Local Office","Escalate to CBE","Escalate to Roxanne"))</f>
        <v/>
      </c>
    </row>
    <row r="313" spans="13:29">
      <c r="M313" s="14"/>
      <c r="T313" s="16"/>
      <c r="U313" s="17">
        <f>IF(AND(COUNTA($A313:$L313)=0,$N313=""),"",IF($T313="Paid","PAID",IF($T313="Closed","CLOSED",IF($Z313="","",IF($Z313=6,"ESCALATED TO ROXANNE",IF(TODAY()&gt;$AB313,"OVERDUE",IF($AB313&lt;=WORKDAY(TODAY(),1,Holidays),"DUE TOMORROW",IF($Z313=4,"ESCALATED TO LOCAL OFFICE",IF($Z313=5,"ESCALATED TO CBE",IF($AA313=TODAY(),"EMAIL SENT","MONITORING"))))))))))</f>
        <v/>
      </c>
      <c r="V313" s="17">
        <f>IF($U313="",IF(AND(COUNTA($A313:$L313)&gt;0,$N313=""),"Awaiting Collection Email time stamp.",""),IF(OR($U313="PAID",$U313="CLOSED"),IF($U313="PAID","Account paid. Action completed.","Account closed. No further action required."),CHOOSE($Z313,"Collection Email","1st Email Follow-up","2nd Email Follow-up","Escalation to Local Office","Escalation to CBE","Escalation to Roxanne")&amp;" sent "&amp;TEXT($AA313,"dd-mmm")&amp;". "&amp;IF($Z313=6,"Final escalation completed.",IF($U313="OVERDUE","Next: "&amp;$AC313&amp;" was due "&amp;TEXT($AB313,"dd-mmm")&amp;" - "&amp;(NETWORKDAYS($AB313,TODAY(),Holidays)-1)&amp;" business day(s) late. Send now.",IF($U313="DUE TOMORROW","Next: "&amp;$AC313&amp;IF($AB313&lt;=TODAY()," is due TODAY ("," is due next business day (")&amp;TEXT($AB313,"dd-mmm")&amp;").","Next: "&amp;$AC313&amp;" due "&amp;TEXT($AB313,"dd-mmm")&amp;" ("&amp;(NETWORKDAYS(TODAY(),$AB313,Holidays)-1)&amp;" business day(s) left).")))))</f>
        <v/>
      </c>
      <c r="W313" s="17">
        <f>IF($Z313="","",CHOOSE($Z313,"Collection Email","1st Follow-up","2nd Follow-up","Local Office","CBE","Roxanne")&amp;IF($Z313=6," - Final"," - Day "&amp;MAX(0,NETWORKDAYS($AA313,TODAY(),Holidays)-1)&amp;" of "&amp;CHOOSE($Z313,3,3,2,2,3))&amp;" | Total Day "&amp;MAX(0,NETWORKDAYS($N313,TODAY(),Holidays)-1))</f>
        <v/>
      </c>
      <c r="X313" s="18"/>
      <c r="Y313" s="18"/>
      <c r="Z313" s="17">
        <f>IF($N313="","",COUNT($N313:$S313))</f>
        <v/>
      </c>
      <c r="AA313" s="19">
        <f>IF($Z313="","",INT(INDEX($N313:$S313,$Z313)))</f>
        <v/>
      </c>
      <c r="AB313" s="19">
        <f>IF(OR($Z313="",$Z313=6),"",WORKDAY($AA313,CHOOSE($Z313,3,3,2,2,3),Holidays))</f>
        <v/>
      </c>
      <c r="AC313" s="17">
        <f>IF(OR($Z313="",$Z313=6),"",CHOOSE($Z313,"1st Email Follow-up","2nd Email Follow-up","Escalate Local Office","Escalate to CBE","Escalate to Roxanne"))</f>
        <v/>
      </c>
    </row>
    <row r="314" spans="13:29">
      <c r="M314" s="14"/>
      <c r="T314" s="16"/>
      <c r="U314" s="17">
        <f>IF(AND(COUNTA($A314:$L314)=0,$N314=""),"",IF($T314="Paid","PAID",IF($T314="Closed","CLOSED",IF($Z314="","",IF($Z314=6,"ESCALATED TO ROXANNE",IF(TODAY()&gt;$AB314,"OVERDUE",IF($AB314&lt;=WORKDAY(TODAY(),1,Holidays),"DUE TOMORROW",IF($Z314=4,"ESCALATED TO LOCAL OFFICE",IF($Z314=5,"ESCALATED TO CBE",IF($AA314=TODAY(),"EMAIL SENT","MONITORING"))))))))))</f>
        <v/>
      </c>
      <c r="V314" s="17">
        <f>IF($U314="",IF(AND(COUNTA($A314:$L314)&gt;0,$N314=""),"Awaiting Collection Email time stamp.",""),IF(OR($U314="PAID",$U314="CLOSED"),IF($U314="PAID","Account paid. Action completed.","Account closed. No further action required."),CHOOSE($Z314,"Collection Email","1st Email Follow-up","2nd Email Follow-up","Escalation to Local Office","Escalation to CBE","Escalation to Roxanne")&amp;" sent "&amp;TEXT($AA314,"dd-mmm")&amp;". "&amp;IF($Z314=6,"Final escalation completed.",IF($U314="OVERDUE","Next: "&amp;$AC314&amp;" was due "&amp;TEXT($AB314,"dd-mmm")&amp;" - "&amp;(NETWORKDAYS($AB314,TODAY(),Holidays)-1)&amp;" business day(s) late. Send now.",IF($U314="DUE TOMORROW","Next: "&amp;$AC314&amp;IF($AB314&lt;=TODAY()," is due TODAY ("," is due next business day (")&amp;TEXT($AB314,"dd-mmm")&amp;").","Next: "&amp;$AC314&amp;" due "&amp;TEXT($AB314,"dd-mmm")&amp;" ("&amp;(NETWORKDAYS(TODAY(),$AB314,Holidays)-1)&amp;" business day(s) left).")))))</f>
        <v/>
      </c>
      <c r="W314" s="17">
        <f>IF($Z314="","",CHOOSE($Z314,"Collection Email","1st Follow-up","2nd Follow-up","Local Office","CBE","Roxanne")&amp;IF($Z314=6," - Final"," - Day "&amp;MAX(0,NETWORKDAYS($AA314,TODAY(),Holidays)-1)&amp;" of "&amp;CHOOSE($Z314,3,3,2,2,3))&amp;" | Total Day "&amp;MAX(0,NETWORKDAYS($N314,TODAY(),Holidays)-1))</f>
        <v/>
      </c>
      <c r="X314" s="18"/>
      <c r="Y314" s="18"/>
      <c r="Z314" s="17">
        <f>IF($N314="","",COUNT($N314:$S314))</f>
        <v/>
      </c>
      <c r="AA314" s="19">
        <f>IF($Z314="","",INT(INDEX($N314:$S314,$Z314)))</f>
        <v/>
      </c>
      <c r="AB314" s="19">
        <f>IF(OR($Z314="",$Z314=6),"",WORKDAY($AA314,CHOOSE($Z314,3,3,2,2,3),Holidays))</f>
        <v/>
      </c>
      <c r="AC314" s="17">
        <f>IF(OR($Z314="",$Z314=6),"",CHOOSE($Z314,"1st Email Follow-up","2nd Email Follow-up","Escalate Local Office","Escalate to CBE","Escalate to Roxanne"))</f>
        <v/>
      </c>
    </row>
    <row r="315" spans="13:29">
      <c r="M315" s="14"/>
      <c r="T315" s="16"/>
      <c r="U315" s="17">
        <f>IF(AND(COUNTA($A315:$L315)=0,$N315=""),"",IF($T315="Paid","PAID",IF($T315="Closed","CLOSED",IF($Z315="","",IF($Z315=6,"ESCALATED TO ROXANNE",IF(TODAY()&gt;$AB315,"OVERDUE",IF($AB315&lt;=WORKDAY(TODAY(),1,Holidays),"DUE TOMORROW",IF($Z315=4,"ESCALATED TO LOCAL OFFICE",IF($Z315=5,"ESCALATED TO CBE",IF($AA315=TODAY(),"EMAIL SENT","MONITORING"))))))))))</f>
        <v/>
      </c>
      <c r="V315" s="17">
        <f>IF($U315="",IF(AND(COUNTA($A315:$L315)&gt;0,$N315=""),"Awaiting Collection Email time stamp.",""),IF(OR($U315="PAID",$U315="CLOSED"),IF($U315="PAID","Account paid. Action completed.","Account closed. No further action required."),CHOOSE($Z315,"Collection Email","1st Email Follow-up","2nd Email Follow-up","Escalation to Local Office","Escalation to CBE","Escalation to Roxanne")&amp;" sent "&amp;TEXT($AA315,"dd-mmm")&amp;". "&amp;IF($Z315=6,"Final escalation completed.",IF($U315="OVERDUE","Next: "&amp;$AC315&amp;" was due "&amp;TEXT($AB315,"dd-mmm")&amp;" - "&amp;(NETWORKDAYS($AB315,TODAY(),Holidays)-1)&amp;" business day(s) late. Send now.",IF($U315="DUE TOMORROW","Next: "&amp;$AC315&amp;IF($AB315&lt;=TODAY()," is due TODAY ("," is due next business day (")&amp;TEXT($AB315,"dd-mmm")&amp;").","Next: "&amp;$AC315&amp;" due "&amp;TEXT($AB315,"dd-mmm")&amp;" ("&amp;(NETWORKDAYS(TODAY(),$AB315,Holidays)-1)&amp;" business day(s) left).")))))</f>
        <v/>
      </c>
      <c r="W315" s="17">
        <f>IF($Z315="","",CHOOSE($Z315,"Collection Email","1st Follow-up","2nd Follow-up","Local Office","CBE","Roxanne")&amp;IF($Z315=6," - Final"," - Day "&amp;MAX(0,NETWORKDAYS($AA315,TODAY(),Holidays)-1)&amp;" of "&amp;CHOOSE($Z315,3,3,2,2,3))&amp;" | Total Day "&amp;MAX(0,NETWORKDAYS($N315,TODAY(),Holidays)-1))</f>
        <v/>
      </c>
      <c r="X315" s="18"/>
      <c r="Y315" s="18"/>
      <c r="Z315" s="17">
        <f>IF($N315="","",COUNT($N315:$S315))</f>
        <v/>
      </c>
      <c r="AA315" s="19">
        <f>IF($Z315="","",INT(INDEX($N315:$S315,$Z315)))</f>
        <v/>
      </c>
      <c r="AB315" s="19">
        <f>IF(OR($Z315="",$Z315=6),"",WORKDAY($AA315,CHOOSE($Z315,3,3,2,2,3),Holidays))</f>
        <v/>
      </c>
      <c r="AC315" s="17">
        <f>IF(OR($Z315="",$Z315=6),"",CHOOSE($Z315,"1st Email Follow-up","2nd Email Follow-up","Escalate Local Office","Escalate to CBE","Escalate to Roxanne"))</f>
        <v/>
      </c>
    </row>
    <row r="316" spans="13:29">
      <c r="M316" s="14"/>
      <c r="T316" s="16"/>
      <c r="U316" s="17">
        <f>IF(AND(COUNTA($A316:$L316)=0,$N316=""),"",IF($T316="Paid","PAID",IF($T316="Closed","CLOSED",IF($Z316="","",IF($Z316=6,"ESCALATED TO ROXANNE",IF(TODAY()&gt;$AB316,"OVERDUE",IF($AB316&lt;=WORKDAY(TODAY(),1,Holidays),"DUE TOMORROW",IF($Z316=4,"ESCALATED TO LOCAL OFFICE",IF($Z316=5,"ESCALATED TO CBE",IF($AA316=TODAY(),"EMAIL SENT","MONITORING"))))))))))</f>
        <v/>
      </c>
      <c r="V316" s="17">
        <f>IF($U316="",IF(AND(COUNTA($A316:$L316)&gt;0,$N316=""),"Awaiting Collection Email time stamp.",""),IF(OR($U316="PAID",$U316="CLOSED"),IF($U316="PAID","Account paid. Action completed.","Account closed. No further action required."),CHOOSE($Z316,"Collection Email","1st Email Follow-up","2nd Email Follow-up","Escalation to Local Office","Escalation to CBE","Escalation to Roxanne")&amp;" sent "&amp;TEXT($AA316,"dd-mmm")&amp;". "&amp;IF($Z316=6,"Final escalation completed.",IF($U316="OVERDUE","Next: "&amp;$AC316&amp;" was due "&amp;TEXT($AB316,"dd-mmm")&amp;" - "&amp;(NETWORKDAYS($AB316,TODAY(),Holidays)-1)&amp;" business day(s) late. Send now.",IF($U316="DUE TOMORROW","Next: "&amp;$AC316&amp;IF($AB316&lt;=TODAY()," is due TODAY ("," is due next business day (")&amp;TEXT($AB316,"dd-mmm")&amp;").","Next: "&amp;$AC316&amp;" due "&amp;TEXT($AB316,"dd-mmm")&amp;" ("&amp;(NETWORKDAYS(TODAY(),$AB316,Holidays)-1)&amp;" business day(s) left).")))))</f>
        <v/>
      </c>
      <c r="W316" s="17">
        <f>IF($Z316="","",CHOOSE($Z316,"Collection Email","1st Follow-up","2nd Follow-up","Local Office","CBE","Roxanne")&amp;IF($Z316=6," - Final"," - Day "&amp;MAX(0,NETWORKDAYS($AA316,TODAY(),Holidays)-1)&amp;" of "&amp;CHOOSE($Z316,3,3,2,2,3))&amp;" | Total Day "&amp;MAX(0,NETWORKDAYS($N316,TODAY(),Holidays)-1))</f>
        <v/>
      </c>
      <c r="X316" s="18"/>
      <c r="Y316" s="18"/>
      <c r="Z316" s="17">
        <f>IF($N316="","",COUNT($N316:$S316))</f>
        <v/>
      </c>
      <c r="AA316" s="19">
        <f>IF($Z316="","",INT(INDEX($N316:$S316,$Z316)))</f>
        <v/>
      </c>
      <c r="AB316" s="19">
        <f>IF(OR($Z316="",$Z316=6),"",WORKDAY($AA316,CHOOSE($Z316,3,3,2,2,3),Holidays))</f>
        <v/>
      </c>
      <c r="AC316" s="17">
        <f>IF(OR($Z316="",$Z316=6),"",CHOOSE($Z316,"1st Email Follow-up","2nd Email Follow-up","Escalate Local Office","Escalate to CBE","Escalate to Roxanne"))</f>
        <v/>
      </c>
    </row>
    <row r="317" spans="13:29">
      <c r="M317" s="14"/>
      <c r="T317" s="16"/>
      <c r="U317" s="17">
        <f>IF(AND(COUNTA($A317:$L317)=0,$N317=""),"",IF($T317="Paid","PAID",IF($T317="Closed","CLOSED",IF($Z317="","",IF($Z317=6,"ESCALATED TO ROXANNE",IF(TODAY()&gt;$AB317,"OVERDUE",IF($AB317&lt;=WORKDAY(TODAY(),1,Holidays),"DUE TOMORROW",IF($Z317=4,"ESCALATED TO LOCAL OFFICE",IF($Z317=5,"ESCALATED TO CBE",IF($AA317=TODAY(),"EMAIL SENT","MONITORING"))))))))))</f>
        <v/>
      </c>
      <c r="V317" s="17">
        <f>IF($U317="",IF(AND(COUNTA($A317:$L317)&gt;0,$N317=""),"Awaiting Collection Email time stamp.",""),IF(OR($U317="PAID",$U317="CLOSED"),IF($U317="PAID","Account paid. Action completed.","Account closed. No further action required."),CHOOSE($Z317,"Collection Email","1st Email Follow-up","2nd Email Follow-up","Escalation to Local Office","Escalation to CBE","Escalation to Roxanne")&amp;" sent "&amp;TEXT($AA317,"dd-mmm")&amp;". "&amp;IF($Z317=6,"Final escalation completed.",IF($U317="OVERDUE","Next: "&amp;$AC317&amp;" was due "&amp;TEXT($AB317,"dd-mmm")&amp;" - "&amp;(NETWORKDAYS($AB317,TODAY(),Holidays)-1)&amp;" business day(s) late. Send now.",IF($U317="DUE TOMORROW","Next: "&amp;$AC317&amp;IF($AB317&lt;=TODAY()," is due TODAY ("," is due next business day (")&amp;TEXT($AB317,"dd-mmm")&amp;").","Next: "&amp;$AC317&amp;" due "&amp;TEXT($AB317,"dd-mmm")&amp;" ("&amp;(NETWORKDAYS(TODAY(),$AB317,Holidays)-1)&amp;" business day(s) left).")))))</f>
        <v/>
      </c>
      <c r="W317" s="17">
        <f>IF($Z317="","",CHOOSE($Z317,"Collection Email","1st Follow-up","2nd Follow-up","Local Office","CBE","Roxanne")&amp;IF($Z317=6," - Final"," - Day "&amp;MAX(0,NETWORKDAYS($AA317,TODAY(),Holidays)-1)&amp;" of "&amp;CHOOSE($Z317,3,3,2,2,3))&amp;" | Total Day "&amp;MAX(0,NETWORKDAYS($N317,TODAY(),Holidays)-1))</f>
        <v/>
      </c>
      <c r="X317" s="18"/>
      <c r="Y317" s="18"/>
      <c r="Z317" s="17">
        <f>IF($N317="","",COUNT($N317:$S317))</f>
        <v/>
      </c>
      <c r="AA317" s="19">
        <f>IF($Z317="","",INT(INDEX($N317:$S317,$Z317)))</f>
        <v/>
      </c>
      <c r="AB317" s="19">
        <f>IF(OR($Z317="",$Z317=6),"",WORKDAY($AA317,CHOOSE($Z317,3,3,2,2,3),Holidays))</f>
        <v/>
      </c>
      <c r="AC317" s="17">
        <f>IF(OR($Z317="",$Z317=6),"",CHOOSE($Z317,"1st Email Follow-up","2nd Email Follow-up","Escalate Local Office","Escalate to CBE","Escalate to Roxanne"))</f>
        <v/>
      </c>
    </row>
    <row r="318" spans="13:29">
      <c r="M318" s="14"/>
      <c r="T318" s="16"/>
      <c r="U318" s="17">
        <f>IF(AND(COUNTA($A318:$L318)=0,$N318=""),"",IF($T318="Paid","PAID",IF($T318="Closed","CLOSED",IF($Z318="","",IF($Z318=6,"ESCALATED TO ROXANNE",IF(TODAY()&gt;$AB318,"OVERDUE",IF($AB318&lt;=WORKDAY(TODAY(),1,Holidays),"DUE TOMORROW",IF($Z318=4,"ESCALATED TO LOCAL OFFICE",IF($Z318=5,"ESCALATED TO CBE",IF($AA318=TODAY(),"EMAIL SENT","MONITORING"))))))))))</f>
        <v/>
      </c>
      <c r="V318" s="17">
        <f>IF($U318="",IF(AND(COUNTA($A318:$L318)&gt;0,$N318=""),"Awaiting Collection Email time stamp.",""),IF(OR($U318="PAID",$U318="CLOSED"),IF($U318="PAID","Account paid. Action completed.","Account closed. No further action required."),CHOOSE($Z318,"Collection Email","1st Email Follow-up","2nd Email Follow-up","Escalation to Local Office","Escalation to CBE","Escalation to Roxanne")&amp;" sent "&amp;TEXT($AA318,"dd-mmm")&amp;". "&amp;IF($Z318=6,"Final escalation completed.",IF($U318="OVERDUE","Next: "&amp;$AC318&amp;" was due "&amp;TEXT($AB318,"dd-mmm")&amp;" - "&amp;(NETWORKDAYS($AB318,TODAY(),Holidays)-1)&amp;" business day(s) late. Send now.",IF($U318="DUE TOMORROW","Next: "&amp;$AC318&amp;IF($AB318&lt;=TODAY()," is due TODAY ("," is due next business day (")&amp;TEXT($AB318,"dd-mmm")&amp;").","Next: "&amp;$AC318&amp;" due "&amp;TEXT($AB318,"dd-mmm")&amp;" ("&amp;(NETWORKDAYS(TODAY(),$AB318,Holidays)-1)&amp;" business day(s) left).")))))</f>
        <v/>
      </c>
      <c r="W318" s="17">
        <f>IF($Z318="","",CHOOSE($Z318,"Collection Email","1st Follow-up","2nd Follow-up","Local Office","CBE","Roxanne")&amp;IF($Z318=6," - Final"," - Day "&amp;MAX(0,NETWORKDAYS($AA318,TODAY(),Holidays)-1)&amp;" of "&amp;CHOOSE($Z318,3,3,2,2,3))&amp;" | Total Day "&amp;MAX(0,NETWORKDAYS($N318,TODAY(),Holidays)-1))</f>
        <v/>
      </c>
      <c r="X318" s="18"/>
      <c r="Y318" s="18"/>
      <c r="Z318" s="17">
        <f>IF($N318="","",COUNT($N318:$S318))</f>
        <v/>
      </c>
      <c r="AA318" s="19">
        <f>IF($Z318="","",INT(INDEX($N318:$S318,$Z318)))</f>
        <v/>
      </c>
      <c r="AB318" s="19">
        <f>IF(OR($Z318="",$Z318=6),"",WORKDAY($AA318,CHOOSE($Z318,3,3,2,2,3),Holidays))</f>
        <v/>
      </c>
      <c r="AC318" s="17">
        <f>IF(OR($Z318="",$Z318=6),"",CHOOSE($Z318,"1st Email Follow-up","2nd Email Follow-up","Escalate Local Office","Escalate to CBE","Escalate to Roxanne"))</f>
        <v/>
      </c>
    </row>
    <row r="319" spans="13:29">
      <c r="M319" s="14"/>
      <c r="T319" s="16"/>
      <c r="U319" s="17">
        <f>IF(AND(COUNTA($A319:$L319)=0,$N319=""),"",IF($T319="Paid","PAID",IF($T319="Closed","CLOSED",IF($Z319="","",IF($Z319=6,"ESCALATED TO ROXANNE",IF(TODAY()&gt;$AB319,"OVERDUE",IF($AB319&lt;=WORKDAY(TODAY(),1,Holidays),"DUE TOMORROW",IF($Z319=4,"ESCALATED TO LOCAL OFFICE",IF($Z319=5,"ESCALATED TO CBE",IF($AA319=TODAY(),"EMAIL SENT","MONITORING"))))))))))</f>
        <v/>
      </c>
      <c r="V319" s="17">
        <f>IF($U319="",IF(AND(COUNTA($A319:$L319)&gt;0,$N319=""),"Awaiting Collection Email time stamp.",""),IF(OR($U319="PAID",$U319="CLOSED"),IF($U319="PAID","Account paid. Action completed.","Account closed. No further action required."),CHOOSE($Z319,"Collection Email","1st Email Follow-up","2nd Email Follow-up","Escalation to Local Office","Escalation to CBE","Escalation to Roxanne")&amp;" sent "&amp;TEXT($AA319,"dd-mmm")&amp;". "&amp;IF($Z319=6,"Final escalation completed.",IF($U319="OVERDUE","Next: "&amp;$AC319&amp;" was due "&amp;TEXT($AB319,"dd-mmm")&amp;" - "&amp;(NETWORKDAYS($AB319,TODAY(),Holidays)-1)&amp;" business day(s) late. Send now.",IF($U319="DUE TOMORROW","Next: "&amp;$AC319&amp;IF($AB319&lt;=TODAY()," is due TODAY ("," is due next business day (")&amp;TEXT($AB319,"dd-mmm")&amp;").","Next: "&amp;$AC319&amp;" due "&amp;TEXT($AB319,"dd-mmm")&amp;" ("&amp;(NETWORKDAYS(TODAY(),$AB319,Holidays)-1)&amp;" business day(s) left).")))))</f>
        <v/>
      </c>
      <c r="W319" s="17">
        <f>IF($Z319="","",CHOOSE($Z319,"Collection Email","1st Follow-up","2nd Follow-up","Local Office","CBE","Roxanne")&amp;IF($Z319=6," - Final"," - Day "&amp;MAX(0,NETWORKDAYS($AA319,TODAY(),Holidays)-1)&amp;" of "&amp;CHOOSE($Z319,3,3,2,2,3))&amp;" | Total Day "&amp;MAX(0,NETWORKDAYS($N319,TODAY(),Holidays)-1))</f>
        <v/>
      </c>
      <c r="X319" s="18"/>
      <c r="Y319" s="18"/>
      <c r="Z319" s="17">
        <f>IF($N319="","",COUNT($N319:$S319))</f>
        <v/>
      </c>
      <c r="AA319" s="19">
        <f>IF($Z319="","",INT(INDEX($N319:$S319,$Z319)))</f>
        <v/>
      </c>
      <c r="AB319" s="19">
        <f>IF(OR($Z319="",$Z319=6),"",WORKDAY($AA319,CHOOSE($Z319,3,3,2,2,3),Holidays))</f>
        <v/>
      </c>
      <c r="AC319" s="17">
        <f>IF(OR($Z319="",$Z319=6),"",CHOOSE($Z319,"1st Email Follow-up","2nd Email Follow-up","Escalate Local Office","Escalate to CBE","Escalate to Roxanne"))</f>
        <v/>
      </c>
    </row>
    <row r="320" spans="13:29">
      <c r="M320" s="14"/>
      <c r="T320" s="16"/>
      <c r="U320" s="17">
        <f>IF(AND(COUNTA($A320:$L320)=0,$N320=""),"",IF($T320="Paid","PAID",IF($T320="Closed","CLOSED",IF($Z320="","",IF($Z320=6,"ESCALATED TO ROXANNE",IF(TODAY()&gt;$AB320,"OVERDUE",IF($AB320&lt;=WORKDAY(TODAY(),1,Holidays),"DUE TOMORROW",IF($Z320=4,"ESCALATED TO LOCAL OFFICE",IF($Z320=5,"ESCALATED TO CBE",IF($AA320=TODAY(),"EMAIL SENT","MONITORING"))))))))))</f>
        <v/>
      </c>
      <c r="V320" s="17">
        <f>IF($U320="",IF(AND(COUNTA($A320:$L320)&gt;0,$N320=""),"Awaiting Collection Email time stamp.",""),IF(OR($U320="PAID",$U320="CLOSED"),IF($U320="PAID","Account paid. Action completed.","Account closed. No further action required."),CHOOSE($Z320,"Collection Email","1st Email Follow-up","2nd Email Follow-up","Escalation to Local Office","Escalation to CBE","Escalation to Roxanne")&amp;" sent "&amp;TEXT($AA320,"dd-mmm")&amp;". "&amp;IF($Z320=6,"Final escalation completed.",IF($U320="OVERDUE","Next: "&amp;$AC320&amp;" was due "&amp;TEXT($AB320,"dd-mmm")&amp;" - "&amp;(NETWORKDAYS($AB320,TODAY(),Holidays)-1)&amp;" business day(s) late. Send now.",IF($U320="DUE TOMORROW","Next: "&amp;$AC320&amp;IF($AB320&lt;=TODAY()," is due TODAY ("," is due next business day (")&amp;TEXT($AB320,"dd-mmm")&amp;").","Next: "&amp;$AC320&amp;" due "&amp;TEXT($AB320,"dd-mmm")&amp;" ("&amp;(NETWORKDAYS(TODAY(),$AB320,Holidays)-1)&amp;" business day(s) left).")))))</f>
        <v/>
      </c>
      <c r="W320" s="17">
        <f>IF($Z320="","",CHOOSE($Z320,"Collection Email","1st Follow-up","2nd Follow-up","Local Office","CBE","Roxanne")&amp;IF($Z320=6," - Final"," - Day "&amp;MAX(0,NETWORKDAYS($AA320,TODAY(),Holidays)-1)&amp;" of "&amp;CHOOSE($Z320,3,3,2,2,3))&amp;" | Total Day "&amp;MAX(0,NETWORKDAYS($N320,TODAY(),Holidays)-1))</f>
        <v/>
      </c>
      <c r="X320" s="18"/>
      <c r="Y320" s="18"/>
      <c r="Z320" s="17">
        <f>IF($N320="","",COUNT($N320:$S320))</f>
        <v/>
      </c>
      <c r="AA320" s="19">
        <f>IF($Z320="","",INT(INDEX($N320:$S320,$Z320)))</f>
        <v/>
      </c>
      <c r="AB320" s="19">
        <f>IF(OR($Z320="",$Z320=6),"",WORKDAY($AA320,CHOOSE($Z320,3,3,2,2,3),Holidays))</f>
        <v/>
      </c>
      <c r="AC320" s="17">
        <f>IF(OR($Z320="",$Z320=6),"",CHOOSE($Z320,"1st Email Follow-up","2nd Email Follow-up","Escalate Local Office","Escalate to CBE","Escalate to Roxanne"))</f>
        <v/>
      </c>
    </row>
    <row r="321" spans="13:29">
      <c r="M321" s="14"/>
      <c r="T321" s="16"/>
      <c r="U321" s="17">
        <f>IF(AND(COUNTA($A321:$L321)=0,$N321=""),"",IF($T321="Paid","PAID",IF($T321="Closed","CLOSED",IF($Z321="","",IF($Z321=6,"ESCALATED TO ROXANNE",IF(TODAY()&gt;$AB321,"OVERDUE",IF($AB321&lt;=WORKDAY(TODAY(),1,Holidays),"DUE TOMORROW",IF($Z321=4,"ESCALATED TO LOCAL OFFICE",IF($Z321=5,"ESCALATED TO CBE",IF($AA321=TODAY(),"EMAIL SENT","MONITORING"))))))))))</f>
        <v/>
      </c>
      <c r="V321" s="17">
        <f>IF($U321="",IF(AND(COUNTA($A321:$L321)&gt;0,$N321=""),"Awaiting Collection Email time stamp.",""),IF(OR($U321="PAID",$U321="CLOSED"),IF($U321="PAID","Account paid. Action completed.","Account closed. No further action required."),CHOOSE($Z321,"Collection Email","1st Email Follow-up","2nd Email Follow-up","Escalation to Local Office","Escalation to CBE","Escalation to Roxanne")&amp;" sent "&amp;TEXT($AA321,"dd-mmm")&amp;". "&amp;IF($Z321=6,"Final escalation completed.",IF($U321="OVERDUE","Next: "&amp;$AC321&amp;" was due "&amp;TEXT($AB321,"dd-mmm")&amp;" - "&amp;(NETWORKDAYS($AB321,TODAY(),Holidays)-1)&amp;" business day(s) late. Send now.",IF($U321="DUE TOMORROW","Next: "&amp;$AC321&amp;IF($AB321&lt;=TODAY()," is due TODAY ("," is due next business day (")&amp;TEXT($AB321,"dd-mmm")&amp;").","Next: "&amp;$AC321&amp;" due "&amp;TEXT($AB321,"dd-mmm")&amp;" ("&amp;(NETWORKDAYS(TODAY(),$AB321,Holidays)-1)&amp;" business day(s) left).")))))</f>
        <v/>
      </c>
      <c r="W321" s="17">
        <f>IF($Z321="","",CHOOSE($Z321,"Collection Email","1st Follow-up","2nd Follow-up","Local Office","CBE","Roxanne")&amp;IF($Z321=6," - Final"," - Day "&amp;MAX(0,NETWORKDAYS($AA321,TODAY(),Holidays)-1)&amp;" of "&amp;CHOOSE($Z321,3,3,2,2,3))&amp;" | Total Day "&amp;MAX(0,NETWORKDAYS($N321,TODAY(),Holidays)-1))</f>
        <v/>
      </c>
      <c r="X321" s="18"/>
      <c r="Y321" s="18"/>
      <c r="Z321" s="17">
        <f>IF($N321="","",COUNT($N321:$S321))</f>
        <v/>
      </c>
      <c r="AA321" s="19">
        <f>IF($Z321="","",INT(INDEX($N321:$S321,$Z321)))</f>
        <v/>
      </c>
      <c r="AB321" s="19">
        <f>IF(OR($Z321="",$Z321=6),"",WORKDAY($AA321,CHOOSE($Z321,3,3,2,2,3),Holidays))</f>
        <v/>
      </c>
      <c r="AC321" s="17">
        <f>IF(OR($Z321="",$Z321=6),"",CHOOSE($Z321,"1st Email Follow-up","2nd Email Follow-up","Escalate Local Office","Escalate to CBE","Escalate to Roxanne"))</f>
        <v/>
      </c>
    </row>
    <row r="322" spans="13:29">
      <c r="M322" s="14"/>
      <c r="T322" s="16"/>
      <c r="U322" s="17">
        <f>IF(AND(COUNTA($A322:$L322)=0,$N322=""),"",IF($T322="Paid","PAID",IF($T322="Closed","CLOSED",IF($Z322="","",IF($Z322=6,"ESCALATED TO ROXANNE",IF(TODAY()&gt;$AB322,"OVERDUE",IF($AB322&lt;=WORKDAY(TODAY(),1,Holidays),"DUE TOMORROW",IF($Z322=4,"ESCALATED TO LOCAL OFFICE",IF($Z322=5,"ESCALATED TO CBE",IF($AA322=TODAY(),"EMAIL SENT","MONITORING"))))))))))</f>
        <v/>
      </c>
      <c r="V322" s="17">
        <f>IF($U322="",IF(AND(COUNTA($A322:$L322)&gt;0,$N322=""),"Awaiting Collection Email time stamp.",""),IF(OR($U322="PAID",$U322="CLOSED"),IF($U322="PAID","Account paid. Action completed.","Account closed. No further action required."),CHOOSE($Z322,"Collection Email","1st Email Follow-up","2nd Email Follow-up","Escalation to Local Office","Escalation to CBE","Escalation to Roxanne")&amp;" sent "&amp;TEXT($AA322,"dd-mmm")&amp;". "&amp;IF($Z322=6,"Final escalation completed.",IF($U322="OVERDUE","Next: "&amp;$AC322&amp;" was due "&amp;TEXT($AB322,"dd-mmm")&amp;" - "&amp;(NETWORKDAYS($AB322,TODAY(),Holidays)-1)&amp;" business day(s) late. Send now.",IF($U322="DUE TOMORROW","Next: "&amp;$AC322&amp;IF($AB322&lt;=TODAY()," is due TODAY ("," is due next business day (")&amp;TEXT($AB322,"dd-mmm")&amp;").","Next: "&amp;$AC322&amp;" due "&amp;TEXT($AB322,"dd-mmm")&amp;" ("&amp;(NETWORKDAYS(TODAY(),$AB322,Holidays)-1)&amp;" business day(s) left).")))))</f>
        <v/>
      </c>
      <c r="W322" s="17">
        <f>IF($Z322="","",CHOOSE($Z322,"Collection Email","1st Follow-up","2nd Follow-up","Local Office","CBE","Roxanne")&amp;IF($Z322=6," - Final"," - Day "&amp;MAX(0,NETWORKDAYS($AA322,TODAY(),Holidays)-1)&amp;" of "&amp;CHOOSE($Z322,3,3,2,2,3))&amp;" | Total Day "&amp;MAX(0,NETWORKDAYS($N322,TODAY(),Holidays)-1))</f>
        <v/>
      </c>
      <c r="X322" s="18"/>
      <c r="Y322" s="18"/>
      <c r="Z322" s="17">
        <f>IF($N322="","",COUNT($N322:$S322))</f>
        <v/>
      </c>
      <c r="AA322" s="19">
        <f>IF($Z322="","",INT(INDEX($N322:$S322,$Z322)))</f>
        <v/>
      </c>
      <c r="AB322" s="19">
        <f>IF(OR($Z322="",$Z322=6),"",WORKDAY($AA322,CHOOSE($Z322,3,3,2,2,3),Holidays))</f>
        <v/>
      </c>
      <c r="AC322" s="17">
        <f>IF(OR($Z322="",$Z322=6),"",CHOOSE($Z322,"1st Email Follow-up","2nd Email Follow-up","Escalate Local Office","Escalate to CBE","Escalate to Roxanne"))</f>
        <v/>
      </c>
    </row>
    <row r="323" spans="13:29">
      <c r="M323" s="14"/>
      <c r="T323" s="16"/>
      <c r="U323" s="17">
        <f>IF(AND(COUNTA($A323:$L323)=0,$N323=""),"",IF($T323="Paid","PAID",IF($T323="Closed","CLOSED",IF($Z323="","",IF($Z323=6,"ESCALATED TO ROXANNE",IF(TODAY()&gt;$AB323,"OVERDUE",IF($AB323&lt;=WORKDAY(TODAY(),1,Holidays),"DUE TOMORROW",IF($Z323=4,"ESCALATED TO LOCAL OFFICE",IF($Z323=5,"ESCALATED TO CBE",IF($AA323=TODAY(),"EMAIL SENT","MONITORING"))))))))))</f>
        <v/>
      </c>
      <c r="V323" s="17">
        <f>IF($U323="",IF(AND(COUNTA($A323:$L323)&gt;0,$N323=""),"Awaiting Collection Email time stamp.",""),IF(OR($U323="PAID",$U323="CLOSED"),IF($U323="PAID","Account paid. Action completed.","Account closed. No further action required."),CHOOSE($Z323,"Collection Email","1st Email Follow-up","2nd Email Follow-up","Escalation to Local Office","Escalation to CBE","Escalation to Roxanne")&amp;" sent "&amp;TEXT($AA323,"dd-mmm")&amp;". "&amp;IF($Z323=6,"Final escalation completed.",IF($U323="OVERDUE","Next: "&amp;$AC323&amp;" was due "&amp;TEXT($AB323,"dd-mmm")&amp;" - "&amp;(NETWORKDAYS($AB323,TODAY(),Holidays)-1)&amp;" business day(s) late. Send now.",IF($U323="DUE TOMORROW","Next: "&amp;$AC323&amp;IF($AB323&lt;=TODAY()," is due TODAY ("," is due next business day (")&amp;TEXT($AB323,"dd-mmm")&amp;").","Next: "&amp;$AC323&amp;" due "&amp;TEXT($AB323,"dd-mmm")&amp;" ("&amp;(NETWORKDAYS(TODAY(),$AB323,Holidays)-1)&amp;" business day(s) left).")))))</f>
        <v/>
      </c>
      <c r="W323" s="17">
        <f>IF($Z323="","",CHOOSE($Z323,"Collection Email","1st Follow-up","2nd Follow-up","Local Office","CBE","Roxanne")&amp;IF($Z323=6," - Final"," - Day "&amp;MAX(0,NETWORKDAYS($AA323,TODAY(),Holidays)-1)&amp;" of "&amp;CHOOSE($Z323,3,3,2,2,3))&amp;" | Total Day "&amp;MAX(0,NETWORKDAYS($N323,TODAY(),Holidays)-1))</f>
        <v/>
      </c>
      <c r="X323" s="18"/>
      <c r="Y323" s="18"/>
      <c r="Z323" s="17">
        <f>IF($N323="","",COUNT($N323:$S323))</f>
        <v/>
      </c>
      <c r="AA323" s="19">
        <f>IF($Z323="","",INT(INDEX($N323:$S323,$Z323)))</f>
        <v/>
      </c>
      <c r="AB323" s="19">
        <f>IF(OR($Z323="",$Z323=6),"",WORKDAY($AA323,CHOOSE($Z323,3,3,2,2,3),Holidays))</f>
        <v/>
      </c>
      <c r="AC323" s="17">
        <f>IF(OR($Z323="",$Z323=6),"",CHOOSE($Z323,"1st Email Follow-up","2nd Email Follow-up","Escalate Local Office","Escalate to CBE","Escalate to Roxanne"))</f>
        <v/>
      </c>
    </row>
    <row r="324" spans="13:29">
      <c r="M324" s="14"/>
      <c r="T324" s="16"/>
      <c r="U324" s="17">
        <f>IF(AND(COUNTA($A324:$L324)=0,$N324=""),"",IF($T324="Paid","PAID",IF($T324="Closed","CLOSED",IF($Z324="","",IF($Z324=6,"ESCALATED TO ROXANNE",IF(TODAY()&gt;$AB324,"OVERDUE",IF($AB324&lt;=WORKDAY(TODAY(),1,Holidays),"DUE TOMORROW",IF($Z324=4,"ESCALATED TO LOCAL OFFICE",IF($Z324=5,"ESCALATED TO CBE",IF($AA324=TODAY(),"EMAIL SENT","MONITORING"))))))))))</f>
        <v/>
      </c>
      <c r="V324" s="17">
        <f>IF($U324="",IF(AND(COUNTA($A324:$L324)&gt;0,$N324=""),"Awaiting Collection Email time stamp.",""),IF(OR($U324="PAID",$U324="CLOSED"),IF($U324="PAID","Account paid. Action completed.","Account closed. No further action required."),CHOOSE($Z324,"Collection Email","1st Email Follow-up","2nd Email Follow-up","Escalation to Local Office","Escalation to CBE","Escalation to Roxanne")&amp;" sent "&amp;TEXT($AA324,"dd-mmm")&amp;". "&amp;IF($Z324=6,"Final escalation completed.",IF($U324="OVERDUE","Next: "&amp;$AC324&amp;" was due "&amp;TEXT($AB324,"dd-mmm")&amp;" - "&amp;(NETWORKDAYS($AB324,TODAY(),Holidays)-1)&amp;" business day(s) late. Send now.",IF($U324="DUE TOMORROW","Next: "&amp;$AC324&amp;IF($AB324&lt;=TODAY()," is due TODAY ("," is due next business day (")&amp;TEXT($AB324,"dd-mmm")&amp;").","Next: "&amp;$AC324&amp;" due "&amp;TEXT($AB324,"dd-mmm")&amp;" ("&amp;(NETWORKDAYS(TODAY(),$AB324,Holidays)-1)&amp;" business day(s) left).")))))</f>
        <v/>
      </c>
      <c r="W324" s="17">
        <f>IF($Z324="","",CHOOSE($Z324,"Collection Email","1st Follow-up","2nd Follow-up","Local Office","CBE","Roxanne")&amp;IF($Z324=6," - Final"," - Day "&amp;MAX(0,NETWORKDAYS($AA324,TODAY(),Holidays)-1)&amp;" of "&amp;CHOOSE($Z324,3,3,2,2,3))&amp;" | Total Day "&amp;MAX(0,NETWORKDAYS($N324,TODAY(),Holidays)-1))</f>
        <v/>
      </c>
      <c r="X324" s="18"/>
      <c r="Y324" s="18"/>
      <c r="Z324" s="17">
        <f>IF($N324="","",COUNT($N324:$S324))</f>
        <v/>
      </c>
      <c r="AA324" s="19">
        <f>IF($Z324="","",INT(INDEX($N324:$S324,$Z324)))</f>
        <v/>
      </c>
      <c r="AB324" s="19">
        <f>IF(OR($Z324="",$Z324=6),"",WORKDAY($AA324,CHOOSE($Z324,3,3,2,2,3),Holidays))</f>
        <v/>
      </c>
      <c r="AC324" s="17">
        <f>IF(OR($Z324="",$Z324=6),"",CHOOSE($Z324,"1st Email Follow-up","2nd Email Follow-up","Escalate Local Office","Escalate to CBE","Escalate to Roxanne"))</f>
        <v/>
      </c>
    </row>
    <row r="325" spans="13:29">
      <c r="M325" s="14"/>
      <c r="T325" s="16"/>
      <c r="U325" s="17">
        <f>IF(AND(COUNTA($A325:$L325)=0,$N325=""),"",IF($T325="Paid","PAID",IF($T325="Closed","CLOSED",IF($Z325="","",IF($Z325=6,"ESCALATED TO ROXANNE",IF(TODAY()&gt;$AB325,"OVERDUE",IF($AB325&lt;=WORKDAY(TODAY(),1,Holidays),"DUE TOMORROW",IF($Z325=4,"ESCALATED TO LOCAL OFFICE",IF($Z325=5,"ESCALATED TO CBE",IF($AA325=TODAY(),"EMAIL SENT","MONITORING"))))))))))</f>
        <v/>
      </c>
      <c r="V325" s="17">
        <f>IF($U325="",IF(AND(COUNTA($A325:$L325)&gt;0,$N325=""),"Awaiting Collection Email time stamp.",""),IF(OR($U325="PAID",$U325="CLOSED"),IF($U325="PAID","Account paid. Action completed.","Account closed. No further action required."),CHOOSE($Z325,"Collection Email","1st Email Follow-up","2nd Email Follow-up","Escalation to Local Office","Escalation to CBE","Escalation to Roxanne")&amp;" sent "&amp;TEXT($AA325,"dd-mmm")&amp;". "&amp;IF($Z325=6,"Final escalation completed.",IF($U325="OVERDUE","Next: "&amp;$AC325&amp;" was due "&amp;TEXT($AB325,"dd-mmm")&amp;" - "&amp;(NETWORKDAYS($AB325,TODAY(),Holidays)-1)&amp;" business day(s) late. Send now.",IF($U325="DUE TOMORROW","Next: "&amp;$AC325&amp;IF($AB325&lt;=TODAY()," is due TODAY ("," is due next business day (")&amp;TEXT($AB325,"dd-mmm")&amp;").","Next: "&amp;$AC325&amp;" due "&amp;TEXT($AB325,"dd-mmm")&amp;" ("&amp;(NETWORKDAYS(TODAY(),$AB325,Holidays)-1)&amp;" business day(s) left).")))))</f>
        <v/>
      </c>
      <c r="W325" s="17">
        <f>IF($Z325="","",CHOOSE($Z325,"Collection Email","1st Follow-up","2nd Follow-up","Local Office","CBE","Roxanne")&amp;IF($Z325=6," - Final"," - Day "&amp;MAX(0,NETWORKDAYS($AA325,TODAY(),Holidays)-1)&amp;" of "&amp;CHOOSE($Z325,3,3,2,2,3))&amp;" | Total Day "&amp;MAX(0,NETWORKDAYS($N325,TODAY(),Holidays)-1))</f>
        <v/>
      </c>
      <c r="X325" s="18"/>
      <c r="Y325" s="18"/>
      <c r="Z325" s="17">
        <f>IF($N325="","",COUNT($N325:$S325))</f>
        <v/>
      </c>
      <c r="AA325" s="19">
        <f>IF($Z325="","",INT(INDEX($N325:$S325,$Z325)))</f>
        <v/>
      </c>
      <c r="AB325" s="19">
        <f>IF(OR($Z325="",$Z325=6),"",WORKDAY($AA325,CHOOSE($Z325,3,3,2,2,3),Holidays))</f>
        <v/>
      </c>
      <c r="AC325" s="17">
        <f>IF(OR($Z325="",$Z325=6),"",CHOOSE($Z325,"1st Email Follow-up","2nd Email Follow-up","Escalate Local Office","Escalate to CBE","Escalate to Roxanne"))</f>
        <v/>
      </c>
    </row>
    <row r="326" spans="13:29">
      <c r="M326" s="14"/>
      <c r="T326" s="16"/>
      <c r="U326" s="17">
        <f>IF(AND(COUNTA($A326:$L326)=0,$N326=""),"",IF($T326="Paid","PAID",IF($T326="Closed","CLOSED",IF($Z326="","",IF($Z326=6,"ESCALATED TO ROXANNE",IF(TODAY()&gt;$AB326,"OVERDUE",IF($AB326&lt;=WORKDAY(TODAY(),1,Holidays),"DUE TOMORROW",IF($Z326=4,"ESCALATED TO LOCAL OFFICE",IF($Z326=5,"ESCALATED TO CBE",IF($AA326=TODAY(),"EMAIL SENT","MONITORING"))))))))))</f>
        <v/>
      </c>
      <c r="V326" s="17">
        <f>IF($U326="",IF(AND(COUNTA($A326:$L326)&gt;0,$N326=""),"Awaiting Collection Email time stamp.",""),IF(OR($U326="PAID",$U326="CLOSED"),IF($U326="PAID","Account paid. Action completed.","Account closed. No further action required."),CHOOSE($Z326,"Collection Email","1st Email Follow-up","2nd Email Follow-up","Escalation to Local Office","Escalation to CBE","Escalation to Roxanne")&amp;" sent "&amp;TEXT($AA326,"dd-mmm")&amp;". "&amp;IF($Z326=6,"Final escalation completed.",IF($U326="OVERDUE","Next: "&amp;$AC326&amp;" was due "&amp;TEXT($AB326,"dd-mmm")&amp;" - "&amp;(NETWORKDAYS($AB326,TODAY(),Holidays)-1)&amp;" business day(s) late. Send now.",IF($U326="DUE TOMORROW","Next: "&amp;$AC326&amp;IF($AB326&lt;=TODAY()," is due TODAY ("," is due next business day (")&amp;TEXT($AB326,"dd-mmm")&amp;").","Next: "&amp;$AC326&amp;" due "&amp;TEXT($AB326,"dd-mmm")&amp;" ("&amp;(NETWORKDAYS(TODAY(),$AB326,Holidays)-1)&amp;" business day(s) left).")))))</f>
        <v/>
      </c>
      <c r="W326" s="17">
        <f>IF($Z326="","",CHOOSE($Z326,"Collection Email","1st Follow-up","2nd Follow-up","Local Office","CBE","Roxanne")&amp;IF($Z326=6," - Final"," - Day "&amp;MAX(0,NETWORKDAYS($AA326,TODAY(),Holidays)-1)&amp;" of "&amp;CHOOSE($Z326,3,3,2,2,3))&amp;" | Total Day "&amp;MAX(0,NETWORKDAYS($N326,TODAY(),Holidays)-1))</f>
        <v/>
      </c>
      <c r="X326" s="18"/>
      <c r="Y326" s="18"/>
      <c r="Z326" s="17">
        <f>IF($N326="","",COUNT($N326:$S326))</f>
        <v/>
      </c>
      <c r="AA326" s="19">
        <f>IF($Z326="","",INT(INDEX($N326:$S326,$Z326)))</f>
        <v/>
      </c>
      <c r="AB326" s="19">
        <f>IF(OR($Z326="",$Z326=6),"",WORKDAY($AA326,CHOOSE($Z326,3,3,2,2,3),Holidays))</f>
        <v/>
      </c>
      <c r="AC326" s="17">
        <f>IF(OR($Z326="",$Z326=6),"",CHOOSE($Z326,"1st Email Follow-up","2nd Email Follow-up","Escalate Local Office","Escalate to CBE","Escalate to Roxanne"))</f>
        <v/>
      </c>
    </row>
    <row r="327" spans="13:29">
      <c r="M327" s="14"/>
      <c r="T327" s="16"/>
      <c r="U327" s="17">
        <f>IF(AND(COUNTA($A327:$L327)=0,$N327=""),"",IF($T327="Paid","PAID",IF($T327="Closed","CLOSED",IF($Z327="","",IF($Z327=6,"ESCALATED TO ROXANNE",IF(TODAY()&gt;$AB327,"OVERDUE",IF($AB327&lt;=WORKDAY(TODAY(),1,Holidays),"DUE TOMORROW",IF($Z327=4,"ESCALATED TO LOCAL OFFICE",IF($Z327=5,"ESCALATED TO CBE",IF($AA327=TODAY(),"EMAIL SENT","MONITORING"))))))))))</f>
        <v/>
      </c>
      <c r="V327" s="17">
        <f>IF($U327="",IF(AND(COUNTA($A327:$L327)&gt;0,$N327=""),"Awaiting Collection Email time stamp.",""),IF(OR($U327="PAID",$U327="CLOSED"),IF($U327="PAID","Account paid. Action completed.","Account closed. No further action required."),CHOOSE($Z327,"Collection Email","1st Email Follow-up","2nd Email Follow-up","Escalation to Local Office","Escalation to CBE","Escalation to Roxanne")&amp;" sent "&amp;TEXT($AA327,"dd-mmm")&amp;". "&amp;IF($Z327=6,"Final escalation completed.",IF($U327="OVERDUE","Next: "&amp;$AC327&amp;" was due "&amp;TEXT($AB327,"dd-mmm")&amp;" - "&amp;(NETWORKDAYS($AB327,TODAY(),Holidays)-1)&amp;" business day(s) late. Send now.",IF($U327="DUE TOMORROW","Next: "&amp;$AC327&amp;IF($AB327&lt;=TODAY()," is due TODAY ("," is due next business day (")&amp;TEXT($AB327,"dd-mmm")&amp;").","Next: "&amp;$AC327&amp;" due "&amp;TEXT($AB327,"dd-mmm")&amp;" ("&amp;(NETWORKDAYS(TODAY(),$AB327,Holidays)-1)&amp;" business day(s) left).")))))</f>
        <v/>
      </c>
      <c r="W327" s="17">
        <f>IF($Z327="","",CHOOSE($Z327,"Collection Email","1st Follow-up","2nd Follow-up","Local Office","CBE","Roxanne")&amp;IF($Z327=6," - Final"," - Day "&amp;MAX(0,NETWORKDAYS($AA327,TODAY(),Holidays)-1)&amp;" of "&amp;CHOOSE($Z327,3,3,2,2,3))&amp;" | Total Day "&amp;MAX(0,NETWORKDAYS($N327,TODAY(),Holidays)-1))</f>
        <v/>
      </c>
      <c r="X327" s="18"/>
      <c r="Y327" s="18"/>
      <c r="Z327" s="17">
        <f>IF($N327="","",COUNT($N327:$S327))</f>
        <v/>
      </c>
      <c r="AA327" s="19">
        <f>IF($Z327="","",INT(INDEX($N327:$S327,$Z327)))</f>
        <v/>
      </c>
      <c r="AB327" s="19">
        <f>IF(OR($Z327="",$Z327=6),"",WORKDAY($AA327,CHOOSE($Z327,3,3,2,2,3),Holidays))</f>
        <v/>
      </c>
      <c r="AC327" s="17">
        <f>IF(OR($Z327="",$Z327=6),"",CHOOSE($Z327,"1st Email Follow-up","2nd Email Follow-up","Escalate Local Office","Escalate to CBE","Escalate to Roxanne"))</f>
        <v/>
      </c>
    </row>
    <row r="328" spans="13:29">
      <c r="M328" s="14"/>
      <c r="T328" s="16"/>
      <c r="U328" s="17">
        <f>IF(AND(COUNTA($A328:$L328)=0,$N328=""),"",IF($T328="Paid","PAID",IF($T328="Closed","CLOSED",IF($Z328="","",IF($Z328=6,"ESCALATED TO ROXANNE",IF(TODAY()&gt;$AB328,"OVERDUE",IF($AB328&lt;=WORKDAY(TODAY(),1,Holidays),"DUE TOMORROW",IF($Z328=4,"ESCALATED TO LOCAL OFFICE",IF($Z328=5,"ESCALATED TO CBE",IF($AA328=TODAY(),"EMAIL SENT","MONITORING"))))))))))</f>
        <v/>
      </c>
      <c r="V328" s="17">
        <f>IF($U328="",IF(AND(COUNTA($A328:$L328)&gt;0,$N328=""),"Awaiting Collection Email time stamp.",""),IF(OR($U328="PAID",$U328="CLOSED"),IF($U328="PAID","Account paid. Action completed.","Account closed. No further action required."),CHOOSE($Z328,"Collection Email","1st Email Follow-up","2nd Email Follow-up","Escalation to Local Office","Escalation to CBE","Escalation to Roxanne")&amp;" sent "&amp;TEXT($AA328,"dd-mmm")&amp;". "&amp;IF($Z328=6,"Final escalation completed.",IF($U328="OVERDUE","Next: "&amp;$AC328&amp;" was due "&amp;TEXT($AB328,"dd-mmm")&amp;" - "&amp;(NETWORKDAYS($AB328,TODAY(),Holidays)-1)&amp;" business day(s) late. Send now.",IF($U328="DUE TOMORROW","Next: "&amp;$AC328&amp;IF($AB328&lt;=TODAY()," is due TODAY ("," is due next business day (")&amp;TEXT($AB328,"dd-mmm")&amp;").","Next: "&amp;$AC328&amp;" due "&amp;TEXT($AB328,"dd-mmm")&amp;" ("&amp;(NETWORKDAYS(TODAY(),$AB328,Holidays)-1)&amp;" business day(s) left).")))))</f>
        <v/>
      </c>
      <c r="W328" s="17">
        <f>IF($Z328="","",CHOOSE($Z328,"Collection Email","1st Follow-up","2nd Follow-up","Local Office","CBE","Roxanne")&amp;IF($Z328=6," - Final"," - Day "&amp;MAX(0,NETWORKDAYS($AA328,TODAY(),Holidays)-1)&amp;" of "&amp;CHOOSE($Z328,3,3,2,2,3))&amp;" | Total Day "&amp;MAX(0,NETWORKDAYS($N328,TODAY(),Holidays)-1))</f>
        <v/>
      </c>
      <c r="X328" s="18"/>
      <c r="Y328" s="18"/>
      <c r="Z328" s="17">
        <f>IF($N328="","",COUNT($N328:$S328))</f>
        <v/>
      </c>
      <c r="AA328" s="19">
        <f>IF($Z328="","",INT(INDEX($N328:$S328,$Z328)))</f>
        <v/>
      </c>
      <c r="AB328" s="19">
        <f>IF(OR($Z328="",$Z328=6),"",WORKDAY($AA328,CHOOSE($Z328,3,3,2,2,3),Holidays))</f>
        <v/>
      </c>
      <c r="AC328" s="17">
        <f>IF(OR($Z328="",$Z328=6),"",CHOOSE($Z328,"1st Email Follow-up","2nd Email Follow-up","Escalate Local Office","Escalate to CBE","Escalate to Roxanne"))</f>
        <v/>
      </c>
    </row>
    <row r="329" spans="13:29">
      <c r="M329" s="14"/>
      <c r="T329" s="16"/>
      <c r="U329" s="17">
        <f>IF(AND(COUNTA($A329:$L329)=0,$N329=""),"",IF($T329="Paid","PAID",IF($T329="Closed","CLOSED",IF($Z329="","",IF($Z329=6,"ESCALATED TO ROXANNE",IF(TODAY()&gt;$AB329,"OVERDUE",IF($AB329&lt;=WORKDAY(TODAY(),1,Holidays),"DUE TOMORROW",IF($Z329=4,"ESCALATED TO LOCAL OFFICE",IF($Z329=5,"ESCALATED TO CBE",IF($AA329=TODAY(),"EMAIL SENT","MONITORING"))))))))))</f>
        <v/>
      </c>
      <c r="V329" s="17">
        <f>IF($U329="",IF(AND(COUNTA($A329:$L329)&gt;0,$N329=""),"Awaiting Collection Email time stamp.",""),IF(OR($U329="PAID",$U329="CLOSED"),IF($U329="PAID","Account paid. Action completed.","Account closed. No further action required."),CHOOSE($Z329,"Collection Email","1st Email Follow-up","2nd Email Follow-up","Escalation to Local Office","Escalation to CBE","Escalation to Roxanne")&amp;" sent "&amp;TEXT($AA329,"dd-mmm")&amp;". "&amp;IF($Z329=6,"Final escalation completed.",IF($U329="OVERDUE","Next: "&amp;$AC329&amp;" was due "&amp;TEXT($AB329,"dd-mmm")&amp;" - "&amp;(NETWORKDAYS($AB329,TODAY(),Holidays)-1)&amp;" business day(s) late. Send now.",IF($U329="DUE TOMORROW","Next: "&amp;$AC329&amp;IF($AB329&lt;=TODAY()," is due TODAY ("," is due next business day (")&amp;TEXT($AB329,"dd-mmm")&amp;").","Next: "&amp;$AC329&amp;" due "&amp;TEXT($AB329,"dd-mmm")&amp;" ("&amp;(NETWORKDAYS(TODAY(),$AB329,Holidays)-1)&amp;" business day(s) left).")))))</f>
        <v/>
      </c>
      <c r="W329" s="17">
        <f>IF($Z329="","",CHOOSE($Z329,"Collection Email","1st Follow-up","2nd Follow-up","Local Office","CBE","Roxanne")&amp;IF($Z329=6," - Final"," - Day "&amp;MAX(0,NETWORKDAYS($AA329,TODAY(),Holidays)-1)&amp;" of "&amp;CHOOSE($Z329,3,3,2,2,3))&amp;" | Total Day "&amp;MAX(0,NETWORKDAYS($N329,TODAY(),Holidays)-1))</f>
        <v/>
      </c>
      <c r="X329" s="18"/>
      <c r="Y329" s="18"/>
      <c r="Z329" s="17">
        <f>IF($N329="","",COUNT($N329:$S329))</f>
        <v/>
      </c>
      <c r="AA329" s="19">
        <f>IF($Z329="","",INT(INDEX($N329:$S329,$Z329)))</f>
        <v/>
      </c>
      <c r="AB329" s="19">
        <f>IF(OR($Z329="",$Z329=6),"",WORKDAY($AA329,CHOOSE($Z329,3,3,2,2,3),Holidays))</f>
        <v/>
      </c>
      <c r="AC329" s="17">
        <f>IF(OR($Z329="",$Z329=6),"",CHOOSE($Z329,"1st Email Follow-up","2nd Email Follow-up","Escalate Local Office","Escalate to CBE","Escalate to Roxanne"))</f>
        <v/>
      </c>
    </row>
    <row r="330" spans="13:29">
      <c r="M330" s="14"/>
      <c r="T330" s="16"/>
      <c r="U330" s="17">
        <f>IF(AND(COUNTA($A330:$L330)=0,$N330=""),"",IF($T330="Paid","PAID",IF($T330="Closed","CLOSED",IF($Z330="","",IF($Z330=6,"ESCALATED TO ROXANNE",IF(TODAY()&gt;$AB330,"OVERDUE",IF($AB330&lt;=WORKDAY(TODAY(),1,Holidays),"DUE TOMORROW",IF($Z330=4,"ESCALATED TO LOCAL OFFICE",IF($Z330=5,"ESCALATED TO CBE",IF($AA330=TODAY(),"EMAIL SENT","MONITORING"))))))))))</f>
        <v/>
      </c>
      <c r="V330" s="17">
        <f>IF($U330="",IF(AND(COUNTA($A330:$L330)&gt;0,$N330=""),"Awaiting Collection Email time stamp.",""),IF(OR($U330="PAID",$U330="CLOSED"),IF($U330="PAID","Account paid. Action completed.","Account closed. No further action required."),CHOOSE($Z330,"Collection Email","1st Email Follow-up","2nd Email Follow-up","Escalation to Local Office","Escalation to CBE","Escalation to Roxanne")&amp;" sent "&amp;TEXT($AA330,"dd-mmm")&amp;". "&amp;IF($Z330=6,"Final escalation completed.",IF($U330="OVERDUE","Next: "&amp;$AC330&amp;" was due "&amp;TEXT($AB330,"dd-mmm")&amp;" - "&amp;(NETWORKDAYS($AB330,TODAY(),Holidays)-1)&amp;" business day(s) late. Send now.",IF($U330="DUE TOMORROW","Next: "&amp;$AC330&amp;IF($AB330&lt;=TODAY()," is due TODAY ("," is due next business day (")&amp;TEXT($AB330,"dd-mmm")&amp;").","Next: "&amp;$AC330&amp;" due "&amp;TEXT($AB330,"dd-mmm")&amp;" ("&amp;(NETWORKDAYS(TODAY(),$AB330,Holidays)-1)&amp;" business day(s) left).")))))</f>
        <v/>
      </c>
      <c r="W330" s="17">
        <f>IF($Z330="","",CHOOSE($Z330,"Collection Email","1st Follow-up","2nd Follow-up","Local Office","CBE","Roxanne")&amp;IF($Z330=6," - Final"," - Day "&amp;MAX(0,NETWORKDAYS($AA330,TODAY(),Holidays)-1)&amp;" of "&amp;CHOOSE($Z330,3,3,2,2,3))&amp;" | Total Day "&amp;MAX(0,NETWORKDAYS($N330,TODAY(),Holidays)-1))</f>
        <v/>
      </c>
      <c r="X330" s="18"/>
      <c r="Y330" s="18"/>
      <c r="Z330" s="17">
        <f>IF($N330="","",COUNT($N330:$S330))</f>
        <v/>
      </c>
      <c r="AA330" s="19">
        <f>IF($Z330="","",INT(INDEX($N330:$S330,$Z330)))</f>
        <v/>
      </c>
      <c r="AB330" s="19">
        <f>IF(OR($Z330="",$Z330=6),"",WORKDAY($AA330,CHOOSE($Z330,3,3,2,2,3),Holidays))</f>
        <v/>
      </c>
      <c r="AC330" s="17">
        <f>IF(OR($Z330="",$Z330=6),"",CHOOSE($Z330,"1st Email Follow-up","2nd Email Follow-up","Escalate Local Office","Escalate to CBE","Escalate to Roxanne"))</f>
        <v/>
      </c>
    </row>
    <row r="331" spans="13:29">
      <c r="M331" s="14"/>
      <c r="T331" s="16"/>
      <c r="U331" s="17">
        <f>IF(AND(COUNTA($A331:$L331)=0,$N331=""),"",IF($T331="Paid","PAID",IF($T331="Closed","CLOSED",IF($Z331="","",IF($Z331=6,"ESCALATED TO ROXANNE",IF(TODAY()&gt;$AB331,"OVERDUE",IF($AB331&lt;=WORKDAY(TODAY(),1,Holidays),"DUE TOMORROW",IF($Z331=4,"ESCALATED TO LOCAL OFFICE",IF($Z331=5,"ESCALATED TO CBE",IF($AA331=TODAY(),"EMAIL SENT","MONITORING"))))))))))</f>
        <v/>
      </c>
      <c r="V331" s="17">
        <f>IF($U331="",IF(AND(COUNTA($A331:$L331)&gt;0,$N331=""),"Awaiting Collection Email time stamp.",""),IF(OR($U331="PAID",$U331="CLOSED"),IF($U331="PAID","Account paid. Action completed.","Account closed. No further action required."),CHOOSE($Z331,"Collection Email","1st Email Follow-up","2nd Email Follow-up","Escalation to Local Office","Escalation to CBE","Escalation to Roxanne")&amp;" sent "&amp;TEXT($AA331,"dd-mmm")&amp;". "&amp;IF($Z331=6,"Final escalation completed.",IF($U331="OVERDUE","Next: "&amp;$AC331&amp;" was due "&amp;TEXT($AB331,"dd-mmm")&amp;" - "&amp;(NETWORKDAYS($AB331,TODAY(),Holidays)-1)&amp;" business day(s) late. Send now.",IF($U331="DUE TOMORROW","Next: "&amp;$AC331&amp;IF($AB331&lt;=TODAY()," is due TODAY ("," is due next business day (")&amp;TEXT($AB331,"dd-mmm")&amp;").","Next: "&amp;$AC331&amp;" due "&amp;TEXT($AB331,"dd-mmm")&amp;" ("&amp;(NETWORKDAYS(TODAY(),$AB331,Holidays)-1)&amp;" business day(s) left).")))))</f>
        <v/>
      </c>
      <c r="W331" s="17">
        <f>IF($Z331="","",CHOOSE($Z331,"Collection Email","1st Follow-up","2nd Follow-up","Local Office","CBE","Roxanne")&amp;IF($Z331=6," - Final"," - Day "&amp;MAX(0,NETWORKDAYS($AA331,TODAY(),Holidays)-1)&amp;" of "&amp;CHOOSE($Z331,3,3,2,2,3))&amp;" | Total Day "&amp;MAX(0,NETWORKDAYS($N331,TODAY(),Holidays)-1))</f>
        <v/>
      </c>
      <c r="X331" s="18"/>
      <c r="Y331" s="18"/>
      <c r="Z331" s="17">
        <f>IF($N331="","",COUNT($N331:$S331))</f>
        <v/>
      </c>
      <c r="AA331" s="19">
        <f>IF($Z331="","",INT(INDEX($N331:$S331,$Z331)))</f>
        <v/>
      </c>
      <c r="AB331" s="19">
        <f>IF(OR($Z331="",$Z331=6),"",WORKDAY($AA331,CHOOSE($Z331,3,3,2,2,3),Holidays))</f>
        <v/>
      </c>
      <c r="AC331" s="17">
        <f>IF(OR($Z331="",$Z331=6),"",CHOOSE($Z331,"1st Email Follow-up","2nd Email Follow-up","Escalate Local Office","Escalate to CBE","Escalate to Roxanne"))</f>
        <v/>
      </c>
    </row>
    <row r="332" spans="13:29">
      <c r="M332" s="14"/>
      <c r="T332" s="16"/>
      <c r="U332" s="17">
        <f>IF(AND(COUNTA($A332:$L332)=0,$N332=""),"",IF($T332="Paid","PAID",IF($T332="Closed","CLOSED",IF($Z332="","",IF($Z332=6,"ESCALATED TO ROXANNE",IF(TODAY()&gt;$AB332,"OVERDUE",IF($AB332&lt;=WORKDAY(TODAY(),1,Holidays),"DUE TOMORROW",IF($Z332=4,"ESCALATED TO LOCAL OFFICE",IF($Z332=5,"ESCALATED TO CBE",IF($AA332=TODAY(),"EMAIL SENT","MONITORING"))))))))))</f>
        <v/>
      </c>
      <c r="V332" s="17">
        <f>IF($U332="",IF(AND(COUNTA($A332:$L332)&gt;0,$N332=""),"Awaiting Collection Email time stamp.",""),IF(OR($U332="PAID",$U332="CLOSED"),IF($U332="PAID","Account paid. Action completed.","Account closed. No further action required."),CHOOSE($Z332,"Collection Email","1st Email Follow-up","2nd Email Follow-up","Escalation to Local Office","Escalation to CBE","Escalation to Roxanne")&amp;" sent "&amp;TEXT($AA332,"dd-mmm")&amp;". "&amp;IF($Z332=6,"Final escalation completed.",IF($U332="OVERDUE","Next: "&amp;$AC332&amp;" was due "&amp;TEXT($AB332,"dd-mmm")&amp;" - "&amp;(NETWORKDAYS($AB332,TODAY(),Holidays)-1)&amp;" business day(s) late. Send now.",IF($U332="DUE TOMORROW","Next: "&amp;$AC332&amp;IF($AB332&lt;=TODAY()," is due TODAY ("," is due next business day (")&amp;TEXT($AB332,"dd-mmm")&amp;").","Next: "&amp;$AC332&amp;" due "&amp;TEXT($AB332,"dd-mmm")&amp;" ("&amp;(NETWORKDAYS(TODAY(),$AB332,Holidays)-1)&amp;" business day(s) left).")))))</f>
        <v/>
      </c>
      <c r="W332" s="17">
        <f>IF($Z332="","",CHOOSE($Z332,"Collection Email","1st Follow-up","2nd Follow-up","Local Office","CBE","Roxanne")&amp;IF($Z332=6," - Final"," - Day "&amp;MAX(0,NETWORKDAYS($AA332,TODAY(),Holidays)-1)&amp;" of "&amp;CHOOSE($Z332,3,3,2,2,3))&amp;" | Total Day "&amp;MAX(0,NETWORKDAYS($N332,TODAY(),Holidays)-1))</f>
        <v/>
      </c>
      <c r="X332" s="18"/>
      <c r="Y332" s="18"/>
      <c r="Z332" s="17">
        <f>IF($N332="","",COUNT($N332:$S332))</f>
        <v/>
      </c>
      <c r="AA332" s="19">
        <f>IF($Z332="","",INT(INDEX($N332:$S332,$Z332)))</f>
        <v/>
      </c>
      <c r="AB332" s="19">
        <f>IF(OR($Z332="",$Z332=6),"",WORKDAY($AA332,CHOOSE($Z332,3,3,2,2,3),Holidays))</f>
        <v/>
      </c>
      <c r="AC332" s="17">
        <f>IF(OR($Z332="",$Z332=6),"",CHOOSE($Z332,"1st Email Follow-up","2nd Email Follow-up","Escalate Local Office","Escalate to CBE","Escalate to Roxanne"))</f>
        <v/>
      </c>
    </row>
    <row r="333" spans="13:29">
      <c r="M333" s="14"/>
      <c r="T333" s="16"/>
      <c r="U333" s="17">
        <f>IF(AND(COUNTA($A333:$L333)=0,$N333=""),"",IF($T333="Paid","PAID",IF($T333="Closed","CLOSED",IF($Z333="","",IF($Z333=6,"ESCALATED TO ROXANNE",IF(TODAY()&gt;$AB333,"OVERDUE",IF($AB333&lt;=WORKDAY(TODAY(),1,Holidays),"DUE TOMORROW",IF($Z333=4,"ESCALATED TO LOCAL OFFICE",IF($Z333=5,"ESCALATED TO CBE",IF($AA333=TODAY(),"EMAIL SENT","MONITORING"))))))))))</f>
        <v/>
      </c>
      <c r="V333" s="17">
        <f>IF($U333="",IF(AND(COUNTA($A333:$L333)&gt;0,$N333=""),"Awaiting Collection Email time stamp.",""),IF(OR($U333="PAID",$U333="CLOSED"),IF($U333="PAID","Account paid. Action completed.","Account closed. No further action required."),CHOOSE($Z333,"Collection Email","1st Email Follow-up","2nd Email Follow-up","Escalation to Local Office","Escalation to CBE","Escalation to Roxanne")&amp;" sent "&amp;TEXT($AA333,"dd-mmm")&amp;". "&amp;IF($Z333=6,"Final escalation completed.",IF($U333="OVERDUE","Next: "&amp;$AC333&amp;" was due "&amp;TEXT($AB333,"dd-mmm")&amp;" - "&amp;(NETWORKDAYS($AB333,TODAY(),Holidays)-1)&amp;" business day(s) late. Send now.",IF($U333="DUE TOMORROW","Next: "&amp;$AC333&amp;IF($AB333&lt;=TODAY()," is due TODAY ("," is due next business day (")&amp;TEXT($AB333,"dd-mmm")&amp;").","Next: "&amp;$AC333&amp;" due "&amp;TEXT($AB333,"dd-mmm")&amp;" ("&amp;(NETWORKDAYS(TODAY(),$AB333,Holidays)-1)&amp;" business day(s) left).")))))</f>
        <v/>
      </c>
      <c r="W333" s="17">
        <f>IF($Z333="","",CHOOSE($Z333,"Collection Email","1st Follow-up","2nd Follow-up","Local Office","CBE","Roxanne")&amp;IF($Z333=6," - Final"," - Day "&amp;MAX(0,NETWORKDAYS($AA333,TODAY(),Holidays)-1)&amp;" of "&amp;CHOOSE($Z333,3,3,2,2,3))&amp;" | Total Day "&amp;MAX(0,NETWORKDAYS($N333,TODAY(),Holidays)-1))</f>
        <v/>
      </c>
      <c r="X333" s="18"/>
      <c r="Y333" s="18"/>
      <c r="Z333" s="17">
        <f>IF($N333="","",COUNT($N333:$S333))</f>
        <v/>
      </c>
      <c r="AA333" s="19">
        <f>IF($Z333="","",INT(INDEX($N333:$S333,$Z333)))</f>
        <v/>
      </c>
      <c r="AB333" s="19">
        <f>IF(OR($Z333="",$Z333=6),"",WORKDAY($AA333,CHOOSE($Z333,3,3,2,2,3),Holidays))</f>
        <v/>
      </c>
      <c r="AC333" s="17">
        <f>IF(OR($Z333="",$Z333=6),"",CHOOSE($Z333,"1st Email Follow-up","2nd Email Follow-up","Escalate Local Office","Escalate to CBE","Escalate to Roxanne"))</f>
        <v/>
      </c>
    </row>
    <row r="334" spans="13:29">
      <c r="M334" s="14"/>
      <c r="T334" s="16"/>
      <c r="U334" s="17">
        <f>IF(AND(COUNTA($A334:$L334)=0,$N334=""),"",IF($T334="Paid","PAID",IF($T334="Closed","CLOSED",IF($Z334="","",IF($Z334=6,"ESCALATED TO ROXANNE",IF(TODAY()&gt;$AB334,"OVERDUE",IF($AB334&lt;=WORKDAY(TODAY(),1,Holidays),"DUE TOMORROW",IF($Z334=4,"ESCALATED TO LOCAL OFFICE",IF($Z334=5,"ESCALATED TO CBE",IF($AA334=TODAY(),"EMAIL SENT","MONITORING"))))))))))</f>
        <v/>
      </c>
      <c r="V334" s="17">
        <f>IF($U334="",IF(AND(COUNTA($A334:$L334)&gt;0,$N334=""),"Awaiting Collection Email time stamp.",""),IF(OR($U334="PAID",$U334="CLOSED"),IF($U334="PAID","Account paid. Action completed.","Account closed. No further action required."),CHOOSE($Z334,"Collection Email","1st Email Follow-up","2nd Email Follow-up","Escalation to Local Office","Escalation to CBE","Escalation to Roxanne")&amp;" sent "&amp;TEXT($AA334,"dd-mmm")&amp;". "&amp;IF($Z334=6,"Final escalation completed.",IF($U334="OVERDUE","Next: "&amp;$AC334&amp;" was due "&amp;TEXT($AB334,"dd-mmm")&amp;" - "&amp;(NETWORKDAYS($AB334,TODAY(),Holidays)-1)&amp;" business day(s) late. Send now.",IF($U334="DUE TOMORROW","Next: "&amp;$AC334&amp;IF($AB334&lt;=TODAY()," is due TODAY ("," is due next business day (")&amp;TEXT($AB334,"dd-mmm")&amp;").","Next: "&amp;$AC334&amp;" due "&amp;TEXT($AB334,"dd-mmm")&amp;" ("&amp;(NETWORKDAYS(TODAY(),$AB334,Holidays)-1)&amp;" business day(s) left).")))))</f>
        <v/>
      </c>
      <c r="W334" s="17">
        <f>IF($Z334="","",CHOOSE($Z334,"Collection Email","1st Follow-up","2nd Follow-up","Local Office","CBE","Roxanne")&amp;IF($Z334=6," - Final"," - Day "&amp;MAX(0,NETWORKDAYS($AA334,TODAY(),Holidays)-1)&amp;" of "&amp;CHOOSE($Z334,3,3,2,2,3))&amp;" | Total Day "&amp;MAX(0,NETWORKDAYS($N334,TODAY(),Holidays)-1))</f>
        <v/>
      </c>
      <c r="X334" s="18"/>
      <c r="Y334" s="18"/>
      <c r="Z334" s="17">
        <f>IF($N334="","",COUNT($N334:$S334))</f>
        <v/>
      </c>
      <c r="AA334" s="19">
        <f>IF($Z334="","",INT(INDEX($N334:$S334,$Z334)))</f>
        <v/>
      </c>
      <c r="AB334" s="19">
        <f>IF(OR($Z334="",$Z334=6),"",WORKDAY($AA334,CHOOSE($Z334,3,3,2,2,3),Holidays))</f>
        <v/>
      </c>
      <c r="AC334" s="17">
        <f>IF(OR($Z334="",$Z334=6),"",CHOOSE($Z334,"1st Email Follow-up","2nd Email Follow-up","Escalate Local Office","Escalate to CBE","Escalate to Roxanne"))</f>
        <v/>
      </c>
    </row>
    <row r="335" spans="13:29">
      <c r="M335" s="14"/>
      <c r="T335" s="16"/>
      <c r="U335" s="17">
        <f>IF(AND(COUNTA($A335:$L335)=0,$N335=""),"",IF($T335="Paid","PAID",IF($T335="Closed","CLOSED",IF($Z335="","",IF($Z335=6,"ESCALATED TO ROXANNE",IF(TODAY()&gt;$AB335,"OVERDUE",IF($AB335&lt;=WORKDAY(TODAY(),1,Holidays),"DUE TOMORROW",IF($Z335=4,"ESCALATED TO LOCAL OFFICE",IF($Z335=5,"ESCALATED TO CBE",IF($AA335=TODAY(),"EMAIL SENT","MONITORING"))))))))))</f>
        <v/>
      </c>
      <c r="V335" s="17">
        <f>IF($U335="",IF(AND(COUNTA($A335:$L335)&gt;0,$N335=""),"Awaiting Collection Email time stamp.",""),IF(OR($U335="PAID",$U335="CLOSED"),IF($U335="PAID","Account paid. Action completed.","Account closed. No further action required."),CHOOSE($Z335,"Collection Email","1st Email Follow-up","2nd Email Follow-up","Escalation to Local Office","Escalation to CBE","Escalation to Roxanne")&amp;" sent "&amp;TEXT($AA335,"dd-mmm")&amp;". "&amp;IF($Z335=6,"Final escalation completed.",IF($U335="OVERDUE","Next: "&amp;$AC335&amp;" was due "&amp;TEXT($AB335,"dd-mmm")&amp;" - "&amp;(NETWORKDAYS($AB335,TODAY(),Holidays)-1)&amp;" business day(s) late. Send now.",IF($U335="DUE TOMORROW","Next: "&amp;$AC335&amp;IF($AB335&lt;=TODAY()," is due TODAY ("," is due next business day (")&amp;TEXT($AB335,"dd-mmm")&amp;").","Next: "&amp;$AC335&amp;" due "&amp;TEXT($AB335,"dd-mmm")&amp;" ("&amp;(NETWORKDAYS(TODAY(),$AB335,Holidays)-1)&amp;" business day(s) left).")))))</f>
        <v/>
      </c>
      <c r="W335" s="17">
        <f>IF($Z335="","",CHOOSE($Z335,"Collection Email","1st Follow-up","2nd Follow-up","Local Office","CBE","Roxanne")&amp;IF($Z335=6," - Final"," - Day "&amp;MAX(0,NETWORKDAYS($AA335,TODAY(),Holidays)-1)&amp;" of "&amp;CHOOSE($Z335,3,3,2,2,3))&amp;" | Total Day "&amp;MAX(0,NETWORKDAYS($N335,TODAY(),Holidays)-1))</f>
        <v/>
      </c>
      <c r="X335" s="18"/>
      <c r="Y335" s="18"/>
      <c r="Z335" s="17">
        <f>IF($N335="","",COUNT($N335:$S335))</f>
        <v/>
      </c>
      <c r="AA335" s="19">
        <f>IF($Z335="","",INT(INDEX($N335:$S335,$Z335)))</f>
        <v/>
      </c>
      <c r="AB335" s="19">
        <f>IF(OR($Z335="",$Z335=6),"",WORKDAY($AA335,CHOOSE($Z335,3,3,2,2,3),Holidays))</f>
        <v/>
      </c>
      <c r="AC335" s="17">
        <f>IF(OR($Z335="",$Z335=6),"",CHOOSE($Z335,"1st Email Follow-up","2nd Email Follow-up","Escalate Local Office","Escalate to CBE","Escalate to Roxanne"))</f>
        <v/>
      </c>
    </row>
    <row r="336" spans="13:29">
      <c r="M336" s="14"/>
      <c r="T336" s="16"/>
      <c r="U336" s="17">
        <f>IF(AND(COUNTA($A336:$L336)=0,$N336=""),"",IF($T336="Paid","PAID",IF($T336="Closed","CLOSED",IF($Z336="","",IF($Z336=6,"ESCALATED TO ROXANNE",IF(TODAY()&gt;$AB336,"OVERDUE",IF($AB336&lt;=WORKDAY(TODAY(),1,Holidays),"DUE TOMORROW",IF($Z336=4,"ESCALATED TO LOCAL OFFICE",IF($Z336=5,"ESCALATED TO CBE",IF($AA336=TODAY(),"EMAIL SENT","MONITORING"))))))))))</f>
        <v/>
      </c>
      <c r="V336" s="17">
        <f>IF($U336="",IF(AND(COUNTA($A336:$L336)&gt;0,$N336=""),"Awaiting Collection Email time stamp.",""),IF(OR($U336="PAID",$U336="CLOSED"),IF($U336="PAID","Account paid. Action completed.","Account closed. No further action required."),CHOOSE($Z336,"Collection Email","1st Email Follow-up","2nd Email Follow-up","Escalation to Local Office","Escalation to CBE","Escalation to Roxanne")&amp;" sent "&amp;TEXT($AA336,"dd-mmm")&amp;". "&amp;IF($Z336=6,"Final escalation completed.",IF($U336="OVERDUE","Next: "&amp;$AC336&amp;" was due "&amp;TEXT($AB336,"dd-mmm")&amp;" - "&amp;(NETWORKDAYS($AB336,TODAY(),Holidays)-1)&amp;" business day(s) late. Send now.",IF($U336="DUE TOMORROW","Next: "&amp;$AC336&amp;IF($AB336&lt;=TODAY()," is due TODAY ("," is due next business day (")&amp;TEXT($AB336,"dd-mmm")&amp;").","Next: "&amp;$AC336&amp;" due "&amp;TEXT($AB336,"dd-mmm")&amp;" ("&amp;(NETWORKDAYS(TODAY(),$AB336,Holidays)-1)&amp;" business day(s) left).")))))</f>
        <v/>
      </c>
      <c r="W336" s="17">
        <f>IF($Z336="","",CHOOSE($Z336,"Collection Email","1st Follow-up","2nd Follow-up","Local Office","CBE","Roxanne")&amp;IF($Z336=6," - Final"," - Day "&amp;MAX(0,NETWORKDAYS($AA336,TODAY(),Holidays)-1)&amp;" of "&amp;CHOOSE($Z336,3,3,2,2,3))&amp;" | Total Day "&amp;MAX(0,NETWORKDAYS($N336,TODAY(),Holidays)-1))</f>
        <v/>
      </c>
      <c r="X336" s="18"/>
      <c r="Y336" s="18"/>
      <c r="Z336" s="17">
        <f>IF($N336="","",COUNT($N336:$S336))</f>
        <v/>
      </c>
      <c r="AA336" s="19">
        <f>IF($Z336="","",INT(INDEX($N336:$S336,$Z336)))</f>
        <v/>
      </c>
      <c r="AB336" s="19">
        <f>IF(OR($Z336="",$Z336=6),"",WORKDAY($AA336,CHOOSE($Z336,3,3,2,2,3),Holidays))</f>
        <v/>
      </c>
      <c r="AC336" s="17">
        <f>IF(OR($Z336="",$Z336=6),"",CHOOSE($Z336,"1st Email Follow-up","2nd Email Follow-up","Escalate Local Office","Escalate to CBE","Escalate to Roxanne"))</f>
        <v/>
      </c>
    </row>
    <row r="337" spans="13:29">
      <c r="M337" s="14"/>
      <c r="T337" s="16"/>
      <c r="U337" s="17">
        <f>IF(AND(COUNTA($A337:$L337)=0,$N337=""),"",IF($T337="Paid","PAID",IF($T337="Closed","CLOSED",IF($Z337="","",IF($Z337=6,"ESCALATED TO ROXANNE",IF(TODAY()&gt;$AB337,"OVERDUE",IF($AB337&lt;=WORKDAY(TODAY(),1,Holidays),"DUE TOMORROW",IF($Z337=4,"ESCALATED TO LOCAL OFFICE",IF($Z337=5,"ESCALATED TO CBE",IF($AA337=TODAY(),"EMAIL SENT","MONITORING"))))))))))</f>
        <v/>
      </c>
      <c r="V337" s="17">
        <f>IF($U337="",IF(AND(COUNTA($A337:$L337)&gt;0,$N337=""),"Awaiting Collection Email time stamp.",""),IF(OR($U337="PAID",$U337="CLOSED"),IF($U337="PAID","Account paid. Action completed.","Account closed. No further action required."),CHOOSE($Z337,"Collection Email","1st Email Follow-up","2nd Email Follow-up","Escalation to Local Office","Escalation to CBE","Escalation to Roxanne")&amp;" sent "&amp;TEXT($AA337,"dd-mmm")&amp;". "&amp;IF($Z337=6,"Final escalation completed.",IF($U337="OVERDUE","Next: "&amp;$AC337&amp;" was due "&amp;TEXT($AB337,"dd-mmm")&amp;" - "&amp;(NETWORKDAYS($AB337,TODAY(),Holidays)-1)&amp;" business day(s) late. Send now.",IF($U337="DUE TOMORROW","Next: "&amp;$AC337&amp;IF($AB337&lt;=TODAY()," is due TODAY ("," is due next business day (")&amp;TEXT($AB337,"dd-mmm")&amp;").","Next: "&amp;$AC337&amp;" due "&amp;TEXT($AB337,"dd-mmm")&amp;" ("&amp;(NETWORKDAYS(TODAY(),$AB337,Holidays)-1)&amp;" business day(s) left).")))))</f>
        <v/>
      </c>
      <c r="W337" s="17">
        <f>IF($Z337="","",CHOOSE($Z337,"Collection Email","1st Follow-up","2nd Follow-up","Local Office","CBE","Roxanne")&amp;IF($Z337=6," - Final"," - Day "&amp;MAX(0,NETWORKDAYS($AA337,TODAY(),Holidays)-1)&amp;" of "&amp;CHOOSE($Z337,3,3,2,2,3))&amp;" | Total Day "&amp;MAX(0,NETWORKDAYS($N337,TODAY(),Holidays)-1))</f>
        <v/>
      </c>
      <c r="X337" s="18"/>
      <c r="Y337" s="18"/>
      <c r="Z337" s="17">
        <f>IF($N337="","",COUNT($N337:$S337))</f>
        <v/>
      </c>
      <c r="AA337" s="19">
        <f>IF($Z337="","",INT(INDEX($N337:$S337,$Z337)))</f>
        <v/>
      </c>
      <c r="AB337" s="19">
        <f>IF(OR($Z337="",$Z337=6),"",WORKDAY($AA337,CHOOSE($Z337,3,3,2,2,3),Holidays))</f>
        <v/>
      </c>
      <c r="AC337" s="17">
        <f>IF(OR($Z337="",$Z337=6),"",CHOOSE($Z337,"1st Email Follow-up","2nd Email Follow-up","Escalate Local Office","Escalate to CBE","Escalate to Roxanne"))</f>
        <v/>
      </c>
    </row>
    <row r="338" spans="13:29">
      <c r="M338" s="14"/>
      <c r="T338" s="16"/>
      <c r="U338" s="17">
        <f>IF(AND(COUNTA($A338:$L338)=0,$N338=""),"",IF($T338="Paid","PAID",IF($T338="Closed","CLOSED",IF($Z338="","",IF($Z338=6,"ESCALATED TO ROXANNE",IF(TODAY()&gt;$AB338,"OVERDUE",IF($AB338&lt;=WORKDAY(TODAY(),1,Holidays),"DUE TOMORROW",IF($Z338=4,"ESCALATED TO LOCAL OFFICE",IF($Z338=5,"ESCALATED TO CBE",IF($AA338=TODAY(),"EMAIL SENT","MONITORING"))))))))))</f>
        <v/>
      </c>
      <c r="V338" s="17">
        <f>IF($U338="",IF(AND(COUNTA($A338:$L338)&gt;0,$N338=""),"Awaiting Collection Email time stamp.",""),IF(OR($U338="PAID",$U338="CLOSED"),IF($U338="PAID","Account paid. Action completed.","Account closed. No further action required."),CHOOSE($Z338,"Collection Email","1st Email Follow-up","2nd Email Follow-up","Escalation to Local Office","Escalation to CBE","Escalation to Roxanne")&amp;" sent "&amp;TEXT($AA338,"dd-mmm")&amp;". "&amp;IF($Z338=6,"Final escalation completed.",IF($U338="OVERDUE","Next: "&amp;$AC338&amp;" was due "&amp;TEXT($AB338,"dd-mmm")&amp;" - "&amp;(NETWORKDAYS($AB338,TODAY(),Holidays)-1)&amp;" business day(s) late. Send now.",IF($U338="DUE TOMORROW","Next: "&amp;$AC338&amp;IF($AB338&lt;=TODAY()," is due TODAY ("," is due next business day (")&amp;TEXT($AB338,"dd-mmm")&amp;").","Next: "&amp;$AC338&amp;" due "&amp;TEXT($AB338,"dd-mmm")&amp;" ("&amp;(NETWORKDAYS(TODAY(),$AB338,Holidays)-1)&amp;" business day(s) left).")))))</f>
        <v/>
      </c>
      <c r="W338" s="17">
        <f>IF($Z338="","",CHOOSE($Z338,"Collection Email","1st Follow-up","2nd Follow-up","Local Office","CBE","Roxanne")&amp;IF($Z338=6," - Final"," - Day "&amp;MAX(0,NETWORKDAYS($AA338,TODAY(),Holidays)-1)&amp;" of "&amp;CHOOSE($Z338,3,3,2,2,3))&amp;" | Total Day "&amp;MAX(0,NETWORKDAYS($N338,TODAY(),Holidays)-1))</f>
        <v/>
      </c>
      <c r="X338" s="18"/>
      <c r="Y338" s="18"/>
      <c r="Z338" s="17">
        <f>IF($N338="","",COUNT($N338:$S338))</f>
        <v/>
      </c>
      <c r="AA338" s="19">
        <f>IF($Z338="","",INT(INDEX($N338:$S338,$Z338)))</f>
        <v/>
      </c>
      <c r="AB338" s="19">
        <f>IF(OR($Z338="",$Z338=6),"",WORKDAY($AA338,CHOOSE($Z338,3,3,2,2,3),Holidays))</f>
        <v/>
      </c>
      <c r="AC338" s="17">
        <f>IF(OR($Z338="",$Z338=6),"",CHOOSE($Z338,"1st Email Follow-up","2nd Email Follow-up","Escalate Local Office","Escalate to CBE","Escalate to Roxanne"))</f>
        <v/>
      </c>
    </row>
    <row r="339" spans="13:29">
      <c r="M339" s="14"/>
      <c r="T339" s="16"/>
      <c r="U339" s="17">
        <f>IF(AND(COUNTA($A339:$L339)=0,$N339=""),"",IF($T339="Paid","PAID",IF($T339="Closed","CLOSED",IF($Z339="","",IF($Z339=6,"ESCALATED TO ROXANNE",IF(TODAY()&gt;$AB339,"OVERDUE",IF($AB339&lt;=WORKDAY(TODAY(),1,Holidays),"DUE TOMORROW",IF($Z339=4,"ESCALATED TO LOCAL OFFICE",IF($Z339=5,"ESCALATED TO CBE",IF($AA339=TODAY(),"EMAIL SENT","MONITORING"))))))))))</f>
        <v/>
      </c>
      <c r="V339" s="17">
        <f>IF($U339="",IF(AND(COUNTA($A339:$L339)&gt;0,$N339=""),"Awaiting Collection Email time stamp.",""),IF(OR($U339="PAID",$U339="CLOSED"),IF($U339="PAID","Account paid. Action completed.","Account closed. No further action required."),CHOOSE($Z339,"Collection Email","1st Email Follow-up","2nd Email Follow-up","Escalation to Local Office","Escalation to CBE","Escalation to Roxanne")&amp;" sent "&amp;TEXT($AA339,"dd-mmm")&amp;". "&amp;IF($Z339=6,"Final escalation completed.",IF($U339="OVERDUE","Next: "&amp;$AC339&amp;" was due "&amp;TEXT($AB339,"dd-mmm")&amp;" - "&amp;(NETWORKDAYS($AB339,TODAY(),Holidays)-1)&amp;" business day(s) late. Send now.",IF($U339="DUE TOMORROW","Next: "&amp;$AC339&amp;IF($AB339&lt;=TODAY()," is due TODAY ("," is due next business day (")&amp;TEXT($AB339,"dd-mmm")&amp;").","Next: "&amp;$AC339&amp;" due "&amp;TEXT($AB339,"dd-mmm")&amp;" ("&amp;(NETWORKDAYS(TODAY(),$AB339,Holidays)-1)&amp;" business day(s) left).")))))</f>
        <v/>
      </c>
      <c r="W339" s="17">
        <f>IF($Z339="","",CHOOSE($Z339,"Collection Email","1st Follow-up","2nd Follow-up","Local Office","CBE","Roxanne")&amp;IF($Z339=6," - Final"," - Day "&amp;MAX(0,NETWORKDAYS($AA339,TODAY(),Holidays)-1)&amp;" of "&amp;CHOOSE($Z339,3,3,2,2,3))&amp;" | Total Day "&amp;MAX(0,NETWORKDAYS($N339,TODAY(),Holidays)-1))</f>
        <v/>
      </c>
      <c r="X339" s="18"/>
      <c r="Y339" s="18"/>
      <c r="Z339" s="17">
        <f>IF($N339="","",COUNT($N339:$S339))</f>
        <v/>
      </c>
      <c r="AA339" s="19">
        <f>IF($Z339="","",INT(INDEX($N339:$S339,$Z339)))</f>
        <v/>
      </c>
      <c r="AB339" s="19">
        <f>IF(OR($Z339="",$Z339=6),"",WORKDAY($AA339,CHOOSE($Z339,3,3,2,2,3),Holidays))</f>
        <v/>
      </c>
      <c r="AC339" s="17">
        <f>IF(OR($Z339="",$Z339=6),"",CHOOSE($Z339,"1st Email Follow-up","2nd Email Follow-up","Escalate Local Office","Escalate to CBE","Escalate to Roxanne"))</f>
        <v/>
      </c>
    </row>
    <row r="340" spans="13:29">
      <c r="M340" s="14"/>
      <c r="T340" s="16"/>
      <c r="U340" s="17">
        <f>IF(AND(COUNTA($A340:$L340)=0,$N340=""),"",IF($T340="Paid","PAID",IF($T340="Closed","CLOSED",IF($Z340="","",IF($Z340=6,"ESCALATED TO ROXANNE",IF(TODAY()&gt;$AB340,"OVERDUE",IF($AB340&lt;=WORKDAY(TODAY(),1,Holidays),"DUE TOMORROW",IF($Z340=4,"ESCALATED TO LOCAL OFFICE",IF($Z340=5,"ESCALATED TO CBE",IF($AA340=TODAY(),"EMAIL SENT","MONITORING"))))))))))</f>
        <v/>
      </c>
      <c r="V340" s="17">
        <f>IF($U340="",IF(AND(COUNTA($A340:$L340)&gt;0,$N340=""),"Awaiting Collection Email time stamp.",""),IF(OR($U340="PAID",$U340="CLOSED"),IF($U340="PAID","Account paid. Action completed.","Account closed. No further action required."),CHOOSE($Z340,"Collection Email","1st Email Follow-up","2nd Email Follow-up","Escalation to Local Office","Escalation to CBE","Escalation to Roxanne")&amp;" sent "&amp;TEXT($AA340,"dd-mmm")&amp;". "&amp;IF($Z340=6,"Final escalation completed.",IF($U340="OVERDUE","Next: "&amp;$AC340&amp;" was due "&amp;TEXT($AB340,"dd-mmm")&amp;" - "&amp;(NETWORKDAYS($AB340,TODAY(),Holidays)-1)&amp;" business day(s) late. Send now.",IF($U340="DUE TOMORROW","Next: "&amp;$AC340&amp;IF($AB340&lt;=TODAY()," is due TODAY ("," is due next business day (")&amp;TEXT($AB340,"dd-mmm")&amp;").","Next: "&amp;$AC340&amp;" due "&amp;TEXT($AB340,"dd-mmm")&amp;" ("&amp;(NETWORKDAYS(TODAY(),$AB340,Holidays)-1)&amp;" business day(s) left).")))))</f>
        <v/>
      </c>
      <c r="W340" s="17">
        <f>IF($Z340="","",CHOOSE($Z340,"Collection Email","1st Follow-up","2nd Follow-up","Local Office","CBE","Roxanne")&amp;IF($Z340=6," - Final"," - Day "&amp;MAX(0,NETWORKDAYS($AA340,TODAY(),Holidays)-1)&amp;" of "&amp;CHOOSE($Z340,3,3,2,2,3))&amp;" | Total Day "&amp;MAX(0,NETWORKDAYS($N340,TODAY(),Holidays)-1))</f>
        <v/>
      </c>
      <c r="X340" s="18"/>
      <c r="Y340" s="18"/>
      <c r="Z340" s="17">
        <f>IF($N340="","",COUNT($N340:$S340))</f>
        <v/>
      </c>
      <c r="AA340" s="19">
        <f>IF($Z340="","",INT(INDEX($N340:$S340,$Z340)))</f>
        <v/>
      </c>
      <c r="AB340" s="19">
        <f>IF(OR($Z340="",$Z340=6),"",WORKDAY($AA340,CHOOSE($Z340,3,3,2,2,3),Holidays))</f>
        <v/>
      </c>
      <c r="AC340" s="17">
        <f>IF(OR($Z340="",$Z340=6),"",CHOOSE($Z340,"1st Email Follow-up","2nd Email Follow-up","Escalate Local Office","Escalate to CBE","Escalate to Roxanne"))</f>
        <v/>
      </c>
    </row>
    <row r="341" spans="13:29">
      <c r="M341" s="14"/>
      <c r="T341" s="16"/>
      <c r="U341" s="17">
        <f>IF(AND(COUNTA($A341:$L341)=0,$N341=""),"",IF($T341="Paid","PAID",IF($T341="Closed","CLOSED",IF($Z341="","",IF($Z341=6,"ESCALATED TO ROXANNE",IF(TODAY()&gt;$AB341,"OVERDUE",IF($AB341&lt;=WORKDAY(TODAY(),1,Holidays),"DUE TOMORROW",IF($Z341=4,"ESCALATED TO LOCAL OFFICE",IF($Z341=5,"ESCALATED TO CBE",IF($AA341=TODAY(),"EMAIL SENT","MONITORING"))))))))))</f>
        <v/>
      </c>
      <c r="V341" s="17">
        <f>IF($U341="",IF(AND(COUNTA($A341:$L341)&gt;0,$N341=""),"Awaiting Collection Email time stamp.",""),IF(OR($U341="PAID",$U341="CLOSED"),IF($U341="PAID","Account paid. Action completed.","Account closed. No further action required."),CHOOSE($Z341,"Collection Email","1st Email Follow-up","2nd Email Follow-up","Escalation to Local Office","Escalation to CBE","Escalation to Roxanne")&amp;" sent "&amp;TEXT($AA341,"dd-mmm")&amp;". "&amp;IF($Z341=6,"Final escalation completed.",IF($U341="OVERDUE","Next: "&amp;$AC341&amp;" was due "&amp;TEXT($AB341,"dd-mmm")&amp;" - "&amp;(NETWORKDAYS($AB341,TODAY(),Holidays)-1)&amp;" business day(s) late. Send now.",IF($U341="DUE TOMORROW","Next: "&amp;$AC341&amp;IF($AB341&lt;=TODAY()," is due TODAY ("," is due next business day (")&amp;TEXT($AB341,"dd-mmm")&amp;").","Next: "&amp;$AC341&amp;" due "&amp;TEXT($AB341,"dd-mmm")&amp;" ("&amp;(NETWORKDAYS(TODAY(),$AB341,Holidays)-1)&amp;" business day(s) left).")))))</f>
        <v/>
      </c>
      <c r="W341" s="17">
        <f>IF($Z341="","",CHOOSE($Z341,"Collection Email","1st Follow-up","2nd Follow-up","Local Office","CBE","Roxanne")&amp;IF($Z341=6," - Final"," - Day "&amp;MAX(0,NETWORKDAYS($AA341,TODAY(),Holidays)-1)&amp;" of "&amp;CHOOSE($Z341,3,3,2,2,3))&amp;" | Total Day "&amp;MAX(0,NETWORKDAYS($N341,TODAY(),Holidays)-1))</f>
        <v/>
      </c>
      <c r="X341" s="18"/>
      <c r="Y341" s="18"/>
      <c r="Z341" s="17">
        <f>IF($N341="","",COUNT($N341:$S341))</f>
        <v/>
      </c>
      <c r="AA341" s="19">
        <f>IF($Z341="","",INT(INDEX($N341:$S341,$Z341)))</f>
        <v/>
      </c>
      <c r="AB341" s="19">
        <f>IF(OR($Z341="",$Z341=6),"",WORKDAY($AA341,CHOOSE($Z341,3,3,2,2,3),Holidays))</f>
        <v/>
      </c>
      <c r="AC341" s="17">
        <f>IF(OR($Z341="",$Z341=6),"",CHOOSE($Z341,"1st Email Follow-up","2nd Email Follow-up","Escalate Local Office","Escalate to CBE","Escalate to Roxanne"))</f>
        <v/>
      </c>
    </row>
    <row r="342" spans="13:29">
      <c r="M342" s="14"/>
      <c r="T342" s="16"/>
      <c r="U342" s="17">
        <f>IF(AND(COUNTA($A342:$L342)=0,$N342=""),"",IF($T342="Paid","PAID",IF($T342="Closed","CLOSED",IF($Z342="","",IF($Z342=6,"ESCALATED TO ROXANNE",IF(TODAY()&gt;$AB342,"OVERDUE",IF($AB342&lt;=WORKDAY(TODAY(),1,Holidays),"DUE TOMORROW",IF($Z342=4,"ESCALATED TO LOCAL OFFICE",IF($Z342=5,"ESCALATED TO CBE",IF($AA342=TODAY(),"EMAIL SENT","MONITORING"))))))))))</f>
        <v/>
      </c>
      <c r="V342" s="17">
        <f>IF($U342="",IF(AND(COUNTA($A342:$L342)&gt;0,$N342=""),"Awaiting Collection Email time stamp.",""),IF(OR($U342="PAID",$U342="CLOSED"),IF($U342="PAID","Account paid. Action completed.","Account closed. No further action required."),CHOOSE($Z342,"Collection Email","1st Email Follow-up","2nd Email Follow-up","Escalation to Local Office","Escalation to CBE","Escalation to Roxanne")&amp;" sent "&amp;TEXT($AA342,"dd-mmm")&amp;". "&amp;IF($Z342=6,"Final escalation completed.",IF($U342="OVERDUE","Next: "&amp;$AC342&amp;" was due "&amp;TEXT($AB342,"dd-mmm")&amp;" - "&amp;(NETWORKDAYS($AB342,TODAY(),Holidays)-1)&amp;" business day(s) late. Send now.",IF($U342="DUE TOMORROW","Next: "&amp;$AC342&amp;IF($AB342&lt;=TODAY()," is due TODAY ("," is due next business day (")&amp;TEXT($AB342,"dd-mmm")&amp;").","Next: "&amp;$AC342&amp;" due "&amp;TEXT($AB342,"dd-mmm")&amp;" ("&amp;(NETWORKDAYS(TODAY(),$AB342,Holidays)-1)&amp;" business day(s) left).")))))</f>
        <v/>
      </c>
      <c r="W342" s="17">
        <f>IF($Z342="","",CHOOSE($Z342,"Collection Email","1st Follow-up","2nd Follow-up","Local Office","CBE","Roxanne")&amp;IF($Z342=6," - Final"," - Day "&amp;MAX(0,NETWORKDAYS($AA342,TODAY(),Holidays)-1)&amp;" of "&amp;CHOOSE($Z342,3,3,2,2,3))&amp;" | Total Day "&amp;MAX(0,NETWORKDAYS($N342,TODAY(),Holidays)-1))</f>
        <v/>
      </c>
      <c r="X342" s="18"/>
      <c r="Y342" s="18"/>
      <c r="Z342" s="17">
        <f>IF($N342="","",COUNT($N342:$S342))</f>
        <v/>
      </c>
      <c r="AA342" s="19">
        <f>IF($Z342="","",INT(INDEX($N342:$S342,$Z342)))</f>
        <v/>
      </c>
      <c r="AB342" s="19">
        <f>IF(OR($Z342="",$Z342=6),"",WORKDAY($AA342,CHOOSE($Z342,3,3,2,2,3),Holidays))</f>
        <v/>
      </c>
      <c r="AC342" s="17">
        <f>IF(OR($Z342="",$Z342=6),"",CHOOSE($Z342,"1st Email Follow-up","2nd Email Follow-up","Escalate Local Office","Escalate to CBE","Escalate to Roxanne"))</f>
        <v/>
      </c>
    </row>
    <row r="343" spans="13:29">
      <c r="M343" s="14"/>
      <c r="T343" s="16"/>
      <c r="U343" s="17">
        <f>IF(AND(COUNTA($A343:$L343)=0,$N343=""),"",IF($T343="Paid","PAID",IF($T343="Closed","CLOSED",IF($Z343="","",IF($Z343=6,"ESCALATED TO ROXANNE",IF(TODAY()&gt;$AB343,"OVERDUE",IF($AB343&lt;=WORKDAY(TODAY(),1,Holidays),"DUE TOMORROW",IF($Z343=4,"ESCALATED TO LOCAL OFFICE",IF($Z343=5,"ESCALATED TO CBE",IF($AA343=TODAY(),"EMAIL SENT","MONITORING"))))))))))</f>
        <v/>
      </c>
      <c r="V343" s="17">
        <f>IF($U343="",IF(AND(COUNTA($A343:$L343)&gt;0,$N343=""),"Awaiting Collection Email time stamp.",""),IF(OR($U343="PAID",$U343="CLOSED"),IF($U343="PAID","Account paid. Action completed.","Account closed. No further action required."),CHOOSE($Z343,"Collection Email","1st Email Follow-up","2nd Email Follow-up","Escalation to Local Office","Escalation to CBE","Escalation to Roxanne")&amp;" sent "&amp;TEXT($AA343,"dd-mmm")&amp;". "&amp;IF($Z343=6,"Final escalation completed.",IF($U343="OVERDUE","Next: "&amp;$AC343&amp;" was due "&amp;TEXT($AB343,"dd-mmm")&amp;" - "&amp;(NETWORKDAYS($AB343,TODAY(),Holidays)-1)&amp;" business day(s) late. Send now.",IF($U343="DUE TOMORROW","Next: "&amp;$AC343&amp;IF($AB343&lt;=TODAY()," is due TODAY ("," is due next business day (")&amp;TEXT($AB343,"dd-mmm")&amp;").","Next: "&amp;$AC343&amp;" due "&amp;TEXT($AB343,"dd-mmm")&amp;" ("&amp;(NETWORKDAYS(TODAY(),$AB343,Holidays)-1)&amp;" business day(s) left).")))))</f>
        <v/>
      </c>
      <c r="W343" s="17">
        <f>IF($Z343="","",CHOOSE($Z343,"Collection Email","1st Follow-up","2nd Follow-up","Local Office","CBE","Roxanne")&amp;IF($Z343=6," - Final"," - Day "&amp;MAX(0,NETWORKDAYS($AA343,TODAY(),Holidays)-1)&amp;" of "&amp;CHOOSE($Z343,3,3,2,2,3))&amp;" | Total Day "&amp;MAX(0,NETWORKDAYS($N343,TODAY(),Holidays)-1))</f>
        <v/>
      </c>
      <c r="X343" s="18"/>
      <c r="Y343" s="18"/>
      <c r="Z343" s="17">
        <f>IF($N343="","",COUNT($N343:$S343))</f>
        <v/>
      </c>
      <c r="AA343" s="19">
        <f>IF($Z343="","",INT(INDEX($N343:$S343,$Z343)))</f>
        <v/>
      </c>
      <c r="AB343" s="19">
        <f>IF(OR($Z343="",$Z343=6),"",WORKDAY($AA343,CHOOSE($Z343,3,3,2,2,3),Holidays))</f>
        <v/>
      </c>
      <c r="AC343" s="17">
        <f>IF(OR($Z343="",$Z343=6),"",CHOOSE($Z343,"1st Email Follow-up","2nd Email Follow-up","Escalate Local Office","Escalate to CBE","Escalate to Roxanne"))</f>
        <v/>
      </c>
    </row>
    <row r="344" spans="13:29">
      <c r="M344" s="14"/>
      <c r="T344" s="16"/>
      <c r="U344" s="17">
        <f>IF(AND(COUNTA($A344:$L344)=0,$N344=""),"",IF($T344="Paid","PAID",IF($T344="Closed","CLOSED",IF($Z344="","",IF($Z344=6,"ESCALATED TO ROXANNE",IF(TODAY()&gt;$AB344,"OVERDUE",IF($AB344&lt;=WORKDAY(TODAY(),1,Holidays),"DUE TOMORROW",IF($Z344=4,"ESCALATED TO LOCAL OFFICE",IF($Z344=5,"ESCALATED TO CBE",IF($AA344=TODAY(),"EMAIL SENT","MONITORING"))))))))))</f>
        <v/>
      </c>
      <c r="V344" s="17">
        <f>IF($U344="",IF(AND(COUNTA($A344:$L344)&gt;0,$N344=""),"Awaiting Collection Email time stamp.",""),IF(OR($U344="PAID",$U344="CLOSED"),IF($U344="PAID","Account paid. Action completed.","Account closed. No further action required."),CHOOSE($Z344,"Collection Email","1st Email Follow-up","2nd Email Follow-up","Escalation to Local Office","Escalation to CBE","Escalation to Roxanne")&amp;" sent "&amp;TEXT($AA344,"dd-mmm")&amp;". "&amp;IF($Z344=6,"Final escalation completed.",IF($U344="OVERDUE","Next: "&amp;$AC344&amp;" was due "&amp;TEXT($AB344,"dd-mmm")&amp;" - "&amp;(NETWORKDAYS($AB344,TODAY(),Holidays)-1)&amp;" business day(s) late. Send now.",IF($U344="DUE TOMORROW","Next: "&amp;$AC344&amp;IF($AB344&lt;=TODAY()," is due TODAY ("," is due next business day (")&amp;TEXT($AB344,"dd-mmm")&amp;").","Next: "&amp;$AC344&amp;" due "&amp;TEXT($AB344,"dd-mmm")&amp;" ("&amp;(NETWORKDAYS(TODAY(),$AB344,Holidays)-1)&amp;" business day(s) left).")))))</f>
        <v/>
      </c>
      <c r="W344" s="17">
        <f>IF($Z344="","",CHOOSE($Z344,"Collection Email","1st Follow-up","2nd Follow-up","Local Office","CBE","Roxanne")&amp;IF($Z344=6," - Final"," - Day "&amp;MAX(0,NETWORKDAYS($AA344,TODAY(),Holidays)-1)&amp;" of "&amp;CHOOSE($Z344,3,3,2,2,3))&amp;" | Total Day "&amp;MAX(0,NETWORKDAYS($N344,TODAY(),Holidays)-1))</f>
        <v/>
      </c>
      <c r="X344" s="18"/>
      <c r="Y344" s="18"/>
      <c r="Z344" s="17">
        <f>IF($N344="","",COUNT($N344:$S344))</f>
        <v/>
      </c>
      <c r="AA344" s="19">
        <f>IF($Z344="","",INT(INDEX($N344:$S344,$Z344)))</f>
        <v/>
      </c>
      <c r="AB344" s="19">
        <f>IF(OR($Z344="",$Z344=6),"",WORKDAY($AA344,CHOOSE($Z344,3,3,2,2,3),Holidays))</f>
        <v/>
      </c>
      <c r="AC344" s="17">
        <f>IF(OR($Z344="",$Z344=6),"",CHOOSE($Z344,"1st Email Follow-up","2nd Email Follow-up","Escalate Local Office","Escalate to CBE","Escalate to Roxanne"))</f>
        <v/>
      </c>
    </row>
    <row r="345" spans="13:29">
      <c r="M345" s="14"/>
      <c r="T345" s="16"/>
      <c r="U345" s="17">
        <f>IF(AND(COUNTA($A345:$L345)=0,$N345=""),"",IF($T345="Paid","PAID",IF($T345="Closed","CLOSED",IF($Z345="","",IF($Z345=6,"ESCALATED TO ROXANNE",IF(TODAY()&gt;$AB345,"OVERDUE",IF($AB345&lt;=WORKDAY(TODAY(),1,Holidays),"DUE TOMORROW",IF($Z345=4,"ESCALATED TO LOCAL OFFICE",IF($Z345=5,"ESCALATED TO CBE",IF($AA345=TODAY(),"EMAIL SENT","MONITORING"))))))))))</f>
        <v/>
      </c>
      <c r="V345" s="17">
        <f>IF($U345="",IF(AND(COUNTA($A345:$L345)&gt;0,$N345=""),"Awaiting Collection Email time stamp.",""),IF(OR($U345="PAID",$U345="CLOSED"),IF($U345="PAID","Account paid. Action completed.","Account closed. No further action required."),CHOOSE($Z345,"Collection Email","1st Email Follow-up","2nd Email Follow-up","Escalation to Local Office","Escalation to CBE","Escalation to Roxanne")&amp;" sent "&amp;TEXT($AA345,"dd-mmm")&amp;". "&amp;IF($Z345=6,"Final escalation completed.",IF($U345="OVERDUE","Next: "&amp;$AC345&amp;" was due "&amp;TEXT($AB345,"dd-mmm")&amp;" - "&amp;(NETWORKDAYS($AB345,TODAY(),Holidays)-1)&amp;" business day(s) late. Send now.",IF($U345="DUE TOMORROW","Next: "&amp;$AC345&amp;IF($AB345&lt;=TODAY()," is due TODAY ("," is due next business day (")&amp;TEXT($AB345,"dd-mmm")&amp;").","Next: "&amp;$AC345&amp;" due "&amp;TEXT($AB345,"dd-mmm")&amp;" ("&amp;(NETWORKDAYS(TODAY(),$AB345,Holidays)-1)&amp;" business day(s) left).")))))</f>
        <v/>
      </c>
      <c r="W345" s="17">
        <f>IF($Z345="","",CHOOSE($Z345,"Collection Email","1st Follow-up","2nd Follow-up","Local Office","CBE","Roxanne")&amp;IF($Z345=6," - Final"," - Day "&amp;MAX(0,NETWORKDAYS($AA345,TODAY(),Holidays)-1)&amp;" of "&amp;CHOOSE($Z345,3,3,2,2,3))&amp;" | Total Day "&amp;MAX(0,NETWORKDAYS($N345,TODAY(),Holidays)-1))</f>
        <v/>
      </c>
      <c r="X345" s="18"/>
      <c r="Y345" s="18"/>
      <c r="Z345" s="17">
        <f>IF($N345="","",COUNT($N345:$S345))</f>
        <v/>
      </c>
      <c r="AA345" s="19">
        <f>IF($Z345="","",INT(INDEX($N345:$S345,$Z345)))</f>
        <v/>
      </c>
      <c r="AB345" s="19">
        <f>IF(OR($Z345="",$Z345=6),"",WORKDAY($AA345,CHOOSE($Z345,3,3,2,2,3),Holidays))</f>
        <v/>
      </c>
      <c r="AC345" s="17">
        <f>IF(OR($Z345="",$Z345=6),"",CHOOSE($Z345,"1st Email Follow-up","2nd Email Follow-up","Escalate Local Office","Escalate to CBE","Escalate to Roxanne"))</f>
        <v/>
      </c>
    </row>
    <row r="346" spans="13:29">
      <c r="M346" s="14"/>
      <c r="T346" s="16"/>
      <c r="U346" s="17">
        <f>IF(AND(COUNTA($A346:$L346)=0,$N346=""),"",IF($T346="Paid","PAID",IF($T346="Closed","CLOSED",IF($Z346="","",IF($Z346=6,"ESCALATED TO ROXANNE",IF(TODAY()&gt;$AB346,"OVERDUE",IF($AB346&lt;=WORKDAY(TODAY(),1,Holidays),"DUE TOMORROW",IF($Z346=4,"ESCALATED TO LOCAL OFFICE",IF($Z346=5,"ESCALATED TO CBE",IF($AA346=TODAY(),"EMAIL SENT","MONITORING"))))))))))</f>
        <v/>
      </c>
      <c r="V346" s="17">
        <f>IF($U346="",IF(AND(COUNTA($A346:$L346)&gt;0,$N346=""),"Awaiting Collection Email time stamp.",""),IF(OR($U346="PAID",$U346="CLOSED"),IF($U346="PAID","Account paid. Action completed.","Account closed. No further action required."),CHOOSE($Z346,"Collection Email","1st Email Follow-up","2nd Email Follow-up","Escalation to Local Office","Escalation to CBE","Escalation to Roxanne")&amp;" sent "&amp;TEXT($AA346,"dd-mmm")&amp;". "&amp;IF($Z346=6,"Final escalation completed.",IF($U346="OVERDUE","Next: "&amp;$AC346&amp;" was due "&amp;TEXT($AB346,"dd-mmm")&amp;" - "&amp;(NETWORKDAYS($AB346,TODAY(),Holidays)-1)&amp;" business day(s) late. Send now.",IF($U346="DUE TOMORROW","Next: "&amp;$AC346&amp;IF($AB346&lt;=TODAY()," is due TODAY ("," is due next business day (")&amp;TEXT($AB346,"dd-mmm")&amp;").","Next: "&amp;$AC346&amp;" due "&amp;TEXT($AB346,"dd-mmm")&amp;" ("&amp;(NETWORKDAYS(TODAY(),$AB346,Holidays)-1)&amp;" business day(s) left).")))))</f>
        <v/>
      </c>
      <c r="W346" s="17">
        <f>IF($Z346="","",CHOOSE($Z346,"Collection Email","1st Follow-up","2nd Follow-up","Local Office","CBE","Roxanne")&amp;IF($Z346=6," - Final"," - Day "&amp;MAX(0,NETWORKDAYS($AA346,TODAY(),Holidays)-1)&amp;" of "&amp;CHOOSE($Z346,3,3,2,2,3))&amp;" | Total Day "&amp;MAX(0,NETWORKDAYS($N346,TODAY(),Holidays)-1))</f>
        <v/>
      </c>
      <c r="X346" s="18"/>
      <c r="Y346" s="18"/>
      <c r="Z346" s="17">
        <f>IF($N346="","",COUNT($N346:$S346))</f>
        <v/>
      </c>
      <c r="AA346" s="19">
        <f>IF($Z346="","",INT(INDEX($N346:$S346,$Z346)))</f>
        <v/>
      </c>
      <c r="AB346" s="19">
        <f>IF(OR($Z346="",$Z346=6),"",WORKDAY($AA346,CHOOSE($Z346,3,3,2,2,3),Holidays))</f>
        <v/>
      </c>
      <c r="AC346" s="17">
        <f>IF(OR($Z346="",$Z346=6),"",CHOOSE($Z346,"1st Email Follow-up","2nd Email Follow-up","Escalate Local Office","Escalate to CBE","Escalate to Roxanne"))</f>
        <v/>
      </c>
    </row>
    <row r="347" spans="13:29">
      <c r="M347" s="14"/>
      <c r="T347" s="16"/>
      <c r="U347" s="17">
        <f>IF(AND(COUNTA($A347:$L347)=0,$N347=""),"",IF($T347="Paid","PAID",IF($T347="Closed","CLOSED",IF($Z347="","",IF($Z347=6,"ESCALATED TO ROXANNE",IF(TODAY()&gt;$AB347,"OVERDUE",IF($AB347&lt;=WORKDAY(TODAY(),1,Holidays),"DUE TOMORROW",IF($Z347=4,"ESCALATED TO LOCAL OFFICE",IF($Z347=5,"ESCALATED TO CBE",IF($AA347=TODAY(),"EMAIL SENT","MONITORING"))))))))))</f>
        <v/>
      </c>
      <c r="V347" s="17">
        <f>IF($U347="",IF(AND(COUNTA($A347:$L347)&gt;0,$N347=""),"Awaiting Collection Email time stamp.",""),IF(OR($U347="PAID",$U347="CLOSED"),IF($U347="PAID","Account paid. Action completed.","Account closed. No further action required."),CHOOSE($Z347,"Collection Email","1st Email Follow-up","2nd Email Follow-up","Escalation to Local Office","Escalation to CBE","Escalation to Roxanne")&amp;" sent "&amp;TEXT($AA347,"dd-mmm")&amp;". "&amp;IF($Z347=6,"Final escalation completed.",IF($U347="OVERDUE","Next: "&amp;$AC347&amp;" was due "&amp;TEXT($AB347,"dd-mmm")&amp;" - "&amp;(NETWORKDAYS($AB347,TODAY(),Holidays)-1)&amp;" business day(s) late. Send now.",IF($U347="DUE TOMORROW","Next: "&amp;$AC347&amp;IF($AB347&lt;=TODAY()," is due TODAY ("," is due next business day (")&amp;TEXT($AB347,"dd-mmm")&amp;").","Next: "&amp;$AC347&amp;" due "&amp;TEXT($AB347,"dd-mmm")&amp;" ("&amp;(NETWORKDAYS(TODAY(),$AB347,Holidays)-1)&amp;" business day(s) left).")))))</f>
        <v/>
      </c>
      <c r="W347" s="17">
        <f>IF($Z347="","",CHOOSE($Z347,"Collection Email","1st Follow-up","2nd Follow-up","Local Office","CBE","Roxanne")&amp;IF($Z347=6," - Final"," - Day "&amp;MAX(0,NETWORKDAYS($AA347,TODAY(),Holidays)-1)&amp;" of "&amp;CHOOSE($Z347,3,3,2,2,3))&amp;" | Total Day "&amp;MAX(0,NETWORKDAYS($N347,TODAY(),Holidays)-1))</f>
        <v/>
      </c>
      <c r="X347" s="18"/>
      <c r="Y347" s="18"/>
      <c r="Z347" s="17">
        <f>IF($N347="","",COUNT($N347:$S347))</f>
        <v/>
      </c>
      <c r="AA347" s="19">
        <f>IF($Z347="","",INT(INDEX($N347:$S347,$Z347)))</f>
        <v/>
      </c>
      <c r="AB347" s="19">
        <f>IF(OR($Z347="",$Z347=6),"",WORKDAY($AA347,CHOOSE($Z347,3,3,2,2,3),Holidays))</f>
        <v/>
      </c>
      <c r="AC347" s="17">
        <f>IF(OR($Z347="",$Z347=6),"",CHOOSE($Z347,"1st Email Follow-up","2nd Email Follow-up","Escalate Local Office","Escalate to CBE","Escalate to Roxanne"))</f>
        <v/>
      </c>
    </row>
    <row r="348" spans="13:29">
      <c r="M348" s="14"/>
      <c r="T348" s="16"/>
      <c r="U348" s="17">
        <f>IF(AND(COUNTA($A348:$L348)=0,$N348=""),"",IF($T348="Paid","PAID",IF($T348="Closed","CLOSED",IF($Z348="","",IF($Z348=6,"ESCALATED TO ROXANNE",IF(TODAY()&gt;$AB348,"OVERDUE",IF($AB348&lt;=WORKDAY(TODAY(),1,Holidays),"DUE TOMORROW",IF($Z348=4,"ESCALATED TO LOCAL OFFICE",IF($Z348=5,"ESCALATED TO CBE",IF($AA348=TODAY(),"EMAIL SENT","MONITORING"))))))))))</f>
        <v/>
      </c>
      <c r="V348" s="17">
        <f>IF($U348="",IF(AND(COUNTA($A348:$L348)&gt;0,$N348=""),"Awaiting Collection Email time stamp.",""),IF(OR($U348="PAID",$U348="CLOSED"),IF($U348="PAID","Account paid. Action completed.","Account closed. No further action required."),CHOOSE($Z348,"Collection Email","1st Email Follow-up","2nd Email Follow-up","Escalation to Local Office","Escalation to CBE","Escalation to Roxanne")&amp;" sent "&amp;TEXT($AA348,"dd-mmm")&amp;". "&amp;IF($Z348=6,"Final escalation completed.",IF($U348="OVERDUE","Next: "&amp;$AC348&amp;" was due "&amp;TEXT($AB348,"dd-mmm")&amp;" - "&amp;(NETWORKDAYS($AB348,TODAY(),Holidays)-1)&amp;" business day(s) late. Send now.",IF($U348="DUE TOMORROW","Next: "&amp;$AC348&amp;IF($AB348&lt;=TODAY()," is due TODAY ("," is due next business day (")&amp;TEXT($AB348,"dd-mmm")&amp;").","Next: "&amp;$AC348&amp;" due "&amp;TEXT($AB348,"dd-mmm")&amp;" ("&amp;(NETWORKDAYS(TODAY(),$AB348,Holidays)-1)&amp;" business day(s) left).")))))</f>
        <v/>
      </c>
      <c r="W348" s="17">
        <f>IF($Z348="","",CHOOSE($Z348,"Collection Email","1st Follow-up","2nd Follow-up","Local Office","CBE","Roxanne")&amp;IF($Z348=6," - Final"," - Day "&amp;MAX(0,NETWORKDAYS($AA348,TODAY(),Holidays)-1)&amp;" of "&amp;CHOOSE($Z348,3,3,2,2,3))&amp;" | Total Day "&amp;MAX(0,NETWORKDAYS($N348,TODAY(),Holidays)-1))</f>
        <v/>
      </c>
      <c r="X348" s="18"/>
      <c r="Y348" s="18"/>
      <c r="Z348" s="17">
        <f>IF($N348="","",COUNT($N348:$S348))</f>
        <v/>
      </c>
      <c r="AA348" s="19">
        <f>IF($Z348="","",INT(INDEX($N348:$S348,$Z348)))</f>
        <v/>
      </c>
      <c r="AB348" s="19">
        <f>IF(OR($Z348="",$Z348=6),"",WORKDAY($AA348,CHOOSE($Z348,3,3,2,2,3),Holidays))</f>
        <v/>
      </c>
      <c r="AC348" s="17">
        <f>IF(OR($Z348="",$Z348=6),"",CHOOSE($Z348,"1st Email Follow-up","2nd Email Follow-up","Escalate Local Office","Escalate to CBE","Escalate to Roxanne"))</f>
        <v/>
      </c>
    </row>
    <row r="349" spans="13:29">
      <c r="M349" s="14"/>
      <c r="T349" s="16"/>
      <c r="U349" s="17">
        <f>IF(AND(COUNTA($A349:$L349)=0,$N349=""),"",IF($T349="Paid","PAID",IF($T349="Closed","CLOSED",IF($Z349="","",IF($Z349=6,"ESCALATED TO ROXANNE",IF(TODAY()&gt;$AB349,"OVERDUE",IF($AB349&lt;=WORKDAY(TODAY(),1,Holidays),"DUE TOMORROW",IF($Z349=4,"ESCALATED TO LOCAL OFFICE",IF($Z349=5,"ESCALATED TO CBE",IF($AA349=TODAY(),"EMAIL SENT","MONITORING"))))))))))</f>
        <v/>
      </c>
      <c r="V349" s="17">
        <f>IF($U349="",IF(AND(COUNTA($A349:$L349)&gt;0,$N349=""),"Awaiting Collection Email time stamp.",""),IF(OR($U349="PAID",$U349="CLOSED"),IF($U349="PAID","Account paid. Action completed.","Account closed. No further action required."),CHOOSE($Z349,"Collection Email","1st Email Follow-up","2nd Email Follow-up","Escalation to Local Office","Escalation to CBE","Escalation to Roxanne")&amp;" sent "&amp;TEXT($AA349,"dd-mmm")&amp;". "&amp;IF($Z349=6,"Final escalation completed.",IF($U349="OVERDUE","Next: "&amp;$AC349&amp;" was due "&amp;TEXT($AB349,"dd-mmm")&amp;" - "&amp;(NETWORKDAYS($AB349,TODAY(),Holidays)-1)&amp;" business day(s) late. Send now.",IF($U349="DUE TOMORROW","Next: "&amp;$AC349&amp;IF($AB349&lt;=TODAY()," is due TODAY ("," is due next business day (")&amp;TEXT($AB349,"dd-mmm")&amp;").","Next: "&amp;$AC349&amp;" due "&amp;TEXT($AB349,"dd-mmm")&amp;" ("&amp;(NETWORKDAYS(TODAY(),$AB349,Holidays)-1)&amp;" business day(s) left).")))))</f>
        <v/>
      </c>
      <c r="W349" s="17">
        <f>IF($Z349="","",CHOOSE($Z349,"Collection Email","1st Follow-up","2nd Follow-up","Local Office","CBE","Roxanne")&amp;IF($Z349=6," - Final"," - Day "&amp;MAX(0,NETWORKDAYS($AA349,TODAY(),Holidays)-1)&amp;" of "&amp;CHOOSE($Z349,3,3,2,2,3))&amp;" | Total Day "&amp;MAX(0,NETWORKDAYS($N349,TODAY(),Holidays)-1))</f>
        <v/>
      </c>
      <c r="X349" s="18"/>
      <c r="Y349" s="18"/>
      <c r="Z349" s="17">
        <f>IF($N349="","",COUNT($N349:$S349))</f>
        <v/>
      </c>
      <c r="AA349" s="19">
        <f>IF($Z349="","",INT(INDEX($N349:$S349,$Z349)))</f>
        <v/>
      </c>
      <c r="AB349" s="19">
        <f>IF(OR($Z349="",$Z349=6),"",WORKDAY($AA349,CHOOSE($Z349,3,3,2,2,3),Holidays))</f>
        <v/>
      </c>
      <c r="AC349" s="17">
        <f>IF(OR($Z349="",$Z349=6),"",CHOOSE($Z349,"1st Email Follow-up","2nd Email Follow-up","Escalate Local Office","Escalate to CBE","Escalate to Roxanne"))</f>
        <v/>
      </c>
    </row>
    <row r="350" spans="13:29">
      <c r="M350" s="14"/>
      <c r="T350" s="16"/>
      <c r="U350" s="17">
        <f>IF(AND(COUNTA($A350:$L350)=0,$N350=""),"",IF($T350="Paid","PAID",IF($T350="Closed","CLOSED",IF($Z350="","",IF($Z350=6,"ESCALATED TO ROXANNE",IF(TODAY()&gt;$AB350,"OVERDUE",IF($AB350&lt;=WORKDAY(TODAY(),1,Holidays),"DUE TOMORROW",IF($Z350=4,"ESCALATED TO LOCAL OFFICE",IF($Z350=5,"ESCALATED TO CBE",IF($AA350=TODAY(),"EMAIL SENT","MONITORING"))))))))))</f>
        <v/>
      </c>
      <c r="V350" s="17">
        <f>IF($U350="",IF(AND(COUNTA($A350:$L350)&gt;0,$N350=""),"Awaiting Collection Email time stamp.",""),IF(OR($U350="PAID",$U350="CLOSED"),IF($U350="PAID","Account paid. Action completed.","Account closed. No further action required."),CHOOSE($Z350,"Collection Email","1st Email Follow-up","2nd Email Follow-up","Escalation to Local Office","Escalation to CBE","Escalation to Roxanne")&amp;" sent "&amp;TEXT($AA350,"dd-mmm")&amp;". "&amp;IF($Z350=6,"Final escalation completed.",IF($U350="OVERDUE","Next: "&amp;$AC350&amp;" was due "&amp;TEXT($AB350,"dd-mmm")&amp;" - "&amp;(NETWORKDAYS($AB350,TODAY(),Holidays)-1)&amp;" business day(s) late. Send now.",IF($U350="DUE TOMORROW","Next: "&amp;$AC350&amp;IF($AB350&lt;=TODAY()," is due TODAY ("," is due next business day (")&amp;TEXT($AB350,"dd-mmm")&amp;").","Next: "&amp;$AC350&amp;" due "&amp;TEXT($AB350,"dd-mmm")&amp;" ("&amp;(NETWORKDAYS(TODAY(),$AB350,Holidays)-1)&amp;" business day(s) left).")))))</f>
        <v/>
      </c>
      <c r="W350" s="17">
        <f>IF($Z350="","",CHOOSE($Z350,"Collection Email","1st Follow-up","2nd Follow-up","Local Office","CBE","Roxanne")&amp;IF($Z350=6," - Final"," - Day "&amp;MAX(0,NETWORKDAYS($AA350,TODAY(),Holidays)-1)&amp;" of "&amp;CHOOSE($Z350,3,3,2,2,3))&amp;" | Total Day "&amp;MAX(0,NETWORKDAYS($N350,TODAY(),Holidays)-1))</f>
        <v/>
      </c>
      <c r="X350" s="18"/>
      <c r="Y350" s="18"/>
      <c r="Z350" s="17">
        <f>IF($N350="","",COUNT($N350:$S350))</f>
        <v/>
      </c>
      <c r="AA350" s="19">
        <f>IF($Z350="","",INT(INDEX($N350:$S350,$Z350)))</f>
        <v/>
      </c>
      <c r="AB350" s="19">
        <f>IF(OR($Z350="",$Z350=6),"",WORKDAY($AA350,CHOOSE($Z350,3,3,2,2,3),Holidays))</f>
        <v/>
      </c>
      <c r="AC350" s="17">
        <f>IF(OR($Z350="",$Z350=6),"",CHOOSE($Z350,"1st Email Follow-up","2nd Email Follow-up","Escalate Local Office","Escalate to CBE","Escalate to Roxanne"))</f>
        <v/>
      </c>
    </row>
    <row r="351" spans="13:29">
      <c r="M351" s="14"/>
      <c r="T351" s="16"/>
      <c r="U351" s="17">
        <f>IF(AND(COUNTA($A351:$L351)=0,$N351=""),"",IF($T351="Paid","PAID",IF($T351="Closed","CLOSED",IF($Z351="","",IF($Z351=6,"ESCALATED TO ROXANNE",IF(TODAY()&gt;$AB351,"OVERDUE",IF($AB351&lt;=WORKDAY(TODAY(),1,Holidays),"DUE TOMORROW",IF($Z351=4,"ESCALATED TO LOCAL OFFICE",IF($Z351=5,"ESCALATED TO CBE",IF($AA351=TODAY(),"EMAIL SENT","MONITORING"))))))))))</f>
        <v/>
      </c>
      <c r="V351" s="17">
        <f>IF($U351="",IF(AND(COUNTA($A351:$L351)&gt;0,$N351=""),"Awaiting Collection Email time stamp.",""),IF(OR($U351="PAID",$U351="CLOSED"),IF($U351="PAID","Account paid. Action completed.","Account closed. No further action required."),CHOOSE($Z351,"Collection Email","1st Email Follow-up","2nd Email Follow-up","Escalation to Local Office","Escalation to CBE","Escalation to Roxanne")&amp;" sent "&amp;TEXT($AA351,"dd-mmm")&amp;". "&amp;IF($Z351=6,"Final escalation completed.",IF($U351="OVERDUE","Next: "&amp;$AC351&amp;" was due "&amp;TEXT($AB351,"dd-mmm")&amp;" - "&amp;(NETWORKDAYS($AB351,TODAY(),Holidays)-1)&amp;" business day(s) late. Send now.",IF($U351="DUE TOMORROW","Next: "&amp;$AC351&amp;IF($AB351&lt;=TODAY()," is due TODAY ("," is due next business day (")&amp;TEXT($AB351,"dd-mmm")&amp;").","Next: "&amp;$AC351&amp;" due "&amp;TEXT($AB351,"dd-mmm")&amp;" ("&amp;(NETWORKDAYS(TODAY(),$AB351,Holidays)-1)&amp;" business day(s) left).")))))</f>
        <v/>
      </c>
      <c r="W351" s="17">
        <f>IF($Z351="","",CHOOSE($Z351,"Collection Email","1st Follow-up","2nd Follow-up","Local Office","CBE","Roxanne")&amp;IF($Z351=6," - Final"," - Day "&amp;MAX(0,NETWORKDAYS($AA351,TODAY(),Holidays)-1)&amp;" of "&amp;CHOOSE($Z351,3,3,2,2,3))&amp;" | Total Day "&amp;MAX(0,NETWORKDAYS($N351,TODAY(),Holidays)-1))</f>
        <v/>
      </c>
      <c r="X351" s="18"/>
      <c r="Y351" s="18"/>
      <c r="Z351" s="17">
        <f>IF($N351="","",COUNT($N351:$S351))</f>
        <v/>
      </c>
      <c r="AA351" s="19">
        <f>IF($Z351="","",INT(INDEX($N351:$S351,$Z351)))</f>
        <v/>
      </c>
      <c r="AB351" s="19">
        <f>IF(OR($Z351="",$Z351=6),"",WORKDAY($AA351,CHOOSE($Z351,3,3,2,2,3),Holidays))</f>
        <v/>
      </c>
      <c r="AC351" s="17">
        <f>IF(OR($Z351="",$Z351=6),"",CHOOSE($Z351,"1st Email Follow-up","2nd Email Follow-up","Escalate Local Office","Escalate to CBE","Escalate to Roxanne"))</f>
        <v/>
      </c>
    </row>
    <row r="352" spans="13:29">
      <c r="M352" s="14"/>
      <c r="T352" s="16"/>
      <c r="U352" s="17">
        <f>IF(AND(COUNTA($A352:$L352)=0,$N352=""),"",IF($T352="Paid","PAID",IF($T352="Closed","CLOSED",IF($Z352="","",IF($Z352=6,"ESCALATED TO ROXANNE",IF(TODAY()&gt;$AB352,"OVERDUE",IF($AB352&lt;=WORKDAY(TODAY(),1,Holidays),"DUE TOMORROW",IF($Z352=4,"ESCALATED TO LOCAL OFFICE",IF($Z352=5,"ESCALATED TO CBE",IF($AA352=TODAY(),"EMAIL SENT","MONITORING"))))))))))</f>
        <v/>
      </c>
      <c r="V352" s="17">
        <f>IF($U352="",IF(AND(COUNTA($A352:$L352)&gt;0,$N352=""),"Awaiting Collection Email time stamp.",""),IF(OR($U352="PAID",$U352="CLOSED"),IF($U352="PAID","Account paid. Action completed.","Account closed. No further action required."),CHOOSE($Z352,"Collection Email","1st Email Follow-up","2nd Email Follow-up","Escalation to Local Office","Escalation to CBE","Escalation to Roxanne")&amp;" sent "&amp;TEXT($AA352,"dd-mmm")&amp;". "&amp;IF($Z352=6,"Final escalation completed.",IF($U352="OVERDUE","Next: "&amp;$AC352&amp;" was due "&amp;TEXT($AB352,"dd-mmm")&amp;" - "&amp;(NETWORKDAYS($AB352,TODAY(),Holidays)-1)&amp;" business day(s) late. Send now.",IF($U352="DUE TOMORROW","Next: "&amp;$AC352&amp;IF($AB352&lt;=TODAY()," is due TODAY ("," is due next business day (")&amp;TEXT($AB352,"dd-mmm")&amp;").","Next: "&amp;$AC352&amp;" due "&amp;TEXT($AB352,"dd-mmm")&amp;" ("&amp;(NETWORKDAYS(TODAY(),$AB352,Holidays)-1)&amp;" business day(s) left).")))))</f>
        <v/>
      </c>
      <c r="W352" s="17">
        <f>IF($Z352="","",CHOOSE($Z352,"Collection Email","1st Follow-up","2nd Follow-up","Local Office","CBE","Roxanne")&amp;IF($Z352=6," - Final"," - Day "&amp;MAX(0,NETWORKDAYS($AA352,TODAY(),Holidays)-1)&amp;" of "&amp;CHOOSE($Z352,3,3,2,2,3))&amp;" | Total Day "&amp;MAX(0,NETWORKDAYS($N352,TODAY(),Holidays)-1))</f>
        <v/>
      </c>
      <c r="X352" s="18"/>
      <c r="Y352" s="18"/>
      <c r="Z352" s="17">
        <f>IF($N352="","",COUNT($N352:$S352))</f>
        <v/>
      </c>
      <c r="AA352" s="19">
        <f>IF($Z352="","",INT(INDEX($N352:$S352,$Z352)))</f>
        <v/>
      </c>
      <c r="AB352" s="19">
        <f>IF(OR($Z352="",$Z352=6),"",WORKDAY($AA352,CHOOSE($Z352,3,3,2,2,3),Holidays))</f>
        <v/>
      </c>
      <c r="AC352" s="17">
        <f>IF(OR($Z352="",$Z352=6),"",CHOOSE($Z352,"1st Email Follow-up","2nd Email Follow-up","Escalate Local Office","Escalate to CBE","Escalate to Roxanne"))</f>
        <v/>
      </c>
    </row>
    <row r="353" spans="13:29">
      <c r="M353" s="14"/>
      <c r="T353" s="16"/>
      <c r="U353" s="17">
        <f>IF(AND(COUNTA($A353:$L353)=0,$N353=""),"",IF($T353="Paid","PAID",IF($T353="Closed","CLOSED",IF($Z353="","",IF($Z353=6,"ESCALATED TO ROXANNE",IF(TODAY()&gt;$AB353,"OVERDUE",IF($AB353&lt;=WORKDAY(TODAY(),1,Holidays),"DUE TOMORROW",IF($Z353=4,"ESCALATED TO LOCAL OFFICE",IF($Z353=5,"ESCALATED TO CBE",IF($AA353=TODAY(),"EMAIL SENT","MONITORING"))))))))))</f>
        <v/>
      </c>
      <c r="V353" s="17">
        <f>IF($U353="",IF(AND(COUNTA($A353:$L353)&gt;0,$N353=""),"Awaiting Collection Email time stamp.",""),IF(OR($U353="PAID",$U353="CLOSED"),IF($U353="PAID","Account paid. Action completed.","Account closed. No further action required."),CHOOSE($Z353,"Collection Email","1st Email Follow-up","2nd Email Follow-up","Escalation to Local Office","Escalation to CBE","Escalation to Roxanne")&amp;" sent "&amp;TEXT($AA353,"dd-mmm")&amp;". "&amp;IF($Z353=6,"Final escalation completed.",IF($U353="OVERDUE","Next: "&amp;$AC353&amp;" was due "&amp;TEXT($AB353,"dd-mmm")&amp;" - "&amp;(NETWORKDAYS($AB353,TODAY(),Holidays)-1)&amp;" business day(s) late. Send now.",IF($U353="DUE TOMORROW","Next: "&amp;$AC353&amp;IF($AB353&lt;=TODAY()," is due TODAY ("," is due next business day (")&amp;TEXT($AB353,"dd-mmm")&amp;").","Next: "&amp;$AC353&amp;" due "&amp;TEXT($AB353,"dd-mmm")&amp;" ("&amp;(NETWORKDAYS(TODAY(),$AB353,Holidays)-1)&amp;" business day(s) left).")))))</f>
        <v/>
      </c>
      <c r="W353" s="17">
        <f>IF($Z353="","",CHOOSE($Z353,"Collection Email","1st Follow-up","2nd Follow-up","Local Office","CBE","Roxanne")&amp;IF($Z353=6," - Final"," - Day "&amp;MAX(0,NETWORKDAYS($AA353,TODAY(),Holidays)-1)&amp;" of "&amp;CHOOSE($Z353,3,3,2,2,3))&amp;" | Total Day "&amp;MAX(0,NETWORKDAYS($N353,TODAY(),Holidays)-1))</f>
        <v/>
      </c>
      <c r="X353" s="18"/>
      <c r="Y353" s="18"/>
      <c r="Z353" s="17">
        <f>IF($N353="","",COUNT($N353:$S353))</f>
        <v/>
      </c>
      <c r="AA353" s="19">
        <f>IF($Z353="","",INT(INDEX($N353:$S353,$Z353)))</f>
        <v/>
      </c>
      <c r="AB353" s="19">
        <f>IF(OR($Z353="",$Z353=6),"",WORKDAY($AA353,CHOOSE($Z353,3,3,2,2,3),Holidays))</f>
        <v/>
      </c>
      <c r="AC353" s="17">
        <f>IF(OR($Z353="",$Z353=6),"",CHOOSE($Z353,"1st Email Follow-up","2nd Email Follow-up","Escalate Local Office","Escalate to CBE","Escalate to Roxanne"))</f>
        <v/>
      </c>
    </row>
    <row r="354" spans="13:29">
      <c r="M354" s="14"/>
      <c r="T354" s="16"/>
      <c r="U354" s="17">
        <f>IF(AND(COUNTA($A354:$L354)=0,$N354=""),"",IF($T354="Paid","PAID",IF($T354="Closed","CLOSED",IF($Z354="","",IF($Z354=6,"ESCALATED TO ROXANNE",IF(TODAY()&gt;$AB354,"OVERDUE",IF($AB354&lt;=WORKDAY(TODAY(),1,Holidays),"DUE TOMORROW",IF($Z354=4,"ESCALATED TO LOCAL OFFICE",IF($Z354=5,"ESCALATED TO CBE",IF($AA354=TODAY(),"EMAIL SENT","MONITORING"))))))))))</f>
        <v/>
      </c>
      <c r="V354" s="17">
        <f>IF($U354="",IF(AND(COUNTA($A354:$L354)&gt;0,$N354=""),"Awaiting Collection Email time stamp.",""),IF(OR($U354="PAID",$U354="CLOSED"),IF($U354="PAID","Account paid. Action completed.","Account closed. No further action required."),CHOOSE($Z354,"Collection Email","1st Email Follow-up","2nd Email Follow-up","Escalation to Local Office","Escalation to CBE","Escalation to Roxanne")&amp;" sent "&amp;TEXT($AA354,"dd-mmm")&amp;". "&amp;IF($Z354=6,"Final escalation completed.",IF($U354="OVERDUE","Next: "&amp;$AC354&amp;" was due "&amp;TEXT($AB354,"dd-mmm")&amp;" - "&amp;(NETWORKDAYS($AB354,TODAY(),Holidays)-1)&amp;" business day(s) late. Send now.",IF($U354="DUE TOMORROW","Next: "&amp;$AC354&amp;IF($AB354&lt;=TODAY()," is due TODAY ("," is due next business day (")&amp;TEXT($AB354,"dd-mmm")&amp;").","Next: "&amp;$AC354&amp;" due "&amp;TEXT($AB354,"dd-mmm")&amp;" ("&amp;(NETWORKDAYS(TODAY(),$AB354,Holidays)-1)&amp;" business day(s) left).")))))</f>
        <v/>
      </c>
      <c r="W354" s="17">
        <f>IF($Z354="","",CHOOSE($Z354,"Collection Email","1st Follow-up","2nd Follow-up","Local Office","CBE","Roxanne")&amp;IF($Z354=6," - Final"," - Day "&amp;MAX(0,NETWORKDAYS($AA354,TODAY(),Holidays)-1)&amp;" of "&amp;CHOOSE($Z354,3,3,2,2,3))&amp;" | Total Day "&amp;MAX(0,NETWORKDAYS($N354,TODAY(),Holidays)-1))</f>
        <v/>
      </c>
      <c r="X354" s="18"/>
      <c r="Y354" s="18"/>
      <c r="Z354" s="17">
        <f>IF($N354="","",COUNT($N354:$S354))</f>
        <v/>
      </c>
      <c r="AA354" s="19">
        <f>IF($Z354="","",INT(INDEX($N354:$S354,$Z354)))</f>
        <v/>
      </c>
      <c r="AB354" s="19">
        <f>IF(OR($Z354="",$Z354=6),"",WORKDAY($AA354,CHOOSE($Z354,3,3,2,2,3),Holidays))</f>
        <v/>
      </c>
      <c r="AC354" s="17">
        <f>IF(OR($Z354="",$Z354=6),"",CHOOSE($Z354,"1st Email Follow-up","2nd Email Follow-up","Escalate Local Office","Escalate to CBE","Escalate to Roxanne"))</f>
        <v/>
      </c>
    </row>
    <row r="355" spans="13:29">
      <c r="M355" s="14"/>
      <c r="T355" s="16"/>
      <c r="U355" s="17">
        <f>IF(AND(COUNTA($A355:$L355)=0,$N355=""),"",IF($T355="Paid","PAID",IF($T355="Closed","CLOSED",IF($Z355="","",IF($Z355=6,"ESCALATED TO ROXANNE",IF(TODAY()&gt;$AB355,"OVERDUE",IF($AB355&lt;=WORKDAY(TODAY(),1,Holidays),"DUE TOMORROW",IF($Z355=4,"ESCALATED TO LOCAL OFFICE",IF($Z355=5,"ESCALATED TO CBE",IF($AA355=TODAY(),"EMAIL SENT","MONITORING"))))))))))</f>
        <v/>
      </c>
      <c r="V355" s="17">
        <f>IF($U355="",IF(AND(COUNTA($A355:$L355)&gt;0,$N355=""),"Awaiting Collection Email time stamp.",""),IF(OR($U355="PAID",$U355="CLOSED"),IF($U355="PAID","Account paid. Action completed.","Account closed. No further action required."),CHOOSE($Z355,"Collection Email","1st Email Follow-up","2nd Email Follow-up","Escalation to Local Office","Escalation to CBE","Escalation to Roxanne")&amp;" sent "&amp;TEXT($AA355,"dd-mmm")&amp;". "&amp;IF($Z355=6,"Final escalation completed.",IF($U355="OVERDUE","Next: "&amp;$AC355&amp;" was due "&amp;TEXT($AB355,"dd-mmm")&amp;" - "&amp;(NETWORKDAYS($AB355,TODAY(),Holidays)-1)&amp;" business day(s) late. Send now.",IF($U355="DUE TOMORROW","Next: "&amp;$AC355&amp;IF($AB355&lt;=TODAY()," is due TODAY ("," is due next business day (")&amp;TEXT($AB355,"dd-mmm")&amp;").","Next: "&amp;$AC355&amp;" due "&amp;TEXT($AB355,"dd-mmm")&amp;" ("&amp;(NETWORKDAYS(TODAY(),$AB355,Holidays)-1)&amp;" business day(s) left).")))))</f>
        <v/>
      </c>
      <c r="W355" s="17">
        <f>IF($Z355="","",CHOOSE($Z355,"Collection Email","1st Follow-up","2nd Follow-up","Local Office","CBE","Roxanne")&amp;IF($Z355=6," - Final"," - Day "&amp;MAX(0,NETWORKDAYS($AA355,TODAY(),Holidays)-1)&amp;" of "&amp;CHOOSE($Z355,3,3,2,2,3))&amp;" | Total Day "&amp;MAX(0,NETWORKDAYS($N355,TODAY(),Holidays)-1))</f>
        <v/>
      </c>
      <c r="X355" s="18"/>
      <c r="Y355" s="18"/>
      <c r="Z355" s="17">
        <f>IF($N355="","",COUNT($N355:$S355))</f>
        <v/>
      </c>
      <c r="AA355" s="19">
        <f>IF($Z355="","",INT(INDEX($N355:$S355,$Z355)))</f>
        <v/>
      </c>
      <c r="AB355" s="19">
        <f>IF(OR($Z355="",$Z355=6),"",WORKDAY($AA355,CHOOSE($Z355,3,3,2,2,3),Holidays))</f>
        <v/>
      </c>
      <c r="AC355" s="17">
        <f>IF(OR($Z355="",$Z355=6),"",CHOOSE($Z355,"1st Email Follow-up","2nd Email Follow-up","Escalate Local Office","Escalate to CBE","Escalate to Roxanne"))</f>
        <v/>
      </c>
    </row>
    <row r="356" spans="13:29">
      <c r="M356" s="14"/>
      <c r="T356" s="16"/>
      <c r="U356" s="17">
        <f>IF(AND(COUNTA($A356:$L356)=0,$N356=""),"",IF($T356="Paid","PAID",IF($T356="Closed","CLOSED",IF($Z356="","",IF($Z356=6,"ESCALATED TO ROXANNE",IF(TODAY()&gt;$AB356,"OVERDUE",IF($AB356&lt;=WORKDAY(TODAY(),1,Holidays),"DUE TOMORROW",IF($Z356=4,"ESCALATED TO LOCAL OFFICE",IF($Z356=5,"ESCALATED TO CBE",IF($AA356=TODAY(),"EMAIL SENT","MONITORING"))))))))))</f>
        <v/>
      </c>
      <c r="V356" s="17">
        <f>IF($U356="",IF(AND(COUNTA($A356:$L356)&gt;0,$N356=""),"Awaiting Collection Email time stamp.",""),IF(OR($U356="PAID",$U356="CLOSED"),IF($U356="PAID","Account paid. Action completed.","Account closed. No further action required."),CHOOSE($Z356,"Collection Email","1st Email Follow-up","2nd Email Follow-up","Escalation to Local Office","Escalation to CBE","Escalation to Roxanne")&amp;" sent "&amp;TEXT($AA356,"dd-mmm")&amp;". "&amp;IF($Z356=6,"Final escalation completed.",IF($U356="OVERDUE","Next: "&amp;$AC356&amp;" was due "&amp;TEXT($AB356,"dd-mmm")&amp;" - "&amp;(NETWORKDAYS($AB356,TODAY(),Holidays)-1)&amp;" business day(s) late. Send now.",IF($U356="DUE TOMORROW","Next: "&amp;$AC356&amp;IF($AB356&lt;=TODAY()," is due TODAY ("," is due next business day (")&amp;TEXT($AB356,"dd-mmm")&amp;").","Next: "&amp;$AC356&amp;" due "&amp;TEXT($AB356,"dd-mmm")&amp;" ("&amp;(NETWORKDAYS(TODAY(),$AB356,Holidays)-1)&amp;" business day(s) left).")))))</f>
        <v/>
      </c>
      <c r="W356" s="17">
        <f>IF($Z356="","",CHOOSE($Z356,"Collection Email","1st Follow-up","2nd Follow-up","Local Office","CBE","Roxanne")&amp;IF($Z356=6," - Final"," - Day "&amp;MAX(0,NETWORKDAYS($AA356,TODAY(),Holidays)-1)&amp;" of "&amp;CHOOSE($Z356,3,3,2,2,3))&amp;" | Total Day "&amp;MAX(0,NETWORKDAYS($N356,TODAY(),Holidays)-1))</f>
        <v/>
      </c>
      <c r="X356" s="18"/>
      <c r="Y356" s="18"/>
      <c r="Z356" s="17">
        <f>IF($N356="","",COUNT($N356:$S356))</f>
        <v/>
      </c>
      <c r="AA356" s="19">
        <f>IF($Z356="","",INT(INDEX($N356:$S356,$Z356)))</f>
        <v/>
      </c>
      <c r="AB356" s="19">
        <f>IF(OR($Z356="",$Z356=6),"",WORKDAY($AA356,CHOOSE($Z356,3,3,2,2,3),Holidays))</f>
        <v/>
      </c>
      <c r="AC356" s="17">
        <f>IF(OR($Z356="",$Z356=6),"",CHOOSE($Z356,"1st Email Follow-up","2nd Email Follow-up","Escalate Local Office","Escalate to CBE","Escalate to Roxanne"))</f>
        <v/>
      </c>
    </row>
    <row r="357" spans="13:29">
      <c r="M357" s="14"/>
      <c r="T357" s="16"/>
      <c r="U357" s="17">
        <f>IF(AND(COUNTA($A357:$L357)=0,$N357=""),"",IF($T357="Paid","PAID",IF($T357="Closed","CLOSED",IF($Z357="","",IF($Z357=6,"ESCALATED TO ROXANNE",IF(TODAY()&gt;$AB357,"OVERDUE",IF($AB357&lt;=WORKDAY(TODAY(),1,Holidays),"DUE TOMORROW",IF($Z357=4,"ESCALATED TO LOCAL OFFICE",IF($Z357=5,"ESCALATED TO CBE",IF($AA357=TODAY(),"EMAIL SENT","MONITORING"))))))))))</f>
        <v/>
      </c>
      <c r="V357" s="17">
        <f>IF($U357="",IF(AND(COUNTA($A357:$L357)&gt;0,$N357=""),"Awaiting Collection Email time stamp.",""),IF(OR($U357="PAID",$U357="CLOSED"),IF($U357="PAID","Account paid. Action completed.","Account closed. No further action required."),CHOOSE($Z357,"Collection Email","1st Email Follow-up","2nd Email Follow-up","Escalation to Local Office","Escalation to CBE","Escalation to Roxanne")&amp;" sent "&amp;TEXT($AA357,"dd-mmm")&amp;". "&amp;IF($Z357=6,"Final escalation completed.",IF($U357="OVERDUE","Next: "&amp;$AC357&amp;" was due "&amp;TEXT($AB357,"dd-mmm")&amp;" - "&amp;(NETWORKDAYS($AB357,TODAY(),Holidays)-1)&amp;" business day(s) late. Send now.",IF($U357="DUE TOMORROW","Next: "&amp;$AC357&amp;IF($AB357&lt;=TODAY()," is due TODAY ("," is due next business day (")&amp;TEXT($AB357,"dd-mmm")&amp;").","Next: "&amp;$AC357&amp;" due "&amp;TEXT($AB357,"dd-mmm")&amp;" ("&amp;(NETWORKDAYS(TODAY(),$AB357,Holidays)-1)&amp;" business day(s) left).")))))</f>
        <v/>
      </c>
      <c r="W357" s="17">
        <f>IF($Z357="","",CHOOSE($Z357,"Collection Email","1st Follow-up","2nd Follow-up","Local Office","CBE","Roxanne")&amp;IF($Z357=6," - Final"," - Day "&amp;MAX(0,NETWORKDAYS($AA357,TODAY(),Holidays)-1)&amp;" of "&amp;CHOOSE($Z357,3,3,2,2,3))&amp;" | Total Day "&amp;MAX(0,NETWORKDAYS($N357,TODAY(),Holidays)-1))</f>
        <v/>
      </c>
      <c r="X357" s="18"/>
      <c r="Y357" s="18"/>
      <c r="Z357" s="17">
        <f>IF($N357="","",COUNT($N357:$S357))</f>
        <v/>
      </c>
      <c r="AA357" s="19">
        <f>IF($Z357="","",INT(INDEX($N357:$S357,$Z357)))</f>
        <v/>
      </c>
      <c r="AB357" s="19">
        <f>IF(OR($Z357="",$Z357=6),"",WORKDAY($AA357,CHOOSE($Z357,3,3,2,2,3),Holidays))</f>
        <v/>
      </c>
      <c r="AC357" s="17">
        <f>IF(OR($Z357="",$Z357=6),"",CHOOSE($Z357,"1st Email Follow-up","2nd Email Follow-up","Escalate Local Office","Escalate to CBE","Escalate to Roxanne"))</f>
        <v/>
      </c>
    </row>
    <row r="358" spans="13:29">
      <c r="M358" s="14"/>
      <c r="T358" s="16"/>
      <c r="U358" s="17">
        <f>IF(AND(COUNTA($A358:$L358)=0,$N358=""),"",IF($T358="Paid","PAID",IF($T358="Closed","CLOSED",IF($Z358="","",IF($Z358=6,"ESCALATED TO ROXANNE",IF(TODAY()&gt;$AB358,"OVERDUE",IF($AB358&lt;=WORKDAY(TODAY(),1,Holidays),"DUE TOMORROW",IF($Z358=4,"ESCALATED TO LOCAL OFFICE",IF($Z358=5,"ESCALATED TO CBE",IF($AA358=TODAY(),"EMAIL SENT","MONITORING"))))))))))</f>
        <v/>
      </c>
      <c r="V358" s="17">
        <f>IF($U358="",IF(AND(COUNTA($A358:$L358)&gt;0,$N358=""),"Awaiting Collection Email time stamp.",""),IF(OR($U358="PAID",$U358="CLOSED"),IF($U358="PAID","Account paid. Action completed.","Account closed. No further action required."),CHOOSE($Z358,"Collection Email","1st Email Follow-up","2nd Email Follow-up","Escalation to Local Office","Escalation to CBE","Escalation to Roxanne")&amp;" sent "&amp;TEXT($AA358,"dd-mmm")&amp;". "&amp;IF($Z358=6,"Final escalation completed.",IF($U358="OVERDUE","Next: "&amp;$AC358&amp;" was due "&amp;TEXT($AB358,"dd-mmm")&amp;" - "&amp;(NETWORKDAYS($AB358,TODAY(),Holidays)-1)&amp;" business day(s) late. Send now.",IF($U358="DUE TOMORROW","Next: "&amp;$AC358&amp;IF($AB358&lt;=TODAY()," is due TODAY ("," is due next business day (")&amp;TEXT($AB358,"dd-mmm")&amp;").","Next: "&amp;$AC358&amp;" due "&amp;TEXT($AB358,"dd-mmm")&amp;" ("&amp;(NETWORKDAYS(TODAY(),$AB358,Holidays)-1)&amp;" business day(s) left).")))))</f>
        <v/>
      </c>
      <c r="W358" s="17">
        <f>IF($Z358="","",CHOOSE($Z358,"Collection Email","1st Follow-up","2nd Follow-up","Local Office","CBE","Roxanne")&amp;IF($Z358=6," - Final"," - Day "&amp;MAX(0,NETWORKDAYS($AA358,TODAY(),Holidays)-1)&amp;" of "&amp;CHOOSE($Z358,3,3,2,2,3))&amp;" | Total Day "&amp;MAX(0,NETWORKDAYS($N358,TODAY(),Holidays)-1))</f>
        <v/>
      </c>
      <c r="X358" s="18"/>
      <c r="Y358" s="18"/>
      <c r="Z358" s="17">
        <f>IF($N358="","",COUNT($N358:$S358))</f>
        <v/>
      </c>
      <c r="AA358" s="19">
        <f>IF($Z358="","",INT(INDEX($N358:$S358,$Z358)))</f>
        <v/>
      </c>
      <c r="AB358" s="19">
        <f>IF(OR($Z358="",$Z358=6),"",WORKDAY($AA358,CHOOSE($Z358,3,3,2,2,3),Holidays))</f>
        <v/>
      </c>
      <c r="AC358" s="17">
        <f>IF(OR($Z358="",$Z358=6),"",CHOOSE($Z358,"1st Email Follow-up","2nd Email Follow-up","Escalate Local Office","Escalate to CBE","Escalate to Roxanne"))</f>
        <v/>
      </c>
    </row>
    <row r="359" spans="13:29">
      <c r="M359" s="14"/>
      <c r="T359" s="16"/>
      <c r="U359" s="17">
        <f>IF(AND(COUNTA($A359:$L359)=0,$N359=""),"",IF($T359="Paid","PAID",IF($T359="Closed","CLOSED",IF($Z359="","",IF($Z359=6,"ESCALATED TO ROXANNE",IF(TODAY()&gt;$AB359,"OVERDUE",IF($AB359&lt;=WORKDAY(TODAY(),1,Holidays),"DUE TOMORROW",IF($Z359=4,"ESCALATED TO LOCAL OFFICE",IF($Z359=5,"ESCALATED TO CBE",IF($AA359=TODAY(),"EMAIL SENT","MONITORING"))))))))))</f>
        <v/>
      </c>
      <c r="V359" s="17">
        <f>IF($U359="",IF(AND(COUNTA($A359:$L359)&gt;0,$N359=""),"Awaiting Collection Email time stamp.",""),IF(OR($U359="PAID",$U359="CLOSED"),IF($U359="PAID","Account paid. Action completed.","Account closed. No further action required."),CHOOSE($Z359,"Collection Email","1st Email Follow-up","2nd Email Follow-up","Escalation to Local Office","Escalation to CBE","Escalation to Roxanne")&amp;" sent "&amp;TEXT($AA359,"dd-mmm")&amp;". "&amp;IF($Z359=6,"Final escalation completed.",IF($U359="OVERDUE","Next: "&amp;$AC359&amp;" was due "&amp;TEXT($AB359,"dd-mmm")&amp;" - "&amp;(NETWORKDAYS($AB359,TODAY(),Holidays)-1)&amp;" business day(s) late. Send now.",IF($U359="DUE TOMORROW","Next: "&amp;$AC359&amp;IF($AB359&lt;=TODAY()," is due TODAY ("," is due next business day (")&amp;TEXT($AB359,"dd-mmm")&amp;").","Next: "&amp;$AC359&amp;" due "&amp;TEXT($AB359,"dd-mmm")&amp;" ("&amp;(NETWORKDAYS(TODAY(),$AB359,Holidays)-1)&amp;" business day(s) left).")))))</f>
        <v/>
      </c>
      <c r="W359" s="17">
        <f>IF($Z359="","",CHOOSE($Z359,"Collection Email","1st Follow-up","2nd Follow-up","Local Office","CBE","Roxanne")&amp;IF($Z359=6," - Final"," - Day "&amp;MAX(0,NETWORKDAYS($AA359,TODAY(),Holidays)-1)&amp;" of "&amp;CHOOSE($Z359,3,3,2,2,3))&amp;" | Total Day "&amp;MAX(0,NETWORKDAYS($N359,TODAY(),Holidays)-1))</f>
        <v/>
      </c>
      <c r="X359" s="18"/>
      <c r="Y359" s="18"/>
      <c r="Z359" s="17">
        <f>IF($N359="","",COUNT($N359:$S359))</f>
        <v/>
      </c>
      <c r="AA359" s="19">
        <f>IF($Z359="","",INT(INDEX($N359:$S359,$Z359)))</f>
        <v/>
      </c>
      <c r="AB359" s="19">
        <f>IF(OR($Z359="",$Z359=6),"",WORKDAY($AA359,CHOOSE($Z359,3,3,2,2,3),Holidays))</f>
        <v/>
      </c>
      <c r="AC359" s="17">
        <f>IF(OR($Z359="",$Z359=6),"",CHOOSE($Z359,"1st Email Follow-up","2nd Email Follow-up","Escalate Local Office","Escalate to CBE","Escalate to Roxanne"))</f>
        <v/>
      </c>
    </row>
    <row r="360" spans="13:29">
      <c r="M360" s="14"/>
      <c r="T360" s="16"/>
      <c r="U360" s="17">
        <f>IF(AND(COUNTA($A360:$L360)=0,$N360=""),"",IF($T360="Paid","PAID",IF($T360="Closed","CLOSED",IF($Z360="","",IF($Z360=6,"ESCALATED TO ROXANNE",IF(TODAY()&gt;$AB360,"OVERDUE",IF($AB360&lt;=WORKDAY(TODAY(),1,Holidays),"DUE TOMORROW",IF($Z360=4,"ESCALATED TO LOCAL OFFICE",IF($Z360=5,"ESCALATED TO CBE",IF($AA360=TODAY(),"EMAIL SENT","MONITORING"))))))))))</f>
        <v/>
      </c>
      <c r="V360" s="17">
        <f>IF($U360="",IF(AND(COUNTA($A360:$L360)&gt;0,$N360=""),"Awaiting Collection Email time stamp.",""),IF(OR($U360="PAID",$U360="CLOSED"),IF($U360="PAID","Account paid. Action completed.","Account closed. No further action required."),CHOOSE($Z360,"Collection Email","1st Email Follow-up","2nd Email Follow-up","Escalation to Local Office","Escalation to CBE","Escalation to Roxanne")&amp;" sent "&amp;TEXT($AA360,"dd-mmm")&amp;". "&amp;IF($Z360=6,"Final escalation completed.",IF($U360="OVERDUE","Next: "&amp;$AC360&amp;" was due "&amp;TEXT($AB360,"dd-mmm")&amp;" - "&amp;(NETWORKDAYS($AB360,TODAY(),Holidays)-1)&amp;" business day(s) late. Send now.",IF($U360="DUE TOMORROW","Next: "&amp;$AC360&amp;IF($AB360&lt;=TODAY()," is due TODAY ("," is due next business day (")&amp;TEXT($AB360,"dd-mmm")&amp;").","Next: "&amp;$AC360&amp;" due "&amp;TEXT($AB360,"dd-mmm")&amp;" ("&amp;(NETWORKDAYS(TODAY(),$AB360,Holidays)-1)&amp;" business day(s) left).")))))</f>
        <v/>
      </c>
      <c r="W360" s="17">
        <f>IF($Z360="","",CHOOSE($Z360,"Collection Email","1st Follow-up","2nd Follow-up","Local Office","CBE","Roxanne")&amp;IF($Z360=6," - Final"," - Day "&amp;MAX(0,NETWORKDAYS($AA360,TODAY(),Holidays)-1)&amp;" of "&amp;CHOOSE($Z360,3,3,2,2,3))&amp;" | Total Day "&amp;MAX(0,NETWORKDAYS($N360,TODAY(),Holidays)-1))</f>
        <v/>
      </c>
      <c r="X360" s="18"/>
      <c r="Y360" s="18"/>
      <c r="Z360" s="17">
        <f>IF($N360="","",COUNT($N360:$S360))</f>
        <v/>
      </c>
      <c r="AA360" s="19">
        <f>IF($Z360="","",INT(INDEX($N360:$S360,$Z360)))</f>
        <v/>
      </c>
      <c r="AB360" s="19">
        <f>IF(OR($Z360="",$Z360=6),"",WORKDAY($AA360,CHOOSE($Z360,3,3,2,2,3),Holidays))</f>
        <v/>
      </c>
      <c r="AC360" s="17">
        <f>IF(OR($Z360="",$Z360=6),"",CHOOSE($Z360,"1st Email Follow-up","2nd Email Follow-up","Escalate Local Office","Escalate to CBE","Escalate to Roxanne"))</f>
        <v/>
      </c>
    </row>
    <row r="361" spans="13:29">
      <c r="M361" s="14"/>
      <c r="T361" s="16"/>
      <c r="U361" s="17">
        <f>IF(AND(COUNTA($A361:$L361)=0,$N361=""),"",IF($T361="Paid","PAID",IF($T361="Closed","CLOSED",IF($Z361="","",IF($Z361=6,"ESCALATED TO ROXANNE",IF(TODAY()&gt;$AB361,"OVERDUE",IF($AB361&lt;=WORKDAY(TODAY(),1,Holidays),"DUE TOMORROW",IF($Z361=4,"ESCALATED TO LOCAL OFFICE",IF($Z361=5,"ESCALATED TO CBE",IF($AA361=TODAY(),"EMAIL SENT","MONITORING"))))))))))</f>
        <v/>
      </c>
      <c r="V361" s="17">
        <f>IF($U361="",IF(AND(COUNTA($A361:$L361)&gt;0,$N361=""),"Awaiting Collection Email time stamp.",""),IF(OR($U361="PAID",$U361="CLOSED"),IF($U361="PAID","Account paid. Action completed.","Account closed. No further action required."),CHOOSE($Z361,"Collection Email","1st Email Follow-up","2nd Email Follow-up","Escalation to Local Office","Escalation to CBE","Escalation to Roxanne")&amp;" sent "&amp;TEXT($AA361,"dd-mmm")&amp;". "&amp;IF($Z361=6,"Final escalation completed.",IF($U361="OVERDUE","Next: "&amp;$AC361&amp;" was due "&amp;TEXT($AB361,"dd-mmm")&amp;" - "&amp;(NETWORKDAYS($AB361,TODAY(),Holidays)-1)&amp;" business day(s) late. Send now.",IF($U361="DUE TOMORROW","Next: "&amp;$AC361&amp;IF($AB361&lt;=TODAY()," is due TODAY ("," is due next business day (")&amp;TEXT($AB361,"dd-mmm")&amp;").","Next: "&amp;$AC361&amp;" due "&amp;TEXT($AB361,"dd-mmm")&amp;" ("&amp;(NETWORKDAYS(TODAY(),$AB361,Holidays)-1)&amp;" business day(s) left).")))))</f>
        <v/>
      </c>
      <c r="W361" s="17">
        <f>IF($Z361="","",CHOOSE($Z361,"Collection Email","1st Follow-up","2nd Follow-up","Local Office","CBE","Roxanne")&amp;IF($Z361=6," - Final"," - Day "&amp;MAX(0,NETWORKDAYS($AA361,TODAY(),Holidays)-1)&amp;" of "&amp;CHOOSE($Z361,3,3,2,2,3))&amp;" | Total Day "&amp;MAX(0,NETWORKDAYS($N361,TODAY(),Holidays)-1))</f>
        <v/>
      </c>
      <c r="X361" s="18"/>
      <c r="Y361" s="18"/>
      <c r="Z361" s="17">
        <f>IF($N361="","",COUNT($N361:$S361))</f>
        <v/>
      </c>
      <c r="AA361" s="19">
        <f>IF($Z361="","",INT(INDEX($N361:$S361,$Z361)))</f>
        <v/>
      </c>
      <c r="AB361" s="19">
        <f>IF(OR($Z361="",$Z361=6),"",WORKDAY($AA361,CHOOSE($Z361,3,3,2,2,3),Holidays))</f>
        <v/>
      </c>
      <c r="AC361" s="17">
        <f>IF(OR($Z361="",$Z361=6),"",CHOOSE($Z361,"1st Email Follow-up","2nd Email Follow-up","Escalate Local Office","Escalate to CBE","Escalate to Roxanne"))</f>
        <v/>
      </c>
    </row>
    <row r="362" spans="13:29">
      <c r="M362" s="14"/>
      <c r="T362" s="16"/>
      <c r="U362" s="17">
        <f>IF(AND(COUNTA($A362:$L362)=0,$N362=""),"",IF($T362="Paid","PAID",IF($T362="Closed","CLOSED",IF($Z362="","",IF($Z362=6,"ESCALATED TO ROXANNE",IF(TODAY()&gt;$AB362,"OVERDUE",IF($AB362&lt;=WORKDAY(TODAY(),1,Holidays),"DUE TOMORROW",IF($Z362=4,"ESCALATED TO LOCAL OFFICE",IF($Z362=5,"ESCALATED TO CBE",IF($AA362=TODAY(),"EMAIL SENT","MONITORING"))))))))))</f>
        <v/>
      </c>
      <c r="V362" s="17">
        <f>IF($U362="",IF(AND(COUNTA($A362:$L362)&gt;0,$N362=""),"Awaiting Collection Email time stamp.",""),IF(OR($U362="PAID",$U362="CLOSED"),IF($U362="PAID","Account paid. Action completed.","Account closed. No further action required."),CHOOSE($Z362,"Collection Email","1st Email Follow-up","2nd Email Follow-up","Escalation to Local Office","Escalation to CBE","Escalation to Roxanne")&amp;" sent "&amp;TEXT($AA362,"dd-mmm")&amp;". "&amp;IF($Z362=6,"Final escalation completed.",IF($U362="OVERDUE","Next: "&amp;$AC362&amp;" was due "&amp;TEXT($AB362,"dd-mmm")&amp;" - "&amp;(NETWORKDAYS($AB362,TODAY(),Holidays)-1)&amp;" business day(s) late. Send now.",IF($U362="DUE TOMORROW","Next: "&amp;$AC362&amp;IF($AB362&lt;=TODAY()," is due TODAY ("," is due next business day (")&amp;TEXT($AB362,"dd-mmm")&amp;").","Next: "&amp;$AC362&amp;" due "&amp;TEXT($AB362,"dd-mmm")&amp;" ("&amp;(NETWORKDAYS(TODAY(),$AB362,Holidays)-1)&amp;" business day(s) left).")))))</f>
        <v/>
      </c>
      <c r="W362" s="17">
        <f>IF($Z362="","",CHOOSE($Z362,"Collection Email","1st Follow-up","2nd Follow-up","Local Office","CBE","Roxanne")&amp;IF($Z362=6," - Final"," - Day "&amp;MAX(0,NETWORKDAYS($AA362,TODAY(),Holidays)-1)&amp;" of "&amp;CHOOSE($Z362,3,3,2,2,3))&amp;" | Total Day "&amp;MAX(0,NETWORKDAYS($N362,TODAY(),Holidays)-1))</f>
        <v/>
      </c>
      <c r="X362" s="18"/>
      <c r="Y362" s="18"/>
      <c r="Z362" s="17">
        <f>IF($N362="","",COUNT($N362:$S362))</f>
        <v/>
      </c>
      <c r="AA362" s="19">
        <f>IF($Z362="","",INT(INDEX($N362:$S362,$Z362)))</f>
        <v/>
      </c>
      <c r="AB362" s="19">
        <f>IF(OR($Z362="",$Z362=6),"",WORKDAY($AA362,CHOOSE($Z362,3,3,2,2,3),Holidays))</f>
        <v/>
      </c>
      <c r="AC362" s="17">
        <f>IF(OR($Z362="",$Z362=6),"",CHOOSE($Z362,"1st Email Follow-up","2nd Email Follow-up","Escalate Local Office","Escalate to CBE","Escalate to Roxanne"))</f>
        <v/>
      </c>
    </row>
    <row r="363" spans="13:29">
      <c r="M363" s="14"/>
      <c r="T363" s="16"/>
      <c r="U363" s="17">
        <f>IF(AND(COUNTA($A363:$L363)=0,$N363=""),"",IF($T363="Paid","PAID",IF($T363="Closed","CLOSED",IF($Z363="","",IF($Z363=6,"ESCALATED TO ROXANNE",IF(TODAY()&gt;$AB363,"OVERDUE",IF($AB363&lt;=WORKDAY(TODAY(),1,Holidays),"DUE TOMORROW",IF($Z363=4,"ESCALATED TO LOCAL OFFICE",IF($Z363=5,"ESCALATED TO CBE",IF($AA363=TODAY(),"EMAIL SENT","MONITORING"))))))))))</f>
        <v/>
      </c>
      <c r="V363" s="17">
        <f>IF($U363="",IF(AND(COUNTA($A363:$L363)&gt;0,$N363=""),"Awaiting Collection Email time stamp.",""),IF(OR($U363="PAID",$U363="CLOSED"),IF($U363="PAID","Account paid. Action completed.","Account closed. No further action required."),CHOOSE($Z363,"Collection Email","1st Email Follow-up","2nd Email Follow-up","Escalation to Local Office","Escalation to CBE","Escalation to Roxanne")&amp;" sent "&amp;TEXT($AA363,"dd-mmm")&amp;". "&amp;IF($Z363=6,"Final escalation completed.",IF($U363="OVERDUE","Next: "&amp;$AC363&amp;" was due "&amp;TEXT($AB363,"dd-mmm")&amp;" - "&amp;(NETWORKDAYS($AB363,TODAY(),Holidays)-1)&amp;" business day(s) late. Send now.",IF($U363="DUE TOMORROW","Next: "&amp;$AC363&amp;IF($AB363&lt;=TODAY()," is due TODAY ("," is due next business day (")&amp;TEXT($AB363,"dd-mmm")&amp;").","Next: "&amp;$AC363&amp;" due "&amp;TEXT($AB363,"dd-mmm")&amp;" ("&amp;(NETWORKDAYS(TODAY(),$AB363,Holidays)-1)&amp;" business day(s) left).")))))</f>
        <v/>
      </c>
      <c r="W363" s="17">
        <f>IF($Z363="","",CHOOSE($Z363,"Collection Email","1st Follow-up","2nd Follow-up","Local Office","CBE","Roxanne")&amp;IF($Z363=6," - Final"," - Day "&amp;MAX(0,NETWORKDAYS($AA363,TODAY(),Holidays)-1)&amp;" of "&amp;CHOOSE($Z363,3,3,2,2,3))&amp;" | Total Day "&amp;MAX(0,NETWORKDAYS($N363,TODAY(),Holidays)-1))</f>
        <v/>
      </c>
      <c r="X363" s="18"/>
      <c r="Y363" s="18"/>
      <c r="Z363" s="17">
        <f>IF($N363="","",COUNT($N363:$S363))</f>
        <v/>
      </c>
      <c r="AA363" s="19">
        <f>IF($Z363="","",INT(INDEX($N363:$S363,$Z363)))</f>
        <v/>
      </c>
      <c r="AB363" s="19">
        <f>IF(OR($Z363="",$Z363=6),"",WORKDAY($AA363,CHOOSE($Z363,3,3,2,2,3),Holidays))</f>
        <v/>
      </c>
      <c r="AC363" s="17">
        <f>IF(OR($Z363="",$Z363=6),"",CHOOSE($Z363,"1st Email Follow-up","2nd Email Follow-up","Escalate Local Office","Escalate to CBE","Escalate to Roxanne"))</f>
        <v/>
      </c>
    </row>
    <row r="364" spans="13:29">
      <c r="M364" s="14"/>
      <c r="T364" s="16"/>
      <c r="U364" s="17">
        <f>IF(AND(COUNTA($A364:$L364)=0,$N364=""),"",IF($T364="Paid","PAID",IF($T364="Closed","CLOSED",IF($Z364="","",IF($Z364=6,"ESCALATED TO ROXANNE",IF(TODAY()&gt;$AB364,"OVERDUE",IF($AB364&lt;=WORKDAY(TODAY(),1,Holidays),"DUE TOMORROW",IF($Z364=4,"ESCALATED TO LOCAL OFFICE",IF($Z364=5,"ESCALATED TO CBE",IF($AA364=TODAY(),"EMAIL SENT","MONITORING"))))))))))</f>
        <v/>
      </c>
      <c r="V364" s="17">
        <f>IF($U364="",IF(AND(COUNTA($A364:$L364)&gt;0,$N364=""),"Awaiting Collection Email time stamp.",""),IF(OR($U364="PAID",$U364="CLOSED"),IF($U364="PAID","Account paid. Action completed.","Account closed. No further action required."),CHOOSE($Z364,"Collection Email","1st Email Follow-up","2nd Email Follow-up","Escalation to Local Office","Escalation to CBE","Escalation to Roxanne")&amp;" sent "&amp;TEXT($AA364,"dd-mmm")&amp;". "&amp;IF($Z364=6,"Final escalation completed.",IF($U364="OVERDUE","Next: "&amp;$AC364&amp;" was due "&amp;TEXT($AB364,"dd-mmm")&amp;" - "&amp;(NETWORKDAYS($AB364,TODAY(),Holidays)-1)&amp;" business day(s) late. Send now.",IF($U364="DUE TOMORROW","Next: "&amp;$AC364&amp;IF($AB364&lt;=TODAY()," is due TODAY ("," is due next business day (")&amp;TEXT($AB364,"dd-mmm")&amp;").","Next: "&amp;$AC364&amp;" due "&amp;TEXT($AB364,"dd-mmm")&amp;" ("&amp;(NETWORKDAYS(TODAY(),$AB364,Holidays)-1)&amp;" business day(s) left).")))))</f>
        <v/>
      </c>
      <c r="W364" s="17">
        <f>IF($Z364="","",CHOOSE($Z364,"Collection Email","1st Follow-up","2nd Follow-up","Local Office","CBE","Roxanne")&amp;IF($Z364=6," - Final"," - Day "&amp;MAX(0,NETWORKDAYS($AA364,TODAY(),Holidays)-1)&amp;" of "&amp;CHOOSE($Z364,3,3,2,2,3))&amp;" | Total Day "&amp;MAX(0,NETWORKDAYS($N364,TODAY(),Holidays)-1))</f>
        <v/>
      </c>
      <c r="X364" s="18"/>
      <c r="Y364" s="18"/>
      <c r="Z364" s="17">
        <f>IF($N364="","",COUNT($N364:$S364))</f>
        <v/>
      </c>
      <c r="AA364" s="19">
        <f>IF($Z364="","",INT(INDEX($N364:$S364,$Z364)))</f>
        <v/>
      </c>
      <c r="AB364" s="19">
        <f>IF(OR($Z364="",$Z364=6),"",WORKDAY($AA364,CHOOSE($Z364,3,3,2,2,3),Holidays))</f>
        <v/>
      </c>
      <c r="AC364" s="17">
        <f>IF(OR($Z364="",$Z364=6),"",CHOOSE($Z364,"1st Email Follow-up","2nd Email Follow-up","Escalate Local Office","Escalate to CBE","Escalate to Roxanne"))</f>
        <v/>
      </c>
    </row>
    <row r="365" spans="13:29">
      <c r="M365" s="14"/>
      <c r="T365" s="16"/>
      <c r="U365" s="17">
        <f>IF(AND(COUNTA($A365:$L365)=0,$N365=""),"",IF($T365="Paid","PAID",IF($T365="Closed","CLOSED",IF($Z365="","",IF($Z365=6,"ESCALATED TO ROXANNE",IF(TODAY()&gt;$AB365,"OVERDUE",IF($AB365&lt;=WORKDAY(TODAY(),1,Holidays),"DUE TOMORROW",IF($Z365=4,"ESCALATED TO LOCAL OFFICE",IF($Z365=5,"ESCALATED TO CBE",IF($AA365=TODAY(),"EMAIL SENT","MONITORING"))))))))))</f>
        <v/>
      </c>
      <c r="V365" s="17">
        <f>IF($U365="",IF(AND(COUNTA($A365:$L365)&gt;0,$N365=""),"Awaiting Collection Email time stamp.",""),IF(OR($U365="PAID",$U365="CLOSED"),IF($U365="PAID","Account paid. Action completed.","Account closed. No further action required."),CHOOSE($Z365,"Collection Email","1st Email Follow-up","2nd Email Follow-up","Escalation to Local Office","Escalation to CBE","Escalation to Roxanne")&amp;" sent "&amp;TEXT($AA365,"dd-mmm")&amp;". "&amp;IF($Z365=6,"Final escalation completed.",IF($U365="OVERDUE","Next: "&amp;$AC365&amp;" was due "&amp;TEXT($AB365,"dd-mmm")&amp;" - "&amp;(NETWORKDAYS($AB365,TODAY(),Holidays)-1)&amp;" business day(s) late. Send now.",IF($U365="DUE TOMORROW","Next: "&amp;$AC365&amp;IF($AB365&lt;=TODAY()," is due TODAY ("," is due next business day (")&amp;TEXT($AB365,"dd-mmm")&amp;").","Next: "&amp;$AC365&amp;" due "&amp;TEXT($AB365,"dd-mmm")&amp;" ("&amp;(NETWORKDAYS(TODAY(),$AB365,Holidays)-1)&amp;" business day(s) left).")))))</f>
        <v/>
      </c>
      <c r="W365" s="17">
        <f>IF($Z365="","",CHOOSE($Z365,"Collection Email","1st Follow-up","2nd Follow-up","Local Office","CBE","Roxanne")&amp;IF($Z365=6," - Final"," - Day "&amp;MAX(0,NETWORKDAYS($AA365,TODAY(),Holidays)-1)&amp;" of "&amp;CHOOSE($Z365,3,3,2,2,3))&amp;" | Total Day "&amp;MAX(0,NETWORKDAYS($N365,TODAY(),Holidays)-1))</f>
        <v/>
      </c>
      <c r="X365" s="18"/>
      <c r="Y365" s="18"/>
      <c r="Z365" s="17">
        <f>IF($N365="","",COUNT($N365:$S365))</f>
        <v/>
      </c>
      <c r="AA365" s="19">
        <f>IF($Z365="","",INT(INDEX($N365:$S365,$Z365)))</f>
        <v/>
      </c>
      <c r="AB365" s="19">
        <f>IF(OR($Z365="",$Z365=6),"",WORKDAY($AA365,CHOOSE($Z365,3,3,2,2,3),Holidays))</f>
        <v/>
      </c>
      <c r="AC365" s="17">
        <f>IF(OR($Z365="",$Z365=6),"",CHOOSE($Z365,"1st Email Follow-up","2nd Email Follow-up","Escalate Local Office","Escalate to CBE","Escalate to Roxanne"))</f>
        <v/>
      </c>
    </row>
    <row r="366" spans="13:29">
      <c r="M366" s="14"/>
      <c r="T366" s="16"/>
      <c r="U366" s="17">
        <f>IF(AND(COUNTA($A366:$L366)=0,$N366=""),"",IF($T366="Paid","PAID",IF($T366="Closed","CLOSED",IF($Z366="","",IF($Z366=6,"ESCALATED TO ROXANNE",IF(TODAY()&gt;$AB366,"OVERDUE",IF($AB366&lt;=WORKDAY(TODAY(),1,Holidays),"DUE TOMORROW",IF($Z366=4,"ESCALATED TO LOCAL OFFICE",IF($Z366=5,"ESCALATED TO CBE",IF($AA366=TODAY(),"EMAIL SENT","MONITORING"))))))))))</f>
        <v/>
      </c>
      <c r="V366" s="17">
        <f>IF($U366="",IF(AND(COUNTA($A366:$L366)&gt;0,$N366=""),"Awaiting Collection Email time stamp.",""),IF(OR($U366="PAID",$U366="CLOSED"),IF($U366="PAID","Account paid. Action completed.","Account closed. No further action required."),CHOOSE($Z366,"Collection Email","1st Email Follow-up","2nd Email Follow-up","Escalation to Local Office","Escalation to CBE","Escalation to Roxanne")&amp;" sent "&amp;TEXT($AA366,"dd-mmm")&amp;". "&amp;IF($Z366=6,"Final escalation completed.",IF($U366="OVERDUE","Next: "&amp;$AC366&amp;" was due "&amp;TEXT($AB366,"dd-mmm")&amp;" - "&amp;(NETWORKDAYS($AB366,TODAY(),Holidays)-1)&amp;" business day(s) late. Send now.",IF($U366="DUE TOMORROW","Next: "&amp;$AC366&amp;IF($AB366&lt;=TODAY()," is due TODAY ("," is due next business day (")&amp;TEXT($AB366,"dd-mmm")&amp;").","Next: "&amp;$AC366&amp;" due "&amp;TEXT($AB366,"dd-mmm")&amp;" ("&amp;(NETWORKDAYS(TODAY(),$AB366,Holidays)-1)&amp;" business day(s) left).")))))</f>
        <v/>
      </c>
      <c r="W366" s="17">
        <f>IF($Z366="","",CHOOSE($Z366,"Collection Email","1st Follow-up","2nd Follow-up","Local Office","CBE","Roxanne")&amp;IF($Z366=6," - Final"," - Day "&amp;MAX(0,NETWORKDAYS($AA366,TODAY(),Holidays)-1)&amp;" of "&amp;CHOOSE($Z366,3,3,2,2,3))&amp;" | Total Day "&amp;MAX(0,NETWORKDAYS($N366,TODAY(),Holidays)-1))</f>
        <v/>
      </c>
      <c r="X366" s="18"/>
      <c r="Y366" s="18"/>
      <c r="Z366" s="17">
        <f>IF($N366="","",COUNT($N366:$S366))</f>
        <v/>
      </c>
      <c r="AA366" s="19">
        <f>IF($Z366="","",INT(INDEX($N366:$S366,$Z366)))</f>
        <v/>
      </c>
      <c r="AB366" s="19">
        <f>IF(OR($Z366="",$Z366=6),"",WORKDAY($AA366,CHOOSE($Z366,3,3,2,2,3),Holidays))</f>
        <v/>
      </c>
      <c r="AC366" s="17">
        <f>IF(OR($Z366="",$Z366=6),"",CHOOSE($Z366,"1st Email Follow-up","2nd Email Follow-up","Escalate Local Office","Escalate to CBE","Escalate to Roxanne"))</f>
        <v/>
      </c>
    </row>
    <row r="367" spans="13:29">
      <c r="M367" s="14"/>
      <c r="T367" s="16"/>
      <c r="U367" s="17">
        <f>IF(AND(COUNTA($A367:$L367)=0,$N367=""),"",IF($T367="Paid","PAID",IF($T367="Closed","CLOSED",IF($Z367="","",IF($Z367=6,"ESCALATED TO ROXANNE",IF(TODAY()&gt;$AB367,"OVERDUE",IF($AB367&lt;=WORKDAY(TODAY(),1,Holidays),"DUE TOMORROW",IF($Z367=4,"ESCALATED TO LOCAL OFFICE",IF($Z367=5,"ESCALATED TO CBE",IF($AA367=TODAY(),"EMAIL SENT","MONITORING"))))))))))</f>
        <v/>
      </c>
      <c r="V367" s="17">
        <f>IF($U367="",IF(AND(COUNTA($A367:$L367)&gt;0,$N367=""),"Awaiting Collection Email time stamp.",""),IF(OR($U367="PAID",$U367="CLOSED"),IF($U367="PAID","Account paid. Action completed.","Account closed. No further action required."),CHOOSE($Z367,"Collection Email","1st Email Follow-up","2nd Email Follow-up","Escalation to Local Office","Escalation to CBE","Escalation to Roxanne")&amp;" sent "&amp;TEXT($AA367,"dd-mmm")&amp;". "&amp;IF($Z367=6,"Final escalation completed.",IF($U367="OVERDUE","Next: "&amp;$AC367&amp;" was due "&amp;TEXT($AB367,"dd-mmm")&amp;" - "&amp;(NETWORKDAYS($AB367,TODAY(),Holidays)-1)&amp;" business day(s) late. Send now.",IF($U367="DUE TOMORROW","Next: "&amp;$AC367&amp;IF($AB367&lt;=TODAY()," is due TODAY ("," is due next business day (")&amp;TEXT($AB367,"dd-mmm")&amp;").","Next: "&amp;$AC367&amp;" due "&amp;TEXT($AB367,"dd-mmm")&amp;" ("&amp;(NETWORKDAYS(TODAY(),$AB367,Holidays)-1)&amp;" business day(s) left).")))))</f>
        <v/>
      </c>
      <c r="W367" s="17">
        <f>IF($Z367="","",CHOOSE($Z367,"Collection Email","1st Follow-up","2nd Follow-up","Local Office","CBE","Roxanne")&amp;IF($Z367=6," - Final"," - Day "&amp;MAX(0,NETWORKDAYS($AA367,TODAY(),Holidays)-1)&amp;" of "&amp;CHOOSE($Z367,3,3,2,2,3))&amp;" | Total Day "&amp;MAX(0,NETWORKDAYS($N367,TODAY(),Holidays)-1))</f>
        <v/>
      </c>
      <c r="X367" s="18"/>
      <c r="Y367" s="18"/>
      <c r="Z367" s="17">
        <f>IF($N367="","",COUNT($N367:$S367))</f>
        <v/>
      </c>
      <c r="AA367" s="19">
        <f>IF($Z367="","",INT(INDEX($N367:$S367,$Z367)))</f>
        <v/>
      </c>
      <c r="AB367" s="19">
        <f>IF(OR($Z367="",$Z367=6),"",WORKDAY($AA367,CHOOSE($Z367,3,3,2,2,3),Holidays))</f>
        <v/>
      </c>
      <c r="AC367" s="17">
        <f>IF(OR($Z367="",$Z367=6),"",CHOOSE($Z367,"1st Email Follow-up","2nd Email Follow-up","Escalate Local Office","Escalate to CBE","Escalate to Roxanne"))</f>
        <v/>
      </c>
    </row>
    <row r="368" spans="13:29">
      <c r="M368" s="14"/>
      <c r="T368" s="16"/>
      <c r="U368" s="17">
        <f>IF(AND(COUNTA($A368:$L368)=0,$N368=""),"",IF($T368="Paid","PAID",IF($T368="Closed","CLOSED",IF($Z368="","",IF($Z368=6,"ESCALATED TO ROXANNE",IF(TODAY()&gt;$AB368,"OVERDUE",IF($AB368&lt;=WORKDAY(TODAY(),1,Holidays),"DUE TOMORROW",IF($Z368=4,"ESCALATED TO LOCAL OFFICE",IF($Z368=5,"ESCALATED TO CBE",IF($AA368=TODAY(),"EMAIL SENT","MONITORING"))))))))))</f>
        <v/>
      </c>
      <c r="V368" s="17">
        <f>IF($U368="",IF(AND(COUNTA($A368:$L368)&gt;0,$N368=""),"Awaiting Collection Email time stamp.",""),IF(OR($U368="PAID",$U368="CLOSED"),IF($U368="PAID","Account paid. Action completed.","Account closed. No further action required."),CHOOSE($Z368,"Collection Email","1st Email Follow-up","2nd Email Follow-up","Escalation to Local Office","Escalation to CBE","Escalation to Roxanne")&amp;" sent "&amp;TEXT($AA368,"dd-mmm")&amp;". "&amp;IF($Z368=6,"Final escalation completed.",IF($U368="OVERDUE","Next: "&amp;$AC368&amp;" was due "&amp;TEXT($AB368,"dd-mmm")&amp;" - "&amp;(NETWORKDAYS($AB368,TODAY(),Holidays)-1)&amp;" business day(s) late. Send now.",IF($U368="DUE TOMORROW","Next: "&amp;$AC368&amp;IF($AB368&lt;=TODAY()," is due TODAY ("," is due next business day (")&amp;TEXT($AB368,"dd-mmm")&amp;").","Next: "&amp;$AC368&amp;" due "&amp;TEXT($AB368,"dd-mmm")&amp;" ("&amp;(NETWORKDAYS(TODAY(),$AB368,Holidays)-1)&amp;" business day(s) left).")))))</f>
        <v/>
      </c>
      <c r="W368" s="17">
        <f>IF($Z368="","",CHOOSE($Z368,"Collection Email","1st Follow-up","2nd Follow-up","Local Office","CBE","Roxanne")&amp;IF($Z368=6," - Final"," - Day "&amp;MAX(0,NETWORKDAYS($AA368,TODAY(),Holidays)-1)&amp;" of "&amp;CHOOSE($Z368,3,3,2,2,3))&amp;" | Total Day "&amp;MAX(0,NETWORKDAYS($N368,TODAY(),Holidays)-1))</f>
        <v/>
      </c>
      <c r="X368" s="18"/>
      <c r="Y368" s="18"/>
      <c r="Z368" s="17">
        <f>IF($N368="","",COUNT($N368:$S368))</f>
        <v/>
      </c>
      <c r="AA368" s="19">
        <f>IF($Z368="","",INT(INDEX($N368:$S368,$Z368)))</f>
        <v/>
      </c>
      <c r="AB368" s="19">
        <f>IF(OR($Z368="",$Z368=6),"",WORKDAY($AA368,CHOOSE($Z368,3,3,2,2,3),Holidays))</f>
        <v/>
      </c>
      <c r="AC368" s="17">
        <f>IF(OR($Z368="",$Z368=6),"",CHOOSE($Z368,"1st Email Follow-up","2nd Email Follow-up","Escalate Local Office","Escalate to CBE","Escalate to Roxanne"))</f>
        <v/>
      </c>
    </row>
    <row r="369" spans="13:29">
      <c r="M369" s="14"/>
      <c r="T369" s="16"/>
      <c r="U369" s="17">
        <f>IF(AND(COUNTA($A369:$L369)=0,$N369=""),"",IF($T369="Paid","PAID",IF($T369="Closed","CLOSED",IF($Z369="","",IF($Z369=6,"ESCALATED TO ROXANNE",IF(TODAY()&gt;$AB369,"OVERDUE",IF($AB369&lt;=WORKDAY(TODAY(),1,Holidays),"DUE TOMORROW",IF($Z369=4,"ESCALATED TO LOCAL OFFICE",IF($Z369=5,"ESCALATED TO CBE",IF($AA369=TODAY(),"EMAIL SENT","MONITORING"))))))))))</f>
        <v/>
      </c>
      <c r="V369" s="17">
        <f>IF($U369="",IF(AND(COUNTA($A369:$L369)&gt;0,$N369=""),"Awaiting Collection Email time stamp.",""),IF(OR($U369="PAID",$U369="CLOSED"),IF($U369="PAID","Account paid. Action completed.","Account closed. No further action required."),CHOOSE($Z369,"Collection Email","1st Email Follow-up","2nd Email Follow-up","Escalation to Local Office","Escalation to CBE","Escalation to Roxanne")&amp;" sent "&amp;TEXT($AA369,"dd-mmm")&amp;". "&amp;IF($Z369=6,"Final escalation completed.",IF($U369="OVERDUE","Next: "&amp;$AC369&amp;" was due "&amp;TEXT($AB369,"dd-mmm")&amp;" - "&amp;(NETWORKDAYS($AB369,TODAY(),Holidays)-1)&amp;" business day(s) late. Send now.",IF($U369="DUE TOMORROW","Next: "&amp;$AC369&amp;IF($AB369&lt;=TODAY()," is due TODAY ("," is due next business day (")&amp;TEXT($AB369,"dd-mmm")&amp;").","Next: "&amp;$AC369&amp;" due "&amp;TEXT($AB369,"dd-mmm")&amp;" ("&amp;(NETWORKDAYS(TODAY(),$AB369,Holidays)-1)&amp;" business day(s) left).")))))</f>
        <v/>
      </c>
      <c r="W369" s="17">
        <f>IF($Z369="","",CHOOSE($Z369,"Collection Email","1st Follow-up","2nd Follow-up","Local Office","CBE","Roxanne")&amp;IF($Z369=6," - Final"," - Day "&amp;MAX(0,NETWORKDAYS($AA369,TODAY(),Holidays)-1)&amp;" of "&amp;CHOOSE($Z369,3,3,2,2,3))&amp;" | Total Day "&amp;MAX(0,NETWORKDAYS($N369,TODAY(),Holidays)-1))</f>
        <v/>
      </c>
      <c r="X369" s="18"/>
      <c r="Y369" s="18"/>
      <c r="Z369" s="17">
        <f>IF($N369="","",COUNT($N369:$S369))</f>
        <v/>
      </c>
      <c r="AA369" s="19">
        <f>IF($Z369="","",INT(INDEX($N369:$S369,$Z369)))</f>
        <v/>
      </c>
      <c r="AB369" s="19">
        <f>IF(OR($Z369="",$Z369=6),"",WORKDAY($AA369,CHOOSE($Z369,3,3,2,2,3),Holidays))</f>
        <v/>
      </c>
      <c r="AC369" s="17">
        <f>IF(OR($Z369="",$Z369=6),"",CHOOSE($Z369,"1st Email Follow-up","2nd Email Follow-up","Escalate Local Office","Escalate to CBE","Escalate to Roxanne"))</f>
        <v/>
      </c>
    </row>
    <row r="370" spans="13:29">
      <c r="M370" s="14"/>
      <c r="T370" s="16"/>
      <c r="U370" s="17">
        <f>IF(AND(COUNTA($A370:$L370)=0,$N370=""),"",IF($T370="Paid","PAID",IF($T370="Closed","CLOSED",IF($Z370="","",IF($Z370=6,"ESCALATED TO ROXANNE",IF(TODAY()&gt;$AB370,"OVERDUE",IF($AB370&lt;=WORKDAY(TODAY(),1,Holidays),"DUE TOMORROW",IF($Z370=4,"ESCALATED TO LOCAL OFFICE",IF($Z370=5,"ESCALATED TO CBE",IF($AA370=TODAY(),"EMAIL SENT","MONITORING"))))))))))</f>
        <v/>
      </c>
      <c r="V370" s="17">
        <f>IF($U370="",IF(AND(COUNTA($A370:$L370)&gt;0,$N370=""),"Awaiting Collection Email time stamp.",""),IF(OR($U370="PAID",$U370="CLOSED"),IF($U370="PAID","Account paid. Action completed.","Account closed. No further action required."),CHOOSE($Z370,"Collection Email","1st Email Follow-up","2nd Email Follow-up","Escalation to Local Office","Escalation to CBE","Escalation to Roxanne")&amp;" sent "&amp;TEXT($AA370,"dd-mmm")&amp;". "&amp;IF($Z370=6,"Final escalation completed.",IF($U370="OVERDUE","Next: "&amp;$AC370&amp;" was due "&amp;TEXT($AB370,"dd-mmm")&amp;" - "&amp;(NETWORKDAYS($AB370,TODAY(),Holidays)-1)&amp;" business day(s) late. Send now.",IF($U370="DUE TOMORROW","Next: "&amp;$AC370&amp;IF($AB370&lt;=TODAY()," is due TODAY ("," is due next business day (")&amp;TEXT($AB370,"dd-mmm")&amp;").","Next: "&amp;$AC370&amp;" due "&amp;TEXT($AB370,"dd-mmm")&amp;" ("&amp;(NETWORKDAYS(TODAY(),$AB370,Holidays)-1)&amp;" business day(s) left).")))))</f>
        <v/>
      </c>
      <c r="W370" s="17">
        <f>IF($Z370="","",CHOOSE($Z370,"Collection Email","1st Follow-up","2nd Follow-up","Local Office","CBE","Roxanne")&amp;IF($Z370=6," - Final"," - Day "&amp;MAX(0,NETWORKDAYS($AA370,TODAY(),Holidays)-1)&amp;" of "&amp;CHOOSE($Z370,3,3,2,2,3))&amp;" | Total Day "&amp;MAX(0,NETWORKDAYS($N370,TODAY(),Holidays)-1))</f>
        <v/>
      </c>
      <c r="X370" s="18"/>
      <c r="Y370" s="18"/>
      <c r="Z370" s="17">
        <f>IF($N370="","",COUNT($N370:$S370))</f>
        <v/>
      </c>
      <c r="AA370" s="19">
        <f>IF($Z370="","",INT(INDEX($N370:$S370,$Z370)))</f>
        <v/>
      </c>
      <c r="AB370" s="19">
        <f>IF(OR($Z370="",$Z370=6),"",WORKDAY($AA370,CHOOSE($Z370,3,3,2,2,3),Holidays))</f>
        <v/>
      </c>
      <c r="AC370" s="17">
        <f>IF(OR($Z370="",$Z370=6),"",CHOOSE($Z370,"1st Email Follow-up","2nd Email Follow-up","Escalate Local Office","Escalate to CBE","Escalate to Roxanne"))</f>
        <v/>
      </c>
    </row>
    <row r="371" spans="13:29">
      <c r="M371" s="14"/>
      <c r="T371" s="16"/>
      <c r="U371" s="17">
        <f>IF(AND(COUNTA($A371:$L371)=0,$N371=""),"",IF($T371="Paid","PAID",IF($T371="Closed","CLOSED",IF($Z371="","",IF($Z371=6,"ESCALATED TO ROXANNE",IF(TODAY()&gt;$AB371,"OVERDUE",IF($AB371&lt;=WORKDAY(TODAY(),1,Holidays),"DUE TOMORROW",IF($Z371=4,"ESCALATED TO LOCAL OFFICE",IF($Z371=5,"ESCALATED TO CBE",IF($AA371=TODAY(),"EMAIL SENT","MONITORING"))))))))))</f>
        <v/>
      </c>
      <c r="V371" s="17">
        <f>IF($U371="",IF(AND(COUNTA($A371:$L371)&gt;0,$N371=""),"Awaiting Collection Email time stamp.",""),IF(OR($U371="PAID",$U371="CLOSED"),IF($U371="PAID","Account paid. Action completed.","Account closed. No further action required."),CHOOSE($Z371,"Collection Email","1st Email Follow-up","2nd Email Follow-up","Escalation to Local Office","Escalation to CBE","Escalation to Roxanne")&amp;" sent "&amp;TEXT($AA371,"dd-mmm")&amp;". "&amp;IF($Z371=6,"Final escalation completed.",IF($U371="OVERDUE","Next: "&amp;$AC371&amp;" was due "&amp;TEXT($AB371,"dd-mmm")&amp;" - "&amp;(NETWORKDAYS($AB371,TODAY(),Holidays)-1)&amp;" business day(s) late. Send now.",IF($U371="DUE TOMORROW","Next: "&amp;$AC371&amp;IF($AB371&lt;=TODAY()," is due TODAY ("," is due next business day (")&amp;TEXT($AB371,"dd-mmm")&amp;").","Next: "&amp;$AC371&amp;" due "&amp;TEXT($AB371,"dd-mmm")&amp;" ("&amp;(NETWORKDAYS(TODAY(),$AB371,Holidays)-1)&amp;" business day(s) left).")))))</f>
        <v/>
      </c>
      <c r="W371" s="17">
        <f>IF($Z371="","",CHOOSE($Z371,"Collection Email","1st Follow-up","2nd Follow-up","Local Office","CBE","Roxanne")&amp;IF($Z371=6," - Final"," - Day "&amp;MAX(0,NETWORKDAYS($AA371,TODAY(),Holidays)-1)&amp;" of "&amp;CHOOSE($Z371,3,3,2,2,3))&amp;" | Total Day "&amp;MAX(0,NETWORKDAYS($N371,TODAY(),Holidays)-1))</f>
        <v/>
      </c>
      <c r="X371" s="18"/>
      <c r="Y371" s="18"/>
      <c r="Z371" s="17">
        <f>IF($N371="","",COUNT($N371:$S371))</f>
        <v/>
      </c>
      <c r="AA371" s="19">
        <f>IF($Z371="","",INT(INDEX($N371:$S371,$Z371)))</f>
        <v/>
      </c>
      <c r="AB371" s="19">
        <f>IF(OR($Z371="",$Z371=6),"",WORKDAY($AA371,CHOOSE($Z371,3,3,2,2,3),Holidays))</f>
        <v/>
      </c>
      <c r="AC371" s="17">
        <f>IF(OR($Z371="",$Z371=6),"",CHOOSE($Z371,"1st Email Follow-up","2nd Email Follow-up","Escalate Local Office","Escalate to CBE","Escalate to Roxanne"))</f>
        <v/>
      </c>
    </row>
    <row r="372" spans="13:29">
      <c r="M372" s="14"/>
      <c r="T372" s="16"/>
      <c r="U372" s="17">
        <f>IF(AND(COUNTA($A372:$L372)=0,$N372=""),"",IF($T372="Paid","PAID",IF($T372="Closed","CLOSED",IF($Z372="","",IF($Z372=6,"ESCALATED TO ROXANNE",IF(TODAY()&gt;$AB372,"OVERDUE",IF($AB372&lt;=WORKDAY(TODAY(),1,Holidays),"DUE TOMORROW",IF($Z372=4,"ESCALATED TO LOCAL OFFICE",IF($Z372=5,"ESCALATED TO CBE",IF($AA372=TODAY(),"EMAIL SENT","MONITORING"))))))))))</f>
        <v/>
      </c>
      <c r="V372" s="17">
        <f>IF($U372="",IF(AND(COUNTA($A372:$L372)&gt;0,$N372=""),"Awaiting Collection Email time stamp.",""),IF(OR($U372="PAID",$U372="CLOSED"),IF($U372="PAID","Account paid. Action completed.","Account closed. No further action required."),CHOOSE($Z372,"Collection Email","1st Email Follow-up","2nd Email Follow-up","Escalation to Local Office","Escalation to CBE","Escalation to Roxanne")&amp;" sent "&amp;TEXT($AA372,"dd-mmm")&amp;". "&amp;IF($Z372=6,"Final escalation completed.",IF($U372="OVERDUE","Next: "&amp;$AC372&amp;" was due "&amp;TEXT($AB372,"dd-mmm")&amp;" - "&amp;(NETWORKDAYS($AB372,TODAY(),Holidays)-1)&amp;" business day(s) late. Send now.",IF($U372="DUE TOMORROW","Next: "&amp;$AC372&amp;IF($AB372&lt;=TODAY()," is due TODAY ("," is due next business day (")&amp;TEXT($AB372,"dd-mmm")&amp;").","Next: "&amp;$AC372&amp;" due "&amp;TEXT($AB372,"dd-mmm")&amp;" ("&amp;(NETWORKDAYS(TODAY(),$AB372,Holidays)-1)&amp;" business day(s) left).")))))</f>
        <v/>
      </c>
      <c r="W372" s="17">
        <f>IF($Z372="","",CHOOSE($Z372,"Collection Email","1st Follow-up","2nd Follow-up","Local Office","CBE","Roxanne")&amp;IF($Z372=6," - Final"," - Day "&amp;MAX(0,NETWORKDAYS($AA372,TODAY(),Holidays)-1)&amp;" of "&amp;CHOOSE($Z372,3,3,2,2,3))&amp;" | Total Day "&amp;MAX(0,NETWORKDAYS($N372,TODAY(),Holidays)-1))</f>
        <v/>
      </c>
      <c r="X372" s="18"/>
      <c r="Y372" s="18"/>
      <c r="Z372" s="17">
        <f>IF($N372="","",COUNT($N372:$S372))</f>
        <v/>
      </c>
      <c r="AA372" s="19">
        <f>IF($Z372="","",INT(INDEX($N372:$S372,$Z372)))</f>
        <v/>
      </c>
      <c r="AB372" s="19">
        <f>IF(OR($Z372="",$Z372=6),"",WORKDAY($AA372,CHOOSE($Z372,3,3,2,2,3),Holidays))</f>
        <v/>
      </c>
      <c r="AC372" s="17">
        <f>IF(OR($Z372="",$Z372=6),"",CHOOSE($Z372,"1st Email Follow-up","2nd Email Follow-up","Escalate Local Office","Escalate to CBE","Escalate to Roxanne"))</f>
        <v/>
      </c>
    </row>
    <row r="373" spans="13:29">
      <c r="M373" s="14"/>
      <c r="T373" s="16"/>
      <c r="U373" s="17">
        <f>IF(AND(COUNTA($A373:$L373)=0,$N373=""),"",IF($T373="Paid","PAID",IF($T373="Closed","CLOSED",IF($Z373="","",IF($Z373=6,"ESCALATED TO ROXANNE",IF(TODAY()&gt;$AB373,"OVERDUE",IF($AB373&lt;=WORKDAY(TODAY(),1,Holidays),"DUE TOMORROW",IF($Z373=4,"ESCALATED TO LOCAL OFFICE",IF($Z373=5,"ESCALATED TO CBE",IF($AA373=TODAY(),"EMAIL SENT","MONITORING"))))))))))</f>
        <v/>
      </c>
      <c r="V373" s="17">
        <f>IF($U373="",IF(AND(COUNTA($A373:$L373)&gt;0,$N373=""),"Awaiting Collection Email time stamp.",""),IF(OR($U373="PAID",$U373="CLOSED"),IF($U373="PAID","Account paid. Action completed.","Account closed. No further action required."),CHOOSE($Z373,"Collection Email","1st Email Follow-up","2nd Email Follow-up","Escalation to Local Office","Escalation to CBE","Escalation to Roxanne")&amp;" sent "&amp;TEXT($AA373,"dd-mmm")&amp;". "&amp;IF($Z373=6,"Final escalation completed.",IF($U373="OVERDUE","Next: "&amp;$AC373&amp;" was due "&amp;TEXT($AB373,"dd-mmm")&amp;" - "&amp;(NETWORKDAYS($AB373,TODAY(),Holidays)-1)&amp;" business day(s) late. Send now.",IF($U373="DUE TOMORROW","Next: "&amp;$AC373&amp;IF($AB373&lt;=TODAY()," is due TODAY ("," is due next business day (")&amp;TEXT($AB373,"dd-mmm")&amp;").","Next: "&amp;$AC373&amp;" due "&amp;TEXT($AB373,"dd-mmm")&amp;" ("&amp;(NETWORKDAYS(TODAY(),$AB373,Holidays)-1)&amp;" business day(s) left).")))))</f>
        <v/>
      </c>
      <c r="W373" s="17">
        <f>IF($Z373="","",CHOOSE($Z373,"Collection Email","1st Follow-up","2nd Follow-up","Local Office","CBE","Roxanne")&amp;IF($Z373=6," - Final"," - Day "&amp;MAX(0,NETWORKDAYS($AA373,TODAY(),Holidays)-1)&amp;" of "&amp;CHOOSE($Z373,3,3,2,2,3))&amp;" | Total Day "&amp;MAX(0,NETWORKDAYS($N373,TODAY(),Holidays)-1))</f>
        <v/>
      </c>
      <c r="X373" s="18"/>
      <c r="Y373" s="18"/>
      <c r="Z373" s="17">
        <f>IF($N373="","",COUNT($N373:$S373))</f>
        <v/>
      </c>
      <c r="AA373" s="19">
        <f>IF($Z373="","",INT(INDEX($N373:$S373,$Z373)))</f>
        <v/>
      </c>
      <c r="AB373" s="19">
        <f>IF(OR($Z373="",$Z373=6),"",WORKDAY($AA373,CHOOSE($Z373,3,3,2,2,3),Holidays))</f>
        <v/>
      </c>
      <c r="AC373" s="17">
        <f>IF(OR($Z373="",$Z373=6),"",CHOOSE($Z373,"1st Email Follow-up","2nd Email Follow-up","Escalate Local Office","Escalate to CBE","Escalate to Roxanne"))</f>
        <v/>
      </c>
    </row>
    <row r="374" spans="13:29">
      <c r="M374" s="14"/>
      <c r="T374" s="16"/>
      <c r="U374" s="17">
        <f>IF(AND(COUNTA($A374:$L374)=0,$N374=""),"",IF($T374="Paid","PAID",IF($T374="Closed","CLOSED",IF($Z374="","",IF($Z374=6,"ESCALATED TO ROXANNE",IF(TODAY()&gt;$AB374,"OVERDUE",IF($AB374&lt;=WORKDAY(TODAY(),1,Holidays),"DUE TOMORROW",IF($Z374=4,"ESCALATED TO LOCAL OFFICE",IF($Z374=5,"ESCALATED TO CBE",IF($AA374=TODAY(),"EMAIL SENT","MONITORING"))))))))))</f>
        <v/>
      </c>
      <c r="V374" s="17">
        <f>IF($U374="",IF(AND(COUNTA($A374:$L374)&gt;0,$N374=""),"Awaiting Collection Email time stamp.",""),IF(OR($U374="PAID",$U374="CLOSED"),IF($U374="PAID","Account paid. Action completed.","Account closed. No further action required."),CHOOSE($Z374,"Collection Email","1st Email Follow-up","2nd Email Follow-up","Escalation to Local Office","Escalation to CBE","Escalation to Roxanne")&amp;" sent "&amp;TEXT($AA374,"dd-mmm")&amp;". "&amp;IF($Z374=6,"Final escalation completed.",IF($U374="OVERDUE","Next: "&amp;$AC374&amp;" was due "&amp;TEXT($AB374,"dd-mmm")&amp;" - "&amp;(NETWORKDAYS($AB374,TODAY(),Holidays)-1)&amp;" business day(s) late. Send now.",IF($U374="DUE TOMORROW","Next: "&amp;$AC374&amp;IF($AB374&lt;=TODAY()," is due TODAY ("," is due next business day (")&amp;TEXT($AB374,"dd-mmm")&amp;").","Next: "&amp;$AC374&amp;" due "&amp;TEXT($AB374,"dd-mmm")&amp;" ("&amp;(NETWORKDAYS(TODAY(),$AB374,Holidays)-1)&amp;" business day(s) left).")))))</f>
        <v/>
      </c>
      <c r="W374" s="17">
        <f>IF($Z374="","",CHOOSE($Z374,"Collection Email","1st Follow-up","2nd Follow-up","Local Office","CBE","Roxanne")&amp;IF($Z374=6," - Final"," - Day "&amp;MAX(0,NETWORKDAYS($AA374,TODAY(),Holidays)-1)&amp;" of "&amp;CHOOSE($Z374,3,3,2,2,3))&amp;" | Total Day "&amp;MAX(0,NETWORKDAYS($N374,TODAY(),Holidays)-1))</f>
        <v/>
      </c>
      <c r="X374" s="18"/>
      <c r="Y374" s="18"/>
      <c r="Z374" s="17">
        <f>IF($N374="","",COUNT($N374:$S374))</f>
        <v/>
      </c>
      <c r="AA374" s="19">
        <f>IF($Z374="","",INT(INDEX($N374:$S374,$Z374)))</f>
        <v/>
      </c>
      <c r="AB374" s="19">
        <f>IF(OR($Z374="",$Z374=6),"",WORKDAY($AA374,CHOOSE($Z374,3,3,2,2,3),Holidays))</f>
        <v/>
      </c>
      <c r="AC374" s="17">
        <f>IF(OR($Z374="",$Z374=6),"",CHOOSE($Z374,"1st Email Follow-up","2nd Email Follow-up","Escalate Local Office","Escalate to CBE","Escalate to Roxanne"))</f>
        <v/>
      </c>
    </row>
    <row r="375" spans="13:29">
      <c r="M375" s="14"/>
      <c r="T375" s="16"/>
      <c r="U375" s="17">
        <f>IF(AND(COUNTA($A375:$L375)=0,$N375=""),"",IF($T375="Paid","PAID",IF($T375="Closed","CLOSED",IF($Z375="","",IF($Z375=6,"ESCALATED TO ROXANNE",IF(TODAY()&gt;$AB375,"OVERDUE",IF($AB375&lt;=WORKDAY(TODAY(),1,Holidays),"DUE TOMORROW",IF($Z375=4,"ESCALATED TO LOCAL OFFICE",IF($Z375=5,"ESCALATED TO CBE",IF($AA375=TODAY(),"EMAIL SENT","MONITORING"))))))))))</f>
        <v/>
      </c>
      <c r="V375" s="17">
        <f>IF($U375="",IF(AND(COUNTA($A375:$L375)&gt;0,$N375=""),"Awaiting Collection Email time stamp.",""),IF(OR($U375="PAID",$U375="CLOSED"),IF($U375="PAID","Account paid. Action completed.","Account closed. No further action required."),CHOOSE($Z375,"Collection Email","1st Email Follow-up","2nd Email Follow-up","Escalation to Local Office","Escalation to CBE","Escalation to Roxanne")&amp;" sent "&amp;TEXT($AA375,"dd-mmm")&amp;". "&amp;IF($Z375=6,"Final escalation completed.",IF($U375="OVERDUE","Next: "&amp;$AC375&amp;" was due "&amp;TEXT($AB375,"dd-mmm")&amp;" - "&amp;(NETWORKDAYS($AB375,TODAY(),Holidays)-1)&amp;" business day(s) late. Send now.",IF($U375="DUE TOMORROW","Next: "&amp;$AC375&amp;IF($AB375&lt;=TODAY()," is due TODAY ("," is due next business day (")&amp;TEXT($AB375,"dd-mmm")&amp;").","Next: "&amp;$AC375&amp;" due "&amp;TEXT($AB375,"dd-mmm")&amp;" ("&amp;(NETWORKDAYS(TODAY(),$AB375,Holidays)-1)&amp;" business day(s) left).")))))</f>
        <v/>
      </c>
      <c r="W375" s="17">
        <f>IF($Z375="","",CHOOSE($Z375,"Collection Email","1st Follow-up","2nd Follow-up","Local Office","CBE","Roxanne")&amp;IF($Z375=6," - Final"," - Day "&amp;MAX(0,NETWORKDAYS($AA375,TODAY(),Holidays)-1)&amp;" of "&amp;CHOOSE($Z375,3,3,2,2,3))&amp;" | Total Day "&amp;MAX(0,NETWORKDAYS($N375,TODAY(),Holidays)-1))</f>
        <v/>
      </c>
      <c r="X375" s="18"/>
      <c r="Y375" s="18"/>
      <c r="Z375" s="17">
        <f>IF($N375="","",COUNT($N375:$S375))</f>
        <v/>
      </c>
      <c r="AA375" s="19">
        <f>IF($Z375="","",INT(INDEX($N375:$S375,$Z375)))</f>
        <v/>
      </c>
      <c r="AB375" s="19">
        <f>IF(OR($Z375="",$Z375=6),"",WORKDAY($AA375,CHOOSE($Z375,3,3,2,2,3),Holidays))</f>
        <v/>
      </c>
      <c r="AC375" s="17">
        <f>IF(OR($Z375="",$Z375=6),"",CHOOSE($Z375,"1st Email Follow-up","2nd Email Follow-up","Escalate Local Office","Escalate to CBE","Escalate to Roxanne"))</f>
        <v/>
      </c>
    </row>
    <row r="376" spans="13:29">
      <c r="M376" s="14"/>
      <c r="T376" s="16"/>
      <c r="U376" s="17">
        <f>IF(AND(COUNTA($A376:$L376)=0,$N376=""),"",IF($T376="Paid","PAID",IF($T376="Closed","CLOSED",IF($Z376="","",IF($Z376=6,"ESCALATED TO ROXANNE",IF(TODAY()&gt;$AB376,"OVERDUE",IF($AB376&lt;=WORKDAY(TODAY(),1,Holidays),"DUE TOMORROW",IF($Z376=4,"ESCALATED TO LOCAL OFFICE",IF($Z376=5,"ESCALATED TO CBE",IF($AA376=TODAY(),"EMAIL SENT","MONITORING"))))))))))</f>
        <v/>
      </c>
      <c r="V376" s="17">
        <f>IF($U376="",IF(AND(COUNTA($A376:$L376)&gt;0,$N376=""),"Awaiting Collection Email time stamp.",""),IF(OR($U376="PAID",$U376="CLOSED"),IF($U376="PAID","Account paid. Action completed.","Account closed. No further action required."),CHOOSE($Z376,"Collection Email","1st Email Follow-up","2nd Email Follow-up","Escalation to Local Office","Escalation to CBE","Escalation to Roxanne")&amp;" sent "&amp;TEXT($AA376,"dd-mmm")&amp;". "&amp;IF($Z376=6,"Final escalation completed.",IF($U376="OVERDUE","Next: "&amp;$AC376&amp;" was due "&amp;TEXT($AB376,"dd-mmm")&amp;" - "&amp;(NETWORKDAYS($AB376,TODAY(),Holidays)-1)&amp;" business day(s) late. Send now.",IF($U376="DUE TOMORROW","Next: "&amp;$AC376&amp;IF($AB376&lt;=TODAY()," is due TODAY ("," is due next business day (")&amp;TEXT($AB376,"dd-mmm")&amp;").","Next: "&amp;$AC376&amp;" due "&amp;TEXT($AB376,"dd-mmm")&amp;" ("&amp;(NETWORKDAYS(TODAY(),$AB376,Holidays)-1)&amp;" business day(s) left).")))))</f>
        <v/>
      </c>
      <c r="W376" s="17">
        <f>IF($Z376="","",CHOOSE($Z376,"Collection Email","1st Follow-up","2nd Follow-up","Local Office","CBE","Roxanne")&amp;IF($Z376=6," - Final"," - Day "&amp;MAX(0,NETWORKDAYS($AA376,TODAY(),Holidays)-1)&amp;" of "&amp;CHOOSE($Z376,3,3,2,2,3))&amp;" | Total Day "&amp;MAX(0,NETWORKDAYS($N376,TODAY(),Holidays)-1))</f>
        <v/>
      </c>
      <c r="X376" s="18"/>
      <c r="Y376" s="18"/>
      <c r="Z376" s="17">
        <f>IF($N376="","",COUNT($N376:$S376))</f>
        <v/>
      </c>
      <c r="AA376" s="19">
        <f>IF($Z376="","",INT(INDEX($N376:$S376,$Z376)))</f>
        <v/>
      </c>
      <c r="AB376" s="19">
        <f>IF(OR($Z376="",$Z376=6),"",WORKDAY($AA376,CHOOSE($Z376,3,3,2,2,3),Holidays))</f>
        <v/>
      </c>
      <c r="AC376" s="17">
        <f>IF(OR($Z376="",$Z376=6),"",CHOOSE($Z376,"1st Email Follow-up","2nd Email Follow-up","Escalate Local Office","Escalate to CBE","Escalate to Roxanne"))</f>
        <v/>
      </c>
    </row>
    <row r="377" spans="13:29">
      <c r="M377" s="14"/>
      <c r="T377" s="16"/>
      <c r="U377" s="17">
        <f>IF(AND(COUNTA($A377:$L377)=0,$N377=""),"",IF($T377="Paid","PAID",IF($T377="Closed","CLOSED",IF($Z377="","",IF($Z377=6,"ESCALATED TO ROXANNE",IF(TODAY()&gt;$AB377,"OVERDUE",IF($AB377&lt;=WORKDAY(TODAY(),1,Holidays),"DUE TOMORROW",IF($Z377=4,"ESCALATED TO LOCAL OFFICE",IF($Z377=5,"ESCALATED TO CBE",IF($AA377=TODAY(),"EMAIL SENT","MONITORING"))))))))))</f>
        <v/>
      </c>
      <c r="V377" s="17">
        <f>IF($U377="",IF(AND(COUNTA($A377:$L377)&gt;0,$N377=""),"Awaiting Collection Email time stamp.",""),IF(OR($U377="PAID",$U377="CLOSED"),IF($U377="PAID","Account paid. Action completed.","Account closed. No further action required."),CHOOSE($Z377,"Collection Email","1st Email Follow-up","2nd Email Follow-up","Escalation to Local Office","Escalation to CBE","Escalation to Roxanne")&amp;" sent "&amp;TEXT($AA377,"dd-mmm")&amp;". "&amp;IF($Z377=6,"Final escalation completed.",IF($U377="OVERDUE","Next: "&amp;$AC377&amp;" was due "&amp;TEXT($AB377,"dd-mmm")&amp;" - "&amp;(NETWORKDAYS($AB377,TODAY(),Holidays)-1)&amp;" business day(s) late. Send now.",IF($U377="DUE TOMORROW","Next: "&amp;$AC377&amp;IF($AB377&lt;=TODAY()," is due TODAY ("," is due next business day (")&amp;TEXT($AB377,"dd-mmm")&amp;").","Next: "&amp;$AC377&amp;" due "&amp;TEXT($AB377,"dd-mmm")&amp;" ("&amp;(NETWORKDAYS(TODAY(),$AB377,Holidays)-1)&amp;" business day(s) left).")))))</f>
        <v/>
      </c>
      <c r="W377" s="17">
        <f>IF($Z377="","",CHOOSE($Z377,"Collection Email","1st Follow-up","2nd Follow-up","Local Office","CBE","Roxanne")&amp;IF($Z377=6," - Final"," - Day "&amp;MAX(0,NETWORKDAYS($AA377,TODAY(),Holidays)-1)&amp;" of "&amp;CHOOSE($Z377,3,3,2,2,3))&amp;" | Total Day "&amp;MAX(0,NETWORKDAYS($N377,TODAY(),Holidays)-1))</f>
        <v/>
      </c>
      <c r="X377" s="18"/>
      <c r="Y377" s="18"/>
      <c r="Z377" s="17">
        <f>IF($N377="","",COUNT($N377:$S377))</f>
        <v/>
      </c>
      <c r="AA377" s="19">
        <f>IF($Z377="","",INT(INDEX($N377:$S377,$Z377)))</f>
        <v/>
      </c>
      <c r="AB377" s="19">
        <f>IF(OR($Z377="",$Z377=6),"",WORKDAY($AA377,CHOOSE($Z377,3,3,2,2,3),Holidays))</f>
        <v/>
      </c>
      <c r="AC377" s="17">
        <f>IF(OR($Z377="",$Z377=6),"",CHOOSE($Z377,"1st Email Follow-up","2nd Email Follow-up","Escalate Local Office","Escalate to CBE","Escalate to Roxanne"))</f>
        <v/>
      </c>
    </row>
    <row r="378" spans="13:29">
      <c r="M378" s="14"/>
      <c r="T378" s="16"/>
      <c r="U378" s="17">
        <f>IF(AND(COUNTA($A378:$L378)=0,$N378=""),"",IF($T378="Paid","PAID",IF($T378="Closed","CLOSED",IF($Z378="","",IF($Z378=6,"ESCALATED TO ROXANNE",IF(TODAY()&gt;$AB378,"OVERDUE",IF($AB378&lt;=WORKDAY(TODAY(),1,Holidays),"DUE TOMORROW",IF($Z378=4,"ESCALATED TO LOCAL OFFICE",IF($Z378=5,"ESCALATED TO CBE",IF($AA378=TODAY(),"EMAIL SENT","MONITORING"))))))))))</f>
        <v/>
      </c>
      <c r="V378" s="17">
        <f>IF($U378="",IF(AND(COUNTA($A378:$L378)&gt;0,$N378=""),"Awaiting Collection Email time stamp.",""),IF(OR($U378="PAID",$U378="CLOSED"),IF($U378="PAID","Account paid. Action completed.","Account closed. No further action required."),CHOOSE($Z378,"Collection Email","1st Email Follow-up","2nd Email Follow-up","Escalation to Local Office","Escalation to CBE","Escalation to Roxanne")&amp;" sent "&amp;TEXT($AA378,"dd-mmm")&amp;". "&amp;IF($Z378=6,"Final escalation completed.",IF($U378="OVERDUE","Next: "&amp;$AC378&amp;" was due "&amp;TEXT($AB378,"dd-mmm")&amp;" - "&amp;(NETWORKDAYS($AB378,TODAY(),Holidays)-1)&amp;" business day(s) late. Send now.",IF($U378="DUE TOMORROW","Next: "&amp;$AC378&amp;IF($AB378&lt;=TODAY()," is due TODAY ("," is due next business day (")&amp;TEXT($AB378,"dd-mmm")&amp;").","Next: "&amp;$AC378&amp;" due "&amp;TEXT($AB378,"dd-mmm")&amp;" ("&amp;(NETWORKDAYS(TODAY(),$AB378,Holidays)-1)&amp;" business day(s) left).")))))</f>
        <v/>
      </c>
      <c r="W378" s="17">
        <f>IF($Z378="","",CHOOSE($Z378,"Collection Email","1st Follow-up","2nd Follow-up","Local Office","CBE","Roxanne")&amp;IF($Z378=6," - Final"," - Day "&amp;MAX(0,NETWORKDAYS($AA378,TODAY(),Holidays)-1)&amp;" of "&amp;CHOOSE($Z378,3,3,2,2,3))&amp;" | Total Day "&amp;MAX(0,NETWORKDAYS($N378,TODAY(),Holidays)-1))</f>
        <v/>
      </c>
      <c r="X378" s="18"/>
      <c r="Y378" s="18"/>
      <c r="Z378" s="17">
        <f>IF($N378="","",COUNT($N378:$S378))</f>
        <v/>
      </c>
      <c r="AA378" s="19">
        <f>IF($Z378="","",INT(INDEX($N378:$S378,$Z378)))</f>
        <v/>
      </c>
      <c r="AB378" s="19">
        <f>IF(OR($Z378="",$Z378=6),"",WORKDAY($AA378,CHOOSE($Z378,3,3,2,2,3),Holidays))</f>
        <v/>
      </c>
      <c r="AC378" s="17">
        <f>IF(OR($Z378="",$Z378=6),"",CHOOSE($Z378,"1st Email Follow-up","2nd Email Follow-up","Escalate Local Office","Escalate to CBE","Escalate to Roxanne"))</f>
        <v/>
      </c>
    </row>
    <row r="379" spans="13:29">
      <c r="M379" s="14"/>
      <c r="T379" s="16"/>
      <c r="U379" s="17">
        <f>IF(AND(COUNTA($A379:$L379)=0,$N379=""),"",IF($T379="Paid","PAID",IF($T379="Closed","CLOSED",IF($Z379="","",IF($Z379=6,"ESCALATED TO ROXANNE",IF(TODAY()&gt;$AB379,"OVERDUE",IF($AB379&lt;=WORKDAY(TODAY(),1,Holidays),"DUE TOMORROW",IF($Z379=4,"ESCALATED TO LOCAL OFFICE",IF($Z379=5,"ESCALATED TO CBE",IF($AA379=TODAY(),"EMAIL SENT","MONITORING"))))))))))</f>
        <v/>
      </c>
      <c r="V379" s="17">
        <f>IF($U379="",IF(AND(COUNTA($A379:$L379)&gt;0,$N379=""),"Awaiting Collection Email time stamp.",""),IF(OR($U379="PAID",$U379="CLOSED"),IF($U379="PAID","Account paid. Action completed.","Account closed. No further action required."),CHOOSE($Z379,"Collection Email","1st Email Follow-up","2nd Email Follow-up","Escalation to Local Office","Escalation to CBE","Escalation to Roxanne")&amp;" sent "&amp;TEXT($AA379,"dd-mmm")&amp;". "&amp;IF($Z379=6,"Final escalation completed.",IF($U379="OVERDUE","Next: "&amp;$AC379&amp;" was due "&amp;TEXT($AB379,"dd-mmm")&amp;" - "&amp;(NETWORKDAYS($AB379,TODAY(),Holidays)-1)&amp;" business day(s) late. Send now.",IF($U379="DUE TOMORROW","Next: "&amp;$AC379&amp;IF($AB379&lt;=TODAY()," is due TODAY ("," is due next business day (")&amp;TEXT($AB379,"dd-mmm")&amp;").","Next: "&amp;$AC379&amp;" due "&amp;TEXT($AB379,"dd-mmm")&amp;" ("&amp;(NETWORKDAYS(TODAY(),$AB379,Holidays)-1)&amp;" business day(s) left).")))))</f>
        <v/>
      </c>
      <c r="W379" s="17">
        <f>IF($Z379="","",CHOOSE($Z379,"Collection Email","1st Follow-up","2nd Follow-up","Local Office","CBE","Roxanne")&amp;IF($Z379=6," - Final"," - Day "&amp;MAX(0,NETWORKDAYS($AA379,TODAY(),Holidays)-1)&amp;" of "&amp;CHOOSE($Z379,3,3,2,2,3))&amp;" | Total Day "&amp;MAX(0,NETWORKDAYS($N379,TODAY(),Holidays)-1))</f>
        <v/>
      </c>
      <c r="X379" s="18"/>
      <c r="Y379" s="18"/>
      <c r="Z379" s="17">
        <f>IF($N379="","",COUNT($N379:$S379))</f>
        <v/>
      </c>
      <c r="AA379" s="19">
        <f>IF($Z379="","",INT(INDEX($N379:$S379,$Z379)))</f>
        <v/>
      </c>
      <c r="AB379" s="19">
        <f>IF(OR($Z379="",$Z379=6),"",WORKDAY($AA379,CHOOSE($Z379,3,3,2,2,3),Holidays))</f>
        <v/>
      </c>
      <c r="AC379" s="17">
        <f>IF(OR($Z379="",$Z379=6),"",CHOOSE($Z379,"1st Email Follow-up","2nd Email Follow-up","Escalate Local Office","Escalate to CBE","Escalate to Roxanne"))</f>
        <v/>
      </c>
    </row>
    <row r="380" spans="13:29">
      <c r="M380" s="14"/>
      <c r="T380" s="16"/>
      <c r="U380" s="17">
        <f>IF(AND(COUNTA($A380:$L380)=0,$N380=""),"",IF($T380="Paid","PAID",IF($T380="Closed","CLOSED",IF($Z380="","",IF($Z380=6,"ESCALATED TO ROXANNE",IF(TODAY()&gt;$AB380,"OVERDUE",IF($AB380&lt;=WORKDAY(TODAY(),1,Holidays),"DUE TOMORROW",IF($Z380=4,"ESCALATED TO LOCAL OFFICE",IF($Z380=5,"ESCALATED TO CBE",IF($AA380=TODAY(),"EMAIL SENT","MONITORING"))))))))))</f>
        <v/>
      </c>
      <c r="V380" s="17">
        <f>IF($U380="",IF(AND(COUNTA($A380:$L380)&gt;0,$N380=""),"Awaiting Collection Email time stamp.",""),IF(OR($U380="PAID",$U380="CLOSED"),IF($U380="PAID","Account paid. Action completed.","Account closed. No further action required."),CHOOSE($Z380,"Collection Email","1st Email Follow-up","2nd Email Follow-up","Escalation to Local Office","Escalation to CBE","Escalation to Roxanne")&amp;" sent "&amp;TEXT($AA380,"dd-mmm")&amp;". "&amp;IF($Z380=6,"Final escalation completed.",IF($U380="OVERDUE","Next: "&amp;$AC380&amp;" was due "&amp;TEXT($AB380,"dd-mmm")&amp;" - "&amp;(NETWORKDAYS($AB380,TODAY(),Holidays)-1)&amp;" business day(s) late. Send now.",IF($U380="DUE TOMORROW","Next: "&amp;$AC380&amp;IF($AB380&lt;=TODAY()," is due TODAY ("," is due next business day (")&amp;TEXT($AB380,"dd-mmm")&amp;").","Next: "&amp;$AC380&amp;" due "&amp;TEXT($AB380,"dd-mmm")&amp;" ("&amp;(NETWORKDAYS(TODAY(),$AB380,Holidays)-1)&amp;" business day(s) left).")))))</f>
        <v/>
      </c>
      <c r="W380" s="17">
        <f>IF($Z380="","",CHOOSE($Z380,"Collection Email","1st Follow-up","2nd Follow-up","Local Office","CBE","Roxanne")&amp;IF($Z380=6," - Final"," - Day "&amp;MAX(0,NETWORKDAYS($AA380,TODAY(),Holidays)-1)&amp;" of "&amp;CHOOSE($Z380,3,3,2,2,3))&amp;" | Total Day "&amp;MAX(0,NETWORKDAYS($N380,TODAY(),Holidays)-1))</f>
        <v/>
      </c>
      <c r="X380" s="18"/>
      <c r="Y380" s="18"/>
      <c r="Z380" s="17">
        <f>IF($N380="","",COUNT($N380:$S380))</f>
        <v/>
      </c>
      <c r="AA380" s="19">
        <f>IF($Z380="","",INT(INDEX($N380:$S380,$Z380)))</f>
        <v/>
      </c>
      <c r="AB380" s="19">
        <f>IF(OR($Z380="",$Z380=6),"",WORKDAY($AA380,CHOOSE($Z380,3,3,2,2,3),Holidays))</f>
        <v/>
      </c>
      <c r="AC380" s="17">
        <f>IF(OR($Z380="",$Z380=6),"",CHOOSE($Z380,"1st Email Follow-up","2nd Email Follow-up","Escalate Local Office","Escalate to CBE","Escalate to Roxanne"))</f>
        <v/>
      </c>
    </row>
    <row r="381" spans="13:29">
      <c r="M381" s="14"/>
      <c r="T381" s="16"/>
      <c r="U381" s="17">
        <f>IF(AND(COUNTA($A381:$L381)=0,$N381=""),"",IF($T381="Paid","PAID",IF($T381="Closed","CLOSED",IF($Z381="","",IF($Z381=6,"ESCALATED TO ROXANNE",IF(TODAY()&gt;$AB381,"OVERDUE",IF($AB381&lt;=WORKDAY(TODAY(),1,Holidays),"DUE TOMORROW",IF($Z381=4,"ESCALATED TO LOCAL OFFICE",IF($Z381=5,"ESCALATED TO CBE",IF($AA381=TODAY(),"EMAIL SENT","MONITORING"))))))))))</f>
        <v/>
      </c>
      <c r="V381" s="17">
        <f>IF($U381="",IF(AND(COUNTA($A381:$L381)&gt;0,$N381=""),"Awaiting Collection Email time stamp.",""),IF(OR($U381="PAID",$U381="CLOSED"),IF($U381="PAID","Account paid. Action completed.","Account closed. No further action required."),CHOOSE($Z381,"Collection Email","1st Email Follow-up","2nd Email Follow-up","Escalation to Local Office","Escalation to CBE","Escalation to Roxanne")&amp;" sent "&amp;TEXT($AA381,"dd-mmm")&amp;". "&amp;IF($Z381=6,"Final escalation completed.",IF($U381="OVERDUE","Next: "&amp;$AC381&amp;" was due "&amp;TEXT($AB381,"dd-mmm")&amp;" - "&amp;(NETWORKDAYS($AB381,TODAY(),Holidays)-1)&amp;" business day(s) late. Send now.",IF($U381="DUE TOMORROW","Next: "&amp;$AC381&amp;IF($AB381&lt;=TODAY()," is due TODAY ("," is due next business day (")&amp;TEXT($AB381,"dd-mmm")&amp;").","Next: "&amp;$AC381&amp;" due "&amp;TEXT($AB381,"dd-mmm")&amp;" ("&amp;(NETWORKDAYS(TODAY(),$AB381,Holidays)-1)&amp;" business day(s) left).")))))</f>
        <v/>
      </c>
      <c r="W381" s="17">
        <f>IF($Z381="","",CHOOSE($Z381,"Collection Email","1st Follow-up","2nd Follow-up","Local Office","CBE","Roxanne")&amp;IF($Z381=6," - Final"," - Day "&amp;MAX(0,NETWORKDAYS($AA381,TODAY(),Holidays)-1)&amp;" of "&amp;CHOOSE($Z381,3,3,2,2,3))&amp;" | Total Day "&amp;MAX(0,NETWORKDAYS($N381,TODAY(),Holidays)-1))</f>
        <v/>
      </c>
      <c r="X381" s="18"/>
      <c r="Y381" s="18"/>
      <c r="Z381" s="17">
        <f>IF($N381="","",COUNT($N381:$S381))</f>
        <v/>
      </c>
      <c r="AA381" s="19">
        <f>IF($Z381="","",INT(INDEX($N381:$S381,$Z381)))</f>
        <v/>
      </c>
      <c r="AB381" s="19">
        <f>IF(OR($Z381="",$Z381=6),"",WORKDAY($AA381,CHOOSE($Z381,3,3,2,2,3),Holidays))</f>
        <v/>
      </c>
      <c r="AC381" s="17">
        <f>IF(OR($Z381="",$Z381=6),"",CHOOSE($Z381,"1st Email Follow-up","2nd Email Follow-up","Escalate Local Office","Escalate to CBE","Escalate to Roxanne"))</f>
        <v/>
      </c>
    </row>
    <row r="382" spans="13:29">
      <c r="M382" s="14"/>
      <c r="T382" s="16"/>
      <c r="U382" s="17">
        <f>IF(AND(COUNTA($A382:$L382)=0,$N382=""),"",IF($T382="Paid","PAID",IF($T382="Closed","CLOSED",IF($Z382="","",IF($Z382=6,"ESCALATED TO ROXANNE",IF(TODAY()&gt;$AB382,"OVERDUE",IF($AB382&lt;=WORKDAY(TODAY(),1,Holidays),"DUE TOMORROW",IF($Z382=4,"ESCALATED TO LOCAL OFFICE",IF($Z382=5,"ESCALATED TO CBE",IF($AA382=TODAY(),"EMAIL SENT","MONITORING"))))))))))</f>
        <v/>
      </c>
      <c r="V382" s="17">
        <f>IF($U382="",IF(AND(COUNTA($A382:$L382)&gt;0,$N382=""),"Awaiting Collection Email time stamp.",""),IF(OR($U382="PAID",$U382="CLOSED"),IF($U382="PAID","Account paid. Action completed.","Account closed. No further action required."),CHOOSE($Z382,"Collection Email","1st Email Follow-up","2nd Email Follow-up","Escalation to Local Office","Escalation to CBE","Escalation to Roxanne")&amp;" sent "&amp;TEXT($AA382,"dd-mmm")&amp;". "&amp;IF($Z382=6,"Final escalation completed.",IF($U382="OVERDUE","Next: "&amp;$AC382&amp;" was due "&amp;TEXT($AB382,"dd-mmm")&amp;" - "&amp;(NETWORKDAYS($AB382,TODAY(),Holidays)-1)&amp;" business day(s) late. Send now.",IF($U382="DUE TOMORROW","Next: "&amp;$AC382&amp;IF($AB382&lt;=TODAY()," is due TODAY ("," is due next business day (")&amp;TEXT($AB382,"dd-mmm")&amp;").","Next: "&amp;$AC382&amp;" due "&amp;TEXT($AB382,"dd-mmm")&amp;" ("&amp;(NETWORKDAYS(TODAY(),$AB382,Holidays)-1)&amp;" business day(s) left).")))))</f>
        <v/>
      </c>
      <c r="W382" s="17">
        <f>IF($Z382="","",CHOOSE($Z382,"Collection Email","1st Follow-up","2nd Follow-up","Local Office","CBE","Roxanne")&amp;IF($Z382=6," - Final"," - Day "&amp;MAX(0,NETWORKDAYS($AA382,TODAY(),Holidays)-1)&amp;" of "&amp;CHOOSE($Z382,3,3,2,2,3))&amp;" | Total Day "&amp;MAX(0,NETWORKDAYS($N382,TODAY(),Holidays)-1))</f>
        <v/>
      </c>
      <c r="X382" s="18"/>
      <c r="Y382" s="18"/>
      <c r="Z382" s="17">
        <f>IF($N382="","",COUNT($N382:$S382))</f>
        <v/>
      </c>
      <c r="AA382" s="19">
        <f>IF($Z382="","",INT(INDEX($N382:$S382,$Z382)))</f>
        <v/>
      </c>
      <c r="AB382" s="19">
        <f>IF(OR($Z382="",$Z382=6),"",WORKDAY($AA382,CHOOSE($Z382,3,3,2,2,3),Holidays))</f>
        <v/>
      </c>
      <c r="AC382" s="17">
        <f>IF(OR($Z382="",$Z382=6),"",CHOOSE($Z382,"1st Email Follow-up","2nd Email Follow-up","Escalate Local Office","Escalate to CBE","Escalate to Roxanne"))</f>
        <v/>
      </c>
    </row>
    <row r="383" spans="13:29">
      <c r="M383" s="14"/>
      <c r="T383" s="16"/>
      <c r="U383" s="17">
        <f>IF(AND(COUNTA($A383:$L383)=0,$N383=""),"",IF($T383="Paid","PAID",IF($T383="Closed","CLOSED",IF($Z383="","",IF($Z383=6,"ESCALATED TO ROXANNE",IF(TODAY()&gt;$AB383,"OVERDUE",IF($AB383&lt;=WORKDAY(TODAY(),1,Holidays),"DUE TOMORROW",IF($Z383=4,"ESCALATED TO LOCAL OFFICE",IF($Z383=5,"ESCALATED TO CBE",IF($AA383=TODAY(),"EMAIL SENT","MONITORING"))))))))))</f>
        <v/>
      </c>
      <c r="V383" s="17">
        <f>IF($U383="",IF(AND(COUNTA($A383:$L383)&gt;0,$N383=""),"Awaiting Collection Email time stamp.",""),IF(OR($U383="PAID",$U383="CLOSED"),IF($U383="PAID","Account paid. Action completed.","Account closed. No further action required."),CHOOSE($Z383,"Collection Email","1st Email Follow-up","2nd Email Follow-up","Escalation to Local Office","Escalation to CBE","Escalation to Roxanne")&amp;" sent "&amp;TEXT($AA383,"dd-mmm")&amp;". "&amp;IF($Z383=6,"Final escalation completed.",IF($U383="OVERDUE","Next: "&amp;$AC383&amp;" was due "&amp;TEXT($AB383,"dd-mmm")&amp;" - "&amp;(NETWORKDAYS($AB383,TODAY(),Holidays)-1)&amp;" business day(s) late. Send now.",IF($U383="DUE TOMORROW","Next: "&amp;$AC383&amp;IF($AB383&lt;=TODAY()," is due TODAY ("," is due next business day (")&amp;TEXT($AB383,"dd-mmm")&amp;").","Next: "&amp;$AC383&amp;" due "&amp;TEXT($AB383,"dd-mmm")&amp;" ("&amp;(NETWORKDAYS(TODAY(),$AB383,Holidays)-1)&amp;" business day(s) left).")))))</f>
        <v/>
      </c>
      <c r="W383" s="17">
        <f>IF($Z383="","",CHOOSE($Z383,"Collection Email","1st Follow-up","2nd Follow-up","Local Office","CBE","Roxanne")&amp;IF($Z383=6," - Final"," - Day "&amp;MAX(0,NETWORKDAYS($AA383,TODAY(),Holidays)-1)&amp;" of "&amp;CHOOSE($Z383,3,3,2,2,3))&amp;" | Total Day "&amp;MAX(0,NETWORKDAYS($N383,TODAY(),Holidays)-1))</f>
        <v/>
      </c>
      <c r="X383" s="18"/>
      <c r="Y383" s="18"/>
      <c r="Z383" s="17">
        <f>IF($N383="","",COUNT($N383:$S383))</f>
        <v/>
      </c>
      <c r="AA383" s="19">
        <f>IF($Z383="","",INT(INDEX($N383:$S383,$Z383)))</f>
        <v/>
      </c>
      <c r="AB383" s="19">
        <f>IF(OR($Z383="",$Z383=6),"",WORKDAY($AA383,CHOOSE($Z383,3,3,2,2,3),Holidays))</f>
        <v/>
      </c>
      <c r="AC383" s="17">
        <f>IF(OR($Z383="",$Z383=6),"",CHOOSE($Z383,"1st Email Follow-up","2nd Email Follow-up","Escalate Local Office","Escalate to CBE","Escalate to Roxanne"))</f>
        <v/>
      </c>
    </row>
    <row r="384" spans="13:29">
      <c r="M384" s="14"/>
      <c r="T384" s="16"/>
      <c r="U384" s="17">
        <f>IF(AND(COUNTA($A384:$L384)=0,$N384=""),"",IF($T384="Paid","PAID",IF($T384="Closed","CLOSED",IF($Z384="","",IF($Z384=6,"ESCALATED TO ROXANNE",IF(TODAY()&gt;$AB384,"OVERDUE",IF($AB384&lt;=WORKDAY(TODAY(),1,Holidays),"DUE TOMORROW",IF($Z384=4,"ESCALATED TO LOCAL OFFICE",IF($Z384=5,"ESCALATED TO CBE",IF($AA384=TODAY(),"EMAIL SENT","MONITORING"))))))))))</f>
        <v/>
      </c>
      <c r="V384" s="17">
        <f>IF($U384="",IF(AND(COUNTA($A384:$L384)&gt;0,$N384=""),"Awaiting Collection Email time stamp.",""),IF(OR($U384="PAID",$U384="CLOSED"),IF($U384="PAID","Account paid. Action completed.","Account closed. No further action required."),CHOOSE($Z384,"Collection Email","1st Email Follow-up","2nd Email Follow-up","Escalation to Local Office","Escalation to CBE","Escalation to Roxanne")&amp;" sent "&amp;TEXT($AA384,"dd-mmm")&amp;". "&amp;IF($Z384=6,"Final escalation completed.",IF($U384="OVERDUE","Next: "&amp;$AC384&amp;" was due "&amp;TEXT($AB384,"dd-mmm")&amp;" - "&amp;(NETWORKDAYS($AB384,TODAY(),Holidays)-1)&amp;" business day(s) late. Send now.",IF($U384="DUE TOMORROW","Next: "&amp;$AC384&amp;IF($AB384&lt;=TODAY()," is due TODAY ("," is due next business day (")&amp;TEXT($AB384,"dd-mmm")&amp;").","Next: "&amp;$AC384&amp;" due "&amp;TEXT($AB384,"dd-mmm")&amp;" ("&amp;(NETWORKDAYS(TODAY(),$AB384,Holidays)-1)&amp;" business day(s) left).")))))</f>
        <v/>
      </c>
      <c r="W384" s="17">
        <f>IF($Z384="","",CHOOSE($Z384,"Collection Email","1st Follow-up","2nd Follow-up","Local Office","CBE","Roxanne")&amp;IF($Z384=6," - Final"," - Day "&amp;MAX(0,NETWORKDAYS($AA384,TODAY(),Holidays)-1)&amp;" of "&amp;CHOOSE($Z384,3,3,2,2,3))&amp;" | Total Day "&amp;MAX(0,NETWORKDAYS($N384,TODAY(),Holidays)-1))</f>
        <v/>
      </c>
      <c r="X384" s="18"/>
      <c r="Y384" s="18"/>
      <c r="Z384" s="17">
        <f>IF($N384="","",COUNT($N384:$S384))</f>
        <v/>
      </c>
      <c r="AA384" s="19">
        <f>IF($Z384="","",INT(INDEX($N384:$S384,$Z384)))</f>
        <v/>
      </c>
      <c r="AB384" s="19">
        <f>IF(OR($Z384="",$Z384=6),"",WORKDAY($AA384,CHOOSE($Z384,3,3,2,2,3),Holidays))</f>
        <v/>
      </c>
      <c r="AC384" s="17">
        <f>IF(OR($Z384="",$Z384=6),"",CHOOSE($Z384,"1st Email Follow-up","2nd Email Follow-up","Escalate Local Office","Escalate to CBE","Escalate to Roxanne"))</f>
        <v/>
      </c>
    </row>
    <row r="385" spans="13:29">
      <c r="M385" s="14"/>
      <c r="T385" s="16"/>
      <c r="U385" s="17">
        <f>IF(AND(COUNTA($A385:$L385)=0,$N385=""),"",IF($T385="Paid","PAID",IF($T385="Closed","CLOSED",IF($Z385="","",IF($Z385=6,"ESCALATED TO ROXANNE",IF(TODAY()&gt;$AB385,"OVERDUE",IF($AB385&lt;=WORKDAY(TODAY(),1,Holidays),"DUE TOMORROW",IF($Z385=4,"ESCALATED TO LOCAL OFFICE",IF($Z385=5,"ESCALATED TO CBE",IF($AA385=TODAY(),"EMAIL SENT","MONITORING"))))))))))</f>
        <v/>
      </c>
      <c r="V385" s="17">
        <f>IF($U385="",IF(AND(COUNTA($A385:$L385)&gt;0,$N385=""),"Awaiting Collection Email time stamp.",""),IF(OR($U385="PAID",$U385="CLOSED"),IF($U385="PAID","Account paid. Action completed.","Account closed. No further action required."),CHOOSE($Z385,"Collection Email","1st Email Follow-up","2nd Email Follow-up","Escalation to Local Office","Escalation to CBE","Escalation to Roxanne")&amp;" sent "&amp;TEXT($AA385,"dd-mmm")&amp;". "&amp;IF($Z385=6,"Final escalation completed.",IF($U385="OVERDUE","Next: "&amp;$AC385&amp;" was due "&amp;TEXT($AB385,"dd-mmm")&amp;" - "&amp;(NETWORKDAYS($AB385,TODAY(),Holidays)-1)&amp;" business day(s) late. Send now.",IF($U385="DUE TOMORROW","Next: "&amp;$AC385&amp;IF($AB385&lt;=TODAY()," is due TODAY ("," is due next business day (")&amp;TEXT($AB385,"dd-mmm")&amp;").","Next: "&amp;$AC385&amp;" due "&amp;TEXT($AB385,"dd-mmm")&amp;" ("&amp;(NETWORKDAYS(TODAY(),$AB385,Holidays)-1)&amp;" business day(s) left).")))))</f>
        <v/>
      </c>
      <c r="W385" s="17">
        <f>IF($Z385="","",CHOOSE($Z385,"Collection Email","1st Follow-up","2nd Follow-up","Local Office","CBE","Roxanne")&amp;IF($Z385=6," - Final"," - Day "&amp;MAX(0,NETWORKDAYS($AA385,TODAY(),Holidays)-1)&amp;" of "&amp;CHOOSE($Z385,3,3,2,2,3))&amp;" | Total Day "&amp;MAX(0,NETWORKDAYS($N385,TODAY(),Holidays)-1))</f>
        <v/>
      </c>
      <c r="X385" s="18"/>
      <c r="Y385" s="18"/>
      <c r="Z385" s="17">
        <f>IF($N385="","",COUNT($N385:$S385))</f>
        <v/>
      </c>
      <c r="AA385" s="19">
        <f>IF($Z385="","",INT(INDEX($N385:$S385,$Z385)))</f>
        <v/>
      </c>
      <c r="AB385" s="19">
        <f>IF(OR($Z385="",$Z385=6),"",WORKDAY($AA385,CHOOSE($Z385,3,3,2,2,3),Holidays))</f>
        <v/>
      </c>
      <c r="AC385" s="17">
        <f>IF(OR($Z385="",$Z385=6),"",CHOOSE($Z385,"1st Email Follow-up","2nd Email Follow-up","Escalate Local Office","Escalate to CBE","Escalate to Roxanne"))</f>
        <v/>
      </c>
    </row>
    <row r="386" spans="13:29">
      <c r="M386" s="14"/>
      <c r="T386" s="16"/>
      <c r="U386" s="17">
        <f>IF(AND(COUNTA($A386:$L386)=0,$N386=""),"",IF($T386="Paid","PAID",IF($T386="Closed","CLOSED",IF($Z386="","",IF($Z386=6,"ESCALATED TO ROXANNE",IF(TODAY()&gt;$AB386,"OVERDUE",IF($AB386&lt;=WORKDAY(TODAY(),1,Holidays),"DUE TOMORROW",IF($Z386=4,"ESCALATED TO LOCAL OFFICE",IF($Z386=5,"ESCALATED TO CBE",IF($AA386=TODAY(),"EMAIL SENT","MONITORING"))))))))))</f>
        <v/>
      </c>
      <c r="V386" s="17">
        <f>IF($U386="",IF(AND(COUNTA($A386:$L386)&gt;0,$N386=""),"Awaiting Collection Email time stamp.",""),IF(OR($U386="PAID",$U386="CLOSED"),IF($U386="PAID","Account paid. Action completed.","Account closed. No further action required."),CHOOSE($Z386,"Collection Email","1st Email Follow-up","2nd Email Follow-up","Escalation to Local Office","Escalation to CBE","Escalation to Roxanne")&amp;" sent "&amp;TEXT($AA386,"dd-mmm")&amp;". "&amp;IF($Z386=6,"Final escalation completed.",IF($U386="OVERDUE","Next: "&amp;$AC386&amp;" was due "&amp;TEXT($AB386,"dd-mmm")&amp;" - "&amp;(NETWORKDAYS($AB386,TODAY(),Holidays)-1)&amp;" business day(s) late. Send now.",IF($U386="DUE TOMORROW","Next: "&amp;$AC386&amp;IF($AB386&lt;=TODAY()," is due TODAY ("," is due next business day (")&amp;TEXT($AB386,"dd-mmm")&amp;").","Next: "&amp;$AC386&amp;" due "&amp;TEXT($AB386,"dd-mmm")&amp;" ("&amp;(NETWORKDAYS(TODAY(),$AB386,Holidays)-1)&amp;" business day(s) left).")))))</f>
        <v/>
      </c>
      <c r="W386" s="17">
        <f>IF($Z386="","",CHOOSE($Z386,"Collection Email","1st Follow-up","2nd Follow-up","Local Office","CBE","Roxanne")&amp;IF($Z386=6," - Final"," - Day "&amp;MAX(0,NETWORKDAYS($AA386,TODAY(),Holidays)-1)&amp;" of "&amp;CHOOSE($Z386,3,3,2,2,3))&amp;" | Total Day "&amp;MAX(0,NETWORKDAYS($N386,TODAY(),Holidays)-1))</f>
        <v/>
      </c>
      <c r="X386" s="18"/>
      <c r="Y386" s="18"/>
      <c r="Z386" s="17">
        <f>IF($N386="","",COUNT($N386:$S386))</f>
        <v/>
      </c>
      <c r="AA386" s="19">
        <f>IF($Z386="","",INT(INDEX($N386:$S386,$Z386)))</f>
        <v/>
      </c>
      <c r="AB386" s="19">
        <f>IF(OR($Z386="",$Z386=6),"",WORKDAY($AA386,CHOOSE($Z386,3,3,2,2,3),Holidays))</f>
        <v/>
      </c>
      <c r="AC386" s="17">
        <f>IF(OR($Z386="",$Z386=6),"",CHOOSE($Z386,"1st Email Follow-up","2nd Email Follow-up","Escalate Local Office","Escalate to CBE","Escalate to Roxanne"))</f>
        <v/>
      </c>
    </row>
    <row r="387" spans="13:29">
      <c r="M387" s="14"/>
      <c r="T387" s="16"/>
      <c r="U387" s="17">
        <f>IF(AND(COUNTA($A387:$L387)=0,$N387=""),"",IF($T387="Paid","PAID",IF($T387="Closed","CLOSED",IF($Z387="","",IF($Z387=6,"ESCALATED TO ROXANNE",IF(TODAY()&gt;$AB387,"OVERDUE",IF($AB387&lt;=WORKDAY(TODAY(),1,Holidays),"DUE TOMORROW",IF($Z387=4,"ESCALATED TO LOCAL OFFICE",IF($Z387=5,"ESCALATED TO CBE",IF($AA387=TODAY(),"EMAIL SENT","MONITORING"))))))))))</f>
        <v/>
      </c>
      <c r="V387" s="17">
        <f>IF($U387="",IF(AND(COUNTA($A387:$L387)&gt;0,$N387=""),"Awaiting Collection Email time stamp.",""),IF(OR($U387="PAID",$U387="CLOSED"),IF($U387="PAID","Account paid. Action completed.","Account closed. No further action required."),CHOOSE($Z387,"Collection Email","1st Email Follow-up","2nd Email Follow-up","Escalation to Local Office","Escalation to CBE","Escalation to Roxanne")&amp;" sent "&amp;TEXT($AA387,"dd-mmm")&amp;". "&amp;IF($Z387=6,"Final escalation completed.",IF($U387="OVERDUE","Next: "&amp;$AC387&amp;" was due "&amp;TEXT($AB387,"dd-mmm")&amp;" - "&amp;(NETWORKDAYS($AB387,TODAY(),Holidays)-1)&amp;" business day(s) late. Send now.",IF($U387="DUE TOMORROW","Next: "&amp;$AC387&amp;IF($AB387&lt;=TODAY()," is due TODAY ("," is due next business day (")&amp;TEXT($AB387,"dd-mmm")&amp;").","Next: "&amp;$AC387&amp;" due "&amp;TEXT($AB387,"dd-mmm")&amp;" ("&amp;(NETWORKDAYS(TODAY(),$AB387,Holidays)-1)&amp;" business day(s) left).")))))</f>
        <v/>
      </c>
      <c r="W387" s="17">
        <f>IF($Z387="","",CHOOSE($Z387,"Collection Email","1st Follow-up","2nd Follow-up","Local Office","CBE","Roxanne")&amp;IF($Z387=6," - Final"," - Day "&amp;MAX(0,NETWORKDAYS($AA387,TODAY(),Holidays)-1)&amp;" of "&amp;CHOOSE($Z387,3,3,2,2,3))&amp;" | Total Day "&amp;MAX(0,NETWORKDAYS($N387,TODAY(),Holidays)-1))</f>
        <v/>
      </c>
      <c r="X387" s="18"/>
      <c r="Y387" s="18"/>
      <c r="Z387" s="17">
        <f>IF($N387="","",COUNT($N387:$S387))</f>
        <v/>
      </c>
      <c r="AA387" s="19">
        <f>IF($Z387="","",INT(INDEX($N387:$S387,$Z387)))</f>
        <v/>
      </c>
      <c r="AB387" s="19">
        <f>IF(OR($Z387="",$Z387=6),"",WORKDAY($AA387,CHOOSE($Z387,3,3,2,2,3),Holidays))</f>
        <v/>
      </c>
      <c r="AC387" s="17">
        <f>IF(OR($Z387="",$Z387=6),"",CHOOSE($Z387,"1st Email Follow-up","2nd Email Follow-up","Escalate Local Office","Escalate to CBE","Escalate to Roxanne"))</f>
        <v/>
      </c>
    </row>
    <row r="388" spans="13:29">
      <c r="M388" s="14"/>
      <c r="T388" s="16"/>
      <c r="U388" s="17">
        <f>IF(AND(COUNTA($A388:$L388)=0,$N388=""),"",IF($T388="Paid","PAID",IF($T388="Closed","CLOSED",IF($Z388="","",IF($Z388=6,"ESCALATED TO ROXANNE",IF(TODAY()&gt;$AB388,"OVERDUE",IF($AB388&lt;=WORKDAY(TODAY(),1,Holidays),"DUE TOMORROW",IF($Z388=4,"ESCALATED TO LOCAL OFFICE",IF($Z388=5,"ESCALATED TO CBE",IF($AA388=TODAY(),"EMAIL SENT","MONITORING"))))))))))</f>
        <v/>
      </c>
      <c r="V388" s="17">
        <f>IF($U388="",IF(AND(COUNTA($A388:$L388)&gt;0,$N388=""),"Awaiting Collection Email time stamp.",""),IF(OR($U388="PAID",$U388="CLOSED"),IF($U388="PAID","Account paid. Action completed.","Account closed. No further action required."),CHOOSE($Z388,"Collection Email","1st Email Follow-up","2nd Email Follow-up","Escalation to Local Office","Escalation to CBE","Escalation to Roxanne")&amp;" sent "&amp;TEXT($AA388,"dd-mmm")&amp;". "&amp;IF($Z388=6,"Final escalation completed.",IF($U388="OVERDUE","Next: "&amp;$AC388&amp;" was due "&amp;TEXT($AB388,"dd-mmm")&amp;" - "&amp;(NETWORKDAYS($AB388,TODAY(),Holidays)-1)&amp;" business day(s) late. Send now.",IF($U388="DUE TOMORROW","Next: "&amp;$AC388&amp;IF($AB388&lt;=TODAY()," is due TODAY ("," is due next business day (")&amp;TEXT($AB388,"dd-mmm")&amp;").","Next: "&amp;$AC388&amp;" due "&amp;TEXT($AB388,"dd-mmm")&amp;" ("&amp;(NETWORKDAYS(TODAY(),$AB388,Holidays)-1)&amp;" business day(s) left).")))))</f>
        <v/>
      </c>
      <c r="W388" s="17">
        <f>IF($Z388="","",CHOOSE($Z388,"Collection Email","1st Follow-up","2nd Follow-up","Local Office","CBE","Roxanne")&amp;IF($Z388=6," - Final"," - Day "&amp;MAX(0,NETWORKDAYS($AA388,TODAY(),Holidays)-1)&amp;" of "&amp;CHOOSE($Z388,3,3,2,2,3))&amp;" | Total Day "&amp;MAX(0,NETWORKDAYS($N388,TODAY(),Holidays)-1))</f>
        <v/>
      </c>
      <c r="X388" s="18"/>
      <c r="Y388" s="18"/>
      <c r="Z388" s="17">
        <f>IF($N388="","",COUNT($N388:$S388))</f>
        <v/>
      </c>
      <c r="AA388" s="19">
        <f>IF($Z388="","",INT(INDEX($N388:$S388,$Z388)))</f>
        <v/>
      </c>
      <c r="AB388" s="19">
        <f>IF(OR($Z388="",$Z388=6),"",WORKDAY($AA388,CHOOSE($Z388,3,3,2,2,3),Holidays))</f>
        <v/>
      </c>
      <c r="AC388" s="17">
        <f>IF(OR($Z388="",$Z388=6),"",CHOOSE($Z388,"1st Email Follow-up","2nd Email Follow-up","Escalate Local Office","Escalate to CBE","Escalate to Roxanne"))</f>
        <v/>
      </c>
    </row>
    <row r="389" spans="13:29">
      <c r="M389" s="14"/>
      <c r="T389" s="16"/>
      <c r="U389" s="17">
        <f>IF(AND(COUNTA($A389:$L389)=0,$N389=""),"",IF($T389="Paid","PAID",IF($T389="Closed","CLOSED",IF($Z389="","",IF($Z389=6,"ESCALATED TO ROXANNE",IF(TODAY()&gt;$AB389,"OVERDUE",IF($AB389&lt;=WORKDAY(TODAY(),1,Holidays),"DUE TOMORROW",IF($Z389=4,"ESCALATED TO LOCAL OFFICE",IF($Z389=5,"ESCALATED TO CBE",IF($AA389=TODAY(),"EMAIL SENT","MONITORING"))))))))))</f>
        <v/>
      </c>
      <c r="V389" s="17">
        <f>IF($U389="",IF(AND(COUNTA($A389:$L389)&gt;0,$N389=""),"Awaiting Collection Email time stamp.",""),IF(OR($U389="PAID",$U389="CLOSED"),IF($U389="PAID","Account paid. Action completed.","Account closed. No further action required."),CHOOSE($Z389,"Collection Email","1st Email Follow-up","2nd Email Follow-up","Escalation to Local Office","Escalation to CBE","Escalation to Roxanne")&amp;" sent "&amp;TEXT($AA389,"dd-mmm")&amp;". "&amp;IF($Z389=6,"Final escalation completed.",IF($U389="OVERDUE","Next: "&amp;$AC389&amp;" was due "&amp;TEXT($AB389,"dd-mmm")&amp;" - "&amp;(NETWORKDAYS($AB389,TODAY(),Holidays)-1)&amp;" business day(s) late. Send now.",IF($U389="DUE TOMORROW","Next: "&amp;$AC389&amp;IF($AB389&lt;=TODAY()," is due TODAY ("," is due next business day (")&amp;TEXT($AB389,"dd-mmm")&amp;").","Next: "&amp;$AC389&amp;" due "&amp;TEXT($AB389,"dd-mmm")&amp;" ("&amp;(NETWORKDAYS(TODAY(),$AB389,Holidays)-1)&amp;" business day(s) left).")))))</f>
        <v/>
      </c>
      <c r="W389" s="17">
        <f>IF($Z389="","",CHOOSE($Z389,"Collection Email","1st Follow-up","2nd Follow-up","Local Office","CBE","Roxanne")&amp;IF($Z389=6," - Final"," - Day "&amp;MAX(0,NETWORKDAYS($AA389,TODAY(),Holidays)-1)&amp;" of "&amp;CHOOSE($Z389,3,3,2,2,3))&amp;" | Total Day "&amp;MAX(0,NETWORKDAYS($N389,TODAY(),Holidays)-1))</f>
        <v/>
      </c>
      <c r="X389" s="18"/>
      <c r="Y389" s="18"/>
      <c r="Z389" s="17">
        <f>IF($N389="","",COUNT($N389:$S389))</f>
        <v/>
      </c>
      <c r="AA389" s="19">
        <f>IF($Z389="","",INT(INDEX($N389:$S389,$Z389)))</f>
        <v/>
      </c>
      <c r="AB389" s="19">
        <f>IF(OR($Z389="",$Z389=6),"",WORKDAY($AA389,CHOOSE($Z389,3,3,2,2,3),Holidays))</f>
        <v/>
      </c>
      <c r="AC389" s="17">
        <f>IF(OR($Z389="",$Z389=6),"",CHOOSE($Z389,"1st Email Follow-up","2nd Email Follow-up","Escalate Local Office","Escalate to CBE","Escalate to Roxanne"))</f>
        <v/>
      </c>
    </row>
    <row r="390" spans="13:29">
      <c r="M390" s="14"/>
      <c r="T390" s="16"/>
      <c r="U390" s="17">
        <f>IF(AND(COUNTA($A390:$L390)=0,$N390=""),"",IF($T390="Paid","PAID",IF($T390="Closed","CLOSED",IF($Z390="","",IF($Z390=6,"ESCALATED TO ROXANNE",IF(TODAY()&gt;$AB390,"OVERDUE",IF($AB390&lt;=WORKDAY(TODAY(),1,Holidays),"DUE TOMORROW",IF($Z390=4,"ESCALATED TO LOCAL OFFICE",IF($Z390=5,"ESCALATED TO CBE",IF($AA390=TODAY(),"EMAIL SENT","MONITORING"))))))))))</f>
        <v/>
      </c>
      <c r="V390" s="17">
        <f>IF($U390="",IF(AND(COUNTA($A390:$L390)&gt;0,$N390=""),"Awaiting Collection Email time stamp.",""),IF(OR($U390="PAID",$U390="CLOSED"),IF($U390="PAID","Account paid. Action completed.","Account closed. No further action required."),CHOOSE($Z390,"Collection Email","1st Email Follow-up","2nd Email Follow-up","Escalation to Local Office","Escalation to CBE","Escalation to Roxanne")&amp;" sent "&amp;TEXT($AA390,"dd-mmm")&amp;". "&amp;IF($Z390=6,"Final escalation completed.",IF($U390="OVERDUE","Next: "&amp;$AC390&amp;" was due "&amp;TEXT($AB390,"dd-mmm")&amp;" - "&amp;(NETWORKDAYS($AB390,TODAY(),Holidays)-1)&amp;" business day(s) late. Send now.",IF($U390="DUE TOMORROW","Next: "&amp;$AC390&amp;IF($AB390&lt;=TODAY()," is due TODAY ("," is due next business day (")&amp;TEXT($AB390,"dd-mmm")&amp;").","Next: "&amp;$AC390&amp;" due "&amp;TEXT($AB390,"dd-mmm")&amp;" ("&amp;(NETWORKDAYS(TODAY(),$AB390,Holidays)-1)&amp;" business day(s) left).")))))</f>
        <v/>
      </c>
      <c r="W390" s="17">
        <f>IF($Z390="","",CHOOSE($Z390,"Collection Email","1st Follow-up","2nd Follow-up","Local Office","CBE","Roxanne")&amp;IF($Z390=6," - Final"," - Day "&amp;MAX(0,NETWORKDAYS($AA390,TODAY(),Holidays)-1)&amp;" of "&amp;CHOOSE($Z390,3,3,2,2,3))&amp;" | Total Day "&amp;MAX(0,NETWORKDAYS($N390,TODAY(),Holidays)-1))</f>
        <v/>
      </c>
      <c r="X390" s="18"/>
      <c r="Y390" s="18"/>
      <c r="Z390" s="17">
        <f>IF($N390="","",COUNT($N390:$S390))</f>
        <v/>
      </c>
      <c r="AA390" s="19">
        <f>IF($Z390="","",INT(INDEX($N390:$S390,$Z390)))</f>
        <v/>
      </c>
      <c r="AB390" s="19">
        <f>IF(OR($Z390="",$Z390=6),"",WORKDAY($AA390,CHOOSE($Z390,3,3,2,2,3),Holidays))</f>
        <v/>
      </c>
      <c r="AC390" s="17">
        <f>IF(OR($Z390="",$Z390=6),"",CHOOSE($Z390,"1st Email Follow-up","2nd Email Follow-up","Escalate Local Office","Escalate to CBE","Escalate to Roxanne"))</f>
        <v/>
      </c>
    </row>
    <row r="391" spans="13:29">
      <c r="M391" s="14"/>
      <c r="T391" s="16"/>
      <c r="U391" s="17">
        <f>IF(AND(COUNTA($A391:$L391)=0,$N391=""),"",IF($T391="Paid","PAID",IF($T391="Closed","CLOSED",IF($Z391="","",IF($Z391=6,"ESCALATED TO ROXANNE",IF(TODAY()&gt;$AB391,"OVERDUE",IF($AB391&lt;=WORKDAY(TODAY(),1,Holidays),"DUE TOMORROW",IF($Z391=4,"ESCALATED TO LOCAL OFFICE",IF($Z391=5,"ESCALATED TO CBE",IF($AA391=TODAY(),"EMAIL SENT","MONITORING"))))))))))</f>
        <v/>
      </c>
      <c r="V391" s="17">
        <f>IF($U391="",IF(AND(COUNTA($A391:$L391)&gt;0,$N391=""),"Awaiting Collection Email time stamp.",""),IF(OR($U391="PAID",$U391="CLOSED"),IF($U391="PAID","Account paid. Action completed.","Account closed. No further action required."),CHOOSE($Z391,"Collection Email","1st Email Follow-up","2nd Email Follow-up","Escalation to Local Office","Escalation to CBE","Escalation to Roxanne")&amp;" sent "&amp;TEXT($AA391,"dd-mmm")&amp;". "&amp;IF($Z391=6,"Final escalation completed.",IF($U391="OVERDUE","Next: "&amp;$AC391&amp;" was due "&amp;TEXT($AB391,"dd-mmm")&amp;" - "&amp;(NETWORKDAYS($AB391,TODAY(),Holidays)-1)&amp;" business day(s) late. Send now.",IF($U391="DUE TOMORROW","Next: "&amp;$AC391&amp;IF($AB391&lt;=TODAY()," is due TODAY ("," is due next business day (")&amp;TEXT($AB391,"dd-mmm")&amp;").","Next: "&amp;$AC391&amp;" due "&amp;TEXT($AB391,"dd-mmm")&amp;" ("&amp;(NETWORKDAYS(TODAY(),$AB391,Holidays)-1)&amp;" business day(s) left).")))))</f>
        <v/>
      </c>
      <c r="W391" s="17">
        <f>IF($Z391="","",CHOOSE($Z391,"Collection Email","1st Follow-up","2nd Follow-up","Local Office","CBE","Roxanne")&amp;IF($Z391=6," - Final"," - Day "&amp;MAX(0,NETWORKDAYS($AA391,TODAY(),Holidays)-1)&amp;" of "&amp;CHOOSE($Z391,3,3,2,2,3))&amp;" | Total Day "&amp;MAX(0,NETWORKDAYS($N391,TODAY(),Holidays)-1))</f>
        <v/>
      </c>
      <c r="X391" s="18"/>
      <c r="Y391" s="18"/>
      <c r="Z391" s="17">
        <f>IF($N391="","",COUNT($N391:$S391))</f>
        <v/>
      </c>
      <c r="AA391" s="19">
        <f>IF($Z391="","",INT(INDEX($N391:$S391,$Z391)))</f>
        <v/>
      </c>
      <c r="AB391" s="19">
        <f>IF(OR($Z391="",$Z391=6),"",WORKDAY($AA391,CHOOSE($Z391,3,3,2,2,3),Holidays))</f>
        <v/>
      </c>
      <c r="AC391" s="17">
        <f>IF(OR($Z391="",$Z391=6),"",CHOOSE($Z391,"1st Email Follow-up","2nd Email Follow-up","Escalate Local Office","Escalate to CBE","Escalate to Roxanne"))</f>
        <v/>
      </c>
    </row>
    <row r="392" spans="13:29">
      <c r="M392" s="14"/>
      <c r="T392" s="16"/>
      <c r="U392" s="17">
        <f>IF(AND(COUNTA($A392:$L392)=0,$N392=""),"",IF($T392="Paid","PAID",IF($T392="Closed","CLOSED",IF($Z392="","",IF($Z392=6,"ESCALATED TO ROXANNE",IF(TODAY()&gt;$AB392,"OVERDUE",IF($AB392&lt;=WORKDAY(TODAY(),1,Holidays),"DUE TOMORROW",IF($Z392=4,"ESCALATED TO LOCAL OFFICE",IF($Z392=5,"ESCALATED TO CBE",IF($AA392=TODAY(),"EMAIL SENT","MONITORING"))))))))))</f>
        <v/>
      </c>
      <c r="V392" s="17">
        <f>IF($U392="",IF(AND(COUNTA($A392:$L392)&gt;0,$N392=""),"Awaiting Collection Email time stamp.",""),IF(OR($U392="PAID",$U392="CLOSED"),IF($U392="PAID","Account paid. Action completed.","Account closed. No further action required."),CHOOSE($Z392,"Collection Email","1st Email Follow-up","2nd Email Follow-up","Escalation to Local Office","Escalation to CBE","Escalation to Roxanne")&amp;" sent "&amp;TEXT($AA392,"dd-mmm")&amp;". "&amp;IF($Z392=6,"Final escalation completed.",IF($U392="OVERDUE","Next: "&amp;$AC392&amp;" was due "&amp;TEXT($AB392,"dd-mmm")&amp;" - "&amp;(NETWORKDAYS($AB392,TODAY(),Holidays)-1)&amp;" business day(s) late. Send now.",IF($U392="DUE TOMORROW","Next: "&amp;$AC392&amp;IF($AB392&lt;=TODAY()," is due TODAY ("," is due next business day (")&amp;TEXT($AB392,"dd-mmm")&amp;").","Next: "&amp;$AC392&amp;" due "&amp;TEXT($AB392,"dd-mmm")&amp;" ("&amp;(NETWORKDAYS(TODAY(),$AB392,Holidays)-1)&amp;" business day(s) left).")))))</f>
        <v/>
      </c>
      <c r="W392" s="17">
        <f>IF($Z392="","",CHOOSE($Z392,"Collection Email","1st Follow-up","2nd Follow-up","Local Office","CBE","Roxanne")&amp;IF($Z392=6," - Final"," - Day "&amp;MAX(0,NETWORKDAYS($AA392,TODAY(),Holidays)-1)&amp;" of "&amp;CHOOSE($Z392,3,3,2,2,3))&amp;" | Total Day "&amp;MAX(0,NETWORKDAYS($N392,TODAY(),Holidays)-1))</f>
        <v/>
      </c>
      <c r="X392" s="18"/>
      <c r="Y392" s="18"/>
      <c r="Z392" s="17">
        <f>IF($N392="","",COUNT($N392:$S392))</f>
        <v/>
      </c>
      <c r="AA392" s="19">
        <f>IF($Z392="","",INT(INDEX($N392:$S392,$Z392)))</f>
        <v/>
      </c>
      <c r="AB392" s="19">
        <f>IF(OR($Z392="",$Z392=6),"",WORKDAY($AA392,CHOOSE($Z392,3,3,2,2,3),Holidays))</f>
        <v/>
      </c>
      <c r="AC392" s="17">
        <f>IF(OR($Z392="",$Z392=6),"",CHOOSE($Z392,"1st Email Follow-up","2nd Email Follow-up","Escalate Local Office","Escalate to CBE","Escalate to Roxanne"))</f>
        <v/>
      </c>
    </row>
    <row r="393" spans="13:29">
      <c r="M393" s="14"/>
      <c r="T393" s="16"/>
      <c r="U393" s="17">
        <f>IF(AND(COUNTA($A393:$L393)=0,$N393=""),"",IF($T393="Paid","PAID",IF($T393="Closed","CLOSED",IF($Z393="","",IF($Z393=6,"ESCALATED TO ROXANNE",IF(TODAY()&gt;$AB393,"OVERDUE",IF($AB393&lt;=WORKDAY(TODAY(),1,Holidays),"DUE TOMORROW",IF($Z393=4,"ESCALATED TO LOCAL OFFICE",IF($Z393=5,"ESCALATED TO CBE",IF($AA393=TODAY(),"EMAIL SENT","MONITORING"))))))))))</f>
        <v/>
      </c>
      <c r="V393" s="17">
        <f>IF($U393="",IF(AND(COUNTA($A393:$L393)&gt;0,$N393=""),"Awaiting Collection Email time stamp.",""),IF(OR($U393="PAID",$U393="CLOSED"),IF($U393="PAID","Account paid. Action completed.","Account closed. No further action required."),CHOOSE($Z393,"Collection Email","1st Email Follow-up","2nd Email Follow-up","Escalation to Local Office","Escalation to CBE","Escalation to Roxanne")&amp;" sent "&amp;TEXT($AA393,"dd-mmm")&amp;". "&amp;IF($Z393=6,"Final escalation completed.",IF($U393="OVERDUE","Next: "&amp;$AC393&amp;" was due "&amp;TEXT($AB393,"dd-mmm")&amp;" - "&amp;(NETWORKDAYS($AB393,TODAY(),Holidays)-1)&amp;" business day(s) late. Send now.",IF($U393="DUE TOMORROW","Next: "&amp;$AC393&amp;IF($AB393&lt;=TODAY()," is due TODAY ("," is due next business day (")&amp;TEXT($AB393,"dd-mmm")&amp;").","Next: "&amp;$AC393&amp;" due "&amp;TEXT($AB393,"dd-mmm")&amp;" ("&amp;(NETWORKDAYS(TODAY(),$AB393,Holidays)-1)&amp;" business day(s) left).")))))</f>
        <v/>
      </c>
      <c r="W393" s="17">
        <f>IF($Z393="","",CHOOSE($Z393,"Collection Email","1st Follow-up","2nd Follow-up","Local Office","CBE","Roxanne")&amp;IF($Z393=6," - Final"," - Day "&amp;MAX(0,NETWORKDAYS($AA393,TODAY(),Holidays)-1)&amp;" of "&amp;CHOOSE($Z393,3,3,2,2,3))&amp;" | Total Day "&amp;MAX(0,NETWORKDAYS($N393,TODAY(),Holidays)-1))</f>
        <v/>
      </c>
      <c r="X393" s="18"/>
      <c r="Y393" s="18"/>
      <c r="Z393" s="17">
        <f>IF($N393="","",COUNT($N393:$S393))</f>
        <v/>
      </c>
      <c r="AA393" s="19">
        <f>IF($Z393="","",INT(INDEX($N393:$S393,$Z393)))</f>
        <v/>
      </c>
      <c r="AB393" s="19">
        <f>IF(OR($Z393="",$Z393=6),"",WORKDAY($AA393,CHOOSE($Z393,3,3,2,2,3),Holidays))</f>
        <v/>
      </c>
      <c r="AC393" s="17">
        <f>IF(OR($Z393="",$Z393=6),"",CHOOSE($Z393,"1st Email Follow-up","2nd Email Follow-up","Escalate Local Office","Escalate to CBE","Escalate to Roxanne"))</f>
        <v/>
      </c>
    </row>
    <row r="394" spans="13:29">
      <c r="M394" s="14"/>
      <c r="T394" s="16"/>
      <c r="U394" s="17">
        <f>IF(AND(COUNTA($A394:$L394)=0,$N394=""),"",IF($T394="Paid","PAID",IF($T394="Closed","CLOSED",IF($Z394="","",IF($Z394=6,"ESCALATED TO ROXANNE",IF(TODAY()&gt;$AB394,"OVERDUE",IF($AB394&lt;=WORKDAY(TODAY(),1,Holidays),"DUE TOMORROW",IF($Z394=4,"ESCALATED TO LOCAL OFFICE",IF($Z394=5,"ESCALATED TO CBE",IF($AA394=TODAY(),"EMAIL SENT","MONITORING"))))))))))</f>
        <v/>
      </c>
      <c r="V394" s="17">
        <f>IF($U394="",IF(AND(COUNTA($A394:$L394)&gt;0,$N394=""),"Awaiting Collection Email time stamp.",""),IF(OR($U394="PAID",$U394="CLOSED"),IF($U394="PAID","Account paid. Action completed.","Account closed. No further action required."),CHOOSE($Z394,"Collection Email","1st Email Follow-up","2nd Email Follow-up","Escalation to Local Office","Escalation to CBE","Escalation to Roxanne")&amp;" sent "&amp;TEXT($AA394,"dd-mmm")&amp;". "&amp;IF($Z394=6,"Final escalation completed.",IF($U394="OVERDUE","Next: "&amp;$AC394&amp;" was due "&amp;TEXT($AB394,"dd-mmm")&amp;" - "&amp;(NETWORKDAYS($AB394,TODAY(),Holidays)-1)&amp;" business day(s) late. Send now.",IF($U394="DUE TOMORROW","Next: "&amp;$AC394&amp;IF($AB394&lt;=TODAY()," is due TODAY ("," is due next business day (")&amp;TEXT($AB394,"dd-mmm")&amp;").","Next: "&amp;$AC394&amp;" due "&amp;TEXT($AB394,"dd-mmm")&amp;" ("&amp;(NETWORKDAYS(TODAY(),$AB394,Holidays)-1)&amp;" business day(s) left).")))))</f>
        <v/>
      </c>
      <c r="W394" s="17">
        <f>IF($Z394="","",CHOOSE($Z394,"Collection Email","1st Follow-up","2nd Follow-up","Local Office","CBE","Roxanne")&amp;IF($Z394=6," - Final"," - Day "&amp;MAX(0,NETWORKDAYS($AA394,TODAY(),Holidays)-1)&amp;" of "&amp;CHOOSE($Z394,3,3,2,2,3))&amp;" | Total Day "&amp;MAX(0,NETWORKDAYS($N394,TODAY(),Holidays)-1))</f>
        <v/>
      </c>
      <c r="X394" s="18"/>
      <c r="Y394" s="18"/>
      <c r="Z394" s="17">
        <f>IF($N394="","",COUNT($N394:$S394))</f>
        <v/>
      </c>
      <c r="AA394" s="19">
        <f>IF($Z394="","",INT(INDEX($N394:$S394,$Z394)))</f>
        <v/>
      </c>
      <c r="AB394" s="19">
        <f>IF(OR($Z394="",$Z394=6),"",WORKDAY($AA394,CHOOSE($Z394,3,3,2,2,3),Holidays))</f>
        <v/>
      </c>
      <c r="AC394" s="17">
        <f>IF(OR($Z394="",$Z394=6),"",CHOOSE($Z394,"1st Email Follow-up","2nd Email Follow-up","Escalate Local Office","Escalate to CBE","Escalate to Roxanne"))</f>
        <v/>
      </c>
    </row>
    <row r="395" spans="13:29">
      <c r="M395" s="14"/>
      <c r="T395" s="16"/>
      <c r="U395" s="17">
        <f>IF(AND(COUNTA($A395:$L395)=0,$N395=""),"",IF($T395="Paid","PAID",IF($T395="Closed","CLOSED",IF($Z395="","",IF($Z395=6,"ESCALATED TO ROXANNE",IF(TODAY()&gt;$AB395,"OVERDUE",IF($AB395&lt;=WORKDAY(TODAY(),1,Holidays),"DUE TOMORROW",IF($Z395=4,"ESCALATED TO LOCAL OFFICE",IF($Z395=5,"ESCALATED TO CBE",IF($AA395=TODAY(),"EMAIL SENT","MONITORING"))))))))))</f>
        <v/>
      </c>
      <c r="V395" s="17">
        <f>IF($U395="",IF(AND(COUNTA($A395:$L395)&gt;0,$N395=""),"Awaiting Collection Email time stamp.",""),IF(OR($U395="PAID",$U395="CLOSED"),IF($U395="PAID","Account paid. Action completed.","Account closed. No further action required."),CHOOSE($Z395,"Collection Email","1st Email Follow-up","2nd Email Follow-up","Escalation to Local Office","Escalation to CBE","Escalation to Roxanne")&amp;" sent "&amp;TEXT($AA395,"dd-mmm")&amp;". "&amp;IF($Z395=6,"Final escalation completed.",IF($U395="OVERDUE","Next: "&amp;$AC395&amp;" was due "&amp;TEXT($AB395,"dd-mmm")&amp;" - "&amp;(NETWORKDAYS($AB395,TODAY(),Holidays)-1)&amp;" business day(s) late. Send now.",IF($U395="DUE TOMORROW","Next: "&amp;$AC395&amp;IF($AB395&lt;=TODAY()," is due TODAY ("," is due next business day (")&amp;TEXT($AB395,"dd-mmm")&amp;").","Next: "&amp;$AC395&amp;" due "&amp;TEXT($AB395,"dd-mmm")&amp;" ("&amp;(NETWORKDAYS(TODAY(),$AB395,Holidays)-1)&amp;" business day(s) left).")))))</f>
        <v/>
      </c>
      <c r="W395" s="17">
        <f>IF($Z395="","",CHOOSE($Z395,"Collection Email","1st Follow-up","2nd Follow-up","Local Office","CBE","Roxanne")&amp;IF($Z395=6," - Final"," - Day "&amp;MAX(0,NETWORKDAYS($AA395,TODAY(),Holidays)-1)&amp;" of "&amp;CHOOSE($Z395,3,3,2,2,3))&amp;" | Total Day "&amp;MAX(0,NETWORKDAYS($N395,TODAY(),Holidays)-1))</f>
        <v/>
      </c>
      <c r="X395" s="18"/>
      <c r="Y395" s="18"/>
      <c r="Z395" s="17">
        <f>IF($N395="","",COUNT($N395:$S395))</f>
        <v/>
      </c>
      <c r="AA395" s="19">
        <f>IF($Z395="","",INT(INDEX($N395:$S395,$Z395)))</f>
        <v/>
      </c>
      <c r="AB395" s="19">
        <f>IF(OR($Z395="",$Z395=6),"",WORKDAY($AA395,CHOOSE($Z395,3,3,2,2,3),Holidays))</f>
        <v/>
      </c>
      <c r="AC395" s="17">
        <f>IF(OR($Z395="",$Z395=6),"",CHOOSE($Z395,"1st Email Follow-up","2nd Email Follow-up","Escalate Local Office","Escalate to CBE","Escalate to Roxanne"))</f>
        <v/>
      </c>
    </row>
    <row r="396" spans="13:29">
      <c r="M396" s="14"/>
      <c r="T396" s="16"/>
      <c r="U396" s="17">
        <f>IF(AND(COUNTA($A396:$L396)=0,$N396=""),"",IF($T396="Paid","PAID",IF($T396="Closed","CLOSED",IF($Z396="","",IF($Z396=6,"ESCALATED TO ROXANNE",IF(TODAY()&gt;$AB396,"OVERDUE",IF($AB396&lt;=WORKDAY(TODAY(),1,Holidays),"DUE TOMORROW",IF($Z396=4,"ESCALATED TO LOCAL OFFICE",IF($Z396=5,"ESCALATED TO CBE",IF($AA396=TODAY(),"EMAIL SENT","MONITORING"))))))))))</f>
        <v/>
      </c>
      <c r="V396" s="17">
        <f>IF($U396="",IF(AND(COUNTA($A396:$L396)&gt;0,$N396=""),"Awaiting Collection Email time stamp.",""),IF(OR($U396="PAID",$U396="CLOSED"),IF($U396="PAID","Account paid. Action completed.","Account closed. No further action required."),CHOOSE($Z396,"Collection Email","1st Email Follow-up","2nd Email Follow-up","Escalation to Local Office","Escalation to CBE","Escalation to Roxanne")&amp;" sent "&amp;TEXT($AA396,"dd-mmm")&amp;". "&amp;IF($Z396=6,"Final escalation completed.",IF($U396="OVERDUE","Next: "&amp;$AC396&amp;" was due "&amp;TEXT($AB396,"dd-mmm")&amp;" - "&amp;(NETWORKDAYS($AB396,TODAY(),Holidays)-1)&amp;" business day(s) late. Send now.",IF($U396="DUE TOMORROW","Next: "&amp;$AC396&amp;IF($AB396&lt;=TODAY()," is due TODAY ("," is due next business day (")&amp;TEXT($AB396,"dd-mmm")&amp;").","Next: "&amp;$AC396&amp;" due "&amp;TEXT($AB396,"dd-mmm")&amp;" ("&amp;(NETWORKDAYS(TODAY(),$AB396,Holidays)-1)&amp;" business day(s) left).")))))</f>
        <v/>
      </c>
      <c r="W396" s="17">
        <f>IF($Z396="","",CHOOSE($Z396,"Collection Email","1st Follow-up","2nd Follow-up","Local Office","CBE","Roxanne")&amp;IF($Z396=6," - Final"," - Day "&amp;MAX(0,NETWORKDAYS($AA396,TODAY(),Holidays)-1)&amp;" of "&amp;CHOOSE($Z396,3,3,2,2,3))&amp;" | Total Day "&amp;MAX(0,NETWORKDAYS($N396,TODAY(),Holidays)-1))</f>
        <v/>
      </c>
      <c r="X396" s="18"/>
      <c r="Y396" s="18"/>
      <c r="Z396" s="17">
        <f>IF($N396="","",COUNT($N396:$S396))</f>
        <v/>
      </c>
      <c r="AA396" s="19">
        <f>IF($Z396="","",INT(INDEX($N396:$S396,$Z396)))</f>
        <v/>
      </c>
      <c r="AB396" s="19">
        <f>IF(OR($Z396="",$Z396=6),"",WORKDAY($AA396,CHOOSE($Z396,3,3,2,2,3),Holidays))</f>
        <v/>
      </c>
      <c r="AC396" s="17">
        <f>IF(OR($Z396="",$Z396=6),"",CHOOSE($Z396,"1st Email Follow-up","2nd Email Follow-up","Escalate Local Office","Escalate to CBE","Escalate to Roxanne"))</f>
        <v/>
      </c>
    </row>
    <row r="397" spans="13:29">
      <c r="M397" s="14"/>
      <c r="T397" s="16"/>
      <c r="U397" s="17">
        <f>IF(AND(COUNTA($A397:$L397)=0,$N397=""),"",IF($T397="Paid","PAID",IF($T397="Closed","CLOSED",IF($Z397="","",IF($Z397=6,"ESCALATED TO ROXANNE",IF(TODAY()&gt;$AB397,"OVERDUE",IF($AB397&lt;=WORKDAY(TODAY(),1,Holidays),"DUE TOMORROW",IF($Z397=4,"ESCALATED TO LOCAL OFFICE",IF($Z397=5,"ESCALATED TO CBE",IF($AA397=TODAY(),"EMAIL SENT","MONITORING"))))))))))</f>
        <v/>
      </c>
      <c r="V397" s="17">
        <f>IF($U397="",IF(AND(COUNTA($A397:$L397)&gt;0,$N397=""),"Awaiting Collection Email time stamp.",""),IF(OR($U397="PAID",$U397="CLOSED"),IF($U397="PAID","Account paid. Action completed.","Account closed. No further action required."),CHOOSE($Z397,"Collection Email","1st Email Follow-up","2nd Email Follow-up","Escalation to Local Office","Escalation to CBE","Escalation to Roxanne")&amp;" sent "&amp;TEXT($AA397,"dd-mmm")&amp;". "&amp;IF($Z397=6,"Final escalation completed.",IF($U397="OVERDUE","Next: "&amp;$AC397&amp;" was due "&amp;TEXT($AB397,"dd-mmm")&amp;" - "&amp;(NETWORKDAYS($AB397,TODAY(),Holidays)-1)&amp;" business day(s) late. Send now.",IF($U397="DUE TOMORROW","Next: "&amp;$AC397&amp;IF($AB397&lt;=TODAY()," is due TODAY ("," is due next business day (")&amp;TEXT($AB397,"dd-mmm")&amp;").","Next: "&amp;$AC397&amp;" due "&amp;TEXT($AB397,"dd-mmm")&amp;" ("&amp;(NETWORKDAYS(TODAY(),$AB397,Holidays)-1)&amp;" business day(s) left).")))))</f>
        <v/>
      </c>
      <c r="W397" s="17">
        <f>IF($Z397="","",CHOOSE($Z397,"Collection Email","1st Follow-up","2nd Follow-up","Local Office","CBE","Roxanne")&amp;IF($Z397=6," - Final"," - Day "&amp;MAX(0,NETWORKDAYS($AA397,TODAY(),Holidays)-1)&amp;" of "&amp;CHOOSE($Z397,3,3,2,2,3))&amp;" | Total Day "&amp;MAX(0,NETWORKDAYS($N397,TODAY(),Holidays)-1))</f>
        <v/>
      </c>
      <c r="X397" s="18"/>
      <c r="Y397" s="18"/>
      <c r="Z397" s="17">
        <f>IF($N397="","",COUNT($N397:$S397))</f>
        <v/>
      </c>
      <c r="AA397" s="19">
        <f>IF($Z397="","",INT(INDEX($N397:$S397,$Z397)))</f>
        <v/>
      </c>
      <c r="AB397" s="19">
        <f>IF(OR($Z397="",$Z397=6),"",WORKDAY($AA397,CHOOSE($Z397,3,3,2,2,3),Holidays))</f>
        <v/>
      </c>
      <c r="AC397" s="17">
        <f>IF(OR($Z397="",$Z397=6),"",CHOOSE($Z397,"1st Email Follow-up","2nd Email Follow-up","Escalate Local Office","Escalate to CBE","Escalate to Roxanne"))</f>
        <v/>
      </c>
    </row>
    <row r="398" spans="13:29">
      <c r="M398" s="14"/>
      <c r="T398" s="16"/>
      <c r="U398" s="17">
        <f>IF(AND(COUNTA($A398:$L398)=0,$N398=""),"",IF($T398="Paid","PAID",IF($T398="Closed","CLOSED",IF($Z398="","",IF($Z398=6,"ESCALATED TO ROXANNE",IF(TODAY()&gt;$AB398,"OVERDUE",IF($AB398&lt;=WORKDAY(TODAY(),1,Holidays),"DUE TOMORROW",IF($Z398=4,"ESCALATED TO LOCAL OFFICE",IF($Z398=5,"ESCALATED TO CBE",IF($AA398=TODAY(),"EMAIL SENT","MONITORING"))))))))))</f>
        <v/>
      </c>
      <c r="V398" s="17">
        <f>IF($U398="",IF(AND(COUNTA($A398:$L398)&gt;0,$N398=""),"Awaiting Collection Email time stamp.",""),IF(OR($U398="PAID",$U398="CLOSED"),IF($U398="PAID","Account paid. Action completed.","Account closed. No further action required."),CHOOSE($Z398,"Collection Email","1st Email Follow-up","2nd Email Follow-up","Escalation to Local Office","Escalation to CBE","Escalation to Roxanne")&amp;" sent "&amp;TEXT($AA398,"dd-mmm")&amp;". "&amp;IF($Z398=6,"Final escalation completed.",IF($U398="OVERDUE","Next: "&amp;$AC398&amp;" was due "&amp;TEXT($AB398,"dd-mmm")&amp;" - "&amp;(NETWORKDAYS($AB398,TODAY(),Holidays)-1)&amp;" business day(s) late. Send now.",IF($U398="DUE TOMORROW","Next: "&amp;$AC398&amp;IF($AB398&lt;=TODAY()," is due TODAY ("," is due next business day (")&amp;TEXT($AB398,"dd-mmm")&amp;").","Next: "&amp;$AC398&amp;" due "&amp;TEXT($AB398,"dd-mmm")&amp;" ("&amp;(NETWORKDAYS(TODAY(),$AB398,Holidays)-1)&amp;" business day(s) left).")))))</f>
        <v/>
      </c>
      <c r="W398" s="17">
        <f>IF($Z398="","",CHOOSE($Z398,"Collection Email","1st Follow-up","2nd Follow-up","Local Office","CBE","Roxanne")&amp;IF($Z398=6," - Final"," - Day "&amp;MAX(0,NETWORKDAYS($AA398,TODAY(),Holidays)-1)&amp;" of "&amp;CHOOSE($Z398,3,3,2,2,3))&amp;" | Total Day "&amp;MAX(0,NETWORKDAYS($N398,TODAY(),Holidays)-1))</f>
        <v/>
      </c>
      <c r="X398" s="18"/>
      <c r="Y398" s="18"/>
      <c r="Z398" s="17">
        <f>IF($N398="","",COUNT($N398:$S398))</f>
        <v/>
      </c>
      <c r="AA398" s="19">
        <f>IF($Z398="","",INT(INDEX($N398:$S398,$Z398)))</f>
        <v/>
      </c>
      <c r="AB398" s="19">
        <f>IF(OR($Z398="",$Z398=6),"",WORKDAY($AA398,CHOOSE($Z398,3,3,2,2,3),Holidays))</f>
        <v/>
      </c>
      <c r="AC398" s="17">
        <f>IF(OR($Z398="",$Z398=6),"",CHOOSE($Z398,"1st Email Follow-up","2nd Email Follow-up","Escalate Local Office","Escalate to CBE","Escalate to Roxanne"))</f>
        <v/>
      </c>
    </row>
    <row r="399" spans="13:29">
      <c r="M399" s="14"/>
      <c r="T399" s="16"/>
      <c r="U399" s="17">
        <f>IF(AND(COUNTA($A399:$L399)=0,$N399=""),"",IF($T399="Paid","PAID",IF($T399="Closed","CLOSED",IF($Z399="","",IF($Z399=6,"ESCALATED TO ROXANNE",IF(TODAY()&gt;$AB399,"OVERDUE",IF($AB399&lt;=WORKDAY(TODAY(),1,Holidays),"DUE TOMORROW",IF($Z399=4,"ESCALATED TO LOCAL OFFICE",IF($Z399=5,"ESCALATED TO CBE",IF($AA399=TODAY(),"EMAIL SENT","MONITORING"))))))))))</f>
        <v/>
      </c>
      <c r="V399" s="17">
        <f>IF($U399="",IF(AND(COUNTA($A399:$L399)&gt;0,$N399=""),"Awaiting Collection Email time stamp.",""),IF(OR($U399="PAID",$U399="CLOSED"),IF($U399="PAID","Account paid. Action completed.","Account closed. No further action required."),CHOOSE($Z399,"Collection Email","1st Email Follow-up","2nd Email Follow-up","Escalation to Local Office","Escalation to CBE","Escalation to Roxanne")&amp;" sent "&amp;TEXT($AA399,"dd-mmm")&amp;". "&amp;IF($Z399=6,"Final escalation completed.",IF($U399="OVERDUE","Next: "&amp;$AC399&amp;" was due "&amp;TEXT($AB399,"dd-mmm")&amp;" - "&amp;(NETWORKDAYS($AB399,TODAY(),Holidays)-1)&amp;" business day(s) late. Send now.",IF($U399="DUE TOMORROW","Next: "&amp;$AC399&amp;IF($AB399&lt;=TODAY()," is due TODAY ("," is due next business day (")&amp;TEXT($AB399,"dd-mmm")&amp;").","Next: "&amp;$AC399&amp;" due "&amp;TEXT($AB399,"dd-mmm")&amp;" ("&amp;(NETWORKDAYS(TODAY(),$AB399,Holidays)-1)&amp;" business day(s) left).")))))</f>
        <v/>
      </c>
      <c r="W399" s="17">
        <f>IF($Z399="","",CHOOSE($Z399,"Collection Email","1st Follow-up","2nd Follow-up","Local Office","CBE","Roxanne")&amp;IF($Z399=6," - Final"," - Day "&amp;MAX(0,NETWORKDAYS($AA399,TODAY(),Holidays)-1)&amp;" of "&amp;CHOOSE($Z399,3,3,2,2,3))&amp;" | Total Day "&amp;MAX(0,NETWORKDAYS($N399,TODAY(),Holidays)-1))</f>
        <v/>
      </c>
      <c r="X399" s="18"/>
      <c r="Y399" s="18"/>
      <c r="Z399" s="17">
        <f>IF($N399="","",COUNT($N399:$S399))</f>
        <v/>
      </c>
      <c r="AA399" s="19">
        <f>IF($Z399="","",INT(INDEX($N399:$S399,$Z399)))</f>
        <v/>
      </c>
      <c r="AB399" s="19">
        <f>IF(OR($Z399="",$Z399=6),"",WORKDAY($AA399,CHOOSE($Z399,3,3,2,2,3),Holidays))</f>
        <v/>
      </c>
      <c r="AC399" s="17">
        <f>IF(OR($Z399="",$Z399=6),"",CHOOSE($Z399,"1st Email Follow-up","2nd Email Follow-up","Escalate Local Office","Escalate to CBE","Escalate to Roxanne"))</f>
        <v/>
      </c>
    </row>
    <row r="400" spans="13:29">
      <c r="M400" s="14"/>
      <c r="T400" s="16"/>
      <c r="U400" s="17">
        <f>IF(AND(COUNTA($A400:$L400)=0,$N400=""),"",IF($T400="Paid","PAID",IF($T400="Closed","CLOSED",IF($Z400="","",IF($Z400=6,"ESCALATED TO ROXANNE",IF(TODAY()&gt;$AB400,"OVERDUE",IF($AB400&lt;=WORKDAY(TODAY(),1,Holidays),"DUE TOMORROW",IF($Z400=4,"ESCALATED TO LOCAL OFFICE",IF($Z400=5,"ESCALATED TO CBE",IF($AA400=TODAY(),"EMAIL SENT","MONITORING"))))))))))</f>
        <v/>
      </c>
      <c r="V400" s="17">
        <f>IF($U400="",IF(AND(COUNTA($A400:$L400)&gt;0,$N400=""),"Awaiting Collection Email time stamp.",""),IF(OR($U400="PAID",$U400="CLOSED"),IF($U400="PAID","Account paid. Action completed.","Account closed. No further action required."),CHOOSE($Z400,"Collection Email","1st Email Follow-up","2nd Email Follow-up","Escalation to Local Office","Escalation to CBE","Escalation to Roxanne")&amp;" sent "&amp;TEXT($AA400,"dd-mmm")&amp;". "&amp;IF($Z400=6,"Final escalation completed.",IF($U400="OVERDUE","Next: "&amp;$AC400&amp;" was due "&amp;TEXT($AB400,"dd-mmm")&amp;" - "&amp;(NETWORKDAYS($AB400,TODAY(),Holidays)-1)&amp;" business day(s) late. Send now.",IF($U400="DUE TOMORROW","Next: "&amp;$AC400&amp;IF($AB400&lt;=TODAY()," is due TODAY ("," is due next business day (")&amp;TEXT($AB400,"dd-mmm")&amp;").","Next: "&amp;$AC400&amp;" due "&amp;TEXT($AB400,"dd-mmm")&amp;" ("&amp;(NETWORKDAYS(TODAY(),$AB400,Holidays)-1)&amp;" business day(s) left).")))))</f>
        <v/>
      </c>
      <c r="W400" s="17">
        <f>IF($Z400="","",CHOOSE($Z400,"Collection Email","1st Follow-up","2nd Follow-up","Local Office","CBE","Roxanne")&amp;IF($Z400=6," - Final"," - Day "&amp;MAX(0,NETWORKDAYS($AA400,TODAY(),Holidays)-1)&amp;" of "&amp;CHOOSE($Z400,3,3,2,2,3))&amp;" | Total Day "&amp;MAX(0,NETWORKDAYS($N400,TODAY(),Holidays)-1))</f>
        <v/>
      </c>
      <c r="X400" s="18"/>
      <c r="Y400" s="18"/>
      <c r="Z400" s="17">
        <f>IF($N400="","",COUNT($N400:$S400))</f>
        <v/>
      </c>
      <c r="AA400" s="19">
        <f>IF($Z400="","",INT(INDEX($N400:$S400,$Z400)))</f>
        <v/>
      </c>
      <c r="AB400" s="19">
        <f>IF(OR($Z400="",$Z400=6),"",WORKDAY($AA400,CHOOSE($Z400,3,3,2,2,3),Holidays))</f>
        <v/>
      </c>
      <c r="AC400" s="17">
        <f>IF(OR($Z400="",$Z400=6),"",CHOOSE($Z400,"1st Email Follow-up","2nd Email Follow-up","Escalate Local Office","Escalate to CBE","Escalate to Roxanne"))</f>
        <v/>
      </c>
    </row>
    <row r="401" spans="13:29">
      <c r="M401" s="14"/>
      <c r="T401" s="16"/>
      <c r="U401" s="17">
        <f>IF(AND(COUNTA($A401:$L401)=0,$N401=""),"",IF($T401="Paid","PAID",IF($T401="Closed","CLOSED",IF($Z401="","",IF($Z401=6,"ESCALATED TO ROXANNE",IF(TODAY()&gt;$AB401,"OVERDUE",IF($AB401&lt;=WORKDAY(TODAY(),1,Holidays),"DUE TOMORROW",IF($Z401=4,"ESCALATED TO LOCAL OFFICE",IF($Z401=5,"ESCALATED TO CBE",IF($AA401=TODAY(),"EMAIL SENT","MONITORING"))))))))))</f>
        <v/>
      </c>
      <c r="V401" s="17">
        <f>IF($U401="",IF(AND(COUNTA($A401:$L401)&gt;0,$N401=""),"Awaiting Collection Email time stamp.",""),IF(OR($U401="PAID",$U401="CLOSED"),IF($U401="PAID","Account paid. Action completed.","Account closed. No further action required."),CHOOSE($Z401,"Collection Email","1st Email Follow-up","2nd Email Follow-up","Escalation to Local Office","Escalation to CBE","Escalation to Roxanne")&amp;" sent "&amp;TEXT($AA401,"dd-mmm")&amp;". "&amp;IF($Z401=6,"Final escalation completed.",IF($U401="OVERDUE","Next: "&amp;$AC401&amp;" was due "&amp;TEXT($AB401,"dd-mmm")&amp;" - "&amp;(NETWORKDAYS($AB401,TODAY(),Holidays)-1)&amp;" business day(s) late. Send now.",IF($U401="DUE TOMORROW","Next: "&amp;$AC401&amp;IF($AB401&lt;=TODAY()," is due TODAY ("," is due next business day (")&amp;TEXT($AB401,"dd-mmm")&amp;").","Next: "&amp;$AC401&amp;" due "&amp;TEXT($AB401,"dd-mmm")&amp;" ("&amp;(NETWORKDAYS(TODAY(),$AB401,Holidays)-1)&amp;" business day(s) left).")))))</f>
        <v/>
      </c>
      <c r="W401" s="17">
        <f>IF($Z401="","",CHOOSE($Z401,"Collection Email","1st Follow-up","2nd Follow-up","Local Office","CBE","Roxanne")&amp;IF($Z401=6," - Final"," - Day "&amp;MAX(0,NETWORKDAYS($AA401,TODAY(),Holidays)-1)&amp;" of "&amp;CHOOSE($Z401,3,3,2,2,3))&amp;" | Total Day "&amp;MAX(0,NETWORKDAYS($N401,TODAY(),Holidays)-1))</f>
        <v/>
      </c>
      <c r="X401" s="18"/>
      <c r="Y401" s="18"/>
      <c r="Z401" s="17">
        <f>IF($N401="","",COUNT($N401:$S401))</f>
        <v/>
      </c>
      <c r="AA401" s="19">
        <f>IF($Z401="","",INT(INDEX($N401:$S401,$Z401)))</f>
        <v/>
      </c>
      <c r="AB401" s="19">
        <f>IF(OR($Z401="",$Z401=6),"",WORKDAY($AA401,CHOOSE($Z401,3,3,2,2,3),Holidays))</f>
        <v/>
      </c>
      <c r="AC401" s="17">
        <f>IF(OR($Z401="",$Z401=6),"",CHOOSE($Z401,"1st Email Follow-up","2nd Email Follow-up","Escalate Local Office","Escalate to CBE","Escalate to Roxanne"))</f>
        <v/>
      </c>
    </row>
    <row r="402" spans="13:29">
      <c r="M402" s="14"/>
      <c r="T402" s="16"/>
      <c r="U402" s="17">
        <f>IF(AND(COUNTA($A402:$L402)=0,$N402=""),"",IF($T402="Paid","PAID",IF($T402="Closed","CLOSED",IF($Z402="","",IF($Z402=6,"ESCALATED TO ROXANNE",IF(TODAY()&gt;$AB402,"OVERDUE",IF($AB402&lt;=WORKDAY(TODAY(),1,Holidays),"DUE TOMORROW",IF($Z402=4,"ESCALATED TO LOCAL OFFICE",IF($Z402=5,"ESCALATED TO CBE",IF($AA402=TODAY(),"EMAIL SENT","MONITORING"))))))))))</f>
        <v/>
      </c>
      <c r="V402" s="17">
        <f>IF($U402="",IF(AND(COUNTA($A402:$L402)&gt;0,$N402=""),"Awaiting Collection Email time stamp.",""),IF(OR($U402="PAID",$U402="CLOSED"),IF($U402="PAID","Account paid. Action completed.","Account closed. No further action required."),CHOOSE($Z402,"Collection Email","1st Email Follow-up","2nd Email Follow-up","Escalation to Local Office","Escalation to CBE","Escalation to Roxanne")&amp;" sent "&amp;TEXT($AA402,"dd-mmm")&amp;". "&amp;IF($Z402=6,"Final escalation completed.",IF($U402="OVERDUE","Next: "&amp;$AC402&amp;" was due "&amp;TEXT($AB402,"dd-mmm")&amp;" - "&amp;(NETWORKDAYS($AB402,TODAY(),Holidays)-1)&amp;" business day(s) late. Send now.",IF($U402="DUE TOMORROW","Next: "&amp;$AC402&amp;IF($AB402&lt;=TODAY()," is due TODAY ("," is due next business day (")&amp;TEXT($AB402,"dd-mmm")&amp;").","Next: "&amp;$AC402&amp;" due "&amp;TEXT($AB402,"dd-mmm")&amp;" ("&amp;(NETWORKDAYS(TODAY(),$AB402,Holidays)-1)&amp;" business day(s) left).")))))</f>
        <v/>
      </c>
      <c r="W402" s="17">
        <f>IF($Z402="","",CHOOSE($Z402,"Collection Email","1st Follow-up","2nd Follow-up","Local Office","CBE","Roxanne")&amp;IF($Z402=6," - Final"," - Day "&amp;MAX(0,NETWORKDAYS($AA402,TODAY(),Holidays)-1)&amp;" of "&amp;CHOOSE($Z402,3,3,2,2,3))&amp;" | Total Day "&amp;MAX(0,NETWORKDAYS($N402,TODAY(),Holidays)-1))</f>
        <v/>
      </c>
      <c r="X402" s="18"/>
      <c r="Y402" s="18"/>
      <c r="Z402" s="17">
        <f>IF($N402="","",COUNT($N402:$S402))</f>
        <v/>
      </c>
      <c r="AA402" s="19">
        <f>IF($Z402="","",INT(INDEX($N402:$S402,$Z402)))</f>
        <v/>
      </c>
      <c r="AB402" s="19">
        <f>IF(OR($Z402="",$Z402=6),"",WORKDAY($AA402,CHOOSE($Z402,3,3,2,2,3),Holidays))</f>
        <v/>
      </c>
      <c r="AC402" s="17">
        <f>IF(OR($Z402="",$Z402=6),"",CHOOSE($Z402,"1st Email Follow-up","2nd Email Follow-up","Escalate Local Office","Escalate to CBE","Escalate to Roxanne"))</f>
        <v/>
      </c>
    </row>
    <row r="403" spans="13:29">
      <c r="M403" s="14"/>
      <c r="T403" s="16"/>
      <c r="U403" s="17">
        <f>IF(AND(COUNTA($A403:$L403)=0,$N403=""),"",IF($T403="Paid","PAID",IF($T403="Closed","CLOSED",IF($Z403="","",IF($Z403=6,"ESCALATED TO ROXANNE",IF(TODAY()&gt;$AB403,"OVERDUE",IF($AB403&lt;=WORKDAY(TODAY(),1,Holidays),"DUE TOMORROW",IF($Z403=4,"ESCALATED TO LOCAL OFFICE",IF($Z403=5,"ESCALATED TO CBE",IF($AA403=TODAY(),"EMAIL SENT","MONITORING"))))))))))</f>
        <v/>
      </c>
      <c r="V403" s="17">
        <f>IF($U403="",IF(AND(COUNTA($A403:$L403)&gt;0,$N403=""),"Awaiting Collection Email time stamp.",""),IF(OR($U403="PAID",$U403="CLOSED"),IF($U403="PAID","Account paid. Action completed.","Account closed. No further action required."),CHOOSE($Z403,"Collection Email","1st Email Follow-up","2nd Email Follow-up","Escalation to Local Office","Escalation to CBE","Escalation to Roxanne")&amp;" sent "&amp;TEXT($AA403,"dd-mmm")&amp;". "&amp;IF($Z403=6,"Final escalation completed.",IF($U403="OVERDUE","Next: "&amp;$AC403&amp;" was due "&amp;TEXT($AB403,"dd-mmm")&amp;" - "&amp;(NETWORKDAYS($AB403,TODAY(),Holidays)-1)&amp;" business day(s) late. Send now.",IF($U403="DUE TOMORROW","Next: "&amp;$AC403&amp;IF($AB403&lt;=TODAY()," is due TODAY ("," is due next business day (")&amp;TEXT($AB403,"dd-mmm")&amp;").","Next: "&amp;$AC403&amp;" due "&amp;TEXT($AB403,"dd-mmm")&amp;" ("&amp;(NETWORKDAYS(TODAY(),$AB403,Holidays)-1)&amp;" business day(s) left).")))))</f>
        <v/>
      </c>
      <c r="W403" s="17">
        <f>IF($Z403="","",CHOOSE($Z403,"Collection Email","1st Follow-up","2nd Follow-up","Local Office","CBE","Roxanne")&amp;IF($Z403=6," - Final"," - Day "&amp;MAX(0,NETWORKDAYS($AA403,TODAY(),Holidays)-1)&amp;" of "&amp;CHOOSE($Z403,3,3,2,2,3))&amp;" | Total Day "&amp;MAX(0,NETWORKDAYS($N403,TODAY(),Holidays)-1))</f>
        <v/>
      </c>
      <c r="X403" s="18"/>
      <c r="Y403" s="18"/>
      <c r="Z403" s="17">
        <f>IF($N403="","",COUNT($N403:$S403))</f>
        <v/>
      </c>
      <c r="AA403" s="19">
        <f>IF($Z403="","",INT(INDEX($N403:$S403,$Z403)))</f>
        <v/>
      </c>
      <c r="AB403" s="19">
        <f>IF(OR($Z403="",$Z403=6),"",WORKDAY($AA403,CHOOSE($Z403,3,3,2,2,3),Holidays))</f>
        <v/>
      </c>
      <c r="AC403" s="17">
        <f>IF(OR($Z403="",$Z403=6),"",CHOOSE($Z403,"1st Email Follow-up","2nd Email Follow-up","Escalate Local Office","Escalate to CBE","Escalate to Roxanne"))</f>
        <v/>
      </c>
    </row>
    <row r="404" spans="13:29">
      <c r="M404" s="14"/>
      <c r="T404" s="16"/>
      <c r="U404" s="17">
        <f>IF(AND(COUNTA($A404:$L404)=0,$N404=""),"",IF($T404="Paid","PAID",IF($T404="Closed","CLOSED",IF($Z404="","",IF($Z404=6,"ESCALATED TO ROXANNE",IF(TODAY()&gt;$AB404,"OVERDUE",IF($AB404&lt;=WORKDAY(TODAY(),1,Holidays),"DUE TOMORROW",IF($Z404=4,"ESCALATED TO LOCAL OFFICE",IF($Z404=5,"ESCALATED TO CBE",IF($AA404=TODAY(),"EMAIL SENT","MONITORING"))))))))))</f>
        <v/>
      </c>
      <c r="V404" s="17">
        <f>IF($U404="",IF(AND(COUNTA($A404:$L404)&gt;0,$N404=""),"Awaiting Collection Email time stamp.",""),IF(OR($U404="PAID",$U404="CLOSED"),IF($U404="PAID","Account paid. Action completed.","Account closed. No further action required."),CHOOSE($Z404,"Collection Email","1st Email Follow-up","2nd Email Follow-up","Escalation to Local Office","Escalation to CBE","Escalation to Roxanne")&amp;" sent "&amp;TEXT($AA404,"dd-mmm")&amp;". "&amp;IF($Z404=6,"Final escalation completed.",IF($U404="OVERDUE","Next: "&amp;$AC404&amp;" was due "&amp;TEXT($AB404,"dd-mmm")&amp;" - "&amp;(NETWORKDAYS($AB404,TODAY(),Holidays)-1)&amp;" business day(s) late. Send now.",IF($U404="DUE TOMORROW","Next: "&amp;$AC404&amp;IF($AB404&lt;=TODAY()," is due TODAY ("," is due next business day (")&amp;TEXT($AB404,"dd-mmm")&amp;").","Next: "&amp;$AC404&amp;" due "&amp;TEXT($AB404,"dd-mmm")&amp;" ("&amp;(NETWORKDAYS(TODAY(),$AB404,Holidays)-1)&amp;" business day(s) left).")))))</f>
        <v/>
      </c>
      <c r="W404" s="17">
        <f>IF($Z404="","",CHOOSE($Z404,"Collection Email","1st Follow-up","2nd Follow-up","Local Office","CBE","Roxanne")&amp;IF($Z404=6," - Final"," - Day "&amp;MAX(0,NETWORKDAYS($AA404,TODAY(),Holidays)-1)&amp;" of "&amp;CHOOSE($Z404,3,3,2,2,3))&amp;" | Total Day "&amp;MAX(0,NETWORKDAYS($N404,TODAY(),Holidays)-1))</f>
        <v/>
      </c>
      <c r="X404" s="18"/>
      <c r="Y404" s="18"/>
      <c r="Z404" s="17">
        <f>IF($N404="","",COUNT($N404:$S404))</f>
        <v/>
      </c>
      <c r="AA404" s="19">
        <f>IF($Z404="","",INT(INDEX($N404:$S404,$Z404)))</f>
        <v/>
      </c>
      <c r="AB404" s="19">
        <f>IF(OR($Z404="",$Z404=6),"",WORKDAY($AA404,CHOOSE($Z404,3,3,2,2,3),Holidays))</f>
        <v/>
      </c>
      <c r="AC404" s="17">
        <f>IF(OR($Z404="",$Z404=6),"",CHOOSE($Z404,"1st Email Follow-up","2nd Email Follow-up","Escalate Local Office","Escalate to CBE","Escalate to Roxanne"))</f>
        <v/>
      </c>
    </row>
    <row r="405" spans="13:29">
      <c r="M405" s="14"/>
      <c r="T405" s="16"/>
      <c r="U405" s="17">
        <f>IF(AND(COUNTA($A405:$L405)=0,$N405=""),"",IF($T405="Paid","PAID",IF($T405="Closed","CLOSED",IF($Z405="","",IF($Z405=6,"ESCALATED TO ROXANNE",IF(TODAY()&gt;$AB405,"OVERDUE",IF($AB405&lt;=WORKDAY(TODAY(),1,Holidays),"DUE TOMORROW",IF($Z405=4,"ESCALATED TO LOCAL OFFICE",IF($Z405=5,"ESCALATED TO CBE",IF($AA405=TODAY(),"EMAIL SENT","MONITORING"))))))))))</f>
        <v/>
      </c>
      <c r="V405" s="17">
        <f>IF($U405="",IF(AND(COUNTA($A405:$L405)&gt;0,$N405=""),"Awaiting Collection Email time stamp.",""),IF(OR($U405="PAID",$U405="CLOSED"),IF($U405="PAID","Account paid. Action completed.","Account closed. No further action required."),CHOOSE($Z405,"Collection Email","1st Email Follow-up","2nd Email Follow-up","Escalation to Local Office","Escalation to CBE","Escalation to Roxanne")&amp;" sent "&amp;TEXT($AA405,"dd-mmm")&amp;". "&amp;IF($Z405=6,"Final escalation completed.",IF($U405="OVERDUE","Next: "&amp;$AC405&amp;" was due "&amp;TEXT($AB405,"dd-mmm")&amp;" - "&amp;(NETWORKDAYS($AB405,TODAY(),Holidays)-1)&amp;" business day(s) late. Send now.",IF($U405="DUE TOMORROW","Next: "&amp;$AC405&amp;IF($AB405&lt;=TODAY()," is due TODAY ("," is due next business day (")&amp;TEXT($AB405,"dd-mmm")&amp;").","Next: "&amp;$AC405&amp;" due "&amp;TEXT($AB405,"dd-mmm")&amp;" ("&amp;(NETWORKDAYS(TODAY(),$AB405,Holidays)-1)&amp;" business day(s) left).")))))</f>
        <v/>
      </c>
      <c r="W405" s="17">
        <f>IF($Z405="","",CHOOSE($Z405,"Collection Email","1st Follow-up","2nd Follow-up","Local Office","CBE","Roxanne")&amp;IF($Z405=6," - Final"," - Day "&amp;MAX(0,NETWORKDAYS($AA405,TODAY(),Holidays)-1)&amp;" of "&amp;CHOOSE($Z405,3,3,2,2,3))&amp;" | Total Day "&amp;MAX(0,NETWORKDAYS($N405,TODAY(),Holidays)-1))</f>
        <v/>
      </c>
      <c r="X405" s="18"/>
      <c r="Y405" s="18"/>
      <c r="Z405" s="17">
        <f>IF($N405="","",COUNT($N405:$S405))</f>
        <v/>
      </c>
      <c r="AA405" s="19">
        <f>IF($Z405="","",INT(INDEX($N405:$S405,$Z405)))</f>
        <v/>
      </c>
      <c r="AB405" s="19">
        <f>IF(OR($Z405="",$Z405=6),"",WORKDAY($AA405,CHOOSE($Z405,3,3,2,2,3),Holidays))</f>
        <v/>
      </c>
      <c r="AC405" s="17">
        <f>IF(OR($Z405="",$Z405=6),"",CHOOSE($Z405,"1st Email Follow-up","2nd Email Follow-up","Escalate Local Office","Escalate to CBE","Escalate to Roxanne"))</f>
        <v/>
      </c>
    </row>
    <row r="406" spans="13:29">
      <c r="M406" s="14"/>
      <c r="T406" s="16"/>
      <c r="U406" s="17">
        <f>IF(AND(COUNTA($A406:$L406)=0,$N406=""),"",IF($T406="Paid","PAID",IF($T406="Closed","CLOSED",IF($Z406="","",IF($Z406=6,"ESCALATED TO ROXANNE",IF(TODAY()&gt;$AB406,"OVERDUE",IF($AB406&lt;=WORKDAY(TODAY(),1,Holidays),"DUE TOMORROW",IF($Z406=4,"ESCALATED TO LOCAL OFFICE",IF($Z406=5,"ESCALATED TO CBE",IF($AA406=TODAY(),"EMAIL SENT","MONITORING"))))))))))</f>
        <v/>
      </c>
      <c r="V406" s="17">
        <f>IF($U406="",IF(AND(COUNTA($A406:$L406)&gt;0,$N406=""),"Awaiting Collection Email time stamp.",""),IF(OR($U406="PAID",$U406="CLOSED"),IF($U406="PAID","Account paid. Action completed.","Account closed. No further action required."),CHOOSE($Z406,"Collection Email","1st Email Follow-up","2nd Email Follow-up","Escalation to Local Office","Escalation to CBE","Escalation to Roxanne")&amp;" sent "&amp;TEXT($AA406,"dd-mmm")&amp;". "&amp;IF($Z406=6,"Final escalation completed.",IF($U406="OVERDUE","Next: "&amp;$AC406&amp;" was due "&amp;TEXT($AB406,"dd-mmm")&amp;" - "&amp;(NETWORKDAYS($AB406,TODAY(),Holidays)-1)&amp;" business day(s) late. Send now.",IF($U406="DUE TOMORROW","Next: "&amp;$AC406&amp;IF($AB406&lt;=TODAY()," is due TODAY ("," is due next business day (")&amp;TEXT($AB406,"dd-mmm")&amp;").","Next: "&amp;$AC406&amp;" due "&amp;TEXT($AB406,"dd-mmm")&amp;" ("&amp;(NETWORKDAYS(TODAY(),$AB406,Holidays)-1)&amp;" business day(s) left).")))))</f>
        <v/>
      </c>
      <c r="W406" s="17">
        <f>IF($Z406="","",CHOOSE($Z406,"Collection Email","1st Follow-up","2nd Follow-up","Local Office","CBE","Roxanne")&amp;IF($Z406=6," - Final"," - Day "&amp;MAX(0,NETWORKDAYS($AA406,TODAY(),Holidays)-1)&amp;" of "&amp;CHOOSE($Z406,3,3,2,2,3))&amp;" | Total Day "&amp;MAX(0,NETWORKDAYS($N406,TODAY(),Holidays)-1))</f>
        <v/>
      </c>
      <c r="X406" s="18"/>
      <c r="Y406" s="18"/>
      <c r="Z406" s="17">
        <f>IF($N406="","",COUNT($N406:$S406))</f>
        <v/>
      </c>
      <c r="AA406" s="19">
        <f>IF($Z406="","",INT(INDEX($N406:$S406,$Z406)))</f>
        <v/>
      </c>
      <c r="AB406" s="19">
        <f>IF(OR($Z406="",$Z406=6),"",WORKDAY($AA406,CHOOSE($Z406,3,3,2,2,3),Holidays))</f>
        <v/>
      </c>
      <c r="AC406" s="17">
        <f>IF(OR($Z406="",$Z406=6),"",CHOOSE($Z406,"1st Email Follow-up","2nd Email Follow-up","Escalate Local Office","Escalate to CBE","Escalate to Roxanne"))</f>
        <v/>
      </c>
    </row>
    <row r="407" spans="13:29">
      <c r="M407" s="14"/>
      <c r="T407" s="16"/>
      <c r="U407" s="17">
        <f>IF(AND(COUNTA($A407:$L407)=0,$N407=""),"",IF($T407="Paid","PAID",IF($T407="Closed","CLOSED",IF($Z407="","",IF($Z407=6,"ESCALATED TO ROXANNE",IF(TODAY()&gt;$AB407,"OVERDUE",IF($AB407&lt;=WORKDAY(TODAY(),1,Holidays),"DUE TOMORROW",IF($Z407=4,"ESCALATED TO LOCAL OFFICE",IF($Z407=5,"ESCALATED TO CBE",IF($AA407=TODAY(),"EMAIL SENT","MONITORING"))))))))))</f>
        <v/>
      </c>
      <c r="V407" s="17">
        <f>IF($U407="",IF(AND(COUNTA($A407:$L407)&gt;0,$N407=""),"Awaiting Collection Email time stamp.",""),IF(OR($U407="PAID",$U407="CLOSED"),IF($U407="PAID","Account paid. Action completed.","Account closed. No further action required."),CHOOSE($Z407,"Collection Email","1st Email Follow-up","2nd Email Follow-up","Escalation to Local Office","Escalation to CBE","Escalation to Roxanne")&amp;" sent "&amp;TEXT($AA407,"dd-mmm")&amp;". "&amp;IF($Z407=6,"Final escalation completed.",IF($U407="OVERDUE","Next: "&amp;$AC407&amp;" was due "&amp;TEXT($AB407,"dd-mmm")&amp;" - "&amp;(NETWORKDAYS($AB407,TODAY(),Holidays)-1)&amp;" business day(s) late. Send now.",IF($U407="DUE TOMORROW","Next: "&amp;$AC407&amp;IF($AB407&lt;=TODAY()," is due TODAY ("," is due next business day (")&amp;TEXT($AB407,"dd-mmm")&amp;").","Next: "&amp;$AC407&amp;" due "&amp;TEXT($AB407,"dd-mmm")&amp;" ("&amp;(NETWORKDAYS(TODAY(),$AB407,Holidays)-1)&amp;" business day(s) left).")))))</f>
        <v/>
      </c>
      <c r="W407" s="17">
        <f>IF($Z407="","",CHOOSE($Z407,"Collection Email","1st Follow-up","2nd Follow-up","Local Office","CBE","Roxanne")&amp;IF($Z407=6," - Final"," - Day "&amp;MAX(0,NETWORKDAYS($AA407,TODAY(),Holidays)-1)&amp;" of "&amp;CHOOSE($Z407,3,3,2,2,3))&amp;" | Total Day "&amp;MAX(0,NETWORKDAYS($N407,TODAY(),Holidays)-1))</f>
        <v/>
      </c>
      <c r="X407" s="18"/>
      <c r="Y407" s="18"/>
      <c r="Z407" s="17">
        <f>IF($N407="","",COUNT($N407:$S407))</f>
        <v/>
      </c>
      <c r="AA407" s="19">
        <f>IF($Z407="","",INT(INDEX($N407:$S407,$Z407)))</f>
        <v/>
      </c>
      <c r="AB407" s="19">
        <f>IF(OR($Z407="",$Z407=6),"",WORKDAY($AA407,CHOOSE($Z407,3,3,2,2,3),Holidays))</f>
        <v/>
      </c>
      <c r="AC407" s="17">
        <f>IF(OR($Z407="",$Z407=6),"",CHOOSE($Z407,"1st Email Follow-up","2nd Email Follow-up","Escalate Local Office","Escalate to CBE","Escalate to Roxanne"))</f>
        <v/>
      </c>
    </row>
    <row r="408" spans="13:29">
      <c r="M408" s="14"/>
      <c r="T408" s="16"/>
      <c r="U408" s="17">
        <f>IF(AND(COUNTA($A408:$L408)=0,$N408=""),"",IF($T408="Paid","PAID",IF($T408="Closed","CLOSED",IF($Z408="","",IF($Z408=6,"ESCALATED TO ROXANNE",IF(TODAY()&gt;$AB408,"OVERDUE",IF($AB408&lt;=WORKDAY(TODAY(),1,Holidays),"DUE TOMORROW",IF($Z408=4,"ESCALATED TO LOCAL OFFICE",IF($Z408=5,"ESCALATED TO CBE",IF($AA408=TODAY(),"EMAIL SENT","MONITORING"))))))))))</f>
        <v/>
      </c>
      <c r="V408" s="17">
        <f>IF($U408="",IF(AND(COUNTA($A408:$L408)&gt;0,$N408=""),"Awaiting Collection Email time stamp.",""),IF(OR($U408="PAID",$U408="CLOSED"),IF($U408="PAID","Account paid. Action completed.","Account closed. No further action required."),CHOOSE($Z408,"Collection Email","1st Email Follow-up","2nd Email Follow-up","Escalation to Local Office","Escalation to CBE","Escalation to Roxanne")&amp;" sent "&amp;TEXT($AA408,"dd-mmm")&amp;". "&amp;IF($Z408=6,"Final escalation completed.",IF($U408="OVERDUE","Next: "&amp;$AC408&amp;" was due "&amp;TEXT($AB408,"dd-mmm")&amp;" - "&amp;(NETWORKDAYS($AB408,TODAY(),Holidays)-1)&amp;" business day(s) late. Send now.",IF($U408="DUE TOMORROW","Next: "&amp;$AC408&amp;IF($AB408&lt;=TODAY()," is due TODAY ("," is due next business day (")&amp;TEXT($AB408,"dd-mmm")&amp;").","Next: "&amp;$AC408&amp;" due "&amp;TEXT($AB408,"dd-mmm")&amp;" ("&amp;(NETWORKDAYS(TODAY(),$AB408,Holidays)-1)&amp;" business day(s) left).")))))</f>
        <v/>
      </c>
      <c r="W408" s="17">
        <f>IF($Z408="","",CHOOSE($Z408,"Collection Email","1st Follow-up","2nd Follow-up","Local Office","CBE","Roxanne")&amp;IF($Z408=6," - Final"," - Day "&amp;MAX(0,NETWORKDAYS($AA408,TODAY(),Holidays)-1)&amp;" of "&amp;CHOOSE($Z408,3,3,2,2,3))&amp;" | Total Day "&amp;MAX(0,NETWORKDAYS($N408,TODAY(),Holidays)-1))</f>
        <v/>
      </c>
      <c r="X408" s="18"/>
      <c r="Y408" s="18"/>
      <c r="Z408" s="17">
        <f>IF($N408="","",COUNT($N408:$S408))</f>
        <v/>
      </c>
      <c r="AA408" s="19">
        <f>IF($Z408="","",INT(INDEX($N408:$S408,$Z408)))</f>
        <v/>
      </c>
      <c r="AB408" s="19">
        <f>IF(OR($Z408="",$Z408=6),"",WORKDAY($AA408,CHOOSE($Z408,3,3,2,2,3),Holidays))</f>
        <v/>
      </c>
      <c r="AC408" s="17">
        <f>IF(OR($Z408="",$Z408=6),"",CHOOSE($Z408,"1st Email Follow-up","2nd Email Follow-up","Escalate Local Office","Escalate to CBE","Escalate to Roxanne"))</f>
        <v/>
      </c>
    </row>
    <row r="409" spans="13:29">
      <c r="M409" s="14"/>
      <c r="T409" s="16"/>
      <c r="U409" s="17">
        <f>IF(AND(COUNTA($A409:$L409)=0,$N409=""),"",IF($T409="Paid","PAID",IF($T409="Closed","CLOSED",IF($Z409="","",IF($Z409=6,"ESCALATED TO ROXANNE",IF(TODAY()&gt;$AB409,"OVERDUE",IF($AB409&lt;=WORKDAY(TODAY(),1,Holidays),"DUE TOMORROW",IF($Z409=4,"ESCALATED TO LOCAL OFFICE",IF($Z409=5,"ESCALATED TO CBE",IF($AA409=TODAY(),"EMAIL SENT","MONITORING"))))))))))</f>
        <v/>
      </c>
      <c r="V409" s="17">
        <f>IF($U409="",IF(AND(COUNTA($A409:$L409)&gt;0,$N409=""),"Awaiting Collection Email time stamp.",""),IF(OR($U409="PAID",$U409="CLOSED"),IF($U409="PAID","Account paid. Action completed.","Account closed. No further action required."),CHOOSE($Z409,"Collection Email","1st Email Follow-up","2nd Email Follow-up","Escalation to Local Office","Escalation to CBE","Escalation to Roxanne")&amp;" sent "&amp;TEXT($AA409,"dd-mmm")&amp;". "&amp;IF($Z409=6,"Final escalation completed.",IF($U409="OVERDUE","Next: "&amp;$AC409&amp;" was due "&amp;TEXT($AB409,"dd-mmm")&amp;" - "&amp;(NETWORKDAYS($AB409,TODAY(),Holidays)-1)&amp;" business day(s) late. Send now.",IF($U409="DUE TOMORROW","Next: "&amp;$AC409&amp;IF($AB409&lt;=TODAY()," is due TODAY ("," is due next business day (")&amp;TEXT($AB409,"dd-mmm")&amp;").","Next: "&amp;$AC409&amp;" due "&amp;TEXT($AB409,"dd-mmm")&amp;" ("&amp;(NETWORKDAYS(TODAY(),$AB409,Holidays)-1)&amp;" business day(s) left).")))))</f>
        <v/>
      </c>
      <c r="W409" s="17">
        <f>IF($Z409="","",CHOOSE($Z409,"Collection Email","1st Follow-up","2nd Follow-up","Local Office","CBE","Roxanne")&amp;IF($Z409=6," - Final"," - Day "&amp;MAX(0,NETWORKDAYS($AA409,TODAY(),Holidays)-1)&amp;" of "&amp;CHOOSE($Z409,3,3,2,2,3))&amp;" | Total Day "&amp;MAX(0,NETWORKDAYS($N409,TODAY(),Holidays)-1))</f>
        <v/>
      </c>
      <c r="X409" s="18"/>
      <c r="Y409" s="18"/>
      <c r="Z409" s="17">
        <f>IF($N409="","",COUNT($N409:$S409))</f>
        <v/>
      </c>
      <c r="AA409" s="19">
        <f>IF($Z409="","",INT(INDEX($N409:$S409,$Z409)))</f>
        <v/>
      </c>
      <c r="AB409" s="19">
        <f>IF(OR($Z409="",$Z409=6),"",WORKDAY($AA409,CHOOSE($Z409,3,3,2,2,3),Holidays))</f>
        <v/>
      </c>
      <c r="AC409" s="17">
        <f>IF(OR($Z409="",$Z409=6),"",CHOOSE($Z409,"1st Email Follow-up","2nd Email Follow-up","Escalate Local Office","Escalate to CBE","Escalate to Roxanne"))</f>
        <v/>
      </c>
    </row>
    <row r="410" spans="13:29">
      <c r="M410" s="14"/>
      <c r="T410" s="16"/>
      <c r="U410" s="17">
        <f>IF(AND(COUNTA($A410:$L410)=0,$N410=""),"",IF($T410="Paid","PAID",IF($T410="Closed","CLOSED",IF($Z410="","",IF($Z410=6,"ESCALATED TO ROXANNE",IF(TODAY()&gt;$AB410,"OVERDUE",IF($AB410&lt;=WORKDAY(TODAY(),1,Holidays),"DUE TOMORROW",IF($Z410=4,"ESCALATED TO LOCAL OFFICE",IF($Z410=5,"ESCALATED TO CBE",IF($AA410=TODAY(),"EMAIL SENT","MONITORING"))))))))))</f>
        <v/>
      </c>
      <c r="V410" s="17">
        <f>IF($U410="",IF(AND(COUNTA($A410:$L410)&gt;0,$N410=""),"Awaiting Collection Email time stamp.",""),IF(OR($U410="PAID",$U410="CLOSED"),IF($U410="PAID","Account paid. Action completed.","Account closed. No further action required."),CHOOSE($Z410,"Collection Email","1st Email Follow-up","2nd Email Follow-up","Escalation to Local Office","Escalation to CBE","Escalation to Roxanne")&amp;" sent "&amp;TEXT($AA410,"dd-mmm")&amp;". "&amp;IF($Z410=6,"Final escalation completed.",IF($U410="OVERDUE","Next: "&amp;$AC410&amp;" was due "&amp;TEXT($AB410,"dd-mmm")&amp;" - "&amp;(NETWORKDAYS($AB410,TODAY(),Holidays)-1)&amp;" business day(s) late. Send now.",IF($U410="DUE TOMORROW","Next: "&amp;$AC410&amp;IF($AB410&lt;=TODAY()," is due TODAY ("," is due next business day (")&amp;TEXT($AB410,"dd-mmm")&amp;").","Next: "&amp;$AC410&amp;" due "&amp;TEXT($AB410,"dd-mmm")&amp;" ("&amp;(NETWORKDAYS(TODAY(),$AB410,Holidays)-1)&amp;" business day(s) left).")))))</f>
        <v/>
      </c>
      <c r="W410" s="17">
        <f>IF($Z410="","",CHOOSE($Z410,"Collection Email","1st Follow-up","2nd Follow-up","Local Office","CBE","Roxanne")&amp;IF($Z410=6," - Final"," - Day "&amp;MAX(0,NETWORKDAYS($AA410,TODAY(),Holidays)-1)&amp;" of "&amp;CHOOSE($Z410,3,3,2,2,3))&amp;" | Total Day "&amp;MAX(0,NETWORKDAYS($N410,TODAY(),Holidays)-1))</f>
        <v/>
      </c>
      <c r="X410" s="18"/>
      <c r="Y410" s="18"/>
      <c r="Z410" s="17">
        <f>IF($N410="","",COUNT($N410:$S410))</f>
        <v/>
      </c>
      <c r="AA410" s="19">
        <f>IF($Z410="","",INT(INDEX($N410:$S410,$Z410)))</f>
        <v/>
      </c>
      <c r="AB410" s="19">
        <f>IF(OR($Z410="",$Z410=6),"",WORKDAY($AA410,CHOOSE($Z410,3,3,2,2,3),Holidays))</f>
        <v/>
      </c>
      <c r="AC410" s="17">
        <f>IF(OR($Z410="",$Z410=6),"",CHOOSE($Z410,"1st Email Follow-up","2nd Email Follow-up","Escalate Local Office","Escalate to CBE","Escalate to Roxanne"))</f>
        <v/>
      </c>
    </row>
    <row r="411" spans="13:29">
      <c r="M411" s="14"/>
      <c r="T411" s="16"/>
      <c r="U411" s="17">
        <f>IF(AND(COUNTA($A411:$L411)=0,$N411=""),"",IF($T411="Paid","PAID",IF($T411="Closed","CLOSED",IF($Z411="","",IF($Z411=6,"ESCALATED TO ROXANNE",IF(TODAY()&gt;$AB411,"OVERDUE",IF($AB411&lt;=WORKDAY(TODAY(),1,Holidays),"DUE TOMORROW",IF($Z411=4,"ESCALATED TO LOCAL OFFICE",IF($Z411=5,"ESCALATED TO CBE",IF($AA411=TODAY(),"EMAIL SENT","MONITORING"))))))))))</f>
        <v/>
      </c>
      <c r="V411" s="17">
        <f>IF($U411="",IF(AND(COUNTA($A411:$L411)&gt;0,$N411=""),"Awaiting Collection Email time stamp.",""),IF(OR($U411="PAID",$U411="CLOSED"),IF($U411="PAID","Account paid. Action completed.","Account closed. No further action required."),CHOOSE($Z411,"Collection Email","1st Email Follow-up","2nd Email Follow-up","Escalation to Local Office","Escalation to CBE","Escalation to Roxanne")&amp;" sent "&amp;TEXT($AA411,"dd-mmm")&amp;". "&amp;IF($Z411=6,"Final escalation completed.",IF($U411="OVERDUE","Next: "&amp;$AC411&amp;" was due "&amp;TEXT($AB411,"dd-mmm")&amp;" - "&amp;(NETWORKDAYS($AB411,TODAY(),Holidays)-1)&amp;" business day(s) late. Send now.",IF($U411="DUE TOMORROW","Next: "&amp;$AC411&amp;IF($AB411&lt;=TODAY()," is due TODAY ("," is due next business day (")&amp;TEXT($AB411,"dd-mmm")&amp;").","Next: "&amp;$AC411&amp;" due "&amp;TEXT($AB411,"dd-mmm")&amp;" ("&amp;(NETWORKDAYS(TODAY(),$AB411,Holidays)-1)&amp;" business day(s) left).")))))</f>
        <v/>
      </c>
      <c r="W411" s="17">
        <f>IF($Z411="","",CHOOSE($Z411,"Collection Email","1st Follow-up","2nd Follow-up","Local Office","CBE","Roxanne")&amp;IF($Z411=6," - Final"," - Day "&amp;MAX(0,NETWORKDAYS($AA411,TODAY(),Holidays)-1)&amp;" of "&amp;CHOOSE($Z411,3,3,2,2,3))&amp;" | Total Day "&amp;MAX(0,NETWORKDAYS($N411,TODAY(),Holidays)-1))</f>
        <v/>
      </c>
      <c r="X411" s="18"/>
      <c r="Y411" s="18"/>
      <c r="Z411" s="17">
        <f>IF($N411="","",COUNT($N411:$S411))</f>
        <v/>
      </c>
      <c r="AA411" s="19">
        <f>IF($Z411="","",INT(INDEX($N411:$S411,$Z411)))</f>
        <v/>
      </c>
      <c r="AB411" s="19">
        <f>IF(OR($Z411="",$Z411=6),"",WORKDAY($AA411,CHOOSE($Z411,3,3,2,2,3),Holidays))</f>
        <v/>
      </c>
      <c r="AC411" s="17">
        <f>IF(OR($Z411="",$Z411=6),"",CHOOSE($Z411,"1st Email Follow-up","2nd Email Follow-up","Escalate Local Office","Escalate to CBE","Escalate to Roxanne"))</f>
        <v/>
      </c>
    </row>
    <row r="412" spans="13:29">
      <c r="M412" s="14"/>
      <c r="T412" s="16"/>
      <c r="U412" s="17">
        <f>IF(AND(COUNTA($A412:$L412)=0,$N412=""),"",IF($T412="Paid","PAID",IF($T412="Closed","CLOSED",IF($Z412="","",IF($Z412=6,"ESCALATED TO ROXANNE",IF(TODAY()&gt;$AB412,"OVERDUE",IF($AB412&lt;=WORKDAY(TODAY(),1,Holidays),"DUE TOMORROW",IF($Z412=4,"ESCALATED TO LOCAL OFFICE",IF($Z412=5,"ESCALATED TO CBE",IF($AA412=TODAY(),"EMAIL SENT","MONITORING"))))))))))</f>
        <v/>
      </c>
      <c r="V412" s="17">
        <f>IF($U412="",IF(AND(COUNTA($A412:$L412)&gt;0,$N412=""),"Awaiting Collection Email time stamp.",""),IF(OR($U412="PAID",$U412="CLOSED"),IF($U412="PAID","Account paid. Action completed.","Account closed. No further action required."),CHOOSE($Z412,"Collection Email","1st Email Follow-up","2nd Email Follow-up","Escalation to Local Office","Escalation to CBE","Escalation to Roxanne")&amp;" sent "&amp;TEXT($AA412,"dd-mmm")&amp;". "&amp;IF($Z412=6,"Final escalation completed.",IF($U412="OVERDUE","Next: "&amp;$AC412&amp;" was due "&amp;TEXT($AB412,"dd-mmm")&amp;" - "&amp;(NETWORKDAYS($AB412,TODAY(),Holidays)-1)&amp;" business day(s) late. Send now.",IF($U412="DUE TOMORROW","Next: "&amp;$AC412&amp;IF($AB412&lt;=TODAY()," is due TODAY ("," is due next business day (")&amp;TEXT($AB412,"dd-mmm")&amp;").","Next: "&amp;$AC412&amp;" due "&amp;TEXT($AB412,"dd-mmm")&amp;" ("&amp;(NETWORKDAYS(TODAY(),$AB412,Holidays)-1)&amp;" business day(s) left).")))))</f>
        <v/>
      </c>
      <c r="W412" s="17">
        <f>IF($Z412="","",CHOOSE($Z412,"Collection Email","1st Follow-up","2nd Follow-up","Local Office","CBE","Roxanne")&amp;IF($Z412=6," - Final"," - Day "&amp;MAX(0,NETWORKDAYS($AA412,TODAY(),Holidays)-1)&amp;" of "&amp;CHOOSE($Z412,3,3,2,2,3))&amp;" | Total Day "&amp;MAX(0,NETWORKDAYS($N412,TODAY(),Holidays)-1))</f>
        <v/>
      </c>
      <c r="X412" s="18"/>
      <c r="Y412" s="18"/>
      <c r="Z412" s="17">
        <f>IF($N412="","",COUNT($N412:$S412))</f>
        <v/>
      </c>
      <c r="AA412" s="19">
        <f>IF($Z412="","",INT(INDEX($N412:$S412,$Z412)))</f>
        <v/>
      </c>
      <c r="AB412" s="19">
        <f>IF(OR($Z412="",$Z412=6),"",WORKDAY($AA412,CHOOSE($Z412,3,3,2,2,3),Holidays))</f>
        <v/>
      </c>
      <c r="AC412" s="17">
        <f>IF(OR($Z412="",$Z412=6),"",CHOOSE($Z412,"1st Email Follow-up","2nd Email Follow-up","Escalate Local Office","Escalate to CBE","Escalate to Roxanne"))</f>
        <v/>
      </c>
    </row>
    <row r="413" spans="13:29">
      <c r="M413" s="14"/>
      <c r="T413" s="16"/>
      <c r="U413" s="17">
        <f>IF(AND(COUNTA($A413:$L413)=0,$N413=""),"",IF($T413="Paid","PAID",IF($T413="Closed","CLOSED",IF($Z413="","",IF($Z413=6,"ESCALATED TO ROXANNE",IF(TODAY()&gt;$AB413,"OVERDUE",IF($AB413&lt;=WORKDAY(TODAY(),1,Holidays),"DUE TOMORROW",IF($Z413=4,"ESCALATED TO LOCAL OFFICE",IF($Z413=5,"ESCALATED TO CBE",IF($AA413=TODAY(),"EMAIL SENT","MONITORING"))))))))))</f>
        <v/>
      </c>
      <c r="V413" s="17">
        <f>IF($U413="",IF(AND(COUNTA($A413:$L413)&gt;0,$N413=""),"Awaiting Collection Email time stamp.",""),IF(OR($U413="PAID",$U413="CLOSED"),IF($U413="PAID","Account paid. Action completed.","Account closed. No further action required."),CHOOSE($Z413,"Collection Email","1st Email Follow-up","2nd Email Follow-up","Escalation to Local Office","Escalation to CBE","Escalation to Roxanne")&amp;" sent "&amp;TEXT($AA413,"dd-mmm")&amp;". "&amp;IF($Z413=6,"Final escalation completed.",IF($U413="OVERDUE","Next: "&amp;$AC413&amp;" was due "&amp;TEXT($AB413,"dd-mmm")&amp;" - "&amp;(NETWORKDAYS($AB413,TODAY(),Holidays)-1)&amp;" business day(s) late. Send now.",IF($U413="DUE TOMORROW","Next: "&amp;$AC413&amp;IF($AB413&lt;=TODAY()," is due TODAY ("," is due next business day (")&amp;TEXT($AB413,"dd-mmm")&amp;").","Next: "&amp;$AC413&amp;" due "&amp;TEXT($AB413,"dd-mmm")&amp;" ("&amp;(NETWORKDAYS(TODAY(),$AB413,Holidays)-1)&amp;" business day(s) left).")))))</f>
        <v/>
      </c>
      <c r="W413" s="17">
        <f>IF($Z413="","",CHOOSE($Z413,"Collection Email","1st Follow-up","2nd Follow-up","Local Office","CBE","Roxanne")&amp;IF($Z413=6," - Final"," - Day "&amp;MAX(0,NETWORKDAYS($AA413,TODAY(),Holidays)-1)&amp;" of "&amp;CHOOSE($Z413,3,3,2,2,3))&amp;" | Total Day "&amp;MAX(0,NETWORKDAYS($N413,TODAY(),Holidays)-1))</f>
        <v/>
      </c>
      <c r="X413" s="18"/>
      <c r="Y413" s="18"/>
      <c r="Z413" s="17">
        <f>IF($N413="","",COUNT($N413:$S413))</f>
        <v/>
      </c>
      <c r="AA413" s="19">
        <f>IF($Z413="","",INT(INDEX($N413:$S413,$Z413)))</f>
        <v/>
      </c>
      <c r="AB413" s="19">
        <f>IF(OR($Z413="",$Z413=6),"",WORKDAY($AA413,CHOOSE($Z413,3,3,2,2,3),Holidays))</f>
        <v/>
      </c>
      <c r="AC413" s="17">
        <f>IF(OR($Z413="",$Z413=6),"",CHOOSE($Z413,"1st Email Follow-up","2nd Email Follow-up","Escalate Local Office","Escalate to CBE","Escalate to Roxanne"))</f>
        <v/>
      </c>
    </row>
    <row r="414" spans="13:29">
      <c r="M414" s="14"/>
      <c r="T414" s="16"/>
      <c r="U414" s="17">
        <f>IF(AND(COUNTA($A414:$L414)=0,$N414=""),"",IF($T414="Paid","PAID",IF($T414="Closed","CLOSED",IF($Z414="","",IF($Z414=6,"ESCALATED TO ROXANNE",IF(TODAY()&gt;$AB414,"OVERDUE",IF($AB414&lt;=WORKDAY(TODAY(),1,Holidays),"DUE TOMORROW",IF($Z414=4,"ESCALATED TO LOCAL OFFICE",IF($Z414=5,"ESCALATED TO CBE",IF($AA414=TODAY(),"EMAIL SENT","MONITORING"))))))))))</f>
        <v/>
      </c>
      <c r="V414" s="17">
        <f>IF($U414="",IF(AND(COUNTA($A414:$L414)&gt;0,$N414=""),"Awaiting Collection Email time stamp.",""),IF(OR($U414="PAID",$U414="CLOSED"),IF($U414="PAID","Account paid. Action completed.","Account closed. No further action required."),CHOOSE($Z414,"Collection Email","1st Email Follow-up","2nd Email Follow-up","Escalation to Local Office","Escalation to CBE","Escalation to Roxanne")&amp;" sent "&amp;TEXT($AA414,"dd-mmm")&amp;". "&amp;IF($Z414=6,"Final escalation completed.",IF($U414="OVERDUE","Next: "&amp;$AC414&amp;" was due "&amp;TEXT($AB414,"dd-mmm")&amp;" - "&amp;(NETWORKDAYS($AB414,TODAY(),Holidays)-1)&amp;" business day(s) late. Send now.",IF($U414="DUE TOMORROW","Next: "&amp;$AC414&amp;IF($AB414&lt;=TODAY()," is due TODAY ("," is due next business day (")&amp;TEXT($AB414,"dd-mmm")&amp;").","Next: "&amp;$AC414&amp;" due "&amp;TEXT($AB414,"dd-mmm")&amp;" ("&amp;(NETWORKDAYS(TODAY(),$AB414,Holidays)-1)&amp;" business day(s) left).")))))</f>
        <v/>
      </c>
      <c r="W414" s="17">
        <f>IF($Z414="","",CHOOSE($Z414,"Collection Email","1st Follow-up","2nd Follow-up","Local Office","CBE","Roxanne")&amp;IF($Z414=6," - Final"," - Day "&amp;MAX(0,NETWORKDAYS($AA414,TODAY(),Holidays)-1)&amp;" of "&amp;CHOOSE($Z414,3,3,2,2,3))&amp;" | Total Day "&amp;MAX(0,NETWORKDAYS($N414,TODAY(),Holidays)-1))</f>
        <v/>
      </c>
      <c r="X414" s="18"/>
      <c r="Y414" s="18"/>
      <c r="Z414" s="17">
        <f>IF($N414="","",COUNT($N414:$S414))</f>
        <v/>
      </c>
      <c r="AA414" s="19">
        <f>IF($Z414="","",INT(INDEX($N414:$S414,$Z414)))</f>
        <v/>
      </c>
      <c r="AB414" s="19">
        <f>IF(OR($Z414="",$Z414=6),"",WORKDAY($AA414,CHOOSE($Z414,3,3,2,2,3),Holidays))</f>
        <v/>
      </c>
      <c r="AC414" s="17">
        <f>IF(OR($Z414="",$Z414=6),"",CHOOSE($Z414,"1st Email Follow-up","2nd Email Follow-up","Escalate Local Office","Escalate to CBE","Escalate to Roxanne"))</f>
        <v/>
      </c>
    </row>
    <row r="415" spans="13:29">
      <c r="M415" s="14"/>
      <c r="T415" s="16"/>
      <c r="U415" s="17">
        <f>IF(AND(COUNTA($A415:$L415)=0,$N415=""),"",IF($T415="Paid","PAID",IF($T415="Closed","CLOSED",IF($Z415="","",IF($Z415=6,"ESCALATED TO ROXANNE",IF(TODAY()&gt;$AB415,"OVERDUE",IF($AB415&lt;=WORKDAY(TODAY(),1,Holidays),"DUE TOMORROW",IF($Z415=4,"ESCALATED TO LOCAL OFFICE",IF($Z415=5,"ESCALATED TO CBE",IF($AA415=TODAY(),"EMAIL SENT","MONITORING"))))))))))</f>
        <v/>
      </c>
      <c r="V415" s="17">
        <f>IF($U415="",IF(AND(COUNTA($A415:$L415)&gt;0,$N415=""),"Awaiting Collection Email time stamp.",""),IF(OR($U415="PAID",$U415="CLOSED"),IF($U415="PAID","Account paid. Action completed.","Account closed. No further action required."),CHOOSE($Z415,"Collection Email","1st Email Follow-up","2nd Email Follow-up","Escalation to Local Office","Escalation to CBE","Escalation to Roxanne")&amp;" sent "&amp;TEXT($AA415,"dd-mmm")&amp;". "&amp;IF($Z415=6,"Final escalation completed.",IF($U415="OVERDUE","Next: "&amp;$AC415&amp;" was due "&amp;TEXT($AB415,"dd-mmm")&amp;" - "&amp;(NETWORKDAYS($AB415,TODAY(),Holidays)-1)&amp;" business day(s) late. Send now.",IF($U415="DUE TOMORROW","Next: "&amp;$AC415&amp;IF($AB415&lt;=TODAY()," is due TODAY ("," is due next business day (")&amp;TEXT($AB415,"dd-mmm")&amp;").","Next: "&amp;$AC415&amp;" due "&amp;TEXT($AB415,"dd-mmm")&amp;" ("&amp;(NETWORKDAYS(TODAY(),$AB415,Holidays)-1)&amp;" business day(s) left).")))))</f>
        <v/>
      </c>
      <c r="W415" s="17">
        <f>IF($Z415="","",CHOOSE($Z415,"Collection Email","1st Follow-up","2nd Follow-up","Local Office","CBE","Roxanne")&amp;IF($Z415=6," - Final"," - Day "&amp;MAX(0,NETWORKDAYS($AA415,TODAY(),Holidays)-1)&amp;" of "&amp;CHOOSE($Z415,3,3,2,2,3))&amp;" | Total Day "&amp;MAX(0,NETWORKDAYS($N415,TODAY(),Holidays)-1))</f>
        <v/>
      </c>
      <c r="X415" s="18"/>
      <c r="Y415" s="18"/>
      <c r="Z415" s="17">
        <f>IF($N415="","",COUNT($N415:$S415))</f>
        <v/>
      </c>
      <c r="AA415" s="19">
        <f>IF($Z415="","",INT(INDEX($N415:$S415,$Z415)))</f>
        <v/>
      </c>
      <c r="AB415" s="19">
        <f>IF(OR($Z415="",$Z415=6),"",WORKDAY($AA415,CHOOSE($Z415,3,3,2,2,3),Holidays))</f>
        <v/>
      </c>
      <c r="AC415" s="17">
        <f>IF(OR($Z415="",$Z415=6),"",CHOOSE($Z415,"1st Email Follow-up","2nd Email Follow-up","Escalate Local Office","Escalate to CBE","Escalate to Roxanne"))</f>
        <v/>
      </c>
    </row>
    <row r="416" spans="13:29">
      <c r="M416" s="14"/>
      <c r="T416" s="16"/>
      <c r="U416" s="17">
        <f>IF(AND(COUNTA($A416:$L416)=0,$N416=""),"",IF($T416="Paid","PAID",IF($T416="Closed","CLOSED",IF($Z416="","",IF($Z416=6,"ESCALATED TO ROXANNE",IF(TODAY()&gt;$AB416,"OVERDUE",IF($AB416&lt;=WORKDAY(TODAY(),1,Holidays),"DUE TOMORROW",IF($Z416=4,"ESCALATED TO LOCAL OFFICE",IF($Z416=5,"ESCALATED TO CBE",IF($AA416=TODAY(),"EMAIL SENT","MONITORING"))))))))))</f>
        <v/>
      </c>
      <c r="V416" s="17">
        <f>IF($U416="",IF(AND(COUNTA($A416:$L416)&gt;0,$N416=""),"Awaiting Collection Email time stamp.",""),IF(OR($U416="PAID",$U416="CLOSED"),IF($U416="PAID","Account paid. Action completed.","Account closed. No further action required."),CHOOSE($Z416,"Collection Email","1st Email Follow-up","2nd Email Follow-up","Escalation to Local Office","Escalation to CBE","Escalation to Roxanne")&amp;" sent "&amp;TEXT($AA416,"dd-mmm")&amp;". "&amp;IF($Z416=6,"Final escalation completed.",IF($U416="OVERDUE","Next: "&amp;$AC416&amp;" was due "&amp;TEXT($AB416,"dd-mmm")&amp;" - "&amp;(NETWORKDAYS($AB416,TODAY(),Holidays)-1)&amp;" business day(s) late. Send now.",IF($U416="DUE TOMORROW","Next: "&amp;$AC416&amp;IF($AB416&lt;=TODAY()," is due TODAY ("," is due next business day (")&amp;TEXT($AB416,"dd-mmm")&amp;").","Next: "&amp;$AC416&amp;" due "&amp;TEXT($AB416,"dd-mmm")&amp;" ("&amp;(NETWORKDAYS(TODAY(),$AB416,Holidays)-1)&amp;" business day(s) left).")))))</f>
        <v/>
      </c>
      <c r="W416" s="17">
        <f>IF($Z416="","",CHOOSE($Z416,"Collection Email","1st Follow-up","2nd Follow-up","Local Office","CBE","Roxanne")&amp;IF($Z416=6," - Final"," - Day "&amp;MAX(0,NETWORKDAYS($AA416,TODAY(),Holidays)-1)&amp;" of "&amp;CHOOSE($Z416,3,3,2,2,3))&amp;" | Total Day "&amp;MAX(0,NETWORKDAYS($N416,TODAY(),Holidays)-1))</f>
        <v/>
      </c>
      <c r="X416" s="18"/>
      <c r="Y416" s="18"/>
      <c r="Z416" s="17">
        <f>IF($N416="","",COUNT($N416:$S416))</f>
        <v/>
      </c>
      <c r="AA416" s="19">
        <f>IF($Z416="","",INT(INDEX($N416:$S416,$Z416)))</f>
        <v/>
      </c>
      <c r="AB416" s="19">
        <f>IF(OR($Z416="",$Z416=6),"",WORKDAY($AA416,CHOOSE($Z416,3,3,2,2,3),Holidays))</f>
        <v/>
      </c>
      <c r="AC416" s="17">
        <f>IF(OR($Z416="",$Z416=6),"",CHOOSE($Z416,"1st Email Follow-up","2nd Email Follow-up","Escalate Local Office","Escalate to CBE","Escalate to Roxanne"))</f>
        <v/>
      </c>
    </row>
    <row r="417" spans="13:29">
      <c r="M417" s="14"/>
      <c r="T417" s="16"/>
      <c r="U417" s="17">
        <f>IF(AND(COUNTA($A417:$L417)=0,$N417=""),"",IF($T417="Paid","PAID",IF($T417="Closed","CLOSED",IF($Z417="","",IF($Z417=6,"ESCALATED TO ROXANNE",IF(TODAY()&gt;$AB417,"OVERDUE",IF($AB417&lt;=WORKDAY(TODAY(),1,Holidays),"DUE TOMORROW",IF($Z417=4,"ESCALATED TO LOCAL OFFICE",IF($Z417=5,"ESCALATED TO CBE",IF($AA417=TODAY(),"EMAIL SENT","MONITORING"))))))))))</f>
        <v/>
      </c>
      <c r="V417" s="17">
        <f>IF($U417="",IF(AND(COUNTA($A417:$L417)&gt;0,$N417=""),"Awaiting Collection Email time stamp.",""),IF(OR($U417="PAID",$U417="CLOSED"),IF($U417="PAID","Account paid. Action completed.","Account closed. No further action required."),CHOOSE($Z417,"Collection Email","1st Email Follow-up","2nd Email Follow-up","Escalation to Local Office","Escalation to CBE","Escalation to Roxanne")&amp;" sent "&amp;TEXT($AA417,"dd-mmm")&amp;". "&amp;IF($Z417=6,"Final escalation completed.",IF($U417="OVERDUE","Next: "&amp;$AC417&amp;" was due "&amp;TEXT($AB417,"dd-mmm")&amp;" - "&amp;(NETWORKDAYS($AB417,TODAY(),Holidays)-1)&amp;" business day(s) late. Send now.",IF($U417="DUE TOMORROW","Next: "&amp;$AC417&amp;IF($AB417&lt;=TODAY()," is due TODAY ("," is due next business day (")&amp;TEXT($AB417,"dd-mmm")&amp;").","Next: "&amp;$AC417&amp;" due "&amp;TEXT($AB417,"dd-mmm")&amp;" ("&amp;(NETWORKDAYS(TODAY(),$AB417,Holidays)-1)&amp;" business day(s) left).")))))</f>
        <v/>
      </c>
      <c r="W417" s="17">
        <f>IF($Z417="","",CHOOSE($Z417,"Collection Email","1st Follow-up","2nd Follow-up","Local Office","CBE","Roxanne")&amp;IF($Z417=6," - Final"," - Day "&amp;MAX(0,NETWORKDAYS($AA417,TODAY(),Holidays)-1)&amp;" of "&amp;CHOOSE($Z417,3,3,2,2,3))&amp;" | Total Day "&amp;MAX(0,NETWORKDAYS($N417,TODAY(),Holidays)-1))</f>
        <v/>
      </c>
      <c r="X417" s="18"/>
      <c r="Y417" s="18"/>
      <c r="Z417" s="17">
        <f>IF($N417="","",COUNT($N417:$S417))</f>
        <v/>
      </c>
      <c r="AA417" s="19">
        <f>IF($Z417="","",INT(INDEX($N417:$S417,$Z417)))</f>
        <v/>
      </c>
      <c r="AB417" s="19">
        <f>IF(OR($Z417="",$Z417=6),"",WORKDAY($AA417,CHOOSE($Z417,3,3,2,2,3),Holidays))</f>
        <v/>
      </c>
      <c r="AC417" s="17">
        <f>IF(OR($Z417="",$Z417=6),"",CHOOSE($Z417,"1st Email Follow-up","2nd Email Follow-up","Escalate Local Office","Escalate to CBE","Escalate to Roxanne"))</f>
        <v/>
      </c>
    </row>
    <row r="418" spans="13:29">
      <c r="M418" s="14"/>
      <c r="T418" s="16"/>
      <c r="U418" s="17">
        <f>IF(AND(COUNTA($A418:$L418)=0,$N418=""),"",IF($T418="Paid","PAID",IF($T418="Closed","CLOSED",IF($Z418="","",IF($Z418=6,"ESCALATED TO ROXANNE",IF(TODAY()&gt;$AB418,"OVERDUE",IF($AB418&lt;=WORKDAY(TODAY(),1,Holidays),"DUE TOMORROW",IF($Z418=4,"ESCALATED TO LOCAL OFFICE",IF($Z418=5,"ESCALATED TO CBE",IF($AA418=TODAY(),"EMAIL SENT","MONITORING"))))))))))</f>
        <v/>
      </c>
      <c r="V418" s="17">
        <f>IF($U418="",IF(AND(COUNTA($A418:$L418)&gt;0,$N418=""),"Awaiting Collection Email time stamp.",""),IF(OR($U418="PAID",$U418="CLOSED"),IF($U418="PAID","Account paid. Action completed.","Account closed. No further action required."),CHOOSE($Z418,"Collection Email","1st Email Follow-up","2nd Email Follow-up","Escalation to Local Office","Escalation to CBE","Escalation to Roxanne")&amp;" sent "&amp;TEXT($AA418,"dd-mmm")&amp;". "&amp;IF($Z418=6,"Final escalation completed.",IF($U418="OVERDUE","Next: "&amp;$AC418&amp;" was due "&amp;TEXT($AB418,"dd-mmm")&amp;" - "&amp;(NETWORKDAYS($AB418,TODAY(),Holidays)-1)&amp;" business day(s) late. Send now.",IF($U418="DUE TOMORROW","Next: "&amp;$AC418&amp;IF($AB418&lt;=TODAY()," is due TODAY ("," is due next business day (")&amp;TEXT($AB418,"dd-mmm")&amp;").","Next: "&amp;$AC418&amp;" due "&amp;TEXT($AB418,"dd-mmm")&amp;" ("&amp;(NETWORKDAYS(TODAY(),$AB418,Holidays)-1)&amp;" business day(s) left).")))))</f>
        <v/>
      </c>
      <c r="W418" s="17">
        <f>IF($Z418="","",CHOOSE($Z418,"Collection Email","1st Follow-up","2nd Follow-up","Local Office","CBE","Roxanne")&amp;IF($Z418=6," - Final"," - Day "&amp;MAX(0,NETWORKDAYS($AA418,TODAY(),Holidays)-1)&amp;" of "&amp;CHOOSE($Z418,3,3,2,2,3))&amp;" | Total Day "&amp;MAX(0,NETWORKDAYS($N418,TODAY(),Holidays)-1))</f>
        <v/>
      </c>
      <c r="X418" s="18"/>
      <c r="Y418" s="18"/>
      <c r="Z418" s="17">
        <f>IF($N418="","",COUNT($N418:$S418))</f>
        <v/>
      </c>
      <c r="AA418" s="19">
        <f>IF($Z418="","",INT(INDEX($N418:$S418,$Z418)))</f>
        <v/>
      </c>
      <c r="AB418" s="19">
        <f>IF(OR($Z418="",$Z418=6),"",WORKDAY($AA418,CHOOSE($Z418,3,3,2,2,3),Holidays))</f>
        <v/>
      </c>
      <c r="AC418" s="17">
        <f>IF(OR($Z418="",$Z418=6),"",CHOOSE($Z418,"1st Email Follow-up","2nd Email Follow-up","Escalate Local Office","Escalate to CBE","Escalate to Roxanne"))</f>
        <v/>
      </c>
    </row>
    <row r="419" spans="13:29">
      <c r="M419" s="14"/>
      <c r="T419" s="16"/>
      <c r="U419" s="17">
        <f>IF(AND(COUNTA($A419:$L419)=0,$N419=""),"",IF($T419="Paid","PAID",IF($T419="Closed","CLOSED",IF($Z419="","",IF($Z419=6,"ESCALATED TO ROXANNE",IF(TODAY()&gt;$AB419,"OVERDUE",IF($AB419&lt;=WORKDAY(TODAY(),1,Holidays),"DUE TOMORROW",IF($Z419=4,"ESCALATED TO LOCAL OFFICE",IF($Z419=5,"ESCALATED TO CBE",IF($AA419=TODAY(),"EMAIL SENT","MONITORING"))))))))))</f>
        <v/>
      </c>
      <c r="V419" s="17">
        <f>IF($U419="",IF(AND(COUNTA($A419:$L419)&gt;0,$N419=""),"Awaiting Collection Email time stamp.",""),IF(OR($U419="PAID",$U419="CLOSED"),IF($U419="PAID","Account paid. Action completed.","Account closed. No further action required."),CHOOSE($Z419,"Collection Email","1st Email Follow-up","2nd Email Follow-up","Escalation to Local Office","Escalation to CBE","Escalation to Roxanne")&amp;" sent "&amp;TEXT($AA419,"dd-mmm")&amp;". "&amp;IF($Z419=6,"Final escalation completed.",IF($U419="OVERDUE","Next: "&amp;$AC419&amp;" was due "&amp;TEXT($AB419,"dd-mmm")&amp;" - "&amp;(NETWORKDAYS($AB419,TODAY(),Holidays)-1)&amp;" business day(s) late. Send now.",IF($U419="DUE TOMORROW","Next: "&amp;$AC419&amp;IF($AB419&lt;=TODAY()," is due TODAY ("," is due next business day (")&amp;TEXT($AB419,"dd-mmm")&amp;").","Next: "&amp;$AC419&amp;" due "&amp;TEXT($AB419,"dd-mmm")&amp;" ("&amp;(NETWORKDAYS(TODAY(),$AB419,Holidays)-1)&amp;" business day(s) left).")))))</f>
        <v/>
      </c>
      <c r="W419" s="17">
        <f>IF($Z419="","",CHOOSE($Z419,"Collection Email","1st Follow-up","2nd Follow-up","Local Office","CBE","Roxanne")&amp;IF($Z419=6," - Final"," - Day "&amp;MAX(0,NETWORKDAYS($AA419,TODAY(),Holidays)-1)&amp;" of "&amp;CHOOSE($Z419,3,3,2,2,3))&amp;" | Total Day "&amp;MAX(0,NETWORKDAYS($N419,TODAY(),Holidays)-1))</f>
        <v/>
      </c>
      <c r="X419" s="18"/>
      <c r="Y419" s="18"/>
      <c r="Z419" s="17">
        <f>IF($N419="","",COUNT($N419:$S419))</f>
        <v/>
      </c>
      <c r="AA419" s="19">
        <f>IF($Z419="","",INT(INDEX($N419:$S419,$Z419)))</f>
        <v/>
      </c>
      <c r="AB419" s="19">
        <f>IF(OR($Z419="",$Z419=6),"",WORKDAY($AA419,CHOOSE($Z419,3,3,2,2,3),Holidays))</f>
        <v/>
      </c>
      <c r="AC419" s="17">
        <f>IF(OR($Z419="",$Z419=6),"",CHOOSE($Z419,"1st Email Follow-up","2nd Email Follow-up","Escalate Local Office","Escalate to CBE","Escalate to Roxanne"))</f>
        <v/>
      </c>
    </row>
    <row r="420" spans="13:29">
      <c r="M420" s="14"/>
      <c r="T420" s="16"/>
      <c r="U420" s="17">
        <f>IF(AND(COUNTA($A420:$L420)=0,$N420=""),"",IF($T420="Paid","PAID",IF($T420="Closed","CLOSED",IF($Z420="","",IF($Z420=6,"ESCALATED TO ROXANNE",IF(TODAY()&gt;$AB420,"OVERDUE",IF($AB420&lt;=WORKDAY(TODAY(),1,Holidays),"DUE TOMORROW",IF($Z420=4,"ESCALATED TO LOCAL OFFICE",IF($Z420=5,"ESCALATED TO CBE",IF($AA420=TODAY(),"EMAIL SENT","MONITORING"))))))))))</f>
        <v/>
      </c>
      <c r="V420" s="17">
        <f>IF($U420="",IF(AND(COUNTA($A420:$L420)&gt;0,$N420=""),"Awaiting Collection Email time stamp.",""),IF(OR($U420="PAID",$U420="CLOSED"),IF($U420="PAID","Account paid. Action completed.","Account closed. No further action required."),CHOOSE($Z420,"Collection Email","1st Email Follow-up","2nd Email Follow-up","Escalation to Local Office","Escalation to CBE","Escalation to Roxanne")&amp;" sent "&amp;TEXT($AA420,"dd-mmm")&amp;". "&amp;IF($Z420=6,"Final escalation completed.",IF($U420="OVERDUE","Next: "&amp;$AC420&amp;" was due "&amp;TEXT($AB420,"dd-mmm")&amp;" - "&amp;(NETWORKDAYS($AB420,TODAY(),Holidays)-1)&amp;" business day(s) late. Send now.",IF($U420="DUE TOMORROW","Next: "&amp;$AC420&amp;IF($AB420&lt;=TODAY()," is due TODAY ("," is due next business day (")&amp;TEXT($AB420,"dd-mmm")&amp;").","Next: "&amp;$AC420&amp;" due "&amp;TEXT($AB420,"dd-mmm")&amp;" ("&amp;(NETWORKDAYS(TODAY(),$AB420,Holidays)-1)&amp;" business day(s) left).")))))</f>
        <v/>
      </c>
      <c r="W420" s="17">
        <f>IF($Z420="","",CHOOSE($Z420,"Collection Email","1st Follow-up","2nd Follow-up","Local Office","CBE","Roxanne")&amp;IF($Z420=6," - Final"," - Day "&amp;MAX(0,NETWORKDAYS($AA420,TODAY(),Holidays)-1)&amp;" of "&amp;CHOOSE($Z420,3,3,2,2,3))&amp;" | Total Day "&amp;MAX(0,NETWORKDAYS($N420,TODAY(),Holidays)-1))</f>
        <v/>
      </c>
      <c r="X420" s="18"/>
      <c r="Y420" s="18"/>
      <c r="Z420" s="17">
        <f>IF($N420="","",COUNT($N420:$S420))</f>
        <v/>
      </c>
      <c r="AA420" s="19">
        <f>IF($Z420="","",INT(INDEX($N420:$S420,$Z420)))</f>
        <v/>
      </c>
      <c r="AB420" s="19">
        <f>IF(OR($Z420="",$Z420=6),"",WORKDAY($AA420,CHOOSE($Z420,3,3,2,2,3),Holidays))</f>
        <v/>
      </c>
      <c r="AC420" s="17">
        <f>IF(OR($Z420="",$Z420=6),"",CHOOSE($Z420,"1st Email Follow-up","2nd Email Follow-up","Escalate Local Office","Escalate to CBE","Escalate to Roxanne"))</f>
        <v/>
      </c>
    </row>
    <row r="421" spans="13:29">
      <c r="M421" s="14"/>
      <c r="T421" s="16"/>
      <c r="U421" s="17">
        <f>IF(AND(COUNTA($A421:$L421)=0,$N421=""),"",IF($T421="Paid","PAID",IF($T421="Closed","CLOSED",IF($Z421="","",IF($Z421=6,"ESCALATED TO ROXANNE",IF(TODAY()&gt;$AB421,"OVERDUE",IF($AB421&lt;=WORKDAY(TODAY(),1,Holidays),"DUE TOMORROW",IF($Z421=4,"ESCALATED TO LOCAL OFFICE",IF($Z421=5,"ESCALATED TO CBE",IF($AA421=TODAY(),"EMAIL SENT","MONITORING"))))))))))</f>
        <v/>
      </c>
      <c r="V421" s="17">
        <f>IF($U421="",IF(AND(COUNTA($A421:$L421)&gt;0,$N421=""),"Awaiting Collection Email time stamp.",""),IF(OR($U421="PAID",$U421="CLOSED"),IF($U421="PAID","Account paid. Action completed.","Account closed. No further action required."),CHOOSE($Z421,"Collection Email","1st Email Follow-up","2nd Email Follow-up","Escalation to Local Office","Escalation to CBE","Escalation to Roxanne")&amp;" sent "&amp;TEXT($AA421,"dd-mmm")&amp;". "&amp;IF($Z421=6,"Final escalation completed.",IF($U421="OVERDUE","Next: "&amp;$AC421&amp;" was due "&amp;TEXT($AB421,"dd-mmm")&amp;" - "&amp;(NETWORKDAYS($AB421,TODAY(),Holidays)-1)&amp;" business day(s) late. Send now.",IF($U421="DUE TOMORROW","Next: "&amp;$AC421&amp;IF($AB421&lt;=TODAY()," is due TODAY ("," is due next business day (")&amp;TEXT($AB421,"dd-mmm")&amp;").","Next: "&amp;$AC421&amp;" due "&amp;TEXT($AB421,"dd-mmm")&amp;" ("&amp;(NETWORKDAYS(TODAY(),$AB421,Holidays)-1)&amp;" business day(s) left).")))))</f>
        <v/>
      </c>
      <c r="W421" s="17">
        <f>IF($Z421="","",CHOOSE($Z421,"Collection Email","1st Follow-up","2nd Follow-up","Local Office","CBE","Roxanne")&amp;IF($Z421=6," - Final"," - Day "&amp;MAX(0,NETWORKDAYS($AA421,TODAY(),Holidays)-1)&amp;" of "&amp;CHOOSE($Z421,3,3,2,2,3))&amp;" | Total Day "&amp;MAX(0,NETWORKDAYS($N421,TODAY(),Holidays)-1))</f>
        <v/>
      </c>
      <c r="X421" s="18"/>
      <c r="Y421" s="18"/>
      <c r="Z421" s="17">
        <f>IF($N421="","",COUNT($N421:$S421))</f>
        <v/>
      </c>
      <c r="AA421" s="19">
        <f>IF($Z421="","",INT(INDEX($N421:$S421,$Z421)))</f>
        <v/>
      </c>
      <c r="AB421" s="19">
        <f>IF(OR($Z421="",$Z421=6),"",WORKDAY($AA421,CHOOSE($Z421,3,3,2,2,3),Holidays))</f>
        <v/>
      </c>
      <c r="AC421" s="17">
        <f>IF(OR($Z421="",$Z421=6),"",CHOOSE($Z421,"1st Email Follow-up","2nd Email Follow-up","Escalate Local Office","Escalate to CBE","Escalate to Roxanne"))</f>
        <v/>
      </c>
    </row>
    <row r="422" spans="13:29">
      <c r="M422" s="14"/>
      <c r="T422" s="16"/>
      <c r="U422" s="17">
        <f>IF(AND(COUNTA($A422:$L422)=0,$N422=""),"",IF($T422="Paid","PAID",IF($T422="Closed","CLOSED",IF($Z422="","",IF($Z422=6,"ESCALATED TO ROXANNE",IF(TODAY()&gt;$AB422,"OVERDUE",IF($AB422&lt;=WORKDAY(TODAY(),1,Holidays),"DUE TOMORROW",IF($Z422=4,"ESCALATED TO LOCAL OFFICE",IF($Z422=5,"ESCALATED TO CBE",IF($AA422=TODAY(),"EMAIL SENT","MONITORING"))))))))))</f>
        <v/>
      </c>
      <c r="V422" s="17">
        <f>IF($U422="",IF(AND(COUNTA($A422:$L422)&gt;0,$N422=""),"Awaiting Collection Email time stamp.",""),IF(OR($U422="PAID",$U422="CLOSED"),IF($U422="PAID","Account paid. Action completed.","Account closed. No further action required."),CHOOSE($Z422,"Collection Email","1st Email Follow-up","2nd Email Follow-up","Escalation to Local Office","Escalation to CBE","Escalation to Roxanne")&amp;" sent "&amp;TEXT($AA422,"dd-mmm")&amp;". "&amp;IF($Z422=6,"Final escalation completed.",IF($U422="OVERDUE","Next: "&amp;$AC422&amp;" was due "&amp;TEXT($AB422,"dd-mmm")&amp;" - "&amp;(NETWORKDAYS($AB422,TODAY(),Holidays)-1)&amp;" business day(s) late. Send now.",IF($U422="DUE TOMORROW","Next: "&amp;$AC422&amp;IF($AB422&lt;=TODAY()," is due TODAY ("," is due next business day (")&amp;TEXT($AB422,"dd-mmm")&amp;").","Next: "&amp;$AC422&amp;" due "&amp;TEXT($AB422,"dd-mmm")&amp;" ("&amp;(NETWORKDAYS(TODAY(),$AB422,Holidays)-1)&amp;" business day(s) left).")))))</f>
        <v/>
      </c>
      <c r="W422" s="17">
        <f>IF($Z422="","",CHOOSE($Z422,"Collection Email","1st Follow-up","2nd Follow-up","Local Office","CBE","Roxanne")&amp;IF($Z422=6," - Final"," - Day "&amp;MAX(0,NETWORKDAYS($AA422,TODAY(),Holidays)-1)&amp;" of "&amp;CHOOSE($Z422,3,3,2,2,3))&amp;" | Total Day "&amp;MAX(0,NETWORKDAYS($N422,TODAY(),Holidays)-1))</f>
        <v/>
      </c>
      <c r="X422" s="18"/>
      <c r="Y422" s="18"/>
      <c r="Z422" s="17">
        <f>IF($N422="","",COUNT($N422:$S422))</f>
        <v/>
      </c>
      <c r="AA422" s="19">
        <f>IF($Z422="","",INT(INDEX($N422:$S422,$Z422)))</f>
        <v/>
      </c>
      <c r="AB422" s="19">
        <f>IF(OR($Z422="",$Z422=6),"",WORKDAY($AA422,CHOOSE($Z422,3,3,2,2,3),Holidays))</f>
        <v/>
      </c>
      <c r="AC422" s="17">
        <f>IF(OR($Z422="",$Z422=6),"",CHOOSE($Z422,"1st Email Follow-up","2nd Email Follow-up","Escalate Local Office","Escalate to CBE","Escalate to Roxanne"))</f>
        <v/>
      </c>
    </row>
    <row r="423" spans="13:29">
      <c r="M423" s="14"/>
      <c r="T423" s="16"/>
      <c r="U423" s="17">
        <f>IF(AND(COUNTA($A423:$L423)=0,$N423=""),"",IF($T423="Paid","PAID",IF($T423="Closed","CLOSED",IF($Z423="","",IF($Z423=6,"ESCALATED TO ROXANNE",IF(TODAY()&gt;$AB423,"OVERDUE",IF($AB423&lt;=WORKDAY(TODAY(),1,Holidays),"DUE TOMORROW",IF($Z423=4,"ESCALATED TO LOCAL OFFICE",IF($Z423=5,"ESCALATED TO CBE",IF($AA423=TODAY(),"EMAIL SENT","MONITORING"))))))))))</f>
        <v/>
      </c>
      <c r="V423" s="17">
        <f>IF($U423="",IF(AND(COUNTA($A423:$L423)&gt;0,$N423=""),"Awaiting Collection Email time stamp.",""),IF(OR($U423="PAID",$U423="CLOSED"),IF($U423="PAID","Account paid. Action completed.","Account closed. No further action required."),CHOOSE($Z423,"Collection Email","1st Email Follow-up","2nd Email Follow-up","Escalation to Local Office","Escalation to CBE","Escalation to Roxanne")&amp;" sent "&amp;TEXT($AA423,"dd-mmm")&amp;". "&amp;IF($Z423=6,"Final escalation completed.",IF($U423="OVERDUE","Next: "&amp;$AC423&amp;" was due "&amp;TEXT($AB423,"dd-mmm")&amp;" - "&amp;(NETWORKDAYS($AB423,TODAY(),Holidays)-1)&amp;" business day(s) late. Send now.",IF($U423="DUE TOMORROW","Next: "&amp;$AC423&amp;IF($AB423&lt;=TODAY()," is due TODAY ("," is due next business day (")&amp;TEXT($AB423,"dd-mmm")&amp;").","Next: "&amp;$AC423&amp;" due "&amp;TEXT($AB423,"dd-mmm")&amp;" ("&amp;(NETWORKDAYS(TODAY(),$AB423,Holidays)-1)&amp;" business day(s) left).")))))</f>
        <v/>
      </c>
      <c r="W423" s="17">
        <f>IF($Z423="","",CHOOSE($Z423,"Collection Email","1st Follow-up","2nd Follow-up","Local Office","CBE","Roxanne")&amp;IF($Z423=6," - Final"," - Day "&amp;MAX(0,NETWORKDAYS($AA423,TODAY(),Holidays)-1)&amp;" of "&amp;CHOOSE($Z423,3,3,2,2,3))&amp;" | Total Day "&amp;MAX(0,NETWORKDAYS($N423,TODAY(),Holidays)-1))</f>
        <v/>
      </c>
      <c r="X423" s="18"/>
      <c r="Y423" s="18"/>
      <c r="Z423" s="17">
        <f>IF($N423="","",COUNT($N423:$S423))</f>
        <v/>
      </c>
      <c r="AA423" s="19">
        <f>IF($Z423="","",INT(INDEX($N423:$S423,$Z423)))</f>
        <v/>
      </c>
      <c r="AB423" s="19">
        <f>IF(OR($Z423="",$Z423=6),"",WORKDAY($AA423,CHOOSE($Z423,3,3,2,2,3),Holidays))</f>
        <v/>
      </c>
      <c r="AC423" s="17">
        <f>IF(OR($Z423="",$Z423=6),"",CHOOSE($Z423,"1st Email Follow-up","2nd Email Follow-up","Escalate Local Office","Escalate to CBE","Escalate to Roxanne"))</f>
        <v/>
      </c>
    </row>
    <row r="424" spans="13:29">
      <c r="M424" s="14"/>
      <c r="T424" s="16"/>
      <c r="U424" s="17">
        <f>IF(AND(COUNTA($A424:$L424)=0,$N424=""),"",IF($T424="Paid","PAID",IF($T424="Closed","CLOSED",IF($Z424="","",IF($Z424=6,"ESCALATED TO ROXANNE",IF(TODAY()&gt;$AB424,"OVERDUE",IF($AB424&lt;=WORKDAY(TODAY(),1,Holidays),"DUE TOMORROW",IF($Z424=4,"ESCALATED TO LOCAL OFFICE",IF($Z424=5,"ESCALATED TO CBE",IF($AA424=TODAY(),"EMAIL SENT","MONITORING"))))))))))</f>
        <v/>
      </c>
      <c r="V424" s="17">
        <f>IF($U424="",IF(AND(COUNTA($A424:$L424)&gt;0,$N424=""),"Awaiting Collection Email time stamp.",""),IF(OR($U424="PAID",$U424="CLOSED"),IF($U424="PAID","Account paid. Action completed.","Account closed. No further action required."),CHOOSE($Z424,"Collection Email","1st Email Follow-up","2nd Email Follow-up","Escalation to Local Office","Escalation to CBE","Escalation to Roxanne")&amp;" sent "&amp;TEXT($AA424,"dd-mmm")&amp;". "&amp;IF($Z424=6,"Final escalation completed.",IF($U424="OVERDUE","Next: "&amp;$AC424&amp;" was due "&amp;TEXT($AB424,"dd-mmm")&amp;" - "&amp;(NETWORKDAYS($AB424,TODAY(),Holidays)-1)&amp;" business day(s) late. Send now.",IF($U424="DUE TOMORROW","Next: "&amp;$AC424&amp;IF($AB424&lt;=TODAY()," is due TODAY ("," is due next business day (")&amp;TEXT($AB424,"dd-mmm")&amp;").","Next: "&amp;$AC424&amp;" due "&amp;TEXT($AB424,"dd-mmm")&amp;" ("&amp;(NETWORKDAYS(TODAY(),$AB424,Holidays)-1)&amp;" business day(s) left).")))))</f>
        <v/>
      </c>
      <c r="W424" s="17">
        <f>IF($Z424="","",CHOOSE($Z424,"Collection Email","1st Follow-up","2nd Follow-up","Local Office","CBE","Roxanne")&amp;IF($Z424=6," - Final"," - Day "&amp;MAX(0,NETWORKDAYS($AA424,TODAY(),Holidays)-1)&amp;" of "&amp;CHOOSE($Z424,3,3,2,2,3))&amp;" | Total Day "&amp;MAX(0,NETWORKDAYS($N424,TODAY(),Holidays)-1))</f>
        <v/>
      </c>
      <c r="X424" s="18"/>
      <c r="Y424" s="18"/>
      <c r="Z424" s="17">
        <f>IF($N424="","",COUNT($N424:$S424))</f>
        <v/>
      </c>
      <c r="AA424" s="19">
        <f>IF($Z424="","",INT(INDEX($N424:$S424,$Z424)))</f>
        <v/>
      </c>
      <c r="AB424" s="19">
        <f>IF(OR($Z424="",$Z424=6),"",WORKDAY($AA424,CHOOSE($Z424,3,3,2,2,3),Holidays))</f>
        <v/>
      </c>
      <c r="AC424" s="17">
        <f>IF(OR($Z424="",$Z424=6),"",CHOOSE($Z424,"1st Email Follow-up","2nd Email Follow-up","Escalate Local Office","Escalate to CBE","Escalate to Roxanne"))</f>
        <v/>
      </c>
    </row>
    <row r="425" spans="13:29">
      <c r="M425" s="14"/>
      <c r="T425" s="16"/>
      <c r="U425" s="17">
        <f>IF(AND(COUNTA($A425:$L425)=0,$N425=""),"",IF($T425="Paid","PAID",IF($T425="Closed","CLOSED",IF($Z425="","",IF($Z425=6,"ESCALATED TO ROXANNE",IF(TODAY()&gt;$AB425,"OVERDUE",IF($AB425&lt;=WORKDAY(TODAY(),1,Holidays),"DUE TOMORROW",IF($Z425=4,"ESCALATED TO LOCAL OFFICE",IF($Z425=5,"ESCALATED TO CBE",IF($AA425=TODAY(),"EMAIL SENT","MONITORING"))))))))))</f>
        <v/>
      </c>
      <c r="V425" s="17">
        <f>IF($U425="",IF(AND(COUNTA($A425:$L425)&gt;0,$N425=""),"Awaiting Collection Email time stamp.",""),IF(OR($U425="PAID",$U425="CLOSED"),IF($U425="PAID","Account paid. Action completed.","Account closed. No further action required."),CHOOSE($Z425,"Collection Email","1st Email Follow-up","2nd Email Follow-up","Escalation to Local Office","Escalation to CBE","Escalation to Roxanne")&amp;" sent "&amp;TEXT($AA425,"dd-mmm")&amp;". "&amp;IF($Z425=6,"Final escalation completed.",IF($U425="OVERDUE","Next: "&amp;$AC425&amp;" was due "&amp;TEXT($AB425,"dd-mmm")&amp;" - "&amp;(NETWORKDAYS($AB425,TODAY(),Holidays)-1)&amp;" business day(s) late. Send now.",IF($U425="DUE TOMORROW","Next: "&amp;$AC425&amp;IF($AB425&lt;=TODAY()," is due TODAY ("," is due next business day (")&amp;TEXT($AB425,"dd-mmm")&amp;").","Next: "&amp;$AC425&amp;" due "&amp;TEXT($AB425,"dd-mmm")&amp;" ("&amp;(NETWORKDAYS(TODAY(),$AB425,Holidays)-1)&amp;" business day(s) left).")))))</f>
        <v/>
      </c>
      <c r="W425" s="17">
        <f>IF($Z425="","",CHOOSE($Z425,"Collection Email","1st Follow-up","2nd Follow-up","Local Office","CBE","Roxanne")&amp;IF($Z425=6," - Final"," - Day "&amp;MAX(0,NETWORKDAYS($AA425,TODAY(),Holidays)-1)&amp;" of "&amp;CHOOSE($Z425,3,3,2,2,3))&amp;" | Total Day "&amp;MAX(0,NETWORKDAYS($N425,TODAY(),Holidays)-1))</f>
        <v/>
      </c>
      <c r="X425" s="18"/>
      <c r="Y425" s="18"/>
      <c r="Z425" s="17">
        <f>IF($N425="","",COUNT($N425:$S425))</f>
        <v/>
      </c>
      <c r="AA425" s="19">
        <f>IF($Z425="","",INT(INDEX($N425:$S425,$Z425)))</f>
        <v/>
      </c>
      <c r="AB425" s="19">
        <f>IF(OR($Z425="",$Z425=6),"",WORKDAY($AA425,CHOOSE($Z425,3,3,2,2,3),Holidays))</f>
        <v/>
      </c>
      <c r="AC425" s="17">
        <f>IF(OR($Z425="",$Z425=6),"",CHOOSE($Z425,"1st Email Follow-up","2nd Email Follow-up","Escalate Local Office","Escalate to CBE","Escalate to Roxanne"))</f>
        <v/>
      </c>
    </row>
    <row r="426" spans="13:29">
      <c r="M426" s="14"/>
      <c r="T426" s="16"/>
      <c r="U426" s="17">
        <f>IF(AND(COUNTA($A426:$L426)=0,$N426=""),"",IF($T426="Paid","PAID",IF($T426="Closed","CLOSED",IF($Z426="","",IF($Z426=6,"ESCALATED TO ROXANNE",IF(TODAY()&gt;$AB426,"OVERDUE",IF($AB426&lt;=WORKDAY(TODAY(),1,Holidays),"DUE TOMORROW",IF($Z426=4,"ESCALATED TO LOCAL OFFICE",IF($Z426=5,"ESCALATED TO CBE",IF($AA426=TODAY(),"EMAIL SENT","MONITORING"))))))))))</f>
        <v/>
      </c>
      <c r="V426" s="17">
        <f>IF($U426="",IF(AND(COUNTA($A426:$L426)&gt;0,$N426=""),"Awaiting Collection Email time stamp.",""),IF(OR($U426="PAID",$U426="CLOSED"),IF($U426="PAID","Account paid. Action completed.","Account closed. No further action required."),CHOOSE($Z426,"Collection Email","1st Email Follow-up","2nd Email Follow-up","Escalation to Local Office","Escalation to CBE","Escalation to Roxanne")&amp;" sent "&amp;TEXT($AA426,"dd-mmm")&amp;". "&amp;IF($Z426=6,"Final escalation completed.",IF($U426="OVERDUE","Next: "&amp;$AC426&amp;" was due "&amp;TEXT($AB426,"dd-mmm")&amp;" - "&amp;(NETWORKDAYS($AB426,TODAY(),Holidays)-1)&amp;" business day(s) late. Send now.",IF($U426="DUE TOMORROW","Next: "&amp;$AC426&amp;IF($AB426&lt;=TODAY()," is due TODAY ("," is due next business day (")&amp;TEXT($AB426,"dd-mmm")&amp;").","Next: "&amp;$AC426&amp;" due "&amp;TEXT($AB426,"dd-mmm")&amp;" ("&amp;(NETWORKDAYS(TODAY(),$AB426,Holidays)-1)&amp;" business day(s) left).")))))</f>
        <v/>
      </c>
      <c r="W426" s="17">
        <f>IF($Z426="","",CHOOSE($Z426,"Collection Email","1st Follow-up","2nd Follow-up","Local Office","CBE","Roxanne")&amp;IF($Z426=6," - Final"," - Day "&amp;MAX(0,NETWORKDAYS($AA426,TODAY(),Holidays)-1)&amp;" of "&amp;CHOOSE($Z426,3,3,2,2,3))&amp;" | Total Day "&amp;MAX(0,NETWORKDAYS($N426,TODAY(),Holidays)-1))</f>
        <v/>
      </c>
      <c r="X426" s="18"/>
      <c r="Y426" s="18"/>
      <c r="Z426" s="17">
        <f>IF($N426="","",COUNT($N426:$S426))</f>
        <v/>
      </c>
      <c r="AA426" s="19">
        <f>IF($Z426="","",INT(INDEX($N426:$S426,$Z426)))</f>
        <v/>
      </c>
      <c r="AB426" s="19">
        <f>IF(OR($Z426="",$Z426=6),"",WORKDAY($AA426,CHOOSE($Z426,3,3,2,2,3),Holidays))</f>
        <v/>
      </c>
      <c r="AC426" s="17">
        <f>IF(OR($Z426="",$Z426=6),"",CHOOSE($Z426,"1st Email Follow-up","2nd Email Follow-up","Escalate Local Office","Escalate to CBE","Escalate to Roxanne"))</f>
        <v/>
      </c>
    </row>
    <row r="427" spans="13:29">
      <c r="M427" s="14"/>
      <c r="T427" s="16"/>
      <c r="U427" s="17">
        <f>IF(AND(COUNTA($A427:$L427)=0,$N427=""),"",IF($T427="Paid","PAID",IF($T427="Closed","CLOSED",IF($Z427="","",IF($Z427=6,"ESCALATED TO ROXANNE",IF(TODAY()&gt;$AB427,"OVERDUE",IF($AB427&lt;=WORKDAY(TODAY(),1,Holidays),"DUE TOMORROW",IF($Z427=4,"ESCALATED TO LOCAL OFFICE",IF($Z427=5,"ESCALATED TO CBE",IF($AA427=TODAY(),"EMAIL SENT","MONITORING"))))))))))</f>
        <v/>
      </c>
      <c r="V427" s="17">
        <f>IF($U427="",IF(AND(COUNTA($A427:$L427)&gt;0,$N427=""),"Awaiting Collection Email time stamp.",""),IF(OR($U427="PAID",$U427="CLOSED"),IF($U427="PAID","Account paid. Action completed.","Account closed. No further action required."),CHOOSE($Z427,"Collection Email","1st Email Follow-up","2nd Email Follow-up","Escalation to Local Office","Escalation to CBE","Escalation to Roxanne")&amp;" sent "&amp;TEXT($AA427,"dd-mmm")&amp;". "&amp;IF($Z427=6,"Final escalation completed.",IF($U427="OVERDUE","Next: "&amp;$AC427&amp;" was due "&amp;TEXT($AB427,"dd-mmm")&amp;" - "&amp;(NETWORKDAYS($AB427,TODAY(),Holidays)-1)&amp;" business day(s) late. Send now.",IF($U427="DUE TOMORROW","Next: "&amp;$AC427&amp;IF($AB427&lt;=TODAY()," is due TODAY ("," is due next business day (")&amp;TEXT($AB427,"dd-mmm")&amp;").","Next: "&amp;$AC427&amp;" due "&amp;TEXT($AB427,"dd-mmm")&amp;" ("&amp;(NETWORKDAYS(TODAY(),$AB427,Holidays)-1)&amp;" business day(s) left).")))))</f>
        <v/>
      </c>
      <c r="W427" s="17">
        <f>IF($Z427="","",CHOOSE($Z427,"Collection Email","1st Follow-up","2nd Follow-up","Local Office","CBE","Roxanne")&amp;IF($Z427=6," - Final"," - Day "&amp;MAX(0,NETWORKDAYS($AA427,TODAY(),Holidays)-1)&amp;" of "&amp;CHOOSE($Z427,3,3,2,2,3))&amp;" | Total Day "&amp;MAX(0,NETWORKDAYS($N427,TODAY(),Holidays)-1))</f>
        <v/>
      </c>
      <c r="X427" s="18"/>
      <c r="Y427" s="18"/>
      <c r="Z427" s="17">
        <f>IF($N427="","",COUNT($N427:$S427))</f>
        <v/>
      </c>
      <c r="AA427" s="19">
        <f>IF($Z427="","",INT(INDEX($N427:$S427,$Z427)))</f>
        <v/>
      </c>
      <c r="AB427" s="19">
        <f>IF(OR($Z427="",$Z427=6),"",WORKDAY($AA427,CHOOSE($Z427,3,3,2,2,3),Holidays))</f>
        <v/>
      </c>
      <c r="AC427" s="17">
        <f>IF(OR($Z427="",$Z427=6),"",CHOOSE($Z427,"1st Email Follow-up","2nd Email Follow-up","Escalate Local Office","Escalate to CBE","Escalate to Roxanne"))</f>
        <v/>
      </c>
    </row>
    <row r="428" spans="13:29">
      <c r="M428" s="14"/>
      <c r="T428" s="16"/>
      <c r="U428" s="17">
        <f>IF(AND(COUNTA($A428:$L428)=0,$N428=""),"",IF($T428="Paid","PAID",IF($T428="Closed","CLOSED",IF($Z428="","",IF($Z428=6,"ESCALATED TO ROXANNE",IF(TODAY()&gt;$AB428,"OVERDUE",IF($AB428&lt;=WORKDAY(TODAY(),1,Holidays),"DUE TOMORROW",IF($Z428=4,"ESCALATED TO LOCAL OFFICE",IF($Z428=5,"ESCALATED TO CBE",IF($AA428=TODAY(),"EMAIL SENT","MONITORING"))))))))))</f>
        <v/>
      </c>
      <c r="V428" s="17">
        <f>IF($U428="",IF(AND(COUNTA($A428:$L428)&gt;0,$N428=""),"Awaiting Collection Email time stamp.",""),IF(OR($U428="PAID",$U428="CLOSED"),IF($U428="PAID","Account paid. Action completed.","Account closed. No further action required."),CHOOSE($Z428,"Collection Email","1st Email Follow-up","2nd Email Follow-up","Escalation to Local Office","Escalation to CBE","Escalation to Roxanne")&amp;" sent "&amp;TEXT($AA428,"dd-mmm")&amp;". "&amp;IF($Z428=6,"Final escalation completed.",IF($U428="OVERDUE","Next: "&amp;$AC428&amp;" was due "&amp;TEXT($AB428,"dd-mmm")&amp;" - "&amp;(NETWORKDAYS($AB428,TODAY(),Holidays)-1)&amp;" business day(s) late. Send now.",IF($U428="DUE TOMORROW","Next: "&amp;$AC428&amp;IF($AB428&lt;=TODAY()," is due TODAY ("," is due next business day (")&amp;TEXT($AB428,"dd-mmm")&amp;").","Next: "&amp;$AC428&amp;" due "&amp;TEXT($AB428,"dd-mmm")&amp;" ("&amp;(NETWORKDAYS(TODAY(),$AB428,Holidays)-1)&amp;" business day(s) left).")))))</f>
        <v/>
      </c>
      <c r="W428" s="17">
        <f>IF($Z428="","",CHOOSE($Z428,"Collection Email","1st Follow-up","2nd Follow-up","Local Office","CBE","Roxanne")&amp;IF($Z428=6," - Final"," - Day "&amp;MAX(0,NETWORKDAYS($AA428,TODAY(),Holidays)-1)&amp;" of "&amp;CHOOSE($Z428,3,3,2,2,3))&amp;" | Total Day "&amp;MAX(0,NETWORKDAYS($N428,TODAY(),Holidays)-1))</f>
        <v/>
      </c>
      <c r="X428" s="18"/>
      <c r="Y428" s="18"/>
      <c r="Z428" s="17">
        <f>IF($N428="","",COUNT($N428:$S428))</f>
        <v/>
      </c>
      <c r="AA428" s="19">
        <f>IF($Z428="","",INT(INDEX($N428:$S428,$Z428)))</f>
        <v/>
      </c>
      <c r="AB428" s="19">
        <f>IF(OR($Z428="",$Z428=6),"",WORKDAY($AA428,CHOOSE($Z428,3,3,2,2,3),Holidays))</f>
        <v/>
      </c>
      <c r="AC428" s="17">
        <f>IF(OR($Z428="",$Z428=6),"",CHOOSE($Z428,"1st Email Follow-up","2nd Email Follow-up","Escalate Local Office","Escalate to CBE","Escalate to Roxanne"))</f>
        <v/>
      </c>
    </row>
    <row r="429" spans="13:29">
      <c r="M429" s="14"/>
      <c r="T429" s="16"/>
      <c r="U429" s="17">
        <f>IF(AND(COUNTA($A429:$L429)=0,$N429=""),"",IF($T429="Paid","PAID",IF($T429="Closed","CLOSED",IF($Z429="","",IF($Z429=6,"ESCALATED TO ROXANNE",IF(TODAY()&gt;$AB429,"OVERDUE",IF($AB429&lt;=WORKDAY(TODAY(),1,Holidays),"DUE TOMORROW",IF($Z429=4,"ESCALATED TO LOCAL OFFICE",IF($Z429=5,"ESCALATED TO CBE",IF($AA429=TODAY(),"EMAIL SENT","MONITORING"))))))))))</f>
        <v/>
      </c>
      <c r="V429" s="17">
        <f>IF($U429="",IF(AND(COUNTA($A429:$L429)&gt;0,$N429=""),"Awaiting Collection Email time stamp.",""),IF(OR($U429="PAID",$U429="CLOSED"),IF($U429="PAID","Account paid. Action completed.","Account closed. No further action required."),CHOOSE($Z429,"Collection Email","1st Email Follow-up","2nd Email Follow-up","Escalation to Local Office","Escalation to CBE","Escalation to Roxanne")&amp;" sent "&amp;TEXT($AA429,"dd-mmm")&amp;". "&amp;IF($Z429=6,"Final escalation completed.",IF($U429="OVERDUE","Next: "&amp;$AC429&amp;" was due "&amp;TEXT($AB429,"dd-mmm")&amp;" - "&amp;(NETWORKDAYS($AB429,TODAY(),Holidays)-1)&amp;" business day(s) late. Send now.",IF($U429="DUE TOMORROW","Next: "&amp;$AC429&amp;IF($AB429&lt;=TODAY()," is due TODAY ("," is due next business day (")&amp;TEXT($AB429,"dd-mmm")&amp;").","Next: "&amp;$AC429&amp;" due "&amp;TEXT($AB429,"dd-mmm")&amp;" ("&amp;(NETWORKDAYS(TODAY(),$AB429,Holidays)-1)&amp;" business day(s) left).")))))</f>
        <v/>
      </c>
      <c r="W429" s="17">
        <f>IF($Z429="","",CHOOSE($Z429,"Collection Email","1st Follow-up","2nd Follow-up","Local Office","CBE","Roxanne")&amp;IF($Z429=6," - Final"," - Day "&amp;MAX(0,NETWORKDAYS($AA429,TODAY(),Holidays)-1)&amp;" of "&amp;CHOOSE($Z429,3,3,2,2,3))&amp;" | Total Day "&amp;MAX(0,NETWORKDAYS($N429,TODAY(),Holidays)-1))</f>
        <v/>
      </c>
      <c r="X429" s="18"/>
      <c r="Y429" s="18"/>
      <c r="Z429" s="17">
        <f>IF($N429="","",COUNT($N429:$S429))</f>
        <v/>
      </c>
      <c r="AA429" s="19">
        <f>IF($Z429="","",INT(INDEX($N429:$S429,$Z429)))</f>
        <v/>
      </c>
      <c r="AB429" s="19">
        <f>IF(OR($Z429="",$Z429=6),"",WORKDAY($AA429,CHOOSE($Z429,3,3,2,2,3),Holidays))</f>
        <v/>
      </c>
      <c r="AC429" s="17">
        <f>IF(OR($Z429="",$Z429=6),"",CHOOSE($Z429,"1st Email Follow-up","2nd Email Follow-up","Escalate Local Office","Escalate to CBE","Escalate to Roxanne"))</f>
        <v/>
      </c>
    </row>
    <row r="430" spans="13:29">
      <c r="M430" s="14"/>
      <c r="T430" s="16"/>
      <c r="U430" s="17">
        <f>IF(AND(COUNTA($A430:$L430)=0,$N430=""),"",IF($T430="Paid","PAID",IF($T430="Closed","CLOSED",IF($Z430="","",IF($Z430=6,"ESCALATED TO ROXANNE",IF(TODAY()&gt;$AB430,"OVERDUE",IF($AB430&lt;=WORKDAY(TODAY(),1,Holidays),"DUE TOMORROW",IF($Z430=4,"ESCALATED TO LOCAL OFFICE",IF($Z430=5,"ESCALATED TO CBE",IF($AA430=TODAY(),"EMAIL SENT","MONITORING"))))))))))</f>
        <v/>
      </c>
      <c r="V430" s="17">
        <f>IF($U430="",IF(AND(COUNTA($A430:$L430)&gt;0,$N430=""),"Awaiting Collection Email time stamp.",""),IF(OR($U430="PAID",$U430="CLOSED"),IF($U430="PAID","Account paid. Action completed.","Account closed. No further action required."),CHOOSE($Z430,"Collection Email","1st Email Follow-up","2nd Email Follow-up","Escalation to Local Office","Escalation to CBE","Escalation to Roxanne")&amp;" sent "&amp;TEXT($AA430,"dd-mmm")&amp;". "&amp;IF($Z430=6,"Final escalation completed.",IF($U430="OVERDUE","Next: "&amp;$AC430&amp;" was due "&amp;TEXT($AB430,"dd-mmm")&amp;" - "&amp;(NETWORKDAYS($AB430,TODAY(),Holidays)-1)&amp;" business day(s) late. Send now.",IF($U430="DUE TOMORROW","Next: "&amp;$AC430&amp;IF($AB430&lt;=TODAY()," is due TODAY ("," is due next business day (")&amp;TEXT($AB430,"dd-mmm")&amp;").","Next: "&amp;$AC430&amp;" due "&amp;TEXT($AB430,"dd-mmm")&amp;" ("&amp;(NETWORKDAYS(TODAY(),$AB430,Holidays)-1)&amp;" business day(s) left).")))))</f>
        <v/>
      </c>
      <c r="W430" s="17">
        <f>IF($Z430="","",CHOOSE($Z430,"Collection Email","1st Follow-up","2nd Follow-up","Local Office","CBE","Roxanne")&amp;IF($Z430=6," - Final"," - Day "&amp;MAX(0,NETWORKDAYS($AA430,TODAY(),Holidays)-1)&amp;" of "&amp;CHOOSE($Z430,3,3,2,2,3))&amp;" | Total Day "&amp;MAX(0,NETWORKDAYS($N430,TODAY(),Holidays)-1))</f>
        <v/>
      </c>
      <c r="X430" s="18"/>
      <c r="Y430" s="18"/>
      <c r="Z430" s="17">
        <f>IF($N430="","",COUNT($N430:$S430))</f>
        <v/>
      </c>
      <c r="AA430" s="19">
        <f>IF($Z430="","",INT(INDEX($N430:$S430,$Z430)))</f>
        <v/>
      </c>
      <c r="AB430" s="19">
        <f>IF(OR($Z430="",$Z430=6),"",WORKDAY($AA430,CHOOSE($Z430,3,3,2,2,3),Holidays))</f>
        <v/>
      </c>
      <c r="AC430" s="17">
        <f>IF(OR($Z430="",$Z430=6),"",CHOOSE($Z430,"1st Email Follow-up","2nd Email Follow-up","Escalate Local Office","Escalate to CBE","Escalate to Roxanne"))</f>
        <v/>
      </c>
    </row>
    <row r="431" spans="13:29">
      <c r="M431" s="14"/>
      <c r="T431" s="16"/>
      <c r="U431" s="17">
        <f>IF(AND(COUNTA($A431:$L431)=0,$N431=""),"",IF($T431="Paid","PAID",IF($T431="Closed","CLOSED",IF($Z431="","",IF($Z431=6,"ESCALATED TO ROXANNE",IF(TODAY()&gt;$AB431,"OVERDUE",IF($AB431&lt;=WORKDAY(TODAY(),1,Holidays),"DUE TOMORROW",IF($Z431=4,"ESCALATED TO LOCAL OFFICE",IF($Z431=5,"ESCALATED TO CBE",IF($AA431=TODAY(),"EMAIL SENT","MONITORING"))))))))))</f>
        <v/>
      </c>
      <c r="V431" s="17">
        <f>IF($U431="",IF(AND(COUNTA($A431:$L431)&gt;0,$N431=""),"Awaiting Collection Email time stamp.",""),IF(OR($U431="PAID",$U431="CLOSED"),IF($U431="PAID","Account paid. Action completed.","Account closed. No further action required."),CHOOSE($Z431,"Collection Email","1st Email Follow-up","2nd Email Follow-up","Escalation to Local Office","Escalation to CBE","Escalation to Roxanne")&amp;" sent "&amp;TEXT($AA431,"dd-mmm")&amp;". "&amp;IF($Z431=6,"Final escalation completed.",IF($U431="OVERDUE","Next: "&amp;$AC431&amp;" was due "&amp;TEXT($AB431,"dd-mmm")&amp;" - "&amp;(NETWORKDAYS($AB431,TODAY(),Holidays)-1)&amp;" business day(s) late. Send now.",IF($U431="DUE TOMORROW","Next: "&amp;$AC431&amp;IF($AB431&lt;=TODAY()," is due TODAY ("," is due next business day (")&amp;TEXT($AB431,"dd-mmm")&amp;").","Next: "&amp;$AC431&amp;" due "&amp;TEXT($AB431,"dd-mmm")&amp;" ("&amp;(NETWORKDAYS(TODAY(),$AB431,Holidays)-1)&amp;" business day(s) left).")))))</f>
        <v/>
      </c>
      <c r="W431" s="17">
        <f>IF($Z431="","",CHOOSE($Z431,"Collection Email","1st Follow-up","2nd Follow-up","Local Office","CBE","Roxanne")&amp;IF($Z431=6," - Final"," - Day "&amp;MAX(0,NETWORKDAYS($AA431,TODAY(),Holidays)-1)&amp;" of "&amp;CHOOSE($Z431,3,3,2,2,3))&amp;" | Total Day "&amp;MAX(0,NETWORKDAYS($N431,TODAY(),Holidays)-1))</f>
        <v/>
      </c>
      <c r="X431" s="18"/>
      <c r="Y431" s="18"/>
      <c r="Z431" s="17">
        <f>IF($N431="","",COUNT($N431:$S431))</f>
        <v/>
      </c>
      <c r="AA431" s="19">
        <f>IF($Z431="","",INT(INDEX($N431:$S431,$Z431)))</f>
        <v/>
      </c>
      <c r="AB431" s="19">
        <f>IF(OR($Z431="",$Z431=6),"",WORKDAY($AA431,CHOOSE($Z431,3,3,2,2,3),Holidays))</f>
        <v/>
      </c>
      <c r="AC431" s="17">
        <f>IF(OR($Z431="",$Z431=6),"",CHOOSE($Z431,"1st Email Follow-up","2nd Email Follow-up","Escalate Local Office","Escalate to CBE","Escalate to Roxanne"))</f>
        <v/>
      </c>
    </row>
    <row r="432" spans="13:29">
      <c r="M432" s="14"/>
      <c r="T432" s="16"/>
      <c r="U432" s="17">
        <f>IF(AND(COUNTA($A432:$L432)=0,$N432=""),"",IF($T432="Paid","PAID",IF($T432="Closed","CLOSED",IF($Z432="","",IF($Z432=6,"ESCALATED TO ROXANNE",IF(TODAY()&gt;$AB432,"OVERDUE",IF($AB432&lt;=WORKDAY(TODAY(),1,Holidays),"DUE TOMORROW",IF($Z432=4,"ESCALATED TO LOCAL OFFICE",IF($Z432=5,"ESCALATED TO CBE",IF($AA432=TODAY(),"EMAIL SENT","MONITORING"))))))))))</f>
        <v/>
      </c>
      <c r="V432" s="17">
        <f>IF($U432="",IF(AND(COUNTA($A432:$L432)&gt;0,$N432=""),"Awaiting Collection Email time stamp.",""),IF(OR($U432="PAID",$U432="CLOSED"),IF($U432="PAID","Account paid. Action completed.","Account closed. No further action required."),CHOOSE($Z432,"Collection Email","1st Email Follow-up","2nd Email Follow-up","Escalation to Local Office","Escalation to CBE","Escalation to Roxanne")&amp;" sent "&amp;TEXT($AA432,"dd-mmm")&amp;". "&amp;IF($Z432=6,"Final escalation completed.",IF($U432="OVERDUE","Next: "&amp;$AC432&amp;" was due "&amp;TEXT($AB432,"dd-mmm")&amp;" - "&amp;(NETWORKDAYS($AB432,TODAY(),Holidays)-1)&amp;" business day(s) late. Send now.",IF($U432="DUE TOMORROW","Next: "&amp;$AC432&amp;IF($AB432&lt;=TODAY()," is due TODAY ("," is due next business day (")&amp;TEXT($AB432,"dd-mmm")&amp;").","Next: "&amp;$AC432&amp;" due "&amp;TEXT($AB432,"dd-mmm")&amp;" ("&amp;(NETWORKDAYS(TODAY(),$AB432,Holidays)-1)&amp;" business day(s) left).")))))</f>
        <v/>
      </c>
      <c r="W432" s="17">
        <f>IF($Z432="","",CHOOSE($Z432,"Collection Email","1st Follow-up","2nd Follow-up","Local Office","CBE","Roxanne")&amp;IF($Z432=6," - Final"," - Day "&amp;MAX(0,NETWORKDAYS($AA432,TODAY(),Holidays)-1)&amp;" of "&amp;CHOOSE($Z432,3,3,2,2,3))&amp;" | Total Day "&amp;MAX(0,NETWORKDAYS($N432,TODAY(),Holidays)-1))</f>
        <v/>
      </c>
      <c r="X432" s="18"/>
      <c r="Y432" s="18"/>
      <c r="Z432" s="17">
        <f>IF($N432="","",COUNT($N432:$S432))</f>
        <v/>
      </c>
      <c r="AA432" s="19">
        <f>IF($Z432="","",INT(INDEX($N432:$S432,$Z432)))</f>
        <v/>
      </c>
      <c r="AB432" s="19">
        <f>IF(OR($Z432="",$Z432=6),"",WORKDAY($AA432,CHOOSE($Z432,3,3,2,2,3),Holidays))</f>
        <v/>
      </c>
      <c r="AC432" s="17">
        <f>IF(OR($Z432="",$Z432=6),"",CHOOSE($Z432,"1st Email Follow-up","2nd Email Follow-up","Escalate Local Office","Escalate to CBE","Escalate to Roxanne"))</f>
        <v/>
      </c>
    </row>
    <row r="433" spans="13:29">
      <c r="M433" s="14"/>
      <c r="T433" s="16"/>
      <c r="U433" s="17">
        <f>IF(AND(COUNTA($A433:$L433)=0,$N433=""),"",IF($T433="Paid","PAID",IF($T433="Closed","CLOSED",IF($Z433="","",IF($Z433=6,"ESCALATED TO ROXANNE",IF(TODAY()&gt;$AB433,"OVERDUE",IF($AB433&lt;=WORKDAY(TODAY(),1,Holidays),"DUE TOMORROW",IF($Z433=4,"ESCALATED TO LOCAL OFFICE",IF($Z433=5,"ESCALATED TO CBE",IF($AA433=TODAY(),"EMAIL SENT","MONITORING"))))))))))</f>
        <v/>
      </c>
      <c r="V433" s="17">
        <f>IF($U433="",IF(AND(COUNTA($A433:$L433)&gt;0,$N433=""),"Awaiting Collection Email time stamp.",""),IF(OR($U433="PAID",$U433="CLOSED"),IF($U433="PAID","Account paid. Action completed.","Account closed. No further action required."),CHOOSE($Z433,"Collection Email","1st Email Follow-up","2nd Email Follow-up","Escalation to Local Office","Escalation to CBE","Escalation to Roxanne")&amp;" sent "&amp;TEXT($AA433,"dd-mmm")&amp;". "&amp;IF($Z433=6,"Final escalation completed.",IF($U433="OVERDUE","Next: "&amp;$AC433&amp;" was due "&amp;TEXT($AB433,"dd-mmm")&amp;" - "&amp;(NETWORKDAYS($AB433,TODAY(),Holidays)-1)&amp;" business day(s) late. Send now.",IF($U433="DUE TOMORROW","Next: "&amp;$AC433&amp;IF($AB433&lt;=TODAY()," is due TODAY ("," is due next business day (")&amp;TEXT($AB433,"dd-mmm")&amp;").","Next: "&amp;$AC433&amp;" due "&amp;TEXT($AB433,"dd-mmm")&amp;" ("&amp;(NETWORKDAYS(TODAY(),$AB433,Holidays)-1)&amp;" business day(s) left).")))))</f>
        <v/>
      </c>
      <c r="W433" s="17">
        <f>IF($Z433="","",CHOOSE($Z433,"Collection Email","1st Follow-up","2nd Follow-up","Local Office","CBE","Roxanne")&amp;IF($Z433=6," - Final"," - Day "&amp;MAX(0,NETWORKDAYS($AA433,TODAY(),Holidays)-1)&amp;" of "&amp;CHOOSE($Z433,3,3,2,2,3))&amp;" | Total Day "&amp;MAX(0,NETWORKDAYS($N433,TODAY(),Holidays)-1))</f>
        <v/>
      </c>
      <c r="X433" s="18"/>
      <c r="Y433" s="18"/>
      <c r="Z433" s="17">
        <f>IF($N433="","",COUNT($N433:$S433))</f>
        <v/>
      </c>
      <c r="AA433" s="19">
        <f>IF($Z433="","",INT(INDEX($N433:$S433,$Z433)))</f>
        <v/>
      </c>
      <c r="AB433" s="19">
        <f>IF(OR($Z433="",$Z433=6),"",WORKDAY($AA433,CHOOSE($Z433,3,3,2,2,3),Holidays))</f>
        <v/>
      </c>
      <c r="AC433" s="17">
        <f>IF(OR($Z433="",$Z433=6),"",CHOOSE($Z433,"1st Email Follow-up","2nd Email Follow-up","Escalate Local Office","Escalate to CBE","Escalate to Roxanne"))</f>
        <v/>
      </c>
    </row>
    <row r="434" spans="13:29">
      <c r="M434" s="14"/>
      <c r="T434" s="16"/>
      <c r="U434" s="17">
        <f>IF(AND(COUNTA($A434:$L434)=0,$N434=""),"",IF($T434="Paid","PAID",IF($T434="Closed","CLOSED",IF($Z434="","",IF($Z434=6,"ESCALATED TO ROXANNE",IF(TODAY()&gt;$AB434,"OVERDUE",IF($AB434&lt;=WORKDAY(TODAY(),1,Holidays),"DUE TOMORROW",IF($Z434=4,"ESCALATED TO LOCAL OFFICE",IF($Z434=5,"ESCALATED TO CBE",IF($AA434=TODAY(),"EMAIL SENT","MONITORING"))))))))))</f>
        <v/>
      </c>
      <c r="V434" s="17">
        <f>IF($U434="",IF(AND(COUNTA($A434:$L434)&gt;0,$N434=""),"Awaiting Collection Email time stamp.",""),IF(OR($U434="PAID",$U434="CLOSED"),IF($U434="PAID","Account paid. Action completed.","Account closed. No further action required."),CHOOSE($Z434,"Collection Email","1st Email Follow-up","2nd Email Follow-up","Escalation to Local Office","Escalation to CBE","Escalation to Roxanne")&amp;" sent "&amp;TEXT($AA434,"dd-mmm")&amp;". "&amp;IF($Z434=6,"Final escalation completed.",IF($U434="OVERDUE","Next: "&amp;$AC434&amp;" was due "&amp;TEXT($AB434,"dd-mmm")&amp;" - "&amp;(NETWORKDAYS($AB434,TODAY(),Holidays)-1)&amp;" business day(s) late. Send now.",IF($U434="DUE TOMORROW","Next: "&amp;$AC434&amp;IF($AB434&lt;=TODAY()," is due TODAY ("," is due next business day (")&amp;TEXT($AB434,"dd-mmm")&amp;").","Next: "&amp;$AC434&amp;" due "&amp;TEXT($AB434,"dd-mmm")&amp;" ("&amp;(NETWORKDAYS(TODAY(),$AB434,Holidays)-1)&amp;" business day(s) left).")))))</f>
        <v/>
      </c>
      <c r="W434" s="17">
        <f>IF($Z434="","",CHOOSE($Z434,"Collection Email","1st Follow-up","2nd Follow-up","Local Office","CBE","Roxanne")&amp;IF($Z434=6," - Final"," - Day "&amp;MAX(0,NETWORKDAYS($AA434,TODAY(),Holidays)-1)&amp;" of "&amp;CHOOSE($Z434,3,3,2,2,3))&amp;" | Total Day "&amp;MAX(0,NETWORKDAYS($N434,TODAY(),Holidays)-1))</f>
        <v/>
      </c>
      <c r="X434" s="18"/>
      <c r="Y434" s="18"/>
      <c r="Z434" s="17">
        <f>IF($N434="","",COUNT($N434:$S434))</f>
        <v/>
      </c>
      <c r="AA434" s="19">
        <f>IF($Z434="","",INT(INDEX($N434:$S434,$Z434)))</f>
        <v/>
      </c>
      <c r="AB434" s="19">
        <f>IF(OR($Z434="",$Z434=6),"",WORKDAY($AA434,CHOOSE($Z434,3,3,2,2,3),Holidays))</f>
        <v/>
      </c>
      <c r="AC434" s="17">
        <f>IF(OR($Z434="",$Z434=6),"",CHOOSE($Z434,"1st Email Follow-up","2nd Email Follow-up","Escalate Local Office","Escalate to CBE","Escalate to Roxanne"))</f>
        <v/>
      </c>
    </row>
    <row r="435" spans="13:29">
      <c r="M435" s="14"/>
      <c r="T435" s="16"/>
      <c r="U435" s="17">
        <f>IF(AND(COUNTA($A435:$L435)=0,$N435=""),"",IF($T435="Paid","PAID",IF($T435="Closed","CLOSED",IF($Z435="","",IF($Z435=6,"ESCALATED TO ROXANNE",IF(TODAY()&gt;$AB435,"OVERDUE",IF($AB435&lt;=WORKDAY(TODAY(),1,Holidays),"DUE TOMORROW",IF($Z435=4,"ESCALATED TO LOCAL OFFICE",IF($Z435=5,"ESCALATED TO CBE",IF($AA435=TODAY(),"EMAIL SENT","MONITORING"))))))))))</f>
        <v/>
      </c>
      <c r="V435" s="17">
        <f>IF($U435="",IF(AND(COUNTA($A435:$L435)&gt;0,$N435=""),"Awaiting Collection Email time stamp.",""),IF(OR($U435="PAID",$U435="CLOSED"),IF($U435="PAID","Account paid. Action completed.","Account closed. No further action required."),CHOOSE($Z435,"Collection Email","1st Email Follow-up","2nd Email Follow-up","Escalation to Local Office","Escalation to CBE","Escalation to Roxanne")&amp;" sent "&amp;TEXT($AA435,"dd-mmm")&amp;". "&amp;IF($Z435=6,"Final escalation completed.",IF($U435="OVERDUE","Next: "&amp;$AC435&amp;" was due "&amp;TEXT($AB435,"dd-mmm")&amp;" - "&amp;(NETWORKDAYS($AB435,TODAY(),Holidays)-1)&amp;" business day(s) late. Send now.",IF($U435="DUE TOMORROW","Next: "&amp;$AC435&amp;IF($AB435&lt;=TODAY()," is due TODAY ("," is due next business day (")&amp;TEXT($AB435,"dd-mmm")&amp;").","Next: "&amp;$AC435&amp;" due "&amp;TEXT($AB435,"dd-mmm")&amp;" ("&amp;(NETWORKDAYS(TODAY(),$AB435,Holidays)-1)&amp;" business day(s) left).")))))</f>
        <v/>
      </c>
      <c r="W435" s="17">
        <f>IF($Z435="","",CHOOSE($Z435,"Collection Email","1st Follow-up","2nd Follow-up","Local Office","CBE","Roxanne")&amp;IF($Z435=6," - Final"," - Day "&amp;MAX(0,NETWORKDAYS($AA435,TODAY(),Holidays)-1)&amp;" of "&amp;CHOOSE($Z435,3,3,2,2,3))&amp;" | Total Day "&amp;MAX(0,NETWORKDAYS($N435,TODAY(),Holidays)-1))</f>
        <v/>
      </c>
      <c r="X435" s="18"/>
      <c r="Y435" s="18"/>
      <c r="Z435" s="17">
        <f>IF($N435="","",COUNT($N435:$S435))</f>
        <v/>
      </c>
      <c r="AA435" s="19">
        <f>IF($Z435="","",INT(INDEX($N435:$S435,$Z435)))</f>
        <v/>
      </c>
      <c r="AB435" s="19">
        <f>IF(OR($Z435="",$Z435=6),"",WORKDAY($AA435,CHOOSE($Z435,3,3,2,2,3),Holidays))</f>
        <v/>
      </c>
      <c r="AC435" s="17">
        <f>IF(OR($Z435="",$Z435=6),"",CHOOSE($Z435,"1st Email Follow-up","2nd Email Follow-up","Escalate Local Office","Escalate to CBE","Escalate to Roxanne"))</f>
        <v/>
      </c>
    </row>
    <row r="436" spans="13:29">
      <c r="M436" s="14"/>
      <c r="T436" s="16"/>
      <c r="U436" s="17">
        <f>IF(AND(COUNTA($A436:$L436)=0,$N436=""),"",IF($T436="Paid","PAID",IF($T436="Closed","CLOSED",IF($Z436="","",IF($Z436=6,"ESCALATED TO ROXANNE",IF(TODAY()&gt;$AB436,"OVERDUE",IF($AB436&lt;=WORKDAY(TODAY(),1,Holidays),"DUE TOMORROW",IF($Z436=4,"ESCALATED TO LOCAL OFFICE",IF($Z436=5,"ESCALATED TO CBE",IF($AA436=TODAY(),"EMAIL SENT","MONITORING"))))))))))</f>
        <v/>
      </c>
      <c r="V436" s="17">
        <f>IF($U436="",IF(AND(COUNTA($A436:$L436)&gt;0,$N436=""),"Awaiting Collection Email time stamp.",""),IF(OR($U436="PAID",$U436="CLOSED"),IF($U436="PAID","Account paid. Action completed.","Account closed. No further action required."),CHOOSE($Z436,"Collection Email","1st Email Follow-up","2nd Email Follow-up","Escalation to Local Office","Escalation to CBE","Escalation to Roxanne")&amp;" sent "&amp;TEXT($AA436,"dd-mmm")&amp;". "&amp;IF($Z436=6,"Final escalation completed.",IF($U436="OVERDUE","Next: "&amp;$AC436&amp;" was due "&amp;TEXT($AB436,"dd-mmm")&amp;" - "&amp;(NETWORKDAYS($AB436,TODAY(),Holidays)-1)&amp;" business day(s) late. Send now.",IF($U436="DUE TOMORROW","Next: "&amp;$AC436&amp;IF($AB436&lt;=TODAY()," is due TODAY ("," is due next business day (")&amp;TEXT($AB436,"dd-mmm")&amp;").","Next: "&amp;$AC436&amp;" due "&amp;TEXT($AB436,"dd-mmm")&amp;" ("&amp;(NETWORKDAYS(TODAY(),$AB436,Holidays)-1)&amp;" business day(s) left).")))))</f>
        <v/>
      </c>
      <c r="W436" s="17">
        <f>IF($Z436="","",CHOOSE($Z436,"Collection Email","1st Follow-up","2nd Follow-up","Local Office","CBE","Roxanne")&amp;IF($Z436=6," - Final"," - Day "&amp;MAX(0,NETWORKDAYS($AA436,TODAY(),Holidays)-1)&amp;" of "&amp;CHOOSE($Z436,3,3,2,2,3))&amp;" | Total Day "&amp;MAX(0,NETWORKDAYS($N436,TODAY(),Holidays)-1))</f>
        <v/>
      </c>
      <c r="X436" s="18"/>
      <c r="Y436" s="18"/>
      <c r="Z436" s="17">
        <f>IF($N436="","",COUNT($N436:$S436))</f>
        <v/>
      </c>
      <c r="AA436" s="19">
        <f>IF($Z436="","",INT(INDEX($N436:$S436,$Z436)))</f>
        <v/>
      </c>
      <c r="AB436" s="19">
        <f>IF(OR($Z436="",$Z436=6),"",WORKDAY($AA436,CHOOSE($Z436,3,3,2,2,3),Holidays))</f>
        <v/>
      </c>
      <c r="AC436" s="17">
        <f>IF(OR($Z436="",$Z436=6),"",CHOOSE($Z436,"1st Email Follow-up","2nd Email Follow-up","Escalate Local Office","Escalate to CBE","Escalate to Roxanne"))</f>
        <v/>
      </c>
    </row>
    <row r="437" spans="13:29">
      <c r="M437" s="14"/>
      <c r="T437" s="16"/>
      <c r="U437" s="17">
        <f>IF(AND(COUNTA($A437:$L437)=0,$N437=""),"",IF($T437="Paid","PAID",IF($T437="Closed","CLOSED",IF($Z437="","",IF($Z437=6,"ESCALATED TO ROXANNE",IF(TODAY()&gt;$AB437,"OVERDUE",IF($AB437&lt;=WORKDAY(TODAY(),1,Holidays),"DUE TOMORROW",IF($Z437=4,"ESCALATED TO LOCAL OFFICE",IF($Z437=5,"ESCALATED TO CBE",IF($AA437=TODAY(),"EMAIL SENT","MONITORING"))))))))))</f>
        <v/>
      </c>
      <c r="V437" s="17">
        <f>IF($U437="",IF(AND(COUNTA($A437:$L437)&gt;0,$N437=""),"Awaiting Collection Email time stamp.",""),IF(OR($U437="PAID",$U437="CLOSED"),IF($U437="PAID","Account paid. Action completed.","Account closed. No further action required."),CHOOSE($Z437,"Collection Email","1st Email Follow-up","2nd Email Follow-up","Escalation to Local Office","Escalation to CBE","Escalation to Roxanne")&amp;" sent "&amp;TEXT($AA437,"dd-mmm")&amp;". "&amp;IF($Z437=6,"Final escalation completed.",IF($U437="OVERDUE","Next: "&amp;$AC437&amp;" was due "&amp;TEXT($AB437,"dd-mmm")&amp;" - "&amp;(NETWORKDAYS($AB437,TODAY(),Holidays)-1)&amp;" business day(s) late. Send now.",IF($U437="DUE TOMORROW","Next: "&amp;$AC437&amp;IF($AB437&lt;=TODAY()," is due TODAY ("," is due next business day (")&amp;TEXT($AB437,"dd-mmm")&amp;").","Next: "&amp;$AC437&amp;" due "&amp;TEXT($AB437,"dd-mmm")&amp;" ("&amp;(NETWORKDAYS(TODAY(),$AB437,Holidays)-1)&amp;" business day(s) left).")))))</f>
        <v/>
      </c>
      <c r="W437" s="17">
        <f>IF($Z437="","",CHOOSE($Z437,"Collection Email","1st Follow-up","2nd Follow-up","Local Office","CBE","Roxanne")&amp;IF($Z437=6," - Final"," - Day "&amp;MAX(0,NETWORKDAYS($AA437,TODAY(),Holidays)-1)&amp;" of "&amp;CHOOSE($Z437,3,3,2,2,3))&amp;" | Total Day "&amp;MAX(0,NETWORKDAYS($N437,TODAY(),Holidays)-1))</f>
        <v/>
      </c>
      <c r="X437" s="18"/>
      <c r="Y437" s="18"/>
      <c r="Z437" s="17">
        <f>IF($N437="","",COUNT($N437:$S437))</f>
        <v/>
      </c>
      <c r="AA437" s="19">
        <f>IF($Z437="","",INT(INDEX($N437:$S437,$Z437)))</f>
        <v/>
      </c>
      <c r="AB437" s="19">
        <f>IF(OR($Z437="",$Z437=6),"",WORKDAY($AA437,CHOOSE($Z437,3,3,2,2,3),Holidays))</f>
        <v/>
      </c>
      <c r="AC437" s="17">
        <f>IF(OR($Z437="",$Z437=6),"",CHOOSE($Z437,"1st Email Follow-up","2nd Email Follow-up","Escalate Local Office","Escalate to CBE","Escalate to Roxanne"))</f>
        <v/>
      </c>
    </row>
    <row r="438" spans="13:29">
      <c r="M438" s="14"/>
      <c r="T438" s="16"/>
      <c r="U438" s="17">
        <f>IF(AND(COUNTA($A438:$L438)=0,$N438=""),"",IF($T438="Paid","PAID",IF($T438="Closed","CLOSED",IF($Z438="","",IF($Z438=6,"ESCALATED TO ROXANNE",IF(TODAY()&gt;$AB438,"OVERDUE",IF($AB438&lt;=WORKDAY(TODAY(),1,Holidays),"DUE TOMORROW",IF($Z438=4,"ESCALATED TO LOCAL OFFICE",IF($Z438=5,"ESCALATED TO CBE",IF($AA438=TODAY(),"EMAIL SENT","MONITORING"))))))))))</f>
        <v/>
      </c>
      <c r="V438" s="17">
        <f>IF($U438="",IF(AND(COUNTA($A438:$L438)&gt;0,$N438=""),"Awaiting Collection Email time stamp.",""),IF(OR($U438="PAID",$U438="CLOSED"),IF($U438="PAID","Account paid. Action completed.","Account closed. No further action required."),CHOOSE($Z438,"Collection Email","1st Email Follow-up","2nd Email Follow-up","Escalation to Local Office","Escalation to CBE","Escalation to Roxanne")&amp;" sent "&amp;TEXT($AA438,"dd-mmm")&amp;". "&amp;IF($Z438=6,"Final escalation completed.",IF($U438="OVERDUE","Next: "&amp;$AC438&amp;" was due "&amp;TEXT($AB438,"dd-mmm")&amp;" - "&amp;(NETWORKDAYS($AB438,TODAY(),Holidays)-1)&amp;" business day(s) late. Send now.",IF($U438="DUE TOMORROW","Next: "&amp;$AC438&amp;IF($AB438&lt;=TODAY()," is due TODAY ("," is due next business day (")&amp;TEXT($AB438,"dd-mmm")&amp;").","Next: "&amp;$AC438&amp;" due "&amp;TEXT($AB438,"dd-mmm")&amp;" ("&amp;(NETWORKDAYS(TODAY(),$AB438,Holidays)-1)&amp;" business day(s) left).")))))</f>
        <v/>
      </c>
      <c r="W438" s="17">
        <f>IF($Z438="","",CHOOSE($Z438,"Collection Email","1st Follow-up","2nd Follow-up","Local Office","CBE","Roxanne")&amp;IF($Z438=6," - Final"," - Day "&amp;MAX(0,NETWORKDAYS($AA438,TODAY(),Holidays)-1)&amp;" of "&amp;CHOOSE($Z438,3,3,2,2,3))&amp;" | Total Day "&amp;MAX(0,NETWORKDAYS($N438,TODAY(),Holidays)-1))</f>
        <v/>
      </c>
      <c r="X438" s="18"/>
      <c r="Y438" s="18"/>
      <c r="Z438" s="17">
        <f>IF($N438="","",COUNT($N438:$S438))</f>
        <v/>
      </c>
      <c r="AA438" s="19">
        <f>IF($Z438="","",INT(INDEX($N438:$S438,$Z438)))</f>
        <v/>
      </c>
      <c r="AB438" s="19">
        <f>IF(OR($Z438="",$Z438=6),"",WORKDAY($AA438,CHOOSE($Z438,3,3,2,2,3),Holidays))</f>
        <v/>
      </c>
      <c r="AC438" s="17">
        <f>IF(OR($Z438="",$Z438=6),"",CHOOSE($Z438,"1st Email Follow-up","2nd Email Follow-up","Escalate Local Office","Escalate to CBE","Escalate to Roxanne"))</f>
        <v/>
      </c>
    </row>
    <row r="439" spans="13:29">
      <c r="M439" s="14"/>
      <c r="T439" s="16"/>
      <c r="U439" s="17">
        <f>IF(AND(COUNTA($A439:$L439)=0,$N439=""),"",IF($T439="Paid","PAID",IF($T439="Closed","CLOSED",IF($Z439="","",IF($Z439=6,"ESCALATED TO ROXANNE",IF(TODAY()&gt;$AB439,"OVERDUE",IF($AB439&lt;=WORKDAY(TODAY(),1,Holidays),"DUE TOMORROW",IF($Z439=4,"ESCALATED TO LOCAL OFFICE",IF($Z439=5,"ESCALATED TO CBE",IF($AA439=TODAY(),"EMAIL SENT","MONITORING"))))))))))</f>
        <v/>
      </c>
      <c r="V439" s="17">
        <f>IF($U439="",IF(AND(COUNTA($A439:$L439)&gt;0,$N439=""),"Awaiting Collection Email time stamp.",""),IF(OR($U439="PAID",$U439="CLOSED"),IF($U439="PAID","Account paid. Action completed.","Account closed. No further action required."),CHOOSE($Z439,"Collection Email","1st Email Follow-up","2nd Email Follow-up","Escalation to Local Office","Escalation to CBE","Escalation to Roxanne")&amp;" sent "&amp;TEXT($AA439,"dd-mmm")&amp;". "&amp;IF($Z439=6,"Final escalation completed.",IF($U439="OVERDUE","Next: "&amp;$AC439&amp;" was due "&amp;TEXT($AB439,"dd-mmm")&amp;" - "&amp;(NETWORKDAYS($AB439,TODAY(),Holidays)-1)&amp;" business day(s) late. Send now.",IF($U439="DUE TOMORROW","Next: "&amp;$AC439&amp;IF($AB439&lt;=TODAY()," is due TODAY ("," is due next business day (")&amp;TEXT($AB439,"dd-mmm")&amp;").","Next: "&amp;$AC439&amp;" due "&amp;TEXT($AB439,"dd-mmm")&amp;" ("&amp;(NETWORKDAYS(TODAY(),$AB439,Holidays)-1)&amp;" business day(s) left).")))))</f>
        <v/>
      </c>
      <c r="W439" s="17">
        <f>IF($Z439="","",CHOOSE($Z439,"Collection Email","1st Follow-up","2nd Follow-up","Local Office","CBE","Roxanne")&amp;IF($Z439=6," - Final"," - Day "&amp;MAX(0,NETWORKDAYS($AA439,TODAY(),Holidays)-1)&amp;" of "&amp;CHOOSE($Z439,3,3,2,2,3))&amp;" | Total Day "&amp;MAX(0,NETWORKDAYS($N439,TODAY(),Holidays)-1))</f>
        <v/>
      </c>
      <c r="X439" s="18"/>
      <c r="Y439" s="18"/>
      <c r="Z439" s="17">
        <f>IF($N439="","",COUNT($N439:$S439))</f>
        <v/>
      </c>
      <c r="AA439" s="19">
        <f>IF($Z439="","",INT(INDEX($N439:$S439,$Z439)))</f>
        <v/>
      </c>
      <c r="AB439" s="19">
        <f>IF(OR($Z439="",$Z439=6),"",WORKDAY($AA439,CHOOSE($Z439,3,3,2,2,3),Holidays))</f>
        <v/>
      </c>
      <c r="AC439" s="17">
        <f>IF(OR($Z439="",$Z439=6),"",CHOOSE($Z439,"1st Email Follow-up","2nd Email Follow-up","Escalate Local Office","Escalate to CBE","Escalate to Roxanne"))</f>
        <v/>
      </c>
    </row>
    <row r="440" spans="13:29">
      <c r="M440" s="14"/>
      <c r="T440" s="16"/>
      <c r="U440" s="17">
        <f>IF(AND(COUNTA($A440:$L440)=0,$N440=""),"",IF($T440="Paid","PAID",IF($T440="Closed","CLOSED",IF($Z440="","",IF($Z440=6,"ESCALATED TO ROXANNE",IF(TODAY()&gt;$AB440,"OVERDUE",IF($AB440&lt;=WORKDAY(TODAY(),1,Holidays),"DUE TOMORROW",IF($Z440=4,"ESCALATED TO LOCAL OFFICE",IF($Z440=5,"ESCALATED TO CBE",IF($AA440=TODAY(),"EMAIL SENT","MONITORING"))))))))))</f>
        <v/>
      </c>
      <c r="V440" s="17">
        <f>IF($U440="",IF(AND(COUNTA($A440:$L440)&gt;0,$N440=""),"Awaiting Collection Email time stamp.",""),IF(OR($U440="PAID",$U440="CLOSED"),IF($U440="PAID","Account paid. Action completed.","Account closed. No further action required."),CHOOSE($Z440,"Collection Email","1st Email Follow-up","2nd Email Follow-up","Escalation to Local Office","Escalation to CBE","Escalation to Roxanne")&amp;" sent "&amp;TEXT($AA440,"dd-mmm")&amp;". "&amp;IF($Z440=6,"Final escalation completed.",IF($U440="OVERDUE","Next: "&amp;$AC440&amp;" was due "&amp;TEXT($AB440,"dd-mmm")&amp;" - "&amp;(NETWORKDAYS($AB440,TODAY(),Holidays)-1)&amp;" business day(s) late. Send now.",IF($U440="DUE TOMORROW","Next: "&amp;$AC440&amp;IF($AB440&lt;=TODAY()," is due TODAY ("," is due next business day (")&amp;TEXT($AB440,"dd-mmm")&amp;").","Next: "&amp;$AC440&amp;" due "&amp;TEXT($AB440,"dd-mmm")&amp;" ("&amp;(NETWORKDAYS(TODAY(),$AB440,Holidays)-1)&amp;" business day(s) left).")))))</f>
        <v/>
      </c>
      <c r="W440" s="17">
        <f>IF($Z440="","",CHOOSE($Z440,"Collection Email","1st Follow-up","2nd Follow-up","Local Office","CBE","Roxanne")&amp;IF($Z440=6," - Final"," - Day "&amp;MAX(0,NETWORKDAYS($AA440,TODAY(),Holidays)-1)&amp;" of "&amp;CHOOSE($Z440,3,3,2,2,3))&amp;" | Total Day "&amp;MAX(0,NETWORKDAYS($N440,TODAY(),Holidays)-1))</f>
        <v/>
      </c>
      <c r="X440" s="18"/>
      <c r="Y440" s="18"/>
      <c r="Z440" s="17">
        <f>IF($N440="","",COUNT($N440:$S440))</f>
        <v/>
      </c>
      <c r="AA440" s="19">
        <f>IF($Z440="","",INT(INDEX($N440:$S440,$Z440)))</f>
        <v/>
      </c>
      <c r="AB440" s="19">
        <f>IF(OR($Z440="",$Z440=6),"",WORKDAY($AA440,CHOOSE($Z440,3,3,2,2,3),Holidays))</f>
        <v/>
      </c>
      <c r="AC440" s="17">
        <f>IF(OR($Z440="",$Z440=6),"",CHOOSE($Z440,"1st Email Follow-up","2nd Email Follow-up","Escalate Local Office","Escalate to CBE","Escalate to Roxanne"))</f>
        <v/>
      </c>
    </row>
    <row r="441" spans="13:29">
      <c r="M441" s="14"/>
      <c r="T441" s="16"/>
      <c r="U441" s="17">
        <f>IF(AND(COUNTA($A441:$L441)=0,$N441=""),"",IF($T441="Paid","PAID",IF($T441="Closed","CLOSED",IF($Z441="","",IF($Z441=6,"ESCALATED TO ROXANNE",IF(TODAY()&gt;$AB441,"OVERDUE",IF($AB441&lt;=WORKDAY(TODAY(),1,Holidays),"DUE TOMORROW",IF($Z441=4,"ESCALATED TO LOCAL OFFICE",IF($Z441=5,"ESCALATED TO CBE",IF($AA441=TODAY(),"EMAIL SENT","MONITORING"))))))))))</f>
        <v/>
      </c>
      <c r="V441" s="17">
        <f>IF($U441="",IF(AND(COUNTA($A441:$L441)&gt;0,$N441=""),"Awaiting Collection Email time stamp.",""),IF(OR($U441="PAID",$U441="CLOSED"),IF($U441="PAID","Account paid. Action completed.","Account closed. No further action required."),CHOOSE($Z441,"Collection Email","1st Email Follow-up","2nd Email Follow-up","Escalation to Local Office","Escalation to CBE","Escalation to Roxanne")&amp;" sent "&amp;TEXT($AA441,"dd-mmm")&amp;". "&amp;IF($Z441=6,"Final escalation completed.",IF($U441="OVERDUE","Next: "&amp;$AC441&amp;" was due "&amp;TEXT($AB441,"dd-mmm")&amp;" - "&amp;(NETWORKDAYS($AB441,TODAY(),Holidays)-1)&amp;" business day(s) late. Send now.",IF($U441="DUE TOMORROW","Next: "&amp;$AC441&amp;IF($AB441&lt;=TODAY()," is due TODAY ("," is due next business day (")&amp;TEXT($AB441,"dd-mmm")&amp;").","Next: "&amp;$AC441&amp;" due "&amp;TEXT($AB441,"dd-mmm")&amp;" ("&amp;(NETWORKDAYS(TODAY(),$AB441,Holidays)-1)&amp;" business day(s) left).")))))</f>
        <v/>
      </c>
      <c r="W441" s="17">
        <f>IF($Z441="","",CHOOSE($Z441,"Collection Email","1st Follow-up","2nd Follow-up","Local Office","CBE","Roxanne")&amp;IF($Z441=6," - Final"," - Day "&amp;MAX(0,NETWORKDAYS($AA441,TODAY(),Holidays)-1)&amp;" of "&amp;CHOOSE($Z441,3,3,2,2,3))&amp;" | Total Day "&amp;MAX(0,NETWORKDAYS($N441,TODAY(),Holidays)-1))</f>
        <v/>
      </c>
      <c r="X441" s="18"/>
      <c r="Y441" s="18"/>
      <c r="Z441" s="17">
        <f>IF($N441="","",COUNT($N441:$S441))</f>
        <v/>
      </c>
      <c r="AA441" s="19">
        <f>IF($Z441="","",INT(INDEX($N441:$S441,$Z441)))</f>
        <v/>
      </c>
      <c r="AB441" s="19">
        <f>IF(OR($Z441="",$Z441=6),"",WORKDAY($AA441,CHOOSE($Z441,3,3,2,2,3),Holidays))</f>
        <v/>
      </c>
      <c r="AC441" s="17">
        <f>IF(OR($Z441="",$Z441=6),"",CHOOSE($Z441,"1st Email Follow-up","2nd Email Follow-up","Escalate Local Office","Escalate to CBE","Escalate to Roxanne"))</f>
        <v/>
      </c>
    </row>
    <row r="442" spans="13:29">
      <c r="M442" s="14"/>
      <c r="T442" s="16"/>
      <c r="U442" s="17">
        <f>IF(AND(COUNTA($A442:$L442)=0,$N442=""),"",IF($T442="Paid","PAID",IF($T442="Closed","CLOSED",IF($Z442="","",IF($Z442=6,"ESCALATED TO ROXANNE",IF(TODAY()&gt;$AB442,"OVERDUE",IF($AB442&lt;=WORKDAY(TODAY(),1,Holidays),"DUE TOMORROW",IF($Z442=4,"ESCALATED TO LOCAL OFFICE",IF($Z442=5,"ESCALATED TO CBE",IF($AA442=TODAY(),"EMAIL SENT","MONITORING"))))))))))</f>
        <v/>
      </c>
      <c r="V442" s="17">
        <f>IF($U442="",IF(AND(COUNTA($A442:$L442)&gt;0,$N442=""),"Awaiting Collection Email time stamp.",""),IF(OR($U442="PAID",$U442="CLOSED"),IF($U442="PAID","Account paid. Action completed.","Account closed. No further action required."),CHOOSE($Z442,"Collection Email","1st Email Follow-up","2nd Email Follow-up","Escalation to Local Office","Escalation to CBE","Escalation to Roxanne")&amp;" sent "&amp;TEXT($AA442,"dd-mmm")&amp;". "&amp;IF($Z442=6,"Final escalation completed.",IF($U442="OVERDUE","Next: "&amp;$AC442&amp;" was due "&amp;TEXT($AB442,"dd-mmm")&amp;" - "&amp;(NETWORKDAYS($AB442,TODAY(),Holidays)-1)&amp;" business day(s) late. Send now.",IF($U442="DUE TOMORROW","Next: "&amp;$AC442&amp;IF($AB442&lt;=TODAY()," is due TODAY ("," is due next business day (")&amp;TEXT($AB442,"dd-mmm")&amp;").","Next: "&amp;$AC442&amp;" due "&amp;TEXT($AB442,"dd-mmm")&amp;" ("&amp;(NETWORKDAYS(TODAY(),$AB442,Holidays)-1)&amp;" business day(s) left).")))))</f>
        <v/>
      </c>
      <c r="W442" s="17">
        <f>IF($Z442="","",CHOOSE($Z442,"Collection Email","1st Follow-up","2nd Follow-up","Local Office","CBE","Roxanne")&amp;IF($Z442=6," - Final"," - Day "&amp;MAX(0,NETWORKDAYS($AA442,TODAY(),Holidays)-1)&amp;" of "&amp;CHOOSE($Z442,3,3,2,2,3))&amp;" | Total Day "&amp;MAX(0,NETWORKDAYS($N442,TODAY(),Holidays)-1))</f>
        <v/>
      </c>
      <c r="X442" s="18"/>
      <c r="Y442" s="18"/>
      <c r="Z442" s="17">
        <f>IF($N442="","",COUNT($N442:$S442))</f>
        <v/>
      </c>
      <c r="AA442" s="19">
        <f>IF($Z442="","",INT(INDEX($N442:$S442,$Z442)))</f>
        <v/>
      </c>
      <c r="AB442" s="19">
        <f>IF(OR($Z442="",$Z442=6),"",WORKDAY($AA442,CHOOSE($Z442,3,3,2,2,3),Holidays))</f>
        <v/>
      </c>
      <c r="AC442" s="17">
        <f>IF(OR($Z442="",$Z442=6),"",CHOOSE($Z442,"1st Email Follow-up","2nd Email Follow-up","Escalate Local Office","Escalate to CBE","Escalate to Roxanne"))</f>
        <v/>
      </c>
    </row>
    <row r="443" spans="13:29">
      <c r="M443" s="14"/>
      <c r="T443" s="16"/>
      <c r="U443" s="17">
        <f>IF(AND(COUNTA($A443:$L443)=0,$N443=""),"",IF($T443="Paid","PAID",IF($T443="Closed","CLOSED",IF($Z443="","",IF($Z443=6,"ESCALATED TO ROXANNE",IF(TODAY()&gt;$AB443,"OVERDUE",IF($AB443&lt;=WORKDAY(TODAY(),1,Holidays),"DUE TOMORROW",IF($Z443=4,"ESCALATED TO LOCAL OFFICE",IF($Z443=5,"ESCALATED TO CBE",IF($AA443=TODAY(),"EMAIL SENT","MONITORING"))))))))))</f>
        <v/>
      </c>
      <c r="V443" s="17">
        <f>IF($U443="",IF(AND(COUNTA($A443:$L443)&gt;0,$N443=""),"Awaiting Collection Email time stamp.",""),IF(OR($U443="PAID",$U443="CLOSED"),IF($U443="PAID","Account paid. Action completed.","Account closed. No further action required."),CHOOSE($Z443,"Collection Email","1st Email Follow-up","2nd Email Follow-up","Escalation to Local Office","Escalation to CBE","Escalation to Roxanne")&amp;" sent "&amp;TEXT($AA443,"dd-mmm")&amp;". "&amp;IF($Z443=6,"Final escalation completed.",IF($U443="OVERDUE","Next: "&amp;$AC443&amp;" was due "&amp;TEXT($AB443,"dd-mmm")&amp;" - "&amp;(NETWORKDAYS($AB443,TODAY(),Holidays)-1)&amp;" business day(s) late. Send now.",IF($U443="DUE TOMORROW","Next: "&amp;$AC443&amp;IF($AB443&lt;=TODAY()," is due TODAY ("," is due next business day (")&amp;TEXT($AB443,"dd-mmm")&amp;").","Next: "&amp;$AC443&amp;" due "&amp;TEXT($AB443,"dd-mmm")&amp;" ("&amp;(NETWORKDAYS(TODAY(),$AB443,Holidays)-1)&amp;" business day(s) left).")))))</f>
        <v/>
      </c>
      <c r="W443" s="17">
        <f>IF($Z443="","",CHOOSE($Z443,"Collection Email","1st Follow-up","2nd Follow-up","Local Office","CBE","Roxanne")&amp;IF($Z443=6," - Final"," - Day "&amp;MAX(0,NETWORKDAYS($AA443,TODAY(),Holidays)-1)&amp;" of "&amp;CHOOSE($Z443,3,3,2,2,3))&amp;" | Total Day "&amp;MAX(0,NETWORKDAYS($N443,TODAY(),Holidays)-1))</f>
        <v/>
      </c>
      <c r="X443" s="18"/>
      <c r="Y443" s="18"/>
      <c r="Z443" s="17">
        <f>IF($N443="","",COUNT($N443:$S443))</f>
        <v/>
      </c>
      <c r="AA443" s="19">
        <f>IF($Z443="","",INT(INDEX($N443:$S443,$Z443)))</f>
        <v/>
      </c>
      <c r="AB443" s="19">
        <f>IF(OR($Z443="",$Z443=6),"",WORKDAY($AA443,CHOOSE($Z443,3,3,2,2,3),Holidays))</f>
        <v/>
      </c>
      <c r="AC443" s="17">
        <f>IF(OR($Z443="",$Z443=6),"",CHOOSE($Z443,"1st Email Follow-up","2nd Email Follow-up","Escalate Local Office","Escalate to CBE","Escalate to Roxanne"))</f>
        <v/>
      </c>
    </row>
    <row r="444" spans="13:29">
      <c r="M444" s="14"/>
      <c r="T444" s="16"/>
      <c r="U444" s="17">
        <f>IF(AND(COUNTA($A444:$L444)=0,$N444=""),"",IF($T444="Paid","PAID",IF($T444="Closed","CLOSED",IF($Z444="","",IF($Z444=6,"ESCALATED TO ROXANNE",IF(TODAY()&gt;$AB444,"OVERDUE",IF($AB444&lt;=WORKDAY(TODAY(),1,Holidays),"DUE TOMORROW",IF($Z444=4,"ESCALATED TO LOCAL OFFICE",IF($Z444=5,"ESCALATED TO CBE",IF($AA444=TODAY(),"EMAIL SENT","MONITORING"))))))))))</f>
        <v/>
      </c>
      <c r="V444" s="17">
        <f>IF($U444="",IF(AND(COUNTA($A444:$L444)&gt;0,$N444=""),"Awaiting Collection Email time stamp.",""),IF(OR($U444="PAID",$U444="CLOSED"),IF($U444="PAID","Account paid. Action completed.","Account closed. No further action required."),CHOOSE($Z444,"Collection Email","1st Email Follow-up","2nd Email Follow-up","Escalation to Local Office","Escalation to CBE","Escalation to Roxanne")&amp;" sent "&amp;TEXT($AA444,"dd-mmm")&amp;". "&amp;IF($Z444=6,"Final escalation completed.",IF($U444="OVERDUE","Next: "&amp;$AC444&amp;" was due "&amp;TEXT($AB444,"dd-mmm")&amp;" - "&amp;(NETWORKDAYS($AB444,TODAY(),Holidays)-1)&amp;" business day(s) late. Send now.",IF($U444="DUE TOMORROW","Next: "&amp;$AC444&amp;IF($AB444&lt;=TODAY()," is due TODAY ("," is due next business day (")&amp;TEXT($AB444,"dd-mmm")&amp;").","Next: "&amp;$AC444&amp;" due "&amp;TEXT($AB444,"dd-mmm")&amp;" ("&amp;(NETWORKDAYS(TODAY(),$AB444,Holidays)-1)&amp;" business day(s) left).")))))</f>
        <v/>
      </c>
      <c r="W444" s="17">
        <f>IF($Z444="","",CHOOSE($Z444,"Collection Email","1st Follow-up","2nd Follow-up","Local Office","CBE","Roxanne")&amp;IF($Z444=6," - Final"," - Day "&amp;MAX(0,NETWORKDAYS($AA444,TODAY(),Holidays)-1)&amp;" of "&amp;CHOOSE($Z444,3,3,2,2,3))&amp;" | Total Day "&amp;MAX(0,NETWORKDAYS($N444,TODAY(),Holidays)-1))</f>
        <v/>
      </c>
      <c r="X444" s="18"/>
      <c r="Y444" s="18"/>
      <c r="Z444" s="17">
        <f>IF($N444="","",COUNT($N444:$S444))</f>
        <v/>
      </c>
      <c r="AA444" s="19">
        <f>IF($Z444="","",INT(INDEX($N444:$S444,$Z444)))</f>
        <v/>
      </c>
      <c r="AB444" s="19">
        <f>IF(OR($Z444="",$Z444=6),"",WORKDAY($AA444,CHOOSE($Z444,3,3,2,2,3),Holidays))</f>
        <v/>
      </c>
      <c r="AC444" s="17">
        <f>IF(OR($Z444="",$Z444=6),"",CHOOSE($Z444,"1st Email Follow-up","2nd Email Follow-up","Escalate Local Office","Escalate to CBE","Escalate to Roxanne"))</f>
        <v/>
      </c>
    </row>
    <row r="445" spans="13:29">
      <c r="M445" s="14"/>
      <c r="T445" s="16"/>
      <c r="U445" s="17">
        <f>IF(AND(COUNTA($A445:$L445)=0,$N445=""),"",IF($T445="Paid","PAID",IF($T445="Closed","CLOSED",IF($Z445="","",IF($Z445=6,"ESCALATED TO ROXANNE",IF(TODAY()&gt;$AB445,"OVERDUE",IF($AB445&lt;=WORKDAY(TODAY(),1,Holidays),"DUE TOMORROW",IF($Z445=4,"ESCALATED TO LOCAL OFFICE",IF($Z445=5,"ESCALATED TO CBE",IF($AA445=TODAY(),"EMAIL SENT","MONITORING"))))))))))</f>
        <v/>
      </c>
      <c r="V445" s="17">
        <f>IF($U445="",IF(AND(COUNTA($A445:$L445)&gt;0,$N445=""),"Awaiting Collection Email time stamp.",""),IF(OR($U445="PAID",$U445="CLOSED"),IF($U445="PAID","Account paid. Action completed.","Account closed. No further action required."),CHOOSE($Z445,"Collection Email","1st Email Follow-up","2nd Email Follow-up","Escalation to Local Office","Escalation to CBE","Escalation to Roxanne")&amp;" sent "&amp;TEXT($AA445,"dd-mmm")&amp;". "&amp;IF($Z445=6,"Final escalation completed.",IF($U445="OVERDUE","Next: "&amp;$AC445&amp;" was due "&amp;TEXT($AB445,"dd-mmm")&amp;" - "&amp;(NETWORKDAYS($AB445,TODAY(),Holidays)-1)&amp;" business day(s) late. Send now.",IF($U445="DUE TOMORROW","Next: "&amp;$AC445&amp;IF($AB445&lt;=TODAY()," is due TODAY ("," is due next business day (")&amp;TEXT($AB445,"dd-mmm")&amp;").","Next: "&amp;$AC445&amp;" due "&amp;TEXT($AB445,"dd-mmm")&amp;" ("&amp;(NETWORKDAYS(TODAY(),$AB445,Holidays)-1)&amp;" business day(s) left).")))))</f>
        <v/>
      </c>
      <c r="W445" s="17">
        <f>IF($Z445="","",CHOOSE($Z445,"Collection Email","1st Follow-up","2nd Follow-up","Local Office","CBE","Roxanne")&amp;IF($Z445=6," - Final"," - Day "&amp;MAX(0,NETWORKDAYS($AA445,TODAY(),Holidays)-1)&amp;" of "&amp;CHOOSE($Z445,3,3,2,2,3))&amp;" | Total Day "&amp;MAX(0,NETWORKDAYS($N445,TODAY(),Holidays)-1))</f>
        <v/>
      </c>
      <c r="X445" s="18"/>
      <c r="Y445" s="18"/>
      <c r="Z445" s="17">
        <f>IF($N445="","",COUNT($N445:$S445))</f>
        <v/>
      </c>
      <c r="AA445" s="19">
        <f>IF($Z445="","",INT(INDEX($N445:$S445,$Z445)))</f>
        <v/>
      </c>
      <c r="AB445" s="19">
        <f>IF(OR($Z445="",$Z445=6),"",WORKDAY($AA445,CHOOSE($Z445,3,3,2,2,3),Holidays))</f>
        <v/>
      </c>
      <c r="AC445" s="17">
        <f>IF(OR($Z445="",$Z445=6),"",CHOOSE($Z445,"1st Email Follow-up","2nd Email Follow-up","Escalate Local Office","Escalate to CBE","Escalate to Roxanne"))</f>
        <v/>
      </c>
    </row>
    <row r="446" spans="13:29">
      <c r="M446" s="14"/>
      <c r="T446" s="16"/>
      <c r="U446" s="17">
        <f>IF(AND(COUNTA($A446:$L446)=0,$N446=""),"",IF($T446="Paid","PAID",IF($T446="Closed","CLOSED",IF($Z446="","",IF($Z446=6,"ESCALATED TO ROXANNE",IF(TODAY()&gt;$AB446,"OVERDUE",IF($AB446&lt;=WORKDAY(TODAY(),1,Holidays),"DUE TOMORROW",IF($Z446=4,"ESCALATED TO LOCAL OFFICE",IF($Z446=5,"ESCALATED TO CBE",IF($AA446=TODAY(),"EMAIL SENT","MONITORING"))))))))))</f>
        <v/>
      </c>
      <c r="V446" s="17">
        <f>IF($U446="",IF(AND(COUNTA($A446:$L446)&gt;0,$N446=""),"Awaiting Collection Email time stamp.",""),IF(OR($U446="PAID",$U446="CLOSED"),IF($U446="PAID","Account paid. Action completed.","Account closed. No further action required."),CHOOSE($Z446,"Collection Email","1st Email Follow-up","2nd Email Follow-up","Escalation to Local Office","Escalation to CBE","Escalation to Roxanne")&amp;" sent "&amp;TEXT($AA446,"dd-mmm")&amp;". "&amp;IF($Z446=6,"Final escalation completed.",IF($U446="OVERDUE","Next: "&amp;$AC446&amp;" was due "&amp;TEXT($AB446,"dd-mmm")&amp;" - "&amp;(NETWORKDAYS($AB446,TODAY(),Holidays)-1)&amp;" business day(s) late. Send now.",IF($U446="DUE TOMORROW","Next: "&amp;$AC446&amp;IF($AB446&lt;=TODAY()," is due TODAY ("," is due next business day (")&amp;TEXT($AB446,"dd-mmm")&amp;").","Next: "&amp;$AC446&amp;" due "&amp;TEXT($AB446,"dd-mmm")&amp;" ("&amp;(NETWORKDAYS(TODAY(),$AB446,Holidays)-1)&amp;" business day(s) left).")))))</f>
        <v/>
      </c>
      <c r="W446" s="17">
        <f>IF($Z446="","",CHOOSE($Z446,"Collection Email","1st Follow-up","2nd Follow-up","Local Office","CBE","Roxanne")&amp;IF($Z446=6," - Final"," - Day "&amp;MAX(0,NETWORKDAYS($AA446,TODAY(),Holidays)-1)&amp;" of "&amp;CHOOSE($Z446,3,3,2,2,3))&amp;" | Total Day "&amp;MAX(0,NETWORKDAYS($N446,TODAY(),Holidays)-1))</f>
        <v/>
      </c>
      <c r="X446" s="18"/>
      <c r="Y446" s="18"/>
      <c r="Z446" s="17">
        <f>IF($N446="","",COUNT($N446:$S446))</f>
        <v/>
      </c>
      <c r="AA446" s="19">
        <f>IF($Z446="","",INT(INDEX($N446:$S446,$Z446)))</f>
        <v/>
      </c>
      <c r="AB446" s="19">
        <f>IF(OR($Z446="",$Z446=6),"",WORKDAY($AA446,CHOOSE($Z446,3,3,2,2,3),Holidays))</f>
        <v/>
      </c>
      <c r="AC446" s="17">
        <f>IF(OR($Z446="",$Z446=6),"",CHOOSE($Z446,"1st Email Follow-up","2nd Email Follow-up","Escalate Local Office","Escalate to CBE","Escalate to Roxanne"))</f>
        <v/>
      </c>
    </row>
    <row r="447" spans="13:29">
      <c r="M447" s="14"/>
      <c r="T447" s="16"/>
      <c r="U447" s="17">
        <f>IF(AND(COUNTA($A447:$L447)=0,$N447=""),"",IF($T447="Paid","PAID",IF($T447="Closed","CLOSED",IF($Z447="","",IF($Z447=6,"ESCALATED TO ROXANNE",IF(TODAY()&gt;$AB447,"OVERDUE",IF($AB447&lt;=WORKDAY(TODAY(),1,Holidays),"DUE TOMORROW",IF($Z447=4,"ESCALATED TO LOCAL OFFICE",IF($Z447=5,"ESCALATED TO CBE",IF($AA447=TODAY(),"EMAIL SENT","MONITORING"))))))))))</f>
        <v/>
      </c>
      <c r="V447" s="17">
        <f>IF($U447="",IF(AND(COUNTA($A447:$L447)&gt;0,$N447=""),"Awaiting Collection Email time stamp.",""),IF(OR($U447="PAID",$U447="CLOSED"),IF($U447="PAID","Account paid. Action completed.","Account closed. No further action required."),CHOOSE($Z447,"Collection Email","1st Email Follow-up","2nd Email Follow-up","Escalation to Local Office","Escalation to CBE","Escalation to Roxanne")&amp;" sent "&amp;TEXT($AA447,"dd-mmm")&amp;". "&amp;IF($Z447=6,"Final escalation completed.",IF($U447="OVERDUE","Next: "&amp;$AC447&amp;" was due "&amp;TEXT($AB447,"dd-mmm")&amp;" - "&amp;(NETWORKDAYS($AB447,TODAY(),Holidays)-1)&amp;" business day(s) late. Send now.",IF($U447="DUE TOMORROW","Next: "&amp;$AC447&amp;IF($AB447&lt;=TODAY()," is due TODAY ("," is due next business day (")&amp;TEXT($AB447,"dd-mmm")&amp;").","Next: "&amp;$AC447&amp;" due "&amp;TEXT($AB447,"dd-mmm")&amp;" ("&amp;(NETWORKDAYS(TODAY(),$AB447,Holidays)-1)&amp;" business day(s) left).")))))</f>
        <v/>
      </c>
      <c r="W447" s="17">
        <f>IF($Z447="","",CHOOSE($Z447,"Collection Email","1st Follow-up","2nd Follow-up","Local Office","CBE","Roxanne")&amp;IF($Z447=6," - Final"," - Day "&amp;MAX(0,NETWORKDAYS($AA447,TODAY(),Holidays)-1)&amp;" of "&amp;CHOOSE($Z447,3,3,2,2,3))&amp;" | Total Day "&amp;MAX(0,NETWORKDAYS($N447,TODAY(),Holidays)-1))</f>
        <v/>
      </c>
      <c r="X447" s="18"/>
      <c r="Y447" s="18"/>
      <c r="Z447" s="17">
        <f>IF($N447="","",COUNT($N447:$S447))</f>
        <v/>
      </c>
      <c r="AA447" s="19">
        <f>IF($Z447="","",INT(INDEX($N447:$S447,$Z447)))</f>
        <v/>
      </c>
      <c r="AB447" s="19">
        <f>IF(OR($Z447="",$Z447=6),"",WORKDAY($AA447,CHOOSE($Z447,3,3,2,2,3),Holidays))</f>
        <v/>
      </c>
      <c r="AC447" s="17">
        <f>IF(OR($Z447="",$Z447=6),"",CHOOSE($Z447,"1st Email Follow-up","2nd Email Follow-up","Escalate Local Office","Escalate to CBE","Escalate to Roxanne"))</f>
        <v/>
      </c>
    </row>
    <row r="448" spans="13:29">
      <c r="M448" s="14"/>
      <c r="T448" s="16"/>
      <c r="U448" s="17">
        <f>IF(AND(COUNTA($A448:$L448)=0,$N448=""),"",IF($T448="Paid","PAID",IF($T448="Closed","CLOSED",IF($Z448="","",IF($Z448=6,"ESCALATED TO ROXANNE",IF(TODAY()&gt;$AB448,"OVERDUE",IF($AB448&lt;=WORKDAY(TODAY(),1,Holidays),"DUE TOMORROW",IF($Z448=4,"ESCALATED TO LOCAL OFFICE",IF($Z448=5,"ESCALATED TO CBE",IF($AA448=TODAY(),"EMAIL SENT","MONITORING"))))))))))</f>
        <v/>
      </c>
      <c r="V448" s="17">
        <f>IF($U448="",IF(AND(COUNTA($A448:$L448)&gt;0,$N448=""),"Awaiting Collection Email time stamp.",""),IF(OR($U448="PAID",$U448="CLOSED"),IF($U448="PAID","Account paid. Action completed.","Account closed. No further action required."),CHOOSE($Z448,"Collection Email","1st Email Follow-up","2nd Email Follow-up","Escalation to Local Office","Escalation to CBE","Escalation to Roxanne")&amp;" sent "&amp;TEXT($AA448,"dd-mmm")&amp;". "&amp;IF($Z448=6,"Final escalation completed.",IF($U448="OVERDUE","Next: "&amp;$AC448&amp;" was due "&amp;TEXT($AB448,"dd-mmm")&amp;" - "&amp;(NETWORKDAYS($AB448,TODAY(),Holidays)-1)&amp;" business day(s) late. Send now.",IF($U448="DUE TOMORROW","Next: "&amp;$AC448&amp;IF($AB448&lt;=TODAY()," is due TODAY ("," is due next business day (")&amp;TEXT($AB448,"dd-mmm")&amp;").","Next: "&amp;$AC448&amp;" due "&amp;TEXT($AB448,"dd-mmm")&amp;" ("&amp;(NETWORKDAYS(TODAY(),$AB448,Holidays)-1)&amp;" business day(s) left).")))))</f>
        <v/>
      </c>
      <c r="W448" s="17">
        <f>IF($Z448="","",CHOOSE($Z448,"Collection Email","1st Follow-up","2nd Follow-up","Local Office","CBE","Roxanne")&amp;IF($Z448=6," - Final"," - Day "&amp;MAX(0,NETWORKDAYS($AA448,TODAY(),Holidays)-1)&amp;" of "&amp;CHOOSE($Z448,3,3,2,2,3))&amp;" | Total Day "&amp;MAX(0,NETWORKDAYS($N448,TODAY(),Holidays)-1))</f>
        <v/>
      </c>
      <c r="X448" s="18"/>
      <c r="Y448" s="18"/>
      <c r="Z448" s="17">
        <f>IF($N448="","",COUNT($N448:$S448))</f>
        <v/>
      </c>
      <c r="AA448" s="19">
        <f>IF($Z448="","",INT(INDEX($N448:$S448,$Z448)))</f>
        <v/>
      </c>
      <c r="AB448" s="19">
        <f>IF(OR($Z448="",$Z448=6),"",WORKDAY($AA448,CHOOSE($Z448,3,3,2,2,3),Holidays))</f>
        <v/>
      </c>
      <c r="AC448" s="17">
        <f>IF(OR($Z448="",$Z448=6),"",CHOOSE($Z448,"1st Email Follow-up","2nd Email Follow-up","Escalate Local Office","Escalate to CBE","Escalate to Roxanne"))</f>
        <v/>
      </c>
    </row>
    <row r="449" spans="13:29">
      <c r="M449" s="14"/>
      <c r="T449" s="16"/>
      <c r="U449" s="17">
        <f>IF(AND(COUNTA($A449:$L449)=0,$N449=""),"",IF($T449="Paid","PAID",IF($T449="Closed","CLOSED",IF($Z449="","",IF($Z449=6,"ESCALATED TO ROXANNE",IF(TODAY()&gt;$AB449,"OVERDUE",IF($AB449&lt;=WORKDAY(TODAY(),1,Holidays),"DUE TOMORROW",IF($Z449=4,"ESCALATED TO LOCAL OFFICE",IF($Z449=5,"ESCALATED TO CBE",IF($AA449=TODAY(),"EMAIL SENT","MONITORING"))))))))))</f>
        <v/>
      </c>
      <c r="V449" s="17">
        <f>IF($U449="",IF(AND(COUNTA($A449:$L449)&gt;0,$N449=""),"Awaiting Collection Email time stamp.",""),IF(OR($U449="PAID",$U449="CLOSED"),IF($U449="PAID","Account paid. Action completed.","Account closed. No further action required."),CHOOSE($Z449,"Collection Email","1st Email Follow-up","2nd Email Follow-up","Escalation to Local Office","Escalation to CBE","Escalation to Roxanne")&amp;" sent "&amp;TEXT($AA449,"dd-mmm")&amp;". "&amp;IF($Z449=6,"Final escalation completed.",IF($U449="OVERDUE","Next: "&amp;$AC449&amp;" was due "&amp;TEXT($AB449,"dd-mmm")&amp;" - "&amp;(NETWORKDAYS($AB449,TODAY(),Holidays)-1)&amp;" business day(s) late. Send now.",IF($U449="DUE TOMORROW","Next: "&amp;$AC449&amp;IF($AB449&lt;=TODAY()," is due TODAY ("," is due next business day (")&amp;TEXT($AB449,"dd-mmm")&amp;").","Next: "&amp;$AC449&amp;" due "&amp;TEXT($AB449,"dd-mmm")&amp;" ("&amp;(NETWORKDAYS(TODAY(),$AB449,Holidays)-1)&amp;" business day(s) left).")))))</f>
        <v/>
      </c>
      <c r="W449" s="17">
        <f>IF($Z449="","",CHOOSE($Z449,"Collection Email","1st Follow-up","2nd Follow-up","Local Office","CBE","Roxanne")&amp;IF($Z449=6," - Final"," - Day "&amp;MAX(0,NETWORKDAYS($AA449,TODAY(),Holidays)-1)&amp;" of "&amp;CHOOSE($Z449,3,3,2,2,3))&amp;" | Total Day "&amp;MAX(0,NETWORKDAYS($N449,TODAY(),Holidays)-1))</f>
        <v/>
      </c>
      <c r="X449" s="18"/>
      <c r="Y449" s="18"/>
      <c r="Z449" s="17">
        <f>IF($N449="","",COUNT($N449:$S449))</f>
        <v/>
      </c>
      <c r="AA449" s="19">
        <f>IF($Z449="","",INT(INDEX($N449:$S449,$Z449)))</f>
        <v/>
      </c>
      <c r="AB449" s="19">
        <f>IF(OR($Z449="",$Z449=6),"",WORKDAY($AA449,CHOOSE($Z449,3,3,2,2,3),Holidays))</f>
        <v/>
      </c>
      <c r="AC449" s="17">
        <f>IF(OR($Z449="",$Z449=6),"",CHOOSE($Z449,"1st Email Follow-up","2nd Email Follow-up","Escalate Local Office","Escalate to CBE","Escalate to Roxanne"))</f>
        <v/>
      </c>
    </row>
    <row r="450" spans="13:29">
      <c r="M450" s="14"/>
      <c r="T450" s="16"/>
      <c r="U450" s="17">
        <f>IF(AND(COUNTA($A450:$L450)=0,$N450=""),"",IF($T450="Paid","PAID",IF($T450="Closed","CLOSED",IF($Z450="","",IF($Z450=6,"ESCALATED TO ROXANNE",IF(TODAY()&gt;$AB450,"OVERDUE",IF($AB450&lt;=WORKDAY(TODAY(),1,Holidays),"DUE TOMORROW",IF($Z450=4,"ESCALATED TO LOCAL OFFICE",IF($Z450=5,"ESCALATED TO CBE",IF($AA450=TODAY(),"EMAIL SENT","MONITORING"))))))))))</f>
        <v/>
      </c>
      <c r="V450" s="17">
        <f>IF($U450="",IF(AND(COUNTA($A450:$L450)&gt;0,$N450=""),"Awaiting Collection Email time stamp.",""),IF(OR($U450="PAID",$U450="CLOSED"),IF($U450="PAID","Account paid. Action completed.","Account closed. No further action required."),CHOOSE($Z450,"Collection Email","1st Email Follow-up","2nd Email Follow-up","Escalation to Local Office","Escalation to CBE","Escalation to Roxanne")&amp;" sent "&amp;TEXT($AA450,"dd-mmm")&amp;". "&amp;IF($Z450=6,"Final escalation completed.",IF($U450="OVERDUE","Next: "&amp;$AC450&amp;" was due "&amp;TEXT($AB450,"dd-mmm")&amp;" - "&amp;(NETWORKDAYS($AB450,TODAY(),Holidays)-1)&amp;" business day(s) late. Send now.",IF($U450="DUE TOMORROW","Next: "&amp;$AC450&amp;IF($AB450&lt;=TODAY()," is due TODAY ("," is due next business day (")&amp;TEXT($AB450,"dd-mmm")&amp;").","Next: "&amp;$AC450&amp;" due "&amp;TEXT($AB450,"dd-mmm")&amp;" ("&amp;(NETWORKDAYS(TODAY(),$AB450,Holidays)-1)&amp;" business day(s) left).")))))</f>
        <v/>
      </c>
      <c r="W450" s="17">
        <f>IF($Z450="","",CHOOSE($Z450,"Collection Email","1st Follow-up","2nd Follow-up","Local Office","CBE","Roxanne")&amp;IF($Z450=6," - Final"," - Day "&amp;MAX(0,NETWORKDAYS($AA450,TODAY(),Holidays)-1)&amp;" of "&amp;CHOOSE($Z450,3,3,2,2,3))&amp;" | Total Day "&amp;MAX(0,NETWORKDAYS($N450,TODAY(),Holidays)-1))</f>
        <v/>
      </c>
      <c r="X450" s="18"/>
      <c r="Y450" s="18"/>
      <c r="Z450" s="17">
        <f>IF($N450="","",COUNT($N450:$S450))</f>
        <v/>
      </c>
      <c r="AA450" s="19">
        <f>IF($Z450="","",INT(INDEX($N450:$S450,$Z450)))</f>
        <v/>
      </c>
      <c r="AB450" s="19">
        <f>IF(OR($Z450="",$Z450=6),"",WORKDAY($AA450,CHOOSE($Z450,3,3,2,2,3),Holidays))</f>
        <v/>
      </c>
      <c r="AC450" s="17">
        <f>IF(OR($Z450="",$Z450=6),"",CHOOSE($Z450,"1st Email Follow-up","2nd Email Follow-up","Escalate Local Office","Escalate to CBE","Escalate to Roxanne"))</f>
        <v/>
      </c>
    </row>
    <row r="451" spans="13:29">
      <c r="M451" s="14"/>
      <c r="T451" s="16"/>
      <c r="U451" s="17">
        <f>IF(AND(COUNTA($A451:$L451)=0,$N451=""),"",IF($T451="Paid","PAID",IF($T451="Closed","CLOSED",IF($Z451="","",IF($Z451=6,"ESCALATED TO ROXANNE",IF(TODAY()&gt;$AB451,"OVERDUE",IF($AB451&lt;=WORKDAY(TODAY(),1,Holidays),"DUE TOMORROW",IF($Z451=4,"ESCALATED TO LOCAL OFFICE",IF($Z451=5,"ESCALATED TO CBE",IF($AA451=TODAY(),"EMAIL SENT","MONITORING"))))))))))</f>
        <v/>
      </c>
      <c r="V451" s="17">
        <f>IF($U451="",IF(AND(COUNTA($A451:$L451)&gt;0,$N451=""),"Awaiting Collection Email time stamp.",""),IF(OR($U451="PAID",$U451="CLOSED"),IF($U451="PAID","Account paid. Action completed.","Account closed. No further action required."),CHOOSE($Z451,"Collection Email","1st Email Follow-up","2nd Email Follow-up","Escalation to Local Office","Escalation to CBE","Escalation to Roxanne")&amp;" sent "&amp;TEXT($AA451,"dd-mmm")&amp;". "&amp;IF($Z451=6,"Final escalation completed.",IF($U451="OVERDUE","Next: "&amp;$AC451&amp;" was due "&amp;TEXT($AB451,"dd-mmm")&amp;" - "&amp;(NETWORKDAYS($AB451,TODAY(),Holidays)-1)&amp;" business day(s) late. Send now.",IF($U451="DUE TOMORROW","Next: "&amp;$AC451&amp;IF($AB451&lt;=TODAY()," is due TODAY ("," is due next business day (")&amp;TEXT($AB451,"dd-mmm")&amp;").","Next: "&amp;$AC451&amp;" due "&amp;TEXT($AB451,"dd-mmm")&amp;" ("&amp;(NETWORKDAYS(TODAY(),$AB451,Holidays)-1)&amp;" business day(s) left).")))))</f>
        <v/>
      </c>
      <c r="W451" s="17">
        <f>IF($Z451="","",CHOOSE($Z451,"Collection Email","1st Follow-up","2nd Follow-up","Local Office","CBE","Roxanne")&amp;IF($Z451=6," - Final"," - Day "&amp;MAX(0,NETWORKDAYS($AA451,TODAY(),Holidays)-1)&amp;" of "&amp;CHOOSE($Z451,3,3,2,2,3))&amp;" | Total Day "&amp;MAX(0,NETWORKDAYS($N451,TODAY(),Holidays)-1))</f>
        <v/>
      </c>
      <c r="X451" s="18"/>
      <c r="Y451" s="18"/>
      <c r="Z451" s="17">
        <f>IF($N451="","",COUNT($N451:$S451))</f>
        <v/>
      </c>
      <c r="AA451" s="19">
        <f>IF($Z451="","",INT(INDEX($N451:$S451,$Z451)))</f>
        <v/>
      </c>
      <c r="AB451" s="19">
        <f>IF(OR($Z451="",$Z451=6),"",WORKDAY($AA451,CHOOSE($Z451,3,3,2,2,3),Holidays))</f>
        <v/>
      </c>
      <c r="AC451" s="17">
        <f>IF(OR($Z451="",$Z451=6),"",CHOOSE($Z451,"1st Email Follow-up","2nd Email Follow-up","Escalate Local Office","Escalate to CBE","Escalate to Roxanne"))</f>
        <v/>
      </c>
    </row>
    <row r="452" spans="13:29">
      <c r="M452" s="14"/>
      <c r="T452" s="16"/>
      <c r="U452" s="17">
        <f>IF(AND(COUNTA($A452:$L452)=0,$N452=""),"",IF($T452="Paid","PAID",IF($T452="Closed","CLOSED",IF($Z452="","",IF($Z452=6,"ESCALATED TO ROXANNE",IF(TODAY()&gt;$AB452,"OVERDUE",IF($AB452&lt;=WORKDAY(TODAY(),1,Holidays),"DUE TOMORROW",IF($Z452=4,"ESCALATED TO LOCAL OFFICE",IF($Z452=5,"ESCALATED TO CBE",IF($AA452=TODAY(),"EMAIL SENT","MONITORING"))))))))))</f>
        <v/>
      </c>
      <c r="V452" s="17">
        <f>IF($U452="",IF(AND(COUNTA($A452:$L452)&gt;0,$N452=""),"Awaiting Collection Email time stamp.",""),IF(OR($U452="PAID",$U452="CLOSED"),IF($U452="PAID","Account paid. Action completed.","Account closed. No further action required."),CHOOSE($Z452,"Collection Email","1st Email Follow-up","2nd Email Follow-up","Escalation to Local Office","Escalation to CBE","Escalation to Roxanne")&amp;" sent "&amp;TEXT($AA452,"dd-mmm")&amp;". "&amp;IF($Z452=6,"Final escalation completed.",IF($U452="OVERDUE","Next: "&amp;$AC452&amp;" was due "&amp;TEXT($AB452,"dd-mmm")&amp;" - "&amp;(NETWORKDAYS($AB452,TODAY(),Holidays)-1)&amp;" business day(s) late. Send now.",IF($U452="DUE TOMORROW","Next: "&amp;$AC452&amp;IF($AB452&lt;=TODAY()," is due TODAY ("," is due next business day (")&amp;TEXT($AB452,"dd-mmm")&amp;").","Next: "&amp;$AC452&amp;" due "&amp;TEXT($AB452,"dd-mmm")&amp;" ("&amp;(NETWORKDAYS(TODAY(),$AB452,Holidays)-1)&amp;" business day(s) left).")))))</f>
        <v/>
      </c>
      <c r="W452" s="17">
        <f>IF($Z452="","",CHOOSE($Z452,"Collection Email","1st Follow-up","2nd Follow-up","Local Office","CBE","Roxanne")&amp;IF($Z452=6," - Final"," - Day "&amp;MAX(0,NETWORKDAYS($AA452,TODAY(),Holidays)-1)&amp;" of "&amp;CHOOSE($Z452,3,3,2,2,3))&amp;" | Total Day "&amp;MAX(0,NETWORKDAYS($N452,TODAY(),Holidays)-1))</f>
        <v/>
      </c>
      <c r="X452" s="18"/>
      <c r="Y452" s="18"/>
      <c r="Z452" s="17">
        <f>IF($N452="","",COUNT($N452:$S452))</f>
        <v/>
      </c>
      <c r="AA452" s="19">
        <f>IF($Z452="","",INT(INDEX($N452:$S452,$Z452)))</f>
        <v/>
      </c>
      <c r="AB452" s="19">
        <f>IF(OR($Z452="",$Z452=6),"",WORKDAY($AA452,CHOOSE($Z452,3,3,2,2,3),Holidays))</f>
        <v/>
      </c>
      <c r="AC452" s="17">
        <f>IF(OR($Z452="",$Z452=6),"",CHOOSE($Z452,"1st Email Follow-up","2nd Email Follow-up","Escalate Local Office","Escalate to CBE","Escalate to Roxanne"))</f>
        <v/>
      </c>
    </row>
    <row r="453" spans="13:29">
      <c r="M453" s="14"/>
      <c r="T453" s="16"/>
      <c r="U453" s="17">
        <f>IF(AND(COUNTA($A453:$L453)=0,$N453=""),"",IF($T453="Paid","PAID",IF($T453="Closed","CLOSED",IF($Z453="","",IF($Z453=6,"ESCALATED TO ROXANNE",IF(TODAY()&gt;$AB453,"OVERDUE",IF($AB453&lt;=WORKDAY(TODAY(),1,Holidays),"DUE TOMORROW",IF($Z453=4,"ESCALATED TO LOCAL OFFICE",IF($Z453=5,"ESCALATED TO CBE",IF($AA453=TODAY(),"EMAIL SENT","MONITORING"))))))))))</f>
        <v/>
      </c>
      <c r="V453" s="17">
        <f>IF($U453="",IF(AND(COUNTA($A453:$L453)&gt;0,$N453=""),"Awaiting Collection Email time stamp.",""),IF(OR($U453="PAID",$U453="CLOSED"),IF($U453="PAID","Account paid. Action completed.","Account closed. No further action required."),CHOOSE($Z453,"Collection Email","1st Email Follow-up","2nd Email Follow-up","Escalation to Local Office","Escalation to CBE","Escalation to Roxanne")&amp;" sent "&amp;TEXT($AA453,"dd-mmm")&amp;". "&amp;IF($Z453=6,"Final escalation completed.",IF($U453="OVERDUE","Next: "&amp;$AC453&amp;" was due "&amp;TEXT($AB453,"dd-mmm")&amp;" - "&amp;(NETWORKDAYS($AB453,TODAY(),Holidays)-1)&amp;" business day(s) late. Send now.",IF($U453="DUE TOMORROW","Next: "&amp;$AC453&amp;IF($AB453&lt;=TODAY()," is due TODAY ("," is due next business day (")&amp;TEXT($AB453,"dd-mmm")&amp;").","Next: "&amp;$AC453&amp;" due "&amp;TEXT($AB453,"dd-mmm")&amp;" ("&amp;(NETWORKDAYS(TODAY(),$AB453,Holidays)-1)&amp;" business day(s) left).")))))</f>
        <v/>
      </c>
      <c r="W453" s="17">
        <f>IF($Z453="","",CHOOSE($Z453,"Collection Email","1st Follow-up","2nd Follow-up","Local Office","CBE","Roxanne")&amp;IF($Z453=6," - Final"," - Day "&amp;MAX(0,NETWORKDAYS($AA453,TODAY(),Holidays)-1)&amp;" of "&amp;CHOOSE($Z453,3,3,2,2,3))&amp;" | Total Day "&amp;MAX(0,NETWORKDAYS($N453,TODAY(),Holidays)-1))</f>
        <v/>
      </c>
      <c r="X453" s="18"/>
      <c r="Y453" s="18"/>
      <c r="Z453" s="17">
        <f>IF($N453="","",COUNT($N453:$S453))</f>
        <v/>
      </c>
      <c r="AA453" s="19">
        <f>IF($Z453="","",INT(INDEX($N453:$S453,$Z453)))</f>
        <v/>
      </c>
      <c r="AB453" s="19">
        <f>IF(OR($Z453="",$Z453=6),"",WORKDAY($AA453,CHOOSE($Z453,3,3,2,2,3),Holidays))</f>
        <v/>
      </c>
      <c r="AC453" s="17">
        <f>IF(OR($Z453="",$Z453=6),"",CHOOSE($Z453,"1st Email Follow-up","2nd Email Follow-up","Escalate Local Office","Escalate to CBE","Escalate to Roxanne"))</f>
        <v/>
      </c>
    </row>
    <row r="454" spans="13:29">
      <c r="M454" s="14"/>
      <c r="T454" s="16"/>
      <c r="U454" s="17">
        <f>IF(AND(COUNTA($A454:$L454)=0,$N454=""),"",IF($T454="Paid","PAID",IF($T454="Closed","CLOSED",IF($Z454="","",IF($Z454=6,"ESCALATED TO ROXANNE",IF(TODAY()&gt;$AB454,"OVERDUE",IF($AB454&lt;=WORKDAY(TODAY(),1,Holidays),"DUE TOMORROW",IF($Z454=4,"ESCALATED TO LOCAL OFFICE",IF($Z454=5,"ESCALATED TO CBE",IF($AA454=TODAY(),"EMAIL SENT","MONITORING"))))))))))</f>
        <v/>
      </c>
      <c r="V454" s="17">
        <f>IF($U454="",IF(AND(COUNTA($A454:$L454)&gt;0,$N454=""),"Awaiting Collection Email time stamp.",""),IF(OR($U454="PAID",$U454="CLOSED"),IF($U454="PAID","Account paid. Action completed.","Account closed. No further action required."),CHOOSE($Z454,"Collection Email","1st Email Follow-up","2nd Email Follow-up","Escalation to Local Office","Escalation to CBE","Escalation to Roxanne")&amp;" sent "&amp;TEXT($AA454,"dd-mmm")&amp;". "&amp;IF($Z454=6,"Final escalation completed.",IF($U454="OVERDUE","Next: "&amp;$AC454&amp;" was due "&amp;TEXT($AB454,"dd-mmm")&amp;" - "&amp;(NETWORKDAYS($AB454,TODAY(),Holidays)-1)&amp;" business day(s) late. Send now.",IF($U454="DUE TOMORROW","Next: "&amp;$AC454&amp;IF($AB454&lt;=TODAY()," is due TODAY ("," is due next business day (")&amp;TEXT($AB454,"dd-mmm")&amp;").","Next: "&amp;$AC454&amp;" due "&amp;TEXT($AB454,"dd-mmm")&amp;" ("&amp;(NETWORKDAYS(TODAY(),$AB454,Holidays)-1)&amp;" business day(s) left).")))))</f>
        <v/>
      </c>
      <c r="W454" s="17">
        <f>IF($Z454="","",CHOOSE($Z454,"Collection Email","1st Follow-up","2nd Follow-up","Local Office","CBE","Roxanne")&amp;IF($Z454=6," - Final"," - Day "&amp;MAX(0,NETWORKDAYS($AA454,TODAY(),Holidays)-1)&amp;" of "&amp;CHOOSE($Z454,3,3,2,2,3))&amp;" | Total Day "&amp;MAX(0,NETWORKDAYS($N454,TODAY(),Holidays)-1))</f>
        <v/>
      </c>
      <c r="X454" s="18"/>
      <c r="Y454" s="18"/>
      <c r="Z454" s="17">
        <f>IF($N454="","",COUNT($N454:$S454))</f>
        <v/>
      </c>
      <c r="AA454" s="19">
        <f>IF($Z454="","",INT(INDEX($N454:$S454,$Z454)))</f>
        <v/>
      </c>
      <c r="AB454" s="19">
        <f>IF(OR($Z454="",$Z454=6),"",WORKDAY($AA454,CHOOSE($Z454,3,3,2,2,3),Holidays))</f>
        <v/>
      </c>
      <c r="AC454" s="17">
        <f>IF(OR($Z454="",$Z454=6),"",CHOOSE($Z454,"1st Email Follow-up","2nd Email Follow-up","Escalate Local Office","Escalate to CBE","Escalate to Roxanne"))</f>
        <v/>
      </c>
    </row>
    <row r="455" spans="13:29">
      <c r="M455" s="14"/>
      <c r="T455" s="16"/>
      <c r="U455" s="17">
        <f>IF(AND(COUNTA($A455:$L455)=0,$N455=""),"",IF($T455="Paid","PAID",IF($T455="Closed","CLOSED",IF($Z455="","",IF($Z455=6,"ESCALATED TO ROXANNE",IF(TODAY()&gt;$AB455,"OVERDUE",IF($AB455&lt;=WORKDAY(TODAY(),1,Holidays),"DUE TOMORROW",IF($Z455=4,"ESCALATED TO LOCAL OFFICE",IF($Z455=5,"ESCALATED TO CBE",IF($AA455=TODAY(),"EMAIL SENT","MONITORING"))))))))))</f>
        <v/>
      </c>
      <c r="V455" s="17">
        <f>IF($U455="",IF(AND(COUNTA($A455:$L455)&gt;0,$N455=""),"Awaiting Collection Email time stamp.",""),IF(OR($U455="PAID",$U455="CLOSED"),IF($U455="PAID","Account paid. Action completed.","Account closed. No further action required."),CHOOSE($Z455,"Collection Email","1st Email Follow-up","2nd Email Follow-up","Escalation to Local Office","Escalation to CBE","Escalation to Roxanne")&amp;" sent "&amp;TEXT($AA455,"dd-mmm")&amp;". "&amp;IF($Z455=6,"Final escalation completed.",IF($U455="OVERDUE","Next: "&amp;$AC455&amp;" was due "&amp;TEXT($AB455,"dd-mmm")&amp;" - "&amp;(NETWORKDAYS($AB455,TODAY(),Holidays)-1)&amp;" business day(s) late. Send now.",IF($U455="DUE TOMORROW","Next: "&amp;$AC455&amp;IF($AB455&lt;=TODAY()," is due TODAY ("," is due next business day (")&amp;TEXT($AB455,"dd-mmm")&amp;").","Next: "&amp;$AC455&amp;" due "&amp;TEXT($AB455,"dd-mmm")&amp;" ("&amp;(NETWORKDAYS(TODAY(),$AB455,Holidays)-1)&amp;" business day(s) left).")))))</f>
        <v/>
      </c>
      <c r="W455" s="17">
        <f>IF($Z455="","",CHOOSE($Z455,"Collection Email","1st Follow-up","2nd Follow-up","Local Office","CBE","Roxanne")&amp;IF($Z455=6," - Final"," - Day "&amp;MAX(0,NETWORKDAYS($AA455,TODAY(),Holidays)-1)&amp;" of "&amp;CHOOSE($Z455,3,3,2,2,3))&amp;" | Total Day "&amp;MAX(0,NETWORKDAYS($N455,TODAY(),Holidays)-1))</f>
        <v/>
      </c>
      <c r="X455" s="18"/>
      <c r="Y455" s="18"/>
      <c r="Z455" s="17">
        <f>IF($N455="","",COUNT($N455:$S455))</f>
        <v/>
      </c>
      <c r="AA455" s="19">
        <f>IF($Z455="","",INT(INDEX($N455:$S455,$Z455)))</f>
        <v/>
      </c>
      <c r="AB455" s="19">
        <f>IF(OR($Z455="",$Z455=6),"",WORKDAY($AA455,CHOOSE($Z455,3,3,2,2,3),Holidays))</f>
        <v/>
      </c>
      <c r="AC455" s="17">
        <f>IF(OR($Z455="",$Z455=6),"",CHOOSE($Z455,"1st Email Follow-up","2nd Email Follow-up","Escalate Local Office","Escalate to CBE","Escalate to Roxanne"))</f>
        <v/>
      </c>
    </row>
    <row r="456" spans="13:29">
      <c r="M456" s="14"/>
      <c r="T456" s="16"/>
      <c r="U456" s="17">
        <f>IF(AND(COUNTA($A456:$L456)=0,$N456=""),"",IF($T456="Paid","PAID",IF($T456="Closed","CLOSED",IF($Z456="","",IF($Z456=6,"ESCALATED TO ROXANNE",IF(TODAY()&gt;$AB456,"OVERDUE",IF($AB456&lt;=WORKDAY(TODAY(),1,Holidays),"DUE TOMORROW",IF($Z456=4,"ESCALATED TO LOCAL OFFICE",IF($Z456=5,"ESCALATED TO CBE",IF($AA456=TODAY(),"EMAIL SENT","MONITORING"))))))))))</f>
        <v/>
      </c>
      <c r="V456" s="17">
        <f>IF($U456="",IF(AND(COUNTA($A456:$L456)&gt;0,$N456=""),"Awaiting Collection Email time stamp.",""),IF(OR($U456="PAID",$U456="CLOSED"),IF($U456="PAID","Account paid. Action completed.","Account closed. No further action required."),CHOOSE($Z456,"Collection Email","1st Email Follow-up","2nd Email Follow-up","Escalation to Local Office","Escalation to CBE","Escalation to Roxanne")&amp;" sent "&amp;TEXT($AA456,"dd-mmm")&amp;". "&amp;IF($Z456=6,"Final escalation completed.",IF($U456="OVERDUE","Next: "&amp;$AC456&amp;" was due "&amp;TEXT($AB456,"dd-mmm")&amp;" - "&amp;(NETWORKDAYS($AB456,TODAY(),Holidays)-1)&amp;" business day(s) late. Send now.",IF($U456="DUE TOMORROW","Next: "&amp;$AC456&amp;IF($AB456&lt;=TODAY()," is due TODAY ("," is due next business day (")&amp;TEXT($AB456,"dd-mmm")&amp;").","Next: "&amp;$AC456&amp;" due "&amp;TEXT($AB456,"dd-mmm")&amp;" ("&amp;(NETWORKDAYS(TODAY(),$AB456,Holidays)-1)&amp;" business day(s) left).")))))</f>
        <v/>
      </c>
      <c r="W456" s="17">
        <f>IF($Z456="","",CHOOSE($Z456,"Collection Email","1st Follow-up","2nd Follow-up","Local Office","CBE","Roxanne")&amp;IF($Z456=6," - Final"," - Day "&amp;MAX(0,NETWORKDAYS($AA456,TODAY(),Holidays)-1)&amp;" of "&amp;CHOOSE($Z456,3,3,2,2,3))&amp;" | Total Day "&amp;MAX(0,NETWORKDAYS($N456,TODAY(),Holidays)-1))</f>
        <v/>
      </c>
      <c r="X456" s="18"/>
      <c r="Y456" s="18"/>
      <c r="Z456" s="17">
        <f>IF($N456="","",COUNT($N456:$S456))</f>
        <v/>
      </c>
      <c r="AA456" s="19">
        <f>IF($Z456="","",INT(INDEX($N456:$S456,$Z456)))</f>
        <v/>
      </c>
      <c r="AB456" s="19">
        <f>IF(OR($Z456="",$Z456=6),"",WORKDAY($AA456,CHOOSE($Z456,3,3,2,2,3),Holidays))</f>
        <v/>
      </c>
      <c r="AC456" s="17">
        <f>IF(OR($Z456="",$Z456=6),"",CHOOSE($Z456,"1st Email Follow-up","2nd Email Follow-up","Escalate Local Office","Escalate to CBE","Escalate to Roxanne"))</f>
        <v/>
      </c>
    </row>
    <row r="457" spans="13:29">
      <c r="M457" s="14"/>
      <c r="T457" s="16"/>
      <c r="U457" s="17">
        <f>IF(AND(COUNTA($A457:$L457)=0,$N457=""),"",IF($T457="Paid","PAID",IF($T457="Closed","CLOSED",IF($Z457="","",IF($Z457=6,"ESCALATED TO ROXANNE",IF(TODAY()&gt;$AB457,"OVERDUE",IF($AB457&lt;=WORKDAY(TODAY(),1,Holidays),"DUE TOMORROW",IF($Z457=4,"ESCALATED TO LOCAL OFFICE",IF($Z457=5,"ESCALATED TO CBE",IF($AA457=TODAY(),"EMAIL SENT","MONITORING"))))))))))</f>
        <v/>
      </c>
      <c r="V457" s="17">
        <f>IF($U457="",IF(AND(COUNTA($A457:$L457)&gt;0,$N457=""),"Awaiting Collection Email time stamp.",""),IF(OR($U457="PAID",$U457="CLOSED"),IF($U457="PAID","Account paid. Action completed.","Account closed. No further action required."),CHOOSE($Z457,"Collection Email","1st Email Follow-up","2nd Email Follow-up","Escalation to Local Office","Escalation to CBE","Escalation to Roxanne")&amp;" sent "&amp;TEXT($AA457,"dd-mmm")&amp;". "&amp;IF($Z457=6,"Final escalation completed.",IF($U457="OVERDUE","Next: "&amp;$AC457&amp;" was due "&amp;TEXT($AB457,"dd-mmm")&amp;" - "&amp;(NETWORKDAYS($AB457,TODAY(),Holidays)-1)&amp;" business day(s) late. Send now.",IF($U457="DUE TOMORROW","Next: "&amp;$AC457&amp;IF($AB457&lt;=TODAY()," is due TODAY ("," is due next business day (")&amp;TEXT($AB457,"dd-mmm")&amp;").","Next: "&amp;$AC457&amp;" due "&amp;TEXT($AB457,"dd-mmm")&amp;" ("&amp;(NETWORKDAYS(TODAY(),$AB457,Holidays)-1)&amp;" business day(s) left).")))))</f>
        <v/>
      </c>
      <c r="W457" s="17">
        <f>IF($Z457="","",CHOOSE($Z457,"Collection Email","1st Follow-up","2nd Follow-up","Local Office","CBE","Roxanne")&amp;IF($Z457=6," - Final"," - Day "&amp;MAX(0,NETWORKDAYS($AA457,TODAY(),Holidays)-1)&amp;" of "&amp;CHOOSE($Z457,3,3,2,2,3))&amp;" | Total Day "&amp;MAX(0,NETWORKDAYS($N457,TODAY(),Holidays)-1))</f>
        <v/>
      </c>
      <c r="X457" s="18"/>
      <c r="Y457" s="18"/>
      <c r="Z457" s="17">
        <f>IF($N457="","",COUNT($N457:$S457))</f>
        <v/>
      </c>
      <c r="AA457" s="19">
        <f>IF($Z457="","",INT(INDEX($N457:$S457,$Z457)))</f>
        <v/>
      </c>
      <c r="AB457" s="19">
        <f>IF(OR($Z457="",$Z457=6),"",WORKDAY($AA457,CHOOSE($Z457,3,3,2,2,3),Holidays))</f>
        <v/>
      </c>
      <c r="AC457" s="17">
        <f>IF(OR($Z457="",$Z457=6),"",CHOOSE($Z457,"1st Email Follow-up","2nd Email Follow-up","Escalate Local Office","Escalate to CBE","Escalate to Roxanne"))</f>
        <v/>
      </c>
    </row>
    <row r="458" spans="13:29">
      <c r="M458" s="14"/>
      <c r="T458" s="16"/>
      <c r="U458" s="17">
        <f>IF(AND(COUNTA($A458:$L458)=0,$N458=""),"",IF($T458="Paid","PAID",IF($T458="Closed","CLOSED",IF($Z458="","",IF($Z458=6,"ESCALATED TO ROXANNE",IF(TODAY()&gt;$AB458,"OVERDUE",IF($AB458&lt;=WORKDAY(TODAY(),1,Holidays),"DUE TOMORROW",IF($Z458=4,"ESCALATED TO LOCAL OFFICE",IF($Z458=5,"ESCALATED TO CBE",IF($AA458=TODAY(),"EMAIL SENT","MONITORING"))))))))))</f>
        <v/>
      </c>
      <c r="V458" s="17">
        <f>IF($U458="",IF(AND(COUNTA($A458:$L458)&gt;0,$N458=""),"Awaiting Collection Email time stamp.",""),IF(OR($U458="PAID",$U458="CLOSED"),IF($U458="PAID","Account paid. Action completed.","Account closed. No further action required."),CHOOSE($Z458,"Collection Email","1st Email Follow-up","2nd Email Follow-up","Escalation to Local Office","Escalation to CBE","Escalation to Roxanne")&amp;" sent "&amp;TEXT($AA458,"dd-mmm")&amp;". "&amp;IF($Z458=6,"Final escalation completed.",IF($U458="OVERDUE","Next: "&amp;$AC458&amp;" was due "&amp;TEXT($AB458,"dd-mmm")&amp;" - "&amp;(NETWORKDAYS($AB458,TODAY(),Holidays)-1)&amp;" business day(s) late. Send now.",IF($U458="DUE TOMORROW","Next: "&amp;$AC458&amp;IF($AB458&lt;=TODAY()," is due TODAY ("," is due next business day (")&amp;TEXT($AB458,"dd-mmm")&amp;").","Next: "&amp;$AC458&amp;" due "&amp;TEXT($AB458,"dd-mmm")&amp;" ("&amp;(NETWORKDAYS(TODAY(),$AB458,Holidays)-1)&amp;" business day(s) left).")))))</f>
        <v/>
      </c>
      <c r="W458" s="17">
        <f>IF($Z458="","",CHOOSE($Z458,"Collection Email","1st Follow-up","2nd Follow-up","Local Office","CBE","Roxanne")&amp;IF($Z458=6," - Final"," - Day "&amp;MAX(0,NETWORKDAYS($AA458,TODAY(),Holidays)-1)&amp;" of "&amp;CHOOSE($Z458,3,3,2,2,3))&amp;" | Total Day "&amp;MAX(0,NETWORKDAYS($N458,TODAY(),Holidays)-1))</f>
        <v/>
      </c>
      <c r="X458" s="18"/>
      <c r="Y458" s="18"/>
      <c r="Z458" s="17">
        <f>IF($N458="","",COUNT($N458:$S458))</f>
        <v/>
      </c>
      <c r="AA458" s="19">
        <f>IF($Z458="","",INT(INDEX($N458:$S458,$Z458)))</f>
        <v/>
      </c>
      <c r="AB458" s="19">
        <f>IF(OR($Z458="",$Z458=6),"",WORKDAY($AA458,CHOOSE($Z458,3,3,2,2,3),Holidays))</f>
        <v/>
      </c>
      <c r="AC458" s="17">
        <f>IF(OR($Z458="",$Z458=6),"",CHOOSE($Z458,"1st Email Follow-up","2nd Email Follow-up","Escalate Local Office","Escalate to CBE","Escalate to Roxanne"))</f>
        <v/>
      </c>
    </row>
    <row r="459" spans="13:29">
      <c r="M459" s="14"/>
      <c r="T459" s="16"/>
      <c r="U459" s="17">
        <f>IF(AND(COUNTA($A459:$L459)=0,$N459=""),"",IF($T459="Paid","PAID",IF($T459="Closed","CLOSED",IF($Z459="","",IF($Z459=6,"ESCALATED TO ROXANNE",IF(TODAY()&gt;$AB459,"OVERDUE",IF($AB459&lt;=WORKDAY(TODAY(),1,Holidays),"DUE TOMORROW",IF($Z459=4,"ESCALATED TO LOCAL OFFICE",IF($Z459=5,"ESCALATED TO CBE",IF($AA459=TODAY(),"EMAIL SENT","MONITORING"))))))))))</f>
        <v/>
      </c>
      <c r="V459" s="17">
        <f>IF($U459="",IF(AND(COUNTA($A459:$L459)&gt;0,$N459=""),"Awaiting Collection Email time stamp.",""),IF(OR($U459="PAID",$U459="CLOSED"),IF($U459="PAID","Account paid. Action completed.","Account closed. No further action required."),CHOOSE($Z459,"Collection Email","1st Email Follow-up","2nd Email Follow-up","Escalation to Local Office","Escalation to CBE","Escalation to Roxanne")&amp;" sent "&amp;TEXT($AA459,"dd-mmm")&amp;". "&amp;IF($Z459=6,"Final escalation completed.",IF($U459="OVERDUE","Next: "&amp;$AC459&amp;" was due "&amp;TEXT($AB459,"dd-mmm")&amp;" - "&amp;(NETWORKDAYS($AB459,TODAY(),Holidays)-1)&amp;" business day(s) late. Send now.",IF($U459="DUE TOMORROW","Next: "&amp;$AC459&amp;IF($AB459&lt;=TODAY()," is due TODAY ("," is due next business day (")&amp;TEXT($AB459,"dd-mmm")&amp;").","Next: "&amp;$AC459&amp;" due "&amp;TEXT($AB459,"dd-mmm")&amp;" ("&amp;(NETWORKDAYS(TODAY(),$AB459,Holidays)-1)&amp;" business day(s) left).")))))</f>
        <v/>
      </c>
      <c r="W459" s="17">
        <f>IF($Z459="","",CHOOSE($Z459,"Collection Email","1st Follow-up","2nd Follow-up","Local Office","CBE","Roxanne")&amp;IF($Z459=6," - Final"," - Day "&amp;MAX(0,NETWORKDAYS($AA459,TODAY(),Holidays)-1)&amp;" of "&amp;CHOOSE($Z459,3,3,2,2,3))&amp;" | Total Day "&amp;MAX(0,NETWORKDAYS($N459,TODAY(),Holidays)-1))</f>
        <v/>
      </c>
      <c r="X459" s="18"/>
      <c r="Y459" s="18"/>
      <c r="Z459" s="17">
        <f>IF($N459="","",COUNT($N459:$S459))</f>
        <v/>
      </c>
      <c r="AA459" s="19">
        <f>IF($Z459="","",INT(INDEX($N459:$S459,$Z459)))</f>
        <v/>
      </c>
      <c r="AB459" s="19">
        <f>IF(OR($Z459="",$Z459=6),"",WORKDAY($AA459,CHOOSE($Z459,3,3,2,2,3),Holidays))</f>
        <v/>
      </c>
      <c r="AC459" s="17">
        <f>IF(OR($Z459="",$Z459=6),"",CHOOSE($Z459,"1st Email Follow-up","2nd Email Follow-up","Escalate Local Office","Escalate to CBE","Escalate to Roxanne"))</f>
        <v/>
      </c>
    </row>
    <row r="460" spans="13:29">
      <c r="M460" s="14"/>
      <c r="T460" s="16"/>
      <c r="U460" s="17">
        <f>IF(AND(COUNTA($A460:$L460)=0,$N460=""),"",IF($T460="Paid","PAID",IF($T460="Closed","CLOSED",IF($Z460="","",IF($Z460=6,"ESCALATED TO ROXANNE",IF(TODAY()&gt;$AB460,"OVERDUE",IF($AB460&lt;=WORKDAY(TODAY(),1,Holidays),"DUE TOMORROW",IF($Z460=4,"ESCALATED TO LOCAL OFFICE",IF($Z460=5,"ESCALATED TO CBE",IF($AA460=TODAY(),"EMAIL SENT","MONITORING"))))))))))</f>
        <v/>
      </c>
      <c r="V460" s="17">
        <f>IF($U460="",IF(AND(COUNTA($A460:$L460)&gt;0,$N460=""),"Awaiting Collection Email time stamp.",""),IF(OR($U460="PAID",$U460="CLOSED"),IF($U460="PAID","Account paid. Action completed.","Account closed. No further action required."),CHOOSE($Z460,"Collection Email","1st Email Follow-up","2nd Email Follow-up","Escalation to Local Office","Escalation to CBE","Escalation to Roxanne")&amp;" sent "&amp;TEXT($AA460,"dd-mmm")&amp;". "&amp;IF($Z460=6,"Final escalation completed.",IF($U460="OVERDUE","Next: "&amp;$AC460&amp;" was due "&amp;TEXT($AB460,"dd-mmm")&amp;" - "&amp;(NETWORKDAYS($AB460,TODAY(),Holidays)-1)&amp;" business day(s) late. Send now.",IF($U460="DUE TOMORROW","Next: "&amp;$AC460&amp;IF($AB460&lt;=TODAY()," is due TODAY ("," is due next business day (")&amp;TEXT($AB460,"dd-mmm")&amp;").","Next: "&amp;$AC460&amp;" due "&amp;TEXT($AB460,"dd-mmm")&amp;" ("&amp;(NETWORKDAYS(TODAY(),$AB460,Holidays)-1)&amp;" business day(s) left).")))))</f>
        <v/>
      </c>
      <c r="W460" s="17">
        <f>IF($Z460="","",CHOOSE($Z460,"Collection Email","1st Follow-up","2nd Follow-up","Local Office","CBE","Roxanne")&amp;IF($Z460=6," - Final"," - Day "&amp;MAX(0,NETWORKDAYS($AA460,TODAY(),Holidays)-1)&amp;" of "&amp;CHOOSE($Z460,3,3,2,2,3))&amp;" | Total Day "&amp;MAX(0,NETWORKDAYS($N460,TODAY(),Holidays)-1))</f>
        <v/>
      </c>
      <c r="X460" s="18"/>
      <c r="Y460" s="18"/>
      <c r="Z460" s="17">
        <f>IF($N460="","",COUNT($N460:$S460))</f>
        <v/>
      </c>
      <c r="AA460" s="19">
        <f>IF($Z460="","",INT(INDEX($N460:$S460,$Z460)))</f>
        <v/>
      </c>
      <c r="AB460" s="19">
        <f>IF(OR($Z460="",$Z460=6),"",WORKDAY($AA460,CHOOSE($Z460,3,3,2,2,3),Holidays))</f>
        <v/>
      </c>
      <c r="AC460" s="17">
        <f>IF(OR($Z460="",$Z460=6),"",CHOOSE($Z460,"1st Email Follow-up","2nd Email Follow-up","Escalate Local Office","Escalate to CBE","Escalate to Roxanne"))</f>
        <v/>
      </c>
    </row>
    <row r="461" spans="13:29">
      <c r="M461" s="14"/>
      <c r="T461" s="16"/>
      <c r="U461" s="17">
        <f>IF(AND(COUNTA($A461:$L461)=0,$N461=""),"",IF($T461="Paid","PAID",IF($T461="Closed","CLOSED",IF($Z461="","",IF($Z461=6,"ESCALATED TO ROXANNE",IF(TODAY()&gt;$AB461,"OVERDUE",IF($AB461&lt;=WORKDAY(TODAY(),1,Holidays),"DUE TOMORROW",IF($Z461=4,"ESCALATED TO LOCAL OFFICE",IF($Z461=5,"ESCALATED TO CBE",IF($AA461=TODAY(),"EMAIL SENT","MONITORING"))))))))))</f>
        <v/>
      </c>
      <c r="V461" s="17">
        <f>IF($U461="",IF(AND(COUNTA($A461:$L461)&gt;0,$N461=""),"Awaiting Collection Email time stamp.",""),IF(OR($U461="PAID",$U461="CLOSED"),IF($U461="PAID","Account paid. Action completed.","Account closed. No further action required."),CHOOSE($Z461,"Collection Email","1st Email Follow-up","2nd Email Follow-up","Escalation to Local Office","Escalation to CBE","Escalation to Roxanne")&amp;" sent "&amp;TEXT($AA461,"dd-mmm")&amp;". "&amp;IF($Z461=6,"Final escalation completed.",IF($U461="OVERDUE","Next: "&amp;$AC461&amp;" was due "&amp;TEXT($AB461,"dd-mmm")&amp;" - "&amp;(NETWORKDAYS($AB461,TODAY(),Holidays)-1)&amp;" business day(s) late. Send now.",IF($U461="DUE TOMORROW","Next: "&amp;$AC461&amp;IF($AB461&lt;=TODAY()," is due TODAY ("," is due next business day (")&amp;TEXT($AB461,"dd-mmm")&amp;").","Next: "&amp;$AC461&amp;" due "&amp;TEXT($AB461,"dd-mmm")&amp;" ("&amp;(NETWORKDAYS(TODAY(),$AB461,Holidays)-1)&amp;" business day(s) left).")))))</f>
        <v/>
      </c>
      <c r="W461" s="17">
        <f>IF($Z461="","",CHOOSE($Z461,"Collection Email","1st Follow-up","2nd Follow-up","Local Office","CBE","Roxanne")&amp;IF($Z461=6," - Final"," - Day "&amp;MAX(0,NETWORKDAYS($AA461,TODAY(),Holidays)-1)&amp;" of "&amp;CHOOSE($Z461,3,3,2,2,3))&amp;" | Total Day "&amp;MAX(0,NETWORKDAYS($N461,TODAY(),Holidays)-1))</f>
        <v/>
      </c>
      <c r="X461" s="18"/>
      <c r="Y461" s="18"/>
      <c r="Z461" s="17">
        <f>IF($N461="","",COUNT($N461:$S461))</f>
        <v/>
      </c>
      <c r="AA461" s="19">
        <f>IF($Z461="","",INT(INDEX($N461:$S461,$Z461)))</f>
        <v/>
      </c>
      <c r="AB461" s="19">
        <f>IF(OR($Z461="",$Z461=6),"",WORKDAY($AA461,CHOOSE($Z461,3,3,2,2,3),Holidays))</f>
        <v/>
      </c>
      <c r="AC461" s="17">
        <f>IF(OR($Z461="",$Z461=6),"",CHOOSE($Z461,"1st Email Follow-up","2nd Email Follow-up","Escalate Local Office","Escalate to CBE","Escalate to Roxanne"))</f>
        <v/>
      </c>
    </row>
    <row r="462" spans="13:29">
      <c r="M462" s="14"/>
      <c r="T462" s="16"/>
      <c r="U462" s="17">
        <f>IF(AND(COUNTA($A462:$L462)=0,$N462=""),"",IF($T462="Paid","PAID",IF($T462="Closed","CLOSED",IF($Z462="","",IF($Z462=6,"ESCALATED TO ROXANNE",IF(TODAY()&gt;$AB462,"OVERDUE",IF($AB462&lt;=WORKDAY(TODAY(),1,Holidays),"DUE TOMORROW",IF($Z462=4,"ESCALATED TO LOCAL OFFICE",IF($Z462=5,"ESCALATED TO CBE",IF($AA462=TODAY(),"EMAIL SENT","MONITORING"))))))))))</f>
        <v/>
      </c>
      <c r="V462" s="17">
        <f>IF($U462="",IF(AND(COUNTA($A462:$L462)&gt;0,$N462=""),"Awaiting Collection Email time stamp.",""),IF(OR($U462="PAID",$U462="CLOSED"),IF($U462="PAID","Account paid. Action completed.","Account closed. No further action required."),CHOOSE($Z462,"Collection Email","1st Email Follow-up","2nd Email Follow-up","Escalation to Local Office","Escalation to CBE","Escalation to Roxanne")&amp;" sent "&amp;TEXT($AA462,"dd-mmm")&amp;". "&amp;IF($Z462=6,"Final escalation completed.",IF($U462="OVERDUE","Next: "&amp;$AC462&amp;" was due "&amp;TEXT($AB462,"dd-mmm")&amp;" - "&amp;(NETWORKDAYS($AB462,TODAY(),Holidays)-1)&amp;" business day(s) late. Send now.",IF($U462="DUE TOMORROW","Next: "&amp;$AC462&amp;IF($AB462&lt;=TODAY()," is due TODAY ("," is due next business day (")&amp;TEXT($AB462,"dd-mmm")&amp;").","Next: "&amp;$AC462&amp;" due "&amp;TEXT($AB462,"dd-mmm")&amp;" ("&amp;(NETWORKDAYS(TODAY(),$AB462,Holidays)-1)&amp;" business day(s) left).")))))</f>
        <v/>
      </c>
      <c r="W462" s="17">
        <f>IF($Z462="","",CHOOSE($Z462,"Collection Email","1st Follow-up","2nd Follow-up","Local Office","CBE","Roxanne")&amp;IF($Z462=6," - Final"," - Day "&amp;MAX(0,NETWORKDAYS($AA462,TODAY(),Holidays)-1)&amp;" of "&amp;CHOOSE($Z462,3,3,2,2,3))&amp;" | Total Day "&amp;MAX(0,NETWORKDAYS($N462,TODAY(),Holidays)-1))</f>
        <v/>
      </c>
      <c r="X462" s="18"/>
      <c r="Y462" s="18"/>
      <c r="Z462" s="17">
        <f>IF($N462="","",COUNT($N462:$S462))</f>
        <v/>
      </c>
      <c r="AA462" s="19">
        <f>IF($Z462="","",INT(INDEX($N462:$S462,$Z462)))</f>
        <v/>
      </c>
      <c r="AB462" s="19">
        <f>IF(OR($Z462="",$Z462=6),"",WORKDAY($AA462,CHOOSE($Z462,3,3,2,2,3),Holidays))</f>
        <v/>
      </c>
      <c r="AC462" s="17">
        <f>IF(OR($Z462="",$Z462=6),"",CHOOSE($Z462,"1st Email Follow-up","2nd Email Follow-up","Escalate Local Office","Escalate to CBE","Escalate to Roxanne"))</f>
        <v/>
      </c>
    </row>
    <row r="463" spans="13:29">
      <c r="M463" s="14"/>
      <c r="T463" s="16"/>
      <c r="U463" s="17">
        <f>IF(AND(COUNTA($A463:$L463)=0,$N463=""),"",IF($T463="Paid","PAID",IF($T463="Closed","CLOSED",IF($Z463="","",IF($Z463=6,"ESCALATED TO ROXANNE",IF(TODAY()&gt;$AB463,"OVERDUE",IF($AB463&lt;=WORKDAY(TODAY(),1,Holidays),"DUE TOMORROW",IF($Z463=4,"ESCALATED TO LOCAL OFFICE",IF($Z463=5,"ESCALATED TO CBE",IF($AA463=TODAY(),"EMAIL SENT","MONITORING"))))))))))</f>
        <v/>
      </c>
      <c r="V463" s="17">
        <f>IF($U463="",IF(AND(COUNTA($A463:$L463)&gt;0,$N463=""),"Awaiting Collection Email time stamp.",""),IF(OR($U463="PAID",$U463="CLOSED"),IF($U463="PAID","Account paid. Action completed.","Account closed. No further action required."),CHOOSE($Z463,"Collection Email","1st Email Follow-up","2nd Email Follow-up","Escalation to Local Office","Escalation to CBE","Escalation to Roxanne")&amp;" sent "&amp;TEXT($AA463,"dd-mmm")&amp;". "&amp;IF($Z463=6,"Final escalation completed.",IF($U463="OVERDUE","Next: "&amp;$AC463&amp;" was due "&amp;TEXT($AB463,"dd-mmm")&amp;" - "&amp;(NETWORKDAYS($AB463,TODAY(),Holidays)-1)&amp;" business day(s) late. Send now.",IF($U463="DUE TOMORROW","Next: "&amp;$AC463&amp;IF($AB463&lt;=TODAY()," is due TODAY ("," is due next business day (")&amp;TEXT($AB463,"dd-mmm")&amp;").","Next: "&amp;$AC463&amp;" due "&amp;TEXT($AB463,"dd-mmm")&amp;" ("&amp;(NETWORKDAYS(TODAY(),$AB463,Holidays)-1)&amp;" business day(s) left).")))))</f>
        <v/>
      </c>
      <c r="W463" s="17">
        <f>IF($Z463="","",CHOOSE($Z463,"Collection Email","1st Follow-up","2nd Follow-up","Local Office","CBE","Roxanne")&amp;IF($Z463=6," - Final"," - Day "&amp;MAX(0,NETWORKDAYS($AA463,TODAY(),Holidays)-1)&amp;" of "&amp;CHOOSE($Z463,3,3,2,2,3))&amp;" | Total Day "&amp;MAX(0,NETWORKDAYS($N463,TODAY(),Holidays)-1))</f>
        <v/>
      </c>
      <c r="X463" s="18"/>
      <c r="Y463" s="18"/>
      <c r="Z463" s="17">
        <f>IF($N463="","",COUNT($N463:$S463))</f>
        <v/>
      </c>
      <c r="AA463" s="19">
        <f>IF($Z463="","",INT(INDEX($N463:$S463,$Z463)))</f>
        <v/>
      </c>
      <c r="AB463" s="19">
        <f>IF(OR($Z463="",$Z463=6),"",WORKDAY($AA463,CHOOSE($Z463,3,3,2,2,3),Holidays))</f>
        <v/>
      </c>
      <c r="AC463" s="17">
        <f>IF(OR($Z463="",$Z463=6),"",CHOOSE($Z463,"1st Email Follow-up","2nd Email Follow-up","Escalate Local Office","Escalate to CBE","Escalate to Roxanne"))</f>
        <v/>
      </c>
    </row>
    <row r="464" spans="13:29">
      <c r="M464" s="14"/>
      <c r="T464" s="16"/>
      <c r="U464" s="17">
        <f>IF(AND(COUNTA($A464:$L464)=0,$N464=""),"",IF($T464="Paid","PAID",IF($T464="Closed","CLOSED",IF($Z464="","",IF($Z464=6,"ESCALATED TO ROXANNE",IF(TODAY()&gt;$AB464,"OVERDUE",IF($AB464&lt;=WORKDAY(TODAY(),1,Holidays),"DUE TOMORROW",IF($Z464=4,"ESCALATED TO LOCAL OFFICE",IF($Z464=5,"ESCALATED TO CBE",IF($AA464=TODAY(),"EMAIL SENT","MONITORING"))))))))))</f>
        <v/>
      </c>
      <c r="V464" s="17">
        <f>IF($U464="",IF(AND(COUNTA($A464:$L464)&gt;0,$N464=""),"Awaiting Collection Email time stamp.",""),IF(OR($U464="PAID",$U464="CLOSED"),IF($U464="PAID","Account paid. Action completed.","Account closed. No further action required."),CHOOSE($Z464,"Collection Email","1st Email Follow-up","2nd Email Follow-up","Escalation to Local Office","Escalation to CBE","Escalation to Roxanne")&amp;" sent "&amp;TEXT($AA464,"dd-mmm")&amp;". "&amp;IF($Z464=6,"Final escalation completed.",IF($U464="OVERDUE","Next: "&amp;$AC464&amp;" was due "&amp;TEXT($AB464,"dd-mmm")&amp;" - "&amp;(NETWORKDAYS($AB464,TODAY(),Holidays)-1)&amp;" business day(s) late. Send now.",IF($U464="DUE TOMORROW","Next: "&amp;$AC464&amp;IF($AB464&lt;=TODAY()," is due TODAY ("," is due next business day (")&amp;TEXT($AB464,"dd-mmm")&amp;").","Next: "&amp;$AC464&amp;" due "&amp;TEXT($AB464,"dd-mmm")&amp;" ("&amp;(NETWORKDAYS(TODAY(),$AB464,Holidays)-1)&amp;" business day(s) left).")))))</f>
        <v/>
      </c>
      <c r="W464" s="17">
        <f>IF($Z464="","",CHOOSE($Z464,"Collection Email","1st Follow-up","2nd Follow-up","Local Office","CBE","Roxanne")&amp;IF($Z464=6," - Final"," - Day "&amp;MAX(0,NETWORKDAYS($AA464,TODAY(),Holidays)-1)&amp;" of "&amp;CHOOSE($Z464,3,3,2,2,3))&amp;" | Total Day "&amp;MAX(0,NETWORKDAYS($N464,TODAY(),Holidays)-1))</f>
        <v/>
      </c>
      <c r="X464" s="18"/>
      <c r="Y464" s="18"/>
      <c r="Z464" s="17">
        <f>IF($N464="","",COUNT($N464:$S464))</f>
        <v/>
      </c>
      <c r="AA464" s="19">
        <f>IF($Z464="","",INT(INDEX($N464:$S464,$Z464)))</f>
        <v/>
      </c>
      <c r="AB464" s="19">
        <f>IF(OR($Z464="",$Z464=6),"",WORKDAY($AA464,CHOOSE($Z464,3,3,2,2,3),Holidays))</f>
        <v/>
      </c>
      <c r="AC464" s="17">
        <f>IF(OR($Z464="",$Z464=6),"",CHOOSE($Z464,"1st Email Follow-up","2nd Email Follow-up","Escalate Local Office","Escalate to CBE","Escalate to Roxanne"))</f>
        <v/>
      </c>
    </row>
    <row r="465" spans="13:29">
      <c r="M465" s="14"/>
      <c r="T465" s="16"/>
      <c r="U465" s="17">
        <f>IF(AND(COUNTA($A465:$L465)=0,$N465=""),"",IF($T465="Paid","PAID",IF($T465="Closed","CLOSED",IF($Z465="","",IF($Z465=6,"ESCALATED TO ROXANNE",IF(TODAY()&gt;$AB465,"OVERDUE",IF($AB465&lt;=WORKDAY(TODAY(),1,Holidays),"DUE TOMORROW",IF($Z465=4,"ESCALATED TO LOCAL OFFICE",IF($Z465=5,"ESCALATED TO CBE",IF($AA465=TODAY(),"EMAIL SENT","MONITORING"))))))))))</f>
        <v/>
      </c>
      <c r="V465" s="17">
        <f>IF($U465="",IF(AND(COUNTA($A465:$L465)&gt;0,$N465=""),"Awaiting Collection Email time stamp.",""),IF(OR($U465="PAID",$U465="CLOSED"),IF($U465="PAID","Account paid. Action completed.","Account closed. No further action required."),CHOOSE($Z465,"Collection Email","1st Email Follow-up","2nd Email Follow-up","Escalation to Local Office","Escalation to CBE","Escalation to Roxanne")&amp;" sent "&amp;TEXT($AA465,"dd-mmm")&amp;". "&amp;IF($Z465=6,"Final escalation completed.",IF($U465="OVERDUE","Next: "&amp;$AC465&amp;" was due "&amp;TEXT($AB465,"dd-mmm")&amp;" - "&amp;(NETWORKDAYS($AB465,TODAY(),Holidays)-1)&amp;" business day(s) late. Send now.",IF($U465="DUE TOMORROW","Next: "&amp;$AC465&amp;IF($AB465&lt;=TODAY()," is due TODAY ("," is due next business day (")&amp;TEXT($AB465,"dd-mmm")&amp;").","Next: "&amp;$AC465&amp;" due "&amp;TEXT($AB465,"dd-mmm")&amp;" ("&amp;(NETWORKDAYS(TODAY(),$AB465,Holidays)-1)&amp;" business day(s) left).")))))</f>
        <v/>
      </c>
      <c r="W465" s="17">
        <f>IF($Z465="","",CHOOSE($Z465,"Collection Email","1st Follow-up","2nd Follow-up","Local Office","CBE","Roxanne")&amp;IF($Z465=6," - Final"," - Day "&amp;MAX(0,NETWORKDAYS($AA465,TODAY(),Holidays)-1)&amp;" of "&amp;CHOOSE($Z465,3,3,2,2,3))&amp;" | Total Day "&amp;MAX(0,NETWORKDAYS($N465,TODAY(),Holidays)-1))</f>
        <v/>
      </c>
      <c r="X465" s="18"/>
      <c r="Y465" s="18"/>
      <c r="Z465" s="17">
        <f>IF($N465="","",COUNT($N465:$S465))</f>
        <v/>
      </c>
      <c r="AA465" s="19">
        <f>IF($Z465="","",INT(INDEX($N465:$S465,$Z465)))</f>
        <v/>
      </c>
      <c r="AB465" s="19">
        <f>IF(OR($Z465="",$Z465=6),"",WORKDAY($AA465,CHOOSE($Z465,3,3,2,2,3),Holidays))</f>
        <v/>
      </c>
      <c r="AC465" s="17">
        <f>IF(OR($Z465="",$Z465=6),"",CHOOSE($Z465,"1st Email Follow-up","2nd Email Follow-up","Escalate Local Office","Escalate to CBE","Escalate to Roxanne"))</f>
        <v/>
      </c>
    </row>
    <row r="466" spans="13:29">
      <c r="M466" s="14"/>
      <c r="T466" s="16"/>
      <c r="U466" s="17">
        <f>IF(AND(COUNTA($A466:$L466)=0,$N466=""),"",IF($T466="Paid","PAID",IF($T466="Closed","CLOSED",IF($Z466="","",IF($Z466=6,"ESCALATED TO ROXANNE",IF(TODAY()&gt;$AB466,"OVERDUE",IF($AB466&lt;=WORKDAY(TODAY(),1,Holidays),"DUE TOMORROW",IF($Z466=4,"ESCALATED TO LOCAL OFFICE",IF($Z466=5,"ESCALATED TO CBE",IF($AA466=TODAY(),"EMAIL SENT","MONITORING"))))))))))</f>
        <v/>
      </c>
      <c r="V466" s="17">
        <f>IF($U466="",IF(AND(COUNTA($A466:$L466)&gt;0,$N466=""),"Awaiting Collection Email time stamp.",""),IF(OR($U466="PAID",$U466="CLOSED"),IF($U466="PAID","Account paid. Action completed.","Account closed. No further action required."),CHOOSE($Z466,"Collection Email","1st Email Follow-up","2nd Email Follow-up","Escalation to Local Office","Escalation to CBE","Escalation to Roxanne")&amp;" sent "&amp;TEXT($AA466,"dd-mmm")&amp;". "&amp;IF($Z466=6,"Final escalation completed.",IF($U466="OVERDUE","Next: "&amp;$AC466&amp;" was due "&amp;TEXT($AB466,"dd-mmm")&amp;" - "&amp;(NETWORKDAYS($AB466,TODAY(),Holidays)-1)&amp;" business day(s) late. Send now.",IF($U466="DUE TOMORROW","Next: "&amp;$AC466&amp;IF($AB466&lt;=TODAY()," is due TODAY ("," is due next business day (")&amp;TEXT($AB466,"dd-mmm")&amp;").","Next: "&amp;$AC466&amp;" due "&amp;TEXT($AB466,"dd-mmm")&amp;" ("&amp;(NETWORKDAYS(TODAY(),$AB466,Holidays)-1)&amp;" business day(s) left).")))))</f>
        <v/>
      </c>
      <c r="W466" s="17">
        <f>IF($Z466="","",CHOOSE($Z466,"Collection Email","1st Follow-up","2nd Follow-up","Local Office","CBE","Roxanne")&amp;IF($Z466=6," - Final"," - Day "&amp;MAX(0,NETWORKDAYS($AA466,TODAY(),Holidays)-1)&amp;" of "&amp;CHOOSE($Z466,3,3,2,2,3))&amp;" | Total Day "&amp;MAX(0,NETWORKDAYS($N466,TODAY(),Holidays)-1))</f>
        <v/>
      </c>
      <c r="X466" s="18"/>
      <c r="Y466" s="18"/>
      <c r="Z466" s="17">
        <f>IF($N466="","",COUNT($N466:$S466))</f>
        <v/>
      </c>
      <c r="AA466" s="19">
        <f>IF($Z466="","",INT(INDEX($N466:$S466,$Z466)))</f>
        <v/>
      </c>
      <c r="AB466" s="19">
        <f>IF(OR($Z466="",$Z466=6),"",WORKDAY($AA466,CHOOSE($Z466,3,3,2,2,3),Holidays))</f>
        <v/>
      </c>
      <c r="AC466" s="17">
        <f>IF(OR($Z466="",$Z466=6),"",CHOOSE($Z466,"1st Email Follow-up","2nd Email Follow-up","Escalate Local Office","Escalate to CBE","Escalate to Roxanne"))</f>
        <v/>
      </c>
    </row>
    <row r="467" spans="13:29">
      <c r="M467" s="14"/>
      <c r="T467" s="16"/>
      <c r="U467" s="17">
        <f>IF(AND(COUNTA($A467:$L467)=0,$N467=""),"",IF($T467="Paid","PAID",IF($T467="Closed","CLOSED",IF($Z467="","",IF($Z467=6,"ESCALATED TO ROXANNE",IF(TODAY()&gt;$AB467,"OVERDUE",IF($AB467&lt;=WORKDAY(TODAY(),1,Holidays),"DUE TOMORROW",IF($Z467=4,"ESCALATED TO LOCAL OFFICE",IF($Z467=5,"ESCALATED TO CBE",IF($AA467=TODAY(),"EMAIL SENT","MONITORING"))))))))))</f>
        <v/>
      </c>
      <c r="V467" s="17">
        <f>IF($U467="",IF(AND(COUNTA($A467:$L467)&gt;0,$N467=""),"Awaiting Collection Email time stamp.",""),IF(OR($U467="PAID",$U467="CLOSED"),IF($U467="PAID","Account paid. Action completed.","Account closed. No further action required."),CHOOSE($Z467,"Collection Email","1st Email Follow-up","2nd Email Follow-up","Escalation to Local Office","Escalation to CBE","Escalation to Roxanne")&amp;" sent "&amp;TEXT($AA467,"dd-mmm")&amp;". "&amp;IF($Z467=6,"Final escalation completed.",IF($U467="OVERDUE","Next: "&amp;$AC467&amp;" was due "&amp;TEXT($AB467,"dd-mmm")&amp;" - "&amp;(NETWORKDAYS($AB467,TODAY(),Holidays)-1)&amp;" business day(s) late. Send now.",IF($U467="DUE TOMORROW","Next: "&amp;$AC467&amp;IF($AB467&lt;=TODAY()," is due TODAY ("," is due next business day (")&amp;TEXT($AB467,"dd-mmm")&amp;").","Next: "&amp;$AC467&amp;" due "&amp;TEXT($AB467,"dd-mmm")&amp;" ("&amp;(NETWORKDAYS(TODAY(),$AB467,Holidays)-1)&amp;" business day(s) left).")))))</f>
        <v/>
      </c>
      <c r="W467" s="17">
        <f>IF($Z467="","",CHOOSE($Z467,"Collection Email","1st Follow-up","2nd Follow-up","Local Office","CBE","Roxanne")&amp;IF($Z467=6," - Final"," - Day "&amp;MAX(0,NETWORKDAYS($AA467,TODAY(),Holidays)-1)&amp;" of "&amp;CHOOSE($Z467,3,3,2,2,3))&amp;" | Total Day "&amp;MAX(0,NETWORKDAYS($N467,TODAY(),Holidays)-1))</f>
        <v/>
      </c>
      <c r="X467" s="18"/>
      <c r="Y467" s="18"/>
      <c r="Z467" s="17">
        <f>IF($N467="","",COUNT($N467:$S467))</f>
        <v/>
      </c>
      <c r="AA467" s="19">
        <f>IF($Z467="","",INT(INDEX($N467:$S467,$Z467)))</f>
        <v/>
      </c>
      <c r="AB467" s="19">
        <f>IF(OR($Z467="",$Z467=6),"",WORKDAY($AA467,CHOOSE($Z467,3,3,2,2,3),Holidays))</f>
        <v/>
      </c>
      <c r="AC467" s="17">
        <f>IF(OR($Z467="",$Z467=6),"",CHOOSE($Z467,"1st Email Follow-up","2nd Email Follow-up","Escalate Local Office","Escalate to CBE","Escalate to Roxanne"))</f>
        <v/>
      </c>
    </row>
    <row r="468" spans="13:29">
      <c r="M468" s="14"/>
      <c r="T468" s="16"/>
      <c r="U468" s="17">
        <f>IF(AND(COUNTA($A468:$L468)=0,$N468=""),"",IF($T468="Paid","PAID",IF($T468="Closed","CLOSED",IF($Z468="","",IF($Z468=6,"ESCALATED TO ROXANNE",IF(TODAY()&gt;$AB468,"OVERDUE",IF($AB468&lt;=WORKDAY(TODAY(),1,Holidays),"DUE TOMORROW",IF($Z468=4,"ESCALATED TO LOCAL OFFICE",IF($Z468=5,"ESCALATED TO CBE",IF($AA468=TODAY(),"EMAIL SENT","MONITORING"))))))))))</f>
        <v/>
      </c>
      <c r="V468" s="17">
        <f>IF($U468="",IF(AND(COUNTA($A468:$L468)&gt;0,$N468=""),"Awaiting Collection Email time stamp.",""),IF(OR($U468="PAID",$U468="CLOSED"),IF($U468="PAID","Account paid. Action completed.","Account closed. No further action required."),CHOOSE($Z468,"Collection Email","1st Email Follow-up","2nd Email Follow-up","Escalation to Local Office","Escalation to CBE","Escalation to Roxanne")&amp;" sent "&amp;TEXT($AA468,"dd-mmm")&amp;". "&amp;IF($Z468=6,"Final escalation completed.",IF($U468="OVERDUE","Next: "&amp;$AC468&amp;" was due "&amp;TEXT($AB468,"dd-mmm")&amp;" - "&amp;(NETWORKDAYS($AB468,TODAY(),Holidays)-1)&amp;" business day(s) late. Send now.",IF($U468="DUE TOMORROW","Next: "&amp;$AC468&amp;IF($AB468&lt;=TODAY()," is due TODAY ("," is due next business day (")&amp;TEXT($AB468,"dd-mmm")&amp;").","Next: "&amp;$AC468&amp;" due "&amp;TEXT($AB468,"dd-mmm")&amp;" ("&amp;(NETWORKDAYS(TODAY(),$AB468,Holidays)-1)&amp;" business day(s) left).")))))</f>
        <v/>
      </c>
      <c r="W468" s="17">
        <f>IF($Z468="","",CHOOSE($Z468,"Collection Email","1st Follow-up","2nd Follow-up","Local Office","CBE","Roxanne")&amp;IF($Z468=6," - Final"," - Day "&amp;MAX(0,NETWORKDAYS($AA468,TODAY(),Holidays)-1)&amp;" of "&amp;CHOOSE($Z468,3,3,2,2,3))&amp;" | Total Day "&amp;MAX(0,NETWORKDAYS($N468,TODAY(),Holidays)-1))</f>
        <v/>
      </c>
      <c r="X468" s="18"/>
      <c r="Y468" s="18"/>
      <c r="Z468" s="17">
        <f>IF($N468="","",COUNT($N468:$S468))</f>
        <v/>
      </c>
      <c r="AA468" s="19">
        <f>IF($Z468="","",INT(INDEX($N468:$S468,$Z468)))</f>
        <v/>
      </c>
      <c r="AB468" s="19">
        <f>IF(OR($Z468="",$Z468=6),"",WORKDAY($AA468,CHOOSE($Z468,3,3,2,2,3),Holidays))</f>
        <v/>
      </c>
      <c r="AC468" s="17">
        <f>IF(OR($Z468="",$Z468=6),"",CHOOSE($Z468,"1st Email Follow-up","2nd Email Follow-up","Escalate Local Office","Escalate to CBE","Escalate to Roxanne"))</f>
        <v/>
      </c>
    </row>
    <row r="469" spans="13:29">
      <c r="M469" s="14"/>
      <c r="T469" s="16"/>
      <c r="U469" s="17">
        <f>IF(AND(COUNTA($A469:$L469)=0,$N469=""),"",IF($T469="Paid","PAID",IF($T469="Closed","CLOSED",IF($Z469="","",IF($Z469=6,"ESCALATED TO ROXANNE",IF(TODAY()&gt;$AB469,"OVERDUE",IF($AB469&lt;=WORKDAY(TODAY(),1,Holidays),"DUE TOMORROW",IF($Z469=4,"ESCALATED TO LOCAL OFFICE",IF($Z469=5,"ESCALATED TO CBE",IF($AA469=TODAY(),"EMAIL SENT","MONITORING"))))))))))</f>
        <v/>
      </c>
      <c r="V469" s="17">
        <f>IF($U469="",IF(AND(COUNTA($A469:$L469)&gt;0,$N469=""),"Awaiting Collection Email time stamp.",""),IF(OR($U469="PAID",$U469="CLOSED"),IF($U469="PAID","Account paid. Action completed.","Account closed. No further action required."),CHOOSE($Z469,"Collection Email","1st Email Follow-up","2nd Email Follow-up","Escalation to Local Office","Escalation to CBE","Escalation to Roxanne")&amp;" sent "&amp;TEXT($AA469,"dd-mmm")&amp;". "&amp;IF($Z469=6,"Final escalation completed.",IF($U469="OVERDUE","Next: "&amp;$AC469&amp;" was due "&amp;TEXT($AB469,"dd-mmm")&amp;" - "&amp;(NETWORKDAYS($AB469,TODAY(),Holidays)-1)&amp;" business day(s) late. Send now.",IF($U469="DUE TOMORROW","Next: "&amp;$AC469&amp;IF($AB469&lt;=TODAY()," is due TODAY ("," is due next business day (")&amp;TEXT($AB469,"dd-mmm")&amp;").","Next: "&amp;$AC469&amp;" due "&amp;TEXT($AB469,"dd-mmm")&amp;" ("&amp;(NETWORKDAYS(TODAY(),$AB469,Holidays)-1)&amp;" business day(s) left).")))))</f>
        <v/>
      </c>
      <c r="W469" s="17">
        <f>IF($Z469="","",CHOOSE($Z469,"Collection Email","1st Follow-up","2nd Follow-up","Local Office","CBE","Roxanne")&amp;IF($Z469=6," - Final"," - Day "&amp;MAX(0,NETWORKDAYS($AA469,TODAY(),Holidays)-1)&amp;" of "&amp;CHOOSE($Z469,3,3,2,2,3))&amp;" | Total Day "&amp;MAX(0,NETWORKDAYS($N469,TODAY(),Holidays)-1))</f>
        <v/>
      </c>
      <c r="X469" s="18"/>
      <c r="Y469" s="18"/>
      <c r="Z469" s="17">
        <f>IF($N469="","",COUNT($N469:$S469))</f>
        <v/>
      </c>
      <c r="AA469" s="19">
        <f>IF($Z469="","",INT(INDEX($N469:$S469,$Z469)))</f>
        <v/>
      </c>
      <c r="AB469" s="19">
        <f>IF(OR($Z469="",$Z469=6),"",WORKDAY($AA469,CHOOSE($Z469,3,3,2,2,3),Holidays))</f>
        <v/>
      </c>
      <c r="AC469" s="17">
        <f>IF(OR($Z469="",$Z469=6),"",CHOOSE($Z469,"1st Email Follow-up","2nd Email Follow-up","Escalate Local Office","Escalate to CBE","Escalate to Roxanne"))</f>
        <v/>
      </c>
    </row>
    <row r="470" spans="13:29">
      <c r="M470" s="14"/>
      <c r="T470" s="16"/>
      <c r="U470" s="17">
        <f>IF(AND(COUNTA($A470:$L470)=0,$N470=""),"",IF($T470="Paid","PAID",IF($T470="Closed","CLOSED",IF($Z470="","",IF($Z470=6,"ESCALATED TO ROXANNE",IF(TODAY()&gt;$AB470,"OVERDUE",IF($AB470&lt;=WORKDAY(TODAY(),1,Holidays),"DUE TOMORROW",IF($Z470=4,"ESCALATED TO LOCAL OFFICE",IF($Z470=5,"ESCALATED TO CBE",IF($AA470=TODAY(),"EMAIL SENT","MONITORING"))))))))))</f>
        <v/>
      </c>
      <c r="V470" s="17">
        <f>IF($U470="",IF(AND(COUNTA($A470:$L470)&gt;0,$N470=""),"Awaiting Collection Email time stamp.",""),IF(OR($U470="PAID",$U470="CLOSED"),IF($U470="PAID","Account paid. Action completed.","Account closed. No further action required."),CHOOSE($Z470,"Collection Email","1st Email Follow-up","2nd Email Follow-up","Escalation to Local Office","Escalation to CBE","Escalation to Roxanne")&amp;" sent "&amp;TEXT($AA470,"dd-mmm")&amp;". "&amp;IF($Z470=6,"Final escalation completed.",IF($U470="OVERDUE","Next: "&amp;$AC470&amp;" was due "&amp;TEXT($AB470,"dd-mmm")&amp;" - "&amp;(NETWORKDAYS($AB470,TODAY(),Holidays)-1)&amp;" business day(s) late. Send now.",IF($U470="DUE TOMORROW","Next: "&amp;$AC470&amp;IF($AB470&lt;=TODAY()," is due TODAY ("," is due next business day (")&amp;TEXT($AB470,"dd-mmm")&amp;").","Next: "&amp;$AC470&amp;" due "&amp;TEXT($AB470,"dd-mmm")&amp;" ("&amp;(NETWORKDAYS(TODAY(),$AB470,Holidays)-1)&amp;" business day(s) left).")))))</f>
        <v/>
      </c>
      <c r="W470" s="17">
        <f>IF($Z470="","",CHOOSE($Z470,"Collection Email","1st Follow-up","2nd Follow-up","Local Office","CBE","Roxanne")&amp;IF($Z470=6," - Final"," - Day "&amp;MAX(0,NETWORKDAYS($AA470,TODAY(),Holidays)-1)&amp;" of "&amp;CHOOSE($Z470,3,3,2,2,3))&amp;" | Total Day "&amp;MAX(0,NETWORKDAYS($N470,TODAY(),Holidays)-1))</f>
        <v/>
      </c>
      <c r="X470" s="18"/>
      <c r="Y470" s="18"/>
      <c r="Z470" s="17">
        <f>IF($N470="","",COUNT($N470:$S470))</f>
        <v/>
      </c>
      <c r="AA470" s="19">
        <f>IF($Z470="","",INT(INDEX($N470:$S470,$Z470)))</f>
        <v/>
      </c>
      <c r="AB470" s="19">
        <f>IF(OR($Z470="",$Z470=6),"",WORKDAY($AA470,CHOOSE($Z470,3,3,2,2,3),Holidays))</f>
        <v/>
      </c>
      <c r="AC470" s="17">
        <f>IF(OR($Z470="",$Z470=6),"",CHOOSE($Z470,"1st Email Follow-up","2nd Email Follow-up","Escalate Local Office","Escalate to CBE","Escalate to Roxanne"))</f>
        <v/>
      </c>
    </row>
    <row r="471" spans="13:29">
      <c r="M471" s="14"/>
      <c r="T471" s="16"/>
      <c r="U471" s="17">
        <f>IF(AND(COUNTA($A471:$L471)=0,$N471=""),"",IF($T471="Paid","PAID",IF($T471="Closed","CLOSED",IF($Z471="","",IF($Z471=6,"ESCALATED TO ROXANNE",IF(TODAY()&gt;$AB471,"OVERDUE",IF($AB471&lt;=WORKDAY(TODAY(),1,Holidays),"DUE TOMORROW",IF($Z471=4,"ESCALATED TO LOCAL OFFICE",IF($Z471=5,"ESCALATED TO CBE",IF($AA471=TODAY(),"EMAIL SENT","MONITORING"))))))))))</f>
        <v/>
      </c>
      <c r="V471" s="17">
        <f>IF($U471="",IF(AND(COUNTA($A471:$L471)&gt;0,$N471=""),"Awaiting Collection Email time stamp.",""),IF(OR($U471="PAID",$U471="CLOSED"),IF($U471="PAID","Account paid. Action completed.","Account closed. No further action required."),CHOOSE($Z471,"Collection Email","1st Email Follow-up","2nd Email Follow-up","Escalation to Local Office","Escalation to CBE","Escalation to Roxanne")&amp;" sent "&amp;TEXT($AA471,"dd-mmm")&amp;". "&amp;IF($Z471=6,"Final escalation completed.",IF($U471="OVERDUE","Next: "&amp;$AC471&amp;" was due "&amp;TEXT($AB471,"dd-mmm")&amp;" - "&amp;(NETWORKDAYS($AB471,TODAY(),Holidays)-1)&amp;" business day(s) late. Send now.",IF($U471="DUE TOMORROW","Next: "&amp;$AC471&amp;IF($AB471&lt;=TODAY()," is due TODAY ("," is due next business day (")&amp;TEXT($AB471,"dd-mmm")&amp;").","Next: "&amp;$AC471&amp;" due "&amp;TEXT($AB471,"dd-mmm")&amp;" ("&amp;(NETWORKDAYS(TODAY(),$AB471,Holidays)-1)&amp;" business day(s) left).")))))</f>
        <v/>
      </c>
      <c r="W471" s="17">
        <f>IF($Z471="","",CHOOSE($Z471,"Collection Email","1st Follow-up","2nd Follow-up","Local Office","CBE","Roxanne")&amp;IF($Z471=6," - Final"," - Day "&amp;MAX(0,NETWORKDAYS($AA471,TODAY(),Holidays)-1)&amp;" of "&amp;CHOOSE($Z471,3,3,2,2,3))&amp;" | Total Day "&amp;MAX(0,NETWORKDAYS($N471,TODAY(),Holidays)-1))</f>
        <v/>
      </c>
      <c r="X471" s="18"/>
      <c r="Y471" s="18"/>
      <c r="Z471" s="17">
        <f>IF($N471="","",COUNT($N471:$S471))</f>
        <v/>
      </c>
      <c r="AA471" s="19">
        <f>IF($Z471="","",INT(INDEX($N471:$S471,$Z471)))</f>
        <v/>
      </c>
      <c r="AB471" s="19">
        <f>IF(OR($Z471="",$Z471=6),"",WORKDAY($AA471,CHOOSE($Z471,3,3,2,2,3),Holidays))</f>
        <v/>
      </c>
      <c r="AC471" s="17">
        <f>IF(OR($Z471="",$Z471=6),"",CHOOSE($Z471,"1st Email Follow-up","2nd Email Follow-up","Escalate Local Office","Escalate to CBE","Escalate to Roxanne"))</f>
        <v/>
      </c>
    </row>
    <row r="472" spans="13:29">
      <c r="M472" s="14"/>
      <c r="T472" s="16"/>
      <c r="U472" s="17">
        <f>IF(AND(COUNTA($A472:$L472)=0,$N472=""),"",IF($T472="Paid","PAID",IF($T472="Closed","CLOSED",IF($Z472="","",IF($Z472=6,"ESCALATED TO ROXANNE",IF(TODAY()&gt;$AB472,"OVERDUE",IF($AB472&lt;=WORKDAY(TODAY(),1,Holidays),"DUE TOMORROW",IF($Z472=4,"ESCALATED TO LOCAL OFFICE",IF($Z472=5,"ESCALATED TO CBE",IF($AA472=TODAY(),"EMAIL SENT","MONITORING"))))))))))</f>
        <v/>
      </c>
      <c r="V472" s="17">
        <f>IF($U472="",IF(AND(COUNTA($A472:$L472)&gt;0,$N472=""),"Awaiting Collection Email time stamp.",""),IF(OR($U472="PAID",$U472="CLOSED"),IF($U472="PAID","Account paid. Action completed.","Account closed. No further action required."),CHOOSE($Z472,"Collection Email","1st Email Follow-up","2nd Email Follow-up","Escalation to Local Office","Escalation to CBE","Escalation to Roxanne")&amp;" sent "&amp;TEXT($AA472,"dd-mmm")&amp;". "&amp;IF($Z472=6,"Final escalation completed.",IF($U472="OVERDUE","Next: "&amp;$AC472&amp;" was due "&amp;TEXT($AB472,"dd-mmm")&amp;" - "&amp;(NETWORKDAYS($AB472,TODAY(),Holidays)-1)&amp;" business day(s) late. Send now.",IF($U472="DUE TOMORROW","Next: "&amp;$AC472&amp;IF($AB472&lt;=TODAY()," is due TODAY ("," is due next business day (")&amp;TEXT($AB472,"dd-mmm")&amp;").","Next: "&amp;$AC472&amp;" due "&amp;TEXT($AB472,"dd-mmm")&amp;" ("&amp;(NETWORKDAYS(TODAY(),$AB472,Holidays)-1)&amp;" business day(s) left).")))))</f>
        <v/>
      </c>
      <c r="W472" s="17">
        <f>IF($Z472="","",CHOOSE($Z472,"Collection Email","1st Follow-up","2nd Follow-up","Local Office","CBE","Roxanne")&amp;IF($Z472=6," - Final"," - Day "&amp;MAX(0,NETWORKDAYS($AA472,TODAY(),Holidays)-1)&amp;" of "&amp;CHOOSE($Z472,3,3,2,2,3))&amp;" | Total Day "&amp;MAX(0,NETWORKDAYS($N472,TODAY(),Holidays)-1))</f>
        <v/>
      </c>
      <c r="X472" s="18"/>
      <c r="Y472" s="18"/>
      <c r="Z472" s="17">
        <f>IF($N472="","",COUNT($N472:$S472))</f>
        <v/>
      </c>
      <c r="AA472" s="19">
        <f>IF($Z472="","",INT(INDEX($N472:$S472,$Z472)))</f>
        <v/>
      </c>
      <c r="AB472" s="19">
        <f>IF(OR($Z472="",$Z472=6),"",WORKDAY($AA472,CHOOSE($Z472,3,3,2,2,3),Holidays))</f>
        <v/>
      </c>
      <c r="AC472" s="17">
        <f>IF(OR($Z472="",$Z472=6),"",CHOOSE($Z472,"1st Email Follow-up","2nd Email Follow-up","Escalate Local Office","Escalate to CBE","Escalate to Roxanne"))</f>
        <v/>
      </c>
    </row>
    <row r="473" spans="13:29">
      <c r="M473" s="14"/>
      <c r="T473" s="16"/>
      <c r="U473" s="17">
        <f>IF(AND(COUNTA($A473:$L473)=0,$N473=""),"",IF($T473="Paid","PAID",IF($T473="Closed","CLOSED",IF($Z473="","",IF($Z473=6,"ESCALATED TO ROXANNE",IF(TODAY()&gt;$AB473,"OVERDUE",IF($AB473&lt;=WORKDAY(TODAY(),1,Holidays),"DUE TOMORROW",IF($Z473=4,"ESCALATED TO LOCAL OFFICE",IF($Z473=5,"ESCALATED TO CBE",IF($AA473=TODAY(),"EMAIL SENT","MONITORING"))))))))))</f>
        <v/>
      </c>
      <c r="V473" s="17">
        <f>IF($U473="",IF(AND(COUNTA($A473:$L473)&gt;0,$N473=""),"Awaiting Collection Email time stamp.",""),IF(OR($U473="PAID",$U473="CLOSED"),IF($U473="PAID","Account paid. Action completed.","Account closed. No further action required."),CHOOSE($Z473,"Collection Email","1st Email Follow-up","2nd Email Follow-up","Escalation to Local Office","Escalation to CBE","Escalation to Roxanne")&amp;" sent "&amp;TEXT($AA473,"dd-mmm")&amp;". "&amp;IF($Z473=6,"Final escalation completed.",IF($U473="OVERDUE","Next: "&amp;$AC473&amp;" was due "&amp;TEXT($AB473,"dd-mmm")&amp;" - "&amp;(NETWORKDAYS($AB473,TODAY(),Holidays)-1)&amp;" business day(s) late. Send now.",IF($U473="DUE TOMORROW","Next: "&amp;$AC473&amp;IF($AB473&lt;=TODAY()," is due TODAY ("," is due next business day (")&amp;TEXT($AB473,"dd-mmm")&amp;").","Next: "&amp;$AC473&amp;" due "&amp;TEXT($AB473,"dd-mmm")&amp;" ("&amp;(NETWORKDAYS(TODAY(),$AB473,Holidays)-1)&amp;" business day(s) left).")))))</f>
        <v/>
      </c>
      <c r="W473" s="17">
        <f>IF($Z473="","",CHOOSE($Z473,"Collection Email","1st Follow-up","2nd Follow-up","Local Office","CBE","Roxanne")&amp;IF($Z473=6," - Final"," - Day "&amp;MAX(0,NETWORKDAYS($AA473,TODAY(),Holidays)-1)&amp;" of "&amp;CHOOSE($Z473,3,3,2,2,3))&amp;" | Total Day "&amp;MAX(0,NETWORKDAYS($N473,TODAY(),Holidays)-1))</f>
        <v/>
      </c>
      <c r="X473" s="18"/>
      <c r="Y473" s="18"/>
      <c r="Z473" s="17">
        <f>IF($N473="","",COUNT($N473:$S473))</f>
        <v/>
      </c>
      <c r="AA473" s="19">
        <f>IF($Z473="","",INT(INDEX($N473:$S473,$Z473)))</f>
        <v/>
      </c>
      <c r="AB473" s="19">
        <f>IF(OR($Z473="",$Z473=6),"",WORKDAY($AA473,CHOOSE($Z473,3,3,2,2,3),Holidays))</f>
        <v/>
      </c>
      <c r="AC473" s="17">
        <f>IF(OR($Z473="",$Z473=6),"",CHOOSE($Z473,"1st Email Follow-up","2nd Email Follow-up","Escalate Local Office","Escalate to CBE","Escalate to Roxanne"))</f>
        <v/>
      </c>
    </row>
    <row r="474" spans="13:29">
      <c r="M474" s="14"/>
      <c r="T474" s="16"/>
      <c r="U474" s="17">
        <f>IF(AND(COUNTA($A474:$L474)=0,$N474=""),"",IF($T474="Paid","PAID",IF($T474="Closed","CLOSED",IF($Z474="","",IF($Z474=6,"ESCALATED TO ROXANNE",IF(TODAY()&gt;$AB474,"OVERDUE",IF($AB474&lt;=WORKDAY(TODAY(),1,Holidays),"DUE TOMORROW",IF($Z474=4,"ESCALATED TO LOCAL OFFICE",IF($Z474=5,"ESCALATED TO CBE",IF($AA474=TODAY(),"EMAIL SENT","MONITORING"))))))))))</f>
        <v/>
      </c>
      <c r="V474" s="17">
        <f>IF($U474="",IF(AND(COUNTA($A474:$L474)&gt;0,$N474=""),"Awaiting Collection Email time stamp.",""),IF(OR($U474="PAID",$U474="CLOSED"),IF($U474="PAID","Account paid. Action completed.","Account closed. No further action required."),CHOOSE($Z474,"Collection Email","1st Email Follow-up","2nd Email Follow-up","Escalation to Local Office","Escalation to CBE","Escalation to Roxanne")&amp;" sent "&amp;TEXT($AA474,"dd-mmm")&amp;". "&amp;IF($Z474=6,"Final escalation completed.",IF($U474="OVERDUE","Next: "&amp;$AC474&amp;" was due "&amp;TEXT($AB474,"dd-mmm")&amp;" - "&amp;(NETWORKDAYS($AB474,TODAY(),Holidays)-1)&amp;" business day(s) late. Send now.",IF($U474="DUE TOMORROW","Next: "&amp;$AC474&amp;IF($AB474&lt;=TODAY()," is due TODAY ("," is due next business day (")&amp;TEXT($AB474,"dd-mmm")&amp;").","Next: "&amp;$AC474&amp;" due "&amp;TEXT($AB474,"dd-mmm")&amp;" ("&amp;(NETWORKDAYS(TODAY(),$AB474,Holidays)-1)&amp;" business day(s) left).")))))</f>
        <v/>
      </c>
      <c r="W474" s="17">
        <f>IF($Z474="","",CHOOSE($Z474,"Collection Email","1st Follow-up","2nd Follow-up","Local Office","CBE","Roxanne")&amp;IF($Z474=6," - Final"," - Day "&amp;MAX(0,NETWORKDAYS($AA474,TODAY(),Holidays)-1)&amp;" of "&amp;CHOOSE($Z474,3,3,2,2,3))&amp;" | Total Day "&amp;MAX(0,NETWORKDAYS($N474,TODAY(),Holidays)-1))</f>
        <v/>
      </c>
      <c r="X474" s="18"/>
      <c r="Y474" s="18"/>
      <c r="Z474" s="17">
        <f>IF($N474="","",COUNT($N474:$S474))</f>
        <v/>
      </c>
      <c r="AA474" s="19">
        <f>IF($Z474="","",INT(INDEX($N474:$S474,$Z474)))</f>
        <v/>
      </c>
      <c r="AB474" s="19">
        <f>IF(OR($Z474="",$Z474=6),"",WORKDAY($AA474,CHOOSE($Z474,3,3,2,2,3),Holidays))</f>
        <v/>
      </c>
      <c r="AC474" s="17">
        <f>IF(OR($Z474="",$Z474=6),"",CHOOSE($Z474,"1st Email Follow-up","2nd Email Follow-up","Escalate Local Office","Escalate to CBE","Escalate to Roxanne"))</f>
        <v/>
      </c>
    </row>
    <row r="475" spans="13:29">
      <c r="M475" s="14"/>
      <c r="T475" s="16"/>
      <c r="U475" s="17">
        <f>IF(AND(COUNTA($A475:$L475)=0,$N475=""),"",IF($T475="Paid","PAID",IF($T475="Closed","CLOSED",IF($Z475="","",IF($Z475=6,"ESCALATED TO ROXANNE",IF(TODAY()&gt;$AB475,"OVERDUE",IF($AB475&lt;=WORKDAY(TODAY(),1,Holidays),"DUE TOMORROW",IF($Z475=4,"ESCALATED TO LOCAL OFFICE",IF($Z475=5,"ESCALATED TO CBE",IF($AA475=TODAY(),"EMAIL SENT","MONITORING"))))))))))</f>
        <v/>
      </c>
      <c r="V475" s="17">
        <f>IF($U475="",IF(AND(COUNTA($A475:$L475)&gt;0,$N475=""),"Awaiting Collection Email time stamp.",""),IF(OR($U475="PAID",$U475="CLOSED"),IF($U475="PAID","Account paid. Action completed.","Account closed. No further action required."),CHOOSE($Z475,"Collection Email","1st Email Follow-up","2nd Email Follow-up","Escalation to Local Office","Escalation to CBE","Escalation to Roxanne")&amp;" sent "&amp;TEXT($AA475,"dd-mmm")&amp;". "&amp;IF($Z475=6,"Final escalation completed.",IF($U475="OVERDUE","Next: "&amp;$AC475&amp;" was due "&amp;TEXT($AB475,"dd-mmm")&amp;" - "&amp;(NETWORKDAYS($AB475,TODAY(),Holidays)-1)&amp;" business day(s) late. Send now.",IF($U475="DUE TOMORROW","Next: "&amp;$AC475&amp;IF($AB475&lt;=TODAY()," is due TODAY ("," is due next business day (")&amp;TEXT($AB475,"dd-mmm")&amp;").","Next: "&amp;$AC475&amp;" due "&amp;TEXT($AB475,"dd-mmm")&amp;" ("&amp;(NETWORKDAYS(TODAY(),$AB475,Holidays)-1)&amp;" business day(s) left).")))))</f>
        <v/>
      </c>
      <c r="W475" s="17">
        <f>IF($Z475="","",CHOOSE($Z475,"Collection Email","1st Follow-up","2nd Follow-up","Local Office","CBE","Roxanne")&amp;IF($Z475=6," - Final"," - Day "&amp;MAX(0,NETWORKDAYS($AA475,TODAY(),Holidays)-1)&amp;" of "&amp;CHOOSE($Z475,3,3,2,2,3))&amp;" | Total Day "&amp;MAX(0,NETWORKDAYS($N475,TODAY(),Holidays)-1))</f>
        <v/>
      </c>
      <c r="X475" s="18"/>
      <c r="Y475" s="18"/>
      <c r="Z475" s="17">
        <f>IF($N475="","",COUNT($N475:$S475))</f>
        <v/>
      </c>
      <c r="AA475" s="19">
        <f>IF($Z475="","",INT(INDEX($N475:$S475,$Z475)))</f>
        <v/>
      </c>
      <c r="AB475" s="19">
        <f>IF(OR($Z475="",$Z475=6),"",WORKDAY($AA475,CHOOSE($Z475,3,3,2,2,3),Holidays))</f>
        <v/>
      </c>
      <c r="AC475" s="17">
        <f>IF(OR($Z475="",$Z475=6),"",CHOOSE($Z475,"1st Email Follow-up","2nd Email Follow-up","Escalate Local Office","Escalate to CBE","Escalate to Roxanne"))</f>
        <v/>
      </c>
    </row>
    <row r="476" spans="13:29">
      <c r="M476" s="14"/>
      <c r="T476" s="16"/>
      <c r="U476" s="17">
        <f>IF(AND(COUNTA($A476:$L476)=0,$N476=""),"",IF($T476="Paid","PAID",IF($T476="Closed","CLOSED",IF($Z476="","",IF($Z476=6,"ESCALATED TO ROXANNE",IF(TODAY()&gt;$AB476,"OVERDUE",IF($AB476&lt;=WORKDAY(TODAY(),1,Holidays),"DUE TOMORROW",IF($Z476=4,"ESCALATED TO LOCAL OFFICE",IF($Z476=5,"ESCALATED TO CBE",IF($AA476=TODAY(),"EMAIL SENT","MONITORING"))))))))))</f>
        <v/>
      </c>
      <c r="V476" s="17">
        <f>IF($U476="",IF(AND(COUNTA($A476:$L476)&gt;0,$N476=""),"Awaiting Collection Email time stamp.",""),IF(OR($U476="PAID",$U476="CLOSED"),IF($U476="PAID","Account paid. Action completed.","Account closed. No further action required."),CHOOSE($Z476,"Collection Email","1st Email Follow-up","2nd Email Follow-up","Escalation to Local Office","Escalation to CBE","Escalation to Roxanne")&amp;" sent "&amp;TEXT($AA476,"dd-mmm")&amp;". "&amp;IF($Z476=6,"Final escalation completed.",IF($U476="OVERDUE","Next: "&amp;$AC476&amp;" was due "&amp;TEXT($AB476,"dd-mmm")&amp;" - "&amp;(NETWORKDAYS($AB476,TODAY(),Holidays)-1)&amp;" business day(s) late. Send now.",IF($U476="DUE TOMORROW","Next: "&amp;$AC476&amp;IF($AB476&lt;=TODAY()," is due TODAY ("," is due next business day (")&amp;TEXT($AB476,"dd-mmm")&amp;").","Next: "&amp;$AC476&amp;" due "&amp;TEXT($AB476,"dd-mmm")&amp;" ("&amp;(NETWORKDAYS(TODAY(),$AB476,Holidays)-1)&amp;" business day(s) left).")))))</f>
        <v/>
      </c>
      <c r="W476" s="17">
        <f>IF($Z476="","",CHOOSE($Z476,"Collection Email","1st Follow-up","2nd Follow-up","Local Office","CBE","Roxanne")&amp;IF($Z476=6," - Final"," - Day "&amp;MAX(0,NETWORKDAYS($AA476,TODAY(),Holidays)-1)&amp;" of "&amp;CHOOSE($Z476,3,3,2,2,3))&amp;" | Total Day "&amp;MAX(0,NETWORKDAYS($N476,TODAY(),Holidays)-1))</f>
        <v/>
      </c>
      <c r="X476" s="18"/>
      <c r="Y476" s="18"/>
      <c r="Z476" s="17">
        <f>IF($N476="","",COUNT($N476:$S476))</f>
        <v/>
      </c>
      <c r="AA476" s="19">
        <f>IF($Z476="","",INT(INDEX($N476:$S476,$Z476)))</f>
        <v/>
      </c>
      <c r="AB476" s="19">
        <f>IF(OR($Z476="",$Z476=6),"",WORKDAY($AA476,CHOOSE($Z476,3,3,2,2,3),Holidays))</f>
        <v/>
      </c>
      <c r="AC476" s="17">
        <f>IF(OR($Z476="",$Z476=6),"",CHOOSE($Z476,"1st Email Follow-up","2nd Email Follow-up","Escalate Local Office","Escalate to CBE","Escalate to Roxanne"))</f>
        <v/>
      </c>
    </row>
    <row r="477" spans="13:29">
      <c r="M477" s="14"/>
      <c r="T477" s="16"/>
      <c r="U477" s="17">
        <f>IF(AND(COUNTA($A477:$L477)=0,$N477=""),"",IF($T477="Paid","PAID",IF($T477="Closed","CLOSED",IF($Z477="","",IF($Z477=6,"ESCALATED TO ROXANNE",IF(TODAY()&gt;$AB477,"OVERDUE",IF($AB477&lt;=WORKDAY(TODAY(),1,Holidays),"DUE TOMORROW",IF($Z477=4,"ESCALATED TO LOCAL OFFICE",IF($Z477=5,"ESCALATED TO CBE",IF($AA477=TODAY(),"EMAIL SENT","MONITORING"))))))))))</f>
        <v/>
      </c>
      <c r="V477" s="17">
        <f>IF($U477="",IF(AND(COUNTA($A477:$L477)&gt;0,$N477=""),"Awaiting Collection Email time stamp.",""),IF(OR($U477="PAID",$U477="CLOSED"),IF($U477="PAID","Account paid. Action completed.","Account closed. No further action required."),CHOOSE($Z477,"Collection Email","1st Email Follow-up","2nd Email Follow-up","Escalation to Local Office","Escalation to CBE","Escalation to Roxanne")&amp;" sent "&amp;TEXT($AA477,"dd-mmm")&amp;". "&amp;IF($Z477=6,"Final escalation completed.",IF($U477="OVERDUE","Next: "&amp;$AC477&amp;" was due "&amp;TEXT($AB477,"dd-mmm")&amp;" - "&amp;(NETWORKDAYS($AB477,TODAY(),Holidays)-1)&amp;" business day(s) late. Send now.",IF($U477="DUE TOMORROW","Next: "&amp;$AC477&amp;IF($AB477&lt;=TODAY()," is due TODAY ("," is due next business day (")&amp;TEXT($AB477,"dd-mmm")&amp;").","Next: "&amp;$AC477&amp;" due "&amp;TEXT($AB477,"dd-mmm")&amp;" ("&amp;(NETWORKDAYS(TODAY(),$AB477,Holidays)-1)&amp;" business day(s) left).")))))</f>
        <v/>
      </c>
      <c r="W477" s="17">
        <f>IF($Z477="","",CHOOSE($Z477,"Collection Email","1st Follow-up","2nd Follow-up","Local Office","CBE","Roxanne")&amp;IF($Z477=6," - Final"," - Day "&amp;MAX(0,NETWORKDAYS($AA477,TODAY(),Holidays)-1)&amp;" of "&amp;CHOOSE($Z477,3,3,2,2,3))&amp;" | Total Day "&amp;MAX(0,NETWORKDAYS($N477,TODAY(),Holidays)-1))</f>
        <v/>
      </c>
      <c r="X477" s="18"/>
      <c r="Y477" s="18"/>
      <c r="Z477" s="17">
        <f>IF($N477="","",COUNT($N477:$S477))</f>
        <v/>
      </c>
      <c r="AA477" s="19">
        <f>IF($Z477="","",INT(INDEX($N477:$S477,$Z477)))</f>
        <v/>
      </c>
      <c r="AB477" s="19">
        <f>IF(OR($Z477="",$Z477=6),"",WORKDAY($AA477,CHOOSE($Z477,3,3,2,2,3),Holidays))</f>
        <v/>
      </c>
      <c r="AC477" s="17">
        <f>IF(OR($Z477="",$Z477=6),"",CHOOSE($Z477,"1st Email Follow-up","2nd Email Follow-up","Escalate Local Office","Escalate to CBE","Escalate to Roxanne"))</f>
        <v/>
      </c>
    </row>
    <row r="478" spans="13:29">
      <c r="M478" s="14"/>
      <c r="T478" s="16"/>
      <c r="U478" s="17">
        <f>IF(AND(COUNTA($A478:$L478)=0,$N478=""),"",IF($T478="Paid","PAID",IF($T478="Closed","CLOSED",IF($Z478="","",IF($Z478=6,"ESCALATED TO ROXANNE",IF(TODAY()&gt;$AB478,"OVERDUE",IF($AB478&lt;=WORKDAY(TODAY(),1,Holidays),"DUE TOMORROW",IF($Z478=4,"ESCALATED TO LOCAL OFFICE",IF($Z478=5,"ESCALATED TO CBE",IF($AA478=TODAY(),"EMAIL SENT","MONITORING"))))))))))</f>
        <v/>
      </c>
      <c r="V478" s="17">
        <f>IF($U478="",IF(AND(COUNTA($A478:$L478)&gt;0,$N478=""),"Awaiting Collection Email time stamp.",""),IF(OR($U478="PAID",$U478="CLOSED"),IF($U478="PAID","Account paid. Action completed.","Account closed. No further action required."),CHOOSE($Z478,"Collection Email","1st Email Follow-up","2nd Email Follow-up","Escalation to Local Office","Escalation to CBE","Escalation to Roxanne")&amp;" sent "&amp;TEXT($AA478,"dd-mmm")&amp;". "&amp;IF($Z478=6,"Final escalation completed.",IF($U478="OVERDUE","Next: "&amp;$AC478&amp;" was due "&amp;TEXT($AB478,"dd-mmm")&amp;" - "&amp;(NETWORKDAYS($AB478,TODAY(),Holidays)-1)&amp;" business day(s) late. Send now.",IF($U478="DUE TOMORROW","Next: "&amp;$AC478&amp;IF($AB478&lt;=TODAY()," is due TODAY ("," is due next business day (")&amp;TEXT($AB478,"dd-mmm")&amp;").","Next: "&amp;$AC478&amp;" due "&amp;TEXT($AB478,"dd-mmm")&amp;" ("&amp;(NETWORKDAYS(TODAY(),$AB478,Holidays)-1)&amp;" business day(s) left).")))))</f>
        <v/>
      </c>
      <c r="W478" s="17">
        <f>IF($Z478="","",CHOOSE($Z478,"Collection Email","1st Follow-up","2nd Follow-up","Local Office","CBE","Roxanne")&amp;IF($Z478=6," - Final"," - Day "&amp;MAX(0,NETWORKDAYS($AA478,TODAY(),Holidays)-1)&amp;" of "&amp;CHOOSE($Z478,3,3,2,2,3))&amp;" | Total Day "&amp;MAX(0,NETWORKDAYS($N478,TODAY(),Holidays)-1))</f>
        <v/>
      </c>
      <c r="X478" s="18"/>
      <c r="Y478" s="18"/>
      <c r="Z478" s="17">
        <f>IF($N478="","",COUNT($N478:$S478))</f>
        <v/>
      </c>
      <c r="AA478" s="19">
        <f>IF($Z478="","",INT(INDEX($N478:$S478,$Z478)))</f>
        <v/>
      </c>
      <c r="AB478" s="19">
        <f>IF(OR($Z478="",$Z478=6),"",WORKDAY($AA478,CHOOSE($Z478,3,3,2,2,3),Holidays))</f>
        <v/>
      </c>
      <c r="AC478" s="17">
        <f>IF(OR($Z478="",$Z478=6),"",CHOOSE($Z478,"1st Email Follow-up","2nd Email Follow-up","Escalate Local Office","Escalate to CBE","Escalate to Roxanne"))</f>
        <v/>
      </c>
    </row>
    <row r="479" spans="13:29">
      <c r="M479" s="14"/>
      <c r="T479" s="16"/>
      <c r="U479" s="17">
        <f>IF(AND(COUNTA($A479:$L479)=0,$N479=""),"",IF($T479="Paid","PAID",IF($T479="Closed","CLOSED",IF($Z479="","",IF($Z479=6,"ESCALATED TO ROXANNE",IF(TODAY()&gt;$AB479,"OVERDUE",IF($AB479&lt;=WORKDAY(TODAY(),1,Holidays),"DUE TOMORROW",IF($Z479=4,"ESCALATED TO LOCAL OFFICE",IF($Z479=5,"ESCALATED TO CBE",IF($AA479=TODAY(),"EMAIL SENT","MONITORING"))))))))))</f>
        <v/>
      </c>
      <c r="V479" s="17">
        <f>IF($U479="",IF(AND(COUNTA($A479:$L479)&gt;0,$N479=""),"Awaiting Collection Email time stamp.",""),IF(OR($U479="PAID",$U479="CLOSED"),IF($U479="PAID","Account paid. Action completed.","Account closed. No further action required."),CHOOSE($Z479,"Collection Email","1st Email Follow-up","2nd Email Follow-up","Escalation to Local Office","Escalation to CBE","Escalation to Roxanne")&amp;" sent "&amp;TEXT($AA479,"dd-mmm")&amp;". "&amp;IF($Z479=6,"Final escalation completed.",IF($U479="OVERDUE","Next: "&amp;$AC479&amp;" was due "&amp;TEXT($AB479,"dd-mmm")&amp;" - "&amp;(NETWORKDAYS($AB479,TODAY(),Holidays)-1)&amp;" business day(s) late. Send now.",IF($U479="DUE TOMORROW","Next: "&amp;$AC479&amp;IF($AB479&lt;=TODAY()," is due TODAY ("," is due next business day (")&amp;TEXT($AB479,"dd-mmm")&amp;").","Next: "&amp;$AC479&amp;" due "&amp;TEXT($AB479,"dd-mmm")&amp;" ("&amp;(NETWORKDAYS(TODAY(),$AB479,Holidays)-1)&amp;" business day(s) left).")))))</f>
        <v/>
      </c>
      <c r="W479" s="17">
        <f>IF($Z479="","",CHOOSE($Z479,"Collection Email","1st Follow-up","2nd Follow-up","Local Office","CBE","Roxanne")&amp;IF($Z479=6," - Final"," - Day "&amp;MAX(0,NETWORKDAYS($AA479,TODAY(),Holidays)-1)&amp;" of "&amp;CHOOSE($Z479,3,3,2,2,3))&amp;" | Total Day "&amp;MAX(0,NETWORKDAYS($N479,TODAY(),Holidays)-1))</f>
        <v/>
      </c>
      <c r="X479" s="18"/>
      <c r="Y479" s="18"/>
      <c r="Z479" s="17">
        <f>IF($N479="","",COUNT($N479:$S479))</f>
        <v/>
      </c>
      <c r="AA479" s="19">
        <f>IF($Z479="","",INT(INDEX($N479:$S479,$Z479)))</f>
        <v/>
      </c>
      <c r="AB479" s="19">
        <f>IF(OR($Z479="",$Z479=6),"",WORKDAY($AA479,CHOOSE($Z479,3,3,2,2,3),Holidays))</f>
        <v/>
      </c>
      <c r="AC479" s="17">
        <f>IF(OR($Z479="",$Z479=6),"",CHOOSE($Z479,"1st Email Follow-up","2nd Email Follow-up","Escalate Local Office","Escalate to CBE","Escalate to Roxanne"))</f>
        <v/>
      </c>
    </row>
    <row r="480" spans="13:29">
      <c r="M480" s="14"/>
      <c r="T480" s="16"/>
      <c r="U480" s="17">
        <f>IF(AND(COUNTA($A480:$L480)=0,$N480=""),"",IF($T480="Paid","PAID",IF($T480="Closed","CLOSED",IF($Z480="","",IF($Z480=6,"ESCALATED TO ROXANNE",IF(TODAY()&gt;$AB480,"OVERDUE",IF($AB480&lt;=WORKDAY(TODAY(),1,Holidays),"DUE TOMORROW",IF($Z480=4,"ESCALATED TO LOCAL OFFICE",IF($Z480=5,"ESCALATED TO CBE",IF($AA480=TODAY(),"EMAIL SENT","MONITORING"))))))))))</f>
        <v/>
      </c>
      <c r="V480" s="17">
        <f>IF($U480="",IF(AND(COUNTA($A480:$L480)&gt;0,$N480=""),"Awaiting Collection Email time stamp.",""),IF(OR($U480="PAID",$U480="CLOSED"),IF($U480="PAID","Account paid. Action completed.","Account closed. No further action required."),CHOOSE($Z480,"Collection Email","1st Email Follow-up","2nd Email Follow-up","Escalation to Local Office","Escalation to CBE","Escalation to Roxanne")&amp;" sent "&amp;TEXT($AA480,"dd-mmm")&amp;". "&amp;IF($Z480=6,"Final escalation completed.",IF($U480="OVERDUE","Next: "&amp;$AC480&amp;" was due "&amp;TEXT($AB480,"dd-mmm")&amp;" - "&amp;(NETWORKDAYS($AB480,TODAY(),Holidays)-1)&amp;" business day(s) late. Send now.",IF($U480="DUE TOMORROW","Next: "&amp;$AC480&amp;IF($AB480&lt;=TODAY()," is due TODAY ("," is due next business day (")&amp;TEXT($AB480,"dd-mmm")&amp;").","Next: "&amp;$AC480&amp;" due "&amp;TEXT($AB480,"dd-mmm")&amp;" ("&amp;(NETWORKDAYS(TODAY(),$AB480,Holidays)-1)&amp;" business day(s) left).")))))</f>
        <v/>
      </c>
      <c r="W480" s="17">
        <f>IF($Z480="","",CHOOSE($Z480,"Collection Email","1st Follow-up","2nd Follow-up","Local Office","CBE","Roxanne")&amp;IF($Z480=6," - Final"," - Day "&amp;MAX(0,NETWORKDAYS($AA480,TODAY(),Holidays)-1)&amp;" of "&amp;CHOOSE($Z480,3,3,2,2,3))&amp;" | Total Day "&amp;MAX(0,NETWORKDAYS($N480,TODAY(),Holidays)-1))</f>
        <v/>
      </c>
      <c r="X480" s="18"/>
      <c r="Y480" s="18"/>
      <c r="Z480" s="17">
        <f>IF($N480="","",COUNT($N480:$S480))</f>
        <v/>
      </c>
      <c r="AA480" s="19">
        <f>IF($Z480="","",INT(INDEX($N480:$S480,$Z480)))</f>
        <v/>
      </c>
      <c r="AB480" s="19">
        <f>IF(OR($Z480="",$Z480=6),"",WORKDAY($AA480,CHOOSE($Z480,3,3,2,2,3),Holidays))</f>
        <v/>
      </c>
      <c r="AC480" s="17">
        <f>IF(OR($Z480="",$Z480=6),"",CHOOSE($Z480,"1st Email Follow-up","2nd Email Follow-up","Escalate Local Office","Escalate to CBE","Escalate to Roxanne"))</f>
        <v/>
      </c>
    </row>
    <row r="481" spans="13:29">
      <c r="M481" s="14"/>
      <c r="T481" s="16"/>
      <c r="U481" s="17">
        <f>IF(AND(COUNTA($A481:$L481)=0,$N481=""),"",IF($T481="Paid","PAID",IF($T481="Closed","CLOSED",IF($Z481="","",IF($Z481=6,"ESCALATED TO ROXANNE",IF(TODAY()&gt;$AB481,"OVERDUE",IF($AB481&lt;=WORKDAY(TODAY(),1,Holidays),"DUE TOMORROW",IF($Z481=4,"ESCALATED TO LOCAL OFFICE",IF($Z481=5,"ESCALATED TO CBE",IF($AA481=TODAY(),"EMAIL SENT","MONITORING"))))))))))</f>
        <v/>
      </c>
      <c r="V481" s="17">
        <f>IF($U481="",IF(AND(COUNTA($A481:$L481)&gt;0,$N481=""),"Awaiting Collection Email time stamp.",""),IF(OR($U481="PAID",$U481="CLOSED"),IF($U481="PAID","Account paid. Action completed.","Account closed. No further action required."),CHOOSE($Z481,"Collection Email","1st Email Follow-up","2nd Email Follow-up","Escalation to Local Office","Escalation to CBE","Escalation to Roxanne")&amp;" sent "&amp;TEXT($AA481,"dd-mmm")&amp;". "&amp;IF($Z481=6,"Final escalation completed.",IF($U481="OVERDUE","Next: "&amp;$AC481&amp;" was due "&amp;TEXT($AB481,"dd-mmm")&amp;" - "&amp;(NETWORKDAYS($AB481,TODAY(),Holidays)-1)&amp;" business day(s) late. Send now.",IF($U481="DUE TOMORROW","Next: "&amp;$AC481&amp;IF($AB481&lt;=TODAY()," is due TODAY ("," is due next business day (")&amp;TEXT($AB481,"dd-mmm")&amp;").","Next: "&amp;$AC481&amp;" due "&amp;TEXT($AB481,"dd-mmm")&amp;" ("&amp;(NETWORKDAYS(TODAY(),$AB481,Holidays)-1)&amp;" business day(s) left).")))))</f>
        <v/>
      </c>
      <c r="W481" s="17">
        <f>IF($Z481="","",CHOOSE($Z481,"Collection Email","1st Follow-up","2nd Follow-up","Local Office","CBE","Roxanne")&amp;IF($Z481=6," - Final"," - Day "&amp;MAX(0,NETWORKDAYS($AA481,TODAY(),Holidays)-1)&amp;" of "&amp;CHOOSE($Z481,3,3,2,2,3))&amp;" | Total Day "&amp;MAX(0,NETWORKDAYS($N481,TODAY(),Holidays)-1))</f>
        <v/>
      </c>
      <c r="X481" s="18"/>
      <c r="Y481" s="18"/>
      <c r="Z481" s="17">
        <f>IF($N481="","",COUNT($N481:$S481))</f>
        <v/>
      </c>
      <c r="AA481" s="19">
        <f>IF($Z481="","",INT(INDEX($N481:$S481,$Z481)))</f>
        <v/>
      </c>
      <c r="AB481" s="19">
        <f>IF(OR($Z481="",$Z481=6),"",WORKDAY($AA481,CHOOSE($Z481,3,3,2,2,3),Holidays))</f>
        <v/>
      </c>
      <c r="AC481" s="17">
        <f>IF(OR($Z481="",$Z481=6),"",CHOOSE($Z481,"1st Email Follow-up","2nd Email Follow-up","Escalate Local Office","Escalate to CBE","Escalate to Roxanne"))</f>
        <v/>
      </c>
    </row>
    <row r="482" spans="13:29">
      <c r="M482" s="14"/>
      <c r="T482" s="16"/>
      <c r="U482" s="17">
        <f>IF(AND(COUNTA($A482:$L482)=0,$N482=""),"",IF($T482="Paid","PAID",IF($T482="Closed","CLOSED",IF($Z482="","",IF($Z482=6,"ESCALATED TO ROXANNE",IF(TODAY()&gt;$AB482,"OVERDUE",IF($AB482&lt;=WORKDAY(TODAY(),1,Holidays),"DUE TOMORROW",IF($Z482=4,"ESCALATED TO LOCAL OFFICE",IF($Z482=5,"ESCALATED TO CBE",IF($AA482=TODAY(),"EMAIL SENT","MONITORING"))))))))))</f>
        <v/>
      </c>
      <c r="V482" s="17">
        <f>IF($U482="",IF(AND(COUNTA($A482:$L482)&gt;0,$N482=""),"Awaiting Collection Email time stamp.",""),IF(OR($U482="PAID",$U482="CLOSED"),IF($U482="PAID","Account paid. Action completed.","Account closed. No further action required."),CHOOSE($Z482,"Collection Email","1st Email Follow-up","2nd Email Follow-up","Escalation to Local Office","Escalation to CBE","Escalation to Roxanne")&amp;" sent "&amp;TEXT($AA482,"dd-mmm")&amp;". "&amp;IF($Z482=6,"Final escalation completed.",IF($U482="OVERDUE","Next: "&amp;$AC482&amp;" was due "&amp;TEXT($AB482,"dd-mmm")&amp;" - "&amp;(NETWORKDAYS($AB482,TODAY(),Holidays)-1)&amp;" business day(s) late. Send now.",IF($U482="DUE TOMORROW","Next: "&amp;$AC482&amp;IF($AB482&lt;=TODAY()," is due TODAY ("," is due next business day (")&amp;TEXT($AB482,"dd-mmm")&amp;").","Next: "&amp;$AC482&amp;" due "&amp;TEXT($AB482,"dd-mmm")&amp;" ("&amp;(NETWORKDAYS(TODAY(),$AB482,Holidays)-1)&amp;" business day(s) left).")))))</f>
        <v/>
      </c>
      <c r="W482" s="17">
        <f>IF($Z482="","",CHOOSE($Z482,"Collection Email","1st Follow-up","2nd Follow-up","Local Office","CBE","Roxanne")&amp;IF($Z482=6," - Final"," - Day "&amp;MAX(0,NETWORKDAYS($AA482,TODAY(),Holidays)-1)&amp;" of "&amp;CHOOSE($Z482,3,3,2,2,3))&amp;" | Total Day "&amp;MAX(0,NETWORKDAYS($N482,TODAY(),Holidays)-1))</f>
        <v/>
      </c>
      <c r="X482" s="18"/>
      <c r="Y482" s="18"/>
      <c r="Z482" s="17">
        <f>IF($N482="","",COUNT($N482:$S482))</f>
        <v/>
      </c>
      <c r="AA482" s="19">
        <f>IF($Z482="","",INT(INDEX($N482:$S482,$Z482)))</f>
        <v/>
      </c>
      <c r="AB482" s="19">
        <f>IF(OR($Z482="",$Z482=6),"",WORKDAY($AA482,CHOOSE($Z482,3,3,2,2,3),Holidays))</f>
        <v/>
      </c>
      <c r="AC482" s="17">
        <f>IF(OR($Z482="",$Z482=6),"",CHOOSE($Z482,"1st Email Follow-up","2nd Email Follow-up","Escalate Local Office","Escalate to CBE","Escalate to Roxanne"))</f>
        <v/>
      </c>
    </row>
    <row r="483" spans="13:29">
      <c r="M483" s="14"/>
      <c r="T483" s="16"/>
      <c r="U483" s="17">
        <f>IF(AND(COUNTA($A483:$L483)=0,$N483=""),"",IF($T483="Paid","PAID",IF($T483="Closed","CLOSED",IF($Z483="","",IF($Z483=6,"ESCALATED TO ROXANNE",IF(TODAY()&gt;$AB483,"OVERDUE",IF($AB483&lt;=WORKDAY(TODAY(),1,Holidays),"DUE TOMORROW",IF($Z483=4,"ESCALATED TO LOCAL OFFICE",IF($Z483=5,"ESCALATED TO CBE",IF($AA483=TODAY(),"EMAIL SENT","MONITORING"))))))))))</f>
        <v/>
      </c>
      <c r="V483" s="17">
        <f>IF($U483="",IF(AND(COUNTA($A483:$L483)&gt;0,$N483=""),"Awaiting Collection Email time stamp.",""),IF(OR($U483="PAID",$U483="CLOSED"),IF($U483="PAID","Account paid. Action completed.","Account closed. No further action required."),CHOOSE($Z483,"Collection Email","1st Email Follow-up","2nd Email Follow-up","Escalation to Local Office","Escalation to CBE","Escalation to Roxanne")&amp;" sent "&amp;TEXT($AA483,"dd-mmm")&amp;". "&amp;IF($Z483=6,"Final escalation completed.",IF($U483="OVERDUE","Next: "&amp;$AC483&amp;" was due "&amp;TEXT($AB483,"dd-mmm")&amp;" - "&amp;(NETWORKDAYS($AB483,TODAY(),Holidays)-1)&amp;" business day(s) late. Send now.",IF($U483="DUE TOMORROW","Next: "&amp;$AC483&amp;IF($AB483&lt;=TODAY()," is due TODAY ("," is due next business day (")&amp;TEXT($AB483,"dd-mmm")&amp;").","Next: "&amp;$AC483&amp;" due "&amp;TEXT($AB483,"dd-mmm")&amp;" ("&amp;(NETWORKDAYS(TODAY(),$AB483,Holidays)-1)&amp;" business day(s) left).")))))</f>
        <v/>
      </c>
      <c r="W483" s="17">
        <f>IF($Z483="","",CHOOSE($Z483,"Collection Email","1st Follow-up","2nd Follow-up","Local Office","CBE","Roxanne")&amp;IF($Z483=6," - Final"," - Day "&amp;MAX(0,NETWORKDAYS($AA483,TODAY(),Holidays)-1)&amp;" of "&amp;CHOOSE($Z483,3,3,2,2,3))&amp;" | Total Day "&amp;MAX(0,NETWORKDAYS($N483,TODAY(),Holidays)-1))</f>
        <v/>
      </c>
      <c r="X483" s="18"/>
      <c r="Y483" s="18"/>
      <c r="Z483" s="17">
        <f>IF($N483="","",COUNT($N483:$S483))</f>
        <v/>
      </c>
      <c r="AA483" s="19">
        <f>IF($Z483="","",INT(INDEX($N483:$S483,$Z483)))</f>
        <v/>
      </c>
      <c r="AB483" s="19">
        <f>IF(OR($Z483="",$Z483=6),"",WORKDAY($AA483,CHOOSE($Z483,3,3,2,2,3),Holidays))</f>
        <v/>
      </c>
      <c r="AC483" s="17">
        <f>IF(OR($Z483="",$Z483=6),"",CHOOSE($Z483,"1st Email Follow-up","2nd Email Follow-up","Escalate Local Office","Escalate to CBE","Escalate to Roxanne"))</f>
        <v/>
      </c>
    </row>
    <row r="484" spans="13:29">
      <c r="M484" s="14"/>
      <c r="T484" s="16"/>
      <c r="U484" s="17">
        <f>IF(AND(COUNTA($A484:$L484)=0,$N484=""),"",IF($T484="Paid","PAID",IF($T484="Closed","CLOSED",IF($Z484="","",IF($Z484=6,"ESCALATED TO ROXANNE",IF(TODAY()&gt;$AB484,"OVERDUE",IF($AB484&lt;=WORKDAY(TODAY(),1,Holidays),"DUE TOMORROW",IF($Z484=4,"ESCALATED TO LOCAL OFFICE",IF($Z484=5,"ESCALATED TO CBE",IF($AA484=TODAY(),"EMAIL SENT","MONITORING"))))))))))</f>
        <v/>
      </c>
      <c r="V484" s="17">
        <f>IF($U484="",IF(AND(COUNTA($A484:$L484)&gt;0,$N484=""),"Awaiting Collection Email time stamp.",""),IF(OR($U484="PAID",$U484="CLOSED"),IF($U484="PAID","Account paid. Action completed.","Account closed. No further action required."),CHOOSE($Z484,"Collection Email","1st Email Follow-up","2nd Email Follow-up","Escalation to Local Office","Escalation to CBE","Escalation to Roxanne")&amp;" sent "&amp;TEXT($AA484,"dd-mmm")&amp;". "&amp;IF($Z484=6,"Final escalation completed.",IF($U484="OVERDUE","Next: "&amp;$AC484&amp;" was due "&amp;TEXT($AB484,"dd-mmm")&amp;" - "&amp;(NETWORKDAYS($AB484,TODAY(),Holidays)-1)&amp;" business day(s) late. Send now.",IF($U484="DUE TOMORROW","Next: "&amp;$AC484&amp;IF($AB484&lt;=TODAY()," is due TODAY ("," is due next business day (")&amp;TEXT($AB484,"dd-mmm")&amp;").","Next: "&amp;$AC484&amp;" due "&amp;TEXT($AB484,"dd-mmm")&amp;" ("&amp;(NETWORKDAYS(TODAY(),$AB484,Holidays)-1)&amp;" business day(s) left).")))))</f>
        <v/>
      </c>
      <c r="W484" s="17">
        <f>IF($Z484="","",CHOOSE($Z484,"Collection Email","1st Follow-up","2nd Follow-up","Local Office","CBE","Roxanne")&amp;IF($Z484=6," - Final"," - Day "&amp;MAX(0,NETWORKDAYS($AA484,TODAY(),Holidays)-1)&amp;" of "&amp;CHOOSE($Z484,3,3,2,2,3))&amp;" | Total Day "&amp;MAX(0,NETWORKDAYS($N484,TODAY(),Holidays)-1))</f>
        <v/>
      </c>
      <c r="X484" s="18"/>
      <c r="Y484" s="18"/>
      <c r="Z484" s="17">
        <f>IF($N484="","",COUNT($N484:$S484))</f>
        <v/>
      </c>
      <c r="AA484" s="19">
        <f>IF($Z484="","",INT(INDEX($N484:$S484,$Z484)))</f>
        <v/>
      </c>
      <c r="AB484" s="19">
        <f>IF(OR($Z484="",$Z484=6),"",WORKDAY($AA484,CHOOSE($Z484,3,3,2,2,3),Holidays))</f>
        <v/>
      </c>
      <c r="AC484" s="17">
        <f>IF(OR($Z484="",$Z484=6),"",CHOOSE($Z484,"1st Email Follow-up","2nd Email Follow-up","Escalate Local Office","Escalate to CBE","Escalate to Roxanne"))</f>
        <v/>
      </c>
    </row>
    <row r="485" spans="13:29">
      <c r="M485" s="14"/>
      <c r="T485" s="16"/>
      <c r="U485" s="17">
        <f>IF(AND(COUNTA($A485:$L485)=0,$N485=""),"",IF($T485="Paid","PAID",IF($T485="Closed","CLOSED",IF($Z485="","",IF($Z485=6,"ESCALATED TO ROXANNE",IF(TODAY()&gt;$AB485,"OVERDUE",IF($AB485&lt;=WORKDAY(TODAY(),1,Holidays),"DUE TOMORROW",IF($Z485=4,"ESCALATED TO LOCAL OFFICE",IF($Z485=5,"ESCALATED TO CBE",IF($AA485=TODAY(),"EMAIL SENT","MONITORING"))))))))))</f>
        <v/>
      </c>
      <c r="V485" s="17">
        <f>IF($U485="",IF(AND(COUNTA($A485:$L485)&gt;0,$N485=""),"Awaiting Collection Email time stamp.",""),IF(OR($U485="PAID",$U485="CLOSED"),IF($U485="PAID","Account paid. Action completed.","Account closed. No further action required."),CHOOSE($Z485,"Collection Email","1st Email Follow-up","2nd Email Follow-up","Escalation to Local Office","Escalation to CBE","Escalation to Roxanne")&amp;" sent "&amp;TEXT($AA485,"dd-mmm")&amp;". "&amp;IF($Z485=6,"Final escalation completed.",IF($U485="OVERDUE","Next: "&amp;$AC485&amp;" was due "&amp;TEXT($AB485,"dd-mmm")&amp;" - "&amp;(NETWORKDAYS($AB485,TODAY(),Holidays)-1)&amp;" business day(s) late. Send now.",IF($U485="DUE TOMORROW","Next: "&amp;$AC485&amp;IF($AB485&lt;=TODAY()," is due TODAY ("," is due next business day (")&amp;TEXT($AB485,"dd-mmm")&amp;").","Next: "&amp;$AC485&amp;" due "&amp;TEXT($AB485,"dd-mmm")&amp;" ("&amp;(NETWORKDAYS(TODAY(),$AB485,Holidays)-1)&amp;" business day(s) left).")))))</f>
        <v/>
      </c>
      <c r="W485" s="17">
        <f>IF($Z485="","",CHOOSE($Z485,"Collection Email","1st Follow-up","2nd Follow-up","Local Office","CBE","Roxanne")&amp;IF($Z485=6," - Final"," - Day "&amp;MAX(0,NETWORKDAYS($AA485,TODAY(),Holidays)-1)&amp;" of "&amp;CHOOSE($Z485,3,3,2,2,3))&amp;" | Total Day "&amp;MAX(0,NETWORKDAYS($N485,TODAY(),Holidays)-1))</f>
        <v/>
      </c>
      <c r="X485" s="18"/>
      <c r="Y485" s="18"/>
      <c r="Z485" s="17">
        <f>IF($N485="","",COUNT($N485:$S485))</f>
        <v/>
      </c>
      <c r="AA485" s="19">
        <f>IF($Z485="","",INT(INDEX($N485:$S485,$Z485)))</f>
        <v/>
      </c>
      <c r="AB485" s="19">
        <f>IF(OR($Z485="",$Z485=6),"",WORKDAY($AA485,CHOOSE($Z485,3,3,2,2,3),Holidays))</f>
        <v/>
      </c>
      <c r="AC485" s="17">
        <f>IF(OR($Z485="",$Z485=6),"",CHOOSE($Z485,"1st Email Follow-up","2nd Email Follow-up","Escalate Local Office","Escalate to CBE","Escalate to Roxanne"))</f>
        <v/>
      </c>
    </row>
    <row r="486" spans="13:29">
      <c r="M486" s="14"/>
      <c r="T486" s="16"/>
      <c r="U486" s="17">
        <f>IF(AND(COUNTA($A486:$L486)=0,$N486=""),"",IF($T486="Paid","PAID",IF($T486="Closed","CLOSED",IF($Z486="","",IF($Z486=6,"ESCALATED TO ROXANNE",IF(TODAY()&gt;$AB486,"OVERDUE",IF($AB486&lt;=WORKDAY(TODAY(),1,Holidays),"DUE TOMORROW",IF($Z486=4,"ESCALATED TO LOCAL OFFICE",IF($Z486=5,"ESCALATED TO CBE",IF($AA486=TODAY(),"EMAIL SENT","MONITORING"))))))))))</f>
        <v/>
      </c>
      <c r="V486" s="17">
        <f>IF($U486="",IF(AND(COUNTA($A486:$L486)&gt;0,$N486=""),"Awaiting Collection Email time stamp.",""),IF(OR($U486="PAID",$U486="CLOSED"),IF($U486="PAID","Account paid. Action completed.","Account closed. No further action required."),CHOOSE($Z486,"Collection Email","1st Email Follow-up","2nd Email Follow-up","Escalation to Local Office","Escalation to CBE","Escalation to Roxanne")&amp;" sent "&amp;TEXT($AA486,"dd-mmm")&amp;". "&amp;IF($Z486=6,"Final escalation completed.",IF($U486="OVERDUE","Next: "&amp;$AC486&amp;" was due "&amp;TEXT($AB486,"dd-mmm")&amp;" - "&amp;(NETWORKDAYS($AB486,TODAY(),Holidays)-1)&amp;" business day(s) late. Send now.",IF($U486="DUE TOMORROW","Next: "&amp;$AC486&amp;IF($AB486&lt;=TODAY()," is due TODAY ("," is due next business day (")&amp;TEXT($AB486,"dd-mmm")&amp;").","Next: "&amp;$AC486&amp;" due "&amp;TEXT($AB486,"dd-mmm")&amp;" ("&amp;(NETWORKDAYS(TODAY(),$AB486,Holidays)-1)&amp;" business day(s) left).")))))</f>
        <v/>
      </c>
      <c r="W486" s="17">
        <f>IF($Z486="","",CHOOSE($Z486,"Collection Email","1st Follow-up","2nd Follow-up","Local Office","CBE","Roxanne")&amp;IF($Z486=6," - Final"," - Day "&amp;MAX(0,NETWORKDAYS($AA486,TODAY(),Holidays)-1)&amp;" of "&amp;CHOOSE($Z486,3,3,2,2,3))&amp;" | Total Day "&amp;MAX(0,NETWORKDAYS($N486,TODAY(),Holidays)-1))</f>
        <v/>
      </c>
      <c r="X486" s="18"/>
      <c r="Y486" s="18"/>
      <c r="Z486" s="17">
        <f>IF($N486="","",COUNT($N486:$S486))</f>
        <v/>
      </c>
      <c r="AA486" s="19">
        <f>IF($Z486="","",INT(INDEX($N486:$S486,$Z486)))</f>
        <v/>
      </c>
      <c r="AB486" s="19">
        <f>IF(OR($Z486="",$Z486=6),"",WORKDAY($AA486,CHOOSE($Z486,3,3,2,2,3),Holidays))</f>
        <v/>
      </c>
      <c r="AC486" s="17">
        <f>IF(OR($Z486="",$Z486=6),"",CHOOSE($Z486,"1st Email Follow-up","2nd Email Follow-up","Escalate Local Office","Escalate to CBE","Escalate to Roxanne"))</f>
        <v/>
      </c>
    </row>
    <row r="487" spans="13:29">
      <c r="M487" s="14"/>
      <c r="T487" s="16"/>
      <c r="U487" s="17">
        <f>IF(AND(COUNTA($A487:$L487)=0,$N487=""),"",IF($T487="Paid","PAID",IF($T487="Closed","CLOSED",IF($Z487="","",IF($Z487=6,"ESCALATED TO ROXANNE",IF(TODAY()&gt;$AB487,"OVERDUE",IF($AB487&lt;=WORKDAY(TODAY(),1,Holidays),"DUE TOMORROW",IF($Z487=4,"ESCALATED TO LOCAL OFFICE",IF($Z487=5,"ESCALATED TO CBE",IF($AA487=TODAY(),"EMAIL SENT","MONITORING"))))))))))</f>
        <v/>
      </c>
      <c r="V487" s="17">
        <f>IF($U487="",IF(AND(COUNTA($A487:$L487)&gt;0,$N487=""),"Awaiting Collection Email time stamp.",""),IF(OR($U487="PAID",$U487="CLOSED"),IF($U487="PAID","Account paid. Action completed.","Account closed. No further action required."),CHOOSE($Z487,"Collection Email","1st Email Follow-up","2nd Email Follow-up","Escalation to Local Office","Escalation to CBE","Escalation to Roxanne")&amp;" sent "&amp;TEXT($AA487,"dd-mmm")&amp;". "&amp;IF($Z487=6,"Final escalation completed.",IF($U487="OVERDUE","Next: "&amp;$AC487&amp;" was due "&amp;TEXT($AB487,"dd-mmm")&amp;" - "&amp;(NETWORKDAYS($AB487,TODAY(),Holidays)-1)&amp;" business day(s) late. Send now.",IF($U487="DUE TOMORROW","Next: "&amp;$AC487&amp;IF($AB487&lt;=TODAY()," is due TODAY ("," is due next business day (")&amp;TEXT($AB487,"dd-mmm")&amp;").","Next: "&amp;$AC487&amp;" due "&amp;TEXT($AB487,"dd-mmm")&amp;" ("&amp;(NETWORKDAYS(TODAY(),$AB487,Holidays)-1)&amp;" business day(s) left).")))))</f>
        <v/>
      </c>
      <c r="W487" s="17">
        <f>IF($Z487="","",CHOOSE($Z487,"Collection Email","1st Follow-up","2nd Follow-up","Local Office","CBE","Roxanne")&amp;IF($Z487=6," - Final"," - Day "&amp;MAX(0,NETWORKDAYS($AA487,TODAY(),Holidays)-1)&amp;" of "&amp;CHOOSE($Z487,3,3,2,2,3))&amp;" | Total Day "&amp;MAX(0,NETWORKDAYS($N487,TODAY(),Holidays)-1))</f>
        <v/>
      </c>
      <c r="X487" s="18"/>
      <c r="Y487" s="18"/>
      <c r="Z487" s="17">
        <f>IF($N487="","",COUNT($N487:$S487))</f>
        <v/>
      </c>
      <c r="AA487" s="19">
        <f>IF($Z487="","",INT(INDEX($N487:$S487,$Z487)))</f>
        <v/>
      </c>
      <c r="AB487" s="19">
        <f>IF(OR($Z487="",$Z487=6),"",WORKDAY($AA487,CHOOSE($Z487,3,3,2,2,3),Holidays))</f>
        <v/>
      </c>
      <c r="AC487" s="17">
        <f>IF(OR($Z487="",$Z487=6),"",CHOOSE($Z487,"1st Email Follow-up","2nd Email Follow-up","Escalate Local Office","Escalate to CBE","Escalate to Roxanne"))</f>
        <v/>
      </c>
    </row>
    <row r="488" spans="13:29">
      <c r="M488" s="14"/>
      <c r="T488" s="16"/>
      <c r="U488" s="17">
        <f>IF(AND(COUNTA($A488:$L488)=0,$N488=""),"",IF($T488="Paid","PAID",IF($T488="Closed","CLOSED",IF($Z488="","",IF($Z488=6,"ESCALATED TO ROXANNE",IF(TODAY()&gt;$AB488,"OVERDUE",IF($AB488&lt;=WORKDAY(TODAY(),1,Holidays),"DUE TOMORROW",IF($Z488=4,"ESCALATED TO LOCAL OFFICE",IF($Z488=5,"ESCALATED TO CBE",IF($AA488=TODAY(),"EMAIL SENT","MONITORING"))))))))))</f>
        <v/>
      </c>
      <c r="V488" s="17">
        <f>IF($U488="",IF(AND(COUNTA($A488:$L488)&gt;0,$N488=""),"Awaiting Collection Email time stamp.",""),IF(OR($U488="PAID",$U488="CLOSED"),IF($U488="PAID","Account paid. Action completed.","Account closed. No further action required."),CHOOSE($Z488,"Collection Email","1st Email Follow-up","2nd Email Follow-up","Escalation to Local Office","Escalation to CBE","Escalation to Roxanne")&amp;" sent "&amp;TEXT($AA488,"dd-mmm")&amp;". "&amp;IF($Z488=6,"Final escalation completed.",IF($U488="OVERDUE","Next: "&amp;$AC488&amp;" was due "&amp;TEXT($AB488,"dd-mmm")&amp;" - "&amp;(NETWORKDAYS($AB488,TODAY(),Holidays)-1)&amp;" business day(s) late. Send now.",IF($U488="DUE TOMORROW","Next: "&amp;$AC488&amp;IF($AB488&lt;=TODAY()," is due TODAY ("," is due next business day (")&amp;TEXT($AB488,"dd-mmm")&amp;").","Next: "&amp;$AC488&amp;" due "&amp;TEXT($AB488,"dd-mmm")&amp;" ("&amp;(NETWORKDAYS(TODAY(),$AB488,Holidays)-1)&amp;" business day(s) left).")))))</f>
        <v/>
      </c>
      <c r="W488" s="17">
        <f>IF($Z488="","",CHOOSE($Z488,"Collection Email","1st Follow-up","2nd Follow-up","Local Office","CBE","Roxanne")&amp;IF($Z488=6," - Final"," - Day "&amp;MAX(0,NETWORKDAYS($AA488,TODAY(),Holidays)-1)&amp;" of "&amp;CHOOSE($Z488,3,3,2,2,3))&amp;" | Total Day "&amp;MAX(0,NETWORKDAYS($N488,TODAY(),Holidays)-1))</f>
        <v/>
      </c>
      <c r="X488" s="18"/>
      <c r="Y488" s="18"/>
      <c r="Z488" s="17">
        <f>IF($N488="","",COUNT($N488:$S488))</f>
        <v/>
      </c>
      <c r="AA488" s="19">
        <f>IF($Z488="","",INT(INDEX($N488:$S488,$Z488)))</f>
        <v/>
      </c>
      <c r="AB488" s="19">
        <f>IF(OR($Z488="",$Z488=6),"",WORKDAY($AA488,CHOOSE($Z488,3,3,2,2,3),Holidays))</f>
        <v/>
      </c>
      <c r="AC488" s="17">
        <f>IF(OR($Z488="",$Z488=6),"",CHOOSE($Z488,"1st Email Follow-up","2nd Email Follow-up","Escalate Local Office","Escalate to CBE","Escalate to Roxanne"))</f>
        <v/>
      </c>
    </row>
    <row r="489" spans="13:29">
      <c r="M489" s="14"/>
      <c r="T489" s="16"/>
      <c r="U489" s="17">
        <f>IF(AND(COUNTA($A489:$L489)=0,$N489=""),"",IF($T489="Paid","PAID",IF($T489="Closed","CLOSED",IF($Z489="","",IF($Z489=6,"ESCALATED TO ROXANNE",IF(TODAY()&gt;$AB489,"OVERDUE",IF($AB489&lt;=WORKDAY(TODAY(),1,Holidays),"DUE TOMORROW",IF($Z489=4,"ESCALATED TO LOCAL OFFICE",IF($Z489=5,"ESCALATED TO CBE",IF($AA489=TODAY(),"EMAIL SENT","MONITORING"))))))))))</f>
        <v/>
      </c>
      <c r="V489" s="17">
        <f>IF($U489="",IF(AND(COUNTA($A489:$L489)&gt;0,$N489=""),"Awaiting Collection Email time stamp.",""),IF(OR($U489="PAID",$U489="CLOSED"),IF($U489="PAID","Account paid. Action completed.","Account closed. No further action required."),CHOOSE($Z489,"Collection Email","1st Email Follow-up","2nd Email Follow-up","Escalation to Local Office","Escalation to CBE","Escalation to Roxanne")&amp;" sent "&amp;TEXT($AA489,"dd-mmm")&amp;". "&amp;IF($Z489=6,"Final escalation completed.",IF($U489="OVERDUE","Next: "&amp;$AC489&amp;" was due "&amp;TEXT($AB489,"dd-mmm")&amp;" - "&amp;(NETWORKDAYS($AB489,TODAY(),Holidays)-1)&amp;" business day(s) late. Send now.",IF($U489="DUE TOMORROW","Next: "&amp;$AC489&amp;IF($AB489&lt;=TODAY()," is due TODAY ("," is due next business day (")&amp;TEXT($AB489,"dd-mmm")&amp;").","Next: "&amp;$AC489&amp;" due "&amp;TEXT($AB489,"dd-mmm")&amp;" ("&amp;(NETWORKDAYS(TODAY(),$AB489,Holidays)-1)&amp;" business day(s) left).")))))</f>
        <v/>
      </c>
      <c r="W489" s="17">
        <f>IF($Z489="","",CHOOSE($Z489,"Collection Email","1st Follow-up","2nd Follow-up","Local Office","CBE","Roxanne")&amp;IF($Z489=6," - Final"," - Day "&amp;MAX(0,NETWORKDAYS($AA489,TODAY(),Holidays)-1)&amp;" of "&amp;CHOOSE($Z489,3,3,2,2,3))&amp;" | Total Day "&amp;MAX(0,NETWORKDAYS($N489,TODAY(),Holidays)-1))</f>
        <v/>
      </c>
      <c r="X489" s="18"/>
      <c r="Y489" s="18"/>
      <c r="Z489" s="17">
        <f>IF($N489="","",COUNT($N489:$S489))</f>
        <v/>
      </c>
      <c r="AA489" s="19">
        <f>IF($Z489="","",INT(INDEX($N489:$S489,$Z489)))</f>
        <v/>
      </c>
      <c r="AB489" s="19">
        <f>IF(OR($Z489="",$Z489=6),"",WORKDAY($AA489,CHOOSE($Z489,3,3,2,2,3),Holidays))</f>
        <v/>
      </c>
      <c r="AC489" s="17">
        <f>IF(OR($Z489="",$Z489=6),"",CHOOSE($Z489,"1st Email Follow-up","2nd Email Follow-up","Escalate Local Office","Escalate to CBE","Escalate to Roxanne"))</f>
        <v/>
      </c>
    </row>
    <row r="490" spans="13:29">
      <c r="M490" s="14"/>
      <c r="T490" s="16"/>
      <c r="U490" s="17">
        <f>IF(AND(COUNTA($A490:$L490)=0,$N490=""),"",IF($T490="Paid","PAID",IF($T490="Closed","CLOSED",IF($Z490="","",IF($Z490=6,"ESCALATED TO ROXANNE",IF(TODAY()&gt;$AB490,"OVERDUE",IF($AB490&lt;=WORKDAY(TODAY(),1,Holidays),"DUE TOMORROW",IF($Z490=4,"ESCALATED TO LOCAL OFFICE",IF($Z490=5,"ESCALATED TO CBE",IF($AA490=TODAY(),"EMAIL SENT","MONITORING"))))))))))</f>
        <v/>
      </c>
      <c r="V490" s="17">
        <f>IF($U490="",IF(AND(COUNTA($A490:$L490)&gt;0,$N490=""),"Awaiting Collection Email time stamp.",""),IF(OR($U490="PAID",$U490="CLOSED"),IF($U490="PAID","Account paid. Action completed.","Account closed. No further action required."),CHOOSE($Z490,"Collection Email","1st Email Follow-up","2nd Email Follow-up","Escalation to Local Office","Escalation to CBE","Escalation to Roxanne")&amp;" sent "&amp;TEXT($AA490,"dd-mmm")&amp;". "&amp;IF($Z490=6,"Final escalation completed.",IF($U490="OVERDUE","Next: "&amp;$AC490&amp;" was due "&amp;TEXT($AB490,"dd-mmm")&amp;" - "&amp;(NETWORKDAYS($AB490,TODAY(),Holidays)-1)&amp;" business day(s) late. Send now.",IF($U490="DUE TOMORROW","Next: "&amp;$AC490&amp;IF($AB490&lt;=TODAY()," is due TODAY ("," is due next business day (")&amp;TEXT($AB490,"dd-mmm")&amp;").","Next: "&amp;$AC490&amp;" due "&amp;TEXT($AB490,"dd-mmm")&amp;" ("&amp;(NETWORKDAYS(TODAY(),$AB490,Holidays)-1)&amp;" business day(s) left).")))))</f>
        <v/>
      </c>
      <c r="W490" s="17">
        <f>IF($Z490="","",CHOOSE($Z490,"Collection Email","1st Follow-up","2nd Follow-up","Local Office","CBE","Roxanne")&amp;IF($Z490=6," - Final"," - Day "&amp;MAX(0,NETWORKDAYS($AA490,TODAY(),Holidays)-1)&amp;" of "&amp;CHOOSE($Z490,3,3,2,2,3))&amp;" | Total Day "&amp;MAX(0,NETWORKDAYS($N490,TODAY(),Holidays)-1))</f>
        <v/>
      </c>
      <c r="X490" s="18"/>
      <c r="Y490" s="18"/>
      <c r="Z490" s="17">
        <f>IF($N490="","",COUNT($N490:$S490))</f>
        <v/>
      </c>
      <c r="AA490" s="19">
        <f>IF($Z490="","",INT(INDEX($N490:$S490,$Z490)))</f>
        <v/>
      </c>
      <c r="AB490" s="19">
        <f>IF(OR($Z490="",$Z490=6),"",WORKDAY($AA490,CHOOSE($Z490,3,3,2,2,3),Holidays))</f>
        <v/>
      </c>
      <c r="AC490" s="17">
        <f>IF(OR($Z490="",$Z490=6),"",CHOOSE($Z490,"1st Email Follow-up","2nd Email Follow-up","Escalate Local Office","Escalate to CBE","Escalate to Roxanne"))</f>
        <v/>
      </c>
    </row>
    <row r="491" spans="13:29">
      <c r="M491" s="14"/>
      <c r="T491" s="16"/>
      <c r="U491" s="17">
        <f>IF(AND(COUNTA($A491:$L491)=0,$N491=""),"",IF($T491="Paid","PAID",IF($T491="Closed","CLOSED",IF($Z491="","",IF($Z491=6,"ESCALATED TO ROXANNE",IF(TODAY()&gt;$AB491,"OVERDUE",IF($AB491&lt;=WORKDAY(TODAY(),1,Holidays),"DUE TOMORROW",IF($Z491=4,"ESCALATED TO LOCAL OFFICE",IF($Z491=5,"ESCALATED TO CBE",IF($AA491=TODAY(),"EMAIL SENT","MONITORING"))))))))))</f>
        <v/>
      </c>
      <c r="V491" s="17">
        <f>IF($U491="",IF(AND(COUNTA($A491:$L491)&gt;0,$N491=""),"Awaiting Collection Email time stamp.",""),IF(OR($U491="PAID",$U491="CLOSED"),IF($U491="PAID","Account paid. Action completed.","Account closed. No further action required."),CHOOSE($Z491,"Collection Email","1st Email Follow-up","2nd Email Follow-up","Escalation to Local Office","Escalation to CBE","Escalation to Roxanne")&amp;" sent "&amp;TEXT($AA491,"dd-mmm")&amp;". "&amp;IF($Z491=6,"Final escalation completed.",IF($U491="OVERDUE","Next: "&amp;$AC491&amp;" was due "&amp;TEXT($AB491,"dd-mmm")&amp;" - "&amp;(NETWORKDAYS($AB491,TODAY(),Holidays)-1)&amp;" business day(s) late. Send now.",IF($U491="DUE TOMORROW","Next: "&amp;$AC491&amp;IF($AB491&lt;=TODAY()," is due TODAY ("," is due next business day (")&amp;TEXT($AB491,"dd-mmm")&amp;").","Next: "&amp;$AC491&amp;" due "&amp;TEXT($AB491,"dd-mmm")&amp;" ("&amp;(NETWORKDAYS(TODAY(),$AB491,Holidays)-1)&amp;" business day(s) left).")))))</f>
        <v/>
      </c>
      <c r="W491" s="17">
        <f>IF($Z491="","",CHOOSE($Z491,"Collection Email","1st Follow-up","2nd Follow-up","Local Office","CBE","Roxanne")&amp;IF($Z491=6," - Final"," - Day "&amp;MAX(0,NETWORKDAYS($AA491,TODAY(),Holidays)-1)&amp;" of "&amp;CHOOSE($Z491,3,3,2,2,3))&amp;" | Total Day "&amp;MAX(0,NETWORKDAYS($N491,TODAY(),Holidays)-1))</f>
        <v/>
      </c>
      <c r="X491" s="18"/>
      <c r="Y491" s="18"/>
      <c r="Z491" s="17">
        <f>IF($N491="","",COUNT($N491:$S491))</f>
        <v/>
      </c>
      <c r="AA491" s="19">
        <f>IF($Z491="","",INT(INDEX($N491:$S491,$Z491)))</f>
        <v/>
      </c>
      <c r="AB491" s="19">
        <f>IF(OR($Z491="",$Z491=6),"",WORKDAY($AA491,CHOOSE($Z491,3,3,2,2,3),Holidays))</f>
        <v/>
      </c>
      <c r="AC491" s="17">
        <f>IF(OR($Z491="",$Z491=6),"",CHOOSE($Z491,"1st Email Follow-up","2nd Email Follow-up","Escalate Local Office","Escalate to CBE","Escalate to Roxanne"))</f>
        <v/>
      </c>
    </row>
    <row r="492" spans="13:29">
      <c r="M492" s="14"/>
      <c r="T492" s="16"/>
      <c r="U492" s="17">
        <f>IF(AND(COUNTA($A492:$L492)=0,$N492=""),"",IF($T492="Paid","PAID",IF($T492="Closed","CLOSED",IF($Z492="","",IF($Z492=6,"ESCALATED TO ROXANNE",IF(TODAY()&gt;$AB492,"OVERDUE",IF($AB492&lt;=WORKDAY(TODAY(),1,Holidays),"DUE TOMORROW",IF($Z492=4,"ESCALATED TO LOCAL OFFICE",IF($Z492=5,"ESCALATED TO CBE",IF($AA492=TODAY(),"EMAIL SENT","MONITORING"))))))))))</f>
        <v/>
      </c>
      <c r="V492" s="17">
        <f>IF($U492="",IF(AND(COUNTA($A492:$L492)&gt;0,$N492=""),"Awaiting Collection Email time stamp.",""),IF(OR($U492="PAID",$U492="CLOSED"),IF($U492="PAID","Account paid. Action completed.","Account closed. No further action required."),CHOOSE($Z492,"Collection Email","1st Email Follow-up","2nd Email Follow-up","Escalation to Local Office","Escalation to CBE","Escalation to Roxanne")&amp;" sent "&amp;TEXT($AA492,"dd-mmm")&amp;". "&amp;IF($Z492=6,"Final escalation completed.",IF($U492="OVERDUE","Next: "&amp;$AC492&amp;" was due "&amp;TEXT($AB492,"dd-mmm")&amp;" - "&amp;(NETWORKDAYS($AB492,TODAY(),Holidays)-1)&amp;" business day(s) late. Send now.",IF($U492="DUE TOMORROW","Next: "&amp;$AC492&amp;IF($AB492&lt;=TODAY()," is due TODAY ("," is due next business day (")&amp;TEXT($AB492,"dd-mmm")&amp;").","Next: "&amp;$AC492&amp;" due "&amp;TEXT($AB492,"dd-mmm")&amp;" ("&amp;(NETWORKDAYS(TODAY(),$AB492,Holidays)-1)&amp;" business day(s) left).")))))</f>
        <v/>
      </c>
      <c r="W492" s="17">
        <f>IF($Z492="","",CHOOSE($Z492,"Collection Email","1st Follow-up","2nd Follow-up","Local Office","CBE","Roxanne")&amp;IF($Z492=6," - Final"," - Day "&amp;MAX(0,NETWORKDAYS($AA492,TODAY(),Holidays)-1)&amp;" of "&amp;CHOOSE($Z492,3,3,2,2,3))&amp;" | Total Day "&amp;MAX(0,NETWORKDAYS($N492,TODAY(),Holidays)-1))</f>
        <v/>
      </c>
      <c r="X492" s="18"/>
      <c r="Y492" s="18"/>
      <c r="Z492" s="17">
        <f>IF($N492="","",COUNT($N492:$S492))</f>
        <v/>
      </c>
      <c r="AA492" s="19">
        <f>IF($Z492="","",INT(INDEX($N492:$S492,$Z492)))</f>
        <v/>
      </c>
      <c r="AB492" s="19">
        <f>IF(OR($Z492="",$Z492=6),"",WORKDAY($AA492,CHOOSE($Z492,3,3,2,2,3),Holidays))</f>
        <v/>
      </c>
      <c r="AC492" s="17">
        <f>IF(OR($Z492="",$Z492=6),"",CHOOSE($Z492,"1st Email Follow-up","2nd Email Follow-up","Escalate Local Office","Escalate to CBE","Escalate to Roxanne"))</f>
        <v/>
      </c>
    </row>
    <row r="493" spans="13:29">
      <c r="M493" s="14"/>
      <c r="T493" s="16"/>
      <c r="U493" s="17">
        <f>IF(AND(COUNTA($A493:$L493)=0,$N493=""),"",IF($T493="Paid","PAID",IF($T493="Closed","CLOSED",IF($Z493="","",IF($Z493=6,"ESCALATED TO ROXANNE",IF(TODAY()&gt;$AB493,"OVERDUE",IF($AB493&lt;=WORKDAY(TODAY(),1,Holidays),"DUE TOMORROW",IF($Z493=4,"ESCALATED TO LOCAL OFFICE",IF($Z493=5,"ESCALATED TO CBE",IF($AA493=TODAY(),"EMAIL SENT","MONITORING"))))))))))</f>
        <v/>
      </c>
      <c r="V493" s="17">
        <f>IF($U493="",IF(AND(COUNTA($A493:$L493)&gt;0,$N493=""),"Awaiting Collection Email time stamp.",""),IF(OR($U493="PAID",$U493="CLOSED"),IF($U493="PAID","Account paid. Action completed.","Account closed. No further action required."),CHOOSE($Z493,"Collection Email","1st Email Follow-up","2nd Email Follow-up","Escalation to Local Office","Escalation to CBE","Escalation to Roxanne")&amp;" sent "&amp;TEXT($AA493,"dd-mmm")&amp;". "&amp;IF($Z493=6,"Final escalation completed.",IF($U493="OVERDUE","Next: "&amp;$AC493&amp;" was due "&amp;TEXT($AB493,"dd-mmm")&amp;" - "&amp;(NETWORKDAYS($AB493,TODAY(),Holidays)-1)&amp;" business day(s) late. Send now.",IF($U493="DUE TOMORROW","Next: "&amp;$AC493&amp;IF($AB493&lt;=TODAY()," is due TODAY ("," is due next business day (")&amp;TEXT($AB493,"dd-mmm")&amp;").","Next: "&amp;$AC493&amp;" due "&amp;TEXT($AB493,"dd-mmm")&amp;" ("&amp;(NETWORKDAYS(TODAY(),$AB493,Holidays)-1)&amp;" business day(s) left).")))))</f>
        <v/>
      </c>
      <c r="W493" s="17">
        <f>IF($Z493="","",CHOOSE($Z493,"Collection Email","1st Follow-up","2nd Follow-up","Local Office","CBE","Roxanne")&amp;IF($Z493=6," - Final"," - Day "&amp;MAX(0,NETWORKDAYS($AA493,TODAY(),Holidays)-1)&amp;" of "&amp;CHOOSE($Z493,3,3,2,2,3))&amp;" | Total Day "&amp;MAX(0,NETWORKDAYS($N493,TODAY(),Holidays)-1))</f>
        <v/>
      </c>
      <c r="X493" s="18"/>
      <c r="Y493" s="18"/>
      <c r="Z493" s="17">
        <f>IF($N493="","",COUNT($N493:$S493))</f>
        <v/>
      </c>
      <c r="AA493" s="19">
        <f>IF($Z493="","",INT(INDEX($N493:$S493,$Z493)))</f>
        <v/>
      </c>
      <c r="AB493" s="19">
        <f>IF(OR($Z493="",$Z493=6),"",WORKDAY($AA493,CHOOSE($Z493,3,3,2,2,3),Holidays))</f>
        <v/>
      </c>
      <c r="AC493" s="17">
        <f>IF(OR($Z493="",$Z493=6),"",CHOOSE($Z493,"1st Email Follow-up","2nd Email Follow-up","Escalate Local Office","Escalate to CBE","Escalate to Roxanne"))</f>
        <v/>
      </c>
    </row>
    <row r="494" spans="13:29">
      <c r="M494" s="14"/>
      <c r="T494" s="16"/>
      <c r="U494" s="17">
        <f>IF(AND(COUNTA($A494:$L494)=0,$N494=""),"",IF($T494="Paid","PAID",IF($T494="Closed","CLOSED",IF($Z494="","",IF($Z494=6,"ESCALATED TO ROXANNE",IF(TODAY()&gt;$AB494,"OVERDUE",IF($AB494&lt;=WORKDAY(TODAY(),1,Holidays),"DUE TOMORROW",IF($Z494=4,"ESCALATED TO LOCAL OFFICE",IF($Z494=5,"ESCALATED TO CBE",IF($AA494=TODAY(),"EMAIL SENT","MONITORING"))))))))))</f>
        <v/>
      </c>
      <c r="V494" s="17">
        <f>IF($U494="",IF(AND(COUNTA($A494:$L494)&gt;0,$N494=""),"Awaiting Collection Email time stamp.",""),IF(OR($U494="PAID",$U494="CLOSED"),IF($U494="PAID","Account paid. Action completed.","Account closed. No further action required."),CHOOSE($Z494,"Collection Email","1st Email Follow-up","2nd Email Follow-up","Escalation to Local Office","Escalation to CBE","Escalation to Roxanne")&amp;" sent "&amp;TEXT($AA494,"dd-mmm")&amp;". "&amp;IF($Z494=6,"Final escalation completed.",IF($U494="OVERDUE","Next: "&amp;$AC494&amp;" was due "&amp;TEXT($AB494,"dd-mmm")&amp;" - "&amp;(NETWORKDAYS($AB494,TODAY(),Holidays)-1)&amp;" business day(s) late. Send now.",IF($U494="DUE TOMORROW","Next: "&amp;$AC494&amp;IF($AB494&lt;=TODAY()," is due TODAY ("," is due next business day (")&amp;TEXT($AB494,"dd-mmm")&amp;").","Next: "&amp;$AC494&amp;" due "&amp;TEXT($AB494,"dd-mmm")&amp;" ("&amp;(NETWORKDAYS(TODAY(),$AB494,Holidays)-1)&amp;" business day(s) left).")))))</f>
        <v/>
      </c>
      <c r="W494" s="17">
        <f>IF($Z494="","",CHOOSE($Z494,"Collection Email","1st Follow-up","2nd Follow-up","Local Office","CBE","Roxanne")&amp;IF($Z494=6," - Final"," - Day "&amp;MAX(0,NETWORKDAYS($AA494,TODAY(),Holidays)-1)&amp;" of "&amp;CHOOSE($Z494,3,3,2,2,3))&amp;" | Total Day "&amp;MAX(0,NETWORKDAYS($N494,TODAY(),Holidays)-1))</f>
        <v/>
      </c>
      <c r="X494" s="18"/>
      <c r="Y494" s="18"/>
      <c r="Z494" s="17">
        <f>IF($N494="","",COUNT($N494:$S494))</f>
        <v/>
      </c>
      <c r="AA494" s="19">
        <f>IF($Z494="","",INT(INDEX($N494:$S494,$Z494)))</f>
        <v/>
      </c>
      <c r="AB494" s="19">
        <f>IF(OR($Z494="",$Z494=6),"",WORKDAY($AA494,CHOOSE($Z494,3,3,2,2,3),Holidays))</f>
        <v/>
      </c>
      <c r="AC494" s="17">
        <f>IF(OR($Z494="",$Z494=6),"",CHOOSE($Z494,"1st Email Follow-up","2nd Email Follow-up","Escalate Local Office","Escalate to CBE","Escalate to Roxanne"))</f>
        <v/>
      </c>
    </row>
    <row r="495" spans="13:29">
      <c r="M495" s="14"/>
      <c r="T495" s="16"/>
      <c r="U495" s="17">
        <f>IF(AND(COUNTA($A495:$L495)=0,$N495=""),"",IF($T495="Paid","PAID",IF($T495="Closed","CLOSED",IF($Z495="","",IF($Z495=6,"ESCALATED TO ROXANNE",IF(TODAY()&gt;$AB495,"OVERDUE",IF($AB495&lt;=WORKDAY(TODAY(),1,Holidays),"DUE TOMORROW",IF($Z495=4,"ESCALATED TO LOCAL OFFICE",IF($Z495=5,"ESCALATED TO CBE",IF($AA495=TODAY(),"EMAIL SENT","MONITORING"))))))))))</f>
        <v/>
      </c>
      <c r="V495" s="17">
        <f>IF($U495="",IF(AND(COUNTA($A495:$L495)&gt;0,$N495=""),"Awaiting Collection Email time stamp.",""),IF(OR($U495="PAID",$U495="CLOSED"),IF($U495="PAID","Account paid. Action completed.","Account closed. No further action required."),CHOOSE($Z495,"Collection Email","1st Email Follow-up","2nd Email Follow-up","Escalation to Local Office","Escalation to CBE","Escalation to Roxanne")&amp;" sent "&amp;TEXT($AA495,"dd-mmm")&amp;". "&amp;IF($Z495=6,"Final escalation completed.",IF($U495="OVERDUE","Next: "&amp;$AC495&amp;" was due "&amp;TEXT($AB495,"dd-mmm")&amp;" - "&amp;(NETWORKDAYS($AB495,TODAY(),Holidays)-1)&amp;" business day(s) late. Send now.",IF($U495="DUE TOMORROW","Next: "&amp;$AC495&amp;IF($AB495&lt;=TODAY()," is due TODAY ("," is due next business day (")&amp;TEXT($AB495,"dd-mmm")&amp;").","Next: "&amp;$AC495&amp;" due "&amp;TEXT($AB495,"dd-mmm")&amp;" ("&amp;(NETWORKDAYS(TODAY(),$AB495,Holidays)-1)&amp;" business day(s) left).")))))</f>
        <v/>
      </c>
      <c r="W495" s="17">
        <f>IF($Z495="","",CHOOSE($Z495,"Collection Email","1st Follow-up","2nd Follow-up","Local Office","CBE","Roxanne")&amp;IF($Z495=6," - Final"," - Day "&amp;MAX(0,NETWORKDAYS($AA495,TODAY(),Holidays)-1)&amp;" of "&amp;CHOOSE($Z495,3,3,2,2,3))&amp;" | Total Day "&amp;MAX(0,NETWORKDAYS($N495,TODAY(),Holidays)-1))</f>
        <v/>
      </c>
      <c r="X495" s="18"/>
      <c r="Y495" s="18"/>
      <c r="Z495" s="17">
        <f>IF($N495="","",COUNT($N495:$S495))</f>
        <v/>
      </c>
      <c r="AA495" s="19">
        <f>IF($Z495="","",INT(INDEX($N495:$S495,$Z495)))</f>
        <v/>
      </c>
      <c r="AB495" s="19">
        <f>IF(OR($Z495="",$Z495=6),"",WORKDAY($AA495,CHOOSE($Z495,3,3,2,2,3),Holidays))</f>
        <v/>
      </c>
      <c r="AC495" s="17">
        <f>IF(OR($Z495="",$Z495=6),"",CHOOSE($Z495,"1st Email Follow-up","2nd Email Follow-up","Escalate Local Office","Escalate to CBE","Escalate to Roxanne"))</f>
        <v/>
      </c>
    </row>
    <row r="496" spans="13:29">
      <c r="M496" s="14"/>
      <c r="T496" s="16"/>
      <c r="U496" s="17">
        <f>IF(AND(COUNTA($A496:$L496)=0,$N496=""),"",IF($T496="Paid","PAID",IF($T496="Closed","CLOSED",IF($Z496="","",IF($Z496=6,"ESCALATED TO ROXANNE",IF(TODAY()&gt;$AB496,"OVERDUE",IF($AB496&lt;=WORKDAY(TODAY(),1,Holidays),"DUE TOMORROW",IF($Z496=4,"ESCALATED TO LOCAL OFFICE",IF($Z496=5,"ESCALATED TO CBE",IF($AA496=TODAY(),"EMAIL SENT","MONITORING"))))))))))</f>
        <v/>
      </c>
      <c r="V496" s="17">
        <f>IF($U496="",IF(AND(COUNTA($A496:$L496)&gt;0,$N496=""),"Awaiting Collection Email time stamp.",""),IF(OR($U496="PAID",$U496="CLOSED"),IF($U496="PAID","Account paid. Action completed.","Account closed. No further action required."),CHOOSE($Z496,"Collection Email","1st Email Follow-up","2nd Email Follow-up","Escalation to Local Office","Escalation to CBE","Escalation to Roxanne")&amp;" sent "&amp;TEXT($AA496,"dd-mmm")&amp;". "&amp;IF($Z496=6,"Final escalation completed.",IF($U496="OVERDUE","Next: "&amp;$AC496&amp;" was due "&amp;TEXT($AB496,"dd-mmm")&amp;" - "&amp;(NETWORKDAYS($AB496,TODAY(),Holidays)-1)&amp;" business day(s) late. Send now.",IF($U496="DUE TOMORROW","Next: "&amp;$AC496&amp;IF($AB496&lt;=TODAY()," is due TODAY ("," is due next business day (")&amp;TEXT($AB496,"dd-mmm")&amp;").","Next: "&amp;$AC496&amp;" due "&amp;TEXT($AB496,"dd-mmm")&amp;" ("&amp;(NETWORKDAYS(TODAY(),$AB496,Holidays)-1)&amp;" business day(s) left).")))))</f>
        <v/>
      </c>
      <c r="W496" s="17">
        <f>IF($Z496="","",CHOOSE($Z496,"Collection Email","1st Follow-up","2nd Follow-up","Local Office","CBE","Roxanne")&amp;IF($Z496=6," - Final"," - Day "&amp;MAX(0,NETWORKDAYS($AA496,TODAY(),Holidays)-1)&amp;" of "&amp;CHOOSE($Z496,3,3,2,2,3))&amp;" | Total Day "&amp;MAX(0,NETWORKDAYS($N496,TODAY(),Holidays)-1))</f>
        <v/>
      </c>
      <c r="X496" s="18"/>
      <c r="Y496" s="18"/>
      <c r="Z496" s="17">
        <f>IF($N496="","",COUNT($N496:$S496))</f>
        <v/>
      </c>
      <c r="AA496" s="19">
        <f>IF($Z496="","",INT(INDEX($N496:$S496,$Z496)))</f>
        <v/>
      </c>
      <c r="AB496" s="19">
        <f>IF(OR($Z496="",$Z496=6),"",WORKDAY($AA496,CHOOSE($Z496,3,3,2,2,3),Holidays))</f>
        <v/>
      </c>
      <c r="AC496" s="17">
        <f>IF(OR($Z496="",$Z496=6),"",CHOOSE($Z496,"1st Email Follow-up","2nd Email Follow-up","Escalate Local Office","Escalate to CBE","Escalate to Roxanne"))</f>
        <v/>
      </c>
    </row>
    <row r="497" spans="13:29">
      <c r="M497" s="14"/>
      <c r="T497" s="16"/>
      <c r="U497" s="17">
        <f>IF(AND(COUNTA($A497:$L497)=0,$N497=""),"",IF($T497="Paid","PAID",IF($T497="Closed","CLOSED",IF($Z497="","",IF($Z497=6,"ESCALATED TO ROXANNE",IF(TODAY()&gt;$AB497,"OVERDUE",IF($AB497&lt;=WORKDAY(TODAY(),1,Holidays),"DUE TOMORROW",IF($Z497=4,"ESCALATED TO LOCAL OFFICE",IF($Z497=5,"ESCALATED TO CBE",IF($AA497=TODAY(),"EMAIL SENT","MONITORING"))))))))))</f>
        <v/>
      </c>
      <c r="V497" s="17">
        <f>IF($U497="",IF(AND(COUNTA($A497:$L497)&gt;0,$N497=""),"Awaiting Collection Email time stamp.",""),IF(OR($U497="PAID",$U497="CLOSED"),IF($U497="PAID","Account paid. Action completed.","Account closed. No further action required."),CHOOSE($Z497,"Collection Email","1st Email Follow-up","2nd Email Follow-up","Escalation to Local Office","Escalation to CBE","Escalation to Roxanne")&amp;" sent "&amp;TEXT($AA497,"dd-mmm")&amp;". "&amp;IF($Z497=6,"Final escalation completed.",IF($U497="OVERDUE","Next: "&amp;$AC497&amp;" was due "&amp;TEXT($AB497,"dd-mmm")&amp;" - "&amp;(NETWORKDAYS($AB497,TODAY(),Holidays)-1)&amp;" business day(s) late. Send now.",IF($U497="DUE TOMORROW","Next: "&amp;$AC497&amp;IF($AB497&lt;=TODAY()," is due TODAY ("," is due next business day (")&amp;TEXT($AB497,"dd-mmm")&amp;").","Next: "&amp;$AC497&amp;" due "&amp;TEXT($AB497,"dd-mmm")&amp;" ("&amp;(NETWORKDAYS(TODAY(),$AB497,Holidays)-1)&amp;" business day(s) left).")))))</f>
        <v/>
      </c>
      <c r="W497" s="17">
        <f>IF($Z497="","",CHOOSE($Z497,"Collection Email","1st Follow-up","2nd Follow-up","Local Office","CBE","Roxanne")&amp;IF($Z497=6," - Final"," - Day "&amp;MAX(0,NETWORKDAYS($AA497,TODAY(),Holidays)-1)&amp;" of "&amp;CHOOSE($Z497,3,3,2,2,3))&amp;" | Total Day "&amp;MAX(0,NETWORKDAYS($N497,TODAY(),Holidays)-1))</f>
        <v/>
      </c>
      <c r="X497" s="18"/>
      <c r="Y497" s="18"/>
      <c r="Z497" s="17">
        <f>IF($N497="","",COUNT($N497:$S497))</f>
        <v/>
      </c>
      <c r="AA497" s="19">
        <f>IF($Z497="","",INT(INDEX($N497:$S497,$Z497)))</f>
        <v/>
      </c>
      <c r="AB497" s="19">
        <f>IF(OR($Z497="",$Z497=6),"",WORKDAY($AA497,CHOOSE($Z497,3,3,2,2,3),Holidays))</f>
        <v/>
      </c>
      <c r="AC497" s="17">
        <f>IF(OR($Z497="",$Z497=6),"",CHOOSE($Z497,"1st Email Follow-up","2nd Email Follow-up","Escalate Local Office","Escalate to CBE","Escalate to Roxanne"))</f>
        <v/>
      </c>
    </row>
    <row r="498" spans="13:29">
      <c r="M498" s="14"/>
      <c r="T498" s="16"/>
      <c r="U498" s="17">
        <f>IF(AND(COUNTA($A498:$L498)=0,$N498=""),"",IF($T498="Paid","PAID",IF($T498="Closed","CLOSED",IF($Z498="","",IF($Z498=6,"ESCALATED TO ROXANNE",IF(TODAY()&gt;$AB498,"OVERDUE",IF($AB498&lt;=WORKDAY(TODAY(),1,Holidays),"DUE TOMORROW",IF($Z498=4,"ESCALATED TO LOCAL OFFICE",IF($Z498=5,"ESCALATED TO CBE",IF($AA498=TODAY(),"EMAIL SENT","MONITORING"))))))))))</f>
        <v/>
      </c>
      <c r="V498" s="17">
        <f>IF($U498="",IF(AND(COUNTA($A498:$L498)&gt;0,$N498=""),"Awaiting Collection Email time stamp.",""),IF(OR($U498="PAID",$U498="CLOSED"),IF($U498="PAID","Account paid. Action completed.","Account closed. No further action required."),CHOOSE($Z498,"Collection Email","1st Email Follow-up","2nd Email Follow-up","Escalation to Local Office","Escalation to CBE","Escalation to Roxanne")&amp;" sent "&amp;TEXT($AA498,"dd-mmm")&amp;". "&amp;IF($Z498=6,"Final escalation completed.",IF($U498="OVERDUE","Next: "&amp;$AC498&amp;" was due "&amp;TEXT($AB498,"dd-mmm")&amp;" - "&amp;(NETWORKDAYS($AB498,TODAY(),Holidays)-1)&amp;" business day(s) late. Send now.",IF($U498="DUE TOMORROW","Next: "&amp;$AC498&amp;IF($AB498&lt;=TODAY()," is due TODAY ("," is due next business day (")&amp;TEXT($AB498,"dd-mmm")&amp;").","Next: "&amp;$AC498&amp;" due "&amp;TEXT($AB498,"dd-mmm")&amp;" ("&amp;(NETWORKDAYS(TODAY(),$AB498,Holidays)-1)&amp;" business day(s) left).")))))</f>
        <v/>
      </c>
      <c r="W498" s="17">
        <f>IF($Z498="","",CHOOSE($Z498,"Collection Email","1st Follow-up","2nd Follow-up","Local Office","CBE","Roxanne")&amp;IF($Z498=6," - Final"," - Day "&amp;MAX(0,NETWORKDAYS($AA498,TODAY(),Holidays)-1)&amp;" of "&amp;CHOOSE($Z498,3,3,2,2,3))&amp;" | Total Day "&amp;MAX(0,NETWORKDAYS($N498,TODAY(),Holidays)-1))</f>
        <v/>
      </c>
      <c r="X498" s="18"/>
      <c r="Y498" s="18"/>
      <c r="Z498" s="17">
        <f>IF($N498="","",COUNT($N498:$S498))</f>
        <v/>
      </c>
      <c r="AA498" s="19">
        <f>IF($Z498="","",INT(INDEX($N498:$S498,$Z498)))</f>
        <v/>
      </c>
      <c r="AB498" s="19">
        <f>IF(OR($Z498="",$Z498=6),"",WORKDAY($AA498,CHOOSE($Z498,3,3,2,2,3),Holidays))</f>
        <v/>
      </c>
      <c r="AC498" s="17">
        <f>IF(OR($Z498="",$Z498=6),"",CHOOSE($Z498,"1st Email Follow-up","2nd Email Follow-up","Escalate Local Office","Escalate to CBE","Escalate to Roxanne"))</f>
        <v/>
      </c>
    </row>
    <row r="499" spans="13:29">
      <c r="M499" s="14"/>
      <c r="T499" s="16"/>
      <c r="U499" s="17">
        <f>IF(AND(COUNTA($A499:$L499)=0,$N499=""),"",IF($T499="Paid","PAID",IF($T499="Closed","CLOSED",IF($Z499="","",IF($Z499=6,"ESCALATED TO ROXANNE",IF(TODAY()&gt;$AB499,"OVERDUE",IF($AB499&lt;=WORKDAY(TODAY(),1,Holidays),"DUE TOMORROW",IF($Z499=4,"ESCALATED TO LOCAL OFFICE",IF($Z499=5,"ESCALATED TO CBE",IF($AA499=TODAY(),"EMAIL SENT","MONITORING"))))))))))</f>
        <v/>
      </c>
      <c r="V499" s="17">
        <f>IF($U499="",IF(AND(COUNTA($A499:$L499)&gt;0,$N499=""),"Awaiting Collection Email time stamp.",""),IF(OR($U499="PAID",$U499="CLOSED"),IF($U499="PAID","Account paid. Action completed.","Account closed. No further action required."),CHOOSE($Z499,"Collection Email","1st Email Follow-up","2nd Email Follow-up","Escalation to Local Office","Escalation to CBE","Escalation to Roxanne")&amp;" sent "&amp;TEXT($AA499,"dd-mmm")&amp;". "&amp;IF($Z499=6,"Final escalation completed.",IF($U499="OVERDUE","Next: "&amp;$AC499&amp;" was due "&amp;TEXT($AB499,"dd-mmm")&amp;" - "&amp;(NETWORKDAYS($AB499,TODAY(),Holidays)-1)&amp;" business day(s) late. Send now.",IF($U499="DUE TOMORROW","Next: "&amp;$AC499&amp;IF($AB499&lt;=TODAY()," is due TODAY ("," is due next business day (")&amp;TEXT($AB499,"dd-mmm")&amp;").","Next: "&amp;$AC499&amp;" due "&amp;TEXT($AB499,"dd-mmm")&amp;" ("&amp;(NETWORKDAYS(TODAY(),$AB499,Holidays)-1)&amp;" business day(s) left).")))))</f>
        <v/>
      </c>
      <c r="W499" s="17">
        <f>IF($Z499="","",CHOOSE($Z499,"Collection Email","1st Follow-up","2nd Follow-up","Local Office","CBE","Roxanne")&amp;IF($Z499=6," - Final"," - Day "&amp;MAX(0,NETWORKDAYS($AA499,TODAY(),Holidays)-1)&amp;" of "&amp;CHOOSE($Z499,3,3,2,2,3))&amp;" | Total Day "&amp;MAX(0,NETWORKDAYS($N499,TODAY(),Holidays)-1))</f>
        <v/>
      </c>
      <c r="X499" s="18"/>
      <c r="Y499" s="18"/>
      <c r="Z499" s="17">
        <f>IF($N499="","",COUNT($N499:$S499))</f>
        <v/>
      </c>
      <c r="AA499" s="19">
        <f>IF($Z499="","",INT(INDEX($N499:$S499,$Z499)))</f>
        <v/>
      </c>
      <c r="AB499" s="19">
        <f>IF(OR($Z499="",$Z499=6),"",WORKDAY($AA499,CHOOSE($Z499,3,3,2,2,3),Holidays))</f>
        <v/>
      </c>
      <c r="AC499" s="17">
        <f>IF(OR($Z499="",$Z499=6),"",CHOOSE($Z499,"1st Email Follow-up","2nd Email Follow-up","Escalate Local Office","Escalate to CBE","Escalate to Roxanne"))</f>
        <v/>
      </c>
    </row>
    <row r="500" spans="13:29">
      <c r="M500" s="14"/>
      <c r="T500" s="16"/>
      <c r="U500" s="17">
        <f>IF(AND(COUNTA($A500:$L500)=0,$N500=""),"",IF($T500="Paid","PAID",IF($T500="Closed","CLOSED",IF($Z500="","",IF($Z500=6,"ESCALATED TO ROXANNE",IF(TODAY()&gt;$AB500,"OVERDUE",IF($AB500&lt;=WORKDAY(TODAY(),1,Holidays),"DUE TOMORROW",IF($Z500=4,"ESCALATED TO LOCAL OFFICE",IF($Z500=5,"ESCALATED TO CBE",IF($AA500=TODAY(),"EMAIL SENT","MONITORING"))))))))))</f>
        <v/>
      </c>
      <c r="V500" s="17">
        <f>IF($U500="",IF(AND(COUNTA($A500:$L500)&gt;0,$N500=""),"Awaiting Collection Email time stamp.",""),IF(OR($U500="PAID",$U500="CLOSED"),IF($U500="PAID","Account paid. Action completed.","Account closed. No further action required."),CHOOSE($Z500,"Collection Email","1st Email Follow-up","2nd Email Follow-up","Escalation to Local Office","Escalation to CBE","Escalation to Roxanne")&amp;" sent "&amp;TEXT($AA500,"dd-mmm")&amp;". "&amp;IF($Z500=6,"Final escalation completed.",IF($U500="OVERDUE","Next: "&amp;$AC500&amp;" was due "&amp;TEXT($AB500,"dd-mmm")&amp;" - "&amp;(NETWORKDAYS($AB500,TODAY(),Holidays)-1)&amp;" business day(s) late. Send now.",IF($U500="DUE TOMORROW","Next: "&amp;$AC500&amp;IF($AB500&lt;=TODAY()," is due TODAY ("," is due next business day (")&amp;TEXT($AB500,"dd-mmm")&amp;").","Next: "&amp;$AC500&amp;" due "&amp;TEXT($AB500,"dd-mmm")&amp;" ("&amp;(NETWORKDAYS(TODAY(),$AB500,Holidays)-1)&amp;" business day(s) left).")))))</f>
        <v/>
      </c>
      <c r="W500" s="17">
        <f>IF($Z500="","",CHOOSE($Z500,"Collection Email","1st Follow-up","2nd Follow-up","Local Office","CBE","Roxanne")&amp;IF($Z500=6," - Final"," - Day "&amp;MAX(0,NETWORKDAYS($AA500,TODAY(),Holidays)-1)&amp;" of "&amp;CHOOSE($Z500,3,3,2,2,3))&amp;" | Total Day "&amp;MAX(0,NETWORKDAYS($N500,TODAY(),Holidays)-1))</f>
        <v/>
      </c>
      <c r="X500" s="18"/>
      <c r="Y500" s="18"/>
      <c r="Z500" s="17">
        <f>IF($N500="","",COUNT($N500:$S500))</f>
        <v/>
      </c>
      <c r="AA500" s="19">
        <f>IF($Z500="","",INT(INDEX($N500:$S500,$Z500)))</f>
        <v/>
      </c>
      <c r="AB500" s="19">
        <f>IF(OR($Z500="",$Z500=6),"",WORKDAY($AA500,CHOOSE($Z500,3,3,2,2,3),Holidays))</f>
        <v/>
      </c>
      <c r="AC500" s="17">
        <f>IF(OR($Z500="",$Z500=6),"",CHOOSE($Z500,"1st Email Follow-up","2nd Email Follow-up","Escalate Local Office","Escalate to CBE","Escalate to Roxanne"))</f>
        <v/>
      </c>
    </row>
    <row r="501" spans="13:29">
      <c r="M501" s="14"/>
      <c r="T501" s="16"/>
      <c r="U501" s="17">
        <f>IF(AND(COUNTA($A501:$L501)=0,$N501=""),"",IF($T501="Paid","PAID",IF($T501="Closed","CLOSED",IF($Z501="","",IF($Z501=6,"ESCALATED TO ROXANNE",IF(TODAY()&gt;$AB501,"OVERDUE",IF($AB501&lt;=WORKDAY(TODAY(),1,Holidays),"DUE TOMORROW",IF($Z501=4,"ESCALATED TO LOCAL OFFICE",IF($Z501=5,"ESCALATED TO CBE",IF($AA501=TODAY(),"EMAIL SENT","MONITORING"))))))))))</f>
        <v/>
      </c>
      <c r="V501" s="17">
        <f>IF($U501="",IF(AND(COUNTA($A501:$L501)&gt;0,$N501=""),"Awaiting Collection Email time stamp.",""),IF(OR($U501="PAID",$U501="CLOSED"),IF($U501="PAID","Account paid. Action completed.","Account closed. No further action required."),CHOOSE($Z501,"Collection Email","1st Email Follow-up","2nd Email Follow-up","Escalation to Local Office","Escalation to CBE","Escalation to Roxanne")&amp;" sent "&amp;TEXT($AA501,"dd-mmm")&amp;". "&amp;IF($Z501=6,"Final escalation completed.",IF($U501="OVERDUE","Next: "&amp;$AC501&amp;" was due "&amp;TEXT($AB501,"dd-mmm")&amp;" - "&amp;(NETWORKDAYS($AB501,TODAY(),Holidays)-1)&amp;" business day(s) late. Send now.",IF($U501="DUE TOMORROW","Next: "&amp;$AC501&amp;IF($AB501&lt;=TODAY()," is due TODAY ("," is due next business day (")&amp;TEXT($AB501,"dd-mmm")&amp;").","Next: "&amp;$AC501&amp;" due "&amp;TEXT($AB501,"dd-mmm")&amp;" ("&amp;(NETWORKDAYS(TODAY(),$AB501,Holidays)-1)&amp;" business day(s) left).")))))</f>
        <v/>
      </c>
      <c r="W501" s="17">
        <f>IF($Z501="","",CHOOSE($Z501,"Collection Email","1st Follow-up","2nd Follow-up","Local Office","CBE","Roxanne")&amp;IF($Z501=6," - Final"," - Day "&amp;MAX(0,NETWORKDAYS($AA501,TODAY(),Holidays)-1)&amp;" of "&amp;CHOOSE($Z501,3,3,2,2,3))&amp;" | Total Day "&amp;MAX(0,NETWORKDAYS($N501,TODAY(),Holidays)-1))</f>
        <v/>
      </c>
      <c r="X501" s="18"/>
      <c r="Y501" s="18"/>
      <c r="Z501" s="17">
        <f>IF($N501="","",COUNT($N501:$S501))</f>
        <v/>
      </c>
      <c r="AA501" s="19">
        <f>IF($Z501="","",INT(INDEX($N501:$S501,$Z501)))</f>
        <v/>
      </c>
      <c r="AB501" s="19">
        <f>IF(OR($Z501="",$Z501=6),"",WORKDAY($AA501,CHOOSE($Z501,3,3,2,2,3),Holidays))</f>
        <v/>
      </c>
      <c r="AC501" s="17">
        <f>IF(OR($Z501="",$Z501=6),"",CHOOSE($Z501,"1st Email Follow-up","2nd Email Follow-up","Escalate Local Office","Escalate to CBE","Escalate to Roxanne"))</f>
        <v/>
      </c>
    </row>
    <row r="502" spans="13:29">
      <c r="M502" s="14"/>
      <c r="T502" s="16"/>
      <c r="U502" s="17">
        <f>IF(AND(COUNTA($A502:$L502)=0,$N502=""),"",IF($T502="Paid","PAID",IF($T502="Closed","CLOSED",IF($Z502="","",IF($Z502=6,"ESCALATED TO ROXANNE",IF(TODAY()&gt;$AB502,"OVERDUE",IF($AB502&lt;=WORKDAY(TODAY(),1,Holidays),"DUE TOMORROW",IF($Z502=4,"ESCALATED TO LOCAL OFFICE",IF($Z502=5,"ESCALATED TO CBE",IF($AA502=TODAY(),"EMAIL SENT","MONITORING"))))))))))</f>
        <v/>
      </c>
      <c r="V502" s="17">
        <f>IF($U502="",IF(AND(COUNTA($A502:$L502)&gt;0,$N502=""),"Awaiting Collection Email time stamp.",""),IF(OR($U502="PAID",$U502="CLOSED"),IF($U502="PAID","Account paid. Action completed.","Account closed. No further action required."),CHOOSE($Z502,"Collection Email","1st Email Follow-up","2nd Email Follow-up","Escalation to Local Office","Escalation to CBE","Escalation to Roxanne")&amp;" sent "&amp;TEXT($AA502,"dd-mmm")&amp;". "&amp;IF($Z502=6,"Final escalation completed.",IF($U502="OVERDUE","Next: "&amp;$AC502&amp;" was due "&amp;TEXT($AB502,"dd-mmm")&amp;" - "&amp;(NETWORKDAYS($AB502,TODAY(),Holidays)-1)&amp;" business day(s) late. Send now.",IF($U502="DUE TOMORROW","Next: "&amp;$AC502&amp;IF($AB502&lt;=TODAY()," is due TODAY ("," is due next business day (")&amp;TEXT($AB502,"dd-mmm")&amp;").","Next: "&amp;$AC502&amp;" due "&amp;TEXT($AB502,"dd-mmm")&amp;" ("&amp;(NETWORKDAYS(TODAY(),$AB502,Holidays)-1)&amp;" business day(s) left).")))))</f>
        <v/>
      </c>
      <c r="W502" s="17">
        <f>IF($Z502="","",CHOOSE($Z502,"Collection Email","1st Follow-up","2nd Follow-up","Local Office","CBE","Roxanne")&amp;IF($Z502=6," - Final"," - Day "&amp;MAX(0,NETWORKDAYS($AA502,TODAY(),Holidays)-1)&amp;" of "&amp;CHOOSE($Z502,3,3,2,2,3))&amp;" | Total Day "&amp;MAX(0,NETWORKDAYS($N502,TODAY(),Holidays)-1))</f>
        <v/>
      </c>
      <c r="X502" s="18"/>
      <c r="Y502" s="18"/>
      <c r="Z502" s="17">
        <f>IF($N502="","",COUNT($N502:$S502))</f>
        <v/>
      </c>
      <c r="AA502" s="19">
        <f>IF($Z502="","",INT(INDEX($N502:$S502,$Z502)))</f>
        <v/>
      </c>
      <c r="AB502" s="19">
        <f>IF(OR($Z502="",$Z502=6),"",WORKDAY($AA502,CHOOSE($Z502,3,3,2,2,3),Holidays))</f>
        <v/>
      </c>
      <c r="AC502" s="17">
        <f>IF(OR($Z502="",$Z502=6),"",CHOOSE($Z502,"1st Email Follow-up","2nd Email Follow-up","Escalate Local Office","Escalate to CBE","Escalate to Roxanne"))</f>
        <v/>
      </c>
    </row>
    <row r="503" spans="13:29">
      <c r="M503" s="14"/>
      <c r="T503" s="16"/>
      <c r="U503" s="17">
        <f>IF(AND(COUNTA($A503:$L503)=0,$N503=""),"",IF($T503="Paid","PAID",IF($T503="Closed","CLOSED",IF($Z503="","",IF($Z503=6,"ESCALATED TO ROXANNE",IF(TODAY()&gt;$AB503,"OVERDUE",IF($AB503&lt;=WORKDAY(TODAY(),1,Holidays),"DUE TOMORROW",IF($Z503=4,"ESCALATED TO LOCAL OFFICE",IF($Z503=5,"ESCALATED TO CBE",IF($AA503=TODAY(),"EMAIL SENT","MONITORING"))))))))))</f>
        <v/>
      </c>
      <c r="V503" s="17">
        <f>IF($U503="",IF(AND(COUNTA($A503:$L503)&gt;0,$N503=""),"Awaiting Collection Email time stamp.",""),IF(OR($U503="PAID",$U503="CLOSED"),IF($U503="PAID","Account paid. Action completed.","Account closed. No further action required."),CHOOSE($Z503,"Collection Email","1st Email Follow-up","2nd Email Follow-up","Escalation to Local Office","Escalation to CBE","Escalation to Roxanne")&amp;" sent "&amp;TEXT($AA503,"dd-mmm")&amp;". "&amp;IF($Z503=6,"Final escalation completed.",IF($U503="OVERDUE","Next: "&amp;$AC503&amp;" was due "&amp;TEXT($AB503,"dd-mmm")&amp;" - "&amp;(NETWORKDAYS($AB503,TODAY(),Holidays)-1)&amp;" business day(s) late. Send now.",IF($U503="DUE TOMORROW","Next: "&amp;$AC503&amp;IF($AB503&lt;=TODAY()," is due TODAY ("," is due next business day (")&amp;TEXT($AB503,"dd-mmm")&amp;").","Next: "&amp;$AC503&amp;" due "&amp;TEXT($AB503,"dd-mmm")&amp;" ("&amp;(NETWORKDAYS(TODAY(),$AB503,Holidays)-1)&amp;" business day(s) left).")))))</f>
        <v/>
      </c>
      <c r="W503" s="17">
        <f>IF($Z503="","",CHOOSE($Z503,"Collection Email","1st Follow-up","2nd Follow-up","Local Office","CBE","Roxanne")&amp;IF($Z503=6," - Final"," - Day "&amp;MAX(0,NETWORKDAYS($AA503,TODAY(),Holidays)-1)&amp;" of "&amp;CHOOSE($Z503,3,3,2,2,3))&amp;" | Total Day "&amp;MAX(0,NETWORKDAYS($N503,TODAY(),Holidays)-1))</f>
        <v/>
      </c>
      <c r="X503" s="18"/>
      <c r="Y503" s="18"/>
      <c r="Z503" s="17">
        <f>IF($N503="","",COUNT($N503:$S503))</f>
        <v/>
      </c>
      <c r="AA503" s="19">
        <f>IF($Z503="","",INT(INDEX($N503:$S503,$Z503)))</f>
        <v/>
      </c>
      <c r="AB503" s="19">
        <f>IF(OR($Z503="",$Z503=6),"",WORKDAY($AA503,CHOOSE($Z503,3,3,2,2,3),Holidays))</f>
        <v/>
      </c>
      <c r="AC503" s="17">
        <f>IF(OR($Z503="",$Z503=6),"",CHOOSE($Z503,"1st Email Follow-up","2nd Email Follow-up","Escalate Local Office","Escalate to CBE","Escalate to Roxanne"))</f>
        <v/>
      </c>
    </row>
    <row r="504" spans="13:29">
      <c r="M504" s="14"/>
      <c r="T504" s="16"/>
      <c r="U504" s="17">
        <f>IF(AND(COUNTA($A504:$L504)=0,$N504=""),"",IF($T504="Paid","PAID",IF($T504="Closed","CLOSED",IF($Z504="","",IF($Z504=6,"ESCALATED TO ROXANNE",IF(TODAY()&gt;$AB504,"OVERDUE",IF($AB504&lt;=WORKDAY(TODAY(),1,Holidays),"DUE TOMORROW",IF($Z504=4,"ESCALATED TO LOCAL OFFICE",IF($Z504=5,"ESCALATED TO CBE",IF($AA504=TODAY(),"EMAIL SENT","MONITORING"))))))))))</f>
        <v/>
      </c>
      <c r="V504" s="17">
        <f>IF($U504="",IF(AND(COUNTA($A504:$L504)&gt;0,$N504=""),"Awaiting Collection Email time stamp.",""),IF(OR($U504="PAID",$U504="CLOSED"),IF($U504="PAID","Account paid. Action completed.","Account closed. No further action required."),CHOOSE($Z504,"Collection Email","1st Email Follow-up","2nd Email Follow-up","Escalation to Local Office","Escalation to CBE","Escalation to Roxanne")&amp;" sent "&amp;TEXT($AA504,"dd-mmm")&amp;". "&amp;IF($Z504=6,"Final escalation completed.",IF($U504="OVERDUE","Next: "&amp;$AC504&amp;" was due "&amp;TEXT($AB504,"dd-mmm")&amp;" - "&amp;(NETWORKDAYS($AB504,TODAY(),Holidays)-1)&amp;" business day(s) late. Send now.",IF($U504="DUE TOMORROW","Next: "&amp;$AC504&amp;IF($AB504&lt;=TODAY()," is due TODAY ("," is due next business day (")&amp;TEXT($AB504,"dd-mmm")&amp;").","Next: "&amp;$AC504&amp;" due "&amp;TEXT($AB504,"dd-mmm")&amp;" ("&amp;(NETWORKDAYS(TODAY(),$AB504,Holidays)-1)&amp;" business day(s) left).")))))</f>
        <v/>
      </c>
      <c r="W504" s="17">
        <f>IF($Z504="","",CHOOSE($Z504,"Collection Email","1st Follow-up","2nd Follow-up","Local Office","CBE","Roxanne")&amp;IF($Z504=6," - Final"," - Day "&amp;MAX(0,NETWORKDAYS($AA504,TODAY(),Holidays)-1)&amp;" of "&amp;CHOOSE($Z504,3,3,2,2,3))&amp;" | Total Day "&amp;MAX(0,NETWORKDAYS($N504,TODAY(),Holidays)-1))</f>
        <v/>
      </c>
      <c r="X504" s="18"/>
      <c r="Y504" s="18"/>
      <c r="Z504" s="17">
        <f>IF($N504="","",COUNT($N504:$S504))</f>
        <v/>
      </c>
      <c r="AA504" s="19">
        <f>IF($Z504="","",INT(INDEX($N504:$S504,$Z504)))</f>
        <v/>
      </c>
      <c r="AB504" s="19">
        <f>IF(OR($Z504="",$Z504=6),"",WORKDAY($AA504,CHOOSE($Z504,3,3,2,2,3),Holidays))</f>
        <v/>
      </c>
      <c r="AC504" s="17">
        <f>IF(OR($Z504="",$Z504=6),"",CHOOSE($Z504,"1st Email Follow-up","2nd Email Follow-up","Escalate Local Office","Escalate to CBE","Escalate to Roxanne"))</f>
        <v/>
      </c>
    </row>
    <row r="505" spans="13:29">
      <c r="M505" s="14"/>
      <c r="T505" s="16"/>
      <c r="U505" s="17">
        <f>IF(AND(COUNTA($A505:$L505)=0,$N505=""),"",IF($T505="Paid","PAID",IF($T505="Closed","CLOSED",IF($Z505="","",IF($Z505=6,"ESCALATED TO ROXANNE",IF(TODAY()&gt;$AB505,"OVERDUE",IF($AB505&lt;=WORKDAY(TODAY(),1,Holidays),"DUE TOMORROW",IF($Z505=4,"ESCALATED TO LOCAL OFFICE",IF($Z505=5,"ESCALATED TO CBE",IF($AA505=TODAY(),"EMAIL SENT","MONITORING"))))))))))</f>
        <v/>
      </c>
      <c r="V505" s="17">
        <f>IF($U505="",IF(AND(COUNTA($A505:$L505)&gt;0,$N505=""),"Awaiting Collection Email time stamp.",""),IF(OR($U505="PAID",$U505="CLOSED"),IF($U505="PAID","Account paid. Action completed.","Account closed. No further action required."),CHOOSE($Z505,"Collection Email","1st Email Follow-up","2nd Email Follow-up","Escalation to Local Office","Escalation to CBE","Escalation to Roxanne")&amp;" sent "&amp;TEXT($AA505,"dd-mmm")&amp;". "&amp;IF($Z505=6,"Final escalation completed.",IF($U505="OVERDUE","Next: "&amp;$AC505&amp;" was due "&amp;TEXT($AB505,"dd-mmm")&amp;" - "&amp;(NETWORKDAYS($AB505,TODAY(),Holidays)-1)&amp;" business day(s) late. Send now.",IF($U505="DUE TOMORROW","Next: "&amp;$AC505&amp;IF($AB505&lt;=TODAY()," is due TODAY ("," is due next business day (")&amp;TEXT($AB505,"dd-mmm")&amp;").","Next: "&amp;$AC505&amp;" due "&amp;TEXT($AB505,"dd-mmm")&amp;" ("&amp;(NETWORKDAYS(TODAY(),$AB505,Holidays)-1)&amp;" business day(s) left).")))))</f>
        <v/>
      </c>
      <c r="W505" s="17">
        <f>IF($Z505="","",CHOOSE($Z505,"Collection Email","1st Follow-up","2nd Follow-up","Local Office","CBE","Roxanne")&amp;IF($Z505=6," - Final"," - Day "&amp;MAX(0,NETWORKDAYS($AA505,TODAY(),Holidays)-1)&amp;" of "&amp;CHOOSE($Z505,3,3,2,2,3))&amp;" | Total Day "&amp;MAX(0,NETWORKDAYS($N505,TODAY(),Holidays)-1))</f>
        <v/>
      </c>
      <c r="X505" s="18"/>
      <c r="Y505" s="18"/>
      <c r="Z505" s="17">
        <f>IF($N505="","",COUNT($N505:$S505))</f>
        <v/>
      </c>
      <c r="AA505" s="19">
        <f>IF($Z505="","",INT(INDEX($N505:$S505,$Z505)))</f>
        <v/>
      </c>
      <c r="AB505" s="19">
        <f>IF(OR($Z505="",$Z505=6),"",WORKDAY($AA505,CHOOSE($Z505,3,3,2,2,3),Holidays))</f>
        <v/>
      </c>
      <c r="AC505" s="17">
        <f>IF(OR($Z505="",$Z505=6),"",CHOOSE($Z505,"1st Email Follow-up","2nd Email Follow-up","Escalate Local Office","Escalate to CBE","Escalate to Roxanne"))</f>
        <v/>
      </c>
    </row>
    <row r="506" spans="13:29">
      <c r="M506" s="14"/>
      <c r="T506" s="16"/>
      <c r="U506" s="17">
        <f>IF(AND(COUNTA($A506:$L506)=0,$N506=""),"",IF($T506="Paid","PAID",IF($T506="Closed","CLOSED",IF($Z506="","",IF($Z506=6,"ESCALATED TO ROXANNE",IF(TODAY()&gt;$AB506,"OVERDUE",IF($AB506&lt;=WORKDAY(TODAY(),1,Holidays),"DUE TOMORROW",IF($Z506=4,"ESCALATED TO LOCAL OFFICE",IF($Z506=5,"ESCALATED TO CBE",IF($AA506=TODAY(),"EMAIL SENT","MONITORING"))))))))))</f>
        <v/>
      </c>
      <c r="V506" s="17">
        <f>IF($U506="",IF(AND(COUNTA($A506:$L506)&gt;0,$N506=""),"Awaiting Collection Email time stamp.",""),IF(OR($U506="PAID",$U506="CLOSED"),IF($U506="PAID","Account paid. Action completed.","Account closed. No further action required."),CHOOSE($Z506,"Collection Email","1st Email Follow-up","2nd Email Follow-up","Escalation to Local Office","Escalation to CBE","Escalation to Roxanne")&amp;" sent "&amp;TEXT($AA506,"dd-mmm")&amp;". "&amp;IF($Z506=6,"Final escalation completed.",IF($U506="OVERDUE","Next: "&amp;$AC506&amp;" was due "&amp;TEXT($AB506,"dd-mmm")&amp;" - "&amp;(NETWORKDAYS($AB506,TODAY(),Holidays)-1)&amp;" business day(s) late. Send now.",IF($U506="DUE TOMORROW","Next: "&amp;$AC506&amp;IF($AB506&lt;=TODAY()," is due TODAY ("," is due next business day (")&amp;TEXT($AB506,"dd-mmm")&amp;").","Next: "&amp;$AC506&amp;" due "&amp;TEXT($AB506,"dd-mmm")&amp;" ("&amp;(NETWORKDAYS(TODAY(),$AB506,Holidays)-1)&amp;" business day(s) left).")))))</f>
        <v/>
      </c>
      <c r="W506" s="17">
        <f>IF($Z506="","",CHOOSE($Z506,"Collection Email","1st Follow-up","2nd Follow-up","Local Office","CBE","Roxanne")&amp;IF($Z506=6," - Final"," - Day "&amp;MAX(0,NETWORKDAYS($AA506,TODAY(),Holidays)-1)&amp;" of "&amp;CHOOSE($Z506,3,3,2,2,3))&amp;" | Total Day "&amp;MAX(0,NETWORKDAYS($N506,TODAY(),Holidays)-1))</f>
        <v/>
      </c>
      <c r="X506" s="18"/>
      <c r="Y506" s="18"/>
      <c r="Z506" s="17">
        <f>IF($N506="","",COUNT($N506:$S506))</f>
        <v/>
      </c>
      <c r="AA506" s="19">
        <f>IF($Z506="","",INT(INDEX($N506:$S506,$Z506)))</f>
        <v/>
      </c>
      <c r="AB506" s="19">
        <f>IF(OR($Z506="",$Z506=6),"",WORKDAY($AA506,CHOOSE($Z506,3,3,2,2,3),Holidays))</f>
        <v/>
      </c>
      <c r="AC506" s="17">
        <f>IF(OR($Z506="",$Z506=6),"",CHOOSE($Z506,"1st Email Follow-up","2nd Email Follow-up","Escalate Local Office","Escalate to CBE","Escalate to Roxanne"))</f>
        <v/>
      </c>
    </row>
    <row r="507" spans="13:29">
      <c r="M507" s="14"/>
      <c r="T507" s="16"/>
      <c r="U507" s="17">
        <f>IF(AND(COUNTA($A507:$L507)=0,$N507=""),"",IF($T507="Paid","PAID",IF($T507="Closed","CLOSED",IF($Z507="","",IF($Z507=6,"ESCALATED TO ROXANNE",IF(TODAY()&gt;$AB507,"OVERDUE",IF($AB507&lt;=WORKDAY(TODAY(),1,Holidays),"DUE TOMORROW",IF($Z507=4,"ESCALATED TO LOCAL OFFICE",IF($Z507=5,"ESCALATED TO CBE",IF($AA507=TODAY(),"EMAIL SENT","MONITORING"))))))))))</f>
        <v/>
      </c>
      <c r="V507" s="17">
        <f>IF($U507="",IF(AND(COUNTA($A507:$L507)&gt;0,$N507=""),"Awaiting Collection Email time stamp.",""),IF(OR($U507="PAID",$U507="CLOSED"),IF($U507="PAID","Account paid. Action completed.","Account closed. No further action required."),CHOOSE($Z507,"Collection Email","1st Email Follow-up","2nd Email Follow-up","Escalation to Local Office","Escalation to CBE","Escalation to Roxanne")&amp;" sent "&amp;TEXT($AA507,"dd-mmm")&amp;". "&amp;IF($Z507=6,"Final escalation completed.",IF($U507="OVERDUE","Next: "&amp;$AC507&amp;" was due "&amp;TEXT($AB507,"dd-mmm")&amp;" - "&amp;(NETWORKDAYS($AB507,TODAY(),Holidays)-1)&amp;" business day(s) late. Send now.",IF($U507="DUE TOMORROW","Next: "&amp;$AC507&amp;IF($AB507&lt;=TODAY()," is due TODAY ("," is due next business day (")&amp;TEXT($AB507,"dd-mmm")&amp;").","Next: "&amp;$AC507&amp;" due "&amp;TEXT($AB507,"dd-mmm")&amp;" ("&amp;(NETWORKDAYS(TODAY(),$AB507,Holidays)-1)&amp;" business day(s) left).")))))</f>
        <v/>
      </c>
      <c r="W507" s="17">
        <f>IF($Z507="","",CHOOSE($Z507,"Collection Email","1st Follow-up","2nd Follow-up","Local Office","CBE","Roxanne")&amp;IF($Z507=6," - Final"," - Day "&amp;MAX(0,NETWORKDAYS($AA507,TODAY(),Holidays)-1)&amp;" of "&amp;CHOOSE($Z507,3,3,2,2,3))&amp;" | Total Day "&amp;MAX(0,NETWORKDAYS($N507,TODAY(),Holidays)-1))</f>
        <v/>
      </c>
      <c r="X507" s="18"/>
      <c r="Y507" s="18"/>
      <c r="Z507" s="17">
        <f>IF($N507="","",COUNT($N507:$S507))</f>
        <v/>
      </c>
      <c r="AA507" s="19">
        <f>IF($Z507="","",INT(INDEX($N507:$S507,$Z507)))</f>
        <v/>
      </c>
      <c r="AB507" s="19">
        <f>IF(OR($Z507="",$Z507=6),"",WORKDAY($AA507,CHOOSE($Z507,3,3,2,2,3),Holidays))</f>
        <v/>
      </c>
      <c r="AC507" s="17">
        <f>IF(OR($Z507="",$Z507=6),"",CHOOSE($Z507,"1st Email Follow-up","2nd Email Follow-up","Escalate Local Office","Escalate to CBE","Escalate to Roxanne"))</f>
        <v/>
      </c>
    </row>
    <row r="508" spans="13:29">
      <c r="M508" s="14"/>
      <c r="T508" s="16"/>
      <c r="U508" s="17">
        <f>IF(AND(COUNTA($A508:$L508)=0,$N508=""),"",IF($T508="Paid","PAID",IF($T508="Closed","CLOSED",IF($Z508="","",IF($Z508=6,"ESCALATED TO ROXANNE",IF(TODAY()&gt;$AB508,"OVERDUE",IF($AB508&lt;=WORKDAY(TODAY(),1,Holidays),"DUE TOMORROW",IF($Z508=4,"ESCALATED TO LOCAL OFFICE",IF($Z508=5,"ESCALATED TO CBE",IF($AA508=TODAY(),"EMAIL SENT","MONITORING"))))))))))</f>
        <v/>
      </c>
      <c r="V508" s="17">
        <f>IF($U508="",IF(AND(COUNTA($A508:$L508)&gt;0,$N508=""),"Awaiting Collection Email time stamp.",""),IF(OR($U508="PAID",$U508="CLOSED"),IF($U508="PAID","Account paid. Action completed.","Account closed. No further action required."),CHOOSE($Z508,"Collection Email","1st Email Follow-up","2nd Email Follow-up","Escalation to Local Office","Escalation to CBE","Escalation to Roxanne")&amp;" sent "&amp;TEXT($AA508,"dd-mmm")&amp;". "&amp;IF($Z508=6,"Final escalation completed.",IF($U508="OVERDUE","Next: "&amp;$AC508&amp;" was due "&amp;TEXT($AB508,"dd-mmm")&amp;" - "&amp;(NETWORKDAYS($AB508,TODAY(),Holidays)-1)&amp;" business day(s) late. Send now.",IF($U508="DUE TOMORROW","Next: "&amp;$AC508&amp;IF($AB508&lt;=TODAY()," is due TODAY ("," is due next business day (")&amp;TEXT($AB508,"dd-mmm")&amp;").","Next: "&amp;$AC508&amp;" due "&amp;TEXT($AB508,"dd-mmm")&amp;" ("&amp;(NETWORKDAYS(TODAY(),$AB508,Holidays)-1)&amp;" business day(s) left).")))))</f>
        <v/>
      </c>
      <c r="W508" s="17">
        <f>IF($Z508="","",CHOOSE($Z508,"Collection Email","1st Follow-up","2nd Follow-up","Local Office","CBE","Roxanne")&amp;IF($Z508=6," - Final"," - Day "&amp;MAX(0,NETWORKDAYS($AA508,TODAY(),Holidays)-1)&amp;" of "&amp;CHOOSE($Z508,3,3,2,2,3))&amp;" | Total Day "&amp;MAX(0,NETWORKDAYS($N508,TODAY(),Holidays)-1))</f>
        <v/>
      </c>
      <c r="X508" s="18"/>
      <c r="Y508" s="18"/>
      <c r="Z508" s="17">
        <f>IF($N508="","",COUNT($N508:$S508))</f>
        <v/>
      </c>
      <c r="AA508" s="19">
        <f>IF($Z508="","",INT(INDEX($N508:$S508,$Z508)))</f>
        <v/>
      </c>
      <c r="AB508" s="19">
        <f>IF(OR($Z508="",$Z508=6),"",WORKDAY($AA508,CHOOSE($Z508,3,3,2,2,3),Holidays))</f>
        <v/>
      </c>
      <c r="AC508" s="17">
        <f>IF(OR($Z508="",$Z508=6),"",CHOOSE($Z508,"1st Email Follow-up","2nd Email Follow-up","Escalate Local Office","Escalate to CBE","Escalate to Roxanne"))</f>
        <v/>
      </c>
    </row>
    <row r="509" spans="13:29">
      <c r="M509" s="14"/>
      <c r="T509" s="16"/>
      <c r="U509" s="17">
        <f>IF(AND(COUNTA($A509:$L509)=0,$N509=""),"",IF($T509="Paid","PAID",IF($T509="Closed","CLOSED",IF($Z509="","",IF($Z509=6,"ESCALATED TO ROXANNE",IF(TODAY()&gt;$AB509,"OVERDUE",IF($AB509&lt;=WORKDAY(TODAY(),1,Holidays),"DUE TOMORROW",IF($Z509=4,"ESCALATED TO LOCAL OFFICE",IF($Z509=5,"ESCALATED TO CBE",IF($AA509=TODAY(),"EMAIL SENT","MONITORING"))))))))))</f>
        <v/>
      </c>
      <c r="V509" s="17">
        <f>IF($U509="",IF(AND(COUNTA($A509:$L509)&gt;0,$N509=""),"Awaiting Collection Email time stamp.",""),IF(OR($U509="PAID",$U509="CLOSED"),IF($U509="PAID","Account paid. Action completed.","Account closed. No further action required."),CHOOSE($Z509,"Collection Email","1st Email Follow-up","2nd Email Follow-up","Escalation to Local Office","Escalation to CBE","Escalation to Roxanne")&amp;" sent "&amp;TEXT($AA509,"dd-mmm")&amp;". "&amp;IF($Z509=6,"Final escalation completed.",IF($U509="OVERDUE","Next: "&amp;$AC509&amp;" was due "&amp;TEXT($AB509,"dd-mmm")&amp;" - "&amp;(NETWORKDAYS($AB509,TODAY(),Holidays)-1)&amp;" business day(s) late. Send now.",IF($U509="DUE TOMORROW","Next: "&amp;$AC509&amp;IF($AB509&lt;=TODAY()," is due TODAY ("," is due next business day (")&amp;TEXT($AB509,"dd-mmm")&amp;").","Next: "&amp;$AC509&amp;" due "&amp;TEXT($AB509,"dd-mmm")&amp;" ("&amp;(NETWORKDAYS(TODAY(),$AB509,Holidays)-1)&amp;" business day(s) left).")))))</f>
        <v/>
      </c>
      <c r="W509" s="17">
        <f>IF($Z509="","",CHOOSE($Z509,"Collection Email","1st Follow-up","2nd Follow-up","Local Office","CBE","Roxanne")&amp;IF($Z509=6," - Final"," - Day "&amp;MAX(0,NETWORKDAYS($AA509,TODAY(),Holidays)-1)&amp;" of "&amp;CHOOSE($Z509,3,3,2,2,3))&amp;" | Total Day "&amp;MAX(0,NETWORKDAYS($N509,TODAY(),Holidays)-1))</f>
        <v/>
      </c>
      <c r="X509" s="18"/>
      <c r="Y509" s="18"/>
      <c r="Z509" s="17">
        <f>IF($N509="","",COUNT($N509:$S509))</f>
        <v/>
      </c>
      <c r="AA509" s="19">
        <f>IF($Z509="","",INT(INDEX($N509:$S509,$Z509)))</f>
        <v/>
      </c>
      <c r="AB509" s="19">
        <f>IF(OR($Z509="",$Z509=6),"",WORKDAY($AA509,CHOOSE($Z509,3,3,2,2,3),Holidays))</f>
        <v/>
      </c>
      <c r="AC509" s="17">
        <f>IF(OR($Z509="",$Z509=6),"",CHOOSE($Z509,"1st Email Follow-up","2nd Email Follow-up","Escalate Local Office","Escalate to CBE","Escalate to Roxanne"))</f>
        <v/>
      </c>
    </row>
    <row r="510" spans="13:29">
      <c r="M510" s="14"/>
      <c r="T510" s="16"/>
      <c r="U510" s="17">
        <f>IF(AND(COUNTA($A510:$L510)=0,$N510=""),"",IF($T510="Paid","PAID",IF($T510="Closed","CLOSED",IF($Z510="","",IF($Z510=6,"ESCALATED TO ROXANNE",IF(TODAY()&gt;$AB510,"OVERDUE",IF($AB510&lt;=WORKDAY(TODAY(),1,Holidays),"DUE TOMORROW",IF($Z510=4,"ESCALATED TO LOCAL OFFICE",IF($Z510=5,"ESCALATED TO CBE",IF($AA510=TODAY(),"EMAIL SENT","MONITORING"))))))))))</f>
        <v/>
      </c>
      <c r="V510" s="17">
        <f>IF($U510="",IF(AND(COUNTA($A510:$L510)&gt;0,$N510=""),"Awaiting Collection Email time stamp.",""),IF(OR($U510="PAID",$U510="CLOSED"),IF($U510="PAID","Account paid. Action completed.","Account closed. No further action required."),CHOOSE($Z510,"Collection Email","1st Email Follow-up","2nd Email Follow-up","Escalation to Local Office","Escalation to CBE","Escalation to Roxanne")&amp;" sent "&amp;TEXT($AA510,"dd-mmm")&amp;". "&amp;IF($Z510=6,"Final escalation completed.",IF($U510="OVERDUE","Next: "&amp;$AC510&amp;" was due "&amp;TEXT($AB510,"dd-mmm")&amp;" - "&amp;(NETWORKDAYS($AB510,TODAY(),Holidays)-1)&amp;" business day(s) late. Send now.",IF($U510="DUE TOMORROW","Next: "&amp;$AC510&amp;IF($AB510&lt;=TODAY()," is due TODAY ("," is due next business day (")&amp;TEXT($AB510,"dd-mmm")&amp;").","Next: "&amp;$AC510&amp;" due "&amp;TEXT($AB510,"dd-mmm")&amp;" ("&amp;(NETWORKDAYS(TODAY(),$AB510,Holidays)-1)&amp;" business day(s) left).")))))</f>
        <v/>
      </c>
      <c r="W510" s="17">
        <f>IF($Z510="","",CHOOSE($Z510,"Collection Email","1st Follow-up","2nd Follow-up","Local Office","CBE","Roxanne")&amp;IF($Z510=6," - Final"," - Day "&amp;MAX(0,NETWORKDAYS($AA510,TODAY(),Holidays)-1)&amp;" of "&amp;CHOOSE($Z510,3,3,2,2,3))&amp;" | Total Day "&amp;MAX(0,NETWORKDAYS($N510,TODAY(),Holidays)-1))</f>
        <v/>
      </c>
      <c r="X510" s="18"/>
      <c r="Y510" s="18"/>
      <c r="Z510" s="17">
        <f>IF($N510="","",COUNT($N510:$S510))</f>
        <v/>
      </c>
      <c r="AA510" s="19">
        <f>IF($Z510="","",INT(INDEX($N510:$S510,$Z510)))</f>
        <v/>
      </c>
      <c r="AB510" s="19">
        <f>IF(OR($Z510="",$Z510=6),"",WORKDAY($AA510,CHOOSE($Z510,3,3,2,2,3),Holidays))</f>
        <v/>
      </c>
      <c r="AC510" s="17">
        <f>IF(OR($Z510="",$Z510=6),"",CHOOSE($Z510,"1st Email Follow-up","2nd Email Follow-up","Escalate Local Office","Escalate to CBE","Escalate to Roxanne"))</f>
        <v/>
      </c>
    </row>
    <row r="511" spans="13:29">
      <c r="M511" s="14"/>
      <c r="T511" s="16"/>
      <c r="U511" s="17">
        <f>IF(AND(COUNTA($A511:$L511)=0,$N511=""),"",IF($T511="Paid","PAID",IF($T511="Closed","CLOSED",IF($Z511="","",IF($Z511=6,"ESCALATED TO ROXANNE",IF(TODAY()&gt;$AB511,"OVERDUE",IF($AB511&lt;=WORKDAY(TODAY(),1,Holidays),"DUE TOMORROW",IF($Z511=4,"ESCALATED TO LOCAL OFFICE",IF($Z511=5,"ESCALATED TO CBE",IF($AA511=TODAY(),"EMAIL SENT","MONITORING"))))))))))</f>
        <v/>
      </c>
      <c r="V511" s="17">
        <f>IF($U511="",IF(AND(COUNTA($A511:$L511)&gt;0,$N511=""),"Awaiting Collection Email time stamp.",""),IF(OR($U511="PAID",$U511="CLOSED"),IF($U511="PAID","Account paid. Action completed.","Account closed. No further action required."),CHOOSE($Z511,"Collection Email","1st Email Follow-up","2nd Email Follow-up","Escalation to Local Office","Escalation to CBE","Escalation to Roxanne")&amp;" sent "&amp;TEXT($AA511,"dd-mmm")&amp;". "&amp;IF($Z511=6,"Final escalation completed.",IF($U511="OVERDUE","Next: "&amp;$AC511&amp;" was due "&amp;TEXT($AB511,"dd-mmm")&amp;" - "&amp;(NETWORKDAYS($AB511,TODAY(),Holidays)-1)&amp;" business day(s) late. Send now.",IF($U511="DUE TOMORROW","Next: "&amp;$AC511&amp;IF($AB511&lt;=TODAY()," is due TODAY ("," is due next business day (")&amp;TEXT($AB511,"dd-mmm")&amp;").","Next: "&amp;$AC511&amp;" due "&amp;TEXT($AB511,"dd-mmm")&amp;" ("&amp;(NETWORKDAYS(TODAY(),$AB511,Holidays)-1)&amp;" business day(s) left).")))))</f>
        <v/>
      </c>
      <c r="W511" s="17">
        <f>IF($Z511="","",CHOOSE($Z511,"Collection Email","1st Follow-up","2nd Follow-up","Local Office","CBE","Roxanne")&amp;IF($Z511=6," - Final"," - Day "&amp;MAX(0,NETWORKDAYS($AA511,TODAY(),Holidays)-1)&amp;" of "&amp;CHOOSE($Z511,3,3,2,2,3))&amp;" | Total Day "&amp;MAX(0,NETWORKDAYS($N511,TODAY(),Holidays)-1))</f>
        <v/>
      </c>
      <c r="X511" s="18"/>
      <c r="Y511" s="18"/>
      <c r="Z511" s="17">
        <f>IF($N511="","",COUNT($N511:$S511))</f>
        <v/>
      </c>
      <c r="AA511" s="19">
        <f>IF($Z511="","",INT(INDEX($N511:$S511,$Z511)))</f>
        <v/>
      </c>
      <c r="AB511" s="19">
        <f>IF(OR($Z511="",$Z511=6),"",WORKDAY($AA511,CHOOSE($Z511,3,3,2,2,3),Holidays))</f>
        <v/>
      </c>
      <c r="AC511" s="17">
        <f>IF(OR($Z511="",$Z511=6),"",CHOOSE($Z511,"1st Email Follow-up","2nd Email Follow-up","Escalate Local Office","Escalate to CBE","Escalate to Roxanne"))</f>
        <v/>
      </c>
    </row>
    <row r="512" spans="13:29">
      <c r="M512" s="14"/>
      <c r="T512" s="16"/>
      <c r="U512" s="17">
        <f>IF(AND(COUNTA($A512:$L512)=0,$N512=""),"",IF($T512="Paid","PAID",IF($T512="Closed","CLOSED",IF($Z512="","",IF($Z512=6,"ESCALATED TO ROXANNE",IF(TODAY()&gt;$AB512,"OVERDUE",IF($AB512&lt;=WORKDAY(TODAY(),1,Holidays),"DUE TOMORROW",IF($Z512=4,"ESCALATED TO LOCAL OFFICE",IF($Z512=5,"ESCALATED TO CBE",IF($AA512=TODAY(),"EMAIL SENT","MONITORING"))))))))))</f>
        <v/>
      </c>
      <c r="V512" s="17">
        <f>IF($U512="",IF(AND(COUNTA($A512:$L512)&gt;0,$N512=""),"Awaiting Collection Email time stamp.",""),IF(OR($U512="PAID",$U512="CLOSED"),IF($U512="PAID","Account paid. Action completed.","Account closed. No further action required."),CHOOSE($Z512,"Collection Email","1st Email Follow-up","2nd Email Follow-up","Escalation to Local Office","Escalation to CBE","Escalation to Roxanne")&amp;" sent "&amp;TEXT($AA512,"dd-mmm")&amp;". "&amp;IF($Z512=6,"Final escalation completed.",IF($U512="OVERDUE","Next: "&amp;$AC512&amp;" was due "&amp;TEXT($AB512,"dd-mmm")&amp;" - "&amp;(NETWORKDAYS($AB512,TODAY(),Holidays)-1)&amp;" business day(s) late. Send now.",IF($U512="DUE TOMORROW","Next: "&amp;$AC512&amp;IF($AB512&lt;=TODAY()," is due TODAY ("," is due next business day (")&amp;TEXT($AB512,"dd-mmm")&amp;").","Next: "&amp;$AC512&amp;" due "&amp;TEXT($AB512,"dd-mmm")&amp;" ("&amp;(NETWORKDAYS(TODAY(),$AB512,Holidays)-1)&amp;" business day(s) left).")))))</f>
        <v/>
      </c>
      <c r="W512" s="17">
        <f>IF($Z512="","",CHOOSE($Z512,"Collection Email","1st Follow-up","2nd Follow-up","Local Office","CBE","Roxanne")&amp;IF($Z512=6," - Final"," - Day "&amp;MAX(0,NETWORKDAYS($AA512,TODAY(),Holidays)-1)&amp;" of "&amp;CHOOSE($Z512,3,3,2,2,3))&amp;" | Total Day "&amp;MAX(0,NETWORKDAYS($N512,TODAY(),Holidays)-1))</f>
        <v/>
      </c>
      <c r="X512" s="18"/>
      <c r="Y512" s="18"/>
      <c r="Z512" s="17">
        <f>IF($N512="","",COUNT($N512:$S512))</f>
        <v/>
      </c>
      <c r="AA512" s="19">
        <f>IF($Z512="","",INT(INDEX($N512:$S512,$Z512)))</f>
        <v/>
      </c>
      <c r="AB512" s="19">
        <f>IF(OR($Z512="",$Z512=6),"",WORKDAY($AA512,CHOOSE($Z512,3,3,2,2,3),Holidays))</f>
        <v/>
      </c>
      <c r="AC512" s="17">
        <f>IF(OR($Z512="",$Z512=6),"",CHOOSE($Z512,"1st Email Follow-up","2nd Email Follow-up","Escalate Local Office","Escalate to CBE","Escalate to Roxanne"))</f>
        <v/>
      </c>
    </row>
    <row r="513" spans="13:29">
      <c r="M513" s="14"/>
      <c r="T513" s="16"/>
      <c r="U513" s="17">
        <f>IF(AND(COUNTA($A513:$L513)=0,$N513=""),"",IF($T513="Paid","PAID",IF($T513="Closed","CLOSED",IF($Z513="","",IF($Z513=6,"ESCALATED TO ROXANNE",IF(TODAY()&gt;$AB513,"OVERDUE",IF($AB513&lt;=WORKDAY(TODAY(),1,Holidays),"DUE TOMORROW",IF($Z513=4,"ESCALATED TO LOCAL OFFICE",IF($Z513=5,"ESCALATED TO CBE",IF($AA513=TODAY(),"EMAIL SENT","MONITORING"))))))))))</f>
        <v/>
      </c>
      <c r="V513" s="17">
        <f>IF($U513="",IF(AND(COUNTA($A513:$L513)&gt;0,$N513=""),"Awaiting Collection Email time stamp.",""),IF(OR($U513="PAID",$U513="CLOSED"),IF($U513="PAID","Account paid. Action completed.","Account closed. No further action required."),CHOOSE($Z513,"Collection Email","1st Email Follow-up","2nd Email Follow-up","Escalation to Local Office","Escalation to CBE","Escalation to Roxanne")&amp;" sent "&amp;TEXT($AA513,"dd-mmm")&amp;". "&amp;IF($Z513=6,"Final escalation completed.",IF($U513="OVERDUE","Next: "&amp;$AC513&amp;" was due "&amp;TEXT($AB513,"dd-mmm")&amp;" - "&amp;(NETWORKDAYS($AB513,TODAY(),Holidays)-1)&amp;" business day(s) late. Send now.",IF($U513="DUE TOMORROW","Next: "&amp;$AC513&amp;IF($AB513&lt;=TODAY()," is due TODAY ("," is due next business day (")&amp;TEXT($AB513,"dd-mmm")&amp;").","Next: "&amp;$AC513&amp;" due "&amp;TEXT($AB513,"dd-mmm")&amp;" ("&amp;(NETWORKDAYS(TODAY(),$AB513,Holidays)-1)&amp;" business day(s) left).")))))</f>
        <v/>
      </c>
      <c r="W513" s="17">
        <f>IF($Z513="","",CHOOSE($Z513,"Collection Email","1st Follow-up","2nd Follow-up","Local Office","CBE","Roxanne")&amp;IF($Z513=6," - Final"," - Day "&amp;MAX(0,NETWORKDAYS($AA513,TODAY(),Holidays)-1)&amp;" of "&amp;CHOOSE($Z513,3,3,2,2,3))&amp;" | Total Day "&amp;MAX(0,NETWORKDAYS($N513,TODAY(),Holidays)-1))</f>
        <v/>
      </c>
      <c r="X513" s="18"/>
      <c r="Y513" s="18"/>
      <c r="Z513" s="17">
        <f>IF($N513="","",COUNT($N513:$S513))</f>
        <v/>
      </c>
      <c r="AA513" s="19">
        <f>IF($Z513="","",INT(INDEX($N513:$S513,$Z513)))</f>
        <v/>
      </c>
      <c r="AB513" s="19">
        <f>IF(OR($Z513="",$Z513=6),"",WORKDAY($AA513,CHOOSE($Z513,3,3,2,2,3),Holidays))</f>
        <v/>
      </c>
      <c r="AC513" s="17">
        <f>IF(OR($Z513="",$Z513=6),"",CHOOSE($Z513,"1st Email Follow-up","2nd Email Follow-up","Escalate Local Office","Escalate to CBE","Escalate to Roxanne"))</f>
        <v/>
      </c>
    </row>
    <row r="514" spans="13:29">
      <c r="M514" s="14"/>
      <c r="T514" s="16"/>
      <c r="U514" s="17">
        <f>IF(AND(COUNTA($A514:$L514)=0,$N514=""),"",IF($T514="Paid","PAID",IF($T514="Closed","CLOSED",IF($Z514="","",IF($Z514=6,"ESCALATED TO ROXANNE",IF(TODAY()&gt;$AB514,"OVERDUE",IF($AB514&lt;=WORKDAY(TODAY(),1,Holidays),"DUE TOMORROW",IF($Z514=4,"ESCALATED TO LOCAL OFFICE",IF($Z514=5,"ESCALATED TO CBE",IF($AA514=TODAY(),"EMAIL SENT","MONITORING"))))))))))</f>
        <v/>
      </c>
      <c r="V514" s="17">
        <f>IF($U514="",IF(AND(COUNTA($A514:$L514)&gt;0,$N514=""),"Awaiting Collection Email time stamp.",""),IF(OR($U514="PAID",$U514="CLOSED"),IF($U514="PAID","Account paid. Action completed.","Account closed. No further action required."),CHOOSE($Z514,"Collection Email","1st Email Follow-up","2nd Email Follow-up","Escalation to Local Office","Escalation to CBE","Escalation to Roxanne")&amp;" sent "&amp;TEXT($AA514,"dd-mmm")&amp;". "&amp;IF($Z514=6,"Final escalation completed.",IF($U514="OVERDUE","Next: "&amp;$AC514&amp;" was due "&amp;TEXT($AB514,"dd-mmm")&amp;" - "&amp;(NETWORKDAYS($AB514,TODAY(),Holidays)-1)&amp;" business day(s) late. Send now.",IF($U514="DUE TOMORROW","Next: "&amp;$AC514&amp;IF($AB514&lt;=TODAY()," is due TODAY ("," is due next business day (")&amp;TEXT($AB514,"dd-mmm")&amp;").","Next: "&amp;$AC514&amp;" due "&amp;TEXT($AB514,"dd-mmm")&amp;" ("&amp;(NETWORKDAYS(TODAY(),$AB514,Holidays)-1)&amp;" business day(s) left).")))))</f>
        <v/>
      </c>
      <c r="W514" s="17">
        <f>IF($Z514="","",CHOOSE($Z514,"Collection Email","1st Follow-up","2nd Follow-up","Local Office","CBE","Roxanne")&amp;IF($Z514=6," - Final"," - Day "&amp;MAX(0,NETWORKDAYS($AA514,TODAY(),Holidays)-1)&amp;" of "&amp;CHOOSE($Z514,3,3,2,2,3))&amp;" | Total Day "&amp;MAX(0,NETWORKDAYS($N514,TODAY(),Holidays)-1))</f>
        <v/>
      </c>
      <c r="X514" s="18"/>
      <c r="Y514" s="18"/>
      <c r="Z514" s="17">
        <f>IF($N514="","",COUNT($N514:$S514))</f>
        <v/>
      </c>
      <c r="AA514" s="19">
        <f>IF($Z514="","",INT(INDEX($N514:$S514,$Z514)))</f>
        <v/>
      </c>
      <c r="AB514" s="19">
        <f>IF(OR($Z514="",$Z514=6),"",WORKDAY($AA514,CHOOSE($Z514,3,3,2,2,3),Holidays))</f>
        <v/>
      </c>
      <c r="AC514" s="17">
        <f>IF(OR($Z514="",$Z514=6),"",CHOOSE($Z514,"1st Email Follow-up","2nd Email Follow-up","Escalate Local Office","Escalate to CBE","Escalate to Roxanne"))</f>
        <v/>
      </c>
    </row>
    <row r="515" spans="13:29">
      <c r="M515" s="14"/>
      <c r="T515" s="16"/>
      <c r="U515" s="17">
        <f>IF(AND(COUNTA($A515:$L515)=0,$N515=""),"",IF($T515="Paid","PAID",IF($T515="Closed","CLOSED",IF($Z515="","",IF($Z515=6,"ESCALATED TO ROXANNE",IF(TODAY()&gt;$AB515,"OVERDUE",IF($AB515&lt;=WORKDAY(TODAY(),1,Holidays),"DUE TOMORROW",IF($Z515=4,"ESCALATED TO LOCAL OFFICE",IF($Z515=5,"ESCALATED TO CBE",IF($AA515=TODAY(),"EMAIL SENT","MONITORING"))))))))))</f>
        <v/>
      </c>
      <c r="V515" s="17">
        <f>IF($U515="",IF(AND(COUNTA($A515:$L515)&gt;0,$N515=""),"Awaiting Collection Email time stamp.",""),IF(OR($U515="PAID",$U515="CLOSED"),IF($U515="PAID","Account paid. Action completed.","Account closed. No further action required."),CHOOSE($Z515,"Collection Email","1st Email Follow-up","2nd Email Follow-up","Escalation to Local Office","Escalation to CBE","Escalation to Roxanne")&amp;" sent "&amp;TEXT($AA515,"dd-mmm")&amp;". "&amp;IF($Z515=6,"Final escalation completed.",IF($U515="OVERDUE","Next: "&amp;$AC515&amp;" was due "&amp;TEXT($AB515,"dd-mmm")&amp;" - "&amp;(NETWORKDAYS($AB515,TODAY(),Holidays)-1)&amp;" business day(s) late. Send now.",IF($U515="DUE TOMORROW","Next: "&amp;$AC515&amp;IF($AB515&lt;=TODAY()," is due TODAY ("," is due next business day (")&amp;TEXT($AB515,"dd-mmm")&amp;").","Next: "&amp;$AC515&amp;" due "&amp;TEXT($AB515,"dd-mmm")&amp;" ("&amp;(NETWORKDAYS(TODAY(),$AB515,Holidays)-1)&amp;" business day(s) left).")))))</f>
        <v/>
      </c>
      <c r="W515" s="17">
        <f>IF($Z515="","",CHOOSE($Z515,"Collection Email","1st Follow-up","2nd Follow-up","Local Office","CBE","Roxanne")&amp;IF($Z515=6," - Final"," - Day "&amp;MAX(0,NETWORKDAYS($AA515,TODAY(),Holidays)-1)&amp;" of "&amp;CHOOSE($Z515,3,3,2,2,3))&amp;" | Total Day "&amp;MAX(0,NETWORKDAYS($N515,TODAY(),Holidays)-1))</f>
        <v/>
      </c>
      <c r="X515" s="18"/>
      <c r="Y515" s="18"/>
      <c r="Z515" s="17">
        <f>IF($N515="","",COUNT($N515:$S515))</f>
        <v/>
      </c>
      <c r="AA515" s="19">
        <f>IF($Z515="","",INT(INDEX($N515:$S515,$Z515)))</f>
        <v/>
      </c>
      <c r="AB515" s="19">
        <f>IF(OR($Z515="",$Z515=6),"",WORKDAY($AA515,CHOOSE($Z515,3,3,2,2,3),Holidays))</f>
        <v/>
      </c>
      <c r="AC515" s="17">
        <f>IF(OR($Z515="",$Z515=6),"",CHOOSE($Z515,"1st Email Follow-up","2nd Email Follow-up","Escalate Local Office","Escalate to CBE","Escalate to Roxanne"))</f>
        <v/>
      </c>
    </row>
    <row r="516" spans="13:29">
      <c r="M516" s="14"/>
      <c r="T516" s="16"/>
      <c r="U516" s="17">
        <f>IF(AND(COUNTA($A516:$L516)=0,$N516=""),"",IF($T516="Paid","PAID",IF($T516="Closed","CLOSED",IF($Z516="","",IF($Z516=6,"ESCALATED TO ROXANNE",IF(TODAY()&gt;$AB516,"OVERDUE",IF($AB516&lt;=WORKDAY(TODAY(),1,Holidays),"DUE TOMORROW",IF($Z516=4,"ESCALATED TO LOCAL OFFICE",IF($Z516=5,"ESCALATED TO CBE",IF($AA516=TODAY(),"EMAIL SENT","MONITORING"))))))))))</f>
        <v/>
      </c>
      <c r="V516" s="17">
        <f>IF($U516="",IF(AND(COUNTA($A516:$L516)&gt;0,$N516=""),"Awaiting Collection Email time stamp.",""),IF(OR($U516="PAID",$U516="CLOSED"),IF($U516="PAID","Account paid. Action completed.","Account closed. No further action required."),CHOOSE($Z516,"Collection Email","1st Email Follow-up","2nd Email Follow-up","Escalation to Local Office","Escalation to CBE","Escalation to Roxanne")&amp;" sent "&amp;TEXT($AA516,"dd-mmm")&amp;". "&amp;IF($Z516=6,"Final escalation completed.",IF($U516="OVERDUE","Next: "&amp;$AC516&amp;" was due "&amp;TEXT($AB516,"dd-mmm")&amp;" - "&amp;(NETWORKDAYS($AB516,TODAY(),Holidays)-1)&amp;" business day(s) late. Send now.",IF($U516="DUE TOMORROW","Next: "&amp;$AC516&amp;IF($AB516&lt;=TODAY()," is due TODAY ("," is due next business day (")&amp;TEXT($AB516,"dd-mmm")&amp;").","Next: "&amp;$AC516&amp;" due "&amp;TEXT($AB516,"dd-mmm")&amp;" ("&amp;(NETWORKDAYS(TODAY(),$AB516,Holidays)-1)&amp;" business day(s) left).")))))</f>
        <v/>
      </c>
      <c r="W516" s="17">
        <f>IF($Z516="","",CHOOSE($Z516,"Collection Email","1st Follow-up","2nd Follow-up","Local Office","CBE","Roxanne")&amp;IF($Z516=6," - Final"," - Day "&amp;MAX(0,NETWORKDAYS($AA516,TODAY(),Holidays)-1)&amp;" of "&amp;CHOOSE($Z516,3,3,2,2,3))&amp;" | Total Day "&amp;MAX(0,NETWORKDAYS($N516,TODAY(),Holidays)-1))</f>
        <v/>
      </c>
      <c r="X516" s="18"/>
      <c r="Y516" s="18"/>
      <c r="Z516" s="17">
        <f>IF($N516="","",COUNT($N516:$S516))</f>
        <v/>
      </c>
      <c r="AA516" s="19">
        <f>IF($Z516="","",INT(INDEX($N516:$S516,$Z516)))</f>
        <v/>
      </c>
      <c r="AB516" s="19">
        <f>IF(OR($Z516="",$Z516=6),"",WORKDAY($AA516,CHOOSE($Z516,3,3,2,2,3),Holidays))</f>
        <v/>
      </c>
      <c r="AC516" s="17">
        <f>IF(OR($Z516="",$Z516=6),"",CHOOSE($Z516,"1st Email Follow-up","2nd Email Follow-up","Escalate Local Office","Escalate to CBE","Escalate to Roxanne"))</f>
        <v/>
      </c>
    </row>
    <row r="517" spans="13:29">
      <c r="M517" s="14"/>
      <c r="T517" s="16"/>
      <c r="U517" s="17">
        <f>IF(AND(COUNTA($A517:$L517)=0,$N517=""),"",IF($T517="Paid","PAID",IF($T517="Closed","CLOSED",IF($Z517="","",IF($Z517=6,"ESCALATED TO ROXANNE",IF(TODAY()&gt;$AB517,"OVERDUE",IF($AB517&lt;=WORKDAY(TODAY(),1,Holidays),"DUE TOMORROW",IF($Z517=4,"ESCALATED TO LOCAL OFFICE",IF($Z517=5,"ESCALATED TO CBE",IF($AA517=TODAY(),"EMAIL SENT","MONITORING"))))))))))</f>
        <v/>
      </c>
      <c r="V517" s="17">
        <f>IF($U517="",IF(AND(COUNTA($A517:$L517)&gt;0,$N517=""),"Awaiting Collection Email time stamp.",""),IF(OR($U517="PAID",$U517="CLOSED"),IF($U517="PAID","Account paid. Action completed.","Account closed. No further action required."),CHOOSE($Z517,"Collection Email","1st Email Follow-up","2nd Email Follow-up","Escalation to Local Office","Escalation to CBE","Escalation to Roxanne")&amp;" sent "&amp;TEXT($AA517,"dd-mmm")&amp;". "&amp;IF($Z517=6,"Final escalation completed.",IF($U517="OVERDUE","Next: "&amp;$AC517&amp;" was due "&amp;TEXT($AB517,"dd-mmm")&amp;" - "&amp;(NETWORKDAYS($AB517,TODAY(),Holidays)-1)&amp;" business day(s) late. Send now.",IF($U517="DUE TOMORROW","Next: "&amp;$AC517&amp;IF($AB517&lt;=TODAY()," is due TODAY ("," is due next business day (")&amp;TEXT($AB517,"dd-mmm")&amp;").","Next: "&amp;$AC517&amp;" due "&amp;TEXT($AB517,"dd-mmm")&amp;" ("&amp;(NETWORKDAYS(TODAY(),$AB517,Holidays)-1)&amp;" business day(s) left).")))))</f>
        <v/>
      </c>
      <c r="W517" s="17">
        <f>IF($Z517="","",CHOOSE($Z517,"Collection Email","1st Follow-up","2nd Follow-up","Local Office","CBE","Roxanne")&amp;IF($Z517=6," - Final"," - Day "&amp;MAX(0,NETWORKDAYS($AA517,TODAY(),Holidays)-1)&amp;" of "&amp;CHOOSE($Z517,3,3,2,2,3))&amp;" | Total Day "&amp;MAX(0,NETWORKDAYS($N517,TODAY(),Holidays)-1))</f>
        <v/>
      </c>
      <c r="X517" s="18"/>
      <c r="Y517" s="18"/>
      <c r="Z517" s="17">
        <f>IF($N517="","",COUNT($N517:$S517))</f>
        <v/>
      </c>
      <c r="AA517" s="19">
        <f>IF($Z517="","",INT(INDEX($N517:$S517,$Z517)))</f>
        <v/>
      </c>
      <c r="AB517" s="19">
        <f>IF(OR($Z517="",$Z517=6),"",WORKDAY($AA517,CHOOSE($Z517,3,3,2,2,3),Holidays))</f>
        <v/>
      </c>
      <c r="AC517" s="17">
        <f>IF(OR($Z517="",$Z517=6),"",CHOOSE($Z517,"1st Email Follow-up","2nd Email Follow-up","Escalate Local Office","Escalate to CBE","Escalate to Roxanne"))</f>
        <v/>
      </c>
    </row>
    <row r="518" spans="13:29">
      <c r="M518" s="14"/>
      <c r="T518" s="16"/>
      <c r="U518" s="17">
        <f>IF(AND(COUNTA($A518:$L518)=0,$N518=""),"",IF($T518="Paid","PAID",IF($T518="Closed","CLOSED",IF($Z518="","",IF($Z518=6,"ESCALATED TO ROXANNE",IF(TODAY()&gt;$AB518,"OVERDUE",IF($AB518&lt;=WORKDAY(TODAY(),1,Holidays),"DUE TOMORROW",IF($Z518=4,"ESCALATED TO LOCAL OFFICE",IF($Z518=5,"ESCALATED TO CBE",IF($AA518=TODAY(),"EMAIL SENT","MONITORING"))))))))))</f>
        <v/>
      </c>
      <c r="V518" s="17">
        <f>IF($U518="",IF(AND(COUNTA($A518:$L518)&gt;0,$N518=""),"Awaiting Collection Email time stamp.",""),IF(OR($U518="PAID",$U518="CLOSED"),IF($U518="PAID","Account paid. Action completed.","Account closed. No further action required."),CHOOSE($Z518,"Collection Email","1st Email Follow-up","2nd Email Follow-up","Escalation to Local Office","Escalation to CBE","Escalation to Roxanne")&amp;" sent "&amp;TEXT($AA518,"dd-mmm")&amp;". "&amp;IF($Z518=6,"Final escalation completed.",IF($U518="OVERDUE","Next: "&amp;$AC518&amp;" was due "&amp;TEXT($AB518,"dd-mmm")&amp;" - "&amp;(NETWORKDAYS($AB518,TODAY(),Holidays)-1)&amp;" business day(s) late. Send now.",IF($U518="DUE TOMORROW","Next: "&amp;$AC518&amp;IF($AB518&lt;=TODAY()," is due TODAY ("," is due next business day (")&amp;TEXT($AB518,"dd-mmm")&amp;").","Next: "&amp;$AC518&amp;" due "&amp;TEXT($AB518,"dd-mmm")&amp;" ("&amp;(NETWORKDAYS(TODAY(),$AB518,Holidays)-1)&amp;" business day(s) left).")))))</f>
        <v/>
      </c>
      <c r="W518" s="17">
        <f>IF($Z518="","",CHOOSE($Z518,"Collection Email","1st Follow-up","2nd Follow-up","Local Office","CBE","Roxanne")&amp;IF($Z518=6," - Final"," - Day "&amp;MAX(0,NETWORKDAYS($AA518,TODAY(),Holidays)-1)&amp;" of "&amp;CHOOSE($Z518,3,3,2,2,3))&amp;" | Total Day "&amp;MAX(0,NETWORKDAYS($N518,TODAY(),Holidays)-1))</f>
        <v/>
      </c>
      <c r="X518" s="18"/>
      <c r="Y518" s="18"/>
      <c r="Z518" s="17">
        <f>IF($N518="","",COUNT($N518:$S518))</f>
        <v/>
      </c>
      <c r="AA518" s="19">
        <f>IF($Z518="","",INT(INDEX($N518:$S518,$Z518)))</f>
        <v/>
      </c>
      <c r="AB518" s="19">
        <f>IF(OR($Z518="",$Z518=6),"",WORKDAY($AA518,CHOOSE($Z518,3,3,2,2,3),Holidays))</f>
        <v/>
      </c>
      <c r="AC518" s="17">
        <f>IF(OR($Z518="",$Z518=6),"",CHOOSE($Z518,"1st Email Follow-up","2nd Email Follow-up","Escalate Local Office","Escalate to CBE","Escalate to Roxanne"))</f>
        <v/>
      </c>
    </row>
    <row r="519" spans="13:29">
      <c r="M519" s="14"/>
      <c r="T519" s="16"/>
      <c r="U519" s="17">
        <f>IF(AND(COUNTA($A519:$L519)=0,$N519=""),"",IF($T519="Paid","PAID",IF($T519="Closed","CLOSED",IF($Z519="","",IF($Z519=6,"ESCALATED TO ROXANNE",IF(TODAY()&gt;$AB519,"OVERDUE",IF($AB519&lt;=WORKDAY(TODAY(),1,Holidays),"DUE TOMORROW",IF($Z519=4,"ESCALATED TO LOCAL OFFICE",IF($Z519=5,"ESCALATED TO CBE",IF($AA519=TODAY(),"EMAIL SENT","MONITORING"))))))))))</f>
        <v/>
      </c>
      <c r="V519" s="17">
        <f>IF($U519="",IF(AND(COUNTA($A519:$L519)&gt;0,$N519=""),"Awaiting Collection Email time stamp.",""),IF(OR($U519="PAID",$U519="CLOSED"),IF($U519="PAID","Account paid. Action completed.","Account closed. No further action required."),CHOOSE($Z519,"Collection Email","1st Email Follow-up","2nd Email Follow-up","Escalation to Local Office","Escalation to CBE","Escalation to Roxanne")&amp;" sent "&amp;TEXT($AA519,"dd-mmm")&amp;". "&amp;IF($Z519=6,"Final escalation completed.",IF($U519="OVERDUE","Next: "&amp;$AC519&amp;" was due "&amp;TEXT($AB519,"dd-mmm")&amp;" - "&amp;(NETWORKDAYS($AB519,TODAY(),Holidays)-1)&amp;" business day(s) late. Send now.",IF($U519="DUE TOMORROW","Next: "&amp;$AC519&amp;IF($AB519&lt;=TODAY()," is due TODAY ("," is due next business day (")&amp;TEXT($AB519,"dd-mmm")&amp;").","Next: "&amp;$AC519&amp;" due "&amp;TEXT($AB519,"dd-mmm")&amp;" ("&amp;(NETWORKDAYS(TODAY(),$AB519,Holidays)-1)&amp;" business day(s) left).")))))</f>
        <v/>
      </c>
      <c r="W519" s="17">
        <f>IF($Z519="","",CHOOSE($Z519,"Collection Email","1st Follow-up","2nd Follow-up","Local Office","CBE","Roxanne")&amp;IF($Z519=6," - Final"," - Day "&amp;MAX(0,NETWORKDAYS($AA519,TODAY(),Holidays)-1)&amp;" of "&amp;CHOOSE($Z519,3,3,2,2,3))&amp;" | Total Day "&amp;MAX(0,NETWORKDAYS($N519,TODAY(),Holidays)-1))</f>
        <v/>
      </c>
      <c r="X519" s="18"/>
      <c r="Y519" s="18"/>
      <c r="Z519" s="17">
        <f>IF($N519="","",COUNT($N519:$S519))</f>
        <v/>
      </c>
      <c r="AA519" s="19">
        <f>IF($Z519="","",INT(INDEX($N519:$S519,$Z519)))</f>
        <v/>
      </c>
      <c r="AB519" s="19">
        <f>IF(OR($Z519="",$Z519=6),"",WORKDAY($AA519,CHOOSE($Z519,3,3,2,2,3),Holidays))</f>
        <v/>
      </c>
      <c r="AC519" s="17">
        <f>IF(OR($Z519="",$Z519=6),"",CHOOSE($Z519,"1st Email Follow-up","2nd Email Follow-up","Escalate Local Office","Escalate to CBE","Escalate to Roxanne"))</f>
        <v/>
      </c>
    </row>
    <row r="520" spans="13:29">
      <c r="M520" s="14"/>
      <c r="T520" s="16"/>
      <c r="U520" s="17">
        <f>IF(AND(COUNTA($A520:$L520)=0,$N520=""),"",IF($T520="Paid","PAID",IF($T520="Closed","CLOSED",IF($Z520="","",IF($Z520=6,"ESCALATED TO ROXANNE",IF(TODAY()&gt;$AB520,"OVERDUE",IF($AB520&lt;=WORKDAY(TODAY(),1,Holidays),"DUE TOMORROW",IF($Z520=4,"ESCALATED TO LOCAL OFFICE",IF($Z520=5,"ESCALATED TO CBE",IF($AA520=TODAY(),"EMAIL SENT","MONITORING"))))))))))</f>
        <v/>
      </c>
      <c r="V520" s="17">
        <f>IF($U520="",IF(AND(COUNTA($A520:$L520)&gt;0,$N520=""),"Awaiting Collection Email time stamp.",""),IF(OR($U520="PAID",$U520="CLOSED"),IF($U520="PAID","Account paid. Action completed.","Account closed. No further action required."),CHOOSE($Z520,"Collection Email","1st Email Follow-up","2nd Email Follow-up","Escalation to Local Office","Escalation to CBE","Escalation to Roxanne")&amp;" sent "&amp;TEXT($AA520,"dd-mmm")&amp;". "&amp;IF($Z520=6,"Final escalation completed.",IF($U520="OVERDUE","Next: "&amp;$AC520&amp;" was due "&amp;TEXT($AB520,"dd-mmm")&amp;" - "&amp;(NETWORKDAYS($AB520,TODAY(),Holidays)-1)&amp;" business day(s) late. Send now.",IF($U520="DUE TOMORROW","Next: "&amp;$AC520&amp;IF($AB520&lt;=TODAY()," is due TODAY ("," is due next business day (")&amp;TEXT($AB520,"dd-mmm")&amp;").","Next: "&amp;$AC520&amp;" due "&amp;TEXT($AB520,"dd-mmm")&amp;" ("&amp;(NETWORKDAYS(TODAY(),$AB520,Holidays)-1)&amp;" business day(s) left).")))))</f>
        <v/>
      </c>
      <c r="W520" s="17">
        <f>IF($Z520="","",CHOOSE($Z520,"Collection Email","1st Follow-up","2nd Follow-up","Local Office","CBE","Roxanne")&amp;IF($Z520=6," - Final"," - Day "&amp;MAX(0,NETWORKDAYS($AA520,TODAY(),Holidays)-1)&amp;" of "&amp;CHOOSE($Z520,3,3,2,2,3))&amp;" | Total Day "&amp;MAX(0,NETWORKDAYS($N520,TODAY(),Holidays)-1))</f>
        <v/>
      </c>
      <c r="X520" s="18"/>
      <c r="Y520" s="18"/>
      <c r="Z520" s="17">
        <f>IF($N520="","",COUNT($N520:$S520))</f>
        <v/>
      </c>
      <c r="AA520" s="19">
        <f>IF($Z520="","",INT(INDEX($N520:$S520,$Z520)))</f>
        <v/>
      </c>
      <c r="AB520" s="19">
        <f>IF(OR($Z520="",$Z520=6),"",WORKDAY($AA520,CHOOSE($Z520,3,3,2,2,3),Holidays))</f>
        <v/>
      </c>
      <c r="AC520" s="17">
        <f>IF(OR($Z520="",$Z520=6),"",CHOOSE($Z520,"1st Email Follow-up","2nd Email Follow-up","Escalate Local Office","Escalate to CBE","Escalate to Roxanne"))</f>
        <v/>
      </c>
    </row>
    <row r="521" spans="13:29">
      <c r="M521" s="14"/>
      <c r="T521" s="16"/>
      <c r="U521" s="17">
        <f>IF(AND(COUNTA($A521:$L521)=0,$N521=""),"",IF($T521="Paid","PAID",IF($T521="Closed","CLOSED",IF($Z521="","",IF($Z521=6,"ESCALATED TO ROXANNE",IF(TODAY()&gt;$AB521,"OVERDUE",IF($AB521&lt;=WORKDAY(TODAY(),1,Holidays),"DUE TOMORROW",IF($Z521=4,"ESCALATED TO LOCAL OFFICE",IF($Z521=5,"ESCALATED TO CBE",IF($AA521=TODAY(),"EMAIL SENT","MONITORING"))))))))))</f>
        <v/>
      </c>
      <c r="V521" s="17">
        <f>IF($U521="",IF(AND(COUNTA($A521:$L521)&gt;0,$N521=""),"Awaiting Collection Email time stamp.",""),IF(OR($U521="PAID",$U521="CLOSED"),IF($U521="PAID","Account paid. Action completed.","Account closed. No further action required."),CHOOSE($Z521,"Collection Email","1st Email Follow-up","2nd Email Follow-up","Escalation to Local Office","Escalation to CBE","Escalation to Roxanne")&amp;" sent "&amp;TEXT($AA521,"dd-mmm")&amp;". "&amp;IF($Z521=6,"Final escalation completed.",IF($U521="OVERDUE","Next: "&amp;$AC521&amp;" was due "&amp;TEXT($AB521,"dd-mmm")&amp;" - "&amp;(NETWORKDAYS($AB521,TODAY(),Holidays)-1)&amp;" business day(s) late. Send now.",IF($U521="DUE TOMORROW","Next: "&amp;$AC521&amp;IF($AB521&lt;=TODAY()," is due TODAY ("," is due next business day (")&amp;TEXT($AB521,"dd-mmm")&amp;").","Next: "&amp;$AC521&amp;" due "&amp;TEXT($AB521,"dd-mmm")&amp;" ("&amp;(NETWORKDAYS(TODAY(),$AB521,Holidays)-1)&amp;" business day(s) left).")))))</f>
        <v/>
      </c>
      <c r="W521" s="17">
        <f>IF($Z521="","",CHOOSE($Z521,"Collection Email","1st Follow-up","2nd Follow-up","Local Office","CBE","Roxanne")&amp;IF($Z521=6," - Final"," - Day "&amp;MAX(0,NETWORKDAYS($AA521,TODAY(),Holidays)-1)&amp;" of "&amp;CHOOSE($Z521,3,3,2,2,3))&amp;" | Total Day "&amp;MAX(0,NETWORKDAYS($N521,TODAY(),Holidays)-1))</f>
        <v/>
      </c>
      <c r="X521" s="18"/>
      <c r="Y521" s="18"/>
      <c r="Z521" s="17">
        <f>IF($N521="","",COUNT($N521:$S521))</f>
        <v/>
      </c>
      <c r="AA521" s="19">
        <f>IF($Z521="","",INT(INDEX($N521:$S521,$Z521)))</f>
        <v/>
      </c>
      <c r="AB521" s="19">
        <f>IF(OR($Z521="",$Z521=6),"",WORKDAY($AA521,CHOOSE($Z521,3,3,2,2,3),Holidays))</f>
        <v/>
      </c>
      <c r="AC521" s="17">
        <f>IF(OR($Z521="",$Z521=6),"",CHOOSE($Z521,"1st Email Follow-up","2nd Email Follow-up","Escalate Local Office","Escalate to CBE","Escalate to Roxanne"))</f>
        <v/>
      </c>
    </row>
    <row r="522" spans="13:29">
      <c r="M522" s="14"/>
      <c r="T522" s="16"/>
      <c r="U522" s="17">
        <f>IF(AND(COUNTA($A522:$L522)=0,$N522=""),"",IF($T522="Paid","PAID",IF($T522="Closed","CLOSED",IF($Z522="","",IF($Z522=6,"ESCALATED TO ROXANNE",IF(TODAY()&gt;$AB522,"OVERDUE",IF($AB522&lt;=WORKDAY(TODAY(),1,Holidays),"DUE TOMORROW",IF($Z522=4,"ESCALATED TO LOCAL OFFICE",IF($Z522=5,"ESCALATED TO CBE",IF($AA522=TODAY(),"EMAIL SENT","MONITORING"))))))))))</f>
        <v/>
      </c>
      <c r="V522" s="17">
        <f>IF($U522="",IF(AND(COUNTA($A522:$L522)&gt;0,$N522=""),"Awaiting Collection Email time stamp.",""),IF(OR($U522="PAID",$U522="CLOSED"),IF($U522="PAID","Account paid. Action completed.","Account closed. No further action required."),CHOOSE($Z522,"Collection Email","1st Email Follow-up","2nd Email Follow-up","Escalation to Local Office","Escalation to CBE","Escalation to Roxanne")&amp;" sent "&amp;TEXT($AA522,"dd-mmm")&amp;". "&amp;IF($Z522=6,"Final escalation completed.",IF($U522="OVERDUE","Next: "&amp;$AC522&amp;" was due "&amp;TEXT($AB522,"dd-mmm")&amp;" - "&amp;(NETWORKDAYS($AB522,TODAY(),Holidays)-1)&amp;" business day(s) late. Send now.",IF($U522="DUE TOMORROW","Next: "&amp;$AC522&amp;IF($AB522&lt;=TODAY()," is due TODAY ("," is due next business day (")&amp;TEXT($AB522,"dd-mmm")&amp;").","Next: "&amp;$AC522&amp;" due "&amp;TEXT($AB522,"dd-mmm")&amp;" ("&amp;(NETWORKDAYS(TODAY(),$AB522,Holidays)-1)&amp;" business day(s) left).")))))</f>
        <v/>
      </c>
      <c r="W522" s="17">
        <f>IF($Z522="","",CHOOSE($Z522,"Collection Email","1st Follow-up","2nd Follow-up","Local Office","CBE","Roxanne")&amp;IF($Z522=6," - Final"," - Day "&amp;MAX(0,NETWORKDAYS($AA522,TODAY(),Holidays)-1)&amp;" of "&amp;CHOOSE($Z522,3,3,2,2,3))&amp;" | Total Day "&amp;MAX(0,NETWORKDAYS($N522,TODAY(),Holidays)-1))</f>
        <v/>
      </c>
      <c r="X522" s="18"/>
      <c r="Y522" s="18"/>
      <c r="Z522" s="17">
        <f>IF($N522="","",COUNT($N522:$S522))</f>
        <v/>
      </c>
      <c r="AA522" s="19">
        <f>IF($Z522="","",INT(INDEX($N522:$S522,$Z522)))</f>
        <v/>
      </c>
      <c r="AB522" s="19">
        <f>IF(OR($Z522="",$Z522=6),"",WORKDAY($AA522,CHOOSE($Z522,3,3,2,2,3),Holidays))</f>
        <v/>
      </c>
      <c r="AC522" s="17">
        <f>IF(OR($Z522="",$Z522=6),"",CHOOSE($Z522,"1st Email Follow-up","2nd Email Follow-up","Escalate Local Office","Escalate to CBE","Escalate to Roxanne"))</f>
        <v/>
      </c>
    </row>
    <row r="523" spans="13:29">
      <c r="M523" s="14"/>
      <c r="T523" s="16"/>
      <c r="U523" s="17">
        <f>IF(AND(COUNTA($A523:$L523)=0,$N523=""),"",IF($T523="Paid","PAID",IF($T523="Closed","CLOSED",IF($Z523="","",IF($Z523=6,"ESCALATED TO ROXANNE",IF(TODAY()&gt;$AB523,"OVERDUE",IF($AB523&lt;=WORKDAY(TODAY(),1,Holidays),"DUE TOMORROW",IF($Z523=4,"ESCALATED TO LOCAL OFFICE",IF($Z523=5,"ESCALATED TO CBE",IF($AA523=TODAY(),"EMAIL SENT","MONITORING"))))))))))</f>
        <v/>
      </c>
      <c r="V523" s="17">
        <f>IF($U523="",IF(AND(COUNTA($A523:$L523)&gt;0,$N523=""),"Awaiting Collection Email time stamp.",""),IF(OR($U523="PAID",$U523="CLOSED"),IF($U523="PAID","Account paid. Action completed.","Account closed. No further action required."),CHOOSE($Z523,"Collection Email","1st Email Follow-up","2nd Email Follow-up","Escalation to Local Office","Escalation to CBE","Escalation to Roxanne")&amp;" sent "&amp;TEXT($AA523,"dd-mmm")&amp;". "&amp;IF($Z523=6,"Final escalation completed.",IF($U523="OVERDUE","Next: "&amp;$AC523&amp;" was due "&amp;TEXT($AB523,"dd-mmm")&amp;" - "&amp;(NETWORKDAYS($AB523,TODAY(),Holidays)-1)&amp;" business day(s) late. Send now.",IF($U523="DUE TOMORROW","Next: "&amp;$AC523&amp;IF($AB523&lt;=TODAY()," is due TODAY ("," is due next business day (")&amp;TEXT($AB523,"dd-mmm")&amp;").","Next: "&amp;$AC523&amp;" due "&amp;TEXT($AB523,"dd-mmm")&amp;" ("&amp;(NETWORKDAYS(TODAY(),$AB523,Holidays)-1)&amp;" business day(s) left).")))))</f>
        <v/>
      </c>
      <c r="W523" s="17">
        <f>IF($Z523="","",CHOOSE($Z523,"Collection Email","1st Follow-up","2nd Follow-up","Local Office","CBE","Roxanne")&amp;IF($Z523=6," - Final"," - Day "&amp;MAX(0,NETWORKDAYS($AA523,TODAY(),Holidays)-1)&amp;" of "&amp;CHOOSE($Z523,3,3,2,2,3))&amp;" | Total Day "&amp;MAX(0,NETWORKDAYS($N523,TODAY(),Holidays)-1))</f>
        <v/>
      </c>
      <c r="X523" s="18"/>
      <c r="Y523" s="18"/>
      <c r="Z523" s="17">
        <f>IF($N523="","",COUNT($N523:$S523))</f>
        <v/>
      </c>
      <c r="AA523" s="19">
        <f>IF($Z523="","",INT(INDEX($N523:$S523,$Z523)))</f>
        <v/>
      </c>
      <c r="AB523" s="19">
        <f>IF(OR($Z523="",$Z523=6),"",WORKDAY($AA523,CHOOSE($Z523,3,3,2,2,3),Holidays))</f>
        <v/>
      </c>
      <c r="AC523" s="17">
        <f>IF(OR($Z523="",$Z523=6),"",CHOOSE($Z523,"1st Email Follow-up","2nd Email Follow-up","Escalate Local Office","Escalate to CBE","Escalate to Roxanne"))</f>
        <v/>
      </c>
    </row>
    <row r="524" spans="13:29">
      <c r="M524" s="14"/>
      <c r="T524" s="16"/>
      <c r="U524" s="17">
        <f>IF(AND(COUNTA($A524:$L524)=0,$N524=""),"",IF($T524="Paid","PAID",IF($T524="Closed","CLOSED",IF($Z524="","",IF($Z524=6,"ESCALATED TO ROXANNE",IF(TODAY()&gt;$AB524,"OVERDUE",IF($AB524&lt;=WORKDAY(TODAY(),1,Holidays),"DUE TOMORROW",IF($Z524=4,"ESCALATED TO LOCAL OFFICE",IF($Z524=5,"ESCALATED TO CBE",IF($AA524=TODAY(),"EMAIL SENT","MONITORING"))))))))))</f>
        <v/>
      </c>
      <c r="V524" s="17">
        <f>IF($U524="",IF(AND(COUNTA($A524:$L524)&gt;0,$N524=""),"Awaiting Collection Email time stamp.",""),IF(OR($U524="PAID",$U524="CLOSED"),IF($U524="PAID","Account paid. Action completed.","Account closed. No further action required."),CHOOSE($Z524,"Collection Email","1st Email Follow-up","2nd Email Follow-up","Escalation to Local Office","Escalation to CBE","Escalation to Roxanne")&amp;" sent "&amp;TEXT($AA524,"dd-mmm")&amp;". "&amp;IF($Z524=6,"Final escalation completed.",IF($U524="OVERDUE","Next: "&amp;$AC524&amp;" was due "&amp;TEXT($AB524,"dd-mmm")&amp;" - "&amp;(NETWORKDAYS($AB524,TODAY(),Holidays)-1)&amp;" business day(s) late. Send now.",IF($U524="DUE TOMORROW","Next: "&amp;$AC524&amp;IF($AB524&lt;=TODAY()," is due TODAY ("," is due next business day (")&amp;TEXT($AB524,"dd-mmm")&amp;").","Next: "&amp;$AC524&amp;" due "&amp;TEXT($AB524,"dd-mmm")&amp;" ("&amp;(NETWORKDAYS(TODAY(),$AB524,Holidays)-1)&amp;" business day(s) left).")))))</f>
        <v/>
      </c>
      <c r="W524" s="17">
        <f>IF($Z524="","",CHOOSE($Z524,"Collection Email","1st Follow-up","2nd Follow-up","Local Office","CBE","Roxanne")&amp;IF($Z524=6," - Final"," - Day "&amp;MAX(0,NETWORKDAYS($AA524,TODAY(),Holidays)-1)&amp;" of "&amp;CHOOSE($Z524,3,3,2,2,3))&amp;" | Total Day "&amp;MAX(0,NETWORKDAYS($N524,TODAY(),Holidays)-1))</f>
        <v/>
      </c>
      <c r="X524" s="18"/>
      <c r="Y524" s="18"/>
      <c r="Z524" s="17">
        <f>IF($N524="","",COUNT($N524:$S524))</f>
        <v/>
      </c>
      <c r="AA524" s="19">
        <f>IF($Z524="","",INT(INDEX($N524:$S524,$Z524)))</f>
        <v/>
      </c>
      <c r="AB524" s="19">
        <f>IF(OR($Z524="",$Z524=6),"",WORKDAY($AA524,CHOOSE($Z524,3,3,2,2,3),Holidays))</f>
        <v/>
      </c>
      <c r="AC524" s="17">
        <f>IF(OR($Z524="",$Z524=6),"",CHOOSE($Z524,"1st Email Follow-up","2nd Email Follow-up","Escalate Local Office","Escalate to CBE","Escalate to Roxanne"))</f>
        <v/>
      </c>
    </row>
    <row r="525" spans="13:29">
      <c r="M525" s="14"/>
      <c r="T525" s="16"/>
      <c r="U525" s="17">
        <f>IF(AND(COUNTA($A525:$L525)=0,$N525=""),"",IF($T525="Paid","PAID",IF($T525="Closed","CLOSED",IF($Z525="","",IF($Z525=6,"ESCALATED TO ROXANNE",IF(TODAY()&gt;$AB525,"OVERDUE",IF($AB525&lt;=WORKDAY(TODAY(),1,Holidays),"DUE TOMORROW",IF($Z525=4,"ESCALATED TO LOCAL OFFICE",IF($Z525=5,"ESCALATED TO CBE",IF($AA525=TODAY(),"EMAIL SENT","MONITORING"))))))))))</f>
        <v/>
      </c>
      <c r="V525" s="17">
        <f>IF($U525="",IF(AND(COUNTA($A525:$L525)&gt;0,$N525=""),"Awaiting Collection Email time stamp.",""),IF(OR($U525="PAID",$U525="CLOSED"),IF($U525="PAID","Account paid. Action completed.","Account closed. No further action required."),CHOOSE($Z525,"Collection Email","1st Email Follow-up","2nd Email Follow-up","Escalation to Local Office","Escalation to CBE","Escalation to Roxanne")&amp;" sent "&amp;TEXT($AA525,"dd-mmm")&amp;". "&amp;IF($Z525=6,"Final escalation completed.",IF($U525="OVERDUE","Next: "&amp;$AC525&amp;" was due "&amp;TEXT($AB525,"dd-mmm")&amp;" - "&amp;(NETWORKDAYS($AB525,TODAY(),Holidays)-1)&amp;" business day(s) late. Send now.",IF($U525="DUE TOMORROW","Next: "&amp;$AC525&amp;IF($AB525&lt;=TODAY()," is due TODAY ("," is due next business day (")&amp;TEXT($AB525,"dd-mmm")&amp;").","Next: "&amp;$AC525&amp;" due "&amp;TEXT($AB525,"dd-mmm")&amp;" ("&amp;(NETWORKDAYS(TODAY(),$AB525,Holidays)-1)&amp;" business day(s) left).")))))</f>
        <v/>
      </c>
      <c r="W525" s="17">
        <f>IF($Z525="","",CHOOSE($Z525,"Collection Email","1st Follow-up","2nd Follow-up","Local Office","CBE","Roxanne")&amp;IF($Z525=6," - Final"," - Day "&amp;MAX(0,NETWORKDAYS($AA525,TODAY(),Holidays)-1)&amp;" of "&amp;CHOOSE($Z525,3,3,2,2,3))&amp;" | Total Day "&amp;MAX(0,NETWORKDAYS($N525,TODAY(),Holidays)-1))</f>
        <v/>
      </c>
      <c r="X525" s="18"/>
      <c r="Y525" s="18"/>
      <c r="Z525" s="17">
        <f>IF($N525="","",COUNT($N525:$S525))</f>
        <v/>
      </c>
      <c r="AA525" s="19">
        <f>IF($Z525="","",INT(INDEX($N525:$S525,$Z525)))</f>
        <v/>
      </c>
      <c r="AB525" s="19">
        <f>IF(OR($Z525="",$Z525=6),"",WORKDAY($AA525,CHOOSE($Z525,3,3,2,2,3),Holidays))</f>
        <v/>
      </c>
      <c r="AC525" s="17">
        <f>IF(OR($Z525="",$Z525=6),"",CHOOSE($Z525,"1st Email Follow-up","2nd Email Follow-up","Escalate Local Office","Escalate to CBE","Escalate to Roxanne"))</f>
        <v/>
      </c>
    </row>
    <row r="526" spans="13:29">
      <c r="M526" s="14"/>
      <c r="T526" s="16"/>
      <c r="U526" s="17">
        <f>IF(AND(COUNTA($A526:$L526)=0,$N526=""),"",IF($T526="Paid","PAID",IF($T526="Closed","CLOSED",IF($Z526="","",IF($Z526=6,"ESCALATED TO ROXANNE",IF(TODAY()&gt;$AB526,"OVERDUE",IF($AB526&lt;=WORKDAY(TODAY(),1,Holidays),"DUE TOMORROW",IF($Z526=4,"ESCALATED TO LOCAL OFFICE",IF($Z526=5,"ESCALATED TO CBE",IF($AA526=TODAY(),"EMAIL SENT","MONITORING"))))))))))</f>
        <v/>
      </c>
      <c r="V526" s="17">
        <f>IF($U526="",IF(AND(COUNTA($A526:$L526)&gt;0,$N526=""),"Awaiting Collection Email time stamp.",""),IF(OR($U526="PAID",$U526="CLOSED"),IF($U526="PAID","Account paid. Action completed.","Account closed. No further action required."),CHOOSE($Z526,"Collection Email","1st Email Follow-up","2nd Email Follow-up","Escalation to Local Office","Escalation to CBE","Escalation to Roxanne")&amp;" sent "&amp;TEXT($AA526,"dd-mmm")&amp;". "&amp;IF($Z526=6,"Final escalation completed.",IF($U526="OVERDUE","Next: "&amp;$AC526&amp;" was due "&amp;TEXT($AB526,"dd-mmm")&amp;" - "&amp;(NETWORKDAYS($AB526,TODAY(),Holidays)-1)&amp;" business day(s) late. Send now.",IF($U526="DUE TOMORROW","Next: "&amp;$AC526&amp;IF($AB526&lt;=TODAY()," is due TODAY ("," is due next business day (")&amp;TEXT($AB526,"dd-mmm")&amp;").","Next: "&amp;$AC526&amp;" due "&amp;TEXT($AB526,"dd-mmm")&amp;" ("&amp;(NETWORKDAYS(TODAY(),$AB526,Holidays)-1)&amp;" business day(s) left).")))))</f>
        <v/>
      </c>
      <c r="W526" s="17">
        <f>IF($Z526="","",CHOOSE($Z526,"Collection Email","1st Follow-up","2nd Follow-up","Local Office","CBE","Roxanne")&amp;IF($Z526=6," - Final"," - Day "&amp;MAX(0,NETWORKDAYS($AA526,TODAY(),Holidays)-1)&amp;" of "&amp;CHOOSE($Z526,3,3,2,2,3))&amp;" | Total Day "&amp;MAX(0,NETWORKDAYS($N526,TODAY(),Holidays)-1))</f>
        <v/>
      </c>
      <c r="X526" s="18"/>
      <c r="Y526" s="18"/>
      <c r="Z526" s="17">
        <f>IF($N526="","",COUNT($N526:$S526))</f>
        <v/>
      </c>
      <c r="AA526" s="19">
        <f>IF($Z526="","",INT(INDEX($N526:$S526,$Z526)))</f>
        <v/>
      </c>
      <c r="AB526" s="19">
        <f>IF(OR($Z526="",$Z526=6),"",WORKDAY($AA526,CHOOSE($Z526,3,3,2,2,3),Holidays))</f>
        <v/>
      </c>
      <c r="AC526" s="17">
        <f>IF(OR($Z526="",$Z526=6),"",CHOOSE($Z526,"1st Email Follow-up","2nd Email Follow-up","Escalate Local Office","Escalate to CBE","Escalate to Roxanne"))</f>
        <v/>
      </c>
    </row>
    <row r="527" spans="13:29">
      <c r="M527" s="14"/>
      <c r="T527" s="16"/>
      <c r="U527" s="17">
        <f>IF(AND(COUNTA($A527:$L527)=0,$N527=""),"",IF($T527="Paid","PAID",IF($T527="Closed","CLOSED",IF($Z527="","",IF($Z527=6,"ESCALATED TO ROXANNE",IF(TODAY()&gt;$AB527,"OVERDUE",IF($AB527&lt;=WORKDAY(TODAY(),1,Holidays),"DUE TOMORROW",IF($Z527=4,"ESCALATED TO LOCAL OFFICE",IF($Z527=5,"ESCALATED TO CBE",IF($AA527=TODAY(),"EMAIL SENT","MONITORING"))))))))))</f>
        <v/>
      </c>
      <c r="V527" s="17">
        <f>IF($U527="",IF(AND(COUNTA($A527:$L527)&gt;0,$N527=""),"Awaiting Collection Email time stamp.",""),IF(OR($U527="PAID",$U527="CLOSED"),IF($U527="PAID","Account paid. Action completed.","Account closed. No further action required."),CHOOSE($Z527,"Collection Email","1st Email Follow-up","2nd Email Follow-up","Escalation to Local Office","Escalation to CBE","Escalation to Roxanne")&amp;" sent "&amp;TEXT($AA527,"dd-mmm")&amp;". "&amp;IF($Z527=6,"Final escalation completed.",IF($U527="OVERDUE","Next: "&amp;$AC527&amp;" was due "&amp;TEXT($AB527,"dd-mmm")&amp;" - "&amp;(NETWORKDAYS($AB527,TODAY(),Holidays)-1)&amp;" business day(s) late. Send now.",IF($U527="DUE TOMORROW","Next: "&amp;$AC527&amp;IF($AB527&lt;=TODAY()," is due TODAY ("," is due next business day (")&amp;TEXT($AB527,"dd-mmm")&amp;").","Next: "&amp;$AC527&amp;" due "&amp;TEXT($AB527,"dd-mmm")&amp;" ("&amp;(NETWORKDAYS(TODAY(),$AB527,Holidays)-1)&amp;" business day(s) left).")))))</f>
        <v/>
      </c>
      <c r="W527" s="17">
        <f>IF($Z527="","",CHOOSE($Z527,"Collection Email","1st Follow-up","2nd Follow-up","Local Office","CBE","Roxanne")&amp;IF($Z527=6," - Final"," - Day "&amp;MAX(0,NETWORKDAYS($AA527,TODAY(),Holidays)-1)&amp;" of "&amp;CHOOSE($Z527,3,3,2,2,3))&amp;" | Total Day "&amp;MAX(0,NETWORKDAYS($N527,TODAY(),Holidays)-1))</f>
        <v/>
      </c>
      <c r="X527" s="18"/>
      <c r="Y527" s="18"/>
      <c r="Z527" s="17">
        <f>IF($N527="","",COUNT($N527:$S527))</f>
        <v/>
      </c>
      <c r="AA527" s="19">
        <f>IF($Z527="","",INT(INDEX($N527:$S527,$Z527)))</f>
        <v/>
      </c>
      <c r="AB527" s="19">
        <f>IF(OR($Z527="",$Z527=6),"",WORKDAY($AA527,CHOOSE($Z527,3,3,2,2,3),Holidays))</f>
        <v/>
      </c>
      <c r="AC527" s="17">
        <f>IF(OR($Z527="",$Z527=6),"",CHOOSE($Z527,"1st Email Follow-up","2nd Email Follow-up","Escalate Local Office","Escalate to CBE","Escalate to Roxanne"))</f>
        <v/>
      </c>
    </row>
    <row r="528" spans="13:29">
      <c r="M528" s="14"/>
      <c r="T528" s="16"/>
      <c r="U528" s="17">
        <f>IF(AND(COUNTA($A528:$L528)=0,$N528=""),"",IF($T528="Paid","PAID",IF($T528="Closed","CLOSED",IF($Z528="","",IF($Z528=6,"ESCALATED TO ROXANNE",IF(TODAY()&gt;$AB528,"OVERDUE",IF($AB528&lt;=WORKDAY(TODAY(),1,Holidays),"DUE TOMORROW",IF($Z528=4,"ESCALATED TO LOCAL OFFICE",IF($Z528=5,"ESCALATED TO CBE",IF($AA528=TODAY(),"EMAIL SENT","MONITORING"))))))))))</f>
        <v/>
      </c>
      <c r="V528" s="17">
        <f>IF($U528="",IF(AND(COUNTA($A528:$L528)&gt;0,$N528=""),"Awaiting Collection Email time stamp.",""),IF(OR($U528="PAID",$U528="CLOSED"),IF($U528="PAID","Account paid. Action completed.","Account closed. No further action required."),CHOOSE($Z528,"Collection Email","1st Email Follow-up","2nd Email Follow-up","Escalation to Local Office","Escalation to CBE","Escalation to Roxanne")&amp;" sent "&amp;TEXT($AA528,"dd-mmm")&amp;". "&amp;IF($Z528=6,"Final escalation completed.",IF($U528="OVERDUE","Next: "&amp;$AC528&amp;" was due "&amp;TEXT($AB528,"dd-mmm")&amp;" - "&amp;(NETWORKDAYS($AB528,TODAY(),Holidays)-1)&amp;" business day(s) late. Send now.",IF($U528="DUE TOMORROW","Next: "&amp;$AC528&amp;IF($AB528&lt;=TODAY()," is due TODAY ("," is due next business day (")&amp;TEXT($AB528,"dd-mmm")&amp;").","Next: "&amp;$AC528&amp;" due "&amp;TEXT($AB528,"dd-mmm")&amp;" ("&amp;(NETWORKDAYS(TODAY(),$AB528,Holidays)-1)&amp;" business day(s) left).")))))</f>
        <v/>
      </c>
      <c r="W528" s="17">
        <f>IF($Z528="","",CHOOSE($Z528,"Collection Email","1st Follow-up","2nd Follow-up","Local Office","CBE","Roxanne")&amp;IF($Z528=6," - Final"," - Day "&amp;MAX(0,NETWORKDAYS($AA528,TODAY(),Holidays)-1)&amp;" of "&amp;CHOOSE($Z528,3,3,2,2,3))&amp;" | Total Day "&amp;MAX(0,NETWORKDAYS($N528,TODAY(),Holidays)-1))</f>
        <v/>
      </c>
      <c r="X528" s="18"/>
      <c r="Y528" s="18"/>
      <c r="Z528" s="17">
        <f>IF($N528="","",COUNT($N528:$S528))</f>
        <v/>
      </c>
      <c r="AA528" s="19">
        <f>IF($Z528="","",INT(INDEX($N528:$S528,$Z528)))</f>
        <v/>
      </c>
      <c r="AB528" s="19">
        <f>IF(OR($Z528="",$Z528=6),"",WORKDAY($AA528,CHOOSE($Z528,3,3,2,2,3),Holidays))</f>
        <v/>
      </c>
      <c r="AC528" s="17">
        <f>IF(OR($Z528="",$Z528=6),"",CHOOSE($Z528,"1st Email Follow-up","2nd Email Follow-up","Escalate Local Office","Escalate to CBE","Escalate to Roxanne"))</f>
        <v/>
      </c>
    </row>
    <row r="529" spans="13:29">
      <c r="M529" s="14"/>
      <c r="T529" s="16"/>
      <c r="U529" s="17">
        <f>IF(AND(COUNTA($A529:$L529)=0,$N529=""),"",IF($T529="Paid","PAID",IF($T529="Closed","CLOSED",IF($Z529="","",IF($Z529=6,"ESCALATED TO ROXANNE",IF(TODAY()&gt;$AB529,"OVERDUE",IF($AB529&lt;=WORKDAY(TODAY(),1,Holidays),"DUE TOMORROW",IF($Z529=4,"ESCALATED TO LOCAL OFFICE",IF($Z529=5,"ESCALATED TO CBE",IF($AA529=TODAY(),"EMAIL SENT","MONITORING"))))))))))</f>
        <v/>
      </c>
      <c r="V529" s="17">
        <f>IF($U529="",IF(AND(COUNTA($A529:$L529)&gt;0,$N529=""),"Awaiting Collection Email time stamp.",""),IF(OR($U529="PAID",$U529="CLOSED"),IF($U529="PAID","Account paid. Action completed.","Account closed. No further action required."),CHOOSE($Z529,"Collection Email","1st Email Follow-up","2nd Email Follow-up","Escalation to Local Office","Escalation to CBE","Escalation to Roxanne")&amp;" sent "&amp;TEXT($AA529,"dd-mmm")&amp;". "&amp;IF($Z529=6,"Final escalation completed.",IF($U529="OVERDUE","Next: "&amp;$AC529&amp;" was due "&amp;TEXT($AB529,"dd-mmm")&amp;" - "&amp;(NETWORKDAYS($AB529,TODAY(),Holidays)-1)&amp;" business day(s) late. Send now.",IF($U529="DUE TOMORROW","Next: "&amp;$AC529&amp;IF($AB529&lt;=TODAY()," is due TODAY ("," is due next business day (")&amp;TEXT($AB529,"dd-mmm")&amp;").","Next: "&amp;$AC529&amp;" due "&amp;TEXT($AB529,"dd-mmm")&amp;" ("&amp;(NETWORKDAYS(TODAY(),$AB529,Holidays)-1)&amp;" business day(s) left).")))))</f>
        <v/>
      </c>
      <c r="W529" s="17">
        <f>IF($Z529="","",CHOOSE($Z529,"Collection Email","1st Follow-up","2nd Follow-up","Local Office","CBE","Roxanne")&amp;IF($Z529=6," - Final"," - Day "&amp;MAX(0,NETWORKDAYS($AA529,TODAY(),Holidays)-1)&amp;" of "&amp;CHOOSE($Z529,3,3,2,2,3))&amp;" | Total Day "&amp;MAX(0,NETWORKDAYS($N529,TODAY(),Holidays)-1))</f>
        <v/>
      </c>
      <c r="X529" s="18"/>
      <c r="Y529" s="18"/>
      <c r="Z529" s="17">
        <f>IF($N529="","",COUNT($N529:$S529))</f>
        <v/>
      </c>
      <c r="AA529" s="19">
        <f>IF($Z529="","",INT(INDEX($N529:$S529,$Z529)))</f>
        <v/>
      </c>
      <c r="AB529" s="19">
        <f>IF(OR($Z529="",$Z529=6),"",WORKDAY($AA529,CHOOSE($Z529,3,3,2,2,3),Holidays))</f>
        <v/>
      </c>
      <c r="AC529" s="17">
        <f>IF(OR($Z529="",$Z529=6),"",CHOOSE($Z529,"1st Email Follow-up","2nd Email Follow-up","Escalate Local Office","Escalate to CBE","Escalate to Roxanne"))</f>
        <v/>
      </c>
    </row>
    <row r="530" spans="13:29">
      <c r="M530" s="14"/>
      <c r="T530" s="16"/>
      <c r="U530" s="17">
        <f>IF(AND(COUNTA($A530:$L530)=0,$N530=""),"",IF($T530="Paid","PAID",IF($T530="Closed","CLOSED",IF($Z530="","",IF($Z530=6,"ESCALATED TO ROXANNE",IF(TODAY()&gt;$AB530,"OVERDUE",IF($AB530&lt;=WORKDAY(TODAY(),1,Holidays),"DUE TOMORROW",IF($Z530=4,"ESCALATED TO LOCAL OFFICE",IF($Z530=5,"ESCALATED TO CBE",IF($AA530=TODAY(),"EMAIL SENT","MONITORING"))))))))))</f>
        <v/>
      </c>
      <c r="V530" s="17">
        <f>IF($U530="",IF(AND(COUNTA($A530:$L530)&gt;0,$N530=""),"Awaiting Collection Email time stamp.",""),IF(OR($U530="PAID",$U530="CLOSED"),IF($U530="PAID","Account paid. Action completed.","Account closed. No further action required."),CHOOSE($Z530,"Collection Email","1st Email Follow-up","2nd Email Follow-up","Escalation to Local Office","Escalation to CBE","Escalation to Roxanne")&amp;" sent "&amp;TEXT($AA530,"dd-mmm")&amp;". "&amp;IF($Z530=6,"Final escalation completed.",IF($U530="OVERDUE","Next: "&amp;$AC530&amp;" was due "&amp;TEXT($AB530,"dd-mmm")&amp;" - "&amp;(NETWORKDAYS($AB530,TODAY(),Holidays)-1)&amp;" business day(s) late. Send now.",IF($U530="DUE TOMORROW","Next: "&amp;$AC530&amp;IF($AB530&lt;=TODAY()," is due TODAY ("," is due next business day (")&amp;TEXT($AB530,"dd-mmm")&amp;").","Next: "&amp;$AC530&amp;" due "&amp;TEXT($AB530,"dd-mmm")&amp;" ("&amp;(NETWORKDAYS(TODAY(),$AB530,Holidays)-1)&amp;" business day(s) left).")))))</f>
        <v/>
      </c>
      <c r="W530" s="17">
        <f>IF($Z530="","",CHOOSE($Z530,"Collection Email","1st Follow-up","2nd Follow-up","Local Office","CBE","Roxanne")&amp;IF($Z530=6," - Final"," - Day "&amp;MAX(0,NETWORKDAYS($AA530,TODAY(),Holidays)-1)&amp;" of "&amp;CHOOSE($Z530,3,3,2,2,3))&amp;" | Total Day "&amp;MAX(0,NETWORKDAYS($N530,TODAY(),Holidays)-1))</f>
        <v/>
      </c>
      <c r="X530" s="18"/>
      <c r="Y530" s="18"/>
      <c r="Z530" s="17">
        <f>IF($N530="","",COUNT($N530:$S530))</f>
        <v/>
      </c>
      <c r="AA530" s="19">
        <f>IF($Z530="","",INT(INDEX($N530:$S530,$Z530)))</f>
        <v/>
      </c>
      <c r="AB530" s="19">
        <f>IF(OR($Z530="",$Z530=6),"",WORKDAY($AA530,CHOOSE($Z530,3,3,2,2,3),Holidays))</f>
        <v/>
      </c>
      <c r="AC530" s="17">
        <f>IF(OR($Z530="",$Z530=6),"",CHOOSE($Z530,"1st Email Follow-up","2nd Email Follow-up","Escalate Local Office","Escalate to CBE","Escalate to Roxanne"))</f>
        <v/>
      </c>
    </row>
    <row r="531" spans="13:29">
      <c r="M531" s="14"/>
      <c r="T531" s="16"/>
      <c r="U531" s="17">
        <f>IF(AND(COUNTA($A531:$L531)=0,$N531=""),"",IF($T531="Paid","PAID",IF($T531="Closed","CLOSED",IF($Z531="","",IF($Z531=6,"ESCALATED TO ROXANNE",IF(TODAY()&gt;$AB531,"OVERDUE",IF($AB531&lt;=WORKDAY(TODAY(),1,Holidays),"DUE TOMORROW",IF($Z531=4,"ESCALATED TO LOCAL OFFICE",IF($Z531=5,"ESCALATED TO CBE",IF($AA531=TODAY(),"EMAIL SENT","MONITORING"))))))))))</f>
        <v/>
      </c>
      <c r="V531" s="17">
        <f>IF($U531="",IF(AND(COUNTA($A531:$L531)&gt;0,$N531=""),"Awaiting Collection Email time stamp.",""),IF(OR($U531="PAID",$U531="CLOSED"),IF($U531="PAID","Account paid. Action completed.","Account closed. No further action required."),CHOOSE($Z531,"Collection Email","1st Email Follow-up","2nd Email Follow-up","Escalation to Local Office","Escalation to CBE","Escalation to Roxanne")&amp;" sent "&amp;TEXT($AA531,"dd-mmm")&amp;". "&amp;IF($Z531=6,"Final escalation completed.",IF($U531="OVERDUE","Next: "&amp;$AC531&amp;" was due "&amp;TEXT($AB531,"dd-mmm")&amp;" - "&amp;(NETWORKDAYS($AB531,TODAY(),Holidays)-1)&amp;" business day(s) late. Send now.",IF($U531="DUE TOMORROW","Next: "&amp;$AC531&amp;IF($AB531&lt;=TODAY()," is due TODAY ("," is due next business day (")&amp;TEXT($AB531,"dd-mmm")&amp;").","Next: "&amp;$AC531&amp;" due "&amp;TEXT($AB531,"dd-mmm")&amp;" ("&amp;(NETWORKDAYS(TODAY(),$AB531,Holidays)-1)&amp;" business day(s) left).")))))</f>
        <v/>
      </c>
      <c r="W531" s="17">
        <f>IF($Z531="","",CHOOSE($Z531,"Collection Email","1st Follow-up","2nd Follow-up","Local Office","CBE","Roxanne")&amp;IF($Z531=6," - Final"," - Day "&amp;MAX(0,NETWORKDAYS($AA531,TODAY(),Holidays)-1)&amp;" of "&amp;CHOOSE($Z531,3,3,2,2,3))&amp;" | Total Day "&amp;MAX(0,NETWORKDAYS($N531,TODAY(),Holidays)-1))</f>
        <v/>
      </c>
      <c r="X531" s="18"/>
      <c r="Y531" s="18"/>
      <c r="Z531" s="17">
        <f>IF($N531="","",COUNT($N531:$S531))</f>
        <v/>
      </c>
      <c r="AA531" s="19">
        <f>IF($Z531="","",INT(INDEX($N531:$S531,$Z531)))</f>
        <v/>
      </c>
      <c r="AB531" s="19">
        <f>IF(OR($Z531="",$Z531=6),"",WORKDAY($AA531,CHOOSE($Z531,3,3,2,2,3),Holidays))</f>
        <v/>
      </c>
      <c r="AC531" s="17">
        <f>IF(OR($Z531="",$Z531=6),"",CHOOSE($Z531,"1st Email Follow-up","2nd Email Follow-up","Escalate Local Office","Escalate to CBE","Escalate to Roxanne"))</f>
        <v/>
      </c>
    </row>
    <row r="532" spans="13:29">
      <c r="M532" s="14"/>
      <c r="T532" s="16"/>
      <c r="U532" s="17">
        <f>IF(AND(COUNTA($A532:$L532)=0,$N532=""),"",IF($T532="Paid","PAID",IF($T532="Closed","CLOSED",IF($Z532="","",IF($Z532=6,"ESCALATED TO ROXANNE",IF(TODAY()&gt;$AB532,"OVERDUE",IF($AB532&lt;=WORKDAY(TODAY(),1,Holidays),"DUE TOMORROW",IF($Z532=4,"ESCALATED TO LOCAL OFFICE",IF($Z532=5,"ESCALATED TO CBE",IF($AA532=TODAY(),"EMAIL SENT","MONITORING"))))))))))</f>
        <v/>
      </c>
      <c r="V532" s="17">
        <f>IF($U532="",IF(AND(COUNTA($A532:$L532)&gt;0,$N532=""),"Awaiting Collection Email time stamp.",""),IF(OR($U532="PAID",$U532="CLOSED"),IF($U532="PAID","Account paid. Action completed.","Account closed. No further action required."),CHOOSE($Z532,"Collection Email","1st Email Follow-up","2nd Email Follow-up","Escalation to Local Office","Escalation to CBE","Escalation to Roxanne")&amp;" sent "&amp;TEXT($AA532,"dd-mmm")&amp;". "&amp;IF($Z532=6,"Final escalation completed.",IF($U532="OVERDUE","Next: "&amp;$AC532&amp;" was due "&amp;TEXT($AB532,"dd-mmm")&amp;" - "&amp;(NETWORKDAYS($AB532,TODAY(),Holidays)-1)&amp;" business day(s) late. Send now.",IF($U532="DUE TOMORROW","Next: "&amp;$AC532&amp;IF($AB532&lt;=TODAY()," is due TODAY ("," is due next business day (")&amp;TEXT($AB532,"dd-mmm")&amp;").","Next: "&amp;$AC532&amp;" due "&amp;TEXT($AB532,"dd-mmm")&amp;" ("&amp;(NETWORKDAYS(TODAY(),$AB532,Holidays)-1)&amp;" business day(s) left).")))))</f>
        <v/>
      </c>
      <c r="W532" s="17">
        <f>IF($Z532="","",CHOOSE($Z532,"Collection Email","1st Follow-up","2nd Follow-up","Local Office","CBE","Roxanne")&amp;IF($Z532=6," - Final"," - Day "&amp;MAX(0,NETWORKDAYS($AA532,TODAY(),Holidays)-1)&amp;" of "&amp;CHOOSE($Z532,3,3,2,2,3))&amp;" | Total Day "&amp;MAX(0,NETWORKDAYS($N532,TODAY(),Holidays)-1))</f>
        <v/>
      </c>
      <c r="X532" s="18"/>
      <c r="Y532" s="18"/>
      <c r="Z532" s="17">
        <f>IF($N532="","",COUNT($N532:$S532))</f>
        <v/>
      </c>
      <c r="AA532" s="19">
        <f>IF($Z532="","",INT(INDEX($N532:$S532,$Z532)))</f>
        <v/>
      </c>
      <c r="AB532" s="19">
        <f>IF(OR($Z532="",$Z532=6),"",WORKDAY($AA532,CHOOSE($Z532,3,3,2,2,3),Holidays))</f>
        <v/>
      </c>
      <c r="AC532" s="17">
        <f>IF(OR($Z532="",$Z532=6),"",CHOOSE($Z532,"1st Email Follow-up","2nd Email Follow-up","Escalate Local Office","Escalate to CBE","Escalate to Roxanne"))</f>
        <v/>
      </c>
    </row>
    <row r="533" spans="13:29">
      <c r="M533" s="14"/>
      <c r="T533" s="16"/>
      <c r="U533" s="17">
        <f>IF(AND(COUNTA($A533:$L533)=0,$N533=""),"",IF($T533="Paid","PAID",IF($T533="Closed","CLOSED",IF($Z533="","",IF($Z533=6,"ESCALATED TO ROXANNE",IF(TODAY()&gt;$AB533,"OVERDUE",IF($AB533&lt;=WORKDAY(TODAY(),1,Holidays),"DUE TOMORROW",IF($Z533=4,"ESCALATED TO LOCAL OFFICE",IF($Z533=5,"ESCALATED TO CBE",IF($AA533=TODAY(),"EMAIL SENT","MONITORING"))))))))))</f>
        <v/>
      </c>
      <c r="V533" s="17">
        <f>IF($U533="",IF(AND(COUNTA($A533:$L533)&gt;0,$N533=""),"Awaiting Collection Email time stamp.",""),IF(OR($U533="PAID",$U533="CLOSED"),IF($U533="PAID","Account paid. Action completed.","Account closed. No further action required."),CHOOSE($Z533,"Collection Email","1st Email Follow-up","2nd Email Follow-up","Escalation to Local Office","Escalation to CBE","Escalation to Roxanne")&amp;" sent "&amp;TEXT($AA533,"dd-mmm")&amp;". "&amp;IF($Z533=6,"Final escalation completed.",IF($U533="OVERDUE","Next: "&amp;$AC533&amp;" was due "&amp;TEXT($AB533,"dd-mmm")&amp;" - "&amp;(NETWORKDAYS($AB533,TODAY(),Holidays)-1)&amp;" business day(s) late. Send now.",IF($U533="DUE TOMORROW","Next: "&amp;$AC533&amp;IF($AB533&lt;=TODAY()," is due TODAY ("," is due next business day (")&amp;TEXT($AB533,"dd-mmm")&amp;").","Next: "&amp;$AC533&amp;" due "&amp;TEXT($AB533,"dd-mmm")&amp;" ("&amp;(NETWORKDAYS(TODAY(),$AB533,Holidays)-1)&amp;" business day(s) left).")))))</f>
        <v/>
      </c>
      <c r="W533" s="17">
        <f>IF($Z533="","",CHOOSE($Z533,"Collection Email","1st Follow-up","2nd Follow-up","Local Office","CBE","Roxanne")&amp;IF($Z533=6," - Final"," - Day "&amp;MAX(0,NETWORKDAYS($AA533,TODAY(),Holidays)-1)&amp;" of "&amp;CHOOSE($Z533,3,3,2,2,3))&amp;" | Total Day "&amp;MAX(0,NETWORKDAYS($N533,TODAY(),Holidays)-1))</f>
        <v/>
      </c>
      <c r="X533" s="18"/>
      <c r="Y533" s="18"/>
      <c r="Z533" s="17">
        <f>IF($N533="","",COUNT($N533:$S533))</f>
        <v/>
      </c>
      <c r="AA533" s="19">
        <f>IF($Z533="","",INT(INDEX($N533:$S533,$Z533)))</f>
        <v/>
      </c>
      <c r="AB533" s="19">
        <f>IF(OR($Z533="",$Z533=6),"",WORKDAY($AA533,CHOOSE($Z533,3,3,2,2,3),Holidays))</f>
        <v/>
      </c>
      <c r="AC533" s="17">
        <f>IF(OR($Z533="",$Z533=6),"",CHOOSE($Z533,"1st Email Follow-up","2nd Email Follow-up","Escalate Local Office","Escalate to CBE","Escalate to Roxanne"))</f>
        <v/>
      </c>
    </row>
    <row r="534" spans="13:29">
      <c r="M534" s="14"/>
      <c r="T534" s="16"/>
      <c r="U534" s="17">
        <f>IF(AND(COUNTA($A534:$L534)=0,$N534=""),"",IF($T534="Paid","PAID",IF($T534="Closed","CLOSED",IF($Z534="","",IF($Z534=6,"ESCALATED TO ROXANNE",IF(TODAY()&gt;$AB534,"OVERDUE",IF($AB534&lt;=WORKDAY(TODAY(),1,Holidays),"DUE TOMORROW",IF($Z534=4,"ESCALATED TO LOCAL OFFICE",IF($Z534=5,"ESCALATED TO CBE",IF($AA534=TODAY(),"EMAIL SENT","MONITORING"))))))))))</f>
        <v/>
      </c>
      <c r="V534" s="17">
        <f>IF($U534="",IF(AND(COUNTA($A534:$L534)&gt;0,$N534=""),"Awaiting Collection Email time stamp.",""),IF(OR($U534="PAID",$U534="CLOSED"),IF($U534="PAID","Account paid. Action completed.","Account closed. No further action required."),CHOOSE($Z534,"Collection Email","1st Email Follow-up","2nd Email Follow-up","Escalation to Local Office","Escalation to CBE","Escalation to Roxanne")&amp;" sent "&amp;TEXT($AA534,"dd-mmm")&amp;". "&amp;IF($Z534=6,"Final escalation completed.",IF($U534="OVERDUE","Next: "&amp;$AC534&amp;" was due "&amp;TEXT($AB534,"dd-mmm")&amp;" - "&amp;(NETWORKDAYS($AB534,TODAY(),Holidays)-1)&amp;" business day(s) late. Send now.",IF($U534="DUE TOMORROW","Next: "&amp;$AC534&amp;IF($AB534&lt;=TODAY()," is due TODAY ("," is due next business day (")&amp;TEXT($AB534,"dd-mmm")&amp;").","Next: "&amp;$AC534&amp;" due "&amp;TEXT($AB534,"dd-mmm")&amp;" ("&amp;(NETWORKDAYS(TODAY(),$AB534,Holidays)-1)&amp;" business day(s) left).")))))</f>
        <v/>
      </c>
      <c r="W534" s="17">
        <f>IF($Z534="","",CHOOSE($Z534,"Collection Email","1st Follow-up","2nd Follow-up","Local Office","CBE","Roxanne")&amp;IF($Z534=6," - Final"," - Day "&amp;MAX(0,NETWORKDAYS($AA534,TODAY(),Holidays)-1)&amp;" of "&amp;CHOOSE($Z534,3,3,2,2,3))&amp;" | Total Day "&amp;MAX(0,NETWORKDAYS($N534,TODAY(),Holidays)-1))</f>
        <v/>
      </c>
      <c r="X534" s="18"/>
      <c r="Y534" s="18"/>
      <c r="Z534" s="17">
        <f>IF($N534="","",COUNT($N534:$S534))</f>
        <v/>
      </c>
      <c r="AA534" s="19">
        <f>IF($Z534="","",INT(INDEX($N534:$S534,$Z534)))</f>
        <v/>
      </c>
      <c r="AB534" s="19">
        <f>IF(OR($Z534="",$Z534=6),"",WORKDAY($AA534,CHOOSE($Z534,3,3,2,2,3),Holidays))</f>
        <v/>
      </c>
      <c r="AC534" s="17">
        <f>IF(OR($Z534="",$Z534=6),"",CHOOSE($Z534,"1st Email Follow-up","2nd Email Follow-up","Escalate Local Office","Escalate to CBE","Escalate to Roxanne"))</f>
        <v/>
      </c>
    </row>
    <row r="535" spans="13:29">
      <c r="M535" s="14"/>
      <c r="T535" s="16"/>
      <c r="U535" s="17">
        <f>IF(AND(COUNTA($A535:$L535)=0,$N535=""),"",IF($T535="Paid","PAID",IF($T535="Closed","CLOSED",IF($Z535="","",IF($Z535=6,"ESCALATED TO ROXANNE",IF(TODAY()&gt;$AB535,"OVERDUE",IF($AB535&lt;=WORKDAY(TODAY(),1,Holidays),"DUE TOMORROW",IF($Z535=4,"ESCALATED TO LOCAL OFFICE",IF($Z535=5,"ESCALATED TO CBE",IF($AA535=TODAY(),"EMAIL SENT","MONITORING"))))))))))</f>
        <v/>
      </c>
      <c r="V535" s="17">
        <f>IF($U535="",IF(AND(COUNTA($A535:$L535)&gt;0,$N535=""),"Awaiting Collection Email time stamp.",""),IF(OR($U535="PAID",$U535="CLOSED"),IF($U535="PAID","Account paid. Action completed.","Account closed. No further action required."),CHOOSE($Z535,"Collection Email","1st Email Follow-up","2nd Email Follow-up","Escalation to Local Office","Escalation to CBE","Escalation to Roxanne")&amp;" sent "&amp;TEXT($AA535,"dd-mmm")&amp;". "&amp;IF($Z535=6,"Final escalation completed.",IF($U535="OVERDUE","Next: "&amp;$AC535&amp;" was due "&amp;TEXT($AB535,"dd-mmm")&amp;" - "&amp;(NETWORKDAYS($AB535,TODAY(),Holidays)-1)&amp;" business day(s) late. Send now.",IF($U535="DUE TOMORROW","Next: "&amp;$AC535&amp;IF($AB535&lt;=TODAY()," is due TODAY ("," is due next business day (")&amp;TEXT($AB535,"dd-mmm")&amp;").","Next: "&amp;$AC535&amp;" due "&amp;TEXT($AB535,"dd-mmm")&amp;" ("&amp;(NETWORKDAYS(TODAY(),$AB535,Holidays)-1)&amp;" business day(s) left).")))))</f>
        <v/>
      </c>
      <c r="W535" s="17">
        <f>IF($Z535="","",CHOOSE($Z535,"Collection Email","1st Follow-up","2nd Follow-up","Local Office","CBE","Roxanne")&amp;IF($Z535=6," - Final"," - Day "&amp;MAX(0,NETWORKDAYS($AA535,TODAY(),Holidays)-1)&amp;" of "&amp;CHOOSE($Z535,3,3,2,2,3))&amp;" | Total Day "&amp;MAX(0,NETWORKDAYS($N535,TODAY(),Holidays)-1))</f>
        <v/>
      </c>
      <c r="X535" s="18"/>
      <c r="Y535" s="18"/>
      <c r="Z535" s="17">
        <f>IF($N535="","",COUNT($N535:$S535))</f>
        <v/>
      </c>
      <c r="AA535" s="19">
        <f>IF($Z535="","",INT(INDEX($N535:$S535,$Z535)))</f>
        <v/>
      </c>
      <c r="AB535" s="19">
        <f>IF(OR($Z535="",$Z535=6),"",WORKDAY($AA535,CHOOSE($Z535,3,3,2,2,3),Holidays))</f>
        <v/>
      </c>
      <c r="AC535" s="17">
        <f>IF(OR($Z535="",$Z535=6),"",CHOOSE($Z535,"1st Email Follow-up","2nd Email Follow-up","Escalate Local Office","Escalate to CBE","Escalate to Roxanne"))</f>
        <v/>
      </c>
    </row>
    <row r="536" spans="13:29">
      <c r="M536" s="14"/>
      <c r="T536" s="16"/>
      <c r="U536" s="17">
        <f>IF(AND(COUNTA($A536:$L536)=0,$N536=""),"",IF($T536="Paid","PAID",IF($T536="Closed","CLOSED",IF($Z536="","",IF($Z536=6,"ESCALATED TO ROXANNE",IF(TODAY()&gt;$AB536,"OVERDUE",IF($AB536&lt;=WORKDAY(TODAY(),1,Holidays),"DUE TOMORROW",IF($Z536=4,"ESCALATED TO LOCAL OFFICE",IF($Z536=5,"ESCALATED TO CBE",IF($AA536=TODAY(),"EMAIL SENT","MONITORING"))))))))))</f>
        <v/>
      </c>
      <c r="V536" s="17">
        <f>IF($U536="",IF(AND(COUNTA($A536:$L536)&gt;0,$N536=""),"Awaiting Collection Email time stamp.",""),IF(OR($U536="PAID",$U536="CLOSED"),IF($U536="PAID","Account paid. Action completed.","Account closed. No further action required."),CHOOSE($Z536,"Collection Email","1st Email Follow-up","2nd Email Follow-up","Escalation to Local Office","Escalation to CBE","Escalation to Roxanne")&amp;" sent "&amp;TEXT($AA536,"dd-mmm")&amp;". "&amp;IF($Z536=6,"Final escalation completed.",IF($U536="OVERDUE","Next: "&amp;$AC536&amp;" was due "&amp;TEXT($AB536,"dd-mmm")&amp;" - "&amp;(NETWORKDAYS($AB536,TODAY(),Holidays)-1)&amp;" business day(s) late. Send now.",IF($U536="DUE TOMORROW","Next: "&amp;$AC536&amp;IF($AB536&lt;=TODAY()," is due TODAY ("," is due next business day (")&amp;TEXT($AB536,"dd-mmm")&amp;").","Next: "&amp;$AC536&amp;" due "&amp;TEXT($AB536,"dd-mmm")&amp;" ("&amp;(NETWORKDAYS(TODAY(),$AB536,Holidays)-1)&amp;" business day(s) left).")))))</f>
        <v/>
      </c>
      <c r="W536" s="17">
        <f>IF($Z536="","",CHOOSE($Z536,"Collection Email","1st Follow-up","2nd Follow-up","Local Office","CBE","Roxanne")&amp;IF($Z536=6," - Final"," - Day "&amp;MAX(0,NETWORKDAYS($AA536,TODAY(),Holidays)-1)&amp;" of "&amp;CHOOSE($Z536,3,3,2,2,3))&amp;" | Total Day "&amp;MAX(0,NETWORKDAYS($N536,TODAY(),Holidays)-1))</f>
        <v/>
      </c>
      <c r="X536" s="18"/>
      <c r="Y536" s="18"/>
      <c r="Z536" s="17">
        <f>IF($N536="","",COUNT($N536:$S536))</f>
        <v/>
      </c>
      <c r="AA536" s="19">
        <f>IF($Z536="","",INT(INDEX($N536:$S536,$Z536)))</f>
        <v/>
      </c>
      <c r="AB536" s="19">
        <f>IF(OR($Z536="",$Z536=6),"",WORKDAY($AA536,CHOOSE($Z536,3,3,2,2,3),Holidays))</f>
        <v/>
      </c>
      <c r="AC536" s="17">
        <f>IF(OR($Z536="",$Z536=6),"",CHOOSE($Z536,"1st Email Follow-up","2nd Email Follow-up","Escalate Local Office","Escalate to CBE","Escalate to Roxanne"))</f>
        <v/>
      </c>
    </row>
    <row r="537" spans="13:29">
      <c r="M537" s="14"/>
      <c r="T537" s="16"/>
      <c r="U537" s="17">
        <f>IF(AND(COUNTA($A537:$L537)=0,$N537=""),"",IF($T537="Paid","PAID",IF($T537="Closed","CLOSED",IF($Z537="","",IF($Z537=6,"ESCALATED TO ROXANNE",IF(TODAY()&gt;$AB537,"OVERDUE",IF($AB537&lt;=WORKDAY(TODAY(),1,Holidays),"DUE TOMORROW",IF($Z537=4,"ESCALATED TO LOCAL OFFICE",IF($Z537=5,"ESCALATED TO CBE",IF($AA537=TODAY(),"EMAIL SENT","MONITORING"))))))))))</f>
        <v/>
      </c>
      <c r="V537" s="17">
        <f>IF($U537="",IF(AND(COUNTA($A537:$L537)&gt;0,$N537=""),"Awaiting Collection Email time stamp.",""),IF(OR($U537="PAID",$U537="CLOSED"),IF($U537="PAID","Account paid. Action completed.","Account closed. No further action required."),CHOOSE($Z537,"Collection Email","1st Email Follow-up","2nd Email Follow-up","Escalation to Local Office","Escalation to CBE","Escalation to Roxanne")&amp;" sent "&amp;TEXT($AA537,"dd-mmm")&amp;". "&amp;IF($Z537=6,"Final escalation completed.",IF($U537="OVERDUE","Next: "&amp;$AC537&amp;" was due "&amp;TEXT($AB537,"dd-mmm")&amp;" - "&amp;(NETWORKDAYS($AB537,TODAY(),Holidays)-1)&amp;" business day(s) late. Send now.",IF($U537="DUE TOMORROW","Next: "&amp;$AC537&amp;IF($AB537&lt;=TODAY()," is due TODAY ("," is due next business day (")&amp;TEXT($AB537,"dd-mmm")&amp;").","Next: "&amp;$AC537&amp;" due "&amp;TEXT($AB537,"dd-mmm")&amp;" ("&amp;(NETWORKDAYS(TODAY(),$AB537,Holidays)-1)&amp;" business day(s) left).")))))</f>
        <v/>
      </c>
      <c r="W537" s="17">
        <f>IF($Z537="","",CHOOSE($Z537,"Collection Email","1st Follow-up","2nd Follow-up","Local Office","CBE","Roxanne")&amp;IF($Z537=6," - Final"," - Day "&amp;MAX(0,NETWORKDAYS($AA537,TODAY(),Holidays)-1)&amp;" of "&amp;CHOOSE($Z537,3,3,2,2,3))&amp;" | Total Day "&amp;MAX(0,NETWORKDAYS($N537,TODAY(),Holidays)-1))</f>
        <v/>
      </c>
      <c r="X537" s="18"/>
      <c r="Y537" s="18"/>
      <c r="Z537" s="17">
        <f>IF($N537="","",COUNT($N537:$S537))</f>
        <v/>
      </c>
      <c r="AA537" s="19">
        <f>IF($Z537="","",INT(INDEX($N537:$S537,$Z537)))</f>
        <v/>
      </c>
      <c r="AB537" s="19">
        <f>IF(OR($Z537="",$Z537=6),"",WORKDAY($AA537,CHOOSE($Z537,3,3,2,2,3),Holidays))</f>
        <v/>
      </c>
      <c r="AC537" s="17">
        <f>IF(OR($Z537="",$Z537=6),"",CHOOSE($Z537,"1st Email Follow-up","2nd Email Follow-up","Escalate Local Office","Escalate to CBE","Escalate to Roxanne"))</f>
        <v/>
      </c>
    </row>
    <row r="538" spans="13:29">
      <c r="M538" s="14"/>
      <c r="T538" s="16"/>
      <c r="U538" s="17">
        <f>IF(AND(COUNTA($A538:$L538)=0,$N538=""),"",IF($T538="Paid","PAID",IF($T538="Closed","CLOSED",IF($Z538="","",IF($Z538=6,"ESCALATED TO ROXANNE",IF(TODAY()&gt;$AB538,"OVERDUE",IF($AB538&lt;=WORKDAY(TODAY(),1,Holidays),"DUE TOMORROW",IF($Z538=4,"ESCALATED TO LOCAL OFFICE",IF($Z538=5,"ESCALATED TO CBE",IF($AA538=TODAY(),"EMAIL SENT","MONITORING"))))))))))</f>
        <v/>
      </c>
      <c r="V538" s="17">
        <f>IF($U538="",IF(AND(COUNTA($A538:$L538)&gt;0,$N538=""),"Awaiting Collection Email time stamp.",""),IF(OR($U538="PAID",$U538="CLOSED"),IF($U538="PAID","Account paid. Action completed.","Account closed. No further action required."),CHOOSE($Z538,"Collection Email","1st Email Follow-up","2nd Email Follow-up","Escalation to Local Office","Escalation to CBE","Escalation to Roxanne")&amp;" sent "&amp;TEXT($AA538,"dd-mmm")&amp;". "&amp;IF($Z538=6,"Final escalation completed.",IF($U538="OVERDUE","Next: "&amp;$AC538&amp;" was due "&amp;TEXT($AB538,"dd-mmm")&amp;" - "&amp;(NETWORKDAYS($AB538,TODAY(),Holidays)-1)&amp;" business day(s) late. Send now.",IF($U538="DUE TOMORROW","Next: "&amp;$AC538&amp;IF($AB538&lt;=TODAY()," is due TODAY ("," is due next business day (")&amp;TEXT($AB538,"dd-mmm")&amp;").","Next: "&amp;$AC538&amp;" due "&amp;TEXT($AB538,"dd-mmm")&amp;" ("&amp;(NETWORKDAYS(TODAY(),$AB538,Holidays)-1)&amp;" business day(s) left).")))))</f>
        <v/>
      </c>
      <c r="W538" s="17">
        <f>IF($Z538="","",CHOOSE($Z538,"Collection Email","1st Follow-up","2nd Follow-up","Local Office","CBE","Roxanne")&amp;IF($Z538=6," - Final"," - Day "&amp;MAX(0,NETWORKDAYS($AA538,TODAY(),Holidays)-1)&amp;" of "&amp;CHOOSE($Z538,3,3,2,2,3))&amp;" | Total Day "&amp;MAX(0,NETWORKDAYS($N538,TODAY(),Holidays)-1))</f>
        <v/>
      </c>
      <c r="X538" s="18"/>
      <c r="Y538" s="18"/>
      <c r="Z538" s="17">
        <f>IF($N538="","",COUNT($N538:$S538))</f>
        <v/>
      </c>
      <c r="AA538" s="19">
        <f>IF($Z538="","",INT(INDEX($N538:$S538,$Z538)))</f>
        <v/>
      </c>
      <c r="AB538" s="19">
        <f>IF(OR($Z538="",$Z538=6),"",WORKDAY($AA538,CHOOSE($Z538,3,3,2,2,3),Holidays))</f>
        <v/>
      </c>
      <c r="AC538" s="17">
        <f>IF(OR($Z538="",$Z538=6),"",CHOOSE($Z538,"1st Email Follow-up","2nd Email Follow-up","Escalate Local Office","Escalate to CBE","Escalate to Roxanne"))</f>
        <v/>
      </c>
    </row>
    <row r="539" spans="13:29">
      <c r="M539" s="14"/>
      <c r="T539" s="16"/>
      <c r="U539" s="17">
        <f>IF(AND(COUNTA($A539:$L539)=0,$N539=""),"",IF($T539="Paid","PAID",IF($T539="Closed","CLOSED",IF($Z539="","",IF($Z539=6,"ESCALATED TO ROXANNE",IF(TODAY()&gt;$AB539,"OVERDUE",IF($AB539&lt;=WORKDAY(TODAY(),1,Holidays),"DUE TOMORROW",IF($Z539=4,"ESCALATED TO LOCAL OFFICE",IF($Z539=5,"ESCALATED TO CBE",IF($AA539=TODAY(),"EMAIL SENT","MONITORING"))))))))))</f>
        <v/>
      </c>
      <c r="V539" s="17">
        <f>IF($U539="",IF(AND(COUNTA($A539:$L539)&gt;0,$N539=""),"Awaiting Collection Email time stamp.",""),IF(OR($U539="PAID",$U539="CLOSED"),IF($U539="PAID","Account paid. Action completed.","Account closed. No further action required."),CHOOSE($Z539,"Collection Email","1st Email Follow-up","2nd Email Follow-up","Escalation to Local Office","Escalation to CBE","Escalation to Roxanne")&amp;" sent "&amp;TEXT($AA539,"dd-mmm")&amp;". "&amp;IF($Z539=6,"Final escalation completed.",IF($U539="OVERDUE","Next: "&amp;$AC539&amp;" was due "&amp;TEXT($AB539,"dd-mmm")&amp;" - "&amp;(NETWORKDAYS($AB539,TODAY(),Holidays)-1)&amp;" business day(s) late. Send now.",IF($U539="DUE TOMORROW","Next: "&amp;$AC539&amp;IF($AB539&lt;=TODAY()," is due TODAY ("," is due next business day (")&amp;TEXT($AB539,"dd-mmm")&amp;").","Next: "&amp;$AC539&amp;" due "&amp;TEXT($AB539,"dd-mmm")&amp;" ("&amp;(NETWORKDAYS(TODAY(),$AB539,Holidays)-1)&amp;" business day(s) left).")))))</f>
        <v/>
      </c>
      <c r="W539" s="17">
        <f>IF($Z539="","",CHOOSE($Z539,"Collection Email","1st Follow-up","2nd Follow-up","Local Office","CBE","Roxanne")&amp;IF($Z539=6," - Final"," - Day "&amp;MAX(0,NETWORKDAYS($AA539,TODAY(),Holidays)-1)&amp;" of "&amp;CHOOSE($Z539,3,3,2,2,3))&amp;" | Total Day "&amp;MAX(0,NETWORKDAYS($N539,TODAY(),Holidays)-1))</f>
        <v/>
      </c>
      <c r="X539" s="18"/>
      <c r="Y539" s="18"/>
      <c r="Z539" s="17">
        <f>IF($N539="","",COUNT($N539:$S539))</f>
        <v/>
      </c>
      <c r="AA539" s="19">
        <f>IF($Z539="","",INT(INDEX($N539:$S539,$Z539)))</f>
        <v/>
      </c>
      <c r="AB539" s="19">
        <f>IF(OR($Z539="",$Z539=6),"",WORKDAY($AA539,CHOOSE($Z539,3,3,2,2,3),Holidays))</f>
        <v/>
      </c>
      <c r="AC539" s="17">
        <f>IF(OR($Z539="",$Z539=6),"",CHOOSE($Z539,"1st Email Follow-up","2nd Email Follow-up","Escalate Local Office","Escalate to CBE","Escalate to Roxanne"))</f>
        <v/>
      </c>
    </row>
    <row r="540" spans="13:29">
      <c r="M540" s="14"/>
      <c r="T540" s="16"/>
      <c r="U540" s="17">
        <f>IF(AND(COUNTA($A540:$L540)=0,$N540=""),"",IF($T540="Paid","PAID",IF($T540="Closed","CLOSED",IF($Z540="","",IF($Z540=6,"ESCALATED TO ROXANNE",IF(TODAY()&gt;$AB540,"OVERDUE",IF($AB540&lt;=WORKDAY(TODAY(),1,Holidays),"DUE TOMORROW",IF($Z540=4,"ESCALATED TO LOCAL OFFICE",IF($Z540=5,"ESCALATED TO CBE",IF($AA540=TODAY(),"EMAIL SENT","MONITORING"))))))))))</f>
        <v/>
      </c>
      <c r="V540" s="17">
        <f>IF($U540="",IF(AND(COUNTA($A540:$L540)&gt;0,$N540=""),"Awaiting Collection Email time stamp.",""),IF(OR($U540="PAID",$U540="CLOSED"),IF($U540="PAID","Account paid. Action completed.","Account closed. No further action required."),CHOOSE($Z540,"Collection Email","1st Email Follow-up","2nd Email Follow-up","Escalation to Local Office","Escalation to CBE","Escalation to Roxanne")&amp;" sent "&amp;TEXT($AA540,"dd-mmm")&amp;". "&amp;IF($Z540=6,"Final escalation completed.",IF($U540="OVERDUE","Next: "&amp;$AC540&amp;" was due "&amp;TEXT($AB540,"dd-mmm")&amp;" - "&amp;(NETWORKDAYS($AB540,TODAY(),Holidays)-1)&amp;" business day(s) late. Send now.",IF($U540="DUE TOMORROW","Next: "&amp;$AC540&amp;IF($AB540&lt;=TODAY()," is due TODAY ("," is due next business day (")&amp;TEXT($AB540,"dd-mmm")&amp;").","Next: "&amp;$AC540&amp;" due "&amp;TEXT($AB540,"dd-mmm")&amp;" ("&amp;(NETWORKDAYS(TODAY(),$AB540,Holidays)-1)&amp;" business day(s) left).")))))</f>
        <v/>
      </c>
      <c r="W540" s="17">
        <f>IF($Z540="","",CHOOSE($Z540,"Collection Email","1st Follow-up","2nd Follow-up","Local Office","CBE","Roxanne")&amp;IF($Z540=6," - Final"," - Day "&amp;MAX(0,NETWORKDAYS($AA540,TODAY(),Holidays)-1)&amp;" of "&amp;CHOOSE($Z540,3,3,2,2,3))&amp;" | Total Day "&amp;MAX(0,NETWORKDAYS($N540,TODAY(),Holidays)-1))</f>
        <v/>
      </c>
      <c r="X540" s="18"/>
      <c r="Y540" s="18"/>
      <c r="Z540" s="17">
        <f>IF($N540="","",COUNT($N540:$S540))</f>
        <v/>
      </c>
      <c r="AA540" s="19">
        <f>IF($Z540="","",INT(INDEX($N540:$S540,$Z540)))</f>
        <v/>
      </c>
      <c r="AB540" s="19">
        <f>IF(OR($Z540="",$Z540=6),"",WORKDAY($AA540,CHOOSE($Z540,3,3,2,2,3),Holidays))</f>
        <v/>
      </c>
      <c r="AC540" s="17">
        <f>IF(OR($Z540="",$Z540=6),"",CHOOSE($Z540,"1st Email Follow-up","2nd Email Follow-up","Escalate Local Office","Escalate to CBE","Escalate to Roxanne"))</f>
        <v/>
      </c>
    </row>
    <row r="541" spans="13:29">
      <c r="M541" s="14"/>
      <c r="T541" s="16"/>
      <c r="U541" s="17">
        <f>IF(AND(COUNTA($A541:$L541)=0,$N541=""),"",IF($T541="Paid","PAID",IF($T541="Closed","CLOSED",IF($Z541="","",IF($Z541=6,"ESCALATED TO ROXANNE",IF(TODAY()&gt;$AB541,"OVERDUE",IF($AB541&lt;=WORKDAY(TODAY(),1,Holidays),"DUE TOMORROW",IF($Z541=4,"ESCALATED TO LOCAL OFFICE",IF($Z541=5,"ESCALATED TO CBE",IF($AA541=TODAY(),"EMAIL SENT","MONITORING"))))))))))</f>
        <v/>
      </c>
      <c r="V541" s="17">
        <f>IF($U541="",IF(AND(COUNTA($A541:$L541)&gt;0,$N541=""),"Awaiting Collection Email time stamp.",""),IF(OR($U541="PAID",$U541="CLOSED"),IF($U541="PAID","Account paid. Action completed.","Account closed. No further action required."),CHOOSE($Z541,"Collection Email","1st Email Follow-up","2nd Email Follow-up","Escalation to Local Office","Escalation to CBE","Escalation to Roxanne")&amp;" sent "&amp;TEXT($AA541,"dd-mmm")&amp;". "&amp;IF($Z541=6,"Final escalation completed.",IF($U541="OVERDUE","Next: "&amp;$AC541&amp;" was due "&amp;TEXT($AB541,"dd-mmm")&amp;" - "&amp;(NETWORKDAYS($AB541,TODAY(),Holidays)-1)&amp;" business day(s) late. Send now.",IF($U541="DUE TOMORROW","Next: "&amp;$AC541&amp;IF($AB541&lt;=TODAY()," is due TODAY ("," is due next business day (")&amp;TEXT($AB541,"dd-mmm")&amp;").","Next: "&amp;$AC541&amp;" due "&amp;TEXT($AB541,"dd-mmm")&amp;" ("&amp;(NETWORKDAYS(TODAY(),$AB541,Holidays)-1)&amp;" business day(s) left).")))))</f>
        <v/>
      </c>
      <c r="W541" s="17">
        <f>IF($Z541="","",CHOOSE($Z541,"Collection Email","1st Follow-up","2nd Follow-up","Local Office","CBE","Roxanne")&amp;IF($Z541=6," - Final"," - Day "&amp;MAX(0,NETWORKDAYS($AA541,TODAY(),Holidays)-1)&amp;" of "&amp;CHOOSE($Z541,3,3,2,2,3))&amp;" | Total Day "&amp;MAX(0,NETWORKDAYS($N541,TODAY(),Holidays)-1))</f>
        <v/>
      </c>
      <c r="X541" s="18"/>
      <c r="Y541" s="18"/>
      <c r="Z541" s="17">
        <f>IF($N541="","",COUNT($N541:$S541))</f>
        <v/>
      </c>
      <c r="AA541" s="19">
        <f>IF($Z541="","",INT(INDEX($N541:$S541,$Z541)))</f>
        <v/>
      </c>
      <c r="AB541" s="19">
        <f>IF(OR($Z541="",$Z541=6),"",WORKDAY($AA541,CHOOSE($Z541,3,3,2,2,3),Holidays))</f>
        <v/>
      </c>
      <c r="AC541" s="17">
        <f>IF(OR($Z541="",$Z541=6),"",CHOOSE($Z541,"1st Email Follow-up","2nd Email Follow-up","Escalate Local Office","Escalate to CBE","Escalate to Roxanne"))</f>
        <v/>
      </c>
    </row>
    <row r="542" spans="13:29">
      <c r="M542" s="14"/>
      <c r="T542" s="16"/>
      <c r="U542" s="17">
        <f>IF(AND(COUNTA($A542:$L542)=0,$N542=""),"",IF($T542="Paid","PAID",IF($T542="Closed","CLOSED",IF($Z542="","",IF($Z542=6,"ESCALATED TO ROXANNE",IF(TODAY()&gt;$AB542,"OVERDUE",IF($AB542&lt;=WORKDAY(TODAY(),1,Holidays),"DUE TOMORROW",IF($Z542=4,"ESCALATED TO LOCAL OFFICE",IF($Z542=5,"ESCALATED TO CBE",IF($AA542=TODAY(),"EMAIL SENT","MONITORING"))))))))))</f>
        <v/>
      </c>
      <c r="V542" s="17">
        <f>IF($U542="",IF(AND(COUNTA($A542:$L542)&gt;0,$N542=""),"Awaiting Collection Email time stamp.",""),IF(OR($U542="PAID",$U542="CLOSED"),IF($U542="PAID","Account paid. Action completed.","Account closed. No further action required."),CHOOSE($Z542,"Collection Email","1st Email Follow-up","2nd Email Follow-up","Escalation to Local Office","Escalation to CBE","Escalation to Roxanne")&amp;" sent "&amp;TEXT($AA542,"dd-mmm")&amp;". "&amp;IF($Z542=6,"Final escalation completed.",IF($U542="OVERDUE","Next: "&amp;$AC542&amp;" was due "&amp;TEXT($AB542,"dd-mmm")&amp;" - "&amp;(NETWORKDAYS($AB542,TODAY(),Holidays)-1)&amp;" business day(s) late. Send now.",IF($U542="DUE TOMORROW","Next: "&amp;$AC542&amp;IF($AB542&lt;=TODAY()," is due TODAY ("," is due next business day (")&amp;TEXT($AB542,"dd-mmm")&amp;").","Next: "&amp;$AC542&amp;" due "&amp;TEXT($AB542,"dd-mmm")&amp;" ("&amp;(NETWORKDAYS(TODAY(),$AB542,Holidays)-1)&amp;" business day(s) left).")))))</f>
        <v/>
      </c>
      <c r="W542" s="17">
        <f>IF($Z542="","",CHOOSE($Z542,"Collection Email","1st Follow-up","2nd Follow-up","Local Office","CBE","Roxanne")&amp;IF($Z542=6," - Final"," - Day "&amp;MAX(0,NETWORKDAYS($AA542,TODAY(),Holidays)-1)&amp;" of "&amp;CHOOSE($Z542,3,3,2,2,3))&amp;" | Total Day "&amp;MAX(0,NETWORKDAYS($N542,TODAY(),Holidays)-1))</f>
        <v/>
      </c>
      <c r="X542" s="18"/>
      <c r="Y542" s="18"/>
      <c r="Z542" s="17">
        <f>IF($N542="","",COUNT($N542:$S542))</f>
        <v/>
      </c>
      <c r="AA542" s="19">
        <f>IF($Z542="","",INT(INDEX($N542:$S542,$Z542)))</f>
        <v/>
      </c>
      <c r="AB542" s="19">
        <f>IF(OR($Z542="",$Z542=6),"",WORKDAY($AA542,CHOOSE($Z542,3,3,2,2,3),Holidays))</f>
        <v/>
      </c>
      <c r="AC542" s="17">
        <f>IF(OR($Z542="",$Z542=6),"",CHOOSE($Z542,"1st Email Follow-up","2nd Email Follow-up","Escalate Local Office","Escalate to CBE","Escalate to Roxanne"))</f>
        <v/>
      </c>
    </row>
    <row r="543" spans="13:29">
      <c r="M543" s="14"/>
      <c r="T543" s="16"/>
      <c r="U543" s="17">
        <f>IF(AND(COUNTA($A543:$L543)=0,$N543=""),"",IF($T543="Paid","PAID",IF($T543="Closed","CLOSED",IF($Z543="","",IF($Z543=6,"ESCALATED TO ROXANNE",IF(TODAY()&gt;$AB543,"OVERDUE",IF($AB543&lt;=WORKDAY(TODAY(),1,Holidays),"DUE TOMORROW",IF($Z543=4,"ESCALATED TO LOCAL OFFICE",IF($Z543=5,"ESCALATED TO CBE",IF($AA543=TODAY(),"EMAIL SENT","MONITORING"))))))))))</f>
        <v/>
      </c>
      <c r="V543" s="17">
        <f>IF($U543="",IF(AND(COUNTA($A543:$L543)&gt;0,$N543=""),"Awaiting Collection Email time stamp.",""),IF(OR($U543="PAID",$U543="CLOSED"),IF($U543="PAID","Account paid. Action completed.","Account closed. No further action required."),CHOOSE($Z543,"Collection Email","1st Email Follow-up","2nd Email Follow-up","Escalation to Local Office","Escalation to CBE","Escalation to Roxanne")&amp;" sent "&amp;TEXT($AA543,"dd-mmm")&amp;". "&amp;IF($Z543=6,"Final escalation completed.",IF($U543="OVERDUE","Next: "&amp;$AC543&amp;" was due "&amp;TEXT($AB543,"dd-mmm")&amp;" - "&amp;(NETWORKDAYS($AB543,TODAY(),Holidays)-1)&amp;" business day(s) late. Send now.",IF($U543="DUE TOMORROW","Next: "&amp;$AC543&amp;IF($AB543&lt;=TODAY()," is due TODAY ("," is due next business day (")&amp;TEXT($AB543,"dd-mmm")&amp;").","Next: "&amp;$AC543&amp;" due "&amp;TEXT($AB543,"dd-mmm")&amp;" ("&amp;(NETWORKDAYS(TODAY(),$AB543,Holidays)-1)&amp;" business day(s) left).")))))</f>
        <v/>
      </c>
      <c r="W543" s="17">
        <f>IF($Z543="","",CHOOSE($Z543,"Collection Email","1st Follow-up","2nd Follow-up","Local Office","CBE","Roxanne")&amp;IF($Z543=6," - Final"," - Day "&amp;MAX(0,NETWORKDAYS($AA543,TODAY(),Holidays)-1)&amp;" of "&amp;CHOOSE($Z543,3,3,2,2,3))&amp;" | Total Day "&amp;MAX(0,NETWORKDAYS($N543,TODAY(),Holidays)-1))</f>
        <v/>
      </c>
      <c r="X543" s="18"/>
      <c r="Y543" s="18"/>
      <c r="Z543" s="17">
        <f>IF($N543="","",COUNT($N543:$S543))</f>
        <v/>
      </c>
      <c r="AA543" s="19">
        <f>IF($Z543="","",INT(INDEX($N543:$S543,$Z543)))</f>
        <v/>
      </c>
      <c r="AB543" s="19">
        <f>IF(OR($Z543="",$Z543=6),"",WORKDAY($AA543,CHOOSE($Z543,3,3,2,2,3),Holidays))</f>
        <v/>
      </c>
      <c r="AC543" s="17">
        <f>IF(OR($Z543="",$Z543=6),"",CHOOSE($Z543,"1st Email Follow-up","2nd Email Follow-up","Escalate Local Office","Escalate to CBE","Escalate to Roxanne"))</f>
        <v/>
      </c>
    </row>
    <row r="544" spans="13:29">
      <c r="M544" s="14"/>
      <c r="T544" s="16"/>
      <c r="U544" s="17">
        <f>IF(AND(COUNTA($A544:$L544)=0,$N544=""),"",IF($T544="Paid","PAID",IF($T544="Closed","CLOSED",IF($Z544="","",IF($Z544=6,"ESCALATED TO ROXANNE",IF(TODAY()&gt;$AB544,"OVERDUE",IF($AB544&lt;=WORKDAY(TODAY(),1,Holidays),"DUE TOMORROW",IF($Z544=4,"ESCALATED TO LOCAL OFFICE",IF($Z544=5,"ESCALATED TO CBE",IF($AA544=TODAY(),"EMAIL SENT","MONITORING"))))))))))</f>
        <v/>
      </c>
      <c r="V544" s="17">
        <f>IF($U544="",IF(AND(COUNTA($A544:$L544)&gt;0,$N544=""),"Awaiting Collection Email time stamp.",""),IF(OR($U544="PAID",$U544="CLOSED"),IF($U544="PAID","Account paid. Action completed.","Account closed. No further action required."),CHOOSE($Z544,"Collection Email","1st Email Follow-up","2nd Email Follow-up","Escalation to Local Office","Escalation to CBE","Escalation to Roxanne")&amp;" sent "&amp;TEXT($AA544,"dd-mmm")&amp;". "&amp;IF($Z544=6,"Final escalation completed.",IF($U544="OVERDUE","Next: "&amp;$AC544&amp;" was due "&amp;TEXT($AB544,"dd-mmm")&amp;" - "&amp;(NETWORKDAYS($AB544,TODAY(),Holidays)-1)&amp;" business day(s) late. Send now.",IF($U544="DUE TOMORROW","Next: "&amp;$AC544&amp;IF($AB544&lt;=TODAY()," is due TODAY ("," is due next business day (")&amp;TEXT($AB544,"dd-mmm")&amp;").","Next: "&amp;$AC544&amp;" due "&amp;TEXT($AB544,"dd-mmm")&amp;" ("&amp;(NETWORKDAYS(TODAY(),$AB544,Holidays)-1)&amp;" business day(s) left).")))))</f>
        <v/>
      </c>
      <c r="W544" s="17">
        <f>IF($Z544="","",CHOOSE($Z544,"Collection Email","1st Follow-up","2nd Follow-up","Local Office","CBE","Roxanne")&amp;IF($Z544=6," - Final"," - Day "&amp;MAX(0,NETWORKDAYS($AA544,TODAY(),Holidays)-1)&amp;" of "&amp;CHOOSE($Z544,3,3,2,2,3))&amp;" | Total Day "&amp;MAX(0,NETWORKDAYS($N544,TODAY(),Holidays)-1))</f>
        <v/>
      </c>
      <c r="X544" s="18"/>
      <c r="Y544" s="18"/>
      <c r="Z544" s="17">
        <f>IF($N544="","",COUNT($N544:$S544))</f>
        <v/>
      </c>
      <c r="AA544" s="19">
        <f>IF($Z544="","",INT(INDEX($N544:$S544,$Z544)))</f>
        <v/>
      </c>
      <c r="AB544" s="19">
        <f>IF(OR($Z544="",$Z544=6),"",WORKDAY($AA544,CHOOSE($Z544,3,3,2,2,3),Holidays))</f>
        <v/>
      </c>
      <c r="AC544" s="17">
        <f>IF(OR($Z544="",$Z544=6),"",CHOOSE($Z544,"1st Email Follow-up","2nd Email Follow-up","Escalate Local Office","Escalate to CBE","Escalate to Roxanne"))</f>
        <v/>
      </c>
    </row>
    <row r="545" spans="13:29">
      <c r="M545" s="14"/>
      <c r="T545" s="16"/>
      <c r="U545" s="17">
        <f>IF(AND(COUNTA($A545:$L545)=0,$N545=""),"",IF($T545="Paid","PAID",IF($T545="Closed","CLOSED",IF($Z545="","",IF($Z545=6,"ESCALATED TO ROXANNE",IF(TODAY()&gt;$AB545,"OVERDUE",IF($AB545&lt;=WORKDAY(TODAY(),1,Holidays),"DUE TOMORROW",IF($Z545=4,"ESCALATED TO LOCAL OFFICE",IF($Z545=5,"ESCALATED TO CBE",IF($AA545=TODAY(),"EMAIL SENT","MONITORING"))))))))))</f>
        <v/>
      </c>
      <c r="V545" s="17">
        <f>IF($U545="",IF(AND(COUNTA($A545:$L545)&gt;0,$N545=""),"Awaiting Collection Email time stamp.",""),IF(OR($U545="PAID",$U545="CLOSED"),IF($U545="PAID","Account paid. Action completed.","Account closed. No further action required."),CHOOSE($Z545,"Collection Email","1st Email Follow-up","2nd Email Follow-up","Escalation to Local Office","Escalation to CBE","Escalation to Roxanne")&amp;" sent "&amp;TEXT($AA545,"dd-mmm")&amp;". "&amp;IF($Z545=6,"Final escalation completed.",IF($U545="OVERDUE","Next: "&amp;$AC545&amp;" was due "&amp;TEXT($AB545,"dd-mmm")&amp;" - "&amp;(NETWORKDAYS($AB545,TODAY(),Holidays)-1)&amp;" business day(s) late. Send now.",IF($U545="DUE TOMORROW","Next: "&amp;$AC545&amp;IF($AB545&lt;=TODAY()," is due TODAY ("," is due next business day (")&amp;TEXT($AB545,"dd-mmm")&amp;").","Next: "&amp;$AC545&amp;" due "&amp;TEXT($AB545,"dd-mmm")&amp;" ("&amp;(NETWORKDAYS(TODAY(),$AB545,Holidays)-1)&amp;" business day(s) left).")))))</f>
        <v/>
      </c>
      <c r="W545" s="17">
        <f>IF($Z545="","",CHOOSE($Z545,"Collection Email","1st Follow-up","2nd Follow-up","Local Office","CBE","Roxanne")&amp;IF($Z545=6," - Final"," - Day "&amp;MAX(0,NETWORKDAYS($AA545,TODAY(),Holidays)-1)&amp;" of "&amp;CHOOSE($Z545,3,3,2,2,3))&amp;" | Total Day "&amp;MAX(0,NETWORKDAYS($N545,TODAY(),Holidays)-1))</f>
        <v/>
      </c>
      <c r="X545" s="18"/>
      <c r="Y545" s="18"/>
      <c r="Z545" s="17">
        <f>IF($N545="","",COUNT($N545:$S545))</f>
        <v/>
      </c>
      <c r="AA545" s="19">
        <f>IF($Z545="","",INT(INDEX($N545:$S545,$Z545)))</f>
        <v/>
      </c>
      <c r="AB545" s="19">
        <f>IF(OR($Z545="",$Z545=6),"",WORKDAY($AA545,CHOOSE($Z545,3,3,2,2,3),Holidays))</f>
        <v/>
      </c>
      <c r="AC545" s="17">
        <f>IF(OR($Z545="",$Z545=6),"",CHOOSE($Z545,"1st Email Follow-up","2nd Email Follow-up","Escalate Local Office","Escalate to CBE","Escalate to Roxanne"))</f>
        <v/>
      </c>
    </row>
    <row r="546" spans="13:29">
      <c r="M546" s="14"/>
      <c r="T546" s="16"/>
      <c r="U546" s="17">
        <f>IF(AND(COUNTA($A546:$L546)=0,$N546=""),"",IF($T546="Paid","PAID",IF($T546="Closed","CLOSED",IF($Z546="","",IF($Z546=6,"ESCALATED TO ROXANNE",IF(TODAY()&gt;$AB546,"OVERDUE",IF($AB546&lt;=WORKDAY(TODAY(),1,Holidays),"DUE TOMORROW",IF($Z546=4,"ESCALATED TO LOCAL OFFICE",IF($Z546=5,"ESCALATED TO CBE",IF($AA546=TODAY(),"EMAIL SENT","MONITORING"))))))))))</f>
        <v/>
      </c>
      <c r="V546" s="17">
        <f>IF($U546="",IF(AND(COUNTA($A546:$L546)&gt;0,$N546=""),"Awaiting Collection Email time stamp.",""),IF(OR($U546="PAID",$U546="CLOSED"),IF($U546="PAID","Account paid. Action completed.","Account closed. No further action required."),CHOOSE($Z546,"Collection Email","1st Email Follow-up","2nd Email Follow-up","Escalation to Local Office","Escalation to CBE","Escalation to Roxanne")&amp;" sent "&amp;TEXT($AA546,"dd-mmm")&amp;". "&amp;IF($Z546=6,"Final escalation completed.",IF($U546="OVERDUE","Next: "&amp;$AC546&amp;" was due "&amp;TEXT($AB546,"dd-mmm")&amp;" - "&amp;(NETWORKDAYS($AB546,TODAY(),Holidays)-1)&amp;" business day(s) late. Send now.",IF($U546="DUE TOMORROW","Next: "&amp;$AC546&amp;IF($AB546&lt;=TODAY()," is due TODAY ("," is due next business day (")&amp;TEXT($AB546,"dd-mmm")&amp;").","Next: "&amp;$AC546&amp;" due "&amp;TEXT($AB546,"dd-mmm")&amp;" ("&amp;(NETWORKDAYS(TODAY(),$AB546,Holidays)-1)&amp;" business day(s) left).")))))</f>
        <v/>
      </c>
      <c r="W546" s="17">
        <f>IF($Z546="","",CHOOSE($Z546,"Collection Email","1st Follow-up","2nd Follow-up","Local Office","CBE","Roxanne")&amp;IF($Z546=6," - Final"," - Day "&amp;MAX(0,NETWORKDAYS($AA546,TODAY(),Holidays)-1)&amp;" of "&amp;CHOOSE($Z546,3,3,2,2,3))&amp;" | Total Day "&amp;MAX(0,NETWORKDAYS($N546,TODAY(),Holidays)-1))</f>
        <v/>
      </c>
      <c r="X546" s="18"/>
      <c r="Y546" s="18"/>
      <c r="Z546" s="17">
        <f>IF($N546="","",COUNT($N546:$S546))</f>
        <v/>
      </c>
      <c r="AA546" s="19">
        <f>IF($Z546="","",INT(INDEX($N546:$S546,$Z546)))</f>
        <v/>
      </c>
      <c r="AB546" s="19">
        <f>IF(OR($Z546="",$Z546=6),"",WORKDAY($AA546,CHOOSE($Z546,3,3,2,2,3),Holidays))</f>
        <v/>
      </c>
      <c r="AC546" s="17">
        <f>IF(OR($Z546="",$Z546=6),"",CHOOSE($Z546,"1st Email Follow-up","2nd Email Follow-up","Escalate Local Office","Escalate to CBE","Escalate to Roxanne"))</f>
        <v/>
      </c>
    </row>
    <row r="547" spans="13:29">
      <c r="M547" s="14"/>
      <c r="T547" s="16"/>
      <c r="U547" s="17">
        <f>IF(AND(COUNTA($A547:$L547)=0,$N547=""),"",IF($T547="Paid","PAID",IF($T547="Closed","CLOSED",IF($Z547="","",IF($Z547=6,"ESCALATED TO ROXANNE",IF(TODAY()&gt;$AB547,"OVERDUE",IF($AB547&lt;=WORKDAY(TODAY(),1,Holidays),"DUE TOMORROW",IF($Z547=4,"ESCALATED TO LOCAL OFFICE",IF($Z547=5,"ESCALATED TO CBE",IF($AA547=TODAY(),"EMAIL SENT","MONITORING"))))))))))</f>
        <v/>
      </c>
      <c r="V547" s="17">
        <f>IF($U547="",IF(AND(COUNTA($A547:$L547)&gt;0,$N547=""),"Awaiting Collection Email time stamp.",""),IF(OR($U547="PAID",$U547="CLOSED"),IF($U547="PAID","Account paid. Action completed.","Account closed. No further action required."),CHOOSE($Z547,"Collection Email","1st Email Follow-up","2nd Email Follow-up","Escalation to Local Office","Escalation to CBE","Escalation to Roxanne")&amp;" sent "&amp;TEXT($AA547,"dd-mmm")&amp;". "&amp;IF($Z547=6,"Final escalation completed.",IF($U547="OVERDUE","Next: "&amp;$AC547&amp;" was due "&amp;TEXT($AB547,"dd-mmm")&amp;" - "&amp;(NETWORKDAYS($AB547,TODAY(),Holidays)-1)&amp;" business day(s) late. Send now.",IF($U547="DUE TOMORROW","Next: "&amp;$AC547&amp;IF($AB547&lt;=TODAY()," is due TODAY ("," is due next business day (")&amp;TEXT($AB547,"dd-mmm")&amp;").","Next: "&amp;$AC547&amp;" due "&amp;TEXT($AB547,"dd-mmm")&amp;" ("&amp;(NETWORKDAYS(TODAY(),$AB547,Holidays)-1)&amp;" business day(s) left).")))))</f>
        <v/>
      </c>
      <c r="W547" s="17">
        <f>IF($Z547="","",CHOOSE($Z547,"Collection Email","1st Follow-up","2nd Follow-up","Local Office","CBE","Roxanne")&amp;IF($Z547=6," - Final"," - Day "&amp;MAX(0,NETWORKDAYS($AA547,TODAY(),Holidays)-1)&amp;" of "&amp;CHOOSE($Z547,3,3,2,2,3))&amp;" | Total Day "&amp;MAX(0,NETWORKDAYS($N547,TODAY(),Holidays)-1))</f>
        <v/>
      </c>
      <c r="X547" s="18"/>
      <c r="Y547" s="18"/>
      <c r="Z547" s="17">
        <f>IF($N547="","",COUNT($N547:$S547))</f>
        <v/>
      </c>
      <c r="AA547" s="19">
        <f>IF($Z547="","",INT(INDEX($N547:$S547,$Z547)))</f>
        <v/>
      </c>
      <c r="AB547" s="19">
        <f>IF(OR($Z547="",$Z547=6),"",WORKDAY($AA547,CHOOSE($Z547,3,3,2,2,3),Holidays))</f>
        <v/>
      </c>
      <c r="AC547" s="17">
        <f>IF(OR($Z547="",$Z547=6),"",CHOOSE($Z547,"1st Email Follow-up","2nd Email Follow-up","Escalate Local Office","Escalate to CBE","Escalate to Roxanne"))</f>
        <v/>
      </c>
    </row>
    <row r="548" spans="13:29">
      <c r="M548" s="14"/>
      <c r="T548" s="16"/>
      <c r="U548" s="17">
        <f>IF(AND(COUNTA($A548:$L548)=0,$N548=""),"",IF($T548="Paid","PAID",IF($T548="Closed","CLOSED",IF($Z548="","",IF($Z548=6,"ESCALATED TO ROXANNE",IF(TODAY()&gt;$AB548,"OVERDUE",IF($AB548&lt;=WORKDAY(TODAY(),1,Holidays),"DUE TOMORROW",IF($Z548=4,"ESCALATED TO LOCAL OFFICE",IF($Z548=5,"ESCALATED TO CBE",IF($AA548=TODAY(),"EMAIL SENT","MONITORING"))))))))))</f>
        <v/>
      </c>
      <c r="V548" s="17">
        <f>IF($U548="",IF(AND(COUNTA($A548:$L548)&gt;0,$N548=""),"Awaiting Collection Email time stamp.",""),IF(OR($U548="PAID",$U548="CLOSED"),IF($U548="PAID","Account paid. Action completed.","Account closed. No further action required."),CHOOSE($Z548,"Collection Email","1st Email Follow-up","2nd Email Follow-up","Escalation to Local Office","Escalation to CBE","Escalation to Roxanne")&amp;" sent "&amp;TEXT($AA548,"dd-mmm")&amp;". "&amp;IF($Z548=6,"Final escalation completed.",IF($U548="OVERDUE","Next: "&amp;$AC548&amp;" was due "&amp;TEXT($AB548,"dd-mmm")&amp;" - "&amp;(NETWORKDAYS($AB548,TODAY(),Holidays)-1)&amp;" business day(s) late. Send now.",IF($U548="DUE TOMORROW","Next: "&amp;$AC548&amp;IF($AB548&lt;=TODAY()," is due TODAY ("," is due next business day (")&amp;TEXT($AB548,"dd-mmm")&amp;").","Next: "&amp;$AC548&amp;" due "&amp;TEXT($AB548,"dd-mmm")&amp;" ("&amp;(NETWORKDAYS(TODAY(),$AB548,Holidays)-1)&amp;" business day(s) left).")))))</f>
        <v/>
      </c>
      <c r="W548" s="17">
        <f>IF($Z548="","",CHOOSE($Z548,"Collection Email","1st Follow-up","2nd Follow-up","Local Office","CBE","Roxanne")&amp;IF($Z548=6," - Final"," - Day "&amp;MAX(0,NETWORKDAYS($AA548,TODAY(),Holidays)-1)&amp;" of "&amp;CHOOSE($Z548,3,3,2,2,3))&amp;" | Total Day "&amp;MAX(0,NETWORKDAYS($N548,TODAY(),Holidays)-1))</f>
        <v/>
      </c>
      <c r="X548" s="18"/>
      <c r="Y548" s="18"/>
      <c r="Z548" s="17">
        <f>IF($N548="","",COUNT($N548:$S548))</f>
        <v/>
      </c>
      <c r="AA548" s="19">
        <f>IF($Z548="","",INT(INDEX($N548:$S548,$Z548)))</f>
        <v/>
      </c>
      <c r="AB548" s="19">
        <f>IF(OR($Z548="",$Z548=6),"",WORKDAY($AA548,CHOOSE($Z548,3,3,2,2,3),Holidays))</f>
        <v/>
      </c>
      <c r="AC548" s="17">
        <f>IF(OR($Z548="",$Z548=6),"",CHOOSE($Z548,"1st Email Follow-up","2nd Email Follow-up","Escalate Local Office","Escalate to CBE","Escalate to Roxanne"))</f>
        <v/>
      </c>
    </row>
    <row r="549" spans="13:29">
      <c r="M549" s="14"/>
      <c r="T549" s="16"/>
      <c r="U549" s="17">
        <f>IF(AND(COUNTA($A549:$L549)=0,$N549=""),"",IF($T549="Paid","PAID",IF($T549="Closed","CLOSED",IF($Z549="","",IF($Z549=6,"ESCALATED TO ROXANNE",IF(TODAY()&gt;$AB549,"OVERDUE",IF($AB549&lt;=WORKDAY(TODAY(),1,Holidays),"DUE TOMORROW",IF($Z549=4,"ESCALATED TO LOCAL OFFICE",IF($Z549=5,"ESCALATED TO CBE",IF($AA549=TODAY(),"EMAIL SENT","MONITORING"))))))))))</f>
        <v/>
      </c>
      <c r="V549" s="17">
        <f>IF($U549="",IF(AND(COUNTA($A549:$L549)&gt;0,$N549=""),"Awaiting Collection Email time stamp.",""),IF(OR($U549="PAID",$U549="CLOSED"),IF($U549="PAID","Account paid. Action completed.","Account closed. No further action required."),CHOOSE($Z549,"Collection Email","1st Email Follow-up","2nd Email Follow-up","Escalation to Local Office","Escalation to CBE","Escalation to Roxanne")&amp;" sent "&amp;TEXT($AA549,"dd-mmm")&amp;". "&amp;IF($Z549=6,"Final escalation completed.",IF($U549="OVERDUE","Next: "&amp;$AC549&amp;" was due "&amp;TEXT($AB549,"dd-mmm")&amp;" - "&amp;(NETWORKDAYS($AB549,TODAY(),Holidays)-1)&amp;" business day(s) late. Send now.",IF($U549="DUE TOMORROW","Next: "&amp;$AC549&amp;IF($AB549&lt;=TODAY()," is due TODAY ("," is due next business day (")&amp;TEXT($AB549,"dd-mmm")&amp;").","Next: "&amp;$AC549&amp;" due "&amp;TEXT($AB549,"dd-mmm")&amp;" ("&amp;(NETWORKDAYS(TODAY(),$AB549,Holidays)-1)&amp;" business day(s) left).")))))</f>
        <v/>
      </c>
      <c r="W549" s="17">
        <f>IF($Z549="","",CHOOSE($Z549,"Collection Email","1st Follow-up","2nd Follow-up","Local Office","CBE","Roxanne")&amp;IF($Z549=6," - Final"," - Day "&amp;MAX(0,NETWORKDAYS($AA549,TODAY(),Holidays)-1)&amp;" of "&amp;CHOOSE($Z549,3,3,2,2,3))&amp;" | Total Day "&amp;MAX(0,NETWORKDAYS($N549,TODAY(),Holidays)-1))</f>
        <v/>
      </c>
      <c r="X549" s="18"/>
      <c r="Y549" s="18"/>
      <c r="Z549" s="17">
        <f>IF($N549="","",COUNT($N549:$S549))</f>
        <v/>
      </c>
      <c r="AA549" s="19">
        <f>IF($Z549="","",INT(INDEX($N549:$S549,$Z549)))</f>
        <v/>
      </c>
      <c r="AB549" s="19">
        <f>IF(OR($Z549="",$Z549=6),"",WORKDAY($AA549,CHOOSE($Z549,3,3,2,2,3),Holidays))</f>
        <v/>
      </c>
      <c r="AC549" s="17">
        <f>IF(OR($Z549="",$Z549=6),"",CHOOSE($Z549,"1st Email Follow-up","2nd Email Follow-up","Escalate Local Office","Escalate to CBE","Escalate to Roxanne"))</f>
        <v/>
      </c>
    </row>
    <row r="550" spans="13:29">
      <c r="M550" s="14"/>
      <c r="T550" s="16"/>
      <c r="U550" s="17">
        <f>IF(AND(COUNTA($A550:$L550)=0,$N550=""),"",IF($T550="Paid","PAID",IF($T550="Closed","CLOSED",IF($Z550="","",IF($Z550=6,"ESCALATED TO ROXANNE",IF(TODAY()&gt;$AB550,"OVERDUE",IF($AB550&lt;=WORKDAY(TODAY(),1,Holidays),"DUE TOMORROW",IF($Z550=4,"ESCALATED TO LOCAL OFFICE",IF($Z550=5,"ESCALATED TO CBE",IF($AA550=TODAY(),"EMAIL SENT","MONITORING"))))))))))</f>
        <v/>
      </c>
      <c r="V550" s="17">
        <f>IF($U550="",IF(AND(COUNTA($A550:$L550)&gt;0,$N550=""),"Awaiting Collection Email time stamp.",""),IF(OR($U550="PAID",$U550="CLOSED"),IF($U550="PAID","Account paid. Action completed.","Account closed. No further action required."),CHOOSE($Z550,"Collection Email","1st Email Follow-up","2nd Email Follow-up","Escalation to Local Office","Escalation to CBE","Escalation to Roxanne")&amp;" sent "&amp;TEXT($AA550,"dd-mmm")&amp;". "&amp;IF($Z550=6,"Final escalation completed.",IF($U550="OVERDUE","Next: "&amp;$AC550&amp;" was due "&amp;TEXT($AB550,"dd-mmm")&amp;" - "&amp;(NETWORKDAYS($AB550,TODAY(),Holidays)-1)&amp;" business day(s) late. Send now.",IF($U550="DUE TOMORROW","Next: "&amp;$AC550&amp;IF($AB550&lt;=TODAY()," is due TODAY ("," is due next business day (")&amp;TEXT($AB550,"dd-mmm")&amp;").","Next: "&amp;$AC550&amp;" due "&amp;TEXT($AB550,"dd-mmm")&amp;" ("&amp;(NETWORKDAYS(TODAY(),$AB550,Holidays)-1)&amp;" business day(s) left).")))))</f>
        <v/>
      </c>
      <c r="W550" s="17">
        <f>IF($Z550="","",CHOOSE($Z550,"Collection Email","1st Follow-up","2nd Follow-up","Local Office","CBE","Roxanne")&amp;IF($Z550=6," - Final"," - Day "&amp;MAX(0,NETWORKDAYS($AA550,TODAY(),Holidays)-1)&amp;" of "&amp;CHOOSE($Z550,3,3,2,2,3))&amp;" | Total Day "&amp;MAX(0,NETWORKDAYS($N550,TODAY(),Holidays)-1))</f>
        <v/>
      </c>
      <c r="X550" s="18"/>
      <c r="Y550" s="18"/>
      <c r="Z550" s="17">
        <f>IF($N550="","",COUNT($N550:$S550))</f>
        <v/>
      </c>
      <c r="AA550" s="19">
        <f>IF($Z550="","",INT(INDEX($N550:$S550,$Z550)))</f>
        <v/>
      </c>
      <c r="AB550" s="19">
        <f>IF(OR($Z550="",$Z550=6),"",WORKDAY($AA550,CHOOSE($Z550,3,3,2,2,3),Holidays))</f>
        <v/>
      </c>
      <c r="AC550" s="17">
        <f>IF(OR($Z550="",$Z550=6),"",CHOOSE($Z550,"1st Email Follow-up","2nd Email Follow-up","Escalate Local Office","Escalate to CBE","Escalate to Roxanne"))</f>
        <v/>
      </c>
    </row>
    <row r="551" spans="13:29">
      <c r="M551" s="14"/>
      <c r="T551" s="16"/>
      <c r="U551" s="17">
        <f>IF(AND(COUNTA($A551:$L551)=0,$N551=""),"",IF($T551="Paid","PAID",IF($T551="Closed","CLOSED",IF($Z551="","",IF($Z551=6,"ESCALATED TO ROXANNE",IF(TODAY()&gt;$AB551,"OVERDUE",IF($AB551&lt;=WORKDAY(TODAY(),1,Holidays),"DUE TOMORROW",IF($Z551=4,"ESCALATED TO LOCAL OFFICE",IF($Z551=5,"ESCALATED TO CBE",IF($AA551=TODAY(),"EMAIL SENT","MONITORING"))))))))))</f>
        <v/>
      </c>
      <c r="V551" s="17">
        <f>IF($U551="",IF(AND(COUNTA($A551:$L551)&gt;0,$N551=""),"Awaiting Collection Email time stamp.",""),IF(OR($U551="PAID",$U551="CLOSED"),IF($U551="PAID","Account paid. Action completed.","Account closed. No further action required."),CHOOSE($Z551,"Collection Email","1st Email Follow-up","2nd Email Follow-up","Escalation to Local Office","Escalation to CBE","Escalation to Roxanne")&amp;" sent "&amp;TEXT($AA551,"dd-mmm")&amp;". "&amp;IF($Z551=6,"Final escalation completed.",IF($U551="OVERDUE","Next: "&amp;$AC551&amp;" was due "&amp;TEXT($AB551,"dd-mmm")&amp;" - "&amp;(NETWORKDAYS($AB551,TODAY(),Holidays)-1)&amp;" business day(s) late. Send now.",IF($U551="DUE TOMORROW","Next: "&amp;$AC551&amp;IF($AB551&lt;=TODAY()," is due TODAY ("," is due next business day (")&amp;TEXT($AB551,"dd-mmm")&amp;").","Next: "&amp;$AC551&amp;" due "&amp;TEXT($AB551,"dd-mmm")&amp;" ("&amp;(NETWORKDAYS(TODAY(),$AB551,Holidays)-1)&amp;" business day(s) left).")))))</f>
        <v/>
      </c>
      <c r="W551" s="17">
        <f>IF($Z551="","",CHOOSE($Z551,"Collection Email","1st Follow-up","2nd Follow-up","Local Office","CBE","Roxanne")&amp;IF($Z551=6," - Final"," - Day "&amp;MAX(0,NETWORKDAYS($AA551,TODAY(),Holidays)-1)&amp;" of "&amp;CHOOSE($Z551,3,3,2,2,3))&amp;" | Total Day "&amp;MAX(0,NETWORKDAYS($N551,TODAY(),Holidays)-1))</f>
        <v/>
      </c>
      <c r="X551" s="18"/>
      <c r="Y551" s="18"/>
      <c r="Z551" s="17">
        <f>IF($N551="","",COUNT($N551:$S551))</f>
        <v/>
      </c>
      <c r="AA551" s="19">
        <f>IF($Z551="","",INT(INDEX($N551:$S551,$Z551)))</f>
        <v/>
      </c>
      <c r="AB551" s="19">
        <f>IF(OR($Z551="",$Z551=6),"",WORKDAY($AA551,CHOOSE($Z551,3,3,2,2,3),Holidays))</f>
        <v/>
      </c>
      <c r="AC551" s="17">
        <f>IF(OR($Z551="",$Z551=6),"",CHOOSE($Z551,"1st Email Follow-up","2nd Email Follow-up","Escalate Local Office","Escalate to CBE","Escalate to Roxanne"))</f>
        <v/>
      </c>
    </row>
    <row r="552" spans="13:29">
      <c r="M552" s="14"/>
      <c r="T552" s="16"/>
      <c r="U552" s="17">
        <f>IF(AND(COUNTA($A552:$L552)=0,$N552=""),"",IF($T552="Paid","PAID",IF($T552="Closed","CLOSED",IF($Z552="","",IF($Z552=6,"ESCALATED TO ROXANNE",IF(TODAY()&gt;$AB552,"OVERDUE",IF($AB552&lt;=WORKDAY(TODAY(),1,Holidays),"DUE TOMORROW",IF($Z552=4,"ESCALATED TO LOCAL OFFICE",IF($Z552=5,"ESCALATED TO CBE",IF($AA552=TODAY(),"EMAIL SENT","MONITORING"))))))))))</f>
        <v/>
      </c>
      <c r="V552" s="17">
        <f>IF($U552="",IF(AND(COUNTA($A552:$L552)&gt;0,$N552=""),"Awaiting Collection Email time stamp.",""),IF(OR($U552="PAID",$U552="CLOSED"),IF($U552="PAID","Account paid. Action completed.","Account closed. No further action required."),CHOOSE($Z552,"Collection Email","1st Email Follow-up","2nd Email Follow-up","Escalation to Local Office","Escalation to CBE","Escalation to Roxanne")&amp;" sent "&amp;TEXT($AA552,"dd-mmm")&amp;". "&amp;IF($Z552=6,"Final escalation completed.",IF($U552="OVERDUE","Next: "&amp;$AC552&amp;" was due "&amp;TEXT($AB552,"dd-mmm")&amp;" - "&amp;(NETWORKDAYS($AB552,TODAY(),Holidays)-1)&amp;" business day(s) late. Send now.",IF($U552="DUE TOMORROW","Next: "&amp;$AC552&amp;IF($AB552&lt;=TODAY()," is due TODAY ("," is due next business day (")&amp;TEXT($AB552,"dd-mmm")&amp;").","Next: "&amp;$AC552&amp;" due "&amp;TEXT($AB552,"dd-mmm")&amp;" ("&amp;(NETWORKDAYS(TODAY(),$AB552,Holidays)-1)&amp;" business day(s) left).")))))</f>
        <v/>
      </c>
      <c r="W552" s="17">
        <f>IF($Z552="","",CHOOSE($Z552,"Collection Email","1st Follow-up","2nd Follow-up","Local Office","CBE","Roxanne")&amp;IF($Z552=6," - Final"," - Day "&amp;MAX(0,NETWORKDAYS($AA552,TODAY(),Holidays)-1)&amp;" of "&amp;CHOOSE($Z552,3,3,2,2,3))&amp;" | Total Day "&amp;MAX(0,NETWORKDAYS($N552,TODAY(),Holidays)-1))</f>
        <v/>
      </c>
      <c r="X552" s="18"/>
      <c r="Y552" s="18"/>
      <c r="Z552" s="17">
        <f>IF($N552="","",COUNT($N552:$S552))</f>
        <v/>
      </c>
      <c r="AA552" s="19">
        <f>IF($Z552="","",INT(INDEX($N552:$S552,$Z552)))</f>
        <v/>
      </c>
      <c r="AB552" s="19">
        <f>IF(OR($Z552="",$Z552=6),"",WORKDAY($AA552,CHOOSE($Z552,3,3,2,2,3),Holidays))</f>
        <v/>
      </c>
      <c r="AC552" s="17">
        <f>IF(OR($Z552="",$Z552=6),"",CHOOSE($Z552,"1st Email Follow-up","2nd Email Follow-up","Escalate Local Office","Escalate to CBE","Escalate to Roxanne"))</f>
        <v/>
      </c>
    </row>
    <row r="553" spans="13:29">
      <c r="M553" s="14"/>
      <c r="T553" s="16"/>
      <c r="U553" s="17">
        <f>IF(AND(COUNTA($A553:$L553)=0,$N553=""),"",IF($T553="Paid","PAID",IF($T553="Closed","CLOSED",IF($Z553="","",IF($Z553=6,"ESCALATED TO ROXANNE",IF(TODAY()&gt;$AB553,"OVERDUE",IF($AB553&lt;=WORKDAY(TODAY(),1,Holidays),"DUE TOMORROW",IF($Z553=4,"ESCALATED TO LOCAL OFFICE",IF($Z553=5,"ESCALATED TO CBE",IF($AA553=TODAY(),"EMAIL SENT","MONITORING"))))))))))</f>
        <v/>
      </c>
      <c r="V553" s="17">
        <f>IF($U553="",IF(AND(COUNTA($A553:$L553)&gt;0,$N553=""),"Awaiting Collection Email time stamp.",""),IF(OR($U553="PAID",$U553="CLOSED"),IF($U553="PAID","Account paid. Action completed.","Account closed. No further action required."),CHOOSE($Z553,"Collection Email","1st Email Follow-up","2nd Email Follow-up","Escalation to Local Office","Escalation to CBE","Escalation to Roxanne")&amp;" sent "&amp;TEXT($AA553,"dd-mmm")&amp;". "&amp;IF($Z553=6,"Final escalation completed.",IF($U553="OVERDUE","Next: "&amp;$AC553&amp;" was due "&amp;TEXT($AB553,"dd-mmm")&amp;" - "&amp;(NETWORKDAYS($AB553,TODAY(),Holidays)-1)&amp;" business day(s) late. Send now.",IF($U553="DUE TOMORROW","Next: "&amp;$AC553&amp;IF($AB553&lt;=TODAY()," is due TODAY ("," is due next business day (")&amp;TEXT($AB553,"dd-mmm")&amp;").","Next: "&amp;$AC553&amp;" due "&amp;TEXT($AB553,"dd-mmm")&amp;" ("&amp;(NETWORKDAYS(TODAY(),$AB553,Holidays)-1)&amp;" business day(s) left).")))))</f>
        <v/>
      </c>
      <c r="W553" s="17">
        <f>IF($Z553="","",CHOOSE($Z553,"Collection Email","1st Follow-up","2nd Follow-up","Local Office","CBE","Roxanne")&amp;IF($Z553=6," - Final"," - Day "&amp;MAX(0,NETWORKDAYS($AA553,TODAY(),Holidays)-1)&amp;" of "&amp;CHOOSE($Z553,3,3,2,2,3))&amp;" | Total Day "&amp;MAX(0,NETWORKDAYS($N553,TODAY(),Holidays)-1))</f>
        <v/>
      </c>
      <c r="X553" s="18"/>
      <c r="Y553" s="18"/>
      <c r="Z553" s="17">
        <f>IF($N553="","",COUNT($N553:$S553))</f>
        <v/>
      </c>
      <c r="AA553" s="19">
        <f>IF($Z553="","",INT(INDEX($N553:$S553,$Z553)))</f>
        <v/>
      </c>
      <c r="AB553" s="19">
        <f>IF(OR($Z553="",$Z553=6),"",WORKDAY($AA553,CHOOSE($Z553,3,3,2,2,3),Holidays))</f>
        <v/>
      </c>
      <c r="AC553" s="17">
        <f>IF(OR($Z553="",$Z553=6),"",CHOOSE($Z553,"1st Email Follow-up","2nd Email Follow-up","Escalate Local Office","Escalate to CBE","Escalate to Roxanne"))</f>
        <v/>
      </c>
    </row>
    <row r="554" spans="13:29">
      <c r="M554" s="14"/>
      <c r="T554" s="16"/>
      <c r="U554" s="17">
        <f>IF(AND(COUNTA($A554:$L554)=0,$N554=""),"",IF($T554="Paid","PAID",IF($T554="Closed","CLOSED",IF($Z554="","",IF($Z554=6,"ESCALATED TO ROXANNE",IF(TODAY()&gt;$AB554,"OVERDUE",IF($AB554&lt;=WORKDAY(TODAY(),1,Holidays),"DUE TOMORROW",IF($Z554=4,"ESCALATED TO LOCAL OFFICE",IF($Z554=5,"ESCALATED TO CBE",IF($AA554=TODAY(),"EMAIL SENT","MONITORING"))))))))))</f>
        <v/>
      </c>
      <c r="V554" s="17">
        <f>IF($U554="",IF(AND(COUNTA($A554:$L554)&gt;0,$N554=""),"Awaiting Collection Email time stamp.",""),IF(OR($U554="PAID",$U554="CLOSED"),IF($U554="PAID","Account paid. Action completed.","Account closed. No further action required."),CHOOSE($Z554,"Collection Email","1st Email Follow-up","2nd Email Follow-up","Escalation to Local Office","Escalation to CBE","Escalation to Roxanne")&amp;" sent "&amp;TEXT($AA554,"dd-mmm")&amp;". "&amp;IF($Z554=6,"Final escalation completed.",IF($U554="OVERDUE","Next: "&amp;$AC554&amp;" was due "&amp;TEXT($AB554,"dd-mmm")&amp;" - "&amp;(NETWORKDAYS($AB554,TODAY(),Holidays)-1)&amp;" business day(s) late. Send now.",IF($U554="DUE TOMORROW","Next: "&amp;$AC554&amp;IF($AB554&lt;=TODAY()," is due TODAY ("," is due next business day (")&amp;TEXT($AB554,"dd-mmm")&amp;").","Next: "&amp;$AC554&amp;" due "&amp;TEXT($AB554,"dd-mmm")&amp;" ("&amp;(NETWORKDAYS(TODAY(),$AB554,Holidays)-1)&amp;" business day(s) left).")))))</f>
        <v/>
      </c>
      <c r="W554" s="17">
        <f>IF($Z554="","",CHOOSE($Z554,"Collection Email","1st Follow-up","2nd Follow-up","Local Office","CBE","Roxanne")&amp;IF($Z554=6," - Final"," - Day "&amp;MAX(0,NETWORKDAYS($AA554,TODAY(),Holidays)-1)&amp;" of "&amp;CHOOSE($Z554,3,3,2,2,3))&amp;" | Total Day "&amp;MAX(0,NETWORKDAYS($N554,TODAY(),Holidays)-1))</f>
        <v/>
      </c>
      <c r="X554" s="18"/>
      <c r="Y554" s="18"/>
      <c r="Z554" s="17">
        <f>IF($N554="","",COUNT($N554:$S554))</f>
        <v/>
      </c>
      <c r="AA554" s="19">
        <f>IF($Z554="","",INT(INDEX($N554:$S554,$Z554)))</f>
        <v/>
      </c>
      <c r="AB554" s="19">
        <f>IF(OR($Z554="",$Z554=6),"",WORKDAY($AA554,CHOOSE($Z554,3,3,2,2,3),Holidays))</f>
        <v/>
      </c>
      <c r="AC554" s="17">
        <f>IF(OR($Z554="",$Z554=6),"",CHOOSE($Z554,"1st Email Follow-up","2nd Email Follow-up","Escalate Local Office","Escalate to CBE","Escalate to Roxanne"))</f>
        <v/>
      </c>
    </row>
    <row r="555" spans="13:29">
      <c r="M555" s="14"/>
      <c r="T555" s="16"/>
      <c r="U555" s="17">
        <f>IF(AND(COUNTA($A555:$L555)=0,$N555=""),"",IF($T555="Paid","PAID",IF($T555="Closed","CLOSED",IF($Z555="","",IF($Z555=6,"ESCALATED TO ROXANNE",IF(TODAY()&gt;$AB555,"OVERDUE",IF($AB555&lt;=WORKDAY(TODAY(),1,Holidays),"DUE TOMORROW",IF($Z555=4,"ESCALATED TO LOCAL OFFICE",IF($Z555=5,"ESCALATED TO CBE",IF($AA555=TODAY(),"EMAIL SENT","MONITORING"))))))))))</f>
        <v/>
      </c>
      <c r="V555" s="17">
        <f>IF($U555="",IF(AND(COUNTA($A555:$L555)&gt;0,$N555=""),"Awaiting Collection Email time stamp.",""),IF(OR($U555="PAID",$U555="CLOSED"),IF($U555="PAID","Account paid. Action completed.","Account closed. No further action required."),CHOOSE($Z555,"Collection Email","1st Email Follow-up","2nd Email Follow-up","Escalation to Local Office","Escalation to CBE","Escalation to Roxanne")&amp;" sent "&amp;TEXT($AA555,"dd-mmm")&amp;". "&amp;IF($Z555=6,"Final escalation completed.",IF($U555="OVERDUE","Next: "&amp;$AC555&amp;" was due "&amp;TEXT($AB555,"dd-mmm")&amp;" - "&amp;(NETWORKDAYS($AB555,TODAY(),Holidays)-1)&amp;" business day(s) late. Send now.",IF($U555="DUE TOMORROW","Next: "&amp;$AC555&amp;IF($AB555&lt;=TODAY()," is due TODAY ("," is due next business day (")&amp;TEXT($AB555,"dd-mmm")&amp;").","Next: "&amp;$AC555&amp;" due "&amp;TEXT($AB555,"dd-mmm")&amp;" ("&amp;(NETWORKDAYS(TODAY(),$AB555,Holidays)-1)&amp;" business day(s) left).")))))</f>
        <v/>
      </c>
      <c r="W555" s="17">
        <f>IF($Z555="","",CHOOSE($Z555,"Collection Email","1st Follow-up","2nd Follow-up","Local Office","CBE","Roxanne")&amp;IF($Z555=6," - Final"," - Day "&amp;MAX(0,NETWORKDAYS($AA555,TODAY(),Holidays)-1)&amp;" of "&amp;CHOOSE($Z555,3,3,2,2,3))&amp;" | Total Day "&amp;MAX(0,NETWORKDAYS($N555,TODAY(),Holidays)-1))</f>
        <v/>
      </c>
      <c r="X555" s="18"/>
      <c r="Y555" s="18"/>
      <c r="Z555" s="17">
        <f>IF($N555="","",COUNT($N555:$S555))</f>
        <v/>
      </c>
      <c r="AA555" s="19">
        <f>IF($Z555="","",INT(INDEX($N555:$S555,$Z555)))</f>
        <v/>
      </c>
      <c r="AB555" s="19">
        <f>IF(OR($Z555="",$Z555=6),"",WORKDAY($AA555,CHOOSE($Z555,3,3,2,2,3),Holidays))</f>
        <v/>
      </c>
      <c r="AC555" s="17">
        <f>IF(OR($Z555="",$Z555=6),"",CHOOSE($Z555,"1st Email Follow-up","2nd Email Follow-up","Escalate Local Office","Escalate to CBE","Escalate to Roxanne"))</f>
        <v/>
      </c>
    </row>
    <row r="556" spans="13:29">
      <c r="M556" s="14"/>
      <c r="T556" s="16"/>
      <c r="U556" s="17">
        <f>IF(AND(COUNTA($A556:$L556)=0,$N556=""),"",IF($T556="Paid","PAID",IF($T556="Closed","CLOSED",IF($Z556="","",IF($Z556=6,"ESCALATED TO ROXANNE",IF(TODAY()&gt;$AB556,"OVERDUE",IF($AB556&lt;=WORKDAY(TODAY(),1,Holidays),"DUE TOMORROW",IF($Z556=4,"ESCALATED TO LOCAL OFFICE",IF($Z556=5,"ESCALATED TO CBE",IF($AA556=TODAY(),"EMAIL SENT","MONITORING"))))))))))</f>
        <v/>
      </c>
      <c r="V556" s="17">
        <f>IF($U556="",IF(AND(COUNTA($A556:$L556)&gt;0,$N556=""),"Awaiting Collection Email time stamp.",""),IF(OR($U556="PAID",$U556="CLOSED"),IF($U556="PAID","Account paid. Action completed.","Account closed. No further action required."),CHOOSE($Z556,"Collection Email","1st Email Follow-up","2nd Email Follow-up","Escalation to Local Office","Escalation to CBE","Escalation to Roxanne")&amp;" sent "&amp;TEXT($AA556,"dd-mmm")&amp;". "&amp;IF($Z556=6,"Final escalation completed.",IF($U556="OVERDUE","Next: "&amp;$AC556&amp;" was due "&amp;TEXT($AB556,"dd-mmm")&amp;" - "&amp;(NETWORKDAYS($AB556,TODAY(),Holidays)-1)&amp;" business day(s) late. Send now.",IF($U556="DUE TOMORROW","Next: "&amp;$AC556&amp;IF($AB556&lt;=TODAY()," is due TODAY ("," is due next business day (")&amp;TEXT($AB556,"dd-mmm")&amp;").","Next: "&amp;$AC556&amp;" due "&amp;TEXT($AB556,"dd-mmm")&amp;" ("&amp;(NETWORKDAYS(TODAY(),$AB556,Holidays)-1)&amp;" business day(s) left).")))))</f>
        <v/>
      </c>
      <c r="W556" s="17">
        <f>IF($Z556="","",CHOOSE($Z556,"Collection Email","1st Follow-up","2nd Follow-up","Local Office","CBE","Roxanne")&amp;IF($Z556=6," - Final"," - Day "&amp;MAX(0,NETWORKDAYS($AA556,TODAY(),Holidays)-1)&amp;" of "&amp;CHOOSE($Z556,3,3,2,2,3))&amp;" | Total Day "&amp;MAX(0,NETWORKDAYS($N556,TODAY(),Holidays)-1))</f>
        <v/>
      </c>
      <c r="X556" s="18"/>
      <c r="Y556" s="18"/>
      <c r="Z556" s="17">
        <f>IF($N556="","",COUNT($N556:$S556))</f>
        <v/>
      </c>
      <c r="AA556" s="19">
        <f>IF($Z556="","",INT(INDEX($N556:$S556,$Z556)))</f>
        <v/>
      </c>
      <c r="AB556" s="19">
        <f>IF(OR($Z556="",$Z556=6),"",WORKDAY($AA556,CHOOSE($Z556,3,3,2,2,3),Holidays))</f>
        <v/>
      </c>
      <c r="AC556" s="17">
        <f>IF(OR($Z556="",$Z556=6),"",CHOOSE($Z556,"1st Email Follow-up","2nd Email Follow-up","Escalate Local Office","Escalate to CBE","Escalate to Roxanne"))</f>
        <v/>
      </c>
    </row>
    <row r="557" spans="13:29">
      <c r="M557" s="14"/>
      <c r="T557" s="16"/>
      <c r="U557" s="17">
        <f>IF(AND(COUNTA($A557:$L557)=0,$N557=""),"",IF($T557="Paid","PAID",IF($T557="Closed","CLOSED",IF($Z557="","",IF($Z557=6,"ESCALATED TO ROXANNE",IF(TODAY()&gt;$AB557,"OVERDUE",IF($AB557&lt;=WORKDAY(TODAY(),1,Holidays),"DUE TOMORROW",IF($Z557=4,"ESCALATED TO LOCAL OFFICE",IF($Z557=5,"ESCALATED TO CBE",IF($AA557=TODAY(),"EMAIL SENT","MONITORING"))))))))))</f>
        <v/>
      </c>
      <c r="V557" s="17">
        <f>IF($U557="",IF(AND(COUNTA($A557:$L557)&gt;0,$N557=""),"Awaiting Collection Email time stamp.",""),IF(OR($U557="PAID",$U557="CLOSED"),IF($U557="PAID","Account paid. Action completed.","Account closed. No further action required."),CHOOSE($Z557,"Collection Email","1st Email Follow-up","2nd Email Follow-up","Escalation to Local Office","Escalation to CBE","Escalation to Roxanne")&amp;" sent "&amp;TEXT($AA557,"dd-mmm")&amp;". "&amp;IF($Z557=6,"Final escalation completed.",IF($U557="OVERDUE","Next: "&amp;$AC557&amp;" was due "&amp;TEXT($AB557,"dd-mmm")&amp;" - "&amp;(NETWORKDAYS($AB557,TODAY(),Holidays)-1)&amp;" business day(s) late. Send now.",IF($U557="DUE TOMORROW","Next: "&amp;$AC557&amp;IF($AB557&lt;=TODAY()," is due TODAY ("," is due next business day (")&amp;TEXT($AB557,"dd-mmm")&amp;").","Next: "&amp;$AC557&amp;" due "&amp;TEXT($AB557,"dd-mmm")&amp;" ("&amp;(NETWORKDAYS(TODAY(),$AB557,Holidays)-1)&amp;" business day(s) left).")))))</f>
        <v/>
      </c>
      <c r="W557" s="17">
        <f>IF($Z557="","",CHOOSE($Z557,"Collection Email","1st Follow-up","2nd Follow-up","Local Office","CBE","Roxanne")&amp;IF($Z557=6," - Final"," - Day "&amp;MAX(0,NETWORKDAYS($AA557,TODAY(),Holidays)-1)&amp;" of "&amp;CHOOSE($Z557,3,3,2,2,3))&amp;" | Total Day "&amp;MAX(0,NETWORKDAYS($N557,TODAY(),Holidays)-1))</f>
        <v/>
      </c>
      <c r="X557" s="18"/>
      <c r="Y557" s="18"/>
      <c r="Z557" s="17">
        <f>IF($N557="","",COUNT($N557:$S557))</f>
        <v/>
      </c>
      <c r="AA557" s="19">
        <f>IF($Z557="","",INT(INDEX($N557:$S557,$Z557)))</f>
        <v/>
      </c>
      <c r="AB557" s="19">
        <f>IF(OR($Z557="",$Z557=6),"",WORKDAY($AA557,CHOOSE($Z557,3,3,2,2,3),Holidays))</f>
        <v/>
      </c>
      <c r="AC557" s="17">
        <f>IF(OR($Z557="",$Z557=6),"",CHOOSE($Z557,"1st Email Follow-up","2nd Email Follow-up","Escalate Local Office","Escalate to CBE","Escalate to Roxanne"))</f>
        <v/>
      </c>
    </row>
    <row r="558" spans="13:29">
      <c r="M558" s="14"/>
      <c r="T558" s="16"/>
      <c r="U558" s="17">
        <f>IF(AND(COUNTA($A558:$L558)=0,$N558=""),"",IF($T558="Paid","PAID",IF($T558="Closed","CLOSED",IF($Z558="","",IF($Z558=6,"ESCALATED TO ROXANNE",IF(TODAY()&gt;$AB558,"OVERDUE",IF($AB558&lt;=WORKDAY(TODAY(),1,Holidays),"DUE TOMORROW",IF($Z558=4,"ESCALATED TO LOCAL OFFICE",IF($Z558=5,"ESCALATED TO CBE",IF($AA558=TODAY(),"EMAIL SENT","MONITORING"))))))))))</f>
        <v/>
      </c>
      <c r="V558" s="17">
        <f>IF($U558="",IF(AND(COUNTA($A558:$L558)&gt;0,$N558=""),"Awaiting Collection Email time stamp.",""),IF(OR($U558="PAID",$U558="CLOSED"),IF($U558="PAID","Account paid. Action completed.","Account closed. No further action required."),CHOOSE($Z558,"Collection Email","1st Email Follow-up","2nd Email Follow-up","Escalation to Local Office","Escalation to CBE","Escalation to Roxanne")&amp;" sent "&amp;TEXT($AA558,"dd-mmm")&amp;". "&amp;IF($Z558=6,"Final escalation completed.",IF($U558="OVERDUE","Next: "&amp;$AC558&amp;" was due "&amp;TEXT($AB558,"dd-mmm")&amp;" - "&amp;(NETWORKDAYS($AB558,TODAY(),Holidays)-1)&amp;" business day(s) late. Send now.",IF($U558="DUE TOMORROW","Next: "&amp;$AC558&amp;IF($AB558&lt;=TODAY()," is due TODAY ("," is due next business day (")&amp;TEXT($AB558,"dd-mmm")&amp;").","Next: "&amp;$AC558&amp;" due "&amp;TEXT($AB558,"dd-mmm")&amp;" ("&amp;(NETWORKDAYS(TODAY(),$AB558,Holidays)-1)&amp;" business day(s) left).")))))</f>
        <v/>
      </c>
      <c r="W558" s="17">
        <f>IF($Z558="","",CHOOSE($Z558,"Collection Email","1st Follow-up","2nd Follow-up","Local Office","CBE","Roxanne")&amp;IF($Z558=6," - Final"," - Day "&amp;MAX(0,NETWORKDAYS($AA558,TODAY(),Holidays)-1)&amp;" of "&amp;CHOOSE($Z558,3,3,2,2,3))&amp;" | Total Day "&amp;MAX(0,NETWORKDAYS($N558,TODAY(),Holidays)-1))</f>
        <v/>
      </c>
      <c r="X558" s="18"/>
      <c r="Y558" s="18"/>
      <c r="Z558" s="17">
        <f>IF($N558="","",COUNT($N558:$S558))</f>
        <v/>
      </c>
      <c r="AA558" s="19">
        <f>IF($Z558="","",INT(INDEX($N558:$S558,$Z558)))</f>
        <v/>
      </c>
      <c r="AB558" s="19">
        <f>IF(OR($Z558="",$Z558=6),"",WORKDAY($AA558,CHOOSE($Z558,3,3,2,2,3),Holidays))</f>
        <v/>
      </c>
      <c r="AC558" s="17">
        <f>IF(OR($Z558="",$Z558=6),"",CHOOSE($Z558,"1st Email Follow-up","2nd Email Follow-up","Escalate Local Office","Escalate to CBE","Escalate to Roxanne"))</f>
        <v/>
      </c>
    </row>
    <row r="559" spans="13:29">
      <c r="M559" s="14"/>
      <c r="T559" s="16"/>
      <c r="U559" s="17">
        <f>IF(AND(COUNTA($A559:$L559)=0,$N559=""),"",IF($T559="Paid","PAID",IF($T559="Closed","CLOSED",IF($Z559="","",IF($Z559=6,"ESCALATED TO ROXANNE",IF(TODAY()&gt;$AB559,"OVERDUE",IF($AB559&lt;=WORKDAY(TODAY(),1,Holidays),"DUE TOMORROW",IF($Z559=4,"ESCALATED TO LOCAL OFFICE",IF($Z559=5,"ESCALATED TO CBE",IF($AA559=TODAY(),"EMAIL SENT","MONITORING"))))))))))</f>
        <v/>
      </c>
      <c r="V559" s="17">
        <f>IF($U559="",IF(AND(COUNTA($A559:$L559)&gt;0,$N559=""),"Awaiting Collection Email time stamp.",""),IF(OR($U559="PAID",$U559="CLOSED"),IF($U559="PAID","Account paid. Action completed.","Account closed. No further action required."),CHOOSE($Z559,"Collection Email","1st Email Follow-up","2nd Email Follow-up","Escalation to Local Office","Escalation to CBE","Escalation to Roxanne")&amp;" sent "&amp;TEXT($AA559,"dd-mmm")&amp;". "&amp;IF($Z559=6,"Final escalation completed.",IF($U559="OVERDUE","Next: "&amp;$AC559&amp;" was due "&amp;TEXT($AB559,"dd-mmm")&amp;" - "&amp;(NETWORKDAYS($AB559,TODAY(),Holidays)-1)&amp;" business day(s) late. Send now.",IF($U559="DUE TOMORROW","Next: "&amp;$AC559&amp;IF($AB559&lt;=TODAY()," is due TODAY ("," is due next business day (")&amp;TEXT($AB559,"dd-mmm")&amp;").","Next: "&amp;$AC559&amp;" due "&amp;TEXT($AB559,"dd-mmm")&amp;" ("&amp;(NETWORKDAYS(TODAY(),$AB559,Holidays)-1)&amp;" business day(s) left).")))))</f>
        <v/>
      </c>
      <c r="W559" s="17">
        <f>IF($Z559="","",CHOOSE($Z559,"Collection Email","1st Follow-up","2nd Follow-up","Local Office","CBE","Roxanne")&amp;IF($Z559=6," - Final"," - Day "&amp;MAX(0,NETWORKDAYS($AA559,TODAY(),Holidays)-1)&amp;" of "&amp;CHOOSE($Z559,3,3,2,2,3))&amp;" | Total Day "&amp;MAX(0,NETWORKDAYS($N559,TODAY(),Holidays)-1))</f>
        <v/>
      </c>
      <c r="X559" s="18"/>
      <c r="Y559" s="18"/>
      <c r="Z559" s="17">
        <f>IF($N559="","",COUNT($N559:$S559))</f>
        <v/>
      </c>
      <c r="AA559" s="19">
        <f>IF($Z559="","",INT(INDEX($N559:$S559,$Z559)))</f>
        <v/>
      </c>
      <c r="AB559" s="19">
        <f>IF(OR($Z559="",$Z559=6),"",WORKDAY($AA559,CHOOSE($Z559,3,3,2,2,3),Holidays))</f>
        <v/>
      </c>
      <c r="AC559" s="17">
        <f>IF(OR($Z559="",$Z559=6),"",CHOOSE($Z559,"1st Email Follow-up","2nd Email Follow-up","Escalate Local Office","Escalate to CBE","Escalate to Roxanne"))</f>
        <v/>
      </c>
    </row>
    <row r="560" spans="13:29">
      <c r="M560" s="14"/>
      <c r="T560" s="16"/>
      <c r="U560" s="17">
        <f>IF(AND(COUNTA($A560:$L560)=0,$N560=""),"",IF($T560="Paid","PAID",IF($T560="Closed","CLOSED",IF($Z560="","",IF($Z560=6,"ESCALATED TO ROXANNE",IF(TODAY()&gt;$AB560,"OVERDUE",IF($AB560&lt;=WORKDAY(TODAY(),1,Holidays),"DUE TOMORROW",IF($Z560=4,"ESCALATED TO LOCAL OFFICE",IF($Z560=5,"ESCALATED TO CBE",IF($AA560=TODAY(),"EMAIL SENT","MONITORING"))))))))))</f>
        <v/>
      </c>
      <c r="V560" s="17">
        <f>IF($U560="",IF(AND(COUNTA($A560:$L560)&gt;0,$N560=""),"Awaiting Collection Email time stamp.",""),IF(OR($U560="PAID",$U560="CLOSED"),IF($U560="PAID","Account paid. Action completed.","Account closed. No further action required."),CHOOSE($Z560,"Collection Email","1st Email Follow-up","2nd Email Follow-up","Escalation to Local Office","Escalation to CBE","Escalation to Roxanne")&amp;" sent "&amp;TEXT($AA560,"dd-mmm")&amp;". "&amp;IF($Z560=6,"Final escalation completed.",IF($U560="OVERDUE","Next: "&amp;$AC560&amp;" was due "&amp;TEXT($AB560,"dd-mmm")&amp;" - "&amp;(NETWORKDAYS($AB560,TODAY(),Holidays)-1)&amp;" business day(s) late. Send now.",IF($U560="DUE TOMORROW","Next: "&amp;$AC560&amp;IF($AB560&lt;=TODAY()," is due TODAY ("," is due next business day (")&amp;TEXT($AB560,"dd-mmm")&amp;").","Next: "&amp;$AC560&amp;" due "&amp;TEXT($AB560,"dd-mmm")&amp;" ("&amp;(NETWORKDAYS(TODAY(),$AB560,Holidays)-1)&amp;" business day(s) left).")))))</f>
        <v/>
      </c>
      <c r="W560" s="17">
        <f>IF($Z560="","",CHOOSE($Z560,"Collection Email","1st Follow-up","2nd Follow-up","Local Office","CBE","Roxanne")&amp;IF($Z560=6," - Final"," - Day "&amp;MAX(0,NETWORKDAYS($AA560,TODAY(),Holidays)-1)&amp;" of "&amp;CHOOSE($Z560,3,3,2,2,3))&amp;" | Total Day "&amp;MAX(0,NETWORKDAYS($N560,TODAY(),Holidays)-1))</f>
        <v/>
      </c>
      <c r="X560" s="18"/>
      <c r="Y560" s="18"/>
      <c r="Z560" s="17">
        <f>IF($N560="","",COUNT($N560:$S560))</f>
        <v/>
      </c>
      <c r="AA560" s="19">
        <f>IF($Z560="","",INT(INDEX($N560:$S560,$Z560)))</f>
        <v/>
      </c>
      <c r="AB560" s="19">
        <f>IF(OR($Z560="",$Z560=6),"",WORKDAY($AA560,CHOOSE($Z560,3,3,2,2,3),Holidays))</f>
        <v/>
      </c>
      <c r="AC560" s="17">
        <f>IF(OR($Z560="",$Z560=6),"",CHOOSE($Z560,"1st Email Follow-up","2nd Email Follow-up","Escalate Local Office","Escalate to CBE","Escalate to Roxanne"))</f>
        <v/>
      </c>
    </row>
    <row r="561" spans="13:29">
      <c r="M561" s="14"/>
      <c r="T561" s="16"/>
      <c r="U561" s="17">
        <f>IF(AND(COUNTA($A561:$L561)=0,$N561=""),"",IF($T561="Paid","PAID",IF($T561="Closed","CLOSED",IF($Z561="","",IF($Z561=6,"ESCALATED TO ROXANNE",IF(TODAY()&gt;$AB561,"OVERDUE",IF($AB561&lt;=WORKDAY(TODAY(),1,Holidays),"DUE TOMORROW",IF($Z561=4,"ESCALATED TO LOCAL OFFICE",IF($Z561=5,"ESCALATED TO CBE",IF($AA561=TODAY(),"EMAIL SENT","MONITORING"))))))))))</f>
        <v/>
      </c>
      <c r="V561" s="17">
        <f>IF($U561="",IF(AND(COUNTA($A561:$L561)&gt;0,$N561=""),"Awaiting Collection Email time stamp.",""),IF(OR($U561="PAID",$U561="CLOSED"),IF($U561="PAID","Account paid. Action completed.","Account closed. No further action required."),CHOOSE($Z561,"Collection Email","1st Email Follow-up","2nd Email Follow-up","Escalation to Local Office","Escalation to CBE","Escalation to Roxanne")&amp;" sent "&amp;TEXT($AA561,"dd-mmm")&amp;". "&amp;IF($Z561=6,"Final escalation completed.",IF($U561="OVERDUE","Next: "&amp;$AC561&amp;" was due "&amp;TEXT($AB561,"dd-mmm")&amp;" - "&amp;(NETWORKDAYS($AB561,TODAY(),Holidays)-1)&amp;" business day(s) late. Send now.",IF($U561="DUE TOMORROW","Next: "&amp;$AC561&amp;IF($AB561&lt;=TODAY()," is due TODAY ("," is due next business day (")&amp;TEXT($AB561,"dd-mmm")&amp;").","Next: "&amp;$AC561&amp;" due "&amp;TEXT($AB561,"dd-mmm")&amp;" ("&amp;(NETWORKDAYS(TODAY(),$AB561,Holidays)-1)&amp;" business day(s) left).")))))</f>
        <v/>
      </c>
      <c r="W561" s="17">
        <f>IF($Z561="","",CHOOSE($Z561,"Collection Email","1st Follow-up","2nd Follow-up","Local Office","CBE","Roxanne")&amp;IF($Z561=6," - Final"," - Day "&amp;MAX(0,NETWORKDAYS($AA561,TODAY(),Holidays)-1)&amp;" of "&amp;CHOOSE($Z561,3,3,2,2,3))&amp;" | Total Day "&amp;MAX(0,NETWORKDAYS($N561,TODAY(),Holidays)-1))</f>
        <v/>
      </c>
      <c r="X561" s="18"/>
      <c r="Y561" s="18"/>
      <c r="Z561" s="17">
        <f>IF($N561="","",COUNT($N561:$S561))</f>
        <v/>
      </c>
      <c r="AA561" s="19">
        <f>IF($Z561="","",INT(INDEX($N561:$S561,$Z561)))</f>
        <v/>
      </c>
      <c r="AB561" s="19">
        <f>IF(OR($Z561="",$Z561=6),"",WORKDAY($AA561,CHOOSE($Z561,3,3,2,2,3),Holidays))</f>
        <v/>
      </c>
      <c r="AC561" s="17">
        <f>IF(OR($Z561="",$Z561=6),"",CHOOSE($Z561,"1st Email Follow-up","2nd Email Follow-up","Escalate Local Office","Escalate to CBE","Escalate to Roxanne"))</f>
        <v/>
      </c>
    </row>
    <row r="562" spans="13:29">
      <c r="M562" s="14"/>
      <c r="T562" s="16"/>
      <c r="U562" s="17">
        <f>IF(AND(COUNTA($A562:$L562)=0,$N562=""),"",IF($T562="Paid","PAID",IF($T562="Closed","CLOSED",IF($Z562="","",IF($Z562=6,"ESCALATED TO ROXANNE",IF(TODAY()&gt;$AB562,"OVERDUE",IF($AB562&lt;=WORKDAY(TODAY(),1,Holidays),"DUE TOMORROW",IF($Z562=4,"ESCALATED TO LOCAL OFFICE",IF($Z562=5,"ESCALATED TO CBE",IF($AA562=TODAY(),"EMAIL SENT","MONITORING"))))))))))</f>
        <v/>
      </c>
      <c r="V562" s="17">
        <f>IF($U562="",IF(AND(COUNTA($A562:$L562)&gt;0,$N562=""),"Awaiting Collection Email time stamp.",""),IF(OR($U562="PAID",$U562="CLOSED"),IF($U562="PAID","Account paid. Action completed.","Account closed. No further action required."),CHOOSE($Z562,"Collection Email","1st Email Follow-up","2nd Email Follow-up","Escalation to Local Office","Escalation to CBE","Escalation to Roxanne")&amp;" sent "&amp;TEXT($AA562,"dd-mmm")&amp;". "&amp;IF($Z562=6,"Final escalation completed.",IF($U562="OVERDUE","Next: "&amp;$AC562&amp;" was due "&amp;TEXT($AB562,"dd-mmm")&amp;" - "&amp;(NETWORKDAYS($AB562,TODAY(),Holidays)-1)&amp;" business day(s) late. Send now.",IF($U562="DUE TOMORROW","Next: "&amp;$AC562&amp;IF($AB562&lt;=TODAY()," is due TODAY ("," is due next business day (")&amp;TEXT($AB562,"dd-mmm")&amp;").","Next: "&amp;$AC562&amp;" due "&amp;TEXT($AB562,"dd-mmm")&amp;" ("&amp;(NETWORKDAYS(TODAY(),$AB562,Holidays)-1)&amp;" business day(s) left).")))))</f>
        <v/>
      </c>
      <c r="W562" s="17">
        <f>IF($Z562="","",CHOOSE($Z562,"Collection Email","1st Follow-up","2nd Follow-up","Local Office","CBE","Roxanne")&amp;IF($Z562=6," - Final"," - Day "&amp;MAX(0,NETWORKDAYS($AA562,TODAY(),Holidays)-1)&amp;" of "&amp;CHOOSE($Z562,3,3,2,2,3))&amp;" | Total Day "&amp;MAX(0,NETWORKDAYS($N562,TODAY(),Holidays)-1))</f>
        <v/>
      </c>
      <c r="X562" s="18"/>
      <c r="Y562" s="18"/>
      <c r="Z562" s="17">
        <f>IF($N562="","",COUNT($N562:$S562))</f>
        <v/>
      </c>
      <c r="AA562" s="19">
        <f>IF($Z562="","",INT(INDEX($N562:$S562,$Z562)))</f>
        <v/>
      </c>
      <c r="AB562" s="19">
        <f>IF(OR($Z562="",$Z562=6),"",WORKDAY($AA562,CHOOSE($Z562,3,3,2,2,3),Holidays))</f>
        <v/>
      </c>
      <c r="AC562" s="17">
        <f>IF(OR($Z562="",$Z562=6),"",CHOOSE($Z562,"1st Email Follow-up","2nd Email Follow-up","Escalate Local Office","Escalate to CBE","Escalate to Roxanne"))</f>
        <v/>
      </c>
    </row>
    <row r="563" spans="13:29">
      <c r="M563" s="14"/>
      <c r="T563" s="16"/>
      <c r="U563" s="17">
        <f>IF(AND(COUNTA($A563:$L563)=0,$N563=""),"",IF($T563="Paid","PAID",IF($T563="Closed","CLOSED",IF($Z563="","",IF($Z563=6,"ESCALATED TO ROXANNE",IF(TODAY()&gt;$AB563,"OVERDUE",IF($AB563&lt;=WORKDAY(TODAY(),1,Holidays),"DUE TOMORROW",IF($Z563=4,"ESCALATED TO LOCAL OFFICE",IF($Z563=5,"ESCALATED TO CBE",IF($AA563=TODAY(),"EMAIL SENT","MONITORING"))))))))))</f>
        <v/>
      </c>
      <c r="V563" s="17">
        <f>IF($U563="",IF(AND(COUNTA($A563:$L563)&gt;0,$N563=""),"Awaiting Collection Email time stamp.",""),IF(OR($U563="PAID",$U563="CLOSED"),IF($U563="PAID","Account paid. Action completed.","Account closed. No further action required."),CHOOSE($Z563,"Collection Email","1st Email Follow-up","2nd Email Follow-up","Escalation to Local Office","Escalation to CBE","Escalation to Roxanne")&amp;" sent "&amp;TEXT($AA563,"dd-mmm")&amp;". "&amp;IF($Z563=6,"Final escalation completed.",IF($U563="OVERDUE","Next: "&amp;$AC563&amp;" was due "&amp;TEXT($AB563,"dd-mmm")&amp;" - "&amp;(NETWORKDAYS($AB563,TODAY(),Holidays)-1)&amp;" business day(s) late. Send now.",IF($U563="DUE TOMORROW","Next: "&amp;$AC563&amp;IF($AB563&lt;=TODAY()," is due TODAY ("," is due next business day (")&amp;TEXT($AB563,"dd-mmm")&amp;").","Next: "&amp;$AC563&amp;" due "&amp;TEXT($AB563,"dd-mmm")&amp;" ("&amp;(NETWORKDAYS(TODAY(),$AB563,Holidays)-1)&amp;" business day(s) left).")))))</f>
        <v/>
      </c>
      <c r="W563" s="17">
        <f>IF($Z563="","",CHOOSE($Z563,"Collection Email","1st Follow-up","2nd Follow-up","Local Office","CBE","Roxanne")&amp;IF($Z563=6," - Final"," - Day "&amp;MAX(0,NETWORKDAYS($AA563,TODAY(),Holidays)-1)&amp;" of "&amp;CHOOSE($Z563,3,3,2,2,3))&amp;" | Total Day "&amp;MAX(0,NETWORKDAYS($N563,TODAY(),Holidays)-1))</f>
        <v/>
      </c>
      <c r="X563" s="18"/>
      <c r="Y563" s="18"/>
      <c r="Z563" s="17">
        <f>IF($N563="","",COUNT($N563:$S563))</f>
        <v/>
      </c>
      <c r="AA563" s="19">
        <f>IF($Z563="","",INT(INDEX($N563:$S563,$Z563)))</f>
        <v/>
      </c>
      <c r="AB563" s="19">
        <f>IF(OR($Z563="",$Z563=6),"",WORKDAY($AA563,CHOOSE($Z563,3,3,2,2,3),Holidays))</f>
        <v/>
      </c>
      <c r="AC563" s="17">
        <f>IF(OR($Z563="",$Z563=6),"",CHOOSE($Z563,"1st Email Follow-up","2nd Email Follow-up","Escalate Local Office","Escalate to CBE","Escalate to Roxanne"))</f>
        <v/>
      </c>
    </row>
    <row r="564" spans="13:29">
      <c r="M564" s="14"/>
      <c r="T564" s="16"/>
      <c r="U564" s="17">
        <f>IF(AND(COUNTA($A564:$L564)=0,$N564=""),"",IF($T564="Paid","PAID",IF($T564="Closed","CLOSED",IF($Z564="","",IF($Z564=6,"ESCALATED TO ROXANNE",IF(TODAY()&gt;$AB564,"OVERDUE",IF($AB564&lt;=WORKDAY(TODAY(),1,Holidays),"DUE TOMORROW",IF($Z564=4,"ESCALATED TO LOCAL OFFICE",IF($Z564=5,"ESCALATED TO CBE",IF($AA564=TODAY(),"EMAIL SENT","MONITORING"))))))))))</f>
        <v/>
      </c>
      <c r="V564" s="17">
        <f>IF($U564="",IF(AND(COUNTA($A564:$L564)&gt;0,$N564=""),"Awaiting Collection Email time stamp.",""),IF(OR($U564="PAID",$U564="CLOSED"),IF($U564="PAID","Account paid. Action completed.","Account closed. No further action required."),CHOOSE($Z564,"Collection Email","1st Email Follow-up","2nd Email Follow-up","Escalation to Local Office","Escalation to CBE","Escalation to Roxanne")&amp;" sent "&amp;TEXT($AA564,"dd-mmm")&amp;". "&amp;IF($Z564=6,"Final escalation completed.",IF($U564="OVERDUE","Next: "&amp;$AC564&amp;" was due "&amp;TEXT($AB564,"dd-mmm")&amp;" - "&amp;(NETWORKDAYS($AB564,TODAY(),Holidays)-1)&amp;" business day(s) late. Send now.",IF($U564="DUE TOMORROW","Next: "&amp;$AC564&amp;IF($AB564&lt;=TODAY()," is due TODAY ("," is due next business day (")&amp;TEXT($AB564,"dd-mmm")&amp;").","Next: "&amp;$AC564&amp;" due "&amp;TEXT($AB564,"dd-mmm")&amp;" ("&amp;(NETWORKDAYS(TODAY(),$AB564,Holidays)-1)&amp;" business day(s) left).")))))</f>
        <v/>
      </c>
      <c r="W564" s="17">
        <f>IF($Z564="","",CHOOSE($Z564,"Collection Email","1st Follow-up","2nd Follow-up","Local Office","CBE","Roxanne")&amp;IF($Z564=6," - Final"," - Day "&amp;MAX(0,NETWORKDAYS($AA564,TODAY(),Holidays)-1)&amp;" of "&amp;CHOOSE($Z564,3,3,2,2,3))&amp;" | Total Day "&amp;MAX(0,NETWORKDAYS($N564,TODAY(),Holidays)-1))</f>
        <v/>
      </c>
      <c r="X564" s="18"/>
      <c r="Y564" s="18"/>
      <c r="Z564" s="17">
        <f>IF($N564="","",COUNT($N564:$S564))</f>
        <v/>
      </c>
      <c r="AA564" s="19">
        <f>IF($Z564="","",INT(INDEX($N564:$S564,$Z564)))</f>
        <v/>
      </c>
      <c r="AB564" s="19">
        <f>IF(OR($Z564="",$Z564=6),"",WORKDAY($AA564,CHOOSE($Z564,3,3,2,2,3),Holidays))</f>
        <v/>
      </c>
      <c r="AC564" s="17">
        <f>IF(OR($Z564="",$Z564=6),"",CHOOSE($Z564,"1st Email Follow-up","2nd Email Follow-up","Escalate Local Office","Escalate to CBE","Escalate to Roxanne"))</f>
        <v/>
      </c>
    </row>
    <row r="565" spans="13:29">
      <c r="M565" s="14"/>
      <c r="T565" s="16"/>
      <c r="U565" s="17">
        <f>IF(AND(COUNTA($A565:$L565)=0,$N565=""),"",IF($T565="Paid","PAID",IF($T565="Closed","CLOSED",IF($Z565="","",IF($Z565=6,"ESCALATED TO ROXANNE",IF(TODAY()&gt;$AB565,"OVERDUE",IF($AB565&lt;=WORKDAY(TODAY(),1,Holidays),"DUE TOMORROW",IF($Z565=4,"ESCALATED TO LOCAL OFFICE",IF($Z565=5,"ESCALATED TO CBE",IF($AA565=TODAY(),"EMAIL SENT","MONITORING"))))))))))</f>
        <v/>
      </c>
      <c r="V565" s="17">
        <f>IF($U565="",IF(AND(COUNTA($A565:$L565)&gt;0,$N565=""),"Awaiting Collection Email time stamp.",""),IF(OR($U565="PAID",$U565="CLOSED"),IF($U565="PAID","Account paid. Action completed.","Account closed. No further action required."),CHOOSE($Z565,"Collection Email","1st Email Follow-up","2nd Email Follow-up","Escalation to Local Office","Escalation to CBE","Escalation to Roxanne")&amp;" sent "&amp;TEXT($AA565,"dd-mmm")&amp;". "&amp;IF($Z565=6,"Final escalation completed.",IF($U565="OVERDUE","Next: "&amp;$AC565&amp;" was due "&amp;TEXT($AB565,"dd-mmm")&amp;" - "&amp;(NETWORKDAYS($AB565,TODAY(),Holidays)-1)&amp;" business day(s) late. Send now.",IF($U565="DUE TOMORROW","Next: "&amp;$AC565&amp;IF($AB565&lt;=TODAY()," is due TODAY ("," is due next business day (")&amp;TEXT($AB565,"dd-mmm")&amp;").","Next: "&amp;$AC565&amp;" due "&amp;TEXT($AB565,"dd-mmm")&amp;" ("&amp;(NETWORKDAYS(TODAY(),$AB565,Holidays)-1)&amp;" business day(s) left).")))))</f>
        <v/>
      </c>
      <c r="W565" s="17">
        <f>IF($Z565="","",CHOOSE($Z565,"Collection Email","1st Follow-up","2nd Follow-up","Local Office","CBE","Roxanne")&amp;IF($Z565=6," - Final"," - Day "&amp;MAX(0,NETWORKDAYS($AA565,TODAY(),Holidays)-1)&amp;" of "&amp;CHOOSE($Z565,3,3,2,2,3))&amp;" | Total Day "&amp;MAX(0,NETWORKDAYS($N565,TODAY(),Holidays)-1))</f>
        <v/>
      </c>
      <c r="X565" s="18"/>
      <c r="Y565" s="18"/>
      <c r="Z565" s="17">
        <f>IF($N565="","",COUNT($N565:$S565))</f>
        <v/>
      </c>
      <c r="AA565" s="19">
        <f>IF($Z565="","",INT(INDEX($N565:$S565,$Z565)))</f>
        <v/>
      </c>
      <c r="AB565" s="19">
        <f>IF(OR($Z565="",$Z565=6),"",WORKDAY($AA565,CHOOSE($Z565,3,3,2,2,3),Holidays))</f>
        <v/>
      </c>
      <c r="AC565" s="17">
        <f>IF(OR($Z565="",$Z565=6),"",CHOOSE($Z565,"1st Email Follow-up","2nd Email Follow-up","Escalate Local Office","Escalate to CBE","Escalate to Roxanne"))</f>
        <v/>
      </c>
    </row>
    <row r="566" spans="13:29">
      <c r="M566" s="14"/>
      <c r="T566" s="16"/>
      <c r="U566" s="17">
        <f>IF(AND(COUNTA($A566:$L566)=0,$N566=""),"",IF($T566="Paid","PAID",IF($T566="Closed","CLOSED",IF($Z566="","",IF($Z566=6,"ESCALATED TO ROXANNE",IF(TODAY()&gt;$AB566,"OVERDUE",IF($AB566&lt;=WORKDAY(TODAY(),1,Holidays),"DUE TOMORROW",IF($Z566=4,"ESCALATED TO LOCAL OFFICE",IF($Z566=5,"ESCALATED TO CBE",IF($AA566=TODAY(),"EMAIL SENT","MONITORING"))))))))))</f>
        <v/>
      </c>
      <c r="V566" s="17">
        <f>IF($U566="",IF(AND(COUNTA($A566:$L566)&gt;0,$N566=""),"Awaiting Collection Email time stamp.",""),IF(OR($U566="PAID",$U566="CLOSED"),IF($U566="PAID","Account paid. Action completed.","Account closed. No further action required."),CHOOSE($Z566,"Collection Email","1st Email Follow-up","2nd Email Follow-up","Escalation to Local Office","Escalation to CBE","Escalation to Roxanne")&amp;" sent "&amp;TEXT($AA566,"dd-mmm")&amp;". "&amp;IF($Z566=6,"Final escalation completed.",IF($U566="OVERDUE","Next: "&amp;$AC566&amp;" was due "&amp;TEXT($AB566,"dd-mmm")&amp;" - "&amp;(NETWORKDAYS($AB566,TODAY(),Holidays)-1)&amp;" business day(s) late. Send now.",IF($U566="DUE TOMORROW","Next: "&amp;$AC566&amp;IF($AB566&lt;=TODAY()," is due TODAY ("," is due next business day (")&amp;TEXT($AB566,"dd-mmm")&amp;").","Next: "&amp;$AC566&amp;" due "&amp;TEXT($AB566,"dd-mmm")&amp;" ("&amp;(NETWORKDAYS(TODAY(),$AB566,Holidays)-1)&amp;" business day(s) left).")))))</f>
        <v/>
      </c>
      <c r="W566" s="17">
        <f>IF($Z566="","",CHOOSE($Z566,"Collection Email","1st Follow-up","2nd Follow-up","Local Office","CBE","Roxanne")&amp;IF($Z566=6," - Final"," - Day "&amp;MAX(0,NETWORKDAYS($AA566,TODAY(),Holidays)-1)&amp;" of "&amp;CHOOSE($Z566,3,3,2,2,3))&amp;" | Total Day "&amp;MAX(0,NETWORKDAYS($N566,TODAY(),Holidays)-1))</f>
        <v/>
      </c>
      <c r="X566" s="18"/>
      <c r="Y566" s="18"/>
      <c r="Z566" s="17">
        <f>IF($N566="","",COUNT($N566:$S566))</f>
        <v/>
      </c>
      <c r="AA566" s="19">
        <f>IF($Z566="","",INT(INDEX($N566:$S566,$Z566)))</f>
        <v/>
      </c>
      <c r="AB566" s="19">
        <f>IF(OR($Z566="",$Z566=6),"",WORKDAY($AA566,CHOOSE($Z566,3,3,2,2,3),Holidays))</f>
        <v/>
      </c>
      <c r="AC566" s="17">
        <f>IF(OR($Z566="",$Z566=6),"",CHOOSE($Z566,"1st Email Follow-up","2nd Email Follow-up","Escalate Local Office","Escalate to CBE","Escalate to Roxanne"))</f>
        <v/>
      </c>
    </row>
    <row r="567" spans="13:29">
      <c r="M567" s="14"/>
      <c r="T567" s="16"/>
      <c r="U567" s="17">
        <f>IF(AND(COUNTA($A567:$L567)=0,$N567=""),"",IF($T567="Paid","PAID",IF($T567="Closed","CLOSED",IF($Z567="","",IF($Z567=6,"ESCALATED TO ROXANNE",IF(TODAY()&gt;$AB567,"OVERDUE",IF($AB567&lt;=WORKDAY(TODAY(),1,Holidays),"DUE TOMORROW",IF($Z567=4,"ESCALATED TO LOCAL OFFICE",IF($Z567=5,"ESCALATED TO CBE",IF($AA567=TODAY(),"EMAIL SENT","MONITORING"))))))))))</f>
        <v/>
      </c>
      <c r="V567" s="17">
        <f>IF($U567="",IF(AND(COUNTA($A567:$L567)&gt;0,$N567=""),"Awaiting Collection Email time stamp.",""),IF(OR($U567="PAID",$U567="CLOSED"),IF($U567="PAID","Account paid. Action completed.","Account closed. No further action required."),CHOOSE($Z567,"Collection Email","1st Email Follow-up","2nd Email Follow-up","Escalation to Local Office","Escalation to CBE","Escalation to Roxanne")&amp;" sent "&amp;TEXT($AA567,"dd-mmm")&amp;". "&amp;IF($Z567=6,"Final escalation completed.",IF($U567="OVERDUE","Next: "&amp;$AC567&amp;" was due "&amp;TEXT($AB567,"dd-mmm")&amp;" - "&amp;(NETWORKDAYS($AB567,TODAY(),Holidays)-1)&amp;" business day(s) late. Send now.",IF($U567="DUE TOMORROW","Next: "&amp;$AC567&amp;IF($AB567&lt;=TODAY()," is due TODAY ("," is due next business day (")&amp;TEXT($AB567,"dd-mmm")&amp;").","Next: "&amp;$AC567&amp;" due "&amp;TEXT($AB567,"dd-mmm")&amp;" ("&amp;(NETWORKDAYS(TODAY(),$AB567,Holidays)-1)&amp;" business day(s) left).")))))</f>
        <v/>
      </c>
      <c r="W567" s="17">
        <f>IF($Z567="","",CHOOSE($Z567,"Collection Email","1st Follow-up","2nd Follow-up","Local Office","CBE","Roxanne")&amp;IF($Z567=6," - Final"," - Day "&amp;MAX(0,NETWORKDAYS($AA567,TODAY(),Holidays)-1)&amp;" of "&amp;CHOOSE($Z567,3,3,2,2,3))&amp;" | Total Day "&amp;MAX(0,NETWORKDAYS($N567,TODAY(),Holidays)-1))</f>
        <v/>
      </c>
      <c r="X567" s="18"/>
      <c r="Y567" s="18"/>
      <c r="Z567" s="17">
        <f>IF($N567="","",COUNT($N567:$S567))</f>
        <v/>
      </c>
      <c r="AA567" s="19">
        <f>IF($Z567="","",INT(INDEX($N567:$S567,$Z567)))</f>
        <v/>
      </c>
      <c r="AB567" s="19">
        <f>IF(OR($Z567="",$Z567=6),"",WORKDAY($AA567,CHOOSE($Z567,3,3,2,2,3),Holidays))</f>
        <v/>
      </c>
      <c r="AC567" s="17">
        <f>IF(OR($Z567="",$Z567=6),"",CHOOSE($Z567,"1st Email Follow-up","2nd Email Follow-up","Escalate Local Office","Escalate to CBE","Escalate to Roxanne"))</f>
        <v/>
      </c>
    </row>
    <row r="568" spans="13:29">
      <c r="M568" s="14"/>
      <c r="T568" s="16"/>
      <c r="U568" s="17">
        <f>IF(AND(COUNTA($A568:$L568)=0,$N568=""),"",IF($T568="Paid","PAID",IF($T568="Closed","CLOSED",IF($Z568="","",IF($Z568=6,"ESCALATED TO ROXANNE",IF(TODAY()&gt;$AB568,"OVERDUE",IF($AB568&lt;=WORKDAY(TODAY(),1,Holidays),"DUE TOMORROW",IF($Z568=4,"ESCALATED TO LOCAL OFFICE",IF($Z568=5,"ESCALATED TO CBE",IF($AA568=TODAY(),"EMAIL SENT","MONITORING"))))))))))</f>
        <v/>
      </c>
      <c r="V568" s="17">
        <f>IF($U568="",IF(AND(COUNTA($A568:$L568)&gt;0,$N568=""),"Awaiting Collection Email time stamp.",""),IF(OR($U568="PAID",$U568="CLOSED"),IF($U568="PAID","Account paid. Action completed.","Account closed. No further action required."),CHOOSE($Z568,"Collection Email","1st Email Follow-up","2nd Email Follow-up","Escalation to Local Office","Escalation to CBE","Escalation to Roxanne")&amp;" sent "&amp;TEXT($AA568,"dd-mmm")&amp;". "&amp;IF($Z568=6,"Final escalation completed.",IF($U568="OVERDUE","Next: "&amp;$AC568&amp;" was due "&amp;TEXT($AB568,"dd-mmm")&amp;" - "&amp;(NETWORKDAYS($AB568,TODAY(),Holidays)-1)&amp;" business day(s) late. Send now.",IF($U568="DUE TOMORROW","Next: "&amp;$AC568&amp;IF($AB568&lt;=TODAY()," is due TODAY ("," is due next business day (")&amp;TEXT($AB568,"dd-mmm")&amp;").","Next: "&amp;$AC568&amp;" due "&amp;TEXT($AB568,"dd-mmm")&amp;" ("&amp;(NETWORKDAYS(TODAY(),$AB568,Holidays)-1)&amp;" business day(s) left).")))))</f>
        <v/>
      </c>
      <c r="W568" s="17">
        <f>IF($Z568="","",CHOOSE($Z568,"Collection Email","1st Follow-up","2nd Follow-up","Local Office","CBE","Roxanne")&amp;IF($Z568=6," - Final"," - Day "&amp;MAX(0,NETWORKDAYS($AA568,TODAY(),Holidays)-1)&amp;" of "&amp;CHOOSE($Z568,3,3,2,2,3))&amp;" | Total Day "&amp;MAX(0,NETWORKDAYS($N568,TODAY(),Holidays)-1))</f>
        <v/>
      </c>
      <c r="X568" s="18"/>
      <c r="Y568" s="18"/>
      <c r="Z568" s="17">
        <f>IF($N568="","",COUNT($N568:$S568))</f>
        <v/>
      </c>
      <c r="AA568" s="19">
        <f>IF($Z568="","",INT(INDEX($N568:$S568,$Z568)))</f>
        <v/>
      </c>
      <c r="AB568" s="19">
        <f>IF(OR($Z568="",$Z568=6),"",WORKDAY($AA568,CHOOSE($Z568,3,3,2,2,3),Holidays))</f>
        <v/>
      </c>
      <c r="AC568" s="17">
        <f>IF(OR($Z568="",$Z568=6),"",CHOOSE($Z568,"1st Email Follow-up","2nd Email Follow-up","Escalate Local Office","Escalate to CBE","Escalate to Roxanne"))</f>
        <v/>
      </c>
    </row>
    <row r="569" spans="13:29">
      <c r="M569" s="14"/>
      <c r="T569" s="16"/>
      <c r="U569" s="17">
        <f>IF(AND(COUNTA($A569:$L569)=0,$N569=""),"",IF($T569="Paid","PAID",IF($T569="Closed","CLOSED",IF($Z569="","",IF($Z569=6,"ESCALATED TO ROXANNE",IF(TODAY()&gt;$AB569,"OVERDUE",IF($AB569&lt;=WORKDAY(TODAY(),1,Holidays),"DUE TOMORROW",IF($Z569=4,"ESCALATED TO LOCAL OFFICE",IF($Z569=5,"ESCALATED TO CBE",IF($AA569=TODAY(),"EMAIL SENT","MONITORING"))))))))))</f>
        <v/>
      </c>
      <c r="V569" s="17">
        <f>IF($U569="",IF(AND(COUNTA($A569:$L569)&gt;0,$N569=""),"Awaiting Collection Email time stamp.",""),IF(OR($U569="PAID",$U569="CLOSED"),IF($U569="PAID","Account paid. Action completed.","Account closed. No further action required."),CHOOSE($Z569,"Collection Email","1st Email Follow-up","2nd Email Follow-up","Escalation to Local Office","Escalation to CBE","Escalation to Roxanne")&amp;" sent "&amp;TEXT($AA569,"dd-mmm")&amp;". "&amp;IF($Z569=6,"Final escalation completed.",IF($U569="OVERDUE","Next: "&amp;$AC569&amp;" was due "&amp;TEXT($AB569,"dd-mmm")&amp;" - "&amp;(NETWORKDAYS($AB569,TODAY(),Holidays)-1)&amp;" business day(s) late. Send now.",IF($U569="DUE TOMORROW","Next: "&amp;$AC569&amp;IF($AB569&lt;=TODAY()," is due TODAY ("," is due next business day (")&amp;TEXT($AB569,"dd-mmm")&amp;").","Next: "&amp;$AC569&amp;" due "&amp;TEXT($AB569,"dd-mmm")&amp;" ("&amp;(NETWORKDAYS(TODAY(),$AB569,Holidays)-1)&amp;" business day(s) left).")))))</f>
        <v/>
      </c>
      <c r="W569" s="17">
        <f>IF($Z569="","",CHOOSE($Z569,"Collection Email","1st Follow-up","2nd Follow-up","Local Office","CBE","Roxanne")&amp;IF($Z569=6," - Final"," - Day "&amp;MAX(0,NETWORKDAYS($AA569,TODAY(),Holidays)-1)&amp;" of "&amp;CHOOSE($Z569,3,3,2,2,3))&amp;" | Total Day "&amp;MAX(0,NETWORKDAYS($N569,TODAY(),Holidays)-1))</f>
        <v/>
      </c>
      <c r="X569" s="18"/>
      <c r="Y569" s="18"/>
      <c r="Z569" s="17">
        <f>IF($N569="","",COUNT($N569:$S569))</f>
        <v/>
      </c>
      <c r="AA569" s="19">
        <f>IF($Z569="","",INT(INDEX($N569:$S569,$Z569)))</f>
        <v/>
      </c>
      <c r="AB569" s="19">
        <f>IF(OR($Z569="",$Z569=6),"",WORKDAY($AA569,CHOOSE($Z569,3,3,2,2,3),Holidays))</f>
        <v/>
      </c>
      <c r="AC569" s="17">
        <f>IF(OR($Z569="",$Z569=6),"",CHOOSE($Z569,"1st Email Follow-up","2nd Email Follow-up","Escalate Local Office","Escalate to CBE","Escalate to Roxanne"))</f>
        <v/>
      </c>
    </row>
    <row r="570" spans="13:29">
      <c r="M570" s="14"/>
      <c r="T570" s="16"/>
      <c r="U570" s="17">
        <f>IF(AND(COUNTA($A570:$L570)=0,$N570=""),"",IF($T570="Paid","PAID",IF($T570="Closed","CLOSED",IF($Z570="","",IF($Z570=6,"ESCALATED TO ROXANNE",IF(TODAY()&gt;$AB570,"OVERDUE",IF($AB570&lt;=WORKDAY(TODAY(),1,Holidays),"DUE TOMORROW",IF($Z570=4,"ESCALATED TO LOCAL OFFICE",IF($Z570=5,"ESCALATED TO CBE",IF($AA570=TODAY(),"EMAIL SENT","MONITORING"))))))))))</f>
        <v/>
      </c>
      <c r="V570" s="17">
        <f>IF($U570="",IF(AND(COUNTA($A570:$L570)&gt;0,$N570=""),"Awaiting Collection Email time stamp.",""),IF(OR($U570="PAID",$U570="CLOSED"),IF($U570="PAID","Account paid. Action completed.","Account closed. No further action required."),CHOOSE($Z570,"Collection Email","1st Email Follow-up","2nd Email Follow-up","Escalation to Local Office","Escalation to CBE","Escalation to Roxanne")&amp;" sent "&amp;TEXT($AA570,"dd-mmm")&amp;". "&amp;IF($Z570=6,"Final escalation completed.",IF($U570="OVERDUE","Next: "&amp;$AC570&amp;" was due "&amp;TEXT($AB570,"dd-mmm")&amp;" - "&amp;(NETWORKDAYS($AB570,TODAY(),Holidays)-1)&amp;" business day(s) late. Send now.",IF($U570="DUE TOMORROW","Next: "&amp;$AC570&amp;IF($AB570&lt;=TODAY()," is due TODAY ("," is due next business day (")&amp;TEXT($AB570,"dd-mmm")&amp;").","Next: "&amp;$AC570&amp;" due "&amp;TEXT($AB570,"dd-mmm")&amp;" ("&amp;(NETWORKDAYS(TODAY(),$AB570,Holidays)-1)&amp;" business day(s) left).")))))</f>
        <v/>
      </c>
      <c r="W570" s="17">
        <f>IF($Z570="","",CHOOSE($Z570,"Collection Email","1st Follow-up","2nd Follow-up","Local Office","CBE","Roxanne")&amp;IF($Z570=6," - Final"," - Day "&amp;MAX(0,NETWORKDAYS($AA570,TODAY(),Holidays)-1)&amp;" of "&amp;CHOOSE($Z570,3,3,2,2,3))&amp;" | Total Day "&amp;MAX(0,NETWORKDAYS($N570,TODAY(),Holidays)-1))</f>
        <v/>
      </c>
      <c r="X570" s="18"/>
      <c r="Y570" s="18"/>
      <c r="Z570" s="17">
        <f>IF($N570="","",COUNT($N570:$S570))</f>
        <v/>
      </c>
      <c r="AA570" s="19">
        <f>IF($Z570="","",INT(INDEX($N570:$S570,$Z570)))</f>
        <v/>
      </c>
      <c r="AB570" s="19">
        <f>IF(OR($Z570="",$Z570=6),"",WORKDAY($AA570,CHOOSE($Z570,3,3,2,2,3),Holidays))</f>
        <v/>
      </c>
      <c r="AC570" s="17">
        <f>IF(OR($Z570="",$Z570=6),"",CHOOSE($Z570,"1st Email Follow-up","2nd Email Follow-up","Escalate Local Office","Escalate to CBE","Escalate to Roxanne"))</f>
        <v/>
      </c>
    </row>
    <row r="571" spans="13:29">
      <c r="M571" s="14"/>
      <c r="T571" s="16"/>
      <c r="U571" s="17">
        <f>IF(AND(COUNTA($A571:$L571)=0,$N571=""),"",IF($T571="Paid","PAID",IF($T571="Closed","CLOSED",IF($Z571="","",IF($Z571=6,"ESCALATED TO ROXANNE",IF(TODAY()&gt;$AB571,"OVERDUE",IF($AB571&lt;=WORKDAY(TODAY(),1,Holidays),"DUE TOMORROW",IF($Z571=4,"ESCALATED TO LOCAL OFFICE",IF($Z571=5,"ESCALATED TO CBE",IF($AA571=TODAY(),"EMAIL SENT","MONITORING"))))))))))</f>
        <v/>
      </c>
      <c r="V571" s="17">
        <f>IF($U571="",IF(AND(COUNTA($A571:$L571)&gt;0,$N571=""),"Awaiting Collection Email time stamp.",""),IF(OR($U571="PAID",$U571="CLOSED"),IF($U571="PAID","Account paid. Action completed.","Account closed. No further action required."),CHOOSE($Z571,"Collection Email","1st Email Follow-up","2nd Email Follow-up","Escalation to Local Office","Escalation to CBE","Escalation to Roxanne")&amp;" sent "&amp;TEXT($AA571,"dd-mmm")&amp;". "&amp;IF($Z571=6,"Final escalation completed.",IF($U571="OVERDUE","Next: "&amp;$AC571&amp;" was due "&amp;TEXT($AB571,"dd-mmm")&amp;" - "&amp;(NETWORKDAYS($AB571,TODAY(),Holidays)-1)&amp;" business day(s) late. Send now.",IF($U571="DUE TOMORROW","Next: "&amp;$AC571&amp;IF($AB571&lt;=TODAY()," is due TODAY ("," is due next business day (")&amp;TEXT($AB571,"dd-mmm")&amp;").","Next: "&amp;$AC571&amp;" due "&amp;TEXT($AB571,"dd-mmm")&amp;" ("&amp;(NETWORKDAYS(TODAY(),$AB571,Holidays)-1)&amp;" business day(s) left).")))))</f>
        <v/>
      </c>
      <c r="W571" s="17">
        <f>IF($Z571="","",CHOOSE($Z571,"Collection Email","1st Follow-up","2nd Follow-up","Local Office","CBE","Roxanne")&amp;IF($Z571=6," - Final"," - Day "&amp;MAX(0,NETWORKDAYS($AA571,TODAY(),Holidays)-1)&amp;" of "&amp;CHOOSE($Z571,3,3,2,2,3))&amp;" | Total Day "&amp;MAX(0,NETWORKDAYS($N571,TODAY(),Holidays)-1))</f>
        <v/>
      </c>
      <c r="X571" s="18"/>
      <c r="Y571" s="18"/>
      <c r="Z571" s="17">
        <f>IF($N571="","",COUNT($N571:$S571))</f>
        <v/>
      </c>
      <c r="AA571" s="19">
        <f>IF($Z571="","",INT(INDEX($N571:$S571,$Z571)))</f>
        <v/>
      </c>
      <c r="AB571" s="19">
        <f>IF(OR($Z571="",$Z571=6),"",WORKDAY($AA571,CHOOSE($Z571,3,3,2,2,3),Holidays))</f>
        <v/>
      </c>
      <c r="AC571" s="17">
        <f>IF(OR($Z571="",$Z571=6),"",CHOOSE($Z571,"1st Email Follow-up","2nd Email Follow-up","Escalate Local Office","Escalate to CBE","Escalate to Roxanne"))</f>
        <v/>
      </c>
    </row>
    <row r="572" spans="13:29">
      <c r="M572" s="14"/>
      <c r="T572" s="16"/>
      <c r="U572" s="17">
        <f>IF(AND(COUNTA($A572:$L572)=0,$N572=""),"",IF($T572="Paid","PAID",IF($T572="Closed","CLOSED",IF($Z572="","",IF($Z572=6,"ESCALATED TO ROXANNE",IF(TODAY()&gt;$AB572,"OVERDUE",IF($AB572&lt;=WORKDAY(TODAY(),1,Holidays),"DUE TOMORROW",IF($Z572=4,"ESCALATED TO LOCAL OFFICE",IF($Z572=5,"ESCALATED TO CBE",IF($AA572=TODAY(),"EMAIL SENT","MONITORING"))))))))))</f>
        <v/>
      </c>
      <c r="V572" s="17">
        <f>IF($U572="",IF(AND(COUNTA($A572:$L572)&gt;0,$N572=""),"Awaiting Collection Email time stamp.",""),IF(OR($U572="PAID",$U572="CLOSED"),IF($U572="PAID","Account paid. Action completed.","Account closed. No further action required."),CHOOSE($Z572,"Collection Email","1st Email Follow-up","2nd Email Follow-up","Escalation to Local Office","Escalation to CBE","Escalation to Roxanne")&amp;" sent "&amp;TEXT($AA572,"dd-mmm")&amp;". "&amp;IF($Z572=6,"Final escalation completed.",IF($U572="OVERDUE","Next: "&amp;$AC572&amp;" was due "&amp;TEXT($AB572,"dd-mmm")&amp;" - "&amp;(NETWORKDAYS($AB572,TODAY(),Holidays)-1)&amp;" business day(s) late. Send now.",IF($U572="DUE TOMORROW","Next: "&amp;$AC572&amp;IF($AB572&lt;=TODAY()," is due TODAY ("," is due next business day (")&amp;TEXT($AB572,"dd-mmm")&amp;").","Next: "&amp;$AC572&amp;" due "&amp;TEXT($AB572,"dd-mmm")&amp;" ("&amp;(NETWORKDAYS(TODAY(),$AB572,Holidays)-1)&amp;" business day(s) left).")))))</f>
        <v/>
      </c>
      <c r="W572" s="17">
        <f>IF($Z572="","",CHOOSE($Z572,"Collection Email","1st Follow-up","2nd Follow-up","Local Office","CBE","Roxanne")&amp;IF($Z572=6," - Final"," - Day "&amp;MAX(0,NETWORKDAYS($AA572,TODAY(),Holidays)-1)&amp;" of "&amp;CHOOSE($Z572,3,3,2,2,3))&amp;" | Total Day "&amp;MAX(0,NETWORKDAYS($N572,TODAY(),Holidays)-1))</f>
        <v/>
      </c>
      <c r="X572" s="18"/>
      <c r="Y572" s="18"/>
      <c r="Z572" s="17">
        <f>IF($N572="","",COUNT($N572:$S572))</f>
        <v/>
      </c>
      <c r="AA572" s="19">
        <f>IF($Z572="","",INT(INDEX($N572:$S572,$Z572)))</f>
        <v/>
      </c>
      <c r="AB572" s="19">
        <f>IF(OR($Z572="",$Z572=6),"",WORKDAY($AA572,CHOOSE($Z572,3,3,2,2,3),Holidays))</f>
        <v/>
      </c>
      <c r="AC572" s="17">
        <f>IF(OR($Z572="",$Z572=6),"",CHOOSE($Z572,"1st Email Follow-up","2nd Email Follow-up","Escalate Local Office","Escalate to CBE","Escalate to Roxanne"))</f>
        <v/>
      </c>
    </row>
    <row r="573" spans="13:29">
      <c r="M573" s="14"/>
      <c r="T573" s="16"/>
      <c r="U573" s="17">
        <f>IF(AND(COUNTA($A573:$L573)=0,$N573=""),"",IF($T573="Paid","PAID",IF($T573="Closed","CLOSED",IF($Z573="","",IF($Z573=6,"ESCALATED TO ROXANNE",IF(TODAY()&gt;$AB573,"OVERDUE",IF($AB573&lt;=WORKDAY(TODAY(),1,Holidays),"DUE TOMORROW",IF($Z573=4,"ESCALATED TO LOCAL OFFICE",IF($Z573=5,"ESCALATED TO CBE",IF($AA573=TODAY(),"EMAIL SENT","MONITORING"))))))))))</f>
        <v/>
      </c>
      <c r="V573" s="17">
        <f>IF($U573="",IF(AND(COUNTA($A573:$L573)&gt;0,$N573=""),"Awaiting Collection Email time stamp.",""),IF(OR($U573="PAID",$U573="CLOSED"),IF($U573="PAID","Account paid. Action completed.","Account closed. No further action required."),CHOOSE($Z573,"Collection Email","1st Email Follow-up","2nd Email Follow-up","Escalation to Local Office","Escalation to CBE","Escalation to Roxanne")&amp;" sent "&amp;TEXT($AA573,"dd-mmm")&amp;". "&amp;IF($Z573=6,"Final escalation completed.",IF($U573="OVERDUE","Next: "&amp;$AC573&amp;" was due "&amp;TEXT($AB573,"dd-mmm")&amp;" - "&amp;(NETWORKDAYS($AB573,TODAY(),Holidays)-1)&amp;" business day(s) late. Send now.",IF($U573="DUE TOMORROW","Next: "&amp;$AC573&amp;IF($AB573&lt;=TODAY()," is due TODAY ("," is due next business day (")&amp;TEXT($AB573,"dd-mmm")&amp;").","Next: "&amp;$AC573&amp;" due "&amp;TEXT($AB573,"dd-mmm")&amp;" ("&amp;(NETWORKDAYS(TODAY(),$AB573,Holidays)-1)&amp;" business day(s) left).")))))</f>
        <v/>
      </c>
      <c r="W573" s="17">
        <f>IF($Z573="","",CHOOSE($Z573,"Collection Email","1st Follow-up","2nd Follow-up","Local Office","CBE","Roxanne")&amp;IF($Z573=6," - Final"," - Day "&amp;MAX(0,NETWORKDAYS($AA573,TODAY(),Holidays)-1)&amp;" of "&amp;CHOOSE($Z573,3,3,2,2,3))&amp;" | Total Day "&amp;MAX(0,NETWORKDAYS($N573,TODAY(),Holidays)-1))</f>
        <v/>
      </c>
      <c r="X573" s="18"/>
      <c r="Y573" s="18"/>
      <c r="Z573" s="17">
        <f>IF($N573="","",COUNT($N573:$S573))</f>
        <v/>
      </c>
      <c r="AA573" s="19">
        <f>IF($Z573="","",INT(INDEX($N573:$S573,$Z573)))</f>
        <v/>
      </c>
      <c r="AB573" s="19">
        <f>IF(OR($Z573="",$Z573=6),"",WORKDAY($AA573,CHOOSE($Z573,3,3,2,2,3),Holidays))</f>
        <v/>
      </c>
      <c r="AC573" s="17">
        <f>IF(OR($Z573="",$Z573=6),"",CHOOSE($Z573,"1st Email Follow-up","2nd Email Follow-up","Escalate Local Office","Escalate to CBE","Escalate to Roxanne"))</f>
        <v/>
      </c>
    </row>
    <row r="574" spans="13:29">
      <c r="M574" s="14"/>
      <c r="T574" s="16"/>
      <c r="U574" s="17">
        <f>IF(AND(COUNTA($A574:$L574)=0,$N574=""),"",IF($T574="Paid","PAID",IF($T574="Closed","CLOSED",IF($Z574="","",IF($Z574=6,"ESCALATED TO ROXANNE",IF(TODAY()&gt;$AB574,"OVERDUE",IF($AB574&lt;=WORKDAY(TODAY(),1,Holidays),"DUE TOMORROW",IF($Z574=4,"ESCALATED TO LOCAL OFFICE",IF($Z574=5,"ESCALATED TO CBE",IF($AA574=TODAY(),"EMAIL SENT","MONITORING"))))))))))</f>
        <v/>
      </c>
      <c r="V574" s="17">
        <f>IF($U574="",IF(AND(COUNTA($A574:$L574)&gt;0,$N574=""),"Awaiting Collection Email time stamp.",""),IF(OR($U574="PAID",$U574="CLOSED"),IF($U574="PAID","Account paid. Action completed.","Account closed. No further action required."),CHOOSE($Z574,"Collection Email","1st Email Follow-up","2nd Email Follow-up","Escalation to Local Office","Escalation to CBE","Escalation to Roxanne")&amp;" sent "&amp;TEXT($AA574,"dd-mmm")&amp;". "&amp;IF($Z574=6,"Final escalation completed.",IF($U574="OVERDUE","Next: "&amp;$AC574&amp;" was due "&amp;TEXT($AB574,"dd-mmm")&amp;" - "&amp;(NETWORKDAYS($AB574,TODAY(),Holidays)-1)&amp;" business day(s) late. Send now.",IF($U574="DUE TOMORROW","Next: "&amp;$AC574&amp;IF($AB574&lt;=TODAY()," is due TODAY ("," is due next business day (")&amp;TEXT($AB574,"dd-mmm")&amp;").","Next: "&amp;$AC574&amp;" due "&amp;TEXT($AB574,"dd-mmm")&amp;" ("&amp;(NETWORKDAYS(TODAY(),$AB574,Holidays)-1)&amp;" business day(s) left).")))))</f>
        <v/>
      </c>
      <c r="W574" s="17">
        <f>IF($Z574="","",CHOOSE($Z574,"Collection Email","1st Follow-up","2nd Follow-up","Local Office","CBE","Roxanne")&amp;IF($Z574=6," - Final"," - Day "&amp;MAX(0,NETWORKDAYS($AA574,TODAY(),Holidays)-1)&amp;" of "&amp;CHOOSE($Z574,3,3,2,2,3))&amp;" | Total Day "&amp;MAX(0,NETWORKDAYS($N574,TODAY(),Holidays)-1))</f>
        <v/>
      </c>
      <c r="X574" s="18"/>
      <c r="Y574" s="18"/>
      <c r="Z574" s="17">
        <f>IF($N574="","",COUNT($N574:$S574))</f>
        <v/>
      </c>
      <c r="AA574" s="19">
        <f>IF($Z574="","",INT(INDEX($N574:$S574,$Z574)))</f>
        <v/>
      </c>
      <c r="AB574" s="19">
        <f>IF(OR($Z574="",$Z574=6),"",WORKDAY($AA574,CHOOSE($Z574,3,3,2,2,3),Holidays))</f>
        <v/>
      </c>
      <c r="AC574" s="17">
        <f>IF(OR($Z574="",$Z574=6),"",CHOOSE($Z574,"1st Email Follow-up","2nd Email Follow-up","Escalate Local Office","Escalate to CBE","Escalate to Roxanne"))</f>
        <v/>
      </c>
    </row>
    <row r="575" spans="13:29">
      <c r="M575" s="14"/>
      <c r="T575" s="16"/>
      <c r="U575" s="17">
        <f>IF(AND(COUNTA($A575:$L575)=0,$N575=""),"",IF($T575="Paid","PAID",IF($T575="Closed","CLOSED",IF($Z575="","",IF($Z575=6,"ESCALATED TO ROXANNE",IF(TODAY()&gt;$AB575,"OVERDUE",IF($AB575&lt;=WORKDAY(TODAY(),1,Holidays),"DUE TOMORROW",IF($Z575=4,"ESCALATED TO LOCAL OFFICE",IF($Z575=5,"ESCALATED TO CBE",IF($AA575=TODAY(),"EMAIL SENT","MONITORING"))))))))))</f>
        <v/>
      </c>
      <c r="V575" s="17">
        <f>IF($U575="",IF(AND(COUNTA($A575:$L575)&gt;0,$N575=""),"Awaiting Collection Email time stamp.",""),IF(OR($U575="PAID",$U575="CLOSED"),IF($U575="PAID","Account paid. Action completed.","Account closed. No further action required."),CHOOSE($Z575,"Collection Email","1st Email Follow-up","2nd Email Follow-up","Escalation to Local Office","Escalation to CBE","Escalation to Roxanne")&amp;" sent "&amp;TEXT($AA575,"dd-mmm")&amp;". "&amp;IF($Z575=6,"Final escalation completed.",IF($U575="OVERDUE","Next: "&amp;$AC575&amp;" was due "&amp;TEXT($AB575,"dd-mmm")&amp;" - "&amp;(NETWORKDAYS($AB575,TODAY(),Holidays)-1)&amp;" business day(s) late. Send now.",IF($U575="DUE TOMORROW","Next: "&amp;$AC575&amp;IF($AB575&lt;=TODAY()," is due TODAY ("," is due next business day (")&amp;TEXT($AB575,"dd-mmm")&amp;").","Next: "&amp;$AC575&amp;" due "&amp;TEXT($AB575,"dd-mmm")&amp;" ("&amp;(NETWORKDAYS(TODAY(),$AB575,Holidays)-1)&amp;" business day(s) left).")))))</f>
        <v/>
      </c>
      <c r="W575" s="17">
        <f>IF($Z575="","",CHOOSE($Z575,"Collection Email","1st Follow-up","2nd Follow-up","Local Office","CBE","Roxanne")&amp;IF($Z575=6," - Final"," - Day "&amp;MAX(0,NETWORKDAYS($AA575,TODAY(),Holidays)-1)&amp;" of "&amp;CHOOSE($Z575,3,3,2,2,3))&amp;" | Total Day "&amp;MAX(0,NETWORKDAYS($N575,TODAY(),Holidays)-1))</f>
        <v/>
      </c>
      <c r="X575" s="18"/>
      <c r="Y575" s="18"/>
      <c r="Z575" s="17">
        <f>IF($N575="","",COUNT($N575:$S575))</f>
        <v/>
      </c>
      <c r="AA575" s="19">
        <f>IF($Z575="","",INT(INDEX($N575:$S575,$Z575)))</f>
        <v/>
      </c>
      <c r="AB575" s="19">
        <f>IF(OR($Z575="",$Z575=6),"",WORKDAY($AA575,CHOOSE($Z575,3,3,2,2,3),Holidays))</f>
        <v/>
      </c>
      <c r="AC575" s="17">
        <f>IF(OR($Z575="",$Z575=6),"",CHOOSE($Z575,"1st Email Follow-up","2nd Email Follow-up","Escalate Local Office","Escalate to CBE","Escalate to Roxanne"))</f>
        <v/>
      </c>
    </row>
    <row r="576" spans="13:29">
      <c r="M576" s="14"/>
      <c r="T576" s="16"/>
      <c r="U576" s="17">
        <f>IF(AND(COUNTA($A576:$L576)=0,$N576=""),"",IF($T576="Paid","PAID",IF($T576="Closed","CLOSED",IF($Z576="","",IF($Z576=6,"ESCALATED TO ROXANNE",IF(TODAY()&gt;$AB576,"OVERDUE",IF($AB576&lt;=WORKDAY(TODAY(),1,Holidays),"DUE TOMORROW",IF($Z576=4,"ESCALATED TO LOCAL OFFICE",IF($Z576=5,"ESCALATED TO CBE",IF($AA576=TODAY(),"EMAIL SENT","MONITORING"))))))))))</f>
        <v/>
      </c>
      <c r="V576" s="17">
        <f>IF($U576="",IF(AND(COUNTA($A576:$L576)&gt;0,$N576=""),"Awaiting Collection Email time stamp.",""),IF(OR($U576="PAID",$U576="CLOSED"),IF($U576="PAID","Account paid. Action completed.","Account closed. No further action required."),CHOOSE($Z576,"Collection Email","1st Email Follow-up","2nd Email Follow-up","Escalation to Local Office","Escalation to CBE","Escalation to Roxanne")&amp;" sent "&amp;TEXT($AA576,"dd-mmm")&amp;". "&amp;IF($Z576=6,"Final escalation completed.",IF($U576="OVERDUE","Next: "&amp;$AC576&amp;" was due "&amp;TEXT($AB576,"dd-mmm")&amp;" - "&amp;(NETWORKDAYS($AB576,TODAY(),Holidays)-1)&amp;" business day(s) late. Send now.",IF($U576="DUE TOMORROW","Next: "&amp;$AC576&amp;IF($AB576&lt;=TODAY()," is due TODAY ("," is due next business day (")&amp;TEXT($AB576,"dd-mmm")&amp;").","Next: "&amp;$AC576&amp;" due "&amp;TEXT($AB576,"dd-mmm")&amp;" ("&amp;(NETWORKDAYS(TODAY(),$AB576,Holidays)-1)&amp;" business day(s) left).")))))</f>
        <v/>
      </c>
      <c r="W576" s="17">
        <f>IF($Z576="","",CHOOSE($Z576,"Collection Email","1st Follow-up","2nd Follow-up","Local Office","CBE","Roxanne")&amp;IF($Z576=6," - Final"," - Day "&amp;MAX(0,NETWORKDAYS($AA576,TODAY(),Holidays)-1)&amp;" of "&amp;CHOOSE($Z576,3,3,2,2,3))&amp;" | Total Day "&amp;MAX(0,NETWORKDAYS($N576,TODAY(),Holidays)-1))</f>
        <v/>
      </c>
      <c r="X576" s="18"/>
      <c r="Y576" s="18"/>
      <c r="Z576" s="17">
        <f>IF($N576="","",COUNT($N576:$S576))</f>
        <v/>
      </c>
      <c r="AA576" s="19">
        <f>IF($Z576="","",INT(INDEX($N576:$S576,$Z576)))</f>
        <v/>
      </c>
      <c r="AB576" s="19">
        <f>IF(OR($Z576="",$Z576=6),"",WORKDAY($AA576,CHOOSE($Z576,3,3,2,2,3),Holidays))</f>
        <v/>
      </c>
      <c r="AC576" s="17">
        <f>IF(OR($Z576="",$Z576=6),"",CHOOSE($Z576,"1st Email Follow-up","2nd Email Follow-up","Escalate Local Office","Escalate to CBE","Escalate to Roxanne"))</f>
        <v/>
      </c>
    </row>
    <row r="577" spans="13:29">
      <c r="M577" s="14"/>
      <c r="T577" s="16"/>
      <c r="U577" s="17">
        <f>IF(AND(COUNTA($A577:$L577)=0,$N577=""),"",IF($T577="Paid","PAID",IF($T577="Closed","CLOSED",IF($Z577="","",IF($Z577=6,"ESCALATED TO ROXANNE",IF(TODAY()&gt;$AB577,"OVERDUE",IF($AB577&lt;=WORKDAY(TODAY(),1,Holidays),"DUE TOMORROW",IF($Z577=4,"ESCALATED TO LOCAL OFFICE",IF($Z577=5,"ESCALATED TO CBE",IF($AA577=TODAY(),"EMAIL SENT","MONITORING"))))))))))</f>
        <v/>
      </c>
      <c r="V577" s="17">
        <f>IF($U577="",IF(AND(COUNTA($A577:$L577)&gt;0,$N577=""),"Awaiting Collection Email time stamp.",""),IF(OR($U577="PAID",$U577="CLOSED"),IF($U577="PAID","Account paid. Action completed.","Account closed. No further action required."),CHOOSE($Z577,"Collection Email","1st Email Follow-up","2nd Email Follow-up","Escalation to Local Office","Escalation to CBE","Escalation to Roxanne")&amp;" sent "&amp;TEXT($AA577,"dd-mmm")&amp;". "&amp;IF($Z577=6,"Final escalation completed.",IF($U577="OVERDUE","Next: "&amp;$AC577&amp;" was due "&amp;TEXT($AB577,"dd-mmm")&amp;" - "&amp;(NETWORKDAYS($AB577,TODAY(),Holidays)-1)&amp;" business day(s) late. Send now.",IF($U577="DUE TOMORROW","Next: "&amp;$AC577&amp;IF($AB577&lt;=TODAY()," is due TODAY ("," is due next business day (")&amp;TEXT($AB577,"dd-mmm")&amp;").","Next: "&amp;$AC577&amp;" due "&amp;TEXT($AB577,"dd-mmm")&amp;" ("&amp;(NETWORKDAYS(TODAY(),$AB577,Holidays)-1)&amp;" business day(s) left).")))))</f>
        <v/>
      </c>
      <c r="W577" s="17">
        <f>IF($Z577="","",CHOOSE($Z577,"Collection Email","1st Follow-up","2nd Follow-up","Local Office","CBE","Roxanne")&amp;IF($Z577=6," - Final"," - Day "&amp;MAX(0,NETWORKDAYS($AA577,TODAY(),Holidays)-1)&amp;" of "&amp;CHOOSE($Z577,3,3,2,2,3))&amp;" | Total Day "&amp;MAX(0,NETWORKDAYS($N577,TODAY(),Holidays)-1))</f>
        <v/>
      </c>
      <c r="X577" s="18"/>
      <c r="Y577" s="18"/>
      <c r="Z577" s="17">
        <f>IF($N577="","",COUNT($N577:$S577))</f>
        <v/>
      </c>
      <c r="AA577" s="19">
        <f>IF($Z577="","",INT(INDEX($N577:$S577,$Z577)))</f>
        <v/>
      </c>
      <c r="AB577" s="19">
        <f>IF(OR($Z577="",$Z577=6),"",WORKDAY($AA577,CHOOSE($Z577,3,3,2,2,3),Holidays))</f>
        <v/>
      </c>
      <c r="AC577" s="17">
        <f>IF(OR($Z577="",$Z577=6),"",CHOOSE($Z577,"1st Email Follow-up","2nd Email Follow-up","Escalate Local Office","Escalate to CBE","Escalate to Roxanne"))</f>
        <v/>
      </c>
    </row>
    <row r="578" spans="13:29">
      <c r="M578" s="14"/>
      <c r="T578" s="16"/>
      <c r="U578" s="17">
        <f>IF(AND(COUNTA($A578:$L578)=0,$N578=""),"",IF($T578="Paid","PAID",IF($T578="Closed","CLOSED",IF($Z578="","",IF($Z578=6,"ESCALATED TO ROXANNE",IF(TODAY()&gt;$AB578,"OVERDUE",IF($AB578&lt;=WORKDAY(TODAY(),1,Holidays),"DUE TOMORROW",IF($Z578=4,"ESCALATED TO LOCAL OFFICE",IF($Z578=5,"ESCALATED TO CBE",IF($AA578=TODAY(),"EMAIL SENT","MONITORING"))))))))))</f>
        <v/>
      </c>
      <c r="V578" s="17">
        <f>IF($U578="",IF(AND(COUNTA($A578:$L578)&gt;0,$N578=""),"Awaiting Collection Email time stamp.",""),IF(OR($U578="PAID",$U578="CLOSED"),IF($U578="PAID","Account paid. Action completed.","Account closed. No further action required."),CHOOSE($Z578,"Collection Email","1st Email Follow-up","2nd Email Follow-up","Escalation to Local Office","Escalation to CBE","Escalation to Roxanne")&amp;" sent "&amp;TEXT($AA578,"dd-mmm")&amp;". "&amp;IF($Z578=6,"Final escalation completed.",IF($U578="OVERDUE","Next: "&amp;$AC578&amp;" was due "&amp;TEXT($AB578,"dd-mmm")&amp;" - "&amp;(NETWORKDAYS($AB578,TODAY(),Holidays)-1)&amp;" business day(s) late. Send now.",IF($U578="DUE TOMORROW","Next: "&amp;$AC578&amp;IF($AB578&lt;=TODAY()," is due TODAY ("," is due next business day (")&amp;TEXT($AB578,"dd-mmm")&amp;").","Next: "&amp;$AC578&amp;" due "&amp;TEXT($AB578,"dd-mmm")&amp;" ("&amp;(NETWORKDAYS(TODAY(),$AB578,Holidays)-1)&amp;" business day(s) left).")))))</f>
        <v/>
      </c>
      <c r="W578" s="17">
        <f>IF($Z578="","",CHOOSE($Z578,"Collection Email","1st Follow-up","2nd Follow-up","Local Office","CBE","Roxanne")&amp;IF($Z578=6," - Final"," - Day "&amp;MAX(0,NETWORKDAYS($AA578,TODAY(),Holidays)-1)&amp;" of "&amp;CHOOSE($Z578,3,3,2,2,3))&amp;" | Total Day "&amp;MAX(0,NETWORKDAYS($N578,TODAY(),Holidays)-1))</f>
        <v/>
      </c>
      <c r="X578" s="18"/>
      <c r="Y578" s="18"/>
      <c r="Z578" s="17">
        <f>IF($N578="","",COUNT($N578:$S578))</f>
        <v/>
      </c>
      <c r="AA578" s="19">
        <f>IF($Z578="","",INT(INDEX($N578:$S578,$Z578)))</f>
        <v/>
      </c>
      <c r="AB578" s="19">
        <f>IF(OR($Z578="",$Z578=6),"",WORKDAY($AA578,CHOOSE($Z578,3,3,2,2,3),Holidays))</f>
        <v/>
      </c>
      <c r="AC578" s="17">
        <f>IF(OR($Z578="",$Z578=6),"",CHOOSE($Z578,"1st Email Follow-up","2nd Email Follow-up","Escalate Local Office","Escalate to CBE","Escalate to Roxanne"))</f>
        <v/>
      </c>
    </row>
    <row r="579" spans="13:29">
      <c r="M579" s="14"/>
      <c r="T579" s="16"/>
      <c r="U579" s="17">
        <f>IF(AND(COUNTA($A579:$L579)=0,$N579=""),"",IF($T579="Paid","PAID",IF($T579="Closed","CLOSED",IF($Z579="","",IF($Z579=6,"ESCALATED TO ROXANNE",IF(TODAY()&gt;$AB579,"OVERDUE",IF($AB579&lt;=WORKDAY(TODAY(),1,Holidays),"DUE TOMORROW",IF($Z579=4,"ESCALATED TO LOCAL OFFICE",IF($Z579=5,"ESCALATED TO CBE",IF($AA579=TODAY(),"EMAIL SENT","MONITORING"))))))))))</f>
        <v/>
      </c>
      <c r="V579" s="17">
        <f>IF($U579="",IF(AND(COUNTA($A579:$L579)&gt;0,$N579=""),"Awaiting Collection Email time stamp.",""),IF(OR($U579="PAID",$U579="CLOSED"),IF($U579="PAID","Account paid. Action completed.","Account closed. No further action required."),CHOOSE($Z579,"Collection Email","1st Email Follow-up","2nd Email Follow-up","Escalation to Local Office","Escalation to CBE","Escalation to Roxanne")&amp;" sent "&amp;TEXT($AA579,"dd-mmm")&amp;". "&amp;IF($Z579=6,"Final escalation completed.",IF($U579="OVERDUE","Next: "&amp;$AC579&amp;" was due "&amp;TEXT($AB579,"dd-mmm")&amp;" - "&amp;(NETWORKDAYS($AB579,TODAY(),Holidays)-1)&amp;" business day(s) late. Send now.",IF($U579="DUE TOMORROW","Next: "&amp;$AC579&amp;IF($AB579&lt;=TODAY()," is due TODAY ("," is due next business day (")&amp;TEXT($AB579,"dd-mmm")&amp;").","Next: "&amp;$AC579&amp;" due "&amp;TEXT($AB579,"dd-mmm")&amp;" ("&amp;(NETWORKDAYS(TODAY(),$AB579,Holidays)-1)&amp;" business day(s) left).")))))</f>
        <v/>
      </c>
      <c r="W579" s="17">
        <f>IF($Z579="","",CHOOSE($Z579,"Collection Email","1st Follow-up","2nd Follow-up","Local Office","CBE","Roxanne")&amp;IF($Z579=6," - Final"," - Day "&amp;MAX(0,NETWORKDAYS($AA579,TODAY(),Holidays)-1)&amp;" of "&amp;CHOOSE($Z579,3,3,2,2,3))&amp;" | Total Day "&amp;MAX(0,NETWORKDAYS($N579,TODAY(),Holidays)-1))</f>
        <v/>
      </c>
      <c r="X579" s="18"/>
      <c r="Y579" s="18"/>
      <c r="Z579" s="17">
        <f>IF($N579="","",COUNT($N579:$S579))</f>
        <v/>
      </c>
      <c r="AA579" s="19">
        <f>IF($Z579="","",INT(INDEX($N579:$S579,$Z579)))</f>
        <v/>
      </c>
      <c r="AB579" s="19">
        <f>IF(OR($Z579="",$Z579=6),"",WORKDAY($AA579,CHOOSE($Z579,3,3,2,2,3),Holidays))</f>
        <v/>
      </c>
      <c r="AC579" s="17">
        <f>IF(OR($Z579="",$Z579=6),"",CHOOSE($Z579,"1st Email Follow-up","2nd Email Follow-up","Escalate Local Office","Escalate to CBE","Escalate to Roxanne"))</f>
        <v/>
      </c>
    </row>
    <row r="580" spans="13:29">
      <c r="M580" s="14"/>
      <c r="T580" s="16"/>
      <c r="U580" s="17">
        <f>IF(AND(COUNTA($A580:$L580)=0,$N580=""),"",IF($T580="Paid","PAID",IF($T580="Closed","CLOSED",IF($Z580="","",IF($Z580=6,"ESCALATED TO ROXANNE",IF(TODAY()&gt;$AB580,"OVERDUE",IF($AB580&lt;=WORKDAY(TODAY(),1,Holidays),"DUE TOMORROW",IF($Z580=4,"ESCALATED TO LOCAL OFFICE",IF($Z580=5,"ESCALATED TO CBE",IF($AA580=TODAY(),"EMAIL SENT","MONITORING"))))))))))</f>
        <v/>
      </c>
      <c r="V580" s="17">
        <f>IF($U580="",IF(AND(COUNTA($A580:$L580)&gt;0,$N580=""),"Awaiting Collection Email time stamp.",""),IF(OR($U580="PAID",$U580="CLOSED"),IF($U580="PAID","Account paid. Action completed.","Account closed. No further action required."),CHOOSE($Z580,"Collection Email","1st Email Follow-up","2nd Email Follow-up","Escalation to Local Office","Escalation to CBE","Escalation to Roxanne")&amp;" sent "&amp;TEXT($AA580,"dd-mmm")&amp;". "&amp;IF($Z580=6,"Final escalation completed.",IF($U580="OVERDUE","Next: "&amp;$AC580&amp;" was due "&amp;TEXT($AB580,"dd-mmm")&amp;" - "&amp;(NETWORKDAYS($AB580,TODAY(),Holidays)-1)&amp;" business day(s) late. Send now.",IF($U580="DUE TOMORROW","Next: "&amp;$AC580&amp;IF($AB580&lt;=TODAY()," is due TODAY ("," is due next business day (")&amp;TEXT($AB580,"dd-mmm")&amp;").","Next: "&amp;$AC580&amp;" due "&amp;TEXT($AB580,"dd-mmm")&amp;" ("&amp;(NETWORKDAYS(TODAY(),$AB580,Holidays)-1)&amp;" business day(s) left).")))))</f>
        <v/>
      </c>
      <c r="W580" s="17">
        <f>IF($Z580="","",CHOOSE($Z580,"Collection Email","1st Follow-up","2nd Follow-up","Local Office","CBE","Roxanne")&amp;IF($Z580=6," - Final"," - Day "&amp;MAX(0,NETWORKDAYS($AA580,TODAY(),Holidays)-1)&amp;" of "&amp;CHOOSE($Z580,3,3,2,2,3))&amp;" | Total Day "&amp;MAX(0,NETWORKDAYS($N580,TODAY(),Holidays)-1))</f>
        <v/>
      </c>
      <c r="X580" s="18"/>
      <c r="Y580" s="18"/>
      <c r="Z580" s="17">
        <f>IF($N580="","",COUNT($N580:$S580))</f>
        <v/>
      </c>
      <c r="AA580" s="19">
        <f>IF($Z580="","",INT(INDEX($N580:$S580,$Z580)))</f>
        <v/>
      </c>
      <c r="AB580" s="19">
        <f>IF(OR($Z580="",$Z580=6),"",WORKDAY($AA580,CHOOSE($Z580,3,3,2,2,3),Holidays))</f>
        <v/>
      </c>
      <c r="AC580" s="17">
        <f>IF(OR($Z580="",$Z580=6),"",CHOOSE($Z580,"1st Email Follow-up","2nd Email Follow-up","Escalate Local Office","Escalate to CBE","Escalate to Roxanne"))</f>
        <v/>
      </c>
    </row>
    <row r="581" spans="13:29">
      <c r="M581" s="14"/>
      <c r="T581" s="16"/>
      <c r="U581" s="17">
        <f>IF(AND(COUNTA($A581:$L581)=0,$N581=""),"",IF($T581="Paid","PAID",IF($T581="Closed","CLOSED",IF($Z581="","",IF($Z581=6,"ESCALATED TO ROXANNE",IF(TODAY()&gt;$AB581,"OVERDUE",IF($AB581&lt;=WORKDAY(TODAY(),1,Holidays),"DUE TOMORROW",IF($Z581=4,"ESCALATED TO LOCAL OFFICE",IF($Z581=5,"ESCALATED TO CBE",IF($AA581=TODAY(),"EMAIL SENT","MONITORING"))))))))))</f>
        <v/>
      </c>
      <c r="V581" s="17">
        <f>IF($U581="",IF(AND(COUNTA($A581:$L581)&gt;0,$N581=""),"Awaiting Collection Email time stamp.",""),IF(OR($U581="PAID",$U581="CLOSED"),IF($U581="PAID","Account paid. Action completed.","Account closed. No further action required."),CHOOSE($Z581,"Collection Email","1st Email Follow-up","2nd Email Follow-up","Escalation to Local Office","Escalation to CBE","Escalation to Roxanne")&amp;" sent "&amp;TEXT($AA581,"dd-mmm")&amp;". "&amp;IF($Z581=6,"Final escalation completed.",IF($U581="OVERDUE","Next: "&amp;$AC581&amp;" was due "&amp;TEXT($AB581,"dd-mmm")&amp;" - "&amp;(NETWORKDAYS($AB581,TODAY(),Holidays)-1)&amp;" business day(s) late. Send now.",IF($U581="DUE TOMORROW","Next: "&amp;$AC581&amp;IF($AB581&lt;=TODAY()," is due TODAY ("," is due next business day (")&amp;TEXT($AB581,"dd-mmm")&amp;").","Next: "&amp;$AC581&amp;" due "&amp;TEXT($AB581,"dd-mmm")&amp;" ("&amp;(NETWORKDAYS(TODAY(),$AB581,Holidays)-1)&amp;" business day(s) left).")))))</f>
        <v/>
      </c>
      <c r="W581" s="17">
        <f>IF($Z581="","",CHOOSE($Z581,"Collection Email","1st Follow-up","2nd Follow-up","Local Office","CBE","Roxanne")&amp;IF($Z581=6," - Final"," - Day "&amp;MAX(0,NETWORKDAYS($AA581,TODAY(),Holidays)-1)&amp;" of "&amp;CHOOSE($Z581,3,3,2,2,3))&amp;" | Total Day "&amp;MAX(0,NETWORKDAYS($N581,TODAY(),Holidays)-1))</f>
        <v/>
      </c>
      <c r="X581" s="18"/>
      <c r="Y581" s="18"/>
      <c r="Z581" s="17">
        <f>IF($N581="","",COUNT($N581:$S581))</f>
        <v/>
      </c>
      <c r="AA581" s="19">
        <f>IF($Z581="","",INT(INDEX($N581:$S581,$Z581)))</f>
        <v/>
      </c>
      <c r="AB581" s="19">
        <f>IF(OR($Z581="",$Z581=6),"",WORKDAY($AA581,CHOOSE($Z581,3,3,2,2,3),Holidays))</f>
        <v/>
      </c>
      <c r="AC581" s="17">
        <f>IF(OR($Z581="",$Z581=6),"",CHOOSE($Z581,"1st Email Follow-up","2nd Email Follow-up","Escalate Local Office","Escalate to CBE","Escalate to Roxanne"))</f>
        <v/>
      </c>
    </row>
    <row r="582" spans="13:29">
      <c r="M582" s="14"/>
      <c r="T582" s="16"/>
      <c r="U582" s="17">
        <f>IF(AND(COUNTA($A582:$L582)=0,$N582=""),"",IF($T582="Paid","PAID",IF($T582="Closed","CLOSED",IF($Z582="","",IF($Z582=6,"ESCALATED TO ROXANNE",IF(TODAY()&gt;$AB582,"OVERDUE",IF($AB582&lt;=WORKDAY(TODAY(),1,Holidays),"DUE TOMORROW",IF($Z582=4,"ESCALATED TO LOCAL OFFICE",IF($Z582=5,"ESCALATED TO CBE",IF($AA582=TODAY(),"EMAIL SENT","MONITORING"))))))))))</f>
        <v/>
      </c>
      <c r="V582" s="17">
        <f>IF($U582="",IF(AND(COUNTA($A582:$L582)&gt;0,$N582=""),"Awaiting Collection Email time stamp.",""),IF(OR($U582="PAID",$U582="CLOSED"),IF($U582="PAID","Account paid. Action completed.","Account closed. No further action required."),CHOOSE($Z582,"Collection Email","1st Email Follow-up","2nd Email Follow-up","Escalation to Local Office","Escalation to CBE","Escalation to Roxanne")&amp;" sent "&amp;TEXT($AA582,"dd-mmm")&amp;". "&amp;IF($Z582=6,"Final escalation completed.",IF($U582="OVERDUE","Next: "&amp;$AC582&amp;" was due "&amp;TEXT($AB582,"dd-mmm")&amp;" - "&amp;(NETWORKDAYS($AB582,TODAY(),Holidays)-1)&amp;" business day(s) late. Send now.",IF($U582="DUE TOMORROW","Next: "&amp;$AC582&amp;IF($AB582&lt;=TODAY()," is due TODAY ("," is due next business day (")&amp;TEXT($AB582,"dd-mmm")&amp;").","Next: "&amp;$AC582&amp;" due "&amp;TEXT($AB582,"dd-mmm")&amp;" ("&amp;(NETWORKDAYS(TODAY(),$AB582,Holidays)-1)&amp;" business day(s) left).")))))</f>
        <v/>
      </c>
      <c r="W582" s="17">
        <f>IF($Z582="","",CHOOSE($Z582,"Collection Email","1st Follow-up","2nd Follow-up","Local Office","CBE","Roxanne")&amp;IF($Z582=6," - Final"," - Day "&amp;MAX(0,NETWORKDAYS($AA582,TODAY(),Holidays)-1)&amp;" of "&amp;CHOOSE($Z582,3,3,2,2,3))&amp;" | Total Day "&amp;MAX(0,NETWORKDAYS($N582,TODAY(),Holidays)-1))</f>
        <v/>
      </c>
      <c r="X582" s="18"/>
      <c r="Y582" s="18"/>
      <c r="Z582" s="17">
        <f>IF($N582="","",COUNT($N582:$S582))</f>
        <v/>
      </c>
      <c r="AA582" s="19">
        <f>IF($Z582="","",INT(INDEX($N582:$S582,$Z582)))</f>
        <v/>
      </c>
      <c r="AB582" s="19">
        <f>IF(OR($Z582="",$Z582=6),"",WORKDAY($AA582,CHOOSE($Z582,3,3,2,2,3),Holidays))</f>
        <v/>
      </c>
      <c r="AC582" s="17">
        <f>IF(OR($Z582="",$Z582=6),"",CHOOSE($Z582,"1st Email Follow-up","2nd Email Follow-up","Escalate Local Office","Escalate to CBE","Escalate to Roxanne"))</f>
        <v/>
      </c>
    </row>
    <row r="583" spans="13:29">
      <c r="M583" s="14"/>
      <c r="T583" s="16"/>
      <c r="U583" s="17">
        <f>IF(AND(COUNTA($A583:$L583)=0,$N583=""),"",IF($T583="Paid","PAID",IF($T583="Closed","CLOSED",IF($Z583="","",IF($Z583=6,"ESCALATED TO ROXANNE",IF(TODAY()&gt;$AB583,"OVERDUE",IF($AB583&lt;=WORKDAY(TODAY(),1,Holidays),"DUE TOMORROW",IF($Z583=4,"ESCALATED TO LOCAL OFFICE",IF($Z583=5,"ESCALATED TO CBE",IF($AA583=TODAY(),"EMAIL SENT","MONITORING"))))))))))</f>
        <v/>
      </c>
      <c r="V583" s="17">
        <f>IF($U583="",IF(AND(COUNTA($A583:$L583)&gt;0,$N583=""),"Awaiting Collection Email time stamp.",""),IF(OR($U583="PAID",$U583="CLOSED"),IF($U583="PAID","Account paid. Action completed.","Account closed. No further action required."),CHOOSE($Z583,"Collection Email","1st Email Follow-up","2nd Email Follow-up","Escalation to Local Office","Escalation to CBE","Escalation to Roxanne")&amp;" sent "&amp;TEXT($AA583,"dd-mmm")&amp;". "&amp;IF($Z583=6,"Final escalation completed.",IF($U583="OVERDUE","Next: "&amp;$AC583&amp;" was due "&amp;TEXT($AB583,"dd-mmm")&amp;" - "&amp;(NETWORKDAYS($AB583,TODAY(),Holidays)-1)&amp;" business day(s) late. Send now.",IF($U583="DUE TOMORROW","Next: "&amp;$AC583&amp;IF($AB583&lt;=TODAY()," is due TODAY ("," is due next business day (")&amp;TEXT($AB583,"dd-mmm")&amp;").","Next: "&amp;$AC583&amp;" due "&amp;TEXT($AB583,"dd-mmm")&amp;" ("&amp;(NETWORKDAYS(TODAY(),$AB583,Holidays)-1)&amp;" business day(s) left).")))))</f>
        <v/>
      </c>
      <c r="W583" s="17">
        <f>IF($Z583="","",CHOOSE($Z583,"Collection Email","1st Follow-up","2nd Follow-up","Local Office","CBE","Roxanne")&amp;IF($Z583=6," - Final"," - Day "&amp;MAX(0,NETWORKDAYS($AA583,TODAY(),Holidays)-1)&amp;" of "&amp;CHOOSE($Z583,3,3,2,2,3))&amp;" | Total Day "&amp;MAX(0,NETWORKDAYS($N583,TODAY(),Holidays)-1))</f>
        <v/>
      </c>
      <c r="X583" s="18"/>
      <c r="Y583" s="18"/>
      <c r="Z583" s="17">
        <f>IF($N583="","",COUNT($N583:$S583))</f>
        <v/>
      </c>
      <c r="AA583" s="19">
        <f>IF($Z583="","",INT(INDEX($N583:$S583,$Z583)))</f>
        <v/>
      </c>
      <c r="AB583" s="19">
        <f>IF(OR($Z583="",$Z583=6),"",WORKDAY($AA583,CHOOSE($Z583,3,3,2,2,3),Holidays))</f>
        <v/>
      </c>
      <c r="AC583" s="17">
        <f>IF(OR($Z583="",$Z583=6),"",CHOOSE($Z583,"1st Email Follow-up","2nd Email Follow-up","Escalate Local Office","Escalate to CBE","Escalate to Roxanne"))</f>
        <v/>
      </c>
    </row>
    <row r="584" spans="13:29">
      <c r="M584" s="14"/>
      <c r="T584" s="16"/>
      <c r="U584" s="17">
        <f>IF(AND(COUNTA($A584:$L584)=0,$N584=""),"",IF($T584="Paid","PAID",IF($T584="Closed","CLOSED",IF($Z584="","",IF($Z584=6,"ESCALATED TO ROXANNE",IF(TODAY()&gt;$AB584,"OVERDUE",IF($AB584&lt;=WORKDAY(TODAY(),1,Holidays),"DUE TOMORROW",IF($Z584=4,"ESCALATED TO LOCAL OFFICE",IF($Z584=5,"ESCALATED TO CBE",IF($AA584=TODAY(),"EMAIL SENT","MONITORING"))))))))))</f>
        <v/>
      </c>
      <c r="V584" s="17">
        <f>IF($U584="",IF(AND(COUNTA($A584:$L584)&gt;0,$N584=""),"Awaiting Collection Email time stamp.",""),IF(OR($U584="PAID",$U584="CLOSED"),IF($U584="PAID","Account paid. Action completed.","Account closed. No further action required."),CHOOSE($Z584,"Collection Email","1st Email Follow-up","2nd Email Follow-up","Escalation to Local Office","Escalation to CBE","Escalation to Roxanne")&amp;" sent "&amp;TEXT($AA584,"dd-mmm")&amp;". "&amp;IF($Z584=6,"Final escalation completed.",IF($U584="OVERDUE","Next: "&amp;$AC584&amp;" was due "&amp;TEXT($AB584,"dd-mmm")&amp;" - "&amp;(NETWORKDAYS($AB584,TODAY(),Holidays)-1)&amp;" business day(s) late. Send now.",IF($U584="DUE TOMORROW","Next: "&amp;$AC584&amp;IF($AB584&lt;=TODAY()," is due TODAY ("," is due next business day (")&amp;TEXT($AB584,"dd-mmm")&amp;").","Next: "&amp;$AC584&amp;" due "&amp;TEXT($AB584,"dd-mmm")&amp;" ("&amp;(NETWORKDAYS(TODAY(),$AB584,Holidays)-1)&amp;" business day(s) left).")))))</f>
        <v/>
      </c>
      <c r="W584" s="17">
        <f>IF($Z584="","",CHOOSE($Z584,"Collection Email","1st Follow-up","2nd Follow-up","Local Office","CBE","Roxanne")&amp;IF($Z584=6," - Final"," - Day "&amp;MAX(0,NETWORKDAYS($AA584,TODAY(),Holidays)-1)&amp;" of "&amp;CHOOSE($Z584,3,3,2,2,3))&amp;" | Total Day "&amp;MAX(0,NETWORKDAYS($N584,TODAY(),Holidays)-1))</f>
        <v/>
      </c>
      <c r="X584" s="18"/>
      <c r="Y584" s="18"/>
      <c r="Z584" s="17">
        <f>IF($N584="","",COUNT($N584:$S584))</f>
        <v/>
      </c>
      <c r="AA584" s="19">
        <f>IF($Z584="","",INT(INDEX($N584:$S584,$Z584)))</f>
        <v/>
      </c>
      <c r="AB584" s="19">
        <f>IF(OR($Z584="",$Z584=6),"",WORKDAY($AA584,CHOOSE($Z584,3,3,2,2,3),Holidays))</f>
        <v/>
      </c>
      <c r="AC584" s="17">
        <f>IF(OR($Z584="",$Z584=6),"",CHOOSE($Z584,"1st Email Follow-up","2nd Email Follow-up","Escalate Local Office","Escalate to CBE","Escalate to Roxanne"))</f>
        <v/>
      </c>
    </row>
    <row r="585" spans="13:29">
      <c r="M585" s="14"/>
      <c r="T585" s="16"/>
      <c r="U585" s="17">
        <f>IF(AND(COUNTA($A585:$L585)=0,$N585=""),"",IF($T585="Paid","PAID",IF($T585="Closed","CLOSED",IF($Z585="","",IF($Z585=6,"ESCALATED TO ROXANNE",IF(TODAY()&gt;$AB585,"OVERDUE",IF($AB585&lt;=WORKDAY(TODAY(),1,Holidays),"DUE TOMORROW",IF($Z585=4,"ESCALATED TO LOCAL OFFICE",IF($Z585=5,"ESCALATED TO CBE",IF($AA585=TODAY(),"EMAIL SENT","MONITORING"))))))))))</f>
        <v/>
      </c>
      <c r="V585" s="17">
        <f>IF($U585="",IF(AND(COUNTA($A585:$L585)&gt;0,$N585=""),"Awaiting Collection Email time stamp.",""),IF(OR($U585="PAID",$U585="CLOSED"),IF($U585="PAID","Account paid. Action completed.","Account closed. No further action required."),CHOOSE($Z585,"Collection Email","1st Email Follow-up","2nd Email Follow-up","Escalation to Local Office","Escalation to CBE","Escalation to Roxanne")&amp;" sent "&amp;TEXT($AA585,"dd-mmm")&amp;". "&amp;IF($Z585=6,"Final escalation completed.",IF($U585="OVERDUE","Next: "&amp;$AC585&amp;" was due "&amp;TEXT($AB585,"dd-mmm")&amp;" - "&amp;(NETWORKDAYS($AB585,TODAY(),Holidays)-1)&amp;" business day(s) late. Send now.",IF($U585="DUE TOMORROW","Next: "&amp;$AC585&amp;IF($AB585&lt;=TODAY()," is due TODAY ("," is due next business day (")&amp;TEXT($AB585,"dd-mmm")&amp;").","Next: "&amp;$AC585&amp;" due "&amp;TEXT($AB585,"dd-mmm")&amp;" ("&amp;(NETWORKDAYS(TODAY(),$AB585,Holidays)-1)&amp;" business day(s) left).")))))</f>
        <v/>
      </c>
      <c r="W585" s="17">
        <f>IF($Z585="","",CHOOSE($Z585,"Collection Email","1st Follow-up","2nd Follow-up","Local Office","CBE","Roxanne")&amp;IF($Z585=6," - Final"," - Day "&amp;MAX(0,NETWORKDAYS($AA585,TODAY(),Holidays)-1)&amp;" of "&amp;CHOOSE($Z585,3,3,2,2,3))&amp;" | Total Day "&amp;MAX(0,NETWORKDAYS($N585,TODAY(),Holidays)-1))</f>
        <v/>
      </c>
      <c r="X585" s="18"/>
      <c r="Y585" s="18"/>
      <c r="Z585" s="17">
        <f>IF($N585="","",COUNT($N585:$S585))</f>
        <v/>
      </c>
      <c r="AA585" s="19">
        <f>IF($Z585="","",INT(INDEX($N585:$S585,$Z585)))</f>
        <v/>
      </c>
      <c r="AB585" s="19">
        <f>IF(OR($Z585="",$Z585=6),"",WORKDAY($AA585,CHOOSE($Z585,3,3,2,2,3),Holidays))</f>
        <v/>
      </c>
      <c r="AC585" s="17">
        <f>IF(OR($Z585="",$Z585=6),"",CHOOSE($Z585,"1st Email Follow-up","2nd Email Follow-up","Escalate Local Office","Escalate to CBE","Escalate to Roxanne"))</f>
        <v/>
      </c>
    </row>
    <row r="586" spans="13:29">
      <c r="M586" s="14"/>
      <c r="T586" s="16"/>
      <c r="U586" s="17">
        <f>IF(AND(COUNTA($A586:$L586)=0,$N586=""),"",IF($T586="Paid","PAID",IF($T586="Closed","CLOSED",IF($Z586="","",IF($Z586=6,"ESCALATED TO ROXANNE",IF(TODAY()&gt;$AB586,"OVERDUE",IF($AB586&lt;=WORKDAY(TODAY(),1,Holidays),"DUE TOMORROW",IF($Z586=4,"ESCALATED TO LOCAL OFFICE",IF($Z586=5,"ESCALATED TO CBE",IF($AA586=TODAY(),"EMAIL SENT","MONITORING"))))))))))</f>
        <v/>
      </c>
      <c r="V586" s="17">
        <f>IF($U586="",IF(AND(COUNTA($A586:$L586)&gt;0,$N586=""),"Awaiting Collection Email time stamp.",""),IF(OR($U586="PAID",$U586="CLOSED"),IF($U586="PAID","Account paid. Action completed.","Account closed. No further action required."),CHOOSE($Z586,"Collection Email","1st Email Follow-up","2nd Email Follow-up","Escalation to Local Office","Escalation to CBE","Escalation to Roxanne")&amp;" sent "&amp;TEXT($AA586,"dd-mmm")&amp;". "&amp;IF($Z586=6,"Final escalation completed.",IF($U586="OVERDUE","Next: "&amp;$AC586&amp;" was due "&amp;TEXT($AB586,"dd-mmm")&amp;" - "&amp;(NETWORKDAYS($AB586,TODAY(),Holidays)-1)&amp;" business day(s) late. Send now.",IF($U586="DUE TOMORROW","Next: "&amp;$AC586&amp;IF($AB586&lt;=TODAY()," is due TODAY ("," is due next business day (")&amp;TEXT($AB586,"dd-mmm")&amp;").","Next: "&amp;$AC586&amp;" due "&amp;TEXT($AB586,"dd-mmm")&amp;" ("&amp;(NETWORKDAYS(TODAY(),$AB586,Holidays)-1)&amp;" business day(s) left).")))))</f>
        <v/>
      </c>
      <c r="W586" s="17">
        <f>IF($Z586="","",CHOOSE($Z586,"Collection Email","1st Follow-up","2nd Follow-up","Local Office","CBE","Roxanne")&amp;IF($Z586=6," - Final"," - Day "&amp;MAX(0,NETWORKDAYS($AA586,TODAY(),Holidays)-1)&amp;" of "&amp;CHOOSE($Z586,3,3,2,2,3))&amp;" | Total Day "&amp;MAX(0,NETWORKDAYS($N586,TODAY(),Holidays)-1))</f>
        <v/>
      </c>
      <c r="X586" s="18"/>
      <c r="Y586" s="18"/>
      <c r="Z586" s="17">
        <f>IF($N586="","",COUNT($N586:$S586))</f>
        <v/>
      </c>
      <c r="AA586" s="19">
        <f>IF($Z586="","",INT(INDEX($N586:$S586,$Z586)))</f>
        <v/>
      </c>
      <c r="AB586" s="19">
        <f>IF(OR($Z586="",$Z586=6),"",WORKDAY($AA586,CHOOSE($Z586,3,3,2,2,3),Holidays))</f>
        <v/>
      </c>
      <c r="AC586" s="17">
        <f>IF(OR($Z586="",$Z586=6),"",CHOOSE($Z586,"1st Email Follow-up","2nd Email Follow-up","Escalate Local Office","Escalate to CBE","Escalate to Roxanne"))</f>
        <v/>
      </c>
    </row>
    <row r="587" spans="13:29">
      <c r="M587" s="14"/>
      <c r="T587" s="16"/>
      <c r="U587" s="17">
        <f>IF(AND(COUNTA($A587:$L587)=0,$N587=""),"",IF($T587="Paid","PAID",IF($T587="Closed","CLOSED",IF($Z587="","",IF($Z587=6,"ESCALATED TO ROXANNE",IF(TODAY()&gt;$AB587,"OVERDUE",IF($AB587&lt;=WORKDAY(TODAY(),1,Holidays),"DUE TOMORROW",IF($Z587=4,"ESCALATED TO LOCAL OFFICE",IF($Z587=5,"ESCALATED TO CBE",IF($AA587=TODAY(),"EMAIL SENT","MONITORING"))))))))))</f>
        <v/>
      </c>
      <c r="V587" s="17">
        <f>IF($U587="",IF(AND(COUNTA($A587:$L587)&gt;0,$N587=""),"Awaiting Collection Email time stamp.",""),IF(OR($U587="PAID",$U587="CLOSED"),IF($U587="PAID","Account paid. Action completed.","Account closed. No further action required."),CHOOSE($Z587,"Collection Email","1st Email Follow-up","2nd Email Follow-up","Escalation to Local Office","Escalation to CBE","Escalation to Roxanne")&amp;" sent "&amp;TEXT($AA587,"dd-mmm")&amp;". "&amp;IF($Z587=6,"Final escalation completed.",IF($U587="OVERDUE","Next: "&amp;$AC587&amp;" was due "&amp;TEXT($AB587,"dd-mmm")&amp;" - "&amp;(NETWORKDAYS($AB587,TODAY(),Holidays)-1)&amp;" business day(s) late. Send now.",IF($U587="DUE TOMORROW","Next: "&amp;$AC587&amp;IF($AB587&lt;=TODAY()," is due TODAY ("," is due next business day (")&amp;TEXT($AB587,"dd-mmm")&amp;").","Next: "&amp;$AC587&amp;" due "&amp;TEXT($AB587,"dd-mmm")&amp;" ("&amp;(NETWORKDAYS(TODAY(),$AB587,Holidays)-1)&amp;" business day(s) left).")))))</f>
        <v/>
      </c>
      <c r="W587" s="17">
        <f>IF($Z587="","",CHOOSE($Z587,"Collection Email","1st Follow-up","2nd Follow-up","Local Office","CBE","Roxanne")&amp;IF($Z587=6," - Final"," - Day "&amp;MAX(0,NETWORKDAYS($AA587,TODAY(),Holidays)-1)&amp;" of "&amp;CHOOSE($Z587,3,3,2,2,3))&amp;" | Total Day "&amp;MAX(0,NETWORKDAYS($N587,TODAY(),Holidays)-1))</f>
        <v/>
      </c>
      <c r="X587" s="18"/>
      <c r="Y587" s="18"/>
      <c r="Z587" s="17">
        <f>IF($N587="","",COUNT($N587:$S587))</f>
        <v/>
      </c>
      <c r="AA587" s="19">
        <f>IF($Z587="","",INT(INDEX($N587:$S587,$Z587)))</f>
        <v/>
      </c>
      <c r="AB587" s="19">
        <f>IF(OR($Z587="",$Z587=6),"",WORKDAY($AA587,CHOOSE($Z587,3,3,2,2,3),Holidays))</f>
        <v/>
      </c>
      <c r="AC587" s="17">
        <f>IF(OR($Z587="",$Z587=6),"",CHOOSE($Z587,"1st Email Follow-up","2nd Email Follow-up","Escalate Local Office","Escalate to CBE","Escalate to Roxanne"))</f>
        <v/>
      </c>
    </row>
    <row r="588" spans="13:29">
      <c r="M588" s="14"/>
      <c r="T588" s="16"/>
      <c r="U588" s="17">
        <f>IF(AND(COUNTA($A588:$L588)=0,$N588=""),"",IF($T588="Paid","PAID",IF($T588="Closed","CLOSED",IF($Z588="","",IF($Z588=6,"ESCALATED TO ROXANNE",IF(TODAY()&gt;$AB588,"OVERDUE",IF($AB588&lt;=WORKDAY(TODAY(),1,Holidays),"DUE TOMORROW",IF($Z588=4,"ESCALATED TO LOCAL OFFICE",IF($Z588=5,"ESCALATED TO CBE",IF($AA588=TODAY(),"EMAIL SENT","MONITORING"))))))))))</f>
        <v/>
      </c>
      <c r="V588" s="17">
        <f>IF($U588="",IF(AND(COUNTA($A588:$L588)&gt;0,$N588=""),"Awaiting Collection Email time stamp.",""),IF(OR($U588="PAID",$U588="CLOSED"),IF($U588="PAID","Account paid. Action completed.","Account closed. No further action required."),CHOOSE($Z588,"Collection Email","1st Email Follow-up","2nd Email Follow-up","Escalation to Local Office","Escalation to CBE","Escalation to Roxanne")&amp;" sent "&amp;TEXT($AA588,"dd-mmm")&amp;". "&amp;IF($Z588=6,"Final escalation completed.",IF($U588="OVERDUE","Next: "&amp;$AC588&amp;" was due "&amp;TEXT($AB588,"dd-mmm")&amp;" - "&amp;(NETWORKDAYS($AB588,TODAY(),Holidays)-1)&amp;" business day(s) late. Send now.",IF($U588="DUE TOMORROW","Next: "&amp;$AC588&amp;IF($AB588&lt;=TODAY()," is due TODAY ("," is due next business day (")&amp;TEXT($AB588,"dd-mmm")&amp;").","Next: "&amp;$AC588&amp;" due "&amp;TEXT($AB588,"dd-mmm")&amp;" ("&amp;(NETWORKDAYS(TODAY(),$AB588,Holidays)-1)&amp;" business day(s) left).")))))</f>
        <v/>
      </c>
      <c r="W588" s="17">
        <f>IF($Z588="","",CHOOSE($Z588,"Collection Email","1st Follow-up","2nd Follow-up","Local Office","CBE","Roxanne")&amp;IF($Z588=6," - Final"," - Day "&amp;MAX(0,NETWORKDAYS($AA588,TODAY(),Holidays)-1)&amp;" of "&amp;CHOOSE($Z588,3,3,2,2,3))&amp;" | Total Day "&amp;MAX(0,NETWORKDAYS($N588,TODAY(),Holidays)-1))</f>
        <v/>
      </c>
      <c r="X588" s="18"/>
      <c r="Y588" s="18"/>
      <c r="Z588" s="17">
        <f>IF($N588="","",COUNT($N588:$S588))</f>
        <v/>
      </c>
      <c r="AA588" s="19">
        <f>IF($Z588="","",INT(INDEX($N588:$S588,$Z588)))</f>
        <v/>
      </c>
      <c r="AB588" s="19">
        <f>IF(OR($Z588="",$Z588=6),"",WORKDAY($AA588,CHOOSE($Z588,3,3,2,2,3),Holidays))</f>
        <v/>
      </c>
      <c r="AC588" s="17">
        <f>IF(OR($Z588="",$Z588=6),"",CHOOSE($Z588,"1st Email Follow-up","2nd Email Follow-up","Escalate Local Office","Escalate to CBE","Escalate to Roxanne"))</f>
        <v/>
      </c>
    </row>
    <row r="589" spans="13:29">
      <c r="M589" s="14"/>
      <c r="T589" s="16"/>
      <c r="U589" s="17">
        <f>IF(AND(COUNTA($A589:$L589)=0,$N589=""),"",IF($T589="Paid","PAID",IF($T589="Closed","CLOSED",IF($Z589="","",IF($Z589=6,"ESCALATED TO ROXANNE",IF(TODAY()&gt;$AB589,"OVERDUE",IF($AB589&lt;=WORKDAY(TODAY(),1,Holidays),"DUE TOMORROW",IF($Z589=4,"ESCALATED TO LOCAL OFFICE",IF($Z589=5,"ESCALATED TO CBE",IF($AA589=TODAY(),"EMAIL SENT","MONITORING"))))))))))</f>
        <v/>
      </c>
      <c r="V589" s="17">
        <f>IF($U589="",IF(AND(COUNTA($A589:$L589)&gt;0,$N589=""),"Awaiting Collection Email time stamp.",""),IF(OR($U589="PAID",$U589="CLOSED"),IF($U589="PAID","Account paid. Action completed.","Account closed. No further action required."),CHOOSE($Z589,"Collection Email","1st Email Follow-up","2nd Email Follow-up","Escalation to Local Office","Escalation to CBE","Escalation to Roxanne")&amp;" sent "&amp;TEXT($AA589,"dd-mmm")&amp;". "&amp;IF($Z589=6,"Final escalation completed.",IF($U589="OVERDUE","Next: "&amp;$AC589&amp;" was due "&amp;TEXT($AB589,"dd-mmm")&amp;" - "&amp;(NETWORKDAYS($AB589,TODAY(),Holidays)-1)&amp;" business day(s) late. Send now.",IF($U589="DUE TOMORROW","Next: "&amp;$AC589&amp;IF($AB589&lt;=TODAY()," is due TODAY ("," is due next business day (")&amp;TEXT($AB589,"dd-mmm")&amp;").","Next: "&amp;$AC589&amp;" due "&amp;TEXT($AB589,"dd-mmm")&amp;" ("&amp;(NETWORKDAYS(TODAY(),$AB589,Holidays)-1)&amp;" business day(s) left).")))))</f>
        <v/>
      </c>
      <c r="W589" s="17">
        <f>IF($Z589="","",CHOOSE($Z589,"Collection Email","1st Follow-up","2nd Follow-up","Local Office","CBE","Roxanne")&amp;IF($Z589=6," - Final"," - Day "&amp;MAX(0,NETWORKDAYS($AA589,TODAY(),Holidays)-1)&amp;" of "&amp;CHOOSE($Z589,3,3,2,2,3))&amp;" | Total Day "&amp;MAX(0,NETWORKDAYS($N589,TODAY(),Holidays)-1))</f>
        <v/>
      </c>
      <c r="X589" s="18"/>
      <c r="Y589" s="18"/>
      <c r="Z589" s="17">
        <f>IF($N589="","",COUNT($N589:$S589))</f>
        <v/>
      </c>
      <c r="AA589" s="19">
        <f>IF($Z589="","",INT(INDEX($N589:$S589,$Z589)))</f>
        <v/>
      </c>
      <c r="AB589" s="19">
        <f>IF(OR($Z589="",$Z589=6),"",WORKDAY($AA589,CHOOSE($Z589,3,3,2,2,3),Holidays))</f>
        <v/>
      </c>
      <c r="AC589" s="17">
        <f>IF(OR($Z589="",$Z589=6),"",CHOOSE($Z589,"1st Email Follow-up","2nd Email Follow-up","Escalate Local Office","Escalate to CBE","Escalate to Roxanne"))</f>
        <v/>
      </c>
    </row>
    <row r="590" spans="13:29">
      <c r="M590" s="14"/>
      <c r="T590" s="16"/>
      <c r="U590" s="17">
        <f>IF(AND(COUNTA($A590:$L590)=0,$N590=""),"",IF($T590="Paid","PAID",IF($T590="Closed","CLOSED",IF($Z590="","",IF($Z590=6,"ESCALATED TO ROXANNE",IF(TODAY()&gt;$AB590,"OVERDUE",IF($AB590&lt;=WORKDAY(TODAY(),1,Holidays),"DUE TOMORROW",IF($Z590=4,"ESCALATED TO LOCAL OFFICE",IF($Z590=5,"ESCALATED TO CBE",IF($AA590=TODAY(),"EMAIL SENT","MONITORING"))))))))))</f>
        <v/>
      </c>
      <c r="V590" s="17">
        <f>IF($U590="",IF(AND(COUNTA($A590:$L590)&gt;0,$N590=""),"Awaiting Collection Email time stamp.",""),IF(OR($U590="PAID",$U590="CLOSED"),IF($U590="PAID","Account paid. Action completed.","Account closed. No further action required."),CHOOSE($Z590,"Collection Email","1st Email Follow-up","2nd Email Follow-up","Escalation to Local Office","Escalation to CBE","Escalation to Roxanne")&amp;" sent "&amp;TEXT($AA590,"dd-mmm")&amp;". "&amp;IF($Z590=6,"Final escalation completed.",IF($U590="OVERDUE","Next: "&amp;$AC590&amp;" was due "&amp;TEXT($AB590,"dd-mmm")&amp;" - "&amp;(NETWORKDAYS($AB590,TODAY(),Holidays)-1)&amp;" business day(s) late. Send now.",IF($U590="DUE TOMORROW","Next: "&amp;$AC590&amp;IF($AB590&lt;=TODAY()," is due TODAY ("," is due next business day (")&amp;TEXT($AB590,"dd-mmm")&amp;").","Next: "&amp;$AC590&amp;" due "&amp;TEXT($AB590,"dd-mmm")&amp;" ("&amp;(NETWORKDAYS(TODAY(),$AB590,Holidays)-1)&amp;" business day(s) left).")))))</f>
        <v/>
      </c>
      <c r="W590" s="17">
        <f>IF($Z590="","",CHOOSE($Z590,"Collection Email","1st Follow-up","2nd Follow-up","Local Office","CBE","Roxanne")&amp;IF($Z590=6," - Final"," - Day "&amp;MAX(0,NETWORKDAYS($AA590,TODAY(),Holidays)-1)&amp;" of "&amp;CHOOSE($Z590,3,3,2,2,3))&amp;" | Total Day "&amp;MAX(0,NETWORKDAYS($N590,TODAY(),Holidays)-1))</f>
        <v/>
      </c>
      <c r="X590" s="18"/>
      <c r="Y590" s="18"/>
      <c r="Z590" s="17">
        <f>IF($N590="","",COUNT($N590:$S590))</f>
        <v/>
      </c>
      <c r="AA590" s="19">
        <f>IF($Z590="","",INT(INDEX($N590:$S590,$Z590)))</f>
        <v/>
      </c>
      <c r="AB590" s="19">
        <f>IF(OR($Z590="",$Z590=6),"",WORKDAY($AA590,CHOOSE($Z590,3,3,2,2,3),Holidays))</f>
        <v/>
      </c>
      <c r="AC590" s="17">
        <f>IF(OR($Z590="",$Z590=6),"",CHOOSE($Z590,"1st Email Follow-up","2nd Email Follow-up","Escalate Local Office","Escalate to CBE","Escalate to Roxanne"))</f>
        <v/>
      </c>
    </row>
    <row r="591" spans="13:29">
      <c r="M591" s="14"/>
      <c r="T591" s="16"/>
      <c r="U591" s="17">
        <f>IF(AND(COUNTA($A591:$L591)=0,$N591=""),"",IF($T591="Paid","PAID",IF($T591="Closed","CLOSED",IF($Z591="","",IF($Z591=6,"ESCALATED TO ROXANNE",IF(TODAY()&gt;$AB591,"OVERDUE",IF($AB591&lt;=WORKDAY(TODAY(),1,Holidays),"DUE TOMORROW",IF($Z591=4,"ESCALATED TO LOCAL OFFICE",IF($Z591=5,"ESCALATED TO CBE",IF($AA591=TODAY(),"EMAIL SENT","MONITORING"))))))))))</f>
        <v/>
      </c>
      <c r="V591" s="17">
        <f>IF($U591="",IF(AND(COUNTA($A591:$L591)&gt;0,$N591=""),"Awaiting Collection Email time stamp.",""),IF(OR($U591="PAID",$U591="CLOSED"),IF($U591="PAID","Account paid. Action completed.","Account closed. No further action required."),CHOOSE($Z591,"Collection Email","1st Email Follow-up","2nd Email Follow-up","Escalation to Local Office","Escalation to CBE","Escalation to Roxanne")&amp;" sent "&amp;TEXT($AA591,"dd-mmm")&amp;". "&amp;IF($Z591=6,"Final escalation completed.",IF($U591="OVERDUE","Next: "&amp;$AC591&amp;" was due "&amp;TEXT($AB591,"dd-mmm")&amp;" - "&amp;(NETWORKDAYS($AB591,TODAY(),Holidays)-1)&amp;" business day(s) late. Send now.",IF($U591="DUE TOMORROW","Next: "&amp;$AC591&amp;IF($AB591&lt;=TODAY()," is due TODAY ("," is due next business day (")&amp;TEXT($AB591,"dd-mmm")&amp;").","Next: "&amp;$AC591&amp;" due "&amp;TEXT($AB591,"dd-mmm")&amp;" ("&amp;(NETWORKDAYS(TODAY(),$AB591,Holidays)-1)&amp;" business day(s) left).")))))</f>
        <v/>
      </c>
      <c r="W591" s="17">
        <f>IF($Z591="","",CHOOSE($Z591,"Collection Email","1st Follow-up","2nd Follow-up","Local Office","CBE","Roxanne")&amp;IF($Z591=6," - Final"," - Day "&amp;MAX(0,NETWORKDAYS($AA591,TODAY(),Holidays)-1)&amp;" of "&amp;CHOOSE($Z591,3,3,2,2,3))&amp;" | Total Day "&amp;MAX(0,NETWORKDAYS($N591,TODAY(),Holidays)-1))</f>
        <v/>
      </c>
      <c r="X591" s="18"/>
      <c r="Y591" s="18"/>
      <c r="Z591" s="17">
        <f>IF($N591="","",COUNT($N591:$S591))</f>
        <v/>
      </c>
      <c r="AA591" s="19">
        <f>IF($Z591="","",INT(INDEX($N591:$S591,$Z591)))</f>
        <v/>
      </c>
      <c r="AB591" s="19">
        <f>IF(OR($Z591="",$Z591=6),"",WORKDAY($AA591,CHOOSE($Z591,3,3,2,2,3),Holidays))</f>
        <v/>
      </c>
      <c r="AC591" s="17">
        <f>IF(OR($Z591="",$Z591=6),"",CHOOSE($Z591,"1st Email Follow-up","2nd Email Follow-up","Escalate Local Office","Escalate to CBE","Escalate to Roxanne"))</f>
        <v/>
      </c>
    </row>
    <row r="592" spans="13:29">
      <c r="M592" s="14"/>
      <c r="T592" s="16"/>
      <c r="U592" s="17">
        <f>IF(AND(COUNTA($A592:$L592)=0,$N592=""),"",IF($T592="Paid","PAID",IF($T592="Closed","CLOSED",IF($Z592="","",IF($Z592=6,"ESCALATED TO ROXANNE",IF(TODAY()&gt;$AB592,"OVERDUE",IF($AB592&lt;=WORKDAY(TODAY(),1,Holidays),"DUE TOMORROW",IF($Z592=4,"ESCALATED TO LOCAL OFFICE",IF($Z592=5,"ESCALATED TO CBE",IF($AA592=TODAY(),"EMAIL SENT","MONITORING"))))))))))</f>
        <v/>
      </c>
      <c r="V592" s="17">
        <f>IF($U592="",IF(AND(COUNTA($A592:$L592)&gt;0,$N592=""),"Awaiting Collection Email time stamp.",""),IF(OR($U592="PAID",$U592="CLOSED"),IF($U592="PAID","Account paid. Action completed.","Account closed. No further action required."),CHOOSE($Z592,"Collection Email","1st Email Follow-up","2nd Email Follow-up","Escalation to Local Office","Escalation to CBE","Escalation to Roxanne")&amp;" sent "&amp;TEXT($AA592,"dd-mmm")&amp;". "&amp;IF($Z592=6,"Final escalation completed.",IF($U592="OVERDUE","Next: "&amp;$AC592&amp;" was due "&amp;TEXT($AB592,"dd-mmm")&amp;" - "&amp;(NETWORKDAYS($AB592,TODAY(),Holidays)-1)&amp;" business day(s) late. Send now.",IF($U592="DUE TOMORROW","Next: "&amp;$AC592&amp;IF($AB592&lt;=TODAY()," is due TODAY ("," is due next business day (")&amp;TEXT($AB592,"dd-mmm")&amp;").","Next: "&amp;$AC592&amp;" due "&amp;TEXT($AB592,"dd-mmm")&amp;" ("&amp;(NETWORKDAYS(TODAY(),$AB592,Holidays)-1)&amp;" business day(s) left).")))))</f>
        <v/>
      </c>
      <c r="W592" s="17">
        <f>IF($Z592="","",CHOOSE($Z592,"Collection Email","1st Follow-up","2nd Follow-up","Local Office","CBE","Roxanne")&amp;IF($Z592=6," - Final"," - Day "&amp;MAX(0,NETWORKDAYS($AA592,TODAY(),Holidays)-1)&amp;" of "&amp;CHOOSE($Z592,3,3,2,2,3))&amp;" | Total Day "&amp;MAX(0,NETWORKDAYS($N592,TODAY(),Holidays)-1))</f>
        <v/>
      </c>
      <c r="X592" s="18"/>
      <c r="Y592" s="18"/>
      <c r="Z592" s="17">
        <f>IF($N592="","",COUNT($N592:$S592))</f>
        <v/>
      </c>
      <c r="AA592" s="19">
        <f>IF($Z592="","",INT(INDEX($N592:$S592,$Z592)))</f>
        <v/>
      </c>
      <c r="AB592" s="19">
        <f>IF(OR($Z592="",$Z592=6),"",WORKDAY($AA592,CHOOSE($Z592,3,3,2,2,3),Holidays))</f>
        <v/>
      </c>
      <c r="AC592" s="17">
        <f>IF(OR($Z592="",$Z592=6),"",CHOOSE($Z592,"1st Email Follow-up","2nd Email Follow-up","Escalate Local Office","Escalate to CBE","Escalate to Roxanne"))</f>
        <v/>
      </c>
    </row>
    <row r="593" spans="13:29">
      <c r="M593" s="14"/>
      <c r="T593" s="16"/>
      <c r="U593" s="17">
        <f>IF(AND(COUNTA($A593:$L593)=0,$N593=""),"",IF($T593="Paid","PAID",IF($T593="Closed","CLOSED",IF($Z593="","",IF($Z593=6,"ESCALATED TO ROXANNE",IF(TODAY()&gt;$AB593,"OVERDUE",IF($AB593&lt;=WORKDAY(TODAY(),1,Holidays),"DUE TOMORROW",IF($Z593=4,"ESCALATED TO LOCAL OFFICE",IF($Z593=5,"ESCALATED TO CBE",IF($AA593=TODAY(),"EMAIL SENT","MONITORING"))))))))))</f>
        <v/>
      </c>
      <c r="V593" s="17">
        <f>IF($U593="",IF(AND(COUNTA($A593:$L593)&gt;0,$N593=""),"Awaiting Collection Email time stamp.",""),IF(OR($U593="PAID",$U593="CLOSED"),IF($U593="PAID","Account paid. Action completed.","Account closed. No further action required."),CHOOSE($Z593,"Collection Email","1st Email Follow-up","2nd Email Follow-up","Escalation to Local Office","Escalation to CBE","Escalation to Roxanne")&amp;" sent "&amp;TEXT($AA593,"dd-mmm")&amp;". "&amp;IF($Z593=6,"Final escalation completed.",IF($U593="OVERDUE","Next: "&amp;$AC593&amp;" was due "&amp;TEXT($AB593,"dd-mmm")&amp;" - "&amp;(NETWORKDAYS($AB593,TODAY(),Holidays)-1)&amp;" business day(s) late. Send now.",IF($U593="DUE TOMORROW","Next: "&amp;$AC593&amp;IF($AB593&lt;=TODAY()," is due TODAY ("," is due next business day (")&amp;TEXT($AB593,"dd-mmm")&amp;").","Next: "&amp;$AC593&amp;" due "&amp;TEXT($AB593,"dd-mmm")&amp;" ("&amp;(NETWORKDAYS(TODAY(),$AB593,Holidays)-1)&amp;" business day(s) left).")))))</f>
        <v/>
      </c>
      <c r="W593" s="17">
        <f>IF($Z593="","",CHOOSE($Z593,"Collection Email","1st Follow-up","2nd Follow-up","Local Office","CBE","Roxanne")&amp;IF($Z593=6," - Final"," - Day "&amp;MAX(0,NETWORKDAYS($AA593,TODAY(),Holidays)-1)&amp;" of "&amp;CHOOSE($Z593,3,3,2,2,3))&amp;" | Total Day "&amp;MAX(0,NETWORKDAYS($N593,TODAY(),Holidays)-1))</f>
        <v/>
      </c>
      <c r="X593" s="18"/>
      <c r="Y593" s="18"/>
      <c r="Z593" s="17">
        <f>IF($N593="","",COUNT($N593:$S593))</f>
        <v/>
      </c>
      <c r="AA593" s="19">
        <f>IF($Z593="","",INT(INDEX($N593:$S593,$Z593)))</f>
        <v/>
      </c>
      <c r="AB593" s="19">
        <f>IF(OR($Z593="",$Z593=6),"",WORKDAY($AA593,CHOOSE($Z593,3,3,2,2,3),Holidays))</f>
        <v/>
      </c>
      <c r="AC593" s="17">
        <f>IF(OR($Z593="",$Z593=6),"",CHOOSE($Z593,"1st Email Follow-up","2nd Email Follow-up","Escalate Local Office","Escalate to CBE","Escalate to Roxanne"))</f>
        <v/>
      </c>
    </row>
    <row r="594" spans="13:29">
      <c r="M594" s="14"/>
      <c r="T594" s="16"/>
      <c r="U594" s="17">
        <f>IF(AND(COUNTA($A594:$L594)=0,$N594=""),"",IF($T594="Paid","PAID",IF($T594="Closed","CLOSED",IF($Z594="","",IF($Z594=6,"ESCALATED TO ROXANNE",IF(TODAY()&gt;$AB594,"OVERDUE",IF($AB594&lt;=WORKDAY(TODAY(),1,Holidays),"DUE TOMORROW",IF($Z594=4,"ESCALATED TO LOCAL OFFICE",IF($Z594=5,"ESCALATED TO CBE",IF($AA594=TODAY(),"EMAIL SENT","MONITORING"))))))))))</f>
        <v/>
      </c>
      <c r="V594" s="17">
        <f>IF($U594="",IF(AND(COUNTA($A594:$L594)&gt;0,$N594=""),"Awaiting Collection Email time stamp.",""),IF(OR($U594="PAID",$U594="CLOSED"),IF($U594="PAID","Account paid. Action completed.","Account closed. No further action required."),CHOOSE($Z594,"Collection Email","1st Email Follow-up","2nd Email Follow-up","Escalation to Local Office","Escalation to CBE","Escalation to Roxanne")&amp;" sent "&amp;TEXT($AA594,"dd-mmm")&amp;". "&amp;IF($Z594=6,"Final escalation completed.",IF($U594="OVERDUE","Next: "&amp;$AC594&amp;" was due "&amp;TEXT($AB594,"dd-mmm")&amp;" - "&amp;(NETWORKDAYS($AB594,TODAY(),Holidays)-1)&amp;" business day(s) late. Send now.",IF($U594="DUE TOMORROW","Next: "&amp;$AC594&amp;IF($AB594&lt;=TODAY()," is due TODAY ("," is due next business day (")&amp;TEXT($AB594,"dd-mmm")&amp;").","Next: "&amp;$AC594&amp;" due "&amp;TEXT($AB594,"dd-mmm")&amp;" ("&amp;(NETWORKDAYS(TODAY(),$AB594,Holidays)-1)&amp;" business day(s) left).")))))</f>
        <v/>
      </c>
      <c r="W594" s="17">
        <f>IF($Z594="","",CHOOSE($Z594,"Collection Email","1st Follow-up","2nd Follow-up","Local Office","CBE","Roxanne")&amp;IF($Z594=6," - Final"," - Day "&amp;MAX(0,NETWORKDAYS($AA594,TODAY(),Holidays)-1)&amp;" of "&amp;CHOOSE($Z594,3,3,2,2,3))&amp;" | Total Day "&amp;MAX(0,NETWORKDAYS($N594,TODAY(),Holidays)-1))</f>
        <v/>
      </c>
      <c r="X594" s="18"/>
      <c r="Y594" s="18"/>
      <c r="Z594" s="17">
        <f>IF($N594="","",COUNT($N594:$S594))</f>
        <v/>
      </c>
      <c r="AA594" s="19">
        <f>IF($Z594="","",INT(INDEX($N594:$S594,$Z594)))</f>
        <v/>
      </c>
      <c r="AB594" s="19">
        <f>IF(OR($Z594="",$Z594=6),"",WORKDAY($AA594,CHOOSE($Z594,3,3,2,2,3),Holidays))</f>
        <v/>
      </c>
      <c r="AC594" s="17">
        <f>IF(OR($Z594="",$Z594=6),"",CHOOSE($Z594,"1st Email Follow-up","2nd Email Follow-up","Escalate Local Office","Escalate to CBE","Escalate to Roxanne"))</f>
        <v/>
      </c>
    </row>
    <row r="595" spans="13:29">
      <c r="M595" s="14"/>
      <c r="T595" s="16"/>
      <c r="U595" s="17">
        <f>IF(AND(COUNTA($A595:$L595)=0,$N595=""),"",IF($T595="Paid","PAID",IF($T595="Closed","CLOSED",IF($Z595="","",IF($Z595=6,"ESCALATED TO ROXANNE",IF(TODAY()&gt;$AB595,"OVERDUE",IF($AB595&lt;=WORKDAY(TODAY(),1,Holidays),"DUE TOMORROW",IF($Z595=4,"ESCALATED TO LOCAL OFFICE",IF($Z595=5,"ESCALATED TO CBE",IF($AA595=TODAY(),"EMAIL SENT","MONITORING"))))))))))</f>
        <v/>
      </c>
      <c r="V595" s="17">
        <f>IF($U595="",IF(AND(COUNTA($A595:$L595)&gt;0,$N595=""),"Awaiting Collection Email time stamp.",""),IF(OR($U595="PAID",$U595="CLOSED"),IF($U595="PAID","Account paid. Action completed.","Account closed. No further action required."),CHOOSE($Z595,"Collection Email","1st Email Follow-up","2nd Email Follow-up","Escalation to Local Office","Escalation to CBE","Escalation to Roxanne")&amp;" sent "&amp;TEXT($AA595,"dd-mmm")&amp;". "&amp;IF($Z595=6,"Final escalation completed.",IF($U595="OVERDUE","Next: "&amp;$AC595&amp;" was due "&amp;TEXT($AB595,"dd-mmm")&amp;" - "&amp;(NETWORKDAYS($AB595,TODAY(),Holidays)-1)&amp;" business day(s) late. Send now.",IF($U595="DUE TOMORROW","Next: "&amp;$AC595&amp;IF($AB595&lt;=TODAY()," is due TODAY ("," is due next business day (")&amp;TEXT($AB595,"dd-mmm")&amp;").","Next: "&amp;$AC595&amp;" due "&amp;TEXT($AB595,"dd-mmm")&amp;" ("&amp;(NETWORKDAYS(TODAY(),$AB595,Holidays)-1)&amp;" business day(s) left).")))))</f>
        <v/>
      </c>
      <c r="W595" s="17">
        <f>IF($Z595="","",CHOOSE($Z595,"Collection Email","1st Follow-up","2nd Follow-up","Local Office","CBE","Roxanne")&amp;IF($Z595=6," - Final"," - Day "&amp;MAX(0,NETWORKDAYS($AA595,TODAY(),Holidays)-1)&amp;" of "&amp;CHOOSE($Z595,3,3,2,2,3))&amp;" | Total Day "&amp;MAX(0,NETWORKDAYS($N595,TODAY(),Holidays)-1))</f>
        <v/>
      </c>
      <c r="X595" s="18"/>
      <c r="Y595" s="18"/>
      <c r="Z595" s="17">
        <f>IF($N595="","",COUNT($N595:$S595))</f>
        <v/>
      </c>
      <c r="AA595" s="19">
        <f>IF($Z595="","",INT(INDEX($N595:$S595,$Z595)))</f>
        <v/>
      </c>
      <c r="AB595" s="19">
        <f>IF(OR($Z595="",$Z595=6),"",WORKDAY($AA595,CHOOSE($Z595,3,3,2,2,3),Holidays))</f>
        <v/>
      </c>
      <c r="AC595" s="17">
        <f>IF(OR($Z595="",$Z595=6),"",CHOOSE($Z595,"1st Email Follow-up","2nd Email Follow-up","Escalate Local Office","Escalate to CBE","Escalate to Roxanne"))</f>
        <v/>
      </c>
    </row>
    <row r="596" spans="13:29">
      <c r="M596" s="14"/>
      <c r="T596" s="16"/>
      <c r="U596" s="17">
        <f>IF(AND(COUNTA($A596:$L596)=0,$N596=""),"",IF($T596="Paid","PAID",IF($T596="Closed","CLOSED",IF($Z596="","",IF($Z596=6,"ESCALATED TO ROXANNE",IF(TODAY()&gt;$AB596,"OVERDUE",IF($AB596&lt;=WORKDAY(TODAY(),1,Holidays),"DUE TOMORROW",IF($Z596=4,"ESCALATED TO LOCAL OFFICE",IF($Z596=5,"ESCALATED TO CBE",IF($AA596=TODAY(),"EMAIL SENT","MONITORING"))))))))))</f>
        <v/>
      </c>
      <c r="V596" s="17">
        <f>IF($U596="",IF(AND(COUNTA($A596:$L596)&gt;0,$N596=""),"Awaiting Collection Email time stamp.",""),IF(OR($U596="PAID",$U596="CLOSED"),IF($U596="PAID","Account paid. Action completed.","Account closed. No further action required."),CHOOSE($Z596,"Collection Email","1st Email Follow-up","2nd Email Follow-up","Escalation to Local Office","Escalation to CBE","Escalation to Roxanne")&amp;" sent "&amp;TEXT($AA596,"dd-mmm")&amp;". "&amp;IF($Z596=6,"Final escalation completed.",IF($U596="OVERDUE","Next: "&amp;$AC596&amp;" was due "&amp;TEXT($AB596,"dd-mmm")&amp;" - "&amp;(NETWORKDAYS($AB596,TODAY(),Holidays)-1)&amp;" business day(s) late. Send now.",IF($U596="DUE TOMORROW","Next: "&amp;$AC596&amp;IF($AB596&lt;=TODAY()," is due TODAY ("," is due next business day (")&amp;TEXT($AB596,"dd-mmm")&amp;").","Next: "&amp;$AC596&amp;" due "&amp;TEXT($AB596,"dd-mmm")&amp;" ("&amp;(NETWORKDAYS(TODAY(),$AB596,Holidays)-1)&amp;" business day(s) left).")))))</f>
        <v/>
      </c>
      <c r="W596" s="17">
        <f>IF($Z596="","",CHOOSE($Z596,"Collection Email","1st Follow-up","2nd Follow-up","Local Office","CBE","Roxanne")&amp;IF($Z596=6," - Final"," - Day "&amp;MAX(0,NETWORKDAYS($AA596,TODAY(),Holidays)-1)&amp;" of "&amp;CHOOSE($Z596,3,3,2,2,3))&amp;" | Total Day "&amp;MAX(0,NETWORKDAYS($N596,TODAY(),Holidays)-1))</f>
        <v/>
      </c>
      <c r="X596" s="18"/>
      <c r="Y596" s="18"/>
      <c r="Z596" s="17">
        <f>IF($N596="","",COUNT($N596:$S596))</f>
        <v/>
      </c>
      <c r="AA596" s="19">
        <f>IF($Z596="","",INT(INDEX($N596:$S596,$Z596)))</f>
        <v/>
      </c>
      <c r="AB596" s="19">
        <f>IF(OR($Z596="",$Z596=6),"",WORKDAY($AA596,CHOOSE($Z596,3,3,2,2,3),Holidays))</f>
        <v/>
      </c>
      <c r="AC596" s="17">
        <f>IF(OR($Z596="",$Z596=6),"",CHOOSE($Z596,"1st Email Follow-up","2nd Email Follow-up","Escalate Local Office","Escalate to CBE","Escalate to Roxanne"))</f>
        <v/>
      </c>
    </row>
    <row r="597" spans="13:29">
      <c r="M597" s="14"/>
      <c r="T597" s="16"/>
      <c r="U597" s="17">
        <f>IF(AND(COUNTA($A597:$L597)=0,$N597=""),"",IF($T597="Paid","PAID",IF($T597="Closed","CLOSED",IF($Z597="","",IF($Z597=6,"ESCALATED TO ROXANNE",IF(TODAY()&gt;$AB597,"OVERDUE",IF($AB597&lt;=WORKDAY(TODAY(),1,Holidays),"DUE TOMORROW",IF($Z597=4,"ESCALATED TO LOCAL OFFICE",IF($Z597=5,"ESCALATED TO CBE",IF($AA597=TODAY(),"EMAIL SENT","MONITORING"))))))))))</f>
        <v/>
      </c>
      <c r="V597" s="17">
        <f>IF($U597="",IF(AND(COUNTA($A597:$L597)&gt;0,$N597=""),"Awaiting Collection Email time stamp.",""),IF(OR($U597="PAID",$U597="CLOSED"),IF($U597="PAID","Account paid. Action completed.","Account closed. No further action required."),CHOOSE($Z597,"Collection Email","1st Email Follow-up","2nd Email Follow-up","Escalation to Local Office","Escalation to CBE","Escalation to Roxanne")&amp;" sent "&amp;TEXT($AA597,"dd-mmm")&amp;". "&amp;IF($Z597=6,"Final escalation completed.",IF($U597="OVERDUE","Next: "&amp;$AC597&amp;" was due "&amp;TEXT($AB597,"dd-mmm")&amp;" - "&amp;(NETWORKDAYS($AB597,TODAY(),Holidays)-1)&amp;" business day(s) late. Send now.",IF($U597="DUE TOMORROW","Next: "&amp;$AC597&amp;IF($AB597&lt;=TODAY()," is due TODAY ("," is due next business day (")&amp;TEXT($AB597,"dd-mmm")&amp;").","Next: "&amp;$AC597&amp;" due "&amp;TEXT($AB597,"dd-mmm")&amp;" ("&amp;(NETWORKDAYS(TODAY(),$AB597,Holidays)-1)&amp;" business day(s) left).")))))</f>
        <v/>
      </c>
      <c r="W597" s="17">
        <f>IF($Z597="","",CHOOSE($Z597,"Collection Email","1st Follow-up","2nd Follow-up","Local Office","CBE","Roxanne")&amp;IF($Z597=6," - Final"," - Day "&amp;MAX(0,NETWORKDAYS($AA597,TODAY(),Holidays)-1)&amp;" of "&amp;CHOOSE($Z597,3,3,2,2,3))&amp;" | Total Day "&amp;MAX(0,NETWORKDAYS($N597,TODAY(),Holidays)-1))</f>
        <v/>
      </c>
      <c r="X597" s="18"/>
      <c r="Y597" s="18"/>
      <c r="Z597" s="17">
        <f>IF($N597="","",COUNT($N597:$S597))</f>
        <v/>
      </c>
      <c r="AA597" s="19">
        <f>IF($Z597="","",INT(INDEX($N597:$S597,$Z597)))</f>
        <v/>
      </c>
      <c r="AB597" s="19">
        <f>IF(OR($Z597="",$Z597=6),"",WORKDAY($AA597,CHOOSE($Z597,3,3,2,2,3),Holidays))</f>
        <v/>
      </c>
      <c r="AC597" s="17">
        <f>IF(OR($Z597="",$Z597=6),"",CHOOSE($Z597,"1st Email Follow-up","2nd Email Follow-up","Escalate Local Office","Escalate to CBE","Escalate to Roxanne"))</f>
        <v/>
      </c>
    </row>
    <row r="598" spans="13:29">
      <c r="M598" s="14"/>
      <c r="T598" s="16"/>
      <c r="U598" s="17">
        <f>IF(AND(COUNTA($A598:$L598)=0,$N598=""),"",IF($T598="Paid","PAID",IF($T598="Closed","CLOSED",IF($Z598="","",IF($Z598=6,"ESCALATED TO ROXANNE",IF(TODAY()&gt;$AB598,"OVERDUE",IF($AB598&lt;=WORKDAY(TODAY(),1,Holidays),"DUE TOMORROW",IF($Z598=4,"ESCALATED TO LOCAL OFFICE",IF($Z598=5,"ESCALATED TO CBE",IF($AA598=TODAY(),"EMAIL SENT","MONITORING"))))))))))</f>
        <v/>
      </c>
      <c r="V598" s="17">
        <f>IF($U598="",IF(AND(COUNTA($A598:$L598)&gt;0,$N598=""),"Awaiting Collection Email time stamp.",""),IF(OR($U598="PAID",$U598="CLOSED"),IF($U598="PAID","Account paid. Action completed.","Account closed. No further action required."),CHOOSE($Z598,"Collection Email","1st Email Follow-up","2nd Email Follow-up","Escalation to Local Office","Escalation to CBE","Escalation to Roxanne")&amp;" sent "&amp;TEXT($AA598,"dd-mmm")&amp;". "&amp;IF($Z598=6,"Final escalation completed.",IF($U598="OVERDUE","Next: "&amp;$AC598&amp;" was due "&amp;TEXT($AB598,"dd-mmm")&amp;" - "&amp;(NETWORKDAYS($AB598,TODAY(),Holidays)-1)&amp;" business day(s) late. Send now.",IF($U598="DUE TOMORROW","Next: "&amp;$AC598&amp;IF($AB598&lt;=TODAY()," is due TODAY ("," is due next business day (")&amp;TEXT($AB598,"dd-mmm")&amp;").","Next: "&amp;$AC598&amp;" due "&amp;TEXT($AB598,"dd-mmm")&amp;" ("&amp;(NETWORKDAYS(TODAY(),$AB598,Holidays)-1)&amp;" business day(s) left).")))))</f>
        <v/>
      </c>
      <c r="W598" s="17">
        <f>IF($Z598="","",CHOOSE($Z598,"Collection Email","1st Follow-up","2nd Follow-up","Local Office","CBE","Roxanne")&amp;IF($Z598=6," - Final"," - Day "&amp;MAX(0,NETWORKDAYS($AA598,TODAY(),Holidays)-1)&amp;" of "&amp;CHOOSE($Z598,3,3,2,2,3))&amp;" | Total Day "&amp;MAX(0,NETWORKDAYS($N598,TODAY(),Holidays)-1))</f>
        <v/>
      </c>
      <c r="X598" s="18"/>
      <c r="Y598" s="18"/>
      <c r="Z598" s="17">
        <f>IF($N598="","",COUNT($N598:$S598))</f>
        <v/>
      </c>
      <c r="AA598" s="19">
        <f>IF($Z598="","",INT(INDEX($N598:$S598,$Z598)))</f>
        <v/>
      </c>
      <c r="AB598" s="19">
        <f>IF(OR($Z598="",$Z598=6),"",WORKDAY($AA598,CHOOSE($Z598,3,3,2,2,3),Holidays))</f>
        <v/>
      </c>
      <c r="AC598" s="17">
        <f>IF(OR($Z598="",$Z598=6),"",CHOOSE($Z598,"1st Email Follow-up","2nd Email Follow-up","Escalate Local Office","Escalate to CBE","Escalate to Roxanne"))</f>
        <v/>
      </c>
    </row>
    <row r="599" spans="13:29">
      <c r="M599" s="14"/>
      <c r="T599" s="16"/>
      <c r="U599" s="17">
        <f>IF(AND(COUNTA($A599:$L599)=0,$N599=""),"",IF($T599="Paid","PAID",IF($T599="Closed","CLOSED",IF($Z599="","",IF($Z599=6,"ESCALATED TO ROXANNE",IF(TODAY()&gt;$AB599,"OVERDUE",IF($AB599&lt;=WORKDAY(TODAY(),1,Holidays),"DUE TOMORROW",IF($Z599=4,"ESCALATED TO LOCAL OFFICE",IF($Z599=5,"ESCALATED TO CBE",IF($AA599=TODAY(),"EMAIL SENT","MONITORING"))))))))))</f>
        <v/>
      </c>
      <c r="V599" s="17">
        <f>IF($U599="",IF(AND(COUNTA($A599:$L599)&gt;0,$N599=""),"Awaiting Collection Email time stamp.",""),IF(OR($U599="PAID",$U599="CLOSED"),IF($U599="PAID","Account paid. Action completed.","Account closed. No further action required."),CHOOSE($Z599,"Collection Email","1st Email Follow-up","2nd Email Follow-up","Escalation to Local Office","Escalation to CBE","Escalation to Roxanne")&amp;" sent "&amp;TEXT($AA599,"dd-mmm")&amp;". "&amp;IF($Z599=6,"Final escalation completed.",IF($U599="OVERDUE","Next: "&amp;$AC599&amp;" was due "&amp;TEXT($AB599,"dd-mmm")&amp;" - "&amp;(NETWORKDAYS($AB599,TODAY(),Holidays)-1)&amp;" business day(s) late. Send now.",IF($U599="DUE TOMORROW","Next: "&amp;$AC599&amp;IF($AB599&lt;=TODAY()," is due TODAY ("," is due next business day (")&amp;TEXT($AB599,"dd-mmm")&amp;").","Next: "&amp;$AC599&amp;" due "&amp;TEXT($AB599,"dd-mmm")&amp;" ("&amp;(NETWORKDAYS(TODAY(),$AB599,Holidays)-1)&amp;" business day(s) left).")))))</f>
        <v/>
      </c>
      <c r="W599" s="17">
        <f>IF($Z599="","",CHOOSE($Z599,"Collection Email","1st Follow-up","2nd Follow-up","Local Office","CBE","Roxanne")&amp;IF($Z599=6," - Final"," - Day "&amp;MAX(0,NETWORKDAYS($AA599,TODAY(),Holidays)-1)&amp;" of "&amp;CHOOSE($Z599,3,3,2,2,3))&amp;" | Total Day "&amp;MAX(0,NETWORKDAYS($N599,TODAY(),Holidays)-1))</f>
        <v/>
      </c>
      <c r="X599" s="18"/>
      <c r="Y599" s="18"/>
      <c r="Z599" s="17">
        <f>IF($N599="","",COUNT($N599:$S599))</f>
        <v/>
      </c>
      <c r="AA599" s="19">
        <f>IF($Z599="","",INT(INDEX($N599:$S599,$Z599)))</f>
        <v/>
      </c>
      <c r="AB599" s="19">
        <f>IF(OR($Z599="",$Z599=6),"",WORKDAY($AA599,CHOOSE($Z599,3,3,2,2,3),Holidays))</f>
        <v/>
      </c>
      <c r="AC599" s="17">
        <f>IF(OR($Z599="",$Z599=6),"",CHOOSE($Z599,"1st Email Follow-up","2nd Email Follow-up","Escalate Local Office","Escalate to CBE","Escalate to Roxanne"))</f>
        <v/>
      </c>
    </row>
    <row r="600" spans="13:29">
      <c r="M600" s="14"/>
      <c r="T600" s="16"/>
      <c r="U600" s="17">
        <f>IF(AND(COUNTA($A600:$L600)=0,$N600=""),"",IF($T600="Paid","PAID",IF($T600="Closed","CLOSED",IF($Z600="","",IF($Z600=6,"ESCALATED TO ROXANNE",IF(TODAY()&gt;$AB600,"OVERDUE",IF($AB600&lt;=WORKDAY(TODAY(),1,Holidays),"DUE TOMORROW",IF($Z600=4,"ESCALATED TO LOCAL OFFICE",IF($Z600=5,"ESCALATED TO CBE",IF($AA600=TODAY(),"EMAIL SENT","MONITORING"))))))))))</f>
        <v/>
      </c>
      <c r="V600" s="17">
        <f>IF($U600="",IF(AND(COUNTA($A600:$L600)&gt;0,$N600=""),"Awaiting Collection Email time stamp.",""),IF(OR($U600="PAID",$U600="CLOSED"),IF($U600="PAID","Account paid. Action completed.","Account closed. No further action required."),CHOOSE($Z600,"Collection Email","1st Email Follow-up","2nd Email Follow-up","Escalation to Local Office","Escalation to CBE","Escalation to Roxanne")&amp;" sent "&amp;TEXT($AA600,"dd-mmm")&amp;". "&amp;IF($Z600=6,"Final escalation completed.",IF($U600="OVERDUE","Next: "&amp;$AC600&amp;" was due "&amp;TEXT($AB600,"dd-mmm")&amp;" - "&amp;(NETWORKDAYS($AB600,TODAY(),Holidays)-1)&amp;" business day(s) late. Send now.",IF($U600="DUE TOMORROW","Next: "&amp;$AC600&amp;IF($AB600&lt;=TODAY()," is due TODAY ("," is due next business day (")&amp;TEXT($AB600,"dd-mmm")&amp;").","Next: "&amp;$AC600&amp;" due "&amp;TEXT($AB600,"dd-mmm")&amp;" ("&amp;(NETWORKDAYS(TODAY(),$AB600,Holidays)-1)&amp;" business day(s) left).")))))</f>
        <v/>
      </c>
      <c r="W600" s="17">
        <f>IF($Z600="","",CHOOSE($Z600,"Collection Email","1st Follow-up","2nd Follow-up","Local Office","CBE","Roxanne")&amp;IF($Z600=6," - Final"," - Day "&amp;MAX(0,NETWORKDAYS($AA600,TODAY(),Holidays)-1)&amp;" of "&amp;CHOOSE($Z600,3,3,2,2,3))&amp;" | Total Day "&amp;MAX(0,NETWORKDAYS($N600,TODAY(),Holidays)-1))</f>
        <v/>
      </c>
      <c r="X600" s="18"/>
      <c r="Y600" s="18"/>
      <c r="Z600" s="17">
        <f>IF($N600="","",COUNT($N600:$S600))</f>
        <v/>
      </c>
      <c r="AA600" s="19">
        <f>IF($Z600="","",INT(INDEX($N600:$S600,$Z600)))</f>
        <v/>
      </c>
      <c r="AB600" s="19">
        <f>IF(OR($Z600="",$Z600=6),"",WORKDAY($AA600,CHOOSE($Z600,3,3,2,2,3),Holidays))</f>
        <v/>
      </c>
      <c r="AC600" s="17">
        <f>IF(OR($Z600="",$Z600=6),"",CHOOSE($Z600,"1st Email Follow-up","2nd Email Follow-up","Escalate Local Office","Escalate to CBE","Escalate to Roxanne"))</f>
        <v/>
      </c>
    </row>
    <row r="601" spans="13:29">
      <c r="M601" s="14"/>
      <c r="T601" s="16"/>
      <c r="U601" s="17">
        <f>IF(AND(COUNTA($A601:$L601)=0,$N601=""),"",IF($T601="Paid","PAID",IF($T601="Closed","CLOSED",IF($Z601="","",IF($Z601=6,"ESCALATED TO ROXANNE",IF(TODAY()&gt;$AB601,"OVERDUE",IF($AB601&lt;=WORKDAY(TODAY(),1,Holidays),"DUE TOMORROW",IF($Z601=4,"ESCALATED TO LOCAL OFFICE",IF($Z601=5,"ESCALATED TO CBE",IF($AA601=TODAY(),"EMAIL SENT","MONITORING"))))))))))</f>
        <v/>
      </c>
      <c r="V601" s="17">
        <f>IF($U601="",IF(AND(COUNTA($A601:$L601)&gt;0,$N601=""),"Awaiting Collection Email time stamp.",""),IF(OR($U601="PAID",$U601="CLOSED"),IF($U601="PAID","Account paid. Action completed.","Account closed. No further action required."),CHOOSE($Z601,"Collection Email","1st Email Follow-up","2nd Email Follow-up","Escalation to Local Office","Escalation to CBE","Escalation to Roxanne")&amp;" sent "&amp;TEXT($AA601,"dd-mmm")&amp;". "&amp;IF($Z601=6,"Final escalation completed.",IF($U601="OVERDUE","Next: "&amp;$AC601&amp;" was due "&amp;TEXT($AB601,"dd-mmm")&amp;" - "&amp;(NETWORKDAYS($AB601,TODAY(),Holidays)-1)&amp;" business day(s) late. Send now.",IF($U601="DUE TOMORROW","Next: "&amp;$AC601&amp;IF($AB601&lt;=TODAY()," is due TODAY ("," is due next business day (")&amp;TEXT($AB601,"dd-mmm")&amp;").","Next: "&amp;$AC601&amp;" due "&amp;TEXT($AB601,"dd-mmm")&amp;" ("&amp;(NETWORKDAYS(TODAY(),$AB601,Holidays)-1)&amp;" business day(s) left).")))))</f>
        <v/>
      </c>
      <c r="W601" s="17">
        <f>IF($Z601="","",CHOOSE($Z601,"Collection Email","1st Follow-up","2nd Follow-up","Local Office","CBE","Roxanne")&amp;IF($Z601=6," - Final"," - Day "&amp;MAX(0,NETWORKDAYS($AA601,TODAY(),Holidays)-1)&amp;" of "&amp;CHOOSE($Z601,3,3,2,2,3))&amp;" | Total Day "&amp;MAX(0,NETWORKDAYS($N601,TODAY(),Holidays)-1))</f>
        <v/>
      </c>
      <c r="X601" s="18"/>
      <c r="Y601" s="18"/>
      <c r="Z601" s="17">
        <f>IF($N601="","",COUNT($N601:$S601))</f>
        <v/>
      </c>
      <c r="AA601" s="19">
        <f>IF($Z601="","",INT(INDEX($N601:$S601,$Z601)))</f>
        <v/>
      </c>
      <c r="AB601" s="19">
        <f>IF(OR($Z601="",$Z601=6),"",WORKDAY($AA601,CHOOSE($Z601,3,3,2,2,3),Holidays))</f>
        <v/>
      </c>
      <c r="AC601" s="17">
        <f>IF(OR($Z601="",$Z601=6),"",CHOOSE($Z601,"1st Email Follow-up","2nd Email Follow-up","Escalate Local Office","Escalate to CBE","Escalate to Roxanne"))</f>
        <v/>
      </c>
    </row>
    <row r="602" spans="13:29">
      <c r="M602" s="14"/>
      <c r="T602" s="16"/>
      <c r="U602" s="17">
        <f>IF(AND(COUNTA($A602:$L602)=0,$N602=""),"",IF($T602="Paid","PAID",IF($T602="Closed","CLOSED",IF($Z602="","",IF($Z602=6,"ESCALATED TO ROXANNE",IF(TODAY()&gt;$AB602,"OVERDUE",IF($AB602&lt;=WORKDAY(TODAY(),1,Holidays),"DUE TOMORROW",IF($Z602=4,"ESCALATED TO LOCAL OFFICE",IF($Z602=5,"ESCALATED TO CBE",IF($AA602=TODAY(),"EMAIL SENT","MONITORING"))))))))))</f>
        <v/>
      </c>
      <c r="V602" s="17">
        <f>IF($U602="",IF(AND(COUNTA($A602:$L602)&gt;0,$N602=""),"Awaiting Collection Email time stamp.",""),IF(OR($U602="PAID",$U602="CLOSED"),IF($U602="PAID","Account paid. Action completed.","Account closed. No further action required."),CHOOSE($Z602,"Collection Email","1st Email Follow-up","2nd Email Follow-up","Escalation to Local Office","Escalation to CBE","Escalation to Roxanne")&amp;" sent "&amp;TEXT($AA602,"dd-mmm")&amp;". "&amp;IF($Z602=6,"Final escalation completed.",IF($U602="OVERDUE","Next: "&amp;$AC602&amp;" was due "&amp;TEXT($AB602,"dd-mmm")&amp;" - "&amp;(NETWORKDAYS($AB602,TODAY(),Holidays)-1)&amp;" business day(s) late. Send now.",IF($U602="DUE TOMORROW","Next: "&amp;$AC602&amp;IF($AB602&lt;=TODAY()," is due TODAY ("," is due next business day (")&amp;TEXT($AB602,"dd-mmm")&amp;").","Next: "&amp;$AC602&amp;" due "&amp;TEXT($AB602,"dd-mmm")&amp;" ("&amp;(NETWORKDAYS(TODAY(),$AB602,Holidays)-1)&amp;" business day(s) left).")))))</f>
        <v/>
      </c>
      <c r="W602" s="17">
        <f>IF($Z602="","",CHOOSE($Z602,"Collection Email","1st Follow-up","2nd Follow-up","Local Office","CBE","Roxanne")&amp;IF($Z602=6," - Final"," - Day "&amp;MAX(0,NETWORKDAYS($AA602,TODAY(),Holidays)-1)&amp;" of "&amp;CHOOSE($Z602,3,3,2,2,3))&amp;" | Total Day "&amp;MAX(0,NETWORKDAYS($N602,TODAY(),Holidays)-1))</f>
        <v/>
      </c>
      <c r="X602" s="18"/>
      <c r="Y602" s="18"/>
      <c r="Z602" s="17">
        <f>IF($N602="","",COUNT($N602:$S602))</f>
        <v/>
      </c>
      <c r="AA602" s="19">
        <f>IF($Z602="","",INT(INDEX($N602:$S602,$Z602)))</f>
        <v/>
      </c>
      <c r="AB602" s="19">
        <f>IF(OR($Z602="",$Z602=6),"",WORKDAY($AA602,CHOOSE($Z602,3,3,2,2,3),Holidays))</f>
        <v/>
      </c>
      <c r="AC602" s="17">
        <f>IF(OR($Z602="",$Z602=6),"",CHOOSE($Z602,"1st Email Follow-up","2nd Email Follow-up","Escalate Local Office","Escalate to CBE","Escalate to Roxanne"))</f>
        <v/>
      </c>
    </row>
    <row r="603" spans="13:29">
      <c r="M603" s="14"/>
      <c r="T603" s="16"/>
      <c r="U603" s="17">
        <f>IF(AND(COUNTA($A603:$L603)=0,$N603=""),"",IF($T603="Paid","PAID",IF($T603="Closed","CLOSED",IF($Z603="","",IF($Z603=6,"ESCALATED TO ROXANNE",IF(TODAY()&gt;$AB603,"OVERDUE",IF($AB603&lt;=WORKDAY(TODAY(),1,Holidays),"DUE TOMORROW",IF($Z603=4,"ESCALATED TO LOCAL OFFICE",IF($Z603=5,"ESCALATED TO CBE",IF($AA603=TODAY(),"EMAIL SENT","MONITORING"))))))))))</f>
        <v/>
      </c>
      <c r="V603" s="17">
        <f>IF($U603="",IF(AND(COUNTA($A603:$L603)&gt;0,$N603=""),"Awaiting Collection Email time stamp.",""),IF(OR($U603="PAID",$U603="CLOSED"),IF($U603="PAID","Account paid. Action completed.","Account closed. No further action required."),CHOOSE($Z603,"Collection Email","1st Email Follow-up","2nd Email Follow-up","Escalation to Local Office","Escalation to CBE","Escalation to Roxanne")&amp;" sent "&amp;TEXT($AA603,"dd-mmm")&amp;". "&amp;IF($Z603=6,"Final escalation completed.",IF($U603="OVERDUE","Next: "&amp;$AC603&amp;" was due "&amp;TEXT($AB603,"dd-mmm")&amp;" - "&amp;(NETWORKDAYS($AB603,TODAY(),Holidays)-1)&amp;" business day(s) late. Send now.",IF($U603="DUE TOMORROW","Next: "&amp;$AC603&amp;IF($AB603&lt;=TODAY()," is due TODAY ("," is due next business day (")&amp;TEXT($AB603,"dd-mmm")&amp;").","Next: "&amp;$AC603&amp;" due "&amp;TEXT($AB603,"dd-mmm")&amp;" ("&amp;(NETWORKDAYS(TODAY(),$AB603,Holidays)-1)&amp;" business day(s) left).")))))</f>
        <v/>
      </c>
      <c r="W603" s="17">
        <f>IF($Z603="","",CHOOSE($Z603,"Collection Email","1st Follow-up","2nd Follow-up","Local Office","CBE","Roxanne")&amp;IF($Z603=6," - Final"," - Day "&amp;MAX(0,NETWORKDAYS($AA603,TODAY(),Holidays)-1)&amp;" of "&amp;CHOOSE($Z603,3,3,2,2,3))&amp;" | Total Day "&amp;MAX(0,NETWORKDAYS($N603,TODAY(),Holidays)-1))</f>
        <v/>
      </c>
      <c r="X603" s="18"/>
      <c r="Y603" s="18"/>
      <c r="Z603" s="17">
        <f>IF($N603="","",COUNT($N603:$S603))</f>
        <v/>
      </c>
      <c r="AA603" s="19">
        <f>IF($Z603="","",INT(INDEX($N603:$S603,$Z603)))</f>
        <v/>
      </c>
      <c r="AB603" s="19">
        <f>IF(OR($Z603="",$Z603=6),"",WORKDAY($AA603,CHOOSE($Z603,3,3,2,2,3),Holidays))</f>
        <v/>
      </c>
      <c r="AC603" s="17">
        <f>IF(OR($Z603="",$Z603=6),"",CHOOSE($Z603,"1st Email Follow-up","2nd Email Follow-up","Escalate Local Office","Escalate to CBE","Escalate to Roxanne"))</f>
        <v/>
      </c>
    </row>
    <row r="604" spans="13:29">
      <c r="M604" s="14"/>
      <c r="T604" s="16"/>
      <c r="U604" s="17">
        <f>IF(AND(COUNTA($A604:$L604)=0,$N604=""),"",IF($T604="Paid","PAID",IF($T604="Closed","CLOSED",IF($Z604="","",IF($Z604=6,"ESCALATED TO ROXANNE",IF(TODAY()&gt;$AB604,"OVERDUE",IF($AB604&lt;=WORKDAY(TODAY(),1,Holidays),"DUE TOMORROW",IF($Z604=4,"ESCALATED TO LOCAL OFFICE",IF($Z604=5,"ESCALATED TO CBE",IF($AA604=TODAY(),"EMAIL SENT","MONITORING"))))))))))</f>
        <v/>
      </c>
      <c r="V604" s="17">
        <f>IF($U604="",IF(AND(COUNTA($A604:$L604)&gt;0,$N604=""),"Awaiting Collection Email time stamp.",""),IF(OR($U604="PAID",$U604="CLOSED"),IF($U604="PAID","Account paid. Action completed.","Account closed. No further action required."),CHOOSE($Z604,"Collection Email","1st Email Follow-up","2nd Email Follow-up","Escalation to Local Office","Escalation to CBE","Escalation to Roxanne")&amp;" sent "&amp;TEXT($AA604,"dd-mmm")&amp;". "&amp;IF($Z604=6,"Final escalation completed.",IF($U604="OVERDUE","Next: "&amp;$AC604&amp;" was due "&amp;TEXT($AB604,"dd-mmm")&amp;" - "&amp;(NETWORKDAYS($AB604,TODAY(),Holidays)-1)&amp;" business day(s) late. Send now.",IF($U604="DUE TOMORROW","Next: "&amp;$AC604&amp;IF($AB604&lt;=TODAY()," is due TODAY ("," is due next business day (")&amp;TEXT($AB604,"dd-mmm")&amp;").","Next: "&amp;$AC604&amp;" due "&amp;TEXT($AB604,"dd-mmm")&amp;" ("&amp;(NETWORKDAYS(TODAY(),$AB604,Holidays)-1)&amp;" business day(s) left).")))))</f>
        <v/>
      </c>
      <c r="W604" s="17">
        <f>IF($Z604="","",CHOOSE($Z604,"Collection Email","1st Follow-up","2nd Follow-up","Local Office","CBE","Roxanne")&amp;IF($Z604=6," - Final"," - Day "&amp;MAX(0,NETWORKDAYS($AA604,TODAY(),Holidays)-1)&amp;" of "&amp;CHOOSE($Z604,3,3,2,2,3))&amp;" | Total Day "&amp;MAX(0,NETWORKDAYS($N604,TODAY(),Holidays)-1))</f>
        <v/>
      </c>
      <c r="X604" s="18"/>
      <c r="Y604" s="18"/>
      <c r="Z604" s="17">
        <f>IF($N604="","",COUNT($N604:$S604))</f>
        <v/>
      </c>
      <c r="AA604" s="19">
        <f>IF($Z604="","",INT(INDEX($N604:$S604,$Z604)))</f>
        <v/>
      </c>
      <c r="AB604" s="19">
        <f>IF(OR($Z604="",$Z604=6),"",WORKDAY($AA604,CHOOSE($Z604,3,3,2,2,3),Holidays))</f>
        <v/>
      </c>
      <c r="AC604" s="17">
        <f>IF(OR($Z604="",$Z604=6),"",CHOOSE($Z604,"1st Email Follow-up","2nd Email Follow-up","Escalate Local Office","Escalate to CBE","Escalate to Roxanne"))</f>
        <v/>
      </c>
    </row>
    <row r="605" spans="13:29">
      <c r="M605" s="14"/>
      <c r="T605" s="16"/>
      <c r="U605" s="17">
        <f>IF(AND(COUNTA($A605:$L605)=0,$N605=""),"",IF($T605="Paid","PAID",IF($T605="Closed","CLOSED",IF($Z605="","",IF($Z605=6,"ESCALATED TO ROXANNE",IF(TODAY()&gt;$AB605,"OVERDUE",IF($AB605&lt;=WORKDAY(TODAY(),1,Holidays),"DUE TOMORROW",IF($Z605=4,"ESCALATED TO LOCAL OFFICE",IF($Z605=5,"ESCALATED TO CBE",IF($AA605=TODAY(),"EMAIL SENT","MONITORING"))))))))))</f>
        <v/>
      </c>
      <c r="V605" s="17">
        <f>IF($U605="",IF(AND(COUNTA($A605:$L605)&gt;0,$N605=""),"Awaiting Collection Email time stamp.",""),IF(OR($U605="PAID",$U605="CLOSED"),IF($U605="PAID","Account paid. Action completed.","Account closed. No further action required."),CHOOSE($Z605,"Collection Email","1st Email Follow-up","2nd Email Follow-up","Escalation to Local Office","Escalation to CBE","Escalation to Roxanne")&amp;" sent "&amp;TEXT($AA605,"dd-mmm")&amp;". "&amp;IF($Z605=6,"Final escalation completed.",IF($U605="OVERDUE","Next: "&amp;$AC605&amp;" was due "&amp;TEXT($AB605,"dd-mmm")&amp;" - "&amp;(NETWORKDAYS($AB605,TODAY(),Holidays)-1)&amp;" business day(s) late. Send now.",IF($U605="DUE TOMORROW","Next: "&amp;$AC605&amp;IF($AB605&lt;=TODAY()," is due TODAY ("," is due next business day (")&amp;TEXT($AB605,"dd-mmm")&amp;").","Next: "&amp;$AC605&amp;" due "&amp;TEXT($AB605,"dd-mmm")&amp;" ("&amp;(NETWORKDAYS(TODAY(),$AB605,Holidays)-1)&amp;" business day(s) left).")))))</f>
        <v/>
      </c>
      <c r="W605" s="17">
        <f>IF($Z605="","",CHOOSE($Z605,"Collection Email","1st Follow-up","2nd Follow-up","Local Office","CBE","Roxanne")&amp;IF($Z605=6," - Final"," - Day "&amp;MAX(0,NETWORKDAYS($AA605,TODAY(),Holidays)-1)&amp;" of "&amp;CHOOSE($Z605,3,3,2,2,3))&amp;" | Total Day "&amp;MAX(0,NETWORKDAYS($N605,TODAY(),Holidays)-1))</f>
        <v/>
      </c>
      <c r="X605" s="18"/>
      <c r="Y605" s="18"/>
      <c r="Z605" s="17">
        <f>IF($N605="","",COUNT($N605:$S605))</f>
        <v/>
      </c>
      <c r="AA605" s="19">
        <f>IF($Z605="","",INT(INDEX($N605:$S605,$Z605)))</f>
        <v/>
      </c>
      <c r="AB605" s="19">
        <f>IF(OR($Z605="",$Z605=6),"",WORKDAY($AA605,CHOOSE($Z605,3,3,2,2,3),Holidays))</f>
        <v/>
      </c>
      <c r="AC605" s="17">
        <f>IF(OR($Z605="",$Z605=6),"",CHOOSE($Z605,"1st Email Follow-up","2nd Email Follow-up","Escalate Local Office","Escalate to CBE","Escalate to Roxanne"))</f>
        <v/>
      </c>
    </row>
    <row r="606" spans="13:29">
      <c r="M606" s="14"/>
      <c r="T606" s="16"/>
      <c r="U606" s="17">
        <f>IF(AND(COUNTA($A606:$L606)=0,$N606=""),"",IF($T606="Paid","PAID",IF($T606="Closed","CLOSED",IF($Z606="","",IF($Z606=6,"ESCALATED TO ROXANNE",IF(TODAY()&gt;$AB606,"OVERDUE",IF($AB606&lt;=WORKDAY(TODAY(),1,Holidays),"DUE TOMORROW",IF($Z606=4,"ESCALATED TO LOCAL OFFICE",IF($Z606=5,"ESCALATED TO CBE",IF($AA606=TODAY(),"EMAIL SENT","MONITORING"))))))))))</f>
        <v/>
      </c>
      <c r="V606" s="17">
        <f>IF($U606="",IF(AND(COUNTA($A606:$L606)&gt;0,$N606=""),"Awaiting Collection Email time stamp.",""),IF(OR($U606="PAID",$U606="CLOSED"),IF($U606="PAID","Account paid. Action completed.","Account closed. No further action required."),CHOOSE($Z606,"Collection Email","1st Email Follow-up","2nd Email Follow-up","Escalation to Local Office","Escalation to CBE","Escalation to Roxanne")&amp;" sent "&amp;TEXT($AA606,"dd-mmm")&amp;". "&amp;IF($Z606=6,"Final escalation completed.",IF($U606="OVERDUE","Next: "&amp;$AC606&amp;" was due "&amp;TEXT($AB606,"dd-mmm")&amp;" - "&amp;(NETWORKDAYS($AB606,TODAY(),Holidays)-1)&amp;" business day(s) late. Send now.",IF($U606="DUE TOMORROW","Next: "&amp;$AC606&amp;IF($AB606&lt;=TODAY()," is due TODAY ("," is due next business day (")&amp;TEXT($AB606,"dd-mmm")&amp;").","Next: "&amp;$AC606&amp;" due "&amp;TEXT($AB606,"dd-mmm")&amp;" ("&amp;(NETWORKDAYS(TODAY(),$AB606,Holidays)-1)&amp;" business day(s) left).")))))</f>
        <v/>
      </c>
      <c r="W606" s="17">
        <f>IF($Z606="","",CHOOSE($Z606,"Collection Email","1st Follow-up","2nd Follow-up","Local Office","CBE","Roxanne")&amp;IF($Z606=6," - Final"," - Day "&amp;MAX(0,NETWORKDAYS($AA606,TODAY(),Holidays)-1)&amp;" of "&amp;CHOOSE($Z606,3,3,2,2,3))&amp;" | Total Day "&amp;MAX(0,NETWORKDAYS($N606,TODAY(),Holidays)-1))</f>
        <v/>
      </c>
      <c r="X606" s="18"/>
      <c r="Y606" s="18"/>
      <c r="Z606" s="17">
        <f>IF($N606="","",COUNT($N606:$S606))</f>
        <v/>
      </c>
      <c r="AA606" s="19">
        <f>IF($Z606="","",INT(INDEX($N606:$S606,$Z606)))</f>
        <v/>
      </c>
      <c r="AB606" s="19">
        <f>IF(OR($Z606="",$Z606=6),"",WORKDAY($AA606,CHOOSE($Z606,3,3,2,2,3),Holidays))</f>
        <v/>
      </c>
      <c r="AC606" s="17">
        <f>IF(OR($Z606="",$Z606=6),"",CHOOSE($Z606,"1st Email Follow-up","2nd Email Follow-up","Escalate Local Office","Escalate to CBE","Escalate to Roxanne"))</f>
        <v/>
      </c>
    </row>
    <row r="607" spans="13:29">
      <c r="M607" s="14"/>
      <c r="T607" s="16"/>
      <c r="U607" s="17">
        <f>IF(AND(COUNTA($A607:$L607)=0,$N607=""),"",IF($T607="Paid","PAID",IF($T607="Closed","CLOSED",IF($Z607="","",IF($Z607=6,"ESCALATED TO ROXANNE",IF(TODAY()&gt;$AB607,"OVERDUE",IF($AB607&lt;=WORKDAY(TODAY(),1,Holidays),"DUE TOMORROW",IF($Z607=4,"ESCALATED TO LOCAL OFFICE",IF($Z607=5,"ESCALATED TO CBE",IF($AA607=TODAY(),"EMAIL SENT","MONITORING"))))))))))</f>
        <v/>
      </c>
      <c r="V607" s="17">
        <f>IF($U607="",IF(AND(COUNTA($A607:$L607)&gt;0,$N607=""),"Awaiting Collection Email time stamp.",""),IF(OR($U607="PAID",$U607="CLOSED"),IF($U607="PAID","Account paid. Action completed.","Account closed. No further action required."),CHOOSE($Z607,"Collection Email","1st Email Follow-up","2nd Email Follow-up","Escalation to Local Office","Escalation to CBE","Escalation to Roxanne")&amp;" sent "&amp;TEXT($AA607,"dd-mmm")&amp;". "&amp;IF($Z607=6,"Final escalation completed.",IF($U607="OVERDUE","Next: "&amp;$AC607&amp;" was due "&amp;TEXT($AB607,"dd-mmm")&amp;" - "&amp;(NETWORKDAYS($AB607,TODAY(),Holidays)-1)&amp;" business day(s) late. Send now.",IF($U607="DUE TOMORROW","Next: "&amp;$AC607&amp;IF($AB607&lt;=TODAY()," is due TODAY ("," is due next business day (")&amp;TEXT($AB607,"dd-mmm")&amp;").","Next: "&amp;$AC607&amp;" due "&amp;TEXT($AB607,"dd-mmm")&amp;" ("&amp;(NETWORKDAYS(TODAY(),$AB607,Holidays)-1)&amp;" business day(s) left).")))))</f>
        <v/>
      </c>
      <c r="W607" s="17">
        <f>IF($Z607="","",CHOOSE($Z607,"Collection Email","1st Follow-up","2nd Follow-up","Local Office","CBE","Roxanne")&amp;IF($Z607=6," - Final"," - Day "&amp;MAX(0,NETWORKDAYS($AA607,TODAY(),Holidays)-1)&amp;" of "&amp;CHOOSE($Z607,3,3,2,2,3))&amp;" | Total Day "&amp;MAX(0,NETWORKDAYS($N607,TODAY(),Holidays)-1))</f>
        <v/>
      </c>
      <c r="X607" s="18"/>
      <c r="Y607" s="18"/>
      <c r="Z607" s="17">
        <f>IF($N607="","",COUNT($N607:$S607))</f>
        <v/>
      </c>
      <c r="AA607" s="19">
        <f>IF($Z607="","",INT(INDEX($N607:$S607,$Z607)))</f>
        <v/>
      </c>
      <c r="AB607" s="19">
        <f>IF(OR($Z607="",$Z607=6),"",WORKDAY($AA607,CHOOSE($Z607,3,3,2,2,3),Holidays))</f>
        <v/>
      </c>
      <c r="AC607" s="17">
        <f>IF(OR($Z607="",$Z607=6),"",CHOOSE($Z607,"1st Email Follow-up","2nd Email Follow-up","Escalate Local Office","Escalate to CBE","Escalate to Roxanne"))</f>
        <v/>
      </c>
    </row>
    <row r="608" spans="13:29">
      <c r="M608" s="14"/>
      <c r="T608" s="16"/>
      <c r="U608" s="17">
        <f>IF(AND(COUNTA($A608:$L608)=0,$N608=""),"",IF($T608="Paid","PAID",IF($T608="Closed","CLOSED",IF($Z608="","",IF($Z608=6,"ESCALATED TO ROXANNE",IF(TODAY()&gt;$AB608,"OVERDUE",IF($AB608&lt;=WORKDAY(TODAY(),1,Holidays),"DUE TOMORROW",IF($Z608=4,"ESCALATED TO LOCAL OFFICE",IF($Z608=5,"ESCALATED TO CBE",IF($AA608=TODAY(),"EMAIL SENT","MONITORING"))))))))))</f>
        <v/>
      </c>
      <c r="V608" s="17">
        <f>IF($U608="",IF(AND(COUNTA($A608:$L608)&gt;0,$N608=""),"Awaiting Collection Email time stamp.",""),IF(OR($U608="PAID",$U608="CLOSED"),IF($U608="PAID","Account paid. Action completed.","Account closed. No further action required."),CHOOSE($Z608,"Collection Email","1st Email Follow-up","2nd Email Follow-up","Escalation to Local Office","Escalation to CBE","Escalation to Roxanne")&amp;" sent "&amp;TEXT($AA608,"dd-mmm")&amp;". "&amp;IF($Z608=6,"Final escalation completed.",IF($U608="OVERDUE","Next: "&amp;$AC608&amp;" was due "&amp;TEXT($AB608,"dd-mmm")&amp;" - "&amp;(NETWORKDAYS($AB608,TODAY(),Holidays)-1)&amp;" business day(s) late. Send now.",IF($U608="DUE TOMORROW","Next: "&amp;$AC608&amp;IF($AB608&lt;=TODAY()," is due TODAY ("," is due next business day (")&amp;TEXT($AB608,"dd-mmm")&amp;").","Next: "&amp;$AC608&amp;" due "&amp;TEXT($AB608,"dd-mmm")&amp;" ("&amp;(NETWORKDAYS(TODAY(),$AB608,Holidays)-1)&amp;" business day(s) left).")))))</f>
        <v/>
      </c>
      <c r="W608" s="17">
        <f>IF($Z608="","",CHOOSE($Z608,"Collection Email","1st Follow-up","2nd Follow-up","Local Office","CBE","Roxanne")&amp;IF($Z608=6," - Final"," - Day "&amp;MAX(0,NETWORKDAYS($AA608,TODAY(),Holidays)-1)&amp;" of "&amp;CHOOSE($Z608,3,3,2,2,3))&amp;" | Total Day "&amp;MAX(0,NETWORKDAYS($N608,TODAY(),Holidays)-1))</f>
        <v/>
      </c>
      <c r="X608" s="18"/>
      <c r="Y608" s="18"/>
      <c r="Z608" s="17">
        <f>IF($N608="","",COUNT($N608:$S608))</f>
        <v/>
      </c>
      <c r="AA608" s="19">
        <f>IF($Z608="","",INT(INDEX($N608:$S608,$Z608)))</f>
        <v/>
      </c>
      <c r="AB608" s="19">
        <f>IF(OR($Z608="",$Z608=6),"",WORKDAY($AA608,CHOOSE($Z608,3,3,2,2,3),Holidays))</f>
        <v/>
      </c>
      <c r="AC608" s="17">
        <f>IF(OR($Z608="",$Z608=6),"",CHOOSE($Z608,"1st Email Follow-up","2nd Email Follow-up","Escalate Local Office","Escalate to CBE","Escalate to Roxanne"))</f>
        <v/>
      </c>
    </row>
    <row r="609" spans="13:29">
      <c r="M609" s="14"/>
      <c r="T609" s="16"/>
      <c r="U609" s="17">
        <f>IF(AND(COUNTA($A609:$L609)=0,$N609=""),"",IF($T609="Paid","PAID",IF($T609="Closed","CLOSED",IF($Z609="","",IF($Z609=6,"ESCALATED TO ROXANNE",IF(TODAY()&gt;$AB609,"OVERDUE",IF($AB609&lt;=WORKDAY(TODAY(),1,Holidays),"DUE TOMORROW",IF($Z609=4,"ESCALATED TO LOCAL OFFICE",IF($Z609=5,"ESCALATED TO CBE",IF($AA609=TODAY(),"EMAIL SENT","MONITORING"))))))))))</f>
        <v/>
      </c>
      <c r="V609" s="17">
        <f>IF($U609="",IF(AND(COUNTA($A609:$L609)&gt;0,$N609=""),"Awaiting Collection Email time stamp.",""),IF(OR($U609="PAID",$U609="CLOSED"),IF($U609="PAID","Account paid. Action completed.","Account closed. No further action required."),CHOOSE($Z609,"Collection Email","1st Email Follow-up","2nd Email Follow-up","Escalation to Local Office","Escalation to CBE","Escalation to Roxanne")&amp;" sent "&amp;TEXT($AA609,"dd-mmm")&amp;". "&amp;IF($Z609=6,"Final escalation completed.",IF($U609="OVERDUE","Next: "&amp;$AC609&amp;" was due "&amp;TEXT($AB609,"dd-mmm")&amp;" - "&amp;(NETWORKDAYS($AB609,TODAY(),Holidays)-1)&amp;" business day(s) late. Send now.",IF($U609="DUE TOMORROW","Next: "&amp;$AC609&amp;IF($AB609&lt;=TODAY()," is due TODAY ("," is due next business day (")&amp;TEXT($AB609,"dd-mmm")&amp;").","Next: "&amp;$AC609&amp;" due "&amp;TEXT($AB609,"dd-mmm")&amp;" ("&amp;(NETWORKDAYS(TODAY(),$AB609,Holidays)-1)&amp;" business day(s) left).")))))</f>
        <v/>
      </c>
      <c r="W609" s="17">
        <f>IF($Z609="","",CHOOSE($Z609,"Collection Email","1st Follow-up","2nd Follow-up","Local Office","CBE","Roxanne")&amp;IF($Z609=6," - Final"," - Day "&amp;MAX(0,NETWORKDAYS($AA609,TODAY(),Holidays)-1)&amp;" of "&amp;CHOOSE($Z609,3,3,2,2,3))&amp;" | Total Day "&amp;MAX(0,NETWORKDAYS($N609,TODAY(),Holidays)-1))</f>
        <v/>
      </c>
      <c r="X609" s="18"/>
      <c r="Y609" s="18"/>
      <c r="Z609" s="17">
        <f>IF($N609="","",COUNT($N609:$S609))</f>
        <v/>
      </c>
      <c r="AA609" s="19">
        <f>IF($Z609="","",INT(INDEX($N609:$S609,$Z609)))</f>
        <v/>
      </c>
      <c r="AB609" s="19">
        <f>IF(OR($Z609="",$Z609=6),"",WORKDAY($AA609,CHOOSE($Z609,3,3,2,2,3),Holidays))</f>
        <v/>
      </c>
      <c r="AC609" s="17">
        <f>IF(OR($Z609="",$Z609=6),"",CHOOSE($Z609,"1st Email Follow-up","2nd Email Follow-up","Escalate Local Office","Escalate to CBE","Escalate to Roxanne"))</f>
        <v/>
      </c>
    </row>
    <row r="610" spans="13:29">
      <c r="M610" s="14"/>
      <c r="T610" s="16"/>
      <c r="U610" s="17">
        <f>IF(AND(COUNTA($A610:$L610)=0,$N610=""),"",IF($T610="Paid","PAID",IF($T610="Closed","CLOSED",IF($Z610="","",IF($Z610=6,"ESCALATED TO ROXANNE",IF(TODAY()&gt;$AB610,"OVERDUE",IF($AB610&lt;=WORKDAY(TODAY(),1,Holidays),"DUE TOMORROW",IF($Z610=4,"ESCALATED TO LOCAL OFFICE",IF($Z610=5,"ESCALATED TO CBE",IF($AA610=TODAY(),"EMAIL SENT","MONITORING"))))))))))</f>
        <v/>
      </c>
      <c r="V610" s="17">
        <f>IF($U610="",IF(AND(COUNTA($A610:$L610)&gt;0,$N610=""),"Awaiting Collection Email time stamp.",""),IF(OR($U610="PAID",$U610="CLOSED"),IF($U610="PAID","Account paid. Action completed.","Account closed. No further action required."),CHOOSE($Z610,"Collection Email","1st Email Follow-up","2nd Email Follow-up","Escalation to Local Office","Escalation to CBE","Escalation to Roxanne")&amp;" sent "&amp;TEXT($AA610,"dd-mmm")&amp;". "&amp;IF($Z610=6,"Final escalation completed.",IF($U610="OVERDUE","Next: "&amp;$AC610&amp;" was due "&amp;TEXT($AB610,"dd-mmm")&amp;" - "&amp;(NETWORKDAYS($AB610,TODAY(),Holidays)-1)&amp;" business day(s) late. Send now.",IF($U610="DUE TOMORROW","Next: "&amp;$AC610&amp;IF($AB610&lt;=TODAY()," is due TODAY ("," is due next business day (")&amp;TEXT($AB610,"dd-mmm")&amp;").","Next: "&amp;$AC610&amp;" due "&amp;TEXT($AB610,"dd-mmm")&amp;" ("&amp;(NETWORKDAYS(TODAY(),$AB610,Holidays)-1)&amp;" business day(s) left).")))))</f>
        <v/>
      </c>
      <c r="W610" s="17">
        <f>IF($Z610="","",CHOOSE($Z610,"Collection Email","1st Follow-up","2nd Follow-up","Local Office","CBE","Roxanne")&amp;IF($Z610=6," - Final"," - Day "&amp;MAX(0,NETWORKDAYS($AA610,TODAY(),Holidays)-1)&amp;" of "&amp;CHOOSE($Z610,3,3,2,2,3))&amp;" | Total Day "&amp;MAX(0,NETWORKDAYS($N610,TODAY(),Holidays)-1))</f>
        <v/>
      </c>
      <c r="X610" s="18"/>
      <c r="Y610" s="18"/>
      <c r="Z610" s="17">
        <f>IF($N610="","",COUNT($N610:$S610))</f>
        <v/>
      </c>
      <c r="AA610" s="19">
        <f>IF($Z610="","",INT(INDEX($N610:$S610,$Z610)))</f>
        <v/>
      </c>
      <c r="AB610" s="19">
        <f>IF(OR($Z610="",$Z610=6),"",WORKDAY($AA610,CHOOSE($Z610,3,3,2,2,3),Holidays))</f>
        <v/>
      </c>
      <c r="AC610" s="17">
        <f>IF(OR($Z610="",$Z610=6),"",CHOOSE($Z610,"1st Email Follow-up","2nd Email Follow-up","Escalate Local Office","Escalate to CBE","Escalate to Roxanne"))</f>
        <v/>
      </c>
    </row>
    <row r="611" spans="13:29">
      <c r="M611" s="14"/>
      <c r="T611" s="16"/>
      <c r="U611" s="17">
        <f>IF(AND(COUNTA($A611:$L611)=0,$N611=""),"",IF($T611="Paid","PAID",IF($T611="Closed","CLOSED",IF($Z611="","",IF($Z611=6,"ESCALATED TO ROXANNE",IF(TODAY()&gt;$AB611,"OVERDUE",IF($AB611&lt;=WORKDAY(TODAY(),1,Holidays),"DUE TOMORROW",IF($Z611=4,"ESCALATED TO LOCAL OFFICE",IF($Z611=5,"ESCALATED TO CBE",IF($AA611=TODAY(),"EMAIL SENT","MONITORING"))))))))))</f>
        <v/>
      </c>
      <c r="V611" s="17">
        <f>IF($U611="",IF(AND(COUNTA($A611:$L611)&gt;0,$N611=""),"Awaiting Collection Email time stamp.",""),IF(OR($U611="PAID",$U611="CLOSED"),IF($U611="PAID","Account paid. Action completed.","Account closed. No further action required."),CHOOSE($Z611,"Collection Email","1st Email Follow-up","2nd Email Follow-up","Escalation to Local Office","Escalation to CBE","Escalation to Roxanne")&amp;" sent "&amp;TEXT($AA611,"dd-mmm")&amp;". "&amp;IF($Z611=6,"Final escalation completed.",IF($U611="OVERDUE","Next: "&amp;$AC611&amp;" was due "&amp;TEXT($AB611,"dd-mmm")&amp;" - "&amp;(NETWORKDAYS($AB611,TODAY(),Holidays)-1)&amp;" business day(s) late. Send now.",IF($U611="DUE TOMORROW","Next: "&amp;$AC611&amp;IF($AB611&lt;=TODAY()," is due TODAY ("," is due next business day (")&amp;TEXT($AB611,"dd-mmm")&amp;").","Next: "&amp;$AC611&amp;" due "&amp;TEXT($AB611,"dd-mmm")&amp;" ("&amp;(NETWORKDAYS(TODAY(),$AB611,Holidays)-1)&amp;" business day(s) left).")))))</f>
        <v/>
      </c>
      <c r="W611" s="17">
        <f>IF($Z611="","",CHOOSE($Z611,"Collection Email","1st Follow-up","2nd Follow-up","Local Office","CBE","Roxanne")&amp;IF($Z611=6," - Final"," - Day "&amp;MAX(0,NETWORKDAYS($AA611,TODAY(),Holidays)-1)&amp;" of "&amp;CHOOSE($Z611,3,3,2,2,3))&amp;" | Total Day "&amp;MAX(0,NETWORKDAYS($N611,TODAY(),Holidays)-1))</f>
        <v/>
      </c>
      <c r="X611" s="18"/>
      <c r="Y611" s="18"/>
      <c r="Z611" s="17">
        <f>IF($N611="","",COUNT($N611:$S611))</f>
        <v/>
      </c>
      <c r="AA611" s="19">
        <f>IF($Z611="","",INT(INDEX($N611:$S611,$Z611)))</f>
        <v/>
      </c>
      <c r="AB611" s="19">
        <f>IF(OR($Z611="",$Z611=6),"",WORKDAY($AA611,CHOOSE($Z611,3,3,2,2,3),Holidays))</f>
        <v/>
      </c>
      <c r="AC611" s="17">
        <f>IF(OR($Z611="",$Z611=6),"",CHOOSE($Z611,"1st Email Follow-up","2nd Email Follow-up","Escalate Local Office","Escalate to CBE","Escalate to Roxanne"))</f>
        <v/>
      </c>
    </row>
    <row r="612" spans="13:29">
      <c r="M612" s="14"/>
      <c r="T612" s="16"/>
      <c r="U612" s="17">
        <f>IF(AND(COUNTA($A612:$L612)=0,$N612=""),"",IF($T612="Paid","PAID",IF($T612="Closed","CLOSED",IF($Z612="","",IF($Z612=6,"ESCALATED TO ROXANNE",IF(TODAY()&gt;$AB612,"OVERDUE",IF($AB612&lt;=WORKDAY(TODAY(),1,Holidays),"DUE TOMORROW",IF($Z612=4,"ESCALATED TO LOCAL OFFICE",IF($Z612=5,"ESCALATED TO CBE",IF($AA612=TODAY(),"EMAIL SENT","MONITORING"))))))))))</f>
        <v/>
      </c>
      <c r="V612" s="17">
        <f>IF($U612="",IF(AND(COUNTA($A612:$L612)&gt;0,$N612=""),"Awaiting Collection Email time stamp.",""),IF(OR($U612="PAID",$U612="CLOSED"),IF($U612="PAID","Account paid. Action completed.","Account closed. No further action required."),CHOOSE($Z612,"Collection Email","1st Email Follow-up","2nd Email Follow-up","Escalation to Local Office","Escalation to CBE","Escalation to Roxanne")&amp;" sent "&amp;TEXT($AA612,"dd-mmm")&amp;". "&amp;IF($Z612=6,"Final escalation completed.",IF($U612="OVERDUE","Next: "&amp;$AC612&amp;" was due "&amp;TEXT($AB612,"dd-mmm")&amp;" - "&amp;(NETWORKDAYS($AB612,TODAY(),Holidays)-1)&amp;" business day(s) late. Send now.",IF($U612="DUE TOMORROW","Next: "&amp;$AC612&amp;IF($AB612&lt;=TODAY()," is due TODAY ("," is due next business day (")&amp;TEXT($AB612,"dd-mmm")&amp;").","Next: "&amp;$AC612&amp;" due "&amp;TEXT($AB612,"dd-mmm")&amp;" ("&amp;(NETWORKDAYS(TODAY(),$AB612,Holidays)-1)&amp;" business day(s) left).")))))</f>
        <v/>
      </c>
      <c r="W612" s="17">
        <f>IF($Z612="","",CHOOSE($Z612,"Collection Email","1st Follow-up","2nd Follow-up","Local Office","CBE","Roxanne")&amp;IF($Z612=6," - Final"," - Day "&amp;MAX(0,NETWORKDAYS($AA612,TODAY(),Holidays)-1)&amp;" of "&amp;CHOOSE($Z612,3,3,2,2,3))&amp;" | Total Day "&amp;MAX(0,NETWORKDAYS($N612,TODAY(),Holidays)-1))</f>
        <v/>
      </c>
      <c r="X612" s="18"/>
      <c r="Y612" s="18"/>
      <c r="Z612" s="17">
        <f>IF($N612="","",COUNT($N612:$S612))</f>
        <v/>
      </c>
      <c r="AA612" s="19">
        <f>IF($Z612="","",INT(INDEX($N612:$S612,$Z612)))</f>
        <v/>
      </c>
      <c r="AB612" s="19">
        <f>IF(OR($Z612="",$Z612=6),"",WORKDAY($AA612,CHOOSE($Z612,3,3,2,2,3),Holidays))</f>
        <v/>
      </c>
      <c r="AC612" s="17">
        <f>IF(OR($Z612="",$Z612=6),"",CHOOSE($Z612,"1st Email Follow-up","2nd Email Follow-up","Escalate Local Office","Escalate to CBE","Escalate to Roxanne"))</f>
        <v/>
      </c>
    </row>
    <row r="613" spans="13:29">
      <c r="M613" s="14"/>
      <c r="T613" s="16"/>
      <c r="U613" s="17">
        <f>IF(AND(COUNTA($A613:$L613)=0,$N613=""),"",IF($T613="Paid","PAID",IF($T613="Closed","CLOSED",IF($Z613="","",IF($Z613=6,"ESCALATED TO ROXANNE",IF(TODAY()&gt;$AB613,"OVERDUE",IF($AB613&lt;=WORKDAY(TODAY(),1,Holidays),"DUE TOMORROW",IF($Z613=4,"ESCALATED TO LOCAL OFFICE",IF($Z613=5,"ESCALATED TO CBE",IF($AA613=TODAY(),"EMAIL SENT","MONITORING"))))))))))</f>
        <v/>
      </c>
      <c r="V613" s="17">
        <f>IF($U613="",IF(AND(COUNTA($A613:$L613)&gt;0,$N613=""),"Awaiting Collection Email time stamp.",""),IF(OR($U613="PAID",$U613="CLOSED"),IF($U613="PAID","Account paid. Action completed.","Account closed. No further action required."),CHOOSE($Z613,"Collection Email","1st Email Follow-up","2nd Email Follow-up","Escalation to Local Office","Escalation to CBE","Escalation to Roxanne")&amp;" sent "&amp;TEXT($AA613,"dd-mmm")&amp;". "&amp;IF($Z613=6,"Final escalation completed.",IF($U613="OVERDUE","Next: "&amp;$AC613&amp;" was due "&amp;TEXT($AB613,"dd-mmm")&amp;" - "&amp;(NETWORKDAYS($AB613,TODAY(),Holidays)-1)&amp;" business day(s) late. Send now.",IF($U613="DUE TOMORROW","Next: "&amp;$AC613&amp;IF($AB613&lt;=TODAY()," is due TODAY ("," is due next business day (")&amp;TEXT($AB613,"dd-mmm")&amp;").","Next: "&amp;$AC613&amp;" due "&amp;TEXT($AB613,"dd-mmm")&amp;" ("&amp;(NETWORKDAYS(TODAY(),$AB613,Holidays)-1)&amp;" business day(s) left).")))))</f>
        <v/>
      </c>
      <c r="W613" s="17">
        <f>IF($Z613="","",CHOOSE($Z613,"Collection Email","1st Follow-up","2nd Follow-up","Local Office","CBE","Roxanne")&amp;IF($Z613=6," - Final"," - Day "&amp;MAX(0,NETWORKDAYS($AA613,TODAY(),Holidays)-1)&amp;" of "&amp;CHOOSE($Z613,3,3,2,2,3))&amp;" | Total Day "&amp;MAX(0,NETWORKDAYS($N613,TODAY(),Holidays)-1))</f>
        <v/>
      </c>
      <c r="X613" s="18"/>
      <c r="Y613" s="18"/>
      <c r="Z613" s="17">
        <f>IF($N613="","",COUNT($N613:$S613))</f>
        <v/>
      </c>
      <c r="AA613" s="19">
        <f>IF($Z613="","",INT(INDEX($N613:$S613,$Z613)))</f>
        <v/>
      </c>
      <c r="AB613" s="19">
        <f>IF(OR($Z613="",$Z613=6),"",WORKDAY($AA613,CHOOSE($Z613,3,3,2,2,3),Holidays))</f>
        <v/>
      </c>
      <c r="AC613" s="17">
        <f>IF(OR($Z613="",$Z613=6),"",CHOOSE($Z613,"1st Email Follow-up","2nd Email Follow-up","Escalate Local Office","Escalate to CBE","Escalate to Roxanne"))</f>
        <v/>
      </c>
    </row>
    <row r="614" spans="13:29">
      <c r="M614" s="14"/>
      <c r="T614" s="16"/>
      <c r="U614" s="17">
        <f>IF(AND(COUNTA($A614:$L614)=0,$N614=""),"",IF($T614="Paid","PAID",IF($T614="Closed","CLOSED",IF($Z614="","",IF($Z614=6,"ESCALATED TO ROXANNE",IF(TODAY()&gt;$AB614,"OVERDUE",IF($AB614&lt;=WORKDAY(TODAY(),1,Holidays),"DUE TOMORROW",IF($Z614=4,"ESCALATED TO LOCAL OFFICE",IF($Z614=5,"ESCALATED TO CBE",IF($AA614=TODAY(),"EMAIL SENT","MONITORING"))))))))))</f>
        <v/>
      </c>
      <c r="V614" s="17">
        <f>IF($U614="",IF(AND(COUNTA($A614:$L614)&gt;0,$N614=""),"Awaiting Collection Email time stamp.",""),IF(OR($U614="PAID",$U614="CLOSED"),IF($U614="PAID","Account paid. Action completed.","Account closed. No further action required."),CHOOSE($Z614,"Collection Email","1st Email Follow-up","2nd Email Follow-up","Escalation to Local Office","Escalation to CBE","Escalation to Roxanne")&amp;" sent "&amp;TEXT($AA614,"dd-mmm")&amp;". "&amp;IF($Z614=6,"Final escalation completed.",IF($U614="OVERDUE","Next: "&amp;$AC614&amp;" was due "&amp;TEXT($AB614,"dd-mmm")&amp;" - "&amp;(NETWORKDAYS($AB614,TODAY(),Holidays)-1)&amp;" business day(s) late. Send now.",IF($U614="DUE TOMORROW","Next: "&amp;$AC614&amp;IF($AB614&lt;=TODAY()," is due TODAY ("," is due next business day (")&amp;TEXT($AB614,"dd-mmm")&amp;").","Next: "&amp;$AC614&amp;" due "&amp;TEXT($AB614,"dd-mmm")&amp;" ("&amp;(NETWORKDAYS(TODAY(),$AB614,Holidays)-1)&amp;" business day(s) left).")))))</f>
        <v/>
      </c>
      <c r="W614" s="17">
        <f>IF($Z614="","",CHOOSE($Z614,"Collection Email","1st Follow-up","2nd Follow-up","Local Office","CBE","Roxanne")&amp;IF($Z614=6," - Final"," - Day "&amp;MAX(0,NETWORKDAYS($AA614,TODAY(),Holidays)-1)&amp;" of "&amp;CHOOSE($Z614,3,3,2,2,3))&amp;" | Total Day "&amp;MAX(0,NETWORKDAYS($N614,TODAY(),Holidays)-1))</f>
        <v/>
      </c>
      <c r="X614" s="18"/>
      <c r="Y614" s="18"/>
      <c r="Z614" s="17">
        <f>IF($N614="","",COUNT($N614:$S614))</f>
        <v/>
      </c>
      <c r="AA614" s="19">
        <f>IF($Z614="","",INT(INDEX($N614:$S614,$Z614)))</f>
        <v/>
      </c>
      <c r="AB614" s="19">
        <f>IF(OR($Z614="",$Z614=6),"",WORKDAY($AA614,CHOOSE($Z614,3,3,2,2,3),Holidays))</f>
        <v/>
      </c>
      <c r="AC614" s="17">
        <f>IF(OR($Z614="",$Z614=6),"",CHOOSE($Z614,"1st Email Follow-up","2nd Email Follow-up","Escalate Local Office","Escalate to CBE","Escalate to Roxanne"))</f>
        <v/>
      </c>
    </row>
    <row r="615" spans="13:29">
      <c r="M615" s="14"/>
      <c r="T615" s="16"/>
      <c r="U615" s="17">
        <f>IF(AND(COUNTA($A615:$L615)=0,$N615=""),"",IF($T615="Paid","PAID",IF($T615="Closed","CLOSED",IF($Z615="","",IF($Z615=6,"ESCALATED TO ROXANNE",IF(TODAY()&gt;$AB615,"OVERDUE",IF($AB615&lt;=WORKDAY(TODAY(),1,Holidays),"DUE TOMORROW",IF($Z615=4,"ESCALATED TO LOCAL OFFICE",IF($Z615=5,"ESCALATED TO CBE",IF($AA615=TODAY(),"EMAIL SENT","MONITORING"))))))))))</f>
        <v/>
      </c>
      <c r="V615" s="17">
        <f>IF($U615="",IF(AND(COUNTA($A615:$L615)&gt;0,$N615=""),"Awaiting Collection Email time stamp.",""),IF(OR($U615="PAID",$U615="CLOSED"),IF($U615="PAID","Account paid. Action completed.","Account closed. No further action required."),CHOOSE($Z615,"Collection Email","1st Email Follow-up","2nd Email Follow-up","Escalation to Local Office","Escalation to CBE","Escalation to Roxanne")&amp;" sent "&amp;TEXT($AA615,"dd-mmm")&amp;". "&amp;IF($Z615=6,"Final escalation completed.",IF($U615="OVERDUE","Next: "&amp;$AC615&amp;" was due "&amp;TEXT($AB615,"dd-mmm")&amp;" - "&amp;(NETWORKDAYS($AB615,TODAY(),Holidays)-1)&amp;" business day(s) late. Send now.",IF($U615="DUE TOMORROW","Next: "&amp;$AC615&amp;IF($AB615&lt;=TODAY()," is due TODAY ("," is due next business day (")&amp;TEXT($AB615,"dd-mmm")&amp;").","Next: "&amp;$AC615&amp;" due "&amp;TEXT($AB615,"dd-mmm")&amp;" ("&amp;(NETWORKDAYS(TODAY(),$AB615,Holidays)-1)&amp;" business day(s) left).")))))</f>
        <v/>
      </c>
      <c r="W615" s="17">
        <f>IF($Z615="","",CHOOSE($Z615,"Collection Email","1st Follow-up","2nd Follow-up","Local Office","CBE","Roxanne")&amp;IF($Z615=6," - Final"," - Day "&amp;MAX(0,NETWORKDAYS($AA615,TODAY(),Holidays)-1)&amp;" of "&amp;CHOOSE($Z615,3,3,2,2,3))&amp;" | Total Day "&amp;MAX(0,NETWORKDAYS($N615,TODAY(),Holidays)-1))</f>
        <v/>
      </c>
      <c r="X615" s="18"/>
      <c r="Y615" s="18"/>
      <c r="Z615" s="17">
        <f>IF($N615="","",COUNT($N615:$S615))</f>
        <v/>
      </c>
      <c r="AA615" s="19">
        <f>IF($Z615="","",INT(INDEX($N615:$S615,$Z615)))</f>
        <v/>
      </c>
      <c r="AB615" s="19">
        <f>IF(OR($Z615="",$Z615=6),"",WORKDAY($AA615,CHOOSE($Z615,3,3,2,2,3),Holidays))</f>
        <v/>
      </c>
      <c r="AC615" s="17">
        <f>IF(OR($Z615="",$Z615=6),"",CHOOSE($Z615,"1st Email Follow-up","2nd Email Follow-up","Escalate Local Office","Escalate to CBE","Escalate to Roxanne"))</f>
        <v/>
      </c>
    </row>
    <row r="616" spans="13:29">
      <c r="M616" s="14"/>
      <c r="T616" s="16"/>
      <c r="U616" s="17">
        <f>IF(AND(COUNTA($A616:$L616)=0,$N616=""),"",IF($T616="Paid","PAID",IF($T616="Closed","CLOSED",IF($Z616="","",IF($Z616=6,"ESCALATED TO ROXANNE",IF(TODAY()&gt;$AB616,"OVERDUE",IF($AB616&lt;=WORKDAY(TODAY(),1,Holidays),"DUE TOMORROW",IF($Z616=4,"ESCALATED TO LOCAL OFFICE",IF($Z616=5,"ESCALATED TO CBE",IF($AA616=TODAY(),"EMAIL SENT","MONITORING"))))))))))</f>
        <v/>
      </c>
      <c r="V616" s="17">
        <f>IF($U616="",IF(AND(COUNTA($A616:$L616)&gt;0,$N616=""),"Awaiting Collection Email time stamp.",""),IF(OR($U616="PAID",$U616="CLOSED"),IF($U616="PAID","Account paid. Action completed.","Account closed. No further action required."),CHOOSE($Z616,"Collection Email","1st Email Follow-up","2nd Email Follow-up","Escalation to Local Office","Escalation to CBE","Escalation to Roxanne")&amp;" sent "&amp;TEXT($AA616,"dd-mmm")&amp;". "&amp;IF($Z616=6,"Final escalation completed.",IF($U616="OVERDUE","Next: "&amp;$AC616&amp;" was due "&amp;TEXT($AB616,"dd-mmm")&amp;" - "&amp;(NETWORKDAYS($AB616,TODAY(),Holidays)-1)&amp;" business day(s) late. Send now.",IF($U616="DUE TOMORROW","Next: "&amp;$AC616&amp;IF($AB616&lt;=TODAY()," is due TODAY ("," is due next business day (")&amp;TEXT($AB616,"dd-mmm")&amp;").","Next: "&amp;$AC616&amp;" due "&amp;TEXT($AB616,"dd-mmm")&amp;" ("&amp;(NETWORKDAYS(TODAY(),$AB616,Holidays)-1)&amp;" business day(s) left).")))))</f>
        <v/>
      </c>
      <c r="W616" s="17">
        <f>IF($Z616="","",CHOOSE($Z616,"Collection Email","1st Follow-up","2nd Follow-up","Local Office","CBE","Roxanne")&amp;IF($Z616=6," - Final"," - Day "&amp;MAX(0,NETWORKDAYS($AA616,TODAY(),Holidays)-1)&amp;" of "&amp;CHOOSE($Z616,3,3,2,2,3))&amp;" | Total Day "&amp;MAX(0,NETWORKDAYS($N616,TODAY(),Holidays)-1))</f>
        <v/>
      </c>
      <c r="X616" s="18"/>
      <c r="Y616" s="18"/>
      <c r="Z616" s="17">
        <f>IF($N616="","",COUNT($N616:$S616))</f>
        <v/>
      </c>
      <c r="AA616" s="19">
        <f>IF($Z616="","",INT(INDEX($N616:$S616,$Z616)))</f>
        <v/>
      </c>
      <c r="AB616" s="19">
        <f>IF(OR($Z616="",$Z616=6),"",WORKDAY($AA616,CHOOSE($Z616,3,3,2,2,3),Holidays))</f>
        <v/>
      </c>
      <c r="AC616" s="17">
        <f>IF(OR($Z616="",$Z616=6),"",CHOOSE($Z616,"1st Email Follow-up","2nd Email Follow-up","Escalate Local Office","Escalate to CBE","Escalate to Roxanne"))</f>
        <v/>
      </c>
    </row>
    <row r="617" spans="13:29">
      <c r="M617" s="14"/>
      <c r="T617" s="16"/>
      <c r="U617" s="17">
        <f>IF(AND(COUNTA($A617:$L617)=0,$N617=""),"",IF($T617="Paid","PAID",IF($T617="Closed","CLOSED",IF($Z617="","",IF($Z617=6,"ESCALATED TO ROXANNE",IF(TODAY()&gt;$AB617,"OVERDUE",IF($AB617&lt;=WORKDAY(TODAY(),1,Holidays),"DUE TOMORROW",IF($Z617=4,"ESCALATED TO LOCAL OFFICE",IF($Z617=5,"ESCALATED TO CBE",IF($AA617=TODAY(),"EMAIL SENT","MONITORING"))))))))))</f>
        <v/>
      </c>
      <c r="V617" s="17">
        <f>IF($U617="",IF(AND(COUNTA($A617:$L617)&gt;0,$N617=""),"Awaiting Collection Email time stamp.",""),IF(OR($U617="PAID",$U617="CLOSED"),IF($U617="PAID","Account paid. Action completed.","Account closed. No further action required."),CHOOSE($Z617,"Collection Email","1st Email Follow-up","2nd Email Follow-up","Escalation to Local Office","Escalation to CBE","Escalation to Roxanne")&amp;" sent "&amp;TEXT($AA617,"dd-mmm")&amp;". "&amp;IF($Z617=6,"Final escalation completed.",IF($U617="OVERDUE","Next: "&amp;$AC617&amp;" was due "&amp;TEXT($AB617,"dd-mmm")&amp;" - "&amp;(NETWORKDAYS($AB617,TODAY(),Holidays)-1)&amp;" business day(s) late. Send now.",IF($U617="DUE TOMORROW","Next: "&amp;$AC617&amp;IF($AB617&lt;=TODAY()," is due TODAY ("," is due next business day (")&amp;TEXT($AB617,"dd-mmm")&amp;").","Next: "&amp;$AC617&amp;" due "&amp;TEXT($AB617,"dd-mmm")&amp;" ("&amp;(NETWORKDAYS(TODAY(),$AB617,Holidays)-1)&amp;" business day(s) left).")))))</f>
        <v/>
      </c>
      <c r="W617" s="17">
        <f>IF($Z617="","",CHOOSE($Z617,"Collection Email","1st Follow-up","2nd Follow-up","Local Office","CBE","Roxanne")&amp;IF($Z617=6," - Final"," - Day "&amp;MAX(0,NETWORKDAYS($AA617,TODAY(),Holidays)-1)&amp;" of "&amp;CHOOSE($Z617,3,3,2,2,3))&amp;" | Total Day "&amp;MAX(0,NETWORKDAYS($N617,TODAY(),Holidays)-1))</f>
        <v/>
      </c>
      <c r="X617" s="18"/>
      <c r="Y617" s="18"/>
      <c r="Z617" s="17">
        <f>IF($N617="","",COUNT($N617:$S617))</f>
        <v/>
      </c>
      <c r="AA617" s="19">
        <f>IF($Z617="","",INT(INDEX($N617:$S617,$Z617)))</f>
        <v/>
      </c>
      <c r="AB617" s="19">
        <f>IF(OR($Z617="",$Z617=6),"",WORKDAY($AA617,CHOOSE($Z617,3,3,2,2,3),Holidays))</f>
        <v/>
      </c>
      <c r="AC617" s="17">
        <f>IF(OR($Z617="",$Z617=6),"",CHOOSE($Z617,"1st Email Follow-up","2nd Email Follow-up","Escalate Local Office","Escalate to CBE","Escalate to Roxanne"))</f>
        <v/>
      </c>
    </row>
    <row r="618" spans="13:29">
      <c r="M618" s="14"/>
      <c r="T618" s="16"/>
      <c r="U618" s="17">
        <f>IF(AND(COUNTA($A618:$L618)=0,$N618=""),"",IF($T618="Paid","PAID",IF($T618="Closed","CLOSED",IF($Z618="","",IF($Z618=6,"ESCALATED TO ROXANNE",IF(TODAY()&gt;$AB618,"OVERDUE",IF($AB618&lt;=WORKDAY(TODAY(),1,Holidays),"DUE TOMORROW",IF($Z618=4,"ESCALATED TO LOCAL OFFICE",IF($Z618=5,"ESCALATED TO CBE",IF($AA618=TODAY(),"EMAIL SENT","MONITORING"))))))))))</f>
        <v/>
      </c>
      <c r="V618" s="17">
        <f>IF($U618="",IF(AND(COUNTA($A618:$L618)&gt;0,$N618=""),"Awaiting Collection Email time stamp.",""),IF(OR($U618="PAID",$U618="CLOSED"),IF($U618="PAID","Account paid. Action completed.","Account closed. No further action required."),CHOOSE($Z618,"Collection Email","1st Email Follow-up","2nd Email Follow-up","Escalation to Local Office","Escalation to CBE","Escalation to Roxanne")&amp;" sent "&amp;TEXT($AA618,"dd-mmm")&amp;". "&amp;IF($Z618=6,"Final escalation completed.",IF($U618="OVERDUE","Next: "&amp;$AC618&amp;" was due "&amp;TEXT($AB618,"dd-mmm")&amp;" - "&amp;(NETWORKDAYS($AB618,TODAY(),Holidays)-1)&amp;" business day(s) late. Send now.",IF($U618="DUE TOMORROW","Next: "&amp;$AC618&amp;IF($AB618&lt;=TODAY()," is due TODAY ("," is due next business day (")&amp;TEXT($AB618,"dd-mmm")&amp;").","Next: "&amp;$AC618&amp;" due "&amp;TEXT($AB618,"dd-mmm")&amp;" ("&amp;(NETWORKDAYS(TODAY(),$AB618,Holidays)-1)&amp;" business day(s) left).")))))</f>
        <v/>
      </c>
      <c r="W618" s="17">
        <f>IF($Z618="","",CHOOSE($Z618,"Collection Email","1st Follow-up","2nd Follow-up","Local Office","CBE","Roxanne")&amp;IF($Z618=6," - Final"," - Day "&amp;MAX(0,NETWORKDAYS($AA618,TODAY(),Holidays)-1)&amp;" of "&amp;CHOOSE($Z618,3,3,2,2,3))&amp;" | Total Day "&amp;MAX(0,NETWORKDAYS($N618,TODAY(),Holidays)-1))</f>
        <v/>
      </c>
      <c r="X618" s="18"/>
      <c r="Y618" s="18"/>
      <c r="Z618" s="17">
        <f>IF($N618="","",COUNT($N618:$S618))</f>
        <v/>
      </c>
      <c r="AA618" s="19">
        <f>IF($Z618="","",INT(INDEX($N618:$S618,$Z618)))</f>
        <v/>
      </c>
      <c r="AB618" s="19">
        <f>IF(OR($Z618="",$Z618=6),"",WORKDAY($AA618,CHOOSE($Z618,3,3,2,2,3),Holidays))</f>
        <v/>
      </c>
      <c r="AC618" s="17">
        <f>IF(OR($Z618="",$Z618=6),"",CHOOSE($Z618,"1st Email Follow-up","2nd Email Follow-up","Escalate Local Office","Escalate to CBE","Escalate to Roxanne"))</f>
        <v/>
      </c>
    </row>
    <row r="619" spans="13:29">
      <c r="M619" s="14"/>
      <c r="T619" s="16"/>
      <c r="U619" s="17">
        <f>IF(AND(COUNTA($A619:$L619)=0,$N619=""),"",IF($T619="Paid","PAID",IF($T619="Closed","CLOSED",IF($Z619="","",IF($Z619=6,"ESCALATED TO ROXANNE",IF(TODAY()&gt;$AB619,"OVERDUE",IF($AB619&lt;=WORKDAY(TODAY(),1,Holidays),"DUE TOMORROW",IF($Z619=4,"ESCALATED TO LOCAL OFFICE",IF($Z619=5,"ESCALATED TO CBE",IF($AA619=TODAY(),"EMAIL SENT","MONITORING"))))))))))</f>
        <v/>
      </c>
      <c r="V619" s="17">
        <f>IF($U619="",IF(AND(COUNTA($A619:$L619)&gt;0,$N619=""),"Awaiting Collection Email time stamp.",""),IF(OR($U619="PAID",$U619="CLOSED"),IF($U619="PAID","Account paid. Action completed.","Account closed. No further action required."),CHOOSE($Z619,"Collection Email","1st Email Follow-up","2nd Email Follow-up","Escalation to Local Office","Escalation to CBE","Escalation to Roxanne")&amp;" sent "&amp;TEXT($AA619,"dd-mmm")&amp;". "&amp;IF($Z619=6,"Final escalation completed.",IF($U619="OVERDUE","Next: "&amp;$AC619&amp;" was due "&amp;TEXT($AB619,"dd-mmm")&amp;" - "&amp;(NETWORKDAYS($AB619,TODAY(),Holidays)-1)&amp;" business day(s) late. Send now.",IF($U619="DUE TOMORROW","Next: "&amp;$AC619&amp;IF($AB619&lt;=TODAY()," is due TODAY ("," is due next business day (")&amp;TEXT($AB619,"dd-mmm")&amp;").","Next: "&amp;$AC619&amp;" due "&amp;TEXT($AB619,"dd-mmm")&amp;" ("&amp;(NETWORKDAYS(TODAY(),$AB619,Holidays)-1)&amp;" business day(s) left).")))))</f>
        <v/>
      </c>
      <c r="W619" s="17">
        <f>IF($Z619="","",CHOOSE($Z619,"Collection Email","1st Follow-up","2nd Follow-up","Local Office","CBE","Roxanne")&amp;IF($Z619=6," - Final"," - Day "&amp;MAX(0,NETWORKDAYS($AA619,TODAY(),Holidays)-1)&amp;" of "&amp;CHOOSE($Z619,3,3,2,2,3))&amp;" | Total Day "&amp;MAX(0,NETWORKDAYS($N619,TODAY(),Holidays)-1))</f>
        <v/>
      </c>
      <c r="X619" s="18"/>
      <c r="Y619" s="18"/>
      <c r="Z619" s="17">
        <f>IF($N619="","",COUNT($N619:$S619))</f>
        <v/>
      </c>
      <c r="AA619" s="19">
        <f>IF($Z619="","",INT(INDEX($N619:$S619,$Z619)))</f>
        <v/>
      </c>
      <c r="AB619" s="19">
        <f>IF(OR($Z619="",$Z619=6),"",WORKDAY($AA619,CHOOSE($Z619,3,3,2,2,3),Holidays))</f>
        <v/>
      </c>
      <c r="AC619" s="17">
        <f>IF(OR($Z619="",$Z619=6),"",CHOOSE($Z619,"1st Email Follow-up","2nd Email Follow-up","Escalate Local Office","Escalate to CBE","Escalate to Roxanne"))</f>
        <v/>
      </c>
    </row>
    <row r="620" spans="13:29">
      <c r="M620" s="14"/>
      <c r="T620" s="16"/>
      <c r="U620" s="17">
        <f>IF(AND(COUNTA($A620:$L620)=0,$N620=""),"",IF($T620="Paid","PAID",IF($T620="Closed","CLOSED",IF($Z620="","",IF($Z620=6,"ESCALATED TO ROXANNE",IF(TODAY()&gt;$AB620,"OVERDUE",IF($AB620&lt;=WORKDAY(TODAY(),1,Holidays),"DUE TOMORROW",IF($Z620=4,"ESCALATED TO LOCAL OFFICE",IF($Z620=5,"ESCALATED TO CBE",IF($AA620=TODAY(),"EMAIL SENT","MONITORING"))))))))))</f>
        <v/>
      </c>
      <c r="V620" s="17">
        <f>IF($U620="",IF(AND(COUNTA($A620:$L620)&gt;0,$N620=""),"Awaiting Collection Email time stamp.",""),IF(OR($U620="PAID",$U620="CLOSED"),IF($U620="PAID","Account paid. Action completed.","Account closed. No further action required."),CHOOSE($Z620,"Collection Email","1st Email Follow-up","2nd Email Follow-up","Escalation to Local Office","Escalation to CBE","Escalation to Roxanne")&amp;" sent "&amp;TEXT($AA620,"dd-mmm")&amp;". "&amp;IF($Z620=6,"Final escalation completed.",IF($U620="OVERDUE","Next: "&amp;$AC620&amp;" was due "&amp;TEXT($AB620,"dd-mmm")&amp;" - "&amp;(NETWORKDAYS($AB620,TODAY(),Holidays)-1)&amp;" business day(s) late. Send now.",IF($U620="DUE TOMORROW","Next: "&amp;$AC620&amp;IF($AB620&lt;=TODAY()," is due TODAY ("," is due next business day (")&amp;TEXT($AB620,"dd-mmm")&amp;").","Next: "&amp;$AC620&amp;" due "&amp;TEXT($AB620,"dd-mmm")&amp;" ("&amp;(NETWORKDAYS(TODAY(),$AB620,Holidays)-1)&amp;" business day(s) left).")))))</f>
        <v/>
      </c>
      <c r="W620" s="17">
        <f>IF($Z620="","",CHOOSE($Z620,"Collection Email","1st Follow-up","2nd Follow-up","Local Office","CBE","Roxanne")&amp;IF($Z620=6," - Final"," - Day "&amp;MAX(0,NETWORKDAYS($AA620,TODAY(),Holidays)-1)&amp;" of "&amp;CHOOSE($Z620,3,3,2,2,3))&amp;" | Total Day "&amp;MAX(0,NETWORKDAYS($N620,TODAY(),Holidays)-1))</f>
        <v/>
      </c>
      <c r="X620" s="18"/>
      <c r="Y620" s="18"/>
      <c r="Z620" s="17">
        <f>IF($N620="","",COUNT($N620:$S620))</f>
        <v/>
      </c>
      <c r="AA620" s="19">
        <f>IF($Z620="","",INT(INDEX($N620:$S620,$Z620)))</f>
        <v/>
      </c>
      <c r="AB620" s="19">
        <f>IF(OR($Z620="",$Z620=6),"",WORKDAY($AA620,CHOOSE($Z620,3,3,2,2,3),Holidays))</f>
        <v/>
      </c>
      <c r="AC620" s="17">
        <f>IF(OR($Z620="",$Z620=6),"",CHOOSE($Z620,"1st Email Follow-up","2nd Email Follow-up","Escalate Local Office","Escalate to CBE","Escalate to Roxanne"))</f>
        <v/>
      </c>
    </row>
    <row r="621" spans="13:29">
      <c r="M621" s="14"/>
      <c r="T621" s="16"/>
      <c r="U621" s="17">
        <f>IF(AND(COUNTA($A621:$L621)=0,$N621=""),"",IF($T621="Paid","PAID",IF($T621="Closed","CLOSED",IF($Z621="","",IF($Z621=6,"ESCALATED TO ROXANNE",IF(TODAY()&gt;$AB621,"OVERDUE",IF($AB621&lt;=WORKDAY(TODAY(),1,Holidays),"DUE TOMORROW",IF($Z621=4,"ESCALATED TO LOCAL OFFICE",IF($Z621=5,"ESCALATED TO CBE",IF($AA621=TODAY(),"EMAIL SENT","MONITORING"))))))))))</f>
        <v/>
      </c>
      <c r="V621" s="17">
        <f>IF($U621="",IF(AND(COUNTA($A621:$L621)&gt;0,$N621=""),"Awaiting Collection Email time stamp.",""),IF(OR($U621="PAID",$U621="CLOSED"),IF($U621="PAID","Account paid. Action completed.","Account closed. No further action required."),CHOOSE($Z621,"Collection Email","1st Email Follow-up","2nd Email Follow-up","Escalation to Local Office","Escalation to CBE","Escalation to Roxanne")&amp;" sent "&amp;TEXT($AA621,"dd-mmm")&amp;". "&amp;IF($Z621=6,"Final escalation completed.",IF($U621="OVERDUE","Next: "&amp;$AC621&amp;" was due "&amp;TEXT($AB621,"dd-mmm")&amp;" - "&amp;(NETWORKDAYS($AB621,TODAY(),Holidays)-1)&amp;" business day(s) late. Send now.",IF($U621="DUE TOMORROW","Next: "&amp;$AC621&amp;IF($AB621&lt;=TODAY()," is due TODAY ("," is due next business day (")&amp;TEXT($AB621,"dd-mmm")&amp;").","Next: "&amp;$AC621&amp;" due "&amp;TEXT($AB621,"dd-mmm")&amp;" ("&amp;(NETWORKDAYS(TODAY(),$AB621,Holidays)-1)&amp;" business day(s) left).")))))</f>
        <v/>
      </c>
      <c r="W621" s="17">
        <f>IF($Z621="","",CHOOSE($Z621,"Collection Email","1st Follow-up","2nd Follow-up","Local Office","CBE","Roxanne")&amp;IF($Z621=6," - Final"," - Day "&amp;MAX(0,NETWORKDAYS($AA621,TODAY(),Holidays)-1)&amp;" of "&amp;CHOOSE($Z621,3,3,2,2,3))&amp;" | Total Day "&amp;MAX(0,NETWORKDAYS($N621,TODAY(),Holidays)-1))</f>
        <v/>
      </c>
      <c r="X621" s="18"/>
      <c r="Y621" s="18"/>
      <c r="Z621" s="17">
        <f>IF($N621="","",COUNT($N621:$S621))</f>
        <v/>
      </c>
      <c r="AA621" s="19">
        <f>IF($Z621="","",INT(INDEX($N621:$S621,$Z621)))</f>
        <v/>
      </c>
      <c r="AB621" s="19">
        <f>IF(OR($Z621="",$Z621=6),"",WORKDAY($AA621,CHOOSE($Z621,3,3,2,2,3),Holidays))</f>
        <v/>
      </c>
      <c r="AC621" s="17">
        <f>IF(OR($Z621="",$Z621=6),"",CHOOSE($Z621,"1st Email Follow-up","2nd Email Follow-up","Escalate Local Office","Escalate to CBE","Escalate to Roxanne"))</f>
        <v/>
      </c>
    </row>
    <row r="622" spans="13:29">
      <c r="M622" s="14"/>
      <c r="T622" s="16"/>
      <c r="U622" s="17">
        <f>IF(AND(COUNTA($A622:$L622)=0,$N622=""),"",IF($T622="Paid","PAID",IF($T622="Closed","CLOSED",IF($Z622="","",IF($Z622=6,"ESCALATED TO ROXANNE",IF(TODAY()&gt;$AB622,"OVERDUE",IF($AB622&lt;=WORKDAY(TODAY(),1,Holidays),"DUE TOMORROW",IF($Z622=4,"ESCALATED TO LOCAL OFFICE",IF($Z622=5,"ESCALATED TO CBE",IF($AA622=TODAY(),"EMAIL SENT","MONITORING"))))))))))</f>
        <v/>
      </c>
      <c r="V622" s="17">
        <f>IF($U622="",IF(AND(COUNTA($A622:$L622)&gt;0,$N622=""),"Awaiting Collection Email time stamp.",""),IF(OR($U622="PAID",$U622="CLOSED"),IF($U622="PAID","Account paid. Action completed.","Account closed. No further action required."),CHOOSE($Z622,"Collection Email","1st Email Follow-up","2nd Email Follow-up","Escalation to Local Office","Escalation to CBE","Escalation to Roxanne")&amp;" sent "&amp;TEXT($AA622,"dd-mmm")&amp;". "&amp;IF($Z622=6,"Final escalation completed.",IF($U622="OVERDUE","Next: "&amp;$AC622&amp;" was due "&amp;TEXT($AB622,"dd-mmm")&amp;" - "&amp;(NETWORKDAYS($AB622,TODAY(),Holidays)-1)&amp;" business day(s) late. Send now.",IF($U622="DUE TOMORROW","Next: "&amp;$AC622&amp;IF($AB622&lt;=TODAY()," is due TODAY ("," is due next business day (")&amp;TEXT($AB622,"dd-mmm")&amp;").","Next: "&amp;$AC622&amp;" due "&amp;TEXT($AB622,"dd-mmm")&amp;" ("&amp;(NETWORKDAYS(TODAY(),$AB622,Holidays)-1)&amp;" business day(s) left).")))))</f>
        <v/>
      </c>
      <c r="W622" s="17">
        <f>IF($Z622="","",CHOOSE($Z622,"Collection Email","1st Follow-up","2nd Follow-up","Local Office","CBE","Roxanne")&amp;IF($Z622=6," - Final"," - Day "&amp;MAX(0,NETWORKDAYS($AA622,TODAY(),Holidays)-1)&amp;" of "&amp;CHOOSE($Z622,3,3,2,2,3))&amp;" | Total Day "&amp;MAX(0,NETWORKDAYS($N622,TODAY(),Holidays)-1))</f>
        <v/>
      </c>
      <c r="X622" s="18"/>
      <c r="Y622" s="18"/>
      <c r="Z622" s="17">
        <f>IF($N622="","",COUNT($N622:$S622))</f>
        <v/>
      </c>
      <c r="AA622" s="19">
        <f>IF($Z622="","",INT(INDEX($N622:$S622,$Z622)))</f>
        <v/>
      </c>
      <c r="AB622" s="19">
        <f>IF(OR($Z622="",$Z622=6),"",WORKDAY($AA622,CHOOSE($Z622,3,3,2,2,3),Holidays))</f>
        <v/>
      </c>
      <c r="AC622" s="17">
        <f>IF(OR($Z622="",$Z622=6),"",CHOOSE($Z622,"1st Email Follow-up","2nd Email Follow-up","Escalate Local Office","Escalate to CBE","Escalate to Roxanne"))</f>
        <v/>
      </c>
    </row>
    <row r="623" spans="13:29">
      <c r="M623" s="14"/>
      <c r="T623" s="16"/>
      <c r="U623" s="17">
        <f>IF(AND(COUNTA($A623:$L623)=0,$N623=""),"",IF($T623="Paid","PAID",IF($T623="Closed","CLOSED",IF($Z623="","",IF($Z623=6,"ESCALATED TO ROXANNE",IF(TODAY()&gt;$AB623,"OVERDUE",IF($AB623&lt;=WORKDAY(TODAY(),1,Holidays),"DUE TOMORROW",IF($Z623=4,"ESCALATED TO LOCAL OFFICE",IF($Z623=5,"ESCALATED TO CBE",IF($AA623=TODAY(),"EMAIL SENT","MONITORING"))))))))))</f>
        <v/>
      </c>
      <c r="V623" s="17">
        <f>IF($U623="",IF(AND(COUNTA($A623:$L623)&gt;0,$N623=""),"Awaiting Collection Email time stamp.",""),IF(OR($U623="PAID",$U623="CLOSED"),IF($U623="PAID","Account paid. Action completed.","Account closed. No further action required."),CHOOSE($Z623,"Collection Email","1st Email Follow-up","2nd Email Follow-up","Escalation to Local Office","Escalation to CBE","Escalation to Roxanne")&amp;" sent "&amp;TEXT($AA623,"dd-mmm")&amp;". "&amp;IF($Z623=6,"Final escalation completed.",IF($U623="OVERDUE","Next: "&amp;$AC623&amp;" was due "&amp;TEXT($AB623,"dd-mmm")&amp;" - "&amp;(NETWORKDAYS($AB623,TODAY(),Holidays)-1)&amp;" business day(s) late. Send now.",IF($U623="DUE TOMORROW","Next: "&amp;$AC623&amp;IF($AB623&lt;=TODAY()," is due TODAY ("," is due next business day (")&amp;TEXT($AB623,"dd-mmm")&amp;").","Next: "&amp;$AC623&amp;" due "&amp;TEXT($AB623,"dd-mmm")&amp;" ("&amp;(NETWORKDAYS(TODAY(),$AB623,Holidays)-1)&amp;" business day(s) left).")))))</f>
        <v/>
      </c>
      <c r="W623" s="17">
        <f>IF($Z623="","",CHOOSE($Z623,"Collection Email","1st Follow-up","2nd Follow-up","Local Office","CBE","Roxanne")&amp;IF($Z623=6," - Final"," - Day "&amp;MAX(0,NETWORKDAYS($AA623,TODAY(),Holidays)-1)&amp;" of "&amp;CHOOSE($Z623,3,3,2,2,3))&amp;" | Total Day "&amp;MAX(0,NETWORKDAYS($N623,TODAY(),Holidays)-1))</f>
        <v/>
      </c>
      <c r="X623" s="18"/>
      <c r="Y623" s="18"/>
      <c r="Z623" s="17">
        <f>IF($N623="","",COUNT($N623:$S623))</f>
        <v/>
      </c>
      <c r="AA623" s="19">
        <f>IF($Z623="","",INT(INDEX($N623:$S623,$Z623)))</f>
        <v/>
      </c>
      <c r="AB623" s="19">
        <f>IF(OR($Z623="",$Z623=6),"",WORKDAY($AA623,CHOOSE($Z623,3,3,2,2,3),Holidays))</f>
        <v/>
      </c>
      <c r="AC623" s="17">
        <f>IF(OR($Z623="",$Z623=6),"",CHOOSE($Z623,"1st Email Follow-up","2nd Email Follow-up","Escalate Local Office","Escalate to CBE","Escalate to Roxanne"))</f>
        <v/>
      </c>
    </row>
    <row r="624" spans="13:29">
      <c r="M624" s="14"/>
      <c r="T624" s="16"/>
      <c r="U624" s="17">
        <f>IF(AND(COUNTA($A624:$L624)=0,$N624=""),"",IF($T624="Paid","PAID",IF($T624="Closed","CLOSED",IF($Z624="","",IF($Z624=6,"ESCALATED TO ROXANNE",IF(TODAY()&gt;$AB624,"OVERDUE",IF($AB624&lt;=WORKDAY(TODAY(),1,Holidays),"DUE TOMORROW",IF($Z624=4,"ESCALATED TO LOCAL OFFICE",IF($Z624=5,"ESCALATED TO CBE",IF($AA624=TODAY(),"EMAIL SENT","MONITORING"))))))))))</f>
        <v/>
      </c>
      <c r="V624" s="17">
        <f>IF($U624="",IF(AND(COUNTA($A624:$L624)&gt;0,$N624=""),"Awaiting Collection Email time stamp.",""),IF(OR($U624="PAID",$U624="CLOSED"),IF($U624="PAID","Account paid. Action completed.","Account closed. No further action required."),CHOOSE($Z624,"Collection Email","1st Email Follow-up","2nd Email Follow-up","Escalation to Local Office","Escalation to CBE","Escalation to Roxanne")&amp;" sent "&amp;TEXT($AA624,"dd-mmm")&amp;". "&amp;IF($Z624=6,"Final escalation completed.",IF($U624="OVERDUE","Next: "&amp;$AC624&amp;" was due "&amp;TEXT($AB624,"dd-mmm")&amp;" - "&amp;(NETWORKDAYS($AB624,TODAY(),Holidays)-1)&amp;" business day(s) late. Send now.",IF($U624="DUE TOMORROW","Next: "&amp;$AC624&amp;IF($AB624&lt;=TODAY()," is due TODAY ("," is due next business day (")&amp;TEXT($AB624,"dd-mmm")&amp;").","Next: "&amp;$AC624&amp;" due "&amp;TEXT($AB624,"dd-mmm")&amp;" ("&amp;(NETWORKDAYS(TODAY(),$AB624,Holidays)-1)&amp;" business day(s) left).")))))</f>
        <v/>
      </c>
      <c r="W624" s="17">
        <f>IF($Z624="","",CHOOSE($Z624,"Collection Email","1st Follow-up","2nd Follow-up","Local Office","CBE","Roxanne")&amp;IF($Z624=6," - Final"," - Day "&amp;MAX(0,NETWORKDAYS($AA624,TODAY(),Holidays)-1)&amp;" of "&amp;CHOOSE($Z624,3,3,2,2,3))&amp;" | Total Day "&amp;MAX(0,NETWORKDAYS($N624,TODAY(),Holidays)-1))</f>
        <v/>
      </c>
      <c r="X624" s="18"/>
      <c r="Y624" s="18"/>
      <c r="Z624" s="17">
        <f>IF($N624="","",COUNT($N624:$S624))</f>
        <v/>
      </c>
      <c r="AA624" s="19">
        <f>IF($Z624="","",INT(INDEX($N624:$S624,$Z624)))</f>
        <v/>
      </c>
      <c r="AB624" s="19">
        <f>IF(OR($Z624="",$Z624=6),"",WORKDAY($AA624,CHOOSE($Z624,3,3,2,2,3),Holidays))</f>
        <v/>
      </c>
      <c r="AC624" s="17">
        <f>IF(OR($Z624="",$Z624=6),"",CHOOSE($Z624,"1st Email Follow-up","2nd Email Follow-up","Escalate Local Office","Escalate to CBE","Escalate to Roxanne"))</f>
        <v/>
      </c>
    </row>
    <row r="625" spans="13:29">
      <c r="M625" s="14"/>
      <c r="T625" s="16"/>
      <c r="U625" s="17">
        <f>IF(AND(COUNTA($A625:$L625)=0,$N625=""),"",IF($T625="Paid","PAID",IF($T625="Closed","CLOSED",IF($Z625="","",IF($Z625=6,"ESCALATED TO ROXANNE",IF(TODAY()&gt;$AB625,"OVERDUE",IF($AB625&lt;=WORKDAY(TODAY(),1,Holidays),"DUE TOMORROW",IF($Z625=4,"ESCALATED TO LOCAL OFFICE",IF($Z625=5,"ESCALATED TO CBE",IF($AA625=TODAY(),"EMAIL SENT","MONITORING"))))))))))</f>
        <v/>
      </c>
      <c r="V625" s="17">
        <f>IF($U625="",IF(AND(COUNTA($A625:$L625)&gt;0,$N625=""),"Awaiting Collection Email time stamp.",""),IF(OR($U625="PAID",$U625="CLOSED"),IF($U625="PAID","Account paid. Action completed.","Account closed. No further action required."),CHOOSE($Z625,"Collection Email","1st Email Follow-up","2nd Email Follow-up","Escalation to Local Office","Escalation to CBE","Escalation to Roxanne")&amp;" sent "&amp;TEXT($AA625,"dd-mmm")&amp;". "&amp;IF($Z625=6,"Final escalation completed.",IF($U625="OVERDUE","Next: "&amp;$AC625&amp;" was due "&amp;TEXT($AB625,"dd-mmm")&amp;" - "&amp;(NETWORKDAYS($AB625,TODAY(),Holidays)-1)&amp;" business day(s) late. Send now.",IF($U625="DUE TOMORROW","Next: "&amp;$AC625&amp;IF($AB625&lt;=TODAY()," is due TODAY ("," is due next business day (")&amp;TEXT($AB625,"dd-mmm")&amp;").","Next: "&amp;$AC625&amp;" due "&amp;TEXT($AB625,"dd-mmm")&amp;" ("&amp;(NETWORKDAYS(TODAY(),$AB625,Holidays)-1)&amp;" business day(s) left).")))))</f>
        <v/>
      </c>
      <c r="W625" s="17">
        <f>IF($Z625="","",CHOOSE($Z625,"Collection Email","1st Follow-up","2nd Follow-up","Local Office","CBE","Roxanne")&amp;IF($Z625=6," - Final"," - Day "&amp;MAX(0,NETWORKDAYS($AA625,TODAY(),Holidays)-1)&amp;" of "&amp;CHOOSE($Z625,3,3,2,2,3))&amp;" | Total Day "&amp;MAX(0,NETWORKDAYS($N625,TODAY(),Holidays)-1))</f>
        <v/>
      </c>
      <c r="X625" s="18"/>
      <c r="Y625" s="18"/>
      <c r="Z625" s="17">
        <f>IF($N625="","",COUNT($N625:$S625))</f>
        <v/>
      </c>
      <c r="AA625" s="19">
        <f>IF($Z625="","",INT(INDEX($N625:$S625,$Z625)))</f>
        <v/>
      </c>
      <c r="AB625" s="19">
        <f>IF(OR($Z625="",$Z625=6),"",WORKDAY($AA625,CHOOSE($Z625,3,3,2,2,3),Holidays))</f>
        <v/>
      </c>
      <c r="AC625" s="17">
        <f>IF(OR($Z625="",$Z625=6),"",CHOOSE($Z625,"1st Email Follow-up","2nd Email Follow-up","Escalate Local Office","Escalate to CBE","Escalate to Roxanne"))</f>
        <v/>
      </c>
    </row>
    <row r="626" spans="13:29">
      <c r="M626" s="14"/>
      <c r="T626" s="16"/>
      <c r="U626" s="17">
        <f>IF(AND(COUNTA($A626:$L626)=0,$N626=""),"",IF($T626="Paid","PAID",IF($T626="Closed","CLOSED",IF($Z626="","",IF($Z626=6,"ESCALATED TO ROXANNE",IF(TODAY()&gt;$AB626,"OVERDUE",IF($AB626&lt;=WORKDAY(TODAY(),1,Holidays),"DUE TOMORROW",IF($Z626=4,"ESCALATED TO LOCAL OFFICE",IF($Z626=5,"ESCALATED TO CBE",IF($AA626=TODAY(),"EMAIL SENT","MONITORING"))))))))))</f>
        <v/>
      </c>
      <c r="V626" s="17">
        <f>IF($U626="",IF(AND(COUNTA($A626:$L626)&gt;0,$N626=""),"Awaiting Collection Email time stamp.",""),IF(OR($U626="PAID",$U626="CLOSED"),IF($U626="PAID","Account paid. Action completed.","Account closed. No further action required."),CHOOSE($Z626,"Collection Email","1st Email Follow-up","2nd Email Follow-up","Escalation to Local Office","Escalation to CBE","Escalation to Roxanne")&amp;" sent "&amp;TEXT($AA626,"dd-mmm")&amp;". "&amp;IF($Z626=6,"Final escalation completed.",IF($U626="OVERDUE","Next: "&amp;$AC626&amp;" was due "&amp;TEXT($AB626,"dd-mmm")&amp;" - "&amp;(NETWORKDAYS($AB626,TODAY(),Holidays)-1)&amp;" business day(s) late. Send now.",IF($U626="DUE TOMORROW","Next: "&amp;$AC626&amp;IF($AB626&lt;=TODAY()," is due TODAY ("," is due next business day (")&amp;TEXT($AB626,"dd-mmm")&amp;").","Next: "&amp;$AC626&amp;" due "&amp;TEXT($AB626,"dd-mmm")&amp;" ("&amp;(NETWORKDAYS(TODAY(),$AB626,Holidays)-1)&amp;" business day(s) left).")))))</f>
        <v/>
      </c>
      <c r="W626" s="17">
        <f>IF($Z626="","",CHOOSE($Z626,"Collection Email","1st Follow-up","2nd Follow-up","Local Office","CBE","Roxanne")&amp;IF($Z626=6," - Final"," - Day "&amp;MAX(0,NETWORKDAYS($AA626,TODAY(),Holidays)-1)&amp;" of "&amp;CHOOSE($Z626,3,3,2,2,3))&amp;" | Total Day "&amp;MAX(0,NETWORKDAYS($N626,TODAY(),Holidays)-1))</f>
        <v/>
      </c>
      <c r="X626" s="18"/>
      <c r="Y626" s="18"/>
      <c r="Z626" s="17">
        <f>IF($N626="","",COUNT($N626:$S626))</f>
        <v/>
      </c>
      <c r="AA626" s="19">
        <f>IF($Z626="","",INT(INDEX($N626:$S626,$Z626)))</f>
        <v/>
      </c>
      <c r="AB626" s="19">
        <f>IF(OR($Z626="",$Z626=6),"",WORKDAY($AA626,CHOOSE($Z626,3,3,2,2,3),Holidays))</f>
        <v/>
      </c>
      <c r="AC626" s="17">
        <f>IF(OR($Z626="",$Z626=6),"",CHOOSE($Z626,"1st Email Follow-up","2nd Email Follow-up","Escalate Local Office","Escalate to CBE","Escalate to Roxanne"))</f>
        <v/>
      </c>
    </row>
    <row r="627" spans="13:29">
      <c r="M627" s="14"/>
      <c r="T627" s="16"/>
      <c r="U627" s="17">
        <f>IF(AND(COUNTA($A627:$L627)=0,$N627=""),"",IF($T627="Paid","PAID",IF($T627="Closed","CLOSED",IF($Z627="","",IF($Z627=6,"ESCALATED TO ROXANNE",IF(TODAY()&gt;$AB627,"OVERDUE",IF($AB627&lt;=WORKDAY(TODAY(),1,Holidays),"DUE TOMORROW",IF($Z627=4,"ESCALATED TO LOCAL OFFICE",IF($Z627=5,"ESCALATED TO CBE",IF($AA627=TODAY(),"EMAIL SENT","MONITORING"))))))))))</f>
        <v/>
      </c>
      <c r="V627" s="17">
        <f>IF($U627="",IF(AND(COUNTA($A627:$L627)&gt;0,$N627=""),"Awaiting Collection Email time stamp.",""),IF(OR($U627="PAID",$U627="CLOSED"),IF($U627="PAID","Account paid. Action completed.","Account closed. No further action required."),CHOOSE($Z627,"Collection Email","1st Email Follow-up","2nd Email Follow-up","Escalation to Local Office","Escalation to CBE","Escalation to Roxanne")&amp;" sent "&amp;TEXT($AA627,"dd-mmm")&amp;". "&amp;IF($Z627=6,"Final escalation completed.",IF($U627="OVERDUE","Next: "&amp;$AC627&amp;" was due "&amp;TEXT($AB627,"dd-mmm")&amp;" - "&amp;(NETWORKDAYS($AB627,TODAY(),Holidays)-1)&amp;" business day(s) late. Send now.",IF($U627="DUE TOMORROW","Next: "&amp;$AC627&amp;IF($AB627&lt;=TODAY()," is due TODAY ("," is due next business day (")&amp;TEXT($AB627,"dd-mmm")&amp;").","Next: "&amp;$AC627&amp;" due "&amp;TEXT($AB627,"dd-mmm")&amp;" ("&amp;(NETWORKDAYS(TODAY(),$AB627,Holidays)-1)&amp;" business day(s) left).")))))</f>
        <v/>
      </c>
      <c r="W627" s="17">
        <f>IF($Z627="","",CHOOSE($Z627,"Collection Email","1st Follow-up","2nd Follow-up","Local Office","CBE","Roxanne")&amp;IF($Z627=6," - Final"," - Day "&amp;MAX(0,NETWORKDAYS($AA627,TODAY(),Holidays)-1)&amp;" of "&amp;CHOOSE($Z627,3,3,2,2,3))&amp;" | Total Day "&amp;MAX(0,NETWORKDAYS($N627,TODAY(),Holidays)-1))</f>
        <v/>
      </c>
      <c r="X627" s="18"/>
      <c r="Y627" s="18"/>
      <c r="Z627" s="17">
        <f>IF($N627="","",COUNT($N627:$S627))</f>
        <v/>
      </c>
      <c r="AA627" s="19">
        <f>IF($Z627="","",INT(INDEX($N627:$S627,$Z627)))</f>
        <v/>
      </c>
      <c r="AB627" s="19">
        <f>IF(OR($Z627="",$Z627=6),"",WORKDAY($AA627,CHOOSE($Z627,3,3,2,2,3),Holidays))</f>
        <v/>
      </c>
      <c r="AC627" s="17">
        <f>IF(OR($Z627="",$Z627=6),"",CHOOSE($Z627,"1st Email Follow-up","2nd Email Follow-up","Escalate Local Office","Escalate to CBE","Escalate to Roxanne"))</f>
        <v/>
      </c>
    </row>
    <row r="628" spans="13:29">
      <c r="M628" s="14"/>
      <c r="T628" s="16"/>
      <c r="U628" s="17">
        <f>IF(AND(COUNTA($A628:$L628)=0,$N628=""),"",IF($T628="Paid","PAID",IF($T628="Closed","CLOSED",IF($Z628="","",IF($Z628=6,"ESCALATED TO ROXANNE",IF(TODAY()&gt;$AB628,"OVERDUE",IF($AB628&lt;=WORKDAY(TODAY(),1,Holidays),"DUE TOMORROW",IF($Z628=4,"ESCALATED TO LOCAL OFFICE",IF($Z628=5,"ESCALATED TO CBE",IF($AA628=TODAY(),"EMAIL SENT","MONITORING"))))))))))</f>
        <v/>
      </c>
      <c r="V628" s="17">
        <f>IF($U628="",IF(AND(COUNTA($A628:$L628)&gt;0,$N628=""),"Awaiting Collection Email time stamp.",""),IF(OR($U628="PAID",$U628="CLOSED"),IF($U628="PAID","Account paid. Action completed.","Account closed. No further action required."),CHOOSE($Z628,"Collection Email","1st Email Follow-up","2nd Email Follow-up","Escalation to Local Office","Escalation to CBE","Escalation to Roxanne")&amp;" sent "&amp;TEXT($AA628,"dd-mmm")&amp;". "&amp;IF($Z628=6,"Final escalation completed.",IF($U628="OVERDUE","Next: "&amp;$AC628&amp;" was due "&amp;TEXT($AB628,"dd-mmm")&amp;" - "&amp;(NETWORKDAYS($AB628,TODAY(),Holidays)-1)&amp;" business day(s) late. Send now.",IF($U628="DUE TOMORROW","Next: "&amp;$AC628&amp;IF($AB628&lt;=TODAY()," is due TODAY ("," is due next business day (")&amp;TEXT($AB628,"dd-mmm")&amp;").","Next: "&amp;$AC628&amp;" due "&amp;TEXT($AB628,"dd-mmm")&amp;" ("&amp;(NETWORKDAYS(TODAY(),$AB628,Holidays)-1)&amp;" business day(s) left).")))))</f>
        <v/>
      </c>
      <c r="W628" s="17">
        <f>IF($Z628="","",CHOOSE($Z628,"Collection Email","1st Follow-up","2nd Follow-up","Local Office","CBE","Roxanne")&amp;IF($Z628=6," - Final"," - Day "&amp;MAX(0,NETWORKDAYS($AA628,TODAY(),Holidays)-1)&amp;" of "&amp;CHOOSE($Z628,3,3,2,2,3))&amp;" | Total Day "&amp;MAX(0,NETWORKDAYS($N628,TODAY(),Holidays)-1))</f>
        <v/>
      </c>
      <c r="X628" s="18"/>
      <c r="Y628" s="18"/>
      <c r="Z628" s="17">
        <f>IF($N628="","",COUNT($N628:$S628))</f>
        <v/>
      </c>
      <c r="AA628" s="19">
        <f>IF($Z628="","",INT(INDEX($N628:$S628,$Z628)))</f>
        <v/>
      </c>
      <c r="AB628" s="19">
        <f>IF(OR($Z628="",$Z628=6),"",WORKDAY($AA628,CHOOSE($Z628,3,3,2,2,3),Holidays))</f>
        <v/>
      </c>
      <c r="AC628" s="17">
        <f>IF(OR($Z628="",$Z628=6),"",CHOOSE($Z628,"1st Email Follow-up","2nd Email Follow-up","Escalate Local Office","Escalate to CBE","Escalate to Roxanne"))</f>
        <v/>
      </c>
    </row>
    <row r="629" spans="13:29">
      <c r="M629" s="14"/>
      <c r="T629" s="16"/>
      <c r="U629" s="17">
        <f>IF(AND(COUNTA($A629:$L629)=0,$N629=""),"",IF($T629="Paid","PAID",IF($T629="Closed","CLOSED",IF($Z629="","",IF($Z629=6,"ESCALATED TO ROXANNE",IF(TODAY()&gt;$AB629,"OVERDUE",IF($AB629&lt;=WORKDAY(TODAY(),1,Holidays),"DUE TOMORROW",IF($Z629=4,"ESCALATED TO LOCAL OFFICE",IF($Z629=5,"ESCALATED TO CBE",IF($AA629=TODAY(),"EMAIL SENT","MONITORING"))))))))))</f>
        <v/>
      </c>
      <c r="V629" s="17">
        <f>IF($U629="",IF(AND(COUNTA($A629:$L629)&gt;0,$N629=""),"Awaiting Collection Email time stamp.",""),IF(OR($U629="PAID",$U629="CLOSED"),IF($U629="PAID","Account paid. Action completed.","Account closed. No further action required."),CHOOSE($Z629,"Collection Email","1st Email Follow-up","2nd Email Follow-up","Escalation to Local Office","Escalation to CBE","Escalation to Roxanne")&amp;" sent "&amp;TEXT($AA629,"dd-mmm")&amp;". "&amp;IF($Z629=6,"Final escalation completed.",IF($U629="OVERDUE","Next: "&amp;$AC629&amp;" was due "&amp;TEXT($AB629,"dd-mmm")&amp;" - "&amp;(NETWORKDAYS($AB629,TODAY(),Holidays)-1)&amp;" business day(s) late. Send now.",IF($U629="DUE TOMORROW","Next: "&amp;$AC629&amp;IF($AB629&lt;=TODAY()," is due TODAY ("," is due next business day (")&amp;TEXT($AB629,"dd-mmm")&amp;").","Next: "&amp;$AC629&amp;" due "&amp;TEXT($AB629,"dd-mmm")&amp;" ("&amp;(NETWORKDAYS(TODAY(),$AB629,Holidays)-1)&amp;" business day(s) left).")))))</f>
        <v/>
      </c>
      <c r="W629" s="17">
        <f>IF($Z629="","",CHOOSE($Z629,"Collection Email","1st Follow-up","2nd Follow-up","Local Office","CBE","Roxanne")&amp;IF($Z629=6," - Final"," - Day "&amp;MAX(0,NETWORKDAYS($AA629,TODAY(),Holidays)-1)&amp;" of "&amp;CHOOSE($Z629,3,3,2,2,3))&amp;" | Total Day "&amp;MAX(0,NETWORKDAYS($N629,TODAY(),Holidays)-1))</f>
        <v/>
      </c>
      <c r="X629" s="18"/>
      <c r="Y629" s="18"/>
      <c r="Z629" s="17">
        <f>IF($N629="","",COUNT($N629:$S629))</f>
        <v/>
      </c>
      <c r="AA629" s="19">
        <f>IF($Z629="","",INT(INDEX($N629:$S629,$Z629)))</f>
        <v/>
      </c>
      <c r="AB629" s="19">
        <f>IF(OR($Z629="",$Z629=6),"",WORKDAY($AA629,CHOOSE($Z629,3,3,2,2,3),Holidays))</f>
        <v/>
      </c>
      <c r="AC629" s="17">
        <f>IF(OR($Z629="",$Z629=6),"",CHOOSE($Z629,"1st Email Follow-up","2nd Email Follow-up","Escalate Local Office","Escalate to CBE","Escalate to Roxanne"))</f>
        <v/>
      </c>
    </row>
    <row r="630" spans="13:29">
      <c r="M630" s="14"/>
      <c r="T630" s="16"/>
      <c r="U630" s="17">
        <f>IF(AND(COUNTA($A630:$L630)=0,$N630=""),"",IF($T630="Paid","PAID",IF($T630="Closed","CLOSED",IF($Z630="","",IF($Z630=6,"ESCALATED TO ROXANNE",IF(TODAY()&gt;$AB630,"OVERDUE",IF($AB630&lt;=WORKDAY(TODAY(),1,Holidays),"DUE TOMORROW",IF($Z630=4,"ESCALATED TO LOCAL OFFICE",IF($Z630=5,"ESCALATED TO CBE",IF($AA630=TODAY(),"EMAIL SENT","MONITORING"))))))))))</f>
        <v/>
      </c>
      <c r="V630" s="17">
        <f>IF($U630="",IF(AND(COUNTA($A630:$L630)&gt;0,$N630=""),"Awaiting Collection Email time stamp.",""),IF(OR($U630="PAID",$U630="CLOSED"),IF($U630="PAID","Account paid. Action completed.","Account closed. No further action required."),CHOOSE($Z630,"Collection Email","1st Email Follow-up","2nd Email Follow-up","Escalation to Local Office","Escalation to CBE","Escalation to Roxanne")&amp;" sent "&amp;TEXT($AA630,"dd-mmm")&amp;". "&amp;IF($Z630=6,"Final escalation completed.",IF($U630="OVERDUE","Next: "&amp;$AC630&amp;" was due "&amp;TEXT($AB630,"dd-mmm")&amp;" - "&amp;(NETWORKDAYS($AB630,TODAY(),Holidays)-1)&amp;" business day(s) late. Send now.",IF($U630="DUE TOMORROW","Next: "&amp;$AC630&amp;IF($AB630&lt;=TODAY()," is due TODAY ("," is due next business day (")&amp;TEXT($AB630,"dd-mmm")&amp;").","Next: "&amp;$AC630&amp;" due "&amp;TEXT($AB630,"dd-mmm")&amp;" ("&amp;(NETWORKDAYS(TODAY(),$AB630,Holidays)-1)&amp;" business day(s) left).")))))</f>
        <v/>
      </c>
      <c r="W630" s="17">
        <f>IF($Z630="","",CHOOSE($Z630,"Collection Email","1st Follow-up","2nd Follow-up","Local Office","CBE","Roxanne")&amp;IF($Z630=6," - Final"," - Day "&amp;MAX(0,NETWORKDAYS($AA630,TODAY(),Holidays)-1)&amp;" of "&amp;CHOOSE($Z630,3,3,2,2,3))&amp;" | Total Day "&amp;MAX(0,NETWORKDAYS($N630,TODAY(),Holidays)-1))</f>
        <v/>
      </c>
      <c r="X630" s="18"/>
      <c r="Y630" s="18"/>
      <c r="Z630" s="17">
        <f>IF($N630="","",COUNT($N630:$S630))</f>
        <v/>
      </c>
      <c r="AA630" s="19">
        <f>IF($Z630="","",INT(INDEX($N630:$S630,$Z630)))</f>
        <v/>
      </c>
      <c r="AB630" s="19">
        <f>IF(OR($Z630="",$Z630=6),"",WORKDAY($AA630,CHOOSE($Z630,3,3,2,2,3),Holidays))</f>
        <v/>
      </c>
      <c r="AC630" s="17">
        <f>IF(OR($Z630="",$Z630=6),"",CHOOSE($Z630,"1st Email Follow-up","2nd Email Follow-up","Escalate Local Office","Escalate to CBE","Escalate to Roxanne"))</f>
        <v/>
      </c>
    </row>
    <row r="631" spans="13:29">
      <c r="M631" s="14"/>
      <c r="T631" s="16"/>
      <c r="U631" s="17">
        <f>IF(AND(COUNTA($A631:$L631)=0,$N631=""),"",IF($T631="Paid","PAID",IF($T631="Closed","CLOSED",IF($Z631="","",IF($Z631=6,"ESCALATED TO ROXANNE",IF(TODAY()&gt;$AB631,"OVERDUE",IF($AB631&lt;=WORKDAY(TODAY(),1,Holidays),"DUE TOMORROW",IF($Z631=4,"ESCALATED TO LOCAL OFFICE",IF($Z631=5,"ESCALATED TO CBE",IF($AA631=TODAY(),"EMAIL SENT","MONITORING"))))))))))</f>
        <v/>
      </c>
      <c r="V631" s="17">
        <f>IF($U631="",IF(AND(COUNTA($A631:$L631)&gt;0,$N631=""),"Awaiting Collection Email time stamp.",""),IF(OR($U631="PAID",$U631="CLOSED"),IF($U631="PAID","Account paid. Action completed.","Account closed. No further action required."),CHOOSE($Z631,"Collection Email","1st Email Follow-up","2nd Email Follow-up","Escalation to Local Office","Escalation to CBE","Escalation to Roxanne")&amp;" sent "&amp;TEXT($AA631,"dd-mmm")&amp;". "&amp;IF($Z631=6,"Final escalation completed.",IF($U631="OVERDUE","Next: "&amp;$AC631&amp;" was due "&amp;TEXT($AB631,"dd-mmm")&amp;" - "&amp;(NETWORKDAYS($AB631,TODAY(),Holidays)-1)&amp;" business day(s) late. Send now.",IF($U631="DUE TOMORROW","Next: "&amp;$AC631&amp;IF($AB631&lt;=TODAY()," is due TODAY ("," is due next business day (")&amp;TEXT($AB631,"dd-mmm")&amp;").","Next: "&amp;$AC631&amp;" due "&amp;TEXT($AB631,"dd-mmm")&amp;" ("&amp;(NETWORKDAYS(TODAY(),$AB631,Holidays)-1)&amp;" business day(s) left).")))))</f>
        <v/>
      </c>
      <c r="W631" s="17">
        <f>IF($Z631="","",CHOOSE($Z631,"Collection Email","1st Follow-up","2nd Follow-up","Local Office","CBE","Roxanne")&amp;IF($Z631=6," - Final"," - Day "&amp;MAX(0,NETWORKDAYS($AA631,TODAY(),Holidays)-1)&amp;" of "&amp;CHOOSE($Z631,3,3,2,2,3))&amp;" | Total Day "&amp;MAX(0,NETWORKDAYS($N631,TODAY(),Holidays)-1))</f>
        <v/>
      </c>
      <c r="X631" s="18"/>
      <c r="Y631" s="18"/>
      <c r="Z631" s="17">
        <f>IF($N631="","",COUNT($N631:$S631))</f>
        <v/>
      </c>
      <c r="AA631" s="19">
        <f>IF($Z631="","",INT(INDEX($N631:$S631,$Z631)))</f>
        <v/>
      </c>
      <c r="AB631" s="19">
        <f>IF(OR($Z631="",$Z631=6),"",WORKDAY($AA631,CHOOSE($Z631,3,3,2,2,3),Holidays))</f>
        <v/>
      </c>
      <c r="AC631" s="17">
        <f>IF(OR($Z631="",$Z631=6),"",CHOOSE($Z631,"1st Email Follow-up","2nd Email Follow-up","Escalate Local Office","Escalate to CBE","Escalate to Roxanne"))</f>
        <v/>
      </c>
    </row>
    <row r="632" spans="13:29">
      <c r="M632" s="14"/>
      <c r="T632" s="16"/>
      <c r="U632" s="17">
        <f>IF(AND(COUNTA($A632:$L632)=0,$N632=""),"",IF($T632="Paid","PAID",IF($T632="Closed","CLOSED",IF($Z632="","",IF($Z632=6,"ESCALATED TO ROXANNE",IF(TODAY()&gt;$AB632,"OVERDUE",IF($AB632&lt;=WORKDAY(TODAY(),1,Holidays),"DUE TOMORROW",IF($Z632=4,"ESCALATED TO LOCAL OFFICE",IF($Z632=5,"ESCALATED TO CBE",IF($AA632=TODAY(),"EMAIL SENT","MONITORING"))))))))))</f>
        <v/>
      </c>
      <c r="V632" s="17">
        <f>IF($U632="",IF(AND(COUNTA($A632:$L632)&gt;0,$N632=""),"Awaiting Collection Email time stamp.",""),IF(OR($U632="PAID",$U632="CLOSED"),IF($U632="PAID","Account paid. Action completed.","Account closed. No further action required."),CHOOSE($Z632,"Collection Email","1st Email Follow-up","2nd Email Follow-up","Escalation to Local Office","Escalation to CBE","Escalation to Roxanne")&amp;" sent "&amp;TEXT($AA632,"dd-mmm")&amp;". "&amp;IF($Z632=6,"Final escalation completed.",IF($U632="OVERDUE","Next: "&amp;$AC632&amp;" was due "&amp;TEXT($AB632,"dd-mmm")&amp;" - "&amp;(NETWORKDAYS($AB632,TODAY(),Holidays)-1)&amp;" business day(s) late. Send now.",IF($U632="DUE TOMORROW","Next: "&amp;$AC632&amp;IF($AB632&lt;=TODAY()," is due TODAY ("," is due next business day (")&amp;TEXT($AB632,"dd-mmm")&amp;").","Next: "&amp;$AC632&amp;" due "&amp;TEXT($AB632,"dd-mmm")&amp;" ("&amp;(NETWORKDAYS(TODAY(),$AB632,Holidays)-1)&amp;" business day(s) left).")))))</f>
        <v/>
      </c>
      <c r="W632" s="17">
        <f>IF($Z632="","",CHOOSE($Z632,"Collection Email","1st Follow-up","2nd Follow-up","Local Office","CBE","Roxanne")&amp;IF($Z632=6," - Final"," - Day "&amp;MAX(0,NETWORKDAYS($AA632,TODAY(),Holidays)-1)&amp;" of "&amp;CHOOSE($Z632,3,3,2,2,3))&amp;" | Total Day "&amp;MAX(0,NETWORKDAYS($N632,TODAY(),Holidays)-1))</f>
        <v/>
      </c>
      <c r="X632" s="18"/>
      <c r="Y632" s="18"/>
      <c r="Z632" s="17">
        <f>IF($N632="","",COUNT($N632:$S632))</f>
        <v/>
      </c>
      <c r="AA632" s="19">
        <f>IF($Z632="","",INT(INDEX($N632:$S632,$Z632)))</f>
        <v/>
      </c>
      <c r="AB632" s="19">
        <f>IF(OR($Z632="",$Z632=6),"",WORKDAY($AA632,CHOOSE($Z632,3,3,2,2,3),Holidays))</f>
        <v/>
      </c>
      <c r="AC632" s="17">
        <f>IF(OR($Z632="",$Z632=6),"",CHOOSE($Z632,"1st Email Follow-up","2nd Email Follow-up","Escalate Local Office","Escalate to CBE","Escalate to Roxanne"))</f>
        <v/>
      </c>
    </row>
    <row r="633" spans="13:29">
      <c r="M633" s="14"/>
      <c r="T633" s="16"/>
      <c r="U633" s="17">
        <f>IF(AND(COUNTA($A633:$L633)=0,$N633=""),"",IF($T633="Paid","PAID",IF($T633="Closed","CLOSED",IF($Z633="","",IF($Z633=6,"ESCALATED TO ROXANNE",IF(TODAY()&gt;$AB633,"OVERDUE",IF($AB633&lt;=WORKDAY(TODAY(),1,Holidays),"DUE TOMORROW",IF($Z633=4,"ESCALATED TO LOCAL OFFICE",IF($Z633=5,"ESCALATED TO CBE",IF($AA633=TODAY(),"EMAIL SENT","MONITORING"))))))))))</f>
        <v/>
      </c>
      <c r="V633" s="17">
        <f>IF($U633="",IF(AND(COUNTA($A633:$L633)&gt;0,$N633=""),"Awaiting Collection Email time stamp.",""),IF(OR($U633="PAID",$U633="CLOSED"),IF($U633="PAID","Account paid. Action completed.","Account closed. No further action required."),CHOOSE($Z633,"Collection Email","1st Email Follow-up","2nd Email Follow-up","Escalation to Local Office","Escalation to CBE","Escalation to Roxanne")&amp;" sent "&amp;TEXT($AA633,"dd-mmm")&amp;". "&amp;IF($Z633=6,"Final escalation completed.",IF($U633="OVERDUE","Next: "&amp;$AC633&amp;" was due "&amp;TEXT($AB633,"dd-mmm")&amp;" - "&amp;(NETWORKDAYS($AB633,TODAY(),Holidays)-1)&amp;" business day(s) late. Send now.",IF($U633="DUE TOMORROW","Next: "&amp;$AC633&amp;IF($AB633&lt;=TODAY()," is due TODAY ("," is due next business day (")&amp;TEXT($AB633,"dd-mmm")&amp;").","Next: "&amp;$AC633&amp;" due "&amp;TEXT($AB633,"dd-mmm")&amp;" ("&amp;(NETWORKDAYS(TODAY(),$AB633,Holidays)-1)&amp;" business day(s) left).")))))</f>
        <v/>
      </c>
      <c r="W633" s="17">
        <f>IF($Z633="","",CHOOSE($Z633,"Collection Email","1st Follow-up","2nd Follow-up","Local Office","CBE","Roxanne")&amp;IF($Z633=6," - Final"," - Day "&amp;MAX(0,NETWORKDAYS($AA633,TODAY(),Holidays)-1)&amp;" of "&amp;CHOOSE($Z633,3,3,2,2,3))&amp;" | Total Day "&amp;MAX(0,NETWORKDAYS($N633,TODAY(),Holidays)-1))</f>
        <v/>
      </c>
      <c r="X633" s="18"/>
      <c r="Y633" s="18"/>
      <c r="Z633" s="17">
        <f>IF($N633="","",COUNT($N633:$S633))</f>
        <v/>
      </c>
      <c r="AA633" s="19">
        <f>IF($Z633="","",INT(INDEX($N633:$S633,$Z633)))</f>
        <v/>
      </c>
      <c r="AB633" s="19">
        <f>IF(OR($Z633="",$Z633=6),"",WORKDAY($AA633,CHOOSE($Z633,3,3,2,2,3),Holidays))</f>
        <v/>
      </c>
      <c r="AC633" s="17">
        <f>IF(OR($Z633="",$Z633=6),"",CHOOSE($Z633,"1st Email Follow-up","2nd Email Follow-up","Escalate Local Office","Escalate to CBE","Escalate to Roxanne"))</f>
        <v/>
      </c>
    </row>
    <row r="634" spans="13:29">
      <c r="M634" s="14"/>
      <c r="T634" s="16"/>
      <c r="U634" s="17">
        <f>IF(AND(COUNTA($A634:$L634)=0,$N634=""),"",IF($T634="Paid","PAID",IF($T634="Closed","CLOSED",IF($Z634="","",IF($Z634=6,"ESCALATED TO ROXANNE",IF(TODAY()&gt;$AB634,"OVERDUE",IF($AB634&lt;=WORKDAY(TODAY(),1,Holidays),"DUE TOMORROW",IF($Z634=4,"ESCALATED TO LOCAL OFFICE",IF($Z634=5,"ESCALATED TO CBE",IF($AA634=TODAY(),"EMAIL SENT","MONITORING"))))))))))</f>
        <v/>
      </c>
      <c r="V634" s="17">
        <f>IF($U634="",IF(AND(COUNTA($A634:$L634)&gt;0,$N634=""),"Awaiting Collection Email time stamp.",""),IF(OR($U634="PAID",$U634="CLOSED"),IF($U634="PAID","Account paid. Action completed.","Account closed. No further action required."),CHOOSE($Z634,"Collection Email","1st Email Follow-up","2nd Email Follow-up","Escalation to Local Office","Escalation to CBE","Escalation to Roxanne")&amp;" sent "&amp;TEXT($AA634,"dd-mmm")&amp;". "&amp;IF($Z634=6,"Final escalation completed.",IF($U634="OVERDUE","Next: "&amp;$AC634&amp;" was due "&amp;TEXT($AB634,"dd-mmm")&amp;" - "&amp;(NETWORKDAYS($AB634,TODAY(),Holidays)-1)&amp;" business day(s) late. Send now.",IF($U634="DUE TOMORROW","Next: "&amp;$AC634&amp;IF($AB634&lt;=TODAY()," is due TODAY ("," is due next business day (")&amp;TEXT($AB634,"dd-mmm")&amp;").","Next: "&amp;$AC634&amp;" due "&amp;TEXT($AB634,"dd-mmm")&amp;" ("&amp;(NETWORKDAYS(TODAY(),$AB634,Holidays)-1)&amp;" business day(s) left).")))))</f>
        <v/>
      </c>
      <c r="W634" s="17">
        <f>IF($Z634="","",CHOOSE($Z634,"Collection Email","1st Follow-up","2nd Follow-up","Local Office","CBE","Roxanne")&amp;IF($Z634=6," - Final"," - Day "&amp;MAX(0,NETWORKDAYS($AA634,TODAY(),Holidays)-1)&amp;" of "&amp;CHOOSE($Z634,3,3,2,2,3))&amp;" | Total Day "&amp;MAX(0,NETWORKDAYS($N634,TODAY(),Holidays)-1))</f>
        <v/>
      </c>
      <c r="X634" s="18"/>
      <c r="Y634" s="18"/>
      <c r="Z634" s="17">
        <f>IF($N634="","",COUNT($N634:$S634))</f>
        <v/>
      </c>
      <c r="AA634" s="19">
        <f>IF($Z634="","",INT(INDEX($N634:$S634,$Z634)))</f>
        <v/>
      </c>
      <c r="AB634" s="19">
        <f>IF(OR($Z634="",$Z634=6),"",WORKDAY($AA634,CHOOSE($Z634,3,3,2,2,3),Holidays))</f>
        <v/>
      </c>
      <c r="AC634" s="17">
        <f>IF(OR($Z634="",$Z634=6),"",CHOOSE($Z634,"1st Email Follow-up","2nd Email Follow-up","Escalate Local Office","Escalate to CBE","Escalate to Roxanne"))</f>
        <v/>
      </c>
    </row>
    <row r="635" spans="13:29">
      <c r="M635" s="14"/>
      <c r="T635" s="16"/>
      <c r="U635" s="17">
        <f>IF(AND(COUNTA($A635:$L635)=0,$N635=""),"",IF($T635="Paid","PAID",IF($T635="Closed","CLOSED",IF($Z635="","",IF($Z635=6,"ESCALATED TO ROXANNE",IF(TODAY()&gt;$AB635,"OVERDUE",IF($AB635&lt;=WORKDAY(TODAY(),1,Holidays),"DUE TOMORROW",IF($Z635=4,"ESCALATED TO LOCAL OFFICE",IF($Z635=5,"ESCALATED TO CBE",IF($AA635=TODAY(),"EMAIL SENT","MONITORING"))))))))))</f>
        <v/>
      </c>
      <c r="V635" s="17">
        <f>IF($U635="",IF(AND(COUNTA($A635:$L635)&gt;0,$N635=""),"Awaiting Collection Email time stamp.",""),IF(OR($U635="PAID",$U635="CLOSED"),IF($U635="PAID","Account paid. Action completed.","Account closed. No further action required."),CHOOSE($Z635,"Collection Email","1st Email Follow-up","2nd Email Follow-up","Escalation to Local Office","Escalation to CBE","Escalation to Roxanne")&amp;" sent "&amp;TEXT($AA635,"dd-mmm")&amp;". "&amp;IF($Z635=6,"Final escalation completed.",IF($U635="OVERDUE","Next: "&amp;$AC635&amp;" was due "&amp;TEXT($AB635,"dd-mmm")&amp;" - "&amp;(NETWORKDAYS($AB635,TODAY(),Holidays)-1)&amp;" business day(s) late. Send now.",IF($U635="DUE TOMORROW","Next: "&amp;$AC635&amp;IF($AB635&lt;=TODAY()," is due TODAY ("," is due next business day (")&amp;TEXT($AB635,"dd-mmm")&amp;").","Next: "&amp;$AC635&amp;" due "&amp;TEXT($AB635,"dd-mmm")&amp;" ("&amp;(NETWORKDAYS(TODAY(),$AB635,Holidays)-1)&amp;" business day(s) left).")))))</f>
        <v/>
      </c>
      <c r="W635" s="17">
        <f>IF($Z635="","",CHOOSE($Z635,"Collection Email","1st Follow-up","2nd Follow-up","Local Office","CBE","Roxanne")&amp;IF($Z635=6," - Final"," - Day "&amp;MAX(0,NETWORKDAYS($AA635,TODAY(),Holidays)-1)&amp;" of "&amp;CHOOSE($Z635,3,3,2,2,3))&amp;" | Total Day "&amp;MAX(0,NETWORKDAYS($N635,TODAY(),Holidays)-1))</f>
        <v/>
      </c>
      <c r="X635" s="18"/>
      <c r="Y635" s="18"/>
      <c r="Z635" s="17">
        <f>IF($N635="","",COUNT($N635:$S635))</f>
        <v/>
      </c>
      <c r="AA635" s="19">
        <f>IF($Z635="","",INT(INDEX($N635:$S635,$Z635)))</f>
        <v/>
      </c>
      <c r="AB635" s="19">
        <f>IF(OR($Z635="",$Z635=6),"",WORKDAY($AA635,CHOOSE($Z635,3,3,2,2,3),Holidays))</f>
        <v/>
      </c>
      <c r="AC635" s="17">
        <f>IF(OR($Z635="",$Z635=6),"",CHOOSE($Z635,"1st Email Follow-up","2nd Email Follow-up","Escalate Local Office","Escalate to CBE","Escalate to Roxanne"))</f>
        <v/>
      </c>
    </row>
    <row r="636" spans="13:29">
      <c r="M636" s="14"/>
      <c r="T636" s="16"/>
      <c r="U636" s="17">
        <f>IF(AND(COUNTA($A636:$L636)=0,$N636=""),"",IF($T636="Paid","PAID",IF($T636="Closed","CLOSED",IF($Z636="","",IF($Z636=6,"ESCALATED TO ROXANNE",IF(TODAY()&gt;$AB636,"OVERDUE",IF($AB636&lt;=WORKDAY(TODAY(),1,Holidays),"DUE TOMORROW",IF($Z636=4,"ESCALATED TO LOCAL OFFICE",IF($Z636=5,"ESCALATED TO CBE",IF($AA636=TODAY(),"EMAIL SENT","MONITORING"))))))))))</f>
        <v/>
      </c>
      <c r="V636" s="17">
        <f>IF($U636="",IF(AND(COUNTA($A636:$L636)&gt;0,$N636=""),"Awaiting Collection Email time stamp.",""),IF(OR($U636="PAID",$U636="CLOSED"),IF($U636="PAID","Account paid. Action completed.","Account closed. No further action required."),CHOOSE($Z636,"Collection Email","1st Email Follow-up","2nd Email Follow-up","Escalation to Local Office","Escalation to CBE","Escalation to Roxanne")&amp;" sent "&amp;TEXT($AA636,"dd-mmm")&amp;". "&amp;IF($Z636=6,"Final escalation completed.",IF($U636="OVERDUE","Next: "&amp;$AC636&amp;" was due "&amp;TEXT($AB636,"dd-mmm")&amp;" - "&amp;(NETWORKDAYS($AB636,TODAY(),Holidays)-1)&amp;" business day(s) late. Send now.",IF($U636="DUE TOMORROW","Next: "&amp;$AC636&amp;IF($AB636&lt;=TODAY()," is due TODAY ("," is due next business day (")&amp;TEXT($AB636,"dd-mmm")&amp;").","Next: "&amp;$AC636&amp;" due "&amp;TEXT($AB636,"dd-mmm")&amp;" ("&amp;(NETWORKDAYS(TODAY(),$AB636,Holidays)-1)&amp;" business day(s) left).")))))</f>
        <v/>
      </c>
      <c r="W636" s="17">
        <f>IF($Z636="","",CHOOSE($Z636,"Collection Email","1st Follow-up","2nd Follow-up","Local Office","CBE","Roxanne")&amp;IF($Z636=6," - Final"," - Day "&amp;MAX(0,NETWORKDAYS($AA636,TODAY(),Holidays)-1)&amp;" of "&amp;CHOOSE($Z636,3,3,2,2,3))&amp;" | Total Day "&amp;MAX(0,NETWORKDAYS($N636,TODAY(),Holidays)-1))</f>
        <v/>
      </c>
      <c r="X636" s="18"/>
      <c r="Y636" s="18"/>
      <c r="Z636" s="17">
        <f>IF($N636="","",COUNT($N636:$S636))</f>
        <v/>
      </c>
      <c r="AA636" s="19">
        <f>IF($Z636="","",INT(INDEX($N636:$S636,$Z636)))</f>
        <v/>
      </c>
      <c r="AB636" s="19">
        <f>IF(OR($Z636="",$Z636=6),"",WORKDAY($AA636,CHOOSE($Z636,3,3,2,2,3),Holidays))</f>
        <v/>
      </c>
      <c r="AC636" s="17">
        <f>IF(OR($Z636="",$Z636=6),"",CHOOSE($Z636,"1st Email Follow-up","2nd Email Follow-up","Escalate Local Office","Escalate to CBE","Escalate to Roxanne"))</f>
        <v/>
      </c>
    </row>
    <row r="637" spans="13:29">
      <c r="M637" s="14"/>
      <c r="T637" s="16"/>
      <c r="U637" s="17">
        <f>IF(AND(COUNTA($A637:$L637)=0,$N637=""),"",IF($T637="Paid","PAID",IF($T637="Closed","CLOSED",IF($Z637="","",IF($Z637=6,"ESCALATED TO ROXANNE",IF(TODAY()&gt;$AB637,"OVERDUE",IF($AB637&lt;=WORKDAY(TODAY(),1,Holidays),"DUE TOMORROW",IF($Z637=4,"ESCALATED TO LOCAL OFFICE",IF($Z637=5,"ESCALATED TO CBE",IF($AA637=TODAY(),"EMAIL SENT","MONITORING"))))))))))</f>
        <v/>
      </c>
      <c r="V637" s="17">
        <f>IF($U637="",IF(AND(COUNTA($A637:$L637)&gt;0,$N637=""),"Awaiting Collection Email time stamp.",""),IF(OR($U637="PAID",$U637="CLOSED"),IF($U637="PAID","Account paid. Action completed.","Account closed. No further action required."),CHOOSE($Z637,"Collection Email","1st Email Follow-up","2nd Email Follow-up","Escalation to Local Office","Escalation to CBE","Escalation to Roxanne")&amp;" sent "&amp;TEXT($AA637,"dd-mmm")&amp;". "&amp;IF($Z637=6,"Final escalation completed.",IF($U637="OVERDUE","Next: "&amp;$AC637&amp;" was due "&amp;TEXT($AB637,"dd-mmm")&amp;" - "&amp;(NETWORKDAYS($AB637,TODAY(),Holidays)-1)&amp;" business day(s) late. Send now.",IF($U637="DUE TOMORROW","Next: "&amp;$AC637&amp;IF($AB637&lt;=TODAY()," is due TODAY ("," is due next business day (")&amp;TEXT($AB637,"dd-mmm")&amp;").","Next: "&amp;$AC637&amp;" due "&amp;TEXT($AB637,"dd-mmm")&amp;" ("&amp;(NETWORKDAYS(TODAY(),$AB637,Holidays)-1)&amp;" business day(s) left).")))))</f>
        <v/>
      </c>
      <c r="W637" s="17">
        <f>IF($Z637="","",CHOOSE($Z637,"Collection Email","1st Follow-up","2nd Follow-up","Local Office","CBE","Roxanne")&amp;IF($Z637=6," - Final"," - Day "&amp;MAX(0,NETWORKDAYS($AA637,TODAY(),Holidays)-1)&amp;" of "&amp;CHOOSE($Z637,3,3,2,2,3))&amp;" | Total Day "&amp;MAX(0,NETWORKDAYS($N637,TODAY(),Holidays)-1))</f>
        <v/>
      </c>
      <c r="X637" s="18"/>
      <c r="Y637" s="18"/>
      <c r="Z637" s="17">
        <f>IF($N637="","",COUNT($N637:$S637))</f>
        <v/>
      </c>
      <c r="AA637" s="19">
        <f>IF($Z637="","",INT(INDEX($N637:$S637,$Z637)))</f>
        <v/>
      </c>
      <c r="AB637" s="19">
        <f>IF(OR($Z637="",$Z637=6),"",WORKDAY($AA637,CHOOSE($Z637,3,3,2,2,3),Holidays))</f>
        <v/>
      </c>
      <c r="AC637" s="17">
        <f>IF(OR($Z637="",$Z637=6),"",CHOOSE($Z637,"1st Email Follow-up","2nd Email Follow-up","Escalate Local Office","Escalate to CBE","Escalate to Roxanne"))</f>
        <v/>
      </c>
    </row>
    <row r="638" spans="13:29">
      <c r="M638" s="14"/>
      <c r="T638" s="16"/>
      <c r="U638" s="17">
        <f>IF(AND(COUNTA($A638:$L638)=0,$N638=""),"",IF($T638="Paid","PAID",IF($T638="Closed","CLOSED",IF($Z638="","",IF($Z638=6,"ESCALATED TO ROXANNE",IF(TODAY()&gt;$AB638,"OVERDUE",IF($AB638&lt;=WORKDAY(TODAY(),1,Holidays),"DUE TOMORROW",IF($Z638=4,"ESCALATED TO LOCAL OFFICE",IF($Z638=5,"ESCALATED TO CBE",IF($AA638=TODAY(),"EMAIL SENT","MONITORING"))))))))))</f>
        <v/>
      </c>
      <c r="V638" s="17">
        <f>IF($U638="",IF(AND(COUNTA($A638:$L638)&gt;0,$N638=""),"Awaiting Collection Email time stamp.",""),IF(OR($U638="PAID",$U638="CLOSED"),IF($U638="PAID","Account paid. Action completed.","Account closed. No further action required."),CHOOSE($Z638,"Collection Email","1st Email Follow-up","2nd Email Follow-up","Escalation to Local Office","Escalation to CBE","Escalation to Roxanne")&amp;" sent "&amp;TEXT($AA638,"dd-mmm")&amp;". "&amp;IF($Z638=6,"Final escalation completed.",IF($U638="OVERDUE","Next: "&amp;$AC638&amp;" was due "&amp;TEXT($AB638,"dd-mmm")&amp;" - "&amp;(NETWORKDAYS($AB638,TODAY(),Holidays)-1)&amp;" business day(s) late. Send now.",IF($U638="DUE TOMORROW","Next: "&amp;$AC638&amp;IF($AB638&lt;=TODAY()," is due TODAY ("," is due next business day (")&amp;TEXT($AB638,"dd-mmm")&amp;").","Next: "&amp;$AC638&amp;" due "&amp;TEXT($AB638,"dd-mmm")&amp;" ("&amp;(NETWORKDAYS(TODAY(),$AB638,Holidays)-1)&amp;" business day(s) left).")))))</f>
        <v/>
      </c>
      <c r="W638" s="17">
        <f>IF($Z638="","",CHOOSE($Z638,"Collection Email","1st Follow-up","2nd Follow-up","Local Office","CBE","Roxanne")&amp;IF($Z638=6," - Final"," - Day "&amp;MAX(0,NETWORKDAYS($AA638,TODAY(),Holidays)-1)&amp;" of "&amp;CHOOSE($Z638,3,3,2,2,3))&amp;" | Total Day "&amp;MAX(0,NETWORKDAYS($N638,TODAY(),Holidays)-1))</f>
        <v/>
      </c>
      <c r="X638" s="18"/>
      <c r="Y638" s="18"/>
      <c r="Z638" s="17">
        <f>IF($N638="","",COUNT($N638:$S638))</f>
        <v/>
      </c>
      <c r="AA638" s="19">
        <f>IF($Z638="","",INT(INDEX($N638:$S638,$Z638)))</f>
        <v/>
      </c>
      <c r="AB638" s="19">
        <f>IF(OR($Z638="",$Z638=6),"",WORKDAY($AA638,CHOOSE($Z638,3,3,2,2,3),Holidays))</f>
        <v/>
      </c>
      <c r="AC638" s="17">
        <f>IF(OR($Z638="",$Z638=6),"",CHOOSE($Z638,"1st Email Follow-up","2nd Email Follow-up","Escalate Local Office","Escalate to CBE","Escalate to Roxanne"))</f>
        <v/>
      </c>
    </row>
    <row r="639" spans="13:29">
      <c r="M639" s="14"/>
      <c r="T639" s="16"/>
      <c r="U639" s="17">
        <f>IF(AND(COUNTA($A639:$L639)=0,$N639=""),"",IF($T639="Paid","PAID",IF($T639="Closed","CLOSED",IF($Z639="","",IF($Z639=6,"ESCALATED TO ROXANNE",IF(TODAY()&gt;$AB639,"OVERDUE",IF($AB639&lt;=WORKDAY(TODAY(),1,Holidays),"DUE TOMORROW",IF($Z639=4,"ESCALATED TO LOCAL OFFICE",IF($Z639=5,"ESCALATED TO CBE",IF($AA639=TODAY(),"EMAIL SENT","MONITORING"))))))))))</f>
        <v/>
      </c>
      <c r="V639" s="17">
        <f>IF($U639="",IF(AND(COUNTA($A639:$L639)&gt;0,$N639=""),"Awaiting Collection Email time stamp.",""),IF(OR($U639="PAID",$U639="CLOSED"),IF($U639="PAID","Account paid. Action completed.","Account closed. No further action required."),CHOOSE($Z639,"Collection Email","1st Email Follow-up","2nd Email Follow-up","Escalation to Local Office","Escalation to CBE","Escalation to Roxanne")&amp;" sent "&amp;TEXT($AA639,"dd-mmm")&amp;". "&amp;IF($Z639=6,"Final escalation completed.",IF($U639="OVERDUE","Next: "&amp;$AC639&amp;" was due "&amp;TEXT($AB639,"dd-mmm")&amp;" - "&amp;(NETWORKDAYS($AB639,TODAY(),Holidays)-1)&amp;" business day(s) late. Send now.",IF($U639="DUE TOMORROW","Next: "&amp;$AC639&amp;IF($AB639&lt;=TODAY()," is due TODAY ("," is due next business day (")&amp;TEXT($AB639,"dd-mmm")&amp;").","Next: "&amp;$AC639&amp;" due "&amp;TEXT($AB639,"dd-mmm")&amp;" ("&amp;(NETWORKDAYS(TODAY(),$AB639,Holidays)-1)&amp;" business day(s) left).")))))</f>
        <v/>
      </c>
      <c r="W639" s="17">
        <f>IF($Z639="","",CHOOSE($Z639,"Collection Email","1st Follow-up","2nd Follow-up","Local Office","CBE","Roxanne")&amp;IF($Z639=6," - Final"," - Day "&amp;MAX(0,NETWORKDAYS($AA639,TODAY(),Holidays)-1)&amp;" of "&amp;CHOOSE($Z639,3,3,2,2,3))&amp;" | Total Day "&amp;MAX(0,NETWORKDAYS($N639,TODAY(),Holidays)-1))</f>
        <v/>
      </c>
      <c r="X639" s="18"/>
      <c r="Y639" s="18"/>
      <c r="Z639" s="17">
        <f>IF($N639="","",COUNT($N639:$S639))</f>
        <v/>
      </c>
      <c r="AA639" s="19">
        <f>IF($Z639="","",INT(INDEX($N639:$S639,$Z639)))</f>
        <v/>
      </c>
      <c r="AB639" s="19">
        <f>IF(OR($Z639="",$Z639=6),"",WORKDAY($AA639,CHOOSE($Z639,3,3,2,2,3),Holidays))</f>
        <v/>
      </c>
      <c r="AC639" s="17">
        <f>IF(OR($Z639="",$Z639=6),"",CHOOSE($Z639,"1st Email Follow-up","2nd Email Follow-up","Escalate Local Office","Escalate to CBE","Escalate to Roxanne"))</f>
        <v/>
      </c>
    </row>
    <row r="640" spans="13:29">
      <c r="M640" s="14"/>
      <c r="T640" s="16"/>
      <c r="U640" s="17">
        <f>IF(AND(COUNTA($A640:$L640)=0,$N640=""),"",IF($T640="Paid","PAID",IF($T640="Closed","CLOSED",IF($Z640="","",IF($Z640=6,"ESCALATED TO ROXANNE",IF(TODAY()&gt;$AB640,"OVERDUE",IF($AB640&lt;=WORKDAY(TODAY(),1,Holidays),"DUE TOMORROW",IF($Z640=4,"ESCALATED TO LOCAL OFFICE",IF($Z640=5,"ESCALATED TO CBE",IF($AA640=TODAY(),"EMAIL SENT","MONITORING"))))))))))</f>
        <v/>
      </c>
      <c r="V640" s="17">
        <f>IF($U640="",IF(AND(COUNTA($A640:$L640)&gt;0,$N640=""),"Awaiting Collection Email time stamp.",""),IF(OR($U640="PAID",$U640="CLOSED"),IF($U640="PAID","Account paid. Action completed.","Account closed. No further action required."),CHOOSE($Z640,"Collection Email","1st Email Follow-up","2nd Email Follow-up","Escalation to Local Office","Escalation to CBE","Escalation to Roxanne")&amp;" sent "&amp;TEXT($AA640,"dd-mmm")&amp;". "&amp;IF($Z640=6,"Final escalation completed.",IF($U640="OVERDUE","Next: "&amp;$AC640&amp;" was due "&amp;TEXT($AB640,"dd-mmm")&amp;" - "&amp;(NETWORKDAYS($AB640,TODAY(),Holidays)-1)&amp;" business day(s) late. Send now.",IF($U640="DUE TOMORROW","Next: "&amp;$AC640&amp;IF($AB640&lt;=TODAY()," is due TODAY ("," is due next business day (")&amp;TEXT($AB640,"dd-mmm")&amp;").","Next: "&amp;$AC640&amp;" due "&amp;TEXT($AB640,"dd-mmm")&amp;" ("&amp;(NETWORKDAYS(TODAY(),$AB640,Holidays)-1)&amp;" business day(s) left).")))))</f>
        <v/>
      </c>
      <c r="W640" s="17">
        <f>IF($Z640="","",CHOOSE($Z640,"Collection Email","1st Follow-up","2nd Follow-up","Local Office","CBE","Roxanne")&amp;IF($Z640=6," - Final"," - Day "&amp;MAX(0,NETWORKDAYS($AA640,TODAY(),Holidays)-1)&amp;" of "&amp;CHOOSE($Z640,3,3,2,2,3))&amp;" | Total Day "&amp;MAX(0,NETWORKDAYS($N640,TODAY(),Holidays)-1))</f>
        <v/>
      </c>
      <c r="X640" s="18"/>
      <c r="Y640" s="18"/>
      <c r="Z640" s="17">
        <f>IF($N640="","",COUNT($N640:$S640))</f>
        <v/>
      </c>
      <c r="AA640" s="19">
        <f>IF($Z640="","",INT(INDEX($N640:$S640,$Z640)))</f>
        <v/>
      </c>
      <c r="AB640" s="19">
        <f>IF(OR($Z640="",$Z640=6),"",WORKDAY($AA640,CHOOSE($Z640,3,3,2,2,3),Holidays))</f>
        <v/>
      </c>
      <c r="AC640" s="17">
        <f>IF(OR($Z640="",$Z640=6),"",CHOOSE($Z640,"1st Email Follow-up","2nd Email Follow-up","Escalate Local Office","Escalate to CBE","Escalate to Roxanne"))</f>
        <v/>
      </c>
    </row>
    <row r="641" spans="13:29">
      <c r="M641" s="14"/>
      <c r="T641" s="16"/>
      <c r="U641" s="17">
        <f>IF(AND(COUNTA($A641:$L641)=0,$N641=""),"",IF($T641="Paid","PAID",IF($T641="Closed","CLOSED",IF($Z641="","",IF($Z641=6,"ESCALATED TO ROXANNE",IF(TODAY()&gt;$AB641,"OVERDUE",IF($AB641&lt;=WORKDAY(TODAY(),1,Holidays),"DUE TOMORROW",IF($Z641=4,"ESCALATED TO LOCAL OFFICE",IF($Z641=5,"ESCALATED TO CBE",IF($AA641=TODAY(),"EMAIL SENT","MONITORING"))))))))))</f>
        <v/>
      </c>
      <c r="V641" s="17">
        <f>IF($U641="",IF(AND(COUNTA($A641:$L641)&gt;0,$N641=""),"Awaiting Collection Email time stamp.",""),IF(OR($U641="PAID",$U641="CLOSED"),IF($U641="PAID","Account paid. Action completed.","Account closed. No further action required."),CHOOSE($Z641,"Collection Email","1st Email Follow-up","2nd Email Follow-up","Escalation to Local Office","Escalation to CBE","Escalation to Roxanne")&amp;" sent "&amp;TEXT($AA641,"dd-mmm")&amp;". "&amp;IF($Z641=6,"Final escalation completed.",IF($U641="OVERDUE","Next: "&amp;$AC641&amp;" was due "&amp;TEXT($AB641,"dd-mmm")&amp;" - "&amp;(NETWORKDAYS($AB641,TODAY(),Holidays)-1)&amp;" business day(s) late. Send now.",IF($U641="DUE TOMORROW","Next: "&amp;$AC641&amp;IF($AB641&lt;=TODAY()," is due TODAY ("," is due next business day (")&amp;TEXT($AB641,"dd-mmm")&amp;").","Next: "&amp;$AC641&amp;" due "&amp;TEXT($AB641,"dd-mmm")&amp;" ("&amp;(NETWORKDAYS(TODAY(),$AB641,Holidays)-1)&amp;" business day(s) left).")))))</f>
        <v/>
      </c>
      <c r="W641" s="17">
        <f>IF($Z641="","",CHOOSE($Z641,"Collection Email","1st Follow-up","2nd Follow-up","Local Office","CBE","Roxanne")&amp;IF($Z641=6," - Final"," - Day "&amp;MAX(0,NETWORKDAYS($AA641,TODAY(),Holidays)-1)&amp;" of "&amp;CHOOSE($Z641,3,3,2,2,3))&amp;" | Total Day "&amp;MAX(0,NETWORKDAYS($N641,TODAY(),Holidays)-1))</f>
        <v/>
      </c>
      <c r="X641" s="18"/>
      <c r="Y641" s="18"/>
      <c r="Z641" s="17">
        <f>IF($N641="","",COUNT($N641:$S641))</f>
        <v/>
      </c>
      <c r="AA641" s="19">
        <f>IF($Z641="","",INT(INDEX($N641:$S641,$Z641)))</f>
        <v/>
      </c>
      <c r="AB641" s="19">
        <f>IF(OR($Z641="",$Z641=6),"",WORKDAY($AA641,CHOOSE($Z641,3,3,2,2,3),Holidays))</f>
        <v/>
      </c>
      <c r="AC641" s="17">
        <f>IF(OR($Z641="",$Z641=6),"",CHOOSE($Z641,"1st Email Follow-up","2nd Email Follow-up","Escalate Local Office","Escalate to CBE","Escalate to Roxanne"))</f>
        <v/>
      </c>
    </row>
    <row r="642" spans="13:29">
      <c r="M642" s="14"/>
      <c r="T642" s="16"/>
      <c r="U642" s="17">
        <f>IF(AND(COUNTA($A642:$L642)=0,$N642=""),"",IF($T642="Paid","PAID",IF($T642="Closed","CLOSED",IF($Z642="","",IF($Z642=6,"ESCALATED TO ROXANNE",IF(TODAY()&gt;$AB642,"OVERDUE",IF($AB642&lt;=WORKDAY(TODAY(),1,Holidays),"DUE TOMORROW",IF($Z642=4,"ESCALATED TO LOCAL OFFICE",IF($Z642=5,"ESCALATED TO CBE",IF($AA642=TODAY(),"EMAIL SENT","MONITORING"))))))))))</f>
        <v/>
      </c>
      <c r="V642" s="17">
        <f>IF($U642="",IF(AND(COUNTA($A642:$L642)&gt;0,$N642=""),"Awaiting Collection Email time stamp.",""),IF(OR($U642="PAID",$U642="CLOSED"),IF($U642="PAID","Account paid. Action completed.","Account closed. No further action required."),CHOOSE($Z642,"Collection Email","1st Email Follow-up","2nd Email Follow-up","Escalation to Local Office","Escalation to CBE","Escalation to Roxanne")&amp;" sent "&amp;TEXT($AA642,"dd-mmm")&amp;". "&amp;IF($Z642=6,"Final escalation completed.",IF($U642="OVERDUE","Next: "&amp;$AC642&amp;" was due "&amp;TEXT($AB642,"dd-mmm")&amp;" - "&amp;(NETWORKDAYS($AB642,TODAY(),Holidays)-1)&amp;" business day(s) late. Send now.",IF($U642="DUE TOMORROW","Next: "&amp;$AC642&amp;IF($AB642&lt;=TODAY()," is due TODAY ("," is due next business day (")&amp;TEXT($AB642,"dd-mmm")&amp;").","Next: "&amp;$AC642&amp;" due "&amp;TEXT($AB642,"dd-mmm")&amp;" ("&amp;(NETWORKDAYS(TODAY(),$AB642,Holidays)-1)&amp;" business day(s) left).")))))</f>
        <v/>
      </c>
      <c r="W642" s="17">
        <f>IF($Z642="","",CHOOSE($Z642,"Collection Email","1st Follow-up","2nd Follow-up","Local Office","CBE","Roxanne")&amp;IF($Z642=6," - Final"," - Day "&amp;MAX(0,NETWORKDAYS($AA642,TODAY(),Holidays)-1)&amp;" of "&amp;CHOOSE($Z642,3,3,2,2,3))&amp;" | Total Day "&amp;MAX(0,NETWORKDAYS($N642,TODAY(),Holidays)-1))</f>
        <v/>
      </c>
      <c r="X642" s="18"/>
      <c r="Y642" s="18"/>
      <c r="Z642" s="17">
        <f>IF($N642="","",COUNT($N642:$S642))</f>
        <v/>
      </c>
      <c r="AA642" s="19">
        <f>IF($Z642="","",INT(INDEX($N642:$S642,$Z642)))</f>
        <v/>
      </c>
      <c r="AB642" s="19">
        <f>IF(OR($Z642="",$Z642=6),"",WORKDAY($AA642,CHOOSE($Z642,3,3,2,2,3),Holidays))</f>
        <v/>
      </c>
      <c r="AC642" s="17">
        <f>IF(OR($Z642="",$Z642=6),"",CHOOSE($Z642,"1st Email Follow-up","2nd Email Follow-up","Escalate Local Office","Escalate to CBE","Escalate to Roxanne"))</f>
        <v/>
      </c>
    </row>
    <row r="643" spans="13:29">
      <c r="M643" s="14"/>
      <c r="T643" s="16"/>
      <c r="U643" s="17">
        <f>IF(AND(COUNTA($A643:$L643)=0,$N643=""),"",IF($T643="Paid","PAID",IF($T643="Closed","CLOSED",IF($Z643="","",IF($Z643=6,"ESCALATED TO ROXANNE",IF(TODAY()&gt;$AB643,"OVERDUE",IF($AB643&lt;=WORKDAY(TODAY(),1,Holidays),"DUE TOMORROW",IF($Z643=4,"ESCALATED TO LOCAL OFFICE",IF($Z643=5,"ESCALATED TO CBE",IF($AA643=TODAY(),"EMAIL SENT","MONITORING"))))))))))</f>
        <v/>
      </c>
      <c r="V643" s="17">
        <f>IF($U643="",IF(AND(COUNTA($A643:$L643)&gt;0,$N643=""),"Awaiting Collection Email time stamp.",""),IF(OR($U643="PAID",$U643="CLOSED"),IF($U643="PAID","Account paid. Action completed.","Account closed. No further action required."),CHOOSE($Z643,"Collection Email","1st Email Follow-up","2nd Email Follow-up","Escalation to Local Office","Escalation to CBE","Escalation to Roxanne")&amp;" sent "&amp;TEXT($AA643,"dd-mmm")&amp;". "&amp;IF($Z643=6,"Final escalation completed.",IF($U643="OVERDUE","Next: "&amp;$AC643&amp;" was due "&amp;TEXT($AB643,"dd-mmm")&amp;" - "&amp;(NETWORKDAYS($AB643,TODAY(),Holidays)-1)&amp;" business day(s) late. Send now.",IF($U643="DUE TOMORROW","Next: "&amp;$AC643&amp;IF($AB643&lt;=TODAY()," is due TODAY ("," is due next business day (")&amp;TEXT($AB643,"dd-mmm")&amp;").","Next: "&amp;$AC643&amp;" due "&amp;TEXT($AB643,"dd-mmm")&amp;" ("&amp;(NETWORKDAYS(TODAY(),$AB643,Holidays)-1)&amp;" business day(s) left).")))))</f>
        <v/>
      </c>
      <c r="W643" s="17">
        <f>IF($Z643="","",CHOOSE($Z643,"Collection Email","1st Follow-up","2nd Follow-up","Local Office","CBE","Roxanne")&amp;IF($Z643=6," - Final"," - Day "&amp;MAX(0,NETWORKDAYS($AA643,TODAY(),Holidays)-1)&amp;" of "&amp;CHOOSE($Z643,3,3,2,2,3))&amp;" | Total Day "&amp;MAX(0,NETWORKDAYS($N643,TODAY(),Holidays)-1))</f>
        <v/>
      </c>
      <c r="X643" s="18"/>
      <c r="Y643" s="18"/>
      <c r="Z643" s="17">
        <f>IF($N643="","",COUNT($N643:$S643))</f>
        <v/>
      </c>
      <c r="AA643" s="19">
        <f>IF($Z643="","",INT(INDEX($N643:$S643,$Z643)))</f>
        <v/>
      </c>
      <c r="AB643" s="19">
        <f>IF(OR($Z643="",$Z643=6),"",WORKDAY($AA643,CHOOSE($Z643,3,3,2,2,3),Holidays))</f>
        <v/>
      </c>
      <c r="AC643" s="17">
        <f>IF(OR($Z643="",$Z643=6),"",CHOOSE($Z643,"1st Email Follow-up","2nd Email Follow-up","Escalate Local Office","Escalate to CBE","Escalate to Roxanne"))</f>
        <v/>
      </c>
    </row>
    <row r="644" spans="13:29">
      <c r="M644" s="14"/>
      <c r="T644" s="16"/>
      <c r="U644" s="17">
        <f>IF(AND(COUNTA($A644:$L644)=0,$N644=""),"",IF($T644="Paid","PAID",IF($T644="Closed","CLOSED",IF($Z644="","",IF($Z644=6,"ESCALATED TO ROXANNE",IF(TODAY()&gt;$AB644,"OVERDUE",IF($AB644&lt;=WORKDAY(TODAY(),1,Holidays),"DUE TOMORROW",IF($Z644=4,"ESCALATED TO LOCAL OFFICE",IF($Z644=5,"ESCALATED TO CBE",IF($AA644=TODAY(),"EMAIL SENT","MONITORING"))))))))))</f>
        <v/>
      </c>
      <c r="V644" s="17">
        <f>IF($U644="",IF(AND(COUNTA($A644:$L644)&gt;0,$N644=""),"Awaiting Collection Email time stamp.",""),IF(OR($U644="PAID",$U644="CLOSED"),IF($U644="PAID","Account paid. Action completed.","Account closed. No further action required."),CHOOSE($Z644,"Collection Email","1st Email Follow-up","2nd Email Follow-up","Escalation to Local Office","Escalation to CBE","Escalation to Roxanne")&amp;" sent "&amp;TEXT($AA644,"dd-mmm")&amp;". "&amp;IF($Z644=6,"Final escalation completed.",IF($U644="OVERDUE","Next: "&amp;$AC644&amp;" was due "&amp;TEXT($AB644,"dd-mmm")&amp;" - "&amp;(NETWORKDAYS($AB644,TODAY(),Holidays)-1)&amp;" business day(s) late. Send now.",IF($U644="DUE TOMORROW","Next: "&amp;$AC644&amp;IF($AB644&lt;=TODAY()," is due TODAY ("," is due next business day (")&amp;TEXT($AB644,"dd-mmm")&amp;").","Next: "&amp;$AC644&amp;" due "&amp;TEXT($AB644,"dd-mmm")&amp;" ("&amp;(NETWORKDAYS(TODAY(),$AB644,Holidays)-1)&amp;" business day(s) left).")))))</f>
        <v/>
      </c>
      <c r="W644" s="17">
        <f>IF($Z644="","",CHOOSE($Z644,"Collection Email","1st Follow-up","2nd Follow-up","Local Office","CBE","Roxanne")&amp;IF($Z644=6," - Final"," - Day "&amp;MAX(0,NETWORKDAYS($AA644,TODAY(),Holidays)-1)&amp;" of "&amp;CHOOSE($Z644,3,3,2,2,3))&amp;" | Total Day "&amp;MAX(0,NETWORKDAYS($N644,TODAY(),Holidays)-1))</f>
        <v/>
      </c>
      <c r="X644" s="18"/>
      <c r="Y644" s="18"/>
      <c r="Z644" s="17">
        <f>IF($N644="","",COUNT($N644:$S644))</f>
        <v/>
      </c>
      <c r="AA644" s="19">
        <f>IF($Z644="","",INT(INDEX($N644:$S644,$Z644)))</f>
        <v/>
      </c>
      <c r="AB644" s="19">
        <f>IF(OR($Z644="",$Z644=6),"",WORKDAY($AA644,CHOOSE($Z644,3,3,2,2,3),Holidays))</f>
        <v/>
      </c>
      <c r="AC644" s="17">
        <f>IF(OR($Z644="",$Z644=6),"",CHOOSE($Z644,"1st Email Follow-up","2nd Email Follow-up","Escalate Local Office","Escalate to CBE","Escalate to Roxanne"))</f>
        <v/>
      </c>
    </row>
    <row r="645" spans="13:29">
      <c r="M645" s="14"/>
      <c r="T645" s="16"/>
      <c r="U645" s="17">
        <f>IF(AND(COUNTA($A645:$L645)=0,$N645=""),"",IF($T645="Paid","PAID",IF($T645="Closed","CLOSED",IF($Z645="","",IF($Z645=6,"ESCALATED TO ROXANNE",IF(TODAY()&gt;$AB645,"OVERDUE",IF($AB645&lt;=WORKDAY(TODAY(),1,Holidays),"DUE TOMORROW",IF($Z645=4,"ESCALATED TO LOCAL OFFICE",IF($Z645=5,"ESCALATED TO CBE",IF($AA645=TODAY(),"EMAIL SENT","MONITORING"))))))))))</f>
        <v/>
      </c>
      <c r="V645" s="17">
        <f>IF($U645="",IF(AND(COUNTA($A645:$L645)&gt;0,$N645=""),"Awaiting Collection Email time stamp.",""),IF(OR($U645="PAID",$U645="CLOSED"),IF($U645="PAID","Account paid. Action completed.","Account closed. No further action required."),CHOOSE($Z645,"Collection Email","1st Email Follow-up","2nd Email Follow-up","Escalation to Local Office","Escalation to CBE","Escalation to Roxanne")&amp;" sent "&amp;TEXT($AA645,"dd-mmm")&amp;". "&amp;IF($Z645=6,"Final escalation completed.",IF($U645="OVERDUE","Next: "&amp;$AC645&amp;" was due "&amp;TEXT($AB645,"dd-mmm")&amp;" - "&amp;(NETWORKDAYS($AB645,TODAY(),Holidays)-1)&amp;" business day(s) late. Send now.",IF($U645="DUE TOMORROW","Next: "&amp;$AC645&amp;IF($AB645&lt;=TODAY()," is due TODAY ("," is due next business day (")&amp;TEXT($AB645,"dd-mmm")&amp;").","Next: "&amp;$AC645&amp;" due "&amp;TEXT($AB645,"dd-mmm")&amp;" ("&amp;(NETWORKDAYS(TODAY(),$AB645,Holidays)-1)&amp;" business day(s) left).")))))</f>
        <v/>
      </c>
      <c r="W645" s="17">
        <f>IF($Z645="","",CHOOSE($Z645,"Collection Email","1st Follow-up","2nd Follow-up","Local Office","CBE","Roxanne")&amp;IF($Z645=6," - Final"," - Day "&amp;MAX(0,NETWORKDAYS($AA645,TODAY(),Holidays)-1)&amp;" of "&amp;CHOOSE($Z645,3,3,2,2,3))&amp;" | Total Day "&amp;MAX(0,NETWORKDAYS($N645,TODAY(),Holidays)-1))</f>
        <v/>
      </c>
      <c r="X645" s="18"/>
      <c r="Y645" s="18"/>
      <c r="Z645" s="17">
        <f>IF($N645="","",COUNT($N645:$S645))</f>
        <v/>
      </c>
      <c r="AA645" s="19">
        <f>IF($Z645="","",INT(INDEX($N645:$S645,$Z645)))</f>
        <v/>
      </c>
      <c r="AB645" s="19">
        <f>IF(OR($Z645="",$Z645=6),"",WORKDAY($AA645,CHOOSE($Z645,3,3,2,2,3),Holidays))</f>
        <v/>
      </c>
      <c r="AC645" s="17">
        <f>IF(OR($Z645="",$Z645=6),"",CHOOSE($Z645,"1st Email Follow-up","2nd Email Follow-up","Escalate Local Office","Escalate to CBE","Escalate to Roxanne"))</f>
        <v/>
      </c>
    </row>
    <row r="646" spans="13:29">
      <c r="M646" s="14"/>
      <c r="T646" s="16"/>
      <c r="U646" s="17">
        <f>IF(AND(COUNTA($A646:$L646)=0,$N646=""),"",IF($T646="Paid","PAID",IF($T646="Closed","CLOSED",IF($Z646="","",IF($Z646=6,"ESCALATED TO ROXANNE",IF(TODAY()&gt;$AB646,"OVERDUE",IF($AB646&lt;=WORKDAY(TODAY(),1,Holidays),"DUE TOMORROW",IF($Z646=4,"ESCALATED TO LOCAL OFFICE",IF($Z646=5,"ESCALATED TO CBE",IF($AA646=TODAY(),"EMAIL SENT","MONITORING"))))))))))</f>
        <v/>
      </c>
      <c r="V646" s="17">
        <f>IF($U646="",IF(AND(COUNTA($A646:$L646)&gt;0,$N646=""),"Awaiting Collection Email time stamp.",""),IF(OR($U646="PAID",$U646="CLOSED"),IF($U646="PAID","Account paid. Action completed.","Account closed. No further action required."),CHOOSE($Z646,"Collection Email","1st Email Follow-up","2nd Email Follow-up","Escalation to Local Office","Escalation to CBE","Escalation to Roxanne")&amp;" sent "&amp;TEXT($AA646,"dd-mmm")&amp;". "&amp;IF($Z646=6,"Final escalation completed.",IF($U646="OVERDUE","Next: "&amp;$AC646&amp;" was due "&amp;TEXT($AB646,"dd-mmm")&amp;" - "&amp;(NETWORKDAYS($AB646,TODAY(),Holidays)-1)&amp;" business day(s) late. Send now.",IF($U646="DUE TOMORROW","Next: "&amp;$AC646&amp;IF($AB646&lt;=TODAY()," is due TODAY ("," is due next business day (")&amp;TEXT($AB646,"dd-mmm")&amp;").","Next: "&amp;$AC646&amp;" due "&amp;TEXT($AB646,"dd-mmm")&amp;" ("&amp;(NETWORKDAYS(TODAY(),$AB646,Holidays)-1)&amp;" business day(s) left).")))))</f>
        <v/>
      </c>
      <c r="W646" s="17">
        <f>IF($Z646="","",CHOOSE($Z646,"Collection Email","1st Follow-up","2nd Follow-up","Local Office","CBE","Roxanne")&amp;IF($Z646=6," - Final"," - Day "&amp;MAX(0,NETWORKDAYS($AA646,TODAY(),Holidays)-1)&amp;" of "&amp;CHOOSE($Z646,3,3,2,2,3))&amp;" | Total Day "&amp;MAX(0,NETWORKDAYS($N646,TODAY(),Holidays)-1))</f>
        <v/>
      </c>
      <c r="X646" s="18"/>
      <c r="Y646" s="18"/>
      <c r="Z646" s="17">
        <f>IF($N646="","",COUNT($N646:$S646))</f>
        <v/>
      </c>
      <c r="AA646" s="19">
        <f>IF($Z646="","",INT(INDEX($N646:$S646,$Z646)))</f>
        <v/>
      </c>
      <c r="AB646" s="19">
        <f>IF(OR($Z646="",$Z646=6),"",WORKDAY($AA646,CHOOSE($Z646,3,3,2,2,3),Holidays))</f>
        <v/>
      </c>
      <c r="AC646" s="17">
        <f>IF(OR($Z646="",$Z646=6),"",CHOOSE($Z646,"1st Email Follow-up","2nd Email Follow-up","Escalate Local Office","Escalate to CBE","Escalate to Roxanne"))</f>
        <v/>
      </c>
    </row>
    <row r="647" spans="13:29">
      <c r="M647" s="14"/>
      <c r="T647" s="16"/>
      <c r="U647" s="17">
        <f>IF(AND(COUNTA($A647:$L647)=0,$N647=""),"",IF($T647="Paid","PAID",IF($T647="Closed","CLOSED",IF($Z647="","",IF($Z647=6,"ESCALATED TO ROXANNE",IF(TODAY()&gt;$AB647,"OVERDUE",IF($AB647&lt;=WORKDAY(TODAY(),1,Holidays),"DUE TOMORROW",IF($Z647=4,"ESCALATED TO LOCAL OFFICE",IF($Z647=5,"ESCALATED TO CBE",IF($AA647=TODAY(),"EMAIL SENT","MONITORING"))))))))))</f>
        <v/>
      </c>
      <c r="V647" s="17">
        <f>IF($U647="",IF(AND(COUNTA($A647:$L647)&gt;0,$N647=""),"Awaiting Collection Email time stamp.",""),IF(OR($U647="PAID",$U647="CLOSED"),IF($U647="PAID","Account paid. Action completed.","Account closed. No further action required."),CHOOSE($Z647,"Collection Email","1st Email Follow-up","2nd Email Follow-up","Escalation to Local Office","Escalation to CBE","Escalation to Roxanne")&amp;" sent "&amp;TEXT($AA647,"dd-mmm")&amp;". "&amp;IF($Z647=6,"Final escalation completed.",IF($U647="OVERDUE","Next: "&amp;$AC647&amp;" was due "&amp;TEXT($AB647,"dd-mmm")&amp;" - "&amp;(NETWORKDAYS($AB647,TODAY(),Holidays)-1)&amp;" business day(s) late. Send now.",IF($U647="DUE TOMORROW","Next: "&amp;$AC647&amp;IF($AB647&lt;=TODAY()," is due TODAY ("," is due next business day (")&amp;TEXT($AB647,"dd-mmm")&amp;").","Next: "&amp;$AC647&amp;" due "&amp;TEXT($AB647,"dd-mmm")&amp;" ("&amp;(NETWORKDAYS(TODAY(),$AB647,Holidays)-1)&amp;" business day(s) left).")))))</f>
        <v/>
      </c>
      <c r="W647" s="17">
        <f>IF($Z647="","",CHOOSE($Z647,"Collection Email","1st Follow-up","2nd Follow-up","Local Office","CBE","Roxanne")&amp;IF($Z647=6," - Final"," - Day "&amp;MAX(0,NETWORKDAYS($AA647,TODAY(),Holidays)-1)&amp;" of "&amp;CHOOSE($Z647,3,3,2,2,3))&amp;" | Total Day "&amp;MAX(0,NETWORKDAYS($N647,TODAY(),Holidays)-1))</f>
        <v/>
      </c>
      <c r="X647" s="18"/>
      <c r="Y647" s="18"/>
      <c r="Z647" s="17">
        <f>IF($N647="","",COUNT($N647:$S647))</f>
        <v/>
      </c>
      <c r="AA647" s="19">
        <f>IF($Z647="","",INT(INDEX($N647:$S647,$Z647)))</f>
        <v/>
      </c>
      <c r="AB647" s="19">
        <f>IF(OR($Z647="",$Z647=6),"",WORKDAY($AA647,CHOOSE($Z647,3,3,2,2,3),Holidays))</f>
        <v/>
      </c>
      <c r="AC647" s="17">
        <f>IF(OR($Z647="",$Z647=6),"",CHOOSE($Z647,"1st Email Follow-up","2nd Email Follow-up","Escalate Local Office","Escalate to CBE","Escalate to Roxanne"))</f>
        <v/>
      </c>
    </row>
    <row r="648" spans="13:29">
      <c r="M648" s="14"/>
      <c r="T648" s="16"/>
      <c r="U648" s="17">
        <f>IF(AND(COUNTA($A648:$L648)=0,$N648=""),"",IF($T648="Paid","PAID",IF($T648="Closed","CLOSED",IF($Z648="","",IF($Z648=6,"ESCALATED TO ROXANNE",IF(TODAY()&gt;$AB648,"OVERDUE",IF($AB648&lt;=WORKDAY(TODAY(),1,Holidays),"DUE TOMORROW",IF($Z648=4,"ESCALATED TO LOCAL OFFICE",IF($Z648=5,"ESCALATED TO CBE",IF($AA648=TODAY(),"EMAIL SENT","MONITORING"))))))))))</f>
        <v/>
      </c>
      <c r="V648" s="17">
        <f>IF($U648="",IF(AND(COUNTA($A648:$L648)&gt;0,$N648=""),"Awaiting Collection Email time stamp.",""),IF(OR($U648="PAID",$U648="CLOSED"),IF($U648="PAID","Account paid. Action completed.","Account closed. No further action required."),CHOOSE($Z648,"Collection Email","1st Email Follow-up","2nd Email Follow-up","Escalation to Local Office","Escalation to CBE","Escalation to Roxanne")&amp;" sent "&amp;TEXT($AA648,"dd-mmm")&amp;". "&amp;IF($Z648=6,"Final escalation completed.",IF($U648="OVERDUE","Next: "&amp;$AC648&amp;" was due "&amp;TEXT($AB648,"dd-mmm")&amp;" - "&amp;(NETWORKDAYS($AB648,TODAY(),Holidays)-1)&amp;" business day(s) late. Send now.",IF($U648="DUE TOMORROW","Next: "&amp;$AC648&amp;IF($AB648&lt;=TODAY()," is due TODAY ("," is due next business day (")&amp;TEXT($AB648,"dd-mmm")&amp;").","Next: "&amp;$AC648&amp;" due "&amp;TEXT($AB648,"dd-mmm")&amp;" ("&amp;(NETWORKDAYS(TODAY(),$AB648,Holidays)-1)&amp;" business day(s) left).")))))</f>
        <v/>
      </c>
      <c r="W648" s="17">
        <f>IF($Z648="","",CHOOSE($Z648,"Collection Email","1st Follow-up","2nd Follow-up","Local Office","CBE","Roxanne")&amp;IF($Z648=6," - Final"," - Day "&amp;MAX(0,NETWORKDAYS($AA648,TODAY(),Holidays)-1)&amp;" of "&amp;CHOOSE($Z648,3,3,2,2,3))&amp;" | Total Day "&amp;MAX(0,NETWORKDAYS($N648,TODAY(),Holidays)-1))</f>
        <v/>
      </c>
      <c r="X648" s="18"/>
      <c r="Y648" s="18"/>
      <c r="Z648" s="17">
        <f>IF($N648="","",COUNT($N648:$S648))</f>
        <v/>
      </c>
      <c r="AA648" s="19">
        <f>IF($Z648="","",INT(INDEX($N648:$S648,$Z648)))</f>
        <v/>
      </c>
      <c r="AB648" s="19">
        <f>IF(OR($Z648="",$Z648=6),"",WORKDAY($AA648,CHOOSE($Z648,3,3,2,2,3),Holidays))</f>
        <v/>
      </c>
      <c r="AC648" s="17">
        <f>IF(OR($Z648="",$Z648=6),"",CHOOSE($Z648,"1st Email Follow-up","2nd Email Follow-up","Escalate Local Office","Escalate to CBE","Escalate to Roxanne"))</f>
        <v/>
      </c>
    </row>
    <row r="649" spans="13:29">
      <c r="M649" s="14"/>
      <c r="T649" s="16"/>
      <c r="U649" s="17">
        <f>IF(AND(COUNTA($A649:$L649)=0,$N649=""),"",IF($T649="Paid","PAID",IF($T649="Closed","CLOSED",IF($Z649="","",IF($Z649=6,"ESCALATED TO ROXANNE",IF(TODAY()&gt;$AB649,"OVERDUE",IF($AB649&lt;=WORKDAY(TODAY(),1,Holidays),"DUE TOMORROW",IF($Z649=4,"ESCALATED TO LOCAL OFFICE",IF($Z649=5,"ESCALATED TO CBE",IF($AA649=TODAY(),"EMAIL SENT","MONITORING"))))))))))</f>
        <v/>
      </c>
      <c r="V649" s="17">
        <f>IF($U649="",IF(AND(COUNTA($A649:$L649)&gt;0,$N649=""),"Awaiting Collection Email time stamp.",""),IF(OR($U649="PAID",$U649="CLOSED"),IF($U649="PAID","Account paid. Action completed.","Account closed. No further action required."),CHOOSE($Z649,"Collection Email","1st Email Follow-up","2nd Email Follow-up","Escalation to Local Office","Escalation to CBE","Escalation to Roxanne")&amp;" sent "&amp;TEXT($AA649,"dd-mmm")&amp;". "&amp;IF($Z649=6,"Final escalation completed.",IF($U649="OVERDUE","Next: "&amp;$AC649&amp;" was due "&amp;TEXT($AB649,"dd-mmm")&amp;" - "&amp;(NETWORKDAYS($AB649,TODAY(),Holidays)-1)&amp;" business day(s) late. Send now.",IF($U649="DUE TOMORROW","Next: "&amp;$AC649&amp;IF($AB649&lt;=TODAY()," is due TODAY ("," is due next business day (")&amp;TEXT($AB649,"dd-mmm")&amp;").","Next: "&amp;$AC649&amp;" due "&amp;TEXT($AB649,"dd-mmm")&amp;" ("&amp;(NETWORKDAYS(TODAY(),$AB649,Holidays)-1)&amp;" business day(s) left).")))))</f>
        <v/>
      </c>
      <c r="W649" s="17">
        <f>IF($Z649="","",CHOOSE($Z649,"Collection Email","1st Follow-up","2nd Follow-up","Local Office","CBE","Roxanne")&amp;IF($Z649=6," - Final"," - Day "&amp;MAX(0,NETWORKDAYS($AA649,TODAY(),Holidays)-1)&amp;" of "&amp;CHOOSE($Z649,3,3,2,2,3))&amp;" | Total Day "&amp;MAX(0,NETWORKDAYS($N649,TODAY(),Holidays)-1))</f>
        <v/>
      </c>
      <c r="X649" s="18"/>
      <c r="Y649" s="18"/>
      <c r="Z649" s="17">
        <f>IF($N649="","",COUNT($N649:$S649))</f>
        <v/>
      </c>
      <c r="AA649" s="19">
        <f>IF($Z649="","",INT(INDEX($N649:$S649,$Z649)))</f>
        <v/>
      </c>
      <c r="AB649" s="19">
        <f>IF(OR($Z649="",$Z649=6),"",WORKDAY($AA649,CHOOSE($Z649,3,3,2,2,3),Holidays))</f>
        <v/>
      </c>
      <c r="AC649" s="17">
        <f>IF(OR($Z649="",$Z649=6),"",CHOOSE($Z649,"1st Email Follow-up","2nd Email Follow-up","Escalate Local Office","Escalate to CBE","Escalate to Roxanne"))</f>
        <v/>
      </c>
    </row>
    <row r="650" spans="13:29">
      <c r="M650" s="14"/>
      <c r="T650" s="16"/>
      <c r="U650" s="17">
        <f>IF(AND(COUNTA($A650:$L650)=0,$N650=""),"",IF($T650="Paid","PAID",IF($T650="Closed","CLOSED",IF($Z650="","",IF($Z650=6,"ESCALATED TO ROXANNE",IF(TODAY()&gt;$AB650,"OVERDUE",IF($AB650&lt;=WORKDAY(TODAY(),1,Holidays),"DUE TOMORROW",IF($Z650=4,"ESCALATED TO LOCAL OFFICE",IF($Z650=5,"ESCALATED TO CBE",IF($AA650=TODAY(),"EMAIL SENT","MONITORING"))))))))))</f>
        <v/>
      </c>
      <c r="V650" s="17">
        <f>IF($U650="",IF(AND(COUNTA($A650:$L650)&gt;0,$N650=""),"Awaiting Collection Email time stamp.",""),IF(OR($U650="PAID",$U650="CLOSED"),IF($U650="PAID","Account paid. Action completed.","Account closed. No further action required."),CHOOSE($Z650,"Collection Email","1st Email Follow-up","2nd Email Follow-up","Escalation to Local Office","Escalation to CBE","Escalation to Roxanne")&amp;" sent "&amp;TEXT($AA650,"dd-mmm")&amp;". "&amp;IF($Z650=6,"Final escalation completed.",IF($U650="OVERDUE","Next: "&amp;$AC650&amp;" was due "&amp;TEXT($AB650,"dd-mmm")&amp;" - "&amp;(NETWORKDAYS($AB650,TODAY(),Holidays)-1)&amp;" business day(s) late. Send now.",IF($U650="DUE TOMORROW","Next: "&amp;$AC650&amp;IF($AB650&lt;=TODAY()," is due TODAY ("," is due next business day (")&amp;TEXT($AB650,"dd-mmm")&amp;").","Next: "&amp;$AC650&amp;" due "&amp;TEXT($AB650,"dd-mmm")&amp;" ("&amp;(NETWORKDAYS(TODAY(),$AB650,Holidays)-1)&amp;" business day(s) left).")))))</f>
        <v/>
      </c>
      <c r="W650" s="17">
        <f>IF($Z650="","",CHOOSE($Z650,"Collection Email","1st Follow-up","2nd Follow-up","Local Office","CBE","Roxanne")&amp;IF($Z650=6," - Final"," - Day "&amp;MAX(0,NETWORKDAYS($AA650,TODAY(),Holidays)-1)&amp;" of "&amp;CHOOSE($Z650,3,3,2,2,3))&amp;" | Total Day "&amp;MAX(0,NETWORKDAYS($N650,TODAY(),Holidays)-1))</f>
        <v/>
      </c>
      <c r="X650" s="18"/>
      <c r="Y650" s="18"/>
      <c r="Z650" s="17">
        <f>IF($N650="","",COUNT($N650:$S650))</f>
        <v/>
      </c>
      <c r="AA650" s="19">
        <f>IF($Z650="","",INT(INDEX($N650:$S650,$Z650)))</f>
        <v/>
      </c>
      <c r="AB650" s="19">
        <f>IF(OR($Z650="",$Z650=6),"",WORKDAY($AA650,CHOOSE($Z650,3,3,2,2,3),Holidays))</f>
        <v/>
      </c>
      <c r="AC650" s="17">
        <f>IF(OR($Z650="",$Z650=6),"",CHOOSE($Z650,"1st Email Follow-up","2nd Email Follow-up","Escalate Local Office","Escalate to CBE","Escalate to Roxanne"))</f>
        <v/>
      </c>
    </row>
    <row r="651" spans="13:29">
      <c r="M651" s="14"/>
      <c r="T651" s="16"/>
      <c r="U651" s="17">
        <f>IF(AND(COUNTA($A651:$L651)=0,$N651=""),"",IF($T651="Paid","PAID",IF($T651="Closed","CLOSED",IF($Z651="","",IF($Z651=6,"ESCALATED TO ROXANNE",IF(TODAY()&gt;$AB651,"OVERDUE",IF($AB651&lt;=WORKDAY(TODAY(),1,Holidays),"DUE TOMORROW",IF($Z651=4,"ESCALATED TO LOCAL OFFICE",IF($Z651=5,"ESCALATED TO CBE",IF($AA651=TODAY(),"EMAIL SENT","MONITORING"))))))))))</f>
        <v/>
      </c>
      <c r="V651" s="17">
        <f>IF($U651="",IF(AND(COUNTA($A651:$L651)&gt;0,$N651=""),"Awaiting Collection Email time stamp.",""),IF(OR($U651="PAID",$U651="CLOSED"),IF($U651="PAID","Account paid. Action completed.","Account closed. No further action required."),CHOOSE($Z651,"Collection Email","1st Email Follow-up","2nd Email Follow-up","Escalation to Local Office","Escalation to CBE","Escalation to Roxanne")&amp;" sent "&amp;TEXT($AA651,"dd-mmm")&amp;". "&amp;IF($Z651=6,"Final escalation completed.",IF($U651="OVERDUE","Next: "&amp;$AC651&amp;" was due "&amp;TEXT($AB651,"dd-mmm")&amp;" - "&amp;(NETWORKDAYS($AB651,TODAY(),Holidays)-1)&amp;" business day(s) late. Send now.",IF($U651="DUE TOMORROW","Next: "&amp;$AC651&amp;IF($AB651&lt;=TODAY()," is due TODAY ("," is due next business day (")&amp;TEXT($AB651,"dd-mmm")&amp;").","Next: "&amp;$AC651&amp;" due "&amp;TEXT($AB651,"dd-mmm")&amp;" ("&amp;(NETWORKDAYS(TODAY(),$AB651,Holidays)-1)&amp;" business day(s) left).")))))</f>
        <v/>
      </c>
      <c r="W651" s="17">
        <f>IF($Z651="","",CHOOSE($Z651,"Collection Email","1st Follow-up","2nd Follow-up","Local Office","CBE","Roxanne")&amp;IF($Z651=6," - Final"," - Day "&amp;MAX(0,NETWORKDAYS($AA651,TODAY(),Holidays)-1)&amp;" of "&amp;CHOOSE($Z651,3,3,2,2,3))&amp;" | Total Day "&amp;MAX(0,NETWORKDAYS($N651,TODAY(),Holidays)-1))</f>
        <v/>
      </c>
      <c r="X651" s="18"/>
      <c r="Y651" s="18"/>
      <c r="Z651" s="17">
        <f>IF($N651="","",COUNT($N651:$S651))</f>
        <v/>
      </c>
      <c r="AA651" s="19">
        <f>IF($Z651="","",INT(INDEX($N651:$S651,$Z651)))</f>
        <v/>
      </c>
      <c r="AB651" s="19">
        <f>IF(OR($Z651="",$Z651=6),"",WORKDAY($AA651,CHOOSE($Z651,3,3,2,2,3),Holidays))</f>
        <v/>
      </c>
      <c r="AC651" s="17">
        <f>IF(OR($Z651="",$Z651=6),"",CHOOSE($Z651,"1st Email Follow-up","2nd Email Follow-up","Escalate Local Office","Escalate to CBE","Escalate to Roxanne"))</f>
        <v/>
      </c>
    </row>
    <row r="652" spans="13:29">
      <c r="M652" s="14"/>
      <c r="T652" s="16"/>
      <c r="U652" s="17">
        <f>IF(AND(COUNTA($A652:$L652)=0,$N652=""),"",IF($T652="Paid","PAID",IF($T652="Closed","CLOSED",IF($Z652="","",IF($Z652=6,"ESCALATED TO ROXANNE",IF(TODAY()&gt;$AB652,"OVERDUE",IF($AB652&lt;=WORKDAY(TODAY(),1,Holidays),"DUE TOMORROW",IF($Z652=4,"ESCALATED TO LOCAL OFFICE",IF($Z652=5,"ESCALATED TO CBE",IF($AA652=TODAY(),"EMAIL SENT","MONITORING"))))))))))</f>
        <v/>
      </c>
      <c r="V652" s="17">
        <f>IF($U652="",IF(AND(COUNTA($A652:$L652)&gt;0,$N652=""),"Awaiting Collection Email time stamp.",""),IF(OR($U652="PAID",$U652="CLOSED"),IF($U652="PAID","Account paid. Action completed.","Account closed. No further action required."),CHOOSE($Z652,"Collection Email","1st Email Follow-up","2nd Email Follow-up","Escalation to Local Office","Escalation to CBE","Escalation to Roxanne")&amp;" sent "&amp;TEXT($AA652,"dd-mmm")&amp;". "&amp;IF($Z652=6,"Final escalation completed.",IF($U652="OVERDUE","Next: "&amp;$AC652&amp;" was due "&amp;TEXT($AB652,"dd-mmm")&amp;" - "&amp;(NETWORKDAYS($AB652,TODAY(),Holidays)-1)&amp;" business day(s) late. Send now.",IF($U652="DUE TOMORROW","Next: "&amp;$AC652&amp;IF($AB652&lt;=TODAY()," is due TODAY ("," is due next business day (")&amp;TEXT($AB652,"dd-mmm")&amp;").","Next: "&amp;$AC652&amp;" due "&amp;TEXT($AB652,"dd-mmm")&amp;" ("&amp;(NETWORKDAYS(TODAY(),$AB652,Holidays)-1)&amp;" business day(s) left).")))))</f>
        <v/>
      </c>
      <c r="W652" s="17">
        <f>IF($Z652="","",CHOOSE($Z652,"Collection Email","1st Follow-up","2nd Follow-up","Local Office","CBE","Roxanne")&amp;IF($Z652=6," - Final"," - Day "&amp;MAX(0,NETWORKDAYS($AA652,TODAY(),Holidays)-1)&amp;" of "&amp;CHOOSE($Z652,3,3,2,2,3))&amp;" | Total Day "&amp;MAX(0,NETWORKDAYS($N652,TODAY(),Holidays)-1))</f>
        <v/>
      </c>
      <c r="X652" s="18"/>
      <c r="Y652" s="18"/>
      <c r="Z652" s="17">
        <f>IF($N652="","",COUNT($N652:$S652))</f>
        <v/>
      </c>
      <c r="AA652" s="19">
        <f>IF($Z652="","",INT(INDEX($N652:$S652,$Z652)))</f>
        <v/>
      </c>
      <c r="AB652" s="19">
        <f>IF(OR($Z652="",$Z652=6),"",WORKDAY($AA652,CHOOSE($Z652,3,3,2,2,3),Holidays))</f>
        <v/>
      </c>
      <c r="AC652" s="17">
        <f>IF(OR($Z652="",$Z652=6),"",CHOOSE($Z652,"1st Email Follow-up","2nd Email Follow-up","Escalate Local Office","Escalate to CBE","Escalate to Roxanne"))</f>
        <v/>
      </c>
    </row>
    <row r="653" spans="13:29">
      <c r="M653" s="14"/>
      <c r="T653" s="16"/>
      <c r="U653" s="17">
        <f>IF(AND(COUNTA($A653:$L653)=0,$N653=""),"",IF($T653="Paid","PAID",IF($T653="Closed","CLOSED",IF($Z653="","",IF($Z653=6,"ESCALATED TO ROXANNE",IF(TODAY()&gt;$AB653,"OVERDUE",IF($AB653&lt;=WORKDAY(TODAY(),1,Holidays),"DUE TOMORROW",IF($Z653=4,"ESCALATED TO LOCAL OFFICE",IF($Z653=5,"ESCALATED TO CBE",IF($AA653=TODAY(),"EMAIL SENT","MONITORING"))))))))))</f>
        <v/>
      </c>
      <c r="V653" s="17">
        <f>IF($U653="",IF(AND(COUNTA($A653:$L653)&gt;0,$N653=""),"Awaiting Collection Email time stamp.",""),IF(OR($U653="PAID",$U653="CLOSED"),IF($U653="PAID","Account paid. Action completed.","Account closed. No further action required."),CHOOSE($Z653,"Collection Email","1st Email Follow-up","2nd Email Follow-up","Escalation to Local Office","Escalation to CBE","Escalation to Roxanne")&amp;" sent "&amp;TEXT($AA653,"dd-mmm")&amp;". "&amp;IF($Z653=6,"Final escalation completed.",IF($U653="OVERDUE","Next: "&amp;$AC653&amp;" was due "&amp;TEXT($AB653,"dd-mmm")&amp;" - "&amp;(NETWORKDAYS($AB653,TODAY(),Holidays)-1)&amp;" business day(s) late. Send now.",IF($U653="DUE TOMORROW","Next: "&amp;$AC653&amp;IF($AB653&lt;=TODAY()," is due TODAY ("," is due next business day (")&amp;TEXT($AB653,"dd-mmm")&amp;").","Next: "&amp;$AC653&amp;" due "&amp;TEXT($AB653,"dd-mmm")&amp;" ("&amp;(NETWORKDAYS(TODAY(),$AB653,Holidays)-1)&amp;" business day(s) left).")))))</f>
        <v/>
      </c>
      <c r="W653" s="17">
        <f>IF($Z653="","",CHOOSE($Z653,"Collection Email","1st Follow-up","2nd Follow-up","Local Office","CBE","Roxanne")&amp;IF($Z653=6," - Final"," - Day "&amp;MAX(0,NETWORKDAYS($AA653,TODAY(),Holidays)-1)&amp;" of "&amp;CHOOSE($Z653,3,3,2,2,3))&amp;" | Total Day "&amp;MAX(0,NETWORKDAYS($N653,TODAY(),Holidays)-1))</f>
        <v/>
      </c>
      <c r="X653" s="18"/>
      <c r="Y653" s="18"/>
      <c r="Z653" s="17">
        <f>IF($N653="","",COUNT($N653:$S653))</f>
        <v/>
      </c>
      <c r="AA653" s="19">
        <f>IF($Z653="","",INT(INDEX($N653:$S653,$Z653)))</f>
        <v/>
      </c>
      <c r="AB653" s="19">
        <f>IF(OR($Z653="",$Z653=6),"",WORKDAY($AA653,CHOOSE($Z653,3,3,2,2,3),Holidays))</f>
        <v/>
      </c>
      <c r="AC653" s="17">
        <f>IF(OR($Z653="",$Z653=6),"",CHOOSE($Z653,"1st Email Follow-up","2nd Email Follow-up","Escalate Local Office","Escalate to CBE","Escalate to Roxanne"))</f>
        <v/>
      </c>
    </row>
    <row r="654" spans="13:29">
      <c r="M654" s="14"/>
      <c r="T654" s="16"/>
      <c r="U654" s="17">
        <f>IF(AND(COUNTA($A654:$L654)=0,$N654=""),"",IF($T654="Paid","PAID",IF($T654="Closed","CLOSED",IF($Z654="","",IF($Z654=6,"ESCALATED TO ROXANNE",IF(TODAY()&gt;$AB654,"OVERDUE",IF($AB654&lt;=WORKDAY(TODAY(),1,Holidays),"DUE TOMORROW",IF($Z654=4,"ESCALATED TO LOCAL OFFICE",IF($Z654=5,"ESCALATED TO CBE",IF($AA654=TODAY(),"EMAIL SENT","MONITORING"))))))))))</f>
        <v/>
      </c>
      <c r="V654" s="17">
        <f>IF($U654="",IF(AND(COUNTA($A654:$L654)&gt;0,$N654=""),"Awaiting Collection Email time stamp.",""),IF(OR($U654="PAID",$U654="CLOSED"),IF($U654="PAID","Account paid. Action completed.","Account closed. No further action required."),CHOOSE($Z654,"Collection Email","1st Email Follow-up","2nd Email Follow-up","Escalation to Local Office","Escalation to CBE","Escalation to Roxanne")&amp;" sent "&amp;TEXT($AA654,"dd-mmm")&amp;". "&amp;IF($Z654=6,"Final escalation completed.",IF($U654="OVERDUE","Next: "&amp;$AC654&amp;" was due "&amp;TEXT($AB654,"dd-mmm")&amp;" - "&amp;(NETWORKDAYS($AB654,TODAY(),Holidays)-1)&amp;" business day(s) late. Send now.",IF($U654="DUE TOMORROW","Next: "&amp;$AC654&amp;IF($AB654&lt;=TODAY()," is due TODAY ("," is due next business day (")&amp;TEXT($AB654,"dd-mmm")&amp;").","Next: "&amp;$AC654&amp;" due "&amp;TEXT($AB654,"dd-mmm")&amp;" ("&amp;(NETWORKDAYS(TODAY(),$AB654,Holidays)-1)&amp;" business day(s) left).")))))</f>
        <v/>
      </c>
      <c r="W654" s="17">
        <f>IF($Z654="","",CHOOSE($Z654,"Collection Email","1st Follow-up","2nd Follow-up","Local Office","CBE","Roxanne")&amp;IF($Z654=6," - Final"," - Day "&amp;MAX(0,NETWORKDAYS($AA654,TODAY(),Holidays)-1)&amp;" of "&amp;CHOOSE($Z654,3,3,2,2,3))&amp;" | Total Day "&amp;MAX(0,NETWORKDAYS($N654,TODAY(),Holidays)-1))</f>
        <v/>
      </c>
      <c r="X654" s="18"/>
      <c r="Y654" s="18"/>
      <c r="Z654" s="17">
        <f>IF($N654="","",COUNT($N654:$S654))</f>
        <v/>
      </c>
      <c r="AA654" s="19">
        <f>IF($Z654="","",INT(INDEX($N654:$S654,$Z654)))</f>
        <v/>
      </c>
      <c r="AB654" s="19">
        <f>IF(OR($Z654="",$Z654=6),"",WORKDAY($AA654,CHOOSE($Z654,3,3,2,2,3),Holidays))</f>
        <v/>
      </c>
      <c r="AC654" s="17">
        <f>IF(OR($Z654="",$Z654=6),"",CHOOSE($Z654,"1st Email Follow-up","2nd Email Follow-up","Escalate Local Office","Escalate to CBE","Escalate to Roxanne"))</f>
        <v/>
      </c>
    </row>
    <row r="655" spans="13:29">
      <c r="M655" s="14"/>
      <c r="T655" s="16"/>
      <c r="U655" s="17">
        <f>IF(AND(COUNTA($A655:$L655)=0,$N655=""),"",IF($T655="Paid","PAID",IF($T655="Closed","CLOSED",IF($Z655="","",IF($Z655=6,"ESCALATED TO ROXANNE",IF(TODAY()&gt;$AB655,"OVERDUE",IF($AB655&lt;=WORKDAY(TODAY(),1,Holidays),"DUE TOMORROW",IF($Z655=4,"ESCALATED TO LOCAL OFFICE",IF($Z655=5,"ESCALATED TO CBE",IF($AA655=TODAY(),"EMAIL SENT","MONITORING"))))))))))</f>
        <v/>
      </c>
      <c r="V655" s="17">
        <f>IF($U655="",IF(AND(COUNTA($A655:$L655)&gt;0,$N655=""),"Awaiting Collection Email time stamp.",""),IF(OR($U655="PAID",$U655="CLOSED"),IF($U655="PAID","Account paid. Action completed.","Account closed. No further action required."),CHOOSE($Z655,"Collection Email","1st Email Follow-up","2nd Email Follow-up","Escalation to Local Office","Escalation to CBE","Escalation to Roxanne")&amp;" sent "&amp;TEXT($AA655,"dd-mmm")&amp;". "&amp;IF($Z655=6,"Final escalation completed.",IF($U655="OVERDUE","Next: "&amp;$AC655&amp;" was due "&amp;TEXT($AB655,"dd-mmm")&amp;" - "&amp;(NETWORKDAYS($AB655,TODAY(),Holidays)-1)&amp;" business day(s) late. Send now.",IF($U655="DUE TOMORROW","Next: "&amp;$AC655&amp;IF($AB655&lt;=TODAY()," is due TODAY ("," is due next business day (")&amp;TEXT($AB655,"dd-mmm")&amp;").","Next: "&amp;$AC655&amp;" due "&amp;TEXT($AB655,"dd-mmm")&amp;" ("&amp;(NETWORKDAYS(TODAY(),$AB655,Holidays)-1)&amp;" business day(s) left).")))))</f>
        <v/>
      </c>
      <c r="W655" s="17">
        <f>IF($Z655="","",CHOOSE($Z655,"Collection Email","1st Follow-up","2nd Follow-up","Local Office","CBE","Roxanne")&amp;IF($Z655=6," - Final"," - Day "&amp;MAX(0,NETWORKDAYS($AA655,TODAY(),Holidays)-1)&amp;" of "&amp;CHOOSE($Z655,3,3,2,2,3))&amp;" | Total Day "&amp;MAX(0,NETWORKDAYS($N655,TODAY(),Holidays)-1))</f>
        <v/>
      </c>
      <c r="X655" s="18"/>
      <c r="Y655" s="18"/>
      <c r="Z655" s="17">
        <f>IF($N655="","",COUNT($N655:$S655))</f>
        <v/>
      </c>
      <c r="AA655" s="19">
        <f>IF($Z655="","",INT(INDEX($N655:$S655,$Z655)))</f>
        <v/>
      </c>
      <c r="AB655" s="19">
        <f>IF(OR($Z655="",$Z655=6),"",WORKDAY($AA655,CHOOSE($Z655,3,3,2,2,3),Holidays))</f>
        <v/>
      </c>
      <c r="AC655" s="17">
        <f>IF(OR($Z655="",$Z655=6),"",CHOOSE($Z655,"1st Email Follow-up","2nd Email Follow-up","Escalate Local Office","Escalate to CBE","Escalate to Roxanne"))</f>
        <v/>
      </c>
    </row>
    <row r="656" spans="13:29">
      <c r="M656" s="14"/>
      <c r="T656" s="16"/>
      <c r="U656" s="17">
        <f>IF(AND(COUNTA($A656:$L656)=0,$N656=""),"",IF($T656="Paid","PAID",IF($T656="Closed","CLOSED",IF($Z656="","",IF($Z656=6,"ESCALATED TO ROXANNE",IF(TODAY()&gt;$AB656,"OVERDUE",IF($AB656&lt;=WORKDAY(TODAY(),1,Holidays),"DUE TOMORROW",IF($Z656=4,"ESCALATED TO LOCAL OFFICE",IF($Z656=5,"ESCALATED TO CBE",IF($AA656=TODAY(),"EMAIL SENT","MONITORING"))))))))))</f>
        <v/>
      </c>
      <c r="V656" s="17">
        <f>IF($U656="",IF(AND(COUNTA($A656:$L656)&gt;0,$N656=""),"Awaiting Collection Email time stamp.",""),IF(OR($U656="PAID",$U656="CLOSED"),IF($U656="PAID","Account paid. Action completed.","Account closed. No further action required."),CHOOSE($Z656,"Collection Email","1st Email Follow-up","2nd Email Follow-up","Escalation to Local Office","Escalation to CBE","Escalation to Roxanne")&amp;" sent "&amp;TEXT($AA656,"dd-mmm")&amp;". "&amp;IF($Z656=6,"Final escalation completed.",IF($U656="OVERDUE","Next: "&amp;$AC656&amp;" was due "&amp;TEXT($AB656,"dd-mmm")&amp;" - "&amp;(NETWORKDAYS($AB656,TODAY(),Holidays)-1)&amp;" business day(s) late. Send now.",IF($U656="DUE TOMORROW","Next: "&amp;$AC656&amp;IF($AB656&lt;=TODAY()," is due TODAY ("," is due next business day (")&amp;TEXT($AB656,"dd-mmm")&amp;").","Next: "&amp;$AC656&amp;" due "&amp;TEXT($AB656,"dd-mmm")&amp;" ("&amp;(NETWORKDAYS(TODAY(),$AB656,Holidays)-1)&amp;" business day(s) left).")))))</f>
        <v/>
      </c>
      <c r="W656" s="17">
        <f>IF($Z656="","",CHOOSE($Z656,"Collection Email","1st Follow-up","2nd Follow-up","Local Office","CBE","Roxanne")&amp;IF($Z656=6," - Final"," - Day "&amp;MAX(0,NETWORKDAYS($AA656,TODAY(),Holidays)-1)&amp;" of "&amp;CHOOSE($Z656,3,3,2,2,3))&amp;" | Total Day "&amp;MAX(0,NETWORKDAYS($N656,TODAY(),Holidays)-1))</f>
        <v/>
      </c>
      <c r="X656" s="18"/>
      <c r="Y656" s="18"/>
      <c r="Z656" s="17">
        <f>IF($N656="","",COUNT($N656:$S656))</f>
        <v/>
      </c>
      <c r="AA656" s="19">
        <f>IF($Z656="","",INT(INDEX($N656:$S656,$Z656)))</f>
        <v/>
      </c>
      <c r="AB656" s="19">
        <f>IF(OR($Z656="",$Z656=6),"",WORKDAY($AA656,CHOOSE($Z656,3,3,2,2,3),Holidays))</f>
        <v/>
      </c>
      <c r="AC656" s="17">
        <f>IF(OR($Z656="",$Z656=6),"",CHOOSE($Z656,"1st Email Follow-up","2nd Email Follow-up","Escalate Local Office","Escalate to CBE","Escalate to Roxanne"))</f>
        <v/>
      </c>
    </row>
    <row r="657" spans="13:29">
      <c r="M657" s="14"/>
      <c r="T657" s="16"/>
      <c r="U657" s="17">
        <f>IF(AND(COUNTA($A657:$L657)=0,$N657=""),"",IF($T657="Paid","PAID",IF($T657="Closed","CLOSED",IF($Z657="","",IF($Z657=6,"ESCALATED TO ROXANNE",IF(TODAY()&gt;$AB657,"OVERDUE",IF($AB657&lt;=WORKDAY(TODAY(),1,Holidays),"DUE TOMORROW",IF($Z657=4,"ESCALATED TO LOCAL OFFICE",IF($Z657=5,"ESCALATED TO CBE",IF($AA657=TODAY(),"EMAIL SENT","MONITORING"))))))))))</f>
        <v/>
      </c>
      <c r="V657" s="17">
        <f>IF($U657="",IF(AND(COUNTA($A657:$L657)&gt;0,$N657=""),"Awaiting Collection Email time stamp.",""),IF(OR($U657="PAID",$U657="CLOSED"),IF($U657="PAID","Account paid. Action completed.","Account closed. No further action required."),CHOOSE($Z657,"Collection Email","1st Email Follow-up","2nd Email Follow-up","Escalation to Local Office","Escalation to CBE","Escalation to Roxanne")&amp;" sent "&amp;TEXT($AA657,"dd-mmm")&amp;". "&amp;IF($Z657=6,"Final escalation completed.",IF($U657="OVERDUE","Next: "&amp;$AC657&amp;" was due "&amp;TEXT($AB657,"dd-mmm")&amp;" - "&amp;(NETWORKDAYS($AB657,TODAY(),Holidays)-1)&amp;" business day(s) late. Send now.",IF($U657="DUE TOMORROW","Next: "&amp;$AC657&amp;IF($AB657&lt;=TODAY()," is due TODAY ("," is due next business day (")&amp;TEXT($AB657,"dd-mmm")&amp;").","Next: "&amp;$AC657&amp;" due "&amp;TEXT($AB657,"dd-mmm")&amp;" ("&amp;(NETWORKDAYS(TODAY(),$AB657,Holidays)-1)&amp;" business day(s) left).")))))</f>
        <v/>
      </c>
      <c r="W657" s="17">
        <f>IF($Z657="","",CHOOSE($Z657,"Collection Email","1st Follow-up","2nd Follow-up","Local Office","CBE","Roxanne")&amp;IF($Z657=6," - Final"," - Day "&amp;MAX(0,NETWORKDAYS($AA657,TODAY(),Holidays)-1)&amp;" of "&amp;CHOOSE($Z657,3,3,2,2,3))&amp;" | Total Day "&amp;MAX(0,NETWORKDAYS($N657,TODAY(),Holidays)-1))</f>
        <v/>
      </c>
      <c r="X657" s="18"/>
      <c r="Y657" s="18"/>
      <c r="Z657" s="17">
        <f>IF($N657="","",COUNT($N657:$S657))</f>
        <v/>
      </c>
      <c r="AA657" s="19">
        <f>IF($Z657="","",INT(INDEX($N657:$S657,$Z657)))</f>
        <v/>
      </c>
      <c r="AB657" s="19">
        <f>IF(OR($Z657="",$Z657=6),"",WORKDAY($AA657,CHOOSE($Z657,3,3,2,2,3),Holidays))</f>
        <v/>
      </c>
      <c r="AC657" s="17">
        <f>IF(OR($Z657="",$Z657=6),"",CHOOSE($Z657,"1st Email Follow-up","2nd Email Follow-up","Escalate Local Office","Escalate to CBE","Escalate to Roxanne"))</f>
        <v/>
      </c>
    </row>
    <row r="658" spans="13:29">
      <c r="M658" s="14"/>
      <c r="T658" s="16"/>
      <c r="U658" s="17">
        <f>IF(AND(COUNTA($A658:$L658)=0,$N658=""),"",IF($T658="Paid","PAID",IF($T658="Closed","CLOSED",IF($Z658="","",IF($Z658=6,"ESCALATED TO ROXANNE",IF(TODAY()&gt;$AB658,"OVERDUE",IF($AB658&lt;=WORKDAY(TODAY(),1,Holidays),"DUE TOMORROW",IF($Z658=4,"ESCALATED TO LOCAL OFFICE",IF($Z658=5,"ESCALATED TO CBE",IF($AA658=TODAY(),"EMAIL SENT","MONITORING"))))))))))</f>
        <v/>
      </c>
      <c r="V658" s="17">
        <f>IF($U658="",IF(AND(COUNTA($A658:$L658)&gt;0,$N658=""),"Awaiting Collection Email time stamp.",""),IF(OR($U658="PAID",$U658="CLOSED"),IF($U658="PAID","Account paid. Action completed.","Account closed. No further action required."),CHOOSE($Z658,"Collection Email","1st Email Follow-up","2nd Email Follow-up","Escalation to Local Office","Escalation to CBE","Escalation to Roxanne")&amp;" sent "&amp;TEXT($AA658,"dd-mmm")&amp;". "&amp;IF($Z658=6,"Final escalation completed.",IF($U658="OVERDUE","Next: "&amp;$AC658&amp;" was due "&amp;TEXT($AB658,"dd-mmm")&amp;" - "&amp;(NETWORKDAYS($AB658,TODAY(),Holidays)-1)&amp;" business day(s) late. Send now.",IF($U658="DUE TOMORROW","Next: "&amp;$AC658&amp;IF($AB658&lt;=TODAY()," is due TODAY ("," is due next business day (")&amp;TEXT($AB658,"dd-mmm")&amp;").","Next: "&amp;$AC658&amp;" due "&amp;TEXT($AB658,"dd-mmm")&amp;" ("&amp;(NETWORKDAYS(TODAY(),$AB658,Holidays)-1)&amp;" business day(s) left).")))))</f>
        <v/>
      </c>
      <c r="W658" s="17">
        <f>IF($Z658="","",CHOOSE($Z658,"Collection Email","1st Follow-up","2nd Follow-up","Local Office","CBE","Roxanne")&amp;IF($Z658=6," - Final"," - Day "&amp;MAX(0,NETWORKDAYS($AA658,TODAY(),Holidays)-1)&amp;" of "&amp;CHOOSE($Z658,3,3,2,2,3))&amp;" | Total Day "&amp;MAX(0,NETWORKDAYS($N658,TODAY(),Holidays)-1))</f>
        <v/>
      </c>
      <c r="X658" s="18"/>
      <c r="Y658" s="18"/>
      <c r="Z658" s="17">
        <f>IF($N658="","",COUNT($N658:$S658))</f>
        <v/>
      </c>
      <c r="AA658" s="19">
        <f>IF($Z658="","",INT(INDEX($N658:$S658,$Z658)))</f>
        <v/>
      </c>
      <c r="AB658" s="19">
        <f>IF(OR($Z658="",$Z658=6),"",WORKDAY($AA658,CHOOSE($Z658,3,3,2,2,3),Holidays))</f>
        <v/>
      </c>
      <c r="AC658" s="17">
        <f>IF(OR($Z658="",$Z658=6),"",CHOOSE($Z658,"1st Email Follow-up","2nd Email Follow-up","Escalate Local Office","Escalate to CBE","Escalate to Roxanne"))</f>
        <v/>
      </c>
    </row>
    <row r="659" spans="13:29">
      <c r="M659" s="14"/>
      <c r="T659" s="16"/>
      <c r="U659" s="17">
        <f>IF(AND(COUNTA($A659:$L659)=0,$N659=""),"",IF($T659="Paid","PAID",IF($T659="Closed","CLOSED",IF($Z659="","",IF($Z659=6,"ESCALATED TO ROXANNE",IF(TODAY()&gt;$AB659,"OVERDUE",IF($AB659&lt;=WORKDAY(TODAY(),1,Holidays),"DUE TOMORROW",IF($Z659=4,"ESCALATED TO LOCAL OFFICE",IF($Z659=5,"ESCALATED TO CBE",IF($AA659=TODAY(),"EMAIL SENT","MONITORING"))))))))))</f>
        <v/>
      </c>
      <c r="V659" s="17">
        <f>IF($U659="",IF(AND(COUNTA($A659:$L659)&gt;0,$N659=""),"Awaiting Collection Email time stamp.",""),IF(OR($U659="PAID",$U659="CLOSED"),IF($U659="PAID","Account paid. Action completed.","Account closed. No further action required."),CHOOSE($Z659,"Collection Email","1st Email Follow-up","2nd Email Follow-up","Escalation to Local Office","Escalation to CBE","Escalation to Roxanne")&amp;" sent "&amp;TEXT($AA659,"dd-mmm")&amp;". "&amp;IF($Z659=6,"Final escalation completed.",IF($U659="OVERDUE","Next: "&amp;$AC659&amp;" was due "&amp;TEXT($AB659,"dd-mmm")&amp;" - "&amp;(NETWORKDAYS($AB659,TODAY(),Holidays)-1)&amp;" business day(s) late. Send now.",IF($U659="DUE TOMORROW","Next: "&amp;$AC659&amp;IF($AB659&lt;=TODAY()," is due TODAY ("," is due next business day (")&amp;TEXT($AB659,"dd-mmm")&amp;").","Next: "&amp;$AC659&amp;" due "&amp;TEXT($AB659,"dd-mmm")&amp;" ("&amp;(NETWORKDAYS(TODAY(),$AB659,Holidays)-1)&amp;" business day(s) left).")))))</f>
        <v/>
      </c>
      <c r="W659" s="17">
        <f>IF($Z659="","",CHOOSE($Z659,"Collection Email","1st Follow-up","2nd Follow-up","Local Office","CBE","Roxanne")&amp;IF($Z659=6," - Final"," - Day "&amp;MAX(0,NETWORKDAYS($AA659,TODAY(),Holidays)-1)&amp;" of "&amp;CHOOSE($Z659,3,3,2,2,3))&amp;" | Total Day "&amp;MAX(0,NETWORKDAYS($N659,TODAY(),Holidays)-1))</f>
        <v/>
      </c>
      <c r="X659" s="18"/>
      <c r="Y659" s="18"/>
      <c r="Z659" s="17">
        <f>IF($N659="","",COUNT($N659:$S659))</f>
        <v/>
      </c>
      <c r="AA659" s="19">
        <f>IF($Z659="","",INT(INDEX($N659:$S659,$Z659)))</f>
        <v/>
      </c>
      <c r="AB659" s="19">
        <f>IF(OR($Z659="",$Z659=6),"",WORKDAY($AA659,CHOOSE($Z659,3,3,2,2,3),Holidays))</f>
        <v/>
      </c>
      <c r="AC659" s="17">
        <f>IF(OR($Z659="",$Z659=6),"",CHOOSE($Z659,"1st Email Follow-up","2nd Email Follow-up","Escalate Local Office","Escalate to CBE","Escalate to Roxanne"))</f>
        <v/>
      </c>
    </row>
    <row r="660" spans="13:29">
      <c r="M660" s="14"/>
      <c r="T660" s="16"/>
      <c r="U660" s="17">
        <f>IF(AND(COUNTA($A660:$L660)=0,$N660=""),"",IF($T660="Paid","PAID",IF($T660="Closed","CLOSED",IF($Z660="","",IF($Z660=6,"ESCALATED TO ROXANNE",IF(TODAY()&gt;$AB660,"OVERDUE",IF($AB660&lt;=WORKDAY(TODAY(),1,Holidays),"DUE TOMORROW",IF($Z660=4,"ESCALATED TO LOCAL OFFICE",IF($Z660=5,"ESCALATED TO CBE",IF($AA660=TODAY(),"EMAIL SENT","MONITORING"))))))))))</f>
        <v/>
      </c>
      <c r="V660" s="17">
        <f>IF($U660="",IF(AND(COUNTA($A660:$L660)&gt;0,$N660=""),"Awaiting Collection Email time stamp.",""),IF(OR($U660="PAID",$U660="CLOSED"),IF($U660="PAID","Account paid. Action completed.","Account closed. No further action required."),CHOOSE($Z660,"Collection Email","1st Email Follow-up","2nd Email Follow-up","Escalation to Local Office","Escalation to CBE","Escalation to Roxanne")&amp;" sent "&amp;TEXT($AA660,"dd-mmm")&amp;". "&amp;IF($Z660=6,"Final escalation completed.",IF($U660="OVERDUE","Next: "&amp;$AC660&amp;" was due "&amp;TEXT($AB660,"dd-mmm")&amp;" - "&amp;(NETWORKDAYS($AB660,TODAY(),Holidays)-1)&amp;" business day(s) late. Send now.",IF($U660="DUE TOMORROW","Next: "&amp;$AC660&amp;IF($AB660&lt;=TODAY()," is due TODAY ("," is due next business day (")&amp;TEXT($AB660,"dd-mmm")&amp;").","Next: "&amp;$AC660&amp;" due "&amp;TEXT($AB660,"dd-mmm")&amp;" ("&amp;(NETWORKDAYS(TODAY(),$AB660,Holidays)-1)&amp;" business day(s) left).")))))</f>
        <v/>
      </c>
      <c r="W660" s="17">
        <f>IF($Z660="","",CHOOSE($Z660,"Collection Email","1st Follow-up","2nd Follow-up","Local Office","CBE","Roxanne")&amp;IF($Z660=6," - Final"," - Day "&amp;MAX(0,NETWORKDAYS($AA660,TODAY(),Holidays)-1)&amp;" of "&amp;CHOOSE($Z660,3,3,2,2,3))&amp;" | Total Day "&amp;MAX(0,NETWORKDAYS($N660,TODAY(),Holidays)-1))</f>
        <v/>
      </c>
      <c r="X660" s="18"/>
      <c r="Y660" s="18"/>
      <c r="Z660" s="17">
        <f>IF($N660="","",COUNT($N660:$S660))</f>
        <v/>
      </c>
      <c r="AA660" s="19">
        <f>IF($Z660="","",INT(INDEX($N660:$S660,$Z660)))</f>
        <v/>
      </c>
      <c r="AB660" s="19">
        <f>IF(OR($Z660="",$Z660=6),"",WORKDAY($AA660,CHOOSE($Z660,3,3,2,2,3),Holidays))</f>
        <v/>
      </c>
      <c r="AC660" s="17">
        <f>IF(OR($Z660="",$Z660=6),"",CHOOSE($Z660,"1st Email Follow-up","2nd Email Follow-up","Escalate Local Office","Escalate to CBE","Escalate to Roxanne"))</f>
        <v/>
      </c>
    </row>
    <row r="661" spans="13:29">
      <c r="M661" s="14"/>
      <c r="T661" s="16"/>
      <c r="U661" s="17">
        <f>IF(AND(COUNTA($A661:$L661)=0,$N661=""),"",IF($T661="Paid","PAID",IF($T661="Closed","CLOSED",IF($Z661="","",IF($Z661=6,"ESCALATED TO ROXANNE",IF(TODAY()&gt;$AB661,"OVERDUE",IF($AB661&lt;=WORKDAY(TODAY(),1,Holidays),"DUE TOMORROW",IF($Z661=4,"ESCALATED TO LOCAL OFFICE",IF($Z661=5,"ESCALATED TO CBE",IF($AA661=TODAY(),"EMAIL SENT","MONITORING"))))))))))</f>
        <v/>
      </c>
      <c r="V661" s="17">
        <f>IF($U661="",IF(AND(COUNTA($A661:$L661)&gt;0,$N661=""),"Awaiting Collection Email time stamp.",""),IF(OR($U661="PAID",$U661="CLOSED"),IF($U661="PAID","Account paid. Action completed.","Account closed. No further action required."),CHOOSE($Z661,"Collection Email","1st Email Follow-up","2nd Email Follow-up","Escalation to Local Office","Escalation to CBE","Escalation to Roxanne")&amp;" sent "&amp;TEXT($AA661,"dd-mmm")&amp;". "&amp;IF($Z661=6,"Final escalation completed.",IF($U661="OVERDUE","Next: "&amp;$AC661&amp;" was due "&amp;TEXT($AB661,"dd-mmm")&amp;" - "&amp;(NETWORKDAYS($AB661,TODAY(),Holidays)-1)&amp;" business day(s) late. Send now.",IF($U661="DUE TOMORROW","Next: "&amp;$AC661&amp;IF($AB661&lt;=TODAY()," is due TODAY ("," is due next business day (")&amp;TEXT($AB661,"dd-mmm")&amp;").","Next: "&amp;$AC661&amp;" due "&amp;TEXT($AB661,"dd-mmm")&amp;" ("&amp;(NETWORKDAYS(TODAY(),$AB661,Holidays)-1)&amp;" business day(s) left).")))))</f>
        <v/>
      </c>
      <c r="W661" s="17">
        <f>IF($Z661="","",CHOOSE($Z661,"Collection Email","1st Follow-up","2nd Follow-up","Local Office","CBE","Roxanne")&amp;IF($Z661=6," - Final"," - Day "&amp;MAX(0,NETWORKDAYS($AA661,TODAY(),Holidays)-1)&amp;" of "&amp;CHOOSE($Z661,3,3,2,2,3))&amp;" | Total Day "&amp;MAX(0,NETWORKDAYS($N661,TODAY(),Holidays)-1))</f>
        <v/>
      </c>
      <c r="X661" s="18"/>
      <c r="Y661" s="18"/>
      <c r="Z661" s="17">
        <f>IF($N661="","",COUNT($N661:$S661))</f>
        <v/>
      </c>
      <c r="AA661" s="19">
        <f>IF($Z661="","",INT(INDEX($N661:$S661,$Z661)))</f>
        <v/>
      </c>
      <c r="AB661" s="19">
        <f>IF(OR($Z661="",$Z661=6),"",WORKDAY($AA661,CHOOSE($Z661,3,3,2,2,3),Holidays))</f>
        <v/>
      </c>
      <c r="AC661" s="17">
        <f>IF(OR($Z661="",$Z661=6),"",CHOOSE($Z661,"1st Email Follow-up","2nd Email Follow-up","Escalate Local Office","Escalate to CBE","Escalate to Roxanne"))</f>
        <v/>
      </c>
    </row>
    <row r="662" spans="13:29">
      <c r="M662" s="14"/>
      <c r="T662" s="16"/>
      <c r="U662" s="17">
        <f>IF(AND(COUNTA($A662:$L662)=0,$N662=""),"",IF($T662="Paid","PAID",IF($T662="Closed","CLOSED",IF($Z662="","",IF($Z662=6,"ESCALATED TO ROXANNE",IF(TODAY()&gt;$AB662,"OVERDUE",IF($AB662&lt;=WORKDAY(TODAY(),1,Holidays),"DUE TOMORROW",IF($Z662=4,"ESCALATED TO LOCAL OFFICE",IF($Z662=5,"ESCALATED TO CBE",IF($AA662=TODAY(),"EMAIL SENT","MONITORING"))))))))))</f>
        <v/>
      </c>
      <c r="V662" s="17">
        <f>IF($U662="",IF(AND(COUNTA($A662:$L662)&gt;0,$N662=""),"Awaiting Collection Email time stamp.",""),IF(OR($U662="PAID",$U662="CLOSED"),IF($U662="PAID","Account paid. Action completed.","Account closed. No further action required."),CHOOSE($Z662,"Collection Email","1st Email Follow-up","2nd Email Follow-up","Escalation to Local Office","Escalation to CBE","Escalation to Roxanne")&amp;" sent "&amp;TEXT($AA662,"dd-mmm")&amp;". "&amp;IF($Z662=6,"Final escalation completed.",IF($U662="OVERDUE","Next: "&amp;$AC662&amp;" was due "&amp;TEXT($AB662,"dd-mmm")&amp;" - "&amp;(NETWORKDAYS($AB662,TODAY(),Holidays)-1)&amp;" business day(s) late. Send now.",IF($U662="DUE TOMORROW","Next: "&amp;$AC662&amp;IF($AB662&lt;=TODAY()," is due TODAY ("," is due next business day (")&amp;TEXT($AB662,"dd-mmm")&amp;").","Next: "&amp;$AC662&amp;" due "&amp;TEXT($AB662,"dd-mmm")&amp;" ("&amp;(NETWORKDAYS(TODAY(),$AB662,Holidays)-1)&amp;" business day(s) left).")))))</f>
        <v/>
      </c>
      <c r="W662" s="17">
        <f>IF($Z662="","",CHOOSE($Z662,"Collection Email","1st Follow-up","2nd Follow-up","Local Office","CBE","Roxanne")&amp;IF($Z662=6," - Final"," - Day "&amp;MAX(0,NETWORKDAYS($AA662,TODAY(),Holidays)-1)&amp;" of "&amp;CHOOSE($Z662,3,3,2,2,3))&amp;" | Total Day "&amp;MAX(0,NETWORKDAYS($N662,TODAY(),Holidays)-1))</f>
        <v/>
      </c>
      <c r="X662" s="18"/>
      <c r="Y662" s="18"/>
      <c r="Z662" s="17">
        <f>IF($N662="","",COUNT($N662:$S662))</f>
        <v/>
      </c>
      <c r="AA662" s="19">
        <f>IF($Z662="","",INT(INDEX($N662:$S662,$Z662)))</f>
        <v/>
      </c>
      <c r="AB662" s="19">
        <f>IF(OR($Z662="",$Z662=6),"",WORKDAY($AA662,CHOOSE($Z662,3,3,2,2,3),Holidays))</f>
        <v/>
      </c>
      <c r="AC662" s="17">
        <f>IF(OR($Z662="",$Z662=6),"",CHOOSE($Z662,"1st Email Follow-up","2nd Email Follow-up","Escalate Local Office","Escalate to CBE","Escalate to Roxanne"))</f>
        <v/>
      </c>
    </row>
    <row r="663" spans="13:29">
      <c r="M663" s="14"/>
      <c r="T663" s="16"/>
      <c r="U663" s="17">
        <f>IF(AND(COUNTA($A663:$L663)=0,$N663=""),"",IF($T663="Paid","PAID",IF($T663="Closed","CLOSED",IF($Z663="","",IF($Z663=6,"ESCALATED TO ROXANNE",IF(TODAY()&gt;$AB663,"OVERDUE",IF($AB663&lt;=WORKDAY(TODAY(),1,Holidays),"DUE TOMORROW",IF($Z663=4,"ESCALATED TO LOCAL OFFICE",IF($Z663=5,"ESCALATED TO CBE",IF($AA663=TODAY(),"EMAIL SENT","MONITORING"))))))))))</f>
        <v/>
      </c>
      <c r="V663" s="17">
        <f>IF($U663="",IF(AND(COUNTA($A663:$L663)&gt;0,$N663=""),"Awaiting Collection Email time stamp.",""),IF(OR($U663="PAID",$U663="CLOSED"),IF($U663="PAID","Account paid. Action completed.","Account closed. No further action required."),CHOOSE($Z663,"Collection Email","1st Email Follow-up","2nd Email Follow-up","Escalation to Local Office","Escalation to CBE","Escalation to Roxanne")&amp;" sent "&amp;TEXT($AA663,"dd-mmm")&amp;". "&amp;IF($Z663=6,"Final escalation completed.",IF($U663="OVERDUE","Next: "&amp;$AC663&amp;" was due "&amp;TEXT($AB663,"dd-mmm")&amp;" - "&amp;(NETWORKDAYS($AB663,TODAY(),Holidays)-1)&amp;" business day(s) late. Send now.",IF($U663="DUE TOMORROW","Next: "&amp;$AC663&amp;IF($AB663&lt;=TODAY()," is due TODAY ("," is due next business day (")&amp;TEXT($AB663,"dd-mmm")&amp;").","Next: "&amp;$AC663&amp;" due "&amp;TEXT($AB663,"dd-mmm")&amp;" ("&amp;(NETWORKDAYS(TODAY(),$AB663,Holidays)-1)&amp;" business day(s) left).")))))</f>
        <v/>
      </c>
      <c r="W663" s="17">
        <f>IF($Z663="","",CHOOSE($Z663,"Collection Email","1st Follow-up","2nd Follow-up","Local Office","CBE","Roxanne")&amp;IF($Z663=6," - Final"," - Day "&amp;MAX(0,NETWORKDAYS($AA663,TODAY(),Holidays)-1)&amp;" of "&amp;CHOOSE($Z663,3,3,2,2,3))&amp;" | Total Day "&amp;MAX(0,NETWORKDAYS($N663,TODAY(),Holidays)-1))</f>
        <v/>
      </c>
      <c r="X663" s="18"/>
      <c r="Y663" s="18"/>
      <c r="Z663" s="17">
        <f>IF($N663="","",COUNT($N663:$S663))</f>
        <v/>
      </c>
      <c r="AA663" s="19">
        <f>IF($Z663="","",INT(INDEX($N663:$S663,$Z663)))</f>
        <v/>
      </c>
      <c r="AB663" s="19">
        <f>IF(OR($Z663="",$Z663=6),"",WORKDAY($AA663,CHOOSE($Z663,3,3,2,2,3),Holidays))</f>
        <v/>
      </c>
      <c r="AC663" s="17">
        <f>IF(OR($Z663="",$Z663=6),"",CHOOSE($Z663,"1st Email Follow-up","2nd Email Follow-up","Escalate Local Office","Escalate to CBE","Escalate to Roxanne"))</f>
        <v/>
      </c>
    </row>
    <row r="664" spans="13:29">
      <c r="M664" s="14"/>
      <c r="T664" s="16"/>
      <c r="U664" s="17">
        <f>IF(AND(COUNTA($A664:$L664)=0,$N664=""),"",IF($T664="Paid","PAID",IF($T664="Closed","CLOSED",IF($Z664="","",IF($Z664=6,"ESCALATED TO ROXANNE",IF(TODAY()&gt;$AB664,"OVERDUE",IF($AB664&lt;=WORKDAY(TODAY(),1,Holidays),"DUE TOMORROW",IF($Z664=4,"ESCALATED TO LOCAL OFFICE",IF($Z664=5,"ESCALATED TO CBE",IF($AA664=TODAY(),"EMAIL SENT","MONITORING"))))))))))</f>
        <v/>
      </c>
      <c r="V664" s="17">
        <f>IF($U664="",IF(AND(COUNTA($A664:$L664)&gt;0,$N664=""),"Awaiting Collection Email time stamp.",""),IF(OR($U664="PAID",$U664="CLOSED"),IF($U664="PAID","Account paid. Action completed.","Account closed. No further action required."),CHOOSE($Z664,"Collection Email","1st Email Follow-up","2nd Email Follow-up","Escalation to Local Office","Escalation to CBE","Escalation to Roxanne")&amp;" sent "&amp;TEXT($AA664,"dd-mmm")&amp;". "&amp;IF($Z664=6,"Final escalation completed.",IF($U664="OVERDUE","Next: "&amp;$AC664&amp;" was due "&amp;TEXT($AB664,"dd-mmm")&amp;" - "&amp;(NETWORKDAYS($AB664,TODAY(),Holidays)-1)&amp;" business day(s) late. Send now.",IF($U664="DUE TOMORROW","Next: "&amp;$AC664&amp;IF($AB664&lt;=TODAY()," is due TODAY ("," is due next business day (")&amp;TEXT($AB664,"dd-mmm")&amp;").","Next: "&amp;$AC664&amp;" due "&amp;TEXT($AB664,"dd-mmm")&amp;" ("&amp;(NETWORKDAYS(TODAY(),$AB664,Holidays)-1)&amp;" business day(s) left).")))))</f>
        <v/>
      </c>
      <c r="W664" s="17">
        <f>IF($Z664="","",CHOOSE($Z664,"Collection Email","1st Follow-up","2nd Follow-up","Local Office","CBE","Roxanne")&amp;IF($Z664=6," - Final"," - Day "&amp;MAX(0,NETWORKDAYS($AA664,TODAY(),Holidays)-1)&amp;" of "&amp;CHOOSE($Z664,3,3,2,2,3))&amp;" | Total Day "&amp;MAX(0,NETWORKDAYS($N664,TODAY(),Holidays)-1))</f>
        <v/>
      </c>
      <c r="X664" s="18"/>
      <c r="Y664" s="18"/>
      <c r="Z664" s="17">
        <f>IF($N664="","",COUNT($N664:$S664))</f>
        <v/>
      </c>
      <c r="AA664" s="19">
        <f>IF($Z664="","",INT(INDEX($N664:$S664,$Z664)))</f>
        <v/>
      </c>
      <c r="AB664" s="19">
        <f>IF(OR($Z664="",$Z664=6),"",WORKDAY($AA664,CHOOSE($Z664,3,3,2,2,3),Holidays))</f>
        <v/>
      </c>
      <c r="AC664" s="17">
        <f>IF(OR($Z664="",$Z664=6),"",CHOOSE($Z664,"1st Email Follow-up","2nd Email Follow-up","Escalate Local Office","Escalate to CBE","Escalate to Roxanne"))</f>
        <v/>
      </c>
    </row>
    <row r="665" spans="13:29">
      <c r="M665" s="14"/>
      <c r="T665" s="16"/>
      <c r="U665" s="17">
        <f>IF(AND(COUNTA($A665:$L665)=0,$N665=""),"",IF($T665="Paid","PAID",IF($T665="Closed","CLOSED",IF($Z665="","",IF($Z665=6,"ESCALATED TO ROXANNE",IF(TODAY()&gt;$AB665,"OVERDUE",IF($AB665&lt;=WORKDAY(TODAY(),1,Holidays),"DUE TOMORROW",IF($Z665=4,"ESCALATED TO LOCAL OFFICE",IF($Z665=5,"ESCALATED TO CBE",IF($AA665=TODAY(),"EMAIL SENT","MONITORING"))))))))))</f>
        <v/>
      </c>
      <c r="V665" s="17">
        <f>IF($U665="",IF(AND(COUNTA($A665:$L665)&gt;0,$N665=""),"Awaiting Collection Email time stamp.",""),IF(OR($U665="PAID",$U665="CLOSED"),IF($U665="PAID","Account paid. Action completed.","Account closed. No further action required."),CHOOSE($Z665,"Collection Email","1st Email Follow-up","2nd Email Follow-up","Escalation to Local Office","Escalation to CBE","Escalation to Roxanne")&amp;" sent "&amp;TEXT($AA665,"dd-mmm")&amp;". "&amp;IF($Z665=6,"Final escalation completed.",IF($U665="OVERDUE","Next: "&amp;$AC665&amp;" was due "&amp;TEXT($AB665,"dd-mmm")&amp;" - "&amp;(NETWORKDAYS($AB665,TODAY(),Holidays)-1)&amp;" business day(s) late. Send now.",IF($U665="DUE TOMORROW","Next: "&amp;$AC665&amp;IF($AB665&lt;=TODAY()," is due TODAY ("," is due next business day (")&amp;TEXT($AB665,"dd-mmm")&amp;").","Next: "&amp;$AC665&amp;" due "&amp;TEXT($AB665,"dd-mmm")&amp;" ("&amp;(NETWORKDAYS(TODAY(),$AB665,Holidays)-1)&amp;" business day(s) left).")))))</f>
        <v/>
      </c>
      <c r="W665" s="17">
        <f>IF($Z665="","",CHOOSE($Z665,"Collection Email","1st Follow-up","2nd Follow-up","Local Office","CBE","Roxanne")&amp;IF($Z665=6," - Final"," - Day "&amp;MAX(0,NETWORKDAYS($AA665,TODAY(),Holidays)-1)&amp;" of "&amp;CHOOSE($Z665,3,3,2,2,3))&amp;" | Total Day "&amp;MAX(0,NETWORKDAYS($N665,TODAY(),Holidays)-1))</f>
        <v/>
      </c>
      <c r="X665" s="18"/>
      <c r="Y665" s="18"/>
      <c r="Z665" s="17">
        <f>IF($N665="","",COUNT($N665:$S665))</f>
        <v/>
      </c>
      <c r="AA665" s="19">
        <f>IF($Z665="","",INT(INDEX($N665:$S665,$Z665)))</f>
        <v/>
      </c>
      <c r="AB665" s="19">
        <f>IF(OR($Z665="",$Z665=6),"",WORKDAY($AA665,CHOOSE($Z665,3,3,2,2,3),Holidays))</f>
        <v/>
      </c>
      <c r="AC665" s="17">
        <f>IF(OR($Z665="",$Z665=6),"",CHOOSE($Z665,"1st Email Follow-up","2nd Email Follow-up","Escalate Local Office","Escalate to CBE","Escalate to Roxanne"))</f>
        <v/>
      </c>
    </row>
    <row r="666" spans="13:29">
      <c r="M666" s="14"/>
      <c r="T666" s="16"/>
      <c r="U666" s="17">
        <f>IF(AND(COUNTA($A666:$L666)=0,$N666=""),"",IF($T666="Paid","PAID",IF($T666="Closed","CLOSED",IF($Z666="","",IF($Z666=6,"ESCALATED TO ROXANNE",IF(TODAY()&gt;$AB666,"OVERDUE",IF($AB666&lt;=WORKDAY(TODAY(),1,Holidays),"DUE TOMORROW",IF($Z666=4,"ESCALATED TO LOCAL OFFICE",IF($Z666=5,"ESCALATED TO CBE",IF($AA666=TODAY(),"EMAIL SENT","MONITORING"))))))))))</f>
        <v/>
      </c>
      <c r="V666" s="17">
        <f>IF($U666="",IF(AND(COUNTA($A666:$L666)&gt;0,$N666=""),"Awaiting Collection Email time stamp.",""),IF(OR($U666="PAID",$U666="CLOSED"),IF($U666="PAID","Account paid. Action completed.","Account closed. No further action required."),CHOOSE($Z666,"Collection Email","1st Email Follow-up","2nd Email Follow-up","Escalation to Local Office","Escalation to CBE","Escalation to Roxanne")&amp;" sent "&amp;TEXT($AA666,"dd-mmm")&amp;". "&amp;IF($Z666=6,"Final escalation completed.",IF($U666="OVERDUE","Next: "&amp;$AC666&amp;" was due "&amp;TEXT($AB666,"dd-mmm")&amp;" - "&amp;(NETWORKDAYS($AB666,TODAY(),Holidays)-1)&amp;" business day(s) late. Send now.",IF($U666="DUE TOMORROW","Next: "&amp;$AC666&amp;IF($AB666&lt;=TODAY()," is due TODAY ("," is due next business day (")&amp;TEXT($AB666,"dd-mmm")&amp;").","Next: "&amp;$AC666&amp;" due "&amp;TEXT($AB666,"dd-mmm")&amp;" ("&amp;(NETWORKDAYS(TODAY(),$AB666,Holidays)-1)&amp;" business day(s) left).")))))</f>
        <v/>
      </c>
      <c r="W666" s="17">
        <f>IF($Z666="","",CHOOSE($Z666,"Collection Email","1st Follow-up","2nd Follow-up","Local Office","CBE","Roxanne")&amp;IF($Z666=6," - Final"," - Day "&amp;MAX(0,NETWORKDAYS($AA666,TODAY(),Holidays)-1)&amp;" of "&amp;CHOOSE($Z666,3,3,2,2,3))&amp;" | Total Day "&amp;MAX(0,NETWORKDAYS($N666,TODAY(),Holidays)-1))</f>
        <v/>
      </c>
      <c r="X666" s="18"/>
      <c r="Y666" s="18"/>
      <c r="Z666" s="17">
        <f>IF($N666="","",COUNT($N666:$S666))</f>
        <v/>
      </c>
      <c r="AA666" s="19">
        <f>IF($Z666="","",INT(INDEX($N666:$S666,$Z666)))</f>
        <v/>
      </c>
      <c r="AB666" s="19">
        <f>IF(OR($Z666="",$Z666=6),"",WORKDAY($AA666,CHOOSE($Z666,3,3,2,2,3),Holidays))</f>
        <v/>
      </c>
      <c r="AC666" s="17">
        <f>IF(OR($Z666="",$Z666=6),"",CHOOSE($Z666,"1st Email Follow-up","2nd Email Follow-up","Escalate Local Office","Escalate to CBE","Escalate to Roxanne"))</f>
        <v/>
      </c>
    </row>
    <row r="667" spans="13:29">
      <c r="M667" s="14"/>
      <c r="T667" s="16"/>
      <c r="U667" s="17">
        <f>IF(AND(COUNTA($A667:$L667)=0,$N667=""),"",IF($T667="Paid","PAID",IF($T667="Closed","CLOSED",IF($Z667="","",IF($Z667=6,"ESCALATED TO ROXANNE",IF(TODAY()&gt;$AB667,"OVERDUE",IF($AB667&lt;=WORKDAY(TODAY(),1,Holidays),"DUE TOMORROW",IF($Z667=4,"ESCALATED TO LOCAL OFFICE",IF($Z667=5,"ESCALATED TO CBE",IF($AA667=TODAY(),"EMAIL SENT","MONITORING"))))))))))</f>
        <v/>
      </c>
      <c r="V667" s="17">
        <f>IF($U667="",IF(AND(COUNTA($A667:$L667)&gt;0,$N667=""),"Awaiting Collection Email time stamp.",""),IF(OR($U667="PAID",$U667="CLOSED"),IF($U667="PAID","Account paid. Action completed.","Account closed. No further action required."),CHOOSE($Z667,"Collection Email","1st Email Follow-up","2nd Email Follow-up","Escalation to Local Office","Escalation to CBE","Escalation to Roxanne")&amp;" sent "&amp;TEXT($AA667,"dd-mmm")&amp;". "&amp;IF($Z667=6,"Final escalation completed.",IF($U667="OVERDUE","Next: "&amp;$AC667&amp;" was due "&amp;TEXT($AB667,"dd-mmm")&amp;" - "&amp;(NETWORKDAYS($AB667,TODAY(),Holidays)-1)&amp;" business day(s) late. Send now.",IF($U667="DUE TOMORROW","Next: "&amp;$AC667&amp;IF($AB667&lt;=TODAY()," is due TODAY ("," is due next business day (")&amp;TEXT($AB667,"dd-mmm")&amp;").","Next: "&amp;$AC667&amp;" due "&amp;TEXT($AB667,"dd-mmm")&amp;" ("&amp;(NETWORKDAYS(TODAY(),$AB667,Holidays)-1)&amp;" business day(s) left).")))))</f>
        <v/>
      </c>
      <c r="W667" s="17">
        <f>IF($Z667="","",CHOOSE($Z667,"Collection Email","1st Follow-up","2nd Follow-up","Local Office","CBE","Roxanne")&amp;IF($Z667=6," - Final"," - Day "&amp;MAX(0,NETWORKDAYS($AA667,TODAY(),Holidays)-1)&amp;" of "&amp;CHOOSE($Z667,3,3,2,2,3))&amp;" | Total Day "&amp;MAX(0,NETWORKDAYS($N667,TODAY(),Holidays)-1))</f>
        <v/>
      </c>
      <c r="X667" s="18"/>
      <c r="Y667" s="18"/>
      <c r="Z667" s="17">
        <f>IF($N667="","",COUNT($N667:$S667))</f>
        <v/>
      </c>
      <c r="AA667" s="19">
        <f>IF($Z667="","",INT(INDEX($N667:$S667,$Z667)))</f>
        <v/>
      </c>
      <c r="AB667" s="19">
        <f>IF(OR($Z667="",$Z667=6),"",WORKDAY($AA667,CHOOSE($Z667,3,3,2,2,3),Holidays))</f>
        <v/>
      </c>
      <c r="AC667" s="17">
        <f>IF(OR($Z667="",$Z667=6),"",CHOOSE($Z667,"1st Email Follow-up","2nd Email Follow-up","Escalate Local Office","Escalate to CBE","Escalate to Roxanne"))</f>
        <v/>
      </c>
    </row>
    <row r="668" spans="13:29">
      <c r="M668" s="14"/>
      <c r="T668" s="16"/>
      <c r="U668" s="17">
        <f>IF(AND(COUNTA($A668:$L668)=0,$N668=""),"",IF($T668="Paid","PAID",IF($T668="Closed","CLOSED",IF($Z668="","",IF($Z668=6,"ESCALATED TO ROXANNE",IF(TODAY()&gt;$AB668,"OVERDUE",IF($AB668&lt;=WORKDAY(TODAY(),1,Holidays),"DUE TOMORROW",IF($Z668=4,"ESCALATED TO LOCAL OFFICE",IF($Z668=5,"ESCALATED TO CBE",IF($AA668=TODAY(),"EMAIL SENT","MONITORING"))))))))))</f>
        <v/>
      </c>
      <c r="V668" s="17">
        <f>IF($U668="",IF(AND(COUNTA($A668:$L668)&gt;0,$N668=""),"Awaiting Collection Email time stamp.",""),IF(OR($U668="PAID",$U668="CLOSED"),IF($U668="PAID","Account paid. Action completed.","Account closed. No further action required."),CHOOSE($Z668,"Collection Email","1st Email Follow-up","2nd Email Follow-up","Escalation to Local Office","Escalation to CBE","Escalation to Roxanne")&amp;" sent "&amp;TEXT($AA668,"dd-mmm")&amp;". "&amp;IF($Z668=6,"Final escalation completed.",IF($U668="OVERDUE","Next: "&amp;$AC668&amp;" was due "&amp;TEXT($AB668,"dd-mmm")&amp;" - "&amp;(NETWORKDAYS($AB668,TODAY(),Holidays)-1)&amp;" business day(s) late. Send now.",IF($U668="DUE TOMORROW","Next: "&amp;$AC668&amp;IF($AB668&lt;=TODAY()," is due TODAY ("," is due next business day (")&amp;TEXT($AB668,"dd-mmm")&amp;").","Next: "&amp;$AC668&amp;" due "&amp;TEXT($AB668,"dd-mmm")&amp;" ("&amp;(NETWORKDAYS(TODAY(),$AB668,Holidays)-1)&amp;" business day(s) left).")))))</f>
        <v/>
      </c>
      <c r="W668" s="17">
        <f>IF($Z668="","",CHOOSE($Z668,"Collection Email","1st Follow-up","2nd Follow-up","Local Office","CBE","Roxanne")&amp;IF($Z668=6," - Final"," - Day "&amp;MAX(0,NETWORKDAYS($AA668,TODAY(),Holidays)-1)&amp;" of "&amp;CHOOSE($Z668,3,3,2,2,3))&amp;" | Total Day "&amp;MAX(0,NETWORKDAYS($N668,TODAY(),Holidays)-1))</f>
        <v/>
      </c>
      <c r="X668" s="18"/>
      <c r="Y668" s="18"/>
      <c r="Z668" s="17">
        <f>IF($N668="","",COUNT($N668:$S668))</f>
        <v/>
      </c>
      <c r="AA668" s="19">
        <f>IF($Z668="","",INT(INDEX($N668:$S668,$Z668)))</f>
        <v/>
      </c>
      <c r="AB668" s="19">
        <f>IF(OR($Z668="",$Z668=6),"",WORKDAY($AA668,CHOOSE($Z668,3,3,2,2,3),Holidays))</f>
        <v/>
      </c>
      <c r="AC668" s="17">
        <f>IF(OR($Z668="",$Z668=6),"",CHOOSE($Z668,"1st Email Follow-up","2nd Email Follow-up","Escalate Local Office","Escalate to CBE","Escalate to Roxanne"))</f>
        <v/>
      </c>
    </row>
    <row r="669" spans="13:29">
      <c r="M669" s="14"/>
      <c r="T669" s="16"/>
      <c r="U669" s="17">
        <f>IF(AND(COUNTA($A669:$L669)=0,$N669=""),"",IF($T669="Paid","PAID",IF($T669="Closed","CLOSED",IF($Z669="","",IF($Z669=6,"ESCALATED TO ROXANNE",IF(TODAY()&gt;$AB669,"OVERDUE",IF($AB669&lt;=WORKDAY(TODAY(),1,Holidays),"DUE TOMORROW",IF($Z669=4,"ESCALATED TO LOCAL OFFICE",IF($Z669=5,"ESCALATED TO CBE",IF($AA669=TODAY(),"EMAIL SENT","MONITORING"))))))))))</f>
        <v/>
      </c>
      <c r="V669" s="17">
        <f>IF($U669="",IF(AND(COUNTA($A669:$L669)&gt;0,$N669=""),"Awaiting Collection Email time stamp.",""),IF(OR($U669="PAID",$U669="CLOSED"),IF($U669="PAID","Account paid. Action completed.","Account closed. No further action required."),CHOOSE($Z669,"Collection Email","1st Email Follow-up","2nd Email Follow-up","Escalation to Local Office","Escalation to CBE","Escalation to Roxanne")&amp;" sent "&amp;TEXT($AA669,"dd-mmm")&amp;". "&amp;IF($Z669=6,"Final escalation completed.",IF($U669="OVERDUE","Next: "&amp;$AC669&amp;" was due "&amp;TEXT($AB669,"dd-mmm")&amp;" - "&amp;(NETWORKDAYS($AB669,TODAY(),Holidays)-1)&amp;" business day(s) late. Send now.",IF($U669="DUE TOMORROW","Next: "&amp;$AC669&amp;IF($AB669&lt;=TODAY()," is due TODAY ("," is due next business day (")&amp;TEXT($AB669,"dd-mmm")&amp;").","Next: "&amp;$AC669&amp;" due "&amp;TEXT($AB669,"dd-mmm")&amp;" ("&amp;(NETWORKDAYS(TODAY(),$AB669,Holidays)-1)&amp;" business day(s) left).")))))</f>
        <v/>
      </c>
      <c r="W669" s="17">
        <f>IF($Z669="","",CHOOSE($Z669,"Collection Email","1st Follow-up","2nd Follow-up","Local Office","CBE","Roxanne")&amp;IF($Z669=6," - Final"," - Day "&amp;MAX(0,NETWORKDAYS($AA669,TODAY(),Holidays)-1)&amp;" of "&amp;CHOOSE($Z669,3,3,2,2,3))&amp;" | Total Day "&amp;MAX(0,NETWORKDAYS($N669,TODAY(),Holidays)-1))</f>
        <v/>
      </c>
      <c r="X669" s="18"/>
      <c r="Y669" s="18"/>
      <c r="Z669" s="17">
        <f>IF($N669="","",COUNT($N669:$S669))</f>
        <v/>
      </c>
      <c r="AA669" s="19">
        <f>IF($Z669="","",INT(INDEX($N669:$S669,$Z669)))</f>
        <v/>
      </c>
      <c r="AB669" s="19">
        <f>IF(OR($Z669="",$Z669=6),"",WORKDAY($AA669,CHOOSE($Z669,3,3,2,2,3),Holidays))</f>
        <v/>
      </c>
      <c r="AC669" s="17">
        <f>IF(OR($Z669="",$Z669=6),"",CHOOSE($Z669,"1st Email Follow-up","2nd Email Follow-up","Escalate Local Office","Escalate to CBE","Escalate to Roxanne"))</f>
        <v/>
      </c>
    </row>
    <row r="670" spans="13:29">
      <c r="M670" s="14"/>
      <c r="T670" s="16"/>
      <c r="U670" s="17">
        <f>IF(AND(COUNTA($A670:$L670)=0,$N670=""),"",IF($T670="Paid","PAID",IF($T670="Closed","CLOSED",IF($Z670="","",IF($Z670=6,"ESCALATED TO ROXANNE",IF(TODAY()&gt;$AB670,"OVERDUE",IF($AB670&lt;=WORKDAY(TODAY(),1,Holidays),"DUE TOMORROW",IF($Z670=4,"ESCALATED TO LOCAL OFFICE",IF($Z670=5,"ESCALATED TO CBE",IF($AA670=TODAY(),"EMAIL SENT","MONITORING"))))))))))</f>
        <v/>
      </c>
      <c r="V670" s="17">
        <f>IF($U670="",IF(AND(COUNTA($A670:$L670)&gt;0,$N670=""),"Awaiting Collection Email time stamp.",""),IF(OR($U670="PAID",$U670="CLOSED"),IF($U670="PAID","Account paid. Action completed.","Account closed. No further action required."),CHOOSE($Z670,"Collection Email","1st Email Follow-up","2nd Email Follow-up","Escalation to Local Office","Escalation to CBE","Escalation to Roxanne")&amp;" sent "&amp;TEXT($AA670,"dd-mmm")&amp;". "&amp;IF($Z670=6,"Final escalation completed.",IF($U670="OVERDUE","Next: "&amp;$AC670&amp;" was due "&amp;TEXT($AB670,"dd-mmm")&amp;" - "&amp;(NETWORKDAYS($AB670,TODAY(),Holidays)-1)&amp;" business day(s) late. Send now.",IF($U670="DUE TOMORROW","Next: "&amp;$AC670&amp;IF($AB670&lt;=TODAY()," is due TODAY ("," is due next business day (")&amp;TEXT($AB670,"dd-mmm")&amp;").","Next: "&amp;$AC670&amp;" due "&amp;TEXT($AB670,"dd-mmm")&amp;" ("&amp;(NETWORKDAYS(TODAY(),$AB670,Holidays)-1)&amp;" business day(s) left).")))))</f>
        <v/>
      </c>
      <c r="W670" s="17">
        <f>IF($Z670="","",CHOOSE($Z670,"Collection Email","1st Follow-up","2nd Follow-up","Local Office","CBE","Roxanne")&amp;IF($Z670=6," - Final"," - Day "&amp;MAX(0,NETWORKDAYS($AA670,TODAY(),Holidays)-1)&amp;" of "&amp;CHOOSE($Z670,3,3,2,2,3))&amp;" | Total Day "&amp;MAX(0,NETWORKDAYS($N670,TODAY(),Holidays)-1))</f>
        <v/>
      </c>
      <c r="X670" s="18"/>
      <c r="Y670" s="18"/>
      <c r="Z670" s="17">
        <f>IF($N670="","",COUNT($N670:$S670))</f>
        <v/>
      </c>
      <c r="AA670" s="19">
        <f>IF($Z670="","",INT(INDEX($N670:$S670,$Z670)))</f>
        <v/>
      </c>
      <c r="AB670" s="19">
        <f>IF(OR($Z670="",$Z670=6),"",WORKDAY($AA670,CHOOSE($Z670,3,3,2,2,3),Holidays))</f>
        <v/>
      </c>
      <c r="AC670" s="17">
        <f>IF(OR($Z670="",$Z670=6),"",CHOOSE($Z670,"1st Email Follow-up","2nd Email Follow-up","Escalate Local Office","Escalate to CBE","Escalate to Roxanne"))</f>
        <v/>
      </c>
    </row>
    <row r="671" spans="13:29">
      <c r="M671" s="14"/>
      <c r="T671" s="16"/>
      <c r="U671" s="17">
        <f>IF(AND(COUNTA($A671:$L671)=0,$N671=""),"",IF($T671="Paid","PAID",IF($T671="Closed","CLOSED",IF($Z671="","",IF($Z671=6,"ESCALATED TO ROXANNE",IF(TODAY()&gt;$AB671,"OVERDUE",IF($AB671&lt;=WORKDAY(TODAY(),1,Holidays),"DUE TOMORROW",IF($Z671=4,"ESCALATED TO LOCAL OFFICE",IF($Z671=5,"ESCALATED TO CBE",IF($AA671=TODAY(),"EMAIL SENT","MONITORING"))))))))))</f>
        <v/>
      </c>
      <c r="V671" s="17">
        <f>IF($U671="",IF(AND(COUNTA($A671:$L671)&gt;0,$N671=""),"Awaiting Collection Email time stamp.",""),IF(OR($U671="PAID",$U671="CLOSED"),IF($U671="PAID","Account paid. Action completed.","Account closed. No further action required."),CHOOSE($Z671,"Collection Email","1st Email Follow-up","2nd Email Follow-up","Escalation to Local Office","Escalation to CBE","Escalation to Roxanne")&amp;" sent "&amp;TEXT($AA671,"dd-mmm")&amp;". "&amp;IF($Z671=6,"Final escalation completed.",IF($U671="OVERDUE","Next: "&amp;$AC671&amp;" was due "&amp;TEXT($AB671,"dd-mmm")&amp;" - "&amp;(NETWORKDAYS($AB671,TODAY(),Holidays)-1)&amp;" business day(s) late. Send now.",IF($U671="DUE TOMORROW","Next: "&amp;$AC671&amp;IF($AB671&lt;=TODAY()," is due TODAY ("," is due next business day (")&amp;TEXT($AB671,"dd-mmm")&amp;").","Next: "&amp;$AC671&amp;" due "&amp;TEXT($AB671,"dd-mmm")&amp;" ("&amp;(NETWORKDAYS(TODAY(),$AB671,Holidays)-1)&amp;" business day(s) left).")))))</f>
        <v/>
      </c>
      <c r="W671" s="17">
        <f>IF($Z671="","",CHOOSE($Z671,"Collection Email","1st Follow-up","2nd Follow-up","Local Office","CBE","Roxanne")&amp;IF($Z671=6," - Final"," - Day "&amp;MAX(0,NETWORKDAYS($AA671,TODAY(),Holidays)-1)&amp;" of "&amp;CHOOSE($Z671,3,3,2,2,3))&amp;" | Total Day "&amp;MAX(0,NETWORKDAYS($N671,TODAY(),Holidays)-1))</f>
        <v/>
      </c>
      <c r="X671" s="18"/>
      <c r="Y671" s="18"/>
      <c r="Z671" s="17">
        <f>IF($N671="","",COUNT($N671:$S671))</f>
        <v/>
      </c>
      <c r="AA671" s="19">
        <f>IF($Z671="","",INT(INDEX($N671:$S671,$Z671)))</f>
        <v/>
      </c>
      <c r="AB671" s="19">
        <f>IF(OR($Z671="",$Z671=6),"",WORKDAY($AA671,CHOOSE($Z671,3,3,2,2,3),Holidays))</f>
        <v/>
      </c>
      <c r="AC671" s="17">
        <f>IF(OR($Z671="",$Z671=6),"",CHOOSE($Z671,"1st Email Follow-up","2nd Email Follow-up","Escalate Local Office","Escalate to CBE","Escalate to Roxanne"))</f>
        <v/>
      </c>
    </row>
    <row r="672" spans="13:29">
      <c r="M672" s="14"/>
      <c r="T672" s="16"/>
      <c r="U672" s="17">
        <f>IF(AND(COUNTA($A672:$L672)=0,$N672=""),"",IF($T672="Paid","PAID",IF($T672="Closed","CLOSED",IF($Z672="","",IF($Z672=6,"ESCALATED TO ROXANNE",IF(TODAY()&gt;$AB672,"OVERDUE",IF($AB672&lt;=WORKDAY(TODAY(),1,Holidays),"DUE TOMORROW",IF($Z672=4,"ESCALATED TO LOCAL OFFICE",IF($Z672=5,"ESCALATED TO CBE",IF($AA672=TODAY(),"EMAIL SENT","MONITORING"))))))))))</f>
        <v/>
      </c>
      <c r="V672" s="17">
        <f>IF($U672="",IF(AND(COUNTA($A672:$L672)&gt;0,$N672=""),"Awaiting Collection Email time stamp.",""),IF(OR($U672="PAID",$U672="CLOSED"),IF($U672="PAID","Account paid. Action completed.","Account closed. No further action required."),CHOOSE($Z672,"Collection Email","1st Email Follow-up","2nd Email Follow-up","Escalation to Local Office","Escalation to CBE","Escalation to Roxanne")&amp;" sent "&amp;TEXT($AA672,"dd-mmm")&amp;". "&amp;IF($Z672=6,"Final escalation completed.",IF($U672="OVERDUE","Next: "&amp;$AC672&amp;" was due "&amp;TEXT($AB672,"dd-mmm")&amp;" - "&amp;(NETWORKDAYS($AB672,TODAY(),Holidays)-1)&amp;" business day(s) late. Send now.",IF($U672="DUE TOMORROW","Next: "&amp;$AC672&amp;IF($AB672&lt;=TODAY()," is due TODAY ("," is due next business day (")&amp;TEXT($AB672,"dd-mmm")&amp;").","Next: "&amp;$AC672&amp;" due "&amp;TEXT($AB672,"dd-mmm")&amp;" ("&amp;(NETWORKDAYS(TODAY(),$AB672,Holidays)-1)&amp;" business day(s) left).")))))</f>
        <v/>
      </c>
      <c r="W672" s="17">
        <f>IF($Z672="","",CHOOSE($Z672,"Collection Email","1st Follow-up","2nd Follow-up","Local Office","CBE","Roxanne")&amp;IF($Z672=6," - Final"," - Day "&amp;MAX(0,NETWORKDAYS($AA672,TODAY(),Holidays)-1)&amp;" of "&amp;CHOOSE($Z672,3,3,2,2,3))&amp;" | Total Day "&amp;MAX(0,NETWORKDAYS($N672,TODAY(),Holidays)-1))</f>
        <v/>
      </c>
      <c r="X672" s="18"/>
      <c r="Y672" s="18"/>
      <c r="Z672" s="17">
        <f>IF($N672="","",COUNT($N672:$S672))</f>
        <v/>
      </c>
      <c r="AA672" s="19">
        <f>IF($Z672="","",INT(INDEX($N672:$S672,$Z672)))</f>
        <v/>
      </c>
      <c r="AB672" s="19">
        <f>IF(OR($Z672="",$Z672=6),"",WORKDAY($AA672,CHOOSE($Z672,3,3,2,2,3),Holidays))</f>
        <v/>
      </c>
      <c r="AC672" s="17">
        <f>IF(OR($Z672="",$Z672=6),"",CHOOSE($Z672,"1st Email Follow-up","2nd Email Follow-up","Escalate Local Office","Escalate to CBE","Escalate to Roxanne"))</f>
        <v/>
      </c>
    </row>
    <row r="673" spans="13:29">
      <c r="M673" s="14"/>
      <c r="T673" s="16"/>
      <c r="U673" s="17">
        <f>IF(AND(COUNTA($A673:$L673)=0,$N673=""),"",IF($T673="Paid","PAID",IF($T673="Closed","CLOSED",IF($Z673="","",IF($Z673=6,"ESCALATED TO ROXANNE",IF(TODAY()&gt;$AB673,"OVERDUE",IF($AB673&lt;=WORKDAY(TODAY(),1,Holidays),"DUE TOMORROW",IF($Z673=4,"ESCALATED TO LOCAL OFFICE",IF($Z673=5,"ESCALATED TO CBE",IF($AA673=TODAY(),"EMAIL SENT","MONITORING"))))))))))</f>
        <v/>
      </c>
      <c r="V673" s="17">
        <f>IF($U673="",IF(AND(COUNTA($A673:$L673)&gt;0,$N673=""),"Awaiting Collection Email time stamp.",""),IF(OR($U673="PAID",$U673="CLOSED"),IF($U673="PAID","Account paid. Action completed.","Account closed. No further action required."),CHOOSE($Z673,"Collection Email","1st Email Follow-up","2nd Email Follow-up","Escalation to Local Office","Escalation to CBE","Escalation to Roxanne")&amp;" sent "&amp;TEXT($AA673,"dd-mmm")&amp;". "&amp;IF($Z673=6,"Final escalation completed.",IF($U673="OVERDUE","Next: "&amp;$AC673&amp;" was due "&amp;TEXT($AB673,"dd-mmm")&amp;" - "&amp;(NETWORKDAYS($AB673,TODAY(),Holidays)-1)&amp;" business day(s) late. Send now.",IF($U673="DUE TOMORROW","Next: "&amp;$AC673&amp;IF($AB673&lt;=TODAY()," is due TODAY ("," is due next business day (")&amp;TEXT($AB673,"dd-mmm")&amp;").","Next: "&amp;$AC673&amp;" due "&amp;TEXT($AB673,"dd-mmm")&amp;" ("&amp;(NETWORKDAYS(TODAY(),$AB673,Holidays)-1)&amp;" business day(s) left).")))))</f>
        <v/>
      </c>
      <c r="W673" s="17">
        <f>IF($Z673="","",CHOOSE($Z673,"Collection Email","1st Follow-up","2nd Follow-up","Local Office","CBE","Roxanne")&amp;IF($Z673=6," - Final"," - Day "&amp;MAX(0,NETWORKDAYS($AA673,TODAY(),Holidays)-1)&amp;" of "&amp;CHOOSE($Z673,3,3,2,2,3))&amp;" | Total Day "&amp;MAX(0,NETWORKDAYS($N673,TODAY(),Holidays)-1))</f>
        <v/>
      </c>
      <c r="X673" s="18"/>
      <c r="Y673" s="18"/>
      <c r="Z673" s="17">
        <f>IF($N673="","",COUNT($N673:$S673))</f>
        <v/>
      </c>
      <c r="AA673" s="19">
        <f>IF($Z673="","",INT(INDEX($N673:$S673,$Z673)))</f>
        <v/>
      </c>
      <c r="AB673" s="19">
        <f>IF(OR($Z673="",$Z673=6),"",WORKDAY($AA673,CHOOSE($Z673,3,3,2,2,3),Holidays))</f>
        <v/>
      </c>
      <c r="AC673" s="17">
        <f>IF(OR($Z673="",$Z673=6),"",CHOOSE($Z673,"1st Email Follow-up","2nd Email Follow-up","Escalate Local Office","Escalate to CBE","Escalate to Roxanne"))</f>
        <v/>
      </c>
    </row>
    <row r="674" spans="13:29">
      <c r="M674" s="14"/>
      <c r="T674" s="16"/>
      <c r="U674" s="17">
        <f>IF(AND(COUNTA($A674:$L674)=0,$N674=""),"",IF($T674="Paid","PAID",IF($T674="Closed","CLOSED",IF($Z674="","",IF($Z674=6,"ESCALATED TO ROXANNE",IF(TODAY()&gt;$AB674,"OVERDUE",IF($AB674&lt;=WORKDAY(TODAY(),1,Holidays),"DUE TOMORROW",IF($Z674=4,"ESCALATED TO LOCAL OFFICE",IF($Z674=5,"ESCALATED TO CBE",IF($AA674=TODAY(),"EMAIL SENT","MONITORING"))))))))))</f>
        <v/>
      </c>
      <c r="V674" s="17">
        <f>IF($U674="",IF(AND(COUNTA($A674:$L674)&gt;0,$N674=""),"Awaiting Collection Email time stamp.",""),IF(OR($U674="PAID",$U674="CLOSED"),IF($U674="PAID","Account paid. Action completed.","Account closed. No further action required."),CHOOSE($Z674,"Collection Email","1st Email Follow-up","2nd Email Follow-up","Escalation to Local Office","Escalation to CBE","Escalation to Roxanne")&amp;" sent "&amp;TEXT($AA674,"dd-mmm")&amp;". "&amp;IF($Z674=6,"Final escalation completed.",IF($U674="OVERDUE","Next: "&amp;$AC674&amp;" was due "&amp;TEXT($AB674,"dd-mmm")&amp;" - "&amp;(NETWORKDAYS($AB674,TODAY(),Holidays)-1)&amp;" business day(s) late. Send now.",IF($U674="DUE TOMORROW","Next: "&amp;$AC674&amp;IF($AB674&lt;=TODAY()," is due TODAY ("," is due next business day (")&amp;TEXT($AB674,"dd-mmm")&amp;").","Next: "&amp;$AC674&amp;" due "&amp;TEXT($AB674,"dd-mmm")&amp;" ("&amp;(NETWORKDAYS(TODAY(),$AB674,Holidays)-1)&amp;" business day(s) left).")))))</f>
        <v/>
      </c>
      <c r="W674" s="17">
        <f>IF($Z674="","",CHOOSE($Z674,"Collection Email","1st Follow-up","2nd Follow-up","Local Office","CBE","Roxanne")&amp;IF($Z674=6," - Final"," - Day "&amp;MAX(0,NETWORKDAYS($AA674,TODAY(),Holidays)-1)&amp;" of "&amp;CHOOSE($Z674,3,3,2,2,3))&amp;" | Total Day "&amp;MAX(0,NETWORKDAYS($N674,TODAY(),Holidays)-1))</f>
        <v/>
      </c>
      <c r="X674" s="18"/>
      <c r="Y674" s="18"/>
      <c r="Z674" s="17">
        <f>IF($N674="","",COUNT($N674:$S674))</f>
        <v/>
      </c>
      <c r="AA674" s="19">
        <f>IF($Z674="","",INT(INDEX($N674:$S674,$Z674)))</f>
        <v/>
      </c>
      <c r="AB674" s="19">
        <f>IF(OR($Z674="",$Z674=6),"",WORKDAY($AA674,CHOOSE($Z674,3,3,2,2,3),Holidays))</f>
        <v/>
      </c>
      <c r="AC674" s="17">
        <f>IF(OR($Z674="",$Z674=6),"",CHOOSE($Z674,"1st Email Follow-up","2nd Email Follow-up","Escalate Local Office","Escalate to CBE","Escalate to Roxanne"))</f>
        <v/>
      </c>
    </row>
    <row r="675" spans="13:29">
      <c r="M675" s="14"/>
      <c r="T675" s="16"/>
      <c r="U675" s="17">
        <f>IF(AND(COUNTA($A675:$L675)=0,$N675=""),"",IF($T675="Paid","PAID",IF($T675="Closed","CLOSED",IF($Z675="","",IF($Z675=6,"ESCALATED TO ROXANNE",IF(TODAY()&gt;$AB675,"OVERDUE",IF($AB675&lt;=WORKDAY(TODAY(),1,Holidays),"DUE TOMORROW",IF($Z675=4,"ESCALATED TO LOCAL OFFICE",IF($Z675=5,"ESCALATED TO CBE",IF($AA675=TODAY(),"EMAIL SENT","MONITORING"))))))))))</f>
        <v/>
      </c>
      <c r="V675" s="17">
        <f>IF($U675="",IF(AND(COUNTA($A675:$L675)&gt;0,$N675=""),"Awaiting Collection Email time stamp.",""),IF(OR($U675="PAID",$U675="CLOSED"),IF($U675="PAID","Account paid. Action completed.","Account closed. No further action required."),CHOOSE($Z675,"Collection Email","1st Email Follow-up","2nd Email Follow-up","Escalation to Local Office","Escalation to CBE","Escalation to Roxanne")&amp;" sent "&amp;TEXT($AA675,"dd-mmm")&amp;". "&amp;IF($Z675=6,"Final escalation completed.",IF($U675="OVERDUE","Next: "&amp;$AC675&amp;" was due "&amp;TEXT($AB675,"dd-mmm")&amp;" - "&amp;(NETWORKDAYS($AB675,TODAY(),Holidays)-1)&amp;" business day(s) late. Send now.",IF($U675="DUE TOMORROW","Next: "&amp;$AC675&amp;IF($AB675&lt;=TODAY()," is due TODAY ("," is due next business day (")&amp;TEXT($AB675,"dd-mmm")&amp;").","Next: "&amp;$AC675&amp;" due "&amp;TEXT($AB675,"dd-mmm")&amp;" ("&amp;(NETWORKDAYS(TODAY(),$AB675,Holidays)-1)&amp;" business day(s) left).")))))</f>
        <v/>
      </c>
      <c r="W675" s="17">
        <f>IF($Z675="","",CHOOSE($Z675,"Collection Email","1st Follow-up","2nd Follow-up","Local Office","CBE","Roxanne")&amp;IF($Z675=6," - Final"," - Day "&amp;MAX(0,NETWORKDAYS($AA675,TODAY(),Holidays)-1)&amp;" of "&amp;CHOOSE($Z675,3,3,2,2,3))&amp;" | Total Day "&amp;MAX(0,NETWORKDAYS($N675,TODAY(),Holidays)-1))</f>
        <v/>
      </c>
      <c r="X675" s="18"/>
      <c r="Y675" s="18"/>
      <c r="Z675" s="17">
        <f>IF($N675="","",COUNT($N675:$S675))</f>
        <v/>
      </c>
      <c r="AA675" s="19">
        <f>IF($Z675="","",INT(INDEX($N675:$S675,$Z675)))</f>
        <v/>
      </c>
      <c r="AB675" s="19">
        <f>IF(OR($Z675="",$Z675=6),"",WORKDAY($AA675,CHOOSE($Z675,3,3,2,2,3),Holidays))</f>
        <v/>
      </c>
      <c r="AC675" s="17">
        <f>IF(OR($Z675="",$Z675=6),"",CHOOSE($Z675,"1st Email Follow-up","2nd Email Follow-up","Escalate Local Office","Escalate to CBE","Escalate to Roxanne"))</f>
        <v/>
      </c>
    </row>
    <row r="676" spans="13:29">
      <c r="M676" s="14"/>
      <c r="T676" s="16"/>
      <c r="U676" s="17">
        <f>IF(AND(COUNTA($A676:$L676)=0,$N676=""),"",IF($T676="Paid","PAID",IF($T676="Closed","CLOSED",IF($Z676="","",IF($Z676=6,"ESCALATED TO ROXANNE",IF(TODAY()&gt;$AB676,"OVERDUE",IF($AB676&lt;=WORKDAY(TODAY(),1,Holidays),"DUE TOMORROW",IF($Z676=4,"ESCALATED TO LOCAL OFFICE",IF($Z676=5,"ESCALATED TO CBE",IF($AA676=TODAY(),"EMAIL SENT","MONITORING"))))))))))</f>
        <v/>
      </c>
      <c r="V676" s="17">
        <f>IF($U676="",IF(AND(COUNTA($A676:$L676)&gt;0,$N676=""),"Awaiting Collection Email time stamp.",""),IF(OR($U676="PAID",$U676="CLOSED"),IF($U676="PAID","Account paid. Action completed.","Account closed. No further action required."),CHOOSE($Z676,"Collection Email","1st Email Follow-up","2nd Email Follow-up","Escalation to Local Office","Escalation to CBE","Escalation to Roxanne")&amp;" sent "&amp;TEXT($AA676,"dd-mmm")&amp;". "&amp;IF($Z676=6,"Final escalation completed.",IF($U676="OVERDUE","Next: "&amp;$AC676&amp;" was due "&amp;TEXT($AB676,"dd-mmm")&amp;" - "&amp;(NETWORKDAYS($AB676,TODAY(),Holidays)-1)&amp;" business day(s) late. Send now.",IF($U676="DUE TOMORROW","Next: "&amp;$AC676&amp;IF($AB676&lt;=TODAY()," is due TODAY ("," is due next business day (")&amp;TEXT($AB676,"dd-mmm")&amp;").","Next: "&amp;$AC676&amp;" due "&amp;TEXT($AB676,"dd-mmm")&amp;" ("&amp;(NETWORKDAYS(TODAY(),$AB676,Holidays)-1)&amp;" business day(s) left).")))))</f>
        <v/>
      </c>
      <c r="W676" s="17">
        <f>IF($Z676="","",CHOOSE($Z676,"Collection Email","1st Follow-up","2nd Follow-up","Local Office","CBE","Roxanne")&amp;IF($Z676=6," - Final"," - Day "&amp;MAX(0,NETWORKDAYS($AA676,TODAY(),Holidays)-1)&amp;" of "&amp;CHOOSE($Z676,3,3,2,2,3))&amp;" | Total Day "&amp;MAX(0,NETWORKDAYS($N676,TODAY(),Holidays)-1))</f>
        <v/>
      </c>
      <c r="X676" s="18"/>
      <c r="Y676" s="18"/>
      <c r="Z676" s="17">
        <f>IF($N676="","",COUNT($N676:$S676))</f>
        <v/>
      </c>
      <c r="AA676" s="19">
        <f>IF($Z676="","",INT(INDEX($N676:$S676,$Z676)))</f>
        <v/>
      </c>
      <c r="AB676" s="19">
        <f>IF(OR($Z676="",$Z676=6),"",WORKDAY($AA676,CHOOSE($Z676,3,3,2,2,3),Holidays))</f>
        <v/>
      </c>
      <c r="AC676" s="17">
        <f>IF(OR($Z676="",$Z676=6),"",CHOOSE($Z676,"1st Email Follow-up","2nd Email Follow-up","Escalate Local Office","Escalate to CBE","Escalate to Roxanne"))</f>
        <v/>
      </c>
    </row>
    <row r="677" spans="13:29">
      <c r="M677" s="14"/>
      <c r="T677" s="16"/>
      <c r="U677" s="17">
        <f>IF(AND(COUNTA($A677:$L677)=0,$N677=""),"",IF($T677="Paid","PAID",IF($T677="Closed","CLOSED",IF($Z677="","",IF($Z677=6,"ESCALATED TO ROXANNE",IF(TODAY()&gt;$AB677,"OVERDUE",IF($AB677&lt;=WORKDAY(TODAY(),1,Holidays),"DUE TOMORROW",IF($Z677=4,"ESCALATED TO LOCAL OFFICE",IF($Z677=5,"ESCALATED TO CBE",IF($AA677=TODAY(),"EMAIL SENT","MONITORING"))))))))))</f>
        <v/>
      </c>
      <c r="V677" s="17">
        <f>IF($U677="",IF(AND(COUNTA($A677:$L677)&gt;0,$N677=""),"Awaiting Collection Email time stamp.",""),IF(OR($U677="PAID",$U677="CLOSED"),IF($U677="PAID","Account paid. Action completed.","Account closed. No further action required."),CHOOSE($Z677,"Collection Email","1st Email Follow-up","2nd Email Follow-up","Escalation to Local Office","Escalation to CBE","Escalation to Roxanne")&amp;" sent "&amp;TEXT($AA677,"dd-mmm")&amp;". "&amp;IF($Z677=6,"Final escalation completed.",IF($U677="OVERDUE","Next: "&amp;$AC677&amp;" was due "&amp;TEXT($AB677,"dd-mmm")&amp;" - "&amp;(NETWORKDAYS($AB677,TODAY(),Holidays)-1)&amp;" business day(s) late. Send now.",IF($U677="DUE TOMORROW","Next: "&amp;$AC677&amp;IF($AB677&lt;=TODAY()," is due TODAY ("," is due next business day (")&amp;TEXT($AB677,"dd-mmm")&amp;").","Next: "&amp;$AC677&amp;" due "&amp;TEXT($AB677,"dd-mmm")&amp;" ("&amp;(NETWORKDAYS(TODAY(),$AB677,Holidays)-1)&amp;" business day(s) left).")))))</f>
        <v/>
      </c>
      <c r="W677" s="17">
        <f>IF($Z677="","",CHOOSE($Z677,"Collection Email","1st Follow-up","2nd Follow-up","Local Office","CBE","Roxanne")&amp;IF($Z677=6," - Final"," - Day "&amp;MAX(0,NETWORKDAYS($AA677,TODAY(),Holidays)-1)&amp;" of "&amp;CHOOSE($Z677,3,3,2,2,3))&amp;" | Total Day "&amp;MAX(0,NETWORKDAYS($N677,TODAY(),Holidays)-1))</f>
        <v/>
      </c>
      <c r="X677" s="18"/>
      <c r="Y677" s="18"/>
      <c r="Z677" s="17">
        <f>IF($N677="","",COUNT($N677:$S677))</f>
        <v/>
      </c>
      <c r="AA677" s="19">
        <f>IF($Z677="","",INT(INDEX($N677:$S677,$Z677)))</f>
        <v/>
      </c>
      <c r="AB677" s="19">
        <f>IF(OR($Z677="",$Z677=6),"",WORKDAY($AA677,CHOOSE($Z677,3,3,2,2,3),Holidays))</f>
        <v/>
      </c>
      <c r="AC677" s="17">
        <f>IF(OR($Z677="",$Z677=6),"",CHOOSE($Z677,"1st Email Follow-up","2nd Email Follow-up","Escalate Local Office","Escalate to CBE","Escalate to Roxanne"))</f>
        <v/>
      </c>
    </row>
    <row r="678" spans="13:29">
      <c r="M678" s="14"/>
      <c r="T678" s="16"/>
      <c r="U678" s="17">
        <f>IF(AND(COUNTA($A678:$L678)=0,$N678=""),"",IF($T678="Paid","PAID",IF($T678="Closed","CLOSED",IF($Z678="","",IF($Z678=6,"ESCALATED TO ROXANNE",IF(TODAY()&gt;$AB678,"OVERDUE",IF($AB678&lt;=WORKDAY(TODAY(),1,Holidays),"DUE TOMORROW",IF($Z678=4,"ESCALATED TO LOCAL OFFICE",IF($Z678=5,"ESCALATED TO CBE",IF($AA678=TODAY(),"EMAIL SENT","MONITORING"))))))))))</f>
        <v/>
      </c>
      <c r="V678" s="17">
        <f>IF($U678="",IF(AND(COUNTA($A678:$L678)&gt;0,$N678=""),"Awaiting Collection Email time stamp.",""),IF(OR($U678="PAID",$U678="CLOSED"),IF($U678="PAID","Account paid. Action completed.","Account closed. No further action required."),CHOOSE($Z678,"Collection Email","1st Email Follow-up","2nd Email Follow-up","Escalation to Local Office","Escalation to CBE","Escalation to Roxanne")&amp;" sent "&amp;TEXT($AA678,"dd-mmm")&amp;". "&amp;IF($Z678=6,"Final escalation completed.",IF($U678="OVERDUE","Next: "&amp;$AC678&amp;" was due "&amp;TEXT($AB678,"dd-mmm")&amp;" - "&amp;(NETWORKDAYS($AB678,TODAY(),Holidays)-1)&amp;" business day(s) late. Send now.",IF($U678="DUE TOMORROW","Next: "&amp;$AC678&amp;IF($AB678&lt;=TODAY()," is due TODAY ("," is due next business day (")&amp;TEXT($AB678,"dd-mmm")&amp;").","Next: "&amp;$AC678&amp;" due "&amp;TEXT($AB678,"dd-mmm")&amp;" ("&amp;(NETWORKDAYS(TODAY(),$AB678,Holidays)-1)&amp;" business day(s) left).")))))</f>
        <v/>
      </c>
      <c r="W678" s="17">
        <f>IF($Z678="","",CHOOSE($Z678,"Collection Email","1st Follow-up","2nd Follow-up","Local Office","CBE","Roxanne")&amp;IF($Z678=6," - Final"," - Day "&amp;MAX(0,NETWORKDAYS($AA678,TODAY(),Holidays)-1)&amp;" of "&amp;CHOOSE($Z678,3,3,2,2,3))&amp;" | Total Day "&amp;MAX(0,NETWORKDAYS($N678,TODAY(),Holidays)-1))</f>
        <v/>
      </c>
      <c r="X678" s="18"/>
      <c r="Y678" s="18"/>
      <c r="Z678" s="17">
        <f>IF($N678="","",COUNT($N678:$S678))</f>
        <v/>
      </c>
      <c r="AA678" s="19">
        <f>IF($Z678="","",INT(INDEX($N678:$S678,$Z678)))</f>
        <v/>
      </c>
      <c r="AB678" s="19">
        <f>IF(OR($Z678="",$Z678=6),"",WORKDAY($AA678,CHOOSE($Z678,3,3,2,2,3),Holidays))</f>
        <v/>
      </c>
      <c r="AC678" s="17">
        <f>IF(OR($Z678="",$Z678=6),"",CHOOSE($Z678,"1st Email Follow-up","2nd Email Follow-up","Escalate Local Office","Escalate to CBE","Escalate to Roxanne"))</f>
        <v/>
      </c>
    </row>
    <row r="679" spans="13:29">
      <c r="M679" s="14"/>
      <c r="T679" s="16"/>
      <c r="U679" s="17">
        <f>IF(AND(COUNTA($A679:$L679)=0,$N679=""),"",IF($T679="Paid","PAID",IF($T679="Closed","CLOSED",IF($Z679="","",IF($Z679=6,"ESCALATED TO ROXANNE",IF(TODAY()&gt;$AB679,"OVERDUE",IF($AB679&lt;=WORKDAY(TODAY(),1,Holidays),"DUE TOMORROW",IF($Z679=4,"ESCALATED TO LOCAL OFFICE",IF($Z679=5,"ESCALATED TO CBE",IF($AA679=TODAY(),"EMAIL SENT","MONITORING"))))))))))</f>
        <v/>
      </c>
      <c r="V679" s="17">
        <f>IF($U679="",IF(AND(COUNTA($A679:$L679)&gt;0,$N679=""),"Awaiting Collection Email time stamp.",""),IF(OR($U679="PAID",$U679="CLOSED"),IF($U679="PAID","Account paid. Action completed.","Account closed. No further action required."),CHOOSE($Z679,"Collection Email","1st Email Follow-up","2nd Email Follow-up","Escalation to Local Office","Escalation to CBE","Escalation to Roxanne")&amp;" sent "&amp;TEXT($AA679,"dd-mmm")&amp;". "&amp;IF($Z679=6,"Final escalation completed.",IF($U679="OVERDUE","Next: "&amp;$AC679&amp;" was due "&amp;TEXT($AB679,"dd-mmm")&amp;" - "&amp;(NETWORKDAYS($AB679,TODAY(),Holidays)-1)&amp;" business day(s) late. Send now.",IF($U679="DUE TOMORROW","Next: "&amp;$AC679&amp;IF($AB679&lt;=TODAY()," is due TODAY ("," is due next business day (")&amp;TEXT($AB679,"dd-mmm")&amp;").","Next: "&amp;$AC679&amp;" due "&amp;TEXT($AB679,"dd-mmm")&amp;" ("&amp;(NETWORKDAYS(TODAY(),$AB679,Holidays)-1)&amp;" business day(s) left).")))))</f>
        <v/>
      </c>
      <c r="W679" s="17">
        <f>IF($Z679="","",CHOOSE($Z679,"Collection Email","1st Follow-up","2nd Follow-up","Local Office","CBE","Roxanne")&amp;IF($Z679=6," - Final"," - Day "&amp;MAX(0,NETWORKDAYS($AA679,TODAY(),Holidays)-1)&amp;" of "&amp;CHOOSE($Z679,3,3,2,2,3))&amp;" | Total Day "&amp;MAX(0,NETWORKDAYS($N679,TODAY(),Holidays)-1))</f>
        <v/>
      </c>
      <c r="X679" s="18"/>
      <c r="Y679" s="18"/>
      <c r="Z679" s="17">
        <f>IF($N679="","",COUNT($N679:$S679))</f>
        <v/>
      </c>
      <c r="AA679" s="19">
        <f>IF($Z679="","",INT(INDEX($N679:$S679,$Z679)))</f>
        <v/>
      </c>
      <c r="AB679" s="19">
        <f>IF(OR($Z679="",$Z679=6),"",WORKDAY($AA679,CHOOSE($Z679,3,3,2,2,3),Holidays))</f>
        <v/>
      </c>
      <c r="AC679" s="17">
        <f>IF(OR($Z679="",$Z679=6),"",CHOOSE($Z679,"1st Email Follow-up","2nd Email Follow-up","Escalate Local Office","Escalate to CBE","Escalate to Roxanne"))</f>
        <v/>
      </c>
    </row>
    <row r="680" spans="13:29">
      <c r="M680" s="14"/>
      <c r="T680" s="16"/>
      <c r="U680" s="17">
        <f>IF(AND(COUNTA($A680:$L680)=0,$N680=""),"",IF($T680="Paid","PAID",IF($T680="Closed","CLOSED",IF($Z680="","",IF($Z680=6,"ESCALATED TO ROXANNE",IF(TODAY()&gt;$AB680,"OVERDUE",IF($AB680&lt;=WORKDAY(TODAY(),1,Holidays),"DUE TOMORROW",IF($Z680=4,"ESCALATED TO LOCAL OFFICE",IF($Z680=5,"ESCALATED TO CBE",IF($AA680=TODAY(),"EMAIL SENT","MONITORING"))))))))))</f>
        <v/>
      </c>
      <c r="V680" s="17">
        <f>IF($U680="",IF(AND(COUNTA($A680:$L680)&gt;0,$N680=""),"Awaiting Collection Email time stamp.",""),IF(OR($U680="PAID",$U680="CLOSED"),IF($U680="PAID","Account paid. Action completed.","Account closed. No further action required."),CHOOSE($Z680,"Collection Email","1st Email Follow-up","2nd Email Follow-up","Escalation to Local Office","Escalation to CBE","Escalation to Roxanne")&amp;" sent "&amp;TEXT($AA680,"dd-mmm")&amp;". "&amp;IF($Z680=6,"Final escalation completed.",IF($U680="OVERDUE","Next: "&amp;$AC680&amp;" was due "&amp;TEXT($AB680,"dd-mmm")&amp;" - "&amp;(NETWORKDAYS($AB680,TODAY(),Holidays)-1)&amp;" business day(s) late. Send now.",IF($U680="DUE TOMORROW","Next: "&amp;$AC680&amp;IF($AB680&lt;=TODAY()," is due TODAY ("," is due next business day (")&amp;TEXT($AB680,"dd-mmm")&amp;").","Next: "&amp;$AC680&amp;" due "&amp;TEXT($AB680,"dd-mmm")&amp;" ("&amp;(NETWORKDAYS(TODAY(),$AB680,Holidays)-1)&amp;" business day(s) left).")))))</f>
        <v/>
      </c>
      <c r="W680" s="17">
        <f>IF($Z680="","",CHOOSE($Z680,"Collection Email","1st Follow-up","2nd Follow-up","Local Office","CBE","Roxanne")&amp;IF($Z680=6," - Final"," - Day "&amp;MAX(0,NETWORKDAYS($AA680,TODAY(),Holidays)-1)&amp;" of "&amp;CHOOSE($Z680,3,3,2,2,3))&amp;" | Total Day "&amp;MAX(0,NETWORKDAYS($N680,TODAY(),Holidays)-1))</f>
        <v/>
      </c>
      <c r="X680" s="18"/>
      <c r="Y680" s="18"/>
      <c r="Z680" s="17">
        <f>IF($N680="","",COUNT($N680:$S680))</f>
        <v/>
      </c>
      <c r="AA680" s="19">
        <f>IF($Z680="","",INT(INDEX($N680:$S680,$Z680)))</f>
        <v/>
      </c>
      <c r="AB680" s="19">
        <f>IF(OR($Z680="",$Z680=6),"",WORKDAY($AA680,CHOOSE($Z680,3,3,2,2,3),Holidays))</f>
        <v/>
      </c>
      <c r="AC680" s="17">
        <f>IF(OR($Z680="",$Z680=6),"",CHOOSE($Z680,"1st Email Follow-up","2nd Email Follow-up","Escalate Local Office","Escalate to CBE","Escalate to Roxanne"))</f>
        <v/>
      </c>
    </row>
    <row r="681" spans="13:29">
      <c r="M681" s="14"/>
      <c r="T681" s="16"/>
      <c r="U681" s="17">
        <f>IF(AND(COUNTA($A681:$L681)=0,$N681=""),"",IF($T681="Paid","PAID",IF($T681="Closed","CLOSED",IF($Z681="","",IF($Z681=6,"ESCALATED TO ROXANNE",IF(TODAY()&gt;$AB681,"OVERDUE",IF($AB681&lt;=WORKDAY(TODAY(),1,Holidays),"DUE TOMORROW",IF($Z681=4,"ESCALATED TO LOCAL OFFICE",IF($Z681=5,"ESCALATED TO CBE",IF($AA681=TODAY(),"EMAIL SENT","MONITORING"))))))))))</f>
        <v/>
      </c>
      <c r="V681" s="17">
        <f>IF($U681="",IF(AND(COUNTA($A681:$L681)&gt;0,$N681=""),"Awaiting Collection Email time stamp.",""),IF(OR($U681="PAID",$U681="CLOSED"),IF($U681="PAID","Account paid. Action completed.","Account closed. No further action required."),CHOOSE($Z681,"Collection Email","1st Email Follow-up","2nd Email Follow-up","Escalation to Local Office","Escalation to CBE","Escalation to Roxanne")&amp;" sent "&amp;TEXT($AA681,"dd-mmm")&amp;". "&amp;IF($Z681=6,"Final escalation completed.",IF($U681="OVERDUE","Next: "&amp;$AC681&amp;" was due "&amp;TEXT($AB681,"dd-mmm")&amp;" - "&amp;(NETWORKDAYS($AB681,TODAY(),Holidays)-1)&amp;" business day(s) late. Send now.",IF($U681="DUE TOMORROW","Next: "&amp;$AC681&amp;IF($AB681&lt;=TODAY()," is due TODAY ("," is due next business day (")&amp;TEXT($AB681,"dd-mmm")&amp;").","Next: "&amp;$AC681&amp;" due "&amp;TEXT($AB681,"dd-mmm")&amp;" ("&amp;(NETWORKDAYS(TODAY(),$AB681,Holidays)-1)&amp;" business day(s) left).")))))</f>
        <v/>
      </c>
      <c r="W681" s="17">
        <f>IF($Z681="","",CHOOSE($Z681,"Collection Email","1st Follow-up","2nd Follow-up","Local Office","CBE","Roxanne")&amp;IF($Z681=6," - Final"," - Day "&amp;MAX(0,NETWORKDAYS($AA681,TODAY(),Holidays)-1)&amp;" of "&amp;CHOOSE($Z681,3,3,2,2,3))&amp;" | Total Day "&amp;MAX(0,NETWORKDAYS($N681,TODAY(),Holidays)-1))</f>
        <v/>
      </c>
      <c r="X681" s="18"/>
      <c r="Y681" s="18"/>
      <c r="Z681" s="17">
        <f>IF($N681="","",COUNT($N681:$S681))</f>
        <v/>
      </c>
      <c r="AA681" s="19">
        <f>IF($Z681="","",INT(INDEX($N681:$S681,$Z681)))</f>
        <v/>
      </c>
      <c r="AB681" s="19">
        <f>IF(OR($Z681="",$Z681=6),"",WORKDAY($AA681,CHOOSE($Z681,3,3,2,2,3),Holidays))</f>
        <v/>
      </c>
      <c r="AC681" s="17">
        <f>IF(OR($Z681="",$Z681=6),"",CHOOSE($Z681,"1st Email Follow-up","2nd Email Follow-up","Escalate Local Office","Escalate to CBE","Escalate to Roxanne"))</f>
        <v/>
      </c>
    </row>
    <row r="682" spans="13:29">
      <c r="M682" s="14"/>
      <c r="T682" s="16"/>
      <c r="U682" s="17">
        <f>IF(AND(COUNTA($A682:$L682)=0,$N682=""),"",IF($T682="Paid","PAID",IF($T682="Closed","CLOSED",IF($Z682="","",IF($Z682=6,"ESCALATED TO ROXANNE",IF(TODAY()&gt;$AB682,"OVERDUE",IF($AB682&lt;=WORKDAY(TODAY(),1,Holidays),"DUE TOMORROW",IF($Z682=4,"ESCALATED TO LOCAL OFFICE",IF($Z682=5,"ESCALATED TO CBE",IF($AA682=TODAY(),"EMAIL SENT","MONITORING"))))))))))</f>
        <v/>
      </c>
      <c r="V682" s="17">
        <f>IF($U682="",IF(AND(COUNTA($A682:$L682)&gt;0,$N682=""),"Awaiting Collection Email time stamp.",""),IF(OR($U682="PAID",$U682="CLOSED"),IF($U682="PAID","Account paid. Action completed.","Account closed. No further action required."),CHOOSE($Z682,"Collection Email","1st Email Follow-up","2nd Email Follow-up","Escalation to Local Office","Escalation to CBE","Escalation to Roxanne")&amp;" sent "&amp;TEXT($AA682,"dd-mmm")&amp;". "&amp;IF($Z682=6,"Final escalation completed.",IF($U682="OVERDUE","Next: "&amp;$AC682&amp;" was due "&amp;TEXT($AB682,"dd-mmm")&amp;" - "&amp;(NETWORKDAYS($AB682,TODAY(),Holidays)-1)&amp;" business day(s) late. Send now.",IF($U682="DUE TOMORROW","Next: "&amp;$AC682&amp;IF($AB682&lt;=TODAY()," is due TODAY ("," is due next business day (")&amp;TEXT($AB682,"dd-mmm")&amp;").","Next: "&amp;$AC682&amp;" due "&amp;TEXT($AB682,"dd-mmm")&amp;" ("&amp;(NETWORKDAYS(TODAY(),$AB682,Holidays)-1)&amp;" business day(s) left).")))))</f>
        <v/>
      </c>
      <c r="W682" s="17">
        <f>IF($Z682="","",CHOOSE($Z682,"Collection Email","1st Follow-up","2nd Follow-up","Local Office","CBE","Roxanne")&amp;IF($Z682=6," - Final"," - Day "&amp;MAX(0,NETWORKDAYS($AA682,TODAY(),Holidays)-1)&amp;" of "&amp;CHOOSE($Z682,3,3,2,2,3))&amp;" | Total Day "&amp;MAX(0,NETWORKDAYS($N682,TODAY(),Holidays)-1))</f>
        <v/>
      </c>
      <c r="X682" s="18"/>
      <c r="Y682" s="18"/>
      <c r="Z682" s="17">
        <f>IF($N682="","",COUNT($N682:$S682))</f>
        <v/>
      </c>
      <c r="AA682" s="19">
        <f>IF($Z682="","",INT(INDEX($N682:$S682,$Z682)))</f>
        <v/>
      </c>
      <c r="AB682" s="19">
        <f>IF(OR($Z682="",$Z682=6),"",WORKDAY($AA682,CHOOSE($Z682,3,3,2,2,3),Holidays))</f>
        <v/>
      </c>
      <c r="AC682" s="17">
        <f>IF(OR($Z682="",$Z682=6),"",CHOOSE($Z682,"1st Email Follow-up","2nd Email Follow-up","Escalate Local Office","Escalate to CBE","Escalate to Roxanne"))</f>
        <v/>
      </c>
    </row>
    <row r="683" spans="13:29">
      <c r="M683" s="14"/>
      <c r="T683" s="16"/>
      <c r="U683" s="17">
        <f>IF(AND(COUNTA($A683:$L683)=0,$N683=""),"",IF($T683="Paid","PAID",IF($T683="Closed","CLOSED",IF($Z683="","",IF($Z683=6,"ESCALATED TO ROXANNE",IF(TODAY()&gt;$AB683,"OVERDUE",IF($AB683&lt;=WORKDAY(TODAY(),1,Holidays),"DUE TOMORROW",IF($Z683=4,"ESCALATED TO LOCAL OFFICE",IF($Z683=5,"ESCALATED TO CBE",IF($AA683=TODAY(),"EMAIL SENT","MONITORING"))))))))))</f>
        <v/>
      </c>
      <c r="V683" s="17">
        <f>IF($U683="",IF(AND(COUNTA($A683:$L683)&gt;0,$N683=""),"Awaiting Collection Email time stamp.",""),IF(OR($U683="PAID",$U683="CLOSED"),IF($U683="PAID","Account paid. Action completed.","Account closed. No further action required."),CHOOSE($Z683,"Collection Email","1st Email Follow-up","2nd Email Follow-up","Escalation to Local Office","Escalation to CBE","Escalation to Roxanne")&amp;" sent "&amp;TEXT($AA683,"dd-mmm")&amp;". "&amp;IF($Z683=6,"Final escalation completed.",IF($U683="OVERDUE","Next: "&amp;$AC683&amp;" was due "&amp;TEXT($AB683,"dd-mmm")&amp;" - "&amp;(NETWORKDAYS($AB683,TODAY(),Holidays)-1)&amp;" business day(s) late. Send now.",IF($U683="DUE TOMORROW","Next: "&amp;$AC683&amp;IF($AB683&lt;=TODAY()," is due TODAY ("," is due next business day (")&amp;TEXT($AB683,"dd-mmm")&amp;").","Next: "&amp;$AC683&amp;" due "&amp;TEXT($AB683,"dd-mmm")&amp;" ("&amp;(NETWORKDAYS(TODAY(),$AB683,Holidays)-1)&amp;" business day(s) left).")))))</f>
        <v/>
      </c>
      <c r="W683" s="17">
        <f>IF($Z683="","",CHOOSE($Z683,"Collection Email","1st Follow-up","2nd Follow-up","Local Office","CBE","Roxanne")&amp;IF($Z683=6," - Final"," - Day "&amp;MAX(0,NETWORKDAYS($AA683,TODAY(),Holidays)-1)&amp;" of "&amp;CHOOSE($Z683,3,3,2,2,3))&amp;" | Total Day "&amp;MAX(0,NETWORKDAYS($N683,TODAY(),Holidays)-1))</f>
        <v/>
      </c>
      <c r="X683" s="18"/>
      <c r="Y683" s="18"/>
      <c r="Z683" s="17">
        <f>IF($N683="","",COUNT($N683:$S683))</f>
        <v/>
      </c>
      <c r="AA683" s="19">
        <f>IF($Z683="","",INT(INDEX($N683:$S683,$Z683)))</f>
        <v/>
      </c>
      <c r="AB683" s="19">
        <f>IF(OR($Z683="",$Z683=6),"",WORKDAY($AA683,CHOOSE($Z683,3,3,2,2,3),Holidays))</f>
        <v/>
      </c>
      <c r="AC683" s="17">
        <f>IF(OR($Z683="",$Z683=6),"",CHOOSE($Z683,"1st Email Follow-up","2nd Email Follow-up","Escalate Local Office","Escalate to CBE","Escalate to Roxanne"))</f>
        <v/>
      </c>
    </row>
    <row r="684" spans="13:29">
      <c r="M684" s="14"/>
      <c r="T684" s="16"/>
      <c r="U684" s="17">
        <f>IF(AND(COUNTA($A684:$L684)=0,$N684=""),"",IF($T684="Paid","PAID",IF($T684="Closed","CLOSED",IF($Z684="","",IF($Z684=6,"ESCALATED TO ROXANNE",IF(TODAY()&gt;$AB684,"OVERDUE",IF($AB684&lt;=WORKDAY(TODAY(),1,Holidays),"DUE TOMORROW",IF($Z684=4,"ESCALATED TO LOCAL OFFICE",IF($Z684=5,"ESCALATED TO CBE",IF($AA684=TODAY(),"EMAIL SENT","MONITORING"))))))))))</f>
        <v/>
      </c>
      <c r="V684" s="17">
        <f>IF($U684="",IF(AND(COUNTA($A684:$L684)&gt;0,$N684=""),"Awaiting Collection Email time stamp.",""),IF(OR($U684="PAID",$U684="CLOSED"),IF($U684="PAID","Account paid. Action completed.","Account closed. No further action required."),CHOOSE($Z684,"Collection Email","1st Email Follow-up","2nd Email Follow-up","Escalation to Local Office","Escalation to CBE","Escalation to Roxanne")&amp;" sent "&amp;TEXT($AA684,"dd-mmm")&amp;". "&amp;IF($Z684=6,"Final escalation completed.",IF($U684="OVERDUE","Next: "&amp;$AC684&amp;" was due "&amp;TEXT($AB684,"dd-mmm")&amp;" - "&amp;(NETWORKDAYS($AB684,TODAY(),Holidays)-1)&amp;" business day(s) late. Send now.",IF($U684="DUE TOMORROW","Next: "&amp;$AC684&amp;IF($AB684&lt;=TODAY()," is due TODAY ("," is due next business day (")&amp;TEXT($AB684,"dd-mmm")&amp;").","Next: "&amp;$AC684&amp;" due "&amp;TEXT($AB684,"dd-mmm")&amp;" ("&amp;(NETWORKDAYS(TODAY(),$AB684,Holidays)-1)&amp;" business day(s) left).")))))</f>
        <v/>
      </c>
      <c r="W684" s="17">
        <f>IF($Z684="","",CHOOSE($Z684,"Collection Email","1st Follow-up","2nd Follow-up","Local Office","CBE","Roxanne")&amp;IF($Z684=6," - Final"," - Day "&amp;MAX(0,NETWORKDAYS($AA684,TODAY(),Holidays)-1)&amp;" of "&amp;CHOOSE($Z684,3,3,2,2,3))&amp;" | Total Day "&amp;MAX(0,NETWORKDAYS($N684,TODAY(),Holidays)-1))</f>
        <v/>
      </c>
      <c r="X684" s="18"/>
      <c r="Y684" s="18"/>
      <c r="Z684" s="17">
        <f>IF($N684="","",COUNT($N684:$S684))</f>
        <v/>
      </c>
      <c r="AA684" s="19">
        <f>IF($Z684="","",INT(INDEX($N684:$S684,$Z684)))</f>
        <v/>
      </c>
      <c r="AB684" s="19">
        <f>IF(OR($Z684="",$Z684=6),"",WORKDAY($AA684,CHOOSE($Z684,3,3,2,2,3),Holidays))</f>
        <v/>
      </c>
      <c r="AC684" s="17">
        <f>IF(OR($Z684="",$Z684=6),"",CHOOSE($Z684,"1st Email Follow-up","2nd Email Follow-up","Escalate Local Office","Escalate to CBE","Escalate to Roxanne"))</f>
        <v/>
      </c>
    </row>
    <row r="685" spans="13:29">
      <c r="M685" s="14"/>
      <c r="T685" s="16"/>
      <c r="U685" s="17">
        <f>IF(AND(COUNTA($A685:$L685)=0,$N685=""),"",IF($T685="Paid","PAID",IF($T685="Closed","CLOSED",IF($Z685="","",IF($Z685=6,"ESCALATED TO ROXANNE",IF(TODAY()&gt;$AB685,"OVERDUE",IF($AB685&lt;=WORKDAY(TODAY(),1,Holidays),"DUE TOMORROW",IF($Z685=4,"ESCALATED TO LOCAL OFFICE",IF($Z685=5,"ESCALATED TO CBE",IF($AA685=TODAY(),"EMAIL SENT","MONITORING"))))))))))</f>
        <v/>
      </c>
      <c r="V685" s="17">
        <f>IF($U685="",IF(AND(COUNTA($A685:$L685)&gt;0,$N685=""),"Awaiting Collection Email time stamp.",""),IF(OR($U685="PAID",$U685="CLOSED"),IF($U685="PAID","Account paid. Action completed.","Account closed. No further action required."),CHOOSE($Z685,"Collection Email","1st Email Follow-up","2nd Email Follow-up","Escalation to Local Office","Escalation to CBE","Escalation to Roxanne")&amp;" sent "&amp;TEXT($AA685,"dd-mmm")&amp;". "&amp;IF($Z685=6,"Final escalation completed.",IF($U685="OVERDUE","Next: "&amp;$AC685&amp;" was due "&amp;TEXT($AB685,"dd-mmm")&amp;" - "&amp;(NETWORKDAYS($AB685,TODAY(),Holidays)-1)&amp;" business day(s) late. Send now.",IF($U685="DUE TOMORROW","Next: "&amp;$AC685&amp;IF($AB685&lt;=TODAY()," is due TODAY ("," is due next business day (")&amp;TEXT($AB685,"dd-mmm")&amp;").","Next: "&amp;$AC685&amp;" due "&amp;TEXT($AB685,"dd-mmm")&amp;" ("&amp;(NETWORKDAYS(TODAY(),$AB685,Holidays)-1)&amp;" business day(s) left).")))))</f>
        <v/>
      </c>
      <c r="W685" s="17">
        <f>IF($Z685="","",CHOOSE($Z685,"Collection Email","1st Follow-up","2nd Follow-up","Local Office","CBE","Roxanne")&amp;IF($Z685=6," - Final"," - Day "&amp;MAX(0,NETWORKDAYS($AA685,TODAY(),Holidays)-1)&amp;" of "&amp;CHOOSE($Z685,3,3,2,2,3))&amp;" | Total Day "&amp;MAX(0,NETWORKDAYS($N685,TODAY(),Holidays)-1))</f>
        <v/>
      </c>
      <c r="X685" s="18"/>
      <c r="Y685" s="18"/>
      <c r="Z685" s="17">
        <f>IF($N685="","",COUNT($N685:$S685))</f>
        <v/>
      </c>
      <c r="AA685" s="19">
        <f>IF($Z685="","",INT(INDEX($N685:$S685,$Z685)))</f>
        <v/>
      </c>
      <c r="AB685" s="19">
        <f>IF(OR($Z685="",$Z685=6),"",WORKDAY($AA685,CHOOSE($Z685,3,3,2,2,3),Holidays))</f>
        <v/>
      </c>
      <c r="AC685" s="17">
        <f>IF(OR($Z685="",$Z685=6),"",CHOOSE($Z685,"1st Email Follow-up","2nd Email Follow-up","Escalate Local Office","Escalate to CBE","Escalate to Roxanne"))</f>
        <v/>
      </c>
    </row>
    <row r="686" spans="13:29">
      <c r="M686" s="14"/>
      <c r="T686" s="16"/>
      <c r="U686" s="17">
        <f>IF(AND(COUNTA($A686:$L686)=0,$N686=""),"",IF($T686="Paid","PAID",IF($T686="Closed","CLOSED",IF($Z686="","",IF($Z686=6,"ESCALATED TO ROXANNE",IF(TODAY()&gt;$AB686,"OVERDUE",IF($AB686&lt;=WORKDAY(TODAY(),1,Holidays),"DUE TOMORROW",IF($Z686=4,"ESCALATED TO LOCAL OFFICE",IF($Z686=5,"ESCALATED TO CBE",IF($AA686=TODAY(),"EMAIL SENT","MONITORING"))))))))))</f>
        <v/>
      </c>
      <c r="V686" s="17">
        <f>IF($U686="",IF(AND(COUNTA($A686:$L686)&gt;0,$N686=""),"Awaiting Collection Email time stamp.",""),IF(OR($U686="PAID",$U686="CLOSED"),IF($U686="PAID","Account paid. Action completed.","Account closed. No further action required."),CHOOSE($Z686,"Collection Email","1st Email Follow-up","2nd Email Follow-up","Escalation to Local Office","Escalation to CBE","Escalation to Roxanne")&amp;" sent "&amp;TEXT($AA686,"dd-mmm")&amp;". "&amp;IF($Z686=6,"Final escalation completed.",IF($U686="OVERDUE","Next: "&amp;$AC686&amp;" was due "&amp;TEXT($AB686,"dd-mmm")&amp;" - "&amp;(NETWORKDAYS($AB686,TODAY(),Holidays)-1)&amp;" business day(s) late. Send now.",IF($U686="DUE TOMORROW","Next: "&amp;$AC686&amp;IF($AB686&lt;=TODAY()," is due TODAY ("," is due next business day (")&amp;TEXT($AB686,"dd-mmm")&amp;").","Next: "&amp;$AC686&amp;" due "&amp;TEXT($AB686,"dd-mmm")&amp;" ("&amp;(NETWORKDAYS(TODAY(),$AB686,Holidays)-1)&amp;" business day(s) left).")))))</f>
        <v/>
      </c>
      <c r="W686" s="17">
        <f>IF($Z686="","",CHOOSE($Z686,"Collection Email","1st Follow-up","2nd Follow-up","Local Office","CBE","Roxanne")&amp;IF($Z686=6," - Final"," - Day "&amp;MAX(0,NETWORKDAYS($AA686,TODAY(),Holidays)-1)&amp;" of "&amp;CHOOSE($Z686,3,3,2,2,3))&amp;" | Total Day "&amp;MAX(0,NETWORKDAYS($N686,TODAY(),Holidays)-1))</f>
        <v/>
      </c>
      <c r="X686" s="18"/>
      <c r="Y686" s="18"/>
      <c r="Z686" s="17">
        <f>IF($N686="","",COUNT($N686:$S686))</f>
        <v/>
      </c>
      <c r="AA686" s="19">
        <f>IF($Z686="","",INT(INDEX($N686:$S686,$Z686)))</f>
        <v/>
      </c>
      <c r="AB686" s="19">
        <f>IF(OR($Z686="",$Z686=6),"",WORKDAY($AA686,CHOOSE($Z686,3,3,2,2,3),Holidays))</f>
        <v/>
      </c>
      <c r="AC686" s="17">
        <f>IF(OR($Z686="",$Z686=6),"",CHOOSE($Z686,"1st Email Follow-up","2nd Email Follow-up","Escalate Local Office","Escalate to CBE","Escalate to Roxanne"))</f>
        <v/>
      </c>
    </row>
    <row r="687" spans="13:29">
      <c r="M687" s="14"/>
      <c r="T687" s="16"/>
      <c r="U687" s="17">
        <f>IF(AND(COUNTA($A687:$L687)=0,$N687=""),"",IF($T687="Paid","PAID",IF($T687="Closed","CLOSED",IF($Z687="","",IF($Z687=6,"ESCALATED TO ROXANNE",IF(TODAY()&gt;$AB687,"OVERDUE",IF($AB687&lt;=WORKDAY(TODAY(),1,Holidays),"DUE TOMORROW",IF($Z687=4,"ESCALATED TO LOCAL OFFICE",IF($Z687=5,"ESCALATED TO CBE",IF($AA687=TODAY(),"EMAIL SENT","MONITORING"))))))))))</f>
        <v/>
      </c>
      <c r="V687" s="17">
        <f>IF($U687="",IF(AND(COUNTA($A687:$L687)&gt;0,$N687=""),"Awaiting Collection Email time stamp.",""),IF(OR($U687="PAID",$U687="CLOSED"),IF($U687="PAID","Account paid. Action completed.","Account closed. No further action required."),CHOOSE($Z687,"Collection Email","1st Email Follow-up","2nd Email Follow-up","Escalation to Local Office","Escalation to CBE","Escalation to Roxanne")&amp;" sent "&amp;TEXT($AA687,"dd-mmm")&amp;". "&amp;IF($Z687=6,"Final escalation completed.",IF($U687="OVERDUE","Next: "&amp;$AC687&amp;" was due "&amp;TEXT($AB687,"dd-mmm")&amp;" - "&amp;(NETWORKDAYS($AB687,TODAY(),Holidays)-1)&amp;" business day(s) late. Send now.",IF($U687="DUE TOMORROW","Next: "&amp;$AC687&amp;IF($AB687&lt;=TODAY()," is due TODAY ("," is due next business day (")&amp;TEXT($AB687,"dd-mmm")&amp;").","Next: "&amp;$AC687&amp;" due "&amp;TEXT($AB687,"dd-mmm")&amp;" ("&amp;(NETWORKDAYS(TODAY(),$AB687,Holidays)-1)&amp;" business day(s) left).")))))</f>
        <v/>
      </c>
      <c r="W687" s="17">
        <f>IF($Z687="","",CHOOSE($Z687,"Collection Email","1st Follow-up","2nd Follow-up","Local Office","CBE","Roxanne")&amp;IF($Z687=6," - Final"," - Day "&amp;MAX(0,NETWORKDAYS($AA687,TODAY(),Holidays)-1)&amp;" of "&amp;CHOOSE($Z687,3,3,2,2,3))&amp;" | Total Day "&amp;MAX(0,NETWORKDAYS($N687,TODAY(),Holidays)-1))</f>
        <v/>
      </c>
      <c r="X687" s="18"/>
      <c r="Y687" s="18"/>
      <c r="Z687" s="17">
        <f>IF($N687="","",COUNT($N687:$S687))</f>
        <v/>
      </c>
      <c r="AA687" s="19">
        <f>IF($Z687="","",INT(INDEX($N687:$S687,$Z687)))</f>
        <v/>
      </c>
      <c r="AB687" s="19">
        <f>IF(OR($Z687="",$Z687=6),"",WORKDAY($AA687,CHOOSE($Z687,3,3,2,2,3),Holidays))</f>
        <v/>
      </c>
      <c r="AC687" s="17">
        <f>IF(OR($Z687="",$Z687=6),"",CHOOSE($Z687,"1st Email Follow-up","2nd Email Follow-up","Escalate Local Office","Escalate to CBE","Escalate to Roxanne"))</f>
        <v/>
      </c>
    </row>
    <row r="688" spans="13:29">
      <c r="M688" s="14"/>
      <c r="T688" s="16"/>
      <c r="U688" s="17">
        <f>IF(AND(COUNTA($A688:$L688)=0,$N688=""),"",IF($T688="Paid","PAID",IF($T688="Closed","CLOSED",IF($Z688="","",IF($Z688=6,"ESCALATED TO ROXANNE",IF(TODAY()&gt;$AB688,"OVERDUE",IF($AB688&lt;=WORKDAY(TODAY(),1,Holidays),"DUE TOMORROW",IF($Z688=4,"ESCALATED TO LOCAL OFFICE",IF($Z688=5,"ESCALATED TO CBE",IF($AA688=TODAY(),"EMAIL SENT","MONITORING"))))))))))</f>
        <v/>
      </c>
      <c r="V688" s="17">
        <f>IF($U688="",IF(AND(COUNTA($A688:$L688)&gt;0,$N688=""),"Awaiting Collection Email time stamp.",""),IF(OR($U688="PAID",$U688="CLOSED"),IF($U688="PAID","Account paid. Action completed.","Account closed. No further action required."),CHOOSE($Z688,"Collection Email","1st Email Follow-up","2nd Email Follow-up","Escalation to Local Office","Escalation to CBE","Escalation to Roxanne")&amp;" sent "&amp;TEXT($AA688,"dd-mmm")&amp;". "&amp;IF($Z688=6,"Final escalation completed.",IF($U688="OVERDUE","Next: "&amp;$AC688&amp;" was due "&amp;TEXT($AB688,"dd-mmm")&amp;" - "&amp;(NETWORKDAYS($AB688,TODAY(),Holidays)-1)&amp;" business day(s) late. Send now.",IF($U688="DUE TOMORROW","Next: "&amp;$AC688&amp;IF($AB688&lt;=TODAY()," is due TODAY ("," is due next business day (")&amp;TEXT($AB688,"dd-mmm")&amp;").","Next: "&amp;$AC688&amp;" due "&amp;TEXT($AB688,"dd-mmm")&amp;" ("&amp;(NETWORKDAYS(TODAY(),$AB688,Holidays)-1)&amp;" business day(s) left).")))))</f>
        <v/>
      </c>
      <c r="W688" s="17">
        <f>IF($Z688="","",CHOOSE($Z688,"Collection Email","1st Follow-up","2nd Follow-up","Local Office","CBE","Roxanne")&amp;IF($Z688=6," - Final"," - Day "&amp;MAX(0,NETWORKDAYS($AA688,TODAY(),Holidays)-1)&amp;" of "&amp;CHOOSE($Z688,3,3,2,2,3))&amp;" | Total Day "&amp;MAX(0,NETWORKDAYS($N688,TODAY(),Holidays)-1))</f>
        <v/>
      </c>
      <c r="X688" s="18"/>
      <c r="Y688" s="18"/>
      <c r="Z688" s="17">
        <f>IF($N688="","",COUNT($N688:$S688))</f>
        <v/>
      </c>
      <c r="AA688" s="19">
        <f>IF($Z688="","",INT(INDEX($N688:$S688,$Z688)))</f>
        <v/>
      </c>
      <c r="AB688" s="19">
        <f>IF(OR($Z688="",$Z688=6),"",WORKDAY($AA688,CHOOSE($Z688,3,3,2,2,3),Holidays))</f>
        <v/>
      </c>
      <c r="AC688" s="17">
        <f>IF(OR($Z688="",$Z688=6),"",CHOOSE($Z688,"1st Email Follow-up","2nd Email Follow-up","Escalate Local Office","Escalate to CBE","Escalate to Roxanne"))</f>
        <v/>
      </c>
    </row>
    <row r="689" spans="13:29">
      <c r="M689" s="14"/>
      <c r="T689" s="16"/>
      <c r="U689" s="17">
        <f>IF(AND(COUNTA($A689:$L689)=0,$N689=""),"",IF($T689="Paid","PAID",IF($T689="Closed","CLOSED",IF($Z689="","",IF($Z689=6,"ESCALATED TO ROXANNE",IF(TODAY()&gt;$AB689,"OVERDUE",IF($AB689&lt;=WORKDAY(TODAY(),1,Holidays),"DUE TOMORROW",IF($Z689=4,"ESCALATED TO LOCAL OFFICE",IF($Z689=5,"ESCALATED TO CBE",IF($AA689=TODAY(),"EMAIL SENT","MONITORING"))))))))))</f>
        <v/>
      </c>
      <c r="V689" s="17">
        <f>IF($U689="",IF(AND(COUNTA($A689:$L689)&gt;0,$N689=""),"Awaiting Collection Email time stamp.",""),IF(OR($U689="PAID",$U689="CLOSED"),IF($U689="PAID","Account paid. Action completed.","Account closed. No further action required."),CHOOSE($Z689,"Collection Email","1st Email Follow-up","2nd Email Follow-up","Escalation to Local Office","Escalation to CBE","Escalation to Roxanne")&amp;" sent "&amp;TEXT($AA689,"dd-mmm")&amp;". "&amp;IF($Z689=6,"Final escalation completed.",IF($U689="OVERDUE","Next: "&amp;$AC689&amp;" was due "&amp;TEXT($AB689,"dd-mmm")&amp;" - "&amp;(NETWORKDAYS($AB689,TODAY(),Holidays)-1)&amp;" business day(s) late. Send now.",IF($U689="DUE TOMORROW","Next: "&amp;$AC689&amp;IF($AB689&lt;=TODAY()," is due TODAY ("," is due next business day (")&amp;TEXT($AB689,"dd-mmm")&amp;").","Next: "&amp;$AC689&amp;" due "&amp;TEXT($AB689,"dd-mmm")&amp;" ("&amp;(NETWORKDAYS(TODAY(),$AB689,Holidays)-1)&amp;" business day(s) left).")))))</f>
        <v/>
      </c>
      <c r="W689" s="17">
        <f>IF($Z689="","",CHOOSE($Z689,"Collection Email","1st Follow-up","2nd Follow-up","Local Office","CBE","Roxanne")&amp;IF($Z689=6," - Final"," - Day "&amp;MAX(0,NETWORKDAYS($AA689,TODAY(),Holidays)-1)&amp;" of "&amp;CHOOSE($Z689,3,3,2,2,3))&amp;" | Total Day "&amp;MAX(0,NETWORKDAYS($N689,TODAY(),Holidays)-1))</f>
        <v/>
      </c>
      <c r="X689" s="18"/>
      <c r="Y689" s="18"/>
      <c r="Z689" s="17">
        <f>IF($N689="","",COUNT($N689:$S689))</f>
        <v/>
      </c>
      <c r="AA689" s="19">
        <f>IF($Z689="","",INT(INDEX($N689:$S689,$Z689)))</f>
        <v/>
      </c>
      <c r="AB689" s="19">
        <f>IF(OR($Z689="",$Z689=6),"",WORKDAY($AA689,CHOOSE($Z689,3,3,2,2,3),Holidays))</f>
        <v/>
      </c>
      <c r="AC689" s="17">
        <f>IF(OR($Z689="",$Z689=6),"",CHOOSE($Z689,"1st Email Follow-up","2nd Email Follow-up","Escalate Local Office","Escalate to CBE","Escalate to Roxanne"))</f>
        <v/>
      </c>
    </row>
    <row r="690" spans="13:29">
      <c r="M690" s="14"/>
      <c r="T690" s="16"/>
      <c r="U690" s="17">
        <f>IF(AND(COUNTA($A690:$L690)=0,$N690=""),"",IF($T690="Paid","PAID",IF($T690="Closed","CLOSED",IF($Z690="","",IF($Z690=6,"ESCALATED TO ROXANNE",IF(TODAY()&gt;$AB690,"OVERDUE",IF($AB690&lt;=WORKDAY(TODAY(),1,Holidays),"DUE TOMORROW",IF($Z690=4,"ESCALATED TO LOCAL OFFICE",IF($Z690=5,"ESCALATED TO CBE",IF($AA690=TODAY(),"EMAIL SENT","MONITORING"))))))))))</f>
        <v/>
      </c>
      <c r="V690" s="17">
        <f>IF($U690="",IF(AND(COUNTA($A690:$L690)&gt;0,$N690=""),"Awaiting Collection Email time stamp.",""),IF(OR($U690="PAID",$U690="CLOSED"),IF($U690="PAID","Account paid. Action completed.","Account closed. No further action required."),CHOOSE($Z690,"Collection Email","1st Email Follow-up","2nd Email Follow-up","Escalation to Local Office","Escalation to CBE","Escalation to Roxanne")&amp;" sent "&amp;TEXT($AA690,"dd-mmm")&amp;". "&amp;IF($Z690=6,"Final escalation completed.",IF($U690="OVERDUE","Next: "&amp;$AC690&amp;" was due "&amp;TEXT($AB690,"dd-mmm")&amp;" - "&amp;(NETWORKDAYS($AB690,TODAY(),Holidays)-1)&amp;" business day(s) late. Send now.",IF($U690="DUE TOMORROW","Next: "&amp;$AC690&amp;IF($AB690&lt;=TODAY()," is due TODAY ("," is due next business day (")&amp;TEXT($AB690,"dd-mmm")&amp;").","Next: "&amp;$AC690&amp;" due "&amp;TEXT($AB690,"dd-mmm")&amp;" ("&amp;(NETWORKDAYS(TODAY(),$AB690,Holidays)-1)&amp;" business day(s) left).")))))</f>
        <v/>
      </c>
      <c r="W690" s="17">
        <f>IF($Z690="","",CHOOSE($Z690,"Collection Email","1st Follow-up","2nd Follow-up","Local Office","CBE","Roxanne")&amp;IF($Z690=6," - Final"," - Day "&amp;MAX(0,NETWORKDAYS($AA690,TODAY(),Holidays)-1)&amp;" of "&amp;CHOOSE($Z690,3,3,2,2,3))&amp;" | Total Day "&amp;MAX(0,NETWORKDAYS($N690,TODAY(),Holidays)-1))</f>
        <v/>
      </c>
      <c r="X690" s="18"/>
      <c r="Y690" s="18"/>
      <c r="Z690" s="17">
        <f>IF($N690="","",COUNT($N690:$S690))</f>
        <v/>
      </c>
      <c r="AA690" s="19">
        <f>IF($Z690="","",INT(INDEX($N690:$S690,$Z690)))</f>
        <v/>
      </c>
      <c r="AB690" s="19">
        <f>IF(OR($Z690="",$Z690=6),"",WORKDAY($AA690,CHOOSE($Z690,3,3,2,2,3),Holidays))</f>
        <v/>
      </c>
      <c r="AC690" s="17">
        <f>IF(OR($Z690="",$Z690=6),"",CHOOSE($Z690,"1st Email Follow-up","2nd Email Follow-up","Escalate Local Office","Escalate to CBE","Escalate to Roxanne"))</f>
        <v/>
      </c>
    </row>
    <row r="691" spans="13:29">
      <c r="M691" s="14"/>
      <c r="T691" s="16"/>
      <c r="U691" s="17">
        <f>IF(AND(COUNTA($A691:$L691)=0,$N691=""),"",IF($T691="Paid","PAID",IF($T691="Closed","CLOSED",IF($Z691="","",IF($Z691=6,"ESCALATED TO ROXANNE",IF(TODAY()&gt;$AB691,"OVERDUE",IF($AB691&lt;=WORKDAY(TODAY(),1,Holidays),"DUE TOMORROW",IF($Z691=4,"ESCALATED TO LOCAL OFFICE",IF($Z691=5,"ESCALATED TO CBE",IF($AA691=TODAY(),"EMAIL SENT","MONITORING"))))))))))</f>
        <v/>
      </c>
      <c r="V691" s="17">
        <f>IF($U691="",IF(AND(COUNTA($A691:$L691)&gt;0,$N691=""),"Awaiting Collection Email time stamp.",""),IF(OR($U691="PAID",$U691="CLOSED"),IF($U691="PAID","Account paid. Action completed.","Account closed. No further action required."),CHOOSE($Z691,"Collection Email","1st Email Follow-up","2nd Email Follow-up","Escalation to Local Office","Escalation to CBE","Escalation to Roxanne")&amp;" sent "&amp;TEXT($AA691,"dd-mmm")&amp;". "&amp;IF($Z691=6,"Final escalation completed.",IF($U691="OVERDUE","Next: "&amp;$AC691&amp;" was due "&amp;TEXT($AB691,"dd-mmm")&amp;" - "&amp;(NETWORKDAYS($AB691,TODAY(),Holidays)-1)&amp;" business day(s) late. Send now.",IF($U691="DUE TOMORROW","Next: "&amp;$AC691&amp;IF($AB691&lt;=TODAY()," is due TODAY ("," is due next business day (")&amp;TEXT($AB691,"dd-mmm")&amp;").","Next: "&amp;$AC691&amp;" due "&amp;TEXT($AB691,"dd-mmm")&amp;" ("&amp;(NETWORKDAYS(TODAY(),$AB691,Holidays)-1)&amp;" business day(s) left).")))))</f>
        <v/>
      </c>
      <c r="W691" s="17">
        <f>IF($Z691="","",CHOOSE($Z691,"Collection Email","1st Follow-up","2nd Follow-up","Local Office","CBE","Roxanne")&amp;IF($Z691=6," - Final"," - Day "&amp;MAX(0,NETWORKDAYS($AA691,TODAY(),Holidays)-1)&amp;" of "&amp;CHOOSE($Z691,3,3,2,2,3))&amp;" | Total Day "&amp;MAX(0,NETWORKDAYS($N691,TODAY(),Holidays)-1))</f>
        <v/>
      </c>
      <c r="X691" s="18"/>
      <c r="Y691" s="18"/>
      <c r="Z691" s="17">
        <f>IF($N691="","",COUNT($N691:$S691))</f>
        <v/>
      </c>
      <c r="AA691" s="19">
        <f>IF($Z691="","",INT(INDEX($N691:$S691,$Z691)))</f>
        <v/>
      </c>
      <c r="AB691" s="19">
        <f>IF(OR($Z691="",$Z691=6),"",WORKDAY($AA691,CHOOSE($Z691,3,3,2,2,3),Holidays))</f>
        <v/>
      </c>
      <c r="AC691" s="17">
        <f>IF(OR($Z691="",$Z691=6),"",CHOOSE($Z691,"1st Email Follow-up","2nd Email Follow-up","Escalate Local Office","Escalate to CBE","Escalate to Roxanne"))</f>
        <v/>
      </c>
    </row>
    <row r="692" spans="13:29">
      <c r="M692" s="14"/>
      <c r="T692" s="16"/>
      <c r="U692" s="17">
        <f>IF(AND(COUNTA($A692:$L692)=0,$N692=""),"",IF($T692="Paid","PAID",IF($T692="Closed","CLOSED",IF($Z692="","",IF($Z692=6,"ESCALATED TO ROXANNE",IF(TODAY()&gt;$AB692,"OVERDUE",IF($AB692&lt;=WORKDAY(TODAY(),1,Holidays),"DUE TOMORROW",IF($Z692=4,"ESCALATED TO LOCAL OFFICE",IF($Z692=5,"ESCALATED TO CBE",IF($AA692=TODAY(),"EMAIL SENT","MONITORING"))))))))))</f>
        <v/>
      </c>
      <c r="V692" s="17">
        <f>IF($U692="",IF(AND(COUNTA($A692:$L692)&gt;0,$N692=""),"Awaiting Collection Email time stamp.",""),IF(OR($U692="PAID",$U692="CLOSED"),IF($U692="PAID","Account paid. Action completed.","Account closed. No further action required."),CHOOSE($Z692,"Collection Email","1st Email Follow-up","2nd Email Follow-up","Escalation to Local Office","Escalation to CBE","Escalation to Roxanne")&amp;" sent "&amp;TEXT($AA692,"dd-mmm")&amp;". "&amp;IF($Z692=6,"Final escalation completed.",IF($U692="OVERDUE","Next: "&amp;$AC692&amp;" was due "&amp;TEXT($AB692,"dd-mmm")&amp;" - "&amp;(NETWORKDAYS($AB692,TODAY(),Holidays)-1)&amp;" business day(s) late. Send now.",IF($U692="DUE TOMORROW","Next: "&amp;$AC692&amp;IF($AB692&lt;=TODAY()," is due TODAY ("," is due next business day (")&amp;TEXT($AB692,"dd-mmm")&amp;").","Next: "&amp;$AC692&amp;" due "&amp;TEXT($AB692,"dd-mmm")&amp;" ("&amp;(NETWORKDAYS(TODAY(),$AB692,Holidays)-1)&amp;" business day(s) left).")))))</f>
        <v/>
      </c>
      <c r="W692" s="17">
        <f>IF($Z692="","",CHOOSE($Z692,"Collection Email","1st Follow-up","2nd Follow-up","Local Office","CBE","Roxanne")&amp;IF($Z692=6," - Final"," - Day "&amp;MAX(0,NETWORKDAYS($AA692,TODAY(),Holidays)-1)&amp;" of "&amp;CHOOSE($Z692,3,3,2,2,3))&amp;" | Total Day "&amp;MAX(0,NETWORKDAYS($N692,TODAY(),Holidays)-1))</f>
        <v/>
      </c>
      <c r="X692" s="18"/>
      <c r="Y692" s="18"/>
      <c r="Z692" s="17">
        <f>IF($N692="","",COUNT($N692:$S692))</f>
        <v/>
      </c>
      <c r="AA692" s="19">
        <f>IF($Z692="","",INT(INDEX($N692:$S692,$Z692)))</f>
        <v/>
      </c>
      <c r="AB692" s="19">
        <f>IF(OR($Z692="",$Z692=6),"",WORKDAY($AA692,CHOOSE($Z692,3,3,2,2,3),Holidays))</f>
        <v/>
      </c>
      <c r="AC692" s="17">
        <f>IF(OR($Z692="",$Z692=6),"",CHOOSE($Z692,"1st Email Follow-up","2nd Email Follow-up","Escalate Local Office","Escalate to CBE","Escalate to Roxanne"))</f>
        <v/>
      </c>
    </row>
    <row r="693" spans="13:29">
      <c r="M693" s="14"/>
      <c r="T693" s="16"/>
      <c r="U693" s="17">
        <f>IF(AND(COUNTA($A693:$L693)=0,$N693=""),"",IF($T693="Paid","PAID",IF($T693="Closed","CLOSED",IF($Z693="","",IF($Z693=6,"ESCALATED TO ROXANNE",IF(TODAY()&gt;$AB693,"OVERDUE",IF($AB693&lt;=WORKDAY(TODAY(),1,Holidays),"DUE TOMORROW",IF($Z693=4,"ESCALATED TO LOCAL OFFICE",IF($Z693=5,"ESCALATED TO CBE",IF($AA693=TODAY(),"EMAIL SENT","MONITORING"))))))))))</f>
        <v/>
      </c>
      <c r="V693" s="17">
        <f>IF($U693="",IF(AND(COUNTA($A693:$L693)&gt;0,$N693=""),"Awaiting Collection Email time stamp.",""),IF(OR($U693="PAID",$U693="CLOSED"),IF($U693="PAID","Account paid. Action completed.","Account closed. No further action required."),CHOOSE($Z693,"Collection Email","1st Email Follow-up","2nd Email Follow-up","Escalation to Local Office","Escalation to CBE","Escalation to Roxanne")&amp;" sent "&amp;TEXT($AA693,"dd-mmm")&amp;". "&amp;IF($Z693=6,"Final escalation completed.",IF($U693="OVERDUE","Next: "&amp;$AC693&amp;" was due "&amp;TEXT($AB693,"dd-mmm")&amp;" - "&amp;(NETWORKDAYS($AB693,TODAY(),Holidays)-1)&amp;" business day(s) late. Send now.",IF($U693="DUE TOMORROW","Next: "&amp;$AC693&amp;IF($AB693&lt;=TODAY()," is due TODAY ("," is due next business day (")&amp;TEXT($AB693,"dd-mmm")&amp;").","Next: "&amp;$AC693&amp;" due "&amp;TEXT($AB693,"dd-mmm")&amp;" ("&amp;(NETWORKDAYS(TODAY(),$AB693,Holidays)-1)&amp;" business day(s) left).")))))</f>
        <v/>
      </c>
      <c r="W693" s="17">
        <f>IF($Z693="","",CHOOSE($Z693,"Collection Email","1st Follow-up","2nd Follow-up","Local Office","CBE","Roxanne")&amp;IF($Z693=6," - Final"," - Day "&amp;MAX(0,NETWORKDAYS($AA693,TODAY(),Holidays)-1)&amp;" of "&amp;CHOOSE($Z693,3,3,2,2,3))&amp;" | Total Day "&amp;MAX(0,NETWORKDAYS($N693,TODAY(),Holidays)-1))</f>
        <v/>
      </c>
      <c r="X693" s="18"/>
      <c r="Y693" s="18"/>
      <c r="Z693" s="17">
        <f>IF($N693="","",COUNT($N693:$S693))</f>
        <v/>
      </c>
      <c r="AA693" s="19">
        <f>IF($Z693="","",INT(INDEX($N693:$S693,$Z693)))</f>
        <v/>
      </c>
      <c r="AB693" s="19">
        <f>IF(OR($Z693="",$Z693=6),"",WORKDAY($AA693,CHOOSE($Z693,3,3,2,2,3),Holidays))</f>
        <v/>
      </c>
      <c r="AC693" s="17">
        <f>IF(OR($Z693="",$Z693=6),"",CHOOSE($Z693,"1st Email Follow-up","2nd Email Follow-up","Escalate Local Office","Escalate to CBE","Escalate to Roxanne"))</f>
        <v/>
      </c>
    </row>
    <row r="694" spans="13:29">
      <c r="M694" s="14"/>
      <c r="T694" s="16"/>
      <c r="U694" s="17">
        <f>IF(AND(COUNTA($A694:$L694)=0,$N694=""),"",IF($T694="Paid","PAID",IF($T694="Closed","CLOSED",IF($Z694="","",IF($Z694=6,"ESCALATED TO ROXANNE",IF(TODAY()&gt;$AB694,"OVERDUE",IF($AB694&lt;=WORKDAY(TODAY(),1,Holidays),"DUE TOMORROW",IF($Z694=4,"ESCALATED TO LOCAL OFFICE",IF($Z694=5,"ESCALATED TO CBE",IF($AA694=TODAY(),"EMAIL SENT","MONITORING"))))))))))</f>
        <v/>
      </c>
      <c r="V694" s="17">
        <f>IF($U694="",IF(AND(COUNTA($A694:$L694)&gt;0,$N694=""),"Awaiting Collection Email time stamp.",""),IF(OR($U694="PAID",$U694="CLOSED"),IF($U694="PAID","Account paid. Action completed.","Account closed. No further action required."),CHOOSE($Z694,"Collection Email","1st Email Follow-up","2nd Email Follow-up","Escalation to Local Office","Escalation to CBE","Escalation to Roxanne")&amp;" sent "&amp;TEXT($AA694,"dd-mmm")&amp;". "&amp;IF($Z694=6,"Final escalation completed.",IF($U694="OVERDUE","Next: "&amp;$AC694&amp;" was due "&amp;TEXT($AB694,"dd-mmm")&amp;" - "&amp;(NETWORKDAYS($AB694,TODAY(),Holidays)-1)&amp;" business day(s) late. Send now.",IF($U694="DUE TOMORROW","Next: "&amp;$AC694&amp;IF($AB694&lt;=TODAY()," is due TODAY ("," is due next business day (")&amp;TEXT($AB694,"dd-mmm")&amp;").","Next: "&amp;$AC694&amp;" due "&amp;TEXT($AB694,"dd-mmm")&amp;" ("&amp;(NETWORKDAYS(TODAY(),$AB694,Holidays)-1)&amp;" business day(s) left).")))))</f>
        <v/>
      </c>
      <c r="W694" s="17">
        <f>IF($Z694="","",CHOOSE($Z694,"Collection Email","1st Follow-up","2nd Follow-up","Local Office","CBE","Roxanne")&amp;IF($Z694=6," - Final"," - Day "&amp;MAX(0,NETWORKDAYS($AA694,TODAY(),Holidays)-1)&amp;" of "&amp;CHOOSE($Z694,3,3,2,2,3))&amp;" | Total Day "&amp;MAX(0,NETWORKDAYS($N694,TODAY(),Holidays)-1))</f>
        <v/>
      </c>
      <c r="X694" s="18"/>
      <c r="Y694" s="18"/>
      <c r="Z694" s="17">
        <f>IF($N694="","",COUNT($N694:$S694))</f>
        <v/>
      </c>
      <c r="AA694" s="19">
        <f>IF($Z694="","",INT(INDEX($N694:$S694,$Z694)))</f>
        <v/>
      </c>
      <c r="AB694" s="19">
        <f>IF(OR($Z694="",$Z694=6),"",WORKDAY($AA694,CHOOSE($Z694,3,3,2,2,3),Holidays))</f>
        <v/>
      </c>
      <c r="AC694" s="17">
        <f>IF(OR($Z694="",$Z694=6),"",CHOOSE($Z694,"1st Email Follow-up","2nd Email Follow-up","Escalate Local Office","Escalate to CBE","Escalate to Roxanne"))</f>
        <v/>
      </c>
    </row>
    <row r="695" spans="13:29">
      <c r="M695" s="14"/>
      <c r="T695" s="16"/>
      <c r="U695" s="17">
        <f>IF(AND(COUNTA($A695:$L695)=0,$N695=""),"",IF($T695="Paid","PAID",IF($T695="Closed","CLOSED",IF($Z695="","",IF($Z695=6,"ESCALATED TO ROXANNE",IF(TODAY()&gt;$AB695,"OVERDUE",IF($AB695&lt;=WORKDAY(TODAY(),1,Holidays),"DUE TOMORROW",IF($Z695=4,"ESCALATED TO LOCAL OFFICE",IF($Z695=5,"ESCALATED TO CBE",IF($AA695=TODAY(),"EMAIL SENT","MONITORING"))))))))))</f>
        <v/>
      </c>
      <c r="V695" s="17">
        <f>IF($U695="",IF(AND(COUNTA($A695:$L695)&gt;0,$N695=""),"Awaiting Collection Email time stamp.",""),IF(OR($U695="PAID",$U695="CLOSED"),IF($U695="PAID","Account paid. Action completed.","Account closed. No further action required."),CHOOSE($Z695,"Collection Email","1st Email Follow-up","2nd Email Follow-up","Escalation to Local Office","Escalation to CBE","Escalation to Roxanne")&amp;" sent "&amp;TEXT($AA695,"dd-mmm")&amp;". "&amp;IF($Z695=6,"Final escalation completed.",IF($U695="OVERDUE","Next: "&amp;$AC695&amp;" was due "&amp;TEXT($AB695,"dd-mmm")&amp;" - "&amp;(NETWORKDAYS($AB695,TODAY(),Holidays)-1)&amp;" business day(s) late. Send now.",IF($U695="DUE TOMORROW","Next: "&amp;$AC695&amp;IF($AB695&lt;=TODAY()," is due TODAY ("," is due next business day (")&amp;TEXT($AB695,"dd-mmm")&amp;").","Next: "&amp;$AC695&amp;" due "&amp;TEXT($AB695,"dd-mmm")&amp;" ("&amp;(NETWORKDAYS(TODAY(),$AB695,Holidays)-1)&amp;" business day(s) left).")))))</f>
        <v/>
      </c>
      <c r="W695" s="17">
        <f>IF($Z695="","",CHOOSE($Z695,"Collection Email","1st Follow-up","2nd Follow-up","Local Office","CBE","Roxanne")&amp;IF($Z695=6," - Final"," - Day "&amp;MAX(0,NETWORKDAYS($AA695,TODAY(),Holidays)-1)&amp;" of "&amp;CHOOSE($Z695,3,3,2,2,3))&amp;" | Total Day "&amp;MAX(0,NETWORKDAYS($N695,TODAY(),Holidays)-1))</f>
        <v/>
      </c>
      <c r="X695" s="18"/>
      <c r="Y695" s="18"/>
      <c r="Z695" s="17">
        <f>IF($N695="","",COUNT($N695:$S695))</f>
        <v/>
      </c>
      <c r="AA695" s="19">
        <f>IF($Z695="","",INT(INDEX($N695:$S695,$Z695)))</f>
        <v/>
      </c>
      <c r="AB695" s="19">
        <f>IF(OR($Z695="",$Z695=6),"",WORKDAY($AA695,CHOOSE($Z695,3,3,2,2,3),Holidays))</f>
        <v/>
      </c>
      <c r="AC695" s="17">
        <f>IF(OR($Z695="",$Z695=6),"",CHOOSE($Z695,"1st Email Follow-up","2nd Email Follow-up","Escalate Local Office","Escalate to CBE","Escalate to Roxanne"))</f>
        <v/>
      </c>
    </row>
    <row r="696" spans="13:29">
      <c r="M696" s="14"/>
      <c r="T696" s="16"/>
      <c r="U696" s="17">
        <f>IF(AND(COUNTA($A696:$L696)=0,$N696=""),"",IF($T696="Paid","PAID",IF($T696="Closed","CLOSED",IF($Z696="","",IF($Z696=6,"ESCALATED TO ROXANNE",IF(TODAY()&gt;$AB696,"OVERDUE",IF($AB696&lt;=WORKDAY(TODAY(),1,Holidays),"DUE TOMORROW",IF($Z696=4,"ESCALATED TO LOCAL OFFICE",IF($Z696=5,"ESCALATED TO CBE",IF($AA696=TODAY(),"EMAIL SENT","MONITORING"))))))))))</f>
        <v/>
      </c>
      <c r="V696" s="17">
        <f>IF($U696="",IF(AND(COUNTA($A696:$L696)&gt;0,$N696=""),"Awaiting Collection Email time stamp.",""),IF(OR($U696="PAID",$U696="CLOSED"),IF($U696="PAID","Account paid. Action completed.","Account closed. No further action required."),CHOOSE($Z696,"Collection Email","1st Email Follow-up","2nd Email Follow-up","Escalation to Local Office","Escalation to CBE","Escalation to Roxanne")&amp;" sent "&amp;TEXT($AA696,"dd-mmm")&amp;". "&amp;IF($Z696=6,"Final escalation completed.",IF($U696="OVERDUE","Next: "&amp;$AC696&amp;" was due "&amp;TEXT($AB696,"dd-mmm")&amp;" - "&amp;(NETWORKDAYS($AB696,TODAY(),Holidays)-1)&amp;" business day(s) late. Send now.",IF($U696="DUE TOMORROW","Next: "&amp;$AC696&amp;IF($AB696&lt;=TODAY()," is due TODAY ("," is due next business day (")&amp;TEXT($AB696,"dd-mmm")&amp;").","Next: "&amp;$AC696&amp;" due "&amp;TEXT($AB696,"dd-mmm")&amp;" ("&amp;(NETWORKDAYS(TODAY(),$AB696,Holidays)-1)&amp;" business day(s) left).")))))</f>
        <v/>
      </c>
      <c r="W696" s="17">
        <f>IF($Z696="","",CHOOSE($Z696,"Collection Email","1st Follow-up","2nd Follow-up","Local Office","CBE","Roxanne")&amp;IF($Z696=6," - Final"," - Day "&amp;MAX(0,NETWORKDAYS($AA696,TODAY(),Holidays)-1)&amp;" of "&amp;CHOOSE($Z696,3,3,2,2,3))&amp;" | Total Day "&amp;MAX(0,NETWORKDAYS($N696,TODAY(),Holidays)-1))</f>
        <v/>
      </c>
      <c r="X696" s="18"/>
      <c r="Y696" s="18"/>
      <c r="Z696" s="17">
        <f>IF($N696="","",COUNT($N696:$S696))</f>
        <v/>
      </c>
      <c r="AA696" s="19">
        <f>IF($Z696="","",INT(INDEX($N696:$S696,$Z696)))</f>
        <v/>
      </c>
      <c r="AB696" s="19">
        <f>IF(OR($Z696="",$Z696=6),"",WORKDAY($AA696,CHOOSE($Z696,3,3,2,2,3),Holidays))</f>
        <v/>
      </c>
      <c r="AC696" s="17">
        <f>IF(OR($Z696="",$Z696=6),"",CHOOSE($Z696,"1st Email Follow-up","2nd Email Follow-up","Escalate Local Office","Escalate to CBE","Escalate to Roxanne"))</f>
        <v/>
      </c>
    </row>
    <row r="697" spans="13:29">
      <c r="M697" s="14"/>
      <c r="T697" s="16"/>
      <c r="U697" s="17">
        <f>IF(AND(COUNTA($A697:$L697)=0,$N697=""),"",IF($T697="Paid","PAID",IF($T697="Closed","CLOSED",IF($Z697="","",IF($Z697=6,"ESCALATED TO ROXANNE",IF(TODAY()&gt;$AB697,"OVERDUE",IF($AB697&lt;=WORKDAY(TODAY(),1,Holidays),"DUE TOMORROW",IF($Z697=4,"ESCALATED TO LOCAL OFFICE",IF($Z697=5,"ESCALATED TO CBE",IF($AA697=TODAY(),"EMAIL SENT","MONITORING"))))))))))</f>
        <v/>
      </c>
      <c r="V697" s="17">
        <f>IF($U697="",IF(AND(COUNTA($A697:$L697)&gt;0,$N697=""),"Awaiting Collection Email time stamp.",""),IF(OR($U697="PAID",$U697="CLOSED"),IF($U697="PAID","Account paid. Action completed.","Account closed. No further action required."),CHOOSE($Z697,"Collection Email","1st Email Follow-up","2nd Email Follow-up","Escalation to Local Office","Escalation to CBE","Escalation to Roxanne")&amp;" sent "&amp;TEXT($AA697,"dd-mmm")&amp;". "&amp;IF($Z697=6,"Final escalation completed.",IF($U697="OVERDUE","Next: "&amp;$AC697&amp;" was due "&amp;TEXT($AB697,"dd-mmm")&amp;" - "&amp;(NETWORKDAYS($AB697,TODAY(),Holidays)-1)&amp;" business day(s) late. Send now.",IF($U697="DUE TOMORROW","Next: "&amp;$AC697&amp;IF($AB697&lt;=TODAY()," is due TODAY ("," is due next business day (")&amp;TEXT($AB697,"dd-mmm")&amp;").","Next: "&amp;$AC697&amp;" due "&amp;TEXT($AB697,"dd-mmm")&amp;" ("&amp;(NETWORKDAYS(TODAY(),$AB697,Holidays)-1)&amp;" business day(s) left).")))))</f>
        <v/>
      </c>
      <c r="W697" s="17">
        <f>IF($Z697="","",CHOOSE($Z697,"Collection Email","1st Follow-up","2nd Follow-up","Local Office","CBE","Roxanne")&amp;IF($Z697=6," - Final"," - Day "&amp;MAX(0,NETWORKDAYS($AA697,TODAY(),Holidays)-1)&amp;" of "&amp;CHOOSE($Z697,3,3,2,2,3))&amp;" | Total Day "&amp;MAX(0,NETWORKDAYS($N697,TODAY(),Holidays)-1))</f>
        <v/>
      </c>
      <c r="X697" s="18"/>
      <c r="Y697" s="18"/>
      <c r="Z697" s="17">
        <f>IF($N697="","",COUNT($N697:$S697))</f>
        <v/>
      </c>
      <c r="AA697" s="19">
        <f>IF($Z697="","",INT(INDEX($N697:$S697,$Z697)))</f>
        <v/>
      </c>
      <c r="AB697" s="19">
        <f>IF(OR($Z697="",$Z697=6),"",WORKDAY($AA697,CHOOSE($Z697,3,3,2,2,3),Holidays))</f>
        <v/>
      </c>
      <c r="AC697" s="17">
        <f>IF(OR($Z697="",$Z697=6),"",CHOOSE($Z697,"1st Email Follow-up","2nd Email Follow-up","Escalate Local Office","Escalate to CBE","Escalate to Roxanne"))</f>
        <v/>
      </c>
    </row>
    <row r="698" spans="13:29">
      <c r="M698" s="14"/>
      <c r="T698" s="16"/>
      <c r="U698" s="17">
        <f>IF(AND(COUNTA($A698:$L698)=0,$N698=""),"",IF($T698="Paid","PAID",IF($T698="Closed","CLOSED",IF($Z698="","",IF($Z698=6,"ESCALATED TO ROXANNE",IF(TODAY()&gt;$AB698,"OVERDUE",IF($AB698&lt;=WORKDAY(TODAY(),1,Holidays),"DUE TOMORROW",IF($Z698=4,"ESCALATED TO LOCAL OFFICE",IF($Z698=5,"ESCALATED TO CBE",IF($AA698=TODAY(),"EMAIL SENT","MONITORING"))))))))))</f>
        <v/>
      </c>
      <c r="V698" s="17">
        <f>IF($U698="",IF(AND(COUNTA($A698:$L698)&gt;0,$N698=""),"Awaiting Collection Email time stamp.",""),IF(OR($U698="PAID",$U698="CLOSED"),IF($U698="PAID","Account paid. Action completed.","Account closed. No further action required."),CHOOSE($Z698,"Collection Email","1st Email Follow-up","2nd Email Follow-up","Escalation to Local Office","Escalation to CBE","Escalation to Roxanne")&amp;" sent "&amp;TEXT($AA698,"dd-mmm")&amp;". "&amp;IF($Z698=6,"Final escalation completed.",IF($U698="OVERDUE","Next: "&amp;$AC698&amp;" was due "&amp;TEXT($AB698,"dd-mmm")&amp;" - "&amp;(NETWORKDAYS($AB698,TODAY(),Holidays)-1)&amp;" business day(s) late. Send now.",IF($U698="DUE TOMORROW","Next: "&amp;$AC698&amp;IF($AB698&lt;=TODAY()," is due TODAY ("," is due next business day (")&amp;TEXT($AB698,"dd-mmm")&amp;").","Next: "&amp;$AC698&amp;" due "&amp;TEXT($AB698,"dd-mmm")&amp;" ("&amp;(NETWORKDAYS(TODAY(),$AB698,Holidays)-1)&amp;" business day(s) left).")))))</f>
        <v/>
      </c>
      <c r="W698" s="17">
        <f>IF($Z698="","",CHOOSE($Z698,"Collection Email","1st Follow-up","2nd Follow-up","Local Office","CBE","Roxanne")&amp;IF($Z698=6," - Final"," - Day "&amp;MAX(0,NETWORKDAYS($AA698,TODAY(),Holidays)-1)&amp;" of "&amp;CHOOSE($Z698,3,3,2,2,3))&amp;" | Total Day "&amp;MAX(0,NETWORKDAYS($N698,TODAY(),Holidays)-1))</f>
        <v/>
      </c>
      <c r="X698" s="18"/>
      <c r="Y698" s="18"/>
      <c r="Z698" s="17">
        <f>IF($N698="","",COUNT($N698:$S698))</f>
        <v/>
      </c>
      <c r="AA698" s="19">
        <f>IF($Z698="","",INT(INDEX($N698:$S698,$Z698)))</f>
        <v/>
      </c>
      <c r="AB698" s="19">
        <f>IF(OR($Z698="",$Z698=6),"",WORKDAY($AA698,CHOOSE($Z698,3,3,2,2,3),Holidays))</f>
        <v/>
      </c>
      <c r="AC698" s="17">
        <f>IF(OR($Z698="",$Z698=6),"",CHOOSE($Z698,"1st Email Follow-up","2nd Email Follow-up","Escalate Local Office","Escalate to CBE","Escalate to Roxanne"))</f>
        <v/>
      </c>
    </row>
    <row r="699" spans="13:29">
      <c r="M699" s="14"/>
      <c r="T699" s="16"/>
      <c r="U699" s="17">
        <f>IF(AND(COUNTA($A699:$L699)=0,$N699=""),"",IF($T699="Paid","PAID",IF($T699="Closed","CLOSED",IF($Z699="","",IF($Z699=6,"ESCALATED TO ROXANNE",IF(TODAY()&gt;$AB699,"OVERDUE",IF($AB699&lt;=WORKDAY(TODAY(),1,Holidays),"DUE TOMORROW",IF($Z699=4,"ESCALATED TO LOCAL OFFICE",IF($Z699=5,"ESCALATED TO CBE",IF($AA699=TODAY(),"EMAIL SENT","MONITORING"))))))))))</f>
        <v/>
      </c>
      <c r="V699" s="17">
        <f>IF($U699="",IF(AND(COUNTA($A699:$L699)&gt;0,$N699=""),"Awaiting Collection Email time stamp.",""),IF(OR($U699="PAID",$U699="CLOSED"),IF($U699="PAID","Account paid. Action completed.","Account closed. No further action required."),CHOOSE($Z699,"Collection Email","1st Email Follow-up","2nd Email Follow-up","Escalation to Local Office","Escalation to CBE","Escalation to Roxanne")&amp;" sent "&amp;TEXT($AA699,"dd-mmm")&amp;". "&amp;IF($Z699=6,"Final escalation completed.",IF($U699="OVERDUE","Next: "&amp;$AC699&amp;" was due "&amp;TEXT($AB699,"dd-mmm")&amp;" - "&amp;(NETWORKDAYS($AB699,TODAY(),Holidays)-1)&amp;" business day(s) late. Send now.",IF($U699="DUE TOMORROW","Next: "&amp;$AC699&amp;IF($AB699&lt;=TODAY()," is due TODAY ("," is due next business day (")&amp;TEXT($AB699,"dd-mmm")&amp;").","Next: "&amp;$AC699&amp;" due "&amp;TEXT($AB699,"dd-mmm")&amp;" ("&amp;(NETWORKDAYS(TODAY(),$AB699,Holidays)-1)&amp;" business day(s) left).")))))</f>
        <v/>
      </c>
      <c r="W699" s="17">
        <f>IF($Z699="","",CHOOSE($Z699,"Collection Email","1st Follow-up","2nd Follow-up","Local Office","CBE","Roxanne")&amp;IF($Z699=6," - Final"," - Day "&amp;MAX(0,NETWORKDAYS($AA699,TODAY(),Holidays)-1)&amp;" of "&amp;CHOOSE($Z699,3,3,2,2,3))&amp;" | Total Day "&amp;MAX(0,NETWORKDAYS($N699,TODAY(),Holidays)-1))</f>
        <v/>
      </c>
      <c r="X699" s="18"/>
      <c r="Y699" s="18"/>
      <c r="Z699" s="17">
        <f>IF($N699="","",COUNT($N699:$S699))</f>
        <v/>
      </c>
      <c r="AA699" s="19">
        <f>IF($Z699="","",INT(INDEX($N699:$S699,$Z699)))</f>
        <v/>
      </c>
      <c r="AB699" s="19">
        <f>IF(OR($Z699="",$Z699=6),"",WORKDAY($AA699,CHOOSE($Z699,3,3,2,2,3),Holidays))</f>
        <v/>
      </c>
      <c r="AC699" s="17">
        <f>IF(OR($Z699="",$Z699=6),"",CHOOSE($Z699,"1st Email Follow-up","2nd Email Follow-up","Escalate Local Office","Escalate to CBE","Escalate to Roxanne"))</f>
        <v/>
      </c>
    </row>
    <row r="700" spans="13:29">
      <c r="M700" s="14"/>
      <c r="T700" s="16"/>
      <c r="U700" s="17">
        <f>IF(AND(COUNTA($A700:$L700)=0,$N700=""),"",IF($T700="Paid","PAID",IF($T700="Closed","CLOSED",IF($Z700="","",IF($Z700=6,"ESCALATED TO ROXANNE",IF(TODAY()&gt;$AB700,"OVERDUE",IF($AB700&lt;=WORKDAY(TODAY(),1,Holidays),"DUE TOMORROW",IF($Z700=4,"ESCALATED TO LOCAL OFFICE",IF($Z700=5,"ESCALATED TO CBE",IF($AA700=TODAY(),"EMAIL SENT","MONITORING"))))))))))</f>
        <v/>
      </c>
      <c r="V700" s="17">
        <f>IF($U700="",IF(AND(COUNTA($A700:$L700)&gt;0,$N700=""),"Awaiting Collection Email time stamp.",""),IF(OR($U700="PAID",$U700="CLOSED"),IF($U700="PAID","Account paid. Action completed.","Account closed. No further action required."),CHOOSE($Z700,"Collection Email","1st Email Follow-up","2nd Email Follow-up","Escalation to Local Office","Escalation to CBE","Escalation to Roxanne")&amp;" sent "&amp;TEXT($AA700,"dd-mmm")&amp;". "&amp;IF($Z700=6,"Final escalation completed.",IF($U700="OVERDUE","Next: "&amp;$AC700&amp;" was due "&amp;TEXT($AB700,"dd-mmm")&amp;" - "&amp;(NETWORKDAYS($AB700,TODAY(),Holidays)-1)&amp;" business day(s) late. Send now.",IF($U700="DUE TOMORROW","Next: "&amp;$AC700&amp;IF($AB700&lt;=TODAY()," is due TODAY ("," is due next business day (")&amp;TEXT($AB700,"dd-mmm")&amp;").","Next: "&amp;$AC700&amp;" due "&amp;TEXT($AB700,"dd-mmm")&amp;" ("&amp;(NETWORKDAYS(TODAY(),$AB700,Holidays)-1)&amp;" business day(s) left).")))))</f>
        <v/>
      </c>
      <c r="W700" s="17">
        <f>IF($Z700="","",CHOOSE($Z700,"Collection Email","1st Follow-up","2nd Follow-up","Local Office","CBE","Roxanne")&amp;IF($Z700=6," - Final"," - Day "&amp;MAX(0,NETWORKDAYS($AA700,TODAY(),Holidays)-1)&amp;" of "&amp;CHOOSE($Z700,3,3,2,2,3))&amp;" | Total Day "&amp;MAX(0,NETWORKDAYS($N700,TODAY(),Holidays)-1))</f>
        <v/>
      </c>
      <c r="X700" s="18"/>
      <c r="Y700" s="18"/>
      <c r="Z700" s="17">
        <f>IF($N700="","",COUNT($N700:$S700))</f>
        <v/>
      </c>
      <c r="AA700" s="19">
        <f>IF($Z700="","",INT(INDEX($N700:$S700,$Z700)))</f>
        <v/>
      </c>
      <c r="AB700" s="19">
        <f>IF(OR($Z700="",$Z700=6),"",WORKDAY($AA700,CHOOSE($Z700,3,3,2,2,3),Holidays))</f>
        <v/>
      </c>
      <c r="AC700" s="17">
        <f>IF(OR($Z700="",$Z700=6),"",CHOOSE($Z700,"1st Email Follow-up","2nd Email Follow-up","Escalate Local Office","Escalate to CBE","Escalate to Roxanne"))</f>
        <v/>
      </c>
    </row>
    <row r="701" spans="13:29">
      <c r="M701" s="14"/>
      <c r="T701" s="16"/>
      <c r="U701" s="17">
        <f>IF(AND(COUNTA($A701:$L701)=0,$N701=""),"",IF($T701="Paid","PAID",IF($T701="Closed","CLOSED",IF($Z701="","",IF($Z701=6,"ESCALATED TO ROXANNE",IF(TODAY()&gt;$AB701,"OVERDUE",IF($AB701&lt;=WORKDAY(TODAY(),1,Holidays),"DUE TOMORROW",IF($Z701=4,"ESCALATED TO LOCAL OFFICE",IF($Z701=5,"ESCALATED TO CBE",IF($AA701=TODAY(),"EMAIL SENT","MONITORING"))))))))))</f>
        <v/>
      </c>
      <c r="V701" s="17">
        <f>IF($U701="",IF(AND(COUNTA($A701:$L701)&gt;0,$N701=""),"Awaiting Collection Email time stamp.",""),IF(OR($U701="PAID",$U701="CLOSED"),IF($U701="PAID","Account paid. Action completed.","Account closed. No further action required."),CHOOSE($Z701,"Collection Email","1st Email Follow-up","2nd Email Follow-up","Escalation to Local Office","Escalation to CBE","Escalation to Roxanne")&amp;" sent "&amp;TEXT($AA701,"dd-mmm")&amp;". "&amp;IF($Z701=6,"Final escalation completed.",IF($U701="OVERDUE","Next: "&amp;$AC701&amp;" was due "&amp;TEXT($AB701,"dd-mmm")&amp;" - "&amp;(NETWORKDAYS($AB701,TODAY(),Holidays)-1)&amp;" business day(s) late. Send now.",IF($U701="DUE TOMORROW","Next: "&amp;$AC701&amp;IF($AB701&lt;=TODAY()," is due TODAY ("," is due next business day (")&amp;TEXT($AB701,"dd-mmm")&amp;").","Next: "&amp;$AC701&amp;" due "&amp;TEXT($AB701,"dd-mmm")&amp;" ("&amp;(NETWORKDAYS(TODAY(),$AB701,Holidays)-1)&amp;" business day(s) left).")))))</f>
        <v/>
      </c>
      <c r="W701" s="17">
        <f>IF($Z701="","",CHOOSE($Z701,"Collection Email","1st Follow-up","2nd Follow-up","Local Office","CBE","Roxanne")&amp;IF($Z701=6," - Final"," - Day "&amp;MAX(0,NETWORKDAYS($AA701,TODAY(),Holidays)-1)&amp;" of "&amp;CHOOSE($Z701,3,3,2,2,3))&amp;" | Total Day "&amp;MAX(0,NETWORKDAYS($N701,TODAY(),Holidays)-1))</f>
        <v/>
      </c>
      <c r="X701" s="18"/>
      <c r="Y701" s="18"/>
      <c r="Z701" s="17">
        <f>IF($N701="","",COUNT($N701:$S701))</f>
        <v/>
      </c>
      <c r="AA701" s="19">
        <f>IF($Z701="","",INT(INDEX($N701:$S701,$Z701)))</f>
        <v/>
      </c>
      <c r="AB701" s="19">
        <f>IF(OR($Z701="",$Z701=6),"",WORKDAY($AA701,CHOOSE($Z701,3,3,2,2,3),Holidays))</f>
        <v/>
      </c>
      <c r="AC701" s="17">
        <f>IF(OR($Z701="",$Z701=6),"",CHOOSE($Z701,"1st Email Follow-up","2nd Email Follow-up","Escalate Local Office","Escalate to CBE","Escalate to Roxanne"))</f>
        <v/>
      </c>
    </row>
    <row r="702" spans="13:29">
      <c r="M702" s="14"/>
      <c r="T702" s="16"/>
      <c r="U702" s="17">
        <f>IF(AND(COUNTA($A702:$L702)=0,$N702=""),"",IF($T702="Paid","PAID",IF($T702="Closed","CLOSED",IF($Z702="","",IF($Z702=6,"ESCALATED TO ROXANNE",IF(TODAY()&gt;$AB702,"OVERDUE",IF($AB702&lt;=WORKDAY(TODAY(),1,Holidays),"DUE TOMORROW",IF($Z702=4,"ESCALATED TO LOCAL OFFICE",IF($Z702=5,"ESCALATED TO CBE",IF($AA702=TODAY(),"EMAIL SENT","MONITORING"))))))))))</f>
        <v/>
      </c>
      <c r="V702" s="17">
        <f>IF($U702="",IF(AND(COUNTA($A702:$L702)&gt;0,$N702=""),"Awaiting Collection Email time stamp.",""),IF(OR($U702="PAID",$U702="CLOSED"),IF($U702="PAID","Account paid. Action completed.","Account closed. No further action required."),CHOOSE($Z702,"Collection Email","1st Email Follow-up","2nd Email Follow-up","Escalation to Local Office","Escalation to CBE","Escalation to Roxanne")&amp;" sent "&amp;TEXT($AA702,"dd-mmm")&amp;". "&amp;IF($Z702=6,"Final escalation completed.",IF($U702="OVERDUE","Next: "&amp;$AC702&amp;" was due "&amp;TEXT($AB702,"dd-mmm")&amp;" - "&amp;(NETWORKDAYS($AB702,TODAY(),Holidays)-1)&amp;" business day(s) late. Send now.",IF($U702="DUE TOMORROW","Next: "&amp;$AC702&amp;IF($AB702&lt;=TODAY()," is due TODAY ("," is due next business day (")&amp;TEXT($AB702,"dd-mmm")&amp;").","Next: "&amp;$AC702&amp;" due "&amp;TEXT($AB702,"dd-mmm")&amp;" ("&amp;(NETWORKDAYS(TODAY(),$AB702,Holidays)-1)&amp;" business day(s) left).")))))</f>
        <v/>
      </c>
      <c r="W702" s="17">
        <f>IF($Z702="","",CHOOSE($Z702,"Collection Email","1st Follow-up","2nd Follow-up","Local Office","CBE","Roxanne")&amp;IF($Z702=6," - Final"," - Day "&amp;MAX(0,NETWORKDAYS($AA702,TODAY(),Holidays)-1)&amp;" of "&amp;CHOOSE($Z702,3,3,2,2,3))&amp;" | Total Day "&amp;MAX(0,NETWORKDAYS($N702,TODAY(),Holidays)-1))</f>
        <v/>
      </c>
      <c r="X702" s="18"/>
      <c r="Y702" s="18"/>
      <c r="Z702" s="17">
        <f>IF($N702="","",COUNT($N702:$S702))</f>
        <v/>
      </c>
      <c r="AA702" s="19">
        <f>IF($Z702="","",INT(INDEX($N702:$S702,$Z702)))</f>
        <v/>
      </c>
      <c r="AB702" s="19">
        <f>IF(OR($Z702="",$Z702=6),"",WORKDAY($AA702,CHOOSE($Z702,3,3,2,2,3),Holidays))</f>
        <v/>
      </c>
      <c r="AC702" s="17">
        <f>IF(OR($Z702="",$Z702=6),"",CHOOSE($Z702,"1st Email Follow-up","2nd Email Follow-up","Escalate Local Office","Escalate to CBE","Escalate to Roxanne"))</f>
        <v/>
      </c>
    </row>
    <row r="703" spans="13:29">
      <c r="M703" s="14"/>
      <c r="T703" s="16"/>
      <c r="U703" s="17">
        <f>IF(AND(COUNTA($A703:$L703)=0,$N703=""),"",IF($T703="Paid","PAID",IF($T703="Closed","CLOSED",IF($Z703="","",IF($Z703=6,"ESCALATED TO ROXANNE",IF(TODAY()&gt;$AB703,"OVERDUE",IF($AB703&lt;=WORKDAY(TODAY(),1,Holidays),"DUE TOMORROW",IF($Z703=4,"ESCALATED TO LOCAL OFFICE",IF($Z703=5,"ESCALATED TO CBE",IF($AA703=TODAY(),"EMAIL SENT","MONITORING"))))))))))</f>
        <v/>
      </c>
      <c r="V703" s="17">
        <f>IF($U703="",IF(AND(COUNTA($A703:$L703)&gt;0,$N703=""),"Awaiting Collection Email time stamp.",""),IF(OR($U703="PAID",$U703="CLOSED"),IF($U703="PAID","Account paid. Action completed.","Account closed. No further action required."),CHOOSE($Z703,"Collection Email","1st Email Follow-up","2nd Email Follow-up","Escalation to Local Office","Escalation to CBE","Escalation to Roxanne")&amp;" sent "&amp;TEXT($AA703,"dd-mmm")&amp;". "&amp;IF($Z703=6,"Final escalation completed.",IF($U703="OVERDUE","Next: "&amp;$AC703&amp;" was due "&amp;TEXT($AB703,"dd-mmm")&amp;" - "&amp;(NETWORKDAYS($AB703,TODAY(),Holidays)-1)&amp;" business day(s) late. Send now.",IF($U703="DUE TOMORROW","Next: "&amp;$AC703&amp;IF($AB703&lt;=TODAY()," is due TODAY ("," is due next business day (")&amp;TEXT($AB703,"dd-mmm")&amp;").","Next: "&amp;$AC703&amp;" due "&amp;TEXT($AB703,"dd-mmm")&amp;" ("&amp;(NETWORKDAYS(TODAY(),$AB703,Holidays)-1)&amp;" business day(s) left).")))))</f>
        <v/>
      </c>
      <c r="W703" s="17">
        <f>IF($Z703="","",CHOOSE($Z703,"Collection Email","1st Follow-up","2nd Follow-up","Local Office","CBE","Roxanne")&amp;IF($Z703=6," - Final"," - Day "&amp;MAX(0,NETWORKDAYS($AA703,TODAY(),Holidays)-1)&amp;" of "&amp;CHOOSE($Z703,3,3,2,2,3))&amp;" | Total Day "&amp;MAX(0,NETWORKDAYS($N703,TODAY(),Holidays)-1))</f>
        <v/>
      </c>
      <c r="X703" s="18"/>
      <c r="Y703" s="18"/>
      <c r="Z703" s="17">
        <f>IF($N703="","",COUNT($N703:$S703))</f>
        <v/>
      </c>
      <c r="AA703" s="19">
        <f>IF($Z703="","",INT(INDEX($N703:$S703,$Z703)))</f>
        <v/>
      </c>
      <c r="AB703" s="19">
        <f>IF(OR($Z703="",$Z703=6),"",WORKDAY($AA703,CHOOSE($Z703,3,3,2,2,3),Holidays))</f>
        <v/>
      </c>
      <c r="AC703" s="17">
        <f>IF(OR($Z703="",$Z703=6),"",CHOOSE($Z703,"1st Email Follow-up","2nd Email Follow-up","Escalate Local Office","Escalate to CBE","Escalate to Roxanne"))</f>
        <v/>
      </c>
    </row>
    <row r="704" spans="13:29">
      <c r="M704" s="14"/>
      <c r="T704" s="16"/>
      <c r="U704" s="17">
        <f>IF(AND(COUNTA($A704:$L704)=0,$N704=""),"",IF($T704="Paid","PAID",IF($T704="Closed","CLOSED",IF($Z704="","",IF($Z704=6,"ESCALATED TO ROXANNE",IF(TODAY()&gt;$AB704,"OVERDUE",IF($AB704&lt;=WORKDAY(TODAY(),1,Holidays),"DUE TOMORROW",IF($Z704=4,"ESCALATED TO LOCAL OFFICE",IF($Z704=5,"ESCALATED TO CBE",IF($AA704=TODAY(),"EMAIL SENT","MONITORING"))))))))))</f>
        <v/>
      </c>
      <c r="V704" s="17">
        <f>IF($U704="",IF(AND(COUNTA($A704:$L704)&gt;0,$N704=""),"Awaiting Collection Email time stamp.",""),IF(OR($U704="PAID",$U704="CLOSED"),IF($U704="PAID","Account paid. Action completed.","Account closed. No further action required."),CHOOSE($Z704,"Collection Email","1st Email Follow-up","2nd Email Follow-up","Escalation to Local Office","Escalation to CBE","Escalation to Roxanne")&amp;" sent "&amp;TEXT($AA704,"dd-mmm")&amp;". "&amp;IF($Z704=6,"Final escalation completed.",IF($U704="OVERDUE","Next: "&amp;$AC704&amp;" was due "&amp;TEXT($AB704,"dd-mmm")&amp;" - "&amp;(NETWORKDAYS($AB704,TODAY(),Holidays)-1)&amp;" business day(s) late. Send now.",IF($U704="DUE TOMORROW","Next: "&amp;$AC704&amp;IF($AB704&lt;=TODAY()," is due TODAY ("," is due next business day (")&amp;TEXT($AB704,"dd-mmm")&amp;").","Next: "&amp;$AC704&amp;" due "&amp;TEXT($AB704,"dd-mmm")&amp;" ("&amp;(NETWORKDAYS(TODAY(),$AB704,Holidays)-1)&amp;" business day(s) left).")))))</f>
        <v/>
      </c>
      <c r="W704" s="17">
        <f>IF($Z704="","",CHOOSE($Z704,"Collection Email","1st Follow-up","2nd Follow-up","Local Office","CBE","Roxanne")&amp;IF($Z704=6," - Final"," - Day "&amp;MAX(0,NETWORKDAYS($AA704,TODAY(),Holidays)-1)&amp;" of "&amp;CHOOSE($Z704,3,3,2,2,3))&amp;" | Total Day "&amp;MAX(0,NETWORKDAYS($N704,TODAY(),Holidays)-1))</f>
        <v/>
      </c>
      <c r="X704" s="18"/>
      <c r="Y704" s="18"/>
      <c r="Z704" s="17">
        <f>IF($N704="","",COUNT($N704:$S704))</f>
        <v/>
      </c>
      <c r="AA704" s="19">
        <f>IF($Z704="","",INT(INDEX($N704:$S704,$Z704)))</f>
        <v/>
      </c>
      <c r="AB704" s="19">
        <f>IF(OR($Z704="",$Z704=6),"",WORKDAY($AA704,CHOOSE($Z704,3,3,2,2,3),Holidays))</f>
        <v/>
      </c>
      <c r="AC704" s="17">
        <f>IF(OR($Z704="",$Z704=6),"",CHOOSE($Z704,"1st Email Follow-up","2nd Email Follow-up","Escalate Local Office","Escalate to CBE","Escalate to Roxanne"))</f>
        <v/>
      </c>
    </row>
    <row r="705" spans="13:29">
      <c r="M705" s="14"/>
      <c r="T705" s="16"/>
      <c r="U705" s="17">
        <f>IF(AND(COUNTA($A705:$L705)=0,$N705=""),"",IF($T705="Paid","PAID",IF($T705="Closed","CLOSED",IF($Z705="","",IF($Z705=6,"ESCALATED TO ROXANNE",IF(TODAY()&gt;$AB705,"OVERDUE",IF($AB705&lt;=WORKDAY(TODAY(),1,Holidays),"DUE TOMORROW",IF($Z705=4,"ESCALATED TO LOCAL OFFICE",IF($Z705=5,"ESCALATED TO CBE",IF($AA705=TODAY(),"EMAIL SENT","MONITORING"))))))))))</f>
        <v/>
      </c>
      <c r="V705" s="17">
        <f>IF($U705="",IF(AND(COUNTA($A705:$L705)&gt;0,$N705=""),"Awaiting Collection Email time stamp.",""),IF(OR($U705="PAID",$U705="CLOSED"),IF($U705="PAID","Account paid. Action completed.","Account closed. No further action required."),CHOOSE($Z705,"Collection Email","1st Email Follow-up","2nd Email Follow-up","Escalation to Local Office","Escalation to CBE","Escalation to Roxanne")&amp;" sent "&amp;TEXT($AA705,"dd-mmm")&amp;". "&amp;IF($Z705=6,"Final escalation completed.",IF($U705="OVERDUE","Next: "&amp;$AC705&amp;" was due "&amp;TEXT($AB705,"dd-mmm")&amp;" - "&amp;(NETWORKDAYS($AB705,TODAY(),Holidays)-1)&amp;" business day(s) late. Send now.",IF($U705="DUE TOMORROW","Next: "&amp;$AC705&amp;IF($AB705&lt;=TODAY()," is due TODAY ("," is due next business day (")&amp;TEXT($AB705,"dd-mmm")&amp;").","Next: "&amp;$AC705&amp;" due "&amp;TEXT($AB705,"dd-mmm")&amp;" ("&amp;(NETWORKDAYS(TODAY(),$AB705,Holidays)-1)&amp;" business day(s) left).")))))</f>
        <v/>
      </c>
      <c r="W705" s="17">
        <f>IF($Z705="","",CHOOSE($Z705,"Collection Email","1st Follow-up","2nd Follow-up","Local Office","CBE","Roxanne")&amp;IF($Z705=6," - Final"," - Day "&amp;MAX(0,NETWORKDAYS($AA705,TODAY(),Holidays)-1)&amp;" of "&amp;CHOOSE($Z705,3,3,2,2,3))&amp;" | Total Day "&amp;MAX(0,NETWORKDAYS($N705,TODAY(),Holidays)-1))</f>
        <v/>
      </c>
      <c r="X705" s="18"/>
      <c r="Y705" s="18"/>
      <c r="Z705" s="17">
        <f>IF($N705="","",COUNT($N705:$S705))</f>
        <v/>
      </c>
      <c r="AA705" s="19">
        <f>IF($Z705="","",INT(INDEX($N705:$S705,$Z705)))</f>
        <v/>
      </c>
      <c r="AB705" s="19">
        <f>IF(OR($Z705="",$Z705=6),"",WORKDAY($AA705,CHOOSE($Z705,3,3,2,2,3),Holidays))</f>
        <v/>
      </c>
      <c r="AC705" s="17">
        <f>IF(OR($Z705="",$Z705=6),"",CHOOSE($Z705,"1st Email Follow-up","2nd Email Follow-up","Escalate Local Office","Escalate to CBE","Escalate to Roxanne"))</f>
        <v/>
      </c>
    </row>
    <row r="706" spans="13:29">
      <c r="M706" s="14"/>
      <c r="T706" s="16"/>
      <c r="U706" s="17">
        <f>IF(AND(COUNTA($A706:$L706)=0,$N706=""),"",IF($T706="Paid","PAID",IF($T706="Closed","CLOSED",IF($Z706="","",IF($Z706=6,"ESCALATED TO ROXANNE",IF(TODAY()&gt;$AB706,"OVERDUE",IF($AB706&lt;=WORKDAY(TODAY(),1,Holidays),"DUE TOMORROW",IF($Z706=4,"ESCALATED TO LOCAL OFFICE",IF($Z706=5,"ESCALATED TO CBE",IF($AA706=TODAY(),"EMAIL SENT","MONITORING"))))))))))</f>
        <v/>
      </c>
      <c r="V706" s="17">
        <f>IF($U706="",IF(AND(COUNTA($A706:$L706)&gt;0,$N706=""),"Awaiting Collection Email time stamp.",""),IF(OR($U706="PAID",$U706="CLOSED"),IF($U706="PAID","Account paid. Action completed.","Account closed. No further action required."),CHOOSE($Z706,"Collection Email","1st Email Follow-up","2nd Email Follow-up","Escalation to Local Office","Escalation to CBE","Escalation to Roxanne")&amp;" sent "&amp;TEXT($AA706,"dd-mmm")&amp;". "&amp;IF($Z706=6,"Final escalation completed.",IF($U706="OVERDUE","Next: "&amp;$AC706&amp;" was due "&amp;TEXT($AB706,"dd-mmm")&amp;" - "&amp;(NETWORKDAYS($AB706,TODAY(),Holidays)-1)&amp;" business day(s) late. Send now.",IF($U706="DUE TOMORROW","Next: "&amp;$AC706&amp;IF($AB706&lt;=TODAY()," is due TODAY ("," is due next business day (")&amp;TEXT($AB706,"dd-mmm")&amp;").","Next: "&amp;$AC706&amp;" due "&amp;TEXT($AB706,"dd-mmm")&amp;" ("&amp;(NETWORKDAYS(TODAY(),$AB706,Holidays)-1)&amp;" business day(s) left).")))))</f>
        <v/>
      </c>
      <c r="W706" s="17">
        <f>IF($Z706="","",CHOOSE($Z706,"Collection Email","1st Follow-up","2nd Follow-up","Local Office","CBE","Roxanne")&amp;IF($Z706=6," - Final"," - Day "&amp;MAX(0,NETWORKDAYS($AA706,TODAY(),Holidays)-1)&amp;" of "&amp;CHOOSE($Z706,3,3,2,2,3))&amp;" | Total Day "&amp;MAX(0,NETWORKDAYS($N706,TODAY(),Holidays)-1))</f>
        <v/>
      </c>
      <c r="X706" s="18"/>
      <c r="Y706" s="18"/>
      <c r="Z706" s="17">
        <f>IF($N706="","",COUNT($N706:$S706))</f>
        <v/>
      </c>
      <c r="AA706" s="19">
        <f>IF($Z706="","",INT(INDEX($N706:$S706,$Z706)))</f>
        <v/>
      </c>
      <c r="AB706" s="19">
        <f>IF(OR($Z706="",$Z706=6),"",WORKDAY($AA706,CHOOSE($Z706,3,3,2,2,3),Holidays))</f>
        <v/>
      </c>
      <c r="AC706" s="17">
        <f>IF(OR($Z706="",$Z706=6),"",CHOOSE($Z706,"1st Email Follow-up","2nd Email Follow-up","Escalate Local Office","Escalate to CBE","Escalate to Roxanne"))</f>
        <v/>
      </c>
    </row>
    <row r="707" spans="13:29">
      <c r="M707" s="14"/>
      <c r="T707" s="16"/>
      <c r="U707" s="17">
        <f>IF(AND(COUNTA($A707:$L707)=0,$N707=""),"",IF($T707="Paid","PAID",IF($T707="Closed","CLOSED",IF($Z707="","",IF($Z707=6,"ESCALATED TO ROXANNE",IF(TODAY()&gt;$AB707,"OVERDUE",IF($AB707&lt;=WORKDAY(TODAY(),1,Holidays),"DUE TOMORROW",IF($Z707=4,"ESCALATED TO LOCAL OFFICE",IF($Z707=5,"ESCALATED TO CBE",IF($AA707=TODAY(),"EMAIL SENT","MONITORING"))))))))))</f>
        <v/>
      </c>
      <c r="V707" s="17">
        <f>IF($U707="",IF(AND(COUNTA($A707:$L707)&gt;0,$N707=""),"Awaiting Collection Email time stamp.",""),IF(OR($U707="PAID",$U707="CLOSED"),IF($U707="PAID","Account paid. Action completed.","Account closed. No further action required."),CHOOSE($Z707,"Collection Email","1st Email Follow-up","2nd Email Follow-up","Escalation to Local Office","Escalation to CBE","Escalation to Roxanne")&amp;" sent "&amp;TEXT($AA707,"dd-mmm")&amp;". "&amp;IF($Z707=6,"Final escalation completed.",IF($U707="OVERDUE","Next: "&amp;$AC707&amp;" was due "&amp;TEXT($AB707,"dd-mmm")&amp;" - "&amp;(NETWORKDAYS($AB707,TODAY(),Holidays)-1)&amp;" business day(s) late. Send now.",IF($U707="DUE TOMORROW","Next: "&amp;$AC707&amp;IF($AB707&lt;=TODAY()," is due TODAY ("," is due next business day (")&amp;TEXT($AB707,"dd-mmm")&amp;").","Next: "&amp;$AC707&amp;" due "&amp;TEXT($AB707,"dd-mmm")&amp;" ("&amp;(NETWORKDAYS(TODAY(),$AB707,Holidays)-1)&amp;" business day(s) left).")))))</f>
        <v/>
      </c>
      <c r="W707" s="17">
        <f>IF($Z707="","",CHOOSE($Z707,"Collection Email","1st Follow-up","2nd Follow-up","Local Office","CBE","Roxanne")&amp;IF($Z707=6," - Final"," - Day "&amp;MAX(0,NETWORKDAYS($AA707,TODAY(),Holidays)-1)&amp;" of "&amp;CHOOSE($Z707,3,3,2,2,3))&amp;" | Total Day "&amp;MAX(0,NETWORKDAYS($N707,TODAY(),Holidays)-1))</f>
        <v/>
      </c>
      <c r="X707" s="18"/>
      <c r="Y707" s="18"/>
      <c r="Z707" s="17">
        <f>IF($N707="","",COUNT($N707:$S707))</f>
        <v/>
      </c>
      <c r="AA707" s="19">
        <f>IF($Z707="","",INT(INDEX($N707:$S707,$Z707)))</f>
        <v/>
      </c>
      <c r="AB707" s="19">
        <f>IF(OR($Z707="",$Z707=6),"",WORKDAY($AA707,CHOOSE($Z707,3,3,2,2,3),Holidays))</f>
        <v/>
      </c>
      <c r="AC707" s="17">
        <f>IF(OR($Z707="",$Z707=6),"",CHOOSE($Z707,"1st Email Follow-up","2nd Email Follow-up","Escalate Local Office","Escalate to CBE","Escalate to Roxanne"))</f>
        <v/>
      </c>
    </row>
    <row r="708" spans="13:29">
      <c r="M708" s="14"/>
      <c r="T708" s="16"/>
      <c r="U708" s="17">
        <f>IF(AND(COUNTA($A708:$L708)=0,$N708=""),"",IF($T708="Paid","PAID",IF($T708="Closed","CLOSED",IF($Z708="","",IF($Z708=6,"ESCALATED TO ROXANNE",IF(TODAY()&gt;$AB708,"OVERDUE",IF($AB708&lt;=WORKDAY(TODAY(),1,Holidays),"DUE TOMORROW",IF($Z708=4,"ESCALATED TO LOCAL OFFICE",IF($Z708=5,"ESCALATED TO CBE",IF($AA708=TODAY(),"EMAIL SENT","MONITORING"))))))))))</f>
        <v/>
      </c>
      <c r="V708" s="17">
        <f>IF($U708="",IF(AND(COUNTA($A708:$L708)&gt;0,$N708=""),"Awaiting Collection Email time stamp.",""),IF(OR($U708="PAID",$U708="CLOSED"),IF($U708="PAID","Account paid. Action completed.","Account closed. No further action required."),CHOOSE($Z708,"Collection Email","1st Email Follow-up","2nd Email Follow-up","Escalation to Local Office","Escalation to CBE","Escalation to Roxanne")&amp;" sent "&amp;TEXT($AA708,"dd-mmm")&amp;". "&amp;IF($Z708=6,"Final escalation completed.",IF($U708="OVERDUE","Next: "&amp;$AC708&amp;" was due "&amp;TEXT($AB708,"dd-mmm")&amp;" - "&amp;(NETWORKDAYS($AB708,TODAY(),Holidays)-1)&amp;" business day(s) late. Send now.",IF($U708="DUE TOMORROW","Next: "&amp;$AC708&amp;IF($AB708&lt;=TODAY()," is due TODAY ("," is due next business day (")&amp;TEXT($AB708,"dd-mmm")&amp;").","Next: "&amp;$AC708&amp;" due "&amp;TEXT($AB708,"dd-mmm")&amp;" ("&amp;(NETWORKDAYS(TODAY(),$AB708,Holidays)-1)&amp;" business day(s) left).")))))</f>
        <v/>
      </c>
      <c r="W708" s="17">
        <f>IF($Z708="","",CHOOSE($Z708,"Collection Email","1st Follow-up","2nd Follow-up","Local Office","CBE","Roxanne")&amp;IF($Z708=6," - Final"," - Day "&amp;MAX(0,NETWORKDAYS($AA708,TODAY(),Holidays)-1)&amp;" of "&amp;CHOOSE($Z708,3,3,2,2,3))&amp;" | Total Day "&amp;MAX(0,NETWORKDAYS($N708,TODAY(),Holidays)-1))</f>
        <v/>
      </c>
      <c r="X708" s="18"/>
      <c r="Y708" s="18"/>
      <c r="Z708" s="17">
        <f>IF($N708="","",COUNT($N708:$S708))</f>
        <v/>
      </c>
      <c r="AA708" s="19">
        <f>IF($Z708="","",INT(INDEX($N708:$S708,$Z708)))</f>
        <v/>
      </c>
      <c r="AB708" s="19">
        <f>IF(OR($Z708="",$Z708=6),"",WORKDAY($AA708,CHOOSE($Z708,3,3,2,2,3),Holidays))</f>
        <v/>
      </c>
      <c r="AC708" s="17">
        <f>IF(OR($Z708="",$Z708=6),"",CHOOSE($Z708,"1st Email Follow-up","2nd Email Follow-up","Escalate Local Office","Escalate to CBE","Escalate to Roxanne"))</f>
        <v/>
      </c>
    </row>
    <row r="709" spans="13:29">
      <c r="M709" s="14"/>
      <c r="T709" s="16"/>
      <c r="U709" s="17">
        <f>IF(AND(COUNTA($A709:$L709)=0,$N709=""),"",IF($T709="Paid","PAID",IF($T709="Closed","CLOSED",IF($Z709="","",IF($Z709=6,"ESCALATED TO ROXANNE",IF(TODAY()&gt;$AB709,"OVERDUE",IF($AB709&lt;=WORKDAY(TODAY(),1,Holidays),"DUE TOMORROW",IF($Z709=4,"ESCALATED TO LOCAL OFFICE",IF($Z709=5,"ESCALATED TO CBE",IF($AA709=TODAY(),"EMAIL SENT","MONITORING"))))))))))</f>
        <v/>
      </c>
      <c r="V709" s="17">
        <f>IF($U709="",IF(AND(COUNTA($A709:$L709)&gt;0,$N709=""),"Awaiting Collection Email time stamp.",""),IF(OR($U709="PAID",$U709="CLOSED"),IF($U709="PAID","Account paid. Action completed.","Account closed. No further action required."),CHOOSE($Z709,"Collection Email","1st Email Follow-up","2nd Email Follow-up","Escalation to Local Office","Escalation to CBE","Escalation to Roxanne")&amp;" sent "&amp;TEXT($AA709,"dd-mmm")&amp;". "&amp;IF($Z709=6,"Final escalation completed.",IF($U709="OVERDUE","Next: "&amp;$AC709&amp;" was due "&amp;TEXT($AB709,"dd-mmm")&amp;" - "&amp;(NETWORKDAYS($AB709,TODAY(),Holidays)-1)&amp;" business day(s) late. Send now.",IF($U709="DUE TOMORROW","Next: "&amp;$AC709&amp;IF($AB709&lt;=TODAY()," is due TODAY ("," is due next business day (")&amp;TEXT($AB709,"dd-mmm")&amp;").","Next: "&amp;$AC709&amp;" due "&amp;TEXT($AB709,"dd-mmm")&amp;" ("&amp;(NETWORKDAYS(TODAY(),$AB709,Holidays)-1)&amp;" business day(s) left).")))))</f>
        <v/>
      </c>
      <c r="W709" s="17">
        <f>IF($Z709="","",CHOOSE($Z709,"Collection Email","1st Follow-up","2nd Follow-up","Local Office","CBE","Roxanne")&amp;IF($Z709=6," - Final"," - Day "&amp;MAX(0,NETWORKDAYS($AA709,TODAY(),Holidays)-1)&amp;" of "&amp;CHOOSE($Z709,3,3,2,2,3))&amp;" | Total Day "&amp;MAX(0,NETWORKDAYS($N709,TODAY(),Holidays)-1))</f>
        <v/>
      </c>
      <c r="X709" s="18"/>
      <c r="Y709" s="18"/>
      <c r="Z709" s="17">
        <f>IF($N709="","",COUNT($N709:$S709))</f>
        <v/>
      </c>
      <c r="AA709" s="19">
        <f>IF($Z709="","",INT(INDEX($N709:$S709,$Z709)))</f>
        <v/>
      </c>
      <c r="AB709" s="19">
        <f>IF(OR($Z709="",$Z709=6),"",WORKDAY($AA709,CHOOSE($Z709,3,3,2,2,3),Holidays))</f>
        <v/>
      </c>
      <c r="AC709" s="17">
        <f>IF(OR($Z709="",$Z709=6),"",CHOOSE($Z709,"1st Email Follow-up","2nd Email Follow-up","Escalate Local Office","Escalate to CBE","Escalate to Roxanne"))</f>
        <v/>
      </c>
    </row>
    <row r="710" spans="13:29">
      <c r="M710" s="14"/>
      <c r="T710" s="16"/>
      <c r="U710" s="17">
        <f>IF(AND(COUNTA($A710:$L710)=0,$N710=""),"",IF($T710="Paid","PAID",IF($T710="Closed","CLOSED",IF($Z710="","",IF($Z710=6,"ESCALATED TO ROXANNE",IF(TODAY()&gt;$AB710,"OVERDUE",IF($AB710&lt;=WORKDAY(TODAY(),1,Holidays),"DUE TOMORROW",IF($Z710=4,"ESCALATED TO LOCAL OFFICE",IF($Z710=5,"ESCALATED TO CBE",IF($AA710=TODAY(),"EMAIL SENT","MONITORING"))))))))))</f>
        <v/>
      </c>
      <c r="V710" s="17">
        <f>IF($U710="",IF(AND(COUNTA($A710:$L710)&gt;0,$N710=""),"Awaiting Collection Email time stamp.",""),IF(OR($U710="PAID",$U710="CLOSED"),IF($U710="PAID","Account paid. Action completed.","Account closed. No further action required."),CHOOSE($Z710,"Collection Email","1st Email Follow-up","2nd Email Follow-up","Escalation to Local Office","Escalation to CBE","Escalation to Roxanne")&amp;" sent "&amp;TEXT($AA710,"dd-mmm")&amp;". "&amp;IF($Z710=6,"Final escalation completed.",IF($U710="OVERDUE","Next: "&amp;$AC710&amp;" was due "&amp;TEXT($AB710,"dd-mmm")&amp;" - "&amp;(NETWORKDAYS($AB710,TODAY(),Holidays)-1)&amp;" business day(s) late. Send now.",IF($U710="DUE TOMORROW","Next: "&amp;$AC710&amp;IF($AB710&lt;=TODAY()," is due TODAY ("," is due next business day (")&amp;TEXT($AB710,"dd-mmm")&amp;").","Next: "&amp;$AC710&amp;" due "&amp;TEXT($AB710,"dd-mmm")&amp;" ("&amp;(NETWORKDAYS(TODAY(),$AB710,Holidays)-1)&amp;" business day(s) left).")))))</f>
        <v/>
      </c>
      <c r="W710" s="17">
        <f>IF($Z710="","",CHOOSE($Z710,"Collection Email","1st Follow-up","2nd Follow-up","Local Office","CBE","Roxanne")&amp;IF($Z710=6," - Final"," - Day "&amp;MAX(0,NETWORKDAYS($AA710,TODAY(),Holidays)-1)&amp;" of "&amp;CHOOSE($Z710,3,3,2,2,3))&amp;" | Total Day "&amp;MAX(0,NETWORKDAYS($N710,TODAY(),Holidays)-1))</f>
        <v/>
      </c>
      <c r="X710" s="18"/>
      <c r="Y710" s="18"/>
      <c r="Z710" s="17">
        <f>IF($N710="","",COUNT($N710:$S710))</f>
        <v/>
      </c>
      <c r="AA710" s="19">
        <f>IF($Z710="","",INT(INDEX($N710:$S710,$Z710)))</f>
        <v/>
      </c>
      <c r="AB710" s="19">
        <f>IF(OR($Z710="",$Z710=6),"",WORKDAY($AA710,CHOOSE($Z710,3,3,2,2,3),Holidays))</f>
        <v/>
      </c>
      <c r="AC710" s="17">
        <f>IF(OR($Z710="",$Z710=6),"",CHOOSE($Z710,"1st Email Follow-up","2nd Email Follow-up","Escalate Local Office","Escalate to CBE","Escalate to Roxanne"))</f>
        <v/>
      </c>
    </row>
    <row r="711" spans="13:29">
      <c r="M711" s="14"/>
      <c r="T711" s="16"/>
      <c r="U711" s="17">
        <f>IF(AND(COUNTA($A711:$L711)=0,$N711=""),"",IF($T711="Paid","PAID",IF($T711="Closed","CLOSED",IF($Z711="","",IF($Z711=6,"ESCALATED TO ROXANNE",IF(TODAY()&gt;$AB711,"OVERDUE",IF($AB711&lt;=WORKDAY(TODAY(),1,Holidays),"DUE TOMORROW",IF($Z711=4,"ESCALATED TO LOCAL OFFICE",IF($Z711=5,"ESCALATED TO CBE",IF($AA711=TODAY(),"EMAIL SENT","MONITORING"))))))))))</f>
        <v/>
      </c>
      <c r="V711" s="17">
        <f>IF($U711="",IF(AND(COUNTA($A711:$L711)&gt;0,$N711=""),"Awaiting Collection Email time stamp.",""),IF(OR($U711="PAID",$U711="CLOSED"),IF($U711="PAID","Account paid. Action completed.","Account closed. No further action required."),CHOOSE($Z711,"Collection Email","1st Email Follow-up","2nd Email Follow-up","Escalation to Local Office","Escalation to CBE","Escalation to Roxanne")&amp;" sent "&amp;TEXT($AA711,"dd-mmm")&amp;". "&amp;IF($Z711=6,"Final escalation completed.",IF($U711="OVERDUE","Next: "&amp;$AC711&amp;" was due "&amp;TEXT($AB711,"dd-mmm")&amp;" - "&amp;(NETWORKDAYS($AB711,TODAY(),Holidays)-1)&amp;" business day(s) late. Send now.",IF($U711="DUE TOMORROW","Next: "&amp;$AC711&amp;IF($AB711&lt;=TODAY()," is due TODAY ("," is due next business day (")&amp;TEXT($AB711,"dd-mmm")&amp;").","Next: "&amp;$AC711&amp;" due "&amp;TEXT($AB711,"dd-mmm")&amp;" ("&amp;(NETWORKDAYS(TODAY(),$AB711,Holidays)-1)&amp;" business day(s) left).")))))</f>
        <v/>
      </c>
      <c r="W711" s="17">
        <f>IF($Z711="","",CHOOSE($Z711,"Collection Email","1st Follow-up","2nd Follow-up","Local Office","CBE","Roxanne")&amp;IF($Z711=6," - Final"," - Day "&amp;MAX(0,NETWORKDAYS($AA711,TODAY(),Holidays)-1)&amp;" of "&amp;CHOOSE($Z711,3,3,2,2,3))&amp;" | Total Day "&amp;MAX(0,NETWORKDAYS($N711,TODAY(),Holidays)-1))</f>
        <v/>
      </c>
      <c r="X711" s="18"/>
      <c r="Y711" s="18"/>
      <c r="Z711" s="17">
        <f>IF($N711="","",COUNT($N711:$S711))</f>
        <v/>
      </c>
      <c r="AA711" s="19">
        <f>IF($Z711="","",INT(INDEX($N711:$S711,$Z711)))</f>
        <v/>
      </c>
      <c r="AB711" s="19">
        <f>IF(OR($Z711="",$Z711=6),"",WORKDAY($AA711,CHOOSE($Z711,3,3,2,2,3),Holidays))</f>
        <v/>
      </c>
      <c r="AC711" s="17">
        <f>IF(OR($Z711="",$Z711=6),"",CHOOSE($Z711,"1st Email Follow-up","2nd Email Follow-up","Escalate Local Office","Escalate to CBE","Escalate to Roxanne"))</f>
        <v/>
      </c>
    </row>
    <row r="712" spans="13:29">
      <c r="M712" s="14"/>
      <c r="T712" s="16"/>
      <c r="U712" s="17">
        <f>IF(AND(COUNTA($A712:$L712)=0,$N712=""),"",IF($T712="Paid","PAID",IF($T712="Closed","CLOSED",IF($Z712="","",IF($Z712=6,"ESCALATED TO ROXANNE",IF(TODAY()&gt;$AB712,"OVERDUE",IF($AB712&lt;=WORKDAY(TODAY(),1,Holidays),"DUE TOMORROW",IF($Z712=4,"ESCALATED TO LOCAL OFFICE",IF($Z712=5,"ESCALATED TO CBE",IF($AA712=TODAY(),"EMAIL SENT","MONITORING"))))))))))</f>
        <v/>
      </c>
      <c r="V712" s="17">
        <f>IF($U712="",IF(AND(COUNTA($A712:$L712)&gt;0,$N712=""),"Awaiting Collection Email time stamp.",""),IF(OR($U712="PAID",$U712="CLOSED"),IF($U712="PAID","Account paid. Action completed.","Account closed. No further action required."),CHOOSE($Z712,"Collection Email","1st Email Follow-up","2nd Email Follow-up","Escalation to Local Office","Escalation to CBE","Escalation to Roxanne")&amp;" sent "&amp;TEXT($AA712,"dd-mmm")&amp;". "&amp;IF($Z712=6,"Final escalation completed.",IF($U712="OVERDUE","Next: "&amp;$AC712&amp;" was due "&amp;TEXT($AB712,"dd-mmm")&amp;" - "&amp;(NETWORKDAYS($AB712,TODAY(),Holidays)-1)&amp;" business day(s) late. Send now.",IF($U712="DUE TOMORROW","Next: "&amp;$AC712&amp;IF($AB712&lt;=TODAY()," is due TODAY ("," is due next business day (")&amp;TEXT($AB712,"dd-mmm")&amp;").","Next: "&amp;$AC712&amp;" due "&amp;TEXT($AB712,"dd-mmm")&amp;" ("&amp;(NETWORKDAYS(TODAY(),$AB712,Holidays)-1)&amp;" business day(s) left).")))))</f>
        <v/>
      </c>
      <c r="W712" s="17">
        <f>IF($Z712="","",CHOOSE($Z712,"Collection Email","1st Follow-up","2nd Follow-up","Local Office","CBE","Roxanne")&amp;IF($Z712=6," - Final"," - Day "&amp;MAX(0,NETWORKDAYS($AA712,TODAY(),Holidays)-1)&amp;" of "&amp;CHOOSE($Z712,3,3,2,2,3))&amp;" | Total Day "&amp;MAX(0,NETWORKDAYS($N712,TODAY(),Holidays)-1))</f>
        <v/>
      </c>
      <c r="X712" s="18"/>
      <c r="Y712" s="18"/>
      <c r="Z712" s="17">
        <f>IF($N712="","",COUNT($N712:$S712))</f>
        <v/>
      </c>
      <c r="AA712" s="19">
        <f>IF($Z712="","",INT(INDEX($N712:$S712,$Z712)))</f>
        <v/>
      </c>
      <c r="AB712" s="19">
        <f>IF(OR($Z712="",$Z712=6),"",WORKDAY($AA712,CHOOSE($Z712,3,3,2,2,3),Holidays))</f>
        <v/>
      </c>
      <c r="AC712" s="17">
        <f>IF(OR($Z712="",$Z712=6),"",CHOOSE($Z712,"1st Email Follow-up","2nd Email Follow-up","Escalate Local Office","Escalate to CBE","Escalate to Roxanne"))</f>
        <v/>
      </c>
    </row>
    <row r="713" spans="13:29">
      <c r="M713" s="14"/>
      <c r="T713" s="16"/>
      <c r="U713" s="17">
        <f>IF(AND(COUNTA($A713:$L713)=0,$N713=""),"",IF($T713="Paid","PAID",IF($T713="Closed","CLOSED",IF($Z713="","",IF($Z713=6,"ESCALATED TO ROXANNE",IF(TODAY()&gt;$AB713,"OVERDUE",IF($AB713&lt;=WORKDAY(TODAY(),1,Holidays),"DUE TOMORROW",IF($Z713=4,"ESCALATED TO LOCAL OFFICE",IF($Z713=5,"ESCALATED TO CBE",IF($AA713=TODAY(),"EMAIL SENT","MONITORING"))))))))))</f>
        <v/>
      </c>
      <c r="V713" s="17">
        <f>IF($U713="",IF(AND(COUNTA($A713:$L713)&gt;0,$N713=""),"Awaiting Collection Email time stamp.",""),IF(OR($U713="PAID",$U713="CLOSED"),IF($U713="PAID","Account paid. Action completed.","Account closed. No further action required."),CHOOSE($Z713,"Collection Email","1st Email Follow-up","2nd Email Follow-up","Escalation to Local Office","Escalation to CBE","Escalation to Roxanne")&amp;" sent "&amp;TEXT($AA713,"dd-mmm")&amp;". "&amp;IF($Z713=6,"Final escalation completed.",IF($U713="OVERDUE","Next: "&amp;$AC713&amp;" was due "&amp;TEXT($AB713,"dd-mmm")&amp;" - "&amp;(NETWORKDAYS($AB713,TODAY(),Holidays)-1)&amp;" business day(s) late. Send now.",IF($U713="DUE TOMORROW","Next: "&amp;$AC713&amp;IF($AB713&lt;=TODAY()," is due TODAY ("," is due next business day (")&amp;TEXT($AB713,"dd-mmm")&amp;").","Next: "&amp;$AC713&amp;" due "&amp;TEXT($AB713,"dd-mmm")&amp;" ("&amp;(NETWORKDAYS(TODAY(),$AB713,Holidays)-1)&amp;" business day(s) left).")))))</f>
        <v/>
      </c>
      <c r="W713" s="17">
        <f>IF($Z713="","",CHOOSE($Z713,"Collection Email","1st Follow-up","2nd Follow-up","Local Office","CBE","Roxanne")&amp;IF($Z713=6," - Final"," - Day "&amp;MAX(0,NETWORKDAYS($AA713,TODAY(),Holidays)-1)&amp;" of "&amp;CHOOSE($Z713,3,3,2,2,3))&amp;" | Total Day "&amp;MAX(0,NETWORKDAYS($N713,TODAY(),Holidays)-1))</f>
        <v/>
      </c>
      <c r="X713" s="18"/>
      <c r="Y713" s="18"/>
      <c r="Z713" s="17">
        <f>IF($N713="","",COUNT($N713:$S713))</f>
        <v/>
      </c>
      <c r="AA713" s="19">
        <f>IF($Z713="","",INT(INDEX($N713:$S713,$Z713)))</f>
        <v/>
      </c>
      <c r="AB713" s="19">
        <f>IF(OR($Z713="",$Z713=6),"",WORKDAY($AA713,CHOOSE($Z713,3,3,2,2,3),Holidays))</f>
        <v/>
      </c>
      <c r="AC713" s="17">
        <f>IF(OR($Z713="",$Z713=6),"",CHOOSE($Z713,"1st Email Follow-up","2nd Email Follow-up","Escalate Local Office","Escalate to CBE","Escalate to Roxanne"))</f>
        <v/>
      </c>
    </row>
    <row r="714" spans="13:29">
      <c r="M714" s="14"/>
      <c r="T714" s="16"/>
      <c r="U714" s="17">
        <f>IF(AND(COUNTA($A714:$L714)=0,$N714=""),"",IF($T714="Paid","PAID",IF($T714="Closed","CLOSED",IF($Z714="","",IF($Z714=6,"ESCALATED TO ROXANNE",IF(TODAY()&gt;$AB714,"OVERDUE",IF($AB714&lt;=WORKDAY(TODAY(),1,Holidays),"DUE TOMORROW",IF($Z714=4,"ESCALATED TO LOCAL OFFICE",IF($Z714=5,"ESCALATED TO CBE",IF($AA714=TODAY(),"EMAIL SENT","MONITORING"))))))))))</f>
        <v/>
      </c>
      <c r="V714" s="17">
        <f>IF($U714="",IF(AND(COUNTA($A714:$L714)&gt;0,$N714=""),"Awaiting Collection Email time stamp.",""),IF(OR($U714="PAID",$U714="CLOSED"),IF($U714="PAID","Account paid. Action completed.","Account closed. No further action required."),CHOOSE($Z714,"Collection Email","1st Email Follow-up","2nd Email Follow-up","Escalation to Local Office","Escalation to CBE","Escalation to Roxanne")&amp;" sent "&amp;TEXT($AA714,"dd-mmm")&amp;". "&amp;IF($Z714=6,"Final escalation completed.",IF($U714="OVERDUE","Next: "&amp;$AC714&amp;" was due "&amp;TEXT($AB714,"dd-mmm")&amp;" - "&amp;(NETWORKDAYS($AB714,TODAY(),Holidays)-1)&amp;" business day(s) late. Send now.",IF($U714="DUE TOMORROW","Next: "&amp;$AC714&amp;IF($AB714&lt;=TODAY()," is due TODAY ("," is due next business day (")&amp;TEXT($AB714,"dd-mmm")&amp;").","Next: "&amp;$AC714&amp;" due "&amp;TEXT($AB714,"dd-mmm")&amp;" ("&amp;(NETWORKDAYS(TODAY(),$AB714,Holidays)-1)&amp;" business day(s) left).")))))</f>
        <v/>
      </c>
      <c r="W714" s="17">
        <f>IF($Z714="","",CHOOSE($Z714,"Collection Email","1st Follow-up","2nd Follow-up","Local Office","CBE","Roxanne")&amp;IF($Z714=6," - Final"," - Day "&amp;MAX(0,NETWORKDAYS($AA714,TODAY(),Holidays)-1)&amp;" of "&amp;CHOOSE($Z714,3,3,2,2,3))&amp;" | Total Day "&amp;MAX(0,NETWORKDAYS($N714,TODAY(),Holidays)-1))</f>
        <v/>
      </c>
      <c r="X714" s="18"/>
      <c r="Y714" s="18"/>
      <c r="Z714" s="17">
        <f>IF($N714="","",COUNT($N714:$S714))</f>
        <v/>
      </c>
      <c r="AA714" s="19">
        <f>IF($Z714="","",INT(INDEX($N714:$S714,$Z714)))</f>
        <v/>
      </c>
      <c r="AB714" s="19">
        <f>IF(OR($Z714="",$Z714=6),"",WORKDAY($AA714,CHOOSE($Z714,3,3,2,2,3),Holidays))</f>
        <v/>
      </c>
      <c r="AC714" s="17">
        <f>IF(OR($Z714="",$Z714=6),"",CHOOSE($Z714,"1st Email Follow-up","2nd Email Follow-up","Escalate Local Office","Escalate to CBE","Escalate to Roxanne"))</f>
        <v/>
      </c>
    </row>
    <row r="715" spans="13:29">
      <c r="M715" s="14"/>
      <c r="T715" s="16"/>
      <c r="U715" s="17">
        <f>IF(AND(COUNTA($A715:$L715)=0,$N715=""),"",IF($T715="Paid","PAID",IF($T715="Closed","CLOSED",IF($Z715="","",IF($Z715=6,"ESCALATED TO ROXANNE",IF(TODAY()&gt;$AB715,"OVERDUE",IF($AB715&lt;=WORKDAY(TODAY(),1,Holidays),"DUE TOMORROW",IF($Z715=4,"ESCALATED TO LOCAL OFFICE",IF($Z715=5,"ESCALATED TO CBE",IF($AA715=TODAY(),"EMAIL SENT","MONITORING"))))))))))</f>
        <v/>
      </c>
      <c r="V715" s="17">
        <f>IF($U715="",IF(AND(COUNTA($A715:$L715)&gt;0,$N715=""),"Awaiting Collection Email time stamp.",""),IF(OR($U715="PAID",$U715="CLOSED"),IF($U715="PAID","Account paid. Action completed.","Account closed. No further action required."),CHOOSE($Z715,"Collection Email","1st Email Follow-up","2nd Email Follow-up","Escalation to Local Office","Escalation to CBE","Escalation to Roxanne")&amp;" sent "&amp;TEXT($AA715,"dd-mmm")&amp;". "&amp;IF($Z715=6,"Final escalation completed.",IF($U715="OVERDUE","Next: "&amp;$AC715&amp;" was due "&amp;TEXT($AB715,"dd-mmm")&amp;" - "&amp;(NETWORKDAYS($AB715,TODAY(),Holidays)-1)&amp;" business day(s) late. Send now.",IF($U715="DUE TOMORROW","Next: "&amp;$AC715&amp;IF($AB715&lt;=TODAY()," is due TODAY ("," is due next business day (")&amp;TEXT($AB715,"dd-mmm")&amp;").","Next: "&amp;$AC715&amp;" due "&amp;TEXT($AB715,"dd-mmm")&amp;" ("&amp;(NETWORKDAYS(TODAY(),$AB715,Holidays)-1)&amp;" business day(s) left).")))))</f>
        <v/>
      </c>
      <c r="W715" s="17">
        <f>IF($Z715="","",CHOOSE($Z715,"Collection Email","1st Follow-up","2nd Follow-up","Local Office","CBE","Roxanne")&amp;IF($Z715=6," - Final"," - Day "&amp;MAX(0,NETWORKDAYS($AA715,TODAY(),Holidays)-1)&amp;" of "&amp;CHOOSE($Z715,3,3,2,2,3))&amp;" | Total Day "&amp;MAX(0,NETWORKDAYS($N715,TODAY(),Holidays)-1))</f>
        <v/>
      </c>
      <c r="X715" s="18"/>
      <c r="Y715" s="18"/>
      <c r="Z715" s="17">
        <f>IF($N715="","",COUNT($N715:$S715))</f>
        <v/>
      </c>
      <c r="AA715" s="19">
        <f>IF($Z715="","",INT(INDEX($N715:$S715,$Z715)))</f>
        <v/>
      </c>
      <c r="AB715" s="19">
        <f>IF(OR($Z715="",$Z715=6),"",WORKDAY($AA715,CHOOSE($Z715,3,3,2,2,3),Holidays))</f>
        <v/>
      </c>
      <c r="AC715" s="17">
        <f>IF(OR($Z715="",$Z715=6),"",CHOOSE($Z715,"1st Email Follow-up","2nd Email Follow-up","Escalate Local Office","Escalate to CBE","Escalate to Roxanne"))</f>
        <v/>
      </c>
    </row>
    <row r="716" spans="13:29">
      <c r="M716" s="14"/>
      <c r="T716" s="16"/>
      <c r="U716" s="17">
        <f>IF(AND(COUNTA($A716:$L716)=0,$N716=""),"",IF($T716="Paid","PAID",IF($T716="Closed","CLOSED",IF($Z716="","",IF($Z716=6,"ESCALATED TO ROXANNE",IF(TODAY()&gt;$AB716,"OVERDUE",IF($AB716&lt;=WORKDAY(TODAY(),1,Holidays),"DUE TOMORROW",IF($Z716=4,"ESCALATED TO LOCAL OFFICE",IF($Z716=5,"ESCALATED TO CBE",IF($AA716=TODAY(),"EMAIL SENT","MONITORING"))))))))))</f>
        <v/>
      </c>
      <c r="V716" s="17">
        <f>IF($U716="",IF(AND(COUNTA($A716:$L716)&gt;0,$N716=""),"Awaiting Collection Email time stamp.",""),IF(OR($U716="PAID",$U716="CLOSED"),IF($U716="PAID","Account paid. Action completed.","Account closed. No further action required."),CHOOSE($Z716,"Collection Email","1st Email Follow-up","2nd Email Follow-up","Escalation to Local Office","Escalation to CBE","Escalation to Roxanne")&amp;" sent "&amp;TEXT($AA716,"dd-mmm")&amp;". "&amp;IF($Z716=6,"Final escalation completed.",IF($U716="OVERDUE","Next: "&amp;$AC716&amp;" was due "&amp;TEXT($AB716,"dd-mmm")&amp;" - "&amp;(NETWORKDAYS($AB716,TODAY(),Holidays)-1)&amp;" business day(s) late. Send now.",IF($U716="DUE TOMORROW","Next: "&amp;$AC716&amp;IF($AB716&lt;=TODAY()," is due TODAY ("," is due next business day (")&amp;TEXT($AB716,"dd-mmm")&amp;").","Next: "&amp;$AC716&amp;" due "&amp;TEXT($AB716,"dd-mmm")&amp;" ("&amp;(NETWORKDAYS(TODAY(),$AB716,Holidays)-1)&amp;" business day(s) left).")))))</f>
        <v/>
      </c>
      <c r="W716" s="17">
        <f>IF($Z716="","",CHOOSE($Z716,"Collection Email","1st Follow-up","2nd Follow-up","Local Office","CBE","Roxanne")&amp;IF($Z716=6," - Final"," - Day "&amp;MAX(0,NETWORKDAYS($AA716,TODAY(),Holidays)-1)&amp;" of "&amp;CHOOSE($Z716,3,3,2,2,3))&amp;" | Total Day "&amp;MAX(0,NETWORKDAYS($N716,TODAY(),Holidays)-1))</f>
        <v/>
      </c>
      <c r="X716" s="18"/>
      <c r="Y716" s="18"/>
      <c r="Z716" s="17">
        <f>IF($N716="","",COUNT($N716:$S716))</f>
        <v/>
      </c>
      <c r="AA716" s="19">
        <f>IF($Z716="","",INT(INDEX($N716:$S716,$Z716)))</f>
        <v/>
      </c>
      <c r="AB716" s="19">
        <f>IF(OR($Z716="",$Z716=6),"",WORKDAY($AA716,CHOOSE($Z716,3,3,2,2,3),Holidays))</f>
        <v/>
      </c>
      <c r="AC716" s="17">
        <f>IF(OR($Z716="",$Z716=6),"",CHOOSE($Z716,"1st Email Follow-up","2nd Email Follow-up","Escalate Local Office","Escalate to CBE","Escalate to Roxanne"))</f>
        <v/>
      </c>
    </row>
    <row r="717" spans="13:29">
      <c r="M717" s="14"/>
      <c r="T717" s="16"/>
      <c r="U717" s="17">
        <f>IF(AND(COUNTA($A717:$L717)=0,$N717=""),"",IF($T717="Paid","PAID",IF($T717="Closed","CLOSED",IF($Z717="","",IF($Z717=6,"ESCALATED TO ROXANNE",IF(TODAY()&gt;$AB717,"OVERDUE",IF($AB717&lt;=WORKDAY(TODAY(),1,Holidays),"DUE TOMORROW",IF($Z717=4,"ESCALATED TO LOCAL OFFICE",IF($Z717=5,"ESCALATED TO CBE",IF($AA717=TODAY(),"EMAIL SENT","MONITORING"))))))))))</f>
        <v/>
      </c>
      <c r="V717" s="17">
        <f>IF($U717="",IF(AND(COUNTA($A717:$L717)&gt;0,$N717=""),"Awaiting Collection Email time stamp.",""),IF(OR($U717="PAID",$U717="CLOSED"),IF($U717="PAID","Account paid. Action completed.","Account closed. No further action required."),CHOOSE($Z717,"Collection Email","1st Email Follow-up","2nd Email Follow-up","Escalation to Local Office","Escalation to CBE","Escalation to Roxanne")&amp;" sent "&amp;TEXT($AA717,"dd-mmm")&amp;". "&amp;IF($Z717=6,"Final escalation completed.",IF($U717="OVERDUE","Next: "&amp;$AC717&amp;" was due "&amp;TEXT($AB717,"dd-mmm")&amp;" - "&amp;(NETWORKDAYS($AB717,TODAY(),Holidays)-1)&amp;" business day(s) late. Send now.",IF($U717="DUE TOMORROW","Next: "&amp;$AC717&amp;IF($AB717&lt;=TODAY()," is due TODAY ("," is due next business day (")&amp;TEXT($AB717,"dd-mmm")&amp;").","Next: "&amp;$AC717&amp;" due "&amp;TEXT($AB717,"dd-mmm")&amp;" ("&amp;(NETWORKDAYS(TODAY(),$AB717,Holidays)-1)&amp;" business day(s) left).")))))</f>
        <v/>
      </c>
      <c r="W717" s="17">
        <f>IF($Z717="","",CHOOSE($Z717,"Collection Email","1st Follow-up","2nd Follow-up","Local Office","CBE","Roxanne")&amp;IF($Z717=6," - Final"," - Day "&amp;MAX(0,NETWORKDAYS($AA717,TODAY(),Holidays)-1)&amp;" of "&amp;CHOOSE($Z717,3,3,2,2,3))&amp;" | Total Day "&amp;MAX(0,NETWORKDAYS($N717,TODAY(),Holidays)-1))</f>
        <v/>
      </c>
      <c r="X717" s="18"/>
      <c r="Y717" s="18"/>
      <c r="Z717" s="17">
        <f>IF($N717="","",COUNT($N717:$S717))</f>
        <v/>
      </c>
      <c r="AA717" s="19">
        <f>IF($Z717="","",INT(INDEX($N717:$S717,$Z717)))</f>
        <v/>
      </c>
      <c r="AB717" s="19">
        <f>IF(OR($Z717="",$Z717=6),"",WORKDAY($AA717,CHOOSE($Z717,3,3,2,2,3),Holidays))</f>
        <v/>
      </c>
      <c r="AC717" s="17">
        <f>IF(OR($Z717="",$Z717=6),"",CHOOSE($Z717,"1st Email Follow-up","2nd Email Follow-up","Escalate Local Office","Escalate to CBE","Escalate to Roxanne"))</f>
        <v/>
      </c>
    </row>
    <row r="718" spans="13:29">
      <c r="M718" s="14"/>
      <c r="T718" s="16"/>
      <c r="U718" s="17">
        <f>IF(AND(COUNTA($A718:$L718)=0,$N718=""),"",IF($T718="Paid","PAID",IF($T718="Closed","CLOSED",IF($Z718="","",IF($Z718=6,"ESCALATED TO ROXANNE",IF(TODAY()&gt;$AB718,"OVERDUE",IF($AB718&lt;=WORKDAY(TODAY(),1,Holidays),"DUE TOMORROW",IF($Z718=4,"ESCALATED TO LOCAL OFFICE",IF($Z718=5,"ESCALATED TO CBE",IF($AA718=TODAY(),"EMAIL SENT","MONITORING"))))))))))</f>
        <v/>
      </c>
      <c r="V718" s="17">
        <f>IF($U718="",IF(AND(COUNTA($A718:$L718)&gt;0,$N718=""),"Awaiting Collection Email time stamp.",""),IF(OR($U718="PAID",$U718="CLOSED"),IF($U718="PAID","Account paid. Action completed.","Account closed. No further action required."),CHOOSE($Z718,"Collection Email","1st Email Follow-up","2nd Email Follow-up","Escalation to Local Office","Escalation to CBE","Escalation to Roxanne")&amp;" sent "&amp;TEXT($AA718,"dd-mmm")&amp;". "&amp;IF($Z718=6,"Final escalation completed.",IF($U718="OVERDUE","Next: "&amp;$AC718&amp;" was due "&amp;TEXT($AB718,"dd-mmm")&amp;" - "&amp;(NETWORKDAYS($AB718,TODAY(),Holidays)-1)&amp;" business day(s) late. Send now.",IF($U718="DUE TOMORROW","Next: "&amp;$AC718&amp;IF($AB718&lt;=TODAY()," is due TODAY ("," is due next business day (")&amp;TEXT($AB718,"dd-mmm")&amp;").","Next: "&amp;$AC718&amp;" due "&amp;TEXT($AB718,"dd-mmm")&amp;" ("&amp;(NETWORKDAYS(TODAY(),$AB718,Holidays)-1)&amp;" business day(s) left).")))))</f>
        <v/>
      </c>
      <c r="W718" s="17">
        <f>IF($Z718="","",CHOOSE($Z718,"Collection Email","1st Follow-up","2nd Follow-up","Local Office","CBE","Roxanne")&amp;IF($Z718=6," - Final"," - Day "&amp;MAX(0,NETWORKDAYS($AA718,TODAY(),Holidays)-1)&amp;" of "&amp;CHOOSE($Z718,3,3,2,2,3))&amp;" | Total Day "&amp;MAX(0,NETWORKDAYS($N718,TODAY(),Holidays)-1))</f>
        <v/>
      </c>
      <c r="X718" s="18"/>
      <c r="Y718" s="18"/>
      <c r="Z718" s="17">
        <f>IF($N718="","",COUNT($N718:$S718))</f>
        <v/>
      </c>
      <c r="AA718" s="19">
        <f>IF($Z718="","",INT(INDEX($N718:$S718,$Z718)))</f>
        <v/>
      </c>
      <c r="AB718" s="19">
        <f>IF(OR($Z718="",$Z718=6),"",WORKDAY($AA718,CHOOSE($Z718,3,3,2,2,3),Holidays))</f>
        <v/>
      </c>
      <c r="AC718" s="17">
        <f>IF(OR($Z718="",$Z718=6),"",CHOOSE($Z718,"1st Email Follow-up","2nd Email Follow-up","Escalate Local Office","Escalate to CBE","Escalate to Roxanne"))</f>
        <v/>
      </c>
    </row>
    <row r="719" spans="13:29">
      <c r="M719" s="14"/>
      <c r="T719" s="16"/>
      <c r="U719" s="17">
        <f>IF(AND(COUNTA($A719:$L719)=0,$N719=""),"",IF($T719="Paid","PAID",IF($T719="Closed","CLOSED",IF($Z719="","",IF($Z719=6,"ESCALATED TO ROXANNE",IF(TODAY()&gt;$AB719,"OVERDUE",IF($AB719&lt;=WORKDAY(TODAY(),1,Holidays),"DUE TOMORROW",IF($Z719=4,"ESCALATED TO LOCAL OFFICE",IF($Z719=5,"ESCALATED TO CBE",IF($AA719=TODAY(),"EMAIL SENT","MONITORING"))))))))))</f>
        <v/>
      </c>
      <c r="V719" s="17">
        <f>IF($U719="",IF(AND(COUNTA($A719:$L719)&gt;0,$N719=""),"Awaiting Collection Email time stamp.",""),IF(OR($U719="PAID",$U719="CLOSED"),IF($U719="PAID","Account paid. Action completed.","Account closed. No further action required."),CHOOSE($Z719,"Collection Email","1st Email Follow-up","2nd Email Follow-up","Escalation to Local Office","Escalation to CBE","Escalation to Roxanne")&amp;" sent "&amp;TEXT($AA719,"dd-mmm")&amp;". "&amp;IF($Z719=6,"Final escalation completed.",IF($U719="OVERDUE","Next: "&amp;$AC719&amp;" was due "&amp;TEXT($AB719,"dd-mmm")&amp;" - "&amp;(NETWORKDAYS($AB719,TODAY(),Holidays)-1)&amp;" business day(s) late. Send now.",IF($U719="DUE TOMORROW","Next: "&amp;$AC719&amp;IF($AB719&lt;=TODAY()," is due TODAY ("," is due next business day (")&amp;TEXT($AB719,"dd-mmm")&amp;").","Next: "&amp;$AC719&amp;" due "&amp;TEXT($AB719,"dd-mmm")&amp;" ("&amp;(NETWORKDAYS(TODAY(),$AB719,Holidays)-1)&amp;" business day(s) left).")))))</f>
        <v/>
      </c>
      <c r="W719" s="17">
        <f>IF($Z719="","",CHOOSE($Z719,"Collection Email","1st Follow-up","2nd Follow-up","Local Office","CBE","Roxanne")&amp;IF($Z719=6," - Final"," - Day "&amp;MAX(0,NETWORKDAYS($AA719,TODAY(),Holidays)-1)&amp;" of "&amp;CHOOSE($Z719,3,3,2,2,3))&amp;" | Total Day "&amp;MAX(0,NETWORKDAYS($N719,TODAY(),Holidays)-1))</f>
        <v/>
      </c>
      <c r="X719" s="18"/>
      <c r="Y719" s="18"/>
      <c r="Z719" s="17">
        <f>IF($N719="","",COUNT($N719:$S719))</f>
        <v/>
      </c>
      <c r="AA719" s="19">
        <f>IF($Z719="","",INT(INDEX($N719:$S719,$Z719)))</f>
        <v/>
      </c>
      <c r="AB719" s="19">
        <f>IF(OR($Z719="",$Z719=6),"",WORKDAY($AA719,CHOOSE($Z719,3,3,2,2,3),Holidays))</f>
        <v/>
      </c>
      <c r="AC719" s="17">
        <f>IF(OR($Z719="",$Z719=6),"",CHOOSE($Z719,"1st Email Follow-up","2nd Email Follow-up","Escalate Local Office","Escalate to CBE","Escalate to Roxanne"))</f>
        <v/>
      </c>
    </row>
    <row r="720" spans="13:29">
      <c r="M720" s="14"/>
      <c r="T720" s="16"/>
      <c r="U720" s="17">
        <f>IF(AND(COUNTA($A720:$L720)=0,$N720=""),"",IF($T720="Paid","PAID",IF($T720="Closed","CLOSED",IF($Z720="","",IF($Z720=6,"ESCALATED TO ROXANNE",IF(TODAY()&gt;$AB720,"OVERDUE",IF($AB720&lt;=WORKDAY(TODAY(),1,Holidays),"DUE TOMORROW",IF($Z720=4,"ESCALATED TO LOCAL OFFICE",IF($Z720=5,"ESCALATED TO CBE",IF($AA720=TODAY(),"EMAIL SENT","MONITORING"))))))))))</f>
        <v/>
      </c>
      <c r="V720" s="17">
        <f>IF($U720="",IF(AND(COUNTA($A720:$L720)&gt;0,$N720=""),"Awaiting Collection Email time stamp.",""),IF(OR($U720="PAID",$U720="CLOSED"),IF($U720="PAID","Account paid. Action completed.","Account closed. No further action required."),CHOOSE($Z720,"Collection Email","1st Email Follow-up","2nd Email Follow-up","Escalation to Local Office","Escalation to CBE","Escalation to Roxanne")&amp;" sent "&amp;TEXT($AA720,"dd-mmm")&amp;". "&amp;IF($Z720=6,"Final escalation completed.",IF($U720="OVERDUE","Next: "&amp;$AC720&amp;" was due "&amp;TEXT($AB720,"dd-mmm")&amp;" - "&amp;(NETWORKDAYS($AB720,TODAY(),Holidays)-1)&amp;" business day(s) late. Send now.",IF($U720="DUE TOMORROW","Next: "&amp;$AC720&amp;IF($AB720&lt;=TODAY()," is due TODAY ("," is due next business day (")&amp;TEXT($AB720,"dd-mmm")&amp;").","Next: "&amp;$AC720&amp;" due "&amp;TEXT($AB720,"dd-mmm")&amp;" ("&amp;(NETWORKDAYS(TODAY(),$AB720,Holidays)-1)&amp;" business day(s) left).")))))</f>
        <v/>
      </c>
      <c r="W720" s="17">
        <f>IF($Z720="","",CHOOSE($Z720,"Collection Email","1st Follow-up","2nd Follow-up","Local Office","CBE","Roxanne")&amp;IF($Z720=6," - Final"," - Day "&amp;MAX(0,NETWORKDAYS($AA720,TODAY(),Holidays)-1)&amp;" of "&amp;CHOOSE($Z720,3,3,2,2,3))&amp;" | Total Day "&amp;MAX(0,NETWORKDAYS($N720,TODAY(),Holidays)-1))</f>
        <v/>
      </c>
      <c r="X720" s="18"/>
      <c r="Y720" s="18"/>
      <c r="Z720" s="17">
        <f>IF($N720="","",COUNT($N720:$S720))</f>
        <v/>
      </c>
      <c r="AA720" s="19">
        <f>IF($Z720="","",INT(INDEX($N720:$S720,$Z720)))</f>
        <v/>
      </c>
      <c r="AB720" s="19">
        <f>IF(OR($Z720="",$Z720=6),"",WORKDAY($AA720,CHOOSE($Z720,3,3,2,2,3),Holidays))</f>
        <v/>
      </c>
      <c r="AC720" s="17">
        <f>IF(OR($Z720="",$Z720=6),"",CHOOSE($Z720,"1st Email Follow-up","2nd Email Follow-up","Escalate Local Office","Escalate to CBE","Escalate to Roxanne"))</f>
        <v/>
      </c>
    </row>
    <row r="721" spans="13:29">
      <c r="M721" s="14"/>
      <c r="T721" s="16"/>
      <c r="U721" s="17">
        <f>IF(AND(COUNTA($A721:$L721)=0,$N721=""),"",IF($T721="Paid","PAID",IF($T721="Closed","CLOSED",IF($Z721="","",IF($Z721=6,"ESCALATED TO ROXANNE",IF(TODAY()&gt;$AB721,"OVERDUE",IF($AB721&lt;=WORKDAY(TODAY(),1,Holidays),"DUE TOMORROW",IF($Z721=4,"ESCALATED TO LOCAL OFFICE",IF($Z721=5,"ESCALATED TO CBE",IF($AA721=TODAY(),"EMAIL SENT","MONITORING"))))))))))</f>
        <v/>
      </c>
      <c r="V721" s="17">
        <f>IF($U721="",IF(AND(COUNTA($A721:$L721)&gt;0,$N721=""),"Awaiting Collection Email time stamp.",""),IF(OR($U721="PAID",$U721="CLOSED"),IF($U721="PAID","Account paid. Action completed.","Account closed. No further action required."),CHOOSE($Z721,"Collection Email","1st Email Follow-up","2nd Email Follow-up","Escalation to Local Office","Escalation to CBE","Escalation to Roxanne")&amp;" sent "&amp;TEXT($AA721,"dd-mmm")&amp;". "&amp;IF($Z721=6,"Final escalation completed.",IF($U721="OVERDUE","Next: "&amp;$AC721&amp;" was due "&amp;TEXT($AB721,"dd-mmm")&amp;" - "&amp;(NETWORKDAYS($AB721,TODAY(),Holidays)-1)&amp;" business day(s) late. Send now.",IF($U721="DUE TOMORROW","Next: "&amp;$AC721&amp;IF($AB721&lt;=TODAY()," is due TODAY ("," is due next business day (")&amp;TEXT($AB721,"dd-mmm")&amp;").","Next: "&amp;$AC721&amp;" due "&amp;TEXT($AB721,"dd-mmm")&amp;" ("&amp;(NETWORKDAYS(TODAY(),$AB721,Holidays)-1)&amp;" business day(s) left).")))))</f>
        <v/>
      </c>
      <c r="W721" s="17">
        <f>IF($Z721="","",CHOOSE($Z721,"Collection Email","1st Follow-up","2nd Follow-up","Local Office","CBE","Roxanne")&amp;IF($Z721=6," - Final"," - Day "&amp;MAX(0,NETWORKDAYS($AA721,TODAY(),Holidays)-1)&amp;" of "&amp;CHOOSE($Z721,3,3,2,2,3))&amp;" | Total Day "&amp;MAX(0,NETWORKDAYS($N721,TODAY(),Holidays)-1))</f>
        <v/>
      </c>
      <c r="X721" s="18"/>
      <c r="Y721" s="18"/>
      <c r="Z721" s="17">
        <f>IF($N721="","",COUNT($N721:$S721))</f>
        <v/>
      </c>
      <c r="AA721" s="19">
        <f>IF($Z721="","",INT(INDEX($N721:$S721,$Z721)))</f>
        <v/>
      </c>
      <c r="AB721" s="19">
        <f>IF(OR($Z721="",$Z721=6),"",WORKDAY($AA721,CHOOSE($Z721,3,3,2,2,3),Holidays))</f>
        <v/>
      </c>
      <c r="AC721" s="17">
        <f>IF(OR($Z721="",$Z721=6),"",CHOOSE($Z721,"1st Email Follow-up","2nd Email Follow-up","Escalate Local Office","Escalate to CBE","Escalate to Roxanne"))</f>
        <v/>
      </c>
    </row>
    <row r="722" spans="13:29">
      <c r="M722" s="14"/>
      <c r="T722" s="16"/>
      <c r="U722" s="17">
        <f>IF(AND(COUNTA($A722:$L722)=0,$N722=""),"",IF($T722="Paid","PAID",IF($T722="Closed","CLOSED",IF($Z722="","",IF($Z722=6,"ESCALATED TO ROXANNE",IF(TODAY()&gt;$AB722,"OVERDUE",IF($AB722&lt;=WORKDAY(TODAY(),1,Holidays),"DUE TOMORROW",IF($Z722=4,"ESCALATED TO LOCAL OFFICE",IF($Z722=5,"ESCALATED TO CBE",IF($AA722=TODAY(),"EMAIL SENT","MONITORING"))))))))))</f>
        <v/>
      </c>
      <c r="V722" s="17">
        <f>IF($U722="",IF(AND(COUNTA($A722:$L722)&gt;0,$N722=""),"Awaiting Collection Email time stamp.",""),IF(OR($U722="PAID",$U722="CLOSED"),IF($U722="PAID","Account paid. Action completed.","Account closed. No further action required."),CHOOSE($Z722,"Collection Email","1st Email Follow-up","2nd Email Follow-up","Escalation to Local Office","Escalation to CBE","Escalation to Roxanne")&amp;" sent "&amp;TEXT($AA722,"dd-mmm")&amp;". "&amp;IF($Z722=6,"Final escalation completed.",IF($U722="OVERDUE","Next: "&amp;$AC722&amp;" was due "&amp;TEXT($AB722,"dd-mmm")&amp;" - "&amp;(NETWORKDAYS($AB722,TODAY(),Holidays)-1)&amp;" business day(s) late. Send now.",IF($U722="DUE TOMORROW","Next: "&amp;$AC722&amp;IF($AB722&lt;=TODAY()," is due TODAY ("," is due next business day (")&amp;TEXT($AB722,"dd-mmm")&amp;").","Next: "&amp;$AC722&amp;" due "&amp;TEXT($AB722,"dd-mmm")&amp;" ("&amp;(NETWORKDAYS(TODAY(),$AB722,Holidays)-1)&amp;" business day(s) left).")))))</f>
        <v/>
      </c>
      <c r="W722" s="17">
        <f>IF($Z722="","",CHOOSE($Z722,"Collection Email","1st Follow-up","2nd Follow-up","Local Office","CBE","Roxanne")&amp;IF($Z722=6," - Final"," - Day "&amp;MAX(0,NETWORKDAYS($AA722,TODAY(),Holidays)-1)&amp;" of "&amp;CHOOSE($Z722,3,3,2,2,3))&amp;" | Total Day "&amp;MAX(0,NETWORKDAYS($N722,TODAY(),Holidays)-1))</f>
        <v/>
      </c>
      <c r="X722" s="18"/>
      <c r="Y722" s="18"/>
      <c r="Z722" s="17">
        <f>IF($N722="","",COUNT($N722:$S722))</f>
        <v/>
      </c>
      <c r="AA722" s="19">
        <f>IF($Z722="","",INT(INDEX($N722:$S722,$Z722)))</f>
        <v/>
      </c>
      <c r="AB722" s="19">
        <f>IF(OR($Z722="",$Z722=6),"",WORKDAY($AA722,CHOOSE($Z722,3,3,2,2,3),Holidays))</f>
        <v/>
      </c>
      <c r="AC722" s="17">
        <f>IF(OR($Z722="",$Z722=6),"",CHOOSE($Z722,"1st Email Follow-up","2nd Email Follow-up","Escalate Local Office","Escalate to CBE","Escalate to Roxanne"))</f>
        <v/>
      </c>
    </row>
    <row r="723" spans="13:29">
      <c r="M723" s="14"/>
      <c r="T723" s="16"/>
      <c r="U723" s="17">
        <f>IF(AND(COUNTA($A723:$L723)=0,$N723=""),"",IF($T723="Paid","PAID",IF($T723="Closed","CLOSED",IF($Z723="","",IF($Z723=6,"ESCALATED TO ROXANNE",IF(TODAY()&gt;$AB723,"OVERDUE",IF($AB723&lt;=WORKDAY(TODAY(),1,Holidays),"DUE TOMORROW",IF($Z723=4,"ESCALATED TO LOCAL OFFICE",IF($Z723=5,"ESCALATED TO CBE",IF($AA723=TODAY(),"EMAIL SENT","MONITORING"))))))))))</f>
        <v/>
      </c>
      <c r="V723" s="17">
        <f>IF($U723="",IF(AND(COUNTA($A723:$L723)&gt;0,$N723=""),"Awaiting Collection Email time stamp.",""),IF(OR($U723="PAID",$U723="CLOSED"),IF($U723="PAID","Account paid. Action completed.","Account closed. No further action required."),CHOOSE($Z723,"Collection Email","1st Email Follow-up","2nd Email Follow-up","Escalation to Local Office","Escalation to CBE","Escalation to Roxanne")&amp;" sent "&amp;TEXT($AA723,"dd-mmm")&amp;". "&amp;IF($Z723=6,"Final escalation completed.",IF($U723="OVERDUE","Next: "&amp;$AC723&amp;" was due "&amp;TEXT($AB723,"dd-mmm")&amp;" - "&amp;(NETWORKDAYS($AB723,TODAY(),Holidays)-1)&amp;" business day(s) late. Send now.",IF($U723="DUE TOMORROW","Next: "&amp;$AC723&amp;IF($AB723&lt;=TODAY()," is due TODAY ("," is due next business day (")&amp;TEXT($AB723,"dd-mmm")&amp;").","Next: "&amp;$AC723&amp;" due "&amp;TEXT($AB723,"dd-mmm")&amp;" ("&amp;(NETWORKDAYS(TODAY(),$AB723,Holidays)-1)&amp;" business day(s) left).")))))</f>
        <v/>
      </c>
      <c r="W723" s="17">
        <f>IF($Z723="","",CHOOSE($Z723,"Collection Email","1st Follow-up","2nd Follow-up","Local Office","CBE","Roxanne")&amp;IF($Z723=6," - Final"," - Day "&amp;MAX(0,NETWORKDAYS($AA723,TODAY(),Holidays)-1)&amp;" of "&amp;CHOOSE($Z723,3,3,2,2,3))&amp;" | Total Day "&amp;MAX(0,NETWORKDAYS($N723,TODAY(),Holidays)-1))</f>
        <v/>
      </c>
      <c r="X723" s="18"/>
      <c r="Y723" s="18"/>
      <c r="Z723" s="17">
        <f>IF($N723="","",COUNT($N723:$S723))</f>
        <v/>
      </c>
      <c r="AA723" s="19">
        <f>IF($Z723="","",INT(INDEX($N723:$S723,$Z723)))</f>
        <v/>
      </c>
      <c r="AB723" s="19">
        <f>IF(OR($Z723="",$Z723=6),"",WORKDAY($AA723,CHOOSE($Z723,3,3,2,2,3),Holidays))</f>
        <v/>
      </c>
      <c r="AC723" s="17">
        <f>IF(OR($Z723="",$Z723=6),"",CHOOSE($Z723,"1st Email Follow-up","2nd Email Follow-up","Escalate Local Office","Escalate to CBE","Escalate to Roxanne"))</f>
        <v/>
      </c>
    </row>
    <row r="724" spans="13:29">
      <c r="M724" s="14"/>
      <c r="T724" s="16"/>
      <c r="U724" s="17">
        <f>IF(AND(COUNTA($A724:$L724)=0,$N724=""),"",IF($T724="Paid","PAID",IF($T724="Closed","CLOSED",IF($Z724="","",IF($Z724=6,"ESCALATED TO ROXANNE",IF(TODAY()&gt;$AB724,"OVERDUE",IF($AB724&lt;=WORKDAY(TODAY(),1,Holidays),"DUE TOMORROW",IF($Z724=4,"ESCALATED TO LOCAL OFFICE",IF($Z724=5,"ESCALATED TO CBE",IF($AA724=TODAY(),"EMAIL SENT","MONITORING"))))))))))</f>
        <v/>
      </c>
      <c r="V724" s="17">
        <f>IF($U724="",IF(AND(COUNTA($A724:$L724)&gt;0,$N724=""),"Awaiting Collection Email time stamp.",""),IF(OR($U724="PAID",$U724="CLOSED"),IF($U724="PAID","Account paid. Action completed.","Account closed. No further action required."),CHOOSE($Z724,"Collection Email","1st Email Follow-up","2nd Email Follow-up","Escalation to Local Office","Escalation to CBE","Escalation to Roxanne")&amp;" sent "&amp;TEXT($AA724,"dd-mmm")&amp;". "&amp;IF($Z724=6,"Final escalation completed.",IF($U724="OVERDUE","Next: "&amp;$AC724&amp;" was due "&amp;TEXT($AB724,"dd-mmm")&amp;" - "&amp;(NETWORKDAYS($AB724,TODAY(),Holidays)-1)&amp;" business day(s) late. Send now.",IF($U724="DUE TOMORROW","Next: "&amp;$AC724&amp;IF($AB724&lt;=TODAY()," is due TODAY ("," is due next business day (")&amp;TEXT($AB724,"dd-mmm")&amp;").","Next: "&amp;$AC724&amp;" due "&amp;TEXT($AB724,"dd-mmm")&amp;" ("&amp;(NETWORKDAYS(TODAY(),$AB724,Holidays)-1)&amp;" business day(s) left).")))))</f>
        <v/>
      </c>
      <c r="W724" s="17">
        <f>IF($Z724="","",CHOOSE($Z724,"Collection Email","1st Follow-up","2nd Follow-up","Local Office","CBE","Roxanne")&amp;IF($Z724=6," - Final"," - Day "&amp;MAX(0,NETWORKDAYS($AA724,TODAY(),Holidays)-1)&amp;" of "&amp;CHOOSE($Z724,3,3,2,2,3))&amp;" | Total Day "&amp;MAX(0,NETWORKDAYS($N724,TODAY(),Holidays)-1))</f>
        <v/>
      </c>
      <c r="X724" s="18"/>
      <c r="Y724" s="18"/>
      <c r="Z724" s="17">
        <f>IF($N724="","",COUNT($N724:$S724))</f>
        <v/>
      </c>
      <c r="AA724" s="19">
        <f>IF($Z724="","",INT(INDEX($N724:$S724,$Z724)))</f>
        <v/>
      </c>
      <c r="AB724" s="19">
        <f>IF(OR($Z724="",$Z724=6),"",WORKDAY($AA724,CHOOSE($Z724,3,3,2,2,3),Holidays))</f>
        <v/>
      </c>
      <c r="AC724" s="17">
        <f>IF(OR($Z724="",$Z724=6),"",CHOOSE($Z724,"1st Email Follow-up","2nd Email Follow-up","Escalate Local Office","Escalate to CBE","Escalate to Roxanne"))</f>
        <v/>
      </c>
    </row>
    <row r="725" spans="13:29">
      <c r="M725" s="14"/>
      <c r="T725" s="16"/>
      <c r="U725" s="17">
        <f>IF(AND(COUNTA($A725:$L725)=0,$N725=""),"",IF($T725="Paid","PAID",IF($T725="Closed","CLOSED",IF($Z725="","",IF($Z725=6,"ESCALATED TO ROXANNE",IF(TODAY()&gt;$AB725,"OVERDUE",IF($AB725&lt;=WORKDAY(TODAY(),1,Holidays),"DUE TOMORROW",IF($Z725=4,"ESCALATED TO LOCAL OFFICE",IF($Z725=5,"ESCALATED TO CBE",IF($AA725=TODAY(),"EMAIL SENT","MONITORING"))))))))))</f>
        <v/>
      </c>
      <c r="V725" s="17">
        <f>IF($U725="",IF(AND(COUNTA($A725:$L725)&gt;0,$N725=""),"Awaiting Collection Email time stamp.",""),IF(OR($U725="PAID",$U725="CLOSED"),IF($U725="PAID","Account paid. Action completed.","Account closed. No further action required."),CHOOSE($Z725,"Collection Email","1st Email Follow-up","2nd Email Follow-up","Escalation to Local Office","Escalation to CBE","Escalation to Roxanne")&amp;" sent "&amp;TEXT($AA725,"dd-mmm")&amp;". "&amp;IF($Z725=6,"Final escalation completed.",IF($U725="OVERDUE","Next: "&amp;$AC725&amp;" was due "&amp;TEXT($AB725,"dd-mmm")&amp;" - "&amp;(NETWORKDAYS($AB725,TODAY(),Holidays)-1)&amp;" business day(s) late. Send now.",IF($U725="DUE TOMORROW","Next: "&amp;$AC725&amp;IF($AB725&lt;=TODAY()," is due TODAY ("," is due next business day (")&amp;TEXT($AB725,"dd-mmm")&amp;").","Next: "&amp;$AC725&amp;" due "&amp;TEXT($AB725,"dd-mmm")&amp;" ("&amp;(NETWORKDAYS(TODAY(),$AB725,Holidays)-1)&amp;" business day(s) left).")))))</f>
        <v/>
      </c>
      <c r="W725" s="17">
        <f>IF($Z725="","",CHOOSE($Z725,"Collection Email","1st Follow-up","2nd Follow-up","Local Office","CBE","Roxanne")&amp;IF($Z725=6," - Final"," - Day "&amp;MAX(0,NETWORKDAYS($AA725,TODAY(),Holidays)-1)&amp;" of "&amp;CHOOSE($Z725,3,3,2,2,3))&amp;" | Total Day "&amp;MAX(0,NETWORKDAYS($N725,TODAY(),Holidays)-1))</f>
        <v/>
      </c>
      <c r="X725" s="18"/>
      <c r="Y725" s="18"/>
      <c r="Z725" s="17">
        <f>IF($N725="","",COUNT($N725:$S725))</f>
        <v/>
      </c>
      <c r="AA725" s="19">
        <f>IF($Z725="","",INT(INDEX($N725:$S725,$Z725)))</f>
        <v/>
      </c>
      <c r="AB725" s="19">
        <f>IF(OR($Z725="",$Z725=6),"",WORKDAY($AA725,CHOOSE($Z725,3,3,2,2,3),Holidays))</f>
        <v/>
      </c>
      <c r="AC725" s="17">
        <f>IF(OR($Z725="",$Z725=6),"",CHOOSE($Z725,"1st Email Follow-up","2nd Email Follow-up","Escalate Local Office","Escalate to CBE","Escalate to Roxanne"))</f>
        <v/>
      </c>
    </row>
    <row r="726" spans="13:29">
      <c r="M726" s="14"/>
      <c r="T726" s="16"/>
      <c r="U726" s="17">
        <f>IF(AND(COUNTA($A726:$L726)=0,$N726=""),"",IF($T726="Paid","PAID",IF($T726="Closed","CLOSED",IF($Z726="","",IF($Z726=6,"ESCALATED TO ROXANNE",IF(TODAY()&gt;$AB726,"OVERDUE",IF($AB726&lt;=WORKDAY(TODAY(),1,Holidays),"DUE TOMORROW",IF($Z726=4,"ESCALATED TO LOCAL OFFICE",IF($Z726=5,"ESCALATED TO CBE",IF($AA726=TODAY(),"EMAIL SENT","MONITORING"))))))))))</f>
        <v/>
      </c>
      <c r="V726" s="17">
        <f>IF($U726="",IF(AND(COUNTA($A726:$L726)&gt;0,$N726=""),"Awaiting Collection Email time stamp.",""),IF(OR($U726="PAID",$U726="CLOSED"),IF($U726="PAID","Account paid. Action completed.","Account closed. No further action required."),CHOOSE($Z726,"Collection Email","1st Email Follow-up","2nd Email Follow-up","Escalation to Local Office","Escalation to CBE","Escalation to Roxanne")&amp;" sent "&amp;TEXT($AA726,"dd-mmm")&amp;". "&amp;IF($Z726=6,"Final escalation completed.",IF($U726="OVERDUE","Next: "&amp;$AC726&amp;" was due "&amp;TEXT($AB726,"dd-mmm")&amp;" - "&amp;(NETWORKDAYS($AB726,TODAY(),Holidays)-1)&amp;" business day(s) late. Send now.",IF($U726="DUE TOMORROW","Next: "&amp;$AC726&amp;IF($AB726&lt;=TODAY()," is due TODAY ("," is due next business day (")&amp;TEXT($AB726,"dd-mmm")&amp;").","Next: "&amp;$AC726&amp;" due "&amp;TEXT($AB726,"dd-mmm")&amp;" ("&amp;(NETWORKDAYS(TODAY(),$AB726,Holidays)-1)&amp;" business day(s) left).")))))</f>
        <v/>
      </c>
      <c r="W726" s="17">
        <f>IF($Z726="","",CHOOSE($Z726,"Collection Email","1st Follow-up","2nd Follow-up","Local Office","CBE","Roxanne")&amp;IF($Z726=6," - Final"," - Day "&amp;MAX(0,NETWORKDAYS($AA726,TODAY(),Holidays)-1)&amp;" of "&amp;CHOOSE($Z726,3,3,2,2,3))&amp;" | Total Day "&amp;MAX(0,NETWORKDAYS($N726,TODAY(),Holidays)-1))</f>
        <v/>
      </c>
      <c r="X726" s="18"/>
      <c r="Y726" s="18"/>
      <c r="Z726" s="17">
        <f>IF($N726="","",COUNT($N726:$S726))</f>
        <v/>
      </c>
      <c r="AA726" s="19">
        <f>IF($Z726="","",INT(INDEX($N726:$S726,$Z726)))</f>
        <v/>
      </c>
      <c r="AB726" s="19">
        <f>IF(OR($Z726="",$Z726=6),"",WORKDAY($AA726,CHOOSE($Z726,3,3,2,2,3),Holidays))</f>
        <v/>
      </c>
      <c r="AC726" s="17">
        <f>IF(OR($Z726="",$Z726=6),"",CHOOSE($Z726,"1st Email Follow-up","2nd Email Follow-up","Escalate Local Office","Escalate to CBE","Escalate to Roxanne"))</f>
        <v/>
      </c>
    </row>
    <row r="727" spans="13:29">
      <c r="M727" s="14"/>
      <c r="T727" s="16"/>
      <c r="U727" s="17">
        <f>IF(AND(COUNTA($A727:$L727)=0,$N727=""),"",IF($T727="Paid","PAID",IF($T727="Closed","CLOSED",IF($Z727="","",IF($Z727=6,"ESCALATED TO ROXANNE",IF(TODAY()&gt;$AB727,"OVERDUE",IF($AB727&lt;=WORKDAY(TODAY(),1,Holidays),"DUE TOMORROW",IF($Z727=4,"ESCALATED TO LOCAL OFFICE",IF($Z727=5,"ESCALATED TO CBE",IF($AA727=TODAY(),"EMAIL SENT","MONITORING"))))))))))</f>
        <v/>
      </c>
      <c r="V727" s="17">
        <f>IF($U727="",IF(AND(COUNTA($A727:$L727)&gt;0,$N727=""),"Awaiting Collection Email time stamp.",""),IF(OR($U727="PAID",$U727="CLOSED"),IF($U727="PAID","Account paid. Action completed.","Account closed. No further action required."),CHOOSE($Z727,"Collection Email","1st Email Follow-up","2nd Email Follow-up","Escalation to Local Office","Escalation to CBE","Escalation to Roxanne")&amp;" sent "&amp;TEXT($AA727,"dd-mmm")&amp;". "&amp;IF($Z727=6,"Final escalation completed.",IF($U727="OVERDUE","Next: "&amp;$AC727&amp;" was due "&amp;TEXT($AB727,"dd-mmm")&amp;" - "&amp;(NETWORKDAYS($AB727,TODAY(),Holidays)-1)&amp;" business day(s) late. Send now.",IF($U727="DUE TOMORROW","Next: "&amp;$AC727&amp;IF($AB727&lt;=TODAY()," is due TODAY ("," is due next business day (")&amp;TEXT($AB727,"dd-mmm")&amp;").","Next: "&amp;$AC727&amp;" due "&amp;TEXT($AB727,"dd-mmm")&amp;" ("&amp;(NETWORKDAYS(TODAY(),$AB727,Holidays)-1)&amp;" business day(s) left).")))))</f>
        <v/>
      </c>
      <c r="W727" s="17">
        <f>IF($Z727="","",CHOOSE($Z727,"Collection Email","1st Follow-up","2nd Follow-up","Local Office","CBE","Roxanne")&amp;IF($Z727=6," - Final"," - Day "&amp;MAX(0,NETWORKDAYS($AA727,TODAY(),Holidays)-1)&amp;" of "&amp;CHOOSE($Z727,3,3,2,2,3))&amp;" | Total Day "&amp;MAX(0,NETWORKDAYS($N727,TODAY(),Holidays)-1))</f>
        <v/>
      </c>
      <c r="X727" s="18"/>
      <c r="Y727" s="18"/>
      <c r="Z727" s="17">
        <f>IF($N727="","",COUNT($N727:$S727))</f>
        <v/>
      </c>
      <c r="AA727" s="19">
        <f>IF($Z727="","",INT(INDEX($N727:$S727,$Z727)))</f>
        <v/>
      </c>
      <c r="AB727" s="19">
        <f>IF(OR($Z727="",$Z727=6),"",WORKDAY($AA727,CHOOSE($Z727,3,3,2,2,3),Holidays))</f>
        <v/>
      </c>
      <c r="AC727" s="17">
        <f>IF(OR($Z727="",$Z727=6),"",CHOOSE($Z727,"1st Email Follow-up","2nd Email Follow-up","Escalate Local Office","Escalate to CBE","Escalate to Roxanne"))</f>
        <v/>
      </c>
    </row>
    <row r="728" spans="13:29">
      <c r="M728" s="14"/>
      <c r="T728" s="16"/>
      <c r="U728" s="17">
        <f>IF(AND(COUNTA($A728:$L728)=0,$N728=""),"",IF($T728="Paid","PAID",IF($T728="Closed","CLOSED",IF($Z728="","",IF($Z728=6,"ESCALATED TO ROXANNE",IF(TODAY()&gt;$AB728,"OVERDUE",IF($AB728&lt;=WORKDAY(TODAY(),1,Holidays),"DUE TOMORROW",IF($Z728=4,"ESCALATED TO LOCAL OFFICE",IF($Z728=5,"ESCALATED TO CBE",IF($AA728=TODAY(),"EMAIL SENT","MONITORING"))))))))))</f>
        <v/>
      </c>
      <c r="V728" s="17">
        <f>IF($U728="",IF(AND(COUNTA($A728:$L728)&gt;0,$N728=""),"Awaiting Collection Email time stamp.",""),IF(OR($U728="PAID",$U728="CLOSED"),IF($U728="PAID","Account paid. Action completed.","Account closed. No further action required."),CHOOSE($Z728,"Collection Email","1st Email Follow-up","2nd Email Follow-up","Escalation to Local Office","Escalation to CBE","Escalation to Roxanne")&amp;" sent "&amp;TEXT($AA728,"dd-mmm")&amp;". "&amp;IF($Z728=6,"Final escalation completed.",IF($U728="OVERDUE","Next: "&amp;$AC728&amp;" was due "&amp;TEXT($AB728,"dd-mmm")&amp;" - "&amp;(NETWORKDAYS($AB728,TODAY(),Holidays)-1)&amp;" business day(s) late. Send now.",IF($U728="DUE TOMORROW","Next: "&amp;$AC728&amp;IF($AB728&lt;=TODAY()," is due TODAY ("," is due next business day (")&amp;TEXT($AB728,"dd-mmm")&amp;").","Next: "&amp;$AC728&amp;" due "&amp;TEXT($AB728,"dd-mmm")&amp;" ("&amp;(NETWORKDAYS(TODAY(),$AB728,Holidays)-1)&amp;" business day(s) left).")))))</f>
        <v/>
      </c>
      <c r="W728" s="17">
        <f>IF($Z728="","",CHOOSE($Z728,"Collection Email","1st Follow-up","2nd Follow-up","Local Office","CBE","Roxanne")&amp;IF($Z728=6," - Final"," - Day "&amp;MAX(0,NETWORKDAYS($AA728,TODAY(),Holidays)-1)&amp;" of "&amp;CHOOSE($Z728,3,3,2,2,3))&amp;" | Total Day "&amp;MAX(0,NETWORKDAYS($N728,TODAY(),Holidays)-1))</f>
        <v/>
      </c>
      <c r="X728" s="18"/>
      <c r="Y728" s="18"/>
      <c r="Z728" s="17">
        <f>IF($N728="","",COUNT($N728:$S728))</f>
        <v/>
      </c>
      <c r="AA728" s="19">
        <f>IF($Z728="","",INT(INDEX($N728:$S728,$Z728)))</f>
        <v/>
      </c>
      <c r="AB728" s="19">
        <f>IF(OR($Z728="",$Z728=6),"",WORKDAY($AA728,CHOOSE($Z728,3,3,2,2,3),Holidays))</f>
        <v/>
      </c>
      <c r="AC728" s="17">
        <f>IF(OR($Z728="",$Z728=6),"",CHOOSE($Z728,"1st Email Follow-up","2nd Email Follow-up","Escalate Local Office","Escalate to CBE","Escalate to Roxanne"))</f>
        <v/>
      </c>
    </row>
    <row r="729" spans="13:29">
      <c r="M729" s="14"/>
      <c r="T729" s="16"/>
      <c r="U729" s="17">
        <f>IF(AND(COUNTA($A729:$L729)=0,$N729=""),"",IF($T729="Paid","PAID",IF($T729="Closed","CLOSED",IF($Z729="","",IF($Z729=6,"ESCALATED TO ROXANNE",IF(TODAY()&gt;$AB729,"OVERDUE",IF($AB729&lt;=WORKDAY(TODAY(),1,Holidays),"DUE TOMORROW",IF($Z729=4,"ESCALATED TO LOCAL OFFICE",IF($Z729=5,"ESCALATED TO CBE",IF($AA729=TODAY(),"EMAIL SENT","MONITORING"))))))))))</f>
        <v/>
      </c>
      <c r="V729" s="17">
        <f>IF($U729="",IF(AND(COUNTA($A729:$L729)&gt;0,$N729=""),"Awaiting Collection Email time stamp.",""),IF(OR($U729="PAID",$U729="CLOSED"),IF($U729="PAID","Account paid. Action completed.","Account closed. No further action required."),CHOOSE($Z729,"Collection Email","1st Email Follow-up","2nd Email Follow-up","Escalation to Local Office","Escalation to CBE","Escalation to Roxanne")&amp;" sent "&amp;TEXT($AA729,"dd-mmm")&amp;". "&amp;IF($Z729=6,"Final escalation completed.",IF($U729="OVERDUE","Next: "&amp;$AC729&amp;" was due "&amp;TEXT($AB729,"dd-mmm")&amp;" - "&amp;(NETWORKDAYS($AB729,TODAY(),Holidays)-1)&amp;" business day(s) late. Send now.",IF($U729="DUE TOMORROW","Next: "&amp;$AC729&amp;IF($AB729&lt;=TODAY()," is due TODAY ("," is due next business day (")&amp;TEXT($AB729,"dd-mmm")&amp;").","Next: "&amp;$AC729&amp;" due "&amp;TEXT($AB729,"dd-mmm")&amp;" ("&amp;(NETWORKDAYS(TODAY(),$AB729,Holidays)-1)&amp;" business day(s) left).")))))</f>
        <v/>
      </c>
      <c r="W729" s="17">
        <f>IF($Z729="","",CHOOSE($Z729,"Collection Email","1st Follow-up","2nd Follow-up","Local Office","CBE","Roxanne")&amp;IF($Z729=6," - Final"," - Day "&amp;MAX(0,NETWORKDAYS($AA729,TODAY(),Holidays)-1)&amp;" of "&amp;CHOOSE($Z729,3,3,2,2,3))&amp;" | Total Day "&amp;MAX(0,NETWORKDAYS($N729,TODAY(),Holidays)-1))</f>
        <v/>
      </c>
      <c r="X729" s="18"/>
      <c r="Y729" s="18"/>
      <c r="Z729" s="17">
        <f>IF($N729="","",COUNT($N729:$S729))</f>
        <v/>
      </c>
      <c r="AA729" s="19">
        <f>IF($Z729="","",INT(INDEX($N729:$S729,$Z729)))</f>
        <v/>
      </c>
      <c r="AB729" s="19">
        <f>IF(OR($Z729="",$Z729=6),"",WORKDAY($AA729,CHOOSE($Z729,3,3,2,2,3),Holidays))</f>
        <v/>
      </c>
      <c r="AC729" s="17">
        <f>IF(OR($Z729="",$Z729=6),"",CHOOSE($Z729,"1st Email Follow-up","2nd Email Follow-up","Escalate Local Office","Escalate to CBE","Escalate to Roxanne"))</f>
        <v/>
      </c>
    </row>
    <row r="730" spans="13:29">
      <c r="M730" s="14"/>
      <c r="T730" s="16"/>
      <c r="U730" s="17">
        <f>IF(AND(COUNTA($A730:$L730)=0,$N730=""),"",IF($T730="Paid","PAID",IF($T730="Closed","CLOSED",IF($Z730="","",IF($Z730=6,"ESCALATED TO ROXANNE",IF(TODAY()&gt;$AB730,"OVERDUE",IF($AB730&lt;=WORKDAY(TODAY(),1,Holidays),"DUE TOMORROW",IF($Z730=4,"ESCALATED TO LOCAL OFFICE",IF($Z730=5,"ESCALATED TO CBE",IF($AA730=TODAY(),"EMAIL SENT","MONITORING"))))))))))</f>
        <v/>
      </c>
      <c r="V730" s="17">
        <f>IF($U730="",IF(AND(COUNTA($A730:$L730)&gt;0,$N730=""),"Awaiting Collection Email time stamp.",""),IF(OR($U730="PAID",$U730="CLOSED"),IF($U730="PAID","Account paid. Action completed.","Account closed. No further action required."),CHOOSE($Z730,"Collection Email","1st Email Follow-up","2nd Email Follow-up","Escalation to Local Office","Escalation to CBE","Escalation to Roxanne")&amp;" sent "&amp;TEXT($AA730,"dd-mmm")&amp;". "&amp;IF($Z730=6,"Final escalation completed.",IF($U730="OVERDUE","Next: "&amp;$AC730&amp;" was due "&amp;TEXT($AB730,"dd-mmm")&amp;" - "&amp;(NETWORKDAYS($AB730,TODAY(),Holidays)-1)&amp;" business day(s) late. Send now.",IF($U730="DUE TOMORROW","Next: "&amp;$AC730&amp;IF($AB730&lt;=TODAY()," is due TODAY ("," is due next business day (")&amp;TEXT($AB730,"dd-mmm")&amp;").","Next: "&amp;$AC730&amp;" due "&amp;TEXT($AB730,"dd-mmm")&amp;" ("&amp;(NETWORKDAYS(TODAY(),$AB730,Holidays)-1)&amp;" business day(s) left).")))))</f>
        <v/>
      </c>
      <c r="W730" s="17">
        <f>IF($Z730="","",CHOOSE($Z730,"Collection Email","1st Follow-up","2nd Follow-up","Local Office","CBE","Roxanne")&amp;IF($Z730=6," - Final"," - Day "&amp;MAX(0,NETWORKDAYS($AA730,TODAY(),Holidays)-1)&amp;" of "&amp;CHOOSE($Z730,3,3,2,2,3))&amp;" | Total Day "&amp;MAX(0,NETWORKDAYS($N730,TODAY(),Holidays)-1))</f>
        <v/>
      </c>
      <c r="X730" s="18"/>
      <c r="Y730" s="18"/>
      <c r="Z730" s="17">
        <f>IF($N730="","",COUNT($N730:$S730))</f>
        <v/>
      </c>
      <c r="AA730" s="19">
        <f>IF($Z730="","",INT(INDEX($N730:$S730,$Z730)))</f>
        <v/>
      </c>
      <c r="AB730" s="19">
        <f>IF(OR($Z730="",$Z730=6),"",WORKDAY($AA730,CHOOSE($Z730,3,3,2,2,3),Holidays))</f>
        <v/>
      </c>
      <c r="AC730" s="17">
        <f>IF(OR($Z730="",$Z730=6),"",CHOOSE($Z730,"1st Email Follow-up","2nd Email Follow-up","Escalate Local Office","Escalate to CBE","Escalate to Roxanne"))</f>
        <v/>
      </c>
    </row>
    <row r="731" spans="13:29">
      <c r="M731" s="14"/>
      <c r="T731" s="16"/>
      <c r="U731" s="17">
        <f>IF(AND(COUNTA($A731:$L731)=0,$N731=""),"",IF($T731="Paid","PAID",IF($T731="Closed","CLOSED",IF($Z731="","",IF($Z731=6,"ESCALATED TO ROXANNE",IF(TODAY()&gt;$AB731,"OVERDUE",IF($AB731&lt;=WORKDAY(TODAY(),1,Holidays),"DUE TOMORROW",IF($Z731=4,"ESCALATED TO LOCAL OFFICE",IF($Z731=5,"ESCALATED TO CBE",IF($AA731=TODAY(),"EMAIL SENT","MONITORING"))))))))))</f>
        <v/>
      </c>
      <c r="V731" s="17">
        <f>IF($U731="",IF(AND(COUNTA($A731:$L731)&gt;0,$N731=""),"Awaiting Collection Email time stamp.",""),IF(OR($U731="PAID",$U731="CLOSED"),IF($U731="PAID","Account paid. Action completed.","Account closed. No further action required."),CHOOSE($Z731,"Collection Email","1st Email Follow-up","2nd Email Follow-up","Escalation to Local Office","Escalation to CBE","Escalation to Roxanne")&amp;" sent "&amp;TEXT($AA731,"dd-mmm")&amp;". "&amp;IF($Z731=6,"Final escalation completed.",IF($U731="OVERDUE","Next: "&amp;$AC731&amp;" was due "&amp;TEXT($AB731,"dd-mmm")&amp;" - "&amp;(NETWORKDAYS($AB731,TODAY(),Holidays)-1)&amp;" business day(s) late. Send now.",IF($U731="DUE TOMORROW","Next: "&amp;$AC731&amp;IF($AB731&lt;=TODAY()," is due TODAY ("," is due next business day (")&amp;TEXT($AB731,"dd-mmm")&amp;").","Next: "&amp;$AC731&amp;" due "&amp;TEXT($AB731,"dd-mmm")&amp;" ("&amp;(NETWORKDAYS(TODAY(),$AB731,Holidays)-1)&amp;" business day(s) left).")))))</f>
        <v/>
      </c>
      <c r="W731" s="17">
        <f>IF($Z731="","",CHOOSE($Z731,"Collection Email","1st Follow-up","2nd Follow-up","Local Office","CBE","Roxanne")&amp;IF($Z731=6," - Final"," - Day "&amp;MAX(0,NETWORKDAYS($AA731,TODAY(),Holidays)-1)&amp;" of "&amp;CHOOSE($Z731,3,3,2,2,3))&amp;" | Total Day "&amp;MAX(0,NETWORKDAYS($N731,TODAY(),Holidays)-1))</f>
        <v/>
      </c>
      <c r="X731" s="18"/>
      <c r="Y731" s="18"/>
      <c r="Z731" s="17">
        <f>IF($N731="","",COUNT($N731:$S731))</f>
        <v/>
      </c>
      <c r="AA731" s="19">
        <f>IF($Z731="","",INT(INDEX($N731:$S731,$Z731)))</f>
        <v/>
      </c>
      <c r="AB731" s="19">
        <f>IF(OR($Z731="",$Z731=6),"",WORKDAY($AA731,CHOOSE($Z731,3,3,2,2,3),Holidays))</f>
        <v/>
      </c>
      <c r="AC731" s="17">
        <f>IF(OR($Z731="",$Z731=6),"",CHOOSE($Z731,"1st Email Follow-up","2nd Email Follow-up","Escalate Local Office","Escalate to CBE","Escalate to Roxanne"))</f>
        <v/>
      </c>
    </row>
    <row r="732" spans="13:29">
      <c r="M732" s="14"/>
      <c r="T732" s="16"/>
      <c r="U732" s="17">
        <f>IF(AND(COUNTA($A732:$L732)=0,$N732=""),"",IF($T732="Paid","PAID",IF($T732="Closed","CLOSED",IF($Z732="","",IF($Z732=6,"ESCALATED TO ROXANNE",IF(TODAY()&gt;$AB732,"OVERDUE",IF($AB732&lt;=WORKDAY(TODAY(),1,Holidays),"DUE TOMORROW",IF($Z732=4,"ESCALATED TO LOCAL OFFICE",IF($Z732=5,"ESCALATED TO CBE",IF($AA732=TODAY(),"EMAIL SENT","MONITORING"))))))))))</f>
        <v/>
      </c>
      <c r="V732" s="17">
        <f>IF($U732="",IF(AND(COUNTA($A732:$L732)&gt;0,$N732=""),"Awaiting Collection Email time stamp.",""),IF(OR($U732="PAID",$U732="CLOSED"),IF($U732="PAID","Account paid. Action completed.","Account closed. No further action required."),CHOOSE($Z732,"Collection Email","1st Email Follow-up","2nd Email Follow-up","Escalation to Local Office","Escalation to CBE","Escalation to Roxanne")&amp;" sent "&amp;TEXT($AA732,"dd-mmm")&amp;". "&amp;IF($Z732=6,"Final escalation completed.",IF($U732="OVERDUE","Next: "&amp;$AC732&amp;" was due "&amp;TEXT($AB732,"dd-mmm")&amp;" - "&amp;(NETWORKDAYS($AB732,TODAY(),Holidays)-1)&amp;" business day(s) late. Send now.",IF($U732="DUE TOMORROW","Next: "&amp;$AC732&amp;IF($AB732&lt;=TODAY()," is due TODAY ("," is due next business day (")&amp;TEXT($AB732,"dd-mmm")&amp;").","Next: "&amp;$AC732&amp;" due "&amp;TEXT($AB732,"dd-mmm")&amp;" ("&amp;(NETWORKDAYS(TODAY(),$AB732,Holidays)-1)&amp;" business day(s) left).")))))</f>
        <v/>
      </c>
      <c r="W732" s="17">
        <f>IF($Z732="","",CHOOSE($Z732,"Collection Email","1st Follow-up","2nd Follow-up","Local Office","CBE","Roxanne")&amp;IF($Z732=6," - Final"," - Day "&amp;MAX(0,NETWORKDAYS($AA732,TODAY(),Holidays)-1)&amp;" of "&amp;CHOOSE($Z732,3,3,2,2,3))&amp;" | Total Day "&amp;MAX(0,NETWORKDAYS($N732,TODAY(),Holidays)-1))</f>
        <v/>
      </c>
      <c r="X732" s="18"/>
      <c r="Y732" s="18"/>
      <c r="Z732" s="17">
        <f>IF($N732="","",COUNT($N732:$S732))</f>
        <v/>
      </c>
      <c r="AA732" s="19">
        <f>IF($Z732="","",INT(INDEX($N732:$S732,$Z732)))</f>
        <v/>
      </c>
      <c r="AB732" s="19">
        <f>IF(OR($Z732="",$Z732=6),"",WORKDAY($AA732,CHOOSE($Z732,3,3,2,2,3),Holidays))</f>
        <v/>
      </c>
      <c r="AC732" s="17">
        <f>IF(OR($Z732="",$Z732=6),"",CHOOSE($Z732,"1st Email Follow-up","2nd Email Follow-up","Escalate Local Office","Escalate to CBE","Escalate to Roxanne"))</f>
        <v/>
      </c>
    </row>
    <row r="733" spans="13:29">
      <c r="M733" s="14"/>
      <c r="T733" s="16"/>
      <c r="U733" s="17">
        <f>IF(AND(COUNTA($A733:$L733)=0,$N733=""),"",IF($T733="Paid","PAID",IF($T733="Closed","CLOSED",IF($Z733="","",IF($Z733=6,"ESCALATED TO ROXANNE",IF(TODAY()&gt;$AB733,"OVERDUE",IF($AB733&lt;=WORKDAY(TODAY(),1,Holidays),"DUE TOMORROW",IF($Z733=4,"ESCALATED TO LOCAL OFFICE",IF($Z733=5,"ESCALATED TO CBE",IF($AA733=TODAY(),"EMAIL SENT","MONITORING"))))))))))</f>
        <v/>
      </c>
      <c r="V733" s="17">
        <f>IF($U733="",IF(AND(COUNTA($A733:$L733)&gt;0,$N733=""),"Awaiting Collection Email time stamp.",""),IF(OR($U733="PAID",$U733="CLOSED"),IF($U733="PAID","Account paid. Action completed.","Account closed. No further action required."),CHOOSE($Z733,"Collection Email","1st Email Follow-up","2nd Email Follow-up","Escalation to Local Office","Escalation to CBE","Escalation to Roxanne")&amp;" sent "&amp;TEXT($AA733,"dd-mmm")&amp;". "&amp;IF($Z733=6,"Final escalation completed.",IF($U733="OVERDUE","Next: "&amp;$AC733&amp;" was due "&amp;TEXT($AB733,"dd-mmm")&amp;" - "&amp;(NETWORKDAYS($AB733,TODAY(),Holidays)-1)&amp;" business day(s) late. Send now.",IF($U733="DUE TOMORROW","Next: "&amp;$AC733&amp;IF($AB733&lt;=TODAY()," is due TODAY ("," is due next business day (")&amp;TEXT($AB733,"dd-mmm")&amp;").","Next: "&amp;$AC733&amp;" due "&amp;TEXT($AB733,"dd-mmm")&amp;" ("&amp;(NETWORKDAYS(TODAY(),$AB733,Holidays)-1)&amp;" business day(s) left).")))))</f>
        <v/>
      </c>
      <c r="W733" s="17">
        <f>IF($Z733="","",CHOOSE($Z733,"Collection Email","1st Follow-up","2nd Follow-up","Local Office","CBE","Roxanne")&amp;IF($Z733=6," - Final"," - Day "&amp;MAX(0,NETWORKDAYS($AA733,TODAY(),Holidays)-1)&amp;" of "&amp;CHOOSE($Z733,3,3,2,2,3))&amp;" | Total Day "&amp;MAX(0,NETWORKDAYS($N733,TODAY(),Holidays)-1))</f>
        <v/>
      </c>
      <c r="X733" s="18"/>
      <c r="Y733" s="18"/>
      <c r="Z733" s="17">
        <f>IF($N733="","",COUNT($N733:$S733))</f>
        <v/>
      </c>
      <c r="AA733" s="19">
        <f>IF($Z733="","",INT(INDEX($N733:$S733,$Z733)))</f>
        <v/>
      </c>
      <c r="AB733" s="19">
        <f>IF(OR($Z733="",$Z733=6),"",WORKDAY($AA733,CHOOSE($Z733,3,3,2,2,3),Holidays))</f>
        <v/>
      </c>
      <c r="AC733" s="17">
        <f>IF(OR($Z733="",$Z733=6),"",CHOOSE($Z733,"1st Email Follow-up","2nd Email Follow-up","Escalate Local Office","Escalate to CBE","Escalate to Roxanne"))</f>
        <v/>
      </c>
    </row>
    <row r="734" spans="13:29">
      <c r="M734" s="14"/>
      <c r="T734" s="16"/>
      <c r="U734" s="17">
        <f>IF(AND(COUNTA($A734:$L734)=0,$N734=""),"",IF($T734="Paid","PAID",IF($T734="Closed","CLOSED",IF($Z734="","",IF($Z734=6,"ESCALATED TO ROXANNE",IF(TODAY()&gt;$AB734,"OVERDUE",IF($AB734&lt;=WORKDAY(TODAY(),1,Holidays),"DUE TOMORROW",IF($Z734=4,"ESCALATED TO LOCAL OFFICE",IF($Z734=5,"ESCALATED TO CBE",IF($AA734=TODAY(),"EMAIL SENT","MONITORING"))))))))))</f>
        <v/>
      </c>
      <c r="V734" s="17">
        <f>IF($U734="",IF(AND(COUNTA($A734:$L734)&gt;0,$N734=""),"Awaiting Collection Email time stamp.",""),IF(OR($U734="PAID",$U734="CLOSED"),IF($U734="PAID","Account paid. Action completed.","Account closed. No further action required."),CHOOSE($Z734,"Collection Email","1st Email Follow-up","2nd Email Follow-up","Escalation to Local Office","Escalation to CBE","Escalation to Roxanne")&amp;" sent "&amp;TEXT($AA734,"dd-mmm")&amp;". "&amp;IF($Z734=6,"Final escalation completed.",IF($U734="OVERDUE","Next: "&amp;$AC734&amp;" was due "&amp;TEXT($AB734,"dd-mmm")&amp;" - "&amp;(NETWORKDAYS($AB734,TODAY(),Holidays)-1)&amp;" business day(s) late. Send now.",IF($U734="DUE TOMORROW","Next: "&amp;$AC734&amp;IF($AB734&lt;=TODAY()," is due TODAY ("," is due next business day (")&amp;TEXT($AB734,"dd-mmm")&amp;").","Next: "&amp;$AC734&amp;" due "&amp;TEXT($AB734,"dd-mmm")&amp;" ("&amp;(NETWORKDAYS(TODAY(),$AB734,Holidays)-1)&amp;" business day(s) left).")))))</f>
        <v/>
      </c>
      <c r="W734" s="17">
        <f>IF($Z734="","",CHOOSE($Z734,"Collection Email","1st Follow-up","2nd Follow-up","Local Office","CBE","Roxanne")&amp;IF($Z734=6," - Final"," - Day "&amp;MAX(0,NETWORKDAYS($AA734,TODAY(),Holidays)-1)&amp;" of "&amp;CHOOSE($Z734,3,3,2,2,3))&amp;" | Total Day "&amp;MAX(0,NETWORKDAYS($N734,TODAY(),Holidays)-1))</f>
        <v/>
      </c>
      <c r="X734" s="18"/>
      <c r="Y734" s="18"/>
      <c r="Z734" s="17">
        <f>IF($N734="","",COUNT($N734:$S734))</f>
        <v/>
      </c>
      <c r="AA734" s="19">
        <f>IF($Z734="","",INT(INDEX($N734:$S734,$Z734)))</f>
        <v/>
      </c>
      <c r="AB734" s="19">
        <f>IF(OR($Z734="",$Z734=6),"",WORKDAY($AA734,CHOOSE($Z734,3,3,2,2,3),Holidays))</f>
        <v/>
      </c>
      <c r="AC734" s="17">
        <f>IF(OR($Z734="",$Z734=6),"",CHOOSE($Z734,"1st Email Follow-up","2nd Email Follow-up","Escalate Local Office","Escalate to CBE","Escalate to Roxanne"))</f>
        <v/>
      </c>
    </row>
    <row r="735" spans="13:29">
      <c r="M735" s="14"/>
      <c r="T735" s="16"/>
      <c r="U735" s="17">
        <f>IF(AND(COUNTA($A735:$L735)=0,$N735=""),"",IF($T735="Paid","PAID",IF($T735="Closed","CLOSED",IF($Z735="","",IF($Z735=6,"ESCALATED TO ROXANNE",IF(TODAY()&gt;$AB735,"OVERDUE",IF($AB735&lt;=WORKDAY(TODAY(),1,Holidays),"DUE TOMORROW",IF($Z735=4,"ESCALATED TO LOCAL OFFICE",IF($Z735=5,"ESCALATED TO CBE",IF($AA735=TODAY(),"EMAIL SENT","MONITORING"))))))))))</f>
        <v/>
      </c>
      <c r="V735" s="17">
        <f>IF($U735="",IF(AND(COUNTA($A735:$L735)&gt;0,$N735=""),"Awaiting Collection Email time stamp.",""),IF(OR($U735="PAID",$U735="CLOSED"),IF($U735="PAID","Account paid. Action completed.","Account closed. No further action required."),CHOOSE($Z735,"Collection Email","1st Email Follow-up","2nd Email Follow-up","Escalation to Local Office","Escalation to CBE","Escalation to Roxanne")&amp;" sent "&amp;TEXT($AA735,"dd-mmm")&amp;". "&amp;IF($Z735=6,"Final escalation completed.",IF($U735="OVERDUE","Next: "&amp;$AC735&amp;" was due "&amp;TEXT($AB735,"dd-mmm")&amp;" - "&amp;(NETWORKDAYS($AB735,TODAY(),Holidays)-1)&amp;" business day(s) late. Send now.",IF($U735="DUE TOMORROW","Next: "&amp;$AC735&amp;IF($AB735&lt;=TODAY()," is due TODAY ("," is due next business day (")&amp;TEXT($AB735,"dd-mmm")&amp;").","Next: "&amp;$AC735&amp;" due "&amp;TEXT($AB735,"dd-mmm")&amp;" ("&amp;(NETWORKDAYS(TODAY(),$AB735,Holidays)-1)&amp;" business day(s) left).")))))</f>
        <v/>
      </c>
      <c r="W735" s="17">
        <f>IF($Z735="","",CHOOSE($Z735,"Collection Email","1st Follow-up","2nd Follow-up","Local Office","CBE","Roxanne")&amp;IF($Z735=6," - Final"," - Day "&amp;MAX(0,NETWORKDAYS($AA735,TODAY(),Holidays)-1)&amp;" of "&amp;CHOOSE($Z735,3,3,2,2,3))&amp;" | Total Day "&amp;MAX(0,NETWORKDAYS($N735,TODAY(),Holidays)-1))</f>
        <v/>
      </c>
      <c r="X735" s="18"/>
      <c r="Y735" s="18"/>
      <c r="Z735" s="17">
        <f>IF($N735="","",COUNT($N735:$S735))</f>
        <v/>
      </c>
      <c r="AA735" s="19">
        <f>IF($Z735="","",INT(INDEX($N735:$S735,$Z735)))</f>
        <v/>
      </c>
      <c r="AB735" s="19">
        <f>IF(OR($Z735="",$Z735=6),"",WORKDAY($AA735,CHOOSE($Z735,3,3,2,2,3),Holidays))</f>
        <v/>
      </c>
      <c r="AC735" s="17">
        <f>IF(OR($Z735="",$Z735=6),"",CHOOSE($Z735,"1st Email Follow-up","2nd Email Follow-up","Escalate Local Office","Escalate to CBE","Escalate to Roxanne"))</f>
        <v/>
      </c>
    </row>
    <row r="736" spans="13:29">
      <c r="M736" s="14"/>
      <c r="T736" s="16"/>
      <c r="U736" s="17">
        <f>IF(AND(COUNTA($A736:$L736)=0,$N736=""),"",IF($T736="Paid","PAID",IF($T736="Closed","CLOSED",IF($Z736="","",IF($Z736=6,"ESCALATED TO ROXANNE",IF(TODAY()&gt;$AB736,"OVERDUE",IF($AB736&lt;=WORKDAY(TODAY(),1,Holidays),"DUE TOMORROW",IF($Z736=4,"ESCALATED TO LOCAL OFFICE",IF($Z736=5,"ESCALATED TO CBE",IF($AA736=TODAY(),"EMAIL SENT","MONITORING"))))))))))</f>
        <v/>
      </c>
      <c r="V736" s="17">
        <f>IF($U736="",IF(AND(COUNTA($A736:$L736)&gt;0,$N736=""),"Awaiting Collection Email time stamp.",""),IF(OR($U736="PAID",$U736="CLOSED"),IF($U736="PAID","Account paid. Action completed.","Account closed. No further action required."),CHOOSE($Z736,"Collection Email","1st Email Follow-up","2nd Email Follow-up","Escalation to Local Office","Escalation to CBE","Escalation to Roxanne")&amp;" sent "&amp;TEXT($AA736,"dd-mmm")&amp;". "&amp;IF($Z736=6,"Final escalation completed.",IF($U736="OVERDUE","Next: "&amp;$AC736&amp;" was due "&amp;TEXT($AB736,"dd-mmm")&amp;" - "&amp;(NETWORKDAYS($AB736,TODAY(),Holidays)-1)&amp;" business day(s) late. Send now.",IF($U736="DUE TOMORROW","Next: "&amp;$AC736&amp;IF($AB736&lt;=TODAY()," is due TODAY ("," is due next business day (")&amp;TEXT($AB736,"dd-mmm")&amp;").","Next: "&amp;$AC736&amp;" due "&amp;TEXT($AB736,"dd-mmm")&amp;" ("&amp;(NETWORKDAYS(TODAY(),$AB736,Holidays)-1)&amp;" business day(s) left).")))))</f>
        <v/>
      </c>
      <c r="W736" s="17">
        <f>IF($Z736="","",CHOOSE($Z736,"Collection Email","1st Follow-up","2nd Follow-up","Local Office","CBE","Roxanne")&amp;IF($Z736=6," - Final"," - Day "&amp;MAX(0,NETWORKDAYS($AA736,TODAY(),Holidays)-1)&amp;" of "&amp;CHOOSE($Z736,3,3,2,2,3))&amp;" | Total Day "&amp;MAX(0,NETWORKDAYS($N736,TODAY(),Holidays)-1))</f>
        <v/>
      </c>
      <c r="X736" s="18"/>
      <c r="Y736" s="18"/>
      <c r="Z736" s="17">
        <f>IF($N736="","",COUNT($N736:$S736))</f>
        <v/>
      </c>
      <c r="AA736" s="19">
        <f>IF($Z736="","",INT(INDEX($N736:$S736,$Z736)))</f>
        <v/>
      </c>
      <c r="AB736" s="19">
        <f>IF(OR($Z736="",$Z736=6),"",WORKDAY($AA736,CHOOSE($Z736,3,3,2,2,3),Holidays))</f>
        <v/>
      </c>
      <c r="AC736" s="17">
        <f>IF(OR($Z736="",$Z736=6),"",CHOOSE($Z736,"1st Email Follow-up","2nd Email Follow-up","Escalate Local Office","Escalate to CBE","Escalate to Roxanne"))</f>
        <v/>
      </c>
    </row>
    <row r="737" spans="13:29">
      <c r="M737" s="14"/>
      <c r="T737" s="16"/>
      <c r="U737" s="17">
        <f>IF(AND(COUNTA($A737:$L737)=0,$N737=""),"",IF($T737="Paid","PAID",IF($T737="Closed","CLOSED",IF($Z737="","",IF($Z737=6,"ESCALATED TO ROXANNE",IF(TODAY()&gt;$AB737,"OVERDUE",IF($AB737&lt;=WORKDAY(TODAY(),1,Holidays),"DUE TOMORROW",IF($Z737=4,"ESCALATED TO LOCAL OFFICE",IF($Z737=5,"ESCALATED TO CBE",IF($AA737=TODAY(),"EMAIL SENT","MONITORING"))))))))))</f>
        <v/>
      </c>
      <c r="V737" s="17">
        <f>IF($U737="",IF(AND(COUNTA($A737:$L737)&gt;0,$N737=""),"Awaiting Collection Email time stamp.",""),IF(OR($U737="PAID",$U737="CLOSED"),IF($U737="PAID","Account paid. Action completed.","Account closed. No further action required."),CHOOSE($Z737,"Collection Email","1st Email Follow-up","2nd Email Follow-up","Escalation to Local Office","Escalation to CBE","Escalation to Roxanne")&amp;" sent "&amp;TEXT($AA737,"dd-mmm")&amp;". "&amp;IF($Z737=6,"Final escalation completed.",IF($U737="OVERDUE","Next: "&amp;$AC737&amp;" was due "&amp;TEXT($AB737,"dd-mmm")&amp;" - "&amp;(NETWORKDAYS($AB737,TODAY(),Holidays)-1)&amp;" business day(s) late. Send now.",IF($U737="DUE TOMORROW","Next: "&amp;$AC737&amp;IF($AB737&lt;=TODAY()," is due TODAY ("," is due next business day (")&amp;TEXT($AB737,"dd-mmm")&amp;").","Next: "&amp;$AC737&amp;" due "&amp;TEXT($AB737,"dd-mmm")&amp;" ("&amp;(NETWORKDAYS(TODAY(),$AB737,Holidays)-1)&amp;" business day(s) left).")))))</f>
        <v/>
      </c>
      <c r="W737" s="17">
        <f>IF($Z737="","",CHOOSE($Z737,"Collection Email","1st Follow-up","2nd Follow-up","Local Office","CBE","Roxanne")&amp;IF($Z737=6," - Final"," - Day "&amp;MAX(0,NETWORKDAYS($AA737,TODAY(),Holidays)-1)&amp;" of "&amp;CHOOSE($Z737,3,3,2,2,3))&amp;" | Total Day "&amp;MAX(0,NETWORKDAYS($N737,TODAY(),Holidays)-1))</f>
        <v/>
      </c>
      <c r="X737" s="18"/>
      <c r="Y737" s="18"/>
      <c r="Z737" s="17">
        <f>IF($N737="","",COUNT($N737:$S737))</f>
        <v/>
      </c>
      <c r="AA737" s="19">
        <f>IF($Z737="","",INT(INDEX($N737:$S737,$Z737)))</f>
        <v/>
      </c>
      <c r="AB737" s="19">
        <f>IF(OR($Z737="",$Z737=6),"",WORKDAY($AA737,CHOOSE($Z737,3,3,2,2,3),Holidays))</f>
        <v/>
      </c>
      <c r="AC737" s="17">
        <f>IF(OR($Z737="",$Z737=6),"",CHOOSE($Z737,"1st Email Follow-up","2nd Email Follow-up","Escalate Local Office","Escalate to CBE","Escalate to Roxanne"))</f>
        <v/>
      </c>
    </row>
    <row r="738" spans="13:29">
      <c r="M738" s="14"/>
      <c r="T738" s="16"/>
      <c r="U738" s="17">
        <f>IF(AND(COUNTA($A738:$L738)=0,$N738=""),"",IF($T738="Paid","PAID",IF($T738="Closed","CLOSED",IF($Z738="","",IF($Z738=6,"ESCALATED TO ROXANNE",IF(TODAY()&gt;$AB738,"OVERDUE",IF($AB738&lt;=WORKDAY(TODAY(),1,Holidays),"DUE TOMORROW",IF($Z738=4,"ESCALATED TO LOCAL OFFICE",IF($Z738=5,"ESCALATED TO CBE",IF($AA738=TODAY(),"EMAIL SENT","MONITORING"))))))))))</f>
        <v/>
      </c>
      <c r="V738" s="17">
        <f>IF($U738="",IF(AND(COUNTA($A738:$L738)&gt;0,$N738=""),"Awaiting Collection Email time stamp.",""),IF(OR($U738="PAID",$U738="CLOSED"),IF($U738="PAID","Account paid. Action completed.","Account closed. No further action required."),CHOOSE($Z738,"Collection Email","1st Email Follow-up","2nd Email Follow-up","Escalation to Local Office","Escalation to CBE","Escalation to Roxanne")&amp;" sent "&amp;TEXT($AA738,"dd-mmm")&amp;". "&amp;IF($Z738=6,"Final escalation completed.",IF($U738="OVERDUE","Next: "&amp;$AC738&amp;" was due "&amp;TEXT($AB738,"dd-mmm")&amp;" - "&amp;(NETWORKDAYS($AB738,TODAY(),Holidays)-1)&amp;" business day(s) late. Send now.",IF($U738="DUE TOMORROW","Next: "&amp;$AC738&amp;IF($AB738&lt;=TODAY()," is due TODAY ("," is due next business day (")&amp;TEXT($AB738,"dd-mmm")&amp;").","Next: "&amp;$AC738&amp;" due "&amp;TEXT($AB738,"dd-mmm")&amp;" ("&amp;(NETWORKDAYS(TODAY(),$AB738,Holidays)-1)&amp;" business day(s) left).")))))</f>
        <v/>
      </c>
      <c r="W738" s="17">
        <f>IF($Z738="","",CHOOSE($Z738,"Collection Email","1st Follow-up","2nd Follow-up","Local Office","CBE","Roxanne")&amp;IF($Z738=6," - Final"," - Day "&amp;MAX(0,NETWORKDAYS($AA738,TODAY(),Holidays)-1)&amp;" of "&amp;CHOOSE($Z738,3,3,2,2,3))&amp;" | Total Day "&amp;MAX(0,NETWORKDAYS($N738,TODAY(),Holidays)-1))</f>
        <v/>
      </c>
      <c r="X738" s="18"/>
      <c r="Y738" s="18"/>
      <c r="Z738" s="17">
        <f>IF($N738="","",COUNT($N738:$S738))</f>
        <v/>
      </c>
      <c r="AA738" s="19">
        <f>IF($Z738="","",INT(INDEX($N738:$S738,$Z738)))</f>
        <v/>
      </c>
      <c r="AB738" s="19">
        <f>IF(OR($Z738="",$Z738=6),"",WORKDAY($AA738,CHOOSE($Z738,3,3,2,2,3),Holidays))</f>
        <v/>
      </c>
      <c r="AC738" s="17">
        <f>IF(OR($Z738="",$Z738=6),"",CHOOSE($Z738,"1st Email Follow-up","2nd Email Follow-up","Escalate Local Office","Escalate to CBE","Escalate to Roxanne"))</f>
        <v/>
      </c>
    </row>
    <row r="739" spans="13:29">
      <c r="M739" s="14"/>
      <c r="T739" s="16"/>
      <c r="U739" s="17">
        <f>IF(AND(COUNTA($A739:$L739)=0,$N739=""),"",IF($T739="Paid","PAID",IF($T739="Closed","CLOSED",IF($Z739="","",IF($Z739=6,"ESCALATED TO ROXANNE",IF(TODAY()&gt;$AB739,"OVERDUE",IF($AB739&lt;=WORKDAY(TODAY(),1,Holidays),"DUE TOMORROW",IF($Z739=4,"ESCALATED TO LOCAL OFFICE",IF($Z739=5,"ESCALATED TO CBE",IF($AA739=TODAY(),"EMAIL SENT","MONITORING"))))))))))</f>
        <v/>
      </c>
      <c r="V739" s="17">
        <f>IF($U739="",IF(AND(COUNTA($A739:$L739)&gt;0,$N739=""),"Awaiting Collection Email time stamp.",""),IF(OR($U739="PAID",$U739="CLOSED"),IF($U739="PAID","Account paid. Action completed.","Account closed. No further action required."),CHOOSE($Z739,"Collection Email","1st Email Follow-up","2nd Email Follow-up","Escalation to Local Office","Escalation to CBE","Escalation to Roxanne")&amp;" sent "&amp;TEXT($AA739,"dd-mmm")&amp;". "&amp;IF($Z739=6,"Final escalation completed.",IF($U739="OVERDUE","Next: "&amp;$AC739&amp;" was due "&amp;TEXT($AB739,"dd-mmm")&amp;" - "&amp;(NETWORKDAYS($AB739,TODAY(),Holidays)-1)&amp;" business day(s) late. Send now.",IF($U739="DUE TOMORROW","Next: "&amp;$AC739&amp;IF($AB739&lt;=TODAY()," is due TODAY ("," is due next business day (")&amp;TEXT($AB739,"dd-mmm")&amp;").","Next: "&amp;$AC739&amp;" due "&amp;TEXT($AB739,"dd-mmm")&amp;" ("&amp;(NETWORKDAYS(TODAY(),$AB739,Holidays)-1)&amp;" business day(s) left).")))))</f>
        <v/>
      </c>
      <c r="W739" s="17">
        <f>IF($Z739="","",CHOOSE($Z739,"Collection Email","1st Follow-up","2nd Follow-up","Local Office","CBE","Roxanne")&amp;IF($Z739=6," - Final"," - Day "&amp;MAX(0,NETWORKDAYS($AA739,TODAY(),Holidays)-1)&amp;" of "&amp;CHOOSE($Z739,3,3,2,2,3))&amp;" | Total Day "&amp;MAX(0,NETWORKDAYS($N739,TODAY(),Holidays)-1))</f>
        <v/>
      </c>
      <c r="X739" s="18"/>
      <c r="Y739" s="18"/>
      <c r="Z739" s="17">
        <f>IF($N739="","",COUNT($N739:$S739))</f>
        <v/>
      </c>
      <c r="AA739" s="19">
        <f>IF($Z739="","",INT(INDEX($N739:$S739,$Z739)))</f>
        <v/>
      </c>
      <c r="AB739" s="19">
        <f>IF(OR($Z739="",$Z739=6),"",WORKDAY($AA739,CHOOSE($Z739,3,3,2,2,3),Holidays))</f>
        <v/>
      </c>
      <c r="AC739" s="17">
        <f>IF(OR($Z739="",$Z739=6),"",CHOOSE($Z739,"1st Email Follow-up","2nd Email Follow-up","Escalate Local Office","Escalate to CBE","Escalate to Roxanne"))</f>
        <v/>
      </c>
    </row>
    <row r="740" spans="13:29">
      <c r="M740" s="14"/>
      <c r="T740" s="16"/>
      <c r="U740" s="17">
        <f>IF(AND(COUNTA($A740:$L740)=0,$N740=""),"",IF($T740="Paid","PAID",IF($T740="Closed","CLOSED",IF($Z740="","",IF($Z740=6,"ESCALATED TO ROXANNE",IF(TODAY()&gt;$AB740,"OVERDUE",IF($AB740&lt;=WORKDAY(TODAY(),1,Holidays),"DUE TOMORROW",IF($Z740=4,"ESCALATED TO LOCAL OFFICE",IF($Z740=5,"ESCALATED TO CBE",IF($AA740=TODAY(),"EMAIL SENT","MONITORING"))))))))))</f>
        <v/>
      </c>
      <c r="V740" s="17">
        <f>IF($U740="",IF(AND(COUNTA($A740:$L740)&gt;0,$N740=""),"Awaiting Collection Email time stamp.",""),IF(OR($U740="PAID",$U740="CLOSED"),IF($U740="PAID","Account paid. Action completed.","Account closed. No further action required."),CHOOSE($Z740,"Collection Email","1st Email Follow-up","2nd Email Follow-up","Escalation to Local Office","Escalation to CBE","Escalation to Roxanne")&amp;" sent "&amp;TEXT($AA740,"dd-mmm")&amp;". "&amp;IF($Z740=6,"Final escalation completed.",IF($U740="OVERDUE","Next: "&amp;$AC740&amp;" was due "&amp;TEXT($AB740,"dd-mmm")&amp;" - "&amp;(NETWORKDAYS($AB740,TODAY(),Holidays)-1)&amp;" business day(s) late. Send now.",IF($U740="DUE TOMORROW","Next: "&amp;$AC740&amp;IF($AB740&lt;=TODAY()," is due TODAY ("," is due next business day (")&amp;TEXT($AB740,"dd-mmm")&amp;").","Next: "&amp;$AC740&amp;" due "&amp;TEXT($AB740,"dd-mmm")&amp;" ("&amp;(NETWORKDAYS(TODAY(),$AB740,Holidays)-1)&amp;" business day(s) left).")))))</f>
        <v/>
      </c>
      <c r="W740" s="17">
        <f>IF($Z740="","",CHOOSE($Z740,"Collection Email","1st Follow-up","2nd Follow-up","Local Office","CBE","Roxanne")&amp;IF($Z740=6," - Final"," - Day "&amp;MAX(0,NETWORKDAYS($AA740,TODAY(),Holidays)-1)&amp;" of "&amp;CHOOSE($Z740,3,3,2,2,3))&amp;" | Total Day "&amp;MAX(0,NETWORKDAYS($N740,TODAY(),Holidays)-1))</f>
        <v/>
      </c>
      <c r="X740" s="18"/>
      <c r="Y740" s="18"/>
      <c r="Z740" s="17">
        <f>IF($N740="","",COUNT($N740:$S740))</f>
        <v/>
      </c>
      <c r="AA740" s="19">
        <f>IF($Z740="","",INT(INDEX($N740:$S740,$Z740)))</f>
        <v/>
      </c>
      <c r="AB740" s="19">
        <f>IF(OR($Z740="",$Z740=6),"",WORKDAY($AA740,CHOOSE($Z740,3,3,2,2,3),Holidays))</f>
        <v/>
      </c>
      <c r="AC740" s="17">
        <f>IF(OR($Z740="",$Z740=6),"",CHOOSE($Z740,"1st Email Follow-up","2nd Email Follow-up","Escalate Local Office","Escalate to CBE","Escalate to Roxanne"))</f>
        <v/>
      </c>
    </row>
    <row r="741" spans="13:29">
      <c r="M741" s="14"/>
      <c r="T741" s="16"/>
      <c r="U741" s="17">
        <f>IF(AND(COUNTA($A741:$L741)=0,$N741=""),"",IF($T741="Paid","PAID",IF($T741="Closed","CLOSED",IF($Z741="","",IF($Z741=6,"ESCALATED TO ROXANNE",IF(TODAY()&gt;$AB741,"OVERDUE",IF($AB741&lt;=WORKDAY(TODAY(),1,Holidays),"DUE TOMORROW",IF($Z741=4,"ESCALATED TO LOCAL OFFICE",IF($Z741=5,"ESCALATED TO CBE",IF($AA741=TODAY(),"EMAIL SENT","MONITORING"))))))))))</f>
        <v/>
      </c>
      <c r="V741" s="17">
        <f>IF($U741="",IF(AND(COUNTA($A741:$L741)&gt;0,$N741=""),"Awaiting Collection Email time stamp.",""),IF(OR($U741="PAID",$U741="CLOSED"),IF($U741="PAID","Account paid. Action completed.","Account closed. No further action required."),CHOOSE($Z741,"Collection Email","1st Email Follow-up","2nd Email Follow-up","Escalation to Local Office","Escalation to CBE","Escalation to Roxanne")&amp;" sent "&amp;TEXT($AA741,"dd-mmm")&amp;". "&amp;IF($Z741=6,"Final escalation completed.",IF($U741="OVERDUE","Next: "&amp;$AC741&amp;" was due "&amp;TEXT($AB741,"dd-mmm")&amp;" - "&amp;(NETWORKDAYS($AB741,TODAY(),Holidays)-1)&amp;" business day(s) late. Send now.",IF($U741="DUE TOMORROW","Next: "&amp;$AC741&amp;IF($AB741&lt;=TODAY()," is due TODAY ("," is due next business day (")&amp;TEXT($AB741,"dd-mmm")&amp;").","Next: "&amp;$AC741&amp;" due "&amp;TEXT($AB741,"dd-mmm")&amp;" ("&amp;(NETWORKDAYS(TODAY(),$AB741,Holidays)-1)&amp;" business day(s) left).")))))</f>
        <v/>
      </c>
      <c r="W741" s="17">
        <f>IF($Z741="","",CHOOSE($Z741,"Collection Email","1st Follow-up","2nd Follow-up","Local Office","CBE","Roxanne")&amp;IF($Z741=6," - Final"," - Day "&amp;MAX(0,NETWORKDAYS($AA741,TODAY(),Holidays)-1)&amp;" of "&amp;CHOOSE($Z741,3,3,2,2,3))&amp;" | Total Day "&amp;MAX(0,NETWORKDAYS($N741,TODAY(),Holidays)-1))</f>
        <v/>
      </c>
      <c r="X741" s="18"/>
      <c r="Y741" s="18"/>
      <c r="Z741" s="17">
        <f>IF($N741="","",COUNT($N741:$S741))</f>
        <v/>
      </c>
      <c r="AA741" s="19">
        <f>IF($Z741="","",INT(INDEX($N741:$S741,$Z741)))</f>
        <v/>
      </c>
      <c r="AB741" s="19">
        <f>IF(OR($Z741="",$Z741=6),"",WORKDAY($AA741,CHOOSE($Z741,3,3,2,2,3),Holidays))</f>
        <v/>
      </c>
      <c r="AC741" s="17">
        <f>IF(OR($Z741="",$Z741=6),"",CHOOSE($Z741,"1st Email Follow-up","2nd Email Follow-up","Escalate Local Office","Escalate to CBE","Escalate to Roxanne"))</f>
        <v/>
      </c>
    </row>
    <row r="742" spans="13:29">
      <c r="M742" s="14"/>
      <c r="T742" s="16"/>
      <c r="U742" s="17">
        <f>IF(AND(COUNTA($A742:$L742)=0,$N742=""),"",IF($T742="Paid","PAID",IF($T742="Closed","CLOSED",IF($Z742="","",IF($Z742=6,"ESCALATED TO ROXANNE",IF(TODAY()&gt;$AB742,"OVERDUE",IF($AB742&lt;=WORKDAY(TODAY(),1,Holidays),"DUE TOMORROW",IF($Z742=4,"ESCALATED TO LOCAL OFFICE",IF($Z742=5,"ESCALATED TO CBE",IF($AA742=TODAY(),"EMAIL SENT","MONITORING"))))))))))</f>
        <v/>
      </c>
      <c r="V742" s="17">
        <f>IF($U742="",IF(AND(COUNTA($A742:$L742)&gt;0,$N742=""),"Awaiting Collection Email time stamp.",""),IF(OR($U742="PAID",$U742="CLOSED"),IF($U742="PAID","Account paid. Action completed.","Account closed. No further action required."),CHOOSE($Z742,"Collection Email","1st Email Follow-up","2nd Email Follow-up","Escalation to Local Office","Escalation to CBE","Escalation to Roxanne")&amp;" sent "&amp;TEXT($AA742,"dd-mmm")&amp;". "&amp;IF($Z742=6,"Final escalation completed.",IF($U742="OVERDUE","Next: "&amp;$AC742&amp;" was due "&amp;TEXT($AB742,"dd-mmm")&amp;" - "&amp;(NETWORKDAYS($AB742,TODAY(),Holidays)-1)&amp;" business day(s) late. Send now.",IF($U742="DUE TOMORROW","Next: "&amp;$AC742&amp;IF($AB742&lt;=TODAY()," is due TODAY ("," is due next business day (")&amp;TEXT($AB742,"dd-mmm")&amp;").","Next: "&amp;$AC742&amp;" due "&amp;TEXT($AB742,"dd-mmm")&amp;" ("&amp;(NETWORKDAYS(TODAY(),$AB742,Holidays)-1)&amp;" business day(s) left).")))))</f>
        <v/>
      </c>
      <c r="W742" s="17">
        <f>IF($Z742="","",CHOOSE($Z742,"Collection Email","1st Follow-up","2nd Follow-up","Local Office","CBE","Roxanne")&amp;IF($Z742=6," - Final"," - Day "&amp;MAX(0,NETWORKDAYS($AA742,TODAY(),Holidays)-1)&amp;" of "&amp;CHOOSE($Z742,3,3,2,2,3))&amp;" | Total Day "&amp;MAX(0,NETWORKDAYS($N742,TODAY(),Holidays)-1))</f>
        <v/>
      </c>
      <c r="X742" s="18"/>
      <c r="Y742" s="18"/>
      <c r="Z742" s="17">
        <f>IF($N742="","",COUNT($N742:$S742))</f>
        <v/>
      </c>
      <c r="AA742" s="19">
        <f>IF($Z742="","",INT(INDEX($N742:$S742,$Z742)))</f>
        <v/>
      </c>
      <c r="AB742" s="19">
        <f>IF(OR($Z742="",$Z742=6),"",WORKDAY($AA742,CHOOSE($Z742,3,3,2,2,3),Holidays))</f>
        <v/>
      </c>
      <c r="AC742" s="17">
        <f>IF(OR($Z742="",$Z742=6),"",CHOOSE($Z742,"1st Email Follow-up","2nd Email Follow-up","Escalate Local Office","Escalate to CBE","Escalate to Roxanne"))</f>
        <v/>
      </c>
    </row>
    <row r="743" spans="13:29">
      <c r="M743" s="14"/>
      <c r="T743" s="16"/>
      <c r="U743" s="17">
        <f>IF(AND(COUNTA($A743:$L743)=0,$N743=""),"",IF($T743="Paid","PAID",IF($T743="Closed","CLOSED",IF($Z743="","",IF($Z743=6,"ESCALATED TO ROXANNE",IF(TODAY()&gt;$AB743,"OVERDUE",IF($AB743&lt;=WORKDAY(TODAY(),1,Holidays),"DUE TOMORROW",IF($Z743=4,"ESCALATED TO LOCAL OFFICE",IF($Z743=5,"ESCALATED TO CBE",IF($AA743=TODAY(),"EMAIL SENT","MONITORING"))))))))))</f>
        <v/>
      </c>
      <c r="V743" s="17">
        <f>IF($U743="",IF(AND(COUNTA($A743:$L743)&gt;0,$N743=""),"Awaiting Collection Email time stamp.",""),IF(OR($U743="PAID",$U743="CLOSED"),IF($U743="PAID","Account paid. Action completed.","Account closed. No further action required."),CHOOSE($Z743,"Collection Email","1st Email Follow-up","2nd Email Follow-up","Escalation to Local Office","Escalation to CBE","Escalation to Roxanne")&amp;" sent "&amp;TEXT($AA743,"dd-mmm")&amp;". "&amp;IF($Z743=6,"Final escalation completed.",IF($U743="OVERDUE","Next: "&amp;$AC743&amp;" was due "&amp;TEXT($AB743,"dd-mmm")&amp;" - "&amp;(NETWORKDAYS($AB743,TODAY(),Holidays)-1)&amp;" business day(s) late. Send now.",IF($U743="DUE TOMORROW","Next: "&amp;$AC743&amp;IF($AB743&lt;=TODAY()," is due TODAY ("," is due next business day (")&amp;TEXT($AB743,"dd-mmm")&amp;").","Next: "&amp;$AC743&amp;" due "&amp;TEXT($AB743,"dd-mmm")&amp;" ("&amp;(NETWORKDAYS(TODAY(),$AB743,Holidays)-1)&amp;" business day(s) left).")))))</f>
        <v/>
      </c>
      <c r="W743" s="17">
        <f>IF($Z743="","",CHOOSE($Z743,"Collection Email","1st Follow-up","2nd Follow-up","Local Office","CBE","Roxanne")&amp;IF($Z743=6," - Final"," - Day "&amp;MAX(0,NETWORKDAYS($AA743,TODAY(),Holidays)-1)&amp;" of "&amp;CHOOSE($Z743,3,3,2,2,3))&amp;" | Total Day "&amp;MAX(0,NETWORKDAYS($N743,TODAY(),Holidays)-1))</f>
        <v/>
      </c>
      <c r="X743" s="18"/>
      <c r="Y743" s="18"/>
      <c r="Z743" s="17">
        <f>IF($N743="","",COUNT($N743:$S743))</f>
        <v/>
      </c>
      <c r="AA743" s="19">
        <f>IF($Z743="","",INT(INDEX($N743:$S743,$Z743)))</f>
        <v/>
      </c>
      <c r="AB743" s="19">
        <f>IF(OR($Z743="",$Z743=6),"",WORKDAY($AA743,CHOOSE($Z743,3,3,2,2,3),Holidays))</f>
        <v/>
      </c>
      <c r="AC743" s="17">
        <f>IF(OR($Z743="",$Z743=6),"",CHOOSE($Z743,"1st Email Follow-up","2nd Email Follow-up","Escalate Local Office","Escalate to CBE","Escalate to Roxanne"))</f>
        <v/>
      </c>
    </row>
    <row r="744" spans="13:29">
      <c r="M744" s="14"/>
      <c r="T744" s="16"/>
      <c r="U744" s="17">
        <f>IF(AND(COUNTA($A744:$L744)=0,$N744=""),"",IF($T744="Paid","PAID",IF($T744="Closed","CLOSED",IF($Z744="","",IF($Z744=6,"ESCALATED TO ROXANNE",IF(TODAY()&gt;$AB744,"OVERDUE",IF($AB744&lt;=WORKDAY(TODAY(),1,Holidays),"DUE TOMORROW",IF($Z744=4,"ESCALATED TO LOCAL OFFICE",IF($Z744=5,"ESCALATED TO CBE",IF($AA744=TODAY(),"EMAIL SENT","MONITORING"))))))))))</f>
        <v/>
      </c>
      <c r="V744" s="17">
        <f>IF($U744="",IF(AND(COUNTA($A744:$L744)&gt;0,$N744=""),"Awaiting Collection Email time stamp.",""),IF(OR($U744="PAID",$U744="CLOSED"),IF($U744="PAID","Account paid. Action completed.","Account closed. No further action required."),CHOOSE($Z744,"Collection Email","1st Email Follow-up","2nd Email Follow-up","Escalation to Local Office","Escalation to CBE","Escalation to Roxanne")&amp;" sent "&amp;TEXT($AA744,"dd-mmm")&amp;". "&amp;IF($Z744=6,"Final escalation completed.",IF($U744="OVERDUE","Next: "&amp;$AC744&amp;" was due "&amp;TEXT($AB744,"dd-mmm")&amp;" - "&amp;(NETWORKDAYS($AB744,TODAY(),Holidays)-1)&amp;" business day(s) late. Send now.",IF($U744="DUE TOMORROW","Next: "&amp;$AC744&amp;IF($AB744&lt;=TODAY()," is due TODAY ("," is due next business day (")&amp;TEXT($AB744,"dd-mmm")&amp;").","Next: "&amp;$AC744&amp;" due "&amp;TEXT($AB744,"dd-mmm")&amp;" ("&amp;(NETWORKDAYS(TODAY(),$AB744,Holidays)-1)&amp;" business day(s) left).")))))</f>
        <v/>
      </c>
      <c r="W744" s="17">
        <f>IF($Z744="","",CHOOSE($Z744,"Collection Email","1st Follow-up","2nd Follow-up","Local Office","CBE","Roxanne")&amp;IF($Z744=6," - Final"," - Day "&amp;MAX(0,NETWORKDAYS($AA744,TODAY(),Holidays)-1)&amp;" of "&amp;CHOOSE($Z744,3,3,2,2,3))&amp;" | Total Day "&amp;MAX(0,NETWORKDAYS($N744,TODAY(),Holidays)-1))</f>
        <v/>
      </c>
      <c r="X744" s="18"/>
      <c r="Y744" s="18"/>
      <c r="Z744" s="17">
        <f>IF($N744="","",COUNT($N744:$S744))</f>
        <v/>
      </c>
      <c r="AA744" s="19">
        <f>IF($Z744="","",INT(INDEX($N744:$S744,$Z744)))</f>
        <v/>
      </c>
      <c r="AB744" s="19">
        <f>IF(OR($Z744="",$Z744=6),"",WORKDAY($AA744,CHOOSE($Z744,3,3,2,2,3),Holidays))</f>
        <v/>
      </c>
      <c r="AC744" s="17">
        <f>IF(OR($Z744="",$Z744=6),"",CHOOSE($Z744,"1st Email Follow-up","2nd Email Follow-up","Escalate Local Office","Escalate to CBE","Escalate to Roxanne"))</f>
        <v/>
      </c>
    </row>
    <row r="745" spans="13:29">
      <c r="M745" s="14"/>
      <c r="T745" s="16"/>
      <c r="U745" s="17">
        <f>IF(AND(COUNTA($A745:$L745)=0,$N745=""),"",IF($T745="Paid","PAID",IF($T745="Closed","CLOSED",IF($Z745="","",IF($Z745=6,"ESCALATED TO ROXANNE",IF(TODAY()&gt;$AB745,"OVERDUE",IF($AB745&lt;=WORKDAY(TODAY(),1,Holidays),"DUE TOMORROW",IF($Z745=4,"ESCALATED TO LOCAL OFFICE",IF($Z745=5,"ESCALATED TO CBE",IF($AA745=TODAY(),"EMAIL SENT","MONITORING"))))))))))</f>
        <v/>
      </c>
      <c r="V745" s="17">
        <f>IF($U745="",IF(AND(COUNTA($A745:$L745)&gt;0,$N745=""),"Awaiting Collection Email time stamp.",""),IF(OR($U745="PAID",$U745="CLOSED"),IF($U745="PAID","Account paid. Action completed.","Account closed. No further action required."),CHOOSE($Z745,"Collection Email","1st Email Follow-up","2nd Email Follow-up","Escalation to Local Office","Escalation to CBE","Escalation to Roxanne")&amp;" sent "&amp;TEXT($AA745,"dd-mmm")&amp;". "&amp;IF($Z745=6,"Final escalation completed.",IF($U745="OVERDUE","Next: "&amp;$AC745&amp;" was due "&amp;TEXT($AB745,"dd-mmm")&amp;" - "&amp;(NETWORKDAYS($AB745,TODAY(),Holidays)-1)&amp;" business day(s) late. Send now.",IF($U745="DUE TOMORROW","Next: "&amp;$AC745&amp;IF($AB745&lt;=TODAY()," is due TODAY ("," is due next business day (")&amp;TEXT($AB745,"dd-mmm")&amp;").","Next: "&amp;$AC745&amp;" due "&amp;TEXT($AB745,"dd-mmm")&amp;" ("&amp;(NETWORKDAYS(TODAY(),$AB745,Holidays)-1)&amp;" business day(s) left).")))))</f>
        <v/>
      </c>
      <c r="W745" s="17">
        <f>IF($Z745="","",CHOOSE($Z745,"Collection Email","1st Follow-up","2nd Follow-up","Local Office","CBE","Roxanne")&amp;IF($Z745=6," - Final"," - Day "&amp;MAX(0,NETWORKDAYS($AA745,TODAY(),Holidays)-1)&amp;" of "&amp;CHOOSE($Z745,3,3,2,2,3))&amp;" | Total Day "&amp;MAX(0,NETWORKDAYS($N745,TODAY(),Holidays)-1))</f>
        <v/>
      </c>
      <c r="X745" s="18"/>
      <c r="Y745" s="18"/>
      <c r="Z745" s="17">
        <f>IF($N745="","",COUNT($N745:$S745))</f>
        <v/>
      </c>
      <c r="AA745" s="19">
        <f>IF($Z745="","",INT(INDEX($N745:$S745,$Z745)))</f>
        <v/>
      </c>
      <c r="AB745" s="19">
        <f>IF(OR($Z745="",$Z745=6),"",WORKDAY($AA745,CHOOSE($Z745,3,3,2,2,3),Holidays))</f>
        <v/>
      </c>
      <c r="AC745" s="17">
        <f>IF(OR($Z745="",$Z745=6),"",CHOOSE($Z745,"1st Email Follow-up","2nd Email Follow-up","Escalate Local Office","Escalate to CBE","Escalate to Roxanne"))</f>
        <v/>
      </c>
    </row>
    <row r="746" spans="13:29">
      <c r="M746" s="14"/>
      <c r="T746" s="16"/>
      <c r="U746" s="17">
        <f>IF(AND(COUNTA($A746:$L746)=0,$N746=""),"",IF($T746="Paid","PAID",IF($T746="Closed","CLOSED",IF($Z746="","",IF($Z746=6,"ESCALATED TO ROXANNE",IF(TODAY()&gt;$AB746,"OVERDUE",IF($AB746&lt;=WORKDAY(TODAY(),1,Holidays),"DUE TOMORROW",IF($Z746=4,"ESCALATED TO LOCAL OFFICE",IF($Z746=5,"ESCALATED TO CBE",IF($AA746=TODAY(),"EMAIL SENT","MONITORING"))))))))))</f>
        <v/>
      </c>
      <c r="V746" s="17">
        <f>IF($U746="",IF(AND(COUNTA($A746:$L746)&gt;0,$N746=""),"Awaiting Collection Email time stamp.",""),IF(OR($U746="PAID",$U746="CLOSED"),IF($U746="PAID","Account paid. Action completed.","Account closed. No further action required."),CHOOSE($Z746,"Collection Email","1st Email Follow-up","2nd Email Follow-up","Escalation to Local Office","Escalation to CBE","Escalation to Roxanne")&amp;" sent "&amp;TEXT($AA746,"dd-mmm")&amp;". "&amp;IF($Z746=6,"Final escalation completed.",IF($U746="OVERDUE","Next: "&amp;$AC746&amp;" was due "&amp;TEXT($AB746,"dd-mmm")&amp;" - "&amp;(NETWORKDAYS($AB746,TODAY(),Holidays)-1)&amp;" business day(s) late. Send now.",IF($U746="DUE TOMORROW","Next: "&amp;$AC746&amp;IF($AB746&lt;=TODAY()," is due TODAY ("," is due next business day (")&amp;TEXT($AB746,"dd-mmm")&amp;").","Next: "&amp;$AC746&amp;" due "&amp;TEXT($AB746,"dd-mmm")&amp;" ("&amp;(NETWORKDAYS(TODAY(),$AB746,Holidays)-1)&amp;" business day(s) left).")))))</f>
        <v/>
      </c>
      <c r="W746" s="17">
        <f>IF($Z746="","",CHOOSE($Z746,"Collection Email","1st Follow-up","2nd Follow-up","Local Office","CBE","Roxanne")&amp;IF($Z746=6," - Final"," - Day "&amp;MAX(0,NETWORKDAYS($AA746,TODAY(),Holidays)-1)&amp;" of "&amp;CHOOSE($Z746,3,3,2,2,3))&amp;" | Total Day "&amp;MAX(0,NETWORKDAYS($N746,TODAY(),Holidays)-1))</f>
        <v/>
      </c>
      <c r="X746" s="18"/>
      <c r="Y746" s="18"/>
      <c r="Z746" s="17">
        <f>IF($N746="","",COUNT($N746:$S746))</f>
        <v/>
      </c>
      <c r="AA746" s="19">
        <f>IF($Z746="","",INT(INDEX($N746:$S746,$Z746)))</f>
        <v/>
      </c>
      <c r="AB746" s="19">
        <f>IF(OR($Z746="",$Z746=6),"",WORKDAY($AA746,CHOOSE($Z746,3,3,2,2,3),Holidays))</f>
        <v/>
      </c>
      <c r="AC746" s="17">
        <f>IF(OR($Z746="",$Z746=6),"",CHOOSE($Z746,"1st Email Follow-up","2nd Email Follow-up","Escalate Local Office","Escalate to CBE","Escalate to Roxanne"))</f>
        <v/>
      </c>
    </row>
    <row r="747" spans="13:29">
      <c r="M747" s="14"/>
      <c r="T747" s="16"/>
      <c r="U747" s="17">
        <f>IF(AND(COUNTA($A747:$L747)=0,$N747=""),"",IF($T747="Paid","PAID",IF($T747="Closed","CLOSED",IF($Z747="","",IF($Z747=6,"ESCALATED TO ROXANNE",IF(TODAY()&gt;$AB747,"OVERDUE",IF($AB747&lt;=WORKDAY(TODAY(),1,Holidays),"DUE TOMORROW",IF($Z747=4,"ESCALATED TO LOCAL OFFICE",IF($Z747=5,"ESCALATED TO CBE",IF($AA747=TODAY(),"EMAIL SENT","MONITORING"))))))))))</f>
        <v/>
      </c>
      <c r="V747" s="17">
        <f>IF($U747="",IF(AND(COUNTA($A747:$L747)&gt;0,$N747=""),"Awaiting Collection Email time stamp.",""),IF(OR($U747="PAID",$U747="CLOSED"),IF($U747="PAID","Account paid. Action completed.","Account closed. No further action required."),CHOOSE($Z747,"Collection Email","1st Email Follow-up","2nd Email Follow-up","Escalation to Local Office","Escalation to CBE","Escalation to Roxanne")&amp;" sent "&amp;TEXT($AA747,"dd-mmm")&amp;". "&amp;IF($Z747=6,"Final escalation completed.",IF($U747="OVERDUE","Next: "&amp;$AC747&amp;" was due "&amp;TEXT($AB747,"dd-mmm")&amp;" - "&amp;(NETWORKDAYS($AB747,TODAY(),Holidays)-1)&amp;" business day(s) late. Send now.",IF($U747="DUE TOMORROW","Next: "&amp;$AC747&amp;IF($AB747&lt;=TODAY()," is due TODAY ("," is due next business day (")&amp;TEXT($AB747,"dd-mmm")&amp;").","Next: "&amp;$AC747&amp;" due "&amp;TEXT($AB747,"dd-mmm")&amp;" ("&amp;(NETWORKDAYS(TODAY(),$AB747,Holidays)-1)&amp;" business day(s) left).")))))</f>
        <v/>
      </c>
      <c r="W747" s="17">
        <f>IF($Z747="","",CHOOSE($Z747,"Collection Email","1st Follow-up","2nd Follow-up","Local Office","CBE","Roxanne")&amp;IF($Z747=6," - Final"," - Day "&amp;MAX(0,NETWORKDAYS($AA747,TODAY(),Holidays)-1)&amp;" of "&amp;CHOOSE($Z747,3,3,2,2,3))&amp;" | Total Day "&amp;MAX(0,NETWORKDAYS($N747,TODAY(),Holidays)-1))</f>
        <v/>
      </c>
      <c r="X747" s="18"/>
      <c r="Y747" s="18"/>
      <c r="Z747" s="17">
        <f>IF($N747="","",COUNT($N747:$S747))</f>
        <v/>
      </c>
      <c r="AA747" s="19">
        <f>IF($Z747="","",INT(INDEX($N747:$S747,$Z747)))</f>
        <v/>
      </c>
      <c r="AB747" s="19">
        <f>IF(OR($Z747="",$Z747=6),"",WORKDAY($AA747,CHOOSE($Z747,3,3,2,2,3),Holidays))</f>
        <v/>
      </c>
      <c r="AC747" s="17">
        <f>IF(OR($Z747="",$Z747=6),"",CHOOSE($Z747,"1st Email Follow-up","2nd Email Follow-up","Escalate Local Office","Escalate to CBE","Escalate to Roxanne"))</f>
        <v/>
      </c>
    </row>
    <row r="748" spans="13:29">
      <c r="M748" s="14"/>
      <c r="T748" s="16"/>
      <c r="U748" s="17">
        <f>IF(AND(COUNTA($A748:$L748)=0,$N748=""),"",IF($T748="Paid","PAID",IF($T748="Closed","CLOSED",IF($Z748="","",IF($Z748=6,"ESCALATED TO ROXANNE",IF(TODAY()&gt;$AB748,"OVERDUE",IF($AB748&lt;=WORKDAY(TODAY(),1,Holidays),"DUE TOMORROW",IF($Z748=4,"ESCALATED TO LOCAL OFFICE",IF($Z748=5,"ESCALATED TO CBE",IF($AA748=TODAY(),"EMAIL SENT","MONITORING"))))))))))</f>
        <v/>
      </c>
      <c r="V748" s="17">
        <f>IF($U748="",IF(AND(COUNTA($A748:$L748)&gt;0,$N748=""),"Awaiting Collection Email time stamp.",""),IF(OR($U748="PAID",$U748="CLOSED"),IF($U748="PAID","Account paid. Action completed.","Account closed. No further action required."),CHOOSE($Z748,"Collection Email","1st Email Follow-up","2nd Email Follow-up","Escalation to Local Office","Escalation to CBE","Escalation to Roxanne")&amp;" sent "&amp;TEXT($AA748,"dd-mmm")&amp;". "&amp;IF($Z748=6,"Final escalation completed.",IF($U748="OVERDUE","Next: "&amp;$AC748&amp;" was due "&amp;TEXT($AB748,"dd-mmm")&amp;" - "&amp;(NETWORKDAYS($AB748,TODAY(),Holidays)-1)&amp;" business day(s) late. Send now.",IF($U748="DUE TOMORROW","Next: "&amp;$AC748&amp;IF($AB748&lt;=TODAY()," is due TODAY ("," is due next business day (")&amp;TEXT($AB748,"dd-mmm")&amp;").","Next: "&amp;$AC748&amp;" due "&amp;TEXT($AB748,"dd-mmm")&amp;" ("&amp;(NETWORKDAYS(TODAY(),$AB748,Holidays)-1)&amp;" business day(s) left).")))))</f>
        <v/>
      </c>
      <c r="W748" s="17">
        <f>IF($Z748="","",CHOOSE($Z748,"Collection Email","1st Follow-up","2nd Follow-up","Local Office","CBE","Roxanne")&amp;IF($Z748=6," - Final"," - Day "&amp;MAX(0,NETWORKDAYS($AA748,TODAY(),Holidays)-1)&amp;" of "&amp;CHOOSE($Z748,3,3,2,2,3))&amp;" | Total Day "&amp;MAX(0,NETWORKDAYS($N748,TODAY(),Holidays)-1))</f>
        <v/>
      </c>
      <c r="X748" s="18"/>
      <c r="Y748" s="18"/>
      <c r="Z748" s="17">
        <f>IF($N748="","",COUNT($N748:$S748))</f>
        <v/>
      </c>
      <c r="AA748" s="19">
        <f>IF($Z748="","",INT(INDEX($N748:$S748,$Z748)))</f>
        <v/>
      </c>
      <c r="AB748" s="19">
        <f>IF(OR($Z748="",$Z748=6),"",WORKDAY($AA748,CHOOSE($Z748,3,3,2,2,3),Holidays))</f>
        <v/>
      </c>
      <c r="AC748" s="17">
        <f>IF(OR($Z748="",$Z748=6),"",CHOOSE($Z748,"1st Email Follow-up","2nd Email Follow-up","Escalate Local Office","Escalate to CBE","Escalate to Roxanne"))</f>
        <v/>
      </c>
    </row>
    <row r="749" spans="13:29">
      <c r="M749" s="14"/>
      <c r="T749" s="16"/>
      <c r="U749" s="17">
        <f>IF(AND(COUNTA($A749:$L749)=0,$N749=""),"",IF($T749="Paid","PAID",IF($T749="Closed","CLOSED",IF($Z749="","",IF($Z749=6,"ESCALATED TO ROXANNE",IF(TODAY()&gt;$AB749,"OVERDUE",IF($AB749&lt;=WORKDAY(TODAY(),1,Holidays),"DUE TOMORROW",IF($Z749=4,"ESCALATED TO LOCAL OFFICE",IF($Z749=5,"ESCALATED TO CBE",IF($AA749=TODAY(),"EMAIL SENT","MONITORING"))))))))))</f>
        <v/>
      </c>
      <c r="V749" s="17">
        <f>IF($U749="",IF(AND(COUNTA($A749:$L749)&gt;0,$N749=""),"Awaiting Collection Email time stamp.",""),IF(OR($U749="PAID",$U749="CLOSED"),IF($U749="PAID","Account paid. Action completed.","Account closed. No further action required."),CHOOSE($Z749,"Collection Email","1st Email Follow-up","2nd Email Follow-up","Escalation to Local Office","Escalation to CBE","Escalation to Roxanne")&amp;" sent "&amp;TEXT($AA749,"dd-mmm")&amp;". "&amp;IF($Z749=6,"Final escalation completed.",IF($U749="OVERDUE","Next: "&amp;$AC749&amp;" was due "&amp;TEXT($AB749,"dd-mmm")&amp;" - "&amp;(NETWORKDAYS($AB749,TODAY(),Holidays)-1)&amp;" business day(s) late. Send now.",IF($U749="DUE TOMORROW","Next: "&amp;$AC749&amp;IF($AB749&lt;=TODAY()," is due TODAY ("," is due next business day (")&amp;TEXT($AB749,"dd-mmm")&amp;").","Next: "&amp;$AC749&amp;" due "&amp;TEXT($AB749,"dd-mmm")&amp;" ("&amp;(NETWORKDAYS(TODAY(),$AB749,Holidays)-1)&amp;" business day(s) left).")))))</f>
        <v/>
      </c>
      <c r="W749" s="17">
        <f>IF($Z749="","",CHOOSE($Z749,"Collection Email","1st Follow-up","2nd Follow-up","Local Office","CBE","Roxanne")&amp;IF($Z749=6," - Final"," - Day "&amp;MAX(0,NETWORKDAYS($AA749,TODAY(),Holidays)-1)&amp;" of "&amp;CHOOSE($Z749,3,3,2,2,3))&amp;" | Total Day "&amp;MAX(0,NETWORKDAYS($N749,TODAY(),Holidays)-1))</f>
        <v/>
      </c>
      <c r="X749" s="18"/>
      <c r="Y749" s="18"/>
      <c r="Z749" s="17">
        <f>IF($N749="","",COUNT($N749:$S749))</f>
        <v/>
      </c>
      <c r="AA749" s="19">
        <f>IF($Z749="","",INT(INDEX($N749:$S749,$Z749)))</f>
        <v/>
      </c>
      <c r="AB749" s="19">
        <f>IF(OR($Z749="",$Z749=6),"",WORKDAY($AA749,CHOOSE($Z749,3,3,2,2,3),Holidays))</f>
        <v/>
      </c>
      <c r="AC749" s="17">
        <f>IF(OR($Z749="",$Z749=6),"",CHOOSE($Z749,"1st Email Follow-up","2nd Email Follow-up","Escalate Local Office","Escalate to CBE","Escalate to Roxanne"))</f>
        <v/>
      </c>
    </row>
    <row r="750" spans="13:29">
      <c r="M750" s="14"/>
      <c r="T750" s="16"/>
      <c r="U750" s="17">
        <f>IF(AND(COUNTA($A750:$L750)=0,$N750=""),"",IF($T750="Paid","PAID",IF($T750="Closed","CLOSED",IF($Z750="","",IF($Z750=6,"ESCALATED TO ROXANNE",IF(TODAY()&gt;$AB750,"OVERDUE",IF($AB750&lt;=WORKDAY(TODAY(),1,Holidays),"DUE TOMORROW",IF($Z750=4,"ESCALATED TO LOCAL OFFICE",IF($Z750=5,"ESCALATED TO CBE",IF($AA750=TODAY(),"EMAIL SENT","MONITORING"))))))))))</f>
        <v/>
      </c>
      <c r="V750" s="17">
        <f>IF($U750="",IF(AND(COUNTA($A750:$L750)&gt;0,$N750=""),"Awaiting Collection Email time stamp.",""),IF(OR($U750="PAID",$U750="CLOSED"),IF($U750="PAID","Account paid. Action completed.","Account closed. No further action required."),CHOOSE($Z750,"Collection Email","1st Email Follow-up","2nd Email Follow-up","Escalation to Local Office","Escalation to CBE","Escalation to Roxanne")&amp;" sent "&amp;TEXT($AA750,"dd-mmm")&amp;". "&amp;IF($Z750=6,"Final escalation completed.",IF($U750="OVERDUE","Next: "&amp;$AC750&amp;" was due "&amp;TEXT($AB750,"dd-mmm")&amp;" - "&amp;(NETWORKDAYS($AB750,TODAY(),Holidays)-1)&amp;" business day(s) late. Send now.",IF($U750="DUE TOMORROW","Next: "&amp;$AC750&amp;IF($AB750&lt;=TODAY()," is due TODAY ("," is due next business day (")&amp;TEXT($AB750,"dd-mmm")&amp;").","Next: "&amp;$AC750&amp;" due "&amp;TEXT($AB750,"dd-mmm")&amp;" ("&amp;(NETWORKDAYS(TODAY(),$AB750,Holidays)-1)&amp;" business day(s) left).")))))</f>
        <v/>
      </c>
      <c r="W750" s="17">
        <f>IF($Z750="","",CHOOSE($Z750,"Collection Email","1st Follow-up","2nd Follow-up","Local Office","CBE","Roxanne")&amp;IF($Z750=6," - Final"," - Day "&amp;MAX(0,NETWORKDAYS($AA750,TODAY(),Holidays)-1)&amp;" of "&amp;CHOOSE($Z750,3,3,2,2,3))&amp;" | Total Day "&amp;MAX(0,NETWORKDAYS($N750,TODAY(),Holidays)-1))</f>
        <v/>
      </c>
      <c r="X750" s="18"/>
      <c r="Y750" s="18"/>
      <c r="Z750" s="17">
        <f>IF($N750="","",COUNT($N750:$S750))</f>
        <v/>
      </c>
      <c r="AA750" s="19">
        <f>IF($Z750="","",INT(INDEX($N750:$S750,$Z750)))</f>
        <v/>
      </c>
      <c r="AB750" s="19">
        <f>IF(OR($Z750="",$Z750=6),"",WORKDAY($AA750,CHOOSE($Z750,3,3,2,2,3),Holidays))</f>
        <v/>
      </c>
      <c r="AC750" s="17">
        <f>IF(OR($Z750="",$Z750=6),"",CHOOSE($Z750,"1st Email Follow-up","2nd Email Follow-up","Escalate Local Office","Escalate to CBE","Escalate to Roxanne"))</f>
        <v/>
      </c>
    </row>
    <row r="751" spans="13:29">
      <c r="M751" s="14"/>
      <c r="T751" s="16"/>
      <c r="U751" s="17">
        <f>IF(AND(COUNTA($A751:$L751)=0,$N751=""),"",IF($T751="Paid","PAID",IF($T751="Closed","CLOSED",IF($Z751="","",IF($Z751=6,"ESCALATED TO ROXANNE",IF(TODAY()&gt;$AB751,"OVERDUE",IF($AB751&lt;=WORKDAY(TODAY(),1,Holidays),"DUE TOMORROW",IF($Z751=4,"ESCALATED TO LOCAL OFFICE",IF($Z751=5,"ESCALATED TO CBE",IF($AA751=TODAY(),"EMAIL SENT","MONITORING"))))))))))</f>
        <v/>
      </c>
      <c r="V751" s="17">
        <f>IF($U751="",IF(AND(COUNTA($A751:$L751)&gt;0,$N751=""),"Awaiting Collection Email time stamp.",""),IF(OR($U751="PAID",$U751="CLOSED"),IF($U751="PAID","Account paid. Action completed.","Account closed. No further action required."),CHOOSE($Z751,"Collection Email","1st Email Follow-up","2nd Email Follow-up","Escalation to Local Office","Escalation to CBE","Escalation to Roxanne")&amp;" sent "&amp;TEXT($AA751,"dd-mmm")&amp;". "&amp;IF($Z751=6,"Final escalation completed.",IF($U751="OVERDUE","Next: "&amp;$AC751&amp;" was due "&amp;TEXT($AB751,"dd-mmm")&amp;" - "&amp;(NETWORKDAYS($AB751,TODAY(),Holidays)-1)&amp;" business day(s) late. Send now.",IF($U751="DUE TOMORROW","Next: "&amp;$AC751&amp;IF($AB751&lt;=TODAY()," is due TODAY ("," is due next business day (")&amp;TEXT($AB751,"dd-mmm")&amp;").","Next: "&amp;$AC751&amp;" due "&amp;TEXT($AB751,"dd-mmm")&amp;" ("&amp;(NETWORKDAYS(TODAY(),$AB751,Holidays)-1)&amp;" business day(s) left).")))))</f>
        <v/>
      </c>
      <c r="W751" s="17">
        <f>IF($Z751="","",CHOOSE($Z751,"Collection Email","1st Follow-up","2nd Follow-up","Local Office","CBE","Roxanne")&amp;IF($Z751=6," - Final"," - Day "&amp;MAX(0,NETWORKDAYS($AA751,TODAY(),Holidays)-1)&amp;" of "&amp;CHOOSE($Z751,3,3,2,2,3))&amp;" | Total Day "&amp;MAX(0,NETWORKDAYS($N751,TODAY(),Holidays)-1))</f>
        <v/>
      </c>
      <c r="X751" s="18"/>
      <c r="Y751" s="18"/>
      <c r="Z751" s="17">
        <f>IF($N751="","",COUNT($N751:$S751))</f>
        <v/>
      </c>
      <c r="AA751" s="19">
        <f>IF($Z751="","",INT(INDEX($N751:$S751,$Z751)))</f>
        <v/>
      </c>
      <c r="AB751" s="19">
        <f>IF(OR($Z751="",$Z751=6),"",WORKDAY($AA751,CHOOSE($Z751,3,3,2,2,3),Holidays))</f>
        <v/>
      </c>
      <c r="AC751" s="17">
        <f>IF(OR($Z751="",$Z751=6),"",CHOOSE($Z751,"1st Email Follow-up","2nd Email Follow-up","Escalate Local Office","Escalate to CBE","Escalate to Roxanne"))</f>
        <v/>
      </c>
    </row>
    <row r="752" spans="13:29">
      <c r="M752" s="14"/>
      <c r="T752" s="16"/>
      <c r="U752" s="17">
        <f>IF(AND(COUNTA($A752:$L752)=0,$N752=""),"",IF($T752="Paid","PAID",IF($T752="Closed","CLOSED",IF($Z752="","",IF($Z752=6,"ESCALATED TO ROXANNE",IF(TODAY()&gt;$AB752,"OVERDUE",IF($AB752&lt;=WORKDAY(TODAY(),1,Holidays),"DUE TOMORROW",IF($Z752=4,"ESCALATED TO LOCAL OFFICE",IF($Z752=5,"ESCALATED TO CBE",IF($AA752=TODAY(),"EMAIL SENT","MONITORING"))))))))))</f>
        <v/>
      </c>
      <c r="V752" s="17">
        <f>IF($U752="",IF(AND(COUNTA($A752:$L752)&gt;0,$N752=""),"Awaiting Collection Email time stamp.",""),IF(OR($U752="PAID",$U752="CLOSED"),IF($U752="PAID","Account paid. Action completed.","Account closed. No further action required."),CHOOSE($Z752,"Collection Email","1st Email Follow-up","2nd Email Follow-up","Escalation to Local Office","Escalation to CBE","Escalation to Roxanne")&amp;" sent "&amp;TEXT($AA752,"dd-mmm")&amp;". "&amp;IF($Z752=6,"Final escalation completed.",IF($U752="OVERDUE","Next: "&amp;$AC752&amp;" was due "&amp;TEXT($AB752,"dd-mmm")&amp;" - "&amp;(NETWORKDAYS($AB752,TODAY(),Holidays)-1)&amp;" business day(s) late. Send now.",IF($U752="DUE TOMORROW","Next: "&amp;$AC752&amp;IF($AB752&lt;=TODAY()," is due TODAY ("," is due next business day (")&amp;TEXT($AB752,"dd-mmm")&amp;").","Next: "&amp;$AC752&amp;" due "&amp;TEXT($AB752,"dd-mmm")&amp;" ("&amp;(NETWORKDAYS(TODAY(),$AB752,Holidays)-1)&amp;" business day(s) left).")))))</f>
        <v/>
      </c>
      <c r="W752" s="17">
        <f>IF($Z752="","",CHOOSE($Z752,"Collection Email","1st Follow-up","2nd Follow-up","Local Office","CBE","Roxanne")&amp;IF($Z752=6," - Final"," - Day "&amp;MAX(0,NETWORKDAYS($AA752,TODAY(),Holidays)-1)&amp;" of "&amp;CHOOSE($Z752,3,3,2,2,3))&amp;" | Total Day "&amp;MAX(0,NETWORKDAYS($N752,TODAY(),Holidays)-1))</f>
        <v/>
      </c>
      <c r="X752" s="18"/>
      <c r="Y752" s="18"/>
      <c r="Z752" s="17">
        <f>IF($N752="","",COUNT($N752:$S752))</f>
        <v/>
      </c>
      <c r="AA752" s="19">
        <f>IF($Z752="","",INT(INDEX($N752:$S752,$Z752)))</f>
        <v/>
      </c>
      <c r="AB752" s="19">
        <f>IF(OR($Z752="",$Z752=6),"",WORKDAY($AA752,CHOOSE($Z752,3,3,2,2,3),Holidays))</f>
        <v/>
      </c>
      <c r="AC752" s="17">
        <f>IF(OR($Z752="",$Z752=6),"",CHOOSE($Z752,"1st Email Follow-up","2nd Email Follow-up","Escalate Local Office","Escalate to CBE","Escalate to Roxanne"))</f>
        <v/>
      </c>
    </row>
    <row r="753" spans="13:29">
      <c r="M753" s="14"/>
      <c r="T753" s="16"/>
      <c r="U753" s="17">
        <f>IF(AND(COUNTA($A753:$L753)=0,$N753=""),"",IF($T753="Paid","PAID",IF($T753="Closed","CLOSED",IF($Z753="","",IF($Z753=6,"ESCALATED TO ROXANNE",IF(TODAY()&gt;$AB753,"OVERDUE",IF($AB753&lt;=WORKDAY(TODAY(),1,Holidays),"DUE TOMORROW",IF($Z753=4,"ESCALATED TO LOCAL OFFICE",IF($Z753=5,"ESCALATED TO CBE",IF($AA753=TODAY(),"EMAIL SENT","MONITORING"))))))))))</f>
        <v/>
      </c>
      <c r="V753" s="17">
        <f>IF($U753="",IF(AND(COUNTA($A753:$L753)&gt;0,$N753=""),"Awaiting Collection Email time stamp.",""),IF(OR($U753="PAID",$U753="CLOSED"),IF($U753="PAID","Account paid. Action completed.","Account closed. No further action required."),CHOOSE($Z753,"Collection Email","1st Email Follow-up","2nd Email Follow-up","Escalation to Local Office","Escalation to CBE","Escalation to Roxanne")&amp;" sent "&amp;TEXT($AA753,"dd-mmm")&amp;". "&amp;IF($Z753=6,"Final escalation completed.",IF($U753="OVERDUE","Next: "&amp;$AC753&amp;" was due "&amp;TEXT($AB753,"dd-mmm")&amp;" - "&amp;(NETWORKDAYS($AB753,TODAY(),Holidays)-1)&amp;" business day(s) late. Send now.",IF($U753="DUE TOMORROW","Next: "&amp;$AC753&amp;IF($AB753&lt;=TODAY()," is due TODAY ("," is due next business day (")&amp;TEXT($AB753,"dd-mmm")&amp;").","Next: "&amp;$AC753&amp;" due "&amp;TEXT($AB753,"dd-mmm")&amp;" ("&amp;(NETWORKDAYS(TODAY(),$AB753,Holidays)-1)&amp;" business day(s) left).")))))</f>
        <v/>
      </c>
      <c r="W753" s="17">
        <f>IF($Z753="","",CHOOSE($Z753,"Collection Email","1st Follow-up","2nd Follow-up","Local Office","CBE","Roxanne")&amp;IF($Z753=6," - Final"," - Day "&amp;MAX(0,NETWORKDAYS($AA753,TODAY(),Holidays)-1)&amp;" of "&amp;CHOOSE($Z753,3,3,2,2,3))&amp;" | Total Day "&amp;MAX(0,NETWORKDAYS($N753,TODAY(),Holidays)-1))</f>
        <v/>
      </c>
      <c r="X753" s="18"/>
      <c r="Y753" s="18"/>
      <c r="Z753" s="17">
        <f>IF($N753="","",COUNT($N753:$S753))</f>
        <v/>
      </c>
      <c r="AA753" s="19">
        <f>IF($Z753="","",INT(INDEX($N753:$S753,$Z753)))</f>
        <v/>
      </c>
      <c r="AB753" s="19">
        <f>IF(OR($Z753="",$Z753=6),"",WORKDAY($AA753,CHOOSE($Z753,3,3,2,2,3),Holidays))</f>
        <v/>
      </c>
      <c r="AC753" s="17">
        <f>IF(OR($Z753="",$Z753=6),"",CHOOSE($Z753,"1st Email Follow-up","2nd Email Follow-up","Escalate Local Office","Escalate to CBE","Escalate to Roxanne"))</f>
        <v/>
      </c>
    </row>
    <row r="754" spans="13:29">
      <c r="M754" s="14"/>
      <c r="T754" s="16"/>
      <c r="U754" s="17">
        <f>IF(AND(COUNTA($A754:$L754)=0,$N754=""),"",IF($T754="Paid","PAID",IF($T754="Closed","CLOSED",IF($Z754="","",IF($Z754=6,"ESCALATED TO ROXANNE",IF(TODAY()&gt;$AB754,"OVERDUE",IF($AB754&lt;=WORKDAY(TODAY(),1,Holidays),"DUE TOMORROW",IF($Z754=4,"ESCALATED TO LOCAL OFFICE",IF($Z754=5,"ESCALATED TO CBE",IF($AA754=TODAY(),"EMAIL SENT","MONITORING"))))))))))</f>
        <v/>
      </c>
      <c r="V754" s="17">
        <f>IF($U754="",IF(AND(COUNTA($A754:$L754)&gt;0,$N754=""),"Awaiting Collection Email time stamp.",""),IF(OR($U754="PAID",$U754="CLOSED"),IF($U754="PAID","Account paid. Action completed.","Account closed. No further action required."),CHOOSE($Z754,"Collection Email","1st Email Follow-up","2nd Email Follow-up","Escalation to Local Office","Escalation to CBE","Escalation to Roxanne")&amp;" sent "&amp;TEXT($AA754,"dd-mmm")&amp;". "&amp;IF($Z754=6,"Final escalation completed.",IF($U754="OVERDUE","Next: "&amp;$AC754&amp;" was due "&amp;TEXT($AB754,"dd-mmm")&amp;" - "&amp;(NETWORKDAYS($AB754,TODAY(),Holidays)-1)&amp;" business day(s) late. Send now.",IF($U754="DUE TOMORROW","Next: "&amp;$AC754&amp;IF($AB754&lt;=TODAY()," is due TODAY ("," is due next business day (")&amp;TEXT($AB754,"dd-mmm")&amp;").","Next: "&amp;$AC754&amp;" due "&amp;TEXT($AB754,"dd-mmm")&amp;" ("&amp;(NETWORKDAYS(TODAY(),$AB754,Holidays)-1)&amp;" business day(s) left).")))))</f>
        <v/>
      </c>
      <c r="W754" s="17">
        <f>IF($Z754="","",CHOOSE($Z754,"Collection Email","1st Follow-up","2nd Follow-up","Local Office","CBE","Roxanne")&amp;IF($Z754=6," - Final"," - Day "&amp;MAX(0,NETWORKDAYS($AA754,TODAY(),Holidays)-1)&amp;" of "&amp;CHOOSE($Z754,3,3,2,2,3))&amp;" | Total Day "&amp;MAX(0,NETWORKDAYS($N754,TODAY(),Holidays)-1))</f>
        <v/>
      </c>
      <c r="X754" s="18"/>
      <c r="Y754" s="18"/>
      <c r="Z754" s="17">
        <f>IF($N754="","",COUNT($N754:$S754))</f>
        <v/>
      </c>
      <c r="AA754" s="19">
        <f>IF($Z754="","",INT(INDEX($N754:$S754,$Z754)))</f>
        <v/>
      </c>
      <c r="AB754" s="19">
        <f>IF(OR($Z754="",$Z754=6),"",WORKDAY($AA754,CHOOSE($Z754,3,3,2,2,3),Holidays))</f>
        <v/>
      </c>
      <c r="AC754" s="17">
        <f>IF(OR($Z754="",$Z754=6),"",CHOOSE($Z754,"1st Email Follow-up","2nd Email Follow-up","Escalate Local Office","Escalate to CBE","Escalate to Roxanne"))</f>
        <v/>
      </c>
    </row>
    <row r="755" spans="13:29">
      <c r="M755" s="14"/>
      <c r="T755" s="16"/>
      <c r="U755" s="17">
        <f>IF(AND(COUNTA($A755:$L755)=0,$N755=""),"",IF($T755="Paid","PAID",IF($T755="Closed","CLOSED",IF($Z755="","",IF($Z755=6,"ESCALATED TO ROXANNE",IF(TODAY()&gt;$AB755,"OVERDUE",IF($AB755&lt;=WORKDAY(TODAY(),1,Holidays),"DUE TOMORROW",IF($Z755=4,"ESCALATED TO LOCAL OFFICE",IF($Z755=5,"ESCALATED TO CBE",IF($AA755=TODAY(),"EMAIL SENT","MONITORING"))))))))))</f>
        <v/>
      </c>
      <c r="V755" s="17">
        <f>IF($U755="",IF(AND(COUNTA($A755:$L755)&gt;0,$N755=""),"Awaiting Collection Email time stamp.",""),IF(OR($U755="PAID",$U755="CLOSED"),IF($U755="PAID","Account paid. Action completed.","Account closed. No further action required."),CHOOSE($Z755,"Collection Email","1st Email Follow-up","2nd Email Follow-up","Escalation to Local Office","Escalation to CBE","Escalation to Roxanne")&amp;" sent "&amp;TEXT($AA755,"dd-mmm")&amp;". "&amp;IF($Z755=6,"Final escalation completed.",IF($U755="OVERDUE","Next: "&amp;$AC755&amp;" was due "&amp;TEXT($AB755,"dd-mmm")&amp;" - "&amp;(NETWORKDAYS($AB755,TODAY(),Holidays)-1)&amp;" business day(s) late. Send now.",IF($U755="DUE TOMORROW","Next: "&amp;$AC755&amp;IF($AB755&lt;=TODAY()," is due TODAY ("," is due next business day (")&amp;TEXT($AB755,"dd-mmm")&amp;").","Next: "&amp;$AC755&amp;" due "&amp;TEXT($AB755,"dd-mmm")&amp;" ("&amp;(NETWORKDAYS(TODAY(),$AB755,Holidays)-1)&amp;" business day(s) left).")))))</f>
        <v/>
      </c>
      <c r="W755" s="17">
        <f>IF($Z755="","",CHOOSE($Z755,"Collection Email","1st Follow-up","2nd Follow-up","Local Office","CBE","Roxanne")&amp;IF($Z755=6," - Final"," - Day "&amp;MAX(0,NETWORKDAYS($AA755,TODAY(),Holidays)-1)&amp;" of "&amp;CHOOSE($Z755,3,3,2,2,3))&amp;" | Total Day "&amp;MAX(0,NETWORKDAYS($N755,TODAY(),Holidays)-1))</f>
        <v/>
      </c>
      <c r="X755" s="18"/>
      <c r="Y755" s="18"/>
      <c r="Z755" s="17">
        <f>IF($N755="","",COUNT($N755:$S755))</f>
        <v/>
      </c>
      <c r="AA755" s="19">
        <f>IF($Z755="","",INT(INDEX($N755:$S755,$Z755)))</f>
        <v/>
      </c>
      <c r="AB755" s="19">
        <f>IF(OR($Z755="",$Z755=6),"",WORKDAY($AA755,CHOOSE($Z755,3,3,2,2,3),Holidays))</f>
        <v/>
      </c>
      <c r="AC755" s="17">
        <f>IF(OR($Z755="",$Z755=6),"",CHOOSE($Z755,"1st Email Follow-up","2nd Email Follow-up","Escalate Local Office","Escalate to CBE","Escalate to Roxanne"))</f>
        <v/>
      </c>
    </row>
    <row r="756" spans="13:29">
      <c r="M756" s="14"/>
      <c r="T756" s="16"/>
      <c r="U756" s="17">
        <f>IF(AND(COUNTA($A756:$L756)=0,$N756=""),"",IF($T756="Paid","PAID",IF($T756="Closed","CLOSED",IF($Z756="","",IF($Z756=6,"ESCALATED TO ROXANNE",IF(TODAY()&gt;$AB756,"OVERDUE",IF($AB756&lt;=WORKDAY(TODAY(),1,Holidays),"DUE TOMORROW",IF($Z756=4,"ESCALATED TO LOCAL OFFICE",IF($Z756=5,"ESCALATED TO CBE",IF($AA756=TODAY(),"EMAIL SENT","MONITORING"))))))))))</f>
        <v/>
      </c>
      <c r="V756" s="17">
        <f>IF($U756="",IF(AND(COUNTA($A756:$L756)&gt;0,$N756=""),"Awaiting Collection Email time stamp.",""),IF(OR($U756="PAID",$U756="CLOSED"),IF($U756="PAID","Account paid. Action completed.","Account closed. No further action required."),CHOOSE($Z756,"Collection Email","1st Email Follow-up","2nd Email Follow-up","Escalation to Local Office","Escalation to CBE","Escalation to Roxanne")&amp;" sent "&amp;TEXT($AA756,"dd-mmm")&amp;". "&amp;IF($Z756=6,"Final escalation completed.",IF($U756="OVERDUE","Next: "&amp;$AC756&amp;" was due "&amp;TEXT($AB756,"dd-mmm")&amp;" - "&amp;(NETWORKDAYS($AB756,TODAY(),Holidays)-1)&amp;" business day(s) late. Send now.",IF($U756="DUE TOMORROW","Next: "&amp;$AC756&amp;IF($AB756&lt;=TODAY()," is due TODAY ("," is due next business day (")&amp;TEXT($AB756,"dd-mmm")&amp;").","Next: "&amp;$AC756&amp;" due "&amp;TEXT($AB756,"dd-mmm")&amp;" ("&amp;(NETWORKDAYS(TODAY(),$AB756,Holidays)-1)&amp;" business day(s) left).")))))</f>
        <v/>
      </c>
      <c r="W756" s="17">
        <f>IF($Z756="","",CHOOSE($Z756,"Collection Email","1st Follow-up","2nd Follow-up","Local Office","CBE","Roxanne")&amp;IF($Z756=6," - Final"," - Day "&amp;MAX(0,NETWORKDAYS($AA756,TODAY(),Holidays)-1)&amp;" of "&amp;CHOOSE($Z756,3,3,2,2,3))&amp;" | Total Day "&amp;MAX(0,NETWORKDAYS($N756,TODAY(),Holidays)-1))</f>
        <v/>
      </c>
      <c r="X756" s="18"/>
      <c r="Y756" s="18"/>
      <c r="Z756" s="17">
        <f>IF($N756="","",COUNT($N756:$S756))</f>
        <v/>
      </c>
      <c r="AA756" s="19">
        <f>IF($Z756="","",INT(INDEX($N756:$S756,$Z756)))</f>
        <v/>
      </c>
      <c r="AB756" s="19">
        <f>IF(OR($Z756="",$Z756=6),"",WORKDAY($AA756,CHOOSE($Z756,3,3,2,2,3),Holidays))</f>
        <v/>
      </c>
      <c r="AC756" s="17">
        <f>IF(OR($Z756="",$Z756=6),"",CHOOSE($Z756,"1st Email Follow-up","2nd Email Follow-up","Escalate Local Office","Escalate to CBE","Escalate to Roxanne"))</f>
        <v/>
      </c>
    </row>
    <row r="757" spans="13:29">
      <c r="M757" s="14"/>
      <c r="T757" s="16"/>
      <c r="U757" s="17">
        <f>IF(AND(COUNTA($A757:$L757)=0,$N757=""),"",IF($T757="Paid","PAID",IF($T757="Closed","CLOSED",IF($Z757="","",IF($Z757=6,"ESCALATED TO ROXANNE",IF(TODAY()&gt;$AB757,"OVERDUE",IF($AB757&lt;=WORKDAY(TODAY(),1,Holidays),"DUE TOMORROW",IF($Z757=4,"ESCALATED TO LOCAL OFFICE",IF($Z757=5,"ESCALATED TO CBE",IF($AA757=TODAY(),"EMAIL SENT","MONITORING"))))))))))</f>
        <v/>
      </c>
      <c r="V757" s="17">
        <f>IF($U757="",IF(AND(COUNTA($A757:$L757)&gt;0,$N757=""),"Awaiting Collection Email time stamp.",""),IF(OR($U757="PAID",$U757="CLOSED"),IF($U757="PAID","Account paid. Action completed.","Account closed. No further action required."),CHOOSE($Z757,"Collection Email","1st Email Follow-up","2nd Email Follow-up","Escalation to Local Office","Escalation to CBE","Escalation to Roxanne")&amp;" sent "&amp;TEXT($AA757,"dd-mmm")&amp;". "&amp;IF($Z757=6,"Final escalation completed.",IF($U757="OVERDUE","Next: "&amp;$AC757&amp;" was due "&amp;TEXT($AB757,"dd-mmm")&amp;" - "&amp;(NETWORKDAYS($AB757,TODAY(),Holidays)-1)&amp;" business day(s) late. Send now.",IF($U757="DUE TOMORROW","Next: "&amp;$AC757&amp;IF($AB757&lt;=TODAY()," is due TODAY ("," is due next business day (")&amp;TEXT($AB757,"dd-mmm")&amp;").","Next: "&amp;$AC757&amp;" due "&amp;TEXT($AB757,"dd-mmm")&amp;" ("&amp;(NETWORKDAYS(TODAY(),$AB757,Holidays)-1)&amp;" business day(s) left).")))))</f>
        <v/>
      </c>
      <c r="W757" s="17">
        <f>IF($Z757="","",CHOOSE($Z757,"Collection Email","1st Follow-up","2nd Follow-up","Local Office","CBE","Roxanne")&amp;IF($Z757=6," - Final"," - Day "&amp;MAX(0,NETWORKDAYS($AA757,TODAY(),Holidays)-1)&amp;" of "&amp;CHOOSE($Z757,3,3,2,2,3))&amp;" | Total Day "&amp;MAX(0,NETWORKDAYS($N757,TODAY(),Holidays)-1))</f>
        <v/>
      </c>
      <c r="X757" s="18"/>
      <c r="Y757" s="18"/>
      <c r="Z757" s="17">
        <f>IF($N757="","",COUNT($N757:$S757))</f>
        <v/>
      </c>
      <c r="AA757" s="19">
        <f>IF($Z757="","",INT(INDEX($N757:$S757,$Z757)))</f>
        <v/>
      </c>
      <c r="AB757" s="19">
        <f>IF(OR($Z757="",$Z757=6),"",WORKDAY($AA757,CHOOSE($Z757,3,3,2,2,3),Holidays))</f>
        <v/>
      </c>
      <c r="AC757" s="17">
        <f>IF(OR($Z757="",$Z757=6),"",CHOOSE($Z757,"1st Email Follow-up","2nd Email Follow-up","Escalate Local Office","Escalate to CBE","Escalate to Roxanne"))</f>
        <v/>
      </c>
    </row>
    <row r="758" spans="13:29">
      <c r="M758" s="14"/>
      <c r="T758" s="16"/>
      <c r="U758" s="17">
        <f>IF(AND(COUNTA($A758:$L758)=0,$N758=""),"",IF($T758="Paid","PAID",IF($T758="Closed","CLOSED",IF($Z758="","",IF($Z758=6,"ESCALATED TO ROXANNE",IF(TODAY()&gt;$AB758,"OVERDUE",IF($AB758&lt;=WORKDAY(TODAY(),1,Holidays),"DUE TOMORROW",IF($Z758=4,"ESCALATED TO LOCAL OFFICE",IF($Z758=5,"ESCALATED TO CBE",IF($AA758=TODAY(),"EMAIL SENT","MONITORING"))))))))))</f>
        <v/>
      </c>
      <c r="V758" s="17">
        <f>IF($U758="",IF(AND(COUNTA($A758:$L758)&gt;0,$N758=""),"Awaiting Collection Email time stamp.",""),IF(OR($U758="PAID",$U758="CLOSED"),IF($U758="PAID","Account paid. Action completed.","Account closed. No further action required."),CHOOSE($Z758,"Collection Email","1st Email Follow-up","2nd Email Follow-up","Escalation to Local Office","Escalation to CBE","Escalation to Roxanne")&amp;" sent "&amp;TEXT($AA758,"dd-mmm")&amp;". "&amp;IF($Z758=6,"Final escalation completed.",IF($U758="OVERDUE","Next: "&amp;$AC758&amp;" was due "&amp;TEXT($AB758,"dd-mmm")&amp;" - "&amp;(NETWORKDAYS($AB758,TODAY(),Holidays)-1)&amp;" business day(s) late. Send now.",IF($U758="DUE TOMORROW","Next: "&amp;$AC758&amp;IF($AB758&lt;=TODAY()," is due TODAY ("," is due next business day (")&amp;TEXT($AB758,"dd-mmm")&amp;").","Next: "&amp;$AC758&amp;" due "&amp;TEXT($AB758,"dd-mmm")&amp;" ("&amp;(NETWORKDAYS(TODAY(),$AB758,Holidays)-1)&amp;" business day(s) left).")))))</f>
        <v/>
      </c>
      <c r="W758" s="17">
        <f>IF($Z758="","",CHOOSE($Z758,"Collection Email","1st Follow-up","2nd Follow-up","Local Office","CBE","Roxanne")&amp;IF($Z758=6," - Final"," - Day "&amp;MAX(0,NETWORKDAYS($AA758,TODAY(),Holidays)-1)&amp;" of "&amp;CHOOSE($Z758,3,3,2,2,3))&amp;" | Total Day "&amp;MAX(0,NETWORKDAYS($N758,TODAY(),Holidays)-1))</f>
        <v/>
      </c>
      <c r="X758" s="18"/>
      <c r="Y758" s="18"/>
      <c r="Z758" s="17">
        <f>IF($N758="","",COUNT($N758:$S758))</f>
        <v/>
      </c>
      <c r="AA758" s="19">
        <f>IF($Z758="","",INT(INDEX($N758:$S758,$Z758)))</f>
        <v/>
      </c>
      <c r="AB758" s="19">
        <f>IF(OR($Z758="",$Z758=6),"",WORKDAY($AA758,CHOOSE($Z758,3,3,2,2,3),Holidays))</f>
        <v/>
      </c>
      <c r="AC758" s="17">
        <f>IF(OR($Z758="",$Z758=6),"",CHOOSE($Z758,"1st Email Follow-up","2nd Email Follow-up","Escalate Local Office","Escalate to CBE","Escalate to Roxanne"))</f>
        <v/>
      </c>
    </row>
    <row r="759" spans="13:29">
      <c r="M759" s="14"/>
      <c r="T759" s="16"/>
      <c r="U759" s="17">
        <f>IF(AND(COUNTA($A759:$L759)=0,$N759=""),"",IF($T759="Paid","PAID",IF($T759="Closed","CLOSED",IF($Z759="","",IF($Z759=6,"ESCALATED TO ROXANNE",IF(TODAY()&gt;$AB759,"OVERDUE",IF($AB759&lt;=WORKDAY(TODAY(),1,Holidays),"DUE TOMORROW",IF($Z759=4,"ESCALATED TO LOCAL OFFICE",IF($Z759=5,"ESCALATED TO CBE",IF($AA759=TODAY(),"EMAIL SENT","MONITORING"))))))))))</f>
        <v/>
      </c>
      <c r="V759" s="17">
        <f>IF($U759="",IF(AND(COUNTA($A759:$L759)&gt;0,$N759=""),"Awaiting Collection Email time stamp.",""),IF(OR($U759="PAID",$U759="CLOSED"),IF($U759="PAID","Account paid. Action completed.","Account closed. No further action required."),CHOOSE($Z759,"Collection Email","1st Email Follow-up","2nd Email Follow-up","Escalation to Local Office","Escalation to CBE","Escalation to Roxanne")&amp;" sent "&amp;TEXT($AA759,"dd-mmm")&amp;". "&amp;IF($Z759=6,"Final escalation completed.",IF($U759="OVERDUE","Next: "&amp;$AC759&amp;" was due "&amp;TEXT($AB759,"dd-mmm")&amp;" - "&amp;(NETWORKDAYS($AB759,TODAY(),Holidays)-1)&amp;" business day(s) late. Send now.",IF($U759="DUE TOMORROW","Next: "&amp;$AC759&amp;IF($AB759&lt;=TODAY()," is due TODAY ("," is due next business day (")&amp;TEXT($AB759,"dd-mmm")&amp;").","Next: "&amp;$AC759&amp;" due "&amp;TEXT($AB759,"dd-mmm")&amp;" ("&amp;(NETWORKDAYS(TODAY(),$AB759,Holidays)-1)&amp;" business day(s) left).")))))</f>
        <v/>
      </c>
      <c r="W759" s="17">
        <f>IF($Z759="","",CHOOSE($Z759,"Collection Email","1st Follow-up","2nd Follow-up","Local Office","CBE","Roxanne")&amp;IF($Z759=6," - Final"," - Day "&amp;MAX(0,NETWORKDAYS($AA759,TODAY(),Holidays)-1)&amp;" of "&amp;CHOOSE($Z759,3,3,2,2,3))&amp;" | Total Day "&amp;MAX(0,NETWORKDAYS($N759,TODAY(),Holidays)-1))</f>
        <v/>
      </c>
      <c r="X759" s="18"/>
      <c r="Y759" s="18"/>
      <c r="Z759" s="17">
        <f>IF($N759="","",COUNT($N759:$S759))</f>
        <v/>
      </c>
      <c r="AA759" s="19">
        <f>IF($Z759="","",INT(INDEX($N759:$S759,$Z759)))</f>
        <v/>
      </c>
      <c r="AB759" s="19">
        <f>IF(OR($Z759="",$Z759=6),"",WORKDAY($AA759,CHOOSE($Z759,3,3,2,2,3),Holidays))</f>
        <v/>
      </c>
      <c r="AC759" s="17">
        <f>IF(OR($Z759="",$Z759=6),"",CHOOSE($Z759,"1st Email Follow-up","2nd Email Follow-up","Escalate Local Office","Escalate to CBE","Escalate to Roxanne"))</f>
        <v/>
      </c>
    </row>
    <row r="760" spans="13:29">
      <c r="M760" s="14"/>
      <c r="T760" s="16"/>
      <c r="U760" s="17">
        <f>IF(AND(COUNTA($A760:$L760)=0,$N760=""),"",IF($T760="Paid","PAID",IF($T760="Closed","CLOSED",IF($Z760="","",IF($Z760=6,"ESCALATED TO ROXANNE",IF(TODAY()&gt;$AB760,"OVERDUE",IF($AB760&lt;=WORKDAY(TODAY(),1,Holidays),"DUE TOMORROW",IF($Z760=4,"ESCALATED TO LOCAL OFFICE",IF($Z760=5,"ESCALATED TO CBE",IF($AA760=TODAY(),"EMAIL SENT","MONITORING"))))))))))</f>
        <v/>
      </c>
      <c r="V760" s="17">
        <f>IF($U760="",IF(AND(COUNTA($A760:$L760)&gt;0,$N760=""),"Awaiting Collection Email time stamp.",""),IF(OR($U760="PAID",$U760="CLOSED"),IF($U760="PAID","Account paid. Action completed.","Account closed. No further action required."),CHOOSE($Z760,"Collection Email","1st Email Follow-up","2nd Email Follow-up","Escalation to Local Office","Escalation to CBE","Escalation to Roxanne")&amp;" sent "&amp;TEXT($AA760,"dd-mmm")&amp;". "&amp;IF($Z760=6,"Final escalation completed.",IF($U760="OVERDUE","Next: "&amp;$AC760&amp;" was due "&amp;TEXT($AB760,"dd-mmm")&amp;" - "&amp;(NETWORKDAYS($AB760,TODAY(),Holidays)-1)&amp;" business day(s) late. Send now.",IF($U760="DUE TOMORROW","Next: "&amp;$AC760&amp;IF($AB760&lt;=TODAY()," is due TODAY ("," is due next business day (")&amp;TEXT($AB760,"dd-mmm")&amp;").","Next: "&amp;$AC760&amp;" due "&amp;TEXT($AB760,"dd-mmm")&amp;" ("&amp;(NETWORKDAYS(TODAY(),$AB760,Holidays)-1)&amp;" business day(s) left).")))))</f>
        <v/>
      </c>
      <c r="W760" s="17">
        <f>IF($Z760="","",CHOOSE($Z760,"Collection Email","1st Follow-up","2nd Follow-up","Local Office","CBE","Roxanne")&amp;IF($Z760=6," - Final"," - Day "&amp;MAX(0,NETWORKDAYS($AA760,TODAY(),Holidays)-1)&amp;" of "&amp;CHOOSE($Z760,3,3,2,2,3))&amp;" | Total Day "&amp;MAX(0,NETWORKDAYS($N760,TODAY(),Holidays)-1))</f>
        <v/>
      </c>
      <c r="X760" s="18"/>
      <c r="Y760" s="18"/>
      <c r="Z760" s="17">
        <f>IF($N760="","",COUNT($N760:$S760))</f>
        <v/>
      </c>
      <c r="AA760" s="19">
        <f>IF($Z760="","",INT(INDEX($N760:$S760,$Z760)))</f>
        <v/>
      </c>
      <c r="AB760" s="19">
        <f>IF(OR($Z760="",$Z760=6),"",WORKDAY($AA760,CHOOSE($Z760,3,3,2,2,3),Holidays))</f>
        <v/>
      </c>
      <c r="AC760" s="17">
        <f>IF(OR($Z760="",$Z760=6),"",CHOOSE($Z760,"1st Email Follow-up","2nd Email Follow-up","Escalate Local Office","Escalate to CBE","Escalate to Roxanne"))</f>
        <v/>
      </c>
    </row>
    <row r="761" spans="13:29">
      <c r="M761" s="14"/>
      <c r="T761" s="16"/>
      <c r="U761" s="17">
        <f>IF(AND(COUNTA($A761:$L761)=0,$N761=""),"",IF($T761="Paid","PAID",IF($T761="Closed","CLOSED",IF($Z761="","",IF($Z761=6,"ESCALATED TO ROXANNE",IF(TODAY()&gt;$AB761,"OVERDUE",IF($AB761&lt;=WORKDAY(TODAY(),1,Holidays),"DUE TOMORROW",IF($Z761=4,"ESCALATED TO LOCAL OFFICE",IF($Z761=5,"ESCALATED TO CBE",IF($AA761=TODAY(),"EMAIL SENT","MONITORING"))))))))))</f>
        <v/>
      </c>
      <c r="V761" s="17">
        <f>IF($U761="",IF(AND(COUNTA($A761:$L761)&gt;0,$N761=""),"Awaiting Collection Email time stamp.",""),IF(OR($U761="PAID",$U761="CLOSED"),IF($U761="PAID","Account paid. Action completed.","Account closed. No further action required."),CHOOSE($Z761,"Collection Email","1st Email Follow-up","2nd Email Follow-up","Escalation to Local Office","Escalation to CBE","Escalation to Roxanne")&amp;" sent "&amp;TEXT($AA761,"dd-mmm")&amp;". "&amp;IF($Z761=6,"Final escalation completed.",IF($U761="OVERDUE","Next: "&amp;$AC761&amp;" was due "&amp;TEXT($AB761,"dd-mmm")&amp;" - "&amp;(NETWORKDAYS($AB761,TODAY(),Holidays)-1)&amp;" business day(s) late. Send now.",IF($U761="DUE TOMORROW","Next: "&amp;$AC761&amp;IF($AB761&lt;=TODAY()," is due TODAY ("," is due next business day (")&amp;TEXT($AB761,"dd-mmm")&amp;").","Next: "&amp;$AC761&amp;" due "&amp;TEXT($AB761,"dd-mmm")&amp;" ("&amp;(NETWORKDAYS(TODAY(),$AB761,Holidays)-1)&amp;" business day(s) left).")))))</f>
        <v/>
      </c>
      <c r="W761" s="17">
        <f>IF($Z761="","",CHOOSE($Z761,"Collection Email","1st Follow-up","2nd Follow-up","Local Office","CBE","Roxanne")&amp;IF($Z761=6," - Final"," - Day "&amp;MAX(0,NETWORKDAYS($AA761,TODAY(),Holidays)-1)&amp;" of "&amp;CHOOSE($Z761,3,3,2,2,3))&amp;" | Total Day "&amp;MAX(0,NETWORKDAYS($N761,TODAY(),Holidays)-1))</f>
        <v/>
      </c>
      <c r="X761" s="18"/>
      <c r="Y761" s="18"/>
      <c r="Z761" s="17">
        <f>IF($N761="","",COUNT($N761:$S761))</f>
        <v/>
      </c>
      <c r="AA761" s="19">
        <f>IF($Z761="","",INT(INDEX($N761:$S761,$Z761)))</f>
        <v/>
      </c>
      <c r="AB761" s="19">
        <f>IF(OR($Z761="",$Z761=6),"",WORKDAY($AA761,CHOOSE($Z761,3,3,2,2,3),Holidays))</f>
        <v/>
      </c>
      <c r="AC761" s="17">
        <f>IF(OR($Z761="",$Z761=6),"",CHOOSE($Z761,"1st Email Follow-up","2nd Email Follow-up","Escalate Local Office","Escalate to CBE","Escalate to Roxanne"))</f>
        <v/>
      </c>
    </row>
    <row r="762" spans="13:29">
      <c r="M762" s="14"/>
      <c r="T762" s="16"/>
      <c r="U762" s="17">
        <f>IF(AND(COUNTA($A762:$L762)=0,$N762=""),"",IF($T762="Paid","PAID",IF($T762="Closed","CLOSED",IF($Z762="","",IF($Z762=6,"ESCALATED TO ROXANNE",IF(TODAY()&gt;$AB762,"OVERDUE",IF($AB762&lt;=WORKDAY(TODAY(),1,Holidays),"DUE TOMORROW",IF($Z762=4,"ESCALATED TO LOCAL OFFICE",IF($Z762=5,"ESCALATED TO CBE",IF($AA762=TODAY(),"EMAIL SENT","MONITORING"))))))))))</f>
        <v/>
      </c>
      <c r="V762" s="17">
        <f>IF($U762="",IF(AND(COUNTA($A762:$L762)&gt;0,$N762=""),"Awaiting Collection Email time stamp.",""),IF(OR($U762="PAID",$U762="CLOSED"),IF($U762="PAID","Account paid. Action completed.","Account closed. No further action required."),CHOOSE($Z762,"Collection Email","1st Email Follow-up","2nd Email Follow-up","Escalation to Local Office","Escalation to CBE","Escalation to Roxanne")&amp;" sent "&amp;TEXT($AA762,"dd-mmm")&amp;". "&amp;IF($Z762=6,"Final escalation completed.",IF($U762="OVERDUE","Next: "&amp;$AC762&amp;" was due "&amp;TEXT($AB762,"dd-mmm")&amp;" - "&amp;(NETWORKDAYS($AB762,TODAY(),Holidays)-1)&amp;" business day(s) late. Send now.",IF($U762="DUE TOMORROW","Next: "&amp;$AC762&amp;IF($AB762&lt;=TODAY()," is due TODAY ("," is due next business day (")&amp;TEXT($AB762,"dd-mmm")&amp;").","Next: "&amp;$AC762&amp;" due "&amp;TEXT($AB762,"dd-mmm")&amp;" ("&amp;(NETWORKDAYS(TODAY(),$AB762,Holidays)-1)&amp;" business day(s) left).")))))</f>
        <v/>
      </c>
      <c r="W762" s="17">
        <f>IF($Z762="","",CHOOSE($Z762,"Collection Email","1st Follow-up","2nd Follow-up","Local Office","CBE","Roxanne")&amp;IF($Z762=6," - Final"," - Day "&amp;MAX(0,NETWORKDAYS($AA762,TODAY(),Holidays)-1)&amp;" of "&amp;CHOOSE($Z762,3,3,2,2,3))&amp;" | Total Day "&amp;MAX(0,NETWORKDAYS($N762,TODAY(),Holidays)-1))</f>
        <v/>
      </c>
      <c r="X762" s="18"/>
      <c r="Y762" s="18"/>
      <c r="Z762" s="17">
        <f>IF($N762="","",COUNT($N762:$S762))</f>
        <v/>
      </c>
      <c r="AA762" s="19">
        <f>IF($Z762="","",INT(INDEX($N762:$S762,$Z762)))</f>
        <v/>
      </c>
      <c r="AB762" s="19">
        <f>IF(OR($Z762="",$Z762=6),"",WORKDAY($AA762,CHOOSE($Z762,3,3,2,2,3),Holidays))</f>
        <v/>
      </c>
      <c r="AC762" s="17">
        <f>IF(OR($Z762="",$Z762=6),"",CHOOSE($Z762,"1st Email Follow-up","2nd Email Follow-up","Escalate Local Office","Escalate to CBE","Escalate to Roxanne"))</f>
        <v/>
      </c>
    </row>
    <row r="763" spans="13:29">
      <c r="M763" s="14"/>
      <c r="T763" s="16"/>
      <c r="U763" s="17">
        <f>IF(AND(COUNTA($A763:$L763)=0,$N763=""),"",IF($T763="Paid","PAID",IF($T763="Closed","CLOSED",IF($Z763="","",IF($Z763=6,"ESCALATED TO ROXANNE",IF(TODAY()&gt;$AB763,"OVERDUE",IF($AB763&lt;=WORKDAY(TODAY(),1,Holidays),"DUE TOMORROW",IF($Z763=4,"ESCALATED TO LOCAL OFFICE",IF($Z763=5,"ESCALATED TO CBE",IF($AA763=TODAY(),"EMAIL SENT","MONITORING"))))))))))</f>
        <v/>
      </c>
      <c r="V763" s="17">
        <f>IF($U763="",IF(AND(COUNTA($A763:$L763)&gt;0,$N763=""),"Awaiting Collection Email time stamp.",""),IF(OR($U763="PAID",$U763="CLOSED"),IF($U763="PAID","Account paid. Action completed.","Account closed. No further action required."),CHOOSE($Z763,"Collection Email","1st Email Follow-up","2nd Email Follow-up","Escalation to Local Office","Escalation to CBE","Escalation to Roxanne")&amp;" sent "&amp;TEXT($AA763,"dd-mmm")&amp;". "&amp;IF($Z763=6,"Final escalation completed.",IF($U763="OVERDUE","Next: "&amp;$AC763&amp;" was due "&amp;TEXT($AB763,"dd-mmm")&amp;" - "&amp;(NETWORKDAYS($AB763,TODAY(),Holidays)-1)&amp;" business day(s) late. Send now.",IF($U763="DUE TOMORROW","Next: "&amp;$AC763&amp;IF($AB763&lt;=TODAY()," is due TODAY ("," is due next business day (")&amp;TEXT($AB763,"dd-mmm")&amp;").","Next: "&amp;$AC763&amp;" due "&amp;TEXT($AB763,"dd-mmm")&amp;" ("&amp;(NETWORKDAYS(TODAY(),$AB763,Holidays)-1)&amp;" business day(s) left).")))))</f>
        <v/>
      </c>
      <c r="W763" s="17">
        <f>IF($Z763="","",CHOOSE($Z763,"Collection Email","1st Follow-up","2nd Follow-up","Local Office","CBE","Roxanne")&amp;IF($Z763=6," - Final"," - Day "&amp;MAX(0,NETWORKDAYS($AA763,TODAY(),Holidays)-1)&amp;" of "&amp;CHOOSE($Z763,3,3,2,2,3))&amp;" | Total Day "&amp;MAX(0,NETWORKDAYS($N763,TODAY(),Holidays)-1))</f>
        <v/>
      </c>
      <c r="X763" s="18"/>
      <c r="Y763" s="18"/>
      <c r="Z763" s="17">
        <f>IF($N763="","",COUNT($N763:$S763))</f>
        <v/>
      </c>
      <c r="AA763" s="19">
        <f>IF($Z763="","",INT(INDEX($N763:$S763,$Z763)))</f>
        <v/>
      </c>
      <c r="AB763" s="19">
        <f>IF(OR($Z763="",$Z763=6),"",WORKDAY($AA763,CHOOSE($Z763,3,3,2,2,3),Holidays))</f>
        <v/>
      </c>
      <c r="AC763" s="17">
        <f>IF(OR($Z763="",$Z763=6),"",CHOOSE($Z763,"1st Email Follow-up","2nd Email Follow-up","Escalate Local Office","Escalate to CBE","Escalate to Roxanne"))</f>
        <v/>
      </c>
    </row>
    <row r="764" spans="13:29">
      <c r="M764" s="14"/>
      <c r="T764" s="16"/>
      <c r="U764" s="17">
        <f>IF(AND(COUNTA($A764:$L764)=0,$N764=""),"",IF($T764="Paid","PAID",IF($T764="Closed","CLOSED",IF($Z764="","",IF($Z764=6,"ESCALATED TO ROXANNE",IF(TODAY()&gt;$AB764,"OVERDUE",IF($AB764&lt;=WORKDAY(TODAY(),1,Holidays),"DUE TOMORROW",IF($Z764=4,"ESCALATED TO LOCAL OFFICE",IF($Z764=5,"ESCALATED TO CBE",IF($AA764=TODAY(),"EMAIL SENT","MONITORING"))))))))))</f>
        <v/>
      </c>
      <c r="V764" s="17">
        <f>IF($U764="",IF(AND(COUNTA($A764:$L764)&gt;0,$N764=""),"Awaiting Collection Email time stamp.",""),IF(OR($U764="PAID",$U764="CLOSED"),IF($U764="PAID","Account paid. Action completed.","Account closed. No further action required."),CHOOSE($Z764,"Collection Email","1st Email Follow-up","2nd Email Follow-up","Escalation to Local Office","Escalation to CBE","Escalation to Roxanne")&amp;" sent "&amp;TEXT($AA764,"dd-mmm")&amp;". "&amp;IF($Z764=6,"Final escalation completed.",IF($U764="OVERDUE","Next: "&amp;$AC764&amp;" was due "&amp;TEXT($AB764,"dd-mmm")&amp;" - "&amp;(NETWORKDAYS($AB764,TODAY(),Holidays)-1)&amp;" business day(s) late. Send now.",IF($U764="DUE TOMORROW","Next: "&amp;$AC764&amp;IF($AB764&lt;=TODAY()," is due TODAY ("," is due next business day (")&amp;TEXT($AB764,"dd-mmm")&amp;").","Next: "&amp;$AC764&amp;" due "&amp;TEXT($AB764,"dd-mmm")&amp;" ("&amp;(NETWORKDAYS(TODAY(),$AB764,Holidays)-1)&amp;" business day(s) left).")))))</f>
        <v/>
      </c>
      <c r="W764" s="17">
        <f>IF($Z764="","",CHOOSE($Z764,"Collection Email","1st Follow-up","2nd Follow-up","Local Office","CBE","Roxanne")&amp;IF($Z764=6," - Final"," - Day "&amp;MAX(0,NETWORKDAYS($AA764,TODAY(),Holidays)-1)&amp;" of "&amp;CHOOSE($Z764,3,3,2,2,3))&amp;" | Total Day "&amp;MAX(0,NETWORKDAYS($N764,TODAY(),Holidays)-1))</f>
        <v/>
      </c>
      <c r="X764" s="18"/>
      <c r="Y764" s="18"/>
      <c r="Z764" s="17">
        <f>IF($N764="","",COUNT($N764:$S764))</f>
        <v/>
      </c>
      <c r="AA764" s="19">
        <f>IF($Z764="","",INT(INDEX($N764:$S764,$Z764)))</f>
        <v/>
      </c>
      <c r="AB764" s="19">
        <f>IF(OR($Z764="",$Z764=6),"",WORKDAY($AA764,CHOOSE($Z764,3,3,2,2,3),Holidays))</f>
        <v/>
      </c>
      <c r="AC764" s="17">
        <f>IF(OR($Z764="",$Z764=6),"",CHOOSE($Z764,"1st Email Follow-up","2nd Email Follow-up","Escalate Local Office","Escalate to CBE","Escalate to Roxanne"))</f>
        <v/>
      </c>
    </row>
    <row r="765" spans="13:29">
      <c r="M765" s="14"/>
      <c r="T765" s="16"/>
      <c r="U765" s="17">
        <f>IF(AND(COUNTA($A765:$L765)=0,$N765=""),"",IF($T765="Paid","PAID",IF($T765="Closed","CLOSED",IF($Z765="","",IF($Z765=6,"ESCALATED TO ROXANNE",IF(TODAY()&gt;$AB765,"OVERDUE",IF($AB765&lt;=WORKDAY(TODAY(),1,Holidays),"DUE TOMORROW",IF($Z765=4,"ESCALATED TO LOCAL OFFICE",IF($Z765=5,"ESCALATED TO CBE",IF($AA765=TODAY(),"EMAIL SENT","MONITORING"))))))))))</f>
        <v/>
      </c>
      <c r="V765" s="17">
        <f>IF($U765="",IF(AND(COUNTA($A765:$L765)&gt;0,$N765=""),"Awaiting Collection Email time stamp.",""),IF(OR($U765="PAID",$U765="CLOSED"),IF($U765="PAID","Account paid. Action completed.","Account closed. No further action required."),CHOOSE($Z765,"Collection Email","1st Email Follow-up","2nd Email Follow-up","Escalation to Local Office","Escalation to CBE","Escalation to Roxanne")&amp;" sent "&amp;TEXT($AA765,"dd-mmm")&amp;". "&amp;IF($Z765=6,"Final escalation completed.",IF($U765="OVERDUE","Next: "&amp;$AC765&amp;" was due "&amp;TEXT($AB765,"dd-mmm")&amp;" - "&amp;(NETWORKDAYS($AB765,TODAY(),Holidays)-1)&amp;" business day(s) late. Send now.",IF($U765="DUE TOMORROW","Next: "&amp;$AC765&amp;IF($AB765&lt;=TODAY()," is due TODAY ("," is due next business day (")&amp;TEXT($AB765,"dd-mmm")&amp;").","Next: "&amp;$AC765&amp;" due "&amp;TEXT($AB765,"dd-mmm")&amp;" ("&amp;(NETWORKDAYS(TODAY(),$AB765,Holidays)-1)&amp;" business day(s) left).")))))</f>
        <v/>
      </c>
      <c r="W765" s="17">
        <f>IF($Z765="","",CHOOSE($Z765,"Collection Email","1st Follow-up","2nd Follow-up","Local Office","CBE","Roxanne")&amp;IF($Z765=6," - Final"," - Day "&amp;MAX(0,NETWORKDAYS($AA765,TODAY(),Holidays)-1)&amp;" of "&amp;CHOOSE($Z765,3,3,2,2,3))&amp;" | Total Day "&amp;MAX(0,NETWORKDAYS($N765,TODAY(),Holidays)-1))</f>
        <v/>
      </c>
      <c r="X765" s="18"/>
      <c r="Y765" s="18"/>
      <c r="Z765" s="17">
        <f>IF($N765="","",COUNT($N765:$S765))</f>
        <v/>
      </c>
      <c r="AA765" s="19">
        <f>IF($Z765="","",INT(INDEX($N765:$S765,$Z765)))</f>
        <v/>
      </c>
      <c r="AB765" s="19">
        <f>IF(OR($Z765="",$Z765=6),"",WORKDAY($AA765,CHOOSE($Z765,3,3,2,2,3),Holidays))</f>
        <v/>
      </c>
      <c r="AC765" s="17">
        <f>IF(OR($Z765="",$Z765=6),"",CHOOSE($Z765,"1st Email Follow-up","2nd Email Follow-up","Escalate Local Office","Escalate to CBE","Escalate to Roxanne"))</f>
        <v/>
      </c>
    </row>
    <row r="766" spans="13:29">
      <c r="M766" s="14"/>
      <c r="T766" s="16"/>
      <c r="U766" s="17">
        <f>IF(AND(COUNTA($A766:$L766)=0,$N766=""),"",IF($T766="Paid","PAID",IF($T766="Closed","CLOSED",IF($Z766="","",IF($Z766=6,"ESCALATED TO ROXANNE",IF(TODAY()&gt;$AB766,"OVERDUE",IF($AB766&lt;=WORKDAY(TODAY(),1,Holidays),"DUE TOMORROW",IF($Z766=4,"ESCALATED TO LOCAL OFFICE",IF($Z766=5,"ESCALATED TO CBE",IF($AA766=TODAY(),"EMAIL SENT","MONITORING"))))))))))</f>
        <v/>
      </c>
      <c r="V766" s="17">
        <f>IF($U766="",IF(AND(COUNTA($A766:$L766)&gt;0,$N766=""),"Awaiting Collection Email time stamp.",""),IF(OR($U766="PAID",$U766="CLOSED"),IF($U766="PAID","Account paid. Action completed.","Account closed. No further action required."),CHOOSE($Z766,"Collection Email","1st Email Follow-up","2nd Email Follow-up","Escalation to Local Office","Escalation to CBE","Escalation to Roxanne")&amp;" sent "&amp;TEXT($AA766,"dd-mmm")&amp;". "&amp;IF($Z766=6,"Final escalation completed.",IF($U766="OVERDUE","Next: "&amp;$AC766&amp;" was due "&amp;TEXT($AB766,"dd-mmm")&amp;" - "&amp;(NETWORKDAYS($AB766,TODAY(),Holidays)-1)&amp;" business day(s) late. Send now.",IF($U766="DUE TOMORROW","Next: "&amp;$AC766&amp;IF($AB766&lt;=TODAY()," is due TODAY ("," is due next business day (")&amp;TEXT($AB766,"dd-mmm")&amp;").","Next: "&amp;$AC766&amp;" due "&amp;TEXT($AB766,"dd-mmm")&amp;" ("&amp;(NETWORKDAYS(TODAY(),$AB766,Holidays)-1)&amp;" business day(s) left).")))))</f>
        <v/>
      </c>
      <c r="W766" s="17">
        <f>IF($Z766="","",CHOOSE($Z766,"Collection Email","1st Follow-up","2nd Follow-up","Local Office","CBE","Roxanne")&amp;IF($Z766=6," - Final"," - Day "&amp;MAX(0,NETWORKDAYS($AA766,TODAY(),Holidays)-1)&amp;" of "&amp;CHOOSE($Z766,3,3,2,2,3))&amp;" | Total Day "&amp;MAX(0,NETWORKDAYS($N766,TODAY(),Holidays)-1))</f>
        <v/>
      </c>
      <c r="X766" s="18"/>
      <c r="Y766" s="18"/>
      <c r="Z766" s="17">
        <f>IF($N766="","",COUNT($N766:$S766))</f>
        <v/>
      </c>
      <c r="AA766" s="19">
        <f>IF($Z766="","",INT(INDEX($N766:$S766,$Z766)))</f>
        <v/>
      </c>
      <c r="AB766" s="19">
        <f>IF(OR($Z766="",$Z766=6),"",WORKDAY($AA766,CHOOSE($Z766,3,3,2,2,3),Holidays))</f>
        <v/>
      </c>
      <c r="AC766" s="17">
        <f>IF(OR($Z766="",$Z766=6),"",CHOOSE($Z766,"1st Email Follow-up","2nd Email Follow-up","Escalate Local Office","Escalate to CBE","Escalate to Roxanne"))</f>
        <v/>
      </c>
    </row>
    <row r="767" spans="13:29">
      <c r="M767" s="14"/>
      <c r="T767" s="16"/>
      <c r="U767" s="17">
        <f>IF(AND(COUNTA($A767:$L767)=0,$N767=""),"",IF($T767="Paid","PAID",IF($T767="Closed","CLOSED",IF($Z767="","",IF($Z767=6,"ESCALATED TO ROXANNE",IF(TODAY()&gt;$AB767,"OVERDUE",IF($AB767&lt;=WORKDAY(TODAY(),1,Holidays),"DUE TOMORROW",IF($Z767=4,"ESCALATED TO LOCAL OFFICE",IF($Z767=5,"ESCALATED TO CBE",IF($AA767=TODAY(),"EMAIL SENT","MONITORING"))))))))))</f>
        <v/>
      </c>
      <c r="V767" s="17">
        <f>IF($U767="",IF(AND(COUNTA($A767:$L767)&gt;0,$N767=""),"Awaiting Collection Email time stamp.",""),IF(OR($U767="PAID",$U767="CLOSED"),IF($U767="PAID","Account paid. Action completed.","Account closed. No further action required."),CHOOSE($Z767,"Collection Email","1st Email Follow-up","2nd Email Follow-up","Escalation to Local Office","Escalation to CBE","Escalation to Roxanne")&amp;" sent "&amp;TEXT($AA767,"dd-mmm")&amp;". "&amp;IF($Z767=6,"Final escalation completed.",IF($U767="OVERDUE","Next: "&amp;$AC767&amp;" was due "&amp;TEXT($AB767,"dd-mmm")&amp;" - "&amp;(NETWORKDAYS($AB767,TODAY(),Holidays)-1)&amp;" business day(s) late. Send now.",IF($U767="DUE TOMORROW","Next: "&amp;$AC767&amp;IF($AB767&lt;=TODAY()," is due TODAY ("," is due next business day (")&amp;TEXT($AB767,"dd-mmm")&amp;").","Next: "&amp;$AC767&amp;" due "&amp;TEXT($AB767,"dd-mmm")&amp;" ("&amp;(NETWORKDAYS(TODAY(),$AB767,Holidays)-1)&amp;" business day(s) left).")))))</f>
        <v/>
      </c>
      <c r="W767" s="17">
        <f>IF($Z767="","",CHOOSE($Z767,"Collection Email","1st Follow-up","2nd Follow-up","Local Office","CBE","Roxanne")&amp;IF($Z767=6," - Final"," - Day "&amp;MAX(0,NETWORKDAYS($AA767,TODAY(),Holidays)-1)&amp;" of "&amp;CHOOSE($Z767,3,3,2,2,3))&amp;" | Total Day "&amp;MAX(0,NETWORKDAYS($N767,TODAY(),Holidays)-1))</f>
        <v/>
      </c>
      <c r="X767" s="18"/>
      <c r="Y767" s="18"/>
      <c r="Z767" s="17">
        <f>IF($N767="","",COUNT($N767:$S767))</f>
        <v/>
      </c>
      <c r="AA767" s="19">
        <f>IF($Z767="","",INT(INDEX($N767:$S767,$Z767)))</f>
        <v/>
      </c>
      <c r="AB767" s="19">
        <f>IF(OR($Z767="",$Z767=6),"",WORKDAY($AA767,CHOOSE($Z767,3,3,2,2,3),Holidays))</f>
        <v/>
      </c>
      <c r="AC767" s="17">
        <f>IF(OR($Z767="",$Z767=6),"",CHOOSE($Z767,"1st Email Follow-up","2nd Email Follow-up","Escalate Local Office","Escalate to CBE","Escalate to Roxanne"))</f>
        <v/>
      </c>
    </row>
    <row r="768" spans="13:29">
      <c r="M768" s="14"/>
      <c r="T768" s="16"/>
      <c r="U768" s="17">
        <f>IF(AND(COUNTA($A768:$L768)=0,$N768=""),"",IF($T768="Paid","PAID",IF($T768="Closed","CLOSED",IF($Z768="","",IF($Z768=6,"ESCALATED TO ROXANNE",IF(TODAY()&gt;$AB768,"OVERDUE",IF($AB768&lt;=WORKDAY(TODAY(),1,Holidays),"DUE TOMORROW",IF($Z768=4,"ESCALATED TO LOCAL OFFICE",IF($Z768=5,"ESCALATED TO CBE",IF($AA768=TODAY(),"EMAIL SENT","MONITORING"))))))))))</f>
        <v/>
      </c>
      <c r="V768" s="17">
        <f>IF($U768="",IF(AND(COUNTA($A768:$L768)&gt;0,$N768=""),"Awaiting Collection Email time stamp.",""),IF(OR($U768="PAID",$U768="CLOSED"),IF($U768="PAID","Account paid. Action completed.","Account closed. No further action required."),CHOOSE($Z768,"Collection Email","1st Email Follow-up","2nd Email Follow-up","Escalation to Local Office","Escalation to CBE","Escalation to Roxanne")&amp;" sent "&amp;TEXT($AA768,"dd-mmm")&amp;". "&amp;IF($Z768=6,"Final escalation completed.",IF($U768="OVERDUE","Next: "&amp;$AC768&amp;" was due "&amp;TEXT($AB768,"dd-mmm")&amp;" - "&amp;(NETWORKDAYS($AB768,TODAY(),Holidays)-1)&amp;" business day(s) late. Send now.",IF($U768="DUE TOMORROW","Next: "&amp;$AC768&amp;IF($AB768&lt;=TODAY()," is due TODAY ("," is due next business day (")&amp;TEXT($AB768,"dd-mmm")&amp;").","Next: "&amp;$AC768&amp;" due "&amp;TEXT($AB768,"dd-mmm")&amp;" ("&amp;(NETWORKDAYS(TODAY(),$AB768,Holidays)-1)&amp;" business day(s) left).")))))</f>
        <v/>
      </c>
      <c r="W768" s="17">
        <f>IF($Z768="","",CHOOSE($Z768,"Collection Email","1st Follow-up","2nd Follow-up","Local Office","CBE","Roxanne")&amp;IF($Z768=6," - Final"," - Day "&amp;MAX(0,NETWORKDAYS($AA768,TODAY(),Holidays)-1)&amp;" of "&amp;CHOOSE($Z768,3,3,2,2,3))&amp;" | Total Day "&amp;MAX(0,NETWORKDAYS($N768,TODAY(),Holidays)-1))</f>
        <v/>
      </c>
      <c r="X768" s="18"/>
      <c r="Y768" s="18"/>
      <c r="Z768" s="17">
        <f>IF($N768="","",COUNT($N768:$S768))</f>
        <v/>
      </c>
      <c r="AA768" s="19">
        <f>IF($Z768="","",INT(INDEX($N768:$S768,$Z768)))</f>
        <v/>
      </c>
      <c r="AB768" s="19">
        <f>IF(OR($Z768="",$Z768=6),"",WORKDAY($AA768,CHOOSE($Z768,3,3,2,2,3),Holidays))</f>
        <v/>
      </c>
      <c r="AC768" s="17">
        <f>IF(OR($Z768="",$Z768=6),"",CHOOSE($Z768,"1st Email Follow-up","2nd Email Follow-up","Escalate Local Office","Escalate to CBE","Escalate to Roxanne"))</f>
        <v/>
      </c>
    </row>
    <row r="769" spans="13:29">
      <c r="M769" s="14"/>
      <c r="T769" s="16"/>
      <c r="U769" s="17">
        <f>IF(AND(COUNTA($A769:$L769)=0,$N769=""),"",IF($T769="Paid","PAID",IF($T769="Closed","CLOSED",IF($Z769="","",IF($Z769=6,"ESCALATED TO ROXANNE",IF(TODAY()&gt;$AB769,"OVERDUE",IF($AB769&lt;=WORKDAY(TODAY(),1,Holidays),"DUE TOMORROW",IF($Z769=4,"ESCALATED TO LOCAL OFFICE",IF($Z769=5,"ESCALATED TO CBE",IF($AA769=TODAY(),"EMAIL SENT","MONITORING"))))))))))</f>
        <v/>
      </c>
      <c r="V769" s="17">
        <f>IF($U769="",IF(AND(COUNTA($A769:$L769)&gt;0,$N769=""),"Awaiting Collection Email time stamp.",""),IF(OR($U769="PAID",$U769="CLOSED"),IF($U769="PAID","Account paid. Action completed.","Account closed. No further action required."),CHOOSE($Z769,"Collection Email","1st Email Follow-up","2nd Email Follow-up","Escalation to Local Office","Escalation to CBE","Escalation to Roxanne")&amp;" sent "&amp;TEXT($AA769,"dd-mmm")&amp;". "&amp;IF($Z769=6,"Final escalation completed.",IF($U769="OVERDUE","Next: "&amp;$AC769&amp;" was due "&amp;TEXT($AB769,"dd-mmm")&amp;" - "&amp;(NETWORKDAYS($AB769,TODAY(),Holidays)-1)&amp;" business day(s) late. Send now.",IF($U769="DUE TOMORROW","Next: "&amp;$AC769&amp;IF($AB769&lt;=TODAY()," is due TODAY ("," is due next business day (")&amp;TEXT($AB769,"dd-mmm")&amp;").","Next: "&amp;$AC769&amp;" due "&amp;TEXT($AB769,"dd-mmm")&amp;" ("&amp;(NETWORKDAYS(TODAY(),$AB769,Holidays)-1)&amp;" business day(s) left).")))))</f>
        <v/>
      </c>
      <c r="W769" s="17">
        <f>IF($Z769="","",CHOOSE($Z769,"Collection Email","1st Follow-up","2nd Follow-up","Local Office","CBE","Roxanne")&amp;IF($Z769=6," - Final"," - Day "&amp;MAX(0,NETWORKDAYS($AA769,TODAY(),Holidays)-1)&amp;" of "&amp;CHOOSE($Z769,3,3,2,2,3))&amp;" | Total Day "&amp;MAX(0,NETWORKDAYS($N769,TODAY(),Holidays)-1))</f>
        <v/>
      </c>
      <c r="X769" s="18"/>
      <c r="Y769" s="18"/>
      <c r="Z769" s="17">
        <f>IF($N769="","",COUNT($N769:$S769))</f>
        <v/>
      </c>
      <c r="AA769" s="19">
        <f>IF($Z769="","",INT(INDEX($N769:$S769,$Z769)))</f>
        <v/>
      </c>
      <c r="AB769" s="19">
        <f>IF(OR($Z769="",$Z769=6),"",WORKDAY($AA769,CHOOSE($Z769,3,3,2,2,3),Holidays))</f>
        <v/>
      </c>
      <c r="AC769" s="17">
        <f>IF(OR($Z769="",$Z769=6),"",CHOOSE($Z769,"1st Email Follow-up","2nd Email Follow-up","Escalate Local Office","Escalate to CBE","Escalate to Roxanne"))</f>
        <v/>
      </c>
    </row>
    <row r="770" spans="13:29">
      <c r="M770" s="14"/>
      <c r="T770" s="16"/>
      <c r="U770" s="17">
        <f>IF(AND(COUNTA($A770:$L770)=0,$N770=""),"",IF($T770="Paid","PAID",IF($T770="Closed","CLOSED",IF($Z770="","",IF($Z770=6,"ESCALATED TO ROXANNE",IF(TODAY()&gt;$AB770,"OVERDUE",IF($AB770&lt;=WORKDAY(TODAY(),1,Holidays),"DUE TOMORROW",IF($Z770=4,"ESCALATED TO LOCAL OFFICE",IF($Z770=5,"ESCALATED TO CBE",IF($AA770=TODAY(),"EMAIL SENT","MONITORING"))))))))))</f>
        <v/>
      </c>
      <c r="V770" s="17">
        <f>IF($U770="",IF(AND(COUNTA($A770:$L770)&gt;0,$N770=""),"Awaiting Collection Email time stamp.",""),IF(OR($U770="PAID",$U770="CLOSED"),IF($U770="PAID","Account paid. Action completed.","Account closed. No further action required."),CHOOSE($Z770,"Collection Email","1st Email Follow-up","2nd Email Follow-up","Escalation to Local Office","Escalation to CBE","Escalation to Roxanne")&amp;" sent "&amp;TEXT($AA770,"dd-mmm")&amp;". "&amp;IF($Z770=6,"Final escalation completed.",IF($U770="OVERDUE","Next: "&amp;$AC770&amp;" was due "&amp;TEXT($AB770,"dd-mmm")&amp;" - "&amp;(NETWORKDAYS($AB770,TODAY(),Holidays)-1)&amp;" business day(s) late. Send now.",IF($U770="DUE TOMORROW","Next: "&amp;$AC770&amp;IF($AB770&lt;=TODAY()," is due TODAY ("," is due next business day (")&amp;TEXT($AB770,"dd-mmm")&amp;").","Next: "&amp;$AC770&amp;" due "&amp;TEXT($AB770,"dd-mmm")&amp;" ("&amp;(NETWORKDAYS(TODAY(),$AB770,Holidays)-1)&amp;" business day(s) left).")))))</f>
        <v/>
      </c>
      <c r="W770" s="17">
        <f>IF($Z770="","",CHOOSE($Z770,"Collection Email","1st Follow-up","2nd Follow-up","Local Office","CBE","Roxanne")&amp;IF($Z770=6," - Final"," - Day "&amp;MAX(0,NETWORKDAYS($AA770,TODAY(),Holidays)-1)&amp;" of "&amp;CHOOSE($Z770,3,3,2,2,3))&amp;" | Total Day "&amp;MAX(0,NETWORKDAYS($N770,TODAY(),Holidays)-1))</f>
        <v/>
      </c>
      <c r="X770" s="18"/>
      <c r="Y770" s="18"/>
      <c r="Z770" s="17">
        <f>IF($N770="","",COUNT($N770:$S770))</f>
        <v/>
      </c>
      <c r="AA770" s="19">
        <f>IF($Z770="","",INT(INDEX($N770:$S770,$Z770)))</f>
        <v/>
      </c>
      <c r="AB770" s="19">
        <f>IF(OR($Z770="",$Z770=6),"",WORKDAY($AA770,CHOOSE($Z770,3,3,2,2,3),Holidays))</f>
        <v/>
      </c>
      <c r="AC770" s="17">
        <f>IF(OR($Z770="",$Z770=6),"",CHOOSE($Z770,"1st Email Follow-up","2nd Email Follow-up","Escalate Local Office","Escalate to CBE","Escalate to Roxanne"))</f>
        <v/>
      </c>
    </row>
    <row r="771" spans="13:29">
      <c r="M771" s="14"/>
      <c r="T771" s="16"/>
      <c r="U771" s="17">
        <f>IF(AND(COUNTA($A771:$L771)=0,$N771=""),"",IF($T771="Paid","PAID",IF($T771="Closed","CLOSED",IF($Z771="","",IF($Z771=6,"ESCALATED TO ROXANNE",IF(TODAY()&gt;$AB771,"OVERDUE",IF($AB771&lt;=WORKDAY(TODAY(),1,Holidays),"DUE TOMORROW",IF($Z771=4,"ESCALATED TO LOCAL OFFICE",IF($Z771=5,"ESCALATED TO CBE",IF($AA771=TODAY(),"EMAIL SENT","MONITORING"))))))))))</f>
        <v/>
      </c>
      <c r="V771" s="17">
        <f>IF($U771="",IF(AND(COUNTA($A771:$L771)&gt;0,$N771=""),"Awaiting Collection Email time stamp.",""),IF(OR($U771="PAID",$U771="CLOSED"),IF($U771="PAID","Account paid. Action completed.","Account closed. No further action required."),CHOOSE($Z771,"Collection Email","1st Email Follow-up","2nd Email Follow-up","Escalation to Local Office","Escalation to CBE","Escalation to Roxanne")&amp;" sent "&amp;TEXT($AA771,"dd-mmm")&amp;". "&amp;IF($Z771=6,"Final escalation completed.",IF($U771="OVERDUE","Next: "&amp;$AC771&amp;" was due "&amp;TEXT($AB771,"dd-mmm")&amp;" - "&amp;(NETWORKDAYS($AB771,TODAY(),Holidays)-1)&amp;" business day(s) late. Send now.",IF($U771="DUE TOMORROW","Next: "&amp;$AC771&amp;IF($AB771&lt;=TODAY()," is due TODAY ("," is due next business day (")&amp;TEXT($AB771,"dd-mmm")&amp;").","Next: "&amp;$AC771&amp;" due "&amp;TEXT($AB771,"dd-mmm")&amp;" ("&amp;(NETWORKDAYS(TODAY(),$AB771,Holidays)-1)&amp;" business day(s) left).")))))</f>
        <v/>
      </c>
      <c r="W771" s="17">
        <f>IF($Z771="","",CHOOSE($Z771,"Collection Email","1st Follow-up","2nd Follow-up","Local Office","CBE","Roxanne")&amp;IF($Z771=6," - Final"," - Day "&amp;MAX(0,NETWORKDAYS($AA771,TODAY(),Holidays)-1)&amp;" of "&amp;CHOOSE($Z771,3,3,2,2,3))&amp;" | Total Day "&amp;MAX(0,NETWORKDAYS($N771,TODAY(),Holidays)-1))</f>
        <v/>
      </c>
      <c r="X771" s="18"/>
      <c r="Y771" s="18"/>
      <c r="Z771" s="17">
        <f>IF($N771="","",COUNT($N771:$S771))</f>
        <v/>
      </c>
      <c r="AA771" s="19">
        <f>IF($Z771="","",INT(INDEX($N771:$S771,$Z771)))</f>
        <v/>
      </c>
      <c r="AB771" s="19">
        <f>IF(OR($Z771="",$Z771=6),"",WORKDAY($AA771,CHOOSE($Z771,3,3,2,2,3),Holidays))</f>
        <v/>
      </c>
      <c r="AC771" s="17">
        <f>IF(OR($Z771="",$Z771=6),"",CHOOSE($Z771,"1st Email Follow-up","2nd Email Follow-up","Escalate Local Office","Escalate to CBE","Escalate to Roxanne"))</f>
        <v/>
      </c>
    </row>
    <row r="772" spans="13:29">
      <c r="M772" s="14"/>
      <c r="T772" s="16"/>
      <c r="U772" s="17">
        <f>IF(AND(COUNTA($A772:$L772)=0,$N772=""),"",IF($T772="Paid","PAID",IF($T772="Closed","CLOSED",IF($Z772="","",IF($Z772=6,"ESCALATED TO ROXANNE",IF(TODAY()&gt;$AB772,"OVERDUE",IF($AB772&lt;=WORKDAY(TODAY(),1,Holidays),"DUE TOMORROW",IF($Z772=4,"ESCALATED TO LOCAL OFFICE",IF($Z772=5,"ESCALATED TO CBE",IF($AA772=TODAY(),"EMAIL SENT","MONITORING"))))))))))</f>
        <v/>
      </c>
      <c r="V772" s="17">
        <f>IF($U772="",IF(AND(COUNTA($A772:$L772)&gt;0,$N772=""),"Awaiting Collection Email time stamp.",""),IF(OR($U772="PAID",$U772="CLOSED"),IF($U772="PAID","Account paid. Action completed.","Account closed. No further action required."),CHOOSE($Z772,"Collection Email","1st Email Follow-up","2nd Email Follow-up","Escalation to Local Office","Escalation to CBE","Escalation to Roxanne")&amp;" sent "&amp;TEXT($AA772,"dd-mmm")&amp;". "&amp;IF($Z772=6,"Final escalation completed.",IF($U772="OVERDUE","Next: "&amp;$AC772&amp;" was due "&amp;TEXT($AB772,"dd-mmm")&amp;" - "&amp;(NETWORKDAYS($AB772,TODAY(),Holidays)-1)&amp;" business day(s) late. Send now.",IF($U772="DUE TOMORROW","Next: "&amp;$AC772&amp;IF($AB772&lt;=TODAY()," is due TODAY ("," is due next business day (")&amp;TEXT($AB772,"dd-mmm")&amp;").","Next: "&amp;$AC772&amp;" due "&amp;TEXT($AB772,"dd-mmm")&amp;" ("&amp;(NETWORKDAYS(TODAY(),$AB772,Holidays)-1)&amp;" business day(s) left).")))))</f>
        <v/>
      </c>
      <c r="W772" s="17">
        <f>IF($Z772="","",CHOOSE($Z772,"Collection Email","1st Follow-up","2nd Follow-up","Local Office","CBE","Roxanne")&amp;IF($Z772=6," - Final"," - Day "&amp;MAX(0,NETWORKDAYS($AA772,TODAY(),Holidays)-1)&amp;" of "&amp;CHOOSE($Z772,3,3,2,2,3))&amp;" | Total Day "&amp;MAX(0,NETWORKDAYS($N772,TODAY(),Holidays)-1))</f>
        <v/>
      </c>
      <c r="X772" s="18"/>
      <c r="Y772" s="18"/>
      <c r="Z772" s="17">
        <f>IF($N772="","",COUNT($N772:$S772))</f>
        <v/>
      </c>
      <c r="AA772" s="19">
        <f>IF($Z772="","",INT(INDEX($N772:$S772,$Z772)))</f>
        <v/>
      </c>
      <c r="AB772" s="19">
        <f>IF(OR($Z772="",$Z772=6),"",WORKDAY($AA772,CHOOSE($Z772,3,3,2,2,3),Holidays))</f>
        <v/>
      </c>
      <c r="AC772" s="17">
        <f>IF(OR($Z772="",$Z772=6),"",CHOOSE($Z772,"1st Email Follow-up","2nd Email Follow-up","Escalate Local Office","Escalate to CBE","Escalate to Roxanne"))</f>
        <v/>
      </c>
    </row>
    <row r="773" spans="13:29">
      <c r="M773" s="14"/>
      <c r="T773" s="16"/>
      <c r="U773" s="17">
        <f>IF(AND(COUNTA($A773:$L773)=0,$N773=""),"",IF($T773="Paid","PAID",IF($T773="Closed","CLOSED",IF($Z773="","",IF($Z773=6,"ESCALATED TO ROXANNE",IF(TODAY()&gt;$AB773,"OVERDUE",IF($AB773&lt;=WORKDAY(TODAY(),1,Holidays),"DUE TOMORROW",IF($Z773=4,"ESCALATED TO LOCAL OFFICE",IF($Z773=5,"ESCALATED TO CBE",IF($AA773=TODAY(),"EMAIL SENT","MONITORING"))))))))))</f>
        <v/>
      </c>
      <c r="V773" s="17">
        <f>IF($U773="",IF(AND(COUNTA($A773:$L773)&gt;0,$N773=""),"Awaiting Collection Email time stamp.",""),IF(OR($U773="PAID",$U773="CLOSED"),IF($U773="PAID","Account paid. Action completed.","Account closed. No further action required."),CHOOSE($Z773,"Collection Email","1st Email Follow-up","2nd Email Follow-up","Escalation to Local Office","Escalation to CBE","Escalation to Roxanne")&amp;" sent "&amp;TEXT($AA773,"dd-mmm")&amp;". "&amp;IF($Z773=6,"Final escalation completed.",IF($U773="OVERDUE","Next: "&amp;$AC773&amp;" was due "&amp;TEXT($AB773,"dd-mmm")&amp;" - "&amp;(NETWORKDAYS($AB773,TODAY(),Holidays)-1)&amp;" business day(s) late. Send now.",IF($U773="DUE TOMORROW","Next: "&amp;$AC773&amp;IF($AB773&lt;=TODAY()," is due TODAY ("," is due next business day (")&amp;TEXT($AB773,"dd-mmm")&amp;").","Next: "&amp;$AC773&amp;" due "&amp;TEXT($AB773,"dd-mmm")&amp;" ("&amp;(NETWORKDAYS(TODAY(),$AB773,Holidays)-1)&amp;" business day(s) left).")))))</f>
        <v/>
      </c>
      <c r="W773" s="17">
        <f>IF($Z773="","",CHOOSE($Z773,"Collection Email","1st Follow-up","2nd Follow-up","Local Office","CBE","Roxanne")&amp;IF($Z773=6," - Final"," - Day "&amp;MAX(0,NETWORKDAYS($AA773,TODAY(),Holidays)-1)&amp;" of "&amp;CHOOSE($Z773,3,3,2,2,3))&amp;" | Total Day "&amp;MAX(0,NETWORKDAYS($N773,TODAY(),Holidays)-1))</f>
        <v/>
      </c>
      <c r="X773" s="18"/>
      <c r="Y773" s="18"/>
      <c r="Z773" s="17">
        <f>IF($N773="","",COUNT($N773:$S773))</f>
        <v/>
      </c>
      <c r="AA773" s="19">
        <f>IF($Z773="","",INT(INDEX($N773:$S773,$Z773)))</f>
        <v/>
      </c>
      <c r="AB773" s="19">
        <f>IF(OR($Z773="",$Z773=6),"",WORKDAY($AA773,CHOOSE($Z773,3,3,2,2,3),Holidays))</f>
        <v/>
      </c>
      <c r="AC773" s="17">
        <f>IF(OR($Z773="",$Z773=6),"",CHOOSE($Z773,"1st Email Follow-up","2nd Email Follow-up","Escalate Local Office","Escalate to CBE","Escalate to Roxanne"))</f>
        <v/>
      </c>
    </row>
    <row r="774" spans="13:29">
      <c r="M774" s="14"/>
      <c r="T774" s="16"/>
      <c r="U774" s="17">
        <f>IF(AND(COUNTA($A774:$L774)=0,$N774=""),"",IF($T774="Paid","PAID",IF($T774="Closed","CLOSED",IF($Z774="","",IF($Z774=6,"ESCALATED TO ROXANNE",IF(TODAY()&gt;$AB774,"OVERDUE",IF($AB774&lt;=WORKDAY(TODAY(),1,Holidays),"DUE TOMORROW",IF($Z774=4,"ESCALATED TO LOCAL OFFICE",IF($Z774=5,"ESCALATED TO CBE",IF($AA774=TODAY(),"EMAIL SENT","MONITORING"))))))))))</f>
        <v/>
      </c>
      <c r="V774" s="17">
        <f>IF($U774="",IF(AND(COUNTA($A774:$L774)&gt;0,$N774=""),"Awaiting Collection Email time stamp.",""),IF(OR($U774="PAID",$U774="CLOSED"),IF($U774="PAID","Account paid. Action completed.","Account closed. No further action required."),CHOOSE($Z774,"Collection Email","1st Email Follow-up","2nd Email Follow-up","Escalation to Local Office","Escalation to CBE","Escalation to Roxanne")&amp;" sent "&amp;TEXT($AA774,"dd-mmm")&amp;". "&amp;IF($Z774=6,"Final escalation completed.",IF($U774="OVERDUE","Next: "&amp;$AC774&amp;" was due "&amp;TEXT($AB774,"dd-mmm")&amp;" - "&amp;(NETWORKDAYS($AB774,TODAY(),Holidays)-1)&amp;" business day(s) late. Send now.",IF($U774="DUE TOMORROW","Next: "&amp;$AC774&amp;IF($AB774&lt;=TODAY()," is due TODAY ("," is due next business day (")&amp;TEXT($AB774,"dd-mmm")&amp;").","Next: "&amp;$AC774&amp;" due "&amp;TEXT($AB774,"dd-mmm")&amp;" ("&amp;(NETWORKDAYS(TODAY(),$AB774,Holidays)-1)&amp;" business day(s) left).")))))</f>
        <v/>
      </c>
      <c r="W774" s="17">
        <f>IF($Z774="","",CHOOSE($Z774,"Collection Email","1st Follow-up","2nd Follow-up","Local Office","CBE","Roxanne")&amp;IF($Z774=6," - Final"," - Day "&amp;MAX(0,NETWORKDAYS($AA774,TODAY(),Holidays)-1)&amp;" of "&amp;CHOOSE($Z774,3,3,2,2,3))&amp;" | Total Day "&amp;MAX(0,NETWORKDAYS($N774,TODAY(),Holidays)-1))</f>
        <v/>
      </c>
      <c r="X774" s="18"/>
      <c r="Y774" s="18"/>
      <c r="Z774" s="17">
        <f>IF($N774="","",COUNT($N774:$S774))</f>
        <v/>
      </c>
      <c r="AA774" s="19">
        <f>IF($Z774="","",INT(INDEX($N774:$S774,$Z774)))</f>
        <v/>
      </c>
      <c r="AB774" s="19">
        <f>IF(OR($Z774="",$Z774=6),"",WORKDAY($AA774,CHOOSE($Z774,3,3,2,2,3),Holidays))</f>
        <v/>
      </c>
      <c r="AC774" s="17">
        <f>IF(OR($Z774="",$Z774=6),"",CHOOSE($Z774,"1st Email Follow-up","2nd Email Follow-up","Escalate Local Office","Escalate to CBE","Escalate to Roxanne"))</f>
        <v/>
      </c>
    </row>
    <row r="775" spans="13:29">
      <c r="M775" s="14"/>
      <c r="T775" s="16"/>
      <c r="U775" s="17">
        <f>IF(AND(COUNTA($A775:$L775)=0,$N775=""),"",IF($T775="Paid","PAID",IF($T775="Closed","CLOSED",IF($Z775="","",IF($Z775=6,"ESCALATED TO ROXANNE",IF(TODAY()&gt;$AB775,"OVERDUE",IF($AB775&lt;=WORKDAY(TODAY(),1,Holidays),"DUE TOMORROW",IF($Z775=4,"ESCALATED TO LOCAL OFFICE",IF($Z775=5,"ESCALATED TO CBE",IF($AA775=TODAY(),"EMAIL SENT","MONITORING"))))))))))</f>
        <v/>
      </c>
      <c r="V775" s="17">
        <f>IF($U775="",IF(AND(COUNTA($A775:$L775)&gt;0,$N775=""),"Awaiting Collection Email time stamp.",""),IF(OR($U775="PAID",$U775="CLOSED"),IF($U775="PAID","Account paid. Action completed.","Account closed. No further action required."),CHOOSE($Z775,"Collection Email","1st Email Follow-up","2nd Email Follow-up","Escalation to Local Office","Escalation to CBE","Escalation to Roxanne")&amp;" sent "&amp;TEXT($AA775,"dd-mmm")&amp;". "&amp;IF($Z775=6,"Final escalation completed.",IF($U775="OVERDUE","Next: "&amp;$AC775&amp;" was due "&amp;TEXT($AB775,"dd-mmm")&amp;" - "&amp;(NETWORKDAYS($AB775,TODAY(),Holidays)-1)&amp;" business day(s) late. Send now.",IF($U775="DUE TOMORROW","Next: "&amp;$AC775&amp;IF($AB775&lt;=TODAY()," is due TODAY ("," is due next business day (")&amp;TEXT($AB775,"dd-mmm")&amp;").","Next: "&amp;$AC775&amp;" due "&amp;TEXT($AB775,"dd-mmm")&amp;" ("&amp;(NETWORKDAYS(TODAY(),$AB775,Holidays)-1)&amp;" business day(s) left).")))))</f>
        <v/>
      </c>
      <c r="W775" s="17">
        <f>IF($Z775="","",CHOOSE($Z775,"Collection Email","1st Follow-up","2nd Follow-up","Local Office","CBE","Roxanne")&amp;IF($Z775=6," - Final"," - Day "&amp;MAX(0,NETWORKDAYS($AA775,TODAY(),Holidays)-1)&amp;" of "&amp;CHOOSE($Z775,3,3,2,2,3))&amp;" | Total Day "&amp;MAX(0,NETWORKDAYS($N775,TODAY(),Holidays)-1))</f>
        <v/>
      </c>
      <c r="X775" s="18"/>
      <c r="Y775" s="18"/>
      <c r="Z775" s="17">
        <f>IF($N775="","",COUNT($N775:$S775))</f>
        <v/>
      </c>
      <c r="AA775" s="19">
        <f>IF($Z775="","",INT(INDEX($N775:$S775,$Z775)))</f>
        <v/>
      </c>
      <c r="AB775" s="19">
        <f>IF(OR($Z775="",$Z775=6),"",WORKDAY($AA775,CHOOSE($Z775,3,3,2,2,3),Holidays))</f>
        <v/>
      </c>
      <c r="AC775" s="17">
        <f>IF(OR($Z775="",$Z775=6),"",CHOOSE($Z775,"1st Email Follow-up","2nd Email Follow-up","Escalate Local Office","Escalate to CBE","Escalate to Roxanne"))</f>
        <v/>
      </c>
    </row>
    <row r="776" spans="13:29">
      <c r="M776" s="14"/>
      <c r="T776" s="16"/>
      <c r="U776" s="17">
        <f>IF(AND(COUNTA($A776:$L776)=0,$N776=""),"",IF($T776="Paid","PAID",IF($T776="Closed","CLOSED",IF($Z776="","",IF($Z776=6,"ESCALATED TO ROXANNE",IF(TODAY()&gt;$AB776,"OVERDUE",IF($AB776&lt;=WORKDAY(TODAY(),1,Holidays),"DUE TOMORROW",IF($Z776=4,"ESCALATED TO LOCAL OFFICE",IF($Z776=5,"ESCALATED TO CBE",IF($AA776=TODAY(),"EMAIL SENT","MONITORING"))))))))))</f>
        <v/>
      </c>
      <c r="V776" s="17">
        <f>IF($U776="",IF(AND(COUNTA($A776:$L776)&gt;0,$N776=""),"Awaiting Collection Email time stamp.",""),IF(OR($U776="PAID",$U776="CLOSED"),IF($U776="PAID","Account paid. Action completed.","Account closed. No further action required."),CHOOSE($Z776,"Collection Email","1st Email Follow-up","2nd Email Follow-up","Escalation to Local Office","Escalation to CBE","Escalation to Roxanne")&amp;" sent "&amp;TEXT($AA776,"dd-mmm")&amp;". "&amp;IF($Z776=6,"Final escalation completed.",IF($U776="OVERDUE","Next: "&amp;$AC776&amp;" was due "&amp;TEXT($AB776,"dd-mmm")&amp;" - "&amp;(NETWORKDAYS($AB776,TODAY(),Holidays)-1)&amp;" business day(s) late. Send now.",IF($U776="DUE TOMORROW","Next: "&amp;$AC776&amp;IF($AB776&lt;=TODAY()," is due TODAY ("," is due next business day (")&amp;TEXT($AB776,"dd-mmm")&amp;").","Next: "&amp;$AC776&amp;" due "&amp;TEXT($AB776,"dd-mmm")&amp;" ("&amp;(NETWORKDAYS(TODAY(),$AB776,Holidays)-1)&amp;" business day(s) left).")))))</f>
        <v/>
      </c>
      <c r="W776" s="17">
        <f>IF($Z776="","",CHOOSE($Z776,"Collection Email","1st Follow-up","2nd Follow-up","Local Office","CBE","Roxanne")&amp;IF($Z776=6," - Final"," - Day "&amp;MAX(0,NETWORKDAYS($AA776,TODAY(),Holidays)-1)&amp;" of "&amp;CHOOSE($Z776,3,3,2,2,3))&amp;" | Total Day "&amp;MAX(0,NETWORKDAYS($N776,TODAY(),Holidays)-1))</f>
        <v/>
      </c>
      <c r="X776" s="18"/>
      <c r="Y776" s="18"/>
      <c r="Z776" s="17">
        <f>IF($N776="","",COUNT($N776:$S776))</f>
        <v/>
      </c>
      <c r="AA776" s="19">
        <f>IF($Z776="","",INT(INDEX($N776:$S776,$Z776)))</f>
        <v/>
      </c>
      <c r="AB776" s="19">
        <f>IF(OR($Z776="",$Z776=6),"",WORKDAY($AA776,CHOOSE($Z776,3,3,2,2,3),Holidays))</f>
        <v/>
      </c>
      <c r="AC776" s="17">
        <f>IF(OR($Z776="",$Z776=6),"",CHOOSE($Z776,"1st Email Follow-up","2nd Email Follow-up","Escalate Local Office","Escalate to CBE","Escalate to Roxanne"))</f>
        <v/>
      </c>
    </row>
    <row r="777" spans="13:29">
      <c r="M777" s="14"/>
      <c r="T777" s="16"/>
      <c r="U777" s="17">
        <f>IF(AND(COUNTA($A777:$L777)=0,$N777=""),"",IF($T777="Paid","PAID",IF($T777="Closed","CLOSED",IF($Z777="","",IF($Z777=6,"ESCALATED TO ROXANNE",IF(TODAY()&gt;$AB777,"OVERDUE",IF($AB777&lt;=WORKDAY(TODAY(),1,Holidays),"DUE TOMORROW",IF($Z777=4,"ESCALATED TO LOCAL OFFICE",IF($Z777=5,"ESCALATED TO CBE",IF($AA777=TODAY(),"EMAIL SENT","MONITORING"))))))))))</f>
        <v/>
      </c>
      <c r="V777" s="17">
        <f>IF($U777="",IF(AND(COUNTA($A777:$L777)&gt;0,$N777=""),"Awaiting Collection Email time stamp.",""),IF(OR($U777="PAID",$U777="CLOSED"),IF($U777="PAID","Account paid. Action completed.","Account closed. No further action required."),CHOOSE($Z777,"Collection Email","1st Email Follow-up","2nd Email Follow-up","Escalation to Local Office","Escalation to CBE","Escalation to Roxanne")&amp;" sent "&amp;TEXT($AA777,"dd-mmm")&amp;". "&amp;IF($Z777=6,"Final escalation completed.",IF($U777="OVERDUE","Next: "&amp;$AC777&amp;" was due "&amp;TEXT($AB777,"dd-mmm")&amp;" - "&amp;(NETWORKDAYS($AB777,TODAY(),Holidays)-1)&amp;" business day(s) late. Send now.",IF($U777="DUE TOMORROW","Next: "&amp;$AC777&amp;IF($AB777&lt;=TODAY()," is due TODAY ("," is due next business day (")&amp;TEXT($AB777,"dd-mmm")&amp;").","Next: "&amp;$AC777&amp;" due "&amp;TEXT($AB777,"dd-mmm")&amp;" ("&amp;(NETWORKDAYS(TODAY(),$AB777,Holidays)-1)&amp;" business day(s) left).")))))</f>
        <v/>
      </c>
      <c r="W777" s="17">
        <f>IF($Z777="","",CHOOSE($Z777,"Collection Email","1st Follow-up","2nd Follow-up","Local Office","CBE","Roxanne")&amp;IF($Z777=6," - Final"," - Day "&amp;MAX(0,NETWORKDAYS($AA777,TODAY(),Holidays)-1)&amp;" of "&amp;CHOOSE($Z777,3,3,2,2,3))&amp;" | Total Day "&amp;MAX(0,NETWORKDAYS($N777,TODAY(),Holidays)-1))</f>
        <v/>
      </c>
      <c r="X777" s="18"/>
      <c r="Y777" s="18"/>
      <c r="Z777" s="17">
        <f>IF($N777="","",COUNT($N777:$S777))</f>
        <v/>
      </c>
      <c r="AA777" s="19">
        <f>IF($Z777="","",INT(INDEX($N777:$S777,$Z777)))</f>
        <v/>
      </c>
      <c r="AB777" s="19">
        <f>IF(OR($Z777="",$Z777=6),"",WORKDAY($AA777,CHOOSE($Z777,3,3,2,2,3),Holidays))</f>
        <v/>
      </c>
      <c r="AC777" s="17">
        <f>IF(OR($Z777="",$Z777=6),"",CHOOSE($Z777,"1st Email Follow-up","2nd Email Follow-up","Escalate Local Office","Escalate to CBE","Escalate to Roxanne"))</f>
        <v/>
      </c>
    </row>
    <row r="778" spans="13:29">
      <c r="M778" s="14"/>
      <c r="T778" s="16"/>
      <c r="U778" s="17">
        <f>IF(AND(COUNTA($A778:$L778)=0,$N778=""),"",IF($T778="Paid","PAID",IF($T778="Closed","CLOSED",IF($Z778="","",IF($Z778=6,"ESCALATED TO ROXANNE",IF(TODAY()&gt;$AB778,"OVERDUE",IF($AB778&lt;=WORKDAY(TODAY(),1,Holidays),"DUE TOMORROW",IF($Z778=4,"ESCALATED TO LOCAL OFFICE",IF($Z778=5,"ESCALATED TO CBE",IF($AA778=TODAY(),"EMAIL SENT","MONITORING"))))))))))</f>
        <v/>
      </c>
      <c r="V778" s="17">
        <f>IF($U778="",IF(AND(COUNTA($A778:$L778)&gt;0,$N778=""),"Awaiting Collection Email time stamp.",""),IF(OR($U778="PAID",$U778="CLOSED"),IF($U778="PAID","Account paid. Action completed.","Account closed. No further action required."),CHOOSE($Z778,"Collection Email","1st Email Follow-up","2nd Email Follow-up","Escalation to Local Office","Escalation to CBE","Escalation to Roxanne")&amp;" sent "&amp;TEXT($AA778,"dd-mmm")&amp;". "&amp;IF($Z778=6,"Final escalation completed.",IF($U778="OVERDUE","Next: "&amp;$AC778&amp;" was due "&amp;TEXT($AB778,"dd-mmm")&amp;" - "&amp;(NETWORKDAYS($AB778,TODAY(),Holidays)-1)&amp;" business day(s) late. Send now.",IF($U778="DUE TOMORROW","Next: "&amp;$AC778&amp;IF($AB778&lt;=TODAY()," is due TODAY ("," is due next business day (")&amp;TEXT($AB778,"dd-mmm")&amp;").","Next: "&amp;$AC778&amp;" due "&amp;TEXT($AB778,"dd-mmm")&amp;" ("&amp;(NETWORKDAYS(TODAY(),$AB778,Holidays)-1)&amp;" business day(s) left).")))))</f>
        <v/>
      </c>
      <c r="W778" s="17">
        <f>IF($Z778="","",CHOOSE($Z778,"Collection Email","1st Follow-up","2nd Follow-up","Local Office","CBE","Roxanne")&amp;IF($Z778=6," - Final"," - Day "&amp;MAX(0,NETWORKDAYS($AA778,TODAY(),Holidays)-1)&amp;" of "&amp;CHOOSE($Z778,3,3,2,2,3))&amp;" | Total Day "&amp;MAX(0,NETWORKDAYS($N778,TODAY(),Holidays)-1))</f>
        <v/>
      </c>
      <c r="X778" s="18"/>
      <c r="Y778" s="18"/>
      <c r="Z778" s="17">
        <f>IF($N778="","",COUNT($N778:$S778))</f>
        <v/>
      </c>
      <c r="AA778" s="19">
        <f>IF($Z778="","",INT(INDEX($N778:$S778,$Z778)))</f>
        <v/>
      </c>
      <c r="AB778" s="19">
        <f>IF(OR($Z778="",$Z778=6),"",WORKDAY($AA778,CHOOSE($Z778,3,3,2,2,3),Holidays))</f>
        <v/>
      </c>
      <c r="AC778" s="17">
        <f>IF(OR($Z778="",$Z778=6),"",CHOOSE($Z778,"1st Email Follow-up","2nd Email Follow-up","Escalate Local Office","Escalate to CBE","Escalate to Roxanne"))</f>
        <v/>
      </c>
    </row>
    <row r="779" spans="13:29">
      <c r="M779" s="14"/>
      <c r="T779" s="16"/>
      <c r="U779" s="17">
        <f>IF(AND(COUNTA($A779:$L779)=0,$N779=""),"",IF($T779="Paid","PAID",IF($T779="Closed","CLOSED",IF($Z779="","",IF($Z779=6,"ESCALATED TO ROXANNE",IF(TODAY()&gt;$AB779,"OVERDUE",IF($AB779&lt;=WORKDAY(TODAY(),1,Holidays),"DUE TOMORROW",IF($Z779=4,"ESCALATED TO LOCAL OFFICE",IF($Z779=5,"ESCALATED TO CBE",IF($AA779=TODAY(),"EMAIL SENT","MONITORING"))))))))))</f>
        <v/>
      </c>
      <c r="V779" s="17">
        <f>IF($U779="",IF(AND(COUNTA($A779:$L779)&gt;0,$N779=""),"Awaiting Collection Email time stamp.",""),IF(OR($U779="PAID",$U779="CLOSED"),IF($U779="PAID","Account paid. Action completed.","Account closed. No further action required."),CHOOSE($Z779,"Collection Email","1st Email Follow-up","2nd Email Follow-up","Escalation to Local Office","Escalation to CBE","Escalation to Roxanne")&amp;" sent "&amp;TEXT($AA779,"dd-mmm")&amp;". "&amp;IF($Z779=6,"Final escalation completed.",IF($U779="OVERDUE","Next: "&amp;$AC779&amp;" was due "&amp;TEXT($AB779,"dd-mmm")&amp;" - "&amp;(NETWORKDAYS($AB779,TODAY(),Holidays)-1)&amp;" business day(s) late. Send now.",IF($U779="DUE TOMORROW","Next: "&amp;$AC779&amp;IF($AB779&lt;=TODAY()," is due TODAY ("," is due next business day (")&amp;TEXT($AB779,"dd-mmm")&amp;").","Next: "&amp;$AC779&amp;" due "&amp;TEXT($AB779,"dd-mmm")&amp;" ("&amp;(NETWORKDAYS(TODAY(),$AB779,Holidays)-1)&amp;" business day(s) left).")))))</f>
        <v/>
      </c>
      <c r="W779" s="17">
        <f>IF($Z779="","",CHOOSE($Z779,"Collection Email","1st Follow-up","2nd Follow-up","Local Office","CBE","Roxanne")&amp;IF($Z779=6," - Final"," - Day "&amp;MAX(0,NETWORKDAYS($AA779,TODAY(),Holidays)-1)&amp;" of "&amp;CHOOSE($Z779,3,3,2,2,3))&amp;" | Total Day "&amp;MAX(0,NETWORKDAYS($N779,TODAY(),Holidays)-1))</f>
        <v/>
      </c>
      <c r="X779" s="18"/>
      <c r="Y779" s="18"/>
      <c r="Z779" s="17">
        <f>IF($N779="","",COUNT($N779:$S779))</f>
        <v/>
      </c>
      <c r="AA779" s="19">
        <f>IF($Z779="","",INT(INDEX($N779:$S779,$Z779)))</f>
        <v/>
      </c>
      <c r="AB779" s="19">
        <f>IF(OR($Z779="",$Z779=6),"",WORKDAY($AA779,CHOOSE($Z779,3,3,2,2,3),Holidays))</f>
        <v/>
      </c>
      <c r="AC779" s="17">
        <f>IF(OR($Z779="",$Z779=6),"",CHOOSE($Z779,"1st Email Follow-up","2nd Email Follow-up","Escalate Local Office","Escalate to CBE","Escalate to Roxanne"))</f>
        <v/>
      </c>
    </row>
    <row r="780" spans="13:29">
      <c r="M780" s="14"/>
      <c r="T780" s="16"/>
      <c r="U780" s="17">
        <f>IF(AND(COUNTA($A780:$L780)=0,$N780=""),"",IF($T780="Paid","PAID",IF($T780="Closed","CLOSED",IF($Z780="","",IF($Z780=6,"ESCALATED TO ROXANNE",IF(TODAY()&gt;$AB780,"OVERDUE",IF($AB780&lt;=WORKDAY(TODAY(),1,Holidays),"DUE TOMORROW",IF($Z780=4,"ESCALATED TO LOCAL OFFICE",IF($Z780=5,"ESCALATED TO CBE",IF($AA780=TODAY(),"EMAIL SENT","MONITORING"))))))))))</f>
        <v/>
      </c>
      <c r="V780" s="17">
        <f>IF($U780="",IF(AND(COUNTA($A780:$L780)&gt;0,$N780=""),"Awaiting Collection Email time stamp.",""),IF(OR($U780="PAID",$U780="CLOSED"),IF($U780="PAID","Account paid. Action completed.","Account closed. No further action required."),CHOOSE($Z780,"Collection Email","1st Email Follow-up","2nd Email Follow-up","Escalation to Local Office","Escalation to CBE","Escalation to Roxanne")&amp;" sent "&amp;TEXT($AA780,"dd-mmm")&amp;". "&amp;IF($Z780=6,"Final escalation completed.",IF($U780="OVERDUE","Next: "&amp;$AC780&amp;" was due "&amp;TEXT($AB780,"dd-mmm")&amp;" - "&amp;(NETWORKDAYS($AB780,TODAY(),Holidays)-1)&amp;" business day(s) late. Send now.",IF($U780="DUE TOMORROW","Next: "&amp;$AC780&amp;IF($AB780&lt;=TODAY()," is due TODAY ("," is due next business day (")&amp;TEXT($AB780,"dd-mmm")&amp;").","Next: "&amp;$AC780&amp;" due "&amp;TEXT($AB780,"dd-mmm")&amp;" ("&amp;(NETWORKDAYS(TODAY(),$AB780,Holidays)-1)&amp;" business day(s) left).")))))</f>
        <v/>
      </c>
      <c r="W780" s="17">
        <f>IF($Z780="","",CHOOSE($Z780,"Collection Email","1st Follow-up","2nd Follow-up","Local Office","CBE","Roxanne")&amp;IF($Z780=6," - Final"," - Day "&amp;MAX(0,NETWORKDAYS($AA780,TODAY(),Holidays)-1)&amp;" of "&amp;CHOOSE($Z780,3,3,2,2,3))&amp;" | Total Day "&amp;MAX(0,NETWORKDAYS($N780,TODAY(),Holidays)-1))</f>
        <v/>
      </c>
      <c r="X780" s="18"/>
      <c r="Y780" s="18"/>
      <c r="Z780" s="17">
        <f>IF($N780="","",COUNT($N780:$S780))</f>
        <v/>
      </c>
      <c r="AA780" s="19">
        <f>IF($Z780="","",INT(INDEX($N780:$S780,$Z780)))</f>
        <v/>
      </c>
      <c r="AB780" s="19">
        <f>IF(OR($Z780="",$Z780=6),"",WORKDAY($AA780,CHOOSE($Z780,3,3,2,2,3),Holidays))</f>
        <v/>
      </c>
      <c r="AC780" s="17">
        <f>IF(OR($Z780="",$Z780=6),"",CHOOSE($Z780,"1st Email Follow-up","2nd Email Follow-up","Escalate Local Office","Escalate to CBE","Escalate to Roxanne"))</f>
        <v/>
      </c>
    </row>
    <row r="781" spans="13:29">
      <c r="M781" s="14"/>
      <c r="T781" s="16"/>
      <c r="U781" s="17">
        <f>IF(AND(COUNTA($A781:$L781)=0,$N781=""),"",IF($T781="Paid","PAID",IF($T781="Closed","CLOSED",IF($Z781="","",IF($Z781=6,"ESCALATED TO ROXANNE",IF(TODAY()&gt;$AB781,"OVERDUE",IF($AB781&lt;=WORKDAY(TODAY(),1,Holidays),"DUE TOMORROW",IF($Z781=4,"ESCALATED TO LOCAL OFFICE",IF($Z781=5,"ESCALATED TO CBE",IF($AA781=TODAY(),"EMAIL SENT","MONITORING"))))))))))</f>
        <v/>
      </c>
      <c r="V781" s="17">
        <f>IF($U781="",IF(AND(COUNTA($A781:$L781)&gt;0,$N781=""),"Awaiting Collection Email time stamp.",""),IF(OR($U781="PAID",$U781="CLOSED"),IF($U781="PAID","Account paid. Action completed.","Account closed. No further action required."),CHOOSE($Z781,"Collection Email","1st Email Follow-up","2nd Email Follow-up","Escalation to Local Office","Escalation to CBE","Escalation to Roxanne")&amp;" sent "&amp;TEXT($AA781,"dd-mmm")&amp;". "&amp;IF($Z781=6,"Final escalation completed.",IF($U781="OVERDUE","Next: "&amp;$AC781&amp;" was due "&amp;TEXT($AB781,"dd-mmm")&amp;" - "&amp;(NETWORKDAYS($AB781,TODAY(),Holidays)-1)&amp;" business day(s) late. Send now.",IF($U781="DUE TOMORROW","Next: "&amp;$AC781&amp;IF($AB781&lt;=TODAY()," is due TODAY ("," is due next business day (")&amp;TEXT($AB781,"dd-mmm")&amp;").","Next: "&amp;$AC781&amp;" due "&amp;TEXT($AB781,"dd-mmm")&amp;" ("&amp;(NETWORKDAYS(TODAY(),$AB781,Holidays)-1)&amp;" business day(s) left).")))))</f>
        <v/>
      </c>
      <c r="W781" s="17">
        <f>IF($Z781="","",CHOOSE($Z781,"Collection Email","1st Follow-up","2nd Follow-up","Local Office","CBE","Roxanne")&amp;IF($Z781=6," - Final"," - Day "&amp;MAX(0,NETWORKDAYS($AA781,TODAY(),Holidays)-1)&amp;" of "&amp;CHOOSE($Z781,3,3,2,2,3))&amp;" | Total Day "&amp;MAX(0,NETWORKDAYS($N781,TODAY(),Holidays)-1))</f>
        <v/>
      </c>
      <c r="X781" s="18"/>
      <c r="Y781" s="18"/>
      <c r="Z781" s="17">
        <f>IF($N781="","",COUNT($N781:$S781))</f>
        <v/>
      </c>
      <c r="AA781" s="19">
        <f>IF($Z781="","",INT(INDEX($N781:$S781,$Z781)))</f>
        <v/>
      </c>
      <c r="AB781" s="19">
        <f>IF(OR($Z781="",$Z781=6),"",WORKDAY($AA781,CHOOSE($Z781,3,3,2,2,3),Holidays))</f>
        <v/>
      </c>
      <c r="AC781" s="17">
        <f>IF(OR($Z781="",$Z781=6),"",CHOOSE($Z781,"1st Email Follow-up","2nd Email Follow-up","Escalate Local Office","Escalate to CBE","Escalate to Roxanne"))</f>
        <v/>
      </c>
    </row>
    <row r="782" spans="13:29">
      <c r="M782" s="14"/>
      <c r="T782" s="16"/>
      <c r="U782" s="17">
        <f>IF(AND(COUNTA($A782:$L782)=0,$N782=""),"",IF($T782="Paid","PAID",IF($T782="Closed","CLOSED",IF($Z782="","",IF($Z782=6,"ESCALATED TO ROXANNE",IF(TODAY()&gt;$AB782,"OVERDUE",IF($AB782&lt;=WORKDAY(TODAY(),1,Holidays),"DUE TOMORROW",IF($Z782=4,"ESCALATED TO LOCAL OFFICE",IF($Z782=5,"ESCALATED TO CBE",IF($AA782=TODAY(),"EMAIL SENT","MONITORING"))))))))))</f>
        <v/>
      </c>
      <c r="V782" s="17">
        <f>IF($U782="",IF(AND(COUNTA($A782:$L782)&gt;0,$N782=""),"Awaiting Collection Email time stamp.",""),IF(OR($U782="PAID",$U782="CLOSED"),IF($U782="PAID","Account paid. Action completed.","Account closed. No further action required."),CHOOSE($Z782,"Collection Email","1st Email Follow-up","2nd Email Follow-up","Escalation to Local Office","Escalation to CBE","Escalation to Roxanne")&amp;" sent "&amp;TEXT($AA782,"dd-mmm")&amp;". "&amp;IF($Z782=6,"Final escalation completed.",IF($U782="OVERDUE","Next: "&amp;$AC782&amp;" was due "&amp;TEXT($AB782,"dd-mmm")&amp;" - "&amp;(NETWORKDAYS($AB782,TODAY(),Holidays)-1)&amp;" business day(s) late. Send now.",IF($U782="DUE TOMORROW","Next: "&amp;$AC782&amp;IF($AB782&lt;=TODAY()," is due TODAY ("," is due next business day (")&amp;TEXT($AB782,"dd-mmm")&amp;").","Next: "&amp;$AC782&amp;" due "&amp;TEXT($AB782,"dd-mmm")&amp;" ("&amp;(NETWORKDAYS(TODAY(),$AB782,Holidays)-1)&amp;" business day(s) left).")))))</f>
        <v/>
      </c>
      <c r="W782" s="17">
        <f>IF($Z782="","",CHOOSE($Z782,"Collection Email","1st Follow-up","2nd Follow-up","Local Office","CBE","Roxanne")&amp;IF($Z782=6," - Final"," - Day "&amp;MAX(0,NETWORKDAYS($AA782,TODAY(),Holidays)-1)&amp;" of "&amp;CHOOSE($Z782,3,3,2,2,3))&amp;" | Total Day "&amp;MAX(0,NETWORKDAYS($N782,TODAY(),Holidays)-1))</f>
        <v/>
      </c>
      <c r="X782" s="18"/>
      <c r="Y782" s="18"/>
      <c r="Z782" s="17">
        <f>IF($N782="","",COUNT($N782:$S782))</f>
        <v/>
      </c>
      <c r="AA782" s="19">
        <f>IF($Z782="","",INT(INDEX($N782:$S782,$Z782)))</f>
        <v/>
      </c>
      <c r="AB782" s="19">
        <f>IF(OR($Z782="",$Z782=6),"",WORKDAY($AA782,CHOOSE($Z782,3,3,2,2,3),Holidays))</f>
        <v/>
      </c>
      <c r="AC782" s="17">
        <f>IF(OR($Z782="",$Z782=6),"",CHOOSE($Z782,"1st Email Follow-up","2nd Email Follow-up","Escalate Local Office","Escalate to CBE","Escalate to Roxanne"))</f>
        <v/>
      </c>
    </row>
    <row r="783" spans="13:29">
      <c r="M783" s="14"/>
      <c r="T783" s="16"/>
      <c r="U783" s="17">
        <f>IF(AND(COUNTA($A783:$L783)=0,$N783=""),"",IF($T783="Paid","PAID",IF($T783="Closed","CLOSED",IF($Z783="","",IF($Z783=6,"ESCALATED TO ROXANNE",IF(TODAY()&gt;$AB783,"OVERDUE",IF($AB783&lt;=WORKDAY(TODAY(),1,Holidays),"DUE TOMORROW",IF($Z783=4,"ESCALATED TO LOCAL OFFICE",IF($Z783=5,"ESCALATED TO CBE",IF($AA783=TODAY(),"EMAIL SENT","MONITORING"))))))))))</f>
        <v/>
      </c>
      <c r="V783" s="17">
        <f>IF($U783="",IF(AND(COUNTA($A783:$L783)&gt;0,$N783=""),"Awaiting Collection Email time stamp.",""),IF(OR($U783="PAID",$U783="CLOSED"),IF($U783="PAID","Account paid. Action completed.","Account closed. No further action required."),CHOOSE($Z783,"Collection Email","1st Email Follow-up","2nd Email Follow-up","Escalation to Local Office","Escalation to CBE","Escalation to Roxanne")&amp;" sent "&amp;TEXT($AA783,"dd-mmm")&amp;". "&amp;IF($Z783=6,"Final escalation completed.",IF($U783="OVERDUE","Next: "&amp;$AC783&amp;" was due "&amp;TEXT($AB783,"dd-mmm")&amp;" - "&amp;(NETWORKDAYS($AB783,TODAY(),Holidays)-1)&amp;" business day(s) late. Send now.",IF($U783="DUE TOMORROW","Next: "&amp;$AC783&amp;IF($AB783&lt;=TODAY()," is due TODAY ("," is due next business day (")&amp;TEXT($AB783,"dd-mmm")&amp;").","Next: "&amp;$AC783&amp;" due "&amp;TEXT($AB783,"dd-mmm")&amp;" ("&amp;(NETWORKDAYS(TODAY(),$AB783,Holidays)-1)&amp;" business day(s) left).")))))</f>
        <v/>
      </c>
      <c r="W783" s="17">
        <f>IF($Z783="","",CHOOSE($Z783,"Collection Email","1st Follow-up","2nd Follow-up","Local Office","CBE","Roxanne")&amp;IF($Z783=6," - Final"," - Day "&amp;MAX(0,NETWORKDAYS($AA783,TODAY(),Holidays)-1)&amp;" of "&amp;CHOOSE($Z783,3,3,2,2,3))&amp;" | Total Day "&amp;MAX(0,NETWORKDAYS($N783,TODAY(),Holidays)-1))</f>
        <v/>
      </c>
      <c r="X783" s="18"/>
      <c r="Y783" s="18"/>
      <c r="Z783" s="17">
        <f>IF($N783="","",COUNT($N783:$S783))</f>
        <v/>
      </c>
      <c r="AA783" s="19">
        <f>IF($Z783="","",INT(INDEX($N783:$S783,$Z783)))</f>
        <v/>
      </c>
      <c r="AB783" s="19">
        <f>IF(OR($Z783="",$Z783=6),"",WORKDAY($AA783,CHOOSE($Z783,3,3,2,2,3),Holidays))</f>
        <v/>
      </c>
      <c r="AC783" s="17">
        <f>IF(OR($Z783="",$Z783=6),"",CHOOSE($Z783,"1st Email Follow-up","2nd Email Follow-up","Escalate Local Office","Escalate to CBE","Escalate to Roxanne"))</f>
        <v/>
      </c>
    </row>
    <row r="784" spans="13:29">
      <c r="M784" s="14"/>
      <c r="T784" s="16"/>
      <c r="U784" s="17">
        <f>IF(AND(COUNTA($A784:$L784)=0,$N784=""),"",IF($T784="Paid","PAID",IF($T784="Closed","CLOSED",IF($Z784="","",IF($Z784=6,"ESCALATED TO ROXANNE",IF(TODAY()&gt;$AB784,"OVERDUE",IF($AB784&lt;=WORKDAY(TODAY(),1,Holidays),"DUE TOMORROW",IF($Z784=4,"ESCALATED TO LOCAL OFFICE",IF($Z784=5,"ESCALATED TO CBE",IF($AA784=TODAY(),"EMAIL SENT","MONITORING"))))))))))</f>
        <v/>
      </c>
      <c r="V784" s="17">
        <f>IF($U784="",IF(AND(COUNTA($A784:$L784)&gt;0,$N784=""),"Awaiting Collection Email time stamp.",""),IF(OR($U784="PAID",$U784="CLOSED"),IF($U784="PAID","Account paid. Action completed.","Account closed. No further action required."),CHOOSE($Z784,"Collection Email","1st Email Follow-up","2nd Email Follow-up","Escalation to Local Office","Escalation to CBE","Escalation to Roxanne")&amp;" sent "&amp;TEXT($AA784,"dd-mmm")&amp;". "&amp;IF($Z784=6,"Final escalation completed.",IF($U784="OVERDUE","Next: "&amp;$AC784&amp;" was due "&amp;TEXT($AB784,"dd-mmm")&amp;" - "&amp;(NETWORKDAYS($AB784,TODAY(),Holidays)-1)&amp;" business day(s) late. Send now.",IF($U784="DUE TOMORROW","Next: "&amp;$AC784&amp;IF($AB784&lt;=TODAY()," is due TODAY ("," is due next business day (")&amp;TEXT($AB784,"dd-mmm")&amp;").","Next: "&amp;$AC784&amp;" due "&amp;TEXT($AB784,"dd-mmm")&amp;" ("&amp;(NETWORKDAYS(TODAY(),$AB784,Holidays)-1)&amp;" business day(s) left).")))))</f>
        <v/>
      </c>
      <c r="W784" s="17">
        <f>IF($Z784="","",CHOOSE($Z784,"Collection Email","1st Follow-up","2nd Follow-up","Local Office","CBE","Roxanne")&amp;IF($Z784=6," - Final"," - Day "&amp;MAX(0,NETWORKDAYS($AA784,TODAY(),Holidays)-1)&amp;" of "&amp;CHOOSE($Z784,3,3,2,2,3))&amp;" | Total Day "&amp;MAX(0,NETWORKDAYS($N784,TODAY(),Holidays)-1))</f>
        <v/>
      </c>
      <c r="X784" s="18"/>
      <c r="Y784" s="18"/>
      <c r="Z784" s="17">
        <f>IF($N784="","",COUNT($N784:$S784))</f>
        <v/>
      </c>
      <c r="AA784" s="19">
        <f>IF($Z784="","",INT(INDEX($N784:$S784,$Z784)))</f>
        <v/>
      </c>
      <c r="AB784" s="19">
        <f>IF(OR($Z784="",$Z784=6),"",WORKDAY($AA784,CHOOSE($Z784,3,3,2,2,3),Holidays))</f>
        <v/>
      </c>
      <c r="AC784" s="17">
        <f>IF(OR($Z784="",$Z784=6),"",CHOOSE($Z784,"1st Email Follow-up","2nd Email Follow-up","Escalate Local Office","Escalate to CBE","Escalate to Roxanne"))</f>
        <v/>
      </c>
    </row>
    <row r="785" spans="13:29">
      <c r="M785" s="14"/>
      <c r="T785" s="16"/>
      <c r="U785" s="17">
        <f>IF(AND(COUNTA($A785:$L785)=0,$N785=""),"",IF($T785="Paid","PAID",IF($T785="Closed","CLOSED",IF($Z785="","",IF($Z785=6,"ESCALATED TO ROXANNE",IF(TODAY()&gt;$AB785,"OVERDUE",IF($AB785&lt;=WORKDAY(TODAY(),1,Holidays),"DUE TOMORROW",IF($Z785=4,"ESCALATED TO LOCAL OFFICE",IF($Z785=5,"ESCALATED TO CBE",IF($AA785=TODAY(),"EMAIL SENT","MONITORING"))))))))))</f>
        <v/>
      </c>
      <c r="V785" s="17">
        <f>IF($U785="",IF(AND(COUNTA($A785:$L785)&gt;0,$N785=""),"Awaiting Collection Email time stamp.",""),IF(OR($U785="PAID",$U785="CLOSED"),IF($U785="PAID","Account paid. Action completed.","Account closed. No further action required."),CHOOSE($Z785,"Collection Email","1st Email Follow-up","2nd Email Follow-up","Escalation to Local Office","Escalation to CBE","Escalation to Roxanne")&amp;" sent "&amp;TEXT($AA785,"dd-mmm")&amp;". "&amp;IF($Z785=6,"Final escalation completed.",IF($U785="OVERDUE","Next: "&amp;$AC785&amp;" was due "&amp;TEXT($AB785,"dd-mmm")&amp;" - "&amp;(NETWORKDAYS($AB785,TODAY(),Holidays)-1)&amp;" business day(s) late. Send now.",IF($U785="DUE TOMORROW","Next: "&amp;$AC785&amp;IF($AB785&lt;=TODAY()," is due TODAY ("," is due next business day (")&amp;TEXT($AB785,"dd-mmm")&amp;").","Next: "&amp;$AC785&amp;" due "&amp;TEXT($AB785,"dd-mmm")&amp;" ("&amp;(NETWORKDAYS(TODAY(),$AB785,Holidays)-1)&amp;" business day(s) left).")))))</f>
        <v/>
      </c>
      <c r="W785" s="17">
        <f>IF($Z785="","",CHOOSE($Z785,"Collection Email","1st Follow-up","2nd Follow-up","Local Office","CBE","Roxanne")&amp;IF($Z785=6," - Final"," - Day "&amp;MAX(0,NETWORKDAYS($AA785,TODAY(),Holidays)-1)&amp;" of "&amp;CHOOSE($Z785,3,3,2,2,3))&amp;" | Total Day "&amp;MAX(0,NETWORKDAYS($N785,TODAY(),Holidays)-1))</f>
        <v/>
      </c>
      <c r="X785" s="18"/>
      <c r="Y785" s="18"/>
      <c r="Z785" s="17">
        <f>IF($N785="","",COUNT($N785:$S785))</f>
        <v/>
      </c>
      <c r="AA785" s="19">
        <f>IF($Z785="","",INT(INDEX($N785:$S785,$Z785)))</f>
        <v/>
      </c>
      <c r="AB785" s="19">
        <f>IF(OR($Z785="",$Z785=6),"",WORKDAY($AA785,CHOOSE($Z785,3,3,2,2,3),Holidays))</f>
        <v/>
      </c>
      <c r="AC785" s="17">
        <f>IF(OR($Z785="",$Z785=6),"",CHOOSE($Z785,"1st Email Follow-up","2nd Email Follow-up","Escalate Local Office","Escalate to CBE","Escalate to Roxanne"))</f>
        <v/>
      </c>
    </row>
    <row r="786" spans="13:29">
      <c r="M786" s="14"/>
      <c r="T786" s="16"/>
      <c r="U786" s="17">
        <f>IF(AND(COUNTA($A786:$L786)=0,$N786=""),"",IF($T786="Paid","PAID",IF($T786="Closed","CLOSED",IF($Z786="","",IF($Z786=6,"ESCALATED TO ROXANNE",IF(TODAY()&gt;$AB786,"OVERDUE",IF($AB786&lt;=WORKDAY(TODAY(),1,Holidays),"DUE TOMORROW",IF($Z786=4,"ESCALATED TO LOCAL OFFICE",IF($Z786=5,"ESCALATED TO CBE",IF($AA786=TODAY(),"EMAIL SENT","MONITORING"))))))))))</f>
        <v/>
      </c>
      <c r="V786" s="17">
        <f>IF($U786="",IF(AND(COUNTA($A786:$L786)&gt;0,$N786=""),"Awaiting Collection Email time stamp.",""),IF(OR($U786="PAID",$U786="CLOSED"),IF($U786="PAID","Account paid. Action completed.","Account closed. No further action required."),CHOOSE($Z786,"Collection Email","1st Email Follow-up","2nd Email Follow-up","Escalation to Local Office","Escalation to CBE","Escalation to Roxanne")&amp;" sent "&amp;TEXT($AA786,"dd-mmm")&amp;". "&amp;IF($Z786=6,"Final escalation completed.",IF($U786="OVERDUE","Next: "&amp;$AC786&amp;" was due "&amp;TEXT($AB786,"dd-mmm")&amp;" - "&amp;(NETWORKDAYS($AB786,TODAY(),Holidays)-1)&amp;" business day(s) late. Send now.",IF($U786="DUE TOMORROW","Next: "&amp;$AC786&amp;IF($AB786&lt;=TODAY()," is due TODAY ("," is due next business day (")&amp;TEXT($AB786,"dd-mmm")&amp;").","Next: "&amp;$AC786&amp;" due "&amp;TEXT($AB786,"dd-mmm")&amp;" ("&amp;(NETWORKDAYS(TODAY(),$AB786,Holidays)-1)&amp;" business day(s) left).")))))</f>
        <v/>
      </c>
      <c r="W786" s="17">
        <f>IF($Z786="","",CHOOSE($Z786,"Collection Email","1st Follow-up","2nd Follow-up","Local Office","CBE","Roxanne")&amp;IF($Z786=6," - Final"," - Day "&amp;MAX(0,NETWORKDAYS($AA786,TODAY(),Holidays)-1)&amp;" of "&amp;CHOOSE($Z786,3,3,2,2,3))&amp;" | Total Day "&amp;MAX(0,NETWORKDAYS($N786,TODAY(),Holidays)-1))</f>
        <v/>
      </c>
      <c r="X786" s="18"/>
      <c r="Y786" s="18"/>
      <c r="Z786" s="17">
        <f>IF($N786="","",COUNT($N786:$S786))</f>
        <v/>
      </c>
      <c r="AA786" s="19">
        <f>IF($Z786="","",INT(INDEX($N786:$S786,$Z786)))</f>
        <v/>
      </c>
      <c r="AB786" s="19">
        <f>IF(OR($Z786="",$Z786=6),"",WORKDAY($AA786,CHOOSE($Z786,3,3,2,2,3),Holidays))</f>
        <v/>
      </c>
      <c r="AC786" s="17">
        <f>IF(OR($Z786="",$Z786=6),"",CHOOSE($Z786,"1st Email Follow-up","2nd Email Follow-up","Escalate Local Office","Escalate to CBE","Escalate to Roxanne"))</f>
        <v/>
      </c>
    </row>
    <row r="787" spans="13:29">
      <c r="M787" s="14"/>
      <c r="T787" s="16"/>
      <c r="U787" s="17">
        <f>IF(AND(COUNTA($A787:$L787)=0,$N787=""),"",IF($T787="Paid","PAID",IF($T787="Closed","CLOSED",IF($Z787="","",IF($Z787=6,"ESCALATED TO ROXANNE",IF(TODAY()&gt;$AB787,"OVERDUE",IF($AB787&lt;=WORKDAY(TODAY(),1,Holidays),"DUE TOMORROW",IF($Z787=4,"ESCALATED TO LOCAL OFFICE",IF($Z787=5,"ESCALATED TO CBE",IF($AA787=TODAY(),"EMAIL SENT","MONITORING"))))))))))</f>
        <v/>
      </c>
      <c r="V787" s="17">
        <f>IF($U787="",IF(AND(COUNTA($A787:$L787)&gt;0,$N787=""),"Awaiting Collection Email time stamp.",""),IF(OR($U787="PAID",$U787="CLOSED"),IF($U787="PAID","Account paid. Action completed.","Account closed. No further action required."),CHOOSE($Z787,"Collection Email","1st Email Follow-up","2nd Email Follow-up","Escalation to Local Office","Escalation to CBE","Escalation to Roxanne")&amp;" sent "&amp;TEXT($AA787,"dd-mmm")&amp;". "&amp;IF($Z787=6,"Final escalation completed.",IF($U787="OVERDUE","Next: "&amp;$AC787&amp;" was due "&amp;TEXT($AB787,"dd-mmm")&amp;" - "&amp;(NETWORKDAYS($AB787,TODAY(),Holidays)-1)&amp;" business day(s) late. Send now.",IF($U787="DUE TOMORROW","Next: "&amp;$AC787&amp;IF($AB787&lt;=TODAY()," is due TODAY ("," is due next business day (")&amp;TEXT($AB787,"dd-mmm")&amp;").","Next: "&amp;$AC787&amp;" due "&amp;TEXT($AB787,"dd-mmm")&amp;" ("&amp;(NETWORKDAYS(TODAY(),$AB787,Holidays)-1)&amp;" business day(s) left).")))))</f>
        <v/>
      </c>
      <c r="W787" s="17">
        <f>IF($Z787="","",CHOOSE($Z787,"Collection Email","1st Follow-up","2nd Follow-up","Local Office","CBE","Roxanne")&amp;IF($Z787=6," - Final"," - Day "&amp;MAX(0,NETWORKDAYS($AA787,TODAY(),Holidays)-1)&amp;" of "&amp;CHOOSE($Z787,3,3,2,2,3))&amp;" | Total Day "&amp;MAX(0,NETWORKDAYS($N787,TODAY(),Holidays)-1))</f>
        <v/>
      </c>
      <c r="X787" s="18"/>
      <c r="Y787" s="18"/>
      <c r="Z787" s="17">
        <f>IF($N787="","",COUNT($N787:$S787))</f>
        <v/>
      </c>
      <c r="AA787" s="19">
        <f>IF($Z787="","",INT(INDEX($N787:$S787,$Z787)))</f>
        <v/>
      </c>
      <c r="AB787" s="19">
        <f>IF(OR($Z787="",$Z787=6),"",WORKDAY($AA787,CHOOSE($Z787,3,3,2,2,3),Holidays))</f>
        <v/>
      </c>
      <c r="AC787" s="17">
        <f>IF(OR($Z787="",$Z787=6),"",CHOOSE($Z787,"1st Email Follow-up","2nd Email Follow-up","Escalate Local Office","Escalate to CBE","Escalate to Roxanne"))</f>
        <v/>
      </c>
    </row>
    <row r="788" spans="13:29">
      <c r="M788" s="14"/>
      <c r="T788" s="16"/>
      <c r="U788" s="17">
        <f>IF(AND(COUNTA($A788:$L788)=0,$N788=""),"",IF($T788="Paid","PAID",IF($T788="Closed","CLOSED",IF($Z788="","",IF($Z788=6,"ESCALATED TO ROXANNE",IF(TODAY()&gt;$AB788,"OVERDUE",IF($AB788&lt;=WORKDAY(TODAY(),1,Holidays),"DUE TOMORROW",IF($Z788=4,"ESCALATED TO LOCAL OFFICE",IF($Z788=5,"ESCALATED TO CBE",IF($AA788=TODAY(),"EMAIL SENT","MONITORING"))))))))))</f>
        <v/>
      </c>
      <c r="V788" s="17">
        <f>IF($U788="",IF(AND(COUNTA($A788:$L788)&gt;0,$N788=""),"Awaiting Collection Email time stamp.",""),IF(OR($U788="PAID",$U788="CLOSED"),IF($U788="PAID","Account paid. Action completed.","Account closed. No further action required."),CHOOSE($Z788,"Collection Email","1st Email Follow-up","2nd Email Follow-up","Escalation to Local Office","Escalation to CBE","Escalation to Roxanne")&amp;" sent "&amp;TEXT($AA788,"dd-mmm")&amp;". "&amp;IF($Z788=6,"Final escalation completed.",IF($U788="OVERDUE","Next: "&amp;$AC788&amp;" was due "&amp;TEXT($AB788,"dd-mmm")&amp;" - "&amp;(NETWORKDAYS($AB788,TODAY(),Holidays)-1)&amp;" business day(s) late. Send now.",IF($U788="DUE TOMORROW","Next: "&amp;$AC788&amp;IF($AB788&lt;=TODAY()," is due TODAY ("," is due next business day (")&amp;TEXT($AB788,"dd-mmm")&amp;").","Next: "&amp;$AC788&amp;" due "&amp;TEXT($AB788,"dd-mmm")&amp;" ("&amp;(NETWORKDAYS(TODAY(),$AB788,Holidays)-1)&amp;" business day(s) left).")))))</f>
        <v/>
      </c>
      <c r="W788" s="17">
        <f>IF($Z788="","",CHOOSE($Z788,"Collection Email","1st Follow-up","2nd Follow-up","Local Office","CBE","Roxanne")&amp;IF($Z788=6," - Final"," - Day "&amp;MAX(0,NETWORKDAYS($AA788,TODAY(),Holidays)-1)&amp;" of "&amp;CHOOSE($Z788,3,3,2,2,3))&amp;" | Total Day "&amp;MAX(0,NETWORKDAYS($N788,TODAY(),Holidays)-1))</f>
        <v/>
      </c>
      <c r="X788" s="18"/>
      <c r="Y788" s="18"/>
      <c r="Z788" s="17">
        <f>IF($N788="","",COUNT($N788:$S788))</f>
        <v/>
      </c>
      <c r="AA788" s="19">
        <f>IF($Z788="","",INT(INDEX($N788:$S788,$Z788)))</f>
        <v/>
      </c>
      <c r="AB788" s="19">
        <f>IF(OR($Z788="",$Z788=6),"",WORKDAY($AA788,CHOOSE($Z788,3,3,2,2,3),Holidays))</f>
        <v/>
      </c>
      <c r="AC788" s="17">
        <f>IF(OR($Z788="",$Z788=6),"",CHOOSE($Z788,"1st Email Follow-up","2nd Email Follow-up","Escalate Local Office","Escalate to CBE","Escalate to Roxanne"))</f>
        <v/>
      </c>
    </row>
    <row r="789" spans="13:29">
      <c r="M789" s="14"/>
      <c r="T789" s="16"/>
      <c r="U789" s="17">
        <f>IF(AND(COUNTA($A789:$L789)=0,$N789=""),"",IF($T789="Paid","PAID",IF($T789="Closed","CLOSED",IF($Z789="","",IF($Z789=6,"ESCALATED TO ROXANNE",IF(TODAY()&gt;$AB789,"OVERDUE",IF($AB789&lt;=WORKDAY(TODAY(),1,Holidays),"DUE TOMORROW",IF($Z789=4,"ESCALATED TO LOCAL OFFICE",IF($Z789=5,"ESCALATED TO CBE",IF($AA789=TODAY(),"EMAIL SENT","MONITORING"))))))))))</f>
        <v/>
      </c>
      <c r="V789" s="17">
        <f>IF($U789="",IF(AND(COUNTA($A789:$L789)&gt;0,$N789=""),"Awaiting Collection Email time stamp.",""),IF(OR($U789="PAID",$U789="CLOSED"),IF($U789="PAID","Account paid. Action completed.","Account closed. No further action required."),CHOOSE($Z789,"Collection Email","1st Email Follow-up","2nd Email Follow-up","Escalation to Local Office","Escalation to CBE","Escalation to Roxanne")&amp;" sent "&amp;TEXT($AA789,"dd-mmm")&amp;". "&amp;IF($Z789=6,"Final escalation completed.",IF($U789="OVERDUE","Next: "&amp;$AC789&amp;" was due "&amp;TEXT($AB789,"dd-mmm")&amp;" - "&amp;(NETWORKDAYS($AB789,TODAY(),Holidays)-1)&amp;" business day(s) late. Send now.",IF($U789="DUE TOMORROW","Next: "&amp;$AC789&amp;IF($AB789&lt;=TODAY()," is due TODAY ("," is due next business day (")&amp;TEXT($AB789,"dd-mmm")&amp;").","Next: "&amp;$AC789&amp;" due "&amp;TEXT($AB789,"dd-mmm")&amp;" ("&amp;(NETWORKDAYS(TODAY(),$AB789,Holidays)-1)&amp;" business day(s) left).")))))</f>
        <v/>
      </c>
      <c r="W789" s="17">
        <f>IF($Z789="","",CHOOSE($Z789,"Collection Email","1st Follow-up","2nd Follow-up","Local Office","CBE","Roxanne")&amp;IF($Z789=6," - Final"," - Day "&amp;MAX(0,NETWORKDAYS($AA789,TODAY(),Holidays)-1)&amp;" of "&amp;CHOOSE($Z789,3,3,2,2,3))&amp;" | Total Day "&amp;MAX(0,NETWORKDAYS($N789,TODAY(),Holidays)-1))</f>
        <v/>
      </c>
      <c r="X789" s="18"/>
      <c r="Y789" s="18"/>
      <c r="Z789" s="17">
        <f>IF($N789="","",COUNT($N789:$S789))</f>
        <v/>
      </c>
      <c r="AA789" s="19">
        <f>IF($Z789="","",INT(INDEX($N789:$S789,$Z789)))</f>
        <v/>
      </c>
      <c r="AB789" s="19">
        <f>IF(OR($Z789="",$Z789=6),"",WORKDAY($AA789,CHOOSE($Z789,3,3,2,2,3),Holidays))</f>
        <v/>
      </c>
      <c r="AC789" s="17">
        <f>IF(OR($Z789="",$Z789=6),"",CHOOSE($Z789,"1st Email Follow-up","2nd Email Follow-up","Escalate Local Office","Escalate to CBE","Escalate to Roxanne"))</f>
        <v/>
      </c>
    </row>
    <row r="790" spans="13:29">
      <c r="M790" s="14"/>
      <c r="T790" s="16"/>
      <c r="U790" s="17">
        <f>IF(AND(COUNTA($A790:$L790)=0,$N790=""),"",IF($T790="Paid","PAID",IF($T790="Closed","CLOSED",IF($Z790="","",IF($Z790=6,"ESCALATED TO ROXANNE",IF(TODAY()&gt;$AB790,"OVERDUE",IF($AB790&lt;=WORKDAY(TODAY(),1,Holidays),"DUE TOMORROW",IF($Z790=4,"ESCALATED TO LOCAL OFFICE",IF($Z790=5,"ESCALATED TO CBE",IF($AA790=TODAY(),"EMAIL SENT","MONITORING"))))))))))</f>
        <v/>
      </c>
      <c r="V790" s="17">
        <f>IF($U790="",IF(AND(COUNTA($A790:$L790)&gt;0,$N790=""),"Awaiting Collection Email time stamp.",""),IF(OR($U790="PAID",$U790="CLOSED"),IF($U790="PAID","Account paid. Action completed.","Account closed. No further action required."),CHOOSE($Z790,"Collection Email","1st Email Follow-up","2nd Email Follow-up","Escalation to Local Office","Escalation to CBE","Escalation to Roxanne")&amp;" sent "&amp;TEXT($AA790,"dd-mmm")&amp;". "&amp;IF($Z790=6,"Final escalation completed.",IF($U790="OVERDUE","Next: "&amp;$AC790&amp;" was due "&amp;TEXT($AB790,"dd-mmm")&amp;" - "&amp;(NETWORKDAYS($AB790,TODAY(),Holidays)-1)&amp;" business day(s) late. Send now.",IF($U790="DUE TOMORROW","Next: "&amp;$AC790&amp;IF($AB790&lt;=TODAY()," is due TODAY ("," is due next business day (")&amp;TEXT($AB790,"dd-mmm")&amp;").","Next: "&amp;$AC790&amp;" due "&amp;TEXT($AB790,"dd-mmm")&amp;" ("&amp;(NETWORKDAYS(TODAY(),$AB790,Holidays)-1)&amp;" business day(s) left).")))))</f>
        <v/>
      </c>
      <c r="W790" s="17">
        <f>IF($Z790="","",CHOOSE($Z790,"Collection Email","1st Follow-up","2nd Follow-up","Local Office","CBE","Roxanne")&amp;IF($Z790=6," - Final"," - Day "&amp;MAX(0,NETWORKDAYS($AA790,TODAY(),Holidays)-1)&amp;" of "&amp;CHOOSE($Z790,3,3,2,2,3))&amp;" | Total Day "&amp;MAX(0,NETWORKDAYS($N790,TODAY(),Holidays)-1))</f>
        <v/>
      </c>
      <c r="X790" s="18"/>
      <c r="Y790" s="18"/>
      <c r="Z790" s="17">
        <f>IF($N790="","",COUNT($N790:$S790))</f>
        <v/>
      </c>
      <c r="AA790" s="19">
        <f>IF($Z790="","",INT(INDEX($N790:$S790,$Z790)))</f>
        <v/>
      </c>
      <c r="AB790" s="19">
        <f>IF(OR($Z790="",$Z790=6),"",WORKDAY($AA790,CHOOSE($Z790,3,3,2,2,3),Holidays))</f>
        <v/>
      </c>
      <c r="AC790" s="17">
        <f>IF(OR($Z790="",$Z790=6),"",CHOOSE($Z790,"1st Email Follow-up","2nd Email Follow-up","Escalate Local Office","Escalate to CBE","Escalate to Roxanne"))</f>
        <v/>
      </c>
    </row>
    <row r="791" spans="13:29">
      <c r="M791" s="14"/>
      <c r="T791" s="16"/>
      <c r="U791" s="17">
        <f>IF(AND(COUNTA($A791:$L791)=0,$N791=""),"",IF($T791="Paid","PAID",IF($T791="Closed","CLOSED",IF($Z791="","",IF($Z791=6,"ESCALATED TO ROXANNE",IF(TODAY()&gt;$AB791,"OVERDUE",IF($AB791&lt;=WORKDAY(TODAY(),1,Holidays),"DUE TOMORROW",IF($Z791=4,"ESCALATED TO LOCAL OFFICE",IF($Z791=5,"ESCALATED TO CBE",IF($AA791=TODAY(),"EMAIL SENT","MONITORING"))))))))))</f>
        <v/>
      </c>
      <c r="V791" s="17">
        <f>IF($U791="",IF(AND(COUNTA($A791:$L791)&gt;0,$N791=""),"Awaiting Collection Email time stamp.",""),IF(OR($U791="PAID",$U791="CLOSED"),IF($U791="PAID","Account paid. Action completed.","Account closed. No further action required."),CHOOSE($Z791,"Collection Email","1st Email Follow-up","2nd Email Follow-up","Escalation to Local Office","Escalation to CBE","Escalation to Roxanne")&amp;" sent "&amp;TEXT($AA791,"dd-mmm")&amp;". "&amp;IF($Z791=6,"Final escalation completed.",IF($U791="OVERDUE","Next: "&amp;$AC791&amp;" was due "&amp;TEXT($AB791,"dd-mmm")&amp;" - "&amp;(NETWORKDAYS($AB791,TODAY(),Holidays)-1)&amp;" business day(s) late. Send now.",IF($U791="DUE TOMORROW","Next: "&amp;$AC791&amp;IF($AB791&lt;=TODAY()," is due TODAY ("," is due next business day (")&amp;TEXT($AB791,"dd-mmm")&amp;").","Next: "&amp;$AC791&amp;" due "&amp;TEXT($AB791,"dd-mmm")&amp;" ("&amp;(NETWORKDAYS(TODAY(),$AB791,Holidays)-1)&amp;" business day(s) left).")))))</f>
        <v/>
      </c>
      <c r="W791" s="17">
        <f>IF($Z791="","",CHOOSE($Z791,"Collection Email","1st Follow-up","2nd Follow-up","Local Office","CBE","Roxanne")&amp;IF($Z791=6," - Final"," - Day "&amp;MAX(0,NETWORKDAYS($AA791,TODAY(),Holidays)-1)&amp;" of "&amp;CHOOSE($Z791,3,3,2,2,3))&amp;" | Total Day "&amp;MAX(0,NETWORKDAYS($N791,TODAY(),Holidays)-1))</f>
        <v/>
      </c>
      <c r="X791" s="18"/>
      <c r="Y791" s="18"/>
      <c r="Z791" s="17">
        <f>IF($N791="","",COUNT($N791:$S791))</f>
        <v/>
      </c>
      <c r="AA791" s="19">
        <f>IF($Z791="","",INT(INDEX($N791:$S791,$Z791)))</f>
        <v/>
      </c>
      <c r="AB791" s="19">
        <f>IF(OR($Z791="",$Z791=6),"",WORKDAY($AA791,CHOOSE($Z791,3,3,2,2,3),Holidays))</f>
        <v/>
      </c>
      <c r="AC791" s="17">
        <f>IF(OR($Z791="",$Z791=6),"",CHOOSE($Z791,"1st Email Follow-up","2nd Email Follow-up","Escalate Local Office","Escalate to CBE","Escalate to Roxanne"))</f>
        <v/>
      </c>
    </row>
    <row r="792" spans="13:29">
      <c r="M792" s="14"/>
      <c r="T792" s="16"/>
      <c r="U792" s="17">
        <f>IF(AND(COUNTA($A792:$L792)=0,$N792=""),"",IF($T792="Paid","PAID",IF($T792="Closed","CLOSED",IF($Z792="","",IF($Z792=6,"ESCALATED TO ROXANNE",IF(TODAY()&gt;$AB792,"OVERDUE",IF($AB792&lt;=WORKDAY(TODAY(),1,Holidays),"DUE TOMORROW",IF($Z792=4,"ESCALATED TO LOCAL OFFICE",IF($Z792=5,"ESCALATED TO CBE",IF($AA792=TODAY(),"EMAIL SENT","MONITORING"))))))))))</f>
        <v/>
      </c>
      <c r="V792" s="17">
        <f>IF($U792="",IF(AND(COUNTA($A792:$L792)&gt;0,$N792=""),"Awaiting Collection Email time stamp.",""),IF(OR($U792="PAID",$U792="CLOSED"),IF($U792="PAID","Account paid. Action completed.","Account closed. No further action required."),CHOOSE($Z792,"Collection Email","1st Email Follow-up","2nd Email Follow-up","Escalation to Local Office","Escalation to CBE","Escalation to Roxanne")&amp;" sent "&amp;TEXT($AA792,"dd-mmm")&amp;". "&amp;IF($Z792=6,"Final escalation completed.",IF($U792="OVERDUE","Next: "&amp;$AC792&amp;" was due "&amp;TEXT($AB792,"dd-mmm")&amp;" - "&amp;(NETWORKDAYS($AB792,TODAY(),Holidays)-1)&amp;" business day(s) late. Send now.",IF($U792="DUE TOMORROW","Next: "&amp;$AC792&amp;IF($AB792&lt;=TODAY()," is due TODAY ("," is due next business day (")&amp;TEXT($AB792,"dd-mmm")&amp;").","Next: "&amp;$AC792&amp;" due "&amp;TEXT($AB792,"dd-mmm")&amp;" ("&amp;(NETWORKDAYS(TODAY(),$AB792,Holidays)-1)&amp;" business day(s) left).")))))</f>
        <v/>
      </c>
      <c r="W792" s="17">
        <f>IF($Z792="","",CHOOSE($Z792,"Collection Email","1st Follow-up","2nd Follow-up","Local Office","CBE","Roxanne")&amp;IF($Z792=6," - Final"," - Day "&amp;MAX(0,NETWORKDAYS($AA792,TODAY(),Holidays)-1)&amp;" of "&amp;CHOOSE($Z792,3,3,2,2,3))&amp;" | Total Day "&amp;MAX(0,NETWORKDAYS($N792,TODAY(),Holidays)-1))</f>
        <v/>
      </c>
      <c r="X792" s="18"/>
      <c r="Y792" s="18"/>
      <c r="Z792" s="17">
        <f>IF($N792="","",COUNT($N792:$S792))</f>
        <v/>
      </c>
      <c r="AA792" s="19">
        <f>IF($Z792="","",INT(INDEX($N792:$S792,$Z792)))</f>
        <v/>
      </c>
      <c r="AB792" s="19">
        <f>IF(OR($Z792="",$Z792=6),"",WORKDAY($AA792,CHOOSE($Z792,3,3,2,2,3),Holidays))</f>
        <v/>
      </c>
      <c r="AC792" s="17">
        <f>IF(OR($Z792="",$Z792=6),"",CHOOSE($Z792,"1st Email Follow-up","2nd Email Follow-up","Escalate Local Office","Escalate to CBE","Escalate to Roxanne"))</f>
        <v/>
      </c>
    </row>
    <row r="793" spans="13:29">
      <c r="M793" s="14"/>
      <c r="T793" s="16"/>
      <c r="U793" s="17">
        <f>IF(AND(COUNTA($A793:$L793)=0,$N793=""),"",IF($T793="Paid","PAID",IF($T793="Closed","CLOSED",IF($Z793="","",IF($Z793=6,"ESCALATED TO ROXANNE",IF(TODAY()&gt;$AB793,"OVERDUE",IF($AB793&lt;=WORKDAY(TODAY(),1,Holidays),"DUE TOMORROW",IF($Z793=4,"ESCALATED TO LOCAL OFFICE",IF($Z793=5,"ESCALATED TO CBE",IF($AA793=TODAY(),"EMAIL SENT","MONITORING"))))))))))</f>
        <v/>
      </c>
      <c r="V793" s="17">
        <f>IF($U793="",IF(AND(COUNTA($A793:$L793)&gt;0,$N793=""),"Awaiting Collection Email time stamp.",""),IF(OR($U793="PAID",$U793="CLOSED"),IF($U793="PAID","Account paid. Action completed.","Account closed. No further action required."),CHOOSE($Z793,"Collection Email","1st Email Follow-up","2nd Email Follow-up","Escalation to Local Office","Escalation to CBE","Escalation to Roxanne")&amp;" sent "&amp;TEXT($AA793,"dd-mmm")&amp;". "&amp;IF($Z793=6,"Final escalation completed.",IF($U793="OVERDUE","Next: "&amp;$AC793&amp;" was due "&amp;TEXT($AB793,"dd-mmm")&amp;" - "&amp;(NETWORKDAYS($AB793,TODAY(),Holidays)-1)&amp;" business day(s) late. Send now.",IF($U793="DUE TOMORROW","Next: "&amp;$AC793&amp;IF($AB793&lt;=TODAY()," is due TODAY ("," is due next business day (")&amp;TEXT($AB793,"dd-mmm")&amp;").","Next: "&amp;$AC793&amp;" due "&amp;TEXT($AB793,"dd-mmm")&amp;" ("&amp;(NETWORKDAYS(TODAY(),$AB793,Holidays)-1)&amp;" business day(s) left).")))))</f>
        <v/>
      </c>
      <c r="W793" s="17">
        <f>IF($Z793="","",CHOOSE($Z793,"Collection Email","1st Follow-up","2nd Follow-up","Local Office","CBE","Roxanne")&amp;IF($Z793=6," - Final"," - Day "&amp;MAX(0,NETWORKDAYS($AA793,TODAY(),Holidays)-1)&amp;" of "&amp;CHOOSE($Z793,3,3,2,2,3))&amp;" | Total Day "&amp;MAX(0,NETWORKDAYS($N793,TODAY(),Holidays)-1))</f>
        <v/>
      </c>
      <c r="X793" s="18"/>
      <c r="Y793" s="18"/>
      <c r="Z793" s="17">
        <f>IF($N793="","",COUNT($N793:$S793))</f>
        <v/>
      </c>
      <c r="AA793" s="19">
        <f>IF($Z793="","",INT(INDEX($N793:$S793,$Z793)))</f>
        <v/>
      </c>
      <c r="AB793" s="19">
        <f>IF(OR($Z793="",$Z793=6),"",WORKDAY($AA793,CHOOSE($Z793,3,3,2,2,3),Holidays))</f>
        <v/>
      </c>
      <c r="AC793" s="17">
        <f>IF(OR($Z793="",$Z793=6),"",CHOOSE($Z793,"1st Email Follow-up","2nd Email Follow-up","Escalate Local Office","Escalate to CBE","Escalate to Roxanne"))</f>
        <v/>
      </c>
    </row>
    <row r="794" spans="13:29">
      <c r="M794" s="14"/>
      <c r="T794" s="16"/>
      <c r="U794" s="17">
        <f>IF(AND(COUNTA($A794:$L794)=0,$N794=""),"",IF($T794="Paid","PAID",IF($T794="Closed","CLOSED",IF($Z794="","",IF($Z794=6,"ESCALATED TO ROXANNE",IF(TODAY()&gt;$AB794,"OVERDUE",IF($AB794&lt;=WORKDAY(TODAY(),1,Holidays),"DUE TOMORROW",IF($Z794=4,"ESCALATED TO LOCAL OFFICE",IF($Z794=5,"ESCALATED TO CBE",IF($AA794=TODAY(),"EMAIL SENT","MONITORING"))))))))))</f>
        <v/>
      </c>
      <c r="V794" s="17">
        <f>IF($U794="",IF(AND(COUNTA($A794:$L794)&gt;0,$N794=""),"Awaiting Collection Email time stamp.",""),IF(OR($U794="PAID",$U794="CLOSED"),IF($U794="PAID","Account paid. Action completed.","Account closed. No further action required."),CHOOSE($Z794,"Collection Email","1st Email Follow-up","2nd Email Follow-up","Escalation to Local Office","Escalation to CBE","Escalation to Roxanne")&amp;" sent "&amp;TEXT($AA794,"dd-mmm")&amp;". "&amp;IF($Z794=6,"Final escalation completed.",IF($U794="OVERDUE","Next: "&amp;$AC794&amp;" was due "&amp;TEXT($AB794,"dd-mmm")&amp;" - "&amp;(NETWORKDAYS($AB794,TODAY(),Holidays)-1)&amp;" business day(s) late. Send now.",IF($U794="DUE TOMORROW","Next: "&amp;$AC794&amp;IF($AB794&lt;=TODAY()," is due TODAY ("," is due next business day (")&amp;TEXT($AB794,"dd-mmm")&amp;").","Next: "&amp;$AC794&amp;" due "&amp;TEXT($AB794,"dd-mmm")&amp;" ("&amp;(NETWORKDAYS(TODAY(),$AB794,Holidays)-1)&amp;" business day(s) left).")))))</f>
        <v/>
      </c>
      <c r="W794" s="17">
        <f>IF($Z794="","",CHOOSE($Z794,"Collection Email","1st Follow-up","2nd Follow-up","Local Office","CBE","Roxanne")&amp;IF($Z794=6," - Final"," - Day "&amp;MAX(0,NETWORKDAYS($AA794,TODAY(),Holidays)-1)&amp;" of "&amp;CHOOSE($Z794,3,3,2,2,3))&amp;" | Total Day "&amp;MAX(0,NETWORKDAYS($N794,TODAY(),Holidays)-1))</f>
        <v/>
      </c>
      <c r="X794" s="18"/>
      <c r="Y794" s="18"/>
      <c r="Z794" s="17">
        <f>IF($N794="","",COUNT($N794:$S794))</f>
        <v/>
      </c>
      <c r="AA794" s="19">
        <f>IF($Z794="","",INT(INDEX($N794:$S794,$Z794)))</f>
        <v/>
      </c>
      <c r="AB794" s="19">
        <f>IF(OR($Z794="",$Z794=6),"",WORKDAY($AA794,CHOOSE($Z794,3,3,2,2,3),Holidays))</f>
        <v/>
      </c>
      <c r="AC794" s="17">
        <f>IF(OR($Z794="",$Z794=6),"",CHOOSE($Z794,"1st Email Follow-up","2nd Email Follow-up","Escalate Local Office","Escalate to CBE","Escalate to Roxanne"))</f>
        <v/>
      </c>
    </row>
    <row r="795" spans="13:29">
      <c r="M795" s="14"/>
      <c r="T795" s="16"/>
      <c r="U795" s="17">
        <f>IF(AND(COUNTA($A795:$L795)=0,$N795=""),"",IF($T795="Paid","PAID",IF($T795="Closed","CLOSED",IF($Z795="","",IF($Z795=6,"ESCALATED TO ROXANNE",IF(TODAY()&gt;$AB795,"OVERDUE",IF($AB795&lt;=WORKDAY(TODAY(),1,Holidays),"DUE TOMORROW",IF($Z795=4,"ESCALATED TO LOCAL OFFICE",IF($Z795=5,"ESCALATED TO CBE",IF($AA795=TODAY(),"EMAIL SENT","MONITORING"))))))))))</f>
        <v/>
      </c>
      <c r="V795" s="17">
        <f>IF($U795="",IF(AND(COUNTA($A795:$L795)&gt;0,$N795=""),"Awaiting Collection Email time stamp.",""),IF(OR($U795="PAID",$U795="CLOSED"),IF($U795="PAID","Account paid. Action completed.","Account closed. No further action required."),CHOOSE($Z795,"Collection Email","1st Email Follow-up","2nd Email Follow-up","Escalation to Local Office","Escalation to CBE","Escalation to Roxanne")&amp;" sent "&amp;TEXT($AA795,"dd-mmm")&amp;". "&amp;IF($Z795=6,"Final escalation completed.",IF($U795="OVERDUE","Next: "&amp;$AC795&amp;" was due "&amp;TEXT($AB795,"dd-mmm")&amp;" - "&amp;(NETWORKDAYS($AB795,TODAY(),Holidays)-1)&amp;" business day(s) late. Send now.",IF($U795="DUE TOMORROW","Next: "&amp;$AC795&amp;IF($AB795&lt;=TODAY()," is due TODAY ("," is due next business day (")&amp;TEXT($AB795,"dd-mmm")&amp;").","Next: "&amp;$AC795&amp;" due "&amp;TEXT($AB795,"dd-mmm")&amp;" ("&amp;(NETWORKDAYS(TODAY(),$AB795,Holidays)-1)&amp;" business day(s) left).")))))</f>
        <v/>
      </c>
      <c r="W795" s="17">
        <f>IF($Z795="","",CHOOSE($Z795,"Collection Email","1st Follow-up","2nd Follow-up","Local Office","CBE","Roxanne")&amp;IF($Z795=6," - Final"," - Day "&amp;MAX(0,NETWORKDAYS($AA795,TODAY(),Holidays)-1)&amp;" of "&amp;CHOOSE($Z795,3,3,2,2,3))&amp;" | Total Day "&amp;MAX(0,NETWORKDAYS($N795,TODAY(),Holidays)-1))</f>
        <v/>
      </c>
      <c r="X795" s="18"/>
      <c r="Y795" s="18"/>
      <c r="Z795" s="17">
        <f>IF($N795="","",COUNT($N795:$S795))</f>
        <v/>
      </c>
      <c r="AA795" s="19">
        <f>IF($Z795="","",INT(INDEX($N795:$S795,$Z795)))</f>
        <v/>
      </c>
      <c r="AB795" s="19">
        <f>IF(OR($Z795="",$Z795=6),"",WORKDAY($AA795,CHOOSE($Z795,3,3,2,2,3),Holidays))</f>
        <v/>
      </c>
      <c r="AC795" s="17">
        <f>IF(OR($Z795="",$Z795=6),"",CHOOSE($Z795,"1st Email Follow-up","2nd Email Follow-up","Escalate Local Office","Escalate to CBE","Escalate to Roxanne"))</f>
        <v/>
      </c>
    </row>
    <row r="796" spans="13:29">
      <c r="M796" s="14"/>
      <c r="T796" s="16"/>
      <c r="U796" s="17">
        <f>IF(AND(COUNTA($A796:$L796)=0,$N796=""),"",IF($T796="Paid","PAID",IF($T796="Closed","CLOSED",IF($Z796="","",IF($Z796=6,"ESCALATED TO ROXANNE",IF(TODAY()&gt;$AB796,"OVERDUE",IF($AB796&lt;=WORKDAY(TODAY(),1,Holidays),"DUE TOMORROW",IF($Z796=4,"ESCALATED TO LOCAL OFFICE",IF($Z796=5,"ESCALATED TO CBE",IF($AA796=TODAY(),"EMAIL SENT","MONITORING"))))))))))</f>
        <v/>
      </c>
      <c r="V796" s="17">
        <f>IF($U796="",IF(AND(COUNTA($A796:$L796)&gt;0,$N796=""),"Awaiting Collection Email time stamp.",""),IF(OR($U796="PAID",$U796="CLOSED"),IF($U796="PAID","Account paid. Action completed.","Account closed. No further action required."),CHOOSE($Z796,"Collection Email","1st Email Follow-up","2nd Email Follow-up","Escalation to Local Office","Escalation to CBE","Escalation to Roxanne")&amp;" sent "&amp;TEXT($AA796,"dd-mmm")&amp;". "&amp;IF($Z796=6,"Final escalation completed.",IF($U796="OVERDUE","Next: "&amp;$AC796&amp;" was due "&amp;TEXT($AB796,"dd-mmm")&amp;" - "&amp;(NETWORKDAYS($AB796,TODAY(),Holidays)-1)&amp;" business day(s) late. Send now.",IF($U796="DUE TOMORROW","Next: "&amp;$AC796&amp;IF($AB796&lt;=TODAY()," is due TODAY ("," is due next business day (")&amp;TEXT($AB796,"dd-mmm")&amp;").","Next: "&amp;$AC796&amp;" due "&amp;TEXT($AB796,"dd-mmm")&amp;" ("&amp;(NETWORKDAYS(TODAY(),$AB796,Holidays)-1)&amp;" business day(s) left).")))))</f>
        <v/>
      </c>
      <c r="W796" s="17">
        <f>IF($Z796="","",CHOOSE($Z796,"Collection Email","1st Follow-up","2nd Follow-up","Local Office","CBE","Roxanne")&amp;IF($Z796=6," - Final"," - Day "&amp;MAX(0,NETWORKDAYS($AA796,TODAY(),Holidays)-1)&amp;" of "&amp;CHOOSE($Z796,3,3,2,2,3))&amp;" | Total Day "&amp;MAX(0,NETWORKDAYS($N796,TODAY(),Holidays)-1))</f>
        <v/>
      </c>
      <c r="X796" s="18"/>
      <c r="Y796" s="18"/>
      <c r="Z796" s="17">
        <f>IF($N796="","",COUNT($N796:$S796))</f>
        <v/>
      </c>
      <c r="AA796" s="19">
        <f>IF($Z796="","",INT(INDEX($N796:$S796,$Z796)))</f>
        <v/>
      </c>
      <c r="AB796" s="19">
        <f>IF(OR($Z796="",$Z796=6),"",WORKDAY($AA796,CHOOSE($Z796,3,3,2,2,3),Holidays))</f>
        <v/>
      </c>
      <c r="AC796" s="17">
        <f>IF(OR($Z796="",$Z796=6),"",CHOOSE($Z796,"1st Email Follow-up","2nd Email Follow-up","Escalate Local Office","Escalate to CBE","Escalate to Roxanne"))</f>
        <v/>
      </c>
    </row>
    <row r="797" spans="13:29">
      <c r="M797" s="14"/>
      <c r="T797" s="16"/>
      <c r="U797" s="17">
        <f>IF(AND(COUNTA($A797:$L797)=0,$N797=""),"",IF($T797="Paid","PAID",IF($T797="Closed","CLOSED",IF($Z797="","",IF($Z797=6,"ESCALATED TO ROXANNE",IF(TODAY()&gt;$AB797,"OVERDUE",IF($AB797&lt;=WORKDAY(TODAY(),1,Holidays),"DUE TOMORROW",IF($Z797=4,"ESCALATED TO LOCAL OFFICE",IF($Z797=5,"ESCALATED TO CBE",IF($AA797=TODAY(),"EMAIL SENT","MONITORING"))))))))))</f>
        <v/>
      </c>
      <c r="V797" s="17">
        <f>IF($U797="",IF(AND(COUNTA($A797:$L797)&gt;0,$N797=""),"Awaiting Collection Email time stamp.",""),IF(OR($U797="PAID",$U797="CLOSED"),IF($U797="PAID","Account paid. Action completed.","Account closed. No further action required."),CHOOSE($Z797,"Collection Email","1st Email Follow-up","2nd Email Follow-up","Escalation to Local Office","Escalation to CBE","Escalation to Roxanne")&amp;" sent "&amp;TEXT($AA797,"dd-mmm")&amp;". "&amp;IF($Z797=6,"Final escalation completed.",IF($U797="OVERDUE","Next: "&amp;$AC797&amp;" was due "&amp;TEXT($AB797,"dd-mmm")&amp;" - "&amp;(NETWORKDAYS($AB797,TODAY(),Holidays)-1)&amp;" business day(s) late. Send now.",IF($U797="DUE TOMORROW","Next: "&amp;$AC797&amp;IF($AB797&lt;=TODAY()," is due TODAY ("," is due next business day (")&amp;TEXT($AB797,"dd-mmm")&amp;").","Next: "&amp;$AC797&amp;" due "&amp;TEXT($AB797,"dd-mmm")&amp;" ("&amp;(NETWORKDAYS(TODAY(),$AB797,Holidays)-1)&amp;" business day(s) left).")))))</f>
        <v/>
      </c>
      <c r="W797" s="17">
        <f>IF($Z797="","",CHOOSE($Z797,"Collection Email","1st Follow-up","2nd Follow-up","Local Office","CBE","Roxanne")&amp;IF($Z797=6," - Final"," - Day "&amp;MAX(0,NETWORKDAYS($AA797,TODAY(),Holidays)-1)&amp;" of "&amp;CHOOSE($Z797,3,3,2,2,3))&amp;" | Total Day "&amp;MAX(0,NETWORKDAYS($N797,TODAY(),Holidays)-1))</f>
        <v/>
      </c>
      <c r="X797" s="18"/>
      <c r="Y797" s="18"/>
      <c r="Z797" s="17">
        <f>IF($N797="","",COUNT($N797:$S797))</f>
        <v/>
      </c>
      <c r="AA797" s="19">
        <f>IF($Z797="","",INT(INDEX($N797:$S797,$Z797)))</f>
        <v/>
      </c>
      <c r="AB797" s="19">
        <f>IF(OR($Z797="",$Z797=6),"",WORKDAY($AA797,CHOOSE($Z797,3,3,2,2,3),Holidays))</f>
        <v/>
      </c>
      <c r="AC797" s="17">
        <f>IF(OR($Z797="",$Z797=6),"",CHOOSE($Z797,"1st Email Follow-up","2nd Email Follow-up","Escalate Local Office","Escalate to CBE","Escalate to Roxanne"))</f>
        <v/>
      </c>
    </row>
    <row r="798" spans="13:29">
      <c r="M798" s="14"/>
      <c r="T798" s="16"/>
      <c r="U798" s="17">
        <f>IF(AND(COUNTA($A798:$L798)=0,$N798=""),"",IF($T798="Paid","PAID",IF($T798="Closed","CLOSED",IF($Z798="","",IF($Z798=6,"ESCALATED TO ROXANNE",IF(TODAY()&gt;$AB798,"OVERDUE",IF($AB798&lt;=WORKDAY(TODAY(),1,Holidays),"DUE TOMORROW",IF($Z798=4,"ESCALATED TO LOCAL OFFICE",IF($Z798=5,"ESCALATED TO CBE",IF($AA798=TODAY(),"EMAIL SENT","MONITORING"))))))))))</f>
        <v/>
      </c>
      <c r="V798" s="17">
        <f>IF($U798="",IF(AND(COUNTA($A798:$L798)&gt;0,$N798=""),"Awaiting Collection Email time stamp.",""),IF(OR($U798="PAID",$U798="CLOSED"),IF($U798="PAID","Account paid. Action completed.","Account closed. No further action required."),CHOOSE($Z798,"Collection Email","1st Email Follow-up","2nd Email Follow-up","Escalation to Local Office","Escalation to CBE","Escalation to Roxanne")&amp;" sent "&amp;TEXT($AA798,"dd-mmm")&amp;". "&amp;IF($Z798=6,"Final escalation completed.",IF($U798="OVERDUE","Next: "&amp;$AC798&amp;" was due "&amp;TEXT($AB798,"dd-mmm")&amp;" - "&amp;(NETWORKDAYS($AB798,TODAY(),Holidays)-1)&amp;" business day(s) late. Send now.",IF($U798="DUE TOMORROW","Next: "&amp;$AC798&amp;IF($AB798&lt;=TODAY()," is due TODAY ("," is due next business day (")&amp;TEXT($AB798,"dd-mmm")&amp;").","Next: "&amp;$AC798&amp;" due "&amp;TEXT($AB798,"dd-mmm")&amp;" ("&amp;(NETWORKDAYS(TODAY(),$AB798,Holidays)-1)&amp;" business day(s) left).")))))</f>
        <v/>
      </c>
      <c r="W798" s="17">
        <f>IF($Z798="","",CHOOSE($Z798,"Collection Email","1st Follow-up","2nd Follow-up","Local Office","CBE","Roxanne")&amp;IF($Z798=6," - Final"," - Day "&amp;MAX(0,NETWORKDAYS($AA798,TODAY(),Holidays)-1)&amp;" of "&amp;CHOOSE($Z798,3,3,2,2,3))&amp;" | Total Day "&amp;MAX(0,NETWORKDAYS($N798,TODAY(),Holidays)-1))</f>
        <v/>
      </c>
      <c r="X798" s="18"/>
      <c r="Y798" s="18"/>
      <c r="Z798" s="17">
        <f>IF($N798="","",COUNT($N798:$S798))</f>
        <v/>
      </c>
      <c r="AA798" s="19">
        <f>IF($Z798="","",INT(INDEX($N798:$S798,$Z798)))</f>
        <v/>
      </c>
      <c r="AB798" s="19">
        <f>IF(OR($Z798="",$Z798=6),"",WORKDAY($AA798,CHOOSE($Z798,3,3,2,2,3),Holidays))</f>
        <v/>
      </c>
      <c r="AC798" s="17">
        <f>IF(OR($Z798="",$Z798=6),"",CHOOSE($Z798,"1st Email Follow-up","2nd Email Follow-up","Escalate Local Office","Escalate to CBE","Escalate to Roxanne"))</f>
        <v/>
      </c>
    </row>
    <row r="799" spans="13:29">
      <c r="M799" s="14"/>
      <c r="T799" s="16"/>
      <c r="U799" s="17">
        <f>IF(AND(COUNTA($A799:$L799)=0,$N799=""),"",IF($T799="Paid","PAID",IF($T799="Closed","CLOSED",IF($Z799="","",IF($Z799=6,"ESCALATED TO ROXANNE",IF(TODAY()&gt;$AB799,"OVERDUE",IF($AB799&lt;=WORKDAY(TODAY(),1,Holidays),"DUE TOMORROW",IF($Z799=4,"ESCALATED TO LOCAL OFFICE",IF($Z799=5,"ESCALATED TO CBE",IF($AA799=TODAY(),"EMAIL SENT","MONITORING"))))))))))</f>
        <v/>
      </c>
      <c r="V799" s="17">
        <f>IF($U799="",IF(AND(COUNTA($A799:$L799)&gt;0,$N799=""),"Awaiting Collection Email time stamp.",""),IF(OR($U799="PAID",$U799="CLOSED"),IF($U799="PAID","Account paid. Action completed.","Account closed. No further action required."),CHOOSE($Z799,"Collection Email","1st Email Follow-up","2nd Email Follow-up","Escalation to Local Office","Escalation to CBE","Escalation to Roxanne")&amp;" sent "&amp;TEXT($AA799,"dd-mmm")&amp;". "&amp;IF($Z799=6,"Final escalation completed.",IF($U799="OVERDUE","Next: "&amp;$AC799&amp;" was due "&amp;TEXT($AB799,"dd-mmm")&amp;" - "&amp;(NETWORKDAYS($AB799,TODAY(),Holidays)-1)&amp;" business day(s) late. Send now.",IF($U799="DUE TOMORROW","Next: "&amp;$AC799&amp;IF($AB799&lt;=TODAY()," is due TODAY ("," is due next business day (")&amp;TEXT($AB799,"dd-mmm")&amp;").","Next: "&amp;$AC799&amp;" due "&amp;TEXT($AB799,"dd-mmm")&amp;" ("&amp;(NETWORKDAYS(TODAY(),$AB799,Holidays)-1)&amp;" business day(s) left).")))))</f>
        <v/>
      </c>
      <c r="W799" s="17">
        <f>IF($Z799="","",CHOOSE($Z799,"Collection Email","1st Follow-up","2nd Follow-up","Local Office","CBE","Roxanne")&amp;IF($Z799=6," - Final"," - Day "&amp;MAX(0,NETWORKDAYS($AA799,TODAY(),Holidays)-1)&amp;" of "&amp;CHOOSE($Z799,3,3,2,2,3))&amp;" | Total Day "&amp;MAX(0,NETWORKDAYS($N799,TODAY(),Holidays)-1))</f>
        <v/>
      </c>
      <c r="X799" s="18"/>
      <c r="Y799" s="18"/>
      <c r="Z799" s="17">
        <f>IF($N799="","",COUNT($N799:$S799))</f>
        <v/>
      </c>
      <c r="AA799" s="19">
        <f>IF($Z799="","",INT(INDEX($N799:$S799,$Z799)))</f>
        <v/>
      </c>
      <c r="AB799" s="19">
        <f>IF(OR($Z799="",$Z799=6),"",WORKDAY($AA799,CHOOSE($Z799,3,3,2,2,3),Holidays))</f>
        <v/>
      </c>
      <c r="AC799" s="17">
        <f>IF(OR($Z799="",$Z799=6),"",CHOOSE($Z799,"1st Email Follow-up","2nd Email Follow-up","Escalate Local Office","Escalate to CBE","Escalate to Roxanne"))</f>
        <v/>
      </c>
    </row>
    <row r="800" spans="13:29">
      <c r="M800" s="14"/>
      <c r="T800" s="16"/>
      <c r="U800" s="17">
        <f>IF(AND(COUNTA($A800:$L800)=0,$N800=""),"",IF($T800="Paid","PAID",IF($T800="Closed","CLOSED",IF($Z800="","",IF($Z800=6,"ESCALATED TO ROXANNE",IF(TODAY()&gt;$AB800,"OVERDUE",IF($AB800&lt;=WORKDAY(TODAY(),1,Holidays),"DUE TOMORROW",IF($Z800=4,"ESCALATED TO LOCAL OFFICE",IF($Z800=5,"ESCALATED TO CBE",IF($AA800=TODAY(),"EMAIL SENT","MONITORING"))))))))))</f>
        <v/>
      </c>
      <c r="V800" s="17">
        <f>IF($U800="",IF(AND(COUNTA($A800:$L800)&gt;0,$N800=""),"Awaiting Collection Email time stamp.",""),IF(OR($U800="PAID",$U800="CLOSED"),IF($U800="PAID","Account paid. Action completed.","Account closed. No further action required."),CHOOSE($Z800,"Collection Email","1st Email Follow-up","2nd Email Follow-up","Escalation to Local Office","Escalation to CBE","Escalation to Roxanne")&amp;" sent "&amp;TEXT($AA800,"dd-mmm")&amp;". "&amp;IF($Z800=6,"Final escalation completed.",IF($U800="OVERDUE","Next: "&amp;$AC800&amp;" was due "&amp;TEXT($AB800,"dd-mmm")&amp;" - "&amp;(NETWORKDAYS($AB800,TODAY(),Holidays)-1)&amp;" business day(s) late. Send now.",IF($U800="DUE TOMORROW","Next: "&amp;$AC800&amp;IF($AB800&lt;=TODAY()," is due TODAY ("," is due next business day (")&amp;TEXT($AB800,"dd-mmm")&amp;").","Next: "&amp;$AC800&amp;" due "&amp;TEXT($AB800,"dd-mmm")&amp;" ("&amp;(NETWORKDAYS(TODAY(),$AB800,Holidays)-1)&amp;" business day(s) left).")))))</f>
        <v/>
      </c>
      <c r="W800" s="17">
        <f>IF($Z800="","",CHOOSE($Z800,"Collection Email","1st Follow-up","2nd Follow-up","Local Office","CBE","Roxanne")&amp;IF($Z800=6," - Final"," - Day "&amp;MAX(0,NETWORKDAYS($AA800,TODAY(),Holidays)-1)&amp;" of "&amp;CHOOSE($Z800,3,3,2,2,3))&amp;" | Total Day "&amp;MAX(0,NETWORKDAYS($N800,TODAY(),Holidays)-1))</f>
        <v/>
      </c>
      <c r="X800" s="18"/>
      <c r="Y800" s="18"/>
      <c r="Z800" s="17">
        <f>IF($N800="","",COUNT($N800:$S800))</f>
        <v/>
      </c>
      <c r="AA800" s="19">
        <f>IF($Z800="","",INT(INDEX($N800:$S800,$Z800)))</f>
        <v/>
      </c>
      <c r="AB800" s="19">
        <f>IF(OR($Z800="",$Z800=6),"",WORKDAY($AA800,CHOOSE($Z800,3,3,2,2,3),Holidays))</f>
        <v/>
      </c>
      <c r="AC800" s="17">
        <f>IF(OR($Z800="",$Z800=6),"",CHOOSE($Z800,"1st Email Follow-up","2nd Email Follow-up","Escalate Local Office","Escalate to CBE","Escalate to Roxanne"))</f>
        <v/>
      </c>
    </row>
    <row r="801" spans="13:29">
      <c r="M801" s="14"/>
      <c r="T801" s="16"/>
      <c r="U801" s="17">
        <f>IF(AND(COUNTA($A801:$L801)=0,$N801=""),"",IF($T801="Paid","PAID",IF($T801="Closed","CLOSED",IF($Z801="","",IF($Z801=6,"ESCALATED TO ROXANNE",IF(TODAY()&gt;$AB801,"OVERDUE",IF($AB801&lt;=WORKDAY(TODAY(),1,Holidays),"DUE TOMORROW",IF($Z801=4,"ESCALATED TO LOCAL OFFICE",IF($Z801=5,"ESCALATED TO CBE",IF($AA801=TODAY(),"EMAIL SENT","MONITORING"))))))))))</f>
        <v/>
      </c>
      <c r="V801" s="17">
        <f>IF($U801="",IF(AND(COUNTA($A801:$L801)&gt;0,$N801=""),"Awaiting Collection Email time stamp.",""),IF(OR($U801="PAID",$U801="CLOSED"),IF($U801="PAID","Account paid. Action completed.","Account closed. No further action required."),CHOOSE($Z801,"Collection Email","1st Email Follow-up","2nd Email Follow-up","Escalation to Local Office","Escalation to CBE","Escalation to Roxanne")&amp;" sent "&amp;TEXT($AA801,"dd-mmm")&amp;". "&amp;IF($Z801=6,"Final escalation completed.",IF($U801="OVERDUE","Next: "&amp;$AC801&amp;" was due "&amp;TEXT($AB801,"dd-mmm")&amp;" - "&amp;(NETWORKDAYS($AB801,TODAY(),Holidays)-1)&amp;" business day(s) late. Send now.",IF($U801="DUE TOMORROW","Next: "&amp;$AC801&amp;IF($AB801&lt;=TODAY()," is due TODAY ("," is due next business day (")&amp;TEXT($AB801,"dd-mmm")&amp;").","Next: "&amp;$AC801&amp;" due "&amp;TEXT($AB801,"dd-mmm")&amp;" ("&amp;(NETWORKDAYS(TODAY(),$AB801,Holidays)-1)&amp;" business day(s) left).")))))</f>
        <v/>
      </c>
      <c r="W801" s="17">
        <f>IF($Z801="","",CHOOSE($Z801,"Collection Email","1st Follow-up","2nd Follow-up","Local Office","CBE","Roxanne")&amp;IF($Z801=6," - Final"," - Day "&amp;MAX(0,NETWORKDAYS($AA801,TODAY(),Holidays)-1)&amp;" of "&amp;CHOOSE($Z801,3,3,2,2,3))&amp;" | Total Day "&amp;MAX(0,NETWORKDAYS($N801,TODAY(),Holidays)-1))</f>
        <v/>
      </c>
      <c r="X801" s="18"/>
      <c r="Y801" s="18"/>
      <c r="Z801" s="17">
        <f>IF($N801="","",COUNT($N801:$S801))</f>
        <v/>
      </c>
      <c r="AA801" s="19">
        <f>IF($Z801="","",INT(INDEX($N801:$S801,$Z801)))</f>
        <v/>
      </c>
      <c r="AB801" s="19">
        <f>IF(OR($Z801="",$Z801=6),"",WORKDAY($AA801,CHOOSE($Z801,3,3,2,2,3),Holidays))</f>
        <v/>
      </c>
      <c r="AC801" s="17">
        <f>IF(OR($Z801="",$Z801=6),"",CHOOSE($Z801,"1st Email Follow-up","2nd Email Follow-up","Escalate Local Office","Escalate to CBE","Escalate to Roxanne"))</f>
        <v/>
      </c>
    </row>
    <row r="802" spans="13:29">
      <c r="M802" s="14"/>
      <c r="T802" s="16"/>
      <c r="U802" s="17">
        <f>IF(AND(COUNTA($A802:$L802)=0,$N802=""),"",IF($T802="Paid","PAID",IF($T802="Closed","CLOSED",IF($Z802="","",IF($Z802=6,"ESCALATED TO ROXANNE",IF(TODAY()&gt;$AB802,"OVERDUE",IF($AB802&lt;=WORKDAY(TODAY(),1,Holidays),"DUE TOMORROW",IF($Z802=4,"ESCALATED TO LOCAL OFFICE",IF($Z802=5,"ESCALATED TO CBE",IF($AA802=TODAY(),"EMAIL SENT","MONITORING"))))))))))</f>
        <v/>
      </c>
      <c r="V802" s="17">
        <f>IF($U802="",IF(AND(COUNTA($A802:$L802)&gt;0,$N802=""),"Awaiting Collection Email time stamp.",""),IF(OR($U802="PAID",$U802="CLOSED"),IF($U802="PAID","Account paid. Action completed.","Account closed. No further action required."),CHOOSE($Z802,"Collection Email","1st Email Follow-up","2nd Email Follow-up","Escalation to Local Office","Escalation to CBE","Escalation to Roxanne")&amp;" sent "&amp;TEXT($AA802,"dd-mmm")&amp;". "&amp;IF($Z802=6,"Final escalation completed.",IF($U802="OVERDUE","Next: "&amp;$AC802&amp;" was due "&amp;TEXT($AB802,"dd-mmm")&amp;" - "&amp;(NETWORKDAYS($AB802,TODAY(),Holidays)-1)&amp;" business day(s) late. Send now.",IF($U802="DUE TOMORROW","Next: "&amp;$AC802&amp;IF($AB802&lt;=TODAY()," is due TODAY ("," is due next business day (")&amp;TEXT($AB802,"dd-mmm")&amp;").","Next: "&amp;$AC802&amp;" due "&amp;TEXT($AB802,"dd-mmm")&amp;" ("&amp;(NETWORKDAYS(TODAY(),$AB802,Holidays)-1)&amp;" business day(s) left).")))))</f>
        <v/>
      </c>
      <c r="W802" s="17">
        <f>IF($Z802="","",CHOOSE($Z802,"Collection Email","1st Follow-up","2nd Follow-up","Local Office","CBE","Roxanne")&amp;IF($Z802=6," - Final"," - Day "&amp;MAX(0,NETWORKDAYS($AA802,TODAY(),Holidays)-1)&amp;" of "&amp;CHOOSE($Z802,3,3,2,2,3))&amp;" | Total Day "&amp;MAX(0,NETWORKDAYS($N802,TODAY(),Holidays)-1))</f>
        <v/>
      </c>
      <c r="X802" s="18"/>
      <c r="Y802" s="18"/>
      <c r="Z802" s="17">
        <f>IF($N802="","",COUNT($N802:$S802))</f>
        <v/>
      </c>
      <c r="AA802" s="19">
        <f>IF($Z802="","",INT(INDEX($N802:$S802,$Z802)))</f>
        <v/>
      </c>
      <c r="AB802" s="19">
        <f>IF(OR($Z802="",$Z802=6),"",WORKDAY($AA802,CHOOSE($Z802,3,3,2,2,3),Holidays))</f>
        <v/>
      </c>
      <c r="AC802" s="17">
        <f>IF(OR($Z802="",$Z802=6),"",CHOOSE($Z802,"1st Email Follow-up","2nd Email Follow-up","Escalate Local Office","Escalate to CBE","Escalate to Roxanne"))</f>
        <v/>
      </c>
    </row>
    <row r="803" spans="13:29">
      <c r="M803" s="14"/>
      <c r="T803" s="16"/>
      <c r="U803" s="17">
        <f>IF(AND(COUNTA($A803:$L803)=0,$N803=""),"",IF($T803="Paid","PAID",IF($T803="Closed","CLOSED",IF($Z803="","",IF($Z803=6,"ESCALATED TO ROXANNE",IF(TODAY()&gt;$AB803,"OVERDUE",IF($AB803&lt;=WORKDAY(TODAY(),1,Holidays),"DUE TOMORROW",IF($Z803=4,"ESCALATED TO LOCAL OFFICE",IF($Z803=5,"ESCALATED TO CBE",IF($AA803=TODAY(),"EMAIL SENT","MONITORING"))))))))))</f>
        <v/>
      </c>
      <c r="V803" s="17">
        <f>IF($U803="",IF(AND(COUNTA($A803:$L803)&gt;0,$N803=""),"Awaiting Collection Email time stamp.",""),IF(OR($U803="PAID",$U803="CLOSED"),IF($U803="PAID","Account paid. Action completed.","Account closed. No further action required."),CHOOSE($Z803,"Collection Email","1st Email Follow-up","2nd Email Follow-up","Escalation to Local Office","Escalation to CBE","Escalation to Roxanne")&amp;" sent "&amp;TEXT($AA803,"dd-mmm")&amp;". "&amp;IF($Z803=6,"Final escalation completed.",IF($U803="OVERDUE","Next: "&amp;$AC803&amp;" was due "&amp;TEXT($AB803,"dd-mmm")&amp;" - "&amp;(NETWORKDAYS($AB803,TODAY(),Holidays)-1)&amp;" business day(s) late. Send now.",IF($U803="DUE TOMORROW","Next: "&amp;$AC803&amp;IF($AB803&lt;=TODAY()," is due TODAY ("," is due next business day (")&amp;TEXT($AB803,"dd-mmm")&amp;").","Next: "&amp;$AC803&amp;" due "&amp;TEXT($AB803,"dd-mmm")&amp;" ("&amp;(NETWORKDAYS(TODAY(),$AB803,Holidays)-1)&amp;" business day(s) left).")))))</f>
        <v/>
      </c>
      <c r="W803" s="17">
        <f>IF($Z803="","",CHOOSE($Z803,"Collection Email","1st Follow-up","2nd Follow-up","Local Office","CBE","Roxanne")&amp;IF($Z803=6," - Final"," - Day "&amp;MAX(0,NETWORKDAYS($AA803,TODAY(),Holidays)-1)&amp;" of "&amp;CHOOSE($Z803,3,3,2,2,3))&amp;" | Total Day "&amp;MAX(0,NETWORKDAYS($N803,TODAY(),Holidays)-1))</f>
        <v/>
      </c>
      <c r="X803" s="18"/>
      <c r="Y803" s="18"/>
      <c r="Z803" s="17">
        <f>IF($N803="","",COUNT($N803:$S803))</f>
        <v/>
      </c>
      <c r="AA803" s="19">
        <f>IF($Z803="","",INT(INDEX($N803:$S803,$Z803)))</f>
        <v/>
      </c>
      <c r="AB803" s="19">
        <f>IF(OR($Z803="",$Z803=6),"",WORKDAY($AA803,CHOOSE($Z803,3,3,2,2,3),Holidays))</f>
        <v/>
      </c>
      <c r="AC803" s="17">
        <f>IF(OR($Z803="",$Z803=6),"",CHOOSE($Z803,"1st Email Follow-up","2nd Email Follow-up","Escalate Local Office","Escalate to CBE","Escalate to Roxanne"))</f>
        <v/>
      </c>
    </row>
    <row r="804" spans="13:29">
      <c r="M804" s="14"/>
      <c r="T804" s="16"/>
      <c r="U804" s="17">
        <f>IF(AND(COUNTA($A804:$L804)=0,$N804=""),"",IF($T804="Paid","PAID",IF($T804="Closed","CLOSED",IF($Z804="","",IF($Z804=6,"ESCALATED TO ROXANNE",IF(TODAY()&gt;$AB804,"OVERDUE",IF($AB804&lt;=WORKDAY(TODAY(),1,Holidays),"DUE TOMORROW",IF($Z804=4,"ESCALATED TO LOCAL OFFICE",IF($Z804=5,"ESCALATED TO CBE",IF($AA804=TODAY(),"EMAIL SENT","MONITORING"))))))))))</f>
        <v/>
      </c>
      <c r="V804" s="17">
        <f>IF($U804="",IF(AND(COUNTA($A804:$L804)&gt;0,$N804=""),"Awaiting Collection Email time stamp.",""),IF(OR($U804="PAID",$U804="CLOSED"),IF($U804="PAID","Account paid. Action completed.","Account closed. No further action required."),CHOOSE($Z804,"Collection Email","1st Email Follow-up","2nd Email Follow-up","Escalation to Local Office","Escalation to CBE","Escalation to Roxanne")&amp;" sent "&amp;TEXT($AA804,"dd-mmm")&amp;". "&amp;IF($Z804=6,"Final escalation completed.",IF($U804="OVERDUE","Next: "&amp;$AC804&amp;" was due "&amp;TEXT($AB804,"dd-mmm")&amp;" - "&amp;(NETWORKDAYS($AB804,TODAY(),Holidays)-1)&amp;" business day(s) late. Send now.",IF($U804="DUE TOMORROW","Next: "&amp;$AC804&amp;IF($AB804&lt;=TODAY()," is due TODAY ("," is due next business day (")&amp;TEXT($AB804,"dd-mmm")&amp;").","Next: "&amp;$AC804&amp;" due "&amp;TEXT($AB804,"dd-mmm")&amp;" ("&amp;(NETWORKDAYS(TODAY(),$AB804,Holidays)-1)&amp;" business day(s) left).")))))</f>
        <v/>
      </c>
      <c r="W804" s="17">
        <f>IF($Z804="","",CHOOSE($Z804,"Collection Email","1st Follow-up","2nd Follow-up","Local Office","CBE","Roxanne")&amp;IF($Z804=6," - Final"," - Day "&amp;MAX(0,NETWORKDAYS($AA804,TODAY(),Holidays)-1)&amp;" of "&amp;CHOOSE($Z804,3,3,2,2,3))&amp;" | Total Day "&amp;MAX(0,NETWORKDAYS($N804,TODAY(),Holidays)-1))</f>
        <v/>
      </c>
      <c r="X804" s="18"/>
      <c r="Y804" s="18"/>
      <c r="Z804" s="17">
        <f>IF($N804="","",COUNT($N804:$S804))</f>
        <v/>
      </c>
      <c r="AA804" s="19">
        <f>IF($Z804="","",INT(INDEX($N804:$S804,$Z804)))</f>
        <v/>
      </c>
      <c r="AB804" s="19">
        <f>IF(OR($Z804="",$Z804=6),"",WORKDAY($AA804,CHOOSE($Z804,3,3,2,2,3),Holidays))</f>
        <v/>
      </c>
      <c r="AC804" s="17">
        <f>IF(OR($Z804="",$Z804=6),"",CHOOSE($Z804,"1st Email Follow-up","2nd Email Follow-up","Escalate Local Office","Escalate to CBE","Escalate to Roxanne"))</f>
        <v/>
      </c>
    </row>
    <row r="805" spans="13:29">
      <c r="M805" s="14"/>
      <c r="T805" s="16"/>
      <c r="U805" s="17">
        <f>IF(AND(COUNTA($A805:$L805)=0,$N805=""),"",IF($T805="Paid","PAID",IF($T805="Closed","CLOSED",IF($Z805="","",IF($Z805=6,"ESCALATED TO ROXANNE",IF(TODAY()&gt;$AB805,"OVERDUE",IF($AB805&lt;=WORKDAY(TODAY(),1,Holidays),"DUE TOMORROW",IF($Z805=4,"ESCALATED TO LOCAL OFFICE",IF($Z805=5,"ESCALATED TO CBE",IF($AA805=TODAY(),"EMAIL SENT","MONITORING"))))))))))</f>
        <v/>
      </c>
      <c r="V805" s="17">
        <f>IF($U805="",IF(AND(COUNTA($A805:$L805)&gt;0,$N805=""),"Awaiting Collection Email time stamp.",""),IF(OR($U805="PAID",$U805="CLOSED"),IF($U805="PAID","Account paid. Action completed.","Account closed. No further action required."),CHOOSE($Z805,"Collection Email","1st Email Follow-up","2nd Email Follow-up","Escalation to Local Office","Escalation to CBE","Escalation to Roxanne")&amp;" sent "&amp;TEXT($AA805,"dd-mmm")&amp;". "&amp;IF($Z805=6,"Final escalation completed.",IF($U805="OVERDUE","Next: "&amp;$AC805&amp;" was due "&amp;TEXT($AB805,"dd-mmm")&amp;" - "&amp;(NETWORKDAYS($AB805,TODAY(),Holidays)-1)&amp;" business day(s) late. Send now.",IF($U805="DUE TOMORROW","Next: "&amp;$AC805&amp;IF($AB805&lt;=TODAY()," is due TODAY ("," is due next business day (")&amp;TEXT($AB805,"dd-mmm")&amp;").","Next: "&amp;$AC805&amp;" due "&amp;TEXT($AB805,"dd-mmm")&amp;" ("&amp;(NETWORKDAYS(TODAY(),$AB805,Holidays)-1)&amp;" business day(s) left).")))))</f>
        <v/>
      </c>
      <c r="W805" s="17">
        <f>IF($Z805="","",CHOOSE($Z805,"Collection Email","1st Follow-up","2nd Follow-up","Local Office","CBE","Roxanne")&amp;IF($Z805=6," - Final"," - Day "&amp;MAX(0,NETWORKDAYS($AA805,TODAY(),Holidays)-1)&amp;" of "&amp;CHOOSE($Z805,3,3,2,2,3))&amp;" | Total Day "&amp;MAX(0,NETWORKDAYS($N805,TODAY(),Holidays)-1))</f>
        <v/>
      </c>
      <c r="X805" s="18"/>
      <c r="Y805" s="18"/>
      <c r="Z805" s="17">
        <f>IF($N805="","",COUNT($N805:$S805))</f>
        <v/>
      </c>
      <c r="AA805" s="19">
        <f>IF($Z805="","",INT(INDEX($N805:$S805,$Z805)))</f>
        <v/>
      </c>
      <c r="AB805" s="19">
        <f>IF(OR($Z805="",$Z805=6),"",WORKDAY($AA805,CHOOSE($Z805,3,3,2,2,3),Holidays))</f>
        <v/>
      </c>
      <c r="AC805" s="17">
        <f>IF(OR($Z805="",$Z805=6),"",CHOOSE($Z805,"1st Email Follow-up","2nd Email Follow-up","Escalate Local Office","Escalate to CBE","Escalate to Roxanne"))</f>
        <v/>
      </c>
    </row>
    <row r="806" spans="13:29">
      <c r="M806" s="14"/>
      <c r="T806" s="16"/>
      <c r="U806" s="17">
        <f>IF(AND(COUNTA($A806:$L806)=0,$N806=""),"",IF($T806="Paid","PAID",IF($T806="Closed","CLOSED",IF($Z806="","",IF($Z806=6,"ESCALATED TO ROXANNE",IF(TODAY()&gt;$AB806,"OVERDUE",IF($AB806&lt;=WORKDAY(TODAY(),1,Holidays),"DUE TOMORROW",IF($Z806=4,"ESCALATED TO LOCAL OFFICE",IF($Z806=5,"ESCALATED TO CBE",IF($AA806=TODAY(),"EMAIL SENT","MONITORING"))))))))))</f>
        <v/>
      </c>
      <c r="V806" s="17">
        <f>IF($U806="",IF(AND(COUNTA($A806:$L806)&gt;0,$N806=""),"Awaiting Collection Email time stamp.",""),IF(OR($U806="PAID",$U806="CLOSED"),IF($U806="PAID","Account paid. Action completed.","Account closed. No further action required."),CHOOSE($Z806,"Collection Email","1st Email Follow-up","2nd Email Follow-up","Escalation to Local Office","Escalation to CBE","Escalation to Roxanne")&amp;" sent "&amp;TEXT($AA806,"dd-mmm")&amp;". "&amp;IF($Z806=6,"Final escalation completed.",IF($U806="OVERDUE","Next: "&amp;$AC806&amp;" was due "&amp;TEXT($AB806,"dd-mmm")&amp;" - "&amp;(NETWORKDAYS($AB806,TODAY(),Holidays)-1)&amp;" business day(s) late. Send now.",IF($U806="DUE TOMORROW","Next: "&amp;$AC806&amp;IF($AB806&lt;=TODAY()," is due TODAY ("," is due next business day (")&amp;TEXT($AB806,"dd-mmm")&amp;").","Next: "&amp;$AC806&amp;" due "&amp;TEXT($AB806,"dd-mmm")&amp;" ("&amp;(NETWORKDAYS(TODAY(),$AB806,Holidays)-1)&amp;" business day(s) left).")))))</f>
        <v/>
      </c>
      <c r="W806" s="17">
        <f>IF($Z806="","",CHOOSE($Z806,"Collection Email","1st Follow-up","2nd Follow-up","Local Office","CBE","Roxanne")&amp;IF($Z806=6," - Final"," - Day "&amp;MAX(0,NETWORKDAYS($AA806,TODAY(),Holidays)-1)&amp;" of "&amp;CHOOSE($Z806,3,3,2,2,3))&amp;" | Total Day "&amp;MAX(0,NETWORKDAYS($N806,TODAY(),Holidays)-1))</f>
        <v/>
      </c>
      <c r="X806" s="18"/>
      <c r="Y806" s="18"/>
      <c r="Z806" s="17">
        <f>IF($N806="","",COUNT($N806:$S806))</f>
        <v/>
      </c>
      <c r="AA806" s="19">
        <f>IF($Z806="","",INT(INDEX($N806:$S806,$Z806)))</f>
        <v/>
      </c>
      <c r="AB806" s="19">
        <f>IF(OR($Z806="",$Z806=6),"",WORKDAY($AA806,CHOOSE($Z806,3,3,2,2,3),Holidays))</f>
        <v/>
      </c>
      <c r="AC806" s="17">
        <f>IF(OR($Z806="",$Z806=6),"",CHOOSE($Z806,"1st Email Follow-up","2nd Email Follow-up","Escalate Local Office","Escalate to CBE","Escalate to Roxanne"))</f>
        <v/>
      </c>
    </row>
    <row r="807" spans="13:29">
      <c r="M807" s="14"/>
      <c r="T807" s="16"/>
      <c r="U807" s="17">
        <f>IF(AND(COUNTA($A807:$L807)=0,$N807=""),"",IF($T807="Paid","PAID",IF($T807="Closed","CLOSED",IF($Z807="","",IF($Z807=6,"ESCALATED TO ROXANNE",IF(TODAY()&gt;$AB807,"OVERDUE",IF($AB807&lt;=WORKDAY(TODAY(),1,Holidays),"DUE TOMORROW",IF($Z807=4,"ESCALATED TO LOCAL OFFICE",IF($Z807=5,"ESCALATED TO CBE",IF($AA807=TODAY(),"EMAIL SENT","MONITORING"))))))))))</f>
        <v/>
      </c>
      <c r="V807" s="17">
        <f>IF($U807="",IF(AND(COUNTA($A807:$L807)&gt;0,$N807=""),"Awaiting Collection Email time stamp.",""),IF(OR($U807="PAID",$U807="CLOSED"),IF($U807="PAID","Account paid. Action completed.","Account closed. No further action required."),CHOOSE($Z807,"Collection Email","1st Email Follow-up","2nd Email Follow-up","Escalation to Local Office","Escalation to CBE","Escalation to Roxanne")&amp;" sent "&amp;TEXT($AA807,"dd-mmm")&amp;". "&amp;IF($Z807=6,"Final escalation completed.",IF($U807="OVERDUE","Next: "&amp;$AC807&amp;" was due "&amp;TEXT($AB807,"dd-mmm")&amp;" - "&amp;(NETWORKDAYS($AB807,TODAY(),Holidays)-1)&amp;" business day(s) late. Send now.",IF($U807="DUE TOMORROW","Next: "&amp;$AC807&amp;IF($AB807&lt;=TODAY()," is due TODAY ("," is due next business day (")&amp;TEXT($AB807,"dd-mmm")&amp;").","Next: "&amp;$AC807&amp;" due "&amp;TEXT($AB807,"dd-mmm")&amp;" ("&amp;(NETWORKDAYS(TODAY(),$AB807,Holidays)-1)&amp;" business day(s) left).")))))</f>
        <v/>
      </c>
      <c r="W807" s="17">
        <f>IF($Z807="","",CHOOSE($Z807,"Collection Email","1st Follow-up","2nd Follow-up","Local Office","CBE","Roxanne")&amp;IF($Z807=6," - Final"," - Day "&amp;MAX(0,NETWORKDAYS($AA807,TODAY(),Holidays)-1)&amp;" of "&amp;CHOOSE($Z807,3,3,2,2,3))&amp;" | Total Day "&amp;MAX(0,NETWORKDAYS($N807,TODAY(),Holidays)-1))</f>
        <v/>
      </c>
      <c r="X807" s="18"/>
      <c r="Y807" s="18"/>
      <c r="Z807" s="17">
        <f>IF($N807="","",COUNT($N807:$S807))</f>
        <v/>
      </c>
      <c r="AA807" s="19">
        <f>IF($Z807="","",INT(INDEX($N807:$S807,$Z807)))</f>
        <v/>
      </c>
      <c r="AB807" s="19">
        <f>IF(OR($Z807="",$Z807=6),"",WORKDAY($AA807,CHOOSE($Z807,3,3,2,2,3),Holidays))</f>
        <v/>
      </c>
      <c r="AC807" s="17">
        <f>IF(OR($Z807="",$Z807=6),"",CHOOSE($Z807,"1st Email Follow-up","2nd Email Follow-up","Escalate Local Office","Escalate to CBE","Escalate to Roxanne"))</f>
        <v/>
      </c>
    </row>
    <row r="808" spans="13:29">
      <c r="M808" s="14"/>
      <c r="T808" s="16"/>
      <c r="U808" s="17">
        <f>IF(AND(COUNTA($A808:$L808)=0,$N808=""),"",IF($T808="Paid","PAID",IF($T808="Closed","CLOSED",IF($Z808="","",IF($Z808=6,"ESCALATED TO ROXANNE",IF(TODAY()&gt;$AB808,"OVERDUE",IF($AB808&lt;=WORKDAY(TODAY(),1,Holidays),"DUE TOMORROW",IF($Z808=4,"ESCALATED TO LOCAL OFFICE",IF($Z808=5,"ESCALATED TO CBE",IF($AA808=TODAY(),"EMAIL SENT","MONITORING"))))))))))</f>
        <v/>
      </c>
      <c r="V808" s="17">
        <f>IF($U808="",IF(AND(COUNTA($A808:$L808)&gt;0,$N808=""),"Awaiting Collection Email time stamp.",""),IF(OR($U808="PAID",$U808="CLOSED"),IF($U808="PAID","Account paid. Action completed.","Account closed. No further action required."),CHOOSE($Z808,"Collection Email","1st Email Follow-up","2nd Email Follow-up","Escalation to Local Office","Escalation to CBE","Escalation to Roxanne")&amp;" sent "&amp;TEXT($AA808,"dd-mmm")&amp;". "&amp;IF($Z808=6,"Final escalation completed.",IF($U808="OVERDUE","Next: "&amp;$AC808&amp;" was due "&amp;TEXT($AB808,"dd-mmm")&amp;" - "&amp;(NETWORKDAYS($AB808,TODAY(),Holidays)-1)&amp;" business day(s) late. Send now.",IF($U808="DUE TOMORROW","Next: "&amp;$AC808&amp;IF($AB808&lt;=TODAY()," is due TODAY ("," is due next business day (")&amp;TEXT($AB808,"dd-mmm")&amp;").","Next: "&amp;$AC808&amp;" due "&amp;TEXT($AB808,"dd-mmm")&amp;" ("&amp;(NETWORKDAYS(TODAY(),$AB808,Holidays)-1)&amp;" business day(s) left).")))))</f>
        <v/>
      </c>
      <c r="W808" s="17">
        <f>IF($Z808="","",CHOOSE($Z808,"Collection Email","1st Follow-up","2nd Follow-up","Local Office","CBE","Roxanne")&amp;IF($Z808=6," - Final"," - Day "&amp;MAX(0,NETWORKDAYS($AA808,TODAY(),Holidays)-1)&amp;" of "&amp;CHOOSE($Z808,3,3,2,2,3))&amp;" | Total Day "&amp;MAX(0,NETWORKDAYS($N808,TODAY(),Holidays)-1))</f>
        <v/>
      </c>
      <c r="X808" s="18"/>
      <c r="Y808" s="18"/>
      <c r="Z808" s="17">
        <f>IF($N808="","",COUNT($N808:$S808))</f>
        <v/>
      </c>
      <c r="AA808" s="19">
        <f>IF($Z808="","",INT(INDEX($N808:$S808,$Z808)))</f>
        <v/>
      </c>
      <c r="AB808" s="19">
        <f>IF(OR($Z808="",$Z808=6),"",WORKDAY($AA808,CHOOSE($Z808,3,3,2,2,3),Holidays))</f>
        <v/>
      </c>
      <c r="AC808" s="17">
        <f>IF(OR($Z808="",$Z808=6),"",CHOOSE($Z808,"1st Email Follow-up","2nd Email Follow-up","Escalate Local Office","Escalate to CBE","Escalate to Roxanne"))</f>
        <v/>
      </c>
    </row>
    <row r="809" spans="13:29">
      <c r="M809" s="14"/>
      <c r="T809" s="16"/>
      <c r="U809" s="17">
        <f>IF(AND(COUNTA($A809:$L809)=0,$N809=""),"",IF($T809="Paid","PAID",IF($T809="Closed","CLOSED",IF($Z809="","",IF($Z809=6,"ESCALATED TO ROXANNE",IF(TODAY()&gt;$AB809,"OVERDUE",IF($AB809&lt;=WORKDAY(TODAY(),1,Holidays),"DUE TOMORROW",IF($Z809=4,"ESCALATED TO LOCAL OFFICE",IF($Z809=5,"ESCALATED TO CBE",IF($AA809=TODAY(),"EMAIL SENT","MONITORING"))))))))))</f>
        <v/>
      </c>
      <c r="V809" s="17">
        <f>IF($U809="",IF(AND(COUNTA($A809:$L809)&gt;0,$N809=""),"Awaiting Collection Email time stamp.",""),IF(OR($U809="PAID",$U809="CLOSED"),IF($U809="PAID","Account paid. Action completed.","Account closed. No further action required."),CHOOSE($Z809,"Collection Email","1st Email Follow-up","2nd Email Follow-up","Escalation to Local Office","Escalation to CBE","Escalation to Roxanne")&amp;" sent "&amp;TEXT($AA809,"dd-mmm")&amp;". "&amp;IF($Z809=6,"Final escalation completed.",IF($U809="OVERDUE","Next: "&amp;$AC809&amp;" was due "&amp;TEXT($AB809,"dd-mmm")&amp;" - "&amp;(NETWORKDAYS($AB809,TODAY(),Holidays)-1)&amp;" business day(s) late. Send now.",IF($U809="DUE TOMORROW","Next: "&amp;$AC809&amp;IF($AB809&lt;=TODAY()," is due TODAY ("," is due next business day (")&amp;TEXT($AB809,"dd-mmm")&amp;").","Next: "&amp;$AC809&amp;" due "&amp;TEXT($AB809,"dd-mmm")&amp;" ("&amp;(NETWORKDAYS(TODAY(),$AB809,Holidays)-1)&amp;" business day(s) left).")))))</f>
        <v/>
      </c>
      <c r="W809" s="17">
        <f>IF($Z809="","",CHOOSE($Z809,"Collection Email","1st Follow-up","2nd Follow-up","Local Office","CBE","Roxanne")&amp;IF($Z809=6," - Final"," - Day "&amp;MAX(0,NETWORKDAYS($AA809,TODAY(),Holidays)-1)&amp;" of "&amp;CHOOSE($Z809,3,3,2,2,3))&amp;" | Total Day "&amp;MAX(0,NETWORKDAYS($N809,TODAY(),Holidays)-1))</f>
        <v/>
      </c>
      <c r="X809" s="18"/>
      <c r="Y809" s="18"/>
      <c r="Z809" s="17">
        <f>IF($N809="","",COUNT($N809:$S809))</f>
        <v/>
      </c>
      <c r="AA809" s="19">
        <f>IF($Z809="","",INT(INDEX($N809:$S809,$Z809)))</f>
        <v/>
      </c>
      <c r="AB809" s="19">
        <f>IF(OR($Z809="",$Z809=6),"",WORKDAY($AA809,CHOOSE($Z809,3,3,2,2,3),Holidays))</f>
        <v/>
      </c>
      <c r="AC809" s="17">
        <f>IF(OR($Z809="",$Z809=6),"",CHOOSE($Z809,"1st Email Follow-up","2nd Email Follow-up","Escalate Local Office","Escalate to CBE","Escalate to Roxanne"))</f>
        <v/>
      </c>
    </row>
    <row r="810" spans="13:29">
      <c r="M810" s="14"/>
      <c r="T810" s="16"/>
      <c r="U810" s="17">
        <f>IF(AND(COUNTA($A810:$L810)=0,$N810=""),"",IF($T810="Paid","PAID",IF($T810="Closed","CLOSED",IF($Z810="","",IF($Z810=6,"ESCALATED TO ROXANNE",IF(TODAY()&gt;$AB810,"OVERDUE",IF($AB810&lt;=WORKDAY(TODAY(),1,Holidays),"DUE TOMORROW",IF($Z810=4,"ESCALATED TO LOCAL OFFICE",IF($Z810=5,"ESCALATED TO CBE",IF($AA810=TODAY(),"EMAIL SENT","MONITORING"))))))))))</f>
        <v/>
      </c>
      <c r="V810" s="17">
        <f>IF($U810="",IF(AND(COUNTA($A810:$L810)&gt;0,$N810=""),"Awaiting Collection Email time stamp.",""),IF(OR($U810="PAID",$U810="CLOSED"),IF($U810="PAID","Account paid. Action completed.","Account closed. No further action required."),CHOOSE($Z810,"Collection Email","1st Email Follow-up","2nd Email Follow-up","Escalation to Local Office","Escalation to CBE","Escalation to Roxanne")&amp;" sent "&amp;TEXT($AA810,"dd-mmm")&amp;". "&amp;IF($Z810=6,"Final escalation completed.",IF($U810="OVERDUE","Next: "&amp;$AC810&amp;" was due "&amp;TEXT($AB810,"dd-mmm")&amp;" - "&amp;(NETWORKDAYS($AB810,TODAY(),Holidays)-1)&amp;" business day(s) late. Send now.",IF($U810="DUE TOMORROW","Next: "&amp;$AC810&amp;IF($AB810&lt;=TODAY()," is due TODAY ("," is due next business day (")&amp;TEXT($AB810,"dd-mmm")&amp;").","Next: "&amp;$AC810&amp;" due "&amp;TEXT($AB810,"dd-mmm")&amp;" ("&amp;(NETWORKDAYS(TODAY(),$AB810,Holidays)-1)&amp;" business day(s) left).")))))</f>
        <v/>
      </c>
      <c r="W810" s="17">
        <f>IF($Z810="","",CHOOSE($Z810,"Collection Email","1st Follow-up","2nd Follow-up","Local Office","CBE","Roxanne")&amp;IF($Z810=6," - Final"," - Day "&amp;MAX(0,NETWORKDAYS($AA810,TODAY(),Holidays)-1)&amp;" of "&amp;CHOOSE($Z810,3,3,2,2,3))&amp;" | Total Day "&amp;MAX(0,NETWORKDAYS($N810,TODAY(),Holidays)-1))</f>
        <v/>
      </c>
      <c r="X810" s="18"/>
      <c r="Y810" s="18"/>
      <c r="Z810" s="17">
        <f>IF($N810="","",COUNT($N810:$S810))</f>
        <v/>
      </c>
      <c r="AA810" s="19">
        <f>IF($Z810="","",INT(INDEX($N810:$S810,$Z810)))</f>
        <v/>
      </c>
      <c r="AB810" s="19">
        <f>IF(OR($Z810="",$Z810=6),"",WORKDAY($AA810,CHOOSE($Z810,3,3,2,2,3),Holidays))</f>
        <v/>
      </c>
      <c r="AC810" s="17">
        <f>IF(OR($Z810="",$Z810=6),"",CHOOSE($Z810,"1st Email Follow-up","2nd Email Follow-up","Escalate Local Office","Escalate to CBE","Escalate to Roxanne"))</f>
        <v/>
      </c>
    </row>
    <row r="811" spans="13:29">
      <c r="M811" s="14"/>
      <c r="T811" s="16"/>
      <c r="U811" s="17">
        <f>IF(AND(COUNTA($A811:$L811)=0,$N811=""),"",IF($T811="Paid","PAID",IF($T811="Closed","CLOSED",IF($Z811="","",IF($Z811=6,"ESCALATED TO ROXANNE",IF(TODAY()&gt;$AB811,"OVERDUE",IF($AB811&lt;=WORKDAY(TODAY(),1,Holidays),"DUE TOMORROW",IF($Z811=4,"ESCALATED TO LOCAL OFFICE",IF($Z811=5,"ESCALATED TO CBE",IF($AA811=TODAY(),"EMAIL SENT","MONITORING"))))))))))</f>
        <v/>
      </c>
      <c r="V811" s="17">
        <f>IF($U811="",IF(AND(COUNTA($A811:$L811)&gt;0,$N811=""),"Awaiting Collection Email time stamp.",""),IF(OR($U811="PAID",$U811="CLOSED"),IF($U811="PAID","Account paid. Action completed.","Account closed. No further action required."),CHOOSE($Z811,"Collection Email","1st Email Follow-up","2nd Email Follow-up","Escalation to Local Office","Escalation to CBE","Escalation to Roxanne")&amp;" sent "&amp;TEXT($AA811,"dd-mmm")&amp;". "&amp;IF($Z811=6,"Final escalation completed.",IF($U811="OVERDUE","Next: "&amp;$AC811&amp;" was due "&amp;TEXT($AB811,"dd-mmm")&amp;" - "&amp;(NETWORKDAYS($AB811,TODAY(),Holidays)-1)&amp;" business day(s) late. Send now.",IF($U811="DUE TOMORROW","Next: "&amp;$AC811&amp;IF($AB811&lt;=TODAY()," is due TODAY ("," is due next business day (")&amp;TEXT($AB811,"dd-mmm")&amp;").","Next: "&amp;$AC811&amp;" due "&amp;TEXT($AB811,"dd-mmm")&amp;" ("&amp;(NETWORKDAYS(TODAY(),$AB811,Holidays)-1)&amp;" business day(s) left).")))))</f>
        <v/>
      </c>
      <c r="W811" s="17">
        <f>IF($Z811="","",CHOOSE($Z811,"Collection Email","1st Follow-up","2nd Follow-up","Local Office","CBE","Roxanne")&amp;IF($Z811=6," - Final"," - Day "&amp;MAX(0,NETWORKDAYS($AA811,TODAY(),Holidays)-1)&amp;" of "&amp;CHOOSE($Z811,3,3,2,2,3))&amp;" | Total Day "&amp;MAX(0,NETWORKDAYS($N811,TODAY(),Holidays)-1))</f>
        <v/>
      </c>
      <c r="X811" s="18"/>
      <c r="Y811" s="18"/>
      <c r="Z811" s="17">
        <f>IF($N811="","",COUNT($N811:$S811))</f>
        <v/>
      </c>
      <c r="AA811" s="19">
        <f>IF($Z811="","",INT(INDEX($N811:$S811,$Z811)))</f>
        <v/>
      </c>
      <c r="AB811" s="19">
        <f>IF(OR($Z811="",$Z811=6),"",WORKDAY($AA811,CHOOSE($Z811,3,3,2,2,3),Holidays))</f>
        <v/>
      </c>
      <c r="AC811" s="17">
        <f>IF(OR($Z811="",$Z811=6),"",CHOOSE($Z811,"1st Email Follow-up","2nd Email Follow-up","Escalate Local Office","Escalate to CBE","Escalate to Roxanne"))</f>
        <v/>
      </c>
    </row>
    <row r="812" spans="13:29">
      <c r="M812" s="14"/>
      <c r="T812" s="16"/>
      <c r="U812" s="17">
        <f>IF(AND(COUNTA($A812:$L812)=0,$N812=""),"",IF($T812="Paid","PAID",IF($T812="Closed","CLOSED",IF($Z812="","",IF($Z812=6,"ESCALATED TO ROXANNE",IF(TODAY()&gt;$AB812,"OVERDUE",IF($AB812&lt;=WORKDAY(TODAY(),1,Holidays),"DUE TOMORROW",IF($Z812=4,"ESCALATED TO LOCAL OFFICE",IF($Z812=5,"ESCALATED TO CBE",IF($AA812=TODAY(),"EMAIL SENT","MONITORING"))))))))))</f>
        <v/>
      </c>
      <c r="V812" s="17">
        <f>IF($U812="",IF(AND(COUNTA($A812:$L812)&gt;0,$N812=""),"Awaiting Collection Email time stamp.",""),IF(OR($U812="PAID",$U812="CLOSED"),IF($U812="PAID","Account paid. Action completed.","Account closed. No further action required."),CHOOSE($Z812,"Collection Email","1st Email Follow-up","2nd Email Follow-up","Escalation to Local Office","Escalation to CBE","Escalation to Roxanne")&amp;" sent "&amp;TEXT($AA812,"dd-mmm")&amp;". "&amp;IF($Z812=6,"Final escalation completed.",IF($U812="OVERDUE","Next: "&amp;$AC812&amp;" was due "&amp;TEXT($AB812,"dd-mmm")&amp;" - "&amp;(NETWORKDAYS($AB812,TODAY(),Holidays)-1)&amp;" business day(s) late. Send now.",IF($U812="DUE TOMORROW","Next: "&amp;$AC812&amp;IF($AB812&lt;=TODAY()," is due TODAY ("," is due next business day (")&amp;TEXT($AB812,"dd-mmm")&amp;").","Next: "&amp;$AC812&amp;" due "&amp;TEXT($AB812,"dd-mmm")&amp;" ("&amp;(NETWORKDAYS(TODAY(),$AB812,Holidays)-1)&amp;" business day(s) left).")))))</f>
        <v/>
      </c>
      <c r="W812" s="17">
        <f>IF($Z812="","",CHOOSE($Z812,"Collection Email","1st Follow-up","2nd Follow-up","Local Office","CBE","Roxanne")&amp;IF($Z812=6," - Final"," - Day "&amp;MAX(0,NETWORKDAYS($AA812,TODAY(),Holidays)-1)&amp;" of "&amp;CHOOSE($Z812,3,3,2,2,3))&amp;" | Total Day "&amp;MAX(0,NETWORKDAYS($N812,TODAY(),Holidays)-1))</f>
        <v/>
      </c>
      <c r="X812" s="18"/>
      <c r="Y812" s="18"/>
      <c r="Z812" s="17">
        <f>IF($N812="","",COUNT($N812:$S812))</f>
        <v/>
      </c>
      <c r="AA812" s="19">
        <f>IF($Z812="","",INT(INDEX($N812:$S812,$Z812)))</f>
        <v/>
      </c>
      <c r="AB812" s="19">
        <f>IF(OR($Z812="",$Z812=6),"",WORKDAY($AA812,CHOOSE($Z812,3,3,2,2,3),Holidays))</f>
        <v/>
      </c>
      <c r="AC812" s="17">
        <f>IF(OR($Z812="",$Z812=6),"",CHOOSE($Z812,"1st Email Follow-up","2nd Email Follow-up","Escalate Local Office","Escalate to CBE","Escalate to Roxanne"))</f>
        <v/>
      </c>
    </row>
    <row r="813" spans="13:29">
      <c r="M813" s="14"/>
      <c r="T813" s="16"/>
      <c r="U813" s="17">
        <f>IF(AND(COUNTA($A813:$L813)=0,$N813=""),"",IF($T813="Paid","PAID",IF($T813="Closed","CLOSED",IF($Z813="","",IF($Z813=6,"ESCALATED TO ROXANNE",IF(TODAY()&gt;$AB813,"OVERDUE",IF($AB813&lt;=WORKDAY(TODAY(),1,Holidays),"DUE TOMORROW",IF($Z813=4,"ESCALATED TO LOCAL OFFICE",IF($Z813=5,"ESCALATED TO CBE",IF($AA813=TODAY(),"EMAIL SENT","MONITORING"))))))))))</f>
        <v/>
      </c>
      <c r="V813" s="17">
        <f>IF($U813="",IF(AND(COUNTA($A813:$L813)&gt;0,$N813=""),"Awaiting Collection Email time stamp.",""),IF(OR($U813="PAID",$U813="CLOSED"),IF($U813="PAID","Account paid. Action completed.","Account closed. No further action required."),CHOOSE($Z813,"Collection Email","1st Email Follow-up","2nd Email Follow-up","Escalation to Local Office","Escalation to CBE","Escalation to Roxanne")&amp;" sent "&amp;TEXT($AA813,"dd-mmm")&amp;". "&amp;IF($Z813=6,"Final escalation completed.",IF($U813="OVERDUE","Next: "&amp;$AC813&amp;" was due "&amp;TEXT($AB813,"dd-mmm")&amp;" - "&amp;(NETWORKDAYS($AB813,TODAY(),Holidays)-1)&amp;" business day(s) late. Send now.",IF($U813="DUE TOMORROW","Next: "&amp;$AC813&amp;IF($AB813&lt;=TODAY()," is due TODAY ("," is due next business day (")&amp;TEXT($AB813,"dd-mmm")&amp;").","Next: "&amp;$AC813&amp;" due "&amp;TEXT($AB813,"dd-mmm")&amp;" ("&amp;(NETWORKDAYS(TODAY(),$AB813,Holidays)-1)&amp;" business day(s) left).")))))</f>
        <v/>
      </c>
      <c r="W813" s="17">
        <f>IF($Z813="","",CHOOSE($Z813,"Collection Email","1st Follow-up","2nd Follow-up","Local Office","CBE","Roxanne")&amp;IF($Z813=6," - Final"," - Day "&amp;MAX(0,NETWORKDAYS($AA813,TODAY(),Holidays)-1)&amp;" of "&amp;CHOOSE($Z813,3,3,2,2,3))&amp;" | Total Day "&amp;MAX(0,NETWORKDAYS($N813,TODAY(),Holidays)-1))</f>
        <v/>
      </c>
      <c r="X813" s="18"/>
      <c r="Y813" s="18"/>
      <c r="Z813" s="17">
        <f>IF($N813="","",COUNT($N813:$S813))</f>
        <v/>
      </c>
      <c r="AA813" s="19">
        <f>IF($Z813="","",INT(INDEX($N813:$S813,$Z813)))</f>
        <v/>
      </c>
      <c r="AB813" s="19">
        <f>IF(OR($Z813="",$Z813=6),"",WORKDAY($AA813,CHOOSE($Z813,3,3,2,2,3),Holidays))</f>
        <v/>
      </c>
      <c r="AC813" s="17">
        <f>IF(OR($Z813="",$Z813=6),"",CHOOSE($Z813,"1st Email Follow-up","2nd Email Follow-up","Escalate Local Office","Escalate to CBE","Escalate to Roxanne"))</f>
        <v/>
      </c>
    </row>
    <row r="814" spans="13:29">
      <c r="M814" s="14"/>
      <c r="T814" s="16"/>
      <c r="U814" s="17">
        <f>IF(AND(COUNTA($A814:$L814)=0,$N814=""),"",IF($T814="Paid","PAID",IF($T814="Closed","CLOSED",IF($Z814="","",IF($Z814=6,"ESCALATED TO ROXANNE",IF(TODAY()&gt;$AB814,"OVERDUE",IF($AB814&lt;=WORKDAY(TODAY(),1,Holidays),"DUE TOMORROW",IF($Z814=4,"ESCALATED TO LOCAL OFFICE",IF($Z814=5,"ESCALATED TO CBE",IF($AA814=TODAY(),"EMAIL SENT","MONITORING"))))))))))</f>
        <v/>
      </c>
      <c r="V814" s="17">
        <f>IF($U814="",IF(AND(COUNTA($A814:$L814)&gt;0,$N814=""),"Awaiting Collection Email time stamp.",""),IF(OR($U814="PAID",$U814="CLOSED"),IF($U814="PAID","Account paid. Action completed.","Account closed. No further action required."),CHOOSE($Z814,"Collection Email","1st Email Follow-up","2nd Email Follow-up","Escalation to Local Office","Escalation to CBE","Escalation to Roxanne")&amp;" sent "&amp;TEXT($AA814,"dd-mmm")&amp;". "&amp;IF($Z814=6,"Final escalation completed.",IF($U814="OVERDUE","Next: "&amp;$AC814&amp;" was due "&amp;TEXT($AB814,"dd-mmm")&amp;" - "&amp;(NETWORKDAYS($AB814,TODAY(),Holidays)-1)&amp;" business day(s) late. Send now.",IF($U814="DUE TOMORROW","Next: "&amp;$AC814&amp;IF($AB814&lt;=TODAY()," is due TODAY ("," is due next business day (")&amp;TEXT($AB814,"dd-mmm")&amp;").","Next: "&amp;$AC814&amp;" due "&amp;TEXT($AB814,"dd-mmm")&amp;" ("&amp;(NETWORKDAYS(TODAY(),$AB814,Holidays)-1)&amp;" business day(s) left).")))))</f>
        <v/>
      </c>
      <c r="W814" s="17">
        <f>IF($Z814="","",CHOOSE($Z814,"Collection Email","1st Follow-up","2nd Follow-up","Local Office","CBE","Roxanne")&amp;IF($Z814=6," - Final"," - Day "&amp;MAX(0,NETWORKDAYS($AA814,TODAY(),Holidays)-1)&amp;" of "&amp;CHOOSE($Z814,3,3,2,2,3))&amp;" | Total Day "&amp;MAX(0,NETWORKDAYS($N814,TODAY(),Holidays)-1))</f>
        <v/>
      </c>
      <c r="X814" s="18"/>
      <c r="Y814" s="18"/>
      <c r="Z814" s="17">
        <f>IF($N814="","",COUNT($N814:$S814))</f>
        <v/>
      </c>
      <c r="AA814" s="19">
        <f>IF($Z814="","",INT(INDEX($N814:$S814,$Z814)))</f>
        <v/>
      </c>
      <c r="AB814" s="19">
        <f>IF(OR($Z814="",$Z814=6),"",WORKDAY($AA814,CHOOSE($Z814,3,3,2,2,3),Holidays))</f>
        <v/>
      </c>
      <c r="AC814" s="17">
        <f>IF(OR($Z814="",$Z814=6),"",CHOOSE($Z814,"1st Email Follow-up","2nd Email Follow-up","Escalate Local Office","Escalate to CBE","Escalate to Roxanne"))</f>
        <v/>
      </c>
    </row>
    <row r="815" spans="13:29">
      <c r="M815" s="14"/>
      <c r="T815" s="16"/>
      <c r="U815" s="17">
        <f>IF(AND(COUNTA($A815:$L815)=0,$N815=""),"",IF($T815="Paid","PAID",IF($T815="Closed","CLOSED",IF($Z815="","",IF($Z815=6,"ESCALATED TO ROXANNE",IF(TODAY()&gt;$AB815,"OVERDUE",IF($AB815&lt;=WORKDAY(TODAY(),1,Holidays),"DUE TOMORROW",IF($Z815=4,"ESCALATED TO LOCAL OFFICE",IF($Z815=5,"ESCALATED TO CBE",IF($AA815=TODAY(),"EMAIL SENT","MONITORING"))))))))))</f>
        <v/>
      </c>
      <c r="V815" s="17">
        <f>IF($U815="",IF(AND(COUNTA($A815:$L815)&gt;0,$N815=""),"Awaiting Collection Email time stamp.",""),IF(OR($U815="PAID",$U815="CLOSED"),IF($U815="PAID","Account paid. Action completed.","Account closed. No further action required."),CHOOSE($Z815,"Collection Email","1st Email Follow-up","2nd Email Follow-up","Escalation to Local Office","Escalation to CBE","Escalation to Roxanne")&amp;" sent "&amp;TEXT($AA815,"dd-mmm")&amp;". "&amp;IF($Z815=6,"Final escalation completed.",IF($U815="OVERDUE","Next: "&amp;$AC815&amp;" was due "&amp;TEXT($AB815,"dd-mmm")&amp;" - "&amp;(NETWORKDAYS($AB815,TODAY(),Holidays)-1)&amp;" business day(s) late. Send now.",IF($U815="DUE TOMORROW","Next: "&amp;$AC815&amp;IF($AB815&lt;=TODAY()," is due TODAY ("," is due next business day (")&amp;TEXT($AB815,"dd-mmm")&amp;").","Next: "&amp;$AC815&amp;" due "&amp;TEXT($AB815,"dd-mmm")&amp;" ("&amp;(NETWORKDAYS(TODAY(),$AB815,Holidays)-1)&amp;" business day(s) left).")))))</f>
        <v/>
      </c>
      <c r="W815" s="17">
        <f>IF($Z815="","",CHOOSE($Z815,"Collection Email","1st Follow-up","2nd Follow-up","Local Office","CBE","Roxanne")&amp;IF($Z815=6," - Final"," - Day "&amp;MAX(0,NETWORKDAYS($AA815,TODAY(),Holidays)-1)&amp;" of "&amp;CHOOSE($Z815,3,3,2,2,3))&amp;" | Total Day "&amp;MAX(0,NETWORKDAYS($N815,TODAY(),Holidays)-1))</f>
        <v/>
      </c>
      <c r="X815" s="18"/>
      <c r="Y815" s="18"/>
      <c r="Z815" s="17">
        <f>IF($N815="","",COUNT($N815:$S815))</f>
        <v/>
      </c>
      <c r="AA815" s="19">
        <f>IF($Z815="","",INT(INDEX($N815:$S815,$Z815)))</f>
        <v/>
      </c>
      <c r="AB815" s="19">
        <f>IF(OR($Z815="",$Z815=6),"",WORKDAY($AA815,CHOOSE($Z815,3,3,2,2,3),Holidays))</f>
        <v/>
      </c>
      <c r="AC815" s="17">
        <f>IF(OR($Z815="",$Z815=6),"",CHOOSE($Z815,"1st Email Follow-up","2nd Email Follow-up","Escalate Local Office","Escalate to CBE","Escalate to Roxanne"))</f>
        <v/>
      </c>
    </row>
    <row r="816" spans="13:29">
      <c r="M816" s="14"/>
      <c r="T816" s="16"/>
      <c r="U816" s="17">
        <f>IF(AND(COUNTA($A816:$L816)=0,$N816=""),"",IF($T816="Paid","PAID",IF($T816="Closed","CLOSED",IF($Z816="","",IF($Z816=6,"ESCALATED TO ROXANNE",IF(TODAY()&gt;$AB816,"OVERDUE",IF($AB816&lt;=WORKDAY(TODAY(),1,Holidays),"DUE TOMORROW",IF($Z816=4,"ESCALATED TO LOCAL OFFICE",IF($Z816=5,"ESCALATED TO CBE",IF($AA816=TODAY(),"EMAIL SENT","MONITORING"))))))))))</f>
        <v/>
      </c>
      <c r="V816" s="17">
        <f>IF($U816="",IF(AND(COUNTA($A816:$L816)&gt;0,$N816=""),"Awaiting Collection Email time stamp.",""),IF(OR($U816="PAID",$U816="CLOSED"),IF($U816="PAID","Account paid. Action completed.","Account closed. No further action required."),CHOOSE($Z816,"Collection Email","1st Email Follow-up","2nd Email Follow-up","Escalation to Local Office","Escalation to CBE","Escalation to Roxanne")&amp;" sent "&amp;TEXT($AA816,"dd-mmm")&amp;". "&amp;IF($Z816=6,"Final escalation completed.",IF($U816="OVERDUE","Next: "&amp;$AC816&amp;" was due "&amp;TEXT($AB816,"dd-mmm")&amp;" - "&amp;(NETWORKDAYS($AB816,TODAY(),Holidays)-1)&amp;" business day(s) late. Send now.",IF($U816="DUE TOMORROW","Next: "&amp;$AC816&amp;IF($AB816&lt;=TODAY()," is due TODAY ("," is due next business day (")&amp;TEXT($AB816,"dd-mmm")&amp;").","Next: "&amp;$AC816&amp;" due "&amp;TEXT($AB816,"dd-mmm")&amp;" ("&amp;(NETWORKDAYS(TODAY(),$AB816,Holidays)-1)&amp;" business day(s) left).")))))</f>
        <v/>
      </c>
      <c r="W816" s="17">
        <f>IF($Z816="","",CHOOSE($Z816,"Collection Email","1st Follow-up","2nd Follow-up","Local Office","CBE","Roxanne")&amp;IF($Z816=6," - Final"," - Day "&amp;MAX(0,NETWORKDAYS($AA816,TODAY(),Holidays)-1)&amp;" of "&amp;CHOOSE($Z816,3,3,2,2,3))&amp;" | Total Day "&amp;MAX(0,NETWORKDAYS($N816,TODAY(),Holidays)-1))</f>
        <v/>
      </c>
      <c r="X816" s="18"/>
      <c r="Y816" s="18"/>
      <c r="Z816" s="17">
        <f>IF($N816="","",COUNT($N816:$S816))</f>
        <v/>
      </c>
      <c r="AA816" s="19">
        <f>IF($Z816="","",INT(INDEX($N816:$S816,$Z816)))</f>
        <v/>
      </c>
      <c r="AB816" s="19">
        <f>IF(OR($Z816="",$Z816=6),"",WORKDAY($AA816,CHOOSE($Z816,3,3,2,2,3),Holidays))</f>
        <v/>
      </c>
      <c r="AC816" s="17">
        <f>IF(OR($Z816="",$Z816=6),"",CHOOSE($Z816,"1st Email Follow-up","2nd Email Follow-up","Escalate Local Office","Escalate to CBE","Escalate to Roxanne"))</f>
        <v/>
      </c>
    </row>
    <row r="817" spans="13:29">
      <c r="M817" s="14"/>
      <c r="T817" s="16"/>
      <c r="U817" s="17">
        <f>IF(AND(COUNTA($A817:$L817)=0,$N817=""),"",IF($T817="Paid","PAID",IF($T817="Closed","CLOSED",IF($Z817="","",IF($Z817=6,"ESCALATED TO ROXANNE",IF(TODAY()&gt;$AB817,"OVERDUE",IF($AB817&lt;=WORKDAY(TODAY(),1,Holidays),"DUE TOMORROW",IF($Z817=4,"ESCALATED TO LOCAL OFFICE",IF($Z817=5,"ESCALATED TO CBE",IF($AA817=TODAY(),"EMAIL SENT","MONITORING"))))))))))</f>
        <v/>
      </c>
      <c r="V817" s="17">
        <f>IF($U817="",IF(AND(COUNTA($A817:$L817)&gt;0,$N817=""),"Awaiting Collection Email time stamp.",""),IF(OR($U817="PAID",$U817="CLOSED"),IF($U817="PAID","Account paid. Action completed.","Account closed. No further action required."),CHOOSE($Z817,"Collection Email","1st Email Follow-up","2nd Email Follow-up","Escalation to Local Office","Escalation to CBE","Escalation to Roxanne")&amp;" sent "&amp;TEXT($AA817,"dd-mmm")&amp;". "&amp;IF($Z817=6,"Final escalation completed.",IF($U817="OVERDUE","Next: "&amp;$AC817&amp;" was due "&amp;TEXT($AB817,"dd-mmm")&amp;" - "&amp;(NETWORKDAYS($AB817,TODAY(),Holidays)-1)&amp;" business day(s) late. Send now.",IF($U817="DUE TOMORROW","Next: "&amp;$AC817&amp;IF($AB817&lt;=TODAY()," is due TODAY ("," is due next business day (")&amp;TEXT($AB817,"dd-mmm")&amp;").","Next: "&amp;$AC817&amp;" due "&amp;TEXT($AB817,"dd-mmm")&amp;" ("&amp;(NETWORKDAYS(TODAY(),$AB817,Holidays)-1)&amp;" business day(s) left).")))))</f>
        <v/>
      </c>
      <c r="W817" s="17">
        <f>IF($Z817="","",CHOOSE($Z817,"Collection Email","1st Follow-up","2nd Follow-up","Local Office","CBE","Roxanne")&amp;IF($Z817=6," - Final"," - Day "&amp;MAX(0,NETWORKDAYS($AA817,TODAY(),Holidays)-1)&amp;" of "&amp;CHOOSE($Z817,3,3,2,2,3))&amp;" | Total Day "&amp;MAX(0,NETWORKDAYS($N817,TODAY(),Holidays)-1))</f>
        <v/>
      </c>
      <c r="X817" s="18"/>
      <c r="Y817" s="18"/>
      <c r="Z817" s="17">
        <f>IF($N817="","",COUNT($N817:$S817))</f>
        <v/>
      </c>
      <c r="AA817" s="19">
        <f>IF($Z817="","",INT(INDEX($N817:$S817,$Z817)))</f>
        <v/>
      </c>
      <c r="AB817" s="19">
        <f>IF(OR($Z817="",$Z817=6),"",WORKDAY($AA817,CHOOSE($Z817,3,3,2,2,3),Holidays))</f>
        <v/>
      </c>
      <c r="AC817" s="17">
        <f>IF(OR($Z817="",$Z817=6),"",CHOOSE($Z817,"1st Email Follow-up","2nd Email Follow-up","Escalate Local Office","Escalate to CBE","Escalate to Roxanne"))</f>
        <v/>
      </c>
    </row>
    <row r="818" spans="13:29">
      <c r="M818" s="14"/>
      <c r="T818" s="16"/>
      <c r="U818" s="17">
        <f>IF(AND(COUNTA($A818:$L818)=0,$N818=""),"",IF($T818="Paid","PAID",IF($T818="Closed","CLOSED",IF($Z818="","",IF($Z818=6,"ESCALATED TO ROXANNE",IF(TODAY()&gt;$AB818,"OVERDUE",IF($AB818&lt;=WORKDAY(TODAY(),1,Holidays),"DUE TOMORROW",IF($Z818=4,"ESCALATED TO LOCAL OFFICE",IF($Z818=5,"ESCALATED TO CBE",IF($AA818=TODAY(),"EMAIL SENT","MONITORING"))))))))))</f>
        <v/>
      </c>
      <c r="V818" s="17">
        <f>IF($U818="",IF(AND(COUNTA($A818:$L818)&gt;0,$N818=""),"Awaiting Collection Email time stamp.",""),IF(OR($U818="PAID",$U818="CLOSED"),IF($U818="PAID","Account paid. Action completed.","Account closed. No further action required."),CHOOSE($Z818,"Collection Email","1st Email Follow-up","2nd Email Follow-up","Escalation to Local Office","Escalation to CBE","Escalation to Roxanne")&amp;" sent "&amp;TEXT($AA818,"dd-mmm")&amp;". "&amp;IF($Z818=6,"Final escalation completed.",IF($U818="OVERDUE","Next: "&amp;$AC818&amp;" was due "&amp;TEXT($AB818,"dd-mmm")&amp;" - "&amp;(NETWORKDAYS($AB818,TODAY(),Holidays)-1)&amp;" business day(s) late. Send now.",IF($U818="DUE TOMORROW","Next: "&amp;$AC818&amp;IF($AB818&lt;=TODAY()," is due TODAY ("," is due next business day (")&amp;TEXT($AB818,"dd-mmm")&amp;").","Next: "&amp;$AC818&amp;" due "&amp;TEXT($AB818,"dd-mmm")&amp;" ("&amp;(NETWORKDAYS(TODAY(),$AB818,Holidays)-1)&amp;" business day(s) left).")))))</f>
        <v/>
      </c>
      <c r="W818" s="17">
        <f>IF($Z818="","",CHOOSE($Z818,"Collection Email","1st Follow-up","2nd Follow-up","Local Office","CBE","Roxanne")&amp;IF($Z818=6," - Final"," - Day "&amp;MAX(0,NETWORKDAYS($AA818,TODAY(),Holidays)-1)&amp;" of "&amp;CHOOSE($Z818,3,3,2,2,3))&amp;" | Total Day "&amp;MAX(0,NETWORKDAYS($N818,TODAY(),Holidays)-1))</f>
        <v/>
      </c>
      <c r="X818" s="18"/>
      <c r="Y818" s="18"/>
      <c r="Z818" s="17">
        <f>IF($N818="","",COUNT($N818:$S818))</f>
        <v/>
      </c>
      <c r="AA818" s="19">
        <f>IF($Z818="","",INT(INDEX($N818:$S818,$Z818)))</f>
        <v/>
      </c>
      <c r="AB818" s="19">
        <f>IF(OR($Z818="",$Z818=6),"",WORKDAY($AA818,CHOOSE($Z818,3,3,2,2,3),Holidays))</f>
        <v/>
      </c>
      <c r="AC818" s="17">
        <f>IF(OR($Z818="",$Z818=6),"",CHOOSE($Z818,"1st Email Follow-up","2nd Email Follow-up","Escalate Local Office","Escalate to CBE","Escalate to Roxanne"))</f>
        <v/>
      </c>
    </row>
    <row r="819" spans="13:29">
      <c r="M819" s="14"/>
      <c r="T819" s="16"/>
      <c r="U819" s="17">
        <f>IF(AND(COUNTA($A819:$L819)=0,$N819=""),"",IF($T819="Paid","PAID",IF($T819="Closed","CLOSED",IF($Z819="","",IF($Z819=6,"ESCALATED TO ROXANNE",IF(TODAY()&gt;$AB819,"OVERDUE",IF($AB819&lt;=WORKDAY(TODAY(),1,Holidays),"DUE TOMORROW",IF($Z819=4,"ESCALATED TO LOCAL OFFICE",IF($Z819=5,"ESCALATED TO CBE",IF($AA819=TODAY(),"EMAIL SENT","MONITORING"))))))))))</f>
        <v/>
      </c>
      <c r="V819" s="17">
        <f>IF($U819="",IF(AND(COUNTA($A819:$L819)&gt;0,$N819=""),"Awaiting Collection Email time stamp.",""),IF(OR($U819="PAID",$U819="CLOSED"),IF($U819="PAID","Account paid. Action completed.","Account closed. No further action required."),CHOOSE($Z819,"Collection Email","1st Email Follow-up","2nd Email Follow-up","Escalation to Local Office","Escalation to CBE","Escalation to Roxanne")&amp;" sent "&amp;TEXT($AA819,"dd-mmm")&amp;". "&amp;IF($Z819=6,"Final escalation completed.",IF($U819="OVERDUE","Next: "&amp;$AC819&amp;" was due "&amp;TEXT($AB819,"dd-mmm")&amp;" - "&amp;(NETWORKDAYS($AB819,TODAY(),Holidays)-1)&amp;" business day(s) late. Send now.",IF($U819="DUE TOMORROW","Next: "&amp;$AC819&amp;IF($AB819&lt;=TODAY()," is due TODAY ("," is due next business day (")&amp;TEXT($AB819,"dd-mmm")&amp;").","Next: "&amp;$AC819&amp;" due "&amp;TEXT($AB819,"dd-mmm")&amp;" ("&amp;(NETWORKDAYS(TODAY(),$AB819,Holidays)-1)&amp;" business day(s) left).")))))</f>
        <v/>
      </c>
      <c r="W819" s="17">
        <f>IF($Z819="","",CHOOSE($Z819,"Collection Email","1st Follow-up","2nd Follow-up","Local Office","CBE","Roxanne")&amp;IF($Z819=6," - Final"," - Day "&amp;MAX(0,NETWORKDAYS($AA819,TODAY(),Holidays)-1)&amp;" of "&amp;CHOOSE($Z819,3,3,2,2,3))&amp;" | Total Day "&amp;MAX(0,NETWORKDAYS($N819,TODAY(),Holidays)-1))</f>
        <v/>
      </c>
      <c r="X819" s="18"/>
      <c r="Y819" s="18"/>
      <c r="Z819" s="17">
        <f>IF($N819="","",COUNT($N819:$S819))</f>
        <v/>
      </c>
      <c r="AA819" s="19">
        <f>IF($Z819="","",INT(INDEX($N819:$S819,$Z819)))</f>
        <v/>
      </c>
      <c r="AB819" s="19">
        <f>IF(OR($Z819="",$Z819=6),"",WORKDAY($AA819,CHOOSE($Z819,3,3,2,2,3),Holidays))</f>
        <v/>
      </c>
      <c r="AC819" s="17">
        <f>IF(OR($Z819="",$Z819=6),"",CHOOSE($Z819,"1st Email Follow-up","2nd Email Follow-up","Escalate Local Office","Escalate to CBE","Escalate to Roxanne"))</f>
        <v/>
      </c>
    </row>
    <row r="820" spans="13:29">
      <c r="M820" s="14"/>
      <c r="T820" s="16"/>
      <c r="U820" s="17">
        <f>IF(AND(COUNTA($A820:$L820)=0,$N820=""),"",IF($T820="Paid","PAID",IF($T820="Closed","CLOSED",IF($Z820="","",IF($Z820=6,"ESCALATED TO ROXANNE",IF(TODAY()&gt;$AB820,"OVERDUE",IF($AB820&lt;=WORKDAY(TODAY(),1,Holidays),"DUE TOMORROW",IF($Z820=4,"ESCALATED TO LOCAL OFFICE",IF($Z820=5,"ESCALATED TO CBE",IF($AA820=TODAY(),"EMAIL SENT","MONITORING"))))))))))</f>
        <v/>
      </c>
      <c r="V820" s="17">
        <f>IF($U820="",IF(AND(COUNTA($A820:$L820)&gt;0,$N820=""),"Awaiting Collection Email time stamp.",""),IF(OR($U820="PAID",$U820="CLOSED"),IF($U820="PAID","Account paid. Action completed.","Account closed. No further action required."),CHOOSE($Z820,"Collection Email","1st Email Follow-up","2nd Email Follow-up","Escalation to Local Office","Escalation to CBE","Escalation to Roxanne")&amp;" sent "&amp;TEXT($AA820,"dd-mmm")&amp;". "&amp;IF($Z820=6,"Final escalation completed.",IF($U820="OVERDUE","Next: "&amp;$AC820&amp;" was due "&amp;TEXT($AB820,"dd-mmm")&amp;" - "&amp;(NETWORKDAYS($AB820,TODAY(),Holidays)-1)&amp;" business day(s) late. Send now.",IF($U820="DUE TOMORROW","Next: "&amp;$AC820&amp;IF($AB820&lt;=TODAY()," is due TODAY ("," is due next business day (")&amp;TEXT($AB820,"dd-mmm")&amp;").","Next: "&amp;$AC820&amp;" due "&amp;TEXT($AB820,"dd-mmm")&amp;" ("&amp;(NETWORKDAYS(TODAY(),$AB820,Holidays)-1)&amp;" business day(s) left).")))))</f>
        <v/>
      </c>
      <c r="W820" s="17">
        <f>IF($Z820="","",CHOOSE($Z820,"Collection Email","1st Follow-up","2nd Follow-up","Local Office","CBE","Roxanne")&amp;IF($Z820=6," - Final"," - Day "&amp;MAX(0,NETWORKDAYS($AA820,TODAY(),Holidays)-1)&amp;" of "&amp;CHOOSE($Z820,3,3,2,2,3))&amp;" | Total Day "&amp;MAX(0,NETWORKDAYS($N820,TODAY(),Holidays)-1))</f>
        <v/>
      </c>
      <c r="X820" s="18"/>
      <c r="Y820" s="18"/>
      <c r="Z820" s="17">
        <f>IF($N820="","",COUNT($N820:$S820))</f>
        <v/>
      </c>
      <c r="AA820" s="19">
        <f>IF($Z820="","",INT(INDEX($N820:$S820,$Z820)))</f>
        <v/>
      </c>
      <c r="AB820" s="19">
        <f>IF(OR($Z820="",$Z820=6),"",WORKDAY($AA820,CHOOSE($Z820,3,3,2,2,3),Holidays))</f>
        <v/>
      </c>
      <c r="AC820" s="17">
        <f>IF(OR($Z820="",$Z820=6),"",CHOOSE($Z820,"1st Email Follow-up","2nd Email Follow-up","Escalate Local Office","Escalate to CBE","Escalate to Roxanne"))</f>
        <v/>
      </c>
    </row>
    <row r="821" spans="13:29">
      <c r="M821" s="14"/>
      <c r="T821" s="16"/>
      <c r="U821" s="17">
        <f>IF(AND(COUNTA($A821:$L821)=0,$N821=""),"",IF($T821="Paid","PAID",IF($T821="Closed","CLOSED",IF($Z821="","",IF($Z821=6,"ESCALATED TO ROXANNE",IF(TODAY()&gt;$AB821,"OVERDUE",IF($AB821&lt;=WORKDAY(TODAY(),1,Holidays),"DUE TOMORROW",IF($Z821=4,"ESCALATED TO LOCAL OFFICE",IF($Z821=5,"ESCALATED TO CBE",IF($AA821=TODAY(),"EMAIL SENT","MONITORING"))))))))))</f>
        <v/>
      </c>
      <c r="V821" s="17">
        <f>IF($U821="",IF(AND(COUNTA($A821:$L821)&gt;0,$N821=""),"Awaiting Collection Email time stamp.",""),IF(OR($U821="PAID",$U821="CLOSED"),IF($U821="PAID","Account paid. Action completed.","Account closed. No further action required."),CHOOSE($Z821,"Collection Email","1st Email Follow-up","2nd Email Follow-up","Escalation to Local Office","Escalation to CBE","Escalation to Roxanne")&amp;" sent "&amp;TEXT($AA821,"dd-mmm")&amp;". "&amp;IF($Z821=6,"Final escalation completed.",IF($U821="OVERDUE","Next: "&amp;$AC821&amp;" was due "&amp;TEXT($AB821,"dd-mmm")&amp;" - "&amp;(NETWORKDAYS($AB821,TODAY(),Holidays)-1)&amp;" business day(s) late. Send now.",IF($U821="DUE TOMORROW","Next: "&amp;$AC821&amp;IF($AB821&lt;=TODAY()," is due TODAY ("," is due next business day (")&amp;TEXT($AB821,"dd-mmm")&amp;").","Next: "&amp;$AC821&amp;" due "&amp;TEXT($AB821,"dd-mmm")&amp;" ("&amp;(NETWORKDAYS(TODAY(),$AB821,Holidays)-1)&amp;" business day(s) left).")))))</f>
        <v/>
      </c>
      <c r="W821" s="17">
        <f>IF($Z821="","",CHOOSE($Z821,"Collection Email","1st Follow-up","2nd Follow-up","Local Office","CBE","Roxanne")&amp;IF($Z821=6," - Final"," - Day "&amp;MAX(0,NETWORKDAYS($AA821,TODAY(),Holidays)-1)&amp;" of "&amp;CHOOSE($Z821,3,3,2,2,3))&amp;" | Total Day "&amp;MAX(0,NETWORKDAYS($N821,TODAY(),Holidays)-1))</f>
        <v/>
      </c>
      <c r="X821" s="18"/>
      <c r="Y821" s="18"/>
      <c r="Z821" s="17">
        <f>IF($N821="","",COUNT($N821:$S821))</f>
        <v/>
      </c>
      <c r="AA821" s="19">
        <f>IF($Z821="","",INT(INDEX($N821:$S821,$Z821)))</f>
        <v/>
      </c>
      <c r="AB821" s="19">
        <f>IF(OR($Z821="",$Z821=6),"",WORKDAY($AA821,CHOOSE($Z821,3,3,2,2,3),Holidays))</f>
        <v/>
      </c>
      <c r="AC821" s="17">
        <f>IF(OR($Z821="",$Z821=6),"",CHOOSE($Z821,"1st Email Follow-up","2nd Email Follow-up","Escalate Local Office","Escalate to CBE","Escalate to Roxanne"))</f>
        <v/>
      </c>
    </row>
    <row r="822" spans="13:29">
      <c r="M822" s="14"/>
      <c r="T822" s="16"/>
      <c r="U822" s="17">
        <f>IF(AND(COUNTA($A822:$L822)=0,$N822=""),"",IF($T822="Paid","PAID",IF($T822="Closed","CLOSED",IF($Z822="","",IF($Z822=6,"ESCALATED TO ROXANNE",IF(TODAY()&gt;$AB822,"OVERDUE",IF($AB822&lt;=WORKDAY(TODAY(),1,Holidays),"DUE TOMORROW",IF($Z822=4,"ESCALATED TO LOCAL OFFICE",IF($Z822=5,"ESCALATED TO CBE",IF($AA822=TODAY(),"EMAIL SENT","MONITORING"))))))))))</f>
        <v/>
      </c>
      <c r="V822" s="17">
        <f>IF($U822="",IF(AND(COUNTA($A822:$L822)&gt;0,$N822=""),"Awaiting Collection Email time stamp.",""),IF(OR($U822="PAID",$U822="CLOSED"),IF($U822="PAID","Account paid. Action completed.","Account closed. No further action required."),CHOOSE($Z822,"Collection Email","1st Email Follow-up","2nd Email Follow-up","Escalation to Local Office","Escalation to CBE","Escalation to Roxanne")&amp;" sent "&amp;TEXT($AA822,"dd-mmm")&amp;". "&amp;IF($Z822=6,"Final escalation completed.",IF($U822="OVERDUE","Next: "&amp;$AC822&amp;" was due "&amp;TEXT($AB822,"dd-mmm")&amp;" - "&amp;(NETWORKDAYS($AB822,TODAY(),Holidays)-1)&amp;" business day(s) late. Send now.",IF($U822="DUE TOMORROW","Next: "&amp;$AC822&amp;IF($AB822&lt;=TODAY()," is due TODAY ("," is due next business day (")&amp;TEXT($AB822,"dd-mmm")&amp;").","Next: "&amp;$AC822&amp;" due "&amp;TEXT($AB822,"dd-mmm")&amp;" ("&amp;(NETWORKDAYS(TODAY(),$AB822,Holidays)-1)&amp;" business day(s) left).")))))</f>
        <v/>
      </c>
      <c r="W822" s="17">
        <f>IF($Z822="","",CHOOSE($Z822,"Collection Email","1st Follow-up","2nd Follow-up","Local Office","CBE","Roxanne")&amp;IF($Z822=6," - Final"," - Day "&amp;MAX(0,NETWORKDAYS($AA822,TODAY(),Holidays)-1)&amp;" of "&amp;CHOOSE($Z822,3,3,2,2,3))&amp;" | Total Day "&amp;MAX(0,NETWORKDAYS($N822,TODAY(),Holidays)-1))</f>
        <v/>
      </c>
      <c r="X822" s="18"/>
      <c r="Y822" s="18"/>
      <c r="Z822" s="17">
        <f>IF($N822="","",COUNT($N822:$S822))</f>
        <v/>
      </c>
      <c r="AA822" s="19">
        <f>IF($Z822="","",INT(INDEX($N822:$S822,$Z822)))</f>
        <v/>
      </c>
      <c r="AB822" s="19">
        <f>IF(OR($Z822="",$Z822=6),"",WORKDAY($AA822,CHOOSE($Z822,3,3,2,2,3),Holidays))</f>
        <v/>
      </c>
      <c r="AC822" s="17">
        <f>IF(OR($Z822="",$Z822=6),"",CHOOSE($Z822,"1st Email Follow-up","2nd Email Follow-up","Escalate Local Office","Escalate to CBE","Escalate to Roxanne"))</f>
        <v/>
      </c>
    </row>
    <row r="823" spans="13:29">
      <c r="M823" s="14"/>
      <c r="T823" s="16"/>
      <c r="U823" s="17">
        <f>IF(AND(COUNTA($A823:$L823)=0,$N823=""),"",IF($T823="Paid","PAID",IF($T823="Closed","CLOSED",IF($Z823="","",IF($Z823=6,"ESCALATED TO ROXANNE",IF(TODAY()&gt;$AB823,"OVERDUE",IF($AB823&lt;=WORKDAY(TODAY(),1,Holidays),"DUE TOMORROW",IF($Z823=4,"ESCALATED TO LOCAL OFFICE",IF($Z823=5,"ESCALATED TO CBE",IF($AA823=TODAY(),"EMAIL SENT","MONITORING"))))))))))</f>
        <v/>
      </c>
      <c r="V823" s="17">
        <f>IF($U823="",IF(AND(COUNTA($A823:$L823)&gt;0,$N823=""),"Awaiting Collection Email time stamp.",""),IF(OR($U823="PAID",$U823="CLOSED"),IF($U823="PAID","Account paid. Action completed.","Account closed. No further action required."),CHOOSE($Z823,"Collection Email","1st Email Follow-up","2nd Email Follow-up","Escalation to Local Office","Escalation to CBE","Escalation to Roxanne")&amp;" sent "&amp;TEXT($AA823,"dd-mmm")&amp;". "&amp;IF($Z823=6,"Final escalation completed.",IF($U823="OVERDUE","Next: "&amp;$AC823&amp;" was due "&amp;TEXT($AB823,"dd-mmm")&amp;" - "&amp;(NETWORKDAYS($AB823,TODAY(),Holidays)-1)&amp;" business day(s) late. Send now.",IF($U823="DUE TOMORROW","Next: "&amp;$AC823&amp;IF($AB823&lt;=TODAY()," is due TODAY ("," is due next business day (")&amp;TEXT($AB823,"dd-mmm")&amp;").","Next: "&amp;$AC823&amp;" due "&amp;TEXT($AB823,"dd-mmm")&amp;" ("&amp;(NETWORKDAYS(TODAY(),$AB823,Holidays)-1)&amp;" business day(s) left).")))))</f>
        <v/>
      </c>
      <c r="W823" s="17">
        <f>IF($Z823="","",CHOOSE($Z823,"Collection Email","1st Follow-up","2nd Follow-up","Local Office","CBE","Roxanne")&amp;IF($Z823=6," - Final"," - Day "&amp;MAX(0,NETWORKDAYS($AA823,TODAY(),Holidays)-1)&amp;" of "&amp;CHOOSE($Z823,3,3,2,2,3))&amp;" | Total Day "&amp;MAX(0,NETWORKDAYS($N823,TODAY(),Holidays)-1))</f>
        <v/>
      </c>
      <c r="X823" s="18"/>
      <c r="Y823" s="18"/>
      <c r="Z823" s="17">
        <f>IF($N823="","",COUNT($N823:$S823))</f>
        <v/>
      </c>
      <c r="AA823" s="19">
        <f>IF($Z823="","",INT(INDEX($N823:$S823,$Z823)))</f>
        <v/>
      </c>
      <c r="AB823" s="19">
        <f>IF(OR($Z823="",$Z823=6),"",WORKDAY($AA823,CHOOSE($Z823,3,3,2,2,3),Holidays))</f>
        <v/>
      </c>
      <c r="AC823" s="17">
        <f>IF(OR($Z823="",$Z823=6),"",CHOOSE($Z823,"1st Email Follow-up","2nd Email Follow-up","Escalate Local Office","Escalate to CBE","Escalate to Roxanne"))</f>
        <v/>
      </c>
    </row>
    <row r="824" spans="13:29">
      <c r="M824" s="14"/>
      <c r="T824" s="16"/>
      <c r="U824" s="17">
        <f>IF(AND(COUNTA($A824:$L824)=0,$N824=""),"",IF($T824="Paid","PAID",IF($T824="Closed","CLOSED",IF($Z824="","",IF($Z824=6,"ESCALATED TO ROXANNE",IF(TODAY()&gt;$AB824,"OVERDUE",IF($AB824&lt;=WORKDAY(TODAY(),1,Holidays),"DUE TOMORROW",IF($Z824=4,"ESCALATED TO LOCAL OFFICE",IF($Z824=5,"ESCALATED TO CBE",IF($AA824=TODAY(),"EMAIL SENT","MONITORING"))))))))))</f>
        <v/>
      </c>
      <c r="V824" s="17">
        <f>IF($U824="",IF(AND(COUNTA($A824:$L824)&gt;0,$N824=""),"Awaiting Collection Email time stamp.",""),IF(OR($U824="PAID",$U824="CLOSED"),IF($U824="PAID","Account paid. Action completed.","Account closed. No further action required."),CHOOSE($Z824,"Collection Email","1st Email Follow-up","2nd Email Follow-up","Escalation to Local Office","Escalation to CBE","Escalation to Roxanne")&amp;" sent "&amp;TEXT($AA824,"dd-mmm")&amp;". "&amp;IF($Z824=6,"Final escalation completed.",IF($U824="OVERDUE","Next: "&amp;$AC824&amp;" was due "&amp;TEXT($AB824,"dd-mmm")&amp;" - "&amp;(NETWORKDAYS($AB824,TODAY(),Holidays)-1)&amp;" business day(s) late. Send now.",IF($U824="DUE TOMORROW","Next: "&amp;$AC824&amp;IF($AB824&lt;=TODAY()," is due TODAY ("," is due next business day (")&amp;TEXT($AB824,"dd-mmm")&amp;").","Next: "&amp;$AC824&amp;" due "&amp;TEXT($AB824,"dd-mmm")&amp;" ("&amp;(NETWORKDAYS(TODAY(),$AB824,Holidays)-1)&amp;" business day(s) left).")))))</f>
        <v/>
      </c>
      <c r="W824" s="17">
        <f>IF($Z824="","",CHOOSE($Z824,"Collection Email","1st Follow-up","2nd Follow-up","Local Office","CBE","Roxanne")&amp;IF($Z824=6," - Final"," - Day "&amp;MAX(0,NETWORKDAYS($AA824,TODAY(),Holidays)-1)&amp;" of "&amp;CHOOSE($Z824,3,3,2,2,3))&amp;" | Total Day "&amp;MAX(0,NETWORKDAYS($N824,TODAY(),Holidays)-1))</f>
        <v/>
      </c>
      <c r="X824" s="18"/>
      <c r="Y824" s="18"/>
      <c r="Z824" s="17">
        <f>IF($N824="","",COUNT($N824:$S824))</f>
        <v/>
      </c>
      <c r="AA824" s="19">
        <f>IF($Z824="","",INT(INDEX($N824:$S824,$Z824)))</f>
        <v/>
      </c>
      <c r="AB824" s="19">
        <f>IF(OR($Z824="",$Z824=6),"",WORKDAY($AA824,CHOOSE($Z824,3,3,2,2,3),Holidays))</f>
        <v/>
      </c>
      <c r="AC824" s="17">
        <f>IF(OR($Z824="",$Z824=6),"",CHOOSE($Z824,"1st Email Follow-up","2nd Email Follow-up","Escalate Local Office","Escalate to CBE","Escalate to Roxanne"))</f>
        <v/>
      </c>
    </row>
    <row r="825" spans="13:29">
      <c r="M825" s="14"/>
      <c r="T825" s="16"/>
      <c r="U825" s="17">
        <f>IF(AND(COUNTA($A825:$L825)=0,$N825=""),"",IF($T825="Paid","PAID",IF($T825="Closed","CLOSED",IF($Z825="","",IF($Z825=6,"ESCALATED TO ROXANNE",IF(TODAY()&gt;$AB825,"OVERDUE",IF($AB825&lt;=WORKDAY(TODAY(),1,Holidays),"DUE TOMORROW",IF($Z825=4,"ESCALATED TO LOCAL OFFICE",IF($Z825=5,"ESCALATED TO CBE",IF($AA825=TODAY(),"EMAIL SENT","MONITORING"))))))))))</f>
        <v/>
      </c>
      <c r="V825" s="17">
        <f>IF($U825="",IF(AND(COUNTA($A825:$L825)&gt;0,$N825=""),"Awaiting Collection Email time stamp.",""),IF(OR($U825="PAID",$U825="CLOSED"),IF($U825="PAID","Account paid. Action completed.","Account closed. No further action required."),CHOOSE($Z825,"Collection Email","1st Email Follow-up","2nd Email Follow-up","Escalation to Local Office","Escalation to CBE","Escalation to Roxanne")&amp;" sent "&amp;TEXT($AA825,"dd-mmm")&amp;". "&amp;IF($Z825=6,"Final escalation completed.",IF($U825="OVERDUE","Next: "&amp;$AC825&amp;" was due "&amp;TEXT($AB825,"dd-mmm")&amp;" - "&amp;(NETWORKDAYS($AB825,TODAY(),Holidays)-1)&amp;" business day(s) late. Send now.",IF($U825="DUE TOMORROW","Next: "&amp;$AC825&amp;IF($AB825&lt;=TODAY()," is due TODAY ("," is due next business day (")&amp;TEXT($AB825,"dd-mmm")&amp;").","Next: "&amp;$AC825&amp;" due "&amp;TEXT($AB825,"dd-mmm")&amp;" ("&amp;(NETWORKDAYS(TODAY(),$AB825,Holidays)-1)&amp;" business day(s) left).")))))</f>
        <v/>
      </c>
      <c r="W825" s="17">
        <f>IF($Z825="","",CHOOSE($Z825,"Collection Email","1st Follow-up","2nd Follow-up","Local Office","CBE","Roxanne")&amp;IF($Z825=6," - Final"," - Day "&amp;MAX(0,NETWORKDAYS($AA825,TODAY(),Holidays)-1)&amp;" of "&amp;CHOOSE($Z825,3,3,2,2,3))&amp;" | Total Day "&amp;MAX(0,NETWORKDAYS($N825,TODAY(),Holidays)-1))</f>
        <v/>
      </c>
      <c r="X825" s="18"/>
      <c r="Y825" s="18"/>
      <c r="Z825" s="17">
        <f>IF($N825="","",COUNT($N825:$S825))</f>
        <v/>
      </c>
      <c r="AA825" s="19">
        <f>IF($Z825="","",INT(INDEX($N825:$S825,$Z825)))</f>
        <v/>
      </c>
      <c r="AB825" s="19">
        <f>IF(OR($Z825="",$Z825=6),"",WORKDAY($AA825,CHOOSE($Z825,3,3,2,2,3),Holidays))</f>
        <v/>
      </c>
      <c r="AC825" s="17">
        <f>IF(OR($Z825="",$Z825=6),"",CHOOSE($Z825,"1st Email Follow-up","2nd Email Follow-up","Escalate Local Office","Escalate to CBE","Escalate to Roxanne"))</f>
        <v/>
      </c>
    </row>
    <row r="826" spans="13:29">
      <c r="M826" s="14"/>
      <c r="T826" s="16"/>
      <c r="U826" s="17">
        <f>IF(AND(COUNTA($A826:$L826)=0,$N826=""),"",IF($T826="Paid","PAID",IF($T826="Closed","CLOSED",IF($Z826="","",IF($Z826=6,"ESCALATED TO ROXANNE",IF(TODAY()&gt;$AB826,"OVERDUE",IF($AB826&lt;=WORKDAY(TODAY(),1,Holidays),"DUE TOMORROW",IF($Z826=4,"ESCALATED TO LOCAL OFFICE",IF($Z826=5,"ESCALATED TO CBE",IF($AA826=TODAY(),"EMAIL SENT","MONITORING"))))))))))</f>
        <v/>
      </c>
      <c r="V826" s="17">
        <f>IF($U826="",IF(AND(COUNTA($A826:$L826)&gt;0,$N826=""),"Awaiting Collection Email time stamp.",""),IF(OR($U826="PAID",$U826="CLOSED"),IF($U826="PAID","Account paid. Action completed.","Account closed. No further action required."),CHOOSE($Z826,"Collection Email","1st Email Follow-up","2nd Email Follow-up","Escalation to Local Office","Escalation to CBE","Escalation to Roxanne")&amp;" sent "&amp;TEXT($AA826,"dd-mmm")&amp;". "&amp;IF($Z826=6,"Final escalation completed.",IF($U826="OVERDUE","Next: "&amp;$AC826&amp;" was due "&amp;TEXT($AB826,"dd-mmm")&amp;" - "&amp;(NETWORKDAYS($AB826,TODAY(),Holidays)-1)&amp;" business day(s) late. Send now.",IF($U826="DUE TOMORROW","Next: "&amp;$AC826&amp;IF($AB826&lt;=TODAY()," is due TODAY ("," is due next business day (")&amp;TEXT($AB826,"dd-mmm")&amp;").","Next: "&amp;$AC826&amp;" due "&amp;TEXT($AB826,"dd-mmm")&amp;" ("&amp;(NETWORKDAYS(TODAY(),$AB826,Holidays)-1)&amp;" business day(s) left).")))))</f>
        <v/>
      </c>
      <c r="W826" s="17">
        <f>IF($Z826="","",CHOOSE($Z826,"Collection Email","1st Follow-up","2nd Follow-up","Local Office","CBE","Roxanne")&amp;IF($Z826=6," - Final"," - Day "&amp;MAX(0,NETWORKDAYS($AA826,TODAY(),Holidays)-1)&amp;" of "&amp;CHOOSE($Z826,3,3,2,2,3))&amp;" | Total Day "&amp;MAX(0,NETWORKDAYS($N826,TODAY(),Holidays)-1))</f>
        <v/>
      </c>
      <c r="X826" s="18"/>
      <c r="Y826" s="18"/>
      <c r="Z826" s="17">
        <f>IF($N826="","",COUNT($N826:$S826))</f>
        <v/>
      </c>
      <c r="AA826" s="19">
        <f>IF($Z826="","",INT(INDEX($N826:$S826,$Z826)))</f>
        <v/>
      </c>
      <c r="AB826" s="19">
        <f>IF(OR($Z826="",$Z826=6),"",WORKDAY($AA826,CHOOSE($Z826,3,3,2,2,3),Holidays))</f>
        <v/>
      </c>
      <c r="AC826" s="17">
        <f>IF(OR($Z826="",$Z826=6),"",CHOOSE($Z826,"1st Email Follow-up","2nd Email Follow-up","Escalate Local Office","Escalate to CBE","Escalate to Roxanne"))</f>
        <v/>
      </c>
    </row>
    <row r="827" spans="13:29">
      <c r="M827" s="14"/>
      <c r="T827" s="16"/>
      <c r="U827" s="17">
        <f>IF(AND(COUNTA($A827:$L827)=0,$N827=""),"",IF($T827="Paid","PAID",IF($T827="Closed","CLOSED",IF($Z827="","",IF($Z827=6,"ESCALATED TO ROXANNE",IF(TODAY()&gt;$AB827,"OVERDUE",IF($AB827&lt;=WORKDAY(TODAY(),1,Holidays),"DUE TOMORROW",IF($Z827=4,"ESCALATED TO LOCAL OFFICE",IF($Z827=5,"ESCALATED TO CBE",IF($AA827=TODAY(),"EMAIL SENT","MONITORING"))))))))))</f>
        <v/>
      </c>
      <c r="V827" s="17">
        <f>IF($U827="",IF(AND(COUNTA($A827:$L827)&gt;0,$N827=""),"Awaiting Collection Email time stamp.",""),IF(OR($U827="PAID",$U827="CLOSED"),IF($U827="PAID","Account paid. Action completed.","Account closed. No further action required."),CHOOSE($Z827,"Collection Email","1st Email Follow-up","2nd Email Follow-up","Escalation to Local Office","Escalation to CBE","Escalation to Roxanne")&amp;" sent "&amp;TEXT($AA827,"dd-mmm")&amp;". "&amp;IF($Z827=6,"Final escalation completed.",IF($U827="OVERDUE","Next: "&amp;$AC827&amp;" was due "&amp;TEXT($AB827,"dd-mmm")&amp;" - "&amp;(NETWORKDAYS($AB827,TODAY(),Holidays)-1)&amp;" business day(s) late. Send now.",IF($U827="DUE TOMORROW","Next: "&amp;$AC827&amp;IF($AB827&lt;=TODAY()," is due TODAY ("," is due next business day (")&amp;TEXT($AB827,"dd-mmm")&amp;").","Next: "&amp;$AC827&amp;" due "&amp;TEXT($AB827,"dd-mmm")&amp;" ("&amp;(NETWORKDAYS(TODAY(),$AB827,Holidays)-1)&amp;" business day(s) left).")))))</f>
        <v/>
      </c>
      <c r="W827" s="17">
        <f>IF($Z827="","",CHOOSE($Z827,"Collection Email","1st Follow-up","2nd Follow-up","Local Office","CBE","Roxanne")&amp;IF($Z827=6," - Final"," - Day "&amp;MAX(0,NETWORKDAYS($AA827,TODAY(),Holidays)-1)&amp;" of "&amp;CHOOSE($Z827,3,3,2,2,3))&amp;" | Total Day "&amp;MAX(0,NETWORKDAYS($N827,TODAY(),Holidays)-1))</f>
        <v/>
      </c>
      <c r="X827" s="18"/>
      <c r="Y827" s="18"/>
      <c r="Z827" s="17">
        <f>IF($N827="","",COUNT($N827:$S827))</f>
        <v/>
      </c>
      <c r="AA827" s="19">
        <f>IF($Z827="","",INT(INDEX($N827:$S827,$Z827)))</f>
        <v/>
      </c>
      <c r="AB827" s="19">
        <f>IF(OR($Z827="",$Z827=6),"",WORKDAY($AA827,CHOOSE($Z827,3,3,2,2,3),Holidays))</f>
        <v/>
      </c>
      <c r="AC827" s="17">
        <f>IF(OR($Z827="",$Z827=6),"",CHOOSE($Z827,"1st Email Follow-up","2nd Email Follow-up","Escalate Local Office","Escalate to CBE","Escalate to Roxanne"))</f>
        <v/>
      </c>
    </row>
    <row r="828" spans="13:29">
      <c r="M828" s="14"/>
      <c r="T828" s="16"/>
      <c r="U828" s="17">
        <f>IF(AND(COUNTA($A828:$L828)=0,$N828=""),"",IF($T828="Paid","PAID",IF($T828="Closed","CLOSED",IF($Z828="","",IF($Z828=6,"ESCALATED TO ROXANNE",IF(TODAY()&gt;$AB828,"OVERDUE",IF($AB828&lt;=WORKDAY(TODAY(),1,Holidays),"DUE TOMORROW",IF($Z828=4,"ESCALATED TO LOCAL OFFICE",IF($Z828=5,"ESCALATED TO CBE",IF($AA828=TODAY(),"EMAIL SENT","MONITORING"))))))))))</f>
        <v/>
      </c>
      <c r="V828" s="17">
        <f>IF($U828="",IF(AND(COUNTA($A828:$L828)&gt;0,$N828=""),"Awaiting Collection Email time stamp.",""),IF(OR($U828="PAID",$U828="CLOSED"),IF($U828="PAID","Account paid. Action completed.","Account closed. No further action required."),CHOOSE($Z828,"Collection Email","1st Email Follow-up","2nd Email Follow-up","Escalation to Local Office","Escalation to CBE","Escalation to Roxanne")&amp;" sent "&amp;TEXT($AA828,"dd-mmm")&amp;". "&amp;IF($Z828=6,"Final escalation completed.",IF($U828="OVERDUE","Next: "&amp;$AC828&amp;" was due "&amp;TEXT($AB828,"dd-mmm")&amp;" - "&amp;(NETWORKDAYS($AB828,TODAY(),Holidays)-1)&amp;" business day(s) late. Send now.",IF($U828="DUE TOMORROW","Next: "&amp;$AC828&amp;IF($AB828&lt;=TODAY()," is due TODAY ("," is due next business day (")&amp;TEXT($AB828,"dd-mmm")&amp;").","Next: "&amp;$AC828&amp;" due "&amp;TEXT($AB828,"dd-mmm")&amp;" ("&amp;(NETWORKDAYS(TODAY(),$AB828,Holidays)-1)&amp;" business day(s) left).")))))</f>
        <v/>
      </c>
      <c r="W828" s="17">
        <f>IF($Z828="","",CHOOSE($Z828,"Collection Email","1st Follow-up","2nd Follow-up","Local Office","CBE","Roxanne")&amp;IF($Z828=6," - Final"," - Day "&amp;MAX(0,NETWORKDAYS($AA828,TODAY(),Holidays)-1)&amp;" of "&amp;CHOOSE($Z828,3,3,2,2,3))&amp;" | Total Day "&amp;MAX(0,NETWORKDAYS($N828,TODAY(),Holidays)-1))</f>
        <v/>
      </c>
      <c r="X828" s="18"/>
      <c r="Y828" s="18"/>
      <c r="Z828" s="17">
        <f>IF($N828="","",COUNT($N828:$S828))</f>
        <v/>
      </c>
      <c r="AA828" s="19">
        <f>IF($Z828="","",INT(INDEX($N828:$S828,$Z828)))</f>
        <v/>
      </c>
      <c r="AB828" s="19">
        <f>IF(OR($Z828="",$Z828=6),"",WORKDAY($AA828,CHOOSE($Z828,3,3,2,2,3),Holidays))</f>
        <v/>
      </c>
      <c r="AC828" s="17">
        <f>IF(OR($Z828="",$Z828=6),"",CHOOSE($Z828,"1st Email Follow-up","2nd Email Follow-up","Escalate Local Office","Escalate to CBE","Escalate to Roxanne"))</f>
        <v/>
      </c>
    </row>
    <row r="829" spans="13:29">
      <c r="M829" s="14"/>
      <c r="T829" s="16"/>
      <c r="U829" s="17">
        <f>IF(AND(COUNTA($A829:$L829)=0,$N829=""),"",IF($T829="Paid","PAID",IF($T829="Closed","CLOSED",IF($Z829="","",IF($Z829=6,"ESCALATED TO ROXANNE",IF(TODAY()&gt;$AB829,"OVERDUE",IF($AB829&lt;=WORKDAY(TODAY(),1,Holidays),"DUE TOMORROW",IF($Z829=4,"ESCALATED TO LOCAL OFFICE",IF($Z829=5,"ESCALATED TO CBE",IF($AA829=TODAY(),"EMAIL SENT","MONITORING"))))))))))</f>
        <v/>
      </c>
      <c r="V829" s="17">
        <f>IF($U829="",IF(AND(COUNTA($A829:$L829)&gt;0,$N829=""),"Awaiting Collection Email time stamp.",""),IF(OR($U829="PAID",$U829="CLOSED"),IF($U829="PAID","Account paid. Action completed.","Account closed. No further action required."),CHOOSE($Z829,"Collection Email","1st Email Follow-up","2nd Email Follow-up","Escalation to Local Office","Escalation to CBE","Escalation to Roxanne")&amp;" sent "&amp;TEXT($AA829,"dd-mmm")&amp;". "&amp;IF($Z829=6,"Final escalation completed.",IF($U829="OVERDUE","Next: "&amp;$AC829&amp;" was due "&amp;TEXT($AB829,"dd-mmm")&amp;" - "&amp;(NETWORKDAYS($AB829,TODAY(),Holidays)-1)&amp;" business day(s) late. Send now.",IF($U829="DUE TOMORROW","Next: "&amp;$AC829&amp;IF($AB829&lt;=TODAY()," is due TODAY ("," is due next business day (")&amp;TEXT($AB829,"dd-mmm")&amp;").","Next: "&amp;$AC829&amp;" due "&amp;TEXT($AB829,"dd-mmm")&amp;" ("&amp;(NETWORKDAYS(TODAY(),$AB829,Holidays)-1)&amp;" business day(s) left).")))))</f>
        <v/>
      </c>
      <c r="W829" s="17">
        <f>IF($Z829="","",CHOOSE($Z829,"Collection Email","1st Follow-up","2nd Follow-up","Local Office","CBE","Roxanne")&amp;IF($Z829=6," - Final"," - Day "&amp;MAX(0,NETWORKDAYS($AA829,TODAY(),Holidays)-1)&amp;" of "&amp;CHOOSE($Z829,3,3,2,2,3))&amp;" | Total Day "&amp;MAX(0,NETWORKDAYS($N829,TODAY(),Holidays)-1))</f>
        <v/>
      </c>
      <c r="X829" s="18"/>
      <c r="Y829" s="18"/>
      <c r="Z829" s="17">
        <f>IF($N829="","",COUNT($N829:$S829))</f>
        <v/>
      </c>
      <c r="AA829" s="19">
        <f>IF($Z829="","",INT(INDEX($N829:$S829,$Z829)))</f>
        <v/>
      </c>
      <c r="AB829" s="19">
        <f>IF(OR($Z829="",$Z829=6),"",WORKDAY($AA829,CHOOSE($Z829,3,3,2,2,3),Holidays))</f>
        <v/>
      </c>
      <c r="AC829" s="17">
        <f>IF(OR($Z829="",$Z829=6),"",CHOOSE($Z829,"1st Email Follow-up","2nd Email Follow-up","Escalate Local Office","Escalate to CBE","Escalate to Roxanne"))</f>
        <v/>
      </c>
    </row>
    <row r="830" spans="13:29">
      <c r="M830" s="14"/>
      <c r="T830" s="16"/>
      <c r="U830" s="17">
        <f>IF(AND(COUNTA($A830:$L830)=0,$N830=""),"",IF($T830="Paid","PAID",IF($T830="Closed","CLOSED",IF($Z830="","",IF($Z830=6,"ESCALATED TO ROXANNE",IF(TODAY()&gt;$AB830,"OVERDUE",IF($AB830&lt;=WORKDAY(TODAY(),1,Holidays),"DUE TOMORROW",IF($Z830=4,"ESCALATED TO LOCAL OFFICE",IF($Z830=5,"ESCALATED TO CBE",IF($AA830=TODAY(),"EMAIL SENT","MONITORING"))))))))))</f>
        <v/>
      </c>
      <c r="V830" s="17">
        <f>IF($U830="",IF(AND(COUNTA($A830:$L830)&gt;0,$N830=""),"Awaiting Collection Email time stamp.",""),IF(OR($U830="PAID",$U830="CLOSED"),IF($U830="PAID","Account paid. Action completed.","Account closed. No further action required."),CHOOSE($Z830,"Collection Email","1st Email Follow-up","2nd Email Follow-up","Escalation to Local Office","Escalation to CBE","Escalation to Roxanne")&amp;" sent "&amp;TEXT($AA830,"dd-mmm")&amp;". "&amp;IF($Z830=6,"Final escalation completed.",IF($U830="OVERDUE","Next: "&amp;$AC830&amp;" was due "&amp;TEXT($AB830,"dd-mmm")&amp;" - "&amp;(NETWORKDAYS($AB830,TODAY(),Holidays)-1)&amp;" business day(s) late. Send now.",IF($U830="DUE TOMORROW","Next: "&amp;$AC830&amp;IF($AB830&lt;=TODAY()," is due TODAY ("," is due next business day (")&amp;TEXT($AB830,"dd-mmm")&amp;").","Next: "&amp;$AC830&amp;" due "&amp;TEXT($AB830,"dd-mmm")&amp;" ("&amp;(NETWORKDAYS(TODAY(),$AB830,Holidays)-1)&amp;" business day(s) left).")))))</f>
        <v/>
      </c>
      <c r="W830" s="17">
        <f>IF($Z830="","",CHOOSE($Z830,"Collection Email","1st Follow-up","2nd Follow-up","Local Office","CBE","Roxanne")&amp;IF($Z830=6," - Final"," - Day "&amp;MAX(0,NETWORKDAYS($AA830,TODAY(),Holidays)-1)&amp;" of "&amp;CHOOSE($Z830,3,3,2,2,3))&amp;" | Total Day "&amp;MAX(0,NETWORKDAYS($N830,TODAY(),Holidays)-1))</f>
        <v/>
      </c>
      <c r="X830" s="18"/>
      <c r="Y830" s="18"/>
      <c r="Z830" s="17">
        <f>IF($N830="","",COUNT($N830:$S830))</f>
        <v/>
      </c>
      <c r="AA830" s="19">
        <f>IF($Z830="","",INT(INDEX($N830:$S830,$Z830)))</f>
        <v/>
      </c>
      <c r="AB830" s="19">
        <f>IF(OR($Z830="",$Z830=6),"",WORKDAY($AA830,CHOOSE($Z830,3,3,2,2,3),Holidays))</f>
        <v/>
      </c>
      <c r="AC830" s="17">
        <f>IF(OR($Z830="",$Z830=6),"",CHOOSE($Z830,"1st Email Follow-up","2nd Email Follow-up","Escalate Local Office","Escalate to CBE","Escalate to Roxanne"))</f>
        <v/>
      </c>
    </row>
    <row r="831" spans="13:29">
      <c r="M831" s="14"/>
      <c r="T831" s="16"/>
      <c r="U831" s="17">
        <f>IF(AND(COUNTA($A831:$L831)=0,$N831=""),"",IF($T831="Paid","PAID",IF($T831="Closed","CLOSED",IF($Z831="","",IF($Z831=6,"ESCALATED TO ROXANNE",IF(TODAY()&gt;$AB831,"OVERDUE",IF($AB831&lt;=WORKDAY(TODAY(),1,Holidays),"DUE TOMORROW",IF($Z831=4,"ESCALATED TO LOCAL OFFICE",IF($Z831=5,"ESCALATED TO CBE",IF($AA831=TODAY(),"EMAIL SENT","MONITORING"))))))))))</f>
        <v/>
      </c>
      <c r="V831" s="17">
        <f>IF($U831="",IF(AND(COUNTA($A831:$L831)&gt;0,$N831=""),"Awaiting Collection Email time stamp.",""),IF(OR($U831="PAID",$U831="CLOSED"),IF($U831="PAID","Account paid. Action completed.","Account closed. No further action required."),CHOOSE($Z831,"Collection Email","1st Email Follow-up","2nd Email Follow-up","Escalation to Local Office","Escalation to CBE","Escalation to Roxanne")&amp;" sent "&amp;TEXT($AA831,"dd-mmm")&amp;". "&amp;IF($Z831=6,"Final escalation completed.",IF($U831="OVERDUE","Next: "&amp;$AC831&amp;" was due "&amp;TEXT($AB831,"dd-mmm")&amp;" - "&amp;(NETWORKDAYS($AB831,TODAY(),Holidays)-1)&amp;" business day(s) late. Send now.",IF($U831="DUE TOMORROW","Next: "&amp;$AC831&amp;IF($AB831&lt;=TODAY()," is due TODAY ("," is due next business day (")&amp;TEXT($AB831,"dd-mmm")&amp;").","Next: "&amp;$AC831&amp;" due "&amp;TEXT($AB831,"dd-mmm")&amp;" ("&amp;(NETWORKDAYS(TODAY(),$AB831,Holidays)-1)&amp;" business day(s) left).")))))</f>
        <v/>
      </c>
      <c r="W831" s="17">
        <f>IF($Z831="","",CHOOSE($Z831,"Collection Email","1st Follow-up","2nd Follow-up","Local Office","CBE","Roxanne")&amp;IF($Z831=6," - Final"," - Day "&amp;MAX(0,NETWORKDAYS($AA831,TODAY(),Holidays)-1)&amp;" of "&amp;CHOOSE($Z831,3,3,2,2,3))&amp;" | Total Day "&amp;MAX(0,NETWORKDAYS($N831,TODAY(),Holidays)-1))</f>
        <v/>
      </c>
      <c r="X831" s="18"/>
      <c r="Y831" s="18"/>
      <c r="Z831" s="17">
        <f>IF($N831="","",COUNT($N831:$S831))</f>
        <v/>
      </c>
      <c r="AA831" s="19">
        <f>IF($Z831="","",INT(INDEX($N831:$S831,$Z831)))</f>
        <v/>
      </c>
      <c r="AB831" s="19">
        <f>IF(OR($Z831="",$Z831=6),"",WORKDAY($AA831,CHOOSE($Z831,3,3,2,2,3),Holidays))</f>
        <v/>
      </c>
      <c r="AC831" s="17">
        <f>IF(OR($Z831="",$Z831=6),"",CHOOSE($Z831,"1st Email Follow-up","2nd Email Follow-up","Escalate Local Office","Escalate to CBE","Escalate to Roxanne"))</f>
        <v/>
      </c>
    </row>
    <row r="832" spans="13:29">
      <c r="M832" s="14"/>
      <c r="T832" s="16"/>
      <c r="U832" s="17">
        <f>IF(AND(COUNTA($A832:$L832)=0,$N832=""),"",IF($T832="Paid","PAID",IF($T832="Closed","CLOSED",IF($Z832="","",IF($Z832=6,"ESCALATED TO ROXANNE",IF(TODAY()&gt;$AB832,"OVERDUE",IF($AB832&lt;=WORKDAY(TODAY(),1,Holidays),"DUE TOMORROW",IF($Z832=4,"ESCALATED TO LOCAL OFFICE",IF($Z832=5,"ESCALATED TO CBE",IF($AA832=TODAY(),"EMAIL SENT","MONITORING"))))))))))</f>
        <v/>
      </c>
      <c r="V832" s="17">
        <f>IF($U832="",IF(AND(COUNTA($A832:$L832)&gt;0,$N832=""),"Awaiting Collection Email time stamp.",""),IF(OR($U832="PAID",$U832="CLOSED"),IF($U832="PAID","Account paid. Action completed.","Account closed. No further action required."),CHOOSE($Z832,"Collection Email","1st Email Follow-up","2nd Email Follow-up","Escalation to Local Office","Escalation to CBE","Escalation to Roxanne")&amp;" sent "&amp;TEXT($AA832,"dd-mmm")&amp;". "&amp;IF($Z832=6,"Final escalation completed.",IF($U832="OVERDUE","Next: "&amp;$AC832&amp;" was due "&amp;TEXT($AB832,"dd-mmm")&amp;" - "&amp;(NETWORKDAYS($AB832,TODAY(),Holidays)-1)&amp;" business day(s) late. Send now.",IF($U832="DUE TOMORROW","Next: "&amp;$AC832&amp;IF($AB832&lt;=TODAY()," is due TODAY ("," is due next business day (")&amp;TEXT($AB832,"dd-mmm")&amp;").","Next: "&amp;$AC832&amp;" due "&amp;TEXT($AB832,"dd-mmm")&amp;" ("&amp;(NETWORKDAYS(TODAY(),$AB832,Holidays)-1)&amp;" business day(s) left).")))))</f>
        <v/>
      </c>
      <c r="W832" s="17">
        <f>IF($Z832="","",CHOOSE($Z832,"Collection Email","1st Follow-up","2nd Follow-up","Local Office","CBE","Roxanne")&amp;IF($Z832=6," - Final"," - Day "&amp;MAX(0,NETWORKDAYS($AA832,TODAY(),Holidays)-1)&amp;" of "&amp;CHOOSE($Z832,3,3,2,2,3))&amp;" | Total Day "&amp;MAX(0,NETWORKDAYS($N832,TODAY(),Holidays)-1))</f>
        <v/>
      </c>
      <c r="X832" s="18"/>
      <c r="Y832" s="18"/>
      <c r="Z832" s="17">
        <f>IF($N832="","",COUNT($N832:$S832))</f>
        <v/>
      </c>
      <c r="AA832" s="19">
        <f>IF($Z832="","",INT(INDEX($N832:$S832,$Z832)))</f>
        <v/>
      </c>
      <c r="AB832" s="19">
        <f>IF(OR($Z832="",$Z832=6),"",WORKDAY($AA832,CHOOSE($Z832,3,3,2,2,3),Holidays))</f>
        <v/>
      </c>
      <c r="AC832" s="17">
        <f>IF(OR($Z832="",$Z832=6),"",CHOOSE($Z832,"1st Email Follow-up","2nd Email Follow-up","Escalate Local Office","Escalate to CBE","Escalate to Roxanne"))</f>
        <v/>
      </c>
    </row>
    <row r="833" spans="13:29">
      <c r="M833" s="14"/>
      <c r="T833" s="16"/>
      <c r="U833" s="17">
        <f>IF(AND(COUNTA($A833:$L833)=0,$N833=""),"",IF($T833="Paid","PAID",IF($T833="Closed","CLOSED",IF($Z833="","",IF($Z833=6,"ESCALATED TO ROXANNE",IF(TODAY()&gt;$AB833,"OVERDUE",IF($AB833&lt;=WORKDAY(TODAY(),1,Holidays),"DUE TOMORROW",IF($Z833=4,"ESCALATED TO LOCAL OFFICE",IF($Z833=5,"ESCALATED TO CBE",IF($AA833=TODAY(),"EMAIL SENT","MONITORING"))))))))))</f>
        <v/>
      </c>
      <c r="V833" s="17">
        <f>IF($U833="",IF(AND(COUNTA($A833:$L833)&gt;0,$N833=""),"Awaiting Collection Email time stamp.",""),IF(OR($U833="PAID",$U833="CLOSED"),IF($U833="PAID","Account paid. Action completed.","Account closed. No further action required."),CHOOSE($Z833,"Collection Email","1st Email Follow-up","2nd Email Follow-up","Escalation to Local Office","Escalation to CBE","Escalation to Roxanne")&amp;" sent "&amp;TEXT($AA833,"dd-mmm")&amp;". "&amp;IF($Z833=6,"Final escalation completed.",IF($U833="OVERDUE","Next: "&amp;$AC833&amp;" was due "&amp;TEXT($AB833,"dd-mmm")&amp;" - "&amp;(NETWORKDAYS($AB833,TODAY(),Holidays)-1)&amp;" business day(s) late. Send now.",IF($U833="DUE TOMORROW","Next: "&amp;$AC833&amp;IF($AB833&lt;=TODAY()," is due TODAY ("," is due next business day (")&amp;TEXT($AB833,"dd-mmm")&amp;").","Next: "&amp;$AC833&amp;" due "&amp;TEXT($AB833,"dd-mmm")&amp;" ("&amp;(NETWORKDAYS(TODAY(),$AB833,Holidays)-1)&amp;" business day(s) left).")))))</f>
        <v/>
      </c>
      <c r="W833" s="17">
        <f>IF($Z833="","",CHOOSE($Z833,"Collection Email","1st Follow-up","2nd Follow-up","Local Office","CBE","Roxanne")&amp;IF($Z833=6," - Final"," - Day "&amp;MAX(0,NETWORKDAYS($AA833,TODAY(),Holidays)-1)&amp;" of "&amp;CHOOSE($Z833,3,3,2,2,3))&amp;" | Total Day "&amp;MAX(0,NETWORKDAYS($N833,TODAY(),Holidays)-1))</f>
        <v/>
      </c>
      <c r="X833" s="18"/>
      <c r="Y833" s="18"/>
      <c r="Z833" s="17">
        <f>IF($N833="","",COUNT($N833:$S833))</f>
        <v/>
      </c>
      <c r="AA833" s="19">
        <f>IF($Z833="","",INT(INDEX($N833:$S833,$Z833)))</f>
        <v/>
      </c>
      <c r="AB833" s="19">
        <f>IF(OR($Z833="",$Z833=6),"",WORKDAY($AA833,CHOOSE($Z833,3,3,2,2,3),Holidays))</f>
        <v/>
      </c>
      <c r="AC833" s="17">
        <f>IF(OR($Z833="",$Z833=6),"",CHOOSE($Z833,"1st Email Follow-up","2nd Email Follow-up","Escalate Local Office","Escalate to CBE","Escalate to Roxanne"))</f>
        <v/>
      </c>
    </row>
    <row r="834" spans="13:29">
      <c r="M834" s="14"/>
      <c r="T834" s="16"/>
      <c r="U834" s="17">
        <f>IF(AND(COUNTA($A834:$L834)=0,$N834=""),"",IF($T834="Paid","PAID",IF($T834="Closed","CLOSED",IF($Z834="","",IF($Z834=6,"ESCALATED TO ROXANNE",IF(TODAY()&gt;$AB834,"OVERDUE",IF($AB834&lt;=WORKDAY(TODAY(),1,Holidays),"DUE TOMORROW",IF($Z834=4,"ESCALATED TO LOCAL OFFICE",IF($Z834=5,"ESCALATED TO CBE",IF($AA834=TODAY(),"EMAIL SENT","MONITORING"))))))))))</f>
        <v/>
      </c>
      <c r="V834" s="17">
        <f>IF($U834="",IF(AND(COUNTA($A834:$L834)&gt;0,$N834=""),"Awaiting Collection Email time stamp.",""),IF(OR($U834="PAID",$U834="CLOSED"),IF($U834="PAID","Account paid. Action completed.","Account closed. No further action required."),CHOOSE($Z834,"Collection Email","1st Email Follow-up","2nd Email Follow-up","Escalation to Local Office","Escalation to CBE","Escalation to Roxanne")&amp;" sent "&amp;TEXT($AA834,"dd-mmm")&amp;". "&amp;IF($Z834=6,"Final escalation completed.",IF($U834="OVERDUE","Next: "&amp;$AC834&amp;" was due "&amp;TEXT($AB834,"dd-mmm")&amp;" - "&amp;(NETWORKDAYS($AB834,TODAY(),Holidays)-1)&amp;" business day(s) late. Send now.",IF($U834="DUE TOMORROW","Next: "&amp;$AC834&amp;IF($AB834&lt;=TODAY()," is due TODAY ("," is due next business day (")&amp;TEXT($AB834,"dd-mmm")&amp;").","Next: "&amp;$AC834&amp;" due "&amp;TEXT($AB834,"dd-mmm")&amp;" ("&amp;(NETWORKDAYS(TODAY(),$AB834,Holidays)-1)&amp;" business day(s) left).")))))</f>
        <v/>
      </c>
      <c r="W834" s="17">
        <f>IF($Z834="","",CHOOSE($Z834,"Collection Email","1st Follow-up","2nd Follow-up","Local Office","CBE","Roxanne")&amp;IF($Z834=6," - Final"," - Day "&amp;MAX(0,NETWORKDAYS($AA834,TODAY(),Holidays)-1)&amp;" of "&amp;CHOOSE($Z834,3,3,2,2,3))&amp;" | Total Day "&amp;MAX(0,NETWORKDAYS($N834,TODAY(),Holidays)-1))</f>
        <v/>
      </c>
      <c r="X834" s="18"/>
      <c r="Y834" s="18"/>
      <c r="Z834" s="17">
        <f>IF($N834="","",COUNT($N834:$S834))</f>
        <v/>
      </c>
      <c r="AA834" s="19">
        <f>IF($Z834="","",INT(INDEX($N834:$S834,$Z834)))</f>
        <v/>
      </c>
      <c r="AB834" s="19">
        <f>IF(OR($Z834="",$Z834=6),"",WORKDAY($AA834,CHOOSE($Z834,3,3,2,2,3),Holidays))</f>
        <v/>
      </c>
      <c r="AC834" s="17">
        <f>IF(OR($Z834="",$Z834=6),"",CHOOSE($Z834,"1st Email Follow-up","2nd Email Follow-up","Escalate Local Office","Escalate to CBE","Escalate to Roxanne"))</f>
        <v/>
      </c>
    </row>
    <row r="835" spans="13:29">
      <c r="M835" s="14"/>
      <c r="T835" s="16"/>
      <c r="U835" s="17">
        <f>IF(AND(COUNTA($A835:$L835)=0,$N835=""),"",IF($T835="Paid","PAID",IF($T835="Closed","CLOSED",IF($Z835="","",IF($Z835=6,"ESCALATED TO ROXANNE",IF(TODAY()&gt;$AB835,"OVERDUE",IF($AB835&lt;=WORKDAY(TODAY(),1,Holidays),"DUE TOMORROW",IF($Z835=4,"ESCALATED TO LOCAL OFFICE",IF($Z835=5,"ESCALATED TO CBE",IF($AA835=TODAY(),"EMAIL SENT","MONITORING"))))))))))</f>
        <v/>
      </c>
      <c r="V835" s="17">
        <f>IF($U835="",IF(AND(COUNTA($A835:$L835)&gt;0,$N835=""),"Awaiting Collection Email time stamp.",""),IF(OR($U835="PAID",$U835="CLOSED"),IF($U835="PAID","Account paid. Action completed.","Account closed. No further action required."),CHOOSE($Z835,"Collection Email","1st Email Follow-up","2nd Email Follow-up","Escalation to Local Office","Escalation to CBE","Escalation to Roxanne")&amp;" sent "&amp;TEXT($AA835,"dd-mmm")&amp;". "&amp;IF($Z835=6,"Final escalation completed.",IF($U835="OVERDUE","Next: "&amp;$AC835&amp;" was due "&amp;TEXT($AB835,"dd-mmm")&amp;" - "&amp;(NETWORKDAYS($AB835,TODAY(),Holidays)-1)&amp;" business day(s) late. Send now.",IF($U835="DUE TOMORROW","Next: "&amp;$AC835&amp;IF($AB835&lt;=TODAY()," is due TODAY ("," is due next business day (")&amp;TEXT($AB835,"dd-mmm")&amp;").","Next: "&amp;$AC835&amp;" due "&amp;TEXT($AB835,"dd-mmm")&amp;" ("&amp;(NETWORKDAYS(TODAY(),$AB835,Holidays)-1)&amp;" business day(s) left).")))))</f>
        <v/>
      </c>
      <c r="W835" s="17">
        <f>IF($Z835="","",CHOOSE($Z835,"Collection Email","1st Follow-up","2nd Follow-up","Local Office","CBE","Roxanne")&amp;IF($Z835=6," - Final"," - Day "&amp;MAX(0,NETWORKDAYS($AA835,TODAY(),Holidays)-1)&amp;" of "&amp;CHOOSE($Z835,3,3,2,2,3))&amp;" | Total Day "&amp;MAX(0,NETWORKDAYS($N835,TODAY(),Holidays)-1))</f>
        <v/>
      </c>
      <c r="X835" s="18"/>
      <c r="Y835" s="18"/>
      <c r="Z835" s="17">
        <f>IF($N835="","",COUNT($N835:$S835))</f>
        <v/>
      </c>
      <c r="AA835" s="19">
        <f>IF($Z835="","",INT(INDEX($N835:$S835,$Z835)))</f>
        <v/>
      </c>
      <c r="AB835" s="19">
        <f>IF(OR($Z835="",$Z835=6),"",WORKDAY($AA835,CHOOSE($Z835,3,3,2,2,3),Holidays))</f>
        <v/>
      </c>
      <c r="AC835" s="17">
        <f>IF(OR($Z835="",$Z835=6),"",CHOOSE($Z835,"1st Email Follow-up","2nd Email Follow-up","Escalate Local Office","Escalate to CBE","Escalate to Roxanne"))</f>
        <v/>
      </c>
    </row>
    <row r="836" spans="13:29">
      <c r="M836" s="14"/>
      <c r="T836" s="16"/>
      <c r="U836" s="17">
        <f>IF(AND(COUNTA($A836:$L836)=0,$N836=""),"",IF($T836="Paid","PAID",IF($T836="Closed","CLOSED",IF($Z836="","",IF($Z836=6,"ESCALATED TO ROXANNE",IF(TODAY()&gt;$AB836,"OVERDUE",IF($AB836&lt;=WORKDAY(TODAY(),1,Holidays),"DUE TOMORROW",IF($Z836=4,"ESCALATED TO LOCAL OFFICE",IF($Z836=5,"ESCALATED TO CBE",IF($AA836=TODAY(),"EMAIL SENT","MONITORING"))))))))))</f>
        <v/>
      </c>
      <c r="V836" s="17">
        <f>IF($U836="",IF(AND(COUNTA($A836:$L836)&gt;0,$N836=""),"Awaiting Collection Email time stamp.",""),IF(OR($U836="PAID",$U836="CLOSED"),IF($U836="PAID","Account paid. Action completed.","Account closed. No further action required."),CHOOSE($Z836,"Collection Email","1st Email Follow-up","2nd Email Follow-up","Escalation to Local Office","Escalation to CBE","Escalation to Roxanne")&amp;" sent "&amp;TEXT($AA836,"dd-mmm")&amp;". "&amp;IF($Z836=6,"Final escalation completed.",IF($U836="OVERDUE","Next: "&amp;$AC836&amp;" was due "&amp;TEXT($AB836,"dd-mmm")&amp;" - "&amp;(NETWORKDAYS($AB836,TODAY(),Holidays)-1)&amp;" business day(s) late. Send now.",IF($U836="DUE TOMORROW","Next: "&amp;$AC836&amp;IF($AB836&lt;=TODAY()," is due TODAY ("," is due next business day (")&amp;TEXT($AB836,"dd-mmm")&amp;").","Next: "&amp;$AC836&amp;" due "&amp;TEXT($AB836,"dd-mmm")&amp;" ("&amp;(NETWORKDAYS(TODAY(),$AB836,Holidays)-1)&amp;" business day(s) left).")))))</f>
        <v/>
      </c>
      <c r="W836" s="17">
        <f>IF($Z836="","",CHOOSE($Z836,"Collection Email","1st Follow-up","2nd Follow-up","Local Office","CBE","Roxanne")&amp;IF($Z836=6," - Final"," - Day "&amp;MAX(0,NETWORKDAYS($AA836,TODAY(),Holidays)-1)&amp;" of "&amp;CHOOSE($Z836,3,3,2,2,3))&amp;" | Total Day "&amp;MAX(0,NETWORKDAYS($N836,TODAY(),Holidays)-1))</f>
        <v/>
      </c>
      <c r="X836" s="18"/>
      <c r="Y836" s="18"/>
      <c r="Z836" s="17">
        <f>IF($N836="","",COUNT($N836:$S836))</f>
        <v/>
      </c>
      <c r="AA836" s="19">
        <f>IF($Z836="","",INT(INDEX($N836:$S836,$Z836)))</f>
        <v/>
      </c>
      <c r="AB836" s="19">
        <f>IF(OR($Z836="",$Z836=6),"",WORKDAY($AA836,CHOOSE($Z836,3,3,2,2,3),Holidays))</f>
        <v/>
      </c>
      <c r="AC836" s="17">
        <f>IF(OR($Z836="",$Z836=6),"",CHOOSE($Z836,"1st Email Follow-up","2nd Email Follow-up","Escalate Local Office","Escalate to CBE","Escalate to Roxanne"))</f>
        <v/>
      </c>
    </row>
    <row r="837" spans="13:29">
      <c r="M837" s="14"/>
      <c r="T837" s="16"/>
      <c r="U837" s="17">
        <f>IF(AND(COUNTA($A837:$L837)=0,$N837=""),"",IF($T837="Paid","PAID",IF($T837="Closed","CLOSED",IF($Z837="","",IF($Z837=6,"ESCALATED TO ROXANNE",IF(TODAY()&gt;$AB837,"OVERDUE",IF($AB837&lt;=WORKDAY(TODAY(),1,Holidays),"DUE TOMORROW",IF($Z837=4,"ESCALATED TO LOCAL OFFICE",IF($Z837=5,"ESCALATED TO CBE",IF($AA837=TODAY(),"EMAIL SENT","MONITORING"))))))))))</f>
        <v/>
      </c>
      <c r="V837" s="17">
        <f>IF($U837="",IF(AND(COUNTA($A837:$L837)&gt;0,$N837=""),"Awaiting Collection Email time stamp.",""),IF(OR($U837="PAID",$U837="CLOSED"),IF($U837="PAID","Account paid. Action completed.","Account closed. No further action required."),CHOOSE($Z837,"Collection Email","1st Email Follow-up","2nd Email Follow-up","Escalation to Local Office","Escalation to CBE","Escalation to Roxanne")&amp;" sent "&amp;TEXT($AA837,"dd-mmm")&amp;". "&amp;IF($Z837=6,"Final escalation completed.",IF($U837="OVERDUE","Next: "&amp;$AC837&amp;" was due "&amp;TEXT($AB837,"dd-mmm")&amp;" - "&amp;(NETWORKDAYS($AB837,TODAY(),Holidays)-1)&amp;" business day(s) late. Send now.",IF($U837="DUE TOMORROW","Next: "&amp;$AC837&amp;IF($AB837&lt;=TODAY()," is due TODAY ("," is due next business day (")&amp;TEXT($AB837,"dd-mmm")&amp;").","Next: "&amp;$AC837&amp;" due "&amp;TEXT($AB837,"dd-mmm")&amp;" ("&amp;(NETWORKDAYS(TODAY(),$AB837,Holidays)-1)&amp;" business day(s) left).")))))</f>
        <v/>
      </c>
      <c r="W837" s="17">
        <f>IF($Z837="","",CHOOSE($Z837,"Collection Email","1st Follow-up","2nd Follow-up","Local Office","CBE","Roxanne")&amp;IF($Z837=6," - Final"," - Day "&amp;MAX(0,NETWORKDAYS($AA837,TODAY(),Holidays)-1)&amp;" of "&amp;CHOOSE($Z837,3,3,2,2,3))&amp;" | Total Day "&amp;MAX(0,NETWORKDAYS($N837,TODAY(),Holidays)-1))</f>
        <v/>
      </c>
      <c r="X837" s="18"/>
      <c r="Y837" s="18"/>
      <c r="Z837" s="17">
        <f>IF($N837="","",COUNT($N837:$S837))</f>
        <v/>
      </c>
      <c r="AA837" s="19">
        <f>IF($Z837="","",INT(INDEX($N837:$S837,$Z837)))</f>
        <v/>
      </c>
      <c r="AB837" s="19">
        <f>IF(OR($Z837="",$Z837=6),"",WORKDAY($AA837,CHOOSE($Z837,3,3,2,2,3),Holidays))</f>
        <v/>
      </c>
      <c r="AC837" s="17">
        <f>IF(OR($Z837="",$Z837=6),"",CHOOSE($Z837,"1st Email Follow-up","2nd Email Follow-up","Escalate Local Office","Escalate to CBE","Escalate to Roxanne"))</f>
        <v/>
      </c>
    </row>
    <row r="838" spans="13:29">
      <c r="M838" s="14"/>
      <c r="T838" s="16"/>
      <c r="U838" s="17">
        <f>IF(AND(COUNTA($A838:$L838)=0,$N838=""),"",IF($T838="Paid","PAID",IF($T838="Closed","CLOSED",IF($Z838="","",IF($Z838=6,"ESCALATED TO ROXANNE",IF(TODAY()&gt;$AB838,"OVERDUE",IF($AB838&lt;=WORKDAY(TODAY(),1,Holidays),"DUE TOMORROW",IF($Z838=4,"ESCALATED TO LOCAL OFFICE",IF($Z838=5,"ESCALATED TO CBE",IF($AA838=TODAY(),"EMAIL SENT","MONITORING"))))))))))</f>
        <v/>
      </c>
      <c r="V838" s="17">
        <f>IF($U838="",IF(AND(COUNTA($A838:$L838)&gt;0,$N838=""),"Awaiting Collection Email time stamp.",""),IF(OR($U838="PAID",$U838="CLOSED"),IF($U838="PAID","Account paid. Action completed.","Account closed. No further action required."),CHOOSE($Z838,"Collection Email","1st Email Follow-up","2nd Email Follow-up","Escalation to Local Office","Escalation to CBE","Escalation to Roxanne")&amp;" sent "&amp;TEXT($AA838,"dd-mmm")&amp;". "&amp;IF($Z838=6,"Final escalation completed.",IF($U838="OVERDUE","Next: "&amp;$AC838&amp;" was due "&amp;TEXT($AB838,"dd-mmm")&amp;" - "&amp;(NETWORKDAYS($AB838,TODAY(),Holidays)-1)&amp;" business day(s) late. Send now.",IF($U838="DUE TOMORROW","Next: "&amp;$AC838&amp;IF($AB838&lt;=TODAY()," is due TODAY ("," is due next business day (")&amp;TEXT($AB838,"dd-mmm")&amp;").","Next: "&amp;$AC838&amp;" due "&amp;TEXT($AB838,"dd-mmm")&amp;" ("&amp;(NETWORKDAYS(TODAY(),$AB838,Holidays)-1)&amp;" business day(s) left).")))))</f>
        <v/>
      </c>
      <c r="W838" s="17">
        <f>IF($Z838="","",CHOOSE($Z838,"Collection Email","1st Follow-up","2nd Follow-up","Local Office","CBE","Roxanne")&amp;IF($Z838=6," - Final"," - Day "&amp;MAX(0,NETWORKDAYS($AA838,TODAY(),Holidays)-1)&amp;" of "&amp;CHOOSE($Z838,3,3,2,2,3))&amp;" | Total Day "&amp;MAX(0,NETWORKDAYS($N838,TODAY(),Holidays)-1))</f>
        <v/>
      </c>
      <c r="X838" s="18"/>
      <c r="Y838" s="18"/>
      <c r="Z838" s="17">
        <f>IF($N838="","",COUNT($N838:$S838))</f>
        <v/>
      </c>
      <c r="AA838" s="19">
        <f>IF($Z838="","",INT(INDEX($N838:$S838,$Z838)))</f>
        <v/>
      </c>
      <c r="AB838" s="19">
        <f>IF(OR($Z838="",$Z838=6),"",WORKDAY($AA838,CHOOSE($Z838,3,3,2,2,3),Holidays))</f>
        <v/>
      </c>
      <c r="AC838" s="17">
        <f>IF(OR($Z838="",$Z838=6),"",CHOOSE($Z838,"1st Email Follow-up","2nd Email Follow-up","Escalate Local Office","Escalate to CBE","Escalate to Roxanne"))</f>
        <v/>
      </c>
    </row>
    <row r="839" spans="13:29">
      <c r="M839" s="14"/>
      <c r="T839" s="16"/>
      <c r="U839" s="17">
        <f>IF(AND(COUNTA($A839:$L839)=0,$N839=""),"",IF($T839="Paid","PAID",IF($T839="Closed","CLOSED",IF($Z839="","",IF($Z839=6,"ESCALATED TO ROXANNE",IF(TODAY()&gt;$AB839,"OVERDUE",IF($AB839&lt;=WORKDAY(TODAY(),1,Holidays),"DUE TOMORROW",IF($Z839=4,"ESCALATED TO LOCAL OFFICE",IF($Z839=5,"ESCALATED TO CBE",IF($AA839=TODAY(),"EMAIL SENT","MONITORING"))))))))))</f>
        <v/>
      </c>
      <c r="V839" s="17">
        <f>IF($U839="",IF(AND(COUNTA($A839:$L839)&gt;0,$N839=""),"Awaiting Collection Email time stamp.",""),IF(OR($U839="PAID",$U839="CLOSED"),IF($U839="PAID","Account paid. Action completed.","Account closed. No further action required."),CHOOSE($Z839,"Collection Email","1st Email Follow-up","2nd Email Follow-up","Escalation to Local Office","Escalation to CBE","Escalation to Roxanne")&amp;" sent "&amp;TEXT($AA839,"dd-mmm")&amp;". "&amp;IF($Z839=6,"Final escalation completed.",IF($U839="OVERDUE","Next: "&amp;$AC839&amp;" was due "&amp;TEXT($AB839,"dd-mmm")&amp;" - "&amp;(NETWORKDAYS($AB839,TODAY(),Holidays)-1)&amp;" business day(s) late. Send now.",IF($U839="DUE TOMORROW","Next: "&amp;$AC839&amp;IF($AB839&lt;=TODAY()," is due TODAY ("," is due next business day (")&amp;TEXT($AB839,"dd-mmm")&amp;").","Next: "&amp;$AC839&amp;" due "&amp;TEXT($AB839,"dd-mmm")&amp;" ("&amp;(NETWORKDAYS(TODAY(),$AB839,Holidays)-1)&amp;" business day(s) left).")))))</f>
        <v/>
      </c>
      <c r="W839" s="17">
        <f>IF($Z839="","",CHOOSE($Z839,"Collection Email","1st Follow-up","2nd Follow-up","Local Office","CBE","Roxanne")&amp;IF($Z839=6," - Final"," - Day "&amp;MAX(0,NETWORKDAYS($AA839,TODAY(),Holidays)-1)&amp;" of "&amp;CHOOSE($Z839,3,3,2,2,3))&amp;" | Total Day "&amp;MAX(0,NETWORKDAYS($N839,TODAY(),Holidays)-1))</f>
        <v/>
      </c>
      <c r="X839" s="18"/>
      <c r="Y839" s="18"/>
      <c r="Z839" s="17">
        <f>IF($N839="","",COUNT($N839:$S839))</f>
        <v/>
      </c>
      <c r="AA839" s="19">
        <f>IF($Z839="","",INT(INDEX($N839:$S839,$Z839)))</f>
        <v/>
      </c>
      <c r="AB839" s="19">
        <f>IF(OR($Z839="",$Z839=6),"",WORKDAY($AA839,CHOOSE($Z839,3,3,2,2,3),Holidays))</f>
        <v/>
      </c>
      <c r="AC839" s="17">
        <f>IF(OR($Z839="",$Z839=6),"",CHOOSE($Z839,"1st Email Follow-up","2nd Email Follow-up","Escalate Local Office","Escalate to CBE","Escalate to Roxanne"))</f>
        <v/>
      </c>
    </row>
    <row r="840" spans="13:29">
      <c r="M840" s="14"/>
      <c r="T840" s="16"/>
      <c r="U840" s="17">
        <f>IF(AND(COUNTA($A840:$L840)=0,$N840=""),"",IF($T840="Paid","PAID",IF($T840="Closed","CLOSED",IF($Z840="","",IF($Z840=6,"ESCALATED TO ROXANNE",IF(TODAY()&gt;$AB840,"OVERDUE",IF($AB840&lt;=WORKDAY(TODAY(),1,Holidays),"DUE TOMORROW",IF($Z840=4,"ESCALATED TO LOCAL OFFICE",IF($Z840=5,"ESCALATED TO CBE",IF($AA840=TODAY(),"EMAIL SENT","MONITORING"))))))))))</f>
        <v/>
      </c>
      <c r="V840" s="17">
        <f>IF($U840="",IF(AND(COUNTA($A840:$L840)&gt;0,$N840=""),"Awaiting Collection Email time stamp.",""),IF(OR($U840="PAID",$U840="CLOSED"),IF($U840="PAID","Account paid. Action completed.","Account closed. No further action required."),CHOOSE($Z840,"Collection Email","1st Email Follow-up","2nd Email Follow-up","Escalation to Local Office","Escalation to CBE","Escalation to Roxanne")&amp;" sent "&amp;TEXT($AA840,"dd-mmm")&amp;". "&amp;IF($Z840=6,"Final escalation completed.",IF($U840="OVERDUE","Next: "&amp;$AC840&amp;" was due "&amp;TEXT($AB840,"dd-mmm")&amp;" - "&amp;(NETWORKDAYS($AB840,TODAY(),Holidays)-1)&amp;" business day(s) late. Send now.",IF($U840="DUE TOMORROW","Next: "&amp;$AC840&amp;IF($AB840&lt;=TODAY()," is due TODAY ("," is due next business day (")&amp;TEXT($AB840,"dd-mmm")&amp;").","Next: "&amp;$AC840&amp;" due "&amp;TEXT($AB840,"dd-mmm")&amp;" ("&amp;(NETWORKDAYS(TODAY(),$AB840,Holidays)-1)&amp;" business day(s) left).")))))</f>
        <v/>
      </c>
      <c r="W840" s="17">
        <f>IF($Z840="","",CHOOSE($Z840,"Collection Email","1st Follow-up","2nd Follow-up","Local Office","CBE","Roxanne")&amp;IF($Z840=6," - Final"," - Day "&amp;MAX(0,NETWORKDAYS($AA840,TODAY(),Holidays)-1)&amp;" of "&amp;CHOOSE($Z840,3,3,2,2,3))&amp;" | Total Day "&amp;MAX(0,NETWORKDAYS($N840,TODAY(),Holidays)-1))</f>
        <v/>
      </c>
      <c r="X840" s="18"/>
      <c r="Y840" s="18"/>
      <c r="Z840" s="17">
        <f>IF($N840="","",COUNT($N840:$S840))</f>
        <v/>
      </c>
      <c r="AA840" s="19">
        <f>IF($Z840="","",INT(INDEX($N840:$S840,$Z840)))</f>
        <v/>
      </c>
      <c r="AB840" s="19">
        <f>IF(OR($Z840="",$Z840=6),"",WORKDAY($AA840,CHOOSE($Z840,3,3,2,2,3),Holidays))</f>
        <v/>
      </c>
      <c r="AC840" s="17">
        <f>IF(OR($Z840="",$Z840=6),"",CHOOSE($Z840,"1st Email Follow-up","2nd Email Follow-up","Escalate Local Office","Escalate to CBE","Escalate to Roxanne"))</f>
        <v/>
      </c>
    </row>
    <row r="841" spans="13:29">
      <c r="M841" s="14"/>
      <c r="T841" s="16"/>
      <c r="U841" s="17">
        <f>IF(AND(COUNTA($A841:$L841)=0,$N841=""),"",IF($T841="Paid","PAID",IF($T841="Closed","CLOSED",IF($Z841="","",IF($Z841=6,"ESCALATED TO ROXANNE",IF(TODAY()&gt;$AB841,"OVERDUE",IF($AB841&lt;=WORKDAY(TODAY(),1,Holidays),"DUE TOMORROW",IF($Z841=4,"ESCALATED TO LOCAL OFFICE",IF($Z841=5,"ESCALATED TO CBE",IF($AA841=TODAY(),"EMAIL SENT","MONITORING"))))))))))</f>
        <v/>
      </c>
      <c r="V841" s="17">
        <f>IF($U841="",IF(AND(COUNTA($A841:$L841)&gt;0,$N841=""),"Awaiting Collection Email time stamp.",""),IF(OR($U841="PAID",$U841="CLOSED"),IF($U841="PAID","Account paid. Action completed.","Account closed. No further action required."),CHOOSE($Z841,"Collection Email","1st Email Follow-up","2nd Email Follow-up","Escalation to Local Office","Escalation to CBE","Escalation to Roxanne")&amp;" sent "&amp;TEXT($AA841,"dd-mmm")&amp;". "&amp;IF($Z841=6,"Final escalation completed.",IF($U841="OVERDUE","Next: "&amp;$AC841&amp;" was due "&amp;TEXT($AB841,"dd-mmm")&amp;" - "&amp;(NETWORKDAYS($AB841,TODAY(),Holidays)-1)&amp;" business day(s) late. Send now.",IF($U841="DUE TOMORROW","Next: "&amp;$AC841&amp;IF($AB841&lt;=TODAY()," is due TODAY ("," is due next business day (")&amp;TEXT($AB841,"dd-mmm")&amp;").","Next: "&amp;$AC841&amp;" due "&amp;TEXT($AB841,"dd-mmm")&amp;" ("&amp;(NETWORKDAYS(TODAY(),$AB841,Holidays)-1)&amp;" business day(s) left).")))))</f>
        <v/>
      </c>
      <c r="W841" s="17">
        <f>IF($Z841="","",CHOOSE($Z841,"Collection Email","1st Follow-up","2nd Follow-up","Local Office","CBE","Roxanne")&amp;IF($Z841=6," - Final"," - Day "&amp;MAX(0,NETWORKDAYS($AA841,TODAY(),Holidays)-1)&amp;" of "&amp;CHOOSE($Z841,3,3,2,2,3))&amp;" | Total Day "&amp;MAX(0,NETWORKDAYS($N841,TODAY(),Holidays)-1))</f>
        <v/>
      </c>
      <c r="X841" s="18"/>
      <c r="Y841" s="18"/>
      <c r="Z841" s="17">
        <f>IF($N841="","",COUNT($N841:$S841))</f>
        <v/>
      </c>
      <c r="AA841" s="19">
        <f>IF($Z841="","",INT(INDEX($N841:$S841,$Z841)))</f>
        <v/>
      </c>
      <c r="AB841" s="19">
        <f>IF(OR($Z841="",$Z841=6),"",WORKDAY($AA841,CHOOSE($Z841,3,3,2,2,3),Holidays))</f>
        <v/>
      </c>
      <c r="AC841" s="17">
        <f>IF(OR($Z841="",$Z841=6),"",CHOOSE($Z841,"1st Email Follow-up","2nd Email Follow-up","Escalate Local Office","Escalate to CBE","Escalate to Roxanne"))</f>
        <v/>
      </c>
    </row>
    <row r="842" spans="13:29">
      <c r="M842" s="14"/>
      <c r="T842" s="16"/>
      <c r="U842" s="17">
        <f>IF(AND(COUNTA($A842:$L842)=0,$N842=""),"",IF($T842="Paid","PAID",IF($T842="Closed","CLOSED",IF($Z842="","",IF($Z842=6,"ESCALATED TO ROXANNE",IF(TODAY()&gt;$AB842,"OVERDUE",IF($AB842&lt;=WORKDAY(TODAY(),1,Holidays),"DUE TOMORROW",IF($Z842=4,"ESCALATED TO LOCAL OFFICE",IF($Z842=5,"ESCALATED TO CBE",IF($AA842=TODAY(),"EMAIL SENT","MONITORING"))))))))))</f>
        <v/>
      </c>
      <c r="V842" s="17">
        <f>IF($U842="",IF(AND(COUNTA($A842:$L842)&gt;0,$N842=""),"Awaiting Collection Email time stamp.",""),IF(OR($U842="PAID",$U842="CLOSED"),IF($U842="PAID","Account paid. Action completed.","Account closed. No further action required."),CHOOSE($Z842,"Collection Email","1st Email Follow-up","2nd Email Follow-up","Escalation to Local Office","Escalation to CBE","Escalation to Roxanne")&amp;" sent "&amp;TEXT($AA842,"dd-mmm")&amp;". "&amp;IF($Z842=6,"Final escalation completed.",IF($U842="OVERDUE","Next: "&amp;$AC842&amp;" was due "&amp;TEXT($AB842,"dd-mmm")&amp;" - "&amp;(NETWORKDAYS($AB842,TODAY(),Holidays)-1)&amp;" business day(s) late. Send now.",IF($U842="DUE TOMORROW","Next: "&amp;$AC842&amp;IF($AB842&lt;=TODAY()," is due TODAY ("," is due next business day (")&amp;TEXT($AB842,"dd-mmm")&amp;").","Next: "&amp;$AC842&amp;" due "&amp;TEXT($AB842,"dd-mmm")&amp;" ("&amp;(NETWORKDAYS(TODAY(),$AB842,Holidays)-1)&amp;" business day(s) left).")))))</f>
        <v/>
      </c>
      <c r="W842" s="17">
        <f>IF($Z842="","",CHOOSE($Z842,"Collection Email","1st Follow-up","2nd Follow-up","Local Office","CBE","Roxanne")&amp;IF($Z842=6," - Final"," - Day "&amp;MAX(0,NETWORKDAYS($AA842,TODAY(),Holidays)-1)&amp;" of "&amp;CHOOSE($Z842,3,3,2,2,3))&amp;" | Total Day "&amp;MAX(0,NETWORKDAYS($N842,TODAY(),Holidays)-1))</f>
        <v/>
      </c>
      <c r="X842" s="18"/>
      <c r="Y842" s="18"/>
      <c r="Z842" s="17">
        <f>IF($N842="","",COUNT($N842:$S842))</f>
        <v/>
      </c>
      <c r="AA842" s="19">
        <f>IF($Z842="","",INT(INDEX($N842:$S842,$Z842)))</f>
        <v/>
      </c>
      <c r="AB842" s="19">
        <f>IF(OR($Z842="",$Z842=6),"",WORKDAY($AA842,CHOOSE($Z842,3,3,2,2,3),Holidays))</f>
        <v/>
      </c>
      <c r="AC842" s="17">
        <f>IF(OR($Z842="",$Z842=6),"",CHOOSE($Z842,"1st Email Follow-up","2nd Email Follow-up","Escalate Local Office","Escalate to CBE","Escalate to Roxanne"))</f>
        <v/>
      </c>
    </row>
    <row r="843" spans="13:29">
      <c r="M843" s="14"/>
      <c r="T843" s="16"/>
      <c r="U843" s="17">
        <f>IF(AND(COUNTA($A843:$L843)=0,$N843=""),"",IF($T843="Paid","PAID",IF($T843="Closed","CLOSED",IF($Z843="","",IF($Z843=6,"ESCALATED TO ROXANNE",IF(TODAY()&gt;$AB843,"OVERDUE",IF($AB843&lt;=WORKDAY(TODAY(),1,Holidays),"DUE TOMORROW",IF($Z843=4,"ESCALATED TO LOCAL OFFICE",IF($Z843=5,"ESCALATED TO CBE",IF($AA843=TODAY(),"EMAIL SENT","MONITORING"))))))))))</f>
        <v/>
      </c>
      <c r="V843" s="17">
        <f>IF($U843="",IF(AND(COUNTA($A843:$L843)&gt;0,$N843=""),"Awaiting Collection Email time stamp.",""),IF(OR($U843="PAID",$U843="CLOSED"),IF($U843="PAID","Account paid. Action completed.","Account closed. No further action required."),CHOOSE($Z843,"Collection Email","1st Email Follow-up","2nd Email Follow-up","Escalation to Local Office","Escalation to CBE","Escalation to Roxanne")&amp;" sent "&amp;TEXT($AA843,"dd-mmm")&amp;". "&amp;IF($Z843=6,"Final escalation completed.",IF($U843="OVERDUE","Next: "&amp;$AC843&amp;" was due "&amp;TEXT($AB843,"dd-mmm")&amp;" - "&amp;(NETWORKDAYS($AB843,TODAY(),Holidays)-1)&amp;" business day(s) late. Send now.",IF($U843="DUE TOMORROW","Next: "&amp;$AC843&amp;IF($AB843&lt;=TODAY()," is due TODAY ("," is due next business day (")&amp;TEXT($AB843,"dd-mmm")&amp;").","Next: "&amp;$AC843&amp;" due "&amp;TEXT($AB843,"dd-mmm")&amp;" ("&amp;(NETWORKDAYS(TODAY(),$AB843,Holidays)-1)&amp;" business day(s) left).")))))</f>
        <v/>
      </c>
      <c r="W843" s="17">
        <f>IF($Z843="","",CHOOSE($Z843,"Collection Email","1st Follow-up","2nd Follow-up","Local Office","CBE","Roxanne")&amp;IF($Z843=6," - Final"," - Day "&amp;MAX(0,NETWORKDAYS($AA843,TODAY(),Holidays)-1)&amp;" of "&amp;CHOOSE($Z843,3,3,2,2,3))&amp;" | Total Day "&amp;MAX(0,NETWORKDAYS($N843,TODAY(),Holidays)-1))</f>
        <v/>
      </c>
      <c r="X843" s="18"/>
      <c r="Y843" s="18"/>
      <c r="Z843" s="17">
        <f>IF($N843="","",COUNT($N843:$S843))</f>
        <v/>
      </c>
      <c r="AA843" s="19">
        <f>IF($Z843="","",INT(INDEX($N843:$S843,$Z843)))</f>
        <v/>
      </c>
      <c r="AB843" s="19">
        <f>IF(OR($Z843="",$Z843=6),"",WORKDAY($AA843,CHOOSE($Z843,3,3,2,2,3),Holidays))</f>
        <v/>
      </c>
      <c r="AC843" s="17">
        <f>IF(OR($Z843="",$Z843=6),"",CHOOSE($Z843,"1st Email Follow-up","2nd Email Follow-up","Escalate Local Office","Escalate to CBE","Escalate to Roxanne"))</f>
        <v/>
      </c>
    </row>
    <row r="844" spans="13:29">
      <c r="M844" s="14"/>
      <c r="T844" s="16"/>
      <c r="U844" s="17">
        <f>IF(AND(COUNTA($A844:$L844)=0,$N844=""),"",IF($T844="Paid","PAID",IF($T844="Closed","CLOSED",IF($Z844="","",IF($Z844=6,"ESCALATED TO ROXANNE",IF(TODAY()&gt;$AB844,"OVERDUE",IF($AB844&lt;=WORKDAY(TODAY(),1,Holidays),"DUE TOMORROW",IF($Z844=4,"ESCALATED TO LOCAL OFFICE",IF($Z844=5,"ESCALATED TO CBE",IF($AA844=TODAY(),"EMAIL SENT","MONITORING"))))))))))</f>
        <v/>
      </c>
      <c r="V844" s="17">
        <f>IF($U844="",IF(AND(COUNTA($A844:$L844)&gt;0,$N844=""),"Awaiting Collection Email time stamp.",""),IF(OR($U844="PAID",$U844="CLOSED"),IF($U844="PAID","Account paid. Action completed.","Account closed. No further action required."),CHOOSE($Z844,"Collection Email","1st Email Follow-up","2nd Email Follow-up","Escalation to Local Office","Escalation to CBE","Escalation to Roxanne")&amp;" sent "&amp;TEXT($AA844,"dd-mmm")&amp;". "&amp;IF($Z844=6,"Final escalation completed.",IF($U844="OVERDUE","Next: "&amp;$AC844&amp;" was due "&amp;TEXT($AB844,"dd-mmm")&amp;" - "&amp;(NETWORKDAYS($AB844,TODAY(),Holidays)-1)&amp;" business day(s) late. Send now.",IF($U844="DUE TOMORROW","Next: "&amp;$AC844&amp;IF($AB844&lt;=TODAY()," is due TODAY ("," is due next business day (")&amp;TEXT($AB844,"dd-mmm")&amp;").","Next: "&amp;$AC844&amp;" due "&amp;TEXT($AB844,"dd-mmm")&amp;" ("&amp;(NETWORKDAYS(TODAY(),$AB844,Holidays)-1)&amp;" business day(s) left).")))))</f>
        <v/>
      </c>
      <c r="W844" s="17">
        <f>IF($Z844="","",CHOOSE($Z844,"Collection Email","1st Follow-up","2nd Follow-up","Local Office","CBE","Roxanne")&amp;IF($Z844=6," - Final"," - Day "&amp;MAX(0,NETWORKDAYS($AA844,TODAY(),Holidays)-1)&amp;" of "&amp;CHOOSE($Z844,3,3,2,2,3))&amp;" | Total Day "&amp;MAX(0,NETWORKDAYS($N844,TODAY(),Holidays)-1))</f>
        <v/>
      </c>
      <c r="X844" s="18"/>
      <c r="Y844" s="18"/>
      <c r="Z844" s="17">
        <f>IF($N844="","",COUNT($N844:$S844))</f>
        <v/>
      </c>
      <c r="AA844" s="19">
        <f>IF($Z844="","",INT(INDEX($N844:$S844,$Z844)))</f>
        <v/>
      </c>
      <c r="AB844" s="19">
        <f>IF(OR($Z844="",$Z844=6),"",WORKDAY($AA844,CHOOSE($Z844,3,3,2,2,3),Holidays))</f>
        <v/>
      </c>
      <c r="AC844" s="17">
        <f>IF(OR($Z844="",$Z844=6),"",CHOOSE($Z844,"1st Email Follow-up","2nd Email Follow-up","Escalate Local Office","Escalate to CBE","Escalate to Roxanne"))</f>
        <v/>
      </c>
    </row>
    <row r="845" spans="13:29">
      <c r="M845" s="14"/>
      <c r="T845" s="16"/>
      <c r="U845" s="17">
        <f>IF(AND(COUNTA($A845:$L845)=0,$N845=""),"",IF($T845="Paid","PAID",IF($T845="Closed","CLOSED",IF($Z845="","",IF($Z845=6,"ESCALATED TO ROXANNE",IF(TODAY()&gt;$AB845,"OVERDUE",IF($AB845&lt;=WORKDAY(TODAY(),1,Holidays),"DUE TOMORROW",IF($Z845=4,"ESCALATED TO LOCAL OFFICE",IF($Z845=5,"ESCALATED TO CBE",IF($AA845=TODAY(),"EMAIL SENT","MONITORING"))))))))))</f>
        <v/>
      </c>
      <c r="V845" s="17">
        <f>IF($U845="",IF(AND(COUNTA($A845:$L845)&gt;0,$N845=""),"Awaiting Collection Email time stamp.",""),IF(OR($U845="PAID",$U845="CLOSED"),IF($U845="PAID","Account paid. Action completed.","Account closed. No further action required."),CHOOSE($Z845,"Collection Email","1st Email Follow-up","2nd Email Follow-up","Escalation to Local Office","Escalation to CBE","Escalation to Roxanne")&amp;" sent "&amp;TEXT($AA845,"dd-mmm")&amp;". "&amp;IF($Z845=6,"Final escalation completed.",IF($U845="OVERDUE","Next: "&amp;$AC845&amp;" was due "&amp;TEXT($AB845,"dd-mmm")&amp;" - "&amp;(NETWORKDAYS($AB845,TODAY(),Holidays)-1)&amp;" business day(s) late. Send now.",IF($U845="DUE TOMORROW","Next: "&amp;$AC845&amp;IF($AB845&lt;=TODAY()," is due TODAY ("," is due next business day (")&amp;TEXT($AB845,"dd-mmm")&amp;").","Next: "&amp;$AC845&amp;" due "&amp;TEXT($AB845,"dd-mmm")&amp;" ("&amp;(NETWORKDAYS(TODAY(),$AB845,Holidays)-1)&amp;" business day(s) left).")))))</f>
        <v/>
      </c>
      <c r="W845" s="17">
        <f>IF($Z845="","",CHOOSE($Z845,"Collection Email","1st Follow-up","2nd Follow-up","Local Office","CBE","Roxanne")&amp;IF($Z845=6," - Final"," - Day "&amp;MAX(0,NETWORKDAYS($AA845,TODAY(),Holidays)-1)&amp;" of "&amp;CHOOSE($Z845,3,3,2,2,3))&amp;" | Total Day "&amp;MAX(0,NETWORKDAYS($N845,TODAY(),Holidays)-1))</f>
        <v/>
      </c>
      <c r="X845" s="18"/>
      <c r="Y845" s="18"/>
      <c r="Z845" s="17">
        <f>IF($N845="","",COUNT($N845:$S845))</f>
        <v/>
      </c>
      <c r="AA845" s="19">
        <f>IF($Z845="","",INT(INDEX($N845:$S845,$Z845)))</f>
        <v/>
      </c>
      <c r="AB845" s="19">
        <f>IF(OR($Z845="",$Z845=6),"",WORKDAY($AA845,CHOOSE($Z845,3,3,2,2,3),Holidays))</f>
        <v/>
      </c>
      <c r="AC845" s="17">
        <f>IF(OR($Z845="",$Z845=6),"",CHOOSE($Z845,"1st Email Follow-up","2nd Email Follow-up","Escalate Local Office","Escalate to CBE","Escalate to Roxanne"))</f>
        <v/>
      </c>
    </row>
    <row r="846" spans="13:29">
      <c r="M846" s="14"/>
      <c r="T846" s="16"/>
      <c r="U846" s="17">
        <f>IF(AND(COUNTA($A846:$L846)=0,$N846=""),"",IF($T846="Paid","PAID",IF($T846="Closed","CLOSED",IF($Z846="","",IF($Z846=6,"ESCALATED TO ROXANNE",IF(TODAY()&gt;$AB846,"OVERDUE",IF($AB846&lt;=WORKDAY(TODAY(),1,Holidays),"DUE TOMORROW",IF($Z846=4,"ESCALATED TO LOCAL OFFICE",IF($Z846=5,"ESCALATED TO CBE",IF($AA846=TODAY(),"EMAIL SENT","MONITORING"))))))))))</f>
        <v/>
      </c>
      <c r="V846" s="17">
        <f>IF($U846="",IF(AND(COUNTA($A846:$L846)&gt;0,$N846=""),"Awaiting Collection Email time stamp.",""),IF(OR($U846="PAID",$U846="CLOSED"),IF($U846="PAID","Account paid. Action completed.","Account closed. No further action required."),CHOOSE($Z846,"Collection Email","1st Email Follow-up","2nd Email Follow-up","Escalation to Local Office","Escalation to CBE","Escalation to Roxanne")&amp;" sent "&amp;TEXT($AA846,"dd-mmm")&amp;". "&amp;IF($Z846=6,"Final escalation completed.",IF($U846="OVERDUE","Next: "&amp;$AC846&amp;" was due "&amp;TEXT($AB846,"dd-mmm")&amp;" - "&amp;(NETWORKDAYS($AB846,TODAY(),Holidays)-1)&amp;" business day(s) late. Send now.",IF($U846="DUE TOMORROW","Next: "&amp;$AC846&amp;IF($AB846&lt;=TODAY()," is due TODAY ("," is due next business day (")&amp;TEXT($AB846,"dd-mmm")&amp;").","Next: "&amp;$AC846&amp;" due "&amp;TEXT($AB846,"dd-mmm")&amp;" ("&amp;(NETWORKDAYS(TODAY(),$AB846,Holidays)-1)&amp;" business day(s) left).")))))</f>
        <v/>
      </c>
      <c r="W846" s="17">
        <f>IF($Z846="","",CHOOSE($Z846,"Collection Email","1st Follow-up","2nd Follow-up","Local Office","CBE","Roxanne")&amp;IF($Z846=6," - Final"," - Day "&amp;MAX(0,NETWORKDAYS($AA846,TODAY(),Holidays)-1)&amp;" of "&amp;CHOOSE($Z846,3,3,2,2,3))&amp;" | Total Day "&amp;MAX(0,NETWORKDAYS($N846,TODAY(),Holidays)-1))</f>
        <v/>
      </c>
      <c r="X846" s="18"/>
      <c r="Y846" s="18"/>
      <c r="Z846" s="17">
        <f>IF($N846="","",COUNT($N846:$S846))</f>
        <v/>
      </c>
      <c r="AA846" s="19">
        <f>IF($Z846="","",INT(INDEX($N846:$S846,$Z846)))</f>
        <v/>
      </c>
      <c r="AB846" s="19">
        <f>IF(OR($Z846="",$Z846=6),"",WORKDAY($AA846,CHOOSE($Z846,3,3,2,2,3),Holidays))</f>
        <v/>
      </c>
      <c r="AC846" s="17">
        <f>IF(OR($Z846="",$Z846=6),"",CHOOSE($Z846,"1st Email Follow-up","2nd Email Follow-up","Escalate Local Office","Escalate to CBE","Escalate to Roxanne"))</f>
        <v/>
      </c>
    </row>
    <row r="847" spans="13:29">
      <c r="M847" s="14"/>
      <c r="T847" s="16"/>
      <c r="U847" s="17">
        <f>IF(AND(COUNTA($A847:$L847)=0,$N847=""),"",IF($T847="Paid","PAID",IF($T847="Closed","CLOSED",IF($Z847="","",IF($Z847=6,"ESCALATED TO ROXANNE",IF(TODAY()&gt;$AB847,"OVERDUE",IF($AB847&lt;=WORKDAY(TODAY(),1,Holidays),"DUE TOMORROW",IF($Z847=4,"ESCALATED TO LOCAL OFFICE",IF($Z847=5,"ESCALATED TO CBE",IF($AA847=TODAY(),"EMAIL SENT","MONITORING"))))))))))</f>
        <v/>
      </c>
      <c r="V847" s="17">
        <f>IF($U847="",IF(AND(COUNTA($A847:$L847)&gt;0,$N847=""),"Awaiting Collection Email time stamp.",""),IF(OR($U847="PAID",$U847="CLOSED"),IF($U847="PAID","Account paid. Action completed.","Account closed. No further action required."),CHOOSE($Z847,"Collection Email","1st Email Follow-up","2nd Email Follow-up","Escalation to Local Office","Escalation to CBE","Escalation to Roxanne")&amp;" sent "&amp;TEXT($AA847,"dd-mmm")&amp;". "&amp;IF($Z847=6,"Final escalation completed.",IF($U847="OVERDUE","Next: "&amp;$AC847&amp;" was due "&amp;TEXT($AB847,"dd-mmm")&amp;" - "&amp;(NETWORKDAYS($AB847,TODAY(),Holidays)-1)&amp;" business day(s) late. Send now.",IF($U847="DUE TOMORROW","Next: "&amp;$AC847&amp;IF($AB847&lt;=TODAY()," is due TODAY ("," is due next business day (")&amp;TEXT($AB847,"dd-mmm")&amp;").","Next: "&amp;$AC847&amp;" due "&amp;TEXT($AB847,"dd-mmm")&amp;" ("&amp;(NETWORKDAYS(TODAY(),$AB847,Holidays)-1)&amp;" business day(s) left).")))))</f>
        <v/>
      </c>
      <c r="W847" s="17">
        <f>IF($Z847="","",CHOOSE($Z847,"Collection Email","1st Follow-up","2nd Follow-up","Local Office","CBE","Roxanne")&amp;IF($Z847=6," - Final"," - Day "&amp;MAX(0,NETWORKDAYS($AA847,TODAY(),Holidays)-1)&amp;" of "&amp;CHOOSE($Z847,3,3,2,2,3))&amp;" | Total Day "&amp;MAX(0,NETWORKDAYS($N847,TODAY(),Holidays)-1))</f>
        <v/>
      </c>
      <c r="X847" s="18"/>
      <c r="Y847" s="18"/>
      <c r="Z847" s="17">
        <f>IF($N847="","",COUNT($N847:$S847))</f>
        <v/>
      </c>
      <c r="AA847" s="19">
        <f>IF($Z847="","",INT(INDEX($N847:$S847,$Z847)))</f>
        <v/>
      </c>
      <c r="AB847" s="19">
        <f>IF(OR($Z847="",$Z847=6),"",WORKDAY($AA847,CHOOSE($Z847,3,3,2,2,3),Holidays))</f>
        <v/>
      </c>
      <c r="AC847" s="17">
        <f>IF(OR($Z847="",$Z847=6),"",CHOOSE($Z847,"1st Email Follow-up","2nd Email Follow-up","Escalate Local Office","Escalate to CBE","Escalate to Roxanne"))</f>
        <v/>
      </c>
    </row>
    <row r="848" spans="13:29">
      <c r="M848" s="14"/>
      <c r="T848" s="16"/>
      <c r="U848" s="17">
        <f>IF(AND(COUNTA($A848:$L848)=0,$N848=""),"",IF($T848="Paid","PAID",IF($T848="Closed","CLOSED",IF($Z848="","",IF($Z848=6,"ESCALATED TO ROXANNE",IF(TODAY()&gt;$AB848,"OVERDUE",IF($AB848&lt;=WORKDAY(TODAY(),1,Holidays),"DUE TOMORROW",IF($Z848=4,"ESCALATED TO LOCAL OFFICE",IF($Z848=5,"ESCALATED TO CBE",IF($AA848=TODAY(),"EMAIL SENT","MONITORING"))))))))))</f>
        <v/>
      </c>
      <c r="V848" s="17">
        <f>IF($U848="",IF(AND(COUNTA($A848:$L848)&gt;0,$N848=""),"Awaiting Collection Email time stamp.",""),IF(OR($U848="PAID",$U848="CLOSED"),IF($U848="PAID","Account paid. Action completed.","Account closed. No further action required."),CHOOSE($Z848,"Collection Email","1st Email Follow-up","2nd Email Follow-up","Escalation to Local Office","Escalation to CBE","Escalation to Roxanne")&amp;" sent "&amp;TEXT($AA848,"dd-mmm")&amp;". "&amp;IF($Z848=6,"Final escalation completed.",IF($U848="OVERDUE","Next: "&amp;$AC848&amp;" was due "&amp;TEXT($AB848,"dd-mmm")&amp;" - "&amp;(NETWORKDAYS($AB848,TODAY(),Holidays)-1)&amp;" business day(s) late. Send now.",IF($U848="DUE TOMORROW","Next: "&amp;$AC848&amp;IF($AB848&lt;=TODAY()," is due TODAY ("," is due next business day (")&amp;TEXT($AB848,"dd-mmm")&amp;").","Next: "&amp;$AC848&amp;" due "&amp;TEXT($AB848,"dd-mmm")&amp;" ("&amp;(NETWORKDAYS(TODAY(),$AB848,Holidays)-1)&amp;" business day(s) left).")))))</f>
        <v/>
      </c>
      <c r="W848" s="17">
        <f>IF($Z848="","",CHOOSE($Z848,"Collection Email","1st Follow-up","2nd Follow-up","Local Office","CBE","Roxanne")&amp;IF($Z848=6," - Final"," - Day "&amp;MAX(0,NETWORKDAYS($AA848,TODAY(),Holidays)-1)&amp;" of "&amp;CHOOSE($Z848,3,3,2,2,3))&amp;" | Total Day "&amp;MAX(0,NETWORKDAYS($N848,TODAY(),Holidays)-1))</f>
        <v/>
      </c>
      <c r="X848" s="18"/>
      <c r="Y848" s="18"/>
      <c r="Z848" s="17">
        <f>IF($N848="","",COUNT($N848:$S848))</f>
        <v/>
      </c>
      <c r="AA848" s="19">
        <f>IF($Z848="","",INT(INDEX($N848:$S848,$Z848)))</f>
        <v/>
      </c>
      <c r="AB848" s="19">
        <f>IF(OR($Z848="",$Z848=6),"",WORKDAY($AA848,CHOOSE($Z848,3,3,2,2,3),Holidays))</f>
        <v/>
      </c>
      <c r="AC848" s="17">
        <f>IF(OR($Z848="",$Z848=6),"",CHOOSE($Z848,"1st Email Follow-up","2nd Email Follow-up","Escalate Local Office","Escalate to CBE","Escalate to Roxanne"))</f>
        <v/>
      </c>
    </row>
    <row r="849" spans="13:29">
      <c r="M849" s="14"/>
      <c r="T849" s="16"/>
      <c r="U849" s="17">
        <f>IF(AND(COUNTA($A849:$L849)=0,$N849=""),"",IF($T849="Paid","PAID",IF($T849="Closed","CLOSED",IF($Z849="","",IF($Z849=6,"ESCALATED TO ROXANNE",IF(TODAY()&gt;$AB849,"OVERDUE",IF($AB849&lt;=WORKDAY(TODAY(),1,Holidays),"DUE TOMORROW",IF($Z849=4,"ESCALATED TO LOCAL OFFICE",IF($Z849=5,"ESCALATED TO CBE",IF($AA849=TODAY(),"EMAIL SENT","MONITORING"))))))))))</f>
        <v/>
      </c>
      <c r="V849" s="17">
        <f>IF($U849="",IF(AND(COUNTA($A849:$L849)&gt;0,$N849=""),"Awaiting Collection Email time stamp.",""),IF(OR($U849="PAID",$U849="CLOSED"),IF($U849="PAID","Account paid. Action completed.","Account closed. No further action required."),CHOOSE($Z849,"Collection Email","1st Email Follow-up","2nd Email Follow-up","Escalation to Local Office","Escalation to CBE","Escalation to Roxanne")&amp;" sent "&amp;TEXT($AA849,"dd-mmm")&amp;". "&amp;IF($Z849=6,"Final escalation completed.",IF($U849="OVERDUE","Next: "&amp;$AC849&amp;" was due "&amp;TEXT($AB849,"dd-mmm")&amp;" - "&amp;(NETWORKDAYS($AB849,TODAY(),Holidays)-1)&amp;" business day(s) late. Send now.",IF($U849="DUE TOMORROW","Next: "&amp;$AC849&amp;IF($AB849&lt;=TODAY()," is due TODAY ("," is due next business day (")&amp;TEXT($AB849,"dd-mmm")&amp;").","Next: "&amp;$AC849&amp;" due "&amp;TEXT($AB849,"dd-mmm")&amp;" ("&amp;(NETWORKDAYS(TODAY(),$AB849,Holidays)-1)&amp;" business day(s) left).")))))</f>
        <v/>
      </c>
      <c r="W849" s="17">
        <f>IF($Z849="","",CHOOSE($Z849,"Collection Email","1st Follow-up","2nd Follow-up","Local Office","CBE","Roxanne")&amp;IF($Z849=6," - Final"," - Day "&amp;MAX(0,NETWORKDAYS($AA849,TODAY(),Holidays)-1)&amp;" of "&amp;CHOOSE($Z849,3,3,2,2,3))&amp;" | Total Day "&amp;MAX(0,NETWORKDAYS($N849,TODAY(),Holidays)-1))</f>
        <v/>
      </c>
      <c r="X849" s="18"/>
      <c r="Y849" s="18"/>
      <c r="Z849" s="17">
        <f>IF($N849="","",COUNT($N849:$S849))</f>
        <v/>
      </c>
      <c r="AA849" s="19">
        <f>IF($Z849="","",INT(INDEX($N849:$S849,$Z849)))</f>
        <v/>
      </c>
      <c r="AB849" s="19">
        <f>IF(OR($Z849="",$Z849=6),"",WORKDAY($AA849,CHOOSE($Z849,3,3,2,2,3),Holidays))</f>
        <v/>
      </c>
      <c r="AC849" s="17">
        <f>IF(OR($Z849="",$Z849=6),"",CHOOSE($Z849,"1st Email Follow-up","2nd Email Follow-up","Escalate Local Office","Escalate to CBE","Escalate to Roxanne"))</f>
        <v/>
      </c>
    </row>
    <row r="850" spans="13:29">
      <c r="M850" s="14"/>
      <c r="T850" s="16"/>
      <c r="U850" s="17">
        <f>IF(AND(COUNTA($A850:$L850)=0,$N850=""),"",IF($T850="Paid","PAID",IF($T850="Closed","CLOSED",IF($Z850="","",IF($Z850=6,"ESCALATED TO ROXANNE",IF(TODAY()&gt;$AB850,"OVERDUE",IF($AB850&lt;=WORKDAY(TODAY(),1,Holidays),"DUE TOMORROW",IF($Z850=4,"ESCALATED TO LOCAL OFFICE",IF($Z850=5,"ESCALATED TO CBE",IF($AA850=TODAY(),"EMAIL SENT","MONITORING"))))))))))</f>
        <v/>
      </c>
      <c r="V850" s="17">
        <f>IF($U850="",IF(AND(COUNTA($A850:$L850)&gt;0,$N850=""),"Awaiting Collection Email time stamp.",""),IF(OR($U850="PAID",$U850="CLOSED"),IF($U850="PAID","Account paid. Action completed.","Account closed. No further action required."),CHOOSE($Z850,"Collection Email","1st Email Follow-up","2nd Email Follow-up","Escalation to Local Office","Escalation to CBE","Escalation to Roxanne")&amp;" sent "&amp;TEXT($AA850,"dd-mmm")&amp;". "&amp;IF($Z850=6,"Final escalation completed.",IF($U850="OVERDUE","Next: "&amp;$AC850&amp;" was due "&amp;TEXT($AB850,"dd-mmm")&amp;" - "&amp;(NETWORKDAYS($AB850,TODAY(),Holidays)-1)&amp;" business day(s) late. Send now.",IF($U850="DUE TOMORROW","Next: "&amp;$AC850&amp;IF($AB850&lt;=TODAY()," is due TODAY ("," is due next business day (")&amp;TEXT($AB850,"dd-mmm")&amp;").","Next: "&amp;$AC850&amp;" due "&amp;TEXT($AB850,"dd-mmm")&amp;" ("&amp;(NETWORKDAYS(TODAY(),$AB850,Holidays)-1)&amp;" business day(s) left).")))))</f>
        <v/>
      </c>
      <c r="W850" s="17">
        <f>IF($Z850="","",CHOOSE($Z850,"Collection Email","1st Follow-up","2nd Follow-up","Local Office","CBE","Roxanne")&amp;IF($Z850=6," - Final"," - Day "&amp;MAX(0,NETWORKDAYS($AA850,TODAY(),Holidays)-1)&amp;" of "&amp;CHOOSE($Z850,3,3,2,2,3))&amp;" | Total Day "&amp;MAX(0,NETWORKDAYS($N850,TODAY(),Holidays)-1))</f>
        <v/>
      </c>
      <c r="X850" s="18"/>
      <c r="Y850" s="18"/>
      <c r="Z850" s="17">
        <f>IF($N850="","",COUNT($N850:$S850))</f>
        <v/>
      </c>
      <c r="AA850" s="19">
        <f>IF($Z850="","",INT(INDEX($N850:$S850,$Z850)))</f>
        <v/>
      </c>
      <c r="AB850" s="19">
        <f>IF(OR($Z850="",$Z850=6),"",WORKDAY($AA850,CHOOSE($Z850,3,3,2,2,3),Holidays))</f>
        <v/>
      </c>
      <c r="AC850" s="17">
        <f>IF(OR($Z850="",$Z850=6),"",CHOOSE($Z850,"1st Email Follow-up","2nd Email Follow-up","Escalate Local Office","Escalate to CBE","Escalate to Roxanne"))</f>
        <v/>
      </c>
    </row>
    <row r="851" spans="13:29">
      <c r="M851" s="14"/>
      <c r="T851" s="16"/>
      <c r="U851" s="17">
        <f>IF(AND(COUNTA($A851:$L851)=0,$N851=""),"",IF($T851="Paid","PAID",IF($T851="Closed","CLOSED",IF($Z851="","",IF($Z851=6,"ESCALATED TO ROXANNE",IF(TODAY()&gt;$AB851,"OVERDUE",IF($AB851&lt;=WORKDAY(TODAY(),1,Holidays),"DUE TOMORROW",IF($Z851=4,"ESCALATED TO LOCAL OFFICE",IF($Z851=5,"ESCALATED TO CBE",IF($AA851=TODAY(),"EMAIL SENT","MONITORING"))))))))))</f>
        <v/>
      </c>
      <c r="V851" s="17">
        <f>IF($U851="",IF(AND(COUNTA($A851:$L851)&gt;0,$N851=""),"Awaiting Collection Email time stamp.",""),IF(OR($U851="PAID",$U851="CLOSED"),IF($U851="PAID","Account paid. Action completed.","Account closed. No further action required."),CHOOSE($Z851,"Collection Email","1st Email Follow-up","2nd Email Follow-up","Escalation to Local Office","Escalation to CBE","Escalation to Roxanne")&amp;" sent "&amp;TEXT($AA851,"dd-mmm")&amp;". "&amp;IF($Z851=6,"Final escalation completed.",IF($U851="OVERDUE","Next: "&amp;$AC851&amp;" was due "&amp;TEXT($AB851,"dd-mmm")&amp;" - "&amp;(NETWORKDAYS($AB851,TODAY(),Holidays)-1)&amp;" business day(s) late. Send now.",IF($U851="DUE TOMORROW","Next: "&amp;$AC851&amp;IF($AB851&lt;=TODAY()," is due TODAY ("," is due next business day (")&amp;TEXT($AB851,"dd-mmm")&amp;").","Next: "&amp;$AC851&amp;" due "&amp;TEXT($AB851,"dd-mmm")&amp;" ("&amp;(NETWORKDAYS(TODAY(),$AB851,Holidays)-1)&amp;" business day(s) left).")))))</f>
        <v/>
      </c>
      <c r="W851" s="17">
        <f>IF($Z851="","",CHOOSE($Z851,"Collection Email","1st Follow-up","2nd Follow-up","Local Office","CBE","Roxanne")&amp;IF($Z851=6," - Final"," - Day "&amp;MAX(0,NETWORKDAYS($AA851,TODAY(),Holidays)-1)&amp;" of "&amp;CHOOSE($Z851,3,3,2,2,3))&amp;" | Total Day "&amp;MAX(0,NETWORKDAYS($N851,TODAY(),Holidays)-1))</f>
        <v/>
      </c>
      <c r="X851" s="18"/>
      <c r="Y851" s="18"/>
      <c r="Z851" s="17">
        <f>IF($N851="","",COUNT($N851:$S851))</f>
        <v/>
      </c>
      <c r="AA851" s="19">
        <f>IF($Z851="","",INT(INDEX($N851:$S851,$Z851)))</f>
        <v/>
      </c>
      <c r="AB851" s="19">
        <f>IF(OR($Z851="",$Z851=6),"",WORKDAY($AA851,CHOOSE($Z851,3,3,2,2,3),Holidays))</f>
        <v/>
      </c>
      <c r="AC851" s="17">
        <f>IF(OR($Z851="",$Z851=6),"",CHOOSE($Z851,"1st Email Follow-up","2nd Email Follow-up","Escalate Local Office","Escalate to CBE","Escalate to Roxanne"))</f>
        <v/>
      </c>
    </row>
    <row r="852" spans="13:29">
      <c r="M852" s="14"/>
      <c r="T852" s="16"/>
      <c r="U852" s="17">
        <f>IF(AND(COUNTA($A852:$L852)=0,$N852=""),"",IF($T852="Paid","PAID",IF($T852="Closed","CLOSED",IF($Z852="","",IF($Z852=6,"ESCALATED TO ROXANNE",IF(TODAY()&gt;$AB852,"OVERDUE",IF($AB852&lt;=WORKDAY(TODAY(),1,Holidays),"DUE TOMORROW",IF($Z852=4,"ESCALATED TO LOCAL OFFICE",IF($Z852=5,"ESCALATED TO CBE",IF($AA852=TODAY(),"EMAIL SENT","MONITORING"))))))))))</f>
        <v/>
      </c>
      <c r="V852" s="17">
        <f>IF($U852="",IF(AND(COUNTA($A852:$L852)&gt;0,$N852=""),"Awaiting Collection Email time stamp.",""),IF(OR($U852="PAID",$U852="CLOSED"),IF($U852="PAID","Account paid. Action completed.","Account closed. No further action required."),CHOOSE($Z852,"Collection Email","1st Email Follow-up","2nd Email Follow-up","Escalation to Local Office","Escalation to CBE","Escalation to Roxanne")&amp;" sent "&amp;TEXT($AA852,"dd-mmm")&amp;". "&amp;IF($Z852=6,"Final escalation completed.",IF($U852="OVERDUE","Next: "&amp;$AC852&amp;" was due "&amp;TEXT($AB852,"dd-mmm")&amp;" - "&amp;(NETWORKDAYS($AB852,TODAY(),Holidays)-1)&amp;" business day(s) late. Send now.",IF($U852="DUE TOMORROW","Next: "&amp;$AC852&amp;IF($AB852&lt;=TODAY()," is due TODAY ("," is due next business day (")&amp;TEXT($AB852,"dd-mmm")&amp;").","Next: "&amp;$AC852&amp;" due "&amp;TEXT($AB852,"dd-mmm")&amp;" ("&amp;(NETWORKDAYS(TODAY(),$AB852,Holidays)-1)&amp;" business day(s) left).")))))</f>
        <v/>
      </c>
      <c r="W852" s="17">
        <f>IF($Z852="","",CHOOSE($Z852,"Collection Email","1st Follow-up","2nd Follow-up","Local Office","CBE","Roxanne")&amp;IF($Z852=6," - Final"," - Day "&amp;MAX(0,NETWORKDAYS($AA852,TODAY(),Holidays)-1)&amp;" of "&amp;CHOOSE($Z852,3,3,2,2,3))&amp;" | Total Day "&amp;MAX(0,NETWORKDAYS($N852,TODAY(),Holidays)-1))</f>
        <v/>
      </c>
      <c r="X852" s="18"/>
      <c r="Y852" s="18"/>
      <c r="Z852" s="17">
        <f>IF($N852="","",COUNT($N852:$S852))</f>
        <v/>
      </c>
      <c r="AA852" s="19">
        <f>IF($Z852="","",INT(INDEX($N852:$S852,$Z852)))</f>
        <v/>
      </c>
      <c r="AB852" s="19">
        <f>IF(OR($Z852="",$Z852=6),"",WORKDAY($AA852,CHOOSE($Z852,3,3,2,2,3),Holidays))</f>
        <v/>
      </c>
      <c r="AC852" s="17">
        <f>IF(OR($Z852="",$Z852=6),"",CHOOSE($Z852,"1st Email Follow-up","2nd Email Follow-up","Escalate Local Office","Escalate to CBE","Escalate to Roxanne"))</f>
        <v/>
      </c>
    </row>
    <row r="853" spans="13:29">
      <c r="M853" s="14"/>
      <c r="T853" s="16"/>
      <c r="U853" s="17">
        <f>IF(AND(COUNTA($A853:$L853)=0,$N853=""),"",IF($T853="Paid","PAID",IF($T853="Closed","CLOSED",IF($Z853="","",IF($Z853=6,"ESCALATED TO ROXANNE",IF(TODAY()&gt;$AB853,"OVERDUE",IF($AB853&lt;=WORKDAY(TODAY(),1,Holidays),"DUE TOMORROW",IF($Z853=4,"ESCALATED TO LOCAL OFFICE",IF($Z853=5,"ESCALATED TO CBE",IF($AA853=TODAY(),"EMAIL SENT","MONITORING"))))))))))</f>
        <v/>
      </c>
      <c r="V853" s="17">
        <f>IF($U853="",IF(AND(COUNTA($A853:$L853)&gt;0,$N853=""),"Awaiting Collection Email time stamp.",""),IF(OR($U853="PAID",$U853="CLOSED"),IF($U853="PAID","Account paid. Action completed.","Account closed. No further action required."),CHOOSE($Z853,"Collection Email","1st Email Follow-up","2nd Email Follow-up","Escalation to Local Office","Escalation to CBE","Escalation to Roxanne")&amp;" sent "&amp;TEXT($AA853,"dd-mmm")&amp;". "&amp;IF($Z853=6,"Final escalation completed.",IF($U853="OVERDUE","Next: "&amp;$AC853&amp;" was due "&amp;TEXT($AB853,"dd-mmm")&amp;" - "&amp;(NETWORKDAYS($AB853,TODAY(),Holidays)-1)&amp;" business day(s) late. Send now.",IF($U853="DUE TOMORROW","Next: "&amp;$AC853&amp;IF($AB853&lt;=TODAY()," is due TODAY ("," is due next business day (")&amp;TEXT($AB853,"dd-mmm")&amp;").","Next: "&amp;$AC853&amp;" due "&amp;TEXT($AB853,"dd-mmm")&amp;" ("&amp;(NETWORKDAYS(TODAY(),$AB853,Holidays)-1)&amp;" business day(s) left).")))))</f>
        <v/>
      </c>
      <c r="W853" s="17">
        <f>IF($Z853="","",CHOOSE($Z853,"Collection Email","1st Follow-up","2nd Follow-up","Local Office","CBE","Roxanne")&amp;IF($Z853=6," - Final"," - Day "&amp;MAX(0,NETWORKDAYS($AA853,TODAY(),Holidays)-1)&amp;" of "&amp;CHOOSE($Z853,3,3,2,2,3))&amp;" | Total Day "&amp;MAX(0,NETWORKDAYS($N853,TODAY(),Holidays)-1))</f>
        <v/>
      </c>
      <c r="X853" s="18"/>
      <c r="Y853" s="18"/>
      <c r="Z853" s="17">
        <f>IF($N853="","",COUNT($N853:$S853))</f>
        <v/>
      </c>
      <c r="AA853" s="19">
        <f>IF($Z853="","",INT(INDEX($N853:$S853,$Z853)))</f>
        <v/>
      </c>
      <c r="AB853" s="19">
        <f>IF(OR($Z853="",$Z853=6),"",WORKDAY($AA853,CHOOSE($Z853,3,3,2,2,3),Holidays))</f>
        <v/>
      </c>
      <c r="AC853" s="17">
        <f>IF(OR($Z853="",$Z853=6),"",CHOOSE($Z853,"1st Email Follow-up","2nd Email Follow-up","Escalate Local Office","Escalate to CBE","Escalate to Roxanne"))</f>
        <v/>
      </c>
    </row>
    <row r="854" spans="13:29">
      <c r="M854" s="14"/>
      <c r="T854" s="16"/>
      <c r="U854" s="17">
        <f>IF(AND(COUNTA($A854:$L854)=0,$N854=""),"",IF($T854="Paid","PAID",IF($T854="Closed","CLOSED",IF($Z854="","",IF($Z854=6,"ESCALATED TO ROXANNE",IF(TODAY()&gt;$AB854,"OVERDUE",IF($AB854&lt;=WORKDAY(TODAY(),1,Holidays),"DUE TOMORROW",IF($Z854=4,"ESCALATED TO LOCAL OFFICE",IF($Z854=5,"ESCALATED TO CBE",IF($AA854=TODAY(),"EMAIL SENT","MONITORING"))))))))))</f>
        <v/>
      </c>
      <c r="V854" s="17">
        <f>IF($U854="",IF(AND(COUNTA($A854:$L854)&gt;0,$N854=""),"Awaiting Collection Email time stamp.",""),IF(OR($U854="PAID",$U854="CLOSED"),IF($U854="PAID","Account paid. Action completed.","Account closed. No further action required."),CHOOSE($Z854,"Collection Email","1st Email Follow-up","2nd Email Follow-up","Escalation to Local Office","Escalation to CBE","Escalation to Roxanne")&amp;" sent "&amp;TEXT($AA854,"dd-mmm")&amp;". "&amp;IF($Z854=6,"Final escalation completed.",IF($U854="OVERDUE","Next: "&amp;$AC854&amp;" was due "&amp;TEXT($AB854,"dd-mmm")&amp;" - "&amp;(NETWORKDAYS($AB854,TODAY(),Holidays)-1)&amp;" business day(s) late. Send now.",IF($U854="DUE TOMORROW","Next: "&amp;$AC854&amp;IF($AB854&lt;=TODAY()," is due TODAY ("," is due next business day (")&amp;TEXT($AB854,"dd-mmm")&amp;").","Next: "&amp;$AC854&amp;" due "&amp;TEXT($AB854,"dd-mmm")&amp;" ("&amp;(NETWORKDAYS(TODAY(),$AB854,Holidays)-1)&amp;" business day(s) left).")))))</f>
        <v/>
      </c>
      <c r="W854" s="17">
        <f>IF($Z854="","",CHOOSE($Z854,"Collection Email","1st Follow-up","2nd Follow-up","Local Office","CBE","Roxanne")&amp;IF($Z854=6," - Final"," - Day "&amp;MAX(0,NETWORKDAYS($AA854,TODAY(),Holidays)-1)&amp;" of "&amp;CHOOSE($Z854,3,3,2,2,3))&amp;" | Total Day "&amp;MAX(0,NETWORKDAYS($N854,TODAY(),Holidays)-1))</f>
        <v/>
      </c>
      <c r="X854" s="18"/>
      <c r="Y854" s="18"/>
      <c r="Z854" s="17">
        <f>IF($N854="","",COUNT($N854:$S854))</f>
        <v/>
      </c>
      <c r="AA854" s="19">
        <f>IF($Z854="","",INT(INDEX($N854:$S854,$Z854)))</f>
        <v/>
      </c>
      <c r="AB854" s="19">
        <f>IF(OR($Z854="",$Z854=6),"",WORKDAY($AA854,CHOOSE($Z854,3,3,2,2,3),Holidays))</f>
        <v/>
      </c>
      <c r="AC854" s="17">
        <f>IF(OR($Z854="",$Z854=6),"",CHOOSE($Z854,"1st Email Follow-up","2nd Email Follow-up","Escalate Local Office","Escalate to CBE","Escalate to Roxanne"))</f>
        <v/>
      </c>
    </row>
    <row r="855" spans="13:29">
      <c r="M855" s="14"/>
      <c r="T855" s="16"/>
      <c r="U855" s="17">
        <f>IF(AND(COUNTA($A855:$L855)=0,$N855=""),"",IF($T855="Paid","PAID",IF($T855="Closed","CLOSED",IF($Z855="","",IF($Z855=6,"ESCALATED TO ROXANNE",IF(TODAY()&gt;$AB855,"OVERDUE",IF($AB855&lt;=WORKDAY(TODAY(),1,Holidays),"DUE TOMORROW",IF($Z855=4,"ESCALATED TO LOCAL OFFICE",IF($Z855=5,"ESCALATED TO CBE",IF($AA855=TODAY(),"EMAIL SENT","MONITORING"))))))))))</f>
        <v/>
      </c>
      <c r="V855" s="17">
        <f>IF($U855="",IF(AND(COUNTA($A855:$L855)&gt;0,$N855=""),"Awaiting Collection Email time stamp.",""),IF(OR($U855="PAID",$U855="CLOSED"),IF($U855="PAID","Account paid. Action completed.","Account closed. No further action required."),CHOOSE($Z855,"Collection Email","1st Email Follow-up","2nd Email Follow-up","Escalation to Local Office","Escalation to CBE","Escalation to Roxanne")&amp;" sent "&amp;TEXT($AA855,"dd-mmm")&amp;". "&amp;IF($Z855=6,"Final escalation completed.",IF($U855="OVERDUE","Next: "&amp;$AC855&amp;" was due "&amp;TEXT($AB855,"dd-mmm")&amp;" - "&amp;(NETWORKDAYS($AB855,TODAY(),Holidays)-1)&amp;" business day(s) late. Send now.",IF($U855="DUE TOMORROW","Next: "&amp;$AC855&amp;IF($AB855&lt;=TODAY()," is due TODAY ("," is due next business day (")&amp;TEXT($AB855,"dd-mmm")&amp;").","Next: "&amp;$AC855&amp;" due "&amp;TEXT($AB855,"dd-mmm")&amp;" ("&amp;(NETWORKDAYS(TODAY(),$AB855,Holidays)-1)&amp;" business day(s) left).")))))</f>
        <v/>
      </c>
      <c r="W855" s="17">
        <f>IF($Z855="","",CHOOSE($Z855,"Collection Email","1st Follow-up","2nd Follow-up","Local Office","CBE","Roxanne")&amp;IF($Z855=6," - Final"," - Day "&amp;MAX(0,NETWORKDAYS($AA855,TODAY(),Holidays)-1)&amp;" of "&amp;CHOOSE($Z855,3,3,2,2,3))&amp;" | Total Day "&amp;MAX(0,NETWORKDAYS($N855,TODAY(),Holidays)-1))</f>
        <v/>
      </c>
      <c r="X855" s="18"/>
      <c r="Y855" s="18"/>
      <c r="Z855" s="17">
        <f>IF($N855="","",COUNT($N855:$S855))</f>
        <v/>
      </c>
      <c r="AA855" s="19">
        <f>IF($Z855="","",INT(INDEX($N855:$S855,$Z855)))</f>
        <v/>
      </c>
      <c r="AB855" s="19">
        <f>IF(OR($Z855="",$Z855=6),"",WORKDAY($AA855,CHOOSE($Z855,3,3,2,2,3),Holidays))</f>
        <v/>
      </c>
      <c r="AC855" s="17">
        <f>IF(OR($Z855="",$Z855=6),"",CHOOSE($Z855,"1st Email Follow-up","2nd Email Follow-up","Escalate Local Office","Escalate to CBE","Escalate to Roxanne"))</f>
        <v/>
      </c>
    </row>
    <row r="856" spans="13:29">
      <c r="M856" s="14"/>
      <c r="T856" s="16"/>
      <c r="U856" s="17">
        <f>IF(AND(COUNTA($A856:$L856)=0,$N856=""),"",IF($T856="Paid","PAID",IF($T856="Closed","CLOSED",IF($Z856="","",IF($Z856=6,"ESCALATED TO ROXANNE",IF(TODAY()&gt;$AB856,"OVERDUE",IF($AB856&lt;=WORKDAY(TODAY(),1,Holidays),"DUE TOMORROW",IF($Z856=4,"ESCALATED TO LOCAL OFFICE",IF($Z856=5,"ESCALATED TO CBE",IF($AA856=TODAY(),"EMAIL SENT","MONITORING"))))))))))</f>
        <v/>
      </c>
      <c r="V856" s="17">
        <f>IF($U856="",IF(AND(COUNTA($A856:$L856)&gt;0,$N856=""),"Awaiting Collection Email time stamp.",""),IF(OR($U856="PAID",$U856="CLOSED"),IF($U856="PAID","Account paid. Action completed.","Account closed. No further action required."),CHOOSE($Z856,"Collection Email","1st Email Follow-up","2nd Email Follow-up","Escalation to Local Office","Escalation to CBE","Escalation to Roxanne")&amp;" sent "&amp;TEXT($AA856,"dd-mmm")&amp;". "&amp;IF($Z856=6,"Final escalation completed.",IF($U856="OVERDUE","Next: "&amp;$AC856&amp;" was due "&amp;TEXT($AB856,"dd-mmm")&amp;" - "&amp;(NETWORKDAYS($AB856,TODAY(),Holidays)-1)&amp;" business day(s) late. Send now.",IF($U856="DUE TOMORROW","Next: "&amp;$AC856&amp;IF($AB856&lt;=TODAY()," is due TODAY ("," is due next business day (")&amp;TEXT($AB856,"dd-mmm")&amp;").","Next: "&amp;$AC856&amp;" due "&amp;TEXT($AB856,"dd-mmm")&amp;" ("&amp;(NETWORKDAYS(TODAY(),$AB856,Holidays)-1)&amp;" business day(s) left).")))))</f>
        <v/>
      </c>
      <c r="W856" s="17">
        <f>IF($Z856="","",CHOOSE($Z856,"Collection Email","1st Follow-up","2nd Follow-up","Local Office","CBE","Roxanne")&amp;IF($Z856=6," - Final"," - Day "&amp;MAX(0,NETWORKDAYS($AA856,TODAY(),Holidays)-1)&amp;" of "&amp;CHOOSE($Z856,3,3,2,2,3))&amp;" | Total Day "&amp;MAX(0,NETWORKDAYS($N856,TODAY(),Holidays)-1))</f>
        <v/>
      </c>
      <c r="X856" s="18"/>
      <c r="Y856" s="18"/>
      <c r="Z856" s="17">
        <f>IF($N856="","",COUNT($N856:$S856))</f>
        <v/>
      </c>
      <c r="AA856" s="19">
        <f>IF($Z856="","",INT(INDEX($N856:$S856,$Z856)))</f>
        <v/>
      </c>
      <c r="AB856" s="19">
        <f>IF(OR($Z856="",$Z856=6),"",WORKDAY($AA856,CHOOSE($Z856,3,3,2,2,3),Holidays))</f>
        <v/>
      </c>
      <c r="AC856" s="17">
        <f>IF(OR($Z856="",$Z856=6),"",CHOOSE($Z856,"1st Email Follow-up","2nd Email Follow-up","Escalate Local Office","Escalate to CBE","Escalate to Roxanne"))</f>
        <v/>
      </c>
    </row>
    <row r="857" spans="13:29">
      <c r="M857" s="14"/>
      <c r="T857" s="16"/>
      <c r="U857" s="17">
        <f>IF(AND(COUNTA($A857:$L857)=0,$N857=""),"",IF($T857="Paid","PAID",IF($T857="Closed","CLOSED",IF($Z857="","",IF($Z857=6,"ESCALATED TO ROXANNE",IF(TODAY()&gt;$AB857,"OVERDUE",IF($AB857&lt;=WORKDAY(TODAY(),1,Holidays),"DUE TOMORROW",IF($Z857=4,"ESCALATED TO LOCAL OFFICE",IF($Z857=5,"ESCALATED TO CBE",IF($AA857=TODAY(),"EMAIL SENT","MONITORING"))))))))))</f>
        <v/>
      </c>
      <c r="V857" s="17">
        <f>IF($U857="",IF(AND(COUNTA($A857:$L857)&gt;0,$N857=""),"Awaiting Collection Email time stamp.",""),IF(OR($U857="PAID",$U857="CLOSED"),IF($U857="PAID","Account paid. Action completed.","Account closed. No further action required."),CHOOSE($Z857,"Collection Email","1st Email Follow-up","2nd Email Follow-up","Escalation to Local Office","Escalation to CBE","Escalation to Roxanne")&amp;" sent "&amp;TEXT($AA857,"dd-mmm")&amp;". "&amp;IF($Z857=6,"Final escalation completed.",IF($U857="OVERDUE","Next: "&amp;$AC857&amp;" was due "&amp;TEXT($AB857,"dd-mmm")&amp;" - "&amp;(NETWORKDAYS($AB857,TODAY(),Holidays)-1)&amp;" business day(s) late. Send now.",IF($U857="DUE TOMORROW","Next: "&amp;$AC857&amp;IF($AB857&lt;=TODAY()," is due TODAY ("," is due next business day (")&amp;TEXT($AB857,"dd-mmm")&amp;").","Next: "&amp;$AC857&amp;" due "&amp;TEXT($AB857,"dd-mmm")&amp;" ("&amp;(NETWORKDAYS(TODAY(),$AB857,Holidays)-1)&amp;" business day(s) left).")))))</f>
        <v/>
      </c>
      <c r="W857" s="17">
        <f>IF($Z857="","",CHOOSE($Z857,"Collection Email","1st Follow-up","2nd Follow-up","Local Office","CBE","Roxanne")&amp;IF($Z857=6," - Final"," - Day "&amp;MAX(0,NETWORKDAYS($AA857,TODAY(),Holidays)-1)&amp;" of "&amp;CHOOSE($Z857,3,3,2,2,3))&amp;" | Total Day "&amp;MAX(0,NETWORKDAYS($N857,TODAY(),Holidays)-1))</f>
        <v/>
      </c>
      <c r="X857" s="18"/>
      <c r="Y857" s="18"/>
      <c r="Z857" s="17">
        <f>IF($N857="","",COUNT($N857:$S857))</f>
        <v/>
      </c>
      <c r="AA857" s="19">
        <f>IF($Z857="","",INT(INDEX($N857:$S857,$Z857)))</f>
        <v/>
      </c>
      <c r="AB857" s="19">
        <f>IF(OR($Z857="",$Z857=6),"",WORKDAY($AA857,CHOOSE($Z857,3,3,2,2,3),Holidays))</f>
        <v/>
      </c>
      <c r="AC857" s="17">
        <f>IF(OR($Z857="",$Z857=6),"",CHOOSE($Z857,"1st Email Follow-up","2nd Email Follow-up","Escalate Local Office","Escalate to CBE","Escalate to Roxanne"))</f>
        <v/>
      </c>
    </row>
    <row r="858" spans="13:29">
      <c r="M858" s="14"/>
      <c r="T858" s="16"/>
      <c r="U858" s="17">
        <f>IF(AND(COUNTA($A858:$L858)=0,$N858=""),"",IF($T858="Paid","PAID",IF($T858="Closed","CLOSED",IF($Z858="","",IF($Z858=6,"ESCALATED TO ROXANNE",IF(TODAY()&gt;$AB858,"OVERDUE",IF($AB858&lt;=WORKDAY(TODAY(),1,Holidays),"DUE TOMORROW",IF($Z858=4,"ESCALATED TO LOCAL OFFICE",IF($Z858=5,"ESCALATED TO CBE",IF($AA858=TODAY(),"EMAIL SENT","MONITORING"))))))))))</f>
        <v/>
      </c>
      <c r="V858" s="17">
        <f>IF($U858="",IF(AND(COUNTA($A858:$L858)&gt;0,$N858=""),"Awaiting Collection Email time stamp.",""),IF(OR($U858="PAID",$U858="CLOSED"),IF($U858="PAID","Account paid. Action completed.","Account closed. No further action required."),CHOOSE($Z858,"Collection Email","1st Email Follow-up","2nd Email Follow-up","Escalation to Local Office","Escalation to CBE","Escalation to Roxanne")&amp;" sent "&amp;TEXT($AA858,"dd-mmm")&amp;". "&amp;IF($Z858=6,"Final escalation completed.",IF($U858="OVERDUE","Next: "&amp;$AC858&amp;" was due "&amp;TEXT($AB858,"dd-mmm")&amp;" - "&amp;(NETWORKDAYS($AB858,TODAY(),Holidays)-1)&amp;" business day(s) late. Send now.",IF($U858="DUE TOMORROW","Next: "&amp;$AC858&amp;IF($AB858&lt;=TODAY()," is due TODAY ("," is due next business day (")&amp;TEXT($AB858,"dd-mmm")&amp;").","Next: "&amp;$AC858&amp;" due "&amp;TEXT($AB858,"dd-mmm")&amp;" ("&amp;(NETWORKDAYS(TODAY(),$AB858,Holidays)-1)&amp;" business day(s) left).")))))</f>
        <v/>
      </c>
      <c r="W858" s="17">
        <f>IF($Z858="","",CHOOSE($Z858,"Collection Email","1st Follow-up","2nd Follow-up","Local Office","CBE","Roxanne")&amp;IF($Z858=6," - Final"," - Day "&amp;MAX(0,NETWORKDAYS($AA858,TODAY(),Holidays)-1)&amp;" of "&amp;CHOOSE($Z858,3,3,2,2,3))&amp;" | Total Day "&amp;MAX(0,NETWORKDAYS($N858,TODAY(),Holidays)-1))</f>
        <v/>
      </c>
      <c r="X858" s="18"/>
      <c r="Y858" s="18"/>
      <c r="Z858" s="17">
        <f>IF($N858="","",COUNT($N858:$S858))</f>
        <v/>
      </c>
      <c r="AA858" s="19">
        <f>IF($Z858="","",INT(INDEX($N858:$S858,$Z858)))</f>
        <v/>
      </c>
      <c r="AB858" s="19">
        <f>IF(OR($Z858="",$Z858=6),"",WORKDAY($AA858,CHOOSE($Z858,3,3,2,2,3),Holidays))</f>
        <v/>
      </c>
      <c r="AC858" s="17">
        <f>IF(OR($Z858="",$Z858=6),"",CHOOSE($Z858,"1st Email Follow-up","2nd Email Follow-up","Escalate Local Office","Escalate to CBE","Escalate to Roxanne"))</f>
        <v/>
      </c>
    </row>
    <row r="859" spans="13:29">
      <c r="M859" s="14"/>
      <c r="T859" s="16"/>
      <c r="U859" s="17">
        <f>IF(AND(COUNTA($A859:$L859)=0,$N859=""),"",IF($T859="Paid","PAID",IF($T859="Closed","CLOSED",IF($Z859="","",IF($Z859=6,"ESCALATED TO ROXANNE",IF(TODAY()&gt;$AB859,"OVERDUE",IF($AB859&lt;=WORKDAY(TODAY(),1,Holidays),"DUE TOMORROW",IF($Z859=4,"ESCALATED TO LOCAL OFFICE",IF($Z859=5,"ESCALATED TO CBE",IF($AA859=TODAY(),"EMAIL SENT","MONITORING"))))))))))</f>
        <v/>
      </c>
      <c r="V859" s="17">
        <f>IF($U859="",IF(AND(COUNTA($A859:$L859)&gt;0,$N859=""),"Awaiting Collection Email time stamp.",""),IF(OR($U859="PAID",$U859="CLOSED"),IF($U859="PAID","Account paid. Action completed.","Account closed. No further action required."),CHOOSE($Z859,"Collection Email","1st Email Follow-up","2nd Email Follow-up","Escalation to Local Office","Escalation to CBE","Escalation to Roxanne")&amp;" sent "&amp;TEXT($AA859,"dd-mmm")&amp;". "&amp;IF($Z859=6,"Final escalation completed.",IF($U859="OVERDUE","Next: "&amp;$AC859&amp;" was due "&amp;TEXT($AB859,"dd-mmm")&amp;" - "&amp;(NETWORKDAYS($AB859,TODAY(),Holidays)-1)&amp;" business day(s) late. Send now.",IF($U859="DUE TOMORROW","Next: "&amp;$AC859&amp;IF($AB859&lt;=TODAY()," is due TODAY ("," is due next business day (")&amp;TEXT($AB859,"dd-mmm")&amp;").","Next: "&amp;$AC859&amp;" due "&amp;TEXT($AB859,"dd-mmm")&amp;" ("&amp;(NETWORKDAYS(TODAY(),$AB859,Holidays)-1)&amp;" business day(s) left).")))))</f>
        <v/>
      </c>
      <c r="W859" s="17">
        <f>IF($Z859="","",CHOOSE($Z859,"Collection Email","1st Follow-up","2nd Follow-up","Local Office","CBE","Roxanne")&amp;IF($Z859=6," - Final"," - Day "&amp;MAX(0,NETWORKDAYS($AA859,TODAY(),Holidays)-1)&amp;" of "&amp;CHOOSE($Z859,3,3,2,2,3))&amp;" | Total Day "&amp;MAX(0,NETWORKDAYS($N859,TODAY(),Holidays)-1))</f>
        <v/>
      </c>
      <c r="X859" s="18"/>
      <c r="Y859" s="18"/>
      <c r="Z859" s="17">
        <f>IF($N859="","",COUNT($N859:$S859))</f>
        <v/>
      </c>
      <c r="AA859" s="19">
        <f>IF($Z859="","",INT(INDEX($N859:$S859,$Z859)))</f>
        <v/>
      </c>
      <c r="AB859" s="19">
        <f>IF(OR($Z859="",$Z859=6),"",WORKDAY($AA859,CHOOSE($Z859,3,3,2,2,3),Holidays))</f>
        <v/>
      </c>
      <c r="AC859" s="17">
        <f>IF(OR($Z859="",$Z859=6),"",CHOOSE($Z859,"1st Email Follow-up","2nd Email Follow-up","Escalate Local Office","Escalate to CBE","Escalate to Roxanne"))</f>
        <v/>
      </c>
    </row>
    <row r="860" spans="13:29">
      <c r="M860" s="14"/>
      <c r="T860" s="16"/>
      <c r="U860" s="17">
        <f>IF(AND(COUNTA($A860:$L860)=0,$N860=""),"",IF($T860="Paid","PAID",IF($T860="Closed","CLOSED",IF($Z860="","",IF($Z860=6,"ESCALATED TO ROXANNE",IF(TODAY()&gt;$AB860,"OVERDUE",IF($AB860&lt;=WORKDAY(TODAY(),1,Holidays),"DUE TOMORROW",IF($Z860=4,"ESCALATED TO LOCAL OFFICE",IF($Z860=5,"ESCALATED TO CBE",IF($AA860=TODAY(),"EMAIL SENT","MONITORING"))))))))))</f>
        <v/>
      </c>
      <c r="V860" s="17">
        <f>IF($U860="",IF(AND(COUNTA($A860:$L860)&gt;0,$N860=""),"Awaiting Collection Email time stamp.",""),IF(OR($U860="PAID",$U860="CLOSED"),IF($U860="PAID","Account paid. Action completed.","Account closed. No further action required."),CHOOSE($Z860,"Collection Email","1st Email Follow-up","2nd Email Follow-up","Escalation to Local Office","Escalation to CBE","Escalation to Roxanne")&amp;" sent "&amp;TEXT($AA860,"dd-mmm")&amp;". "&amp;IF($Z860=6,"Final escalation completed.",IF($U860="OVERDUE","Next: "&amp;$AC860&amp;" was due "&amp;TEXT($AB860,"dd-mmm")&amp;" - "&amp;(NETWORKDAYS($AB860,TODAY(),Holidays)-1)&amp;" business day(s) late. Send now.",IF($U860="DUE TOMORROW","Next: "&amp;$AC860&amp;IF($AB860&lt;=TODAY()," is due TODAY ("," is due next business day (")&amp;TEXT($AB860,"dd-mmm")&amp;").","Next: "&amp;$AC860&amp;" due "&amp;TEXT($AB860,"dd-mmm")&amp;" ("&amp;(NETWORKDAYS(TODAY(),$AB860,Holidays)-1)&amp;" business day(s) left).")))))</f>
        <v/>
      </c>
      <c r="W860" s="17">
        <f>IF($Z860="","",CHOOSE($Z860,"Collection Email","1st Follow-up","2nd Follow-up","Local Office","CBE","Roxanne")&amp;IF($Z860=6," - Final"," - Day "&amp;MAX(0,NETWORKDAYS($AA860,TODAY(),Holidays)-1)&amp;" of "&amp;CHOOSE($Z860,3,3,2,2,3))&amp;" | Total Day "&amp;MAX(0,NETWORKDAYS($N860,TODAY(),Holidays)-1))</f>
        <v/>
      </c>
      <c r="X860" s="18"/>
      <c r="Y860" s="18"/>
      <c r="Z860" s="17">
        <f>IF($N860="","",COUNT($N860:$S860))</f>
        <v/>
      </c>
      <c r="AA860" s="19">
        <f>IF($Z860="","",INT(INDEX($N860:$S860,$Z860)))</f>
        <v/>
      </c>
      <c r="AB860" s="19">
        <f>IF(OR($Z860="",$Z860=6),"",WORKDAY($AA860,CHOOSE($Z860,3,3,2,2,3),Holidays))</f>
        <v/>
      </c>
      <c r="AC860" s="17">
        <f>IF(OR($Z860="",$Z860=6),"",CHOOSE($Z860,"1st Email Follow-up","2nd Email Follow-up","Escalate Local Office","Escalate to CBE","Escalate to Roxanne"))</f>
        <v/>
      </c>
    </row>
    <row r="861" spans="13:29">
      <c r="M861" s="14"/>
      <c r="T861" s="16"/>
      <c r="U861" s="17">
        <f>IF(AND(COUNTA($A861:$L861)=0,$N861=""),"",IF($T861="Paid","PAID",IF($T861="Closed","CLOSED",IF($Z861="","",IF($Z861=6,"ESCALATED TO ROXANNE",IF(TODAY()&gt;$AB861,"OVERDUE",IF($AB861&lt;=WORKDAY(TODAY(),1,Holidays),"DUE TOMORROW",IF($Z861=4,"ESCALATED TO LOCAL OFFICE",IF($Z861=5,"ESCALATED TO CBE",IF($AA861=TODAY(),"EMAIL SENT","MONITORING"))))))))))</f>
        <v/>
      </c>
      <c r="V861" s="17">
        <f>IF($U861="",IF(AND(COUNTA($A861:$L861)&gt;0,$N861=""),"Awaiting Collection Email time stamp.",""),IF(OR($U861="PAID",$U861="CLOSED"),IF($U861="PAID","Account paid. Action completed.","Account closed. No further action required."),CHOOSE($Z861,"Collection Email","1st Email Follow-up","2nd Email Follow-up","Escalation to Local Office","Escalation to CBE","Escalation to Roxanne")&amp;" sent "&amp;TEXT($AA861,"dd-mmm")&amp;". "&amp;IF($Z861=6,"Final escalation completed.",IF($U861="OVERDUE","Next: "&amp;$AC861&amp;" was due "&amp;TEXT($AB861,"dd-mmm")&amp;" - "&amp;(NETWORKDAYS($AB861,TODAY(),Holidays)-1)&amp;" business day(s) late. Send now.",IF($U861="DUE TOMORROW","Next: "&amp;$AC861&amp;IF($AB861&lt;=TODAY()," is due TODAY ("," is due next business day (")&amp;TEXT($AB861,"dd-mmm")&amp;").","Next: "&amp;$AC861&amp;" due "&amp;TEXT($AB861,"dd-mmm")&amp;" ("&amp;(NETWORKDAYS(TODAY(),$AB861,Holidays)-1)&amp;" business day(s) left).")))))</f>
        <v/>
      </c>
      <c r="W861" s="17">
        <f>IF($Z861="","",CHOOSE($Z861,"Collection Email","1st Follow-up","2nd Follow-up","Local Office","CBE","Roxanne")&amp;IF($Z861=6," - Final"," - Day "&amp;MAX(0,NETWORKDAYS($AA861,TODAY(),Holidays)-1)&amp;" of "&amp;CHOOSE($Z861,3,3,2,2,3))&amp;" | Total Day "&amp;MAX(0,NETWORKDAYS($N861,TODAY(),Holidays)-1))</f>
        <v/>
      </c>
      <c r="X861" s="18"/>
      <c r="Y861" s="18"/>
      <c r="Z861" s="17">
        <f>IF($N861="","",COUNT($N861:$S861))</f>
        <v/>
      </c>
      <c r="AA861" s="19">
        <f>IF($Z861="","",INT(INDEX($N861:$S861,$Z861)))</f>
        <v/>
      </c>
      <c r="AB861" s="19">
        <f>IF(OR($Z861="",$Z861=6),"",WORKDAY($AA861,CHOOSE($Z861,3,3,2,2,3),Holidays))</f>
        <v/>
      </c>
      <c r="AC861" s="17">
        <f>IF(OR($Z861="",$Z861=6),"",CHOOSE($Z861,"1st Email Follow-up","2nd Email Follow-up","Escalate Local Office","Escalate to CBE","Escalate to Roxanne"))</f>
        <v/>
      </c>
    </row>
    <row r="862" spans="13:29">
      <c r="M862" s="14"/>
      <c r="T862" s="16"/>
      <c r="U862" s="17">
        <f>IF(AND(COUNTA($A862:$L862)=0,$N862=""),"",IF($T862="Paid","PAID",IF($T862="Closed","CLOSED",IF($Z862="","",IF($Z862=6,"ESCALATED TO ROXANNE",IF(TODAY()&gt;$AB862,"OVERDUE",IF($AB862&lt;=WORKDAY(TODAY(),1,Holidays),"DUE TOMORROW",IF($Z862=4,"ESCALATED TO LOCAL OFFICE",IF($Z862=5,"ESCALATED TO CBE",IF($AA862=TODAY(),"EMAIL SENT","MONITORING"))))))))))</f>
        <v/>
      </c>
      <c r="V862" s="17">
        <f>IF($U862="",IF(AND(COUNTA($A862:$L862)&gt;0,$N862=""),"Awaiting Collection Email time stamp.",""),IF(OR($U862="PAID",$U862="CLOSED"),IF($U862="PAID","Account paid. Action completed.","Account closed. No further action required."),CHOOSE($Z862,"Collection Email","1st Email Follow-up","2nd Email Follow-up","Escalation to Local Office","Escalation to CBE","Escalation to Roxanne")&amp;" sent "&amp;TEXT($AA862,"dd-mmm")&amp;". "&amp;IF($Z862=6,"Final escalation completed.",IF($U862="OVERDUE","Next: "&amp;$AC862&amp;" was due "&amp;TEXT($AB862,"dd-mmm")&amp;" - "&amp;(NETWORKDAYS($AB862,TODAY(),Holidays)-1)&amp;" business day(s) late. Send now.",IF($U862="DUE TOMORROW","Next: "&amp;$AC862&amp;IF($AB862&lt;=TODAY()," is due TODAY ("," is due next business day (")&amp;TEXT($AB862,"dd-mmm")&amp;").","Next: "&amp;$AC862&amp;" due "&amp;TEXT($AB862,"dd-mmm")&amp;" ("&amp;(NETWORKDAYS(TODAY(),$AB862,Holidays)-1)&amp;" business day(s) left).")))))</f>
        <v/>
      </c>
      <c r="W862" s="17">
        <f>IF($Z862="","",CHOOSE($Z862,"Collection Email","1st Follow-up","2nd Follow-up","Local Office","CBE","Roxanne")&amp;IF($Z862=6," - Final"," - Day "&amp;MAX(0,NETWORKDAYS($AA862,TODAY(),Holidays)-1)&amp;" of "&amp;CHOOSE($Z862,3,3,2,2,3))&amp;" | Total Day "&amp;MAX(0,NETWORKDAYS($N862,TODAY(),Holidays)-1))</f>
        <v/>
      </c>
      <c r="X862" s="18"/>
      <c r="Y862" s="18"/>
      <c r="Z862" s="17">
        <f>IF($N862="","",COUNT($N862:$S862))</f>
        <v/>
      </c>
      <c r="AA862" s="19">
        <f>IF($Z862="","",INT(INDEX($N862:$S862,$Z862)))</f>
        <v/>
      </c>
      <c r="AB862" s="19">
        <f>IF(OR($Z862="",$Z862=6),"",WORKDAY($AA862,CHOOSE($Z862,3,3,2,2,3),Holidays))</f>
        <v/>
      </c>
      <c r="AC862" s="17">
        <f>IF(OR($Z862="",$Z862=6),"",CHOOSE($Z862,"1st Email Follow-up","2nd Email Follow-up","Escalate Local Office","Escalate to CBE","Escalate to Roxanne"))</f>
        <v/>
      </c>
    </row>
    <row r="863" spans="13:29">
      <c r="M863" s="14"/>
      <c r="T863" s="16"/>
      <c r="U863" s="17">
        <f>IF(AND(COUNTA($A863:$L863)=0,$N863=""),"",IF($T863="Paid","PAID",IF($T863="Closed","CLOSED",IF($Z863="","",IF($Z863=6,"ESCALATED TO ROXANNE",IF(TODAY()&gt;$AB863,"OVERDUE",IF($AB863&lt;=WORKDAY(TODAY(),1,Holidays),"DUE TOMORROW",IF($Z863=4,"ESCALATED TO LOCAL OFFICE",IF($Z863=5,"ESCALATED TO CBE",IF($AA863=TODAY(),"EMAIL SENT","MONITORING"))))))))))</f>
        <v/>
      </c>
      <c r="V863" s="17">
        <f>IF($U863="",IF(AND(COUNTA($A863:$L863)&gt;0,$N863=""),"Awaiting Collection Email time stamp.",""),IF(OR($U863="PAID",$U863="CLOSED"),IF($U863="PAID","Account paid. Action completed.","Account closed. No further action required."),CHOOSE($Z863,"Collection Email","1st Email Follow-up","2nd Email Follow-up","Escalation to Local Office","Escalation to CBE","Escalation to Roxanne")&amp;" sent "&amp;TEXT($AA863,"dd-mmm")&amp;". "&amp;IF($Z863=6,"Final escalation completed.",IF($U863="OVERDUE","Next: "&amp;$AC863&amp;" was due "&amp;TEXT($AB863,"dd-mmm")&amp;" - "&amp;(NETWORKDAYS($AB863,TODAY(),Holidays)-1)&amp;" business day(s) late. Send now.",IF($U863="DUE TOMORROW","Next: "&amp;$AC863&amp;IF($AB863&lt;=TODAY()," is due TODAY ("," is due next business day (")&amp;TEXT($AB863,"dd-mmm")&amp;").","Next: "&amp;$AC863&amp;" due "&amp;TEXT($AB863,"dd-mmm")&amp;" ("&amp;(NETWORKDAYS(TODAY(),$AB863,Holidays)-1)&amp;" business day(s) left).")))))</f>
        <v/>
      </c>
      <c r="W863" s="17">
        <f>IF($Z863="","",CHOOSE($Z863,"Collection Email","1st Follow-up","2nd Follow-up","Local Office","CBE","Roxanne")&amp;IF($Z863=6," - Final"," - Day "&amp;MAX(0,NETWORKDAYS($AA863,TODAY(),Holidays)-1)&amp;" of "&amp;CHOOSE($Z863,3,3,2,2,3))&amp;" | Total Day "&amp;MAX(0,NETWORKDAYS($N863,TODAY(),Holidays)-1))</f>
        <v/>
      </c>
      <c r="X863" s="18"/>
      <c r="Y863" s="18"/>
      <c r="Z863" s="17">
        <f>IF($N863="","",COUNT($N863:$S863))</f>
        <v/>
      </c>
      <c r="AA863" s="19">
        <f>IF($Z863="","",INT(INDEX($N863:$S863,$Z863)))</f>
        <v/>
      </c>
      <c r="AB863" s="19">
        <f>IF(OR($Z863="",$Z863=6),"",WORKDAY($AA863,CHOOSE($Z863,3,3,2,2,3),Holidays))</f>
        <v/>
      </c>
      <c r="AC863" s="17">
        <f>IF(OR($Z863="",$Z863=6),"",CHOOSE($Z863,"1st Email Follow-up","2nd Email Follow-up","Escalate Local Office","Escalate to CBE","Escalate to Roxanne"))</f>
        <v/>
      </c>
    </row>
    <row r="864" spans="13:29">
      <c r="M864" s="14"/>
      <c r="T864" s="16"/>
      <c r="U864" s="17">
        <f>IF(AND(COUNTA($A864:$L864)=0,$N864=""),"",IF($T864="Paid","PAID",IF($T864="Closed","CLOSED",IF($Z864="","",IF($Z864=6,"ESCALATED TO ROXANNE",IF(TODAY()&gt;$AB864,"OVERDUE",IF($AB864&lt;=WORKDAY(TODAY(),1,Holidays),"DUE TOMORROW",IF($Z864=4,"ESCALATED TO LOCAL OFFICE",IF($Z864=5,"ESCALATED TO CBE",IF($AA864=TODAY(),"EMAIL SENT","MONITORING"))))))))))</f>
        <v/>
      </c>
      <c r="V864" s="17">
        <f>IF($U864="",IF(AND(COUNTA($A864:$L864)&gt;0,$N864=""),"Awaiting Collection Email time stamp.",""),IF(OR($U864="PAID",$U864="CLOSED"),IF($U864="PAID","Account paid. Action completed.","Account closed. No further action required."),CHOOSE($Z864,"Collection Email","1st Email Follow-up","2nd Email Follow-up","Escalation to Local Office","Escalation to CBE","Escalation to Roxanne")&amp;" sent "&amp;TEXT($AA864,"dd-mmm")&amp;". "&amp;IF($Z864=6,"Final escalation completed.",IF($U864="OVERDUE","Next: "&amp;$AC864&amp;" was due "&amp;TEXT($AB864,"dd-mmm")&amp;" - "&amp;(NETWORKDAYS($AB864,TODAY(),Holidays)-1)&amp;" business day(s) late. Send now.",IF($U864="DUE TOMORROW","Next: "&amp;$AC864&amp;IF($AB864&lt;=TODAY()," is due TODAY ("," is due next business day (")&amp;TEXT($AB864,"dd-mmm")&amp;").","Next: "&amp;$AC864&amp;" due "&amp;TEXT($AB864,"dd-mmm")&amp;" ("&amp;(NETWORKDAYS(TODAY(),$AB864,Holidays)-1)&amp;" business day(s) left).")))))</f>
        <v/>
      </c>
      <c r="W864" s="17">
        <f>IF($Z864="","",CHOOSE($Z864,"Collection Email","1st Follow-up","2nd Follow-up","Local Office","CBE","Roxanne")&amp;IF($Z864=6," - Final"," - Day "&amp;MAX(0,NETWORKDAYS($AA864,TODAY(),Holidays)-1)&amp;" of "&amp;CHOOSE($Z864,3,3,2,2,3))&amp;" | Total Day "&amp;MAX(0,NETWORKDAYS($N864,TODAY(),Holidays)-1))</f>
        <v/>
      </c>
      <c r="X864" s="18"/>
      <c r="Y864" s="18"/>
      <c r="Z864" s="17">
        <f>IF($N864="","",COUNT($N864:$S864))</f>
        <v/>
      </c>
      <c r="AA864" s="19">
        <f>IF($Z864="","",INT(INDEX($N864:$S864,$Z864)))</f>
        <v/>
      </c>
      <c r="AB864" s="19">
        <f>IF(OR($Z864="",$Z864=6),"",WORKDAY($AA864,CHOOSE($Z864,3,3,2,2,3),Holidays))</f>
        <v/>
      </c>
      <c r="AC864" s="17">
        <f>IF(OR($Z864="",$Z864=6),"",CHOOSE($Z864,"1st Email Follow-up","2nd Email Follow-up","Escalate Local Office","Escalate to CBE","Escalate to Roxanne"))</f>
        <v/>
      </c>
    </row>
    <row r="865" spans="13:29">
      <c r="M865" s="14"/>
      <c r="T865" s="16"/>
      <c r="U865" s="17">
        <f>IF(AND(COUNTA($A865:$L865)=0,$N865=""),"",IF($T865="Paid","PAID",IF($T865="Closed","CLOSED",IF($Z865="","",IF($Z865=6,"ESCALATED TO ROXANNE",IF(TODAY()&gt;$AB865,"OVERDUE",IF($AB865&lt;=WORKDAY(TODAY(),1,Holidays),"DUE TOMORROW",IF($Z865=4,"ESCALATED TO LOCAL OFFICE",IF($Z865=5,"ESCALATED TO CBE",IF($AA865=TODAY(),"EMAIL SENT","MONITORING"))))))))))</f>
        <v/>
      </c>
      <c r="V865" s="17">
        <f>IF($U865="",IF(AND(COUNTA($A865:$L865)&gt;0,$N865=""),"Awaiting Collection Email time stamp.",""),IF(OR($U865="PAID",$U865="CLOSED"),IF($U865="PAID","Account paid. Action completed.","Account closed. No further action required."),CHOOSE($Z865,"Collection Email","1st Email Follow-up","2nd Email Follow-up","Escalation to Local Office","Escalation to CBE","Escalation to Roxanne")&amp;" sent "&amp;TEXT($AA865,"dd-mmm")&amp;". "&amp;IF($Z865=6,"Final escalation completed.",IF($U865="OVERDUE","Next: "&amp;$AC865&amp;" was due "&amp;TEXT($AB865,"dd-mmm")&amp;" - "&amp;(NETWORKDAYS($AB865,TODAY(),Holidays)-1)&amp;" business day(s) late. Send now.",IF($U865="DUE TOMORROW","Next: "&amp;$AC865&amp;IF($AB865&lt;=TODAY()," is due TODAY ("," is due next business day (")&amp;TEXT($AB865,"dd-mmm")&amp;").","Next: "&amp;$AC865&amp;" due "&amp;TEXT($AB865,"dd-mmm")&amp;" ("&amp;(NETWORKDAYS(TODAY(),$AB865,Holidays)-1)&amp;" business day(s) left).")))))</f>
        <v/>
      </c>
      <c r="W865" s="17">
        <f>IF($Z865="","",CHOOSE($Z865,"Collection Email","1st Follow-up","2nd Follow-up","Local Office","CBE","Roxanne")&amp;IF($Z865=6," - Final"," - Day "&amp;MAX(0,NETWORKDAYS($AA865,TODAY(),Holidays)-1)&amp;" of "&amp;CHOOSE($Z865,3,3,2,2,3))&amp;" | Total Day "&amp;MAX(0,NETWORKDAYS($N865,TODAY(),Holidays)-1))</f>
        <v/>
      </c>
      <c r="X865" s="18"/>
      <c r="Y865" s="18"/>
      <c r="Z865" s="17">
        <f>IF($N865="","",COUNT($N865:$S865))</f>
        <v/>
      </c>
      <c r="AA865" s="19">
        <f>IF($Z865="","",INT(INDEX($N865:$S865,$Z865)))</f>
        <v/>
      </c>
      <c r="AB865" s="19">
        <f>IF(OR($Z865="",$Z865=6),"",WORKDAY($AA865,CHOOSE($Z865,3,3,2,2,3),Holidays))</f>
        <v/>
      </c>
      <c r="AC865" s="17">
        <f>IF(OR($Z865="",$Z865=6),"",CHOOSE($Z865,"1st Email Follow-up","2nd Email Follow-up","Escalate Local Office","Escalate to CBE","Escalate to Roxanne"))</f>
        <v/>
      </c>
    </row>
    <row r="866" spans="13:29">
      <c r="M866" s="14"/>
      <c r="T866" s="16"/>
      <c r="U866" s="17">
        <f>IF(AND(COUNTA($A866:$L866)=0,$N866=""),"",IF($T866="Paid","PAID",IF($T866="Closed","CLOSED",IF($Z866="","",IF($Z866=6,"ESCALATED TO ROXANNE",IF(TODAY()&gt;$AB866,"OVERDUE",IF($AB866&lt;=WORKDAY(TODAY(),1,Holidays),"DUE TOMORROW",IF($Z866=4,"ESCALATED TO LOCAL OFFICE",IF($Z866=5,"ESCALATED TO CBE",IF($AA866=TODAY(),"EMAIL SENT","MONITORING"))))))))))</f>
        <v/>
      </c>
      <c r="V866" s="17">
        <f>IF($U866="",IF(AND(COUNTA($A866:$L866)&gt;0,$N866=""),"Awaiting Collection Email time stamp.",""),IF(OR($U866="PAID",$U866="CLOSED"),IF($U866="PAID","Account paid. Action completed.","Account closed. No further action required."),CHOOSE($Z866,"Collection Email","1st Email Follow-up","2nd Email Follow-up","Escalation to Local Office","Escalation to CBE","Escalation to Roxanne")&amp;" sent "&amp;TEXT($AA866,"dd-mmm")&amp;". "&amp;IF($Z866=6,"Final escalation completed.",IF($U866="OVERDUE","Next: "&amp;$AC866&amp;" was due "&amp;TEXT($AB866,"dd-mmm")&amp;" - "&amp;(NETWORKDAYS($AB866,TODAY(),Holidays)-1)&amp;" business day(s) late. Send now.",IF($U866="DUE TOMORROW","Next: "&amp;$AC866&amp;IF($AB866&lt;=TODAY()," is due TODAY ("," is due next business day (")&amp;TEXT($AB866,"dd-mmm")&amp;").","Next: "&amp;$AC866&amp;" due "&amp;TEXT($AB866,"dd-mmm")&amp;" ("&amp;(NETWORKDAYS(TODAY(),$AB866,Holidays)-1)&amp;" business day(s) left).")))))</f>
        <v/>
      </c>
      <c r="W866" s="17">
        <f>IF($Z866="","",CHOOSE($Z866,"Collection Email","1st Follow-up","2nd Follow-up","Local Office","CBE","Roxanne")&amp;IF($Z866=6," - Final"," - Day "&amp;MAX(0,NETWORKDAYS($AA866,TODAY(),Holidays)-1)&amp;" of "&amp;CHOOSE($Z866,3,3,2,2,3))&amp;" | Total Day "&amp;MAX(0,NETWORKDAYS($N866,TODAY(),Holidays)-1))</f>
        <v/>
      </c>
      <c r="X866" s="18"/>
      <c r="Y866" s="18"/>
      <c r="Z866" s="17">
        <f>IF($N866="","",COUNT($N866:$S866))</f>
        <v/>
      </c>
      <c r="AA866" s="19">
        <f>IF($Z866="","",INT(INDEX($N866:$S866,$Z866)))</f>
        <v/>
      </c>
      <c r="AB866" s="19">
        <f>IF(OR($Z866="",$Z866=6),"",WORKDAY($AA866,CHOOSE($Z866,3,3,2,2,3),Holidays))</f>
        <v/>
      </c>
      <c r="AC866" s="17">
        <f>IF(OR($Z866="",$Z866=6),"",CHOOSE($Z866,"1st Email Follow-up","2nd Email Follow-up","Escalate Local Office","Escalate to CBE","Escalate to Roxanne"))</f>
        <v/>
      </c>
    </row>
    <row r="867" spans="13:29">
      <c r="M867" s="14"/>
      <c r="T867" s="16"/>
      <c r="U867" s="17">
        <f>IF(AND(COUNTA($A867:$L867)=0,$N867=""),"",IF($T867="Paid","PAID",IF($T867="Closed","CLOSED",IF($Z867="","",IF($Z867=6,"ESCALATED TO ROXANNE",IF(TODAY()&gt;$AB867,"OVERDUE",IF($AB867&lt;=WORKDAY(TODAY(),1,Holidays),"DUE TOMORROW",IF($Z867=4,"ESCALATED TO LOCAL OFFICE",IF($Z867=5,"ESCALATED TO CBE",IF($AA867=TODAY(),"EMAIL SENT","MONITORING"))))))))))</f>
        <v/>
      </c>
      <c r="V867" s="17">
        <f>IF($U867="",IF(AND(COUNTA($A867:$L867)&gt;0,$N867=""),"Awaiting Collection Email time stamp.",""),IF(OR($U867="PAID",$U867="CLOSED"),IF($U867="PAID","Account paid. Action completed.","Account closed. No further action required."),CHOOSE($Z867,"Collection Email","1st Email Follow-up","2nd Email Follow-up","Escalation to Local Office","Escalation to CBE","Escalation to Roxanne")&amp;" sent "&amp;TEXT($AA867,"dd-mmm")&amp;". "&amp;IF($Z867=6,"Final escalation completed.",IF($U867="OVERDUE","Next: "&amp;$AC867&amp;" was due "&amp;TEXT($AB867,"dd-mmm")&amp;" - "&amp;(NETWORKDAYS($AB867,TODAY(),Holidays)-1)&amp;" business day(s) late. Send now.",IF($U867="DUE TOMORROW","Next: "&amp;$AC867&amp;IF($AB867&lt;=TODAY()," is due TODAY ("," is due next business day (")&amp;TEXT($AB867,"dd-mmm")&amp;").","Next: "&amp;$AC867&amp;" due "&amp;TEXT($AB867,"dd-mmm")&amp;" ("&amp;(NETWORKDAYS(TODAY(),$AB867,Holidays)-1)&amp;" business day(s) left).")))))</f>
        <v/>
      </c>
      <c r="W867" s="17">
        <f>IF($Z867="","",CHOOSE($Z867,"Collection Email","1st Follow-up","2nd Follow-up","Local Office","CBE","Roxanne")&amp;IF($Z867=6," - Final"," - Day "&amp;MAX(0,NETWORKDAYS($AA867,TODAY(),Holidays)-1)&amp;" of "&amp;CHOOSE($Z867,3,3,2,2,3))&amp;" | Total Day "&amp;MAX(0,NETWORKDAYS($N867,TODAY(),Holidays)-1))</f>
        <v/>
      </c>
      <c r="X867" s="18"/>
      <c r="Y867" s="18"/>
      <c r="Z867" s="17">
        <f>IF($N867="","",COUNT($N867:$S867))</f>
        <v/>
      </c>
      <c r="AA867" s="19">
        <f>IF($Z867="","",INT(INDEX($N867:$S867,$Z867)))</f>
        <v/>
      </c>
      <c r="AB867" s="19">
        <f>IF(OR($Z867="",$Z867=6),"",WORKDAY($AA867,CHOOSE($Z867,3,3,2,2,3),Holidays))</f>
        <v/>
      </c>
      <c r="AC867" s="17">
        <f>IF(OR($Z867="",$Z867=6),"",CHOOSE($Z867,"1st Email Follow-up","2nd Email Follow-up","Escalate Local Office","Escalate to CBE","Escalate to Roxanne"))</f>
        <v/>
      </c>
    </row>
    <row r="868" spans="13:29">
      <c r="M868" s="14"/>
      <c r="T868" s="16"/>
      <c r="U868" s="17">
        <f>IF(AND(COUNTA($A868:$L868)=0,$N868=""),"",IF($T868="Paid","PAID",IF($T868="Closed","CLOSED",IF($Z868="","",IF($Z868=6,"ESCALATED TO ROXANNE",IF(TODAY()&gt;$AB868,"OVERDUE",IF($AB868&lt;=WORKDAY(TODAY(),1,Holidays),"DUE TOMORROW",IF($Z868=4,"ESCALATED TO LOCAL OFFICE",IF($Z868=5,"ESCALATED TO CBE",IF($AA868=TODAY(),"EMAIL SENT","MONITORING"))))))))))</f>
        <v/>
      </c>
      <c r="V868" s="17">
        <f>IF($U868="",IF(AND(COUNTA($A868:$L868)&gt;0,$N868=""),"Awaiting Collection Email time stamp.",""),IF(OR($U868="PAID",$U868="CLOSED"),IF($U868="PAID","Account paid. Action completed.","Account closed. No further action required."),CHOOSE($Z868,"Collection Email","1st Email Follow-up","2nd Email Follow-up","Escalation to Local Office","Escalation to CBE","Escalation to Roxanne")&amp;" sent "&amp;TEXT($AA868,"dd-mmm")&amp;". "&amp;IF($Z868=6,"Final escalation completed.",IF($U868="OVERDUE","Next: "&amp;$AC868&amp;" was due "&amp;TEXT($AB868,"dd-mmm")&amp;" - "&amp;(NETWORKDAYS($AB868,TODAY(),Holidays)-1)&amp;" business day(s) late. Send now.",IF($U868="DUE TOMORROW","Next: "&amp;$AC868&amp;IF($AB868&lt;=TODAY()," is due TODAY ("," is due next business day (")&amp;TEXT($AB868,"dd-mmm")&amp;").","Next: "&amp;$AC868&amp;" due "&amp;TEXT($AB868,"dd-mmm")&amp;" ("&amp;(NETWORKDAYS(TODAY(),$AB868,Holidays)-1)&amp;" business day(s) left).")))))</f>
        <v/>
      </c>
      <c r="W868" s="17">
        <f>IF($Z868="","",CHOOSE($Z868,"Collection Email","1st Follow-up","2nd Follow-up","Local Office","CBE","Roxanne")&amp;IF($Z868=6," - Final"," - Day "&amp;MAX(0,NETWORKDAYS($AA868,TODAY(),Holidays)-1)&amp;" of "&amp;CHOOSE($Z868,3,3,2,2,3))&amp;" | Total Day "&amp;MAX(0,NETWORKDAYS($N868,TODAY(),Holidays)-1))</f>
        <v/>
      </c>
      <c r="X868" s="18"/>
      <c r="Y868" s="18"/>
      <c r="Z868" s="17">
        <f>IF($N868="","",COUNT($N868:$S868))</f>
        <v/>
      </c>
      <c r="AA868" s="19">
        <f>IF($Z868="","",INT(INDEX($N868:$S868,$Z868)))</f>
        <v/>
      </c>
      <c r="AB868" s="19">
        <f>IF(OR($Z868="",$Z868=6),"",WORKDAY($AA868,CHOOSE($Z868,3,3,2,2,3),Holidays))</f>
        <v/>
      </c>
      <c r="AC868" s="17">
        <f>IF(OR($Z868="",$Z868=6),"",CHOOSE($Z868,"1st Email Follow-up","2nd Email Follow-up","Escalate Local Office","Escalate to CBE","Escalate to Roxanne"))</f>
        <v/>
      </c>
    </row>
    <row r="869" spans="13:29">
      <c r="M869" s="14"/>
      <c r="T869" s="16"/>
      <c r="U869" s="17">
        <f>IF(AND(COUNTA($A869:$L869)=0,$N869=""),"",IF($T869="Paid","PAID",IF($T869="Closed","CLOSED",IF($Z869="","",IF($Z869=6,"ESCALATED TO ROXANNE",IF(TODAY()&gt;$AB869,"OVERDUE",IF($AB869&lt;=WORKDAY(TODAY(),1,Holidays),"DUE TOMORROW",IF($Z869=4,"ESCALATED TO LOCAL OFFICE",IF($Z869=5,"ESCALATED TO CBE",IF($AA869=TODAY(),"EMAIL SENT","MONITORING"))))))))))</f>
        <v/>
      </c>
      <c r="V869" s="17">
        <f>IF($U869="",IF(AND(COUNTA($A869:$L869)&gt;0,$N869=""),"Awaiting Collection Email time stamp.",""),IF(OR($U869="PAID",$U869="CLOSED"),IF($U869="PAID","Account paid. Action completed.","Account closed. No further action required."),CHOOSE($Z869,"Collection Email","1st Email Follow-up","2nd Email Follow-up","Escalation to Local Office","Escalation to CBE","Escalation to Roxanne")&amp;" sent "&amp;TEXT($AA869,"dd-mmm")&amp;". "&amp;IF($Z869=6,"Final escalation completed.",IF($U869="OVERDUE","Next: "&amp;$AC869&amp;" was due "&amp;TEXT($AB869,"dd-mmm")&amp;" - "&amp;(NETWORKDAYS($AB869,TODAY(),Holidays)-1)&amp;" business day(s) late. Send now.",IF($U869="DUE TOMORROW","Next: "&amp;$AC869&amp;IF($AB869&lt;=TODAY()," is due TODAY ("," is due next business day (")&amp;TEXT($AB869,"dd-mmm")&amp;").","Next: "&amp;$AC869&amp;" due "&amp;TEXT($AB869,"dd-mmm")&amp;" ("&amp;(NETWORKDAYS(TODAY(),$AB869,Holidays)-1)&amp;" business day(s) left).")))))</f>
        <v/>
      </c>
      <c r="W869" s="17">
        <f>IF($Z869="","",CHOOSE($Z869,"Collection Email","1st Follow-up","2nd Follow-up","Local Office","CBE","Roxanne")&amp;IF($Z869=6," - Final"," - Day "&amp;MAX(0,NETWORKDAYS($AA869,TODAY(),Holidays)-1)&amp;" of "&amp;CHOOSE($Z869,3,3,2,2,3))&amp;" | Total Day "&amp;MAX(0,NETWORKDAYS($N869,TODAY(),Holidays)-1))</f>
        <v/>
      </c>
      <c r="X869" s="18"/>
      <c r="Y869" s="18"/>
      <c r="Z869" s="17">
        <f>IF($N869="","",COUNT($N869:$S869))</f>
        <v/>
      </c>
      <c r="AA869" s="19">
        <f>IF($Z869="","",INT(INDEX($N869:$S869,$Z869)))</f>
        <v/>
      </c>
      <c r="AB869" s="19">
        <f>IF(OR($Z869="",$Z869=6),"",WORKDAY($AA869,CHOOSE($Z869,3,3,2,2,3),Holidays))</f>
        <v/>
      </c>
      <c r="AC869" s="17">
        <f>IF(OR($Z869="",$Z869=6),"",CHOOSE($Z869,"1st Email Follow-up","2nd Email Follow-up","Escalate Local Office","Escalate to CBE","Escalate to Roxanne"))</f>
        <v/>
      </c>
    </row>
    <row r="870" spans="13:29">
      <c r="M870" s="14"/>
      <c r="T870" s="16"/>
      <c r="U870" s="17">
        <f>IF(AND(COUNTA($A870:$L870)=0,$N870=""),"",IF($T870="Paid","PAID",IF($T870="Closed","CLOSED",IF($Z870="","",IF($Z870=6,"ESCALATED TO ROXANNE",IF(TODAY()&gt;$AB870,"OVERDUE",IF($AB870&lt;=WORKDAY(TODAY(),1,Holidays),"DUE TOMORROW",IF($Z870=4,"ESCALATED TO LOCAL OFFICE",IF($Z870=5,"ESCALATED TO CBE",IF($AA870=TODAY(),"EMAIL SENT","MONITORING"))))))))))</f>
        <v/>
      </c>
      <c r="V870" s="17">
        <f>IF($U870="",IF(AND(COUNTA($A870:$L870)&gt;0,$N870=""),"Awaiting Collection Email time stamp.",""),IF(OR($U870="PAID",$U870="CLOSED"),IF($U870="PAID","Account paid. Action completed.","Account closed. No further action required."),CHOOSE($Z870,"Collection Email","1st Email Follow-up","2nd Email Follow-up","Escalation to Local Office","Escalation to CBE","Escalation to Roxanne")&amp;" sent "&amp;TEXT($AA870,"dd-mmm")&amp;". "&amp;IF($Z870=6,"Final escalation completed.",IF($U870="OVERDUE","Next: "&amp;$AC870&amp;" was due "&amp;TEXT($AB870,"dd-mmm")&amp;" - "&amp;(NETWORKDAYS($AB870,TODAY(),Holidays)-1)&amp;" business day(s) late. Send now.",IF($U870="DUE TOMORROW","Next: "&amp;$AC870&amp;IF($AB870&lt;=TODAY()," is due TODAY ("," is due next business day (")&amp;TEXT($AB870,"dd-mmm")&amp;").","Next: "&amp;$AC870&amp;" due "&amp;TEXT($AB870,"dd-mmm")&amp;" ("&amp;(NETWORKDAYS(TODAY(),$AB870,Holidays)-1)&amp;" business day(s) left).")))))</f>
        <v/>
      </c>
      <c r="W870" s="17">
        <f>IF($Z870="","",CHOOSE($Z870,"Collection Email","1st Follow-up","2nd Follow-up","Local Office","CBE","Roxanne")&amp;IF($Z870=6," - Final"," - Day "&amp;MAX(0,NETWORKDAYS($AA870,TODAY(),Holidays)-1)&amp;" of "&amp;CHOOSE($Z870,3,3,2,2,3))&amp;" | Total Day "&amp;MAX(0,NETWORKDAYS($N870,TODAY(),Holidays)-1))</f>
        <v/>
      </c>
      <c r="X870" s="18"/>
      <c r="Y870" s="18"/>
      <c r="Z870" s="17">
        <f>IF($N870="","",COUNT($N870:$S870))</f>
        <v/>
      </c>
      <c r="AA870" s="19">
        <f>IF($Z870="","",INT(INDEX($N870:$S870,$Z870)))</f>
        <v/>
      </c>
      <c r="AB870" s="19">
        <f>IF(OR($Z870="",$Z870=6),"",WORKDAY($AA870,CHOOSE($Z870,3,3,2,2,3),Holidays))</f>
        <v/>
      </c>
      <c r="AC870" s="17">
        <f>IF(OR($Z870="",$Z870=6),"",CHOOSE($Z870,"1st Email Follow-up","2nd Email Follow-up","Escalate Local Office","Escalate to CBE","Escalate to Roxanne"))</f>
        <v/>
      </c>
    </row>
    <row r="871" spans="13:29">
      <c r="M871" s="14"/>
      <c r="T871" s="16"/>
      <c r="U871" s="17">
        <f>IF(AND(COUNTA($A871:$L871)=0,$N871=""),"",IF($T871="Paid","PAID",IF($T871="Closed","CLOSED",IF($Z871="","",IF($Z871=6,"ESCALATED TO ROXANNE",IF(TODAY()&gt;$AB871,"OVERDUE",IF($AB871&lt;=WORKDAY(TODAY(),1,Holidays),"DUE TOMORROW",IF($Z871=4,"ESCALATED TO LOCAL OFFICE",IF($Z871=5,"ESCALATED TO CBE",IF($AA871=TODAY(),"EMAIL SENT","MONITORING"))))))))))</f>
        <v/>
      </c>
      <c r="V871" s="17">
        <f>IF($U871="",IF(AND(COUNTA($A871:$L871)&gt;0,$N871=""),"Awaiting Collection Email time stamp.",""),IF(OR($U871="PAID",$U871="CLOSED"),IF($U871="PAID","Account paid. Action completed.","Account closed. No further action required."),CHOOSE($Z871,"Collection Email","1st Email Follow-up","2nd Email Follow-up","Escalation to Local Office","Escalation to CBE","Escalation to Roxanne")&amp;" sent "&amp;TEXT($AA871,"dd-mmm")&amp;". "&amp;IF($Z871=6,"Final escalation completed.",IF($U871="OVERDUE","Next: "&amp;$AC871&amp;" was due "&amp;TEXT($AB871,"dd-mmm")&amp;" - "&amp;(NETWORKDAYS($AB871,TODAY(),Holidays)-1)&amp;" business day(s) late. Send now.",IF($U871="DUE TOMORROW","Next: "&amp;$AC871&amp;IF($AB871&lt;=TODAY()," is due TODAY ("," is due next business day (")&amp;TEXT($AB871,"dd-mmm")&amp;").","Next: "&amp;$AC871&amp;" due "&amp;TEXT($AB871,"dd-mmm")&amp;" ("&amp;(NETWORKDAYS(TODAY(),$AB871,Holidays)-1)&amp;" business day(s) left).")))))</f>
        <v/>
      </c>
      <c r="W871" s="17">
        <f>IF($Z871="","",CHOOSE($Z871,"Collection Email","1st Follow-up","2nd Follow-up","Local Office","CBE","Roxanne")&amp;IF($Z871=6," - Final"," - Day "&amp;MAX(0,NETWORKDAYS($AA871,TODAY(),Holidays)-1)&amp;" of "&amp;CHOOSE($Z871,3,3,2,2,3))&amp;" | Total Day "&amp;MAX(0,NETWORKDAYS($N871,TODAY(),Holidays)-1))</f>
        <v/>
      </c>
      <c r="X871" s="18"/>
      <c r="Y871" s="18"/>
      <c r="Z871" s="17">
        <f>IF($N871="","",COUNT($N871:$S871))</f>
        <v/>
      </c>
      <c r="AA871" s="19">
        <f>IF($Z871="","",INT(INDEX($N871:$S871,$Z871)))</f>
        <v/>
      </c>
      <c r="AB871" s="19">
        <f>IF(OR($Z871="",$Z871=6),"",WORKDAY($AA871,CHOOSE($Z871,3,3,2,2,3),Holidays))</f>
        <v/>
      </c>
      <c r="AC871" s="17">
        <f>IF(OR($Z871="",$Z871=6),"",CHOOSE($Z871,"1st Email Follow-up","2nd Email Follow-up","Escalate Local Office","Escalate to CBE","Escalate to Roxanne"))</f>
        <v/>
      </c>
    </row>
    <row r="872" spans="13:29">
      <c r="M872" s="14"/>
      <c r="T872" s="16"/>
      <c r="U872" s="17">
        <f>IF(AND(COUNTA($A872:$L872)=0,$N872=""),"",IF($T872="Paid","PAID",IF($T872="Closed","CLOSED",IF($Z872="","",IF($Z872=6,"ESCALATED TO ROXANNE",IF(TODAY()&gt;$AB872,"OVERDUE",IF($AB872&lt;=WORKDAY(TODAY(),1,Holidays),"DUE TOMORROW",IF($Z872=4,"ESCALATED TO LOCAL OFFICE",IF($Z872=5,"ESCALATED TO CBE",IF($AA872=TODAY(),"EMAIL SENT","MONITORING"))))))))))</f>
        <v/>
      </c>
      <c r="V872" s="17">
        <f>IF($U872="",IF(AND(COUNTA($A872:$L872)&gt;0,$N872=""),"Awaiting Collection Email time stamp.",""),IF(OR($U872="PAID",$U872="CLOSED"),IF($U872="PAID","Account paid. Action completed.","Account closed. No further action required."),CHOOSE($Z872,"Collection Email","1st Email Follow-up","2nd Email Follow-up","Escalation to Local Office","Escalation to CBE","Escalation to Roxanne")&amp;" sent "&amp;TEXT($AA872,"dd-mmm")&amp;". "&amp;IF($Z872=6,"Final escalation completed.",IF($U872="OVERDUE","Next: "&amp;$AC872&amp;" was due "&amp;TEXT($AB872,"dd-mmm")&amp;" - "&amp;(NETWORKDAYS($AB872,TODAY(),Holidays)-1)&amp;" business day(s) late. Send now.",IF($U872="DUE TOMORROW","Next: "&amp;$AC872&amp;IF($AB872&lt;=TODAY()," is due TODAY ("," is due next business day (")&amp;TEXT($AB872,"dd-mmm")&amp;").","Next: "&amp;$AC872&amp;" due "&amp;TEXT($AB872,"dd-mmm")&amp;" ("&amp;(NETWORKDAYS(TODAY(),$AB872,Holidays)-1)&amp;" business day(s) left).")))))</f>
        <v/>
      </c>
      <c r="W872" s="17">
        <f>IF($Z872="","",CHOOSE($Z872,"Collection Email","1st Follow-up","2nd Follow-up","Local Office","CBE","Roxanne")&amp;IF($Z872=6," - Final"," - Day "&amp;MAX(0,NETWORKDAYS($AA872,TODAY(),Holidays)-1)&amp;" of "&amp;CHOOSE($Z872,3,3,2,2,3))&amp;" | Total Day "&amp;MAX(0,NETWORKDAYS($N872,TODAY(),Holidays)-1))</f>
        <v/>
      </c>
      <c r="X872" s="18"/>
      <c r="Y872" s="18"/>
      <c r="Z872" s="17">
        <f>IF($N872="","",COUNT($N872:$S872))</f>
        <v/>
      </c>
      <c r="AA872" s="19">
        <f>IF($Z872="","",INT(INDEX($N872:$S872,$Z872)))</f>
        <v/>
      </c>
      <c r="AB872" s="19">
        <f>IF(OR($Z872="",$Z872=6),"",WORKDAY($AA872,CHOOSE($Z872,3,3,2,2,3),Holidays))</f>
        <v/>
      </c>
      <c r="AC872" s="17">
        <f>IF(OR($Z872="",$Z872=6),"",CHOOSE($Z872,"1st Email Follow-up","2nd Email Follow-up","Escalate Local Office","Escalate to CBE","Escalate to Roxanne"))</f>
        <v/>
      </c>
    </row>
    <row r="873" spans="13:29">
      <c r="M873" s="14"/>
      <c r="T873" s="16"/>
      <c r="U873" s="17">
        <f>IF(AND(COUNTA($A873:$L873)=0,$N873=""),"",IF($T873="Paid","PAID",IF($T873="Closed","CLOSED",IF($Z873="","",IF($Z873=6,"ESCALATED TO ROXANNE",IF(TODAY()&gt;$AB873,"OVERDUE",IF($AB873&lt;=WORKDAY(TODAY(),1,Holidays),"DUE TOMORROW",IF($Z873=4,"ESCALATED TO LOCAL OFFICE",IF($Z873=5,"ESCALATED TO CBE",IF($AA873=TODAY(),"EMAIL SENT","MONITORING"))))))))))</f>
        <v/>
      </c>
      <c r="V873" s="17">
        <f>IF($U873="",IF(AND(COUNTA($A873:$L873)&gt;0,$N873=""),"Awaiting Collection Email time stamp.",""),IF(OR($U873="PAID",$U873="CLOSED"),IF($U873="PAID","Account paid. Action completed.","Account closed. No further action required."),CHOOSE($Z873,"Collection Email","1st Email Follow-up","2nd Email Follow-up","Escalation to Local Office","Escalation to CBE","Escalation to Roxanne")&amp;" sent "&amp;TEXT($AA873,"dd-mmm")&amp;". "&amp;IF($Z873=6,"Final escalation completed.",IF($U873="OVERDUE","Next: "&amp;$AC873&amp;" was due "&amp;TEXT($AB873,"dd-mmm")&amp;" - "&amp;(NETWORKDAYS($AB873,TODAY(),Holidays)-1)&amp;" business day(s) late. Send now.",IF($U873="DUE TOMORROW","Next: "&amp;$AC873&amp;IF($AB873&lt;=TODAY()," is due TODAY ("," is due next business day (")&amp;TEXT($AB873,"dd-mmm")&amp;").","Next: "&amp;$AC873&amp;" due "&amp;TEXT($AB873,"dd-mmm")&amp;" ("&amp;(NETWORKDAYS(TODAY(),$AB873,Holidays)-1)&amp;" business day(s) left).")))))</f>
        <v/>
      </c>
      <c r="W873" s="17">
        <f>IF($Z873="","",CHOOSE($Z873,"Collection Email","1st Follow-up","2nd Follow-up","Local Office","CBE","Roxanne")&amp;IF($Z873=6," - Final"," - Day "&amp;MAX(0,NETWORKDAYS($AA873,TODAY(),Holidays)-1)&amp;" of "&amp;CHOOSE($Z873,3,3,2,2,3))&amp;" | Total Day "&amp;MAX(0,NETWORKDAYS($N873,TODAY(),Holidays)-1))</f>
        <v/>
      </c>
      <c r="X873" s="18"/>
      <c r="Y873" s="18"/>
      <c r="Z873" s="17">
        <f>IF($N873="","",COUNT($N873:$S873))</f>
        <v/>
      </c>
      <c r="AA873" s="19">
        <f>IF($Z873="","",INT(INDEX($N873:$S873,$Z873)))</f>
        <v/>
      </c>
      <c r="AB873" s="19">
        <f>IF(OR($Z873="",$Z873=6),"",WORKDAY($AA873,CHOOSE($Z873,3,3,2,2,3),Holidays))</f>
        <v/>
      </c>
      <c r="AC873" s="17">
        <f>IF(OR($Z873="",$Z873=6),"",CHOOSE($Z873,"1st Email Follow-up","2nd Email Follow-up","Escalate Local Office","Escalate to CBE","Escalate to Roxanne"))</f>
        <v/>
      </c>
    </row>
    <row r="874" spans="13:29">
      <c r="M874" s="14"/>
      <c r="T874" s="16"/>
      <c r="U874" s="17">
        <f>IF(AND(COUNTA($A874:$L874)=0,$N874=""),"",IF($T874="Paid","PAID",IF($T874="Closed","CLOSED",IF($Z874="","",IF($Z874=6,"ESCALATED TO ROXANNE",IF(TODAY()&gt;$AB874,"OVERDUE",IF($AB874&lt;=WORKDAY(TODAY(),1,Holidays),"DUE TOMORROW",IF($Z874=4,"ESCALATED TO LOCAL OFFICE",IF($Z874=5,"ESCALATED TO CBE",IF($AA874=TODAY(),"EMAIL SENT","MONITORING"))))))))))</f>
        <v/>
      </c>
      <c r="V874" s="17">
        <f>IF($U874="",IF(AND(COUNTA($A874:$L874)&gt;0,$N874=""),"Awaiting Collection Email time stamp.",""),IF(OR($U874="PAID",$U874="CLOSED"),IF($U874="PAID","Account paid. Action completed.","Account closed. No further action required."),CHOOSE($Z874,"Collection Email","1st Email Follow-up","2nd Email Follow-up","Escalation to Local Office","Escalation to CBE","Escalation to Roxanne")&amp;" sent "&amp;TEXT($AA874,"dd-mmm")&amp;". "&amp;IF($Z874=6,"Final escalation completed.",IF($U874="OVERDUE","Next: "&amp;$AC874&amp;" was due "&amp;TEXT($AB874,"dd-mmm")&amp;" - "&amp;(NETWORKDAYS($AB874,TODAY(),Holidays)-1)&amp;" business day(s) late. Send now.",IF($U874="DUE TOMORROW","Next: "&amp;$AC874&amp;IF($AB874&lt;=TODAY()," is due TODAY ("," is due next business day (")&amp;TEXT($AB874,"dd-mmm")&amp;").","Next: "&amp;$AC874&amp;" due "&amp;TEXT($AB874,"dd-mmm")&amp;" ("&amp;(NETWORKDAYS(TODAY(),$AB874,Holidays)-1)&amp;" business day(s) left).")))))</f>
        <v/>
      </c>
      <c r="W874" s="17">
        <f>IF($Z874="","",CHOOSE($Z874,"Collection Email","1st Follow-up","2nd Follow-up","Local Office","CBE","Roxanne")&amp;IF($Z874=6," - Final"," - Day "&amp;MAX(0,NETWORKDAYS($AA874,TODAY(),Holidays)-1)&amp;" of "&amp;CHOOSE($Z874,3,3,2,2,3))&amp;" | Total Day "&amp;MAX(0,NETWORKDAYS($N874,TODAY(),Holidays)-1))</f>
        <v/>
      </c>
      <c r="X874" s="18"/>
      <c r="Y874" s="18"/>
      <c r="Z874" s="17">
        <f>IF($N874="","",COUNT($N874:$S874))</f>
        <v/>
      </c>
      <c r="AA874" s="19">
        <f>IF($Z874="","",INT(INDEX($N874:$S874,$Z874)))</f>
        <v/>
      </c>
      <c r="AB874" s="19">
        <f>IF(OR($Z874="",$Z874=6),"",WORKDAY($AA874,CHOOSE($Z874,3,3,2,2,3),Holidays))</f>
        <v/>
      </c>
      <c r="AC874" s="17">
        <f>IF(OR($Z874="",$Z874=6),"",CHOOSE($Z874,"1st Email Follow-up","2nd Email Follow-up","Escalate Local Office","Escalate to CBE","Escalate to Roxanne"))</f>
        <v/>
      </c>
    </row>
    <row r="875" spans="13:29">
      <c r="M875" s="14"/>
      <c r="T875" s="16"/>
      <c r="U875" s="17">
        <f>IF(AND(COUNTA($A875:$L875)=0,$N875=""),"",IF($T875="Paid","PAID",IF($T875="Closed","CLOSED",IF($Z875="","",IF($Z875=6,"ESCALATED TO ROXANNE",IF(TODAY()&gt;$AB875,"OVERDUE",IF($AB875&lt;=WORKDAY(TODAY(),1,Holidays),"DUE TOMORROW",IF($Z875=4,"ESCALATED TO LOCAL OFFICE",IF($Z875=5,"ESCALATED TO CBE",IF($AA875=TODAY(),"EMAIL SENT","MONITORING"))))))))))</f>
        <v/>
      </c>
      <c r="V875" s="17">
        <f>IF($U875="",IF(AND(COUNTA($A875:$L875)&gt;0,$N875=""),"Awaiting Collection Email time stamp.",""),IF(OR($U875="PAID",$U875="CLOSED"),IF($U875="PAID","Account paid. Action completed.","Account closed. No further action required."),CHOOSE($Z875,"Collection Email","1st Email Follow-up","2nd Email Follow-up","Escalation to Local Office","Escalation to CBE","Escalation to Roxanne")&amp;" sent "&amp;TEXT($AA875,"dd-mmm")&amp;". "&amp;IF($Z875=6,"Final escalation completed.",IF($U875="OVERDUE","Next: "&amp;$AC875&amp;" was due "&amp;TEXT($AB875,"dd-mmm")&amp;" - "&amp;(NETWORKDAYS($AB875,TODAY(),Holidays)-1)&amp;" business day(s) late. Send now.",IF($U875="DUE TOMORROW","Next: "&amp;$AC875&amp;IF($AB875&lt;=TODAY()," is due TODAY ("," is due next business day (")&amp;TEXT($AB875,"dd-mmm")&amp;").","Next: "&amp;$AC875&amp;" due "&amp;TEXT($AB875,"dd-mmm")&amp;" ("&amp;(NETWORKDAYS(TODAY(),$AB875,Holidays)-1)&amp;" business day(s) left).")))))</f>
        <v/>
      </c>
      <c r="W875" s="17">
        <f>IF($Z875="","",CHOOSE($Z875,"Collection Email","1st Follow-up","2nd Follow-up","Local Office","CBE","Roxanne")&amp;IF($Z875=6," - Final"," - Day "&amp;MAX(0,NETWORKDAYS($AA875,TODAY(),Holidays)-1)&amp;" of "&amp;CHOOSE($Z875,3,3,2,2,3))&amp;" | Total Day "&amp;MAX(0,NETWORKDAYS($N875,TODAY(),Holidays)-1))</f>
        <v/>
      </c>
      <c r="X875" s="18"/>
      <c r="Y875" s="18"/>
      <c r="Z875" s="17">
        <f>IF($N875="","",COUNT($N875:$S875))</f>
        <v/>
      </c>
      <c r="AA875" s="19">
        <f>IF($Z875="","",INT(INDEX($N875:$S875,$Z875)))</f>
        <v/>
      </c>
      <c r="AB875" s="19">
        <f>IF(OR($Z875="",$Z875=6),"",WORKDAY($AA875,CHOOSE($Z875,3,3,2,2,3),Holidays))</f>
        <v/>
      </c>
      <c r="AC875" s="17">
        <f>IF(OR($Z875="",$Z875=6),"",CHOOSE($Z875,"1st Email Follow-up","2nd Email Follow-up","Escalate Local Office","Escalate to CBE","Escalate to Roxanne"))</f>
        <v/>
      </c>
    </row>
    <row r="876" spans="13:29">
      <c r="M876" s="14"/>
      <c r="T876" s="16"/>
      <c r="U876" s="17">
        <f>IF(AND(COUNTA($A876:$L876)=0,$N876=""),"",IF($T876="Paid","PAID",IF($T876="Closed","CLOSED",IF($Z876="","",IF($Z876=6,"ESCALATED TO ROXANNE",IF(TODAY()&gt;$AB876,"OVERDUE",IF($AB876&lt;=WORKDAY(TODAY(),1,Holidays),"DUE TOMORROW",IF($Z876=4,"ESCALATED TO LOCAL OFFICE",IF($Z876=5,"ESCALATED TO CBE",IF($AA876=TODAY(),"EMAIL SENT","MONITORING"))))))))))</f>
        <v/>
      </c>
      <c r="V876" s="17">
        <f>IF($U876="",IF(AND(COUNTA($A876:$L876)&gt;0,$N876=""),"Awaiting Collection Email time stamp.",""),IF(OR($U876="PAID",$U876="CLOSED"),IF($U876="PAID","Account paid. Action completed.","Account closed. No further action required."),CHOOSE($Z876,"Collection Email","1st Email Follow-up","2nd Email Follow-up","Escalation to Local Office","Escalation to CBE","Escalation to Roxanne")&amp;" sent "&amp;TEXT($AA876,"dd-mmm")&amp;". "&amp;IF($Z876=6,"Final escalation completed.",IF($U876="OVERDUE","Next: "&amp;$AC876&amp;" was due "&amp;TEXT($AB876,"dd-mmm")&amp;" - "&amp;(NETWORKDAYS($AB876,TODAY(),Holidays)-1)&amp;" business day(s) late. Send now.",IF($U876="DUE TOMORROW","Next: "&amp;$AC876&amp;IF($AB876&lt;=TODAY()," is due TODAY ("," is due next business day (")&amp;TEXT($AB876,"dd-mmm")&amp;").","Next: "&amp;$AC876&amp;" due "&amp;TEXT($AB876,"dd-mmm")&amp;" ("&amp;(NETWORKDAYS(TODAY(),$AB876,Holidays)-1)&amp;" business day(s) left).")))))</f>
        <v/>
      </c>
      <c r="W876" s="17">
        <f>IF($Z876="","",CHOOSE($Z876,"Collection Email","1st Follow-up","2nd Follow-up","Local Office","CBE","Roxanne")&amp;IF($Z876=6," - Final"," - Day "&amp;MAX(0,NETWORKDAYS($AA876,TODAY(),Holidays)-1)&amp;" of "&amp;CHOOSE($Z876,3,3,2,2,3))&amp;" | Total Day "&amp;MAX(0,NETWORKDAYS($N876,TODAY(),Holidays)-1))</f>
        <v/>
      </c>
      <c r="X876" s="18"/>
      <c r="Y876" s="18"/>
      <c r="Z876" s="17">
        <f>IF($N876="","",COUNT($N876:$S876))</f>
        <v/>
      </c>
      <c r="AA876" s="19">
        <f>IF($Z876="","",INT(INDEX($N876:$S876,$Z876)))</f>
        <v/>
      </c>
      <c r="AB876" s="19">
        <f>IF(OR($Z876="",$Z876=6),"",WORKDAY($AA876,CHOOSE($Z876,3,3,2,2,3),Holidays))</f>
        <v/>
      </c>
      <c r="AC876" s="17">
        <f>IF(OR($Z876="",$Z876=6),"",CHOOSE($Z876,"1st Email Follow-up","2nd Email Follow-up","Escalate Local Office","Escalate to CBE","Escalate to Roxanne"))</f>
        <v/>
      </c>
    </row>
    <row r="877" spans="13:29">
      <c r="M877" s="14"/>
      <c r="T877" s="16"/>
      <c r="U877" s="17">
        <f>IF(AND(COUNTA($A877:$L877)=0,$N877=""),"",IF($T877="Paid","PAID",IF($T877="Closed","CLOSED",IF($Z877="","",IF($Z877=6,"ESCALATED TO ROXANNE",IF(TODAY()&gt;$AB877,"OVERDUE",IF($AB877&lt;=WORKDAY(TODAY(),1,Holidays),"DUE TOMORROW",IF($Z877=4,"ESCALATED TO LOCAL OFFICE",IF($Z877=5,"ESCALATED TO CBE",IF($AA877=TODAY(),"EMAIL SENT","MONITORING"))))))))))</f>
        <v/>
      </c>
      <c r="V877" s="17">
        <f>IF($U877="",IF(AND(COUNTA($A877:$L877)&gt;0,$N877=""),"Awaiting Collection Email time stamp.",""),IF(OR($U877="PAID",$U877="CLOSED"),IF($U877="PAID","Account paid. Action completed.","Account closed. No further action required."),CHOOSE($Z877,"Collection Email","1st Email Follow-up","2nd Email Follow-up","Escalation to Local Office","Escalation to CBE","Escalation to Roxanne")&amp;" sent "&amp;TEXT($AA877,"dd-mmm")&amp;". "&amp;IF($Z877=6,"Final escalation completed.",IF($U877="OVERDUE","Next: "&amp;$AC877&amp;" was due "&amp;TEXT($AB877,"dd-mmm")&amp;" - "&amp;(NETWORKDAYS($AB877,TODAY(),Holidays)-1)&amp;" business day(s) late. Send now.",IF($U877="DUE TOMORROW","Next: "&amp;$AC877&amp;IF($AB877&lt;=TODAY()," is due TODAY ("," is due next business day (")&amp;TEXT($AB877,"dd-mmm")&amp;").","Next: "&amp;$AC877&amp;" due "&amp;TEXT($AB877,"dd-mmm")&amp;" ("&amp;(NETWORKDAYS(TODAY(),$AB877,Holidays)-1)&amp;" business day(s) left).")))))</f>
        <v/>
      </c>
      <c r="W877" s="17">
        <f>IF($Z877="","",CHOOSE($Z877,"Collection Email","1st Follow-up","2nd Follow-up","Local Office","CBE","Roxanne")&amp;IF($Z877=6," - Final"," - Day "&amp;MAX(0,NETWORKDAYS($AA877,TODAY(),Holidays)-1)&amp;" of "&amp;CHOOSE($Z877,3,3,2,2,3))&amp;" | Total Day "&amp;MAX(0,NETWORKDAYS($N877,TODAY(),Holidays)-1))</f>
        <v/>
      </c>
      <c r="X877" s="18"/>
      <c r="Y877" s="18"/>
      <c r="Z877" s="17">
        <f>IF($N877="","",COUNT($N877:$S877))</f>
        <v/>
      </c>
      <c r="AA877" s="19">
        <f>IF($Z877="","",INT(INDEX($N877:$S877,$Z877)))</f>
        <v/>
      </c>
      <c r="AB877" s="19">
        <f>IF(OR($Z877="",$Z877=6),"",WORKDAY($AA877,CHOOSE($Z877,3,3,2,2,3),Holidays))</f>
        <v/>
      </c>
      <c r="AC877" s="17">
        <f>IF(OR($Z877="",$Z877=6),"",CHOOSE($Z877,"1st Email Follow-up","2nd Email Follow-up","Escalate Local Office","Escalate to CBE","Escalate to Roxanne"))</f>
        <v/>
      </c>
    </row>
    <row r="878" spans="13:29">
      <c r="M878" s="14"/>
      <c r="T878" s="16"/>
      <c r="U878" s="17">
        <f>IF(AND(COUNTA($A878:$L878)=0,$N878=""),"",IF($T878="Paid","PAID",IF($T878="Closed","CLOSED",IF($Z878="","",IF($Z878=6,"ESCALATED TO ROXANNE",IF(TODAY()&gt;$AB878,"OVERDUE",IF($AB878&lt;=WORKDAY(TODAY(),1,Holidays),"DUE TOMORROW",IF($Z878=4,"ESCALATED TO LOCAL OFFICE",IF($Z878=5,"ESCALATED TO CBE",IF($AA878=TODAY(),"EMAIL SENT","MONITORING"))))))))))</f>
        <v/>
      </c>
      <c r="V878" s="17">
        <f>IF($U878="",IF(AND(COUNTA($A878:$L878)&gt;0,$N878=""),"Awaiting Collection Email time stamp.",""),IF(OR($U878="PAID",$U878="CLOSED"),IF($U878="PAID","Account paid. Action completed.","Account closed. No further action required."),CHOOSE($Z878,"Collection Email","1st Email Follow-up","2nd Email Follow-up","Escalation to Local Office","Escalation to CBE","Escalation to Roxanne")&amp;" sent "&amp;TEXT($AA878,"dd-mmm")&amp;". "&amp;IF($Z878=6,"Final escalation completed.",IF($U878="OVERDUE","Next: "&amp;$AC878&amp;" was due "&amp;TEXT($AB878,"dd-mmm")&amp;" - "&amp;(NETWORKDAYS($AB878,TODAY(),Holidays)-1)&amp;" business day(s) late. Send now.",IF($U878="DUE TOMORROW","Next: "&amp;$AC878&amp;IF($AB878&lt;=TODAY()," is due TODAY ("," is due next business day (")&amp;TEXT($AB878,"dd-mmm")&amp;").","Next: "&amp;$AC878&amp;" due "&amp;TEXT($AB878,"dd-mmm")&amp;" ("&amp;(NETWORKDAYS(TODAY(),$AB878,Holidays)-1)&amp;" business day(s) left).")))))</f>
        <v/>
      </c>
      <c r="W878" s="17">
        <f>IF($Z878="","",CHOOSE($Z878,"Collection Email","1st Follow-up","2nd Follow-up","Local Office","CBE","Roxanne")&amp;IF($Z878=6," - Final"," - Day "&amp;MAX(0,NETWORKDAYS($AA878,TODAY(),Holidays)-1)&amp;" of "&amp;CHOOSE($Z878,3,3,2,2,3))&amp;" | Total Day "&amp;MAX(0,NETWORKDAYS($N878,TODAY(),Holidays)-1))</f>
        <v/>
      </c>
      <c r="X878" s="18"/>
      <c r="Y878" s="18"/>
      <c r="Z878" s="17">
        <f>IF($N878="","",COUNT($N878:$S878))</f>
        <v/>
      </c>
      <c r="AA878" s="19">
        <f>IF($Z878="","",INT(INDEX($N878:$S878,$Z878)))</f>
        <v/>
      </c>
      <c r="AB878" s="19">
        <f>IF(OR($Z878="",$Z878=6),"",WORKDAY($AA878,CHOOSE($Z878,3,3,2,2,3),Holidays))</f>
        <v/>
      </c>
      <c r="AC878" s="17">
        <f>IF(OR($Z878="",$Z878=6),"",CHOOSE($Z878,"1st Email Follow-up","2nd Email Follow-up","Escalate Local Office","Escalate to CBE","Escalate to Roxanne"))</f>
        <v/>
      </c>
    </row>
    <row r="879" spans="13:29">
      <c r="M879" s="14"/>
      <c r="T879" s="16"/>
      <c r="U879" s="17">
        <f>IF(AND(COUNTA($A879:$L879)=0,$N879=""),"",IF($T879="Paid","PAID",IF($T879="Closed","CLOSED",IF($Z879="","",IF($Z879=6,"ESCALATED TO ROXANNE",IF(TODAY()&gt;$AB879,"OVERDUE",IF($AB879&lt;=WORKDAY(TODAY(),1,Holidays),"DUE TOMORROW",IF($Z879=4,"ESCALATED TO LOCAL OFFICE",IF($Z879=5,"ESCALATED TO CBE",IF($AA879=TODAY(),"EMAIL SENT","MONITORING"))))))))))</f>
        <v/>
      </c>
      <c r="V879" s="17">
        <f>IF($U879="",IF(AND(COUNTA($A879:$L879)&gt;0,$N879=""),"Awaiting Collection Email time stamp.",""),IF(OR($U879="PAID",$U879="CLOSED"),IF($U879="PAID","Account paid. Action completed.","Account closed. No further action required."),CHOOSE($Z879,"Collection Email","1st Email Follow-up","2nd Email Follow-up","Escalation to Local Office","Escalation to CBE","Escalation to Roxanne")&amp;" sent "&amp;TEXT($AA879,"dd-mmm")&amp;". "&amp;IF($Z879=6,"Final escalation completed.",IF($U879="OVERDUE","Next: "&amp;$AC879&amp;" was due "&amp;TEXT($AB879,"dd-mmm")&amp;" - "&amp;(NETWORKDAYS($AB879,TODAY(),Holidays)-1)&amp;" business day(s) late. Send now.",IF($U879="DUE TOMORROW","Next: "&amp;$AC879&amp;IF($AB879&lt;=TODAY()," is due TODAY ("," is due next business day (")&amp;TEXT($AB879,"dd-mmm")&amp;").","Next: "&amp;$AC879&amp;" due "&amp;TEXT($AB879,"dd-mmm")&amp;" ("&amp;(NETWORKDAYS(TODAY(),$AB879,Holidays)-1)&amp;" business day(s) left).")))))</f>
        <v/>
      </c>
      <c r="W879" s="17">
        <f>IF($Z879="","",CHOOSE($Z879,"Collection Email","1st Follow-up","2nd Follow-up","Local Office","CBE","Roxanne")&amp;IF($Z879=6," - Final"," - Day "&amp;MAX(0,NETWORKDAYS($AA879,TODAY(),Holidays)-1)&amp;" of "&amp;CHOOSE($Z879,3,3,2,2,3))&amp;" | Total Day "&amp;MAX(0,NETWORKDAYS($N879,TODAY(),Holidays)-1))</f>
        <v/>
      </c>
      <c r="X879" s="18"/>
      <c r="Y879" s="18"/>
      <c r="Z879" s="17">
        <f>IF($N879="","",COUNT($N879:$S879))</f>
        <v/>
      </c>
      <c r="AA879" s="19">
        <f>IF($Z879="","",INT(INDEX($N879:$S879,$Z879)))</f>
        <v/>
      </c>
      <c r="AB879" s="19">
        <f>IF(OR($Z879="",$Z879=6),"",WORKDAY($AA879,CHOOSE($Z879,3,3,2,2,3),Holidays))</f>
        <v/>
      </c>
      <c r="AC879" s="17">
        <f>IF(OR($Z879="",$Z879=6),"",CHOOSE($Z879,"1st Email Follow-up","2nd Email Follow-up","Escalate Local Office","Escalate to CBE","Escalate to Roxanne"))</f>
        <v/>
      </c>
    </row>
    <row r="880" spans="13:29">
      <c r="M880" s="14"/>
      <c r="T880" s="16"/>
      <c r="U880" s="17">
        <f>IF(AND(COUNTA($A880:$L880)=0,$N880=""),"",IF($T880="Paid","PAID",IF($T880="Closed","CLOSED",IF($Z880="","",IF($Z880=6,"ESCALATED TO ROXANNE",IF(TODAY()&gt;$AB880,"OVERDUE",IF($AB880&lt;=WORKDAY(TODAY(),1,Holidays),"DUE TOMORROW",IF($Z880=4,"ESCALATED TO LOCAL OFFICE",IF($Z880=5,"ESCALATED TO CBE",IF($AA880=TODAY(),"EMAIL SENT","MONITORING"))))))))))</f>
        <v/>
      </c>
      <c r="V880" s="17">
        <f>IF($U880="",IF(AND(COUNTA($A880:$L880)&gt;0,$N880=""),"Awaiting Collection Email time stamp.",""),IF(OR($U880="PAID",$U880="CLOSED"),IF($U880="PAID","Account paid. Action completed.","Account closed. No further action required."),CHOOSE($Z880,"Collection Email","1st Email Follow-up","2nd Email Follow-up","Escalation to Local Office","Escalation to CBE","Escalation to Roxanne")&amp;" sent "&amp;TEXT($AA880,"dd-mmm")&amp;". "&amp;IF($Z880=6,"Final escalation completed.",IF($U880="OVERDUE","Next: "&amp;$AC880&amp;" was due "&amp;TEXT($AB880,"dd-mmm")&amp;" - "&amp;(NETWORKDAYS($AB880,TODAY(),Holidays)-1)&amp;" business day(s) late. Send now.",IF($U880="DUE TOMORROW","Next: "&amp;$AC880&amp;IF($AB880&lt;=TODAY()," is due TODAY ("," is due next business day (")&amp;TEXT($AB880,"dd-mmm")&amp;").","Next: "&amp;$AC880&amp;" due "&amp;TEXT($AB880,"dd-mmm")&amp;" ("&amp;(NETWORKDAYS(TODAY(),$AB880,Holidays)-1)&amp;" business day(s) left).")))))</f>
        <v/>
      </c>
      <c r="W880" s="17">
        <f>IF($Z880="","",CHOOSE($Z880,"Collection Email","1st Follow-up","2nd Follow-up","Local Office","CBE","Roxanne")&amp;IF($Z880=6," - Final"," - Day "&amp;MAX(0,NETWORKDAYS($AA880,TODAY(),Holidays)-1)&amp;" of "&amp;CHOOSE($Z880,3,3,2,2,3))&amp;" | Total Day "&amp;MAX(0,NETWORKDAYS($N880,TODAY(),Holidays)-1))</f>
        <v/>
      </c>
      <c r="X880" s="18"/>
      <c r="Y880" s="18"/>
      <c r="Z880" s="17">
        <f>IF($N880="","",COUNT($N880:$S880))</f>
        <v/>
      </c>
      <c r="AA880" s="19">
        <f>IF($Z880="","",INT(INDEX($N880:$S880,$Z880)))</f>
        <v/>
      </c>
      <c r="AB880" s="19">
        <f>IF(OR($Z880="",$Z880=6),"",WORKDAY($AA880,CHOOSE($Z880,3,3,2,2,3),Holidays))</f>
        <v/>
      </c>
      <c r="AC880" s="17">
        <f>IF(OR($Z880="",$Z880=6),"",CHOOSE($Z880,"1st Email Follow-up","2nd Email Follow-up","Escalate Local Office","Escalate to CBE","Escalate to Roxanne"))</f>
        <v/>
      </c>
    </row>
    <row r="881" spans="13:29">
      <c r="M881" s="14"/>
      <c r="T881" s="16"/>
      <c r="U881" s="17">
        <f>IF(AND(COUNTA($A881:$L881)=0,$N881=""),"",IF($T881="Paid","PAID",IF($T881="Closed","CLOSED",IF($Z881="","",IF($Z881=6,"ESCALATED TO ROXANNE",IF(TODAY()&gt;$AB881,"OVERDUE",IF($AB881&lt;=WORKDAY(TODAY(),1,Holidays),"DUE TOMORROW",IF($Z881=4,"ESCALATED TO LOCAL OFFICE",IF($Z881=5,"ESCALATED TO CBE",IF($AA881=TODAY(),"EMAIL SENT","MONITORING"))))))))))</f>
        <v/>
      </c>
      <c r="V881" s="17">
        <f>IF($U881="",IF(AND(COUNTA($A881:$L881)&gt;0,$N881=""),"Awaiting Collection Email time stamp.",""),IF(OR($U881="PAID",$U881="CLOSED"),IF($U881="PAID","Account paid. Action completed.","Account closed. No further action required."),CHOOSE($Z881,"Collection Email","1st Email Follow-up","2nd Email Follow-up","Escalation to Local Office","Escalation to CBE","Escalation to Roxanne")&amp;" sent "&amp;TEXT($AA881,"dd-mmm")&amp;". "&amp;IF($Z881=6,"Final escalation completed.",IF($U881="OVERDUE","Next: "&amp;$AC881&amp;" was due "&amp;TEXT($AB881,"dd-mmm")&amp;" - "&amp;(NETWORKDAYS($AB881,TODAY(),Holidays)-1)&amp;" business day(s) late. Send now.",IF($U881="DUE TOMORROW","Next: "&amp;$AC881&amp;IF($AB881&lt;=TODAY()," is due TODAY ("," is due next business day (")&amp;TEXT($AB881,"dd-mmm")&amp;").","Next: "&amp;$AC881&amp;" due "&amp;TEXT($AB881,"dd-mmm")&amp;" ("&amp;(NETWORKDAYS(TODAY(),$AB881,Holidays)-1)&amp;" business day(s) left).")))))</f>
        <v/>
      </c>
      <c r="W881" s="17">
        <f>IF($Z881="","",CHOOSE($Z881,"Collection Email","1st Follow-up","2nd Follow-up","Local Office","CBE","Roxanne")&amp;IF($Z881=6," - Final"," - Day "&amp;MAX(0,NETWORKDAYS($AA881,TODAY(),Holidays)-1)&amp;" of "&amp;CHOOSE($Z881,3,3,2,2,3))&amp;" | Total Day "&amp;MAX(0,NETWORKDAYS($N881,TODAY(),Holidays)-1))</f>
        <v/>
      </c>
      <c r="X881" s="18"/>
      <c r="Y881" s="18"/>
      <c r="Z881" s="17">
        <f>IF($N881="","",COUNT($N881:$S881))</f>
        <v/>
      </c>
      <c r="AA881" s="19">
        <f>IF($Z881="","",INT(INDEX($N881:$S881,$Z881)))</f>
        <v/>
      </c>
      <c r="AB881" s="19">
        <f>IF(OR($Z881="",$Z881=6),"",WORKDAY($AA881,CHOOSE($Z881,3,3,2,2,3),Holidays))</f>
        <v/>
      </c>
      <c r="AC881" s="17">
        <f>IF(OR($Z881="",$Z881=6),"",CHOOSE($Z881,"1st Email Follow-up","2nd Email Follow-up","Escalate Local Office","Escalate to CBE","Escalate to Roxanne"))</f>
        <v/>
      </c>
    </row>
    <row r="882" spans="13:29">
      <c r="M882" s="14"/>
      <c r="T882" s="16"/>
      <c r="U882" s="17">
        <f>IF(AND(COUNTA($A882:$L882)=0,$N882=""),"",IF($T882="Paid","PAID",IF($T882="Closed","CLOSED",IF($Z882="","",IF($Z882=6,"ESCALATED TO ROXANNE",IF(TODAY()&gt;$AB882,"OVERDUE",IF($AB882&lt;=WORKDAY(TODAY(),1,Holidays),"DUE TOMORROW",IF($Z882=4,"ESCALATED TO LOCAL OFFICE",IF($Z882=5,"ESCALATED TO CBE",IF($AA882=TODAY(),"EMAIL SENT","MONITORING"))))))))))</f>
        <v/>
      </c>
      <c r="V882" s="17">
        <f>IF($U882="",IF(AND(COUNTA($A882:$L882)&gt;0,$N882=""),"Awaiting Collection Email time stamp.",""),IF(OR($U882="PAID",$U882="CLOSED"),IF($U882="PAID","Account paid. Action completed.","Account closed. No further action required."),CHOOSE($Z882,"Collection Email","1st Email Follow-up","2nd Email Follow-up","Escalation to Local Office","Escalation to CBE","Escalation to Roxanne")&amp;" sent "&amp;TEXT($AA882,"dd-mmm")&amp;". "&amp;IF($Z882=6,"Final escalation completed.",IF($U882="OVERDUE","Next: "&amp;$AC882&amp;" was due "&amp;TEXT($AB882,"dd-mmm")&amp;" - "&amp;(NETWORKDAYS($AB882,TODAY(),Holidays)-1)&amp;" business day(s) late. Send now.",IF($U882="DUE TOMORROW","Next: "&amp;$AC882&amp;IF($AB882&lt;=TODAY()," is due TODAY ("," is due next business day (")&amp;TEXT($AB882,"dd-mmm")&amp;").","Next: "&amp;$AC882&amp;" due "&amp;TEXT($AB882,"dd-mmm")&amp;" ("&amp;(NETWORKDAYS(TODAY(),$AB882,Holidays)-1)&amp;" business day(s) left).")))))</f>
        <v/>
      </c>
      <c r="W882" s="17">
        <f>IF($Z882="","",CHOOSE($Z882,"Collection Email","1st Follow-up","2nd Follow-up","Local Office","CBE","Roxanne")&amp;IF($Z882=6," - Final"," - Day "&amp;MAX(0,NETWORKDAYS($AA882,TODAY(),Holidays)-1)&amp;" of "&amp;CHOOSE($Z882,3,3,2,2,3))&amp;" | Total Day "&amp;MAX(0,NETWORKDAYS($N882,TODAY(),Holidays)-1))</f>
        <v/>
      </c>
      <c r="X882" s="18"/>
      <c r="Y882" s="18"/>
      <c r="Z882" s="17">
        <f>IF($N882="","",COUNT($N882:$S882))</f>
        <v/>
      </c>
      <c r="AA882" s="19">
        <f>IF($Z882="","",INT(INDEX($N882:$S882,$Z882)))</f>
        <v/>
      </c>
      <c r="AB882" s="19">
        <f>IF(OR($Z882="",$Z882=6),"",WORKDAY($AA882,CHOOSE($Z882,3,3,2,2,3),Holidays))</f>
        <v/>
      </c>
      <c r="AC882" s="17">
        <f>IF(OR($Z882="",$Z882=6),"",CHOOSE($Z882,"1st Email Follow-up","2nd Email Follow-up","Escalate Local Office","Escalate to CBE","Escalate to Roxanne"))</f>
        <v/>
      </c>
    </row>
    <row r="883" spans="13:29">
      <c r="M883" s="14"/>
      <c r="T883" s="16"/>
      <c r="U883" s="17">
        <f>IF(AND(COUNTA($A883:$L883)=0,$N883=""),"",IF($T883="Paid","PAID",IF($T883="Closed","CLOSED",IF($Z883="","",IF($Z883=6,"ESCALATED TO ROXANNE",IF(TODAY()&gt;$AB883,"OVERDUE",IF($AB883&lt;=WORKDAY(TODAY(),1,Holidays),"DUE TOMORROW",IF($Z883=4,"ESCALATED TO LOCAL OFFICE",IF($Z883=5,"ESCALATED TO CBE",IF($AA883=TODAY(),"EMAIL SENT","MONITORING"))))))))))</f>
        <v/>
      </c>
      <c r="V883" s="17">
        <f>IF($U883="",IF(AND(COUNTA($A883:$L883)&gt;0,$N883=""),"Awaiting Collection Email time stamp.",""),IF(OR($U883="PAID",$U883="CLOSED"),IF($U883="PAID","Account paid. Action completed.","Account closed. No further action required."),CHOOSE($Z883,"Collection Email","1st Email Follow-up","2nd Email Follow-up","Escalation to Local Office","Escalation to CBE","Escalation to Roxanne")&amp;" sent "&amp;TEXT($AA883,"dd-mmm")&amp;". "&amp;IF($Z883=6,"Final escalation completed.",IF($U883="OVERDUE","Next: "&amp;$AC883&amp;" was due "&amp;TEXT($AB883,"dd-mmm")&amp;" - "&amp;(NETWORKDAYS($AB883,TODAY(),Holidays)-1)&amp;" business day(s) late. Send now.",IF($U883="DUE TOMORROW","Next: "&amp;$AC883&amp;IF($AB883&lt;=TODAY()," is due TODAY ("," is due next business day (")&amp;TEXT($AB883,"dd-mmm")&amp;").","Next: "&amp;$AC883&amp;" due "&amp;TEXT($AB883,"dd-mmm")&amp;" ("&amp;(NETWORKDAYS(TODAY(),$AB883,Holidays)-1)&amp;" business day(s) left).")))))</f>
        <v/>
      </c>
      <c r="W883" s="17">
        <f>IF($Z883="","",CHOOSE($Z883,"Collection Email","1st Follow-up","2nd Follow-up","Local Office","CBE","Roxanne")&amp;IF($Z883=6," - Final"," - Day "&amp;MAX(0,NETWORKDAYS($AA883,TODAY(),Holidays)-1)&amp;" of "&amp;CHOOSE($Z883,3,3,2,2,3))&amp;" | Total Day "&amp;MAX(0,NETWORKDAYS($N883,TODAY(),Holidays)-1))</f>
        <v/>
      </c>
      <c r="X883" s="18"/>
      <c r="Y883" s="18"/>
      <c r="Z883" s="17">
        <f>IF($N883="","",COUNT($N883:$S883))</f>
        <v/>
      </c>
      <c r="AA883" s="19">
        <f>IF($Z883="","",INT(INDEX($N883:$S883,$Z883)))</f>
        <v/>
      </c>
      <c r="AB883" s="19">
        <f>IF(OR($Z883="",$Z883=6),"",WORKDAY($AA883,CHOOSE($Z883,3,3,2,2,3),Holidays))</f>
        <v/>
      </c>
      <c r="AC883" s="17">
        <f>IF(OR($Z883="",$Z883=6),"",CHOOSE($Z883,"1st Email Follow-up","2nd Email Follow-up","Escalate Local Office","Escalate to CBE","Escalate to Roxanne"))</f>
        <v/>
      </c>
    </row>
    <row r="884" spans="13:29">
      <c r="M884" s="14"/>
      <c r="T884" s="16"/>
      <c r="U884" s="17">
        <f>IF(AND(COUNTA($A884:$L884)=0,$N884=""),"",IF($T884="Paid","PAID",IF($T884="Closed","CLOSED",IF($Z884="","",IF($Z884=6,"ESCALATED TO ROXANNE",IF(TODAY()&gt;$AB884,"OVERDUE",IF($AB884&lt;=WORKDAY(TODAY(),1,Holidays),"DUE TOMORROW",IF($Z884=4,"ESCALATED TO LOCAL OFFICE",IF($Z884=5,"ESCALATED TO CBE",IF($AA884=TODAY(),"EMAIL SENT","MONITORING"))))))))))</f>
        <v/>
      </c>
      <c r="V884" s="17">
        <f>IF($U884="",IF(AND(COUNTA($A884:$L884)&gt;0,$N884=""),"Awaiting Collection Email time stamp.",""),IF(OR($U884="PAID",$U884="CLOSED"),IF($U884="PAID","Account paid. Action completed.","Account closed. No further action required."),CHOOSE($Z884,"Collection Email","1st Email Follow-up","2nd Email Follow-up","Escalation to Local Office","Escalation to CBE","Escalation to Roxanne")&amp;" sent "&amp;TEXT($AA884,"dd-mmm")&amp;". "&amp;IF($Z884=6,"Final escalation completed.",IF($U884="OVERDUE","Next: "&amp;$AC884&amp;" was due "&amp;TEXT($AB884,"dd-mmm")&amp;" - "&amp;(NETWORKDAYS($AB884,TODAY(),Holidays)-1)&amp;" business day(s) late. Send now.",IF($U884="DUE TOMORROW","Next: "&amp;$AC884&amp;IF($AB884&lt;=TODAY()," is due TODAY ("," is due next business day (")&amp;TEXT($AB884,"dd-mmm")&amp;").","Next: "&amp;$AC884&amp;" due "&amp;TEXT($AB884,"dd-mmm")&amp;" ("&amp;(NETWORKDAYS(TODAY(),$AB884,Holidays)-1)&amp;" business day(s) left).")))))</f>
        <v/>
      </c>
      <c r="W884" s="17">
        <f>IF($Z884="","",CHOOSE($Z884,"Collection Email","1st Follow-up","2nd Follow-up","Local Office","CBE","Roxanne")&amp;IF($Z884=6," - Final"," - Day "&amp;MAX(0,NETWORKDAYS($AA884,TODAY(),Holidays)-1)&amp;" of "&amp;CHOOSE($Z884,3,3,2,2,3))&amp;" | Total Day "&amp;MAX(0,NETWORKDAYS($N884,TODAY(),Holidays)-1))</f>
        <v/>
      </c>
      <c r="X884" s="18"/>
      <c r="Y884" s="18"/>
      <c r="Z884" s="17">
        <f>IF($N884="","",COUNT($N884:$S884))</f>
        <v/>
      </c>
      <c r="AA884" s="19">
        <f>IF($Z884="","",INT(INDEX($N884:$S884,$Z884)))</f>
        <v/>
      </c>
      <c r="AB884" s="19">
        <f>IF(OR($Z884="",$Z884=6),"",WORKDAY($AA884,CHOOSE($Z884,3,3,2,2,3),Holidays))</f>
        <v/>
      </c>
      <c r="AC884" s="17">
        <f>IF(OR($Z884="",$Z884=6),"",CHOOSE($Z884,"1st Email Follow-up","2nd Email Follow-up","Escalate Local Office","Escalate to CBE","Escalate to Roxanne"))</f>
        <v/>
      </c>
    </row>
    <row r="885" spans="13:29">
      <c r="M885" s="14"/>
      <c r="T885" s="16"/>
      <c r="U885" s="17">
        <f>IF(AND(COUNTA($A885:$L885)=0,$N885=""),"",IF($T885="Paid","PAID",IF($T885="Closed","CLOSED",IF($Z885="","",IF($Z885=6,"ESCALATED TO ROXANNE",IF(TODAY()&gt;$AB885,"OVERDUE",IF($AB885&lt;=WORKDAY(TODAY(),1,Holidays),"DUE TOMORROW",IF($Z885=4,"ESCALATED TO LOCAL OFFICE",IF($Z885=5,"ESCALATED TO CBE",IF($AA885=TODAY(),"EMAIL SENT","MONITORING"))))))))))</f>
        <v/>
      </c>
      <c r="V885" s="17">
        <f>IF($U885="",IF(AND(COUNTA($A885:$L885)&gt;0,$N885=""),"Awaiting Collection Email time stamp.",""),IF(OR($U885="PAID",$U885="CLOSED"),IF($U885="PAID","Account paid. Action completed.","Account closed. No further action required."),CHOOSE($Z885,"Collection Email","1st Email Follow-up","2nd Email Follow-up","Escalation to Local Office","Escalation to CBE","Escalation to Roxanne")&amp;" sent "&amp;TEXT($AA885,"dd-mmm")&amp;". "&amp;IF($Z885=6,"Final escalation completed.",IF($U885="OVERDUE","Next: "&amp;$AC885&amp;" was due "&amp;TEXT($AB885,"dd-mmm")&amp;" - "&amp;(NETWORKDAYS($AB885,TODAY(),Holidays)-1)&amp;" business day(s) late. Send now.",IF($U885="DUE TOMORROW","Next: "&amp;$AC885&amp;IF($AB885&lt;=TODAY()," is due TODAY ("," is due next business day (")&amp;TEXT($AB885,"dd-mmm")&amp;").","Next: "&amp;$AC885&amp;" due "&amp;TEXT($AB885,"dd-mmm")&amp;" ("&amp;(NETWORKDAYS(TODAY(),$AB885,Holidays)-1)&amp;" business day(s) left).")))))</f>
        <v/>
      </c>
      <c r="W885" s="17">
        <f>IF($Z885="","",CHOOSE($Z885,"Collection Email","1st Follow-up","2nd Follow-up","Local Office","CBE","Roxanne")&amp;IF($Z885=6," - Final"," - Day "&amp;MAX(0,NETWORKDAYS($AA885,TODAY(),Holidays)-1)&amp;" of "&amp;CHOOSE($Z885,3,3,2,2,3))&amp;" | Total Day "&amp;MAX(0,NETWORKDAYS($N885,TODAY(),Holidays)-1))</f>
        <v/>
      </c>
      <c r="X885" s="18"/>
      <c r="Y885" s="18"/>
      <c r="Z885" s="17">
        <f>IF($N885="","",COUNT($N885:$S885))</f>
        <v/>
      </c>
      <c r="AA885" s="19">
        <f>IF($Z885="","",INT(INDEX($N885:$S885,$Z885)))</f>
        <v/>
      </c>
      <c r="AB885" s="19">
        <f>IF(OR($Z885="",$Z885=6),"",WORKDAY($AA885,CHOOSE($Z885,3,3,2,2,3),Holidays))</f>
        <v/>
      </c>
      <c r="AC885" s="17">
        <f>IF(OR($Z885="",$Z885=6),"",CHOOSE($Z885,"1st Email Follow-up","2nd Email Follow-up","Escalate Local Office","Escalate to CBE","Escalate to Roxanne"))</f>
        <v/>
      </c>
    </row>
    <row r="886" spans="13:29">
      <c r="M886" s="14"/>
      <c r="T886" s="16"/>
      <c r="U886" s="17">
        <f>IF(AND(COUNTA($A886:$L886)=0,$N886=""),"",IF($T886="Paid","PAID",IF($T886="Closed","CLOSED",IF($Z886="","",IF($Z886=6,"ESCALATED TO ROXANNE",IF(TODAY()&gt;$AB886,"OVERDUE",IF($AB886&lt;=WORKDAY(TODAY(),1,Holidays),"DUE TOMORROW",IF($Z886=4,"ESCALATED TO LOCAL OFFICE",IF($Z886=5,"ESCALATED TO CBE",IF($AA886=TODAY(),"EMAIL SENT","MONITORING"))))))))))</f>
        <v/>
      </c>
      <c r="V886" s="17">
        <f>IF($U886="",IF(AND(COUNTA($A886:$L886)&gt;0,$N886=""),"Awaiting Collection Email time stamp.",""),IF(OR($U886="PAID",$U886="CLOSED"),IF($U886="PAID","Account paid. Action completed.","Account closed. No further action required."),CHOOSE($Z886,"Collection Email","1st Email Follow-up","2nd Email Follow-up","Escalation to Local Office","Escalation to CBE","Escalation to Roxanne")&amp;" sent "&amp;TEXT($AA886,"dd-mmm")&amp;". "&amp;IF($Z886=6,"Final escalation completed.",IF($U886="OVERDUE","Next: "&amp;$AC886&amp;" was due "&amp;TEXT($AB886,"dd-mmm")&amp;" - "&amp;(NETWORKDAYS($AB886,TODAY(),Holidays)-1)&amp;" business day(s) late. Send now.",IF($U886="DUE TOMORROW","Next: "&amp;$AC886&amp;IF($AB886&lt;=TODAY()," is due TODAY ("," is due next business day (")&amp;TEXT($AB886,"dd-mmm")&amp;").","Next: "&amp;$AC886&amp;" due "&amp;TEXT($AB886,"dd-mmm")&amp;" ("&amp;(NETWORKDAYS(TODAY(),$AB886,Holidays)-1)&amp;" business day(s) left).")))))</f>
        <v/>
      </c>
      <c r="W886" s="17">
        <f>IF($Z886="","",CHOOSE($Z886,"Collection Email","1st Follow-up","2nd Follow-up","Local Office","CBE","Roxanne")&amp;IF($Z886=6," - Final"," - Day "&amp;MAX(0,NETWORKDAYS($AA886,TODAY(),Holidays)-1)&amp;" of "&amp;CHOOSE($Z886,3,3,2,2,3))&amp;" | Total Day "&amp;MAX(0,NETWORKDAYS($N886,TODAY(),Holidays)-1))</f>
        <v/>
      </c>
      <c r="X886" s="18"/>
      <c r="Y886" s="18"/>
      <c r="Z886" s="17">
        <f>IF($N886="","",COUNT($N886:$S886))</f>
        <v/>
      </c>
      <c r="AA886" s="19">
        <f>IF($Z886="","",INT(INDEX($N886:$S886,$Z886)))</f>
        <v/>
      </c>
      <c r="AB886" s="19">
        <f>IF(OR($Z886="",$Z886=6),"",WORKDAY($AA886,CHOOSE($Z886,3,3,2,2,3),Holidays))</f>
        <v/>
      </c>
      <c r="AC886" s="17">
        <f>IF(OR($Z886="",$Z886=6),"",CHOOSE($Z886,"1st Email Follow-up","2nd Email Follow-up","Escalate Local Office","Escalate to CBE","Escalate to Roxanne"))</f>
        <v/>
      </c>
    </row>
    <row r="887" spans="13:29">
      <c r="M887" s="14"/>
      <c r="T887" s="16"/>
      <c r="U887" s="17">
        <f>IF(AND(COUNTA($A887:$L887)=0,$N887=""),"",IF($T887="Paid","PAID",IF($T887="Closed","CLOSED",IF($Z887="","",IF($Z887=6,"ESCALATED TO ROXANNE",IF(TODAY()&gt;$AB887,"OVERDUE",IF($AB887&lt;=WORKDAY(TODAY(),1,Holidays),"DUE TOMORROW",IF($Z887=4,"ESCALATED TO LOCAL OFFICE",IF($Z887=5,"ESCALATED TO CBE",IF($AA887=TODAY(),"EMAIL SENT","MONITORING"))))))))))</f>
        <v/>
      </c>
      <c r="V887" s="17">
        <f>IF($U887="",IF(AND(COUNTA($A887:$L887)&gt;0,$N887=""),"Awaiting Collection Email time stamp.",""),IF(OR($U887="PAID",$U887="CLOSED"),IF($U887="PAID","Account paid. Action completed.","Account closed. No further action required."),CHOOSE($Z887,"Collection Email","1st Email Follow-up","2nd Email Follow-up","Escalation to Local Office","Escalation to CBE","Escalation to Roxanne")&amp;" sent "&amp;TEXT($AA887,"dd-mmm")&amp;". "&amp;IF($Z887=6,"Final escalation completed.",IF($U887="OVERDUE","Next: "&amp;$AC887&amp;" was due "&amp;TEXT($AB887,"dd-mmm")&amp;" - "&amp;(NETWORKDAYS($AB887,TODAY(),Holidays)-1)&amp;" business day(s) late. Send now.",IF($U887="DUE TOMORROW","Next: "&amp;$AC887&amp;IF($AB887&lt;=TODAY()," is due TODAY ("," is due next business day (")&amp;TEXT($AB887,"dd-mmm")&amp;").","Next: "&amp;$AC887&amp;" due "&amp;TEXT($AB887,"dd-mmm")&amp;" ("&amp;(NETWORKDAYS(TODAY(),$AB887,Holidays)-1)&amp;" business day(s) left).")))))</f>
        <v/>
      </c>
      <c r="W887" s="17">
        <f>IF($Z887="","",CHOOSE($Z887,"Collection Email","1st Follow-up","2nd Follow-up","Local Office","CBE","Roxanne")&amp;IF($Z887=6," - Final"," - Day "&amp;MAX(0,NETWORKDAYS($AA887,TODAY(),Holidays)-1)&amp;" of "&amp;CHOOSE($Z887,3,3,2,2,3))&amp;" | Total Day "&amp;MAX(0,NETWORKDAYS($N887,TODAY(),Holidays)-1))</f>
        <v/>
      </c>
      <c r="X887" s="18"/>
      <c r="Y887" s="18"/>
      <c r="Z887" s="17">
        <f>IF($N887="","",COUNT($N887:$S887))</f>
        <v/>
      </c>
      <c r="AA887" s="19">
        <f>IF($Z887="","",INT(INDEX($N887:$S887,$Z887)))</f>
        <v/>
      </c>
      <c r="AB887" s="19">
        <f>IF(OR($Z887="",$Z887=6),"",WORKDAY($AA887,CHOOSE($Z887,3,3,2,2,3),Holidays))</f>
        <v/>
      </c>
      <c r="AC887" s="17">
        <f>IF(OR($Z887="",$Z887=6),"",CHOOSE($Z887,"1st Email Follow-up","2nd Email Follow-up","Escalate Local Office","Escalate to CBE","Escalate to Roxanne"))</f>
        <v/>
      </c>
    </row>
    <row r="888" spans="13:29">
      <c r="M888" s="14"/>
      <c r="T888" s="16"/>
      <c r="U888" s="17">
        <f>IF(AND(COUNTA($A888:$L888)=0,$N888=""),"",IF($T888="Paid","PAID",IF($T888="Closed","CLOSED",IF($Z888="","",IF($Z888=6,"ESCALATED TO ROXANNE",IF(TODAY()&gt;$AB888,"OVERDUE",IF($AB888&lt;=WORKDAY(TODAY(),1,Holidays),"DUE TOMORROW",IF($Z888=4,"ESCALATED TO LOCAL OFFICE",IF($Z888=5,"ESCALATED TO CBE",IF($AA888=TODAY(),"EMAIL SENT","MONITORING"))))))))))</f>
        <v/>
      </c>
      <c r="V888" s="17">
        <f>IF($U888="",IF(AND(COUNTA($A888:$L888)&gt;0,$N888=""),"Awaiting Collection Email time stamp.",""),IF(OR($U888="PAID",$U888="CLOSED"),IF($U888="PAID","Account paid. Action completed.","Account closed. No further action required."),CHOOSE($Z888,"Collection Email","1st Email Follow-up","2nd Email Follow-up","Escalation to Local Office","Escalation to CBE","Escalation to Roxanne")&amp;" sent "&amp;TEXT($AA888,"dd-mmm")&amp;". "&amp;IF($Z888=6,"Final escalation completed.",IF($U888="OVERDUE","Next: "&amp;$AC888&amp;" was due "&amp;TEXT($AB888,"dd-mmm")&amp;" - "&amp;(NETWORKDAYS($AB888,TODAY(),Holidays)-1)&amp;" business day(s) late. Send now.",IF($U888="DUE TOMORROW","Next: "&amp;$AC888&amp;IF($AB888&lt;=TODAY()," is due TODAY ("," is due next business day (")&amp;TEXT($AB888,"dd-mmm")&amp;").","Next: "&amp;$AC888&amp;" due "&amp;TEXT($AB888,"dd-mmm")&amp;" ("&amp;(NETWORKDAYS(TODAY(),$AB888,Holidays)-1)&amp;" business day(s) left).")))))</f>
        <v/>
      </c>
      <c r="W888" s="17">
        <f>IF($Z888="","",CHOOSE($Z888,"Collection Email","1st Follow-up","2nd Follow-up","Local Office","CBE","Roxanne")&amp;IF($Z888=6," - Final"," - Day "&amp;MAX(0,NETWORKDAYS($AA888,TODAY(),Holidays)-1)&amp;" of "&amp;CHOOSE($Z888,3,3,2,2,3))&amp;" | Total Day "&amp;MAX(0,NETWORKDAYS($N888,TODAY(),Holidays)-1))</f>
        <v/>
      </c>
      <c r="X888" s="18"/>
      <c r="Y888" s="18"/>
      <c r="Z888" s="17">
        <f>IF($N888="","",COUNT($N888:$S888))</f>
        <v/>
      </c>
      <c r="AA888" s="19">
        <f>IF($Z888="","",INT(INDEX($N888:$S888,$Z888)))</f>
        <v/>
      </c>
      <c r="AB888" s="19">
        <f>IF(OR($Z888="",$Z888=6),"",WORKDAY($AA888,CHOOSE($Z888,3,3,2,2,3),Holidays))</f>
        <v/>
      </c>
      <c r="AC888" s="17">
        <f>IF(OR($Z888="",$Z888=6),"",CHOOSE($Z888,"1st Email Follow-up","2nd Email Follow-up","Escalate Local Office","Escalate to CBE","Escalate to Roxanne"))</f>
        <v/>
      </c>
    </row>
    <row r="889" spans="13:29">
      <c r="M889" s="14"/>
      <c r="T889" s="16"/>
      <c r="U889" s="17">
        <f>IF(AND(COUNTA($A889:$L889)=0,$N889=""),"",IF($T889="Paid","PAID",IF($T889="Closed","CLOSED",IF($Z889="","",IF($Z889=6,"ESCALATED TO ROXANNE",IF(TODAY()&gt;$AB889,"OVERDUE",IF($AB889&lt;=WORKDAY(TODAY(),1,Holidays),"DUE TOMORROW",IF($Z889=4,"ESCALATED TO LOCAL OFFICE",IF($Z889=5,"ESCALATED TO CBE",IF($AA889=TODAY(),"EMAIL SENT","MONITORING"))))))))))</f>
        <v/>
      </c>
      <c r="V889" s="17">
        <f>IF($U889="",IF(AND(COUNTA($A889:$L889)&gt;0,$N889=""),"Awaiting Collection Email time stamp.",""),IF(OR($U889="PAID",$U889="CLOSED"),IF($U889="PAID","Account paid. Action completed.","Account closed. No further action required."),CHOOSE($Z889,"Collection Email","1st Email Follow-up","2nd Email Follow-up","Escalation to Local Office","Escalation to CBE","Escalation to Roxanne")&amp;" sent "&amp;TEXT($AA889,"dd-mmm")&amp;". "&amp;IF($Z889=6,"Final escalation completed.",IF($U889="OVERDUE","Next: "&amp;$AC889&amp;" was due "&amp;TEXT($AB889,"dd-mmm")&amp;" - "&amp;(NETWORKDAYS($AB889,TODAY(),Holidays)-1)&amp;" business day(s) late. Send now.",IF($U889="DUE TOMORROW","Next: "&amp;$AC889&amp;IF($AB889&lt;=TODAY()," is due TODAY ("," is due next business day (")&amp;TEXT($AB889,"dd-mmm")&amp;").","Next: "&amp;$AC889&amp;" due "&amp;TEXT($AB889,"dd-mmm")&amp;" ("&amp;(NETWORKDAYS(TODAY(),$AB889,Holidays)-1)&amp;" business day(s) left).")))))</f>
        <v/>
      </c>
      <c r="W889" s="17">
        <f>IF($Z889="","",CHOOSE($Z889,"Collection Email","1st Follow-up","2nd Follow-up","Local Office","CBE","Roxanne")&amp;IF($Z889=6," - Final"," - Day "&amp;MAX(0,NETWORKDAYS($AA889,TODAY(),Holidays)-1)&amp;" of "&amp;CHOOSE($Z889,3,3,2,2,3))&amp;" | Total Day "&amp;MAX(0,NETWORKDAYS($N889,TODAY(),Holidays)-1))</f>
        <v/>
      </c>
      <c r="X889" s="18"/>
      <c r="Y889" s="18"/>
      <c r="Z889" s="17">
        <f>IF($N889="","",COUNT($N889:$S889))</f>
        <v/>
      </c>
      <c r="AA889" s="19">
        <f>IF($Z889="","",INT(INDEX($N889:$S889,$Z889)))</f>
        <v/>
      </c>
      <c r="AB889" s="19">
        <f>IF(OR($Z889="",$Z889=6),"",WORKDAY($AA889,CHOOSE($Z889,3,3,2,2,3),Holidays))</f>
        <v/>
      </c>
      <c r="AC889" s="17">
        <f>IF(OR($Z889="",$Z889=6),"",CHOOSE($Z889,"1st Email Follow-up","2nd Email Follow-up","Escalate Local Office","Escalate to CBE","Escalate to Roxanne"))</f>
        <v/>
      </c>
    </row>
    <row r="890" spans="13:29">
      <c r="M890" s="14"/>
      <c r="T890" s="16"/>
      <c r="U890" s="17">
        <f>IF(AND(COUNTA($A890:$L890)=0,$N890=""),"",IF($T890="Paid","PAID",IF($T890="Closed","CLOSED",IF($Z890="","",IF($Z890=6,"ESCALATED TO ROXANNE",IF(TODAY()&gt;$AB890,"OVERDUE",IF($AB890&lt;=WORKDAY(TODAY(),1,Holidays),"DUE TOMORROW",IF($Z890=4,"ESCALATED TO LOCAL OFFICE",IF($Z890=5,"ESCALATED TO CBE",IF($AA890=TODAY(),"EMAIL SENT","MONITORING"))))))))))</f>
        <v/>
      </c>
      <c r="V890" s="17">
        <f>IF($U890="",IF(AND(COUNTA($A890:$L890)&gt;0,$N890=""),"Awaiting Collection Email time stamp.",""),IF(OR($U890="PAID",$U890="CLOSED"),IF($U890="PAID","Account paid. Action completed.","Account closed. No further action required."),CHOOSE($Z890,"Collection Email","1st Email Follow-up","2nd Email Follow-up","Escalation to Local Office","Escalation to CBE","Escalation to Roxanne")&amp;" sent "&amp;TEXT($AA890,"dd-mmm")&amp;". "&amp;IF($Z890=6,"Final escalation completed.",IF($U890="OVERDUE","Next: "&amp;$AC890&amp;" was due "&amp;TEXT($AB890,"dd-mmm")&amp;" - "&amp;(NETWORKDAYS($AB890,TODAY(),Holidays)-1)&amp;" business day(s) late. Send now.",IF($U890="DUE TOMORROW","Next: "&amp;$AC890&amp;IF($AB890&lt;=TODAY()," is due TODAY ("," is due next business day (")&amp;TEXT($AB890,"dd-mmm")&amp;").","Next: "&amp;$AC890&amp;" due "&amp;TEXT($AB890,"dd-mmm")&amp;" ("&amp;(NETWORKDAYS(TODAY(),$AB890,Holidays)-1)&amp;" business day(s) left).")))))</f>
        <v/>
      </c>
      <c r="W890" s="17">
        <f>IF($Z890="","",CHOOSE($Z890,"Collection Email","1st Follow-up","2nd Follow-up","Local Office","CBE","Roxanne")&amp;IF($Z890=6," - Final"," - Day "&amp;MAX(0,NETWORKDAYS($AA890,TODAY(),Holidays)-1)&amp;" of "&amp;CHOOSE($Z890,3,3,2,2,3))&amp;" | Total Day "&amp;MAX(0,NETWORKDAYS($N890,TODAY(),Holidays)-1))</f>
        <v/>
      </c>
      <c r="X890" s="18"/>
      <c r="Y890" s="18"/>
      <c r="Z890" s="17">
        <f>IF($N890="","",COUNT($N890:$S890))</f>
        <v/>
      </c>
      <c r="AA890" s="19">
        <f>IF($Z890="","",INT(INDEX($N890:$S890,$Z890)))</f>
        <v/>
      </c>
      <c r="AB890" s="19">
        <f>IF(OR($Z890="",$Z890=6),"",WORKDAY($AA890,CHOOSE($Z890,3,3,2,2,3),Holidays))</f>
        <v/>
      </c>
      <c r="AC890" s="17">
        <f>IF(OR($Z890="",$Z890=6),"",CHOOSE($Z890,"1st Email Follow-up","2nd Email Follow-up","Escalate Local Office","Escalate to CBE","Escalate to Roxanne"))</f>
        <v/>
      </c>
    </row>
    <row r="891" spans="13:29">
      <c r="M891" s="14"/>
      <c r="T891" s="16"/>
      <c r="U891" s="17">
        <f>IF(AND(COUNTA($A891:$L891)=0,$N891=""),"",IF($T891="Paid","PAID",IF($T891="Closed","CLOSED",IF($Z891="","",IF($Z891=6,"ESCALATED TO ROXANNE",IF(TODAY()&gt;$AB891,"OVERDUE",IF($AB891&lt;=WORKDAY(TODAY(),1,Holidays),"DUE TOMORROW",IF($Z891=4,"ESCALATED TO LOCAL OFFICE",IF($Z891=5,"ESCALATED TO CBE",IF($AA891=TODAY(),"EMAIL SENT","MONITORING"))))))))))</f>
        <v/>
      </c>
      <c r="V891" s="17">
        <f>IF($U891="",IF(AND(COUNTA($A891:$L891)&gt;0,$N891=""),"Awaiting Collection Email time stamp.",""),IF(OR($U891="PAID",$U891="CLOSED"),IF($U891="PAID","Account paid. Action completed.","Account closed. No further action required."),CHOOSE($Z891,"Collection Email","1st Email Follow-up","2nd Email Follow-up","Escalation to Local Office","Escalation to CBE","Escalation to Roxanne")&amp;" sent "&amp;TEXT($AA891,"dd-mmm")&amp;". "&amp;IF($Z891=6,"Final escalation completed.",IF($U891="OVERDUE","Next: "&amp;$AC891&amp;" was due "&amp;TEXT($AB891,"dd-mmm")&amp;" - "&amp;(NETWORKDAYS($AB891,TODAY(),Holidays)-1)&amp;" business day(s) late. Send now.",IF($U891="DUE TOMORROW","Next: "&amp;$AC891&amp;IF($AB891&lt;=TODAY()," is due TODAY ("," is due next business day (")&amp;TEXT($AB891,"dd-mmm")&amp;").","Next: "&amp;$AC891&amp;" due "&amp;TEXT($AB891,"dd-mmm")&amp;" ("&amp;(NETWORKDAYS(TODAY(),$AB891,Holidays)-1)&amp;" business day(s) left).")))))</f>
        <v/>
      </c>
      <c r="W891" s="17">
        <f>IF($Z891="","",CHOOSE($Z891,"Collection Email","1st Follow-up","2nd Follow-up","Local Office","CBE","Roxanne")&amp;IF($Z891=6," - Final"," - Day "&amp;MAX(0,NETWORKDAYS($AA891,TODAY(),Holidays)-1)&amp;" of "&amp;CHOOSE($Z891,3,3,2,2,3))&amp;" | Total Day "&amp;MAX(0,NETWORKDAYS($N891,TODAY(),Holidays)-1))</f>
        <v/>
      </c>
      <c r="X891" s="18"/>
      <c r="Y891" s="18"/>
      <c r="Z891" s="17">
        <f>IF($N891="","",COUNT($N891:$S891))</f>
        <v/>
      </c>
      <c r="AA891" s="19">
        <f>IF($Z891="","",INT(INDEX($N891:$S891,$Z891)))</f>
        <v/>
      </c>
      <c r="AB891" s="19">
        <f>IF(OR($Z891="",$Z891=6),"",WORKDAY($AA891,CHOOSE($Z891,3,3,2,2,3),Holidays))</f>
        <v/>
      </c>
      <c r="AC891" s="17">
        <f>IF(OR($Z891="",$Z891=6),"",CHOOSE($Z891,"1st Email Follow-up","2nd Email Follow-up","Escalate Local Office","Escalate to CBE","Escalate to Roxanne"))</f>
        <v/>
      </c>
    </row>
    <row r="892" spans="13:29">
      <c r="M892" s="14"/>
      <c r="T892" s="16"/>
      <c r="U892" s="17">
        <f>IF(AND(COUNTA($A892:$L892)=0,$N892=""),"",IF($T892="Paid","PAID",IF($T892="Closed","CLOSED",IF($Z892="","",IF($Z892=6,"ESCALATED TO ROXANNE",IF(TODAY()&gt;$AB892,"OVERDUE",IF($AB892&lt;=WORKDAY(TODAY(),1,Holidays),"DUE TOMORROW",IF($Z892=4,"ESCALATED TO LOCAL OFFICE",IF($Z892=5,"ESCALATED TO CBE",IF($AA892=TODAY(),"EMAIL SENT","MONITORING"))))))))))</f>
        <v/>
      </c>
      <c r="V892" s="17">
        <f>IF($U892="",IF(AND(COUNTA($A892:$L892)&gt;0,$N892=""),"Awaiting Collection Email time stamp.",""),IF(OR($U892="PAID",$U892="CLOSED"),IF($U892="PAID","Account paid. Action completed.","Account closed. No further action required."),CHOOSE($Z892,"Collection Email","1st Email Follow-up","2nd Email Follow-up","Escalation to Local Office","Escalation to CBE","Escalation to Roxanne")&amp;" sent "&amp;TEXT($AA892,"dd-mmm")&amp;". "&amp;IF($Z892=6,"Final escalation completed.",IF($U892="OVERDUE","Next: "&amp;$AC892&amp;" was due "&amp;TEXT($AB892,"dd-mmm")&amp;" - "&amp;(NETWORKDAYS($AB892,TODAY(),Holidays)-1)&amp;" business day(s) late. Send now.",IF($U892="DUE TOMORROW","Next: "&amp;$AC892&amp;IF($AB892&lt;=TODAY()," is due TODAY ("," is due next business day (")&amp;TEXT($AB892,"dd-mmm")&amp;").","Next: "&amp;$AC892&amp;" due "&amp;TEXT($AB892,"dd-mmm")&amp;" ("&amp;(NETWORKDAYS(TODAY(),$AB892,Holidays)-1)&amp;" business day(s) left).")))))</f>
        <v/>
      </c>
      <c r="W892" s="17">
        <f>IF($Z892="","",CHOOSE($Z892,"Collection Email","1st Follow-up","2nd Follow-up","Local Office","CBE","Roxanne")&amp;IF($Z892=6," - Final"," - Day "&amp;MAX(0,NETWORKDAYS($AA892,TODAY(),Holidays)-1)&amp;" of "&amp;CHOOSE($Z892,3,3,2,2,3))&amp;" | Total Day "&amp;MAX(0,NETWORKDAYS($N892,TODAY(),Holidays)-1))</f>
        <v/>
      </c>
      <c r="X892" s="18"/>
      <c r="Y892" s="18"/>
      <c r="Z892" s="17">
        <f>IF($N892="","",COUNT($N892:$S892))</f>
        <v/>
      </c>
      <c r="AA892" s="19">
        <f>IF($Z892="","",INT(INDEX($N892:$S892,$Z892)))</f>
        <v/>
      </c>
      <c r="AB892" s="19">
        <f>IF(OR($Z892="",$Z892=6),"",WORKDAY($AA892,CHOOSE($Z892,3,3,2,2,3),Holidays))</f>
        <v/>
      </c>
      <c r="AC892" s="17">
        <f>IF(OR($Z892="",$Z892=6),"",CHOOSE($Z892,"1st Email Follow-up","2nd Email Follow-up","Escalate Local Office","Escalate to CBE","Escalate to Roxanne"))</f>
        <v/>
      </c>
    </row>
    <row r="893" spans="13:29">
      <c r="M893" s="14"/>
      <c r="T893" s="16"/>
      <c r="U893" s="17">
        <f>IF(AND(COUNTA($A893:$L893)=0,$N893=""),"",IF($T893="Paid","PAID",IF($T893="Closed","CLOSED",IF($Z893="","",IF($Z893=6,"ESCALATED TO ROXANNE",IF(TODAY()&gt;$AB893,"OVERDUE",IF($AB893&lt;=WORKDAY(TODAY(),1,Holidays),"DUE TOMORROW",IF($Z893=4,"ESCALATED TO LOCAL OFFICE",IF($Z893=5,"ESCALATED TO CBE",IF($AA893=TODAY(),"EMAIL SENT","MONITORING"))))))))))</f>
        <v/>
      </c>
      <c r="V893" s="17">
        <f>IF($U893="",IF(AND(COUNTA($A893:$L893)&gt;0,$N893=""),"Awaiting Collection Email time stamp.",""),IF(OR($U893="PAID",$U893="CLOSED"),IF($U893="PAID","Account paid. Action completed.","Account closed. No further action required."),CHOOSE($Z893,"Collection Email","1st Email Follow-up","2nd Email Follow-up","Escalation to Local Office","Escalation to CBE","Escalation to Roxanne")&amp;" sent "&amp;TEXT($AA893,"dd-mmm")&amp;". "&amp;IF($Z893=6,"Final escalation completed.",IF($U893="OVERDUE","Next: "&amp;$AC893&amp;" was due "&amp;TEXT($AB893,"dd-mmm")&amp;" - "&amp;(NETWORKDAYS($AB893,TODAY(),Holidays)-1)&amp;" business day(s) late. Send now.",IF($U893="DUE TOMORROW","Next: "&amp;$AC893&amp;IF($AB893&lt;=TODAY()," is due TODAY ("," is due next business day (")&amp;TEXT($AB893,"dd-mmm")&amp;").","Next: "&amp;$AC893&amp;" due "&amp;TEXT($AB893,"dd-mmm")&amp;" ("&amp;(NETWORKDAYS(TODAY(),$AB893,Holidays)-1)&amp;" business day(s) left).")))))</f>
        <v/>
      </c>
      <c r="W893" s="17">
        <f>IF($Z893="","",CHOOSE($Z893,"Collection Email","1st Follow-up","2nd Follow-up","Local Office","CBE","Roxanne")&amp;IF($Z893=6," - Final"," - Day "&amp;MAX(0,NETWORKDAYS($AA893,TODAY(),Holidays)-1)&amp;" of "&amp;CHOOSE($Z893,3,3,2,2,3))&amp;" | Total Day "&amp;MAX(0,NETWORKDAYS($N893,TODAY(),Holidays)-1))</f>
        <v/>
      </c>
      <c r="X893" s="18"/>
      <c r="Y893" s="18"/>
      <c r="Z893" s="17">
        <f>IF($N893="","",COUNT($N893:$S893))</f>
        <v/>
      </c>
      <c r="AA893" s="19">
        <f>IF($Z893="","",INT(INDEX($N893:$S893,$Z893)))</f>
        <v/>
      </c>
      <c r="AB893" s="19">
        <f>IF(OR($Z893="",$Z893=6),"",WORKDAY($AA893,CHOOSE($Z893,3,3,2,2,3),Holidays))</f>
        <v/>
      </c>
      <c r="AC893" s="17">
        <f>IF(OR($Z893="",$Z893=6),"",CHOOSE($Z893,"1st Email Follow-up","2nd Email Follow-up","Escalate Local Office","Escalate to CBE","Escalate to Roxanne"))</f>
        <v/>
      </c>
    </row>
    <row r="894" spans="13:29">
      <c r="M894" s="14"/>
      <c r="T894" s="16"/>
      <c r="U894" s="17">
        <f>IF(AND(COUNTA($A894:$L894)=0,$N894=""),"",IF($T894="Paid","PAID",IF($T894="Closed","CLOSED",IF($Z894="","",IF($Z894=6,"ESCALATED TO ROXANNE",IF(TODAY()&gt;$AB894,"OVERDUE",IF($AB894&lt;=WORKDAY(TODAY(),1,Holidays),"DUE TOMORROW",IF($Z894=4,"ESCALATED TO LOCAL OFFICE",IF($Z894=5,"ESCALATED TO CBE",IF($AA894=TODAY(),"EMAIL SENT","MONITORING"))))))))))</f>
        <v/>
      </c>
      <c r="V894" s="17">
        <f>IF($U894="",IF(AND(COUNTA($A894:$L894)&gt;0,$N894=""),"Awaiting Collection Email time stamp.",""),IF(OR($U894="PAID",$U894="CLOSED"),IF($U894="PAID","Account paid. Action completed.","Account closed. No further action required."),CHOOSE($Z894,"Collection Email","1st Email Follow-up","2nd Email Follow-up","Escalation to Local Office","Escalation to CBE","Escalation to Roxanne")&amp;" sent "&amp;TEXT($AA894,"dd-mmm")&amp;". "&amp;IF($Z894=6,"Final escalation completed.",IF($U894="OVERDUE","Next: "&amp;$AC894&amp;" was due "&amp;TEXT($AB894,"dd-mmm")&amp;" - "&amp;(NETWORKDAYS($AB894,TODAY(),Holidays)-1)&amp;" business day(s) late. Send now.",IF($U894="DUE TOMORROW","Next: "&amp;$AC894&amp;IF($AB894&lt;=TODAY()," is due TODAY ("," is due next business day (")&amp;TEXT($AB894,"dd-mmm")&amp;").","Next: "&amp;$AC894&amp;" due "&amp;TEXT($AB894,"dd-mmm")&amp;" ("&amp;(NETWORKDAYS(TODAY(),$AB894,Holidays)-1)&amp;" business day(s) left).")))))</f>
        <v/>
      </c>
      <c r="W894" s="17">
        <f>IF($Z894="","",CHOOSE($Z894,"Collection Email","1st Follow-up","2nd Follow-up","Local Office","CBE","Roxanne")&amp;IF($Z894=6," - Final"," - Day "&amp;MAX(0,NETWORKDAYS($AA894,TODAY(),Holidays)-1)&amp;" of "&amp;CHOOSE($Z894,3,3,2,2,3))&amp;" | Total Day "&amp;MAX(0,NETWORKDAYS($N894,TODAY(),Holidays)-1))</f>
        <v/>
      </c>
      <c r="X894" s="18"/>
      <c r="Y894" s="18"/>
      <c r="Z894" s="17">
        <f>IF($N894="","",COUNT($N894:$S894))</f>
        <v/>
      </c>
      <c r="AA894" s="19">
        <f>IF($Z894="","",INT(INDEX($N894:$S894,$Z894)))</f>
        <v/>
      </c>
      <c r="AB894" s="19">
        <f>IF(OR($Z894="",$Z894=6),"",WORKDAY($AA894,CHOOSE($Z894,3,3,2,2,3),Holidays))</f>
        <v/>
      </c>
      <c r="AC894" s="17">
        <f>IF(OR($Z894="",$Z894=6),"",CHOOSE($Z894,"1st Email Follow-up","2nd Email Follow-up","Escalate Local Office","Escalate to CBE","Escalate to Roxanne"))</f>
        <v/>
      </c>
    </row>
    <row r="895" spans="13:29">
      <c r="M895" s="14"/>
      <c r="T895" s="16"/>
      <c r="U895" s="17">
        <f>IF(AND(COUNTA($A895:$L895)=0,$N895=""),"",IF($T895="Paid","PAID",IF($T895="Closed","CLOSED",IF($Z895="","",IF($Z895=6,"ESCALATED TO ROXANNE",IF(TODAY()&gt;$AB895,"OVERDUE",IF($AB895&lt;=WORKDAY(TODAY(),1,Holidays),"DUE TOMORROW",IF($Z895=4,"ESCALATED TO LOCAL OFFICE",IF($Z895=5,"ESCALATED TO CBE",IF($AA895=TODAY(),"EMAIL SENT","MONITORING"))))))))))</f>
        <v/>
      </c>
      <c r="V895" s="17">
        <f>IF($U895="",IF(AND(COUNTA($A895:$L895)&gt;0,$N895=""),"Awaiting Collection Email time stamp.",""),IF(OR($U895="PAID",$U895="CLOSED"),IF($U895="PAID","Account paid. Action completed.","Account closed. No further action required."),CHOOSE($Z895,"Collection Email","1st Email Follow-up","2nd Email Follow-up","Escalation to Local Office","Escalation to CBE","Escalation to Roxanne")&amp;" sent "&amp;TEXT($AA895,"dd-mmm")&amp;". "&amp;IF($Z895=6,"Final escalation completed.",IF($U895="OVERDUE","Next: "&amp;$AC895&amp;" was due "&amp;TEXT($AB895,"dd-mmm")&amp;" - "&amp;(NETWORKDAYS($AB895,TODAY(),Holidays)-1)&amp;" business day(s) late. Send now.",IF($U895="DUE TOMORROW","Next: "&amp;$AC895&amp;IF($AB895&lt;=TODAY()," is due TODAY ("," is due next business day (")&amp;TEXT($AB895,"dd-mmm")&amp;").","Next: "&amp;$AC895&amp;" due "&amp;TEXT($AB895,"dd-mmm")&amp;" ("&amp;(NETWORKDAYS(TODAY(),$AB895,Holidays)-1)&amp;" business day(s) left).")))))</f>
        <v/>
      </c>
      <c r="W895" s="17">
        <f>IF($Z895="","",CHOOSE($Z895,"Collection Email","1st Follow-up","2nd Follow-up","Local Office","CBE","Roxanne")&amp;IF($Z895=6," - Final"," - Day "&amp;MAX(0,NETWORKDAYS($AA895,TODAY(),Holidays)-1)&amp;" of "&amp;CHOOSE($Z895,3,3,2,2,3))&amp;" | Total Day "&amp;MAX(0,NETWORKDAYS($N895,TODAY(),Holidays)-1))</f>
        <v/>
      </c>
      <c r="X895" s="18"/>
      <c r="Y895" s="18"/>
      <c r="Z895" s="17">
        <f>IF($N895="","",COUNT($N895:$S895))</f>
        <v/>
      </c>
      <c r="AA895" s="19">
        <f>IF($Z895="","",INT(INDEX($N895:$S895,$Z895)))</f>
        <v/>
      </c>
      <c r="AB895" s="19">
        <f>IF(OR($Z895="",$Z895=6),"",WORKDAY($AA895,CHOOSE($Z895,3,3,2,2,3),Holidays))</f>
        <v/>
      </c>
      <c r="AC895" s="17">
        <f>IF(OR($Z895="",$Z895=6),"",CHOOSE($Z895,"1st Email Follow-up","2nd Email Follow-up","Escalate Local Office","Escalate to CBE","Escalate to Roxanne"))</f>
        <v/>
      </c>
    </row>
    <row r="896" spans="13:29">
      <c r="M896" s="14"/>
      <c r="T896" s="16"/>
      <c r="U896" s="17">
        <f>IF(AND(COUNTA($A896:$L896)=0,$N896=""),"",IF($T896="Paid","PAID",IF($T896="Closed","CLOSED",IF($Z896="","",IF($Z896=6,"ESCALATED TO ROXANNE",IF(TODAY()&gt;$AB896,"OVERDUE",IF($AB896&lt;=WORKDAY(TODAY(),1,Holidays),"DUE TOMORROW",IF($Z896=4,"ESCALATED TO LOCAL OFFICE",IF($Z896=5,"ESCALATED TO CBE",IF($AA896=TODAY(),"EMAIL SENT","MONITORING"))))))))))</f>
        <v/>
      </c>
      <c r="V896" s="17">
        <f>IF($U896="",IF(AND(COUNTA($A896:$L896)&gt;0,$N896=""),"Awaiting Collection Email time stamp.",""),IF(OR($U896="PAID",$U896="CLOSED"),IF($U896="PAID","Account paid. Action completed.","Account closed. No further action required."),CHOOSE($Z896,"Collection Email","1st Email Follow-up","2nd Email Follow-up","Escalation to Local Office","Escalation to CBE","Escalation to Roxanne")&amp;" sent "&amp;TEXT($AA896,"dd-mmm")&amp;". "&amp;IF($Z896=6,"Final escalation completed.",IF($U896="OVERDUE","Next: "&amp;$AC896&amp;" was due "&amp;TEXT($AB896,"dd-mmm")&amp;" - "&amp;(NETWORKDAYS($AB896,TODAY(),Holidays)-1)&amp;" business day(s) late. Send now.",IF($U896="DUE TOMORROW","Next: "&amp;$AC896&amp;IF($AB896&lt;=TODAY()," is due TODAY ("," is due next business day (")&amp;TEXT($AB896,"dd-mmm")&amp;").","Next: "&amp;$AC896&amp;" due "&amp;TEXT($AB896,"dd-mmm")&amp;" ("&amp;(NETWORKDAYS(TODAY(),$AB896,Holidays)-1)&amp;" business day(s) left).")))))</f>
        <v/>
      </c>
      <c r="W896" s="17">
        <f>IF($Z896="","",CHOOSE($Z896,"Collection Email","1st Follow-up","2nd Follow-up","Local Office","CBE","Roxanne")&amp;IF($Z896=6," - Final"," - Day "&amp;MAX(0,NETWORKDAYS($AA896,TODAY(),Holidays)-1)&amp;" of "&amp;CHOOSE($Z896,3,3,2,2,3))&amp;" | Total Day "&amp;MAX(0,NETWORKDAYS($N896,TODAY(),Holidays)-1))</f>
        <v/>
      </c>
      <c r="X896" s="18"/>
      <c r="Y896" s="18"/>
      <c r="Z896" s="17">
        <f>IF($N896="","",COUNT($N896:$S896))</f>
        <v/>
      </c>
      <c r="AA896" s="19">
        <f>IF($Z896="","",INT(INDEX($N896:$S896,$Z896)))</f>
        <v/>
      </c>
      <c r="AB896" s="19">
        <f>IF(OR($Z896="",$Z896=6),"",WORKDAY($AA896,CHOOSE($Z896,3,3,2,2,3),Holidays))</f>
        <v/>
      </c>
      <c r="AC896" s="17">
        <f>IF(OR($Z896="",$Z896=6),"",CHOOSE($Z896,"1st Email Follow-up","2nd Email Follow-up","Escalate Local Office","Escalate to CBE","Escalate to Roxanne"))</f>
        <v/>
      </c>
    </row>
    <row r="897" spans="13:29">
      <c r="M897" s="14"/>
      <c r="T897" s="16"/>
      <c r="U897" s="17">
        <f>IF(AND(COUNTA($A897:$L897)=0,$N897=""),"",IF($T897="Paid","PAID",IF($T897="Closed","CLOSED",IF($Z897="","",IF($Z897=6,"ESCALATED TO ROXANNE",IF(TODAY()&gt;$AB897,"OVERDUE",IF($AB897&lt;=WORKDAY(TODAY(),1,Holidays),"DUE TOMORROW",IF($Z897=4,"ESCALATED TO LOCAL OFFICE",IF($Z897=5,"ESCALATED TO CBE",IF($AA897=TODAY(),"EMAIL SENT","MONITORING"))))))))))</f>
        <v/>
      </c>
      <c r="V897" s="17">
        <f>IF($U897="",IF(AND(COUNTA($A897:$L897)&gt;0,$N897=""),"Awaiting Collection Email time stamp.",""),IF(OR($U897="PAID",$U897="CLOSED"),IF($U897="PAID","Account paid. Action completed.","Account closed. No further action required."),CHOOSE($Z897,"Collection Email","1st Email Follow-up","2nd Email Follow-up","Escalation to Local Office","Escalation to CBE","Escalation to Roxanne")&amp;" sent "&amp;TEXT($AA897,"dd-mmm")&amp;". "&amp;IF($Z897=6,"Final escalation completed.",IF($U897="OVERDUE","Next: "&amp;$AC897&amp;" was due "&amp;TEXT($AB897,"dd-mmm")&amp;" - "&amp;(NETWORKDAYS($AB897,TODAY(),Holidays)-1)&amp;" business day(s) late. Send now.",IF($U897="DUE TOMORROW","Next: "&amp;$AC897&amp;IF($AB897&lt;=TODAY()," is due TODAY ("," is due next business day (")&amp;TEXT($AB897,"dd-mmm")&amp;").","Next: "&amp;$AC897&amp;" due "&amp;TEXT($AB897,"dd-mmm")&amp;" ("&amp;(NETWORKDAYS(TODAY(),$AB897,Holidays)-1)&amp;" business day(s) left).")))))</f>
        <v/>
      </c>
      <c r="W897" s="17">
        <f>IF($Z897="","",CHOOSE($Z897,"Collection Email","1st Follow-up","2nd Follow-up","Local Office","CBE","Roxanne")&amp;IF($Z897=6," - Final"," - Day "&amp;MAX(0,NETWORKDAYS($AA897,TODAY(),Holidays)-1)&amp;" of "&amp;CHOOSE($Z897,3,3,2,2,3))&amp;" | Total Day "&amp;MAX(0,NETWORKDAYS($N897,TODAY(),Holidays)-1))</f>
        <v/>
      </c>
      <c r="X897" s="18"/>
      <c r="Y897" s="18"/>
      <c r="Z897" s="17">
        <f>IF($N897="","",COUNT($N897:$S897))</f>
        <v/>
      </c>
      <c r="AA897" s="19">
        <f>IF($Z897="","",INT(INDEX($N897:$S897,$Z897)))</f>
        <v/>
      </c>
      <c r="AB897" s="19">
        <f>IF(OR($Z897="",$Z897=6),"",WORKDAY($AA897,CHOOSE($Z897,3,3,2,2,3),Holidays))</f>
        <v/>
      </c>
      <c r="AC897" s="17">
        <f>IF(OR($Z897="",$Z897=6),"",CHOOSE($Z897,"1st Email Follow-up","2nd Email Follow-up","Escalate Local Office","Escalate to CBE","Escalate to Roxanne"))</f>
        <v/>
      </c>
    </row>
    <row r="898" spans="13:29">
      <c r="M898" s="14"/>
      <c r="T898" s="16"/>
      <c r="U898" s="17">
        <f>IF(AND(COUNTA($A898:$L898)=0,$N898=""),"",IF($T898="Paid","PAID",IF($T898="Closed","CLOSED",IF($Z898="","",IF($Z898=6,"ESCALATED TO ROXANNE",IF(TODAY()&gt;$AB898,"OVERDUE",IF($AB898&lt;=WORKDAY(TODAY(),1,Holidays),"DUE TOMORROW",IF($Z898=4,"ESCALATED TO LOCAL OFFICE",IF($Z898=5,"ESCALATED TO CBE",IF($AA898=TODAY(),"EMAIL SENT","MONITORING"))))))))))</f>
        <v/>
      </c>
      <c r="V898" s="17">
        <f>IF($U898="",IF(AND(COUNTA($A898:$L898)&gt;0,$N898=""),"Awaiting Collection Email time stamp.",""),IF(OR($U898="PAID",$U898="CLOSED"),IF($U898="PAID","Account paid. Action completed.","Account closed. No further action required."),CHOOSE($Z898,"Collection Email","1st Email Follow-up","2nd Email Follow-up","Escalation to Local Office","Escalation to CBE","Escalation to Roxanne")&amp;" sent "&amp;TEXT($AA898,"dd-mmm")&amp;". "&amp;IF($Z898=6,"Final escalation completed.",IF($U898="OVERDUE","Next: "&amp;$AC898&amp;" was due "&amp;TEXT($AB898,"dd-mmm")&amp;" - "&amp;(NETWORKDAYS($AB898,TODAY(),Holidays)-1)&amp;" business day(s) late. Send now.",IF($U898="DUE TOMORROW","Next: "&amp;$AC898&amp;IF($AB898&lt;=TODAY()," is due TODAY ("," is due next business day (")&amp;TEXT($AB898,"dd-mmm")&amp;").","Next: "&amp;$AC898&amp;" due "&amp;TEXT($AB898,"dd-mmm")&amp;" ("&amp;(NETWORKDAYS(TODAY(),$AB898,Holidays)-1)&amp;" business day(s) left).")))))</f>
        <v/>
      </c>
      <c r="W898" s="17">
        <f>IF($Z898="","",CHOOSE($Z898,"Collection Email","1st Follow-up","2nd Follow-up","Local Office","CBE","Roxanne")&amp;IF($Z898=6," - Final"," - Day "&amp;MAX(0,NETWORKDAYS($AA898,TODAY(),Holidays)-1)&amp;" of "&amp;CHOOSE($Z898,3,3,2,2,3))&amp;" | Total Day "&amp;MAX(0,NETWORKDAYS($N898,TODAY(),Holidays)-1))</f>
        <v/>
      </c>
      <c r="X898" s="18"/>
      <c r="Y898" s="18"/>
      <c r="Z898" s="17">
        <f>IF($N898="","",COUNT($N898:$S898))</f>
        <v/>
      </c>
      <c r="AA898" s="19">
        <f>IF($Z898="","",INT(INDEX($N898:$S898,$Z898)))</f>
        <v/>
      </c>
      <c r="AB898" s="19">
        <f>IF(OR($Z898="",$Z898=6),"",WORKDAY($AA898,CHOOSE($Z898,3,3,2,2,3),Holidays))</f>
        <v/>
      </c>
      <c r="AC898" s="17">
        <f>IF(OR($Z898="",$Z898=6),"",CHOOSE($Z898,"1st Email Follow-up","2nd Email Follow-up","Escalate Local Office","Escalate to CBE","Escalate to Roxanne"))</f>
        <v/>
      </c>
    </row>
    <row r="899" spans="13:29">
      <c r="M899" s="14"/>
      <c r="T899" s="16"/>
      <c r="U899" s="17">
        <f>IF(AND(COUNTA($A899:$L899)=0,$N899=""),"",IF($T899="Paid","PAID",IF($T899="Closed","CLOSED",IF($Z899="","",IF($Z899=6,"ESCALATED TO ROXANNE",IF(TODAY()&gt;$AB899,"OVERDUE",IF($AB899&lt;=WORKDAY(TODAY(),1,Holidays),"DUE TOMORROW",IF($Z899=4,"ESCALATED TO LOCAL OFFICE",IF($Z899=5,"ESCALATED TO CBE",IF($AA899=TODAY(),"EMAIL SENT","MONITORING"))))))))))</f>
        <v/>
      </c>
      <c r="V899" s="17">
        <f>IF($U899="",IF(AND(COUNTA($A899:$L899)&gt;0,$N899=""),"Awaiting Collection Email time stamp.",""),IF(OR($U899="PAID",$U899="CLOSED"),IF($U899="PAID","Account paid. Action completed.","Account closed. No further action required."),CHOOSE($Z899,"Collection Email","1st Email Follow-up","2nd Email Follow-up","Escalation to Local Office","Escalation to CBE","Escalation to Roxanne")&amp;" sent "&amp;TEXT($AA899,"dd-mmm")&amp;". "&amp;IF($Z899=6,"Final escalation completed.",IF($U899="OVERDUE","Next: "&amp;$AC899&amp;" was due "&amp;TEXT($AB899,"dd-mmm")&amp;" - "&amp;(NETWORKDAYS($AB899,TODAY(),Holidays)-1)&amp;" business day(s) late. Send now.",IF($U899="DUE TOMORROW","Next: "&amp;$AC899&amp;IF($AB899&lt;=TODAY()," is due TODAY ("," is due next business day (")&amp;TEXT($AB899,"dd-mmm")&amp;").","Next: "&amp;$AC899&amp;" due "&amp;TEXT($AB899,"dd-mmm")&amp;" ("&amp;(NETWORKDAYS(TODAY(),$AB899,Holidays)-1)&amp;" business day(s) left).")))))</f>
        <v/>
      </c>
      <c r="W899" s="17">
        <f>IF($Z899="","",CHOOSE($Z899,"Collection Email","1st Follow-up","2nd Follow-up","Local Office","CBE","Roxanne")&amp;IF($Z899=6," - Final"," - Day "&amp;MAX(0,NETWORKDAYS($AA899,TODAY(),Holidays)-1)&amp;" of "&amp;CHOOSE($Z899,3,3,2,2,3))&amp;" | Total Day "&amp;MAX(0,NETWORKDAYS($N899,TODAY(),Holidays)-1))</f>
        <v/>
      </c>
      <c r="X899" s="18"/>
      <c r="Y899" s="18"/>
      <c r="Z899" s="17">
        <f>IF($N899="","",COUNT($N899:$S899))</f>
        <v/>
      </c>
      <c r="AA899" s="19">
        <f>IF($Z899="","",INT(INDEX($N899:$S899,$Z899)))</f>
        <v/>
      </c>
      <c r="AB899" s="19">
        <f>IF(OR($Z899="",$Z899=6),"",WORKDAY($AA899,CHOOSE($Z899,3,3,2,2,3),Holidays))</f>
        <v/>
      </c>
      <c r="AC899" s="17">
        <f>IF(OR($Z899="",$Z899=6),"",CHOOSE($Z899,"1st Email Follow-up","2nd Email Follow-up","Escalate Local Office","Escalate to CBE","Escalate to Roxanne"))</f>
        <v/>
      </c>
    </row>
    <row r="900" spans="13:29">
      <c r="M900" s="14"/>
      <c r="T900" s="16"/>
      <c r="U900" s="17">
        <f>IF(AND(COUNTA($A900:$L900)=0,$N900=""),"",IF($T900="Paid","PAID",IF($T900="Closed","CLOSED",IF($Z900="","",IF($Z900=6,"ESCALATED TO ROXANNE",IF(TODAY()&gt;$AB900,"OVERDUE",IF($AB900&lt;=WORKDAY(TODAY(),1,Holidays),"DUE TOMORROW",IF($Z900=4,"ESCALATED TO LOCAL OFFICE",IF($Z900=5,"ESCALATED TO CBE",IF($AA900=TODAY(),"EMAIL SENT","MONITORING"))))))))))</f>
        <v/>
      </c>
      <c r="V900" s="17">
        <f>IF($U900="",IF(AND(COUNTA($A900:$L900)&gt;0,$N900=""),"Awaiting Collection Email time stamp.",""),IF(OR($U900="PAID",$U900="CLOSED"),IF($U900="PAID","Account paid. Action completed.","Account closed. No further action required."),CHOOSE($Z900,"Collection Email","1st Email Follow-up","2nd Email Follow-up","Escalation to Local Office","Escalation to CBE","Escalation to Roxanne")&amp;" sent "&amp;TEXT($AA900,"dd-mmm")&amp;". "&amp;IF($Z900=6,"Final escalation completed.",IF($U900="OVERDUE","Next: "&amp;$AC900&amp;" was due "&amp;TEXT($AB900,"dd-mmm")&amp;" - "&amp;(NETWORKDAYS($AB900,TODAY(),Holidays)-1)&amp;" business day(s) late. Send now.",IF($U900="DUE TOMORROW","Next: "&amp;$AC900&amp;IF($AB900&lt;=TODAY()," is due TODAY ("," is due next business day (")&amp;TEXT($AB900,"dd-mmm")&amp;").","Next: "&amp;$AC900&amp;" due "&amp;TEXT($AB900,"dd-mmm")&amp;" ("&amp;(NETWORKDAYS(TODAY(),$AB900,Holidays)-1)&amp;" business day(s) left).")))))</f>
        <v/>
      </c>
      <c r="W900" s="17">
        <f>IF($Z900="","",CHOOSE($Z900,"Collection Email","1st Follow-up","2nd Follow-up","Local Office","CBE","Roxanne")&amp;IF($Z900=6," - Final"," - Day "&amp;MAX(0,NETWORKDAYS($AA900,TODAY(),Holidays)-1)&amp;" of "&amp;CHOOSE($Z900,3,3,2,2,3))&amp;" | Total Day "&amp;MAX(0,NETWORKDAYS($N900,TODAY(),Holidays)-1))</f>
        <v/>
      </c>
      <c r="X900" s="18"/>
      <c r="Y900" s="18"/>
      <c r="Z900" s="17">
        <f>IF($N900="","",COUNT($N900:$S900))</f>
        <v/>
      </c>
      <c r="AA900" s="19">
        <f>IF($Z900="","",INT(INDEX($N900:$S900,$Z900)))</f>
        <v/>
      </c>
      <c r="AB900" s="19">
        <f>IF(OR($Z900="",$Z900=6),"",WORKDAY($AA900,CHOOSE($Z900,3,3,2,2,3),Holidays))</f>
        <v/>
      </c>
      <c r="AC900" s="17">
        <f>IF(OR($Z900="",$Z900=6),"",CHOOSE($Z900,"1st Email Follow-up","2nd Email Follow-up","Escalate Local Office","Escalate to CBE","Escalate to Roxanne"))</f>
        <v/>
      </c>
    </row>
    <row r="901" spans="13:29">
      <c r="M901" s="14"/>
      <c r="T901" s="16"/>
      <c r="U901" s="17">
        <f>IF(AND(COUNTA($A901:$L901)=0,$N901=""),"",IF($T901="Paid","PAID",IF($T901="Closed","CLOSED",IF($Z901="","",IF($Z901=6,"ESCALATED TO ROXANNE",IF(TODAY()&gt;$AB901,"OVERDUE",IF($AB901&lt;=WORKDAY(TODAY(),1,Holidays),"DUE TOMORROW",IF($Z901=4,"ESCALATED TO LOCAL OFFICE",IF($Z901=5,"ESCALATED TO CBE",IF($AA901=TODAY(),"EMAIL SENT","MONITORING"))))))))))</f>
        <v/>
      </c>
      <c r="V901" s="17">
        <f>IF($U901="",IF(AND(COUNTA($A901:$L901)&gt;0,$N901=""),"Awaiting Collection Email time stamp.",""),IF(OR($U901="PAID",$U901="CLOSED"),IF($U901="PAID","Account paid. Action completed.","Account closed. No further action required."),CHOOSE($Z901,"Collection Email","1st Email Follow-up","2nd Email Follow-up","Escalation to Local Office","Escalation to CBE","Escalation to Roxanne")&amp;" sent "&amp;TEXT($AA901,"dd-mmm")&amp;". "&amp;IF($Z901=6,"Final escalation completed.",IF($U901="OVERDUE","Next: "&amp;$AC901&amp;" was due "&amp;TEXT($AB901,"dd-mmm")&amp;" - "&amp;(NETWORKDAYS($AB901,TODAY(),Holidays)-1)&amp;" business day(s) late. Send now.",IF($U901="DUE TOMORROW","Next: "&amp;$AC901&amp;IF($AB901&lt;=TODAY()," is due TODAY ("," is due next business day (")&amp;TEXT($AB901,"dd-mmm")&amp;").","Next: "&amp;$AC901&amp;" due "&amp;TEXT($AB901,"dd-mmm")&amp;" ("&amp;(NETWORKDAYS(TODAY(),$AB901,Holidays)-1)&amp;" business day(s) left).")))))</f>
        <v/>
      </c>
      <c r="W901" s="17">
        <f>IF($Z901="","",CHOOSE($Z901,"Collection Email","1st Follow-up","2nd Follow-up","Local Office","CBE","Roxanne")&amp;IF($Z901=6," - Final"," - Day "&amp;MAX(0,NETWORKDAYS($AA901,TODAY(),Holidays)-1)&amp;" of "&amp;CHOOSE($Z901,3,3,2,2,3))&amp;" | Total Day "&amp;MAX(0,NETWORKDAYS($N901,TODAY(),Holidays)-1))</f>
        <v/>
      </c>
      <c r="X901" s="18"/>
      <c r="Y901" s="18"/>
      <c r="Z901" s="17">
        <f>IF($N901="","",COUNT($N901:$S901))</f>
        <v/>
      </c>
      <c r="AA901" s="19">
        <f>IF($Z901="","",INT(INDEX($N901:$S901,$Z901)))</f>
        <v/>
      </c>
      <c r="AB901" s="19">
        <f>IF(OR($Z901="",$Z901=6),"",WORKDAY($AA901,CHOOSE($Z901,3,3,2,2,3),Holidays))</f>
        <v/>
      </c>
      <c r="AC901" s="17">
        <f>IF(OR($Z901="",$Z901=6),"",CHOOSE($Z901,"1st Email Follow-up","2nd Email Follow-up","Escalate Local Office","Escalate to CBE","Escalate to Roxanne"))</f>
        <v/>
      </c>
    </row>
    <row r="902" spans="13:29">
      <c r="M902" s="14"/>
      <c r="T902" s="16"/>
      <c r="U902" s="17">
        <f>IF(AND(COUNTA($A902:$L902)=0,$N902=""),"",IF($T902="Paid","PAID",IF($T902="Closed","CLOSED",IF($Z902="","",IF($Z902=6,"ESCALATED TO ROXANNE",IF(TODAY()&gt;$AB902,"OVERDUE",IF($AB902&lt;=WORKDAY(TODAY(),1,Holidays),"DUE TOMORROW",IF($Z902=4,"ESCALATED TO LOCAL OFFICE",IF($Z902=5,"ESCALATED TO CBE",IF($AA902=TODAY(),"EMAIL SENT","MONITORING"))))))))))</f>
        <v/>
      </c>
      <c r="V902" s="17">
        <f>IF($U902="",IF(AND(COUNTA($A902:$L902)&gt;0,$N902=""),"Awaiting Collection Email time stamp.",""),IF(OR($U902="PAID",$U902="CLOSED"),IF($U902="PAID","Account paid. Action completed.","Account closed. No further action required."),CHOOSE($Z902,"Collection Email","1st Email Follow-up","2nd Email Follow-up","Escalation to Local Office","Escalation to CBE","Escalation to Roxanne")&amp;" sent "&amp;TEXT($AA902,"dd-mmm")&amp;". "&amp;IF($Z902=6,"Final escalation completed.",IF($U902="OVERDUE","Next: "&amp;$AC902&amp;" was due "&amp;TEXT($AB902,"dd-mmm")&amp;" - "&amp;(NETWORKDAYS($AB902,TODAY(),Holidays)-1)&amp;" business day(s) late. Send now.",IF($U902="DUE TOMORROW","Next: "&amp;$AC902&amp;IF($AB902&lt;=TODAY()," is due TODAY ("," is due next business day (")&amp;TEXT($AB902,"dd-mmm")&amp;").","Next: "&amp;$AC902&amp;" due "&amp;TEXT($AB902,"dd-mmm")&amp;" ("&amp;(NETWORKDAYS(TODAY(),$AB902,Holidays)-1)&amp;" business day(s) left).")))))</f>
        <v/>
      </c>
      <c r="W902" s="17">
        <f>IF($Z902="","",CHOOSE($Z902,"Collection Email","1st Follow-up","2nd Follow-up","Local Office","CBE","Roxanne")&amp;IF($Z902=6," - Final"," - Day "&amp;MAX(0,NETWORKDAYS($AA902,TODAY(),Holidays)-1)&amp;" of "&amp;CHOOSE($Z902,3,3,2,2,3))&amp;" | Total Day "&amp;MAX(0,NETWORKDAYS($N902,TODAY(),Holidays)-1))</f>
        <v/>
      </c>
      <c r="X902" s="18"/>
      <c r="Y902" s="18"/>
      <c r="Z902" s="17">
        <f>IF($N902="","",COUNT($N902:$S902))</f>
        <v/>
      </c>
      <c r="AA902" s="19">
        <f>IF($Z902="","",INT(INDEX($N902:$S902,$Z902)))</f>
        <v/>
      </c>
      <c r="AB902" s="19">
        <f>IF(OR($Z902="",$Z902=6),"",WORKDAY($AA902,CHOOSE($Z902,3,3,2,2,3),Holidays))</f>
        <v/>
      </c>
      <c r="AC902" s="17">
        <f>IF(OR($Z902="",$Z902=6),"",CHOOSE($Z902,"1st Email Follow-up","2nd Email Follow-up","Escalate Local Office","Escalate to CBE","Escalate to Roxanne"))</f>
        <v/>
      </c>
    </row>
    <row r="903" spans="13:29">
      <c r="M903" s="14"/>
      <c r="T903" s="16"/>
      <c r="U903" s="17">
        <f>IF(AND(COUNTA($A903:$L903)=0,$N903=""),"",IF($T903="Paid","PAID",IF($T903="Closed","CLOSED",IF($Z903="","",IF($Z903=6,"ESCALATED TO ROXANNE",IF(TODAY()&gt;$AB903,"OVERDUE",IF($AB903&lt;=WORKDAY(TODAY(),1,Holidays),"DUE TOMORROW",IF($Z903=4,"ESCALATED TO LOCAL OFFICE",IF($Z903=5,"ESCALATED TO CBE",IF($AA903=TODAY(),"EMAIL SENT","MONITORING"))))))))))</f>
        <v/>
      </c>
      <c r="V903" s="17">
        <f>IF($U903="",IF(AND(COUNTA($A903:$L903)&gt;0,$N903=""),"Awaiting Collection Email time stamp.",""),IF(OR($U903="PAID",$U903="CLOSED"),IF($U903="PAID","Account paid. Action completed.","Account closed. No further action required."),CHOOSE($Z903,"Collection Email","1st Email Follow-up","2nd Email Follow-up","Escalation to Local Office","Escalation to CBE","Escalation to Roxanne")&amp;" sent "&amp;TEXT($AA903,"dd-mmm")&amp;". "&amp;IF($Z903=6,"Final escalation completed.",IF($U903="OVERDUE","Next: "&amp;$AC903&amp;" was due "&amp;TEXT($AB903,"dd-mmm")&amp;" - "&amp;(NETWORKDAYS($AB903,TODAY(),Holidays)-1)&amp;" business day(s) late. Send now.",IF($U903="DUE TOMORROW","Next: "&amp;$AC903&amp;IF($AB903&lt;=TODAY()," is due TODAY ("," is due next business day (")&amp;TEXT($AB903,"dd-mmm")&amp;").","Next: "&amp;$AC903&amp;" due "&amp;TEXT($AB903,"dd-mmm")&amp;" ("&amp;(NETWORKDAYS(TODAY(),$AB903,Holidays)-1)&amp;" business day(s) left).")))))</f>
        <v/>
      </c>
      <c r="W903" s="17">
        <f>IF($Z903="","",CHOOSE($Z903,"Collection Email","1st Follow-up","2nd Follow-up","Local Office","CBE","Roxanne")&amp;IF($Z903=6," - Final"," - Day "&amp;MAX(0,NETWORKDAYS($AA903,TODAY(),Holidays)-1)&amp;" of "&amp;CHOOSE($Z903,3,3,2,2,3))&amp;" | Total Day "&amp;MAX(0,NETWORKDAYS($N903,TODAY(),Holidays)-1))</f>
        <v/>
      </c>
      <c r="X903" s="18"/>
      <c r="Y903" s="18"/>
      <c r="Z903" s="17">
        <f>IF($N903="","",COUNT($N903:$S903))</f>
        <v/>
      </c>
      <c r="AA903" s="19">
        <f>IF($Z903="","",INT(INDEX($N903:$S903,$Z903)))</f>
        <v/>
      </c>
      <c r="AB903" s="19">
        <f>IF(OR($Z903="",$Z903=6),"",WORKDAY($AA903,CHOOSE($Z903,3,3,2,2,3),Holidays))</f>
        <v/>
      </c>
      <c r="AC903" s="17">
        <f>IF(OR($Z903="",$Z903=6),"",CHOOSE($Z903,"1st Email Follow-up","2nd Email Follow-up","Escalate Local Office","Escalate to CBE","Escalate to Roxanne"))</f>
        <v/>
      </c>
    </row>
    <row r="904" spans="13:29">
      <c r="M904" s="14"/>
      <c r="T904" s="16"/>
      <c r="U904" s="17">
        <f>IF(AND(COUNTA($A904:$L904)=0,$N904=""),"",IF($T904="Paid","PAID",IF($T904="Closed","CLOSED",IF($Z904="","",IF($Z904=6,"ESCALATED TO ROXANNE",IF(TODAY()&gt;$AB904,"OVERDUE",IF($AB904&lt;=WORKDAY(TODAY(),1,Holidays),"DUE TOMORROW",IF($Z904=4,"ESCALATED TO LOCAL OFFICE",IF($Z904=5,"ESCALATED TO CBE",IF($AA904=TODAY(),"EMAIL SENT","MONITORING"))))))))))</f>
        <v/>
      </c>
      <c r="V904" s="17">
        <f>IF($U904="",IF(AND(COUNTA($A904:$L904)&gt;0,$N904=""),"Awaiting Collection Email time stamp.",""),IF(OR($U904="PAID",$U904="CLOSED"),IF($U904="PAID","Account paid. Action completed.","Account closed. No further action required."),CHOOSE($Z904,"Collection Email","1st Email Follow-up","2nd Email Follow-up","Escalation to Local Office","Escalation to CBE","Escalation to Roxanne")&amp;" sent "&amp;TEXT($AA904,"dd-mmm")&amp;". "&amp;IF($Z904=6,"Final escalation completed.",IF($U904="OVERDUE","Next: "&amp;$AC904&amp;" was due "&amp;TEXT($AB904,"dd-mmm")&amp;" - "&amp;(NETWORKDAYS($AB904,TODAY(),Holidays)-1)&amp;" business day(s) late. Send now.",IF($U904="DUE TOMORROW","Next: "&amp;$AC904&amp;IF($AB904&lt;=TODAY()," is due TODAY ("," is due next business day (")&amp;TEXT($AB904,"dd-mmm")&amp;").","Next: "&amp;$AC904&amp;" due "&amp;TEXT($AB904,"dd-mmm")&amp;" ("&amp;(NETWORKDAYS(TODAY(),$AB904,Holidays)-1)&amp;" business day(s) left).")))))</f>
        <v/>
      </c>
      <c r="W904" s="17">
        <f>IF($Z904="","",CHOOSE($Z904,"Collection Email","1st Follow-up","2nd Follow-up","Local Office","CBE","Roxanne")&amp;IF($Z904=6," - Final"," - Day "&amp;MAX(0,NETWORKDAYS($AA904,TODAY(),Holidays)-1)&amp;" of "&amp;CHOOSE($Z904,3,3,2,2,3))&amp;" | Total Day "&amp;MAX(0,NETWORKDAYS($N904,TODAY(),Holidays)-1))</f>
        <v/>
      </c>
      <c r="X904" s="18"/>
      <c r="Y904" s="18"/>
      <c r="Z904" s="17">
        <f>IF($N904="","",COUNT($N904:$S904))</f>
        <v/>
      </c>
      <c r="AA904" s="19">
        <f>IF($Z904="","",INT(INDEX($N904:$S904,$Z904)))</f>
        <v/>
      </c>
      <c r="AB904" s="19">
        <f>IF(OR($Z904="",$Z904=6),"",WORKDAY($AA904,CHOOSE($Z904,3,3,2,2,3),Holidays))</f>
        <v/>
      </c>
      <c r="AC904" s="17">
        <f>IF(OR($Z904="",$Z904=6),"",CHOOSE($Z904,"1st Email Follow-up","2nd Email Follow-up","Escalate Local Office","Escalate to CBE","Escalate to Roxanne"))</f>
        <v/>
      </c>
    </row>
    <row r="905" spans="13:29">
      <c r="M905" s="14"/>
      <c r="T905" s="16"/>
      <c r="U905" s="17">
        <f>IF(AND(COUNTA($A905:$L905)=0,$N905=""),"",IF($T905="Paid","PAID",IF($T905="Closed","CLOSED",IF($Z905="","",IF($Z905=6,"ESCALATED TO ROXANNE",IF(TODAY()&gt;$AB905,"OVERDUE",IF($AB905&lt;=WORKDAY(TODAY(),1,Holidays),"DUE TOMORROW",IF($Z905=4,"ESCALATED TO LOCAL OFFICE",IF($Z905=5,"ESCALATED TO CBE",IF($AA905=TODAY(),"EMAIL SENT","MONITORING"))))))))))</f>
        <v/>
      </c>
      <c r="V905" s="17">
        <f>IF($U905="",IF(AND(COUNTA($A905:$L905)&gt;0,$N905=""),"Awaiting Collection Email time stamp.",""),IF(OR($U905="PAID",$U905="CLOSED"),IF($U905="PAID","Account paid. Action completed.","Account closed. No further action required."),CHOOSE($Z905,"Collection Email","1st Email Follow-up","2nd Email Follow-up","Escalation to Local Office","Escalation to CBE","Escalation to Roxanne")&amp;" sent "&amp;TEXT($AA905,"dd-mmm")&amp;". "&amp;IF($Z905=6,"Final escalation completed.",IF($U905="OVERDUE","Next: "&amp;$AC905&amp;" was due "&amp;TEXT($AB905,"dd-mmm")&amp;" - "&amp;(NETWORKDAYS($AB905,TODAY(),Holidays)-1)&amp;" business day(s) late. Send now.",IF($U905="DUE TOMORROW","Next: "&amp;$AC905&amp;IF($AB905&lt;=TODAY()," is due TODAY ("," is due next business day (")&amp;TEXT($AB905,"dd-mmm")&amp;").","Next: "&amp;$AC905&amp;" due "&amp;TEXT($AB905,"dd-mmm")&amp;" ("&amp;(NETWORKDAYS(TODAY(),$AB905,Holidays)-1)&amp;" business day(s) left).")))))</f>
        <v/>
      </c>
      <c r="W905" s="17">
        <f>IF($Z905="","",CHOOSE($Z905,"Collection Email","1st Follow-up","2nd Follow-up","Local Office","CBE","Roxanne")&amp;IF($Z905=6," - Final"," - Day "&amp;MAX(0,NETWORKDAYS($AA905,TODAY(),Holidays)-1)&amp;" of "&amp;CHOOSE($Z905,3,3,2,2,3))&amp;" | Total Day "&amp;MAX(0,NETWORKDAYS($N905,TODAY(),Holidays)-1))</f>
        <v/>
      </c>
      <c r="X905" s="18"/>
      <c r="Y905" s="18"/>
      <c r="Z905" s="17">
        <f>IF($N905="","",COUNT($N905:$S905))</f>
        <v/>
      </c>
      <c r="AA905" s="19">
        <f>IF($Z905="","",INT(INDEX($N905:$S905,$Z905)))</f>
        <v/>
      </c>
      <c r="AB905" s="19">
        <f>IF(OR($Z905="",$Z905=6),"",WORKDAY($AA905,CHOOSE($Z905,3,3,2,2,3),Holidays))</f>
        <v/>
      </c>
      <c r="AC905" s="17">
        <f>IF(OR($Z905="",$Z905=6),"",CHOOSE($Z905,"1st Email Follow-up","2nd Email Follow-up","Escalate Local Office","Escalate to CBE","Escalate to Roxanne"))</f>
        <v/>
      </c>
    </row>
    <row r="906" spans="13:29">
      <c r="M906" s="14"/>
      <c r="T906" s="16"/>
      <c r="U906" s="17">
        <f>IF(AND(COUNTA($A906:$L906)=0,$N906=""),"",IF($T906="Paid","PAID",IF($T906="Closed","CLOSED",IF($Z906="","",IF($Z906=6,"ESCALATED TO ROXANNE",IF(TODAY()&gt;$AB906,"OVERDUE",IF($AB906&lt;=WORKDAY(TODAY(),1,Holidays),"DUE TOMORROW",IF($Z906=4,"ESCALATED TO LOCAL OFFICE",IF($Z906=5,"ESCALATED TO CBE",IF($AA906=TODAY(),"EMAIL SENT","MONITORING"))))))))))</f>
        <v/>
      </c>
      <c r="V906" s="17">
        <f>IF($U906="",IF(AND(COUNTA($A906:$L906)&gt;0,$N906=""),"Awaiting Collection Email time stamp.",""),IF(OR($U906="PAID",$U906="CLOSED"),IF($U906="PAID","Account paid. Action completed.","Account closed. No further action required."),CHOOSE($Z906,"Collection Email","1st Email Follow-up","2nd Email Follow-up","Escalation to Local Office","Escalation to CBE","Escalation to Roxanne")&amp;" sent "&amp;TEXT($AA906,"dd-mmm")&amp;". "&amp;IF($Z906=6,"Final escalation completed.",IF($U906="OVERDUE","Next: "&amp;$AC906&amp;" was due "&amp;TEXT($AB906,"dd-mmm")&amp;" - "&amp;(NETWORKDAYS($AB906,TODAY(),Holidays)-1)&amp;" business day(s) late. Send now.",IF($U906="DUE TOMORROW","Next: "&amp;$AC906&amp;IF($AB906&lt;=TODAY()," is due TODAY ("," is due next business day (")&amp;TEXT($AB906,"dd-mmm")&amp;").","Next: "&amp;$AC906&amp;" due "&amp;TEXT($AB906,"dd-mmm")&amp;" ("&amp;(NETWORKDAYS(TODAY(),$AB906,Holidays)-1)&amp;" business day(s) left).")))))</f>
        <v/>
      </c>
      <c r="W906" s="17">
        <f>IF($Z906="","",CHOOSE($Z906,"Collection Email","1st Follow-up","2nd Follow-up","Local Office","CBE","Roxanne")&amp;IF($Z906=6," - Final"," - Day "&amp;MAX(0,NETWORKDAYS($AA906,TODAY(),Holidays)-1)&amp;" of "&amp;CHOOSE($Z906,3,3,2,2,3))&amp;" | Total Day "&amp;MAX(0,NETWORKDAYS($N906,TODAY(),Holidays)-1))</f>
        <v/>
      </c>
      <c r="X906" s="18"/>
      <c r="Y906" s="18"/>
      <c r="Z906" s="17">
        <f>IF($N906="","",COUNT($N906:$S906))</f>
        <v/>
      </c>
      <c r="AA906" s="19">
        <f>IF($Z906="","",INT(INDEX($N906:$S906,$Z906)))</f>
        <v/>
      </c>
      <c r="AB906" s="19">
        <f>IF(OR($Z906="",$Z906=6),"",WORKDAY($AA906,CHOOSE($Z906,3,3,2,2,3),Holidays))</f>
        <v/>
      </c>
      <c r="AC906" s="17">
        <f>IF(OR($Z906="",$Z906=6),"",CHOOSE($Z906,"1st Email Follow-up","2nd Email Follow-up","Escalate Local Office","Escalate to CBE","Escalate to Roxanne"))</f>
        <v/>
      </c>
    </row>
    <row r="907" spans="13:29">
      <c r="M907" s="14"/>
      <c r="T907" s="16"/>
      <c r="U907" s="17">
        <f>IF(AND(COUNTA($A907:$L907)=0,$N907=""),"",IF($T907="Paid","PAID",IF($T907="Closed","CLOSED",IF($Z907="","",IF($Z907=6,"ESCALATED TO ROXANNE",IF(TODAY()&gt;$AB907,"OVERDUE",IF($AB907&lt;=WORKDAY(TODAY(),1,Holidays),"DUE TOMORROW",IF($Z907=4,"ESCALATED TO LOCAL OFFICE",IF($Z907=5,"ESCALATED TO CBE",IF($AA907=TODAY(),"EMAIL SENT","MONITORING"))))))))))</f>
        <v/>
      </c>
      <c r="V907" s="17">
        <f>IF($U907="",IF(AND(COUNTA($A907:$L907)&gt;0,$N907=""),"Awaiting Collection Email time stamp.",""),IF(OR($U907="PAID",$U907="CLOSED"),IF($U907="PAID","Account paid. Action completed.","Account closed. No further action required."),CHOOSE($Z907,"Collection Email","1st Email Follow-up","2nd Email Follow-up","Escalation to Local Office","Escalation to CBE","Escalation to Roxanne")&amp;" sent "&amp;TEXT($AA907,"dd-mmm")&amp;". "&amp;IF($Z907=6,"Final escalation completed.",IF($U907="OVERDUE","Next: "&amp;$AC907&amp;" was due "&amp;TEXT($AB907,"dd-mmm")&amp;" - "&amp;(NETWORKDAYS($AB907,TODAY(),Holidays)-1)&amp;" business day(s) late. Send now.",IF($U907="DUE TOMORROW","Next: "&amp;$AC907&amp;IF($AB907&lt;=TODAY()," is due TODAY ("," is due next business day (")&amp;TEXT($AB907,"dd-mmm")&amp;").","Next: "&amp;$AC907&amp;" due "&amp;TEXT($AB907,"dd-mmm")&amp;" ("&amp;(NETWORKDAYS(TODAY(),$AB907,Holidays)-1)&amp;" business day(s) left).")))))</f>
        <v/>
      </c>
      <c r="W907" s="17">
        <f>IF($Z907="","",CHOOSE($Z907,"Collection Email","1st Follow-up","2nd Follow-up","Local Office","CBE","Roxanne")&amp;IF($Z907=6," - Final"," - Day "&amp;MAX(0,NETWORKDAYS($AA907,TODAY(),Holidays)-1)&amp;" of "&amp;CHOOSE($Z907,3,3,2,2,3))&amp;" | Total Day "&amp;MAX(0,NETWORKDAYS($N907,TODAY(),Holidays)-1))</f>
        <v/>
      </c>
      <c r="X907" s="18"/>
      <c r="Y907" s="18"/>
      <c r="Z907" s="17">
        <f>IF($N907="","",COUNT($N907:$S907))</f>
        <v/>
      </c>
      <c r="AA907" s="19">
        <f>IF($Z907="","",INT(INDEX($N907:$S907,$Z907)))</f>
        <v/>
      </c>
      <c r="AB907" s="19">
        <f>IF(OR($Z907="",$Z907=6),"",WORKDAY($AA907,CHOOSE($Z907,3,3,2,2,3),Holidays))</f>
        <v/>
      </c>
      <c r="AC907" s="17">
        <f>IF(OR($Z907="",$Z907=6),"",CHOOSE($Z907,"1st Email Follow-up","2nd Email Follow-up","Escalate Local Office","Escalate to CBE","Escalate to Roxanne"))</f>
        <v/>
      </c>
    </row>
    <row r="908" spans="13:29">
      <c r="M908" s="14"/>
      <c r="T908" s="16"/>
      <c r="U908" s="17">
        <f>IF(AND(COUNTA($A908:$L908)=0,$N908=""),"",IF($T908="Paid","PAID",IF($T908="Closed","CLOSED",IF($Z908="","",IF($Z908=6,"ESCALATED TO ROXANNE",IF(TODAY()&gt;$AB908,"OVERDUE",IF($AB908&lt;=WORKDAY(TODAY(),1,Holidays),"DUE TOMORROW",IF($Z908=4,"ESCALATED TO LOCAL OFFICE",IF($Z908=5,"ESCALATED TO CBE",IF($AA908=TODAY(),"EMAIL SENT","MONITORING"))))))))))</f>
        <v/>
      </c>
      <c r="V908" s="17">
        <f>IF($U908="",IF(AND(COUNTA($A908:$L908)&gt;0,$N908=""),"Awaiting Collection Email time stamp.",""),IF(OR($U908="PAID",$U908="CLOSED"),IF($U908="PAID","Account paid. Action completed.","Account closed. No further action required."),CHOOSE($Z908,"Collection Email","1st Email Follow-up","2nd Email Follow-up","Escalation to Local Office","Escalation to CBE","Escalation to Roxanne")&amp;" sent "&amp;TEXT($AA908,"dd-mmm")&amp;". "&amp;IF($Z908=6,"Final escalation completed.",IF($U908="OVERDUE","Next: "&amp;$AC908&amp;" was due "&amp;TEXT($AB908,"dd-mmm")&amp;" - "&amp;(NETWORKDAYS($AB908,TODAY(),Holidays)-1)&amp;" business day(s) late. Send now.",IF($U908="DUE TOMORROW","Next: "&amp;$AC908&amp;IF($AB908&lt;=TODAY()," is due TODAY ("," is due next business day (")&amp;TEXT($AB908,"dd-mmm")&amp;").","Next: "&amp;$AC908&amp;" due "&amp;TEXT($AB908,"dd-mmm")&amp;" ("&amp;(NETWORKDAYS(TODAY(),$AB908,Holidays)-1)&amp;" business day(s) left).")))))</f>
        <v/>
      </c>
      <c r="W908" s="17">
        <f>IF($Z908="","",CHOOSE($Z908,"Collection Email","1st Follow-up","2nd Follow-up","Local Office","CBE","Roxanne")&amp;IF($Z908=6," - Final"," - Day "&amp;MAX(0,NETWORKDAYS($AA908,TODAY(),Holidays)-1)&amp;" of "&amp;CHOOSE($Z908,3,3,2,2,3))&amp;" | Total Day "&amp;MAX(0,NETWORKDAYS($N908,TODAY(),Holidays)-1))</f>
        <v/>
      </c>
      <c r="X908" s="18"/>
      <c r="Y908" s="18"/>
      <c r="Z908" s="17">
        <f>IF($N908="","",COUNT($N908:$S908))</f>
        <v/>
      </c>
      <c r="AA908" s="19">
        <f>IF($Z908="","",INT(INDEX($N908:$S908,$Z908)))</f>
        <v/>
      </c>
      <c r="AB908" s="19">
        <f>IF(OR($Z908="",$Z908=6),"",WORKDAY($AA908,CHOOSE($Z908,3,3,2,2,3),Holidays))</f>
        <v/>
      </c>
      <c r="AC908" s="17">
        <f>IF(OR($Z908="",$Z908=6),"",CHOOSE($Z908,"1st Email Follow-up","2nd Email Follow-up","Escalate Local Office","Escalate to CBE","Escalate to Roxanne"))</f>
        <v/>
      </c>
    </row>
    <row r="909" spans="13:29">
      <c r="M909" s="14"/>
      <c r="T909" s="16"/>
      <c r="U909" s="17">
        <f>IF(AND(COUNTA($A909:$L909)=0,$N909=""),"",IF($T909="Paid","PAID",IF($T909="Closed","CLOSED",IF($Z909="","",IF($Z909=6,"ESCALATED TO ROXANNE",IF(TODAY()&gt;$AB909,"OVERDUE",IF($AB909&lt;=WORKDAY(TODAY(),1,Holidays),"DUE TOMORROW",IF($Z909=4,"ESCALATED TO LOCAL OFFICE",IF($Z909=5,"ESCALATED TO CBE",IF($AA909=TODAY(),"EMAIL SENT","MONITORING"))))))))))</f>
        <v/>
      </c>
      <c r="V909" s="17">
        <f>IF($U909="",IF(AND(COUNTA($A909:$L909)&gt;0,$N909=""),"Awaiting Collection Email time stamp.",""),IF(OR($U909="PAID",$U909="CLOSED"),IF($U909="PAID","Account paid. Action completed.","Account closed. No further action required."),CHOOSE($Z909,"Collection Email","1st Email Follow-up","2nd Email Follow-up","Escalation to Local Office","Escalation to CBE","Escalation to Roxanne")&amp;" sent "&amp;TEXT($AA909,"dd-mmm")&amp;". "&amp;IF($Z909=6,"Final escalation completed.",IF($U909="OVERDUE","Next: "&amp;$AC909&amp;" was due "&amp;TEXT($AB909,"dd-mmm")&amp;" - "&amp;(NETWORKDAYS($AB909,TODAY(),Holidays)-1)&amp;" business day(s) late. Send now.",IF($U909="DUE TOMORROW","Next: "&amp;$AC909&amp;IF($AB909&lt;=TODAY()," is due TODAY ("," is due next business day (")&amp;TEXT($AB909,"dd-mmm")&amp;").","Next: "&amp;$AC909&amp;" due "&amp;TEXT($AB909,"dd-mmm")&amp;" ("&amp;(NETWORKDAYS(TODAY(),$AB909,Holidays)-1)&amp;" business day(s) left).")))))</f>
        <v/>
      </c>
      <c r="W909" s="17">
        <f>IF($Z909="","",CHOOSE($Z909,"Collection Email","1st Follow-up","2nd Follow-up","Local Office","CBE","Roxanne")&amp;IF($Z909=6," - Final"," - Day "&amp;MAX(0,NETWORKDAYS($AA909,TODAY(),Holidays)-1)&amp;" of "&amp;CHOOSE($Z909,3,3,2,2,3))&amp;" | Total Day "&amp;MAX(0,NETWORKDAYS($N909,TODAY(),Holidays)-1))</f>
        <v/>
      </c>
      <c r="X909" s="18"/>
      <c r="Y909" s="18"/>
      <c r="Z909" s="17">
        <f>IF($N909="","",COUNT($N909:$S909))</f>
        <v/>
      </c>
      <c r="AA909" s="19">
        <f>IF($Z909="","",INT(INDEX($N909:$S909,$Z909)))</f>
        <v/>
      </c>
      <c r="AB909" s="19">
        <f>IF(OR($Z909="",$Z909=6),"",WORKDAY($AA909,CHOOSE($Z909,3,3,2,2,3),Holidays))</f>
        <v/>
      </c>
      <c r="AC909" s="17">
        <f>IF(OR($Z909="",$Z909=6),"",CHOOSE($Z909,"1st Email Follow-up","2nd Email Follow-up","Escalate Local Office","Escalate to CBE","Escalate to Roxanne"))</f>
        <v/>
      </c>
    </row>
    <row r="910" spans="13:29">
      <c r="M910" s="14"/>
      <c r="T910" s="16"/>
      <c r="U910" s="17">
        <f>IF(AND(COUNTA($A910:$L910)=0,$N910=""),"",IF($T910="Paid","PAID",IF($T910="Closed","CLOSED",IF($Z910="","",IF($Z910=6,"ESCALATED TO ROXANNE",IF(TODAY()&gt;$AB910,"OVERDUE",IF($AB910&lt;=WORKDAY(TODAY(),1,Holidays),"DUE TOMORROW",IF($Z910=4,"ESCALATED TO LOCAL OFFICE",IF($Z910=5,"ESCALATED TO CBE",IF($AA910=TODAY(),"EMAIL SENT","MONITORING"))))))))))</f>
        <v/>
      </c>
      <c r="V910" s="17">
        <f>IF($U910="",IF(AND(COUNTA($A910:$L910)&gt;0,$N910=""),"Awaiting Collection Email time stamp.",""),IF(OR($U910="PAID",$U910="CLOSED"),IF($U910="PAID","Account paid. Action completed.","Account closed. No further action required."),CHOOSE($Z910,"Collection Email","1st Email Follow-up","2nd Email Follow-up","Escalation to Local Office","Escalation to CBE","Escalation to Roxanne")&amp;" sent "&amp;TEXT($AA910,"dd-mmm")&amp;". "&amp;IF($Z910=6,"Final escalation completed.",IF($U910="OVERDUE","Next: "&amp;$AC910&amp;" was due "&amp;TEXT($AB910,"dd-mmm")&amp;" - "&amp;(NETWORKDAYS($AB910,TODAY(),Holidays)-1)&amp;" business day(s) late. Send now.",IF($U910="DUE TOMORROW","Next: "&amp;$AC910&amp;IF($AB910&lt;=TODAY()," is due TODAY ("," is due next business day (")&amp;TEXT($AB910,"dd-mmm")&amp;").","Next: "&amp;$AC910&amp;" due "&amp;TEXT($AB910,"dd-mmm")&amp;" ("&amp;(NETWORKDAYS(TODAY(),$AB910,Holidays)-1)&amp;" business day(s) left).")))))</f>
        <v/>
      </c>
      <c r="W910" s="17">
        <f>IF($Z910="","",CHOOSE($Z910,"Collection Email","1st Follow-up","2nd Follow-up","Local Office","CBE","Roxanne")&amp;IF($Z910=6," - Final"," - Day "&amp;MAX(0,NETWORKDAYS($AA910,TODAY(),Holidays)-1)&amp;" of "&amp;CHOOSE($Z910,3,3,2,2,3))&amp;" | Total Day "&amp;MAX(0,NETWORKDAYS($N910,TODAY(),Holidays)-1))</f>
        <v/>
      </c>
      <c r="X910" s="18"/>
      <c r="Y910" s="18"/>
      <c r="Z910" s="17">
        <f>IF($N910="","",COUNT($N910:$S910))</f>
        <v/>
      </c>
      <c r="AA910" s="19">
        <f>IF($Z910="","",INT(INDEX($N910:$S910,$Z910)))</f>
        <v/>
      </c>
      <c r="AB910" s="19">
        <f>IF(OR($Z910="",$Z910=6),"",WORKDAY($AA910,CHOOSE($Z910,3,3,2,2,3),Holidays))</f>
        <v/>
      </c>
      <c r="AC910" s="17">
        <f>IF(OR($Z910="",$Z910=6),"",CHOOSE($Z910,"1st Email Follow-up","2nd Email Follow-up","Escalate Local Office","Escalate to CBE","Escalate to Roxanne"))</f>
        <v/>
      </c>
    </row>
    <row r="911" spans="13:29">
      <c r="M911" s="14"/>
      <c r="T911" s="16"/>
      <c r="U911" s="17">
        <f>IF(AND(COUNTA($A911:$L911)=0,$N911=""),"",IF($T911="Paid","PAID",IF($T911="Closed","CLOSED",IF($Z911="","",IF($Z911=6,"ESCALATED TO ROXANNE",IF(TODAY()&gt;$AB911,"OVERDUE",IF($AB911&lt;=WORKDAY(TODAY(),1,Holidays),"DUE TOMORROW",IF($Z911=4,"ESCALATED TO LOCAL OFFICE",IF($Z911=5,"ESCALATED TO CBE",IF($AA911=TODAY(),"EMAIL SENT","MONITORING"))))))))))</f>
        <v/>
      </c>
      <c r="V911" s="17">
        <f>IF($U911="",IF(AND(COUNTA($A911:$L911)&gt;0,$N911=""),"Awaiting Collection Email time stamp.",""),IF(OR($U911="PAID",$U911="CLOSED"),IF($U911="PAID","Account paid. Action completed.","Account closed. No further action required."),CHOOSE($Z911,"Collection Email","1st Email Follow-up","2nd Email Follow-up","Escalation to Local Office","Escalation to CBE","Escalation to Roxanne")&amp;" sent "&amp;TEXT($AA911,"dd-mmm")&amp;". "&amp;IF($Z911=6,"Final escalation completed.",IF($U911="OVERDUE","Next: "&amp;$AC911&amp;" was due "&amp;TEXT($AB911,"dd-mmm")&amp;" - "&amp;(NETWORKDAYS($AB911,TODAY(),Holidays)-1)&amp;" business day(s) late. Send now.",IF($U911="DUE TOMORROW","Next: "&amp;$AC911&amp;IF($AB911&lt;=TODAY()," is due TODAY ("," is due next business day (")&amp;TEXT($AB911,"dd-mmm")&amp;").","Next: "&amp;$AC911&amp;" due "&amp;TEXT($AB911,"dd-mmm")&amp;" ("&amp;(NETWORKDAYS(TODAY(),$AB911,Holidays)-1)&amp;" business day(s) left).")))))</f>
        <v/>
      </c>
      <c r="W911" s="17">
        <f>IF($Z911="","",CHOOSE($Z911,"Collection Email","1st Follow-up","2nd Follow-up","Local Office","CBE","Roxanne")&amp;IF($Z911=6," - Final"," - Day "&amp;MAX(0,NETWORKDAYS($AA911,TODAY(),Holidays)-1)&amp;" of "&amp;CHOOSE($Z911,3,3,2,2,3))&amp;" | Total Day "&amp;MAX(0,NETWORKDAYS($N911,TODAY(),Holidays)-1))</f>
        <v/>
      </c>
      <c r="X911" s="18"/>
      <c r="Y911" s="18"/>
      <c r="Z911" s="17">
        <f>IF($N911="","",COUNT($N911:$S911))</f>
        <v/>
      </c>
      <c r="AA911" s="19">
        <f>IF($Z911="","",INT(INDEX($N911:$S911,$Z911)))</f>
        <v/>
      </c>
      <c r="AB911" s="19">
        <f>IF(OR($Z911="",$Z911=6),"",WORKDAY($AA911,CHOOSE($Z911,3,3,2,2,3),Holidays))</f>
        <v/>
      </c>
      <c r="AC911" s="17">
        <f>IF(OR($Z911="",$Z911=6),"",CHOOSE($Z911,"1st Email Follow-up","2nd Email Follow-up","Escalate Local Office","Escalate to CBE","Escalate to Roxanne"))</f>
        <v/>
      </c>
    </row>
    <row r="912" spans="13:29">
      <c r="M912" s="14"/>
      <c r="T912" s="16"/>
      <c r="U912" s="17">
        <f>IF(AND(COUNTA($A912:$L912)=0,$N912=""),"",IF($T912="Paid","PAID",IF($T912="Closed","CLOSED",IF($Z912="","",IF($Z912=6,"ESCALATED TO ROXANNE",IF(TODAY()&gt;$AB912,"OVERDUE",IF($AB912&lt;=WORKDAY(TODAY(),1,Holidays),"DUE TOMORROW",IF($Z912=4,"ESCALATED TO LOCAL OFFICE",IF($Z912=5,"ESCALATED TO CBE",IF($AA912=TODAY(),"EMAIL SENT","MONITORING"))))))))))</f>
        <v/>
      </c>
      <c r="V912" s="17">
        <f>IF($U912="",IF(AND(COUNTA($A912:$L912)&gt;0,$N912=""),"Awaiting Collection Email time stamp.",""),IF(OR($U912="PAID",$U912="CLOSED"),IF($U912="PAID","Account paid. Action completed.","Account closed. No further action required."),CHOOSE($Z912,"Collection Email","1st Email Follow-up","2nd Email Follow-up","Escalation to Local Office","Escalation to CBE","Escalation to Roxanne")&amp;" sent "&amp;TEXT($AA912,"dd-mmm")&amp;". "&amp;IF($Z912=6,"Final escalation completed.",IF($U912="OVERDUE","Next: "&amp;$AC912&amp;" was due "&amp;TEXT($AB912,"dd-mmm")&amp;" - "&amp;(NETWORKDAYS($AB912,TODAY(),Holidays)-1)&amp;" business day(s) late. Send now.",IF($U912="DUE TOMORROW","Next: "&amp;$AC912&amp;IF($AB912&lt;=TODAY()," is due TODAY ("," is due next business day (")&amp;TEXT($AB912,"dd-mmm")&amp;").","Next: "&amp;$AC912&amp;" due "&amp;TEXT($AB912,"dd-mmm")&amp;" ("&amp;(NETWORKDAYS(TODAY(),$AB912,Holidays)-1)&amp;" business day(s) left).")))))</f>
        <v/>
      </c>
      <c r="W912" s="17">
        <f>IF($Z912="","",CHOOSE($Z912,"Collection Email","1st Follow-up","2nd Follow-up","Local Office","CBE","Roxanne")&amp;IF($Z912=6," - Final"," - Day "&amp;MAX(0,NETWORKDAYS($AA912,TODAY(),Holidays)-1)&amp;" of "&amp;CHOOSE($Z912,3,3,2,2,3))&amp;" | Total Day "&amp;MAX(0,NETWORKDAYS($N912,TODAY(),Holidays)-1))</f>
        <v/>
      </c>
      <c r="X912" s="18"/>
      <c r="Y912" s="18"/>
      <c r="Z912" s="17">
        <f>IF($N912="","",COUNT($N912:$S912))</f>
        <v/>
      </c>
      <c r="AA912" s="19">
        <f>IF($Z912="","",INT(INDEX($N912:$S912,$Z912)))</f>
        <v/>
      </c>
      <c r="AB912" s="19">
        <f>IF(OR($Z912="",$Z912=6),"",WORKDAY($AA912,CHOOSE($Z912,3,3,2,2,3),Holidays))</f>
        <v/>
      </c>
      <c r="AC912" s="17">
        <f>IF(OR($Z912="",$Z912=6),"",CHOOSE($Z912,"1st Email Follow-up","2nd Email Follow-up","Escalate Local Office","Escalate to CBE","Escalate to Roxanne"))</f>
        <v/>
      </c>
    </row>
    <row r="913" spans="13:29">
      <c r="M913" s="14"/>
      <c r="T913" s="16"/>
      <c r="U913" s="17">
        <f>IF(AND(COUNTA($A913:$L913)=0,$N913=""),"",IF($T913="Paid","PAID",IF($T913="Closed","CLOSED",IF($Z913="","",IF($Z913=6,"ESCALATED TO ROXANNE",IF(TODAY()&gt;$AB913,"OVERDUE",IF($AB913&lt;=WORKDAY(TODAY(),1,Holidays),"DUE TOMORROW",IF($Z913=4,"ESCALATED TO LOCAL OFFICE",IF($Z913=5,"ESCALATED TO CBE",IF($AA913=TODAY(),"EMAIL SENT","MONITORING"))))))))))</f>
        <v/>
      </c>
      <c r="V913" s="17">
        <f>IF($U913="",IF(AND(COUNTA($A913:$L913)&gt;0,$N913=""),"Awaiting Collection Email time stamp.",""),IF(OR($U913="PAID",$U913="CLOSED"),IF($U913="PAID","Account paid. Action completed.","Account closed. No further action required."),CHOOSE($Z913,"Collection Email","1st Email Follow-up","2nd Email Follow-up","Escalation to Local Office","Escalation to CBE","Escalation to Roxanne")&amp;" sent "&amp;TEXT($AA913,"dd-mmm")&amp;". "&amp;IF($Z913=6,"Final escalation completed.",IF($U913="OVERDUE","Next: "&amp;$AC913&amp;" was due "&amp;TEXT($AB913,"dd-mmm")&amp;" - "&amp;(NETWORKDAYS($AB913,TODAY(),Holidays)-1)&amp;" business day(s) late. Send now.",IF($U913="DUE TOMORROW","Next: "&amp;$AC913&amp;IF($AB913&lt;=TODAY()," is due TODAY ("," is due next business day (")&amp;TEXT($AB913,"dd-mmm")&amp;").","Next: "&amp;$AC913&amp;" due "&amp;TEXT($AB913,"dd-mmm")&amp;" ("&amp;(NETWORKDAYS(TODAY(),$AB913,Holidays)-1)&amp;" business day(s) left).")))))</f>
        <v/>
      </c>
      <c r="W913" s="17">
        <f>IF($Z913="","",CHOOSE($Z913,"Collection Email","1st Follow-up","2nd Follow-up","Local Office","CBE","Roxanne")&amp;IF($Z913=6," - Final"," - Day "&amp;MAX(0,NETWORKDAYS($AA913,TODAY(),Holidays)-1)&amp;" of "&amp;CHOOSE($Z913,3,3,2,2,3))&amp;" | Total Day "&amp;MAX(0,NETWORKDAYS($N913,TODAY(),Holidays)-1))</f>
        <v/>
      </c>
      <c r="X913" s="18"/>
      <c r="Y913" s="18"/>
      <c r="Z913" s="17">
        <f>IF($N913="","",COUNT($N913:$S913))</f>
        <v/>
      </c>
      <c r="AA913" s="19">
        <f>IF($Z913="","",INT(INDEX($N913:$S913,$Z913)))</f>
        <v/>
      </c>
      <c r="AB913" s="19">
        <f>IF(OR($Z913="",$Z913=6),"",WORKDAY($AA913,CHOOSE($Z913,3,3,2,2,3),Holidays))</f>
        <v/>
      </c>
      <c r="AC913" s="17">
        <f>IF(OR($Z913="",$Z913=6),"",CHOOSE($Z913,"1st Email Follow-up","2nd Email Follow-up","Escalate Local Office","Escalate to CBE","Escalate to Roxanne"))</f>
        <v/>
      </c>
    </row>
    <row r="914" spans="13:29">
      <c r="M914" s="14"/>
      <c r="T914" s="16"/>
      <c r="U914" s="17">
        <f>IF(AND(COUNTA($A914:$L914)=0,$N914=""),"",IF($T914="Paid","PAID",IF($T914="Closed","CLOSED",IF($Z914="","",IF($Z914=6,"ESCALATED TO ROXANNE",IF(TODAY()&gt;$AB914,"OVERDUE",IF($AB914&lt;=WORKDAY(TODAY(),1,Holidays),"DUE TOMORROW",IF($Z914=4,"ESCALATED TO LOCAL OFFICE",IF($Z914=5,"ESCALATED TO CBE",IF($AA914=TODAY(),"EMAIL SENT","MONITORING"))))))))))</f>
        <v/>
      </c>
      <c r="V914" s="17">
        <f>IF($U914="",IF(AND(COUNTA($A914:$L914)&gt;0,$N914=""),"Awaiting Collection Email time stamp.",""),IF(OR($U914="PAID",$U914="CLOSED"),IF($U914="PAID","Account paid. Action completed.","Account closed. No further action required."),CHOOSE($Z914,"Collection Email","1st Email Follow-up","2nd Email Follow-up","Escalation to Local Office","Escalation to CBE","Escalation to Roxanne")&amp;" sent "&amp;TEXT($AA914,"dd-mmm")&amp;". "&amp;IF($Z914=6,"Final escalation completed.",IF($U914="OVERDUE","Next: "&amp;$AC914&amp;" was due "&amp;TEXT($AB914,"dd-mmm")&amp;" - "&amp;(NETWORKDAYS($AB914,TODAY(),Holidays)-1)&amp;" business day(s) late. Send now.",IF($U914="DUE TOMORROW","Next: "&amp;$AC914&amp;IF($AB914&lt;=TODAY()," is due TODAY ("," is due next business day (")&amp;TEXT($AB914,"dd-mmm")&amp;").","Next: "&amp;$AC914&amp;" due "&amp;TEXT($AB914,"dd-mmm")&amp;" ("&amp;(NETWORKDAYS(TODAY(),$AB914,Holidays)-1)&amp;" business day(s) left).")))))</f>
        <v/>
      </c>
      <c r="W914" s="17">
        <f>IF($Z914="","",CHOOSE($Z914,"Collection Email","1st Follow-up","2nd Follow-up","Local Office","CBE","Roxanne")&amp;IF($Z914=6," - Final"," - Day "&amp;MAX(0,NETWORKDAYS($AA914,TODAY(),Holidays)-1)&amp;" of "&amp;CHOOSE($Z914,3,3,2,2,3))&amp;" | Total Day "&amp;MAX(0,NETWORKDAYS($N914,TODAY(),Holidays)-1))</f>
        <v/>
      </c>
      <c r="X914" s="18"/>
      <c r="Y914" s="18"/>
      <c r="Z914" s="17">
        <f>IF($N914="","",COUNT($N914:$S914))</f>
        <v/>
      </c>
      <c r="AA914" s="19">
        <f>IF($Z914="","",INT(INDEX($N914:$S914,$Z914)))</f>
        <v/>
      </c>
      <c r="AB914" s="19">
        <f>IF(OR($Z914="",$Z914=6),"",WORKDAY($AA914,CHOOSE($Z914,3,3,2,2,3),Holidays))</f>
        <v/>
      </c>
      <c r="AC914" s="17">
        <f>IF(OR($Z914="",$Z914=6),"",CHOOSE($Z914,"1st Email Follow-up","2nd Email Follow-up","Escalate Local Office","Escalate to CBE","Escalate to Roxanne"))</f>
        <v/>
      </c>
    </row>
    <row r="915" spans="13:29">
      <c r="M915" s="14"/>
      <c r="T915" s="16"/>
      <c r="U915" s="17">
        <f>IF(AND(COUNTA($A915:$L915)=0,$N915=""),"",IF($T915="Paid","PAID",IF($T915="Closed","CLOSED",IF($Z915="","",IF($Z915=6,"ESCALATED TO ROXANNE",IF(TODAY()&gt;$AB915,"OVERDUE",IF($AB915&lt;=WORKDAY(TODAY(),1,Holidays),"DUE TOMORROW",IF($Z915=4,"ESCALATED TO LOCAL OFFICE",IF($Z915=5,"ESCALATED TO CBE",IF($AA915=TODAY(),"EMAIL SENT","MONITORING"))))))))))</f>
        <v/>
      </c>
      <c r="V915" s="17">
        <f>IF($U915="",IF(AND(COUNTA($A915:$L915)&gt;0,$N915=""),"Awaiting Collection Email time stamp.",""),IF(OR($U915="PAID",$U915="CLOSED"),IF($U915="PAID","Account paid. Action completed.","Account closed. No further action required."),CHOOSE($Z915,"Collection Email","1st Email Follow-up","2nd Email Follow-up","Escalation to Local Office","Escalation to CBE","Escalation to Roxanne")&amp;" sent "&amp;TEXT($AA915,"dd-mmm")&amp;". "&amp;IF($Z915=6,"Final escalation completed.",IF($U915="OVERDUE","Next: "&amp;$AC915&amp;" was due "&amp;TEXT($AB915,"dd-mmm")&amp;" - "&amp;(NETWORKDAYS($AB915,TODAY(),Holidays)-1)&amp;" business day(s) late. Send now.",IF($U915="DUE TOMORROW","Next: "&amp;$AC915&amp;IF($AB915&lt;=TODAY()," is due TODAY ("," is due next business day (")&amp;TEXT($AB915,"dd-mmm")&amp;").","Next: "&amp;$AC915&amp;" due "&amp;TEXT($AB915,"dd-mmm")&amp;" ("&amp;(NETWORKDAYS(TODAY(),$AB915,Holidays)-1)&amp;" business day(s) left).")))))</f>
        <v/>
      </c>
      <c r="W915" s="17">
        <f>IF($Z915="","",CHOOSE($Z915,"Collection Email","1st Follow-up","2nd Follow-up","Local Office","CBE","Roxanne")&amp;IF($Z915=6," - Final"," - Day "&amp;MAX(0,NETWORKDAYS($AA915,TODAY(),Holidays)-1)&amp;" of "&amp;CHOOSE($Z915,3,3,2,2,3))&amp;" | Total Day "&amp;MAX(0,NETWORKDAYS($N915,TODAY(),Holidays)-1))</f>
        <v/>
      </c>
      <c r="X915" s="18"/>
      <c r="Y915" s="18"/>
      <c r="Z915" s="17">
        <f>IF($N915="","",COUNT($N915:$S915))</f>
        <v/>
      </c>
      <c r="AA915" s="19">
        <f>IF($Z915="","",INT(INDEX($N915:$S915,$Z915)))</f>
        <v/>
      </c>
      <c r="AB915" s="19">
        <f>IF(OR($Z915="",$Z915=6),"",WORKDAY($AA915,CHOOSE($Z915,3,3,2,2,3),Holidays))</f>
        <v/>
      </c>
      <c r="AC915" s="17">
        <f>IF(OR($Z915="",$Z915=6),"",CHOOSE($Z915,"1st Email Follow-up","2nd Email Follow-up","Escalate Local Office","Escalate to CBE","Escalate to Roxanne"))</f>
        <v/>
      </c>
    </row>
    <row r="916" spans="13:29">
      <c r="M916" s="14"/>
      <c r="T916" s="16"/>
      <c r="U916" s="17">
        <f>IF(AND(COUNTA($A916:$L916)=0,$N916=""),"",IF($T916="Paid","PAID",IF($T916="Closed","CLOSED",IF($Z916="","",IF($Z916=6,"ESCALATED TO ROXANNE",IF(TODAY()&gt;$AB916,"OVERDUE",IF($AB916&lt;=WORKDAY(TODAY(),1,Holidays),"DUE TOMORROW",IF($Z916=4,"ESCALATED TO LOCAL OFFICE",IF($Z916=5,"ESCALATED TO CBE",IF($AA916=TODAY(),"EMAIL SENT","MONITORING"))))))))))</f>
        <v/>
      </c>
      <c r="V916" s="17">
        <f>IF($U916="",IF(AND(COUNTA($A916:$L916)&gt;0,$N916=""),"Awaiting Collection Email time stamp.",""),IF(OR($U916="PAID",$U916="CLOSED"),IF($U916="PAID","Account paid. Action completed.","Account closed. No further action required."),CHOOSE($Z916,"Collection Email","1st Email Follow-up","2nd Email Follow-up","Escalation to Local Office","Escalation to CBE","Escalation to Roxanne")&amp;" sent "&amp;TEXT($AA916,"dd-mmm")&amp;". "&amp;IF($Z916=6,"Final escalation completed.",IF($U916="OVERDUE","Next: "&amp;$AC916&amp;" was due "&amp;TEXT($AB916,"dd-mmm")&amp;" - "&amp;(NETWORKDAYS($AB916,TODAY(),Holidays)-1)&amp;" business day(s) late. Send now.",IF($U916="DUE TOMORROW","Next: "&amp;$AC916&amp;IF($AB916&lt;=TODAY()," is due TODAY ("," is due next business day (")&amp;TEXT($AB916,"dd-mmm")&amp;").","Next: "&amp;$AC916&amp;" due "&amp;TEXT($AB916,"dd-mmm")&amp;" ("&amp;(NETWORKDAYS(TODAY(),$AB916,Holidays)-1)&amp;" business day(s) left).")))))</f>
        <v/>
      </c>
      <c r="W916" s="17">
        <f>IF($Z916="","",CHOOSE($Z916,"Collection Email","1st Follow-up","2nd Follow-up","Local Office","CBE","Roxanne")&amp;IF($Z916=6," - Final"," - Day "&amp;MAX(0,NETWORKDAYS($AA916,TODAY(),Holidays)-1)&amp;" of "&amp;CHOOSE($Z916,3,3,2,2,3))&amp;" | Total Day "&amp;MAX(0,NETWORKDAYS($N916,TODAY(),Holidays)-1))</f>
        <v/>
      </c>
      <c r="X916" s="18"/>
      <c r="Y916" s="18"/>
      <c r="Z916" s="17">
        <f>IF($N916="","",COUNT($N916:$S916))</f>
        <v/>
      </c>
      <c r="AA916" s="19">
        <f>IF($Z916="","",INT(INDEX($N916:$S916,$Z916)))</f>
        <v/>
      </c>
      <c r="AB916" s="19">
        <f>IF(OR($Z916="",$Z916=6),"",WORKDAY($AA916,CHOOSE($Z916,3,3,2,2,3),Holidays))</f>
        <v/>
      </c>
      <c r="AC916" s="17">
        <f>IF(OR($Z916="",$Z916=6),"",CHOOSE($Z916,"1st Email Follow-up","2nd Email Follow-up","Escalate Local Office","Escalate to CBE","Escalate to Roxanne"))</f>
        <v/>
      </c>
    </row>
    <row r="917" spans="13:29">
      <c r="M917" s="14"/>
      <c r="T917" s="16"/>
      <c r="U917" s="17">
        <f>IF(AND(COUNTA($A917:$L917)=0,$N917=""),"",IF($T917="Paid","PAID",IF($T917="Closed","CLOSED",IF($Z917="","",IF($Z917=6,"ESCALATED TO ROXANNE",IF(TODAY()&gt;$AB917,"OVERDUE",IF($AB917&lt;=WORKDAY(TODAY(),1,Holidays),"DUE TOMORROW",IF($Z917=4,"ESCALATED TO LOCAL OFFICE",IF($Z917=5,"ESCALATED TO CBE",IF($AA917=TODAY(),"EMAIL SENT","MONITORING"))))))))))</f>
        <v/>
      </c>
      <c r="V917" s="17">
        <f>IF($U917="",IF(AND(COUNTA($A917:$L917)&gt;0,$N917=""),"Awaiting Collection Email time stamp.",""),IF(OR($U917="PAID",$U917="CLOSED"),IF($U917="PAID","Account paid. Action completed.","Account closed. No further action required."),CHOOSE($Z917,"Collection Email","1st Email Follow-up","2nd Email Follow-up","Escalation to Local Office","Escalation to CBE","Escalation to Roxanne")&amp;" sent "&amp;TEXT($AA917,"dd-mmm")&amp;". "&amp;IF($Z917=6,"Final escalation completed.",IF($U917="OVERDUE","Next: "&amp;$AC917&amp;" was due "&amp;TEXT($AB917,"dd-mmm")&amp;" - "&amp;(NETWORKDAYS($AB917,TODAY(),Holidays)-1)&amp;" business day(s) late. Send now.",IF($U917="DUE TOMORROW","Next: "&amp;$AC917&amp;IF($AB917&lt;=TODAY()," is due TODAY ("," is due next business day (")&amp;TEXT($AB917,"dd-mmm")&amp;").","Next: "&amp;$AC917&amp;" due "&amp;TEXT($AB917,"dd-mmm")&amp;" ("&amp;(NETWORKDAYS(TODAY(),$AB917,Holidays)-1)&amp;" business day(s) left).")))))</f>
        <v/>
      </c>
      <c r="W917" s="17">
        <f>IF($Z917="","",CHOOSE($Z917,"Collection Email","1st Follow-up","2nd Follow-up","Local Office","CBE","Roxanne")&amp;IF($Z917=6," - Final"," - Day "&amp;MAX(0,NETWORKDAYS($AA917,TODAY(),Holidays)-1)&amp;" of "&amp;CHOOSE($Z917,3,3,2,2,3))&amp;" | Total Day "&amp;MAX(0,NETWORKDAYS($N917,TODAY(),Holidays)-1))</f>
        <v/>
      </c>
      <c r="X917" s="18"/>
      <c r="Y917" s="18"/>
      <c r="Z917" s="17">
        <f>IF($N917="","",COUNT($N917:$S917))</f>
        <v/>
      </c>
      <c r="AA917" s="19">
        <f>IF($Z917="","",INT(INDEX($N917:$S917,$Z917)))</f>
        <v/>
      </c>
      <c r="AB917" s="19">
        <f>IF(OR($Z917="",$Z917=6),"",WORKDAY($AA917,CHOOSE($Z917,3,3,2,2,3),Holidays))</f>
        <v/>
      </c>
      <c r="AC917" s="17">
        <f>IF(OR($Z917="",$Z917=6),"",CHOOSE($Z917,"1st Email Follow-up","2nd Email Follow-up","Escalate Local Office","Escalate to CBE","Escalate to Roxanne"))</f>
        <v/>
      </c>
    </row>
    <row r="918" spans="13:29">
      <c r="M918" s="14"/>
      <c r="T918" s="16"/>
      <c r="U918" s="17">
        <f>IF(AND(COUNTA($A918:$L918)=0,$N918=""),"",IF($T918="Paid","PAID",IF($T918="Closed","CLOSED",IF($Z918="","",IF($Z918=6,"ESCALATED TO ROXANNE",IF(TODAY()&gt;$AB918,"OVERDUE",IF($AB918&lt;=WORKDAY(TODAY(),1,Holidays),"DUE TOMORROW",IF($Z918=4,"ESCALATED TO LOCAL OFFICE",IF($Z918=5,"ESCALATED TO CBE",IF($AA918=TODAY(),"EMAIL SENT","MONITORING"))))))))))</f>
        <v/>
      </c>
      <c r="V918" s="17">
        <f>IF($U918="",IF(AND(COUNTA($A918:$L918)&gt;0,$N918=""),"Awaiting Collection Email time stamp.",""),IF(OR($U918="PAID",$U918="CLOSED"),IF($U918="PAID","Account paid. Action completed.","Account closed. No further action required."),CHOOSE($Z918,"Collection Email","1st Email Follow-up","2nd Email Follow-up","Escalation to Local Office","Escalation to CBE","Escalation to Roxanne")&amp;" sent "&amp;TEXT($AA918,"dd-mmm")&amp;". "&amp;IF($Z918=6,"Final escalation completed.",IF($U918="OVERDUE","Next: "&amp;$AC918&amp;" was due "&amp;TEXT($AB918,"dd-mmm")&amp;" - "&amp;(NETWORKDAYS($AB918,TODAY(),Holidays)-1)&amp;" business day(s) late. Send now.",IF($U918="DUE TOMORROW","Next: "&amp;$AC918&amp;IF($AB918&lt;=TODAY()," is due TODAY ("," is due next business day (")&amp;TEXT($AB918,"dd-mmm")&amp;").","Next: "&amp;$AC918&amp;" due "&amp;TEXT($AB918,"dd-mmm")&amp;" ("&amp;(NETWORKDAYS(TODAY(),$AB918,Holidays)-1)&amp;" business day(s) left).")))))</f>
        <v/>
      </c>
      <c r="W918" s="17">
        <f>IF($Z918="","",CHOOSE($Z918,"Collection Email","1st Follow-up","2nd Follow-up","Local Office","CBE","Roxanne")&amp;IF($Z918=6," - Final"," - Day "&amp;MAX(0,NETWORKDAYS($AA918,TODAY(),Holidays)-1)&amp;" of "&amp;CHOOSE($Z918,3,3,2,2,3))&amp;" | Total Day "&amp;MAX(0,NETWORKDAYS($N918,TODAY(),Holidays)-1))</f>
        <v/>
      </c>
      <c r="X918" s="18"/>
      <c r="Y918" s="18"/>
      <c r="Z918" s="17">
        <f>IF($N918="","",COUNT($N918:$S918))</f>
        <v/>
      </c>
      <c r="AA918" s="19">
        <f>IF($Z918="","",INT(INDEX($N918:$S918,$Z918)))</f>
        <v/>
      </c>
      <c r="AB918" s="19">
        <f>IF(OR($Z918="",$Z918=6),"",WORKDAY($AA918,CHOOSE($Z918,3,3,2,2,3),Holidays))</f>
        <v/>
      </c>
      <c r="AC918" s="17">
        <f>IF(OR($Z918="",$Z918=6),"",CHOOSE($Z918,"1st Email Follow-up","2nd Email Follow-up","Escalate Local Office","Escalate to CBE","Escalate to Roxanne"))</f>
        <v/>
      </c>
    </row>
    <row r="919" spans="13:29">
      <c r="M919" s="14"/>
      <c r="T919" s="16"/>
      <c r="U919" s="17">
        <f>IF(AND(COUNTA($A919:$L919)=0,$N919=""),"",IF($T919="Paid","PAID",IF($T919="Closed","CLOSED",IF($Z919="","",IF($Z919=6,"ESCALATED TO ROXANNE",IF(TODAY()&gt;$AB919,"OVERDUE",IF($AB919&lt;=WORKDAY(TODAY(),1,Holidays),"DUE TOMORROW",IF($Z919=4,"ESCALATED TO LOCAL OFFICE",IF($Z919=5,"ESCALATED TO CBE",IF($AA919=TODAY(),"EMAIL SENT","MONITORING"))))))))))</f>
        <v/>
      </c>
      <c r="V919" s="17">
        <f>IF($U919="",IF(AND(COUNTA($A919:$L919)&gt;0,$N919=""),"Awaiting Collection Email time stamp.",""),IF(OR($U919="PAID",$U919="CLOSED"),IF($U919="PAID","Account paid. Action completed.","Account closed. No further action required."),CHOOSE($Z919,"Collection Email","1st Email Follow-up","2nd Email Follow-up","Escalation to Local Office","Escalation to CBE","Escalation to Roxanne")&amp;" sent "&amp;TEXT($AA919,"dd-mmm")&amp;". "&amp;IF($Z919=6,"Final escalation completed.",IF($U919="OVERDUE","Next: "&amp;$AC919&amp;" was due "&amp;TEXT($AB919,"dd-mmm")&amp;" - "&amp;(NETWORKDAYS($AB919,TODAY(),Holidays)-1)&amp;" business day(s) late. Send now.",IF($U919="DUE TOMORROW","Next: "&amp;$AC919&amp;IF($AB919&lt;=TODAY()," is due TODAY ("," is due next business day (")&amp;TEXT($AB919,"dd-mmm")&amp;").","Next: "&amp;$AC919&amp;" due "&amp;TEXT($AB919,"dd-mmm")&amp;" ("&amp;(NETWORKDAYS(TODAY(),$AB919,Holidays)-1)&amp;" business day(s) left).")))))</f>
        <v/>
      </c>
      <c r="W919" s="17">
        <f>IF($Z919="","",CHOOSE($Z919,"Collection Email","1st Follow-up","2nd Follow-up","Local Office","CBE","Roxanne")&amp;IF($Z919=6," - Final"," - Day "&amp;MAX(0,NETWORKDAYS($AA919,TODAY(),Holidays)-1)&amp;" of "&amp;CHOOSE($Z919,3,3,2,2,3))&amp;" | Total Day "&amp;MAX(0,NETWORKDAYS($N919,TODAY(),Holidays)-1))</f>
        <v/>
      </c>
      <c r="X919" s="18"/>
      <c r="Y919" s="18"/>
      <c r="Z919" s="17">
        <f>IF($N919="","",COUNT($N919:$S919))</f>
        <v/>
      </c>
      <c r="AA919" s="19">
        <f>IF($Z919="","",INT(INDEX($N919:$S919,$Z919)))</f>
        <v/>
      </c>
      <c r="AB919" s="19">
        <f>IF(OR($Z919="",$Z919=6),"",WORKDAY($AA919,CHOOSE($Z919,3,3,2,2,3),Holidays))</f>
        <v/>
      </c>
      <c r="AC919" s="17">
        <f>IF(OR($Z919="",$Z919=6),"",CHOOSE($Z919,"1st Email Follow-up","2nd Email Follow-up","Escalate Local Office","Escalate to CBE","Escalate to Roxanne"))</f>
        <v/>
      </c>
    </row>
    <row r="920" spans="13:29">
      <c r="M920" s="14"/>
      <c r="T920" s="16"/>
      <c r="U920" s="17">
        <f>IF(AND(COUNTA($A920:$L920)=0,$N920=""),"",IF($T920="Paid","PAID",IF($T920="Closed","CLOSED",IF($Z920="","",IF($Z920=6,"ESCALATED TO ROXANNE",IF(TODAY()&gt;$AB920,"OVERDUE",IF($AB920&lt;=WORKDAY(TODAY(),1,Holidays),"DUE TOMORROW",IF($Z920=4,"ESCALATED TO LOCAL OFFICE",IF($Z920=5,"ESCALATED TO CBE",IF($AA920=TODAY(),"EMAIL SENT","MONITORING"))))))))))</f>
        <v/>
      </c>
      <c r="V920" s="17">
        <f>IF($U920="",IF(AND(COUNTA($A920:$L920)&gt;0,$N920=""),"Awaiting Collection Email time stamp.",""),IF(OR($U920="PAID",$U920="CLOSED"),IF($U920="PAID","Account paid. Action completed.","Account closed. No further action required."),CHOOSE($Z920,"Collection Email","1st Email Follow-up","2nd Email Follow-up","Escalation to Local Office","Escalation to CBE","Escalation to Roxanne")&amp;" sent "&amp;TEXT($AA920,"dd-mmm")&amp;". "&amp;IF($Z920=6,"Final escalation completed.",IF($U920="OVERDUE","Next: "&amp;$AC920&amp;" was due "&amp;TEXT($AB920,"dd-mmm")&amp;" - "&amp;(NETWORKDAYS($AB920,TODAY(),Holidays)-1)&amp;" business day(s) late. Send now.",IF($U920="DUE TOMORROW","Next: "&amp;$AC920&amp;IF($AB920&lt;=TODAY()," is due TODAY ("," is due next business day (")&amp;TEXT($AB920,"dd-mmm")&amp;").","Next: "&amp;$AC920&amp;" due "&amp;TEXT($AB920,"dd-mmm")&amp;" ("&amp;(NETWORKDAYS(TODAY(),$AB920,Holidays)-1)&amp;" business day(s) left).")))))</f>
        <v/>
      </c>
      <c r="W920" s="17">
        <f>IF($Z920="","",CHOOSE($Z920,"Collection Email","1st Follow-up","2nd Follow-up","Local Office","CBE","Roxanne")&amp;IF($Z920=6," - Final"," - Day "&amp;MAX(0,NETWORKDAYS($AA920,TODAY(),Holidays)-1)&amp;" of "&amp;CHOOSE($Z920,3,3,2,2,3))&amp;" | Total Day "&amp;MAX(0,NETWORKDAYS($N920,TODAY(),Holidays)-1))</f>
        <v/>
      </c>
      <c r="X920" s="18"/>
      <c r="Y920" s="18"/>
      <c r="Z920" s="17">
        <f>IF($N920="","",COUNT($N920:$S920))</f>
        <v/>
      </c>
      <c r="AA920" s="19">
        <f>IF($Z920="","",INT(INDEX($N920:$S920,$Z920)))</f>
        <v/>
      </c>
      <c r="AB920" s="19">
        <f>IF(OR($Z920="",$Z920=6),"",WORKDAY($AA920,CHOOSE($Z920,3,3,2,2,3),Holidays))</f>
        <v/>
      </c>
      <c r="AC920" s="17">
        <f>IF(OR($Z920="",$Z920=6),"",CHOOSE($Z920,"1st Email Follow-up","2nd Email Follow-up","Escalate Local Office","Escalate to CBE","Escalate to Roxanne"))</f>
        <v/>
      </c>
    </row>
    <row r="921" spans="13:29">
      <c r="M921" s="14"/>
      <c r="T921" s="16"/>
      <c r="U921" s="17">
        <f>IF(AND(COUNTA($A921:$L921)=0,$N921=""),"",IF($T921="Paid","PAID",IF($T921="Closed","CLOSED",IF($Z921="","",IF($Z921=6,"ESCALATED TO ROXANNE",IF(TODAY()&gt;$AB921,"OVERDUE",IF($AB921&lt;=WORKDAY(TODAY(),1,Holidays),"DUE TOMORROW",IF($Z921=4,"ESCALATED TO LOCAL OFFICE",IF($Z921=5,"ESCALATED TO CBE",IF($AA921=TODAY(),"EMAIL SENT","MONITORING"))))))))))</f>
        <v/>
      </c>
      <c r="V921" s="17">
        <f>IF($U921="",IF(AND(COUNTA($A921:$L921)&gt;0,$N921=""),"Awaiting Collection Email time stamp.",""),IF(OR($U921="PAID",$U921="CLOSED"),IF($U921="PAID","Account paid. Action completed.","Account closed. No further action required."),CHOOSE($Z921,"Collection Email","1st Email Follow-up","2nd Email Follow-up","Escalation to Local Office","Escalation to CBE","Escalation to Roxanne")&amp;" sent "&amp;TEXT($AA921,"dd-mmm")&amp;". "&amp;IF($Z921=6,"Final escalation completed.",IF($U921="OVERDUE","Next: "&amp;$AC921&amp;" was due "&amp;TEXT($AB921,"dd-mmm")&amp;" - "&amp;(NETWORKDAYS($AB921,TODAY(),Holidays)-1)&amp;" business day(s) late. Send now.",IF($U921="DUE TOMORROW","Next: "&amp;$AC921&amp;IF($AB921&lt;=TODAY()," is due TODAY ("," is due next business day (")&amp;TEXT($AB921,"dd-mmm")&amp;").","Next: "&amp;$AC921&amp;" due "&amp;TEXT($AB921,"dd-mmm")&amp;" ("&amp;(NETWORKDAYS(TODAY(),$AB921,Holidays)-1)&amp;" business day(s) left).")))))</f>
        <v/>
      </c>
      <c r="W921" s="17">
        <f>IF($Z921="","",CHOOSE($Z921,"Collection Email","1st Follow-up","2nd Follow-up","Local Office","CBE","Roxanne")&amp;IF($Z921=6," - Final"," - Day "&amp;MAX(0,NETWORKDAYS($AA921,TODAY(),Holidays)-1)&amp;" of "&amp;CHOOSE($Z921,3,3,2,2,3))&amp;" | Total Day "&amp;MAX(0,NETWORKDAYS($N921,TODAY(),Holidays)-1))</f>
        <v/>
      </c>
      <c r="X921" s="18"/>
      <c r="Y921" s="18"/>
      <c r="Z921" s="17">
        <f>IF($N921="","",COUNT($N921:$S921))</f>
        <v/>
      </c>
      <c r="AA921" s="19">
        <f>IF($Z921="","",INT(INDEX($N921:$S921,$Z921)))</f>
        <v/>
      </c>
      <c r="AB921" s="19">
        <f>IF(OR($Z921="",$Z921=6),"",WORKDAY($AA921,CHOOSE($Z921,3,3,2,2,3),Holidays))</f>
        <v/>
      </c>
      <c r="AC921" s="17">
        <f>IF(OR($Z921="",$Z921=6),"",CHOOSE($Z921,"1st Email Follow-up","2nd Email Follow-up","Escalate Local Office","Escalate to CBE","Escalate to Roxanne"))</f>
        <v/>
      </c>
    </row>
    <row r="922" spans="13:29">
      <c r="M922" s="14"/>
      <c r="T922" s="16"/>
      <c r="U922" s="17">
        <f>IF(AND(COUNTA($A922:$L922)=0,$N922=""),"",IF($T922="Paid","PAID",IF($T922="Closed","CLOSED",IF($Z922="","",IF($Z922=6,"ESCALATED TO ROXANNE",IF(TODAY()&gt;$AB922,"OVERDUE",IF($AB922&lt;=WORKDAY(TODAY(),1,Holidays),"DUE TOMORROW",IF($Z922=4,"ESCALATED TO LOCAL OFFICE",IF($Z922=5,"ESCALATED TO CBE",IF($AA922=TODAY(),"EMAIL SENT","MONITORING"))))))))))</f>
        <v/>
      </c>
      <c r="V922" s="17">
        <f>IF($U922="",IF(AND(COUNTA($A922:$L922)&gt;0,$N922=""),"Awaiting Collection Email time stamp.",""),IF(OR($U922="PAID",$U922="CLOSED"),IF($U922="PAID","Account paid. Action completed.","Account closed. No further action required."),CHOOSE($Z922,"Collection Email","1st Email Follow-up","2nd Email Follow-up","Escalation to Local Office","Escalation to CBE","Escalation to Roxanne")&amp;" sent "&amp;TEXT($AA922,"dd-mmm")&amp;". "&amp;IF($Z922=6,"Final escalation completed.",IF($U922="OVERDUE","Next: "&amp;$AC922&amp;" was due "&amp;TEXT($AB922,"dd-mmm")&amp;" - "&amp;(NETWORKDAYS($AB922,TODAY(),Holidays)-1)&amp;" business day(s) late. Send now.",IF($U922="DUE TOMORROW","Next: "&amp;$AC922&amp;IF($AB922&lt;=TODAY()," is due TODAY ("," is due next business day (")&amp;TEXT($AB922,"dd-mmm")&amp;").","Next: "&amp;$AC922&amp;" due "&amp;TEXT($AB922,"dd-mmm")&amp;" ("&amp;(NETWORKDAYS(TODAY(),$AB922,Holidays)-1)&amp;" business day(s) left).")))))</f>
        <v/>
      </c>
      <c r="W922" s="17">
        <f>IF($Z922="","",CHOOSE($Z922,"Collection Email","1st Follow-up","2nd Follow-up","Local Office","CBE","Roxanne")&amp;IF($Z922=6," - Final"," - Day "&amp;MAX(0,NETWORKDAYS($AA922,TODAY(),Holidays)-1)&amp;" of "&amp;CHOOSE($Z922,3,3,2,2,3))&amp;" | Total Day "&amp;MAX(0,NETWORKDAYS($N922,TODAY(),Holidays)-1))</f>
        <v/>
      </c>
      <c r="X922" s="18"/>
      <c r="Y922" s="18"/>
      <c r="Z922" s="17">
        <f>IF($N922="","",COUNT($N922:$S922))</f>
        <v/>
      </c>
      <c r="AA922" s="19">
        <f>IF($Z922="","",INT(INDEX($N922:$S922,$Z922)))</f>
        <v/>
      </c>
      <c r="AB922" s="19">
        <f>IF(OR($Z922="",$Z922=6),"",WORKDAY($AA922,CHOOSE($Z922,3,3,2,2,3),Holidays))</f>
        <v/>
      </c>
      <c r="AC922" s="17">
        <f>IF(OR($Z922="",$Z922=6),"",CHOOSE($Z922,"1st Email Follow-up","2nd Email Follow-up","Escalate Local Office","Escalate to CBE","Escalate to Roxanne"))</f>
        <v/>
      </c>
    </row>
    <row r="923" spans="13:29">
      <c r="M923" s="14"/>
      <c r="T923" s="16"/>
      <c r="U923" s="17">
        <f>IF(AND(COUNTA($A923:$L923)=0,$N923=""),"",IF($T923="Paid","PAID",IF($T923="Closed","CLOSED",IF($Z923="","",IF($Z923=6,"ESCALATED TO ROXANNE",IF(TODAY()&gt;$AB923,"OVERDUE",IF($AB923&lt;=WORKDAY(TODAY(),1,Holidays),"DUE TOMORROW",IF($Z923=4,"ESCALATED TO LOCAL OFFICE",IF($Z923=5,"ESCALATED TO CBE",IF($AA923=TODAY(),"EMAIL SENT","MONITORING"))))))))))</f>
        <v/>
      </c>
      <c r="V923" s="17">
        <f>IF($U923="",IF(AND(COUNTA($A923:$L923)&gt;0,$N923=""),"Awaiting Collection Email time stamp.",""),IF(OR($U923="PAID",$U923="CLOSED"),IF($U923="PAID","Account paid. Action completed.","Account closed. No further action required."),CHOOSE($Z923,"Collection Email","1st Email Follow-up","2nd Email Follow-up","Escalation to Local Office","Escalation to CBE","Escalation to Roxanne")&amp;" sent "&amp;TEXT($AA923,"dd-mmm")&amp;". "&amp;IF($Z923=6,"Final escalation completed.",IF($U923="OVERDUE","Next: "&amp;$AC923&amp;" was due "&amp;TEXT($AB923,"dd-mmm")&amp;" - "&amp;(NETWORKDAYS($AB923,TODAY(),Holidays)-1)&amp;" business day(s) late. Send now.",IF($U923="DUE TOMORROW","Next: "&amp;$AC923&amp;IF($AB923&lt;=TODAY()," is due TODAY ("," is due next business day (")&amp;TEXT($AB923,"dd-mmm")&amp;").","Next: "&amp;$AC923&amp;" due "&amp;TEXT($AB923,"dd-mmm")&amp;" ("&amp;(NETWORKDAYS(TODAY(),$AB923,Holidays)-1)&amp;" business day(s) left).")))))</f>
        <v/>
      </c>
      <c r="W923" s="17">
        <f>IF($Z923="","",CHOOSE($Z923,"Collection Email","1st Follow-up","2nd Follow-up","Local Office","CBE","Roxanne")&amp;IF($Z923=6," - Final"," - Day "&amp;MAX(0,NETWORKDAYS($AA923,TODAY(),Holidays)-1)&amp;" of "&amp;CHOOSE($Z923,3,3,2,2,3))&amp;" | Total Day "&amp;MAX(0,NETWORKDAYS($N923,TODAY(),Holidays)-1))</f>
        <v/>
      </c>
      <c r="X923" s="18"/>
      <c r="Y923" s="18"/>
      <c r="Z923" s="17">
        <f>IF($N923="","",COUNT($N923:$S923))</f>
        <v/>
      </c>
      <c r="AA923" s="19">
        <f>IF($Z923="","",INT(INDEX($N923:$S923,$Z923)))</f>
        <v/>
      </c>
      <c r="AB923" s="19">
        <f>IF(OR($Z923="",$Z923=6),"",WORKDAY($AA923,CHOOSE($Z923,3,3,2,2,3),Holidays))</f>
        <v/>
      </c>
      <c r="AC923" s="17">
        <f>IF(OR($Z923="",$Z923=6),"",CHOOSE($Z923,"1st Email Follow-up","2nd Email Follow-up","Escalate Local Office","Escalate to CBE","Escalate to Roxanne"))</f>
        <v/>
      </c>
    </row>
    <row r="924" spans="13:29">
      <c r="M924" s="14"/>
      <c r="T924" s="16"/>
      <c r="U924" s="17">
        <f>IF(AND(COUNTA($A924:$L924)=0,$N924=""),"",IF($T924="Paid","PAID",IF($T924="Closed","CLOSED",IF($Z924="","",IF($Z924=6,"ESCALATED TO ROXANNE",IF(TODAY()&gt;$AB924,"OVERDUE",IF($AB924&lt;=WORKDAY(TODAY(),1,Holidays),"DUE TOMORROW",IF($Z924=4,"ESCALATED TO LOCAL OFFICE",IF($Z924=5,"ESCALATED TO CBE",IF($AA924=TODAY(),"EMAIL SENT","MONITORING"))))))))))</f>
        <v/>
      </c>
      <c r="V924" s="17">
        <f>IF($U924="",IF(AND(COUNTA($A924:$L924)&gt;0,$N924=""),"Awaiting Collection Email time stamp.",""),IF(OR($U924="PAID",$U924="CLOSED"),IF($U924="PAID","Account paid. Action completed.","Account closed. No further action required."),CHOOSE($Z924,"Collection Email","1st Email Follow-up","2nd Email Follow-up","Escalation to Local Office","Escalation to CBE","Escalation to Roxanne")&amp;" sent "&amp;TEXT($AA924,"dd-mmm")&amp;". "&amp;IF($Z924=6,"Final escalation completed.",IF($U924="OVERDUE","Next: "&amp;$AC924&amp;" was due "&amp;TEXT($AB924,"dd-mmm")&amp;" - "&amp;(NETWORKDAYS($AB924,TODAY(),Holidays)-1)&amp;" business day(s) late. Send now.",IF($U924="DUE TOMORROW","Next: "&amp;$AC924&amp;IF($AB924&lt;=TODAY()," is due TODAY ("," is due next business day (")&amp;TEXT($AB924,"dd-mmm")&amp;").","Next: "&amp;$AC924&amp;" due "&amp;TEXT($AB924,"dd-mmm")&amp;" ("&amp;(NETWORKDAYS(TODAY(),$AB924,Holidays)-1)&amp;" business day(s) left).")))))</f>
        <v/>
      </c>
      <c r="W924" s="17">
        <f>IF($Z924="","",CHOOSE($Z924,"Collection Email","1st Follow-up","2nd Follow-up","Local Office","CBE","Roxanne")&amp;IF($Z924=6," - Final"," - Day "&amp;MAX(0,NETWORKDAYS($AA924,TODAY(),Holidays)-1)&amp;" of "&amp;CHOOSE($Z924,3,3,2,2,3))&amp;" | Total Day "&amp;MAX(0,NETWORKDAYS($N924,TODAY(),Holidays)-1))</f>
        <v/>
      </c>
      <c r="X924" s="18"/>
      <c r="Y924" s="18"/>
      <c r="Z924" s="17">
        <f>IF($N924="","",COUNT($N924:$S924))</f>
        <v/>
      </c>
      <c r="AA924" s="19">
        <f>IF($Z924="","",INT(INDEX($N924:$S924,$Z924)))</f>
        <v/>
      </c>
      <c r="AB924" s="19">
        <f>IF(OR($Z924="",$Z924=6),"",WORKDAY($AA924,CHOOSE($Z924,3,3,2,2,3),Holidays))</f>
        <v/>
      </c>
      <c r="AC924" s="17">
        <f>IF(OR($Z924="",$Z924=6),"",CHOOSE($Z924,"1st Email Follow-up","2nd Email Follow-up","Escalate Local Office","Escalate to CBE","Escalate to Roxanne"))</f>
        <v/>
      </c>
    </row>
    <row r="925" spans="13:29">
      <c r="M925" s="14"/>
      <c r="T925" s="16"/>
      <c r="U925" s="17">
        <f>IF(AND(COUNTA($A925:$L925)=0,$N925=""),"",IF($T925="Paid","PAID",IF($T925="Closed","CLOSED",IF($Z925="","",IF($Z925=6,"ESCALATED TO ROXANNE",IF(TODAY()&gt;$AB925,"OVERDUE",IF($AB925&lt;=WORKDAY(TODAY(),1,Holidays),"DUE TOMORROW",IF($Z925=4,"ESCALATED TO LOCAL OFFICE",IF($Z925=5,"ESCALATED TO CBE",IF($AA925=TODAY(),"EMAIL SENT","MONITORING"))))))))))</f>
        <v/>
      </c>
      <c r="V925" s="17">
        <f>IF($U925="",IF(AND(COUNTA($A925:$L925)&gt;0,$N925=""),"Awaiting Collection Email time stamp.",""),IF(OR($U925="PAID",$U925="CLOSED"),IF($U925="PAID","Account paid. Action completed.","Account closed. No further action required."),CHOOSE($Z925,"Collection Email","1st Email Follow-up","2nd Email Follow-up","Escalation to Local Office","Escalation to CBE","Escalation to Roxanne")&amp;" sent "&amp;TEXT($AA925,"dd-mmm")&amp;". "&amp;IF($Z925=6,"Final escalation completed.",IF($U925="OVERDUE","Next: "&amp;$AC925&amp;" was due "&amp;TEXT($AB925,"dd-mmm")&amp;" - "&amp;(NETWORKDAYS($AB925,TODAY(),Holidays)-1)&amp;" business day(s) late. Send now.",IF($U925="DUE TOMORROW","Next: "&amp;$AC925&amp;IF($AB925&lt;=TODAY()," is due TODAY ("," is due next business day (")&amp;TEXT($AB925,"dd-mmm")&amp;").","Next: "&amp;$AC925&amp;" due "&amp;TEXT($AB925,"dd-mmm")&amp;" ("&amp;(NETWORKDAYS(TODAY(),$AB925,Holidays)-1)&amp;" business day(s) left).")))))</f>
        <v/>
      </c>
      <c r="W925" s="17">
        <f>IF($Z925="","",CHOOSE($Z925,"Collection Email","1st Follow-up","2nd Follow-up","Local Office","CBE","Roxanne")&amp;IF($Z925=6," - Final"," - Day "&amp;MAX(0,NETWORKDAYS($AA925,TODAY(),Holidays)-1)&amp;" of "&amp;CHOOSE($Z925,3,3,2,2,3))&amp;" | Total Day "&amp;MAX(0,NETWORKDAYS($N925,TODAY(),Holidays)-1))</f>
        <v/>
      </c>
      <c r="X925" s="18"/>
      <c r="Y925" s="18"/>
      <c r="Z925" s="17">
        <f>IF($N925="","",COUNT($N925:$S925))</f>
        <v/>
      </c>
      <c r="AA925" s="19">
        <f>IF($Z925="","",INT(INDEX($N925:$S925,$Z925)))</f>
        <v/>
      </c>
      <c r="AB925" s="19">
        <f>IF(OR($Z925="",$Z925=6),"",WORKDAY($AA925,CHOOSE($Z925,3,3,2,2,3),Holidays))</f>
        <v/>
      </c>
      <c r="AC925" s="17">
        <f>IF(OR($Z925="",$Z925=6),"",CHOOSE($Z925,"1st Email Follow-up","2nd Email Follow-up","Escalate Local Office","Escalate to CBE","Escalate to Roxanne"))</f>
        <v/>
      </c>
    </row>
    <row r="926" spans="13:29">
      <c r="M926" s="14"/>
      <c r="T926" s="16"/>
      <c r="U926" s="17">
        <f>IF(AND(COUNTA($A926:$L926)=0,$N926=""),"",IF($T926="Paid","PAID",IF($T926="Closed","CLOSED",IF($Z926="","",IF($Z926=6,"ESCALATED TO ROXANNE",IF(TODAY()&gt;$AB926,"OVERDUE",IF($AB926&lt;=WORKDAY(TODAY(),1,Holidays),"DUE TOMORROW",IF($Z926=4,"ESCALATED TO LOCAL OFFICE",IF($Z926=5,"ESCALATED TO CBE",IF($AA926=TODAY(),"EMAIL SENT","MONITORING"))))))))))</f>
        <v/>
      </c>
      <c r="V926" s="17">
        <f>IF($U926="",IF(AND(COUNTA($A926:$L926)&gt;0,$N926=""),"Awaiting Collection Email time stamp.",""),IF(OR($U926="PAID",$U926="CLOSED"),IF($U926="PAID","Account paid. Action completed.","Account closed. No further action required."),CHOOSE($Z926,"Collection Email","1st Email Follow-up","2nd Email Follow-up","Escalation to Local Office","Escalation to CBE","Escalation to Roxanne")&amp;" sent "&amp;TEXT($AA926,"dd-mmm")&amp;". "&amp;IF($Z926=6,"Final escalation completed.",IF($U926="OVERDUE","Next: "&amp;$AC926&amp;" was due "&amp;TEXT($AB926,"dd-mmm")&amp;" - "&amp;(NETWORKDAYS($AB926,TODAY(),Holidays)-1)&amp;" business day(s) late. Send now.",IF($U926="DUE TOMORROW","Next: "&amp;$AC926&amp;IF($AB926&lt;=TODAY()," is due TODAY ("," is due next business day (")&amp;TEXT($AB926,"dd-mmm")&amp;").","Next: "&amp;$AC926&amp;" due "&amp;TEXT($AB926,"dd-mmm")&amp;" ("&amp;(NETWORKDAYS(TODAY(),$AB926,Holidays)-1)&amp;" business day(s) left).")))))</f>
        <v/>
      </c>
      <c r="W926" s="17">
        <f>IF($Z926="","",CHOOSE($Z926,"Collection Email","1st Follow-up","2nd Follow-up","Local Office","CBE","Roxanne")&amp;IF($Z926=6," - Final"," - Day "&amp;MAX(0,NETWORKDAYS($AA926,TODAY(),Holidays)-1)&amp;" of "&amp;CHOOSE($Z926,3,3,2,2,3))&amp;" | Total Day "&amp;MAX(0,NETWORKDAYS($N926,TODAY(),Holidays)-1))</f>
        <v/>
      </c>
      <c r="X926" s="18"/>
      <c r="Y926" s="18"/>
      <c r="Z926" s="17">
        <f>IF($N926="","",COUNT($N926:$S926))</f>
        <v/>
      </c>
      <c r="AA926" s="19">
        <f>IF($Z926="","",INT(INDEX($N926:$S926,$Z926)))</f>
        <v/>
      </c>
      <c r="AB926" s="19">
        <f>IF(OR($Z926="",$Z926=6),"",WORKDAY($AA926,CHOOSE($Z926,3,3,2,2,3),Holidays))</f>
        <v/>
      </c>
      <c r="AC926" s="17">
        <f>IF(OR($Z926="",$Z926=6),"",CHOOSE($Z926,"1st Email Follow-up","2nd Email Follow-up","Escalate Local Office","Escalate to CBE","Escalate to Roxanne"))</f>
        <v/>
      </c>
    </row>
    <row r="927" spans="13:29">
      <c r="M927" s="14"/>
      <c r="T927" s="16"/>
      <c r="U927" s="17">
        <f>IF(AND(COUNTA($A927:$L927)=0,$N927=""),"",IF($T927="Paid","PAID",IF($T927="Closed","CLOSED",IF($Z927="","",IF($Z927=6,"ESCALATED TO ROXANNE",IF(TODAY()&gt;$AB927,"OVERDUE",IF($AB927&lt;=WORKDAY(TODAY(),1,Holidays),"DUE TOMORROW",IF($Z927=4,"ESCALATED TO LOCAL OFFICE",IF($Z927=5,"ESCALATED TO CBE",IF($AA927=TODAY(),"EMAIL SENT","MONITORING"))))))))))</f>
        <v/>
      </c>
      <c r="V927" s="17">
        <f>IF($U927="",IF(AND(COUNTA($A927:$L927)&gt;0,$N927=""),"Awaiting Collection Email time stamp.",""),IF(OR($U927="PAID",$U927="CLOSED"),IF($U927="PAID","Account paid. Action completed.","Account closed. No further action required."),CHOOSE($Z927,"Collection Email","1st Email Follow-up","2nd Email Follow-up","Escalation to Local Office","Escalation to CBE","Escalation to Roxanne")&amp;" sent "&amp;TEXT($AA927,"dd-mmm")&amp;". "&amp;IF($Z927=6,"Final escalation completed.",IF($U927="OVERDUE","Next: "&amp;$AC927&amp;" was due "&amp;TEXT($AB927,"dd-mmm")&amp;" - "&amp;(NETWORKDAYS($AB927,TODAY(),Holidays)-1)&amp;" business day(s) late. Send now.",IF($U927="DUE TOMORROW","Next: "&amp;$AC927&amp;IF($AB927&lt;=TODAY()," is due TODAY ("," is due next business day (")&amp;TEXT($AB927,"dd-mmm")&amp;").","Next: "&amp;$AC927&amp;" due "&amp;TEXT($AB927,"dd-mmm")&amp;" ("&amp;(NETWORKDAYS(TODAY(),$AB927,Holidays)-1)&amp;" business day(s) left).")))))</f>
        <v/>
      </c>
      <c r="W927" s="17">
        <f>IF($Z927="","",CHOOSE($Z927,"Collection Email","1st Follow-up","2nd Follow-up","Local Office","CBE","Roxanne")&amp;IF($Z927=6," - Final"," - Day "&amp;MAX(0,NETWORKDAYS($AA927,TODAY(),Holidays)-1)&amp;" of "&amp;CHOOSE($Z927,3,3,2,2,3))&amp;" | Total Day "&amp;MAX(0,NETWORKDAYS($N927,TODAY(),Holidays)-1))</f>
        <v/>
      </c>
      <c r="X927" s="18"/>
      <c r="Y927" s="18"/>
      <c r="Z927" s="17">
        <f>IF($N927="","",COUNT($N927:$S927))</f>
        <v/>
      </c>
      <c r="AA927" s="19">
        <f>IF($Z927="","",INT(INDEX($N927:$S927,$Z927)))</f>
        <v/>
      </c>
      <c r="AB927" s="19">
        <f>IF(OR($Z927="",$Z927=6),"",WORKDAY($AA927,CHOOSE($Z927,3,3,2,2,3),Holidays))</f>
        <v/>
      </c>
      <c r="AC927" s="17">
        <f>IF(OR($Z927="",$Z927=6),"",CHOOSE($Z927,"1st Email Follow-up","2nd Email Follow-up","Escalate Local Office","Escalate to CBE","Escalate to Roxanne"))</f>
        <v/>
      </c>
    </row>
    <row r="928" spans="13:29">
      <c r="M928" s="14"/>
      <c r="T928" s="16"/>
      <c r="U928" s="17">
        <f>IF(AND(COUNTA($A928:$L928)=0,$N928=""),"",IF($T928="Paid","PAID",IF($T928="Closed","CLOSED",IF($Z928="","",IF($Z928=6,"ESCALATED TO ROXANNE",IF(TODAY()&gt;$AB928,"OVERDUE",IF($AB928&lt;=WORKDAY(TODAY(),1,Holidays),"DUE TOMORROW",IF($Z928=4,"ESCALATED TO LOCAL OFFICE",IF($Z928=5,"ESCALATED TO CBE",IF($AA928=TODAY(),"EMAIL SENT","MONITORING"))))))))))</f>
        <v/>
      </c>
      <c r="V928" s="17">
        <f>IF($U928="",IF(AND(COUNTA($A928:$L928)&gt;0,$N928=""),"Awaiting Collection Email time stamp.",""),IF(OR($U928="PAID",$U928="CLOSED"),IF($U928="PAID","Account paid. Action completed.","Account closed. No further action required."),CHOOSE($Z928,"Collection Email","1st Email Follow-up","2nd Email Follow-up","Escalation to Local Office","Escalation to CBE","Escalation to Roxanne")&amp;" sent "&amp;TEXT($AA928,"dd-mmm")&amp;". "&amp;IF($Z928=6,"Final escalation completed.",IF($U928="OVERDUE","Next: "&amp;$AC928&amp;" was due "&amp;TEXT($AB928,"dd-mmm")&amp;" - "&amp;(NETWORKDAYS($AB928,TODAY(),Holidays)-1)&amp;" business day(s) late. Send now.",IF($U928="DUE TOMORROW","Next: "&amp;$AC928&amp;IF($AB928&lt;=TODAY()," is due TODAY ("," is due next business day (")&amp;TEXT($AB928,"dd-mmm")&amp;").","Next: "&amp;$AC928&amp;" due "&amp;TEXT($AB928,"dd-mmm")&amp;" ("&amp;(NETWORKDAYS(TODAY(),$AB928,Holidays)-1)&amp;" business day(s) left).")))))</f>
        <v/>
      </c>
      <c r="W928" s="17">
        <f>IF($Z928="","",CHOOSE($Z928,"Collection Email","1st Follow-up","2nd Follow-up","Local Office","CBE","Roxanne")&amp;IF($Z928=6," - Final"," - Day "&amp;MAX(0,NETWORKDAYS($AA928,TODAY(),Holidays)-1)&amp;" of "&amp;CHOOSE($Z928,3,3,2,2,3))&amp;" | Total Day "&amp;MAX(0,NETWORKDAYS($N928,TODAY(),Holidays)-1))</f>
        <v/>
      </c>
      <c r="X928" s="18"/>
      <c r="Y928" s="18"/>
      <c r="Z928" s="17">
        <f>IF($N928="","",COUNT($N928:$S928))</f>
        <v/>
      </c>
      <c r="AA928" s="19">
        <f>IF($Z928="","",INT(INDEX($N928:$S928,$Z928)))</f>
        <v/>
      </c>
      <c r="AB928" s="19">
        <f>IF(OR($Z928="",$Z928=6),"",WORKDAY($AA928,CHOOSE($Z928,3,3,2,2,3),Holidays))</f>
        <v/>
      </c>
      <c r="AC928" s="17">
        <f>IF(OR($Z928="",$Z928=6),"",CHOOSE($Z928,"1st Email Follow-up","2nd Email Follow-up","Escalate Local Office","Escalate to CBE","Escalate to Roxanne"))</f>
        <v/>
      </c>
    </row>
    <row r="929" spans="13:29">
      <c r="M929" s="14"/>
      <c r="T929" s="16"/>
      <c r="U929" s="17">
        <f>IF(AND(COUNTA($A929:$L929)=0,$N929=""),"",IF($T929="Paid","PAID",IF($T929="Closed","CLOSED",IF($Z929="","",IF($Z929=6,"ESCALATED TO ROXANNE",IF(TODAY()&gt;$AB929,"OVERDUE",IF($AB929&lt;=WORKDAY(TODAY(),1,Holidays),"DUE TOMORROW",IF($Z929=4,"ESCALATED TO LOCAL OFFICE",IF($Z929=5,"ESCALATED TO CBE",IF($AA929=TODAY(),"EMAIL SENT","MONITORING"))))))))))</f>
        <v/>
      </c>
      <c r="V929" s="17">
        <f>IF($U929="",IF(AND(COUNTA($A929:$L929)&gt;0,$N929=""),"Awaiting Collection Email time stamp.",""),IF(OR($U929="PAID",$U929="CLOSED"),IF($U929="PAID","Account paid. Action completed.","Account closed. No further action required."),CHOOSE($Z929,"Collection Email","1st Email Follow-up","2nd Email Follow-up","Escalation to Local Office","Escalation to CBE","Escalation to Roxanne")&amp;" sent "&amp;TEXT($AA929,"dd-mmm")&amp;". "&amp;IF($Z929=6,"Final escalation completed.",IF($U929="OVERDUE","Next: "&amp;$AC929&amp;" was due "&amp;TEXT($AB929,"dd-mmm")&amp;" - "&amp;(NETWORKDAYS($AB929,TODAY(),Holidays)-1)&amp;" business day(s) late. Send now.",IF($U929="DUE TOMORROW","Next: "&amp;$AC929&amp;IF($AB929&lt;=TODAY()," is due TODAY ("," is due next business day (")&amp;TEXT($AB929,"dd-mmm")&amp;").","Next: "&amp;$AC929&amp;" due "&amp;TEXT($AB929,"dd-mmm")&amp;" ("&amp;(NETWORKDAYS(TODAY(),$AB929,Holidays)-1)&amp;" business day(s) left).")))))</f>
        <v/>
      </c>
      <c r="W929" s="17">
        <f>IF($Z929="","",CHOOSE($Z929,"Collection Email","1st Follow-up","2nd Follow-up","Local Office","CBE","Roxanne")&amp;IF($Z929=6," - Final"," - Day "&amp;MAX(0,NETWORKDAYS($AA929,TODAY(),Holidays)-1)&amp;" of "&amp;CHOOSE($Z929,3,3,2,2,3))&amp;" | Total Day "&amp;MAX(0,NETWORKDAYS($N929,TODAY(),Holidays)-1))</f>
        <v/>
      </c>
      <c r="X929" s="18"/>
      <c r="Y929" s="18"/>
      <c r="Z929" s="17">
        <f>IF($N929="","",COUNT($N929:$S929))</f>
        <v/>
      </c>
      <c r="AA929" s="19">
        <f>IF($Z929="","",INT(INDEX($N929:$S929,$Z929)))</f>
        <v/>
      </c>
      <c r="AB929" s="19">
        <f>IF(OR($Z929="",$Z929=6),"",WORKDAY($AA929,CHOOSE($Z929,3,3,2,2,3),Holidays))</f>
        <v/>
      </c>
      <c r="AC929" s="17">
        <f>IF(OR($Z929="",$Z929=6),"",CHOOSE($Z929,"1st Email Follow-up","2nd Email Follow-up","Escalate Local Office","Escalate to CBE","Escalate to Roxanne"))</f>
        <v/>
      </c>
    </row>
    <row r="930" spans="13:29">
      <c r="M930" s="14"/>
      <c r="T930" s="16"/>
      <c r="U930" s="17">
        <f>IF(AND(COUNTA($A930:$L930)=0,$N930=""),"",IF($T930="Paid","PAID",IF($T930="Closed","CLOSED",IF($Z930="","",IF($Z930=6,"ESCALATED TO ROXANNE",IF(TODAY()&gt;$AB930,"OVERDUE",IF($AB930&lt;=WORKDAY(TODAY(),1,Holidays),"DUE TOMORROW",IF($Z930=4,"ESCALATED TO LOCAL OFFICE",IF($Z930=5,"ESCALATED TO CBE",IF($AA930=TODAY(),"EMAIL SENT","MONITORING"))))))))))</f>
        <v/>
      </c>
      <c r="V930" s="17">
        <f>IF($U930="",IF(AND(COUNTA($A930:$L930)&gt;0,$N930=""),"Awaiting Collection Email time stamp.",""),IF(OR($U930="PAID",$U930="CLOSED"),IF($U930="PAID","Account paid. Action completed.","Account closed. No further action required."),CHOOSE($Z930,"Collection Email","1st Email Follow-up","2nd Email Follow-up","Escalation to Local Office","Escalation to CBE","Escalation to Roxanne")&amp;" sent "&amp;TEXT($AA930,"dd-mmm")&amp;". "&amp;IF($Z930=6,"Final escalation completed.",IF($U930="OVERDUE","Next: "&amp;$AC930&amp;" was due "&amp;TEXT($AB930,"dd-mmm")&amp;" - "&amp;(NETWORKDAYS($AB930,TODAY(),Holidays)-1)&amp;" business day(s) late. Send now.",IF($U930="DUE TOMORROW","Next: "&amp;$AC930&amp;IF($AB930&lt;=TODAY()," is due TODAY ("," is due next business day (")&amp;TEXT($AB930,"dd-mmm")&amp;").","Next: "&amp;$AC930&amp;" due "&amp;TEXT($AB930,"dd-mmm")&amp;" ("&amp;(NETWORKDAYS(TODAY(),$AB930,Holidays)-1)&amp;" business day(s) left).")))))</f>
        <v/>
      </c>
      <c r="W930" s="17">
        <f>IF($Z930="","",CHOOSE($Z930,"Collection Email","1st Follow-up","2nd Follow-up","Local Office","CBE","Roxanne")&amp;IF($Z930=6," - Final"," - Day "&amp;MAX(0,NETWORKDAYS($AA930,TODAY(),Holidays)-1)&amp;" of "&amp;CHOOSE($Z930,3,3,2,2,3))&amp;" | Total Day "&amp;MAX(0,NETWORKDAYS($N930,TODAY(),Holidays)-1))</f>
        <v/>
      </c>
      <c r="X930" s="18"/>
      <c r="Y930" s="18"/>
      <c r="Z930" s="17">
        <f>IF($N930="","",COUNT($N930:$S930))</f>
        <v/>
      </c>
      <c r="AA930" s="19">
        <f>IF($Z930="","",INT(INDEX($N930:$S930,$Z930)))</f>
        <v/>
      </c>
      <c r="AB930" s="19">
        <f>IF(OR($Z930="",$Z930=6),"",WORKDAY($AA930,CHOOSE($Z930,3,3,2,2,3),Holidays))</f>
        <v/>
      </c>
      <c r="AC930" s="17">
        <f>IF(OR($Z930="",$Z930=6),"",CHOOSE($Z930,"1st Email Follow-up","2nd Email Follow-up","Escalate Local Office","Escalate to CBE","Escalate to Roxanne"))</f>
        <v/>
      </c>
    </row>
    <row r="931" spans="13:29">
      <c r="M931" s="14"/>
      <c r="T931" s="16"/>
      <c r="U931" s="17">
        <f>IF(AND(COUNTA($A931:$L931)=0,$N931=""),"",IF($T931="Paid","PAID",IF($T931="Closed","CLOSED",IF($Z931="","",IF($Z931=6,"ESCALATED TO ROXANNE",IF(TODAY()&gt;$AB931,"OVERDUE",IF($AB931&lt;=WORKDAY(TODAY(),1,Holidays),"DUE TOMORROW",IF($Z931=4,"ESCALATED TO LOCAL OFFICE",IF($Z931=5,"ESCALATED TO CBE",IF($AA931=TODAY(),"EMAIL SENT","MONITORING"))))))))))</f>
        <v/>
      </c>
      <c r="V931" s="17">
        <f>IF($U931="",IF(AND(COUNTA($A931:$L931)&gt;0,$N931=""),"Awaiting Collection Email time stamp.",""),IF(OR($U931="PAID",$U931="CLOSED"),IF($U931="PAID","Account paid. Action completed.","Account closed. No further action required."),CHOOSE($Z931,"Collection Email","1st Email Follow-up","2nd Email Follow-up","Escalation to Local Office","Escalation to CBE","Escalation to Roxanne")&amp;" sent "&amp;TEXT($AA931,"dd-mmm")&amp;". "&amp;IF($Z931=6,"Final escalation completed.",IF($U931="OVERDUE","Next: "&amp;$AC931&amp;" was due "&amp;TEXT($AB931,"dd-mmm")&amp;" - "&amp;(NETWORKDAYS($AB931,TODAY(),Holidays)-1)&amp;" business day(s) late. Send now.",IF($U931="DUE TOMORROW","Next: "&amp;$AC931&amp;IF($AB931&lt;=TODAY()," is due TODAY ("," is due next business day (")&amp;TEXT($AB931,"dd-mmm")&amp;").","Next: "&amp;$AC931&amp;" due "&amp;TEXT($AB931,"dd-mmm")&amp;" ("&amp;(NETWORKDAYS(TODAY(),$AB931,Holidays)-1)&amp;" business day(s) left).")))))</f>
        <v/>
      </c>
      <c r="W931" s="17">
        <f>IF($Z931="","",CHOOSE($Z931,"Collection Email","1st Follow-up","2nd Follow-up","Local Office","CBE","Roxanne")&amp;IF($Z931=6," - Final"," - Day "&amp;MAX(0,NETWORKDAYS($AA931,TODAY(),Holidays)-1)&amp;" of "&amp;CHOOSE($Z931,3,3,2,2,3))&amp;" | Total Day "&amp;MAX(0,NETWORKDAYS($N931,TODAY(),Holidays)-1))</f>
        <v/>
      </c>
      <c r="X931" s="18"/>
      <c r="Y931" s="18"/>
      <c r="Z931" s="17">
        <f>IF($N931="","",COUNT($N931:$S931))</f>
        <v/>
      </c>
      <c r="AA931" s="19">
        <f>IF($Z931="","",INT(INDEX($N931:$S931,$Z931)))</f>
        <v/>
      </c>
      <c r="AB931" s="19">
        <f>IF(OR($Z931="",$Z931=6),"",WORKDAY($AA931,CHOOSE($Z931,3,3,2,2,3),Holidays))</f>
        <v/>
      </c>
      <c r="AC931" s="17">
        <f>IF(OR($Z931="",$Z931=6),"",CHOOSE($Z931,"1st Email Follow-up","2nd Email Follow-up","Escalate Local Office","Escalate to CBE","Escalate to Roxanne"))</f>
        <v/>
      </c>
    </row>
    <row r="932" spans="13:29">
      <c r="M932" s="14"/>
      <c r="T932" s="16"/>
      <c r="U932" s="17">
        <f>IF(AND(COUNTA($A932:$L932)=0,$N932=""),"",IF($T932="Paid","PAID",IF($T932="Closed","CLOSED",IF($Z932="","",IF($Z932=6,"ESCALATED TO ROXANNE",IF(TODAY()&gt;$AB932,"OVERDUE",IF($AB932&lt;=WORKDAY(TODAY(),1,Holidays),"DUE TOMORROW",IF($Z932=4,"ESCALATED TO LOCAL OFFICE",IF($Z932=5,"ESCALATED TO CBE",IF($AA932=TODAY(),"EMAIL SENT","MONITORING"))))))))))</f>
        <v/>
      </c>
      <c r="V932" s="17">
        <f>IF($U932="",IF(AND(COUNTA($A932:$L932)&gt;0,$N932=""),"Awaiting Collection Email time stamp.",""),IF(OR($U932="PAID",$U932="CLOSED"),IF($U932="PAID","Account paid. Action completed.","Account closed. No further action required."),CHOOSE($Z932,"Collection Email","1st Email Follow-up","2nd Email Follow-up","Escalation to Local Office","Escalation to CBE","Escalation to Roxanne")&amp;" sent "&amp;TEXT($AA932,"dd-mmm")&amp;". "&amp;IF($Z932=6,"Final escalation completed.",IF($U932="OVERDUE","Next: "&amp;$AC932&amp;" was due "&amp;TEXT($AB932,"dd-mmm")&amp;" - "&amp;(NETWORKDAYS($AB932,TODAY(),Holidays)-1)&amp;" business day(s) late. Send now.",IF($U932="DUE TOMORROW","Next: "&amp;$AC932&amp;IF($AB932&lt;=TODAY()," is due TODAY ("," is due next business day (")&amp;TEXT($AB932,"dd-mmm")&amp;").","Next: "&amp;$AC932&amp;" due "&amp;TEXT($AB932,"dd-mmm")&amp;" ("&amp;(NETWORKDAYS(TODAY(),$AB932,Holidays)-1)&amp;" business day(s) left).")))))</f>
        <v/>
      </c>
      <c r="W932" s="17">
        <f>IF($Z932="","",CHOOSE($Z932,"Collection Email","1st Follow-up","2nd Follow-up","Local Office","CBE","Roxanne")&amp;IF($Z932=6," - Final"," - Day "&amp;MAX(0,NETWORKDAYS($AA932,TODAY(),Holidays)-1)&amp;" of "&amp;CHOOSE($Z932,3,3,2,2,3))&amp;" | Total Day "&amp;MAX(0,NETWORKDAYS($N932,TODAY(),Holidays)-1))</f>
        <v/>
      </c>
      <c r="X932" s="18"/>
      <c r="Y932" s="18"/>
      <c r="Z932" s="17">
        <f>IF($N932="","",COUNT($N932:$S932))</f>
        <v/>
      </c>
      <c r="AA932" s="19">
        <f>IF($Z932="","",INT(INDEX($N932:$S932,$Z932)))</f>
        <v/>
      </c>
      <c r="AB932" s="19">
        <f>IF(OR($Z932="",$Z932=6),"",WORKDAY($AA932,CHOOSE($Z932,3,3,2,2,3),Holidays))</f>
        <v/>
      </c>
      <c r="AC932" s="17">
        <f>IF(OR($Z932="",$Z932=6),"",CHOOSE($Z932,"1st Email Follow-up","2nd Email Follow-up","Escalate Local Office","Escalate to CBE","Escalate to Roxanne"))</f>
        <v/>
      </c>
    </row>
    <row r="933" spans="13:29">
      <c r="M933" s="14"/>
      <c r="T933" s="16"/>
      <c r="U933" s="17">
        <f>IF(AND(COUNTA($A933:$L933)=0,$N933=""),"",IF($T933="Paid","PAID",IF($T933="Closed","CLOSED",IF($Z933="","",IF($Z933=6,"ESCALATED TO ROXANNE",IF(TODAY()&gt;$AB933,"OVERDUE",IF($AB933&lt;=WORKDAY(TODAY(),1,Holidays),"DUE TOMORROW",IF($Z933=4,"ESCALATED TO LOCAL OFFICE",IF($Z933=5,"ESCALATED TO CBE",IF($AA933=TODAY(),"EMAIL SENT","MONITORING"))))))))))</f>
        <v/>
      </c>
      <c r="V933" s="17">
        <f>IF($U933="",IF(AND(COUNTA($A933:$L933)&gt;0,$N933=""),"Awaiting Collection Email time stamp.",""),IF(OR($U933="PAID",$U933="CLOSED"),IF($U933="PAID","Account paid. Action completed.","Account closed. No further action required."),CHOOSE($Z933,"Collection Email","1st Email Follow-up","2nd Email Follow-up","Escalation to Local Office","Escalation to CBE","Escalation to Roxanne")&amp;" sent "&amp;TEXT($AA933,"dd-mmm")&amp;". "&amp;IF($Z933=6,"Final escalation completed.",IF($U933="OVERDUE","Next: "&amp;$AC933&amp;" was due "&amp;TEXT($AB933,"dd-mmm")&amp;" - "&amp;(NETWORKDAYS($AB933,TODAY(),Holidays)-1)&amp;" business day(s) late. Send now.",IF($U933="DUE TOMORROW","Next: "&amp;$AC933&amp;IF($AB933&lt;=TODAY()," is due TODAY ("," is due next business day (")&amp;TEXT($AB933,"dd-mmm")&amp;").","Next: "&amp;$AC933&amp;" due "&amp;TEXT($AB933,"dd-mmm")&amp;" ("&amp;(NETWORKDAYS(TODAY(),$AB933,Holidays)-1)&amp;" business day(s) left).")))))</f>
        <v/>
      </c>
      <c r="W933" s="17">
        <f>IF($Z933="","",CHOOSE($Z933,"Collection Email","1st Follow-up","2nd Follow-up","Local Office","CBE","Roxanne")&amp;IF($Z933=6," - Final"," - Day "&amp;MAX(0,NETWORKDAYS($AA933,TODAY(),Holidays)-1)&amp;" of "&amp;CHOOSE($Z933,3,3,2,2,3))&amp;" | Total Day "&amp;MAX(0,NETWORKDAYS($N933,TODAY(),Holidays)-1))</f>
        <v/>
      </c>
      <c r="X933" s="18"/>
      <c r="Y933" s="18"/>
      <c r="Z933" s="17">
        <f>IF($N933="","",COUNT($N933:$S933))</f>
        <v/>
      </c>
      <c r="AA933" s="19">
        <f>IF($Z933="","",INT(INDEX($N933:$S933,$Z933)))</f>
        <v/>
      </c>
      <c r="AB933" s="19">
        <f>IF(OR($Z933="",$Z933=6),"",WORKDAY($AA933,CHOOSE($Z933,3,3,2,2,3),Holidays))</f>
        <v/>
      </c>
      <c r="AC933" s="17">
        <f>IF(OR($Z933="",$Z933=6),"",CHOOSE($Z933,"1st Email Follow-up","2nd Email Follow-up","Escalate Local Office","Escalate to CBE","Escalate to Roxanne"))</f>
        <v/>
      </c>
    </row>
    <row r="934" spans="13:29">
      <c r="M934" s="14"/>
      <c r="T934" s="16"/>
      <c r="U934" s="17">
        <f>IF(AND(COUNTA($A934:$L934)=0,$N934=""),"",IF($T934="Paid","PAID",IF($T934="Closed","CLOSED",IF($Z934="","",IF($Z934=6,"ESCALATED TO ROXANNE",IF(TODAY()&gt;$AB934,"OVERDUE",IF($AB934&lt;=WORKDAY(TODAY(),1,Holidays),"DUE TOMORROW",IF($Z934=4,"ESCALATED TO LOCAL OFFICE",IF($Z934=5,"ESCALATED TO CBE",IF($AA934=TODAY(),"EMAIL SENT","MONITORING"))))))))))</f>
        <v/>
      </c>
      <c r="V934" s="17">
        <f>IF($U934="",IF(AND(COUNTA($A934:$L934)&gt;0,$N934=""),"Awaiting Collection Email time stamp.",""),IF(OR($U934="PAID",$U934="CLOSED"),IF($U934="PAID","Account paid. Action completed.","Account closed. No further action required."),CHOOSE($Z934,"Collection Email","1st Email Follow-up","2nd Email Follow-up","Escalation to Local Office","Escalation to CBE","Escalation to Roxanne")&amp;" sent "&amp;TEXT($AA934,"dd-mmm")&amp;". "&amp;IF($Z934=6,"Final escalation completed.",IF($U934="OVERDUE","Next: "&amp;$AC934&amp;" was due "&amp;TEXT($AB934,"dd-mmm")&amp;" - "&amp;(NETWORKDAYS($AB934,TODAY(),Holidays)-1)&amp;" business day(s) late. Send now.",IF($U934="DUE TOMORROW","Next: "&amp;$AC934&amp;IF($AB934&lt;=TODAY()," is due TODAY ("," is due next business day (")&amp;TEXT($AB934,"dd-mmm")&amp;").","Next: "&amp;$AC934&amp;" due "&amp;TEXT($AB934,"dd-mmm")&amp;" ("&amp;(NETWORKDAYS(TODAY(),$AB934,Holidays)-1)&amp;" business day(s) left).")))))</f>
        <v/>
      </c>
      <c r="W934" s="17">
        <f>IF($Z934="","",CHOOSE($Z934,"Collection Email","1st Follow-up","2nd Follow-up","Local Office","CBE","Roxanne")&amp;IF($Z934=6," - Final"," - Day "&amp;MAX(0,NETWORKDAYS($AA934,TODAY(),Holidays)-1)&amp;" of "&amp;CHOOSE($Z934,3,3,2,2,3))&amp;" | Total Day "&amp;MAX(0,NETWORKDAYS($N934,TODAY(),Holidays)-1))</f>
        <v/>
      </c>
      <c r="X934" s="18"/>
      <c r="Y934" s="18"/>
      <c r="Z934" s="17">
        <f>IF($N934="","",COUNT($N934:$S934))</f>
        <v/>
      </c>
      <c r="AA934" s="19">
        <f>IF($Z934="","",INT(INDEX($N934:$S934,$Z934)))</f>
        <v/>
      </c>
      <c r="AB934" s="19">
        <f>IF(OR($Z934="",$Z934=6),"",WORKDAY($AA934,CHOOSE($Z934,3,3,2,2,3),Holidays))</f>
        <v/>
      </c>
      <c r="AC934" s="17">
        <f>IF(OR($Z934="",$Z934=6),"",CHOOSE($Z934,"1st Email Follow-up","2nd Email Follow-up","Escalate Local Office","Escalate to CBE","Escalate to Roxanne"))</f>
        <v/>
      </c>
    </row>
    <row r="935" spans="13:29">
      <c r="M935" s="14"/>
      <c r="T935" s="16"/>
      <c r="U935" s="17">
        <f>IF(AND(COUNTA($A935:$L935)=0,$N935=""),"",IF($T935="Paid","PAID",IF($T935="Closed","CLOSED",IF($Z935="","",IF($Z935=6,"ESCALATED TO ROXANNE",IF(TODAY()&gt;$AB935,"OVERDUE",IF($AB935&lt;=WORKDAY(TODAY(),1,Holidays),"DUE TOMORROW",IF($Z935=4,"ESCALATED TO LOCAL OFFICE",IF($Z935=5,"ESCALATED TO CBE",IF($AA935=TODAY(),"EMAIL SENT","MONITORING"))))))))))</f>
        <v/>
      </c>
      <c r="V935" s="17">
        <f>IF($U935="",IF(AND(COUNTA($A935:$L935)&gt;0,$N935=""),"Awaiting Collection Email time stamp.",""),IF(OR($U935="PAID",$U935="CLOSED"),IF($U935="PAID","Account paid. Action completed.","Account closed. No further action required."),CHOOSE($Z935,"Collection Email","1st Email Follow-up","2nd Email Follow-up","Escalation to Local Office","Escalation to CBE","Escalation to Roxanne")&amp;" sent "&amp;TEXT($AA935,"dd-mmm")&amp;". "&amp;IF($Z935=6,"Final escalation completed.",IF($U935="OVERDUE","Next: "&amp;$AC935&amp;" was due "&amp;TEXT($AB935,"dd-mmm")&amp;" - "&amp;(NETWORKDAYS($AB935,TODAY(),Holidays)-1)&amp;" business day(s) late. Send now.",IF($U935="DUE TOMORROW","Next: "&amp;$AC935&amp;IF($AB935&lt;=TODAY()," is due TODAY ("," is due next business day (")&amp;TEXT($AB935,"dd-mmm")&amp;").","Next: "&amp;$AC935&amp;" due "&amp;TEXT($AB935,"dd-mmm")&amp;" ("&amp;(NETWORKDAYS(TODAY(),$AB935,Holidays)-1)&amp;" business day(s) left).")))))</f>
        <v/>
      </c>
      <c r="W935" s="17">
        <f>IF($Z935="","",CHOOSE($Z935,"Collection Email","1st Follow-up","2nd Follow-up","Local Office","CBE","Roxanne")&amp;IF($Z935=6," - Final"," - Day "&amp;MAX(0,NETWORKDAYS($AA935,TODAY(),Holidays)-1)&amp;" of "&amp;CHOOSE($Z935,3,3,2,2,3))&amp;" | Total Day "&amp;MAX(0,NETWORKDAYS($N935,TODAY(),Holidays)-1))</f>
        <v/>
      </c>
      <c r="X935" s="18"/>
      <c r="Y935" s="18"/>
      <c r="Z935" s="17">
        <f>IF($N935="","",COUNT($N935:$S935))</f>
        <v/>
      </c>
      <c r="AA935" s="19">
        <f>IF($Z935="","",INT(INDEX($N935:$S935,$Z935)))</f>
        <v/>
      </c>
      <c r="AB935" s="19">
        <f>IF(OR($Z935="",$Z935=6),"",WORKDAY($AA935,CHOOSE($Z935,3,3,2,2,3),Holidays))</f>
        <v/>
      </c>
      <c r="AC935" s="17">
        <f>IF(OR($Z935="",$Z935=6),"",CHOOSE($Z935,"1st Email Follow-up","2nd Email Follow-up","Escalate Local Office","Escalate to CBE","Escalate to Roxanne"))</f>
        <v/>
      </c>
    </row>
    <row r="936" spans="13:29">
      <c r="M936" s="14"/>
      <c r="T936" s="16"/>
      <c r="U936" s="17">
        <f>IF(AND(COUNTA($A936:$L936)=0,$N936=""),"",IF($T936="Paid","PAID",IF($T936="Closed","CLOSED",IF($Z936="","",IF($Z936=6,"ESCALATED TO ROXANNE",IF(TODAY()&gt;$AB936,"OVERDUE",IF($AB936&lt;=WORKDAY(TODAY(),1,Holidays),"DUE TOMORROW",IF($Z936=4,"ESCALATED TO LOCAL OFFICE",IF($Z936=5,"ESCALATED TO CBE",IF($AA936=TODAY(),"EMAIL SENT","MONITORING"))))))))))</f>
        <v/>
      </c>
      <c r="V936" s="17">
        <f>IF($U936="",IF(AND(COUNTA($A936:$L936)&gt;0,$N936=""),"Awaiting Collection Email time stamp.",""),IF(OR($U936="PAID",$U936="CLOSED"),IF($U936="PAID","Account paid. Action completed.","Account closed. No further action required."),CHOOSE($Z936,"Collection Email","1st Email Follow-up","2nd Email Follow-up","Escalation to Local Office","Escalation to CBE","Escalation to Roxanne")&amp;" sent "&amp;TEXT($AA936,"dd-mmm")&amp;". "&amp;IF($Z936=6,"Final escalation completed.",IF($U936="OVERDUE","Next: "&amp;$AC936&amp;" was due "&amp;TEXT($AB936,"dd-mmm")&amp;" - "&amp;(NETWORKDAYS($AB936,TODAY(),Holidays)-1)&amp;" business day(s) late. Send now.",IF($U936="DUE TOMORROW","Next: "&amp;$AC936&amp;IF($AB936&lt;=TODAY()," is due TODAY ("," is due next business day (")&amp;TEXT($AB936,"dd-mmm")&amp;").","Next: "&amp;$AC936&amp;" due "&amp;TEXT($AB936,"dd-mmm")&amp;" ("&amp;(NETWORKDAYS(TODAY(),$AB936,Holidays)-1)&amp;" business day(s) left).")))))</f>
        <v/>
      </c>
      <c r="W936" s="17">
        <f>IF($Z936="","",CHOOSE($Z936,"Collection Email","1st Follow-up","2nd Follow-up","Local Office","CBE","Roxanne")&amp;IF($Z936=6," - Final"," - Day "&amp;MAX(0,NETWORKDAYS($AA936,TODAY(),Holidays)-1)&amp;" of "&amp;CHOOSE($Z936,3,3,2,2,3))&amp;" | Total Day "&amp;MAX(0,NETWORKDAYS($N936,TODAY(),Holidays)-1))</f>
        <v/>
      </c>
      <c r="X936" s="18"/>
      <c r="Y936" s="18"/>
      <c r="Z936" s="17">
        <f>IF($N936="","",COUNT($N936:$S936))</f>
        <v/>
      </c>
      <c r="AA936" s="19">
        <f>IF($Z936="","",INT(INDEX($N936:$S936,$Z936)))</f>
        <v/>
      </c>
      <c r="AB936" s="19">
        <f>IF(OR($Z936="",$Z936=6),"",WORKDAY($AA936,CHOOSE($Z936,3,3,2,2,3),Holidays))</f>
        <v/>
      </c>
      <c r="AC936" s="17">
        <f>IF(OR($Z936="",$Z936=6),"",CHOOSE($Z936,"1st Email Follow-up","2nd Email Follow-up","Escalate Local Office","Escalate to CBE","Escalate to Roxanne"))</f>
        <v/>
      </c>
    </row>
    <row r="937" spans="13:29">
      <c r="M937" s="14"/>
      <c r="T937" s="16"/>
      <c r="U937" s="17">
        <f>IF(AND(COUNTA($A937:$L937)=0,$N937=""),"",IF($T937="Paid","PAID",IF($T937="Closed","CLOSED",IF($Z937="","",IF($Z937=6,"ESCALATED TO ROXANNE",IF(TODAY()&gt;$AB937,"OVERDUE",IF($AB937&lt;=WORKDAY(TODAY(),1,Holidays),"DUE TOMORROW",IF($Z937=4,"ESCALATED TO LOCAL OFFICE",IF($Z937=5,"ESCALATED TO CBE",IF($AA937=TODAY(),"EMAIL SENT","MONITORING"))))))))))</f>
        <v/>
      </c>
      <c r="V937" s="17">
        <f>IF($U937="",IF(AND(COUNTA($A937:$L937)&gt;0,$N937=""),"Awaiting Collection Email time stamp.",""),IF(OR($U937="PAID",$U937="CLOSED"),IF($U937="PAID","Account paid. Action completed.","Account closed. No further action required."),CHOOSE($Z937,"Collection Email","1st Email Follow-up","2nd Email Follow-up","Escalation to Local Office","Escalation to CBE","Escalation to Roxanne")&amp;" sent "&amp;TEXT($AA937,"dd-mmm")&amp;". "&amp;IF($Z937=6,"Final escalation completed.",IF($U937="OVERDUE","Next: "&amp;$AC937&amp;" was due "&amp;TEXT($AB937,"dd-mmm")&amp;" - "&amp;(NETWORKDAYS($AB937,TODAY(),Holidays)-1)&amp;" business day(s) late. Send now.",IF($U937="DUE TOMORROW","Next: "&amp;$AC937&amp;IF($AB937&lt;=TODAY()," is due TODAY ("," is due next business day (")&amp;TEXT($AB937,"dd-mmm")&amp;").","Next: "&amp;$AC937&amp;" due "&amp;TEXT($AB937,"dd-mmm")&amp;" ("&amp;(NETWORKDAYS(TODAY(),$AB937,Holidays)-1)&amp;" business day(s) left).")))))</f>
        <v/>
      </c>
      <c r="W937" s="17">
        <f>IF($Z937="","",CHOOSE($Z937,"Collection Email","1st Follow-up","2nd Follow-up","Local Office","CBE","Roxanne")&amp;IF($Z937=6," - Final"," - Day "&amp;MAX(0,NETWORKDAYS($AA937,TODAY(),Holidays)-1)&amp;" of "&amp;CHOOSE($Z937,3,3,2,2,3))&amp;" | Total Day "&amp;MAX(0,NETWORKDAYS($N937,TODAY(),Holidays)-1))</f>
        <v/>
      </c>
      <c r="X937" s="18"/>
      <c r="Y937" s="18"/>
      <c r="Z937" s="17">
        <f>IF($N937="","",COUNT($N937:$S937))</f>
        <v/>
      </c>
      <c r="AA937" s="19">
        <f>IF($Z937="","",INT(INDEX($N937:$S937,$Z937)))</f>
        <v/>
      </c>
      <c r="AB937" s="19">
        <f>IF(OR($Z937="",$Z937=6),"",WORKDAY($AA937,CHOOSE($Z937,3,3,2,2,3),Holidays))</f>
        <v/>
      </c>
      <c r="AC937" s="17">
        <f>IF(OR($Z937="",$Z937=6),"",CHOOSE($Z937,"1st Email Follow-up","2nd Email Follow-up","Escalate Local Office","Escalate to CBE","Escalate to Roxanne"))</f>
        <v/>
      </c>
    </row>
    <row r="938" spans="13:29">
      <c r="M938" s="14"/>
      <c r="T938" s="16"/>
      <c r="U938" s="17">
        <f>IF(AND(COUNTA($A938:$L938)=0,$N938=""),"",IF($T938="Paid","PAID",IF($T938="Closed","CLOSED",IF($Z938="","",IF($Z938=6,"ESCALATED TO ROXANNE",IF(TODAY()&gt;$AB938,"OVERDUE",IF($AB938&lt;=WORKDAY(TODAY(),1,Holidays),"DUE TOMORROW",IF($Z938=4,"ESCALATED TO LOCAL OFFICE",IF($Z938=5,"ESCALATED TO CBE",IF($AA938=TODAY(),"EMAIL SENT","MONITORING"))))))))))</f>
        <v/>
      </c>
      <c r="V938" s="17">
        <f>IF($U938="",IF(AND(COUNTA($A938:$L938)&gt;0,$N938=""),"Awaiting Collection Email time stamp.",""),IF(OR($U938="PAID",$U938="CLOSED"),IF($U938="PAID","Account paid. Action completed.","Account closed. No further action required."),CHOOSE($Z938,"Collection Email","1st Email Follow-up","2nd Email Follow-up","Escalation to Local Office","Escalation to CBE","Escalation to Roxanne")&amp;" sent "&amp;TEXT($AA938,"dd-mmm")&amp;". "&amp;IF($Z938=6,"Final escalation completed.",IF($U938="OVERDUE","Next: "&amp;$AC938&amp;" was due "&amp;TEXT($AB938,"dd-mmm")&amp;" - "&amp;(NETWORKDAYS($AB938,TODAY(),Holidays)-1)&amp;" business day(s) late. Send now.",IF($U938="DUE TOMORROW","Next: "&amp;$AC938&amp;IF($AB938&lt;=TODAY()," is due TODAY ("," is due next business day (")&amp;TEXT($AB938,"dd-mmm")&amp;").","Next: "&amp;$AC938&amp;" due "&amp;TEXT($AB938,"dd-mmm")&amp;" ("&amp;(NETWORKDAYS(TODAY(),$AB938,Holidays)-1)&amp;" business day(s) left).")))))</f>
        <v/>
      </c>
      <c r="W938" s="17">
        <f>IF($Z938="","",CHOOSE($Z938,"Collection Email","1st Follow-up","2nd Follow-up","Local Office","CBE","Roxanne")&amp;IF($Z938=6," - Final"," - Day "&amp;MAX(0,NETWORKDAYS($AA938,TODAY(),Holidays)-1)&amp;" of "&amp;CHOOSE($Z938,3,3,2,2,3))&amp;" | Total Day "&amp;MAX(0,NETWORKDAYS($N938,TODAY(),Holidays)-1))</f>
        <v/>
      </c>
      <c r="X938" s="18"/>
      <c r="Y938" s="18"/>
      <c r="Z938" s="17">
        <f>IF($N938="","",COUNT($N938:$S938))</f>
        <v/>
      </c>
      <c r="AA938" s="19">
        <f>IF($Z938="","",INT(INDEX($N938:$S938,$Z938)))</f>
        <v/>
      </c>
      <c r="AB938" s="19">
        <f>IF(OR($Z938="",$Z938=6),"",WORKDAY($AA938,CHOOSE($Z938,3,3,2,2,3),Holidays))</f>
        <v/>
      </c>
      <c r="AC938" s="17">
        <f>IF(OR($Z938="",$Z938=6),"",CHOOSE($Z938,"1st Email Follow-up","2nd Email Follow-up","Escalate Local Office","Escalate to CBE","Escalate to Roxanne"))</f>
        <v/>
      </c>
    </row>
    <row r="939" spans="13:29">
      <c r="M939" s="14"/>
      <c r="T939" s="16"/>
      <c r="U939" s="17">
        <f>IF(AND(COUNTA($A939:$L939)=0,$N939=""),"",IF($T939="Paid","PAID",IF($T939="Closed","CLOSED",IF($Z939="","",IF($Z939=6,"ESCALATED TO ROXANNE",IF(TODAY()&gt;$AB939,"OVERDUE",IF($AB939&lt;=WORKDAY(TODAY(),1,Holidays),"DUE TOMORROW",IF($Z939=4,"ESCALATED TO LOCAL OFFICE",IF($Z939=5,"ESCALATED TO CBE",IF($AA939=TODAY(),"EMAIL SENT","MONITORING"))))))))))</f>
        <v/>
      </c>
      <c r="V939" s="17">
        <f>IF($U939="",IF(AND(COUNTA($A939:$L939)&gt;0,$N939=""),"Awaiting Collection Email time stamp.",""),IF(OR($U939="PAID",$U939="CLOSED"),IF($U939="PAID","Account paid. Action completed.","Account closed. No further action required."),CHOOSE($Z939,"Collection Email","1st Email Follow-up","2nd Email Follow-up","Escalation to Local Office","Escalation to CBE","Escalation to Roxanne")&amp;" sent "&amp;TEXT($AA939,"dd-mmm")&amp;". "&amp;IF($Z939=6,"Final escalation completed.",IF($U939="OVERDUE","Next: "&amp;$AC939&amp;" was due "&amp;TEXT($AB939,"dd-mmm")&amp;" - "&amp;(NETWORKDAYS($AB939,TODAY(),Holidays)-1)&amp;" business day(s) late. Send now.",IF($U939="DUE TOMORROW","Next: "&amp;$AC939&amp;IF($AB939&lt;=TODAY()," is due TODAY ("," is due next business day (")&amp;TEXT($AB939,"dd-mmm")&amp;").","Next: "&amp;$AC939&amp;" due "&amp;TEXT($AB939,"dd-mmm")&amp;" ("&amp;(NETWORKDAYS(TODAY(),$AB939,Holidays)-1)&amp;" business day(s) left).")))))</f>
        <v/>
      </c>
      <c r="W939" s="17">
        <f>IF($Z939="","",CHOOSE($Z939,"Collection Email","1st Follow-up","2nd Follow-up","Local Office","CBE","Roxanne")&amp;IF($Z939=6," - Final"," - Day "&amp;MAX(0,NETWORKDAYS($AA939,TODAY(),Holidays)-1)&amp;" of "&amp;CHOOSE($Z939,3,3,2,2,3))&amp;" | Total Day "&amp;MAX(0,NETWORKDAYS($N939,TODAY(),Holidays)-1))</f>
        <v/>
      </c>
      <c r="X939" s="18"/>
      <c r="Y939" s="18"/>
      <c r="Z939" s="17">
        <f>IF($N939="","",COUNT($N939:$S939))</f>
        <v/>
      </c>
      <c r="AA939" s="19">
        <f>IF($Z939="","",INT(INDEX($N939:$S939,$Z939)))</f>
        <v/>
      </c>
      <c r="AB939" s="19">
        <f>IF(OR($Z939="",$Z939=6),"",WORKDAY($AA939,CHOOSE($Z939,3,3,2,2,3),Holidays))</f>
        <v/>
      </c>
      <c r="AC939" s="17">
        <f>IF(OR($Z939="",$Z939=6),"",CHOOSE($Z939,"1st Email Follow-up","2nd Email Follow-up","Escalate Local Office","Escalate to CBE","Escalate to Roxanne"))</f>
        <v/>
      </c>
    </row>
    <row r="940" spans="13:29">
      <c r="M940" s="14"/>
      <c r="T940" s="16"/>
      <c r="U940" s="17">
        <f>IF(AND(COUNTA($A940:$L940)=0,$N940=""),"",IF($T940="Paid","PAID",IF($T940="Closed","CLOSED",IF($Z940="","",IF($Z940=6,"ESCALATED TO ROXANNE",IF(TODAY()&gt;$AB940,"OVERDUE",IF($AB940&lt;=WORKDAY(TODAY(),1,Holidays),"DUE TOMORROW",IF($Z940=4,"ESCALATED TO LOCAL OFFICE",IF($Z940=5,"ESCALATED TO CBE",IF($AA940=TODAY(),"EMAIL SENT","MONITORING"))))))))))</f>
        <v/>
      </c>
      <c r="V940" s="17">
        <f>IF($U940="",IF(AND(COUNTA($A940:$L940)&gt;0,$N940=""),"Awaiting Collection Email time stamp.",""),IF(OR($U940="PAID",$U940="CLOSED"),IF($U940="PAID","Account paid. Action completed.","Account closed. No further action required."),CHOOSE($Z940,"Collection Email","1st Email Follow-up","2nd Email Follow-up","Escalation to Local Office","Escalation to CBE","Escalation to Roxanne")&amp;" sent "&amp;TEXT($AA940,"dd-mmm")&amp;". "&amp;IF($Z940=6,"Final escalation completed.",IF($U940="OVERDUE","Next: "&amp;$AC940&amp;" was due "&amp;TEXT($AB940,"dd-mmm")&amp;" - "&amp;(NETWORKDAYS($AB940,TODAY(),Holidays)-1)&amp;" business day(s) late. Send now.",IF($U940="DUE TOMORROW","Next: "&amp;$AC940&amp;IF($AB940&lt;=TODAY()," is due TODAY ("," is due next business day (")&amp;TEXT($AB940,"dd-mmm")&amp;").","Next: "&amp;$AC940&amp;" due "&amp;TEXT($AB940,"dd-mmm")&amp;" ("&amp;(NETWORKDAYS(TODAY(),$AB940,Holidays)-1)&amp;" business day(s) left).")))))</f>
        <v/>
      </c>
      <c r="W940" s="17">
        <f>IF($Z940="","",CHOOSE($Z940,"Collection Email","1st Follow-up","2nd Follow-up","Local Office","CBE","Roxanne")&amp;IF($Z940=6," - Final"," - Day "&amp;MAX(0,NETWORKDAYS($AA940,TODAY(),Holidays)-1)&amp;" of "&amp;CHOOSE($Z940,3,3,2,2,3))&amp;" | Total Day "&amp;MAX(0,NETWORKDAYS($N940,TODAY(),Holidays)-1))</f>
        <v/>
      </c>
      <c r="X940" s="18"/>
      <c r="Y940" s="18"/>
      <c r="Z940" s="17">
        <f>IF($N940="","",COUNT($N940:$S940))</f>
        <v/>
      </c>
      <c r="AA940" s="19">
        <f>IF($Z940="","",INT(INDEX($N940:$S940,$Z940)))</f>
        <v/>
      </c>
      <c r="AB940" s="19">
        <f>IF(OR($Z940="",$Z940=6),"",WORKDAY($AA940,CHOOSE($Z940,3,3,2,2,3),Holidays))</f>
        <v/>
      </c>
      <c r="AC940" s="17">
        <f>IF(OR($Z940="",$Z940=6),"",CHOOSE($Z940,"1st Email Follow-up","2nd Email Follow-up","Escalate Local Office","Escalate to CBE","Escalate to Roxanne"))</f>
        <v/>
      </c>
    </row>
    <row r="941" spans="13:29">
      <c r="M941" s="14"/>
      <c r="T941" s="16"/>
      <c r="U941" s="17">
        <f>IF(AND(COUNTA($A941:$L941)=0,$N941=""),"",IF($T941="Paid","PAID",IF($T941="Closed","CLOSED",IF($Z941="","",IF($Z941=6,"ESCALATED TO ROXANNE",IF(TODAY()&gt;$AB941,"OVERDUE",IF($AB941&lt;=WORKDAY(TODAY(),1,Holidays),"DUE TOMORROW",IF($Z941=4,"ESCALATED TO LOCAL OFFICE",IF($Z941=5,"ESCALATED TO CBE",IF($AA941=TODAY(),"EMAIL SENT","MONITORING"))))))))))</f>
        <v/>
      </c>
      <c r="V941" s="17">
        <f>IF($U941="",IF(AND(COUNTA($A941:$L941)&gt;0,$N941=""),"Awaiting Collection Email time stamp.",""),IF(OR($U941="PAID",$U941="CLOSED"),IF($U941="PAID","Account paid. Action completed.","Account closed. No further action required."),CHOOSE($Z941,"Collection Email","1st Email Follow-up","2nd Email Follow-up","Escalation to Local Office","Escalation to CBE","Escalation to Roxanne")&amp;" sent "&amp;TEXT($AA941,"dd-mmm")&amp;". "&amp;IF($Z941=6,"Final escalation completed.",IF($U941="OVERDUE","Next: "&amp;$AC941&amp;" was due "&amp;TEXT($AB941,"dd-mmm")&amp;" - "&amp;(NETWORKDAYS($AB941,TODAY(),Holidays)-1)&amp;" business day(s) late. Send now.",IF($U941="DUE TOMORROW","Next: "&amp;$AC941&amp;IF($AB941&lt;=TODAY()," is due TODAY ("," is due next business day (")&amp;TEXT($AB941,"dd-mmm")&amp;").","Next: "&amp;$AC941&amp;" due "&amp;TEXT($AB941,"dd-mmm")&amp;" ("&amp;(NETWORKDAYS(TODAY(),$AB941,Holidays)-1)&amp;" business day(s) left).")))))</f>
        <v/>
      </c>
      <c r="W941" s="17">
        <f>IF($Z941="","",CHOOSE($Z941,"Collection Email","1st Follow-up","2nd Follow-up","Local Office","CBE","Roxanne")&amp;IF($Z941=6," - Final"," - Day "&amp;MAX(0,NETWORKDAYS($AA941,TODAY(),Holidays)-1)&amp;" of "&amp;CHOOSE($Z941,3,3,2,2,3))&amp;" | Total Day "&amp;MAX(0,NETWORKDAYS($N941,TODAY(),Holidays)-1))</f>
        <v/>
      </c>
      <c r="X941" s="18"/>
      <c r="Y941" s="18"/>
      <c r="Z941" s="17">
        <f>IF($N941="","",COUNT($N941:$S941))</f>
        <v/>
      </c>
      <c r="AA941" s="19">
        <f>IF($Z941="","",INT(INDEX($N941:$S941,$Z941)))</f>
        <v/>
      </c>
      <c r="AB941" s="19">
        <f>IF(OR($Z941="",$Z941=6),"",WORKDAY($AA941,CHOOSE($Z941,3,3,2,2,3),Holidays))</f>
        <v/>
      </c>
      <c r="AC941" s="17">
        <f>IF(OR($Z941="",$Z941=6),"",CHOOSE($Z941,"1st Email Follow-up","2nd Email Follow-up","Escalate Local Office","Escalate to CBE","Escalate to Roxanne"))</f>
        <v/>
      </c>
    </row>
    <row r="942" spans="13:29">
      <c r="M942" s="14"/>
      <c r="T942" s="16"/>
      <c r="U942" s="17">
        <f>IF(AND(COUNTA($A942:$L942)=0,$N942=""),"",IF($T942="Paid","PAID",IF($T942="Closed","CLOSED",IF($Z942="","",IF($Z942=6,"ESCALATED TO ROXANNE",IF(TODAY()&gt;$AB942,"OVERDUE",IF($AB942&lt;=WORKDAY(TODAY(),1,Holidays),"DUE TOMORROW",IF($Z942=4,"ESCALATED TO LOCAL OFFICE",IF($Z942=5,"ESCALATED TO CBE",IF($AA942=TODAY(),"EMAIL SENT","MONITORING"))))))))))</f>
        <v/>
      </c>
      <c r="V942" s="17">
        <f>IF($U942="",IF(AND(COUNTA($A942:$L942)&gt;0,$N942=""),"Awaiting Collection Email time stamp.",""),IF(OR($U942="PAID",$U942="CLOSED"),IF($U942="PAID","Account paid. Action completed.","Account closed. No further action required."),CHOOSE($Z942,"Collection Email","1st Email Follow-up","2nd Email Follow-up","Escalation to Local Office","Escalation to CBE","Escalation to Roxanne")&amp;" sent "&amp;TEXT($AA942,"dd-mmm")&amp;". "&amp;IF($Z942=6,"Final escalation completed.",IF($U942="OVERDUE","Next: "&amp;$AC942&amp;" was due "&amp;TEXT($AB942,"dd-mmm")&amp;" - "&amp;(NETWORKDAYS($AB942,TODAY(),Holidays)-1)&amp;" business day(s) late. Send now.",IF($U942="DUE TOMORROW","Next: "&amp;$AC942&amp;IF($AB942&lt;=TODAY()," is due TODAY ("," is due next business day (")&amp;TEXT($AB942,"dd-mmm")&amp;").","Next: "&amp;$AC942&amp;" due "&amp;TEXT($AB942,"dd-mmm")&amp;" ("&amp;(NETWORKDAYS(TODAY(),$AB942,Holidays)-1)&amp;" business day(s) left).")))))</f>
        <v/>
      </c>
      <c r="W942" s="17">
        <f>IF($Z942="","",CHOOSE($Z942,"Collection Email","1st Follow-up","2nd Follow-up","Local Office","CBE","Roxanne")&amp;IF($Z942=6," - Final"," - Day "&amp;MAX(0,NETWORKDAYS($AA942,TODAY(),Holidays)-1)&amp;" of "&amp;CHOOSE($Z942,3,3,2,2,3))&amp;" | Total Day "&amp;MAX(0,NETWORKDAYS($N942,TODAY(),Holidays)-1))</f>
        <v/>
      </c>
      <c r="X942" s="18"/>
      <c r="Y942" s="18"/>
      <c r="Z942" s="17">
        <f>IF($N942="","",COUNT($N942:$S942))</f>
        <v/>
      </c>
      <c r="AA942" s="19">
        <f>IF($Z942="","",INT(INDEX($N942:$S942,$Z942)))</f>
        <v/>
      </c>
      <c r="AB942" s="19">
        <f>IF(OR($Z942="",$Z942=6),"",WORKDAY($AA942,CHOOSE($Z942,3,3,2,2,3),Holidays))</f>
        <v/>
      </c>
      <c r="AC942" s="17">
        <f>IF(OR($Z942="",$Z942=6),"",CHOOSE($Z942,"1st Email Follow-up","2nd Email Follow-up","Escalate Local Office","Escalate to CBE","Escalate to Roxanne"))</f>
        <v/>
      </c>
    </row>
    <row r="943" spans="13:29">
      <c r="M943" s="14"/>
      <c r="T943" s="16"/>
      <c r="U943" s="17">
        <f>IF(AND(COUNTA($A943:$L943)=0,$N943=""),"",IF($T943="Paid","PAID",IF($T943="Closed","CLOSED",IF($Z943="","",IF($Z943=6,"ESCALATED TO ROXANNE",IF(TODAY()&gt;$AB943,"OVERDUE",IF($AB943&lt;=WORKDAY(TODAY(),1,Holidays),"DUE TOMORROW",IF($Z943=4,"ESCALATED TO LOCAL OFFICE",IF($Z943=5,"ESCALATED TO CBE",IF($AA943=TODAY(),"EMAIL SENT","MONITORING"))))))))))</f>
        <v/>
      </c>
      <c r="V943" s="17">
        <f>IF($U943="",IF(AND(COUNTA($A943:$L943)&gt;0,$N943=""),"Awaiting Collection Email time stamp.",""),IF(OR($U943="PAID",$U943="CLOSED"),IF($U943="PAID","Account paid. Action completed.","Account closed. No further action required."),CHOOSE($Z943,"Collection Email","1st Email Follow-up","2nd Email Follow-up","Escalation to Local Office","Escalation to CBE","Escalation to Roxanne")&amp;" sent "&amp;TEXT($AA943,"dd-mmm")&amp;". "&amp;IF($Z943=6,"Final escalation completed.",IF($U943="OVERDUE","Next: "&amp;$AC943&amp;" was due "&amp;TEXT($AB943,"dd-mmm")&amp;" - "&amp;(NETWORKDAYS($AB943,TODAY(),Holidays)-1)&amp;" business day(s) late. Send now.",IF($U943="DUE TOMORROW","Next: "&amp;$AC943&amp;IF($AB943&lt;=TODAY()," is due TODAY ("," is due next business day (")&amp;TEXT($AB943,"dd-mmm")&amp;").","Next: "&amp;$AC943&amp;" due "&amp;TEXT($AB943,"dd-mmm")&amp;" ("&amp;(NETWORKDAYS(TODAY(),$AB943,Holidays)-1)&amp;" business day(s) left).")))))</f>
        <v/>
      </c>
      <c r="W943" s="17">
        <f>IF($Z943="","",CHOOSE($Z943,"Collection Email","1st Follow-up","2nd Follow-up","Local Office","CBE","Roxanne")&amp;IF($Z943=6," - Final"," - Day "&amp;MAX(0,NETWORKDAYS($AA943,TODAY(),Holidays)-1)&amp;" of "&amp;CHOOSE($Z943,3,3,2,2,3))&amp;" | Total Day "&amp;MAX(0,NETWORKDAYS($N943,TODAY(),Holidays)-1))</f>
        <v/>
      </c>
      <c r="X943" s="18"/>
      <c r="Y943" s="18"/>
      <c r="Z943" s="17">
        <f>IF($N943="","",COUNT($N943:$S943))</f>
        <v/>
      </c>
      <c r="AA943" s="19">
        <f>IF($Z943="","",INT(INDEX($N943:$S943,$Z943)))</f>
        <v/>
      </c>
      <c r="AB943" s="19">
        <f>IF(OR($Z943="",$Z943=6),"",WORKDAY($AA943,CHOOSE($Z943,3,3,2,2,3),Holidays))</f>
        <v/>
      </c>
      <c r="AC943" s="17">
        <f>IF(OR($Z943="",$Z943=6),"",CHOOSE($Z943,"1st Email Follow-up","2nd Email Follow-up","Escalate Local Office","Escalate to CBE","Escalate to Roxanne"))</f>
        <v/>
      </c>
    </row>
    <row r="944" spans="13:29">
      <c r="M944" s="14"/>
      <c r="T944" s="16"/>
      <c r="U944" s="17">
        <f>IF(AND(COUNTA($A944:$L944)=0,$N944=""),"",IF($T944="Paid","PAID",IF($T944="Closed","CLOSED",IF($Z944="","",IF($Z944=6,"ESCALATED TO ROXANNE",IF(TODAY()&gt;$AB944,"OVERDUE",IF($AB944&lt;=WORKDAY(TODAY(),1,Holidays),"DUE TOMORROW",IF($Z944=4,"ESCALATED TO LOCAL OFFICE",IF($Z944=5,"ESCALATED TO CBE",IF($AA944=TODAY(),"EMAIL SENT","MONITORING"))))))))))</f>
        <v/>
      </c>
      <c r="V944" s="17">
        <f>IF($U944="",IF(AND(COUNTA($A944:$L944)&gt;0,$N944=""),"Awaiting Collection Email time stamp.",""),IF(OR($U944="PAID",$U944="CLOSED"),IF($U944="PAID","Account paid. Action completed.","Account closed. No further action required."),CHOOSE($Z944,"Collection Email","1st Email Follow-up","2nd Email Follow-up","Escalation to Local Office","Escalation to CBE","Escalation to Roxanne")&amp;" sent "&amp;TEXT($AA944,"dd-mmm")&amp;". "&amp;IF($Z944=6,"Final escalation completed.",IF($U944="OVERDUE","Next: "&amp;$AC944&amp;" was due "&amp;TEXT($AB944,"dd-mmm")&amp;" - "&amp;(NETWORKDAYS($AB944,TODAY(),Holidays)-1)&amp;" business day(s) late. Send now.",IF($U944="DUE TOMORROW","Next: "&amp;$AC944&amp;IF($AB944&lt;=TODAY()," is due TODAY ("," is due next business day (")&amp;TEXT($AB944,"dd-mmm")&amp;").","Next: "&amp;$AC944&amp;" due "&amp;TEXT($AB944,"dd-mmm")&amp;" ("&amp;(NETWORKDAYS(TODAY(),$AB944,Holidays)-1)&amp;" business day(s) left).")))))</f>
        <v/>
      </c>
      <c r="W944" s="17">
        <f>IF($Z944="","",CHOOSE($Z944,"Collection Email","1st Follow-up","2nd Follow-up","Local Office","CBE","Roxanne")&amp;IF($Z944=6," - Final"," - Day "&amp;MAX(0,NETWORKDAYS($AA944,TODAY(),Holidays)-1)&amp;" of "&amp;CHOOSE($Z944,3,3,2,2,3))&amp;" | Total Day "&amp;MAX(0,NETWORKDAYS($N944,TODAY(),Holidays)-1))</f>
        <v/>
      </c>
      <c r="X944" s="18"/>
      <c r="Y944" s="18"/>
      <c r="Z944" s="17">
        <f>IF($N944="","",COUNT($N944:$S944))</f>
        <v/>
      </c>
      <c r="AA944" s="19">
        <f>IF($Z944="","",INT(INDEX($N944:$S944,$Z944)))</f>
        <v/>
      </c>
      <c r="AB944" s="19">
        <f>IF(OR($Z944="",$Z944=6),"",WORKDAY($AA944,CHOOSE($Z944,3,3,2,2,3),Holidays))</f>
        <v/>
      </c>
      <c r="AC944" s="17">
        <f>IF(OR($Z944="",$Z944=6),"",CHOOSE($Z944,"1st Email Follow-up","2nd Email Follow-up","Escalate Local Office","Escalate to CBE","Escalate to Roxanne"))</f>
        <v/>
      </c>
    </row>
    <row r="945" spans="13:29">
      <c r="M945" s="14"/>
      <c r="T945" s="16"/>
      <c r="U945" s="17">
        <f>IF(AND(COUNTA($A945:$L945)=0,$N945=""),"",IF($T945="Paid","PAID",IF($T945="Closed","CLOSED",IF($Z945="","",IF($Z945=6,"ESCALATED TO ROXANNE",IF(TODAY()&gt;$AB945,"OVERDUE",IF($AB945&lt;=WORKDAY(TODAY(),1,Holidays),"DUE TOMORROW",IF($Z945=4,"ESCALATED TO LOCAL OFFICE",IF($Z945=5,"ESCALATED TO CBE",IF($AA945=TODAY(),"EMAIL SENT","MONITORING"))))))))))</f>
        <v/>
      </c>
      <c r="V945" s="17">
        <f>IF($U945="",IF(AND(COUNTA($A945:$L945)&gt;0,$N945=""),"Awaiting Collection Email time stamp.",""),IF(OR($U945="PAID",$U945="CLOSED"),IF($U945="PAID","Account paid. Action completed.","Account closed. No further action required."),CHOOSE($Z945,"Collection Email","1st Email Follow-up","2nd Email Follow-up","Escalation to Local Office","Escalation to CBE","Escalation to Roxanne")&amp;" sent "&amp;TEXT($AA945,"dd-mmm")&amp;". "&amp;IF($Z945=6,"Final escalation completed.",IF($U945="OVERDUE","Next: "&amp;$AC945&amp;" was due "&amp;TEXT($AB945,"dd-mmm")&amp;" - "&amp;(NETWORKDAYS($AB945,TODAY(),Holidays)-1)&amp;" business day(s) late. Send now.",IF($U945="DUE TOMORROW","Next: "&amp;$AC945&amp;IF($AB945&lt;=TODAY()," is due TODAY ("," is due next business day (")&amp;TEXT($AB945,"dd-mmm")&amp;").","Next: "&amp;$AC945&amp;" due "&amp;TEXT($AB945,"dd-mmm")&amp;" ("&amp;(NETWORKDAYS(TODAY(),$AB945,Holidays)-1)&amp;" business day(s) left).")))))</f>
        <v/>
      </c>
      <c r="W945" s="17">
        <f>IF($Z945="","",CHOOSE($Z945,"Collection Email","1st Follow-up","2nd Follow-up","Local Office","CBE","Roxanne")&amp;IF($Z945=6," - Final"," - Day "&amp;MAX(0,NETWORKDAYS($AA945,TODAY(),Holidays)-1)&amp;" of "&amp;CHOOSE($Z945,3,3,2,2,3))&amp;" | Total Day "&amp;MAX(0,NETWORKDAYS($N945,TODAY(),Holidays)-1))</f>
        <v/>
      </c>
      <c r="X945" s="18"/>
      <c r="Y945" s="18"/>
      <c r="Z945" s="17">
        <f>IF($N945="","",COUNT($N945:$S945))</f>
        <v/>
      </c>
      <c r="AA945" s="19">
        <f>IF($Z945="","",INT(INDEX($N945:$S945,$Z945)))</f>
        <v/>
      </c>
      <c r="AB945" s="19">
        <f>IF(OR($Z945="",$Z945=6),"",WORKDAY($AA945,CHOOSE($Z945,3,3,2,2,3),Holidays))</f>
        <v/>
      </c>
      <c r="AC945" s="17">
        <f>IF(OR($Z945="",$Z945=6),"",CHOOSE($Z945,"1st Email Follow-up","2nd Email Follow-up","Escalate Local Office","Escalate to CBE","Escalate to Roxanne"))</f>
        <v/>
      </c>
    </row>
    <row r="946" spans="13:29">
      <c r="M946" s="14"/>
      <c r="T946" s="16"/>
      <c r="U946" s="17">
        <f>IF(AND(COUNTA($A946:$L946)=0,$N946=""),"",IF($T946="Paid","PAID",IF($T946="Closed","CLOSED",IF($Z946="","",IF($Z946=6,"ESCALATED TO ROXANNE",IF(TODAY()&gt;$AB946,"OVERDUE",IF($AB946&lt;=WORKDAY(TODAY(),1,Holidays),"DUE TOMORROW",IF($Z946=4,"ESCALATED TO LOCAL OFFICE",IF($Z946=5,"ESCALATED TO CBE",IF($AA946=TODAY(),"EMAIL SENT","MONITORING"))))))))))</f>
        <v/>
      </c>
      <c r="V946" s="17">
        <f>IF($U946="",IF(AND(COUNTA($A946:$L946)&gt;0,$N946=""),"Awaiting Collection Email time stamp.",""),IF(OR($U946="PAID",$U946="CLOSED"),IF($U946="PAID","Account paid. Action completed.","Account closed. No further action required."),CHOOSE($Z946,"Collection Email","1st Email Follow-up","2nd Email Follow-up","Escalation to Local Office","Escalation to CBE","Escalation to Roxanne")&amp;" sent "&amp;TEXT($AA946,"dd-mmm")&amp;". "&amp;IF($Z946=6,"Final escalation completed.",IF($U946="OVERDUE","Next: "&amp;$AC946&amp;" was due "&amp;TEXT($AB946,"dd-mmm")&amp;" - "&amp;(NETWORKDAYS($AB946,TODAY(),Holidays)-1)&amp;" business day(s) late. Send now.",IF($U946="DUE TOMORROW","Next: "&amp;$AC946&amp;IF($AB946&lt;=TODAY()," is due TODAY ("," is due next business day (")&amp;TEXT($AB946,"dd-mmm")&amp;").","Next: "&amp;$AC946&amp;" due "&amp;TEXT($AB946,"dd-mmm")&amp;" ("&amp;(NETWORKDAYS(TODAY(),$AB946,Holidays)-1)&amp;" business day(s) left).")))))</f>
        <v/>
      </c>
      <c r="W946" s="17">
        <f>IF($Z946="","",CHOOSE($Z946,"Collection Email","1st Follow-up","2nd Follow-up","Local Office","CBE","Roxanne")&amp;IF($Z946=6," - Final"," - Day "&amp;MAX(0,NETWORKDAYS($AA946,TODAY(),Holidays)-1)&amp;" of "&amp;CHOOSE($Z946,3,3,2,2,3))&amp;" | Total Day "&amp;MAX(0,NETWORKDAYS($N946,TODAY(),Holidays)-1))</f>
        <v/>
      </c>
      <c r="X946" s="18"/>
      <c r="Y946" s="18"/>
      <c r="Z946" s="17">
        <f>IF($N946="","",COUNT($N946:$S946))</f>
        <v/>
      </c>
      <c r="AA946" s="19">
        <f>IF($Z946="","",INT(INDEX($N946:$S946,$Z946)))</f>
        <v/>
      </c>
      <c r="AB946" s="19">
        <f>IF(OR($Z946="",$Z946=6),"",WORKDAY($AA946,CHOOSE($Z946,3,3,2,2,3),Holidays))</f>
        <v/>
      </c>
      <c r="AC946" s="17">
        <f>IF(OR($Z946="",$Z946=6),"",CHOOSE($Z946,"1st Email Follow-up","2nd Email Follow-up","Escalate Local Office","Escalate to CBE","Escalate to Roxanne"))</f>
        <v/>
      </c>
    </row>
    <row r="947" spans="13:29">
      <c r="M947" s="14"/>
      <c r="T947" s="16"/>
      <c r="U947" s="17">
        <f>IF(AND(COUNTA($A947:$L947)=0,$N947=""),"",IF($T947="Paid","PAID",IF($T947="Closed","CLOSED",IF($Z947="","",IF($Z947=6,"ESCALATED TO ROXANNE",IF(TODAY()&gt;$AB947,"OVERDUE",IF($AB947&lt;=WORKDAY(TODAY(),1,Holidays),"DUE TOMORROW",IF($Z947=4,"ESCALATED TO LOCAL OFFICE",IF($Z947=5,"ESCALATED TO CBE",IF($AA947=TODAY(),"EMAIL SENT","MONITORING"))))))))))</f>
        <v/>
      </c>
      <c r="V947" s="17">
        <f>IF($U947="",IF(AND(COUNTA($A947:$L947)&gt;0,$N947=""),"Awaiting Collection Email time stamp.",""),IF(OR($U947="PAID",$U947="CLOSED"),IF($U947="PAID","Account paid. Action completed.","Account closed. No further action required."),CHOOSE($Z947,"Collection Email","1st Email Follow-up","2nd Email Follow-up","Escalation to Local Office","Escalation to CBE","Escalation to Roxanne")&amp;" sent "&amp;TEXT($AA947,"dd-mmm")&amp;". "&amp;IF($Z947=6,"Final escalation completed.",IF($U947="OVERDUE","Next: "&amp;$AC947&amp;" was due "&amp;TEXT($AB947,"dd-mmm")&amp;" - "&amp;(NETWORKDAYS($AB947,TODAY(),Holidays)-1)&amp;" business day(s) late. Send now.",IF($U947="DUE TOMORROW","Next: "&amp;$AC947&amp;IF($AB947&lt;=TODAY()," is due TODAY ("," is due next business day (")&amp;TEXT($AB947,"dd-mmm")&amp;").","Next: "&amp;$AC947&amp;" due "&amp;TEXT($AB947,"dd-mmm")&amp;" ("&amp;(NETWORKDAYS(TODAY(),$AB947,Holidays)-1)&amp;" business day(s) left).")))))</f>
        <v/>
      </c>
      <c r="W947" s="17">
        <f>IF($Z947="","",CHOOSE($Z947,"Collection Email","1st Follow-up","2nd Follow-up","Local Office","CBE","Roxanne")&amp;IF($Z947=6," - Final"," - Day "&amp;MAX(0,NETWORKDAYS($AA947,TODAY(),Holidays)-1)&amp;" of "&amp;CHOOSE($Z947,3,3,2,2,3))&amp;" | Total Day "&amp;MAX(0,NETWORKDAYS($N947,TODAY(),Holidays)-1))</f>
        <v/>
      </c>
      <c r="X947" s="18"/>
      <c r="Y947" s="18"/>
      <c r="Z947" s="17">
        <f>IF($N947="","",COUNT($N947:$S947))</f>
        <v/>
      </c>
      <c r="AA947" s="19">
        <f>IF($Z947="","",INT(INDEX($N947:$S947,$Z947)))</f>
        <v/>
      </c>
      <c r="AB947" s="19">
        <f>IF(OR($Z947="",$Z947=6),"",WORKDAY($AA947,CHOOSE($Z947,3,3,2,2,3),Holidays))</f>
        <v/>
      </c>
      <c r="AC947" s="17">
        <f>IF(OR($Z947="",$Z947=6),"",CHOOSE($Z947,"1st Email Follow-up","2nd Email Follow-up","Escalate Local Office","Escalate to CBE","Escalate to Roxanne"))</f>
        <v/>
      </c>
    </row>
    <row r="948" spans="13:29">
      <c r="M948" s="14"/>
      <c r="T948" s="16"/>
      <c r="U948" s="17">
        <f>IF(AND(COUNTA($A948:$L948)=0,$N948=""),"",IF($T948="Paid","PAID",IF($T948="Closed","CLOSED",IF($Z948="","",IF($Z948=6,"ESCALATED TO ROXANNE",IF(TODAY()&gt;$AB948,"OVERDUE",IF($AB948&lt;=WORKDAY(TODAY(),1,Holidays),"DUE TOMORROW",IF($Z948=4,"ESCALATED TO LOCAL OFFICE",IF($Z948=5,"ESCALATED TO CBE",IF($AA948=TODAY(),"EMAIL SENT","MONITORING"))))))))))</f>
        <v/>
      </c>
      <c r="V948" s="17">
        <f>IF($U948="",IF(AND(COUNTA($A948:$L948)&gt;0,$N948=""),"Awaiting Collection Email time stamp.",""),IF(OR($U948="PAID",$U948="CLOSED"),IF($U948="PAID","Account paid. Action completed.","Account closed. No further action required."),CHOOSE($Z948,"Collection Email","1st Email Follow-up","2nd Email Follow-up","Escalation to Local Office","Escalation to CBE","Escalation to Roxanne")&amp;" sent "&amp;TEXT($AA948,"dd-mmm")&amp;". "&amp;IF($Z948=6,"Final escalation completed.",IF($U948="OVERDUE","Next: "&amp;$AC948&amp;" was due "&amp;TEXT($AB948,"dd-mmm")&amp;" - "&amp;(NETWORKDAYS($AB948,TODAY(),Holidays)-1)&amp;" business day(s) late. Send now.",IF($U948="DUE TOMORROW","Next: "&amp;$AC948&amp;IF($AB948&lt;=TODAY()," is due TODAY ("," is due next business day (")&amp;TEXT($AB948,"dd-mmm")&amp;").","Next: "&amp;$AC948&amp;" due "&amp;TEXT($AB948,"dd-mmm")&amp;" ("&amp;(NETWORKDAYS(TODAY(),$AB948,Holidays)-1)&amp;" business day(s) left).")))))</f>
        <v/>
      </c>
      <c r="W948" s="17">
        <f>IF($Z948="","",CHOOSE($Z948,"Collection Email","1st Follow-up","2nd Follow-up","Local Office","CBE","Roxanne")&amp;IF($Z948=6," - Final"," - Day "&amp;MAX(0,NETWORKDAYS($AA948,TODAY(),Holidays)-1)&amp;" of "&amp;CHOOSE($Z948,3,3,2,2,3))&amp;" | Total Day "&amp;MAX(0,NETWORKDAYS($N948,TODAY(),Holidays)-1))</f>
        <v/>
      </c>
      <c r="X948" s="18"/>
      <c r="Y948" s="18"/>
      <c r="Z948" s="17">
        <f>IF($N948="","",COUNT($N948:$S948))</f>
        <v/>
      </c>
      <c r="AA948" s="19">
        <f>IF($Z948="","",INT(INDEX($N948:$S948,$Z948)))</f>
        <v/>
      </c>
      <c r="AB948" s="19">
        <f>IF(OR($Z948="",$Z948=6),"",WORKDAY($AA948,CHOOSE($Z948,3,3,2,2,3),Holidays))</f>
        <v/>
      </c>
      <c r="AC948" s="17">
        <f>IF(OR($Z948="",$Z948=6),"",CHOOSE($Z948,"1st Email Follow-up","2nd Email Follow-up","Escalate Local Office","Escalate to CBE","Escalate to Roxanne"))</f>
        <v/>
      </c>
    </row>
    <row r="949" spans="13:29">
      <c r="M949" s="14"/>
      <c r="T949" s="16"/>
      <c r="U949" s="17">
        <f>IF(AND(COUNTA($A949:$L949)=0,$N949=""),"",IF($T949="Paid","PAID",IF($T949="Closed","CLOSED",IF($Z949="","",IF($Z949=6,"ESCALATED TO ROXANNE",IF(TODAY()&gt;$AB949,"OVERDUE",IF($AB949&lt;=WORKDAY(TODAY(),1,Holidays),"DUE TOMORROW",IF($Z949=4,"ESCALATED TO LOCAL OFFICE",IF($Z949=5,"ESCALATED TO CBE",IF($AA949=TODAY(),"EMAIL SENT","MONITORING"))))))))))</f>
        <v/>
      </c>
      <c r="V949" s="17">
        <f>IF($U949="",IF(AND(COUNTA($A949:$L949)&gt;0,$N949=""),"Awaiting Collection Email time stamp.",""),IF(OR($U949="PAID",$U949="CLOSED"),IF($U949="PAID","Account paid. Action completed.","Account closed. No further action required."),CHOOSE($Z949,"Collection Email","1st Email Follow-up","2nd Email Follow-up","Escalation to Local Office","Escalation to CBE","Escalation to Roxanne")&amp;" sent "&amp;TEXT($AA949,"dd-mmm")&amp;". "&amp;IF($Z949=6,"Final escalation completed.",IF($U949="OVERDUE","Next: "&amp;$AC949&amp;" was due "&amp;TEXT($AB949,"dd-mmm")&amp;" - "&amp;(NETWORKDAYS($AB949,TODAY(),Holidays)-1)&amp;" business day(s) late. Send now.",IF($U949="DUE TOMORROW","Next: "&amp;$AC949&amp;IF($AB949&lt;=TODAY()," is due TODAY ("," is due next business day (")&amp;TEXT($AB949,"dd-mmm")&amp;").","Next: "&amp;$AC949&amp;" due "&amp;TEXT($AB949,"dd-mmm")&amp;" ("&amp;(NETWORKDAYS(TODAY(),$AB949,Holidays)-1)&amp;" business day(s) left).")))))</f>
        <v/>
      </c>
      <c r="W949" s="17">
        <f>IF($Z949="","",CHOOSE($Z949,"Collection Email","1st Follow-up","2nd Follow-up","Local Office","CBE","Roxanne")&amp;IF($Z949=6," - Final"," - Day "&amp;MAX(0,NETWORKDAYS($AA949,TODAY(),Holidays)-1)&amp;" of "&amp;CHOOSE($Z949,3,3,2,2,3))&amp;" | Total Day "&amp;MAX(0,NETWORKDAYS($N949,TODAY(),Holidays)-1))</f>
        <v/>
      </c>
      <c r="X949" s="18"/>
      <c r="Y949" s="18"/>
      <c r="Z949" s="17">
        <f>IF($N949="","",COUNT($N949:$S949))</f>
        <v/>
      </c>
      <c r="AA949" s="19">
        <f>IF($Z949="","",INT(INDEX($N949:$S949,$Z949)))</f>
        <v/>
      </c>
      <c r="AB949" s="19">
        <f>IF(OR($Z949="",$Z949=6),"",WORKDAY($AA949,CHOOSE($Z949,3,3,2,2,3),Holidays))</f>
        <v/>
      </c>
      <c r="AC949" s="17">
        <f>IF(OR($Z949="",$Z949=6),"",CHOOSE($Z949,"1st Email Follow-up","2nd Email Follow-up","Escalate Local Office","Escalate to CBE","Escalate to Roxanne"))</f>
        <v/>
      </c>
    </row>
    <row r="950" spans="13:29">
      <c r="M950" s="14"/>
      <c r="T950" s="16"/>
      <c r="U950" s="17">
        <f>IF(AND(COUNTA($A950:$L950)=0,$N950=""),"",IF($T950="Paid","PAID",IF($T950="Closed","CLOSED",IF($Z950="","",IF($Z950=6,"ESCALATED TO ROXANNE",IF(TODAY()&gt;$AB950,"OVERDUE",IF($AB950&lt;=WORKDAY(TODAY(),1,Holidays),"DUE TOMORROW",IF($Z950=4,"ESCALATED TO LOCAL OFFICE",IF($Z950=5,"ESCALATED TO CBE",IF($AA950=TODAY(),"EMAIL SENT","MONITORING"))))))))))</f>
        <v/>
      </c>
      <c r="V950" s="17">
        <f>IF($U950="",IF(AND(COUNTA($A950:$L950)&gt;0,$N950=""),"Awaiting Collection Email time stamp.",""),IF(OR($U950="PAID",$U950="CLOSED"),IF($U950="PAID","Account paid. Action completed.","Account closed. No further action required."),CHOOSE($Z950,"Collection Email","1st Email Follow-up","2nd Email Follow-up","Escalation to Local Office","Escalation to CBE","Escalation to Roxanne")&amp;" sent "&amp;TEXT($AA950,"dd-mmm")&amp;". "&amp;IF($Z950=6,"Final escalation completed.",IF($U950="OVERDUE","Next: "&amp;$AC950&amp;" was due "&amp;TEXT($AB950,"dd-mmm")&amp;" - "&amp;(NETWORKDAYS($AB950,TODAY(),Holidays)-1)&amp;" business day(s) late. Send now.",IF($U950="DUE TOMORROW","Next: "&amp;$AC950&amp;IF($AB950&lt;=TODAY()," is due TODAY ("," is due next business day (")&amp;TEXT($AB950,"dd-mmm")&amp;").","Next: "&amp;$AC950&amp;" due "&amp;TEXT($AB950,"dd-mmm")&amp;" ("&amp;(NETWORKDAYS(TODAY(),$AB950,Holidays)-1)&amp;" business day(s) left).")))))</f>
        <v/>
      </c>
      <c r="W950" s="17">
        <f>IF($Z950="","",CHOOSE($Z950,"Collection Email","1st Follow-up","2nd Follow-up","Local Office","CBE","Roxanne")&amp;IF($Z950=6," - Final"," - Day "&amp;MAX(0,NETWORKDAYS($AA950,TODAY(),Holidays)-1)&amp;" of "&amp;CHOOSE($Z950,3,3,2,2,3))&amp;" | Total Day "&amp;MAX(0,NETWORKDAYS($N950,TODAY(),Holidays)-1))</f>
        <v/>
      </c>
      <c r="X950" s="18"/>
      <c r="Y950" s="18"/>
      <c r="Z950" s="17">
        <f>IF($N950="","",COUNT($N950:$S950))</f>
        <v/>
      </c>
      <c r="AA950" s="19">
        <f>IF($Z950="","",INT(INDEX($N950:$S950,$Z950)))</f>
        <v/>
      </c>
      <c r="AB950" s="19">
        <f>IF(OR($Z950="",$Z950=6),"",WORKDAY($AA950,CHOOSE($Z950,3,3,2,2,3),Holidays))</f>
        <v/>
      </c>
      <c r="AC950" s="17">
        <f>IF(OR($Z950="",$Z950=6),"",CHOOSE($Z950,"1st Email Follow-up","2nd Email Follow-up","Escalate Local Office","Escalate to CBE","Escalate to Roxanne"))</f>
        <v/>
      </c>
    </row>
    <row r="951" spans="13:29">
      <c r="M951" s="14"/>
      <c r="T951" s="16"/>
      <c r="U951" s="17">
        <f>IF(AND(COUNTA($A951:$L951)=0,$N951=""),"",IF($T951="Paid","PAID",IF($T951="Closed","CLOSED",IF($Z951="","",IF($Z951=6,"ESCALATED TO ROXANNE",IF(TODAY()&gt;$AB951,"OVERDUE",IF($AB951&lt;=WORKDAY(TODAY(),1,Holidays),"DUE TOMORROW",IF($Z951=4,"ESCALATED TO LOCAL OFFICE",IF($Z951=5,"ESCALATED TO CBE",IF($AA951=TODAY(),"EMAIL SENT","MONITORING"))))))))))</f>
        <v/>
      </c>
      <c r="V951" s="17">
        <f>IF($U951="",IF(AND(COUNTA($A951:$L951)&gt;0,$N951=""),"Awaiting Collection Email time stamp.",""),IF(OR($U951="PAID",$U951="CLOSED"),IF($U951="PAID","Account paid. Action completed.","Account closed. No further action required."),CHOOSE($Z951,"Collection Email","1st Email Follow-up","2nd Email Follow-up","Escalation to Local Office","Escalation to CBE","Escalation to Roxanne")&amp;" sent "&amp;TEXT($AA951,"dd-mmm")&amp;". "&amp;IF($Z951=6,"Final escalation completed.",IF($U951="OVERDUE","Next: "&amp;$AC951&amp;" was due "&amp;TEXT($AB951,"dd-mmm")&amp;" - "&amp;(NETWORKDAYS($AB951,TODAY(),Holidays)-1)&amp;" business day(s) late. Send now.",IF($U951="DUE TOMORROW","Next: "&amp;$AC951&amp;IF($AB951&lt;=TODAY()," is due TODAY ("," is due next business day (")&amp;TEXT($AB951,"dd-mmm")&amp;").","Next: "&amp;$AC951&amp;" due "&amp;TEXT($AB951,"dd-mmm")&amp;" ("&amp;(NETWORKDAYS(TODAY(),$AB951,Holidays)-1)&amp;" business day(s) left).")))))</f>
        <v/>
      </c>
      <c r="W951" s="17">
        <f>IF($Z951="","",CHOOSE($Z951,"Collection Email","1st Follow-up","2nd Follow-up","Local Office","CBE","Roxanne")&amp;IF($Z951=6," - Final"," - Day "&amp;MAX(0,NETWORKDAYS($AA951,TODAY(),Holidays)-1)&amp;" of "&amp;CHOOSE($Z951,3,3,2,2,3))&amp;" | Total Day "&amp;MAX(0,NETWORKDAYS($N951,TODAY(),Holidays)-1))</f>
        <v/>
      </c>
      <c r="X951" s="18"/>
      <c r="Y951" s="18"/>
      <c r="Z951" s="17">
        <f>IF($N951="","",COUNT($N951:$S951))</f>
        <v/>
      </c>
      <c r="AA951" s="19">
        <f>IF($Z951="","",INT(INDEX($N951:$S951,$Z951)))</f>
        <v/>
      </c>
      <c r="AB951" s="19">
        <f>IF(OR($Z951="",$Z951=6),"",WORKDAY($AA951,CHOOSE($Z951,3,3,2,2,3),Holidays))</f>
        <v/>
      </c>
      <c r="AC951" s="17">
        <f>IF(OR($Z951="",$Z951=6),"",CHOOSE($Z951,"1st Email Follow-up","2nd Email Follow-up","Escalate Local Office","Escalate to CBE","Escalate to Roxanne"))</f>
        <v/>
      </c>
    </row>
    <row r="952" spans="13:29">
      <c r="M952" s="14"/>
      <c r="T952" s="16"/>
      <c r="U952" s="17">
        <f>IF(AND(COUNTA($A952:$L952)=0,$N952=""),"",IF($T952="Paid","PAID",IF($T952="Closed","CLOSED",IF($Z952="","",IF($Z952=6,"ESCALATED TO ROXANNE",IF(TODAY()&gt;$AB952,"OVERDUE",IF($AB952&lt;=WORKDAY(TODAY(),1,Holidays),"DUE TOMORROW",IF($Z952=4,"ESCALATED TO LOCAL OFFICE",IF($Z952=5,"ESCALATED TO CBE",IF($AA952=TODAY(),"EMAIL SENT","MONITORING"))))))))))</f>
        <v/>
      </c>
      <c r="V952" s="17">
        <f>IF($U952="",IF(AND(COUNTA($A952:$L952)&gt;0,$N952=""),"Awaiting Collection Email time stamp.",""),IF(OR($U952="PAID",$U952="CLOSED"),IF($U952="PAID","Account paid. Action completed.","Account closed. No further action required."),CHOOSE($Z952,"Collection Email","1st Email Follow-up","2nd Email Follow-up","Escalation to Local Office","Escalation to CBE","Escalation to Roxanne")&amp;" sent "&amp;TEXT($AA952,"dd-mmm")&amp;". "&amp;IF($Z952=6,"Final escalation completed.",IF($U952="OVERDUE","Next: "&amp;$AC952&amp;" was due "&amp;TEXT($AB952,"dd-mmm")&amp;" - "&amp;(NETWORKDAYS($AB952,TODAY(),Holidays)-1)&amp;" business day(s) late. Send now.",IF($U952="DUE TOMORROW","Next: "&amp;$AC952&amp;IF($AB952&lt;=TODAY()," is due TODAY ("," is due next business day (")&amp;TEXT($AB952,"dd-mmm")&amp;").","Next: "&amp;$AC952&amp;" due "&amp;TEXT($AB952,"dd-mmm")&amp;" ("&amp;(NETWORKDAYS(TODAY(),$AB952,Holidays)-1)&amp;" business day(s) left).")))))</f>
        <v/>
      </c>
      <c r="W952" s="17">
        <f>IF($Z952="","",CHOOSE($Z952,"Collection Email","1st Follow-up","2nd Follow-up","Local Office","CBE","Roxanne")&amp;IF($Z952=6," - Final"," - Day "&amp;MAX(0,NETWORKDAYS($AA952,TODAY(),Holidays)-1)&amp;" of "&amp;CHOOSE($Z952,3,3,2,2,3))&amp;" | Total Day "&amp;MAX(0,NETWORKDAYS($N952,TODAY(),Holidays)-1))</f>
        <v/>
      </c>
      <c r="X952" s="18"/>
      <c r="Y952" s="18"/>
      <c r="Z952" s="17">
        <f>IF($N952="","",COUNT($N952:$S952))</f>
        <v/>
      </c>
      <c r="AA952" s="19">
        <f>IF($Z952="","",INT(INDEX($N952:$S952,$Z952)))</f>
        <v/>
      </c>
      <c r="AB952" s="19">
        <f>IF(OR($Z952="",$Z952=6),"",WORKDAY($AA952,CHOOSE($Z952,3,3,2,2,3),Holidays))</f>
        <v/>
      </c>
      <c r="AC952" s="17">
        <f>IF(OR($Z952="",$Z952=6),"",CHOOSE($Z952,"1st Email Follow-up","2nd Email Follow-up","Escalate Local Office","Escalate to CBE","Escalate to Roxanne"))</f>
        <v/>
      </c>
    </row>
    <row r="953" spans="13:29">
      <c r="M953" s="14"/>
      <c r="T953" s="16"/>
      <c r="U953" s="17">
        <f>IF(AND(COUNTA($A953:$L953)=0,$N953=""),"",IF($T953="Paid","PAID",IF($T953="Closed","CLOSED",IF($Z953="","",IF($Z953=6,"ESCALATED TO ROXANNE",IF(TODAY()&gt;$AB953,"OVERDUE",IF($AB953&lt;=WORKDAY(TODAY(),1,Holidays),"DUE TOMORROW",IF($Z953=4,"ESCALATED TO LOCAL OFFICE",IF($Z953=5,"ESCALATED TO CBE",IF($AA953=TODAY(),"EMAIL SENT","MONITORING"))))))))))</f>
        <v/>
      </c>
      <c r="V953" s="17">
        <f>IF($U953="",IF(AND(COUNTA($A953:$L953)&gt;0,$N953=""),"Awaiting Collection Email time stamp.",""),IF(OR($U953="PAID",$U953="CLOSED"),IF($U953="PAID","Account paid. Action completed.","Account closed. No further action required."),CHOOSE($Z953,"Collection Email","1st Email Follow-up","2nd Email Follow-up","Escalation to Local Office","Escalation to CBE","Escalation to Roxanne")&amp;" sent "&amp;TEXT($AA953,"dd-mmm")&amp;". "&amp;IF($Z953=6,"Final escalation completed.",IF($U953="OVERDUE","Next: "&amp;$AC953&amp;" was due "&amp;TEXT($AB953,"dd-mmm")&amp;" - "&amp;(NETWORKDAYS($AB953,TODAY(),Holidays)-1)&amp;" business day(s) late. Send now.",IF($U953="DUE TOMORROW","Next: "&amp;$AC953&amp;IF($AB953&lt;=TODAY()," is due TODAY ("," is due next business day (")&amp;TEXT($AB953,"dd-mmm")&amp;").","Next: "&amp;$AC953&amp;" due "&amp;TEXT($AB953,"dd-mmm")&amp;" ("&amp;(NETWORKDAYS(TODAY(),$AB953,Holidays)-1)&amp;" business day(s) left).")))))</f>
        <v/>
      </c>
      <c r="W953" s="17">
        <f>IF($Z953="","",CHOOSE($Z953,"Collection Email","1st Follow-up","2nd Follow-up","Local Office","CBE","Roxanne")&amp;IF($Z953=6," - Final"," - Day "&amp;MAX(0,NETWORKDAYS($AA953,TODAY(),Holidays)-1)&amp;" of "&amp;CHOOSE($Z953,3,3,2,2,3))&amp;" | Total Day "&amp;MAX(0,NETWORKDAYS($N953,TODAY(),Holidays)-1))</f>
        <v/>
      </c>
      <c r="X953" s="18"/>
      <c r="Y953" s="18"/>
      <c r="Z953" s="17">
        <f>IF($N953="","",COUNT($N953:$S953))</f>
        <v/>
      </c>
      <c r="AA953" s="19">
        <f>IF($Z953="","",INT(INDEX($N953:$S953,$Z953)))</f>
        <v/>
      </c>
      <c r="AB953" s="19">
        <f>IF(OR($Z953="",$Z953=6),"",WORKDAY($AA953,CHOOSE($Z953,3,3,2,2,3),Holidays))</f>
        <v/>
      </c>
      <c r="AC953" s="17">
        <f>IF(OR($Z953="",$Z953=6),"",CHOOSE($Z953,"1st Email Follow-up","2nd Email Follow-up","Escalate Local Office","Escalate to CBE","Escalate to Roxanne"))</f>
        <v/>
      </c>
    </row>
    <row r="954" spans="13:29">
      <c r="M954" s="14"/>
      <c r="T954" s="16"/>
      <c r="U954" s="17">
        <f>IF(AND(COUNTA($A954:$L954)=0,$N954=""),"",IF($T954="Paid","PAID",IF($T954="Closed","CLOSED",IF($Z954="","",IF($Z954=6,"ESCALATED TO ROXANNE",IF(TODAY()&gt;$AB954,"OVERDUE",IF($AB954&lt;=WORKDAY(TODAY(),1,Holidays),"DUE TOMORROW",IF($Z954=4,"ESCALATED TO LOCAL OFFICE",IF($Z954=5,"ESCALATED TO CBE",IF($AA954=TODAY(),"EMAIL SENT","MONITORING"))))))))))</f>
        <v/>
      </c>
      <c r="V954" s="17">
        <f>IF($U954="",IF(AND(COUNTA($A954:$L954)&gt;0,$N954=""),"Awaiting Collection Email time stamp.",""),IF(OR($U954="PAID",$U954="CLOSED"),IF($U954="PAID","Account paid. Action completed.","Account closed. No further action required."),CHOOSE($Z954,"Collection Email","1st Email Follow-up","2nd Email Follow-up","Escalation to Local Office","Escalation to CBE","Escalation to Roxanne")&amp;" sent "&amp;TEXT($AA954,"dd-mmm")&amp;". "&amp;IF($Z954=6,"Final escalation completed.",IF($U954="OVERDUE","Next: "&amp;$AC954&amp;" was due "&amp;TEXT($AB954,"dd-mmm")&amp;" - "&amp;(NETWORKDAYS($AB954,TODAY(),Holidays)-1)&amp;" business day(s) late. Send now.",IF($U954="DUE TOMORROW","Next: "&amp;$AC954&amp;IF($AB954&lt;=TODAY()," is due TODAY ("," is due next business day (")&amp;TEXT($AB954,"dd-mmm")&amp;").","Next: "&amp;$AC954&amp;" due "&amp;TEXT($AB954,"dd-mmm")&amp;" ("&amp;(NETWORKDAYS(TODAY(),$AB954,Holidays)-1)&amp;" business day(s) left).")))))</f>
        <v/>
      </c>
      <c r="W954" s="17">
        <f>IF($Z954="","",CHOOSE($Z954,"Collection Email","1st Follow-up","2nd Follow-up","Local Office","CBE","Roxanne")&amp;IF($Z954=6," - Final"," - Day "&amp;MAX(0,NETWORKDAYS($AA954,TODAY(),Holidays)-1)&amp;" of "&amp;CHOOSE($Z954,3,3,2,2,3))&amp;" | Total Day "&amp;MAX(0,NETWORKDAYS($N954,TODAY(),Holidays)-1))</f>
        <v/>
      </c>
      <c r="X954" s="18"/>
      <c r="Y954" s="18"/>
      <c r="Z954" s="17">
        <f>IF($N954="","",COUNT($N954:$S954))</f>
        <v/>
      </c>
      <c r="AA954" s="19">
        <f>IF($Z954="","",INT(INDEX($N954:$S954,$Z954)))</f>
        <v/>
      </c>
      <c r="AB954" s="19">
        <f>IF(OR($Z954="",$Z954=6),"",WORKDAY($AA954,CHOOSE($Z954,3,3,2,2,3),Holidays))</f>
        <v/>
      </c>
      <c r="AC954" s="17">
        <f>IF(OR($Z954="",$Z954=6),"",CHOOSE($Z954,"1st Email Follow-up","2nd Email Follow-up","Escalate Local Office","Escalate to CBE","Escalate to Roxanne"))</f>
        <v/>
      </c>
    </row>
    <row r="955" spans="13:29">
      <c r="M955" s="14"/>
      <c r="T955" s="16"/>
      <c r="U955" s="17">
        <f>IF(AND(COUNTA($A955:$L955)=0,$N955=""),"",IF($T955="Paid","PAID",IF($T955="Closed","CLOSED",IF($Z955="","",IF($Z955=6,"ESCALATED TO ROXANNE",IF(TODAY()&gt;$AB955,"OVERDUE",IF($AB955&lt;=WORKDAY(TODAY(),1,Holidays),"DUE TOMORROW",IF($Z955=4,"ESCALATED TO LOCAL OFFICE",IF($Z955=5,"ESCALATED TO CBE",IF($AA955=TODAY(),"EMAIL SENT","MONITORING"))))))))))</f>
        <v/>
      </c>
      <c r="V955" s="17">
        <f>IF($U955="",IF(AND(COUNTA($A955:$L955)&gt;0,$N955=""),"Awaiting Collection Email time stamp.",""),IF(OR($U955="PAID",$U955="CLOSED"),IF($U955="PAID","Account paid. Action completed.","Account closed. No further action required."),CHOOSE($Z955,"Collection Email","1st Email Follow-up","2nd Email Follow-up","Escalation to Local Office","Escalation to CBE","Escalation to Roxanne")&amp;" sent "&amp;TEXT($AA955,"dd-mmm")&amp;". "&amp;IF($Z955=6,"Final escalation completed.",IF($U955="OVERDUE","Next: "&amp;$AC955&amp;" was due "&amp;TEXT($AB955,"dd-mmm")&amp;" - "&amp;(NETWORKDAYS($AB955,TODAY(),Holidays)-1)&amp;" business day(s) late. Send now.",IF($U955="DUE TOMORROW","Next: "&amp;$AC955&amp;IF($AB955&lt;=TODAY()," is due TODAY ("," is due next business day (")&amp;TEXT($AB955,"dd-mmm")&amp;").","Next: "&amp;$AC955&amp;" due "&amp;TEXT($AB955,"dd-mmm")&amp;" ("&amp;(NETWORKDAYS(TODAY(),$AB955,Holidays)-1)&amp;" business day(s) left).")))))</f>
        <v/>
      </c>
      <c r="W955" s="17">
        <f>IF($Z955="","",CHOOSE($Z955,"Collection Email","1st Follow-up","2nd Follow-up","Local Office","CBE","Roxanne")&amp;IF($Z955=6," - Final"," - Day "&amp;MAX(0,NETWORKDAYS($AA955,TODAY(),Holidays)-1)&amp;" of "&amp;CHOOSE($Z955,3,3,2,2,3))&amp;" | Total Day "&amp;MAX(0,NETWORKDAYS($N955,TODAY(),Holidays)-1))</f>
        <v/>
      </c>
      <c r="X955" s="18"/>
      <c r="Y955" s="18"/>
      <c r="Z955" s="17">
        <f>IF($N955="","",COUNT($N955:$S955))</f>
        <v/>
      </c>
      <c r="AA955" s="19">
        <f>IF($Z955="","",INT(INDEX($N955:$S955,$Z955)))</f>
        <v/>
      </c>
      <c r="AB955" s="19">
        <f>IF(OR($Z955="",$Z955=6),"",WORKDAY($AA955,CHOOSE($Z955,3,3,2,2,3),Holidays))</f>
        <v/>
      </c>
      <c r="AC955" s="17">
        <f>IF(OR($Z955="",$Z955=6),"",CHOOSE($Z955,"1st Email Follow-up","2nd Email Follow-up","Escalate Local Office","Escalate to CBE","Escalate to Roxanne"))</f>
        <v/>
      </c>
    </row>
    <row r="956" spans="13:29">
      <c r="M956" s="14"/>
      <c r="T956" s="16"/>
      <c r="U956" s="17">
        <f>IF(AND(COUNTA($A956:$L956)=0,$N956=""),"",IF($T956="Paid","PAID",IF($T956="Closed","CLOSED",IF($Z956="","",IF($Z956=6,"ESCALATED TO ROXANNE",IF(TODAY()&gt;$AB956,"OVERDUE",IF($AB956&lt;=WORKDAY(TODAY(),1,Holidays),"DUE TOMORROW",IF($Z956=4,"ESCALATED TO LOCAL OFFICE",IF($Z956=5,"ESCALATED TO CBE",IF($AA956=TODAY(),"EMAIL SENT","MONITORING"))))))))))</f>
        <v/>
      </c>
      <c r="V956" s="17">
        <f>IF($U956="",IF(AND(COUNTA($A956:$L956)&gt;0,$N956=""),"Awaiting Collection Email time stamp.",""),IF(OR($U956="PAID",$U956="CLOSED"),IF($U956="PAID","Account paid. Action completed.","Account closed. No further action required."),CHOOSE($Z956,"Collection Email","1st Email Follow-up","2nd Email Follow-up","Escalation to Local Office","Escalation to CBE","Escalation to Roxanne")&amp;" sent "&amp;TEXT($AA956,"dd-mmm")&amp;". "&amp;IF($Z956=6,"Final escalation completed.",IF($U956="OVERDUE","Next: "&amp;$AC956&amp;" was due "&amp;TEXT($AB956,"dd-mmm")&amp;" - "&amp;(NETWORKDAYS($AB956,TODAY(),Holidays)-1)&amp;" business day(s) late. Send now.",IF($U956="DUE TOMORROW","Next: "&amp;$AC956&amp;IF($AB956&lt;=TODAY()," is due TODAY ("," is due next business day (")&amp;TEXT($AB956,"dd-mmm")&amp;").","Next: "&amp;$AC956&amp;" due "&amp;TEXT($AB956,"dd-mmm")&amp;" ("&amp;(NETWORKDAYS(TODAY(),$AB956,Holidays)-1)&amp;" business day(s) left).")))))</f>
        <v/>
      </c>
      <c r="W956" s="17">
        <f>IF($Z956="","",CHOOSE($Z956,"Collection Email","1st Follow-up","2nd Follow-up","Local Office","CBE","Roxanne")&amp;IF($Z956=6," - Final"," - Day "&amp;MAX(0,NETWORKDAYS($AA956,TODAY(),Holidays)-1)&amp;" of "&amp;CHOOSE($Z956,3,3,2,2,3))&amp;" | Total Day "&amp;MAX(0,NETWORKDAYS($N956,TODAY(),Holidays)-1))</f>
        <v/>
      </c>
      <c r="X956" s="18"/>
      <c r="Y956" s="18"/>
      <c r="Z956" s="17">
        <f>IF($N956="","",COUNT($N956:$S956))</f>
        <v/>
      </c>
      <c r="AA956" s="19">
        <f>IF($Z956="","",INT(INDEX($N956:$S956,$Z956)))</f>
        <v/>
      </c>
      <c r="AB956" s="19">
        <f>IF(OR($Z956="",$Z956=6),"",WORKDAY($AA956,CHOOSE($Z956,3,3,2,2,3),Holidays))</f>
        <v/>
      </c>
      <c r="AC956" s="17">
        <f>IF(OR($Z956="",$Z956=6),"",CHOOSE($Z956,"1st Email Follow-up","2nd Email Follow-up","Escalate Local Office","Escalate to CBE","Escalate to Roxanne"))</f>
        <v/>
      </c>
    </row>
    <row r="957" spans="13:29">
      <c r="M957" s="14"/>
      <c r="T957" s="16"/>
      <c r="U957" s="17">
        <f>IF(AND(COUNTA($A957:$L957)=0,$N957=""),"",IF($T957="Paid","PAID",IF($T957="Closed","CLOSED",IF($Z957="","",IF($Z957=6,"ESCALATED TO ROXANNE",IF(TODAY()&gt;$AB957,"OVERDUE",IF($AB957&lt;=WORKDAY(TODAY(),1,Holidays),"DUE TOMORROW",IF($Z957=4,"ESCALATED TO LOCAL OFFICE",IF($Z957=5,"ESCALATED TO CBE",IF($AA957=TODAY(),"EMAIL SENT","MONITORING"))))))))))</f>
        <v/>
      </c>
      <c r="V957" s="17">
        <f>IF($U957="",IF(AND(COUNTA($A957:$L957)&gt;0,$N957=""),"Awaiting Collection Email time stamp.",""),IF(OR($U957="PAID",$U957="CLOSED"),IF($U957="PAID","Account paid. Action completed.","Account closed. No further action required."),CHOOSE($Z957,"Collection Email","1st Email Follow-up","2nd Email Follow-up","Escalation to Local Office","Escalation to CBE","Escalation to Roxanne")&amp;" sent "&amp;TEXT($AA957,"dd-mmm")&amp;". "&amp;IF($Z957=6,"Final escalation completed.",IF($U957="OVERDUE","Next: "&amp;$AC957&amp;" was due "&amp;TEXT($AB957,"dd-mmm")&amp;" - "&amp;(NETWORKDAYS($AB957,TODAY(),Holidays)-1)&amp;" business day(s) late. Send now.",IF($U957="DUE TOMORROW","Next: "&amp;$AC957&amp;IF($AB957&lt;=TODAY()," is due TODAY ("," is due next business day (")&amp;TEXT($AB957,"dd-mmm")&amp;").","Next: "&amp;$AC957&amp;" due "&amp;TEXT($AB957,"dd-mmm")&amp;" ("&amp;(NETWORKDAYS(TODAY(),$AB957,Holidays)-1)&amp;" business day(s) left).")))))</f>
        <v/>
      </c>
      <c r="W957" s="17">
        <f>IF($Z957="","",CHOOSE($Z957,"Collection Email","1st Follow-up","2nd Follow-up","Local Office","CBE","Roxanne")&amp;IF($Z957=6," - Final"," - Day "&amp;MAX(0,NETWORKDAYS($AA957,TODAY(),Holidays)-1)&amp;" of "&amp;CHOOSE($Z957,3,3,2,2,3))&amp;" | Total Day "&amp;MAX(0,NETWORKDAYS($N957,TODAY(),Holidays)-1))</f>
        <v/>
      </c>
      <c r="X957" s="18"/>
      <c r="Y957" s="18"/>
      <c r="Z957" s="17">
        <f>IF($N957="","",COUNT($N957:$S957))</f>
        <v/>
      </c>
      <c r="AA957" s="19">
        <f>IF($Z957="","",INT(INDEX($N957:$S957,$Z957)))</f>
        <v/>
      </c>
      <c r="AB957" s="19">
        <f>IF(OR($Z957="",$Z957=6),"",WORKDAY($AA957,CHOOSE($Z957,3,3,2,2,3),Holidays))</f>
        <v/>
      </c>
      <c r="AC957" s="17">
        <f>IF(OR($Z957="",$Z957=6),"",CHOOSE($Z957,"1st Email Follow-up","2nd Email Follow-up","Escalate Local Office","Escalate to CBE","Escalate to Roxanne"))</f>
        <v/>
      </c>
    </row>
    <row r="958" spans="13:29">
      <c r="M958" s="14"/>
      <c r="T958" s="16"/>
      <c r="U958" s="17">
        <f>IF(AND(COUNTA($A958:$L958)=0,$N958=""),"",IF($T958="Paid","PAID",IF($T958="Closed","CLOSED",IF($Z958="","",IF($Z958=6,"ESCALATED TO ROXANNE",IF(TODAY()&gt;$AB958,"OVERDUE",IF($AB958&lt;=WORKDAY(TODAY(),1,Holidays),"DUE TOMORROW",IF($Z958=4,"ESCALATED TO LOCAL OFFICE",IF($Z958=5,"ESCALATED TO CBE",IF($AA958=TODAY(),"EMAIL SENT","MONITORING"))))))))))</f>
        <v/>
      </c>
      <c r="V958" s="17">
        <f>IF($U958="",IF(AND(COUNTA($A958:$L958)&gt;0,$N958=""),"Awaiting Collection Email time stamp.",""),IF(OR($U958="PAID",$U958="CLOSED"),IF($U958="PAID","Account paid. Action completed.","Account closed. No further action required."),CHOOSE($Z958,"Collection Email","1st Email Follow-up","2nd Email Follow-up","Escalation to Local Office","Escalation to CBE","Escalation to Roxanne")&amp;" sent "&amp;TEXT($AA958,"dd-mmm")&amp;". "&amp;IF($Z958=6,"Final escalation completed.",IF($U958="OVERDUE","Next: "&amp;$AC958&amp;" was due "&amp;TEXT($AB958,"dd-mmm")&amp;" - "&amp;(NETWORKDAYS($AB958,TODAY(),Holidays)-1)&amp;" business day(s) late. Send now.",IF($U958="DUE TOMORROW","Next: "&amp;$AC958&amp;IF($AB958&lt;=TODAY()," is due TODAY ("," is due next business day (")&amp;TEXT($AB958,"dd-mmm")&amp;").","Next: "&amp;$AC958&amp;" due "&amp;TEXT($AB958,"dd-mmm")&amp;" ("&amp;(NETWORKDAYS(TODAY(),$AB958,Holidays)-1)&amp;" business day(s) left).")))))</f>
        <v/>
      </c>
      <c r="W958" s="17">
        <f>IF($Z958="","",CHOOSE($Z958,"Collection Email","1st Follow-up","2nd Follow-up","Local Office","CBE","Roxanne")&amp;IF($Z958=6," - Final"," - Day "&amp;MAX(0,NETWORKDAYS($AA958,TODAY(),Holidays)-1)&amp;" of "&amp;CHOOSE($Z958,3,3,2,2,3))&amp;" | Total Day "&amp;MAX(0,NETWORKDAYS($N958,TODAY(),Holidays)-1))</f>
        <v/>
      </c>
      <c r="X958" s="18"/>
      <c r="Y958" s="18"/>
      <c r="Z958" s="17">
        <f>IF($N958="","",COUNT($N958:$S958))</f>
        <v/>
      </c>
      <c r="AA958" s="19">
        <f>IF($Z958="","",INT(INDEX($N958:$S958,$Z958)))</f>
        <v/>
      </c>
      <c r="AB958" s="19">
        <f>IF(OR($Z958="",$Z958=6),"",WORKDAY($AA958,CHOOSE($Z958,3,3,2,2,3),Holidays))</f>
        <v/>
      </c>
      <c r="AC958" s="17">
        <f>IF(OR($Z958="",$Z958=6),"",CHOOSE($Z958,"1st Email Follow-up","2nd Email Follow-up","Escalate Local Office","Escalate to CBE","Escalate to Roxanne"))</f>
        <v/>
      </c>
    </row>
    <row r="959" spans="13:29">
      <c r="M959" s="14"/>
      <c r="T959" s="16"/>
      <c r="U959" s="17">
        <f>IF(AND(COUNTA($A959:$L959)=0,$N959=""),"",IF($T959="Paid","PAID",IF($T959="Closed","CLOSED",IF($Z959="","",IF($Z959=6,"ESCALATED TO ROXANNE",IF(TODAY()&gt;$AB959,"OVERDUE",IF($AB959&lt;=WORKDAY(TODAY(),1,Holidays),"DUE TOMORROW",IF($Z959=4,"ESCALATED TO LOCAL OFFICE",IF($Z959=5,"ESCALATED TO CBE",IF($AA959=TODAY(),"EMAIL SENT","MONITORING"))))))))))</f>
        <v/>
      </c>
      <c r="V959" s="17">
        <f>IF($U959="",IF(AND(COUNTA($A959:$L959)&gt;0,$N959=""),"Awaiting Collection Email time stamp.",""),IF(OR($U959="PAID",$U959="CLOSED"),IF($U959="PAID","Account paid. Action completed.","Account closed. No further action required."),CHOOSE($Z959,"Collection Email","1st Email Follow-up","2nd Email Follow-up","Escalation to Local Office","Escalation to CBE","Escalation to Roxanne")&amp;" sent "&amp;TEXT($AA959,"dd-mmm")&amp;". "&amp;IF($Z959=6,"Final escalation completed.",IF($U959="OVERDUE","Next: "&amp;$AC959&amp;" was due "&amp;TEXT($AB959,"dd-mmm")&amp;" - "&amp;(NETWORKDAYS($AB959,TODAY(),Holidays)-1)&amp;" business day(s) late. Send now.",IF($U959="DUE TOMORROW","Next: "&amp;$AC959&amp;IF($AB959&lt;=TODAY()," is due TODAY ("," is due next business day (")&amp;TEXT($AB959,"dd-mmm")&amp;").","Next: "&amp;$AC959&amp;" due "&amp;TEXT($AB959,"dd-mmm")&amp;" ("&amp;(NETWORKDAYS(TODAY(),$AB959,Holidays)-1)&amp;" business day(s) left).")))))</f>
        <v/>
      </c>
      <c r="W959" s="17">
        <f>IF($Z959="","",CHOOSE($Z959,"Collection Email","1st Follow-up","2nd Follow-up","Local Office","CBE","Roxanne")&amp;IF($Z959=6," - Final"," - Day "&amp;MAX(0,NETWORKDAYS($AA959,TODAY(),Holidays)-1)&amp;" of "&amp;CHOOSE($Z959,3,3,2,2,3))&amp;" | Total Day "&amp;MAX(0,NETWORKDAYS($N959,TODAY(),Holidays)-1))</f>
        <v/>
      </c>
      <c r="X959" s="18"/>
      <c r="Y959" s="18"/>
      <c r="Z959" s="17">
        <f>IF($N959="","",COUNT($N959:$S959))</f>
        <v/>
      </c>
      <c r="AA959" s="19">
        <f>IF($Z959="","",INT(INDEX($N959:$S959,$Z959)))</f>
        <v/>
      </c>
      <c r="AB959" s="19">
        <f>IF(OR($Z959="",$Z959=6),"",WORKDAY($AA959,CHOOSE($Z959,3,3,2,2,3),Holidays))</f>
        <v/>
      </c>
      <c r="AC959" s="17">
        <f>IF(OR($Z959="",$Z959=6),"",CHOOSE($Z959,"1st Email Follow-up","2nd Email Follow-up","Escalate Local Office","Escalate to CBE","Escalate to Roxanne"))</f>
        <v/>
      </c>
    </row>
    <row r="960" spans="13:29">
      <c r="M960" s="14"/>
      <c r="T960" s="16"/>
      <c r="U960" s="17">
        <f>IF(AND(COUNTA($A960:$L960)=0,$N960=""),"",IF($T960="Paid","PAID",IF($T960="Closed","CLOSED",IF($Z960="","",IF($Z960=6,"ESCALATED TO ROXANNE",IF(TODAY()&gt;$AB960,"OVERDUE",IF($AB960&lt;=WORKDAY(TODAY(),1,Holidays),"DUE TOMORROW",IF($Z960=4,"ESCALATED TO LOCAL OFFICE",IF($Z960=5,"ESCALATED TO CBE",IF($AA960=TODAY(),"EMAIL SENT","MONITORING"))))))))))</f>
        <v/>
      </c>
      <c r="V960" s="17">
        <f>IF($U960="",IF(AND(COUNTA($A960:$L960)&gt;0,$N960=""),"Awaiting Collection Email time stamp.",""),IF(OR($U960="PAID",$U960="CLOSED"),IF($U960="PAID","Account paid. Action completed.","Account closed. No further action required."),CHOOSE($Z960,"Collection Email","1st Email Follow-up","2nd Email Follow-up","Escalation to Local Office","Escalation to CBE","Escalation to Roxanne")&amp;" sent "&amp;TEXT($AA960,"dd-mmm")&amp;". "&amp;IF($Z960=6,"Final escalation completed.",IF($U960="OVERDUE","Next: "&amp;$AC960&amp;" was due "&amp;TEXT($AB960,"dd-mmm")&amp;" - "&amp;(NETWORKDAYS($AB960,TODAY(),Holidays)-1)&amp;" business day(s) late. Send now.",IF($U960="DUE TOMORROW","Next: "&amp;$AC960&amp;IF($AB960&lt;=TODAY()," is due TODAY ("," is due next business day (")&amp;TEXT($AB960,"dd-mmm")&amp;").","Next: "&amp;$AC960&amp;" due "&amp;TEXT($AB960,"dd-mmm")&amp;" ("&amp;(NETWORKDAYS(TODAY(),$AB960,Holidays)-1)&amp;" business day(s) left).")))))</f>
        <v/>
      </c>
      <c r="W960" s="17">
        <f>IF($Z960="","",CHOOSE($Z960,"Collection Email","1st Follow-up","2nd Follow-up","Local Office","CBE","Roxanne")&amp;IF($Z960=6," - Final"," - Day "&amp;MAX(0,NETWORKDAYS($AA960,TODAY(),Holidays)-1)&amp;" of "&amp;CHOOSE($Z960,3,3,2,2,3))&amp;" | Total Day "&amp;MAX(0,NETWORKDAYS($N960,TODAY(),Holidays)-1))</f>
        <v/>
      </c>
      <c r="X960" s="18"/>
      <c r="Y960" s="18"/>
      <c r="Z960" s="17">
        <f>IF($N960="","",COUNT($N960:$S960))</f>
        <v/>
      </c>
      <c r="AA960" s="19">
        <f>IF($Z960="","",INT(INDEX($N960:$S960,$Z960)))</f>
        <v/>
      </c>
      <c r="AB960" s="19">
        <f>IF(OR($Z960="",$Z960=6),"",WORKDAY($AA960,CHOOSE($Z960,3,3,2,2,3),Holidays))</f>
        <v/>
      </c>
      <c r="AC960" s="17">
        <f>IF(OR($Z960="",$Z960=6),"",CHOOSE($Z960,"1st Email Follow-up","2nd Email Follow-up","Escalate Local Office","Escalate to CBE","Escalate to Roxanne"))</f>
        <v/>
      </c>
    </row>
    <row r="961" spans="13:29">
      <c r="M961" s="14"/>
      <c r="T961" s="16"/>
      <c r="U961" s="17">
        <f>IF(AND(COUNTA($A961:$L961)=0,$N961=""),"",IF($T961="Paid","PAID",IF($T961="Closed","CLOSED",IF($Z961="","",IF($Z961=6,"ESCALATED TO ROXANNE",IF(TODAY()&gt;$AB961,"OVERDUE",IF($AB961&lt;=WORKDAY(TODAY(),1,Holidays),"DUE TOMORROW",IF($Z961=4,"ESCALATED TO LOCAL OFFICE",IF($Z961=5,"ESCALATED TO CBE",IF($AA961=TODAY(),"EMAIL SENT","MONITORING"))))))))))</f>
        <v/>
      </c>
      <c r="V961" s="17">
        <f>IF($U961="",IF(AND(COUNTA($A961:$L961)&gt;0,$N961=""),"Awaiting Collection Email time stamp.",""),IF(OR($U961="PAID",$U961="CLOSED"),IF($U961="PAID","Account paid. Action completed.","Account closed. No further action required."),CHOOSE($Z961,"Collection Email","1st Email Follow-up","2nd Email Follow-up","Escalation to Local Office","Escalation to CBE","Escalation to Roxanne")&amp;" sent "&amp;TEXT($AA961,"dd-mmm")&amp;". "&amp;IF($Z961=6,"Final escalation completed.",IF($U961="OVERDUE","Next: "&amp;$AC961&amp;" was due "&amp;TEXT($AB961,"dd-mmm")&amp;" - "&amp;(NETWORKDAYS($AB961,TODAY(),Holidays)-1)&amp;" business day(s) late. Send now.",IF($U961="DUE TOMORROW","Next: "&amp;$AC961&amp;IF($AB961&lt;=TODAY()," is due TODAY ("," is due next business day (")&amp;TEXT($AB961,"dd-mmm")&amp;").","Next: "&amp;$AC961&amp;" due "&amp;TEXT($AB961,"dd-mmm")&amp;" ("&amp;(NETWORKDAYS(TODAY(),$AB961,Holidays)-1)&amp;" business day(s) left).")))))</f>
        <v/>
      </c>
      <c r="W961" s="17">
        <f>IF($Z961="","",CHOOSE($Z961,"Collection Email","1st Follow-up","2nd Follow-up","Local Office","CBE","Roxanne")&amp;IF($Z961=6," - Final"," - Day "&amp;MAX(0,NETWORKDAYS($AA961,TODAY(),Holidays)-1)&amp;" of "&amp;CHOOSE($Z961,3,3,2,2,3))&amp;" | Total Day "&amp;MAX(0,NETWORKDAYS($N961,TODAY(),Holidays)-1))</f>
        <v/>
      </c>
      <c r="X961" s="18"/>
      <c r="Y961" s="18"/>
      <c r="Z961" s="17">
        <f>IF($N961="","",COUNT($N961:$S961))</f>
        <v/>
      </c>
      <c r="AA961" s="19">
        <f>IF($Z961="","",INT(INDEX($N961:$S961,$Z961)))</f>
        <v/>
      </c>
      <c r="AB961" s="19">
        <f>IF(OR($Z961="",$Z961=6),"",WORKDAY($AA961,CHOOSE($Z961,3,3,2,2,3),Holidays))</f>
        <v/>
      </c>
      <c r="AC961" s="17">
        <f>IF(OR($Z961="",$Z961=6),"",CHOOSE($Z961,"1st Email Follow-up","2nd Email Follow-up","Escalate Local Office","Escalate to CBE","Escalate to Roxanne"))</f>
        <v/>
      </c>
    </row>
    <row r="962" spans="13:29">
      <c r="M962" s="14"/>
      <c r="T962" s="16"/>
      <c r="U962" s="17">
        <f>IF(AND(COUNTA($A962:$L962)=0,$N962=""),"",IF($T962="Paid","PAID",IF($T962="Closed","CLOSED",IF($Z962="","",IF($Z962=6,"ESCALATED TO ROXANNE",IF(TODAY()&gt;$AB962,"OVERDUE",IF($AB962&lt;=WORKDAY(TODAY(),1,Holidays),"DUE TOMORROW",IF($Z962=4,"ESCALATED TO LOCAL OFFICE",IF($Z962=5,"ESCALATED TO CBE",IF($AA962=TODAY(),"EMAIL SENT","MONITORING"))))))))))</f>
        <v/>
      </c>
      <c r="V962" s="17">
        <f>IF($U962="",IF(AND(COUNTA($A962:$L962)&gt;0,$N962=""),"Awaiting Collection Email time stamp.",""),IF(OR($U962="PAID",$U962="CLOSED"),IF($U962="PAID","Account paid. Action completed.","Account closed. No further action required."),CHOOSE($Z962,"Collection Email","1st Email Follow-up","2nd Email Follow-up","Escalation to Local Office","Escalation to CBE","Escalation to Roxanne")&amp;" sent "&amp;TEXT($AA962,"dd-mmm")&amp;". "&amp;IF($Z962=6,"Final escalation completed.",IF($U962="OVERDUE","Next: "&amp;$AC962&amp;" was due "&amp;TEXT($AB962,"dd-mmm")&amp;" - "&amp;(NETWORKDAYS($AB962,TODAY(),Holidays)-1)&amp;" business day(s) late. Send now.",IF($U962="DUE TOMORROW","Next: "&amp;$AC962&amp;IF($AB962&lt;=TODAY()," is due TODAY ("," is due next business day (")&amp;TEXT($AB962,"dd-mmm")&amp;").","Next: "&amp;$AC962&amp;" due "&amp;TEXT($AB962,"dd-mmm")&amp;" ("&amp;(NETWORKDAYS(TODAY(),$AB962,Holidays)-1)&amp;" business day(s) left).")))))</f>
        <v/>
      </c>
      <c r="W962" s="17">
        <f>IF($Z962="","",CHOOSE($Z962,"Collection Email","1st Follow-up","2nd Follow-up","Local Office","CBE","Roxanne")&amp;IF($Z962=6," - Final"," - Day "&amp;MAX(0,NETWORKDAYS($AA962,TODAY(),Holidays)-1)&amp;" of "&amp;CHOOSE($Z962,3,3,2,2,3))&amp;" | Total Day "&amp;MAX(0,NETWORKDAYS($N962,TODAY(),Holidays)-1))</f>
        <v/>
      </c>
      <c r="X962" s="18"/>
      <c r="Y962" s="18"/>
      <c r="Z962" s="17">
        <f>IF($N962="","",COUNT($N962:$S962))</f>
        <v/>
      </c>
      <c r="AA962" s="19">
        <f>IF($Z962="","",INT(INDEX($N962:$S962,$Z962)))</f>
        <v/>
      </c>
      <c r="AB962" s="19">
        <f>IF(OR($Z962="",$Z962=6),"",WORKDAY($AA962,CHOOSE($Z962,3,3,2,2,3),Holidays))</f>
        <v/>
      </c>
      <c r="AC962" s="17">
        <f>IF(OR($Z962="",$Z962=6),"",CHOOSE($Z962,"1st Email Follow-up","2nd Email Follow-up","Escalate Local Office","Escalate to CBE","Escalate to Roxanne"))</f>
        <v/>
      </c>
    </row>
    <row r="963" spans="13:29">
      <c r="M963" s="14"/>
      <c r="T963" s="16"/>
      <c r="U963" s="17">
        <f>IF(AND(COUNTA($A963:$L963)=0,$N963=""),"",IF($T963="Paid","PAID",IF($T963="Closed","CLOSED",IF($Z963="","",IF($Z963=6,"ESCALATED TO ROXANNE",IF(TODAY()&gt;$AB963,"OVERDUE",IF($AB963&lt;=WORKDAY(TODAY(),1,Holidays),"DUE TOMORROW",IF($Z963=4,"ESCALATED TO LOCAL OFFICE",IF($Z963=5,"ESCALATED TO CBE",IF($AA963=TODAY(),"EMAIL SENT","MONITORING"))))))))))</f>
        <v/>
      </c>
      <c r="V963" s="17">
        <f>IF($U963="",IF(AND(COUNTA($A963:$L963)&gt;0,$N963=""),"Awaiting Collection Email time stamp.",""),IF(OR($U963="PAID",$U963="CLOSED"),IF($U963="PAID","Account paid. Action completed.","Account closed. No further action required."),CHOOSE($Z963,"Collection Email","1st Email Follow-up","2nd Email Follow-up","Escalation to Local Office","Escalation to CBE","Escalation to Roxanne")&amp;" sent "&amp;TEXT($AA963,"dd-mmm")&amp;". "&amp;IF($Z963=6,"Final escalation completed.",IF($U963="OVERDUE","Next: "&amp;$AC963&amp;" was due "&amp;TEXT($AB963,"dd-mmm")&amp;" - "&amp;(NETWORKDAYS($AB963,TODAY(),Holidays)-1)&amp;" business day(s) late. Send now.",IF($U963="DUE TOMORROW","Next: "&amp;$AC963&amp;IF($AB963&lt;=TODAY()," is due TODAY ("," is due next business day (")&amp;TEXT($AB963,"dd-mmm")&amp;").","Next: "&amp;$AC963&amp;" due "&amp;TEXT($AB963,"dd-mmm")&amp;" ("&amp;(NETWORKDAYS(TODAY(),$AB963,Holidays)-1)&amp;" business day(s) left).")))))</f>
        <v/>
      </c>
      <c r="W963" s="17">
        <f>IF($Z963="","",CHOOSE($Z963,"Collection Email","1st Follow-up","2nd Follow-up","Local Office","CBE","Roxanne")&amp;IF($Z963=6," - Final"," - Day "&amp;MAX(0,NETWORKDAYS($AA963,TODAY(),Holidays)-1)&amp;" of "&amp;CHOOSE($Z963,3,3,2,2,3))&amp;" | Total Day "&amp;MAX(0,NETWORKDAYS($N963,TODAY(),Holidays)-1))</f>
        <v/>
      </c>
      <c r="X963" s="18"/>
      <c r="Y963" s="18"/>
      <c r="Z963" s="17">
        <f>IF($N963="","",COUNT($N963:$S963))</f>
        <v/>
      </c>
      <c r="AA963" s="19">
        <f>IF($Z963="","",INT(INDEX($N963:$S963,$Z963)))</f>
        <v/>
      </c>
      <c r="AB963" s="19">
        <f>IF(OR($Z963="",$Z963=6),"",WORKDAY($AA963,CHOOSE($Z963,3,3,2,2,3),Holidays))</f>
        <v/>
      </c>
      <c r="AC963" s="17">
        <f>IF(OR($Z963="",$Z963=6),"",CHOOSE($Z963,"1st Email Follow-up","2nd Email Follow-up","Escalate Local Office","Escalate to CBE","Escalate to Roxanne"))</f>
        <v/>
      </c>
    </row>
    <row r="964" spans="13:29">
      <c r="M964" s="14"/>
      <c r="T964" s="16"/>
      <c r="U964" s="17">
        <f>IF(AND(COUNTA($A964:$L964)=0,$N964=""),"",IF($T964="Paid","PAID",IF($T964="Closed","CLOSED",IF($Z964="","",IF($Z964=6,"ESCALATED TO ROXANNE",IF(TODAY()&gt;$AB964,"OVERDUE",IF($AB964&lt;=WORKDAY(TODAY(),1,Holidays),"DUE TOMORROW",IF($Z964=4,"ESCALATED TO LOCAL OFFICE",IF($Z964=5,"ESCALATED TO CBE",IF($AA964=TODAY(),"EMAIL SENT","MONITORING"))))))))))</f>
        <v/>
      </c>
      <c r="V964" s="17">
        <f>IF($U964="",IF(AND(COUNTA($A964:$L964)&gt;0,$N964=""),"Awaiting Collection Email time stamp.",""),IF(OR($U964="PAID",$U964="CLOSED"),IF($U964="PAID","Account paid. Action completed.","Account closed. No further action required."),CHOOSE($Z964,"Collection Email","1st Email Follow-up","2nd Email Follow-up","Escalation to Local Office","Escalation to CBE","Escalation to Roxanne")&amp;" sent "&amp;TEXT($AA964,"dd-mmm")&amp;". "&amp;IF($Z964=6,"Final escalation completed.",IF($U964="OVERDUE","Next: "&amp;$AC964&amp;" was due "&amp;TEXT($AB964,"dd-mmm")&amp;" - "&amp;(NETWORKDAYS($AB964,TODAY(),Holidays)-1)&amp;" business day(s) late. Send now.",IF($U964="DUE TOMORROW","Next: "&amp;$AC964&amp;IF($AB964&lt;=TODAY()," is due TODAY ("," is due next business day (")&amp;TEXT($AB964,"dd-mmm")&amp;").","Next: "&amp;$AC964&amp;" due "&amp;TEXT($AB964,"dd-mmm")&amp;" ("&amp;(NETWORKDAYS(TODAY(),$AB964,Holidays)-1)&amp;" business day(s) left).")))))</f>
        <v/>
      </c>
      <c r="W964" s="17">
        <f>IF($Z964="","",CHOOSE($Z964,"Collection Email","1st Follow-up","2nd Follow-up","Local Office","CBE","Roxanne")&amp;IF($Z964=6," - Final"," - Day "&amp;MAX(0,NETWORKDAYS($AA964,TODAY(),Holidays)-1)&amp;" of "&amp;CHOOSE($Z964,3,3,2,2,3))&amp;" | Total Day "&amp;MAX(0,NETWORKDAYS($N964,TODAY(),Holidays)-1))</f>
        <v/>
      </c>
      <c r="X964" s="18"/>
      <c r="Y964" s="18"/>
      <c r="Z964" s="17">
        <f>IF($N964="","",COUNT($N964:$S964))</f>
        <v/>
      </c>
      <c r="AA964" s="19">
        <f>IF($Z964="","",INT(INDEX($N964:$S964,$Z964)))</f>
        <v/>
      </c>
      <c r="AB964" s="19">
        <f>IF(OR($Z964="",$Z964=6),"",WORKDAY($AA964,CHOOSE($Z964,3,3,2,2,3),Holidays))</f>
        <v/>
      </c>
      <c r="AC964" s="17">
        <f>IF(OR($Z964="",$Z964=6),"",CHOOSE($Z964,"1st Email Follow-up","2nd Email Follow-up","Escalate Local Office","Escalate to CBE","Escalate to Roxanne"))</f>
        <v/>
      </c>
    </row>
    <row r="965" spans="13:29">
      <c r="M965" s="14"/>
      <c r="T965" s="16"/>
      <c r="U965" s="17">
        <f>IF(AND(COUNTA($A965:$L965)=0,$N965=""),"",IF($T965="Paid","PAID",IF($T965="Closed","CLOSED",IF($Z965="","",IF($Z965=6,"ESCALATED TO ROXANNE",IF(TODAY()&gt;$AB965,"OVERDUE",IF($AB965&lt;=WORKDAY(TODAY(),1,Holidays),"DUE TOMORROW",IF($Z965=4,"ESCALATED TO LOCAL OFFICE",IF($Z965=5,"ESCALATED TO CBE",IF($AA965=TODAY(),"EMAIL SENT","MONITORING"))))))))))</f>
        <v/>
      </c>
      <c r="V965" s="17">
        <f>IF($U965="",IF(AND(COUNTA($A965:$L965)&gt;0,$N965=""),"Awaiting Collection Email time stamp.",""),IF(OR($U965="PAID",$U965="CLOSED"),IF($U965="PAID","Account paid. Action completed.","Account closed. No further action required."),CHOOSE($Z965,"Collection Email","1st Email Follow-up","2nd Email Follow-up","Escalation to Local Office","Escalation to CBE","Escalation to Roxanne")&amp;" sent "&amp;TEXT($AA965,"dd-mmm")&amp;". "&amp;IF($Z965=6,"Final escalation completed.",IF($U965="OVERDUE","Next: "&amp;$AC965&amp;" was due "&amp;TEXT($AB965,"dd-mmm")&amp;" - "&amp;(NETWORKDAYS($AB965,TODAY(),Holidays)-1)&amp;" business day(s) late. Send now.",IF($U965="DUE TOMORROW","Next: "&amp;$AC965&amp;IF($AB965&lt;=TODAY()," is due TODAY ("," is due next business day (")&amp;TEXT($AB965,"dd-mmm")&amp;").","Next: "&amp;$AC965&amp;" due "&amp;TEXT($AB965,"dd-mmm")&amp;" ("&amp;(NETWORKDAYS(TODAY(),$AB965,Holidays)-1)&amp;" business day(s) left).")))))</f>
        <v/>
      </c>
      <c r="W965" s="17">
        <f>IF($Z965="","",CHOOSE($Z965,"Collection Email","1st Follow-up","2nd Follow-up","Local Office","CBE","Roxanne")&amp;IF($Z965=6," - Final"," - Day "&amp;MAX(0,NETWORKDAYS($AA965,TODAY(),Holidays)-1)&amp;" of "&amp;CHOOSE($Z965,3,3,2,2,3))&amp;" | Total Day "&amp;MAX(0,NETWORKDAYS($N965,TODAY(),Holidays)-1))</f>
        <v/>
      </c>
      <c r="X965" s="18"/>
      <c r="Y965" s="18"/>
      <c r="Z965" s="17">
        <f>IF($N965="","",COUNT($N965:$S965))</f>
        <v/>
      </c>
      <c r="AA965" s="19">
        <f>IF($Z965="","",INT(INDEX($N965:$S965,$Z965)))</f>
        <v/>
      </c>
      <c r="AB965" s="19">
        <f>IF(OR($Z965="",$Z965=6),"",WORKDAY($AA965,CHOOSE($Z965,3,3,2,2,3),Holidays))</f>
        <v/>
      </c>
      <c r="AC965" s="17">
        <f>IF(OR($Z965="",$Z965=6),"",CHOOSE($Z965,"1st Email Follow-up","2nd Email Follow-up","Escalate Local Office","Escalate to CBE","Escalate to Roxanne"))</f>
        <v/>
      </c>
    </row>
    <row r="966" spans="13:29">
      <c r="M966" s="14"/>
      <c r="T966" s="16"/>
      <c r="U966" s="17">
        <f>IF(AND(COUNTA($A966:$L966)=0,$N966=""),"",IF($T966="Paid","PAID",IF($T966="Closed","CLOSED",IF($Z966="","",IF($Z966=6,"ESCALATED TO ROXANNE",IF(TODAY()&gt;$AB966,"OVERDUE",IF($AB966&lt;=WORKDAY(TODAY(),1,Holidays),"DUE TOMORROW",IF($Z966=4,"ESCALATED TO LOCAL OFFICE",IF($Z966=5,"ESCALATED TO CBE",IF($AA966=TODAY(),"EMAIL SENT","MONITORING"))))))))))</f>
        <v/>
      </c>
      <c r="V966" s="17">
        <f>IF($U966="",IF(AND(COUNTA($A966:$L966)&gt;0,$N966=""),"Awaiting Collection Email time stamp.",""),IF(OR($U966="PAID",$U966="CLOSED"),IF($U966="PAID","Account paid. Action completed.","Account closed. No further action required."),CHOOSE($Z966,"Collection Email","1st Email Follow-up","2nd Email Follow-up","Escalation to Local Office","Escalation to CBE","Escalation to Roxanne")&amp;" sent "&amp;TEXT($AA966,"dd-mmm")&amp;". "&amp;IF($Z966=6,"Final escalation completed.",IF($U966="OVERDUE","Next: "&amp;$AC966&amp;" was due "&amp;TEXT($AB966,"dd-mmm")&amp;" - "&amp;(NETWORKDAYS($AB966,TODAY(),Holidays)-1)&amp;" business day(s) late. Send now.",IF($U966="DUE TOMORROW","Next: "&amp;$AC966&amp;IF($AB966&lt;=TODAY()," is due TODAY ("," is due next business day (")&amp;TEXT($AB966,"dd-mmm")&amp;").","Next: "&amp;$AC966&amp;" due "&amp;TEXT($AB966,"dd-mmm")&amp;" ("&amp;(NETWORKDAYS(TODAY(),$AB966,Holidays)-1)&amp;" business day(s) left).")))))</f>
        <v/>
      </c>
      <c r="W966" s="17">
        <f>IF($Z966="","",CHOOSE($Z966,"Collection Email","1st Follow-up","2nd Follow-up","Local Office","CBE","Roxanne")&amp;IF($Z966=6," - Final"," - Day "&amp;MAX(0,NETWORKDAYS($AA966,TODAY(),Holidays)-1)&amp;" of "&amp;CHOOSE($Z966,3,3,2,2,3))&amp;" | Total Day "&amp;MAX(0,NETWORKDAYS($N966,TODAY(),Holidays)-1))</f>
        <v/>
      </c>
      <c r="X966" s="18"/>
      <c r="Y966" s="18"/>
      <c r="Z966" s="17">
        <f>IF($N966="","",COUNT($N966:$S966))</f>
        <v/>
      </c>
      <c r="AA966" s="19">
        <f>IF($Z966="","",INT(INDEX($N966:$S966,$Z966)))</f>
        <v/>
      </c>
      <c r="AB966" s="19">
        <f>IF(OR($Z966="",$Z966=6),"",WORKDAY($AA966,CHOOSE($Z966,3,3,2,2,3),Holidays))</f>
        <v/>
      </c>
      <c r="AC966" s="17">
        <f>IF(OR($Z966="",$Z966=6),"",CHOOSE($Z966,"1st Email Follow-up","2nd Email Follow-up","Escalate Local Office","Escalate to CBE","Escalate to Roxanne"))</f>
        <v/>
      </c>
    </row>
    <row r="967" spans="13:29">
      <c r="M967" s="14"/>
      <c r="T967" s="16"/>
      <c r="U967" s="17">
        <f>IF(AND(COUNTA($A967:$L967)=0,$N967=""),"",IF($T967="Paid","PAID",IF($T967="Closed","CLOSED",IF($Z967="","",IF($Z967=6,"ESCALATED TO ROXANNE",IF(TODAY()&gt;$AB967,"OVERDUE",IF($AB967&lt;=WORKDAY(TODAY(),1,Holidays),"DUE TOMORROW",IF($Z967=4,"ESCALATED TO LOCAL OFFICE",IF($Z967=5,"ESCALATED TO CBE",IF($AA967=TODAY(),"EMAIL SENT","MONITORING"))))))))))</f>
        <v/>
      </c>
      <c r="V967" s="17">
        <f>IF($U967="",IF(AND(COUNTA($A967:$L967)&gt;0,$N967=""),"Awaiting Collection Email time stamp.",""),IF(OR($U967="PAID",$U967="CLOSED"),IF($U967="PAID","Account paid. Action completed.","Account closed. No further action required."),CHOOSE($Z967,"Collection Email","1st Email Follow-up","2nd Email Follow-up","Escalation to Local Office","Escalation to CBE","Escalation to Roxanne")&amp;" sent "&amp;TEXT($AA967,"dd-mmm")&amp;". "&amp;IF($Z967=6,"Final escalation completed.",IF($U967="OVERDUE","Next: "&amp;$AC967&amp;" was due "&amp;TEXT($AB967,"dd-mmm")&amp;" - "&amp;(NETWORKDAYS($AB967,TODAY(),Holidays)-1)&amp;" business day(s) late. Send now.",IF($U967="DUE TOMORROW","Next: "&amp;$AC967&amp;IF($AB967&lt;=TODAY()," is due TODAY ("," is due next business day (")&amp;TEXT($AB967,"dd-mmm")&amp;").","Next: "&amp;$AC967&amp;" due "&amp;TEXT($AB967,"dd-mmm")&amp;" ("&amp;(NETWORKDAYS(TODAY(),$AB967,Holidays)-1)&amp;" business day(s) left).")))))</f>
        <v/>
      </c>
      <c r="W967" s="17">
        <f>IF($Z967="","",CHOOSE($Z967,"Collection Email","1st Follow-up","2nd Follow-up","Local Office","CBE","Roxanne")&amp;IF($Z967=6," - Final"," - Day "&amp;MAX(0,NETWORKDAYS($AA967,TODAY(),Holidays)-1)&amp;" of "&amp;CHOOSE($Z967,3,3,2,2,3))&amp;" | Total Day "&amp;MAX(0,NETWORKDAYS($N967,TODAY(),Holidays)-1))</f>
        <v/>
      </c>
      <c r="X967" s="18"/>
      <c r="Y967" s="18"/>
      <c r="Z967" s="17">
        <f>IF($N967="","",COUNT($N967:$S967))</f>
        <v/>
      </c>
      <c r="AA967" s="19">
        <f>IF($Z967="","",INT(INDEX($N967:$S967,$Z967)))</f>
        <v/>
      </c>
      <c r="AB967" s="19">
        <f>IF(OR($Z967="",$Z967=6),"",WORKDAY($AA967,CHOOSE($Z967,3,3,2,2,3),Holidays))</f>
        <v/>
      </c>
      <c r="AC967" s="17">
        <f>IF(OR($Z967="",$Z967=6),"",CHOOSE($Z967,"1st Email Follow-up","2nd Email Follow-up","Escalate Local Office","Escalate to CBE","Escalate to Roxanne"))</f>
        <v/>
      </c>
    </row>
    <row r="968" spans="13:29">
      <c r="M968" s="14"/>
      <c r="T968" s="16"/>
      <c r="U968" s="17">
        <f>IF(AND(COUNTA($A968:$L968)=0,$N968=""),"",IF($T968="Paid","PAID",IF($T968="Closed","CLOSED",IF($Z968="","",IF($Z968=6,"ESCALATED TO ROXANNE",IF(TODAY()&gt;$AB968,"OVERDUE",IF($AB968&lt;=WORKDAY(TODAY(),1,Holidays),"DUE TOMORROW",IF($Z968=4,"ESCALATED TO LOCAL OFFICE",IF($Z968=5,"ESCALATED TO CBE",IF($AA968=TODAY(),"EMAIL SENT","MONITORING"))))))))))</f>
        <v/>
      </c>
      <c r="V968" s="17">
        <f>IF($U968="",IF(AND(COUNTA($A968:$L968)&gt;0,$N968=""),"Awaiting Collection Email time stamp.",""),IF(OR($U968="PAID",$U968="CLOSED"),IF($U968="PAID","Account paid. Action completed.","Account closed. No further action required."),CHOOSE($Z968,"Collection Email","1st Email Follow-up","2nd Email Follow-up","Escalation to Local Office","Escalation to CBE","Escalation to Roxanne")&amp;" sent "&amp;TEXT($AA968,"dd-mmm")&amp;". "&amp;IF($Z968=6,"Final escalation completed.",IF($U968="OVERDUE","Next: "&amp;$AC968&amp;" was due "&amp;TEXT($AB968,"dd-mmm")&amp;" - "&amp;(NETWORKDAYS($AB968,TODAY(),Holidays)-1)&amp;" business day(s) late. Send now.",IF($U968="DUE TOMORROW","Next: "&amp;$AC968&amp;IF($AB968&lt;=TODAY()," is due TODAY ("," is due next business day (")&amp;TEXT($AB968,"dd-mmm")&amp;").","Next: "&amp;$AC968&amp;" due "&amp;TEXT($AB968,"dd-mmm")&amp;" ("&amp;(NETWORKDAYS(TODAY(),$AB968,Holidays)-1)&amp;" business day(s) left).")))))</f>
        <v/>
      </c>
      <c r="W968" s="17">
        <f>IF($Z968="","",CHOOSE($Z968,"Collection Email","1st Follow-up","2nd Follow-up","Local Office","CBE","Roxanne")&amp;IF($Z968=6," - Final"," - Day "&amp;MAX(0,NETWORKDAYS($AA968,TODAY(),Holidays)-1)&amp;" of "&amp;CHOOSE($Z968,3,3,2,2,3))&amp;" | Total Day "&amp;MAX(0,NETWORKDAYS($N968,TODAY(),Holidays)-1))</f>
        <v/>
      </c>
      <c r="X968" s="18"/>
      <c r="Y968" s="18"/>
      <c r="Z968" s="17">
        <f>IF($N968="","",COUNT($N968:$S968))</f>
        <v/>
      </c>
      <c r="AA968" s="19">
        <f>IF($Z968="","",INT(INDEX($N968:$S968,$Z968)))</f>
        <v/>
      </c>
      <c r="AB968" s="19">
        <f>IF(OR($Z968="",$Z968=6),"",WORKDAY($AA968,CHOOSE($Z968,3,3,2,2,3),Holidays))</f>
        <v/>
      </c>
      <c r="AC968" s="17">
        <f>IF(OR($Z968="",$Z968=6),"",CHOOSE($Z968,"1st Email Follow-up","2nd Email Follow-up","Escalate Local Office","Escalate to CBE","Escalate to Roxanne"))</f>
        <v/>
      </c>
    </row>
    <row r="969" spans="13:29">
      <c r="M969" s="14"/>
      <c r="T969" s="16"/>
      <c r="U969" s="17">
        <f>IF(AND(COUNTA($A969:$L969)=0,$N969=""),"",IF($T969="Paid","PAID",IF($T969="Closed","CLOSED",IF($Z969="","",IF($Z969=6,"ESCALATED TO ROXANNE",IF(TODAY()&gt;$AB969,"OVERDUE",IF($AB969&lt;=WORKDAY(TODAY(),1,Holidays),"DUE TOMORROW",IF($Z969=4,"ESCALATED TO LOCAL OFFICE",IF($Z969=5,"ESCALATED TO CBE",IF($AA969=TODAY(),"EMAIL SENT","MONITORING"))))))))))</f>
        <v/>
      </c>
      <c r="V969" s="17">
        <f>IF($U969="",IF(AND(COUNTA($A969:$L969)&gt;0,$N969=""),"Awaiting Collection Email time stamp.",""),IF(OR($U969="PAID",$U969="CLOSED"),IF($U969="PAID","Account paid. Action completed.","Account closed. No further action required."),CHOOSE($Z969,"Collection Email","1st Email Follow-up","2nd Email Follow-up","Escalation to Local Office","Escalation to CBE","Escalation to Roxanne")&amp;" sent "&amp;TEXT($AA969,"dd-mmm")&amp;". "&amp;IF($Z969=6,"Final escalation completed.",IF($U969="OVERDUE","Next: "&amp;$AC969&amp;" was due "&amp;TEXT($AB969,"dd-mmm")&amp;" - "&amp;(NETWORKDAYS($AB969,TODAY(),Holidays)-1)&amp;" business day(s) late. Send now.",IF($U969="DUE TOMORROW","Next: "&amp;$AC969&amp;IF($AB969&lt;=TODAY()," is due TODAY ("," is due next business day (")&amp;TEXT($AB969,"dd-mmm")&amp;").","Next: "&amp;$AC969&amp;" due "&amp;TEXT($AB969,"dd-mmm")&amp;" ("&amp;(NETWORKDAYS(TODAY(),$AB969,Holidays)-1)&amp;" business day(s) left).")))))</f>
        <v/>
      </c>
      <c r="W969" s="17">
        <f>IF($Z969="","",CHOOSE($Z969,"Collection Email","1st Follow-up","2nd Follow-up","Local Office","CBE","Roxanne")&amp;IF($Z969=6," - Final"," - Day "&amp;MAX(0,NETWORKDAYS($AA969,TODAY(),Holidays)-1)&amp;" of "&amp;CHOOSE($Z969,3,3,2,2,3))&amp;" | Total Day "&amp;MAX(0,NETWORKDAYS($N969,TODAY(),Holidays)-1))</f>
        <v/>
      </c>
      <c r="X969" s="18"/>
      <c r="Y969" s="18"/>
      <c r="Z969" s="17">
        <f>IF($N969="","",COUNT($N969:$S969))</f>
        <v/>
      </c>
      <c r="AA969" s="19">
        <f>IF($Z969="","",INT(INDEX($N969:$S969,$Z969)))</f>
        <v/>
      </c>
      <c r="AB969" s="19">
        <f>IF(OR($Z969="",$Z969=6),"",WORKDAY($AA969,CHOOSE($Z969,3,3,2,2,3),Holidays))</f>
        <v/>
      </c>
      <c r="AC969" s="17">
        <f>IF(OR($Z969="",$Z969=6),"",CHOOSE($Z969,"1st Email Follow-up","2nd Email Follow-up","Escalate Local Office","Escalate to CBE","Escalate to Roxanne"))</f>
        <v/>
      </c>
    </row>
    <row r="970" spans="13:29">
      <c r="M970" s="14"/>
      <c r="T970" s="16"/>
      <c r="U970" s="17">
        <f>IF(AND(COUNTA($A970:$L970)=0,$N970=""),"",IF($T970="Paid","PAID",IF($T970="Closed","CLOSED",IF($Z970="","",IF($Z970=6,"ESCALATED TO ROXANNE",IF(TODAY()&gt;$AB970,"OVERDUE",IF($AB970&lt;=WORKDAY(TODAY(),1,Holidays),"DUE TOMORROW",IF($Z970=4,"ESCALATED TO LOCAL OFFICE",IF($Z970=5,"ESCALATED TO CBE",IF($AA970=TODAY(),"EMAIL SENT","MONITORING"))))))))))</f>
        <v/>
      </c>
      <c r="V970" s="17">
        <f>IF($U970="",IF(AND(COUNTA($A970:$L970)&gt;0,$N970=""),"Awaiting Collection Email time stamp.",""),IF(OR($U970="PAID",$U970="CLOSED"),IF($U970="PAID","Account paid. Action completed.","Account closed. No further action required."),CHOOSE($Z970,"Collection Email","1st Email Follow-up","2nd Email Follow-up","Escalation to Local Office","Escalation to CBE","Escalation to Roxanne")&amp;" sent "&amp;TEXT($AA970,"dd-mmm")&amp;". "&amp;IF($Z970=6,"Final escalation completed.",IF($U970="OVERDUE","Next: "&amp;$AC970&amp;" was due "&amp;TEXT($AB970,"dd-mmm")&amp;" - "&amp;(NETWORKDAYS($AB970,TODAY(),Holidays)-1)&amp;" business day(s) late. Send now.",IF($U970="DUE TOMORROW","Next: "&amp;$AC970&amp;IF($AB970&lt;=TODAY()," is due TODAY ("," is due next business day (")&amp;TEXT($AB970,"dd-mmm")&amp;").","Next: "&amp;$AC970&amp;" due "&amp;TEXT($AB970,"dd-mmm")&amp;" ("&amp;(NETWORKDAYS(TODAY(),$AB970,Holidays)-1)&amp;" business day(s) left).")))))</f>
        <v/>
      </c>
      <c r="W970" s="17">
        <f>IF($Z970="","",CHOOSE($Z970,"Collection Email","1st Follow-up","2nd Follow-up","Local Office","CBE","Roxanne")&amp;IF($Z970=6," - Final"," - Day "&amp;MAX(0,NETWORKDAYS($AA970,TODAY(),Holidays)-1)&amp;" of "&amp;CHOOSE($Z970,3,3,2,2,3))&amp;" | Total Day "&amp;MAX(0,NETWORKDAYS($N970,TODAY(),Holidays)-1))</f>
        <v/>
      </c>
      <c r="X970" s="18"/>
      <c r="Y970" s="18"/>
      <c r="Z970" s="17">
        <f>IF($N970="","",COUNT($N970:$S970))</f>
        <v/>
      </c>
      <c r="AA970" s="19">
        <f>IF($Z970="","",INT(INDEX($N970:$S970,$Z970)))</f>
        <v/>
      </c>
      <c r="AB970" s="19">
        <f>IF(OR($Z970="",$Z970=6),"",WORKDAY($AA970,CHOOSE($Z970,3,3,2,2,3),Holidays))</f>
        <v/>
      </c>
      <c r="AC970" s="17">
        <f>IF(OR($Z970="",$Z970=6),"",CHOOSE($Z970,"1st Email Follow-up","2nd Email Follow-up","Escalate Local Office","Escalate to CBE","Escalate to Roxanne"))</f>
        <v/>
      </c>
    </row>
    <row r="971" spans="13:29">
      <c r="M971" s="14"/>
      <c r="T971" s="16"/>
      <c r="U971" s="17">
        <f>IF(AND(COUNTA($A971:$L971)=0,$N971=""),"",IF($T971="Paid","PAID",IF($T971="Closed","CLOSED",IF($Z971="","",IF($Z971=6,"ESCALATED TO ROXANNE",IF(TODAY()&gt;$AB971,"OVERDUE",IF($AB971&lt;=WORKDAY(TODAY(),1,Holidays),"DUE TOMORROW",IF($Z971=4,"ESCALATED TO LOCAL OFFICE",IF($Z971=5,"ESCALATED TO CBE",IF($AA971=TODAY(),"EMAIL SENT","MONITORING"))))))))))</f>
        <v/>
      </c>
      <c r="V971" s="17">
        <f>IF($U971="",IF(AND(COUNTA($A971:$L971)&gt;0,$N971=""),"Awaiting Collection Email time stamp.",""),IF(OR($U971="PAID",$U971="CLOSED"),IF($U971="PAID","Account paid. Action completed.","Account closed. No further action required."),CHOOSE($Z971,"Collection Email","1st Email Follow-up","2nd Email Follow-up","Escalation to Local Office","Escalation to CBE","Escalation to Roxanne")&amp;" sent "&amp;TEXT($AA971,"dd-mmm")&amp;". "&amp;IF($Z971=6,"Final escalation completed.",IF($U971="OVERDUE","Next: "&amp;$AC971&amp;" was due "&amp;TEXT($AB971,"dd-mmm")&amp;" - "&amp;(NETWORKDAYS($AB971,TODAY(),Holidays)-1)&amp;" business day(s) late. Send now.",IF($U971="DUE TOMORROW","Next: "&amp;$AC971&amp;IF($AB971&lt;=TODAY()," is due TODAY ("," is due next business day (")&amp;TEXT($AB971,"dd-mmm")&amp;").","Next: "&amp;$AC971&amp;" due "&amp;TEXT($AB971,"dd-mmm")&amp;" ("&amp;(NETWORKDAYS(TODAY(),$AB971,Holidays)-1)&amp;" business day(s) left).")))))</f>
        <v/>
      </c>
      <c r="W971" s="17">
        <f>IF($Z971="","",CHOOSE($Z971,"Collection Email","1st Follow-up","2nd Follow-up","Local Office","CBE","Roxanne")&amp;IF($Z971=6," - Final"," - Day "&amp;MAX(0,NETWORKDAYS($AA971,TODAY(),Holidays)-1)&amp;" of "&amp;CHOOSE($Z971,3,3,2,2,3))&amp;" | Total Day "&amp;MAX(0,NETWORKDAYS($N971,TODAY(),Holidays)-1))</f>
        <v/>
      </c>
      <c r="X971" s="18"/>
      <c r="Y971" s="18"/>
      <c r="Z971" s="17">
        <f>IF($N971="","",COUNT($N971:$S971))</f>
        <v/>
      </c>
      <c r="AA971" s="19">
        <f>IF($Z971="","",INT(INDEX($N971:$S971,$Z971)))</f>
        <v/>
      </c>
      <c r="AB971" s="19">
        <f>IF(OR($Z971="",$Z971=6),"",WORKDAY($AA971,CHOOSE($Z971,3,3,2,2,3),Holidays))</f>
        <v/>
      </c>
      <c r="AC971" s="17">
        <f>IF(OR($Z971="",$Z971=6),"",CHOOSE($Z971,"1st Email Follow-up","2nd Email Follow-up","Escalate Local Office","Escalate to CBE","Escalate to Roxanne"))</f>
        <v/>
      </c>
    </row>
    <row r="972" spans="13:29">
      <c r="M972" s="14"/>
      <c r="T972" s="16"/>
      <c r="U972" s="17">
        <f>IF(AND(COUNTA($A972:$L972)=0,$N972=""),"",IF($T972="Paid","PAID",IF($T972="Closed","CLOSED",IF($Z972="","",IF($Z972=6,"ESCALATED TO ROXANNE",IF(TODAY()&gt;$AB972,"OVERDUE",IF($AB972&lt;=WORKDAY(TODAY(),1,Holidays),"DUE TOMORROW",IF($Z972=4,"ESCALATED TO LOCAL OFFICE",IF($Z972=5,"ESCALATED TO CBE",IF($AA972=TODAY(),"EMAIL SENT","MONITORING"))))))))))</f>
        <v/>
      </c>
      <c r="V972" s="17">
        <f>IF($U972="",IF(AND(COUNTA($A972:$L972)&gt;0,$N972=""),"Awaiting Collection Email time stamp.",""),IF(OR($U972="PAID",$U972="CLOSED"),IF($U972="PAID","Account paid. Action completed.","Account closed. No further action required."),CHOOSE($Z972,"Collection Email","1st Email Follow-up","2nd Email Follow-up","Escalation to Local Office","Escalation to CBE","Escalation to Roxanne")&amp;" sent "&amp;TEXT($AA972,"dd-mmm")&amp;". "&amp;IF($Z972=6,"Final escalation completed.",IF($U972="OVERDUE","Next: "&amp;$AC972&amp;" was due "&amp;TEXT($AB972,"dd-mmm")&amp;" - "&amp;(NETWORKDAYS($AB972,TODAY(),Holidays)-1)&amp;" business day(s) late. Send now.",IF($U972="DUE TOMORROW","Next: "&amp;$AC972&amp;IF($AB972&lt;=TODAY()," is due TODAY ("," is due next business day (")&amp;TEXT($AB972,"dd-mmm")&amp;").","Next: "&amp;$AC972&amp;" due "&amp;TEXT($AB972,"dd-mmm")&amp;" ("&amp;(NETWORKDAYS(TODAY(),$AB972,Holidays)-1)&amp;" business day(s) left).")))))</f>
        <v/>
      </c>
      <c r="W972" s="17">
        <f>IF($Z972="","",CHOOSE($Z972,"Collection Email","1st Follow-up","2nd Follow-up","Local Office","CBE","Roxanne")&amp;IF($Z972=6," - Final"," - Day "&amp;MAX(0,NETWORKDAYS($AA972,TODAY(),Holidays)-1)&amp;" of "&amp;CHOOSE($Z972,3,3,2,2,3))&amp;" | Total Day "&amp;MAX(0,NETWORKDAYS($N972,TODAY(),Holidays)-1))</f>
        <v/>
      </c>
      <c r="X972" s="18"/>
      <c r="Y972" s="18"/>
      <c r="Z972" s="17">
        <f>IF($N972="","",COUNT($N972:$S972))</f>
        <v/>
      </c>
      <c r="AA972" s="19">
        <f>IF($Z972="","",INT(INDEX($N972:$S972,$Z972)))</f>
        <v/>
      </c>
      <c r="AB972" s="19">
        <f>IF(OR($Z972="",$Z972=6),"",WORKDAY($AA972,CHOOSE($Z972,3,3,2,2,3),Holidays))</f>
        <v/>
      </c>
      <c r="AC972" s="17">
        <f>IF(OR($Z972="",$Z972=6),"",CHOOSE($Z972,"1st Email Follow-up","2nd Email Follow-up","Escalate Local Office","Escalate to CBE","Escalate to Roxanne"))</f>
        <v/>
      </c>
    </row>
    <row r="973" spans="13:29">
      <c r="M973" s="14"/>
      <c r="T973" s="16"/>
      <c r="U973" s="17">
        <f>IF(AND(COUNTA($A973:$L973)=0,$N973=""),"",IF($T973="Paid","PAID",IF($T973="Closed","CLOSED",IF($Z973="","",IF($Z973=6,"ESCALATED TO ROXANNE",IF(TODAY()&gt;$AB973,"OVERDUE",IF($AB973&lt;=WORKDAY(TODAY(),1,Holidays),"DUE TOMORROW",IF($Z973=4,"ESCALATED TO LOCAL OFFICE",IF($Z973=5,"ESCALATED TO CBE",IF($AA973=TODAY(),"EMAIL SENT","MONITORING"))))))))))</f>
        <v/>
      </c>
      <c r="V973" s="17">
        <f>IF($U973="",IF(AND(COUNTA($A973:$L973)&gt;0,$N973=""),"Awaiting Collection Email time stamp.",""),IF(OR($U973="PAID",$U973="CLOSED"),IF($U973="PAID","Account paid. Action completed.","Account closed. No further action required."),CHOOSE($Z973,"Collection Email","1st Email Follow-up","2nd Email Follow-up","Escalation to Local Office","Escalation to CBE","Escalation to Roxanne")&amp;" sent "&amp;TEXT($AA973,"dd-mmm")&amp;". "&amp;IF($Z973=6,"Final escalation completed.",IF($U973="OVERDUE","Next: "&amp;$AC973&amp;" was due "&amp;TEXT($AB973,"dd-mmm")&amp;" - "&amp;(NETWORKDAYS($AB973,TODAY(),Holidays)-1)&amp;" business day(s) late. Send now.",IF($U973="DUE TOMORROW","Next: "&amp;$AC973&amp;IF($AB973&lt;=TODAY()," is due TODAY ("," is due next business day (")&amp;TEXT($AB973,"dd-mmm")&amp;").","Next: "&amp;$AC973&amp;" due "&amp;TEXT($AB973,"dd-mmm")&amp;" ("&amp;(NETWORKDAYS(TODAY(),$AB973,Holidays)-1)&amp;" business day(s) left).")))))</f>
        <v/>
      </c>
      <c r="W973" s="17">
        <f>IF($Z973="","",CHOOSE($Z973,"Collection Email","1st Follow-up","2nd Follow-up","Local Office","CBE","Roxanne")&amp;IF($Z973=6," - Final"," - Day "&amp;MAX(0,NETWORKDAYS($AA973,TODAY(),Holidays)-1)&amp;" of "&amp;CHOOSE($Z973,3,3,2,2,3))&amp;" | Total Day "&amp;MAX(0,NETWORKDAYS($N973,TODAY(),Holidays)-1))</f>
        <v/>
      </c>
      <c r="X973" s="18"/>
      <c r="Y973" s="18"/>
      <c r="Z973" s="17">
        <f>IF($N973="","",COUNT($N973:$S973))</f>
        <v/>
      </c>
      <c r="AA973" s="19">
        <f>IF($Z973="","",INT(INDEX($N973:$S973,$Z973)))</f>
        <v/>
      </c>
      <c r="AB973" s="19">
        <f>IF(OR($Z973="",$Z973=6),"",WORKDAY($AA973,CHOOSE($Z973,3,3,2,2,3),Holidays))</f>
        <v/>
      </c>
      <c r="AC973" s="17">
        <f>IF(OR($Z973="",$Z973=6),"",CHOOSE($Z973,"1st Email Follow-up","2nd Email Follow-up","Escalate Local Office","Escalate to CBE","Escalate to Roxanne"))</f>
        <v/>
      </c>
    </row>
    <row r="974" spans="13:29">
      <c r="M974" s="14"/>
      <c r="T974" s="16"/>
      <c r="U974" s="17">
        <f>IF(AND(COUNTA($A974:$L974)=0,$N974=""),"",IF($T974="Paid","PAID",IF($T974="Closed","CLOSED",IF($Z974="","",IF($Z974=6,"ESCALATED TO ROXANNE",IF(TODAY()&gt;$AB974,"OVERDUE",IF($AB974&lt;=WORKDAY(TODAY(),1,Holidays),"DUE TOMORROW",IF($Z974=4,"ESCALATED TO LOCAL OFFICE",IF($Z974=5,"ESCALATED TO CBE",IF($AA974=TODAY(),"EMAIL SENT","MONITORING"))))))))))</f>
        <v/>
      </c>
      <c r="V974" s="17">
        <f>IF($U974="",IF(AND(COUNTA($A974:$L974)&gt;0,$N974=""),"Awaiting Collection Email time stamp.",""),IF(OR($U974="PAID",$U974="CLOSED"),IF($U974="PAID","Account paid. Action completed.","Account closed. No further action required."),CHOOSE($Z974,"Collection Email","1st Email Follow-up","2nd Email Follow-up","Escalation to Local Office","Escalation to CBE","Escalation to Roxanne")&amp;" sent "&amp;TEXT($AA974,"dd-mmm")&amp;". "&amp;IF($Z974=6,"Final escalation completed.",IF($U974="OVERDUE","Next: "&amp;$AC974&amp;" was due "&amp;TEXT($AB974,"dd-mmm")&amp;" - "&amp;(NETWORKDAYS($AB974,TODAY(),Holidays)-1)&amp;" business day(s) late. Send now.",IF($U974="DUE TOMORROW","Next: "&amp;$AC974&amp;IF($AB974&lt;=TODAY()," is due TODAY ("," is due next business day (")&amp;TEXT($AB974,"dd-mmm")&amp;").","Next: "&amp;$AC974&amp;" due "&amp;TEXT($AB974,"dd-mmm")&amp;" ("&amp;(NETWORKDAYS(TODAY(),$AB974,Holidays)-1)&amp;" business day(s) left).")))))</f>
        <v/>
      </c>
      <c r="W974" s="17">
        <f>IF($Z974="","",CHOOSE($Z974,"Collection Email","1st Follow-up","2nd Follow-up","Local Office","CBE","Roxanne")&amp;IF($Z974=6," - Final"," - Day "&amp;MAX(0,NETWORKDAYS($AA974,TODAY(),Holidays)-1)&amp;" of "&amp;CHOOSE($Z974,3,3,2,2,3))&amp;" | Total Day "&amp;MAX(0,NETWORKDAYS($N974,TODAY(),Holidays)-1))</f>
        <v/>
      </c>
      <c r="X974" s="18"/>
      <c r="Y974" s="18"/>
      <c r="Z974" s="17">
        <f>IF($N974="","",COUNT($N974:$S974))</f>
        <v/>
      </c>
      <c r="AA974" s="19">
        <f>IF($Z974="","",INT(INDEX($N974:$S974,$Z974)))</f>
        <v/>
      </c>
      <c r="AB974" s="19">
        <f>IF(OR($Z974="",$Z974=6),"",WORKDAY($AA974,CHOOSE($Z974,3,3,2,2,3),Holidays))</f>
        <v/>
      </c>
      <c r="AC974" s="17">
        <f>IF(OR($Z974="",$Z974=6),"",CHOOSE($Z974,"1st Email Follow-up","2nd Email Follow-up","Escalate Local Office","Escalate to CBE","Escalate to Roxanne"))</f>
        <v/>
      </c>
    </row>
    <row r="975" spans="13:29">
      <c r="M975" s="14"/>
      <c r="T975" s="16"/>
      <c r="U975" s="17">
        <f>IF(AND(COUNTA($A975:$L975)=0,$N975=""),"",IF($T975="Paid","PAID",IF($T975="Closed","CLOSED",IF($Z975="","",IF($Z975=6,"ESCALATED TO ROXANNE",IF(TODAY()&gt;$AB975,"OVERDUE",IF($AB975&lt;=WORKDAY(TODAY(),1,Holidays),"DUE TOMORROW",IF($Z975=4,"ESCALATED TO LOCAL OFFICE",IF($Z975=5,"ESCALATED TO CBE",IF($AA975=TODAY(),"EMAIL SENT","MONITORING"))))))))))</f>
        <v/>
      </c>
      <c r="V975" s="17">
        <f>IF($U975="",IF(AND(COUNTA($A975:$L975)&gt;0,$N975=""),"Awaiting Collection Email time stamp.",""),IF(OR($U975="PAID",$U975="CLOSED"),IF($U975="PAID","Account paid. Action completed.","Account closed. No further action required."),CHOOSE($Z975,"Collection Email","1st Email Follow-up","2nd Email Follow-up","Escalation to Local Office","Escalation to CBE","Escalation to Roxanne")&amp;" sent "&amp;TEXT($AA975,"dd-mmm")&amp;". "&amp;IF($Z975=6,"Final escalation completed.",IF($U975="OVERDUE","Next: "&amp;$AC975&amp;" was due "&amp;TEXT($AB975,"dd-mmm")&amp;" - "&amp;(NETWORKDAYS($AB975,TODAY(),Holidays)-1)&amp;" business day(s) late. Send now.",IF($U975="DUE TOMORROW","Next: "&amp;$AC975&amp;IF($AB975&lt;=TODAY()," is due TODAY ("," is due next business day (")&amp;TEXT($AB975,"dd-mmm")&amp;").","Next: "&amp;$AC975&amp;" due "&amp;TEXT($AB975,"dd-mmm")&amp;" ("&amp;(NETWORKDAYS(TODAY(),$AB975,Holidays)-1)&amp;" business day(s) left).")))))</f>
        <v/>
      </c>
      <c r="W975" s="17">
        <f>IF($Z975="","",CHOOSE($Z975,"Collection Email","1st Follow-up","2nd Follow-up","Local Office","CBE","Roxanne")&amp;IF($Z975=6," - Final"," - Day "&amp;MAX(0,NETWORKDAYS($AA975,TODAY(),Holidays)-1)&amp;" of "&amp;CHOOSE($Z975,3,3,2,2,3))&amp;" | Total Day "&amp;MAX(0,NETWORKDAYS($N975,TODAY(),Holidays)-1))</f>
        <v/>
      </c>
      <c r="X975" s="18"/>
      <c r="Y975" s="18"/>
      <c r="Z975" s="17">
        <f>IF($N975="","",COUNT($N975:$S975))</f>
        <v/>
      </c>
      <c r="AA975" s="19">
        <f>IF($Z975="","",INT(INDEX($N975:$S975,$Z975)))</f>
        <v/>
      </c>
      <c r="AB975" s="19">
        <f>IF(OR($Z975="",$Z975=6),"",WORKDAY($AA975,CHOOSE($Z975,3,3,2,2,3),Holidays))</f>
        <v/>
      </c>
      <c r="AC975" s="17">
        <f>IF(OR($Z975="",$Z975=6),"",CHOOSE($Z975,"1st Email Follow-up","2nd Email Follow-up","Escalate Local Office","Escalate to CBE","Escalate to Roxanne"))</f>
        <v/>
      </c>
    </row>
    <row r="976" spans="13:29">
      <c r="M976" s="14"/>
      <c r="T976" s="16"/>
      <c r="U976" s="17">
        <f>IF(AND(COUNTA($A976:$L976)=0,$N976=""),"",IF($T976="Paid","PAID",IF($T976="Closed","CLOSED",IF($Z976="","",IF($Z976=6,"ESCALATED TO ROXANNE",IF(TODAY()&gt;$AB976,"OVERDUE",IF($AB976&lt;=WORKDAY(TODAY(),1,Holidays),"DUE TOMORROW",IF($Z976=4,"ESCALATED TO LOCAL OFFICE",IF($Z976=5,"ESCALATED TO CBE",IF($AA976=TODAY(),"EMAIL SENT","MONITORING"))))))))))</f>
        <v/>
      </c>
      <c r="V976" s="17">
        <f>IF($U976="",IF(AND(COUNTA($A976:$L976)&gt;0,$N976=""),"Awaiting Collection Email time stamp.",""),IF(OR($U976="PAID",$U976="CLOSED"),IF($U976="PAID","Account paid. Action completed.","Account closed. No further action required."),CHOOSE($Z976,"Collection Email","1st Email Follow-up","2nd Email Follow-up","Escalation to Local Office","Escalation to CBE","Escalation to Roxanne")&amp;" sent "&amp;TEXT($AA976,"dd-mmm")&amp;". "&amp;IF($Z976=6,"Final escalation completed.",IF($U976="OVERDUE","Next: "&amp;$AC976&amp;" was due "&amp;TEXT($AB976,"dd-mmm")&amp;" - "&amp;(NETWORKDAYS($AB976,TODAY(),Holidays)-1)&amp;" business day(s) late. Send now.",IF($U976="DUE TOMORROW","Next: "&amp;$AC976&amp;IF($AB976&lt;=TODAY()," is due TODAY ("," is due next business day (")&amp;TEXT($AB976,"dd-mmm")&amp;").","Next: "&amp;$AC976&amp;" due "&amp;TEXT($AB976,"dd-mmm")&amp;" ("&amp;(NETWORKDAYS(TODAY(),$AB976,Holidays)-1)&amp;" business day(s) left).")))))</f>
        <v/>
      </c>
      <c r="W976" s="17">
        <f>IF($Z976="","",CHOOSE($Z976,"Collection Email","1st Follow-up","2nd Follow-up","Local Office","CBE","Roxanne")&amp;IF($Z976=6," - Final"," - Day "&amp;MAX(0,NETWORKDAYS($AA976,TODAY(),Holidays)-1)&amp;" of "&amp;CHOOSE($Z976,3,3,2,2,3))&amp;" | Total Day "&amp;MAX(0,NETWORKDAYS($N976,TODAY(),Holidays)-1))</f>
        <v/>
      </c>
      <c r="X976" s="18"/>
      <c r="Y976" s="18"/>
      <c r="Z976" s="17">
        <f>IF($N976="","",COUNT($N976:$S976))</f>
        <v/>
      </c>
      <c r="AA976" s="19">
        <f>IF($Z976="","",INT(INDEX($N976:$S976,$Z976)))</f>
        <v/>
      </c>
      <c r="AB976" s="19">
        <f>IF(OR($Z976="",$Z976=6),"",WORKDAY($AA976,CHOOSE($Z976,3,3,2,2,3),Holidays))</f>
        <v/>
      </c>
      <c r="AC976" s="17">
        <f>IF(OR($Z976="",$Z976=6),"",CHOOSE($Z976,"1st Email Follow-up","2nd Email Follow-up","Escalate Local Office","Escalate to CBE","Escalate to Roxanne"))</f>
        <v/>
      </c>
    </row>
    <row r="977" spans="13:29">
      <c r="M977" s="14"/>
      <c r="T977" s="16"/>
      <c r="U977" s="17">
        <f>IF(AND(COUNTA($A977:$L977)=0,$N977=""),"",IF($T977="Paid","PAID",IF($T977="Closed","CLOSED",IF($Z977="","",IF($Z977=6,"ESCALATED TO ROXANNE",IF(TODAY()&gt;$AB977,"OVERDUE",IF($AB977&lt;=WORKDAY(TODAY(),1,Holidays),"DUE TOMORROW",IF($Z977=4,"ESCALATED TO LOCAL OFFICE",IF($Z977=5,"ESCALATED TO CBE",IF($AA977=TODAY(),"EMAIL SENT","MONITORING"))))))))))</f>
        <v/>
      </c>
      <c r="V977" s="17">
        <f>IF($U977="",IF(AND(COUNTA($A977:$L977)&gt;0,$N977=""),"Awaiting Collection Email time stamp.",""),IF(OR($U977="PAID",$U977="CLOSED"),IF($U977="PAID","Account paid. Action completed.","Account closed. No further action required."),CHOOSE($Z977,"Collection Email","1st Email Follow-up","2nd Email Follow-up","Escalation to Local Office","Escalation to CBE","Escalation to Roxanne")&amp;" sent "&amp;TEXT($AA977,"dd-mmm")&amp;". "&amp;IF($Z977=6,"Final escalation completed.",IF($U977="OVERDUE","Next: "&amp;$AC977&amp;" was due "&amp;TEXT($AB977,"dd-mmm")&amp;" - "&amp;(NETWORKDAYS($AB977,TODAY(),Holidays)-1)&amp;" business day(s) late. Send now.",IF($U977="DUE TOMORROW","Next: "&amp;$AC977&amp;IF($AB977&lt;=TODAY()," is due TODAY ("," is due next business day (")&amp;TEXT($AB977,"dd-mmm")&amp;").","Next: "&amp;$AC977&amp;" due "&amp;TEXT($AB977,"dd-mmm")&amp;" ("&amp;(NETWORKDAYS(TODAY(),$AB977,Holidays)-1)&amp;" business day(s) left).")))))</f>
        <v/>
      </c>
      <c r="W977" s="17">
        <f>IF($Z977="","",CHOOSE($Z977,"Collection Email","1st Follow-up","2nd Follow-up","Local Office","CBE","Roxanne")&amp;IF($Z977=6," - Final"," - Day "&amp;MAX(0,NETWORKDAYS($AA977,TODAY(),Holidays)-1)&amp;" of "&amp;CHOOSE($Z977,3,3,2,2,3))&amp;" | Total Day "&amp;MAX(0,NETWORKDAYS($N977,TODAY(),Holidays)-1))</f>
        <v/>
      </c>
      <c r="X977" s="18"/>
      <c r="Y977" s="18"/>
      <c r="Z977" s="17">
        <f>IF($N977="","",COUNT($N977:$S977))</f>
        <v/>
      </c>
      <c r="AA977" s="19">
        <f>IF($Z977="","",INT(INDEX($N977:$S977,$Z977)))</f>
        <v/>
      </c>
      <c r="AB977" s="19">
        <f>IF(OR($Z977="",$Z977=6),"",WORKDAY($AA977,CHOOSE($Z977,3,3,2,2,3),Holidays))</f>
        <v/>
      </c>
      <c r="AC977" s="17">
        <f>IF(OR($Z977="",$Z977=6),"",CHOOSE($Z977,"1st Email Follow-up","2nd Email Follow-up","Escalate Local Office","Escalate to CBE","Escalate to Roxanne"))</f>
        <v/>
      </c>
    </row>
    <row r="978" spans="13:29">
      <c r="M978" s="14"/>
      <c r="T978" s="16"/>
      <c r="U978" s="17">
        <f>IF(AND(COUNTA($A978:$L978)=0,$N978=""),"",IF($T978="Paid","PAID",IF($T978="Closed","CLOSED",IF($Z978="","",IF($Z978=6,"ESCALATED TO ROXANNE",IF(TODAY()&gt;$AB978,"OVERDUE",IF($AB978&lt;=WORKDAY(TODAY(),1,Holidays),"DUE TOMORROW",IF($Z978=4,"ESCALATED TO LOCAL OFFICE",IF($Z978=5,"ESCALATED TO CBE",IF($AA978=TODAY(),"EMAIL SENT","MONITORING"))))))))))</f>
        <v/>
      </c>
      <c r="V978" s="17">
        <f>IF($U978="",IF(AND(COUNTA($A978:$L978)&gt;0,$N978=""),"Awaiting Collection Email time stamp.",""),IF(OR($U978="PAID",$U978="CLOSED"),IF($U978="PAID","Account paid. Action completed.","Account closed. No further action required."),CHOOSE($Z978,"Collection Email","1st Email Follow-up","2nd Email Follow-up","Escalation to Local Office","Escalation to CBE","Escalation to Roxanne")&amp;" sent "&amp;TEXT($AA978,"dd-mmm")&amp;". "&amp;IF($Z978=6,"Final escalation completed.",IF($U978="OVERDUE","Next: "&amp;$AC978&amp;" was due "&amp;TEXT($AB978,"dd-mmm")&amp;" - "&amp;(NETWORKDAYS($AB978,TODAY(),Holidays)-1)&amp;" business day(s) late. Send now.",IF($U978="DUE TOMORROW","Next: "&amp;$AC978&amp;IF($AB978&lt;=TODAY()," is due TODAY ("," is due next business day (")&amp;TEXT($AB978,"dd-mmm")&amp;").","Next: "&amp;$AC978&amp;" due "&amp;TEXT($AB978,"dd-mmm")&amp;" ("&amp;(NETWORKDAYS(TODAY(),$AB978,Holidays)-1)&amp;" business day(s) left).")))))</f>
        <v/>
      </c>
      <c r="W978" s="17">
        <f>IF($Z978="","",CHOOSE($Z978,"Collection Email","1st Follow-up","2nd Follow-up","Local Office","CBE","Roxanne")&amp;IF($Z978=6," - Final"," - Day "&amp;MAX(0,NETWORKDAYS($AA978,TODAY(),Holidays)-1)&amp;" of "&amp;CHOOSE($Z978,3,3,2,2,3))&amp;" | Total Day "&amp;MAX(0,NETWORKDAYS($N978,TODAY(),Holidays)-1))</f>
        <v/>
      </c>
      <c r="X978" s="18"/>
      <c r="Y978" s="18"/>
      <c r="Z978" s="17">
        <f>IF($N978="","",COUNT($N978:$S978))</f>
        <v/>
      </c>
      <c r="AA978" s="19">
        <f>IF($Z978="","",INT(INDEX($N978:$S978,$Z978)))</f>
        <v/>
      </c>
      <c r="AB978" s="19">
        <f>IF(OR($Z978="",$Z978=6),"",WORKDAY($AA978,CHOOSE($Z978,3,3,2,2,3),Holidays))</f>
        <v/>
      </c>
      <c r="AC978" s="17">
        <f>IF(OR($Z978="",$Z978=6),"",CHOOSE($Z978,"1st Email Follow-up","2nd Email Follow-up","Escalate Local Office","Escalate to CBE","Escalate to Roxanne"))</f>
        <v/>
      </c>
    </row>
    <row r="979" spans="13:29">
      <c r="M979" s="14"/>
      <c r="T979" s="16"/>
      <c r="U979" s="17">
        <f>IF(AND(COUNTA($A979:$L979)=0,$N979=""),"",IF($T979="Paid","PAID",IF($T979="Closed","CLOSED",IF($Z979="","",IF($Z979=6,"ESCALATED TO ROXANNE",IF(TODAY()&gt;$AB979,"OVERDUE",IF($AB979&lt;=WORKDAY(TODAY(),1,Holidays),"DUE TOMORROW",IF($Z979=4,"ESCALATED TO LOCAL OFFICE",IF($Z979=5,"ESCALATED TO CBE",IF($AA979=TODAY(),"EMAIL SENT","MONITORING"))))))))))</f>
        <v/>
      </c>
      <c r="V979" s="17">
        <f>IF($U979="",IF(AND(COUNTA($A979:$L979)&gt;0,$N979=""),"Awaiting Collection Email time stamp.",""),IF(OR($U979="PAID",$U979="CLOSED"),IF($U979="PAID","Account paid. Action completed.","Account closed. No further action required."),CHOOSE($Z979,"Collection Email","1st Email Follow-up","2nd Email Follow-up","Escalation to Local Office","Escalation to CBE","Escalation to Roxanne")&amp;" sent "&amp;TEXT($AA979,"dd-mmm")&amp;". "&amp;IF($Z979=6,"Final escalation completed.",IF($U979="OVERDUE","Next: "&amp;$AC979&amp;" was due "&amp;TEXT($AB979,"dd-mmm")&amp;" - "&amp;(NETWORKDAYS($AB979,TODAY(),Holidays)-1)&amp;" business day(s) late. Send now.",IF($U979="DUE TOMORROW","Next: "&amp;$AC979&amp;IF($AB979&lt;=TODAY()," is due TODAY ("," is due next business day (")&amp;TEXT($AB979,"dd-mmm")&amp;").","Next: "&amp;$AC979&amp;" due "&amp;TEXT($AB979,"dd-mmm")&amp;" ("&amp;(NETWORKDAYS(TODAY(),$AB979,Holidays)-1)&amp;" business day(s) left).")))))</f>
        <v/>
      </c>
      <c r="W979" s="17">
        <f>IF($Z979="","",CHOOSE($Z979,"Collection Email","1st Follow-up","2nd Follow-up","Local Office","CBE","Roxanne")&amp;IF($Z979=6," - Final"," - Day "&amp;MAX(0,NETWORKDAYS($AA979,TODAY(),Holidays)-1)&amp;" of "&amp;CHOOSE($Z979,3,3,2,2,3))&amp;" | Total Day "&amp;MAX(0,NETWORKDAYS($N979,TODAY(),Holidays)-1))</f>
        <v/>
      </c>
      <c r="X979" s="18"/>
      <c r="Y979" s="18"/>
      <c r="Z979" s="17">
        <f>IF($N979="","",COUNT($N979:$S979))</f>
        <v/>
      </c>
      <c r="AA979" s="19">
        <f>IF($Z979="","",INT(INDEX($N979:$S979,$Z979)))</f>
        <v/>
      </c>
      <c r="AB979" s="19">
        <f>IF(OR($Z979="",$Z979=6),"",WORKDAY($AA979,CHOOSE($Z979,3,3,2,2,3),Holidays))</f>
        <v/>
      </c>
      <c r="AC979" s="17">
        <f>IF(OR($Z979="",$Z979=6),"",CHOOSE($Z979,"1st Email Follow-up","2nd Email Follow-up","Escalate Local Office","Escalate to CBE","Escalate to Roxanne"))</f>
        <v/>
      </c>
    </row>
    <row r="980" spans="13:29">
      <c r="M980" s="14"/>
      <c r="T980" s="16"/>
      <c r="U980" s="17">
        <f>IF(AND(COUNTA($A980:$L980)=0,$N980=""),"",IF($T980="Paid","PAID",IF($T980="Closed","CLOSED",IF($Z980="","",IF($Z980=6,"ESCALATED TO ROXANNE",IF(TODAY()&gt;$AB980,"OVERDUE",IF($AB980&lt;=WORKDAY(TODAY(),1,Holidays),"DUE TOMORROW",IF($Z980=4,"ESCALATED TO LOCAL OFFICE",IF($Z980=5,"ESCALATED TO CBE",IF($AA980=TODAY(),"EMAIL SENT","MONITORING"))))))))))</f>
        <v/>
      </c>
      <c r="V980" s="17">
        <f>IF($U980="",IF(AND(COUNTA($A980:$L980)&gt;0,$N980=""),"Awaiting Collection Email time stamp.",""),IF(OR($U980="PAID",$U980="CLOSED"),IF($U980="PAID","Account paid. Action completed.","Account closed. No further action required."),CHOOSE($Z980,"Collection Email","1st Email Follow-up","2nd Email Follow-up","Escalation to Local Office","Escalation to CBE","Escalation to Roxanne")&amp;" sent "&amp;TEXT($AA980,"dd-mmm")&amp;". "&amp;IF($Z980=6,"Final escalation completed.",IF($U980="OVERDUE","Next: "&amp;$AC980&amp;" was due "&amp;TEXT($AB980,"dd-mmm")&amp;" - "&amp;(NETWORKDAYS($AB980,TODAY(),Holidays)-1)&amp;" business day(s) late. Send now.",IF($U980="DUE TOMORROW","Next: "&amp;$AC980&amp;IF($AB980&lt;=TODAY()," is due TODAY ("," is due next business day (")&amp;TEXT($AB980,"dd-mmm")&amp;").","Next: "&amp;$AC980&amp;" due "&amp;TEXT($AB980,"dd-mmm")&amp;" ("&amp;(NETWORKDAYS(TODAY(),$AB980,Holidays)-1)&amp;" business day(s) left).")))))</f>
        <v/>
      </c>
      <c r="W980" s="17">
        <f>IF($Z980="","",CHOOSE($Z980,"Collection Email","1st Follow-up","2nd Follow-up","Local Office","CBE","Roxanne")&amp;IF($Z980=6," - Final"," - Day "&amp;MAX(0,NETWORKDAYS($AA980,TODAY(),Holidays)-1)&amp;" of "&amp;CHOOSE($Z980,3,3,2,2,3))&amp;" | Total Day "&amp;MAX(0,NETWORKDAYS($N980,TODAY(),Holidays)-1))</f>
        <v/>
      </c>
      <c r="X980" s="18"/>
      <c r="Y980" s="18"/>
      <c r="Z980" s="17">
        <f>IF($N980="","",COUNT($N980:$S980))</f>
        <v/>
      </c>
      <c r="AA980" s="19">
        <f>IF($Z980="","",INT(INDEX($N980:$S980,$Z980)))</f>
        <v/>
      </c>
      <c r="AB980" s="19">
        <f>IF(OR($Z980="",$Z980=6),"",WORKDAY($AA980,CHOOSE($Z980,3,3,2,2,3),Holidays))</f>
        <v/>
      </c>
      <c r="AC980" s="17">
        <f>IF(OR($Z980="",$Z980=6),"",CHOOSE($Z980,"1st Email Follow-up","2nd Email Follow-up","Escalate Local Office","Escalate to CBE","Escalate to Roxanne"))</f>
        <v/>
      </c>
    </row>
    <row r="981" spans="13:29">
      <c r="M981" s="14"/>
      <c r="T981" s="16"/>
      <c r="U981" s="17">
        <f>IF(AND(COUNTA($A981:$L981)=0,$N981=""),"",IF($T981="Paid","PAID",IF($T981="Closed","CLOSED",IF($Z981="","",IF($Z981=6,"ESCALATED TO ROXANNE",IF(TODAY()&gt;$AB981,"OVERDUE",IF($AB981&lt;=WORKDAY(TODAY(),1,Holidays),"DUE TOMORROW",IF($Z981=4,"ESCALATED TO LOCAL OFFICE",IF($Z981=5,"ESCALATED TO CBE",IF($AA981=TODAY(),"EMAIL SENT","MONITORING"))))))))))</f>
        <v/>
      </c>
      <c r="V981" s="17">
        <f>IF($U981="",IF(AND(COUNTA($A981:$L981)&gt;0,$N981=""),"Awaiting Collection Email time stamp.",""),IF(OR($U981="PAID",$U981="CLOSED"),IF($U981="PAID","Account paid. Action completed.","Account closed. No further action required."),CHOOSE($Z981,"Collection Email","1st Email Follow-up","2nd Email Follow-up","Escalation to Local Office","Escalation to CBE","Escalation to Roxanne")&amp;" sent "&amp;TEXT($AA981,"dd-mmm")&amp;". "&amp;IF($Z981=6,"Final escalation completed.",IF($U981="OVERDUE","Next: "&amp;$AC981&amp;" was due "&amp;TEXT($AB981,"dd-mmm")&amp;" - "&amp;(NETWORKDAYS($AB981,TODAY(),Holidays)-1)&amp;" business day(s) late. Send now.",IF($U981="DUE TOMORROW","Next: "&amp;$AC981&amp;IF($AB981&lt;=TODAY()," is due TODAY ("," is due next business day (")&amp;TEXT($AB981,"dd-mmm")&amp;").","Next: "&amp;$AC981&amp;" due "&amp;TEXT($AB981,"dd-mmm")&amp;" ("&amp;(NETWORKDAYS(TODAY(),$AB981,Holidays)-1)&amp;" business day(s) left).")))))</f>
        <v/>
      </c>
      <c r="W981" s="17">
        <f>IF($Z981="","",CHOOSE($Z981,"Collection Email","1st Follow-up","2nd Follow-up","Local Office","CBE","Roxanne")&amp;IF($Z981=6," - Final"," - Day "&amp;MAX(0,NETWORKDAYS($AA981,TODAY(),Holidays)-1)&amp;" of "&amp;CHOOSE($Z981,3,3,2,2,3))&amp;" | Total Day "&amp;MAX(0,NETWORKDAYS($N981,TODAY(),Holidays)-1))</f>
        <v/>
      </c>
      <c r="X981" s="18"/>
      <c r="Y981" s="18"/>
      <c r="Z981" s="17">
        <f>IF($N981="","",COUNT($N981:$S981))</f>
        <v/>
      </c>
      <c r="AA981" s="19">
        <f>IF($Z981="","",INT(INDEX($N981:$S981,$Z981)))</f>
        <v/>
      </c>
      <c r="AB981" s="19">
        <f>IF(OR($Z981="",$Z981=6),"",WORKDAY($AA981,CHOOSE($Z981,3,3,2,2,3),Holidays))</f>
        <v/>
      </c>
      <c r="AC981" s="17">
        <f>IF(OR($Z981="",$Z981=6),"",CHOOSE($Z981,"1st Email Follow-up","2nd Email Follow-up","Escalate Local Office","Escalate to CBE","Escalate to Roxanne"))</f>
        <v/>
      </c>
    </row>
    <row r="982" spans="13:29">
      <c r="M982" s="14"/>
      <c r="T982" s="16"/>
      <c r="U982" s="17">
        <f>IF(AND(COUNTA($A982:$L982)=0,$N982=""),"",IF($T982="Paid","PAID",IF($T982="Closed","CLOSED",IF($Z982="","",IF($Z982=6,"ESCALATED TO ROXANNE",IF(TODAY()&gt;$AB982,"OVERDUE",IF($AB982&lt;=WORKDAY(TODAY(),1,Holidays),"DUE TOMORROW",IF($Z982=4,"ESCALATED TO LOCAL OFFICE",IF($Z982=5,"ESCALATED TO CBE",IF($AA982=TODAY(),"EMAIL SENT","MONITORING"))))))))))</f>
        <v/>
      </c>
      <c r="V982" s="17">
        <f>IF($U982="",IF(AND(COUNTA($A982:$L982)&gt;0,$N982=""),"Awaiting Collection Email time stamp.",""),IF(OR($U982="PAID",$U982="CLOSED"),IF($U982="PAID","Account paid. Action completed.","Account closed. No further action required."),CHOOSE($Z982,"Collection Email","1st Email Follow-up","2nd Email Follow-up","Escalation to Local Office","Escalation to CBE","Escalation to Roxanne")&amp;" sent "&amp;TEXT($AA982,"dd-mmm")&amp;". "&amp;IF($Z982=6,"Final escalation completed.",IF($U982="OVERDUE","Next: "&amp;$AC982&amp;" was due "&amp;TEXT($AB982,"dd-mmm")&amp;" - "&amp;(NETWORKDAYS($AB982,TODAY(),Holidays)-1)&amp;" business day(s) late. Send now.",IF($U982="DUE TOMORROW","Next: "&amp;$AC982&amp;IF($AB982&lt;=TODAY()," is due TODAY ("," is due next business day (")&amp;TEXT($AB982,"dd-mmm")&amp;").","Next: "&amp;$AC982&amp;" due "&amp;TEXT($AB982,"dd-mmm")&amp;" ("&amp;(NETWORKDAYS(TODAY(),$AB982,Holidays)-1)&amp;" business day(s) left).")))))</f>
        <v/>
      </c>
      <c r="W982" s="17">
        <f>IF($Z982="","",CHOOSE($Z982,"Collection Email","1st Follow-up","2nd Follow-up","Local Office","CBE","Roxanne")&amp;IF($Z982=6," - Final"," - Day "&amp;MAX(0,NETWORKDAYS($AA982,TODAY(),Holidays)-1)&amp;" of "&amp;CHOOSE($Z982,3,3,2,2,3))&amp;" | Total Day "&amp;MAX(0,NETWORKDAYS($N982,TODAY(),Holidays)-1))</f>
        <v/>
      </c>
      <c r="X982" s="18"/>
      <c r="Y982" s="18"/>
      <c r="Z982" s="17">
        <f>IF($N982="","",COUNT($N982:$S982))</f>
        <v/>
      </c>
      <c r="AA982" s="19">
        <f>IF($Z982="","",INT(INDEX($N982:$S982,$Z982)))</f>
        <v/>
      </c>
      <c r="AB982" s="19">
        <f>IF(OR($Z982="",$Z982=6),"",WORKDAY($AA982,CHOOSE($Z982,3,3,2,2,3),Holidays))</f>
        <v/>
      </c>
      <c r="AC982" s="17">
        <f>IF(OR($Z982="",$Z982=6),"",CHOOSE($Z982,"1st Email Follow-up","2nd Email Follow-up","Escalate Local Office","Escalate to CBE","Escalate to Roxanne"))</f>
        <v/>
      </c>
    </row>
    <row r="983" spans="13:29">
      <c r="M983" s="14"/>
      <c r="T983" s="16"/>
      <c r="U983" s="17">
        <f>IF(AND(COUNTA($A983:$L983)=0,$N983=""),"",IF($T983="Paid","PAID",IF($T983="Closed","CLOSED",IF($Z983="","",IF($Z983=6,"ESCALATED TO ROXANNE",IF(TODAY()&gt;$AB983,"OVERDUE",IF($AB983&lt;=WORKDAY(TODAY(),1,Holidays),"DUE TOMORROW",IF($Z983=4,"ESCALATED TO LOCAL OFFICE",IF($Z983=5,"ESCALATED TO CBE",IF($AA983=TODAY(),"EMAIL SENT","MONITORING"))))))))))</f>
        <v/>
      </c>
      <c r="V983" s="17">
        <f>IF($U983="",IF(AND(COUNTA($A983:$L983)&gt;0,$N983=""),"Awaiting Collection Email time stamp.",""),IF(OR($U983="PAID",$U983="CLOSED"),IF($U983="PAID","Account paid. Action completed.","Account closed. No further action required."),CHOOSE($Z983,"Collection Email","1st Email Follow-up","2nd Email Follow-up","Escalation to Local Office","Escalation to CBE","Escalation to Roxanne")&amp;" sent "&amp;TEXT($AA983,"dd-mmm")&amp;". "&amp;IF($Z983=6,"Final escalation completed.",IF($U983="OVERDUE","Next: "&amp;$AC983&amp;" was due "&amp;TEXT($AB983,"dd-mmm")&amp;" - "&amp;(NETWORKDAYS($AB983,TODAY(),Holidays)-1)&amp;" business day(s) late. Send now.",IF($U983="DUE TOMORROW","Next: "&amp;$AC983&amp;IF($AB983&lt;=TODAY()," is due TODAY ("," is due next business day (")&amp;TEXT($AB983,"dd-mmm")&amp;").","Next: "&amp;$AC983&amp;" due "&amp;TEXT($AB983,"dd-mmm")&amp;" ("&amp;(NETWORKDAYS(TODAY(),$AB983,Holidays)-1)&amp;" business day(s) left).")))))</f>
        <v/>
      </c>
      <c r="W983" s="17">
        <f>IF($Z983="","",CHOOSE($Z983,"Collection Email","1st Follow-up","2nd Follow-up","Local Office","CBE","Roxanne")&amp;IF($Z983=6," - Final"," - Day "&amp;MAX(0,NETWORKDAYS($AA983,TODAY(),Holidays)-1)&amp;" of "&amp;CHOOSE($Z983,3,3,2,2,3))&amp;" | Total Day "&amp;MAX(0,NETWORKDAYS($N983,TODAY(),Holidays)-1))</f>
        <v/>
      </c>
      <c r="X983" s="18"/>
      <c r="Y983" s="18"/>
      <c r="Z983" s="17">
        <f>IF($N983="","",COUNT($N983:$S983))</f>
        <v/>
      </c>
      <c r="AA983" s="19">
        <f>IF($Z983="","",INT(INDEX($N983:$S983,$Z983)))</f>
        <v/>
      </c>
      <c r="AB983" s="19">
        <f>IF(OR($Z983="",$Z983=6),"",WORKDAY($AA983,CHOOSE($Z983,3,3,2,2,3),Holidays))</f>
        <v/>
      </c>
      <c r="AC983" s="17">
        <f>IF(OR($Z983="",$Z983=6),"",CHOOSE($Z983,"1st Email Follow-up","2nd Email Follow-up","Escalate Local Office","Escalate to CBE","Escalate to Roxanne"))</f>
        <v/>
      </c>
    </row>
    <row r="984" spans="13:29">
      <c r="M984" s="14"/>
      <c r="T984" s="16"/>
      <c r="U984" s="17">
        <f>IF(AND(COUNTA($A984:$L984)=0,$N984=""),"",IF($T984="Paid","PAID",IF($T984="Closed","CLOSED",IF($Z984="","",IF($Z984=6,"ESCALATED TO ROXANNE",IF(TODAY()&gt;$AB984,"OVERDUE",IF($AB984&lt;=WORKDAY(TODAY(),1,Holidays),"DUE TOMORROW",IF($Z984=4,"ESCALATED TO LOCAL OFFICE",IF($Z984=5,"ESCALATED TO CBE",IF($AA984=TODAY(),"EMAIL SENT","MONITORING"))))))))))</f>
        <v/>
      </c>
      <c r="V984" s="17">
        <f>IF($U984="",IF(AND(COUNTA($A984:$L984)&gt;0,$N984=""),"Awaiting Collection Email time stamp.",""),IF(OR($U984="PAID",$U984="CLOSED"),IF($U984="PAID","Account paid. Action completed.","Account closed. No further action required."),CHOOSE($Z984,"Collection Email","1st Email Follow-up","2nd Email Follow-up","Escalation to Local Office","Escalation to CBE","Escalation to Roxanne")&amp;" sent "&amp;TEXT($AA984,"dd-mmm")&amp;". "&amp;IF($Z984=6,"Final escalation completed.",IF($U984="OVERDUE","Next: "&amp;$AC984&amp;" was due "&amp;TEXT($AB984,"dd-mmm")&amp;" - "&amp;(NETWORKDAYS($AB984,TODAY(),Holidays)-1)&amp;" business day(s) late. Send now.",IF($U984="DUE TOMORROW","Next: "&amp;$AC984&amp;IF($AB984&lt;=TODAY()," is due TODAY ("," is due next business day (")&amp;TEXT($AB984,"dd-mmm")&amp;").","Next: "&amp;$AC984&amp;" due "&amp;TEXT($AB984,"dd-mmm")&amp;" ("&amp;(NETWORKDAYS(TODAY(),$AB984,Holidays)-1)&amp;" business day(s) left).")))))</f>
        <v/>
      </c>
      <c r="W984" s="17">
        <f>IF($Z984="","",CHOOSE($Z984,"Collection Email","1st Follow-up","2nd Follow-up","Local Office","CBE","Roxanne")&amp;IF($Z984=6," - Final"," - Day "&amp;MAX(0,NETWORKDAYS($AA984,TODAY(),Holidays)-1)&amp;" of "&amp;CHOOSE($Z984,3,3,2,2,3))&amp;" | Total Day "&amp;MAX(0,NETWORKDAYS($N984,TODAY(),Holidays)-1))</f>
        <v/>
      </c>
      <c r="X984" s="18"/>
      <c r="Y984" s="18"/>
      <c r="Z984" s="17">
        <f>IF($N984="","",COUNT($N984:$S984))</f>
        <v/>
      </c>
      <c r="AA984" s="19">
        <f>IF($Z984="","",INT(INDEX($N984:$S984,$Z984)))</f>
        <v/>
      </c>
      <c r="AB984" s="19">
        <f>IF(OR($Z984="",$Z984=6),"",WORKDAY($AA984,CHOOSE($Z984,3,3,2,2,3),Holidays))</f>
        <v/>
      </c>
      <c r="AC984" s="17">
        <f>IF(OR($Z984="",$Z984=6),"",CHOOSE($Z984,"1st Email Follow-up","2nd Email Follow-up","Escalate Local Office","Escalate to CBE","Escalate to Roxanne"))</f>
        <v/>
      </c>
    </row>
    <row r="985" spans="13:29">
      <c r="M985" s="14"/>
      <c r="T985" s="16"/>
      <c r="U985" s="17">
        <f>IF(AND(COUNTA($A985:$L985)=0,$N985=""),"",IF($T985="Paid","PAID",IF($T985="Closed","CLOSED",IF($Z985="","",IF($Z985=6,"ESCALATED TO ROXANNE",IF(TODAY()&gt;$AB985,"OVERDUE",IF($AB985&lt;=WORKDAY(TODAY(),1,Holidays),"DUE TOMORROW",IF($Z985=4,"ESCALATED TO LOCAL OFFICE",IF($Z985=5,"ESCALATED TO CBE",IF($AA985=TODAY(),"EMAIL SENT","MONITORING"))))))))))</f>
        <v/>
      </c>
      <c r="V985" s="17">
        <f>IF($U985="",IF(AND(COUNTA($A985:$L985)&gt;0,$N985=""),"Awaiting Collection Email time stamp.",""),IF(OR($U985="PAID",$U985="CLOSED"),IF($U985="PAID","Account paid. Action completed.","Account closed. No further action required."),CHOOSE($Z985,"Collection Email","1st Email Follow-up","2nd Email Follow-up","Escalation to Local Office","Escalation to CBE","Escalation to Roxanne")&amp;" sent "&amp;TEXT($AA985,"dd-mmm")&amp;". "&amp;IF($Z985=6,"Final escalation completed.",IF($U985="OVERDUE","Next: "&amp;$AC985&amp;" was due "&amp;TEXT($AB985,"dd-mmm")&amp;" - "&amp;(NETWORKDAYS($AB985,TODAY(),Holidays)-1)&amp;" business day(s) late. Send now.",IF($U985="DUE TOMORROW","Next: "&amp;$AC985&amp;IF($AB985&lt;=TODAY()," is due TODAY ("," is due next business day (")&amp;TEXT($AB985,"dd-mmm")&amp;").","Next: "&amp;$AC985&amp;" due "&amp;TEXT($AB985,"dd-mmm")&amp;" ("&amp;(NETWORKDAYS(TODAY(),$AB985,Holidays)-1)&amp;" business day(s) left).")))))</f>
        <v/>
      </c>
      <c r="W985" s="17">
        <f>IF($Z985="","",CHOOSE($Z985,"Collection Email","1st Follow-up","2nd Follow-up","Local Office","CBE","Roxanne")&amp;IF($Z985=6," - Final"," - Day "&amp;MAX(0,NETWORKDAYS($AA985,TODAY(),Holidays)-1)&amp;" of "&amp;CHOOSE($Z985,3,3,2,2,3))&amp;" | Total Day "&amp;MAX(0,NETWORKDAYS($N985,TODAY(),Holidays)-1))</f>
        <v/>
      </c>
      <c r="X985" s="18"/>
      <c r="Y985" s="18"/>
      <c r="Z985" s="17">
        <f>IF($N985="","",COUNT($N985:$S985))</f>
        <v/>
      </c>
      <c r="AA985" s="19">
        <f>IF($Z985="","",INT(INDEX($N985:$S985,$Z985)))</f>
        <v/>
      </c>
      <c r="AB985" s="19">
        <f>IF(OR($Z985="",$Z985=6),"",WORKDAY($AA985,CHOOSE($Z985,3,3,2,2,3),Holidays))</f>
        <v/>
      </c>
      <c r="AC985" s="17">
        <f>IF(OR($Z985="",$Z985=6),"",CHOOSE($Z985,"1st Email Follow-up","2nd Email Follow-up","Escalate Local Office","Escalate to CBE","Escalate to Roxanne"))</f>
        <v/>
      </c>
    </row>
    <row r="986" spans="13:29">
      <c r="M986" s="14"/>
      <c r="T986" s="16"/>
      <c r="U986" s="17">
        <f>IF(AND(COUNTA($A986:$L986)=0,$N986=""),"",IF($T986="Paid","PAID",IF($T986="Closed","CLOSED",IF($Z986="","",IF($Z986=6,"ESCALATED TO ROXANNE",IF(TODAY()&gt;$AB986,"OVERDUE",IF($AB986&lt;=WORKDAY(TODAY(),1,Holidays),"DUE TOMORROW",IF($Z986=4,"ESCALATED TO LOCAL OFFICE",IF($Z986=5,"ESCALATED TO CBE",IF($AA986=TODAY(),"EMAIL SENT","MONITORING"))))))))))</f>
        <v/>
      </c>
      <c r="V986" s="17">
        <f>IF($U986="",IF(AND(COUNTA($A986:$L986)&gt;0,$N986=""),"Awaiting Collection Email time stamp.",""),IF(OR($U986="PAID",$U986="CLOSED"),IF($U986="PAID","Account paid. Action completed.","Account closed. No further action required."),CHOOSE($Z986,"Collection Email","1st Email Follow-up","2nd Email Follow-up","Escalation to Local Office","Escalation to CBE","Escalation to Roxanne")&amp;" sent "&amp;TEXT($AA986,"dd-mmm")&amp;". "&amp;IF($Z986=6,"Final escalation completed.",IF($U986="OVERDUE","Next: "&amp;$AC986&amp;" was due "&amp;TEXT($AB986,"dd-mmm")&amp;" - "&amp;(NETWORKDAYS($AB986,TODAY(),Holidays)-1)&amp;" business day(s) late. Send now.",IF($U986="DUE TOMORROW","Next: "&amp;$AC986&amp;IF($AB986&lt;=TODAY()," is due TODAY ("," is due next business day (")&amp;TEXT($AB986,"dd-mmm")&amp;").","Next: "&amp;$AC986&amp;" due "&amp;TEXT($AB986,"dd-mmm")&amp;" ("&amp;(NETWORKDAYS(TODAY(),$AB986,Holidays)-1)&amp;" business day(s) left).")))))</f>
        <v/>
      </c>
      <c r="W986" s="17">
        <f>IF($Z986="","",CHOOSE($Z986,"Collection Email","1st Follow-up","2nd Follow-up","Local Office","CBE","Roxanne")&amp;IF($Z986=6," - Final"," - Day "&amp;MAX(0,NETWORKDAYS($AA986,TODAY(),Holidays)-1)&amp;" of "&amp;CHOOSE($Z986,3,3,2,2,3))&amp;" | Total Day "&amp;MAX(0,NETWORKDAYS($N986,TODAY(),Holidays)-1))</f>
        <v/>
      </c>
      <c r="X986" s="18"/>
      <c r="Y986" s="18"/>
      <c r="Z986" s="17">
        <f>IF($N986="","",COUNT($N986:$S986))</f>
        <v/>
      </c>
      <c r="AA986" s="19">
        <f>IF($Z986="","",INT(INDEX($N986:$S986,$Z986)))</f>
        <v/>
      </c>
      <c r="AB986" s="19">
        <f>IF(OR($Z986="",$Z986=6),"",WORKDAY($AA986,CHOOSE($Z986,3,3,2,2,3),Holidays))</f>
        <v/>
      </c>
      <c r="AC986" s="17">
        <f>IF(OR($Z986="",$Z986=6),"",CHOOSE($Z986,"1st Email Follow-up","2nd Email Follow-up","Escalate Local Office","Escalate to CBE","Escalate to Roxanne"))</f>
        <v/>
      </c>
    </row>
    <row r="987" spans="13:29">
      <c r="M987" s="14"/>
      <c r="T987" s="16"/>
      <c r="U987" s="17">
        <f>IF(AND(COUNTA($A987:$L987)=0,$N987=""),"",IF($T987="Paid","PAID",IF($T987="Closed","CLOSED",IF($Z987="","",IF($Z987=6,"ESCALATED TO ROXANNE",IF(TODAY()&gt;$AB987,"OVERDUE",IF($AB987&lt;=WORKDAY(TODAY(),1,Holidays),"DUE TOMORROW",IF($Z987=4,"ESCALATED TO LOCAL OFFICE",IF($Z987=5,"ESCALATED TO CBE",IF($AA987=TODAY(),"EMAIL SENT","MONITORING"))))))))))</f>
        <v/>
      </c>
      <c r="V987" s="17">
        <f>IF($U987="",IF(AND(COUNTA($A987:$L987)&gt;0,$N987=""),"Awaiting Collection Email time stamp.",""),IF(OR($U987="PAID",$U987="CLOSED"),IF($U987="PAID","Account paid. Action completed.","Account closed. No further action required."),CHOOSE($Z987,"Collection Email","1st Email Follow-up","2nd Email Follow-up","Escalation to Local Office","Escalation to CBE","Escalation to Roxanne")&amp;" sent "&amp;TEXT($AA987,"dd-mmm")&amp;". "&amp;IF($Z987=6,"Final escalation completed.",IF($U987="OVERDUE","Next: "&amp;$AC987&amp;" was due "&amp;TEXT($AB987,"dd-mmm")&amp;" - "&amp;(NETWORKDAYS($AB987,TODAY(),Holidays)-1)&amp;" business day(s) late. Send now.",IF($U987="DUE TOMORROW","Next: "&amp;$AC987&amp;IF($AB987&lt;=TODAY()," is due TODAY ("," is due next business day (")&amp;TEXT($AB987,"dd-mmm")&amp;").","Next: "&amp;$AC987&amp;" due "&amp;TEXT($AB987,"dd-mmm")&amp;" ("&amp;(NETWORKDAYS(TODAY(),$AB987,Holidays)-1)&amp;" business day(s) left).")))))</f>
        <v/>
      </c>
      <c r="W987" s="17">
        <f>IF($Z987="","",CHOOSE($Z987,"Collection Email","1st Follow-up","2nd Follow-up","Local Office","CBE","Roxanne")&amp;IF($Z987=6," - Final"," - Day "&amp;MAX(0,NETWORKDAYS($AA987,TODAY(),Holidays)-1)&amp;" of "&amp;CHOOSE($Z987,3,3,2,2,3))&amp;" | Total Day "&amp;MAX(0,NETWORKDAYS($N987,TODAY(),Holidays)-1))</f>
        <v/>
      </c>
      <c r="X987" s="18"/>
      <c r="Y987" s="18"/>
      <c r="Z987" s="17">
        <f>IF($N987="","",COUNT($N987:$S987))</f>
        <v/>
      </c>
      <c r="AA987" s="19">
        <f>IF($Z987="","",INT(INDEX($N987:$S987,$Z987)))</f>
        <v/>
      </c>
      <c r="AB987" s="19">
        <f>IF(OR($Z987="",$Z987=6),"",WORKDAY($AA987,CHOOSE($Z987,3,3,2,2,3),Holidays))</f>
        <v/>
      </c>
      <c r="AC987" s="17">
        <f>IF(OR($Z987="",$Z987=6),"",CHOOSE($Z987,"1st Email Follow-up","2nd Email Follow-up","Escalate Local Office","Escalate to CBE","Escalate to Roxanne"))</f>
        <v/>
      </c>
    </row>
    <row r="988" spans="13:29">
      <c r="M988" s="14"/>
      <c r="T988" s="16"/>
      <c r="U988" s="17">
        <f>IF(AND(COUNTA($A988:$L988)=0,$N988=""),"",IF($T988="Paid","PAID",IF($T988="Closed","CLOSED",IF($Z988="","",IF($Z988=6,"ESCALATED TO ROXANNE",IF(TODAY()&gt;$AB988,"OVERDUE",IF($AB988&lt;=WORKDAY(TODAY(),1,Holidays),"DUE TOMORROW",IF($Z988=4,"ESCALATED TO LOCAL OFFICE",IF($Z988=5,"ESCALATED TO CBE",IF($AA988=TODAY(),"EMAIL SENT","MONITORING"))))))))))</f>
        <v/>
      </c>
      <c r="V988" s="17">
        <f>IF($U988="",IF(AND(COUNTA($A988:$L988)&gt;0,$N988=""),"Awaiting Collection Email time stamp.",""),IF(OR($U988="PAID",$U988="CLOSED"),IF($U988="PAID","Account paid. Action completed.","Account closed. No further action required."),CHOOSE($Z988,"Collection Email","1st Email Follow-up","2nd Email Follow-up","Escalation to Local Office","Escalation to CBE","Escalation to Roxanne")&amp;" sent "&amp;TEXT($AA988,"dd-mmm")&amp;". "&amp;IF($Z988=6,"Final escalation completed.",IF($U988="OVERDUE","Next: "&amp;$AC988&amp;" was due "&amp;TEXT($AB988,"dd-mmm")&amp;" - "&amp;(NETWORKDAYS($AB988,TODAY(),Holidays)-1)&amp;" business day(s) late. Send now.",IF($U988="DUE TOMORROW","Next: "&amp;$AC988&amp;IF($AB988&lt;=TODAY()," is due TODAY ("," is due next business day (")&amp;TEXT($AB988,"dd-mmm")&amp;").","Next: "&amp;$AC988&amp;" due "&amp;TEXT($AB988,"dd-mmm")&amp;" ("&amp;(NETWORKDAYS(TODAY(),$AB988,Holidays)-1)&amp;" business day(s) left).")))))</f>
        <v/>
      </c>
      <c r="W988" s="17">
        <f>IF($Z988="","",CHOOSE($Z988,"Collection Email","1st Follow-up","2nd Follow-up","Local Office","CBE","Roxanne")&amp;IF($Z988=6," - Final"," - Day "&amp;MAX(0,NETWORKDAYS($AA988,TODAY(),Holidays)-1)&amp;" of "&amp;CHOOSE($Z988,3,3,2,2,3))&amp;" | Total Day "&amp;MAX(0,NETWORKDAYS($N988,TODAY(),Holidays)-1))</f>
        <v/>
      </c>
      <c r="X988" s="18"/>
      <c r="Y988" s="18"/>
      <c r="Z988" s="17">
        <f>IF($N988="","",COUNT($N988:$S988))</f>
        <v/>
      </c>
      <c r="AA988" s="19">
        <f>IF($Z988="","",INT(INDEX($N988:$S988,$Z988)))</f>
        <v/>
      </c>
      <c r="AB988" s="19">
        <f>IF(OR($Z988="",$Z988=6),"",WORKDAY($AA988,CHOOSE($Z988,3,3,2,2,3),Holidays))</f>
        <v/>
      </c>
      <c r="AC988" s="17">
        <f>IF(OR($Z988="",$Z988=6),"",CHOOSE($Z988,"1st Email Follow-up","2nd Email Follow-up","Escalate Local Office","Escalate to CBE","Escalate to Roxanne"))</f>
        <v/>
      </c>
    </row>
    <row r="989" spans="13:29">
      <c r="M989" s="14"/>
      <c r="T989" s="16"/>
      <c r="U989" s="17">
        <f>IF(AND(COUNTA($A989:$L989)=0,$N989=""),"",IF($T989="Paid","PAID",IF($T989="Closed","CLOSED",IF($Z989="","",IF($Z989=6,"ESCALATED TO ROXANNE",IF(TODAY()&gt;$AB989,"OVERDUE",IF($AB989&lt;=WORKDAY(TODAY(),1,Holidays),"DUE TOMORROW",IF($Z989=4,"ESCALATED TO LOCAL OFFICE",IF($Z989=5,"ESCALATED TO CBE",IF($AA989=TODAY(),"EMAIL SENT","MONITORING"))))))))))</f>
        <v/>
      </c>
      <c r="V989" s="17">
        <f>IF($U989="",IF(AND(COUNTA($A989:$L989)&gt;0,$N989=""),"Awaiting Collection Email time stamp.",""),IF(OR($U989="PAID",$U989="CLOSED"),IF($U989="PAID","Account paid. Action completed.","Account closed. No further action required."),CHOOSE($Z989,"Collection Email","1st Email Follow-up","2nd Email Follow-up","Escalation to Local Office","Escalation to CBE","Escalation to Roxanne")&amp;" sent "&amp;TEXT($AA989,"dd-mmm")&amp;". "&amp;IF($Z989=6,"Final escalation completed.",IF($U989="OVERDUE","Next: "&amp;$AC989&amp;" was due "&amp;TEXT($AB989,"dd-mmm")&amp;" - "&amp;(NETWORKDAYS($AB989,TODAY(),Holidays)-1)&amp;" business day(s) late. Send now.",IF($U989="DUE TOMORROW","Next: "&amp;$AC989&amp;IF($AB989&lt;=TODAY()," is due TODAY ("," is due next business day (")&amp;TEXT($AB989,"dd-mmm")&amp;").","Next: "&amp;$AC989&amp;" due "&amp;TEXT($AB989,"dd-mmm")&amp;" ("&amp;(NETWORKDAYS(TODAY(),$AB989,Holidays)-1)&amp;" business day(s) left).")))))</f>
        <v/>
      </c>
      <c r="W989" s="17">
        <f>IF($Z989="","",CHOOSE($Z989,"Collection Email","1st Follow-up","2nd Follow-up","Local Office","CBE","Roxanne")&amp;IF($Z989=6," - Final"," - Day "&amp;MAX(0,NETWORKDAYS($AA989,TODAY(),Holidays)-1)&amp;" of "&amp;CHOOSE($Z989,3,3,2,2,3))&amp;" | Total Day "&amp;MAX(0,NETWORKDAYS($N989,TODAY(),Holidays)-1))</f>
        <v/>
      </c>
      <c r="X989" s="18"/>
      <c r="Y989" s="18"/>
      <c r="Z989" s="17">
        <f>IF($N989="","",COUNT($N989:$S989))</f>
        <v/>
      </c>
      <c r="AA989" s="19">
        <f>IF($Z989="","",INT(INDEX($N989:$S989,$Z989)))</f>
        <v/>
      </c>
      <c r="AB989" s="19">
        <f>IF(OR($Z989="",$Z989=6),"",WORKDAY($AA989,CHOOSE($Z989,3,3,2,2,3),Holidays))</f>
        <v/>
      </c>
      <c r="AC989" s="17">
        <f>IF(OR($Z989="",$Z989=6),"",CHOOSE($Z989,"1st Email Follow-up","2nd Email Follow-up","Escalate Local Office","Escalate to CBE","Escalate to Roxanne"))</f>
        <v/>
      </c>
    </row>
    <row r="990" spans="13:29">
      <c r="M990" s="14"/>
      <c r="T990" s="16"/>
      <c r="U990" s="17">
        <f>IF(AND(COUNTA($A990:$L990)=0,$N990=""),"",IF($T990="Paid","PAID",IF($T990="Closed","CLOSED",IF($Z990="","",IF($Z990=6,"ESCALATED TO ROXANNE",IF(TODAY()&gt;$AB990,"OVERDUE",IF($AB990&lt;=WORKDAY(TODAY(),1,Holidays),"DUE TOMORROW",IF($Z990=4,"ESCALATED TO LOCAL OFFICE",IF($Z990=5,"ESCALATED TO CBE",IF($AA990=TODAY(),"EMAIL SENT","MONITORING"))))))))))</f>
        <v/>
      </c>
      <c r="V990" s="17">
        <f>IF($U990="",IF(AND(COUNTA($A990:$L990)&gt;0,$N990=""),"Awaiting Collection Email time stamp.",""),IF(OR($U990="PAID",$U990="CLOSED"),IF($U990="PAID","Account paid. Action completed.","Account closed. No further action required."),CHOOSE($Z990,"Collection Email","1st Email Follow-up","2nd Email Follow-up","Escalation to Local Office","Escalation to CBE","Escalation to Roxanne")&amp;" sent "&amp;TEXT($AA990,"dd-mmm")&amp;". "&amp;IF($Z990=6,"Final escalation completed.",IF($U990="OVERDUE","Next: "&amp;$AC990&amp;" was due "&amp;TEXT($AB990,"dd-mmm")&amp;" - "&amp;(NETWORKDAYS($AB990,TODAY(),Holidays)-1)&amp;" business day(s) late. Send now.",IF($U990="DUE TOMORROW","Next: "&amp;$AC990&amp;IF($AB990&lt;=TODAY()," is due TODAY ("," is due next business day (")&amp;TEXT($AB990,"dd-mmm")&amp;").","Next: "&amp;$AC990&amp;" due "&amp;TEXT($AB990,"dd-mmm")&amp;" ("&amp;(NETWORKDAYS(TODAY(),$AB990,Holidays)-1)&amp;" business day(s) left).")))))</f>
        <v/>
      </c>
      <c r="W990" s="17">
        <f>IF($Z990="","",CHOOSE($Z990,"Collection Email","1st Follow-up","2nd Follow-up","Local Office","CBE","Roxanne")&amp;IF($Z990=6," - Final"," - Day "&amp;MAX(0,NETWORKDAYS($AA990,TODAY(),Holidays)-1)&amp;" of "&amp;CHOOSE($Z990,3,3,2,2,3))&amp;" | Total Day "&amp;MAX(0,NETWORKDAYS($N990,TODAY(),Holidays)-1))</f>
        <v/>
      </c>
      <c r="X990" s="18"/>
      <c r="Y990" s="18"/>
      <c r="Z990" s="17">
        <f>IF($N990="","",COUNT($N990:$S990))</f>
        <v/>
      </c>
      <c r="AA990" s="19">
        <f>IF($Z990="","",INT(INDEX($N990:$S990,$Z990)))</f>
        <v/>
      </c>
      <c r="AB990" s="19">
        <f>IF(OR($Z990="",$Z990=6),"",WORKDAY($AA990,CHOOSE($Z990,3,3,2,2,3),Holidays))</f>
        <v/>
      </c>
      <c r="AC990" s="17">
        <f>IF(OR($Z990="",$Z990=6),"",CHOOSE($Z990,"1st Email Follow-up","2nd Email Follow-up","Escalate Local Office","Escalate to CBE","Escalate to Roxanne"))</f>
        <v/>
      </c>
    </row>
    <row r="991" spans="13:29">
      <c r="M991" s="14"/>
      <c r="T991" s="16"/>
      <c r="U991" s="17">
        <f>IF(AND(COUNTA($A991:$L991)=0,$N991=""),"",IF($T991="Paid","PAID",IF($T991="Closed","CLOSED",IF($Z991="","",IF($Z991=6,"ESCALATED TO ROXANNE",IF(TODAY()&gt;$AB991,"OVERDUE",IF($AB991&lt;=WORKDAY(TODAY(),1,Holidays),"DUE TOMORROW",IF($Z991=4,"ESCALATED TO LOCAL OFFICE",IF($Z991=5,"ESCALATED TO CBE",IF($AA991=TODAY(),"EMAIL SENT","MONITORING"))))))))))</f>
        <v/>
      </c>
      <c r="V991" s="17">
        <f>IF($U991="",IF(AND(COUNTA($A991:$L991)&gt;0,$N991=""),"Awaiting Collection Email time stamp.",""),IF(OR($U991="PAID",$U991="CLOSED"),IF($U991="PAID","Account paid. Action completed.","Account closed. No further action required."),CHOOSE($Z991,"Collection Email","1st Email Follow-up","2nd Email Follow-up","Escalation to Local Office","Escalation to CBE","Escalation to Roxanne")&amp;" sent "&amp;TEXT($AA991,"dd-mmm")&amp;". "&amp;IF($Z991=6,"Final escalation completed.",IF($U991="OVERDUE","Next: "&amp;$AC991&amp;" was due "&amp;TEXT($AB991,"dd-mmm")&amp;" - "&amp;(NETWORKDAYS($AB991,TODAY(),Holidays)-1)&amp;" business day(s) late. Send now.",IF($U991="DUE TOMORROW","Next: "&amp;$AC991&amp;IF($AB991&lt;=TODAY()," is due TODAY ("," is due next business day (")&amp;TEXT($AB991,"dd-mmm")&amp;").","Next: "&amp;$AC991&amp;" due "&amp;TEXT($AB991,"dd-mmm")&amp;" ("&amp;(NETWORKDAYS(TODAY(),$AB991,Holidays)-1)&amp;" business day(s) left).")))))</f>
        <v/>
      </c>
      <c r="W991" s="17">
        <f>IF($Z991="","",CHOOSE($Z991,"Collection Email","1st Follow-up","2nd Follow-up","Local Office","CBE","Roxanne")&amp;IF($Z991=6," - Final"," - Day "&amp;MAX(0,NETWORKDAYS($AA991,TODAY(),Holidays)-1)&amp;" of "&amp;CHOOSE($Z991,3,3,2,2,3))&amp;" | Total Day "&amp;MAX(0,NETWORKDAYS($N991,TODAY(),Holidays)-1))</f>
        <v/>
      </c>
      <c r="X991" s="18"/>
      <c r="Y991" s="18"/>
      <c r="Z991" s="17">
        <f>IF($N991="","",COUNT($N991:$S991))</f>
        <v/>
      </c>
      <c r="AA991" s="19">
        <f>IF($Z991="","",INT(INDEX($N991:$S991,$Z991)))</f>
        <v/>
      </c>
      <c r="AB991" s="19">
        <f>IF(OR($Z991="",$Z991=6),"",WORKDAY($AA991,CHOOSE($Z991,3,3,2,2,3),Holidays))</f>
        <v/>
      </c>
      <c r="AC991" s="17">
        <f>IF(OR($Z991="",$Z991=6),"",CHOOSE($Z991,"1st Email Follow-up","2nd Email Follow-up","Escalate Local Office","Escalate to CBE","Escalate to Roxanne"))</f>
        <v/>
      </c>
    </row>
    <row r="992" spans="13:29">
      <c r="M992" s="14"/>
      <c r="T992" s="16"/>
      <c r="U992" s="17">
        <f>IF(AND(COUNTA($A992:$L992)=0,$N992=""),"",IF($T992="Paid","PAID",IF($T992="Closed","CLOSED",IF($Z992="","",IF($Z992=6,"ESCALATED TO ROXANNE",IF(TODAY()&gt;$AB992,"OVERDUE",IF($AB992&lt;=WORKDAY(TODAY(),1,Holidays),"DUE TOMORROW",IF($Z992=4,"ESCALATED TO LOCAL OFFICE",IF($Z992=5,"ESCALATED TO CBE",IF($AA992=TODAY(),"EMAIL SENT","MONITORING"))))))))))</f>
        <v/>
      </c>
      <c r="V992" s="17">
        <f>IF($U992="",IF(AND(COUNTA($A992:$L992)&gt;0,$N992=""),"Awaiting Collection Email time stamp.",""),IF(OR($U992="PAID",$U992="CLOSED"),IF($U992="PAID","Account paid. Action completed.","Account closed. No further action required."),CHOOSE($Z992,"Collection Email","1st Email Follow-up","2nd Email Follow-up","Escalation to Local Office","Escalation to CBE","Escalation to Roxanne")&amp;" sent "&amp;TEXT($AA992,"dd-mmm")&amp;". "&amp;IF($Z992=6,"Final escalation completed.",IF($U992="OVERDUE","Next: "&amp;$AC992&amp;" was due "&amp;TEXT($AB992,"dd-mmm")&amp;" - "&amp;(NETWORKDAYS($AB992,TODAY(),Holidays)-1)&amp;" business day(s) late. Send now.",IF($U992="DUE TOMORROW","Next: "&amp;$AC992&amp;IF($AB992&lt;=TODAY()," is due TODAY ("," is due next business day (")&amp;TEXT($AB992,"dd-mmm")&amp;").","Next: "&amp;$AC992&amp;" due "&amp;TEXT($AB992,"dd-mmm")&amp;" ("&amp;(NETWORKDAYS(TODAY(),$AB992,Holidays)-1)&amp;" business day(s) left).")))))</f>
        <v/>
      </c>
      <c r="W992" s="17">
        <f>IF($Z992="","",CHOOSE($Z992,"Collection Email","1st Follow-up","2nd Follow-up","Local Office","CBE","Roxanne")&amp;IF($Z992=6," - Final"," - Day "&amp;MAX(0,NETWORKDAYS($AA992,TODAY(),Holidays)-1)&amp;" of "&amp;CHOOSE($Z992,3,3,2,2,3))&amp;" | Total Day "&amp;MAX(0,NETWORKDAYS($N992,TODAY(),Holidays)-1))</f>
        <v/>
      </c>
      <c r="X992" s="18"/>
      <c r="Y992" s="18"/>
      <c r="Z992" s="17">
        <f>IF($N992="","",COUNT($N992:$S992))</f>
        <v/>
      </c>
      <c r="AA992" s="19">
        <f>IF($Z992="","",INT(INDEX($N992:$S992,$Z992)))</f>
        <v/>
      </c>
      <c r="AB992" s="19">
        <f>IF(OR($Z992="",$Z992=6),"",WORKDAY($AA992,CHOOSE($Z992,3,3,2,2,3),Holidays))</f>
        <v/>
      </c>
      <c r="AC992" s="17">
        <f>IF(OR($Z992="",$Z992=6),"",CHOOSE($Z992,"1st Email Follow-up","2nd Email Follow-up","Escalate Local Office","Escalate to CBE","Escalate to Roxanne"))</f>
        <v/>
      </c>
    </row>
    <row r="993" spans="13:29">
      <c r="M993" s="14"/>
      <c r="T993" s="16"/>
      <c r="U993" s="17">
        <f>IF(AND(COUNTA($A993:$L993)=0,$N993=""),"",IF($T993="Paid","PAID",IF($T993="Closed","CLOSED",IF($Z993="","",IF($Z993=6,"ESCALATED TO ROXANNE",IF(TODAY()&gt;$AB993,"OVERDUE",IF($AB993&lt;=WORKDAY(TODAY(),1,Holidays),"DUE TOMORROW",IF($Z993=4,"ESCALATED TO LOCAL OFFICE",IF($Z993=5,"ESCALATED TO CBE",IF($AA993=TODAY(),"EMAIL SENT","MONITORING"))))))))))</f>
        <v/>
      </c>
      <c r="V993" s="17">
        <f>IF($U993="",IF(AND(COUNTA($A993:$L993)&gt;0,$N993=""),"Awaiting Collection Email time stamp.",""),IF(OR($U993="PAID",$U993="CLOSED"),IF($U993="PAID","Account paid. Action completed.","Account closed. No further action required."),CHOOSE($Z993,"Collection Email","1st Email Follow-up","2nd Email Follow-up","Escalation to Local Office","Escalation to CBE","Escalation to Roxanne")&amp;" sent "&amp;TEXT($AA993,"dd-mmm")&amp;". "&amp;IF($Z993=6,"Final escalation completed.",IF($U993="OVERDUE","Next: "&amp;$AC993&amp;" was due "&amp;TEXT($AB993,"dd-mmm")&amp;" - "&amp;(NETWORKDAYS($AB993,TODAY(),Holidays)-1)&amp;" business day(s) late. Send now.",IF($U993="DUE TOMORROW","Next: "&amp;$AC993&amp;IF($AB993&lt;=TODAY()," is due TODAY ("," is due next business day (")&amp;TEXT($AB993,"dd-mmm")&amp;").","Next: "&amp;$AC993&amp;" due "&amp;TEXT($AB993,"dd-mmm")&amp;" ("&amp;(NETWORKDAYS(TODAY(),$AB993,Holidays)-1)&amp;" business day(s) left).")))))</f>
        <v/>
      </c>
      <c r="W993" s="17">
        <f>IF($Z993="","",CHOOSE($Z993,"Collection Email","1st Follow-up","2nd Follow-up","Local Office","CBE","Roxanne")&amp;IF($Z993=6," - Final"," - Day "&amp;MAX(0,NETWORKDAYS($AA993,TODAY(),Holidays)-1)&amp;" of "&amp;CHOOSE($Z993,3,3,2,2,3))&amp;" | Total Day "&amp;MAX(0,NETWORKDAYS($N993,TODAY(),Holidays)-1))</f>
        <v/>
      </c>
      <c r="X993" s="18"/>
      <c r="Y993" s="18"/>
      <c r="Z993" s="17">
        <f>IF($N993="","",COUNT($N993:$S993))</f>
        <v/>
      </c>
      <c r="AA993" s="19">
        <f>IF($Z993="","",INT(INDEX($N993:$S993,$Z993)))</f>
        <v/>
      </c>
      <c r="AB993" s="19">
        <f>IF(OR($Z993="",$Z993=6),"",WORKDAY($AA993,CHOOSE($Z993,3,3,2,2,3),Holidays))</f>
        <v/>
      </c>
      <c r="AC993" s="17">
        <f>IF(OR($Z993="",$Z993=6),"",CHOOSE($Z993,"1st Email Follow-up","2nd Email Follow-up","Escalate Local Office","Escalate to CBE","Escalate to Roxanne"))</f>
        <v/>
      </c>
    </row>
    <row r="994" spans="13:29">
      <c r="M994" s="14"/>
      <c r="T994" s="16"/>
      <c r="U994" s="17">
        <f>IF(AND(COUNTA($A994:$L994)=0,$N994=""),"",IF($T994="Paid","PAID",IF($T994="Closed","CLOSED",IF($Z994="","",IF($Z994=6,"ESCALATED TO ROXANNE",IF(TODAY()&gt;$AB994,"OVERDUE",IF($AB994&lt;=WORKDAY(TODAY(),1,Holidays),"DUE TOMORROW",IF($Z994=4,"ESCALATED TO LOCAL OFFICE",IF($Z994=5,"ESCALATED TO CBE",IF($AA994=TODAY(),"EMAIL SENT","MONITORING"))))))))))</f>
        <v/>
      </c>
      <c r="V994" s="17">
        <f>IF($U994="",IF(AND(COUNTA($A994:$L994)&gt;0,$N994=""),"Awaiting Collection Email time stamp.",""),IF(OR($U994="PAID",$U994="CLOSED"),IF($U994="PAID","Account paid. Action completed.","Account closed. No further action required."),CHOOSE($Z994,"Collection Email","1st Email Follow-up","2nd Email Follow-up","Escalation to Local Office","Escalation to CBE","Escalation to Roxanne")&amp;" sent "&amp;TEXT($AA994,"dd-mmm")&amp;". "&amp;IF($Z994=6,"Final escalation completed.",IF($U994="OVERDUE","Next: "&amp;$AC994&amp;" was due "&amp;TEXT($AB994,"dd-mmm")&amp;" - "&amp;(NETWORKDAYS($AB994,TODAY(),Holidays)-1)&amp;" business day(s) late. Send now.",IF($U994="DUE TOMORROW","Next: "&amp;$AC994&amp;IF($AB994&lt;=TODAY()," is due TODAY ("," is due next business day (")&amp;TEXT($AB994,"dd-mmm")&amp;").","Next: "&amp;$AC994&amp;" due "&amp;TEXT($AB994,"dd-mmm")&amp;" ("&amp;(NETWORKDAYS(TODAY(),$AB994,Holidays)-1)&amp;" business day(s) left).")))))</f>
        <v/>
      </c>
      <c r="W994" s="17">
        <f>IF($Z994="","",CHOOSE($Z994,"Collection Email","1st Follow-up","2nd Follow-up","Local Office","CBE","Roxanne")&amp;IF($Z994=6," - Final"," - Day "&amp;MAX(0,NETWORKDAYS($AA994,TODAY(),Holidays)-1)&amp;" of "&amp;CHOOSE($Z994,3,3,2,2,3))&amp;" | Total Day "&amp;MAX(0,NETWORKDAYS($N994,TODAY(),Holidays)-1))</f>
        <v/>
      </c>
      <c r="X994" s="18"/>
      <c r="Y994" s="18"/>
      <c r="Z994" s="17">
        <f>IF($N994="","",COUNT($N994:$S994))</f>
        <v/>
      </c>
      <c r="AA994" s="19">
        <f>IF($Z994="","",INT(INDEX($N994:$S994,$Z994)))</f>
        <v/>
      </c>
      <c r="AB994" s="19">
        <f>IF(OR($Z994="",$Z994=6),"",WORKDAY($AA994,CHOOSE($Z994,3,3,2,2,3),Holidays))</f>
        <v/>
      </c>
      <c r="AC994" s="17">
        <f>IF(OR($Z994="",$Z994=6),"",CHOOSE($Z994,"1st Email Follow-up","2nd Email Follow-up","Escalate Local Office","Escalate to CBE","Escalate to Roxanne"))</f>
        <v/>
      </c>
    </row>
    <row r="995" spans="13:29">
      <c r="M995" s="14"/>
      <c r="T995" s="16"/>
      <c r="U995" s="17">
        <f>IF(AND(COUNTA($A995:$L995)=0,$N995=""),"",IF($T995="Paid","PAID",IF($T995="Closed","CLOSED",IF($Z995="","",IF($Z995=6,"ESCALATED TO ROXANNE",IF(TODAY()&gt;$AB995,"OVERDUE",IF($AB995&lt;=WORKDAY(TODAY(),1,Holidays),"DUE TOMORROW",IF($Z995=4,"ESCALATED TO LOCAL OFFICE",IF($Z995=5,"ESCALATED TO CBE",IF($AA995=TODAY(),"EMAIL SENT","MONITORING"))))))))))</f>
        <v/>
      </c>
      <c r="V995" s="17">
        <f>IF($U995="",IF(AND(COUNTA($A995:$L995)&gt;0,$N995=""),"Awaiting Collection Email time stamp.",""),IF(OR($U995="PAID",$U995="CLOSED"),IF($U995="PAID","Account paid. Action completed.","Account closed. No further action required."),CHOOSE($Z995,"Collection Email","1st Email Follow-up","2nd Email Follow-up","Escalation to Local Office","Escalation to CBE","Escalation to Roxanne")&amp;" sent "&amp;TEXT($AA995,"dd-mmm")&amp;". "&amp;IF($Z995=6,"Final escalation completed.",IF($U995="OVERDUE","Next: "&amp;$AC995&amp;" was due "&amp;TEXT($AB995,"dd-mmm")&amp;" - "&amp;(NETWORKDAYS($AB995,TODAY(),Holidays)-1)&amp;" business day(s) late. Send now.",IF($U995="DUE TOMORROW","Next: "&amp;$AC995&amp;IF($AB995&lt;=TODAY()," is due TODAY ("," is due next business day (")&amp;TEXT($AB995,"dd-mmm")&amp;").","Next: "&amp;$AC995&amp;" due "&amp;TEXT($AB995,"dd-mmm")&amp;" ("&amp;(NETWORKDAYS(TODAY(),$AB995,Holidays)-1)&amp;" business day(s) left).")))))</f>
        <v/>
      </c>
      <c r="W995" s="17">
        <f>IF($Z995="","",CHOOSE($Z995,"Collection Email","1st Follow-up","2nd Follow-up","Local Office","CBE","Roxanne")&amp;IF($Z995=6," - Final"," - Day "&amp;MAX(0,NETWORKDAYS($AA995,TODAY(),Holidays)-1)&amp;" of "&amp;CHOOSE($Z995,3,3,2,2,3))&amp;" | Total Day "&amp;MAX(0,NETWORKDAYS($N995,TODAY(),Holidays)-1))</f>
        <v/>
      </c>
      <c r="X995" s="18"/>
      <c r="Y995" s="18"/>
      <c r="Z995" s="17">
        <f>IF($N995="","",COUNT($N995:$S995))</f>
        <v/>
      </c>
      <c r="AA995" s="19">
        <f>IF($Z995="","",INT(INDEX($N995:$S995,$Z995)))</f>
        <v/>
      </c>
      <c r="AB995" s="19">
        <f>IF(OR($Z995="",$Z995=6),"",WORKDAY($AA995,CHOOSE($Z995,3,3,2,2,3),Holidays))</f>
        <v/>
      </c>
      <c r="AC995" s="17">
        <f>IF(OR($Z995="",$Z995=6),"",CHOOSE($Z995,"1st Email Follow-up","2nd Email Follow-up","Escalate Local Office","Escalate to CBE","Escalate to Roxanne"))</f>
        <v/>
      </c>
    </row>
    <row r="996" spans="13:29">
      <c r="M996" s="14"/>
      <c r="T996" s="16"/>
      <c r="U996" s="17">
        <f>IF(AND(COUNTA($A996:$L996)=0,$N996=""),"",IF($T996="Paid","PAID",IF($T996="Closed","CLOSED",IF($Z996="","",IF($Z996=6,"ESCALATED TO ROXANNE",IF(TODAY()&gt;$AB996,"OVERDUE",IF($AB996&lt;=WORKDAY(TODAY(),1,Holidays),"DUE TOMORROW",IF($Z996=4,"ESCALATED TO LOCAL OFFICE",IF($Z996=5,"ESCALATED TO CBE",IF($AA996=TODAY(),"EMAIL SENT","MONITORING"))))))))))</f>
        <v/>
      </c>
      <c r="V996" s="17">
        <f>IF($U996="",IF(AND(COUNTA($A996:$L996)&gt;0,$N996=""),"Awaiting Collection Email time stamp.",""),IF(OR($U996="PAID",$U996="CLOSED"),IF($U996="PAID","Account paid. Action completed.","Account closed. No further action required."),CHOOSE($Z996,"Collection Email","1st Email Follow-up","2nd Email Follow-up","Escalation to Local Office","Escalation to CBE","Escalation to Roxanne")&amp;" sent "&amp;TEXT($AA996,"dd-mmm")&amp;". "&amp;IF($Z996=6,"Final escalation completed.",IF($U996="OVERDUE","Next: "&amp;$AC996&amp;" was due "&amp;TEXT($AB996,"dd-mmm")&amp;" - "&amp;(NETWORKDAYS($AB996,TODAY(),Holidays)-1)&amp;" business day(s) late. Send now.",IF($U996="DUE TOMORROW","Next: "&amp;$AC996&amp;IF($AB996&lt;=TODAY()," is due TODAY ("," is due next business day (")&amp;TEXT($AB996,"dd-mmm")&amp;").","Next: "&amp;$AC996&amp;" due "&amp;TEXT($AB996,"dd-mmm")&amp;" ("&amp;(NETWORKDAYS(TODAY(),$AB996,Holidays)-1)&amp;" business day(s) left).")))))</f>
        <v/>
      </c>
      <c r="W996" s="17">
        <f>IF($Z996="","",CHOOSE($Z996,"Collection Email","1st Follow-up","2nd Follow-up","Local Office","CBE","Roxanne")&amp;IF($Z996=6," - Final"," - Day "&amp;MAX(0,NETWORKDAYS($AA996,TODAY(),Holidays)-1)&amp;" of "&amp;CHOOSE($Z996,3,3,2,2,3))&amp;" | Total Day "&amp;MAX(0,NETWORKDAYS($N996,TODAY(),Holidays)-1))</f>
        <v/>
      </c>
      <c r="X996" s="18"/>
      <c r="Y996" s="18"/>
      <c r="Z996" s="17">
        <f>IF($N996="","",COUNT($N996:$S996))</f>
        <v/>
      </c>
      <c r="AA996" s="19">
        <f>IF($Z996="","",INT(INDEX($N996:$S996,$Z996)))</f>
        <v/>
      </c>
      <c r="AB996" s="19">
        <f>IF(OR($Z996="",$Z996=6),"",WORKDAY($AA996,CHOOSE($Z996,3,3,2,2,3),Holidays))</f>
        <v/>
      </c>
      <c r="AC996" s="17">
        <f>IF(OR($Z996="",$Z996=6),"",CHOOSE($Z996,"1st Email Follow-up","2nd Email Follow-up","Escalate Local Office","Escalate to CBE","Escalate to Roxanne"))</f>
        <v/>
      </c>
    </row>
    <row r="997" spans="13:29">
      <c r="M997" s="14"/>
      <c r="T997" s="16"/>
      <c r="U997" s="17">
        <f>IF(AND(COUNTA($A997:$L997)=0,$N997=""),"",IF($T997="Paid","PAID",IF($T997="Closed","CLOSED",IF($Z997="","",IF($Z997=6,"ESCALATED TO ROXANNE",IF(TODAY()&gt;$AB997,"OVERDUE",IF($AB997&lt;=WORKDAY(TODAY(),1,Holidays),"DUE TOMORROW",IF($Z997=4,"ESCALATED TO LOCAL OFFICE",IF($Z997=5,"ESCALATED TO CBE",IF($AA997=TODAY(),"EMAIL SENT","MONITORING"))))))))))</f>
        <v/>
      </c>
      <c r="V997" s="17">
        <f>IF($U997="",IF(AND(COUNTA($A997:$L997)&gt;0,$N997=""),"Awaiting Collection Email time stamp.",""),IF(OR($U997="PAID",$U997="CLOSED"),IF($U997="PAID","Account paid. Action completed.","Account closed. No further action required."),CHOOSE($Z997,"Collection Email","1st Email Follow-up","2nd Email Follow-up","Escalation to Local Office","Escalation to CBE","Escalation to Roxanne")&amp;" sent "&amp;TEXT($AA997,"dd-mmm")&amp;". "&amp;IF($Z997=6,"Final escalation completed.",IF($U997="OVERDUE","Next: "&amp;$AC997&amp;" was due "&amp;TEXT($AB997,"dd-mmm")&amp;" - "&amp;(NETWORKDAYS($AB997,TODAY(),Holidays)-1)&amp;" business day(s) late. Send now.",IF($U997="DUE TOMORROW","Next: "&amp;$AC997&amp;IF($AB997&lt;=TODAY()," is due TODAY ("," is due next business day (")&amp;TEXT($AB997,"dd-mmm")&amp;").","Next: "&amp;$AC997&amp;" due "&amp;TEXT($AB997,"dd-mmm")&amp;" ("&amp;(NETWORKDAYS(TODAY(),$AB997,Holidays)-1)&amp;" business day(s) left).")))))</f>
        <v/>
      </c>
      <c r="W997" s="17">
        <f>IF($Z997="","",CHOOSE($Z997,"Collection Email","1st Follow-up","2nd Follow-up","Local Office","CBE","Roxanne")&amp;IF($Z997=6," - Final"," - Day "&amp;MAX(0,NETWORKDAYS($AA997,TODAY(),Holidays)-1)&amp;" of "&amp;CHOOSE($Z997,3,3,2,2,3))&amp;" | Total Day "&amp;MAX(0,NETWORKDAYS($N997,TODAY(),Holidays)-1))</f>
        <v/>
      </c>
      <c r="X997" s="18"/>
      <c r="Y997" s="18"/>
      <c r="Z997" s="17">
        <f>IF($N997="","",COUNT($N997:$S997))</f>
        <v/>
      </c>
      <c r="AA997" s="19">
        <f>IF($Z997="","",INT(INDEX($N997:$S997,$Z997)))</f>
        <v/>
      </c>
      <c r="AB997" s="19">
        <f>IF(OR($Z997="",$Z997=6),"",WORKDAY($AA997,CHOOSE($Z997,3,3,2,2,3),Holidays))</f>
        <v/>
      </c>
      <c r="AC997" s="17">
        <f>IF(OR($Z997="",$Z997=6),"",CHOOSE($Z997,"1st Email Follow-up","2nd Email Follow-up","Escalate Local Office","Escalate to CBE","Escalate to Roxanne"))</f>
        <v/>
      </c>
    </row>
    <row r="998" spans="13:29">
      <c r="M998" s="14"/>
      <c r="T998" s="16"/>
      <c r="U998" s="17">
        <f>IF(AND(COUNTA($A998:$L998)=0,$N998=""),"",IF($T998="Paid","PAID",IF($T998="Closed","CLOSED",IF($Z998="","",IF($Z998=6,"ESCALATED TO ROXANNE",IF(TODAY()&gt;$AB998,"OVERDUE",IF($AB998&lt;=WORKDAY(TODAY(),1,Holidays),"DUE TOMORROW",IF($Z998=4,"ESCALATED TO LOCAL OFFICE",IF($Z998=5,"ESCALATED TO CBE",IF($AA998=TODAY(),"EMAIL SENT","MONITORING"))))))))))</f>
        <v/>
      </c>
      <c r="V998" s="17">
        <f>IF($U998="",IF(AND(COUNTA($A998:$L998)&gt;0,$N998=""),"Awaiting Collection Email time stamp.",""),IF(OR($U998="PAID",$U998="CLOSED"),IF($U998="PAID","Account paid. Action completed.","Account closed. No further action required."),CHOOSE($Z998,"Collection Email","1st Email Follow-up","2nd Email Follow-up","Escalation to Local Office","Escalation to CBE","Escalation to Roxanne")&amp;" sent "&amp;TEXT($AA998,"dd-mmm")&amp;". "&amp;IF($Z998=6,"Final escalation completed.",IF($U998="OVERDUE","Next: "&amp;$AC998&amp;" was due "&amp;TEXT($AB998,"dd-mmm")&amp;" - "&amp;(NETWORKDAYS($AB998,TODAY(),Holidays)-1)&amp;" business day(s) late. Send now.",IF($U998="DUE TOMORROW","Next: "&amp;$AC998&amp;IF($AB998&lt;=TODAY()," is due TODAY ("," is due next business day (")&amp;TEXT($AB998,"dd-mmm")&amp;").","Next: "&amp;$AC998&amp;" due "&amp;TEXT($AB998,"dd-mmm")&amp;" ("&amp;(NETWORKDAYS(TODAY(),$AB998,Holidays)-1)&amp;" business day(s) left).")))))</f>
        <v/>
      </c>
      <c r="W998" s="17">
        <f>IF($Z998="","",CHOOSE($Z998,"Collection Email","1st Follow-up","2nd Follow-up","Local Office","CBE","Roxanne")&amp;IF($Z998=6," - Final"," - Day "&amp;MAX(0,NETWORKDAYS($AA998,TODAY(),Holidays)-1)&amp;" of "&amp;CHOOSE($Z998,3,3,2,2,3))&amp;" | Total Day "&amp;MAX(0,NETWORKDAYS($N998,TODAY(),Holidays)-1))</f>
        <v/>
      </c>
      <c r="X998" s="18"/>
      <c r="Y998" s="18"/>
      <c r="Z998" s="17">
        <f>IF($N998="","",COUNT($N998:$S998))</f>
        <v/>
      </c>
      <c r="AA998" s="19">
        <f>IF($Z998="","",INT(INDEX($N998:$S998,$Z998)))</f>
        <v/>
      </c>
      <c r="AB998" s="19">
        <f>IF(OR($Z998="",$Z998=6),"",WORKDAY($AA998,CHOOSE($Z998,3,3,2,2,3),Holidays))</f>
        <v/>
      </c>
      <c r="AC998" s="17">
        <f>IF(OR($Z998="",$Z998=6),"",CHOOSE($Z998,"1st Email Follow-up","2nd Email Follow-up","Escalate Local Office","Escalate to CBE","Escalate to Roxanne"))</f>
        <v/>
      </c>
    </row>
    <row r="999" spans="13:29">
      <c r="M999" s="14"/>
      <c r="T999" s="16"/>
      <c r="U999" s="17">
        <f>IF(AND(COUNTA($A999:$L999)=0,$N999=""),"",IF($T999="Paid","PAID",IF($T999="Closed","CLOSED",IF($Z999="","",IF($Z999=6,"ESCALATED TO ROXANNE",IF(TODAY()&gt;$AB999,"OVERDUE",IF($AB999&lt;=WORKDAY(TODAY(),1,Holidays),"DUE TOMORROW",IF($Z999=4,"ESCALATED TO LOCAL OFFICE",IF($Z999=5,"ESCALATED TO CBE",IF($AA999=TODAY(),"EMAIL SENT","MONITORING"))))))))))</f>
        <v/>
      </c>
      <c r="V999" s="17">
        <f>IF($U999="",IF(AND(COUNTA($A999:$L999)&gt;0,$N999=""),"Awaiting Collection Email time stamp.",""),IF(OR($U999="PAID",$U999="CLOSED"),IF($U999="PAID","Account paid. Action completed.","Account closed. No further action required."),CHOOSE($Z999,"Collection Email","1st Email Follow-up","2nd Email Follow-up","Escalation to Local Office","Escalation to CBE","Escalation to Roxanne")&amp;" sent "&amp;TEXT($AA999,"dd-mmm")&amp;". "&amp;IF($Z999=6,"Final escalation completed.",IF($U999="OVERDUE","Next: "&amp;$AC999&amp;" was due "&amp;TEXT($AB999,"dd-mmm")&amp;" - "&amp;(NETWORKDAYS($AB999,TODAY(),Holidays)-1)&amp;" business day(s) late. Send now.",IF($U999="DUE TOMORROW","Next: "&amp;$AC999&amp;IF($AB999&lt;=TODAY()," is due TODAY ("," is due next business day (")&amp;TEXT($AB999,"dd-mmm")&amp;").","Next: "&amp;$AC999&amp;" due "&amp;TEXT($AB999,"dd-mmm")&amp;" ("&amp;(NETWORKDAYS(TODAY(),$AB999,Holidays)-1)&amp;" business day(s) left).")))))</f>
        <v/>
      </c>
      <c r="W999" s="17">
        <f>IF($Z999="","",CHOOSE($Z999,"Collection Email","1st Follow-up","2nd Follow-up","Local Office","CBE","Roxanne")&amp;IF($Z999=6," - Final"," - Day "&amp;MAX(0,NETWORKDAYS($AA999,TODAY(),Holidays)-1)&amp;" of "&amp;CHOOSE($Z999,3,3,2,2,3))&amp;" | Total Day "&amp;MAX(0,NETWORKDAYS($N999,TODAY(),Holidays)-1))</f>
        <v/>
      </c>
      <c r="X999" s="18"/>
      <c r="Y999" s="18"/>
      <c r="Z999" s="17">
        <f>IF($N999="","",COUNT($N999:$S999))</f>
        <v/>
      </c>
      <c r="AA999" s="19">
        <f>IF($Z999="","",INT(INDEX($N999:$S999,$Z999)))</f>
        <v/>
      </c>
      <c r="AB999" s="19">
        <f>IF(OR($Z999="",$Z999=6),"",WORKDAY($AA999,CHOOSE($Z999,3,3,2,2,3),Holidays))</f>
        <v/>
      </c>
      <c r="AC999" s="17">
        <f>IF(OR($Z999="",$Z999=6),"",CHOOSE($Z999,"1st Email Follow-up","2nd Email Follow-up","Escalate Local Office","Escalate to CBE","Escalate to Roxanne"))</f>
        <v/>
      </c>
    </row>
    <row r="1000" spans="13:29">
      <c r="M1000" s="14"/>
      <c r="T1000" s="16"/>
      <c r="U1000" s="17">
        <f>IF(AND(COUNTA($A1000:$L1000)=0,$N1000=""),"",IF($T1000="Paid","PAID",IF($T1000="Closed","CLOSED",IF($Z1000="","",IF($Z1000=6,"ESCALATED TO ROXANNE",IF(TODAY()&gt;$AB1000,"OVERDUE",IF($AB1000&lt;=WORKDAY(TODAY(),1,Holidays),"DUE TOMORROW",IF($Z1000=4,"ESCALATED TO LOCAL OFFICE",IF($Z1000=5,"ESCALATED TO CBE",IF($AA1000=TODAY(),"EMAIL SENT","MONITORING"))))))))))</f>
        <v/>
      </c>
      <c r="V1000" s="17">
        <f>IF($U1000="",IF(AND(COUNTA($A1000:$L1000)&gt;0,$N1000=""),"Awaiting Collection Email time stamp.",""),IF(OR($U1000="PAID",$U1000="CLOSED"),IF($U1000="PAID","Account paid. Action completed.","Account closed. No further action required."),CHOOSE($Z1000,"Collection Email","1st Email Follow-up","2nd Email Follow-up","Escalation to Local Office","Escalation to CBE","Escalation to Roxanne")&amp;" sent "&amp;TEXT($AA1000,"dd-mmm")&amp;". "&amp;IF($Z1000=6,"Final escalation completed.",IF($U1000="OVERDUE","Next: "&amp;$AC1000&amp;" was due "&amp;TEXT($AB1000,"dd-mmm")&amp;" - "&amp;(NETWORKDAYS($AB1000,TODAY(),Holidays)-1)&amp;" business day(s) late. Send now.",IF($U1000="DUE TOMORROW","Next: "&amp;$AC1000&amp;IF($AB1000&lt;=TODAY()," is due TODAY ("," is due next business day (")&amp;TEXT($AB1000,"dd-mmm")&amp;").","Next: "&amp;$AC1000&amp;" due "&amp;TEXT($AB1000,"dd-mmm")&amp;" ("&amp;(NETWORKDAYS(TODAY(),$AB1000,Holidays)-1)&amp;" business day(s) left).")))))</f>
        <v/>
      </c>
      <c r="W1000" s="17">
        <f>IF($Z1000="","",CHOOSE($Z1000,"Collection Email","1st Follow-up","2nd Follow-up","Local Office","CBE","Roxanne")&amp;IF($Z1000=6," - Final"," - Day "&amp;MAX(0,NETWORKDAYS($AA1000,TODAY(),Holidays)-1)&amp;" of "&amp;CHOOSE($Z1000,3,3,2,2,3))&amp;" | Total Day "&amp;MAX(0,NETWORKDAYS($N1000,TODAY(),Holidays)-1))</f>
        <v/>
      </c>
      <c r="X1000" s="18"/>
      <c r="Y1000" s="18"/>
      <c r="Z1000" s="17">
        <f>IF($N1000="","",COUNT($N1000:$S1000))</f>
        <v/>
      </c>
      <c r="AA1000" s="19">
        <f>IF($Z1000="","",INT(INDEX($N1000:$S1000,$Z1000)))</f>
        <v/>
      </c>
      <c r="AB1000" s="19">
        <f>IF(OR($Z1000="",$Z1000=6),"",WORKDAY($AA1000,CHOOSE($Z1000,3,3,2,2,3),Holidays))</f>
        <v/>
      </c>
      <c r="AC1000" s="17">
        <f>IF(OR($Z1000="",$Z1000=6),"",CHOOSE($Z1000,"1st Email Follow-up","2nd Email Follow-up","Escalate Local Office","Escalate to CBE","Escalate to Roxanne"))</f>
        <v/>
      </c>
    </row>
    <row r="1001" spans="13:29">
      <c r="M1001" s="14"/>
      <c r="T1001" s="16"/>
      <c r="U1001" s="17">
        <f>IF(AND(COUNTA($A1001:$L1001)=0,$N1001=""),"",IF($T1001="Paid","PAID",IF($T1001="Closed","CLOSED",IF($Z1001="","",IF($Z1001=6,"ESCALATED TO ROXANNE",IF(TODAY()&gt;$AB1001,"OVERDUE",IF($AB1001&lt;=WORKDAY(TODAY(),1,Holidays),"DUE TOMORROW",IF($Z1001=4,"ESCALATED TO LOCAL OFFICE",IF($Z1001=5,"ESCALATED TO CBE",IF($AA1001=TODAY(),"EMAIL SENT","MONITORING"))))))))))</f>
        <v/>
      </c>
      <c r="V1001" s="17">
        <f>IF($U1001="",IF(AND(COUNTA($A1001:$L1001)&gt;0,$N1001=""),"Awaiting Collection Email time stamp.",""),IF(OR($U1001="PAID",$U1001="CLOSED"),IF($U1001="PAID","Account paid. Action completed.","Account closed. No further action required."),CHOOSE($Z1001,"Collection Email","1st Email Follow-up","2nd Email Follow-up","Escalation to Local Office","Escalation to CBE","Escalation to Roxanne")&amp;" sent "&amp;TEXT($AA1001,"dd-mmm")&amp;". "&amp;IF($Z1001=6,"Final escalation completed.",IF($U1001="OVERDUE","Next: "&amp;$AC1001&amp;" was due "&amp;TEXT($AB1001,"dd-mmm")&amp;" - "&amp;(NETWORKDAYS($AB1001,TODAY(),Holidays)-1)&amp;" business day(s) late. Send now.",IF($U1001="DUE TOMORROW","Next: "&amp;$AC1001&amp;IF($AB1001&lt;=TODAY()," is due TODAY ("," is due next business day (")&amp;TEXT($AB1001,"dd-mmm")&amp;").","Next: "&amp;$AC1001&amp;" due "&amp;TEXT($AB1001,"dd-mmm")&amp;" ("&amp;(NETWORKDAYS(TODAY(),$AB1001,Holidays)-1)&amp;" business day(s) left).")))))</f>
        <v/>
      </c>
      <c r="W1001" s="17">
        <f>IF($Z1001="","",CHOOSE($Z1001,"Collection Email","1st Follow-up","2nd Follow-up","Local Office","CBE","Roxanne")&amp;IF($Z1001=6," - Final"," - Day "&amp;MAX(0,NETWORKDAYS($AA1001,TODAY(),Holidays)-1)&amp;" of "&amp;CHOOSE($Z1001,3,3,2,2,3))&amp;" | Total Day "&amp;MAX(0,NETWORKDAYS($N1001,TODAY(),Holidays)-1))</f>
        <v/>
      </c>
      <c r="X1001" s="18"/>
      <c r="Y1001" s="18"/>
      <c r="Z1001" s="17">
        <f>IF($N1001="","",COUNT($N1001:$S1001))</f>
        <v/>
      </c>
      <c r="AA1001" s="19">
        <f>IF($Z1001="","",INT(INDEX($N1001:$S1001,$Z1001)))</f>
        <v/>
      </c>
      <c r="AB1001" s="19">
        <f>IF(OR($Z1001="",$Z1001=6),"",WORKDAY($AA1001,CHOOSE($Z1001,3,3,2,2,3),Holidays))</f>
        <v/>
      </c>
      <c r="AC1001" s="17">
        <f>IF(OR($Z1001="",$Z1001=6),"",CHOOSE($Z1001,"1st Email Follow-up","2nd Email Follow-up","Escalate Local Office","Escalate to CBE","Escalate to Roxanne"))</f>
        <v/>
      </c>
    </row>
    <row r="1002" spans="13:29">
      <c r="M1002" s="14"/>
      <c r="T1002" s="16"/>
      <c r="U1002" s="17">
        <f>IF(AND(COUNTA($A1002:$L1002)=0,$N1002=""),"",IF($T1002="Paid","PAID",IF($T1002="Closed","CLOSED",IF($Z1002="","",IF($Z1002=6,"ESCALATED TO ROXANNE",IF(TODAY()&gt;$AB1002,"OVERDUE",IF($AB1002&lt;=WORKDAY(TODAY(),1,Holidays),"DUE TOMORROW",IF($Z1002=4,"ESCALATED TO LOCAL OFFICE",IF($Z1002=5,"ESCALATED TO CBE",IF($AA1002=TODAY(),"EMAIL SENT","MONITORING"))))))))))</f>
        <v/>
      </c>
      <c r="V1002" s="17">
        <f>IF($U1002="",IF(AND(COUNTA($A1002:$L1002)&gt;0,$N1002=""),"Awaiting Collection Email time stamp.",""),IF(OR($U1002="PAID",$U1002="CLOSED"),IF($U1002="PAID","Account paid. Action completed.","Account closed. No further action required."),CHOOSE($Z1002,"Collection Email","1st Email Follow-up","2nd Email Follow-up","Escalation to Local Office","Escalation to CBE","Escalation to Roxanne")&amp;" sent "&amp;TEXT($AA1002,"dd-mmm")&amp;". "&amp;IF($Z1002=6,"Final escalation completed.",IF($U1002="OVERDUE","Next: "&amp;$AC1002&amp;" was due "&amp;TEXT($AB1002,"dd-mmm")&amp;" - "&amp;(NETWORKDAYS($AB1002,TODAY(),Holidays)-1)&amp;" business day(s) late. Send now.",IF($U1002="DUE TOMORROW","Next: "&amp;$AC1002&amp;IF($AB1002&lt;=TODAY()," is due TODAY ("," is due next business day (")&amp;TEXT($AB1002,"dd-mmm")&amp;").","Next: "&amp;$AC1002&amp;" due "&amp;TEXT($AB1002,"dd-mmm")&amp;" ("&amp;(NETWORKDAYS(TODAY(),$AB1002,Holidays)-1)&amp;" business day(s) left).")))))</f>
        <v/>
      </c>
      <c r="W1002" s="17">
        <f>IF($Z1002="","",CHOOSE($Z1002,"Collection Email","1st Follow-up","2nd Follow-up","Local Office","CBE","Roxanne")&amp;IF($Z1002=6," - Final"," - Day "&amp;MAX(0,NETWORKDAYS($AA1002,TODAY(),Holidays)-1)&amp;" of "&amp;CHOOSE($Z1002,3,3,2,2,3))&amp;" | Total Day "&amp;MAX(0,NETWORKDAYS($N1002,TODAY(),Holidays)-1))</f>
        <v/>
      </c>
      <c r="X1002" s="18"/>
      <c r="Y1002" s="18"/>
      <c r="Z1002" s="17">
        <f>IF($N1002="","",COUNT($N1002:$S1002))</f>
        <v/>
      </c>
      <c r="AA1002" s="19">
        <f>IF($Z1002="","",INT(INDEX($N1002:$S1002,$Z1002)))</f>
        <v/>
      </c>
      <c r="AB1002" s="19">
        <f>IF(OR($Z1002="",$Z1002=6),"",WORKDAY($AA1002,CHOOSE($Z1002,3,3,2,2,3),Holidays))</f>
        <v/>
      </c>
      <c r="AC1002" s="17">
        <f>IF(OR($Z1002="",$Z1002=6),"",CHOOSE($Z1002,"1st Email Follow-up","2nd Email Follow-up","Escalate Local Office","Escalate to CBE","Escalate to Roxanne"))</f>
        <v/>
      </c>
    </row>
    <row r="1003" spans="13:29">
      <c r="M1003" s="14"/>
      <c r="T1003" s="16"/>
      <c r="U1003" s="17">
        <f>IF(AND(COUNTA($A1003:$L1003)=0,$N1003=""),"",IF($T1003="Paid","PAID",IF($T1003="Closed","CLOSED",IF($Z1003="","",IF($Z1003=6,"ESCALATED TO ROXANNE",IF(TODAY()&gt;$AB1003,"OVERDUE",IF($AB1003&lt;=WORKDAY(TODAY(),1,Holidays),"DUE TOMORROW",IF($Z1003=4,"ESCALATED TO LOCAL OFFICE",IF($Z1003=5,"ESCALATED TO CBE",IF($AA1003=TODAY(),"EMAIL SENT","MONITORING"))))))))))</f>
        <v/>
      </c>
      <c r="V1003" s="17">
        <f>IF($U1003="",IF(AND(COUNTA($A1003:$L1003)&gt;0,$N1003=""),"Awaiting Collection Email time stamp.",""),IF(OR($U1003="PAID",$U1003="CLOSED"),IF($U1003="PAID","Account paid. Action completed.","Account closed. No further action required."),CHOOSE($Z1003,"Collection Email","1st Email Follow-up","2nd Email Follow-up","Escalation to Local Office","Escalation to CBE","Escalation to Roxanne")&amp;" sent "&amp;TEXT($AA1003,"dd-mmm")&amp;". "&amp;IF($Z1003=6,"Final escalation completed.",IF($U1003="OVERDUE","Next: "&amp;$AC1003&amp;" was due "&amp;TEXT($AB1003,"dd-mmm")&amp;" - "&amp;(NETWORKDAYS($AB1003,TODAY(),Holidays)-1)&amp;" business day(s) late. Send now.",IF($U1003="DUE TOMORROW","Next: "&amp;$AC1003&amp;IF($AB1003&lt;=TODAY()," is due TODAY ("," is due next business day (")&amp;TEXT($AB1003,"dd-mmm")&amp;").","Next: "&amp;$AC1003&amp;" due "&amp;TEXT($AB1003,"dd-mmm")&amp;" ("&amp;(NETWORKDAYS(TODAY(),$AB1003,Holidays)-1)&amp;" business day(s) left).")))))</f>
        <v/>
      </c>
      <c r="W1003" s="17">
        <f>IF($Z1003="","",CHOOSE($Z1003,"Collection Email","1st Follow-up","2nd Follow-up","Local Office","CBE","Roxanne")&amp;IF($Z1003=6," - Final"," - Day "&amp;MAX(0,NETWORKDAYS($AA1003,TODAY(),Holidays)-1)&amp;" of "&amp;CHOOSE($Z1003,3,3,2,2,3))&amp;" | Total Day "&amp;MAX(0,NETWORKDAYS($N1003,TODAY(),Holidays)-1))</f>
        <v/>
      </c>
      <c r="X1003" s="18"/>
      <c r="Y1003" s="18"/>
      <c r="Z1003" s="17">
        <f>IF($N1003="","",COUNT($N1003:$S1003))</f>
        <v/>
      </c>
      <c r="AA1003" s="19">
        <f>IF($Z1003="","",INT(INDEX($N1003:$S1003,$Z1003)))</f>
        <v/>
      </c>
      <c r="AB1003" s="19">
        <f>IF(OR($Z1003="",$Z1003=6),"",WORKDAY($AA1003,CHOOSE($Z1003,3,3,2,2,3),Holidays))</f>
        <v/>
      </c>
      <c r="AC1003" s="17">
        <f>IF(OR($Z1003="",$Z1003=6),"",CHOOSE($Z1003,"1st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U4:V1003">
    <cfRule type="expression" dxfId="0" priority="1" stopIfTrue="1">
      <formula>$U4="PAID"</formula>
    </cfRule>
    <cfRule type="expression" dxfId="0" priority="2" stopIfTrue="1">
      <formula>$U4="CLOSED"</formula>
    </cfRule>
    <cfRule type="expression" dxfId="0" priority="3" stopIfTrue="1">
      <formula>$U4="EMAIL SENT"</formula>
    </cfRule>
    <cfRule type="expression" dxfId="1" priority="4" stopIfTrue="1">
      <formula>$U4="DUE TOMORROW"</formula>
    </cfRule>
    <cfRule type="expression" dxfId="2" priority="5" stopIfTrue="1">
      <formula>$U4="OVERDUE"</formula>
    </cfRule>
    <cfRule type="expression" dxfId="3" priority="6" stopIfTrue="1">
      <formula>$U4="ESCALATED TO LOCAL OFFICE"</formula>
    </cfRule>
    <cfRule type="expression" dxfId="3" priority="7" stopIfTrue="1">
      <formula>$U4="ESCALATED TO CBE"</formula>
    </cfRule>
    <cfRule type="expression" dxfId="4" priority="8" stopIfTrue="1">
      <formula>$U4="ESCALATED TO ROXANNE"</formula>
    </cfRule>
    <cfRule type="expression" dxfId="5" priority="9" stopIfTrue="1">
      <formula>$U4="MONITORING"</formula>
    </cfRule>
  </conditionalFormatting>
  <dataValidations count="2">
    <dataValidation type="list" allowBlank="1" showInputMessage="1" showErrorMessage="1" errorTitle="Resolution" error="Choose Paid or Closed from the list, or leave blank." sqref="T4:T1003">
      <formula1>"Paid,Closed"</formula1>
    </dataValidation>
    <dataValidation type="list" allowBlank="1" showInputMessage="1" showErrorMessage="1" errorTitle="Invoice Receive" error="Choose Yes or No from the list, or leave blank." sqref="M4:M1003">
      <formula1>"Yes,No"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C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11" customWidth="1"/>
    <col min="2" max="2" width="14.7109375" style="11" customWidth="1"/>
    <col min="3" max="3" width="34.7109375" style="11" customWidth="1"/>
    <col min="4" max="4" width="18.7109375" style="11" customWidth="1"/>
    <col min="5" max="6" width="11.7109375" style="12" customWidth="1"/>
    <col min="7" max="7" width="7.7109375" style="11" customWidth="1"/>
    <col min="8" max="8" width="34.7109375" style="11" customWidth="1"/>
    <col min="9" max="9" width="6.7109375" style="11" customWidth="1"/>
    <col min="10" max="10" width="14.7109375" style="13" customWidth="1"/>
    <col min="11" max="11" width="16.7109375" style="13" customWidth="1"/>
    <col min="12" max="12" width="16.7109375" style="11" customWidth="1"/>
    <col min="13" max="13" width="12.7109375" style="14" customWidth="1"/>
    <col min="14" max="14" width="15.7109375" style="15" customWidth="1"/>
    <col min="15" max="16" width="16.7109375" style="15" customWidth="1"/>
    <col min="17" max="18" width="18.7109375" style="15" customWidth="1"/>
    <col min="19" max="19" width="20.7109375" style="15" customWidth="1"/>
    <col min="20" max="20" width="14.7109375" style="16" customWidth="1"/>
    <col min="21" max="21" width="26.7109375" style="17" customWidth="1"/>
    <col min="22" max="22" width="70.7109375" style="17" customWidth="1"/>
    <col min="23" max="23" width="34.7109375" style="17" customWidth="1"/>
    <col min="24" max="25" width="40.7109375" style="18" customWidth="1"/>
    <col min="26" max="26" width="8.7109375" style="17" hidden="1" customWidth="1"/>
    <col min="27" max="28" width="12.7109375" style="19" hidden="1" customWidth="1"/>
    <col min="29" max="29" width="22.7109375" style="17" hidden="1" customWidth="1"/>
  </cols>
  <sheetData>
    <row r="1" spans="1:29" ht="30" customHeight="1"/>
    <row r="2" spans="1:29">
      <c r="O2" s="20" t="s">
        <v>0</v>
      </c>
      <c r="P2" s="20" t="s">
        <v>0</v>
      </c>
      <c r="Q2" s="20" t="s">
        <v>1</v>
      </c>
      <c r="R2" s="20" t="s">
        <v>1</v>
      </c>
      <c r="S2" s="20" t="s">
        <v>0</v>
      </c>
    </row>
    <row r="3" spans="1:29" ht="32" customHeight="1">
      <c r="A3" s="21" t="s">
        <v>2</v>
      </c>
      <c r="B3" s="21" t="s">
        <v>3</v>
      </c>
      <c r="C3" s="21" t="s">
        <v>4</v>
      </c>
      <c r="D3" s="21" t="s">
        <v>5</v>
      </c>
      <c r="E3" s="21" t="s">
        <v>6</v>
      </c>
      <c r="F3" s="21" t="s">
        <v>7</v>
      </c>
      <c r="G3" s="21" t="s">
        <v>8</v>
      </c>
      <c r="H3" s="21" t="s">
        <v>9</v>
      </c>
      <c r="I3" s="21" t="s">
        <v>10</v>
      </c>
      <c r="J3" s="21" t="s">
        <v>11</v>
      </c>
      <c r="K3" s="21" t="s">
        <v>12</v>
      </c>
      <c r="L3" s="21" t="s">
        <v>13</v>
      </c>
      <c r="M3" s="22" t="s">
        <v>14</v>
      </c>
      <c r="N3" s="23" t="s">
        <v>15</v>
      </c>
      <c r="O3" s="23" t="s">
        <v>16</v>
      </c>
      <c r="P3" s="23" t="s">
        <v>17</v>
      </c>
      <c r="Q3" s="23" t="s">
        <v>18</v>
      </c>
      <c r="R3" s="23" t="s">
        <v>19</v>
      </c>
      <c r="S3" s="23" t="s">
        <v>20</v>
      </c>
      <c r="T3" s="22" t="s">
        <v>21</v>
      </c>
      <c r="U3" s="21" t="s">
        <v>22</v>
      </c>
      <c r="V3" s="21" t="s">
        <v>23</v>
      </c>
      <c r="W3" s="21" t="s">
        <v>24</v>
      </c>
      <c r="X3" s="22" t="s">
        <v>25</v>
      </c>
      <c r="Y3" s="22" t="s">
        <v>26</v>
      </c>
      <c r="Z3" s="21" t="s">
        <v>27</v>
      </c>
      <c r="AA3" s="21" t="s">
        <v>28</v>
      </c>
      <c r="AB3" s="21" t="s">
        <v>29</v>
      </c>
      <c r="AC3" s="21" t="s">
        <v>30</v>
      </c>
    </row>
    <row r="4" spans="1:29">
      <c r="M4" s="14"/>
      <c r="T4" s="16"/>
      <c r="U4" s="17">
        <f>IF(AND(COUNTA($A4:$L4)=0,$N4=""),"",IF($T4="Paid","PAID",IF($T4="Closed","CLOSED",IF($Z4="","",IF($Z4=6,"ESCALATED TO ROXANNE",IF(TODAY()&gt;$AB4,"OVERDUE",IF($AB4&lt;=WORKDAY(TODAY(),1,Holidays),"DUE TOMORROW",IF($Z4=4,"ESCALATED TO LOCAL OFFICE",IF($Z4=5,"ESCALATED TO CBE",IF($AA4=TODAY(),"EMAIL SENT","MONITORING"))))))))))</f>
        <v/>
      </c>
      <c r="V4" s="17">
        <f>IF($U4="",IF(AND(COUNTA($A4:$L4)&gt;0,$N4=""),"Awaiting Collection Email time stamp.",""),IF(OR($U4="PAID",$U4="CLOSED"),IF($U4="PAID","Account paid. Action completed.","Account closed. No further action required."),CHOOSE($Z4,"Collection Email","1st Email Follow-up","2nd Email Follow-up","Escalation to Local Office","Escalation to CBE","Escalation to Roxanne")&amp;" sent "&amp;TEXT($AA4,"dd-mmm")&amp;". "&amp;IF($Z4=6,"Final escalation completed.",IF($U4="OVERDUE","Next: "&amp;$AC4&amp;" was due "&amp;TEXT($AB4,"dd-mmm")&amp;" - "&amp;(NETWORKDAYS($AB4,TODAY(),Holidays)-1)&amp;" business day(s) late. Send now.",IF($U4="DUE TOMORROW","Next: "&amp;$AC4&amp;IF($AB4&lt;=TODAY()," is due TODAY ("," is due next business day (")&amp;TEXT($AB4,"dd-mmm")&amp;").","Next: "&amp;$AC4&amp;" due "&amp;TEXT($AB4,"dd-mmm")&amp;" ("&amp;(NETWORKDAYS(TODAY(),$AB4,Holidays)-1)&amp;" business day(s) left).")))))</f>
        <v/>
      </c>
      <c r="W4" s="17">
        <f>IF($Z4="","",CHOOSE($Z4,"Collection Email","1st Follow-up","2nd Follow-up","Local Office","CBE","Roxanne")&amp;IF($Z4=6," - Final"," - Day "&amp;MAX(0,NETWORKDAYS($AA4,TODAY(),Holidays)-1)&amp;" of "&amp;CHOOSE($Z4,3,3,2,2,3))&amp;" | Total Day "&amp;MAX(0,NETWORKDAYS($N4,TODAY(),Holidays)-1))</f>
        <v/>
      </c>
      <c r="X4" s="18"/>
      <c r="Y4" s="18"/>
      <c r="Z4" s="17">
        <f>IF($N4="","",COUNT($N4:$S4))</f>
        <v/>
      </c>
      <c r="AA4" s="19">
        <f>IF($Z4="","",INT(INDEX($N4:$S4,$Z4)))</f>
        <v/>
      </c>
      <c r="AB4" s="19">
        <f>IF(OR($Z4="",$Z4=6),"",WORKDAY($AA4,CHOOSE($Z4,3,3,2,2,3),Holidays))</f>
        <v/>
      </c>
      <c r="AC4" s="17">
        <f>IF(OR($Z4="",$Z4=6),"",CHOOSE($Z4,"1st Email Follow-up","2nd Email Follow-up","Escalate Local Office","Escalate to CBE","Escalate to Roxanne"))</f>
        <v/>
      </c>
    </row>
    <row r="5" spans="1:29">
      <c r="M5" s="14"/>
      <c r="T5" s="16"/>
      <c r="U5" s="17">
        <f>IF(AND(COUNTA($A5:$L5)=0,$N5=""),"",IF($T5="Paid","PAID",IF($T5="Closed","CLOSED",IF($Z5="","",IF($Z5=6,"ESCALATED TO ROXANNE",IF(TODAY()&gt;$AB5,"OVERDUE",IF($AB5&lt;=WORKDAY(TODAY(),1,Holidays),"DUE TOMORROW",IF($Z5=4,"ESCALATED TO LOCAL OFFICE",IF($Z5=5,"ESCALATED TO CBE",IF($AA5=TODAY(),"EMAIL SENT","MONITORING"))))))))))</f>
        <v/>
      </c>
      <c r="V5" s="17">
        <f>IF($U5="",IF(AND(COUNTA($A5:$L5)&gt;0,$N5=""),"Awaiting Collection Email time stamp.",""),IF(OR($U5="PAID",$U5="CLOSED"),IF($U5="PAID","Account paid. Action completed.","Account closed. No further action required."),CHOOSE($Z5,"Collection Email","1st Email Follow-up","2nd Email Follow-up","Escalation to Local Office","Escalation to CBE","Escalation to Roxanne")&amp;" sent "&amp;TEXT($AA5,"dd-mmm")&amp;". "&amp;IF($Z5=6,"Final escalation completed.",IF($U5="OVERDUE","Next: "&amp;$AC5&amp;" was due "&amp;TEXT($AB5,"dd-mmm")&amp;" - "&amp;(NETWORKDAYS($AB5,TODAY(),Holidays)-1)&amp;" business day(s) late. Send now.",IF($U5="DUE TOMORROW","Next: "&amp;$AC5&amp;IF($AB5&lt;=TODAY()," is due TODAY ("," is due next business day (")&amp;TEXT($AB5,"dd-mmm")&amp;").","Next: "&amp;$AC5&amp;" due "&amp;TEXT($AB5,"dd-mmm")&amp;" ("&amp;(NETWORKDAYS(TODAY(),$AB5,Holidays)-1)&amp;" business day(s) left).")))))</f>
        <v/>
      </c>
      <c r="W5" s="17">
        <f>IF($Z5="","",CHOOSE($Z5,"Collection Email","1st Follow-up","2nd Follow-up","Local Office","CBE","Roxanne")&amp;IF($Z5=6," - Final"," - Day "&amp;MAX(0,NETWORKDAYS($AA5,TODAY(),Holidays)-1)&amp;" of "&amp;CHOOSE($Z5,3,3,2,2,3))&amp;" | Total Day "&amp;MAX(0,NETWORKDAYS($N5,TODAY(),Holidays)-1))</f>
        <v/>
      </c>
      <c r="X5" s="18"/>
      <c r="Y5" s="18"/>
      <c r="Z5" s="17">
        <f>IF($N5="","",COUNT($N5:$S5))</f>
        <v/>
      </c>
      <c r="AA5" s="19">
        <f>IF($Z5="","",INT(INDEX($N5:$S5,$Z5)))</f>
        <v/>
      </c>
      <c r="AB5" s="19">
        <f>IF(OR($Z5="",$Z5=6),"",WORKDAY($AA5,CHOOSE($Z5,3,3,2,2,3),Holidays))</f>
        <v/>
      </c>
      <c r="AC5" s="17">
        <f>IF(OR($Z5="",$Z5=6),"",CHOOSE($Z5,"1st Email Follow-up","2nd Email Follow-up","Escalate Local Office","Escalate to CBE","Escalate to Roxanne"))</f>
        <v/>
      </c>
    </row>
    <row r="6" spans="1:29">
      <c r="M6" s="14"/>
      <c r="T6" s="16"/>
      <c r="U6" s="17">
        <f>IF(AND(COUNTA($A6:$L6)=0,$N6=""),"",IF($T6="Paid","PAID",IF($T6="Closed","CLOSED",IF($Z6="","",IF($Z6=6,"ESCALATED TO ROXANNE",IF(TODAY()&gt;$AB6,"OVERDUE",IF($AB6&lt;=WORKDAY(TODAY(),1,Holidays),"DUE TOMORROW",IF($Z6=4,"ESCALATED TO LOCAL OFFICE",IF($Z6=5,"ESCALATED TO CBE",IF($AA6=TODAY(),"EMAIL SENT","MONITORING"))))))))))</f>
        <v/>
      </c>
      <c r="V6" s="17">
        <f>IF($U6="",IF(AND(COUNTA($A6:$L6)&gt;0,$N6=""),"Awaiting Collection Email time stamp.",""),IF(OR($U6="PAID",$U6="CLOSED"),IF($U6="PAID","Account paid. Action completed.","Account closed. No further action required."),CHOOSE($Z6,"Collection Email","1st Email Follow-up","2nd Email Follow-up","Escalation to Local Office","Escalation to CBE","Escalation to Roxanne")&amp;" sent "&amp;TEXT($AA6,"dd-mmm")&amp;". "&amp;IF($Z6=6,"Final escalation completed.",IF($U6="OVERDUE","Next: "&amp;$AC6&amp;" was due "&amp;TEXT($AB6,"dd-mmm")&amp;" - "&amp;(NETWORKDAYS($AB6,TODAY(),Holidays)-1)&amp;" business day(s) late. Send now.",IF($U6="DUE TOMORROW","Next: "&amp;$AC6&amp;IF($AB6&lt;=TODAY()," is due TODAY ("," is due next business day (")&amp;TEXT($AB6,"dd-mmm")&amp;").","Next: "&amp;$AC6&amp;" due "&amp;TEXT($AB6,"dd-mmm")&amp;" ("&amp;(NETWORKDAYS(TODAY(),$AB6,Holidays)-1)&amp;" business day(s) left).")))))</f>
        <v/>
      </c>
      <c r="W6" s="17">
        <f>IF($Z6="","",CHOOSE($Z6,"Collection Email","1st Follow-up","2nd Follow-up","Local Office","CBE","Roxanne")&amp;IF($Z6=6," - Final"," - Day "&amp;MAX(0,NETWORKDAYS($AA6,TODAY(),Holidays)-1)&amp;" of "&amp;CHOOSE($Z6,3,3,2,2,3))&amp;" | Total Day "&amp;MAX(0,NETWORKDAYS($N6,TODAY(),Holidays)-1))</f>
        <v/>
      </c>
      <c r="X6" s="18"/>
      <c r="Y6" s="18"/>
      <c r="Z6" s="17">
        <f>IF($N6="","",COUNT($N6:$S6))</f>
        <v/>
      </c>
      <c r="AA6" s="19">
        <f>IF($Z6="","",INT(INDEX($N6:$S6,$Z6)))</f>
        <v/>
      </c>
      <c r="AB6" s="19">
        <f>IF(OR($Z6="",$Z6=6),"",WORKDAY($AA6,CHOOSE($Z6,3,3,2,2,3),Holidays))</f>
        <v/>
      </c>
      <c r="AC6" s="17">
        <f>IF(OR($Z6="",$Z6=6),"",CHOOSE($Z6,"1st Email Follow-up","2nd Email Follow-up","Escalate Local Office","Escalate to CBE","Escalate to Roxanne"))</f>
        <v/>
      </c>
    </row>
    <row r="7" spans="1:29">
      <c r="M7" s="14"/>
      <c r="T7" s="16"/>
      <c r="U7" s="17">
        <f>IF(AND(COUNTA($A7:$L7)=0,$N7=""),"",IF($T7="Paid","PAID",IF($T7="Closed","CLOSED",IF($Z7="","",IF($Z7=6,"ESCALATED TO ROXANNE",IF(TODAY()&gt;$AB7,"OVERDUE",IF($AB7&lt;=WORKDAY(TODAY(),1,Holidays),"DUE TOMORROW",IF($Z7=4,"ESCALATED TO LOCAL OFFICE",IF($Z7=5,"ESCALATED TO CBE",IF($AA7=TODAY(),"EMAIL SENT","MONITORING"))))))))))</f>
        <v/>
      </c>
      <c r="V7" s="17">
        <f>IF($U7="",IF(AND(COUNTA($A7:$L7)&gt;0,$N7=""),"Awaiting Collection Email time stamp.",""),IF(OR($U7="PAID",$U7="CLOSED"),IF($U7="PAID","Account paid. Action completed.","Account closed. No further action required."),CHOOSE($Z7,"Collection Email","1st Email Follow-up","2nd Email Follow-up","Escalation to Local Office","Escalation to CBE","Escalation to Roxanne")&amp;" sent "&amp;TEXT($AA7,"dd-mmm")&amp;". "&amp;IF($Z7=6,"Final escalation completed.",IF($U7="OVERDUE","Next: "&amp;$AC7&amp;" was due "&amp;TEXT($AB7,"dd-mmm")&amp;" - "&amp;(NETWORKDAYS($AB7,TODAY(),Holidays)-1)&amp;" business day(s) late. Send now.",IF($U7="DUE TOMORROW","Next: "&amp;$AC7&amp;IF($AB7&lt;=TODAY()," is due TODAY ("," is due next business day (")&amp;TEXT($AB7,"dd-mmm")&amp;").","Next: "&amp;$AC7&amp;" due "&amp;TEXT($AB7,"dd-mmm")&amp;" ("&amp;(NETWORKDAYS(TODAY(),$AB7,Holidays)-1)&amp;" business day(s) left).")))))</f>
        <v/>
      </c>
      <c r="W7" s="17">
        <f>IF($Z7="","",CHOOSE($Z7,"Collection Email","1st Follow-up","2nd Follow-up","Local Office","CBE","Roxanne")&amp;IF($Z7=6," - Final"," - Day "&amp;MAX(0,NETWORKDAYS($AA7,TODAY(),Holidays)-1)&amp;" of "&amp;CHOOSE($Z7,3,3,2,2,3))&amp;" | Total Day "&amp;MAX(0,NETWORKDAYS($N7,TODAY(),Holidays)-1))</f>
        <v/>
      </c>
      <c r="X7" s="18"/>
      <c r="Y7" s="18"/>
      <c r="Z7" s="17">
        <f>IF($N7="","",COUNT($N7:$S7))</f>
        <v/>
      </c>
      <c r="AA7" s="19">
        <f>IF($Z7="","",INT(INDEX($N7:$S7,$Z7)))</f>
        <v/>
      </c>
      <c r="AB7" s="19">
        <f>IF(OR($Z7="",$Z7=6),"",WORKDAY($AA7,CHOOSE($Z7,3,3,2,2,3),Holidays))</f>
        <v/>
      </c>
      <c r="AC7" s="17">
        <f>IF(OR($Z7="",$Z7=6),"",CHOOSE($Z7,"1st Email Follow-up","2nd Email Follow-up","Escalate Local Office","Escalate to CBE","Escalate to Roxanne"))</f>
        <v/>
      </c>
    </row>
    <row r="8" spans="1:29">
      <c r="M8" s="14"/>
      <c r="T8" s="16"/>
      <c r="U8" s="17">
        <f>IF(AND(COUNTA($A8:$L8)=0,$N8=""),"",IF($T8="Paid","PAID",IF($T8="Closed","CLOSED",IF($Z8="","",IF($Z8=6,"ESCALATED TO ROXANNE",IF(TODAY()&gt;$AB8,"OVERDUE",IF($AB8&lt;=WORKDAY(TODAY(),1,Holidays),"DUE TOMORROW",IF($Z8=4,"ESCALATED TO LOCAL OFFICE",IF($Z8=5,"ESCALATED TO CBE",IF($AA8=TODAY(),"EMAIL SENT","MONITORING"))))))))))</f>
        <v/>
      </c>
      <c r="V8" s="17">
        <f>IF($U8="",IF(AND(COUNTA($A8:$L8)&gt;0,$N8=""),"Awaiting Collection Email time stamp.",""),IF(OR($U8="PAID",$U8="CLOSED"),IF($U8="PAID","Account paid. Action completed.","Account closed. No further action required."),CHOOSE($Z8,"Collection Email","1st Email Follow-up","2nd Email Follow-up","Escalation to Local Office","Escalation to CBE","Escalation to Roxanne")&amp;" sent "&amp;TEXT($AA8,"dd-mmm")&amp;". "&amp;IF($Z8=6,"Final escalation completed.",IF($U8="OVERDUE","Next: "&amp;$AC8&amp;" was due "&amp;TEXT($AB8,"dd-mmm")&amp;" - "&amp;(NETWORKDAYS($AB8,TODAY(),Holidays)-1)&amp;" business day(s) late. Send now.",IF($U8="DUE TOMORROW","Next: "&amp;$AC8&amp;IF($AB8&lt;=TODAY()," is due TODAY ("," is due next business day (")&amp;TEXT($AB8,"dd-mmm")&amp;").","Next: "&amp;$AC8&amp;" due "&amp;TEXT($AB8,"dd-mmm")&amp;" ("&amp;(NETWORKDAYS(TODAY(),$AB8,Holidays)-1)&amp;" business day(s) left).")))))</f>
        <v/>
      </c>
      <c r="W8" s="17">
        <f>IF($Z8="","",CHOOSE($Z8,"Collection Email","1st Follow-up","2nd Follow-up","Local Office","CBE","Roxanne")&amp;IF($Z8=6," - Final"," - Day "&amp;MAX(0,NETWORKDAYS($AA8,TODAY(),Holidays)-1)&amp;" of "&amp;CHOOSE($Z8,3,3,2,2,3))&amp;" | Total Day "&amp;MAX(0,NETWORKDAYS($N8,TODAY(),Holidays)-1))</f>
        <v/>
      </c>
      <c r="X8" s="18"/>
      <c r="Y8" s="18"/>
      <c r="Z8" s="17">
        <f>IF($N8="","",COUNT($N8:$S8))</f>
        <v/>
      </c>
      <c r="AA8" s="19">
        <f>IF($Z8="","",INT(INDEX($N8:$S8,$Z8)))</f>
        <v/>
      </c>
      <c r="AB8" s="19">
        <f>IF(OR($Z8="",$Z8=6),"",WORKDAY($AA8,CHOOSE($Z8,3,3,2,2,3),Holidays))</f>
        <v/>
      </c>
      <c r="AC8" s="17">
        <f>IF(OR($Z8="",$Z8=6),"",CHOOSE($Z8,"1st Email Follow-up","2nd Email Follow-up","Escalate Local Office","Escalate to CBE","Escalate to Roxanne"))</f>
        <v/>
      </c>
    </row>
    <row r="9" spans="1:29">
      <c r="M9" s="14"/>
      <c r="T9" s="16"/>
      <c r="U9" s="17">
        <f>IF(AND(COUNTA($A9:$L9)=0,$N9=""),"",IF($T9="Paid","PAID",IF($T9="Closed","CLOSED",IF($Z9="","",IF($Z9=6,"ESCALATED TO ROXANNE",IF(TODAY()&gt;$AB9,"OVERDUE",IF($AB9&lt;=WORKDAY(TODAY(),1,Holidays),"DUE TOMORROW",IF($Z9=4,"ESCALATED TO LOCAL OFFICE",IF($Z9=5,"ESCALATED TO CBE",IF($AA9=TODAY(),"EMAIL SENT","MONITORING"))))))))))</f>
        <v/>
      </c>
      <c r="V9" s="17">
        <f>IF($U9="",IF(AND(COUNTA($A9:$L9)&gt;0,$N9=""),"Awaiting Collection Email time stamp.",""),IF(OR($U9="PAID",$U9="CLOSED"),IF($U9="PAID","Account paid. Action completed.","Account closed. No further action required."),CHOOSE($Z9,"Collection Email","1st Email Follow-up","2nd Email Follow-up","Escalation to Local Office","Escalation to CBE","Escalation to Roxanne")&amp;" sent "&amp;TEXT($AA9,"dd-mmm")&amp;". "&amp;IF($Z9=6,"Final escalation completed.",IF($U9="OVERDUE","Next: "&amp;$AC9&amp;" was due "&amp;TEXT($AB9,"dd-mmm")&amp;" - "&amp;(NETWORKDAYS($AB9,TODAY(),Holidays)-1)&amp;" business day(s) late. Send now.",IF($U9="DUE TOMORROW","Next: "&amp;$AC9&amp;IF($AB9&lt;=TODAY()," is due TODAY ("," is due next business day (")&amp;TEXT($AB9,"dd-mmm")&amp;").","Next: "&amp;$AC9&amp;" due "&amp;TEXT($AB9,"dd-mmm")&amp;" ("&amp;(NETWORKDAYS(TODAY(),$AB9,Holidays)-1)&amp;" business day(s) left).")))))</f>
        <v/>
      </c>
      <c r="W9" s="17">
        <f>IF($Z9="","",CHOOSE($Z9,"Collection Email","1st Follow-up","2nd Follow-up","Local Office","CBE","Roxanne")&amp;IF($Z9=6," - Final"," - Day "&amp;MAX(0,NETWORKDAYS($AA9,TODAY(),Holidays)-1)&amp;" of "&amp;CHOOSE($Z9,3,3,2,2,3))&amp;" | Total Day "&amp;MAX(0,NETWORKDAYS($N9,TODAY(),Holidays)-1))</f>
        <v/>
      </c>
      <c r="X9" s="18"/>
      <c r="Y9" s="18"/>
      <c r="Z9" s="17">
        <f>IF($N9="","",COUNT($N9:$S9))</f>
        <v/>
      </c>
      <c r="AA9" s="19">
        <f>IF($Z9="","",INT(INDEX($N9:$S9,$Z9)))</f>
        <v/>
      </c>
      <c r="AB9" s="19">
        <f>IF(OR($Z9="",$Z9=6),"",WORKDAY($AA9,CHOOSE($Z9,3,3,2,2,3),Holidays))</f>
        <v/>
      </c>
      <c r="AC9" s="17">
        <f>IF(OR($Z9="",$Z9=6),"",CHOOSE($Z9,"1st Email Follow-up","2nd Email Follow-up","Escalate Local Office","Escalate to CBE","Escalate to Roxanne"))</f>
        <v/>
      </c>
    </row>
    <row r="10" spans="1:29">
      <c r="M10" s="14"/>
      <c r="T10" s="16"/>
      <c r="U10" s="17">
        <f>IF(AND(COUNTA($A10:$L10)=0,$N10=""),"",IF($T10="Paid","PAID",IF($T10="Closed","CLOSED",IF($Z10="","",IF($Z10=6,"ESCALATED TO ROXANNE",IF(TODAY()&gt;$AB10,"OVERDUE",IF($AB10&lt;=WORKDAY(TODAY(),1,Holidays),"DUE TOMORROW",IF($Z10=4,"ESCALATED TO LOCAL OFFICE",IF($Z10=5,"ESCALATED TO CBE",IF($AA10=TODAY(),"EMAIL SENT","MONITORING"))))))))))</f>
        <v/>
      </c>
      <c r="V10" s="17">
        <f>IF($U10="",IF(AND(COUNTA($A10:$L10)&gt;0,$N10=""),"Awaiting Collection Email time stamp.",""),IF(OR($U10="PAID",$U10="CLOSED"),IF($U10="PAID","Account paid. Action completed.","Account closed. No further action required."),CHOOSE($Z10,"Collection Email","1st Email Follow-up","2nd Email Follow-up","Escalation to Local Office","Escalation to CBE","Escalation to Roxanne")&amp;" sent "&amp;TEXT($AA10,"dd-mmm")&amp;". "&amp;IF($Z10=6,"Final escalation completed.",IF($U10="OVERDUE","Next: "&amp;$AC10&amp;" was due "&amp;TEXT($AB10,"dd-mmm")&amp;" - "&amp;(NETWORKDAYS($AB10,TODAY(),Holidays)-1)&amp;" business day(s) late. Send now.",IF($U10="DUE TOMORROW","Next: "&amp;$AC10&amp;IF($AB10&lt;=TODAY()," is due TODAY ("," is due next business day (")&amp;TEXT($AB10,"dd-mmm")&amp;").","Next: "&amp;$AC10&amp;" due "&amp;TEXT($AB10,"dd-mmm")&amp;" ("&amp;(NETWORKDAYS(TODAY(),$AB10,Holidays)-1)&amp;" business day(s) left).")))))</f>
        <v/>
      </c>
      <c r="W10" s="17">
        <f>IF($Z10="","",CHOOSE($Z10,"Collection Email","1st Follow-up","2nd Follow-up","Local Office","CBE","Roxanne")&amp;IF($Z10=6," - Final"," - Day "&amp;MAX(0,NETWORKDAYS($AA10,TODAY(),Holidays)-1)&amp;" of "&amp;CHOOSE($Z10,3,3,2,2,3))&amp;" | Total Day "&amp;MAX(0,NETWORKDAYS($N10,TODAY(),Holidays)-1))</f>
        <v/>
      </c>
      <c r="X10" s="18"/>
      <c r="Y10" s="18"/>
      <c r="Z10" s="17">
        <f>IF($N10="","",COUNT($N10:$S10))</f>
        <v/>
      </c>
      <c r="AA10" s="19">
        <f>IF($Z10="","",INT(INDEX($N10:$S10,$Z10)))</f>
        <v/>
      </c>
      <c r="AB10" s="19">
        <f>IF(OR($Z10="",$Z10=6),"",WORKDAY($AA10,CHOOSE($Z10,3,3,2,2,3),Holidays))</f>
        <v/>
      </c>
      <c r="AC10" s="17">
        <f>IF(OR($Z10="",$Z10=6),"",CHOOSE($Z10,"1st Email Follow-up","2nd Email Follow-up","Escalate Local Office","Escalate to CBE","Escalate to Roxanne"))</f>
        <v/>
      </c>
    </row>
    <row r="11" spans="1:29">
      <c r="M11" s="14"/>
      <c r="T11" s="16"/>
      <c r="U11" s="17">
        <f>IF(AND(COUNTA($A11:$L11)=0,$N11=""),"",IF($T11="Paid","PAID",IF($T11="Closed","CLOSED",IF($Z11="","",IF($Z11=6,"ESCALATED TO ROXANNE",IF(TODAY()&gt;$AB11,"OVERDUE",IF($AB11&lt;=WORKDAY(TODAY(),1,Holidays),"DUE TOMORROW",IF($Z11=4,"ESCALATED TO LOCAL OFFICE",IF($Z11=5,"ESCALATED TO CBE",IF($AA11=TODAY(),"EMAIL SENT","MONITORING"))))))))))</f>
        <v/>
      </c>
      <c r="V11" s="17">
        <f>IF($U11="",IF(AND(COUNTA($A11:$L11)&gt;0,$N11=""),"Awaiting Collection Email time stamp.",""),IF(OR($U11="PAID",$U11="CLOSED"),IF($U11="PAID","Account paid. Action completed.","Account closed. No further action required."),CHOOSE($Z11,"Collection Email","1st Email Follow-up","2nd Email Follow-up","Escalation to Local Office","Escalation to CBE","Escalation to Roxanne")&amp;" sent "&amp;TEXT($AA11,"dd-mmm")&amp;". "&amp;IF($Z11=6,"Final escalation completed.",IF($U11="OVERDUE","Next: "&amp;$AC11&amp;" was due "&amp;TEXT($AB11,"dd-mmm")&amp;" - "&amp;(NETWORKDAYS($AB11,TODAY(),Holidays)-1)&amp;" business day(s) late. Send now.",IF($U11="DUE TOMORROW","Next: "&amp;$AC11&amp;IF($AB11&lt;=TODAY()," is due TODAY ("," is due next business day (")&amp;TEXT($AB11,"dd-mmm")&amp;").","Next: "&amp;$AC11&amp;" due "&amp;TEXT($AB11,"dd-mmm")&amp;" ("&amp;(NETWORKDAYS(TODAY(),$AB11,Holidays)-1)&amp;" business day(s) left).")))))</f>
        <v/>
      </c>
      <c r="W11" s="17">
        <f>IF($Z11="","",CHOOSE($Z11,"Collection Email","1st Follow-up","2nd Follow-up","Local Office","CBE","Roxanne")&amp;IF($Z11=6," - Final"," - Day "&amp;MAX(0,NETWORKDAYS($AA11,TODAY(),Holidays)-1)&amp;" of "&amp;CHOOSE($Z11,3,3,2,2,3))&amp;" | Total Day "&amp;MAX(0,NETWORKDAYS($N11,TODAY(),Holidays)-1))</f>
        <v/>
      </c>
      <c r="X11" s="18"/>
      <c r="Y11" s="18"/>
      <c r="Z11" s="17">
        <f>IF($N11="","",COUNT($N11:$S11))</f>
        <v/>
      </c>
      <c r="AA11" s="19">
        <f>IF($Z11="","",INT(INDEX($N11:$S11,$Z11)))</f>
        <v/>
      </c>
      <c r="AB11" s="19">
        <f>IF(OR($Z11="",$Z11=6),"",WORKDAY($AA11,CHOOSE($Z11,3,3,2,2,3),Holidays))</f>
        <v/>
      </c>
      <c r="AC11" s="17">
        <f>IF(OR($Z11="",$Z11=6),"",CHOOSE($Z11,"1st Email Follow-up","2nd Email Follow-up","Escalate Local Office","Escalate to CBE","Escalate to Roxanne"))</f>
        <v/>
      </c>
    </row>
    <row r="12" spans="1:29">
      <c r="M12" s="14"/>
      <c r="T12" s="16"/>
      <c r="U12" s="17">
        <f>IF(AND(COUNTA($A12:$L12)=0,$N12=""),"",IF($T12="Paid","PAID",IF($T12="Closed","CLOSED",IF($Z12="","",IF($Z12=6,"ESCALATED TO ROXANNE",IF(TODAY()&gt;$AB12,"OVERDUE",IF($AB12&lt;=WORKDAY(TODAY(),1,Holidays),"DUE TOMORROW",IF($Z12=4,"ESCALATED TO LOCAL OFFICE",IF($Z12=5,"ESCALATED TO CBE",IF($AA12=TODAY(),"EMAIL SENT","MONITORING"))))))))))</f>
        <v/>
      </c>
      <c r="V12" s="17">
        <f>IF($U12="",IF(AND(COUNTA($A12:$L12)&gt;0,$N12=""),"Awaiting Collection Email time stamp.",""),IF(OR($U12="PAID",$U12="CLOSED"),IF($U12="PAID","Account paid. Action completed.","Account closed. No further action required."),CHOOSE($Z12,"Collection Email","1st Email Follow-up","2nd Email Follow-up","Escalation to Local Office","Escalation to CBE","Escalation to Roxanne")&amp;" sent "&amp;TEXT($AA12,"dd-mmm")&amp;". "&amp;IF($Z12=6,"Final escalation completed.",IF($U12="OVERDUE","Next: "&amp;$AC12&amp;" was due "&amp;TEXT($AB12,"dd-mmm")&amp;" - "&amp;(NETWORKDAYS($AB12,TODAY(),Holidays)-1)&amp;" business day(s) late. Send now.",IF($U12="DUE TOMORROW","Next: "&amp;$AC12&amp;IF($AB12&lt;=TODAY()," is due TODAY ("," is due next business day (")&amp;TEXT($AB12,"dd-mmm")&amp;").","Next: "&amp;$AC12&amp;" due "&amp;TEXT($AB12,"dd-mmm")&amp;" ("&amp;(NETWORKDAYS(TODAY(),$AB12,Holidays)-1)&amp;" business day(s) left).")))))</f>
        <v/>
      </c>
      <c r="W12" s="17">
        <f>IF($Z12="","",CHOOSE($Z12,"Collection Email","1st Follow-up","2nd Follow-up","Local Office","CBE","Roxanne")&amp;IF($Z12=6," - Final"," - Day "&amp;MAX(0,NETWORKDAYS($AA12,TODAY(),Holidays)-1)&amp;" of "&amp;CHOOSE($Z12,3,3,2,2,3))&amp;" | Total Day "&amp;MAX(0,NETWORKDAYS($N12,TODAY(),Holidays)-1))</f>
        <v/>
      </c>
      <c r="X12" s="18"/>
      <c r="Y12" s="18"/>
      <c r="Z12" s="17">
        <f>IF($N12="","",COUNT($N12:$S12))</f>
        <v/>
      </c>
      <c r="AA12" s="19">
        <f>IF($Z12="","",INT(INDEX($N12:$S12,$Z12)))</f>
        <v/>
      </c>
      <c r="AB12" s="19">
        <f>IF(OR($Z12="",$Z12=6),"",WORKDAY($AA12,CHOOSE($Z12,3,3,2,2,3),Holidays))</f>
        <v/>
      </c>
      <c r="AC12" s="17">
        <f>IF(OR($Z12="",$Z12=6),"",CHOOSE($Z12,"1st Email Follow-up","2nd Email Follow-up","Escalate Local Office","Escalate to CBE","Escalate to Roxanne"))</f>
        <v/>
      </c>
    </row>
    <row r="13" spans="1:29">
      <c r="M13" s="14"/>
      <c r="T13" s="16"/>
      <c r="U13" s="17">
        <f>IF(AND(COUNTA($A13:$L13)=0,$N13=""),"",IF($T13="Paid","PAID",IF($T13="Closed","CLOSED",IF($Z13="","",IF($Z13=6,"ESCALATED TO ROXANNE",IF(TODAY()&gt;$AB13,"OVERDUE",IF($AB13&lt;=WORKDAY(TODAY(),1,Holidays),"DUE TOMORROW",IF($Z13=4,"ESCALATED TO LOCAL OFFICE",IF($Z13=5,"ESCALATED TO CBE",IF($AA13=TODAY(),"EMAIL SENT","MONITORING"))))))))))</f>
        <v/>
      </c>
      <c r="V13" s="17">
        <f>IF($U13="",IF(AND(COUNTA($A13:$L13)&gt;0,$N13=""),"Awaiting Collection Email time stamp.",""),IF(OR($U13="PAID",$U13="CLOSED"),IF($U13="PAID","Account paid. Action completed.","Account closed. No further action required."),CHOOSE($Z13,"Collection Email","1st Email Follow-up","2nd Email Follow-up","Escalation to Local Office","Escalation to CBE","Escalation to Roxanne")&amp;" sent "&amp;TEXT($AA13,"dd-mmm")&amp;". "&amp;IF($Z13=6,"Final escalation completed.",IF($U13="OVERDUE","Next: "&amp;$AC13&amp;" was due "&amp;TEXT($AB13,"dd-mmm")&amp;" - "&amp;(NETWORKDAYS($AB13,TODAY(),Holidays)-1)&amp;" business day(s) late. Send now.",IF($U13="DUE TOMORROW","Next: "&amp;$AC13&amp;IF($AB13&lt;=TODAY()," is due TODAY ("," is due next business day (")&amp;TEXT($AB13,"dd-mmm")&amp;").","Next: "&amp;$AC13&amp;" due "&amp;TEXT($AB13,"dd-mmm")&amp;" ("&amp;(NETWORKDAYS(TODAY(),$AB13,Holidays)-1)&amp;" business day(s) left).")))))</f>
        <v/>
      </c>
      <c r="W13" s="17">
        <f>IF($Z13="","",CHOOSE($Z13,"Collection Email","1st Follow-up","2nd Follow-up","Local Office","CBE","Roxanne")&amp;IF($Z13=6," - Final"," - Day "&amp;MAX(0,NETWORKDAYS($AA13,TODAY(),Holidays)-1)&amp;" of "&amp;CHOOSE($Z13,3,3,2,2,3))&amp;" | Total Day "&amp;MAX(0,NETWORKDAYS($N13,TODAY(),Holidays)-1))</f>
        <v/>
      </c>
      <c r="X13" s="18"/>
      <c r="Y13" s="18"/>
      <c r="Z13" s="17">
        <f>IF($N13="","",COUNT($N13:$S13))</f>
        <v/>
      </c>
      <c r="AA13" s="19">
        <f>IF($Z13="","",INT(INDEX($N13:$S13,$Z13)))</f>
        <v/>
      </c>
      <c r="AB13" s="19">
        <f>IF(OR($Z13="",$Z13=6),"",WORKDAY($AA13,CHOOSE($Z13,3,3,2,2,3),Holidays))</f>
        <v/>
      </c>
      <c r="AC13" s="17">
        <f>IF(OR($Z13="",$Z13=6),"",CHOOSE($Z13,"1st Email Follow-up","2nd Email Follow-up","Escalate Local Office","Escalate to CBE","Escalate to Roxanne"))</f>
        <v/>
      </c>
    </row>
    <row r="14" spans="1:29">
      <c r="M14" s="14"/>
      <c r="T14" s="16"/>
      <c r="U14" s="17">
        <f>IF(AND(COUNTA($A14:$L14)=0,$N14=""),"",IF($T14="Paid","PAID",IF($T14="Closed","CLOSED",IF($Z14="","",IF($Z14=6,"ESCALATED TO ROXANNE",IF(TODAY()&gt;$AB14,"OVERDUE",IF($AB14&lt;=WORKDAY(TODAY(),1,Holidays),"DUE TOMORROW",IF($Z14=4,"ESCALATED TO LOCAL OFFICE",IF($Z14=5,"ESCALATED TO CBE",IF($AA14=TODAY(),"EMAIL SENT","MONITORING"))))))))))</f>
        <v/>
      </c>
      <c r="V14" s="17">
        <f>IF($U14="",IF(AND(COUNTA($A14:$L14)&gt;0,$N14=""),"Awaiting Collection Email time stamp.",""),IF(OR($U14="PAID",$U14="CLOSED"),IF($U14="PAID","Account paid. Action completed.","Account closed. No further action required."),CHOOSE($Z14,"Collection Email","1st Email Follow-up","2nd Email Follow-up","Escalation to Local Office","Escalation to CBE","Escalation to Roxanne")&amp;" sent "&amp;TEXT($AA14,"dd-mmm")&amp;". "&amp;IF($Z14=6,"Final escalation completed.",IF($U14="OVERDUE","Next: "&amp;$AC14&amp;" was due "&amp;TEXT($AB14,"dd-mmm")&amp;" - "&amp;(NETWORKDAYS($AB14,TODAY(),Holidays)-1)&amp;" business day(s) late. Send now.",IF($U14="DUE TOMORROW","Next: "&amp;$AC14&amp;IF($AB14&lt;=TODAY()," is due TODAY ("," is due next business day (")&amp;TEXT($AB14,"dd-mmm")&amp;").","Next: "&amp;$AC14&amp;" due "&amp;TEXT($AB14,"dd-mmm")&amp;" ("&amp;(NETWORKDAYS(TODAY(),$AB14,Holidays)-1)&amp;" business day(s) left).")))))</f>
        <v/>
      </c>
      <c r="W14" s="17">
        <f>IF($Z14="","",CHOOSE($Z14,"Collection Email","1st Follow-up","2nd Follow-up","Local Office","CBE","Roxanne")&amp;IF($Z14=6," - Final"," - Day "&amp;MAX(0,NETWORKDAYS($AA14,TODAY(),Holidays)-1)&amp;" of "&amp;CHOOSE($Z14,3,3,2,2,3))&amp;" | Total Day "&amp;MAX(0,NETWORKDAYS($N14,TODAY(),Holidays)-1))</f>
        <v/>
      </c>
      <c r="X14" s="18"/>
      <c r="Y14" s="18"/>
      <c r="Z14" s="17">
        <f>IF($N14="","",COUNT($N14:$S14))</f>
        <v/>
      </c>
      <c r="AA14" s="19">
        <f>IF($Z14="","",INT(INDEX($N14:$S14,$Z14)))</f>
        <v/>
      </c>
      <c r="AB14" s="19">
        <f>IF(OR($Z14="",$Z14=6),"",WORKDAY($AA14,CHOOSE($Z14,3,3,2,2,3),Holidays))</f>
        <v/>
      </c>
      <c r="AC14" s="17">
        <f>IF(OR($Z14="",$Z14=6),"",CHOOSE($Z14,"1st Email Follow-up","2nd Email Follow-up","Escalate Local Office","Escalate to CBE","Escalate to Roxanne"))</f>
        <v/>
      </c>
    </row>
    <row r="15" spans="1:29">
      <c r="M15" s="14"/>
      <c r="T15" s="16"/>
      <c r="U15" s="17">
        <f>IF(AND(COUNTA($A15:$L15)=0,$N15=""),"",IF($T15="Paid","PAID",IF($T15="Closed","CLOSED",IF($Z15="","",IF($Z15=6,"ESCALATED TO ROXANNE",IF(TODAY()&gt;$AB15,"OVERDUE",IF($AB15&lt;=WORKDAY(TODAY(),1,Holidays),"DUE TOMORROW",IF($Z15=4,"ESCALATED TO LOCAL OFFICE",IF($Z15=5,"ESCALATED TO CBE",IF($AA15=TODAY(),"EMAIL SENT","MONITORING"))))))))))</f>
        <v/>
      </c>
      <c r="V15" s="17">
        <f>IF($U15="",IF(AND(COUNTA($A15:$L15)&gt;0,$N15=""),"Awaiting Collection Email time stamp.",""),IF(OR($U15="PAID",$U15="CLOSED"),IF($U15="PAID","Account paid. Action completed.","Account closed. No further action required."),CHOOSE($Z15,"Collection Email","1st Email Follow-up","2nd Email Follow-up","Escalation to Local Office","Escalation to CBE","Escalation to Roxanne")&amp;" sent "&amp;TEXT($AA15,"dd-mmm")&amp;". "&amp;IF($Z15=6,"Final escalation completed.",IF($U15="OVERDUE","Next: "&amp;$AC15&amp;" was due "&amp;TEXT($AB15,"dd-mmm")&amp;" - "&amp;(NETWORKDAYS($AB15,TODAY(),Holidays)-1)&amp;" business day(s) late. Send now.",IF($U15="DUE TOMORROW","Next: "&amp;$AC15&amp;IF($AB15&lt;=TODAY()," is due TODAY ("," is due next business day (")&amp;TEXT($AB15,"dd-mmm")&amp;").","Next: "&amp;$AC15&amp;" due "&amp;TEXT($AB15,"dd-mmm")&amp;" ("&amp;(NETWORKDAYS(TODAY(),$AB15,Holidays)-1)&amp;" business day(s) left).")))))</f>
        <v/>
      </c>
      <c r="W15" s="17">
        <f>IF($Z15="","",CHOOSE($Z15,"Collection Email","1st Follow-up","2nd Follow-up","Local Office","CBE","Roxanne")&amp;IF($Z15=6," - Final"," - Day "&amp;MAX(0,NETWORKDAYS($AA15,TODAY(),Holidays)-1)&amp;" of "&amp;CHOOSE($Z15,3,3,2,2,3))&amp;" | Total Day "&amp;MAX(0,NETWORKDAYS($N15,TODAY(),Holidays)-1))</f>
        <v/>
      </c>
      <c r="X15" s="18"/>
      <c r="Y15" s="18"/>
      <c r="Z15" s="17">
        <f>IF($N15="","",COUNT($N15:$S15))</f>
        <v/>
      </c>
      <c r="AA15" s="19">
        <f>IF($Z15="","",INT(INDEX($N15:$S15,$Z15)))</f>
        <v/>
      </c>
      <c r="AB15" s="19">
        <f>IF(OR($Z15="",$Z15=6),"",WORKDAY($AA15,CHOOSE($Z15,3,3,2,2,3),Holidays))</f>
        <v/>
      </c>
      <c r="AC15" s="17">
        <f>IF(OR($Z15="",$Z15=6),"",CHOOSE($Z15,"1st Email Follow-up","2nd Email Follow-up","Escalate Local Office","Escalate to CBE","Escalate to Roxanne"))</f>
        <v/>
      </c>
    </row>
    <row r="16" spans="1:29">
      <c r="M16" s="14"/>
      <c r="T16" s="16"/>
      <c r="U16" s="17">
        <f>IF(AND(COUNTA($A16:$L16)=0,$N16=""),"",IF($T16="Paid","PAID",IF($T16="Closed","CLOSED",IF($Z16="","",IF($Z16=6,"ESCALATED TO ROXANNE",IF(TODAY()&gt;$AB16,"OVERDUE",IF($AB16&lt;=WORKDAY(TODAY(),1,Holidays),"DUE TOMORROW",IF($Z16=4,"ESCALATED TO LOCAL OFFICE",IF($Z16=5,"ESCALATED TO CBE",IF($AA16=TODAY(),"EMAIL SENT","MONITORING"))))))))))</f>
        <v/>
      </c>
      <c r="V16" s="17">
        <f>IF($U16="",IF(AND(COUNTA($A16:$L16)&gt;0,$N16=""),"Awaiting Collection Email time stamp.",""),IF(OR($U16="PAID",$U16="CLOSED"),IF($U16="PAID","Account paid. Action completed.","Account closed. No further action required."),CHOOSE($Z16,"Collection Email","1st Email Follow-up","2nd Email Follow-up","Escalation to Local Office","Escalation to CBE","Escalation to Roxanne")&amp;" sent "&amp;TEXT($AA16,"dd-mmm")&amp;". "&amp;IF($Z16=6,"Final escalation completed.",IF($U16="OVERDUE","Next: "&amp;$AC16&amp;" was due "&amp;TEXT($AB16,"dd-mmm")&amp;" - "&amp;(NETWORKDAYS($AB16,TODAY(),Holidays)-1)&amp;" business day(s) late. Send now.",IF($U16="DUE TOMORROW","Next: "&amp;$AC16&amp;IF($AB16&lt;=TODAY()," is due TODAY ("," is due next business day (")&amp;TEXT($AB16,"dd-mmm")&amp;").","Next: "&amp;$AC16&amp;" due "&amp;TEXT($AB16,"dd-mmm")&amp;" ("&amp;(NETWORKDAYS(TODAY(),$AB16,Holidays)-1)&amp;" business day(s) left).")))))</f>
        <v/>
      </c>
      <c r="W16" s="17">
        <f>IF($Z16="","",CHOOSE($Z16,"Collection Email","1st Follow-up","2nd Follow-up","Local Office","CBE","Roxanne")&amp;IF($Z16=6," - Final"," - Day "&amp;MAX(0,NETWORKDAYS($AA16,TODAY(),Holidays)-1)&amp;" of "&amp;CHOOSE($Z16,3,3,2,2,3))&amp;" | Total Day "&amp;MAX(0,NETWORKDAYS($N16,TODAY(),Holidays)-1))</f>
        <v/>
      </c>
      <c r="X16" s="18"/>
      <c r="Y16" s="18"/>
      <c r="Z16" s="17">
        <f>IF($N16="","",COUNT($N16:$S16))</f>
        <v/>
      </c>
      <c r="AA16" s="19">
        <f>IF($Z16="","",INT(INDEX($N16:$S16,$Z16)))</f>
        <v/>
      </c>
      <c r="AB16" s="19">
        <f>IF(OR($Z16="",$Z16=6),"",WORKDAY($AA16,CHOOSE($Z16,3,3,2,2,3),Holidays))</f>
        <v/>
      </c>
      <c r="AC16" s="17">
        <f>IF(OR($Z16="",$Z16=6),"",CHOOSE($Z16,"1st Email Follow-up","2nd Email Follow-up","Escalate Local Office","Escalate to CBE","Escalate to Roxanne"))</f>
        <v/>
      </c>
    </row>
    <row r="17" spans="13:29">
      <c r="M17" s="14"/>
      <c r="T17" s="16"/>
      <c r="U17" s="17">
        <f>IF(AND(COUNTA($A17:$L17)=0,$N17=""),"",IF($T17="Paid","PAID",IF($T17="Closed","CLOSED",IF($Z17="","",IF($Z17=6,"ESCALATED TO ROXANNE",IF(TODAY()&gt;$AB17,"OVERDUE",IF($AB17&lt;=WORKDAY(TODAY(),1,Holidays),"DUE TOMORROW",IF($Z17=4,"ESCALATED TO LOCAL OFFICE",IF($Z17=5,"ESCALATED TO CBE",IF($AA17=TODAY(),"EMAIL SENT","MONITORING"))))))))))</f>
        <v/>
      </c>
      <c r="V17" s="17">
        <f>IF($U17="",IF(AND(COUNTA($A17:$L17)&gt;0,$N17=""),"Awaiting Collection Email time stamp.",""),IF(OR($U17="PAID",$U17="CLOSED"),IF($U17="PAID","Account paid. Action completed.","Account closed. No further action required."),CHOOSE($Z17,"Collection Email","1st Email Follow-up","2nd Email Follow-up","Escalation to Local Office","Escalation to CBE","Escalation to Roxanne")&amp;" sent "&amp;TEXT($AA17,"dd-mmm")&amp;". "&amp;IF($Z17=6,"Final escalation completed.",IF($U17="OVERDUE","Next: "&amp;$AC17&amp;" was due "&amp;TEXT($AB17,"dd-mmm")&amp;" - "&amp;(NETWORKDAYS($AB17,TODAY(),Holidays)-1)&amp;" business day(s) late. Send now.",IF($U17="DUE TOMORROW","Next: "&amp;$AC17&amp;IF($AB17&lt;=TODAY()," is due TODAY ("," is due next business day (")&amp;TEXT($AB17,"dd-mmm")&amp;").","Next: "&amp;$AC17&amp;" due "&amp;TEXT($AB17,"dd-mmm")&amp;" ("&amp;(NETWORKDAYS(TODAY(),$AB17,Holidays)-1)&amp;" business day(s) left).")))))</f>
        <v/>
      </c>
      <c r="W17" s="17">
        <f>IF($Z17="","",CHOOSE($Z17,"Collection Email","1st Follow-up","2nd Follow-up","Local Office","CBE","Roxanne")&amp;IF($Z17=6," - Final"," - Day "&amp;MAX(0,NETWORKDAYS($AA17,TODAY(),Holidays)-1)&amp;" of "&amp;CHOOSE($Z17,3,3,2,2,3))&amp;" | Total Day "&amp;MAX(0,NETWORKDAYS($N17,TODAY(),Holidays)-1))</f>
        <v/>
      </c>
      <c r="X17" s="18"/>
      <c r="Y17" s="18"/>
      <c r="Z17" s="17">
        <f>IF($N17="","",COUNT($N17:$S17))</f>
        <v/>
      </c>
      <c r="AA17" s="19">
        <f>IF($Z17="","",INT(INDEX($N17:$S17,$Z17)))</f>
        <v/>
      </c>
      <c r="AB17" s="19">
        <f>IF(OR($Z17="",$Z17=6),"",WORKDAY($AA17,CHOOSE($Z17,3,3,2,2,3),Holidays))</f>
        <v/>
      </c>
      <c r="AC17" s="17">
        <f>IF(OR($Z17="",$Z17=6),"",CHOOSE($Z17,"1st Email Follow-up","2nd Email Follow-up","Escalate Local Office","Escalate to CBE","Escalate to Roxanne"))</f>
        <v/>
      </c>
    </row>
    <row r="18" spans="13:29">
      <c r="M18" s="14"/>
      <c r="T18" s="16"/>
      <c r="U18" s="17">
        <f>IF(AND(COUNTA($A18:$L18)=0,$N18=""),"",IF($T18="Paid","PAID",IF($T18="Closed","CLOSED",IF($Z18="","",IF($Z18=6,"ESCALATED TO ROXANNE",IF(TODAY()&gt;$AB18,"OVERDUE",IF($AB18&lt;=WORKDAY(TODAY(),1,Holidays),"DUE TOMORROW",IF($Z18=4,"ESCALATED TO LOCAL OFFICE",IF($Z18=5,"ESCALATED TO CBE",IF($AA18=TODAY(),"EMAIL SENT","MONITORING"))))))))))</f>
        <v/>
      </c>
      <c r="V18" s="17">
        <f>IF($U18="",IF(AND(COUNTA($A18:$L18)&gt;0,$N18=""),"Awaiting Collection Email time stamp.",""),IF(OR($U18="PAID",$U18="CLOSED"),IF($U18="PAID","Account paid. Action completed.","Account closed. No further action required."),CHOOSE($Z18,"Collection Email","1st Email Follow-up","2nd Email Follow-up","Escalation to Local Office","Escalation to CBE","Escalation to Roxanne")&amp;" sent "&amp;TEXT($AA18,"dd-mmm")&amp;". "&amp;IF($Z18=6,"Final escalation completed.",IF($U18="OVERDUE","Next: "&amp;$AC18&amp;" was due "&amp;TEXT($AB18,"dd-mmm")&amp;" - "&amp;(NETWORKDAYS($AB18,TODAY(),Holidays)-1)&amp;" business day(s) late. Send now.",IF($U18="DUE TOMORROW","Next: "&amp;$AC18&amp;IF($AB18&lt;=TODAY()," is due TODAY ("," is due next business day (")&amp;TEXT($AB18,"dd-mmm")&amp;").","Next: "&amp;$AC18&amp;" due "&amp;TEXT($AB18,"dd-mmm")&amp;" ("&amp;(NETWORKDAYS(TODAY(),$AB18,Holidays)-1)&amp;" business day(s) left).")))))</f>
        <v/>
      </c>
      <c r="W18" s="17">
        <f>IF($Z18="","",CHOOSE($Z18,"Collection Email","1st Follow-up","2nd Follow-up","Local Office","CBE","Roxanne")&amp;IF($Z18=6," - Final"," - Day "&amp;MAX(0,NETWORKDAYS($AA18,TODAY(),Holidays)-1)&amp;" of "&amp;CHOOSE($Z18,3,3,2,2,3))&amp;" | Total Day "&amp;MAX(0,NETWORKDAYS($N18,TODAY(),Holidays)-1))</f>
        <v/>
      </c>
      <c r="X18" s="18"/>
      <c r="Y18" s="18"/>
      <c r="Z18" s="17">
        <f>IF($N18="","",COUNT($N18:$S18))</f>
        <v/>
      </c>
      <c r="AA18" s="19">
        <f>IF($Z18="","",INT(INDEX($N18:$S18,$Z18)))</f>
        <v/>
      </c>
      <c r="AB18" s="19">
        <f>IF(OR($Z18="",$Z18=6),"",WORKDAY($AA18,CHOOSE($Z18,3,3,2,2,3),Holidays))</f>
        <v/>
      </c>
      <c r="AC18" s="17">
        <f>IF(OR($Z18="",$Z18=6),"",CHOOSE($Z18,"1st Email Follow-up","2nd Email Follow-up","Escalate Local Office","Escalate to CBE","Escalate to Roxanne"))</f>
        <v/>
      </c>
    </row>
    <row r="19" spans="13:29">
      <c r="M19" s="14"/>
      <c r="T19" s="16"/>
      <c r="U19" s="17">
        <f>IF(AND(COUNTA($A19:$L19)=0,$N19=""),"",IF($T19="Paid","PAID",IF($T19="Closed","CLOSED",IF($Z19="","",IF($Z19=6,"ESCALATED TO ROXANNE",IF(TODAY()&gt;$AB19,"OVERDUE",IF($AB19&lt;=WORKDAY(TODAY(),1,Holidays),"DUE TOMORROW",IF($Z19=4,"ESCALATED TO LOCAL OFFICE",IF($Z19=5,"ESCALATED TO CBE",IF($AA19=TODAY(),"EMAIL SENT","MONITORING"))))))))))</f>
        <v/>
      </c>
      <c r="V19" s="17">
        <f>IF($U19="",IF(AND(COUNTA($A19:$L19)&gt;0,$N19=""),"Awaiting Collection Email time stamp.",""),IF(OR($U19="PAID",$U19="CLOSED"),IF($U19="PAID","Account paid. Action completed.","Account closed. No further action required."),CHOOSE($Z19,"Collection Email","1st Email Follow-up","2nd Email Follow-up","Escalation to Local Office","Escalation to CBE","Escalation to Roxanne")&amp;" sent "&amp;TEXT($AA19,"dd-mmm")&amp;". "&amp;IF($Z19=6,"Final escalation completed.",IF($U19="OVERDUE","Next: "&amp;$AC19&amp;" was due "&amp;TEXT($AB19,"dd-mmm")&amp;" - "&amp;(NETWORKDAYS($AB19,TODAY(),Holidays)-1)&amp;" business day(s) late. Send now.",IF($U19="DUE TOMORROW","Next: "&amp;$AC19&amp;IF($AB19&lt;=TODAY()," is due TODAY ("," is due next business day (")&amp;TEXT($AB19,"dd-mmm")&amp;").","Next: "&amp;$AC19&amp;" due "&amp;TEXT($AB19,"dd-mmm")&amp;" ("&amp;(NETWORKDAYS(TODAY(),$AB19,Holidays)-1)&amp;" business day(s) left).")))))</f>
        <v/>
      </c>
      <c r="W19" s="17">
        <f>IF($Z19="","",CHOOSE($Z19,"Collection Email","1st Follow-up","2nd Follow-up","Local Office","CBE","Roxanne")&amp;IF($Z19=6," - Final"," - Day "&amp;MAX(0,NETWORKDAYS($AA19,TODAY(),Holidays)-1)&amp;" of "&amp;CHOOSE($Z19,3,3,2,2,3))&amp;" | Total Day "&amp;MAX(0,NETWORKDAYS($N19,TODAY(),Holidays)-1))</f>
        <v/>
      </c>
      <c r="X19" s="18"/>
      <c r="Y19" s="18"/>
      <c r="Z19" s="17">
        <f>IF($N19="","",COUNT($N19:$S19))</f>
        <v/>
      </c>
      <c r="AA19" s="19">
        <f>IF($Z19="","",INT(INDEX($N19:$S19,$Z19)))</f>
        <v/>
      </c>
      <c r="AB19" s="19">
        <f>IF(OR($Z19="",$Z19=6),"",WORKDAY($AA19,CHOOSE($Z19,3,3,2,2,3),Holidays))</f>
        <v/>
      </c>
      <c r="AC19" s="17">
        <f>IF(OR($Z19="",$Z19=6),"",CHOOSE($Z19,"1st Email Follow-up","2nd Email Follow-up","Escalate Local Office","Escalate to CBE","Escalate to Roxanne"))</f>
        <v/>
      </c>
    </row>
    <row r="20" spans="13:29">
      <c r="M20" s="14"/>
      <c r="T20" s="16"/>
      <c r="U20" s="17">
        <f>IF(AND(COUNTA($A20:$L20)=0,$N20=""),"",IF($T20="Paid","PAID",IF($T20="Closed","CLOSED",IF($Z20="","",IF($Z20=6,"ESCALATED TO ROXANNE",IF(TODAY()&gt;$AB20,"OVERDUE",IF($AB20&lt;=WORKDAY(TODAY(),1,Holidays),"DUE TOMORROW",IF($Z20=4,"ESCALATED TO LOCAL OFFICE",IF($Z20=5,"ESCALATED TO CBE",IF($AA20=TODAY(),"EMAIL SENT","MONITORING"))))))))))</f>
        <v/>
      </c>
      <c r="V20" s="17">
        <f>IF($U20="",IF(AND(COUNTA($A20:$L20)&gt;0,$N20=""),"Awaiting Collection Email time stamp.",""),IF(OR($U20="PAID",$U20="CLOSED"),IF($U20="PAID","Account paid. Action completed.","Account closed. No further action required."),CHOOSE($Z20,"Collection Email","1st Email Follow-up","2nd Email Follow-up","Escalation to Local Office","Escalation to CBE","Escalation to Roxanne")&amp;" sent "&amp;TEXT($AA20,"dd-mmm")&amp;". "&amp;IF($Z20=6,"Final escalation completed.",IF($U20="OVERDUE","Next: "&amp;$AC20&amp;" was due "&amp;TEXT($AB20,"dd-mmm")&amp;" - "&amp;(NETWORKDAYS($AB20,TODAY(),Holidays)-1)&amp;" business day(s) late. Send now.",IF($U20="DUE TOMORROW","Next: "&amp;$AC20&amp;IF($AB20&lt;=TODAY()," is due TODAY ("," is due next business day (")&amp;TEXT($AB20,"dd-mmm")&amp;").","Next: "&amp;$AC20&amp;" due "&amp;TEXT($AB20,"dd-mmm")&amp;" ("&amp;(NETWORKDAYS(TODAY(),$AB20,Holidays)-1)&amp;" business day(s) left).")))))</f>
        <v/>
      </c>
      <c r="W20" s="17">
        <f>IF($Z20="","",CHOOSE($Z20,"Collection Email","1st Follow-up","2nd Follow-up","Local Office","CBE","Roxanne")&amp;IF($Z20=6," - Final"," - Day "&amp;MAX(0,NETWORKDAYS($AA20,TODAY(),Holidays)-1)&amp;" of "&amp;CHOOSE($Z20,3,3,2,2,3))&amp;" | Total Day "&amp;MAX(0,NETWORKDAYS($N20,TODAY(),Holidays)-1))</f>
        <v/>
      </c>
      <c r="X20" s="18"/>
      <c r="Y20" s="18"/>
      <c r="Z20" s="17">
        <f>IF($N20="","",COUNT($N20:$S20))</f>
        <v/>
      </c>
      <c r="AA20" s="19">
        <f>IF($Z20="","",INT(INDEX($N20:$S20,$Z20)))</f>
        <v/>
      </c>
      <c r="AB20" s="19">
        <f>IF(OR($Z20="",$Z20=6),"",WORKDAY($AA20,CHOOSE($Z20,3,3,2,2,3),Holidays))</f>
        <v/>
      </c>
      <c r="AC20" s="17">
        <f>IF(OR($Z20="",$Z20=6),"",CHOOSE($Z20,"1st Email Follow-up","2nd Email Follow-up","Escalate Local Office","Escalate to CBE","Escalate to Roxanne"))</f>
        <v/>
      </c>
    </row>
    <row r="21" spans="13:29">
      <c r="M21" s="14"/>
      <c r="T21" s="16"/>
      <c r="U21" s="17">
        <f>IF(AND(COUNTA($A21:$L21)=0,$N21=""),"",IF($T21="Paid","PAID",IF($T21="Closed","CLOSED",IF($Z21="","",IF($Z21=6,"ESCALATED TO ROXANNE",IF(TODAY()&gt;$AB21,"OVERDUE",IF($AB21&lt;=WORKDAY(TODAY(),1,Holidays),"DUE TOMORROW",IF($Z21=4,"ESCALATED TO LOCAL OFFICE",IF($Z21=5,"ESCALATED TO CBE",IF($AA21=TODAY(),"EMAIL SENT","MONITORING"))))))))))</f>
        <v/>
      </c>
      <c r="V21" s="17">
        <f>IF($U21="",IF(AND(COUNTA($A21:$L21)&gt;0,$N21=""),"Awaiting Collection Email time stamp.",""),IF(OR($U21="PAID",$U21="CLOSED"),IF($U21="PAID","Account paid. Action completed.","Account closed. No further action required."),CHOOSE($Z21,"Collection Email","1st Email Follow-up","2nd Email Follow-up","Escalation to Local Office","Escalation to CBE","Escalation to Roxanne")&amp;" sent "&amp;TEXT($AA21,"dd-mmm")&amp;". "&amp;IF($Z21=6,"Final escalation completed.",IF($U21="OVERDUE","Next: "&amp;$AC21&amp;" was due "&amp;TEXT($AB21,"dd-mmm")&amp;" - "&amp;(NETWORKDAYS($AB21,TODAY(),Holidays)-1)&amp;" business day(s) late. Send now.",IF($U21="DUE TOMORROW","Next: "&amp;$AC21&amp;IF($AB21&lt;=TODAY()," is due TODAY ("," is due next business day (")&amp;TEXT($AB21,"dd-mmm")&amp;").","Next: "&amp;$AC21&amp;" due "&amp;TEXT($AB21,"dd-mmm")&amp;" ("&amp;(NETWORKDAYS(TODAY(),$AB21,Holidays)-1)&amp;" business day(s) left).")))))</f>
        <v/>
      </c>
      <c r="W21" s="17">
        <f>IF($Z21="","",CHOOSE($Z21,"Collection Email","1st Follow-up","2nd Follow-up","Local Office","CBE","Roxanne")&amp;IF($Z21=6," - Final"," - Day "&amp;MAX(0,NETWORKDAYS($AA21,TODAY(),Holidays)-1)&amp;" of "&amp;CHOOSE($Z21,3,3,2,2,3))&amp;" | Total Day "&amp;MAX(0,NETWORKDAYS($N21,TODAY(),Holidays)-1))</f>
        <v/>
      </c>
      <c r="X21" s="18"/>
      <c r="Y21" s="18"/>
      <c r="Z21" s="17">
        <f>IF($N21="","",COUNT($N21:$S21))</f>
        <v/>
      </c>
      <c r="AA21" s="19">
        <f>IF($Z21="","",INT(INDEX($N21:$S21,$Z21)))</f>
        <v/>
      </c>
      <c r="AB21" s="19">
        <f>IF(OR($Z21="",$Z21=6),"",WORKDAY($AA21,CHOOSE($Z21,3,3,2,2,3),Holidays))</f>
        <v/>
      </c>
      <c r="AC21" s="17">
        <f>IF(OR($Z21="",$Z21=6),"",CHOOSE($Z21,"1st Email Follow-up","2nd Email Follow-up","Escalate Local Office","Escalate to CBE","Escalate to Roxanne"))</f>
        <v/>
      </c>
    </row>
    <row r="22" spans="13:29">
      <c r="M22" s="14"/>
      <c r="T22" s="16"/>
      <c r="U22" s="17">
        <f>IF(AND(COUNTA($A22:$L22)=0,$N22=""),"",IF($T22="Paid","PAID",IF($T22="Closed","CLOSED",IF($Z22="","",IF($Z22=6,"ESCALATED TO ROXANNE",IF(TODAY()&gt;$AB22,"OVERDUE",IF($AB22&lt;=WORKDAY(TODAY(),1,Holidays),"DUE TOMORROW",IF($Z22=4,"ESCALATED TO LOCAL OFFICE",IF($Z22=5,"ESCALATED TO CBE",IF($AA22=TODAY(),"EMAIL SENT","MONITORING"))))))))))</f>
        <v/>
      </c>
      <c r="V22" s="17">
        <f>IF($U22="",IF(AND(COUNTA($A22:$L22)&gt;0,$N22=""),"Awaiting Collection Email time stamp.",""),IF(OR($U22="PAID",$U22="CLOSED"),IF($U22="PAID","Account paid. Action completed.","Account closed. No further action required."),CHOOSE($Z22,"Collection Email","1st Email Follow-up","2nd Email Follow-up","Escalation to Local Office","Escalation to CBE","Escalation to Roxanne")&amp;" sent "&amp;TEXT($AA22,"dd-mmm")&amp;". "&amp;IF($Z22=6,"Final escalation completed.",IF($U22="OVERDUE","Next: "&amp;$AC22&amp;" was due "&amp;TEXT($AB22,"dd-mmm")&amp;" - "&amp;(NETWORKDAYS($AB22,TODAY(),Holidays)-1)&amp;" business day(s) late. Send now.",IF($U22="DUE TOMORROW","Next: "&amp;$AC22&amp;IF($AB22&lt;=TODAY()," is due TODAY ("," is due next business day (")&amp;TEXT($AB22,"dd-mmm")&amp;").","Next: "&amp;$AC22&amp;" due "&amp;TEXT($AB22,"dd-mmm")&amp;" ("&amp;(NETWORKDAYS(TODAY(),$AB22,Holidays)-1)&amp;" business day(s) left).")))))</f>
        <v/>
      </c>
      <c r="W22" s="17">
        <f>IF($Z22="","",CHOOSE($Z22,"Collection Email","1st Follow-up","2nd Follow-up","Local Office","CBE","Roxanne")&amp;IF($Z22=6," - Final"," - Day "&amp;MAX(0,NETWORKDAYS($AA22,TODAY(),Holidays)-1)&amp;" of "&amp;CHOOSE($Z22,3,3,2,2,3))&amp;" | Total Day "&amp;MAX(0,NETWORKDAYS($N22,TODAY(),Holidays)-1))</f>
        <v/>
      </c>
      <c r="X22" s="18"/>
      <c r="Y22" s="18"/>
      <c r="Z22" s="17">
        <f>IF($N22="","",COUNT($N22:$S22))</f>
        <v/>
      </c>
      <c r="AA22" s="19">
        <f>IF($Z22="","",INT(INDEX($N22:$S22,$Z22)))</f>
        <v/>
      </c>
      <c r="AB22" s="19">
        <f>IF(OR($Z22="",$Z22=6),"",WORKDAY($AA22,CHOOSE($Z22,3,3,2,2,3),Holidays))</f>
        <v/>
      </c>
      <c r="AC22" s="17">
        <f>IF(OR($Z22="",$Z22=6),"",CHOOSE($Z22,"1st Email Follow-up","2nd Email Follow-up","Escalate Local Office","Escalate to CBE","Escalate to Roxanne"))</f>
        <v/>
      </c>
    </row>
    <row r="23" spans="13:29">
      <c r="M23" s="14"/>
      <c r="T23" s="16"/>
      <c r="U23" s="17">
        <f>IF(AND(COUNTA($A23:$L23)=0,$N23=""),"",IF($T23="Paid","PAID",IF($T23="Closed","CLOSED",IF($Z23="","",IF($Z23=6,"ESCALATED TO ROXANNE",IF(TODAY()&gt;$AB23,"OVERDUE",IF($AB23&lt;=WORKDAY(TODAY(),1,Holidays),"DUE TOMORROW",IF($Z23=4,"ESCALATED TO LOCAL OFFICE",IF($Z23=5,"ESCALATED TO CBE",IF($AA23=TODAY(),"EMAIL SENT","MONITORING"))))))))))</f>
        <v/>
      </c>
      <c r="V23" s="17">
        <f>IF($U23="",IF(AND(COUNTA($A23:$L23)&gt;0,$N23=""),"Awaiting Collection Email time stamp.",""),IF(OR($U23="PAID",$U23="CLOSED"),IF($U23="PAID","Account paid. Action completed.","Account closed. No further action required."),CHOOSE($Z23,"Collection Email","1st Email Follow-up","2nd Email Follow-up","Escalation to Local Office","Escalation to CBE","Escalation to Roxanne")&amp;" sent "&amp;TEXT($AA23,"dd-mmm")&amp;". "&amp;IF($Z23=6,"Final escalation completed.",IF($U23="OVERDUE","Next: "&amp;$AC23&amp;" was due "&amp;TEXT($AB23,"dd-mmm")&amp;" - "&amp;(NETWORKDAYS($AB23,TODAY(),Holidays)-1)&amp;" business day(s) late. Send now.",IF($U23="DUE TOMORROW","Next: "&amp;$AC23&amp;IF($AB23&lt;=TODAY()," is due TODAY ("," is due next business day (")&amp;TEXT($AB23,"dd-mmm")&amp;").","Next: "&amp;$AC23&amp;" due "&amp;TEXT($AB23,"dd-mmm")&amp;" ("&amp;(NETWORKDAYS(TODAY(),$AB23,Holidays)-1)&amp;" business day(s) left).")))))</f>
        <v/>
      </c>
      <c r="W23" s="17">
        <f>IF($Z23="","",CHOOSE($Z23,"Collection Email","1st Follow-up","2nd Follow-up","Local Office","CBE","Roxanne")&amp;IF($Z23=6," - Final"," - Day "&amp;MAX(0,NETWORKDAYS($AA23,TODAY(),Holidays)-1)&amp;" of "&amp;CHOOSE($Z23,3,3,2,2,3))&amp;" | Total Day "&amp;MAX(0,NETWORKDAYS($N23,TODAY(),Holidays)-1))</f>
        <v/>
      </c>
      <c r="X23" s="18"/>
      <c r="Y23" s="18"/>
      <c r="Z23" s="17">
        <f>IF($N23="","",COUNT($N23:$S23))</f>
        <v/>
      </c>
      <c r="AA23" s="19">
        <f>IF($Z23="","",INT(INDEX($N23:$S23,$Z23)))</f>
        <v/>
      </c>
      <c r="AB23" s="19">
        <f>IF(OR($Z23="",$Z23=6),"",WORKDAY($AA23,CHOOSE($Z23,3,3,2,2,3),Holidays))</f>
        <v/>
      </c>
      <c r="AC23" s="17">
        <f>IF(OR($Z23="",$Z23=6),"",CHOOSE($Z23,"1st Email Follow-up","2nd Email Follow-up","Escalate Local Office","Escalate to CBE","Escalate to Roxanne"))</f>
        <v/>
      </c>
    </row>
    <row r="24" spans="13:29">
      <c r="M24" s="14"/>
      <c r="T24" s="16"/>
      <c r="U24" s="17">
        <f>IF(AND(COUNTA($A24:$L24)=0,$N24=""),"",IF($T24="Paid","PAID",IF($T24="Closed","CLOSED",IF($Z24="","",IF($Z24=6,"ESCALATED TO ROXANNE",IF(TODAY()&gt;$AB24,"OVERDUE",IF($AB24&lt;=WORKDAY(TODAY(),1,Holidays),"DUE TOMORROW",IF($Z24=4,"ESCALATED TO LOCAL OFFICE",IF($Z24=5,"ESCALATED TO CBE",IF($AA24=TODAY(),"EMAIL SENT","MONITORING"))))))))))</f>
        <v/>
      </c>
      <c r="V24" s="17">
        <f>IF($U24="",IF(AND(COUNTA($A24:$L24)&gt;0,$N24=""),"Awaiting Collection Email time stamp.",""),IF(OR($U24="PAID",$U24="CLOSED"),IF($U24="PAID","Account paid. Action completed.","Account closed. No further action required."),CHOOSE($Z24,"Collection Email","1st Email Follow-up","2nd Email Follow-up","Escalation to Local Office","Escalation to CBE","Escalation to Roxanne")&amp;" sent "&amp;TEXT($AA24,"dd-mmm")&amp;". "&amp;IF($Z24=6,"Final escalation completed.",IF($U24="OVERDUE","Next: "&amp;$AC24&amp;" was due "&amp;TEXT($AB24,"dd-mmm")&amp;" - "&amp;(NETWORKDAYS($AB24,TODAY(),Holidays)-1)&amp;" business day(s) late. Send now.",IF($U24="DUE TOMORROW","Next: "&amp;$AC24&amp;IF($AB24&lt;=TODAY()," is due TODAY ("," is due next business day (")&amp;TEXT($AB24,"dd-mmm")&amp;").","Next: "&amp;$AC24&amp;" due "&amp;TEXT($AB24,"dd-mmm")&amp;" ("&amp;(NETWORKDAYS(TODAY(),$AB24,Holidays)-1)&amp;" business day(s) left).")))))</f>
        <v/>
      </c>
      <c r="W24" s="17">
        <f>IF($Z24="","",CHOOSE($Z24,"Collection Email","1st Follow-up","2nd Follow-up","Local Office","CBE","Roxanne")&amp;IF($Z24=6," - Final"," - Day "&amp;MAX(0,NETWORKDAYS($AA24,TODAY(),Holidays)-1)&amp;" of "&amp;CHOOSE($Z24,3,3,2,2,3))&amp;" | Total Day "&amp;MAX(0,NETWORKDAYS($N24,TODAY(),Holidays)-1))</f>
        <v/>
      </c>
      <c r="X24" s="18"/>
      <c r="Y24" s="18"/>
      <c r="Z24" s="17">
        <f>IF($N24="","",COUNT($N24:$S24))</f>
        <v/>
      </c>
      <c r="AA24" s="19">
        <f>IF($Z24="","",INT(INDEX($N24:$S24,$Z24)))</f>
        <v/>
      </c>
      <c r="AB24" s="19">
        <f>IF(OR($Z24="",$Z24=6),"",WORKDAY($AA24,CHOOSE($Z24,3,3,2,2,3),Holidays))</f>
        <v/>
      </c>
      <c r="AC24" s="17">
        <f>IF(OR($Z24="",$Z24=6),"",CHOOSE($Z24,"1st Email Follow-up","2nd Email Follow-up","Escalate Local Office","Escalate to CBE","Escalate to Roxanne"))</f>
        <v/>
      </c>
    </row>
    <row r="25" spans="13:29">
      <c r="M25" s="14"/>
      <c r="T25" s="16"/>
      <c r="U25" s="17">
        <f>IF(AND(COUNTA($A25:$L25)=0,$N25=""),"",IF($T25="Paid","PAID",IF($T25="Closed","CLOSED",IF($Z25="","",IF($Z25=6,"ESCALATED TO ROXANNE",IF(TODAY()&gt;$AB25,"OVERDUE",IF($AB25&lt;=WORKDAY(TODAY(),1,Holidays),"DUE TOMORROW",IF($Z25=4,"ESCALATED TO LOCAL OFFICE",IF($Z25=5,"ESCALATED TO CBE",IF($AA25=TODAY(),"EMAIL SENT","MONITORING"))))))))))</f>
        <v/>
      </c>
      <c r="V25" s="17">
        <f>IF($U25="",IF(AND(COUNTA($A25:$L25)&gt;0,$N25=""),"Awaiting Collection Email time stamp.",""),IF(OR($U25="PAID",$U25="CLOSED"),IF($U25="PAID","Account paid. Action completed.","Account closed. No further action required."),CHOOSE($Z25,"Collection Email","1st Email Follow-up","2nd Email Follow-up","Escalation to Local Office","Escalation to CBE","Escalation to Roxanne")&amp;" sent "&amp;TEXT($AA25,"dd-mmm")&amp;". "&amp;IF($Z25=6,"Final escalation completed.",IF($U25="OVERDUE","Next: "&amp;$AC25&amp;" was due "&amp;TEXT($AB25,"dd-mmm")&amp;" - "&amp;(NETWORKDAYS($AB25,TODAY(),Holidays)-1)&amp;" business day(s) late. Send now.",IF($U25="DUE TOMORROW","Next: "&amp;$AC25&amp;IF($AB25&lt;=TODAY()," is due TODAY ("," is due next business day (")&amp;TEXT($AB25,"dd-mmm")&amp;").","Next: "&amp;$AC25&amp;" due "&amp;TEXT($AB25,"dd-mmm")&amp;" ("&amp;(NETWORKDAYS(TODAY(),$AB25,Holidays)-1)&amp;" business day(s) left).")))))</f>
        <v/>
      </c>
      <c r="W25" s="17">
        <f>IF($Z25="","",CHOOSE($Z25,"Collection Email","1st Follow-up","2nd Follow-up","Local Office","CBE","Roxanne")&amp;IF($Z25=6," - Final"," - Day "&amp;MAX(0,NETWORKDAYS($AA25,TODAY(),Holidays)-1)&amp;" of "&amp;CHOOSE($Z25,3,3,2,2,3))&amp;" | Total Day "&amp;MAX(0,NETWORKDAYS($N25,TODAY(),Holidays)-1))</f>
        <v/>
      </c>
      <c r="X25" s="18"/>
      <c r="Y25" s="18"/>
      <c r="Z25" s="17">
        <f>IF($N25="","",COUNT($N25:$S25))</f>
        <v/>
      </c>
      <c r="AA25" s="19">
        <f>IF($Z25="","",INT(INDEX($N25:$S25,$Z25)))</f>
        <v/>
      </c>
      <c r="AB25" s="19">
        <f>IF(OR($Z25="",$Z25=6),"",WORKDAY($AA25,CHOOSE($Z25,3,3,2,2,3),Holidays))</f>
        <v/>
      </c>
      <c r="AC25" s="17">
        <f>IF(OR($Z25="",$Z25=6),"",CHOOSE($Z25,"1st Email Follow-up","2nd Email Follow-up","Escalate Local Office","Escalate to CBE","Escalate to Roxanne"))</f>
        <v/>
      </c>
    </row>
    <row r="26" spans="13:29">
      <c r="M26" s="14"/>
      <c r="T26" s="16"/>
      <c r="U26" s="17">
        <f>IF(AND(COUNTA($A26:$L26)=0,$N26=""),"",IF($T26="Paid","PAID",IF($T26="Closed","CLOSED",IF($Z26="","",IF($Z26=6,"ESCALATED TO ROXANNE",IF(TODAY()&gt;$AB26,"OVERDUE",IF($AB26&lt;=WORKDAY(TODAY(),1,Holidays),"DUE TOMORROW",IF($Z26=4,"ESCALATED TO LOCAL OFFICE",IF($Z26=5,"ESCALATED TO CBE",IF($AA26=TODAY(),"EMAIL SENT","MONITORING"))))))))))</f>
        <v/>
      </c>
      <c r="V26" s="17">
        <f>IF($U26="",IF(AND(COUNTA($A26:$L26)&gt;0,$N26=""),"Awaiting Collection Email time stamp.",""),IF(OR($U26="PAID",$U26="CLOSED"),IF($U26="PAID","Account paid. Action completed.","Account closed. No further action required."),CHOOSE($Z26,"Collection Email","1st Email Follow-up","2nd Email Follow-up","Escalation to Local Office","Escalation to CBE","Escalation to Roxanne")&amp;" sent "&amp;TEXT($AA26,"dd-mmm")&amp;". "&amp;IF($Z26=6,"Final escalation completed.",IF($U26="OVERDUE","Next: "&amp;$AC26&amp;" was due "&amp;TEXT($AB26,"dd-mmm")&amp;" - "&amp;(NETWORKDAYS($AB26,TODAY(),Holidays)-1)&amp;" business day(s) late. Send now.",IF($U26="DUE TOMORROW","Next: "&amp;$AC26&amp;IF($AB26&lt;=TODAY()," is due TODAY ("," is due next business day (")&amp;TEXT($AB26,"dd-mmm")&amp;").","Next: "&amp;$AC26&amp;" due "&amp;TEXT($AB26,"dd-mmm")&amp;" ("&amp;(NETWORKDAYS(TODAY(),$AB26,Holidays)-1)&amp;" business day(s) left).")))))</f>
        <v/>
      </c>
      <c r="W26" s="17">
        <f>IF($Z26="","",CHOOSE($Z26,"Collection Email","1st Follow-up","2nd Follow-up","Local Office","CBE","Roxanne")&amp;IF($Z26=6," - Final"," - Day "&amp;MAX(0,NETWORKDAYS($AA26,TODAY(),Holidays)-1)&amp;" of "&amp;CHOOSE($Z26,3,3,2,2,3))&amp;" | Total Day "&amp;MAX(0,NETWORKDAYS($N26,TODAY(),Holidays)-1))</f>
        <v/>
      </c>
      <c r="X26" s="18"/>
      <c r="Y26" s="18"/>
      <c r="Z26" s="17">
        <f>IF($N26="","",COUNT($N26:$S26))</f>
        <v/>
      </c>
      <c r="AA26" s="19">
        <f>IF($Z26="","",INT(INDEX($N26:$S26,$Z26)))</f>
        <v/>
      </c>
      <c r="AB26" s="19">
        <f>IF(OR($Z26="",$Z26=6),"",WORKDAY($AA26,CHOOSE($Z26,3,3,2,2,3),Holidays))</f>
        <v/>
      </c>
      <c r="AC26" s="17">
        <f>IF(OR($Z26="",$Z26=6),"",CHOOSE($Z26,"1st Email Follow-up","2nd Email Follow-up","Escalate Local Office","Escalate to CBE","Escalate to Roxanne"))</f>
        <v/>
      </c>
    </row>
    <row r="27" spans="13:29">
      <c r="M27" s="14"/>
      <c r="T27" s="16"/>
      <c r="U27" s="17">
        <f>IF(AND(COUNTA($A27:$L27)=0,$N27=""),"",IF($T27="Paid","PAID",IF($T27="Closed","CLOSED",IF($Z27="","",IF($Z27=6,"ESCALATED TO ROXANNE",IF(TODAY()&gt;$AB27,"OVERDUE",IF($AB27&lt;=WORKDAY(TODAY(),1,Holidays),"DUE TOMORROW",IF($Z27=4,"ESCALATED TO LOCAL OFFICE",IF($Z27=5,"ESCALATED TO CBE",IF($AA27=TODAY(),"EMAIL SENT","MONITORING"))))))))))</f>
        <v/>
      </c>
      <c r="V27" s="17">
        <f>IF($U27="",IF(AND(COUNTA($A27:$L27)&gt;0,$N27=""),"Awaiting Collection Email time stamp.",""),IF(OR($U27="PAID",$U27="CLOSED"),IF($U27="PAID","Account paid. Action completed.","Account closed. No further action required."),CHOOSE($Z27,"Collection Email","1st Email Follow-up","2nd Email Follow-up","Escalation to Local Office","Escalation to CBE","Escalation to Roxanne")&amp;" sent "&amp;TEXT($AA27,"dd-mmm")&amp;". "&amp;IF($Z27=6,"Final escalation completed.",IF($U27="OVERDUE","Next: "&amp;$AC27&amp;" was due "&amp;TEXT($AB27,"dd-mmm")&amp;" - "&amp;(NETWORKDAYS($AB27,TODAY(),Holidays)-1)&amp;" business day(s) late. Send now.",IF($U27="DUE TOMORROW","Next: "&amp;$AC27&amp;IF($AB27&lt;=TODAY()," is due TODAY ("," is due next business day (")&amp;TEXT($AB27,"dd-mmm")&amp;").","Next: "&amp;$AC27&amp;" due "&amp;TEXT($AB27,"dd-mmm")&amp;" ("&amp;(NETWORKDAYS(TODAY(),$AB27,Holidays)-1)&amp;" business day(s) left).")))))</f>
        <v/>
      </c>
      <c r="W27" s="17">
        <f>IF($Z27="","",CHOOSE($Z27,"Collection Email","1st Follow-up","2nd Follow-up","Local Office","CBE","Roxanne")&amp;IF($Z27=6," - Final"," - Day "&amp;MAX(0,NETWORKDAYS($AA27,TODAY(),Holidays)-1)&amp;" of "&amp;CHOOSE($Z27,3,3,2,2,3))&amp;" | Total Day "&amp;MAX(0,NETWORKDAYS($N27,TODAY(),Holidays)-1))</f>
        <v/>
      </c>
      <c r="X27" s="18"/>
      <c r="Y27" s="18"/>
      <c r="Z27" s="17">
        <f>IF($N27="","",COUNT($N27:$S27))</f>
        <v/>
      </c>
      <c r="AA27" s="19">
        <f>IF($Z27="","",INT(INDEX($N27:$S27,$Z27)))</f>
        <v/>
      </c>
      <c r="AB27" s="19">
        <f>IF(OR($Z27="",$Z27=6),"",WORKDAY($AA27,CHOOSE($Z27,3,3,2,2,3),Holidays))</f>
        <v/>
      </c>
      <c r="AC27" s="17">
        <f>IF(OR($Z27="",$Z27=6),"",CHOOSE($Z27,"1st Email Follow-up","2nd Email Follow-up","Escalate Local Office","Escalate to CBE","Escalate to Roxanne"))</f>
        <v/>
      </c>
    </row>
    <row r="28" spans="13:29">
      <c r="M28" s="14"/>
      <c r="T28" s="16"/>
      <c r="U28" s="17">
        <f>IF(AND(COUNTA($A28:$L28)=0,$N28=""),"",IF($T28="Paid","PAID",IF($T28="Closed","CLOSED",IF($Z28="","",IF($Z28=6,"ESCALATED TO ROXANNE",IF(TODAY()&gt;$AB28,"OVERDUE",IF($AB28&lt;=WORKDAY(TODAY(),1,Holidays),"DUE TOMORROW",IF($Z28=4,"ESCALATED TO LOCAL OFFICE",IF($Z28=5,"ESCALATED TO CBE",IF($AA28=TODAY(),"EMAIL SENT","MONITORING"))))))))))</f>
        <v/>
      </c>
      <c r="V28" s="17">
        <f>IF($U28="",IF(AND(COUNTA($A28:$L28)&gt;0,$N28=""),"Awaiting Collection Email time stamp.",""),IF(OR($U28="PAID",$U28="CLOSED"),IF($U28="PAID","Account paid. Action completed.","Account closed. No further action required."),CHOOSE($Z28,"Collection Email","1st Email Follow-up","2nd Email Follow-up","Escalation to Local Office","Escalation to CBE","Escalation to Roxanne")&amp;" sent "&amp;TEXT($AA28,"dd-mmm")&amp;". "&amp;IF($Z28=6,"Final escalation completed.",IF($U28="OVERDUE","Next: "&amp;$AC28&amp;" was due "&amp;TEXT($AB28,"dd-mmm")&amp;" - "&amp;(NETWORKDAYS($AB28,TODAY(),Holidays)-1)&amp;" business day(s) late. Send now.",IF($U28="DUE TOMORROW","Next: "&amp;$AC28&amp;IF($AB28&lt;=TODAY()," is due TODAY ("," is due next business day (")&amp;TEXT($AB28,"dd-mmm")&amp;").","Next: "&amp;$AC28&amp;" due "&amp;TEXT($AB28,"dd-mmm")&amp;" ("&amp;(NETWORKDAYS(TODAY(),$AB28,Holidays)-1)&amp;" business day(s) left).")))))</f>
        <v/>
      </c>
      <c r="W28" s="17">
        <f>IF($Z28="","",CHOOSE($Z28,"Collection Email","1st Follow-up","2nd Follow-up","Local Office","CBE","Roxanne")&amp;IF($Z28=6," - Final"," - Day "&amp;MAX(0,NETWORKDAYS($AA28,TODAY(),Holidays)-1)&amp;" of "&amp;CHOOSE($Z28,3,3,2,2,3))&amp;" | Total Day "&amp;MAX(0,NETWORKDAYS($N28,TODAY(),Holidays)-1))</f>
        <v/>
      </c>
      <c r="X28" s="18"/>
      <c r="Y28" s="18"/>
      <c r="Z28" s="17">
        <f>IF($N28="","",COUNT($N28:$S28))</f>
        <v/>
      </c>
      <c r="AA28" s="19">
        <f>IF($Z28="","",INT(INDEX($N28:$S28,$Z28)))</f>
        <v/>
      </c>
      <c r="AB28" s="19">
        <f>IF(OR($Z28="",$Z28=6),"",WORKDAY($AA28,CHOOSE($Z28,3,3,2,2,3),Holidays))</f>
        <v/>
      </c>
      <c r="AC28" s="17">
        <f>IF(OR($Z28="",$Z28=6),"",CHOOSE($Z28,"1st Email Follow-up","2nd Email Follow-up","Escalate Local Office","Escalate to CBE","Escalate to Roxanne"))</f>
        <v/>
      </c>
    </row>
    <row r="29" spans="13:29">
      <c r="M29" s="14"/>
      <c r="T29" s="16"/>
      <c r="U29" s="17">
        <f>IF(AND(COUNTA($A29:$L29)=0,$N29=""),"",IF($T29="Paid","PAID",IF($T29="Closed","CLOSED",IF($Z29="","",IF($Z29=6,"ESCALATED TO ROXANNE",IF(TODAY()&gt;$AB29,"OVERDUE",IF($AB29&lt;=WORKDAY(TODAY(),1,Holidays),"DUE TOMORROW",IF($Z29=4,"ESCALATED TO LOCAL OFFICE",IF($Z29=5,"ESCALATED TO CBE",IF($AA29=TODAY(),"EMAIL SENT","MONITORING"))))))))))</f>
        <v/>
      </c>
      <c r="V29" s="17">
        <f>IF($U29="",IF(AND(COUNTA($A29:$L29)&gt;0,$N29=""),"Awaiting Collection Email time stamp.",""),IF(OR($U29="PAID",$U29="CLOSED"),IF($U29="PAID","Account paid. Action completed.","Account closed. No further action required."),CHOOSE($Z29,"Collection Email","1st Email Follow-up","2nd Email Follow-up","Escalation to Local Office","Escalation to CBE","Escalation to Roxanne")&amp;" sent "&amp;TEXT($AA29,"dd-mmm")&amp;". "&amp;IF($Z29=6,"Final escalation completed.",IF($U29="OVERDUE","Next: "&amp;$AC29&amp;" was due "&amp;TEXT($AB29,"dd-mmm")&amp;" - "&amp;(NETWORKDAYS($AB29,TODAY(),Holidays)-1)&amp;" business day(s) late. Send now.",IF($U29="DUE TOMORROW","Next: "&amp;$AC29&amp;IF($AB29&lt;=TODAY()," is due TODAY ("," is due next business day (")&amp;TEXT($AB29,"dd-mmm")&amp;").","Next: "&amp;$AC29&amp;" due "&amp;TEXT($AB29,"dd-mmm")&amp;" ("&amp;(NETWORKDAYS(TODAY(),$AB29,Holidays)-1)&amp;" business day(s) left).")))))</f>
        <v/>
      </c>
      <c r="W29" s="17">
        <f>IF($Z29="","",CHOOSE($Z29,"Collection Email","1st Follow-up","2nd Follow-up","Local Office","CBE","Roxanne")&amp;IF($Z29=6," - Final"," - Day "&amp;MAX(0,NETWORKDAYS($AA29,TODAY(),Holidays)-1)&amp;" of "&amp;CHOOSE($Z29,3,3,2,2,3))&amp;" | Total Day "&amp;MAX(0,NETWORKDAYS($N29,TODAY(),Holidays)-1))</f>
        <v/>
      </c>
      <c r="X29" s="18"/>
      <c r="Y29" s="18"/>
      <c r="Z29" s="17">
        <f>IF($N29="","",COUNT($N29:$S29))</f>
        <v/>
      </c>
      <c r="AA29" s="19">
        <f>IF($Z29="","",INT(INDEX($N29:$S29,$Z29)))</f>
        <v/>
      </c>
      <c r="AB29" s="19">
        <f>IF(OR($Z29="",$Z29=6),"",WORKDAY($AA29,CHOOSE($Z29,3,3,2,2,3),Holidays))</f>
        <v/>
      </c>
      <c r="AC29" s="17">
        <f>IF(OR($Z29="",$Z29=6),"",CHOOSE($Z29,"1st Email Follow-up","2nd Email Follow-up","Escalate Local Office","Escalate to CBE","Escalate to Roxanne"))</f>
        <v/>
      </c>
    </row>
    <row r="30" spans="13:29">
      <c r="M30" s="14"/>
      <c r="T30" s="16"/>
      <c r="U30" s="17">
        <f>IF(AND(COUNTA($A30:$L30)=0,$N30=""),"",IF($T30="Paid","PAID",IF($T30="Closed","CLOSED",IF($Z30="","",IF($Z30=6,"ESCALATED TO ROXANNE",IF(TODAY()&gt;$AB30,"OVERDUE",IF($AB30&lt;=WORKDAY(TODAY(),1,Holidays),"DUE TOMORROW",IF($Z30=4,"ESCALATED TO LOCAL OFFICE",IF($Z30=5,"ESCALATED TO CBE",IF($AA30=TODAY(),"EMAIL SENT","MONITORING"))))))))))</f>
        <v/>
      </c>
      <c r="V30" s="17">
        <f>IF($U30="",IF(AND(COUNTA($A30:$L30)&gt;0,$N30=""),"Awaiting Collection Email time stamp.",""),IF(OR($U30="PAID",$U30="CLOSED"),IF($U30="PAID","Account paid. Action completed.","Account closed. No further action required."),CHOOSE($Z30,"Collection Email","1st Email Follow-up","2nd Email Follow-up","Escalation to Local Office","Escalation to CBE","Escalation to Roxanne")&amp;" sent "&amp;TEXT($AA30,"dd-mmm")&amp;". "&amp;IF($Z30=6,"Final escalation completed.",IF($U30="OVERDUE","Next: "&amp;$AC30&amp;" was due "&amp;TEXT($AB30,"dd-mmm")&amp;" - "&amp;(NETWORKDAYS($AB30,TODAY(),Holidays)-1)&amp;" business day(s) late. Send now.",IF($U30="DUE TOMORROW","Next: "&amp;$AC30&amp;IF($AB30&lt;=TODAY()," is due TODAY ("," is due next business day (")&amp;TEXT($AB30,"dd-mmm")&amp;").","Next: "&amp;$AC30&amp;" due "&amp;TEXT($AB30,"dd-mmm")&amp;" ("&amp;(NETWORKDAYS(TODAY(),$AB30,Holidays)-1)&amp;" business day(s) left).")))))</f>
        <v/>
      </c>
      <c r="W30" s="17">
        <f>IF($Z30="","",CHOOSE($Z30,"Collection Email","1st Follow-up","2nd Follow-up","Local Office","CBE","Roxanne")&amp;IF($Z30=6," - Final"," - Day "&amp;MAX(0,NETWORKDAYS($AA30,TODAY(),Holidays)-1)&amp;" of "&amp;CHOOSE($Z30,3,3,2,2,3))&amp;" | Total Day "&amp;MAX(0,NETWORKDAYS($N30,TODAY(),Holidays)-1))</f>
        <v/>
      </c>
      <c r="X30" s="18"/>
      <c r="Y30" s="18"/>
      <c r="Z30" s="17">
        <f>IF($N30="","",COUNT($N30:$S30))</f>
        <v/>
      </c>
      <c r="AA30" s="19">
        <f>IF($Z30="","",INT(INDEX($N30:$S30,$Z30)))</f>
        <v/>
      </c>
      <c r="AB30" s="19">
        <f>IF(OR($Z30="",$Z30=6),"",WORKDAY($AA30,CHOOSE($Z30,3,3,2,2,3),Holidays))</f>
        <v/>
      </c>
      <c r="AC30" s="17">
        <f>IF(OR($Z30="",$Z30=6),"",CHOOSE($Z30,"1st Email Follow-up","2nd Email Follow-up","Escalate Local Office","Escalate to CBE","Escalate to Roxanne"))</f>
        <v/>
      </c>
    </row>
    <row r="31" spans="13:29">
      <c r="M31" s="14"/>
      <c r="T31" s="16"/>
      <c r="U31" s="17">
        <f>IF(AND(COUNTA($A31:$L31)=0,$N31=""),"",IF($T31="Paid","PAID",IF($T31="Closed","CLOSED",IF($Z31="","",IF($Z31=6,"ESCALATED TO ROXANNE",IF(TODAY()&gt;$AB31,"OVERDUE",IF($AB31&lt;=WORKDAY(TODAY(),1,Holidays),"DUE TOMORROW",IF($Z31=4,"ESCALATED TO LOCAL OFFICE",IF($Z31=5,"ESCALATED TO CBE",IF($AA31=TODAY(),"EMAIL SENT","MONITORING"))))))))))</f>
        <v/>
      </c>
      <c r="V31" s="17">
        <f>IF($U31="",IF(AND(COUNTA($A31:$L31)&gt;0,$N31=""),"Awaiting Collection Email time stamp.",""),IF(OR($U31="PAID",$U31="CLOSED"),IF($U31="PAID","Account paid. Action completed.","Account closed. No further action required."),CHOOSE($Z31,"Collection Email","1st Email Follow-up","2nd Email Follow-up","Escalation to Local Office","Escalation to CBE","Escalation to Roxanne")&amp;" sent "&amp;TEXT($AA31,"dd-mmm")&amp;". "&amp;IF($Z31=6,"Final escalation completed.",IF($U31="OVERDUE","Next: "&amp;$AC31&amp;" was due "&amp;TEXT($AB31,"dd-mmm")&amp;" - "&amp;(NETWORKDAYS($AB31,TODAY(),Holidays)-1)&amp;" business day(s) late. Send now.",IF($U31="DUE TOMORROW","Next: "&amp;$AC31&amp;IF($AB31&lt;=TODAY()," is due TODAY ("," is due next business day (")&amp;TEXT($AB31,"dd-mmm")&amp;").","Next: "&amp;$AC31&amp;" due "&amp;TEXT($AB31,"dd-mmm")&amp;" ("&amp;(NETWORKDAYS(TODAY(),$AB31,Holidays)-1)&amp;" business day(s) left).")))))</f>
        <v/>
      </c>
      <c r="W31" s="17">
        <f>IF($Z31="","",CHOOSE($Z31,"Collection Email","1st Follow-up","2nd Follow-up","Local Office","CBE","Roxanne")&amp;IF($Z31=6," - Final"," - Day "&amp;MAX(0,NETWORKDAYS($AA31,TODAY(),Holidays)-1)&amp;" of "&amp;CHOOSE($Z31,3,3,2,2,3))&amp;" | Total Day "&amp;MAX(0,NETWORKDAYS($N31,TODAY(),Holidays)-1))</f>
        <v/>
      </c>
      <c r="X31" s="18"/>
      <c r="Y31" s="18"/>
      <c r="Z31" s="17">
        <f>IF($N31="","",COUNT($N31:$S31))</f>
        <v/>
      </c>
      <c r="AA31" s="19">
        <f>IF($Z31="","",INT(INDEX($N31:$S31,$Z31)))</f>
        <v/>
      </c>
      <c r="AB31" s="19">
        <f>IF(OR($Z31="",$Z31=6),"",WORKDAY($AA31,CHOOSE($Z31,3,3,2,2,3),Holidays))</f>
        <v/>
      </c>
      <c r="AC31" s="17">
        <f>IF(OR($Z31="",$Z31=6),"",CHOOSE($Z31,"1st Email Follow-up","2nd Email Follow-up","Escalate Local Office","Escalate to CBE","Escalate to Roxanne"))</f>
        <v/>
      </c>
    </row>
    <row r="32" spans="13:29">
      <c r="M32" s="14"/>
      <c r="T32" s="16"/>
      <c r="U32" s="17">
        <f>IF(AND(COUNTA($A32:$L32)=0,$N32=""),"",IF($T32="Paid","PAID",IF($T32="Closed","CLOSED",IF($Z32="","",IF($Z32=6,"ESCALATED TO ROXANNE",IF(TODAY()&gt;$AB32,"OVERDUE",IF($AB32&lt;=WORKDAY(TODAY(),1,Holidays),"DUE TOMORROW",IF($Z32=4,"ESCALATED TO LOCAL OFFICE",IF($Z32=5,"ESCALATED TO CBE",IF($AA32=TODAY(),"EMAIL SENT","MONITORING"))))))))))</f>
        <v/>
      </c>
      <c r="V32" s="17">
        <f>IF($U32="",IF(AND(COUNTA($A32:$L32)&gt;0,$N32=""),"Awaiting Collection Email time stamp.",""),IF(OR($U32="PAID",$U32="CLOSED"),IF($U32="PAID","Account paid. Action completed.","Account closed. No further action required."),CHOOSE($Z32,"Collection Email","1st Email Follow-up","2nd Email Follow-up","Escalation to Local Office","Escalation to CBE","Escalation to Roxanne")&amp;" sent "&amp;TEXT($AA32,"dd-mmm")&amp;". "&amp;IF($Z32=6,"Final escalation completed.",IF($U32="OVERDUE","Next: "&amp;$AC32&amp;" was due "&amp;TEXT($AB32,"dd-mmm")&amp;" - "&amp;(NETWORKDAYS($AB32,TODAY(),Holidays)-1)&amp;" business day(s) late. Send now.",IF($U32="DUE TOMORROW","Next: "&amp;$AC32&amp;IF($AB32&lt;=TODAY()," is due TODAY ("," is due next business day (")&amp;TEXT($AB32,"dd-mmm")&amp;").","Next: "&amp;$AC32&amp;" due "&amp;TEXT($AB32,"dd-mmm")&amp;" ("&amp;(NETWORKDAYS(TODAY(),$AB32,Holidays)-1)&amp;" business day(s) left).")))))</f>
        <v/>
      </c>
      <c r="W32" s="17">
        <f>IF($Z32="","",CHOOSE($Z32,"Collection Email","1st Follow-up","2nd Follow-up","Local Office","CBE","Roxanne")&amp;IF($Z32=6," - Final"," - Day "&amp;MAX(0,NETWORKDAYS($AA32,TODAY(),Holidays)-1)&amp;" of "&amp;CHOOSE($Z32,3,3,2,2,3))&amp;" | Total Day "&amp;MAX(0,NETWORKDAYS($N32,TODAY(),Holidays)-1))</f>
        <v/>
      </c>
      <c r="X32" s="18"/>
      <c r="Y32" s="18"/>
      <c r="Z32" s="17">
        <f>IF($N32="","",COUNT($N32:$S32))</f>
        <v/>
      </c>
      <c r="AA32" s="19">
        <f>IF($Z32="","",INT(INDEX($N32:$S32,$Z32)))</f>
        <v/>
      </c>
      <c r="AB32" s="19">
        <f>IF(OR($Z32="",$Z32=6),"",WORKDAY($AA32,CHOOSE($Z32,3,3,2,2,3),Holidays))</f>
        <v/>
      </c>
      <c r="AC32" s="17">
        <f>IF(OR($Z32="",$Z32=6),"",CHOOSE($Z32,"1st Email Follow-up","2nd Email Follow-up","Escalate Local Office","Escalate to CBE","Escalate to Roxanne"))</f>
        <v/>
      </c>
    </row>
    <row r="33" spans="13:29">
      <c r="M33" s="14"/>
      <c r="T33" s="16"/>
      <c r="U33" s="17">
        <f>IF(AND(COUNTA($A33:$L33)=0,$N33=""),"",IF($T33="Paid","PAID",IF($T33="Closed","CLOSED",IF($Z33="","",IF($Z33=6,"ESCALATED TO ROXANNE",IF(TODAY()&gt;$AB33,"OVERDUE",IF($AB33&lt;=WORKDAY(TODAY(),1,Holidays),"DUE TOMORROW",IF($Z33=4,"ESCALATED TO LOCAL OFFICE",IF($Z33=5,"ESCALATED TO CBE",IF($AA33=TODAY(),"EMAIL SENT","MONITORING"))))))))))</f>
        <v/>
      </c>
      <c r="V33" s="17">
        <f>IF($U33="",IF(AND(COUNTA($A33:$L33)&gt;0,$N33=""),"Awaiting Collection Email time stamp.",""),IF(OR($U33="PAID",$U33="CLOSED"),IF($U33="PAID","Account paid. Action completed.","Account closed. No further action required."),CHOOSE($Z33,"Collection Email","1st Email Follow-up","2nd Email Follow-up","Escalation to Local Office","Escalation to CBE","Escalation to Roxanne")&amp;" sent "&amp;TEXT($AA33,"dd-mmm")&amp;". "&amp;IF($Z33=6,"Final escalation completed.",IF($U33="OVERDUE","Next: "&amp;$AC33&amp;" was due "&amp;TEXT($AB33,"dd-mmm")&amp;" - "&amp;(NETWORKDAYS($AB33,TODAY(),Holidays)-1)&amp;" business day(s) late. Send now.",IF($U33="DUE TOMORROW","Next: "&amp;$AC33&amp;IF($AB33&lt;=TODAY()," is due TODAY ("," is due next business day (")&amp;TEXT($AB33,"dd-mmm")&amp;").","Next: "&amp;$AC33&amp;" due "&amp;TEXT($AB33,"dd-mmm")&amp;" ("&amp;(NETWORKDAYS(TODAY(),$AB33,Holidays)-1)&amp;" business day(s) left).")))))</f>
        <v/>
      </c>
      <c r="W33" s="17">
        <f>IF($Z33="","",CHOOSE($Z33,"Collection Email","1st Follow-up","2nd Follow-up","Local Office","CBE","Roxanne")&amp;IF($Z33=6," - Final"," - Day "&amp;MAX(0,NETWORKDAYS($AA33,TODAY(),Holidays)-1)&amp;" of "&amp;CHOOSE($Z33,3,3,2,2,3))&amp;" | Total Day "&amp;MAX(0,NETWORKDAYS($N33,TODAY(),Holidays)-1))</f>
        <v/>
      </c>
      <c r="X33" s="18"/>
      <c r="Y33" s="18"/>
      <c r="Z33" s="17">
        <f>IF($N33="","",COUNT($N33:$S33))</f>
        <v/>
      </c>
      <c r="AA33" s="19">
        <f>IF($Z33="","",INT(INDEX($N33:$S33,$Z33)))</f>
        <v/>
      </c>
      <c r="AB33" s="19">
        <f>IF(OR($Z33="",$Z33=6),"",WORKDAY($AA33,CHOOSE($Z33,3,3,2,2,3),Holidays))</f>
        <v/>
      </c>
      <c r="AC33" s="17">
        <f>IF(OR($Z33="",$Z33=6),"",CHOOSE($Z33,"1st Email Follow-up","2nd Email Follow-up","Escalate Local Office","Escalate to CBE","Escalate to Roxanne"))</f>
        <v/>
      </c>
    </row>
    <row r="34" spans="13:29">
      <c r="M34" s="14"/>
      <c r="T34" s="16"/>
      <c r="U34" s="17">
        <f>IF(AND(COUNTA($A34:$L34)=0,$N34=""),"",IF($T34="Paid","PAID",IF($T34="Closed","CLOSED",IF($Z34="","",IF($Z34=6,"ESCALATED TO ROXANNE",IF(TODAY()&gt;$AB34,"OVERDUE",IF($AB34&lt;=WORKDAY(TODAY(),1,Holidays),"DUE TOMORROW",IF($Z34=4,"ESCALATED TO LOCAL OFFICE",IF($Z34=5,"ESCALATED TO CBE",IF($AA34=TODAY(),"EMAIL SENT","MONITORING"))))))))))</f>
        <v/>
      </c>
      <c r="V34" s="17">
        <f>IF($U34="",IF(AND(COUNTA($A34:$L34)&gt;0,$N34=""),"Awaiting Collection Email time stamp.",""),IF(OR($U34="PAID",$U34="CLOSED"),IF($U34="PAID","Account paid. Action completed.","Account closed. No further action required."),CHOOSE($Z34,"Collection Email","1st Email Follow-up","2nd Email Follow-up","Escalation to Local Office","Escalation to CBE","Escalation to Roxanne")&amp;" sent "&amp;TEXT($AA34,"dd-mmm")&amp;". "&amp;IF($Z34=6,"Final escalation completed.",IF($U34="OVERDUE","Next: "&amp;$AC34&amp;" was due "&amp;TEXT($AB34,"dd-mmm")&amp;" - "&amp;(NETWORKDAYS($AB34,TODAY(),Holidays)-1)&amp;" business day(s) late. Send now.",IF($U34="DUE TOMORROW","Next: "&amp;$AC34&amp;IF($AB34&lt;=TODAY()," is due TODAY ("," is due next business day (")&amp;TEXT($AB34,"dd-mmm")&amp;").","Next: "&amp;$AC34&amp;" due "&amp;TEXT($AB34,"dd-mmm")&amp;" ("&amp;(NETWORKDAYS(TODAY(),$AB34,Holidays)-1)&amp;" business day(s) left).")))))</f>
        <v/>
      </c>
      <c r="W34" s="17">
        <f>IF($Z34="","",CHOOSE($Z34,"Collection Email","1st Follow-up","2nd Follow-up","Local Office","CBE","Roxanne")&amp;IF($Z34=6," - Final"," - Day "&amp;MAX(0,NETWORKDAYS($AA34,TODAY(),Holidays)-1)&amp;" of "&amp;CHOOSE($Z34,3,3,2,2,3))&amp;" | Total Day "&amp;MAX(0,NETWORKDAYS($N34,TODAY(),Holidays)-1))</f>
        <v/>
      </c>
      <c r="X34" s="18"/>
      <c r="Y34" s="18"/>
      <c r="Z34" s="17">
        <f>IF($N34="","",COUNT($N34:$S34))</f>
        <v/>
      </c>
      <c r="AA34" s="19">
        <f>IF($Z34="","",INT(INDEX($N34:$S34,$Z34)))</f>
        <v/>
      </c>
      <c r="AB34" s="19">
        <f>IF(OR($Z34="",$Z34=6),"",WORKDAY($AA34,CHOOSE($Z34,3,3,2,2,3),Holidays))</f>
        <v/>
      </c>
      <c r="AC34" s="17">
        <f>IF(OR($Z34="",$Z34=6),"",CHOOSE($Z34,"1st Email Follow-up","2nd Email Follow-up","Escalate Local Office","Escalate to CBE","Escalate to Roxanne"))</f>
        <v/>
      </c>
    </row>
    <row r="35" spans="13:29">
      <c r="M35" s="14"/>
      <c r="T35" s="16"/>
      <c r="U35" s="17">
        <f>IF(AND(COUNTA($A35:$L35)=0,$N35=""),"",IF($T35="Paid","PAID",IF($T35="Closed","CLOSED",IF($Z35="","",IF($Z35=6,"ESCALATED TO ROXANNE",IF(TODAY()&gt;$AB35,"OVERDUE",IF($AB35&lt;=WORKDAY(TODAY(),1,Holidays),"DUE TOMORROW",IF($Z35=4,"ESCALATED TO LOCAL OFFICE",IF($Z35=5,"ESCALATED TO CBE",IF($AA35=TODAY(),"EMAIL SENT","MONITORING"))))))))))</f>
        <v/>
      </c>
      <c r="V35" s="17">
        <f>IF($U35="",IF(AND(COUNTA($A35:$L35)&gt;0,$N35=""),"Awaiting Collection Email time stamp.",""),IF(OR($U35="PAID",$U35="CLOSED"),IF($U35="PAID","Account paid. Action completed.","Account closed. No further action required."),CHOOSE($Z35,"Collection Email","1st Email Follow-up","2nd Email Follow-up","Escalation to Local Office","Escalation to CBE","Escalation to Roxanne")&amp;" sent "&amp;TEXT($AA35,"dd-mmm")&amp;". "&amp;IF($Z35=6,"Final escalation completed.",IF($U35="OVERDUE","Next: "&amp;$AC35&amp;" was due "&amp;TEXT($AB35,"dd-mmm")&amp;" - "&amp;(NETWORKDAYS($AB35,TODAY(),Holidays)-1)&amp;" business day(s) late. Send now.",IF($U35="DUE TOMORROW","Next: "&amp;$AC35&amp;IF($AB35&lt;=TODAY()," is due TODAY ("," is due next business day (")&amp;TEXT($AB35,"dd-mmm")&amp;").","Next: "&amp;$AC35&amp;" due "&amp;TEXT($AB35,"dd-mmm")&amp;" ("&amp;(NETWORKDAYS(TODAY(),$AB35,Holidays)-1)&amp;" business day(s) left).")))))</f>
        <v/>
      </c>
      <c r="W35" s="17">
        <f>IF($Z35="","",CHOOSE($Z35,"Collection Email","1st Follow-up","2nd Follow-up","Local Office","CBE","Roxanne")&amp;IF($Z35=6," - Final"," - Day "&amp;MAX(0,NETWORKDAYS($AA35,TODAY(),Holidays)-1)&amp;" of "&amp;CHOOSE($Z35,3,3,2,2,3))&amp;" | Total Day "&amp;MAX(0,NETWORKDAYS($N35,TODAY(),Holidays)-1))</f>
        <v/>
      </c>
      <c r="X35" s="18"/>
      <c r="Y35" s="18"/>
      <c r="Z35" s="17">
        <f>IF($N35="","",COUNT($N35:$S35))</f>
        <v/>
      </c>
      <c r="AA35" s="19">
        <f>IF($Z35="","",INT(INDEX($N35:$S35,$Z35)))</f>
        <v/>
      </c>
      <c r="AB35" s="19">
        <f>IF(OR($Z35="",$Z35=6),"",WORKDAY($AA35,CHOOSE($Z35,3,3,2,2,3),Holidays))</f>
        <v/>
      </c>
      <c r="AC35" s="17">
        <f>IF(OR($Z35="",$Z35=6),"",CHOOSE($Z35,"1st Email Follow-up","2nd Email Follow-up","Escalate Local Office","Escalate to CBE","Escalate to Roxanne"))</f>
        <v/>
      </c>
    </row>
    <row r="36" spans="13:29">
      <c r="M36" s="14"/>
      <c r="T36" s="16"/>
      <c r="U36" s="17">
        <f>IF(AND(COUNTA($A36:$L36)=0,$N36=""),"",IF($T36="Paid","PAID",IF($T36="Closed","CLOSED",IF($Z36="","",IF($Z36=6,"ESCALATED TO ROXANNE",IF(TODAY()&gt;$AB36,"OVERDUE",IF($AB36&lt;=WORKDAY(TODAY(),1,Holidays),"DUE TOMORROW",IF($Z36=4,"ESCALATED TO LOCAL OFFICE",IF($Z36=5,"ESCALATED TO CBE",IF($AA36=TODAY(),"EMAIL SENT","MONITORING"))))))))))</f>
        <v/>
      </c>
      <c r="V36" s="17">
        <f>IF($U36="",IF(AND(COUNTA($A36:$L36)&gt;0,$N36=""),"Awaiting Collection Email time stamp.",""),IF(OR($U36="PAID",$U36="CLOSED"),IF($U36="PAID","Account paid. Action completed.","Account closed. No further action required."),CHOOSE($Z36,"Collection Email","1st Email Follow-up","2nd Email Follow-up","Escalation to Local Office","Escalation to CBE","Escalation to Roxanne")&amp;" sent "&amp;TEXT($AA36,"dd-mmm")&amp;". "&amp;IF($Z36=6,"Final escalation completed.",IF($U36="OVERDUE","Next: "&amp;$AC36&amp;" was due "&amp;TEXT($AB36,"dd-mmm")&amp;" - "&amp;(NETWORKDAYS($AB36,TODAY(),Holidays)-1)&amp;" business day(s) late. Send now.",IF($U36="DUE TOMORROW","Next: "&amp;$AC36&amp;IF($AB36&lt;=TODAY()," is due TODAY ("," is due next business day (")&amp;TEXT($AB36,"dd-mmm")&amp;").","Next: "&amp;$AC36&amp;" due "&amp;TEXT($AB36,"dd-mmm")&amp;" ("&amp;(NETWORKDAYS(TODAY(),$AB36,Holidays)-1)&amp;" business day(s) left).")))))</f>
        <v/>
      </c>
      <c r="W36" s="17">
        <f>IF($Z36="","",CHOOSE($Z36,"Collection Email","1st Follow-up","2nd Follow-up","Local Office","CBE","Roxanne")&amp;IF($Z36=6," - Final"," - Day "&amp;MAX(0,NETWORKDAYS($AA36,TODAY(),Holidays)-1)&amp;" of "&amp;CHOOSE($Z36,3,3,2,2,3))&amp;" | Total Day "&amp;MAX(0,NETWORKDAYS($N36,TODAY(),Holidays)-1))</f>
        <v/>
      </c>
      <c r="X36" s="18"/>
      <c r="Y36" s="18"/>
      <c r="Z36" s="17">
        <f>IF($N36="","",COUNT($N36:$S36))</f>
        <v/>
      </c>
      <c r="AA36" s="19">
        <f>IF($Z36="","",INT(INDEX($N36:$S36,$Z36)))</f>
        <v/>
      </c>
      <c r="AB36" s="19">
        <f>IF(OR($Z36="",$Z36=6),"",WORKDAY($AA36,CHOOSE($Z36,3,3,2,2,3),Holidays))</f>
        <v/>
      </c>
      <c r="AC36" s="17">
        <f>IF(OR($Z36="",$Z36=6),"",CHOOSE($Z36,"1st Email Follow-up","2nd Email Follow-up","Escalate Local Office","Escalate to CBE","Escalate to Roxanne"))</f>
        <v/>
      </c>
    </row>
    <row r="37" spans="13:29">
      <c r="M37" s="14"/>
      <c r="T37" s="16"/>
      <c r="U37" s="17">
        <f>IF(AND(COUNTA($A37:$L37)=0,$N37=""),"",IF($T37="Paid","PAID",IF($T37="Closed","CLOSED",IF($Z37="","",IF($Z37=6,"ESCALATED TO ROXANNE",IF(TODAY()&gt;$AB37,"OVERDUE",IF($AB37&lt;=WORKDAY(TODAY(),1,Holidays),"DUE TOMORROW",IF($Z37=4,"ESCALATED TO LOCAL OFFICE",IF($Z37=5,"ESCALATED TO CBE",IF($AA37=TODAY(),"EMAIL SENT","MONITORING"))))))))))</f>
        <v/>
      </c>
      <c r="V37" s="17">
        <f>IF($U37="",IF(AND(COUNTA($A37:$L37)&gt;0,$N37=""),"Awaiting Collection Email time stamp.",""),IF(OR($U37="PAID",$U37="CLOSED"),IF($U37="PAID","Account paid. Action completed.","Account closed. No further action required."),CHOOSE($Z37,"Collection Email","1st Email Follow-up","2nd Email Follow-up","Escalation to Local Office","Escalation to CBE","Escalation to Roxanne")&amp;" sent "&amp;TEXT($AA37,"dd-mmm")&amp;". "&amp;IF($Z37=6,"Final escalation completed.",IF($U37="OVERDUE","Next: "&amp;$AC37&amp;" was due "&amp;TEXT($AB37,"dd-mmm")&amp;" - "&amp;(NETWORKDAYS($AB37,TODAY(),Holidays)-1)&amp;" business day(s) late. Send now.",IF($U37="DUE TOMORROW","Next: "&amp;$AC37&amp;IF($AB37&lt;=TODAY()," is due TODAY ("," is due next business day (")&amp;TEXT($AB37,"dd-mmm")&amp;").","Next: "&amp;$AC37&amp;" due "&amp;TEXT($AB37,"dd-mmm")&amp;" ("&amp;(NETWORKDAYS(TODAY(),$AB37,Holidays)-1)&amp;" business day(s) left).")))))</f>
        <v/>
      </c>
      <c r="W37" s="17">
        <f>IF($Z37="","",CHOOSE($Z37,"Collection Email","1st Follow-up","2nd Follow-up","Local Office","CBE","Roxanne")&amp;IF($Z37=6," - Final"," - Day "&amp;MAX(0,NETWORKDAYS($AA37,TODAY(),Holidays)-1)&amp;" of "&amp;CHOOSE($Z37,3,3,2,2,3))&amp;" | Total Day "&amp;MAX(0,NETWORKDAYS($N37,TODAY(),Holidays)-1))</f>
        <v/>
      </c>
      <c r="X37" s="18"/>
      <c r="Y37" s="18"/>
      <c r="Z37" s="17">
        <f>IF($N37="","",COUNT($N37:$S37))</f>
        <v/>
      </c>
      <c r="AA37" s="19">
        <f>IF($Z37="","",INT(INDEX($N37:$S37,$Z37)))</f>
        <v/>
      </c>
      <c r="AB37" s="19">
        <f>IF(OR($Z37="",$Z37=6),"",WORKDAY($AA37,CHOOSE($Z37,3,3,2,2,3),Holidays))</f>
        <v/>
      </c>
      <c r="AC37" s="17">
        <f>IF(OR($Z37="",$Z37=6),"",CHOOSE($Z37,"1st Email Follow-up","2nd Email Follow-up","Escalate Local Office","Escalate to CBE","Escalate to Roxanne"))</f>
        <v/>
      </c>
    </row>
    <row r="38" spans="13:29">
      <c r="M38" s="14"/>
      <c r="T38" s="16"/>
      <c r="U38" s="17">
        <f>IF(AND(COUNTA($A38:$L38)=0,$N38=""),"",IF($T38="Paid","PAID",IF($T38="Closed","CLOSED",IF($Z38="","",IF($Z38=6,"ESCALATED TO ROXANNE",IF(TODAY()&gt;$AB38,"OVERDUE",IF($AB38&lt;=WORKDAY(TODAY(),1,Holidays),"DUE TOMORROW",IF($Z38=4,"ESCALATED TO LOCAL OFFICE",IF($Z38=5,"ESCALATED TO CBE",IF($AA38=TODAY(),"EMAIL SENT","MONITORING"))))))))))</f>
        <v/>
      </c>
      <c r="V38" s="17">
        <f>IF($U38="",IF(AND(COUNTA($A38:$L38)&gt;0,$N38=""),"Awaiting Collection Email time stamp.",""),IF(OR($U38="PAID",$U38="CLOSED"),IF($U38="PAID","Account paid. Action completed.","Account closed. No further action required."),CHOOSE($Z38,"Collection Email","1st Email Follow-up","2nd Email Follow-up","Escalation to Local Office","Escalation to CBE","Escalation to Roxanne")&amp;" sent "&amp;TEXT($AA38,"dd-mmm")&amp;". "&amp;IF($Z38=6,"Final escalation completed.",IF($U38="OVERDUE","Next: "&amp;$AC38&amp;" was due "&amp;TEXT($AB38,"dd-mmm")&amp;" - "&amp;(NETWORKDAYS($AB38,TODAY(),Holidays)-1)&amp;" business day(s) late. Send now.",IF($U38="DUE TOMORROW","Next: "&amp;$AC38&amp;IF($AB38&lt;=TODAY()," is due TODAY ("," is due next business day (")&amp;TEXT($AB38,"dd-mmm")&amp;").","Next: "&amp;$AC38&amp;" due "&amp;TEXT($AB38,"dd-mmm")&amp;" ("&amp;(NETWORKDAYS(TODAY(),$AB38,Holidays)-1)&amp;" business day(s) left).")))))</f>
        <v/>
      </c>
      <c r="W38" s="17">
        <f>IF($Z38="","",CHOOSE($Z38,"Collection Email","1st Follow-up","2nd Follow-up","Local Office","CBE","Roxanne")&amp;IF($Z38=6," - Final"," - Day "&amp;MAX(0,NETWORKDAYS($AA38,TODAY(),Holidays)-1)&amp;" of "&amp;CHOOSE($Z38,3,3,2,2,3))&amp;" | Total Day "&amp;MAX(0,NETWORKDAYS($N38,TODAY(),Holidays)-1))</f>
        <v/>
      </c>
      <c r="X38" s="18"/>
      <c r="Y38" s="18"/>
      <c r="Z38" s="17">
        <f>IF($N38="","",COUNT($N38:$S38))</f>
        <v/>
      </c>
      <c r="AA38" s="19">
        <f>IF($Z38="","",INT(INDEX($N38:$S38,$Z38)))</f>
        <v/>
      </c>
      <c r="AB38" s="19">
        <f>IF(OR($Z38="",$Z38=6),"",WORKDAY($AA38,CHOOSE($Z38,3,3,2,2,3),Holidays))</f>
        <v/>
      </c>
      <c r="AC38" s="17">
        <f>IF(OR($Z38="",$Z38=6),"",CHOOSE($Z38,"1st Email Follow-up","2nd Email Follow-up","Escalate Local Office","Escalate to CBE","Escalate to Roxanne"))</f>
        <v/>
      </c>
    </row>
    <row r="39" spans="13:29">
      <c r="M39" s="14"/>
      <c r="T39" s="16"/>
      <c r="U39" s="17">
        <f>IF(AND(COUNTA($A39:$L39)=0,$N39=""),"",IF($T39="Paid","PAID",IF($T39="Closed","CLOSED",IF($Z39="","",IF($Z39=6,"ESCALATED TO ROXANNE",IF(TODAY()&gt;$AB39,"OVERDUE",IF($AB39&lt;=WORKDAY(TODAY(),1,Holidays),"DUE TOMORROW",IF($Z39=4,"ESCALATED TO LOCAL OFFICE",IF($Z39=5,"ESCALATED TO CBE",IF($AA39=TODAY(),"EMAIL SENT","MONITORING"))))))))))</f>
        <v/>
      </c>
      <c r="V39" s="17">
        <f>IF($U39="",IF(AND(COUNTA($A39:$L39)&gt;0,$N39=""),"Awaiting Collection Email time stamp.",""),IF(OR($U39="PAID",$U39="CLOSED"),IF($U39="PAID","Account paid. Action completed.","Account closed. No further action required."),CHOOSE($Z39,"Collection Email","1st Email Follow-up","2nd Email Follow-up","Escalation to Local Office","Escalation to CBE","Escalation to Roxanne")&amp;" sent "&amp;TEXT($AA39,"dd-mmm")&amp;". "&amp;IF($Z39=6,"Final escalation completed.",IF($U39="OVERDUE","Next: "&amp;$AC39&amp;" was due "&amp;TEXT($AB39,"dd-mmm")&amp;" - "&amp;(NETWORKDAYS($AB39,TODAY(),Holidays)-1)&amp;" business day(s) late. Send now.",IF($U39="DUE TOMORROW","Next: "&amp;$AC39&amp;IF($AB39&lt;=TODAY()," is due TODAY ("," is due next business day (")&amp;TEXT($AB39,"dd-mmm")&amp;").","Next: "&amp;$AC39&amp;" due "&amp;TEXT($AB39,"dd-mmm")&amp;" ("&amp;(NETWORKDAYS(TODAY(),$AB39,Holidays)-1)&amp;" business day(s) left).")))))</f>
        <v/>
      </c>
      <c r="W39" s="17">
        <f>IF($Z39="","",CHOOSE($Z39,"Collection Email","1st Follow-up","2nd Follow-up","Local Office","CBE","Roxanne")&amp;IF($Z39=6," - Final"," - Day "&amp;MAX(0,NETWORKDAYS($AA39,TODAY(),Holidays)-1)&amp;" of "&amp;CHOOSE($Z39,3,3,2,2,3))&amp;" | Total Day "&amp;MAX(0,NETWORKDAYS($N39,TODAY(),Holidays)-1))</f>
        <v/>
      </c>
      <c r="X39" s="18"/>
      <c r="Y39" s="18"/>
      <c r="Z39" s="17">
        <f>IF($N39="","",COUNT($N39:$S39))</f>
        <v/>
      </c>
      <c r="AA39" s="19">
        <f>IF($Z39="","",INT(INDEX($N39:$S39,$Z39)))</f>
        <v/>
      </c>
      <c r="AB39" s="19">
        <f>IF(OR($Z39="",$Z39=6),"",WORKDAY($AA39,CHOOSE($Z39,3,3,2,2,3),Holidays))</f>
        <v/>
      </c>
      <c r="AC39" s="17">
        <f>IF(OR($Z39="",$Z39=6),"",CHOOSE($Z39,"1st Email Follow-up","2nd Email Follow-up","Escalate Local Office","Escalate to CBE","Escalate to Roxanne"))</f>
        <v/>
      </c>
    </row>
    <row r="40" spans="13:29">
      <c r="M40" s="14"/>
      <c r="T40" s="16"/>
      <c r="U40" s="17">
        <f>IF(AND(COUNTA($A40:$L40)=0,$N40=""),"",IF($T40="Paid","PAID",IF($T40="Closed","CLOSED",IF($Z40="","",IF($Z40=6,"ESCALATED TO ROXANNE",IF(TODAY()&gt;$AB40,"OVERDUE",IF($AB40&lt;=WORKDAY(TODAY(),1,Holidays),"DUE TOMORROW",IF($Z40=4,"ESCALATED TO LOCAL OFFICE",IF($Z40=5,"ESCALATED TO CBE",IF($AA40=TODAY(),"EMAIL SENT","MONITORING"))))))))))</f>
        <v/>
      </c>
      <c r="V40" s="17">
        <f>IF($U40="",IF(AND(COUNTA($A40:$L40)&gt;0,$N40=""),"Awaiting Collection Email time stamp.",""),IF(OR($U40="PAID",$U40="CLOSED"),IF($U40="PAID","Account paid. Action completed.","Account closed. No further action required."),CHOOSE($Z40,"Collection Email","1st Email Follow-up","2nd Email Follow-up","Escalation to Local Office","Escalation to CBE","Escalation to Roxanne")&amp;" sent "&amp;TEXT($AA40,"dd-mmm")&amp;". "&amp;IF($Z40=6,"Final escalation completed.",IF($U40="OVERDUE","Next: "&amp;$AC40&amp;" was due "&amp;TEXT($AB40,"dd-mmm")&amp;" - "&amp;(NETWORKDAYS($AB40,TODAY(),Holidays)-1)&amp;" business day(s) late. Send now.",IF($U40="DUE TOMORROW","Next: "&amp;$AC40&amp;IF($AB40&lt;=TODAY()," is due TODAY ("," is due next business day (")&amp;TEXT($AB40,"dd-mmm")&amp;").","Next: "&amp;$AC40&amp;" due "&amp;TEXT($AB40,"dd-mmm")&amp;" ("&amp;(NETWORKDAYS(TODAY(),$AB40,Holidays)-1)&amp;" business day(s) left).")))))</f>
        <v/>
      </c>
      <c r="W40" s="17">
        <f>IF($Z40="","",CHOOSE($Z40,"Collection Email","1st Follow-up","2nd Follow-up","Local Office","CBE","Roxanne")&amp;IF($Z40=6," - Final"," - Day "&amp;MAX(0,NETWORKDAYS($AA40,TODAY(),Holidays)-1)&amp;" of "&amp;CHOOSE($Z40,3,3,2,2,3))&amp;" | Total Day "&amp;MAX(0,NETWORKDAYS($N40,TODAY(),Holidays)-1))</f>
        <v/>
      </c>
      <c r="X40" s="18"/>
      <c r="Y40" s="18"/>
      <c r="Z40" s="17">
        <f>IF($N40="","",COUNT($N40:$S40))</f>
        <v/>
      </c>
      <c r="AA40" s="19">
        <f>IF($Z40="","",INT(INDEX($N40:$S40,$Z40)))</f>
        <v/>
      </c>
      <c r="AB40" s="19">
        <f>IF(OR($Z40="",$Z40=6),"",WORKDAY($AA40,CHOOSE($Z40,3,3,2,2,3),Holidays))</f>
        <v/>
      </c>
      <c r="AC40" s="17">
        <f>IF(OR($Z40="",$Z40=6),"",CHOOSE($Z40,"1st Email Follow-up","2nd Email Follow-up","Escalate Local Office","Escalate to CBE","Escalate to Roxanne"))</f>
        <v/>
      </c>
    </row>
    <row r="41" spans="13:29">
      <c r="M41" s="14"/>
      <c r="T41" s="16"/>
      <c r="U41" s="17">
        <f>IF(AND(COUNTA($A41:$L41)=0,$N41=""),"",IF($T41="Paid","PAID",IF($T41="Closed","CLOSED",IF($Z41="","",IF($Z41=6,"ESCALATED TO ROXANNE",IF(TODAY()&gt;$AB41,"OVERDUE",IF($AB41&lt;=WORKDAY(TODAY(),1,Holidays),"DUE TOMORROW",IF($Z41=4,"ESCALATED TO LOCAL OFFICE",IF($Z41=5,"ESCALATED TO CBE",IF($AA41=TODAY(),"EMAIL SENT","MONITORING"))))))))))</f>
        <v/>
      </c>
      <c r="V41" s="17">
        <f>IF($U41="",IF(AND(COUNTA($A41:$L41)&gt;0,$N41=""),"Awaiting Collection Email time stamp.",""),IF(OR($U41="PAID",$U41="CLOSED"),IF($U41="PAID","Account paid. Action completed.","Account closed. No further action required."),CHOOSE($Z41,"Collection Email","1st Email Follow-up","2nd Email Follow-up","Escalation to Local Office","Escalation to CBE","Escalation to Roxanne")&amp;" sent "&amp;TEXT($AA41,"dd-mmm")&amp;". "&amp;IF($Z41=6,"Final escalation completed.",IF($U41="OVERDUE","Next: "&amp;$AC41&amp;" was due "&amp;TEXT($AB41,"dd-mmm")&amp;" - "&amp;(NETWORKDAYS($AB41,TODAY(),Holidays)-1)&amp;" business day(s) late. Send now.",IF($U41="DUE TOMORROW","Next: "&amp;$AC41&amp;IF($AB41&lt;=TODAY()," is due TODAY ("," is due next business day (")&amp;TEXT($AB41,"dd-mmm")&amp;").","Next: "&amp;$AC41&amp;" due "&amp;TEXT($AB41,"dd-mmm")&amp;" ("&amp;(NETWORKDAYS(TODAY(),$AB41,Holidays)-1)&amp;" business day(s) left).")))))</f>
        <v/>
      </c>
      <c r="W41" s="17">
        <f>IF($Z41="","",CHOOSE($Z41,"Collection Email","1st Follow-up","2nd Follow-up","Local Office","CBE","Roxanne")&amp;IF($Z41=6," - Final"," - Day "&amp;MAX(0,NETWORKDAYS($AA41,TODAY(),Holidays)-1)&amp;" of "&amp;CHOOSE($Z41,3,3,2,2,3))&amp;" | Total Day "&amp;MAX(0,NETWORKDAYS($N41,TODAY(),Holidays)-1))</f>
        <v/>
      </c>
      <c r="X41" s="18"/>
      <c r="Y41" s="18"/>
      <c r="Z41" s="17">
        <f>IF($N41="","",COUNT($N41:$S41))</f>
        <v/>
      </c>
      <c r="AA41" s="19">
        <f>IF($Z41="","",INT(INDEX($N41:$S41,$Z41)))</f>
        <v/>
      </c>
      <c r="AB41" s="19">
        <f>IF(OR($Z41="",$Z41=6),"",WORKDAY($AA41,CHOOSE($Z41,3,3,2,2,3),Holidays))</f>
        <v/>
      </c>
      <c r="AC41" s="17">
        <f>IF(OR($Z41="",$Z41=6),"",CHOOSE($Z41,"1st Email Follow-up","2nd Email Follow-up","Escalate Local Office","Escalate to CBE","Escalate to Roxanne"))</f>
        <v/>
      </c>
    </row>
    <row r="42" spans="13:29">
      <c r="M42" s="14"/>
      <c r="T42" s="16"/>
      <c r="U42" s="17">
        <f>IF(AND(COUNTA($A42:$L42)=0,$N42=""),"",IF($T42="Paid","PAID",IF($T42="Closed","CLOSED",IF($Z42="","",IF($Z42=6,"ESCALATED TO ROXANNE",IF(TODAY()&gt;$AB42,"OVERDUE",IF($AB42&lt;=WORKDAY(TODAY(),1,Holidays),"DUE TOMORROW",IF($Z42=4,"ESCALATED TO LOCAL OFFICE",IF($Z42=5,"ESCALATED TO CBE",IF($AA42=TODAY(),"EMAIL SENT","MONITORING"))))))))))</f>
        <v/>
      </c>
      <c r="V42" s="17">
        <f>IF($U42="",IF(AND(COUNTA($A42:$L42)&gt;0,$N42=""),"Awaiting Collection Email time stamp.",""),IF(OR($U42="PAID",$U42="CLOSED"),IF($U42="PAID","Account paid. Action completed.","Account closed. No further action required."),CHOOSE($Z42,"Collection Email","1st Email Follow-up","2nd Email Follow-up","Escalation to Local Office","Escalation to CBE","Escalation to Roxanne")&amp;" sent "&amp;TEXT($AA42,"dd-mmm")&amp;". "&amp;IF($Z42=6,"Final escalation completed.",IF($U42="OVERDUE","Next: "&amp;$AC42&amp;" was due "&amp;TEXT($AB42,"dd-mmm")&amp;" - "&amp;(NETWORKDAYS($AB42,TODAY(),Holidays)-1)&amp;" business day(s) late. Send now.",IF($U42="DUE TOMORROW","Next: "&amp;$AC42&amp;IF($AB42&lt;=TODAY()," is due TODAY ("," is due next business day (")&amp;TEXT($AB42,"dd-mmm")&amp;").","Next: "&amp;$AC42&amp;" due "&amp;TEXT($AB42,"dd-mmm")&amp;" ("&amp;(NETWORKDAYS(TODAY(),$AB42,Holidays)-1)&amp;" business day(s) left).")))))</f>
        <v/>
      </c>
      <c r="W42" s="17">
        <f>IF($Z42="","",CHOOSE($Z42,"Collection Email","1st Follow-up","2nd Follow-up","Local Office","CBE","Roxanne")&amp;IF($Z42=6," - Final"," - Day "&amp;MAX(0,NETWORKDAYS($AA42,TODAY(),Holidays)-1)&amp;" of "&amp;CHOOSE($Z42,3,3,2,2,3))&amp;" | Total Day "&amp;MAX(0,NETWORKDAYS($N42,TODAY(),Holidays)-1))</f>
        <v/>
      </c>
      <c r="X42" s="18"/>
      <c r="Y42" s="18"/>
      <c r="Z42" s="17">
        <f>IF($N42="","",COUNT($N42:$S42))</f>
        <v/>
      </c>
      <c r="AA42" s="19">
        <f>IF($Z42="","",INT(INDEX($N42:$S42,$Z42)))</f>
        <v/>
      </c>
      <c r="AB42" s="19">
        <f>IF(OR($Z42="",$Z42=6),"",WORKDAY($AA42,CHOOSE($Z42,3,3,2,2,3),Holidays))</f>
        <v/>
      </c>
      <c r="AC42" s="17">
        <f>IF(OR($Z42="",$Z42=6),"",CHOOSE($Z42,"1st Email Follow-up","2nd Email Follow-up","Escalate Local Office","Escalate to CBE","Escalate to Roxanne"))</f>
        <v/>
      </c>
    </row>
    <row r="43" spans="13:29">
      <c r="M43" s="14"/>
      <c r="T43" s="16"/>
      <c r="U43" s="17">
        <f>IF(AND(COUNTA($A43:$L43)=0,$N43=""),"",IF($T43="Paid","PAID",IF($T43="Closed","CLOSED",IF($Z43="","",IF($Z43=6,"ESCALATED TO ROXANNE",IF(TODAY()&gt;$AB43,"OVERDUE",IF($AB43&lt;=WORKDAY(TODAY(),1,Holidays),"DUE TOMORROW",IF($Z43=4,"ESCALATED TO LOCAL OFFICE",IF($Z43=5,"ESCALATED TO CBE",IF($AA43=TODAY(),"EMAIL SENT","MONITORING"))))))))))</f>
        <v/>
      </c>
      <c r="V43" s="17">
        <f>IF($U43="",IF(AND(COUNTA($A43:$L43)&gt;0,$N43=""),"Awaiting Collection Email time stamp.",""),IF(OR($U43="PAID",$U43="CLOSED"),IF($U43="PAID","Account paid. Action completed.","Account closed. No further action required."),CHOOSE($Z43,"Collection Email","1st Email Follow-up","2nd Email Follow-up","Escalation to Local Office","Escalation to CBE","Escalation to Roxanne")&amp;" sent "&amp;TEXT($AA43,"dd-mmm")&amp;". "&amp;IF($Z43=6,"Final escalation completed.",IF($U43="OVERDUE","Next: "&amp;$AC43&amp;" was due "&amp;TEXT($AB43,"dd-mmm")&amp;" - "&amp;(NETWORKDAYS($AB43,TODAY(),Holidays)-1)&amp;" business day(s) late. Send now.",IF($U43="DUE TOMORROW","Next: "&amp;$AC43&amp;IF($AB43&lt;=TODAY()," is due TODAY ("," is due next business day (")&amp;TEXT($AB43,"dd-mmm")&amp;").","Next: "&amp;$AC43&amp;" due "&amp;TEXT($AB43,"dd-mmm")&amp;" ("&amp;(NETWORKDAYS(TODAY(),$AB43,Holidays)-1)&amp;" business day(s) left).")))))</f>
        <v/>
      </c>
      <c r="W43" s="17">
        <f>IF($Z43="","",CHOOSE($Z43,"Collection Email","1st Follow-up","2nd Follow-up","Local Office","CBE","Roxanne")&amp;IF($Z43=6," - Final"," - Day "&amp;MAX(0,NETWORKDAYS($AA43,TODAY(),Holidays)-1)&amp;" of "&amp;CHOOSE($Z43,3,3,2,2,3))&amp;" | Total Day "&amp;MAX(0,NETWORKDAYS($N43,TODAY(),Holidays)-1))</f>
        <v/>
      </c>
      <c r="X43" s="18"/>
      <c r="Y43" s="18"/>
      <c r="Z43" s="17">
        <f>IF($N43="","",COUNT($N43:$S43))</f>
        <v/>
      </c>
      <c r="AA43" s="19">
        <f>IF($Z43="","",INT(INDEX($N43:$S43,$Z43)))</f>
        <v/>
      </c>
      <c r="AB43" s="19">
        <f>IF(OR($Z43="",$Z43=6),"",WORKDAY($AA43,CHOOSE($Z43,3,3,2,2,3),Holidays))</f>
        <v/>
      </c>
      <c r="AC43" s="17">
        <f>IF(OR($Z43="",$Z43=6),"",CHOOSE($Z43,"1st Email Follow-up","2nd Email Follow-up","Escalate Local Office","Escalate to CBE","Escalate to Roxanne"))</f>
        <v/>
      </c>
    </row>
    <row r="44" spans="13:29">
      <c r="M44" s="14"/>
      <c r="T44" s="16"/>
      <c r="U44" s="17">
        <f>IF(AND(COUNTA($A44:$L44)=0,$N44=""),"",IF($T44="Paid","PAID",IF($T44="Closed","CLOSED",IF($Z44="","",IF($Z44=6,"ESCALATED TO ROXANNE",IF(TODAY()&gt;$AB44,"OVERDUE",IF($AB44&lt;=WORKDAY(TODAY(),1,Holidays),"DUE TOMORROW",IF($Z44=4,"ESCALATED TO LOCAL OFFICE",IF($Z44=5,"ESCALATED TO CBE",IF($AA44=TODAY(),"EMAIL SENT","MONITORING"))))))))))</f>
        <v/>
      </c>
      <c r="V44" s="17">
        <f>IF($U44="",IF(AND(COUNTA($A44:$L44)&gt;0,$N44=""),"Awaiting Collection Email time stamp.",""),IF(OR($U44="PAID",$U44="CLOSED"),IF($U44="PAID","Account paid. Action completed.","Account closed. No further action required."),CHOOSE($Z44,"Collection Email","1st Email Follow-up","2nd Email Follow-up","Escalation to Local Office","Escalation to CBE","Escalation to Roxanne")&amp;" sent "&amp;TEXT($AA44,"dd-mmm")&amp;". "&amp;IF($Z44=6,"Final escalation completed.",IF($U44="OVERDUE","Next: "&amp;$AC44&amp;" was due "&amp;TEXT($AB44,"dd-mmm")&amp;" - "&amp;(NETWORKDAYS($AB44,TODAY(),Holidays)-1)&amp;" business day(s) late. Send now.",IF($U44="DUE TOMORROW","Next: "&amp;$AC44&amp;IF($AB44&lt;=TODAY()," is due TODAY ("," is due next business day (")&amp;TEXT($AB44,"dd-mmm")&amp;").","Next: "&amp;$AC44&amp;" due "&amp;TEXT($AB44,"dd-mmm")&amp;" ("&amp;(NETWORKDAYS(TODAY(),$AB44,Holidays)-1)&amp;" business day(s) left).")))))</f>
        <v/>
      </c>
      <c r="W44" s="17">
        <f>IF($Z44="","",CHOOSE($Z44,"Collection Email","1st Follow-up","2nd Follow-up","Local Office","CBE","Roxanne")&amp;IF($Z44=6," - Final"," - Day "&amp;MAX(0,NETWORKDAYS($AA44,TODAY(),Holidays)-1)&amp;" of "&amp;CHOOSE($Z44,3,3,2,2,3))&amp;" | Total Day "&amp;MAX(0,NETWORKDAYS($N44,TODAY(),Holidays)-1))</f>
        <v/>
      </c>
      <c r="X44" s="18"/>
      <c r="Y44" s="18"/>
      <c r="Z44" s="17">
        <f>IF($N44="","",COUNT($N44:$S44))</f>
        <v/>
      </c>
      <c r="AA44" s="19">
        <f>IF($Z44="","",INT(INDEX($N44:$S44,$Z44)))</f>
        <v/>
      </c>
      <c r="AB44" s="19">
        <f>IF(OR($Z44="",$Z44=6),"",WORKDAY($AA44,CHOOSE($Z44,3,3,2,2,3),Holidays))</f>
        <v/>
      </c>
      <c r="AC44" s="17">
        <f>IF(OR($Z44="",$Z44=6),"",CHOOSE($Z44,"1st Email Follow-up","2nd Email Follow-up","Escalate Local Office","Escalate to CBE","Escalate to Roxanne"))</f>
        <v/>
      </c>
    </row>
    <row r="45" spans="13:29">
      <c r="M45" s="14"/>
      <c r="T45" s="16"/>
      <c r="U45" s="17">
        <f>IF(AND(COUNTA($A45:$L45)=0,$N45=""),"",IF($T45="Paid","PAID",IF($T45="Closed","CLOSED",IF($Z45="","",IF($Z45=6,"ESCALATED TO ROXANNE",IF(TODAY()&gt;$AB45,"OVERDUE",IF($AB45&lt;=WORKDAY(TODAY(),1,Holidays),"DUE TOMORROW",IF($Z45=4,"ESCALATED TO LOCAL OFFICE",IF($Z45=5,"ESCALATED TO CBE",IF($AA45=TODAY(),"EMAIL SENT","MONITORING"))))))))))</f>
        <v/>
      </c>
      <c r="V45" s="17">
        <f>IF($U45="",IF(AND(COUNTA($A45:$L45)&gt;0,$N45=""),"Awaiting Collection Email time stamp.",""),IF(OR($U45="PAID",$U45="CLOSED"),IF($U45="PAID","Account paid. Action completed.","Account closed. No further action required."),CHOOSE($Z45,"Collection Email","1st Email Follow-up","2nd Email Follow-up","Escalation to Local Office","Escalation to CBE","Escalation to Roxanne")&amp;" sent "&amp;TEXT($AA45,"dd-mmm")&amp;". "&amp;IF($Z45=6,"Final escalation completed.",IF($U45="OVERDUE","Next: "&amp;$AC45&amp;" was due "&amp;TEXT($AB45,"dd-mmm")&amp;" - "&amp;(NETWORKDAYS($AB45,TODAY(),Holidays)-1)&amp;" business day(s) late. Send now.",IF($U45="DUE TOMORROW","Next: "&amp;$AC45&amp;IF($AB45&lt;=TODAY()," is due TODAY ("," is due next business day (")&amp;TEXT($AB45,"dd-mmm")&amp;").","Next: "&amp;$AC45&amp;" due "&amp;TEXT($AB45,"dd-mmm")&amp;" ("&amp;(NETWORKDAYS(TODAY(),$AB45,Holidays)-1)&amp;" business day(s) left).")))))</f>
        <v/>
      </c>
      <c r="W45" s="17">
        <f>IF($Z45="","",CHOOSE($Z45,"Collection Email","1st Follow-up","2nd Follow-up","Local Office","CBE","Roxanne")&amp;IF($Z45=6," - Final"," - Day "&amp;MAX(0,NETWORKDAYS($AA45,TODAY(),Holidays)-1)&amp;" of "&amp;CHOOSE($Z45,3,3,2,2,3))&amp;" | Total Day "&amp;MAX(0,NETWORKDAYS($N45,TODAY(),Holidays)-1))</f>
        <v/>
      </c>
      <c r="X45" s="18"/>
      <c r="Y45" s="18"/>
      <c r="Z45" s="17">
        <f>IF($N45="","",COUNT($N45:$S45))</f>
        <v/>
      </c>
      <c r="AA45" s="19">
        <f>IF($Z45="","",INT(INDEX($N45:$S45,$Z45)))</f>
        <v/>
      </c>
      <c r="AB45" s="19">
        <f>IF(OR($Z45="",$Z45=6),"",WORKDAY($AA45,CHOOSE($Z45,3,3,2,2,3),Holidays))</f>
        <v/>
      </c>
      <c r="AC45" s="17">
        <f>IF(OR($Z45="",$Z45=6),"",CHOOSE($Z45,"1st Email Follow-up","2nd Email Follow-up","Escalate Local Office","Escalate to CBE","Escalate to Roxanne"))</f>
        <v/>
      </c>
    </row>
    <row r="46" spans="13:29">
      <c r="M46" s="14"/>
      <c r="T46" s="16"/>
      <c r="U46" s="17">
        <f>IF(AND(COUNTA($A46:$L46)=0,$N46=""),"",IF($T46="Paid","PAID",IF($T46="Closed","CLOSED",IF($Z46="","",IF($Z46=6,"ESCALATED TO ROXANNE",IF(TODAY()&gt;$AB46,"OVERDUE",IF($AB46&lt;=WORKDAY(TODAY(),1,Holidays),"DUE TOMORROW",IF($Z46=4,"ESCALATED TO LOCAL OFFICE",IF($Z46=5,"ESCALATED TO CBE",IF($AA46=TODAY(),"EMAIL SENT","MONITORING"))))))))))</f>
        <v/>
      </c>
      <c r="V46" s="17">
        <f>IF($U46="",IF(AND(COUNTA($A46:$L46)&gt;0,$N46=""),"Awaiting Collection Email time stamp.",""),IF(OR($U46="PAID",$U46="CLOSED"),IF($U46="PAID","Account paid. Action completed.","Account closed. No further action required."),CHOOSE($Z46,"Collection Email","1st Email Follow-up","2nd Email Follow-up","Escalation to Local Office","Escalation to CBE","Escalation to Roxanne")&amp;" sent "&amp;TEXT($AA46,"dd-mmm")&amp;". "&amp;IF($Z46=6,"Final escalation completed.",IF($U46="OVERDUE","Next: "&amp;$AC46&amp;" was due "&amp;TEXT($AB46,"dd-mmm")&amp;" - "&amp;(NETWORKDAYS($AB46,TODAY(),Holidays)-1)&amp;" business day(s) late. Send now.",IF($U46="DUE TOMORROW","Next: "&amp;$AC46&amp;IF($AB46&lt;=TODAY()," is due TODAY ("," is due next business day (")&amp;TEXT($AB46,"dd-mmm")&amp;").","Next: "&amp;$AC46&amp;" due "&amp;TEXT($AB46,"dd-mmm")&amp;" ("&amp;(NETWORKDAYS(TODAY(),$AB46,Holidays)-1)&amp;" business day(s) left).")))))</f>
        <v/>
      </c>
      <c r="W46" s="17">
        <f>IF($Z46="","",CHOOSE($Z46,"Collection Email","1st Follow-up","2nd Follow-up","Local Office","CBE","Roxanne")&amp;IF($Z46=6," - Final"," - Day "&amp;MAX(0,NETWORKDAYS($AA46,TODAY(),Holidays)-1)&amp;" of "&amp;CHOOSE($Z46,3,3,2,2,3))&amp;" | Total Day "&amp;MAX(0,NETWORKDAYS($N46,TODAY(),Holidays)-1))</f>
        <v/>
      </c>
      <c r="X46" s="18"/>
      <c r="Y46" s="18"/>
      <c r="Z46" s="17">
        <f>IF($N46="","",COUNT($N46:$S46))</f>
        <v/>
      </c>
      <c r="AA46" s="19">
        <f>IF($Z46="","",INT(INDEX($N46:$S46,$Z46)))</f>
        <v/>
      </c>
      <c r="AB46" s="19">
        <f>IF(OR($Z46="",$Z46=6),"",WORKDAY($AA46,CHOOSE($Z46,3,3,2,2,3),Holidays))</f>
        <v/>
      </c>
      <c r="AC46" s="17">
        <f>IF(OR($Z46="",$Z46=6),"",CHOOSE($Z46,"1st Email Follow-up","2nd Email Follow-up","Escalate Local Office","Escalate to CBE","Escalate to Roxanne"))</f>
        <v/>
      </c>
    </row>
    <row r="47" spans="13:29">
      <c r="M47" s="14"/>
      <c r="T47" s="16"/>
      <c r="U47" s="17">
        <f>IF(AND(COUNTA($A47:$L47)=0,$N47=""),"",IF($T47="Paid","PAID",IF($T47="Closed","CLOSED",IF($Z47="","",IF($Z47=6,"ESCALATED TO ROXANNE",IF(TODAY()&gt;$AB47,"OVERDUE",IF($AB47&lt;=WORKDAY(TODAY(),1,Holidays),"DUE TOMORROW",IF($Z47=4,"ESCALATED TO LOCAL OFFICE",IF($Z47=5,"ESCALATED TO CBE",IF($AA47=TODAY(),"EMAIL SENT","MONITORING"))))))))))</f>
        <v/>
      </c>
      <c r="V47" s="17">
        <f>IF($U47="",IF(AND(COUNTA($A47:$L47)&gt;0,$N47=""),"Awaiting Collection Email time stamp.",""),IF(OR($U47="PAID",$U47="CLOSED"),IF($U47="PAID","Account paid. Action completed.","Account closed. No further action required."),CHOOSE($Z47,"Collection Email","1st Email Follow-up","2nd Email Follow-up","Escalation to Local Office","Escalation to CBE","Escalation to Roxanne")&amp;" sent "&amp;TEXT($AA47,"dd-mmm")&amp;". "&amp;IF($Z47=6,"Final escalation completed.",IF($U47="OVERDUE","Next: "&amp;$AC47&amp;" was due "&amp;TEXT($AB47,"dd-mmm")&amp;" - "&amp;(NETWORKDAYS($AB47,TODAY(),Holidays)-1)&amp;" business day(s) late. Send now.",IF($U47="DUE TOMORROW","Next: "&amp;$AC47&amp;IF($AB47&lt;=TODAY()," is due TODAY ("," is due next business day (")&amp;TEXT($AB47,"dd-mmm")&amp;").","Next: "&amp;$AC47&amp;" due "&amp;TEXT($AB47,"dd-mmm")&amp;" ("&amp;(NETWORKDAYS(TODAY(),$AB47,Holidays)-1)&amp;" business day(s) left).")))))</f>
        <v/>
      </c>
      <c r="W47" s="17">
        <f>IF($Z47="","",CHOOSE($Z47,"Collection Email","1st Follow-up","2nd Follow-up","Local Office","CBE","Roxanne")&amp;IF($Z47=6," - Final"," - Day "&amp;MAX(0,NETWORKDAYS($AA47,TODAY(),Holidays)-1)&amp;" of "&amp;CHOOSE($Z47,3,3,2,2,3))&amp;" | Total Day "&amp;MAX(0,NETWORKDAYS($N47,TODAY(),Holidays)-1))</f>
        <v/>
      </c>
      <c r="X47" s="18"/>
      <c r="Y47" s="18"/>
      <c r="Z47" s="17">
        <f>IF($N47="","",COUNT($N47:$S47))</f>
        <v/>
      </c>
      <c r="AA47" s="19">
        <f>IF($Z47="","",INT(INDEX($N47:$S47,$Z47)))</f>
        <v/>
      </c>
      <c r="AB47" s="19">
        <f>IF(OR($Z47="",$Z47=6),"",WORKDAY($AA47,CHOOSE($Z47,3,3,2,2,3),Holidays))</f>
        <v/>
      </c>
      <c r="AC47" s="17">
        <f>IF(OR($Z47="",$Z47=6),"",CHOOSE($Z47,"1st Email Follow-up","2nd Email Follow-up","Escalate Local Office","Escalate to CBE","Escalate to Roxanne"))</f>
        <v/>
      </c>
    </row>
    <row r="48" spans="13:29">
      <c r="M48" s="14"/>
      <c r="T48" s="16"/>
      <c r="U48" s="17">
        <f>IF(AND(COUNTA($A48:$L48)=0,$N48=""),"",IF($T48="Paid","PAID",IF($T48="Closed","CLOSED",IF($Z48="","",IF($Z48=6,"ESCALATED TO ROXANNE",IF(TODAY()&gt;$AB48,"OVERDUE",IF($AB48&lt;=WORKDAY(TODAY(),1,Holidays),"DUE TOMORROW",IF($Z48=4,"ESCALATED TO LOCAL OFFICE",IF($Z48=5,"ESCALATED TO CBE",IF($AA48=TODAY(),"EMAIL SENT","MONITORING"))))))))))</f>
        <v/>
      </c>
      <c r="V48" s="17">
        <f>IF($U48="",IF(AND(COUNTA($A48:$L48)&gt;0,$N48=""),"Awaiting Collection Email time stamp.",""),IF(OR($U48="PAID",$U48="CLOSED"),IF($U48="PAID","Account paid. Action completed.","Account closed. No further action required."),CHOOSE($Z48,"Collection Email","1st Email Follow-up","2nd Email Follow-up","Escalation to Local Office","Escalation to CBE","Escalation to Roxanne")&amp;" sent "&amp;TEXT($AA48,"dd-mmm")&amp;". "&amp;IF($Z48=6,"Final escalation completed.",IF($U48="OVERDUE","Next: "&amp;$AC48&amp;" was due "&amp;TEXT($AB48,"dd-mmm")&amp;" - "&amp;(NETWORKDAYS($AB48,TODAY(),Holidays)-1)&amp;" business day(s) late. Send now.",IF($U48="DUE TOMORROW","Next: "&amp;$AC48&amp;IF($AB48&lt;=TODAY()," is due TODAY ("," is due next business day (")&amp;TEXT($AB48,"dd-mmm")&amp;").","Next: "&amp;$AC48&amp;" due "&amp;TEXT($AB48,"dd-mmm")&amp;" ("&amp;(NETWORKDAYS(TODAY(),$AB48,Holidays)-1)&amp;" business day(s) left).")))))</f>
        <v/>
      </c>
      <c r="W48" s="17">
        <f>IF($Z48="","",CHOOSE($Z48,"Collection Email","1st Follow-up","2nd Follow-up","Local Office","CBE","Roxanne")&amp;IF($Z48=6," - Final"," - Day "&amp;MAX(0,NETWORKDAYS($AA48,TODAY(),Holidays)-1)&amp;" of "&amp;CHOOSE($Z48,3,3,2,2,3))&amp;" | Total Day "&amp;MAX(0,NETWORKDAYS($N48,TODAY(),Holidays)-1))</f>
        <v/>
      </c>
      <c r="X48" s="18"/>
      <c r="Y48" s="18"/>
      <c r="Z48" s="17">
        <f>IF($N48="","",COUNT($N48:$S48))</f>
        <v/>
      </c>
      <c r="AA48" s="19">
        <f>IF($Z48="","",INT(INDEX($N48:$S48,$Z48)))</f>
        <v/>
      </c>
      <c r="AB48" s="19">
        <f>IF(OR($Z48="",$Z48=6),"",WORKDAY($AA48,CHOOSE($Z48,3,3,2,2,3),Holidays))</f>
        <v/>
      </c>
      <c r="AC48" s="17">
        <f>IF(OR($Z48="",$Z48=6),"",CHOOSE($Z48,"1st Email Follow-up","2nd Email Follow-up","Escalate Local Office","Escalate to CBE","Escalate to Roxanne"))</f>
        <v/>
      </c>
    </row>
    <row r="49" spans="13:29">
      <c r="M49" s="14"/>
      <c r="T49" s="16"/>
      <c r="U49" s="17">
        <f>IF(AND(COUNTA($A49:$L49)=0,$N49=""),"",IF($T49="Paid","PAID",IF($T49="Closed","CLOSED",IF($Z49="","",IF($Z49=6,"ESCALATED TO ROXANNE",IF(TODAY()&gt;$AB49,"OVERDUE",IF($AB49&lt;=WORKDAY(TODAY(),1,Holidays),"DUE TOMORROW",IF($Z49=4,"ESCALATED TO LOCAL OFFICE",IF($Z49=5,"ESCALATED TO CBE",IF($AA49=TODAY(),"EMAIL SENT","MONITORING"))))))))))</f>
        <v/>
      </c>
      <c r="V49" s="17">
        <f>IF($U49="",IF(AND(COUNTA($A49:$L49)&gt;0,$N49=""),"Awaiting Collection Email time stamp.",""),IF(OR($U49="PAID",$U49="CLOSED"),IF($U49="PAID","Account paid. Action completed.","Account closed. No further action required."),CHOOSE($Z49,"Collection Email","1st Email Follow-up","2nd Email Follow-up","Escalation to Local Office","Escalation to CBE","Escalation to Roxanne")&amp;" sent "&amp;TEXT($AA49,"dd-mmm")&amp;". "&amp;IF($Z49=6,"Final escalation completed.",IF($U49="OVERDUE","Next: "&amp;$AC49&amp;" was due "&amp;TEXT($AB49,"dd-mmm")&amp;" - "&amp;(NETWORKDAYS($AB49,TODAY(),Holidays)-1)&amp;" business day(s) late. Send now.",IF($U49="DUE TOMORROW","Next: "&amp;$AC49&amp;IF($AB49&lt;=TODAY()," is due TODAY ("," is due next business day (")&amp;TEXT($AB49,"dd-mmm")&amp;").","Next: "&amp;$AC49&amp;" due "&amp;TEXT($AB49,"dd-mmm")&amp;" ("&amp;(NETWORKDAYS(TODAY(),$AB49,Holidays)-1)&amp;" business day(s) left).")))))</f>
        <v/>
      </c>
      <c r="W49" s="17">
        <f>IF($Z49="","",CHOOSE($Z49,"Collection Email","1st Follow-up","2nd Follow-up","Local Office","CBE","Roxanne")&amp;IF($Z49=6," - Final"," - Day "&amp;MAX(0,NETWORKDAYS($AA49,TODAY(),Holidays)-1)&amp;" of "&amp;CHOOSE($Z49,3,3,2,2,3))&amp;" | Total Day "&amp;MAX(0,NETWORKDAYS($N49,TODAY(),Holidays)-1))</f>
        <v/>
      </c>
      <c r="X49" s="18"/>
      <c r="Y49" s="18"/>
      <c r="Z49" s="17">
        <f>IF($N49="","",COUNT($N49:$S49))</f>
        <v/>
      </c>
      <c r="AA49" s="19">
        <f>IF($Z49="","",INT(INDEX($N49:$S49,$Z49)))</f>
        <v/>
      </c>
      <c r="AB49" s="19">
        <f>IF(OR($Z49="",$Z49=6),"",WORKDAY($AA49,CHOOSE($Z49,3,3,2,2,3),Holidays))</f>
        <v/>
      </c>
      <c r="AC49" s="17">
        <f>IF(OR($Z49="",$Z49=6),"",CHOOSE($Z49,"1st Email Follow-up","2nd Email Follow-up","Escalate Local Office","Escalate to CBE","Escalate to Roxanne"))</f>
        <v/>
      </c>
    </row>
    <row r="50" spans="13:29">
      <c r="M50" s="14"/>
      <c r="T50" s="16"/>
      <c r="U50" s="17">
        <f>IF(AND(COUNTA($A50:$L50)=0,$N50=""),"",IF($T50="Paid","PAID",IF($T50="Closed","CLOSED",IF($Z50="","",IF($Z50=6,"ESCALATED TO ROXANNE",IF(TODAY()&gt;$AB50,"OVERDUE",IF($AB50&lt;=WORKDAY(TODAY(),1,Holidays),"DUE TOMORROW",IF($Z50=4,"ESCALATED TO LOCAL OFFICE",IF($Z50=5,"ESCALATED TO CBE",IF($AA50=TODAY(),"EMAIL SENT","MONITORING"))))))))))</f>
        <v/>
      </c>
      <c r="V50" s="17">
        <f>IF($U50="",IF(AND(COUNTA($A50:$L50)&gt;0,$N50=""),"Awaiting Collection Email time stamp.",""),IF(OR($U50="PAID",$U50="CLOSED"),IF($U50="PAID","Account paid. Action completed.","Account closed. No further action required."),CHOOSE($Z50,"Collection Email","1st Email Follow-up","2nd Email Follow-up","Escalation to Local Office","Escalation to CBE","Escalation to Roxanne")&amp;" sent "&amp;TEXT($AA50,"dd-mmm")&amp;". "&amp;IF($Z50=6,"Final escalation completed.",IF($U50="OVERDUE","Next: "&amp;$AC50&amp;" was due "&amp;TEXT($AB50,"dd-mmm")&amp;" - "&amp;(NETWORKDAYS($AB50,TODAY(),Holidays)-1)&amp;" business day(s) late. Send now.",IF($U50="DUE TOMORROW","Next: "&amp;$AC50&amp;IF($AB50&lt;=TODAY()," is due TODAY ("," is due next business day (")&amp;TEXT($AB50,"dd-mmm")&amp;").","Next: "&amp;$AC50&amp;" due "&amp;TEXT($AB50,"dd-mmm")&amp;" ("&amp;(NETWORKDAYS(TODAY(),$AB50,Holidays)-1)&amp;" business day(s) left).")))))</f>
        <v/>
      </c>
      <c r="W50" s="17">
        <f>IF($Z50="","",CHOOSE($Z50,"Collection Email","1st Follow-up","2nd Follow-up","Local Office","CBE","Roxanne")&amp;IF($Z50=6," - Final"," - Day "&amp;MAX(0,NETWORKDAYS($AA50,TODAY(),Holidays)-1)&amp;" of "&amp;CHOOSE($Z50,3,3,2,2,3))&amp;" | Total Day "&amp;MAX(0,NETWORKDAYS($N50,TODAY(),Holidays)-1))</f>
        <v/>
      </c>
      <c r="X50" s="18"/>
      <c r="Y50" s="18"/>
      <c r="Z50" s="17">
        <f>IF($N50="","",COUNT($N50:$S50))</f>
        <v/>
      </c>
      <c r="AA50" s="19">
        <f>IF($Z50="","",INT(INDEX($N50:$S50,$Z50)))</f>
        <v/>
      </c>
      <c r="AB50" s="19">
        <f>IF(OR($Z50="",$Z50=6),"",WORKDAY($AA50,CHOOSE($Z50,3,3,2,2,3),Holidays))</f>
        <v/>
      </c>
      <c r="AC50" s="17">
        <f>IF(OR($Z50="",$Z50=6),"",CHOOSE($Z50,"1st Email Follow-up","2nd Email Follow-up","Escalate Local Office","Escalate to CBE","Escalate to Roxanne"))</f>
        <v/>
      </c>
    </row>
    <row r="51" spans="13:29">
      <c r="M51" s="14"/>
      <c r="T51" s="16"/>
      <c r="U51" s="17">
        <f>IF(AND(COUNTA($A51:$L51)=0,$N51=""),"",IF($T51="Paid","PAID",IF($T51="Closed","CLOSED",IF($Z51="","",IF($Z51=6,"ESCALATED TO ROXANNE",IF(TODAY()&gt;$AB51,"OVERDUE",IF($AB51&lt;=WORKDAY(TODAY(),1,Holidays),"DUE TOMORROW",IF($Z51=4,"ESCALATED TO LOCAL OFFICE",IF($Z51=5,"ESCALATED TO CBE",IF($AA51=TODAY(),"EMAIL SENT","MONITORING"))))))))))</f>
        <v/>
      </c>
      <c r="V51" s="17">
        <f>IF($U51="",IF(AND(COUNTA($A51:$L51)&gt;0,$N51=""),"Awaiting Collection Email time stamp.",""),IF(OR($U51="PAID",$U51="CLOSED"),IF($U51="PAID","Account paid. Action completed.","Account closed. No further action required."),CHOOSE($Z51,"Collection Email","1st Email Follow-up","2nd Email Follow-up","Escalation to Local Office","Escalation to CBE","Escalation to Roxanne")&amp;" sent "&amp;TEXT($AA51,"dd-mmm")&amp;". "&amp;IF($Z51=6,"Final escalation completed.",IF($U51="OVERDUE","Next: "&amp;$AC51&amp;" was due "&amp;TEXT($AB51,"dd-mmm")&amp;" - "&amp;(NETWORKDAYS($AB51,TODAY(),Holidays)-1)&amp;" business day(s) late. Send now.",IF($U51="DUE TOMORROW","Next: "&amp;$AC51&amp;IF($AB51&lt;=TODAY()," is due TODAY ("," is due next business day (")&amp;TEXT($AB51,"dd-mmm")&amp;").","Next: "&amp;$AC51&amp;" due "&amp;TEXT($AB51,"dd-mmm")&amp;" ("&amp;(NETWORKDAYS(TODAY(),$AB51,Holidays)-1)&amp;" business day(s) left).")))))</f>
        <v/>
      </c>
      <c r="W51" s="17">
        <f>IF($Z51="","",CHOOSE($Z51,"Collection Email","1st Follow-up","2nd Follow-up","Local Office","CBE","Roxanne")&amp;IF($Z51=6," - Final"," - Day "&amp;MAX(0,NETWORKDAYS($AA51,TODAY(),Holidays)-1)&amp;" of "&amp;CHOOSE($Z51,3,3,2,2,3))&amp;" | Total Day "&amp;MAX(0,NETWORKDAYS($N51,TODAY(),Holidays)-1))</f>
        <v/>
      </c>
      <c r="X51" s="18"/>
      <c r="Y51" s="18"/>
      <c r="Z51" s="17">
        <f>IF($N51="","",COUNT($N51:$S51))</f>
        <v/>
      </c>
      <c r="AA51" s="19">
        <f>IF($Z51="","",INT(INDEX($N51:$S51,$Z51)))</f>
        <v/>
      </c>
      <c r="AB51" s="19">
        <f>IF(OR($Z51="",$Z51=6),"",WORKDAY($AA51,CHOOSE($Z51,3,3,2,2,3),Holidays))</f>
        <v/>
      </c>
      <c r="AC51" s="17">
        <f>IF(OR($Z51="",$Z51=6),"",CHOOSE($Z51,"1st Email Follow-up","2nd Email Follow-up","Escalate Local Office","Escalate to CBE","Escalate to Roxanne"))</f>
        <v/>
      </c>
    </row>
    <row r="52" spans="13:29">
      <c r="M52" s="14"/>
      <c r="T52" s="16"/>
      <c r="U52" s="17">
        <f>IF(AND(COUNTA($A52:$L52)=0,$N52=""),"",IF($T52="Paid","PAID",IF($T52="Closed","CLOSED",IF($Z52="","",IF($Z52=6,"ESCALATED TO ROXANNE",IF(TODAY()&gt;$AB52,"OVERDUE",IF($AB52&lt;=WORKDAY(TODAY(),1,Holidays),"DUE TOMORROW",IF($Z52=4,"ESCALATED TO LOCAL OFFICE",IF($Z52=5,"ESCALATED TO CBE",IF($AA52=TODAY(),"EMAIL SENT","MONITORING"))))))))))</f>
        <v/>
      </c>
      <c r="V52" s="17">
        <f>IF($U52="",IF(AND(COUNTA($A52:$L52)&gt;0,$N52=""),"Awaiting Collection Email time stamp.",""),IF(OR($U52="PAID",$U52="CLOSED"),IF($U52="PAID","Account paid. Action completed.","Account closed. No further action required."),CHOOSE($Z52,"Collection Email","1st Email Follow-up","2nd Email Follow-up","Escalation to Local Office","Escalation to CBE","Escalation to Roxanne")&amp;" sent "&amp;TEXT($AA52,"dd-mmm")&amp;". "&amp;IF($Z52=6,"Final escalation completed.",IF($U52="OVERDUE","Next: "&amp;$AC52&amp;" was due "&amp;TEXT($AB52,"dd-mmm")&amp;" - "&amp;(NETWORKDAYS($AB52,TODAY(),Holidays)-1)&amp;" business day(s) late. Send now.",IF($U52="DUE TOMORROW","Next: "&amp;$AC52&amp;IF($AB52&lt;=TODAY()," is due TODAY ("," is due next business day (")&amp;TEXT($AB52,"dd-mmm")&amp;").","Next: "&amp;$AC52&amp;" due "&amp;TEXT($AB52,"dd-mmm")&amp;" ("&amp;(NETWORKDAYS(TODAY(),$AB52,Holidays)-1)&amp;" business day(s) left).")))))</f>
        <v/>
      </c>
      <c r="W52" s="17">
        <f>IF($Z52="","",CHOOSE($Z52,"Collection Email","1st Follow-up","2nd Follow-up","Local Office","CBE","Roxanne")&amp;IF($Z52=6," - Final"," - Day "&amp;MAX(0,NETWORKDAYS($AA52,TODAY(),Holidays)-1)&amp;" of "&amp;CHOOSE($Z52,3,3,2,2,3))&amp;" | Total Day "&amp;MAX(0,NETWORKDAYS($N52,TODAY(),Holidays)-1))</f>
        <v/>
      </c>
      <c r="X52" s="18"/>
      <c r="Y52" s="18"/>
      <c r="Z52" s="17">
        <f>IF($N52="","",COUNT($N52:$S52))</f>
        <v/>
      </c>
      <c r="AA52" s="19">
        <f>IF($Z52="","",INT(INDEX($N52:$S52,$Z52)))</f>
        <v/>
      </c>
      <c r="AB52" s="19">
        <f>IF(OR($Z52="",$Z52=6),"",WORKDAY($AA52,CHOOSE($Z52,3,3,2,2,3),Holidays))</f>
        <v/>
      </c>
      <c r="AC52" s="17">
        <f>IF(OR($Z52="",$Z52=6),"",CHOOSE($Z52,"1st Email Follow-up","2nd Email Follow-up","Escalate Local Office","Escalate to CBE","Escalate to Roxanne"))</f>
        <v/>
      </c>
    </row>
    <row r="53" spans="13:29">
      <c r="M53" s="14"/>
      <c r="T53" s="16"/>
      <c r="U53" s="17">
        <f>IF(AND(COUNTA($A53:$L53)=0,$N53=""),"",IF($T53="Paid","PAID",IF($T53="Closed","CLOSED",IF($Z53="","",IF($Z53=6,"ESCALATED TO ROXANNE",IF(TODAY()&gt;$AB53,"OVERDUE",IF($AB53&lt;=WORKDAY(TODAY(),1,Holidays),"DUE TOMORROW",IF($Z53=4,"ESCALATED TO LOCAL OFFICE",IF($Z53=5,"ESCALATED TO CBE",IF($AA53=TODAY(),"EMAIL SENT","MONITORING"))))))))))</f>
        <v/>
      </c>
      <c r="V53" s="17">
        <f>IF($U53="",IF(AND(COUNTA($A53:$L53)&gt;0,$N53=""),"Awaiting Collection Email time stamp.",""),IF(OR($U53="PAID",$U53="CLOSED"),IF($U53="PAID","Account paid. Action completed.","Account closed. No further action required."),CHOOSE($Z53,"Collection Email","1st Email Follow-up","2nd Email Follow-up","Escalation to Local Office","Escalation to CBE","Escalation to Roxanne")&amp;" sent "&amp;TEXT($AA53,"dd-mmm")&amp;". "&amp;IF($Z53=6,"Final escalation completed.",IF($U53="OVERDUE","Next: "&amp;$AC53&amp;" was due "&amp;TEXT($AB53,"dd-mmm")&amp;" - "&amp;(NETWORKDAYS($AB53,TODAY(),Holidays)-1)&amp;" business day(s) late. Send now.",IF($U53="DUE TOMORROW","Next: "&amp;$AC53&amp;IF($AB53&lt;=TODAY()," is due TODAY ("," is due next business day (")&amp;TEXT($AB53,"dd-mmm")&amp;").","Next: "&amp;$AC53&amp;" due "&amp;TEXT($AB53,"dd-mmm")&amp;" ("&amp;(NETWORKDAYS(TODAY(),$AB53,Holidays)-1)&amp;" business day(s) left).")))))</f>
        <v/>
      </c>
      <c r="W53" s="17">
        <f>IF($Z53="","",CHOOSE($Z53,"Collection Email","1st Follow-up","2nd Follow-up","Local Office","CBE","Roxanne")&amp;IF($Z53=6," - Final"," - Day "&amp;MAX(0,NETWORKDAYS($AA53,TODAY(),Holidays)-1)&amp;" of "&amp;CHOOSE($Z53,3,3,2,2,3))&amp;" | Total Day "&amp;MAX(0,NETWORKDAYS($N53,TODAY(),Holidays)-1))</f>
        <v/>
      </c>
      <c r="X53" s="18"/>
      <c r="Y53" s="18"/>
      <c r="Z53" s="17">
        <f>IF($N53="","",COUNT($N53:$S53))</f>
        <v/>
      </c>
      <c r="AA53" s="19">
        <f>IF($Z53="","",INT(INDEX($N53:$S53,$Z53)))</f>
        <v/>
      </c>
      <c r="AB53" s="19">
        <f>IF(OR($Z53="",$Z53=6),"",WORKDAY($AA53,CHOOSE($Z53,3,3,2,2,3),Holidays))</f>
        <v/>
      </c>
      <c r="AC53" s="17">
        <f>IF(OR($Z53="",$Z53=6),"",CHOOSE($Z53,"1st Email Follow-up","2nd Email Follow-up","Escalate Local Office","Escalate to CBE","Escalate to Roxanne"))</f>
        <v/>
      </c>
    </row>
    <row r="54" spans="13:29">
      <c r="M54" s="14"/>
      <c r="T54" s="16"/>
      <c r="U54" s="17">
        <f>IF(AND(COUNTA($A54:$L54)=0,$N54=""),"",IF($T54="Paid","PAID",IF($T54="Closed","CLOSED",IF($Z54="","",IF($Z54=6,"ESCALATED TO ROXANNE",IF(TODAY()&gt;$AB54,"OVERDUE",IF($AB54&lt;=WORKDAY(TODAY(),1,Holidays),"DUE TOMORROW",IF($Z54=4,"ESCALATED TO LOCAL OFFICE",IF($Z54=5,"ESCALATED TO CBE",IF($AA54=TODAY(),"EMAIL SENT","MONITORING"))))))))))</f>
        <v/>
      </c>
      <c r="V54" s="17">
        <f>IF($U54="",IF(AND(COUNTA($A54:$L54)&gt;0,$N54=""),"Awaiting Collection Email time stamp.",""),IF(OR($U54="PAID",$U54="CLOSED"),IF($U54="PAID","Account paid. Action completed.","Account closed. No further action required."),CHOOSE($Z54,"Collection Email","1st Email Follow-up","2nd Email Follow-up","Escalation to Local Office","Escalation to CBE","Escalation to Roxanne")&amp;" sent "&amp;TEXT($AA54,"dd-mmm")&amp;". "&amp;IF($Z54=6,"Final escalation completed.",IF($U54="OVERDUE","Next: "&amp;$AC54&amp;" was due "&amp;TEXT($AB54,"dd-mmm")&amp;" - "&amp;(NETWORKDAYS($AB54,TODAY(),Holidays)-1)&amp;" business day(s) late. Send now.",IF($U54="DUE TOMORROW","Next: "&amp;$AC54&amp;IF($AB54&lt;=TODAY()," is due TODAY ("," is due next business day (")&amp;TEXT($AB54,"dd-mmm")&amp;").","Next: "&amp;$AC54&amp;" due "&amp;TEXT($AB54,"dd-mmm")&amp;" ("&amp;(NETWORKDAYS(TODAY(),$AB54,Holidays)-1)&amp;" business day(s) left).")))))</f>
        <v/>
      </c>
      <c r="W54" s="17">
        <f>IF($Z54="","",CHOOSE($Z54,"Collection Email","1st Follow-up","2nd Follow-up","Local Office","CBE","Roxanne")&amp;IF($Z54=6," - Final"," - Day "&amp;MAX(0,NETWORKDAYS($AA54,TODAY(),Holidays)-1)&amp;" of "&amp;CHOOSE($Z54,3,3,2,2,3))&amp;" | Total Day "&amp;MAX(0,NETWORKDAYS($N54,TODAY(),Holidays)-1))</f>
        <v/>
      </c>
      <c r="X54" s="18"/>
      <c r="Y54" s="18"/>
      <c r="Z54" s="17">
        <f>IF($N54="","",COUNT($N54:$S54))</f>
        <v/>
      </c>
      <c r="AA54" s="19">
        <f>IF($Z54="","",INT(INDEX($N54:$S54,$Z54)))</f>
        <v/>
      </c>
      <c r="AB54" s="19">
        <f>IF(OR($Z54="",$Z54=6),"",WORKDAY($AA54,CHOOSE($Z54,3,3,2,2,3),Holidays))</f>
        <v/>
      </c>
      <c r="AC54" s="17">
        <f>IF(OR($Z54="",$Z54=6),"",CHOOSE($Z54,"1st Email Follow-up","2nd Email Follow-up","Escalate Local Office","Escalate to CBE","Escalate to Roxanne"))</f>
        <v/>
      </c>
    </row>
    <row r="55" spans="13:29">
      <c r="M55" s="14"/>
      <c r="T55" s="16"/>
      <c r="U55" s="17">
        <f>IF(AND(COUNTA($A55:$L55)=0,$N55=""),"",IF($T55="Paid","PAID",IF($T55="Closed","CLOSED",IF($Z55="","",IF($Z55=6,"ESCALATED TO ROXANNE",IF(TODAY()&gt;$AB55,"OVERDUE",IF($AB55&lt;=WORKDAY(TODAY(),1,Holidays),"DUE TOMORROW",IF($Z55=4,"ESCALATED TO LOCAL OFFICE",IF($Z55=5,"ESCALATED TO CBE",IF($AA55=TODAY(),"EMAIL SENT","MONITORING"))))))))))</f>
        <v/>
      </c>
      <c r="V55" s="17">
        <f>IF($U55="",IF(AND(COUNTA($A55:$L55)&gt;0,$N55=""),"Awaiting Collection Email time stamp.",""),IF(OR($U55="PAID",$U55="CLOSED"),IF($U55="PAID","Account paid. Action completed.","Account closed. No further action required."),CHOOSE($Z55,"Collection Email","1st Email Follow-up","2nd Email Follow-up","Escalation to Local Office","Escalation to CBE","Escalation to Roxanne")&amp;" sent "&amp;TEXT($AA55,"dd-mmm")&amp;". "&amp;IF($Z55=6,"Final escalation completed.",IF($U55="OVERDUE","Next: "&amp;$AC55&amp;" was due "&amp;TEXT($AB55,"dd-mmm")&amp;" - "&amp;(NETWORKDAYS($AB55,TODAY(),Holidays)-1)&amp;" business day(s) late. Send now.",IF($U55="DUE TOMORROW","Next: "&amp;$AC55&amp;IF($AB55&lt;=TODAY()," is due TODAY ("," is due next business day (")&amp;TEXT($AB55,"dd-mmm")&amp;").","Next: "&amp;$AC55&amp;" due "&amp;TEXT($AB55,"dd-mmm")&amp;" ("&amp;(NETWORKDAYS(TODAY(),$AB55,Holidays)-1)&amp;" business day(s) left).")))))</f>
        <v/>
      </c>
      <c r="W55" s="17">
        <f>IF($Z55="","",CHOOSE($Z55,"Collection Email","1st Follow-up","2nd Follow-up","Local Office","CBE","Roxanne")&amp;IF($Z55=6," - Final"," - Day "&amp;MAX(0,NETWORKDAYS($AA55,TODAY(),Holidays)-1)&amp;" of "&amp;CHOOSE($Z55,3,3,2,2,3))&amp;" | Total Day "&amp;MAX(0,NETWORKDAYS($N55,TODAY(),Holidays)-1))</f>
        <v/>
      </c>
      <c r="X55" s="18"/>
      <c r="Y55" s="18"/>
      <c r="Z55" s="17">
        <f>IF($N55="","",COUNT($N55:$S55))</f>
        <v/>
      </c>
      <c r="AA55" s="19">
        <f>IF($Z55="","",INT(INDEX($N55:$S55,$Z55)))</f>
        <v/>
      </c>
      <c r="AB55" s="19">
        <f>IF(OR($Z55="",$Z55=6),"",WORKDAY($AA55,CHOOSE($Z55,3,3,2,2,3),Holidays))</f>
        <v/>
      </c>
      <c r="AC55" s="17">
        <f>IF(OR($Z55="",$Z55=6),"",CHOOSE($Z55,"1st Email Follow-up","2nd Email Follow-up","Escalate Local Office","Escalate to CBE","Escalate to Roxanne"))</f>
        <v/>
      </c>
    </row>
    <row r="56" spans="13:29">
      <c r="M56" s="14"/>
      <c r="T56" s="16"/>
      <c r="U56" s="17">
        <f>IF(AND(COUNTA($A56:$L56)=0,$N56=""),"",IF($T56="Paid","PAID",IF($T56="Closed","CLOSED",IF($Z56="","",IF($Z56=6,"ESCALATED TO ROXANNE",IF(TODAY()&gt;$AB56,"OVERDUE",IF($AB56&lt;=WORKDAY(TODAY(),1,Holidays),"DUE TOMORROW",IF($Z56=4,"ESCALATED TO LOCAL OFFICE",IF($Z56=5,"ESCALATED TO CBE",IF($AA56=TODAY(),"EMAIL SENT","MONITORING"))))))))))</f>
        <v/>
      </c>
      <c r="V56" s="17">
        <f>IF($U56="",IF(AND(COUNTA($A56:$L56)&gt;0,$N56=""),"Awaiting Collection Email time stamp.",""),IF(OR($U56="PAID",$U56="CLOSED"),IF($U56="PAID","Account paid. Action completed.","Account closed. No further action required."),CHOOSE($Z56,"Collection Email","1st Email Follow-up","2nd Email Follow-up","Escalation to Local Office","Escalation to CBE","Escalation to Roxanne")&amp;" sent "&amp;TEXT($AA56,"dd-mmm")&amp;". "&amp;IF($Z56=6,"Final escalation completed.",IF($U56="OVERDUE","Next: "&amp;$AC56&amp;" was due "&amp;TEXT($AB56,"dd-mmm")&amp;" - "&amp;(NETWORKDAYS($AB56,TODAY(),Holidays)-1)&amp;" business day(s) late. Send now.",IF($U56="DUE TOMORROW","Next: "&amp;$AC56&amp;IF($AB56&lt;=TODAY()," is due TODAY ("," is due next business day (")&amp;TEXT($AB56,"dd-mmm")&amp;").","Next: "&amp;$AC56&amp;" due "&amp;TEXT($AB56,"dd-mmm")&amp;" ("&amp;(NETWORKDAYS(TODAY(),$AB56,Holidays)-1)&amp;" business day(s) left).")))))</f>
        <v/>
      </c>
      <c r="W56" s="17">
        <f>IF($Z56="","",CHOOSE($Z56,"Collection Email","1st Follow-up","2nd Follow-up","Local Office","CBE","Roxanne")&amp;IF($Z56=6," - Final"," - Day "&amp;MAX(0,NETWORKDAYS($AA56,TODAY(),Holidays)-1)&amp;" of "&amp;CHOOSE($Z56,3,3,2,2,3))&amp;" | Total Day "&amp;MAX(0,NETWORKDAYS($N56,TODAY(),Holidays)-1))</f>
        <v/>
      </c>
      <c r="X56" s="18"/>
      <c r="Y56" s="18"/>
      <c r="Z56" s="17">
        <f>IF($N56="","",COUNT($N56:$S56))</f>
        <v/>
      </c>
      <c r="AA56" s="19">
        <f>IF($Z56="","",INT(INDEX($N56:$S56,$Z56)))</f>
        <v/>
      </c>
      <c r="AB56" s="19">
        <f>IF(OR($Z56="",$Z56=6),"",WORKDAY($AA56,CHOOSE($Z56,3,3,2,2,3),Holidays))</f>
        <v/>
      </c>
      <c r="AC56" s="17">
        <f>IF(OR($Z56="",$Z56=6),"",CHOOSE($Z56,"1st Email Follow-up","2nd Email Follow-up","Escalate Local Office","Escalate to CBE","Escalate to Roxanne"))</f>
        <v/>
      </c>
    </row>
    <row r="57" spans="13:29">
      <c r="M57" s="14"/>
      <c r="T57" s="16"/>
      <c r="U57" s="17">
        <f>IF(AND(COUNTA($A57:$L57)=0,$N57=""),"",IF($T57="Paid","PAID",IF($T57="Closed","CLOSED",IF($Z57="","",IF($Z57=6,"ESCALATED TO ROXANNE",IF(TODAY()&gt;$AB57,"OVERDUE",IF($AB57&lt;=WORKDAY(TODAY(),1,Holidays),"DUE TOMORROW",IF($Z57=4,"ESCALATED TO LOCAL OFFICE",IF($Z57=5,"ESCALATED TO CBE",IF($AA57=TODAY(),"EMAIL SENT","MONITORING"))))))))))</f>
        <v/>
      </c>
      <c r="V57" s="17">
        <f>IF($U57="",IF(AND(COUNTA($A57:$L57)&gt;0,$N57=""),"Awaiting Collection Email time stamp.",""),IF(OR($U57="PAID",$U57="CLOSED"),IF($U57="PAID","Account paid. Action completed.","Account closed. No further action required."),CHOOSE($Z57,"Collection Email","1st Email Follow-up","2nd Email Follow-up","Escalation to Local Office","Escalation to CBE","Escalation to Roxanne")&amp;" sent "&amp;TEXT($AA57,"dd-mmm")&amp;". "&amp;IF($Z57=6,"Final escalation completed.",IF($U57="OVERDUE","Next: "&amp;$AC57&amp;" was due "&amp;TEXT($AB57,"dd-mmm")&amp;" - "&amp;(NETWORKDAYS($AB57,TODAY(),Holidays)-1)&amp;" business day(s) late. Send now.",IF($U57="DUE TOMORROW","Next: "&amp;$AC57&amp;IF($AB57&lt;=TODAY()," is due TODAY ("," is due next business day (")&amp;TEXT($AB57,"dd-mmm")&amp;").","Next: "&amp;$AC57&amp;" due "&amp;TEXT($AB57,"dd-mmm")&amp;" ("&amp;(NETWORKDAYS(TODAY(),$AB57,Holidays)-1)&amp;" business day(s) left).")))))</f>
        <v/>
      </c>
      <c r="W57" s="17">
        <f>IF($Z57="","",CHOOSE($Z57,"Collection Email","1st Follow-up","2nd Follow-up","Local Office","CBE","Roxanne")&amp;IF($Z57=6," - Final"," - Day "&amp;MAX(0,NETWORKDAYS($AA57,TODAY(),Holidays)-1)&amp;" of "&amp;CHOOSE($Z57,3,3,2,2,3))&amp;" | Total Day "&amp;MAX(0,NETWORKDAYS($N57,TODAY(),Holidays)-1))</f>
        <v/>
      </c>
      <c r="X57" s="18"/>
      <c r="Y57" s="18"/>
      <c r="Z57" s="17">
        <f>IF($N57="","",COUNT($N57:$S57))</f>
        <v/>
      </c>
      <c r="AA57" s="19">
        <f>IF($Z57="","",INT(INDEX($N57:$S57,$Z57)))</f>
        <v/>
      </c>
      <c r="AB57" s="19">
        <f>IF(OR($Z57="",$Z57=6),"",WORKDAY($AA57,CHOOSE($Z57,3,3,2,2,3),Holidays))</f>
        <v/>
      </c>
      <c r="AC57" s="17">
        <f>IF(OR($Z57="",$Z57=6),"",CHOOSE($Z57,"1st Email Follow-up","2nd Email Follow-up","Escalate Local Office","Escalate to CBE","Escalate to Roxanne"))</f>
        <v/>
      </c>
    </row>
    <row r="58" spans="13:29">
      <c r="M58" s="14"/>
      <c r="T58" s="16"/>
      <c r="U58" s="17">
        <f>IF(AND(COUNTA($A58:$L58)=0,$N58=""),"",IF($T58="Paid","PAID",IF($T58="Closed","CLOSED",IF($Z58="","",IF($Z58=6,"ESCALATED TO ROXANNE",IF(TODAY()&gt;$AB58,"OVERDUE",IF($AB58&lt;=WORKDAY(TODAY(),1,Holidays),"DUE TOMORROW",IF($Z58=4,"ESCALATED TO LOCAL OFFICE",IF($Z58=5,"ESCALATED TO CBE",IF($AA58=TODAY(),"EMAIL SENT","MONITORING"))))))))))</f>
        <v/>
      </c>
      <c r="V58" s="17">
        <f>IF($U58="",IF(AND(COUNTA($A58:$L58)&gt;0,$N58=""),"Awaiting Collection Email time stamp.",""),IF(OR($U58="PAID",$U58="CLOSED"),IF($U58="PAID","Account paid. Action completed.","Account closed. No further action required."),CHOOSE($Z58,"Collection Email","1st Email Follow-up","2nd Email Follow-up","Escalation to Local Office","Escalation to CBE","Escalation to Roxanne")&amp;" sent "&amp;TEXT($AA58,"dd-mmm")&amp;". "&amp;IF($Z58=6,"Final escalation completed.",IF($U58="OVERDUE","Next: "&amp;$AC58&amp;" was due "&amp;TEXT($AB58,"dd-mmm")&amp;" - "&amp;(NETWORKDAYS($AB58,TODAY(),Holidays)-1)&amp;" business day(s) late. Send now.",IF($U58="DUE TOMORROW","Next: "&amp;$AC58&amp;IF($AB58&lt;=TODAY()," is due TODAY ("," is due next business day (")&amp;TEXT($AB58,"dd-mmm")&amp;").","Next: "&amp;$AC58&amp;" due "&amp;TEXT($AB58,"dd-mmm")&amp;" ("&amp;(NETWORKDAYS(TODAY(),$AB58,Holidays)-1)&amp;" business day(s) left).")))))</f>
        <v/>
      </c>
      <c r="W58" s="17">
        <f>IF($Z58="","",CHOOSE($Z58,"Collection Email","1st Follow-up","2nd Follow-up","Local Office","CBE","Roxanne")&amp;IF($Z58=6," - Final"," - Day "&amp;MAX(0,NETWORKDAYS($AA58,TODAY(),Holidays)-1)&amp;" of "&amp;CHOOSE($Z58,3,3,2,2,3))&amp;" | Total Day "&amp;MAX(0,NETWORKDAYS($N58,TODAY(),Holidays)-1))</f>
        <v/>
      </c>
      <c r="X58" s="18"/>
      <c r="Y58" s="18"/>
      <c r="Z58" s="17">
        <f>IF($N58="","",COUNT($N58:$S58))</f>
        <v/>
      </c>
      <c r="AA58" s="19">
        <f>IF($Z58="","",INT(INDEX($N58:$S58,$Z58)))</f>
        <v/>
      </c>
      <c r="AB58" s="19">
        <f>IF(OR($Z58="",$Z58=6),"",WORKDAY($AA58,CHOOSE($Z58,3,3,2,2,3),Holidays))</f>
        <v/>
      </c>
      <c r="AC58" s="17">
        <f>IF(OR($Z58="",$Z58=6),"",CHOOSE($Z58,"1st Email Follow-up","2nd Email Follow-up","Escalate Local Office","Escalate to CBE","Escalate to Roxanne"))</f>
        <v/>
      </c>
    </row>
    <row r="59" spans="13:29">
      <c r="M59" s="14"/>
      <c r="T59" s="16"/>
      <c r="U59" s="17">
        <f>IF(AND(COUNTA($A59:$L59)=0,$N59=""),"",IF($T59="Paid","PAID",IF($T59="Closed","CLOSED",IF($Z59="","",IF($Z59=6,"ESCALATED TO ROXANNE",IF(TODAY()&gt;$AB59,"OVERDUE",IF($AB59&lt;=WORKDAY(TODAY(),1,Holidays),"DUE TOMORROW",IF($Z59=4,"ESCALATED TO LOCAL OFFICE",IF($Z59=5,"ESCALATED TO CBE",IF($AA59=TODAY(),"EMAIL SENT","MONITORING"))))))))))</f>
        <v/>
      </c>
      <c r="V59" s="17">
        <f>IF($U59="",IF(AND(COUNTA($A59:$L59)&gt;0,$N59=""),"Awaiting Collection Email time stamp.",""),IF(OR($U59="PAID",$U59="CLOSED"),IF($U59="PAID","Account paid. Action completed.","Account closed. No further action required."),CHOOSE($Z59,"Collection Email","1st Email Follow-up","2nd Email Follow-up","Escalation to Local Office","Escalation to CBE","Escalation to Roxanne")&amp;" sent "&amp;TEXT($AA59,"dd-mmm")&amp;". "&amp;IF($Z59=6,"Final escalation completed.",IF($U59="OVERDUE","Next: "&amp;$AC59&amp;" was due "&amp;TEXT($AB59,"dd-mmm")&amp;" - "&amp;(NETWORKDAYS($AB59,TODAY(),Holidays)-1)&amp;" business day(s) late. Send now.",IF($U59="DUE TOMORROW","Next: "&amp;$AC59&amp;IF($AB59&lt;=TODAY()," is due TODAY ("," is due next business day (")&amp;TEXT($AB59,"dd-mmm")&amp;").","Next: "&amp;$AC59&amp;" due "&amp;TEXT($AB59,"dd-mmm")&amp;" ("&amp;(NETWORKDAYS(TODAY(),$AB59,Holidays)-1)&amp;" business day(s) left).")))))</f>
        <v/>
      </c>
      <c r="W59" s="17">
        <f>IF($Z59="","",CHOOSE($Z59,"Collection Email","1st Follow-up","2nd Follow-up","Local Office","CBE","Roxanne")&amp;IF($Z59=6," - Final"," - Day "&amp;MAX(0,NETWORKDAYS($AA59,TODAY(),Holidays)-1)&amp;" of "&amp;CHOOSE($Z59,3,3,2,2,3))&amp;" | Total Day "&amp;MAX(0,NETWORKDAYS($N59,TODAY(),Holidays)-1))</f>
        <v/>
      </c>
      <c r="X59" s="18"/>
      <c r="Y59" s="18"/>
      <c r="Z59" s="17">
        <f>IF($N59="","",COUNT($N59:$S59))</f>
        <v/>
      </c>
      <c r="AA59" s="19">
        <f>IF($Z59="","",INT(INDEX($N59:$S59,$Z59)))</f>
        <v/>
      </c>
      <c r="AB59" s="19">
        <f>IF(OR($Z59="",$Z59=6),"",WORKDAY($AA59,CHOOSE($Z59,3,3,2,2,3),Holidays))</f>
        <v/>
      </c>
      <c r="AC59" s="17">
        <f>IF(OR($Z59="",$Z59=6),"",CHOOSE($Z59,"1st Email Follow-up","2nd Email Follow-up","Escalate Local Office","Escalate to CBE","Escalate to Roxanne"))</f>
        <v/>
      </c>
    </row>
    <row r="60" spans="13:29">
      <c r="M60" s="14"/>
      <c r="T60" s="16"/>
      <c r="U60" s="17">
        <f>IF(AND(COUNTA($A60:$L60)=0,$N60=""),"",IF($T60="Paid","PAID",IF($T60="Closed","CLOSED",IF($Z60="","",IF($Z60=6,"ESCALATED TO ROXANNE",IF(TODAY()&gt;$AB60,"OVERDUE",IF($AB60&lt;=WORKDAY(TODAY(),1,Holidays),"DUE TOMORROW",IF($Z60=4,"ESCALATED TO LOCAL OFFICE",IF($Z60=5,"ESCALATED TO CBE",IF($AA60=TODAY(),"EMAIL SENT","MONITORING"))))))))))</f>
        <v/>
      </c>
      <c r="V60" s="17">
        <f>IF($U60="",IF(AND(COUNTA($A60:$L60)&gt;0,$N60=""),"Awaiting Collection Email time stamp.",""),IF(OR($U60="PAID",$U60="CLOSED"),IF($U60="PAID","Account paid. Action completed.","Account closed. No further action required."),CHOOSE($Z60,"Collection Email","1st Email Follow-up","2nd Email Follow-up","Escalation to Local Office","Escalation to CBE","Escalation to Roxanne")&amp;" sent "&amp;TEXT($AA60,"dd-mmm")&amp;". "&amp;IF($Z60=6,"Final escalation completed.",IF($U60="OVERDUE","Next: "&amp;$AC60&amp;" was due "&amp;TEXT($AB60,"dd-mmm")&amp;" - "&amp;(NETWORKDAYS($AB60,TODAY(),Holidays)-1)&amp;" business day(s) late. Send now.",IF($U60="DUE TOMORROW","Next: "&amp;$AC60&amp;IF($AB60&lt;=TODAY()," is due TODAY ("," is due next business day (")&amp;TEXT($AB60,"dd-mmm")&amp;").","Next: "&amp;$AC60&amp;" due "&amp;TEXT($AB60,"dd-mmm")&amp;" ("&amp;(NETWORKDAYS(TODAY(),$AB60,Holidays)-1)&amp;" business day(s) left).")))))</f>
        <v/>
      </c>
      <c r="W60" s="17">
        <f>IF($Z60="","",CHOOSE($Z60,"Collection Email","1st Follow-up","2nd Follow-up","Local Office","CBE","Roxanne")&amp;IF($Z60=6," - Final"," - Day "&amp;MAX(0,NETWORKDAYS($AA60,TODAY(),Holidays)-1)&amp;" of "&amp;CHOOSE($Z60,3,3,2,2,3))&amp;" | Total Day "&amp;MAX(0,NETWORKDAYS($N60,TODAY(),Holidays)-1))</f>
        <v/>
      </c>
      <c r="X60" s="18"/>
      <c r="Y60" s="18"/>
      <c r="Z60" s="17">
        <f>IF($N60="","",COUNT($N60:$S60))</f>
        <v/>
      </c>
      <c r="AA60" s="19">
        <f>IF($Z60="","",INT(INDEX($N60:$S60,$Z60)))</f>
        <v/>
      </c>
      <c r="AB60" s="19">
        <f>IF(OR($Z60="",$Z60=6),"",WORKDAY($AA60,CHOOSE($Z60,3,3,2,2,3),Holidays))</f>
        <v/>
      </c>
      <c r="AC60" s="17">
        <f>IF(OR($Z60="",$Z60=6),"",CHOOSE($Z60,"1st Email Follow-up","2nd Email Follow-up","Escalate Local Office","Escalate to CBE","Escalate to Roxanne"))</f>
        <v/>
      </c>
    </row>
    <row r="61" spans="13:29">
      <c r="M61" s="14"/>
      <c r="T61" s="16"/>
      <c r="U61" s="17">
        <f>IF(AND(COUNTA($A61:$L61)=0,$N61=""),"",IF($T61="Paid","PAID",IF($T61="Closed","CLOSED",IF($Z61="","",IF($Z61=6,"ESCALATED TO ROXANNE",IF(TODAY()&gt;$AB61,"OVERDUE",IF($AB61&lt;=WORKDAY(TODAY(),1,Holidays),"DUE TOMORROW",IF($Z61=4,"ESCALATED TO LOCAL OFFICE",IF($Z61=5,"ESCALATED TO CBE",IF($AA61=TODAY(),"EMAIL SENT","MONITORING"))))))))))</f>
        <v/>
      </c>
      <c r="V61" s="17">
        <f>IF($U61="",IF(AND(COUNTA($A61:$L61)&gt;0,$N61=""),"Awaiting Collection Email time stamp.",""),IF(OR($U61="PAID",$U61="CLOSED"),IF($U61="PAID","Account paid. Action completed.","Account closed. No further action required."),CHOOSE($Z61,"Collection Email","1st Email Follow-up","2nd Email Follow-up","Escalation to Local Office","Escalation to CBE","Escalation to Roxanne")&amp;" sent "&amp;TEXT($AA61,"dd-mmm")&amp;". "&amp;IF($Z61=6,"Final escalation completed.",IF($U61="OVERDUE","Next: "&amp;$AC61&amp;" was due "&amp;TEXT($AB61,"dd-mmm")&amp;" - "&amp;(NETWORKDAYS($AB61,TODAY(),Holidays)-1)&amp;" business day(s) late. Send now.",IF($U61="DUE TOMORROW","Next: "&amp;$AC61&amp;IF($AB61&lt;=TODAY()," is due TODAY ("," is due next business day (")&amp;TEXT($AB61,"dd-mmm")&amp;").","Next: "&amp;$AC61&amp;" due "&amp;TEXT($AB61,"dd-mmm")&amp;" ("&amp;(NETWORKDAYS(TODAY(),$AB61,Holidays)-1)&amp;" business day(s) left).")))))</f>
        <v/>
      </c>
      <c r="W61" s="17">
        <f>IF($Z61="","",CHOOSE($Z61,"Collection Email","1st Follow-up","2nd Follow-up","Local Office","CBE","Roxanne")&amp;IF($Z61=6," - Final"," - Day "&amp;MAX(0,NETWORKDAYS($AA61,TODAY(),Holidays)-1)&amp;" of "&amp;CHOOSE($Z61,3,3,2,2,3))&amp;" | Total Day "&amp;MAX(0,NETWORKDAYS($N61,TODAY(),Holidays)-1))</f>
        <v/>
      </c>
      <c r="X61" s="18"/>
      <c r="Y61" s="18"/>
      <c r="Z61" s="17">
        <f>IF($N61="","",COUNT($N61:$S61))</f>
        <v/>
      </c>
      <c r="AA61" s="19">
        <f>IF($Z61="","",INT(INDEX($N61:$S61,$Z61)))</f>
        <v/>
      </c>
      <c r="AB61" s="19">
        <f>IF(OR($Z61="",$Z61=6),"",WORKDAY($AA61,CHOOSE($Z61,3,3,2,2,3),Holidays))</f>
        <v/>
      </c>
      <c r="AC61" s="17">
        <f>IF(OR($Z61="",$Z61=6),"",CHOOSE($Z61,"1st Email Follow-up","2nd Email Follow-up","Escalate Local Office","Escalate to CBE","Escalate to Roxanne"))</f>
        <v/>
      </c>
    </row>
    <row r="62" spans="13:29">
      <c r="M62" s="14"/>
      <c r="T62" s="16"/>
      <c r="U62" s="17">
        <f>IF(AND(COUNTA($A62:$L62)=0,$N62=""),"",IF($T62="Paid","PAID",IF($T62="Closed","CLOSED",IF($Z62="","",IF($Z62=6,"ESCALATED TO ROXANNE",IF(TODAY()&gt;$AB62,"OVERDUE",IF($AB62&lt;=WORKDAY(TODAY(),1,Holidays),"DUE TOMORROW",IF($Z62=4,"ESCALATED TO LOCAL OFFICE",IF($Z62=5,"ESCALATED TO CBE",IF($AA62=TODAY(),"EMAIL SENT","MONITORING"))))))))))</f>
        <v/>
      </c>
      <c r="V62" s="17">
        <f>IF($U62="",IF(AND(COUNTA($A62:$L62)&gt;0,$N62=""),"Awaiting Collection Email time stamp.",""),IF(OR($U62="PAID",$U62="CLOSED"),IF($U62="PAID","Account paid. Action completed.","Account closed. No further action required."),CHOOSE($Z62,"Collection Email","1st Email Follow-up","2nd Email Follow-up","Escalation to Local Office","Escalation to CBE","Escalation to Roxanne")&amp;" sent "&amp;TEXT($AA62,"dd-mmm")&amp;". "&amp;IF($Z62=6,"Final escalation completed.",IF($U62="OVERDUE","Next: "&amp;$AC62&amp;" was due "&amp;TEXT($AB62,"dd-mmm")&amp;" - "&amp;(NETWORKDAYS($AB62,TODAY(),Holidays)-1)&amp;" business day(s) late. Send now.",IF($U62="DUE TOMORROW","Next: "&amp;$AC62&amp;IF($AB62&lt;=TODAY()," is due TODAY ("," is due next business day (")&amp;TEXT($AB62,"dd-mmm")&amp;").","Next: "&amp;$AC62&amp;" due "&amp;TEXT($AB62,"dd-mmm")&amp;" ("&amp;(NETWORKDAYS(TODAY(),$AB62,Holidays)-1)&amp;" business day(s) left).")))))</f>
        <v/>
      </c>
      <c r="W62" s="17">
        <f>IF($Z62="","",CHOOSE($Z62,"Collection Email","1st Follow-up","2nd Follow-up","Local Office","CBE","Roxanne")&amp;IF($Z62=6," - Final"," - Day "&amp;MAX(0,NETWORKDAYS($AA62,TODAY(),Holidays)-1)&amp;" of "&amp;CHOOSE($Z62,3,3,2,2,3))&amp;" | Total Day "&amp;MAX(0,NETWORKDAYS($N62,TODAY(),Holidays)-1))</f>
        <v/>
      </c>
      <c r="X62" s="18"/>
      <c r="Y62" s="18"/>
      <c r="Z62" s="17">
        <f>IF($N62="","",COUNT($N62:$S62))</f>
        <v/>
      </c>
      <c r="AA62" s="19">
        <f>IF($Z62="","",INT(INDEX($N62:$S62,$Z62)))</f>
        <v/>
      </c>
      <c r="AB62" s="19">
        <f>IF(OR($Z62="",$Z62=6),"",WORKDAY($AA62,CHOOSE($Z62,3,3,2,2,3),Holidays))</f>
        <v/>
      </c>
      <c r="AC62" s="17">
        <f>IF(OR($Z62="",$Z62=6),"",CHOOSE($Z62,"1st Email Follow-up","2nd Email Follow-up","Escalate Local Office","Escalate to CBE","Escalate to Roxanne"))</f>
        <v/>
      </c>
    </row>
    <row r="63" spans="13:29">
      <c r="M63" s="14"/>
      <c r="T63" s="16"/>
      <c r="U63" s="17">
        <f>IF(AND(COUNTA($A63:$L63)=0,$N63=""),"",IF($T63="Paid","PAID",IF($T63="Closed","CLOSED",IF($Z63="","",IF($Z63=6,"ESCALATED TO ROXANNE",IF(TODAY()&gt;$AB63,"OVERDUE",IF($AB63&lt;=WORKDAY(TODAY(),1,Holidays),"DUE TOMORROW",IF($Z63=4,"ESCALATED TO LOCAL OFFICE",IF($Z63=5,"ESCALATED TO CBE",IF($AA63=TODAY(),"EMAIL SENT","MONITORING"))))))))))</f>
        <v/>
      </c>
      <c r="V63" s="17">
        <f>IF($U63="",IF(AND(COUNTA($A63:$L63)&gt;0,$N63=""),"Awaiting Collection Email time stamp.",""),IF(OR($U63="PAID",$U63="CLOSED"),IF($U63="PAID","Account paid. Action completed.","Account closed. No further action required."),CHOOSE($Z63,"Collection Email","1st Email Follow-up","2nd Email Follow-up","Escalation to Local Office","Escalation to CBE","Escalation to Roxanne")&amp;" sent "&amp;TEXT($AA63,"dd-mmm")&amp;". "&amp;IF($Z63=6,"Final escalation completed.",IF($U63="OVERDUE","Next: "&amp;$AC63&amp;" was due "&amp;TEXT($AB63,"dd-mmm")&amp;" - "&amp;(NETWORKDAYS($AB63,TODAY(),Holidays)-1)&amp;" business day(s) late. Send now.",IF($U63="DUE TOMORROW","Next: "&amp;$AC63&amp;IF($AB63&lt;=TODAY()," is due TODAY ("," is due next business day (")&amp;TEXT($AB63,"dd-mmm")&amp;").","Next: "&amp;$AC63&amp;" due "&amp;TEXT($AB63,"dd-mmm")&amp;" ("&amp;(NETWORKDAYS(TODAY(),$AB63,Holidays)-1)&amp;" business day(s) left).")))))</f>
        <v/>
      </c>
      <c r="W63" s="17">
        <f>IF($Z63="","",CHOOSE($Z63,"Collection Email","1st Follow-up","2nd Follow-up","Local Office","CBE","Roxanne")&amp;IF($Z63=6," - Final"," - Day "&amp;MAX(0,NETWORKDAYS($AA63,TODAY(),Holidays)-1)&amp;" of "&amp;CHOOSE($Z63,3,3,2,2,3))&amp;" | Total Day "&amp;MAX(0,NETWORKDAYS($N63,TODAY(),Holidays)-1))</f>
        <v/>
      </c>
      <c r="X63" s="18"/>
      <c r="Y63" s="18"/>
      <c r="Z63" s="17">
        <f>IF($N63="","",COUNT($N63:$S63))</f>
        <v/>
      </c>
      <c r="AA63" s="19">
        <f>IF($Z63="","",INT(INDEX($N63:$S63,$Z63)))</f>
        <v/>
      </c>
      <c r="AB63" s="19">
        <f>IF(OR($Z63="",$Z63=6),"",WORKDAY($AA63,CHOOSE($Z63,3,3,2,2,3),Holidays))</f>
        <v/>
      </c>
      <c r="AC63" s="17">
        <f>IF(OR($Z63="",$Z63=6),"",CHOOSE($Z63,"1st Email Follow-up","2nd Email Follow-up","Escalate Local Office","Escalate to CBE","Escalate to Roxanne"))</f>
        <v/>
      </c>
    </row>
    <row r="64" spans="13:29">
      <c r="M64" s="14"/>
      <c r="T64" s="16"/>
      <c r="U64" s="17">
        <f>IF(AND(COUNTA($A64:$L64)=0,$N64=""),"",IF($T64="Paid","PAID",IF($T64="Closed","CLOSED",IF($Z64="","",IF($Z64=6,"ESCALATED TO ROXANNE",IF(TODAY()&gt;$AB64,"OVERDUE",IF($AB64&lt;=WORKDAY(TODAY(),1,Holidays),"DUE TOMORROW",IF($Z64=4,"ESCALATED TO LOCAL OFFICE",IF($Z64=5,"ESCALATED TO CBE",IF($AA64=TODAY(),"EMAIL SENT","MONITORING"))))))))))</f>
        <v/>
      </c>
      <c r="V64" s="17">
        <f>IF($U64="",IF(AND(COUNTA($A64:$L64)&gt;0,$N64=""),"Awaiting Collection Email time stamp.",""),IF(OR($U64="PAID",$U64="CLOSED"),IF($U64="PAID","Account paid. Action completed.","Account closed. No further action required."),CHOOSE($Z64,"Collection Email","1st Email Follow-up","2nd Email Follow-up","Escalation to Local Office","Escalation to CBE","Escalation to Roxanne")&amp;" sent "&amp;TEXT($AA64,"dd-mmm")&amp;". "&amp;IF($Z64=6,"Final escalation completed.",IF($U64="OVERDUE","Next: "&amp;$AC64&amp;" was due "&amp;TEXT($AB64,"dd-mmm")&amp;" - "&amp;(NETWORKDAYS($AB64,TODAY(),Holidays)-1)&amp;" business day(s) late. Send now.",IF($U64="DUE TOMORROW","Next: "&amp;$AC64&amp;IF($AB64&lt;=TODAY()," is due TODAY ("," is due next business day (")&amp;TEXT($AB64,"dd-mmm")&amp;").","Next: "&amp;$AC64&amp;" due "&amp;TEXT($AB64,"dd-mmm")&amp;" ("&amp;(NETWORKDAYS(TODAY(),$AB64,Holidays)-1)&amp;" business day(s) left).")))))</f>
        <v/>
      </c>
      <c r="W64" s="17">
        <f>IF($Z64="","",CHOOSE($Z64,"Collection Email","1st Follow-up","2nd Follow-up","Local Office","CBE","Roxanne")&amp;IF($Z64=6," - Final"," - Day "&amp;MAX(0,NETWORKDAYS($AA64,TODAY(),Holidays)-1)&amp;" of "&amp;CHOOSE($Z64,3,3,2,2,3))&amp;" | Total Day "&amp;MAX(0,NETWORKDAYS($N64,TODAY(),Holidays)-1))</f>
        <v/>
      </c>
      <c r="X64" s="18"/>
      <c r="Y64" s="18"/>
      <c r="Z64" s="17">
        <f>IF($N64="","",COUNT($N64:$S64))</f>
        <v/>
      </c>
      <c r="AA64" s="19">
        <f>IF($Z64="","",INT(INDEX($N64:$S64,$Z64)))</f>
        <v/>
      </c>
      <c r="AB64" s="19">
        <f>IF(OR($Z64="",$Z64=6),"",WORKDAY($AA64,CHOOSE($Z64,3,3,2,2,3),Holidays))</f>
        <v/>
      </c>
      <c r="AC64" s="17">
        <f>IF(OR($Z64="",$Z64=6),"",CHOOSE($Z64,"1st Email Follow-up","2nd Email Follow-up","Escalate Local Office","Escalate to CBE","Escalate to Roxanne"))</f>
        <v/>
      </c>
    </row>
    <row r="65" spans="13:29">
      <c r="M65" s="14"/>
      <c r="T65" s="16"/>
      <c r="U65" s="17">
        <f>IF(AND(COUNTA($A65:$L65)=0,$N65=""),"",IF($T65="Paid","PAID",IF($T65="Closed","CLOSED",IF($Z65="","",IF($Z65=6,"ESCALATED TO ROXANNE",IF(TODAY()&gt;$AB65,"OVERDUE",IF($AB65&lt;=WORKDAY(TODAY(),1,Holidays),"DUE TOMORROW",IF($Z65=4,"ESCALATED TO LOCAL OFFICE",IF($Z65=5,"ESCALATED TO CBE",IF($AA65=TODAY(),"EMAIL SENT","MONITORING"))))))))))</f>
        <v/>
      </c>
      <c r="V65" s="17">
        <f>IF($U65="",IF(AND(COUNTA($A65:$L65)&gt;0,$N65=""),"Awaiting Collection Email time stamp.",""),IF(OR($U65="PAID",$U65="CLOSED"),IF($U65="PAID","Account paid. Action completed.","Account closed. No further action required."),CHOOSE($Z65,"Collection Email","1st Email Follow-up","2nd Email Follow-up","Escalation to Local Office","Escalation to CBE","Escalation to Roxanne")&amp;" sent "&amp;TEXT($AA65,"dd-mmm")&amp;". "&amp;IF($Z65=6,"Final escalation completed.",IF($U65="OVERDUE","Next: "&amp;$AC65&amp;" was due "&amp;TEXT($AB65,"dd-mmm")&amp;" - "&amp;(NETWORKDAYS($AB65,TODAY(),Holidays)-1)&amp;" business day(s) late. Send now.",IF($U65="DUE TOMORROW","Next: "&amp;$AC65&amp;IF($AB65&lt;=TODAY()," is due TODAY ("," is due next business day (")&amp;TEXT($AB65,"dd-mmm")&amp;").","Next: "&amp;$AC65&amp;" due "&amp;TEXT($AB65,"dd-mmm")&amp;" ("&amp;(NETWORKDAYS(TODAY(),$AB65,Holidays)-1)&amp;" business day(s) left).")))))</f>
        <v/>
      </c>
      <c r="W65" s="17">
        <f>IF($Z65="","",CHOOSE($Z65,"Collection Email","1st Follow-up","2nd Follow-up","Local Office","CBE","Roxanne")&amp;IF($Z65=6," - Final"," - Day "&amp;MAX(0,NETWORKDAYS($AA65,TODAY(),Holidays)-1)&amp;" of "&amp;CHOOSE($Z65,3,3,2,2,3))&amp;" | Total Day "&amp;MAX(0,NETWORKDAYS($N65,TODAY(),Holidays)-1))</f>
        <v/>
      </c>
      <c r="X65" s="18"/>
      <c r="Y65" s="18"/>
      <c r="Z65" s="17">
        <f>IF($N65="","",COUNT($N65:$S65))</f>
        <v/>
      </c>
      <c r="AA65" s="19">
        <f>IF($Z65="","",INT(INDEX($N65:$S65,$Z65)))</f>
        <v/>
      </c>
      <c r="AB65" s="19">
        <f>IF(OR($Z65="",$Z65=6),"",WORKDAY($AA65,CHOOSE($Z65,3,3,2,2,3),Holidays))</f>
        <v/>
      </c>
      <c r="AC65" s="17">
        <f>IF(OR($Z65="",$Z65=6),"",CHOOSE($Z65,"1st Email Follow-up","2nd Email Follow-up","Escalate Local Office","Escalate to CBE","Escalate to Roxanne"))</f>
        <v/>
      </c>
    </row>
    <row r="66" spans="13:29">
      <c r="M66" s="14"/>
      <c r="T66" s="16"/>
      <c r="U66" s="17">
        <f>IF(AND(COUNTA($A66:$L66)=0,$N66=""),"",IF($T66="Paid","PAID",IF($T66="Closed","CLOSED",IF($Z66="","",IF($Z66=6,"ESCALATED TO ROXANNE",IF(TODAY()&gt;$AB66,"OVERDUE",IF($AB66&lt;=WORKDAY(TODAY(),1,Holidays),"DUE TOMORROW",IF($Z66=4,"ESCALATED TO LOCAL OFFICE",IF($Z66=5,"ESCALATED TO CBE",IF($AA66=TODAY(),"EMAIL SENT","MONITORING"))))))))))</f>
        <v/>
      </c>
      <c r="V66" s="17">
        <f>IF($U66="",IF(AND(COUNTA($A66:$L66)&gt;0,$N66=""),"Awaiting Collection Email time stamp.",""),IF(OR($U66="PAID",$U66="CLOSED"),IF($U66="PAID","Account paid. Action completed.","Account closed. No further action required."),CHOOSE($Z66,"Collection Email","1st Email Follow-up","2nd Email Follow-up","Escalation to Local Office","Escalation to CBE","Escalation to Roxanne")&amp;" sent "&amp;TEXT($AA66,"dd-mmm")&amp;". "&amp;IF($Z66=6,"Final escalation completed.",IF($U66="OVERDUE","Next: "&amp;$AC66&amp;" was due "&amp;TEXT($AB66,"dd-mmm")&amp;" - "&amp;(NETWORKDAYS($AB66,TODAY(),Holidays)-1)&amp;" business day(s) late. Send now.",IF($U66="DUE TOMORROW","Next: "&amp;$AC66&amp;IF($AB66&lt;=TODAY()," is due TODAY ("," is due next business day (")&amp;TEXT($AB66,"dd-mmm")&amp;").","Next: "&amp;$AC66&amp;" due "&amp;TEXT($AB66,"dd-mmm")&amp;" ("&amp;(NETWORKDAYS(TODAY(),$AB66,Holidays)-1)&amp;" business day(s) left).")))))</f>
        <v/>
      </c>
      <c r="W66" s="17">
        <f>IF($Z66="","",CHOOSE($Z66,"Collection Email","1st Follow-up","2nd Follow-up","Local Office","CBE","Roxanne")&amp;IF($Z66=6," - Final"," - Day "&amp;MAX(0,NETWORKDAYS($AA66,TODAY(),Holidays)-1)&amp;" of "&amp;CHOOSE($Z66,3,3,2,2,3))&amp;" | Total Day "&amp;MAX(0,NETWORKDAYS($N66,TODAY(),Holidays)-1))</f>
        <v/>
      </c>
      <c r="X66" s="18"/>
      <c r="Y66" s="18"/>
      <c r="Z66" s="17">
        <f>IF($N66="","",COUNT($N66:$S66))</f>
        <v/>
      </c>
      <c r="AA66" s="19">
        <f>IF($Z66="","",INT(INDEX($N66:$S66,$Z66)))</f>
        <v/>
      </c>
      <c r="AB66" s="19">
        <f>IF(OR($Z66="",$Z66=6),"",WORKDAY($AA66,CHOOSE($Z66,3,3,2,2,3),Holidays))</f>
        <v/>
      </c>
      <c r="AC66" s="17">
        <f>IF(OR($Z66="",$Z66=6),"",CHOOSE($Z66,"1st Email Follow-up","2nd Email Follow-up","Escalate Local Office","Escalate to CBE","Escalate to Roxanne"))</f>
        <v/>
      </c>
    </row>
    <row r="67" spans="13:29">
      <c r="M67" s="14"/>
      <c r="T67" s="16"/>
      <c r="U67" s="17">
        <f>IF(AND(COUNTA($A67:$L67)=0,$N67=""),"",IF($T67="Paid","PAID",IF($T67="Closed","CLOSED",IF($Z67="","",IF($Z67=6,"ESCALATED TO ROXANNE",IF(TODAY()&gt;$AB67,"OVERDUE",IF($AB67&lt;=WORKDAY(TODAY(),1,Holidays),"DUE TOMORROW",IF($Z67=4,"ESCALATED TO LOCAL OFFICE",IF($Z67=5,"ESCALATED TO CBE",IF($AA67=TODAY(),"EMAIL SENT","MONITORING"))))))))))</f>
        <v/>
      </c>
      <c r="V67" s="17">
        <f>IF($U67="",IF(AND(COUNTA($A67:$L67)&gt;0,$N67=""),"Awaiting Collection Email time stamp.",""),IF(OR($U67="PAID",$U67="CLOSED"),IF($U67="PAID","Account paid. Action completed.","Account closed. No further action required."),CHOOSE($Z67,"Collection Email","1st Email Follow-up","2nd Email Follow-up","Escalation to Local Office","Escalation to CBE","Escalation to Roxanne")&amp;" sent "&amp;TEXT($AA67,"dd-mmm")&amp;". "&amp;IF($Z67=6,"Final escalation completed.",IF($U67="OVERDUE","Next: "&amp;$AC67&amp;" was due "&amp;TEXT($AB67,"dd-mmm")&amp;" - "&amp;(NETWORKDAYS($AB67,TODAY(),Holidays)-1)&amp;" business day(s) late. Send now.",IF($U67="DUE TOMORROW","Next: "&amp;$AC67&amp;IF($AB67&lt;=TODAY()," is due TODAY ("," is due next business day (")&amp;TEXT($AB67,"dd-mmm")&amp;").","Next: "&amp;$AC67&amp;" due "&amp;TEXT($AB67,"dd-mmm")&amp;" ("&amp;(NETWORKDAYS(TODAY(),$AB67,Holidays)-1)&amp;" business day(s) left).")))))</f>
        <v/>
      </c>
      <c r="W67" s="17">
        <f>IF($Z67="","",CHOOSE($Z67,"Collection Email","1st Follow-up","2nd Follow-up","Local Office","CBE","Roxanne")&amp;IF($Z67=6," - Final"," - Day "&amp;MAX(0,NETWORKDAYS($AA67,TODAY(),Holidays)-1)&amp;" of "&amp;CHOOSE($Z67,3,3,2,2,3))&amp;" | Total Day "&amp;MAX(0,NETWORKDAYS($N67,TODAY(),Holidays)-1))</f>
        <v/>
      </c>
      <c r="X67" s="18"/>
      <c r="Y67" s="18"/>
      <c r="Z67" s="17">
        <f>IF($N67="","",COUNT($N67:$S67))</f>
        <v/>
      </c>
      <c r="AA67" s="19">
        <f>IF($Z67="","",INT(INDEX($N67:$S67,$Z67)))</f>
        <v/>
      </c>
      <c r="AB67" s="19">
        <f>IF(OR($Z67="",$Z67=6),"",WORKDAY($AA67,CHOOSE($Z67,3,3,2,2,3),Holidays))</f>
        <v/>
      </c>
      <c r="AC67" s="17">
        <f>IF(OR($Z67="",$Z67=6),"",CHOOSE($Z67,"1st Email Follow-up","2nd Email Follow-up","Escalate Local Office","Escalate to CBE","Escalate to Roxanne"))</f>
        <v/>
      </c>
    </row>
    <row r="68" spans="13:29">
      <c r="M68" s="14"/>
      <c r="T68" s="16"/>
      <c r="U68" s="17">
        <f>IF(AND(COUNTA($A68:$L68)=0,$N68=""),"",IF($T68="Paid","PAID",IF($T68="Closed","CLOSED",IF($Z68="","",IF($Z68=6,"ESCALATED TO ROXANNE",IF(TODAY()&gt;$AB68,"OVERDUE",IF($AB68&lt;=WORKDAY(TODAY(),1,Holidays),"DUE TOMORROW",IF($Z68=4,"ESCALATED TO LOCAL OFFICE",IF($Z68=5,"ESCALATED TO CBE",IF($AA68=TODAY(),"EMAIL SENT","MONITORING"))))))))))</f>
        <v/>
      </c>
      <c r="V68" s="17">
        <f>IF($U68="",IF(AND(COUNTA($A68:$L68)&gt;0,$N68=""),"Awaiting Collection Email time stamp.",""),IF(OR($U68="PAID",$U68="CLOSED"),IF($U68="PAID","Account paid. Action completed.","Account closed. No further action required."),CHOOSE($Z68,"Collection Email","1st Email Follow-up","2nd Email Follow-up","Escalation to Local Office","Escalation to CBE","Escalation to Roxanne")&amp;" sent "&amp;TEXT($AA68,"dd-mmm")&amp;". "&amp;IF($Z68=6,"Final escalation completed.",IF($U68="OVERDUE","Next: "&amp;$AC68&amp;" was due "&amp;TEXT($AB68,"dd-mmm")&amp;" - "&amp;(NETWORKDAYS($AB68,TODAY(),Holidays)-1)&amp;" business day(s) late. Send now.",IF($U68="DUE TOMORROW","Next: "&amp;$AC68&amp;IF($AB68&lt;=TODAY()," is due TODAY ("," is due next business day (")&amp;TEXT($AB68,"dd-mmm")&amp;").","Next: "&amp;$AC68&amp;" due "&amp;TEXT($AB68,"dd-mmm")&amp;" ("&amp;(NETWORKDAYS(TODAY(),$AB68,Holidays)-1)&amp;" business day(s) left).")))))</f>
        <v/>
      </c>
      <c r="W68" s="17">
        <f>IF($Z68="","",CHOOSE($Z68,"Collection Email","1st Follow-up","2nd Follow-up","Local Office","CBE","Roxanne")&amp;IF($Z68=6," - Final"," - Day "&amp;MAX(0,NETWORKDAYS($AA68,TODAY(),Holidays)-1)&amp;" of "&amp;CHOOSE($Z68,3,3,2,2,3))&amp;" | Total Day "&amp;MAX(0,NETWORKDAYS($N68,TODAY(),Holidays)-1))</f>
        <v/>
      </c>
      <c r="X68" s="18"/>
      <c r="Y68" s="18"/>
      <c r="Z68" s="17">
        <f>IF($N68="","",COUNT($N68:$S68))</f>
        <v/>
      </c>
      <c r="AA68" s="19">
        <f>IF($Z68="","",INT(INDEX($N68:$S68,$Z68)))</f>
        <v/>
      </c>
      <c r="AB68" s="19">
        <f>IF(OR($Z68="",$Z68=6),"",WORKDAY($AA68,CHOOSE($Z68,3,3,2,2,3),Holidays))</f>
        <v/>
      </c>
      <c r="AC68" s="17">
        <f>IF(OR($Z68="",$Z68=6),"",CHOOSE($Z68,"1st Email Follow-up","2nd Email Follow-up","Escalate Local Office","Escalate to CBE","Escalate to Roxanne"))</f>
        <v/>
      </c>
    </row>
    <row r="69" spans="13:29">
      <c r="M69" s="14"/>
      <c r="T69" s="16"/>
      <c r="U69" s="17">
        <f>IF(AND(COUNTA($A69:$L69)=0,$N69=""),"",IF($T69="Paid","PAID",IF($T69="Closed","CLOSED",IF($Z69="","",IF($Z69=6,"ESCALATED TO ROXANNE",IF(TODAY()&gt;$AB69,"OVERDUE",IF($AB69&lt;=WORKDAY(TODAY(),1,Holidays),"DUE TOMORROW",IF($Z69=4,"ESCALATED TO LOCAL OFFICE",IF($Z69=5,"ESCALATED TO CBE",IF($AA69=TODAY(),"EMAIL SENT","MONITORING"))))))))))</f>
        <v/>
      </c>
      <c r="V69" s="17">
        <f>IF($U69="",IF(AND(COUNTA($A69:$L69)&gt;0,$N69=""),"Awaiting Collection Email time stamp.",""),IF(OR($U69="PAID",$U69="CLOSED"),IF($U69="PAID","Account paid. Action completed.","Account closed. No further action required."),CHOOSE($Z69,"Collection Email","1st Email Follow-up","2nd Email Follow-up","Escalation to Local Office","Escalation to CBE","Escalation to Roxanne")&amp;" sent "&amp;TEXT($AA69,"dd-mmm")&amp;". "&amp;IF($Z69=6,"Final escalation completed.",IF($U69="OVERDUE","Next: "&amp;$AC69&amp;" was due "&amp;TEXT($AB69,"dd-mmm")&amp;" - "&amp;(NETWORKDAYS($AB69,TODAY(),Holidays)-1)&amp;" business day(s) late. Send now.",IF($U69="DUE TOMORROW","Next: "&amp;$AC69&amp;IF($AB69&lt;=TODAY()," is due TODAY ("," is due next business day (")&amp;TEXT($AB69,"dd-mmm")&amp;").","Next: "&amp;$AC69&amp;" due "&amp;TEXT($AB69,"dd-mmm")&amp;" ("&amp;(NETWORKDAYS(TODAY(),$AB69,Holidays)-1)&amp;" business day(s) left).")))))</f>
        <v/>
      </c>
      <c r="W69" s="17">
        <f>IF($Z69="","",CHOOSE($Z69,"Collection Email","1st Follow-up","2nd Follow-up","Local Office","CBE","Roxanne")&amp;IF($Z69=6," - Final"," - Day "&amp;MAX(0,NETWORKDAYS($AA69,TODAY(),Holidays)-1)&amp;" of "&amp;CHOOSE($Z69,3,3,2,2,3))&amp;" | Total Day "&amp;MAX(0,NETWORKDAYS($N69,TODAY(),Holidays)-1))</f>
        <v/>
      </c>
      <c r="X69" s="18"/>
      <c r="Y69" s="18"/>
      <c r="Z69" s="17">
        <f>IF($N69="","",COUNT($N69:$S69))</f>
        <v/>
      </c>
      <c r="AA69" s="19">
        <f>IF($Z69="","",INT(INDEX($N69:$S69,$Z69)))</f>
        <v/>
      </c>
      <c r="AB69" s="19">
        <f>IF(OR($Z69="",$Z69=6),"",WORKDAY($AA69,CHOOSE($Z69,3,3,2,2,3),Holidays))</f>
        <v/>
      </c>
      <c r="AC69" s="17">
        <f>IF(OR($Z69="",$Z69=6),"",CHOOSE($Z69,"1st Email Follow-up","2nd Email Follow-up","Escalate Local Office","Escalate to CBE","Escalate to Roxanne"))</f>
        <v/>
      </c>
    </row>
    <row r="70" spans="13:29">
      <c r="M70" s="14"/>
      <c r="T70" s="16"/>
      <c r="U70" s="17">
        <f>IF(AND(COUNTA($A70:$L70)=0,$N70=""),"",IF($T70="Paid","PAID",IF($T70="Closed","CLOSED",IF($Z70="","",IF($Z70=6,"ESCALATED TO ROXANNE",IF(TODAY()&gt;$AB70,"OVERDUE",IF($AB70&lt;=WORKDAY(TODAY(),1,Holidays),"DUE TOMORROW",IF($Z70=4,"ESCALATED TO LOCAL OFFICE",IF($Z70=5,"ESCALATED TO CBE",IF($AA70=TODAY(),"EMAIL SENT","MONITORING"))))))))))</f>
        <v/>
      </c>
      <c r="V70" s="17">
        <f>IF($U70="",IF(AND(COUNTA($A70:$L70)&gt;0,$N70=""),"Awaiting Collection Email time stamp.",""),IF(OR($U70="PAID",$U70="CLOSED"),IF($U70="PAID","Account paid. Action completed.","Account closed. No further action required."),CHOOSE($Z70,"Collection Email","1st Email Follow-up","2nd Email Follow-up","Escalation to Local Office","Escalation to CBE","Escalation to Roxanne")&amp;" sent "&amp;TEXT($AA70,"dd-mmm")&amp;". "&amp;IF($Z70=6,"Final escalation completed.",IF($U70="OVERDUE","Next: "&amp;$AC70&amp;" was due "&amp;TEXT($AB70,"dd-mmm")&amp;" - "&amp;(NETWORKDAYS($AB70,TODAY(),Holidays)-1)&amp;" business day(s) late. Send now.",IF($U70="DUE TOMORROW","Next: "&amp;$AC70&amp;IF($AB70&lt;=TODAY()," is due TODAY ("," is due next business day (")&amp;TEXT($AB70,"dd-mmm")&amp;").","Next: "&amp;$AC70&amp;" due "&amp;TEXT($AB70,"dd-mmm")&amp;" ("&amp;(NETWORKDAYS(TODAY(),$AB70,Holidays)-1)&amp;" business day(s) left).")))))</f>
        <v/>
      </c>
      <c r="W70" s="17">
        <f>IF($Z70="","",CHOOSE($Z70,"Collection Email","1st Follow-up","2nd Follow-up","Local Office","CBE","Roxanne")&amp;IF($Z70=6," - Final"," - Day "&amp;MAX(0,NETWORKDAYS($AA70,TODAY(),Holidays)-1)&amp;" of "&amp;CHOOSE($Z70,3,3,2,2,3))&amp;" | Total Day "&amp;MAX(0,NETWORKDAYS($N70,TODAY(),Holidays)-1))</f>
        <v/>
      </c>
      <c r="X70" s="18"/>
      <c r="Y70" s="18"/>
      <c r="Z70" s="17">
        <f>IF($N70="","",COUNT($N70:$S70))</f>
        <v/>
      </c>
      <c r="AA70" s="19">
        <f>IF($Z70="","",INT(INDEX($N70:$S70,$Z70)))</f>
        <v/>
      </c>
      <c r="AB70" s="19">
        <f>IF(OR($Z70="",$Z70=6),"",WORKDAY($AA70,CHOOSE($Z70,3,3,2,2,3),Holidays))</f>
        <v/>
      </c>
      <c r="AC70" s="17">
        <f>IF(OR($Z70="",$Z70=6),"",CHOOSE($Z70,"1st Email Follow-up","2nd Email Follow-up","Escalate Local Office","Escalate to CBE","Escalate to Roxanne"))</f>
        <v/>
      </c>
    </row>
    <row r="71" spans="13:29">
      <c r="M71" s="14"/>
      <c r="T71" s="16"/>
      <c r="U71" s="17">
        <f>IF(AND(COUNTA($A71:$L71)=0,$N71=""),"",IF($T71="Paid","PAID",IF($T71="Closed","CLOSED",IF($Z71="","",IF($Z71=6,"ESCALATED TO ROXANNE",IF(TODAY()&gt;$AB71,"OVERDUE",IF($AB71&lt;=WORKDAY(TODAY(),1,Holidays),"DUE TOMORROW",IF($Z71=4,"ESCALATED TO LOCAL OFFICE",IF($Z71=5,"ESCALATED TO CBE",IF($AA71=TODAY(),"EMAIL SENT","MONITORING"))))))))))</f>
        <v/>
      </c>
      <c r="V71" s="17">
        <f>IF($U71="",IF(AND(COUNTA($A71:$L71)&gt;0,$N71=""),"Awaiting Collection Email time stamp.",""),IF(OR($U71="PAID",$U71="CLOSED"),IF($U71="PAID","Account paid. Action completed.","Account closed. No further action required."),CHOOSE($Z71,"Collection Email","1st Email Follow-up","2nd Email Follow-up","Escalation to Local Office","Escalation to CBE","Escalation to Roxanne")&amp;" sent "&amp;TEXT($AA71,"dd-mmm")&amp;". "&amp;IF($Z71=6,"Final escalation completed.",IF($U71="OVERDUE","Next: "&amp;$AC71&amp;" was due "&amp;TEXT($AB71,"dd-mmm")&amp;" - "&amp;(NETWORKDAYS($AB71,TODAY(),Holidays)-1)&amp;" business day(s) late. Send now.",IF($U71="DUE TOMORROW","Next: "&amp;$AC71&amp;IF($AB71&lt;=TODAY()," is due TODAY ("," is due next business day (")&amp;TEXT($AB71,"dd-mmm")&amp;").","Next: "&amp;$AC71&amp;" due "&amp;TEXT($AB71,"dd-mmm")&amp;" ("&amp;(NETWORKDAYS(TODAY(),$AB71,Holidays)-1)&amp;" business day(s) left).")))))</f>
        <v/>
      </c>
      <c r="W71" s="17">
        <f>IF($Z71="","",CHOOSE($Z71,"Collection Email","1st Follow-up","2nd Follow-up","Local Office","CBE","Roxanne")&amp;IF($Z71=6," - Final"," - Day "&amp;MAX(0,NETWORKDAYS($AA71,TODAY(),Holidays)-1)&amp;" of "&amp;CHOOSE($Z71,3,3,2,2,3))&amp;" | Total Day "&amp;MAX(0,NETWORKDAYS($N71,TODAY(),Holidays)-1))</f>
        <v/>
      </c>
      <c r="X71" s="18"/>
      <c r="Y71" s="18"/>
      <c r="Z71" s="17">
        <f>IF($N71="","",COUNT($N71:$S71))</f>
        <v/>
      </c>
      <c r="AA71" s="19">
        <f>IF($Z71="","",INT(INDEX($N71:$S71,$Z71)))</f>
        <v/>
      </c>
      <c r="AB71" s="19">
        <f>IF(OR($Z71="",$Z71=6),"",WORKDAY($AA71,CHOOSE($Z71,3,3,2,2,3),Holidays))</f>
        <v/>
      </c>
      <c r="AC71" s="17">
        <f>IF(OR($Z71="",$Z71=6),"",CHOOSE($Z71,"1st Email Follow-up","2nd Email Follow-up","Escalate Local Office","Escalate to CBE","Escalate to Roxanne"))</f>
        <v/>
      </c>
    </row>
    <row r="72" spans="13:29">
      <c r="M72" s="14"/>
      <c r="T72" s="16"/>
      <c r="U72" s="17">
        <f>IF(AND(COUNTA($A72:$L72)=0,$N72=""),"",IF($T72="Paid","PAID",IF($T72="Closed","CLOSED",IF($Z72="","",IF($Z72=6,"ESCALATED TO ROXANNE",IF(TODAY()&gt;$AB72,"OVERDUE",IF($AB72&lt;=WORKDAY(TODAY(),1,Holidays),"DUE TOMORROW",IF($Z72=4,"ESCALATED TO LOCAL OFFICE",IF($Z72=5,"ESCALATED TO CBE",IF($AA72=TODAY(),"EMAIL SENT","MONITORING"))))))))))</f>
        <v/>
      </c>
      <c r="V72" s="17">
        <f>IF($U72="",IF(AND(COUNTA($A72:$L72)&gt;0,$N72=""),"Awaiting Collection Email time stamp.",""),IF(OR($U72="PAID",$U72="CLOSED"),IF($U72="PAID","Account paid. Action completed.","Account closed. No further action required."),CHOOSE($Z72,"Collection Email","1st Email Follow-up","2nd Email Follow-up","Escalation to Local Office","Escalation to CBE","Escalation to Roxanne")&amp;" sent "&amp;TEXT($AA72,"dd-mmm")&amp;". "&amp;IF($Z72=6,"Final escalation completed.",IF($U72="OVERDUE","Next: "&amp;$AC72&amp;" was due "&amp;TEXT($AB72,"dd-mmm")&amp;" - "&amp;(NETWORKDAYS($AB72,TODAY(),Holidays)-1)&amp;" business day(s) late. Send now.",IF($U72="DUE TOMORROW","Next: "&amp;$AC72&amp;IF($AB72&lt;=TODAY()," is due TODAY ("," is due next business day (")&amp;TEXT($AB72,"dd-mmm")&amp;").","Next: "&amp;$AC72&amp;" due "&amp;TEXT($AB72,"dd-mmm")&amp;" ("&amp;(NETWORKDAYS(TODAY(),$AB72,Holidays)-1)&amp;" business day(s) left).")))))</f>
        <v/>
      </c>
      <c r="W72" s="17">
        <f>IF($Z72="","",CHOOSE($Z72,"Collection Email","1st Follow-up","2nd Follow-up","Local Office","CBE","Roxanne")&amp;IF($Z72=6," - Final"," - Day "&amp;MAX(0,NETWORKDAYS($AA72,TODAY(),Holidays)-1)&amp;" of "&amp;CHOOSE($Z72,3,3,2,2,3))&amp;" | Total Day "&amp;MAX(0,NETWORKDAYS($N72,TODAY(),Holidays)-1))</f>
        <v/>
      </c>
      <c r="X72" s="18"/>
      <c r="Y72" s="18"/>
      <c r="Z72" s="17">
        <f>IF($N72="","",COUNT($N72:$S72))</f>
        <v/>
      </c>
      <c r="AA72" s="19">
        <f>IF($Z72="","",INT(INDEX($N72:$S72,$Z72)))</f>
        <v/>
      </c>
      <c r="AB72" s="19">
        <f>IF(OR($Z72="",$Z72=6),"",WORKDAY($AA72,CHOOSE($Z72,3,3,2,2,3),Holidays))</f>
        <v/>
      </c>
      <c r="AC72" s="17">
        <f>IF(OR($Z72="",$Z72=6),"",CHOOSE($Z72,"1st Email Follow-up","2nd Email Follow-up","Escalate Local Office","Escalate to CBE","Escalate to Roxanne"))</f>
        <v/>
      </c>
    </row>
    <row r="73" spans="13:29">
      <c r="M73" s="14"/>
      <c r="T73" s="16"/>
      <c r="U73" s="17">
        <f>IF(AND(COUNTA($A73:$L73)=0,$N73=""),"",IF($T73="Paid","PAID",IF($T73="Closed","CLOSED",IF($Z73="","",IF($Z73=6,"ESCALATED TO ROXANNE",IF(TODAY()&gt;$AB73,"OVERDUE",IF($AB73&lt;=WORKDAY(TODAY(),1,Holidays),"DUE TOMORROW",IF($Z73=4,"ESCALATED TO LOCAL OFFICE",IF($Z73=5,"ESCALATED TO CBE",IF($AA73=TODAY(),"EMAIL SENT","MONITORING"))))))))))</f>
        <v/>
      </c>
      <c r="V73" s="17">
        <f>IF($U73="",IF(AND(COUNTA($A73:$L73)&gt;0,$N73=""),"Awaiting Collection Email time stamp.",""),IF(OR($U73="PAID",$U73="CLOSED"),IF($U73="PAID","Account paid. Action completed.","Account closed. No further action required."),CHOOSE($Z73,"Collection Email","1st Email Follow-up","2nd Email Follow-up","Escalation to Local Office","Escalation to CBE","Escalation to Roxanne")&amp;" sent "&amp;TEXT($AA73,"dd-mmm")&amp;". "&amp;IF($Z73=6,"Final escalation completed.",IF($U73="OVERDUE","Next: "&amp;$AC73&amp;" was due "&amp;TEXT($AB73,"dd-mmm")&amp;" - "&amp;(NETWORKDAYS($AB73,TODAY(),Holidays)-1)&amp;" business day(s) late. Send now.",IF($U73="DUE TOMORROW","Next: "&amp;$AC73&amp;IF($AB73&lt;=TODAY()," is due TODAY ("," is due next business day (")&amp;TEXT($AB73,"dd-mmm")&amp;").","Next: "&amp;$AC73&amp;" due "&amp;TEXT($AB73,"dd-mmm")&amp;" ("&amp;(NETWORKDAYS(TODAY(),$AB73,Holidays)-1)&amp;" business day(s) left).")))))</f>
        <v/>
      </c>
      <c r="W73" s="17">
        <f>IF($Z73="","",CHOOSE($Z73,"Collection Email","1st Follow-up","2nd Follow-up","Local Office","CBE","Roxanne")&amp;IF($Z73=6," - Final"," - Day "&amp;MAX(0,NETWORKDAYS($AA73,TODAY(),Holidays)-1)&amp;" of "&amp;CHOOSE($Z73,3,3,2,2,3))&amp;" | Total Day "&amp;MAX(0,NETWORKDAYS($N73,TODAY(),Holidays)-1))</f>
        <v/>
      </c>
      <c r="X73" s="18"/>
      <c r="Y73" s="18"/>
      <c r="Z73" s="17">
        <f>IF($N73="","",COUNT($N73:$S73))</f>
        <v/>
      </c>
      <c r="AA73" s="19">
        <f>IF($Z73="","",INT(INDEX($N73:$S73,$Z73)))</f>
        <v/>
      </c>
      <c r="AB73" s="19">
        <f>IF(OR($Z73="",$Z73=6),"",WORKDAY($AA73,CHOOSE($Z73,3,3,2,2,3),Holidays))</f>
        <v/>
      </c>
      <c r="AC73" s="17">
        <f>IF(OR($Z73="",$Z73=6),"",CHOOSE($Z73,"1st Email Follow-up","2nd Email Follow-up","Escalate Local Office","Escalate to CBE","Escalate to Roxanne"))</f>
        <v/>
      </c>
    </row>
    <row r="74" spans="13:29">
      <c r="M74" s="14"/>
      <c r="T74" s="16"/>
      <c r="U74" s="17">
        <f>IF(AND(COUNTA($A74:$L74)=0,$N74=""),"",IF($T74="Paid","PAID",IF($T74="Closed","CLOSED",IF($Z74="","",IF($Z74=6,"ESCALATED TO ROXANNE",IF(TODAY()&gt;$AB74,"OVERDUE",IF($AB74&lt;=WORKDAY(TODAY(),1,Holidays),"DUE TOMORROW",IF($Z74=4,"ESCALATED TO LOCAL OFFICE",IF($Z74=5,"ESCALATED TO CBE",IF($AA74=TODAY(),"EMAIL SENT","MONITORING"))))))))))</f>
        <v/>
      </c>
      <c r="V74" s="17">
        <f>IF($U74="",IF(AND(COUNTA($A74:$L74)&gt;0,$N74=""),"Awaiting Collection Email time stamp.",""),IF(OR($U74="PAID",$U74="CLOSED"),IF($U74="PAID","Account paid. Action completed.","Account closed. No further action required."),CHOOSE($Z74,"Collection Email","1st Email Follow-up","2nd Email Follow-up","Escalation to Local Office","Escalation to CBE","Escalation to Roxanne")&amp;" sent "&amp;TEXT($AA74,"dd-mmm")&amp;". "&amp;IF($Z74=6,"Final escalation completed.",IF($U74="OVERDUE","Next: "&amp;$AC74&amp;" was due "&amp;TEXT($AB74,"dd-mmm")&amp;" - "&amp;(NETWORKDAYS($AB74,TODAY(),Holidays)-1)&amp;" business day(s) late. Send now.",IF($U74="DUE TOMORROW","Next: "&amp;$AC74&amp;IF($AB74&lt;=TODAY()," is due TODAY ("," is due next business day (")&amp;TEXT($AB74,"dd-mmm")&amp;").","Next: "&amp;$AC74&amp;" due "&amp;TEXT($AB74,"dd-mmm")&amp;" ("&amp;(NETWORKDAYS(TODAY(),$AB74,Holidays)-1)&amp;" business day(s) left).")))))</f>
        <v/>
      </c>
      <c r="W74" s="17">
        <f>IF($Z74="","",CHOOSE($Z74,"Collection Email","1st Follow-up","2nd Follow-up","Local Office","CBE","Roxanne")&amp;IF($Z74=6," - Final"," - Day "&amp;MAX(0,NETWORKDAYS($AA74,TODAY(),Holidays)-1)&amp;" of "&amp;CHOOSE($Z74,3,3,2,2,3))&amp;" | Total Day "&amp;MAX(0,NETWORKDAYS($N74,TODAY(),Holidays)-1))</f>
        <v/>
      </c>
      <c r="X74" s="18"/>
      <c r="Y74" s="18"/>
      <c r="Z74" s="17">
        <f>IF($N74="","",COUNT($N74:$S74))</f>
        <v/>
      </c>
      <c r="AA74" s="19">
        <f>IF($Z74="","",INT(INDEX($N74:$S74,$Z74)))</f>
        <v/>
      </c>
      <c r="AB74" s="19">
        <f>IF(OR($Z74="",$Z74=6),"",WORKDAY($AA74,CHOOSE($Z74,3,3,2,2,3),Holidays))</f>
        <v/>
      </c>
      <c r="AC74" s="17">
        <f>IF(OR($Z74="",$Z74=6),"",CHOOSE($Z74,"1st Email Follow-up","2nd Email Follow-up","Escalate Local Office","Escalate to CBE","Escalate to Roxanne"))</f>
        <v/>
      </c>
    </row>
    <row r="75" spans="13:29">
      <c r="M75" s="14"/>
      <c r="T75" s="16"/>
      <c r="U75" s="17">
        <f>IF(AND(COUNTA($A75:$L75)=0,$N75=""),"",IF($T75="Paid","PAID",IF($T75="Closed","CLOSED",IF($Z75="","",IF($Z75=6,"ESCALATED TO ROXANNE",IF(TODAY()&gt;$AB75,"OVERDUE",IF($AB75&lt;=WORKDAY(TODAY(),1,Holidays),"DUE TOMORROW",IF($Z75=4,"ESCALATED TO LOCAL OFFICE",IF($Z75=5,"ESCALATED TO CBE",IF($AA75=TODAY(),"EMAIL SENT","MONITORING"))))))))))</f>
        <v/>
      </c>
      <c r="V75" s="17">
        <f>IF($U75="",IF(AND(COUNTA($A75:$L75)&gt;0,$N75=""),"Awaiting Collection Email time stamp.",""),IF(OR($U75="PAID",$U75="CLOSED"),IF($U75="PAID","Account paid. Action completed.","Account closed. No further action required."),CHOOSE($Z75,"Collection Email","1st Email Follow-up","2nd Email Follow-up","Escalation to Local Office","Escalation to CBE","Escalation to Roxanne")&amp;" sent "&amp;TEXT($AA75,"dd-mmm")&amp;". "&amp;IF($Z75=6,"Final escalation completed.",IF($U75="OVERDUE","Next: "&amp;$AC75&amp;" was due "&amp;TEXT($AB75,"dd-mmm")&amp;" - "&amp;(NETWORKDAYS($AB75,TODAY(),Holidays)-1)&amp;" business day(s) late. Send now.",IF($U75="DUE TOMORROW","Next: "&amp;$AC75&amp;IF($AB75&lt;=TODAY()," is due TODAY ("," is due next business day (")&amp;TEXT($AB75,"dd-mmm")&amp;").","Next: "&amp;$AC75&amp;" due "&amp;TEXT($AB75,"dd-mmm")&amp;" ("&amp;(NETWORKDAYS(TODAY(),$AB75,Holidays)-1)&amp;" business day(s) left).")))))</f>
        <v/>
      </c>
      <c r="W75" s="17">
        <f>IF($Z75="","",CHOOSE($Z75,"Collection Email","1st Follow-up","2nd Follow-up","Local Office","CBE","Roxanne")&amp;IF($Z75=6," - Final"," - Day "&amp;MAX(0,NETWORKDAYS($AA75,TODAY(),Holidays)-1)&amp;" of "&amp;CHOOSE($Z75,3,3,2,2,3))&amp;" | Total Day "&amp;MAX(0,NETWORKDAYS($N75,TODAY(),Holidays)-1))</f>
        <v/>
      </c>
      <c r="X75" s="18"/>
      <c r="Y75" s="18"/>
      <c r="Z75" s="17">
        <f>IF($N75="","",COUNT($N75:$S75))</f>
        <v/>
      </c>
      <c r="AA75" s="19">
        <f>IF($Z75="","",INT(INDEX($N75:$S75,$Z75)))</f>
        <v/>
      </c>
      <c r="AB75" s="19">
        <f>IF(OR($Z75="",$Z75=6),"",WORKDAY($AA75,CHOOSE($Z75,3,3,2,2,3),Holidays))</f>
        <v/>
      </c>
      <c r="AC75" s="17">
        <f>IF(OR($Z75="",$Z75=6),"",CHOOSE($Z75,"1st Email Follow-up","2nd Email Follow-up","Escalate Local Office","Escalate to CBE","Escalate to Roxanne"))</f>
        <v/>
      </c>
    </row>
    <row r="76" spans="13:29">
      <c r="M76" s="14"/>
      <c r="T76" s="16"/>
      <c r="U76" s="17">
        <f>IF(AND(COUNTA($A76:$L76)=0,$N76=""),"",IF($T76="Paid","PAID",IF($T76="Closed","CLOSED",IF($Z76="","",IF($Z76=6,"ESCALATED TO ROXANNE",IF(TODAY()&gt;$AB76,"OVERDUE",IF($AB76&lt;=WORKDAY(TODAY(),1,Holidays),"DUE TOMORROW",IF($Z76=4,"ESCALATED TO LOCAL OFFICE",IF($Z76=5,"ESCALATED TO CBE",IF($AA76=TODAY(),"EMAIL SENT","MONITORING"))))))))))</f>
        <v/>
      </c>
      <c r="V76" s="17">
        <f>IF($U76="",IF(AND(COUNTA($A76:$L76)&gt;0,$N76=""),"Awaiting Collection Email time stamp.",""),IF(OR($U76="PAID",$U76="CLOSED"),IF($U76="PAID","Account paid. Action completed.","Account closed. No further action required."),CHOOSE($Z76,"Collection Email","1st Email Follow-up","2nd Email Follow-up","Escalation to Local Office","Escalation to CBE","Escalation to Roxanne")&amp;" sent "&amp;TEXT($AA76,"dd-mmm")&amp;". "&amp;IF($Z76=6,"Final escalation completed.",IF($U76="OVERDUE","Next: "&amp;$AC76&amp;" was due "&amp;TEXT($AB76,"dd-mmm")&amp;" - "&amp;(NETWORKDAYS($AB76,TODAY(),Holidays)-1)&amp;" business day(s) late. Send now.",IF($U76="DUE TOMORROW","Next: "&amp;$AC76&amp;IF($AB76&lt;=TODAY()," is due TODAY ("," is due next business day (")&amp;TEXT($AB76,"dd-mmm")&amp;").","Next: "&amp;$AC76&amp;" due "&amp;TEXT($AB76,"dd-mmm")&amp;" ("&amp;(NETWORKDAYS(TODAY(),$AB76,Holidays)-1)&amp;" business day(s) left).")))))</f>
        <v/>
      </c>
      <c r="W76" s="17">
        <f>IF($Z76="","",CHOOSE($Z76,"Collection Email","1st Follow-up","2nd Follow-up","Local Office","CBE","Roxanne")&amp;IF($Z76=6," - Final"," - Day "&amp;MAX(0,NETWORKDAYS($AA76,TODAY(),Holidays)-1)&amp;" of "&amp;CHOOSE($Z76,3,3,2,2,3))&amp;" | Total Day "&amp;MAX(0,NETWORKDAYS($N76,TODAY(),Holidays)-1))</f>
        <v/>
      </c>
      <c r="X76" s="18"/>
      <c r="Y76" s="18"/>
      <c r="Z76" s="17">
        <f>IF($N76="","",COUNT($N76:$S76))</f>
        <v/>
      </c>
      <c r="AA76" s="19">
        <f>IF($Z76="","",INT(INDEX($N76:$S76,$Z76)))</f>
        <v/>
      </c>
      <c r="AB76" s="19">
        <f>IF(OR($Z76="",$Z76=6),"",WORKDAY($AA76,CHOOSE($Z76,3,3,2,2,3),Holidays))</f>
        <v/>
      </c>
      <c r="AC76" s="17">
        <f>IF(OR($Z76="",$Z76=6),"",CHOOSE($Z76,"1st Email Follow-up","2nd Email Follow-up","Escalate Local Office","Escalate to CBE","Escalate to Roxanne"))</f>
        <v/>
      </c>
    </row>
    <row r="77" spans="13:29">
      <c r="M77" s="14"/>
      <c r="T77" s="16"/>
      <c r="U77" s="17">
        <f>IF(AND(COUNTA($A77:$L77)=0,$N77=""),"",IF($T77="Paid","PAID",IF($T77="Closed","CLOSED",IF($Z77="","",IF($Z77=6,"ESCALATED TO ROXANNE",IF(TODAY()&gt;$AB77,"OVERDUE",IF($AB77&lt;=WORKDAY(TODAY(),1,Holidays),"DUE TOMORROW",IF($Z77=4,"ESCALATED TO LOCAL OFFICE",IF($Z77=5,"ESCALATED TO CBE",IF($AA77=TODAY(),"EMAIL SENT","MONITORING"))))))))))</f>
        <v/>
      </c>
      <c r="V77" s="17">
        <f>IF($U77="",IF(AND(COUNTA($A77:$L77)&gt;0,$N77=""),"Awaiting Collection Email time stamp.",""),IF(OR($U77="PAID",$U77="CLOSED"),IF($U77="PAID","Account paid. Action completed.","Account closed. No further action required."),CHOOSE($Z77,"Collection Email","1st Email Follow-up","2nd Email Follow-up","Escalation to Local Office","Escalation to CBE","Escalation to Roxanne")&amp;" sent "&amp;TEXT($AA77,"dd-mmm")&amp;". "&amp;IF($Z77=6,"Final escalation completed.",IF($U77="OVERDUE","Next: "&amp;$AC77&amp;" was due "&amp;TEXT($AB77,"dd-mmm")&amp;" - "&amp;(NETWORKDAYS($AB77,TODAY(),Holidays)-1)&amp;" business day(s) late. Send now.",IF($U77="DUE TOMORROW","Next: "&amp;$AC77&amp;IF($AB77&lt;=TODAY()," is due TODAY ("," is due next business day (")&amp;TEXT($AB77,"dd-mmm")&amp;").","Next: "&amp;$AC77&amp;" due "&amp;TEXT($AB77,"dd-mmm")&amp;" ("&amp;(NETWORKDAYS(TODAY(),$AB77,Holidays)-1)&amp;" business day(s) left).")))))</f>
        <v/>
      </c>
      <c r="W77" s="17">
        <f>IF($Z77="","",CHOOSE($Z77,"Collection Email","1st Follow-up","2nd Follow-up","Local Office","CBE","Roxanne")&amp;IF($Z77=6," - Final"," - Day "&amp;MAX(0,NETWORKDAYS($AA77,TODAY(),Holidays)-1)&amp;" of "&amp;CHOOSE($Z77,3,3,2,2,3))&amp;" | Total Day "&amp;MAX(0,NETWORKDAYS($N77,TODAY(),Holidays)-1))</f>
        <v/>
      </c>
      <c r="X77" s="18"/>
      <c r="Y77" s="18"/>
      <c r="Z77" s="17">
        <f>IF($N77="","",COUNT($N77:$S77))</f>
        <v/>
      </c>
      <c r="AA77" s="19">
        <f>IF($Z77="","",INT(INDEX($N77:$S77,$Z77)))</f>
        <v/>
      </c>
      <c r="AB77" s="19">
        <f>IF(OR($Z77="",$Z77=6),"",WORKDAY($AA77,CHOOSE($Z77,3,3,2,2,3),Holidays))</f>
        <v/>
      </c>
      <c r="AC77" s="17">
        <f>IF(OR($Z77="",$Z77=6),"",CHOOSE($Z77,"1st Email Follow-up","2nd Email Follow-up","Escalate Local Office","Escalate to CBE","Escalate to Roxanne"))</f>
        <v/>
      </c>
    </row>
    <row r="78" spans="13:29">
      <c r="M78" s="14"/>
      <c r="T78" s="16"/>
      <c r="U78" s="17">
        <f>IF(AND(COUNTA($A78:$L78)=0,$N78=""),"",IF($T78="Paid","PAID",IF($T78="Closed","CLOSED",IF($Z78="","",IF($Z78=6,"ESCALATED TO ROXANNE",IF(TODAY()&gt;$AB78,"OVERDUE",IF($AB78&lt;=WORKDAY(TODAY(),1,Holidays),"DUE TOMORROW",IF($Z78=4,"ESCALATED TO LOCAL OFFICE",IF($Z78=5,"ESCALATED TO CBE",IF($AA78=TODAY(),"EMAIL SENT","MONITORING"))))))))))</f>
        <v/>
      </c>
      <c r="V78" s="17">
        <f>IF($U78="",IF(AND(COUNTA($A78:$L78)&gt;0,$N78=""),"Awaiting Collection Email time stamp.",""),IF(OR($U78="PAID",$U78="CLOSED"),IF($U78="PAID","Account paid. Action completed.","Account closed. No further action required."),CHOOSE($Z78,"Collection Email","1st Email Follow-up","2nd Email Follow-up","Escalation to Local Office","Escalation to CBE","Escalation to Roxanne")&amp;" sent "&amp;TEXT($AA78,"dd-mmm")&amp;". "&amp;IF($Z78=6,"Final escalation completed.",IF($U78="OVERDUE","Next: "&amp;$AC78&amp;" was due "&amp;TEXT($AB78,"dd-mmm")&amp;" - "&amp;(NETWORKDAYS($AB78,TODAY(),Holidays)-1)&amp;" business day(s) late. Send now.",IF($U78="DUE TOMORROW","Next: "&amp;$AC78&amp;IF($AB78&lt;=TODAY()," is due TODAY ("," is due next business day (")&amp;TEXT($AB78,"dd-mmm")&amp;").","Next: "&amp;$AC78&amp;" due "&amp;TEXT($AB78,"dd-mmm")&amp;" ("&amp;(NETWORKDAYS(TODAY(),$AB78,Holidays)-1)&amp;" business day(s) left).")))))</f>
        <v/>
      </c>
      <c r="W78" s="17">
        <f>IF($Z78="","",CHOOSE($Z78,"Collection Email","1st Follow-up","2nd Follow-up","Local Office","CBE","Roxanne")&amp;IF($Z78=6," - Final"," - Day "&amp;MAX(0,NETWORKDAYS($AA78,TODAY(),Holidays)-1)&amp;" of "&amp;CHOOSE($Z78,3,3,2,2,3))&amp;" | Total Day "&amp;MAX(0,NETWORKDAYS($N78,TODAY(),Holidays)-1))</f>
        <v/>
      </c>
      <c r="X78" s="18"/>
      <c r="Y78" s="18"/>
      <c r="Z78" s="17">
        <f>IF($N78="","",COUNT($N78:$S78))</f>
        <v/>
      </c>
      <c r="AA78" s="19">
        <f>IF($Z78="","",INT(INDEX($N78:$S78,$Z78)))</f>
        <v/>
      </c>
      <c r="AB78" s="19">
        <f>IF(OR($Z78="",$Z78=6),"",WORKDAY($AA78,CHOOSE($Z78,3,3,2,2,3),Holidays))</f>
        <v/>
      </c>
      <c r="AC78" s="17">
        <f>IF(OR($Z78="",$Z78=6),"",CHOOSE($Z78,"1st Email Follow-up","2nd Email Follow-up","Escalate Local Office","Escalate to CBE","Escalate to Roxanne"))</f>
        <v/>
      </c>
    </row>
    <row r="79" spans="13:29">
      <c r="M79" s="14"/>
      <c r="T79" s="16"/>
      <c r="U79" s="17">
        <f>IF(AND(COUNTA($A79:$L79)=0,$N79=""),"",IF($T79="Paid","PAID",IF($T79="Closed","CLOSED",IF($Z79="","",IF($Z79=6,"ESCALATED TO ROXANNE",IF(TODAY()&gt;$AB79,"OVERDUE",IF($AB79&lt;=WORKDAY(TODAY(),1,Holidays),"DUE TOMORROW",IF($Z79=4,"ESCALATED TO LOCAL OFFICE",IF($Z79=5,"ESCALATED TO CBE",IF($AA79=TODAY(),"EMAIL SENT","MONITORING"))))))))))</f>
        <v/>
      </c>
      <c r="V79" s="17">
        <f>IF($U79="",IF(AND(COUNTA($A79:$L79)&gt;0,$N79=""),"Awaiting Collection Email time stamp.",""),IF(OR($U79="PAID",$U79="CLOSED"),IF($U79="PAID","Account paid. Action completed.","Account closed. No further action required."),CHOOSE($Z79,"Collection Email","1st Email Follow-up","2nd Email Follow-up","Escalation to Local Office","Escalation to CBE","Escalation to Roxanne")&amp;" sent "&amp;TEXT($AA79,"dd-mmm")&amp;". "&amp;IF($Z79=6,"Final escalation completed.",IF($U79="OVERDUE","Next: "&amp;$AC79&amp;" was due "&amp;TEXT($AB79,"dd-mmm")&amp;" - "&amp;(NETWORKDAYS($AB79,TODAY(),Holidays)-1)&amp;" business day(s) late. Send now.",IF($U79="DUE TOMORROW","Next: "&amp;$AC79&amp;IF($AB79&lt;=TODAY()," is due TODAY ("," is due next business day (")&amp;TEXT($AB79,"dd-mmm")&amp;").","Next: "&amp;$AC79&amp;" due "&amp;TEXT($AB79,"dd-mmm")&amp;" ("&amp;(NETWORKDAYS(TODAY(),$AB79,Holidays)-1)&amp;" business day(s) left).")))))</f>
        <v/>
      </c>
      <c r="W79" s="17">
        <f>IF($Z79="","",CHOOSE($Z79,"Collection Email","1st Follow-up","2nd Follow-up","Local Office","CBE","Roxanne")&amp;IF($Z79=6," - Final"," - Day "&amp;MAX(0,NETWORKDAYS($AA79,TODAY(),Holidays)-1)&amp;" of "&amp;CHOOSE($Z79,3,3,2,2,3))&amp;" | Total Day "&amp;MAX(0,NETWORKDAYS($N79,TODAY(),Holidays)-1))</f>
        <v/>
      </c>
      <c r="X79" s="18"/>
      <c r="Y79" s="18"/>
      <c r="Z79" s="17">
        <f>IF($N79="","",COUNT($N79:$S79))</f>
        <v/>
      </c>
      <c r="AA79" s="19">
        <f>IF($Z79="","",INT(INDEX($N79:$S79,$Z79)))</f>
        <v/>
      </c>
      <c r="AB79" s="19">
        <f>IF(OR($Z79="",$Z79=6),"",WORKDAY($AA79,CHOOSE($Z79,3,3,2,2,3),Holidays))</f>
        <v/>
      </c>
      <c r="AC79" s="17">
        <f>IF(OR($Z79="",$Z79=6),"",CHOOSE($Z79,"1st Email Follow-up","2nd Email Follow-up","Escalate Local Office","Escalate to CBE","Escalate to Roxanne"))</f>
        <v/>
      </c>
    </row>
    <row r="80" spans="13:29">
      <c r="M80" s="14"/>
      <c r="T80" s="16"/>
      <c r="U80" s="17">
        <f>IF(AND(COUNTA($A80:$L80)=0,$N80=""),"",IF($T80="Paid","PAID",IF($T80="Closed","CLOSED",IF($Z80="","",IF($Z80=6,"ESCALATED TO ROXANNE",IF(TODAY()&gt;$AB80,"OVERDUE",IF($AB80&lt;=WORKDAY(TODAY(),1,Holidays),"DUE TOMORROW",IF($Z80=4,"ESCALATED TO LOCAL OFFICE",IF($Z80=5,"ESCALATED TO CBE",IF($AA80=TODAY(),"EMAIL SENT","MONITORING"))))))))))</f>
        <v/>
      </c>
      <c r="V80" s="17">
        <f>IF($U80="",IF(AND(COUNTA($A80:$L80)&gt;0,$N80=""),"Awaiting Collection Email time stamp.",""),IF(OR($U80="PAID",$U80="CLOSED"),IF($U80="PAID","Account paid. Action completed.","Account closed. No further action required."),CHOOSE($Z80,"Collection Email","1st Email Follow-up","2nd Email Follow-up","Escalation to Local Office","Escalation to CBE","Escalation to Roxanne")&amp;" sent "&amp;TEXT($AA80,"dd-mmm")&amp;". "&amp;IF($Z80=6,"Final escalation completed.",IF($U80="OVERDUE","Next: "&amp;$AC80&amp;" was due "&amp;TEXT($AB80,"dd-mmm")&amp;" - "&amp;(NETWORKDAYS($AB80,TODAY(),Holidays)-1)&amp;" business day(s) late. Send now.",IF($U80="DUE TOMORROW","Next: "&amp;$AC80&amp;IF($AB80&lt;=TODAY()," is due TODAY ("," is due next business day (")&amp;TEXT($AB80,"dd-mmm")&amp;").","Next: "&amp;$AC80&amp;" due "&amp;TEXT($AB80,"dd-mmm")&amp;" ("&amp;(NETWORKDAYS(TODAY(),$AB80,Holidays)-1)&amp;" business day(s) left).")))))</f>
        <v/>
      </c>
      <c r="W80" s="17">
        <f>IF($Z80="","",CHOOSE($Z80,"Collection Email","1st Follow-up","2nd Follow-up","Local Office","CBE","Roxanne")&amp;IF($Z80=6," - Final"," - Day "&amp;MAX(0,NETWORKDAYS($AA80,TODAY(),Holidays)-1)&amp;" of "&amp;CHOOSE($Z80,3,3,2,2,3))&amp;" | Total Day "&amp;MAX(0,NETWORKDAYS($N80,TODAY(),Holidays)-1))</f>
        <v/>
      </c>
      <c r="X80" s="18"/>
      <c r="Y80" s="18"/>
      <c r="Z80" s="17">
        <f>IF($N80="","",COUNT($N80:$S80))</f>
        <v/>
      </c>
      <c r="AA80" s="19">
        <f>IF($Z80="","",INT(INDEX($N80:$S80,$Z80)))</f>
        <v/>
      </c>
      <c r="AB80" s="19">
        <f>IF(OR($Z80="",$Z80=6),"",WORKDAY($AA80,CHOOSE($Z80,3,3,2,2,3),Holidays))</f>
        <v/>
      </c>
      <c r="AC80" s="17">
        <f>IF(OR($Z80="",$Z80=6),"",CHOOSE($Z80,"1st Email Follow-up","2nd Email Follow-up","Escalate Local Office","Escalate to CBE","Escalate to Roxanne"))</f>
        <v/>
      </c>
    </row>
    <row r="81" spans="13:29">
      <c r="M81" s="14"/>
      <c r="T81" s="16"/>
      <c r="U81" s="17">
        <f>IF(AND(COUNTA($A81:$L81)=0,$N81=""),"",IF($T81="Paid","PAID",IF($T81="Closed","CLOSED",IF($Z81="","",IF($Z81=6,"ESCALATED TO ROXANNE",IF(TODAY()&gt;$AB81,"OVERDUE",IF($AB81&lt;=WORKDAY(TODAY(),1,Holidays),"DUE TOMORROW",IF($Z81=4,"ESCALATED TO LOCAL OFFICE",IF($Z81=5,"ESCALATED TO CBE",IF($AA81=TODAY(),"EMAIL SENT","MONITORING"))))))))))</f>
        <v/>
      </c>
      <c r="V81" s="17">
        <f>IF($U81="",IF(AND(COUNTA($A81:$L81)&gt;0,$N81=""),"Awaiting Collection Email time stamp.",""),IF(OR($U81="PAID",$U81="CLOSED"),IF($U81="PAID","Account paid. Action completed.","Account closed. No further action required."),CHOOSE($Z81,"Collection Email","1st Email Follow-up","2nd Email Follow-up","Escalation to Local Office","Escalation to CBE","Escalation to Roxanne")&amp;" sent "&amp;TEXT($AA81,"dd-mmm")&amp;". "&amp;IF($Z81=6,"Final escalation completed.",IF($U81="OVERDUE","Next: "&amp;$AC81&amp;" was due "&amp;TEXT($AB81,"dd-mmm")&amp;" - "&amp;(NETWORKDAYS($AB81,TODAY(),Holidays)-1)&amp;" business day(s) late. Send now.",IF($U81="DUE TOMORROW","Next: "&amp;$AC81&amp;IF($AB81&lt;=TODAY()," is due TODAY ("," is due next business day (")&amp;TEXT($AB81,"dd-mmm")&amp;").","Next: "&amp;$AC81&amp;" due "&amp;TEXT($AB81,"dd-mmm")&amp;" ("&amp;(NETWORKDAYS(TODAY(),$AB81,Holidays)-1)&amp;" business day(s) left).")))))</f>
        <v/>
      </c>
      <c r="W81" s="17">
        <f>IF($Z81="","",CHOOSE($Z81,"Collection Email","1st Follow-up","2nd Follow-up","Local Office","CBE","Roxanne")&amp;IF($Z81=6," - Final"," - Day "&amp;MAX(0,NETWORKDAYS($AA81,TODAY(),Holidays)-1)&amp;" of "&amp;CHOOSE($Z81,3,3,2,2,3))&amp;" | Total Day "&amp;MAX(0,NETWORKDAYS($N81,TODAY(),Holidays)-1))</f>
        <v/>
      </c>
      <c r="X81" s="18"/>
      <c r="Y81" s="18"/>
      <c r="Z81" s="17">
        <f>IF($N81="","",COUNT($N81:$S81))</f>
        <v/>
      </c>
      <c r="AA81" s="19">
        <f>IF($Z81="","",INT(INDEX($N81:$S81,$Z81)))</f>
        <v/>
      </c>
      <c r="AB81" s="19">
        <f>IF(OR($Z81="",$Z81=6),"",WORKDAY($AA81,CHOOSE($Z81,3,3,2,2,3),Holidays))</f>
        <v/>
      </c>
      <c r="AC81" s="17">
        <f>IF(OR($Z81="",$Z81=6),"",CHOOSE($Z81,"1st Email Follow-up","2nd Email Follow-up","Escalate Local Office","Escalate to CBE","Escalate to Roxanne"))</f>
        <v/>
      </c>
    </row>
    <row r="82" spans="13:29">
      <c r="M82" s="14"/>
      <c r="T82" s="16"/>
      <c r="U82" s="17">
        <f>IF(AND(COUNTA($A82:$L82)=0,$N82=""),"",IF($T82="Paid","PAID",IF($T82="Closed","CLOSED",IF($Z82="","",IF($Z82=6,"ESCALATED TO ROXANNE",IF(TODAY()&gt;$AB82,"OVERDUE",IF($AB82&lt;=WORKDAY(TODAY(),1,Holidays),"DUE TOMORROW",IF($Z82=4,"ESCALATED TO LOCAL OFFICE",IF($Z82=5,"ESCALATED TO CBE",IF($AA82=TODAY(),"EMAIL SENT","MONITORING"))))))))))</f>
        <v/>
      </c>
      <c r="V82" s="17">
        <f>IF($U82="",IF(AND(COUNTA($A82:$L82)&gt;0,$N82=""),"Awaiting Collection Email time stamp.",""),IF(OR($U82="PAID",$U82="CLOSED"),IF($U82="PAID","Account paid. Action completed.","Account closed. No further action required."),CHOOSE($Z82,"Collection Email","1st Email Follow-up","2nd Email Follow-up","Escalation to Local Office","Escalation to CBE","Escalation to Roxanne")&amp;" sent "&amp;TEXT($AA82,"dd-mmm")&amp;". "&amp;IF($Z82=6,"Final escalation completed.",IF($U82="OVERDUE","Next: "&amp;$AC82&amp;" was due "&amp;TEXT($AB82,"dd-mmm")&amp;" - "&amp;(NETWORKDAYS($AB82,TODAY(),Holidays)-1)&amp;" business day(s) late. Send now.",IF($U82="DUE TOMORROW","Next: "&amp;$AC82&amp;IF($AB82&lt;=TODAY()," is due TODAY ("," is due next business day (")&amp;TEXT($AB82,"dd-mmm")&amp;").","Next: "&amp;$AC82&amp;" due "&amp;TEXT($AB82,"dd-mmm")&amp;" ("&amp;(NETWORKDAYS(TODAY(),$AB82,Holidays)-1)&amp;" business day(s) left).")))))</f>
        <v/>
      </c>
      <c r="W82" s="17">
        <f>IF($Z82="","",CHOOSE($Z82,"Collection Email","1st Follow-up","2nd Follow-up","Local Office","CBE","Roxanne")&amp;IF($Z82=6," - Final"," - Day "&amp;MAX(0,NETWORKDAYS($AA82,TODAY(),Holidays)-1)&amp;" of "&amp;CHOOSE($Z82,3,3,2,2,3))&amp;" | Total Day "&amp;MAX(0,NETWORKDAYS($N82,TODAY(),Holidays)-1))</f>
        <v/>
      </c>
      <c r="X82" s="18"/>
      <c r="Y82" s="18"/>
      <c r="Z82" s="17">
        <f>IF($N82="","",COUNT($N82:$S82))</f>
        <v/>
      </c>
      <c r="AA82" s="19">
        <f>IF($Z82="","",INT(INDEX($N82:$S82,$Z82)))</f>
        <v/>
      </c>
      <c r="AB82" s="19">
        <f>IF(OR($Z82="",$Z82=6),"",WORKDAY($AA82,CHOOSE($Z82,3,3,2,2,3),Holidays))</f>
        <v/>
      </c>
      <c r="AC82" s="17">
        <f>IF(OR($Z82="",$Z82=6),"",CHOOSE($Z82,"1st Email Follow-up","2nd Email Follow-up","Escalate Local Office","Escalate to CBE","Escalate to Roxanne"))</f>
        <v/>
      </c>
    </row>
    <row r="83" spans="13:29">
      <c r="M83" s="14"/>
      <c r="T83" s="16"/>
      <c r="U83" s="17">
        <f>IF(AND(COUNTA($A83:$L83)=0,$N83=""),"",IF($T83="Paid","PAID",IF($T83="Closed","CLOSED",IF($Z83="","",IF($Z83=6,"ESCALATED TO ROXANNE",IF(TODAY()&gt;$AB83,"OVERDUE",IF($AB83&lt;=WORKDAY(TODAY(),1,Holidays),"DUE TOMORROW",IF($Z83=4,"ESCALATED TO LOCAL OFFICE",IF($Z83=5,"ESCALATED TO CBE",IF($AA83=TODAY(),"EMAIL SENT","MONITORING"))))))))))</f>
        <v/>
      </c>
      <c r="V83" s="17">
        <f>IF($U83="",IF(AND(COUNTA($A83:$L83)&gt;0,$N83=""),"Awaiting Collection Email time stamp.",""),IF(OR($U83="PAID",$U83="CLOSED"),IF($U83="PAID","Account paid. Action completed.","Account closed. No further action required."),CHOOSE($Z83,"Collection Email","1st Email Follow-up","2nd Email Follow-up","Escalation to Local Office","Escalation to CBE","Escalation to Roxanne")&amp;" sent "&amp;TEXT($AA83,"dd-mmm")&amp;". "&amp;IF($Z83=6,"Final escalation completed.",IF($U83="OVERDUE","Next: "&amp;$AC83&amp;" was due "&amp;TEXT($AB83,"dd-mmm")&amp;" - "&amp;(NETWORKDAYS($AB83,TODAY(),Holidays)-1)&amp;" business day(s) late. Send now.",IF($U83="DUE TOMORROW","Next: "&amp;$AC83&amp;IF($AB83&lt;=TODAY()," is due TODAY ("," is due next business day (")&amp;TEXT($AB83,"dd-mmm")&amp;").","Next: "&amp;$AC83&amp;" due "&amp;TEXT($AB83,"dd-mmm")&amp;" ("&amp;(NETWORKDAYS(TODAY(),$AB83,Holidays)-1)&amp;" business day(s) left).")))))</f>
        <v/>
      </c>
      <c r="W83" s="17">
        <f>IF($Z83="","",CHOOSE($Z83,"Collection Email","1st Follow-up","2nd Follow-up","Local Office","CBE","Roxanne")&amp;IF($Z83=6," - Final"," - Day "&amp;MAX(0,NETWORKDAYS($AA83,TODAY(),Holidays)-1)&amp;" of "&amp;CHOOSE($Z83,3,3,2,2,3))&amp;" | Total Day "&amp;MAX(0,NETWORKDAYS($N83,TODAY(),Holidays)-1))</f>
        <v/>
      </c>
      <c r="X83" s="18"/>
      <c r="Y83" s="18"/>
      <c r="Z83" s="17">
        <f>IF($N83="","",COUNT($N83:$S83))</f>
        <v/>
      </c>
      <c r="AA83" s="19">
        <f>IF($Z83="","",INT(INDEX($N83:$S83,$Z83)))</f>
        <v/>
      </c>
      <c r="AB83" s="19">
        <f>IF(OR($Z83="",$Z83=6),"",WORKDAY($AA83,CHOOSE($Z83,3,3,2,2,3),Holidays))</f>
        <v/>
      </c>
      <c r="AC83" s="17">
        <f>IF(OR($Z83="",$Z83=6),"",CHOOSE($Z83,"1st Email Follow-up","2nd Email Follow-up","Escalate Local Office","Escalate to CBE","Escalate to Roxanne"))</f>
        <v/>
      </c>
    </row>
    <row r="84" spans="13:29">
      <c r="M84" s="14"/>
      <c r="T84" s="16"/>
      <c r="U84" s="17">
        <f>IF(AND(COUNTA($A84:$L84)=0,$N84=""),"",IF($T84="Paid","PAID",IF($T84="Closed","CLOSED",IF($Z84="","",IF($Z84=6,"ESCALATED TO ROXANNE",IF(TODAY()&gt;$AB84,"OVERDUE",IF($AB84&lt;=WORKDAY(TODAY(),1,Holidays),"DUE TOMORROW",IF($Z84=4,"ESCALATED TO LOCAL OFFICE",IF($Z84=5,"ESCALATED TO CBE",IF($AA84=TODAY(),"EMAIL SENT","MONITORING"))))))))))</f>
        <v/>
      </c>
      <c r="V84" s="17">
        <f>IF($U84="",IF(AND(COUNTA($A84:$L84)&gt;0,$N84=""),"Awaiting Collection Email time stamp.",""),IF(OR($U84="PAID",$U84="CLOSED"),IF($U84="PAID","Account paid. Action completed.","Account closed. No further action required."),CHOOSE($Z84,"Collection Email","1st Email Follow-up","2nd Email Follow-up","Escalation to Local Office","Escalation to CBE","Escalation to Roxanne")&amp;" sent "&amp;TEXT($AA84,"dd-mmm")&amp;". "&amp;IF($Z84=6,"Final escalation completed.",IF($U84="OVERDUE","Next: "&amp;$AC84&amp;" was due "&amp;TEXT($AB84,"dd-mmm")&amp;" - "&amp;(NETWORKDAYS($AB84,TODAY(),Holidays)-1)&amp;" business day(s) late. Send now.",IF($U84="DUE TOMORROW","Next: "&amp;$AC84&amp;IF($AB84&lt;=TODAY()," is due TODAY ("," is due next business day (")&amp;TEXT($AB84,"dd-mmm")&amp;").","Next: "&amp;$AC84&amp;" due "&amp;TEXT($AB84,"dd-mmm")&amp;" ("&amp;(NETWORKDAYS(TODAY(),$AB84,Holidays)-1)&amp;" business day(s) left).")))))</f>
        <v/>
      </c>
      <c r="W84" s="17">
        <f>IF($Z84="","",CHOOSE($Z84,"Collection Email","1st Follow-up","2nd Follow-up","Local Office","CBE","Roxanne")&amp;IF($Z84=6," - Final"," - Day "&amp;MAX(0,NETWORKDAYS($AA84,TODAY(),Holidays)-1)&amp;" of "&amp;CHOOSE($Z84,3,3,2,2,3))&amp;" | Total Day "&amp;MAX(0,NETWORKDAYS($N84,TODAY(),Holidays)-1))</f>
        <v/>
      </c>
      <c r="X84" s="18"/>
      <c r="Y84" s="18"/>
      <c r="Z84" s="17">
        <f>IF($N84="","",COUNT($N84:$S84))</f>
        <v/>
      </c>
      <c r="AA84" s="19">
        <f>IF($Z84="","",INT(INDEX($N84:$S84,$Z84)))</f>
        <v/>
      </c>
      <c r="AB84" s="19">
        <f>IF(OR($Z84="",$Z84=6),"",WORKDAY($AA84,CHOOSE($Z84,3,3,2,2,3),Holidays))</f>
        <v/>
      </c>
      <c r="AC84" s="17">
        <f>IF(OR($Z84="",$Z84=6),"",CHOOSE($Z84,"1st Email Follow-up","2nd Email Follow-up","Escalate Local Office","Escalate to CBE","Escalate to Roxanne"))</f>
        <v/>
      </c>
    </row>
    <row r="85" spans="13:29">
      <c r="M85" s="14"/>
      <c r="T85" s="16"/>
      <c r="U85" s="17">
        <f>IF(AND(COUNTA($A85:$L85)=0,$N85=""),"",IF($T85="Paid","PAID",IF($T85="Closed","CLOSED",IF($Z85="","",IF($Z85=6,"ESCALATED TO ROXANNE",IF(TODAY()&gt;$AB85,"OVERDUE",IF($AB85&lt;=WORKDAY(TODAY(),1,Holidays),"DUE TOMORROW",IF($Z85=4,"ESCALATED TO LOCAL OFFICE",IF($Z85=5,"ESCALATED TO CBE",IF($AA85=TODAY(),"EMAIL SENT","MONITORING"))))))))))</f>
        <v/>
      </c>
      <c r="V85" s="17">
        <f>IF($U85="",IF(AND(COUNTA($A85:$L85)&gt;0,$N85=""),"Awaiting Collection Email time stamp.",""),IF(OR($U85="PAID",$U85="CLOSED"),IF($U85="PAID","Account paid. Action completed.","Account closed. No further action required."),CHOOSE($Z85,"Collection Email","1st Email Follow-up","2nd Email Follow-up","Escalation to Local Office","Escalation to CBE","Escalation to Roxanne")&amp;" sent "&amp;TEXT($AA85,"dd-mmm")&amp;". "&amp;IF($Z85=6,"Final escalation completed.",IF($U85="OVERDUE","Next: "&amp;$AC85&amp;" was due "&amp;TEXT($AB85,"dd-mmm")&amp;" - "&amp;(NETWORKDAYS($AB85,TODAY(),Holidays)-1)&amp;" business day(s) late. Send now.",IF($U85="DUE TOMORROW","Next: "&amp;$AC85&amp;IF($AB85&lt;=TODAY()," is due TODAY ("," is due next business day (")&amp;TEXT($AB85,"dd-mmm")&amp;").","Next: "&amp;$AC85&amp;" due "&amp;TEXT($AB85,"dd-mmm")&amp;" ("&amp;(NETWORKDAYS(TODAY(),$AB85,Holidays)-1)&amp;" business day(s) left).")))))</f>
        <v/>
      </c>
      <c r="W85" s="17">
        <f>IF($Z85="","",CHOOSE($Z85,"Collection Email","1st Follow-up","2nd Follow-up","Local Office","CBE","Roxanne")&amp;IF($Z85=6," - Final"," - Day "&amp;MAX(0,NETWORKDAYS($AA85,TODAY(),Holidays)-1)&amp;" of "&amp;CHOOSE($Z85,3,3,2,2,3))&amp;" | Total Day "&amp;MAX(0,NETWORKDAYS($N85,TODAY(),Holidays)-1))</f>
        <v/>
      </c>
      <c r="X85" s="18"/>
      <c r="Y85" s="18"/>
      <c r="Z85" s="17">
        <f>IF($N85="","",COUNT($N85:$S85))</f>
        <v/>
      </c>
      <c r="AA85" s="19">
        <f>IF($Z85="","",INT(INDEX($N85:$S85,$Z85)))</f>
        <v/>
      </c>
      <c r="AB85" s="19">
        <f>IF(OR($Z85="",$Z85=6),"",WORKDAY($AA85,CHOOSE($Z85,3,3,2,2,3),Holidays))</f>
        <v/>
      </c>
      <c r="AC85" s="17">
        <f>IF(OR($Z85="",$Z85=6),"",CHOOSE($Z85,"1st Email Follow-up","2nd Email Follow-up","Escalate Local Office","Escalate to CBE","Escalate to Roxanne"))</f>
        <v/>
      </c>
    </row>
    <row r="86" spans="13:29">
      <c r="M86" s="14"/>
      <c r="T86" s="16"/>
      <c r="U86" s="17">
        <f>IF(AND(COUNTA($A86:$L86)=0,$N86=""),"",IF($T86="Paid","PAID",IF($T86="Closed","CLOSED",IF($Z86="","",IF($Z86=6,"ESCALATED TO ROXANNE",IF(TODAY()&gt;$AB86,"OVERDUE",IF($AB86&lt;=WORKDAY(TODAY(),1,Holidays),"DUE TOMORROW",IF($Z86=4,"ESCALATED TO LOCAL OFFICE",IF($Z86=5,"ESCALATED TO CBE",IF($AA86=TODAY(),"EMAIL SENT","MONITORING"))))))))))</f>
        <v/>
      </c>
      <c r="V86" s="17">
        <f>IF($U86="",IF(AND(COUNTA($A86:$L86)&gt;0,$N86=""),"Awaiting Collection Email time stamp.",""),IF(OR($U86="PAID",$U86="CLOSED"),IF($U86="PAID","Account paid. Action completed.","Account closed. No further action required."),CHOOSE($Z86,"Collection Email","1st Email Follow-up","2nd Email Follow-up","Escalation to Local Office","Escalation to CBE","Escalation to Roxanne")&amp;" sent "&amp;TEXT($AA86,"dd-mmm")&amp;". "&amp;IF($Z86=6,"Final escalation completed.",IF($U86="OVERDUE","Next: "&amp;$AC86&amp;" was due "&amp;TEXT($AB86,"dd-mmm")&amp;" - "&amp;(NETWORKDAYS($AB86,TODAY(),Holidays)-1)&amp;" business day(s) late. Send now.",IF($U86="DUE TOMORROW","Next: "&amp;$AC86&amp;IF($AB86&lt;=TODAY()," is due TODAY ("," is due next business day (")&amp;TEXT($AB86,"dd-mmm")&amp;").","Next: "&amp;$AC86&amp;" due "&amp;TEXT($AB86,"dd-mmm")&amp;" ("&amp;(NETWORKDAYS(TODAY(),$AB86,Holidays)-1)&amp;" business day(s) left).")))))</f>
        <v/>
      </c>
      <c r="W86" s="17">
        <f>IF($Z86="","",CHOOSE($Z86,"Collection Email","1st Follow-up","2nd Follow-up","Local Office","CBE","Roxanne")&amp;IF($Z86=6," - Final"," - Day "&amp;MAX(0,NETWORKDAYS($AA86,TODAY(),Holidays)-1)&amp;" of "&amp;CHOOSE($Z86,3,3,2,2,3))&amp;" | Total Day "&amp;MAX(0,NETWORKDAYS($N86,TODAY(),Holidays)-1))</f>
        <v/>
      </c>
      <c r="X86" s="18"/>
      <c r="Y86" s="18"/>
      <c r="Z86" s="17">
        <f>IF($N86="","",COUNT($N86:$S86))</f>
        <v/>
      </c>
      <c r="AA86" s="19">
        <f>IF($Z86="","",INT(INDEX($N86:$S86,$Z86)))</f>
        <v/>
      </c>
      <c r="AB86" s="19">
        <f>IF(OR($Z86="",$Z86=6),"",WORKDAY($AA86,CHOOSE($Z86,3,3,2,2,3),Holidays))</f>
        <v/>
      </c>
      <c r="AC86" s="17">
        <f>IF(OR($Z86="",$Z86=6),"",CHOOSE($Z86,"1st Email Follow-up","2nd Email Follow-up","Escalate Local Office","Escalate to CBE","Escalate to Roxanne"))</f>
        <v/>
      </c>
    </row>
    <row r="87" spans="13:29">
      <c r="M87" s="14"/>
      <c r="T87" s="16"/>
      <c r="U87" s="17">
        <f>IF(AND(COUNTA($A87:$L87)=0,$N87=""),"",IF($T87="Paid","PAID",IF($T87="Closed","CLOSED",IF($Z87="","",IF($Z87=6,"ESCALATED TO ROXANNE",IF(TODAY()&gt;$AB87,"OVERDUE",IF($AB87&lt;=WORKDAY(TODAY(),1,Holidays),"DUE TOMORROW",IF($Z87=4,"ESCALATED TO LOCAL OFFICE",IF($Z87=5,"ESCALATED TO CBE",IF($AA87=TODAY(),"EMAIL SENT","MONITORING"))))))))))</f>
        <v/>
      </c>
      <c r="V87" s="17">
        <f>IF($U87="",IF(AND(COUNTA($A87:$L87)&gt;0,$N87=""),"Awaiting Collection Email time stamp.",""),IF(OR($U87="PAID",$U87="CLOSED"),IF($U87="PAID","Account paid. Action completed.","Account closed. No further action required."),CHOOSE($Z87,"Collection Email","1st Email Follow-up","2nd Email Follow-up","Escalation to Local Office","Escalation to CBE","Escalation to Roxanne")&amp;" sent "&amp;TEXT($AA87,"dd-mmm")&amp;". "&amp;IF($Z87=6,"Final escalation completed.",IF($U87="OVERDUE","Next: "&amp;$AC87&amp;" was due "&amp;TEXT($AB87,"dd-mmm")&amp;" - "&amp;(NETWORKDAYS($AB87,TODAY(),Holidays)-1)&amp;" business day(s) late. Send now.",IF($U87="DUE TOMORROW","Next: "&amp;$AC87&amp;IF($AB87&lt;=TODAY()," is due TODAY ("," is due next business day (")&amp;TEXT($AB87,"dd-mmm")&amp;").","Next: "&amp;$AC87&amp;" due "&amp;TEXT($AB87,"dd-mmm")&amp;" ("&amp;(NETWORKDAYS(TODAY(),$AB87,Holidays)-1)&amp;" business day(s) left).")))))</f>
        <v/>
      </c>
      <c r="W87" s="17">
        <f>IF($Z87="","",CHOOSE($Z87,"Collection Email","1st Follow-up","2nd Follow-up","Local Office","CBE","Roxanne")&amp;IF($Z87=6," - Final"," - Day "&amp;MAX(0,NETWORKDAYS($AA87,TODAY(),Holidays)-1)&amp;" of "&amp;CHOOSE($Z87,3,3,2,2,3))&amp;" | Total Day "&amp;MAX(0,NETWORKDAYS($N87,TODAY(),Holidays)-1))</f>
        <v/>
      </c>
      <c r="X87" s="18"/>
      <c r="Y87" s="18"/>
      <c r="Z87" s="17">
        <f>IF($N87="","",COUNT($N87:$S87))</f>
        <v/>
      </c>
      <c r="AA87" s="19">
        <f>IF($Z87="","",INT(INDEX($N87:$S87,$Z87)))</f>
        <v/>
      </c>
      <c r="AB87" s="19">
        <f>IF(OR($Z87="",$Z87=6),"",WORKDAY($AA87,CHOOSE($Z87,3,3,2,2,3),Holidays))</f>
        <v/>
      </c>
      <c r="AC87" s="17">
        <f>IF(OR($Z87="",$Z87=6),"",CHOOSE($Z87,"1st Email Follow-up","2nd Email Follow-up","Escalate Local Office","Escalate to CBE","Escalate to Roxanne"))</f>
        <v/>
      </c>
    </row>
    <row r="88" spans="13:29">
      <c r="M88" s="14"/>
      <c r="T88" s="16"/>
      <c r="U88" s="17">
        <f>IF(AND(COUNTA($A88:$L88)=0,$N88=""),"",IF($T88="Paid","PAID",IF($T88="Closed","CLOSED",IF($Z88="","",IF($Z88=6,"ESCALATED TO ROXANNE",IF(TODAY()&gt;$AB88,"OVERDUE",IF($AB88&lt;=WORKDAY(TODAY(),1,Holidays),"DUE TOMORROW",IF($Z88=4,"ESCALATED TO LOCAL OFFICE",IF($Z88=5,"ESCALATED TO CBE",IF($AA88=TODAY(),"EMAIL SENT","MONITORING"))))))))))</f>
        <v/>
      </c>
      <c r="V88" s="17">
        <f>IF($U88="",IF(AND(COUNTA($A88:$L88)&gt;0,$N88=""),"Awaiting Collection Email time stamp.",""),IF(OR($U88="PAID",$U88="CLOSED"),IF($U88="PAID","Account paid. Action completed.","Account closed. No further action required."),CHOOSE($Z88,"Collection Email","1st Email Follow-up","2nd Email Follow-up","Escalation to Local Office","Escalation to CBE","Escalation to Roxanne")&amp;" sent "&amp;TEXT($AA88,"dd-mmm")&amp;". "&amp;IF($Z88=6,"Final escalation completed.",IF($U88="OVERDUE","Next: "&amp;$AC88&amp;" was due "&amp;TEXT($AB88,"dd-mmm")&amp;" - "&amp;(NETWORKDAYS($AB88,TODAY(),Holidays)-1)&amp;" business day(s) late. Send now.",IF($U88="DUE TOMORROW","Next: "&amp;$AC88&amp;IF($AB88&lt;=TODAY()," is due TODAY ("," is due next business day (")&amp;TEXT($AB88,"dd-mmm")&amp;").","Next: "&amp;$AC88&amp;" due "&amp;TEXT($AB88,"dd-mmm")&amp;" ("&amp;(NETWORKDAYS(TODAY(),$AB88,Holidays)-1)&amp;" business day(s) left).")))))</f>
        <v/>
      </c>
      <c r="W88" s="17">
        <f>IF($Z88="","",CHOOSE($Z88,"Collection Email","1st Follow-up","2nd Follow-up","Local Office","CBE","Roxanne")&amp;IF($Z88=6," - Final"," - Day "&amp;MAX(0,NETWORKDAYS($AA88,TODAY(),Holidays)-1)&amp;" of "&amp;CHOOSE($Z88,3,3,2,2,3))&amp;" | Total Day "&amp;MAX(0,NETWORKDAYS($N88,TODAY(),Holidays)-1))</f>
        <v/>
      </c>
      <c r="X88" s="18"/>
      <c r="Y88" s="18"/>
      <c r="Z88" s="17">
        <f>IF($N88="","",COUNT($N88:$S88))</f>
        <v/>
      </c>
      <c r="AA88" s="19">
        <f>IF($Z88="","",INT(INDEX($N88:$S88,$Z88)))</f>
        <v/>
      </c>
      <c r="AB88" s="19">
        <f>IF(OR($Z88="",$Z88=6),"",WORKDAY($AA88,CHOOSE($Z88,3,3,2,2,3),Holidays))</f>
        <v/>
      </c>
      <c r="AC88" s="17">
        <f>IF(OR($Z88="",$Z88=6),"",CHOOSE($Z88,"1st Email Follow-up","2nd Email Follow-up","Escalate Local Office","Escalate to CBE","Escalate to Roxanne"))</f>
        <v/>
      </c>
    </row>
    <row r="89" spans="13:29">
      <c r="M89" s="14"/>
      <c r="T89" s="16"/>
      <c r="U89" s="17">
        <f>IF(AND(COUNTA($A89:$L89)=0,$N89=""),"",IF($T89="Paid","PAID",IF($T89="Closed","CLOSED",IF($Z89="","",IF($Z89=6,"ESCALATED TO ROXANNE",IF(TODAY()&gt;$AB89,"OVERDUE",IF($AB89&lt;=WORKDAY(TODAY(),1,Holidays),"DUE TOMORROW",IF($Z89=4,"ESCALATED TO LOCAL OFFICE",IF($Z89=5,"ESCALATED TO CBE",IF($AA89=TODAY(),"EMAIL SENT","MONITORING"))))))))))</f>
        <v/>
      </c>
      <c r="V89" s="17">
        <f>IF($U89="",IF(AND(COUNTA($A89:$L89)&gt;0,$N89=""),"Awaiting Collection Email time stamp.",""),IF(OR($U89="PAID",$U89="CLOSED"),IF($U89="PAID","Account paid. Action completed.","Account closed. No further action required."),CHOOSE($Z89,"Collection Email","1st Email Follow-up","2nd Email Follow-up","Escalation to Local Office","Escalation to CBE","Escalation to Roxanne")&amp;" sent "&amp;TEXT($AA89,"dd-mmm")&amp;". "&amp;IF($Z89=6,"Final escalation completed.",IF($U89="OVERDUE","Next: "&amp;$AC89&amp;" was due "&amp;TEXT($AB89,"dd-mmm")&amp;" - "&amp;(NETWORKDAYS($AB89,TODAY(),Holidays)-1)&amp;" business day(s) late. Send now.",IF($U89="DUE TOMORROW","Next: "&amp;$AC89&amp;IF($AB89&lt;=TODAY()," is due TODAY ("," is due next business day (")&amp;TEXT($AB89,"dd-mmm")&amp;").","Next: "&amp;$AC89&amp;" due "&amp;TEXT($AB89,"dd-mmm")&amp;" ("&amp;(NETWORKDAYS(TODAY(),$AB89,Holidays)-1)&amp;" business day(s) left).")))))</f>
        <v/>
      </c>
      <c r="W89" s="17">
        <f>IF($Z89="","",CHOOSE($Z89,"Collection Email","1st Follow-up","2nd Follow-up","Local Office","CBE","Roxanne")&amp;IF($Z89=6," - Final"," - Day "&amp;MAX(0,NETWORKDAYS($AA89,TODAY(),Holidays)-1)&amp;" of "&amp;CHOOSE($Z89,3,3,2,2,3))&amp;" | Total Day "&amp;MAX(0,NETWORKDAYS($N89,TODAY(),Holidays)-1))</f>
        <v/>
      </c>
      <c r="X89" s="18"/>
      <c r="Y89" s="18"/>
      <c r="Z89" s="17">
        <f>IF($N89="","",COUNT($N89:$S89))</f>
        <v/>
      </c>
      <c r="AA89" s="19">
        <f>IF($Z89="","",INT(INDEX($N89:$S89,$Z89)))</f>
        <v/>
      </c>
      <c r="AB89" s="19">
        <f>IF(OR($Z89="",$Z89=6),"",WORKDAY($AA89,CHOOSE($Z89,3,3,2,2,3),Holidays))</f>
        <v/>
      </c>
      <c r="AC89" s="17">
        <f>IF(OR($Z89="",$Z89=6),"",CHOOSE($Z89,"1st Email Follow-up","2nd Email Follow-up","Escalate Local Office","Escalate to CBE","Escalate to Roxanne"))</f>
        <v/>
      </c>
    </row>
    <row r="90" spans="13:29">
      <c r="M90" s="14"/>
      <c r="T90" s="16"/>
      <c r="U90" s="17">
        <f>IF(AND(COUNTA($A90:$L90)=0,$N90=""),"",IF($T90="Paid","PAID",IF($T90="Closed","CLOSED",IF($Z90="","",IF($Z90=6,"ESCALATED TO ROXANNE",IF(TODAY()&gt;$AB90,"OVERDUE",IF($AB90&lt;=WORKDAY(TODAY(),1,Holidays),"DUE TOMORROW",IF($Z90=4,"ESCALATED TO LOCAL OFFICE",IF($Z90=5,"ESCALATED TO CBE",IF($AA90=TODAY(),"EMAIL SENT","MONITORING"))))))))))</f>
        <v/>
      </c>
      <c r="V90" s="17">
        <f>IF($U90="",IF(AND(COUNTA($A90:$L90)&gt;0,$N90=""),"Awaiting Collection Email time stamp.",""),IF(OR($U90="PAID",$U90="CLOSED"),IF($U90="PAID","Account paid. Action completed.","Account closed. No further action required."),CHOOSE($Z90,"Collection Email","1st Email Follow-up","2nd Email Follow-up","Escalation to Local Office","Escalation to CBE","Escalation to Roxanne")&amp;" sent "&amp;TEXT($AA90,"dd-mmm")&amp;". "&amp;IF($Z90=6,"Final escalation completed.",IF($U90="OVERDUE","Next: "&amp;$AC90&amp;" was due "&amp;TEXT($AB90,"dd-mmm")&amp;" - "&amp;(NETWORKDAYS($AB90,TODAY(),Holidays)-1)&amp;" business day(s) late. Send now.",IF($U90="DUE TOMORROW","Next: "&amp;$AC90&amp;IF($AB90&lt;=TODAY()," is due TODAY ("," is due next business day (")&amp;TEXT($AB90,"dd-mmm")&amp;").","Next: "&amp;$AC90&amp;" due "&amp;TEXT($AB90,"dd-mmm")&amp;" ("&amp;(NETWORKDAYS(TODAY(),$AB90,Holidays)-1)&amp;" business day(s) left).")))))</f>
        <v/>
      </c>
      <c r="W90" s="17">
        <f>IF($Z90="","",CHOOSE($Z90,"Collection Email","1st Follow-up","2nd Follow-up","Local Office","CBE","Roxanne")&amp;IF($Z90=6," - Final"," - Day "&amp;MAX(0,NETWORKDAYS($AA90,TODAY(),Holidays)-1)&amp;" of "&amp;CHOOSE($Z90,3,3,2,2,3))&amp;" | Total Day "&amp;MAX(0,NETWORKDAYS($N90,TODAY(),Holidays)-1))</f>
        <v/>
      </c>
      <c r="X90" s="18"/>
      <c r="Y90" s="18"/>
      <c r="Z90" s="17">
        <f>IF($N90="","",COUNT($N90:$S90))</f>
        <v/>
      </c>
      <c r="AA90" s="19">
        <f>IF($Z90="","",INT(INDEX($N90:$S90,$Z90)))</f>
        <v/>
      </c>
      <c r="AB90" s="19">
        <f>IF(OR($Z90="",$Z90=6),"",WORKDAY($AA90,CHOOSE($Z90,3,3,2,2,3),Holidays))</f>
        <v/>
      </c>
      <c r="AC90" s="17">
        <f>IF(OR($Z90="",$Z90=6),"",CHOOSE($Z90,"1st Email Follow-up","2nd Email Follow-up","Escalate Local Office","Escalate to CBE","Escalate to Roxanne"))</f>
        <v/>
      </c>
    </row>
    <row r="91" spans="13:29">
      <c r="M91" s="14"/>
      <c r="T91" s="16"/>
      <c r="U91" s="17">
        <f>IF(AND(COUNTA($A91:$L91)=0,$N91=""),"",IF($T91="Paid","PAID",IF($T91="Closed","CLOSED",IF($Z91="","",IF($Z91=6,"ESCALATED TO ROXANNE",IF(TODAY()&gt;$AB91,"OVERDUE",IF($AB91&lt;=WORKDAY(TODAY(),1,Holidays),"DUE TOMORROW",IF($Z91=4,"ESCALATED TO LOCAL OFFICE",IF($Z91=5,"ESCALATED TO CBE",IF($AA91=TODAY(),"EMAIL SENT","MONITORING"))))))))))</f>
        <v/>
      </c>
      <c r="V91" s="17">
        <f>IF($U91="",IF(AND(COUNTA($A91:$L91)&gt;0,$N91=""),"Awaiting Collection Email time stamp.",""),IF(OR($U91="PAID",$U91="CLOSED"),IF($U91="PAID","Account paid. Action completed.","Account closed. No further action required."),CHOOSE($Z91,"Collection Email","1st Email Follow-up","2nd Email Follow-up","Escalation to Local Office","Escalation to CBE","Escalation to Roxanne")&amp;" sent "&amp;TEXT($AA91,"dd-mmm")&amp;". "&amp;IF($Z91=6,"Final escalation completed.",IF($U91="OVERDUE","Next: "&amp;$AC91&amp;" was due "&amp;TEXT($AB91,"dd-mmm")&amp;" - "&amp;(NETWORKDAYS($AB91,TODAY(),Holidays)-1)&amp;" business day(s) late. Send now.",IF($U91="DUE TOMORROW","Next: "&amp;$AC91&amp;IF($AB91&lt;=TODAY()," is due TODAY ("," is due next business day (")&amp;TEXT($AB91,"dd-mmm")&amp;").","Next: "&amp;$AC91&amp;" due "&amp;TEXT($AB91,"dd-mmm")&amp;" ("&amp;(NETWORKDAYS(TODAY(),$AB91,Holidays)-1)&amp;" business day(s) left).")))))</f>
        <v/>
      </c>
      <c r="W91" s="17">
        <f>IF($Z91="","",CHOOSE($Z91,"Collection Email","1st Follow-up","2nd Follow-up","Local Office","CBE","Roxanne")&amp;IF($Z91=6," - Final"," - Day "&amp;MAX(0,NETWORKDAYS($AA91,TODAY(),Holidays)-1)&amp;" of "&amp;CHOOSE($Z91,3,3,2,2,3))&amp;" | Total Day "&amp;MAX(0,NETWORKDAYS($N91,TODAY(),Holidays)-1))</f>
        <v/>
      </c>
      <c r="X91" s="18"/>
      <c r="Y91" s="18"/>
      <c r="Z91" s="17">
        <f>IF($N91="","",COUNT($N91:$S91))</f>
        <v/>
      </c>
      <c r="AA91" s="19">
        <f>IF($Z91="","",INT(INDEX($N91:$S91,$Z91)))</f>
        <v/>
      </c>
      <c r="AB91" s="19">
        <f>IF(OR($Z91="",$Z91=6),"",WORKDAY($AA91,CHOOSE($Z91,3,3,2,2,3),Holidays))</f>
        <v/>
      </c>
      <c r="AC91" s="17">
        <f>IF(OR($Z91="",$Z91=6),"",CHOOSE($Z91,"1st Email Follow-up","2nd Email Follow-up","Escalate Local Office","Escalate to CBE","Escalate to Roxanne"))</f>
        <v/>
      </c>
    </row>
    <row r="92" spans="13:29">
      <c r="M92" s="14"/>
      <c r="T92" s="16"/>
      <c r="U92" s="17">
        <f>IF(AND(COUNTA($A92:$L92)=0,$N92=""),"",IF($T92="Paid","PAID",IF($T92="Closed","CLOSED",IF($Z92="","",IF($Z92=6,"ESCALATED TO ROXANNE",IF(TODAY()&gt;$AB92,"OVERDUE",IF($AB92&lt;=WORKDAY(TODAY(),1,Holidays),"DUE TOMORROW",IF($Z92=4,"ESCALATED TO LOCAL OFFICE",IF($Z92=5,"ESCALATED TO CBE",IF($AA92=TODAY(),"EMAIL SENT","MONITORING"))))))))))</f>
        <v/>
      </c>
      <c r="V92" s="17">
        <f>IF($U92="",IF(AND(COUNTA($A92:$L92)&gt;0,$N92=""),"Awaiting Collection Email time stamp.",""),IF(OR($U92="PAID",$U92="CLOSED"),IF($U92="PAID","Account paid. Action completed.","Account closed. No further action required."),CHOOSE($Z92,"Collection Email","1st Email Follow-up","2nd Email Follow-up","Escalation to Local Office","Escalation to CBE","Escalation to Roxanne")&amp;" sent "&amp;TEXT($AA92,"dd-mmm")&amp;". "&amp;IF($Z92=6,"Final escalation completed.",IF($U92="OVERDUE","Next: "&amp;$AC92&amp;" was due "&amp;TEXT($AB92,"dd-mmm")&amp;" - "&amp;(NETWORKDAYS($AB92,TODAY(),Holidays)-1)&amp;" business day(s) late. Send now.",IF($U92="DUE TOMORROW","Next: "&amp;$AC92&amp;IF($AB92&lt;=TODAY()," is due TODAY ("," is due next business day (")&amp;TEXT($AB92,"dd-mmm")&amp;").","Next: "&amp;$AC92&amp;" due "&amp;TEXT($AB92,"dd-mmm")&amp;" ("&amp;(NETWORKDAYS(TODAY(),$AB92,Holidays)-1)&amp;" business day(s) left).")))))</f>
        <v/>
      </c>
      <c r="W92" s="17">
        <f>IF($Z92="","",CHOOSE($Z92,"Collection Email","1st Follow-up","2nd Follow-up","Local Office","CBE","Roxanne")&amp;IF($Z92=6," - Final"," - Day "&amp;MAX(0,NETWORKDAYS($AA92,TODAY(),Holidays)-1)&amp;" of "&amp;CHOOSE($Z92,3,3,2,2,3))&amp;" | Total Day "&amp;MAX(0,NETWORKDAYS($N92,TODAY(),Holidays)-1))</f>
        <v/>
      </c>
      <c r="X92" s="18"/>
      <c r="Y92" s="18"/>
      <c r="Z92" s="17">
        <f>IF($N92="","",COUNT($N92:$S92))</f>
        <v/>
      </c>
      <c r="AA92" s="19">
        <f>IF($Z92="","",INT(INDEX($N92:$S92,$Z92)))</f>
        <v/>
      </c>
      <c r="AB92" s="19">
        <f>IF(OR($Z92="",$Z92=6),"",WORKDAY($AA92,CHOOSE($Z92,3,3,2,2,3),Holidays))</f>
        <v/>
      </c>
      <c r="AC92" s="17">
        <f>IF(OR($Z92="",$Z92=6),"",CHOOSE($Z92,"1st Email Follow-up","2nd Email Follow-up","Escalate Local Office","Escalate to CBE","Escalate to Roxanne"))</f>
        <v/>
      </c>
    </row>
    <row r="93" spans="13:29">
      <c r="M93" s="14"/>
      <c r="T93" s="16"/>
      <c r="U93" s="17">
        <f>IF(AND(COUNTA($A93:$L93)=0,$N93=""),"",IF($T93="Paid","PAID",IF($T93="Closed","CLOSED",IF($Z93="","",IF($Z93=6,"ESCALATED TO ROXANNE",IF(TODAY()&gt;$AB93,"OVERDUE",IF($AB93&lt;=WORKDAY(TODAY(),1,Holidays),"DUE TOMORROW",IF($Z93=4,"ESCALATED TO LOCAL OFFICE",IF($Z93=5,"ESCALATED TO CBE",IF($AA93=TODAY(),"EMAIL SENT","MONITORING"))))))))))</f>
        <v/>
      </c>
      <c r="V93" s="17">
        <f>IF($U93="",IF(AND(COUNTA($A93:$L93)&gt;0,$N93=""),"Awaiting Collection Email time stamp.",""),IF(OR($U93="PAID",$U93="CLOSED"),IF($U93="PAID","Account paid. Action completed.","Account closed. No further action required."),CHOOSE($Z93,"Collection Email","1st Email Follow-up","2nd Email Follow-up","Escalation to Local Office","Escalation to CBE","Escalation to Roxanne")&amp;" sent "&amp;TEXT($AA93,"dd-mmm")&amp;". "&amp;IF($Z93=6,"Final escalation completed.",IF($U93="OVERDUE","Next: "&amp;$AC93&amp;" was due "&amp;TEXT($AB93,"dd-mmm")&amp;" - "&amp;(NETWORKDAYS($AB93,TODAY(),Holidays)-1)&amp;" business day(s) late. Send now.",IF($U93="DUE TOMORROW","Next: "&amp;$AC93&amp;IF($AB93&lt;=TODAY()," is due TODAY ("," is due next business day (")&amp;TEXT($AB93,"dd-mmm")&amp;").","Next: "&amp;$AC93&amp;" due "&amp;TEXT($AB93,"dd-mmm")&amp;" ("&amp;(NETWORKDAYS(TODAY(),$AB93,Holidays)-1)&amp;" business day(s) left).")))))</f>
        <v/>
      </c>
      <c r="W93" s="17">
        <f>IF($Z93="","",CHOOSE($Z93,"Collection Email","1st Follow-up","2nd Follow-up","Local Office","CBE","Roxanne")&amp;IF($Z93=6," - Final"," - Day "&amp;MAX(0,NETWORKDAYS($AA93,TODAY(),Holidays)-1)&amp;" of "&amp;CHOOSE($Z93,3,3,2,2,3))&amp;" | Total Day "&amp;MAX(0,NETWORKDAYS($N93,TODAY(),Holidays)-1))</f>
        <v/>
      </c>
      <c r="X93" s="18"/>
      <c r="Y93" s="18"/>
      <c r="Z93" s="17">
        <f>IF($N93="","",COUNT($N93:$S93))</f>
        <v/>
      </c>
      <c r="AA93" s="19">
        <f>IF($Z93="","",INT(INDEX($N93:$S93,$Z93)))</f>
        <v/>
      </c>
      <c r="AB93" s="19">
        <f>IF(OR($Z93="",$Z93=6),"",WORKDAY($AA93,CHOOSE($Z93,3,3,2,2,3),Holidays))</f>
        <v/>
      </c>
      <c r="AC93" s="17">
        <f>IF(OR($Z93="",$Z93=6),"",CHOOSE($Z93,"1st Email Follow-up","2nd Email Follow-up","Escalate Local Office","Escalate to CBE","Escalate to Roxanne"))</f>
        <v/>
      </c>
    </row>
    <row r="94" spans="13:29">
      <c r="M94" s="14"/>
      <c r="T94" s="16"/>
      <c r="U94" s="17">
        <f>IF(AND(COUNTA($A94:$L94)=0,$N94=""),"",IF($T94="Paid","PAID",IF($T94="Closed","CLOSED",IF($Z94="","",IF($Z94=6,"ESCALATED TO ROXANNE",IF(TODAY()&gt;$AB94,"OVERDUE",IF($AB94&lt;=WORKDAY(TODAY(),1,Holidays),"DUE TOMORROW",IF($Z94=4,"ESCALATED TO LOCAL OFFICE",IF($Z94=5,"ESCALATED TO CBE",IF($AA94=TODAY(),"EMAIL SENT","MONITORING"))))))))))</f>
        <v/>
      </c>
      <c r="V94" s="17">
        <f>IF($U94="",IF(AND(COUNTA($A94:$L94)&gt;0,$N94=""),"Awaiting Collection Email time stamp.",""),IF(OR($U94="PAID",$U94="CLOSED"),IF($U94="PAID","Account paid. Action completed.","Account closed. No further action required."),CHOOSE($Z94,"Collection Email","1st Email Follow-up","2nd Email Follow-up","Escalation to Local Office","Escalation to CBE","Escalation to Roxanne")&amp;" sent "&amp;TEXT($AA94,"dd-mmm")&amp;". "&amp;IF($Z94=6,"Final escalation completed.",IF($U94="OVERDUE","Next: "&amp;$AC94&amp;" was due "&amp;TEXT($AB94,"dd-mmm")&amp;" - "&amp;(NETWORKDAYS($AB94,TODAY(),Holidays)-1)&amp;" business day(s) late. Send now.",IF($U94="DUE TOMORROW","Next: "&amp;$AC94&amp;IF($AB94&lt;=TODAY()," is due TODAY ("," is due next business day (")&amp;TEXT($AB94,"dd-mmm")&amp;").","Next: "&amp;$AC94&amp;" due "&amp;TEXT($AB94,"dd-mmm")&amp;" ("&amp;(NETWORKDAYS(TODAY(),$AB94,Holidays)-1)&amp;" business day(s) left).")))))</f>
        <v/>
      </c>
      <c r="W94" s="17">
        <f>IF($Z94="","",CHOOSE($Z94,"Collection Email","1st Follow-up","2nd Follow-up","Local Office","CBE","Roxanne")&amp;IF($Z94=6," - Final"," - Day "&amp;MAX(0,NETWORKDAYS($AA94,TODAY(),Holidays)-1)&amp;" of "&amp;CHOOSE($Z94,3,3,2,2,3))&amp;" | Total Day "&amp;MAX(0,NETWORKDAYS($N94,TODAY(),Holidays)-1))</f>
        <v/>
      </c>
      <c r="X94" s="18"/>
      <c r="Y94" s="18"/>
      <c r="Z94" s="17">
        <f>IF($N94="","",COUNT($N94:$S94))</f>
        <v/>
      </c>
      <c r="AA94" s="19">
        <f>IF($Z94="","",INT(INDEX($N94:$S94,$Z94)))</f>
        <v/>
      </c>
      <c r="AB94" s="19">
        <f>IF(OR($Z94="",$Z94=6),"",WORKDAY($AA94,CHOOSE($Z94,3,3,2,2,3),Holidays))</f>
        <v/>
      </c>
      <c r="AC94" s="17">
        <f>IF(OR($Z94="",$Z94=6),"",CHOOSE($Z94,"1st Email Follow-up","2nd Email Follow-up","Escalate Local Office","Escalate to CBE","Escalate to Roxanne"))</f>
        <v/>
      </c>
    </row>
    <row r="95" spans="13:29">
      <c r="M95" s="14"/>
      <c r="T95" s="16"/>
      <c r="U95" s="17">
        <f>IF(AND(COUNTA($A95:$L95)=0,$N95=""),"",IF($T95="Paid","PAID",IF($T95="Closed","CLOSED",IF($Z95="","",IF($Z95=6,"ESCALATED TO ROXANNE",IF(TODAY()&gt;$AB95,"OVERDUE",IF($AB95&lt;=WORKDAY(TODAY(),1,Holidays),"DUE TOMORROW",IF($Z95=4,"ESCALATED TO LOCAL OFFICE",IF($Z95=5,"ESCALATED TO CBE",IF($AA95=TODAY(),"EMAIL SENT","MONITORING"))))))))))</f>
        <v/>
      </c>
      <c r="V95" s="17">
        <f>IF($U95="",IF(AND(COUNTA($A95:$L95)&gt;0,$N95=""),"Awaiting Collection Email time stamp.",""),IF(OR($U95="PAID",$U95="CLOSED"),IF($U95="PAID","Account paid. Action completed.","Account closed. No further action required."),CHOOSE($Z95,"Collection Email","1st Email Follow-up","2nd Email Follow-up","Escalation to Local Office","Escalation to CBE","Escalation to Roxanne")&amp;" sent "&amp;TEXT($AA95,"dd-mmm")&amp;". "&amp;IF($Z95=6,"Final escalation completed.",IF($U95="OVERDUE","Next: "&amp;$AC95&amp;" was due "&amp;TEXT($AB95,"dd-mmm")&amp;" - "&amp;(NETWORKDAYS($AB95,TODAY(),Holidays)-1)&amp;" business day(s) late. Send now.",IF($U95="DUE TOMORROW","Next: "&amp;$AC95&amp;IF($AB95&lt;=TODAY()," is due TODAY ("," is due next business day (")&amp;TEXT($AB95,"dd-mmm")&amp;").","Next: "&amp;$AC95&amp;" due "&amp;TEXT($AB95,"dd-mmm")&amp;" ("&amp;(NETWORKDAYS(TODAY(),$AB95,Holidays)-1)&amp;" business day(s) left).")))))</f>
        <v/>
      </c>
      <c r="W95" s="17">
        <f>IF($Z95="","",CHOOSE($Z95,"Collection Email","1st Follow-up","2nd Follow-up","Local Office","CBE","Roxanne")&amp;IF($Z95=6," - Final"," - Day "&amp;MAX(0,NETWORKDAYS($AA95,TODAY(),Holidays)-1)&amp;" of "&amp;CHOOSE($Z95,3,3,2,2,3))&amp;" | Total Day "&amp;MAX(0,NETWORKDAYS($N95,TODAY(),Holidays)-1))</f>
        <v/>
      </c>
      <c r="X95" s="18"/>
      <c r="Y95" s="18"/>
      <c r="Z95" s="17">
        <f>IF($N95="","",COUNT($N95:$S95))</f>
        <v/>
      </c>
      <c r="AA95" s="19">
        <f>IF($Z95="","",INT(INDEX($N95:$S95,$Z95)))</f>
        <v/>
      </c>
      <c r="AB95" s="19">
        <f>IF(OR($Z95="",$Z95=6),"",WORKDAY($AA95,CHOOSE($Z95,3,3,2,2,3),Holidays))</f>
        <v/>
      </c>
      <c r="AC95" s="17">
        <f>IF(OR($Z95="",$Z95=6),"",CHOOSE($Z95,"1st Email Follow-up","2nd Email Follow-up","Escalate Local Office","Escalate to CBE","Escalate to Roxanne"))</f>
        <v/>
      </c>
    </row>
    <row r="96" spans="13:29">
      <c r="M96" s="14"/>
      <c r="T96" s="16"/>
      <c r="U96" s="17">
        <f>IF(AND(COUNTA($A96:$L96)=0,$N96=""),"",IF($T96="Paid","PAID",IF($T96="Closed","CLOSED",IF($Z96="","",IF($Z96=6,"ESCALATED TO ROXANNE",IF(TODAY()&gt;$AB96,"OVERDUE",IF($AB96&lt;=WORKDAY(TODAY(),1,Holidays),"DUE TOMORROW",IF($Z96=4,"ESCALATED TO LOCAL OFFICE",IF($Z96=5,"ESCALATED TO CBE",IF($AA96=TODAY(),"EMAIL SENT","MONITORING"))))))))))</f>
        <v/>
      </c>
      <c r="V96" s="17">
        <f>IF($U96="",IF(AND(COUNTA($A96:$L96)&gt;0,$N96=""),"Awaiting Collection Email time stamp.",""),IF(OR($U96="PAID",$U96="CLOSED"),IF($U96="PAID","Account paid. Action completed.","Account closed. No further action required."),CHOOSE($Z96,"Collection Email","1st Email Follow-up","2nd Email Follow-up","Escalation to Local Office","Escalation to CBE","Escalation to Roxanne")&amp;" sent "&amp;TEXT($AA96,"dd-mmm")&amp;". "&amp;IF($Z96=6,"Final escalation completed.",IF($U96="OVERDUE","Next: "&amp;$AC96&amp;" was due "&amp;TEXT($AB96,"dd-mmm")&amp;" - "&amp;(NETWORKDAYS($AB96,TODAY(),Holidays)-1)&amp;" business day(s) late. Send now.",IF($U96="DUE TOMORROW","Next: "&amp;$AC96&amp;IF($AB96&lt;=TODAY()," is due TODAY ("," is due next business day (")&amp;TEXT($AB96,"dd-mmm")&amp;").","Next: "&amp;$AC96&amp;" due "&amp;TEXT($AB96,"dd-mmm")&amp;" ("&amp;(NETWORKDAYS(TODAY(),$AB96,Holidays)-1)&amp;" business day(s) left).")))))</f>
        <v/>
      </c>
      <c r="W96" s="17">
        <f>IF($Z96="","",CHOOSE($Z96,"Collection Email","1st Follow-up","2nd Follow-up","Local Office","CBE","Roxanne")&amp;IF($Z96=6," - Final"," - Day "&amp;MAX(0,NETWORKDAYS($AA96,TODAY(),Holidays)-1)&amp;" of "&amp;CHOOSE($Z96,3,3,2,2,3))&amp;" | Total Day "&amp;MAX(0,NETWORKDAYS($N96,TODAY(),Holidays)-1))</f>
        <v/>
      </c>
      <c r="X96" s="18"/>
      <c r="Y96" s="18"/>
      <c r="Z96" s="17">
        <f>IF($N96="","",COUNT($N96:$S96))</f>
        <v/>
      </c>
      <c r="AA96" s="19">
        <f>IF($Z96="","",INT(INDEX($N96:$S96,$Z96)))</f>
        <v/>
      </c>
      <c r="AB96" s="19">
        <f>IF(OR($Z96="",$Z96=6),"",WORKDAY($AA96,CHOOSE($Z96,3,3,2,2,3),Holidays))</f>
        <v/>
      </c>
      <c r="AC96" s="17">
        <f>IF(OR($Z96="",$Z96=6),"",CHOOSE($Z96,"1st Email Follow-up","2nd Email Follow-up","Escalate Local Office","Escalate to CBE","Escalate to Roxanne"))</f>
        <v/>
      </c>
    </row>
    <row r="97" spans="13:29">
      <c r="M97" s="14"/>
      <c r="T97" s="16"/>
      <c r="U97" s="17">
        <f>IF(AND(COUNTA($A97:$L97)=0,$N97=""),"",IF($T97="Paid","PAID",IF($T97="Closed","CLOSED",IF($Z97="","",IF($Z97=6,"ESCALATED TO ROXANNE",IF(TODAY()&gt;$AB97,"OVERDUE",IF($AB97&lt;=WORKDAY(TODAY(),1,Holidays),"DUE TOMORROW",IF($Z97=4,"ESCALATED TO LOCAL OFFICE",IF($Z97=5,"ESCALATED TO CBE",IF($AA97=TODAY(),"EMAIL SENT","MONITORING"))))))))))</f>
        <v/>
      </c>
      <c r="V97" s="17">
        <f>IF($U97="",IF(AND(COUNTA($A97:$L97)&gt;0,$N97=""),"Awaiting Collection Email time stamp.",""),IF(OR($U97="PAID",$U97="CLOSED"),IF($U97="PAID","Account paid. Action completed.","Account closed. No further action required."),CHOOSE($Z97,"Collection Email","1st Email Follow-up","2nd Email Follow-up","Escalation to Local Office","Escalation to CBE","Escalation to Roxanne")&amp;" sent "&amp;TEXT($AA97,"dd-mmm")&amp;". "&amp;IF($Z97=6,"Final escalation completed.",IF($U97="OVERDUE","Next: "&amp;$AC97&amp;" was due "&amp;TEXT($AB97,"dd-mmm")&amp;" - "&amp;(NETWORKDAYS($AB97,TODAY(),Holidays)-1)&amp;" business day(s) late. Send now.",IF($U97="DUE TOMORROW","Next: "&amp;$AC97&amp;IF($AB97&lt;=TODAY()," is due TODAY ("," is due next business day (")&amp;TEXT($AB97,"dd-mmm")&amp;").","Next: "&amp;$AC97&amp;" due "&amp;TEXT($AB97,"dd-mmm")&amp;" ("&amp;(NETWORKDAYS(TODAY(),$AB97,Holidays)-1)&amp;" business day(s) left).")))))</f>
        <v/>
      </c>
      <c r="W97" s="17">
        <f>IF($Z97="","",CHOOSE($Z97,"Collection Email","1st Follow-up","2nd Follow-up","Local Office","CBE","Roxanne")&amp;IF($Z97=6," - Final"," - Day "&amp;MAX(0,NETWORKDAYS($AA97,TODAY(),Holidays)-1)&amp;" of "&amp;CHOOSE($Z97,3,3,2,2,3))&amp;" | Total Day "&amp;MAX(0,NETWORKDAYS($N97,TODAY(),Holidays)-1))</f>
        <v/>
      </c>
      <c r="X97" s="18"/>
      <c r="Y97" s="18"/>
      <c r="Z97" s="17">
        <f>IF($N97="","",COUNT($N97:$S97))</f>
        <v/>
      </c>
      <c r="AA97" s="19">
        <f>IF($Z97="","",INT(INDEX($N97:$S97,$Z97)))</f>
        <v/>
      </c>
      <c r="AB97" s="19">
        <f>IF(OR($Z97="",$Z97=6),"",WORKDAY($AA97,CHOOSE($Z97,3,3,2,2,3),Holidays))</f>
        <v/>
      </c>
      <c r="AC97" s="17">
        <f>IF(OR($Z97="",$Z97=6),"",CHOOSE($Z97,"1st Email Follow-up","2nd Email Follow-up","Escalate Local Office","Escalate to CBE","Escalate to Roxanne"))</f>
        <v/>
      </c>
    </row>
    <row r="98" spans="13:29">
      <c r="M98" s="14"/>
      <c r="T98" s="16"/>
      <c r="U98" s="17">
        <f>IF(AND(COUNTA($A98:$L98)=0,$N98=""),"",IF($T98="Paid","PAID",IF($T98="Closed","CLOSED",IF($Z98="","",IF($Z98=6,"ESCALATED TO ROXANNE",IF(TODAY()&gt;$AB98,"OVERDUE",IF($AB98&lt;=WORKDAY(TODAY(),1,Holidays),"DUE TOMORROW",IF($Z98=4,"ESCALATED TO LOCAL OFFICE",IF($Z98=5,"ESCALATED TO CBE",IF($AA98=TODAY(),"EMAIL SENT","MONITORING"))))))))))</f>
        <v/>
      </c>
      <c r="V98" s="17">
        <f>IF($U98="",IF(AND(COUNTA($A98:$L98)&gt;0,$N98=""),"Awaiting Collection Email time stamp.",""),IF(OR($U98="PAID",$U98="CLOSED"),IF($U98="PAID","Account paid. Action completed.","Account closed. No further action required."),CHOOSE($Z98,"Collection Email","1st Email Follow-up","2nd Email Follow-up","Escalation to Local Office","Escalation to CBE","Escalation to Roxanne")&amp;" sent "&amp;TEXT($AA98,"dd-mmm")&amp;". "&amp;IF($Z98=6,"Final escalation completed.",IF($U98="OVERDUE","Next: "&amp;$AC98&amp;" was due "&amp;TEXT($AB98,"dd-mmm")&amp;" - "&amp;(NETWORKDAYS($AB98,TODAY(),Holidays)-1)&amp;" business day(s) late. Send now.",IF($U98="DUE TOMORROW","Next: "&amp;$AC98&amp;IF($AB98&lt;=TODAY()," is due TODAY ("," is due next business day (")&amp;TEXT($AB98,"dd-mmm")&amp;").","Next: "&amp;$AC98&amp;" due "&amp;TEXT($AB98,"dd-mmm")&amp;" ("&amp;(NETWORKDAYS(TODAY(),$AB98,Holidays)-1)&amp;" business day(s) left).")))))</f>
        <v/>
      </c>
      <c r="W98" s="17">
        <f>IF($Z98="","",CHOOSE($Z98,"Collection Email","1st Follow-up","2nd Follow-up","Local Office","CBE","Roxanne")&amp;IF($Z98=6," - Final"," - Day "&amp;MAX(0,NETWORKDAYS($AA98,TODAY(),Holidays)-1)&amp;" of "&amp;CHOOSE($Z98,3,3,2,2,3))&amp;" | Total Day "&amp;MAX(0,NETWORKDAYS($N98,TODAY(),Holidays)-1))</f>
        <v/>
      </c>
      <c r="X98" s="18"/>
      <c r="Y98" s="18"/>
      <c r="Z98" s="17">
        <f>IF($N98="","",COUNT($N98:$S98))</f>
        <v/>
      </c>
      <c r="AA98" s="19">
        <f>IF($Z98="","",INT(INDEX($N98:$S98,$Z98)))</f>
        <v/>
      </c>
      <c r="AB98" s="19">
        <f>IF(OR($Z98="",$Z98=6),"",WORKDAY($AA98,CHOOSE($Z98,3,3,2,2,3),Holidays))</f>
        <v/>
      </c>
      <c r="AC98" s="17">
        <f>IF(OR($Z98="",$Z98=6),"",CHOOSE($Z98,"1st Email Follow-up","2nd Email Follow-up","Escalate Local Office","Escalate to CBE","Escalate to Roxanne"))</f>
        <v/>
      </c>
    </row>
    <row r="99" spans="13:29">
      <c r="M99" s="14"/>
      <c r="T99" s="16"/>
      <c r="U99" s="17">
        <f>IF(AND(COUNTA($A99:$L99)=0,$N99=""),"",IF($T99="Paid","PAID",IF($T99="Closed","CLOSED",IF($Z99="","",IF($Z99=6,"ESCALATED TO ROXANNE",IF(TODAY()&gt;$AB99,"OVERDUE",IF($AB99&lt;=WORKDAY(TODAY(),1,Holidays),"DUE TOMORROW",IF($Z99=4,"ESCALATED TO LOCAL OFFICE",IF($Z99=5,"ESCALATED TO CBE",IF($AA99=TODAY(),"EMAIL SENT","MONITORING"))))))))))</f>
        <v/>
      </c>
      <c r="V99" s="17">
        <f>IF($U99="",IF(AND(COUNTA($A99:$L99)&gt;0,$N99=""),"Awaiting Collection Email time stamp.",""),IF(OR($U99="PAID",$U99="CLOSED"),IF($U99="PAID","Account paid. Action completed.","Account closed. No further action required."),CHOOSE($Z99,"Collection Email","1st Email Follow-up","2nd Email Follow-up","Escalation to Local Office","Escalation to CBE","Escalation to Roxanne")&amp;" sent "&amp;TEXT($AA99,"dd-mmm")&amp;". "&amp;IF($Z99=6,"Final escalation completed.",IF($U99="OVERDUE","Next: "&amp;$AC99&amp;" was due "&amp;TEXT($AB99,"dd-mmm")&amp;" - "&amp;(NETWORKDAYS($AB99,TODAY(),Holidays)-1)&amp;" business day(s) late. Send now.",IF($U99="DUE TOMORROW","Next: "&amp;$AC99&amp;IF($AB99&lt;=TODAY()," is due TODAY ("," is due next business day (")&amp;TEXT($AB99,"dd-mmm")&amp;").","Next: "&amp;$AC99&amp;" due "&amp;TEXT($AB99,"dd-mmm")&amp;" ("&amp;(NETWORKDAYS(TODAY(),$AB99,Holidays)-1)&amp;" business day(s) left).")))))</f>
        <v/>
      </c>
      <c r="W99" s="17">
        <f>IF($Z99="","",CHOOSE($Z99,"Collection Email","1st Follow-up","2nd Follow-up","Local Office","CBE","Roxanne")&amp;IF($Z99=6," - Final"," - Day "&amp;MAX(0,NETWORKDAYS($AA99,TODAY(),Holidays)-1)&amp;" of "&amp;CHOOSE($Z99,3,3,2,2,3))&amp;" | Total Day "&amp;MAX(0,NETWORKDAYS($N99,TODAY(),Holidays)-1))</f>
        <v/>
      </c>
      <c r="X99" s="18"/>
      <c r="Y99" s="18"/>
      <c r="Z99" s="17">
        <f>IF($N99="","",COUNT($N99:$S99))</f>
        <v/>
      </c>
      <c r="AA99" s="19">
        <f>IF($Z99="","",INT(INDEX($N99:$S99,$Z99)))</f>
        <v/>
      </c>
      <c r="AB99" s="19">
        <f>IF(OR($Z99="",$Z99=6),"",WORKDAY($AA99,CHOOSE($Z99,3,3,2,2,3),Holidays))</f>
        <v/>
      </c>
      <c r="AC99" s="17">
        <f>IF(OR($Z99="",$Z99=6),"",CHOOSE($Z99,"1st Email Follow-up","2nd Email Follow-up","Escalate Local Office","Escalate to CBE","Escalate to Roxanne"))</f>
        <v/>
      </c>
    </row>
    <row r="100" spans="13:29">
      <c r="M100" s="14"/>
      <c r="T100" s="16"/>
      <c r="U100" s="17">
        <f>IF(AND(COUNTA($A100:$L100)=0,$N100=""),"",IF($T100="Paid","PAID",IF($T100="Closed","CLOSED",IF($Z100="","",IF($Z100=6,"ESCALATED TO ROXANNE",IF(TODAY()&gt;$AB100,"OVERDUE",IF($AB100&lt;=WORKDAY(TODAY(),1,Holidays),"DUE TOMORROW",IF($Z100=4,"ESCALATED TO LOCAL OFFICE",IF($Z100=5,"ESCALATED TO CBE",IF($AA100=TODAY(),"EMAIL SENT","MONITORING"))))))))))</f>
        <v/>
      </c>
      <c r="V100" s="17">
        <f>IF($U100="",IF(AND(COUNTA($A100:$L100)&gt;0,$N100=""),"Awaiting Collection Email time stamp.",""),IF(OR($U100="PAID",$U100="CLOSED"),IF($U100="PAID","Account paid. Action completed.","Account closed. No further action required."),CHOOSE($Z100,"Collection Email","1st Email Follow-up","2nd Email Follow-up","Escalation to Local Office","Escalation to CBE","Escalation to Roxanne")&amp;" sent "&amp;TEXT($AA100,"dd-mmm")&amp;". "&amp;IF($Z100=6,"Final escalation completed.",IF($U100="OVERDUE","Next: "&amp;$AC100&amp;" was due "&amp;TEXT($AB100,"dd-mmm")&amp;" - "&amp;(NETWORKDAYS($AB100,TODAY(),Holidays)-1)&amp;" business day(s) late. Send now.",IF($U100="DUE TOMORROW","Next: "&amp;$AC100&amp;IF($AB100&lt;=TODAY()," is due TODAY ("," is due next business day (")&amp;TEXT($AB100,"dd-mmm")&amp;").","Next: "&amp;$AC100&amp;" due "&amp;TEXT($AB100,"dd-mmm")&amp;" ("&amp;(NETWORKDAYS(TODAY(),$AB100,Holidays)-1)&amp;" business day(s) left).")))))</f>
        <v/>
      </c>
      <c r="W100" s="17">
        <f>IF($Z100="","",CHOOSE($Z100,"Collection Email","1st Follow-up","2nd Follow-up","Local Office","CBE","Roxanne")&amp;IF($Z100=6," - Final"," - Day "&amp;MAX(0,NETWORKDAYS($AA100,TODAY(),Holidays)-1)&amp;" of "&amp;CHOOSE($Z100,3,3,2,2,3))&amp;" | Total Day "&amp;MAX(0,NETWORKDAYS($N100,TODAY(),Holidays)-1))</f>
        <v/>
      </c>
      <c r="X100" s="18"/>
      <c r="Y100" s="18"/>
      <c r="Z100" s="17">
        <f>IF($N100="","",COUNT($N100:$S100))</f>
        <v/>
      </c>
      <c r="AA100" s="19">
        <f>IF($Z100="","",INT(INDEX($N100:$S100,$Z100)))</f>
        <v/>
      </c>
      <c r="AB100" s="19">
        <f>IF(OR($Z100="",$Z100=6),"",WORKDAY($AA100,CHOOSE($Z100,3,3,2,2,3),Holidays))</f>
        <v/>
      </c>
      <c r="AC100" s="17">
        <f>IF(OR($Z100="",$Z100=6),"",CHOOSE($Z100,"1st Email Follow-up","2nd Email Follow-up","Escalate Local Office","Escalate to CBE","Escalate to Roxanne"))</f>
        <v/>
      </c>
    </row>
    <row r="101" spans="13:29">
      <c r="M101" s="14"/>
      <c r="T101" s="16"/>
      <c r="U101" s="17">
        <f>IF(AND(COUNTA($A101:$L101)=0,$N101=""),"",IF($T101="Paid","PAID",IF($T101="Closed","CLOSED",IF($Z101="","",IF($Z101=6,"ESCALATED TO ROXANNE",IF(TODAY()&gt;$AB101,"OVERDUE",IF($AB101&lt;=WORKDAY(TODAY(),1,Holidays),"DUE TOMORROW",IF($Z101=4,"ESCALATED TO LOCAL OFFICE",IF($Z101=5,"ESCALATED TO CBE",IF($AA101=TODAY(),"EMAIL SENT","MONITORING"))))))))))</f>
        <v/>
      </c>
      <c r="V101" s="17">
        <f>IF($U101="",IF(AND(COUNTA($A101:$L101)&gt;0,$N101=""),"Awaiting Collection Email time stamp.",""),IF(OR($U101="PAID",$U101="CLOSED"),IF($U101="PAID","Account paid. Action completed.","Account closed. No further action required."),CHOOSE($Z101,"Collection Email","1st Email Follow-up","2nd Email Follow-up","Escalation to Local Office","Escalation to CBE","Escalation to Roxanne")&amp;" sent "&amp;TEXT($AA101,"dd-mmm")&amp;". "&amp;IF($Z101=6,"Final escalation completed.",IF($U101="OVERDUE","Next: "&amp;$AC101&amp;" was due "&amp;TEXT($AB101,"dd-mmm")&amp;" - "&amp;(NETWORKDAYS($AB101,TODAY(),Holidays)-1)&amp;" business day(s) late. Send now.",IF($U101="DUE TOMORROW","Next: "&amp;$AC101&amp;IF($AB101&lt;=TODAY()," is due TODAY ("," is due next business day (")&amp;TEXT($AB101,"dd-mmm")&amp;").","Next: "&amp;$AC101&amp;" due "&amp;TEXT($AB101,"dd-mmm")&amp;" ("&amp;(NETWORKDAYS(TODAY(),$AB101,Holidays)-1)&amp;" business day(s) left).")))))</f>
        <v/>
      </c>
      <c r="W101" s="17">
        <f>IF($Z101="","",CHOOSE($Z101,"Collection Email","1st Follow-up","2nd Follow-up","Local Office","CBE","Roxanne")&amp;IF($Z101=6," - Final"," - Day "&amp;MAX(0,NETWORKDAYS($AA101,TODAY(),Holidays)-1)&amp;" of "&amp;CHOOSE($Z101,3,3,2,2,3))&amp;" | Total Day "&amp;MAX(0,NETWORKDAYS($N101,TODAY(),Holidays)-1))</f>
        <v/>
      </c>
      <c r="X101" s="18"/>
      <c r="Y101" s="18"/>
      <c r="Z101" s="17">
        <f>IF($N101="","",COUNT($N101:$S101))</f>
        <v/>
      </c>
      <c r="AA101" s="19">
        <f>IF($Z101="","",INT(INDEX($N101:$S101,$Z101)))</f>
        <v/>
      </c>
      <c r="AB101" s="19">
        <f>IF(OR($Z101="",$Z101=6),"",WORKDAY($AA101,CHOOSE($Z101,3,3,2,2,3),Holidays))</f>
        <v/>
      </c>
      <c r="AC101" s="17">
        <f>IF(OR($Z101="",$Z101=6),"",CHOOSE($Z101,"1st Email Follow-up","2nd Email Follow-up","Escalate Local Office","Escalate to CBE","Escalate to Roxanne"))</f>
        <v/>
      </c>
    </row>
    <row r="102" spans="13:29">
      <c r="M102" s="14"/>
      <c r="T102" s="16"/>
      <c r="U102" s="17">
        <f>IF(AND(COUNTA($A102:$L102)=0,$N102=""),"",IF($T102="Paid","PAID",IF($T102="Closed","CLOSED",IF($Z102="","",IF($Z102=6,"ESCALATED TO ROXANNE",IF(TODAY()&gt;$AB102,"OVERDUE",IF($AB102&lt;=WORKDAY(TODAY(),1,Holidays),"DUE TOMORROW",IF($Z102=4,"ESCALATED TO LOCAL OFFICE",IF($Z102=5,"ESCALATED TO CBE",IF($AA102=TODAY(),"EMAIL SENT","MONITORING"))))))))))</f>
        <v/>
      </c>
      <c r="V102" s="17">
        <f>IF($U102="",IF(AND(COUNTA($A102:$L102)&gt;0,$N102=""),"Awaiting Collection Email time stamp.",""),IF(OR($U102="PAID",$U102="CLOSED"),IF($U102="PAID","Account paid. Action completed.","Account closed. No further action required."),CHOOSE($Z102,"Collection Email","1st Email Follow-up","2nd Email Follow-up","Escalation to Local Office","Escalation to CBE","Escalation to Roxanne")&amp;" sent "&amp;TEXT($AA102,"dd-mmm")&amp;". "&amp;IF($Z102=6,"Final escalation completed.",IF($U102="OVERDUE","Next: "&amp;$AC102&amp;" was due "&amp;TEXT($AB102,"dd-mmm")&amp;" - "&amp;(NETWORKDAYS($AB102,TODAY(),Holidays)-1)&amp;" business day(s) late. Send now.",IF($U102="DUE TOMORROW","Next: "&amp;$AC102&amp;IF($AB102&lt;=TODAY()," is due TODAY ("," is due next business day (")&amp;TEXT($AB102,"dd-mmm")&amp;").","Next: "&amp;$AC102&amp;" due "&amp;TEXT($AB102,"dd-mmm")&amp;" ("&amp;(NETWORKDAYS(TODAY(),$AB102,Holidays)-1)&amp;" business day(s) left).")))))</f>
        <v/>
      </c>
      <c r="W102" s="17">
        <f>IF($Z102="","",CHOOSE($Z102,"Collection Email","1st Follow-up","2nd Follow-up","Local Office","CBE","Roxanne")&amp;IF($Z102=6," - Final"," - Day "&amp;MAX(0,NETWORKDAYS($AA102,TODAY(),Holidays)-1)&amp;" of "&amp;CHOOSE($Z102,3,3,2,2,3))&amp;" | Total Day "&amp;MAX(0,NETWORKDAYS($N102,TODAY(),Holidays)-1))</f>
        <v/>
      </c>
      <c r="X102" s="18"/>
      <c r="Y102" s="18"/>
      <c r="Z102" s="17">
        <f>IF($N102="","",COUNT($N102:$S102))</f>
        <v/>
      </c>
      <c r="AA102" s="19">
        <f>IF($Z102="","",INT(INDEX($N102:$S102,$Z102)))</f>
        <v/>
      </c>
      <c r="AB102" s="19">
        <f>IF(OR($Z102="",$Z102=6),"",WORKDAY($AA102,CHOOSE($Z102,3,3,2,2,3),Holidays))</f>
        <v/>
      </c>
      <c r="AC102" s="17">
        <f>IF(OR($Z102="",$Z102=6),"",CHOOSE($Z102,"1st Email Follow-up","2nd Email Follow-up","Escalate Local Office","Escalate to CBE","Escalate to Roxanne"))</f>
        <v/>
      </c>
    </row>
    <row r="103" spans="13:29">
      <c r="M103" s="14"/>
      <c r="T103" s="16"/>
      <c r="U103" s="17">
        <f>IF(AND(COUNTA($A103:$L103)=0,$N103=""),"",IF($T103="Paid","PAID",IF($T103="Closed","CLOSED",IF($Z103="","",IF($Z103=6,"ESCALATED TO ROXANNE",IF(TODAY()&gt;$AB103,"OVERDUE",IF($AB103&lt;=WORKDAY(TODAY(),1,Holidays),"DUE TOMORROW",IF($Z103=4,"ESCALATED TO LOCAL OFFICE",IF($Z103=5,"ESCALATED TO CBE",IF($AA103=TODAY(),"EMAIL SENT","MONITORING"))))))))))</f>
        <v/>
      </c>
      <c r="V103" s="17">
        <f>IF($U103="",IF(AND(COUNTA($A103:$L103)&gt;0,$N103=""),"Awaiting Collection Email time stamp.",""),IF(OR($U103="PAID",$U103="CLOSED"),IF($U103="PAID","Account paid. Action completed.","Account closed. No further action required."),CHOOSE($Z103,"Collection Email","1st Email Follow-up","2nd Email Follow-up","Escalation to Local Office","Escalation to CBE","Escalation to Roxanne")&amp;" sent "&amp;TEXT($AA103,"dd-mmm")&amp;". "&amp;IF($Z103=6,"Final escalation completed.",IF($U103="OVERDUE","Next: "&amp;$AC103&amp;" was due "&amp;TEXT($AB103,"dd-mmm")&amp;" - "&amp;(NETWORKDAYS($AB103,TODAY(),Holidays)-1)&amp;" business day(s) late. Send now.",IF($U103="DUE TOMORROW","Next: "&amp;$AC103&amp;IF($AB103&lt;=TODAY()," is due TODAY ("," is due next business day (")&amp;TEXT($AB103,"dd-mmm")&amp;").","Next: "&amp;$AC103&amp;" due "&amp;TEXT($AB103,"dd-mmm")&amp;" ("&amp;(NETWORKDAYS(TODAY(),$AB103,Holidays)-1)&amp;" business day(s) left).")))))</f>
        <v/>
      </c>
      <c r="W103" s="17">
        <f>IF($Z103="","",CHOOSE($Z103,"Collection Email","1st Follow-up","2nd Follow-up","Local Office","CBE","Roxanne")&amp;IF($Z103=6," - Final"," - Day "&amp;MAX(0,NETWORKDAYS($AA103,TODAY(),Holidays)-1)&amp;" of "&amp;CHOOSE($Z103,3,3,2,2,3))&amp;" | Total Day "&amp;MAX(0,NETWORKDAYS($N103,TODAY(),Holidays)-1))</f>
        <v/>
      </c>
      <c r="X103" s="18"/>
      <c r="Y103" s="18"/>
      <c r="Z103" s="17">
        <f>IF($N103="","",COUNT($N103:$S103))</f>
        <v/>
      </c>
      <c r="AA103" s="19">
        <f>IF($Z103="","",INT(INDEX($N103:$S103,$Z103)))</f>
        <v/>
      </c>
      <c r="AB103" s="19">
        <f>IF(OR($Z103="",$Z103=6),"",WORKDAY($AA103,CHOOSE($Z103,3,3,2,2,3),Holidays))</f>
        <v/>
      </c>
      <c r="AC103" s="17">
        <f>IF(OR($Z103="",$Z103=6),"",CHOOSE($Z103,"1st Email Follow-up","2nd Email Follow-up","Escalate Local Office","Escalate to CBE","Escalate to Roxanne"))</f>
        <v/>
      </c>
    </row>
    <row r="104" spans="13:29">
      <c r="M104" s="14"/>
      <c r="T104" s="16"/>
      <c r="U104" s="17">
        <f>IF(AND(COUNTA($A104:$L104)=0,$N104=""),"",IF($T104="Paid","PAID",IF($T104="Closed","CLOSED",IF($Z104="","",IF($Z104=6,"ESCALATED TO ROXANNE",IF(TODAY()&gt;$AB104,"OVERDUE",IF($AB104&lt;=WORKDAY(TODAY(),1,Holidays),"DUE TOMORROW",IF($Z104=4,"ESCALATED TO LOCAL OFFICE",IF($Z104=5,"ESCALATED TO CBE",IF($AA104=TODAY(),"EMAIL SENT","MONITORING"))))))))))</f>
        <v/>
      </c>
      <c r="V104" s="17">
        <f>IF($U104="",IF(AND(COUNTA($A104:$L104)&gt;0,$N104=""),"Awaiting Collection Email time stamp.",""),IF(OR($U104="PAID",$U104="CLOSED"),IF($U104="PAID","Account paid. Action completed.","Account closed. No further action required."),CHOOSE($Z104,"Collection Email","1st Email Follow-up","2nd Email Follow-up","Escalation to Local Office","Escalation to CBE","Escalation to Roxanne")&amp;" sent "&amp;TEXT($AA104,"dd-mmm")&amp;". "&amp;IF($Z104=6,"Final escalation completed.",IF($U104="OVERDUE","Next: "&amp;$AC104&amp;" was due "&amp;TEXT($AB104,"dd-mmm")&amp;" - "&amp;(NETWORKDAYS($AB104,TODAY(),Holidays)-1)&amp;" business day(s) late. Send now.",IF($U104="DUE TOMORROW","Next: "&amp;$AC104&amp;IF($AB104&lt;=TODAY()," is due TODAY ("," is due next business day (")&amp;TEXT($AB104,"dd-mmm")&amp;").","Next: "&amp;$AC104&amp;" due "&amp;TEXT($AB104,"dd-mmm")&amp;" ("&amp;(NETWORKDAYS(TODAY(),$AB104,Holidays)-1)&amp;" business day(s) left).")))))</f>
        <v/>
      </c>
      <c r="W104" s="17">
        <f>IF($Z104="","",CHOOSE($Z104,"Collection Email","1st Follow-up","2nd Follow-up","Local Office","CBE","Roxanne")&amp;IF($Z104=6," - Final"," - Day "&amp;MAX(0,NETWORKDAYS($AA104,TODAY(),Holidays)-1)&amp;" of "&amp;CHOOSE($Z104,3,3,2,2,3))&amp;" | Total Day "&amp;MAX(0,NETWORKDAYS($N104,TODAY(),Holidays)-1))</f>
        <v/>
      </c>
      <c r="X104" s="18"/>
      <c r="Y104" s="18"/>
      <c r="Z104" s="17">
        <f>IF($N104="","",COUNT($N104:$S104))</f>
        <v/>
      </c>
      <c r="AA104" s="19">
        <f>IF($Z104="","",INT(INDEX($N104:$S104,$Z104)))</f>
        <v/>
      </c>
      <c r="AB104" s="19">
        <f>IF(OR($Z104="",$Z104=6),"",WORKDAY($AA104,CHOOSE($Z104,3,3,2,2,3),Holidays))</f>
        <v/>
      </c>
      <c r="AC104" s="17">
        <f>IF(OR($Z104="",$Z104=6),"",CHOOSE($Z104,"1st Email Follow-up","2nd Email Follow-up","Escalate Local Office","Escalate to CBE","Escalate to Roxanne"))</f>
        <v/>
      </c>
    </row>
    <row r="105" spans="13:29">
      <c r="M105" s="14"/>
      <c r="T105" s="16"/>
      <c r="U105" s="17">
        <f>IF(AND(COUNTA($A105:$L105)=0,$N105=""),"",IF($T105="Paid","PAID",IF($T105="Closed","CLOSED",IF($Z105="","",IF($Z105=6,"ESCALATED TO ROXANNE",IF(TODAY()&gt;$AB105,"OVERDUE",IF($AB105&lt;=WORKDAY(TODAY(),1,Holidays),"DUE TOMORROW",IF($Z105=4,"ESCALATED TO LOCAL OFFICE",IF($Z105=5,"ESCALATED TO CBE",IF($AA105=TODAY(),"EMAIL SENT","MONITORING"))))))))))</f>
        <v/>
      </c>
      <c r="V105" s="17">
        <f>IF($U105="",IF(AND(COUNTA($A105:$L105)&gt;0,$N105=""),"Awaiting Collection Email time stamp.",""),IF(OR($U105="PAID",$U105="CLOSED"),IF($U105="PAID","Account paid. Action completed.","Account closed. No further action required."),CHOOSE($Z105,"Collection Email","1st Email Follow-up","2nd Email Follow-up","Escalation to Local Office","Escalation to CBE","Escalation to Roxanne")&amp;" sent "&amp;TEXT($AA105,"dd-mmm")&amp;". "&amp;IF($Z105=6,"Final escalation completed.",IF($U105="OVERDUE","Next: "&amp;$AC105&amp;" was due "&amp;TEXT($AB105,"dd-mmm")&amp;" - "&amp;(NETWORKDAYS($AB105,TODAY(),Holidays)-1)&amp;" business day(s) late. Send now.",IF($U105="DUE TOMORROW","Next: "&amp;$AC105&amp;IF($AB105&lt;=TODAY()," is due TODAY ("," is due next business day (")&amp;TEXT($AB105,"dd-mmm")&amp;").","Next: "&amp;$AC105&amp;" due "&amp;TEXT($AB105,"dd-mmm")&amp;" ("&amp;(NETWORKDAYS(TODAY(),$AB105,Holidays)-1)&amp;" business day(s) left).")))))</f>
        <v/>
      </c>
      <c r="W105" s="17">
        <f>IF($Z105="","",CHOOSE($Z105,"Collection Email","1st Follow-up","2nd Follow-up","Local Office","CBE","Roxanne")&amp;IF($Z105=6," - Final"," - Day "&amp;MAX(0,NETWORKDAYS($AA105,TODAY(),Holidays)-1)&amp;" of "&amp;CHOOSE($Z105,3,3,2,2,3))&amp;" | Total Day "&amp;MAX(0,NETWORKDAYS($N105,TODAY(),Holidays)-1))</f>
        <v/>
      </c>
      <c r="X105" s="18"/>
      <c r="Y105" s="18"/>
      <c r="Z105" s="17">
        <f>IF($N105="","",COUNT($N105:$S105))</f>
        <v/>
      </c>
      <c r="AA105" s="19">
        <f>IF($Z105="","",INT(INDEX($N105:$S105,$Z105)))</f>
        <v/>
      </c>
      <c r="AB105" s="19">
        <f>IF(OR($Z105="",$Z105=6),"",WORKDAY($AA105,CHOOSE($Z105,3,3,2,2,3),Holidays))</f>
        <v/>
      </c>
      <c r="AC105" s="17">
        <f>IF(OR($Z105="",$Z105=6),"",CHOOSE($Z105,"1st Email Follow-up","2nd Email Follow-up","Escalate Local Office","Escalate to CBE","Escalate to Roxanne"))</f>
        <v/>
      </c>
    </row>
    <row r="106" spans="13:29">
      <c r="M106" s="14"/>
      <c r="T106" s="16"/>
      <c r="U106" s="17">
        <f>IF(AND(COUNTA($A106:$L106)=0,$N106=""),"",IF($T106="Paid","PAID",IF($T106="Closed","CLOSED",IF($Z106="","",IF($Z106=6,"ESCALATED TO ROXANNE",IF(TODAY()&gt;$AB106,"OVERDUE",IF($AB106&lt;=WORKDAY(TODAY(),1,Holidays),"DUE TOMORROW",IF($Z106=4,"ESCALATED TO LOCAL OFFICE",IF($Z106=5,"ESCALATED TO CBE",IF($AA106=TODAY(),"EMAIL SENT","MONITORING"))))))))))</f>
        <v/>
      </c>
      <c r="V106" s="17">
        <f>IF($U106="",IF(AND(COUNTA($A106:$L106)&gt;0,$N106=""),"Awaiting Collection Email time stamp.",""),IF(OR($U106="PAID",$U106="CLOSED"),IF($U106="PAID","Account paid. Action completed.","Account closed. No further action required."),CHOOSE($Z106,"Collection Email","1st Email Follow-up","2nd Email Follow-up","Escalation to Local Office","Escalation to CBE","Escalation to Roxanne")&amp;" sent "&amp;TEXT($AA106,"dd-mmm")&amp;". "&amp;IF($Z106=6,"Final escalation completed.",IF($U106="OVERDUE","Next: "&amp;$AC106&amp;" was due "&amp;TEXT($AB106,"dd-mmm")&amp;" - "&amp;(NETWORKDAYS($AB106,TODAY(),Holidays)-1)&amp;" business day(s) late. Send now.",IF($U106="DUE TOMORROW","Next: "&amp;$AC106&amp;IF($AB106&lt;=TODAY()," is due TODAY ("," is due next business day (")&amp;TEXT($AB106,"dd-mmm")&amp;").","Next: "&amp;$AC106&amp;" due "&amp;TEXT($AB106,"dd-mmm")&amp;" ("&amp;(NETWORKDAYS(TODAY(),$AB106,Holidays)-1)&amp;" business day(s) left).")))))</f>
        <v/>
      </c>
      <c r="W106" s="17">
        <f>IF($Z106="","",CHOOSE($Z106,"Collection Email","1st Follow-up","2nd Follow-up","Local Office","CBE","Roxanne")&amp;IF($Z106=6," - Final"," - Day "&amp;MAX(0,NETWORKDAYS($AA106,TODAY(),Holidays)-1)&amp;" of "&amp;CHOOSE($Z106,3,3,2,2,3))&amp;" | Total Day "&amp;MAX(0,NETWORKDAYS($N106,TODAY(),Holidays)-1))</f>
        <v/>
      </c>
      <c r="X106" s="18"/>
      <c r="Y106" s="18"/>
      <c r="Z106" s="17">
        <f>IF($N106="","",COUNT($N106:$S106))</f>
        <v/>
      </c>
      <c r="AA106" s="19">
        <f>IF($Z106="","",INT(INDEX($N106:$S106,$Z106)))</f>
        <v/>
      </c>
      <c r="AB106" s="19">
        <f>IF(OR($Z106="",$Z106=6),"",WORKDAY($AA106,CHOOSE($Z106,3,3,2,2,3),Holidays))</f>
        <v/>
      </c>
      <c r="AC106" s="17">
        <f>IF(OR($Z106="",$Z106=6),"",CHOOSE($Z106,"1st Email Follow-up","2nd Email Follow-up","Escalate Local Office","Escalate to CBE","Escalate to Roxanne"))</f>
        <v/>
      </c>
    </row>
    <row r="107" spans="13:29">
      <c r="M107" s="14"/>
      <c r="T107" s="16"/>
      <c r="U107" s="17">
        <f>IF(AND(COUNTA($A107:$L107)=0,$N107=""),"",IF($T107="Paid","PAID",IF($T107="Closed","CLOSED",IF($Z107="","",IF($Z107=6,"ESCALATED TO ROXANNE",IF(TODAY()&gt;$AB107,"OVERDUE",IF($AB107&lt;=WORKDAY(TODAY(),1,Holidays),"DUE TOMORROW",IF($Z107=4,"ESCALATED TO LOCAL OFFICE",IF($Z107=5,"ESCALATED TO CBE",IF($AA107=TODAY(),"EMAIL SENT","MONITORING"))))))))))</f>
        <v/>
      </c>
      <c r="V107" s="17">
        <f>IF($U107="",IF(AND(COUNTA($A107:$L107)&gt;0,$N107=""),"Awaiting Collection Email time stamp.",""),IF(OR($U107="PAID",$U107="CLOSED"),IF($U107="PAID","Account paid. Action completed.","Account closed. No further action required."),CHOOSE($Z107,"Collection Email","1st Email Follow-up","2nd Email Follow-up","Escalation to Local Office","Escalation to CBE","Escalation to Roxanne")&amp;" sent "&amp;TEXT($AA107,"dd-mmm")&amp;". "&amp;IF($Z107=6,"Final escalation completed.",IF($U107="OVERDUE","Next: "&amp;$AC107&amp;" was due "&amp;TEXT($AB107,"dd-mmm")&amp;" - "&amp;(NETWORKDAYS($AB107,TODAY(),Holidays)-1)&amp;" business day(s) late. Send now.",IF($U107="DUE TOMORROW","Next: "&amp;$AC107&amp;IF($AB107&lt;=TODAY()," is due TODAY ("," is due next business day (")&amp;TEXT($AB107,"dd-mmm")&amp;").","Next: "&amp;$AC107&amp;" due "&amp;TEXT($AB107,"dd-mmm")&amp;" ("&amp;(NETWORKDAYS(TODAY(),$AB107,Holidays)-1)&amp;" business day(s) left).")))))</f>
        <v/>
      </c>
      <c r="W107" s="17">
        <f>IF($Z107="","",CHOOSE($Z107,"Collection Email","1st Follow-up","2nd Follow-up","Local Office","CBE","Roxanne")&amp;IF($Z107=6," - Final"," - Day "&amp;MAX(0,NETWORKDAYS($AA107,TODAY(),Holidays)-1)&amp;" of "&amp;CHOOSE($Z107,3,3,2,2,3))&amp;" | Total Day "&amp;MAX(0,NETWORKDAYS($N107,TODAY(),Holidays)-1))</f>
        <v/>
      </c>
      <c r="X107" s="18"/>
      <c r="Y107" s="18"/>
      <c r="Z107" s="17">
        <f>IF($N107="","",COUNT($N107:$S107))</f>
        <v/>
      </c>
      <c r="AA107" s="19">
        <f>IF($Z107="","",INT(INDEX($N107:$S107,$Z107)))</f>
        <v/>
      </c>
      <c r="AB107" s="19">
        <f>IF(OR($Z107="",$Z107=6),"",WORKDAY($AA107,CHOOSE($Z107,3,3,2,2,3),Holidays))</f>
        <v/>
      </c>
      <c r="AC107" s="17">
        <f>IF(OR($Z107="",$Z107=6),"",CHOOSE($Z107,"1st Email Follow-up","2nd Email Follow-up","Escalate Local Office","Escalate to CBE","Escalate to Roxanne"))</f>
        <v/>
      </c>
    </row>
    <row r="108" spans="13:29">
      <c r="M108" s="14"/>
      <c r="T108" s="16"/>
      <c r="U108" s="17">
        <f>IF(AND(COUNTA($A108:$L108)=0,$N108=""),"",IF($T108="Paid","PAID",IF($T108="Closed","CLOSED",IF($Z108="","",IF($Z108=6,"ESCALATED TO ROXANNE",IF(TODAY()&gt;$AB108,"OVERDUE",IF($AB108&lt;=WORKDAY(TODAY(),1,Holidays),"DUE TOMORROW",IF($Z108=4,"ESCALATED TO LOCAL OFFICE",IF($Z108=5,"ESCALATED TO CBE",IF($AA108=TODAY(),"EMAIL SENT","MONITORING"))))))))))</f>
        <v/>
      </c>
      <c r="V108" s="17">
        <f>IF($U108="",IF(AND(COUNTA($A108:$L108)&gt;0,$N108=""),"Awaiting Collection Email time stamp.",""),IF(OR($U108="PAID",$U108="CLOSED"),IF($U108="PAID","Account paid. Action completed.","Account closed. No further action required."),CHOOSE($Z108,"Collection Email","1st Email Follow-up","2nd Email Follow-up","Escalation to Local Office","Escalation to CBE","Escalation to Roxanne")&amp;" sent "&amp;TEXT($AA108,"dd-mmm")&amp;". "&amp;IF($Z108=6,"Final escalation completed.",IF($U108="OVERDUE","Next: "&amp;$AC108&amp;" was due "&amp;TEXT($AB108,"dd-mmm")&amp;" - "&amp;(NETWORKDAYS($AB108,TODAY(),Holidays)-1)&amp;" business day(s) late. Send now.",IF($U108="DUE TOMORROW","Next: "&amp;$AC108&amp;IF($AB108&lt;=TODAY()," is due TODAY ("," is due next business day (")&amp;TEXT($AB108,"dd-mmm")&amp;").","Next: "&amp;$AC108&amp;" due "&amp;TEXT($AB108,"dd-mmm")&amp;" ("&amp;(NETWORKDAYS(TODAY(),$AB108,Holidays)-1)&amp;" business day(s) left).")))))</f>
        <v/>
      </c>
      <c r="W108" s="17">
        <f>IF($Z108="","",CHOOSE($Z108,"Collection Email","1st Follow-up","2nd Follow-up","Local Office","CBE","Roxanne")&amp;IF($Z108=6," - Final"," - Day "&amp;MAX(0,NETWORKDAYS($AA108,TODAY(),Holidays)-1)&amp;" of "&amp;CHOOSE($Z108,3,3,2,2,3))&amp;" | Total Day "&amp;MAX(0,NETWORKDAYS($N108,TODAY(),Holidays)-1))</f>
        <v/>
      </c>
      <c r="X108" s="18"/>
      <c r="Y108" s="18"/>
      <c r="Z108" s="17">
        <f>IF($N108="","",COUNT($N108:$S108))</f>
        <v/>
      </c>
      <c r="AA108" s="19">
        <f>IF($Z108="","",INT(INDEX($N108:$S108,$Z108)))</f>
        <v/>
      </c>
      <c r="AB108" s="19">
        <f>IF(OR($Z108="",$Z108=6),"",WORKDAY($AA108,CHOOSE($Z108,3,3,2,2,3),Holidays))</f>
        <v/>
      </c>
      <c r="AC108" s="17">
        <f>IF(OR($Z108="",$Z108=6),"",CHOOSE($Z108,"1st Email Follow-up","2nd Email Follow-up","Escalate Local Office","Escalate to CBE","Escalate to Roxanne"))</f>
        <v/>
      </c>
    </row>
    <row r="109" spans="13:29">
      <c r="M109" s="14"/>
      <c r="T109" s="16"/>
      <c r="U109" s="17">
        <f>IF(AND(COUNTA($A109:$L109)=0,$N109=""),"",IF($T109="Paid","PAID",IF($T109="Closed","CLOSED",IF($Z109="","",IF($Z109=6,"ESCALATED TO ROXANNE",IF(TODAY()&gt;$AB109,"OVERDUE",IF($AB109&lt;=WORKDAY(TODAY(),1,Holidays),"DUE TOMORROW",IF($Z109=4,"ESCALATED TO LOCAL OFFICE",IF($Z109=5,"ESCALATED TO CBE",IF($AA109=TODAY(),"EMAIL SENT","MONITORING"))))))))))</f>
        <v/>
      </c>
      <c r="V109" s="17">
        <f>IF($U109="",IF(AND(COUNTA($A109:$L109)&gt;0,$N109=""),"Awaiting Collection Email time stamp.",""),IF(OR($U109="PAID",$U109="CLOSED"),IF($U109="PAID","Account paid. Action completed.","Account closed. No further action required."),CHOOSE($Z109,"Collection Email","1st Email Follow-up","2nd Email Follow-up","Escalation to Local Office","Escalation to CBE","Escalation to Roxanne")&amp;" sent "&amp;TEXT($AA109,"dd-mmm")&amp;". "&amp;IF($Z109=6,"Final escalation completed.",IF($U109="OVERDUE","Next: "&amp;$AC109&amp;" was due "&amp;TEXT($AB109,"dd-mmm")&amp;" - "&amp;(NETWORKDAYS($AB109,TODAY(),Holidays)-1)&amp;" business day(s) late. Send now.",IF($U109="DUE TOMORROW","Next: "&amp;$AC109&amp;IF($AB109&lt;=TODAY()," is due TODAY ("," is due next business day (")&amp;TEXT($AB109,"dd-mmm")&amp;").","Next: "&amp;$AC109&amp;" due "&amp;TEXT($AB109,"dd-mmm")&amp;" ("&amp;(NETWORKDAYS(TODAY(),$AB109,Holidays)-1)&amp;" business day(s) left).")))))</f>
        <v/>
      </c>
      <c r="W109" s="17">
        <f>IF($Z109="","",CHOOSE($Z109,"Collection Email","1st Follow-up","2nd Follow-up","Local Office","CBE","Roxanne")&amp;IF($Z109=6," - Final"," - Day "&amp;MAX(0,NETWORKDAYS($AA109,TODAY(),Holidays)-1)&amp;" of "&amp;CHOOSE($Z109,3,3,2,2,3))&amp;" | Total Day "&amp;MAX(0,NETWORKDAYS($N109,TODAY(),Holidays)-1))</f>
        <v/>
      </c>
      <c r="X109" s="18"/>
      <c r="Y109" s="18"/>
      <c r="Z109" s="17">
        <f>IF($N109="","",COUNT($N109:$S109))</f>
        <v/>
      </c>
      <c r="AA109" s="19">
        <f>IF($Z109="","",INT(INDEX($N109:$S109,$Z109)))</f>
        <v/>
      </c>
      <c r="AB109" s="19">
        <f>IF(OR($Z109="",$Z109=6),"",WORKDAY($AA109,CHOOSE($Z109,3,3,2,2,3),Holidays))</f>
        <v/>
      </c>
      <c r="AC109" s="17">
        <f>IF(OR($Z109="",$Z109=6),"",CHOOSE($Z109,"1st Email Follow-up","2nd Email Follow-up","Escalate Local Office","Escalate to CBE","Escalate to Roxanne"))</f>
        <v/>
      </c>
    </row>
    <row r="110" spans="13:29">
      <c r="M110" s="14"/>
      <c r="T110" s="16"/>
      <c r="U110" s="17">
        <f>IF(AND(COUNTA($A110:$L110)=0,$N110=""),"",IF($T110="Paid","PAID",IF($T110="Closed","CLOSED",IF($Z110="","",IF($Z110=6,"ESCALATED TO ROXANNE",IF(TODAY()&gt;$AB110,"OVERDUE",IF($AB110&lt;=WORKDAY(TODAY(),1,Holidays),"DUE TOMORROW",IF($Z110=4,"ESCALATED TO LOCAL OFFICE",IF($Z110=5,"ESCALATED TO CBE",IF($AA110=TODAY(),"EMAIL SENT","MONITORING"))))))))))</f>
        <v/>
      </c>
      <c r="V110" s="17">
        <f>IF($U110="",IF(AND(COUNTA($A110:$L110)&gt;0,$N110=""),"Awaiting Collection Email time stamp.",""),IF(OR($U110="PAID",$U110="CLOSED"),IF($U110="PAID","Account paid. Action completed.","Account closed. No further action required."),CHOOSE($Z110,"Collection Email","1st Email Follow-up","2nd Email Follow-up","Escalation to Local Office","Escalation to CBE","Escalation to Roxanne")&amp;" sent "&amp;TEXT($AA110,"dd-mmm")&amp;". "&amp;IF($Z110=6,"Final escalation completed.",IF($U110="OVERDUE","Next: "&amp;$AC110&amp;" was due "&amp;TEXT($AB110,"dd-mmm")&amp;" - "&amp;(NETWORKDAYS($AB110,TODAY(),Holidays)-1)&amp;" business day(s) late. Send now.",IF($U110="DUE TOMORROW","Next: "&amp;$AC110&amp;IF($AB110&lt;=TODAY()," is due TODAY ("," is due next business day (")&amp;TEXT($AB110,"dd-mmm")&amp;").","Next: "&amp;$AC110&amp;" due "&amp;TEXT($AB110,"dd-mmm")&amp;" ("&amp;(NETWORKDAYS(TODAY(),$AB110,Holidays)-1)&amp;" business day(s) left).")))))</f>
        <v/>
      </c>
      <c r="W110" s="17">
        <f>IF($Z110="","",CHOOSE($Z110,"Collection Email","1st Follow-up","2nd Follow-up","Local Office","CBE","Roxanne")&amp;IF($Z110=6," - Final"," - Day "&amp;MAX(0,NETWORKDAYS($AA110,TODAY(),Holidays)-1)&amp;" of "&amp;CHOOSE($Z110,3,3,2,2,3))&amp;" | Total Day "&amp;MAX(0,NETWORKDAYS($N110,TODAY(),Holidays)-1))</f>
        <v/>
      </c>
      <c r="X110" s="18"/>
      <c r="Y110" s="18"/>
      <c r="Z110" s="17">
        <f>IF($N110="","",COUNT($N110:$S110))</f>
        <v/>
      </c>
      <c r="AA110" s="19">
        <f>IF($Z110="","",INT(INDEX($N110:$S110,$Z110)))</f>
        <v/>
      </c>
      <c r="AB110" s="19">
        <f>IF(OR($Z110="",$Z110=6),"",WORKDAY($AA110,CHOOSE($Z110,3,3,2,2,3),Holidays))</f>
        <v/>
      </c>
      <c r="AC110" s="17">
        <f>IF(OR($Z110="",$Z110=6),"",CHOOSE($Z110,"1st Email Follow-up","2nd Email Follow-up","Escalate Local Office","Escalate to CBE","Escalate to Roxanne"))</f>
        <v/>
      </c>
    </row>
    <row r="111" spans="13:29">
      <c r="M111" s="14"/>
      <c r="T111" s="16"/>
      <c r="U111" s="17">
        <f>IF(AND(COUNTA($A111:$L111)=0,$N111=""),"",IF($T111="Paid","PAID",IF($T111="Closed","CLOSED",IF($Z111="","",IF($Z111=6,"ESCALATED TO ROXANNE",IF(TODAY()&gt;$AB111,"OVERDUE",IF($AB111&lt;=WORKDAY(TODAY(),1,Holidays),"DUE TOMORROW",IF($Z111=4,"ESCALATED TO LOCAL OFFICE",IF($Z111=5,"ESCALATED TO CBE",IF($AA111=TODAY(),"EMAIL SENT","MONITORING"))))))))))</f>
        <v/>
      </c>
      <c r="V111" s="17">
        <f>IF($U111="",IF(AND(COUNTA($A111:$L111)&gt;0,$N111=""),"Awaiting Collection Email time stamp.",""),IF(OR($U111="PAID",$U111="CLOSED"),IF($U111="PAID","Account paid. Action completed.","Account closed. No further action required."),CHOOSE($Z111,"Collection Email","1st Email Follow-up","2nd Email Follow-up","Escalation to Local Office","Escalation to CBE","Escalation to Roxanne")&amp;" sent "&amp;TEXT($AA111,"dd-mmm")&amp;". "&amp;IF($Z111=6,"Final escalation completed.",IF($U111="OVERDUE","Next: "&amp;$AC111&amp;" was due "&amp;TEXT($AB111,"dd-mmm")&amp;" - "&amp;(NETWORKDAYS($AB111,TODAY(),Holidays)-1)&amp;" business day(s) late. Send now.",IF($U111="DUE TOMORROW","Next: "&amp;$AC111&amp;IF($AB111&lt;=TODAY()," is due TODAY ("," is due next business day (")&amp;TEXT($AB111,"dd-mmm")&amp;").","Next: "&amp;$AC111&amp;" due "&amp;TEXT($AB111,"dd-mmm")&amp;" ("&amp;(NETWORKDAYS(TODAY(),$AB111,Holidays)-1)&amp;" business day(s) left).")))))</f>
        <v/>
      </c>
      <c r="W111" s="17">
        <f>IF($Z111="","",CHOOSE($Z111,"Collection Email","1st Follow-up","2nd Follow-up","Local Office","CBE","Roxanne")&amp;IF($Z111=6," - Final"," - Day "&amp;MAX(0,NETWORKDAYS($AA111,TODAY(),Holidays)-1)&amp;" of "&amp;CHOOSE($Z111,3,3,2,2,3))&amp;" | Total Day "&amp;MAX(0,NETWORKDAYS($N111,TODAY(),Holidays)-1))</f>
        <v/>
      </c>
      <c r="X111" s="18"/>
      <c r="Y111" s="18"/>
      <c r="Z111" s="17">
        <f>IF($N111="","",COUNT($N111:$S111))</f>
        <v/>
      </c>
      <c r="AA111" s="19">
        <f>IF($Z111="","",INT(INDEX($N111:$S111,$Z111)))</f>
        <v/>
      </c>
      <c r="AB111" s="19">
        <f>IF(OR($Z111="",$Z111=6),"",WORKDAY($AA111,CHOOSE($Z111,3,3,2,2,3),Holidays))</f>
        <v/>
      </c>
      <c r="AC111" s="17">
        <f>IF(OR($Z111="",$Z111=6),"",CHOOSE($Z111,"1st Email Follow-up","2nd Email Follow-up","Escalate Local Office","Escalate to CBE","Escalate to Roxanne"))</f>
        <v/>
      </c>
    </row>
    <row r="112" spans="13:29">
      <c r="M112" s="14"/>
      <c r="T112" s="16"/>
      <c r="U112" s="17">
        <f>IF(AND(COUNTA($A112:$L112)=0,$N112=""),"",IF($T112="Paid","PAID",IF($T112="Closed","CLOSED",IF($Z112="","",IF($Z112=6,"ESCALATED TO ROXANNE",IF(TODAY()&gt;$AB112,"OVERDUE",IF($AB112&lt;=WORKDAY(TODAY(),1,Holidays),"DUE TOMORROW",IF($Z112=4,"ESCALATED TO LOCAL OFFICE",IF($Z112=5,"ESCALATED TO CBE",IF($AA112=TODAY(),"EMAIL SENT","MONITORING"))))))))))</f>
        <v/>
      </c>
      <c r="V112" s="17">
        <f>IF($U112="",IF(AND(COUNTA($A112:$L112)&gt;0,$N112=""),"Awaiting Collection Email time stamp.",""),IF(OR($U112="PAID",$U112="CLOSED"),IF($U112="PAID","Account paid. Action completed.","Account closed. No further action required."),CHOOSE($Z112,"Collection Email","1st Email Follow-up","2nd Email Follow-up","Escalation to Local Office","Escalation to CBE","Escalation to Roxanne")&amp;" sent "&amp;TEXT($AA112,"dd-mmm")&amp;". "&amp;IF($Z112=6,"Final escalation completed.",IF($U112="OVERDUE","Next: "&amp;$AC112&amp;" was due "&amp;TEXT($AB112,"dd-mmm")&amp;" - "&amp;(NETWORKDAYS($AB112,TODAY(),Holidays)-1)&amp;" business day(s) late. Send now.",IF($U112="DUE TOMORROW","Next: "&amp;$AC112&amp;IF($AB112&lt;=TODAY()," is due TODAY ("," is due next business day (")&amp;TEXT($AB112,"dd-mmm")&amp;").","Next: "&amp;$AC112&amp;" due "&amp;TEXT($AB112,"dd-mmm")&amp;" ("&amp;(NETWORKDAYS(TODAY(),$AB112,Holidays)-1)&amp;" business day(s) left).")))))</f>
        <v/>
      </c>
      <c r="W112" s="17">
        <f>IF($Z112="","",CHOOSE($Z112,"Collection Email","1st Follow-up","2nd Follow-up","Local Office","CBE","Roxanne")&amp;IF($Z112=6," - Final"," - Day "&amp;MAX(0,NETWORKDAYS($AA112,TODAY(),Holidays)-1)&amp;" of "&amp;CHOOSE($Z112,3,3,2,2,3))&amp;" | Total Day "&amp;MAX(0,NETWORKDAYS($N112,TODAY(),Holidays)-1))</f>
        <v/>
      </c>
      <c r="X112" s="18"/>
      <c r="Y112" s="18"/>
      <c r="Z112" s="17">
        <f>IF($N112="","",COUNT($N112:$S112))</f>
        <v/>
      </c>
      <c r="AA112" s="19">
        <f>IF($Z112="","",INT(INDEX($N112:$S112,$Z112)))</f>
        <v/>
      </c>
      <c r="AB112" s="19">
        <f>IF(OR($Z112="",$Z112=6),"",WORKDAY($AA112,CHOOSE($Z112,3,3,2,2,3),Holidays))</f>
        <v/>
      </c>
      <c r="AC112" s="17">
        <f>IF(OR($Z112="",$Z112=6),"",CHOOSE($Z112,"1st Email Follow-up","2nd Email Follow-up","Escalate Local Office","Escalate to CBE","Escalate to Roxanne"))</f>
        <v/>
      </c>
    </row>
    <row r="113" spans="13:29">
      <c r="M113" s="14"/>
      <c r="T113" s="16"/>
      <c r="U113" s="17">
        <f>IF(AND(COUNTA($A113:$L113)=0,$N113=""),"",IF($T113="Paid","PAID",IF($T113="Closed","CLOSED",IF($Z113="","",IF($Z113=6,"ESCALATED TO ROXANNE",IF(TODAY()&gt;$AB113,"OVERDUE",IF($AB113&lt;=WORKDAY(TODAY(),1,Holidays),"DUE TOMORROW",IF($Z113=4,"ESCALATED TO LOCAL OFFICE",IF($Z113=5,"ESCALATED TO CBE",IF($AA113=TODAY(),"EMAIL SENT","MONITORING"))))))))))</f>
        <v/>
      </c>
      <c r="V113" s="17">
        <f>IF($U113="",IF(AND(COUNTA($A113:$L113)&gt;0,$N113=""),"Awaiting Collection Email time stamp.",""),IF(OR($U113="PAID",$U113="CLOSED"),IF($U113="PAID","Account paid. Action completed.","Account closed. No further action required."),CHOOSE($Z113,"Collection Email","1st Email Follow-up","2nd Email Follow-up","Escalation to Local Office","Escalation to CBE","Escalation to Roxanne")&amp;" sent "&amp;TEXT($AA113,"dd-mmm")&amp;". "&amp;IF($Z113=6,"Final escalation completed.",IF($U113="OVERDUE","Next: "&amp;$AC113&amp;" was due "&amp;TEXT($AB113,"dd-mmm")&amp;" - "&amp;(NETWORKDAYS($AB113,TODAY(),Holidays)-1)&amp;" business day(s) late. Send now.",IF($U113="DUE TOMORROW","Next: "&amp;$AC113&amp;IF($AB113&lt;=TODAY()," is due TODAY ("," is due next business day (")&amp;TEXT($AB113,"dd-mmm")&amp;").","Next: "&amp;$AC113&amp;" due "&amp;TEXT($AB113,"dd-mmm")&amp;" ("&amp;(NETWORKDAYS(TODAY(),$AB113,Holidays)-1)&amp;" business day(s) left).")))))</f>
        <v/>
      </c>
      <c r="W113" s="17">
        <f>IF($Z113="","",CHOOSE($Z113,"Collection Email","1st Follow-up","2nd Follow-up","Local Office","CBE","Roxanne")&amp;IF($Z113=6," - Final"," - Day "&amp;MAX(0,NETWORKDAYS($AA113,TODAY(),Holidays)-1)&amp;" of "&amp;CHOOSE($Z113,3,3,2,2,3))&amp;" | Total Day "&amp;MAX(0,NETWORKDAYS($N113,TODAY(),Holidays)-1))</f>
        <v/>
      </c>
      <c r="X113" s="18"/>
      <c r="Y113" s="18"/>
      <c r="Z113" s="17">
        <f>IF($N113="","",COUNT($N113:$S113))</f>
        <v/>
      </c>
      <c r="AA113" s="19">
        <f>IF($Z113="","",INT(INDEX($N113:$S113,$Z113)))</f>
        <v/>
      </c>
      <c r="AB113" s="19">
        <f>IF(OR($Z113="",$Z113=6),"",WORKDAY($AA113,CHOOSE($Z113,3,3,2,2,3),Holidays))</f>
        <v/>
      </c>
      <c r="AC113" s="17">
        <f>IF(OR($Z113="",$Z113=6),"",CHOOSE($Z113,"1st Email Follow-up","2nd Email Follow-up","Escalate Local Office","Escalate to CBE","Escalate to Roxanne"))</f>
        <v/>
      </c>
    </row>
    <row r="114" spans="13:29">
      <c r="M114" s="14"/>
      <c r="T114" s="16"/>
      <c r="U114" s="17">
        <f>IF(AND(COUNTA($A114:$L114)=0,$N114=""),"",IF($T114="Paid","PAID",IF($T114="Closed","CLOSED",IF($Z114="","",IF($Z114=6,"ESCALATED TO ROXANNE",IF(TODAY()&gt;$AB114,"OVERDUE",IF($AB114&lt;=WORKDAY(TODAY(),1,Holidays),"DUE TOMORROW",IF($Z114=4,"ESCALATED TO LOCAL OFFICE",IF($Z114=5,"ESCALATED TO CBE",IF($AA114=TODAY(),"EMAIL SENT","MONITORING"))))))))))</f>
        <v/>
      </c>
      <c r="V114" s="17">
        <f>IF($U114="",IF(AND(COUNTA($A114:$L114)&gt;0,$N114=""),"Awaiting Collection Email time stamp.",""),IF(OR($U114="PAID",$U114="CLOSED"),IF($U114="PAID","Account paid. Action completed.","Account closed. No further action required."),CHOOSE($Z114,"Collection Email","1st Email Follow-up","2nd Email Follow-up","Escalation to Local Office","Escalation to CBE","Escalation to Roxanne")&amp;" sent "&amp;TEXT($AA114,"dd-mmm")&amp;". "&amp;IF($Z114=6,"Final escalation completed.",IF($U114="OVERDUE","Next: "&amp;$AC114&amp;" was due "&amp;TEXT($AB114,"dd-mmm")&amp;" - "&amp;(NETWORKDAYS($AB114,TODAY(),Holidays)-1)&amp;" business day(s) late. Send now.",IF($U114="DUE TOMORROW","Next: "&amp;$AC114&amp;IF($AB114&lt;=TODAY()," is due TODAY ("," is due next business day (")&amp;TEXT($AB114,"dd-mmm")&amp;").","Next: "&amp;$AC114&amp;" due "&amp;TEXT($AB114,"dd-mmm")&amp;" ("&amp;(NETWORKDAYS(TODAY(),$AB114,Holidays)-1)&amp;" business day(s) left).")))))</f>
        <v/>
      </c>
      <c r="W114" s="17">
        <f>IF($Z114="","",CHOOSE($Z114,"Collection Email","1st Follow-up","2nd Follow-up","Local Office","CBE","Roxanne")&amp;IF($Z114=6," - Final"," - Day "&amp;MAX(0,NETWORKDAYS($AA114,TODAY(),Holidays)-1)&amp;" of "&amp;CHOOSE($Z114,3,3,2,2,3))&amp;" | Total Day "&amp;MAX(0,NETWORKDAYS($N114,TODAY(),Holidays)-1))</f>
        <v/>
      </c>
      <c r="X114" s="18"/>
      <c r="Y114" s="18"/>
      <c r="Z114" s="17">
        <f>IF($N114="","",COUNT($N114:$S114))</f>
        <v/>
      </c>
      <c r="AA114" s="19">
        <f>IF($Z114="","",INT(INDEX($N114:$S114,$Z114)))</f>
        <v/>
      </c>
      <c r="AB114" s="19">
        <f>IF(OR($Z114="",$Z114=6),"",WORKDAY($AA114,CHOOSE($Z114,3,3,2,2,3),Holidays))</f>
        <v/>
      </c>
      <c r="AC114" s="17">
        <f>IF(OR($Z114="",$Z114=6),"",CHOOSE($Z114,"1st Email Follow-up","2nd Email Follow-up","Escalate Local Office","Escalate to CBE","Escalate to Roxanne"))</f>
        <v/>
      </c>
    </row>
    <row r="115" spans="13:29">
      <c r="M115" s="14"/>
      <c r="T115" s="16"/>
      <c r="U115" s="17">
        <f>IF(AND(COUNTA($A115:$L115)=0,$N115=""),"",IF($T115="Paid","PAID",IF($T115="Closed","CLOSED",IF($Z115="","",IF($Z115=6,"ESCALATED TO ROXANNE",IF(TODAY()&gt;$AB115,"OVERDUE",IF($AB115&lt;=WORKDAY(TODAY(),1,Holidays),"DUE TOMORROW",IF($Z115=4,"ESCALATED TO LOCAL OFFICE",IF($Z115=5,"ESCALATED TO CBE",IF($AA115=TODAY(),"EMAIL SENT","MONITORING"))))))))))</f>
        <v/>
      </c>
      <c r="V115" s="17">
        <f>IF($U115="",IF(AND(COUNTA($A115:$L115)&gt;0,$N115=""),"Awaiting Collection Email time stamp.",""),IF(OR($U115="PAID",$U115="CLOSED"),IF($U115="PAID","Account paid. Action completed.","Account closed. No further action required."),CHOOSE($Z115,"Collection Email","1st Email Follow-up","2nd Email Follow-up","Escalation to Local Office","Escalation to CBE","Escalation to Roxanne")&amp;" sent "&amp;TEXT($AA115,"dd-mmm")&amp;". "&amp;IF($Z115=6,"Final escalation completed.",IF($U115="OVERDUE","Next: "&amp;$AC115&amp;" was due "&amp;TEXT($AB115,"dd-mmm")&amp;" - "&amp;(NETWORKDAYS($AB115,TODAY(),Holidays)-1)&amp;" business day(s) late. Send now.",IF($U115="DUE TOMORROW","Next: "&amp;$AC115&amp;IF($AB115&lt;=TODAY()," is due TODAY ("," is due next business day (")&amp;TEXT($AB115,"dd-mmm")&amp;").","Next: "&amp;$AC115&amp;" due "&amp;TEXT($AB115,"dd-mmm")&amp;" ("&amp;(NETWORKDAYS(TODAY(),$AB115,Holidays)-1)&amp;" business day(s) left).")))))</f>
        <v/>
      </c>
      <c r="W115" s="17">
        <f>IF($Z115="","",CHOOSE($Z115,"Collection Email","1st Follow-up","2nd Follow-up","Local Office","CBE","Roxanne")&amp;IF($Z115=6," - Final"," - Day "&amp;MAX(0,NETWORKDAYS($AA115,TODAY(),Holidays)-1)&amp;" of "&amp;CHOOSE($Z115,3,3,2,2,3))&amp;" | Total Day "&amp;MAX(0,NETWORKDAYS($N115,TODAY(),Holidays)-1))</f>
        <v/>
      </c>
      <c r="X115" s="18"/>
      <c r="Y115" s="18"/>
      <c r="Z115" s="17">
        <f>IF($N115="","",COUNT($N115:$S115))</f>
        <v/>
      </c>
      <c r="AA115" s="19">
        <f>IF($Z115="","",INT(INDEX($N115:$S115,$Z115)))</f>
        <v/>
      </c>
      <c r="AB115" s="19">
        <f>IF(OR($Z115="",$Z115=6),"",WORKDAY($AA115,CHOOSE($Z115,3,3,2,2,3),Holidays))</f>
        <v/>
      </c>
      <c r="AC115" s="17">
        <f>IF(OR($Z115="",$Z115=6),"",CHOOSE($Z115,"1st Email Follow-up","2nd Email Follow-up","Escalate Local Office","Escalate to CBE","Escalate to Roxanne"))</f>
        <v/>
      </c>
    </row>
    <row r="116" spans="13:29">
      <c r="M116" s="14"/>
      <c r="T116" s="16"/>
      <c r="U116" s="17">
        <f>IF(AND(COUNTA($A116:$L116)=0,$N116=""),"",IF($T116="Paid","PAID",IF($T116="Closed","CLOSED",IF($Z116="","",IF($Z116=6,"ESCALATED TO ROXANNE",IF(TODAY()&gt;$AB116,"OVERDUE",IF($AB116&lt;=WORKDAY(TODAY(),1,Holidays),"DUE TOMORROW",IF($Z116=4,"ESCALATED TO LOCAL OFFICE",IF($Z116=5,"ESCALATED TO CBE",IF($AA116=TODAY(),"EMAIL SENT","MONITORING"))))))))))</f>
        <v/>
      </c>
      <c r="V116" s="17">
        <f>IF($U116="",IF(AND(COUNTA($A116:$L116)&gt;0,$N116=""),"Awaiting Collection Email time stamp.",""),IF(OR($U116="PAID",$U116="CLOSED"),IF($U116="PAID","Account paid. Action completed.","Account closed. No further action required."),CHOOSE($Z116,"Collection Email","1st Email Follow-up","2nd Email Follow-up","Escalation to Local Office","Escalation to CBE","Escalation to Roxanne")&amp;" sent "&amp;TEXT($AA116,"dd-mmm")&amp;". "&amp;IF($Z116=6,"Final escalation completed.",IF($U116="OVERDUE","Next: "&amp;$AC116&amp;" was due "&amp;TEXT($AB116,"dd-mmm")&amp;" - "&amp;(NETWORKDAYS($AB116,TODAY(),Holidays)-1)&amp;" business day(s) late. Send now.",IF($U116="DUE TOMORROW","Next: "&amp;$AC116&amp;IF($AB116&lt;=TODAY()," is due TODAY ("," is due next business day (")&amp;TEXT($AB116,"dd-mmm")&amp;").","Next: "&amp;$AC116&amp;" due "&amp;TEXT($AB116,"dd-mmm")&amp;" ("&amp;(NETWORKDAYS(TODAY(),$AB116,Holidays)-1)&amp;" business day(s) left).")))))</f>
        <v/>
      </c>
      <c r="W116" s="17">
        <f>IF($Z116="","",CHOOSE($Z116,"Collection Email","1st Follow-up","2nd Follow-up","Local Office","CBE","Roxanne")&amp;IF($Z116=6," - Final"," - Day "&amp;MAX(0,NETWORKDAYS($AA116,TODAY(),Holidays)-1)&amp;" of "&amp;CHOOSE($Z116,3,3,2,2,3))&amp;" | Total Day "&amp;MAX(0,NETWORKDAYS($N116,TODAY(),Holidays)-1))</f>
        <v/>
      </c>
      <c r="X116" s="18"/>
      <c r="Y116" s="18"/>
      <c r="Z116" s="17">
        <f>IF($N116="","",COUNT($N116:$S116))</f>
        <v/>
      </c>
      <c r="AA116" s="19">
        <f>IF($Z116="","",INT(INDEX($N116:$S116,$Z116)))</f>
        <v/>
      </c>
      <c r="AB116" s="19">
        <f>IF(OR($Z116="",$Z116=6),"",WORKDAY($AA116,CHOOSE($Z116,3,3,2,2,3),Holidays))</f>
        <v/>
      </c>
      <c r="AC116" s="17">
        <f>IF(OR($Z116="",$Z116=6),"",CHOOSE($Z116,"1st Email Follow-up","2nd Email Follow-up","Escalate Local Office","Escalate to CBE","Escalate to Roxanne"))</f>
        <v/>
      </c>
    </row>
    <row r="117" spans="13:29">
      <c r="M117" s="14"/>
      <c r="T117" s="16"/>
      <c r="U117" s="17">
        <f>IF(AND(COUNTA($A117:$L117)=0,$N117=""),"",IF($T117="Paid","PAID",IF($T117="Closed","CLOSED",IF($Z117="","",IF($Z117=6,"ESCALATED TO ROXANNE",IF(TODAY()&gt;$AB117,"OVERDUE",IF($AB117&lt;=WORKDAY(TODAY(),1,Holidays),"DUE TOMORROW",IF($Z117=4,"ESCALATED TO LOCAL OFFICE",IF($Z117=5,"ESCALATED TO CBE",IF($AA117=TODAY(),"EMAIL SENT","MONITORING"))))))))))</f>
        <v/>
      </c>
      <c r="V117" s="17">
        <f>IF($U117="",IF(AND(COUNTA($A117:$L117)&gt;0,$N117=""),"Awaiting Collection Email time stamp.",""),IF(OR($U117="PAID",$U117="CLOSED"),IF($U117="PAID","Account paid. Action completed.","Account closed. No further action required."),CHOOSE($Z117,"Collection Email","1st Email Follow-up","2nd Email Follow-up","Escalation to Local Office","Escalation to CBE","Escalation to Roxanne")&amp;" sent "&amp;TEXT($AA117,"dd-mmm")&amp;". "&amp;IF($Z117=6,"Final escalation completed.",IF($U117="OVERDUE","Next: "&amp;$AC117&amp;" was due "&amp;TEXT($AB117,"dd-mmm")&amp;" - "&amp;(NETWORKDAYS($AB117,TODAY(),Holidays)-1)&amp;" business day(s) late. Send now.",IF($U117="DUE TOMORROW","Next: "&amp;$AC117&amp;IF($AB117&lt;=TODAY()," is due TODAY ("," is due next business day (")&amp;TEXT($AB117,"dd-mmm")&amp;").","Next: "&amp;$AC117&amp;" due "&amp;TEXT($AB117,"dd-mmm")&amp;" ("&amp;(NETWORKDAYS(TODAY(),$AB117,Holidays)-1)&amp;" business day(s) left).")))))</f>
        <v/>
      </c>
      <c r="W117" s="17">
        <f>IF($Z117="","",CHOOSE($Z117,"Collection Email","1st Follow-up","2nd Follow-up","Local Office","CBE","Roxanne")&amp;IF($Z117=6," - Final"," - Day "&amp;MAX(0,NETWORKDAYS($AA117,TODAY(),Holidays)-1)&amp;" of "&amp;CHOOSE($Z117,3,3,2,2,3))&amp;" | Total Day "&amp;MAX(0,NETWORKDAYS($N117,TODAY(),Holidays)-1))</f>
        <v/>
      </c>
      <c r="X117" s="18"/>
      <c r="Y117" s="18"/>
      <c r="Z117" s="17">
        <f>IF($N117="","",COUNT($N117:$S117))</f>
        <v/>
      </c>
      <c r="AA117" s="19">
        <f>IF($Z117="","",INT(INDEX($N117:$S117,$Z117)))</f>
        <v/>
      </c>
      <c r="AB117" s="19">
        <f>IF(OR($Z117="",$Z117=6),"",WORKDAY($AA117,CHOOSE($Z117,3,3,2,2,3),Holidays))</f>
        <v/>
      </c>
      <c r="AC117" s="17">
        <f>IF(OR($Z117="",$Z117=6),"",CHOOSE($Z117,"1st Email Follow-up","2nd Email Follow-up","Escalate Local Office","Escalate to CBE","Escalate to Roxanne"))</f>
        <v/>
      </c>
    </row>
    <row r="118" spans="13:29">
      <c r="M118" s="14"/>
      <c r="T118" s="16"/>
      <c r="U118" s="17">
        <f>IF(AND(COUNTA($A118:$L118)=0,$N118=""),"",IF($T118="Paid","PAID",IF($T118="Closed","CLOSED",IF($Z118="","",IF($Z118=6,"ESCALATED TO ROXANNE",IF(TODAY()&gt;$AB118,"OVERDUE",IF($AB118&lt;=WORKDAY(TODAY(),1,Holidays),"DUE TOMORROW",IF($Z118=4,"ESCALATED TO LOCAL OFFICE",IF($Z118=5,"ESCALATED TO CBE",IF($AA118=TODAY(),"EMAIL SENT","MONITORING"))))))))))</f>
        <v/>
      </c>
      <c r="V118" s="17">
        <f>IF($U118="",IF(AND(COUNTA($A118:$L118)&gt;0,$N118=""),"Awaiting Collection Email time stamp.",""),IF(OR($U118="PAID",$U118="CLOSED"),IF($U118="PAID","Account paid. Action completed.","Account closed. No further action required."),CHOOSE($Z118,"Collection Email","1st Email Follow-up","2nd Email Follow-up","Escalation to Local Office","Escalation to CBE","Escalation to Roxanne")&amp;" sent "&amp;TEXT($AA118,"dd-mmm")&amp;". "&amp;IF($Z118=6,"Final escalation completed.",IF($U118="OVERDUE","Next: "&amp;$AC118&amp;" was due "&amp;TEXT($AB118,"dd-mmm")&amp;" - "&amp;(NETWORKDAYS($AB118,TODAY(),Holidays)-1)&amp;" business day(s) late. Send now.",IF($U118="DUE TOMORROW","Next: "&amp;$AC118&amp;IF($AB118&lt;=TODAY()," is due TODAY ("," is due next business day (")&amp;TEXT($AB118,"dd-mmm")&amp;").","Next: "&amp;$AC118&amp;" due "&amp;TEXT($AB118,"dd-mmm")&amp;" ("&amp;(NETWORKDAYS(TODAY(),$AB118,Holidays)-1)&amp;" business day(s) left).")))))</f>
        <v/>
      </c>
      <c r="W118" s="17">
        <f>IF($Z118="","",CHOOSE($Z118,"Collection Email","1st Follow-up","2nd Follow-up","Local Office","CBE","Roxanne")&amp;IF($Z118=6," - Final"," - Day "&amp;MAX(0,NETWORKDAYS($AA118,TODAY(),Holidays)-1)&amp;" of "&amp;CHOOSE($Z118,3,3,2,2,3))&amp;" | Total Day "&amp;MAX(0,NETWORKDAYS($N118,TODAY(),Holidays)-1))</f>
        <v/>
      </c>
      <c r="X118" s="18"/>
      <c r="Y118" s="18"/>
      <c r="Z118" s="17">
        <f>IF($N118="","",COUNT($N118:$S118))</f>
        <v/>
      </c>
      <c r="AA118" s="19">
        <f>IF($Z118="","",INT(INDEX($N118:$S118,$Z118)))</f>
        <v/>
      </c>
      <c r="AB118" s="19">
        <f>IF(OR($Z118="",$Z118=6),"",WORKDAY($AA118,CHOOSE($Z118,3,3,2,2,3),Holidays))</f>
        <v/>
      </c>
      <c r="AC118" s="17">
        <f>IF(OR($Z118="",$Z118=6),"",CHOOSE($Z118,"1st Email Follow-up","2nd Email Follow-up","Escalate Local Office","Escalate to CBE","Escalate to Roxanne"))</f>
        <v/>
      </c>
    </row>
    <row r="119" spans="13:29">
      <c r="M119" s="14"/>
      <c r="T119" s="16"/>
      <c r="U119" s="17">
        <f>IF(AND(COUNTA($A119:$L119)=0,$N119=""),"",IF($T119="Paid","PAID",IF($T119="Closed","CLOSED",IF($Z119="","",IF($Z119=6,"ESCALATED TO ROXANNE",IF(TODAY()&gt;$AB119,"OVERDUE",IF($AB119&lt;=WORKDAY(TODAY(),1,Holidays),"DUE TOMORROW",IF($Z119=4,"ESCALATED TO LOCAL OFFICE",IF($Z119=5,"ESCALATED TO CBE",IF($AA119=TODAY(),"EMAIL SENT","MONITORING"))))))))))</f>
        <v/>
      </c>
      <c r="V119" s="17">
        <f>IF($U119="",IF(AND(COUNTA($A119:$L119)&gt;0,$N119=""),"Awaiting Collection Email time stamp.",""),IF(OR($U119="PAID",$U119="CLOSED"),IF($U119="PAID","Account paid. Action completed.","Account closed. No further action required."),CHOOSE($Z119,"Collection Email","1st Email Follow-up","2nd Email Follow-up","Escalation to Local Office","Escalation to CBE","Escalation to Roxanne")&amp;" sent "&amp;TEXT($AA119,"dd-mmm")&amp;". "&amp;IF($Z119=6,"Final escalation completed.",IF($U119="OVERDUE","Next: "&amp;$AC119&amp;" was due "&amp;TEXT($AB119,"dd-mmm")&amp;" - "&amp;(NETWORKDAYS($AB119,TODAY(),Holidays)-1)&amp;" business day(s) late. Send now.",IF($U119="DUE TOMORROW","Next: "&amp;$AC119&amp;IF($AB119&lt;=TODAY()," is due TODAY ("," is due next business day (")&amp;TEXT($AB119,"dd-mmm")&amp;").","Next: "&amp;$AC119&amp;" due "&amp;TEXT($AB119,"dd-mmm")&amp;" ("&amp;(NETWORKDAYS(TODAY(),$AB119,Holidays)-1)&amp;" business day(s) left).")))))</f>
        <v/>
      </c>
      <c r="W119" s="17">
        <f>IF($Z119="","",CHOOSE($Z119,"Collection Email","1st Follow-up","2nd Follow-up","Local Office","CBE","Roxanne")&amp;IF($Z119=6," - Final"," - Day "&amp;MAX(0,NETWORKDAYS($AA119,TODAY(),Holidays)-1)&amp;" of "&amp;CHOOSE($Z119,3,3,2,2,3))&amp;" | Total Day "&amp;MAX(0,NETWORKDAYS($N119,TODAY(),Holidays)-1))</f>
        <v/>
      </c>
      <c r="X119" s="18"/>
      <c r="Y119" s="18"/>
      <c r="Z119" s="17">
        <f>IF($N119="","",COUNT($N119:$S119))</f>
        <v/>
      </c>
      <c r="AA119" s="19">
        <f>IF($Z119="","",INT(INDEX($N119:$S119,$Z119)))</f>
        <v/>
      </c>
      <c r="AB119" s="19">
        <f>IF(OR($Z119="",$Z119=6),"",WORKDAY($AA119,CHOOSE($Z119,3,3,2,2,3),Holidays))</f>
        <v/>
      </c>
      <c r="AC119" s="17">
        <f>IF(OR($Z119="",$Z119=6),"",CHOOSE($Z119,"1st Email Follow-up","2nd Email Follow-up","Escalate Local Office","Escalate to CBE","Escalate to Roxanne"))</f>
        <v/>
      </c>
    </row>
    <row r="120" spans="13:29">
      <c r="M120" s="14"/>
      <c r="T120" s="16"/>
      <c r="U120" s="17">
        <f>IF(AND(COUNTA($A120:$L120)=0,$N120=""),"",IF($T120="Paid","PAID",IF($T120="Closed","CLOSED",IF($Z120="","",IF($Z120=6,"ESCALATED TO ROXANNE",IF(TODAY()&gt;$AB120,"OVERDUE",IF($AB120&lt;=WORKDAY(TODAY(),1,Holidays),"DUE TOMORROW",IF($Z120=4,"ESCALATED TO LOCAL OFFICE",IF($Z120=5,"ESCALATED TO CBE",IF($AA120=TODAY(),"EMAIL SENT","MONITORING"))))))))))</f>
        <v/>
      </c>
      <c r="V120" s="17">
        <f>IF($U120="",IF(AND(COUNTA($A120:$L120)&gt;0,$N120=""),"Awaiting Collection Email time stamp.",""),IF(OR($U120="PAID",$U120="CLOSED"),IF($U120="PAID","Account paid. Action completed.","Account closed. No further action required."),CHOOSE($Z120,"Collection Email","1st Email Follow-up","2nd Email Follow-up","Escalation to Local Office","Escalation to CBE","Escalation to Roxanne")&amp;" sent "&amp;TEXT($AA120,"dd-mmm")&amp;". "&amp;IF($Z120=6,"Final escalation completed.",IF($U120="OVERDUE","Next: "&amp;$AC120&amp;" was due "&amp;TEXT($AB120,"dd-mmm")&amp;" - "&amp;(NETWORKDAYS($AB120,TODAY(),Holidays)-1)&amp;" business day(s) late. Send now.",IF($U120="DUE TOMORROW","Next: "&amp;$AC120&amp;IF($AB120&lt;=TODAY()," is due TODAY ("," is due next business day (")&amp;TEXT($AB120,"dd-mmm")&amp;").","Next: "&amp;$AC120&amp;" due "&amp;TEXT($AB120,"dd-mmm")&amp;" ("&amp;(NETWORKDAYS(TODAY(),$AB120,Holidays)-1)&amp;" business day(s) left).")))))</f>
        <v/>
      </c>
      <c r="W120" s="17">
        <f>IF($Z120="","",CHOOSE($Z120,"Collection Email","1st Follow-up","2nd Follow-up","Local Office","CBE","Roxanne")&amp;IF($Z120=6," - Final"," - Day "&amp;MAX(0,NETWORKDAYS($AA120,TODAY(),Holidays)-1)&amp;" of "&amp;CHOOSE($Z120,3,3,2,2,3))&amp;" | Total Day "&amp;MAX(0,NETWORKDAYS($N120,TODAY(),Holidays)-1))</f>
        <v/>
      </c>
      <c r="X120" s="18"/>
      <c r="Y120" s="18"/>
      <c r="Z120" s="17">
        <f>IF($N120="","",COUNT($N120:$S120))</f>
        <v/>
      </c>
      <c r="AA120" s="19">
        <f>IF($Z120="","",INT(INDEX($N120:$S120,$Z120)))</f>
        <v/>
      </c>
      <c r="AB120" s="19">
        <f>IF(OR($Z120="",$Z120=6),"",WORKDAY($AA120,CHOOSE($Z120,3,3,2,2,3),Holidays))</f>
        <v/>
      </c>
      <c r="AC120" s="17">
        <f>IF(OR($Z120="",$Z120=6),"",CHOOSE($Z120,"1st Email Follow-up","2nd Email Follow-up","Escalate Local Office","Escalate to CBE","Escalate to Roxanne"))</f>
        <v/>
      </c>
    </row>
    <row r="121" spans="13:29">
      <c r="M121" s="14"/>
      <c r="T121" s="16"/>
      <c r="U121" s="17">
        <f>IF(AND(COUNTA($A121:$L121)=0,$N121=""),"",IF($T121="Paid","PAID",IF($T121="Closed","CLOSED",IF($Z121="","",IF($Z121=6,"ESCALATED TO ROXANNE",IF(TODAY()&gt;$AB121,"OVERDUE",IF($AB121&lt;=WORKDAY(TODAY(),1,Holidays),"DUE TOMORROW",IF($Z121=4,"ESCALATED TO LOCAL OFFICE",IF($Z121=5,"ESCALATED TO CBE",IF($AA121=TODAY(),"EMAIL SENT","MONITORING"))))))))))</f>
        <v/>
      </c>
      <c r="V121" s="17">
        <f>IF($U121="",IF(AND(COUNTA($A121:$L121)&gt;0,$N121=""),"Awaiting Collection Email time stamp.",""),IF(OR($U121="PAID",$U121="CLOSED"),IF($U121="PAID","Account paid. Action completed.","Account closed. No further action required."),CHOOSE($Z121,"Collection Email","1st Email Follow-up","2nd Email Follow-up","Escalation to Local Office","Escalation to CBE","Escalation to Roxanne")&amp;" sent "&amp;TEXT($AA121,"dd-mmm")&amp;". "&amp;IF($Z121=6,"Final escalation completed.",IF($U121="OVERDUE","Next: "&amp;$AC121&amp;" was due "&amp;TEXT($AB121,"dd-mmm")&amp;" - "&amp;(NETWORKDAYS($AB121,TODAY(),Holidays)-1)&amp;" business day(s) late. Send now.",IF($U121="DUE TOMORROW","Next: "&amp;$AC121&amp;IF($AB121&lt;=TODAY()," is due TODAY ("," is due next business day (")&amp;TEXT($AB121,"dd-mmm")&amp;").","Next: "&amp;$AC121&amp;" due "&amp;TEXT($AB121,"dd-mmm")&amp;" ("&amp;(NETWORKDAYS(TODAY(),$AB121,Holidays)-1)&amp;" business day(s) left).")))))</f>
        <v/>
      </c>
      <c r="W121" s="17">
        <f>IF($Z121="","",CHOOSE($Z121,"Collection Email","1st Follow-up","2nd Follow-up","Local Office","CBE","Roxanne")&amp;IF($Z121=6," - Final"," - Day "&amp;MAX(0,NETWORKDAYS($AA121,TODAY(),Holidays)-1)&amp;" of "&amp;CHOOSE($Z121,3,3,2,2,3))&amp;" | Total Day "&amp;MAX(0,NETWORKDAYS($N121,TODAY(),Holidays)-1))</f>
        <v/>
      </c>
      <c r="X121" s="18"/>
      <c r="Y121" s="18"/>
      <c r="Z121" s="17">
        <f>IF($N121="","",COUNT($N121:$S121))</f>
        <v/>
      </c>
      <c r="AA121" s="19">
        <f>IF($Z121="","",INT(INDEX($N121:$S121,$Z121)))</f>
        <v/>
      </c>
      <c r="AB121" s="19">
        <f>IF(OR($Z121="",$Z121=6),"",WORKDAY($AA121,CHOOSE($Z121,3,3,2,2,3),Holidays))</f>
        <v/>
      </c>
      <c r="AC121" s="17">
        <f>IF(OR($Z121="",$Z121=6),"",CHOOSE($Z121,"1st Email Follow-up","2nd Email Follow-up","Escalate Local Office","Escalate to CBE","Escalate to Roxanne"))</f>
        <v/>
      </c>
    </row>
    <row r="122" spans="13:29">
      <c r="M122" s="14"/>
      <c r="T122" s="16"/>
      <c r="U122" s="17">
        <f>IF(AND(COUNTA($A122:$L122)=0,$N122=""),"",IF($T122="Paid","PAID",IF($T122="Closed","CLOSED",IF($Z122="","",IF($Z122=6,"ESCALATED TO ROXANNE",IF(TODAY()&gt;$AB122,"OVERDUE",IF($AB122&lt;=WORKDAY(TODAY(),1,Holidays),"DUE TOMORROW",IF($Z122=4,"ESCALATED TO LOCAL OFFICE",IF($Z122=5,"ESCALATED TO CBE",IF($AA122=TODAY(),"EMAIL SENT","MONITORING"))))))))))</f>
        <v/>
      </c>
      <c r="V122" s="17">
        <f>IF($U122="",IF(AND(COUNTA($A122:$L122)&gt;0,$N122=""),"Awaiting Collection Email time stamp.",""),IF(OR($U122="PAID",$U122="CLOSED"),IF($U122="PAID","Account paid. Action completed.","Account closed. No further action required."),CHOOSE($Z122,"Collection Email","1st Email Follow-up","2nd Email Follow-up","Escalation to Local Office","Escalation to CBE","Escalation to Roxanne")&amp;" sent "&amp;TEXT($AA122,"dd-mmm")&amp;". "&amp;IF($Z122=6,"Final escalation completed.",IF($U122="OVERDUE","Next: "&amp;$AC122&amp;" was due "&amp;TEXT($AB122,"dd-mmm")&amp;" - "&amp;(NETWORKDAYS($AB122,TODAY(),Holidays)-1)&amp;" business day(s) late. Send now.",IF($U122="DUE TOMORROW","Next: "&amp;$AC122&amp;IF($AB122&lt;=TODAY()," is due TODAY ("," is due next business day (")&amp;TEXT($AB122,"dd-mmm")&amp;").","Next: "&amp;$AC122&amp;" due "&amp;TEXT($AB122,"dd-mmm")&amp;" ("&amp;(NETWORKDAYS(TODAY(),$AB122,Holidays)-1)&amp;" business day(s) left).")))))</f>
        <v/>
      </c>
      <c r="W122" s="17">
        <f>IF($Z122="","",CHOOSE($Z122,"Collection Email","1st Follow-up","2nd Follow-up","Local Office","CBE","Roxanne")&amp;IF($Z122=6," - Final"," - Day "&amp;MAX(0,NETWORKDAYS($AA122,TODAY(),Holidays)-1)&amp;" of "&amp;CHOOSE($Z122,3,3,2,2,3))&amp;" | Total Day "&amp;MAX(0,NETWORKDAYS($N122,TODAY(),Holidays)-1))</f>
        <v/>
      </c>
      <c r="X122" s="18"/>
      <c r="Y122" s="18"/>
      <c r="Z122" s="17">
        <f>IF($N122="","",COUNT($N122:$S122))</f>
        <v/>
      </c>
      <c r="AA122" s="19">
        <f>IF($Z122="","",INT(INDEX($N122:$S122,$Z122)))</f>
        <v/>
      </c>
      <c r="AB122" s="19">
        <f>IF(OR($Z122="",$Z122=6),"",WORKDAY($AA122,CHOOSE($Z122,3,3,2,2,3),Holidays))</f>
        <v/>
      </c>
      <c r="AC122" s="17">
        <f>IF(OR($Z122="",$Z122=6),"",CHOOSE($Z122,"1st Email Follow-up","2nd Email Follow-up","Escalate Local Office","Escalate to CBE","Escalate to Roxanne"))</f>
        <v/>
      </c>
    </row>
    <row r="123" spans="13:29">
      <c r="M123" s="14"/>
      <c r="T123" s="16"/>
      <c r="U123" s="17">
        <f>IF(AND(COUNTA($A123:$L123)=0,$N123=""),"",IF($T123="Paid","PAID",IF($T123="Closed","CLOSED",IF($Z123="","",IF($Z123=6,"ESCALATED TO ROXANNE",IF(TODAY()&gt;$AB123,"OVERDUE",IF($AB123&lt;=WORKDAY(TODAY(),1,Holidays),"DUE TOMORROW",IF($Z123=4,"ESCALATED TO LOCAL OFFICE",IF($Z123=5,"ESCALATED TO CBE",IF($AA123=TODAY(),"EMAIL SENT","MONITORING"))))))))))</f>
        <v/>
      </c>
      <c r="V123" s="17">
        <f>IF($U123="",IF(AND(COUNTA($A123:$L123)&gt;0,$N123=""),"Awaiting Collection Email time stamp.",""),IF(OR($U123="PAID",$U123="CLOSED"),IF($U123="PAID","Account paid. Action completed.","Account closed. No further action required."),CHOOSE($Z123,"Collection Email","1st Email Follow-up","2nd Email Follow-up","Escalation to Local Office","Escalation to CBE","Escalation to Roxanne")&amp;" sent "&amp;TEXT($AA123,"dd-mmm")&amp;". "&amp;IF($Z123=6,"Final escalation completed.",IF($U123="OVERDUE","Next: "&amp;$AC123&amp;" was due "&amp;TEXT($AB123,"dd-mmm")&amp;" - "&amp;(NETWORKDAYS($AB123,TODAY(),Holidays)-1)&amp;" business day(s) late. Send now.",IF($U123="DUE TOMORROW","Next: "&amp;$AC123&amp;IF($AB123&lt;=TODAY()," is due TODAY ("," is due next business day (")&amp;TEXT($AB123,"dd-mmm")&amp;").","Next: "&amp;$AC123&amp;" due "&amp;TEXT($AB123,"dd-mmm")&amp;" ("&amp;(NETWORKDAYS(TODAY(),$AB123,Holidays)-1)&amp;" business day(s) left).")))))</f>
        <v/>
      </c>
      <c r="W123" s="17">
        <f>IF($Z123="","",CHOOSE($Z123,"Collection Email","1st Follow-up","2nd Follow-up","Local Office","CBE","Roxanne")&amp;IF($Z123=6," - Final"," - Day "&amp;MAX(0,NETWORKDAYS($AA123,TODAY(),Holidays)-1)&amp;" of "&amp;CHOOSE($Z123,3,3,2,2,3))&amp;" | Total Day "&amp;MAX(0,NETWORKDAYS($N123,TODAY(),Holidays)-1))</f>
        <v/>
      </c>
      <c r="X123" s="18"/>
      <c r="Y123" s="18"/>
      <c r="Z123" s="17">
        <f>IF($N123="","",COUNT($N123:$S123))</f>
        <v/>
      </c>
      <c r="AA123" s="19">
        <f>IF($Z123="","",INT(INDEX($N123:$S123,$Z123)))</f>
        <v/>
      </c>
      <c r="AB123" s="19">
        <f>IF(OR($Z123="",$Z123=6),"",WORKDAY($AA123,CHOOSE($Z123,3,3,2,2,3),Holidays))</f>
        <v/>
      </c>
      <c r="AC123" s="17">
        <f>IF(OR($Z123="",$Z123=6),"",CHOOSE($Z123,"1st Email Follow-up","2nd Email Follow-up","Escalate Local Office","Escalate to CBE","Escalate to Roxanne"))</f>
        <v/>
      </c>
    </row>
    <row r="124" spans="13:29">
      <c r="M124" s="14"/>
      <c r="T124" s="16"/>
      <c r="U124" s="17">
        <f>IF(AND(COUNTA($A124:$L124)=0,$N124=""),"",IF($T124="Paid","PAID",IF($T124="Closed","CLOSED",IF($Z124="","",IF($Z124=6,"ESCALATED TO ROXANNE",IF(TODAY()&gt;$AB124,"OVERDUE",IF($AB124&lt;=WORKDAY(TODAY(),1,Holidays),"DUE TOMORROW",IF($Z124=4,"ESCALATED TO LOCAL OFFICE",IF($Z124=5,"ESCALATED TO CBE",IF($AA124=TODAY(),"EMAIL SENT","MONITORING"))))))))))</f>
        <v/>
      </c>
      <c r="V124" s="17">
        <f>IF($U124="",IF(AND(COUNTA($A124:$L124)&gt;0,$N124=""),"Awaiting Collection Email time stamp.",""),IF(OR($U124="PAID",$U124="CLOSED"),IF($U124="PAID","Account paid. Action completed.","Account closed. No further action required."),CHOOSE($Z124,"Collection Email","1st Email Follow-up","2nd Email Follow-up","Escalation to Local Office","Escalation to CBE","Escalation to Roxanne")&amp;" sent "&amp;TEXT($AA124,"dd-mmm")&amp;". "&amp;IF($Z124=6,"Final escalation completed.",IF($U124="OVERDUE","Next: "&amp;$AC124&amp;" was due "&amp;TEXT($AB124,"dd-mmm")&amp;" - "&amp;(NETWORKDAYS($AB124,TODAY(),Holidays)-1)&amp;" business day(s) late. Send now.",IF($U124="DUE TOMORROW","Next: "&amp;$AC124&amp;IF($AB124&lt;=TODAY()," is due TODAY ("," is due next business day (")&amp;TEXT($AB124,"dd-mmm")&amp;").","Next: "&amp;$AC124&amp;" due "&amp;TEXT($AB124,"dd-mmm")&amp;" ("&amp;(NETWORKDAYS(TODAY(),$AB124,Holidays)-1)&amp;" business day(s) left).")))))</f>
        <v/>
      </c>
      <c r="W124" s="17">
        <f>IF($Z124="","",CHOOSE($Z124,"Collection Email","1st Follow-up","2nd Follow-up","Local Office","CBE","Roxanne")&amp;IF($Z124=6," - Final"," - Day "&amp;MAX(0,NETWORKDAYS($AA124,TODAY(),Holidays)-1)&amp;" of "&amp;CHOOSE($Z124,3,3,2,2,3))&amp;" | Total Day "&amp;MAX(0,NETWORKDAYS($N124,TODAY(),Holidays)-1))</f>
        <v/>
      </c>
      <c r="X124" s="18"/>
      <c r="Y124" s="18"/>
      <c r="Z124" s="17">
        <f>IF($N124="","",COUNT($N124:$S124))</f>
        <v/>
      </c>
      <c r="AA124" s="19">
        <f>IF($Z124="","",INT(INDEX($N124:$S124,$Z124)))</f>
        <v/>
      </c>
      <c r="AB124" s="19">
        <f>IF(OR($Z124="",$Z124=6),"",WORKDAY($AA124,CHOOSE($Z124,3,3,2,2,3),Holidays))</f>
        <v/>
      </c>
      <c r="AC124" s="17">
        <f>IF(OR($Z124="",$Z124=6),"",CHOOSE($Z124,"1st Email Follow-up","2nd Email Follow-up","Escalate Local Office","Escalate to CBE","Escalate to Roxanne"))</f>
        <v/>
      </c>
    </row>
    <row r="125" spans="13:29">
      <c r="M125" s="14"/>
      <c r="T125" s="16"/>
      <c r="U125" s="17">
        <f>IF(AND(COUNTA($A125:$L125)=0,$N125=""),"",IF($T125="Paid","PAID",IF($T125="Closed","CLOSED",IF($Z125="","",IF($Z125=6,"ESCALATED TO ROXANNE",IF(TODAY()&gt;$AB125,"OVERDUE",IF($AB125&lt;=WORKDAY(TODAY(),1,Holidays),"DUE TOMORROW",IF($Z125=4,"ESCALATED TO LOCAL OFFICE",IF($Z125=5,"ESCALATED TO CBE",IF($AA125=TODAY(),"EMAIL SENT","MONITORING"))))))))))</f>
        <v/>
      </c>
      <c r="V125" s="17">
        <f>IF($U125="",IF(AND(COUNTA($A125:$L125)&gt;0,$N125=""),"Awaiting Collection Email time stamp.",""),IF(OR($U125="PAID",$U125="CLOSED"),IF($U125="PAID","Account paid. Action completed.","Account closed. No further action required."),CHOOSE($Z125,"Collection Email","1st Email Follow-up","2nd Email Follow-up","Escalation to Local Office","Escalation to CBE","Escalation to Roxanne")&amp;" sent "&amp;TEXT($AA125,"dd-mmm")&amp;". "&amp;IF($Z125=6,"Final escalation completed.",IF($U125="OVERDUE","Next: "&amp;$AC125&amp;" was due "&amp;TEXT($AB125,"dd-mmm")&amp;" - "&amp;(NETWORKDAYS($AB125,TODAY(),Holidays)-1)&amp;" business day(s) late. Send now.",IF($U125="DUE TOMORROW","Next: "&amp;$AC125&amp;IF($AB125&lt;=TODAY()," is due TODAY ("," is due next business day (")&amp;TEXT($AB125,"dd-mmm")&amp;").","Next: "&amp;$AC125&amp;" due "&amp;TEXT($AB125,"dd-mmm")&amp;" ("&amp;(NETWORKDAYS(TODAY(),$AB125,Holidays)-1)&amp;" business day(s) left).")))))</f>
        <v/>
      </c>
      <c r="W125" s="17">
        <f>IF($Z125="","",CHOOSE($Z125,"Collection Email","1st Follow-up","2nd Follow-up","Local Office","CBE","Roxanne")&amp;IF($Z125=6," - Final"," - Day "&amp;MAX(0,NETWORKDAYS($AA125,TODAY(),Holidays)-1)&amp;" of "&amp;CHOOSE($Z125,3,3,2,2,3))&amp;" | Total Day "&amp;MAX(0,NETWORKDAYS($N125,TODAY(),Holidays)-1))</f>
        <v/>
      </c>
      <c r="X125" s="18"/>
      <c r="Y125" s="18"/>
      <c r="Z125" s="17">
        <f>IF($N125="","",COUNT($N125:$S125))</f>
        <v/>
      </c>
      <c r="AA125" s="19">
        <f>IF($Z125="","",INT(INDEX($N125:$S125,$Z125)))</f>
        <v/>
      </c>
      <c r="AB125" s="19">
        <f>IF(OR($Z125="",$Z125=6),"",WORKDAY($AA125,CHOOSE($Z125,3,3,2,2,3),Holidays))</f>
        <v/>
      </c>
      <c r="AC125" s="17">
        <f>IF(OR($Z125="",$Z125=6),"",CHOOSE($Z125,"1st Email Follow-up","2nd Email Follow-up","Escalate Local Office","Escalate to CBE","Escalate to Roxanne"))</f>
        <v/>
      </c>
    </row>
    <row r="126" spans="13:29">
      <c r="M126" s="14"/>
      <c r="T126" s="16"/>
      <c r="U126" s="17">
        <f>IF(AND(COUNTA($A126:$L126)=0,$N126=""),"",IF($T126="Paid","PAID",IF($T126="Closed","CLOSED",IF($Z126="","",IF($Z126=6,"ESCALATED TO ROXANNE",IF(TODAY()&gt;$AB126,"OVERDUE",IF($AB126&lt;=WORKDAY(TODAY(),1,Holidays),"DUE TOMORROW",IF($Z126=4,"ESCALATED TO LOCAL OFFICE",IF($Z126=5,"ESCALATED TO CBE",IF($AA126=TODAY(),"EMAIL SENT","MONITORING"))))))))))</f>
        <v/>
      </c>
      <c r="V126" s="17">
        <f>IF($U126="",IF(AND(COUNTA($A126:$L126)&gt;0,$N126=""),"Awaiting Collection Email time stamp.",""),IF(OR($U126="PAID",$U126="CLOSED"),IF($U126="PAID","Account paid. Action completed.","Account closed. No further action required."),CHOOSE($Z126,"Collection Email","1st Email Follow-up","2nd Email Follow-up","Escalation to Local Office","Escalation to CBE","Escalation to Roxanne")&amp;" sent "&amp;TEXT($AA126,"dd-mmm")&amp;". "&amp;IF($Z126=6,"Final escalation completed.",IF($U126="OVERDUE","Next: "&amp;$AC126&amp;" was due "&amp;TEXT($AB126,"dd-mmm")&amp;" - "&amp;(NETWORKDAYS($AB126,TODAY(),Holidays)-1)&amp;" business day(s) late. Send now.",IF($U126="DUE TOMORROW","Next: "&amp;$AC126&amp;IF($AB126&lt;=TODAY()," is due TODAY ("," is due next business day (")&amp;TEXT($AB126,"dd-mmm")&amp;").","Next: "&amp;$AC126&amp;" due "&amp;TEXT($AB126,"dd-mmm")&amp;" ("&amp;(NETWORKDAYS(TODAY(),$AB126,Holidays)-1)&amp;" business day(s) left).")))))</f>
        <v/>
      </c>
      <c r="W126" s="17">
        <f>IF($Z126="","",CHOOSE($Z126,"Collection Email","1st Follow-up","2nd Follow-up","Local Office","CBE","Roxanne")&amp;IF($Z126=6," - Final"," - Day "&amp;MAX(0,NETWORKDAYS($AA126,TODAY(),Holidays)-1)&amp;" of "&amp;CHOOSE($Z126,3,3,2,2,3))&amp;" | Total Day "&amp;MAX(0,NETWORKDAYS($N126,TODAY(),Holidays)-1))</f>
        <v/>
      </c>
      <c r="X126" s="18"/>
      <c r="Y126" s="18"/>
      <c r="Z126" s="17">
        <f>IF($N126="","",COUNT($N126:$S126))</f>
        <v/>
      </c>
      <c r="AA126" s="19">
        <f>IF($Z126="","",INT(INDEX($N126:$S126,$Z126)))</f>
        <v/>
      </c>
      <c r="AB126" s="19">
        <f>IF(OR($Z126="",$Z126=6),"",WORKDAY($AA126,CHOOSE($Z126,3,3,2,2,3),Holidays))</f>
        <v/>
      </c>
      <c r="AC126" s="17">
        <f>IF(OR($Z126="",$Z126=6),"",CHOOSE($Z126,"1st Email Follow-up","2nd Email Follow-up","Escalate Local Office","Escalate to CBE","Escalate to Roxanne"))</f>
        <v/>
      </c>
    </row>
    <row r="127" spans="13:29">
      <c r="M127" s="14"/>
      <c r="T127" s="16"/>
      <c r="U127" s="17">
        <f>IF(AND(COUNTA($A127:$L127)=0,$N127=""),"",IF($T127="Paid","PAID",IF($T127="Closed","CLOSED",IF($Z127="","",IF($Z127=6,"ESCALATED TO ROXANNE",IF(TODAY()&gt;$AB127,"OVERDUE",IF($AB127&lt;=WORKDAY(TODAY(),1,Holidays),"DUE TOMORROW",IF($Z127=4,"ESCALATED TO LOCAL OFFICE",IF($Z127=5,"ESCALATED TO CBE",IF($AA127=TODAY(),"EMAIL SENT","MONITORING"))))))))))</f>
        <v/>
      </c>
      <c r="V127" s="17">
        <f>IF($U127="",IF(AND(COUNTA($A127:$L127)&gt;0,$N127=""),"Awaiting Collection Email time stamp.",""),IF(OR($U127="PAID",$U127="CLOSED"),IF($U127="PAID","Account paid. Action completed.","Account closed. No further action required."),CHOOSE($Z127,"Collection Email","1st Email Follow-up","2nd Email Follow-up","Escalation to Local Office","Escalation to CBE","Escalation to Roxanne")&amp;" sent "&amp;TEXT($AA127,"dd-mmm")&amp;". "&amp;IF($Z127=6,"Final escalation completed.",IF($U127="OVERDUE","Next: "&amp;$AC127&amp;" was due "&amp;TEXT($AB127,"dd-mmm")&amp;" - "&amp;(NETWORKDAYS($AB127,TODAY(),Holidays)-1)&amp;" business day(s) late. Send now.",IF($U127="DUE TOMORROW","Next: "&amp;$AC127&amp;IF($AB127&lt;=TODAY()," is due TODAY ("," is due next business day (")&amp;TEXT($AB127,"dd-mmm")&amp;").","Next: "&amp;$AC127&amp;" due "&amp;TEXT($AB127,"dd-mmm")&amp;" ("&amp;(NETWORKDAYS(TODAY(),$AB127,Holidays)-1)&amp;" business day(s) left).")))))</f>
        <v/>
      </c>
      <c r="W127" s="17">
        <f>IF($Z127="","",CHOOSE($Z127,"Collection Email","1st Follow-up","2nd Follow-up","Local Office","CBE","Roxanne")&amp;IF($Z127=6," - Final"," - Day "&amp;MAX(0,NETWORKDAYS($AA127,TODAY(),Holidays)-1)&amp;" of "&amp;CHOOSE($Z127,3,3,2,2,3))&amp;" | Total Day "&amp;MAX(0,NETWORKDAYS($N127,TODAY(),Holidays)-1))</f>
        <v/>
      </c>
      <c r="X127" s="18"/>
      <c r="Y127" s="18"/>
      <c r="Z127" s="17">
        <f>IF($N127="","",COUNT($N127:$S127))</f>
        <v/>
      </c>
      <c r="AA127" s="19">
        <f>IF($Z127="","",INT(INDEX($N127:$S127,$Z127)))</f>
        <v/>
      </c>
      <c r="AB127" s="19">
        <f>IF(OR($Z127="",$Z127=6),"",WORKDAY($AA127,CHOOSE($Z127,3,3,2,2,3),Holidays))</f>
        <v/>
      </c>
      <c r="AC127" s="17">
        <f>IF(OR($Z127="",$Z127=6),"",CHOOSE($Z127,"1st Email Follow-up","2nd Email Follow-up","Escalate Local Office","Escalate to CBE","Escalate to Roxanne"))</f>
        <v/>
      </c>
    </row>
    <row r="128" spans="13:29">
      <c r="M128" s="14"/>
      <c r="T128" s="16"/>
      <c r="U128" s="17">
        <f>IF(AND(COUNTA($A128:$L128)=0,$N128=""),"",IF($T128="Paid","PAID",IF($T128="Closed","CLOSED",IF($Z128="","",IF($Z128=6,"ESCALATED TO ROXANNE",IF(TODAY()&gt;$AB128,"OVERDUE",IF($AB128&lt;=WORKDAY(TODAY(),1,Holidays),"DUE TOMORROW",IF($Z128=4,"ESCALATED TO LOCAL OFFICE",IF($Z128=5,"ESCALATED TO CBE",IF($AA128=TODAY(),"EMAIL SENT","MONITORING"))))))))))</f>
        <v/>
      </c>
      <c r="V128" s="17">
        <f>IF($U128="",IF(AND(COUNTA($A128:$L128)&gt;0,$N128=""),"Awaiting Collection Email time stamp.",""),IF(OR($U128="PAID",$U128="CLOSED"),IF($U128="PAID","Account paid. Action completed.","Account closed. No further action required."),CHOOSE($Z128,"Collection Email","1st Email Follow-up","2nd Email Follow-up","Escalation to Local Office","Escalation to CBE","Escalation to Roxanne")&amp;" sent "&amp;TEXT($AA128,"dd-mmm")&amp;". "&amp;IF($Z128=6,"Final escalation completed.",IF($U128="OVERDUE","Next: "&amp;$AC128&amp;" was due "&amp;TEXT($AB128,"dd-mmm")&amp;" - "&amp;(NETWORKDAYS($AB128,TODAY(),Holidays)-1)&amp;" business day(s) late. Send now.",IF($U128="DUE TOMORROW","Next: "&amp;$AC128&amp;IF($AB128&lt;=TODAY()," is due TODAY ("," is due next business day (")&amp;TEXT($AB128,"dd-mmm")&amp;").","Next: "&amp;$AC128&amp;" due "&amp;TEXT($AB128,"dd-mmm")&amp;" ("&amp;(NETWORKDAYS(TODAY(),$AB128,Holidays)-1)&amp;" business day(s) left).")))))</f>
        <v/>
      </c>
      <c r="W128" s="17">
        <f>IF($Z128="","",CHOOSE($Z128,"Collection Email","1st Follow-up","2nd Follow-up","Local Office","CBE","Roxanne")&amp;IF($Z128=6," - Final"," - Day "&amp;MAX(0,NETWORKDAYS($AA128,TODAY(),Holidays)-1)&amp;" of "&amp;CHOOSE($Z128,3,3,2,2,3))&amp;" | Total Day "&amp;MAX(0,NETWORKDAYS($N128,TODAY(),Holidays)-1))</f>
        <v/>
      </c>
      <c r="X128" s="18"/>
      <c r="Y128" s="18"/>
      <c r="Z128" s="17">
        <f>IF($N128="","",COUNT($N128:$S128))</f>
        <v/>
      </c>
      <c r="AA128" s="19">
        <f>IF($Z128="","",INT(INDEX($N128:$S128,$Z128)))</f>
        <v/>
      </c>
      <c r="AB128" s="19">
        <f>IF(OR($Z128="",$Z128=6),"",WORKDAY($AA128,CHOOSE($Z128,3,3,2,2,3),Holidays))</f>
        <v/>
      </c>
      <c r="AC128" s="17">
        <f>IF(OR($Z128="",$Z128=6),"",CHOOSE($Z128,"1st Email Follow-up","2nd Email Follow-up","Escalate Local Office","Escalate to CBE","Escalate to Roxanne"))</f>
        <v/>
      </c>
    </row>
    <row r="129" spans="13:29">
      <c r="M129" s="14"/>
      <c r="T129" s="16"/>
      <c r="U129" s="17">
        <f>IF(AND(COUNTA($A129:$L129)=0,$N129=""),"",IF($T129="Paid","PAID",IF($T129="Closed","CLOSED",IF($Z129="","",IF($Z129=6,"ESCALATED TO ROXANNE",IF(TODAY()&gt;$AB129,"OVERDUE",IF($AB129&lt;=WORKDAY(TODAY(),1,Holidays),"DUE TOMORROW",IF($Z129=4,"ESCALATED TO LOCAL OFFICE",IF($Z129=5,"ESCALATED TO CBE",IF($AA129=TODAY(),"EMAIL SENT","MONITORING"))))))))))</f>
        <v/>
      </c>
      <c r="V129" s="17">
        <f>IF($U129="",IF(AND(COUNTA($A129:$L129)&gt;0,$N129=""),"Awaiting Collection Email time stamp.",""),IF(OR($U129="PAID",$U129="CLOSED"),IF($U129="PAID","Account paid. Action completed.","Account closed. No further action required."),CHOOSE($Z129,"Collection Email","1st Email Follow-up","2nd Email Follow-up","Escalation to Local Office","Escalation to CBE","Escalation to Roxanne")&amp;" sent "&amp;TEXT($AA129,"dd-mmm")&amp;". "&amp;IF($Z129=6,"Final escalation completed.",IF($U129="OVERDUE","Next: "&amp;$AC129&amp;" was due "&amp;TEXT($AB129,"dd-mmm")&amp;" - "&amp;(NETWORKDAYS($AB129,TODAY(),Holidays)-1)&amp;" business day(s) late. Send now.",IF($U129="DUE TOMORROW","Next: "&amp;$AC129&amp;IF($AB129&lt;=TODAY()," is due TODAY ("," is due next business day (")&amp;TEXT($AB129,"dd-mmm")&amp;").","Next: "&amp;$AC129&amp;" due "&amp;TEXT($AB129,"dd-mmm")&amp;" ("&amp;(NETWORKDAYS(TODAY(),$AB129,Holidays)-1)&amp;" business day(s) left).")))))</f>
        <v/>
      </c>
      <c r="W129" s="17">
        <f>IF($Z129="","",CHOOSE($Z129,"Collection Email","1st Follow-up","2nd Follow-up","Local Office","CBE","Roxanne")&amp;IF($Z129=6," - Final"," - Day "&amp;MAX(0,NETWORKDAYS($AA129,TODAY(),Holidays)-1)&amp;" of "&amp;CHOOSE($Z129,3,3,2,2,3))&amp;" | Total Day "&amp;MAX(0,NETWORKDAYS($N129,TODAY(),Holidays)-1))</f>
        <v/>
      </c>
      <c r="X129" s="18"/>
      <c r="Y129" s="18"/>
      <c r="Z129" s="17">
        <f>IF($N129="","",COUNT($N129:$S129))</f>
        <v/>
      </c>
      <c r="AA129" s="19">
        <f>IF($Z129="","",INT(INDEX($N129:$S129,$Z129)))</f>
        <v/>
      </c>
      <c r="AB129" s="19">
        <f>IF(OR($Z129="",$Z129=6),"",WORKDAY($AA129,CHOOSE($Z129,3,3,2,2,3),Holidays))</f>
        <v/>
      </c>
      <c r="AC129" s="17">
        <f>IF(OR($Z129="",$Z129=6),"",CHOOSE($Z129,"1st Email Follow-up","2nd Email Follow-up","Escalate Local Office","Escalate to CBE","Escalate to Roxanne"))</f>
        <v/>
      </c>
    </row>
    <row r="130" spans="13:29">
      <c r="M130" s="14"/>
      <c r="T130" s="16"/>
      <c r="U130" s="17">
        <f>IF(AND(COUNTA($A130:$L130)=0,$N130=""),"",IF($T130="Paid","PAID",IF($T130="Closed","CLOSED",IF($Z130="","",IF($Z130=6,"ESCALATED TO ROXANNE",IF(TODAY()&gt;$AB130,"OVERDUE",IF($AB130&lt;=WORKDAY(TODAY(),1,Holidays),"DUE TOMORROW",IF($Z130=4,"ESCALATED TO LOCAL OFFICE",IF($Z130=5,"ESCALATED TO CBE",IF($AA130=TODAY(),"EMAIL SENT","MONITORING"))))))))))</f>
        <v/>
      </c>
      <c r="V130" s="17">
        <f>IF($U130="",IF(AND(COUNTA($A130:$L130)&gt;0,$N130=""),"Awaiting Collection Email time stamp.",""),IF(OR($U130="PAID",$U130="CLOSED"),IF($U130="PAID","Account paid. Action completed.","Account closed. No further action required."),CHOOSE($Z130,"Collection Email","1st Email Follow-up","2nd Email Follow-up","Escalation to Local Office","Escalation to CBE","Escalation to Roxanne")&amp;" sent "&amp;TEXT($AA130,"dd-mmm")&amp;". "&amp;IF($Z130=6,"Final escalation completed.",IF($U130="OVERDUE","Next: "&amp;$AC130&amp;" was due "&amp;TEXT($AB130,"dd-mmm")&amp;" - "&amp;(NETWORKDAYS($AB130,TODAY(),Holidays)-1)&amp;" business day(s) late. Send now.",IF($U130="DUE TOMORROW","Next: "&amp;$AC130&amp;IF($AB130&lt;=TODAY()," is due TODAY ("," is due next business day (")&amp;TEXT($AB130,"dd-mmm")&amp;").","Next: "&amp;$AC130&amp;" due "&amp;TEXT($AB130,"dd-mmm")&amp;" ("&amp;(NETWORKDAYS(TODAY(),$AB130,Holidays)-1)&amp;" business day(s) left).")))))</f>
        <v/>
      </c>
      <c r="W130" s="17">
        <f>IF($Z130="","",CHOOSE($Z130,"Collection Email","1st Follow-up","2nd Follow-up","Local Office","CBE","Roxanne")&amp;IF($Z130=6," - Final"," - Day "&amp;MAX(0,NETWORKDAYS($AA130,TODAY(),Holidays)-1)&amp;" of "&amp;CHOOSE($Z130,3,3,2,2,3))&amp;" | Total Day "&amp;MAX(0,NETWORKDAYS($N130,TODAY(),Holidays)-1))</f>
        <v/>
      </c>
      <c r="X130" s="18"/>
      <c r="Y130" s="18"/>
      <c r="Z130" s="17">
        <f>IF($N130="","",COUNT($N130:$S130))</f>
        <v/>
      </c>
      <c r="AA130" s="19">
        <f>IF($Z130="","",INT(INDEX($N130:$S130,$Z130)))</f>
        <v/>
      </c>
      <c r="AB130" s="19">
        <f>IF(OR($Z130="",$Z130=6),"",WORKDAY($AA130,CHOOSE($Z130,3,3,2,2,3),Holidays))</f>
        <v/>
      </c>
      <c r="AC130" s="17">
        <f>IF(OR($Z130="",$Z130=6),"",CHOOSE($Z130,"1st Email Follow-up","2nd Email Follow-up","Escalate Local Office","Escalate to CBE","Escalate to Roxanne"))</f>
        <v/>
      </c>
    </row>
    <row r="131" spans="13:29">
      <c r="M131" s="14"/>
      <c r="T131" s="16"/>
      <c r="U131" s="17">
        <f>IF(AND(COUNTA($A131:$L131)=0,$N131=""),"",IF($T131="Paid","PAID",IF($T131="Closed","CLOSED",IF($Z131="","",IF($Z131=6,"ESCALATED TO ROXANNE",IF(TODAY()&gt;$AB131,"OVERDUE",IF($AB131&lt;=WORKDAY(TODAY(),1,Holidays),"DUE TOMORROW",IF($Z131=4,"ESCALATED TO LOCAL OFFICE",IF($Z131=5,"ESCALATED TO CBE",IF($AA131=TODAY(),"EMAIL SENT","MONITORING"))))))))))</f>
        <v/>
      </c>
      <c r="V131" s="17">
        <f>IF($U131="",IF(AND(COUNTA($A131:$L131)&gt;0,$N131=""),"Awaiting Collection Email time stamp.",""),IF(OR($U131="PAID",$U131="CLOSED"),IF($U131="PAID","Account paid. Action completed.","Account closed. No further action required."),CHOOSE($Z131,"Collection Email","1st Email Follow-up","2nd Email Follow-up","Escalation to Local Office","Escalation to CBE","Escalation to Roxanne")&amp;" sent "&amp;TEXT($AA131,"dd-mmm")&amp;". "&amp;IF($Z131=6,"Final escalation completed.",IF($U131="OVERDUE","Next: "&amp;$AC131&amp;" was due "&amp;TEXT($AB131,"dd-mmm")&amp;" - "&amp;(NETWORKDAYS($AB131,TODAY(),Holidays)-1)&amp;" business day(s) late. Send now.",IF($U131="DUE TOMORROW","Next: "&amp;$AC131&amp;IF($AB131&lt;=TODAY()," is due TODAY ("," is due next business day (")&amp;TEXT($AB131,"dd-mmm")&amp;").","Next: "&amp;$AC131&amp;" due "&amp;TEXT($AB131,"dd-mmm")&amp;" ("&amp;(NETWORKDAYS(TODAY(),$AB131,Holidays)-1)&amp;" business day(s) left).")))))</f>
        <v/>
      </c>
      <c r="W131" s="17">
        <f>IF($Z131="","",CHOOSE($Z131,"Collection Email","1st Follow-up","2nd Follow-up","Local Office","CBE","Roxanne")&amp;IF($Z131=6," - Final"," - Day "&amp;MAX(0,NETWORKDAYS($AA131,TODAY(),Holidays)-1)&amp;" of "&amp;CHOOSE($Z131,3,3,2,2,3))&amp;" | Total Day "&amp;MAX(0,NETWORKDAYS($N131,TODAY(),Holidays)-1))</f>
        <v/>
      </c>
      <c r="X131" s="18"/>
      <c r="Y131" s="18"/>
      <c r="Z131" s="17">
        <f>IF($N131="","",COUNT($N131:$S131))</f>
        <v/>
      </c>
      <c r="AA131" s="19">
        <f>IF($Z131="","",INT(INDEX($N131:$S131,$Z131)))</f>
        <v/>
      </c>
      <c r="AB131" s="19">
        <f>IF(OR($Z131="",$Z131=6),"",WORKDAY($AA131,CHOOSE($Z131,3,3,2,2,3),Holidays))</f>
        <v/>
      </c>
      <c r="AC131" s="17">
        <f>IF(OR($Z131="",$Z131=6),"",CHOOSE($Z131,"1st Email Follow-up","2nd Email Follow-up","Escalate Local Office","Escalate to CBE","Escalate to Roxanne"))</f>
        <v/>
      </c>
    </row>
    <row r="132" spans="13:29">
      <c r="M132" s="14"/>
      <c r="T132" s="16"/>
      <c r="U132" s="17">
        <f>IF(AND(COUNTA($A132:$L132)=0,$N132=""),"",IF($T132="Paid","PAID",IF($T132="Closed","CLOSED",IF($Z132="","",IF($Z132=6,"ESCALATED TO ROXANNE",IF(TODAY()&gt;$AB132,"OVERDUE",IF($AB132&lt;=WORKDAY(TODAY(),1,Holidays),"DUE TOMORROW",IF($Z132=4,"ESCALATED TO LOCAL OFFICE",IF($Z132=5,"ESCALATED TO CBE",IF($AA132=TODAY(),"EMAIL SENT","MONITORING"))))))))))</f>
        <v/>
      </c>
      <c r="V132" s="17">
        <f>IF($U132="",IF(AND(COUNTA($A132:$L132)&gt;0,$N132=""),"Awaiting Collection Email time stamp.",""),IF(OR($U132="PAID",$U132="CLOSED"),IF($U132="PAID","Account paid. Action completed.","Account closed. No further action required."),CHOOSE($Z132,"Collection Email","1st Email Follow-up","2nd Email Follow-up","Escalation to Local Office","Escalation to CBE","Escalation to Roxanne")&amp;" sent "&amp;TEXT($AA132,"dd-mmm")&amp;". "&amp;IF($Z132=6,"Final escalation completed.",IF($U132="OVERDUE","Next: "&amp;$AC132&amp;" was due "&amp;TEXT($AB132,"dd-mmm")&amp;" - "&amp;(NETWORKDAYS($AB132,TODAY(),Holidays)-1)&amp;" business day(s) late. Send now.",IF($U132="DUE TOMORROW","Next: "&amp;$AC132&amp;IF($AB132&lt;=TODAY()," is due TODAY ("," is due next business day (")&amp;TEXT($AB132,"dd-mmm")&amp;").","Next: "&amp;$AC132&amp;" due "&amp;TEXT($AB132,"dd-mmm")&amp;" ("&amp;(NETWORKDAYS(TODAY(),$AB132,Holidays)-1)&amp;" business day(s) left).")))))</f>
        <v/>
      </c>
      <c r="W132" s="17">
        <f>IF($Z132="","",CHOOSE($Z132,"Collection Email","1st Follow-up","2nd Follow-up","Local Office","CBE","Roxanne")&amp;IF($Z132=6," - Final"," - Day "&amp;MAX(0,NETWORKDAYS($AA132,TODAY(),Holidays)-1)&amp;" of "&amp;CHOOSE($Z132,3,3,2,2,3))&amp;" | Total Day "&amp;MAX(0,NETWORKDAYS($N132,TODAY(),Holidays)-1))</f>
        <v/>
      </c>
      <c r="X132" s="18"/>
      <c r="Y132" s="18"/>
      <c r="Z132" s="17">
        <f>IF($N132="","",COUNT($N132:$S132))</f>
        <v/>
      </c>
      <c r="AA132" s="19">
        <f>IF($Z132="","",INT(INDEX($N132:$S132,$Z132)))</f>
        <v/>
      </c>
      <c r="AB132" s="19">
        <f>IF(OR($Z132="",$Z132=6),"",WORKDAY($AA132,CHOOSE($Z132,3,3,2,2,3),Holidays))</f>
        <v/>
      </c>
      <c r="AC132" s="17">
        <f>IF(OR($Z132="",$Z132=6),"",CHOOSE($Z132,"1st Email Follow-up","2nd Email Follow-up","Escalate Local Office","Escalate to CBE","Escalate to Roxanne"))</f>
        <v/>
      </c>
    </row>
    <row r="133" spans="13:29">
      <c r="M133" s="14"/>
      <c r="T133" s="16"/>
      <c r="U133" s="17">
        <f>IF(AND(COUNTA($A133:$L133)=0,$N133=""),"",IF($T133="Paid","PAID",IF($T133="Closed","CLOSED",IF($Z133="","",IF($Z133=6,"ESCALATED TO ROXANNE",IF(TODAY()&gt;$AB133,"OVERDUE",IF($AB133&lt;=WORKDAY(TODAY(),1,Holidays),"DUE TOMORROW",IF($Z133=4,"ESCALATED TO LOCAL OFFICE",IF($Z133=5,"ESCALATED TO CBE",IF($AA133=TODAY(),"EMAIL SENT","MONITORING"))))))))))</f>
        <v/>
      </c>
      <c r="V133" s="17">
        <f>IF($U133="",IF(AND(COUNTA($A133:$L133)&gt;0,$N133=""),"Awaiting Collection Email time stamp.",""),IF(OR($U133="PAID",$U133="CLOSED"),IF($U133="PAID","Account paid. Action completed.","Account closed. No further action required."),CHOOSE($Z133,"Collection Email","1st Email Follow-up","2nd Email Follow-up","Escalation to Local Office","Escalation to CBE","Escalation to Roxanne")&amp;" sent "&amp;TEXT($AA133,"dd-mmm")&amp;". "&amp;IF($Z133=6,"Final escalation completed.",IF($U133="OVERDUE","Next: "&amp;$AC133&amp;" was due "&amp;TEXT($AB133,"dd-mmm")&amp;" - "&amp;(NETWORKDAYS($AB133,TODAY(),Holidays)-1)&amp;" business day(s) late. Send now.",IF($U133="DUE TOMORROW","Next: "&amp;$AC133&amp;IF($AB133&lt;=TODAY()," is due TODAY ("," is due next business day (")&amp;TEXT($AB133,"dd-mmm")&amp;").","Next: "&amp;$AC133&amp;" due "&amp;TEXT($AB133,"dd-mmm")&amp;" ("&amp;(NETWORKDAYS(TODAY(),$AB133,Holidays)-1)&amp;" business day(s) left).")))))</f>
        <v/>
      </c>
      <c r="W133" s="17">
        <f>IF($Z133="","",CHOOSE($Z133,"Collection Email","1st Follow-up","2nd Follow-up","Local Office","CBE","Roxanne")&amp;IF($Z133=6," - Final"," - Day "&amp;MAX(0,NETWORKDAYS($AA133,TODAY(),Holidays)-1)&amp;" of "&amp;CHOOSE($Z133,3,3,2,2,3))&amp;" | Total Day "&amp;MAX(0,NETWORKDAYS($N133,TODAY(),Holidays)-1))</f>
        <v/>
      </c>
      <c r="X133" s="18"/>
      <c r="Y133" s="18"/>
      <c r="Z133" s="17">
        <f>IF($N133="","",COUNT($N133:$S133))</f>
        <v/>
      </c>
      <c r="AA133" s="19">
        <f>IF($Z133="","",INT(INDEX($N133:$S133,$Z133)))</f>
        <v/>
      </c>
      <c r="AB133" s="19">
        <f>IF(OR($Z133="",$Z133=6),"",WORKDAY($AA133,CHOOSE($Z133,3,3,2,2,3),Holidays))</f>
        <v/>
      </c>
      <c r="AC133" s="17">
        <f>IF(OR($Z133="",$Z133=6),"",CHOOSE($Z133,"1st Email Follow-up","2nd Email Follow-up","Escalate Local Office","Escalate to CBE","Escalate to Roxanne"))</f>
        <v/>
      </c>
    </row>
    <row r="134" spans="13:29">
      <c r="M134" s="14"/>
      <c r="T134" s="16"/>
      <c r="U134" s="17">
        <f>IF(AND(COUNTA($A134:$L134)=0,$N134=""),"",IF($T134="Paid","PAID",IF($T134="Closed","CLOSED",IF($Z134="","",IF($Z134=6,"ESCALATED TO ROXANNE",IF(TODAY()&gt;$AB134,"OVERDUE",IF($AB134&lt;=WORKDAY(TODAY(),1,Holidays),"DUE TOMORROW",IF($Z134=4,"ESCALATED TO LOCAL OFFICE",IF($Z134=5,"ESCALATED TO CBE",IF($AA134=TODAY(),"EMAIL SENT","MONITORING"))))))))))</f>
        <v/>
      </c>
      <c r="V134" s="17">
        <f>IF($U134="",IF(AND(COUNTA($A134:$L134)&gt;0,$N134=""),"Awaiting Collection Email time stamp.",""),IF(OR($U134="PAID",$U134="CLOSED"),IF($U134="PAID","Account paid. Action completed.","Account closed. No further action required."),CHOOSE($Z134,"Collection Email","1st Email Follow-up","2nd Email Follow-up","Escalation to Local Office","Escalation to CBE","Escalation to Roxanne")&amp;" sent "&amp;TEXT($AA134,"dd-mmm")&amp;". "&amp;IF($Z134=6,"Final escalation completed.",IF($U134="OVERDUE","Next: "&amp;$AC134&amp;" was due "&amp;TEXT($AB134,"dd-mmm")&amp;" - "&amp;(NETWORKDAYS($AB134,TODAY(),Holidays)-1)&amp;" business day(s) late. Send now.",IF($U134="DUE TOMORROW","Next: "&amp;$AC134&amp;IF($AB134&lt;=TODAY()," is due TODAY ("," is due next business day (")&amp;TEXT($AB134,"dd-mmm")&amp;").","Next: "&amp;$AC134&amp;" due "&amp;TEXT($AB134,"dd-mmm")&amp;" ("&amp;(NETWORKDAYS(TODAY(),$AB134,Holidays)-1)&amp;" business day(s) left).")))))</f>
        <v/>
      </c>
      <c r="W134" s="17">
        <f>IF($Z134="","",CHOOSE($Z134,"Collection Email","1st Follow-up","2nd Follow-up","Local Office","CBE","Roxanne")&amp;IF($Z134=6," - Final"," - Day "&amp;MAX(0,NETWORKDAYS($AA134,TODAY(),Holidays)-1)&amp;" of "&amp;CHOOSE($Z134,3,3,2,2,3))&amp;" | Total Day "&amp;MAX(0,NETWORKDAYS($N134,TODAY(),Holidays)-1))</f>
        <v/>
      </c>
      <c r="X134" s="18"/>
      <c r="Y134" s="18"/>
      <c r="Z134" s="17">
        <f>IF($N134="","",COUNT($N134:$S134))</f>
        <v/>
      </c>
      <c r="AA134" s="19">
        <f>IF($Z134="","",INT(INDEX($N134:$S134,$Z134)))</f>
        <v/>
      </c>
      <c r="AB134" s="19">
        <f>IF(OR($Z134="",$Z134=6),"",WORKDAY($AA134,CHOOSE($Z134,3,3,2,2,3),Holidays))</f>
        <v/>
      </c>
      <c r="AC134" s="17">
        <f>IF(OR($Z134="",$Z134=6),"",CHOOSE($Z134,"1st Email Follow-up","2nd Email Follow-up","Escalate Local Office","Escalate to CBE","Escalate to Roxanne"))</f>
        <v/>
      </c>
    </row>
    <row r="135" spans="13:29">
      <c r="M135" s="14"/>
      <c r="T135" s="16"/>
      <c r="U135" s="17">
        <f>IF(AND(COUNTA($A135:$L135)=0,$N135=""),"",IF($T135="Paid","PAID",IF($T135="Closed","CLOSED",IF($Z135="","",IF($Z135=6,"ESCALATED TO ROXANNE",IF(TODAY()&gt;$AB135,"OVERDUE",IF($AB135&lt;=WORKDAY(TODAY(),1,Holidays),"DUE TOMORROW",IF($Z135=4,"ESCALATED TO LOCAL OFFICE",IF($Z135=5,"ESCALATED TO CBE",IF($AA135=TODAY(),"EMAIL SENT","MONITORING"))))))))))</f>
        <v/>
      </c>
      <c r="V135" s="17">
        <f>IF($U135="",IF(AND(COUNTA($A135:$L135)&gt;0,$N135=""),"Awaiting Collection Email time stamp.",""),IF(OR($U135="PAID",$U135="CLOSED"),IF($U135="PAID","Account paid. Action completed.","Account closed. No further action required."),CHOOSE($Z135,"Collection Email","1st Email Follow-up","2nd Email Follow-up","Escalation to Local Office","Escalation to CBE","Escalation to Roxanne")&amp;" sent "&amp;TEXT($AA135,"dd-mmm")&amp;". "&amp;IF($Z135=6,"Final escalation completed.",IF($U135="OVERDUE","Next: "&amp;$AC135&amp;" was due "&amp;TEXT($AB135,"dd-mmm")&amp;" - "&amp;(NETWORKDAYS($AB135,TODAY(),Holidays)-1)&amp;" business day(s) late. Send now.",IF($U135="DUE TOMORROW","Next: "&amp;$AC135&amp;IF($AB135&lt;=TODAY()," is due TODAY ("," is due next business day (")&amp;TEXT($AB135,"dd-mmm")&amp;").","Next: "&amp;$AC135&amp;" due "&amp;TEXT($AB135,"dd-mmm")&amp;" ("&amp;(NETWORKDAYS(TODAY(),$AB135,Holidays)-1)&amp;" business day(s) left).")))))</f>
        <v/>
      </c>
      <c r="W135" s="17">
        <f>IF($Z135="","",CHOOSE($Z135,"Collection Email","1st Follow-up","2nd Follow-up","Local Office","CBE","Roxanne")&amp;IF($Z135=6," - Final"," - Day "&amp;MAX(0,NETWORKDAYS($AA135,TODAY(),Holidays)-1)&amp;" of "&amp;CHOOSE($Z135,3,3,2,2,3))&amp;" | Total Day "&amp;MAX(0,NETWORKDAYS($N135,TODAY(),Holidays)-1))</f>
        <v/>
      </c>
      <c r="X135" s="18"/>
      <c r="Y135" s="18"/>
      <c r="Z135" s="17">
        <f>IF($N135="","",COUNT($N135:$S135))</f>
        <v/>
      </c>
      <c r="AA135" s="19">
        <f>IF($Z135="","",INT(INDEX($N135:$S135,$Z135)))</f>
        <v/>
      </c>
      <c r="AB135" s="19">
        <f>IF(OR($Z135="",$Z135=6),"",WORKDAY($AA135,CHOOSE($Z135,3,3,2,2,3),Holidays))</f>
        <v/>
      </c>
      <c r="AC135" s="17">
        <f>IF(OR($Z135="",$Z135=6),"",CHOOSE($Z135,"1st Email Follow-up","2nd Email Follow-up","Escalate Local Office","Escalate to CBE","Escalate to Roxanne"))</f>
        <v/>
      </c>
    </row>
    <row r="136" spans="13:29">
      <c r="M136" s="14"/>
      <c r="T136" s="16"/>
      <c r="U136" s="17">
        <f>IF(AND(COUNTA($A136:$L136)=0,$N136=""),"",IF($T136="Paid","PAID",IF($T136="Closed","CLOSED",IF($Z136="","",IF($Z136=6,"ESCALATED TO ROXANNE",IF(TODAY()&gt;$AB136,"OVERDUE",IF($AB136&lt;=WORKDAY(TODAY(),1,Holidays),"DUE TOMORROW",IF($Z136=4,"ESCALATED TO LOCAL OFFICE",IF($Z136=5,"ESCALATED TO CBE",IF($AA136=TODAY(),"EMAIL SENT","MONITORING"))))))))))</f>
        <v/>
      </c>
      <c r="V136" s="17">
        <f>IF($U136="",IF(AND(COUNTA($A136:$L136)&gt;0,$N136=""),"Awaiting Collection Email time stamp.",""),IF(OR($U136="PAID",$U136="CLOSED"),IF($U136="PAID","Account paid. Action completed.","Account closed. No further action required."),CHOOSE($Z136,"Collection Email","1st Email Follow-up","2nd Email Follow-up","Escalation to Local Office","Escalation to CBE","Escalation to Roxanne")&amp;" sent "&amp;TEXT($AA136,"dd-mmm")&amp;". "&amp;IF($Z136=6,"Final escalation completed.",IF($U136="OVERDUE","Next: "&amp;$AC136&amp;" was due "&amp;TEXT($AB136,"dd-mmm")&amp;" - "&amp;(NETWORKDAYS($AB136,TODAY(),Holidays)-1)&amp;" business day(s) late. Send now.",IF($U136="DUE TOMORROW","Next: "&amp;$AC136&amp;IF($AB136&lt;=TODAY()," is due TODAY ("," is due next business day (")&amp;TEXT($AB136,"dd-mmm")&amp;").","Next: "&amp;$AC136&amp;" due "&amp;TEXT($AB136,"dd-mmm")&amp;" ("&amp;(NETWORKDAYS(TODAY(),$AB136,Holidays)-1)&amp;" business day(s) left).")))))</f>
        <v/>
      </c>
      <c r="W136" s="17">
        <f>IF($Z136="","",CHOOSE($Z136,"Collection Email","1st Follow-up","2nd Follow-up","Local Office","CBE","Roxanne")&amp;IF($Z136=6," - Final"," - Day "&amp;MAX(0,NETWORKDAYS($AA136,TODAY(),Holidays)-1)&amp;" of "&amp;CHOOSE($Z136,3,3,2,2,3))&amp;" | Total Day "&amp;MAX(0,NETWORKDAYS($N136,TODAY(),Holidays)-1))</f>
        <v/>
      </c>
      <c r="X136" s="18"/>
      <c r="Y136" s="18"/>
      <c r="Z136" s="17">
        <f>IF($N136="","",COUNT($N136:$S136))</f>
        <v/>
      </c>
      <c r="AA136" s="19">
        <f>IF($Z136="","",INT(INDEX($N136:$S136,$Z136)))</f>
        <v/>
      </c>
      <c r="AB136" s="19">
        <f>IF(OR($Z136="",$Z136=6),"",WORKDAY($AA136,CHOOSE($Z136,3,3,2,2,3),Holidays))</f>
        <v/>
      </c>
      <c r="AC136" s="17">
        <f>IF(OR($Z136="",$Z136=6),"",CHOOSE($Z136,"1st Email Follow-up","2nd Email Follow-up","Escalate Local Office","Escalate to CBE","Escalate to Roxanne"))</f>
        <v/>
      </c>
    </row>
    <row r="137" spans="13:29">
      <c r="M137" s="14"/>
      <c r="T137" s="16"/>
      <c r="U137" s="17">
        <f>IF(AND(COUNTA($A137:$L137)=0,$N137=""),"",IF($T137="Paid","PAID",IF($T137="Closed","CLOSED",IF($Z137="","",IF($Z137=6,"ESCALATED TO ROXANNE",IF(TODAY()&gt;$AB137,"OVERDUE",IF($AB137&lt;=WORKDAY(TODAY(),1,Holidays),"DUE TOMORROW",IF($Z137=4,"ESCALATED TO LOCAL OFFICE",IF($Z137=5,"ESCALATED TO CBE",IF($AA137=TODAY(),"EMAIL SENT","MONITORING"))))))))))</f>
        <v/>
      </c>
      <c r="V137" s="17">
        <f>IF($U137="",IF(AND(COUNTA($A137:$L137)&gt;0,$N137=""),"Awaiting Collection Email time stamp.",""),IF(OR($U137="PAID",$U137="CLOSED"),IF($U137="PAID","Account paid. Action completed.","Account closed. No further action required."),CHOOSE($Z137,"Collection Email","1st Email Follow-up","2nd Email Follow-up","Escalation to Local Office","Escalation to CBE","Escalation to Roxanne")&amp;" sent "&amp;TEXT($AA137,"dd-mmm")&amp;". "&amp;IF($Z137=6,"Final escalation completed.",IF($U137="OVERDUE","Next: "&amp;$AC137&amp;" was due "&amp;TEXT($AB137,"dd-mmm")&amp;" - "&amp;(NETWORKDAYS($AB137,TODAY(),Holidays)-1)&amp;" business day(s) late. Send now.",IF($U137="DUE TOMORROW","Next: "&amp;$AC137&amp;IF($AB137&lt;=TODAY()," is due TODAY ("," is due next business day (")&amp;TEXT($AB137,"dd-mmm")&amp;").","Next: "&amp;$AC137&amp;" due "&amp;TEXT($AB137,"dd-mmm")&amp;" ("&amp;(NETWORKDAYS(TODAY(),$AB137,Holidays)-1)&amp;" business day(s) left).")))))</f>
        <v/>
      </c>
      <c r="W137" s="17">
        <f>IF($Z137="","",CHOOSE($Z137,"Collection Email","1st Follow-up","2nd Follow-up","Local Office","CBE","Roxanne")&amp;IF($Z137=6," - Final"," - Day "&amp;MAX(0,NETWORKDAYS($AA137,TODAY(),Holidays)-1)&amp;" of "&amp;CHOOSE($Z137,3,3,2,2,3))&amp;" | Total Day "&amp;MAX(0,NETWORKDAYS($N137,TODAY(),Holidays)-1))</f>
        <v/>
      </c>
      <c r="X137" s="18"/>
      <c r="Y137" s="18"/>
      <c r="Z137" s="17">
        <f>IF($N137="","",COUNT($N137:$S137))</f>
        <v/>
      </c>
      <c r="AA137" s="19">
        <f>IF($Z137="","",INT(INDEX($N137:$S137,$Z137)))</f>
        <v/>
      </c>
      <c r="AB137" s="19">
        <f>IF(OR($Z137="",$Z137=6),"",WORKDAY($AA137,CHOOSE($Z137,3,3,2,2,3),Holidays))</f>
        <v/>
      </c>
      <c r="AC137" s="17">
        <f>IF(OR($Z137="",$Z137=6),"",CHOOSE($Z137,"1st Email Follow-up","2nd Email Follow-up","Escalate Local Office","Escalate to CBE","Escalate to Roxanne"))</f>
        <v/>
      </c>
    </row>
    <row r="138" spans="13:29">
      <c r="M138" s="14"/>
      <c r="T138" s="16"/>
      <c r="U138" s="17">
        <f>IF(AND(COUNTA($A138:$L138)=0,$N138=""),"",IF($T138="Paid","PAID",IF($T138="Closed","CLOSED",IF($Z138="","",IF($Z138=6,"ESCALATED TO ROXANNE",IF(TODAY()&gt;$AB138,"OVERDUE",IF($AB138&lt;=WORKDAY(TODAY(),1,Holidays),"DUE TOMORROW",IF($Z138=4,"ESCALATED TO LOCAL OFFICE",IF($Z138=5,"ESCALATED TO CBE",IF($AA138=TODAY(),"EMAIL SENT","MONITORING"))))))))))</f>
        <v/>
      </c>
      <c r="V138" s="17">
        <f>IF($U138="",IF(AND(COUNTA($A138:$L138)&gt;0,$N138=""),"Awaiting Collection Email time stamp.",""),IF(OR($U138="PAID",$U138="CLOSED"),IF($U138="PAID","Account paid. Action completed.","Account closed. No further action required."),CHOOSE($Z138,"Collection Email","1st Email Follow-up","2nd Email Follow-up","Escalation to Local Office","Escalation to CBE","Escalation to Roxanne")&amp;" sent "&amp;TEXT($AA138,"dd-mmm")&amp;". "&amp;IF($Z138=6,"Final escalation completed.",IF($U138="OVERDUE","Next: "&amp;$AC138&amp;" was due "&amp;TEXT($AB138,"dd-mmm")&amp;" - "&amp;(NETWORKDAYS($AB138,TODAY(),Holidays)-1)&amp;" business day(s) late. Send now.",IF($U138="DUE TOMORROW","Next: "&amp;$AC138&amp;IF($AB138&lt;=TODAY()," is due TODAY ("," is due next business day (")&amp;TEXT($AB138,"dd-mmm")&amp;").","Next: "&amp;$AC138&amp;" due "&amp;TEXT($AB138,"dd-mmm")&amp;" ("&amp;(NETWORKDAYS(TODAY(),$AB138,Holidays)-1)&amp;" business day(s) left).")))))</f>
        <v/>
      </c>
      <c r="W138" s="17">
        <f>IF($Z138="","",CHOOSE($Z138,"Collection Email","1st Follow-up","2nd Follow-up","Local Office","CBE","Roxanne")&amp;IF($Z138=6," - Final"," - Day "&amp;MAX(0,NETWORKDAYS($AA138,TODAY(),Holidays)-1)&amp;" of "&amp;CHOOSE($Z138,3,3,2,2,3))&amp;" | Total Day "&amp;MAX(0,NETWORKDAYS($N138,TODAY(),Holidays)-1))</f>
        <v/>
      </c>
      <c r="X138" s="18"/>
      <c r="Y138" s="18"/>
      <c r="Z138" s="17">
        <f>IF($N138="","",COUNT($N138:$S138))</f>
        <v/>
      </c>
      <c r="AA138" s="19">
        <f>IF($Z138="","",INT(INDEX($N138:$S138,$Z138)))</f>
        <v/>
      </c>
      <c r="AB138" s="19">
        <f>IF(OR($Z138="",$Z138=6),"",WORKDAY($AA138,CHOOSE($Z138,3,3,2,2,3),Holidays))</f>
        <v/>
      </c>
      <c r="AC138" s="17">
        <f>IF(OR($Z138="",$Z138=6),"",CHOOSE($Z138,"1st Email Follow-up","2nd Email Follow-up","Escalate Local Office","Escalate to CBE","Escalate to Roxanne"))</f>
        <v/>
      </c>
    </row>
    <row r="139" spans="13:29">
      <c r="M139" s="14"/>
      <c r="T139" s="16"/>
      <c r="U139" s="17">
        <f>IF(AND(COUNTA($A139:$L139)=0,$N139=""),"",IF($T139="Paid","PAID",IF($T139="Closed","CLOSED",IF($Z139="","",IF($Z139=6,"ESCALATED TO ROXANNE",IF(TODAY()&gt;$AB139,"OVERDUE",IF($AB139&lt;=WORKDAY(TODAY(),1,Holidays),"DUE TOMORROW",IF($Z139=4,"ESCALATED TO LOCAL OFFICE",IF($Z139=5,"ESCALATED TO CBE",IF($AA139=TODAY(),"EMAIL SENT","MONITORING"))))))))))</f>
        <v/>
      </c>
      <c r="V139" s="17">
        <f>IF($U139="",IF(AND(COUNTA($A139:$L139)&gt;0,$N139=""),"Awaiting Collection Email time stamp.",""),IF(OR($U139="PAID",$U139="CLOSED"),IF($U139="PAID","Account paid. Action completed.","Account closed. No further action required."),CHOOSE($Z139,"Collection Email","1st Email Follow-up","2nd Email Follow-up","Escalation to Local Office","Escalation to CBE","Escalation to Roxanne")&amp;" sent "&amp;TEXT($AA139,"dd-mmm")&amp;". "&amp;IF($Z139=6,"Final escalation completed.",IF($U139="OVERDUE","Next: "&amp;$AC139&amp;" was due "&amp;TEXT($AB139,"dd-mmm")&amp;" - "&amp;(NETWORKDAYS($AB139,TODAY(),Holidays)-1)&amp;" business day(s) late. Send now.",IF($U139="DUE TOMORROW","Next: "&amp;$AC139&amp;IF($AB139&lt;=TODAY()," is due TODAY ("," is due next business day (")&amp;TEXT($AB139,"dd-mmm")&amp;").","Next: "&amp;$AC139&amp;" due "&amp;TEXT($AB139,"dd-mmm")&amp;" ("&amp;(NETWORKDAYS(TODAY(),$AB139,Holidays)-1)&amp;" business day(s) left).")))))</f>
        <v/>
      </c>
      <c r="W139" s="17">
        <f>IF($Z139="","",CHOOSE($Z139,"Collection Email","1st Follow-up","2nd Follow-up","Local Office","CBE","Roxanne")&amp;IF($Z139=6," - Final"," - Day "&amp;MAX(0,NETWORKDAYS($AA139,TODAY(),Holidays)-1)&amp;" of "&amp;CHOOSE($Z139,3,3,2,2,3))&amp;" | Total Day "&amp;MAX(0,NETWORKDAYS($N139,TODAY(),Holidays)-1))</f>
        <v/>
      </c>
      <c r="X139" s="18"/>
      <c r="Y139" s="18"/>
      <c r="Z139" s="17">
        <f>IF($N139="","",COUNT($N139:$S139))</f>
        <v/>
      </c>
      <c r="AA139" s="19">
        <f>IF($Z139="","",INT(INDEX($N139:$S139,$Z139)))</f>
        <v/>
      </c>
      <c r="AB139" s="19">
        <f>IF(OR($Z139="",$Z139=6),"",WORKDAY($AA139,CHOOSE($Z139,3,3,2,2,3),Holidays))</f>
        <v/>
      </c>
      <c r="AC139" s="17">
        <f>IF(OR($Z139="",$Z139=6),"",CHOOSE($Z139,"1st Email Follow-up","2nd Email Follow-up","Escalate Local Office","Escalate to CBE","Escalate to Roxanne"))</f>
        <v/>
      </c>
    </row>
    <row r="140" spans="13:29">
      <c r="M140" s="14"/>
      <c r="T140" s="16"/>
      <c r="U140" s="17">
        <f>IF(AND(COUNTA($A140:$L140)=0,$N140=""),"",IF($T140="Paid","PAID",IF($T140="Closed","CLOSED",IF($Z140="","",IF($Z140=6,"ESCALATED TO ROXANNE",IF(TODAY()&gt;$AB140,"OVERDUE",IF($AB140&lt;=WORKDAY(TODAY(),1,Holidays),"DUE TOMORROW",IF($Z140=4,"ESCALATED TO LOCAL OFFICE",IF($Z140=5,"ESCALATED TO CBE",IF($AA140=TODAY(),"EMAIL SENT","MONITORING"))))))))))</f>
        <v/>
      </c>
      <c r="V140" s="17">
        <f>IF($U140="",IF(AND(COUNTA($A140:$L140)&gt;0,$N140=""),"Awaiting Collection Email time stamp.",""),IF(OR($U140="PAID",$U140="CLOSED"),IF($U140="PAID","Account paid. Action completed.","Account closed. No further action required."),CHOOSE($Z140,"Collection Email","1st Email Follow-up","2nd Email Follow-up","Escalation to Local Office","Escalation to CBE","Escalation to Roxanne")&amp;" sent "&amp;TEXT($AA140,"dd-mmm")&amp;". "&amp;IF($Z140=6,"Final escalation completed.",IF($U140="OVERDUE","Next: "&amp;$AC140&amp;" was due "&amp;TEXT($AB140,"dd-mmm")&amp;" - "&amp;(NETWORKDAYS($AB140,TODAY(),Holidays)-1)&amp;" business day(s) late. Send now.",IF($U140="DUE TOMORROW","Next: "&amp;$AC140&amp;IF($AB140&lt;=TODAY()," is due TODAY ("," is due next business day (")&amp;TEXT($AB140,"dd-mmm")&amp;").","Next: "&amp;$AC140&amp;" due "&amp;TEXT($AB140,"dd-mmm")&amp;" ("&amp;(NETWORKDAYS(TODAY(),$AB140,Holidays)-1)&amp;" business day(s) left).")))))</f>
        <v/>
      </c>
      <c r="W140" s="17">
        <f>IF($Z140="","",CHOOSE($Z140,"Collection Email","1st Follow-up","2nd Follow-up","Local Office","CBE","Roxanne")&amp;IF($Z140=6," - Final"," - Day "&amp;MAX(0,NETWORKDAYS($AA140,TODAY(),Holidays)-1)&amp;" of "&amp;CHOOSE($Z140,3,3,2,2,3))&amp;" | Total Day "&amp;MAX(0,NETWORKDAYS($N140,TODAY(),Holidays)-1))</f>
        <v/>
      </c>
      <c r="X140" s="18"/>
      <c r="Y140" s="18"/>
      <c r="Z140" s="17">
        <f>IF($N140="","",COUNT($N140:$S140))</f>
        <v/>
      </c>
      <c r="AA140" s="19">
        <f>IF($Z140="","",INT(INDEX($N140:$S140,$Z140)))</f>
        <v/>
      </c>
      <c r="AB140" s="19">
        <f>IF(OR($Z140="",$Z140=6),"",WORKDAY($AA140,CHOOSE($Z140,3,3,2,2,3),Holidays))</f>
        <v/>
      </c>
      <c r="AC140" s="17">
        <f>IF(OR($Z140="",$Z140=6),"",CHOOSE($Z140,"1st Email Follow-up","2nd Email Follow-up","Escalate Local Office","Escalate to CBE","Escalate to Roxanne"))</f>
        <v/>
      </c>
    </row>
    <row r="141" spans="13:29">
      <c r="M141" s="14"/>
      <c r="T141" s="16"/>
      <c r="U141" s="17">
        <f>IF(AND(COUNTA($A141:$L141)=0,$N141=""),"",IF($T141="Paid","PAID",IF($T141="Closed","CLOSED",IF($Z141="","",IF($Z141=6,"ESCALATED TO ROXANNE",IF(TODAY()&gt;$AB141,"OVERDUE",IF($AB141&lt;=WORKDAY(TODAY(),1,Holidays),"DUE TOMORROW",IF($Z141=4,"ESCALATED TO LOCAL OFFICE",IF($Z141=5,"ESCALATED TO CBE",IF($AA141=TODAY(),"EMAIL SENT","MONITORING"))))))))))</f>
        <v/>
      </c>
      <c r="V141" s="17">
        <f>IF($U141="",IF(AND(COUNTA($A141:$L141)&gt;0,$N141=""),"Awaiting Collection Email time stamp.",""),IF(OR($U141="PAID",$U141="CLOSED"),IF($U141="PAID","Account paid. Action completed.","Account closed. No further action required."),CHOOSE($Z141,"Collection Email","1st Email Follow-up","2nd Email Follow-up","Escalation to Local Office","Escalation to CBE","Escalation to Roxanne")&amp;" sent "&amp;TEXT($AA141,"dd-mmm")&amp;". "&amp;IF($Z141=6,"Final escalation completed.",IF($U141="OVERDUE","Next: "&amp;$AC141&amp;" was due "&amp;TEXT($AB141,"dd-mmm")&amp;" - "&amp;(NETWORKDAYS($AB141,TODAY(),Holidays)-1)&amp;" business day(s) late. Send now.",IF($U141="DUE TOMORROW","Next: "&amp;$AC141&amp;IF($AB141&lt;=TODAY()," is due TODAY ("," is due next business day (")&amp;TEXT($AB141,"dd-mmm")&amp;").","Next: "&amp;$AC141&amp;" due "&amp;TEXT($AB141,"dd-mmm")&amp;" ("&amp;(NETWORKDAYS(TODAY(),$AB141,Holidays)-1)&amp;" business day(s) left).")))))</f>
        <v/>
      </c>
      <c r="W141" s="17">
        <f>IF($Z141="","",CHOOSE($Z141,"Collection Email","1st Follow-up","2nd Follow-up","Local Office","CBE","Roxanne")&amp;IF($Z141=6," - Final"," - Day "&amp;MAX(0,NETWORKDAYS($AA141,TODAY(),Holidays)-1)&amp;" of "&amp;CHOOSE($Z141,3,3,2,2,3))&amp;" | Total Day "&amp;MAX(0,NETWORKDAYS($N141,TODAY(),Holidays)-1))</f>
        <v/>
      </c>
      <c r="X141" s="18"/>
      <c r="Y141" s="18"/>
      <c r="Z141" s="17">
        <f>IF($N141="","",COUNT($N141:$S141))</f>
        <v/>
      </c>
      <c r="AA141" s="19">
        <f>IF($Z141="","",INT(INDEX($N141:$S141,$Z141)))</f>
        <v/>
      </c>
      <c r="AB141" s="19">
        <f>IF(OR($Z141="",$Z141=6),"",WORKDAY($AA141,CHOOSE($Z141,3,3,2,2,3),Holidays))</f>
        <v/>
      </c>
      <c r="AC141" s="17">
        <f>IF(OR($Z141="",$Z141=6),"",CHOOSE($Z141,"1st Email Follow-up","2nd Email Follow-up","Escalate Local Office","Escalate to CBE","Escalate to Roxanne"))</f>
        <v/>
      </c>
    </row>
    <row r="142" spans="13:29">
      <c r="M142" s="14"/>
      <c r="T142" s="16"/>
      <c r="U142" s="17">
        <f>IF(AND(COUNTA($A142:$L142)=0,$N142=""),"",IF($T142="Paid","PAID",IF($T142="Closed","CLOSED",IF($Z142="","",IF($Z142=6,"ESCALATED TO ROXANNE",IF(TODAY()&gt;$AB142,"OVERDUE",IF($AB142&lt;=WORKDAY(TODAY(),1,Holidays),"DUE TOMORROW",IF($Z142=4,"ESCALATED TO LOCAL OFFICE",IF($Z142=5,"ESCALATED TO CBE",IF($AA142=TODAY(),"EMAIL SENT","MONITORING"))))))))))</f>
        <v/>
      </c>
      <c r="V142" s="17">
        <f>IF($U142="",IF(AND(COUNTA($A142:$L142)&gt;0,$N142=""),"Awaiting Collection Email time stamp.",""),IF(OR($U142="PAID",$U142="CLOSED"),IF($U142="PAID","Account paid. Action completed.","Account closed. No further action required."),CHOOSE($Z142,"Collection Email","1st Email Follow-up","2nd Email Follow-up","Escalation to Local Office","Escalation to CBE","Escalation to Roxanne")&amp;" sent "&amp;TEXT($AA142,"dd-mmm")&amp;". "&amp;IF($Z142=6,"Final escalation completed.",IF($U142="OVERDUE","Next: "&amp;$AC142&amp;" was due "&amp;TEXT($AB142,"dd-mmm")&amp;" - "&amp;(NETWORKDAYS($AB142,TODAY(),Holidays)-1)&amp;" business day(s) late. Send now.",IF($U142="DUE TOMORROW","Next: "&amp;$AC142&amp;IF($AB142&lt;=TODAY()," is due TODAY ("," is due next business day (")&amp;TEXT($AB142,"dd-mmm")&amp;").","Next: "&amp;$AC142&amp;" due "&amp;TEXT($AB142,"dd-mmm")&amp;" ("&amp;(NETWORKDAYS(TODAY(),$AB142,Holidays)-1)&amp;" business day(s) left).")))))</f>
        <v/>
      </c>
      <c r="W142" s="17">
        <f>IF($Z142="","",CHOOSE($Z142,"Collection Email","1st Follow-up","2nd Follow-up","Local Office","CBE","Roxanne")&amp;IF($Z142=6," - Final"," - Day "&amp;MAX(0,NETWORKDAYS($AA142,TODAY(),Holidays)-1)&amp;" of "&amp;CHOOSE($Z142,3,3,2,2,3))&amp;" | Total Day "&amp;MAX(0,NETWORKDAYS($N142,TODAY(),Holidays)-1))</f>
        <v/>
      </c>
      <c r="X142" s="18"/>
      <c r="Y142" s="18"/>
      <c r="Z142" s="17">
        <f>IF($N142="","",COUNT($N142:$S142))</f>
        <v/>
      </c>
      <c r="AA142" s="19">
        <f>IF($Z142="","",INT(INDEX($N142:$S142,$Z142)))</f>
        <v/>
      </c>
      <c r="AB142" s="19">
        <f>IF(OR($Z142="",$Z142=6),"",WORKDAY($AA142,CHOOSE($Z142,3,3,2,2,3),Holidays))</f>
        <v/>
      </c>
      <c r="AC142" s="17">
        <f>IF(OR($Z142="",$Z142=6),"",CHOOSE($Z142,"1st Email Follow-up","2nd Email Follow-up","Escalate Local Office","Escalate to CBE","Escalate to Roxanne"))</f>
        <v/>
      </c>
    </row>
    <row r="143" spans="13:29">
      <c r="M143" s="14"/>
      <c r="T143" s="16"/>
      <c r="U143" s="17">
        <f>IF(AND(COUNTA($A143:$L143)=0,$N143=""),"",IF($T143="Paid","PAID",IF($T143="Closed","CLOSED",IF($Z143="","",IF($Z143=6,"ESCALATED TO ROXANNE",IF(TODAY()&gt;$AB143,"OVERDUE",IF($AB143&lt;=WORKDAY(TODAY(),1,Holidays),"DUE TOMORROW",IF($Z143=4,"ESCALATED TO LOCAL OFFICE",IF($Z143=5,"ESCALATED TO CBE",IF($AA143=TODAY(),"EMAIL SENT","MONITORING"))))))))))</f>
        <v/>
      </c>
      <c r="V143" s="17">
        <f>IF($U143="",IF(AND(COUNTA($A143:$L143)&gt;0,$N143=""),"Awaiting Collection Email time stamp.",""),IF(OR($U143="PAID",$U143="CLOSED"),IF($U143="PAID","Account paid. Action completed.","Account closed. No further action required."),CHOOSE($Z143,"Collection Email","1st Email Follow-up","2nd Email Follow-up","Escalation to Local Office","Escalation to CBE","Escalation to Roxanne")&amp;" sent "&amp;TEXT($AA143,"dd-mmm")&amp;". "&amp;IF($Z143=6,"Final escalation completed.",IF($U143="OVERDUE","Next: "&amp;$AC143&amp;" was due "&amp;TEXT($AB143,"dd-mmm")&amp;" - "&amp;(NETWORKDAYS($AB143,TODAY(),Holidays)-1)&amp;" business day(s) late. Send now.",IF($U143="DUE TOMORROW","Next: "&amp;$AC143&amp;IF($AB143&lt;=TODAY()," is due TODAY ("," is due next business day (")&amp;TEXT($AB143,"dd-mmm")&amp;").","Next: "&amp;$AC143&amp;" due "&amp;TEXT($AB143,"dd-mmm")&amp;" ("&amp;(NETWORKDAYS(TODAY(),$AB143,Holidays)-1)&amp;" business day(s) left).")))))</f>
        <v/>
      </c>
      <c r="W143" s="17">
        <f>IF($Z143="","",CHOOSE($Z143,"Collection Email","1st Follow-up","2nd Follow-up","Local Office","CBE","Roxanne")&amp;IF($Z143=6," - Final"," - Day "&amp;MAX(0,NETWORKDAYS($AA143,TODAY(),Holidays)-1)&amp;" of "&amp;CHOOSE($Z143,3,3,2,2,3))&amp;" | Total Day "&amp;MAX(0,NETWORKDAYS($N143,TODAY(),Holidays)-1))</f>
        <v/>
      </c>
      <c r="X143" s="18"/>
      <c r="Y143" s="18"/>
      <c r="Z143" s="17">
        <f>IF($N143="","",COUNT($N143:$S143))</f>
        <v/>
      </c>
      <c r="AA143" s="19">
        <f>IF($Z143="","",INT(INDEX($N143:$S143,$Z143)))</f>
        <v/>
      </c>
      <c r="AB143" s="19">
        <f>IF(OR($Z143="",$Z143=6),"",WORKDAY($AA143,CHOOSE($Z143,3,3,2,2,3),Holidays))</f>
        <v/>
      </c>
      <c r="AC143" s="17">
        <f>IF(OR($Z143="",$Z143=6),"",CHOOSE($Z143,"1st Email Follow-up","2nd Email Follow-up","Escalate Local Office","Escalate to CBE","Escalate to Roxanne"))</f>
        <v/>
      </c>
    </row>
    <row r="144" spans="13:29">
      <c r="M144" s="14"/>
      <c r="T144" s="16"/>
      <c r="U144" s="17">
        <f>IF(AND(COUNTA($A144:$L144)=0,$N144=""),"",IF($T144="Paid","PAID",IF($T144="Closed","CLOSED",IF($Z144="","",IF($Z144=6,"ESCALATED TO ROXANNE",IF(TODAY()&gt;$AB144,"OVERDUE",IF($AB144&lt;=WORKDAY(TODAY(),1,Holidays),"DUE TOMORROW",IF($Z144=4,"ESCALATED TO LOCAL OFFICE",IF($Z144=5,"ESCALATED TO CBE",IF($AA144=TODAY(),"EMAIL SENT","MONITORING"))))))))))</f>
        <v/>
      </c>
      <c r="V144" s="17">
        <f>IF($U144="",IF(AND(COUNTA($A144:$L144)&gt;0,$N144=""),"Awaiting Collection Email time stamp.",""),IF(OR($U144="PAID",$U144="CLOSED"),IF($U144="PAID","Account paid. Action completed.","Account closed. No further action required."),CHOOSE($Z144,"Collection Email","1st Email Follow-up","2nd Email Follow-up","Escalation to Local Office","Escalation to CBE","Escalation to Roxanne")&amp;" sent "&amp;TEXT($AA144,"dd-mmm")&amp;". "&amp;IF($Z144=6,"Final escalation completed.",IF($U144="OVERDUE","Next: "&amp;$AC144&amp;" was due "&amp;TEXT($AB144,"dd-mmm")&amp;" - "&amp;(NETWORKDAYS($AB144,TODAY(),Holidays)-1)&amp;" business day(s) late. Send now.",IF($U144="DUE TOMORROW","Next: "&amp;$AC144&amp;IF($AB144&lt;=TODAY()," is due TODAY ("," is due next business day (")&amp;TEXT($AB144,"dd-mmm")&amp;").","Next: "&amp;$AC144&amp;" due "&amp;TEXT($AB144,"dd-mmm")&amp;" ("&amp;(NETWORKDAYS(TODAY(),$AB144,Holidays)-1)&amp;" business day(s) left).")))))</f>
        <v/>
      </c>
      <c r="W144" s="17">
        <f>IF($Z144="","",CHOOSE($Z144,"Collection Email","1st Follow-up","2nd Follow-up","Local Office","CBE","Roxanne")&amp;IF($Z144=6," - Final"," - Day "&amp;MAX(0,NETWORKDAYS($AA144,TODAY(),Holidays)-1)&amp;" of "&amp;CHOOSE($Z144,3,3,2,2,3))&amp;" | Total Day "&amp;MAX(0,NETWORKDAYS($N144,TODAY(),Holidays)-1))</f>
        <v/>
      </c>
      <c r="X144" s="18"/>
      <c r="Y144" s="18"/>
      <c r="Z144" s="17">
        <f>IF($N144="","",COUNT($N144:$S144))</f>
        <v/>
      </c>
      <c r="AA144" s="19">
        <f>IF($Z144="","",INT(INDEX($N144:$S144,$Z144)))</f>
        <v/>
      </c>
      <c r="AB144" s="19">
        <f>IF(OR($Z144="",$Z144=6),"",WORKDAY($AA144,CHOOSE($Z144,3,3,2,2,3),Holidays))</f>
        <v/>
      </c>
      <c r="AC144" s="17">
        <f>IF(OR($Z144="",$Z144=6),"",CHOOSE($Z144,"1st Email Follow-up","2nd Email Follow-up","Escalate Local Office","Escalate to CBE","Escalate to Roxanne"))</f>
        <v/>
      </c>
    </row>
    <row r="145" spans="13:29">
      <c r="M145" s="14"/>
      <c r="T145" s="16"/>
      <c r="U145" s="17">
        <f>IF(AND(COUNTA($A145:$L145)=0,$N145=""),"",IF($T145="Paid","PAID",IF($T145="Closed","CLOSED",IF($Z145="","",IF($Z145=6,"ESCALATED TO ROXANNE",IF(TODAY()&gt;$AB145,"OVERDUE",IF($AB145&lt;=WORKDAY(TODAY(),1,Holidays),"DUE TOMORROW",IF($Z145=4,"ESCALATED TO LOCAL OFFICE",IF($Z145=5,"ESCALATED TO CBE",IF($AA145=TODAY(),"EMAIL SENT","MONITORING"))))))))))</f>
        <v/>
      </c>
      <c r="V145" s="17">
        <f>IF($U145="",IF(AND(COUNTA($A145:$L145)&gt;0,$N145=""),"Awaiting Collection Email time stamp.",""),IF(OR($U145="PAID",$U145="CLOSED"),IF($U145="PAID","Account paid. Action completed.","Account closed. No further action required."),CHOOSE($Z145,"Collection Email","1st Email Follow-up","2nd Email Follow-up","Escalation to Local Office","Escalation to CBE","Escalation to Roxanne")&amp;" sent "&amp;TEXT($AA145,"dd-mmm")&amp;". "&amp;IF($Z145=6,"Final escalation completed.",IF($U145="OVERDUE","Next: "&amp;$AC145&amp;" was due "&amp;TEXT($AB145,"dd-mmm")&amp;" - "&amp;(NETWORKDAYS($AB145,TODAY(),Holidays)-1)&amp;" business day(s) late. Send now.",IF($U145="DUE TOMORROW","Next: "&amp;$AC145&amp;IF($AB145&lt;=TODAY()," is due TODAY ("," is due next business day (")&amp;TEXT($AB145,"dd-mmm")&amp;").","Next: "&amp;$AC145&amp;" due "&amp;TEXT($AB145,"dd-mmm")&amp;" ("&amp;(NETWORKDAYS(TODAY(),$AB145,Holidays)-1)&amp;" business day(s) left).")))))</f>
        <v/>
      </c>
      <c r="W145" s="17">
        <f>IF($Z145="","",CHOOSE($Z145,"Collection Email","1st Follow-up","2nd Follow-up","Local Office","CBE","Roxanne")&amp;IF($Z145=6," - Final"," - Day "&amp;MAX(0,NETWORKDAYS($AA145,TODAY(),Holidays)-1)&amp;" of "&amp;CHOOSE($Z145,3,3,2,2,3))&amp;" | Total Day "&amp;MAX(0,NETWORKDAYS($N145,TODAY(),Holidays)-1))</f>
        <v/>
      </c>
      <c r="X145" s="18"/>
      <c r="Y145" s="18"/>
      <c r="Z145" s="17">
        <f>IF($N145="","",COUNT($N145:$S145))</f>
        <v/>
      </c>
      <c r="AA145" s="19">
        <f>IF($Z145="","",INT(INDEX($N145:$S145,$Z145)))</f>
        <v/>
      </c>
      <c r="AB145" s="19">
        <f>IF(OR($Z145="",$Z145=6),"",WORKDAY($AA145,CHOOSE($Z145,3,3,2,2,3),Holidays))</f>
        <v/>
      </c>
      <c r="AC145" s="17">
        <f>IF(OR($Z145="",$Z145=6),"",CHOOSE($Z145,"1st Email Follow-up","2nd Email Follow-up","Escalate Local Office","Escalate to CBE","Escalate to Roxanne"))</f>
        <v/>
      </c>
    </row>
    <row r="146" spans="13:29">
      <c r="M146" s="14"/>
      <c r="T146" s="16"/>
      <c r="U146" s="17">
        <f>IF(AND(COUNTA($A146:$L146)=0,$N146=""),"",IF($T146="Paid","PAID",IF($T146="Closed","CLOSED",IF($Z146="","",IF($Z146=6,"ESCALATED TO ROXANNE",IF(TODAY()&gt;$AB146,"OVERDUE",IF($AB146&lt;=WORKDAY(TODAY(),1,Holidays),"DUE TOMORROW",IF($Z146=4,"ESCALATED TO LOCAL OFFICE",IF($Z146=5,"ESCALATED TO CBE",IF($AA146=TODAY(),"EMAIL SENT","MONITORING"))))))))))</f>
        <v/>
      </c>
      <c r="V146" s="17">
        <f>IF($U146="",IF(AND(COUNTA($A146:$L146)&gt;0,$N146=""),"Awaiting Collection Email time stamp.",""),IF(OR($U146="PAID",$U146="CLOSED"),IF($U146="PAID","Account paid. Action completed.","Account closed. No further action required."),CHOOSE($Z146,"Collection Email","1st Email Follow-up","2nd Email Follow-up","Escalation to Local Office","Escalation to CBE","Escalation to Roxanne")&amp;" sent "&amp;TEXT($AA146,"dd-mmm")&amp;". "&amp;IF($Z146=6,"Final escalation completed.",IF($U146="OVERDUE","Next: "&amp;$AC146&amp;" was due "&amp;TEXT($AB146,"dd-mmm")&amp;" - "&amp;(NETWORKDAYS($AB146,TODAY(),Holidays)-1)&amp;" business day(s) late. Send now.",IF($U146="DUE TOMORROW","Next: "&amp;$AC146&amp;IF($AB146&lt;=TODAY()," is due TODAY ("," is due next business day (")&amp;TEXT($AB146,"dd-mmm")&amp;").","Next: "&amp;$AC146&amp;" due "&amp;TEXT($AB146,"dd-mmm")&amp;" ("&amp;(NETWORKDAYS(TODAY(),$AB146,Holidays)-1)&amp;" business day(s) left).")))))</f>
        <v/>
      </c>
      <c r="W146" s="17">
        <f>IF($Z146="","",CHOOSE($Z146,"Collection Email","1st Follow-up","2nd Follow-up","Local Office","CBE","Roxanne")&amp;IF($Z146=6," - Final"," - Day "&amp;MAX(0,NETWORKDAYS($AA146,TODAY(),Holidays)-1)&amp;" of "&amp;CHOOSE($Z146,3,3,2,2,3))&amp;" | Total Day "&amp;MAX(0,NETWORKDAYS($N146,TODAY(),Holidays)-1))</f>
        <v/>
      </c>
      <c r="X146" s="18"/>
      <c r="Y146" s="18"/>
      <c r="Z146" s="17">
        <f>IF($N146="","",COUNT($N146:$S146))</f>
        <v/>
      </c>
      <c r="AA146" s="19">
        <f>IF($Z146="","",INT(INDEX($N146:$S146,$Z146)))</f>
        <v/>
      </c>
      <c r="AB146" s="19">
        <f>IF(OR($Z146="",$Z146=6),"",WORKDAY($AA146,CHOOSE($Z146,3,3,2,2,3),Holidays))</f>
        <v/>
      </c>
      <c r="AC146" s="17">
        <f>IF(OR($Z146="",$Z146=6),"",CHOOSE($Z146,"1st Email Follow-up","2nd Email Follow-up","Escalate Local Office","Escalate to CBE","Escalate to Roxanne"))</f>
        <v/>
      </c>
    </row>
    <row r="147" spans="13:29">
      <c r="M147" s="14"/>
      <c r="T147" s="16"/>
      <c r="U147" s="17">
        <f>IF(AND(COUNTA($A147:$L147)=0,$N147=""),"",IF($T147="Paid","PAID",IF($T147="Closed","CLOSED",IF($Z147="","",IF($Z147=6,"ESCALATED TO ROXANNE",IF(TODAY()&gt;$AB147,"OVERDUE",IF($AB147&lt;=WORKDAY(TODAY(),1,Holidays),"DUE TOMORROW",IF($Z147=4,"ESCALATED TO LOCAL OFFICE",IF($Z147=5,"ESCALATED TO CBE",IF($AA147=TODAY(),"EMAIL SENT","MONITORING"))))))))))</f>
        <v/>
      </c>
      <c r="V147" s="17">
        <f>IF($U147="",IF(AND(COUNTA($A147:$L147)&gt;0,$N147=""),"Awaiting Collection Email time stamp.",""),IF(OR($U147="PAID",$U147="CLOSED"),IF($U147="PAID","Account paid. Action completed.","Account closed. No further action required."),CHOOSE($Z147,"Collection Email","1st Email Follow-up","2nd Email Follow-up","Escalation to Local Office","Escalation to CBE","Escalation to Roxanne")&amp;" sent "&amp;TEXT($AA147,"dd-mmm")&amp;". "&amp;IF($Z147=6,"Final escalation completed.",IF($U147="OVERDUE","Next: "&amp;$AC147&amp;" was due "&amp;TEXT($AB147,"dd-mmm")&amp;" - "&amp;(NETWORKDAYS($AB147,TODAY(),Holidays)-1)&amp;" business day(s) late. Send now.",IF($U147="DUE TOMORROW","Next: "&amp;$AC147&amp;IF($AB147&lt;=TODAY()," is due TODAY ("," is due next business day (")&amp;TEXT($AB147,"dd-mmm")&amp;").","Next: "&amp;$AC147&amp;" due "&amp;TEXT($AB147,"dd-mmm")&amp;" ("&amp;(NETWORKDAYS(TODAY(),$AB147,Holidays)-1)&amp;" business day(s) left).")))))</f>
        <v/>
      </c>
      <c r="W147" s="17">
        <f>IF($Z147="","",CHOOSE($Z147,"Collection Email","1st Follow-up","2nd Follow-up","Local Office","CBE","Roxanne")&amp;IF($Z147=6," - Final"," - Day "&amp;MAX(0,NETWORKDAYS($AA147,TODAY(),Holidays)-1)&amp;" of "&amp;CHOOSE($Z147,3,3,2,2,3))&amp;" | Total Day "&amp;MAX(0,NETWORKDAYS($N147,TODAY(),Holidays)-1))</f>
        <v/>
      </c>
      <c r="X147" s="18"/>
      <c r="Y147" s="18"/>
      <c r="Z147" s="17">
        <f>IF($N147="","",COUNT($N147:$S147))</f>
        <v/>
      </c>
      <c r="AA147" s="19">
        <f>IF($Z147="","",INT(INDEX($N147:$S147,$Z147)))</f>
        <v/>
      </c>
      <c r="AB147" s="19">
        <f>IF(OR($Z147="",$Z147=6),"",WORKDAY($AA147,CHOOSE($Z147,3,3,2,2,3),Holidays))</f>
        <v/>
      </c>
      <c r="AC147" s="17">
        <f>IF(OR($Z147="",$Z147=6),"",CHOOSE($Z147,"1st Email Follow-up","2nd Email Follow-up","Escalate Local Office","Escalate to CBE","Escalate to Roxanne"))</f>
        <v/>
      </c>
    </row>
    <row r="148" spans="13:29">
      <c r="M148" s="14"/>
      <c r="T148" s="16"/>
      <c r="U148" s="17">
        <f>IF(AND(COUNTA($A148:$L148)=0,$N148=""),"",IF($T148="Paid","PAID",IF($T148="Closed","CLOSED",IF($Z148="","",IF($Z148=6,"ESCALATED TO ROXANNE",IF(TODAY()&gt;$AB148,"OVERDUE",IF($AB148&lt;=WORKDAY(TODAY(),1,Holidays),"DUE TOMORROW",IF($Z148=4,"ESCALATED TO LOCAL OFFICE",IF($Z148=5,"ESCALATED TO CBE",IF($AA148=TODAY(),"EMAIL SENT","MONITORING"))))))))))</f>
        <v/>
      </c>
      <c r="V148" s="17">
        <f>IF($U148="",IF(AND(COUNTA($A148:$L148)&gt;0,$N148=""),"Awaiting Collection Email time stamp.",""),IF(OR($U148="PAID",$U148="CLOSED"),IF($U148="PAID","Account paid. Action completed.","Account closed. No further action required."),CHOOSE($Z148,"Collection Email","1st Email Follow-up","2nd Email Follow-up","Escalation to Local Office","Escalation to CBE","Escalation to Roxanne")&amp;" sent "&amp;TEXT($AA148,"dd-mmm")&amp;". "&amp;IF($Z148=6,"Final escalation completed.",IF($U148="OVERDUE","Next: "&amp;$AC148&amp;" was due "&amp;TEXT($AB148,"dd-mmm")&amp;" - "&amp;(NETWORKDAYS($AB148,TODAY(),Holidays)-1)&amp;" business day(s) late. Send now.",IF($U148="DUE TOMORROW","Next: "&amp;$AC148&amp;IF($AB148&lt;=TODAY()," is due TODAY ("," is due next business day (")&amp;TEXT($AB148,"dd-mmm")&amp;").","Next: "&amp;$AC148&amp;" due "&amp;TEXT($AB148,"dd-mmm")&amp;" ("&amp;(NETWORKDAYS(TODAY(),$AB148,Holidays)-1)&amp;" business day(s) left).")))))</f>
        <v/>
      </c>
      <c r="W148" s="17">
        <f>IF($Z148="","",CHOOSE($Z148,"Collection Email","1st Follow-up","2nd Follow-up","Local Office","CBE","Roxanne")&amp;IF($Z148=6," - Final"," - Day "&amp;MAX(0,NETWORKDAYS($AA148,TODAY(),Holidays)-1)&amp;" of "&amp;CHOOSE($Z148,3,3,2,2,3))&amp;" | Total Day "&amp;MAX(0,NETWORKDAYS($N148,TODAY(),Holidays)-1))</f>
        <v/>
      </c>
      <c r="X148" s="18"/>
      <c r="Y148" s="18"/>
      <c r="Z148" s="17">
        <f>IF($N148="","",COUNT($N148:$S148))</f>
        <v/>
      </c>
      <c r="AA148" s="19">
        <f>IF($Z148="","",INT(INDEX($N148:$S148,$Z148)))</f>
        <v/>
      </c>
      <c r="AB148" s="19">
        <f>IF(OR($Z148="",$Z148=6),"",WORKDAY($AA148,CHOOSE($Z148,3,3,2,2,3),Holidays))</f>
        <v/>
      </c>
      <c r="AC148" s="17">
        <f>IF(OR($Z148="",$Z148=6),"",CHOOSE($Z148,"1st Email Follow-up","2nd Email Follow-up","Escalate Local Office","Escalate to CBE","Escalate to Roxanne"))</f>
        <v/>
      </c>
    </row>
    <row r="149" spans="13:29">
      <c r="M149" s="14"/>
      <c r="T149" s="16"/>
      <c r="U149" s="17">
        <f>IF(AND(COUNTA($A149:$L149)=0,$N149=""),"",IF($T149="Paid","PAID",IF($T149="Closed","CLOSED",IF($Z149="","",IF($Z149=6,"ESCALATED TO ROXANNE",IF(TODAY()&gt;$AB149,"OVERDUE",IF($AB149&lt;=WORKDAY(TODAY(),1,Holidays),"DUE TOMORROW",IF($Z149=4,"ESCALATED TO LOCAL OFFICE",IF($Z149=5,"ESCALATED TO CBE",IF($AA149=TODAY(),"EMAIL SENT","MONITORING"))))))))))</f>
        <v/>
      </c>
      <c r="V149" s="17">
        <f>IF($U149="",IF(AND(COUNTA($A149:$L149)&gt;0,$N149=""),"Awaiting Collection Email time stamp.",""),IF(OR($U149="PAID",$U149="CLOSED"),IF($U149="PAID","Account paid. Action completed.","Account closed. No further action required."),CHOOSE($Z149,"Collection Email","1st Email Follow-up","2nd Email Follow-up","Escalation to Local Office","Escalation to CBE","Escalation to Roxanne")&amp;" sent "&amp;TEXT($AA149,"dd-mmm")&amp;". "&amp;IF($Z149=6,"Final escalation completed.",IF($U149="OVERDUE","Next: "&amp;$AC149&amp;" was due "&amp;TEXT($AB149,"dd-mmm")&amp;" - "&amp;(NETWORKDAYS($AB149,TODAY(),Holidays)-1)&amp;" business day(s) late. Send now.",IF($U149="DUE TOMORROW","Next: "&amp;$AC149&amp;IF($AB149&lt;=TODAY()," is due TODAY ("," is due next business day (")&amp;TEXT($AB149,"dd-mmm")&amp;").","Next: "&amp;$AC149&amp;" due "&amp;TEXT($AB149,"dd-mmm")&amp;" ("&amp;(NETWORKDAYS(TODAY(),$AB149,Holidays)-1)&amp;" business day(s) left).")))))</f>
        <v/>
      </c>
      <c r="W149" s="17">
        <f>IF($Z149="","",CHOOSE($Z149,"Collection Email","1st Follow-up","2nd Follow-up","Local Office","CBE","Roxanne")&amp;IF($Z149=6," - Final"," - Day "&amp;MAX(0,NETWORKDAYS($AA149,TODAY(),Holidays)-1)&amp;" of "&amp;CHOOSE($Z149,3,3,2,2,3))&amp;" | Total Day "&amp;MAX(0,NETWORKDAYS($N149,TODAY(),Holidays)-1))</f>
        <v/>
      </c>
      <c r="X149" s="18"/>
      <c r="Y149" s="18"/>
      <c r="Z149" s="17">
        <f>IF($N149="","",COUNT($N149:$S149))</f>
        <v/>
      </c>
      <c r="AA149" s="19">
        <f>IF($Z149="","",INT(INDEX($N149:$S149,$Z149)))</f>
        <v/>
      </c>
      <c r="AB149" s="19">
        <f>IF(OR($Z149="",$Z149=6),"",WORKDAY($AA149,CHOOSE($Z149,3,3,2,2,3),Holidays))</f>
        <v/>
      </c>
      <c r="AC149" s="17">
        <f>IF(OR($Z149="",$Z149=6),"",CHOOSE($Z149,"1st Email Follow-up","2nd Email Follow-up","Escalate Local Office","Escalate to CBE","Escalate to Roxanne"))</f>
        <v/>
      </c>
    </row>
    <row r="150" spans="13:29">
      <c r="M150" s="14"/>
      <c r="T150" s="16"/>
      <c r="U150" s="17">
        <f>IF(AND(COUNTA($A150:$L150)=0,$N150=""),"",IF($T150="Paid","PAID",IF($T150="Closed","CLOSED",IF($Z150="","",IF($Z150=6,"ESCALATED TO ROXANNE",IF(TODAY()&gt;$AB150,"OVERDUE",IF($AB150&lt;=WORKDAY(TODAY(),1,Holidays),"DUE TOMORROW",IF($Z150=4,"ESCALATED TO LOCAL OFFICE",IF($Z150=5,"ESCALATED TO CBE",IF($AA150=TODAY(),"EMAIL SENT","MONITORING"))))))))))</f>
        <v/>
      </c>
      <c r="V150" s="17">
        <f>IF($U150="",IF(AND(COUNTA($A150:$L150)&gt;0,$N150=""),"Awaiting Collection Email time stamp.",""),IF(OR($U150="PAID",$U150="CLOSED"),IF($U150="PAID","Account paid. Action completed.","Account closed. No further action required."),CHOOSE($Z150,"Collection Email","1st Email Follow-up","2nd Email Follow-up","Escalation to Local Office","Escalation to CBE","Escalation to Roxanne")&amp;" sent "&amp;TEXT($AA150,"dd-mmm")&amp;". "&amp;IF($Z150=6,"Final escalation completed.",IF($U150="OVERDUE","Next: "&amp;$AC150&amp;" was due "&amp;TEXT($AB150,"dd-mmm")&amp;" - "&amp;(NETWORKDAYS($AB150,TODAY(),Holidays)-1)&amp;" business day(s) late. Send now.",IF($U150="DUE TOMORROW","Next: "&amp;$AC150&amp;IF($AB150&lt;=TODAY()," is due TODAY ("," is due next business day (")&amp;TEXT($AB150,"dd-mmm")&amp;").","Next: "&amp;$AC150&amp;" due "&amp;TEXT($AB150,"dd-mmm")&amp;" ("&amp;(NETWORKDAYS(TODAY(),$AB150,Holidays)-1)&amp;" business day(s) left).")))))</f>
        <v/>
      </c>
      <c r="W150" s="17">
        <f>IF($Z150="","",CHOOSE($Z150,"Collection Email","1st Follow-up","2nd Follow-up","Local Office","CBE","Roxanne")&amp;IF($Z150=6," - Final"," - Day "&amp;MAX(0,NETWORKDAYS($AA150,TODAY(),Holidays)-1)&amp;" of "&amp;CHOOSE($Z150,3,3,2,2,3))&amp;" | Total Day "&amp;MAX(0,NETWORKDAYS($N150,TODAY(),Holidays)-1))</f>
        <v/>
      </c>
      <c r="X150" s="18"/>
      <c r="Y150" s="18"/>
      <c r="Z150" s="17">
        <f>IF($N150="","",COUNT($N150:$S150))</f>
        <v/>
      </c>
      <c r="AA150" s="19">
        <f>IF($Z150="","",INT(INDEX($N150:$S150,$Z150)))</f>
        <v/>
      </c>
      <c r="AB150" s="19">
        <f>IF(OR($Z150="",$Z150=6),"",WORKDAY($AA150,CHOOSE($Z150,3,3,2,2,3),Holidays))</f>
        <v/>
      </c>
      <c r="AC150" s="17">
        <f>IF(OR($Z150="",$Z150=6),"",CHOOSE($Z150,"1st Email Follow-up","2nd Email Follow-up","Escalate Local Office","Escalate to CBE","Escalate to Roxanne"))</f>
        <v/>
      </c>
    </row>
    <row r="151" spans="13:29">
      <c r="M151" s="14"/>
      <c r="T151" s="16"/>
      <c r="U151" s="17">
        <f>IF(AND(COUNTA($A151:$L151)=0,$N151=""),"",IF($T151="Paid","PAID",IF($T151="Closed","CLOSED",IF($Z151="","",IF($Z151=6,"ESCALATED TO ROXANNE",IF(TODAY()&gt;$AB151,"OVERDUE",IF($AB151&lt;=WORKDAY(TODAY(),1,Holidays),"DUE TOMORROW",IF($Z151=4,"ESCALATED TO LOCAL OFFICE",IF($Z151=5,"ESCALATED TO CBE",IF($AA151=TODAY(),"EMAIL SENT","MONITORING"))))))))))</f>
        <v/>
      </c>
      <c r="V151" s="17">
        <f>IF($U151="",IF(AND(COUNTA($A151:$L151)&gt;0,$N151=""),"Awaiting Collection Email time stamp.",""),IF(OR($U151="PAID",$U151="CLOSED"),IF($U151="PAID","Account paid. Action completed.","Account closed. No further action required."),CHOOSE($Z151,"Collection Email","1st Email Follow-up","2nd Email Follow-up","Escalation to Local Office","Escalation to CBE","Escalation to Roxanne")&amp;" sent "&amp;TEXT($AA151,"dd-mmm")&amp;". "&amp;IF($Z151=6,"Final escalation completed.",IF($U151="OVERDUE","Next: "&amp;$AC151&amp;" was due "&amp;TEXT($AB151,"dd-mmm")&amp;" - "&amp;(NETWORKDAYS($AB151,TODAY(),Holidays)-1)&amp;" business day(s) late. Send now.",IF($U151="DUE TOMORROW","Next: "&amp;$AC151&amp;IF($AB151&lt;=TODAY()," is due TODAY ("," is due next business day (")&amp;TEXT($AB151,"dd-mmm")&amp;").","Next: "&amp;$AC151&amp;" due "&amp;TEXT($AB151,"dd-mmm")&amp;" ("&amp;(NETWORKDAYS(TODAY(),$AB151,Holidays)-1)&amp;" business day(s) left).")))))</f>
        <v/>
      </c>
      <c r="W151" s="17">
        <f>IF($Z151="","",CHOOSE($Z151,"Collection Email","1st Follow-up","2nd Follow-up","Local Office","CBE","Roxanne")&amp;IF($Z151=6," - Final"," - Day "&amp;MAX(0,NETWORKDAYS($AA151,TODAY(),Holidays)-1)&amp;" of "&amp;CHOOSE($Z151,3,3,2,2,3))&amp;" | Total Day "&amp;MAX(0,NETWORKDAYS($N151,TODAY(),Holidays)-1))</f>
        <v/>
      </c>
      <c r="X151" s="18"/>
      <c r="Y151" s="18"/>
      <c r="Z151" s="17">
        <f>IF($N151="","",COUNT($N151:$S151))</f>
        <v/>
      </c>
      <c r="AA151" s="19">
        <f>IF($Z151="","",INT(INDEX($N151:$S151,$Z151)))</f>
        <v/>
      </c>
      <c r="AB151" s="19">
        <f>IF(OR($Z151="",$Z151=6),"",WORKDAY($AA151,CHOOSE($Z151,3,3,2,2,3),Holidays))</f>
        <v/>
      </c>
      <c r="AC151" s="17">
        <f>IF(OR($Z151="",$Z151=6),"",CHOOSE($Z151,"1st Email Follow-up","2nd Email Follow-up","Escalate Local Office","Escalate to CBE","Escalate to Roxanne"))</f>
        <v/>
      </c>
    </row>
    <row r="152" spans="13:29">
      <c r="M152" s="14"/>
      <c r="T152" s="16"/>
      <c r="U152" s="17">
        <f>IF(AND(COUNTA($A152:$L152)=0,$N152=""),"",IF($T152="Paid","PAID",IF($T152="Closed","CLOSED",IF($Z152="","",IF($Z152=6,"ESCALATED TO ROXANNE",IF(TODAY()&gt;$AB152,"OVERDUE",IF($AB152&lt;=WORKDAY(TODAY(),1,Holidays),"DUE TOMORROW",IF($Z152=4,"ESCALATED TO LOCAL OFFICE",IF($Z152=5,"ESCALATED TO CBE",IF($AA152=TODAY(),"EMAIL SENT","MONITORING"))))))))))</f>
        <v/>
      </c>
      <c r="V152" s="17">
        <f>IF($U152="",IF(AND(COUNTA($A152:$L152)&gt;0,$N152=""),"Awaiting Collection Email time stamp.",""),IF(OR($U152="PAID",$U152="CLOSED"),IF($U152="PAID","Account paid. Action completed.","Account closed. No further action required."),CHOOSE($Z152,"Collection Email","1st Email Follow-up","2nd Email Follow-up","Escalation to Local Office","Escalation to CBE","Escalation to Roxanne")&amp;" sent "&amp;TEXT($AA152,"dd-mmm")&amp;". "&amp;IF($Z152=6,"Final escalation completed.",IF($U152="OVERDUE","Next: "&amp;$AC152&amp;" was due "&amp;TEXT($AB152,"dd-mmm")&amp;" - "&amp;(NETWORKDAYS($AB152,TODAY(),Holidays)-1)&amp;" business day(s) late. Send now.",IF($U152="DUE TOMORROW","Next: "&amp;$AC152&amp;IF($AB152&lt;=TODAY()," is due TODAY ("," is due next business day (")&amp;TEXT($AB152,"dd-mmm")&amp;").","Next: "&amp;$AC152&amp;" due "&amp;TEXT($AB152,"dd-mmm")&amp;" ("&amp;(NETWORKDAYS(TODAY(),$AB152,Holidays)-1)&amp;" business day(s) left).")))))</f>
        <v/>
      </c>
      <c r="W152" s="17">
        <f>IF($Z152="","",CHOOSE($Z152,"Collection Email","1st Follow-up","2nd Follow-up","Local Office","CBE","Roxanne")&amp;IF($Z152=6," - Final"," - Day "&amp;MAX(0,NETWORKDAYS($AA152,TODAY(),Holidays)-1)&amp;" of "&amp;CHOOSE($Z152,3,3,2,2,3))&amp;" | Total Day "&amp;MAX(0,NETWORKDAYS($N152,TODAY(),Holidays)-1))</f>
        <v/>
      </c>
      <c r="X152" s="18"/>
      <c r="Y152" s="18"/>
      <c r="Z152" s="17">
        <f>IF($N152="","",COUNT($N152:$S152))</f>
        <v/>
      </c>
      <c r="AA152" s="19">
        <f>IF($Z152="","",INT(INDEX($N152:$S152,$Z152)))</f>
        <v/>
      </c>
      <c r="AB152" s="19">
        <f>IF(OR($Z152="",$Z152=6),"",WORKDAY($AA152,CHOOSE($Z152,3,3,2,2,3),Holidays))</f>
        <v/>
      </c>
      <c r="AC152" s="17">
        <f>IF(OR($Z152="",$Z152=6),"",CHOOSE($Z152,"1st Email Follow-up","2nd Email Follow-up","Escalate Local Office","Escalate to CBE","Escalate to Roxanne"))</f>
        <v/>
      </c>
    </row>
    <row r="153" spans="13:29">
      <c r="M153" s="14"/>
      <c r="T153" s="16"/>
      <c r="U153" s="17">
        <f>IF(AND(COUNTA($A153:$L153)=0,$N153=""),"",IF($T153="Paid","PAID",IF($T153="Closed","CLOSED",IF($Z153="","",IF($Z153=6,"ESCALATED TO ROXANNE",IF(TODAY()&gt;$AB153,"OVERDUE",IF($AB153&lt;=WORKDAY(TODAY(),1,Holidays),"DUE TOMORROW",IF($Z153=4,"ESCALATED TO LOCAL OFFICE",IF($Z153=5,"ESCALATED TO CBE",IF($AA153=TODAY(),"EMAIL SENT","MONITORING"))))))))))</f>
        <v/>
      </c>
      <c r="V153" s="17">
        <f>IF($U153="",IF(AND(COUNTA($A153:$L153)&gt;0,$N153=""),"Awaiting Collection Email time stamp.",""),IF(OR($U153="PAID",$U153="CLOSED"),IF($U153="PAID","Account paid. Action completed.","Account closed. No further action required."),CHOOSE($Z153,"Collection Email","1st Email Follow-up","2nd Email Follow-up","Escalation to Local Office","Escalation to CBE","Escalation to Roxanne")&amp;" sent "&amp;TEXT($AA153,"dd-mmm")&amp;". "&amp;IF($Z153=6,"Final escalation completed.",IF($U153="OVERDUE","Next: "&amp;$AC153&amp;" was due "&amp;TEXT($AB153,"dd-mmm")&amp;" - "&amp;(NETWORKDAYS($AB153,TODAY(),Holidays)-1)&amp;" business day(s) late. Send now.",IF($U153="DUE TOMORROW","Next: "&amp;$AC153&amp;IF($AB153&lt;=TODAY()," is due TODAY ("," is due next business day (")&amp;TEXT($AB153,"dd-mmm")&amp;").","Next: "&amp;$AC153&amp;" due "&amp;TEXT($AB153,"dd-mmm")&amp;" ("&amp;(NETWORKDAYS(TODAY(),$AB153,Holidays)-1)&amp;" business day(s) left).")))))</f>
        <v/>
      </c>
      <c r="W153" s="17">
        <f>IF($Z153="","",CHOOSE($Z153,"Collection Email","1st Follow-up","2nd Follow-up","Local Office","CBE","Roxanne")&amp;IF($Z153=6," - Final"," - Day "&amp;MAX(0,NETWORKDAYS($AA153,TODAY(),Holidays)-1)&amp;" of "&amp;CHOOSE($Z153,3,3,2,2,3))&amp;" | Total Day "&amp;MAX(0,NETWORKDAYS($N153,TODAY(),Holidays)-1))</f>
        <v/>
      </c>
      <c r="X153" s="18"/>
      <c r="Y153" s="18"/>
      <c r="Z153" s="17">
        <f>IF($N153="","",COUNT($N153:$S153))</f>
        <v/>
      </c>
      <c r="AA153" s="19">
        <f>IF($Z153="","",INT(INDEX($N153:$S153,$Z153)))</f>
        <v/>
      </c>
      <c r="AB153" s="19">
        <f>IF(OR($Z153="",$Z153=6),"",WORKDAY($AA153,CHOOSE($Z153,3,3,2,2,3),Holidays))</f>
        <v/>
      </c>
      <c r="AC153" s="17">
        <f>IF(OR($Z153="",$Z153=6),"",CHOOSE($Z153,"1st Email Follow-up","2nd Email Follow-up","Escalate Local Office","Escalate to CBE","Escalate to Roxanne"))</f>
        <v/>
      </c>
    </row>
    <row r="154" spans="13:29">
      <c r="M154" s="14"/>
      <c r="T154" s="16"/>
      <c r="U154" s="17">
        <f>IF(AND(COUNTA($A154:$L154)=0,$N154=""),"",IF($T154="Paid","PAID",IF($T154="Closed","CLOSED",IF($Z154="","",IF($Z154=6,"ESCALATED TO ROXANNE",IF(TODAY()&gt;$AB154,"OVERDUE",IF($AB154&lt;=WORKDAY(TODAY(),1,Holidays),"DUE TOMORROW",IF($Z154=4,"ESCALATED TO LOCAL OFFICE",IF($Z154=5,"ESCALATED TO CBE",IF($AA154=TODAY(),"EMAIL SENT","MONITORING"))))))))))</f>
        <v/>
      </c>
      <c r="V154" s="17">
        <f>IF($U154="",IF(AND(COUNTA($A154:$L154)&gt;0,$N154=""),"Awaiting Collection Email time stamp.",""),IF(OR($U154="PAID",$U154="CLOSED"),IF($U154="PAID","Account paid. Action completed.","Account closed. No further action required."),CHOOSE($Z154,"Collection Email","1st Email Follow-up","2nd Email Follow-up","Escalation to Local Office","Escalation to CBE","Escalation to Roxanne")&amp;" sent "&amp;TEXT($AA154,"dd-mmm")&amp;". "&amp;IF($Z154=6,"Final escalation completed.",IF($U154="OVERDUE","Next: "&amp;$AC154&amp;" was due "&amp;TEXT($AB154,"dd-mmm")&amp;" - "&amp;(NETWORKDAYS($AB154,TODAY(),Holidays)-1)&amp;" business day(s) late. Send now.",IF($U154="DUE TOMORROW","Next: "&amp;$AC154&amp;IF($AB154&lt;=TODAY()," is due TODAY ("," is due next business day (")&amp;TEXT($AB154,"dd-mmm")&amp;").","Next: "&amp;$AC154&amp;" due "&amp;TEXT($AB154,"dd-mmm")&amp;" ("&amp;(NETWORKDAYS(TODAY(),$AB154,Holidays)-1)&amp;" business day(s) left).")))))</f>
        <v/>
      </c>
      <c r="W154" s="17">
        <f>IF($Z154="","",CHOOSE($Z154,"Collection Email","1st Follow-up","2nd Follow-up","Local Office","CBE","Roxanne")&amp;IF($Z154=6," - Final"," - Day "&amp;MAX(0,NETWORKDAYS($AA154,TODAY(),Holidays)-1)&amp;" of "&amp;CHOOSE($Z154,3,3,2,2,3))&amp;" | Total Day "&amp;MAX(0,NETWORKDAYS($N154,TODAY(),Holidays)-1))</f>
        <v/>
      </c>
      <c r="X154" s="18"/>
      <c r="Y154" s="18"/>
      <c r="Z154" s="17">
        <f>IF($N154="","",COUNT($N154:$S154))</f>
        <v/>
      </c>
      <c r="AA154" s="19">
        <f>IF($Z154="","",INT(INDEX($N154:$S154,$Z154)))</f>
        <v/>
      </c>
      <c r="AB154" s="19">
        <f>IF(OR($Z154="",$Z154=6),"",WORKDAY($AA154,CHOOSE($Z154,3,3,2,2,3),Holidays))</f>
        <v/>
      </c>
      <c r="AC154" s="17">
        <f>IF(OR($Z154="",$Z154=6),"",CHOOSE($Z154,"1st Email Follow-up","2nd Email Follow-up","Escalate Local Office","Escalate to CBE","Escalate to Roxanne"))</f>
        <v/>
      </c>
    </row>
    <row r="155" spans="13:29">
      <c r="M155" s="14"/>
      <c r="T155" s="16"/>
      <c r="U155" s="17">
        <f>IF(AND(COUNTA($A155:$L155)=0,$N155=""),"",IF($T155="Paid","PAID",IF($T155="Closed","CLOSED",IF($Z155="","",IF($Z155=6,"ESCALATED TO ROXANNE",IF(TODAY()&gt;$AB155,"OVERDUE",IF($AB155&lt;=WORKDAY(TODAY(),1,Holidays),"DUE TOMORROW",IF($Z155=4,"ESCALATED TO LOCAL OFFICE",IF($Z155=5,"ESCALATED TO CBE",IF($AA155=TODAY(),"EMAIL SENT","MONITORING"))))))))))</f>
        <v/>
      </c>
      <c r="V155" s="17">
        <f>IF($U155="",IF(AND(COUNTA($A155:$L155)&gt;0,$N155=""),"Awaiting Collection Email time stamp.",""),IF(OR($U155="PAID",$U155="CLOSED"),IF($U155="PAID","Account paid. Action completed.","Account closed. No further action required."),CHOOSE($Z155,"Collection Email","1st Email Follow-up","2nd Email Follow-up","Escalation to Local Office","Escalation to CBE","Escalation to Roxanne")&amp;" sent "&amp;TEXT($AA155,"dd-mmm")&amp;". "&amp;IF($Z155=6,"Final escalation completed.",IF($U155="OVERDUE","Next: "&amp;$AC155&amp;" was due "&amp;TEXT($AB155,"dd-mmm")&amp;" - "&amp;(NETWORKDAYS($AB155,TODAY(),Holidays)-1)&amp;" business day(s) late. Send now.",IF($U155="DUE TOMORROW","Next: "&amp;$AC155&amp;IF($AB155&lt;=TODAY()," is due TODAY ("," is due next business day (")&amp;TEXT($AB155,"dd-mmm")&amp;").","Next: "&amp;$AC155&amp;" due "&amp;TEXT($AB155,"dd-mmm")&amp;" ("&amp;(NETWORKDAYS(TODAY(),$AB155,Holidays)-1)&amp;" business day(s) left).")))))</f>
        <v/>
      </c>
      <c r="W155" s="17">
        <f>IF($Z155="","",CHOOSE($Z155,"Collection Email","1st Follow-up","2nd Follow-up","Local Office","CBE","Roxanne")&amp;IF($Z155=6," - Final"," - Day "&amp;MAX(0,NETWORKDAYS($AA155,TODAY(),Holidays)-1)&amp;" of "&amp;CHOOSE($Z155,3,3,2,2,3))&amp;" | Total Day "&amp;MAX(0,NETWORKDAYS($N155,TODAY(),Holidays)-1))</f>
        <v/>
      </c>
      <c r="X155" s="18"/>
      <c r="Y155" s="18"/>
      <c r="Z155" s="17">
        <f>IF($N155="","",COUNT($N155:$S155))</f>
        <v/>
      </c>
      <c r="AA155" s="19">
        <f>IF($Z155="","",INT(INDEX($N155:$S155,$Z155)))</f>
        <v/>
      </c>
      <c r="AB155" s="19">
        <f>IF(OR($Z155="",$Z155=6),"",WORKDAY($AA155,CHOOSE($Z155,3,3,2,2,3),Holidays))</f>
        <v/>
      </c>
      <c r="AC155" s="17">
        <f>IF(OR($Z155="",$Z155=6),"",CHOOSE($Z155,"1st Email Follow-up","2nd Email Follow-up","Escalate Local Office","Escalate to CBE","Escalate to Roxanne"))</f>
        <v/>
      </c>
    </row>
    <row r="156" spans="13:29">
      <c r="M156" s="14"/>
      <c r="T156" s="16"/>
      <c r="U156" s="17">
        <f>IF(AND(COUNTA($A156:$L156)=0,$N156=""),"",IF($T156="Paid","PAID",IF($T156="Closed","CLOSED",IF($Z156="","",IF($Z156=6,"ESCALATED TO ROXANNE",IF(TODAY()&gt;$AB156,"OVERDUE",IF($AB156&lt;=WORKDAY(TODAY(),1,Holidays),"DUE TOMORROW",IF($Z156=4,"ESCALATED TO LOCAL OFFICE",IF($Z156=5,"ESCALATED TO CBE",IF($AA156=TODAY(),"EMAIL SENT","MONITORING"))))))))))</f>
        <v/>
      </c>
      <c r="V156" s="17">
        <f>IF($U156="",IF(AND(COUNTA($A156:$L156)&gt;0,$N156=""),"Awaiting Collection Email time stamp.",""),IF(OR($U156="PAID",$U156="CLOSED"),IF($U156="PAID","Account paid. Action completed.","Account closed. No further action required."),CHOOSE($Z156,"Collection Email","1st Email Follow-up","2nd Email Follow-up","Escalation to Local Office","Escalation to CBE","Escalation to Roxanne")&amp;" sent "&amp;TEXT($AA156,"dd-mmm")&amp;". "&amp;IF($Z156=6,"Final escalation completed.",IF($U156="OVERDUE","Next: "&amp;$AC156&amp;" was due "&amp;TEXT($AB156,"dd-mmm")&amp;" - "&amp;(NETWORKDAYS($AB156,TODAY(),Holidays)-1)&amp;" business day(s) late. Send now.",IF($U156="DUE TOMORROW","Next: "&amp;$AC156&amp;IF($AB156&lt;=TODAY()," is due TODAY ("," is due next business day (")&amp;TEXT($AB156,"dd-mmm")&amp;").","Next: "&amp;$AC156&amp;" due "&amp;TEXT($AB156,"dd-mmm")&amp;" ("&amp;(NETWORKDAYS(TODAY(),$AB156,Holidays)-1)&amp;" business day(s) left).")))))</f>
        <v/>
      </c>
      <c r="W156" s="17">
        <f>IF($Z156="","",CHOOSE($Z156,"Collection Email","1st Follow-up","2nd Follow-up","Local Office","CBE","Roxanne")&amp;IF($Z156=6," - Final"," - Day "&amp;MAX(0,NETWORKDAYS($AA156,TODAY(),Holidays)-1)&amp;" of "&amp;CHOOSE($Z156,3,3,2,2,3))&amp;" | Total Day "&amp;MAX(0,NETWORKDAYS($N156,TODAY(),Holidays)-1))</f>
        <v/>
      </c>
      <c r="X156" s="18"/>
      <c r="Y156" s="18"/>
      <c r="Z156" s="17">
        <f>IF($N156="","",COUNT($N156:$S156))</f>
        <v/>
      </c>
      <c r="AA156" s="19">
        <f>IF($Z156="","",INT(INDEX($N156:$S156,$Z156)))</f>
        <v/>
      </c>
      <c r="AB156" s="19">
        <f>IF(OR($Z156="",$Z156=6),"",WORKDAY($AA156,CHOOSE($Z156,3,3,2,2,3),Holidays))</f>
        <v/>
      </c>
      <c r="AC156" s="17">
        <f>IF(OR($Z156="",$Z156=6),"",CHOOSE($Z156,"1st Email Follow-up","2nd Email Follow-up","Escalate Local Office","Escalate to CBE","Escalate to Roxanne"))</f>
        <v/>
      </c>
    </row>
    <row r="157" spans="13:29">
      <c r="M157" s="14"/>
      <c r="T157" s="16"/>
      <c r="U157" s="17">
        <f>IF(AND(COUNTA($A157:$L157)=0,$N157=""),"",IF($T157="Paid","PAID",IF($T157="Closed","CLOSED",IF($Z157="","",IF($Z157=6,"ESCALATED TO ROXANNE",IF(TODAY()&gt;$AB157,"OVERDUE",IF($AB157&lt;=WORKDAY(TODAY(),1,Holidays),"DUE TOMORROW",IF($Z157=4,"ESCALATED TO LOCAL OFFICE",IF($Z157=5,"ESCALATED TO CBE",IF($AA157=TODAY(),"EMAIL SENT","MONITORING"))))))))))</f>
        <v/>
      </c>
      <c r="V157" s="17">
        <f>IF($U157="",IF(AND(COUNTA($A157:$L157)&gt;0,$N157=""),"Awaiting Collection Email time stamp.",""),IF(OR($U157="PAID",$U157="CLOSED"),IF($U157="PAID","Account paid. Action completed.","Account closed. No further action required."),CHOOSE($Z157,"Collection Email","1st Email Follow-up","2nd Email Follow-up","Escalation to Local Office","Escalation to CBE","Escalation to Roxanne")&amp;" sent "&amp;TEXT($AA157,"dd-mmm")&amp;". "&amp;IF($Z157=6,"Final escalation completed.",IF($U157="OVERDUE","Next: "&amp;$AC157&amp;" was due "&amp;TEXT($AB157,"dd-mmm")&amp;" - "&amp;(NETWORKDAYS($AB157,TODAY(),Holidays)-1)&amp;" business day(s) late. Send now.",IF($U157="DUE TOMORROW","Next: "&amp;$AC157&amp;IF($AB157&lt;=TODAY()," is due TODAY ("," is due next business day (")&amp;TEXT($AB157,"dd-mmm")&amp;").","Next: "&amp;$AC157&amp;" due "&amp;TEXT($AB157,"dd-mmm")&amp;" ("&amp;(NETWORKDAYS(TODAY(),$AB157,Holidays)-1)&amp;" business day(s) left).")))))</f>
        <v/>
      </c>
      <c r="W157" s="17">
        <f>IF($Z157="","",CHOOSE($Z157,"Collection Email","1st Follow-up","2nd Follow-up","Local Office","CBE","Roxanne")&amp;IF($Z157=6," - Final"," - Day "&amp;MAX(0,NETWORKDAYS($AA157,TODAY(),Holidays)-1)&amp;" of "&amp;CHOOSE($Z157,3,3,2,2,3))&amp;" | Total Day "&amp;MAX(0,NETWORKDAYS($N157,TODAY(),Holidays)-1))</f>
        <v/>
      </c>
      <c r="X157" s="18"/>
      <c r="Y157" s="18"/>
      <c r="Z157" s="17">
        <f>IF($N157="","",COUNT($N157:$S157))</f>
        <v/>
      </c>
      <c r="AA157" s="19">
        <f>IF($Z157="","",INT(INDEX($N157:$S157,$Z157)))</f>
        <v/>
      </c>
      <c r="AB157" s="19">
        <f>IF(OR($Z157="",$Z157=6),"",WORKDAY($AA157,CHOOSE($Z157,3,3,2,2,3),Holidays))</f>
        <v/>
      </c>
      <c r="AC157" s="17">
        <f>IF(OR($Z157="",$Z157=6),"",CHOOSE($Z157,"1st Email Follow-up","2nd Email Follow-up","Escalate Local Office","Escalate to CBE","Escalate to Roxanne"))</f>
        <v/>
      </c>
    </row>
    <row r="158" spans="13:29">
      <c r="M158" s="14"/>
      <c r="T158" s="16"/>
      <c r="U158" s="17">
        <f>IF(AND(COUNTA($A158:$L158)=0,$N158=""),"",IF($T158="Paid","PAID",IF($T158="Closed","CLOSED",IF($Z158="","",IF($Z158=6,"ESCALATED TO ROXANNE",IF(TODAY()&gt;$AB158,"OVERDUE",IF($AB158&lt;=WORKDAY(TODAY(),1,Holidays),"DUE TOMORROW",IF($Z158=4,"ESCALATED TO LOCAL OFFICE",IF($Z158=5,"ESCALATED TO CBE",IF($AA158=TODAY(),"EMAIL SENT","MONITORING"))))))))))</f>
        <v/>
      </c>
      <c r="V158" s="17">
        <f>IF($U158="",IF(AND(COUNTA($A158:$L158)&gt;0,$N158=""),"Awaiting Collection Email time stamp.",""),IF(OR($U158="PAID",$U158="CLOSED"),IF($U158="PAID","Account paid. Action completed.","Account closed. No further action required."),CHOOSE($Z158,"Collection Email","1st Email Follow-up","2nd Email Follow-up","Escalation to Local Office","Escalation to CBE","Escalation to Roxanne")&amp;" sent "&amp;TEXT($AA158,"dd-mmm")&amp;". "&amp;IF($Z158=6,"Final escalation completed.",IF($U158="OVERDUE","Next: "&amp;$AC158&amp;" was due "&amp;TEXT($AB158,"dd-mmm")&amp;" - "&amp;(NETWORKDAYS($AB158,TODAY(),Holidays)-1)&amp;" business day(s) late. Send now.",IF($U158="DUE TOMORROW","Next: "&amp;$AC158&amp;IF($AB158&lt;=TODAY()," is due TODAY ("," is due next business day (")&amp;TEXT($AB158,"dd-mmm")&amp;").","Next: "&amp;$AC158&amp;" due "&amp;TEXT($AB158,"dd-mmm")&amp;" ("&amp;(NETWORKDAYS(TODAY(),$AB158,Holidays)-1)&amp;" business day(s) left).")))))</f>
        <v/>
      </c>
      <c r="W158" s="17">
        <f>IF($Z158="","",CHOOSE($Z158,"Collection Email","1st Follow-up","2nd Follow-up","Local Office","CBE","Roxanne")&amp;IF($Z158=6," - Final"," - Day "&amp;MAX(0,NETWORKDAYS($AA158,TODAY(),Holidays)-1)&amp;" of "&amp;CHOOSE($Z158,3,3,2,2,3))&amp;" | Total Day "&amp;MAX(0,NETWORKDAYS($N158,TODAY(),Holidays)-1))</f>
        <v/>
      </c>
      <c r="X158" s="18"/>
      <c r="Y158" s="18"/>
      <c r="Z158" s="17">
        <f>IF($N158="","",COUNT($N158:$S158))</f>
        <v/>
      </c>
      <c r="AA158" s="19">
        <f>IF($Z158="","",INT(INDEX($N158:$S158,$Z158)))</f>
        <v/>
      </c>
      <c r="AB158" s="19">
        <f>IF(OR($Z158="",$Z158=6),"",WORKDAY($AA158,CHOOSE($Z158,3,3,2,2,3),Holidays))</f>
        <v/>
      </c>
      <c r="AC158" s="17">
        <f>IF(OR($Z158="",$Z158=6),"",CHOOSE($Z158,"1st Email Follow-up","2nd Email Follow-up","Escalate Local Office","Escalate to CBE","Escalate to Roxanne"))</f>
        <v/>
      </c>
    </row>
    <row r="159" spans="13:29">
      <c r="M159" s="14"/>
      <c r="T159" s="16"/>
      <c r="U159" s="17">
        <f>IF(AND(COUNTA($A159:$L159)=0,$N159=""),"",IF($T159="Paid","PAID",IF($T159="Closed","CLOSED",IF($Z159="","",IF($Z159=6,"ESCALATED TO ROXANNE",IF(TODAY()&gt;$AB159,"OVERDUE",IF($AB159&lt;=WORKDAY(TODAY(),1,Holidays),"DUE TOMORROW",IF($Z159=4,"ESCALATED TO LOCAL OFFICE",IF($Z159=5,"ESCALATED TO CBE",IF($AA159=TODAY(),"EMAIL SENT","MONITORING"))))))))))</f>
        <v/>
      </c>
      <c r="V159" s="17">
        <f>IF($U159="",IF(AND(COUNTA($A159:$L159)&gt;0,$N159=""),"Awaiting Collection Email time stamp.",""),IF(OR($U159="PAID",$U159="CLOSED"),IF($U159="PAID","Account paid. Action completed.","Account closed. No further action required."),CHOOSE($Z159,"Collection Email","1st Email Follow-up","2nd Email Follow-up","Escalation to Local Office","Escalation to CBE","Escalation to Roxanne")&amp;" sent "&amp;TEXT($AA159,"dd-mmm")&amp;". "&amp;IF($Z159=6,"Final escalation completed.",IF($U159="OVERDUE","Next: "&amp;$AC159&amp;" was due "&amp;TEXT($AB159,"dd-mmm")&amp;" - "&amp;(NETWORKDAYS($AB159,TODAY(),Holidays)-1)&amp;" business day(s) late. Send now.",IF($U159="DUE TOMORROW","Next: "&amp;$AC159&amp;IF($AB159&lt;=TODAY()," is due TODAY ("," is due next business day (")&amp;TEXT($AB159,"dd-mmm")&amp;").","Next: "&amp;$AC159&amp;" due "&amp;TEXT($AB159,"dd-mmm")&amp;" ("&amp;(NETWORKDAYS(TODAY(),$AB159,Holidays)-1)&amp;" business day(s) left).")))))</f>
        <v/>
      </c>
      <c r="W159" s="17">
        <f>IF($Z159="","",CHOOSE($Z159,"Collection Email","1st Follow-up","2nd Follow-up","Local Office","CBE","Roxanne")&amp;IF($Z159=6," - Final"," - Day "&amp;MAX(0,NETWORKDAYS($AA159,TODAY(),Holidays)-1)&amp;" of "&amp;CHOOSE($Z159,3,3,2,2,3))&amp;" | Total Day "&amp;MAX(0,NETWORKDAYS($N159,TODAY(),Holidays)-1))</f>
        <v/>
      </c>
      <c r="X159" s="18"/>
      <c r="Y159" s="18"/>
      <c r="Z159" s="17">
        <f>IF($N159="","",COUNT($N159:$S159))</f>
        <v/>
      </c>
      <c r="AA159" s="19">
        <f>IF($Z159="","",INT(INDEX($N159:$S159,$Z159)))</f>
        <v/>
      </c>
      <c r="AB159" s="19">
        <f>IF(OR($Z159="",$Z159=6),"",WORKDAY($AA159,CHOOSE($Z159,3,3,2,2,3),Holidays))</f>
        <v/>
      </c>
      <c r="AC159" s="17">
        <f>IF(OR($Z159="",$Z159=6),"",CHOOSE($Z159,"1st Email Follow-up","2nd Email Follow-up","Escalate Local Office","Escalate to CBE","Escalate to Roxanne"))</f>
        <v/>
      </c>
    </row>
    <row r="160" spans="13:29">
      <c r="M160" s="14"/>
      <c r="T160" s="16"/>
      <c r="U160" s="17">
        <f>IF(AND(COUNTA($A160:$L160)=0,$N160=""),"",IF($T160="Paid","PAID",IF($T160="Closed","CLOSED",IF($Z160="","",IF($Z160=6,"ESCALATED TO ROXANNE",IF(TODAY()&gt;$AB160,"OVERDUE",IF($AB160&lt;=WORKDAY(TODAY(),1,Holidays),"DUE TOMORROW",IF($Z160=4,"ESCALATED TO LOCAL OFFICE",IF($Z160=5,"ESCALATED TO CBE",IF($AA160=TODAY(),"EMAIL SENT","MONITORING"))))))))))</f>
        <v/>
      </c>
      <c r="V160" s="17">
        <f>IF($U160="",IF(AND(COUNTA($A160:$L160)&gt;0,$N160=""),"Awaiting Collection Email time stamp.",""),IF(OR($U160="PAID",$U160="CLOSED"),IF($U160="PAID","Account paid. Action completed.","Account closed. No further action required."),CHOOSE($Z160,"Collection Email","1st Email Follow-up","2nd Email Follow-up","Escalation to Local Office","Escalation to CBE","Escalation to Roxanne")&amp;" sent "&amp;TEXT($AA160,"dd-mmm")&amp;". "&amp;IF($Z160=6,"Final escalation completed.",IF($U160="OVERDUE","Next: "&amp;$AC160&amp;" was due "&amp;TEXT($AB160,"dd-mmm")&amp;" - "&amp;(NETWORKDAYS($AB160,TODAY(),Holidays)-1)&amp;" business day(s) late. Send now.",IF($U160="DUE TOMORROW","Next: "&amp;$AC160&amp;IF($AB160&lt;=TODAY()," is due TODAY ("," is due next business day (")&amp;TEXT($AB160,"dd-mmm")&amp;").","Next: "&amp;$AC160&amp;" due "&amp;TEXT($AB160,"dd-mmm")&amp;" ("&amp;(NETWORKDAYS(TODAY(),$AB160,Holidays)-1)&amp;" business day(s) left).")))))</f>
        <v/>
      </c>
      <c r="W160" s="17">
        <f>IF($Z160="","",CHOOSE($Z160,"Collection Email","1st Follow-up","2nd Follow-up","Local Office","CBE","Roxanne")&amp;IF($Z160=6," - Final"," - Day "&amp;MAX(0,NETWORKDAYS($AA160,TODAY(),Holidays)-1)&amp;" of "&amp;CHOOSE($Z160,3,3,2,2,3))&amp;" | Total Day "&amp;MAX(0,NETWORKDAYS($N160,TODAY(),Holidays)-1))</f>
        <v/>
      </c>
      <c r="X160" s="18"/>
      <c r="Y160" s="18"/>
      <c r="Z160" s="17">
        <f>IF($N160="","",COUNT($N160:$S160))</f>
        <v/>
      </c>
      <c r="AA160" s="19">
        <f>IF($Z160="","",INT(INDEX($N160:$S160,$Z160)))</f>
        <v/>
      </c>
      <c r="AB160" s="19">
        <f>IF(OR($Z160="",$Z160=6),"",WORKDAY($AA160,CHOOSE($Z160,3,3,2,2,3),Holidays))</f>
        <v/>
      </c>
      <c r="AC160" s="17">
        <f>IF(OR($Z160="",$Z160=6),"",CHOOSE($Z160,"1st Email Follow-up","2nd Email Follow-up","Escalate Local Office","Escalate to CBE","Escalate to Roxanne"))</f>
        <v/>
      </c>
    </row>
    <row r="161" spans="13:29">
      <c r="M161" s="14"/>
      <c r="T161" s="16"/>
      <c r="U161" s="17">
        <f>IF(AND(COUNTA($A161:$L161)=0,$N161=""),"",IF($T161="Paid","PAID",IF($T161="Closed","CLOSED",IF($Z161="","",IF($Z161=6,"ESCALATED TO ROXANNE",IF(TODAY()&gt;$AB161,"OVERDUE",IF($AB161&lt;=WORKDAY(TODAY(),1,Holidays),"DUE TOMORROW",IF($Z161=4,"ESCALATED TO LOCAL OFFICE",IF($Z161=5,"ESCALATED TO CBE",IF($AA161=TODAY(),"EMAIL SENT","MONITORING"))))))))))</f>
        <v/>
      </c>
      <c r="V161" s="17">
        <f>IF($U161="",IF(AND(COUNTA($A161:$L161)&gt;0,$N161=""),"Awaiting Collection Email time stamp.",""),IF(OR($U161="PAID",$U161="CLOSED"),IF($U161="PAID","Account paid. Action completed.","Account closed. No further action required."),CHOOSE($Z161,"Collection Email","1st Email Follow-up","2nd Email Follow-up","Escalation to Local Office","Escalation to CBE","Escalation to Roxanne")&amp;" sent "&amp;TEXT($AA161,"dd-mmm")&amp;". "&amp;IF($Z161=6,"Final escalation completed.",IF($U161="OVERDUE","Next: "&amp;$AC161&amp;" was due "&amp;TEXT($AB161,"dd-mmm")&amp;" - "&amp;(NETWORKDAYS($AB161,TODAY(),Holidays)-1)&amp;" business day(s) late. Send now.",IF($U161="DUE TOMORROW","Next: "&amp;$AC161&amp;IF($AB161&lt;=TODAY()," is due TODAY ("," is due next business day (")&amp;TEXT($AB161,"dd-mmm")&amp;").","Next: "&amp;$AC161&amp;" due "&amp;TEXT($AB161,"dd-mmm")&amp;" ("&amp;(NETWORKDAYS(TODAY(),$AB161,Holidays)-1)&amp;" business day(s) left).")))))</f>
        <v/>
      </c>
      <c r="W161" s="17">
        <f>IF($Z161="","",CHOOSE($Z161,"Collection Email","1st Follow-up","2nd Follow-up","Local Office","CBE","Roxanne")&amp;IF($Z161=6," - Final"," - Day "&amp;MAX(0,NETWORKDAYS($AA161,TODAY(),Holidays)-1)&amp;" of "&amp;CHOOSE($Z161,3,3,2,2,3))&amp;" | Total Day "&amp;MAX(0,NETWORKDAYS($N161,TODAY(),Holidays)-1))</f>
        <v/>
      </c>
      <c r="X161" s="18"/>
      <c r="Y161" s="18"/>
      <c r="Z161" s="17">
        <f>IF($N161="","",COUNT($N161:$S161))</f>
        <v/>
      </c>
      <c r="AA161" s="19">
        <f>IF($Z161="","",INT(INDEX($N161:$S161,$Z161)))</f>
        <v/>
      </c>
      <c r="AB161" s="19">
        <f>IF(OR($Z161="",$Z161=6),"",WORKDAY($AA161,CHOOSE($Z161,3,3,2,2,3),Holidays))</f>
        <v/>
      </c>
      <c r="AC161" s="17">
        <f>IF(OR($Z161="",$Z161=6),"",CHOOSE($Z161,"1st Email Follow-up","2nd Email Follow-up","Escalate Local Office","Escalate to CBE","Escalate to Roxanne"))</f>
        <v/>
      </c>
    </row>
    <row r="162" spans="13:29">
      <c r="M162" s="14"/>
      <c r="T162" s="16"/>
      <c r="U162" s="17">
        <f>IF(AND(COUNTA($A162:$L162)=0,$N162=""),"",IF($T162="Paid","PAID",IF($T162="Closed","CLOSED",IF($Z162="","",IF($Z162=6,"ESCALATED TO ROXANNE",IF(TODAY()&gt;$AB162,"OVERDUE",IF($AB162&lt;=WORKDAY(TODAY(),1,Holidays),"DUE TOMORROW",IF($Z162=4,"ESCALATED TO LOCAL OFFICE",IF($Z162=5,"ESCALATED TO CBE",IF($AA162=TODAY(),"EMAIL SENT","MONITORING"))))))))))</f>
        <v/>
      </c>
      <c r="V162" s="17">
        <f>IF($U162="",IF(AND(COUNTA($A162:$L162)&gt;0,$N162=""),"Awaiting Collection Email time stamp.",""),IF(OR($U162="PAID",$U162="CLOSED"),IF($U162="PAID","Account paid. Action completed.","Account closed. No further action required."),CHOOSE($Z162,"Collection Email","1st Email Follow-up","2nd Email Follow-up","Escalation to Local Office","Escalation to CBE","Escalation to Roxanne")&amp;" sent "&amp;TEXT($AA162,"dd-mmm")&amp;". "&amp;IF($Z162=6,"Final escalation completed.",IF($U162="OVERDUE","Next: "&amp;$AC162&amp;" was due "&amp;TEXT($AB162,"dd-mmm")&amp;" - "&amp;(NETWORKDAYS($AB162,TODAY(),Holidays)-1)&amp;" business day(s) late. Send now.",IF($U162="DUE TOMORROW","Next: "&amp;$AC162&amp;IF($AB162&lt;=TODAY()," is due TODAY ("," is due next business day (")&amp;TEXT($AB162,"dd-mmm")&amp;").","Next: "&amp;$AC162&amp;" due "&amp;TEXT($AB162,"dd-mmm")&amp;" ("&amp;(NETWORKDAYS(TODAY(),$AB162,Holidays)-1)&amp;" business day(s) left).")))))</f>
        <v/>
      </c>
      <c r="W162" s="17">
        <f>IF($Z162="","",CHOOSE($Z162,"Collection Email","1st Follow-up","2nd Follow-up","Local Office","CBE","Roxanne")&amp;IF($Z162=6," - Final"," - Day "&amp;MAX(0,NETWORKDAYS($AA162,TODAY(),Holidays)-1)&amp;" of "&amp;CHOOSE($Z162,3,3,2,2,3))&amp;" | Total Day "&amp;MAX(0,NETWORKDAYS($N162,TODAY(),Holidays)-1))</f>
        <v/>
      </c>
      <c r="X162" s="18"/>
      <c r="Y162" s="18"/>
      <c r="Z162" s="17">
        <f>IF($N162="","",COUNT($N162:$S162))</f>
        <v/>
      </c>
      <c r="AA162" s="19">
        <f>IF($Z162="","",INT(INDEX($N162:$S162,$Z162)))</f>
        <v/>
      </c>
      <c r="AB162" s="19">
        <f>IF(OR($Z162="",$Z162=6),"",WORKDAY($AA162,CHOOSE($Z162,3,3,2,2,3),Holidays))</f>
        <v/>
      </c>
      <c r="AC162" s="17">
        <f>IF(OR($Z162="",$Z162=6),"",CHOOSE($Z162,"1st Email Follow-up","2nd Email Follow-up","Escalate Local Office","Escalate to CBE","Escalate to Roxanne"))</f>
        <v/>
      </c>
    </row>
    <row r="163" spans="13:29">
      <c r="M163" s="14"/>
      <c r="T163" s="16"/>
      <c r="U163" s="17">
        <f>IF(AND(COUNTA($A163:$L163)=0,$N163=""),"",IF($T163="Paid","PAID",IF($T163="Closed","CLOSED",IF($Z163="","",IF($Z163=6,"ESCALATED TO ROXANNE",IF(TODAY()&gt;$AB163,"OVERDUE",IF($AB163&lt;=WORKDAY(TODAY(),1,Holidays),"DUE TOMORROW",IF($Z163=4,"ESCALATED TO LOCAL OFFICE",IF($Z163=5,"ESCALATED TO CBE",IF($AA163=TODAY(),"EMAIL SENT","MONITORING"))))))))))</f>
        <v/>
      </c>
      <c r="V163" s="17">
        <f>IF($U163="",IF(AND(COUNTA($A163:$L163)&gt;0,$N163=""),"Awaiting Collection Email time stamp.",""),IF(OR($U163="PAID",$U163="CLOSED"),IF($U163="PAID","Account paid. Action completed.","Account closed. No further action required."),CHOOSE($Z163,"Collection Email","1st Email Follow-up","2nd Email Follow-up","Escalation to Local Office","Escalation to CBE","Escalation to Roxanne")&amp;" sent "&amp;TEXT($AA163,"dd-mmm")&amp;". "&amp;IF($Z163=6,"Final escalation completed.",IF($U163="OVERDUE","Next: "&amp;$AC163&amp;" was due "&amp;TEXT($AB163,"dd-mmm")&amp;" - "&amp;(NETWORKDAYS($AB163,TODAY(),Holidays)-1)&amp;" business day(s) late. Send now.",IF($U163="DUE TOMORROW","Next: "&amp;$AC163&amp;IF($AB163&lt;=TODAY()," is due TODAY ("," is due next business day (")&amp;TEXT($AB163,"dd-mmm")&amp;").","Next: "&amp;$AC163&amp;" due "&amp;TEXT($AB163,"dd-mmm")&amp;" ("&amp;(NETWORKDAYS(TODAY(),$AB163,Holidays)-1)&amp;" business day(s) left).")))))</f>
        <v/>
      </c>
      <c r="W163" s="17">
        <f>IF($Z163="","",CHOOSE($Z163,"Collection Email","1st Follow-up","2nd Follow-up","Local Office","CBE","Roxanne")&amp;IF($Z163=6," - Final"," - Day "&amp;MAX(0,NETWORKDAYS($AA163,TODAY(),Holidays)-1)&amp;" of "&amp;CHOOSE($Z163,3,3,2,2,3))&amp;" | Total Day "&amp;MAX(0,NETWORKDAYS($N163,TODAY(),Holidays)-1))</f>
        <v/>
      </c>
      <c r="X163" s="18"/>
      <c r="Y163" s="18"/>
      <c r="Z163" s="17">
        <f>IF($N163="","",COUNT($N163:$S163))</f>
        <v/>
      </c>
      <c r="AA163" s="19">
        <f>IF($Z163="","",INT(INDEX($N163:$S163,$Z163)))</f>
        <v/>
      </c>
      <c r="AB163" s="19">
        <f>IF(OR($Z163="",$Z163=6),"",WORKDAY($AA163,CHOOSE($Z163,3,3,2,2,3),Holidays))</f>
        <v/>
      </c>
      <c r="AC163" s="17">
        <f>IF(OR($Z163="",$Z163=6),"",CHOOSE($Z163,"1st Email Follow-up","2nd Email Follow-up","Escalate Local Office","Escalate to CBE","Escalate to Roxanne"))</f>
        <v/>
      </c>
    </row>
    <row r="164" spans="13:29">
      <c r="M164" s="14"/>
      <c r="T164" s="16"/>
      <c r="U164" s="17">
        <f>IF(AND(COUNTA($A164:$L164)=0,$N164=""),"",IF($T164="Paid","PAID",IF($T164="Closed","CLOSED",IF($Z164="","",IF($Z164=6,"ESCALATED TO ROXANNE",IF(TODAY()&gt;$AB164,"OVERDUE",IF($AB164&lt;=WORKDAY(TODAY(),1,Holidays),"DUE TOMORROW",IF($Z164=4,"ESCALATED TO LOCAL OFFICE",IF($Z164=5,"ESCALATED TO CBE",IF($AA164=TODAY(),"EMAIL SENT","MONITORING"))))))))))</f>
        <v/>
      </c>
      <c r="V164" s="17">
        <f>IF($U164="",IF(AND(COUNTA($A164:$L164)&gt;0,$N164=""),"Awaiting Collection Email time stamp.",""),IF(OR($U164="PAID",$U164="CLOSED"),IF($U164="PAID","Account paid. Action completed.","Account closed. No further action required."),CHOOSE($Z164,"Collection Email","1st Email Follow-up","2nd Email Follow-up","Escalation to Local Office","Escalation to CBE","Escalation to Roxanne")&amp;" sent "&amp;TEXT($AA164,"dd-mmm")&amp;". "&amp;IF($Z164=6,"Final escalation completed.",IF($U164="OVERDUE","Next: "&amp;$AC164&amp;" was due "&amp;TEXT($AB164,"dd-mmm")&amp;" - "&amp;(NETWORKDAYS($AB164,TODAY(),Holidays)-1)&amp;" business day(s) late. Send now.",IF($U164="DUE TOMORROW","Next: "&amp;$AC164&amp;IF($AB164&lt;=TODAY()," is due TODAY ("," is due next business day (")&amp;TEXT($AB164,"dd-mmm")&amp;").","Next: "&amp;$AC164&amp;" due "&amp;TEXT($AB164,"dd-mmm")&amp;" ("&amp;(NETWORKDAYS(TODAY(),$AB164,Holidays)-1)&amp;" business day(s) left).")))))</f>
        <v/>
      </c>
      <c r="W164" s="17">
        <f>IF($Z164="","",CHOOSE($Z164,"Collection Email","1st Follow-up","2nd Follow-up","Local Office","CBE","Roxanne")&amp;IF($Z164=6," - Final"," - Day "&amp;MAX(0,NETWORKDAYS($AA164,TODAY(),Holidays)-1)&amp;" of "&amp;CHOOSE($Z164,3,3,2,2,3))&amp;" | Total Day "&amp;MAX(0,NETWORKDAYS($N164,TODAY(),Holidays)-1))</f>
        <v/>
      </c>
      <c r="X164" s="18"/>
      <c r="Y164" s="18"/>
      <c r="Z164" s="17">
        <f>IF($N164="","",COUNT($N164:$S164))</f>
        <v/>
      </c>
      <c r="AA164" s="19">
        <f>IF($Z164="","",INT(INDEX($N164:$S164,$Z164)))</f>
        <v/>
      </c>
      <c r="AB164" s="19">
        <f>IF(OR($Z164="",$Z164=6),"",WORKDAY($AA164,CHOOSE($Z164,3,3,2,2,3),Holidays))</f>
        <v/>
      </c>
      <c r="AC164" s="17">
        <f>IF(OR($Z164="",$Z164=6),"",CHOOSE($Z164,"1st Email Follow-up","2nd Email Follow-up","Escalate Local Office","Escalate to CBE","Escalate to Roxanne"))</f>
        <v/>
      </c>
    </row>
    <row r="165" spans="13:29">
      <c r="M165" s="14"/>
      <c r="T165" s="16"/>
      <c r="U165" s="17">
        <f>IF(AND(COUNTA($A165:$L165)=0,$N165=""),"",IF($T165="Paid","PAID",IF($T165="Closed","CLOSED",IF($Z165="","",IF($Z165=6,"ESCALATED TO ROXANNE",IF(TODAY()&gt;$AB165,"OVERDUE",IF($AB165&lt;=WORKDAY(TODAY(),1,Holidays),"DUE TOMORROW",IF($Z165=4,"ESCALATED TO LOCAL OFFICE",IF($Z165=5,"ESCALATED TO CBE",IF($AA165=TODAY(),"EMAIL SENT","MONITORING"))))))))))</f>
        <v/>
      </c>
      <c r="V165" s="17">
        <f>IF($U165="",IF(AND(COUNTA($A165:$L165)&gt;0,$N165=""),"Awaiting Collection Email time stamp.",""),IF(OR($U165="PAID",$U165="CLOSED"),IF($U165="PAID","Account paid. Action completed.","Account closed. No further action required."),CHOOSE($Z165,"Collection Email","1st Email Follow-up","2nd Email Follow-up","Escalation to Local Office","Escalation to CBE","Escalation to Roxanne")&amp;" sent "&amp;TEXT($AA165,"dd-mmm")&amp;". "&amp;IF($Z165=6,"Final escalation completed.",IF($U165="OVERDUE","Next: "&amp;$AC165&amp;" was due "&amp;TEXT($AB165,"dd-mmm")&amp;" - "&amp;(NETWORKDAYS($AB165,TODAY(),Holidays)-1)&amp;" business day(s) late. Send now.",IF($U165="DUE TOMORROW","Next: "&amp;$AC165&amp;IF($AB165&lt;=TODAY()," is due TODAY ("," is due next business day (")&amp;TEXT($AB165,"dd-mmm")&amp;").","Next: "&amp;$AC165&amp;" due "&amp;TEXT($AB165,"dd-mmm")&amp;" ("&amp;(NETWORKDAYS(TODAY(),$AB165,Holidays)-1)&amp;" business day(s) left).")))))</f>
        <v/>
      </c>
      <c r="W165" s="17">
        <f>IF($Z165="","",CHOOSE($Z165,"Collection Email","1st Follow-up","2nd Follow-up","Local Office","CBE","Roxanne")&amp;IF($Z165=6," - Final"," - Day "&amp;MAX(0,NETWORKDAYS($AA165,TODAY(),Holidays)-1)&amp;" of "&amp;CHOOSE($Z165,3,3,2,2,3))&amp;" | Total Day "&amp;MAX(0,NETWORKDAYS($N165,TODAY(),Holidays)-1))</f>
        <v/>
      </c>
      <c r="X165" s="18"/>
      <c r="Y165" s="18"/>
      <c r="Z165" s="17">
        <f>IF($N165="","",COUNT($N165:$S165))</f>
        <v/>
      </c>
      <c r="AA165" s="19">
        <f>IF($Z165="","",INT(INDEX($N165:$S165,$Z165)))</f>
        <v/>
      </c>
      <c r="AB165" s="19">
        <f>IF(OR($Z165="",$Z165=6),"",WORKDAY($AA165,CHOOSE($Z165,3,3,2,2,3),Holidays))</f>
        <v/>
      </c>
      <c r="AC165" s="17">
        <f>IF(OR($Z165="",$Z165=6),"",CHOOSE($Z165,"1st Email Follow-up","2nd Email Follow-up","Escalate Local Office","Escalate to CBE","Escalate to Roxanne"))</f>
        <v/>
      </c>
    </row>
    <row r="166" spans="13:29">
      <c r="M166" s="14"/>
      <c r="T166" s="16"/>
      <c r="U166" s="17">
        <f>IF(AND(COUNTA($A166:$L166)=0,$N166=""),"",IF($T166="Paid","PAID",IF($T166="Closed","CLOSED",IF($Z166="","",IF($Z166=6,"ESCALATED TO ROXANNE",IF(TODAY()&gt;$AB166,"OVERDUE",IF($AB166&lt;=WORKDAY(TODAY(),1,Holidays),"DUE TOMORROW",IF($Z166=4,"ESCALATED TO LOCAL OFFICE",IF($Z166=5,"ESCALATED TO CBE",IF($AA166=TODAY(),"EMAIL SENT","MONITORING"))))))))))</f>
        <v/>
      </c>
      <c r="V166" s="17">
        <f>IF($U166="",IF(AND(COUNTA($A166:$L166)&gt;0,$N166=""),"Awaiting Collection Email time stamp.",""),IF(OR($U166="PAID",$U166="CLOSED"),IF($U166="PAID","Account paid. Action completed.","Account closed. No further action required."),CHOOSE($Z166,"Collection Email","1st Email Follow-up","2nd Email Follow-up","Escalation to Local Office","Escalation to CBE","Escalation to Roxanne")&amp;" sent "&amp;TEXT($AA166,"dd-mmm")&amp;". "&amp;IF($Z166=6,"Final escalation completed.",IF($U166="OVERDUE","Next: "&amp;$AC166&amp;" was due "&amp;TEXT($AB166,"dd-mmm")&amp;" - "&amp;(NETWORKDAYS($AB166,TODAY(),Holidays)-1)&amp;" business day(s) late. Send now.",IF($U166="DUE TOMORROW","Next: "&amp;$AC166&amp;IF($AB166&lt;=TODAY()," is due TODAY ("," is due next business day (")&amp;TEXT($AB166,"dd-mmm")&amp;").","Next: "&amp;$AC166&amp;" due "&amp;TEXT($AB166,"dd-mmm")&amp;" ("&amp;(NETWORKDAYS(TODAY(),$AB166,Holidays)-1)&amp;" business day(s) left).")))))</f>
        <v/>
      </c>
      <c r="W166" s="17">
        <f>IF($Z166="","",CHOOSE($Z166,"Collection Email","1st Follow-up","2nd Follow-up","Local Office","CBE","Roxanne")&amp;IF($Z166=6," - Final"," - Day "&amp;MAX(0,NETWORKDAYS($AA166,TODAY(),Holidays)-1)&amp;" of "&amp;CHOOSE($Z166,3,3,2,2,3))&amp;" | Total Day "&amp;MAX(0,NETWORKDAYS($N166,TODAY(),Holidays)-1))</f>
        <v/>
      </c>
      <c r="X166" s="18"/>
      <c r="Y166" s="18"/>
      <c r="Z166" s="17">
        <f>IF($N166="","",COUNT($N166:$S166))</f>
        <v/>
      </c>
      <c r="AA166" s="19">
        <f>IF($Z166="","",INT(INDEX($N166:$S166,$Z166)))</f>
        <v/>
      </c>
      <c r="AB166" s="19">
        <f>IF(OR($Z166="",$Z166=6),"",WORKDAY($AA166,CHOOSE($Z166,3,3,2,2,3),Holidays))</f>
        <v/>
      </c>
      <c r="AC166" s="17">
        <f>IF(OR($Z166="",$Z166=6),"",CHOOSE($Z166,"1st Email Follow-up","2nd Email Follow-up","Escalate Local Office","Escalate to CBE","Escalate to Roxanne"))</f>
        <v/>
      </c>
    </row>
    <row r="167" spans="13:29">
      <c r="M167" s="14"/>
      <c r="T167" s="16"/>
      <c r="U167" s="17">
        <f>IF(AND(COUNTA($A167:$L167)=0,$N167=""),"",IF($T167="Paid","PAID",IF($T167="Closed","CLOSED",IF($Z167="","",IF($Z167=6,"ESCALATED TO ROXANNE",IF(TODAY()&gt;$AB167,"OVERDUE",IF($AB167&lt;=WORKDAY(TODAY(),1,Holidays),"DUE TOMORROW",IF($Z167=4,"ESCALATED TO LOCAL OFFICE",IF($Z167=5,"ESCALATED TO CBE",IF($AA167=TODAY(),"EMAIL SENT","MONITORING"))))))))))</f>
        <v/>
      </c>
      <c r="V167" s="17">
        <f>IF($U167="",IF(AND(COUNTA($A167:$L167)&gt;0,$N167=""),"Awaiting Collection Email time stamp.",""),IF(OR($U167="PAID",$U167="CLOSED"),IF($U167="PAID","Account paid. Action completed.","Account closed. No further action required."),CHOOSE($Z167,"Collection Email","1st Email Follow-up","2nd Email Follow-up","Escalation to Local Office","Escalation to CBE","Escalation to Roxanne")&amp;" sent "&amp;TEXT($AA167,"dd-mmm")&amp;". "&amp;IF($Z167=6,"Final escalation completed.",IF($U167="OVERDUE","Next: "&amp;$AC167&amp;" was due "&amp;TEXT($AB167,"dd-mmm")&amp;" - "&amp;(NETWORKDAYS($AB167,TODAY(),Holidays)-1)&amp;" business day(s) late. Send now.",IF($U167="DUE TOMORROW","Next: "&amp;$AC167&amp;IF($AB167&lt;=TODAY()," is due TODAY ("," is due next business day (")&amp;TEXT($AB167,"dd-mmm")&amp;").","Next: "&amp;$AC167&amp;" due "&amp;TEXT($AB167,"dd-mmm")&amp;" ("&amp;(NETWORKDAYS(TODAY(),$AB167,Holidays)-1)&amp;" business day(s) left).")))))</f>
        <v/>
      </c>
      <c r="W167" s="17">
        <f>IF($Z167="","",CHOOSE($Z167,"Collection Email","1st Follow-up","2nd Follow-up","Local Office","CBE","Roxanne")&amp;IF($Z167=6," - Final"," - Day "&amp;MAX(0,NETWORKDAYS($AA167,TODAY(),Holidays)-1)&amp;" of "&amp;CHOOSE($Z167,3,3,2,2,3))&amp;" | Total Day "&amp;MAX(0,NETWORKDAYS($N167,TODAY(),Holidays)-1))</f>
        <v/>
      </c>
      <c r="X167" s="18"/>
      <c r="Y167" s="18"/>
      <c r="Z167" s="17">
        <f>IF($N167="","",COUNT($N167:$S167))</f>
        <v/>
      </c>
      <c r="AA167" s="19">
        <f>IF($Z167="","",INT(INDEX($N167:$S167,$Z167)))</f>
        <v/>
      </c>
      <c r="AB167" s="19">
        <f>IF(OR($Z167="",$Z167=6),"",WORKDAY($AA167,CHOOSE($Z167,3,3,2,2,3),Holidays))</f>
        <v/>
      </c>
      <c r="AC167" s="17">
        <f>IF(OR($Z167="",$Z167=6),"",CHOOSE($Z167,"1st Email Follow-up","2nd Email Follow-up","Escalate Local Office","Escalate to CBE","Escalate to Roxanne"))</f>
        <v/>
      </c>
    </row>
    <row r="168" spans="13:29">
      <c r="M168" s="14"/>
      <c r="T168" s="16"/>
      <c r="U168" s="17">
        <f>IF(AND(COUNTA($A168:$L168)=0,$N168=""),"",IF($T168="Paid","PAID",IF($T168="Closed","CLOSED",IF($Z168="","",IF($Z168=6,"ESCALATED TO ROXANNE",IF(TODAY()&gt;$AB168,"OVERDUE",IF($AB168&lt;=WORKDAY(TODAY(),1,Holidays),"DUE TOMORROW",IF($Z168=4,"ESCALATED TO LOCAL OFFICE",IF($Z168=5,"ESCALATED TO CBE",IF($AA168=TODAY(),"EMAIL SENT","MONITORING"))))))))))</f>
        <v/>
      </c>
      <c r="V168" s="17">
        <f>IF($U168="",IF(AND(COUNTA($A168:$L168)&gt;0,$N168=""),"Awaiting Collection Email time stamp.",""),IF(OR($U168="PAID",$U168="CLOSED"),IF($U168="PAID","Account paid. Action completed.","Account closed. No further action required."),CHOOSE($Z168,"Collection Email","1st Email Follow-up","2nd Email Follow-up","Escalation to Local Office","Escalation to CBE","Escalation to Roxanne")&amp;" sent "&amp;TEXT($AA168,"dd-mmm")&amp;". "&amp;IF($Z168=6,"Final escalation completed.",IF($U168="OVERDUE","Next: "&amp;$AC168&amp;" was due "&amp;TEXT($AB168,"dd-mmm")&amp;" - "&amp;(NETWORKDAYS($AB168,TODAY(),Holidays)-1)&amp;" business day(s) late. Send now.",IF($U168="DUE TOMORROW","Next: "&amp;$AC168&amp;IF($AB168&lt;=TODAY()," is due TODAY ("," is due next business day (")&amp;TEXT($AB168,"dd-mmm")&amp;").","Next: "&amp;$AC168&amp;" due "&amp;TEXT($AB168,"dd-mmm")&amp;" ("&amp;(NETWORKDAYS(TODAY(),$AB168,Holidays)-1)&amp;" business day(s) left).")))))</f>
        <v/>
      </c>
      <c r="W168" s="17">
        <f>IF($Z168="","",CHOOSE($Z168,"Collection Email","1st Follow-up","2nd Follow-up","Local Office","CBE","Roxanne")&amp;IF($Z168=6," - Final"," - Day "&amp;MAX(0,NETWORKDAYS($AA168,TODAY(),Holidays)-1)&amp;" of "&amp;CHOOSE($Z168,3,3,2,2,3))&amp;" | Total Day "&amp;MAX(0,NETWORKDAYS($N168,TODAY(),Holidays)-1))</f>
        <v/>
      </c>
      <c r="X168" s="18"/>
      <c r="Y168" s="18"/>
      <c r="Z168" s="17">
        <f>IF($N168="","",COUNT($N168:$S168))</f>
        <v/>
      </c>
      <c r="AA168" s="19">
        <f>IF($Z168="","",INT(INDEX($N168:$S168,$Z168)))</f>
        <v/>
      </c>
      <c r="AB168" s="19">
        <f>IF(OR($Z168="",$Z168=6),"",WORKDAY($AA168,CHOOSE($Z168,3,3,2,2,3),Holidays))</f>
        <v/>
      </c>
      <c r="AC168" s="17">
        <f>IF(OR($Z168="",$Z168=6),"",CHOOSE($Z168,"1st Email Follow-up","2nd Email Follow-up","Escalate Local Office","Escalate to CBE","Escalate to Roxanne"))</f>
        <v/>
      </c>
    </row>
    <row r="169" spans="13:29">
      <c r="M169" s="14"/>
      <c r="T169" s="16"/>
      <c r="U169" s="17">
        <f>IF(AND(COUNTA($A169:$L169)=0,$N169=""),"",IF($T169="Paid","PAID",IF($T169="Closed","CLOSED",IF($Z169="","",IF($Z169=6,"ESCALATED TO ROXANNE",IF(TODAY()&gt;$AB169,"OVERDUE",IF($AB169&lt;=WORKDAY(TODAY(),1,Holidays),"DUE TOMORROW",IF($Z169=4,"ESCALATED TO LOCAL OFFICE",IF($Z169=5,"ESCALATED TO CBE",IF($AA169=TODAY(),"EMAIL SENT","MONITORING"))))))))))</f>
        <v/>
      </c>
      <c r="V169" s="17">
        <f>IF($U169="",IF(AND(COUNTA($A169:$L169)&gt;0,$N169=""),"Awaiting Collection Email time stamp.",""),IF(OR($U169="PAID",$U169="CLOSED"),IF($U169="PAID","Account paid. Action completed.","Account closed. No further action required."),CHOOSE($Z169,"Collection Email","1st Email Follow-up","2nd Email Follow-up","Escalation to Local Office","Escalation to CBE","Escalation to Roxanne")&amp;" sent "&amp;TEXT($AA169,"dd-mmm")&amp;". "&amp;IF($Z169=6,"Final escalation completed.",IF($U169="OVERDUE","Next: "&amp;$AC169&amp;" was due "&amp;TEXT($AB169,"dd-mmm")&amp;" - "&amp;(NETWORKDAYS($AB169,TODAY(),Holidays)-1)&amp;" business day(s) late. Send now.",IF($U169="DUE TOMORROW","Next: "&amp;$AC169&amp;IF($AB169&lt;=TODAY()," is due TODAY ("," is due next business day (")&amp;TEXT($AB169,"dd-mmm")&amp;").","Next: "&amp;$AC169&amp;" due "&amp;TEXT($AB169,"dd-mmm")&amp;" ("&amp;(NETWORKDAYS(TODAY(),$AB169,Holidays)-1)&amp;" business day(s) left).")))))</f>
        <v/>
      </c>
      <c r="W169" s="17">
        <f>IF($Z169="","",CHOOSE($Z169,"Collection Email","1st Follow-up","2nd Follow-up","Local Office","CBE","Roxanne")&amp;IF($Z169=6," - Final"," - Day "&amp;MAX(0,NETWORKDAYS($AA169,TODAY(),Holidays)-1)&amp;" of "&amp;CHOOSE($Z169,3,3,2,2,3))&amp;" | Total Day "&amp;MAX(0,NETWORKDAYS($N169,TODAY(),Holidays)-1))</f>
        <v/>
      </c>
      <c r="X169" s="18"/>
      <c r="Y169" s="18"/>
      <c r="Z169" s="17">
        <f>IF($N169="","",COUNT($N169:$S169))</f>
        <v/>
      </c>
      <c r="AA169" s="19">
        <f>IF($Z169="","",INT(INDEX($N169:$S169,$Z169)))</f>
        <v/>
      </c>
      <c r="AB169" s="19">
        <f>IF(OR($Z169="",$Z169=6),"",WORKDAY($AA169,CHOOSE($Z169,3,3,2,2,3),Holidays))</f>
        <v/>
      </c>
      <c r="AC169" s="17">
        <f>IF(OR($Z169="",$Z169=6),"",CHOOSE($Z169,"1st Email Follow-up","2nd Email Follow-up","Escalate Local Office","Escalate to CBE","Escalate to Roxanne"))</f>
        <v/>
      </c>
    </row>
    <row r="170" spans="13:29">
      <c r="M170" s="14"/>
      <c r="T170" s="16"/>
      <c r="U170" s="17">
        <f>IF(AND(COUNTA($A170:$L170)=0,$N170=""),"",IF($T170="Paid","PAID",IF($T170="Closed","CLOSED",IF($Z170="","",IF($Z170=6,"ESCALATED TO ROXANNE",IF(TODAY()&gt;$AB170,"OVERDUE",IF($AB170&lt;=WORKDAY(TODAY(),1,Holidays),"DUE TOMORROW",IF($Z170=4,"ESCALATED TO LOCAL OFFICE",IF($Z170=5,"ESCALATED TO CBE",IF($AA170=TODAY(),"EMAIL SENT","MONITORING"))))))))))</f>
        <v/>
      </c>
      <c r="V170" s="17">
        <f>IF($U170="",IF(AND(COUNTA($A170:$L170)&gt;0,$N170=""),"Awaiting Collection Email time stamp.",""),IF(OR($U170="PAID",$U170="CLOSED"),IF($U170="PAID","Account paid. Action completed.","Account closed. No further action required."),CHOOSE($Z170,"Collection Email","1st Email Follow-up","2nd Email Follow-up","Escalation to Local Office","Escalation to CBE","Escalation to Roxanne")&amp;" sent "&amp;TEXT($AA170,"dd-mmm")&amp;". "&amp;IF($Z170=6,"Final escalation completed.",IF($U170="OVERDUE","Next: "&amp;$AC170&amp;" was due "&amp;TEXT($AB170,"dd-mmm")&amp;" - "&amp;(NETWORKDAYS($AB170,TODAY(),Holidays)-1)&amp;" business day(s) late. Send now.",IF($U170="DUE TOMORROW","Next: "&amp;$AC170&amp;IF($AB170&lt;=TODAY()," is due TODAY ("," is due next business day (")&amp;TEXT($AB170,"dd-mmm")&amp;").","Next: "&amp;$AC170&amp;" due "&amp;TEXT($AB170,"dd-mmm")&amp;" ("&amp;(NETWORKDAYS(TODAY(),$AB170,Holidays)-1)&amp;" business day(s) left).")))))</f>
        <v/>
      </c>
      <c r="W170" s="17">
        <f>IF($Z170="","",CHOOSE($Z170,"Collection Email","1st Follow-up","2nd Follow-up","Local Office","CBE","Roxanne")&amp;IF($Z170=6," - Final"," - Day "&amp;MAX(0,NETWORKDAYS($AA170,TODAY(),Holidays)-1)&amp;" of "&amp;CHOOSE($Z170,3,3,2,2,3))&amp;" | Total Day "&amp;MAX(0,NETWORKDAYS($N170,TODAY(),Holidays)-1))</f>
        <v/>
      </c>
      <c r="X170" s="18"/>
      <c r="Y170" s="18"/>
      <c r="Z170" s="17">
        <f>IF($N170="","",COUNT($N170:$S170))</f>
        <v/>
      </c>
      <c r="AA170" s="19">
        <f>IF($Z170="","",INT(INDEX($N170:$S170,$Z170)))</f>
        <v/>
      </c>
      <c r="AB170" s="19">
        <f>IF(OR($Z170="",$Z170=6),"",WORKDAY($AA170,CHOOSE($Z170,3,3,2,2,3),Holidays))</f>
        <v/>
      </c>
      <c r="AC170" s="17">
        <f>IF(OR($Z170="",$Z170=6),"",CHOOSE($Z170,"1st Email Follow-up","2nd Email Follow-up","Escalate Local Office","Escalate to CBE","Escalate to Roxanne"))</f>
        <v/>
      </c>
    </row>
    <row r="171" spans="13:29">
      <c r="M171" s="14"/>
      <c r="T171" s="16"/>
      <c r="U171" s="17">
        <f>IF(AND(COUNTA($A171:$L171)=0,$N171=""),"",IF($T171="Paid","PAID",IF($T171="Closed","CLOSED",IF($Z171="","",IF($Z171=6,"ESCALATED TO ROXANNE",IF(TODAY()&gt;$AB171,"OVERDUE",IF($AB171&lt;=WORKDAY(TODAY(),1,Holidays),"DUE TOMORROW",IF($Z171=4,"ESCALATED TO LOCAL OFFICE",IF($Z171=5,"ESCALATED TO CBE",IF($AA171=TODAY(),"EMAIL SENT","MONITORING"))))))))))</f>
        <v/>
      </c>
      <c r="V171" s="17">
        <f>IF($U171="",IF(AND(COUNTA($A171:$L171)&gt;0,$N171=""),"Awaiting Collection Email time stamp.",""),IF(OR($U171="PAID",$U171="CLOSED"),IF($U171="PAID","Account paid. Action completed.","Account closed. No further action required."),CHOOSE($Z171,"Collection Email","1st Email Follow-up","2nd Email Follow-up","Escalation to Local Office","Escalation to CBE","Escalation to Roxanne")&amp;" sent "&amp;TEXT($AA171,"dd-mmm")&amp;". "&amp;IF($Z171=6,"Final escalation completed.",IF($U171="OVERDUE","Next: "&amp;$AC171&amp;" was due "&amp;TEXT($AB171,"dd-mmm")&amp;" - "&amp;(NETWORKDAYS($AB171,TODAY(),Holidays)-1)&amp;" business day(s) late. Send now.",IF($U171="DUE TOMORROW","Next: "&amp;$AC171&amp;IF($AB171&lt;=TODAY()," is due TODAY ("," is due next business day (")&amp;TEXT($AB171,"dd-mmm")&amp;").","Next: "&amp;$AC171&amp;" due "&amp;TEXT($AB171,"dd-mmm")&amp;" ("&amp;(NETWORKDAYS(TODAY(),$AB171,Holidays)-1)&amp;" business day(s) left).")))))</f>
        <v/>
      </c>
      <c r="W171" s="17">
        <f>IF($Z171="","",CHOOSE($Z171,"Collection Email","1st Follow-up","2nd Follow-up","Local Office","CBE","Roxanne")&amp;IF($Z171=6," - Final"," - Day "&amp;MAX(0,NETWORKDAYS($AA171,TODAY(),Holidays)-1)&amp;" of "&amp;CHOOSE($Z171,3,3,2,2,3))&amp;" | Total Day "&amp;MAX(0,NETWORKDAYS($N171,TODAY(),Holidays)-1))</f>
        <v/>
      </c>
      <c r="X171" s="18"/>
      <c r="Y171" s="18"/>
      <c r="Z171" s="17">
        <f>IF($N171="","",COUNT($N171:$S171))</f>
        <v/>
      </c>
      <c r="AA171" s="19">
        <f>IF($Z171="","",INT(INDEX($N171:$S171,$Z171)))</f>
        <v/>
      </c>
      <c r="AB171" s="19">
        <f>IF(OR($Z171="",$Z171=6),"",WORKDAY($AA171,CHOOSE($Z171,3,3,2,2,3),Holidays))</f>
        <v/>
      </c>
      <c r="AC171" s="17">
        <f>IF(OR($Z171="",$Z171=6),"",CHOOSE($Z171,"1st Email Follow-up","2nd Email Follow-up","Escalate Local Office","Escalate to CBE","Escalate to Roxanne"))</f>
        <v/>
      </c>
    </row>
    <row r="172" spans="13:29">
      <c r="M172" s="14"/>
      <c r="T172" s="16"/>
      <c r="U172" s="17">
        <f>IF(AND(COUNTA($A172:$L172)=0,$N172=""),"",IF($T172="Paid","PAID",IF($T172="Closed","CLOSED",IF($Z172="","",IF($Z172=6,"ESCALATED TO ROXANNE",IF(TODAY()&gt;$AB172,"OVERDUE",IF($AB172&lt;=WORKDAY(TODAY(),1,Holidays),"DUE TOMORROW",IF($Z172=4,"ESCALATED TO LOCAL OFFICE",IF($Z172=5,"ESCALATED TO CBE",IF($AA172=TODAY(),"EMAIL SENT","MONITORING"))))))))))</f>
        <v/>
      </c>
      <c r="V172" s="17">
        <f>IF($U172="",IF(AND(COUNTA($A172:$L172)&gt;0,$N172=""),"Awaiting Collection Email time stamp.",""),IF(OR($U172="PAID",$U172="CLOSED"),IF($U172="PAID","Account paid. Action completed.","Account closed. No further action required."),CHOOSE($Z172,"Collection Email","1st Email Follow-up","2nd Email Follow-up","Escalation to Local Office","Escalation to CBE","Escalation to Roxanne")&amp;" sent "&amp;TEXT($AA172,"dd-mmm")&amp;". "&amp;IF($Z172=6,"Final escalation completed.",IF($U172="OVERDUE","Next: "&amp;$AC172&amp;" was due "&amp;TEXT($AB172,"dd-mmm")&amp;" - "&amp;(NETWORKDAYS($AB172,TODAY(),Holidays)-1)&amp;" business day(s) late. Send now.",IF($U172="DUE TOMORROW","Next: "&amp;$AC172&amp;IF($AB172&lt;=TODAY()," is due TODAY ("," is due next business day (")&amp;TEXT($AB172,"dd-mmm")&amp;").","Next: "&amp;$AC172&amp;" due "&amp;TEXT($AB172,"dd-mmm")&amp;" ("&amp;(NETWORKDAYS(TODAY(),$AB172,Holidays)-1)&amp;" business day(s) left).")))))</f>
        <v/>
      </c>
      <c r="W172" s="17">
        <f>IF($Z172="","",CHOOSE($Z172,"Collection Email","1st Follow-up","2nd Follow-up","Local Office","CBE","Roxanne")&amp;IF($Z172=6," - Final"," - Day "&amp;MAX(0,NETWORKDAYS($AA172,TODAY(),Holidays)-1)&amp;" of "&amp;CHOOSE($Z172,3,3,2,2,3))&amp;" | Total Day "&amp;MAX(0,NETWORKDAYS($N172,TODAY(),Holidays)-1))</f>
        <v/>
      </c>
      <c r="X172" s="18"/>
      <c r="Y172" s="18"/>
      <c r="Z172" s="17">
        <f>IF($N172="","",COUNT($N172:$S172))</f>
        <v/>
      </c>
      <c r="AA172" s="19">
        <f>IF($Z172="","",INT(INDEX($N172:$S172,$Z172)))</f>
        <v/>
      </c>
      <c r="AB172" s="19">
        <f>IF(OR($Z172="",$Z172=6),"",WORKDAY($AA172,CHOOSE($Z172,3,3,2,2,3),Holidays))</f>
        <v/>
      </c>
      <c r="AC172" s="17">
        <f>IF(OR($Z172="",$Z172=6),"",CHOOSE($Z172,"1st Email Follow-up","2nd Email Follow-up","Escalate Local Office","Escalate to CBE","Escalate to Roxanne"))</f>
        <v/>
      </c>
    </row>
    <row r="173" spans="13:29">
      <c r="M173" s="14"/>
      <c r="T173" s="16"/>
      <c r="U173" s="17">
        <f>IF(AND(COUNTA($A173:$L173)=0,$N173=""),"",IF($T173="Paid","PAID",IF($T173="Closed","CLOSED",IF($Z173="","",IF($Z173=6,"ESCALATED TO ROXANNE",IF(TODAY()&gt;$AB173,"OVERDUE",IF($AB173&lt;=WORKDAY(TODAY(),1,Holidays),"DUE TOMORROW",IF($Z173=4,"ESCALATED TO LOCAL OFFICE",IF($Z173=5,"ESCALATED TO CBE",IF($AA173=TODAY(),"EMAIL SENT","MONITORING"))))))))))</f>
        <v/>
      </c>
      <c r="V173" s="17">
        <f>IF($U173="",IF(AND(COUNTA($A173:$L173)&gt;0,$N173=""),"Awaiting Collection Email time stamp.",""),IF(OR($U173="PAID",$U173="CLOSED"),IF($U173="PAID","Account paid. Action completed.","Account closed. No further action required."),CHOOSE($Z173,"Collection Email","1st Email Follow-up","2nd Email Follow-up","Escalation to Local Office","Escalation to CBE","Escalation to Roxanne")&amp;" sent "&amp;TEXT($AA173,"dd-mmm")&amp;". "&amp;IF($Z173=6,"Final escalation completed.",IF($U173="OVERDUE","Next: "&amp;$AC173&amp;" was due "&amp;TEXT($AB173,"dd-mmm")&amp;" - "&amp;(NETWORKDAYS($AB173,TODAY(),Holidays)-1)&amp;" business day(s) late. Send now.",IF($U173="DUE TOMORROW","Next: "&amp;$AC173&amp;IF($AB173&lt;=TODAY()," is due TODAY ("," is due next business day (")&amp;TEXT($AB173,"dd-mmm")&amp;").","Next: "&amp;$AC173&amp;" due "&amp;TEXT($AB173,"dd-mmm")&amp;" ("&amp;(NETWORKDAYS(TODAY(),$AB173,Holidays)-1)&amp;" business day(s) left).")))))</f>
        <v/>
      </c>
      <c r="W173" s="17">
        <f>IF($Z173="","",CHOOSE($Z173,"Collection Email","1st Follow-up","2nd Follow-up","Local Office","CBE","Roxanne")&amp;IF($Z173=6," - Final"," - Day "&amp;MAX(0,NETWORKDAYS($AA173,TODAY(),Holidays)-1)&amp;" of "&amp;CHOOSE($Z173,3,3,2,2,3))&amp;" | Total Day "&amp;MAX(0,NETWORKDAYS($N173,TODAY(),Holidays)-1))</f>
        <v/>
      </c>
      <c r="X173" s="18"/>
      <c r="Y173" s="18"/>
      <c r="Z173" s="17">
        <f>IF($N173="","",COUNT($N173:$S173))</f>
        <v/>
      </c>
      <c r="AA173" s="19">
        <f>IF($Z173="","",INT(INDEX($N173:$S173,$Z173)))</f>
        <v/>
      </c>
      <c r="AB173" s="19">
        <f>IF(OR($Z173="",$Z173=6),"",WORKDAY($AA173,CHOOSE($Z173,3,3,2,2,3),Holidays))</f>
        <v/>
      </c>
      <c r="AC173" s="17">
        <f>IF(OR($Z173="",$Z173=6),"",CHOOSE($Z173,"1st Email Follow-up","2nd Email Follow-up","Escalate Local Office","Escalate to CBE","Escalate to Roxanne"))</f>
        <v/>
      </c>
    </row>
    <row r="174" spans="13:29">
      <c r="M174" s="14"/>
      <c r="T174" s="16"/>
      <c r="U174" s="17">
        <f>IF(AND(COUNTA($A174:$L174)=0,$N174=""),"",IF($T174="Paid","PAID",IF($T174="Closed","CLOSED",IF($Z174="","",IF($Z174=6,"ESCALATED TO ROXANNE",IF(TODAY()&gt;$AB174,"OVERDUE",IF($AB174&lt;=WORKDAY(TODAY(),1,Holidays),"DUE TOMORROW",IF($Z174=4,"ESCALATED TO LOCAL OFFICE",IF($Z174=5,"ESCALATED TO CBE",IF($AA174=TODAY(),"EMAIL SENT","MONITORING"))))))))))</f>
        <v/>
      </c>
      <c r="V174" s="17">
        <f>IF($U174="",IF(AND(COUNTA($A174:$L174)&gt;0,$N174=""),"Awaiting Collection Email time stamp.",""),IF(OR($U174="PAID",$U174="CLOSED"),IF($U174="PAID","Account paid. Action completed.","Account closed. No further action required."),CHOOSE($Z174,"Collection Email","1st Email Follow-up","2nd Email Follow-up","Escalation to Local Office","Escalation to CBE","Escalation to Roxanne")&amp;" sent "&amp;TEXT($AA174,"dd-mmm")&amp;". "&amp;IF($Z174=6,"Final escalation completed.",IF($U174="OVERDUE","Next: "&amp;$AC174&amp;" was due "&amp;TEXT($AB174,"dd-mmm")&amp;" - "&amp;(NETWORKDAYS($AB174,TODAY(),Holidays)-1)&amp;" business day(s) late. Send now.",IF($U174="DUE TOMORROW","Next: "&amp;$AC174&amp;IF($AB174&lt;=TODAY()," is due TODAY ("," is due next business day (")&amp;TEXT($AB174,"dd-mmm")&amp;").","Next: "&amp;$AC174&amp;" due "&amp;TEXT($AB174,"dd-mmm")&amp;" ("&amp;(NETWORKDAYS(TODAY(),$AB174,Holidays)-1)&amp;" business day(s) left).")))))</f>
        <v/>
      </c>
      <c r="W174" s="17">
        <f>IF($Z174="","",CHOOSE($Z174,"Collection Email","1st Follow-up","2nd Follow-up","Local Office","CBE","Roxanne")&amp;IF($Z174=6," - Final"," - Day "&amp;MAX(0,NETWORKDAYS($AA174,TODAY(),Holidays)-1)&amp;" of "&amp;CHOOSE($Z174,3,3,2,2,3))&amp;" | Total Day "&amp;MAX(0,NETWORKDAYS($N174,TODAY(),Holidays)-1))</f>
        <v/>
      </c>
      <c r="X174" s="18"/>
      <c r="Y174" s="18"/>
      <c r="Z174" s="17">
        <f>IF($N174="","",COUNT($N174:$S174))</f>
        <v/>
      </c>
      <c r="AA174" s="19">
        <f>IF($Z174="","",INT(INDEX($N174:$S174,$Z174)))</f>
        <v/>
      </c>
      <c r="AB174" s="19">
        <f>IF(OR($Z174="",$Z174=6),"",WORKDAY($AA174,CHOOSE($Z174,3,3,2,2,3),Holidays))</f>
        <v/>
      </c>
      <c r="AC174" s="17">
        <f>IF(OR($Z174="",$Z174=6),"",CHOOSE($Z174,"1st Email Follow-up","2nd Email Follow-up","Escalate Local Office","Escalate to CBE","Escalate to Roxanne"))</f>
        <v/>
      </c>
    </row>
    <row r="175" spans="13:29">
      <c r="M175" s="14"/>
      <c r="T175" s="16"/>
      <c r="U175" s="17">
        <f>IF(AND(COUNTA($A175:$L175)=0,$N175=""),"",IF($T175="Paid","PAID",IF($T175="Closed","CLOSED",IF($Z175="","",IF($Z175=6,"ESCALATED TO ROXANNE",IF(TODAY()&gt;$AB175,"OVERDUE",IF($AB175&lt;=WORKDAY(TODAY(),1,Holidays),"DUE TOMORROW",IF($Z175=4,"ESCALATED TO LOCAL OFFICE",IF($Z175=5,"ESCALATED TO CBE",IF($AA175=TODAY(),"EMAIL SENT","MONITORING"))))))))))</f>
        <v/>
      </c>
      <c r="V175" s="17">
        <f>IF($U175="",IF(AND(COUNTA($A175:$L175)&gt;0,$N175=""),"Awaiting Collection Email time stamp.",""),IF(OR($U175="PAID",$U175="CLOSED"),IF($U175="PAID","Account paid. Action completed.","Account closed. No further action required."),CHOOSE($Z175,"Collection Email","1st Email Follow-up","2nd Email Follow-up","Escalation to Local Office","Escalation to CBE","Escalation to Roxanne")&amp;" sent "&amp;TEXT($AA175,"dd-mmm")&amp;". "&amp;IF($Z175=6,"Final escalation completed.",IF($U175="OVERDUE","Next: "&amp;$AC175&amp;" was due "&amp;TEXT($AB175,"dd-mmm")&amp;" - "&amp;(NETWORKDAYS($AB175,TODAY(),Holidays)-1)&amp;" business day(s) late. Send now.",IF($U175="DUE TOMORROW","Next: "&amp;$AC175&amp;IF($AB175&lt;=TODAY()," is due TODAY ("," is due next business day (")&amp;TEXT($AB175,"dd-mmm")&amp;").","Next: "&amp;$AC175&amp;" due "&amp;TEXT($AB175,"dd-mmm")&amp;" ("&amp;(NETWORKDAYS(TODAY(),$AB175,Holidays)-1)&amp;" business day(s) left).")))))</f>
        <v/>
      </c>
      <c r="W175" s="17">
        <f>IF($Z175="","",CHOOSE($Z175,"Collection Email","1st Follow-up","2nd Follow-up","Local Office","CBE","Roxanne")&amp;IF($Z175=6," - Final"," - Day "&amp;MAX(0,NETWORKDAYS($AA175,TODAY(),Holidays)-1)&amp;" of "&amp;CHOOSE($Z175,3,3,2,2,3))&amp;" | Total Day "&amp;MAX(0,NETWORKDAYS($N175,TODAY(),Holidays)-1))</f>
        <v/>
      </c>
      <c r="X175" s="18"/>
      <c r="Y175" s="18"/>
      <c r="Z175" s="17">
        <f>IF($N175="","",COUNT($N175:$S175))</f>
        <v/>
      </c>
      <c r="AA175" s="19">
        <f>IF($Z175="","",INT(INDEX($N175:$S175,$Z175)))</f>
        <v/>
      </c>
      <c r="AB175" s="19">
        <f>IF(OR($Z175="",$Z175=6),"",WORKDAY($AA175,CHOOSE($Z175,3,3,2,2,3),Holidays))</f>
        <v/>
      </c>
      <c r="AC175" s="17">
        <f>IF(OR($Z175="",$Z175=6),"",CHOOSE($Z175,"1st Email Follow-up","2nd Email Follow-up","Escalate Local Office","Escalate to CBE","Escalate to Roxanne"))</f>
        <v/>
      </c>
    </row>
    <row r="176" spans="13:29">
      <c r="M176" s="14"/>
      <c r="T176" s="16"/>
      <c r="U176" s="17">
        <f>IF(AND(COUNTA($A176:$L176)=0,$N176=""),"",IF($T176="Paid","PAID",IF($T176="Closed","CLOSED",IF($Z176="","",IF($Z176=6,"ESCALATED TO ROXANNE",IF(TODAY()&gt;$AB176,"OVERDUE",IF($AB176&lt;=WORKDAY(TODAY(),1,Holidays),"DUE TOMORROW",IF($Z176=4,"ESCALATED TO LOCAL OFFICE",IF($Z176=5,"ESCALATED TO CBE",IF($AA176=TODAY(),"EMAIL SENT","MONITORING"))))))))))</f>
        <v/>
      </c>
      <c r="V176" s="17">
        <f>IF($U176="",IF(AND(COUNTA($A176:$L176)&gt;0,$N176=""),"Awaiting Collection Email time stamp.",""),IF(OR($U176="PAID",$U176="CLOSED"),IF($U176="PAID","Account paid. Action completed.","Account closed. No further action required."),CHOOSE($Z176,"Collection Email","1st Email Follow-up","2nd Email Follow-up","Escalation to Local Office","Escalation to CBE","Escalation to Roxanne")&amp;" sent "&amp;TEXT($AA176,"dd-mmm")&amp;". "&amp;IF($Z176=6,"Final escalation completed.",IF($U176="OVERDUE","Next: "&amp;$AC176&amp;" was due "&amp;TEXT($AB176,"dd-mmm")&amp;" - "&amp;(NETWORKDAYS($AB176,TODAY(),Holidays)-1)&amp;" business day(s) late. Send now.",IF($U176="DUE TOMORROW","Next: "&amp;$AC176&amp;IF($AB176&lt;=TODAY()," is due TODAY ("," is due next business day (")&amp;TEXT($AB176,"dd-mmm")&amp;").","Next: "&amp;$AC176&amp;" due "&amp;TEXT($AB176,"dd-mmm")&amp;" ("&amp;(NETWORKDAYS(TODAY(),$AB176,Holidays)-1)&amp;" business day(s) left).")))))</f>
        <v/>
      </c>
      <c r="W176" s="17">
        <f>IF($Z176="","",CHOOSE($Z176,"Collection Email","1st Follow-up","2nd Follow-up","Local Office","CBE","Roxanne")&amp;IF($Z176=6," - Final"," - Day "&amp;MAX(0,NETWORKDAYS($AA176,TODAY(),Holidays)-1)&amp;" of "&amp;CHOOSE($Z176,3,3,2,2,3))&amp;" | Total Day "&amp;MAX(0,NETWORKDAYS($N176,TODAY(),Holidays)-1))</f>
        <v/>
      </c>
      <c r="X176" s="18"/>
      <c r="Y176" s="18"/>
      <c r="Z176" s="17">
        <f>IF($N176="","",COUNT($N176:$S176))</f>
        <v/>
      </c>
      <c r="AA176" s="19">
        <f>IF($Z176="","",INT(INDEX($N176:$S176,$Z176)))</f>
        <v/>
      </c>
      <c r="AB176" s="19">
        <f>IF(OR($Z176="",$Z176=6),"",WORKDAY($AA176,CHOOSE($Z176,3,3,2,2,3),Holidays))</f>
        <v/>
      </c>
      <c r="AC176" s="17">
        <f>IF(OR($Z176="",$Z176=6),"",CHOOSE($Z176,"1st Email Follow-up","2nd Email Follow-up","Escalate Local Office","Escalate to CBE","Escalate to Roxanne"))</f>
        <v/>
      </c>
    </row>
    <row r="177" spans="13:29">
      <c r="M177" s="14"/>
      <c r="T177" s="16"/>
      <c r="U177" s="17">
        <f>IF(AND(COUNTA($A177:$L177)=0,$N177=""),"",IF($T177="Paid","PAID",IF($T177="Closed","CLOSED",IF($Z177="","",IF($Z177=6,"ESCALATED TO ROXANNE",IF(TODAY()&gt;$AB177,"OVERDUE",IF($AB177&lt;=WORKDAY(TODAY(),1,Holidays),"DUE TOMORROW",IF($Z177=4,"ESCALATED TO LOCAL OFFICE",IF($Z177=5,"ESCALATED TO CBE",IF($AA177=TODAY(),"EMAIL SENT","MONITORING"))))))))))</f>
        <v/>
      </c>
      <c r="V177" s="17">
        <f>IF($U177="",IF(AND(COUNTA($A177:$L177)&gt;0,$N177=""),"Awaiting Collection Email time stamp.",""),IF(OR($U177="PAID",$U177="CLOSED"),IF($U177="PAID","Account paid. Action completed.","Account closed. No further action required."),CHOOSE($Z177,"Collection Email","1st Email Follow-up","2nd Email Follow-up","Escalation to Local Office","Escalation to CBE","Escalation to Roxanne")&amp;" sent "&amp;TEXT($AA177,"dd-mmm")&amp;". "&amp;IF($Z177=6,"Final escalation completed.",IF($U177="OVERDUE","Next: "&amp;$AC177&amp;" was due "&amp;TEXT($AB177,"dd-mmm")&amp;" - "&amp;(NETWORKDAYS($AB177,TODAY(),Holidays)-1)&amp;" business day(s) late. Send now.",IF($U177="DUE TOMORROW","Next: "&amp;$AC177&amp;IF($AB177&lt;=TODAY()," is due TODAY ("," is due next business day (")&amp;TEXT($AB177,"dd-mmm")&amp;").","Next: "&amp;$AC177&amp;" due "&amp;TEXT($AB177,"dd-mmm")&amp;" ("&amp;(NETWORKDAYS(TODAY(),$AB177,Holidays)-1)&amp;" business day(s) left).")))))</f>
        <v/>
      </c>
      <c r="W177" s="17">
        <f>IF($Z177="","",CHOOSE($Z177,"Collection Email","1st Follow-up","2nd Follow-up","Local Office","CBE","Roxanne")&amp;IF($Z177=6," - Final"," - Day "&amp;MAX(0,NETWORKDAYS($AA177,TODAY(),Holidays)-1)&amp;" of "&amp;CHOOSE($Z177,3,3,2,2,3))&amp;" | Total Day "&amp;MAX(0,NETWORKDAYS($N177,TODAY(),Holidays)-1))</f>
        <v/>
      </c>
      <c r="X177" s="18"/>
      <c r="Y177" s="18"/>
      <c r="Z177" s="17">
        <f>IF($N177="","",COUNT($N177:$S177))</f>
        <v/>
      </c>
      <c r="AA177" s="19">
        <f>IF($Z177="","",INT(INDEX($N177:$S177,$Z177)))</f>
        <v/>
      </c>
      <c r="AB177" s="19">
        <f>IF(OR($Z177="",$Z177=6),"",WORKDAY($AA177,CHOOSE($Z177,3,3,2,2,3),Holidays))</f>
        <v/>
      </c>
      <c r="AC177" s="17">
        <f>IF(OR($Z177="",$Z177=6),"",CHOOSE($Z177,"1st Email Follow-up","2nd Email Follow-up","Escalate Local Office","Escalate to CBE","Escalate to Roxanne"))</f>
        <v/>
      </c>
    </row>
    <row r="178" spans="13:29">
      <c r="M178" s="14"/>
      <c r="T178" s="16"/>
      <c r="U178" s="17">
        <f>IF(AND(COUNTA($A178:$L178)=0,$N178=""),"",IF($T178="Paid","PAID",IF($T178="Closed","CLOSED",IF($Z178="","",IF($Z178=6,"ESCALATED TO ROXANNE",IF(TODAY()&gt;$AB178,"OVERDUE",IF($AB178&lt;=WORKDAY(TODAY(),1,Holidays),"DUE TOMORROW",IF($Z178=4,"ESCALATED TO LOCAL OFFICE",IF($Z178=5,"ESCALATED TO CBE",IF($AA178=TODAY(),"EMAIL SENT","MONITORING"))))))))))</f>
        <v/>
      </c>
      <c r="V178" s="17">
        <f>IF($U178="",IF(AND(COUNTA($A178:$L178)&gt;0,$N178=""),"Awaiting Collection Email time stamp.",""),IF(OR($U178="PAID",$U178="CLOSED"),IF($U178="PAID","Account paid. Action completed.","Account closed. No further action required."),CHOOSE($Z178,"Collection Email","1st Email Follow-up","2nd Email Follow-up","Escalation to Local Office","Escalation to CBE","Escalation to Roxanne")&amp;" sent "&amp;TEXT($AA178,"dd-mmm")&amp;". "&amp;IF($Z178=6,"Final escalation completed.",IF($U178="OVERDUE","Next: "&amp;$AC178&amp;" was due "&amp;TEXT($AB178,"dd-mmm")&amp;" - "&amp;(NETWORKDAYS($AB178,TODAY(),Holidays)-1)&amp;" business day(s) late. Send now.",IF($U178="DUE TOMORROW","Next: "&amp;$AC178&amp;IF($AB178&lt;=TODAY()," is due TODAY ("," is due next business day (")&amp;TEXT($AB178,"dd-mmm")&amp;").","Next: "&amp;$AC178&amp;" due "&amp;TEXT($AB178,"dd-mmm")&amp;" ("&amp;(NETWORKDAYS(TODAY(),$AB178,Holidays)-1)&amp;" business day(s) left).")))))</f>
        <v/>
      </c>
      <c r="W178" s="17">
        <f>IF($Z178="","",CHOOSE($Z178,"Collection Email","1st Follow-up","2nd Follow-up","Local Office","CBE","Roxanne")&amp;IF($Z178=6," - Final"," - Day "&amp;MAX(0,NETWORKDAYS($AA178,TODAY(),Holidays)-1)&amp;" of "&amp;CHOOSE($Z178,3,3,2,2,3))&amp;" | Total Day "&amp;MAX(0,NETWORKDAYS($N178,TODAY(),Holidays)-1))</f>
        <v/>
      </c>
      <c r="X178" s="18"/>
      <c r="Y178" s="18"/>
      <c r="Z178" s="17">
        <f>IF($N178="","",COUNT($N178:$S178))</f>
        <v/>
      </c>
      <c r="AA178" s="19">
        <f>IF($Z178="","",INT(INDEX($N178:$S178,$Z178)))</f>
        <v/>
      </c>
      <c r="AB178" s="19">
        <f>IF(OR($Z178="",$Z178=6),"",WORKDAY($AA178,CHOOSE($Z178,3,3,2,2,3),Holidays))</f>
        <v/>
      </c>
      <c r="AC178" s="17">
        <f>IF(OR($Z178="",$Z178=6),"",CHOOSE($Z178,"1st Email Follow-up","2nd Email Follow-up","Escalate Local Office","Escalate to CBE","Escalate to Roxanne"))</f>
        <v/>
      </c>
    </row>
    <row r="179" spans="13:29">
      <c r="M179" s="14"/>
      <c r="T179" s="16"/>
      <c r="U179" s="17">
        <f>IF(AND(COUNTA($A179:$L179)=0,$N179=""),"",IF($T179="Paid","PAID",IF($T179="Closed","CLOSED",IF($Z179="","",IF($Z179=6,"ESCALATED TO ROXANNE",IF(TODAY()&gt;$AB179,"OVERDUE",IF($AB179&lt;=WORKDAY(TODAY(),1,Holidays),"DUE TOMORROW",IF($Z179=4,"ESCALATED TO LOCAL OFFICE",IF($Z179=5,"ESCALATED TO CBE",IF($AA179=TODAY(),"EMAIL SENT","MONITORING"))))))))))</f>
        <v/>
      </c>
      <c r="V179" s="17">
        <f>IF($U179="",IF(AND(COUNTA($A179:$L179)&gt;0,$N179=""),"Awaiting Collection Email time stamp.",""),IF(OR($U179="PAID",$U179="CLOSED"),IF($U179="PAID","Account paid. Action completed.","Account closed. No further action required."),CHOOSE($Z179,"Collection Email","1st Email Follow-up","2nd Email Follow-up","Escalation to Local Office","Escalation to CBE","Escalation to Roxanne")&amp;" sent "&amp;TEXT($AA179,"dd-mmm")&amp;". "&amp;IF($Z179=6,"Final escalation completed.",IF($U179="OVERDUE","Next: "&amp;$AC179&amp;" was due "&amp;TEXT($AB179,"dd-mmm")&amp;" - "&amp;(NETWORKDAYS($AB179,TODAY(),Holidays)-1)&amp;" business day(s) late. Send now.",IF($U179="DUE TOMORROW","Next: "&amp;$AC179&amp;IF($AB179&lt;=TODAY()," is due TODAY ("," is due next business day (")&amp;TEXT($AB179,"dd-mmm")&amp;").","Next: "&amp;$AC179&amp;" due "&amp;TEXT($AB179,"dd-mmm")&amp;" ("&amp;(NETWORKDAYS(TODAY(),$AB179,Holidays)-1)&amp;" business day(s) left).")))))</f>
        <v/>
      </c>
      <c r="W179" s="17">
        <f>IF($Z179="","",CHOOSE($Z179,"Collection Email","1st Follow-up","2nd Follow-up","Local Office","CBE","Roxanne")&amp;IF($Z179=6," - Final"," - Day "&amp;MAX(0,NETWORKDAYS($AA179,TODAY(),Holidays)-1)&amp;" of "&amp;CHOOSE($Z179,3,3,2,2,3))&amp;" | Total Day "&amp;MAX(0,NETWORKDAYS($N179,TODAY(),Holidays)-1))</f>
        <v/>
      </c>
      <c r="X179" s="18"/>
      <c r="Y179" s="18"/>
      <c r="Z179" s="17">
        <f>IF($N179="","",COUNT($N179:$S179))</f>
        <v/>
      </c>
      <c r="AA179" s="19">
        <f>IF($Z179="","",INT(INDEX($N179:$S179,$Z179)))</f>
        <v/>
      </c>
      <c r="AB179" s="19">
        <f>IF(OR($Z179="",$Z179=6),"",WORKDAY($AA179,CHOOSE($Z179,3,3,2,2,3),Holidays))</f>
        <v/>
      </c>
      <c r="AC179" s="17">
        <f>IF(OR($Z179="",$Z179=6),"",CHOOSE($Z179,"1st Email Follow-up","2nd Email Follow-up","Escalate Local Office","Escalate to CBE","Escalate to Roxanne"))</f>
        <v/>
      </c>
    </row>
    <row r="180" spans="13:29">
      <c r="M180" s="14"/>
      <c r="T180" s="16"/>
      <c r="U180" s="17">
        <f>IF(AND(COUNTA($A180:$L180)=0,$N180=""),"",IF($T180="Paid","PAID",IF($T180="Closed","CLOSED",IF($Z180="","",IF($Z180=6,"ESCALATED TO ROXANNE",IF(TODAY()&gt;$AB180,"OVERDUE",IF($AB180&lt;=WORKDAY(TODAY(),1,Holidays),"DUE TOMORROW",IF($Z180=4,"ESCALATED TO LOCAL OFFICE",IF($Z180=5,"ESCALATED TO CBE",IF($AA180=TODAY(),"EMAIL SENT","MONITORING"))))))))))</f>
        <v/>
      </c>
      <c r="V180" s="17">
        <f>IF($U180="",IF(AND(COUNTA($A180:$L180)&gt;0,$N180=""),"Awaiting Collection Email time stamp.",""),IF(OR($U180="PAID",$U180="CLOSED"),IF($U180="PAID","Account paid. Action completed.","Account closed. No further action required."),CHOOSE($Z180,"Collection Email","1st Email Follow-up","2nd Email Follow-up","Escalation to Local Office","Escalation to CBE","Escalation to Roxanne")&amp;" sent "&amp;TEXT($AA180,"dd-mmm")&amp;". "&amp;IF($Z180=6,"Final escalation completed.",IF($U180="OVERDUE","Next: "&amp;$AC180&amp;" was due "&amp;TEXT($AB180,"dd-mmm")&amp;" - "&amp;(NETWORKDAYS($AB180,TODAY(),Holidays)-1)&amp;" business day(s) late. Send now.",IF($U180="DUE TOMORROW","Next: "&amp;$AC180&amp;IF($AB180&lt;=TODAY()," is due TODAY ("," is due next business day (")&amp;TEXT($AB180,"dd-mmm")&amp;").","Next: "&amp;$AC180&amp;" due "&amp;TEXT($AB180,"dd-mmm")&amp;" ("&amp;(NETWORKDAYS(TODAY(),$AB180,Holidays)-1)&amp;" business day(s) left).")))))</f>
        <v/>
      </c>
      <c r="W180" s="17">
        <f>IF($Z180="","",CHOOSE($Z180,"Collection Email","1st Follow-up","2nd Follow-up","Local Office","CBE","Roxanne")&amp;IF($Z180=6," - Final"," - Day "&amp;MAX(0,NETWORKDAYS($AA180,TODAY(),Holidays)-1)&amp;" of "&amp;CHOOSE($Z180,3,3,2,2,3))&amp;" | Total Day "&amp;MAX(0,NETWORKDAYS($N180,TODAY(),Holidays)-1))</f>
        <v/>
      </c>
      <c r="X180" s="18"/>
      <c r="Y180" s="18"/>
      <c r="Z180" s="17">
        <f>IF($N180="","",COUNT($N180:$S180))</f>
        <v/>
      </c>
      <c r="AA180" s="19">
        <f>IF($Z180="","",INT(INDEX($N180:$S180,$Z180)))</f>
        <v/>
      </c>
      <c r="AB180" s="19">
        <f>IF(OR($Z180="",$Z180=6),"",WORKDAY($AA180,CHOOSE($Z180,3,3,2,2,3),Holidays))</f>
        <v/>
      </c>
      <c r="AC180" s="17">
        <f>IF(OR($Z180="",$Z180=6),"",CHOOSE($Z180,"1st Email Follow-up","2nd Email Follow-up","Escalate Local Office","Escalate to CBE","Escalate to Roxanne"))</f>
        <v/>
      </c>
    </row>
    <row r="181" spans="13:29">
      <c r="M181" s="14"/>
      <c r="T181" s="16"/>
      <c r="U181" s="17">
        <f>IF(AND(COUNTA($A181:$L181)=0,$N181=""),"",IF($T181="Paid","PAID",IF($T181="Closed","CLOSED",IF($Z181="","",IF($Z181=6,"ESCALATED TO ROXANNE",IF(TODAY()&gt;$AB181,"OVERDUE",IF($AB181&lt;=WORKDAY(TODAY(),1,Holidays),"DUE TOMORROW",IF($Z181=4,"ESCALATED TO LOCAL OFFICE",IF($Z181=5,"ESCALATED TO CBE",IF($AA181=TODAY(),"EMAIL SENT","MONITORING"))))))))))</f>
        <v/>
      </c>
      <c r="V181" s="17">
        <f>IF($U181="",IF(AND(COUNTA($A181:$L181)&gt;0,$N181=""),"Awaiting Collection Email time stamp.",""),IF(OR($U181="PAID",$U181="CLOSED"),IF($U181="PAID","Account paid. Action completed.","Account closed. No further action required."),CHOOSE($Z181,"Collection Email","1st Email Follow-up","2nd Email Follow-up","Escalation to Local Office","Escalation to CBE","Escalation to Roxanne")&amp;" sent "&amp;TEXT($AA181,"dd-mmm")&amp;". "&amp;IF($Z181=6,"Final escalation completed.",IF($U181="OVERDUE","Next: "&amp;$AC181&amp;" was due "&amp;TEXT($AB181,"dd-mmm")&amp;" - "&amp;(NETWORKDAYS($AB181,TODAY(),Holidays)-1)&amp;" business day(s) late. Send now.",IF($U181="DUE TOMORROW","Next: "&amp;$AC181&amp;IF($AB181&lt;=TODAY()," is due TODAY ("," is due next business day (")&amp;TEXT($AB181,"dd-mmm")&amp;").","Next: "&amp;$AC181&amp;" due "&amp;TEXT($AB181,"dd-mmm")&amp;" ("&amp;(NETWORKDAYS(TODAY(),$AB181,Holidays)-1)&amp;" business day(s) left).")))))</f>
        <v/>
      </c>
      <c r="W181" s="17">
        <f>IF($Z181="","",CHOOSE($Z181,"Collection Email","1st Follow-up","2nd Follow-up","Local Office","CBE","Roxanne")&amp;IF($Z181=6," - Final"," - Day "&amp;MAX(0,NETWORKDAYS($AA181,TODAY(),Holidays)-1)&amp;" of "&amp;CHOOSE($Z181,3,3,2,2,3))&amp;" | Total Day "&amp;MAX(0,NETWORKDAYS($N181,TODAY(),Holidays)-1))</f>
        <v/>
      </c>
      <c r="X181" s="18"/>
      <c r="Y181" s="18"/>
      <c r="Z181" s="17">
        <f>IF($N181="","",COUNT($N181:$S181))</f>
        <v/>
      </c>
      <c r="AA181" s="19">
        <f>IF($Z181="","",INT(INDEX($N181:$S181,$Z181)))</f>
        <v/>
      </c>
      <c r="AB181" s="19">
        <f>IF(OR($Z181="",$Z181=6),"",WORKDAY($AA181,CHOOSE($Z181,3,3,2,2,3),Holidays))</f>
        <v/>
      </c>
      <c r="AC181" s="17">
        <f>IF(OR($Z181="",$Z181=6),"",CHOOSE($Z181,"1st Email Follow-up","2nd Email Follow-up","Escalate Local Office","Escalate to CBE","Escalate to Roxanne"))</f>
        <v/>
      </c>
    </row>
    <row r="182" spans="13:29">
      <c r="M182" s="14"/>
      <c r="T182" s="16"/>
      <c r="U182" s="17">
        <f>IF(AND(COUNTA($A182:$L182)=0,$N182=""),"",IF($T182="Paid","PAID",IF($T182="Closed","CLOSED",IF($Z182="","",IF($Z182=6,"ESCALATED TO ROXANNE",IF(TODAY()&gt;$AB182,"OVERDUE",IF($AB182&lt;=WORKDAY(TODAY(),1,Holidays),"DUE TOMORROW",IF($Z182=4,"ESCALATED TO LOCAL OFFICE",IF($Z182=5,"ESCALATED TO CBE",IF($AA182=TODAY(),"EMAIL SENT","MONITORING"))))))))))</f>
        <v/>
      </c>
      <c r="V182" s="17">
        <f>IF($U182="",IF(AND(COUNTA($A182:$L182)&gt;0,$N182=""),"Awaiting Collection Email time stamp.",""),IF(OR($U182="PAID",$U182="CLOSED"),IF($U182="PAID","Account paid. Action completed.","Account closed. No further action required."),CHOOSE($Z182,"Collection Email","1st Email Follow-up","2nd Email Follow-up","Escalation to Local Office","Escalation to CBE","Escalation to Roxanne")&amp;" sent "&amp;TEXT($AA182,"dd-mmm")&amp;". "&amp;IF($Z182=6,"Final escalation completed.",IF($U182="OVERDUE","Next: "&amp;$AC182&amp;" was due "&amp;TEXT($AB182,"dd-mmm")&amp;" - "&amp;(NETWORKDAYS($AB182,TODAY(),Holidays)-1)&amp;" business day(s) late. Send now.",IF($U182="DUE TOMORROW","Next: "&amp;$AC182&amp;IF($AB182&lt;=TODAY()," is due TODAY ("," is due next business day (")&amp;TEXT($AB182,"dd-mmm")&amp;").","Next: "&amp;$AC182&amp;" due "&amp;TEXT($AB182,"dd-mmm")&amp;" ("&amp;(NETWORKDAYS(TODAY(),$AB182,Holidays)-1)&amp;" business day(s) left).")))))</f>
        <v/>
      </c>
      <c r="W182" s="17">
        <f>IF($Z182="","",CHOOSE($Z182,"Collection Email","1st Follow-up","2nd Follow-up","Local Office","CBE","Roxanne")&amp;IF($Z182=6," - Final"," - Day "&amp;MAX(0,NETWORKDAYS($AA182,TODAY(),Holidays)-1)&amp;" of "&amp;CHOOSE($Z182,3,3,2,2,3))&amp;" | Total Day "&amp;MAX(0,NETWORKDAYS($N182,TODAY(),Holidays)-1))</f>
        <v/>
      </c>
      <c r="X182" s="18"/>
      <c r="Y182" s="18"/>
      <c r="Z182" s="17">
        <f>IF($N182="","",COUNT($N182:$S182))</f>
        <v/>
      </c>
      <c r="AA182" s="19">
        <f>IF($Z182="","",INT(INDEX($N182:$S182,$Z182)))</f>
        <v/>
      </c>
      <c r="AB182" s="19">
        <f>IF(OR($Z182="",$Z182=6),"",WORKDAY($AA182,CHOOSE($Z182,3,3,2,2,3),Holidays))</f>
        <v/>
      </c>
      <c r="AC182" s="17">
        <f>IF(OR($Z182="",$Z182=6),"",CHOOSE($Z182,"1st Email Follow-up","2nd Email Follow-up","Escalate Local Office","Escalate to CBE","Escalate to Roxanne"))</f>
        <v/>
      </c>
    </row>
    <row r="183" spans="13:29">
      <c r="M183" s="14"/>
      <c r="T183" s="16"/>
      <c r="U183" s="17">
        <f>IF(AND(COUNTA($A183:$L183)=0,$N183=""),"",IF($T183="Paid","PAID",IF($T183="Closed","CLOSED",IF($Z183="","",IF($Z183=6,"ESCALATED TO ROXANNE",IF(TODAY()&gt;$AB183,"OVERDUE",IF($AB183&lt;=WORKDAY(TODAY(),1,Holidays),"DUE TOMORROW",IF($Z183=4,"ESCALATED TO LOCAL OFFICE",IF($Z183=5,"ESCALATED TO CBE",IF($AA183=TODAY(),"EMAIL SENT","MONITORING"))))))))))</f>
        <v/>
      </c>
      <c r="V183" s="17">
        <f>IF($U183="",IF(AND(COUNTA($A183:$L183)&gt;0,$N183=""),"Awaiting Collection Email time stamp.",""),IF(OR($U183="PAID",$U183="CLOSED"),IF($U183="PAID","Account paid. Action completed.","Account closed. No further action required."),CHOOSE($Z183,"Collection Email","1st Email Follow-up","2nd Email Follow-up","Escalation to Local Office","Escalation to CBE","Escalation to Roxanne")&amp;" sent "&amp;TEXT($AA183,"dd-mmm")&amp;". "&amp;IF($Z183=6,"Final escalation completed.",IF($U183="OVERDUE","Next: "&amp;$AC183&amp;" was due "&amp;TEXT($AB183,"dd-mmm")&amp;" - "&amp;(NETWORKDAYS($AB183,TODAY(),Holidays)-1)&amp;" business day(s) late. Send now.",IF($U183="DUE TOMORROW","Next: "&amp;$AC183&amp;IF($AB183&lt;=TODAY()," is due TODAY ("," is due next business day (")&amp;TEXT($AB183,"dd-mmm")&amp;").","Next: "&amp;$AC183&amp;" due "&amp;TEXT($AB183,"dd-mmm")&amp;" ("&amp;(NETWORKDAYS(TODAY(),$AB183,Holidays)-1)&amp;" business day(s) left).")))))</f>
        <v/>
      </c>
      <c r="W183" s="17">
        <f>IF($Z183="","",CHOOSE($Z183,"Collection Email","1st Follow-up","2nd Follow-up","Local Office","CBE","Roxanne")&amp;IF($Z183=6," - Final"," - Day "&amp;MAX(0,NETWORKDAYS($AA183,TODAY(),Holidays)-1)&amp;" of "&amp;CHOOSE($Z183,3,3,2,2,3))&amp;" | Total Day "&amp;MAX(0,NETWORKDAYS($N183,TODAY(),Holidays)-1))</f>
        <v/>
      </c>
      <c r="X183" s="18"/>
      <c r="Y183" s="18"/>
      <c r="Z183" s="17">
        <f>IF($N183="","",COUNT($N183:$S183))</f>
        <v/>
      </c>
      <c r="AA183" s="19">
        <f>IF($Z183="","",INT(INDEX($N183:$S183,$Z183)))</f>
        <v/>
      </c>
      <c r="AB183" s="19">
        <f>IF(OR($Z183="",$Z183=6),"",WORKDAY($AA183,CHOOSE($Z183,3,3,2,2,3),Holidays))</f>
        <v/>
      </c>
      <c r="AC183" s="17">
        <f>IF(OR($Z183="",$Z183=6),"",CHOOSE($Z183,"1st Email Follow-up","2nd Email Follow-up","Escalate Local Office","Escalate to CBE","Escalate to Roxanne"))</f>
        <v/>
      </c>
    </row>
    <row r="184" spans="13:29">
      <c r="M184" s="14"/>
      <c r="T184" s="16"/>
      <c r="U184" s="17">
        <f>IF(AND(COUNTA($A184:$L184)=0,$N184=""),"",IF($T184="Paid","PAID",IF($T184="Closed","CLOSED",IF($Z184="","",IF($Z184=6,"ESCALATED TO ROXANNE",IF(TODAY()&gt;$AB184,"OVERDUE",IF($AB184&lt;=WORKDAY(TODAY(),1,Holidays),"DUE TOMORROW",IF($Z184=4,"ESCALATED TO LOCAL OFFICE",IF($Z184=5,"ESCALATED TO CBE",IF($AA184=TODAY(),"EMAIL SENT","MONITORING"))))))))))</f>
        <v/>
      </c>
      <c r="V184" s="17">
        <f>IF($U184="",IF(AND(COUNTA($A184:$L184)&gt;0,$N184=""),"Awaiting Collection Email time stamp.",""),IF(OR($U184="PAID",$U184="CLOSED"),IF($U184="PAID","Account paid. Action completed.","Account closed. No further action required."),CHOOSE($Z184,"Collection Email","1st Email Follow-up","2nd Email Follow-up","Escalation to Local Office","Escalation to CBE","Escalation to Roxanne")&amp;" sent "&amp;TEXT($AA184,"dd-mmm")&amp;". "&amp;IF($Z184=6,"Final escalation completed.",IF($U184="OVERDUE","Next: "&amp;$AC184&amp;" was due "&amp;TEXT($AB184,"dd-mmm")&amp;" - "&amp;(NETWORKDAYS($AB184,TODAY(),Holidays)-1)&amp;" business day(s) late. Send now.",IF($U184="DUE TOMORROW","Next: "&amp;$AC184&amp;IF($AB184&lt;=TODAY()," is due TODAY ("," is due next business day (")&amp;TEXT($AB184,"dd-mmm")&amp;").","Next: "&amp;$AC184&amp;" due "&amp;TEXT($AB184,"dd-mmm")&amp;" ("&amp;(NETWORKDAYS(TODAY(),$AB184,Holidays)-1)&amp;" business day(s) left).")))))</f>
        <v/>
      </c>
      <c r="W184" s="17">
        <f>IF($Z184="","",CHOOSE($Z184,"Collection Email","1st Follow-up","2nd Follow-up","Local Office","CBE","Roxanne")&amp;IF($Z184=6," - Final"," - Day "&amp;MAX(0,NETWORKDAYS($AA184,TODAY(),Holidays)-1)&amp;" of "&amp;CHOOSE($Z184,3,3,2,2,3))&amp;" | Total Day "&amp;MAX(0,NETWORKDAYS($N184,TODAY(),Holidays)-1))</f>
        <v/>
      </c>
      <c r="X184" s="18"/>
      <c r="Y184" s="18"/>
      <c r="Z184" s="17">
        <f>IF($N184="","",COUNT($N184:$S184))</f>
        <v/>
      </c>
      <c r="AA184" s="19">
        <f>IF($Z184="","",INT(INDEX($N184:$S184,$Z184)))</f>
        <v/>
      </c>
      <c r="AB184" s="19">
        <f>IF(OR($Z184="",$Z184=6),"",WORKDAY($AA184,CHOOSE($Z184,3,3,2,2,3),Holidays))</f>
        <v/>
      </c>
      <c r="AC184" s="17">
        <f>IF(OR($Z184="",$Z184=6),"",CHOOSE($Z184,"1st Email Follow-up","2nd Email Follow-up","Escalate Local Office","Escalate to CBE","Escalate to Roxanne"))</f>
        <v/>
      </c>
    </row>
    <row r="185" spans="13:29">
      <c r="M185" s="14"/>
      <c r="T185" s="16"/>
      <c r="U185" s="17">
        <f>IF(AND(COUNTA($A185:$L185)=0,$N185=""),"",IF($T185="Paid","PAID",IF($T185="Closed","CLOSED",IF($Z185="","",IF($Z185=6,"ESCALATED TO ROXANNE",IF(TODAY()&gt;$AB185,"OVERDUE",IF($AB185&lt;=WORKDAY(TODAY(),1,Holidays),"DUE TOMORROW",IF($Z185=4,"ESCALATED TO LOCAL OFFICE",IF($Z185=5,"ESCALATED TO CBE",IF($AA185=TODAY(),"EMAIL SENT","MONITORING"))))))))))</f>
        <v/>
      </c>
      <c r="V185" s="17">
        <f>IF($U185="",IF(AND(COUNTA($A185:$L185)&gt;0,$N185=""),"Awaiting Collection Email time stamp.",""),IF(OR($U185="PAID",$U185="CLOSED"),IF($U185="PAID","Account paid. Action completed.","Account closed. No further action required."),CHOOSE($Z185,"Collection Email","1st Email Follow-up","2nd Email Follow-up","Escalation to Local Office","Escalation to CBE","Escalation to Roxanne")&amp;" sent "&amp;TEXT($AA185,"dd-mmm")&amp;". "&amp;IF($Z185=6,"Final escalation completed.",IF($U185="OVERDUE","Next: "&amp;$AC185&amp;" was due "&amp;TEXT($AB185,"dd-mmm")&amp;" - "&amp;(NETWORKDAYS($AB185,TODAY(),Holidays)-1)&amp;" business day(s) late. Send now.",IF($U185="DUE TOMORROW","Next: "&amp;$AC185&amp;IF($AB185&lt;=TODAY()," is due TODAY ("," is due next business day (")&amp;TEXT($AB185,"dd-mmm")&amp;").","Next: "&amp;$AC185&amp;" due "&amp;TEXT($AB185,"dd-mmm")&amp;" ("&amp;(NETWORKDAYS(TODAY(),$AB185,Holidays)-1)&amp;" business day(s) left).")))))</f>
        <v/>
      </c>
      <c r="W185" s="17">
        <f>IF($Z185="","",CHOOSE($Z185,"Collection Email","1st Follow-up","2nd Follow-up","Local Office","CBE","Roxanne")&amp;IF($Z185=6," - Final"," - Day "&amp;MAX(0,NETWORKDAYS($AA185,TODAY(),Holidays)-1)&amp;" of "&amp;CHOOSE($Z185,3,3,2,2,3))&amp;" | Total Day "&amp;MAX(0,NETWORKDAYS($N185,TODAY(),Holidays)-1))</f>
        <v/>
      </c>
      <c r="X185" s="18"/>
      <c r="Y185" s="18"/>
      <c r="Z185" s="17">
        <f>IF($N185="","",COUNT($N185:$S185))</f>
        <v/>
      </c>
      <c r="AA185" s="19">
        <f>IF($Z185="","",INT(INDEX($N185:$S185,$Z185)))</f>
        <v/>
      </c>
      <c r="AB185" s="19">
        <f>IF(OR($Z185="",$Z185=6),"",WORKDAY($AA185,CHOOSE($Z185,3,3,2,2,3),Holidays))</f>
        <v/>
      </c>
      <c r="AC185" s="17">
        <f>IF(OR($Z185="",$Z185=6),"",CHOOSE($Z185,"1st Email Follow-up","2nd Email Follow-up","Escalate Local Office","Escalate to CBE","Escalate to Roxanne"))</f>
        <v/>
      </c>
    </row>
    <row r="186" spans="13:29">
      <c r="M186" s="14"/>
      <c r="T186" s="16"/>
      <c r="U186" s="17">
        <f>IF(AND(COUNTA($A186:$L186)=0,$N186=""),"",IF($T186="Paid","PAID",IF($T186="Closed","CLOSED",IF($Z186="","",IF($Z186=6,"ESCALATED TO ROXANNE",IF(TODAY()&gt;$AB186,"OVERDUE",IF($AB186&lt;=WORKDAY(TODAY(),1,Holidays),"DUE TOMORROW",IF($Z186=4,"ESCALATED TO LOCAL OFFICE",IF($Z186=5,"ESCALATED TO CBE",IF($AA186=TODAY(),"EMAIL SENT","MONITORING"))))))))))</f>
        <v/>
      </c>
      <c r="V186" s="17">
        <f>IF($U186="",IF(AND(COUNTA($A186:$L186)&gt;0,$N186=""),"Awaiting Collection Email time stamp.",""),IF(OR($U186="PAID",$U186="CLOSED"),IF($U186="PAID","Account paid. Action completed.","Account closed. No further action required."),CHOOSE($Z186,"Collection Email","1st Email Follow-up","2nd Email Follow-up","Escalation to Local Office","Escalation to CBE","Escalation to Roxanne")&amp;" sent "&amp;TEXT($AA186,"dd-mmm")&amp;". "&amp;IF($Z186=6,"Final escalation completed.",IF($U186="OVERDUE","Next: "&amp;$AC186&amp;" was due "&amp;TEXT($AB186,"dd-mmm")&amp;" - "&amp;(NETWORKDAYS($AB186,TODAY(),Holidays)-1)&amp;" business day(s) late. Send now.",IF($U186="DUE TOMORROW","Next: "&amp;$AC186&amp;IF($AB186&lt;=TODAY()," is due TODAY ("," is due next business day (")&amp;TEXT($AB186,"dd-mmm")&amp;").","Next: "&amp;$AC186&amp;" due "&amp;TEXT($AB186,"dd-mmm")&amp;" ("&amp;(NETWORKDAYS(TODAY(),$AB186,Holidays)-1)&amp;" business day(s) left).")))))</f>
        <v/>
      </c>
      <c r="W186" s="17">
        <f>IF($Z186="","",CHOOSE($Z186,"Collection Email","1st Follow-up","2nd Follow-up","Local Office","CBE","Roxanne")&amp;IF($Z186=6," - Final"," - Day "&amp;MAX(0,NETWORKDAYS($AA186,TODAY(),Holidays)-1)&amp;" of "&amp;CHOOSE($Z186,3,3,2,2,3))&amp;" | Total Day "&amp;MAX(0,NETWORKDAYS($N186,TODAY(),Holidays)-1))</f>
        <v/>
      </c>
      <c r="X186" s="18"/>
      <c r="Y186" s="18"/>
      <c r="Z186" s="17">
        <f>IF($N186="","",COUNT($N186:$S186))</f>
        <v/>
      </c>
      <c r="AA186" s="19">
        <f>IF($Z186="","",INT(INDEX($N186:$S186,$Z186)))</f>
        <v/>
      </c>
      <c r="AB186" s="19">
        <f>IF(OR($Z186="",$Z186=6),"",WORKDAY($AA186,CHOOSE($Z186,3,3,2,2,3),Holidays))</f>
        <v/>
      </c>
      <c r="AC186" s="17">
        <f>IF(OR($Z186="",$Z186=6),"",CHOOSE($Z186,"1st Email Follow-up","2nd Email Follow-up","Escalate Local Office","Escalate to CBE","Escalate to Roxanne"))</f>
        <v/>
      </c>
    </row>
    <row r="187" spans="13:29">
      <c r="M187" s="14"/>
      <c r="T187" s="16"/>
      <c r="U187" s="17">
        <f>IF(AND(COUNTA($A187:$L187)=0,$N187=""),"",IF($T187="Paid","PAID",IF($T187="Closed","CLOSED",IF($Z187="","",IF($Z187=6,"ESCALATED TO ROXANNE",IF(TODAY()&gt;$AB187,"OVERDUE",IF($AB187&lt;=WORKDAY(TODAY(),1,Holidays),"DUE TOMORROW",IF($Z187=4,"ESCALATED TO LOCAL OFFICE",IF($Z187=5,"ESCALATED TO CBE",IF($AA187=TODAY(),"EMAIL SENT","MONITORING"))))))))))</f>
        <v/>
      </c>
      <c r="V187" s="17">
        <f>IF($U187="",IF(AND(COUNTA($A187:$L187)&gt;0,$N187=""),"Awaiting Collection Email time stamp.",""),IF(OR($U187="PAID",$U187="CLOSED"),IF($U187="PAID","Account paid. Action completed.","Account closed. No further action required."),CHOOSE($Z187,"Collection Email","1st Email Follow-up","2nd Email Follow-up","Escalation to Local Office","Escalation to CBE","Escalation to Roxanne")&amp;" sent "&amp;TEXT($AA187,"dd-mmm")&amp;". "&amp;IF($Z187=6,"Final escalation completed.",IF($U187="OVERDUE","Next: "&amp;$AC187&amp;" was due "&amp;TEXT($AB187,"dd-mmm")&amp;" - "&amp;(NETWORKDAYS($AB187,TODAY(),Holidays)-1)&amp;" business day(s) late. Send now.",IF($U187="DUE TOMORROW","Next: "&amp;$AC187&amp;IF($AB187&lt;=TODAY()," is due TODAY ("," is due next business day (")&amp;TEXT($AB187,"dd-mmm")&amp;").","Next: "&amp;$AC187&amp;" due "&amp;TEXT($AB187,"dd-mmm")&amp;" ("&amp;(NETWORKDAYS(TODAY(),$AB187,Holidays)-1)&amp;" business day(s) left).")))))</f>
        <v/>
      </c>
      <c r="W187" s="17">
        <f>IF($Z187="","",CHOOSE($Z187,"Collection Email","1st Follow-up","2nd Follow-up","Local Office","CBE","Roxanne")&amp;IF($Z187=6," - Final"," - Day "&amp;MAX(0,NETWORKDAYS($AA187,TODAY(),Holidays)-1)&amp;" of "&amp;CHOOSE($Z187,3,3,2,2,3))&amp;" | Total Day "&amp;MAX(0,NETWORKDAYS($N187,TODAY(),Holidays)-1))</f>
        <v/>
      </c>
      <c r="X187" s="18"/>
      <c r="Y187" s="18"/>
      <c r="Z187" s="17">
        <f>IF($N187="","",COUNT($N187:$S187))</f>
        <v/>
      </c>
      <c r="AA187" s="19">
        <f>IF($Z187="","",INT(INDEX($N187:$S187,$Z187)))</f>
        <v/>
      </c>
      <c r="AB187" s="19">
        <f>IF(OR($Z187="",$Z187=6),"",WORKDAY($AA187,CHOOSE($Z187,3,3,2,2,3),Holidays))</f>
        <v/>
      </c>
      <c r="AC187" s="17">
        <f>IF(OR($Z187="",$Z187=6),"",CHOOSE($Z187,"1st Email Follow-up","2nd Email Follow-up","Escalate Local Office","Escalate to CBE","Escalate to Roxanne"))</f>
        <v/>
      </c>
    </row>
    <row r="188" spans="13:29">
      <c r="M188" s="14"/>
      <c r="T188" s="16"/>
      <c r="U188" s="17">
        <f>IF(AND(COUNTA($A188:$L188)=0,$N188=""),"",IF($T188="Paid","PAID",IF($T188="Closed","CLOSED",IF($Z188="","",IF($Z188=6,"ESCALATED TO ROXANNE",IF(TODAY()&gt;$AB188,"OVERDUE",IF($AB188&lt;=WORKDAY(TODAY(),1,Holidays),"DUE TOMORROW",IF($Z188=4,"ESCALATED TO LOCAL OFFICE",IF($Z188=5,"ESCALATED TO CBE",IF($AA188=TODAY(),"EMAIL SENT","MONITORING"))))))))))</f>
        <v/>
      </c>
      <c r="V188" s="17">
        <f>IF($U188="",IF(AND(COUNTA($A188:$L188)&gt;0,$N188=""),"Awaiting Collection Email time stamp.",""),IF(OR($U188="PAID",$U188="CLOSED"),IF($U188="PAID","Account paid. Action completed.","Account closed. No further action required."),CHOOSE($Z188,"Collection Email","1st Email Follow-up","2nd Email Follow-up","Escalation to Local Office","Escalation to CBE","Escalation to Roxanne")&amp;" sent "&amp;TEXT($AA188,"dd-mmm")&amp;". "&amp;IF($Z188=6,"Final escalation completed.",IF($U188="OVERDUE","Next: "&amp;$AC188&amp;" was due "&amp;TEXT($AB188,"dd-mmm")&amp;" - "&amp;(NETWORKDAYS($AB188,TODAY(),Holidays)-1)&amp;" business day(s) late. Send now.",IF($U188="DUE TOMORROW","Next: "&amp;$AC188&amp;IF($AB188&lt;=TODAY()," is due TODAY ("," is due next business day (")&amp;TEXT($AB188,"dd-mmm")&amp;").","Next: "&amp;$AC188&amp;" due "&amp;TEXT($AB188,"dd-mmm")&amp;" ("&amp;(NETWORKDAYS(TODAY(),$AB188,Holidays)-1)&amp;" business day(s) left).")))))</f>
        <v/>
      </c>
      <c r="W188" s="17">
        <f>IF($Z188="","",CHOOSE($Z188,"Collection Email","1st Follow-up","2nd Follow-up","Local Office","CBE","Roxanne")&amp;IF($Z188=6," - Final"," - Day "&amp;MAX(0,NETWORKDAYS($AA188,TODAY(),Holidays)-1)&amp;" of "&amp;CHOOSE($Z188,3,3,2,2,3))&amp;" | Total Day "&amp;MAX(0,NETWORKDAYS($N188,TODAY(),Holidays)-1))</f>
        <v/>
      </c>
      <c r="X188" s="18"/>
      <c r="Y188" s="18"/>
      <c r="Z188" s="17">
        <f>IF($N188="","",COUNT($N188:$S188))</f>
        <v/>
      </c>
      <c r="AA188" s="19">
        <f>IF($Z188="","",INT(INDEX($N188:$S188,$Z188)))</f>
        <v/>
      </c>
      <c r="AB188" s="19">
        <f>IF(OR($Z188="",$Z188=6),"",WORKDAY($AA188,CHOOSE($Z188,3,3,2,2,3),Holidays))</f>
        <v/>
      </c>
      <c r="AC188" s="17">
        <f>IF(OR($Z188="",$Z188=6),"",CHOOSE($Z188,"1st Email Follow-up","2nd Email Follow-up","Escalate Local Office","Escalate to CBE","Escalate to Roxanne"))</f>
        <v/>
      </c>
    </row>
    <row r="189" spans="13:29">
      <c r="M189" s="14"/>
      <c r="T189" s="16"/>
      <c r="U189" s="17">
        <f>IF(AND(COUNTA($A189:$L189)=0,$N189=""),"",IF($T189="Paid","PAID",IF($T189="Closed","CLOSED",IF($Z189="","",IF($Z189=6,"ESCALATED TO ROXANNE",IF(TODAY()&gt;$AB189,"OVERDUE",IF($AB189&lt;=WORKDAY(TODAY(),1,Holidays),"DUE TOMORROW",IF($Z189=4,"ESCALATED TO LOCAL OFFICE",IF($Z189=5,"ESCALATED TO CBE",IF($AA189=TODAY(),"EMAIL SENT","MONITORING"))))))))))</f>
        <v/>
      </c>
      <c r="V189" s="17">
        <f>IF($U189="",IF(AND(COUNTA($A189:$L189)&gt;0,$N189=""),"Awaiting Collection Email time stamp.",""),IF(OR($U189="PAID",$U189="CLOSED"),IF($U189="PAID","Account paid. Action completed.","Account closed. No further action required."),CHOOSE($Z189,"Collection Email","1st Email Follow-up","2nd Email Follow-up","Escalation to Local Office","Escalation to CBE","Escalation to Roxanne")&amp;" sent "&amp;TEXT($AA189,"dd-mmm")&amp;". "&amp;IF($Z189=6,"Final escalation completed.",IF($U189="OVERDUE","Next: "&amp;$AC189&amp;" was due "&amp;TEXT($AB189,"dd-mmm")&amp;" - "&amp;(NETWORKDAYS($AB189,TODAY(),Holidays)-1)&amp;" business day(s) late. Send now.",IF($U189="DUE TOMORROW","Next: "&amp;$AC189&amp;IF($AB189&lt;=TODAY()," is due TODAY ("," is due next business day (")&amp;TEXT($AB189,"dd-mmm")&amp;").","Next: "&amp;$AC189&amp;" due "&amp;TEXT($AB189,"dd-mmm")&amp;" ("&amp;(NETWORKDAYS(TODAY(),$AB189,Holidays)-1)&amp;" business day(s) left).")))))</f>
        <v/>
      </c>
      <c r="W189" s="17">
        <f>IF($Z189="","",CHOOSE($Z189,"Collection Email","1st Follow-up","2nd Follow-up","Local Office","CBE","Roxanne")&amp;IF($Z189=6," - Final"," - Day "&amp;MAX(0,NETWORKDAYS($AA189,TODAY(),Holidays)-1)&amp;" of "&amp;CHOOSE($Z189,3,3,2,2,3))&amp;" | Total Day "&amp;MAX(0,NETWORKDAYS($N189,TODAY(),Holidays)-1))</f>
        <v/>
      </c>
      <c r="X189" s="18"/>
      <c r="Y189" s="18"/>
      <c r="Z189" s="17">
        <f>IF($N189="","",COUNT($N189:$S189))</f>
        <v/>
      </c>
      <c r="AA189" s="19">
        <f>IF($Z189="","",INT(INDEX($N189:$S189,$Z189)))</f>
        <v/>
      </c>
      <c r="AB189" s="19">
        <f>IF(OR($Z189="",$Z189=6),"",WORKDAY($AA189,CHOOSE($Z189,3,3,2,2,3),Holidays))</f>
        <v/>
      </c>
      <c r="AC189" s="17">
        <f>IF(OR($Z189="",$Z189=6),"",CHOOSE($Z189,"1st Email Follow-up","2nd Email Follow-up","Escalate Local Office","Escalate to CBE","Escalate to Roxanne"))</f>
        <v/>
      </c>
    </row>
    <row r="190" spans="13:29">
      <c r="M190" s="14"/>
      <c r="T190" s="16"/>
      <c r="U190" s="17">
        <f>IF(AND(COUNTA($A190:$L190)=0,$N190=""),"",IF($T190="Paid","PAID",IF($T190="Closed","CLOSED",IF($Z190="","",IF($Z190=6,"ESCALATED TO ROXANNE",IF(TODAY()&gt;$AB190,"OVERDUE",IF($AB190&lt;=WORKDAY(TODAY(),1,Holidays),"DUE TOMORROW",IF($Z190=4,"ESCALATED TO LOCAL OFFICE",IF($Z190=5,"ESCALATED TO CBE",IF($AA190=TODAY(),"EMAIL SENT","MONITORING"))))))))))</f>
        <v/>
      </c>
      <c r="V190" s="17">
        <f>IF($U190="",IF(AND(COUNTA($A190:$L190)&gt;0,$N190=""),"Awaiting Collection Email time stamp.",""),IF(OR($U190="PAID",$U190="CLOSED"),IF($U190="PAID","Account paid. Action completed.","Account closed. No further action required."),CHOOSE($Z190,"Collection Email","1st Email Follow-up","2nd Email Follow-up","Escalation to Local Office","Escalation to CBE","Escalation to Roxanne")&amp;" sent "&amp;TEXT($AA190,"dd-mmm")&amp;". "&amp;IF($Z190=6,"Final escalation completed.",IF($U190="OVERDUE","Next: "&amp;$AC190&amp;" was due "&amp;TEXT($AB190,"dd-mmm")&amp;" - "&amp;(NETWORKDAYS($AB190,TODAY(),Holidays)-1)&amp;" business day(s) late. Send now.",IF($U190="DUE TOMORROW","Next: "&amp;$AC190&amp;IF($AB190&lt;=TODAY()," is due TODAY ("," is due next business day (")&amp;TEXT($AB190,"dd-mmm")&amp;").","Next: "&amp;$AC190&amp;" due "&amp;TEXT($AB190,"dd-mmm")&amp;" ("&amp;(NETWORKDAYS(TODAY(),$AB190,Holidays)-1)&amp;" business day(s) left).")))))</f>
        <v/>
      </c>
      <c r="W190" s="17">
        <f>IF($Z190="","",CHOOSE($Z190,"Collection Email","1st Follow-up","2nd Follow-up","Local Office","CBE","Roxanne")&amp;IF($Z190=6," - Final"," - Day "&amp;MAX(0,NETWORKDAYS($AA190,TODAY(),Holidays)-1)&amp;" of "&amp;CHOOSE($Z190,3,3,2,2,3))&amp;" | Total Day "&amp;MAX(0,NETWORKDAYS($N190,TODAY(),Holidays)-1))</f>
        <v/>
      </c>
      <c r="X190" s="18"/>
      <c r="Y190" s="18"/>
      <c r="Z190" s="17">
        <f>IF($N190="","",COUNT($N190:$S190))</f>
        <v/>
      </c>
      <c r="AA190" s="19">
        <f>IF($Z190="","",INT(INDEX($N190:$S190,$Z190)))</f>
        <v/>
      </c>
      <c r="AB190" s="19">
        <f>IF(OR($Z190="",$Z190=6),"",WORKDAY($AA190,CHOOSE($Z190,3,3,2,2,3),Holidays))</f>
        <v/>
      </c>
      <c r="AC190" s="17">
        <f>IF(OR($Z190="",$Z190=6),"",CHOOSE($Z190,"1st Email Follow-up","2nd Email Follow-up","Escalate Local Office","Escalate to CBE","Escalate to Roxanne"))</f>
        <v/>
      </c>
    </row>
    <row r="191" spans="13:29">
      <c r="M191" s="14"/>
      <c r="T191" s="16"/>
      <c r="U191" s="17">
        <f>IF(AND(COUNTA($A191:$L191)=0,$N191=""),"",IF($T191="Paid","PAID",IF($T191="Closed","CLOSED",IF($Z191="","",IF($Z191=6,"ESCALATED TO ROXANNE",IF(TODAY()&gt;$AB191,"OVERDUE",IF($AB191&lt;=WORKDAY(TODAY(),1,Holidays),"DUE TOMORROW",IF($Z191=4,"ESCALATED TO LOCAL OFFICE",IF($Z191=5,"ESCALATED TO CBE",IF($AA191=TODAY(),"EMAIL SENT","MONITORING"))))))))))</f>
        <v/>
      </c>
      <c r="V191" s="17">
        <f>IF($U191="",IF(AND(COUNTA($A191:$L191)&gt;0,$N191=""),"Awaiting Collection Email time stamp.",""),IF(OR($U191="PAID",$U191="CLOSED"),IF($U191="PAID","Account paid. Action completed.","Account closed. No further action required."),CHOOSE($Z191,"Collection Email","1st Email Follow-up","2nd Email Follow-up","Escalation to Local Office","Escalation to CBE","Escalation to Roxanne")&amp;" sent "&amp;TEXT($AA191,"dd-mmm")&amp;". "&amp;IF($Z191=6,"Final escalation completed.",IF($U191="OVERDUE","Next: "&amp;$AC191&amp;" was due "&amp;TEXT($AB191,"dd-mmm")&amp;" - "&amp;(NETWORKDAYS($AB191,TODAY(),Holidays)-1)&amp;" business day(s) late. Send now.",IF($U191="DUE TOMORROW","Next: "&amp;$AC191&amp;IF($AB191&lt;=TODAY()," is due TODAY ("," is due next business day (")&amp;TEXT($AB191,"dd-mmm")&amp;").","Next: "&amp;$AC191&amp;" due "&amp;TEXT($AB191,"dd-mmm")&amp;" ("&amp;(NETWORKDAYS(TODAY(),$AB191,Holidays)-1)&amp;" business day(s) left).")))))</f>
        <v/>
      </c>
      <c r="W191" s="17">
        <f>IF($Z191="","",CHOOSE($Z191,"Collection Email","1st Follow-up","2nd Follow-up","Local Office","CBE","Roxanne")&amp;IF($Z191=6," - Final"," - Day "&amp;MAX(0,NETWORKDAYS($AA191,TODAY(),Holidays)-1)&amp;" of "&amp;CHOOSE($Z191,3,3,2,2,3))&amp;" | Total Day "&amp;MAX(0,NETWORKDAYS($N191,TODAY(),Holidays)-1))</f>
        <v/>
      </c>
      <c r="X191" s="18"/>
      <c r="Y191" s="18"/>
      <c r="Z191" s="17">
        <f>IF($N191="","",COUNT($N191:$S191))</f>
        <v/>
      </c>
      <c r="AA191" s="19">
        <f>IF($Z191="","",INT(INDEX($N191:$S191,$Z191)))</f>
        <v/>
      </c>
      <c r="AB191" s="19">
        <f>IF(OR($Z191="",$Z191=6),"",WORKDAY($AA191,CHOOSE($Z191,3,3,2,2,3),Holidays))</f>
        <v/>
      </c>
      <c r="AC191" s="17">
        <f>IF(OR($Z191="",$Z191=6),"",CHOOSE($Z191,"1st Email Follow-up","2nd Email Follow-up","Escalate Local Office","Escalate to CBE","Escalate to Roxanne"))</f>
        <v/>
      </c>
    </row>
    <row r="192" spans="13:29">
      <c r="M192" s="14"/>
      <c r="T192" s="16"/>
      <c r="U192" s="17">
        <f>IF(AND(COUNTA($A192:$L192)=0,$N192=""),"",IF($T192="Paid","PAID",IF($T192="Closed","CLOSED",IF($Z192="","",IF($Z192=6,"ESCALATED TO ROXANNE",IF(TODAY()&gt;$AB192,"OVERDUE",IF($AB192&lt;=WORKDAY(TODAY(),1,Holidays),"DUE TOMORROW",IF($Z192=4,"ESCALATED TO LOCAL OFFICE",IF($Z192=5,"ESCALATED TO CBE",IF($AA192=TODAY(),"EMAIL SENT","MONITORING"))))))))))</f>
        <v/>
      </c>
      <c r="V192" s="17">
        <f>IF($U192="",IF(AND(COUNTA($A192:$L192)&gt;0,$N192=""),"Awaiting Collection Email time stamp.",""),IF(OR($U192="PAID",$U192="CLOSED"),IF($U192="PAID","Account paid. Action completed.","Account closed. No further action required."),CHOOSE($Z192,"Collection Email","1st Email Follow-up","2nd Email Follow-up","Escalation to Local Office","Escalation to CBE","Escalation to Roxanne")&amp;" sent "&amp;TEXT($AA192,"dd-mmm")&amp;". "&amp;IF($Z192=6,"Final escalation completed.",IF($U192="OVERDUE","Next: "&amp;$AC192&amp;" was due "&amp;TEXT($AB192,"dd-mmm")&amp;" - "&amp;(NETWORKDAYS($AB192,TODAY(),Holidays)-1)&amp;" business day(s) late. Send now.",IF($U192="DUE TOMORROW","Next: "&amp;$AC192&amp;IF($AB192&lt;=TODAY()," is due TODAY ("," is due next business day (")&amp;TEXT($AB192,"dd-mmm")&amp;").","Next: "&amp;$AC192&amp;" due "&amp;TEXT($AB192,"dd-mmm")&amp;" ("&amp;(NETWORKDAYS(TODAY(),$AB192,Holidays)-1)&amp;" business day(s) left).")))))</f>
        <v/>
      </c>
      <c r="W192" s="17">
        <f>IF($Z192="","",CHOOSE($Z192,"Collection Email","1st Follow-up","2nd Follow-up","Local Office","CBE","Roxanne")&amp;IF($Z192=6," - Final"," - Day "&amp;MAX(0,NETWORKDAYS($AA192,TODAY(),Holidays)-1)&amp;" of "&amp;CHOOSE($Z192,3,3,2,2,3))&amp;" | Total Day "&amp;MAX(0,NETWORKDAYS($N192,TODAY(),Holidays)-1))</f>
        <v/>
      </c>
      <c r="X192" s="18"/>
      <c r="Y192" s="18"/>
      <c r="Z192" s="17">
        <f>IF($N192="","",COUNT($N192:$S192))</f>
        <v/>
      </c>
      <c r="AA192" s="19">
        <f>IF($Z192="","",INT(INDEX($N192:$S192,$Z192)))</f>
        <v/>
      </c>
      <c r="AB192" s="19">
        <f>IF(OR($Z192="",$Z192=6),"",WORKDAY($AA192,CHOOSE($Z192,3,3,2,2,3),Holidays))</f>
        <v/>
      </c>
      <c r="AC192" s="17">
        <f>IF(OR($Z192="",$Z192=6),"",CHOOSE($Z192,"1st Email Follow-up","2nd Email Follow-up","Escalate Local Office","Escalate to CBE","Escalate to Roxanne"))</f>
        <v/>
      </c>
    </row>
    <row r="193" spans="13:29">
      <c r="M193" s="14"/>
      <c r="T193" s="16"/>
      <c r="U193" s="17">
        <f>IF(AND(COUNTA($A193:$L193)=0,$N193=""),"",IF($T193="Paid","PAID",IF($T193="Closed","CLOSED",IF($Z193="","",IF($Z193=6,"ESCALATED TO ROXANNE",IF(TODAY()&gt;$AB193,"OVERDUE",IF($AB193&lt;=WORKDAY(TODAY(),1,Holidays),"DUE TOMORROW",IF($Z193=4,"ESCALATED TO LOCAL OFFICE",IF($Z193=5,"ESCALATED TO CBE",IF($AA193=TODAY(),"EMAIL SENT","MONITORING"))))))))))</f>
        <v/>
      </c>
      <c r="V193" s="17">
        <f>IF($U193="",IF(AND(COUNTA($A193:$L193)&gt;0,$N193=""),"Awaiting Collection Email time stamp.",""),IF(OR($U193="PAID",$U193="CLOSED"),IF($U193="PAID","Account paid. Action completed.","Account closed. No further action required."),CHOOSE($Z193,"Collection Email","1st Email Follow-up","2nd Email Follow-up","Escalation to Local Office","Escalation to CBE","Escalation to Roxanne")&amp;" sent "&amp;TEXT($AA193,"dd-mmm")&amp;". "&amp;IF($Z193=6,"Final escalation completed.",IF($U193="OVERDUE","Next: "&amp;$AC193&amp;" was due "&amp;TEXT($AB193,"dd-mmm")&amp;" - "&amp;(NETWORKDAYS($AB193,TODAY(),Holidays)-1)&amp;" business day(s) late. Send now.",IF($U193="DUE TOMORROW","Next: "&amp;$AC193&amp;IF($AB193&lt;=TODAY()," is due TODAY ("," is due next business day (")&amp;TEXT($AB193,"dd-mmm")&amp;").","Next: "&amp;$AC193&amp;" due "&amp;TEXT($AB193,"dd-mmm")&amp;" ("&amp;(NETWORKDAYS(TODAY(),$AB193,Holidays)-1)&amp;" business day(s) left).")))))</f>
        <v/>
      </c>
      <c r="W193" s="17">
        <f>IF($Z193="","",CHOOSE($Z193,"Collection Email","1st Follow-up","2nd Follow-up","Local Office","CBE","Roxanne")&amp;IF($Z193=6," - Final"," - Day "&amp;MAX(0,NETWORKDAYS($AA193,TODAY(),Holidays)-1)&amp;" of "&amp;CHOOSE($Z193,3,3,2,2,3))&amp;" | Total Day "&amp;MAX(0,NETWORKDAYS($N193,TODAY(),Holidays)-1))</f>
        <v/>
      </c>
      <c r="X193" s="18"/>
      <c r="Y193" s="18"/>
      <c r="Z193" s="17">
        <f>IF($N193="","",COUNT($N193:$S193))</f>
        <v/>
      </c>
      <c r="AA193" s="19">
        <f>IF($Z193="","",INT(INDEX($N193:$S193,$Z193)))</f>
        <v/>
      </c>
      <c r="AB193" s="19">
        <f>IF(OR($Z193="",$Z193=6),"",WORKDAY($AA193,CHOOSE($Z193,3,3,2,2,3),Holidays))</f>
        <v/>
      </c>
      <c r="AC193" s="17">
        <f>IF(OR($Z193="",$Z193=6),"",CHOOSE($Z193,"1st Email Follow-up","2nd Email Follow-up","Escalate Local Office","Escalate to CBE","Escalate to Roxanne"))</f>
        <v/>
      </c>
    </row>
    <row r="194" spans="13:29">
      <c r="M194" s="14"/>
      <c r="T194" s="16"/>
      <c r="U194" s="17">
        <f>IF(AND(COUNTA($A194:$L194)=0,$N194=""),"",IF($T194="Paid","PAID",IF($T194="Closed","CLOSED",IF($Z194="","",IF($Z194=6,"ESCALATED TO ROXANNE",IF(TODAY()&gt;$AB194,"OVERDUE",IF($AB194&lt;=WORKDAY(TODAY(),1,Holidays),"DUE TOMORROW",IF($Z194=4,"ESCALATED TO LOCAL OFFICE",IF($Z194=5,"ESCALATED TO CBE",IF($AA194=TODAY(),"EMAIL SENT","MONITORING"))))))))))</f>
        <v/>
      </c>
      <c r="V194" s="17">
        <f>IF($U194="",IF(AND(COUNTA($A194:$L194)&gt;0,$N194=""),"Awaiting Collection Email time stamp.",""),IF(OR($U194="PAID",$U194="CLOSED"),IF($U194="PAID","Account paid. Action completed.","Account closed. No further action required."),CHOOSE($Z194,"Collection Email","1st Email Follow-up","2nd Email Follow-up","Escalation to Local Office","Escalation to CBE","Escalation to Roxanne")&amp;" sent "&amp;TEXT($AA194,"dd-mmm")&amp;". "&amp;IF($Z194=6,"Final escalation completed.",IF($U194="OVERDUE","Next: "&amp;$AC194&amp;" was due "&amp;TEXT($AB194,"dd-mmm")&amp;" - "&amp;(NETWORKDAYS($AB194,TODAY(),Holidays)-1)&amp;" business day(s) late. Send now.",IF($U194="DUE TOMORROW","Next: "&amp;$AC194&amp;IF($AB194&lt;=TODAY()," is due TODAY ("," is due next business day (")&amp;TEXT($AB194,"dd-mmm")&amp;").","Next: "&amp;$AC194&amp;" due "&amp;TEXT($AB194,"dd-mmm")&amp;" ("&amp;(NETWORKDAYS(TODAY(),$AB194,Holidays)-1)&amp;" business day(s) left).")))))</f>
        <v/>
      </c>
      <c r="W194" s="17">
        <f>IF($Z194="","",CHOOSE($Z194,"Collection Email","1st Follow-up","2nd Follow-up","Local Office","CBE","Roxanne")&amp;IF($Z194=6," - Final"," - Day "&amp;MAX(0,NETWORKDAYS($AA194,TODAY(),Holidays)-1)&amp;" of "&amp;CHOOSE($Z194,3,3,2,2,3))&amp;" | Total Day "&amp;MAX(0,NETWORKDAYS($N194,TODAY(),Holidays)-1))</f>
        <v/>
      </c>
      <c r="X194" s="18"/>
      <c r="Y194" s="18"/>
      <c r="Z194" s="17">
        <f>IF($N194="","",COUNT($N194:$S194))</f>
        <v/>
      </c>
      <c r="AA194" s="19">
        <f>IF($Z194="","",INT(INDEX($N194:$S194,$Z194)))</f>
        <v/>
      </c>
      <c r="AB194" s="19">
        <f>IF(OR($Z194="",$Z194=6),"",WORKDAY($AA194,CHOOSE($Z194,3,3,2,2,3),Holidays))</f>
        <v/>
      </c>
      <c r="AC194" s="17">
        <f>IF(OR($Z194="",$Z194=6),"",CHOOSE($Z194,"1st Email Follow-up","2nd Email Follow-up","Escalate Local Office","Escalate to CBE","Escalate to Roxanne"))</f>
        <v/>
      </c>
    </row>
    <row r="195" spans="13:29">
      <c r="M195" s="14"/>
      <c r="T195" s="16"/>
      <c r="U195" s="17">
        <f>IF(AND(COUNTA($A195:$L195)=0,$N195=""),"",IF($T195="Paid","PAID",IF($T195="Closed","CLOSED",IF($Z195="","",IF($Z195=6,"ESCALATED TO ROXANNE",IF(TODAY()&gt;$AB195,"OVERDUE",IF($AB195&lt;=WORKDAY(TODAY(),1,Holidays),"DUE TOMORROW",IF($Z195=4,"ESCALATED TO LOCAL OFFICE",IF($Z195=5,"ESCALATED TO CBE",IF($AA195=TODAY(),"EMAIL SENT","MONITORING"))))))))))</f>
        <v/>
      </c>
      <c r="V195" s="17">
        <f>IF($U195="",IF(AND(COUNTA($A195:$L195)&gt;0,$N195=""),"Awaiting Collection Email time stamp.",""),IF(OR($U195="PAID",$U195="CLOSED"),IF($U195="PAID","Account paid. Action completed.","Account closed. No further action required."),CHOOSE($Z195,"Collection Email","1st Email Follow-up","2nd Email Follow-up","Escalation to Local Office","Escalation to CBE","Escalation to Roxanne")&amp;" sent "&amp;TEXT($AA195,"dd-mmm")&amp;". "&amp;IF($Z195=6,"Final escalation completed.",IF($U195="OVERDUE","Next: "&amp;$AC195&amp;" was due "&amp;TEXT($AB195,"dd-mmm")&amp;" - "&amp;(NETWORKDAYS($AB195,TODAY(),Holidays)-1)&amp;" business day(s) late. Send now.",IF($U195="DUE TOMORROW","Next: "&amp;$AC195&amp;IF($AB195&lt;=TODAY()," is due TODAY ("," is due next business day (")&amp;TEXT($AB195,"dd-mmm")&amp;").","Next: "&amp;$AC195&amp;" due "&amp;TEXT($AB195,"dd-mmm")&amp;" ("&amp;(NETWORKDAYS(TODAY(),$AB195,Holidays)-1)&amp;" business day(s) left).")))))</f>
        <v/>
      </c>
      <c r="W195" s="17">
        <f>IF($Z195="","",CHOOSE($Z195,"Collection Email","1st Follow-up","2nd Follow-up","Local Office","CBE","Roxanne")&amp;IF($Z195=6," - Final"," - Day "&amp;MAX(0,NETWORKDAYS($AA195,TODAY(),Holidays)-1)&amp;" of "&amp;CHOOSE($Z195,3,3,2,2,3))&amp;" | Total Day "&amp;MAX(0,NETWORKDAYS($N195,TODAY(),Holidays)-1))</f>
        <v/>
      </c>
      <c r="X195" s="18"/>
      <c r="Y195" s="18"/>
      <c r="Z195" s="17">
        <f>IF($N195="","",COUNT($N195:$S195))</f>
        <v/>
      </c>
      <c r="AA195" s="19">
        <f>IF($Z195="","",INT(INDEX($N195:$S195,$Z195)))</f>
        <v/>
      </c>
      <c r="AB195" s="19">
        <f>IF(OR($Z195="",$Z195=6),"",WORKDAY($AA195,CHOOSE($Z195,3,3,2,2,3),Holidays))</f>
        <v/>
      </c>
      <c r="AC195" s="17">
        <f>IF(OR($Z195="",$Z195=6),"",CHOOSE($Z195,"1st Email Follow-up","2nd Email Follow-up","Escalate Local Office","Escalate to CBE","Escalate to Roxanne"))</f>
        <v/>
      </c>
    </row>
    <row r="196" spans="13:29">
      <c r="M196" s="14"/>
      <c r="T196" s="16"/>
      <c r="U196" s="17">
        <f>IF(AND(COUNTA($A196:$L196)=0,$N196=""),"",IF($T196="Paid","PAID",IF($T196="Closed","CLOSED",IF($Z196="","",IF($Z196=6,"ESCALATED TO ROXANNE",IF(TODAY()&gt;$AB196,"OVERDUE",IF($AB196&lt;=WORKDAY(TODAY(),1,Holidays),"DUE TOMORROW",IF($Z196=4,"ESCALATED TO LOCAL OFFICE",IF($Z196=5,"ESCALATED TO CBE",IF($AA196=TODAY(),"EMAIL SENT","MONITORING"))))))))))</f>
        <v/>
      </c>
      <c r="V196" s="17">
        <f>IF($U196="",IF(AND(COUNTA($A196:$L196)&gt;0,$N196=""),"Awaiting Collection Email time stamp.",""),IF(OR($U196="PAID",$U196="CLOSED"),IF($U196="PAID","Account paid. Action completed.","Account closed. No further action required."),CHOOSE($Z196,"Collection Email","1st Email Follow-up","2nd Email Follow-up","Escalation to Local Office","Escalation to CBE","Escalation to Roxanne")&amp;" sent "&amp;TEXT($AA196,"dd-mmm")&amp;". "&amp;IF($Z196=6,"Final escalation completed.",IF($U196="OVERDUE","Next: "&amp;$AC196&amp;" was due "&amp;TEXT($AB196,"dd-mmm")&amp;" - "&amp;(NETWORKDAYS($AB196,TODAY(),Holidays)-1)&amp;" business day(s) late. Send now.",IF($U196="DUE TOMORROW","Next: "&amp;$AC196&amp;IF($AB196&lt;=TODAY()," is due TODAY ("," is due next business day (")&amp;TEXT($AB196,"dd-mmm")&amp;").","Next: "&amp;$AC196&amp;" due "&amp;TEXT($AB196,"dd-mmm")&amp;" ("&amp;(NETWORKDAYS(TODAY(),$AB196,Holidays)-1)&amp;" business day(s) left).")))))</f>
        <v/>
      </c>
      <c r="W196" s="17">
        <f>IF($Z196="","",CHOOSE($Z196,"Collection Email","1st Follow-up","2nd Follow-up","Local Office","CBE","Roxanne")&amp;IF($Z196=6," - Final"," - Day "&amp;MAX(0,NETWORKDAYS($AA196,TODAY(),Holidays)-1)&amp;" of "&amp;CHOOSE($Z196,3,3,2,2,3))&amp;" | Total Day "&amp;MAX(0,NETWORKDAYS($N196,TODAY(),Holidays)-1))</f>
        <v/>
      </c>
      <c r="X196" s="18"/>
      <c r="Y196" s="18"/>
      <c r="Z196" s="17">
        <f>IF($N196="","",COUNT($N196:$S196))</f>
        <v/>
      </c>
      <c r="AA196" s="19">
        <f>IF($Z196="","",INT(INDEX($N196:$S196,$Z196)))</f>
        <v/>
      </c>
      <c r="AB196" s="19">
        <f>IF(OR($Z196="",$Z196=6),"",WORKDAY($AA196,CHOOSE($Z196,3,3,2,2,3),Holidays))</f>
        <v/>
      </c>
      <c r="AC196" s="17">
        <f>IF(OR($Z196="",$Z196=6),"",CHOOSE($Z196,"1st Email Follow-up","2nd Email Follow-up","Escalate Local Office","Escalate to CBE","Escalate to Roxanne"))</f>
        <v/>
      </c>
    </row>
    <row r="197" spans="13:29">
      <c r="M197" s="14"/>
      <c r="T197" s="16"/>
      <c r="U197" s="17">
        <f>IF(AND(COUNTA($A197:$L197)=0,$N197=""),"",IF($T197="Paid","PAID",IF($T197="Closed","CLOSED",IF($Z197="","",IF($Z197=6,"ESCALATED TO ROXANNE",IF(TODAY()&gt;$AB197,"OVERDUE",IF($AB197&lt;=WORKDAY(TODAY(),1,Holidays),"DUE TOMORROW",IF($Z197=4,"ESCALATED TO LOCAL OFFICE",IF($Z197=5,"ESCALATED TO CBE",IF($AA197=TODAY(),"EMAIL SENT","MONITORING"))))))))))</f>
        <v/>
      </c>
      <c r="V197" s="17">
        <f>IF($U197="",IF(AND(COUNTA($A197:$L197)&gt;0,$N197=""),"Awaiting Collection Email time stamp.",""),IF(OR($U197="PAID",$U197="CLOSED"),IF($U197="PAID","Account paid. Action completed.","Account closed. No further action required."),CHOOSE($Z197,"Collection Email","1st Email Follow-up","2nd Email Follow-up","Escalation to Local Office","Escalation to CBE","Escalation to Roxanne")&amp;" sent "&amp;TEXT($AA197,"dd-mmm")&amp;". "&amp;IF($Z197=6,"Final escalation completed.",IF($U197="OVERDUE","Next: "&amp;$AC197&amp;" was due "&amp;TEXT($AB197,"dd-mmm")&amp;" - "&amp;(NETWORKDAYS($AB197,TODAY(),Holidays)-1)&amp;" business day(s) late. Send now.",IF($U197="DUE TOMORROW","Next: "&amp;$AC197&amp;IF($AB197&lt;=TODAY()," is due TODAY ("," is due next business day (")&amp;TEXT($AB197,"dd-mmm")&amp;").","Next: "&amp;$AC197&amp;" due "&amp;TEXT($AB197,"dd-mmm")&amp;" ("&amp;(NETWORKDAYS(TODAY(),$AB197,Holidays)-1)&amp;" business day(s) left).")))))</f>
        <v/>
      </c>
      <c r="W197" s="17">
        <f>IF($Z197="","",CHOOSE($Z197,"Collection Email","1st Follow-up","2nd Follow-up","Local Office","CBE","Roxanne")&amp;IF($Z197=6," - Final"," - Day "&amp;MAX(0,NETWORKDAYS($AA197,TODAY(),Holidays)-1)&amp;" of "&amp;CHOOSE($Z197,3,3,2,2,3))&amp;" | Total Day "&amp;MAX(0,NETWORKDAYS($N197,TODAY(),Holidays)-1))</f>
        <v/>
      </c>
      <c r="X197" s="18"/>
      <c r="Y197" s="18"/>
      <c r="Z197" s="17">
        <f>IF($N197="","",COUNT($N197:$S197))</f>
        <v/>
      </c>
      <c r="AA197" s="19">
        <f>IF($Z197="","",INT(INDEX($N197:$S197,$Z197)))</f>
        <v/>
      </c>
      <c r="AB197" s="19">
        <f>IF(OR($Z197="",$Z197=6),"",WORKDAY($AA197,CHOOSE($Z197,3,3,2,2,3),Holidays))</f>
        <v/>
      </c>
      <c r="AC197" s="17">
        <f>IF(OR($Z197="",$Z197=6),"",CHOOSE($Z197,"1st Email Follow-up","2nd Email Follow-up","Escalate Local Office","Escalate to CBE","Escalate to Roxanne"))</f>
        <v/>
      </c>
    </row>
    <row r="198" spans="13:29">
      <c r="M198" s="14"/>
      <c r="T198" s="16"/>
      <c r="U198" s="17">
        <f>IF(AND(COUNTA($A198:$L198)=0,$N198=""),"",IF($T198="Paid","PAID",IF($T198="Closed","CLOSED",IF($Z198="","",IF($Z198=6,"ESCALATED TO ROXANNE",IF(TODAY()&gt;$AB198,"OVERDUE",IF($AB198&lt;=WORKDAY(TODAY(),1,Holidays),"DUE TOMORROW",IF($Z198=4,"ESCALATED TO LOCAL OFFICE",IF($Z198=5,"ESCALATED TO CBE",IF($AA198=TODAY(),"EMAIL SENT","MONITORING"))))))))))</f>
        <v/>
      </c>
      <c r="V198" s="17">
        <f>IF($U198="",IF(AND(COUNTA($A198:$L198)&gt;0,$N198=""),"Awaiting Collection Email time stamp.",""),IF(OR($U198="PAID",$U198="CLOSED"),IF($U198="PAID","Account paid. Action completed.","Account closed. No further action required."),CHOOSE($Z198,"Collection Email","1st Email Follow-up","2nd Email Follow-up","Escalation to Local Office","Escalation to CBE","Escalation to Roxanne")&amp;" sent "&amp;TEXT($AA198,"dd-mmm")&amp;". "&amp;IF($Z198=6,"Final escalation completed.",IF($U198="OVERDUE","Next: "&amp;$AC198&amp;" was due "&amp;TEXT($AB198,"dd-mmm")&amp;" - "&amp;(NETWORKDAYS($AB198,TODAY(),Holidays)-1)&amp;" business day(s) late. Send now.",IF($U198="DUE TOMORROW","Next: "&amp;$AC198&amp;IF($AB198&lt;=TODAY()," is due TODAY ("," is due next business day (")&amp;TEXT($AB198,"dd-mmm")&amp;").","Next: "&amp;$AC198&amp;" due "&amp;TEXT($AB198,"dd-mmm")&amp;" ("&amp;(NETWORKDAYS(TODAY(),$AB198,Holidays)-1)&amp;" business day(s) left).")))))</f>
        <v/>
      </c>
      <c r="W198" s="17">
        <f>IF($Z198="","",CHOOSE($Z198,"Collection Email","1st Follow-up","2nd Follow-up","Local Office","CBE","Roxanne")&amp;IF($Z198=6," - Final"," - Day "&amp;MAX(0,NETWORKDAYS($AA198,TODAY(),Holidays)-1)&amp;" of "&amp;CHOOSE($Z198,3,3,2,2,3))&amp;" | Total Day "&amp;MAX(0,NETWORKDAYS($N198,TODAY(),Holidays)-1))</f>
        <v/>
      </c>
      <c r="X198" s="18"/>
      <c r="Y198" s="18"/>
      <c r="Z198" s="17">
        <f>IF($N198="","",COUNT($N198:$S198))</f>
        <v/>
      </c>
      <c r="AA198" s="19">
        <f>IF($Z198="","",INT(INDEX($N198:$S198,$Z198)))</f>
        <v/>
      </c>
      <c r="AB198" s="19">
        <f>IF(OR($Z198="",$Z198=6),"",WORKDAY($AA198,CHOOSE($Z198,3,3,2,2,3),Holidays))</f>
        <v/>
      </c>
      <c r="AC198" s="17">
        <f>IF(OR($Z198="",$Z198=6),"",CHOOSE($Z198,"1st Email Follow-up","2nd Email Follow-up","Escalate Local Office","Escalate to CBE","Escalate to Roxanne"))</f>
        <v/>
      </c>
    </row>
    <row r="199" spans="13:29">
      <c r="M199" s="14"/>
      <c r="T199" s="16"/>
      <c r="U199" s="17">
        <f>IF(AND(COUNTA($A199:$L199)=0,$N199=""),"",IF($T199="Paid","PAID",IF($T199="Closed","CLOSED",IF($Z199="","",IF($Z199=6,"ESCALATED TO ROXANNE",IF(TODAY()&gt;$AB199,"OVERDUE",IF($AB199&lt;=WORKDAY(TODAY(),1,Holidays),"DUE TOMORROW",IF($Z199=4,"ESCALATED TO LOCAL OFFICE",IF($Z199=5,"ESCALATED TO CBE",IF($AA199=TODAY(),"EMAIL SENT","MONITORING"))))))))))</f>
        <v/>
      </c>
      <c r="V199" s="17">
        <f>IF($U199="",IF(AND(COUNTA($A199:$L199)&gt;0,$N199=""),"Awaiting Collection Email time stamp.",""),IF(OR($U199="PAID",$U199="CLOSED"),IF($U199="PAID","Account paid. Action completed.","Account closed. No further action required."),CHOOSE($Z199,"Collection Email","1st Email Follow-up","2nd Email Follow-up","Escalation to Local Office","Escalation to CBE","Escalation to Roxanne")&amp;" sent "&amp;TEXT($AA199,"dd-mmm")&amp;". "&amp;IF($Z199=6,"Final escalation completed.",IF($U199="OVERDUE","Next: "&amp;$AC199&amp;" was due "&amp;TEXT($AB199,"dd-mmm")&amp;" - "&amp;(NETWORKDAYS($AB199,TODAY(),Holidays)-1)&amp;" business day(s) late. Send now.",IF($U199="DUE TOMORROW","Next: "&amp;$AC199&amp;IF($AB199&lt;=TODAY()," is due TODAY ("," is due next business day (")&amp;TEXT($AB199,"dd-mmm")&amp;").","Next: "&amp;$AC199&amp;" due "&amp;TEXT($AB199,"dd-mmm")&amp;" ("&amp;(NETWORKDAYS(TODAY(),$AB199,Holidays)-1)&amp;" business day(s) left).")))))</f>
        <v/>
      </c>
      <c r="W199" s="17">
        <f>IF($Z199="","",CHOOSE($Z199,"Collection Email","1st Follow-up","2nd Follow-up","Local Office","CBE","Roxanne")&amp;IF($Z199=6," - Final"," - Day "&amp;MAX(0,NETWORKDAYS($AA199,TODAY(),Holidays)-1)&amp;" of "&amp;CHOOSE($Z199,3,3,2,2,3))&amp;" | Total Day "&amp;MAX(0,NETWORKDAYS($N199,TODAY(),Holidays)-1))</f>
        <v/>
      </c>
      <c r="X199" s="18"/>
      <c r="Y199" s="18"/>
      <c r="Z199" s="17">
        <f>IF($N199="","",COUNT($N199:$S199))</f>
        <v/>
      </c>
      <c r="AA199" s="19">
        <f>IF($Z199="","",INT(INDEX($N199:$S199,$Z199)))</f>
        <v/>
      </c>
      <c r="AB199" s="19">
        <f>IF(OR($Z199="",$Z199=6),"",WORKDAY($AA199,CHOOSE($Z199,3,3,2,2,3),Holidays))</f>
        <v/>
      </c>
      <c r="AC199" s="17">
        <f>IF(OR($Z199="",$Z199=6),"",CHOOSE($Z199,"1st Email Follow-up","2nd Email Follow-up","Escalate Local Office","Escalate to CBE","Escalate to Roxanne"))</f>
        <v/>
      </c>
    </row>
    <row r="200" spans="13:29">
      <c r="M200" s="14"/>
      <c r="T200" s="16"/>
      <c r="U200" s="17">
        <f>IF(AND(COUNTA($A200:$L200)=0,$N200=""),"",IF($T200="Paid","PAID",IF($T200="Closed","CLOSED",IF($Z200="","",IF($Z200=6,"ESCALATED TO ROXANNE",IF(TODAY()&gt;$AB200,"OVERDUE",IF($AB200&lt;=WORKDAY(TODAY(),1,Holidays),"DUE TOMORROW",IF($Z200=4,"ESCALATED TO LOCAL OFFICE",IF($Z200=5,"ESCALATED TO CBE",IF($AA200=TODAY(),"EMAIL SENT","MONITORING"))))))))))</f>
        <v/>
      </c>
      <c r="V200" s="17">
        <f>IF($U200="",IF(AND(COUNTA($A200:$L200)&gt;0,$N200=""),"Awaiting Collection Email time stamp.",""),IF(OR($U200="PAID",$U200="CLOSED"),IF($U200="PAID","Account paid. Action completed.","Account closed. No further action required."),CHOOSE($Z200,"Collection Email","1st Email Follow-up","2nd Email Follow-up","Escalation to Local Office","Escalation to CBE","Escalation to Roxanne")&amp;" sent "&amp;TEXT($AA200,"dd-mmm")&amp;". "&amp;IF($Z200=6,"Final escalation completed.",IF($U200="OVERDUE","Next: "&amp;$AC200&amp;" was due "&amp;TEXT($AB200,"dd-mmm")&amp;" - "&amp;(NETWORKDAYS($AB200,TODAY(),Holidays)-1)&amp;" business day(s) late. Send now.",IF($U200="DUE TOMORROW","Next: "&amp;$AC200&amp;IF($AB200&lt;=TODAY()," is due TODAY ("," is due next business day (")&amp;TEXT($AB200,"dd-mmm")&amp;").","Next: "&amp;$AC200&amp;" due "&amp;TEXT($AB200,"dd-mmm")&amp;" ("&amp;(NETWORKDAYS(TODAY(),$AB200,Holidays)-1)&amp;" business day(s) left).")))))</f>
        <v/>
      </c>
      <c r="W200" s="17">
        <f>IF($Z200="","",CHOOSE($Z200,"Collection Email","1st Follow-up","2nd Follow-up","Local Office","CBE","Roxanne")&amp;IF($Z200=6," - Final"," - Day "&amp;MAX(0,NETWORKDAYS($AA200,TODAY(),Holidays)-1)&amp;" of "&amp;CHOOSE($Z200,3,3,2,2,3))&amp;" | Total Day "&amp;MAX(0,NETWORKDAYS($N200,TODAY(),Holidays)-1))</f>
        <v/>
      </c>
      <c r="X200" s="18"/>
      <c r="Y200" s="18"/>
      <c r="Z200" s="17">
        <f>IF($N200="","",COUNT($N200:$S200))</f>
        <v/>
      </c>
      <c r="AA200" s="19">
        <f>IF($Z200="","",INT(INDEX($N200:$S200,$Z200)))</f>
        <v/>
      </c>
      <c r="AB200" s="19">
        <f>IF(OR($Z200="",$Z200=6),"",WORKDAY($AA200,CHOOSE($Z200,3,3,2,2,3),Holidays))</f>
        <v/>
      </c>
      <c r="AC200" s="17">
        <f>IF(OR($Z200="",$Z200=6),"",CHOOSE($Z200,"1st Email Follow-up","2nd Email Follow-up","Escalate Local Office","Escalate to CBE","Escalate to Roxanne"))</f>
        <v/>
      </c>
    </row>
    <row r="201" spans="13:29">
      <c r="M201" s="14"/>
      <c r="T201" s="16"/>
      <c r="U201" s="17">
        <f>IF(AND(COUNTA($A201:$L201)=0,$N201=""),"",IF($T201="Paid","PAID",IF($T201="Closed","CLOSED",IF($Z201="","",IF($Z201=6,"ESCALATED TO ROXANNE",IF(TODAY()&gt;$AB201,"OVERDUE",IF($AB201&lt;=WORKDAY(TODAY(),1,Holidays),"DUE TOMORROW",IF($Z201=4,"ESCALATED TO LOCAL OFFICE",IF($Z201=5,"ESCALATED TO CBE",IF($AA201=TODAY(),"EMAIL SENT","MONITORING"))))))))))</f>
        <v/>
      </c>
      <c r="V201" s="17">
        <f>IF($U201="",IF(AND(COUNTA($A201:$L201)&gt;0,$N201=""),"Awaiting Collection Email time stamp.",""),IF(OR($U201="PAID",$U201="CLOSED"),IF($U201="PAID","Account paid. Action completed.","Account closed. No further action required."),CHOOSE($Z201,"Collection Email","1st Email Follow-up","2nd Email Follow-up","Escalation to Local Office","Escalation to CBE","Escalation to Roxanne")&amp;" sent "&amp;TEXT($AA201,"dd-mmm")&amp;". "&amp;IF($Z201=6,"Final escalation completed.",IF($U201="OVERDUE","Next: "&amp;$AC201&amp;" was due "&amp;TEXT($AB201,"dd-mmm")&amp;" - "&amp;(NETWORKDAYS($AB201,TODAY(),Holidays)-1)&amp;" business day(s) late. Send now.",IF($U201="DUE TOMORROW","Next: "&amp;$AC201&amp;IF($AB201&lt;=TODAY()," is due TODAY ("," is due next business day (")&amp;TEXT($AB201,"dd-mmm")&amp;").","Next: "&amp;$AC201&amp;" due "&amp;TEXT($AB201,"dd-mmm")&amp;" ("&amp;(NETWORKDAYS(TODAY(),$AB201,Holidays)-1)&amp;" business day(s) left).")))))</f>
        <v/>
      </c>
      <c r="W201" s="17">
        <f>IF($Z201="","",CHOOSE($Z201,"Collection Email","1st Follow-up","2nd Follow-up","Local Office","CBE","Roxanne")&amp;IF($Z201=6," - Final"," - Day "&amp;MAX(0,NETWORKDAYS($AA201,TODAY(),Holidays)-1)&amp;" of "&amp;CHOOSE($Z201,3,3,2,2,3))&amp;" | Total Day "&amp;MAX(0,NETWORKDAYS($N201,TODAY(),Holidays)-1))</f>
        <v/>
      </c>
      <c r="X201" s="18"/>
      <c r="Y201" s="18"/>
      <c r="Z201" s="17">
        <f>IF($N201="","",COUNT($N201:$S201))</f>
        <v/>
      </c>
      <c r="AA201" s="19">
        <f>IF($Z201="","",INT(INDEX($N201:$S201,$Z201)))</f>
        <v/>
      </c>
      <c r="AB201" s="19">
        <f>IF(OR($Z201="",$Z201=6),"",WORKDAY($AA201,CHOOSE($Z201,3,3,2,2,3),Holidays))</f>
        <v/>
      </c>
      <c r="AC201" s="17">
        <f>IF(OR($Z201="",$Z201=6),"",CHOOSE($Z201,"1st Email Follow-up","2nd Email Follow-up","Escalate Local Office","Escalate to CBE","Escalate to Roxanne"))</f>
        <v/>
      </c>
    </row>
    <row r="202" spans="13:29">
      <c r="M202" s="14"/>
      <c r="T202" s="16"/>
      <c r="U202" s="17">
        <f>IF(AND(COUNTA($A202:$L202)=0,$N202=""),"",IF($T202="Paid","PAID",IF($T202="Closed","CLOSED",IF($Z202="","",IF($Z202=6,"ESCALATED TO ROXANNE",IF(TODAY()&gt;$AB202,"OVERDUE",IF($AB202&lt;=WORKDAY(TODAY(),1,Holidays),"DUE TOMORROW",IF($Z202=4,"ESCALATED TO LOCAL OFFICE",IF($Z202=5,"ESCALATED TO CBE",IF($AA202=TODAY(),"EMAIL SENT","MONITORING"))))))))))</f>
        <v/>
      </c>
      <c r="V202" s="17">
        <f>IF($U202="",IF(AND(COUNTA($A202:$L202)&gt;0,$N202=""),"Awaiting Collection Email time stamp.",""),IF(OR($U202="PAID",$U202="CLOSED"),IF($U202="PAID","Account paid. Action completed.","Account closed. No further action required."),CHOOSE($Z202,"Collection Email","1st Email Follow-up","2nd Email Follow-up","Escalation to Local Office","Escalation to CBE","Escalation to Roxanne")&amp;" sent "&amp;TEXT($AA202,"dd-mmm")&amp;". "&amp;IF($Z202=6,"Final escalation completed.",IF($U202="OVERDUE","Next: "&amp;$AC202&amp;" was due "&amp;TEXT($AB202,"dd-mmm")&amp;" - "&amp;(NETWORKDAYS($AB202,TODAY(),Holidays)-1)&amp;" business day(s) late. Send now.",IF($U202="DUE TOMORROW","Next: "&amp;$AC202&amp;IF($AB202&lt;=TODAY()," is due TODAY ("," is due next business day (")&amp;TEXT($AB202,"dd-mmm")&amp;").","Next: "&amp;$AC202&amp;" due "&amp;TEXT($AB202,"dd-mmm")&amp;" ("&amp;(NETWORKDAYS(TODAY(),$AB202,Holidays)-1)&amp;" business day(s) left).")))))</f>
        <v/>
      </c>
      <c r="W202" s="17">
        <f>IF($Z202="","",CHOOSE($Z202,"Collection Email","1st Follow-up","2nd Follow-up","Local Office","CBE","Roxanne")&amp;IF($Z202=6," - Final"," - Day "&amp;MAX(0,NETWORKDAYS($AA202,TODAY(),Holidays)-1)&amp;" of "&amp;CHOOSE($Z202,3,3,2,2,3))&amp;" | Total Day "&amp;MAX(0,NETWORKDAYS($N202,TODAY(),Holidays)-1))</f>
        <v/>
      </c>
      <c r="X202" s="18"/>
      <c r="Y202" s="18"/>
      <c r="Z202" s="17">
        <f>IF($N202="","",COUNT($N202:$S202))</f>
        <v/>
      </c>
      <c r="AA202" s="19">
        <f>IF($Z202="","",INT(INDEX($N202:$S202,$Z202)))</f>
        <v/>
      </c>
      <c r="AB202" s="19">
        <f>IF(OR($Z202="",$Z202=6),"",WORKDAY($AA202,CHOOSE($Z202,3,3,2,2,3),Holidays))</f>
        <v/>
      </c>
      <c r="AC202" s="17">
        <f>IF(OR($Z202="",$Z202=6),"",CHOOSE($Z202,"1st Email Follow-up","2nd Email Follow-up","Escalate Local Office","Escalate to CBE","Escalate to Roxanne"))</f>
        <v/>
      </c>
    </row>
    <row r="203" spans="13:29">
      <c r="M203" s="14"/>
      <c r="T203" s="16"/>
      <c r="U203" s="17">
        <f>IF(AND(COUNTA($A203:$L203)=0,$N203=""),"",IF($T203="Paid","PAID",IF($T203="Closed","CLOSED",IF($Z203="","",IF($Z203=6,"ESCALATED TO ROXANNE",IF(TODAY()&gt;$AB203,"OVERDUE",IF($AB203&lt;=WORKDAY(TODAY(),1,Holidays),"DUE TOMORROW",IF($Z203=4,"ESCALATED TO LOCAL OFFICE",IF($Z203=5,"ESCALATED TO CBE",IF($AA203=TODAY(),"EMAIL SENT","MONITORING"))))))))))</f>
        <v/>
      </c>
      <c r="V203" s="17">
        <f>IF($U203="",IF(AND(COUNTA($A203:$L203)&gt;0,$N203=""),"Awaiting Collection Email time stamp.",""),IF(OR($U203="PAID",$U203="CLOSED"),IF($U203="PAID","Account paid. Action completed.","Account closed. No further action required."),CHOOSE($Z203,"Collection Email","1st Email Follow-up","2nd Email Follow-up","Escalation to Local Office","Escalation to CBE","Escalation to Roxanne")&amp;" sent "&amp;TEXT($AA203,"dd-mmm")&amp;". "&amp;IF($Z203=6,"Final escalation completed.",IF($U203="OVERDUE","Next: "&amp;$AC203&amp;" was due "&amp;TEXT($AB203,"dd-mmm")&amp;" - "&amp;(NETWORKDAYS($AB203,TODAY(),Holidays)-1)&amp;" business day(s) late. Send now.",IF($U203="DUE TOMORROW","Next: "&amp;$AC203&amp;IF($AB203&lt;=TODAY()," is due TODAY ("," is due next business day (")&amp;TEXT($AB203,"dd-mmm")&amp;").","Next: "&amp;$AC203&amp;" due "&amp;TEXT($AB203,"dd-mmm")&amp;" ("&amp;(NETWORKDAYS(TODAY(),$AB203,Holidays)-1)&amp;" business day(s) left).")))))</f>
        <v/>
      </c>
      <c r="W203" s="17">
        <f>IF($Z203="","",CHOOSE($Z203,"Collection Email","1st Follow-up","2nd Follow-up","Local Office","CBE","Roxanne")&amp;IF($Z203=6," - Final"," - Day "&amp;MAX(0,NETWORKDAYS($AA203,TODAY(),Holidays)-1)&amp;" of "&amp;CHOOSE($Z203,3,3,2,2,3))&amp;" | Total Day "&amp;MAX(0,NETWORKDAYS($N203,TODAY(),Holidays)-1))</f>
        <v/>
      </c>
      <c r="X203" s="18"/>
      <c r="Y203" s="18"/>
      <c r="Z203" s="17">
        <f>IF($N203="","",COUNT($N203:$S203))</f>
        <v/>
      </c>
      <c r="AA203" s="19">
        <f>IF($Z203="","",INT(INDEX($N203:$S203,$Z203)))</f>
        <v/>
      </c>
      <c r="AB203" s="19">
        <f>IF(OR($Z203="",$Z203=6),"",WORKDAY($AA203,CHOOSE($Z203,3,3,2,2,3),Holidays))</f>
        <v/>
      </c>
      <c r="AC203" s="17">
        <f>IF(OR($Z203="",$Z203=6),"",CHOOSE($Z203,"1st Email Follow-up","2nd Email Follow-up","Escalate Local Office","Escalate to CBE","Escalate to Roxanne"))</f>
        <v/>
      </c>
    </row>
    <row r="204" spans="13:29">
      <c r="M204" s="14"/>
      <c r="T204" s="16"/>
      <c r="U204" s="17">
        <f>IF(AND(COUNTA($A204:$L204)=0,$N204=""),"",IF($T204="Paid","PAID",IF($T204="Closed","CLOSED",IF($Z204="","",IF($Z204=6,"ESCALATED TO ROXANNE",IF(TODAY()&gt;$AB204,"OVERDUE",IF($AB204&lt;=WORKDAY(TODAY(),1,Holidays),"DUE TOMORROW",IF($Z204=4,"ESCALATED TO LOCAL OFFICE",IF($Z204=5,"ESCALATED TO CBE",IF($AA204=TODAY(),"EMAIL SENT","MONITORING"))))))))))</f>
        <v/>
      </c>
      <c r="V204" s="17">
        <f>IF($U204="",IF(AND(COUNTA($A204:$L204)&gt;0,$N204=""),"Awaiting Collection Email time stamp.",""),IF(OR($U204="PAID",$U204="CLOSED"),IF($U204="PAID","Account paid. Action completed.","Account closed. No further action required."),CHOOSE($Z204,"Collection Email","1st Email Follow-up","2nd Email Follow-up","Escalation to Local Office","Escalation to CBE","Escalation to Roxanne")&amp;" sent "&amp;TEXT($AA204,"dd-mmm")&amp;". "&amp;IF($Z204=6,"Final escalation completed.",IF($U204="OVERDUE","Next: "&amp;$AC204&amp;" was due "&amp;TEXT($AB204,"dd-mmm")&amp;" - "&amp;(NETWORKDAYS($AB204,TODAY(),Holidays)-1)&amp;" business day(s) late. Send now.",IF($U204="DUE TOMORROW","Next: "&amp;$AC204&amp;IF($AB204&lt;=TODAY()," is due TODAY ("," is due next business day (")&amp;TEXT($AB204,"dd-mmm")&amp;").","Next: "&amp;$AC204&amp;" due "&amp;TEXT($AB204,"dd-mmm")&amp;" ("&amp;(NETWORKDAYS(TODAY(),$AB204,Holidays)-1)&amp;" business day(s) left).")))))</f>
        <v/>
      </c>
      <c r="W204" s="17">
        <f>IF($Z204="","",CHOOSE($Z204,"Collection Email","1st Follow-up","2nd Follow-up","Local Office","CBE","Roxanne")&amp;IF($Z204=6," - Final"," - Day "&amp;MAX(0,NETWORKDAYS($AA204,TODAY(),Holidays)-1)&amp;" of "&amp;CHOOSE($Z204,3,3,2,2,3))&amp;" | Total Day "&amp;MAX(0,NETWORKDAYS($N204,TODAY(),Holidays)-1))</f>
        <v/>
      </c>
      <c r="X204" s="18"/>
      <c r="Y204" s="18"/>
      <c r="Z204" s="17">
        <f>IF($N204="","",COUNT($N204:$S204))</f>
        <v/>
      </c>
      <c r="AA204" s="19">
        <f>IF($Z204="","",INT(INDEX($N204:$S204,$Z204)))</f>
        <v/>
      </c>
      <c r="AB204" s="19">
        <f>IF(OR($Z204="",$Z204=6),"",WORKDAY($AA204,CHOOSE($Z204,3,3,2,2,3),Holidays))</f>
        <v/>
      </c>
      <c r="AC204" s="17">
        <f>IF(OR($Z204="",$Z204=6),"",CHOOSE($Z204,"1st Email Follow-up","2nd Email Follow-up","Escalate Local Office","Escalate to CBE","Escalate to Roxanne"))</f>
        <v/>
      </c>
    </row>
    <row r="205" spans="13:29">
      <c r="M205" s="14"/>
      <c r="T205" s="16"/>
      <c r="U205" s="17">
        <f>IF(AND(COUNTA($A205:$L205)=0,$N205=""),"",IF($T205="Paid","PAID",IF($T205="Closed","CLOSED",IF($Z205="","",IF($Z205=6,"ESCALATED TO ROXANNE",IF(TODAY()&gt;$AB205,"OVERDUE",IF($AB205&lt;=WORKDAY(TODAY(),1,Holidays),"DUE TOMORROW",IF($Z205=4,"ESCALATED TO LOCAL OFFICE",IF($Z205=5,"ESCALATED TO CBE",IF($AA205=TODAY(),"EMAIL SENT","MONITORING"))))))))))</f>
        <v/>
      </c>
      <c r="V205" s="17">
        <f>IF($U205="",IF(AND(COUNTA($A205:$L205)&gt;0,$N205=""),"Awaiting Collection Email time stamp.",""),IF(OR($U205="PAID",$U205="CLOSED"),IF($U205="PAID","Account paid. Action completed.","Account closed. No further action required."),CHOOSE($Z205,"Collection Email","1st Email Follow-up","2nd Email Follow-up","Escalation to Local Office","Escalation to CBE","Escalation to Roxanne")&amp;" sent "&amp;TEXT($AA205,"dd-mmm")&amp;". "&amp;IF($Z205=6,"Final escalation completed.",IF($U205="OVERDUE","Next: "&amp;$AC205&amp;" was due "&amp;TEXT($AB205,"dd-mmm")&amp;" - "&amp;(NETWORKDAYS($AB205,TODAY(),Holidays)-1)&amp;" business day(s) late. Send now.",IF($U205="DUE TOMORROW","Next: "&amp;$AC205&amp;IF($AB205&lt;=TODAY()," is due TODAY ("," is due next business day (")&amp;TEXT($AB205,"dd-mmm")&amp;").","Next: "&amp;$AC205&amp;" due "&amp;TEXT($AB205,"dd-mmm")&amp;" ("&amp;(NETWORKDAYS(TODAY(),$AB205,Holidays)-1)&amp;" business day(s) left).")))))</f>
        <v/>
      </c>
      <c r="W205" s="17">
        <f>IF($Z205="","",CHOOSE($Z205,"Collection Email","1st Follow-up","2nd Follow-up","Local Office","CBE","Roxanne")&amp;IF($Z205=6," - Final"," - Day "&amp;MAX(0,NETWORKDAYS($AA205,TODAY(),Holidays)-1)&amp;" of "&amp;CHOOSE($Z205,3,3,2,2,3))&amp;" | Total Day "&amp;MAX(0,NETWORKDAYS($N205,TODAY(),Holidays)-1))</f>
        <v/>
      </c>
      <c r="X205" s="18"/>
      <c r="Y205" s="18"/>
      <c r="Z205" s="17">
        <f>IF($N205="","",COUNT($N205:$S205))</f>
        <v/>
      </c>
      <c r="AA205" s="19">
        <f>IF($Z205="","",INT(INDEX($N205:$S205,$Z205)))</f>
        <v/>
      </c>
      <c r="AB205" s="19">
        <f>IF(OR($Z205="",$Z205=6),"",WORKDAY($AA205,CHOOSE($Z205,3,3,2,2,3),Holidays))</f>
        <v/>
      </c>
      <c r="AC205" s="17">
        <f>IF(OR($Z205="",$Z205=6),"",CHOOSE($Z205,"1st Email Follow-up","2nd Email Follow-up","Escalate Local Office","Escalate to CBE","Escalate to Roxanne"))</f>
        <v/>
      </c>
    </row>
    <row r="206" spans="13:29">
      <c r="M206" s="14"/>
      <c r="T206" s="16"/>
      <c r="U206" s="17">
        <f>IF(AND(COUNTA($A206:$L206)=0,$N206=""),"",IF($T206="Paid","PAID",IF($T206="Closed","CLOSED",IF($Z206="","",IF($Z206=6,"ESCALATED TO ROXANNE",IF(TODAY()&gt;$AB206,"OVERDUE",IF($AB206&lt;=WORKDAY(TODAY(),1,Holidays),"DUE TOMORROW",IF($Z206=4,"ESCALATED TO LOCAL OFFICE",IF($Z206=5,"ESCALATED TO CBE",IF($AA206=TODAY(),"EMAIL SENT","MONITORING"))))))))))</f>
        <v/>
      </c>
      <c r="V206" s="17">
        <f>IF($U206="",IF(AND(COUNTA($A206:$L206)&gt;0,$N206=""),"Awaiting Collection Email time stamp.",""),IF(OR($U206="PAID",$U206="CLOSED"),IF($U206="PAID","Account paid. Action completed.","Account closed. No further action required."),CHOOSE($Z206,"Collection Email","1st Email Follow-up","2nd Email Follow-up","Escalation to Local Office","Escalation to CBE","Escalation to Roxanne")&amp;" sent "&amp;TEXT($AA206,"dd-mmm")&amp;". "&amp;IF($Z206=6,"Final escalation completed.",IF($U206="OVERDUE","Next: "&amp;$AC206&amp;" was due "&amp;TEXT($AB206,"dd-mmm")&amp;" - "&amp;(NETWORKDAYS($AB206,TODAY(),Holidays)-1)&amp;" business day(s) late. Send now.",IF($U206="DUE TOMORROW","Next: "&amp;$AC206&amp;IF($AB206&lt;=TODAY()," is due TODAY ("," is due next business day (")&amp;TEXT($AB206,"dd-mmm")&amp;").","Next: "&amp;$AC206&amp;" due "&amp;TEXT($AB206,"dd-mmm")&amp;" ("&amp;(NETWORKDAYS(TODAY(),$AB206,Holidays)-1)&amp;" business day(s) left).")))))</f>
        <v/>
      </c>
      <c r="W206" s="17">
        <f>IF($Z206="","",CHOOSE($Z206,"Collection Email","1st Follow-up","2nd Follow-up","Local Office","CBE","Roxanne")&amp;IF($Z206=6," - Final"," - Day "&amp;MAX(0,NETWORKDAYS($AA206,TODAY(),Holidays)-1)&amp;" of "&amp;CHOOSE($Z206,3,3,2,2,3))&amp;" | Total Day "&amp;MAX(0,NETWORKDAYS($N206,TODAY(),Holidays)-1))</f>
        <v/>
      </c>
      <c r="X206" s="18"/>
      <c r="Y206" s="18"/>
      <c r="Z206" s="17">
        <f>IF($N206="","",COUNT($N206:$S206))</f>
        <v/>
      </c>
      <c r="AA206" s="19">
        <f>IF($Z206="","",INT(INDEX($N206:$S206,$Z206)))</f>
        <v/>
      </c>
      <c r="AB206" s="19">
        <f>IF(OR($Z206="",$Z206=6),"",WORKDAY($AA206,CHOOSE($Z206,3,3,2,2,3),Holidays))</f>
        <v/>
      </c>
      <c r="AC206" s="17">
        <f>IF(OR($Z206="",$Z206=6),"",CHOOSE($Z206,"1st Email Follow-up","2nd Email Follow-up","Escalate Local Office","Escalate to CBE","Escalate to Roxanne"))</f>
        <v/>
      </c>
    </row>
    <row r="207" spans="13:29">
      <c r="M207" s="14"/>
      <c r="T207" s="16"/>
      <c r="U207" s="17">
        <f>IF(AND(COUNTA($A207:$L207)=0,$N207=""),"",IF($T207="Paid","PAID",IF($T207="Closed","CLOSED",IF($Z207="","",IF($Z207=6,"ESCALATED TO ROXANNE",IF(TODAY()&gt;$AB207,"OVERDUE",IF($AB207&lt;=WORKDAY(TODAY(),1,Holidays),"DUE TOMORROW",IF($Z207=4,"ESCALATED TO LOCAL OFFICE",IF($Z207=5,"ESCALATED TO CBE",IF($AA207=TODAY(),"EMAIL SENT","MONITORING"))))))))))</f>
        <v/>
      </c>
      <c r="V207" s="17">
        <f>IF($U207="",IF(AND(COUNTA($A207:$L207)&gt;0,$N207=""),"Awaiting Collection Email time stamp.",""),IF(OR($U207="PAID",$U207="CLOSED"),IF($U207="PAID","Account paid. Action completed.","Account closed. No further action required."),CHOOSE($Z207,"Collection Email","1st Email Follow-up","2nd Email Follow-up","Escalation to Local Office","Escalation to CBE","Escalation to Roxanne")&amp;" sent "&amp;TEXT($AA207,"dd-mmm")&amp;". "&amp;IF($Z207=6,"Final escalation completed.",IF($U207="OVERDUE","Next: "&amp;$AC207&amp;" was due "&amp;TEXT($AB207,"dd-mmm")&amp;" - "&amp;(NETWORKDAYS($AB207,TODAY(),Holidays)-1)&amp;" business day(s) late. Send now.",IF($U207="DUE TOMORROW","Next: "&amp;$AC207&amp;IF($AB207&lt;=TODAY()," is due TODAY ("," is due next business day (")&amp;TEXT($AB207,"dd-mmm")&amp;").","Next: "&amp;$AC207&amp;" due "&amp;TEXT($AB207,"dd-mmm")&amp;" ("&amp;(NETWORKDAYS(TODAY(),$AB207,Holidays)-1)&amp;" business day(s) left).")))))</f>
        <v/>
      </c>
      <c r="W207" s="17">
        <f>IF($Z207="","",CHOOSE($Z207,"Collection Email","1st Follow-up","2nd Follow-up","Local Office","CBE","Roxanne")&amp;IF($Z207=6," - Final"," - Day "&amp;MAX(0,NETWORKDAYS($AA207,TODAY(),Holidays)-1)&amp;" of "&amp;CHOOSE($Z207,3,3,2,2,3))&amp;" | Total Day "&amp;MAX(0,NETWORKDAYS($N207,TODAY(),Holidays)-1))</f>
        <v/>
      </c>
      <c r="X207" s="18"/>
      <c r="Y207" s="18"/>
      <c r="Z207" s="17">
        <f>IF($N207="","",COUNT($N207:$S207))</f>
        <v/>
      </c>
      <c r="AA207" s="19">
        <f>IF($Z207="","",INT(INDEX($N207:$S207,$Z207)))</f>
        <v/>
      </c>
      <c r="AB207" s="19">
        <f>IF(OR($Z207="",$Z207=6),"",WORKDAY($AA207,CHOOSE($Z207,3,3,2,2,3),Holidays))</f>
        <v/>
      </c>
      <c r="AC207" s="17">
        <f>IF(OR($Z207="",$Z207=6),"",CHOOSE($Z207,"1st Email Follow-up","2nd Email Follow-up","Escalate Local Office","Escalate to CBE","Escalate to Roxanne"))</f>
        <v/>
      </c>
    </row>
    <row r="208" spans="13:29">
      <c r="M208" s="14"/>
      <c r="T208" s="16"/>
      <c r="U208" s="17">
        <f>IF(AND(COUNTA($A208:$L208)=0,$N208=""),"",IF($T208="Paid","PAID",IF($T208="Closed","CLOSED",IF($Z208="","",IF($Z208=6,"ESCALATED TO ROXANNE",IF(TODAY()&gt;$AB208,"OVERDUE",IF($AB208&lt;=WORKDAY(TODAY(),1,Holidays),"DUE TOMORROW",IF($Z208=4,"ESCALATED TO LOCAL OFFICE",IF($Z208=5,"ESCALATED TO CBE",IF($AA208=TODAY(),"EMAIL SENT","MONITORING"))))))))))</f>
        <v/>
      </c>
      <c r="V208" s="17">
        <f>IF($U208="",IF(AND(COUNTA($A208:$L208)&gt;0,$N208=""),"Awaiting Collection Email time stamp.",""),IF(OR($U208="PAID",$U208="CLOSED"),IF($U208="PAID","Account paid. Action completed.","Account closed. No further action required."),CHOOSE($Z208,"Collection Email","1st Email Follow-up","2nd Email Follow-up","Escalation to Local Office","Escalation to CBE","Escalation to Roxanne")&amp;" sent "&amp;TEXT($AA208,"dd-mmm")&amp;". "&amp;IF($Z208=6,"Final escalation completed.",IF($U208="OVERDUE","Next: "&amp;$AC208&amp;" was due "&amp;TEXT($AB208,"dd-mmm")&amp;" - "&amp;(NETWORKDAYS($AB208,TODAY(),Holidays)-1)&amp;" business day(s) late. Send now.",IF($U208="DUE TOMORROW","Next: "&amp;$AC208&amp;IF($AB208&lt;=TODAY()," is due TODAY ("," is due next business day (")&amp;TEXT($AB208,"dd-mmm")&amp;").","Next: "&amp;$AC208&amp;" due "&amp;TEXT($AB208,"dd-mmm")&amp;" ("&amp;(NETWORKDAYS(TODAY(),$AB208,Holidays)-1)&amp;" business day(s) left).")))))</f>
        <v/>
      </c>
      <c r="W208" s="17">
        <f>IF($Z208="","",CHOOSE($Z208,"Collection Email","1st Follow-up","2nd Follow-up","Local Office","CBE","Roxanne")&amp;IF($Z208=6," - Final"," - Day "&amp;MAX(0,NETWORKDAYS($AA208,TODAY(),Holidays)-1)&amp;" of "&amp;CHOOSE($Z208,3,3,2,2,3))&amp;" | Total Day "&amp;MAX(0,NETWORKDAYS($N208,TODAY(),Holidays)-1))</f>
        <v/>
      </c>
      <c r="X208" s="18"/>
      <c r="Y208" s="18"/>
      <c r="Z208" s="17">
        <f>IF($N208="","",COUNT($N208:$S208))</f>
        <v/>
      </c>
      <c r="AA208" s="19">
        <f>IF($Z208="","",INT(INDEX($N208:$S208,$Z208)))</f>
        <v/>
      </c>
      <c r="AB208" s="19">
        <f>IF(OR($Z208="",$Z208=6),"",WORKDAY($AA208,CHOOSE($Z208,3,3,2,2,3),Holidays))</f>
        <v/>
      </c>
      <c r="AC208" s="17">
        <f>IF(OR($Z208="",$Z208=6),"",CHOOSE($Z208,"1st Email Follow-up","2nd Email Follow-up","Escalate Local Office","Escalate to CBE","Escalate to Roxanne"))</f>
        <v/>
      </c>
    </row>
    <row r="209" spans="13:29">
      <c r="M209" s="14"/>
      <c r="T209" s="16"/>
      <c r="U209" s="17">
        <f>IF(AND(COUNTA($A209:$L209)=0,$N209=""),"",IF($T209="Paid","PAID",IF($T209="Closed","CLOSED",IF($Z209="","",IF($Z209=6,"ESCALATED TO ROXANNE",IF(TODAY()&gt;$AB209,"OVERDUE",IF($AB209&lt;=WORKDAY(TODAY(),1,Holidays),"DUE TOMORROW",IF($Z209=4,"ESCALATED TO LOCAL OFFICE",IF($Z209=5,"ESCALATED TO CBE",IF($AA209=TODAY(),"EMAIL SENT","MONITORING"))))))))))</f>
        <v/>
      </c>
      <c r="V209" s="17">
        <f>IF($U209="",IF(AND(COUNTA($A209:$L209)&gt;0,$N209=""),"Awaiting Collection Email time stamp.",""),IF(OR($U209="PAID",$U209="CLOSED"),IF($U209="PAID","Account paid. Action completed.","Account closed. No further action required."),CHOOSE($Z209,"Collection Email","1st Email Follow-up","2nd Email Follow-up","Escalation to Local Office","Escalation to CBE","Escalation to Roxanne")&amp;" sent "&amp;TEXT($AA209,"dd-mmm")&amp;". "&amp;IF($Z209=6,"Final escalation completed.",IF($U209="OVERDUE","Next: "&amp;$AC209&amp;" was due "&amp;TEXT($AB209,"dd-mmm")&amp;" - "&amp;(NETWORKDAYS($AB209,TODAY(),Holidays)-1)&amp;" business day(s) late. Send now.",IF($U209="DUE TOMORROW","Next: "&amp;$AC209&amp;IF($AB209&lt;=TODAY()," is due TODAY ("," is due next business day (")&amp;TEXT($AB209,"dd-mmm")&amp;").","Next: "&amp;$AC209&amp;" due "&amp;TEXT($AB209,"dd-mmm")&amp;" ("&amp;(NETWORKDAYS(TODAY(),$AB209,Holidays)-1)&amp;" business day(s) left).")))))</f>
        <v/>
      </c>
      <c r="W209" s="17">
        <f>IF($Z209="","",CHOOSE($Z209,"Collection Email","1st Follow-up","2nd Follow-up","Local Office","CBE","Roxanne")&amp;IF($Z209=6," - Final"," - Day "&amp;MAX(0,NETWORKDAYS($AA209,TODAY(),Holidays)-1)&amp;" of "&amp;CHOOSE($Z209,3,3,2,2,3))&amp;" | Total Day "&amp;MAX(0,NETWORKDAYS($N209,TODAY(),Holidays)-1))</f>
        <v/>
      </c>
      <c r="X209" s="18"/>
      <c r="Y209" s="18"/>
      <c r="Z209" s="17">
        <f>IF($N209="","",COUNT($N209:$S209))</f>
        <v/>
      </c>
      <c r="AA209" s="19">
        <f>IF($Z209="","",INT(INDEX($N209:$S209,$Z209)))</f>
        <v/>
      </c>
      <c r="AB209" s="19">
        <f>IF(OR($Z209="",$Z209=6),"",WORKDAY($AA209,CHOOSE($Z209,3,3,2,2,3),Holidays))</f>
        <v/>
      </c>
      <c r="AC209" s="17">
        <f>IF(OR($Z209="",$Z209=6),"",CHOOSE($Z209,"1st Email Follow-up","2nd Email Follow-up","Escalate Local Office","Escalate to CBE","Escalate to Roxanne"))</f>
        <v/>
      </c>
    </row>
    <row r="210" spans="13:29">
      <c r="M210" s="14"/>
      <c r="T210" s="16"/>
      <c r="U210" s="17">
        <f>IF(AND(COUNTA($A210:$L210)=0,$N210=""),"",IF($T210="Paid","PAID",IF($T210="Closed","CLOSED",IF($Z210="","",IF($Z210=6,"ESCALATED TO ROXANNE",IF(TODAY()&gt;$AB210,"OVERDUE",IF($AB210&lt;=WORKDAY(TODAY(),1,Holidays),"DUE TOMORROW",IF($Z210=4,"ESCALATED TO LOCAL OFFICE",IF($Z210=5,"ESCALATED TO CBE",IF($AA210=TODAY(),"EMAIL SENT","MONITORING"))))))))))</f>
        <v/>
      </c>
      <c r="V210" s="17">
        <f>IF($U210="",IF(AND(COUNTA($A210:$L210)&gt;0,$N210=""),"Awaiting Collection Email time stamp.",""),IF(OR($U210="PAID",$U210="CLOSED"),IF($U210="PAID","Account paid. Action completed.","Account closed. No further action required."),CHOOSE($Z210,"Collection Email","1st Email Follow-up","2nd Email Follow-up","Escalation to Local Office","Escalation to CBE","Escalation to Roxanne")&amp;" sent "&amp;TEXT($AA210,"dd-mmm")&amp;". "&amp;IF($Z210=6,"Final escalation completed.",IF($U210="OVERDUE","Next: "&amp;$AC210&amp;" was due "&amp;TEXT($AB210,"dd-mmm")&amp;" - "&amp;(NETWORKDAYS($AB210,TODAY(),Holidays)-1)&amp;" business day(s) late. Send now.",IF($U210="DUE TOMORROW","Next: "&amp;$AC210&amp;IF($AB210&lt;=TODAY()," is due TODAY ("," is due next business day (")&amp;TEXT($AB210,"dd-mmm")&amp;").","Next: "&amp;$AC210&amp;" due "&amp;TEXT($AB210,"dd-mmm")&amp;" ("&amp;(NETWORKDAYS(TODAY(),$AB210,Holidays)-1)&amp;" business day(s) left).")))))</f>
        <v/>
      </c>
      <c r="W210" s="17">
        <f>IF($Z210="","",CHOOSE($Z210,"Collection Email","1st Follow-up","2nd Follow-up","Local Office","CBE","Roxanne")&amp;IF($Z210=6," - Final"," - Day "&amp;MAX(0,NETWORKDAYS($AA210,TODAY(),Holidays)-1)&amp;" of "&amp;CHOOSE($Z210,3,3,2,2,3))&amp;" | Total Day "&amp;MAX(0,NETWORKDAYS($N210,TODAY(),Holidays)-1))</f>
        <v/>
      </c>
      <c r="X210" s="18"/>
      <c r="Y210" s="18"/>
      <c r="Z210" s="17">
        <f>IF($N210="","",COUNT($N210:$S210))</f>
        <v/>
      </c>
      <c r="AA210" s="19">
        <f>IF($Z210="","",INT(INDEX($N210:$S210,$Z210)))</f>
        <v/>
      </c>
      <c r="AB210" s="19">
        <f>IF(OR($Z210="",$Z210=6),"",WORKDAY($AA210,CHOOSE($Z210,3,3,2,2,3),Holidays))</f>
        <v/>
      </c>
      <c r="AC210" s="17">
        <f>IF(OR($Z210="",$Z210=6),"",CHOOSE($Z210,"1st Email Follow-up","2nd Email Follow-up","Escalate Local Office","Escalate to CBE","Escalate to Roxanne"))</f>
        <v/>
      </c>
    </row>
    <row r="211" spans="13:29">
      <c r="M211" s="14"/>
      <c r="T211" s="16"/>
      <c r="U211" s="17">
        <f>IF(AND(COUNTA($A211:$L211)=0,$N211=""),"",IF($T211="Paid","PAID",IF($T211="Closed","CLOSED",IF($Z211="","",IF($Z211=6,"ESCALATED TO ROXANNE",IF(TODAY()&gt;$AB211,"OVERDUE",IF($AB211&lt;=WORKDAY(TODAY(),1,Holidays),"DUE TOMORROW",IF($Z211=4,"ESCALATED TO LOCAL OFFICE",IF($Z211=5,"ESCALATED TO CBE",IF($AA211=TODAY(),"EMAIL SENT","MONITORING"))))))))))</f>
        <v/>
      </c>
      <c r="V211" s="17">
        <f>IF($U211="",IF(AND(COUNTA($A211:$L211)&gt;0,$N211=""),"Awaiting Collection Email time stamp.",""),IF(OR($U211="PAID",$U211="CLOSED"),IF($U211="PAID","Account paid. Action completed.","Account closed. No further action required."),CHOOSE($Z211,"Collection Email","1st Email Follow-up","2nd Email Follow-up","Escalation to Local Office","Escalation to CBE","Escalation to Roxanne")&amp;" sent "&amp;TEXT($AA211,"dd-mmm")&amp;". "&amp;IF($Z211=6,"Final escalation completed.",IF($U211="OVERDUE","Next: "&amp;$AC211&amp;" was due "&amp;TEXT($AB211,"dd-mmm")&amp;" - "&amp;(NETWORKDAYS($AB211,TODAY(),Holidays)-1)&amp;" business day(s) late. Send now.",IF($U211="DUE TOMORROW","Next: "&amp;$AC211&amp;IF($AB211&lt;=TODAY()," is due TODAY ("," is due next business day (")&amp;TEXT($AB211,"dd-mmm")&amp;").","Next: "&amp;$AC211&amp;" due "&amp;TEXT($AB211,"dd-mmm")&amp;" ("&amp;(NETWORKDAYS(TODAY(),$AB211,Holidays)-1)&amp;" business day(s) left).")))))</f>
        <v/>
      </c>
      <c r="W211" s="17">
        <f>IF($Z211="","",CHOOSE($Z211,"Collection Email","1st Follow-up","2nd Follow-up","Local Office","CBE","Roxanne")&amp;IF($Z211=6," - Final"," - Day "&amp;MAX(0,NETWORKDAYS($AA211,TODAY(),Holidays)-1)&amp;" of "&amp;CHOOSE($Z211,3,3,2,2,3))&amp;" | Total Day "&amp;MAX(0,NETWORKDAYS($N211,TODAY(),Holidays)-1))</f>
        <v/>
      </c>
      <c r="X211" s="18"/>
      <c r="Y211" s="18"/>
      <c r="Z211" s="17">
        <f>IF($N211="","",COUNT($N211:$S211))</f>
        <v/>
      </c>
      <c r="AA211" s="19">
        <f>IF($Z211="","",INT(INDEX($N211:$S211,$Z211)))</f>
        <v/>
      </c>
      <c r="AB211" s="19">
        <f>IF(OR($Z211="",$Z211=6),"",WORKDAY($AA211,CHOOSE($Z211,3,3,2,2,3),Holidays))</f>
        <v/>
      </c>
      <c r="AC211" s="17">
        <f>IF(OR($Z211="",$Z211=6),"",CHOOSE($Z211,"1st Email Follow-up","2nd Email Follow-up","Escalate Local Office","Escalate to CBE","Escalate to Roxanne"))</f>
        <v/>
      </c>
    </row>
    <row r="212" spans="13:29">
      <c r="M212" s="14"/>
      <c r="T212" s="16"/>
      <c r="U212" s="17">
        <f>IF(AND(COUNTA($A212:$L212)=0,$N212=""),"",IF($T212="Paid","PAID",IF($T212="Closed","CLOSED",IF($Z212="","",IF($Z212=6,"ESCALATED TO ROXANNE",IF(TODAY()&gt;$AB212,"OVERDUE",IF($AB212&lt;=WORKDAY(TODAY(),1,Holidays),"DUE TOMORROW",IF($Z212=4,"ESCALATED TO LOCAL OFFICE",IF($Z212=5,"ESCALATED TO CBE",IF($AA212=TODAY(),"EMAIL SENT","MONITORING"))))))))))</f>
        <v/>
      </c>
      <c r="V212" s="17">
        <f>IF($U212="",IF(AND(COUNTA($A212:$L212)&gt;0,$N212=""),"Awaiting Collection Email time stamp.",""),IF(OR($U212="PAID",$U212="CLOSED"),IF($U212="PAID","Account paid. Action completed.","Account closed. No further action required."),CHOOSE($Z212,"Collection Email","1st Email Follow-up","2nd Email Follow-up","Escalation to Local Office","Escalation to CBE","Escalation to Roxanne")&amp;" sent "&amp;TEXT($AA212,"dd-mmm")&amp;". "&amp;IF($Z212=6,"Final escalation completed.",IF($U212="OVERDUE","Next: "&amp;$AC212&amp;" was due "&amp;TEXT($AB212,"dd-mmm")&amp;" - "&amp;(NETWORKDAYS($AB212,TODAY(),Holidays)-1)&amp;" business day(s) late. Send now.",IF($U212="DUE TOMORROW","Next: "&amp;$AC212&amp;IF($AB212&lt;=TODAY()," is due TODAY ("," is due next business day (")&amp;TEXT($AB212,"dd-mmm")&amp;").","Next: "&amp;$AC212&amp;" due "&amp;TEXT($AB212,"dd-mmm")&amp;" ("&amp;(NETWORKDAYS(TODAY(),$AB212,Holidays)-1)&amp;" business day(s) left).")))))</f>
        <v/>
      </c>
      <c r="W212" s="17">
        <f>IF($Z212="","",CHOOSE($Z212,"Collection Email","1st Follow-up","2nd Follow-up","Local Office","CBE","Roxanne")&amp;IF($Z212=6," - Final"," - Day "&amp;MAX(0,NETWORKDAYS($AA212,TODAY(),Holidays)-1)&amp;" of "&amp;CHOOSE($Z212,3,3,2,2,3))&amp;" | Total Day "&amp;MAX(0,NETWORKDAYS($N212,TODAY(),Holidays)-1))</f>
        <v/>
      </c>
      <c r="X212" s="18"/>
      <c r="Y212" s="18"/>
      <c r="Z212" s="17">
        <f>IF($N212="","",COUNT($N212:$S212))</f>
        <v/>
      </c>
      <c r="AA212" s="19">
        <f>IF($Z212="","",INT(INDEX($N212:$S212,$Z212)))</f>
        <v/>
      </c>
      <c r="AB212" s="19">
        <f>IF(OR($Z212="",$Z212=6),"",WORKDAY($AA212,CHOOSE($Z212,3,3,2,2,3),Holidays))</f>
        <v/>
      </c>
      <c r="AC212" s="17">
        <f>IF(OR($Z212="",$Z212=6),"",CHOOSE($Z212,"1st Email Follow-up","2nd Email Follow-up","Escalate Local Office","Escalate to CBE","Escalate to Roxanne"))</f>
        <v/>
      </c>
    </row>
    <row r="213" spans="13:29">
      <c r="M213" s="14"/>
      <c r="T213" s="16"/>
      <c r="U213" s="17">
        <f>IF(AND(COUNTA($A213:$L213)=0,$N213=""),"",IF($T213="Paid","PAID",IF($T213="Closed","CLOSED",IF($Z213="","",IF($Z213=6,"ESCALATED TO ROXANNE",IF(TODAY()&gt;$AB213,"OVERDUE",IF($AB213&lt;=WORKDAY(TODAY(),1,Holidays),"DUE TOMORROW",IF($Z213=4,"ESCALATED TO LOCAL OFFICE",IF($Z213=5,"ESCALATED TO CBE",IF($AA213=TODAY(),"EMAIL SENT","MONITORING"))))))))))</f>
        <v/>
      </c>
      <c r="V213" s="17">
        <f>IF($U213="",IF(AND(COUNTA($A213:$L213)&gt;0,$N213=""),"Awaiting Collection Email time stamp.",""),IF(OR($U213="PAID",$U213="CLOSED"),IF($U213="PAID","Account paid. Action completed.","Account closed. No further action required."),CHOOSE($Z213,"Collection Email","1st Email Follow-up","2nd Email Follow-up","Escalation to Local Office","Escalation to CBE","Escalation to Roxanne")&amp;" sent "&amp;TEXT($AA213,"dd-mmm")&amp;". "&amp;IF($Z213=6,"Final escalation completed.",IF($U213="OVERDUE","Next: "&amp;$AC213&amp;" was due "&amp;TEXT($AB213,"dd-mmm")&amp;" - "&amp;(NETWORKDAYS($AB213,TODAY(),Holidays)-1)&amp;" business day(s) late. Send now.",IF($U213="DUE TOMORROW","Next: "&amp;$AC213&amp;IF($AB213&lt;=TODAY()," is due TODAY ("," is due next business day (")&amp;TEXT($AB213,"dd-mmm")&amp;").","Next: "&amp;$AC213&amp;" due "&amp;TEXT($AB213,"dd-mmm")&amp;" ("&amp;(NETWORKDAYS(TODAY(),$AB213,Holidays)-1)&amp;" business day(s) left).")))))</f>
        <v/>
      </c>
      <c r="W213" s="17">
        <f>IF($Z213="","",CHOOSE($Z213,"Collection Email","1st Follow-up","2nd Follow-up","Local Office","CBE","Roxanne")&amp;IF($Z213=6," - Final"," - Day "&amp;MAX(0,NETWORKDAYS($AA213,TODAY(),Holidays)-1)&amp;" of "&amp;CHOOSE($Z213,3,3,2,2,3))&amp;" | Total Day "&amp;MAX(0,NETWORKDAYS($N213,TODAY(),Holidays)-1))</f>
        <v/>
      </c>
      <c r="X213" s="18"/>
      <c r="Y213" s="18"/>
      <c r="Z213" s="17">
        <f>IF($N213="","",COUNT($N213:$S213))</f>
        <v/>
      </c>
      <c r="AA213" s="19">
        <f>IF($Z213="","",INT(INDEX($N213:$S213,$Z213)))</f>
        <v/>
      </c>
      <c r="AB213" s="19">
        <f>IF(OR($Z213="",$Z213=6),"",WORKDAY($AA213,CHOOSE($Z213,3,3,2,2,3),Holidays))</f>
        <v/>
      </c>
      <c r="AC213" s="17">
        <f>IF(OR($Z213="",$Z213=6),"",CHOOSE($Z213,"1st Email Follow-up","2nd Email Follow-up","Escalate Local Office","Escalate to CBE","Escalate to Roxanne"))</f>
        <v/>
      </c>
    </row>
    <row r="214" spans="13:29">
      <c r="M214" s="14"/>
      <c r="T214" s="16"/>
      <c r="U214" s="17">
        <f>IF(AND(COUNTA($A214:$L214)=0,$N214=""),"",IF($T214="Paid","PAID",IF($T214="Closed","CLOSED",IF($Z214="","",IF($Z214=6,"ESCALATED TO ROXANNE",IF(TODAY()&gt;$AB214,"OVERDUE",IF($AB214&lt;=WORKDAY(TODAY(),1,Holidays),"DUE TOMORROW",IF($Z214=4,"ESCALATED TO LOCAL OFFICE",IF($Z214=5,"ESCALATED TO CBE",IF($AA214=TODAY(),"EMAIL SENT","MONITORING"))))))))))</f>
        <v/>
      </c>
      <c r="V214" s="17">
        <f>IF($U214="",IF(AND(COUNTA($A214:$L214)&gt;0,$N214=""),"Awaiting Collection Email time stamp.",""),IF(OR($U214="PAID",$U214="CLOSED"),IF($U214="PAID","Account paid. Action completed.","Account closed. No further action required."),CHOOSE($Z214,"Collection Email","1st Email Follow-up","2nd Email Follow-up","Escalation to Local Office","Escalation to CBE","Escalation to Roxanne")&amp;" sent "&amp;TEXT($AA214,"dd-mmm")&amp;". "&amp;IF($Z214=6,"Final escalation completed.",IF($U214="OVERDUE","Next: "&amp;$AC214&amp;" was due "&amp;TEXT($AB214,"dd-mmm")&amp;" - "&amp;(NETWORKDAYS($AB214,TODAY(),Holidays)-1)&amp;" business day(s) late. Send now.",IF($U214="DUE TOMORROW","Next: "&amp;$AC214&amp;IF($AB214&lt;=TODAY()," is due TODAY ("," is due next business day (")&amp;TEXT($AB214,"dd-mmm")&amp;").","Next: "&amp;$AC214&amp;" due "&amp;TEXT($AB214,"dd-mmm")&amp;" ("&amp;(NETWORKDAYS(TODAY(),$AB214,Holidays)-1)&amp;" business day(s) left).")))))</f>
        <v/>
      </c>
      <c r="W214" s="17">
        <f>IF($Z214="","",CHOOSE($Z214,"Collection Email","1st Follow-up","2nd Follow-up","Local Office","CBE","Roxanne")&amp;IF($Z214=6," - Final"," - Day "&amp;MAX(0,NETWORKDAYS($AA214,TODAY(),Holidays)-1)&amp;" of "&amp;CHOOSE($Z214,3,3,2,2,3))&amp;" | Total Day "&amp;MAX(0,NETWORKDAYS($N214,TODAY(),Holidays)-1))</f>
        <v/>
      </c>
      <c r="X214" s="18"/>
      <c r="Y214" s="18"/>
      <c r="Z214" s="17">
        <f>IF($N214="","",COUNT($N214:$S214))</f>
        <v/>
      </c>
      <c r="AA214" s="19">
        <f>IF($Z214="","",INT(INDEX($N214:$S214,$Z214)))</f>
        <v/>
      </c>
      <c r="AB214" s="19">
        <f>IF(OR($Z214="",$Z214=6),"",WORKDAY($AA214,CHOOSE($Z214,3,3,2,2,3),Holidays))</f>
        <v/>
      </c>
      <c r="AC214" s="17">
        <f>IF(OR($Z214="",$Z214=6),"",CHOOSE($Z214,"1st Email Follow-up","2nd Email Follow-up","Escalate Local Office","Escalate to CBE","Escalate to Roxanne"))</f>
        <v/>
      </c>
    </row>
    <row r="215" spans="13:29">
      <c r="M215" s="14"/>
      <c r="T215" s="16"/>
      <c r="U215" s="17">
        <f>IF(AND(COUNTA($A215:$L215)=0,$N215=""),"",IF($T215="Paid","PAID",IF($T215="Closed","CLOSED",IF($Z215="","",IF($Z215=6,"ESCALATED TO ROXANNE",IF(TODAY()&gt;$AB215,"OVERDUE",IF($AB215&lt;=WORKDAY(TODAY(),1,Holidays),"DUE TOMORROW",IF($Z215=4,"ESCALATED TO LOCAL OFFICE",IF($Z215=5,"ESCALATED TO CBE",IF($AA215=TODAY(),"EMAIL SENT","MONITORING"))))))))))</f>
        <v/>
      </c>
      <c r="V215" s="17">
        <f>IF($U215="",IF(AND(COUNTA($A215:$L215)&gt;0,$N215=""),"Awaiting Collection Email time stamp.",""),IF(OR($U215="PAID",$U215="CLOSED"),IF($U215="PAID","Account paid. Action completed.","Account closed. No further action required."),CHOOSE($Z215,"Collection Email","1st Email Follow-up","2nd Email Follow-up","Escalation to Local Office","Escalation to CBE","Escalation to Roxanne")&amp;" sent "&amp;TEXT($AA215,"dd-mmm")&amp;". "&amp;IF($Z215=6,"Final escalation completed.",IF($U215="OVERDUE","Next: "&amp;$AC215&amp;" was due "&amp;TEXT($AB215,"dd-mmm")&amp;" - "&amp;(NETWORKDAYS($AB215,TODAY(),Holidays)-1)&amp;" business day(s) late. Send now.",IF($U215="DUE TOMORROW","Next: "&amp;$AC215&amp;IF($AB215&lt;=TODAY()," is due TODAY ("," is due next business day (")&amp;TEXT($AB215,"dd-mmm")&amp;").","Next: "&amp;$AC215&amp;" due "&amp;TEXT($AB215,"dd-mmm")&amp;" ("&amp;(NETWORKDAYS(TODAY(),$AB215,Holidays)-1)&amp;" business day(s) left).")))))</f>
        <v/>
      </c>
      <c r="W215" s="17">
        <f>IF($Z215="","",CHOOSE($Z215,"Collection Email","1st Follow-up","2nd Follow-up","Local Office","CBE","Roxanne")&amp;IF($Z215=6," - Final"," - Day "&amp;MAX(0,NETWORKDAYS($AA215,TODAY(),Holidays)-1)&amp;" of "&amp;CHOOSE($Z215,3,3,2,2,3))&amp;" | Total Day "&amp;MAX(0,NETWORKDAYS($N215,TODAY(),Holidays)-1))</f>
        <v/>
      </c>
      <c r="X215" s="18"/>
      <c r="Y215" s="18"/>
      <c r="Z215" s="17">
        <f>IF($N215="","",COUNT($N215:$S215))</f>
        <v/>
      </c>
      <c r="AA215" s="19">
        <f>IF($Z215="","",INT(INDEX($N215:$S215,$Z215)))</f>
        <v/>
      </c>
      <c r="AB215" s="19">
        <f>IF(OR($Z215="",$Z215=6),"",WORKDAY($AA215,CHOOSE($Z215,3,3,2,2,3),Holidays))</f>
        <v/>
      </c>
      <c r="AC215" s="17">
        <f>IF(OR($Z215="",$Z215=6),"",CHOOSE($Z215,"1st Email Follow-up","2nd Email Follow-up","Escalate Local Office","Escalate to CBE","Escalate to Roxanne"))</f>
        <v/>
      </c>
    </row>
    <row r="216" spans="13:29">
      <c r="M216" s="14"/>
      <c r="T216" s="16"/>
      <c r="U216" s="17">
        <f>IF(AND(COUNTA($A216:$L216)=0,$N216=""),"",IF($T216="Paid","PAID",IF($T216="Closed","CLOSED",IF($Z216="","",IF($Z216=6,"ESCALATED TO ROXANNE",IF(TODAY()&gt;$AB216,"OVERDUE",IF($AB216&lt;=WORKDAY(TODAY(),1,Holidays),"DUE TOMORROW",IF($Z216=4,"ESCALATED TO LOCAL OFFICE",IF($Z216=5,"ESCALATED TO CBE",IF($AA216=TODAY(),"EMAIL SENT","MONITORING"))))))))))</f>
        <v/>
      </c>
      <c r="V216" s="17">
        <f>IF($U216="",IF(AND(COUNTA($A216:$L216)&gt;0,$N216=""),"Awaiting Collection Email time stamp.",""),IF(OR($U216="PAID",$U216="CLOSED"),IF($U216="PAID","Account paid. Action completed.","Account closed. No further action required."),CHOOSE($Z216,"Collection Email","1st Email Follow-up","2nd Email Follow-up","Escalation to Local Office","Escalation to CBE","Escalation to Roxanne")&amp;" sent "&amp;TEXT($AA216,"dd-mmm")&amp;". "&amp;IF($Z216=6,"Final escalation completed.",IF($U216="OVERDUE","Next: "&amp;$AC216&amp;" was due "&amp;TEXT($AB216,"dd-mmm")&amp;" - "&amp;(NETWORKDAYS($AB216,TODAY(),Holidays)-1)&amp;" business day(s) late. Send now.",IF($U216="DUE TOMORROW","Next: "&amp;$AC216&amp;IF($AB216&lt;=TODAY()," is due TODAY ("," is due next business day (")&amp;TEXT($AB216,"dd-mmm")&amp;").","Next: "&amp;$AC216&amp;" due "&amp;TEXT($AB216,"dd-mmm")&amp;" ("&amp;(NETWORKDAYS(TODAY(),$AB216,Holidays)-1)&amp;" business day(s) left).")))))</f>
        <v/>
      </c>
      <c r="W216" s="17">
        <f>IF($Z216="","",CHOOSE($Z216,"Collection Email","1st Follow-up","2nd Follow-up","Local Office","CBE","Roxanne")&amp;IF($Z216=6," - Final"," - Day "&amp;MAX(0,NETWORKDAYS($AA216,TODAY(),Holidays)-1)&amp;" of "&amp;CHOOSE($Z216,3,3,2,2,3))&amp;" | Total Day "&amp;MAX(0,NETWORKDAYS($N216,TODAY(),Holidays)-1))</f>
        <v/>
      </c>
      <c r="X216" s="18"/>
      <c r="Y216" s="18"/>
      <c r="Z216" s="17">
        <f>IF($N216="","",COUNT($N216:$S216))</f>
        <v/>
      </c>
      <c r="AA216" s="19">
        <f>IF($Z216="","",INT(INDEX($N216:$S216,$Z216)))</f>
        <v/>
      </c>
      <c r="AB216" s="19">
        <f>IF(OR($Z216="",$Z216=6),"",WORKDAY($AA216,CHOOSE($Z216,3,3,2,2,3),Holidays))</f>
        <v/>
      </c>
      <c r="AC216" s="17">
        <f>IF(OR($Z216="",$Z216=6),"",CHOOSE($Z216,"1st Email Follow-up","2nd Email Follow-up","Escalate Local Office","Escalate to CBE","Escalate to Roxanne"))</f>
        <v/>
      </c>
    </row>
    <row r="217" spans="13:29">
      <c r="M217" s="14"/>
      <c r="T217" s="16"/>
      <c r="U217" s="17">
        <f>IF(AND(COUNTA($A217:$L217)=0,$N217=""),"",IF($T217="Paid","PAID",IF($T217="Closed","CLOSED",IF($Z217="","",IF($Z217=6,"ESCALATED TO ROXANNE",IF(TODAY()&gt;$AB217,"OVERDUE",IF($AB217&lt;=WORKDAY(TODAY(),1,Holidays),"DUE TOMORROW",IF($Z217=4,"ESCALATED TO LOCAL OFFICE",IF($Z217=5,"ESCALATED TO CBE",IF($AA217=TODAY(),"EMAIL SENT","MONITORING"))))))))))</f>
        <v/>
      </c>
      <c r="V217" s="17">
        <f>IF($U217="",IF(AND(COUNTA($A217:$L217)&gt;0,$N217=""),"Awaiting Collection Email time stamp.",""),IF(OR($U217="PAID",$U217="CLOSED"),IF($U217="PAID","Account paid. Action completed.","Account closed. No further action required."),CHOOSE($Z217,"Collection Email","1st Email Follow-up","2nd Email Follow-up","Escalation to Local Office","Escalation to CBE","Escalation to Roxanne")&amp;" sent "&amp;TEXT($AA217,"dd-mmm")&amp;". "&amp;IF($Z217=6,"Final escalation completed.",IF($U217="OVERDUE","Next: "&amp;$AC217&amp;" was due "&amp;TEXT($AB217,"dd-mmm")&amp;" - "&amp;(NETWORKDAYS($AB217,TODAY(),Holidays)-1)&amp;" business day(s) late. Send now.",IF($U217="DUE TOMORROW","Next: "&amp;$AC217&amp;IF($AB217&lt;=TODAY()," is due TODAY ("," is due next business day (")&amp;TEXT($AB217,"dd-mmm")&amp;").","Next: "&amp;$AC217&amp;" due "&amp;TEXT($AB217,"dd-mmm")&amp;" ("&amp;(NETWORKDAYS(TODAY(),$AB217,Holidays)-1)&amp;" business day(s) left).")))))</f>
        <v/>
      </c>
      <c r="W217" s="17">
        <f>IF($Z217="","",CHOOSE($Z217,"Collection Email","1st Follow-up","2nd Follow-up","Local Office","CBE","Roxanne")&amp;IF($Z217=6," - Final"," - Day "&amp;MAX(0,NETWORKDAYS($AA217,TODAY(),Holidays)-1)&amp;" of "&amp;CHOOSE($Z217,3,3,2,2,3))&amp;" | Total Day "&amp;MAX(0,NETWORKDAYS($N217,TODAY(),Holidays)-1))</f>
        <v/>
      </c>
      <c r="X217" s="18"/>
      <c r="Y217" s="18"/>
      <c r="Z217" s="17">
        <f>IF($N217="","",COUNT($N217:$S217))</f>
        <v/>
      </c>
      <c r="AA217" s="19">
        <f>IF($Z217="","",INT(INDEX($N217:$S217,$Z217)))</f>
        <v/>
      </c>
      <c r="AB217" s="19">
        <f>IF(OR($Z217="",$Z217=6),"",WORKDAY($AA217,CHOOSE($Z217,3,3,2,2,3),Holidays))</f>
        <v/>
      </c>
      <c r="AC217" s="17">
        <f>IF(OR($Z217="",$Z217=6),"",CHOOSE($Z217,"1st Email Follow-up","2nd Email Follow-up","Escalate Local Office","Escalate to CBE","Escalate to Roxanne"))</f>
        <v/>
      </c>
    </row>
    <row r="218" spans="13:29">
      <c r="M218" s="14"/>
      <c r="T218" s="16"/>
      <c r="U218" s="17">
        <f>IF(AND(COUNTA($A218:$L218)=0,$N218=""),"",IF($T218="Paid","PAID",IF($T218="Closed","CLOSED",IF($Z218="","",IF($Z218=6,"ESCALATED TO ROXANNE",IF(TODAY()&gt;$AB218,"OVERDUE",IF($AB218&lt;=WORKDAY(TODAY(),1,Holidays),"DUE TOMORROW",IF($Z218=4,"ESCALATED TO LOCAL OFFICE",IF($Z218=5,"ESCALATED TO CBE",IF($AA218=TODAY(),"EMAIL SENT","MONITORING"))))))))))</f>
        <v/>
      </c>
      <c r="V218" s="17">
        <f>IF($U218="",IF(AND(COUNTA($A218:$L218)&gt;0,$N218=""),"Awaiting Collection Email time stamp.",""),IF(OR($U218="PAID",$U218="CLOSED"),IF($U218="PAID","Account paid. Action completed.","Account closed. No further action required."),CHOOSE($Z218,"Collection Email","1st Email Follow-up","2nd Email Follow-up","Escalation to Local Office","Escalation to CBE","Escalation to Roxanne")&amp;" sent "&amp;TEXT($AA218,"dd-mmm")&amp;". "&amp;IF($Z218=6,"Final escalation completed.",IF($U218="OVERDUE","Next: "&amp;$AC218&amp;" was due "&amp;TEXT($AB218,"dd-mmm")&amp;" - "&amp;(NETWORKDAYS($AB218,TODAY(),Holidays)-1)&amp;" business day(s) late. Send now.",IF($U218="DUE TOMORROW","Next: "&amp;$AC218&amp;IF($AB218&lt;=TODAY()," is due TODAY ("," is due next business day (")&amp;TEXT($AB218,"dd-mmm")&amp;").","Next: "&amp;$AC218&amp;" due "&amp;TEXT($AB218,"dd-mmm")&amp;" ("&amp;(NETWORKDAYS(TODAY(),$AB218,Holidays)-1)&amp;" business day(s) left).")))))</f>
        <v/>
      </c>
      <c r="W218" s="17">
        <f>IF($Z218="","",CHOOSE($Z218,"Collection Email","1st Follow-up","2nd Follow-up","Local Office","CBE","Roxanne")&amp;IF($Z218=6," - Final"," - Day "&amp;MAX(0,NETWORKDAYS($AA218,TODAY(),Holidays)-1)&amp;" of "&amp;CHOOSE($Z218,3,3,2,2,3))&amp;" | Total Day "&amp;MAX(0,NETWORKDAYS($N218,TODAY(),Holidays)-1))</f>
        <v/>
      </c>
      <c r="X218" s="18"/>
      <c r="Y218" s="18"/>
      <c r="Z218" s="17">
        <f>IF($N218="","",COUNT($N218:$S218))</f>
        <v/>
      </c>
      <c r="AA218" s="19">
        <f>IF($Z218="","",INT(INDEX($N218:$S218,$Z218)))</f>
        <v/>
      </c>
      <c r="AB218" s="19">
        <f>IF(OR($Z218="",$Z218=6),"",WORKDAY($AA218,CHOOSE($Z218,3,3,2,2,3),Holidays))</f>
        <v/>
      </c>
      <c r="AC218" s="17">
        <f>IF(OR($Z218="",$Z218=6),"",CHOOSE($Z218,"1st Email Follow-up","2nd Email Follow-up","Escalate Local Office","Escalate to CBE","Escalate to Roxanne"))</f>
        <v/>
      </c>
    </row>
    <row r="219" spans="13:29">
      <c r="M219" s="14"/>
      <c r="T219" s="16"/>
      <c r="U219" s="17">
        <f>IF(AND(COUNTA($A219:$L219)=0,$N219=""),"",IF($T219="Paid","PAID",IF($T219="Closed","CLOSED",IF($Z219="","",IF($Z219=6,"ESCALATED TO ROXANNE",IF(TODAY()&gt;$AB219,"OVERDUE",IF($AB219&lt;=WORKDAY(TODAY(),1,Holidays),"DUE TOMORROW",IF($Z219=4,"ESCALATED TO LOCAL OFFICE",IF($Z219=5,"ESCALATED TO CBE",IF($AA219=TODAY(),"EMAIL SENT","MONITORING"))))))))))</f>
        <v/>
      </c>
      <c r="V219" s="17">
        <f>IF($U219="",IF(AND(COUNTA($A219:$L219)&gt;0,$N219=""),"Awaiting Collection Email time stamp.",""),IF(OR($U219="PAID",$U219="CLOSED"),IF($U219="PAID","Account paid. Action completed.","Account closed. No further action required."),CHOOSE($Z219,"Collection Email","1st Email Follow-up","2nd Email Follow-up","Escalation to Local Office","Escalation to CBE","Escalation to Roxanne")&amp;" sent "&amp;TEXT($AA219,"dd-mmm")&amp;". "&amp;IF($Z219=6,"Final escalation completed.",IF($U219="OVERDUE","Next: "&amp;$AC219&amp;" was due "&amp;TEXT($AB219,"dd-mmm")&amp;" - "&amp;(NETWORKDAYS($AB219,TODAY(),Holidays)-1)&amp;" business day(s) late. Send now.",IF($U219="DUE TOMORROW","Next: "&amp;$AC219&amp;IF($AB219&lt;=TODAY()," is due TODAY ("," is due next business day (")&amp;TEXT($AB219,"dd-mmm")&amp;").","Next: "&amp;$AC219&amp;" due "&amp;TEXT($AB219,"dd-mmm")&amp;" ("&amp;(NETWORKDAYS(TODAY(),$AB219,Holidays)-1)&amp;" business day(s) left).")))))</f>
        <v/>
      </c>
      <c r="W219" s="17">
        <f>IF($Z219="","",CHOOSE($Z219,"Collection Email","1st Follow-up","2nd Follow-up","Local Office","CBE","Roxanne")&amp;IF($Z219=6," - Final"," - Day "&amp;MAX(0,NETWORKDAYS($AA219,TODAY(),Holidays)-1)&amp;" of "&amp;CHOOSE($Z219,3,3,2,2,3))&amp;" | Total Day "&amp;MAX(0,NETWORKDAYS($N219,TODAY(),Holidays)-1))</f>
        <v/>
      </c>
      <c r="X219" s="18"/>
      <c r="Y219" s="18"/>
      <c r="Z219" s="17">
        <f>IF($N219="","",COUNT($N219:$S219))</f>
        <v/>
      </c>
      <c r="AA219" s="19">
        <f>IF($Z219="","",INT(INDEX($N219:$S219,$Z219)))</f>
        <v/>
      </c>
      <c r="AB219" s="19">
        <f>IF(OR($Z219="",$Z219=6),"",WORKDAY($AA219,CHOOSE($Z219,3,3,2,2,3),Holidays))</f>
        <v/>
      </c>
      <c r="AC219" s="17">
        <f>IF(OR($Z219="",$Z219=6),"",CHOOSE($Z219,"1st Email Follow-up","2nd Email Follow-up","Escalate Local Office","Escalate to CBE","Escalate to Roxanne"))</f>
        <v/>
      </c>
    </row>
    <row r="220" spans="13:29">
      <c r="M220" s="14"/>
      <c r="T220" s="16"/>
      <c r="U220" s="17">
        <f>IF(AND(COUNTA($A220:$L220)=0,$N220=""),"",IF($T220="Paid","PAID",IF($T220="Closed","CLOSED",IF($Z220="","",IF($Z220=6,"ESCALATED TO ROXANNE",IF(TODAY()&gt;$AB220,"OVERDUE",IF($AB220&lt;=WORKDAY(TODAY(),1,Holidays),"DUE TOMORROW",IF($Z220=4,"ESCALATED TO LOCAL OFFICE",IF($Z220=5,"ESCALATED TO CBE",IF($AA220=TODAY(),"EMAIL SENT","MONITORING"))))))))))</f>
        <v/>
      </c>
      <c r="V220" s="17">
        <f>IF($U220="",IF(AND(COUNTA($A220:$L220)&gt;0,$N220=""),"Awaiting Collection Email time stamp.",""),IF(OR($U220="PAID",$U220="CLOSED"),IF($U220="PAID","Account paid. Action completed.","Account closed. No further action required."),CHOOSE($Z220,"Collection Email","1st Email Follow-up","2nd Email Follow-up","Escalation to Local Office","Escalation to CBE","Escalation to Roxanne")&amp;" sent "&amp;TEXT($AA220,"dd-mmm")&amp;". "&amp;IF($Z220=6,"Final escalation completed.",IF($U220="OVERDUE","Next: "&amp;$AC220&amp;" was due "&amp;TEXT($AB220,"dd-mmm")&amp;" - "&amp;(NETWORKDAYS($AB220,TODAY(),Holidays)-1)&amp;" business day(s) late. Send now.",IF($U220="DUE TOMORROW","Next: "&amp;$AC220&amp;IF($AB220&lt;=TODAY()," is due TODAY ("," is due next business day (")&amp;TEXT($AB220,"dd-mmm")&amp;").","Next: "&amp;$AC220&amp;" due "&amp;TEXT($AB220,"dd-mmm")&amp;" ("&amp;(NETWORKDAYS(TODAY(),$AB220,Holidays)-1)&amp;" business day(s) left).")))))</f>
        <v/>
      </c>
      <c r="W220" s="17">
        <f>IF($Z220="","",CHOOSE($Z220,"Collection Email","1st Follow-up","2nd Follow-up","Local Office","CBE","Roxanne")&amp;IF($Z220=6," - Final"," - Day "&amp;MAX(0,NETWORKDAYS($AA220,TODAY(),Holidays)-1)&amp;" of "&amp;CHOOSE($Z220,3,3,2,2,3))&amp;" | Total Day "&amp;MAX(0,NETWORKDAYS($N220,TODAY(),Holidays)-1))</f>
        <v/>
      </c>
      <c r="X220" s="18"/>
      <c r="Y220" s="18"/>
      <c r="Z220" s="17">
        <f>IF($N220="","",COUNT($N220:$S220))</f>
        <v/>
      </c>
      <c r="AA220" s="19">
        <f>IF($Z220="","",INT(INDEX($N220:$S220,$Z220)))</f>
        <v/>
      </c>
      <c r="AB220" s="19">
        <f>IF(OR($Z220="",$Z220=6),"",WORKDAY($AA220,CHOOSE($Z220,3,3,2,2,3),Holidays))</f>
        <v/>
      </c>
      <c r="AC220" s="17">
        <f>IF(OR($Z220="",$Z220=6),"",CHOOSE($Z220,"1st Email Follow-up","2nd Email Follow-up","Escalate Local Office","Escalate to CBE","Escalate to Roxanne"))</f>
        <v/>
      </c>
    </row>
    <row r="221" spans="13:29">
      <c r="M221" s="14"/>
      <c r="T221" s="16"/>
      <c r="U221" s="17">
        <f>IF(AND(COUNTA($A221:$L221)=0,$N221=""),"",IF($T221="Paid","PAID",IF($T221="Closed","CLOSED",IF($Z221="","",IF($Z221=6,"ESCALATED TO ROXANNE",IF(TODAY()&gt;$AB221,"OVERDUE",IF($AB221&lt;=WORKDAY(TODAY(),1,Holidays),"DUE TOMORROW",IF($Z221=4,"ESCALATED TO LOCAL OFFICE",IF($Z221=5,"ESCALATED TO CBE",IF($AA221=TODAY(),"EMAIL SENT","MONITORING"))))))))))</f>
        <v/>
      </c>
      <c r="V221" s="17">
        <f>IF($U221="",IF(AND(COUNTA($A221:$L221)&gt;0,$N221=""),"Awaiting Collection Email time stamp.",""),IF(OR($U221="PAID",$U221="CLOSED"),IF($U221="PAID","Account paid. Action completed.","Account closed. No further action required."),CHOOSE($Z221,"Collection Email","1st Email Follow-up","2nd Email Follow-up","Escalation to Local Office","Escalation to CBE","Escalation to Roxanne")&amp;" sent "&amp;TEXT($AA221,"dd-mmm")&amp;". "&amp;IF($Z221=6,"Final escalation completed.",IF($U221="OVERDUE","Next: "&amp;$AC221&amp;" was due "&amp;TEXT($AB221,"dd-mmm")&amp;" - "&amp;(NETWORKDAYS($AB221,TODAY(),Holidays)-1)&amp;" business day(s) late. Send now.",IF($U221="DUE TOMORROW","Next: "&amp;$AC221&amp;IF($AB221&lt;=TODAY()," is due TODAY ("," is due next business day (")&amp;TEXT($AB221,"dd-mmm")&amp;").","Next: "&amp;$AC221&amp;" due "&amp;TEXT($AB221,"dd-mmm")&amp;" ("&amp;(NETWORKDAYS(TODAY(),$AB221,Holidays)-1)&amp;" business day(s) left).")))))</f>
        <v/>
      </c>
      <c r="W221" s="17">
        <f>IF($Z221="","",CHOOSE($Z221,"Collection Email","1st Follow-up","2nd Follow-up","Local Office","CBE","Roxanne")&amp;IF($Z221=6," - Final"," - Day "&amp;MAX(0,NETWORKDAYS($AA221,TODAY(),Holidays)-1)&amp;" of "&amp;CHOOSE($Z221,3,3,2,2,3))&amp;" | Total Day "&amp;MAX(0,NETWORKDAYS($N221,TODAY(),Holidays)-1))</f>
        <v/>
      </c>
      <c r="X221" s="18"/>
      <c r="Y221" s="18"/>
      <c r="Z221" s="17">
        <f>IF($N221="","",COUNT($N221:$S221))</f>
        <v/>
      </c>
      <c r="AA221" s="19">
        <f>IF($Z221="","",INT(INDEX($N221:$S221,$Z221)))</f>
        <v/>
      </c>
      <c r="AB221" s="19">
        <f>IF(OR($Z221="",$Z221=6),"",WORKDAY($AA221,CHOOSE($Z221,3,3,2,2,3),Holidays))</f>
        <v/>
      </c>
      <c r="AC221" s="17">
        <f>IF(OR($Z221="",$Z221=6),"",CHOOSE($Z221,"1st Email Follow-up","2nd Email Follow-up","Escalate Local Office","Escalate to CBE","Escalate to Roxanne"))</f>
        <v/>
      </c>
    </row>
    <row r="222" spans="13:29">
      <c r="M222" s="14"/>
      <c r="T222" s="16"/>
      <c r="U222" s="17">
        <f>IF(AND(COUNTA($A222:$L222)=0,$N222=""),"",IF($T222="Paid","PAID",IF($T222="Closed","CLOSED",IF($Z222="","",IF($Z222=6,"ESCALATED TO ROXANNE",IF(TODAY()&gt;$AB222,"OVERDUE",IF($AB222&lt;=WORKDAY(TODAY(),1,Holidays),"DUE TOMORROW",IF($Z222=4,"ESCALATED TO LOCAL OFFICE",IF($Z222=5,"ESCALATED TO CBE",IF($AA222=TODAY(),"EMAIL SENT","MONITORING"))))))))))</f>
        <v/>
      </c>
      <c r="V222" s="17">
        <f>IF($U222="",IF(AND(COUNTA($A222:$L222)&gt;0,$N222=""),"Awaiting Collection Email time stamp.",""),IF(OR($U222="PAID",$U222="CLOSED"),IF($U222="PAID","Account paid. Action completed.","Account closed. No further action required."),CHOOSE($Z222,"Collection Email","1st Email Follow-up","2nd Email Follow-up","Escalation to Local Office","Escalation to CBE","Escalation to Roxanne")&amp;" sent "&amp;TEXT($AA222,"dd-mmm")&amp;". "&amp;IF($Z222=6,"Final escalation completed.",IF($U222="OVERDUE","Next: "&amp;$AC222&amp;" was due "&amp;TEXT($AB222,"dd-mmm")&amp;" - "&amp;(NETWORKDAYS($AB222,TODAY(),Holidays)-1)&amp;" business day(s) late. Send now.",IF($U222="DUE TOMORROW","Next: "&amp;$AC222&amp;IF($AB222&lt;=TODAY()," is due TODAY ("," is due next business day (")&amp;TEXT($AB222,"dd-mmm")&amp;").","Next: "&amp;$AC222&amp;" due "&amp;TEXT($AB222,"dd-mmm")&amp;" ("&amp;(NETWORKDAYS(TODAY(),$AB222,Holidays)-1)&amp;" business day(s) left).")))))</f>
        <v/>
      </c>
      <c r="W222" s="17">
        <f>IF($Z222="","",CHOOSE($Z222,"Collection Email","1st Follow-up","2nd Follow-up","Local Office","CBE","Roxanne")&amp;IF($Z222=6," - Final"," - Day "&amp;MAX(0,NETWORKDAYS($AA222,TODAY(),Holidays)-1)&amp;" of "&amp;CHOOSE($Z222,3,3,2,2,3))&amp;" | Total Day "&amp;MAX(0,NETWORKDAYS($N222,TODAY(),Holidays)-1))</f>
        <v/>
      </c>
      <c r="X222" s="18"/>
      <c r="Y222" s="18"/>
      <c r="Z222" s="17">
        <f>IF($N222="","",COUNT($N222:$S222))</f>
        <v/>
      </c>
      <c r="AA222" s="19">
        <f>IF($Z222="","",INT(INDEX($N222:$S222,$Z222)))</f>
        <v/>
      </c>
      <c r="AB222" s="19">
        <f>IF(OR($Z222="",$Z222=6),"",WORKDAY($AA222,CHOOSE($Z222,3,3,2,2,3),Holidays))</f>
        <v/>
      </c>
      <c r="AC222" s="17">
        <f>IF(OR($Z222="",$Z222=6),"",CHOOSE($Z222,"1st Email Follow-up","2nd Email Follow-up","Escalate Local Office","Escalate to CBE","Escalate to Roxanne"))</f>
        <v/>
      </c>
    </row>
    <row r="223" spans="13:29">
      <c r="M223" s="14"/>
      <c r="T223" s="16"/>
      <c r="U223" s="17">
        <f>IF(AND(COUNTA($A223:$L223)=0,$N223=""),"",IF($T223="Paid","PAID",IF($T223="Closed","CLOSED",IF($Z223="","",IF($Z223=6,"ESCALATED TO ROXANNE",IF(TODAY()&gt;$AB223,"OVERDUE",IF($AB223&lt;=WORKDAY(TODAY(),1,Holidays),"DUE TOMORROW",IF($Z223=4,"ESCALATED TO LOCAL OFFICE",IF($Z223=5,"ESCALATED TO CBE",IF($AA223=TODAY(),"EMAIL SENT","MONITORING"))))))))))</f>
        <v/>
      </c>
      <c r="V223" s="17">
        <f>IF($U223="",IF(AND(COUNTA($A223:$L223)&gt;0,$N223=""),"Awaiting Collection Email time stamp.",""),IF(OR($U223="PAID",$U223="CLOSED"),IF($U223="PAID","Account paid. Action completed.","Account closed. No further action required."),CHOOSE($Z223,"Collection Email","1st Email Follow-up","2nd Email Follow-up","Escalation to Local Office","Escalation to CBE","Escalation to Roxanne")&amp;" sent "&amp;TEXT($AA223,"dd-mmm")&amp;". "&amp;IF($Z223=6,"Final escalation completed.",IF($U223="OVERDUE","Next: "&amp;$AC223&amp;" was due "&amp;TEXT($AB223,"dd-mmm")&amp;" - "&amp;(NETWORKDAYS($AB223,TODAY(),Holidays)-1)&amp;" business day(s) late. Send now.",IF($U223="DUE TOMORROW","Next: "&amp;$AC223&amp;IF($AB223&lt;=TODAY()," is due TODAY ("," is due next business day (")&amp;TEXT($AB223,"dd-mmm")&amp;").","Next: "&amp;$AC223&amp;" due "&amp;TEXT($AB223,"dd-mmm")&amp;" ("&amp;(NETWORKDAYS(TODAY(),$AB223,Holidays)-1)&amp;" business day(s) left).")))))</f>
        <v/>
      </c>
      <c r="W223" s="17">
        <f>IF($Z223="","",CHOOSE($Z223,"Collection Email","1st Follow-up","2nd Follow-up","Local Office","CBE","Roxanne")&amp;IF($Z223=6," - Final"," - Day "&amp;MAX(0,NETWORKDAYS($AA223,TODAY(),Holidays)-1)&amp;" of "&amp;CHOOSE($Z223,3,3,2,2,3))&amp;" | Total Day "&amp;MAX(0,NETWORKDAYS($N223,TODAY(),Holidays)-1))</f>
        <v/>
      </c>
      <c r="X223" s="18"/>
      <c r="Y223" s="18"/>
      <c r="Z223" s="17">
        <f>IF($N223="","",COUNT($N223:$S223))</f>
        <v/>
      </c>
      <c r="AA223" s="19">
        <f>IF($Z223="","",INT(INDEX($N223:$S223,$Z223)))</f>
        <v/>
      </c>
      <c r="AB223" s="19">
        <f>IF(OR($Z223="",$Z223=6),"",WORKDAY($AA223,CHOOSE($Z223,3,3,2,2,3),Holidays))</f>
        <v/>
      </c>
      <c r="AC223" s="17">
        <f>IF(OR($Z223="",$Z223=6),"",CHOOSE($Z223,"1st Email Follow-up","2nd Email Follow-up","Escalate Local Office","Escalate to CBE","Escalate to Roxanne"))</f>
        <v/>
      </c>
    </row>
    <row r="224" spans="13:29">
      <c r="M224" s="14"/>
      <c r="T224" s="16"/>
      <c r="U224" s="17">
        <f>IF(AND(COUNTA($A224:$L224)=0,$N224=""),"",IF($T224="Paid","PAID",IF($T224="Closed","CLOSED",IF($Z224="","",IF($Z224=6,"ESCALATED TO ROXANNE",IF(TODAY()&gt;$AB224,"OVERDUE",IF($AB224&lt;=WORKDAY(TODAY(),1,Holidays),"DUE TOMORROW",IF($Z224=4,"ESCALATED TO LOCAL OFFICE",IF($Z224=5,"ESCALATED TO CBE",IF($AA224=TODAY(),"EMAIL SENT","MONITORING"))))))))))</f>
        <v/>
      </c>
      <c r="V224" s="17">
        <f>IF($U224="",IF(AND(COUNTA($A224:$L224)&gt;0,$N224=""),"Awaiting Collection Email time stamp.",""),IF(OR($U224="PAID",$U224="CLOSED"),IF($U224="PAID","Account paid. Action completed.","Account closed. No further action required."),CHOOSE($Z224,"Collection Email","1st Email Follow-up","2nd Email Follow-up","Escalation to Local Office","Escalation to CBE","Escalation to Roxanne")&amp;" sent "&amp;TEXT($AA224,"dd-mmm")&amp;". "&amp;IF($Z224=6,"Final escalation completed.",IF($U224="OVERDUE","Next: "&amp;$AC224&amp;" was due "&amp;TEXT($AB224,"dd-mmm")&amp;" - "&amp;(NETWORKDAYS($AB224,TODAY(),Holidays)-1)&amp;" business day(s) late. Send now.",IF($U224="DUE TOMORROW","Next: "&amp;$AC224&amp;IF($AB224&lt;=TODAY()," is due TODAY ("," is due next business day (")&amp;TEXT($AB224,"dd-mmm")&amp;").","Next: "&amp;$AC224&amp;" due "&amp;TEXT($AB224,"dd-mmm")&amp;" ("&amp;(NETWORKDAYS(TODAY(),$AB224,Holidays)-1)&amp;" business day(s) left).")))))</f>
        <v/>
      </c>
      <c r="W224" s="17">
        <f>IF($Z224="","",CHOOSE($Z224,"Collection Email","1st Follow-up","2nd Follow-up","Local Office","CBE","Roxanne")&amp;IF($Z224=6," - Final"," - Day "&amp;MAX(0,NETWORKDAYS($AA224,TODAY(),Holidays)-1)&amp;" of "&amp;CHOOSE($Z224,3,3,2,2,3))&amp;" | Total Day "&amp;MAX(0,NETWORKDAYS($N224,TODAY(),Holidays)-1))</f>
        <v/>
      </c>
      <c r="X224" s="18"/>
      <c r="Y224" s="18"/>
      <c r="Z224" s="17">
        <f>IF($N224="","",COUNT($N224:$S224))</f>
        <v/>
      </c>
      <c r="AA224" s="19">
        <f>IF($Z224="","",INT(INDEX($N224:$S224,$Z224)))</f>
        <v/>
      </c>
      <c r="AB224" s="19">
        <f>IF(OR($Z224="",$Z224=6),"",WORKDAY($AA224,CHOOSE($Z224,3,3,2,2,3),Holidays))</f>
        <v/>
      </c>
      <c r="AC224" s="17">
        <f>IF(OR($Z224="",$Z224=6),"",CHOOSE($Z224,"1st Email Follow-up","2nd Email Follow-up","Escalate Local Office","Escalate to CBE","Escalate to Roxanne"))</f>
        <v/>
      </c>
    </row>
    <row r="225" spans="13:29">
      <c r="M225" s="14"/>
      <c r="T225" s="16"/>
      <c r="U225" s="17">
        <f>IF(AND(COUNTA($A225:$L225)=0,$N225=""),"",IF($T225="Paid","PAID",IF($T225="Closed","CLOSED",IF($Z225="","",IF($Z225=6,"ESCALATED TO ROXANNE",IF(TODAY()&gt;$AB225,"OVERDUE",IF($AB225&lt;=WORKDAY(TODAY(),1,Holidays),"DUE TOMORROW",IF($Z225=4,"ESCALATED TO LOCAL OFFICE",IF($Z225=5,"ESCALATED TO CBE",IF($AA225=TODAY(),"EMAIL SENT","MONITORING"))))))))))</f>
        <v/>
      </c>
      <c r="V225" s="17">
        <f>IF($U225="",IF(AND(COUNTA($A225:$L225)&gt;0,$N225=""),"Awaiting Collection Email time stamp.",""),IF(OR($U225="PAID",$U225="CLOSED"),IF($U225="PAID","Account paid. Action completed.","Account closed. No further action required."),CHOOSE($Z225,"Collection Email","1st Email Follow-up","2nd Email Follow-up","Escalation to Local Office","Escalation to CBE","Escalation to Roxanne")&amp;" sent "&amp;TEXT($AA225,"dd-mmm")&amp;". "&amp;IF($Z225=6,"Final escalation completed.",IF($U225="OVERDUE","Next: "&amp;$AC225&amp;" was due "&amp;TEXT($AB225,"dd-mmm")&amp;" - "&amp;(NETWORKDAYS($AB225,TODAY(),Holidays)-1)&amp;" business day(s) late. Send now.",IF($U225="DUE TOMORROW","Next: "&amp;$AC225&amp;IF($AB225&lt;=TODAY()," is due TODAY ("," is due next business day (")&amp;TEXT($AB225,"dd-mmm")&amp;").","Next: "&amp;$AC225&amp;" due "&amp;TEXT($AB225,"dd-mmm")&amp;" ("&amp;(NETWORKDAYS(TODAY(),$AB225,Holidays)-1)&amp;" business day(s) left).")))))</f>
        <v/>
      </c>
      <c r="W225" s="17">
        <f>IF($Z225="","",CHOOSE($Z225,"Collection Email","1st Follow-up","2nd Follow-up","Local Office","CBE","Roxanne")&amp;IF($Z225=6," - Final"," - Day "&amp;MAX(0,NETWORKDAYS($AA225,TODAY(),Holidays)-1)&amp;" of "&amp;CHOOSE($Z225,3,3,2,2,3))&amp;" | Total Day "&amp;MAX(0,NETWORKDAYS($N225,TODAY(),Holidays)-1))</f>
        <v/>
      </c>
      <c r="X225" s="18"/>
      <c r="Y225" s="18"/>
      <c r="Z225" s="17">
        <f>IF($N225="","",COUNT($N225:$S225))</f>
        <v/>
      </c>
      <c r="AA225" s="19">
        <f>IF($Z225="","",INT(INDEX($N225:$S225,$Z225)))</f>
        <v/>
      </c>
      <c r="AB225" s="19">
        <f>IF(OR($Z225="",$Z225=6),"",WORKDAY($AA225,CHOOSE($Z225,3,3,2,2,3),Holidays))</f>
        <v/>
      </c>
      <c r="AC225" s="17">
        <f>IF(OR($Z225="",$Z225=6),"",CHOOSE($Z225,"1st Email Follow-up","2nd Email Follow-up","Escalate Local Office","Escalate to CBE","Escalate to Roxanne"))</f>
        <v/>
      </c>
    </row>
    <row r="226" spans="13:29">
      <c r="M226" s="14"/>
      <c r="T226" s="16"/>
      <c r="U226" s="17">
        <f>IF(AND(COUNTA($A226:$L226)=0,$N226=""),"",IF($T226="Paid","PAID",IF($T226="Closed","CLOSED",IF($Z226="","",IF($Z226=6,"ESCALATED TO ROXANNE",IF(TODAY()&gt;$AB226,"OVERDUE",IF($AB226&lt;=WORKDAY(TODAY(),1,Holidays),"DUE TOMORROW",IF($Z226=4,"ESCALATED TO LOCAL OFFICE",IF($Z226=5,"ESCALATED TO CBE",IF($AA226=TODAY(),"EMAIL SENT","MONITORING"))))))))))</f>
        <v/>
      </c>
      <c r="V226" s="17">
        <f>IF($U226="",IF(AND(COUNTA($A226:$L226)&gt;0,$N226=""),"Awaiting Collection Email time stamp.",""),IF(OR($U226="PAID",$U226="CLOSED"),IF($U226="PAID","Account paid. Action completed.","Account closed. No further action required."),CHOOSE($Z226,"Collection Email","1st Email Follow-up","2nd Email Follow-up","Escalation to Local Office","Escalation to CBE","Escalation to Roxanne")&amp;" sent "&amp;TEXT($AA226,"dd-mmm")&amp;". "&amp;IF($Z226=6,"Final escalation completed.",IF($U226="OVERDUE","Next: "&amp;$AC226&amp;" was due "&amp;TEXT($AB226,"dd-mmm")&amp;" - "&amp;(NETWORKDAYS($AB226,TODAY(),Holidays)-1)&amp;" business day(s) late. Send now.",IF($U226="DUE TOMORROW","Next: "&amp;$AC226&amp;IF($AB226&lt;=TODAY()," is due TODAY ("," is due next business day (")&amp;TEXT($AB226,"dd-mmm")&amp;").","Next: "&amp;$AC226&amp;" due "&amp;TEXT($AB226,"dd-mmm")&amp;" ("&amp;(NETWORKDAYS(TODAY(),$AB226,Holidays)-1)&amp;" business day(s) left).")))))</f>
        <v/>
      </c>
      <c r="W226" s="17">
        <f>IF($Z226="","",CHOOSE($Z226,"Collection Email","1st Follow-up","2nd Follow-up","Local Office","CBE","Roxanne")&amp;IF($Z226=6," - Final"," - Day "&amp;MAX(0,NETWORKDAYS($AA226,TODAY(),Holidays)-1)&amp;" of "&amp;CHOOSE($Z226,3,3,2,2,3))&amp;" | Total Day "&amp;MAX(0,NETWORKDAYS($N226,TODAY(),Holidays)-1))</f>
        <v/>
      </c>
      <c r="X226" s="18"/>
      <c r="Y226" s="18"/>
      <c r="Z226" s="17">
        <f>IF($N226="","",COUNT($N226:$S226))</f>
        <v/>
      </c>
      <c r="AA226" s="19">
        <f>IF($Z226="","",INT(INDEX($N226:$S226,$Z226)))</f>
        <v/>
      </c>
      <c r="AB226" s="19">
        <f>IF(OR($Z226="",$Z226=6),"",WORKDAY($AA226,CHOOSE($Z226,3,3,2,2,3),Holidays))</f>
        <v/>
      </c>
      <c r="AC226" s="17">
        <f>IF(OR($Z226="",$Z226=6),"",CHOOSE($Z226,"1st Email Follow-up","2nd Email Follow-up","Escalate Local Office","Escalate to CBE","Escalate to Roxanne"))</f>
        <v/>
      </c>
    </row>
    <row r="227" spans="13:29">
      <c r="M227" s="14"/>
      <c r="T227" s="16"/>
      <c r="U227" s="17">
        <f>IF(AND(COUNTA($A227:$L227)=0,$N227=""),"",IF($T227="Paid","PAID",IF($T227="Closed","CLOSED",IF($Z227="","",IF($Z227=6,"ESCALATED TO ROXANNE",IF(TODAY()&gt;$AB227,"OVERDUE",IF($AB227&lt;=WORKDAY(TODAY(),1,Holidays),"DUE TOMORROW",IF($Z227=4,"ESCALATED TO LOCAL OFFICE",IF($Z227=5,"ESCALATED TO CBE",IF($AA227=TODAY(),"EMAIL SENT","MONITORING"))))))))))</f>
        <v/>
      </c>
      <c r="V227" s="17">
        <f>IF($U227="",IF(AND(COUNTA($A227:$L227)&gt;0,$N227=""),"Awaiting Collection Email time stamp.",""),IF(OR($U227="PAID",$U227="CLOSED"),IF($U227="PAID","Account paid. Action completed.","Account closed. No further action required."),CHOOSE($Z227,"Collection Email","1st Email Follow-up","2nd Email Follow-up","Escalation to Local Office","Escalation to CBE","Escalation to Roxanne")&amp;" sent "&amp;TEXT($AA227,"dd-mmm")&amp;". "&amp;IF($Z227=6,"Final escalation completed.",IF($U227="OVERDUE","Next: "&amp;$AC227&amp;" was due "&amp;TEXT($AB227,"dd-mmm")&amp;" - "&amp;(NETWORKDAYS($AB227,TODAY(),Holidays)-1)&amp;" business day(s) late. Send now.",IF($U227="DUE TOMORROW","Next: "&amp;$AC227&amp;IF($AB227&lt;=TODAY()," is due TODAY ("," is due next business day (")&amp;TEXT($AB227,"dd-mmm")&amp;").","Next: "&amp;$AC227&amp;" due "&amp;TEXT($AB227,"dd-mmm")&amp;" ("&amp;(NETWORKDAYS(TODAY(),$AB227,Holidays)-1)&amp;" business day(s) left).")))))</f>
        <v/>
      </c>
      <c r="W227" s="17">
        <f>IF($Z227="","",CHOOSE($Z227,"Collection Email","1st Follow-up","2nd Follow-up","Local Office","CBE","Roxanne")&amp;IF($Z227=6," - Final"," - Day "&amp;MAX(0,NETWORKDAYS($AA227,TODAY(),Holidays)-1)&amp;" of "&amp;CHOOSE($Z227,3,3,2,2,3))&amp;" | Total Day "&amp;MAX(0,NETWORKDAYS($N227,TODAY(),Holidays)-1))</f>
        <v/>
      </c>
      <c r="X227" s="18"/>
      <c r="Y227" s="18"/>
      <c r="Z227" s="17">
        <f>IF($N227="","",COUNT($N227:$S227))</f>
        <v/>
      </c>
      <c r="AA227" s="19">
        <f>IF($Z227="","",INT(INDEX($N227:$S227,$Z227)))</f>
        <v/>
      </c>
      <c r="AB227" s="19">
        <f>IF(OR($Z227="",$Z227=6),"",WORKDAY($AA227,CHOOSE($Z227,3,3,2,2,3),Holidays))</f>
        <v/>
      </c>
      <c r="AC227" s="17">
        <f>IF(OR($Z227="",$Z227=6),"",CHOOSE($Z227,"1st Email Follow-up","2nd Email Follow-up","Escalate Local Office","Escalate to CBE","Escalate to Roxanne"))</f>
        <v/>
      </c>
    </row>
    <row r="228" spans="13:29">
      <c r="M228" s="14"/>
      <c r="T228" s="16"/>
      <c r="U228" s="17">
        <f>IF(AND(COUNTA($A228:$L228)=0,$N228=""),"",IF($T228="Paid","PAID",IF($T228="Closed","CLOSED",IF($Z228="","",IF($Z228=6,"ESCALATED TO ROXANNE",IF(TODAY()&gt;$AB228,"OVERDUE",IF($AB228&lt;=WORKDAY(TODAY(),1,Holidays),"DUE TOMORROW",IF($Z228=4,"ESCALATED TO LOCAL OFFICE",IF($Z228=5,"ESCALATED TO CBE",IF($AA228=TODAY(),"EMAIL SENT","MONITORING"))))))))))</f>
        <v/>
      </c>
      <c r="V228" s="17">
        <f>IF($U228="",IF(AND(COUNTA($A228:$L228)&gt;0,$N228=""),"Awaiting Collection Email time stamp.",""),IF(OR($U228="PAID",$U228="CLOSED"),IF($U228="PAID","Account paid. Action completed.","Account closed. No further action required."),CHOOSE($Z228,"Collection Email","1st Email Follow-up","2nd Email Follow-up","Escalation to Local Office","Escalation to CBE","Escalation to Roxanne")&amp;" sent "&amp;TEXT($AA228,"dd-mmm")&amp;". "&amp;IF($Z228=6,"Final escalation completed.",IF($U228="OVERDUE","Next: "&amp;$AC228&amp;" was due "&amp;TEXT($AB228,"dd-mmm")&amp;" - "&amp;(NETWORKDAYS($AB228,TODAY(),Holidays)-1)&amp;" business day(s) late. Send now.",IF($U228="DUE TOMORROW","Next: "&amp;$AC228&amp;IF($AB228&lt;=TODAY()," is due TODAY ("," is due next business day (")&amp;TEXT($AB228,"dd-mmm")&amp;").","Next: "&amp;$AC228&amp;" due "&amp;TEXT($AB228,"dd-mmm")&amp;" ("&amp;(NETWORKDAYS(TODAY(),$AB228,Holidays)-1)&amp;" business day(s) left).")))))</f>
        <v/>
      </c>
      <c r="W228" s="17">
        <f>IF($Z228="","",CHOOSE($Z228,"Collection Email","1st Follow-up","2nd Follow-up","Local Office","CBE","Roxanne")&amp;IF($Z228=6," - Final"," - Day "&amp;MAX(0,NETWORKDAYS($AA228,TODAY(),Holidays)-1)&amp;" of "&amp;CHOOSE($Z228,3,3,2,2,3))&amp;" | Total Day "&amp;MAX(0,NETWORKDAYS($N228,TODAY(),Holidays)-1))</f>
        <v/>
      </c>
      <c r="X228" s="18"/>
      <c r="Y228" s="18"/>
      <c r="Z228" s="17">
        <f>IF($N228="","",COUNT($N228:$S228))</f>
        <v/>
      </c>
      <c r="AA228" s="19">
        <f>IF($Z228="","",INT(INDEX($N228:$S228,$Z228)))</f>
        <v/>
      </c>
      <c r="AB228" s="19">
        <f>IF(OR($Z228="",$Z228=6),"",WORKDAY($AA228,CHOOSE($Z228,3,3,2,2,3),Holidays))</f>
        <v/>
      </c>
      <c r="AC228" s="17">
        <f>IF(OR($Z228="",$Z228=6),"",CHOOSE($Z228,"1st Email Follow-up","2nd Email Follow-up","Escalate Local Office","Escalate to CBE","Escalate to Roxanne"))</f>
        <v/>
      </c>
    </row>
    <row r="229" spans="13:29">
      <c r="M229" s="14"/>
      <c r="T229" s="16"/>
      <c r="U229" s="17">
        <f>IF(AND(COUNTA($A229:$L229)=0,$N229=""),"",IF($T229="Paid","PAID",IF($T229="Closed","CLOSED",IF($Z229="","",IF($Z229=6,"ESCALATED TO ROXANNE",IF(TODAY()&gt;$AB229,"OVERDUE",IF($AB229&lt;=WORKDAY(TODAY(),1,Holidays),"DUE TOMORROW",IF($Z229=4,"ESCALATED TO LOCAL OFFICE",IF($Z229=5,"ESCALATED TO CBE",IF($AA229=TODAY(),"EMAIL SENT","MONITORING"))))))))))</f>
        <v/>
      </c>
      <c r="V229" s="17">
        <f>IF($U229="",IF(AND(COUNTA($A229:$L229)&gt;0,$N229=""),"Awaiting Collection Email time stamp.",""),IF(OR($U229="PAID",$U229="CLOSED"),IF($U229="PAID","Account paid. Action completed.","Account closed. No further action required."),CHOOSE($Z229,"Collection Email","1st Email Follow-up","2nd Email Follow-up","Escalation to Local Office","Escalation to CBE","Escalation to Roxanne")&amp;" sent "&amp;TEXT($AA229,"dd-mmm")&amp;". "&amp;IF($Z229=6,"Final escalation completed.",IF($U229="OVERDUE","Next: "&amp;$AC229&amp;" was due "&amp;TEXT($AB229,"dd-mmm")&amp;" - "&amp;(NETWORKDAYS($AB229,TODAY(),Holidays)-1)&amp;" business day(s) late. Send now.",IF($U229="DUE TOMORROW","Next: "&amp;$AC229&amp;IF($AB229&lt;=TODAY()," is due TODAY ("," is due next business day (")&amp;TEXT($AB229,"dd-mmm")&amp;").","Next: "&amp;$AC229&amp;" due "&amp;TEXT($AB229,"dd-mmm")&amp;" ("&amp;(NETWORKDAYS(TODAY(),$AB229,Holidays)-1)&amp;" business day(s) left).")))))</f>
        <v/>
      </c>
      <c r="W229" s="17">
        <f>IF($Z229="","",CHOOSE($Z229,"Collection Email","1st Follow-up","2nd Follow-up","Local Office","CBE","Roxanne")&amp;IF($Z229=6," - Final"," - Day "&amp;MAX(0,NETWORKDAYS($AA229,TODAY(),Holidays)-1)&amp;" of "&amp;CHOOSE($Z229,3,3,2,2,3))&amp;" | Total Day "&amp;MAX(0,NETWORKDAYS($N229,TODAY(),Holidays)-1))</f>
        <v/>
      </c>
      <c r="X229" s="18"/>
      <c r="Y229" s="18"/>
      <c r="Z229" s="17">
        <f>IF($N229="","",COUNT($N229:$S229))</f>
        <v/>
      </c>
      <c r="AA229" s="19">
        <f>IF($Z229="","",INT(INDEX($N229:$S229,$Z229)))</f>
        <v/>
      </c>
      <c r="AB229" s="19">
        <f>IF(OR($Z229="",$Z229=6),"",WORKDAY($AA229,CHOOSE($Z229,3,3,2,2,3),Holidays))</f>
        <v/>
      </c>
      <c r="AC229" s="17">
        <f>IF(OR($Z229="",$Z229=6),"",CHOOSE($Z229,"1st Email Follow-up","2nd Email Follow-up","Escalate Local Office","Escalate to CBE","Escalate to Roxanne"))</f>
        <v/>
      </c>
    </row>
    <row r="230" spans="13:29">
      <c r="M230" s="14"/>
      <c r="T230" s="16"/>
      <c r="U230" s="17">
        <f>IF(AND(COUNTA($A230:$L230)=0,$N230=""),"",IF($T230="Paid","PAID",IF($T230="Closed","CLOSED",IF($Z230="","",IF($Z230=6,"ESCALATED TO ROXANNE",IF(TODAY()&gt;$AB230,"OVERDUE",IF($AB230&lt;=WORKDAY(TODAY(),1,Holidays),"DUE TOMORROW",IF($Z230=4,"ESCALATED TO LOCAL OFFICE",IF($Z230=5,"ESCALATED TO CBE",IF($AA230=TODAY(),"EMAIL SENT","MONITORING"))))))))))</f>
        <v/>
      </c>
      <c r="V230" s="17">
        <f>IF($U230="",IF(AND(COUNTA($A230:$L230)&gt;0,$N230=""),"Awaiting Collection Email time stamp.",""),IF(OR($U230="PAID",$U230="CLOSED"),IF($U230="PAID","Account paid. Action completed.","Account closed. No further action required."),CHOOSE($Z230,"Collection Email","1st Email Follow-up","2nd Email Follow-up","Escalation to Local Office","Escalation to CBE","Escalation to Roxanne")&amp;" sent "&amp;TEXT($AA230,"dd-mmm")&amp;". "&amp;IF($Z230=6,"Final escalation completed.",IF($U230="OVERDUE","Next: "&amp;$AC230&amp;" was due "&amp;TEXT($AB230,"dd-mmm")&amp;" - "&amp;(NETWORKDAYS($AB230,TODAY(),Holidays)-1)&amp;" business day(s) late. Send now.",IF($U230="DUE TOMORROW","Next: "&amp;$AC230&amp;IF($AB230&lt;=TODAY()," is due TODAY ("," is due next business day (")&amp;TEXT($AB230,"dd-mmm")&amp;").","Next: "&amp;$AC230&amp;" due "&amp;TEXT($AB230,"dd-mmm")&amp;" ("&amp;(NETWORKDAYS(TODAY(),$AB230,Holidays)-1)&amp;" business day(s) left).")))))</f>
        <v/>
      </c>
      <c r="W230" s="17">
        <f>IF($Z230="","",CHOOSE($Z230,"Collection Email","1st Follow-up","2nd Follow-up","Local Office","CBE","Roxanne")&amp;IF($Z230=6," - Final"," - Day "&amp;MAX(0,NETWORKDAYS($AA230,TODAY(),Holidays)-1)&amp;" of "&amp;CHOOSE($Z230,3,3,2,2,3))&amp;" | Total Day "&amp;MAX(0,NETWORKDAYS($N230,TODAY(),Holidays)-1))</f>
        <v/>
      </c>
      <c r="X230" s="18"/>
      <c r="Y230" s="18"/>
      <c r="Z230" s="17">
        <f>IF($N230="","",COUNT($N230:$S230))</f>
        <v/>
      </c>
      <c r="AA230" s="19">
        <f>IF($Z230="","",INT(INDEX($N230:$S230,$Z230)))</f>
        <v/>
      </c>
      <c r="AB230" s="19">
        <f>IF(OR($Z230="",$Z230=6),"",WORKDAY($AA230,CHOOSE($Z230,3,3,2,2,3),Holidays))</f>
        <v/>
      </c>
      <c r="AC230" s="17">
        <f>IF(OR($Z230="",$Z230=6),"",CHOOSE($Z230,"1st Email Follow-up","2nd Email Follow-up","Escalate Local Office","Escalate to CBE","Escalate to Roxanne"))</f>
        <v/>
      </c>
    </row>
    <row r="231" spans="13:29">
      <c r="M231" s="14"/>
      <c r="T231" s="16"/>
      <c r="U231" s="17">
        <f>IF(AND(COUNTA($A231:$L231)=0,$N231=""),"",IF($T231="Paid","PAID",IF($T231="Closed","CLOSED",IF($Z231="","",IF($Z231=6,"ESCALATED TO ROXANNE",IF(TODAY()&gt;$AB231,"OVERDUE",IF($AB231&lt;=WORKDAY(TODAY(),1,Holidays),"DUE TOMORROW",IF($Z231=4,"ESCALATED TO LOCAL OFFICE",IF($Z231=5,"ESCALATED TO CBE",IF($AA231=TODAY(),"EMAIL SENT","MONITORING"))))))))))</f>
        <v/>
      </c>
      <c r="V231" s="17">
        <f>IF($U231="",IF(AND(COUNTA($A231:$L231)&gt;0,$N231=""),"Awaiting Collection Email time stamp.",""),IF(OR($U231="PAID",$U231="CLOSED"),IF($U231="PAID","Account paid. Action completed.","Account closed. No further action required."),CHOOSE($Z231,"Collection Email","1st Email Follow-up","2nd Email Follow-up","Escalation to Local Office","Escalation to CBE","Escalation to Roxanne")&amp;" sent "&amp;TEXT($AA231,"dd-mmm")&amp;". "&amp;IF($Z231=6,"Final escalation completed.",IF($U231="OVERDUE","Next: "&amp;$AC231&amp;" was due "&amp;TEXT($AB231,"dd-mmm")&amp;" - "&amp;(NETWORKDAYS($AB231,TODAY(),Holidays)-1)&amp;" business day(s) late. Send now.",IF($U231="DUE TOMORROW","Next: "&amp;$AC231&amp;IF($AB231&lt;=TODAY()," is due TODAY ("," is due next business day (")&amp;TEXT($AB231,"dd-mmm")&amp;").","Next: "&amp;$AC231&amp;" due "&amp;TEXT($AB231,"dd-mmm")&amp;" ("&amp;(NETWORKDAYS(TODAY(),$AB231,Holidays)-1)&amp;" business day(s) left).")))))</f>
        <v/>
      </c>
      <c r="W231" s="17">
        <f>IF($Z231="","",CHOOSE($Z231,"Collection Email","1st Follow-up","2nd Follow-up","Local Office","CBE","Roxanne")&amp;IF($Z231=6," - Final"," - Day "&amp;MAX(0,NETWORKDAYS($AA231,TODAY(),Holidays)-1)&amp;" of "&amp;CHOOSE($Z231,3,3,2,2,3))&amp;" | Total Day "&amp;MAX(0,NETWORKDAYS($N231,TODAY(),Holidays)-1))</f>
        <v/>
      </c>
      <c r="X231" s="18"/>
      <c r="Y231" s="18"/>
      <c r="Z231" s="17">
        <f>IF($N231="","",COUNT($N231:$S231))</f>
        <v/>
      </c>
      <c r="AA231" s="19">
        <f>IF($Z231="","",INT(INDEX($N231:$S231,$Z231)))</f>
        <v/>
      </c>
      <c r="AB231" s="19">
        <f>IF(OR($Z231="",$Z231=6),"",WORKDAY($AA231,CHOOSE($Z231,3,3,2,2,3),Holidays))</f>
        <v/>
      </c>
      <c r="AC231" s="17">
        <f>IF(OR($Z231="",$Z231=6),"",CHOOSE($Z231,"1st Email Follow-up","2nd Email Follow-up","Escalate Local Office","Escalate to CBE","Escalate to Roxanne"))</f>
        <v/>
      </c>
    </row>
    <row r="232" spans="13:29">
      <c r="M232" s="14"/>
      <c r="T232" s="16"/>
      <c r="U232" s="17">
        <f>IF(AND(COUNTA($A232:$L232)=0,$N232=""),"",IF($T232="Paid","PAID",IF($T232="Closed","CLOSED",IF($Z232="","",IF($Z232=6,"ESCALATED TO ROXANNE",IF(TODAY()&gt;$AB232,"OVERDUE",IF($AB232&lt;=WORKDAY(TODAY(),1,Holidays),"DUE TOMORROW",IF($Z232=4,"ESCALATED TO LOCAL OFFICE",IF($Z232=5,"ESCALATED TO CBE",IF($AA232=TODAY(),"EMAIL SENT","MONITORING"))))))))))</f>
        <v/>
      </c>
      <c r="V232" s="17">
        <f>IF($U232="",IF(AND(COUNTA($A232:$L232)&gt;0,$N232=""),"Awaiting Collection Email time stamp.",""),IF(OR($U232="PAID",$U232="CLOSED"),IF($U232="PAID","Account paid. Action completed.","Account closed. No further action required."),CHOOSE($Z232,"Collection Email","1st Email Follow-up","2nd Email Follow-up","Escalation to Local Office","Escalation to CBE","Escalation to Roxanne")&amp;" sent "&amp;TEXT($AA232,"dd-mmm")&amp;". "&amp;IF($Z232=6,"Final escalation completed.",IF($U232="OVERDUE","Next: "&amp;$AC232&amp;" was due "&amp;TEXT($AB232,"dd-mmm")&amp;" - "&amp;(NETWORKDAYS($AB232,TODAY(),Holidays)-1)&amp;" business day(s) late. Send now.",IF($U232="DUE TOMORROW","Next: "&amp;$AC232&amp;IF($AB232&lt;=TODAY()," is due TODAY ("," is due next business day (")&amp;TEXT($AB232,"dd-mmm")&amp;").","Next: "&amp;$AC232&amp;" due "&amp;TEXT($AB232,"dd-mmm")&amp;" ("&amp;(NETWORKDAYS(TODAY(),$AB232,Holidays)-1)&amp;" business day(s) left).")))))</f>
        <v/>
      </c>
      <c r="W232" s="17">
        <f>IF($Z232="","",CHOOSE($Z232,"Collection Email","1st Follow-up","2nd Follow-up","Local Office","CBE","Roxanne")&amp;IF($Z232=6," - Final"," - Day "&amp;MAX(0,NETWORKDAYS($AA232,TODAY(),Holidays)-1)&amp;" of "&amp;CHOOSE($Z232,3,3,2,2,3))&amp;" | Total Day "&amp;MAX(0,NETWORKDAYS($N232,TODAY(),Holidays)-1))</f>
        <v/>
      </c>
      <c r="X232" s="18"/>
      <c r="Y232" s="18"/>
      <c r="Z232" s="17">
        <f>IF($N232="","",COUNT($N232:$S232))</f>
        <v/>
      </c>
      <c r="AA232" s="19">
        <f>IF($Z232="","",INT(INDEX($N232:$S232,$Z232)))</f>
        <v/>
      </c>
      <c r="AB232" s="19">
        <f>IF(OR($Z232="",$Z232=6),"",WORKDAY($AA232,CHOOSE($Z232,3,3,2,2,3),Holidays))</f>
        <v/>
      </c>
      <c r="AC232" s="17">
        <f>IF(OR($Z232="",$Z232=6),"",CHOOSE($Z232,"1st Email Follow-up","2nd Email Follow-up","Escalate Local Office","Escalate to CBE","Escalate to Roxanne"))</f>
        <v/>
      </c>
    </row>
    <row r="233" spans="13:29">
      <c r="M233" s="14"/>
      <c r="T233" s="16"/>
      <c r="U233" s="17">
        <f>IF(AND(COUNTA($A233:$L233)=0,$N233=""),"",IF($T233="Paid","PAID",IF($T233="Closed","CLOSED",IF($Z233="","",IF($Z233=6,"ESCALATED TO ROXANNE",IF(TODAY()&gt;$AB233,"OVERDUE",IF($AB233&lt;=WORKDAY(TODAY(),1,Holidays),"DUE TOMORROW",IF($Z233=4,"ESCALATED TO LOCAL OFFICE",IF($Z233=5,"ESCALATED TO CBE",IF($AA233=TODAY(),"EMAIL SENT","MONITORING"))))))))))</f>
        <v/>
      </c>
      <c r="V233" s="17">
        <f>IF($U233="",IF(AND(COUNTA($A233:$L233)&gt;0,$N233=""),"Awaiting Collection Email time stamp.",""),IF(OR($U233="PAID",$U233="CLOSED"),IF($U233="PAID","Account paid. Action completed.","Account closed. No further action required."),CHOOSE($Z233,"Collection Email","1st Email Follow-up","2nd Email Follow-up","Escalation to Local Office","Escalation to CBE","Escalation to Roxanne")&amp;" sent "&amp;TEXT($AA233,"dd-mmm")&amp;". "&amp;IF($Z233=6,"Final escalation completed.",IF($U233="OVERDUE","Next: "&amp;$AC233&amp;" was due "&amp;TEXT($AB233,"dd-mmm")&amp;" - "&amp;(NETWORKDAYS($AB233,TODAY(),Holidays)-1)&amp;" business day(s) late. Send now.",IF($U233="DUE TOMORROW","Next: "&amp;$AC233&amp;IF($AB233&lt;=TODAY()," is due TODAY ("," is due next business day (")&amp;TEXT($AB233,"dd-mmm")&amp;").","Next: "&amp;$AC233&amp;" due "&amp;TEXT($AB233,"dd-mmm")&amp;" ("&amp;(NETWORKDAYS(TODAY(),$AB233,Holidays)-1)&amp;" business day(s) left).")))))</f>
        <v/>
      </c>
      <c r="W233" s="17">
        <f>IF($Z233="","",CHOOSE($Z233,"Collection Email","1st Follow-up","2nd Follow-up","Local Office","CBE","Roxanne")&amp;IF($Z233=6," - Final"," - Day "&amp;MAX(0,NETWORKDAYS($AA233,TODAY(),Holidays)-1)&amp;" of "&amp;CHOOSE($Z233,3,3,2,2,3))&amp;" | Total Day "&amp;MAX(0,NETWORKDAYS($N233,TODAY(),Holidays)-1))</f>
        <v/>
      </c>
      <c r="X233" s="18"/>
      <c r="Y233" s="18"/>
      <c r="Z233" s="17">
        <f>IF($N233="","",COUNT($N233:$S233))</f>
        <v/>
      </c>
      <c r="AA233" s="19">
        <f>IF($Z233="","",INT(INDEX($N233:$S233,$Z233)))</f>
        <v/>
      </c>
      <c r="AB233" s="19">
        <f>IF(OR($Z233="",$Z233=6),"",WORKDAY($AA233,CHOOSE($Z233,3,3,2,2,3),Holidays))</f>
        <v/>
      </c>
      <c r="AC233" s="17">
        <f>IF(OR($Z233="",$Z233=6),"",CHOOSE($Z233,"1st Email Follow-up","2nd Email Follow-up","Escalate Local Office","Escalate to CBE","Escalate to Roxanne"))</f>
        <v/>
      </c>
    </row>
    <row r="234" spans="13:29">
      <c r="M234" s="14"/>
      <c r="T234" s="16"/>
      <c r="U234" s="17">
        <f>IF(AND(COUNTA($A234:$L234)=0,$N234=""),"",IF($T234="Paid","PAID",IF($T234="Closed","CLOSED",IF($Z234="","",IF($Z234=6,"ESCALATED TO ROXANNE",IF(TODAY()&gt;$AB234,"OVERDUE",IF($AB234&lt;=WORKDAY(TODAY(),1,Holidays),"DUE TOMORROW",IF($Z234=4,"ESCALATED TO LOCAL OFFICE",IF($Z234=5,"ESCALATED TO CBE",IF($AA234=TODAY(),"EMAIL SENT","MONITORING"))))))))))</f>
        <v/>
      </c>
      <c r="V234" s="17">
        <f>IF($U234="",IF(AND(COUNTA($A234:$L234)&gt;0,$N234=""),"Awaiting Collection Email time stamp.",""),IF(OR($U234="PAID",$U234="CLOSED"),IF($U234="PAID","Account paid. Action completed.","Account closed. No further action required."),CHOOSE($Z234,"Collection Email","1st Email Follow-up","2nd Email Follow-up","Escalation to Local Office","Escalation to CBE","Escalation to Roxanne")&amp;" sent "&amp;TEXT($AA234,"dd-mmm")&amp;". "&amp;IF($Z234=6,"Final escalation completed.",IF($U234="OVERDUE","Next: "&amp;$AC234&amp;" was due "&amp;TEXT($AB234,"dd-mmm")&amp;" - "&amp;(NETWORKDAYS($AB234,TODAY(),Holidays)-1)&amp;" business day(s) late. Send now.",IF($U234="DUE TOMORROW","Next: "&amp;$AC234&amp;IF($AB234&lt;=TODAY()," is due TODAY ("," is due next business day (")&amp;TEXT($AB234,"dd-mmm")&amp;").","Next: "&amp;$AC234&amp;" due "&amp;TEXT($AB234,"dd-mmm")&amp;" ("&amp;(NETWORKDAYS(TODAY(),$AB234,Holidays)-1)&amp;" business day(s) left).")))))</f>
        <v/>
      </c>
      <c r="W234" s="17">
        <f>IF($Z234="","",CHOOSE($Z234,"Collection Email","1st Follow-up","2nd Follow-up","Local Office","CBE","Roxanne")&amp;IF($Z234=6," - Final"," - Day "&amp;MAX(0,NETWORKDAYS($AA234,TODAY(),Holidays)-1)&amp;" of "&amp;CHOOSE($Z234,3,3,2,2,3))&amp;" | Total Day "&amp;MAX(0,NETWORKDAYS($N234,TODAY(),Holidays)-1))</f>
        <v/>
      </c>
      <c r="X234" s="18"/>
      <c r="Y234" s="18"/>
      <c r="Z234" s="17">
        <f>IF($N234="","",COUNT($N234:$S234))</f>
        <v/>
      </c>
      <c r="AA234" s="19">
        <f>IF($Z234="","",INT(INDEX($N234:$S234,$Z234)))</f>
        <v/>
      </c>
      <c r="AB234" s="19">
        <f>IF(OR($Z234="",$Z234=6),"",WORKDAY($AA234,CHOOSE($Z234,3,3,2,2,3),Holidays))</f>
        <v/>
      </c>
      <c r="AC234" s="17">
        <f>IF(OR($Z234="",$Z234=6),"",CHOOSE($Z234,"1st Email Follow-up","2nd Email Follow-up","Escalate Local Office","Escalate to CBE","Escalate to Roxanne"))</f>
        <v/>
      </c>
    </row>
    <row r="235" spans="13:29">
      <c r="M235" s="14"/>
      <c r="T235" s="16"/>
      <c r="U235" s="17">
        <f>IF(AND(COUNTA($A235:$L235)=0,$N235=""),"",IF($T235="Paid","PAID",IF($T235="Closed","CLOSED",IF($Z235="","",IF($Z235=6,"ESCALATED TO ROXANNE",IF(TODAY()&gt;$AB235,"OVERDUE",IF($AB235&lt;=WORKDAY(TODAY(),1,Holidays),"DUE TOMORROW",IF($Z235=4,"ESCALATED TO LOCAL OFFICE",IF($Z235=5,"ESCALATED TO CBE",IF($AA235=TODAY(),"EMAIL SENT","MONITORING"))))))))))</f>
        <v/>
      </c>
      <c r="V235" s="17">
        <f>IF($U235="",IF(AND(COUNTA($A235:$L235)&gt;0,$N235=""),"Awaiting Collection Email time stamp.",""),IF(OR($U235="PAID",$U235="CLOSED"),IF($U235="PAID","Account paid. Action completed.","Account closed. No further action required."),CHOOSE($Z235,"Collection Email","1st Email Follow-up","2nd Email Follow-up","Escalation to Local Office","Escalation to CBE","Escalation to Roxanne")&amp;" sent "&amp;TEXT($AA235,"dd-mmm")&amp;". "&amp;IF($Z235=6,"Final escalation completed.",IF($U235="OVERDUE","Next: "&amp;$AC235&amp;" was due "&amp;TEXT($AB235,"dd-mmm")&amp;" - "&amp;(NETWORKDAYS($AB235,TODAY(),Holidays)-1)&amp;" business day(s) late. Send now.",IF($U235="DUE TOMORROW","Next: "&amp;$AC235&amp;IF($AB235&lt;=TODAY()," is due TODAY ("," is due next business day (")&amp;TEXT($AB235,"dd-mmm")&amp;").","Next: "&amp;$AC235&amp;" due "&amp;TEXT($AB235,"dd-mmm")&amp;" ("&amp;(NETWORKDAYS(TODAY(),$AB235,Holidays)-1)&amp;" business day(s) left).")))))</f>
        <v/>
      </c>
      <c r="W235" s="17">
        <f>IF($Z235="","",CHOOSE($Z235,"Collection Email","1st Follow-up","2nd Follow-up","Local Office","CBE","Roxanne")&amp;IF($Z235=6," - Final"," - Day "&amp;MAX(0,NETWORKDAYS($AA235,TODAY(),Holidays)-1)&amp;" of "&amp;CHOOSE($Z235,3,3,2,2,3))&amp;" | Total Day "&amp;MAX(0,NETWORKDAYS($N235,TODAY(),Holidays)-1))</f>
        <v/>
      </c>
      <c r="X235" s="18"/>
      <c r="Y235" s="18"/>
      <c r="Z235" s="17">
        <f>IF($N235="","",COUNT($N235:$S235))</f>
        <v/>
      </c>
      <c r="AA235" s="19">
        <f>IF($Z235="","",INT(INDEX($N235:$S235,$Z235)))</f>
        <v/>
      </c>
      <c r="AB235" s="19">
        <f>IF(OR($Z235="",$Z235=6),"",WORKDAY($AA235,CHOOSE($Z235,3,3,2,2,3),Holidays))</f>
        <v/>
      </c>
      <c r="AC235" s="17">
        <f>IF(OR($Z235="",$Z235=6),"",CHOOSE($Z235,"1st Email Follow-up","2nd Email Follow-up","Escalate Local Office","Escalate to CBE","Escalate to Roxanne"))</f>
        <v/>
      </c>
    </row>
    <row r="236" spans="13:29">
      <c r="M236" s="14"/>
      <c r="T236" s="16"/>
      <c r="U236" s="17">
        <f>IF(AND(COUNTA($A236:$L236)=0,$N236=""),"",IF($T236="Paid","PAID",IF($T236="Closed","CLOSED",IF($Z236="","",IF($Z236=6,"ESCALATED TO ROXANNE",IF(TODAY()&gt;$AB236,"OVERDUE",IF($AB236&lt;=WORKDAY(TODAY(),1,Holidays),"DUE TOMORROW",IF($Z236=4,"ESCALATED TO LOCAL OFFICE",IF($Z236=5,"ESCALATED TO CBE",IF($AA236=TODAY(),"EMAIL SENT","MONITORING"))))))))))</f>
        <v/>
      </c>
      <c r="V236" s="17">
        <f>IF($U236="",IF(AND(COUNTA($A236:$L236)&gt;0,$N236=""),"Awaiting Collection Email time stamp.",""),IF(OR($U236="PAID",$U236="CLOSED"),IF($U236="PAID","Account paid. Action completed.","Account closed. No further action required."),CHOOSE($Z236,"Collection Email","1st Email Follow-up","2nd Email Follow-up","Escalation to Local Office","Escalation to CBE","Escalation to Roxanne")&amp;" sent "&amp;TEXT($AA236,"dd-mmm")&amp;". "&amp;IF($Z236=6,"Final escalation completed.",IF($U236="OVERDUE","Next: "&amp;$AC236&amp;" was due "&amp;TEXT($AB236,"dd-mmm")&amp;" - "&amp;(NETWORKDAYS($AB236,TODAY(),Holidays)-1)&amp;" business day(s) late. Send now.",IF($U236="DUE TOMORROW","Next: "&amp;$AC236&amp;IF($AB236&lt;=TODAY()," is due TODAY ("," is due next business day (")&amp;TEXT($AB236,"dd-mmm")&amp;").","Next: "&amp;$AC236&amp;" due "&amp;TEXT($AB236,"dd-mmm")&amp;" ("&amp;(NETWORKDAYS(TODAY(),$AB236,Holidays)-1)&amp;" business day(s) left).")))))</f>
        <v/>
      </c>
      <c r="W236" s="17">
        <f>IF($Z236="","",CHOOSE($Z236,"Collection Email","1st Follow-up","2nd Follow-up","Local Office","CBE","Roxanne")&amp;IF($Z236=6," - Final"," - Day "&amp;MAX(0,NETWORKDAYS($AA236,TODAY(),Holidays)-1)&amp;" of "&amp;CHOOSE($Z236,3,3,2,2,3))&amp;" | Total Day "&amp;MAX(0,NETWORKDAYS($N236,TODAY(),Holidays)-1))</f>
        <v/>
      </c>
      <c r="X236" s="18"/>
      <c r="Y236" s="18"/>
      <c r="Z236" s="17">
        <f>IF($N236="","",COUNT($N236:$S236))</f>
        <v/>
      </c>
      <c r="AA236" s="19">
        <f>IF($Z236="","",INT(INDEX($N236:$S236,$Z236)))</f>
        <v/>
      </c>
      <c r="AB236" s="19">
        <f>IF(OR($Z236="",$Z236=6),"",WORKDAY($AA236,CHOOSE($Z236,3,3,2,2,3),Holidays))</f>
        <v/>
      </c>
      <c r="AC236" s="17">
        <f>IF(OR($Z236="",$Z236=6),"",CHOOSE($Z236,"1st Email Follow-up","2nd Email Follow-up","Escalate Local Office","Escalate to CBE","Escalate to Roxanne"))</f>
        <v/>
      </c>
    </row>
    <row r="237" spans="13:29">
      <c r="M237" s="14"/>
      <c r="T237" s="16"/>
      <c r="U237" s="17">
        <f>IF(AND(COUNTA($A237:$L237)=0,$N237=""),"",IF($T237="Paid","PAID",IF($T237="Closed","CLOSED",IF($Z237="","",IF($Z237=6,"ESCALATED TO ROXANNE",IF(TODAY()&gt;$AB237,"OVERDUE",IF($AB237&lt;=WORKDAY(TODAY(),1,Holidays),"DUE TOMORROW",IF($Z237=4,"ESCALATED TO LOCAL OFFICE",IF($Z237=5,"ESCALATED TO CBE",IF($AA237=TODAY(),"EMAIL SENT","MONITORING"))))))))))</f>
        <v/>
      </c>
      <c r="V237" s="17">
        <f>IF($U237="",IF(AND(COUNTA($A237:$L237)&gt;0,$N237=""),"Awaiting Collection Email time stamp.",""),IF(OR($U237="PAID",$U237="CLOSED"),IF($U237="PAID","Account paid. Action completed.","Account closed. No further action required."),CHOOSE($Z237,"Collection Email","1st Email Follow-up","2nd Email Follow-up","Escalation to Local Office","Escalation to CBE","Escalation to Roxanne")&amp;" sent "&amp;TEXT($AA237,"dd-mmm")&amp;". "&amp;IF($Z237=6,"Final escalation completed.",IF($U237="OVERDUE","Next: "&amp;$AC237&amp;" was due "&amp;TEXT($AB237,"dd-mmm")&amp;" - "&amp;(NETWORKDAYS($AB237,TODAY(),Holidays)-1)&amp;" business day(s) late. Send now.",IF($U237="DUE TOMORROW","Next: "&amp;$AC237&amp;IF($AB237&lt;=TODAY()," is due TODAY ("," is due next business day (")&amp;TEXT($AB237,"dd-mmm")&amp;").","Next: "&amp;$AC237&amp;" due "&amp;TEXT($AB237,"dd-mmm")&amp;" ("&amp;(NETWORKDAYS(TODAY(),$AB237,Holidays)-1)&amp;" business day(s) left).")))))</f>
        <v/>
      </c>
      <c r="W237" s="17">
        <f>IF($Z237="","",CHOOSE($Z237,"Collection Email","1st Follow-up","2nd Follow-up","Local Office","CBE","Roxanne")&amp;IF($Z237=6," - Final"," - Day "&amp;MAX(0,NETWORKDAYS($AA237,TODAY(),Holidays)-1)&amp;" of "&amp;CHOOSE($Z237,3,3,2,2,3))&amp;" | Total Day "&amp;MAX(0,NETWORKDAYS($N237,TODAY(),Holidays)-1))</f>
        <v/>
      </c>
      <c r="X237" s="18"/>
      <c r="Y237" s="18"/>
      <c r="Z237" s="17">
        <f>IF($N237="","",COUNT($N237:$S237))</f>
        <v/>
      </c>
      <c r="AA237" s="19">
        <f>IF($Z237="","",INT(INDEX($N237:$S237,$Z237)))</f>
        <v/>
      </c>
      <c r="AB237" s="19">
        <f>IF(OR($Z237="",$Z237=6),"",WORKDAY($AA237,CHOOSE($Z237,3,3,2,2,3),Holidays))</f>
        <v/>
      </c>
      <c r="AC237" s="17">
        <f>IF(OR($Z237="",$Z237=6),"",CHOOSE($Z237,"1st Email Follow-up","2nd Email Follow-up","Escalate Local Office","Escalate to CBE","Escalate to Roxanne"))</f>
        <v/>
      </c>
    </row>
    <row r="238" spans="13:29">
      <c r="M238" s="14"/>
      <c r="T238" s="16"/>
      <c r="U238" s="17">
        <f>IF(AND(COUNTA($A238:$L238)=0,$N238=""),"",IF($T238="Paid","PAID",IF($T238="Closed","CLOSED",IF($Z238="","",IF($Z238=6,"ESCALATED TO ROXANNE",IF(TODAY()&gt;$AB238,"OVERDUE",IF($AB238&lt;=WORKDAY(TODAY(),1,Holidays),"DUE TOMORROW",IF($Z238=4,"ESCALATED TO LOCAL OFFICE",IF($Z238=5,"ESCALATED TO CBE",IF($AA238=TODAY(),"EMAIL SENT","MONITORING"))))))))))</f>
        <v/>
      </c>
      <c r="V238" s="17">
        <f>IF($U238="",IF(AND(COUNTA($A238:$L238)&gt;0,$N238=""),"Awaiting Collection Email time stamp.",""),IF(OR($U238="PAID",$U238="CLOSED"),IF($U238="PAID","Account paid. Action completed.","Account closed. No further action required."),CHOOSE($Z238,"Collection Email","1st Email Follow-up","2nd Email Follow-up","Escalation to Local Office","Escalation to CBE","Escalation to Roxanne")&amp;" sent "&amp;TEXT($AA238,"dd-mmm")&amp;". "&amp;IF($Z238=6,"Final escalation completed.",IF($U238="OVERDUE","Next: "&amp;$AC238&amp;" was due "&amp;TEXT($AB238,"dd-mmm")&amp;" - "&amp;(NETWORKDAYS($AB238,TODAY(),Holidays)-1)&amp;" business day(s) late. Send now.",IF($U238="DUE TOMORROW","Next: "&amp;$AC238&amp;IF($AB238&lt;=TODAY()," is due TODAY ("," is due next business day (")&amp;TEXT($AB238,"dd-mmm")&amp;").","Next: "&amp;$AC238&amp;" due "&amp;TEXT($AB238,"dd-mmm")&amp;" ("&amp;(NETWORKDAYS(TODAY(),$AB238,Holidays)-1)&amp;" business day(s) left).")))))</f>
        <v/>
      </c>
      <c r="W238" s="17">
        <f>IF($Z238="","",CHOOSE($Z238,"Collection Email","1st Follow-up","2nd Follow-up","Local Office","CBE","Roxanne")&amp;IF($Z238=6," - Final"," - Day "&amp;MAX(0,NETWORKDAYS($AA238,TODAY(),Holidays)-1)&amp;" of "&amp;CHOOSE($Z238,3,3,2,2,3))&amp;" | Total Day "&amp;MAX(0,NETWORKDAYS($N238,TODAY(),Holidays)-1))</f>
        <v/>
      </c>
      <c r="X238" s="18"/>
      <c r="Y238" s="18"/>
      <c r="Z238" s="17">
        <f>IF($N238="","",COUNT($N238:$S238))</f>
        <v/>
      </c>
      <c r="AA238" s="19">
        <f>IF($Z238="","",INT(INDEX($N238:$S238,$Z238)))</f>
        <v/>
      </c>
      <c r="AB238" s="19">
        <f>IF(OR($Z238="",$Z238=6),"",WORKDAY($AA238,CHOOSE($Z238,3,3,2,2,3),Holidays))</f>
        <v/>
      </c>
      <c r="AC238" s="17">
        <f>IF(OR($Z238="",$Z238=6),"",CHOOSE($Z238,"1st Email Follow-up","2nd Email Follow-up","Escalate Local Office","Escalate to CBE","Escalate to Roxanne"))</f>
        <v/>
      </c>
    </row>
    <row r="239" spans="13:29">
      <c r="M239" s="14"/>
      <c r="T239" s="16"/>
      <c r="U239" s="17">
        <f>IF(AND(COUNTA($A239:$L239)=0,$N239=""),"",IF($T239="Paid","PAID",IF($T239="Closed","CLOSED",IF($Z239="","",IF($Z239=6,"ESCALATED TO ROXANNE",IF(TODAY()&gt;$AB239,"OVERDUE",IF($AB239&lt;=WORKDAY(TODAY(),1,Holidays),"DUE TOMORROW",IF($Z239=4,"ESCALATED TO LOCAL OFFICE",IF($Z239=5,"ESCALATED TO CBE",IF($AA239=TODAY(),"EMAIL SENT","MONITORING"))))))))))</f>
        <v/>
      </c>
      <c r="V239" s="17">
        <f>IF($U239="",IF(AND(COUNTA($A239:$L239)&gt;0,$N239=""),"Awaiting Collection Email time stamp.",""),IF(OR($U239="PAID",$U239="CLOSED"),IF($U239="PAID","Account paid. Action completed.","Account closed. No further action required."),CHOOSE($Z239,"Collection Email","1st Email Follow-up","2nd Email Follow-up","Escalation to Local Office","Escalation to CBE","Escalation to Roxanne")&amp;" sent "&amp;TEXT($AA239,"dd-mmm")&amp;". "&amp;IF($Z239=6,"Final escalation completed.",IF($U239="OVERDUE","Next: "&amp;$AC239&amp;" was due "&amp;TEXT($AB239,"dd-mmm")&amp;" - "&amp;(NETWORKDAYS($AB239,TODAY(),Holidays)-1)&amp;" business day(s) late. Send now.",IF($U239="DUE TOMORROW","Next: "&amp;$AC239&amp;IF($AB239&lt;=TODAY()," is due TODAY ("," is due next business day (")&amp;TEXT($AB239,"dd-mmm")&amp;").","Next: "&amp;$AC239&amp;" due "&amp;TEXT($AB239,"dd-mmm")&amp;" ("&amp;(NETWORKDAYS(TODAY(),$AB239,Holidays)-1)&amp;" business day(s) left).")))))</f>
        <v/>
      </c>
      <c r="W239" s="17">
        <f>IF($Z239="","",CHOOSE($Z239,"Collection Email","1st Follow-up","2nd Follow-up","Local Office","CBE","Roxanne")&amp;IF($Z239=6," - Final"," - Day "&amp;MAX(0,NETWORKDAYS($AA239,TODAY(),Holidays)-1)&amp;" of "&amp;CHOOSE($Z239,3,3,2,2,3))&amp;" | Total Day "&amp;MAX(0,NETWORKDAYS($N239,TODAY(),Holidays)-1))</f>
        <v/>
      </c>
      <c r="X239" s="18"/>
      <c r="Y239" s="18"/>
      <c r="Z239" s="17">
        <f>IF($N239="","",COUNT($N239:$S239))</f>
        <v/>
      </c>
      <c r="AA239" s="19">
        <f>IF($Z239="","",INT(INDEX($N239:$S239,$Z239)))</f>
        <v/>
      </c>
      <c r="AB239" s="19">
        <f>IF(OR($Z239="",$Z239=6),"",WORKDAY($AA239,CHOOSE($Z239,3,3,2,2,3),Holidays))</f>
        <v/>
      </c>
      <c r="AC239" s="17">
        <f>IF(OR($Z239="",$Z239=6),"",CHOOSE($Z239,"1st Email Follow-up","2nd Email Follow-up","Escalate Local Office","Escalate to CBE","Escalate to Roxanne"))</f>
        <v/>
      </c>
    </row>
    <row r="240" spans="13:29">
      <c r="M240" s="14"/>
      <c r="T240" s="16"/>
      <c r="U240" s="17">
        <f>IF(AND(COUNTA($A240:$L240)=0,$N240=""),"",IF($T240="Paid","PAID",IF($T240="Closed","CLOSED",IF($Z240="","",IF($Z240=6,"ESCALATED TO ROXANNE",IF(TODAY()&gt;$AB240,"OVERDUE",IF($AB240&lt;=WORKDAY(TODAY(),1,Holidays),"DUE TOMORROW",IF($Z240=4,"ESCALATED TO LOCAL OFFICE",IF($Z240=5,"ESCALATED TO CBE",IF($AA240=TODAY(),"EMAIL SENT","MONITORING"))))))))))</f>
        <v/>
      </c>
      <c r="V240" s="17">
        <f>IF($U240="",IF(AND(COUNTA($A240:$L240)&gt;0,$N240=""),"Awaiting Collection Email time stamp.",""),IF(OR($U240="PAID",$U240="CLOSED"),IF($U240="PAID","Account paid. Action completed.","Account closed. No further action required."),CHOOSE($Z240,"Collection Email","1st Email Follow-up","2nd Email Follow-up","Escalation to Local Office","Escalation to CBE","Escalation to Roxanne")&amp;" sent "&amp;TEXT($AA240,"dd-mmm")&amp;". "&amp;IF($Z240=6,"Final escalation completed.",IF($U240="OVERDUE","Next: "&amp;$AC240&amp;" was due "&amp;TEXT($AB240,"dd-mmm")&amp;" - "&amp;(NETWORKDAYS($AB240,TODAY(),Holidays)-1)&amp;" business day(s) late. Send now.",IF($U240="DUE TOMORROW","Next: "&amp;$AC240&amp;IF($AB240&lt;=TODAY()," is due TODAY ("," is due next business day (")&amp;TEXT($AB240,"dd-mmm")&amp;").","Next: "&amp;$AC240&amp;" due "&amp;TEXT($AB240,"dd-mmm")&amp;" ("&amp;(NETWORKDAYS(TODAY(),$AB240,Holidays)-1)&amp;" business day(s) left).")))))</f>
        <v/>
      </c>
      <c r="W240" s="17">
        <f>IF($Z240="","",CHOOSE($Z240,"Collection Email","1st Follow-up","2nd Follow-up","Local Office","CBE","Roxanne")&amp;IF($Z240=6," - Final"," - Day "&amp;MAX(0,NETWORKDAYS($AA240,TODAY(),Holidays)-1)&amp;" of "&amp;CHOOSE($Z240,3,3,2,2,3))&amp;" | Total Day "&amp;MAX(0,NETWORKDAYS($N240,TODAY(),Holidays)-1))</f>
        <v/>
      </c>
      <c r="X240" s="18"/>
      <c r="Y240" s="18"/>
      <c r="Z240" s="17">
        <f>IF($N240="","",COUNT($N240:$S240))</f>
        <v/>
      </c>
      <c r="AA240" s="19">
        <f>IF($Z240="","",INT(INDEX($N240:$S240,$Z240)))</f>
        <v/>
      </c>
      <c r="AB240" s="19">
        <f>IF(OR($Z240="",$Z240=6),"",WORKDAY($AA240,CHOOSE($Z240,3,3,2,2,3),Holidays))</f>
        <v/>
      </c>
      <c r="AC240" s="17">
        <f>IF(OR($Z240="",$Z240=6),"",CHOOSE($Z240,"1st Email Follow-up","2nd Email Follow-up","Escalate Local Office","Escalate to CBE","Escalate to Roxanne"))</f>
        <v/>
      </c>
    </row>
    <row r="241" spans="13:29">
      <c r="M241" s="14"/>
      <c r="T241" s="16"/>
      <c r="U241" s="17">
        <f>IF(AND(COUNTA($A241:$L241)=0,$N241=""),"",IF($T241="Paid","PAID",IF($T241="Closed","CLOSED",IF($Z241="","",IF($Z241=6,"ESCALATED TO ROXANNE",IF(TODAY()&gt;$AB241,"OVERDUE",IF($AB241&lt;=WORKDAY(TODAY(),1,Holidays),"DUE TOMORROW",IF($Z241=4,"ESCALATED TO LOCAL OFFICE",IF($Z241=5,"ESCALATED TO CBE",IF($AA241=TODAY(),"EMAIL SENT","MONITORING"))))))))))</f>
        <v/>
      </c>
      <c r="V241" s="17">
        <f>IF($U241="",IF(AND(COUNTA($A241:$L241)&gt;0,$N241=""),"Awaiting Collection Email time stamp.",""),IF(OR($U241="PAID",$U241="CLOSED"),IF($U241="PAID","Account paid. Action completed.","Account closed. No further action required."),CHOOSE($Z241,"Collection Email","1st Email Follow-up","2nd Email Follow-up","Escalation to Local Office","Escalation to CBE","Escalation to Roxanne")&amp;" sent "&amp;TEXT($AA241,"dd-mmm")&amp;". "&amp;IF($Z241=6,"Final escalation completed.",IF($U241="OVERDUE","Next: "&amp;$AC241&amp;" was due "&amp;TEXT($AB241,"dd-mmm")&amp;" - "&amp;(NETWORKDAYS($AB241,TODAY(),Holidays)-1)&amp;" business day(s) late. Send now.",IF($U241="DUE TOMORROW","Next: "&amp;$AC241&amp;IF($AB241&lt;=TODAY()," is due TODAY ("," is due next business day (")&amp;TEXT($AB241,"dd-mmm")&amp;").","Next: "&amp;$AC241&amp;" due "&amp;TEXT($AB241,"dd-mmm")&amp;" ("&amp;(NETWORKDAYS(TODAY(),$AB241,Holidays)-1)&amp;" business day(s) left).")))))</f>
        <v/>
      </c>
      <c r="W241" s="17">
        <f>IF($Z241="","",CHOOSE($Z241,"Collection Email","1st Follow-up","2nd Follow-up","Local Office","CBE","Roxanne")&amp;IF($Z241=6," - Final"," - Day "&amp;MAX(0,NETWORKDAYS($AA241,TODAY(),Holidays)-1)&amp;" of "&amp;CHOOSE($Z241,3,3,2,2,3))&amp;" | Total Day "&amp;MAX(0,NETWORKDAYS($N241,TODAY(),Holidays)-1))</f>
        <v/>
      </c>
      <c r="X241" s="18"/>
      <c r="Y241" s="18"/>
      <c r="Z241" s="17">
        <f>IF($N241="","",COUNT($N241:$S241))</f>
        <v/>
      </c>
      <c r="AA241" s="19">
        <f>IF($Z241="","",INT(INDEX($N241:$S241,$Z241)))</f>
        <v/>
      </c>
      <c r="AB241" s="19">
        <f>IF(OR($Z241="",$Z241=6),"",WORKDAY($AA241,CHOOSE($Z241,3,3,2,2,3),Holidays))</f>
        <v/>
      </c>
      <c r="AC241" s="17">
        <f>IF(OR($Z241="",$Z241=6),"",CHOOSE($Z241,"1st Email Follow-up","2nd Email Follow-up","Escalate Local Office","Escalate to CBE","Escalate to Roxanne"))</f>
        <v/>
      </c>
    </row>
    <row r="242" spans="13:29">
      <c r="M242" s="14"/>
      <c r="T242" s="16"/>
      <c r="U242" s="17">
        <f>IF(AND(COUNTA($A242:$L242)=0,$N242=""),"",IF($T242="Paid","PAID",IF($T242="Closed","CLOSED",IF($Z242="","",IF($Z242=6,"ESCALATED TO ROXANNE",IF(TODAY()&gt;$AB242,"OVERDUE",IF($AB242&lt;=WORKDAY(TODAY(),1,Holidays),"DUE TOMORROW",IF($Z242=4,"ESCALATED TO LOCAL OFFICE",IF($Z242=5,"ESCALATED TO CBE",IF($AA242=TODAY(),"EMAIL SENT","MONITORING"))))))))))</f>
        <v/>
      </c>
      <c r="V242" s="17">
        <f>IF($U242="",IF(AND(COUNTA($A242:$L242)&gt;0,$N242=""),"Awaiting Collection Email time stamp.",""),IF(OR($U242="PAID",$U242="CLOSED"),IF($U242="PAID","Account paid. Action completed.","Account closed. No further action required."),CHOOSE($Z242,"Collection Email","1st Email Follow-up","2nd Email Follow-up","Escalation to Local Office","Escalation to CBE","Escalation to Roxanne")&amp;" sent "&amp;TEXT($AA242,"dd-mmm")&amp;". "&amp;IF($Z242=6,"Final escalation completed.",IF($U242="OVERDUE","Next: "&amp;$AC242&amp;" was due "&amp;TEXT($AB242,"dd-mmm")&amp;" - "&amp;(NETWORKDAYS($AB242,TODAY(),Holidays)-1)&amp;" business day(s) late. Send now.",IF($U242="DUE TOMORROW","Next: "&amp;$AC242&amp;IF($AB242&lt;=TODAY()," is due TODAY ("," is due next business day (")&amp;TEXT($AB242,"dd-mmm")&amp;").","Next: "&amp;$AC242&amp;" due "&amp;TEXT($AB242,"dd-mmm")&amp;" ("&amp;(NETWORKDAYS(TODAY(),$AB242,Holidays)-1)&amp;" business day(s) left).")))))</f>
        <v/>
      </c>
      <c r="W242" s="17">
        <f>IF($Z242="","",CHOOSE($Z242,"Collection Email","1st Follow-up","2nd Follow-up","Local Office","CBE","Roxanne")&amp;IF($Z242=6," - Final"," - Day "&amp;MAX(0,NETWORKDAYS($AA242,TODAY(),Holidays)-1)&amp;" of "&amp;CHOOSE($Z242,3,3,2,2,3))&amp;" | Total Day "&amp;MAX(0,NETWORKDAYS($N242,TODAY(),Holidays)-1))</f>
        <v/>
      </c>
      <c r="X242" s="18"/>
      <c r="Y242" s="18"/>
      <c r="Z242" s="17">
        <f>IF($N242="","",COUNT($N242:$S242))</f>
        <v/>
      </c>
      <c r="AA242" s="19">
        <f>IF($Z242="","",INT(INDEX($N242:$S242,$Z242)))</f>
        <v/>
      </c>
      <c r="AB242" s="19">
        <f>IF(OR($Z242="",$Z242=6),"",WORKDAY($AA242,CHOOSE($Z242,3,3,2,2,3),Holidays))</f>
        <v/>
      </c>
      <c r="AC242" s="17">
        <f>IF(OR($Z242="",$Z242=6),"",CHOOSE($Z242,"1st Email Follow-up","2nd Email Follow-up","Escalate Local Office","Escalate to CBE","Escalate to Roxanne"))</f>
        <v/>
      </c>
    </row>
    <row r="243" spans="13:29">
      <c r="M243" s="14"/>
      <c r="T243" s="16"/>
      <c r="U243" s="17">
        <f>IF(AND(COUNTA($A243:$L243)=0,$N243=""),"",IF($T243="Paid","PAID",IF($T243="Closed","CLOSED",IF($Z243="","",IF($Z243=6,"ESCALATED TO ROXANNE",IF(TODAY()&gt;$AB243,"OVERDUE",IF($AB243&lt;=WORKDAY(TODAY(),1,Holidays),"DUE TOMORROW",IF($Z243=4,"ESCALATED TO LOCAL OFFICE",IF($Z243=5,"ESCALATED TO CBE",IF($AA243=TODAY(),"EMAIL SENT","MONITORING"))))))))))</f>
        <v/>
      </c>
      <c r="V243" s="17">
        <f>IF($U243="",IF(AND(COUNTA($A243:$L243)&gt;0,$N243=""),"Awaiting Collection Email time stamp.",""),IF(OR($U243="PAID",$U243="CLOSED"),IF($U243="PAID","Account paid. Action completed.","Account closed. No further action required."),CHOOSE($Z243,"Collection Email","1st Email Follow-up","2nd Email Follow-up","Escalation to Local Office","Escalation to CBE","Escalation to Roxanne")&amp;" sent "&amp;TEXT($AA243,"dd-mmm")&amp;". "&amp;IF($Z243=6,"Final escalation completed.",IF($U243="OVERDUE","Next: "&amp;$AC243&amp;" was due "&amp;TEXT($AB243,"dd-mmm")&amp;" - "&amp;(NETWORKDAYS($AB243,TODAY(),Holidays)-1)&amp;" business day(s) late. Send now.",IF($U243="DUE TOMORROW","Next: "&amp;$AC243&amp;IF($AB243&lt;=TODAY()," is due TODAY ("," is due next business day (")&amp;TEXT($AB243,"dd-mmm")&amp;").","Next: "&amp;$AC243&amp;" due "&amp;TEXT($AB243,"dd-mmm")&amp;" ("&amp;(NETWORKDAYS(TODAY(),$AB243,Holidays)-1)&amp;" business day(s) left).")))))</f>
        <v/>
      </c>
      <c r="W243" s="17">
        <f>IF($Z243="","",CHOOSE($Z243,"Collection Email","1st Follow-up","2nd Follow-up","Local Office","CBE","Roxanne")&amp;IF($Z243=6," - Final"," - Day "&amp;MAX(0,NETWORKDAYS($AA243,TODAY(),Holidays)-1)&amp;" of "&amp;CHOOSE($Z243,3,3,2,2,3))&amp;" | Total Day "&amp;MAX(0,NETWORKDAYS($N243,TODAY(),Holidays)-1))</f>
        <v/>
      </c>
      <c r="X243" s="18"/>
      <c r="Y243" s="18"/>
      <c r="Z243" s="17">
        <f>IF($N243="","",COUNT($N243:$S243))</f>
        <v/>
      </c>
      <c r="AA243" s="19">
        <f>IF($Z243="","",INT(INDEX($N243:$S243,$Z243)))</f>
        <v/>
      </c>
      <c r="AB243" s="19">
        <f>IF(OR($Z243="",$Z243=6),"",WORKDAY($AA243,CHOOSE($Z243,3,3,2,2,3),Holidays))</f>
        <v/>
      </c>
      <c r="AC243" s="17">
        <f>IF(OR($Z243="",$Z243=6),"",CHOOSE($Z243,"1st Email Follow-up","2nd Email Follow-up","Escalate Local Office","Escalate to CBE","Escalate to Roxanne"))</f>
        <v/>
      </c>
    </row>
    <row r="244" spans="13:29">
      <c r="M244" s="14"/>
      <c r="T244" s="16"/>
      <c r="U244" s="17">
        <f>IF(AND(COUNTA($A244:$L244)=0,$N244=""),"",IF($T244="Paid","PAID",IF($T244="Closed","CLOSED",IF($Z244="","",IF($Z244=6,"ESCALATED TO ROXANNE",IF(TODAY()&gt;$AB244,"OVERDUE",IF($AB244&lt;=WORKDAY(TODAY(),1,Holidays),"DUE TOMORROW",IF($Z244=4,"ESCALATED TO LOCAL OFFICE",IF($Z244=5,"ESCALATED TO CBE",IF($AA244=TODAY(),"EMAIL SENT","MONITORING"))))))))))</f>
        <v/>
      </c>
      <c r="V244" s="17">
        <f>IF($U244="",IF(AND(COUNTA($A244:$L244)&gt;0,$N244=""),"Awaiting Collection Email time stamp.",""),IF(OR($U244="PAID",$U244="CLOSED"),IF($U244="PAID","Account paid. Action completed.","Account closed. No further action required."),CHOOSE($Z244,"Collection Email","1st Email Follow-up","2nd Email Follow-up","Escalation to Local Office","Escalation to CBE","Escalation to Roxanne")&amp;" sent "&amp;TEXT($AA244,"dd-mmm")&amp;". "&amp;IF($Z244=6,"Final escalation completed.",IF($U244="OVERDUE","Next: "&amp;$AC244&amp;" was due "&amp;TEXT($AB244,"dd-mmm")&amp;" - "&amp;(NETWORKDAYS($AB244,TODAY(),Holidays)-1)&amp;" business day(s) late. Send now.",IF($U244="DUE TOMORROW","Next: "&amp;$AC244&amp;IF($AB244&lt;=TODAY()," is due TODAY ("," is due next business day (")&amp;TEXT($AB244,"dd-mmm")&amp;").","Next: "&amp;$AC244&amp;" due "&amp;TEXT($AB244,"dd-mmm")&amp;" ("&amp;(NETWORKDAYS(TODAY(),$AB244,Holidays)-1)&amp;" business day(s) left).")))))</f>
        <v/>
      </c>
      <c r="W244" s="17">
        <f>IF($Z244="","",CHOOSE($Z244,"Collection Email","1st Follow-up","2nd Follow-up","Local Office","CBE","Roxanne")&amp;IF($Z244=6," - Final"," - Day "&amp;MAX(0,NETWORKDAYS($AA244,TODAY(),Holidays)-1)&amp;" of "&amp;CHOOSE($Z244,3,3,2,2,3))&amp;" | Total Day "&amp;MAX(0,NETWORKDAYS($N244,TODAY(),Holidays)-1))</f>
        <v/>
      </c>
      <c r="X244" s="18"/>
      <c r="Y244" s="18"/>
      <c r="Z244" s="17">
        <f>IF($N244="","",COUNT($N244:$S244))</f>
        <v/>
      </c>
      <c r="AA244" s="19">
        <f>IF($Z244="","",INT(INDEX($N244:$S244,$Z244)))</f>
        <v/>
      </c>
      <c r="AB244" s="19">
        <f>IF(OR($Z244="",$Z244=6),"",WORKDAY($AA244,CHOOSE($Z244,3,3,2,2,3),Holidays))</f>
        <v/>
      </c>
      <c r="AC244" s="17">
        <f>IF(OR($Z244="",$Z244=6),"",CHOOSE($Z244,"1st Email Follow-up","2nd Email Follow-up","Escalate Local Office","Escalate to CBE","Escalate to Roxanne"))</f>
        <v/>
      </c>
    </row>
    <row r="245" spans="13:29">
      <c r="M245" s="14"/>
      <c r="T245" s="16"/>
      <c r="U245" s="17">
        <f>IF(AND(COUNTA($A245:$L245)=0,$N245=""),"",IF($T245="Paid","PAID",IF($T245="Closed","CLOSED",IF($Z245="","",IF($Z245=6,"ESCALATED TO ROXANNE",IF(TODAY()&gt;$AB245,"OVERDUE",IF($AB245&lt;=WORKDAY(TODAY(),1,Holidays),"DUE TOMORROW",IF($Z245=4,"ESCALATED TO LOCAL OFFICE",IF($Z245=5,"ESCALATED TO CBE",IF($AA245=TODAY(),"EMAIL SENT","MONITORING"))))))))))</f>
        <v/>
      </c>
      <c r="V245" s="17">
        <f>IF($U245="",IF(AND(COUNTA($A245:$L245)&gt;0,$N245=""),"Awaiting Collection Email time stamp.",""),IF(OR($U245="PAID",$U245="CLOSED"),IF($U245="PAID","Account paid. Action completed.","Account closed. No further action required."),CHOOSE($Z245,"Collection Email","1st Email Follow-up","2nd Email Follow-up","Escalation to Local Office","Escalation to CBE","Escalation to Roxanne")&amp;" sent "&amp;TEXT($AA245,"dd-mmm")&amp;". "&amp;IF($Z245=6,"Final escalation completed.",IF($U245="OVERDUE","Next: "&amp;$AC245&amp;" was due "&amp;TEXT($AB245,"dd-mmm")&amp;" - "&amp;(NETWORKDAYS($AB245,TODAY(),Holidays)-1)&amp;" business day(s) late. Send now.",IF($U245="DUE TOMORROW","Next: "&amp;$AC245&amp;IF($AB245&lt;=TODAY()," is due TODAY ("," is due next business day (")&amp;TEXT($AB245,"dd-mmm")&amp;").","Next: "&amp;$AC245&amp;" due "&amp;TEXT($AB245,"dd-mmm")&amp;" ("&amp;(NETWORKDAYS(TODAY(),$AB245,Holidays)-1)&amp;" business day(s) left).")))))</f>
        <v/>
      </c>
      <c r="W245" s="17">
        <f>IF($Z245="","",CHOOSE($Z245,"Collection Email","1st Follow-up","2nd Follow-up","Local Office","CBE","Roxanne")&amp;IF($Z245=6," - Final"," - Day "&amp;MAX(0,NETWORKDAYS($AA245,TODAY(),Holidays)-1)&amp;" of "&amp;CHOOSE($Z245,3,3,2,2,3))&amp;" | Total Day "&amp;MAX(0,NETWORKDAYS($N245,TODAY(),Holidays)-1))</f>
        <v/>
      </c>
      <c r="X245" s="18"/>
      <c r="Y245" s="18"/>
      <c r="Z245" s="17">
        <f>IF($N245="","",COUNT($N245:$S245))</f>
        <v/>
      </c>
      <c r="AA245" s="19">
        <f>IF($Z245="","",INT(INDEX($N245:$S245,$Z245)))</f>
        <v/>
      </c>
      <c r="AB245" s="19">
        <f>IF(OR($Z245="",$Z245=6),"",WORKDAY($AA245,CHOOSE($Z245,3,3,2,2,3),Holidays))</f>
        <v/>
      </c>
      <c r="AC245" s="17">
        <f>IF(OR($Z245="",$Z245=6),"",CHOOSE($Z245,"1st Email Follow-up","2nd Email Follow-up","Escalate Local Office","Escalate to CBE","Escalate to Roxanne"))</f>
        <v/>
      </c>
    </row>
    <row r="246" spans="13:29">
      <c r="M246" s="14"/>
      <c r="T246" s="16"/>
      <c r="U246" s="17">
        <f>IF(AND(COUNTA($A246:$L246)=0,$N246=""),"",IF($T246="Paid","PAID",IF($T246="Closed","CLOSED",IF($Z246="","",IF($Z246=6,"ESCALATED TO ROXANNE",IF(TODAY()&gt;$AB246,"OVERDUE",IF($AB246&lt;=WORKDAY(TODAY(),1,Holidays),"DUE TOMORROW",IF($Z246=4,"ESCALATED TO LOCAL OFFICE",IF($Z246=5,"ESCALATED TO CBE",IF($AA246=TODAY(),"EMAIL SENT","MONITORING"))))))))))</f>
        <v/>
      </c>
      <c r="V246" s="17">
        <f>IF($U246="",IF(AND(COUNTA($A246:$L246)&gt;0,$N246=""),"Awaiting Collection Email time stamp.",""),IF(OR($U246="PAID",$U246="CLOSED"),IF($U246="PAID","Account paid. Action completed.","Account closed. No further action required."),CHOOSE($Z246,"Collection Email","1st Email Follow-up","2nd Email Follow-up","Escalation to Local Office","Escalation to CBE","Escalation to Roxanne")&amp;" sent "&amp;TEXT($AA246,"dd-mmm")&amp;". "&amp;IF($Z246=6,"Final escalation completed.",IF($U246="OVERDUE","Next: "&amp;$AC246&amp;" was due "&amp;TEXT($AB246,"dd-mmm")&amp;" - "&amp;(NETWORKDAYS($AB246,TODAY(),Holidays)-1)&amp;" business day(s) late. Send now.",IF($U246="DUE TOMORROW","Next: "&amp;$AC246&amp;IF($AB246&lt;=TODAY()," is due TODAY ("," is due next business day (")&amp;TEXT($AB246,"dd-mmm")&amp;").","Next: "&amp;$AC246&amp;" due "&amp;TEXT($AB246,"dd-mmm")&amp;" ("&amp;(NETWORKDAYS(TODAY(),$AB246,Holidays)-1)&amp;" business day(s) left).")))))</f>
        <v/>
      </c>
      <c r="W246" s="17">
        <f>IF($Z246="","",CHOOSE($Z246,"Collection Email","1st Follow-up","2nd Follow-up","Local Office","CBE","Roxanne")&amp;IF($Z246=6," - Final"," - Day "&amp;MAX(0,NETWORKDAYS($AA246,TODAY(),Holidays)-1)&amp;" of "&amp;CHOOSE($Z246,3,3,2,2,3))&amp;" | Total Day "&amp;MAX(0,NETWORKDAYS($N246,TODAY(),Holidays)-1))</f>
        <v/>
      </c>
      <c r="X246" s="18"/>
      <c r="Y246" s="18"/>
      <c r="Z246" s="17">
        <f>IF($N246="","",COUNT($N246:$S246))</f>
        <v/>
      </c>
      <c r="AA246" s="19">
        <f>IF($Z246="","",INT(INDEX($N246:$S246,$Z246)))</f>
        <v/>
      </c>
      <c r="AB246" s="19">
        <f>IF(OR($Z246="",$Z246=6),"",WORKDAY($AA246,CHOOSE($Z246,3,3,2,2,3),Holidays))</f>
        <v/>
      </c>
      <c r="AC246" s="17">
        <f>IF(OR($Z246="",$Z246=6),"",CHOOSE($Z246,"1st Email Follow-up","2nd Email Follow-up","Escalate Local Office","Escalate to CBE","Escalate to Roxanne"))</f>
        <v/>
      </c>
    </row>
    <row r="247" spans="13:29">
      <c r="M247" s="14"/>
      <c r="T247" s="16"/>
      <c r="U247" s="17">
        <f>IF(AND(COUNTA($A247:$L247)=0,$N247=""),"",IF($T247="Paid","PAID",IF($T247="Closed","CLOSED",IF($Z247="","",IF($Z247=6,"ESCALATED TO ROXANNE",IF(TODAY()&gt;$AB247,"OVERDUE",IF($AB247&lt;=WORKDAY(TODAY(),1,Holidays),"DUE TOMORROW",IF($Z247=4,"ESCALATED TO LOCAL OFFICE",IF($Z247=5,"ESCALATED TO CBE",IF($AA247=TODAY(),"EMAIL SENT","MONITORING"))))))))))</f>
        <v/>
      </c>
      <c r="V247" s="17">
        <f>IF($U247="",IF(AND(COUNTA($A247:$L247)&gt;0,$N247=""),"Awaiting Collection Email time stamp.",""),IF(OR($U247="PAID",$U247="CLOSED"),IF($U247="PAID","Account paid. Action completed.","Account closed. No further action required."),CHOOSE($Z247,"Collection Email","1st Email Follow-up","2nd Email Follow-up","Escalation to Local Office","Escalation to CBE","Escalation to Roxanne")&amp;" sent "&amp;TEXT($AA247,"dd-mmm")&amp;". "&amp;IF($Z247=6,"Final escalation completed.",IF($U247="OVERDUE","Next: "&amp;$AC247&amp;" was due "&amp;TEXT($AB247,"dd-mmm")&amp;" - "&amp;(NETWORKDAYS($AB247,TODAY(),Holidays)-1)&amp;" business day(s) late. Send now.",IF($U247="DUE TOMORROW","Next: "&amp;$AC247&amp;IF($AB247&lt;=TODAY()," is due TODAY ("," is due next business day (")&amp;TEXT($AB247,"dd-mmm")&amp;").","Next: "&amp;$AC247&amp;" due "&amp;TEXT($AB247,"dd-mmm")&amp;" ("&amp;(NETWORKDAYS(TODAY(),$AB247,Holidays)-1)&amp;" business day(s) left).")))))</f>
        <v/>
      </c>
      <c r="W247" s="17">
        <f>IF($Z247="","",CHOOSE($Z247,"Collection Email","1st Follow-up","2nd Follow-up","Local Office","CBE","Roxanne")&amp;IF($Z247=6," - Final"," - Day "&amp;MAX(0,NETWORKDAYS($AA247,TODAY(),Holidays)-1)&amp;" of "&amp;CHOOSE($Z247,3,3,2,2,3))&amp;" | Total Day "&amp;MAX(0,NETWORKDAYS($N247,TODAY(),Holidays)-1))</f>
        <v/>
      </c>
      <c r="X247" s="18"/>
      <c r="Y247" s="18"/>
      <c r="Z247" s="17">
        <f>IF($N247="","",COUNT($N247:$S247))</f>
        <v/>
      </c>
      <c r="AA247" s="19">
        <f>IF($Z247="","",INT(INDEX($N247:$S247,$Z247)))</f>
        <v/>
      </c>
      <c r="AB247" s="19">
        <f>IF(OR($Z247="",$Z247=6),"",WORKDAY($AA247,CHOOSE($Z247,3,3,2,2,3),Holidays))</f>
        <v/>
      </c>
      <c r="AC247" s="17">
        <f>IF(OR($Z247="",$Z247=6),"",CHOOSE($Z247,"1st Email Follow-up","2nd Email Follow-up","Escalate Local Office","Escalate to CBE","Escalate to Roxanne"))</f>
        <v/>
      </c>
    </row>
    <row r="248" spans="13:29">
      <c r="M248" s="14"/>
      <c r="T248" s="16"/>
      <c r="U248" s="17">
        <f>IF(AND(COUNTA($A248:$L248)=0,$N248=""),"",IF($T248="Paid","PAID",IF($T248="Closed","CLOSED",IF($Z248="","",IF($Z248=6,"ESCALATED TO ROXANNE",IF(TODAY()&gt;$AB248,"OVERDUE",IF($AB248&lt;=WORKDAY(TODAY(),1,Holidays),"DUE TOMORROW",IF($Z248=4,"ESCALATED TO LOCAL OFFICE",IF($Z248=5,"ESCALATED TO CBE",IF($AA248=TODAY(),"EMAIL SENT","MONITORING"))))))))))</f>
        <v/>
      </c>
      <c r="V248" s="17">
        <f>IF($U248="",IF(AND(COUNTA($A248:$L248)&gt;0,$N248=""),"Awaiting Collection Email time stamp.",""),IF(OR($U248="PAID",$U248="CLOSED"),IF($U248="PAID","Account paid. Action completed.","Account closed. No further action required."),CHOOSE($Z248,"Collection Email","1st Email Follow-up","2nd Email Follow-up","Escalation to Local Office","Escalation to CBE","Escalation to Roxanne")&amp;" sent "&amp;TEXT($AA248,"dd-mmm")&amp;". "&amp;IF($Z248=6,"Final escalation completed.",IF($U248="OVERDUE","Next: "&amp;$AC248&amp;" was due "&amp;TEXT($AB248,"dd-mmm")&amp;" - "&amp;(NETWORKDAYS($AB248,TODAY(),Holidays)-1)&amp;" business day(s) late. Send now.",IF($U248="DUE TOMORROW","Next: "&amp;$AC248&amp;IF($AB248&lt;=TODAY()," is due TODAY ("," is due next business day (")&amp;TEXT($AB248,"dd-mmm")&amp;").","Next: "&amp;$AC248&amp;" due "&amp;TEXT($AB248,"dd-mmm")&amp;" ("&amp;(NETWORKDAYS(TODAY(),$AB248,Holidays)-1)&amp;" business day(s) left).")))))</f>
        <v/>
      </c>
      <c r="W248" s="17">
        <f>IF($Z248="","",CHOOSE($Z248,"Collection Email","1st Follow-up","2nd Follow-up","Local Office","CBE","Roxanne")&amp;IF($Z248=6," - Final"," - Day "&amp;MAX(0,NETWORKDAYS($AA248,TODAY(),Holidays)-1)&amp;" of "&amp;CHOOSE($Z248,3,3,2,2,3))&amp;" | Total Day "&amp;MAX(0,NETWORKDAYS($N248,TODAY(),Holidays)-1))</f>
        <v/>
      </c>
      <c r="X248" s="18"/>
      <c r="Y248" s="18"/>
      <c r="Z248" s="17">
        <f>IF($N248="","",COUNT($N248:$S248))</f>
        <v/>
      </c>
      <c r="AA248" s="19">
        <f>IF($Z248="","",INT(INDEX($N248:$S248,$Z248)))</f>
        <v/>
      </c>
      <c r="AB248" s="19">
        <f>IF(OR($Z248="",$Z248=6),"",WORKDAY($AA248,CHOOSE($Z248,3,3,2,2,3),Holidays))</f>
        <v/>
      </c>
      <c r="AC248" s="17">
        <f>IF(OR($Z248="",$Z248=6),"",CHOOSE($Z248,"1st Email Follow-up","2nd Email Follow-up","Escalate Local Office","Escalate to CBE","Escalate to Roxanne"))</f>
        <v/>
      </c>
    </row>
    <row r="249" spans="13:29">
      <c r="M249" s="14"/>
      <c r="T249" s="16"/>
      <c r="U249" s="17">
        <f>IF(AND(COUNTA($A249:$L249)=0,$N249=""),"",IF($T249="Paid","PAID",IF($T249="Closed","CLOSED",IF($Z249="","",IF($Z249=6,"ESCALATED TO ROXANNE",IF(TODAY()&gt;$AB249,"OVERDUE",IF($AB249&lt;=WORKDAY(TODAY(),1,Holidays),"DUE TOMORROW",IF($Z249=4,"ESCALATED TO LOCAL OFFICE",IF($Z249=5,"ESCALATED TO CBE",IF($AA249=TODAY(),"EMAIL SENT","MONITORING"))))))))))</f>
        <v/>
      </c>
      <c r="V249" s="17">
        <f>IF($U249="",IF(AND(COUNTA($A249:$L249)&gt;0,$N249=""),"Awaiting Collection Email time stamp.",""),IF(OR($U249="PAID",$U249="CLOSED"),IF($U249="PAID","Account paid. Action completed.","Account closed. No further action required."),CHOOSE($Z249,"Collection Email","1st Email Follow-up","2nd Email Follow-up","Escalation to Local Office","Escalation to CBE","Escalation to Roxanne")&amp;" sent "&amp;TEXT($AA249,"dd-mmm")&amp;". "&amp;IF($Z249=6,"Final escalation completed.",IF($U249="OVERDUE","Next: "&amp;$AC249&amp;" was due "&amp;TEXT($AB249,"dd-mmm")&amp;" - "&amp;(NETWORKDAYS($AB249,TODAY(),Holidays)-1)&amp;" business day(s) late. Send now.",IF($U249="DUE TOMORROW","Next: "&amp;$AC249&amp;IF($AB249&lt;=TODAY()," is due TODAY ("," is due next business day (")&amp;TEXT($AB249,"dd-mmm")&amp;").","Next: "&amp;$AC249&amp;" due "&amp;TEXT($AB249,"dd-mmm")&amp;" ("&amp;(NETWORKDAYS(TODAY(),$AB249,Holidays)-1)&amp;" business day(s) left).")))))</f>
        <v/>
      </c>
      <c r="W249" s="17">
        <f>IF($Z249="","",CHOOSE($Z249,"Collection Email","1st Follow-up","2nd Follow-up","Local Office","CBE","Roxanne")&amp;IF($Z249=6," - Final"," - Day "&amp;MAX(0,NETWORKDAYS($AA249,TODAY(),Holidays)-1)&amp;" of "&amp;CHOOSE($Z249,3,3,2,2,3))&amp;" | Total Day "&amp;MAX(0,NETWORKDAYS($N249,TODAY(),Holidays)-1))</f>
        <v/>
      </c>
      <c r="X249" s="18"/>
      <c r="Y249" s="18"/>
      <c r="Z249" s="17">
        <f>IF($N249="","",COUNT($N249:$S249))</f>
        <v/>
      </c>
      <c r="AA249" s="19">
        <f>IF($Z249="","",INT(INDEX($N249:$S249,$Z249)))</f>
        <v/>
      </c>
      <c r="AB249" s="19">
        <f>IF(OR($Z249="",$Z249=6),"",WORKDAY($AA249,CHOOSE($Z249,3,3,2,2,3),Holidays))</f>
        <v/>
      </c>
      <c r="AC249" s="17">
        <f>IF(OR($Z249="",$Z249=6),"",CHOOSE($Z249,"1st Email Follow-up","2nd Email Follow-up","Escalate Local Office","Escalate to CBE","Escalate to Roxanne"))</f>
        <v/>
      </c>
    </row>
    <row r="250" spans="13:29">
      <c r="M250" s="14"/>
      <c r="T250" s="16"/>
      <c r="U250" s="17">
        <f>IF(AND(COUNTA($A250:$L250)=0,$N250=""),"",IF($T250="Paid","PAID",IF($T250="Closed","CLOSED",IF($Z250="","",IF($Z250=6,"ESCALATED TO ROXANNE",IF(TODAY()&gt;$AB250,"OVERDUE",IF($AB250&lt;=WORKDAY(TODAY(),1,Holidays),"DUE TOMORROW",IF($Z250=4,"ESCALATED TO LOCAL OFFICE",IF($Z250=5,"ESCALATED TO CBE",IF($AA250=TODAY(),"EMAIL SENT","MONITORING"))))))))))</f>
        <v/>
      </c>
      <c r="V250" s="17">
        <f>IF($U250="",IF(AND(COUNTA($A250:$L250)&gt;0,$N250=""),"Awaiting Collection Email time stamp.",""),IF(OR($U250="PAID",$U250="CLOSED"),IF($U250="PAID","Account paid. Action completed.","Account closed. No further action required."),CHOOSE($Z250,"Collection Email","1st Email Follow-up","2nd Email Follow-up","Escalation to Local Office","Escalation to CBE","Escalation to Roxanne")&amp;" sent "&amp;TEXT($AA250,"dd-mmm")&amp;". "&amp;IF($Z250=6,"Final escalation completed.",IF($U250="OVERDUE","Next: "&amp;$AC250&amp;" was due "&amp;TEXT($AB250,"dd-mmm")&amp;" - "&amp;(NETWORKDAYS($AB250,TODAY(),Holidays)-1)&amp;" business day(s) late. Send now.",IF($U250="DUE TOMORROW","Next: "&amp;$AC250&amp;IF($AB250&lt;=TODAY()," is due TODAY ("," is due next business day (")&amp;TEXT($AB250,"dd-mmm")&amp;").","Next: "&amp;$AC250&amp;" due "&amp;TEXT($AB250,"dd-mmm")&amp;" ("&amp;(NETWORKDAYS(TODAY(),$AB250,Holidays)-1)&amp;" business day(s) left).")))))</f>
        <v/>
      </c>
      <c r="W250" s="17">
        <f>IF($Z250="","",CHOOSE($Z250,"Collection Email","1st Follow-up","2nd Follow-up","Local Office","CBE","Roxanne")&amp;IF($Z250=6," - Final"," - Day "&amp;MAX(0,NETWORKDAYS($AA250,TODAY(),Holidays)-1)&amp;" of "&amp;CHOOSE($Z250,3,3,2,2,3))&amp;" | Total Day "&amp;MAX(0,NETWORKDAYS($N250,TODAY(),Holidays)-1))</f>
        <v/>
      </c>
      <c r="X250" s="18"/>
      <c r="Y250" s="18"/>
      <c r="Z250" s="17">
        <f>IF($N250="","",COUNT($N250:$S250))</f>
        <v/>
      </c>
      <c r="AA250" s="19">
        <f>IF($Z250="","",INT(INDEX($N250:$S250,$Z250)))</f>
        <v/>
      </c>
      <c r="AB250" s="19">
        <f>IF(OR($Z250="",$Z250=6),"",WORKDAY($AA250,CHOOSE($Z250,3,3,2,2,3),Holidays))</f>
        <v/>
      </c>
      <c r="AC250" s="17">
        <f>IF(OR($Z250="",$Z250=6),"",CHOOSE($Z250,"1st Email Follow-up","2nd Email Follow-up","Escalate Local Office","Escalate to CBE","Escalate to Roxanne"))</f>
        <v/>
      </c>
    </row>
    <row r="251" spans="13:29">
      <c r="M251" s="14"/>
      <c r="T251" s="16"/>
      <c r="U251" s="17">
        <f>IF(AND(COUNTA($A251:$L251)=0,$N251=""),"",IF($T251="Paid","PAID",IF($T251="Closed","CLOSED",IF($Z251="","",IF($Z251=6,"ESCALATED TO ROXANNE",IF(TODAY()&gt;$AB251,"OVERDUE",IF($AB251&lt;=WORKDAY(TODAY(),1,Holidays),"DUE TOMORROW",IF($Z251=4,"ESCALATED TO LOCAL OFFICE",IF($Z251=5,"ESCALATED TO CBE",IF($AA251=TODAY(),"EMAIL SENT","MONITORING"))))))))))</f>
        <v/>
      </c>
      <c r="V251" s="17">
        <f>IF($U251="",IF(AND(COUNTA($A251:$L251)&gt;0,$N251=""),"Awaiting Collection Email time stamp.",""),IF(OR($U251="PAID",$U251="CLOSED"),IF($U251="PAID","Account paid. Action completed.","Account closed. No further action required."),CHOOSE($Z251,"Collection Email","1st Email Follow-up","2nd Email Follow-up","Escalation to Local Office","Escalation to CBE","Escalation to Roxanne")&amp;" sent "&amp;TEXT($AA251,"dd-mmm")&amp;". "&amp;IF($Z251=6,"Final escalation completed.",IF($U251="OVERDUE","Next: "&amp;$AC251&amp;" was due "&amp;TEXT($AB251,"dd-mmm")&amp;" - "&amp;(NETWORKDAYS($AB251,TODAY(),Holidays)-1)&amp;" business day(s) late. Send now.",IF($U251="DUE TOMORROW","Next: "&amp;$AC251&amp;IF($AB251&lt;=TODAY()," is due TODAY ("," is due next business day (")&amp;TEXT($AB251,"dd-mmm")&amp;").","Next: "&amp;$AC251&amp;" due "&amp;TEXT($AB251,"dd-mmm")&amp;" ("&amp;(NETWORKDAYS(TODAY(),$AB251,Holidays)-1)&amp;" business day(s) left).")))))</f>
        <v/>
      </c>
      <c r="W251" s="17">
        <f>IF($Z251="","",CHOOSE($Z251,"Collection Email","1st Follow-up","2nd Follow-up","Local Office","CBE","Roxanne")&amp;IF($Z251=6," - Final"," - Day "&amp;MAX(0,NETWORKDAYS($AA251,TODAY(),Holidays)-1)&amp;" of "&amp;CHOOSE($Z251,3,3,2,2,3))&amp;" | Total Day "&amp;MAX(0,NETWORKDAYS($N251,TODAY(),Holidays)-1))</f>
        <v/>
      </c>
      <c r="X251" s="18"/>
      <c r="Y251" s="18"/>
      <c r="Z251" s="17">
        <f>IF($N251="","",COUNT($N251:$S251))</f>
        <v/>
      </c>
      <c r="AA251" s="19">
        <f>IF($Z251="","",INT(INDEX($N251:$S251,$Z251)))</f>
        <v/>
      </c>
      <c r="AB251" s="19">
        <f>IF(OR($Z251="",$Z251=6),"",WORKDAY($AA251,CHOOSE($Z251,3,3,2,2,3),Holidays))</f>
        <v/>
      </c>
      <c r="AC251" s="17">
        <f>IF(OR($Z251="",$Z251=6),"",CHOOSE($Z251,"1st Email Follow-up","2nd Email Follow-up","Escalate Local Office","Escalate to CBE","Escalate to Roxanne"))</f>
        <v/>
      </c>
    </row>
    <row r="252" spans="13:29">
      <c r="M252" s="14"/>
      <c r="T252" s="16"/>
      <c r="U252" s="17">
        <f>IF(AND(COUNTA($A252:$L252)=0,$N252=""),"",IF($T252="Paid","PAID",IF($T252="Closed","CLOSED",IF($Z252="","",IF($Z252=6,"ESCALATED TO ROXANNE",IF(TODAY()&gt;$AB252,"OVERDUE",IF($AB252&lt;=WORKDAY(TODAY(),1,Holidays),"DUE TOMORROW",IF($Z252=4,"ESCALATED TO LOCAL OFFICE",IF($Z252=5,"ESCALATED TO CBE",IF($AA252=TODAY(),"EMAIL SENT","MONITORING"))))))))))</f>
        <v/>
      </c>
      <c r="V252" s="17">
        <f>IF($U252="",IF(AND(COUNTA($A252:$L252)&gt;0,$N252=""),"Awaiting Collection Email time stamp.",""),IF(OR($U252="PAID",$U252="CLOSED"),IF($U252="PAID","Account paid. Action completed.","Account closed. No further action required."),CHOOSE($Z252,"Collection Email","1st Email Follow-up","2nd Email Follow-up","Escalation to Local Office","Escalation to CBE","Escalation to Roxanne")&amp;" sent "&amp;TEXT($AA252,"dd-mmm")&amp;". "&amp;IF($Z252=6,"Final escalation completed.",IF($U252="OVERDUE","Next: "&amp;$AC252&amp;" was due "&amp;TEXT($AB252,"dd-mmm")&amp;" - "&amp;(NETWORKDAYS($AB252,TODAY(),Holidays)-1)&amp;" business day(s) late. Send now.",IF($U252="DUE TOMORROW","Next: "&amp;$AC252&amp;IF($AB252&lt;=TODAY()," is due TODAY ("," is due next business day (")&amp;TEXT($AB252,"dd-mmm")&amp;").","Next: "&amp;$AC252&amp;" due "&amp;TEXT($AB252,"dd-mmm")&amp;" ("&amp;(NETWORKDAYS(TODAY(),$AB252,Holidays)-1)&amp;" business day(s) left).")))))</f>
        <v/>
      </c>
      <c r="W252" s="17">
        <f>IF($Z252="","",CHOOSE($Z252,"Collection Email","1st Follow-up","2nd Follow-up","Local Office","CBE","Roxanne")&amp;IF($Z252=6," - Final"," - Day "&amp;MAX(0,NETWORKDAYS($AA252,TODAY(),Holidays)-1)&amp;" of "&amp;CHOOSE($Z252,3,3,2,2,3))&amp;" | Total Day "&amp;MAX(0,NETWORKDAYS($N252,TODAY(),Holidays)-1))</f>
        <v/>
      </c>
      <c r="X252" s="18"/>
      <c r="Y252" s="18"/>
      <c r="Z252" s="17">
        <f>IF($N252="","",COUNT($N252:$S252))</f>
        <v/>
      </c>
      <c r="AA252" s="19">
        <f>IF($Z252="","",INT(INDEX($N252:$S252,$Z252)))</f>
        <v/>
      </c>
      <c r="AB252" s="19">
        <f>IF(OR($Z252="",$Z252=6),"",WORKDAY($AA252,CHOOSE($Z252,3,3,2,2,3),Holidays))</f>
        <v/>
      </c>
      <c r="AC252" s="17">
        <f>IF(OR($Z252="",$Z252=6),"",CHOOSE($Z252,"1st Email Follow-up","2nd Email Follow-up","Escalate Local Office","Escalate to CBE","Escalate to Roxanne"))</f>
        <v/>
      </c>
    </row>
    <row r="253" spans="13:29">
      <c r="M253" s="14"/>
      <c r="T253" s="16"/>
      <c r="U253" s="17">
        <f>IF(AND(COUNTA($A253:$L253)=0,$N253=""),"",IF($T253="Paid","PAID",IF($T253="Closed","CLOSED",IF($Z253="","",IF($Z253=6,"ESCALATED TO ROXANNE",IF(TODAY()&gt;$AB253,"OVERDUE",IF($AB253&lt;=WORKDAY(TODAY(),1,Holidays),"DUE TOMORROW",IF($Z253=4,"ESCALATED TO LOCAL OFFICE",IF($Z253=5,"ESCALATED TO CBE",IF($AA253=TODAY(),"EMAIL SENT","MONITORING"))))))))))</f>
        <v/>
      </c>
      <c r="V253" s="17">
        <f>IF($U253="",IF(AND(COUNTA($A253:$L253)&gt;0,$N253=""),"Awaiting Collection Email time stamp.",""),IF(OR($U253="PAID",$U253="CLOSED"),IF($U253="PAID","Account paid. Action completed.","Account closed. No further action required."),CHOOSE($Z253,"Collection Email","1st Email Follow-up","2nd Email Follow-up","Escalation to Local Office","Escalation to CBE","Escalation to Roxanne")&amp;" sent "&amp;TEXT($AA253,"dd-mmm")&amp;". "&amp;IF($Z253=6,"Final escalation completed.",IF($U253="OVERDUE","Next: "&amp;$AC253&amp;" was due "&amp;TEXT($AB253,"dd-mmm")&amp;" - "&amp;(NETWORKDAYS($AB253,TODAY(),Holidays)-1)&amp;" business day(s) late. Send now.",IF($U253="DUE TOMORROW","Next: "&amp;$AC253&amp;IF($AB253&lt;=TODAY()," is due TODAY ("," is due next business day (")&amp;TEXT($AB253,"dd-mmm")&amp;").","Next: "&amp;$AC253&amp;" due "&amp;TEXT($AB253,"dd-mmm")&amp;" ("&amp;(NETWORKDAYS(TODAY(),$AB253,Holidays)-1)&amp;" business day(s) left).")))))</f>
        <v/>
      </c>
      <c r="W253" s="17">
        <f>IF($Z253="","",CHOOSE($Z253,"Collection Email","1st Follow-up","2nd Follow-up","Local Office","CBE","Roxanne")&amp;IF($Z253=6," - Final"," - Day "&amp;MAX(0,NETWORKDAYS($AA253,TODAY(),Holidays)-1)&amp;" of "&amp;CHOOSE($Z253,3,3,2,2,3))&amp;" | Total Day "&amp;MAX(0,NETWORKDAYS($N253,TODAY(),Holidays)-1))</f>
        <v/>
      </c>
      <c r="X253" s="18"/>
      <c r="Y253" s="18"/>
      <c r="Z253" s="17">
        <f>IF($N253="","",COUNT($N253:$S253))</f>
        <v/>
      </c>
      <c r="AA253" s="19">
        <f>IF($Z253="","",INT(INDEX($N253:$S253,$Z253)))</f>
        <v/>
      </c>
      <c r="AB253" s="19">
        <f>IF(OR($Z253="",$Z253=6),"",WORKDAY($AA253,CHOOSE($Z253,3,3,2,2,3),Holidays))</f>
        <v/>
      </c>
      <c r="AC253" s="17">
        <f>IF(OR($Z253="",$Z253=6),"",CHOOSE($Z253,"1st Email Follow-up","2nd Email Follow-up","Escalate Local Office","Escalate to CBE","Escalate to Roxanne"))</f>
        <v/>
      </c>
    </row>
    <row r="254" spans="13:29">
      <c r="M254" s="14"/>
      <c r="T254" s="16"/>
      <c r="U254" s="17">
        <f>IF(AND(COUNTA($A254:$L254)=0,$N254=""),"",IF($T254="Paid","PAID",IF($T254="Closed","CLOSED",IF($Z254="","",IF($Z254=6,"ESCALATED TO ROXANNE",IF(TODAY()&gt;$AB254,"OVERDUE",IF($AB254&lt;=WORKDAY(TODAY(),1,Holidays),"DUE TOMORROW",IF($Z254=4,"ESCALATED TO LOCAL OFFICE",IF($Z254=5,"ESCALATED TO CBE",IF($AA254=TODAY(),"EMAIL SENT","MONITORING"))))))))))</f>
        <v/>
      </c>
      <c r="V254" s="17">
        <f>IF($U254="",IF(AND(COUNTA($A254:$L254)&gt;0,$N254=""),"Awaiting Collection Email time stamp.",""),IF(OR($U254="PAID",$U254="CLOSED"),IF($U254="PAID","Account paid. Action completed.","Account closed. No further action required."),CHOOSE($Z254,"Collection Email","1st Email Follow-up","2nd Email Follow-up","Escalation to Local Office","Escalation to CBE","Escalation to Roxanne")&amp;" sent "&amp;TEXT($AA254,"dd-mmm")&amp;". "&amp;IF($Z254=6,"Final escalation completed.",IF($U254="OVERDUE","Next: "&amp;$AC254&amp;" was due "&amp;TEXT($AB254,"dd-mmm")&amp;" - "&amp;(NETWORKDAYS($AB254,TODAY(),Holidays)-1)&amp;" business day(s) late. Send now.",IF($U254="DUE TOMORROW","Next: "&amp;$AC254&amp;IF($AB254&lt;=TODAY()," is due TODAY ("," is due next business day (")&amp;TEXT($AB254,"dd-mmm")&amp;").","Next: "&amp;$AC254&amp;" due "&amp;TEXT($AB254,"dd-mmm")&amp;" ("&amp;(NETWORKDAYS(TODAY(),$AB254,Holidays)-1)&amp;" business day(s) left).")))))</f>
        <v/>
      </c>
      <c r="W254" s="17">
        <f>IF($Z254="","",CHOOSE($Z254,"Collection Email","1st Follow-up","2nd Follow-up","Local Office","CBE","Roxanne")&amp;IF($Z254=6," - Final"," - Day "&amp;MAX(0,NETWORKDAYS($AA254,TODAY(),Holidays)-1)&amp;" of "&amp;CHOOSE($Z254,3,3,2,2,3))&amp;" | Total Day "&amp;MAX(0,NETWORKDAYS($N254,TODAY(),Holidays)-1))</f>
        <v/>
      </c>
      <c r="X254" s="18"/>
      <c r="Y254" s="18"/>
      <c r="Z254" s="17">
        <f>IF($N254="","",COUNT($N254:$S254))</f>
        <v/>
      </c>
      <c r="AA254" s="19">
        <f>IF($Z254="","",INT(INDEX($N254:$S254,$Z254)))</f>
        <v/>
      </c>
      <c r="AB254" s="19">
        <f>IF(OR($Z254="",$Z254=6),"",WORKDAY($AA254,CHOOSE($Z254,3,3,2,2,3),Holidays))</f>
        <v/>
      </c>
      <c r="AC254" s="17">
        <f>IF(OR($Z254="",$Z254=6),"",CHOOSE($Z254,"1st Email Follow-up","2nd Email Follow-up","Escalate Local Office","Escalate to CBE","Escalate to Roxanne"))</f>
        <v/>
      </c>
    </row>
    <row r="255" spans="13:29">
      <c r="M255" s="14"/>
      <c r="T255" s="16"/>
      <c r="U255" s="17">
        <f>IF(AND(COUNTA($A255:$L255)=0,$N255=""),"",IF($T255="Paid","PAID",IF($T255="Closed","CLOSED",IF($Z255="","",IF($Z255=6,"ESCALATED TO ROXANNE",IF(TODAY()&gt;$AB255,"OVERDUE",IF($AB255&lt;=WORKDAY(TODAY(),1,Holidays),"DUE TOMORROW",IF($Z255=4,"ESCALATED TO LOCAL OFFICE",IF($Z255=5,"ESCALATED TO CBE",IF($AA255=TODAY(),"EMAIL SENT","MONITORING"))))))))))</f>
        <v/>
      </c>
      <c r="V255" s="17">
        <f>IF($U255="",IF(AND(COUNTA($A255:$L255)&gt;0,$N255=""),"Awaiting Collection Email time stamp.",""),IF(OR($U255="PAID",$U255="CLOSED"),IF($U255="PAID","Account paid. Action completed.","Account closed. No further action required."),CHOOSE($Z255,"Collection Email","1st Email Follow-up","2nd Email Follow-up","Escalation to Local Office","Escalation to CBE","Escalation to Roxanne")&amp;" sent "&amp;TEXT($AA255,"dd-mmm")&amp;". "&amp;IF($Z255=6,"Final escalation completed.",IF($U255="OVERDUE","Next: "&amp;$AC255&amp;" was due "&amp;TEXT($AB255,"dd-mmm")&amp;" - "&amp;(NETWORKDAYS($AB255,TODAY(),Holidays)-1)&amp;" business day(s) late. Send now.",IF($U255="DUE TOMORROW","Next: "&amp;$AC255&amp;IF($AB255&lt;=TODAY()," is due TODAY ("," is due next business day (")&amp;TEXT($AB255,"dd-mmm")&amp;").","Next: "&amp;$AC255&amp;" due "&amp;TEXT($AB255,"dd-mmm")&amp;" ("&amp;(NETWORKDAYS(TODAY(),$AB255,Holidays)-1)&amp;" business day(s) left).")))))</f>
        <v/>
      </c>
      <c r="W255" s="17">
        <f>IF($Z255="","",CHOOSE($Z255,"Collection Email","1st Follow-up","2nd Follow-up","Local Office","CBE","Roxanne")&amp;IF($Z255=6," - Final"," - Day "&amp;MAX(0,NETWORKDAYS($AA255,TODAY(),Holidays)-1)&amp;" of "&amp;CHOOSE($Z255,3,3,2,2,3))&amp;" | Total Day "&amp;MAX(0,NETWORKDAYS($N255,TODAY(),Holidays)-1))</f>
        <v/>
      </c>
      <c r="X255" s="18"/>
      <c r="Y255" s="18"/>
      <c r="Z255" s="17">
        <f>IF($N255="","",COUNT($N255:$S255))</f>
        <v/>
      </c>
      <c r="AA255" s="19">
        <f>IF($Z255="","",INT(INDEX($N255:$S255,$Z255)))</f>
        <v/>
      </c>
      <c r="AB255" s="19">
        <f>IF(OR($Z255="",$Z255=6),"",WORKDAY($AA255,CHOOSE($Z255,3,3,2,2,3),Holidays))</f>
        <v/>
      </c>
      <c r="AC255" s="17">
        <f>IF(OR($Z255="",$Z255=6),"",CHOOSE($Z255,"1st Email Follow-up","2nd Email Follow-up","Escalate Local Office","Escalate to CBE","Escalate to Roxanne"))</f>
        <v/>
      </c>
    </row>
    <row r="256" spans="13:29">
      <c r="M256" s="14"/>
      <c r="T256" s="16"/>
      <c r="U256" s="17">
        <f>IF(AND(COUNTA($A256:$L256)=0,$N256=""),"",IF($T256="Paid","PAID",IF($T256="Closed","CLOSED",IF($Z256="","",IF($Z256=6,"ESCALATED TO ROXANNE",IF(TODAY()&gt;$AB256,"OVERDUE",IF($AB256&lt;=WORKDAY(TODAY(),1,Holidays),"DUE TOMORROW",IF($Z256=4,"ESCALATED TO LOCAL OFFICE",IF($Z256=5,"ESCALATED TO CBE",IF($AA256=TODAY(),"EMAIL SENT","MONITORING"))))))))))</f>
        <v/>
      </c>
      <c r="V256" s="17">
        <f>IF($U256="",IF(AND(COUNTA($A256:$L256)&gt;0,$N256=""),"Awaiting Collection Email time stamp.",""),IF(OR($U256="PAID",$U256="CLOSED"),IF($U256="PAID","Account paid. Action completed.","Account closed. No further action required."),CHOOSE($Z256,"Collection Email","1st Email Follow-up","2nd Email Follow-up","Escalation to Local Office","Escalation to CBE","Escalation to Roxanne")&amp;" sent "&amp;TEXT($AA256,"dd-mmm")&amp;". "&amp;IF($Z256=6,"Final escalation completed.",IF($U256="OVERDUE","Next: "&amp;$AC256&amp;" was due "&amp;TEXT($AB256,"dd-mmm")&amp;" - "&amp;(NETWORKDAYS($AB256,TODAY(),Holidays)-1)&amp;" business day(s) late. Send now.",IF($U256="DUE TOMORROW","Next: "&amp;$AC256&amp;IF($AB256&lt;=TODAY()," is due TODAY ("," is due next business day (")&amp;TEXT($AB256,"dd-mmm")&amp;").","Next: "&amp;$AC256&amp;" due "&amp;TEXT($AB256,"dd-mmm")&amp;" ("&amp;(NETWORKDAYS(TODAY(),$AB256,Holidays)-1)&amp;" business day(s) left).")))))</f>
        <v/>
      </c>
      <c r="W256" s="17">
        <f>IF($Z256="","",CHOOSE($Z256,"Collection Email","1st Follow-up","2nd Follow-up","Local Office","CBE","Roxanne")&amp;IF($Z256=6," - Final"," - Day "&amp;MAX(0,NETWORKDAYS($AA256,TODAY(),Holidays)-1)&amp;" of "&amp;CHOOSE($Z256,3,3,2,2,3))&amp;" | Total Day "&amp;MAX(0,NETWORKDAYS($N256,TODAY(),Holidays)-1))</f>
        <v/>
      </c>
      <c r="X256" s="18"/>
      <c r="Y256" s="18"/>
      <c r="Z256" s="17">
        <f>IF($N256="","",COUNT($N256:$S256))</f>
        <v/>
      </c>
      <c r="AA256" s="19">
        <f>IF($Z256="","",INT(INDEX($N256:$S256,$Z256)))</f>
        <v/>
      </c>
      <c r="AB256" s="19">
        <f>IF(OR($Z256="",$Z256=6),"",WORKDAY($AA256,CHOOSE($Z256,3,3,2,2,3),Holidays))</f>
        <v/>
      </c>
      <c r="AC256" s="17">
        <f>IF(OR($Z256="",$Z256=6),"",CHOOSE($Z256,"1st Email Follow-up","2nd Email Follow-up","Escalate Local Office","Escalate to CBE","Escalate to Roxanne"))</f>
        <v/>
      </c>
    </row>
    <row r="257" spans="13:29">
      <c r="M257" s="14"/>
      <c r="T257" s="16"/>
      <c r="U257" s="17">
        <f>IF(AND(COUNTA($A257:$L257)=0,$N257=""),"",IF($T257="Paid","PAID",IF($T257="Closed","CLOSED",IF($Z257="","",IF($Z257=6,"ESCALATED TO ROXANNE",IF(TODAY()&gt;$AB257,"OVERDUE",IF($AB257&lt;=WORKDAY(TODAY(),1,Holidays),"DUE TOMORROW",IF($Z257=4,"ESCALATED TO LOCAL OFFICE",IF($Z257=5,"ESCALATED TO CBE",IF($AA257=TODAY(),"EMAIL SENT","MONITORING"))))))))))</f>
        <v/>
      </c>
      <c r="V257" s="17">
        <f>IF($U257="",IF(AND(COUNTA($A257:$L257)&gt;0,$N257=""),"Awaiting Collection Email time stamp.",""),IF(OR($U257="PAID",$U257="CLOSED"),IF($U257="PAID","Account paid. Action completed.","Account closed. No further action required."),CHOOSE($Z257,"Collection Email","1st Email Follow-up","2nd Email Follow-up","Escalation to Local Office","Escalation to CBE","Escalation to Roxanne")&amp;" sent "&amp;TEXT($AA257,"dd-mmm")&amp;". "&amp;IF($Z257=6,"Final escalation completed.",IF($U257="OVERDUE","Next: "&amp;$AC257&amp;" was due "&amp;TEXT($AB257,"dd-mmm")&amp;" - "&amp;(NETWORKDAYS($AB257,TODAY(),Holidays)-1)&amp;" business day(s) late. Send now.",IF($U257="DUE TOMORROW","Next: "&amp;$AC257&amp;IF($AB257&lt;=TODAY()," is due TODAY ("," is due next business day (")&amp;TEXT($AB257,"dd-mmm")&amp;").","Next: "&amp;$AC257&amp;" due "&amp;TEXT($AB257,"dd-mmm")&amp;" ("&amp;(NETWORKDAYS(TODAY(),$AB257,Holidays)-1)&amp;" business day(s) left).")))))</f>
        <v/>
      </c>
      <c r="W257" s="17">
        <f>IF($Z257="","",CHOOSE($Z257,"Collection Email","1st Follow-up","2nd Follow-up","Local Office","CBE","Roxanne")&amp;IF($Z257=6," - Final"," - Day "&amp;MAX(0,NETWORKDAYS($AA257,TODAY(),Holidays)-1)&amp;" of "&amp;CHOOSE($Z257,3,3,2,2,3))&amp;" | Total Day "&amp;MAX(0,NETWORKDAYS($N257,TODAY(),Holidays)-1))</f>
        <v/>
      </c>
      <c r="X257" s="18"/>
      <c r="Y257" s="18"/>
      <c r="Z257" s="17">
        <f>IF($N257="","",COUNT($N257:$S257))</f>
        <v/>
      </c>
      <c r="AA257" s="19">
        <f>IF($Z257="","",INT(INDEX($N257:$S257,$Z257)))</f>
        <v/>
      </c>
      <c r="AB257" s="19">
        <f>IF(OR($Z257="",$Z257=6),"",WORKDAY($AA257,CHOOSE($Z257,3,3,2,2,3),Holidays))</f>
        <v/>
      </c>
      <c r="AC257" s="17">
        <f>IF(OR($Z257="",$Z257=6),"",CHOOSE($Z257,"1st Email Follow-up","2nd Email Follow-up","Escalate Local Office","Escalate to CBE","Escalate to Roxanne"))</f>
        <v/>
      </c>
    </row>
    <row r="258" spans="13:29">
      <c r="M258" s="14"/>
      <c r="T258" s="16"/>
      <c r="U258" s="17">
        <f>IF(AND(COUNTA($A258:$L258)=0,$N258=""),"",IF($T258="Paid","PAID",IF($T258="Closed","CLOSED",IF($Z258="","",IF($Z258=6,"ESCALATED TO ROXANNE",IF(TODAY()&gt;$AB258,"OVERDUE",IF($AB258&lt;=WORKDAY(TODAY(),1,Holidays),"DUE TOMORROW",IF($Z258=4,"ESCALATED TO LOCAL OFFICE",IF($Z258=5,"ESCALATED TO CBE",IF($AA258=TODAY(),"EMAIL SENT","MONITORING"))))))))))</f>
        <v/>
      </c>
      <c r="V258" s="17">
        <f>IF($U258="",IF(AND(COUNTA($A258:$L258)&gt;0,$N258=""),"Awaiting Collection Email time stamp.",""),IF(OR($U258="PAID",$U258="CLOSED"),IF($U258="PAID","Account paid. Action completed.","Account closed. No further action required."),CHOOSE($Z258,"Collection Email","1st Email Follow-up","2nd Email Follow-up","Escalation to Local Office","Escalation to CBE","Escalation to Roxanne")&amp;" sent "&amp;TEXT($AA258,"dd-mmm")&amp;". "&amp;IF($Z258=6,"Final escalation completed.",IF($U258="OVERDUE","Next: "&amp;$AC258&amp;" was due "&amp;TEXT($AB258,"dd-mmm")&amp;" - "&amp;(NETWORKDAYS($AB258,TODAY(),Holidays)-1)&amp;" business day(s) late. Send now.",IF($U258="DUE TOMORROW","Next: "&amp;$AC258&amp;IF($AB258&lt;=TODAY()," is due TODAY ("," is due next business day (")&amp;TEXT($AB258,"dd-mmm")&amp;").","Next: "&amp;$AC258&amp;" due "&amp;TEXT($AB258,"dd-mmm")&amp;" ("&amp;(NETWORKDAYS(TODAY(),$AB258,Holidays)-1)&amp;" business day(s) left).")))))</f>
        <v/>
      </c>
      <c r="W258" s="17">
        <f>IF($Z258="","",CHOOSE($Z258,"Collection Email","1st Follow-up","2nd Follow-up","Local Office","CBE","Roxanne")&amp;IF($Z258=6," - Final"," - Day "&amp;MAX(0,NETWORKDAYS($AA258,TODAY(),Holidays)-1)&amp;" of "&amp;CHOOSE($Z258,3,3,2,2,3))&amp;" | Total Day "&amp;MAX(0,NETWORKDAYS($N258,TODAY(),Holidays)-1))</f>
        <v/>
      </c>
      <c r="X258" s="18"/>
      <c r="Y258" s="18"/>
      <c r="Z258" s="17">
        <f>IF($N258="","",COUNT($N258:$S258))</f>
        <v/>
      </c>
      <c r="AA258" s="19">
        <f>IF($Z258="","",INT(INDEX($N258:$S258,$Z258)))</f>
        <v/>
      </c>
      <c r="AB258" s="19">
        <f>IF(OR($Z258="",$Z258=6),"",WORKDAY($AA258,CHOOSE($Z258,3,3,2,2,3),Holidays))</f>
        <v/>
      </c>
      <c r="AC258" s="17">
        <f>IF(OR($Z258="",$Z258=6),"",CHOOSE($Z258,"1st Email Follow-up","2nd Email Follow-up","Escalate Local Office","Escalate to CBE","Escalate to Roxanne"))</f>
        <v/>
      </c>
    </row>
    <row r="259" spans="13:29">
      <c r="M259" s="14"/>
      <c r="T259" s="16"/>
      <c r="U259" s="17">
        <f>IF(AND(COUNTA($A259:$L259)=0,$N259=""),"",IF($T259="Paid","PAID",IF($T259="Closed","CLOSED",IF($Z259="","",IF($Z259=6,"ESCALATED TO ROXANNE",IF(TODAY()&gt;$AB259,"OVERDUE",IF($AB259&lt;=WORKDAY(TODAY(),1,Holidays),"DUE TOMORROW",IF($Z259=4,"ESCALATED TO LOCAL OFFICE",IF($Z259=5,"ESCALATED TO CBE",IF($AA259=TODAY(),"EMAIL SENT","MONITORING"))))))))))</f>
        <v/>
      </c>
      <c r="V259" s="17">
        <f>IF($U259="",IF(AND(COUNTA($A259:$L259)&gt;0,$N259=""),"Awaiting Collection Email time stamp.",""),IF(OR($U259="PAID",$U259="CLOSED"),IF($U259="PAID","Account paid. Action completed.","Account closed. No further action required."),CHOOSE($Z259,"Collection Email","1st Email Follow-up","2nd Email Follow-up","Escalation to Local Office","Escalation to CBE","Escalation to Roxanne")&amp;" sent "&amp;TEXT($AA259,"dd-mmm")&amp;". "&amp;IF($Z259=6,"Final escalation completed.",IF($U259="OVERDUE","Next: "&amp;$AC259&amp;" was due "&amp;TEXT($AB259,"dd-mmm")&amp;" - "&amp;(NETWORKDAYS($AB259,TODAY(),Holidays)-1)&amp;" business day(s) late. Send now.",IF($U259="DUE TOMORROW","Next: "&amp;$AC259&amp;IF($AB259&lt;=TODAY()," is due TODAY ("," is due next business day (")&amp;TEXT($AB259,"dd-mmm")&amp;").","Next: "&amp;$AC259&amp;" due "&amp;TEXT($AB259,"dd-mmm")&amp;" ("&amp;(NETWORKDAYS(TODAY(),$AB259,Holidays)-1)&amp;" business day(s) left).")))))</f>
        <v/>
      </c>
      <c r="W259" s="17">
        <f>IF($Z259="","",CHOOSE($Z259,"Collection Email","1st Follow-up","2nd Follow-up","Local Office","CBE","Roxanne")&amp;IF($Z259=6," - Final"," - Day "&amp;MAX(0,NETWORKDAYS($AA259,TODAY(),Holidays)-1)&amp;" of "&amp;CHOOSE($Z259,3,3,2,2,3))&amp;" | Total Day "&amp;MAX(0,NETWORKDAYS($N259,TODAY(),Holidays)-1))</f>
        <v/>
      </c>
      <c r="X259" s="18"/>
      <c r="Y259" s="18"/>
      <c r="Z259" s="17">
        <f>IF($N259="","",COUNT($N259:$S259))</f>
        <v/>
      </c>
      <c r="AA259" s="19">
        <f>IF($Z259="","",INT(INDEX($N259:$S259,$Z259)))</f>
        <v/>
      </c>
      <c r="AB259" s="19">
        <f>IF(OR($Z259="",$Z259=6),"",WORKDAY($AA259,CHOOSE($Z259,3,3,2,2,3),Holidays))</f>
        <v/>
      </c>
      <c r="AC259" s="17">
        <f>IF(OR($Z259="",$Z259=6),"",CHOOSE($Z259,"1st Email Follow-up","2nd Email Follow-up","Escalate Local Office","Escalate to CBE","Escalate to Roxanne"))</f>
        <v/>
      </c>
    </row>
    <row r="260" spans="13:29">
      <c r="M260" s="14"/>
      <c r="T260" s="16"/>
      <c r="U260" s="17">
        <f>IF(AND(COUNTA($A260:$L260)=0,$N260=""),"",IF($T260="Paid","PAID",IF($T260="Closed","CLOSED",IF($Z260="","",IF($Z260=6,"ESCALATED TO ROXANNE",IF(TODAY()&gt;$AB260,"OVERDUE",IF($AB260&lt;=WORKDAY(TODAY(),1,Holidays),"DUE TOMORROW",IF($Z260=4,"ESCALATED TO LOCAL OFFICE",IF($Z260=5,"ESCALATED TO CBE",IF($AA260=TODAY(),"EMAIL SENT","MONITORING"))))))))))</f>
        <v/>
      </c>
      <c r="V260" s="17">
        <f>IF($U260="",IF(AND(COUNTA($A260:$L260)&gt;0,$N260=""),"Awaiting Collection Email time stamp.",""),IF(OR($U260="PAID",$U260="CLOSED"),IF($U260="PAID","Account paid. Action completed.","Account closed. No further action required."),CHOOSE($Z260,"Collection Email","1st Email Follow-up","2nd Email Follow-up","Escalation to Local Office","Escalation to CBE","Escalation to Roxanne")&amp;" sent "&amp;TEXT($AA260,"dd-mmm")&amp;". "&amp;IF($Z260=6,"Final escalation completed.",IF($U260="OVERDUE","Next: "&amp;$AC260&amp;" was due "&amp;TEXT($AB260,"dd-mmm")&amp;" - "&amp;(NETWORKDAYS($AB260,TODAY(),Holidays)-1)&amp;" business day(s) late. Send now.",IF($U260="DUE TOMORROW","Next: "&amp;$AC260&amp;IF($AB260&lt;=TODAY()," is due TODAY ("," is due next business day (")&amp;TEXT($AB260,"dd-mmm")&amp;").","Next: "&amp;$AC260&amp;" due "&amp;TEXT($AB260,"dd-mmm")&amp;" ("&amp;(NETWORKDAYS(TODAY(),$AB260,Holidays)-1)&amp;" business day(s) left).")))))</f>
        <v/>
      </c>
      <c r="W260" s="17">
        <f>IF($Z260="","",CHOOSE($Z260,"Collection Email","1st Follow-up","2nd Follow-up","Local Office","CBE","Roxanne")&amp;IF($Z260=6," - Final"," - Day "&amp;MAX(0,NETWORKDAYS($AA260,TODAY(),Holidays)-1)&amp;" of "&amp;CHOOSE($Z260,3,3,2,2,3))&amp;" | Total Day "&amp;MAX(0,NETWORKDAYS($N260,TODAY(),Holidays)-1))</f>
        <v/>
      </c>
      <c r="X260" s="18"/>
      <c r="Y260" s="18"/>
      <c r="Z260" s="17">
        <f>IF($N260="","",COUNT($N260:$S260))</f>
        <v/>
      </c>
      <c r="AA260" s="19">
        <f>IF($Z260="","",INT(INDEX($N260:$S260,$Z260)))</f>
        <v/>
      </c>
      <c r="AB260" s="19">
        <f>IF(OR($Z260="",$Z260=6),"",WORKDAY($AA260,CHOOSE($Z260,3,3,2,2,3),Holidays))</f>
        <v/>
      </c>
      <c r="AC260" s="17">
        <f>IF(OR($Z260="",$Z260=6),"",CHOOSE($Z260,"1st Email Follow-up","2nd Email Follow-up","Escalate Local Office","Escalate to CBE","Escalate to Roxanne"))</f>
        <v/>
      </c>
    </row>
    <row r="261" spans="13:29">
      <c r="M261" s="14"/>
      <c r="T261" s="16"/>
      <c r="U261" s="17">
        <f>IF(AND(COUNTA($A261:$L261)=0,$N261=""),"",IF($T261="Paid","PAID",IF($T261="Closed","CLOSED",IF($Z261="","",IF($Z261=6,"ESCALATED TO ROXANNE",IF(TODAY()&gt;$AB261,"OVERDUE",IF($AB261&lt;=WORKDAY(TODAY(),1,Holidays),"DUE TOMORROW",IF($Z261=4,"ESCALATED TO LOCAL OFFICE",IF($Z261=5,"ESCALATED TO CBE",IF($AA261=TODAY(),"EMAIL SENT","MONITORING"))))))))))</f>
        <v/>
      </c>
      <c r="V261" s="17">
        <f>IF($U261="",IF(AND(COUNTA($A261:$L261)&gt;0,$N261=""),"Awaiting Collection Email time stamp.",""),IF(OR($U261="PAID",$U261="CLOSED"),IF($U261="PAID","Account paid. Action completed.","Account closed. No further action required."),CHOOSE($Z261,"Collection Email","1st Email Follow-up","2nd Email Follow-up","Escalation to Local Office","Escalation to CBE","Escalation to Roxanne")&amp;" sent "&amp;TEXT($AA261,"dd-mmm")&amp;". "&amp;IF($Z261=6,"Final escalation completed.",IF($U261="OVERDUE","Next: "&amp;$AC261&amp;" was due "&amp;TEXT($AB261,"dd-mmm")&amp;" - "&amp;(NETWORKDAYS($AB261,TODAY(),Holidays)-1)&amp;" business day(s) late. Send now.",IF($U261="DUE TOMORROW","Next: "&amp;$AC261&amp;IF($AB261&lt;=TODAY()," is due TODAY ("," is due next business day (")&amp;TEXT($AB261,"dd-mmm")&amp;").","Next: "&amp;$AC261&amp;" due "&amp;TEXT($AB261,"dd-mmm")&amp;" ("&amp;(NETWORKDAYS(TODAY(),$AB261,Holidays)-1)&amp;" business day(s) left).")))))</f>
        <v/>
      </c>
      <c r="W261" s="17">
        <f>IF($Z261="","",CHOOSE($Z261,"Collection Email","1st Follow-up","2nd Follow-up","Local Office","CBE","Roxanne")&amp;IF($Z261=6," - Final"," - Day "&amp;MAX(0,NETWORKDAYS($AA261,TODAY(),Holidays)-1)&amp;" of "&amp;CHOOSE($Z261,3,3,2,2,3))&amp;" | Total Day "&amp;MAX(0,NETWORKDAYS($N261,TODAY(),Holidays)-1))</f>
        <v/>
      </c>
      <c r="X261" s="18"/>
      <c r="Y261" s="18"/>
      <c r="Z261" s="17">
        <f>IF($N261="","",COUNT($N261:$S261))</f>
        <v/>
      </c>
      <c r="AA261" s="19">
        <f>IF($Z261="","",INT(INDEX($N261:$S261,$Z261)))</f>
        <v/>
      </c>
      <c r="AB261" s="19">
        <f>IF(OR($Z261="",$Z261=6),"",WORKDAY($AA261,CHOOSE($Z261,3,3,2,2,3),Holidays))</f>
        <v/>
      </c>
      <c r="AC261" s="17">
        <f>IF(OR($Z261="",$Z261=6),"",CHOOSE($Z261,"1st Email Follow-up","2nd Email Follow-up","Escalate Local Office","Escalate to CBE","Escalate to Roxanne"))</f>
        <v/>
      </c>
    </row>
    <row r="262" spans="13:29">
      <c r="M262" s="14"/>
      <c r="T262" s="16"/>
      <c r="U262" s="17">
        <f>IF(AND(COUNTA($A262:$L262)=0,$N262=""),"",IF($T262="Paid","PAID",IF($T262="Closed","CLOSED",IF($Z262="","",IF($Z262=6,"ESCALATED TO ROXANNE",IF(TODAY()&gt;$AB262,"OVERDUE",IF($AB262&lt;=WORKDAY(TODAY(),1,Holidays),"DUE TOMORROW",IF($Z262=4,"ESCALATED TO LOCAL OFFICE",IF($Z262=5,"ESCALATED TO CBE",IF($AA262=TODAY(),"EMAIL SENT","MONITORING"))))))))))</f>
        <v/>
      </c>
      <c r="V262" s="17">
        <f>IF($U262="",IF(AND(COUNTA($A262:$L262)&gt;0,$N262=""),"Awaiting Collection Email time stamp.",""),IF(OR($U262="PAID",$U262="CLOSED"),IF($U262="PAID","Account paid. Action completed.","Account closed. No further action required."),CHOOSE($Z262,"Collection Email","1st Email Follow-up","2nd Email Follow-up","Escalation to Local Office","Escalation to CBE","Escalation to Roxanne")&amp;" sent "&amp;TEXT($AA262,"dd-mmm")&amp;". "&amp;IF($Z262=6,"Final escalation completed.",IF($U262="OVERDUE","Next: "&amp;$AC262&amp;" was due "&amp;TEXT($AB262,"dd-mmm")&amp;" - "&amp;(NETWORKDAYS($AB262,TODAY(),Holidays)-1)&amp;" business day(s) late. Send now.",IF($U262="DUE TOMORROW","Next: "&amp;$AC262&amp;IF($AB262&lt;=TODAY()," is due TODAY ("," is due next business day (")&amp;TEXT($AB262,"dd-mmm")&amp;").","Next: "&amp;$AC262&amp;" due "&amp;TEXT($AB262,"dd-mmm")&amp;" ("&amp;(NETWORKDAYS(TODAY(),$AB262,Holidays)-1)&amp;" business day(s) left).")))))</f>
        <v/>
      </c>
      <c r="W262" s="17">
        <f>IF($Z262="","",CHOOSE($Z262,"Collection Email","1st Follow-up","2nd Follow-up","Local Office","CBE","Roxanne")&amp;IF($Z262=6," - Final"," - Day "&amp;MAX(0,NETWORKDAYS($AA262,TODAY(),Holidays)-1)&amp;" of "&amp;CHOOSE($Z262,3,3,2,2,3))&amp;" | Total Day "&amp;MAX(0,NETWORKDAYS($N262,TODAY(),Holidays)-1))</f>
        <v/>
      </c>
      <c r="X262" s="18"/>
      <c r="Y262" s="18"/>
      <c r="Z262" s="17">
        <f>IF($N262="","",COUNT($N262:$S262))</f>
        <v/>
      </c>
      <c r="AA262" s="19">
        <f>IF($Z262="","",INT(INDEX($N262:$S262,$Z262)))</f>
        <v/>
      </c>
      <c r="AB262" s="19">
        <f>IF(OR($Z262="",$Z262=6),"",WORKDAY($AA262,CHOOSE($Z262,3,3,2,2,3),Holidays))</f>
        <v/>
      </c>
      <c r="AC262" s="17">
        <f>IF(OR($Z262="",$Z262=6),"",CHOOSE($Z262,"1st Email Follow-up","2nd Email Follow-up","Escalate Local Office","Escalate to CBE","Escalate to Roxanne"))</f>
        <v/>
      </c>
    </row>
    <row r="263" spans="13:29">
      <c r="M263" s="14"/>
      <c r="T263" s="16"/>
      <c r="U263" s="17">
        <f>IF(AND(COUNTA($A263:$L263)=0,$N263=""),"",IF($T263="Paid","PAID",IF($T263="Closed","CLOSED",IF($Z263="","",IF($Z263=6,"ESCALATED TO ROXANNE",IF(TODAY()&gt;$AB263,"OVERDUE",IF($AB263&lt;=WORKDAY(TODAY(),1,Holidays),"DUE TOMORROW",IF($Z263=4,"ESCALATED TO LOCAL OFFICE",IF($Z263=5,"ESCALATED TO CBE",IF($AA263=TODAY(),"EMAIL SENT","MONITORING"))))))))))</f>
        <v/>
      </c>
      <c r="V263" s="17">
        <f>IF($U263="",IF(AND(COUNTA($A263:$L263)&gt;0,$N263=""),"Awaiting Collection Email time stamp.",""),IF(OR($U263="PAID",$U263="CLOSED"),IF($U263="PAID","Account paid. Action completed.","Account closed. No further action required."),CHOOSE($Z263,"Collection Email","1st Email Follow-up","2nd Email Follow-up","Escalation to Local Office","Escalation to CBE","Escalation to Roxanne")&amp;" sent "&amp;TEXT($AA263,"dd-mmm")&amp;". "&amp;IF($Z263=6,"Final escalation completed.",IF($U263="OVERDUE","Next: "&amp;$AC263&amp;" was due "&amp;TEXT($AB263,"dd-mmm")&amp;" - "&amp;(NETWORKDAYS($AB263,TODAY(),Holidays)-1)&amp;" business day(s) late. Send now.",IF($U263="DUE TOMORROW","Next: "&amp;$AC263&amp;IF($AB263&lt;=TODAY()," is due TODAY ("," is due next business day (")&amp;TEXT($AB263,"dd-mmm")&amp;").","Next: "&amp;$AC263&amp;" due "&amp;TEXT($AB263,"dd-mmm")&amp;" ("&amp;(NETWORKDAYS(TODAY(),$AB263,Holidays)-1)&amp;" business day(s) left).")))))</f>
        <v/>
      </c>
      <c r="W263" s="17">
        <f>IF($Z263="","",CHOOSE($Z263,"Collection Email","1st Follow-up","2nd Follow-up","Local Office","CBE","Roxanne")&amp;IF($Z263=6," - Final"," - Day "&amp;MAX(0,NETWORKDAYS($AA263,TODAY(),Holidays)-1)&amp;" of "&amp;CHOOSE($Z263,3,3,2,2,3))&amp;" | Total Day "&amp;MAX(0,NETWORKDAYS($N263,TODAY(),Holidays)-1))</f>
        <v/>
      </c>
      <c r="X263" s="18"/>
      <c r="Y263" s="18"/>
      <c r="Z263" s="17">
        <f>IF($N263="","",COUNT($N263:$S263))</f>
        <v/>
      </c>
      <c r="AA263" s="19">
        <f>IF($Z263="","",INT(INDEX($N263:$S263,$Z263)))</f>
        <v/>
      </c>
      <c r="AB263" s="19">
        <f>IF(OR($Z263="",$Z263=6),"",WORKDAY($AA263,CHOOSE($Z263,3,3,2,2,3),Holidays))</f>
        <v/>
      </c>
      <c r="AC263" s="17">
        <f>IF(OR($Z263="",$Z263=6),"",CHOOSE($Z263,"1st Email Follow-up","2nd Email Follow-up","Escalate Local Office","Escalate to CBE","Escalate to Roxanne"))</f>
        <v/>
      </c>
    </row>
    <row r="264" spans="13:29">
      <c r="M264" s="14"/>
      <c r="T264" s="16"/>
      <c r="U264" s="17">
        <f>IF(AND(COUNTA($A264:$L264)=0,$N264=""),"",IF($T264="Paid","PAID",IF($T264="Closed","CLOSED",IF($Z264="","",IF($Z264=6,"ESCALATED TO ROXANNE",IF(TODAY()&gt;$AB264,"OVERDUE",IF($AB264&lt;=WORKDAY(TODAY(),1,Holidays),"DUE TOMORROW",IF($Z264=4,"ESCALATED TO LOCAL OFFICE",IF($Z264=5,"ESCALATED TO CBE",IF($AA264=TODAY(),"EMAIL SENT","MONITORING"))))))))))</f>
        <v/>
      </c>
      <c r="V264" s="17">
        <f>IF($U264="",IF(AND(COUNTA($A264:$L264)&gt;0,$N264=""),"Awaiting Collection Email time stamp.",""),IF(OR($U264="PAID",$U264="CLOSED"),IF($U264="PAID","Account paid. Action completed.","Account closed. No further action required."),CHOOSE($Z264,"Collection Email","1st Email Follow-up","2nd Email Follow-up","Escalation to Local Office","Escalation to CBE","Escalation to Roxanne")&amp;" sent "&amp;TEXT($AA264,"dd-mmm")&amp;". "&amp;IF($Z264=6,"Final escalation completed.",IF($U264="OVERDUE","Next: "&amp;$AC264&amp;" was due "&amp;TEXT($AB264,"dd-mmm")&amp;" - "&amp;(NETWORKDAYS($AB264,TODAY(),Holidays)-1)&amp;" business day(s) late. Send now.",IF($U264="DUE TOMORROW","Next: "&amp;$AC264&amp;IF($AB264&lt;=TODAY()," is due TODAY ("," is due next business day (")&amp;TEXT($AB264,"dd-mmm")&amp;").","Next: "&amp;$AC264&amp;" due "&amp;TEXT($AB264,"dd-mmm")&amp;" ("&amp;(NETWORKDAYS(TODAY(),$AB264,Holidays)-1)&amp;" business day(s) left).")))))</f>
        <v/>
      </c>
      <c r="W264" s="17">
        <f>IF($Z264="","",CHOOSE($Z264,"Collection Email","1st Follow-up","2nd Follow-up","Local Office","CBE","Roxanne")&amp;IF($Z264=6," - Final"," - Day "&amp;MAX(0,NETWORKDAYS($AA264,TODAY(),Holidays)-1)&amp;" of "&amp;CHOOSE($Z264,3,3,2,2,3))&amp;" | Total Day "&amp;MAX(0,NETWORKDAYS($N264,TODAY(),Holidays)-1))</f>
        <v/>
      </c>
      <c r="X264" s="18"/>
      <c r="Y264" s="18"/>
      <c r="Z264" s="17">
        <f>IF($N264="","",COUNT($N264:$S264))</f>
        <v/>
      </c>
      <c r="AA264" s="19">
        <f>IF($Z264="","",INT(INDEX($N264:$S264,$Z264)))</f>
        <v/>
      </c>
      <c r="AB264" s="19">
        <f>IF(OR($Z264="",$Z264=6),"",WORKDAY($AA264,CHOOSE($Z264,3,3,2,2,3),Holidays))</f>
        <v/>
      </c>
      <c r="AC264" s="17">
        <f>IF(OR($Z264="",$Z264=6),"",CHOOSE($Z264,"1st Email Follow-up","2nd Email Follow-up","Escalate Local Office","Escalate to CBE","Escalate to Roxanne"))</f>
        <v/>
      </c>
    </row>
    <row r="265" spans="13:29">
      <c r="M265" s="14"/>
      <c r="T265" s="16"/>
      <c r="U265" s="17">
        <f>IF(AND(COUNTA($A265:$L265)=0,$N265=""),"",IF($T265="Paid","PAID",IF($T265="Closed","CLOSED",IF($Z265="","",IF($Z265=6,"ESCALATED TO ROXANNE",IF(TODAY()&gt;$AB265,"OVERDUE",IF($AB265&lt;=WORKDAY(TODAY(),1,Holidays),"DUE TOMORROW",IF($Z265=4,"ESCALATED TO LOCAL OFFICE",IF($Z265=5,"ESCALATED TO CBE",IF($AA265=TODAY(),"EMAIL SENT","MONITORING"))))))))))</f>
        <v/>
      </c>
      <c r="V265" s="17">
        <f>IF($U265="",IF(AND(COUNTA($A265:$L265)&gt;0,$N265=""),"Awaiting Collection Email time stamp.",""),IF(OR($U265="PAID",$U265="CLOSED"),IF($U265="PAID","Account paid. Action completed.","Account closed. No further action required."),CHOOSE($Z265,"Collection Email","1st Email Follow-up","2nd Email Follow-up","Escalation to Local Office","Escalation to CBE","Escalation to Roxanne")&amp;" sent "&amp;TEXT($AA265,"dd-mmm")&amp;". "&amp;IF($Z265=6,"Final escalation completed.",IF($U265="OVERDUE","Next: "&amp;$AC265&amp;" was due "&amp;TEXT($AB265,"dd-mmm")&amp;" - "&amp;(NETWORKDAYS($AB265,TODAY(),Holidays)-1)&amp;" business day(s) late. Send now.",IF($U265="DUE TOMORROW","Next: "&amp;$AC265&amp;IF($AB265&lt;=TODAY()," is due TODAY ("," is due next business day (")&amp;TEXT($AB265,"dd-mmm")&amp;").","Next: "&amp;$AC265&amp;" due "&amp;TEXT($AB265,"dd-mmm")&amp;" ("&amp;(NETWORKDAYS(TODAY(),$AB265,Holidays)-1)&amp;" business day(s) left).")))))</f>
        <v/>
      </c>
      <c r="W265" s="17">
        <f>IF($Z265="","",CHOOSE($Z265,"Collection Email","1st Follow-up","2nd Follow-up","Local Office","CBE","Roxanne")&amp;IF($Z265=6," - Final"," - Day "&amp;MAX(0,NETWORKDAYS($AA265,TODAY(),Holidays)-1)&amp;" of "&amp;CHOOSE($Z265,3,3,2,2,3))&amp;" | Total Day "&amp;MAX(0,NETWORKDAYS($N265,TODAY(),Holidays)-1))</f>
        <v/>
      </c>
      <c r="X265" s="18"/>
      <c r="Y265" s="18"/>
      <c r="Z265" s="17">
        <f>IF($N265="","",COUNT($N265:$S265))</f>
        <v/>
      </c>
      <c r="AA265" s="19">
        <f>IF($Z265="","",INT(INDEX($N265:$S265,$Z265)))</f>
        <v/>
      </c>
      <c r="AB265" s="19">
        <f>IF(OR($Z265="",$Z265=6),"",WORKDAY($AA265,CHOOSE($Z265,3,3,2,2,3),Holidays))</f>
        <v/>
      </c>
      <c r="AC265" s="17">
        <f>IF(OR($Z265="",$Z265=6),"",CHOOSE($Z265,"1st Email Follow-up","2nd Email Follow-up","Escalate Local Office","Escalate to CBE","Escalate to Roxanne"))</f>
        <v/>
      </c>
    </row>
    <row r="266" spans="13:29">
      <c r="M266" s="14"/>
      <c r="T266" s="16"/>
      <c r="U266" s="17">
        <f>IF(AND(COUNTA($A266:$L266)=0,$N266=""),"",IF($T266="Paid","PAID",IF($T266="Closed","CLOSED",IF($Z266="","",IF($Z266=6,"ESCALATED TO ROXANNE",IF(TODAY()&gt;$AB266,"OVERDUE",IF($AB266&lt;=WORKDAY(TODAY(),1,Holidays),"DUE TOMORROW",IF($Z266=4,"ESCALATED TO LOCAL OFFICE",IF($Z266=5,"ESCALATED TO CBE",IF($AA266=TODAY(),"EMAIL SENT","MONITORING"))))))))))</f>
        <v/>
      </c>
      <c r="V266" s="17">
        <f>IF($U266="",IF(AND(COUNTA($A266:$L266)&gt;0,$N266=""),"Awaiting Collection Email time stamp.",""),IF(OR($U266="PAID",$U266="CLOSED"),IF($U266="PAID","Account paid. Action completed.","Account closed. No further action required."),CHOOSE($Z266,"Collection Email","1st Email Follow-up","2nd Email Follow-up","Escalation to Local Office","Escalation to CBE","Escalation to Roxanne")&amp;" sent "&amp;TEXT($AA266,"dd-mmm")&amp;". "&amp;IF($Z266=6,"Final escalation completed.",IF($U266="OVERDUE","Next: "&amp;$AC266&amp;" was due "&amp;TEXT($AB266,"dd-mmm")&amp;" - "&amp;(NETWORKDAYS($AB266,TODAY(),Holidays)-1)&amp;" business day(s) late. Send now.",IF($U266="DUE TOMORROW","Next: "&amp;$AC266&amp;IF($AB266&lt;=TODAY()," is due TODAY ("," is due next business day (")&amp;TEXT($AB266,"dd-mmm")&amp;").","Next: "&amp;$AC266&amp;" due "&amp;TEXT($AB266,"dd-mmm")&amp;" ("&amp;(NETWORKDAYS(TODAY(),$AB266,Holidays)-1)&amp;" business day(s) left).")))))</f>
        <v/>
      </c>
      <c r="W266" s="17">
        <f>IF($Z266="","",CHOOSE($Z266,"Collection Email","1st Follow-up","2nd Follow-up","Local Office","CBE","Roxanne")&amp;IF($Z266=6," - Final"," - Day "&amp;MAX(0,NETWORKDAYS($AA266,TODAY(),Holidays)-1)&amp;" of "&amp;CHOOSE($Z266,3,3,2,2,3))&amp;" | Total Day "&amp;MAX(0,NETWORKDAYS($N266,TODAY(),Holidays)-1))</f>
        <v/>
      </c>
      <c r="X266" s="18"/>
      <c r="Y266" s="18"/>
      <c r="Z266" s="17">
        <f>IF($N266="","",COUNT($N266:$S266))</f>
        <v/>
      </c>
      <c r="AA266" s="19">
        <f>IF($Z266="","",INT(INDEX($N266:$S266,$Z266)))</f>
        <v/>
      </c>
      <c r="AB266" s="19">
        <f>IF(OR($Z266="",$Z266=6),"",WORKDAY($AA266,CHOOSE($Z266,3,3,2,2,3),Holidays))</f>
        <v/>
      </c>
      <c r="AC266" s="17">
        <f>IF(OR($Z266="",$Z266=6),"",CHOOSE($Z266,"1st Email Follow-up","2nd Email Follow-up","Escalate Local Office","Escalate to CBE","Escalate to Roxanne"))</f>
        <v/>
      </c>
    </row>
    <row r="267" spans="13:29">
      <c r="M267" s="14"/>
      <c r="T267" s="16"/>
      <c r="U267" s="17">
        <f>IF(AND(COUNTA($A267:$L267)=0,$N267=""),"",IF($T267="Paid","PAID",IF($T267="Closed","CLOSED",IF($Z267="","",IF($Z267=6,"ESCALATED TO ROXANNE",IF(TODAY()&gt;$AB267,"OVERDUE",IF($AB267&lt;=WORKDAY(TODAY(),1,Holidays),"DUE TOMORROW",IF($Z267=4,"ESCALATED TO LOCAL OFFICE",IF($Z267=5,"ESCALATED TO CBE",IF($AA267=TODAY(),"EMAIL SENT","MONITORING"))))))))))</f>
        <v/>
      </c>
      <c r="V267" s="17">
        <f>IF($U267="",IF(AND(COUNTA($A267:$L267)&gt;0,$N267=""),"Awaiting Collection Email time stamp.",""),IF(OR($U267="PAID",$U267="CLOSED"),IF($U267="PAID","Account paid. Action completed.","Account closed. No further action required."),CHOOSE($Z267,"Collection Email","1st Email Follow-up","2nd Email Follow-up","Escalation to Local Office","Escalation to CBE","Escalation to Roxanne")&amp;" sent "&amp;TEXT($AA267,"dd-mmm")&amp;". "&amp;IF($Z267=6,"Final escalation completed.",IF($U267="OVERDUE","Next: "&amp;$AC267&amp;" was due "&amp;TEXT($AB267,"dd-mmm")&amp;" - "&amp;(NETWORKDAYS($AB267,TODAY(),Holidays)-1)&amp;" business day(s) late. Send now.",IF($U267="DUE TOMORROW","Next: "&amp;$AC267&amp;IF($AB267&lt;=TODAY()," is due TODAY ("," is due next business day (")&amp;TEXT($AB267,"dd-mmm")&amp;").","Next: "&amp;$AC267&amp;" due "&amp;TEXT($AB267,"dd-mmm")&amp;" ("&amp;(NETWORKDAYS(TODAY(),$AB267,Holidays)-1)&amp;" business day(s) left).")))))</f>
        <v/>
      </c>
      <c r="W267" s="17">
        <f>IF($Z267="","",CHOOSE($Z267,"Collection Email","1st Follow-up","2nd Follow-up","Local Office","CBE","Roxanne")&amp;IF($Z267=6," - Final"," - Day "&amp;MAX(0,NETWORKDAYS($AA267,TODAY(),Holidays)-1)&amp;" of "&amp;CHOOSE($Z267,3,3,2,2,3))&amp;" | Total Day "&amp;MAX(0,NETWORKDAYS($N267,TODAY(),Holidays)-1))</f>
        <v/>
      </c>
      <c r="X267" s="18"/>
      <c r="Y267" s="18"/>
      <c r="Z267" s="17">
        <f>IF($N267="","",COUNT($N267:$S267))</f>
        <v/>
      </c>
      <c r="AA267" s="19">
        <f>IF($Z267="","",INT(INDEX($N267:$S267,$Z267)))</f>
        <v/>
      </c>
      <c r="AB267" s="19">
        <f>IF(OR($Z267="",$Z267=6),"",WORKDAY($AA267,CHOOSE($Z267,3,3,2,2,3),Holidays))</f>
        <v/>
      </c>
      <c r="AC267" s="17">
        <f>IF(OR($Z267="",$Z267=6),"",CHOOSE($Z267,"1st Email Follow-up","2nd Email Follow-up","Escalate Local Office","Escalate to CBE","Escalate to Roxanne"))</f>
        <v/>
      </c>
    </row>
    <row r="268" spans="13:29">
      <c r="M268" s="14"/>
      <c r="T268" s="16"/>
      <c r="U268" s="17">
        <f>IF(AND(COUNTA($A268:$L268)=0,$N268=""),"",IF($T268="Paid","PAID",IF($T268="Closed","CLOSED",IF($Z268="","",IF($Z268=6,"ESCALATED TO ROXANNE",IF(TODAY()&gt;$AB268,"OVERDUE",IF($AB268&lt;=WORKDAY(TODAY(),1,Holidays),"DUE TOMORROW",IF($Z268=4,"ESCALATED TO LOCAL OFFICE",IF($Z268=5,"ESCALATED TO CBE",IF($AA268=TODAY(),"EMAIL SENT","MONITORING"))))))))))</f>
        <v/>
      </c>
      <c r="V268" s="17">
        <f>IF($U268="",IF(AND(COUNTA($A268:$L268)&gt;0,$N268=""),"Awaiting Collection Email time stamp.",""),IF(OR($U268="PAID",$U268="CLOSED"),IF($U268="PAID","Account paid. Action completed.","Account closed. No further action required."),CHOOSE($Z268,"Collection Email","1st Email Follow-up","2nd Email Follow-up","Escalation to Local Office","Escalation to CBE","Escalation to Roxanne")&amp;" sent "&amp;TEXT($AA268,"dd-mmm")&amp;". "&amp;IF($Z268=6,"Final escalation completed.",IF($U268="OVERDUE","Next: "&amp;$AC268&amp;" was due "&amp;TEXT($AB268,"dd-mmm")&amp;" - "&amp;(NETWORKDAYS($AB268,TODAY(),Holidays)-1)&amp;" business day(s) late. Send now.",IF($U268="DUE TOMORROW","Next: "&amp;$AC268&amp;IF($AB268&lt;=TODAY()," is due TODAY ("," is due next business day (")&amp;TEXT($AB268,"dd-mmm")&amp;").","Next: "&amp;$AC268&amp;" due "&amp;TEXT($AB268,"dd-mmm")&amp;" ("&amp;(NETWORKDAYS(TODAY(),$AB268,Holidays)-1)&amp;" business day(s) left).")))))</f>
        <v/>
      </c>
      <c r="W268" s="17">
        <f>IF($Z268="","",CHOOSE($Z268,"Collection Email","1st Follow-up","2nd Follow-up","Local Office","CBE","Roxanne")&amp;IF($Z268=6," - Final"," - Day "&amp;MAX(0,NETWORKDAYS($AA268,TODAY(),Holidays)-1)&amp;" of "&amp;CHOOSE($Z268,3,3,2,2,3))&amp;" | Total Day "&amp;MAX(0,NETWORKDAYS($N268,TODAY(),Holidays)-1))</f>
        <v/>
      </c>
      <c r="X268" s="18"/>
      <c r="Y268" s="18"/>
      <c r="Z268" s="17">
        <f>IF($N268="","",COUNT($N268:$S268))</f>
        <v/>
      </c>
      <c r="AA268" s="19">
        <f>IF($Z268="","",INT(INDEX($N268:$S268,$Z268)))</f>
        <v/>
      </c>
      <c r="AB268" s="19">
        <f>IF(OR($Z268="",$Z268=6),"",WORKDAY($AA268,CHOOSE($Z268,3,3,2,2,3),Holidays))</f>
        <v/>
      </c>
      <c r="AC268" s="17">
        <f>IF(OR($Z268="",$Z268=6),"",CHOOSE($Z268,"1st Email Follow-up","2nd Email Follow-up","Escalate Local Office","Escalate to CBE","Escalate to Roxanne"))</f>
        <v/>
      </c>
    </row>
    <row r="269" spans="13:29">
      <c r="M269" s="14"/>
      <c r="T269" s="16"/>
      <c r="U269" s="17">
        <f>IF(AND(COUNTA($A269:$L269)=0,$N269=""),"",IF($T269="Paid","PAID",IF($T269="Closed","CLOSED",IF($Z269="","",IF($Z269=6,"ESCALATED TO ROXANNE",IF(TODAY()&gt;$AB269,"OVERDUE",IF($AB269&lt;=WORKDAY(TODAY(),1,Holidays),"DUE TOMORROW",IF($Z269=4,"ESCALATED TO LOCAL OFFICE",IF($Z269=5,"ESCALATED TO CBE",IF($AA269=TODAY(),"EMAIL SENT","MONITORING"))))))))))</f>
        <v/>
      </c>
      <c r="V269" s="17">
        <f>IF($U269="",IF(AND(COUNTA($A269:$L269)&gt;0,$N269=""),"Awaiting Collection Email time stamp.",""),IF(OR($U269="PAID",$U269="CLOSED"),IF($U269="PAID","Account paid. Action completed.","Account closed. No further action required."),CHOOSE($Z269,"Collection Email","1st Email Follow-up","2nd Email Follow-up","Escalation to Local Office","Escalation to CBE","Escalation to Roxanne")&amp;" sent "&amp;TEXT($AA269,"dd-mmm")&amp;". "&amp;IF($Z269=6,"Final escalation completed.",IF($U269="OVERDUE","Next: "&amp;$AC269&amp;" was due "&amp;TEXT($AB269,"dd-mmm")&amp;" - "&amp;(NETWORKDAYS($AB269,TODAY(),Holidays)-1)&amp;" business day(s) late. Send now.",IF($U269="DUE TOMORROW","Next: "&amp;$AC269&amp;IF($AB269&lt;=TODAY()," is due TODAY ("," is due next business day (")&amp;TEXT($AB269,"dd-mmm")&amp;").","Next: "&amp;$AC269&amp;" due "&amp;TEXT($AB269,"dd-mmm")&amp;" ("&amp;(NETWORKDAYS(TODAY(),$AB269,Holidays)-1)&amp;" business day(s) left).")))))</f>
        <v/>
      </c>
      <c r="W269" s="17">
        <f>IF($Z269="","",CHOOSE($Z269,"Collection Email","1st Follow-up","2nd Follow-up","Local Office","CBE","Roxanne")&amp;IF($Z269=6," - Final"," - Day "&amp;MAX(0,NETWORKDAYS($AA269,TODAY(),Holidays)-1)&amp;" of "&amp;CHOOSE($Z269,3,3,2,2,3))&amp;" | Total Day "&amp;MAX(0,NETWORKDAYS($N269,TODAY(),Holidays)-1))</f>
        <v/>
      </c>
      <c r="X269" s="18"/>
      <c r="Y269" s="18"/>
      <c r="Z269" s="17">
        <f>IF($N269="","",COUNT($N269:$S269))</f>
        <v/>
      </c>
      <c r="AA269" s="19">
        <f>IF($Z269="","",INT(INDEX($N269:$S269,$Z269)))</f>
        <v/>
      </c>
      <c r="AB269" s="19">
        <f>IF(OR($Z269="",$Z269=6),"",WORKDAY($AA269,CHOOSE($Z269,3,3,2,2,3),Holidays))</f>
        <v/>
      </c>
      <c r="AC269" s="17">
        <f>IF(OR($Z269="",$Z269=6),"",CHOOSE($Z269,"1st Email Follow-up","2nd Email Follow-up","Escalate Local Office","Escalate to CBE","Escalate to Roxanne"))</f>
        <v/>
      </c>
    </row>
    <row r="270" spans="13:29">
      <c r="M270" s="14"/>
      <c r="T270" s="16"/>
      <c r="U270" s="17">
        <f>IF(AND(COUNTA($A270:$L270)=0,$N270=""),"",IF($T270="Paid","PAID",IF($T270="Closed","CLOSED",IF($Z270="","",IF($Z270=6,"ESCALATED TO ROXANNE",IF(TODAY()&gt;$AB270,"OVERDUE",IF($AB270&lt;=WORKDAY(TODAY(),1,Holidays),"DUE TOMORROW",IF($Z270=4,"ESCALATED TO LOCAL OFFICE",IF($Z270=5,"ESCALATED TO CBE",IF($AA270=TODAY(),"EMAIL SENT","MONITORING"))))))))))</f>
        <v/>
      </c>
      <c r="V270" s="17">
        <f>IF($U270="",IF(AND(COUNTA($A270:$L270)&gt;0,$N270=""),"Awaiting Collection Email time stamp.",""),IF(OR($U270="PAID",$U270="CLOSED"),IF($U270="PAID","Account paid. Action completed.","Account closed. No further action required."),CHOOSE($Z270,"Collection Email","1st Email Follow-up","2nd Email Follow-up","Escalation to Local Office","Escalation to CBE","Escalation to Roxanne")&amp;" sent "&amp;TEXT($AA270,"dd-mmm")&amp;". "&amp;IF($Z270=6,"Final escalation completed.",IF($U270="OVERDUE","Next: "&amp;$AC270&amp;" was due "&amp;TEXT($AB270,"dd-mmm")&amp;" - "&amp;(NETWORKDAYS($AB270,TODAY(),Holidays)-1)&amp;" business day(s) late. Send now.",IF($U270="DUE TOMORROW","Next: "&amp;$AC270&amp;IF($AB270&lt;=TODAY()," is due TODAY ("," is due next business day (")&amp;TEXT($AB270,"dd-mmm")&amp;").","Next: "&amp;$AC270&amp;" due "&amp;TEXT($AB270,"dd-mmm")&amp;" ("&amp;(NETWORKDAYS(TODAY(),$AB270,Holidays)-1)&amp;" business day(s) left).")))))</f>
        <v/>
      </c>
      <c r="W270" s="17">
        <f>IF($Z270="","",CHOOSE($Z270,"Collection Email","1st Follow-up","2nd Follow-up","Local Office","CBE","Roxanne")&amp;IF($Z270=6," - Final"," - Day "&amp;MAX(0,NETWORKDAYS($AA270,TODAY(),Holidays)-1)&amp;" of "&amp;CHOOSE($Z270,3,3,2,2,3))&amp;" | Total Day "&amp;MAX(0,NETWORKDAYS($N270,TODAY(),Holidays)-1))</f>
        <v/>
      </c>
      <c r="X270" s="18"/>
      <c r="Y270" s="18"/>
      <c r="Z270" s="17">
        <f>IF($N270="","",COUNT($N270:$S270))</f>
        <v/>
      </c>
      <c r="AA270" s="19">
        <f>IF($Z270="","",INT(INDEX($N270:$S270,$Z270)))</f>
        <v/>
      </c>
      <c r="AB270" s="19">
        <f>IF(OR($Z270="",$Z270=6),"",WORKDAY($AA270,CHOOSE($Z270,3,3,2,2,3),Holidays))</f>
        <v/>
      </c>
      <c r="AC270" s="17">
        <f>IF(OR($Z270="",$Z270=6),"",CHOOSE($Z270,"1st Email Follow-up","2nd Email Follow-up","Escalate Local Office","Escalate to CBE","Escalate to Roxanne"))</f>
        <v/>
      </c>
    </row>
    <row r="271" spans="13:29">
      <c r="M271" s="14"/>
      <c r="T271" s="16"/>
      <c r="U271" s="17">
        <f>IF(AND(COUNTA($A271:$L271)=0,$N271=""),"",IF($T271="Paid","PAID",IF($T271="Closed","CLOSED",IF($Z271="","",IF($Z271=6,"ESCALATED TO ROXANNE",IF(TODAY()&gt;$AB271,"OVERDUE",IF($AB271&lt;=WORKDAY(TODAY(),1,Holidays),"DUE TOMORROW",IF($Z271=4,"ESCALATED TO LOCAL OFFICE",IF($Z271=5,"ESCALATED TO CBE",IF($AA271=TODAY(),"EMAIL SENT","MONITORING"))))))))))</f>
        <v/>
      </c>
      <c r="V271" s="17">
        <f>IF($U271="",IF(AND(COUNTA($A271:$L271)&gt;0,$N271=""),"Awaiting Collection Email time stamp.",""),IF(OR($U271="PAID",$U271="CLOSED"),IF($U271="PAID","Account paid. Action completed.","Account closed. No further action required."),CHOOSE($Z271,"Collection Email","1st Email Follow-up","2nd Email Follow-up","Escalation to Local Office","Escalation to CBE","Escalation to Roxanne")&amp;" sent "&amp;TEXT($AA271,"dd-mmm")&amp;". "&amp;IF($Z271=6,"Final escalation completed.",IF($U271="OVERDUE","Next: "&amp;$AC271&amp;" was due "&amp;TEXT($AB271,"dd-mmm")&amp;" - "&amp;(NETWORKDAYS($AB271,TODAY(),Holidays)-1)&amp;" business day(s) late. Send now.",IF($U271="DUE TOMORROW","Next: "&amp;$AC271&amp;IF($AB271&lt;=TODAY()," is due TODAY ("," is due next business day (")&amp;TEXT($AB271,"dd-mmm")&amp;").","Next: "&amp;$AC271&amp;" due "&amp;TEXT($AB271,"dd-mmm")&amp;" ("&amp;(NETWORKDAYS(TODAY(),$AB271,Holidays)-1)&amp;" business day(s) left).")))))</f>
        <v/>
      </c>
      <c r="W271" s="17">
        <f>IF($Z271="","",CHOOSE($Z271,"Collection Email","1st Follow-up","2nd Follow-up","Local Office","CBE","Roxanne")&amp;IF($Z271=6," - Final"," - Day "&amp;MAX(0,NETWORKDAYS($AA271,TODAY(),Holidays)-1)&amp;" of "&amp;CHOOSE($Z271,3,3,2,2,3))&amp;" | Total Day "&amp;MAX(0,NETWORKDAYS($N271,TODAY(),Holidays)-1))</f>
        <v/>
      </c>
      <c r="X271" s="18"/>
      <c r="Y271" s="18"/>
      <c r="Z271" s="17">
        <f>IF($N271="","",COUNT($N271:$S271))</f>
        <v/>
      </c>
      <c r="AA271" s="19">
        <f>IF($Z271="","",INT(INDEX($N271:$S271,$Z271)))</f>
        <v/>
      </c>
      <c r="AB271" s="19">
        <f>IF(OR($Z271="",$Z271=6),"",WORKDAY($AA271,CHOOSE($Z271,3,3,2,2,3),Holidays))</f>
        <v/>
      </c>
      <c r="AC271" s="17">
        <f>IF(OR($Z271="",$Z271=6),"",CHOOSE($Z271,"1st Email Follow-up","2nd Email Follow-up","Escalate Local Office","Escalate to CBE","Escalate to Roxanne"))</f>
        <v/>
      </c>
    </row>
    <row r="272" spans="13:29">
      <c r="M272" s="14"/>
      <c r="T272" s="16"/>
      <c r="U272" s="17">
        <f>IF(AND(COUNTA($A272:$L272)=0,$N272=""),"",IF($T272="Paid","PAID",IF($T272="Closed","CLOSED",IF($Z272="","",IF($Z272=6,"ESCALATED TO ROXANNE",IF(TODAY()&gt;$AB272,"OVERDUE",IF($AB272&lt;=WORKDAY(TODAY(),1,Holidays),"DUE TOMORROW",IF($Z272=4,"ESCALATED TO LOCAL OFFICE",IF($Z272=5,"ESCALATED TO CBE",IF($AA272=TODAY(),"EMAIL SENT","MONITORING"))))))))))</f>
        <v/>
      </c>
      <c r="V272" s="17">
        <f>IF($U272="",IF(AND(COUNTA($A272:$L272)&gt;0,$N272=""),"Awaiting Collection Email time stamp.",""),IF(OR($U272="PAID",$U272="CLOSED"),IF($U272="PAID","Account paid. Action completed.","Account closed. No further action required."),CHOOSE($Z272,"Collection Email","1st Email Follow-up","2nd Email Follow-up","Escalation to Local Office","Escalation to CBE","Escalation to Roxanne")&amp;" sent "&amp;TEXT($AA272,"dd-mmm")&amp;". "&amp;IF($Z272=6,"Final escalation completed.",IF($U272="OVERDUE","Next: "&amp;$AC272&amp;" was due "&amp;TEXT($AB272,"dd-mmm")&amp;" - "&amp;(NETWORKDAYS($AB272,TODAY(),Holidays)-1)&amp;" business day(s) late. Send now.",IF($U272="DUE TOMORROW","Next: "&amp;$AC272&amp;IF($AB272&lt;=TODAY()," is due TODAY ("," is due next business day (")&amp;TEXT($AB272,"dd-mmm")&amp;").","Next: "&amp;$AC272&amp;" due "&amp;TEXT($AB272,"dd-mmm")&amp;" ("&amp;(NETWORKDAYS(TODAY(),$AB272,Holidays)-1)&amp;" business day(s) left).")))))</f>
        <v/>
      </c>
      <c r="W272" s="17">
        <f>IF($Z272="","",CHOOSE($Z272,"Collection Email","1st Follow-up","2nd Follow-up","Local Office","CBE","Roxanne")&amp;IF($Z272=6," - Final"," - Day "&amp;MAX(0,NETWORKDAYS($AA272,TODAY(),Holidays)-1)&amp;" of "&amp;CHOOSE($Z272,3,3,2,2,3))&amp;" | Total Day "&amp;MAX(0,NETWORKDAYS($N272,TODAY(),Holidays)-1))</f>
        <v/>
      </c>
      <c r="X272" s="18"/>
      <c r="Y272" s="18"/>
      <c r="Z272" s="17">
        <f>IF($N272="","",COUNT($N272:$S272))</f>
        <v/>
      </c>
      <c r="AA272" s="19">
        <f>IF($Z272="","",INT(INDEX($N272:$S272,$Z272)))</f>
        <v/>
      </c>
      <c r="AB272" s="19">
        <f>IF(OR($Z272="",$Z272=6),"",WORKDAY($AA272,CHOOSE($Z272,3,3,2,2,3),Holidays))</f>
        <v/>
      </c>
      <c r="AC272" s="17">
        <f>IF(OR($Z272="",$Z272=6),"",CHOOSE($Z272,"1st Email Follow-up","2nd Email Follow-up","Escalate Local Office","Escalate to CBE","Escalate to Roxanne"))</f>
        <v/>
      </c>
    </row>
    <row r="273" spans="13:29">
      <c r="M273" s="14"/>
      <c r="T273" s="16"/>
      <c r="U273" s="17">
        <f>IF(AND(COUNTA($A273:$L273)=0,$N273=""),"",IF($T273="Paid","PAID",IF($T273="Closed","CLOSED",IF($Z273="","",IF($Z273=6,"ESCALATED TO ROXANNE",IF(TODAY()&gt;$AB273,"OVERDUE",IF($AB273&lt;=WORKDAY(TODAY(),1,Holidays),"DUE TOMORROW",IF($Z273=4,"ESCALATED TO LOCAL OFFICE",IF($Z273=5,"ESCALATED TO CBE",IF($AA273=TODAY(),"EMAIL SENT","MONITORING"))))))))))</f>
        <v/>
      </c>
      <c r="V273" s="17">
        <f>IF($U273="",IF(AND(COUNTA($A273:$L273)&gt;0,$N273=""),"Awaiting Collection Email time stamp.",""),IF(OR($U273="PAID",$U273="CLOSED"),IF($U273="PAID","Account paid. Action completed.","Account closed. No further action required."),CHOOSE($Z273,"Collection Email","1st Email Follow-up","2nd Email Follow-up","Escalation to Local Office","Escalation to CBE","Escalation to Roxanne")&amp;" sent "&amp;TEXT($AA273,"dd-mmm")&amp;". "&amp;IF($Z273=6,"Final escalation completed.",IF($U273="OVERDUE","Next: "&amp;$AC273&amp;" was due "&amp;TEXT($AB273,"dd-mmm")&amp;" - "&amp;(NETWORKDAYS($AB273,TODAY(),Holidays)-1)&amp;" business day(s) late. Send now.",IF($U273="DUE TOMORROW","Next: "&amp;$AC273&amp;IF($AB273&lt;=TODAY()," is due TODAY ("," is due next business day (")&amp;TEXT($AB273,"dd-mmm")&amp;").","Next: "&amp;$AC273&amp;" due "&amp;TEXT($AB273,"dd-mmm")&amp;" ("&amp;(NETWORKDAYS(TODAY(),$AB273,Holidays)-1)&amp;" business day(s) left).")))))</f>
        <v/>
      </c>
      <c r="W273" s="17">
        <f>IF($Z273="","",CHOOSE($Z273,"Collection Email","1st Follow-up","2nd Follow-up","Local Office","CBE","Roxanne")&amp;IF($Z273=6," - Final"," - Day "&amp;MAX(0,NETWORKDAYS($AA273,TODAY(),Holidays)-1)&amp;" of "&amp;CHOOSE($Z273,3,3,2,2,3))&amp;" | Total Day "&amp;MAX(0,NETWORKDAYS($N273,TODAY(),Holidays)-1))</f>
        <v/>
      </c>
      <c r="X273" s="18"/>
      <c r="Y273" s="18"/>
      <c r="Z273" s="17">
        <f>IF($N273="","",COUNT($N273:$S273))</f>
        <v/>
      </c>
      <c r="AA273" s="19">
        <f>IF($Z273="","",INT(INDEX($N273:$S273,$Z273)))</f>
        <v/>
      </c>
      <c r="AB273" s="19">
        <f>IF(OR($Z273="",$Z273=6),"",WORKDAY($AA273,CHOOSE($Z273,3,3,2,2,3),Holidays))</f>
        <v/>
      </c>
      <c r="AC273" s="17">
        <f>IF(OR($Z273="",$Z273=6),"",CHOOSE($Z273,"1st Email Follow-up","2nd Email Follow-up","Escalate Local Office","Escalate to CBE","Escalate to Roxanne"))</f>
        <v/>
      </c>
    </row>
    <row r="274" spans="13:29">
      <c r="M274" s="14"/>
      <c r="T274" s="16"/>
      <c r="U274" s="17">
        <f>IF(AND(COUNTA($A274:$L274)=0,$N274=""),"",IF($T274="Paid","PAID",IF($T274="Closed","CLOSED",IF($Z274="","",IF($Z274=6,"ESCALATED TO ROXANNE",IF(TODAY()&gt;$AB274,"OVERDUE",IF($AB274&lt;=WORKDAY(TODAY(),1,Holidays),"DUE TOMORROW",IF($Z274=4,"ESCALATED TO LOCAL OFFICE",IF($Z274=5,"ESCALATED TO CBE",IF($AA274=TODAY(),"EMAIL SENT","MONITORING"))))))))))</f>
        <v/>
      </c>
      <c r="V274" s="17">
        <f>IF($U274="",IF(AND(COUNTA($A274:$L274)&gt;0,$N274=""),"Awaiting Collection Email time stamp.",""),IF(OR($U274="PAID",$U274="CLOSED"),IF($U274="PAID","Account paid. Action completed.","Account closed. No further action required."),CHOOSE($Z274,"Collection Email","1st Email Follow-up","2nd Email Follow-up","Escalation to Local Office","Escalation to CBE","Escalation to Roxanne")&amp;" sent "&amp;TEXT($AA274,"dd-mmm")&amp;". "&amp;IF($Z274=6,"Final escalation completed.",IF($U274="OVERDUE","Next: "&amp;$AC274&amp;" was due "&amp;TEXT($AB274,"dd-mmm")&amp;" - "&amp;(NETWORKDAYS($AB274,TODAY(),Holidays)-1)&amp;" business day(s) late. Send now.",IF($U274="DUE TOMORROW","Next: "&amp;$AC274&amp;IF($AB274&lt;=TODAY()," is due TODAY ("," is due next business day (")&amp;TEXT($AB274,"dd-mmm")&amp;").","Next: "&amp;$AC274&amp;" due "&amp;TEXT($AB274,"dd-mmm")&amp;" ("&amp;(NETWORKDAYS(TODAY(),$AB274,Holidays)-1)&amp;" business day(s) left).")))))</f>
        <v/>
      </c>
      <c r="W274" s="17">
        <f>IF($Z274="","",CHOOSE($Z274,"Collection Email","1st Follow-up","2nd Follow-up","Local Office","CBE","Roxanne")&amp;IF($Z274=6," - Final"," - Day "&amp;MAX(0,NETWORKDAYS($AA274,TODAY(),Holidays)-1)&amp;" of "&amp;CHOOSE($Z274,3,3,2,2,3))&amp;" | Total Day "&amp;MAX(0,NETWORKDAYS($N274,TODAY(),Holidays)-1))</f>
        <v/>
      </c>
      <c r="X274" s="18"/>
      <c r="Y274" s="18"/>
      <c r="Z274" s="17">
        <f>IF($N274="","",COUNT($N274:$S274))</f>
        <v/>
      </c>
      <c r="AA274" s="19">
        <f>IF($Z274="","",INT(INDEX($N274:$S274,$Z274)))</f>
        <v/>
      </c>
      <c r="AB274" s="19">
        <f>IF(OR($Z274="",$Z274=6),"",WORKDAY($AA274,CHOOSE($Z274,3,3,2,2,3),Holidays))</f>
        <v/>
      </c>
      <c r="AC274" s="17">
        <f>IF(OR($Z274="",$Z274=6),"",CHOOSE($Z274,"1st Email Follow-up","2nd Email Follow-up","Escalate Local Office","Escalate to CBE","Escalate to Roxanne"))</f>
        <v/>
      </c>
    </row>
    <row r="275" spans="13:29">
      <c r="M275" s="14"/>
      <c r="T275" s="16"/>
      <c r="U275" s="17">
        <f>IF(AND(COUNTA($A275:$L275)=0,$N275=""),"",IF($T275="Paid","PAID",IF($T275="Closed","CLOSED",IF($Z275="","",IF($Z275=6,"ESCALATED TO ROXANNE",IF(TODAY()&gt;$AB275,"OVERDUE",IF($AB275&lt;=WORKDAY(TODAY(),1,Holidays),"DUE TOMORROW",IF($Z275=4,"ESCALATED TO LOCAL OFFICE",IF($Z275=5,"ESCALATED TO CBE",IF($AA275=TODAY(),"EMAIL SENT","MONITORING"))))))))))</f>
        <v/>
      </c>
      <c r="V275" s="17">
        <f>IF($U275="",IF(AND(COUNTA($A275:$L275)&gt;0,$N275=""),"Awaiting Collection Email time stamp.",""),IF(OR($U275="PAID",$U275="CLOSED"),IF($U275="PAID","Account paid. Action completed.","Account closed. No further action required."),CHOOSE($Z275,"Collection Email","1st Email Follow-up","2nd Email Follow-up","Escalation to Local Office","Escalation to CBE","Escalation to Roxanne")&amp;" sent "&amp;TEXT($AA275,"dd-mmm")&amp;". "&amp;IF($Z275=6,"Final escalation completed.",IF($U275="OVERDUE","Next: "&amp;$AC275&amp;" was due "&amp;TEXT($AB275,"dd-mmm")&amp;" - "&amp;(NETWORKDAYS($AB275,TODAY(),Holidays)-1)&amp;" business day(s) late. Send now.",IF($U275="DUE TOMORROW","Next: "&amp;$AC275&amp;IF($AB275&lt;=TODAY()," is due TODAY ("," is due next business day (")&amp;TEXT($AB275,"dd-mmm")&amp;").","Next: "&amp;$AC275&amp;" due "&amp;TEXT($AB275,"dd-mmm")&amp;" ("&amp;(NETWORKDAYS(TODAY(),$AB275,Holidays)-1)&amp;" business day(s) left).")))))</f>
        <v/>
      </c>
      <c r="W275" s="17">
        <f>IF($Z275="","",CHOOSE($Z275,"Collection Email","1st Follow-up","2nd Follow-up","Local Office","CBE","Roxanne")&amp;IF($Z275=6," - Final"," - Day "&amp;MAX(0,NETWORKDAYS($AA275,TODAY(),Holidays)-1)&amp;" of "&amp;CHOOSE($Z275,3,3,2,2,3))&amp;" | Total Day "&amp;MAX(0,NETWORKDAYS($N275,TODAY(),Holidays)-1))</f>
        <v/>
      </c>
      <c r="X275" s="18"/>
      <c r="Y275" s="18"/>
      <c r="Z275" s="17">
        <f>IF($N275="","",COUNT($N275:$S275))</f>
        <v/>
      </c>
      <c r="AA275" s="19">
        <f>IF($Z275="","",INT(INDEX($N275:$S275,$Z275)))</f>
        <v/>
      </c>
      <c r="AB275" s="19">
        <f>IF(OR($Z275="",$Z275=6),"",WORKDAY($AA275,CHOOSE($Z275,3,3,2,2,3),Holidays))</f>
        <v/>
      </c>
      <c r="AC275" s="17">
        <f>IF(OR($Z275="",$Z275=6),"",CHOOSE($Z275,"1st Email Follow-up","2nd Email Follow-up","Escalate Local Office","Escalate to CBE","Escalate to Roxanne"))</f>
        <v/>
      </c>
    </row>
    <row r="276" spans="13:29">
      <c r="M276" s="14"/>
      <c r="T276" s="16"/>
      <c r="U276" s="17">
        <f>IF(AND(COUNTA($A276:$L276)=0,$N276=""),"",IF($T276="Paid","PAID",IF($T276="Closed","CLOSED",IF($Z276="","",IF($Z276=6,"ESCALATED TO ROXANNE",IF(TODAY()&gt;$AB276,"OVERDUE",IF($AB276&lt;=WORKDAY(TODAY(),1,Holidays),"DUE TOMORROW",IF($Z276=4,"ESCALATED TO LOCAL OFFICE",IF($Z276=5,"ESCALATED TO CBE",IF($AA276=TODAY(),"EMAIL SENT","MONITORING"))))))))))</f>
        <v/>
      </c>
      <c r="V276" s="17">
        <f>IF($U276="",IF(AND(COUNTA($A276:$L276)&gt;0,$N276=""),"Awaiting Collection Email time stamp.",""),IF(OR($U276="PAID",$U276="CLOSED"),IF($U276="PAID","Account paid. Action completed.","Account closed. No further action required."),CHOOSE($Z276,"Collection Email","1st Email Follow-up","2nd Email Follow-up","Escalation to Local Office","Escalation to CBE","Escalation to Roxanne")&amp;" sent "&amp;TEXT($AA276,"dd-mmm")&amp;". "&amp;IF($Z276=6,"Final escalation completed.",IF($U276="OVERDUE","Next: "&amp;$AC276&amp;" was due "&amp;TEXT($AB276,"dd-mmm")&amp;" - "&amp;(NETWORKDAYS($AB276,TODAY(),Holidays)-1)&amp;" business day(s) late. Send now.",IF($U276="DUE TOMORROW","Next: "&amp;$AC276&amp;IF($AB276&lt;=TODAY()," is due TODAY ("," is due next business day (")&amp;TEXT($AB276,"dd-mmm")&amp;").","Next: "&amp;$AC276&amp;" due "&amp;TEXT($AB276,"dd-mmm")&amp;" ("&amp;(NETWORKDAYS(TODAY(),$AB276,Holidays)-1)&amp;" business day(s) left).")))))</f>
        <v/>
      </c>
      <c r="W276" s="17">
        <f>IF($Z276="","",CHOOSE($Z276,"Collection Email","1st Follow-up","2nd Follow-up","Local Office","CBE","Roxanne")&amp;IF($Z276=6," - Final"," - Day "&amp;MAX(0,NETWORKDAYS($AA276,TODAY(),Holidays)-1)&amp;" of "&amp;CHOOSE($Z276,3,3,2,2,3))&amp;" | Total Day "&amp;MAX(0,NETWORKDAYS($N276,TODAY(),Holidays)-1))</f>
        <v/>
      </c>
      <c r="X276" s="18"/>
      <c r="Y276" s="18"/>
      <c r="Z276" s="17">
        <f>IF($N276="","",COUNT($N276:$S276))</f>
        <v/>
      </c>
      <c r="AA276" s="19">
        <f>IF($Z276="","",INT(INDEX($N276:$S276,$Z276)))</f>
        <v/>
      </c>
      <c r="AB276" s="19">
        <f>IF(OR($Z276="",$Z276=6),"",WORKDAY($AA276,CHOOSE($Z276,3,3,2,2,3),Holidays))</f>
        <v/>
      </c>
      <c r="AC276" s="17">
        <f>IF(OR($Z276="",$Z276=6),"",CHOOSE($Z276,"1st Email Follow-up","2nd Email Follow-up","Escalate Local Office","Escalate to CBE","Escalate to Roxanne"))</f>
        <v/>
      </c>
    </row>
    <row r="277" spans="13:29">
      <c r="M277" s="14"/>
      <c r="T277" s="16"/>
      <c r="U277" s="17">
        <f>IF(AND(COUNTA($A277:$L277)=0,$N277=""),"",IF($T277="Paid","PAID",IF($T277="Closed","CLOSED",IF($Z277="","",IF($Z277=6,"ESCALATED TO ROXANNE",IF(TODAY()&gt;$AB277,"OVERDUE",IF($AB277&lt;=WORKDAY(TODAY(),1,Holidays),"DUE TOMORROW",IF($Z277=4,"ESCALATED TO LOCAL OFFICE",IF($Z277=5,"ESCALATED TO CBE",IF($AA277=TODAY(),"EMAIL SENT","MONITORING"))))))))))</f>
        <v/>
      </c>
      <c r="V277" s="17">
        <f>IF($U277="",IF(AND(COUNTA($A277:$L277)&gt;0,$N277=""),"Awaiting Collection Email time stamp.",""),IF(OR($U277="PAID",$U277="CLOSED"),IF($U277="PAID","Account paid. Action completed.","Account closed. No further action required."),CHOOSE($Z277,"Collection Email","1st Email Follow-up","2nd Email Follow-up","Escalation to Local Office","Escalation to CBE","Escalation to Roxanne")&amp;" sent "&amp;TEXT($AA277,"dd-mmm")&amp;". "&amp;IF($Z277=6,"Final escalation completed.",IF($U277="OVERDUE","Next: "&amp;$AC277&amp;" was due "&amp;TEXT($AB277,"dd-mmm")&amp;" - "&amp;(NETWORKDAYS($AB277,TODAY(),Holidays)-1)&amp;" business day(s) late. Send now.",IF($U277="DUE TOMORROW","Next: "&amp;$AC277&amp;IF($AB277&lt;=TODAY()," is due TODAY ("," is due next business day (")&amp;TEXT($AB277,"dd-mmm")&amp;").","Next: "&amp;$AC277&amp;" due "&amp;TEXT($AB277,"dd-mmm")&amp;" ("&amp;(NETWORKDAYS(TODAY(),$AB277,Holidays)-1)&amp;" business day(s) left).")))))</f>
        <v/>
      </c>
      <c r="W277" s="17">
        <f>IF($Z277="","",CHOOSE($Z277,"Collection Email","1st Follow-up","2nd Follow-up","Local Office","CBE","Roxanne")&amp;IF($Z277=6," - Final"," - Day "&amp;MAX(0,NETWORKDAYS($AA277,TODAY(),Holidays)-1)&amp;" of "&amp;CHOOSE($Z277,3,3,2,2,3))&amp;" | Total Day "&amp;MAX(0,NETWORKDAYS($N277,TODAY(),Holidays)-1))</f>
        <v/>
      </c>
      <c r="X277" s="18"/>
      <c r="Y277" s="18"/>
      <c r="Z277" s="17">
        <f>IF($N277="","",COUNT($N277:$S277))</f>
        <v/>
      </c>
      <c r="AA277" s="19">
        <f>IF($Z277="","",INT(INDEX($N277:$S277,$Z277)))</f>
        <v/>
      </c>
      <c r="AB277" s="19">
        <f>IF(OR($Z277="",$Z277=6),"",WORKDAY($AA277,CHOOSE($Z277,3,3,2,2,3),Holidays))</f>
        <v/>
      </c>
      <c r="AC277" s="17">
        <f>IF(OR($Z277="",$Z277=6),"",CHOOSE($Z277,"1st Email Follow-up","2nd Email Follow-up","Escalate Local Office","Escalate to CBE","Escalate to Roxanne"))</f>
        <v/>
      </c>
    </row>
    <row r="278" spans="13:29">
      <c r="M278" s="14"/>
      <c r="T278" s="16"/>
      <c r="U278" s="17">
        <f>IF(AND(COUNTA($A278:$L278)=0,$N278=""),"",IF($T278="Paid","PAID",IF($T278="Closed","CLOSED",IF($Z278="","",IF($Z278=6,"ESCALATED TO ROXANNE",IF(TODAY()&gt;$AB278,"OVERDUE",IF($AB278&lt;=WORKDAY(TODAY(),1,Holidays),"DUE TOMORROW",IF($Z278=4,"ESCALATED TO LOCAL OFFICE",IF($Z278=5,"ESCALATED TO CBE",IF($AA278=TODAY(),"EMAIL SENT","MONITORING"))))))))))</f>
        <v/>
      </c>
      <c r="V278" s="17">
        <f>IF($U278="",IF(AND(COUNTA($A278:$L278)&gt;0,$N278=""),"Awaiting Collection Email time stamp.",""),IF(OR($U278="PAID",$U278="CLOSED"),IF($U278="PAID","Account paid. Action completed.","Account closed. No further action required."),CHOOSE($Z278,"Collection Email","1st Email Follow-up","2nd Email Follow-up","Escalation to Local Office","Escalation to CBE","Escalation to Roxanne")&amp;" sent "&amp;TEXT($AA278,"dd-mmm")&amp;". "&amp;IF($Z278=6,"Final escalation completed.",IF($U278="OVERDUE","Next: "&amp;$AC278&amp;" was due "&amp;TEXT($AB278,"dd-mmm")&amp;" - "&amp;(NETWORKDAYS($AB278,TODAY(),Holidays)-1)&amp;" business day(s) late. Send now.",IF($U278="DUE TOMORROW","Next: "&amp;$AC278&amp;IF($AB278&lt;=TODAY()," is due TODAY ("," is due next business day (")&amp;TEXT($AB278,"dd-mmm")&amp;").","Next: "&amp;$AC278&amp;" due "&amp;TEXT($AB278,"dd-mmm")&amp;" ("&amp;(NETWORKDAYS(TODAY(),$AB278,Holidays)-1)&amp;" business day(s) left).")))))</f>
        <v/>
      </c>
      <c r="W278" s="17">
        <f>IF($Z278="","",CHOOSE($Z278,"Collection Email","1st Follow-up","2nd Follow-up","Local Office","CBE","Roxanne")&amp;IF($Z278=6," - Final"," - Day "&amp;MAX(0,NETWORKDAYS($AA278,TODAY(),Holidays)-1)&amp;" of "&amp;CHOOSE($Z278,3,3,2,2,3))&amp;" | Total Day "&amp;MAX(0,NETWORKDAYS($N278,TODAY(),Holidays)-1))</f>
        <v/>
      </c>
      <c r="X278" s="18"/>
      <c r="Y278" s="18"/>
      <c r="Z278" s="17">
        <f>IF($N278="","",COUNT($N278:$S278))</f>
        <v/>
      </c>
      <c r="AA278" s="19">
        <f>IF($Z278="","",INT(INDEX($N278:$S278,$Z278)))</f>
        <v/>
      </c>
      <c r="AB278" s="19">
        <f>IF(OR($Z278="",$Z278=6),"",WORKDAY($AA278,CHOOSE($Z278,3,3,2,2,3),Holidays))</f>
        <v/>
      </c>
      <c r="AC278" s="17">
        <f>IF(OR($Z278="",$Z278=6),"",CHOOSE($Z278,"1st Email Follow-up","2nd Email Follow-up","Escalate Local Office","Escalate to CBE","Escalate to Roxanne"))</f>
        <v/>
      </c>
    </row>
    <row r="279" spans="13:29">
      <c r="M279" s="14"/>
      <c r="T279" s="16"/>
      <c r="U279" s="17">
        <f>IF(AND(COUNTA($A279:$L279)=0,$N279=""),"",IF($T279="Paid","PAID",IF($T279="Closed","CLOSED",IF($Z279="","",IF($Z279=6,"ESCALATED TO ROXANNE",IF(TODAY()&gt;$AB279,"OVERDUE",IF($AB279&lt;=WORKDAY(TODAY(),1,Holidays),"DUE TOMORROW",IF($Z279=4,"ESCALATED TO LOCAL OFFICE",IF($Z279=5,"ESCALATED TO CBE",IF($AA279=TODAY(),"EMAIL SENT","MONITORING"))))))))))</f>
        <v/>
      </c>
      <c r="V279" s="17">
        <f>IF($U279="",IF(AND(COUNTA($A279:$L279)&gt;0,$N279=""),"Awaiting Collection Email time stamp.",""),IF(OR($U279="PAID",$U279="CLOSED"),IF($U279="PAID","Account paid. Action completed.","Account closed. No further action required."),CHOOSE($Z279,"Collection Email","1st Email Follow-up","2nd Email Follow-up","Escalation to Local Office","Escalation to CBE","Escalation to Roxanne")&amp;" sent "&amp;TEXT($AA279,"dd-mmm")&amp;". "&amp;IF($Z279=6,"Final escalation completed.",IF($U279="OVERDUE","Next: "&amp;$AC279&amp;" was due "&amp;TEXT($AB279,"dd-mmm")&amp;" - "&amp;(NETWORKDAYS($AB279,TODAY(),Holidays)-1)&amp;" business day(s) late. Send now.",IF($U279="DUE TOMORROW","Next: "&amp;$AC279&amp;IF($AB279&lt;=TODAY()," is due TODAY ("," is due next business day (")&amp;TEXT($AB279,"dd-mmm")&amp;").","Next: "&amp;$AC279&amp;" due "&amp;TEXT($AB279,"dd-mmm")&amp;" ("&amp;(NETWORKDAYS(TODAY(),$AB279,Holidays)-1)&amp;" business day(s) left).")))))</f>
        <v/>
      </c>
      <c r="W279" s="17">
        <f>IF($Z279="","",CHOOSE($Z279,"Collection Email","1st Follow-up","2nd Follow-up","Local Office","CBE","Roxanne")&amp;IF($Z279=6," - Final"," - Day "&amp;MAX(0,NETWORKDAYS($AA279,TODAY(),Holidays)-1)&amp;" of "&amp;CHOOSE($Z279,3,3,2,2,3))&amp;" | Total Day "&amp;MAX(0,NETWORKDAYS($N279,TODAY(),Holidays)-1))</f>
        <v/>
      </c>
      <c r="X279" s="18"/>
      <c r="Y279" s="18"/>
      <c r="Z279" s="17">
        <f>IF($N279="","",COUNT($N279:$S279))</f>
        <v/>
      </c>
      <c r="AA279" s="19">
        <f>IF($Z279="","",INT(INDEX($N279:$S279,$Z279)))</f>
        <v/>
      </c>
      <c r="AB279" s="19">
        <f>IF(OR($Z279="",$Z279=6),"",WORKDAY($AA279,CHOOSE($Z279,3,3,2,2,3),Holidays))</f>
        <v/>
      </c>
      <c r="AC279" s="17">
        <f>IF(OR($Z279="",$Z279=6),"",CHOOSE($Z279,"1st Email Follow-up","2nd Email Follow-up","Escalate Local Office","Escalate to CBE","Escalate to Roxanne"))</f>
        <v/>
      </c>
    </row>
    <row r="280" spans="13:29">
      <c r="M280" s="14"/>
      <c r="T280" s="16"/>
      <c r="U280" s="17">
        <f>IF(AND(COUNTA($A280:$L280)=0,$N280=""),"",IF($T280="Paid","PAID",IF($T280="Closed","CLOSED",IF($Z280="","",IF($Z280=6,"ESCALATED TO ROXANNE",IF(TODAY()&gt;$AB280,"OVERDUE",IF($AB280&lt;=WORKDAY(TODAY(),1,Holidays),"DUE TOMORROW",IF($Z280=4,"ESCALATED TO LOCAL OFFICE",IF($Z280=5,"ESCALATED TO CBE",IF($AA280=TODAY(),"EMAIL SENT","MONITORING"))))))))))</f>
        <v/>
      </c>
      <c r="V280" s="17">
        <f>IF($U280="",IF(AND(COUNTA($A280:$L280)&gt;0,$N280=""),"Awaiting Collection Email time stamp.",""),IF(OR($U280="PAID",$U280="CLOSED"),IF($U280="PAID","Account paid. Action completed.","Account closed. No further action required."),CHOOSE($Z280,"Collection Email","1st Email Follow-up","2nd Email Follow-up","Escalation to Local Office","Escalation to CBE","Escalation to Roxanne")&amp;" sent "&amp;TEXT($AA280,"dd-mmm")&amp;". "&amp;IF($Z280=6,"Final escalation completed.",IF($U280="OVERDUE","Next: "&amp;$AC280&amp;" was due "&amp;TEXT($AB280,"dd-mmm")&amp;" - "&amp;(NETWORKDAYS($AB280,TODAY(),Holidays)-1)&amp;" business day(s) late. Send now.",IF($U280="DUE TOMORROW","Next: "&amp;$AC280&amp;IF($AB280&lt;=TODAY()," is due TODAY ("," is due next business day (")&amp;TEXT($AB280,"dd-mmm")&amp;").","Next: "&amp;$AC280&amp;" due "&amp;TEXT($AB280,"dd-mmm")&amp;" ("&amp;(NETWORKDAYS(TODAY(),$AB280,Holidays)-1)&amp;" business day(s) left).")))))</f>
        <v/>
      </c>
      <c r="W280" s="17">
        <f>IF($Z280="","",CHOOSE($Z280,"Collection Email","1st Follow-up","2nd Follow-up","Local Office","CBE","Roxanne")&amp;IF($Z280=6," - Final"," - Day "&amp;MAX(0,NETWORKDAYS($AA280,TODAY(),Holidays)-1)&amp;" of "&amp;CHOOSE($Z280,3,3,2,2,3))&amp;" | Total Day "&amp;MAX(0,NETWORKDAYS($N280,TODAY(),Holidays)-1))</f>
        <v/>
      </c>
      <c r="X280" s="18"/>
      <c r="Y280" s="18"/>
      <c r="Z280" s="17">
        <f>IF($N280="","",COUNT($N280:$S280))</f>
        <v/>
      </c>
      <c r="AA280" s="19">
        <f>IF($Z280="","",INT(INDEX($N280:$S280,$Z280)))</f>
        <v/>
      </c>
      <c r="AB280" s="19">
        <f>IF(OR($Z280="",$Z280=6),"",WORKDAY($AA280,CHOOSE($Z280,3,3,2,2,3),Holidays))</f>
        <v/>
      </c>
      <c r="AC280" s="17">
        <f>IF(OR($Z280="",$Z280=6),"",CHOOSE($Z280,"1st Email Follow-up","2nd Email Follow-up","Escalate Local Office","Escalate to CBE","Escalate to Roxanne"))</f>
        <v/>
      </c>
    </row>
    <row r="281" spans="13:29">
      <c r="M281" s="14"/>
      <c r="T281" s="16"/>
      <c r="U281" s="17">
        <f>IF(AND(COUNTA($A281:$L281)=0,$N281=""),"",IF($T281="Paid","PAID",IF($T281="Closed","CLOSED",IF($Z281="","",IF($Z281=6,"ESCALATED TO ROXANNE",IF(TODAY()&gt;$AB281,"OVERDUE",IF($AB281&lt;=WORKDAY(TODAY(),1,Holidays),"DUE TOMORROW",IF($Z281=4,"ESCALATED TO LOCAL OFFICE",IF($Z281=5,"ESCALATED TO CBE",IF($AA281=TODAY(),"EMAIL SENT","MONITORING"))))))))))</f>
        <v/>
      </c>
      <c r="V281" s="17">
        <f>IF($U281="",IF(AND(COUNTA($A281:$L281)&gt;0,$N281=""),"Awaiting Collection Email time stamp.",""),IF(OR($U281="PAID",$U281="CLOSED"),IF($U281="PAID","Account paid. Action completed.","Account closed. No further action required."),CHOOSE($Z281,"Collection Email","1st Email Follow-up","2nd Email Follow-up","Escalation to Local Office","Escalation to CBE","Escalation to Roxanne")&amp;" sent "&amp;TEXT($AA281,"dd-mmm")&amp;". "&amp;IF($Z281=6,"Final escalation completed.",IF($U281="OVERDUE","Next: "&amp;$AC281&amp;" was due "&amp;TEXT($AB281,"dd-mmm")&amp;" - "&amp;(NETWORKDAYS($AB281,TODAY(),Holidays)-1)&amp;" business day(s) late. Send now.",IF($U281="DUE TOMORROW","Next: "&amp;$AC281&amp;IF($AB281&lt;=TODAY()," is due TODAY ("," is due next business day (")&amp;TEXT($AB281,"dd-mmm")&amp;").","Next: "&amp;$AC281&amp;" due "&amp;TEXT($AB281,"dd-mmm")&amp;" ("&amp;(NETWORKDAYS(TODAY(),$AB281,Holidays)-1)&amp;" business day(s) left).")))))</f>
        <v/>
      </c>
      <c r="W281" s="17">
        <f>IF($Z281="","",CHOOSE($Z281,"Collection Email","1st Follow-up","2nd Follow-up","Local Office","CBE","Roxanne")&amp;IF($Z281=6," - Final"," - Day "&amp;MAX(0,NETWORKDAYS($AA281,TODAY(),Holidays)-1)&amp;" of "&amp;CHOOSE($Z281,3,3,2,2,3))&amp;" | Total Day "&amp;MAX(0,NETWORKDAYS($N281,TODAY(),Holidays)-1))</f>
        <v/>
      </c>
      <c r="X281" s="18"/>
      <c r="Y281" s="18"/>
      <c r="Z281" s="17">
        <f>IF($N281="","",COUNT($N281:$S281))</f>
        <v/>
      </c>
      <c r="AA281" s="19">
        <f>IF($Z281="","",INT(INDEX($N281:$S281,$Z281)))</f>
        <v/>
      </c>
      <c r="AB281" s="19">
        <f>IF(OR($Z281="",$Z281=6),"",WORKDAY($AA281,CHOOSE($Z281,3,3,2,2,3),Holidays))</f>
        <v/>
      </c>
      <c r="AC281" s="17">
        <f>IF(OR($Z281="",$Z281=6),"",CHOOSE($Z281,"1st Email Follow-up","2nd Email Follow-up","Escalate Local Office","Escalate to CBE","Escalate to Roxanne"))</f>
        <v/>
      </c>
    </row>
    <row r="282" spans="13:29">
      <c r="M282" s="14"/>
      <c r="T282" s="16"/>
      <c r="U282" s="17">
        <f>IF(AND(COUNTA($A282:$L282)=0,$N282=""),"",IF($T282="Paid","PAID",IF($T282="Closed","CLOSED",IF($Z282="","",IF($Z282=6,"ESCALATED TO ROXANNE",IF(TODAY()&gt;$AB282,"OVERDUE",IF($AB282&lt;=WORKDAY(TODAY(),1,Holidays),"DUE TOMORROW",IF($Z282=4,"ESCALATED TO LOCAL OFFICE",IF($Z282=5,"ESCALATED TO CBE",IF($AA282=TODAY(),"EMAIL SENT","MONITORING"))))))))))</f>
        <v/>
      </c>
      <c r="V282" s="17">
        <f>IF($U282="",IF(AND(COUNTA($A282:$L282)&gt;0,$N282=""),"Awaiting Collection Email time stamp.",""),IF(OR($U282="PAID",$U282="CLOSED"),IF($U282="PAID","Account paid. Action completed.","Account closed. No further action required."),CHOOSE($Z282,"Collection Email","1st Email Follow-up","2nd Email Follow-up","Escalation to Local Office","Escalation to CBE","Escalation to Roxanne")&amp;" sent "&amp;TEXT($AA282,"dd-mmm")&amp;". "&amp;IF($Z282=6,"Final escalation completed.",IF($U282="OVERDUE","Next: "&amp;$AC282&amp;" was due "&amp;TEXT($AB282,"dd-mmm")&amp;" - "&amp;(NETWORKDAYS($AB282,TODAY(),Holidays)-1)&amp;" business day(s) late. Send now.",IF($U282="DUE TOMORROW","Next: "&amp;$AC282&amp;IF($AB282&lt;=TODAY()," is due TODAY ("," is due next business day (")&amp;TEXT($AB282,"dd-mmm")&amp;").","Next: "&amp;$AC282&amp;" due "&amp;TEXT($AB282,"dd-mmm")&amp;" ("&amp;(NETWORKDAYS(TODAY(),$AB282,Holidays)-1)&amp;" business day(s) left).")))))</f>
        <v/>
      </c>
      <c r="W282" s="17">
        <f>IF($Z282="","",CHOOSE($Z282,"Collection Email","1st Follow-up","2nd Follow-up","Local Office","CBE","Roxanne")&amp;IF($Z282=6," - Final"," - Day "&amp;MAX(0,NETWORKDAYS($AA282,TODAY(),Holidays)-1)&amp;" of "&amp;CHOOSE($Z282,3,3,2,2,3))&amp;" | Total Day "&amp;MAX(0,NETWORKDAYS($N282,TODAY(),Holidays)-1))</f>
        <v/>
      </c>
      <c r="X282" s="18"/>
      <c r="Y282" s="18"/>
      <c r="Z282" s="17">
        <f>IF($N282="","",COUNT($N282:$S282))</f>
        <v/>
      </c>
      <c r="AA282" s="19">
        <f>IF($Z282="","",INT(INDEX($N282:$S282,$Z282)))</f>
        <v/>
      </c>
      <c r="AB282" s="19">
        <f>IF(OR($Z282="",$Z282=6),"",WORKDAY($AA282,CHOOSE($Z282,3,3,2,2,3),Holidays))</f>
        <v/>
      </c>
      <c r="AC282" s="17">
        <f>IF(OR($Z282="",$Z282=6),"",CHOOSE($Z282,"1st Email Follow-up","2nd Email Follow-up","Escalate Local Office","Escalate to CBE","Escalate to Roxanne"))</f>
        <v/>
      </c>
    </row>
    <row r="283" spans="13:29">
      <c r="M283" s="14"/>
      <c r="T283" s="16"/>
      <c r="U283" s="17">
        <f>IF(AND(COUNTA($A283:$L283)=0,$N283=""),"",IF($T283="Paid","PAID",IF($T283="Closed","CLOSED",IF($Z283="","",IF($Z283=6,"ESCALATED TO ROXANNE",IF(TODAY()&gt;$AB283,"OVERDUE",IF($AB283&lt;=WORKDAY(TODAY(),1,Holidays),"DUE TOMORROW",IF($Z283=4,"ESCALATED TO LOCAL OFFICE",IF($Z283=5,"ESCALATED TO CBE",IF($AA283=TODAY(),"EMAIL SENT","MONITORING"))))))))))</f>
        <v/>
      </c>
      <c r="V283" s="17">
        <f>IF($U283="",IF(AND(COUNTA($A283:$L283)&gt;0,$N283=""),"Awaiting Collection Email time stamp.",""),IF(OR($U283="PAID",$U283="CLOSED"),IF($U283="PAID","Account paid. Action completed.","Account closed. No further action required."),CHOOSE($Z283,"Collection Email","1st Email Follow-up","2nd Email Follow-up","Escalation to Local Office","Escalation to CBE","Escalation to Roxanne")&amp;" sent "&amp;TEXT($AA283,"dd-mmm")&amp;". "&amp;IF($Z283=6,"Final escalation completed.",IF($U283="OVERDUE","Next: "&amp;$AC283&amp;" was due "&amp;TEXT($AB283,"dd-mmm")&amp;" - "&amp;(NETWORKDAYS($AB283,TODAY(),Holidays)-1)&amp;" business day(s) late. Send now.",IF($U283="DUE TOMORROW","Next: "&amp;$AC283&amp;IF($AB283&lt;=TODAY()," is due TODAY ("," is due next business day (")&amp;TEXT($AB283,"dd-mmm")&amp;").","Next: "&amp;$AC283&amp;" due "&amp;TEXT($AB283,"dd-mmm")&amp;" ("&amp;(NETWORKDAYS(TODAY(),$AB283,Holidays)-1)&amp;" business day(s) left).")))))</f>
        <v/>
      </c>
      <c r="W283" s="17">
        <f>IF($Z283="","",CHOOSE($Z283,"Collection Email","1st Follow-up","2nd Follow-up","Local Office","CBE","Roxanne")&amp;IF($Z283=6," - Final"," - Day "&amp;MAX(0,NETWORKDAYS($AA283,TODAY(),Holidays)-1)&amp;" of "&amp;CHOOSE($Z283,3,3,2,2,3))&amp;" | Total Day "&amp;MAX(0,NETWORKDAYS($N283,TODAY(),Holidays)-1))</f>
        <v/>
      </c>
      <c r="X283" s="18"/>
      <c r="Y283" s="18"/>
      <c r="Z283" s="17">
        <f>IF($N283="","",COUNT($N283:$S283))</f>
        <v/>
      </c>
      <c r="AA283" s="19">
        <f>IF($Z283="","",INT(INDEX($N283:$S283,$Z283)))</f>
        <v/>
      </c>
      <c r="AB283" s="19">
        <f>IF(OR($Z283="",$Z283=6),"",WORKDAY($AA283,CHOOSE($Z283,3,3,2,2,3),Holidays))</f>
        <v/>
      </c>
      <c r="AC283" s="17">
        <f>IF(OR($Z283="",$Z283=6),"",CHOOSE($Z283,"1st Email Follow-up","2nd Email Follow-up","Escalate Local Office","Escalate to CBE","Escalate to Roxanne"))</f>
        <v/>
      </c>
    </row>
    <row r="284" spans="13:29">
      <c r="M284" s="14"/>
      <c r="T284" s="16"/>
      <c r="U284" s="17">
        <f>IF(AND(COUNTA($A284:$L284)=0,$N284=""),"",IF($T284="Paid","PAID",IF($T284="Closed","CLOSED",IF($Z284="","",IF($Z284=6,"ESCALATED TO ROXANNE",IF(TODAY()&gt;$AB284,"OVERDUE",IF($AB284&lt;=WORKDAY(TODAY(),1,Holidays),"DUE TOMORROW",IF($Z284=4,"ESCALATED TO LOCAL OFFICE",IF($Z284=5,"ESCALATED TO CBE",IF($AA284=TODAY(),"EMAIL SENT","MONITORING"))))))))))</f>
        <v/>
      </c>
      <c r="V284" s="17">
        <f>IF($U284="",IF(AND(COUNTA($A284:$L284)&gt;0,$N284=""),"Awaiting Collection Email time stamp.",""),IF(OR($U284="PAID",$U284="CLOSED"),IF($U284="PAID","Account paid. Action completed.","Account closed. No further action required."),CHOOSE($Z284,"Collection Email","1st Email Follow-up","2nd Email Follow-up","Escalation to Local Office","Escalation to CBE","Escalation to Roxanne")&amp;" sent "&amp;TEXT($AA284,"dd-mmm")&amp;". "&amp;IF($Z284=6,"Final escalation completed.",IF($U284="OVERDUE","Next: "&amp;$AC284&amp;" was due "&amp;TEXT($AB284,"dd-mmm")&amp;" - "&amp;(NETWORKDAYS($AB284,TODAY(),Holidays)-1)&amp;" business day(s) late. Send now.",IF($U284="DUE TOMORROW","Next: "&amp;$AC284&amp;IF($AB284&lt;=TODAY()," is due TODAY ("," is due next business day (")&amp;TEXT($AB284,"dd-mmm")&amp;").","Next: "&amp;$AC284&amp;" due "&amp;TEXT($AB284,"dd-mmm")&amp;" ("&amp;(NETWORKDAYS(TODAY(),$AB284,Holidays)-1)&amp;" business day(s) left).")))))</f>
        <v/>
      </c>
      <c r="W284" s="17">
        <f>IF($Z284="","",CHOOSE($Z284,"Collection Email","1st Follow-up","2nd Follow-up","Local Office","CBE","Roxanne")&amp;IF($Z284=6," - Final"," - Day "&amp;MAX(0,NETWORKDAYS($AA284,TODAY(),Holidays)-1)&amp;" of "&amp;CHOOSE($Z284,3,3,2,2,3))&amp;" | Total Day "&amp;MAX(0,NETWORKDAYS($N284,TODAY(),Holidays)-1))</f>
        <v/>
      </c>
      <c r="X284" s="18"/>
      <c r="Y284" s="18"/>
      <c r="Z284" s="17">
        <f>IF($N284="","",COUNT($N284:$S284))</f>
        <v/>
      </c>
      <c r="AA284" s="19">
        <f>IF($Z284="","",INT(INDEX($N284:$S284,$Z284)))</f>
        <v/>
      </c>
      <c r="AB284" s="19">
        <f>IF(OR($Z284="",$Z284=6),"",WORKDAY($AA284,CHOOSE($Z284,3,3,2,2,3),Holidays))</f>
        <v/>
      </c>
      <c r="AC284" s="17">
        <f>IF(OR($Z284="",$Z284=6),"",CHOOSE($Z284,"1st Email Follow-up","2nd Email Follow-up","Escalate Local Office","Escalate to CBE","Escalate to Roxanne"))</f>
        <v/>
      </c>
    </row>
    <row r="285" spans="13:29">
      <c r="M285" s="14"/>
      <c r="T285" s="16"/>
      <c r="U285" s="17">
        <f>IF(AND(COUNTA($A285:$L285)=0,$N285=""),"",IF($T285="Paid","PAID",IF($T285="Closed","CLOSED",IF($Z285="","",IF($Z285=6,"ESCALATED TO ROXANNE",IF(TODAY()&gt;$AB285,"OVERDUE",IF($AB285&lt;=WORKDAY(TODAY(),1,Holidays),"DUE TOMORROW",IF($Z285=4,"ESCALATED TO LOCAL OFFICE",IF($Z285=5,"ESCALATED TO CBE",IF($AA285=TODAY(),"EMAIL SENT","MONITORING"))))))))))</f>
        <v/>
      </c>
      <c r="V285" s="17">
        <f>IF($U285="",IF(AND(COUNTA($A285:$L285)&gt;0,$N285=""),"Awaiting Collection Email time stamp.",""),IF(OR($U285="PAID",$U285="CLOSED"),IF($U285="PAID","Account paid. Action completed.","Account closed. No further action required."),CHOOSE($Z285,"Collection Email","1st Email Follow-up","2nd Email Follow-up","Escalation to Local Office","Escalation to CBE","Escalation to Roxanne")&amp;" sent "&amp;TEXT($AA285,"dd-mmm")&amp;". "&amp;IF($Z285=6,"Final escalation completed.",IF($U285="OVERDUE","Next: "&amp;$AC285&amp;" was due "&amp;TEXT($AB285,"dd-mmm")&amp;" - "&amp;(NETWORKDAYS($AB285,TODAY(),Holidays)-1)&amp;" business day(s) late. Send now.",IF($U285="DUE TOMORROW","Next: "&amp;$AC285&amp;IF($AB285&lt;=TODAY()," is due TODAY ("," is due next business day (")&amp;TEXT($AB285,"dd-mmm")&amp;").","Next: "&amp;$AC285&amp;" due "&amp;TEXT($AB285,"dd-mmm")&amp;" ("&amp;(NETWORKDAYS(TODAY(),$AB285,Holidays)-1)&amp;" business day(s) left).")))))</f>
        <v/>
      </c>
      <c r="W285" s="17">
        <f>IF($Z285="","",CHOOSE($Z285,"Collection Email","1st Follow-up","2nd Follow-up","Local Office","CBE","Roxanne")&amp;IF($Z285=6," - Final"," - Day "&amp;MAX(0,NETWORKDAYS($AA285,TODAY(),Holidays)-1)&amp;" of "&amp;CHOOSE($Z285,3,3,2,2,3))&amp;" | Total Day "&amp;MAX(0,NETWORKDAYS($N285,TODAY(),Holidays)-1))</f>
        <v/>
      </c>
      <c r="X285" s="18"/>
      <c r="Y285" s="18"/>
      <c r="Z285" s="17">
        <f>IF($N285="","",COUNT($N285:$S285))</f>
        <v/>
      </c>
      <c r="AA285" s="19">
        <f>IF($Z285="","",INT(INDEX($N285:$S285,$Z285)))</f>
        <v/>
      </c>
      <c r="AB285" s="19">
        <f>IF(OR($Z285="",$Z285=6),"",WORKDAY($AA285,CHOOSE($Z285,3,3,2,2,3),Holidays))</f>
        <v/>
      </c>
      <c r="AC285" s="17">
        <f>IF(OR($Z285="",$Z285=6),"",CHOOSE($Z285,"1st Email Follow-up","2nd Email Follow-up","Escalate Local Office","Escalate to CBE","Escalate to Roxanne"))</f>
        <v/>
      </c>
    </row>
    <row r="286" spans="13:29">
      <c r="M286" s="14"/>
      <c r="T286" s="16"/>
      <c r="U286" s="17">
        <f>IF(AND(COUNTA($A286:$L286)=0,$N286=""),"",IF($T286="Paid","PAID",IF($T286="Closed","CLOSED",IF($Z286="","",IF($Z286=6,"ESCALATED TO ROXANNE",IF(TODAY()&gt;$AB286,"OVERDUE",IF($AB286&lt;=WORKDAY(TODAY(),1,Holidays),"DUE TOMORROW",IF($Z286=4,"ESCALATED TO LOCAL OFFICE",IF($Z286=5,"ESCALATED TO CBE",IF($AA286=TODAY(),"EMAIL SENT","MONITORING"))))))))))</f>
        <v/>
      </c>
      <c r="V286" s="17">
        <f>IF($U286="",IF(AND(COUNTA($A286:$L286)&gt;0,$N286=""),"Awaiting Collection Email time stamp.",""),IF(OR($U286="PAID",$U286="CLOSED"),IF($U286="PAID","Account paid. Action completed.","Account closed. No further action required."),CHOOSE($Z286,"Collection Email","1st Email Follow-up","2nd Email Follow-up","Escalation to Local Office","Escalation to CBE","Escalation to Roxanne")&amp;" sent "&amp;TEXT($AA286,"dd-mmm")&amp;". "&amp;IF($Z286=6,"Final escalation completed.",IF($U286="OVERDUE","Next: "&amp;$AC286&amp;" was due "&amp;TEXT($AB286,"dd-mmm")&amp;" - "&amp;(NETWORKDAYS($AB286,TODAY(),Holidays)-1)&amp;" business day(s) late. Send now.",IF($U286="DUE TOMORROW","Next: "&amp;$AC286&amp;IF($AB286&lt;=TODAY()," is due TODAY ("," is due next business day (")&amp;TEXT($AB286,"dd-mmm")&amp;").","Next: "&amp;$AC286&amp;" due "&amp;TEXT($AB286,"dd-mmm")&amp;" ("&amp;(NETWORKDAYS(TODAY(),$AB286,Holidays)-1)&amp;" business day(s) left).")))))</f>
        <v/>
      </c>
      <c r="W286" s="17">
        <f>IF($Z286="","",CHOOSE($Z286,"Collection Email","1st Follow-up","2nd Follow-up","Local Office","CBE","Roxanne")&amp;IF($Z286=6," - Final"," - Day "&amp;MAX(0,NETWORKDAYS($AA286,TODAY(),Holidays)-1)&amp;" of "&amp;CHOOSE($Z286,3,3,2,2,3))&amp;" | Total Day "&amp;MAX(0,NETWORKDAYS($N286,TODAY(),Holidays)-1))</f>
        <v/>
      </c>
      <c r="X286" s="18"/>
      <c r="Y286" s="18"/>
      <c r="Z286" s="17">
        <f>IF($N286="","",COUNT($N286:$S286))</f>
        <v/>
      </c>
      <c r="AA286" s="19">
        <f>IF($Z286="","",INT(INDEX($N286:$S286,$Z286)))</f>
        <v/>
      </c>
      <c r="AB286" s="19">
        <f>IF(OR($Z286="",$Z286=6),"",WORKDAY($AA286,CHOOSE($Z286,3,3,2,2,3),Holidays))</f>
        <v/>
      </c>
      <c r="AC286" s="17">
        <f>IF(OR($Z286="",$Z286=6),"",CHOOSE($Z286,"1st Email Follow-up","2nd Email Follow-up","Escalate Local Office","Escalate to CBE","Escalate to Roxanne"))</f>
        <v/>
      </c>
    </row>
    <row r="287" spans="13:29">
      <c r="M287" s="14"/>
      <c r="T287" s="16"/>
      <c r="U287" s="17">
        <f>IF(AND(COUNTA($A287:$L287)=0,$N287=""),"",IF($T287="Paid","PAID",IF($T287="Closed","CLOSED",IF($Z287="","",IF($Z287=6,"ESCALATED TO ROXANNE",IF(TODAY()&gt;$AB287,"OVERDUE",IF($AB287&lt;=WORKDAY(TODAY(),1,Holidays),"DUE TOMORROW",IF($Z287=4,"ESCALATED TO LOCAL OFFICE",IF($Z287=5,"ESCALATED TO CBE",IF($AA287=TODAY(),"EMAIL SENT","MONITORING"))))))))))</f>
        <v/>
      </c>
      <c r="V287" s="17">
        <f>IF($U287="",IF(AND(COUNTA($A287:$L287)&gt;0,$N287=""),"Awaiting Collection Email time stamp.",""),IF(OR($U287="PAID",$U287="CLOSED"),IF($U287="PAID","Account paid. Action completed.","Account closed. No further action required."),CHOOSE($Z287,"Collection Email","1st Email Follow-up","2nd Email Follow-up","Escalation to Local Office","Escalation to CBE","Escalation to Roxanne")&amp;" sent "&amp;TEXT($AA287,"dd-mmm")&amp;". "&amp;IF($Z287=6,"Final escalation completed.",IF($U287="OVERDUE","Next: "&amp;$AC287&amp;" was due "&amp;TEXT($AB287,"dd-mmm")&amp;" - "&amp;(NETWORKDAYS($AB287,TODAY(),Holidays)-1)&amp;" business day(s) late. Send now.",IF($U287="DUE TOMORROW","Next: "&amp;$AC287&amp;IF($AB287&lt;=TODAY()," is due TODAY ("," is due next business day (")&amp;TEXT($AB287,"dd-mmm")&amp;").","Next: "&amp;$AC287&amp;" due "&amp;TEXT($AB287,"dd-mmm")&amp;" ("&amp;(NETWORKDAYS(TODAY(),$AB287,Holidays)-1)&amp;" business day(s) left).")))))</f>
        <v/>
      </c>
      <c r="W287" s="17">
        <f>IF($Z287="","",CHOOSE($Z287,"Collection Email","1st Follow-up","2nd Follow-up","Local Office","CBE","Roxanne")&amp;IF($Z287=6," - Final"," - Day "&amp;MAX(0,NETWORKDAYS($AA287,TODAY(),Holidays)-1)&amp;" of "&amp;CHOOSE($Z287,3,3,2,2,3))&amp;" | Total Day "&amp;MAX(0,NETWORKDAYS($N287,TODAY(),Holidays)-1))</f>
        <v/>
      </c>
      <c r="X287" s="18"/>
      <c r="Y287" s="18"/>
      <c r="Z287" s="17">
        <f>IF($N287="","",COUNT($N287:$S287))</f>
        <v/>
      </c>
      <c r="AA287" s="19">
        <f>IF($Z287="","",INT(INDEX($N287:$S287,$Z287)))</f>
        <v/>
      </c>
      <c r="AB287" s="19">
        <f>IF(OR($Z287="",$Z287=6),"",WORKDAY($AA287,CHOOSE($Z287,3,3,2,2,3),Holidays))</f>
        <v/>
      </c>
      <c r="AC287" s="17">
        <f>IF(OR($Z287="",$Z287=6),"",CHOOSE($Z287,"1st Email Follow-up","2nd Email Follow-up","Escalate Local Office","Escalate to CBE","Escalate to Roxanne"))</f>
        <v/>
      </c>
    </row>
    <row r="288" spans="13:29">
      <c r="M288" s="14"/>
      <c r="T288" s="16"/>
      <c r="U288" s="17">
        <f>IF(AND(COUNTA($A288:$L288)=0,$N288=""),"",IF($T288="Paid","PAID",IF($T288="Closed","CLOSED",IF($Z288="","",IF($Z288=6,"ESCALATED TO ROXANNE",IF(TODAY()&gt;$AB288,"OVERDUE",IF($AB288&lt;=WORKDAY(TODAY(),1,Holidays),"DUE TOMORROW",IF($Z288=4,"ESCALATED TO LOCAL OFFICE",IF($Z288=5,"ESCALATED TO CBE",IF($AA288=TODAY(),"EMAIL SENT","MONITORING"))))))))))</f>
        <v/>
      </c>
      <c r="V288" s="17">
        <f>IF($U288="",IF(AND(COUNTA($A288:$L288)&gt;0,$N288=""),"Awaiting Collection Email time stamp.",""),IF(OR($U288="PAID",$U288="CLOSED"),IF($U288="PAID","Account paid. Action completed.","Account closed. No further action required."),CHOOSE($Z288,"Collection Email","1st Email Follow-up","2nd Email Follow-up","Escalation to Local Office","Escalation to CBE","Escalation to Roxanne")&amp;" sent "&amp;TEXT($AA288,"dd-mmm")&amp;". "&amp;IF($Z288=6,"Final escalation completed.",IF($U288="OVERDUE","Next: "&amp;$AC288&amp;" was due "&amp;TEXT($AB288,"dd-mmm")&amp;" - "&amp;(NETWORKDAYS($AB288,TODAY(),Holidays)-1)&amp;" business day(s) late. Send now.",IF($U288="DUE TOMORROW","Next: "&amp;$AC288&amp;IF($AB288&lt;=TODAY()," is due TODAY ("," is due next business day (")&amp;TEXT($AB288,"dd-mmm")&amp;").","Next: "&amp;$AC288&amp;" due "&amp;TEXT($AB288,"dd-mmm")&amp;" ("&amp;(NETWORKDAYS(TODAY(),$AB288,Holidays)-1)&amp;" business day(s) left).")))))</f>
        <v/>
      </c>
      <c r="W288" s="17">
        <f>IF($Z288="","",CHOOSE($Z288,"Collection Email","1st Follow-up","2nd Follow-up","Local Office","CBE","Roxanne")&amp;IF($Z288=6," - Final"," - Day "&amp;MAX(0,NETWORKDAYS($AA288,TODAY(),Holidays)-1)&amp;" of "&amp;CHOOSE($Z288,3,3,2,2,3))&amp;" | Total Day "&amp;MAX(0,NETWORKDAYS($N288,TODAY(),Holidays)-1))</f>
        <v/>
      </c>
      <c r="X288" s="18"/>
      <c r="Y288" s="18"/>
      <c r="Z288" s="17">
        <f>IF($N288="","",COUNT($N288:$S288))</f>
        <v/>
      </c>
      <c r="AA288" s="19">
        <f>IF($Z288="","",INT(INDEX($N288:$S288,$Z288)))</f>
        <v/>
      </c>
      <c r="AB288" s="19">
        <f>IF(OR($Z288="",$Z288=6),"",WORKDAY($AA288,CHOOSE($Z288,3,3,2,2,3),Holidays))</f>
        <v/>
      </c>
      <c r="AC288" s="17">
        <f>IF(OR($Z288="",$Z288=6),"",CHOOSE($Z288,"1st Email Follow-up","2nd Email Follow-up","Escalate Local Office","Escalate to CBE","Escalate to Roxanne"))</f>
        <v/>
      </c>
    </row>
    <row r="289" spans="13:29">
      <c r="M289" s="14"/>
      <c r="T289" s="16"/>
      <c r="U289" s="17">
        <f>IF(AND(COUNTA($A289:$L289)=0,$N289=""),"",IF($T289="Paid","PAID",IF($T289="Closed","CLOSED",IF($Z289="","",IF($Z289=6,"ESCALATED TO ROXANNE",IF(TODAY()&gt;$AB289,"OVERDUE",IF($AB289&lt;=WORKDAY(TODAY(),1,Holidays),"DUE TOMORROW",IF($Z289=4,"ESCALATED TO LOCAL OFFICE",IF($Z289=5,"ESCALATED TO CBE",IF($AA289=TODAY(),"EMAIL SENT","MONITORING"))))))))))</f>
        <v/>
      </c>
      <c r="V289" s="17">
        <f>IF($U289="",IF(AND(COUNTA($A289:$L289)&gt;0,$N289=""),"Awaiting Collection Email time stamp.",""),IF(OR($U289="PAID",$U289="CLOSED"),IF($U289="PAID","Account paid. Action completed.","Account closed. No further action required."),CHOOSE($Z289,"Collection Email","1st Email Follow-up","2nd Email Follow-up","Escalation to Local Office","Escalation to CBE","Escalation to Roxanne")&amp;" sent "&amp;TEXT($AA289,"dd-mmm")&amp;". "&amp;IF($Z289=6,"Final escalation completed.",IF($U289="OVERDUE","Next: "&amp;$AC289&amp;" was due "&amp;TEXT($AB289,"dd-mmm")&amp;" - "&amp;(NETWORKDAYS($AB289,TODAY(),Holidays)-1)&amp;" business day(s) late. Send now.",IF($U289="DUE TOMORROW","Next: "&amp;$AC289&amp;IF($AB289&lt;=TODAY()," is due TODAY ("," is due next business day (")&amp;TEXT($AB289,"dd-mmm")&amp;").","Next: "&amp;$AC289&amp;" due "&amp;TEXT($AB289,"dd-mmm")&amp;" ("&amp;(NETWORKDAYS(TODAY(),$AB289,Holidays)-1)&amp;" business day(s) left).")))))</f>
        <v/>
      </c>
      <c r="W289" s="17">
        <f>IF($Z289="","",CHOOSE($Z289,"Collection Email","1st Follow-up","2nd Follow-up","Local Office","CBE","Roxanne")&amp;IF($Z289=6," - Final"," - Day "&amp;MAX(0,NETWORKDAYS($AA289,TODAY(),Holidays)-1)&amp;" of "&amp;CHOOSE($Z289,3,3,2,2,3))&amp;" | Total Day "&amp;MAX(0,NETWORKDAYS($N289,TODAY(),Holidays)-1))</f>
        <v/>
      </c>
      <c r="X289" s="18"/>
      <c r="Y289" s="18"/>
      <c r="Z289" s="17">
        <f>IF($N289="","",COUNT($N289:$S289))</f>
        <v/>
      </c>
      <c r="AA289" s="19">
        <f>IF($Z289="","",INT(INDEX($N289:$S289,$Z289)))</f>
        <v/>
      </c>
      <c r="AB289" s="19">
        <f>IF(OR($Z289="",$Z289=6),"",WORKDAY($AA289,CHOOSE($Z289,3,3,2,2,3),Holidays))</f>
        <v/>
      </c>
      <c r="AC289" s="17">
        <f>IF(OR($Z289="",$Z289=6),"",CHOOSE($Z289,"1st Email Follow-up","2nd Email Follow-up","Escalate Local Office","Escalate to CBE","Escalate to Roxanne"))</f>
        <v/>
      </c>
    </row>
    <row r="290" spans="13:29">
      <c r="M290" s="14"/>
      <c r="T290" s="16"/>
      <c r="U290" s="17">
        <f>IF(AND(COUNTA($A290:$L290)=0,$N290=""),"",IF($T290="Paid","PAID",IF($T290="Closed","CLOSED",IF($Z290="","",IF($Z290=6,"ESCALATED TO ROXANNE",IF(TODAY()&gt;$AB290,"OVERDUE",IF($AB290&lt;=WORKDAY(TODAY(),1,Holidays),"DUE TOMORROW",IF($Z290=4,"ESCALATED TO LOCAL OFFICE",IF($Z290=5,"ESCALATED TO CBE",IF($AA290=TODAY(),"EMAIL SENT","MONITORING"))))))))))</f>
        <v/>
      </c>
      <c r="V290" s="17">
        <f>IF($U290="",IF(AND(COUNTA($A290:$L290)&gt;0,$N290=""),"Awaiting Collection Email time stamp.",""),IF(OR($U290="PAID",$U290="CLOSED"),IF($U290="PAID","Account paid. Action completed.","Account closed. No further action required."),CHOOSE($Z290,"Collection Email","1st Email Follow-up","2nd Email Follow-up","Escalation to Local Office","Escalation to CBE","Escalation to Roxanne")&amp;" sent "&amp;TEXT($AA290,"dd-mmm")&amp;". "&amp;IF($Z290=6,"Final escalation completed.",IF($U290="OVERDUE","Next: "&amp;$AC290&amp;" was due "&amp;TEXT($AB290,"dd-mmm")&amp;" - "&amp;(NETWORKDAYS($AB290,TODAY(),Holidays)-1)&amp;" business day(s) late. Send now.",IF($U290="DUE TOMORROW","Next: "&amp;$AC290&amp;IF($AB290&lt;=TODAY()," is due TODAY ("," is due next business day (")&amp;TEXT($AB290,"dd-mmm")&amp;").","Next: "&amp;$AC290&amp;" due "&amp;TEXT($AB290,"dd-mmm")&amp;" ("&amp;(NETWORKDAYS(TODAY(),$AB290,Holidays)-1)&amp;" business day(s) left).")))))</f>
        <v/>
      </c>
      <c r="W290" s="17">
        <f>IF($Z290="","",CHOOSE($Z290,"Collection Email","1st Follow-up","2nd Follow-up","Local Office","CBE","Roxanne")&amp;IF($Z290=6," - Final"," - Day "&amp;MAX(0,NETWORKDAYS($AA290,TODAY(),Holidays)-1)&amp;" of "&amp;CHOOSE($Z290,3,3,2,2,3))&amp;" | Total Day "&amp;MAX(0,NETWORKDAYS($N290,TODAY(),Holidays)-1))</f>
        <v/>
      </c>
      <c r="X290" s="18"/>
      <c r="Y290" s="18"/>
      <c r="Z290" s="17">
        <f>IF($N290="","",COUNT($N290:$S290))</f>
        <v/>
      </c>
      <c r="AA290" s="19">
        <f>IF($Z290="","",INT(INDEX($N290:$S290,$Z290)))</f>
        <v/>
      </c>
      <c r="AB290" s="19">
        <f>IF(OR($Z290="",$Z290=6),"",WORKDAY($AA290,CHOOSE($Z290,3,3,2,2,3),Holidays))</f>
        <v/>
      </c>
      <c r="AC290" s="17">
        <f>IF(OR($Z290="",$Z290=6),"",CHOOSE($Z290,"1st Email Follow-up","2nd Email Follow-up","Escalate Local Office","Escalate to CBE","Escalate to Roxanne"))</f>
        <v/>
      </c>
    </row>
    <row r="291" spans="13:29">
      <c r="M291" s="14"/>
      <c r="T291" s="16"/>
      <c r="U291" s="17">
        <f>IF(AND(COUNTA($A291:$L291)=0,$N291=""),"",IF($T291="Paid","PAID",IF($T291="Closed","CLOSED",IF($Z291="","",IF($Z291=6,"ESCALATED TO ROXANNE",IF(TODAY()&gt;$AB291,"OVERDUE",IF($AB291&lt;=WORKDAY(TODAY(),1,Holidays),"DUE TOMORROW",IF($Z291=4,"ESCALATED TO LOCAL OFFICE",IF($Z291=5,"ESCALATED TO CBE",IF($AA291=TODAY(),"EMAIL SENT","MONITORING"))))))))))</f>
        <v/>
      </c>
      <c r="V291" s="17">
        <f>IF($U291="",IF(AND(COUNTA($A291:$L291)&gt;0,$N291=""),"Awaiting Collection Email time stamp.",""),IF(OR($U291="PAID",$U291="CLOSED"),IF($U291="PAID","Account paid. Action completed.","Account closed. No further action required."),CHOOSE($Z291,"Collection Email","1st Email Follow-up","2nd Email Follow-up","Escalation to Local Office","Escalation to CBE","Escalation to Roxanne")&amp;" sent "&amp;TEXT($AA291,"dd-mmm")&amp;". "&amp;IF($Z291=6,"Final escalation completed.",IF($U291="OVERDUE","Next: "&amp;$AC291&amp;" was due "&amp;TEXT($AB291,"dd-mmm")&amp;" - "&amp;(NETWORKDAYS($AB291,TODAY(),Holidays)-1)&amp;" business day(s) late. Send now.",IF($U291="DUE TOMORROW","Next: "&amp;$AC291&amp;IF($AB291&lt;=TODAY()," is due TODAY ("," is due next business day (")&amp;TEXT($AB291,"dd-mmm")&amp;").","Next: "&amp;$AC291&amp;" due "&amp;TEXT($AB291,"dd-mmm")&amp;" ("&amp;(NETWORKDAYS(TODAY(),$AB291,Holidays)-1)&amp;" business day(s) left).")))))</f>
        <v/>
      </c>
      <c r="W291" s="17">
        <f>IF($Z291="","",CHOOSE($Z291,"Collection Email","1st Follow-up","2nd Follow-up","Local Office","CBE","Roxanne")&amp;IF($Z291=6," - Final"," - Day "&amp;MAX(0,NETWORKDAYS($AA291,TODAY(),Holidays)-1)&amp;" of "&amp;CHOOSE($Z291,3,3,2,2,3))&amp;" | Total Day "&amp;MAX(0,NETWORKDAYS($N291,TODAY(),Holidays)-1))</f>
        <v/>
      </c>
      <c r="X291" s="18"/>
      <c r="Y291" s="18"/>
      <c r="Z291" s="17">
        <f>IF($N291="","",COUNT($N291:$S291))</f>
        <v/>
      </c>
      <c r="AA291" s="19">
        <f>IF($Z291="","",INT(INDEX($N291:$S291,$Z291)))</f>
        <v/>
      </c>
      <c r="AB291" s="19">
        <f>IF(OR($Z291="",$Z291=6),"",WORKDAY($AA291,CHOOSE($Z291,3,3,2,2,3),Holidays))</f>
        <v/>
      </c>
      <c r="AC291" s="17">
        <f>IF(OR($Z291="",$Z291=6),"",CHOOSE($Z291,"1st Email Follow-up","2nd Email Follow-up","Escalate Local Office","Escalate to CBE","Escalate to Roxanne"))</f>
        <v/>
      </c>
    </row>
    <row r="292" spans="13:29">
      <c r="M292" s="14"/>
      <c r="T292" s="16"/>
      <c r="U292" s="17">
        <f>IF(AND(COUNTA($A292:$L292)=0,$N292=""),"",IF($T292="Paid","PAID",IF($T292="Closed","CLOSED",IF($Z292="","",IF($Z292=6,"ESCALATED TO ROXANNE",IF(TODAY()&gt;$AB292,"OVERDUE",IF($AB292&lt;=WORKDAY(TODAY(),1,Holidays),"DUE TOMORROW",IF($Z292=4,"ESCALATED TO LOCAL OFFICE",IF($Z292=5,"ESCALATED TO CBE",IF($AA292=TODAY(),"EMAIL SENT","MONITORING"))))))))))</f>
        <v/>
      </c>
      <c r="V292" s="17">
        <f>IF($U292="",IF(AND(COUNTA($A292:$L292)&gt;0,$N292=""),"Awaiting Collection Email time stamp.",""),IF(OR($U292="PAID",$U292="CLOSED"),IF($U292="PAID","Account paid. Action completed.","Account closed. No further action required."),CHOOSE($Z292,"Collection Email","1st Email Follow-up","2nd Email Follow-up","Escalation to Local Office","Escalation to CBE","Escalation to Roxanne")&amp;" sent "&amp;TEXT($AA292,"dd-mmm")&amp;". "&amp;IF($Z292=6,"Final escalation completed.",IF($U292="OVERDUE","Next: "&amp;$AC292&amp;" was due "&amp;TEXT($AB292,"dd-mmm")&amp;" - "&amp;(NETWORKDAYS($AB292,TODAY(),Holidays)-1)&amp;" business day(s) late. Send now.",IF($U292="DUE TOMORROW","Next: "&amp;$AC292&amp;IF($AB292&lt;=TODAY()," is due TODAY ("," is due next business day (")&amp;TEXT($AB292,"dd-mmm")&amp;").","Next: "&amp;$AC292&amp;" due "&amp;TEXT($AB292,"dd-mmm")&amp;" ("&amp;(NETWORKDAYS(TODAY(),$AB292,Holidays)-1)&amp;" business day(s) left).")))))</f>
        <v/>
      </c>
      <c r="W292" s="17">
        <f>IF($Z292="","",CHOOSE($Z292,"Collection Email","1st Follow-up","2nd Follow-up","Local Office","CBE","Roxanne")&amp;IF($Z292=6," - Final"," - Day "&amp;MAX(0,NETWORKDAYS($AA292,TODAY(),Holidays)-1)&amp;" of "&amp;CHOOSE($Z292,3,3,2,2,3))&amp;" | Total Day "&amp;MAX(0,NETWORKDAYS($N292,TODAY(),Holidays)-1))</f>
        <v/>
      </c>
      <c r="X292" s="18"/>
      <c r="Y292" s="18"/>
      <c r="Z292" s="17">
        <f>IF($N292="","",COUNT($N292:$S292))</f>
        <v/>
      </c>
      <c r="AA292" s="19">
        <f>IF($Z292="","",INT(INDEX($N292:$S292,$Z292)))</f>
        <v/>
      </c>
      <c r="AB292" s="19">
        <f>IF(OR($Z292="",$Z292=6),"",WORKDAY($AA292,CHOOSE($Z292,3,3,2,2,3),Holidays))</f>
        <v/>
      </c>
      <c r="AC292" s="17">
        <f>IF(OR($Z292="",$Z292=6),"",CHOOSE($Z292,"1st Email Follow-up","2nd Email Follow-up","Escalate Local Office","Escalate to CBE","Escalate to Roxanne"))</f>
        <v/>
      </c>
    </row>
    <row r="293" spans="13:29">
      <c r="M293" s="14"/>
      <c r="T293" s="16"/>
      <c r="U293" s="17">
        <f>IF(AND(COUNTA($A293:$L293)=0,$N293=""),"",IF($T293="Paid","PAID",IF($T293="Closed","CLOSED",IF($Z293="","",IF($Z293=6,"ESCALATED TO ROXANNE",IF(TODAY()&gt;$AB293,"OVERDUE",IF($AB293&lt;=WORKDAY(TODAY(),1,Holidays),"DUE TOMORROW",IF($Z293=4,"ESCALATED TO LOCAL OFFICE",IF($Z293=5,"ESCALATED TO CBE",IF($AA293=TODAY(),"EMAIL SENT","MONITORING"))))))))))</f>
        <v/>
      </c>
      <c r="V293" s="17">
        <f>IF($U293="",IF(AND(COUNTA($A293:$L293)&gt;0,$N293=""),"Awaiting Collection Email time stamp.",""),IF(OR($U293="PAID",$U293="CLOSED"),IF($U293="PAID","Account paid. Action completed.","Account closed. No further action required."),CHOOSE($Z293,"Collection Email","1st Email Follow-up","2nd Email Follow-up","Escalation to Local Office","Escalation to CBE","Escalation to Roxanne")&amp;" sent "&amp;TEXT($AA293,"dd-mmm")&amp;". "&amp;IF($Z293=6,"Final escalation completed.",IF($U293="OVERDUE","Next: "&amp;$AC293&amp;" was due "&amp;TEXT($AB293,"dd-mmm")&amp;" - "&amp;(NETWORKDAYS($AB293,TODAY(),Holidays)-1)&amp;" business day(s) late. Send now.",IF($U293="DUE TOMORROW","Next: "&amp;$AC293&amp;IF($AB293&lt;=TODAY()," is due TODAY ("," is due next business day (")&amp;TEXT($AB293,"dd-mmm")&amp;").","Next: "&amp;$AC293&amp;" due "&amp;TEXT($AB293,"dd-mmm")&amp;" ("&amp;(NETWORKDAYS(TODAY(),$AB293,Holidays)-1)&amp;" business day(s) left).")))))</f>
        <v/>
      </c>
      <c r="W293" s="17">
        <f>IF($Z293="","",CHOOSE($Z293,"Collection Email","1st Follow-up","2nd Follow-up","Local Office","CBE","Roxanne")&amp;IF($Z293=6," - Final"," - Day "&amp;MAX(0,NETWORKDAYS($AA293,TODAY(),Holidays)-1)&amp;" of "&amp;CHOOSE($Z293,3,3,2,2,3))&amp;" | Total Day "&amp;MAX(0,NETWORKDAYS($N293,TODAY(),Holidays)-1))</f>
        <v/>
      </c>
      <c r="X293" s="18"/>
      <c r="Y293" s="18"/>
      <c r="Z293" s="17">
        <f>IF($N293="","",COUNT($N293:$S293))</f>
        <v/>
      </c>
      <c r="AA293" s="19">
        <f>IF($Z293="","",INT(INDEX($N293:$S293,$Z293)))</f>
        <v/>
      </c>
      <c r="AB293" s="19">
        <f>IF(OR($Z293="",$Z293=6),"",WORKDAY($AA293,CHOOSE($Z293,3,3,2,2,3),Holidays))</f>
        <v/>
      </c>
      <c r="AC293" s="17">
        <f>IF(OR($Z293="",$Z293=6),"",CHOOSE($Z293,"1st Email Follow-up","2nd Email Follow-up","Escalate Local Office","Escalate to CBE","Escalate to Roxanne"))</f>
        <v/>
      </c>
    </row>
    <row r="294" spans="13:29">
      <c r="M294" s="14"/>
      <c r="T294" s="16"/>
      <c r="U294" s="17">
        <f>IF(AND(COUNTA($A294:$L294)=0,$N294=""),"",IF($T294="Paid","PAID",IF($T294="Closed","CLOSED",IF($Z294="","",IF($Z294=6,"ESCALATED TO ROXANNE",IF(TODAY()&gt;$AB294,"OVERDUE",IF($AB294&lt;=WORKDAY(TODAY(),1,Holidays),"DUE TOMORROW",IF($Z294=4,"ESCALATED TO LOCAL OFFICE",IF($Z294=5,"ESCALATED TO CBE",IF($AA294=TODAY(),"EMAIL SENT","MONITORING"))))))))))</f>
        <v/>
      </c>
      <c r="V294" s="17">
        <f>IF($U294="",IF(AND(COUNTA($A294:$L294)&gt;0,$N294=""),"Awaiting Collection Email time stamp.",""),IF(OR($U294="PAID",$U294="CLOSED"),IF($U294="PAID","Account paid. Action completed.","Account closed. No further action required."),CHOOSE($Z294,"Collection Email","1st Email Follow-up","2nd Email Follow-up","Escalation to Local Office","Escalation to CBE","Escalation to Roxanne")&amp;" sent "&amp;TEXT($AA294,"dd-mmm")&amp;". "&amp;IF($Z294=6,"Final escalation completed.",IF($U294="OVERDUE","Next: "&amp;$AC294&amp;" was due "&amp;TEXT($AB294,"dd-mmm")&amp;" - "&amp;(NETWORKDAYS($AB294,TODAY(),Holidays)-1)&amp;" business day(s) late. Send now.",IF($U294="DUE TOMORROW","Next: "&amp;$AC294&amp;IF($AB294&lt;=TODAY()," is due TODAY ("," is due next business day (")&amp;TEXT($AB294,"dd-mmm")&amp;").","Next: "&amp;$AC294&amp;" due "&amp;TEXT($AB294,"dd-mmm")&amp;" ("&amp;(NETWORKDAYS(TODAY(),$AB294,Holidays)-1)&amp;" business day(s) left).")))))</f>
        <v/>
      </c>
      <c r="W294" s="17">
        <f>IF($Z294="","",CHOOSE($Z294,"Collection Email","1st Follow-up","2nd Follow-up","Local Office","CBE","Roxanne")&amp;IF($Z294=6," - Final"," - Day "&amp;MAX(0,NETWORKDAYS($AA294,TODAY(),Holidays)-1)&amp;" of "&amp;CHOOSE($Z294,3,3,2,2,3))&amp;" | Total Day "&amp;MAX(0,NETWORKDAYS($N294,TODAY(),Holidays)-1))</f>
        <v/>
      </c>
      <c r="X294" s="18"/>
      <c r="Y294" s="18"/>
      <c r="Z294" s="17">
        <f>IF($N294="","",COUNT($N294:$S294))</f>
        <v/>
      </c>
      <c r="AA294" s="19">
        <f>IF($Z294="","",INT(INDEX($N294:$S294,$Z294)))</f>
        <v/>
      </c>
      <c r="AB294" s="19">
        <f>IF(OR($Z294="",$Z294=6),"",WORKDAY($AA294,CHOOSE($Z294,3,3,2,2,3),Holidays))</f>
        <v/>
      </c>
      <c r="AC294" s="17">
        <f>IF(OR($Z294="",$Z294=6),"",CHOOSE($Z294,"1st Email Follow-up","2nd Email Follow-up","Escalate Local Office","Escalate to CBE","Escalate to Roxanne"))</f>
        <v/>
      </c>
    </row>
    <row r="295" spans="13:29">
      <c r="M295" s="14"/>
      <c r="T295" s="16"/>
      <c r="U295" s="17">
        <f>IF(AND(COUNTA($A295:$L295)=0,$N295=""),"",IF($T295="Paid","PAID",IF($T295="Closed","CLOSED",IF($Z295="","",IF($Z295=6,"ESCALATED TO ROXANNE",IF(TODAY()&gt;$AB295,"OVERDUE",IF($AB295&lt;=WORKDAY(TODAY(),1,Holidays),"DUE TOMORROW",IF($Z295=4,"ESCALATED TO LOCAL OFFICE",IF($Z295=5,"ESCALATED TO CBE",IF($AA295=TODAY(),"EMAIL SENT","MONITORING"))))))))))</f>
        <v/>
      </c>
      <c r="V295" s="17">
        <f>IF($U295="",IF(AND(COUNTA($A295:$L295)&gt;0,$N295=""),"Awaiting Collection Email time stamp.",""),IF(OR($U295="PAID",$U295="CLOSED"),IF($U295="PAID","Account paid. Action completed.","Account closed. No further action required."),CHOOSE($Z295,"Collection Email","1st Email Follow-up","2nd Email Follow-up","Escalation to Local Office","Escalation to CBE","Escalation to Roxanne")&amp;" sent "&amp;TEXT($AA295,"dd-mmm")&amp;". "&amp;IF($Z295=6,"Final escalation completed.",IF($U295="OVERDUE","Next: "&amp;$AC295&amp;" was due "&amp;TEXT($AB295,"dd-mmm")&amp;" - "&amp;(NETWORKDAYS($AB295,TODAY(),Holidays)-1)&amp;" business day(s) late. Send now.",IF($U295="DUE TOMORROW","Next: "&amp;$AC295&amp;IF($AB295&lt;=TODAY()," is due TODAY ("," is due next business day (")&amp;TEXT($AB295,"dd-mmm")&amp;").","Next: "&amp;$AC295&amp;" due "&amp;TEXT($AB295,"dd-mmm")&amp;" ("&amp;(NETWORKDAYS(TODAY(),$AB295,Holidays)-1)&amp;" business day(s) left).")))))</f>
        <v/>
      </c>
      <c r="W295" s="17">
        <f>IF($Z295="","",CHOOSE($Z295,"Collection Email","1st Follow-up","2nd Follow-up","Local Office","CBE","Roxanne")&amp;IF($Z295=6," - Final"," - Day "&amp;MAX(0,NETWORKDAYS($AA295,TODAY(),Holidays)-1)&amp;" of "&amp;CHOOSE($Z295,3,3,2,2,3))&amp;" | Total Day "&amp;MAX(0,NETWORKDAYS($N295,TODAY(),Holidays)-1))</f>
        <v/>
      </c>
      <c r="X295" s="18"/>
      <c r="Y295" s="18"/>
      <c r="Z295" s="17">
        <f>IF($N295="","",COUNT($N295:$S295))</f>
        <v/>
      </c>
      <c r="AA295" s="19">
        <f>IF($Z295="","",INT(INDEX($N295:$S295,$Z295)))</f>
        <v/>
      </c>
      <c r="AB295" s="19">
        <f>IF(OR($Z295="",$Z295=6),"",WORKDAY($AA295,CHOOSE($Z295,3,3,2,2,3),Holidays))</f>
        <v/>
      </c>
      <c r="AC295" s="17">
        <f>IF(OR($Z295="",$Z295=6),"",CHOOSE($Z295,"1st Email Follow-up","2nd Email Follow-up","Escalate Local Office","Escalate to CBE","Escalate to Roxanne"))</f>
        <v/>
      </c>
    </row>
    <row r="296" spans="13:29">
      <c r="M296" s="14"/>
      <c r="T296" s="16"/>
      <c r="U296" s="17">
        <f>IF(AND(COUNTA($A296:$L296)=0,$N296=""),"",IF($T296="Paid","PAID",IF($T296="Closed","CLOSED",IF($Z296="","",IF($Z296=6,"ESCALATED TO ROXANNE",IF(TODAY()&gt;$AB296,"OVERDUE",IF($AB296&lt;=WORKDAY(TODAY(),1,Holidays),"DUE TOMORROW",IF($Z296=4,"ESCALATED TO LOCAL OFFICE",IF($Z296=5,"ESCALATED TO CBE",IF($AA296=TODAY(),"EMAIL SENT","MONITORING"))))))))))</f>
        <v/>
      </c>
      <c r="V296" s="17">
        <f>IF($U296="",IF(AND(COUNTA($A296:$L296)&gt;0,$N296=""),"Awaiting Collection Email time stamp.",""),IF(OR($U296="PAID",$U296="CLOSED"),IF($U296="PAID","Account paid. Action completed.","Account closed. No further action required."),CHOOSE($Z296,"Collection Email","1st Email Follow-up","2nd Email Follow-up","Escalation to Local Office","Escalation to CBE","Escalation to Roxanne")&amp;" sent "&amp;TEXT($AA296,"dd-mmm")&amp;". "&amp;IF($Z296=6,"Final escalation completed.",IF($U296="OVERDUE","Next: "&amp;$AC296&amp;" was due "&amp;TEXT($AB296,"dd-mmm")&amp;" - "&amp;(NETWORKDAYS($AB296,TODAY(),Holidays)-1)&amp;" business day(s) late. Send now.",IF($U296="DUE TOMORROW","Next: "&amp;$AC296&amp;IF($AB296&lt;=TODAY()," is due TODAY ("," is due next business day (")&amp;TEXT($AB296,"dd-mmm")&amp;").","Next: "&amp;$AC296&amp;" due "&amp;TEXT($AB296,"dd-mmm")&amp;" ("&amp;(NETWORKDAYS(TODAY(),$AB296,Holidays)-1)&amp;" business day(s) left).")))))</f>
        <v/>
      </c>
      <c r="W296" s="17">
        <f>IF($Z296="","",CHOOSE($Z296,"Collection Email","1st Follow-up","2nd Follow-up","Local Office","CBE","Roxanne")&amp;IF($Z296=6," - Final"," - Day "&amp;MAX(0,NETWORKDAYS($AA296,TODAY(),Holidays)-1)&amp;" of "&amp;CHOOSE($Z296,3,3,2,2,3))&amp;" | Total Day "&amp;MAX(0,NETWORKDAYS($N296,TODAY(),Holidays)-1))</f>
        <v/>
      </c>
      <c r="X296" s="18"/>
      <c r="Y296" s="18"/>
      <c r="Z296" s="17">
        <f>IF($N296="","",COUNT($N296:$S296))</f>
        <v/>
      </c>
      <c r="AA296" s="19">
        <f>IF($Z296="","",INT(INDEX($N296:$S296,$Z296)))</f>
        <v/>
      </c>
      <c r="AB296" s="19">
        <f>IF(OR($Z296="",$Z296=6),"",WORKDAY($AA296,CHOOSE($Z296,3,3,2,2,3),Holidays))</f>
        <v/>
      </c>
      <c r="AC296" s="17">
        <f>IF(OR($Z296="",$Z296=6),"",CHOOSE($Z296,"1st Email Follow-up","2nd Email Follow-up","Escalate Local Office","Escalate to CBE","Escalate to Roxanne"))</f>
        <v/>
      </c>
    </row>
    <row r="297" spans="13:29">
      <c r="M297" s="14"/>
      <c r="T297" s="16"/>
      <c r="U297" s="17">
        <f>IF(AND(COUNTA($A297:$L297)=0,$N297=""),"",IF($T297="Paid","PAID",IF($T297="Closed","CLOSED",IF($Z297="","",IF($Z297=6,"ESCALATED TO ROXANNE",IF(TODAY()&gt;$AB297,"OVERDUE",IF($AB297&lt;=WORKDAY(TODAY(),1,Holidays),"DUE TOMORROW",IF($Z297=4,"ESCALATED TO LOCAL OFFICE",IF($Z297=5,"ESCALATED TO CBE",IF($AA297=TODAY(),"EMAIL SENT","MONITORING"))))))))))</f>
        <v/>
      </c>
      <c r="V297" s="17">
        <f>IF($U297="",IF(AND(COUNTA($A297:$L297)&gt;0,$N297=""),"Awaiting Collection Email time stamp.",""),IF(OR($U297="PAID",$U297="CLOSED"),IF($U297="PAID","Account paid. Action completed.","Account closed. No further action required."),CHOOSE($Z297,"Collection Email","1st Email Follow-up","2nd Email Follow-up","Escalation to Local Office","Escalation to CBE","Escalation to Roxanne")&amp;" sent "&amp;TEXT($AA297,"dd-mmm")&amp;". "&amp;IF($Z297=6,"Final escalation completed.",IF($U297="OVERDUE","Next: "&amp;$AC297&amp;" was due "&amp;TEXT($AB297,"dd-mmm")&amp;" - "&amp;(NETWORKDAYS($AB297,TODAY(),Holidays)-1)&amp;" business day(s) late. Send now.",IF($U297="DUE TOMORROW","Next: "&amp;$AC297&amp;IF($AB297&lt;=TODAY()," is due TODAY ("," is due next business day (")&amp;TEXT($AB297,"dd-mmm")&amp;").","Next: "&amp;$AC297&amp;" due "&amp;TEXT($AB297,"dd-mmm")&amp;" ("&amp;(NETWORKDAYS(TODAY(),$AB297,Holidays)-1)&amp;" business day(s) left).")))))</f>
        <v/>
      </c>
      <c r="W297" s="17">
        <f>IF($Z297="","",CHOOSE($Z297,"Collection Email","1st Follow-up","2nd Follow-up","Local Office","CBE","Roxanne")&amp;IF($Z297=6," - Final"," - Day "&amp;MAX(0,NETWORKDAYS($AA297,TODAY(),Holidays)-1)&amp;" of "&amp;CHOOSE($Z297,3,3,2,2,3))&amp;" | Total Day "&amp;MAX(0,NETWORKDAYS($N297,TODAY(),Holidays)-1))</f>
        <v/>
      </c>
      <c r="X297" s="18"/>
      <c r="Y297" s="18"/>
      <c r="Z297" s="17">
        <f>IF($N297="","",COUNT($N297:$S297))</f>
        <v/>
      </c>
      <c r="AA297" s="19">
        <f>IF($Z297="","",INT(INDEX($N297:$S297,$Z297)))</f>
        <v/>
      </c>
      <c r="AB297" s="19">
        <f>IF(OR($Z297="",$Z297=6),"",WORKDAY($AA297,CHOOSE($Z297,3,3,2,2,3),Holidays))</f>
        <v/>
      </c>
      <c r="AC297" s="17">
        <f>IF(OR($Z297="",$Z297=6),"",CHOOSE($Z297,"1st Email Follow-up","2nd Email Follow-up","Escalate Local Office","Escalate to CBE","Escalate to Roxanne"))</f>
        <v/>
      </c>
    </row>
    <row r="298" spans="13:29">
      <c r="M298" s="14"/>
      <c r="T298" s="16"/>
      <c r="U298" s="17">
        <f>IF(AND(COUNTA($A298:$L298)=0,$N298=""),"",IF($T298="Paid","PAID",IF($T298="Closed","CLOSED",IF($Z298="","",IF($Z298=6,"ESCALATED TO ROXANNE",IF(TODAY()&gt;$AB298,"OVERDUE",IF($AB298&lt;=WORKDAY(TODAY(),1,Holidays),"DUE TOMORROW",IF($Z298=4,"ESCALATED TO LOCAL OFFICE",IF($Z298=5,"ESCALATED TO CBE",IF($AA298=TODAY(),"EMAIL SENT","MONITORING"))))))))))</f>
        <v/>
      </c>
      <c r="V298" s="17">
        <f>IF($U298="",IF(AND(COUNTA($A298:$L298)&gt;0,$N298=""),"Awaiting Collection Email time stamp.",""),IF(OR($U298="PAID",$U298="CLOSED"),IF($U298="PAID","Account paid. Action completed.","Account closed. No further action required."),CHOOSE($Z298,"Collection Email","1st Email Follow-up","2nd Email Follow-up","Escalation to Local Office","Escalation to CBE","Escalation to Roxanne")&amp;" sent "&amp;TEXT($AA298,"dd-mmm")&amp;". "&amp;IF($Z298=6,"Final escalation completed.",IF($U298="OVERDUE","Next: "&amp;$AC298&amp;" was due "&amp;TEXT($AB298,"dd-mmm")&amp;" - "&amp;(NETWORKDAYS($AB298,TODAY(),Holidays)-1)&amp;" business day(s) late. Send now.",IF($U298="DUE TOMORROW","Next: "&amp;$AC298&amp;IF($AB298&lt;=TODAY()," is due TODAY ("," is due next business day (")&amp;TEXT($AB298,"dd-mmm")&amp;").","Next: "&amp;$AC298&amp;" due "&amp;TEXT($AB298,"dd-mmm")&amp;" ("&amp;(NETWORKDAYS(TODAY(),$AB298,Holidays)-1)&amp;" business day(s) left).")))))</f>
        <v/>
      </c>
      <c r="W298" s="17">
        <f>IF($Z298="","",CHOOSE($Z298,"Collection Email","1st Follow-up","2nd Follow-up","Local Office","CBE","Roxanne")&amp;IF($Z298=6," - Final"," - Day "&amp;MAX(0,NETWORKDAYS($AA298,TODAY(),Holidays)-1)&amp;" of "&amp;CHOOSE($Z298,3,3,2,2,3))&amp;" | Total Day "&amp;MAX(0,NETWORKDAYS($N298,TODAY(),Holidays)-1))</f>
        <v/>
      </c>
      <c r="X298" s="18"/>
      <c r="Y298" s="18"/>
      <c r="Z298" s="17">
        <f>IF($N298="","",COUNT($N298:$S298))</f>
        <v/>
      </c>
      <c r="AA298" s="19">
        <f>IF($Z298="","",INT(INDEX($N298:$S298,$Z298)))</f>
        <v/>
      </c>
      <c r="AB298" s="19">
        <f>IF(OR($Z298="",$Z298=6),"",WORKDAY($AA298,CHOOSE($Z298,3,3,2,2,3),Holidays))</f>
        <v/>
      </c>
      <c r="AC298" s="17">
        <f>IF(OR($Z298="",$Z298=6),"",CHOOSE($Z298,"1st Email Follow-up","2nd Email Follow-up","Escalate Local Office","Escalate to CBE","Escalate to Roxanne"))</f>
        <v/>
      </c>
    </row>
    <row r="299" spans="13:29">
      <c r="M299" s="14"/>
      <c r="T299" s="16"/>
      <c r="U299" s="17">
        <f>IF(AND(COUNTA($A299:$L299)=0,$N299=""),"",IF($T299="Paid","PAID",IF($T299="Closed","CLOSED",IF($Z299="","",IF($Z299=6,"ESCALATED TO ROXANNE",IF(TODAY()&gt;$AB299,"OVERDUE",IF($AB299&lt;=WORKDAY(TODAY(),1,Holidays),"DUE TOMORROW",IF($Z299=4,"ESCALATED TO LOCAL OFFICE",IF($Z299=5,"ESCALATED TO CBE",IF($AA299=TODAY(),"EMAIL SENT","MONITORING"))))))))))</f>
        <v/>
      </c>
      <c r="V299" s="17">
        <f>IF($U299="",IF(AND(COUNTA($A299:$L299)&gt;0,$N299=""),"Awaiting Collection Email time stamp.",""),IF(OR($U299="PAID",$U299="CLOSED"),IF($U299="PAID","Account paid. Action completed.","Account closed. No further action required."),CHOOSE($Z299,"Collection Email","1st Email Follow-up","2nd Email Follow-up","Escalation to Local Office","Escalation to CBE","Escalation to Roxanne")&amp;" sent "&amp;TEXT($AA299,"dd-mmm")&amp;". "&amp;IF($Z299=6,"Final escalation completed.",IF($U299="OVERDUE","Next: "&amp;$AC299&amp;" was due "&amp;TEXT($AB299,"dd-mmm")&amp;" - "&amp;(NETWORKDAYS($AB299,TODAY(),Holidays)-1)&amp;" business day(s) late. Send now.",IF($U299="DUE TOMORROW","Next: "&amp;$AC299&amp;IF($AB299&lt;=TODAY()," is due TODAY ("," is due next business day (")&amp;TEXT($AB299,"dd-mmm")&amp;").","Next: "&amp;$AC299&amp;" due "&amp;TEXT($AB299,"dd-mmm")&amp;" ("&amp;(NETWORKDAYS(TODAY(),$AB299,Holidays)-1)&amp;" business day(s) left).")))))</f>
        <v/>
      </c>
      <c r="W299" s="17">
        <f>IF($Z299="","",CHOOSE($Z299,"Collection Email","1st Follow-up","2nd Follow-up","Local Office","CBE","Roxanne")&amp;IF($Z299=6," - Final"," - Day "&amp;MAX(0,NETWORKDAYS($AA299,TODAY(),Holidays)-1)&amp;" of "&amp;CHOOSE($Z299,3,3,2,2,3))&amp;" | Total Day "&amp;MAX(0,NETWORKDAYS($N299,TODAY(),Holidays)-1))</f>
        <v/>
      </c>
      <c r="X299" s="18"/>
      <c r="Y299" s="18"/>
      <c r="Z299" s="17">
        <f>IF($N299="","",COUNT($N299:$S299))</f>
        <v/>
      </c>
      <c r="AA299" s="19">
        <f>IF($Z299="","",INT(INDEX($N299:$S299,$Z299)))</f>
        <v/>
      </c>
      <c r="AB299" s="19">
        <f>IF(OR($Z299="",$Z299=6),"",WORKDAY($AA299,CHOOSE($Z299,3,3,2,2,3),Holidays))</f>
        <v/>
      </c>
      <c r="AC299" s="17">
        <f>IF(OR($Z299="",$Z299=6),"",CHOOSE($Z299,"1st Email Follow-up","2nd Email Follow-up","Escalate Local Office","Escalate to CBE","Escalate to Roxanne"))</f>
        <v/>
      </c>
    </row>
    <row r="300" spans="13:29">
      <c r="M300" s="14"/>
      <c r="T300" s="16"/>
      <c r="U300" s="17">
        <f>IF(AND(COUNTA($A300:$L300)=0,$N300=""),"",IF($T300="Paid","PAID",IF($T300="Closed","CLOSED",IF($Z300="","",IF($Z300=6,"ESCALATED TO ROXANNE",IF(TODAY()&gt;$AB300,"OVERDUE",IF($AB300&lt;=WORKDAY(TODAY(),1,Holidays),"DUE TOMORROW",IF($Z300=4,"ESCALATED TO LOCAL OFFICE",IF($Z300=5,"ESCALATED TO CBE",IF($AA300=TODAY(),"EMAIL SENT","MONITORING"))))))))))</f>
        <v/>
      </c>
      <c r="V300" s="17">
        <f>IF($U300="",IF(AND(COUNTA($A300:$L300)&gt;0,$N300=""),"Awaiting Collection Email time stamp.",""),IF(OR($U300="PAID",$U300="CLOSED"),IF($U300="PAID","Account paid. Action completed.","Account closed. No further action required."),CHOOSE($Z300,"Collection Email","1st Email Follow-up","2nd Email Follow-up","Escalation to Local Office","Escalation to CBE","Escalation to Roxanne")&amp;" sent "&amp;TEXT($AA300,"dd-mmm")&amp;". "&amp;IF($Z300=6,"Final escalation completed.",IF($U300="OVERDUE","Next: "&amp;$AC300&amp;" was due "&amp;TEXT($AB300,"dd-mmm")&amp;" - "&amp;(NETWORKDAYS($AB300,TODAY(),Holidays)-1)&amp;" business day(s) late. Send now.",IF($U300="DUE TOMORROW","Next: "&amp;$AC300&amp;IF($AB300&lt;=TODAY()," is due TODAY ("," is due next business day (")&amp;TEXT($AB300,"dd-mmm")&amp;").","Next: "&amp;$AC300&amp;" due "&amp;TEXT($AB300,"dd-mmm")&amp;" ("&amp;(NETWORKDAYS(TODAY(),$AB300,Holidays)-1)&amp;" business day(s) left).")))))</f>
        <v/>
      </c>
      <c r="W300" s="17">
        <f>IF($Z300="","",CHOOSE($Z300,"Collection Email","1st Follow-up","2nd Follow-up","Local Office","CBE","Roxanne")&amp;IF($Z300=6," - Final"," - Day "&amp;MAX(0,NETWORKDAYS($AA300,TODAY(),Holidays)-1)&amp;" of "&amp;CHOOSE($Z300,3,3,2,2,3))&amp;" | Total Day "&amp;MAX(0,NETWORKDAYS($N300,TODAY(),Holidays)-1))</f>
        <v/>
      </c>
      <c r="X300" s="18"/>
      <c r="Y300" s="18"/>
      <c r="Z300" s="17">
        <f>IF($N300="","",COUNT($N300:$S300))</f>
        <v/>
      </c>
      <c r="AA300" s="19">
        <f>IF($Z300="","",INT(INDEX($N300:$S300,$Z300)))</f>
        <v/>
      </c>
      <c r="AB300" s="19">
        <f>IF(OR($Z300="",$Z300=6),"",WORKDAY($AA300,CHOOSE($Z300,3,3,2,2,3),Holidays))</f>
        <v/>
      </c>
      <c r="AC300" s="17">
        <f>IF(OR($Z300="",$Z300=6),"",CHOOSE($Z300,"1st Email Follow-up","2nd Email Follow-up","Escalate Local Office","Escalate to CBE","Escalate to Roxanne"))</f>
        <v/>
      </c>
    </row>
    <row r="301" spans="13:29">
      <c r="M301" s="14"/>
      <c r="T301" s="16"/>
      <c r="U301" s="17">
        <f>IF(AND(COUNTA($A301:$L301)=0,$N301=""),"",IF($T301="Paid","PAID",IF($T301="Closed","CLOSED",IF($Z301="","",IF($Z301=6,"ESCALATED TO ROXANNE",IF(TODAY()&gt;$AB301,"OVERDUE",IF($AB301&lt;=WORKDAY(TODAY(),1,Holidays),"DUE TOMORROW",IF($Z301=4,"ESCALATED TO LOCAL OFFICE",IF($Z301=5,"ESCALATED TO CBE",IF($AA301=TODAY(),"EMAIL SENT","MONITORING"))))))))))</f>
        <v/>
      </c>
      <c r="V301" s="17">
        <f>IF($U301="",IF(AND(COUNTA($A301:$L301)&gt;0,$N301=""),"Awaiting Collection Email time stamp.",""),IF(OR($U301="PAID",$U301="CLOSED"),IF($U301="PAID","Account paid. Action completed.","Account closed. No further action required."),CHOOSE($Z301,"Collection Email","1st Email Follow-up","2nd Email Follow-up","Escalation to Local Office","Escalation to CBE","Escalation to Roxanne")&amp;" sent "&amp;TEXT($AA301,"dd-mmm")&amp;". "&amp;IF($Z301=6,"Final escalation completed.",IF($U301="OVERDUE","Next: "&amp;$AC301&amp;" was due "&amp;TEXT($AB301,"dd-mmm")&amp;" - "&amp;(NETWORKDAYS($AB301,TODAY(),Holidays)-1)&amp;" business day(s) late. Send now.",IF($U301="DUE TOMORROW","Next: "&amp;$AC301&amp;IF($AB301&lt;=TODAY()," is due TODAY ("," is due next business day (")&amp;TEXT($AB301,"dd-mmm")&amp;").","Next: "&amp;$AC301&amp;" due "&amp;TEXT($AB301,"dd-mmm")&amp;" ("&amp;(NETWORKDAYS(TODAY(),$AB301,Holidays)-1)&amp;" business day(s) left).")))))</f>
        <v/>
      </c>
      <c r="W301" s="17">
        <f>IF($Z301="","",CHOOSE($Z301,"Collection Email","1st Follow-up","2nd Follow-up","Local Office","CBE","Roxanne")&amp;IF($Z301=6," - Final"," - Day "&amp;MAX(0,NETWORKDAYS($AA301,TODAY(),Holidays)-1)&amp;" of "&amp;CHOOSE($Z301,3,3,2,2,3))&amp;" | Total Day "&amp;MAX(0,NETWORKDAYS($N301,TODAY(),Holidays)-1))</f>
        <v/>
      </c>
      <c r="X301" s="18"/>
      <c r="Y301" s="18"/>
      <c r="Z301" s="17">
        <f>IF($N301="","",COUNT($N301:$S301))</f>
        <v/>
      </c>
      <c r="AA301" s="19">
        <f>IF($Z301="","",INT(INDEX($N301:$S301,$Z301)))</f>
        <v/>
      </c>
      <c r="AB301" s="19">
        <f>IF(OR($Z301="",$Z301=6),"",WORKDAY($AA301,CHOOSE($Z301,3,3,2,2,3),Holidays))</f>
        <v/>
      </c>
      <c r="AC301" s="17">
        <f>IF(OR($Z301="",$Z301=6),"",CHOOSE($Z301,"1st Email Follow-up","2nd Email Follow-up","Escalate Local Office","Escalate to CBE","Escalate to Roxanne"))</f>
        <v/>
      </c>
    </row>
    <row r="302" spans="13:29">
      <c r="M302" s="14"/>
      <c r="T302" s="16"/>
      <c r="U302" s="17">
        <f>IF(AND(COUNTA($A302:$L302)=0,$N302=""),"",IF($T302="Paid","PAID",IF($T302="Closed","CLOSED",IF($Z302="","",IF($Z302=6,"ESCALATED TO ROXANNE",IF(TODAY()&gt;$AB302,"OVERDUE",IF($AB302&lt;=WORKDAY(TODAY(),1,Holidays),"DUE TOMORROW",IF($Z302=4,"ESCALATED TO LOCAL OFFICE",IF($Z302=5,"ESCALATED TO CBE",IF($AA302=TODAY(),"EMAIL SENT","MONITORING"))))))))))</f>
        <v/>
      </c>
      <c r="V302" s="17">
        <f>IF($U302="",IF(AND(COUNTA($A302:$L302)&gt;0,$N302=""),"Awaiting Collection Email time stamp.",""),IF(OR($U302="PAID",$U302="CLOSED"),IF($U302="PAID","Account paid. Action completed.","Account closed. No further action required."),CHOOSE($Z302,"Collection Email","1st Email Follow-up","2nd Email Follow-up","Escalation to Local Office","Escalation to CBE","Escalation to Roxanne")&amp;" sent "&amp;TEXT($AA302,"dd-mmm")&amp;". "&amp;IF($Z302=6,"Final escalation completed.",IF($U302="OVERDUE","Next: "&amp;$AC302&amp;" was due "&amp;TEXT($AB302,"dd-mmm")&amp;" - "&amp;(NETWORKDAYS($AB302,TODAY(),Holidays)-1)&amp;" business day(s) late. Send now.",IF($U302="DUE TOMORROW","Next: "&amp;$AC302&amp;IF($AB302&lt;=TODAY()," is due TODAY ("," is due next business day (")&amp;TEXT($AB302,"dd-mmm")&amp;").","Next: "&amp;$AC302&amp;" due "&amp;TEXT($AB302,"dd-mmm")&amp;" ("&amp;(NETWORKDAYS(TODAY(),$AB302,Holidays)-1)&amp;" business day(s) left).")))))</f>
        <v/>
      </c>
      <c r="W302" s="17">
        <f>IF($Z302="","",CHOOSE($Z302,"Collection Email","1st Follow-up","2nd Follow-up","Local Office","CBE","Roxanne")&amp;IF($Z302=6," - Final"," - Day "&amp;MAX(0,NETWORKDAYS($AA302,TODAY(),Holidays)-1)&amp;" of "&amp;CHOOSE($Z302,3,3,2,2,3))&amp;" | Total Day "&amp;MAX(0,NETWORKDAYS($N302,TODAY(),Holidays)-1))</f>
        <v/>
      </c>
      <c r="X302" s="18"/>
      <c r="Y302" s="18"/>
      <c r="Z302" s="17">
        <f>IF($N302="","",COUNT($N302:$S302))</f>
        <v/>
      </c>
      <c r="AA302" s="19">
        <f>IF($Z302="","",INT(INDEX($N302:$S302,$Z302)))</f>
        <v/>
      </c>
      <c r="AB302" s="19">
        <f>IF(OR($Z302="",$Z302=6),"",WORKDAY($AA302,CHOOSE($Z302,3,3,2,2,3),Holidays))</f>
        <v/>
      </c>
      <c r="AC302" s="17">
        <f>IF(OR($Z302="",$Z302=6),"",CHOOSE($Z302,"1st Email Follow-up","2nd Email Follow-up","Escalate Local Office","Escalate to CBE","Escalate to Roxanne"))</f>
        <v/>
      </c>
    </row>
    <row r="303" spans="13:29">
      <c r="M303" s="14"/>
      <c r="T303" s="16"/>
      <c r="U303" s="17">
        <f>IF(AND(COUNTA($A303:$L303)=0,$N303=""),"",IF($T303="Paid","PAID",IF($T303="Closed","CLOSED",IF($Z303="","",IF($Z303=6,"ESCALATED TO ROXANNE",IF(TODAY()&gt;$AB303,"OVERDUE",IF($AB303&lt;=WORKDAY(TODAY(),1,Holidays),"DUE TOMORROW",IF($Z303=4,"ESCALATED TO LOCAL OFFICE",IF($Z303=5,"ESCALATED TO CBE",IF($AA303=TODAY(),"EMAIL SENT","MONITORING"))))))))))</f>
        <v/>
      </c>
      <c r="V303" s="17">
        <f>IF($U303="",IF(AND(COUNTA($A303:$L303)&gt;0,$N303=""),"Awaiting Collection Email time stamp.",""),IF(OR($U303="PAID",$U303="CLOSED"),IF($U303="PAID","Account paid. Action completed.","Account closed. No further action required."),CHOOSE($Z303,"Collection Email","1st Email Follow-up","2nd Email Follow-up","Escalation to Local Office","Escalation to CBE","Escalation to Roxanne")&amp;" sent "&amp;TEXT($AA303,"dd-mmm")&amp;". "&amp;IF($Z303=6,"Final escalation completed.",IF($U303="OVERDUE","Next: "&amp;$AC303&amp;" was due "&amp;TEXT($AB303,"dd-mmm")&amp;" - "&amp;(NETWORKDAYS($AB303,TODAY(),Holidays)-1)&amp;" business day(s) late. Send now.",IF($U303="DUE TOMORROW","Next: "&amp;$AC303&amp;IF($AB303&lt;=TODAY()," is due TODAY ("," is due next business day (")&amp;TEXT($AB303,"dd-mmm")&amp;").","Next: "&amp;$AC303&amp;" due "&amp;TEXT($AB303,"dd-mmm")&amp;" ("&amp;(NETWORKDAYS(TODAY(),$AB303,Holidays)-1)&amp;" business day(s) left).")))))</f>
        <v/>
      </c>
      <c r="W303" s="17">
        <f>IF($Z303="","",CHOOSE($Z303,"Collection Email","1st Follow-up","2nd Follow-up","Local Office","CBE","Roxanne")&amp;IF($Z303=6," - Final"," - Day "&amp;MAX(0,NETWORKDAYS($AA303,TODAY(),Holidays)-1)&amp;" of "&amp;CHOOSE($Z303,3,3,2,2,3))&amp;" | Total Day "&amp;MAX(0,NETWORKDAYS($N303,TODAY(),Holidays)-1))</f>
        <v/>
      </c>
      <c r="X303" s="18"/>
      <c r="Y303" s="18"/>
      <c r="Z303" s="17">
        <f>IF($N303="","",COUNT($N303:$S303))</f>
        <v/>
      </c>
      <c r="AA303" s="19">
        <f>IF($Z303="","",INT(INDEX($N303:$S303,$Z303)))</f>
        <v/>
      </c>
      <c r="AB303" s="19">
        <f>IF(OR($Z303="",$Z303=6),"",WORKDAY($AA303,CHOOSE($Z303,3,3,2,2,3),Holidays))</f>
        <v/>
      </c>
      <c r="AC303" s="17">
        <f>IF(OR($Z303="",$Z303=6),"",CHOOSE($Z303,"1st Email Follow-up","2nd Email Follow-up","Escalate Local Office","Escalate to CBE","Escalate to Roxanne"))</f>
        <v/>
      </c>
    </row>
    <row r="304" spans="13:29">
      <c r="M304" s="14"/>
      <c r="T304" s="16"/>
      <c r="U304" s="17">
        <f>IF(AND(COUNTA($A304:$L304)=0,$N304=""),"",IF($T304="Paid","PAID",IF($T304="Closed","CLOSED",IF($Z304="","",IF($Z304=6,"ESCALATED TO ROXANNE",IF(TODAY()&gt;$AB304,"OVERDUE",IF($AB304&lt;=WORKDAY(TODAY(),1,Holidays),"DUE TOMORROW",IF($Z304=4,"ESCALATED TO LOCAL OFFICE",IF($Z304=5,"ESCALATED TO CBE",IF($AA304=TODAY(),"EMAIL SENT","MONITORING"))))))))))</f>
        <v/>
      </c>
      <c r="V304" s="17">
        <f>IF($U304="",IF(AND(COUNTA($A304:$L304)&gt;0,$N304=""),"Awaiting Collection Email time stamp.",""),IF(OR($U304="PAID",$U304="CLOSED"),IF($U304="PAID","Account paid. Action completed.","Account closed. No further action required."),CHOOSE($Z304,"Collection Email","1st Email Follow-up","2nd Email Follow-up","Escalation to Local Office","Escalation to CBE","Escalation to Roxanne")&amp;" sent "&amp;TEXT($AA304,"dd-mmm")&amp;". "&amp;IF($Z304=6,"Final escalation completed.",IF($U304="OVERDUE","Next: "&amp;$AC304&amp;" was due "&amp;TEXT($AB304,"dd-mmm")&amp;" - "&amp;(NETWORKDAYS($AB304,TODAY(),Holidays)-1)&amp;" business day(s) late. Send now.",IF($U304="DUE TOMORROW","Next: "&amp;$AC304&amp;IF($AB304&lt;=TODAY()," is due TODAY ("," is due next business day (")&amp;TEXT($AB304,"dd-mmm")&amp;").","Next: "&amp;$AC304&amp;" due "&amp;TEXT($AB304,"dd-mmm")&amp;" ("&amp;(NETWORKDAYS(TODAY(),$AB304,Holidays)-1)&amp;" business day(s) left).")))))</f>
        <v/>
      </c>
      <c r="W304" s="17">
        <f>IF($Z304="","",CHOOSE($Z304,"Collection Email","1st Follow-up","2nd Follow-up","Local Office","CBE","Roxanne")&amp;IF($Z304=6," - Final"," - Day "&amp;MAX(0,NETWORKDAYS($AA304,TODAY(),Holidays)-1)&amp;" of "&amp;CHOOSE($Z304,3,3,2,2,3))&amp;" | Total Day "&amp;MAX(0,NETWORKDAYS($N304,TODAY(),Holidays)-1))</f>
        <v/>
      </c>
      <c r="X304" s="18"/>
      <c r="Y304" s="18"/>
      <c r="Z304" s="17">
        <f>IF($N304="","",COUNT($N304:$S304))</f>
        <v/>
      </c>
      <c r="AA304" s="19">
        <f>IF($Z304="","",INT(INDEX($N304:$S304,$Z304)))</f>
        <v/>
      </c>
      <c r="AB304" s="19">
        <f>IF(OR($Z304="",$Z304=6),"",WORKDAY($AA304,CHOOSE($Z304,3,3,2,2,3),Holidays))</f>
        <v/>
      </c>
      <c r="AC304" s="17">
        <f>IF(OR($Z304="",$Z304=6),"",CHOOSE($Z304,"1st Email Follow-up","2nd Email Follow-up","Escalate Local Office","Escalate to CBE","Escalate to Roxanne"))</f>
        <v/>
      </c>
    </row>
    <row r="305" spans="13:29">
      <c r="M305" s="14"/>
      <c r="T305" s="16"/>
      <c r="U305" s="17">
        <f>IF(AND(COUNTA($A305:$L305)=0,$N305=""),"",IF($T305="Paid","PAID",IF($T305="Closed","CLOSED",IF($Z305="","",IF($Z305=6,"ESCALATED TO ROXANNE",IF(TODAY()&gt;$AB305,"OVERDUE",IF($AB305&lt;=WORKDAY(TODAY(),1,Holidays),"DUE TOMORROW",IF($Z305=4,"ESCALATED TO LOCAL OFFICE",IF($Z305=5,"ESCALATED TO CBE",IF($AA305=TODAY(),"EMAIL SENT","MONITORING"))))))))))</f>
        <v/>
      </c>
      <c r="V305" s="17">
        <f>IF($U305="",IF(AND(COUNTA($A305:$L305)&gt;0,$N305=""),"Awaiting Collection Email time stamp.",""),IF(OR($U305="PAID",$U305="CLOSED"),IF($U305="PAID","Account paid. Action completed.","Account closed. No further action required."),CHOOSE($Z305,"Collection Email","1st Email Follow-up","2nd Email Follow-up","Escalation to Local Office","Escalation to CBE","Escalation to Roxanne")&amp;" sent "&amp;TEXT($AA305,"dd-mmm")&amp;". "&amp;IF($Z305=6,"Final escalation completed.",IF($U305="OVERDUE","Next: "&amp;$AC305&amp;" was due "&amp;TEXT($AB305,"dd-mmm")&amp;" - "&amp;(NETWORKDAYS($AB305,TODAY(),Holidays)-1)&amp;" business day(s) late. Send now.",IF($U305="DUE TOMORROW","Next: "&amp;$AC305&amp;IF($AB305&lt;=TODAY()," is due TODAY ("," is due next business day (")&amp;TEXT($AB305,"dd-mmm")&amp;").","Next: "&amp;$AC305&amp;" due "&amp;TEXT($AB305,"dd-mmm")&amp;" ("&amp;(NETWORKDAYS(TODAY(),$AB305,Holidays)-1)&amp;" business day(s) left).")))))</f>
        <v/>
      </c>
      <c r="W305" s="17">
        <f>IF($Z305="","",CHOOSE($Z305,"Collection Email","1st Follow-up","2nd Follow-up","Local Office","CBE","Roxanne")&amp;IF($Z305=6," - Final"," - Day "&amp;MAX(0,NETWORKDAYS($AA305,TODAY(),Holidays)-1)&amp;" of "&amp;CHOOSE($Z305,3,3,2,2,3))&amp;" | Total Day "&amp;MAX(0,NETWORKDAYS($N305,TODAY(),Holidays)-1))</f>
        <v/>
      </c>
      <c r="X305" s="18"/>
      <c r="Y305" s="18"/>
      <c r="Z305" s="17">
        <f>IF($N305="","",COUNT($N305:$S305))</f>
        <v/>
      </c>
      <c r="AA305" s="19">
        <f>IF($Z305="","",INT(INDEX($N305:$S305,$Z305)))</f>
        <v/>
      </c>
      <c r="AB305" s="19">
        <f>IF(OR($Z305="",$Z305=6),"",WORKDAY($AA305,CHOOSE($Z305,3,3,2,2,3),Holidays))</f>
        <v/>
      </c>
      <c r="AC305" s="17">
        <f>IF(OR($Z305="",$Z305=6),"",CHOOSE($Z305,"1st Email Follow-up","2nd Email Follow-up","Escalate Local Office","Escalate to CBE","Escalate to Roxanne"))</f>
        <v/>
      </c>
    </row>
    <row r="306" spans="13:29">
      <c r="M306" s="14"/>
      <c r="T306" s="16"/>
      <c r="U306" s="17">
        <f>IF(AND(COUNTA($A306:$L306)=0,$N306=""),"",IF($T306="Paid","PAID",IF($T306="Closed","CLOSED",IF($Z306="","",IF($Z306=6,"ESCALATED TO ROXANNE",IF(TODAY()&gt;$AB306,"OVERDUE",IF($AB306&lt;=WORKDAY(TODAY(),1,Holidays),"DUE TOMORROW",IF($Z306=4,"ESCALATED TO LOCAL OFFICE",IF($Z306=5,"ESCALATED TO CBE",IF($AA306=TODAY(),"EMAIL SENT","MONITORING"))))))))))</f>
        <v/>
      </c>
      <c r="V306" s="17">
        <f>IF($U306="",IF(AND(COUNTA($A306:$L306)&gt;0,$N306=""),"Awaiting Collection Email time stamp.",""),IF(OR($U306="PAID",$U306="CLOSED"),IF($U306="PAID","Account paid. Action completed.","Account closed. No further action required."),CHOOSE($Z306,"Collection Email","1st Email Follow-up","2nd Email Follow-up","Escalation to Local Office","Escalation to CBE","Escalation to Roxanne")&amp;" sent "&amp;TEXT($AA306,"dd-mmm")&amp;". "&amp;IF($Z306=6,"Final escalation completed.",IF($U306="OVERDUE","Next: "&amp;$AC306&amp;" was due "&amp;TEXT($AB306,"dd-mmm")&amp;" - "&amp;(NETWORKDAYS($AB306,TODAY(),Holidays)-1)&amp;" business day(s) late. Send now.",IF($U306="DUE TOMORROW","Next: "&amp;$AC306&amp;IF($AB306&lt;=TODAY()," is due TODAY ("," is due next business day (")&amp;TEXT($AB306,"dd-mmm")&amp;").","Next: "&amp;$AC306&amp;" due "&amp;TEXT($AB306,"dd-mmm")&amp;" ("&amp;(NETWORKDAYS(TODAY(),$AB306,Holidays)-1)&amp;" business day(s) left).")))))</f>
        <v/>
      </c>
      <c r="W306" s="17">
        <f>IF($Z306="","",CHOOSE($Z306,"Collection Email","1st Follow-up","2nd Follow-up","Local Office","CBE","Roxanne")&amp;IF($Z306=6," - Final"," - Day "&amp;MAX(0,NETWORKDAYS($AA306,TODAY(),Holidays)-1)&amp;" of "&amp;CHOOSE($Z306,3,3,2,2,3))&amp;" | Total Day "&amp;MAX(0,NETWORKDAYS($N306,TODAY(),Holidays)-1))</f>
        <v/>
      </c>
      <c r="X306" s="18"/>
      <c r="Y306" s="18"/>
      <c r="Z306" s="17">
        <f>IF($N306="","",COUNT($N306:$S306))</f>
        <v/>
      </c>
      <c r="AA306" s="19">
        <f>IF($Z306="","",INT(INDEX($N306:$S306,$Z306)))</f>
        <v/>
      </c>
      <c r="AB306" s="19">
        <f>IF(OR($Z306="",$Z306=6),"",WORKDAY($AA306,CHOOSE($Z306,3,3,2,2,3),Holidays))</f>
        <v/>
      </c>
      <c r="AC306" s="17">
        <f>IF(OR($Z306="",$Z306=6),"",CHOOSE($Z306,"1st Email Follow-up","2nd Email Follow-up","Escalate Local Office","Escalate to CBE","Escalate to Roxanne"))</f>
        <v/>
      </c>
    </row>
    <row r="307" spans="13:29">
      <c r="M307" s="14"/>
      <c r="T307" s="16"/>
      <c r="U307" s="17">
        <f>IF(AND(COUNTA($A307:$L307)=0,$N307=""),"",IF($T307="Paid","PAID",IF($T307="Closed","CLOSED",IF($Z307="","",IF($Z307=6,"ESCALATED TO ROXANNE",IF(TODAY()&gt;$AB307,"OVERDUE",IF($AB307&lt;=WORKDAY(TODAY(),1,Holidays),"DUE TOMORROW",IF($Z307=4,"ESCALATED TO LOCAL OFFICE",IF($Z307=5,"ESCALATED TO CBE",IF($AA307=TODAY(),"EMAIL SENT","MONITORING"))))))))))</f>
        <v/>
      </c>
      <c r="V307" s="17">
        <f>IF($U307="",IF(AND(COUNTA($A307:$L307)&gt;0,$N307=""),"Awaiting Collection Email time stamp.",""),IF(OR($U307="PAID",$U307="CLOSED"),IF($U307="PAID","Account paid. Action completed.","Account closed. No further action required."),CHOOSE($Z307,"Collection Email","1st Email Follow-up","2nd Email Follow-up","Escalation to Local Office","Escalation to CBE","Escalation to Roxanne")&amp;" sent "&amp;TEXT($AA307,"dd-mmm")&amp;". "&amp;IF($Z307=6,"Final escalation completed.",IF($U307="OVERDUE","Next: "&amp;$AC307&amp;" was due "&amp;TEXT($AB307,"dd-mmm")&amp;" - "&amp;(NETWORKDAYS($AB307,TODAY(),Holidays)-1)&amp;" business day(s) late. Send now.",IF($U307="DUE TOMORROW","Next: "&amp;$AC307&amp;IF($AB307&lt;=TODAY()," is due TODAY ("," is due next business day (")&amp;TEXT($AB307,"dd-mmm")&amp;").","Next: "&amp;$AC307&amp;" due "&amp;TEXT($AB307,"dd-mmm")&amp;" ("&amp;(NETWORKDAYS(TODAY(),$AB307,Holidays)-1)&amp;" business day(s) left).")))))</f>
        <v/>
      </c>
      <c r="W307" s="17">
        <f>IF($Z307="","",CHOOSE($Z307,"Collection Email","1st Follow-up","2nd Follow-up","Local Office","CBE","Roxanne")&amp;IF($Z307=6," - Final"," - Day "&amp;MAX(0,NETWORKDAYS($AA307,TODAY(),Holidays)-1)&amp;" of "&amp;CHOOSE($Z307,3,3,2,2,3))&amp;" | Total Day "&amp;MAX(0,NETWORKDAYS($N307,TODAY(),Holidays)-1))</f>
        <v/>
      </c>
      <c r="X307" s="18"/>
      <c r="Y307" s="18"/>
      <c r="Z307" s="17">
        <f>IF($N307="","",COUNT($N307:$S307))</f>
        <v/>
      </c>
      <c r="AA307" s="19">
        <f>IF($Z307="","",INT(INDEX($N307:$S307,$Z307)))</f>
        <v/>
      </c>
      <c r="AB307" s="19">
        <f>IF(OR($Z307="",$Z307=6),"",WORKDAY($AA307,CHOOSE($Z307,3,3,2,2,3),Holidays))</f>
        <v/>
      </c>
      <c r="AC307" s="17">
        <f>IF(OR($Z307="",$Z307=6),"",CHOOSE($Z307,"1st Email Follow-up","2nd Email Follow-up","Escalate Local Office","Escalate to CBE","Escalate to Roxanne"))</f>
        <v/>
      </c>
    </row>
    <row r="308" spans="13:29">
      <c r="M308" s="14"/>
      <c r="T308" s="16"/>
      <c r="U308" s="17">
        <f>IF(AND(COUNTA($A308:$L308)=0,$N308=""),"",IF($T308="Paid","PAID",IF($T308="Closed","CLOSED",IF($Z308="","",IF($Z308=6,"ESCALATED TO ROXANNE",IF(TODAY()&gt;$AB308,"OVERDUE",IF($AB308&lt;=WORKDAY(TODAY(),1,Holidays),"DUE TOMORROW",IF($Z308=4,"ESCALATED TO LOCAL OFFICE",IF($Z308=5,"ESCALATED TO CBE",IF($AA308=TODAY(),"EMAIL SENT","MONITORING"))))))))))</f>
        <v/>
      </c>
      <c r="V308" s="17">
        <f>IF($U308="",IF(AND(COUNTA($A308:$L308)&gt;0,$N308=""),"Awaiting Collection Email time stamp.",""),IF(OR($U308="PAID",$U308="CLOSED"),IF($U308="PAID","Account paid. Action completed.","Account closed. No further action required."),CHOOSE($Z308,"Collection Email","1st Email Follow-up","2nd Email Follow-up","Escalation to Local Office","Escalation to CBE","Escalation to Roxanne")&amp;" sent "&amp;TEXT($AA308,"dd-mmm")&amp;". "&amp;IF($Z308=6,"Final escalation completed.",IF($U308="OVERDUE","Next: "&amp;$AC308&amp;" was due "&amp;TEXT($AB308,"dd-mmm")&amp;" - "&amp;(NETWORKDAYS($AB308,TODAY(),Holidays)-1)&amp;" business day(s) late. Send now.",IF($U308="DUE TOMORROW","Next: "&amp;$AC308&amp;IF($AB308&lt;=TODAY()," is due TODAY ("," is due next business day (")&amp;TEXT($AB308,"dd-mmm")&amp;").","Next: "&amp;$AC308&amp;" due "&amp;TEXT($AB308,"dd-mmm")&amp;" ("&amp;(NETWORKDAYS(TODAY(),$AB308,Holidays)-1)&amp;" business day(s) left).")))))</f>
        <v/>
      </c>
      <c r="W308" s="17">
        <f>IF($Z308="","",CHOOSE($Z308,"Collection Email","1st Follow-up","2nd Follow-up","Local Office","CBE","Roxanne")&amp;IF($Z308=6," - Final"," - Day "&amp;MAX(0,NETWORKDAYS($AA308,TODAY(),Holidays)-1)&amp;" of "&amp;CHOOSE($Z308,3,3,2,2,3))&amp;" | Total Day "&amp;MAX(0,NETWORKDAYS($N308,TODAY(),Holidays)-1))</f>
        <v/>
      </c>
      <c r="X308" s="18"/>
      <c r="Y308" s="18"/>
      <c r="Z308" s="17">
        <f>IF($N308="","",COUNT($N308:$S308))</f>
        <v/>
      </c>
      <c r="AA308" s="19">
        <f>IF($Z308="","",INT(INDEX($N308:$S308,$Z308)))</f>
        <v/>
      </c>
      <c r="AB308" s="19">
        <f>IF(OR($Z308="",$Z308=6),"",WORKDAY($AA308,CHOOSE($Z308,3,3,2,2,3),Holidays))</f>
        <v/>
      </c>
      <c r="AC308" s="17">
        <f>IF(OR($Z308="",$Z308=6),"",CHOOSE($Z308,"1st Email Follow-up","2nd Email Follow-up","Escalate Local Office","Escalate to CBE","Escalate to Roxanne"))</f>
        <v/>
      </c>
    </row>
    <row r="309" spans="13:29">
      <c r="M309" s="14"/>
      <c r="T309" s="16"/>
      <c r="U309" s="17">
        <f>IF(AND(COUNTA($A309:$L309)=0,$N309=""),"",IF($T309="Paid","PAID",IF($T309="Closed","CLOSED",IF($Z309="","",IF($Z309=6,"ESCALATED TO ROXANNE",IF(TODAY()&gt;$AB309,"OVERDUE",IF($AB309&lt;=WORKDAY(TODAY(),1,Holidays),"DUE TOMORROW",IF($Z309=4,"ESCALATED TO LOCAL OFFICE",IF($Z309=5,"ESCALATED TO CBE",IF($AA309=TODAY(),"EMAIL SENT","MONITORING"))))))))))</f>
        <v/>
      </c>
      <c r="V309" s="17">
        <f>IF($U309="",IF(AND(COUNTA($A309:$L309)&gt;0,$N309=""),"Awaiting Collection Email time stamp.",""),IF(OR($U309="PAID",$U309="CLOSED"),IF($U309="PAID","Account paid. Action completed.","Account closed. No further action required."),CHOOSE($Z309,"Collection Email","1st Email Follow-up","2nd Email Follow-up","Escalation to Local Office","Escalation to CBE","Escalation to Roxanne")&amp;" sent "&amp;TEXT($AA309,"dd-mmm")&amp;". "&amp;IF($Z309=6,"Final escalation completed.",IF($U309="OVERDUE","Next: "&amp;$AC309&amp;" was due "&amp;TEXT($AB309,"dd-mmm")&amp;" - "&amp;(NETWORKDAYS($AB309,TODAY(),Holidays)-1)&amp;" business day(s) late. Send now.",IF($U309="DUE TOMORROW","Next: "&amp;$AC309&amp;IF($AB309&lt;=TODAY()," is due TODAY ("," is due next business day (")&amp;TEXT($AB309,"dd-mmm")&amp;").","Next: "&amp;$AC309&amp;" due "&amp;TEXT($AB309,"dd-mmm")&amp;" ("&amp;(NETWORKDAYS(TODAY(),$AB309,Holidays)-1)&amp;" business day(s) left).")))))</f>
        <v/>
      </c>
      <c r="W309" s="17">
        <f>IF($Z309="","",CHOOSE($Z309,"Collection Email","1st Follow-up","2nd Follow-up","Local Office","CBE","Roxanne")&amp;IF($Z309=6," - Final"," - Day "&amp;MAX(0,NETWORKDAYS($AA309,TODAY(),Holidays)-1)&amp;" of "&amp;CHOOSE($Z309,3,3,2,2,3))&amp;" | Total Day "&amp;MAX(0,NETWORKDAYS($N309,TODAY(),Holidays)-1))</f>
        <v/>
      </c>
      <c r="X309" s="18"/>
      <c r="Y309" s="18"/>
      <c r="Z309" s="17">
        <f>IF($N309="","",COUNT($N309:$S309))</f>
        <v/>
      </c>
      <c r="AA309" s="19">
        <f>IF($Z309="","",INT(INDEX($N309:$S309,$Z309)))</f>
        <v/>
      </c>
      <c r="AB309" s="19">
        <f>IF(OR($Z309="",$Z309=6),"",WORKDAY($AA309,CHOOSE($Z309,3,3,2,2,3),Holidays))</f>
        <v/>
      </c>
      <c r="AC309" s="17">
        <f>IF(OR($Z309="",$Z309=6),"",CHOOSE($Z309,"1st Email Follow-up","2nd Email Follow-up","Escalate Local Office","Escalate to CBE","Escalate to Roxanne"))</f>
        <v/>
      </c>
    </row>
    <row r="310" spans="13:29">
      <c r="M310" s="14"/>
      <c r="T310" s="16"/>
      <c r="U310" s="17">
        <f>IF(AND(COUNTA($A310:$L310)=0,$N310=""),"",IF($T310="Paid","PAID",IF($T310="Closed","CLOSED",IF($Z310="","",IF($Z310=6,"ESCALATED TO ROXANNE",IF(TODAY()&gt;$AB310,"OVERDUE",IF($AB310&lt;=WORKDAY(TODAY(),1,Holidays),"DUE TOMORROW",IF($Z310=4,"ESCALATED TO LOCAL OFFICE",IF($Z310=5,"ESCALATED TO CBE",IF($AA310=TODAY(),"EMAIL SENT","MONITORING"))))))))))</f>
        <v/>
      </c>
      <c r="V310" s="17">
        <f>IF($U310="",IF(AND(COUNTA($A310:$L310)&gt;0,$N310=""),"Awaiting Collection Email time stamp.",""),IF(OR($U310="PAID",$U310="CLOSED"),IF($U310="PAID","Account paid. Action completed.","Account closed. No further action required."),CHOOSE($Z310,"Collection Email","1st Email Follow-up","2nd Email Follow-up","Escalation to Local Office","Escalation to CBE","Escalation to Roxanne")&amp;" sent "&amp;TEXT($AA310,"dd-mmm")&amp;". "&amp;IF($Z310=6,"Final escalation completed.",IF($U310="OVERDUE","Next: "&amp;$AC310&amp;" was due "&amp;TEXT($AB310,"dd-mmm")&amp;" - "&amp;(NETWORKDAYS($AB310,TODAY(),Holidays)-1)&amp;" business day(s) late. Send now.",IF($U310="DUE TOMORROW","Next: "&amp;$AC310&amp;IF($AB310&lt;=TODAY()," is due TODAY ("," is due next business day (")&amp;TEXT($AB310,"dd-mmm")&amp;").","Next: "&amp;$AC310&amp;" due "&amp;TEXT($AB310,"dd-mmm")&amp;" ("&amp;(NETWORKDAYS(TODAY(),$AB310,Holidays)-1)&amp;" business day(s) left).")))))</f>
        <v/>
      </c>
      <c r="W310" s="17">
        <f>IF($Z310="","",CHOOSE($Z310,"Collection Email","1st Follow-up","2nd Follow-up","Local Office","CBE","Roxanne")&amp;IF($Z310=6," - Final"," - Day "&amp;MAX(0,NETWORKDAYS($AA310,TODAY(),Holidays)-1)&amp;" of "&amp;CHOOSE($Z310,3,3,2,2,3))&amp;" | Total Day "&amp;MAX(0,NETWORKDAYS($N310,TODAY(),Holidays)-1))</f>
        <v/>
      </c>
      <c r="X310" s="18"/>
      <c r="Y310" s="18"/>
      <c r="Z310" s="17">
        <f>IF($N310="","",COUNT($N310:$S310))</f>
        <v/>
      </c>
      <c r="AA310" s="19">
        <f>IF($Z310="","",INT(INDEX($N310:$S310,$Z310)))</f>
        <v/>
      </c>
      <c r="AB310" s="19">
        <f>IF(OR($Z310="",$Z310=6),"",WORKDAY($AA310,CHOOSE($Z310,3,3,2,2,3),Holidays))</f>
        <v/>
      </c>
      <c r="AC310" s="17">
        <f>IF(OR($Z310="",$Z310=6),"",CHOOSE($Z310,"1st Email Follow-up","2nd Email Follow-up","Escalate Local Office","Escalate to CBE","Escalate to Roxanne"))</f>
        <v/>
      </c>
    </row>
    <row r="311" spans="13:29">
      <c r="M311" s="14"/>
      <c r="T311" s="16"/>
      <c r="U311" s="17">
        <f>IF(AND(COUNTA($A311:$L311)=0,$N311=""),"",IF($T311="Paid","PAID",IF($T311="Closed","CLOSED",IF($Z311="","",IF($Z311=6,"ESCALATED TO ROXANNE",IF(TODAY()&gt;$AB311,"OVERDUE",IF($AB311&lt;=WORKDAY(TODAY(),1,Holidays),"DUE TOMORROW",IF($Z311=4,"ESCALATED TO LOCAL OFFICE",IF($Z311=5,"ESCALATED TO CBE",IF($AA311=TODAY(),"EMAIL SENT","MONITORING"))))))))))</f>
        <v/>
      </c>
      <c r="V311" s="17">
        <f>IF($U311="",IF(AND(COUNTA($A311:$L311)&gt;0,$N311=""),"Awaiting Collection Email time stamp.",""),IF(OR($U311="PAID",$U311="CLOSED"),IF($U311="PAID","Account paid. Action completed.","Account closed. No further action required."),CHOOSE($Z311,"Collection Email","1st Email Follow-up","2nd Email Follow-up","Escalation to Local Office","Escalation to CBE","Escalation to Roxanne")&amp;" sent "&amp;TEXT($AA311,"dd-mmm")&amp;". "&amp;IF($Z311=6,"Final escalation completed.",IF($U311="OVERDUE","Next: "&amp;$AC311&amp;" was due "&amp;TEXT($AB311,"dd-mmm")&amp;" - "&amp;(NETWORKDAYS($AB311,TODAY(),Holidays)-1)&amp;" business day(s) late. Send now.",IF($U311="DUE TOMORROW","Next: "&amp;$AC311&amp;IF($AB311&lt;=TODAY()," is due TODAY ("," is due next business day (")&amp;TEXT($AB311,"dd-mmm")&amp;").","Next: "&amp;$AC311&amp;" due "&amp;TEXT($AB311,"dd-mmm")&amp;" ("&amp;(NETWORKDAYS(TODAY(),$AB311,Holidays)-1)&amp;" business day(s) left).")))))</f>
        <v/>
      </c>
      <c r="W311" s="17">
        <f>IF($Z311="","",CHOOSE($Z311,"Collection Email","1st Follow-up","2nd Follow-up","Local Office","CBE","Roxanne")&amp;IF($Z311=6," - Final"," - Day "&amp;MAX(0,NETWORKDAYS($AA311,TODAY(),Holidays)-1)&amp;" of "&amp;CHOOSE($Z311,3,3,2,2,3))&amp;" | Total Day "&amp;MAX(0,NETWORKDAYS($N311,TODAY(),Holidays)-1))</f>
        <v/>
      </c>
      <c r="X311" s="18"/>
      <c r="Y311" s="18"/>
      <c r="Z311" s="17">
        <f>IF($N311="","",COUNT($N311:$S311))</f>
        <v/>
      </c>
      <c r="AA311" s="19">
        <f>IF($Z311="","",INT(INDEX($N311:$S311,$Z311)))</f>
        <v/>
      </c>
      <c r="AB311" s="19">
        <f>IF(OR($Z311="",$Z311=6),"",WORKDAY($AA311,CHOOSE($Z311,3,3,2,2,3),Holidays))</f>
        <v/>
      </c>
      <c r="AC311" s="17">
        <f>IF(OR($Z311="",$Z311=6),"",CHOOSE($Z311,"1st Email Follow-up","2nd Email Follow-up","Escalate Local Office","Escalate to CBE","Escalate to Roxanne"))</f>
        <v/>
      </c>
    </row>
    <row r="312" spans="13:29">
      <c r="M312" s="14"/>
      <c r="T312" s="16"/>
      <c r="U312" s="17">
        <f>IF(AND(COUNTA($A312:$L312)=0,$N312=""),"",IF($T312="Paid","PAID",IF($T312="Closed","CLOSED",IF($Z312="","",IF($Z312=6,"ESCALATED TO ROXANNE",IF(TODAY()&gt;$AB312,"OVERDUE",IF($AB312&lt;=WORKDAY(TODAY(),1,Holidays),"DUE TOMORROW",IF($Z312=4,"ESCALATED TO LOCAL OFFICE",IF($Z312=5,"ESCALATED TO CBE",IF($AA312=TODAY(),"EMAIL SENT","MONITORING"))))))))))</f>
        <v/>
      </c>
      <c r="V312" s="17">
        <f>IF($U312="",IF(AND(COUNTA($A312:$L312)&gt;0,$N312=""),"Awaiting Collection Email time stamp.",""),IF(OR($U312="PAID",$U312="CLOSED"),IF($U312="PAID","Account paid. Action completed.","Account closed. No further action required."),CHOOSE($Z312,"Collection Email","1st Email Follow-up","2nd Email Follow-up","Escalation to Local Office","Escalation to CBE","Escalation to Roxanne")&amp;" sent "&amp;TEXT($AA312,"dd-mmm")&amp;". "&amp;IF($Z312=6,"Final escalation completed.",IF($U312="OVERDUE","Next: "&amp;$AC312&amp;" was due "&amp;TEXT($AB312,"dd-mmm")&amp;" - "&amp;(NETWORKDAYS($AB312,TODAY(),Holidays)-1)&amp;" business day(s) late. Send now.",IF($U312="DUE TOMORROW","Next: "&amp;$AC312&amp;IF($AB312&lt;=TODAY()," is due TODAY ("," is due next business day (")&amp;TEXT($AB312,"dd-mmm")&amp;").","Next: "&amp;$AC312&amp;" due "&amp;TEXT($AB312,"dd-mmm")&amp;" ("&amp;(NETWORKDAYS(TODAY(),$AB312,Holidays)-1)&amp;" business day(s) left).")))))</f>
        <v/>
      </c>
      <c r="W312" s="17">
        <f>IF($Z312="","",CHOOSE($Z312,"Collection Email","1st Follow-up","2nd Follow-up","Local Office","CBE","Roxanne")&amp;IF($Z312=6," - Final"," - Day "&amp;MAX(0,NETWORKDAYS($AA312,TODAY(),Holidays)-1)&amp;" of "&amp;CHOOSE($Z312,3,3,2,2,3))&amp;" | Total Day "&amp;MAX(0,NETWORKDAYS($N312,TODAY(),Holidays)-1))</f>
        <v/>
      </c>
      <c r="X312" s="18"/>
      <c r="Y312" s="18"/>
      <c r="Z312" s="17">
        <f>IF($N312="","",COUNT($N312:$S312))</f>
        <v/>
      </c>
      <c r="AA312" s="19">
        <f>IF($Z312="","",INT(INDEX($N312:$S312,$Z312)))</f>
        <v/>
      </c>
      <c r="AB312" s="19">
        <f>IF(OR($Z312="",$Z312=6),"",WORKDAY($AA312,CHOOSE($Z312,3,3,2,2,3),Holidays))</f>
        <v/>
      </c>
      <c r="AC312" s="17">
        <f>IF(OR($Z312="",$Z312=6),"",CHOOSE($Z312,"1st Email Follow-up","2nd Email Follow-up","Escalate Local Office","Escalate to CBE","Escalate to Roxanne"))</f>
        <v/>
      </c>
    </row>
    <row r="313" spans="13:29">
      <c r="M313" s="14"/>
      <c r="T313" s="16"/>
      <c r="U313" s="17">
        <f>IF(AND(COUNTA($A313:$L313)=0,$N313=""),"",IF($T313="Paid","PAID",IF($T313="Closed","CLOSED",IF($Z313="","",IF($Z313=6,"ESCALATED TO ROXANNE",IF(TODAY()&gt;$AB313,"OVERDUE",IF($AB313&lt;=WORKDAY(TODAY(),1,Holidays),"DUE TOMORROW",IF($Z313=4,"ESCALATED TO LOCAL OFFICE",IF($Z313=5,"ESCALATED TO CBE",IF($AA313=TODAY(),"EMAIL SENT","MONITORING"))))))))))</f>
        <v/>
      </c>
      <c r="V313" s="17">
        <f>IF($U313="",IF(AND(COUNTA($A313:$L313)&gt;0,$N313=""),"Awaiting Collection Email time stamp.",""),IF(OR($U313="PAID",$U313="CLOSED"),IF($U313="PAID","Account paid. Action completed.","Account closed. No further action required."),CHOOSE($Z313,"Collection Email","1st Email Follow-up","2nd Email Follow-up","Escalation to Local Office","Escalation to CBE","Escalation to Roxanne")&amp;" sent "&amp;TEXT($AA313,"dd-mmm")&amp;". "&amp;IF($Z313=6,"Final escalation completed.",IF($U313="OVERDUE","Next: "&amp;$AC313&amp;" was due "&amp;TEXT($AB313,"dd-mmm")&amp;" - "&amp;(NETWORKDAYS($AB313,TODAY(),Holidays)-1)&amp;" business day(s) late. Send now.",IF($U313="DUE TOMORROW","Next: "&amp;$AC313&amp;IF($AB313&lt;=TODAY()," is due TODAY ("," is due next business day (")&amp;TEXT($AB313,"dd-mmm")&amp;").","Next: "&amp;$AC313&amp;" due "&amp;TEXT($AB313,"dd-mmm")&amp;" ("&amp;(NETWORKDAYS(TODAY(),$AB313,Holidays)-1)&amp;" business day(s) left).")))))</f>
        <v/>
      </c>
      <c r="W313" s="17">
        <f>IF($Z313="","",CHOOSE($Z313,"Collection Email","1st Follow-up","2nd Follow-up","Local Office","CBE","Roxanne")&amp;IF($Z313=6," - Final"," - Day "&amp;MAX(0,NETWORKDAYS($AA313,TODAY(),Holidays)-1)&amp;" of "&amp;CHOOSE($Z313,3,3,2,2,3))&amp;" | Total Day "&amp;MAX(0,NETWORKDAYS($N313,TODAY(),Holidays)-1))</f>
        <v/>
      </c>
      <c r="X313" s="18"/>
      <c r="Y313" s="18"/>
      <c r="Z313" s="17">
        <f>IF($N313="","",COUNT($N313:$S313))</f>
        <v/>
      </c>
      <c r="AA313" s="19">
        <f>IF($Z313="","",INT(INDEX($N313:$S313,$Z313)))</f>
        <v/>
      </c>
      <c r="AB313" s="19">
        <f>IF(OR($Z313="",$Z313=6),"",WORKDAY($AA313,CHOOSE($Z313,3,3,2,2,3),Holidays))</f>
        <v/>
      </c>
      <c r="AC313" s="17">
        <f>IF(OR($Z313="",$Z313=6),"",CHOOSE($Z313,"1st Email Follow-up","2nd Email Follow-up","Escalate Local Office","Escalate to CBE","Escalate to Roxanne"))</f>
        <v/>
      </c>
    </row>
    <row r="314" spans="13:29">
      <c r="M314" s="14"/>
      <c r="T314" s="16"/>
      <c r="U314" s="17">
        <f>IF(AND(COUNTA($A314:$L314)=0,$N314=""),"",IF($T314="Paid","PAID",IF($T314="Closed","CLOSED",IF($Z314="","",IF($Z314=6,"ESCALATED TO ROXANNE",IF(TODAY()&gt;$AB314,"OVERDUE",IF($AB314&lt;=WORKDAY(TODAY(),1,Holidays),"DUE TOMORROW",IF($Z314=4,"ESCALATED TO LOCAL OFFICE",IF($Z314=5,"ESCALATED TO CBE",IF($AA314=TODAY(),"EMAIL SENT","MONITORING"))))))))))</f>
        <v/>
      </c>
      <c r="V314" s="17">
        <f>IF($U314="",IF(AND(COUNTA($A314:$L314)&gt;0,$N314=""),"Awaiting Collection Email time stamp.",""),IF(OR($U314="PAID",$U314="CLOSED"),IF($U314="PAID","Account paid. Action completed.","Account closed. No further action required."),CHOOSE($Z314,"Collection Email","1st Email Follow-up","2nd Email Follow-up","Escalation to Local Office","Escalation to CBE","Escalation to Roxanne")&amp;" sent "&amp;TEXT($AA314,"dd-mmm")&amp;". "&amp;IF($Z314=6,"Final escalation completed.",IF($U314="OVERDUE","Next: "&amp;$AC314&amp;" was due "&amp;TEXT($AB314,"dd-mmm")&amp;" - "&amp;(NETWORKDAYS($AB314,TODAY(),Holidays)-1)&amp;" business day(s) late. Send now.",IF($U314="DUE TOMORROW","Next: "&amp;$AC314&amp;IF($AB314&lt;=TODAY()," is due TODAY ("," is due next business day (")&amp;TEXT($AB314,"dd-mmm")&amp;").","Next: "&amp;$AC314&amp;" due "&amp;TEXT($AB314,"dd-mmm")&amp;" ("&amp;(NETWORKDAYS(TODAY(),$AB314,Holidays)-1)&amp;" business day(s) left).")))))</f>
        <v/>
      </c>
      <c r="W314" s="17">
        <f>IF($Z314="","",CHOOSE($Z314,"Collection Email","1st Follow-up","2nd Follow-up","Local Office","CBE","Roxanne")&amp;IF($Z314=6," - Final"," - Day "&amp;MAX(0,NETWORKDAYS($AA314,TODAY(),Holidays)-1)&amp;" of "&amp;CHOOSE($Z314,3,3,2,2,3))&amp;" | Total Day "&amp;MAX(0,NETWORKDAYS($N314,TODAY(),Holidays)-1))</f>
        <v/>
      </c>
      <c r="X314" s="18"/>
      <c r="Y314" s="18"/>
      <c r="Z314" s="17">
        <f>IF($N314="","",COUNT($N314:$S314))</f>
        <v/>
      </c>
      <c r="AA314" s="19">
        <f>IF($Z314="","",INT(INDEX($N314:$S314,$Z314)))</f>
        <v/>
      </c>
      <c r="AB314" s="19">
        <f>IF(OR($Z314="",$Z314=6),"",WORKDAY($AA314,CHOOSE($Z314,3,3,2,2,3),Holidays))</f>
        <v/>
      </c>
      <c r="AC314" s="17">
        <f>IF(OR($Z314="",$Z314=6),"",CHOOSE($Z314,"1st Email Follow-up","2nd Email Follow-up","Escalate Local Office","Escalate to CBE","Escalate to Roxanne"))</f>
        <v/>
      </c>
    </row>
    <row r="315" spans="13:29">
      <c r="M315" s="14"/>
      <c r="T315" s="16"/>
      <c r="U315" s="17">
        <f>IF(AND(COUNTA($A315:$L315)=0,$N315=""),"",IF($T315="Paid","PAID",IF($T315="Closed","CLOSED",IF($Z315="","",IF($Z315=6,"ESCALATED TO ROXANNE",IF(TODAY()&gt;$AB315,"OVERDUE",IF($AB315&lt;=WORKDAY(TODAY(),1,Holidays),"DUE TOMORROW",IF($Z315=4,"ESCALATED TO LOCAL OFFICE",IF($Z315=5,"ESCALATED TO CBE",IF($AA315=TODAY(),"EMAIL SENT","MONITORING"))))))))))</f>
        <v/>
      </c>
      <c r="V315" s="17">
        <f>IF($U315="",IF(AND(COUNTA($A315:$L315)&gt;0,$N315=""),"Awaiting Collection Email time stamp.",""),IF(OR($U315="PAID",$U315="CLOSED"),IF($U315="PAID","Account paid. Action completed.","Account closed. No further action required."),CHOOSE($Z315,"Collection Email","1st Email Follow-up","2nd Email Follow-up","Escalation to Local Office","Escalation to CBE","Escalation to Roxanne")&amp;" sent "&amp;TEXT($AA315,"dd-mmm")&amp;". "&amp;IF($Z315=6,"Final escalation completed.",IF($U315="OVERDUE","Next: "&amp;$AC315&amp;" was due "&amp;TEXT($AB315,"dd-mmm")&amp;" - "&amp;(NETWORKDAYS($AB315,TODAY(),Holidays)-1)&amp;" business day(s) late. Send now.",IF($U315="DUE TOMORROW","Next: "&amp;$AC315&amp;IF($AB315&lt;=TODAY()," is due TODAY ("," is due next business day (")&amp;TEXT($AB315,"dd-mmm")&amp;").","Next: "&amp;$AC315&amp;" due "&amp;TEXT($AB315,"dd-mmm")&amp;" ("&amp;(NETWORKDAYS(TODAY(),$AB315,Holidays)-1)&amp;" business day(s) left).")))))</f>
        <v/>
      </c>
      <c r="W315" s="17">
        <f>IF($Z315="","",CHOOSE($Z315,"Collection Email","1st Follow-up","2nd Follow-up","Local Office","CBE","Roxanne")&amp;IF($Z315=6," - Final"," - Day "&amp;MAX(0,NETWORKDAYS($AA315,TODAY(),Holidays)-1)&amp;" of "&amp;CHOOSE($Z315,3,3,2,2,3))&amp;" | Total Day "&amp;MAX(0,NETWORKDAYS($N315,TODAY(),Holidays)-1))</f>
        <v/>
      </c>
      <c r="X315" s="18"/>
      <c r="Y315" s="18"/>
      <c r="Z315" s="17">
        <f>IF($N315="","",COUNT($N315:$S315))</f>
        <v/>
      </c>
      <c r="AA315" s="19">
        <f>IF($Z315="","",INT(INDEX($N315:$S315,$Z315)))</f>
        <v/>
      </c>
      <c r="AB315" s="19">
        <f>IF(OR($Z315="",$Z315=6),"",WORKDAY($AA315,CHOOSE($Z315,3,3,2,2,3),Holidays))</f>
        <v/>
      </c>
      <c r="AC315" s="17">
        <f>IF(OR($Z315="",$Z315=6),"",CHOOSE($Z315,"1st Email Follow-up","2nd Email Follow-up","Escalate Local Office","Escalate to CBE","Escalate to Roxanne"))</f>
        <v/>
      </c>
    </row>
    <row r="316" spans="13:29">
      <c r="M316" s="14"/>
      <c r="T316" s="16"/>
      <c r="U316" s="17">
        <f>IF(AND(COUNTA($A316:$L316)=0,$N316=""),"",IF($T316="Paid","PAID",IF($T316="Closed","CLOSED",IF($Z316="","",IF($Z316=6,"ESCALATED TO ROXANNE",IF(TODAY()&gt;$AB316,"OVERDUE",IF($AB316&lt;=WORKDAY(TODAY(),1,Holidays),"DUE TOMORROW",IF($Z316=4,"ESCALATED TO LOCAL OFFICE",IF($Z316=5,"ESCALATED TO CBE",IF($AA316=TODAY(),"EMAIL SENT","MONITORING"))))))))))</f>
        <v/>
      </c>
      <c r="V316" s="17">
        <f>IF($U316="",IF(AND(COUNTA($A316:$L316)&gt;0,$N316=""),"Awaiting Collection Email time stamp.",""),IF(OR($U316="PAID",$U316="CLOSED"),IF($U316="PAID","Account paid. Action completed.","Account closed. No further action required."),CHOOSE($Z316,"Collection Email","1st Email Follow-up","2nd Email Follow-up","Escalation to Local Office","Escalation to CBE","Escalation to Roxanne")&amp;" sent "&amp;TEXT($AA316,"dd-mmm")&amp;". "&amp;IF($Z316=6,"Final escalation completed.",IF($U316="OVERDUE","Next: "&amp;$AC316&amp;" was due "&amp;TEXT($AB316,"dd-mmm")&amp;" - "&amp;(NETWORKDAYS($AB316,TODAY(),Holidays)-1)&amp;" business day(s) late. Send now.",IF($U316="DUE TOMORROW","Next: "&amp;$AC316&amp;IF($AB316&lt;=TODAY()," is due TODAY ("," is due next business day (")&amp;TEXT($AB316,"dd-mmm")&amp;").","Next: "&amp;$AC316&amp;" due "&amp;TEXT($AB316,"dd-mmm")&amp;" ("&amp;(NETWORKDAYS(TODAY(),$AB316,Holidays)-1)&amp;" business day(s) left).")))))</f>
        <v/>
      </c>
      <c r="W316" s="17">
        <f>IF($Z316="","",CHOOSE($Z316,"Collection Email","1st Follow-up","2nd Follow-up","Local Office","CBE","Roxanne")&amp;IF($Z316=6," - Final"," - Day "&amp;MAX(0,NETWORKDAYS($AA316,TODAY(),Holidays)-1)&amp;" of "&amp;CHOOSE($Z316,3,3,2,2,3))&amp;" | Total Day "&amp;MAX(0,NETWORKDAYS($N316,TODAY(),Holidays)-1))</f>
        <v/>
      </c>
      <c r="X316" s="18"/>
      <c r="Y316" s="18"/>
      <c r="Z316" s="17">
        <f>IF($N316="","",COUNT($N316:$S316))</f>
        <v/>
      </c>
      <c r="AA316" s="19">
        <f>IF($Z316="","",INT(INDEX($N316:$S316,$Z316)))</f>
        <v/>
      </c>
      <c r="AB316" s="19">
        <f>IF(OR($Z316="",$Z316=6),"",WORKDAY($AA316,CHOOSE($Z316,3,3,2,2,3),Holidays))</f>
        <v/>
      </c>
      <c r="AC316" s="17">
        <f>IF(OR($Z316="",$Z316=6),"",CHOOSE($Z316,"1st Email Follow-up","2nd Email Follow-up","Escalate Local Office","Escalate to CBE","Escalate to Roxanne"))</f>
        <v/>
      </c>
    </row>
    <row r="317" spans="13:29">
      <c r="M317" s="14"/>
      <c r="T317" s="16"/>
      <c r="U317" s="17">
        <f>IF(AND(COUNTA($A317:$L317)=0,$N317=""),"",IF($T317="Paid","PAID",IF($T317="Closed","CLOSED",IF($Z317="","",IF($Z317=6,"ESCALATED TO ROXANNE",IF(TODAY()&gt;$AB317,"OVERDUE",IF($AB317&lt;=WORKDAY(TODAY(),1,Holidays),"DUE TOMORROW",IF($Z317=4,"ESCALATED TO LOCAL OFFICE",IF($Z317=5,"ESCALATED TO CBE",IF($AA317=TODAY(),"EMAIL SENT","MONITORING"))))))))))</f>
        <v/>
      </c>
      <c r="V317" s="17">
        <f>IF($U317="",IF(AND(COUNTA($A317:$L317)&gt;0,$N317=""),"Awaiting Collection Email time stamp.",""),IF(OR($U317="PAID",$U317="CLOSED"),IF($U317="PAID","Account paid. Action completed.","Account closed. No further action required."),CHOOSE($Z317,"Collection Email","1st Email Follow-up","2nd Email Follow-up","Escalation to Local Office","Escalation to CBE","Escalation to Roxanne")&amp;" sent "&amp;TEXT($AA317,"dd-mmm")&amp;". "&amp;IF($Z317=6,"Final escalation completed.",IF($U317="OVERDUE","Next: "&amp;$AC317&amp;" was due "&amp;TEXT($AB317,"dd-mmm")&amp;" - "&amp;(NETWORKDAYS($AB317,TODAY(),Holidays)-1)&amp;" business day(s) late. Send now.",IF($U317="DUE TOMORROW","Next: "&amp;$AC317&amp;IF($AB317&lt;=TODAY()," is due TODAY ("," is due next business day (")&amp;TEXT($AB317,"dd-mmm")&amp;").","Next: "&amp;$AC317&amp;" due "&amp;TEXT($AB317,"dd-mmm")&amp;" ("&amp;(NETWORKDAYS(TODAY(),$AB317,Holidays)-1)&amp;" business day(s) left).")))))</f>
        <v/>
      </c>
      <c r="W317" s="17">
        <f>IF($Z317="","",CHOOSE($Z317,"Collection Email","1st Follow-up","2nd Follow-up","Local Office","CBE","Roxanne")&amp;IF($Z317=6," - Final"," - Day "&amp;MAX(0,NETWORKDAYS($AA317,TODAY(),Holidays)-1)&amp;" of "&amp;CHOOSE($Z317,3,3,2,2,3))&amp;" | Total Day "&amp;MAX(0,NETWORKDAYS($N317,TODAY(),Holidays)-1))</f>
        <v/>
      </c>
      <c r="X317" s="18"/>
      <c r="Y317" s="18"/>
      <c r="Z317" s="17">
        <f>IF($N317="","",COUNT($N317:$S317))</f>
        <v/>
      </c>
      <c r="AA317" s="19">
        <f>IF($Z317="","",INT(INDEX($N317:$S317,$Z317)))</f>
        <v/>
      </c>
      <c r="AB317" s="19">
        <f>IF(OR($Z317="",$Z317=6),"",WORKDAY($AA317,CHOOSE($Z317,3,3,2,2,3),Holidays))</f>
        <v/>
      </c>
      <c r="AC317" s="17">
        <f>IF(OR($Z317="",$Z317=6),"",CHOOSE($Z317,"1st Email Follow-up","2nd Email Follow-up","Escalate Local Office","Escalate to CBE","Escalate to Roxanne"))</f>
        <v/>
      </c>
    </row>
    <row r="318" spans="13:29">
      <c r="M318" s="14"/>
      <c r="T318" s="16"/>
      <c r="U318" s="17">
        <f>IF(AND(COUNTA($A318:$L318)=0,$N318=""),"",IF($T318="Paid","PAID",IF($T318="Closed","CLOSED",IF($Z318="","",IF($Z318=6,"ESCALATED TO ROXANNE",IF(TODAY()&gt;$AB318,"OVERDUE",IF($AB318&lt;=WORKDAY(TODAY(),1,Holidays),"DUE TOMORROW",IF($Z318=4,"ESCALATED TO LOCAL OFFICE",IF($Z318=5,"ESCALATED TO CBE",IF($AA318=TODAY(),"EMAIL SENT","MONITORING"))))))))))</f>
        <v/>
      </c>
      <c r="V318" s="17">
        <f>IF($U318="",IF(AND(COUNTA($A318:$L318)&gt;0,$N318=""),"Awaiting Collection Email time stamp.",""),IF(OR($U318="PAID",$U318="CLOSED"),IF($U318="PAID","Account paid. Action completed.","Account closed. No further action required."),CHOOSE($Z318,"Collection Email","1st Email Follow-up","2nd Email Follow-up","Escalation to Local Office","Escalation to CBE","Escalation to Roxanne")&amp;" sent "&amp;TEXT($AA318,"dd-mmm")&amp;". "&amp;IF($Z318=6,"Final escalation completed.",IF($U318="OVERDUE","Next: "&amp;$AC318&amp;" was due "&amp;TEXT($AB318,"dd-mmm")&amp;" - "&amp;(NETWORKDAYS($AB318,TODAY(),Holidays)-1)&amp;" business day(s) late. Send now.",IF($U318="DUE TOMORROW","Next: "&amp;$AC318&amp;IF($AB318&lt;=TODAY()," is due TODAY ("," is due next business day (")&amp;TEXT($AB318,"dd-mmm")&amp;").","Next: "&amp;$AC318&amp;" due "&amp;TEXT($AB318,"dd-mmm")&amp;" ("&amp;(NETWORKDAYS(TODAY(),$AB318,Holidays)-1)&amp;" business day(s) left).")))))</f>
        <v/>
      </c>
      <c r="W318" s="17">
        <f>IF($Z318="","",CHOOSE($Z318,"Collection Email","1st Follow-up","2nd Follow-up","Local Office","CBE","Roxanne")&amp;IF($Z318=6," - Final"," - Day "&amp;MAX(0,NETWORKDAYS($AA318,TODAY(),Holidays)-1)&amp;" of "&amp;CHOOSE($Z318,3,3,2,2,3))&amp;" | Total Day "&amp;MAX(0,NETWORKDAYS($N318,TODAY(),Holidays)-1))</f>
        <v/>
      </c>
      <c r="X318" s="18"/>
      <c r="Y318" s="18"/>
      <c r="Z318" s="17">
        <f>IF($N318="","",COUNT($N318:$S318))</f>
        <v/>
      </c>
      <c r="AA318" s="19">
        <f>IF($Z318="","",INT(INDEX($N318:$S318,$Z318)))</f>
        <v/>
      </c>
      <c r="AB318" s="19">
        <f>IF(OR($Z318="",$Z318=6),"",WORKDAY($AA318,CHOOSE($Z318,3,3,2,2,3),Holidays))</f>
        <v/>
      </c>
      <c r="AC318" s="17">
        <f>IF(OR($Z318="",$Z318=6),"",CHOOSE($Z318,"1st Email Follow-up","2nd Email Follow-up","Escalate Local Office","Escalate to CBE","Escalate to Roxanne"))</f>
        <v/>
      </c>
    </row>
    <row r="319" spans="13:29">
      <c r="M319" s="14"/>
      <c r="T319" s="16"/>
      <c r="U319" s="17">
        <f>IF(AND(COUNTA($A319:$L319)=0,$N319=""),"",IF($T319="Paid","PAID",IF($T319="Closed","CLOSED",IF($Z319="","",IF($Z319=6,"ESCALATED TO ROXANNE",IF(TODAY()&gt;$AB319,"OVERDUE",IF($AB319&lt;=WORKDAY(TODAY(),1,Holidays),"DUE TOMORROW",IF($Z319=4,"ESCALATED TO LOCAL OFFICE",IF($Z319=5,"ESCALATED TO CBE",IF($AA319=TODAY(),"EMAIL SENT","MONITORING"))))))))))</f>
        <v/>
      </c>
      <c r="V319" s="17">
        <f>IF($U319="",IF(AND(COUNTA($A319:$L319)&gt;0,$N319=""),"Awaiting Collection Email time stamp.",""),IF(OR($U319="PAID",$U319="CLOSED"),IF($U319="PAID","Account paid. Action completed.","Account closed. No further action required."),CHOOSE($Z319,"Collection Email","1st Email Follow-up","2nd Email Follow-up","Escalation to Local Office","Escalation to CBE","Escalation to Roxanne")&amp;" sent "&amp;TEXT($AA319,"dd-mmm")&amp;". "&amp;IF($Z319=6,"Final escalation completed.",IF($U319="OVERDUE","Next: "&amp;$AC319&amp;" was due "&amp;TEXT($AB319,"dd-mmm")&amp;" - "&amp;(NETWORKDAYS($AB319,TODAY(),Holidays)-1)&amp;" business day(s) late. Send now.",IF($U319="DUE TOMORROW","Next: "&amp;$AC319&amp;IF($AB319&lt;=TODAY()," is due TODAY ("," is due next business day (")&amp;TEXT($AB319,"dd-mmm")&amp;").","Next: "&amp;$AC319&amp;" due "&amp;TEXT($AB319,"dd-mmm")&amp;" ("&amp;(NETWORKDAYS(TODAY(),$AB319,Holidays)-1)&amp;" business day(s) left).")))))</f>
        <v/>
      </c>
      <c r="W319" s="17">
        <f>IF($Z319="","",CHOOSE($Z319,"Collection Email","1st Follow-up","2nd Follow-up","Local Office","CBE","Roxanne")&amp;IF($Z319=6," - Final"," - Day "&amp;MAX(0,NETWORKDAYS($AA319,TODAY(),Holidays)-1)&amp;" of "&amp;CHOOSE($Z319,3,3,2,2,3))&amp;" | Total Day "&amp;MAX(0,NETWORKDAYS($N319,TODAY(),Holidays)-1))</f>
        <v/>
      </c>
      <c r="X319" s="18"/>
      <c r="Y319" s="18"/>
      <c r="Z319" s="17">
        <f>IF($N319="","",COUNT($N319:$S319))</f>
        <v/>
      </c>
      <c r="AA319" s="19">
        <f>IF($Z319="","",INT(INDEX($N319:$S319,$Z319)))</f>
        <v/>
      </c>
      <c r="AB319" s="19">
        <f>IF(OR($Z319="",$Z319=6),"",WORKDAY($AA319,CHOOSE($Z319,3,3,2,2,3),Holidays))</f>
        <v/>
      </c>
      <c r="AC319" s="17">
        <f>IF(OR($Z319="",$Z319=6),"",CHOOSE($Z319,"1st Email Follow-up","2nd Email Follow-up","Escalate Local Office","Escalate to CBE","Escalate to Roxanne"))</f>
        <v/>
      </c>
    </row>
    <row r="320" spans="13:29">
      <c r="M320" s="14"/>
      <c r="T320" s="16"/>
      <c r="U320" s="17">
        <f>IF(AND(COUNTA($A320:$L320)=0,$N320=""),"",IF($T320="Paid","PAID",IF($T320="Closed","CLOSED",IF($Z320="","",IF($Z320=6,"ESCALATED TO ROXANNE",IF(TODAY()&gt;$AB320,"OVERDUE",IF($AB320&lt;=WORKDAY(TODAY(),1,Holidays),"DUE TOMORROW",IF($Z320=4,"ESCALATED TO LOCAL OFFICE",IF($Z320=5,"ESCALATED TO CBE",IF($AA320=TODAY(),"EMAIL SENT","MONITORING"))))))))))</f>
        <v/>
      </c>
      <c r="V320" s="17">
        <f>IF($U320="",IF(AND(COUNTA($A320:$L320)&gt;0,$N320=""),"Awaiting Collection Email time stamp.",""),IF(OR($U320="PAID",$U320="CLOSED"),IF($U320="PAID","Account paid. Action completed.","Account closed. No further action required."),CHOOSE($Z320,"Collection Email","1st Email Follow-up","2nd Email Follow-up","Escalation to Local Office","Escalation to CBE","Escalation to Roxanne")&amp;" sent "&amp;TEXT($AA320,"dd-mmm")&amp;". "&amp;IF($Z320=6,"Final escalation completed.",IF($U320="OVERDUE","Next: "&amp;$AC320&amp;" was due "&amp;TEXT($AB320,"dd-mmm")&amp;" - "&amp;(NETWORKDAYS($AB320,TODAY(),Holidays)-1)&amp;" business day(s) late. Send now.",IF($U320="DUE TOMORROW","Next: "&amp;$AC320&amp;IF($AB320&lt;=TODAY()," is due TODAY ("," is due next business day (")&amp;TEXT($AB320,"dd-mmm")&amp;").","Next: "&amp;$AC320&amp;" due "&amp;TEXT($AB320,"dd-mmm")&amp;" ("&amp;(NETWORKDAYS(TODAY(),$AB320,Holidays)-1)&amp;" business day(s) left).")))))</f>
        <v/>
      </c>
      <c r="W320" s="17">
        <f>IF($Z320="","",CHOOSE($Z320,"Collection Email","1st Follow-up","2nd Follow-up","Local Office","CBE","Roxanne")&amp;IF($Z320=6," - Final"," - Day "&amp;MAX(0,NETWORKDAYS($AA320,TODAY(),Holidays)-1)&amp;" of "&amp;CHOOSE($Z320,3,3,2,2,3))&amp;" | Total Day "&amp;MAX(0,NETWORKDAYS($N320,TODAY(),Holidays)-1))</f>
        <v/>
      </c>
      <c r="X320" s="18"/>
      <c r="Y320" s="18"/>
      <c r="Z320" s="17">
        <f>IF($N320="","",COUNT($N320:$S320))</f>
        <v/>
      </c>
      <c r="AA320" s="19">
        <f>IF($Z320="","",INT(INDEX($N320:$S320,$Z320)))</f>
        <v/>
      </c>
      <c r="AB320" s="19">
        <f>IF(OR($Z320="",$Z320=6),"",WORKDAY($AA320,CHOOSE($Z320,3,3,2,2,3),Holidays))</f>
        <v/>
      </c>
      <c r="AC320" s="17">
        <f>IF(OR($Z320="",$Z320=6),"",CHOOSE($Z320,"1st Email Follow-up","2nd Email Follow-up","Escalate Local Office","Escalate to CBE","Escalate to Roxanne"))</f>
        <v/>
      </c>
    </row>
    <row r="321" spans="13:29">
      <c r="M321" s="14"/>
      <c r="T321" s="16"/>
      <c r="U321" s="17">
        <f>IF(AND(COUNTA($A321:$L321)=0,$N321=""),"",IF($T321="Paid","PAID",IF($T321="Closed","CLOSED",IF($Z321="","",IF($Z321=6,"ESCALATED TO ROXANNE",IF(TODAY()&gt;$AB321,"OVERDUE",IF($AB321&lt;=WORKDAY(TODAY(),1,Holidays),"DUE TOMORROW",IF($Z321=4,"ESCALATED TO LOCAL OFFICE",IF($Z321=5,"ESCALATED TO CBE",IF($AA321=TODAY(),"EMAIL SENT","MONITORING"))))))))))</f>
        <v/>
      </c>
      <c r="V321" s="17">
        <f>IF($U321="",IF(AND(COUNTA($A321:$L321)&gt;0,$N321=""),"Awaiting Collection Email time stamp.",""),IF(OR($U321="PAID",$U321="CLOSED"),IF($U321="PAID","Account paid. Action completed.","Account closed. No further action required."),CHOOSE($Z321,"Collection Email","1st Email Follow-up","2nd Email Follow-up","Escalation to Local Office","Escalation to CBE","Escalation to Roxanne")&amp;" sent "&amp;TEXT($AA321,"dd-mmm")&amp;". "&amp;IF($Z321=6,"Final escalation completed.",IF($U321="OVERDUE","Next: "&amp;$AC321&amp;" was due "&amp;TEXT($AB321,"dd-mmm")&amp;" - "&amp;(NETWORKDAYS($AB321,TODAY(),Holidays)-1)&amp;" business day(s) late. Send now.",IF($U321="DUE TOMORROW","Next: "&amp;$AC321&amp;IF($AB321&lt;=TODAY()," is due TODAY ("," is due next business day (")&amp;TEXT($AB321,"dd-mmm")&amp;").","Next: "&amp;$AC321&amp;" due "&amp;TEXT($AB321,"dd-mmm")&amp;" ("&amp;(NETWORKDAYS(TODAY(),$AB321,Holidays)-1)&amp;" business day(s) left).")))))</f>
        <v/>
      </c>
      <c r="W321" s="17">
        <f>IF($Z321="","",CHOOSE($Z321,"Collection Email","1st Follow-up","2nd Follow-up","Local Office","CBE","Roxanne")&amp;IF($Z321=6," - Final"," - Day "&amp;MAX(0,NETWORKDAYS($AA321,TODAY(),Holidays)-1)&amp;" of "&amp;CHOOSE($Z321,3,3,2,2,3))&amp;" | Total Day "&amp;MAX(0,NETWORKDAYS($N321,TODAY(),Holidays)-1))</f>
        <v/>
      </c>
      <c r="X321" s="18"/>
      <c r="Y321" s="18"/>
      <c r="Z321" s="17">
        <f>IF($N321="","",COUNT($N321:$S321))</f>
        <v/>
      </c>
      <c r="AA321" s="19">
        <f>IF($Z321="","",INT(INDEX($N321:$S321,$Z321)))</f>
        <v/>
      </c>
      <c r="AB321" s="19">
        <f>IF(OR($Z321="",$Z321=6),"",WORKDAY($AA321,CHOOSE($Z321,3,3,2,2,3),Holidays))</f>
        <v/>
      </c>
      <c r="AC321" s="17">
        <f>IF(OR($Z321="",$Z321=6),"",CHOOSE($Z321,"1st Email Follow-up","2nd Email Follow-up","Escalate Local Office","Escalate to CBE","Escalate to Roxanne"))</f>
        <v/>
      </c>
    </row>
    <row r="322" spans="13:29">
      <c r="M322" s="14"/>
      <c r="T322" s="16"/>
      <c r="U322" s="17">
        <f>IF(AND(COUNTA($A322:$L322)=0,$N322=""),"",IF($T322="Paid","PAID",IF($T322="Closed","CLOSED",IF($Z322="","",IF($Z322=6,"ESCALATED TO ROXANNE",IF(TODAY()&gt;$AB322,"OVERDUE",IF($AB322&lt;=WORKDAY(TODAY(),1,Holidays),"DUE TOMORROW",IF($Z322=4,"ESCALATED TO LOCAL OFFICE",IF($Z322=5,"ESCALATED TO CBE",IF($AA322=TODAY(),"EMAIL SENT","MONITORING"))))))))))</f>
        <v/>
      </c>
      <c r="V322" s="17">
        <f>IF($U322="",IF(AND(COUNTA($A322:$L322)&gt;0,$N322=""),"Awaiting Collection Email time stamp.",""),IF(OR($U322="PAID",$U322="CLOSED"),IF($U322="PAID","Account paid. Action completed.","Account closed. No further action required."),CHOOSE($Z322,"Collection Email","1st Email Follow-up","2nd Email Follow-up","Escalation to Local Office","Escalation to CBE","Escalation to Roxanne")&amp;" sent "&amp;TEXT($AA322,"dd-mmm")&amp;". "&amp;IF($Z322=6,"Final escalation completed.",IF($U322="OVERDUE","Next: "&amp;$AC322&amp;" was due "&amp;TEXT($AB322,"dd-mmm")&amp;" - "&amp;(NETWORKDAYS($AB322,TODAY(),Holidays)-1)&amp;" business day(s) late. Send now.",IF($U322="DUE TOMORROW","Next: "&amp;$AC322&amp;IF($AB322&lt;=TODAY()," is due TODAY ("," is due next business day (")&amp;TEXT($AB322,"dd-mmm")&amp;").","Next: "&amp;$AC322&amp;" due "&amp;TEXT($AB322,"dd-mmm")&amp;" ("&amp;(NETWORKDAYS(TODAY(),$AB322,Holidays)-1)&amp;" business day(s) left).")))))</f>
        <v/>
      </c>
      <c r="W322" s="17">
        <f>IF($Z322="","",CHOOSE($Z322,"Collection Email","1st Follow-up","2nd Follow-up","Local Office","CBE","Roxanne")&amp;IF($Z322=6," - Final"," - Day "&amp;MAX(0,NETWORKDAYS($AA322,TODAY(),Holidays)-1)&amp;" of "&amp;CHOOSE($Z322,3,3,2,2,3))&amp;" | Total Day "&amp;MAX(0,NETWORKDAYS($N322,TODAY(),Holidays)-1))</f>
        <v/>
      </c>
      <c r="X322" s="18"/>
      <c r="Y322" s="18"/>
      <c r="Z322" s="17">
        <f>IF($N322="","",COUNT($N322:$S322))</f>
        <v/>
      </c>
      <c r="AA322" s="19">
        <f>IF($Z322="","",INT(INDEX($N322:$S322,$Z322)))</f>
        <v/>
      </c>
      <c r="AB322" s="19">
        <f>IF(OR($Z322="",$Z322=6),"",WORKDAY($AA322,CHOOSE($Z322,3,3,2,2,3),Holidays))</f>
        <v/>
      </c>
      <c r="AC322" s="17">
        <f>IF(OR($Z322="",$Z322=6),"",CHOOSE($Z322,"1st Email Follow-up","2nd Email Follow-up","Escalate Local Office","Escalate to CBE","Escalate to Roxanne"))</f>
        <v/>
      </c>
    </row>
    <row r="323" spans="13:29">
      <c r="M323" s="14"/>
      <c r="T323" s="16"/>
      <c r="U323" s="17">
        <f>IF(AND(COUNTA($A323:$L323)=0,$N323=""),"",IF($T323="Paid","PAID",IF($T323="Closed","CLOSED",IF($Z323="","",IF($Z323=6,"ESCALATED TO ROXANNE",IF(TODAY()&gt;$AB323,"OVERDUE",IF($AB323&lt;=WORKDAY(TODAY(),1,Holidays),"DUE TOMORROW",IF($Z323=4,"ESCALATED TO LOCAL OFFICE",IF($Z323=5,"ESCALATED TO CBE",IF($AA323=TODAY(),"EMAIL SENT","MONITORING"))))))))))</f>
        <v/>
      </c>
      <c r="V323" s="17">
        <f>IF($U323="",IF(AND(COUNTA($A323:$L323)&gt;0,$N323=""),"Awaiting Collection Email time stamp.",""),IF(OR($U323="PAID",$U323="CLOSED"),IF($U323="PAID","Account paid. Action completed.","Account closed. No further action required."),CHOOSE($Z323,"Collection Email","1st Email Follow-up","2nd Email Follow-up","Escalation to Local Office","Escalation to CBE","Escalation to Roxanne")&amp;" sent "&amp;TEXT($AA323,"dd-mmm")&amp;". "&amp;IF($Z323=6,"Final escalation completed.",IF($U323="OVERDUE","Next: "&amp;$AC323&amp;" was due "&amp;TEXT($AB323,"dd-mmm")&amp;" - "&amp;(NETWORKDAYS($AB323,TODAY(),Holidays)-1)&amp;" business day(s) late. Send now.",IF($U323="DUE TOMORROW","Next: "&amp;$AC323&amp;IF($AB323&lt;=TODAY()," is due TODAY ("," is due next business day (")&amp;TEXT($AB323,"dd-mmm")&amp;").","Next: "&amp;$AC323&amp;" due "&amp;TEXT($AB323,"dd-mmm")&amp;" ("&amp;(NETWORKDAYS(TODAY(),$AB323,Holidays)-1)&amp;" business day(s) left).")))))</f>
        <v/>
      </c>
      <c r="W323" s="17">
        <f>IF($Z323="","",CHOOSE($Z323,"Collection Email","1st Follow-up","2nd Follow-up","Local Office","CBE","Roxanne")&amp;IF($Z323=6," - Final"," - Day "&amp;MAX(0,NETWORKDAYS($AA323,TODAY(),Holidays)-1)&amp;" of "&amp;CHOOSE($Z323,3,3,2,2,3))&amp;" | Total Day "&amp;MAX(0,NETWORKDAYS($N323,TODAY(),Holidays)-1))</f>
        <v/>
      </c>
      <c r="X323" s="18"/>
      <c r="Y323" s="18"/>
      <c r="Z323" s="17">
        <f>IF($N323="","",COUNT($N323:$S323))</f>
        <v/>
      </c>
      <c r="AA323" s="19">
        <f>IF($Z323="","",INT(INDEX($N323:$S323,$Z323)))</f>
        <v/>
      </c>
      <c r="AB323" s="19">
        <f>IF(OR($Z323="",$Z323=6),"",WORKDAY($AA323,CHOOSE($Z323,3,3,2,2,3),Holidays))</f>
        <v/>
      </c>
      <c r="AC323" s="17">
        <f>IF(OR($Z323="",$Z323=6),"",CHOOSE($Z323,"1st Email Follow-up","2nd Email Follow-up","Escalate Local Office","Escalate to CBE","Escalate to Roxanne"))</f>
        <v/>
      </c>
    </row>
    <row r="324" spans="13:29">
      <c r="M324" s="14"/>
      <c r="T324" s="16"/>
      <c r="U324" s="17">
        <f>IF(AND(COUNTA($A324:$L324)=0,$N324=""),"",IF($T324="Paid","PAID",IF($T324="Closed","CLOSED",IF($Z324="","",IF($Z324=6,"ESCALATED TO ROXANNE",IF(TODAY()&gt;$AB324,"OVERDUE",IF($AB324&lt;=WORKDAY(TODAY(),1,Holidays),"DUE TOMORROW",IF($Z324=4,"ESCALATED TO LOCAL OFFICE",IF($Z324=5,"ESCALATED TO CBE",IF($AA324=TODAY(),"EMAIL SENT","MONITORING"))))))))))</f>
        <v/>
      </c>
      <c r="V324" s="17">
        <f>IF($U324="",IF(AND(COUNTA($A324:$L324)&gt;0,$N324=""),"Awaiting Collection Email time stamp.",""),IF(OR($U324="PAID",$U324="CLOSED"),IF($U324="PAID","Account paid. Action completed.","Account closed. No further action required."),CHOOSE($Z324,"Collection Email","1st Email Follow-up","2nd Email Follow-up","Escalation to Local Office","Escalation to CBE","Escalation to Roxanne")&amp;" sent "&amp;TEXT($AA324,"dd-mmm")&amp;". "&amp;IF($Z324=6,"Final escalation completed.",IF($U324="OVERDUE","Next: "&amp;$AC324&amp;" was due "&amp;TEXT($AB324,"dd-mmm")&amp;" - "&amp;(NETWORKDAYS($AB324,TODAY(),Holidays)-1)&amp;" business day(s) late. Send now.",IF($U324="DUE TOMORROW","Next: "&amp;$AC324&amp;IF($AB324&lt;=TODAY()," is due TODAY ("," is due next business day (")&amp;TEXT($AB324,"dd-mmm")&amp;").","Next: "&amp;$AC324&amp;" due "&amp;TEXT($AB324,"dd-mmm")&amp;" ("&amp;(NETWORKDAYS(TODAY(),$AB324,Holidays)-1)&amp;" business day(s) left).")))))</f>
        <v/>
      </c>
      <c r="W324" s="17">
        <f>IF($Z324="","",CHOOSE($Z324,"Collection Email","1st Follow-up","2nd Follow-up","Local Office","CBE","Roxanne")&amp;IF($Z324=6," - Final"," - Day "&amp;MAX(0,NETWORKDAYS($AA324,TODAY(),Holidays)-1)&amp;" of "&amp;CHOOSE($Z324,3,3,2,2,3))&amp;" | Total Day "&amp;MAX(0,NETWORKDAYS($N324,TODAY(),Holidays)-1))</f>
        <v/>
      </c>
      <c r="X324" s="18"/>
      <c r="Y324" s="18"/>
      <c r="Z324" s="17">
        <f>IF($N324="","",COUNT($N324:$S324))</f>
        <v/>
      </c>
      <c r="AA324" s="19">
        <f>IF($Z324="","",INT(INDEX($N324:$S324,$Z324)))</f>
        <v/>
      </c>
      <c r="AB324" s="19">
        <f>IF(OR($Z324="",$Z324=6),"",WORKDAY($AA324,CHOOSE($Z324,3,3,2,2,3),Holidays))</f>
        <v/>
      </c>
      <c r="AC324" s="17">
        <f>IF(OR($Z324="",$Z324=6),"",CHOOSE($Z324,"1st Email Follow-up","2nd Email Follow-up","Escalate Local Office","Escalate to CBE","Escalate to Roxanne"))</f>
        <v/>
      </c>
    </row>
    <row r="325" spans="13:29">
      <c r="M325" s="14"/>
      <c r="T325" s="16"/>
      <c r="U325" s="17">
        <f>IF(AND(COUNTA($A325:$L325)=0,$N325=""),"",IF($T325="Paid","PAID",IF($T325="Closed","CLOSED",IF($Z325="","",IF($Z325=6,"ESCALATED TO ROXANNE",IF(TODAY()&gt;$AB325,"OVERDUE",IF($AB325&lt;=WORKDAY(TODAY(),1,Holidays),"DUE TOMORROW",IF($Z325=4,"ESCALATED TO LOCAL OFFICE",IF($Z325=5,"ESCALATED TO CBE",IF($AA325=TODAY(),"EMAIL SENT","MONITORING"))))))))))</f>
        <v/>
      </c>
      <c r="V325" s="17">
        <f>IF($U325="",IF(AND(COUNTA($A325:$L325)&gt;0,$N325=""),"Awaiting Collection Email time stamp.",""),IF(OR($U325="PAID",$U325="CLOSED"),IF($U325="PAID","Account paid. Action completed.","Account closed. No further action required."),CHOOSE($Z325,"Collection Email","1st Email Follow-up","2nd Email Follow-up","Escalation to Local Office","Escalation to CBE","Escalation to Roxanne")&amp;" sent "&amp;TEXT($AA325,"dd-mmm")&amp;". "&amp;IF($Z325=6,"Final escalation completed.",IF($U325="OVERDUE","Next: "&amp;$AC325&amp;" was due "&amp;TEXT($AB325,"dd-mmm")&amp;" - "&amp;(NETWORKDAYS($AB325,TODAY(),Holidays)-1)&amp;" business day(s) late. Send now.",IF($U325="DUE TOMORROW","Next: "&amp;$AC325&amp;IF($AB325&lt;=TODAY()," is due TODAY ("," is due next business day (")&amp;TEXT($AB325,"dd-mmm")&amp;").","Next: "&amp;$AC325&amp;" due "&amp;TEXT($AB325,"dd-mmm")&amp;" ("&amp;(NETWORKDAYS(TODAY(),$AB325,Holidays)-1)&amp;" business day(s) left).")))))</f>
        <v/>
      </c>
      <c r="W325" s="17">
        <f>IF($Z325="","",CHOOSE($Z325,"Collection Email","1st Follow-up","2nd Follow-up","Local Office","CBE","Roxanne")&amp;IF($Z325=6," - Final"," - Day "&amp;MAX(0,NETWORKDAYS($AA325,TODAY(),Holidays)-1)&amp;" of "&amp;CHOOSE($Z325,3,3,2,2,3))&amp;" | Total Day "&amp;MAX(0,NETWORKDAYS($N325,TODAY(),Holidays)-1))</f>
        <v/>
      </c>
      <c r="X325" s="18"/>
      <c r="Y325" s="18"/>
      <c r="Z325" s="17">
        <f>IF($N325="","",COUNT($N325:$S325))</f>
        <v/>
      </c>
      <c r="AA325" s="19">
        <f>IF($Z325="","",INT(INDEX($N325:$S325,$Z325)))</f>
        <v/>
      </c>
      <c r="AB325" s="19">
        <f>IF(OR($Z325="",$Z325=6),"",WORKDAY($AA325,CHOOSE($Z325,3,3,2,2,3),Holidays))</f>
        <v/>
      </c>
      <c r="AC325" s="17">
        <f>IF(OR($Z325="",$Z325=6),"",CHOOSE($Z325,"1st Email Follow-up","2nd Email Follow-up","Escalate Local Office","Escalate to CBE","Escalate to Roxanne"))</f>
        <v/>
      </c>
    </row>
    <row r="326" spans="13:29">
      <c r="M326" s="14"/>
      <c r="T326" s="16"/>
      <c r="U326" s="17">
        <f>IF(AND(COUNTA($A326:$L326)=0,$N326=""),"",IF($T326="Paid","PAID",IF($T326="Closed","CLOSED",IF($Z326="","",IF($Z326=6,"ESCALATED TO ROXANNE",IF(TODAY()&gt;$AB326,"OVERDUE",IF($AB326&lt;=WORKDAY(TODAY(),1,Holidays),"DUE TOMORROW",IF($Z326=4,"ESCALATED TO LOCAL OFFICE",IF($Z326=5,"ESCALATED TO CBE",IF($AA326=TODAY(),"EMAIL SENT","MONITORING"))))))))))</f>
        <v/>
      </c>
      <c r="V326" s="17">
        <f>IF($U326="",IF(AND(COUNTA($A326:$L326)&gt;0,$N326=""),"Awaiting Collection Email time stamp.",""),IF(OR($U326="PAID",$U326="CLOSED"),IF($U326="PAID","Account paid. Action completed.","Account closed. No further action required."),CHOOSE($Z326,"Collection Email","1st Email Follow-up","2nd Email Follow-up","Escalation to Local Office","Escalation to CBE","Escalation to Roxanne")&amp;" sent "&amp;TEXT($AA326,"dd-mmm")&amp;". "&amp;IF($Z326=6,"Final escalation completed.",IF($U326="OVERDUE","Next: "&amp;$AC326&amp;" was due "&amp;TEXT($AB326,"dd-mmm")&amp;" - "&amp;(NETWORKDAYS($AB326,TODAY(),Holidays)-1)&amp;" business day(s) late. Send now.",IF($U326="DUE TOMORROW","Next: "&amp;$AC326&amp;IF($AB326&lt;=TODAY()," is due TODAY ("," is due next business day (")&amp;TEXT($AB326,"dd-mmm")&amp;").","Next: "&amp;$AC326&amp;" due "&amp;TEXT($AB326,"dd-mmm")&amp;" ("&amp;(NETWORKDAYS(TODAY(),$AB326,Holidays)-1)&amp;" business day(s) left).")))))</f>
        <v/>
      </c>
      <c r="W326" s="17">
        <f>IF($Z326="","",CHOOSE($Z326,"Collection Email","1st Follow-up","2nd Follow-up","Local Office","CBE","Roxanne")&amp;IF($Z326=6," - Final"," - Day "&amp;MAX(0,NETWORKDAYS($AA326,TODAY(),Holidays)-1)&amp;" of "&amp;CHOOSE($Z326,3,3,2,2,3))&amp;" | Total Day "&amp;MAX(0,NETWORKDAYS($N326,TODAY(),Holidays)-1))</f>
        <v/>
      </c>
      <c r="X326" s="18"/>
      <c r="Y326" s="18"/>
      <c r="Z326" s="17">
        <f>IF($N326="","",COUNT($N326:$S326))</f>
        <v/>
      </c>
      <c r="AA326" s="19">
        <f>IF($Z326="","",INT(INDEX($N326:$S326,$Z326)))</f>
        <v/>
      </c>
      <c r="AB326" s="19">
        <f>IF(OR($Z326="",$Z326=6),"",WORKDAY($AA326,CHOOSE($Z326,3,3,2,2,3),Holidays))</f>
        <v/>
      </c>
      <c r="AC326" s="17">
        <f>IF(OR($Z326="",$Z326=6),"",CHOOSE($Z326,"1st Email Follow-up","2nd Email Follow-up","Escalate Local Office","Escalate to CBE","Escalate to Roxanne"))</f>
        <v/>
      </c>
    </row>
    <row r="327" spans="13:29">
      <c r="M327" s="14"/>
      <c r="T327" s="16"/>
      <c r="U327" s="17">
        <f>IF(AND(COUNTA($A327:$L327)=0,$N327=""),"",IF($T327="Paid","PAID",IF($T327="Closed","CLOSED",IF($Z327="","",IF($Z327=6,"ESCALATED TO ROXANNE",IF(TODAY()&gt;$AB327,"OVERDUE",IF($AB327&lt;=WORKDAY(TODAY(),1,Holidays),"DUE TOMORROW",IF($Z327=4,"ESCALATED TO LOCAL OFFICE",IF($Z327=5,"ESCALATED TO CBE",IF($AA327=TODAY(),"EMAIL SENT","MONITORING"))))))))))</f>
        <v/>
      </c>
      <c r="V327" s="17">
        <f>IF($U327="",IF(AND(COUNTA($A327:$L327)&gt;0,$N327=""),"Awaiting Collection Email time stamp.",""),IF(OR($U327="PAID",$U327="CLOSED"),IF($U327="PAID","Account paid. Action completed.","Account closed. No further action required."),CHOOSE($Z327,"Collection Email","1st Email Follow-up","2nd Email Follow-up","Escalation to Local Office","Escalation to CBE","Escalation to Roxanne")&amp;" sent "&amp;TEXT($AA327,"dd-mmm")&amp;". "&amp;IF($Z327=6,"Final escalation completed.",IF($U327="OVERDUE","Next: "&amp;$AC327&amp;" was due "&amp;TEXT($AB327,"dd-mmm")&amp;" - "&amp;(NETWORKDAYS($AB327,TODAY(),Holidays)-1)&amp;" business day(s) late. Send now.",IF($U327="DUE TOMORROW","Next: "&amp;$AC327&amp;IF($AB327&lt;=TODAY()," is due TODAY ("," is due next business day (")&amp;TEXT($AB327,"dd-mmm")&amp;").","Next: "&amp;$AC327&amp;" due "&amp;TEXT($AB327,"dd-mmm")&amp;" ("&amp;(NETWORKDAYS(TODAY(),$AB327,Holidays)-1)&amp;" business day(s) left).")))))</f>
        <v/>
      </c>
      <c r="W327" s="17">
        <f>IF($Z327="","",CHOOSE($Z327,"Collection Email","1st Follow-up","2nd Follow-up","Local Office","CBE","Roxanne")&amp;IF($Z327=6," - Final"," - Day "&amp;MAX(0,NETWORKDAYS($AA327,TODAY(),Holidays)-1)&amp;" of "&amp;CHOOSE($Z327,3,3,2,2,3))&amp;" | Total Day "&amp;MAX(0,NETWORKDAYS($N327,TODAY(),Holidays)-1))</f>
        <v/>
      </c>
      <c r="X327" s="18"/>
      <c r="Y327" s="18"/>
      <c r="Z327" s="17">
        <f>IF($N327="","",COUNT($N327:$S327))</f>
        <v/>
      </c>
      <c r="AA327" s="19">
        <f>IF($Z327="","",INT(INDEX($N327:$S327,$Z327)))</f>
        <v/>
      </c>
      <c r="AB327" s="19">
        <f>IF(OR($Z327="",$Z327=6),"",WORKDAY($AA327,CHOOSE($Z327,3,3,2,2,3),Holidays))</f>
        <v/>
      </c>
      <c r="AC327" s="17">
        <f>IF(OR($Z327="",$Z327=6),"",CHOOSE($Z327,"1st Email Follow-up","2nd Email Follow-up","Escalate Local Office","Escalate to CBE","Escalate to Roxanne"))</f>
        <v/>
      </c>
    </row>
    <row r="328" spans="13:29">
      <c r="M328" s="14"/>
      <c r="T328" s="16"/>
      <c r="U328" s="17">
        <f>IF(AND(COUNTA($A328:$L328)=0,$N328=""),"",IF($T328="Paid","PAID",IF($T328="Closed","CLOSED",IF($Z328="","",IF($Z328=6,"ESCALATED TO ROXANNE",IF(TODAY()&gt;$AB328,"OVERDUE",IF($AB328&lt;=WORKDAY(TODAY(),1,Holidays),"DUE TOMORROW",IF($Z328=4,"ESCALATED TO LOCAL OFFICE",IF($Z328=5,"ESCALATED TO CBE",IF($AA328=TODAY(),"EMAIL SENT","MONITORING"))))))))))</f>
        <v/>
      </c>
      <c r="V328" s="17">
        <f>IF($U328="",IF(AND(COUNTA($A328:$L328)&gt;0,$N328=""),"Awaiting Collection Email time stamp.",""),IF(OR($U328="PAID",$U328="CLOSED"),IF($U328="PAID","Account paid. Action completed.","Account closed. No further action required."),CHOOSE($Z328,"Collection Email","1st Email Follow-up","2nd Email Follow-up","Escalation to Local Office","Escalation to CBE","Escalation to Roxanne")&amp;" sent "&amp;TEXT($AA328,"dd-mmm")&amp;". "&amp;IF($Z328=6,"Final escalation completed.",IF($U328="OVERDUE","Next: "&amp;$AC328&amp;" was due "&amp;TEXT($AB328,"dd-mmm")&amp;" - "&amp;(NETWORKDAYS($AB328,TODAY(),Holidays)-1)&amp;" business day(s) late. Send now.",IF($U328="DUE TOMORROW","Next: "&amp;$AC328&amp;IF($AB328&lt;=TODAY()," is due TODAY ("," is due next business day (")&amp;TEXT($AB328,"dd-mmm")&amp;").","Next: "&amp;$AC328&amp;" due "&amp;TEXT($AB328,"dd-mmm")&amp;" ("&amp;(NETWORKDAYS(TODAY(),$AB328,Holidays)-1)&amp;" business day(s) left).")))))</f>
        <v/>
      </c>
      <c r="W328" s="17">
        <f>IF($Z328="","",CHOOSE($Z328,"Collection Email","1st Follow-up","2nd Follow-up","Local Office","CBE","Roxanne")&amp;IF($Z328=6," - Final"," - Day "&amp;MAX(0,NETWORKDAYS($AA328,TODAY(),Holidays)-1)&amp;" of "&amp;CHOOSE($Z328,3,3,2,2,3))&amp;" | Total Day "&amp;MAX(0,NETWORKDAYS($N328,TODAY(),Holidays)-1))</f>
        <v/>
      </c>
      <c r="X328" s="18"/>
      <c r="Y328" s="18"/>
      <c r="Z328" s="17">
        <f>IF($N328="","",COUNT($N328:$S328))</f>
        <v/>
      </c>
      <c r="AA328" s="19">
        <f>IF($Z328="","",INT(INDEX($N328:$S328,$Z328)))</f>
        <v/>
      </c>
      <c r="AB328" s="19">
        <f>IF(OR($Z328="",$Z328=6),"",WORKDAY($AA328,CHOOSE($Z328,3,3,2,2,3),Holidays))</f>
        <v/>
      </c>
      <c r="AC328" s="17">
        <f>IF(OR($Z328="",$Z328=6),"",CHOOSE($Z328,"1st Email Follow-up","2nd Email Follow-up","Escalate Local Office","Escalate to CBE","Escalate to Roxanne"))</f>
        <v/>
      </c>
    </row>
    <row r="329" spans="13:29">
      <c r="M329" s="14"/>
      <c r="T329" s="16"/>
      <c r="U329" s="17">
        <f>IF(AND(COUNTA($A329:$L329)=0,$N329=""),"",IF($T329="Paid","PAID",IF($T329="Closed","CLOSED",IF($Z329="","",IF($Z329=6,"ESCALATED TO ROXANNE",IF(TODAY()&gt;$AB329,"OVERDUE",IF($AB329&lt;=WORKDAY(TODAY(),1,Holidays),"DUE TOMORROW",IF($Z329=4,"ESCALATED TO LOCAL OFFICE",IF($Z329=5,"ESCALATED TO CBE",IF($AA329=TODAY(),"EMAIL SENT","MONITORING"))))))))))</f>
        <v/>
      </c>
      <c r="V329" s="17">
        <f>IF($U329="",IF(AND(COUNTA($A329:$L329)&gt;0,$N329=""),"Awaiting Collection Email time stamp.",""),IF(OR($U329="PAID",$U329="CLOSED"),IF($U329="PAID","Account paid. Action completed.","Account closed. No further action required."),CHOOSE($Z329,"Collection Email","1st Email Follow-up","2nd Email Follow-up","Escalation to Local Office","Escalation to CBE","Escalation to Roxanne")&amp;" sent "&amp;TEXT($AA329,"dd-mmm")&amp;". "&amp;IF($Z329=6,"Final escalation completed.",IF($U329="OVERDUE","Next: "&amp;$AC329&amp;" was due "&amp;TEXT($AB329,"dd-mmm")&amp;" - "&amp;(NETWORKDAYS($AB329,TODAY(),Holidays)-1)&amp;" business day(s) late. Send now.",IF($U329="DUE TOMORROW","Next: "&amp;$AC329&amp;IF($AB329&lt;=TODAY()," is due TODAY ("," is due next business day (")&amp;TEXT($AB329,"dd-mmm")&amp;").","Next: "&amp;$AC329&amp;" due "&amp;TEXT($AB329,"dd-mmm")&amp;" ("&amp;(NETWORKDAYS(TODAY(),$AB329,Holidays)-1)&amp;" business day(s) left).")))))</f>
        <v/>
      </c>
      <c r="W329" s="17">
        <f>IF($Z329="","",CHOOSE($Z329,"Collection Email","1st Follow-up","2nd Follow-up","Local Office","CBE","Roxanne")&amp;IF($Z329=6," - Final"," - Day "&amp;MAX(0,NETWORKDAYS($AA329,TODAY(),Holidays)-1)&amp;" of "&amp;CHOOSE($Z329,3,3,2,2,3))&amp;" | Total Day "&amp;MAX(0,NETWORKDAYS($N329,TODAY(),Holidays)-1))</f>
        <v/>
      </c>
      <c r="X329" s="18"/>
      <c r="Y329" s="18"/>
      <c r="Z329" s="17">
        <f>IF($N329="","",COUNT($N329:$S329))</f>
        <v/>
      </c>
      <c r="AA329" s="19">
        <f>IF($Z329="","",INT(INDEX($N329:$S329,$Z329)))</f>
        <v/>
      </c>
      <c r="AB329" s="19">
        <f>IF(OR($Z329="",$Z329=6),"",WORKDAY($AA329,CHOOSE($Z329,3,3,2,2,3),Holidays))</f>
        <v/>
      </c>
      <c r="AC329" s="17">
        <f>IF(OR($Z329="",$Z329=6),"",CHOOSE($Z329,"1st Email Follow-up","2nd Email Follow-up","Escalate Local Office","Escalate to CBE","Escalate to Roxanne"))</f>
        <v/>
      </c>
    </row>
    <row r="330" spans="13:29">
      <c r="M330" s="14"/>
      <c r="T330" s="16"/>
      <c r="U330" s="17">
        <f>IF(AND(COUNTA($A330:$L330)=0,$N330=""),"",IF($T330="Paid","PAID",IF($T330="Closed","CLOSED",IF($Z330="","",IF($Z330=6,"ESCALATED TO ROXANNE",IF(TODAY()&gt;$AB330,"OVERDUE",IF($AB330&lt;=WORKDAY(TODAY(),1,Holidays),"DUE TOMORROW",IF($Z330=4,"ESCALATED TO LOCAL OFFICE",IF($Z330=5,"ESCALATED TO CBE",IF($AA330=TODAY(),"EMAIL SENT","MONITORING"))))))))))</f>
        <v/>
      </c>
      <c r="V330" s="17">
        <f>IF($U330="",IF(AND(COUNTA($A330:$L330)&gt;0,$N330=""),"Awaiting Collection Email time stamp.",""),IF(OR($U330="PAID",$U330="CLOSED"),IF($U330="PAID","Account paid. Action completed.","Account closed. No further action required."),CHOOSE($Z330,"Collection Email","1st Email Follow-up","2nd Email Follow-up","Escalation to Local Office","Escalation to CBE","Escalation to Roxanne")&amp;" sent "&amp;TEXT($AA330,"dd-mmm")&amp;". "&amp;IF($Z330=6,"Final escalation completed.",IF($U330="OVERDUE","Next: "&amp;$AC330&amp;" was due "&amp;TEXT($AB330,"dd-mmm")&amp;" - "&amp;(NETWORKDAYS($AB330,TODAY(),Holidays)-1)&amp;" business day(s) late. Send now.",IF($U330="DUE TOMORROW","Next: "&amp;$AC330&amp;IF($AB330&lt;=TODAY()," is due TODAY ("," is due next business day (")&amp;TEXT($AB330,"dd-mmm")&amp;").","Next: "&amp;$AC330&amp;" due "&amp;TEXT($AB330,"dd-mmm")&amp;" ("&amp;(NETWORKDAYS(TODAY(),$AB330,Holidays)-1)&amp;" business day(s) left).")))))</f>
        <v/>
      </c>
      <c r="W330" s="17">
        <f>IF($Z330="","",CHOOSE($Z330,"Collection Email","1st Follow-up","2nd Follow-up","Local Office","CBE","Roxanne")&amp;IF($Z330=6," - Final"," - Day "&amp;MAX(0,NETWORKDAYS($AA330,TODAY(),Holidays)-1)&amp;" of "&amp;CHOOSE($Z330,3,3,2,2,3))&amp;" | Total Day "&amp;MAX(0,NETWORKDAYS($N330,TODAY(),Holidays)-1))</f>
        <v/>
      </c>
      <c r="X330" s="18"/>
      <c r="Y330" s="18"/>
      <c r="Z330" s="17">
        <f>IF($N330="","",COUNT($N330:$S330))</f>
        <v/>
      </c>
      <c r="AA330" s="19">
        <f>IF($Z330="","",INT(INDEX($N330:$S330,$Z330)))</f>
        <v/>
      </c>
      <c r="AB330" s="19">
        <f>IF(OR($Z330="",$Z330=6),"",WORKDAY($AA330,CHOOSE($Z330,3,3,2,2,3),Holidays))</f>
        <v/>
      </c>
      <c r="AC330" s="17">
        <f>IF(OR($Z330="",$Z330=6),"",CHOOSE($Z330,"1st Email Follow-up","2nd Email Follow-up","Escalate Local Office","Escalate to CBE","Escalate to Roxanne"))</f>
        <v/>
      </c>
    </row>
    <row r="331" spans="13:29">
      <c r="M331" s="14"/>
      <c r="T331" s="16"/>
      <c r="U331" s="17">
        <f>IF(AND(COUNTA($A331:$L331)=0,$N331=""),"",IF($T331="Paid","PAID",IF($T331="Closed","CLOSED",IF($Z331="","",IF($Z331=6,"ESCALATED TO ROXANNE",IF(TODAY()&gt;$AB331,"OVERDUE",IF($AB331&lt;=WORKDAY(TODAY(),1,Holidays),"DUE TOMORROW",IF($Z331=4,"ESCALATED TO LOCAL OFFICE",IF($Z331=5,"ESCALATED TO CBE",IF($AA331=TODAY(),"EMAIL SENT","MONITORING"))))))))))</f>
        <v/>
      </c>
      <c r="V331" s="17">
        <f>IF($U331="",IF(AND(COUNTA($A331:$L331)&gt;0,$N331=""),"Awaiting Collection Email time stamp.",""),IF(OR($U331="PAID",$U331="CLOSED"),IF($U331="PAID","Account paid. Action completed.","Account closed. No further action required."),CHOOSE($Z331,"Collection Email","1st Email Follow-up","2nd Email Follow-up","Escalation to Local Office","Escalation to CBE","Escalation to Roxanne")&amp;" sent "&amp;TEXT($AA331,"dd-mmm")&amp;". "&amp;IF($Z331=6,"Final escalation completed.",IF($U331="OVERDUE","Next: "&amp;$AC331&amp;" was due "&amp;TEXT($AB331,"dd-mmm")&amp;" - "&amp;(NETWORKDAYS($AB331,TODAY(),Holidays)-1)&amp;" business day(s) late. Send now.",IF($U331="DUE TOMORROW","Next: "&amp;$AC331&amp;IF($AB331&lt;=TODAY()," is due TODAY ("," is due next business day (")&amp;TEXT($AB331,"dd-mmm")&amp;").","Next: "&amp;$AC331&amp;" due "&amp;TEXT($AB331,"dd-mmm")&amp;" ("&amp;(NETWORKDAYS(TODAY(),$AB331,Holidays)-1)&amp;" business day(s) left).")))))</f>
        <v/>
      </c>
      <c r="W331" s="17">
        <f>IF($Z331="","",CHOOSE($Z331,"Collection Email","1st Follow-up","2nd Follow-up","Local Office","CBE","Roxanne")&amp;IF($Z331=6," - Final"," - Day "&amp;MAX(0,NETWORKDAYS($AA331,TODAY(),Holidays)-1)&amp;" of "&amp;CHOOSE($Z331,3,3,2,2,3))&amp;" | Total Day "&amp;MAX(0,NETWORKDAYS($N331,TODAY(),Holidays)-1))</f>
        <v/>
      </c>
      <c r="X331" s="18"/>
      <c r="Y331" s="18"/>
      <c r="Z331" s="17">
        <f>IF($N331="","",COUNT($N331:$S331))</f>
        <v/>
      </c>
      <c r="AA331" s="19">
        <f>IF($Z331="","",INT(INDEX($N331:$S331,$Z331)))</f>
        <v/>
      </c>
      <c r="AB331" s="19">
        <f>IF(OR($Z331="",$Z331=6),"",WORKDAY($AA331,CHOOSE($Z331,3,3,2,2,3),Holidays))</f>
        <v/>
      </c>
      <c r="AC331" s="17">
        <f>IF(OR($Z331="",$Z331=6),"",CHOOSE($Z331,"1st Email Follow-up","2nd Email Follow-up","Escalate Local Office","Escalate to CBE","Escalate to Roxanne"))</f>
        <v/>
      </c>
    </row>
    <row r="332" spans="13:29">
      <c r="M332" s="14"/>
      <c r="T332" s="16"/>
      <c r="U332" s="17">
        <f>IF(AND(COUNTA($A332:$L332)=0,$N332=""),"",IF($T332="Paid","PAID",IF($T332="Closed","CLOSED",IF($Z332="","",IF($Z332=6,"ESCALATED TO ROXANNE",IF(TODAY()&gt;$AB332,"OVERDUE",IF($AB332&lt;=WORKDAY(TODAY(),1,Holidays),"DUE TOMORROW",IF($Z332=4,"ESCALATED TO LOCAL OFFICE",IF($Z332=5,"ESCALATED TO CBE",IF($AA332=TODAY(),"EMAIL SENT","MONITORING"))))))))))</f>
        <v/>
      </c>
      <c r="V332" s="17">
        <f>IF($U332="",IF(AND(COUNTA($A332:$L332)&gt;0,$N332=""),"Awaiting Collection Email time stamp.",""),IF(OR($U332="PAID",$U332="CLOSED"),IF($U332="PAID","Account paid. Action completed.","Account closed. No further action required."),CHOOSE($Z332,"Collection Email","1st Email Follow-up","2nd Email Follow-up","Escalation to Local Office","Escalation to CBE","Escalation to Roxanne")&amp;" sent "&amp;TEXT($AA332,"dd-mmm")&amp;". "&amp;IF($Z332=6,"Final escalation completed.",IF($U332="OVERDUE","Next: "&amp;$AC332&amp;" was due "&amp;TEXT($AB332,"dd-mmm")&amp;" - "&amp;(NETWORKDAYS($AB332,TODAY(),Holidays)-1)&amp;" business day(s) late. Send now.",IF($U332="DUE TOMORROW","Next: "&amp;$AC332&amp;IF($AB332&lt;=TODAY()," is due TODAY ("," is due next business day (")&amp;TEXT($AB332,"dd-mmm")&amp;").","Next: "&amp;$AC332&amp;" due "&amp;TEXT($AB332,"dd-mmm")&amp;" ("&amp;(NETWORKDAYS(TODAY(),$AB332,Holidays)-1)&amp;" business day(s) left).")))))</f>
        <v/>
      </c>
      <c r="W332" s="17">
        <f>IF($Z332="","",CHOOSE($Z332,"Collection Email","1st Follow-up","2nd Follow-up","Local Office","CBE","Roxanne")&amp;IF($Z332=6," - Final"," - Day "&amp;MAX(0,NETWORKDAYS($AA332,TODAY(),Holidays)-1)&amp;" of "&amp;CHOOSE($Z332,3,3,2,2,3))&amp;" | Total Day "&amp;MAX(0,NETWORKDAYS($N332,TODAY(),Holidays)-1))</f>
        <v/>
      </c>
      <c r="X332" s="18"/>
      <c r="Y332" s="18"/>
      <c r="Z332" s="17">
        <f>IF($N332="","",COUNT($N332:$S332))</f>
        <v/>
      </c>
      <c r="AA332" s="19">
        <f>IF($Z332="","",INT(INDEX($N332:$S332,$Z332)))</f>
        <v/>
      </c>
      <c r="AB332" s="19">
        <f>IF(OR($Z332="",$Z332=6),"",WORKDAY($AA332,CHOOSE($Z332,3,3,2,2,3),Holidays))</f>
        <v/>
      </c>
      <c r="AC332" s="17">
        <f>IF(OR($Z332="",$Z332=6),"",CHOOSE($Z332,"1st Email Follow-up","2nd Email Follow-up","Escalate Local Office","Escalate to CBE","Escalate to Roxanne"))</f>
        <v/>
      </c>
    </row>
    <row r="333" spans="13:29">
      <c r="M333" s="14"/>
      <c r="T333" s="16"/>
      <c r="U333" s="17">
        <f>IF(AND(COUNTA($A333:$L333)=0,$N333=""),"",IF($T333="Paid","PAID",IF($T333="Closed","CLOSED",IF($Z333="","",IF($Z333=6,"ESCALATED TO ROXANNE",IF(TODAY()&gt;$AB333,"OVERDUE",IF($AB333&lt;=WORKDAY(TODAY(),1,Holidays),"DUE TOMORROW",IF($Z333=4,"ESCALATED TO LOCAL OFFICE",IF($Z333=5,"ESCALATED TO CBE",IF($AA333=TODAY(),"EMAIL SENT","MONITORING"))))))))))</f>
        <v/>
      </c>
      <c r="V333" s="17">
        <f>IF($U333="",IF(AND(COUNTA($A333:$L333)&gt;0,$N333=""),"Awaiting Collection Email time stamp.",""),IF(OR($U333="PAID",$U333="CLOSED"),IF($U333="PAID","Account paid. Action completed.","Account closed. No further action required."),CHOOSE($Z333,"Collection Email","1st Email Follow-up","2nd Email Follow-up","Escalation to Local Office","Escalation to CBE","Escalation to Roxanne")&amp;" sent "&amp;TEXT($AA333,"dd-mmm")&amp;". "&amp;IF($Z333=6,"Final escalation completed.",IF($U333="OVERDUE","Next: "&amp;$AC333&amp;" was due "&amp;TEXT($AB333,"dd-mmm")&amp;" - "&amp;(NETWORKDAYS($AB333,TODAY(),Holidays)-1)&amp;" business day(s) late. Send now.",IF($U333="DUE TOMORROW","Next: "&amp;$AC333&amp;IF($AB333&lt;=TODAY()," is due TODAY ("," is due next business day (")&amp;TEXT($AB333,"dd-mmm")&amp;").","Next: "&amp;$AC333&amp;" due "&amp;TEXT($AB333,"dd-mmm")&amp;" ("&amp;(NETWORKDAYS(TODAY(),$AB333,Holidays)-1)&amp;" business day(s) left).")))))</f>
        <v/>
      </c>
      <c r="W333" s="17">
        <f>IF($Z333="","",CHOOSE($Z333,"Collection Email","1st Follow-up","2nd Follow-up","Local Office","CBE","Roxanne")&amp;IF($Z333=6," - Final"," - Day "&amp;MAX(0,NETWORKDAYS($AA333,TODAY(),Holidays)-1)&amp;" of "&amp;CHOOSE($Z333,3,3,2,2,3))&amp;" | Total Day "&amp;MAX(0,NETWORKDAYS($N333,TODAY(),Holidays)-1))</f>
        <v/>
      </c>
      <c r="X333" s="18"/>
      <c r="Y333" s="18"/>
      <c r="Z333" s="17">
        <f>IF($N333="","",COUNT($N333:$S333))</f>
        <v/>
      </c>
      <c r="AA333" s="19">
        <f>IF($Z333="","",INT(INDEX($N333:$S333,$Z333)))</f>
        <v/>
      </c>
      <c r="AB333" s="19">
        <f>IF(OR($Z333="",$Z333=6),"",WORKDAY($AA333,CHOOSE($Z333,3,3,2,2,3),Holidays))</f>
        <v/>
      </c>
      <c r="AC333" s="17">
        <f>IF(OR($Z333="",$Z333=6),"",CHOOSE($Z333,"1st Email Follow-up","2nd Email Follow-up","Escalate Local Office","Escalate to CBE","Escalate to Roxanne"))</f>
        <v/>
      </c>
    </row>
    <row r="334" spans="13:29">
      <c r="M334" s="14"/>
      <c r="T334" s="16"/>
      <c r="U334" s="17">
        <f>IF(AND(COUNTA($A334:$L334)=0,$N334=""),"",IF($T334="Paid","PAID",IF($T334="Closed","CLOSED",IF($Z334="","",IF($Z334=6,"ESCALATED TO ROXANNE",IF(TODAY()&gt;$AB334,"OVERDUE",IF($AB334&lt;=WORKDAY(TODAY(),1,Holidays),"DUE TOMORROW",IF($Z334=4,"ESCALATED TO LOCAL OFFICE",IF($Z334=5,"ESCALATED TO CBE",IF($AA334=TODAY(),"EMAIL SENT","MONITORING"))))))))))</f>
        <v/>
      </c>
      <c r="V334" s="17">
        <f>IF($U334="",IF(AND(COUNTA($A334:$L334)&gt;0,$N334=""),"Awaiting Collection Email time stamp.",""),IF(OR($U334="PAID",$U334="CLOSED"),IF($U334="PAID","Account paid. Action completed.","Account closed. No further action required."),CHOOSE($Z334,"Collection Email","1st Email Follow-up","2nd Email Follow-up","Escalation to Local Office","Escalation to CBE","Escalation to Roxanne")&amp;" sent "&amp;TEXT($AA334,"dd-mmm")&amp;". "&amp;IF($Z334=6,"Final escalation completed.",IF($U334="OVERDUE","Next: "&amp;$AC334&amp;" was due "&amp;TEXT($AB334,"dd-mmm")&amp;" - "&amp;(NETWORKDAYS($AB334,TODAY(),Holidays)-1)&amp;" business day(s) late. Send now.",IF($U334="DUE TOMORROW","Next: "&amp;$AC334&amp;IF($AB334&lt;=TODAY()," is due TODAY ("," is due next business day (")&amp;TEXT($AB334,"dd-mmm")&amp;").","Next: "&amp;$AC334&amp;" due "&amp;TEXT($AB334,"dd-mmm")&amp;" ("&amp;(NETWORKDAYS(TODAY(),$AB334,Holidays)-1)&amp;" business day(s) left).")))))</f>
        <v/>
      </c>
      <c r="W334" s="17">
        <f>IF($Z334="","",CHOOSE($Z334,"Collection Email","1st Follow-up","2nd Follow-up","Local Office","CBE","Roxanne")&amp;IF($Z334=6," - Final"," - Day "&amp;MAX(0,NETWORKDAYS($AA334,TODAY(),Holidays)-1)&amp;" of "&amp;CHOOSE($Z334,3,3,2,2,3))&amp;" | Total Day "&amp;MAX(0,NETWORKDAYS($N334,TODAY(),Holidays)-1))</f>
        <v/>
      </c>
      <c r="X334" s="18"/>
      <c r="Y334" s="18"/>
      <c r="Z334" s="17">
        <f>IF($N334="","",COUNT($N334:$S334))</f>
        <v/>
      </c>
      <c r="AA334" s="19">
        <f>IF($Z334="","",INT(INDEX($N334:$S334,$Z334)))</f>
        <v/>
      </c>
      <c r="AB334" s="19">
        <f>IF(OR($Z334="",$Z334=6),"",WORKDAY($AA334,CHOOSE($Z334,3,3,2,2,3),Holidays))</f>
        <v/>
      </c>
      <c r="AC334" s="17">
        <f>IF(OR($Z334="",$Z334=6),"",CHOOSE($Z334,"1st Email Follow-up","2nd Email Follow-up","Escalate Local Office","Escalate to CBE","Escalate to Roxanne"))</f>
        <v/>
      </c>
    </row>
    <row r="335" spans="13:29">
      <c r="M335" s="14"/>
      <c r="T335" s="16"/>
      <c r="U335" s="17">
        <f>IF(AND(COUNTA($A335:$L335)=0,$N335=""),"",IF($T335="Paid","PAID",IF($T335="Closed","CLOSED",IF($Z335="","",IF($Z335=6,"ESCALATED TO ROXANNE",IF(TODAY()&gt;$AB335,"OVERDUE",IF($AB335&lt;=WORKDAY(TODAY(),1,Holidays),"DUE TOMORROW",IF($Z335=4,"ESCALATED TO LOCAL OFFICE",IF($Z335=5,"ESCALATED TO CBE",IF($AA335=TODAY(),"EMAIL SENT","MONITORING"))))))))))</f>
        <v/>
      </c>
      <c r="V335" s="17">
        <f>IF($U335="",IF(AND(COUNTA($A335:$L335)&gt;0,$N335=""),"Awaiting Collection Email time stamp.",""),IF(OR($U335="PAID",$U335="CLOSED"),IF($U335="PAID","Account paid. Action completed.","Account closed. No further action required."),CHOOSE($Z335,"Collection Email","1st Email Follow-up","2nd Email Follow-up","Escalation to Local Office","Escalation to CBE","Escalation to Roxanne")&amp;" sent "&amp;TEXT($AA335,"dd-mmm")&amp;". "&amp;IF($Z335=6,"Final escalation completed.",IF($U335="OVERDUE","Next: "&amp;$AC335&amp;" was due "&amp;TEXT($AB335,"dd-mmm")&amp;" - "&amp;(NETWORKDAYS($AB335,TODAY(),Holidays)-1)&amp;" business day(s) late. Send now.",IF($U335="DUE TOMORROW","Next: "&amp;$AC335&amp;IF($AB335&lt;=TODAY()," is due TODAY ("," is due next business day (")&amp;TEXT($AB335,"dd-mmm")&amp;").","Next: "&amp;$AC335&amp;" due "&amp;TEXT($AB335,"dd-mmm")&amp;" ("&amp;(NETWORKDAYS(TODAY(),$AB335,Holidays)-1)&amp;" business day(s) left).")))))</f>
        <v/>
      </c>
      <c r="W335" s="17">
        <f>IF($Z335="","",CHOOSE($Z335,"Collection Email","1st Follow-up","2nd Follow-up","Local Office","CBE","Roxanne")&amp;IF($Z335=6," - Final"," - Day "&amp;MAX(0,NETWORKDAYS($AA335,TODAY(),Holidays)-1)&amp;" of "&amp;CHOOSE($Z335,3,3,2,2,3))&amp;" | Total Day "&amp;MAX(0,NETWORKDAYS($N335,TODAY(),Holidays)-1))</f>
        <v/>
      </c>
      <c r="X335" s="18"/>
      <c r="Y335" s="18"/>
      <c r="Z335" s="17">
        <f>IF($N335="","",COUNT($N335:$S335))</f>
        <v/>
      </c>
      <c r="AA335" s="19">
        <f>IF($Z335="","",INT(INDEX($N335:$S335,$Z335)))</f>
        <v/>
      </c>
      <c r="AB335" s="19">
        <f>IF(OR($Z335="",$Z335=6),"",WORKDAY($AA335,CHOOSE($Z335,3,3,2,2,3),Holidays))</f>
        <v/>
      </c>
      <c r="AC335" s="17">
        <f>IF(OR($Z335="",$Z335=6),"",CHOOSE($Z335,"1st Email Follow-up","2nd Email Follow-up","Escalate Local Office","Escalate to CBE","Escalate to Roxanne"))</f>
        <v/>
      </c>
    </row>
    <row r="336" spans="13:29">
      <c r="M336" s="14"/>
      <c r="T336" s="16"/>
      <c r="U336" s="17">
        <f>IF(AND(COUNTA($A336:$L336)=0,$N336=""),"",IF($T336="Paid","PAID",IF($T336="Closed","CLOSED",IF($Z336="","",IF($Z336=6,"ESCALATED TO ROXANNE",IF(TODAY()&gt;$AB336,"OVERDUE",IF($AB336&lt;=WORKDAY(TODAY(),1,Holidays),"DUE TOMORROW",IF($Z336=4,"ESCALATED TO LOCAL OFFICE",IF($Z336=5,"ESCALATED TO CBE",IF($AA336=TODAY(),"EMAIL SENT","MONITORING"))))))))))</f>
        <v/>
      </c>
      <c r="V336" s="17">
        <f>IF($U336="",IF(AND(COUNTA($A336:$L336)&gt;0,$N336=""),"Awaiting Collection Email time stamp.",""),IF(OR($U336="PAID",$U336="CLOSED"),IF($U336="PAID","Account paid. Action completed.","Account closed. No further action required."),CHOOSE($Z336,"Collection Email","1st Email Follow-up","2nd Email Follow-up","Escalation to Local Office","Escalation to CBE","Escalation to Roxanne")&amp;" sent "&amp;TEXT($AA336,"dd-mmm")&amp;". "&amp;IF($Z336=6,"Final escalation completed.",IF($U336="OVERDUE","Next: "&amp;$AC336&amp;" was due "&amp;TEXT($AB336,"dd-mmm")&amp;" - "&amp;(NETWORKDAYS($AB336,TODAY(),Holidays)-1)&amp;" business day(s) late. Send now.",IF($U336="DUE TOMORROW","Next: "&amp;$AC336&amp;IF($AB336&lt;=TODAY()," is due TODAY ("," is due next business day (")&amp;TEXT($AB336,"dd-mmm")&amp;").","Next: "&amp;$AC336&amp;" due "&amp;TEXT($AB336,"dd-mmm")&amp;" ("&amp;(NETWORKDAYS(TODAY(),$AB336,Holidays)-1)&amp;" business day(s) left).")))))</f>
        <v/>
      </c>
      <c r="W336" s="17">
        <f>IF($Z336="","",CHOOSE($Z336,"Collection Email","1st Follow-up","2nd Follow-up","Local Office","CBE","Roxanne")&amp;IF($Z336=6," - Final"," - Day "&amp;MAX(0,NETWORKDAYS($AA336,TODAY(),Holidays)-1)&amp;" of "&amp;CHOOSE($Z336,3,3,2,2,3))&amp;" | Total Day "&amp;MAX(0,NETWORKDAYS($N336,TODAY(),Holidays)-1))</f>
        <v/>
      </c>
      <c r="X336" s="18"/>
      <c r="Y336" s="18"/>
      <c r="Z336" s="17">
        <f>IF($N336="","",COUNT($N336:$S336))</f>
        <v/>
      </c>
      <c r="AA336" s="19">
        <f>IF($Z336="","",INT(INDEX($N336:$S336,$Z336)))</f>
        <v/>
      </c>
      <c r="AB336" s="19">
        <f>IF(OR($Z336="",$Z336=6),"",WORKDAY($AA336,CHOOSE($Z336,3,3,2,2,3),Holidays))</f>
        <v/>
      </c>
      <c r="AC336" s="17">
        <f>IF(OR($Z336="",$Z336=6),"",CHOOSE($Z336,"1st Email Follow-up","2nd Email Follow-up","Escalate Local Office","Escalate to CBE","Escalate to Roxanne"))</f>
        <v/>
      </c>
    </row>
    <row r="337" spans="13:29">
      <c r="M337" s="14"/>
      <c r="T337" s="16"/>
      <c r="U337" s="17">
        <f>IF(AND(COUNTA($A337:$L337)=0,$N337=""),"",IF($T337="Paid","PAID",IF($T337="Closed","CLOSED",IF($Z337="","",IF($Z337=6,"ESCALATED TO ROXANNE",IF(TODAY()&gt;$AB337,"OVERDUE",IF($AB337&lt;=WORKDAY(TODAY(),1,Holidays),"DUE TOMORROW",IF($Z337=4,"ESCALATED TO LOCAL OFFICE",IF($Z337=5,"ESCALATED TO CBE",IF($AA337=TODAY(),"EMAIL SENT","MONITORING"))))))))))</f>
        <v/>
      </c>
      <c r="V337" s="17">
        <f>IF($U337="",IF(AND(COUNTA($A337:$L337)&gt;0,$N337=""),"Awaiting Collection Email time stamp.",""),IF(OR($U337="PAID",$U337="CLOSED"),IF($U337="PAID","Account paid. Action completed.","Account closed. No further action required."),CHOOSE($Z337,"Collection Email","1st Email Follow-up","2nd Email Follow-up","Escalation to Local Office","Escalation to CBE","Escalation to Roxanne")&amp;" sent "&amp;TEXT($AA337,"dd-mmm")&amp;". "&amp;IF($Z337=6,"Final escalation completed.",IF($U337="OVERDUE","Next: "&amp;$AC337&amp;" was due "&amp;TEXT($AB337,"dd-mmm")&amp;" - "&amp;(NETWORKDAYS($AB337,TODAY(),Holidays)-1)&amp;" business day(s) late. Send now.",IF($U337="DUE TOMORROW","Next: "&amp;$AC337&amp;IF($AB337&lt;=TODAY()," is due TODAY ("," is due next business day (")&amp;TEXT($AB337,"dd-mmm")&amp;").","Next: "&amp;$AC337&amp;" due "&amp;TEXT($AB337,"dd-mmm")&amp;" ("&amp;(NETWORKDAYS(TODAY(),$AB337,Holidays)-1)&amp;" business day(s) left).")))))</f>
        <v/>
      </c>
      <c r="W337" s="17">
        <f>IF($Z337="","",CHOOSE($Z337,"Collection Email","1st Follow-up","2nd Follow-up","Local Office","CBE","Roxanne")&amp;IF($Z337=6," - Final"," - Day "&amp;MAX(0,NETWORKDAYS($AA337,TODAY(),Holidays)-1)&amp;" of "&amp;CHOOSE($Z337,3,3,2,2,3))&amp;" | Total Day "&amp;MAX(0,NETWORKDAYS($N337,TODAY(),Holidays)-1))</f>
        <v/>
      </c>
      <c r="X337" s="18"/>
      <c r="Y337" s="18"/>
      <c r="Z337" s="17">
        <f>IF($N337="","",COUNT($N337:$S337))</f>
        <v/>
      </c>
      <c r="AA337" s="19">
        <f>IF($Z337="","",INT(INDEX($N337:$S337,$Z337)))</f>
        <v/>
      </c>
      <c r="AB337" s="19">
        <f>IF(OR($Z337="",$Z337=6),"",WORKDAY($AA337,CHOOSE($Z337,3,3,2,2,3),Holidays))</f>
        <v/>
      </c>
      <c r="AC337" s="17">
        <f>IF(OR($Z337="",$Z337=6),"",CHOOSE($Z337,"1st Email Follow-up","2nd Email Follow-up","Escalate Local Office","Escalate to CBE","Escalate to Roxanne"))</f>
        <v/>
      </c>
    </row>
    <row r="338" spans="13:29">
      <c r="M338" s="14"/>
      <c r="T338" s="16"/>
      <c r="U338" s="17">
        <f>IF(AND(COUNTA($A338:$L338)=0,$N338=""),"",IF($T338="Paid","PAID",IF($T338="Closed","CLOSED",IF($Z338="","",IF($Z338=6,"ESCALATED TO ROXANNE",IF(TODAY()&gt;$AB338,"OVERDUE",IF($AB338&lt;=WORKDAY(TODAY(),1,Holidays),"DUE TOMORROW",IF($Z338=4,"ESCALATED TO LOCAL OFFICE",IF($Z338=5,"ESCALATED TO CBE",IF($AA338=TODAY(),"EMAIL SENT","MONITORING"))))))))))</f>
        <v/>
      </c>
      <c r="V338" s="17">
        <f>IF($U338="",IF(AND(COUNTA($A338:$L338)&gt;0,$N338=""),"Awaiting Collection Email time stamp.",""),IF(OR($U338="PAID",$U338="CLOSED"),IF($U338="PAID","Account paid. Action completed.","Account closed. No further action required."),CHOOSE($Z338,"Collection Email","1st Email Follow-up","2nd Email Follow-up","Escalation to Local Office","Escalation to CBE","Escalation to Roxanne")&amp;" sent "&amp;TEXT($AA338,"dd-mmm")&amp;". "&amp;IF($Z338=6,"Final escalation completed.",IF($U338="OVERDUE","Next: "&amp;$AC338&amp;" was due "&amp;TEXT($AB338,"dd-mmm")&amp;" - "&amp;(NETWORKDAYS($AB338,TODAY(),Holidays)-1)&amp;" business day(s) late. Send now.",IF($U338="DUE TOMORROW","Next: "&amp;$AC338&amp;IF($AB338&lt;=TODAY()," is due TODAY ("," is due next business day (")&amp;TEXT($AB338,"dd-mmm")&amp;").","Next: "&amp;$AC338&amp;" due "&amp;TEXT($AB338,"dd-mmm")&amp;" ("&amp;(NETWORKDAYS(TODAY(),$AB338,Holidays)-1)&amp;" business day(s) left).")))))</f>
        <v/>
      </c>
      <c r="W338" s="17">
        <f>IF($Z338="","",CHOOSE($Z338,"Collection Email","1st Follow-up","2nd Follow-up","Local Office","CBE","Roxanne")&amp;IF($Z338=6," - Final"," - Day "&amp;MAX(0,NETWORKDAYS($AA338,TODAY(),Holidays)-1)&amp;" of "&amp;CHOOSE($Z338,3,3,2,2,3))&amp;" | Total Day "&amp;MAX(0,NETWORKDAYS($N338,TODAY(),Holidays)-1))</f>
        <v/>
      </c>
      <c r="X338" s="18"/>
      <c r="Y338" s="18"/>
      <c r="Z338" s="17">
        <f>IF($N338="","",COUNT($N338:$S338))</f>
        <v/>
      </c>
      <c r="AA338" s="19">
        <f>IF($Z338="","",INT(INDEX($N338:$S338,$Z338)))</f>
        <v/>
      </c>
      <c r="AB338" s="19">
        <f>IF(OR($Z338="",$Z338=6),"",WORKDAY($AA338,CHOOSE($Z338,3,3,2,2,3),Holidays))</f>
        <v/>
      </c>
      <c r="AC338" s="17">
        <f>IF(OR($Z338="",$Z338=6),"",CHOOSE($Z338,"1st Email Follow-up","2nd Email Follow-up","Escalate Local Office","Escalate to CBE","Escalate to Roxanne"))</f>
        <v/>
      </c>
    </row>
    <row r="339" spans="13:29">
      <c r="M339" s="14"/>
      <c r="T339" s="16"/>
      <c r="U339" s="17">
        <f>IF(AND(COUNTA($A339:$L339)=0,$N339=""),"",IF($T339="Paid","PAID",IF($T339="Closed","CLOSED",IF($Z339="","",IF($Z339=6,"ESCALATED TO ROXANNE",IF(TODAY()&gt;$AB339,"OVERDUE",IF($AB339&lt;=WORKDAY(TODAY(),1,Holidays),"DUE TOMORROW",IF($Z339=4,"ESCALATED TO LOCAL OFFICE",IF($Z339=5,"ESCALATED TO CBE",IF($AA339=TODAY(),"EMAIL SENT","MONITORING"))))))))))</f>
        <v/>
      </c>
      <c r="V339" s="17">
        <f>IF($U339="",IF(AND(COUNTA($A339:$L339)&gt;0,$N339=""),"Awaiting Collection Email time stamp.",""),IF(OR($U339="PAID",$U339="CLOSED"),IF($U339="PAID","Account paid. Action completed.","Account closed. No further action required."),CHOOSE($Z339,"Collection Email","1st Email Follow-up","2nd Email Follow-up","Escalation to Local Office","Escalation to CBE","Escalation to Roxanne")&amp;" sent "&amp;TEXT($AA339,"dd-mmm")&amp;". "&amp;IF($Z339=6,"Final escalation completed.",IF($U339="OVERDUE","Next: "&amp;$AC339&amp;" was due "&amp;TEXT($AB339,"dd-mmm")&amp;" - "&amp;(NETWORKDAYS($AB339,TODAY(),Holidays)-1)&amp;" business day(s) late. Send now.",IF($U339="DUE TOMORROW","Next: "&amp;$AC339&amp;IF($AB339&lt;=TODAY()," is due TODAY ("," is due next business day (")&amp;TEXT($AB339,"dd-mmm")&amp;").","Next: "&amp;$AC339&amp;" due "&amp;TEXT($AB339,"dd-mmm")&amp;" ("&amp;(NETWORKDAYS(TODAY(),$AB339,Holidays)-1)&amp;" business day(s) left).")))))</f>
        <v/>
      </c>
      <c r="W339" s="17">
        <f>IF($Z339="","",CHOOSE($Z339,"Collection Email","1st Follow-up","2nd Follow-up","Local Office","CBE","Roxanne")&amp;IF($Z339=6," - Final"," - Day "&amp;MAX(0,NETWORKDAYS($AA339,TODAY(),Holidays)-1)&amp;" of "&amp;CHOOSE($Z339,3,3,2,2,3))&amp;" | Total Day "&amp;MAX(0,NETWORKDAYS($N339,TODAY(),Holidays)-1))</f>
        <v/>
      </c>
      <c r="X339" s="18"/>
      <c r="Y339" s="18"/>
      <c r="Z339" s="17">
        <f>IF($N339="","",COUNT($N339:$S339))</f>
        <v/>
      </c>
      <c r="AA339" s="19">
        <f>IF($Z339="","",INT(INDEX($N339:$S339,$Z339)))</f>
        <v/>
      </c>
      <c r="AB339" s="19">
        <f>IF(OR($Z339="",$Z339=6),"",WORKDAY($AA339,CHOOSE($Z339,3,3,2,2,3),Holidays))</f>
        <v/>
      </c>
      <c r="AC339" s="17">
        <f>IF(OR($Z339="",$Z339=6),"",CHOOSE($Z339,"1st Email Follow-up","2nd Email Follow-up","Escalate Local Office","Escalate to CBE","Escalate to Roxanne"))</f>
        <v/>
      </c>
    </row>
    <row r="340" spans="13:29">
      <c r="M340" s="14"/>
      <c r="T340" s="16"/>
      <c r="U340" s="17">
        <f>IF(AND(COUNTA($A340:$L340)=0,$N340=""),"",IF($T340="Paid","PAID",IF($T340="Closed","CLOSED",IF($Z340="","",IF($Z340=6,"ESCALATED TO ROXANNE",IF(TODAY()&gt;$AB340,"OVERDUE",IF($AB340&lt;=WORKDAY(TODAY(),1,Holidays),"DUE TOMORROW",IF($Z340=4,"ESCALATED TO LOCAL OFFICE",IF($Z340=5,"ESCALATED TO CBE",IF($AA340=TODAY(),"EMAIL SENT","MONITORING"))))))))))</f>
        <v/>
      </c>
      <c r="V340" s="17">
        <f>IF($U340="",IF(AND(COUNTA($A340:$L340)&gt;0,$N340=""),"Awaiting Collection Email time stamp.",""),IF(OR($U340="PAID",$U340="CLOSED"),IF($U340="PAID","Account paid. Action completed.","Account closed. No further action required."),CHOOSE($Z340,"Collection Email","1st Email Follow-up","2nd Email Follow-up","Escalation to Local Office","Escalation to CBE","Escalation to Roxanne")&amp;" sent "&amp;TEXT($AA340,"dd-mmm")&amp;". "&amp;IF($Z340=6,"Final escalation completed.",IF($U340="OVERDUE","Next: "&amp;$AC340&amp;" was due "&amp;TEXT($AB340,"dd-mmm")&amp;" - "&amp;(NETWORKDAYS($AB340,TODAY(),Holidays)-1)&amp;" business day(s) late. Send now.",IF($U340="DUE TOMORROW","Next: "&amp;$AC340&amp;IF($AB340&lt;=TODAY()," is due TODAY ("," is due next business day (")&amp;TEXT($AB340,"dd-mmm")&amp;").","Next: "&amp;$AC340&amp;" due "&amp;TEXT($AB340,"dd-mmm")&amp;" ("&amp;(NETWORKDAYS(TODAY(),$AB340,Holidays)-1)&amp;" business day(s) left).")))))</f>
        <v/>
      </c>
      <c r="W340" s="17">
        <f>IF($Z340="","",CHOOSE($Z340,"Collection Email","1st Follow-up","2nd Follow-up","Local Office","CBE","Roxanne")&amp;IF($Z340=6," - Final"," - Day "&amp;MAX(0,NETWORKDAYS($AA340,TODAY(),Holidays)-1)&amp;" of "&amp;CHOOSE($Z340,3,3,2,2,3))&amp;" | Total Day "&amp;MAX(0,NETWORKDAYS($N340,TODAY(),Holidays)-1))</f>
        <v/>
      </c>
      <c r="X340" s="18"/>
      <c r="Y340" s="18"/>
      <c r="Z340" s="17">
        <f>IF($N340="","",COUNT($N340:$S340))</f>
        <v/>
      </c>
      <c r="AA340" s="19">
        <f>IF($Z340="","",INT(INDEX($N340:$S340,$Z340)))</f>
        <v/>
      </c>
      <c r="AB340" s="19">
        <f>IF(OR($Z340="",$Z340=6),"",WORKDAY($AA340,CHOOSE($Z340,3,3,2,2,3),Holidays))</f>
        <v/>
      </c>
      <c r="AC340" s="17">
        <f>IF(OR($Z340="",$Z340=6),"",CHOOSE($Z340,"1st Email Follow-up","2nd Email Follow-up","Escalate Local Office","Escalate to CBE","Escalate to Roxanne"))</f>
        <v/>
      </c>
    </row>
    <row r="341" spans="13:29">
      <c r="M341" s="14"/>
      <c r="T341" s="16"/>
      <c r="U341" s="17">
        <f>IF(AND(COUNTA($A341:$L341)=0,$N341=""),"",IF($T341="Paid","PAID",IF($T341="Closed","CLOSED",IF($Z341="","",IF($Z341=6,"ESCALATED TO ROXANNE",IF(TODAY()&gt;$AB341,"OVERDUE",IF($AB341&lt;=WORKDAY(TODAY(),1,Holidays),"DUE TOMORROW",IF($Z341=4,"ESCALATED TO LOCAL OFFICE",IF($Z341=5,"ESCALATED TO CBE",IF($AA341=TODAY(),"EMAIL SENT","MONITORING"))))))))))</f>
        <v/>
      </c>
      <c r="V341" s="17">
        <f>IF($U341="",IF(AND(COUNTA($A341:$L341)&gt;0,$N341=""),"Awaiting Collection Email time stamp.",""),IF(OR($U341="PAID",$U341="CLOSED"),IF($U341="PAID","Account paid. Action completed.","Account closed. No further action required."),CHOOSE($Z341,"Collection Email","1st Email Follow-up","2nd Email Follow-up","Escalation to Local Office","Escalation to CBE","Escalation to Roxanne")&amp;" sent "&amp;TEXT($AA341,"dd-mmm")&amp;". "&amp;IF($Z341=6,"Final escalation completed.",IF($U341="OVERDUE","Next: "&amp;$AC341&amp;" was due "&amp;TEXT($AB341,"dd-mmm")&amp;" - "&amp;(NETWORKDAYS($AB341,TODAY(),Holidays)-1)&amp;" business day(s) late. Send now.",IF($U341="DUE TOMORROW","Next: "&amp;$AC341&amp;IF($AB341&lt;=TODAY()," is due TODAY ("," is due next business day (")&amp;TEXT($AB341,"dd-mmm")&amp;").","Next: "&amp;$AC341&amp;" due "&amp;TEXT($AB341,"dd-mmm")&amp;" ("&amp;(NETWORKDAYS(TODAY(),$AB341,Holidays)-1)&amp;" business day(s) left).")))))</f>
        <v/>
      </c>
      <c r="W341" s="17">
        <f>IF($Z341="","",CHOOSE($Z341,"Collection Email","1st Follow-up","2nd Follow-up","Local Office","CBE","Roxanne")&amp;IF($Z341=6," - Final"," - Day "&amp;MAX(0,NETWORKDAYS($AA341,TODAY(),Holidays)-1)&amp;" of "&amp;CHOOSE($Z341,3,3,2,2,3))&amp;" | Total Day "&amp;MAX(0,NETWORKDAYS($N341,TODAY(),Holidays)-1))</f>
        <v/>
      </c>
      <c r="X341" s="18"/>
      <c r="Y341" s="18"/>
      <c r="Z341" s="17">
        <f>IF($N341="","",COUNT($N341:$S341))</f>
        <v/>
      </c>
      <c r="AA341" s="19">
        <f>IF($Z341="","",INT(INDEX($N341:$S341,$Z341)))</f>
        <v/>
      </c>
      <c r="AB341" s="19">
        <f>IF(OR($Z341="",$Z341=6),"",WORKDAY($AA341,CHOOSE($Z341,3,3,2,2,3),Holidays))</f>
        <v/>
      </c>
      <c r="AC341" s="17">
        <f>IF(OR($Z341="",$Z341=6),"",CHOOSE($Z341,"1st Email Follow-up","2nd Email Follow-up","Escalate Local Office","Escalate to CBE","Escalate to Roxanne"))</f>
        <v/>
      </c>
    </row>
    <row r="342" spans="13:29">
      <c r="M342" s="14"/>
      <c r="T342" s="16"/>
      <c r="U342" s="17">
        <f>IF(AND(COUNTA($A342:$L342)=0,$N342=""),"",IF($T342="Paid","PAID",IF($T342="Closed","CLOSED",IF($Z342="","",IF($Z342=6,"ESCALATED TO ROXANNE",IF(TODAY()&gt;$AB342,"OVERDUE",IF($AB342&lt;=WORKDAY(TODAY(),1,Holidays),"DUE TOMORROW",IF($Z342=4,"ESCALATED TO LOCAL OFFICE",IF($Z342=5,"ESCALATED TO CBE",IF($AA342=TODAY(),"EMAIL SENT","MONITORING"))))))))))</f>
        <v/>
      </c>
      <c r="V342" s="17">
        <f>IF($U342="",IF(AND(COUNTA($A342:$L342)&gt;0,$N342=""),"Awaiting Collection Email time stamp.",""),IF(OR($U342="PAID",$U342="CLOSED"),IF($U342="PAID","Account paid. Action completed.","Account closed. No further action required."),CHOOSE($Z342,"Collection Email","1st Email Follow-up","2nd Email Follow-up","Escalation to Local Office","Escalation to CBE","Escalation to Roxanne")&amp;" sent "&amp;TEXT($AA342,"dd-mmm")&amp;". "&amp;IF($Z342=6,"Final escalation completed.",IF($U342="OVERDUE","Next: "&amp;$AC342&amp;" was due "&amp;TEXT($AB342,"dd-mmm")&amp;" - "&amp;(NETWORKDAYS($AB342,TODAY(),Holidays)-1)&amp;" business day(s) late. Send now.",IF($U342="DUE TOMORROW","Next: "&amp;$AC342&amp;IF($AB342&lt;=TODAY()," is due TODAY ("," is due next business day (")&amp;TEXT($AB342,"dd-mmm")&amp;").","Next: "&amp;$AC342&amp;" due "&amp;TEXT($AB342,"dd-mmm")&amp;" ("&amp;(NETWORKDAYS(TODAY(),$AB342,Holidays)-1)&amp;" business day(s) left).")))))</f>
        <v/>
      </c>
      <c r="W342" s="17">
        <f>IF($Z342="","",CHOOSE($Z342,"Collection Email","1st Follow-up","2nd Follow-up","Local Office","CBE","Roxanne")&amp;IF($Z342=6," - Final"," - Day "&amp;MAX(0,NETWORKDAYS($AA342,TODAY(),Holidays)-1)&amp;" of "&amp;CHOOSE($Z342,3,3,2,2,3))&amp;" | Total Day "&amp;MAX(0,NETWORKDAYS($N342,TODAY(),Holidays)-1))</f>
        <v/>
      </c>
      <c r="X342" s="18"/>
      <c r="Y342" s="18"/>
      <c r="Z342" s="17">
        <f>IF($N342="","",COUNT($N342:$S342))</f>
        <v/>
      </c>
      <c r="AA342" s="19">
        <f>IF($Z342="","",INT(INDEX($N342:$S342,$Z342)))</f>
        <v/>
      </c>
      <c r="AB342" s="19">
        <f>IF(OR($Z342="",$Z342=6),"",WORKDAY($AA342,CHOOSE($Z342,3,3,2,2,3),Holidays))</f>
        <v/>
      </c>
      <c r="AC342" s="17">
        <f>IF(OR($Z342="",$Z342=6),"",CHOOSE($Z342,"1st Email Follow-up","2nd Email Follow-up","Escalate Local Office","Escalate to CBE","Escalate to Roxanne"))</f>
        <v/>
      </c>
    </row>
    <row r="343" spans="13:29">
      <c r="M343" s="14"/>
      <c r="T343" s="16"/>
      <c r="U343" s="17">
        <f>IF(AND(COUNTA($A343:$L343)=0,$N343=""),"",IF($T343="Paid","PAID",IF($T343="Closed","CLOSED",IF($Z343="","",IF($Z343=6,"ESCALATED TO ROXANNE",IF(TODAY()&gt;$AB343,"OVERDUE",IF($AB343&lt;=WORKDAY(TODAY(),1,Holidays),"DUE TOMORROW",IF($Z343=4,"ESCALATED TO LOCAL OFFICE",IF($Z343=5,"ESCALATED TO CBE",IF($AA343=TODAY(),"EMAIL SENT","MONITORING"))))))))))</f>
        <v/>
      </c>
      <c r="V343" s="17">
        <f>IF($U343="",IF(AND(COUNTA($A343:$L343)&gt;0,$N343=""),"Awaiting Collection Email time stamp.",""),IF(OR($U343="PAID",$U343="CLOSED"),IF($U343="PAID","Account paid. Action completed.","Account closed. No further action required."),CHOOSE($Z343,"Collection Email","1st Email Follow-up","2nd Email Follow-up","Escalation to Local Office","Escalation to CBE","Escalation to Roxanne")&amp;" sent "&amp;TEXT($AA343,"dd-mmm")&amp;". "&amp;IF($Z343=6,"Final escalation completed.",IF($U343="OVERDUE","Next: "&amp;$AC343&amp;" was due "&amp;TEXT($AB343,"dd-mmm")&amp;" - "&amp;(NETWORKDAYS($AB343,TODAY(),Holidays)-1)&amp;" business day(s) late. Send now.",IF($U343="DUE TOMORROW","Next: "&amp;$AC343&amp;IF($AB343&lt;=TODAY()," is due TODAY ("," is due next business day (")&amp;TEXT($AB343,"dd-mmm")&amp;").","Next: "&amp;$AC343&amp;" due "&amp;TEXT($AB343,"dd-mmm")&amp;" ("&amp;(NETWORKDAYS(TODAY(),$AB343,Holidays)-1)&amp;" business day(s) left).")))))</f>
        <v/>
      </c>
      <c r="W343" s="17">
        <f>IF($Z343="","",CHOOSE($Z343,"Collection Email","1st Follow-up","2nd Follow-up","Local Office","CBE","Roxanne")&amp;IF($Z343=6," - Final"," - Day "&amp;MAX(0,NETWORKDAYS($AA343,TODAY(),Holidays)-1)&amp;" of "&amp;CHOOSE($Z343,3,3,2,2,3))&amp;" | Total Day "&amp;MAX(0,NETWORKDAYS($N343,TODAY(),Holidays)-1))</f>
        <v/>
      </c>
      <c r="X343" s="18"/>
      <c r="Y343" s="18"/>
      <c r="Z343" s="17">
        <f>IF($N343="","",COUNT($N343:$S343))</f>
        <v/>
      </c>
      <c r="AA343" s="19">
        <f>IF($Z343="","",INT(INDEX($N343:$S343,$Z343)))</f>
        <v/>
      </c>
      <c r="AB343" s="19">
        <f>IF(OR($Z343="",$Z343=6),"",WORKDAY($AA343,CHOOSE($Z343,3,3,2,2,3),Holidays))</f>
        <v/>
      </c>
      <c r="AC343" s="17">
        <f>IF(OR($Z343="",$Z343=6),"",CHOOSE($Z343,"1st Email Follow-up","2nd Email Follow-up","Escalate Local Office","Escalate to CBE","Escalate to Roxanne"))</f>
        <v/>
      </c>
    </row>
    <row r="344" spans="13:29">
      <c r="M344" s="14"/>
      <c r="T344" s="16"/>
      <c r="U344" s="17">
        <f>IF(AND(COUNTA($A344:$L344)=0,$N344=""),"",IF($T344="Paid","PAID",IF($T344="Closed","CLOSED",IF($Z344="","",IF($Z344=6,"ESCALATED TO ROXANNE",IF(TODAY()&gt;$AB344,"OVERDUE",IF($AB344&lt;=WORKDAY(TODAY(),1,Holidays),"DUE TOMORROW",IF($Z344=4,"ESCALATED TO LOCAL OFFICE",IF($Z344=5,"ESCALATED TO CBE",IF($AA344=TODAY(),"EMAIL SENT","MONITORING"))))))))))</f>
        <v/>
      </c>
      <c r="V344" s="17">
        <f>IF($U344="",IF(AND(COUNTA($A344:$L344)&gt;0,$N344=""),"Awaiting Collection Email time stamp.",""),IF(OR($U344="PAID",$U344="CLOSED"),IF($U344="PAID","Account paid. Action completed.","Account closed. No further action required."),CHOOSE($Z344,"Collection Email","1st Email Follow-up","2nd Email Follow-up","Escalation to Local Office","Escalation to CBE","Escalation to Roxanne")&amp;" sent "&amp;TEXT($AA344,"dd-mmm")&amp;". "&amp;IF($Z344=6,"Final escalation completed.",IF($U344="OVERDUE","Next: "&amp;$AC344&amp;" was due "&amp;TEXT($AB344,"dd-mmm")&amp;" - "&amp;(NETWORKDAYS($AB344,TODAY(),Holidays)-1)&amp;" business day(s) late. Send now.",IF($U344="DUE TOMORROW","Next: "&amp;$AC344&amp;IF($AB344&lt;=TODAY()," is due TODAY ("," is due next business day (")&amp;TEXT($AB344,"dd-mmm")&amp;").","Next: "&amp;$AC344&amp;" due "&amp;TEXT($AB344,"dd-mmm")&amp;" ("&amp;(NETWORKDAYS(TODAY(),$AB344,Holidays)-1)&amp;" business day(s) left).")))))</f>
        <v/>
      </c>
      <c r="W344" s="17">
        <f>IF($Z344="","",CHOOSE($Z344,"Collection Email","1st Follow-up","2nd Follow-up","Local Office","CBE","Roxanne")&amp;IF($Z344=6," - Final"," - Day "&amp;MAX(0,NETWORKDAYS($AA344,TODAY(),Holidays)-1)&amp;" of "&amp;CHOOSE($Z344,3,3,2,2,3))&amp;" | Total Day "&amp;MAX(0,NETWORKDAYS($N344,TODAY(),Holidays)-1))</f>
        <v/>
      </c>
      <c r="X344" s="18"/>
      <c r="Y344" s="18"/>
      <c r="Z344" s="17">
        <f>IF($N344="","",COUNT($N344:$S344))</f>
        <v/>
      </c>
      <c r="AA344" s="19">
        <f>IF($Z344="","",INT(INDEX($N344:$S344,$Z344)))</f>
        <v/>
      </c>
      <c r="AB344" s="19">
        <f>IF(OR($Z344="",$Z344=6),"",WORKDAY($AA344,CHOOSE($Z344,3,3,2,2,3),Holidays))</f>
        <v/>
      </c>
      <c r="AC344" s="17">
        <f>IF(OR($Z344="",$Z344=6),"",CHOOSE($Z344,"1st Email Follow-up","2nd Email Follow-up","Escalate Local Office","Escalate to CBE","Escalate to Roxanne"))</f>
        <v/>
      </c>
    </row>
    <row r="345" spans="13:29">
      <c r="M345" s="14"/>
      <c r="T345" s="16"/>
      <c r="U345" s="17">
        <f>IF(AND(COUNTA($A345:$L345)=0,$N345=""),"",IF($T345="Paid","PAID",IF($T345="Closed","CLOSED",IF($Z345="","",IF($Z345=6,"ESCALATED TO ROXANNE",IF(TODAY()&gt;$AB345,"OVERDUE",IF($AB345&lt;=WORKDAY(TODAY(),1,Holidays),"DUE TOMORROW",IF($Z345=4,"ESCALATED TO LOCAL OFFICE",IF($Z345=5,"ESCALATED TO CBE",IF($AA345=TODAY(),"EMAIL SENT","MONITORING"))))))))))</f>
        <v/>
      </c>
      <c r="V345" s="17">
        <f>IF($U345="",IF(AND(COUNTA($A345:$L345)&gt;0,$N345=""),"Awaiting Collection Email time stamp.",""),IF(OR($U345="PAID",$U345="CLOSED"),IF($U345="PAID","Account paid. Action completed.","Account closed. No further action required."),CHOOSE($Z345,"Collection Email","1st Email Follow-up","2nd Email Follow-up","Escalation to Local Office","Escalation to CBE","Escalation to Roxanne")&amp;" sent "&amp;TEXT($AA345,"dd-mmm")&amp;". "&amp;IF($Z345=6,"Final escalation completed.",IF($U345="OVERDUE","Next: "&amp;$AC345&amp;" was due "&amp;TEXT($AB345,"dd-mmm")&amp;" - "&amp;(NETWORKDAYS($AB345,TODAY(),Holidays)-1)&amp;" business day(s) late. Send now.",IF($U345="DUE TOMORROW","Next: "&amp;$AC345&amp;IF($AB345&lt;=TODAY()," is due TODAY ("," is due next business day (")&amp;TEXT($AB345,"dd-mmm")&amp;").","Next: "&amp;$AC345&amp;" due "&amp;TEXT($AB345,"dd-mmm")&amp;" ("&amp;(NETWORKDAYS(TODAY(),$AB345,Holidays)-1)&amp;" business day(s) left).")))))</f>
        <v/>
      </c>
      <c r="W345" s="17">
        <f>IF($Z345="","",CHOOSE($Z345,"Collection Email","1st Follow-up","2nd Follow-up","Local Office","CBE","Roxanne")&amp;IF($Z345=6," - Final"," - Day "&amp;MAX(0,NETWORKDAYS($AA345,TODAY(),Holidays)-1)&amp;" of "&amp;CHOOSE($Z345,3,3,2,2,3))&amp;" | Total Day "&amp;MAX(0,NETWORKDAYS($N345,TODAY(),Holidays)-1))</f>
        <v/>
      </c>
      <c r="X345" s="18"/>
      <c r="Y345" s="18"/>
      <c r="Z345" s="17">
        <f>IF($N345="","",COUNT($N345:$S345))</f>
        <v/>
      </c>
      <c r="AA345" s="19">
        <f>IF($Z345="","",INT(INDEX($N345:$S345,$Z345)))</f>
        <v/>
      </c>
      <c r="AB345" s="19">
        <f>IF(OR($Z345="",$Z345=6),"",WORKDAY($AA345,CHOOSE($Z345,3,3,2,2,3),Holidays))</f>
        <v/>
      </c>
      <c r="AC345" s="17">
        <f>IF(OR($Z345="",$Z345=6),"",CHOOSE($Z345,"1st Email Follow-up","2nd Email Follow-up","Escalate Local Office","Escalate to CBE","Escalate to Roxanne"))</f>
        <v/>
      </c>
    </row>
    <row r="346" spans="13:29">
      <c r="M346" s="14"/>
      <c r="T346" s="16"/>
      <c r="U346" s="17">
        <f>IF(AND(COUNTA($A346:$L346)=0,$N346=""),"",IF($T346="Paid","PAID",IF($T346="Closed","CLOSED",IF($Z346="","",IF($Z346=6,"ESCALATED TO ROXANNE",IF(TODAY()&gt;$AB346,"OVERDUE",IF($AB346&lt;=WORKDAY(TODAY(),1,Holidays),"DUE TOMORROW",IF($Z346=4,"ESCALATED TO LOCAL OFFICE",IF($Z346=5,"ESCALATED TO CBE",IF($AA346=TODAY(),"EMAIL SENT","MONITORING"))))))))))</f>
        <v/>
      </c>
      <c r="V346" s="17">
        <f>IF($U346="",IF(AND(COUNTA($A346:$L346)&gt;0,$N346=""),"Awaiting Collection Email time stamp.",""),IF(OR($U346="PAID",$U346="CLOSED"),IF($U346="PAID","Account paid. Action completed.","Account closed. No further action required."),CHOOSE($Z346,"Collection Email","1st Email Follow-up","2nd Email Follow-up","Escalation to Local Office","Escalation to CBE","Escalation to Roxanne")&amp;" sent "&amp;TEXT($AA346,"dd-mmm")&amp;". "&amp;IF($Z346=6,"Final escalation completed.",IF($U346="OVERDUE","Next: "&amp;$AC346&amp;" was due "&amp;TEXT($AB346,"dd-mmm")&amp;" - "&amp;(NETWORKDAYS($AB346,TODAY(),Holidays)-1)&amp;" business day(s) late. Send now.",IF($U346="DUE TOMORROW","Next: "&amp;$AC346&amp;IF($AB346&lt;=TODAY()," is due TODAY ("," is due next business day (")&amp;TEXT($AB346,"dd-mmm")&amp;").","Next: "&amp;$AC346&amp;" due "&amp;TEXT($AB346,"dd-mmm")&amp;" ("&amp;(NETWORKDAYS(TODAY(),$AB346,Holidays)-1)&amp;" business day(s) left).")))))</f>
        <v/>
      </c>
      <c r="W346" s="17">
        <f>IF($Z346="","",CHOOSE($Z346,"Collection Email","1st Follow-up","2nd Follow-up","Local Office","CBE","Roxanne")&amp;IF($Z346=6," - Final"," - Day "&amp;MAX(0,NETWORKDAYS($AA346,TODAY(),Holidays)-1)&amp;" of "&amp;CHOOSE($Z346,3,3,2,2,3))&amp;" | Total Day "&amp;MAX(0,NETWORKDAYS($N346,TODAY(),Holidays)-1))</f>
        <v/>
      </c>
      <c r="X346" s="18"/>
      <c r="Y346" s="18"/>
      <c r="Z346" s="17">
        <f>IF($N346="","",COUNT($N346:$S346))</f>
        <v/>
      </c>
      <c r="AA346" s="19">
        <f>IF($Z346="","",INT(INDEX($N346:$S346,$Z346)))</f>
        <v/>
      </c>
      <c r="AB346" s="19">
        <f>IF(OR($Z346="",$Z346=6),"",WORKDAY($AA346,CHOOSE($Z346,3,3,2,2,3),Holidays))</f>
        <v/>
      </c>
      <c r="AC346" s="17">
        <f>IF(OR($Z346="",$Z346=6),"",CHOOSE($Z346,"1st Email Follow-up","2nd Email Follow-up","Escalate Local Office","Escalate to CBE","Escalate to Roxanne"))</f>
        <v/>
      </c>
    </row>
    <row r="347" spans="13:29">
      <c r="M347" s="14"/>
      <c r="T347" s="16"/>
      <c r="U347" s="17">
        <f>IF(AND(COUNTA($A347:$L347)=0,$N347=""),"",IF($T347="Paid","PAID",IF($T347="Closed","CLOSED",IF($Z347="","",IF($Z347=6,"ESCALATED TO ROXANNE",IF(TODAY()&gt;$AB347,"OVERDUE",IF($AB347&lt;=WORKDAY(TODAY(),1,Holidays),"DUE TOMORROW",IF($Z347=4,"ESCALATED TO LOCAL OFFICE",IF($Z347=5,"ESCALATED TO CBE",IF($AA347=TODAY(),"EMAIL SENT","MONITORING"))))))))))</f>
        <v/>
      </c>
      <c r="V347" s="17">
        <f>IF($U347="",IF(AND(COUNTA($A347:$L347)&gt;0,$N347=""),"Awaiting Collection Email time stamp.",""),IF(OR($U347="PAID",$U347="CLOSED"),IF($U347="PAID","Account paid. Action completed.","Account closed. No further action required."),CHOOSE($Z347,"Collection Email","1st Email Follow-up","2nd Email Follow-up","Escalation to Local Office","Escalation to CBE","Escalation to Roxanne")&amp;" sent "&amp;TEXT($AA347,"dd-mmm")&amp;". "&amp;IF($Z347=6,"Final escalation completed.",IF($U347="OVERDUE","Next: "&amp;$AC347&amp;" was due "&amp;TEXT($AB347,"dd-mmm")&amp;" - "&amp;(NETWORKDAYS($AB347,TODAY(),Holidays)-1)&amp;" business day(s) late. Send now.",IF($U347="DUE TOMORROW","Next: "&amp;$AC347&amp;IF($AB347&lt;=TODAY()," is due TODAY ("," is due next business day (")&amp;TEXT($AB347,"dd-mmm")&amp;").","Next: "&amp;$AC347&amp;" due "&amp;TEXT($AB347,"dd-mmm")&amp;" ("&amp;(NETWORKDAYS(TODAY(),$AB347,Holidays)-1)&amp;" business day(s) left).")))))</f>
        <v/>
      </c>
      <c r="W347" s="17">
        <f>IF($Z347="","",CHOOSE($Z347,"Collection Email","1st Follow-up","2nd Follow-up","Local Office","CBE","Roxanne")&amp;IF($Z347=6," - Final"," - Day "&amp;MAX(0,NETWORKDAYS($AA347,TODAY(),Holidays)-1)&amp;" of "&amp;CHOOSE($Z347,3,3,2,2,3))&amp;" | Total Day "&amp;MAX(0,NETWORKDAYS($N347,TODAY(),Holidays)-1))</f>
        <v/>
      </c>
      <c r="X347" s="18"/>
      <c r="Y347" s="18"/>
      <c r="Z347" s="17">
        <f>IF($N347="","",COUNT($N347:$S347))</f>
        <v/>
      </c>
      <c r="AA347" s="19">
        <f>IF($Z347="","",INT(INDEX($N347:$S347,$Z347)))</f>
        <v/>
      </c>
      <c r="AB347" s="19">
        <f>IF(OR($Z347="",$Z347=6),"",WORKDAY($AA347,CHOOSE($Z347,3,3,2,2,3),Holidays))</f>
        <v/>
      </c>
      <c r="AC347" s="17">
        <f>IF(OR($Z347="",$Z347=6),"",CHOOSE($Z347,"1st Email Follow-up","2nd Email Follow-up","Escalate Local Office","Escalate to CBE","Escalate to Roxanne"))</f>
        <v/>
      </c>
    </row>
    <row r="348" spans="13:29">
      <c r="M348" s="14"/>
      <c r="T348" s="16"/>
      <c r="U348" s="17">
        <f>IF(AND(COUNTA($A348:$L348)=0,$N348=""),"",IF($T348="Paid","PAID",IF($T348="Closed","CLOSED",IF($Z348="","",IF($Z348=6,"ESCALATED TO ROXANNE",IF(TODAY()&gt;$AB348,"OVERDUE",IF($AB348&lt;=WORKDAY(TODAY(),1,Holidays),"DUE TOMORROW",IF($Z348=4,"ESCALATED TO LOCAL OFFICE",IF($Z348=5,"ESCALATED TO CBE",IF($AA348=TODAY(),"EMAIL SENT","MONITORING"))))))))))</f>
        <v/>
      </c>
      <c r="V348" s="17">
        <f>IF($U348="",IF(AND(COUNTA($A348:$L348)&gt;0,$N348=""),"Awaiting Collection Email time stamp.",""),IF(OR($U348="PAID",$U348="CLOSED"),IF($U348="PAID","Account paid. Action completed.","Account closed. No further action required."),CHOOSE($Z348,"Collection Email","1st Email Follow-up","2nd Email Follow-up","Escalation to Local Office","Escalation to CBE","Escalation to Roxanne")&amp;" sent "&amp;TEXT($AA348,"dd-mmm")&amp;". "&amp;IF($Z348=6,"Final escalation completed.",IF($U348="OVERDUE","Next: "&amp;$AC348&amp;" was due "&amp;TEXT($AB348,"dd-mmm")&amp;" - "&amp;(NETWORKDAYS($AB348,TODAY(),Holidays)-1)&amp;" business day(s) late. Send now.",IF($U348="DUE TOMORROW","Next: "&amp;$AC348&amp;IF($AB348&lt;=TODAY()," is due TODAY ("," is due next business day (")&amp;TEXT($AB348,"dd-mmm")&amp;").","Next: "&amp;$AC348&amp;" due "&amp;TEXT($AB348,"dd-mmm")&amp;" ("&amp;(NETWORKDAYS(TODAY(),$AB348,Holidays)-1)&amp;" business day(s) left).")))))</f>
        <v/>
      </c>
      <c r="W348" s="17">
        <f>IF($Z348="","",CHOOSE($Z348,"Collection Email","1st Follow-up","2nd Follow-up","Local Office","CBE","Roxanne")&amp;IF($Z348=6," - Final"," - Day "&amp;MAX(0,NETWORKDAYS($AA348,TODAY(),Holidays)-1)&amp;" of "&amp;CHOOSE($Z348,3,3,2,2,3))&amp;" | Total Day "&amp;MAX(0,NETWORKDAYS($N348,TODAY(),Holidays)-1))</f>
        <v/>
      </c>
      <c r="X348" s="18"/>
      <c r="Y348" s="18"/>
      <c r="Z348" s="17">
        <f>IF($N348="","",COUNT($N348:$S348))</f>
        <v/>
      </c>
      <c r="AA348" s="19">
        <f>IF($Z348="","",INT(INDEX($N348:$S348,$Z348)))</f>
        <v/>
      </c>
      <c r="AB348" s="19">
        <f>IF(OR($Z348="",$Z348=6),"",WORKDAY($AA348,CHOOSE($Z348,3,3,2,2,3),Holidays))</f>
        <v/>
      </c>
      <c r="AC348" s="17">
        <f>IF(OR($Z348="",$Z348=6),"",CHOOSE($Z348,"1st Email Follow-up","2nd Email Follow-up","Escalate Local Office","Escalate to CBE","Escalate to Roxanne"))</f>
        <v/>
      </c>
    </row>
    <row r="349" spans="13:29">
      <c r="M349" s="14"/>
      <c r="T349" s="16"/>
      <c r="U349" s="17">
        <f>IF(AND(COUNTA($A349:$L349)=0,$N349=""),"",IF($T349="Paid","PAID",IF($T349="Closed","CLOSED",IF($Z349="","",IF($Z349=6,"ESCALATED TO ROXANNE",IF(TODAY()&gt;$AB349,"OVERDUE",IF($AB349&lt;=WORKDAY(TODAY(),1,Holidays),"DUE TOMORROW",IF($Z349=4,"ESCALATED TO LOCAL OFFICE",IF($Z349=5,"ESCALATED TO CBE",IF($AA349=TODAY(),"EMAIL SENT","MONITORING"))))))))))</f>
        <v/>
      </c>
      <c r="V349" s="17">
        <f>IF($U349="",IF(AND(COUNTA($A349:$L349)&gt;0,$N349=""),"Awaiting Collection Email time stamp.",""),IF(OR($U349="PAID",$U349="CLOSED"),IF($U349="PAID","Account paid. Action completed.","Account closed. No further action required."),CHOOSE($Z349,"Collection Email","1st Email Follow-up","2nd Email Follow-up","Escalation to Local Office","Escalation to CBE","Escalation to Roxanne")&amp;" sent "&amp;TEXT($AA349,"dd-mmm")&amp;". "&amp;IF($Z349=6,"Final escalation completed.",IF($U349="OVERDUE","Next: "&amp;$AC349&amp;" was due "&amp;TEXT($AB349,"dd-mmm")&amp;" - "&amp;(NETWORKDAYS($AB349,TODAY(),Holidays)-1)&amp;" business day(s) late. Send now.",IF($U349="DUE TOMORROW","Next: "&amp;$AC349&amp;IF($AB349&lt;=TODAY()," is due TODAY ("," is due next business day (")&amp;TEXT($AB349,"dd-mmm")&amp;").","Next: "&amp;$AC349&amp;" due "&amp;TEXT($AB349,"dd-mmm")&amp;" ("&amp;(NETWORKDAYS(TODAY(),$AB349,Holidays)-1)&amp;" business day(s) left).")))))</f>
        <v/>
      </c>
      <c r="W349" s="17">
        <f>IF($Z349="","",CHOOSE($Z349,"Collection Email","1st Follow-up","2nd Follow-up","Local Office","CBE","Roxanne")&amp;IF($Z349=6," - Final"," - Day "&amp;MAX(0,NETWORKDAYS($AA349,TODAY(),Holidays)-1)&amp;" of "&amp;CHOOSE($Z349,3,3,2,2,3))&amp;" | Total Day "&amp;MAX(0,NETWORKDAYS($N349,TODAY(),Holidays)-1))</f>
        <v/>
      </c>
      <c r="X349" s="18"/>
      <c r="Y349" s="18"/>
      <c r="Z349" s="17">
        <f>IF($N349="","",COUNT($N349:$S349))</f>
        <v/>
      </c>
      <c r="AA349" s="19">
        <f>IF($Z349="","",INT(INDEX($N349:$S349,$Z349)))</f>
        <v/>
      </c>
      <c r="AB349" s="19">
        <f>IF(OR($Z349="",$Z349=6),"",WORKDAY($AA349,CHOOSE($Z349,3,3,2,2,3),Holidays))</f>
        <v/>
      </c>
      <c r="AC349" s="17">
        <f>IF(OR($Z349="",$Z349=6),"",CHOOSE($Z349,"1st Email Follow-up","2nd Email Follow-up","Escalate Local Office","Escalate to CBE","Escalate to Roxanne"))</f>
        <v/>
      </c>
    </row>
    <row r="350" spans="13:29">
      <c r="M350" s="14"/>
      <c r="T350" s="16"/>
      <c r="U350" s="17">
        <f>IF(AND(COUNTA($A350:$L350)=0,$N350=""),"",IF($T350="Paid","PAID",IF($T350="Closed","CLOSED",IF($Z350="","",IF($Z350=6,"ESCALATED TO ROXANNE",IF(TODAY()&gt;$AB350,"OVERDUE",IF($AB350&lt;=WORKDAY(TODAY(),1,Holidays),"DUE TOMORROW",IF($Z350=4,"ESCALATED TO LOCAL OFFICE",IF($Z350=5,"ESCALATED TO CBE",IF($AA350=TODAY(),"EMAIL SENT","MONITORING"))))))))))</f>
        <v/>
      </c>
      <c r="V350" s="17">
        <f>IF($U350="",IF(AND(COUNTA($A350:$L350)&gt;0,$N350=""),"Awaiting Collection Email time stamp.",""),IF(OR($U350="PAID",$U350="CLOSED"),IF($U350="PAID","Account paid. Action completed.","Account closed. No further action required."),CHOOSE($Z350,"Collection Email","1st Email Follow-up","2nd Email Follow-up","Escalation to Local Office","Escalation to CBE","Escalation to Roxanne")&amp;" sent "&amp;TEXT($AA350,"dd-mmm")&amp;". "&amp;IF($Z350=6,"Final escalation completed.",IF($U350="OVERDUE","Next: "&amp;$AC350&amp;" was due "&amp;TEXT($AB350,"dd-mmm")&amp;" - "&amp;(NETWORKDAYS($AB350,TODAY(),Holidays)-1)&amp;" business day(s) late. Send now.",IF($U350="DUE TOMORROW","Next: "&amp;$AC350&amp;IF($AB350&lt;=TODAY()," is due TODAY ("," is due next business day (")&amp;TEXT($AB350,"dd-mmm")&amp;").","Next: "&amp;$AC350&amp;" due "&amp;TEXT($AB350,"dd-mmm")&amp;" ("&amp;(NETWORKDAYS(TODAY(),$AB350,Holidays)-1)&amp;" business day(s) left).")))))</f>
        <v/>
      </c>
      <c r="W350" s="17">
        <f>IF($Z350="","",CHOOSE($Z350,"Collection Email","1st Follow-up","2nd Follow-up","Local Office","CBE","Roxanne")&amp;IF($Z350=6," - Final"," - Day "&amp;MAX(0,NETWORKDAYS($AA350,TODAY(),Holidays)-1)&amp;" of "&amp;CHOOSE($Z350,3,3,2,2,3))&amp;" | Total Day "&amp;MAX(0,NETWORKDAYS($N350,TODAY(),Holidays)-1))</f>
        <v/>
      </c>
      <c r="X350" s="18"/>
      <c r="Y350" s="18"/>
      <c r="Z350" s="17">
        <f>IF($N350="","",COUNT($N350:$S350))</f>
        <v/>
      </c>
      <c r="AA350" s="19">
        <f>IF($Z350="","",INT(INDEX($N350:$S350,$Z350)))</f>
        <v/>
      </c>
      <c r="AB350" s="19">
        <f>IF(OR($Z350="",$Z350=6),"",WORKDAY($AA350,CHOOSE($Z350,3,3,2,2,3),Holidays))</f>
        <v/>
      </c>
      <c r="AC350" s="17">
        <f>IF(OR($Z350="",$Z350=6),"",CHOOSE($Z350,"1st Email Follow-up","2nd Email Follow-up","Escalate Local Office","Escalate to CBE","Escalate to Roxanne"))</f>
        <v/>
      </c>
    </row>
    <row r="351" spans="13:29">
      <c r="M351" s="14"/>
      <c r="T351" s="16"/>
      <c r="U351" s="17">
        <f>IF(AND(COUNTA($A351:$L351)=0,$N351=""),"",IF($T351="Paid","PAID",IF($T351="Closed","CLOSED",IF($Z351="","",IF($Z351=6,"ESCALATED TO ROXANNE",IF(TODAY()&gt;$AB351,"OVERDUE",IF($AB351&lt;=WORKDAY(TODAY(),1,Holidays),"DUE TOMORROW",IF($Z351=4,"ESCALATED TO LOCAL OFFICE",IF($Z351=5,"ESCALATED TO CBE",IF($AA351=TODAY(),"EMAIL SENT","MONITORING"))))))))))</f>
        <v/>
      </c>
      <c r="V351" s="17">
        <f>IF($U351="",IF(AND(COUNTA($A351:$L351)&gt;0,$N351=""),"Awaiting Collection Email time stamp.",""),IF(OR($U351="PAID",$U351="CLOSED"),IF($U351="PAID","Account paid. Action completed.","Account closed. No further action required."),CHOOSE($Z351,"Collection Email","1st Email Follow-up","2nd Email Follow-up","Escalation to Local Office","Escalation to CBE","Escalation to Roxanne")&amp;" sent "&amp;TEXT($AA351,"dd-mmm")&amp;". "&amp;IF($Z351=6,"Final escalation completed.",IF($U351="OVERDUE","Next: "&amp;$AC351&amp;" was due "&amp;TEXT($AB351,"dd-mmm")&amp;" - "&amp;(NETWORKDAYS($AB351,TODAY(),Holidays)-1)&amp;" business day(s) late. Send now.",IF($U351="DUE TOMORROW","Next: "&amp;$AC351&amp;IF($AB351&lt;=TODAY()," is due TODAY ("," is due next business day (")&amp;TEXT($AB351,"dd-mmm")&amp;").","Next: "&amp;$AC351&amp;" due "&amp;TEXT($AB351,"dd-mmm")&amp;" ("&amp;(NETWORKDAYS(TODAY(),$AB351,Holidays)-1)&amp;" business day(s) left).")))))</f>
        <v/>
      </c>
      <c r="W351" s="17">
        <f>IF($Z351="","",CHOOSE($Z351,"Collection Email","1st Follow-up","2nd Follow-up","Local Office","CBE","Roxanne")&amp;IF($Z351=6," - Final"," - Day "&amp;MAX(0,NETWORKDAYS($AA351,TODAY(),Holidays)-1)&amp;" of "&amp;CHOOSE($Z351,3,3,2,2,3))&amp;" | Total Day "&amp;MAX(0,NETWORKDAYS($N351,TODAY(),Holidays)-1))</f>
        <v/>
      </c>
      <c r="X351" s="18"/>
      <c r="Y351" s="18"/>
      <c r="Z351" s="17">
        <f>IF($N351="","",COUNT($N351:$S351))</f>
        <v/>
      </c>
      <c r="AA351" s="19">
        <f>IF($Z351="","",INT(INDEX($N351:$S351,$Z351)))</f>
        <v/>
      </c>
      <c r="AB351" s="19">
        <f>IF(OR($Z351="",$Z351=6),"",WORKDAY($AA351,CHOOSE($Z351,3,3,2,2,3),Holidays))</f>
        <v/>
      </c>
      <c r="AC351" s="17">
        <f>IF(OR($Z351="",$Z351=6),"",CHOOSE($Z351,"1st Email Follow-up","2nd Email Follow-up","Escalate Local Office","Escalate to CBE","Escalate to Roxanne"))</f>
        <v/>
      </c>
    </row>
    <row r="352" spans="13:29">
      <c r="M352" s="14"/>
      <c r="T352" s="16"/>
      <c r="U352" s="17">
        <f>IF(AND(COUNTA($A352:$L352)=0,$N352=""),"",IF($T352="Paid","PAID",IF($T352="Closed","CLOSED",IF($Z352="","",IF($Z352=6,"ESCALATED TO ROXANNE",IF(TODAY()&gt;$AB352,"OVERDUE",IF($AB352&lt;=WORKDAY(TODAY(),1,Holidays),"DUE TOMORROW",IF($Z352=4,"ESCALATED TO LOCAL OFFICE",IF($Z352=5,"ESCALATED TO CBE",IF($AA352=TODAY(),"EMAIL SENT","MONITORING"))))))))))</f>
        <v/>
      </c>
      <c r="V352" s="17">
        <f>IF($U352="",IF(AND(COUNTA($A352:$L352)&gt;0,$N352=""),"Awaiting Collection Email time stamp.",""),IF(OR($U352="PAID",$U352="CLOSED"),IF($U352="PAID","Account paid. Action completed.","Account closed. No further action required."),CHOOSE($Z352,"Collection Email","1st Email Follow-up","2nd Email Follow-up","Escalation to Local Office","Escalation to CBE","Escalation to Roxanne")&amp;" sent "&amp;TEXT($AA352,"dd-mmm")&amp;". "&amp;IF($Z352=6,"Final escalation completed.",IF($U352="OVERDUE","Next: "&amp;$AC352&amp;" was due "&amp;TEXT($AB352,"dd-mmm")&amp;" - "&amp;(NETWORKDAYS($AB352,TODAY(),Holidays)-1)&amp;" business day(s) late. Send now.",IF($U352="DUE TOMORROW","Next: "&amp;$AC352&amp;IF($AB352&lt;=TODAY()," is due TODAY ("," is due next business day (")&amp;TEXT($AB352,"dd-mmm")&amp;").","Next: "&amp;$AC352&amp;" due "&amp;TEXT($AB352,"dd-mmm")&amp;" ("&amp;(NETWORKDAYS(TODAY(),$AB352,Holidays)-1)&amp;" business day(s) left).")))))</f>
        <v/>
      </c>
      <c r="W352" s="17">
        <f>IF($Z352="","",CHOOSE($Z352,"Collection Email","1st Follow-up","2nd Follow-up","Local Office","CBE","Roxanne")&amp;IF($Z352=6," - Final"," - Day "&amp;MAX(0,NETWORKDAYS($AA352,TODAY(),Holidays)-1)&amp;" of "&amp;CHOOSE($Z352,3,3,2,2,3))&amp;" | Total Day "&amp;MAX(0,NETWORKDAYS($N352,TODAY(),Holidays)-1))</f>
        <v/>
      </c>
      <c r="X352" s="18"/>
      <c r="Y352" s="18"/>
      <c r="Z352" s="17">
        <f>IF($N352="","",COUNT($N352:$S352))</f>
        <v/>
      </c>
      <c r="AA352" s="19">
        <f>IF($Z352="","",INT(INDEX($N352:$S352,$Z352)))</f>
        <v/>
      </c>
      <c r="AB352" s="19">
        <f>IF(OR($Z352="",$Z352=6),"",WORKDAY($AA352,CHOOSE($Z352,3,3,2,2,3),Holidays))</f>
        <v/>
      </c>
      <c r="AC352" s="17">
        <f>IF(OR($Z352="",$Z352=6),"",CHOOSE($Z352,"1st Email Follow-up","2nd Email Follow-up","Escalate Local Office","Escalate to CBE","Escalate to Roxanne"))</f>
        <v/>
      </c>
    </row>
    <row r="353" spans="13:29">
      <c r="M353" s="14"/>
      <c r="T353" s="16"/>
      <c r="U353" s="17">
        <f>IF(AND(COUNTA($A353:$L353)=0,$N353=""),"",IF($T353="Paid","PAID",IF($T353="Closed","CLOSED",IF($Z353="","",IF($Z353=6,"ESCALATED TO ROXANNE",IF(TODAY()&gt;$AB353,"OVERDUE",IF($AB353&lt;=WORKDAY(TODAY(),1,Holidays),"DUE TOMORROW",IF($Z353=4,"ESCALATED TO LOCAL OFFICE",IF($Z353=5,"ESCALATED TO CBE",IF($AA353=TODAY(),"EMAIL SENT","MONITORING"))))))))))</f>
        <v/>
      </c>
      <c r="V353" s="17">
        <f>IF($U353="",IF(AND(COUNTA($A353:$L353)&gt;0,$N353=""),"Awaiting Collection Email time stamp.",""),IF(OR($U353="PAID",$U353="CLOSED"),IF($U353="PAID","Account paid. Action completed.","Account closed. No further action required."),CHOOSE($Z353,"Collection Email","1st Email Follow-up","2nd Email Follow-up","Escalation to Local Office","Escalation to CBE","Escalation to Roxanne")&amp;" sent "&amp;TEXT($AA353,"dd-mmm")&amp;". "&amp;IF($Z353=6,"Final escalation completed.",IF($U353="OVERDUE","Next: "&amp;$AC353&amp;" was due "&amp;TEXT($AB353,"dd-mmm")&amp;" - "&amp;(NETWORKDAYS($AB353,TODAY(),Holidays)-1)&amp;" business day(s) late. Send now.",IF($U353="DUE TOMORROW","Next: "&amp;$AC353&amp;IF($AB353&lt;=TODAY()," is due TODAY ("," is due next business day (")&amp;TEXT($AB353,"dd-mmm")&amp;").","Next: "&amp;$AC353&amp;" due "&amp;TEXT($AB353,"dd-mmm")&amp;" ("&amp;(NETWORKDAYS(TODAY(),$AB353,Holidays)-1)&amp;" business day(s) left).")))))</f>
        <v/>
      </c>
      <c r="W353" s="17">
        <f>IF($Z353="","",CHOOSE($Z353,"Collection Email","1st Follow-up","2nd Follow-up","Local Office","CBE","Roxanne")&amp;IF($Z353=6," - Final"," - Day "&amp;MAX(0,NETWORKDAYS($AA353,TODAY(),Holidays)-1)&amp;" of "&amp;CHOOSE($Z353,3,3,2,2,3))&amp;" | Total Day "&amp;MAX(0,NETWORKDAYS($N353,TODAY(),Holidays)-1))</f>
        <v/>
      </c>
      <c r="X353" s="18"/>
      <c r="Y353" s="18"/>
      <c r="Z353" s="17">
        <f>IF($N353="","",COUNT($N353:$S353))</f>
        <v/>
      </c>
      <c r="AA353" s="19">
        <f>IF($Z353="","",INT(INDEX($N353:$S353,$Z353)))</f>
        <v/>
      </c>
      <c r="AB353" s="19">
        <f>IF(OR($Z353="",$Z353=6),"",WORKDAY($AA353,CHOOSE($Z353,3,3,2,2,3),Holidays))</f>
        <v/>
      </c>
      <c r="AC353" s="17">
        <f>IF(OR($Z353="",$Z353=6),"",CHOOSE($Z353,"1st Email Follow-up","2nd Email Follow-up","Escalate Local Office","Escalate to CBE","Escalate to Roxanne"))</f>
        <v/>
      </c>
    </row>
    <row r="354" spans="13:29">
      <c r="M354" s="14"/>
      <c r="T354" s="16"/>
      <c r="U354" s="17">
        <f>IF(AND(COUNTA($A354:$L354)=0,$N354=""),"",IF($T354="Paid","PAID",IF($T354="Closed","CLOSED",IF($Z354="","",IF($Z354=6,"ESCALATED TO ROXANNE",IF(TODAY()&gt;$AB354,"OVERDUE",IF($AB354&lt;=WORKDAY(TODAY(),1,Holidays),"DUE TOMORROW",IF($Z354=4,"ESCALATED TO LOCAL OFFICE",IF($Z354=5,"ESCALATED TO CBE",IF($AA354=TODAY(),"EMAIL SENT","MONITORING"))))))))))</f>
        <v/>
      </c>
      <c r="V354" s="17">
        <f>IF($U354="",IF(AND(COUNTA($A354:$L354)&gt;0,$N354=""),"Awaiting Collection Email time stamp.",""),IF(OR($U354="PAID",$U354="CLOSED"),IF($U354="PAID","Account paid. Action completed.","Account closed. No further action required."),CHOOSE($Z354,"Collection Email","1st Email Follow-up","2nd Email Follow-up","Escalation to Local Office","Escalation to CBE","Escalation to Roxanne")&amp;" sent "&amp;TEXT($AA354,"dd-mmm")&amp;". "&amp;IF($Z354=6,"Final escalation completed.",IF($U354="OVERDUE","Next: "&amp;$AC354&amp;" was due "&amp;TEXT($AB354,"dd-mmm")&amp;" - "&amp;(NETWORKDAYS($AB354,TODAY(),Holidays)-1)&amp;" business day(s) late. Send now.",IF($U354="DUE TOMORROW","Next: "&amp;$AC354&amp;IF($AB354&lt;=TODAY()," is due TODAY ("," is due next business day (")&amp;TEXT($AB354,"dd-mmm")&amp;").","Next: "&amp;$AC354&amp;" due "&amp;TEXT($AB354,"dd-mmm")&amp;" ("&amp;(NETWORKDAYS(TODAY(),$AB354,Holidays)-1)&amp;" business day(s) left).")))))</f>
        <v/>
      </c>
      <c r="W354" s="17">
        <f>IF($Z354="","",CHOOSE($Z354,"Collection Email","1st Follow-up","2nd Follow-up","Local Office","CBE","Roxanne")&amp;IF($Z354=6," - Final"," - Day "&amp;MAX(0,NETWORKDAYS($AA354,TODAY(),Holidays)-1)&amp;" of "&amp;CHOOSE($Z354,3,3,2,2,3))&amp;" | Total Day "&amp;MAX(0,NETWORKDAYS($N354,TODAY(),Holidays)-1))</f>
        <v/>
      </c>
      <c r="X354" s="18"/>
      <c r="Y354" s="18"/>
      <c r="Z354" s="17">
        <f>IF($N354="","",COUNT($N354:$S354))</f>
        <v/>
      </c>
      <c r="AA354" s="19">
        <f>IF($Z354="","",INT(INDEX($N354:$S354,$Z354)))</f>
        <v/>
      </c>
      <c r="AB354" s="19">
        <f>IF(OR($Z354="",$Z354=6),"",WORKDAY($AA354,CHOOSE($Z354,3,3,2,2,3),Holidays))</f>
        <v/>
      </c>
      <c r="AC354" s="17">
        <f>IF(OR($Z354="",$Z354=6),"",CHOOSE($Z354,"1st Email Follow-up","2nd Email Follow-up","Escalate Local Office","Escalate to CBE","Escalate to Roxanne"))</f>
        <v/>
      </c>
    </row>
    <row r="355" spans="13:29">
      <c r="M355" s="14"/>
      <c r="T355" s="16"/>
      <c r="U355" s="17">
        <f>IF(AND(COUNTA($A355:$L355)=0,$N355=""),"",IF($T355="Paid","PAID",IF($T355="Closed","CLOSED",IF($Z355="","",IF($Z355=6,"ESCALATED TO ROXANNE",IF(TODAY()&gt;$AB355,"OVERDUE",IF($AB355&lt;=WORKDAY(TODAY(),1,Holidays),"DUE TOMORROW",IF($Z355=4,"ESCALATED TO LOCAL OFFICE",IF($Z355=5,"ESCALATED TO CBE",IF($AA355=TODAY(),"EMAIL SENT","MONITORING"))))))))))</f>
        <v/>
      </c>
      <c r="V355" s="17">
        <f>IF($U355="",IF(AND(COUNTA($A355:$L355)&gt;0,$N355=""),"Awaiting Collection Email time stamp.",""),IF(OR($U355="PAID",$U355="CLOSED"),IF($U355="PAID","Account paid. Action completed.","Account closed. No further action required."),CHOOSE($Z355,"Collection Email","1st Email Follow-up","2nd Email Follow-up","Escalation to Local Office","Escalation to CBE","Escalation to Roxanne")&amp;" sent "&amp;TEXT($AA355,"dd-mmm")&amp;". "&amp;IF($Z355=6,"Final escalation completed.",IF($U355="OVERDUE","Next: "&amp;$AC355&amp;" was due "&amp;TEXT($AB355,"dd-mmm")&amp;" - "&amp;(NETWORKDAYS($AB355,TODAY(),Holidays)-1)&amp;" business day(s) late. Send now.",IF($U355="DUE TOMORROW","Next: "&amp;$AC355&amp;IF($AB355&lt;=TODAY()," is due TODAY ("," is due next business day (")&amp;TEXT($AB355,"dd-mmm")&amp;").","Next: "&amp;$AC355&amp;" due "&amp;TEXT($AB355,"dd-mmm")&amp;" ("&amp;(NETWORKDAYS(TODAY(),$AB355,Holidays)-1)&amp;" business day(s) left).")))))</f>
        <v/>
      </c>
      <c r="W355" s="17">
        <f>IF($Z355="","",CHOOSE($Z355,"Collection Email","1st Follow-up","2nd Follow-up","Local Office","CBE","Roxanne")&amp;IF($Z355=6," - Final"," - Day "&amp;MAX(0,NETWORKDAYS($AA355,TODAY(),Holidays)-1)&amp;" of "&amp;CHOOSE($Z355,3,3,2,2,3))&amp;" | Total Day "&amp;MAX(0,NETWORKDAYS($N355,TODAY(),Holidays)-1))</f>
        <v/>
      </c>
      <c r="X355" s="18"/>
      <c r="Y355" s="18"/>
      <c r="Z355" s="17">
        <f>IF($N355="","",COUNT($N355:$S355))</f>
        <v/>
      </c>
      <c r="AA355" s="19">
        <f>IF($Z355="","",INT(INDEX($N355:$S355,$Z355)))</f>
        <v/>
      </c>
      <c r="AB355" s="19">
        <f>IF(OR($Z355="",$Z355=6),"",WORKDAY($AA355,CHOOSE($Z355,3,3,2,2,3),Holidays))</f>
        <v/>
      </c>
      <c r="AC355" s="17">
        <f>IF(OR($Z355="",$Z355=6),"",CHOOSE($Z355,"1st Email Follow-up","2nd Email Follow-up","Escalate Local Office","Escalate to CBE","Escalate to Roxanne"))</f>
        <v/>
      </c>
    </row>
    <row r="356" spans="13:29">
      <c r="M356" s="14"/>
      <c r="T356" s="16"/>
      <c r="U356" s="17">
        <f>IF(AND(COUNTA($A356:$L356)=0,$N356=""),"",IF($T356="Paid","PAID",IF($T356="Closed","CLOSED",IF($Z356="","",IF($Z356=6,"ESCALATED TO ROXANNE",IF(TODAY()&gt;$AB356,"OVERDUE",IF($AB356&lt;=WORKDAY(TODAY(),1,Holidays),"DUE TOMORROW",IF($Z356=4,"ESCALATED TO LOCAL OFFICE",IF($Z356=5,"ESCALATED TO CBE",IF($AA356=TODAY(),"EMAIL SENT","MONITORING"))))))))))</f>
        <v/>
      </c>
      <c r="V356" s="17">
        <f>IF($U356="",IF(AND(COUNTA($A356:$L356)&gt;0,$N356=""),"Awaiting Collection Email time stamp.",""),IF(OR($U356="PAID",$U356="CLOSED"),IF($U356="PAID","Account paid. Action completed.","Account closed. No further action required."),CHOOSE($Z356,"Collection Email","1st Email Follow-up","2nd Email Follow-up","Escalation to Local Office","Escalation to CBE","Escalation to Roxanne")&amp;" sent "&amp;TEXT($AA356,"dd-mmm")&amp;". "&amp;IF($Z356=6,"Final escalation completed.",IF($U356="OVERDUE","Next: "&amp;$AC356&amp;" was due "&amp;TEXT($AB356,"dd-mmm")&amp;" - "&amp;(NETWORKDAYS($AB356,TODAY(),Holidays)-1)&amp;" business day(s) late. Send now.",IF($U356="DUE TOMORROW","Next: "&amp;$AC356&amp;IF($AB356&lt;=TODAY()," is due TODAY ("," is due next business day (")&amp;TEXT($AB356,"dd-mmm")&amp;").","Next: "&amp;$AC356&amp;" due "&amp;TEXT($AB356,"dd-mmm")&amp;" ("&amp;(NETWORKDAYS(TODAY(),$AB356,Holidays)-1)&amp;" business day(s) left).")))))</f>
        <v/>
      </c>
      <c r="W356" s="17">
        <f>IF($Z356="","",CHOOSE($Z356,"Collection Email","1st Follow-up","2nd Follow-up","Local Office","CBE","Roxanne")&amp;IF($Z356=6," - Final"," - Day "&amp;MAX(0,NETWORKDAYS($AA356,TODAY(),Holidays)-1)&amp;" of "&amp;CHOOSE($Z356,3,3,2,2,3))&amp;" | Total Day "&amp;MAX(0,NETWORKDAYS($N356,TODAY(),Holidays)-1))</f>
        <v/>
      </c>
      <c r="X356" s="18"/>
      <c r="Y356" s="18"/>
      <c r="Z356" s="17">
        <f>IF($N356="","",COUNT($N356:$S356))</f>
        <v/>
      </c>
      <c r="AA356" s="19">
        <f>IF($Z356="","",INT(INDEX($N356:$S356,$Z356)))</f>
        <v/>
      </c>
      <c r="AB356" s="19">
        <f>IF(OR($Z356="",$Z356=6),"",WORKDAY($AA356,CHOOSE($Z356,3,3,2,2,3),Holidays))</f>
        <v/>
      </c>
      <c r="AC356" s="17">
        <f>IF(OR($Z356="",$Z356=6),"",CHOOSE($Z356,"1st Email Follow-up","2nd Email Follow-up","Escalate Local Office","Escalate to CBE","Escalate to Roxanne"))</f>
        <v/>
      </c>
    </row>
    <row r="357" spans="13:29">
      <c r="M357" s="14"/>
      <c r="T357" s="16"/>
      <c r="U357" s="17">
        <f>IF(AND(COUNTA($A357:$L357)=0,$N357=""),"",IF($T357="Paid","PAID",IF($T357="Closed","CLOSED",IF($Z357="","",IF($Z357=6,"ESCALATED TO ROXANNE",IF(TODAY()&gt;$AB357,"OVERDUE",IF($AB357&lt;=WORKDAY(TODAY(),1,Holidays),"DUE TOMORROW",IF($Z357=4,"ESCALATED TO LOCAL OFFICE",IF($Z357=5,"ESCALATED TO CBE",IF($AA357=TODAY(),"EMAIL SENT","MONITORING"))))))))))</f>
        <v/>
      </c>
      <c r="V357" s="17">
        <f>IF($U357="",IF(AND(COUNTA($A357:$L357)&gt;0,$N357=""),"Awaiting Collection Email time stamp.",""),IF(OR($U357="PAID",$U357="CLOSED"),IF($U357="PAID","Account paid. Action completed.","Account closed. No further action required."),CHOOSE($Z357,"Collection Email","1st Email Follow-up","2nd Email Follow-up","Escalation to Local Office","Escalation to CBE","Escalation to Roxanne")&amp;" sent "&amp;TEXT($AA357,"dd-mmm")&amp;". "&amp;IF($Z357=6,"Final escalation completed.",IF($U357="OVERDUE","Next: "&amp;$AC357&amp;" was due "&amp;TEXT($AB357,"dd-mmm")&amp;" - "&amp;(NETWORKDAYS($AB357,TODAY(),Holidays)-1)&amp;" business day(s) late. Send now.",IF($U357="DUE TOMORROW","Next: "&amp;$AC357&amp;IF($AB357&lt;=TODAY()," is due TODAY ("," is due next business day (")&amp;TEXT($AB357,"dd-mmm")&amp;").","Next: "&amp;$AC357&amp;" due "&amp;TEXT($AB357,"dd-mmm")&amp;" ("&amp;(NETWORKDAYS(TODAY(),$AB357,Holidays)-1)&amp;" business day(s) left).")))))</f>
        <v/>
      </c>
      <c r="W357" s="17">
        <f>IF($Z357="","",CHOOSE($Z357,"Collection Email","1st Follow-up","2nd Follow-up","Local Office","CBE","Roxanne")&amp;IF($Z357=6," - Final"," - Day "&amp;MAX(0,NETWORKDAYS($AA357,TODAY(),Holidays)-1)&amp;" of "&amp;CHOOSE($Z357,3,3,2,2,3))&amp;" | Total Day "&amp;MAX(0,NETWORKDAYS($N357,TODAY(),Holidays)-1))</f>
        <v/>
      </c>
      <c r="X357" s="18"/>
      <c r="Y357" s="18"/>
      <c r="Z357" s="17">
        <f>IF($N357="","",COUNT($N357:$S357))</f>
        <v/>
      </c>
      <c r="AA357" s="19">
        <f>IF($Z357="","",INT(INDEX($N357:$S357,$Z357)))</f>
        <v/>
      </c>
      <c r="AB357" s="19">
        <f>IF(OR($Z357="",$Z357=6),"",WORKDAY($AA357,CHOOSE($Z357,3,3,2,2,3),Holidays))</f>
        <v/>
      </c>
      <c r="AC357" s="17">
        <f>IF(OR($Z357="",$Z357=6),"",CHOOSE($Z357,"1st Email Follow-up","2nd Email Follow-up","Escalate Local Office","Escalate to CBE","Escalate to Roxanne"))</f>
        <v/>
      </c>
    </row>
    <row r="358" spans="13:29">
      <c r="M358" s="14"/>
      <c r="T358" s="16"/>
      <c r="U358" s="17">
        <f>IF(AND(COUNTA($A358:$L358)=0,$N358=""),"",IF($T358="Paid","PAID",IF($T358="Closed","CLOSED",IF($Z358="","",IF($Z358=6,"ESCALATED TO ROXANNE",IF(TODAY()&gt;$AB358,"OVERDUE",IF($AB358&lt;=WORKDAY(TODAY(),1,Holidays),"DUE TOMORROW",IF($Z358=4,"ESCALATED TO LOCAL OFFICE",IF($Z358=5,"ESCALATED TO CBE",IF($AA358=TODAY(),"EMAIL SENT","MONITORING"))))))))))</f>
        <v/>
      </c>
      <c r="V358" s="17">
        <f>IF($U358="",IF(AND(COUNTA($A358:$L358)&gt;0,$N358=""),"Awaiting Collection Email time stamp.",""),IF(OR($U358="PAID",$U358="CLOSED"),IF($U358="PAID","Account paid. Action completed.","Account closed. No further action required."),CHOOSE($Z358,"Collection Email","1st Email Follow-up","2nd Email Follow-up","Escalation to Local Office","Escalation to CBE","Escalation to Roxanne")&amp;" sent "&amp;TEXT($AA358,"dd-mmm")&amp;". "&amp;IF($Z358=6,"Final escalation completed.",IF($U358="OVERDUE","Next: "&amp;$AC358&amp;" was due "&amp;TEXT($AB358,"dd-mmm")&amp;" - "&amp;(NETWORKDAYS($AB358,TODAY(),Holidays)-1)&amp;" business day(s) late. Send now.",IF($U358="DUE TOMORROW","Next: "&amp;$AC358&amp;IF($AB358&lt;=TODAY()," is due TODAY ("," is due next business day (")&amp;TEXT($AB358,"dd-mmm")&amp;").","Next: "&amp;$AC358&amp;" due "&amp;TEXT($AB358,"dd-mmm")&amp;" ("&amp;(NETWORKDAYS(TODAY(),$AB358,Holidays)-1)&amp;" business day(s) left).")))))</f>
        <v/>
      </c>
      <c r="W358" s="17">
        <f>IF($Z358="","",CHOOSE($Z358,"Collection Email","1st Follow-up","2nd Follow-up","Local Office","CBE","Roxanne")&amp;IF($Z358=6," - Final"," - Day "&amp;MAX(0,NETWORKDAYS($AA358,TODAY(),Holidays)-1)&amp;" of "&amp;CHOOSE($Z358,3,3,2,2,3))&amp;" | Total Day "&amp;MAX(0,NETWORKDAYS($N358,TODAY(),Holidays)-1))</f>
        <v/>
      </c>
      <c r="X358" s="18"/>
      <c r="Y358" s="18"/>
      <c r="Z358" s="17">
        <f>IF($N358="","",COUNT($N358:$S358))</f>
        <v/>
      </c>
      <c r="AA358" s="19">
        <f>IF($Z358="","",INT(INDEX($N358:$S358,$Z358)))</f>
        <v/>
      </c>
      <c r="AB358" s="19">
        <f>IF(OR($Z358="",$Z358=6),"",WORKDAY($AA358,CHOOSE($Z358,3,3,2,2,3),Holidays))</f>
        <v/>
      </c>
      <c r="AC358" s="17">
        <f>IF(OR($Z358="",$Z358=6),"",CHOOSE($Z358,"1st Email Follow-up","2nd Email Follow-up","Escalate Local Office","Escalate to CBE","Escalate to Roxanne"))</f>
        <v/>
      </c>
    </row>
    <row r="359" spans="13:29">
      <c r="M359" s="14"/>
      <c r="T359" s="16"/>
      <c r="U359" s="17">
        <f>IF(AND(COUNTA($A359:$L359)=0,$N359=""),"",IF($T359="Paid","PAID",IF($T359="Closed","CLOSED",IF($Z359="","",IF($Z359=6,"ESCALATED TO ROXANNE",IF(TODAY()&gt;$AB359,"OVERDUE",IF($AB359&lt;=WORKDAY(TODAY(),1,Holidays),"DUE TOMORROW",IF($Z359=4,"ESCALATED TO LOCAL OFFICE",IF($Z359=5,"ESCALATED TO CBE",IF($AA359=TODAY(),"EMAIL SENT","MONITORING"))))))))))</f>
        <v/>
      </c>
      <c r="V359" s="17">
        <f>IF($U359="",IF(AND(COUNTA($A359:$L359)&gt;0,$N359=""),"Awaiting Collection Email time stamp.",""),IF(OR($U359="PAID",$U359="CLOSED"),IF($U359="PAID","Account paid. Action completed.","Account closed. No further action required."),CHOOSE($Z359,"Collection Email","1st Email Follow-up","2nd Email Follow-up","Escalation to Local Office","Escalation to CBE","Escalation to Roxanne")&amp;" sent "&amp;TEXT($AA359,"dd-mmm")&amp;". "&amp;IF($Z359=6,"Final escalation completed.",IF($U359="OVERDUE","Next: "&amp;$AC359&amp;" was due "&amp;TEXT($AB359,"dd-mmm")&amp;" - "&amp;(NETWORKDAYS($AB359,TODAY(),Holidays)-1)&amp;" business day(s) late. Send now.",IF($U359="DUE TOMORROW","Next: "&amp;$AC359&amp;IF($AB359&lt;=TODAY()," is due TODAY ("," is due next business day (")&amp;TEXT($AB359,"dd-mmm")&amp;").","Next: "&amp;$AC359&amp;" due "&amp;TEXT($AB359,"dd-mmm")&amp;" ("&amp;(NETWORKDAYS(TODAY(),$AB359,Holidays)-1)&amp;" business day(s) left).")))))</f>
        <v/>
      </c>
      <c r="W359" s="17">
        <f>IF($Z359="","",CHOOSE($Z359,"Collection Email","1st Follow-up","2nd Follow-up","Local Office","CBE","Roxanne")&amp;IF($Z359=6," - Final"," - Day "&amp;MAX(0,NETWORKDAYS($AA359,TODAY(),Holidays)-1)&amp;" of "&amp;CHOOSE($Z359,3,3,2,2,3))&amp;" | Total Day "&amp;MAX(0,NETWORKDAYS($N359,TODAY(),Holidays)-1))</f>
        <v/>
      </c>
      <c r="X359" s="18"/>
      <c r="Y359" s="18"/>
      <c r="Z359" s="17">
        <f>IF($N359="","",COUNT($N359:$S359))</f>
        <v/>
      </c>
      <c r="AA359" s="19">
        <f>IF($Z359="","",INT(INDEX($N359:$S359,$Z359)))</f>
        <v/>
      </c>
      <c r="AB359" s="19">
        <f>IF(OR($Z359="",$Z359=6),"",WORKDAY($AA359,CHOOSE($Z359,3,3,2,2,3),Holidays))</f>
        <v/>
      </c>
      <c r="AC359" s="17">
        <f>IF(OR($Z359="",$Z359=6),"",CHOOSE($Z359,"1st Email Follow-up","2nd Email Follow-up","Escalate Local Office","Escalate to CBE","Escalate to Roxanne"))</f>
        <v/>
      </c>
    </row>
    <row r="360" spans="13:29">
      <c r="M360" s="14"/>
      <c r="T360" s="16"/>
      <c r="U360" s="17">
        <f>IF(AND(COUNTA($A360:$L360)=0,$N360=""),"",IF($T360="Paid","PAID",IF($T360="Closed","CLOSED",IF($Z360="","",IF($Z360=6,"ESCALATED TO ROXANNE",IF(TODAY()&gt;$AB360,"OVERDUE",IF($AB360&lt;=WORKDAY(TODAY(),1,Holidays),"DUE TOMORROW",IF($Z360=4,"ESCALATED TO LOCAL OFFICE",IF($Z360=5,"ESCALATED TO CBE",IF($AA360=TODAY(),"EMAIL SENT","MONITORING"))))))))))</f>
        <v/>
      </c>
      <c r="V360" s="17">
        <f>IF($U360="",IF(AND(COUNTA($A360:$L360)&gt;0,$N360=""),"Awaiting Collection Email time stamp.",""),IF(OR($U360="PAID",$U360="CLOSED"),IF($U360="PAID","Account paid. Action completed.","Account closed. No further action required."),CHOOSE($Z360,"Collection Email","1st Email Follow-up","2nd Email Follow-up","Escalation to Local Office","Escalation to CBE","Escalation to Roxanne")&amp;" sent "&amp;TEXT($AA360,"dd-mmm")&amp;". "&amp;IF($Z360=6,"Final escalation completed.",IF($U360="OVERDUE","Next: "&amp;$AC360&amp;" was due "&amp;TEXT($AB360,"dd-mmm")&amp;" - "&amp;(NETWORKDAYS($AB360,TODAY(),Holidays)-1)&amp;" business day(s) late. Send now.",IF($U360="DUE TOMORROW","Next: "&amp;$AC360&amp;IF($AB360&lt;=TODAY()," is due TODAY ("," is due next business day (")&amp;TEXT($AB360,"dd-mmm")&amp;").","Next: "&amp;$AC360&amp;" due "&amp;TEXT($AB360,"dd-mmm")&amp;" ("&amp;(NETWORKDAYS(TODAY(),$AB360,Holidays)-1)&amp;" business day(s) left).")))))</f>
        <v/>
      </c>
      <c r="W360" s="17">
        <f>IF($Z360="","",CHOOSE($Z360,"Collection Email","1st Follow-up","2nd Follow-up","Local Office","CBE","Roxanne")&amp;IF($Z360=6," - Final"," - Day "&amp;MAX(0,NETWORKDAYS($AA360,TODAY(),Holidays)-1)&amp;" of "&amp;CHOOSE($Z360,3,3,2,2,3))&amp;" | Total Day "&amp;MAX(0,NETWORKDAYS($N360,TODAY(),Holidays)-1))</f>
        <v/>
      </c>
      <c r="X360" s="18"/>
      <c r="Y360" s="18"/>
      <c r="Z360" s="17">
        <f>IF($N360="","",COUNT($N360:$S360))</f>
        <v/>
      </c>
      <c r="AA360" s="19">
        <f>IF($Z360="","",INT(INDEX($N360:$S360,$Z360)))</f>
        <v/>
      </c>
      <c r="AB360" s="19">
        <f>IF(OR($Z360="",$Z360=6),"",WORKDAY($AA360,CHOOSE($Z360,3,3,2,2,3),Holidays))</f>
        <v/>
      </c>
      <c r="AC360" s="17">
        <f>IF(OR($Z360="",$Z360=6),"",CHOOSE($Z360,"1st Email Follow-up","2nd Email Follow-up","Escalate Local Office","Escalate to CBE","Escalate to Roxanne"))</f>
        <v/>
      </c>
    </row>
    <row r="361" spans="13:29">
      <c r="M361" s="14"/>
      <c r="T361" s="16"/>
      <c r="U361" s="17">
        <f>IF(AND(COUNTA($A361:$L361)=0,$N361=""),"",IF($T361="Paid","PAID",IF($T361="Closed","CLOSED",IF($Z361="","",IF($Z361=6,"ESCALATED TO ROXANNE",IF(TODAY()&gt;$AB361,"OVERDUE",IF($AB361&lt;=WORKDAY(TODAY(),1,Holidays),"DUE TOMORROW",IF($Z361=4,"ESCALATED TO LOCAL OFFICE",IF($Z361=5,"ESCALATED TO CBE",IF($AA361=TODAY(),"EMAIL SENT","MONITORING"))))))))))</f>
        <v/>
      </c>
      <c r="V361" s="17">
        <f>IF($U361="",IF(AND(COUNTA($A361:$L361)&gt;0,$N361=""),"Awaiting Collection Email time stamp.",""),IF(OR($U361="PAID",$U361="CLOSED"),IF($U361="PAID","Account paid. Action completed.","Account closed. No further action required."),CHOOSE($Z361,"Collection Email","1st Email Follow-up","2nd Email Follow-up","Escalation to Local Office","Escalation to CBE","Escalation to Roxanne")&amp;" sent "&amp;TEXT($AA361,"dd-mmm")&amp;". "&amp;IF($Z361=6,"Final escalation completed.",IF($U361="OVERDUE","Next: "&amp;$AC361&amp;" was due "&amp;TEXT($AB361,"dd-mmm")&amp;" - "&amp;(NETWORKDAYS($AB361,TODAY(),Holidays)-1)&amp;" business day(s) late. Send now.",IF($U361="DUE TOMORROW","Next: "&amp;$AC361&amp;IF($AB361&lt;=TODAY()," is due TODAY ("," is due next business day (")&amp;TEXT($AB361,"dd-mmm")&amp;").","Next: "&amp;$AC361&amp;" due "&amp;TEXT($AB361,"dd-mmm")&amp;" ("&amp;(NETWORKDAYS(TODAY(),$AB361,Holidays)-1)&amp;" business day(s) left).")))))</f>
        <v/>
      </c>
      <c r="W361" s="17">
        <f>IF($Z361="","",CHOOSE($Z361,"Collection Email","1st Follow-up","2nd Follow-up","Local Office","CBE","Roxanne")&amp;IF($Z361=6," - Final"," - Day "&amp;MAX(0,NETWORKDAYS($AA361,TODAY(),Holidays)-1)&amp;" of "&amp;CHOOSE($Z361,3,3,2,2,3))&amp;" | Total Day "&amp;MAX(0,NETWORKDAYS($N361,TODAY(),Holidays)-1))</f>
        <v/>
      </c>
      <c r="X361" s="18"/>
      <c r="Y361" s="18"/>
      <c r="Z361" s="17">
        <f>IF($N361="","",COUNT($N361:$S361))</f>
        <v/>
      </c>
      <c r="AA361" s="19">
        <f>IF($Z361="","",INT(INDEX($N361:$S361,$Z361)))</f>
        <v/>
      </c>
      <c r="AB361" s="19">
        <f>IF(OR($Z361="",$Z361=6),"",WORKDAY($AA361,CHOOSE($Z361,3,3,2,2,3),Holidays))</f>
        <v/>
      </c>
      <c r="AC361" s="17">
        <f>IF(OR($Z361="",$Z361=6),"",CHOOSE($Z361,"1st Email Follow-up","2nd Email Follow-up","Escalate Local Office","Escalate to CBE","Escalate to Roxanne"))</f>
        <v/>
      </c>
    </row>
    <row r="362" spans="13:29">
      <c r="M362" s="14"/>
      <c r="T362" s="16"/>
      <c r="U362" s="17">
        <f>IF(AND(COUNTA($A362:$L362)=0,$N362=""),"",IF($T362="Paid","PAID",IF($T362="Closed","CLOSED",IF($Z362="","",IF($Z362=6,"ESCALATED TO ROXANNE",IF(TODAY()&gt;$AB362,"OVERDUE",IF($AB362&lt;=WORKDAY(TODAY(),1,Holidays),"DUE TOMORROW",IF($Z362=4,"ESCALATED TO LOCAL OFFICE",IF($Z362=5,"ESCALATED TO CBE",IF($AA362=TODAY(),"EMAIL SENT","MONITORING"))))))))))</f>
        <v/>
      </c>
      <c r="V362" s="17">
        <f>IF($U362="",IF(AND(COUNTA($A362:$L362)&gt;0,$N362=""),"Awaiting Collection Email time stamp.",""),IF(OR($U362="PAID",$U362="CLOSED"),IF($U362="PAID","Account paid. Action completed.","Account closed. No further action required."),CHOOSE($Z362,"Collection Email","1st Email Follow-up","2nd Email Follow-up","Escalation to Local Office","Escalation to CBE","Escalation to Roxanne")&amp;" sent "&amp;TEXT($AA362,"dd-mmm")&amp;". "&amp;IF($Z362=6,"Final escalation completed.",IF($U362="OVERDUE","Next: "&amp;$AC362&amp;" was due "&amp;TEXT($AB362,"dd-mmm")&amp;" - "&amp;(NETWORKDAYS($AB362,TODAY(),Holidays)-1)&amp;" business day(s) late. Send now.",IF($U362="DUE TOMORROW","Next: "&amp;$AC362&amp;IF($AB362&lt;=TODAY()," is due TODAY ("," is due next business day (")&amp;TEXT($AB362,"dd-mmm")&amp;").","Next: "&amp;$AC362&amp;" due "&amp;TEXT($AB362,"dd-mmm")&amp;" ("&amp;(NETWORKDAYS(TODAY(),$AB362,Holidays)-1)&amp;" business day(s) left).")))))</f>
        <v/>
      </c>
      <c r="W362" s="17">
        <f>IF($Z362="","",CHOOSE($Z362,"Collection Email","1st Follow-up","2nd Follow-up","Local Office","CBE","Roxanne")&amp;IF($Z362=6," - Final"," - Day "&amp;MAX(0,NETWORKDAYS($AA362,TODAY(),Holidays)-1)&amp;" of "&amp;CHOOSE($Z362,3,3,2,2,3))&amp;" | Total Day "&amp;MAX(0,NETWORKDAYS($N362,TODAY(),Holidays)-1))</f>
        <v/>
      </c>
      <c r="X362" s="18"/>
      <c r="Y362" s="18"/>
      <c r="Z362" s="17">
        <f>IF($N362="","",COUNT($N362:$S362))</f>
        <v/>
      </c>
      <c r="AA362" s="19">
        <f>IF($Z362="","",INT(INDEX($N362:$S362,$Z362)))</f>
        <v/>
      </c>
      <c r="AB362" s="19">
        <f>IF(OR($Z362="",$Z362=6),"",WORKDAY($AA362,CHOOSE($Z362,3,3,2,2,3),Holidays))</f>
        <v/>
      </c>
      <c r="AC362" s="17">
        <f>IF(OR($Z362="",$Z362=6),"",CHOOSE($Z362,"1st Email Follow-up","2nd Email Follow-up","Escalate Local Office","Escalate to CBE","Escalate to Roxanne"))</f>
        <v/>
      </c>
    </row>
    <row r="363" spans="13:29">
      <c r="M363" s="14"/>
      <c r="T363" s="16"/>
      <c r="U363" s="17">
        <f>IF(AND(COUNTA($A363:$L363)=0,$N363=""),"",IF($T363="Paid","PAID",IF($T363="Closed","CLOSED",IF($Z363="","",IF($Z363=6,"ESCALATED TO ROXANNE",IF(TODAY()&gt;$AB363,"OVERDUE",IF($AB363&lt;=WORKDAY(TODAY(),1,Holidays),"DUE TOMORROW",IF($Z363=4,"ESCALATED TO LOCAL OFFICE",IF($Z363=5,"ESCALATED TO CBE",IF($AA363=TODAY(),"EMAIL SENT","MONITORING"))))))))))</f>
        <v/>
      </c>
      <c r="V363" s="17">
        <f>IF($U363="",IF(AND(COUNTA($A363:$L363)&gt;0,$N363=""),"Awaiting Collection Email time stamp.",""),IF(OR($U363="PAID",$U363="CLOSED"),IF($U363="PAID","Account paid. Action completed.","Account closed. No further action required."),CHOOSE($Z363,"Collection Email","1st Email Follow-up","2nd Email Follow-up","Escalation to Local Office","Escalation to CBE","Escalation to Roxanne")&amp;" sent "&amp;TEXT($AA363,"dd-mmm")&amp;". "&amp;IF($Z363=6,"Final escalation completed.",IF($U363="OVERDUE","Next: "&amp;$AC363&amp;" was due "&amp;TEXT($AB363,"dd-mmm")&amp;" - "&amp;(NETWORKDAYS($AB363,TODAY(),Holidays)-1)&amp;" business day(s) late. Send now.",IF($U363="DUE TOMORROW","Next: "&amp;$AC363&amp;IF($AB363&lt;=TODAY()," is due TODAY ("," is due next business day (")&amp;TEXT($AB363,"dd-mmm")&amp;").","Next: "&amp;$AC363&amp;" due "&amp;TEXT($AB363,"dd-mmm")&amp;" ("&amp;(NETWORKDAYS(TODAY(),$AB363,Holidays)-1)&amp;" business day(s) left).")))))</f>
        <v/>
      </c>
      <c r="W363" s="17">
        <f>IF($Z363="","",CHOOSE($Z363,"Collection Email","1st Follow-up","2nd Follow-up","Local Office","CBE","Roxanne")&amp;IF($Z363=6," - Final"," - Day "&amp;MAX(0,NETWORKDAYS($AA363,TODAY(),Holidays)-1)&amp;" of "&amp;CHOOSE($Z363,3,3,2,2,3))&amp;" | Total Day "&amp;MAX(0,NETWORKDAYS($N363,TODAY(),Holidays)-1))</f>
        <v/>
      </c>
      <c r="X363" s="18"/>
      <c r="Y363" s="18"/>
      <c r="Z363" s="17">
        <f>IF($N363="","",COUNT($N363:$S363))</f>
        <v/>
      </c>
      <c r="AA363" s="19">
        <f>IF($Z363="","",INT(INDEX($N363:$S363,$Z363)))</f>
        <v/>
      </c>
      <c r="AB363" s="19">
        <f>IF(OR($Z363="",$Z363=6),"",WORKDAY($AA363,CHOOSE($Z363,3,3,2,2,3),Holidays))</f>
        <v/>
      </c>
      <c r="AC363" s="17">
        <f>IF(OR($Z363="",$Z363=6),"",CHOOSE($Z363,"1st Email Follow-up","2nd Email Follow-up","Escalate Local Office","Escalate to CBE","Escalate to Roxanne"))</f>
        <v/>
      </c>
    </row>
    <row r="364" spans="13:29">
      <c r="M364" s="14"/>
      <c r="T364" s="16"/>
      <c r="U364" s="17">
        <f>IF(AND(COUNTA($A364:$L364)=0,$N364=""),"",IF($T364="Paid","PAID",IF($T364="Closed","CLOSED",IF($Z364="","",IF($Z364=6,"ESCALATED TO ROXANNE",IF(TODAY()&gt;$AB364,"OVERDUE",IF($AB364&lt;=WORKDAY(TODAY(),1,Holidays),"DUE TOMORROW",IF($Z364=4,"ESCALATED TO LOCAL OFFICE",IF($Z364=5,"ESCALATED TO CBE",IF($AA364=TODAY(),"EMAIL SENT","MONITORING"))))))))))</f>
        <v/>
      </c>
      <c r="V364" s="17">
        <f>IF($U364="",IF(AND(COUNTA($A364:$L364)&gt;0,$N364=""),"Awaiting Collection Email time stamp.",""),IF(OR($U364="PAID",$U364="CLOSED"),IF($U364="PAID","Account paid. Action completed.","Account closed. No further action required."),CHOOSE($Z364,"Collection Email","1st Email Follow-up","2nd Email Follow-up","Escalation to Local Office","Escalation to CBE","Escalation to Roxanne")&amp;" sent "&amp;TEXT($AA364,"dd-mmm")&amp;". "&amp;IF($Z364=6,"Final escalation completed.",IF($U364="OVERDUE","Next: "&amp;$AC364&amp;" was due "&amp;TEXT($AB364,"dd-mmm")&amp;" - "&amp;(NETWORKDAYS($AB364,TODAY(),Holidays)-1)&amp;" business day(s) late. Send now.",IF($U364="DUE TOMORROW","Next: "&amp;$AC364&amp;IF($AB364&lt;=TODAY()," is due TODAY ("," is due next business day (")&amp;TEXT($AB364,"dd-mmm")&amp;").","Next: "&amp;$AC364&amp;" due "&amp;TEXT($AB364,"dd-mmm")&amp;" ("&amp;(NETWORKDAYS(TODAY(),$AB364,Holidays)-1)&amp;" business day(s) left).")))))</f>
        <v/>
      </c>
      <c r="W364" s="17">
        <f>IF($Z364="","",CHOOSE($Z364,"Collection Email","1st Follow-up","2nd Follow-up","Local Office","CBE","Roxanne")&amp;IF($Z364=6," - Final"," - Day "&amp;MAX(0,NETWORKDAYS($AA364,TODAY(),Holidays)-1)&amp;" of "&amp;CHOOSE($Z364,3,3,2,2,3))&amp;" | Total Day "&amp;MAX(0,NETWORKDAYS($N364,TODAY(),Holidays)-1))</f>
        <v/>
      </c>
      <c r="X364" s="18"/>
      <c r="Y364" s="18"/>
      <c r="Z364" s="17">
        <f>IF($N364="","",COUNT($N364:$S364))</f>
        <v/>
      </c>
      <c r="AA364" s="19">
        <f>IF($Z364="","",INT(INDEX($N364:$S364,$Z364)))</f>
        <v/>
      </c>
      <c r="AB364" s="19">
        <f>IF(OR($Z364="",$Z364=6),"",WORKDAY($AA364,CHOOSE($Z364,3,3,2,2,3),Holidays))</f>
        <v/>
      </c>
      <c r="AC364" s="17">
        <f>IF(OR($Z364="",$Z364=6),"",CHOOSE($Z364,"1st Email Follow-up","2nd Email Follow-up","Escalate Local Office","Escalate to CBE","Escalate to Roxanne"))</f>
        <v/>
      </c>
    </row>
    <row r="365" spans="13:29">
      <c r="M365" s="14"/>
      <c r="T365" s="16"/>
      <c r="U365" s="17">
        <f>IF(AND(COUNTA($A365:$L365)=0,$N365=""),"",IF($T365="Paid","PAID",IF($T365="Closed","CLOSED",IF($Z365="","",IF($Z365=6,"ESCALATED TO ROXANNE",IF(TODAY()&gt;$AB365,"OVERDUE",IF($AB365&lt;=WORKDAY(TODAY(),1,Holidays),"DUE TOMORROW",IF($Z365=4,"ESCALATED TO LOCAL OFFICE",IF($Z365=5,"ESCALATED TO CBE",IF($AA365=TODAY(),"EMAIL SENT","MONITORING"))))))))))</f>
        <v/>
      </c>
      <c r="V365" s="17">
        <f>IF($U365="",IF(AND(COUNTA($A365:$L365)&gt;0,$N365=""),"Awaiting Collection Email time stamp.",""),IF(OR($U365="PAID",$U365="CLOSED"),IF($U365="PAID","Account paid. Action completed.","Account closed. No further action required."),CHOOSE($Z365,"Collection Email","1st Email Follow-up","2nd Email Follow-up","Escalation to Local Office","Escalation to CBE","Escalation to Roxanne")&amp;" sent "&amp;TEXT($AA365,"dd-mmm")&amp;". "&amp;IF($Z365=6,"Final escalation completed.",IF($U365="OVERDUE","Next: "&amp;$AC365&amp;" was due "&amp;TEXT($AB365,"dd-mmm")&amp;" - "&amp;(NETWORKDAYS($AB365,TODAY(),Holidays)-1)&amp;" business day(s) late. Send now.",IF($U365="DUE TOMORROW","Next: "&amp;$AC365&amp;IF($AB365&lt;=TODAY()," is due TODAY ("," is due next business day (")&amp;TEXT($AB365,"dd-mmm")&amp;").","Next: "&amp;$AC365&amp;" due "&amp;TEXT($AB365,"dd-mmm")&amp;" ("&amp;(NETWORKDAYS(TODAY(),$AB365,Holidays)-1)&amp;" business day(s) left).")))))</f>
        <v/>
      </c>
      <c r="W365" s="17">
        <f>IF($Z365="","",CHOOSE($Z365,"Collection Email","1st Follow-up","2nd Follow-up","Local Office","CBE","Roxanne")&amp;IF($Z365=6," - Final"," - Day "&amp;MAX(0,NETWORKDAYS($AA365,TODAY(),Holidays)-1)&amp;" of "&amp;CHOOSE($Z365,3,3,2,2,3))&amp;" | Total Day "&amp;MAX(0,NETWORKDAYS($N365,TODAY(),Holidays)-1))</f>
        <v/>
      </c>
      <c r="X365" s="18"/>
      <c r="Y365" s="18"/>
      <c r="Z365" s="17">
        <f>IF($N365="","",COUNT($N365:$S365))</f>
        <v/>
      </c>
      <c r="AA365" s="19">
        <f>IF($Z365="","",INT(INDEX($N365:$S365,$Z365)))</f>
        <v/>
      </c>
      <c r="AB365" s="19">
        <f>IF(OR($Z365="",$Z365=6),"",WORKDAY($AA365,CHOOSE($Z365,3,3,2,2,3),Holidays))</f>
        <v/>
      </c>
      <c r="AC365" s="17">
        <f>IF(OR($Z365="",$Z365=6),"",CHOOSE($Z365,"1st Email Follow-up","2nd Email Follow-up","Escalate Local Office","Escalate to CBE","Escalate to Roxanne"))</f>
        <v/>
      </c>
    </row>
    <row r="366" spans="13:29">
      <c r="M366" s="14"/>
      <c r="T366" s="16"/>
      <c r="U366" s="17">
        <f>IF(AND(COUNTA($A366:$L366)=0,$N366=""),"",IF($T366="Paid","PAID",IF($T366="Closed","CLOSED",IF($Z366="","",IF($Z366=6,"ESCALATED TO ROXANNE",IF(TODAY()&gt;$AB366,"OVERDUE",IF($AB366&lt;=WORKDAY(TODAY(),1,Holidays),"DUE TOMORROW",IF($Z366=4,"ESCALATED TO LOCAL OFFICE",IF($Z366=5,"ESCALATED TO CBE",IF($AA366=TODAY(),"EMAIL SENT","MONITORING"))))))))))</f>
        <v/>
      </c>
      <c r="V366" s="17">
        <f>IF($U366="",IF(AND(COUNTA($A366:$L366)&gt;0,$N366=""),"Awaiting Collection Email time stamp.",""),IF(OR($U366="PAID",$U366="CLOSED"),IF($U366="PAID","Account paid. Action completed.","Account closed. No further action required."),CHOOSE($Z366,"Collection Email","1st Email Follow-up","2nd Email Follow-up","Escalation to Local Office","Escalation to CBE","Escalation to Roxanne")&amp;" sent "&amp;TEXT($AA366,"dd-mmm")&amp;". "&amp;IF($Z366=6,"Final escalation completed.",IF($U366="OVERDUE","Next: "&amp;$AC366&amp;" was due "&amp;TEXT($AB366,"dd-mmm")&amp;" - "&amp;(NETWORKDAYS($AB366,TODAY(),Holidays)-1)&amp;" business day(s) late. Send now.",IF($U366="DUE TOMORROW","Next: "&amp;$AC366&amp;IF($AB366&lt;=TODAY()," is due TODAY ("," is due next business day (")&amp;TEXT($AB366,"dd-mmm")&amp;").","Next: "&amp;$AC366&amp;" due "&amp;TEXT($AB366,"dd-mmm")&amp;" ("&amp;(NETWORKDAYS(TODAY(),$AB366,Holidays)-1)&amp;" business day(s) left).")))))</f>
        <v/>
      </c>
      <c r="W366" s="17">
        <f>IF($Z366="","",CHOOSE($Z366,"Collection Email","1st Follow-up","2nd Follow-up","Local Office","CBE","Roxanne")&amp;IF($Z366=6," - Final"," - Day "&amp;MAX(0,NETWORKDAYS($AA366,TODAY(),Holidays)-1)&amp;" of "&amp;CHOOSE($Z366,3,3,2,2,3))&amp;" | Total Day "&amp;MAX(0,NETWORKDAYS($N366,TODAY(),Holidays)-1))</f>
        <v/>
      </c>
      <c r="X366" s="18"/>
      <c r="Y366" s="18"/>
      <c r="Z366" s="17">
        <f>IF($N366="","",COUNT($N366:$S366))</f>
        <v/>
      </c>
      <c r="AA366" s="19">
        <f>IF($Z366="","",INT(INDEX($N366:$S366,$Z366)))</f>
        <v/>
      </c>
      <c r="AB366" s="19">
        <f>IF(OR($Z366="",$Z366=6),"",WORKDAY($AA366,CHOOSE($Z366,3,3,2,2,3),Holidays))</f>
        <v/>
      </c>
      <c r="AC366" s="17">
        <f>IF(OR($Z366="",$Z366=6),"",CHOOSE($Z366,"1st Email Follow-up","2nd Email Follow-up","Escalate Local Office","Escalate to CBE","Escalate to Roxanne"))</f>
        <v/>
      </c>
    </row>
    <row r="367" spans="13:29">
      <c r="M367" s="14"/>
      <c r="T367" s="16"/>
      <c r="U367" s="17">
        <f>IF(AND(COUNTA($A367:$L367)=0,$N367=""),"",IF($T367="Paid","PAID",IF($T367="Closed","CLOSED",IF($Z367="","",IF($Z367=6,"ESCALATED TO ROXANNE",IF(TODAY()&gt;$AB367,"OVERDUE",IF($AB367&lt;=WORKDAY(TODAY(),1,Holidays),"DUE TOMORROW",IF($Z367=4,"ESCALATED TO LOCAL OFFICE",IF($Z367=5,"ESCALATED TO CBE",IF($AA367=TODAY(),"EMAIL SENT","MONITORING"))))))))))</f>
        <v/>
      </c>
      <c r="V367" s="17">
        <f>IF($U367="",IF(AND(COUNTA($A367:$L367)&gt;0,$N367=""),"Awaiting Collection Email time stamp.",""),IF(OR($U367="PAID",$U367="CLOSED"),IF($U367="PAID","Account paid. Action completed.","Account closed. No further action required."),CHOOSE($Z367,"Collection Email","1st Email Follow-up","2nd Email Follow-up","Escalation to Local Office","Escalation to CBE","Escalation to Roxanne")&amp;" sent "&amp;TEXT($AA367,"dd-mmm")&amp;". "&amp;IF($Z367=6,"Final escalation completed.",IF($U367="OVERDUE","Next: "&amp;$AC367&amp;" was due "&amp;TEXT($AB367,"dd-mmm")&amp;" - "&amp;(NETWORKDAYS($AB367,TODAY(),Holidays)-1)&amp;" business day(s) late. Send now.",IF($U367="DUE TOMORROW","Next: "&amp;$AC367&amp;IF($AB367&lt;=TODAY()," is due TODAY ("," is due next business day (")&amp;TEXT($AB367,"dd-mmm")&amp;").","Next: "&amp;$AC367&amp;" due "&amp;TEXT($AB367,"dd-mmm")&amp;" ("&amp;(NETWORKDAYS(TODAY(),$AB367,Holidays)-1)&amp;" business day(s) left).")))))</f>
        <v/>
      </c>
      <c r="W367" s="17">
        <f>IF($Z367="","",CHOOSE($Z367,"Collection Email","1st Follow-up","2nd Follow-up","Local Office","CBE","Roxanne")&amp;IF($Z367=6," - Final"," - Day "&amp;MAX(0,NETWORKDAYS($AA367,TODAY(),Holidays)-1)&amp;" of "&amp;CHOOSE($Z367,3,3,2,2,3))&amp;" | Total Day "&amp;MAX(0,NETWORKDAYS($N367,TODAY(),Holidays)-1))</f>
        <v/>
      </c>
      <c r="X367" s="18"/>
      <c r="Y367" s="18"/>
      <c r="Z367" s="17">
        <f>IF($N367="","",COUNT($N367:$S367))</f>
        <v/>
      </c>
      <c r="AA367" s="19">
        <f>IF($Z367="","",INT(INDEX($N367:$S367,$Z367)))</f>
        <v/>
      </c>
      <c r="AB367" s="19">
        <f>IF(OR($Z367="",$Z367=6),"",WORKDAY($AA367,CHOOSE($Z367,3,3,2,2,3),Holidays))</f>
        <v/>
      </c>
      <c r="AC367" s="17">
        <f>IF(OR($Z367="",$Z367=6),"",CHOOSE($Z367,"1st Email Follow-up","2nd Email Follow-up","Escalate Local Office","Escalate to CBE","Escalate to Roxanne"))</f>
        <v/>
      </c>
    </row>
    <row r="368" spans="13:29">
      <c r="M368" s="14"/>
      <c r="T368" s="16"/>
      <c r="U368" s="17">
        <f>IF(AND(COUNTA($A368:$L368)=0,$N368=""),"",IF($T368="Paid","PAID",IF($T368="Closed","CLOSED",IF($Z368="","",IF($Z368=6,"ESCALATED TO ROXANNE",IF(TODAY()&gt;$AB368,"OVERDUE",IF($AB368&lt;=WORKDAY(TODAY(),1,Holidays),"DUE TOMORROW",IF($Z368=4,"ESCALATED TO LOCAL OFFICE",IF($Z368=5,"ESCALATED TO CBE",IF($AA368=TODAY(),"EMAIL SENT","MONITORING"))))))))))</f>
        <v/>
      </c>
      <c r="V368" s="17">
        <f>IF($U368="",IF(AND(COUNTA($A368:$L368)&gt;0,$N368=""),"Awaiting Collection Email time stamp.",""),IF(OR($U368="PAID",$U368="CLOSED"),IF($U368="PAID","Account paid. Action completed.","Account closed. No further action required."),CHOOSE($Z368,"Collection Email","1st Email Follow-up","2nd Email Follow-up","Escalation to Local Office","Escalation to CBE","Escalation to Roxanne")&amp;" sent "&amp;TEXT($AA368,"dd-mmm")&amp;". "&amp;IF($Z368=6,"Final escalation completed.",IF($U368="OVERDUE","Next: "&amp;$AC368&amp;" was due "&amp;TEXT($AB368,"dd-mmm")&amp;" - "&amp;(NETWORKDAYS($AB368,TODAY(),Holidays)-1)&amp;" business day(s) late. Send now.",IF($U368="DUE TOMORROW","Next: "&amp;$AC368&amp;IF($AB368&lt;=TODAY()," is due TODAY ("," is due next business day (")&amp;TEXT($AB368,"dd-mmm")&amp;").","Next: "&amp;$AC368&amp;" due "&amp;TEXT($AB368,"dd-mmm")&amp;" ("&amp;(NETWORKDAYS(TODAY(),$AB368,Holidays)-1)&amp;" business day(s) left).")))))</f>
        <v/>
      </c>
      <c r="W368" s="17">
        <f>IF($Z368="","",CHOOSE($Z368,"Collection Email","1st Follow-up","2nd Follow-up","Local Office","CBE","Roxanne")&amp;IF($Z368=6," - Final"," - Day "&amp;MAX(0,NETWORKDAYS($AA368,TODAY(),Holidays)-1)&amp;" of "&amp;CHOOSE($Z368,3,3,2,2,3))&amp;" | Total Day "&amp;MAX(0,NETWORKDAYS($N368,TODAY(),Holidays)-1))</f>
        <v/>
      </c>
      <c r="X368" s="18"/>
      <c r="Y368" s="18"/>
      <c r="Z368" s="17">
        <f>IF($N368="","",COUNT($N368:$S368))</f>
        <v/>
      </c>
      <c r="AA368" s="19">
        <f>IF($Z368="","",INT(INDEX($N368:$S368,$Z368)))</f>
        <v/>
      </c>
      <c r="AB368" s="19">
        <f>IF(OR($Z368="",$Z368=6),"",WORKDAY($AA368,CHOOSE($Z368,3,3,2,2,3),Holidays))</f>
        <v/>
      </c>
      <c r="AC368" s="17">
        <f>IF(OR($Z368="",$Z368=6),"",CHOOSE($Z368,"1st Email Follow-up","2nd Email Follow-up","Escalate Local Office","Escalate to CBE","Escalate to Roxanne"))</f>
        <v/>
      </c>
    </row>
    <row r="369" spans="13:29">
      <c r="M369" s="14"/>
      <c r="T369" s="16"/>
      <c r="U369" s="17">
        <f>IF(AND(COUNTA($A369:$L369)=0,$N369=""),"",IF($T369="Paid","PAID",IF($T369="Closed","CLOSED",IF($Z369="","",IF($Z369=6,"ESCALATED TO ROXANNE",IF(TODAY()&gt;$AB369,"OVERDUE",IF($AB369&lt;=WORKDAY(TODAY(),1,Holidays),"DUE TOMORROW",IF($Z369=4,"ESCALATED TO LOCAL OFFICE",IF($Z369=5,"ESCALATED TO CBE",IF($AA369=TODAY(),"EMAIL SENT","MONITORING"))))))))))</f>
        <v/>
      </c>
      <c r="V369" s="17">
        <f>IF($U369="",IF(AND(COUNTA($A369:$L369)&gt;0,$N369=""),"Awaiting Collection Email time stamp.",""),IF(OR($U369="PAID",$U369="CLOSED"),IF($U369="PAID","Account paid. Action completed.","Account closed. No further action required."),CHOOSE($Z369,"Collection Email","1st Email Follow-up","2nd Email Follow-up","Escalation to Local Office","Escalation to CBE","Escalation to Roxanne")&amp;" sent "&amp;TEXT($AA369,"dd-mmm")&amp;". "&amp;IF($Z369=6,"Final escalation completed.",IF($U369="OVERDUE","Next: "&amp;$AC369&amp;" was due "&amp;TEXT($AB369,"dd-mmm")&amp;" - "&amp;(NETWORKDAYS($AB369,TODAY(),Holidays)-1)&amp;" business day(s) late. Send now.",IF($U369="DUE TOMORROW","Next: "&amp;$AC369&amp;IF($AB369&lt;=TODAY()," is due TODAY ("," is due next business day (")&amp;TEXT($AB369,"dd-mmm")&amp;").","Next: "&amp;$AC369&amp;" due "&amp;TEXT($AB369,"dd-mmm")&amp;" ("&amp;(NETWORKDAYS(TODAY(),$AB369,Holidays)-1)&amp;" business day(s) left).")))))</f>
        <v/>
      </c>
      <c r="W369" s="17">
        <f>IF($Z369="","",CHOOSE($Z369,"Collection Email","1st Follow-up","2nd Follow-up","Local Office","CBE","Roxanne")&amp;IF($Z369=6," - Final"," - Day "&amp;MAX(0,NETWORKDAYS($AA369,TODAY(),Holidays)-1)&amp;" of "&amp;CHOOSE($Z369,3,3,2,2,3))&amp;" | Total Day "&amp;MAX(0,NETWORKDAYS($N369,TODAY(),Holidays)-1))</f>
        <v/>
      </c>
      <c r="X369" s="18"/>
      <c r="Y369" s="18"/>
      <c r="Z369" s="17">
        <f>IF($N369="","",COUNT($N369:$S369))</f>
        <v/>
      </c>
      <c r="AA369" s="19">
        <f>IF($Z369="","",INT(INDEX($N369:$S369,$Z369)))</f>
        <v/>
      </c>
      <c r="AB369" s="19">
        <f>IF(OR($Z369="",$Z369=6),"",WORKDAY($AA369,CHOOSE($Z369,3,3,2,2,3),Holidays))</f>
        <v/>
      </c>
      <c r="AC369" s="17">
        <f>IF(OR($Z369="",$Z369=6),"",CHOOSE($Z369,"1st Email Follow-up","2nd Email Follow-up","Escalate Local Office","Escalate to CBE","Escalate to Roxanne"))</f>
        <v/>
      </c>
    </row>
    <row r="370" spans="13:29">
      <c r="M370" s="14"/>
      <c r="T370" s="16"/>
      <c r="U370" s="17">
        <f>IF(AND(COUNTA($A370:$L370)=0,$N370=""),"",IF($T370="Paid","PAID",IF($T370="Closed","CLOSED",IF($Z370="","",IF($Z370=6,"ESCALATED TO ROXANNE",IF(TODAY()&gt;$AB370,"OVERDUE",IF($AB370&lt;=WORKDAY(TODAY(),1,Holidays),"DUE TOMORROW",IF($Z370=4,"ESCALATED TO LOCAL OFFICE",IF($Z370=5,"ESCALATED TO CBE",IF($AA370=TODAY(),"EMAIL SENT","MONITORING"))))))))))</f>
        <v/>
      </c>
      <c r="V370" s="17">
        <f>IF($U370="",IF(AND(COUNTA($A370:$L370)&gt;0,$N370=""),"Awaiting Collection Email time stamp.",""),IF(OR($U370="PAID",$U370="CLOSED"),IF($U370="PAID","Account paid. Action completed.","Account closed. No further action required."),CHOOSE($Z370,"Collection Email","1st Email Follow-up","2nd Email Follow-up","Escalation to Local Office","Escalation to CBE","Escalation to Roxanne")&amp;" sent "&amp;TEXT($AA370,"dd-mmm")&amp;". "&amp;IF($Z370=6,"Final escalation completed.",IF($U370="OVERDUE","Next: "&amp;$AC370&amp;" was due "&amp;TEXT($AB370,"dd-mmm")&amp;" - "&amp;(NETWORKDAYS($AB370,TODAY(),Holidays)-1)&amp;" business day(s) late. Send now.",IF($U370="DUE TOMORROW","Next: "&amp;$AC370&amp;IF($AB370&lt;=TODAY()," is due TODAY ("," is due next business day (")&amp;TEXT($AB370,"dd-mmm")&amp;").","Next: "&amp;$AC370&amp;" due "&amp;TEXT($AB370,"dd-mmm")&amp;" ("&amp;(NETWORKDAYS(TODAY(),$AB370,Holidays)-1)&amp;" business day(s) left).")))))</f>
        <v/>
      </c>
      <c r="W370" s="17">
        <f>IF($Z370="","",CHOOSE($Z370,"Collection Email","1st Follow-up","2nd Follow-up","Local Office","CBE","Roxanne")&amp;IF($Z370=6," - Final"," - Day "&amp;MAX(0,NETWORKDAYS($AA370,TODAY(),Holidays)-1)&amp;" of "&amp;CHOOSE($Z370,3,3,2,2,3))&amp;" | Total Day "&amp;MAX(0,NETWORKDAYS($N370,TODAY(),Holidays)-1))</f>
        <v/>
      </c>
      <c r="X370" s="18"/>
      <c r="Y370" s="18"/>
      <c r="Z370" s="17">
        <f>IF($N370="","",COUNT($N370:$S370))</f>
        <v/>
      </c>
      <c r="AA370" s="19">
        <f>IF($Z370="","",INT(INDEX($N370:$S370,$Z370)))</f>
        <v/>
      </c>
      <c r="AB370" s="19">
        <f>IF(OR($Z370="",$Z370=6),"",WORKDAY($AA370,CHOOSE($Z370,3,3,2,2,3),Holidays))</f>
        <v/>
      </c>
      <c r="AC370" s="17">
        <f>IF(OR($Z370="",$Z370=6),"",CHOOSE($Z370,"1st Email Follow-up","2nd Email Follow-up","Escalate Local Office","Escalate to CBE","Escalate to Roxanne"))</f>
        <v/>
      </c>
    </row>
    <row r="371" spans="13:29">
      <c r="M371" s="14"/>
      <c r="T371" s="16"/>
      <c r="U371" s="17">
        <f>IF(AND(COUNTA($A371:$L371)=0,$N371=""),"",IF($T371="Paid","PAID",IF($T371="Closed","CLOSED",IF($Z371="","",IF($Z371=6,"ESCALATED TO ROXANNE",IF(TODAY()&gt;$AB371,"OVERDUE",IF($AB371&lt;=WORKDAY(TODAY(),1,Holidays),"DUE TOMORROW",IF($Z371=4,"ESCALATED TO LOCAL OFFICE",IF($Z371=5,"ESCALATED TO CBE",IF($AA371=TODAY(),"EMAIL SENT","MONITORING"))))))))))</f>
        <v/>
      </c>
      <c r="V371" s="17">
        <f>IF($U371="",IF(AND(COUNTA($A371:$L371)&gt;0,$N371=""),"Awaiting Collection Email time stamp.",""),IF(OR($U371="PAID",$U371="CLOSED"),IF($U371="PAID","Account paid. Action completed.","Account closed. No further action required."),CHOOSE($Z371,"Collection Email","1st Email Follow-up","2nd Email Follow-up","Escalation to Local Office","Escalation to CBE","Escalation to Roxanne")&amp;" sent "&amp;TEXT($AA371,"dd-mmm")&amp;". "&amp;IF($Z371=6,"Final escalation completed.",IF($U371="OVERDUE","Next: "&amp;$AC371&amp;" was due "&amp;TEXT($AB371,"dd-mmm")&amp;" - "&amp;(NETWORKDAYS($AB371,TODAY(),Holidays)-1)&amp;" business day(s) late. Send now.",IF($U371="DUE TOMORROW","Next: "&amp;$AC371&amp;IF($AB371&lt;=TODAY()," is due TODAY ("," is due next business day (")&amp;TEXT($AB371,"dd-mmm")&amp;").","Next: "&amp;$AC371&amp;" due "&amp;TEXT($AB371,"dd-mmm")&amp;" ("&amp;(NETWORKDAYS(TODAY(),$AB371,Holidays)-1)&amp;" business day(s) left).")))))</f>
        <v/>
      </c>
      <c r="W371" s="17">
        <f>IF($Z371="","",CHOOSE($Z371,"Collection Email","1st Follow-up","2nd Follow-up","Local Office","CBE","Roxanne")&amp;IF($Z371=6," - Final"," - Day "&amp;MAX(0,NETWORKDAYS($AA371,TODAY(),Holidays)-1)&amp;" of "&amp;CHOOSE($Z371,3,3,2,2,3))&amp;" | Total Day "&amp;MAX(0,NETWORKDAYS($N371,TODAY(),Holidays)-1))</f>
        <v/>
      </c>
      <c r="X371" s="18"/>
      <c r="Y371" s="18"/>
      <c r="Z371" s="17">
        <f>IF($N371="","",COUNT($N371:$S371))</f>
        <v/>
      </c>
      <c r="AA371" s="19">
        <f>IF($Z371="","",INT(INDEX($N371:$S371,$Z371)))</f>
        <v/>
      </c>
      <c r="AB371" s="19">
        <f>IF(OR($Z371="",$Z371=6),"",WORKDAY($AA371,CHOOSE($Z371,3,3,2,2,3),Holidays))</f>
        <v/>
      </c>
      <c r="AC371" s="17">
        <f>IF(OR($Z371="",$Z371=6),"",CHOOSE($Z371,"1st Email Follow-up","2nd Email Follow-up","Escalate Local Office","Escalate to CBE","Escalate to Roxanne"))</f>
        <v/>
      </c>
    </row>
    <row r="372" spans="13:29">
      <c r="M372" s="14"/>
      <c r="T372" s="16"/>
      <c r="U372" s="17">
        <f>IF(AND(COUNTA($A372:$L372)=0,$N372=""),"",IF($T372="Paid","PAID",IF($T372="Closed","CLOSED",IF($Z372="","",IF($Z372=6,"ESCALATED TO ROXANNE",IF(TODAY()&gt;$AB372,"OVERDUE",IF($AB372&lt;=WORKDAY(TODAY(),1,Holidays),"DUE TOMORROW",IF($Z372=4,"ESCALATED TO LOCAL OFFICE",IF($Z372=5,"ESCALATED TO CBE",IF($AA372=TODAY(),"EMAIL SENT","MONITORING"))))))))))</f>
        <v/>
      </c>
      <c r="V372" s="17">
        <f>IF($U372="",IF(AND(COUNTA($A372:$L372)&gt;0,$N372=""),"Awaiting Collection Email time stamp.",""),IF(OR($U372="PAID",$U372="CLOSED"),IF($U372="PAID","Account paid. Action completed.","Account closed. No further action required."),CHOOSE($Z372,"Collection Email","1st Email Follow-up","2nd Email Follow-up","Escalation to Local Office","Escalation to CBE","Escalation to Roxanne")&amp;" sent "&amp;TEXT($AA372,"dd-mmm")&amp;". "&amp;IF($Z372=6,"Final escalation completed.",IF($U372="OVERDUE","Next: "&amp;$AC372&amp;" was due "&amp;TEXT($AB372,"dd-mmm")&amp;" - "&amp;(NETWORKDAYS($AB372,TODAY(),Holidays)-1)&amp;" business day(s) late. Send now.",IF($U372="DUE TOMORROW","Next: "&amp;$AC372&amp;IF($AB372&lt;=TODAY()," is due TODAY ("," is due next business day (")&amp;TEXT($AB372,"dd-mmm")&amp;").","Next: "&amp;$AC372&amp;" due "&amp;TEXT($AB372,"dd-mmm")&amp;" ("&amp;(NETWORKDAYS(TODAY(),$AB372,Holidays)-1)&amp;" business day(s) left).")))))</f>
        <v/>
      </c>
      <c r="W372" s="17">
        <f>IF($Z372="","",CHOOSE($Z372,"Collection Email","1st Follow-up","2nd Follow-up","Local Office","CBE","Roxanne")&amp;IF($Z372=6," - Final"," - Day "&amp;MAX(0,NETWORKDAYS($AA372,TODAY(),Holidays)-1)&amp;" of "&amp;CHOOSE($Z372,3,3,2,2,3))&amp;" | Total Day "&amp;MAX(0,NETWORKDAYS($N372,TODAY(),Holidays)-1))</f>
        <v/>
      </c>
      <c r="X372" s="18"/>
      <c r="Y372" s="18"/>
      <c r="Z372" s="17">
        <f>IF($N372="","",COUNT($N372:$S372))</f>
        <v/>
      </c>
      <c r="AA372" s="19">
        <f>IF($Z372="","",INT(INDEX($N372:$S372,$Z372)))</f>
        <v/>
      </c>
      <c r="AB372" s="19">
        <f>IF(OR($Z372="",$Z372=6),"",WORKDAY($AA372,CHOOSE($Z372,3,3,2,2,3),Holidays))</f>
        <v/>
      </c>
      <c r="AC372" s="17">
        <f>IF(OR($Z372="",$Z372=6),"",CHOOSE($Z372,"1st Email Follow-up","2nd Email Follow-up","Escalate Local Office","Escalate to CBE","Escalate to Roxanne"))</f>
        <v/>
      </c>
    </row>
    <row r="373" spans="13:29">
      <c r="M373" s="14"/>
      <c r="T373" s="16"/>
      <c r="U373" s="17">
        <f>IF(AND(COUNTA($A373:$L373)=0,$N373=""),"",IF($T373="Paid","PAID",IF($T373="Closed","CLOSED",IF($Z373="","",IF($Z373=6,"ESCALATED TO ROXANNE",IF(TODAY()&gt;$AB373,"OVERDUE",IF($AB373&lt;=WORKDAY(TODAY(),1,Holidays),"DUE TOMORROW",IF($Z373=4,"ESCALATED TO LOCAL OFFICE",IF($Z373=5,"ESCALATED TO CBE",IF($AA373=TODAY(),"EMAIL SENT","MONITORING"))))))))))</f>
        <v/>
      </c>
      <c r="V373" s="17">
        <f>IF($U373="",IF(AND(COUNTA($A373:$L373)&gt;0,$N373=""),"Awaiting Collection Email time stamp.",""),IF(OR($U373="PAID",$U373="CLOSED"),IF($U373="PAID","Account paid. Action completed.","Account closed. No further action required."),CHOOSE($Z373,"Collection Email","1st Email Follow-up","2nd Email Follow-up","Escalation to Local Office","Escalation to CBE","Escalation to Roxanne")&amp;" sent "&amp;TEXT($AA373,"dd-mmm")&amp;". "&amp;IF($Z373=6,"Final escalation completed.",IF($U373="OVERDUE","Next: "&amp;$AC373&amp;" was due "&amp;TEXT($AB373,"dd-mmm")&amp;" - "&amp;(NETWORKDAYS($AB373,TODAY(),Holidays)-1)&amp;" business day(s) late. Send now.",IF($U373="DUE TOMORROW","Next: "&amp;$AC373&amp;IF($AB373&lt;=TODAY()," is due TODAY ("," is due next business day (")&amp;TEXT($AB373,"dd-mmm")&amp;").","Next: "&amp;$AC373&amp;" due "&amp;TEXT($AB373,"dd-mmm")&amp;" ("&amp;(NETWORKDAYS(TODAY(),$AB373,Holidays)-1)&amp;" business day(s) left).")))))</f>
        <v/>
      </c>
      <c r="W373" s="17">
        <f>IF($Z373="","",CHOOSE($Z373,"Collection Email","1st Follow-up","2nd Follow-up","Local Office","CBE","Roxanne")&amp;IF($Z373=6," - Final"," - Day "&amp;MAX(0,NETWORKDAYS($AA373,TODAY(),Holidays)-1)&amp;" of "&amp;CHOOSE($Z373,3,3,2,2,3))&amp;" | Total Day "&amp;MAX(0,NETWORKDAYS($N373,TODAY(),Holidays)-1))</f>
        <v/>
      </c>
      <c r="X373" s="18"/>
      <c r="Y373" s="18"/>
      <c r="Z373" s="17">
        <f>IF($N373="","",COUNT($N373:$S373))</f>
        <v/>
      </c>
      <c r="AA373" s="19">
        <f>IF($Z373="","",INT(INDEX($N373:$S373,$Z373)))</f>
        <v/>
      </c>
      <c r="AB373" s="19">
        <f>IF(OR($Z373="",$Z373=6),"",WORKDAY($AA373,CHOOSE($Z373,3,3,2,2,3),Holidays))</f>
        <v/>
      </c>
      <c r="AC373" s="17">
        <f>IF(OR($Z373="",$Z373=6),"",CHOOSE($Z373,"1st Email Follow-up","2nd Email Follow-up","Escalate Local Office","Escalate to CBE","Escalate to Roxanne"))</f>
        <v/>
      </c>
    </row>
    <row r="374" spans="13:29">
      <c r="M374" s="14"/>
      <c r="T374" s="16"/>
      <c r="U374" s="17">
        <f>IF(AND(COUNTA($A374:$L374)=0,$N374=""),"",IF($T374="Paid","PAID",IF($T374="Closed","CLOSED",IF($Z374="","",IF($Z374=6,"ESCALATED TO ROXANNE",IF(TODAY()&gt;$AB374,"OVERDUE",IF($AB374&lt;=WORKDAY(TODAY(),1,Holidays),"DUE TOMORROW",IF($Z374=4,"ESCALATED TO LOCAL OFFICE",IF($Z374=5,"ESCALATED TO CBE",IF($AA374=TODAY(),"EMAIL SENT","MONITORING"))))))))))</f>
        <v/>
      </c>
      <c r="V374" s="17">
        <f>IF($U374="",IF(AND(COUNTA($A374:$L374)&gt;0,$N374=""),"Awaiting Collection Email time stamp.",""),IF(OR($U374="PAID",$U374="CLOSED"),IF($U374="PAID","Account paid. Action completed.","Account closed. No further action required."),CHOOSE($Z374,"Collection Email","1st Email Follow-up","2nd Email Follow-up","Escalation to Local Office","Escalation to CBE","Escalation to Roxanne")&amp;" sent "&amp;TEXT($AA374,"dd-mmm")&amp;". "&amp;IF($Z374=6,"Final escalation completed.",IF($U374="OVERDUE","Next: "&amp;$AC374&amp;" was due "&amp;TEXT($AB374,"dd-mmm")&amp;" - "&amp;(NETWORKDAYS($AB374,TODAY(),Holidays)-1)&amp;" business day(s) late. Send now.",IF($U374="DUE TOMORROW","Next: "&amp;$AC374&amp;IF($AB374&lt;=TODAY()," is due TODAY ("," is due next business day (")&amp;TEXT($AB374,"dd-mmm")&amp;").","Next: "&amp;$AC374&amp;" due "&amp;TEXT($AB374,"dd-mmm")&amp;" ("&amp;(NETWORKDAYS(TODAY(),$AB374,Holidays)-1)&amp;" business day(s) left).")))))</f>
        <v/>
      </c>
      <c r="W374" s="17">
        <f>IF($Z374="","",CHOOSE($Z374,"Collection Email","1st Follow-up","2nd Follow-up","Local Office","CBE","Roxanne")&amp;IF($Z374=6," - Final"," - Day "&amp;MAX(0,NETWORKDAYS($AA374,TODAY(),Holidays)-1)&amp;" of "&amp;CHOOSE($Z374,3,3,2,2,3))&amp;" | Total Day "&amp;MAX(0,NETWORKDAYS($N374,TODAY(),Holidays)-1))</f>
        <v/>
      </c>
      <c r="X374" s="18"/>
      <c r="Y374" s="18"/>
      <c r="Z374" s="17">
        <f>IF($N374="","",COUNT($N374:$S374))</f>
        <v/>
      </c>
      <c r="AA374" s="19">
        <f>IF($Z374="","",INT(INDEX($N374:$S374,$Z374)))</f>
        <v/>
      </c>
      <c r="AB374" s="19">
        <f>IF(OR($Z374="",$Z374=6),"",WORKDAY($AA374,CHOOSE($Z374,3,3,2,2,3),Holidays))</f>
        <v/>
      </c>
      <c r="AC374" s="17">
        <f>IF(OR($Z374="",$Z374=6),"",CHOOSE($Z374,"1st Email Follow-up","2nd Email Follow-up","Escalate Local Office","Escalate to CBE","Escalate to Roxanne"))</f>
        <v/>
      </c>
    </row>
    <row r="375" spans="13:29">
      <c r="M375" s="14"/>
      <c r="T375" s="16"/>
      <c r="U375" s="17">
        <f>IF(AND(COUNTA($A375:$L375)=0,$N375=""),"",IF($T375="Paid","PAID",IF($T375="Closed","CLOSED",IF($Z375="","",IF($Z375=6,"ESCALATED TO ROXANNE",IF(TODAY()&gt;$AB375,"OVERDUE",IF($AB375&lt;=WORKDAY(TODAY(),1,Holidays),"DUE TOMORROW",IF($Z375=4,"ESCALATED TO LOCAL OFFICE",IF($Z375=5,"ESCALATED TO CBE",IF($AA375=TODAY(),"EMAIL SENT","MONITORING"))))))))))</f>
        <v/>
      </c>
      <c r="V375" s="17">
        <f>IF($U375="",IF(AND(COUNTA($A375:$L375)&gt;0,$N375=""),"Awaiting Collection Email time stamp.",""),IF(OR($U375="PAID",$U375="CLOSED"),IF($U375="PAID","Account paid. Action completed.","Account closed. No further action required."),CHOOSE($Z375,"Collection Email","1st Email Follow-up","2nd Email Follow-up","Escalation to Local Office","Escalation to CBE","Escalation to Roxanne")&amp;" sent "&amp;TEXT($AA375,"dd-mmm")&amp;". "&amp;IF($Z375=6,"Final escalation completed.",IF($U375="OVERDUE","Next: "&amp;$AC375&amp;" was due "&amp;TEXT($AB375,"dd-mmm")&amp;" - "&amp;(NETWORKDAYS($AB375,TODAY(),Holidays)-1)&amp;" business day(s) late. Send now.",IF($U375="DUE TOMORROW","Next: "&amp;$AC375&amp;IF($AB375&lt;=TODAY()," is due TODAY ("," is due next business day (")&amp;TEXT($AB375,"dd-mmm")&amp;").","Next: "&amp;$AC375&amp;" due "&amp;TEXT($AB375,"dd-mmm")&amp;" ("&amp;(NETWORKDAYS(TODAY(),$AB375,Holidays)-1)&amp;" business day(s) left).")))))</f>
        <v/>
      </c>
      <c r="W375" s="17">
        <f>IF($Z375="","",CHOOSE($Z375,"Collection Email","1st Follow-up","2nd Follow-up","Local Office","CBE","Roxanne")&amp;IF($Z375=6," - Final"," - Day "&amp;MAX(0,NETWORKDAYS($AA375,TODAY(),Holidays)-1)&amp;" of "&amp;CHOOSE($Z375,3,3,2,2,3))&amp;" | Total Day "&amp;MAX(0,NETWORKDAYS($N375,TODAY(),Holidays)-1))</f>
        <v/>
      </c>
      <c r="X375" s="18"/>
      <c r="Y375" s="18"/>
      <c r="Z375" s="17">
        <f>IF($N375="","",COUNT($N375:$S375))</f>
        <v/>
      </c>
      <c r="AA375" s="19">
        <f>IF($Z375="","",INT(INDEX($N375:$S375,$Z375)))</f>
        <v/>
      </c>
      <c r="AB375" s="19">
        <f>IF(OR($Z375="",$Z375=6),"",WORKDAY($AA375,CHOOSE($Z375,3,3,2,2,3),Holidays))</f>
        <v/>
      </c>
      <c r="AC375" s="17">
        <f>IF(OR($Z375="",$Z375=6),"",CHOOSE($Z375,"1st Email Follow-up","2nd Email Follow-up","Escalate Local Office","Escalate to CBE","Escalate to Roxanne"))</f>
        <v/>
      </c>
    </row>
    <row r="376" spans="13:29">
      <c r="M376" s="14"/>
      <c r="T376" s="16"/>
      <c r="U376" s="17">
        <f>IF(AND(COUNTA($A376:$L376)=0,$N376=""),"",IF($T376="Paid","PAID",IF($T376="Closed","CLOSED",IF($Z376="","",IF($Z376=6,"ESCALATED TO ROXANNE",IF(TODAY()&gt;$AB376,"OVERDUE",IF($AB376&lt;=WORKDAY(TODAY(),1,Holidays),"DUE TOMORROW",IF($Z376=4,"ESCALATED TO LOCAL OFFICE",IF($Z376=5,"ESCALATED TO CBE",IF($AA376=TODAY(),"EMAIL SENT","MONITORING"))))))))))</f>
        <v/>
      </c>
      <c r="V376" s="17">
        <f>IF($U376="",IF(AND(COUNTA($A376:$L376)&gt;0,$N376=""),"Awaiting Collection Email time stamp.",""),IF(OR($U376="PAID",$U376="CLOSED"),IF($U376="PAID","Account paid. Action completed.","Account closed. No further action required."),CHOOSE($Z376,"Collection Email","1st Email Follow-up","2nd Email Follow-up","Escalation to Local Office","Escalation to CBE","Escalation to Roxanne")&amp;" sent "&amp;TEXT($AA376,"dd-mmm")&amp;". "&amp;IF($Z376=6,"Final escalation completed.",IF($U376="OVERDUE","Next: "&amp;$AC376&amp;" was due "&amp;TEXT($AB376,"dd-mmm")&amp;" - "&amp;(NETWORKDAYS($AB376,TODAY(),Holidays)-1)&amp;" business day(s) late. Send now.",IF($U376="DUE TOMORROW","Next: "&amp;$AC376&amp;IF($AB376&lt;=TODAY()," is due TODAY ("," is due next business day (")&amp;TEXT($AB376,"dd-mmm")&amp;").","Next: "&amp;$AC376&amp;" due "&amp;TEXT($AB376,"dd-mmm")&amp;" ("&amp;(NETWORKDAYS(TODAY(),$AB376,Holidays)-1)&amp;" business day(s) left).")))))</f>
        <v/>
      </c>
      <c r="W376" s="17">
        <f>IF($Z376="","",CHOOSE($Z376,"Collection Email","1st Follow-up","2nd Follow-up","Local Office","CBE","Roxanne")&amp;IF($Z376=6," - Final"," - Day "&amp;MAX(0,NETWORKDAYS($AA376,TODAY(),Holidays)-1)&amp;" of "&amp;CHOOSE($Z376,3,3,2,2,3))&amp;" | Total Day "&amp;MAX(0,NETWORKDAYS($N376,TODAY(),Holidays)-1))</f>
        <v/>
      </c>
      <c r="X376" s="18"/>
      <c r="Y376" s="18"/>
      <c r="Z376" s="17">
        <f>IF($N376="","",COUNT($N376:$S376))</f>
        <v/>
      </c>
      <c r="AA376" s="19">
        <f>IF($Z376="","",INT(INDEX($N376:$S376,$Z376)))</f>
        <v/>
      </c>
      <c r="AB376" s="19">
        <f>IF(OR($Z376="",$Z376=6),"",WORKDAY($AA376,CHOOSE($Z376,3,3,2,2,3),Holidays))</f>
        <v/>
      </c>
      <c r="AC376" s="17">
        <f>IF(OR($Z376="",$Z376=6),"",CHOOSE($Z376,"1st Email Follow-up","2nd Email Follow-up","Escalate Local Office","Escalate to CBE","Escalate to Roxanne"))</f>
        <v/>
      </c>
    </row>
    <row r="377" spans="13:29">
      <c r="M377" s="14"/>
      <c r="T377" s="16"/>
      <c r="U377" s="17">
        <f>IF(AND(COUNTA($A377:$L377)=0,$N377=""),"",IF($T377="Paid","PAID",IF($T377="Closed","CLOSED",IF($Z377="","",IF($Z377=6,"ESCALATED TO ROXANNE",IF(TODAY()&gt;$AB377,"OVERDUE",IF($AB377&lt;=WORKDAY(TODAY(),1,Holidays),"DUE TOMORROW",IF($Z377=4,"ESCALATED TO LOCAL OFFICE",IF($Z377=5,"ESCALATED TO CBE",IF($AA377=TODAY(),"EMAIL SENT","MONITORING"))))))))))</f>
        <v/>
      </c>
      <c r="V377" s="17">
        <f>IF($U377="",IF(AND(COUNTA($A377:$L377)&gt;0,$N377=""),"Awaiting Collection Email time stamp.",""),IF(OR($U377="PAID",$U377="CLOSED"),IF($U377="PAID","Account paid. Action completed.","Account closed. No further action required."),CHOOSE($Z377,"Collection Email","1st Email Follow-up","2nd Email Follow-up","Escalation to Local Office","Escalation to CBE","Escalation to Roxanne")&amp;" sent "&amp;TEXT($AA377,"dd-mmm")&amp;". "&amp;IF($Z377=6,"Final escalation completed.",IF($U377="OVERDUE","Next: "&amp;$AC377&amp;" was due "&amp;TEXT($AB377,"dd-mmm")&amp;" - "&amp;(NETWORKDAYS($AB377,TODAY(),Holidays)-1)&amp;" business day(s) late. Send now.",IF($U377="DUE TOMORROW","Next: "&amp;$AC377&amp;IF($AB377&lt;=TODAY()," is due TODAY ("," is due next business day (")&amp;TEXT($AB377,"dd-mmm")&amp;").","Next: "&amp;$AC377&amp;" due "&amp;TEXT($AB377,"dd-mmm")&amp;" ("&amp;(NETWORKDAYS(TODAY(),$AB377,Holidays)-1)&amp;" business day(s) left).")))))</f>
        <v/>
      </c>
      <c r="W377" s="17">
        <f>IF($Z377="","",CHOOSE($Z377,"Collection Email","1st Follow-up","2nd Follow-up","Local Office","CBE","Roxanne")&amp;IF($Z377=6," - Final"," - Day "&amp;MAX(0,NETWORKDAYS($AA377,TODAY(),Holidays)-1)&amp;" of "&amp;CHOOSE($Z377,3,3,2,2,3))&amp;" | Total Day "&amp;MAX(0,NETWORKDAYS($N377,TODAY(),Holidays)-1))</f>
        <v/>
      </c>
      <c r="X377" s="18"/>
      <c r="Y377" s="18"/>
      <c r="Z377" s="17">
        <f>IF($N377="","",COUNT($N377:$S377))</f>
        <v/>
      </c>
      <c r="AA377" s="19">
        <f>IF($Z377="","",INT(INDEX($N377:$S377,$Z377)))</f>
        <v/>
      </c>
      <c r="AB377" s="19">
        <f>IF(OR($Z377="",$Z377=6),"",WORKDAY($AA377,CHOOSE($Z377,3,3,2,2,3),Holidays))</f>
        <v/>
      </c>
      <c r="AC377" s="17">
        <f>IF(OR($Z377="",$Z377=6),"",CHOOSE($Z377,"1st Email Follow-up","2nd Email Follow-up","Escalate Local Office","Escalate to CBE","Escalate to Roxanne"))</f>
        <v/>
      </c>
    </row>
    <row r="378" spans="13:29">
      <c r="M378" s="14"/>
      <c r="T378" s="16"/>
      <c r="U378" s="17">
        <f>IF(AND(COUNTA($A378:$L378)=0,$N378=""),"",IF($T378="Paid","PAID",IF($T378="Closed","CLOSED",IF($Z378="","",IF($Z378=6,"ESCALATED TO ROXANNE",IF(TODAY()&gt;$AB378,"OVERDUE",IF($AB378&lt;=WORKDAY(TODAY(),1,Holidays),"DUE TOMORROW",IF($Z378=4,"ESCALATED TO LOCAL OFFICE",IF($Z378=5,"ESCALATED TO CBE",IF($AA378=TODAY(),"EMAIL SENT","MONITORING"))))))))))</f>
        <v/>
      </c>
      <c r="V378" s="17">
        <f>IF($U378="",IF(AND(COUNTA($A378:$L378)&gt;0,$N378=""),"Awaiting Collection Email time stamp.",""),IF(OR($U378="PAID",$U378="CLOSED"),IF($U378="PAID","Account paid. Action completed.","Account closed. No further action required."),CHOOSE($Z378,"Collection Email","1st Email Follow-up","2nd Email Follow-up","Escalation to Local Office","Escalation to CBE","Escalation to Roxanne")&amp;" sent "&amp;TEXT($AA378,"dd-mmm")&amp;". "&amp;IF($Z378=6,"Final escalation completed.",IF($U378="OVERDUE","Next: "&amp;$AC378&amp;" was due "&amp;TEXT($AB378,"dd-mmm")&amp;" - "&amp;(NETWORKDAYS($AB378,TODAY(),Holidays)-1)&amp;" business day(s) late. Send now.",IF($U378="DUE TOMORROW","Next: "&amp;$AC378&amp;IF($AB378&lt;=TODAY()," is due TODAY ("," is due next business day (")&amp;TEXT($AB378,"dd-mmm")&amp;").","Next: "&amp;$AC378&amp;" due "&amp;TEXT($AB378,"dd-mmm")&amp;" ("&amp;(NETWORKDAYS(TODAY(),$AB378,Holidays)-1)&amp;" business day(s) left).")))))</f>
        <v/>
      </c>
      <c r="W378" s="17">
        <f>IF($Z378="","",CHOOSE($Z378,"Collection Email","1st Follow-up","2nd Follow-up","Local Office","CBE","Roxanne")&amp;IF($Z378=6," - Final"," - Day "&amp;MAX(0,NETWORKDAYS($AA378,TODAY(),Holidays)-1)&amp;" of "&amp;CHOOSE($Z378,3,3,2,2,3))&amp;" | Total Day "&amp;MAX(0,NETWORKDAYS($N378,TODAY(),Holidays)-1))</f>
        <v/>
      </c>
      <c r="X378" s="18"/>
      <c r="Y378" s="18"/>
      <c r="Z378" s="17">
        <f>IF($N378="","",COUNT($N378:$S378))</f>
        <v/>
      </c>
      <c r="AA378" s="19">
        <f>IF($Z378="","",INT(INDEX($N378:$S378,$Z378)))</f>
        <v/>
      </c>
      <c r="AB378" s="19">
        <f>IF(OR($Z378="",$Z378=6),"",WORKDAY($AA378,CHOOSE($Z378,3,3,2,2,3),Holidays))</f>
        <v/>
      </c>
      <c r="AC378" s="17">
        <f>IF(OR($Z378="",$Z378=6),"",CHOOSE($Z378,"1st Email Follow-up","2nd Email Follow-up","Escalate Local Office","Escalate to CBE","Escalate to Roxanne"))</f>
        <v/>
      </c>
    </row>
    <row r="379" spans="13:29">
      <c r="M379" s="14"/>
      <c r="T379" s="16"/>
      <c r="U379" s="17">
        <f>IF(AND(COUNTA($A379:$L379)=0,$N379=""),"",IF($T379="Paid","PAID",IF($T379="Closed","CLOSED",IF($Z379="","",IF($Z379=6,"ESCALATED TO ROXANNE",IF(TODAY()&gt;$AB379,"OVERDUE",IF($AB379&lt;=WORKDAY(TODAY(),1,Holidays),"DUE TOMORROW",IF($Z379=4,"ESCALATED TO LOCAL OFFICE",IF($Z379=5,"ESCALATED TO CBE",IF($AA379=TODAY(),"EMAIL SENT","MONITORING"))))))))))</f>
        <v/>
      </c>
      <c r="V379" s="17">
        <f>IF($U379="",IF(AND(COUNTA($A379:$L379)&gt;0,$N379=""),"Awaiting Collection Email time stamp.",""),IF(OR($U379="PAID",$U379="CLOSED"),IF($U379="PAID","Account paid. Action completed.","Account closed. No further action required."),CHOOSE($Z379,"Collection Email","1st Email Follow-up","2nd Email Follow-up","Escalation to Local Office","Escalation to CBE","Escalation to Roxanne")&amp;" sent "&amp;TEXT($AA379,"dd-mmm")&amp;". "&amp;IF($Z379=6,"Final escalation completed.",IF($U379="OVERDUE","Next: "&amp;$AC379&amp;" was due "&amp;TEXT($AB379,"dd-mmm")&amp;" - "&amp;(NETWORKDAYS($AB379,TODAY(),Holidays)-1)&amp;" business day(s) late. Send now.",IF($U379="DUE TOMORROW","Next: "&amp;$AC379&amp;IF($AB379&lt;=TODAY()," is due TODAY ("," is due next business day (")&amp;TEXT($AB379,"dd-mmm")&amp;").","Next: "&amp;$AC379&amp;" due "&amp;TEXT($AB379,"dd-mmm")&amp;" ("&amp;(NETWORKDAYS(TODAY(),$AB379,Holidays)-1)&amp;" business day(s) left).")))))</f>
        <v/>
      </c>
      <c r="W379" s="17">
        <f>IF($Z379="","",CHOOSE($Z379,"Collection Email","1st Follow-up","2nd Follow-up","Local Office","CBE","Roxanne")&amp;IF($Z379=6," - Final"," - Day "&amp;MAX(0,NETWORKDAYS($AA379,TODAY(),Holidays)-1)&amp;" of "&amp;CHOOSE($Z379,3,3,2,2,3))&amp;" | Total Day "&amp;MAX(0,NETWORKDAYS($N379,TODAY(),Holidays)-1))</f>
        <v/>
      </c>
      <c r="X379" s="18"/>
      <c r="Y379" s="18"/>
      <c r="Z379" s="17">
        <f>IF($N379="","",COUNT($N379:$S379))</f>
        <v/>
      </c>
      <c r="AA379" s="19">
        <f>IF($Z379="","",INT(INDEX($N379:$S379,$Z379)))</f>
        <v/>
      </c>
      <c r="AB379" s="19">
        <f>IF(OR($Z379="",$Z379=6),"",WORKDAY($AA379,CHOOSE($Z379,3,3,2,2,3),Holidays))</f>
        <v/>
      </c>
      <c r="AC379" s="17">
        <f>IF(OR($Z379="",$Z379=6),"",CHOOSE($Z379,"1st Email Follow-up","2nd Email Follow-up","Escalate Local Office","Escalate to CBE","Escalate to Roxanne"))</f>
        <v/>
      </c>
    </row>
    <row r="380" spans="13:29">
      <c r="M380" s="14"/>
      <c r="T380" s="16"/>
      <c r="U380" s="17">
        <f>IF(AND(COUNTA($A380:$L380)=0,$N380=""),"",IF($T380="Paid","PAID",IF($T380="Closed","CLOSED",IF($Z380="","",IF($Z380=6,"ESCALATED TO ROXANNE",IF(TODAY()&gt;$AB380,"OVERDUE",IF($AB380&lt;=WORKDAY(TODAY(),1,Holidays),"DUE TOMORROW",IF($Z380=4,"ESCALATED TO LOCAL OFFICE",IF($Z380=5,"ESCALATED TO CBE",IF($AA380=TODAY(),"EMAIL SENT","MONITORING"))))))))))</f>
        <v/>
      </c>
      <c r="V380" s="17">
        <f>IF($U380="",IF(AND(COUNTA($A380:$L380)&gt;0,$N380=""),"Awaiting Collection Email time stamp.",""),IF(OR($U380="PAID",$U380="CLOSED"),IF($U380="PAID","Account paid. Action completed.","Account closed. No further action required."),CHOOSE($Z380,"Collection Email","1st Email Follow-up","2nd Email Follow-up","Escalation to Local Office","Escalation to CBE","Escalation to Roxanne")&amp;" sent "&amp;TEXT($AA380,"dd-mmm")&amp;". "&amp;IF($Z380=6,"Final escalation completed.",IF($U380="OVERDUE","Next: "&amp;$AC380&amp;" was due "&amp;TEXT($AB380,"dd-mmm")&amp;" - "&amp;(NETWORKDAYS($AB380,TODAY(),Holidays)-1)&amp;" business day(s) late. Send now.",IF($U380="DUE TOMORROW","Next: "&amp;$AC380&amp;IF($AB380&lt;=TODAY()," is due TODAY ("," is due next business day (")&amp;TEXT($AB380,"dd-mmm")&amp;").","Next: "&amp;$AC380&amp;" due "&amp;TEXT($AB380,"dd-mmm")&amp;" ("&amp;(NETWORKDAYS(TODAY(),$AB380,Holidays)-1)&amp;" business day(s) left).")))))</f>
        <v/>
      </c>
      <c r="W380" s="17">
        <f>IF($Z380="","",CHOOSE($Z380,"Collection Email","1st Follow-up","2nd Follow-up","Local Office","CBE","Roxanne")&amp;IF($Z380=6," - Final"," - Day "&amp;MAX(0,NETWORKDAYS($AA380,TODAY(),Holidays)-1)&amp;" of "&amp;CHOOSE($Z380,3,3,2,2,3))&amp;" | Total Day "&amp;MAX(0,NETWORKDAYS($N380,TODAY(),Holidays)-1))</f>
        <v/>
      </c>
      <c r="X380" s="18"/>
      <c r="Y380" s="18"/>
      <c r="Z380" s="17">
        <f>IF($N380="","",COUNT($N380:$S380))</f>
        <v/>
      </c>
      <c r="AA380" s="19">
        <f>IF($Z380="","",INT(INDEX($N380:$S380,$Z380)))</f>
        <v/>
      </c>
      <c r="AB380" s="19">
        <f>IF(OR($Z380="",$Z380=6),"",WORKDAY($AA380,CHOOSE($Z380,3,3,2,2,3),Holidays))</f>
        <v/>
      </c>
      <c r="AC380" s="17">
        <f>IF(OR($Z380="",$Z380=6),"",CHOOSE($Z380,"1st Email Follow-up","2nd Email Follow-up","Escalate Local Office","Escalate to CBE","Escalate to Roxanne"))</f>
        <v/>
      </c>
    </row>
    <row r="381" spans="13:29">
      <c r="M381" s="14"/>
      <c r="T381" s="16"/>
      <c r="U381" s="17">
        <f>IF(AND(COUNTA($A381:$L381)=0,$N381=""),"",IF($T381="Paid","PAID",IF($T381="Closed","CLOSED",IF($Z381="","",IF($Z381=6,"ESCALATED TO ROXANNE",IF(TODAY()&gt;$AB381,"OVERDUE",IF($AB381&lt;=WORKDAY(TODAY(),1,Holidays),"DUE TOMORROW",IF($Z381=4,"ESCALATED TO LOCAL OFFICE",IF($Z381=5,"ESCALATED TO CBE",IF($AA381=TODAY(),"EMAIL SENT","MONITORING"))))))))))</f>
        <v/>
      </c>
      <c r="V381" s="17">
        <f>IF($U381="",IF(AND(COUNTA($A381:$L381)&gt;0,$N381=""),"Awaiting Collection Email time stamp.",""),IF(OR($U381="PAID",$U381="CLOSED"),IF($U381="PAID","Account paid. Action completed.","Account closed. No further action required."),CHOOSE($Z381,"Collection Email","1st Email Follow-up","2nd Email Follow-up","Escalation to Local Office","Escalation to CBE","Escalation to Roxanne")&amp;" sent "&amp;TEXT($AA381,"dd-mmm")&amp;". "&amp;IF($Z381=6,"Final escalation completed.",IF($U381="OVERDUE","Next: "&amp;$AC381&amp;" was due "&amp;TEXT($AB381,"dd-mmm")&amp;" - "&amp;(NETWORKDAYS($AB381,TODAY(),Holidays)-1)&amp;" business day(s) late. Send now.",IF($U381="DUE TOMORROW","Next: "&amp;$AC381&amp;IF($AB381&lt;=TODAY()," is due TODAY ("," is due next business day (")&amp;TEXT($AB381,"dd-mmm")&amp;").","Next: "&amp;$AC381&amp;" due "&amp;TEXT($AB381,"dd-mmm")&amp;" ("&amp;(NETWORKDAYS(TODAY(),$AB381,Holidays)-1)&amp;" business day(s) left).")))))</f>
        <v/>
      </c>
      <c r="W381" s="17">
        <f>IF($Z381="","",CHOOSE($Z381,"Collection Email","1st Follow-up","2nd Follow-up","Local Office","CBE","Roxanne")&amp;IF($Z381=6," - Final"," - Day "&amp;MAX(0,NETWORKDAYS($AA381,TODAY(),Holidays)-1)&amp;" of "&amp;CHOOSE($Z381,3,3,2,2,3))&amp;" | Total Day "&amp;MAX(0,NETWORKDAYS($N381,TODAY(),Holidays)-1))</f>
        <v/>
      </c>
      <c r="X381" s="18"/>
      <c r="Y381" s="18"/>
      <c r="Z381" s="17">
        <f>IF($N381="","",COUNT($N381:$S381))</f>
        <v/>
      </c>
      <c r="AA381" s="19">
        <f>IF($Z381="","",INT(INDEX($N381:$S381,$Z381)))</f>
        <v/>
      </c>
      <c r="AB381" s="19">
        <f>IF(OR($Z381="",$Z381=6),"",WORKDAY($AA381,CHOOSE($Z381,3,3,2,2,3),Holidays))</f>
        <v/>
      </c>
      <c r="AC381" s="17">
        <f>IF(OR($Z381="",$Z381=6),"",CHOOSE($Z381,"1st Email Follow-up","2nd Email Follow-up","Escalate Local Office","Escalate to CBE","Escalate to Roxanne"))</f>
        <v/>
      </c>
    </row>
    <row r="382" spans="13:29">
      <c r="M382" s="14"/>
      <c r="T382" s="16"/>
      <c r="U382" s="17">
        <f>IF(AND(COUNTA($A382:$L382)=0,$N382=""),"",IF($T382="Paid","PAID",IF($T382="Closed","CLOSED",IF($Z382="","",IF($Z382=6,"ESCALATED TO ROXANNE",IF(TODAY()&gt;$AB382,"OVERDUE",IF($AB382&lt;=WORKDAY(TODAY(),1,Holidays),"DUE TOMORROW",IF($Z382=4,"ESCALATED TO LOCAL OFFICE",IF($Z382=5,"ESCALATED TO CBE",IF($AA382=TODAY(),"EMAIL SENT","MONITORING"))))))))))</f>
        <v/>
      </c>
      <c r="V382" s="17">
        <f>IF($U382="",IF(AND(COUNTA($A382:$L382)&gt;0,$N382=""),"Awaiting Collection Email time stamp.",""),IF(OR($U382="PAID",$U382="CLOSED"),IF($U382="PAID","Account paid. Action completed.","Account closed. No further action required."),CHOOSE($Z382,"Collection Email","1st Email Follow-up","2nd Email Follow-up","Escalation to Local Office","Escalation to CBE","Escalation to Roxanne")&amp;" sent "&amp;TEXT($AA382,"dd-mmm")&amp;". "&amp;IF($Z382=6,"Final escalation completed.",IF($U382="OVERDUE","Next: "&amp;$AC382&amp;" was due "&amp;TEXT($AB382,"dd-mmm")&amp;" - "&amp;(NETWORKDAYS($AB382,TODAY(),Holidays)-1)&amp;" business day(s) late. Send now.",IF($U382="DUE TOMORROW","Next: "&amp;$AC382&amp;IF($AB382&lt;=TODAY()," is due TODAY ("," is due next business day (")&amp;TEXT($AB382,"dd-mmm")&amp;").","Next: "&amp;$AC382&amp;" due "&amp;TEXT($AB382,"dd-mmm")&amp;" ("&amp;(NETWORKDAYS(TODAY(),$AB382,Holidays)-1)&amp;" business day(s) left).")))))</f>
        <v/>
      </c>
      <c r="W382" s="17">
        <f>IF($Z382="","",CHOOSE($Z382,"Collection Email","1st Follow-up","2nd Follow-up","Local Office","CBE","Roxanne")&amp;IF($Z382=6," - Final"," - Day "&amp;MAX(0,NETWORKDAYS($AA382,TODAY(),Holidays)-1)&amp;" of "&amp;CHOOSE($Z382,3,3,2,2,3))&amp;" | Total Day "&amp;MAX(0,NETWORKDAYS($N382,TODAY(),Holidays)-1))</f>
        <v/>
      </c>
      <c r="X382" s="18"/>
      <c r="Y382" s="18"/>
      <c r="Z382" s="17">
        <f>IF($N382="","",COUNT($N382:$S382))</f>
        <v/>
      </c>
      <c r="AA382" s="19">
        <f>IF($Z382="","",INT(INDEX($N382:$S382,$Z382)))</f>
        <v/>
      </c>
      <c r="AB382" s="19">
        <f>IF(OR($Z382="",$Z382=6),"",WORKDAY($AA382,CHOOSE($Z382,3,3,2,2,3),Holidays))</f>
        <v/>
      </c>
      <c r="AC382" s="17">
        <f>IF(OR($Z382="",$Z382=6),"",CHOOSE($Z382,"1st Email Follow-up","2nd Email Follow-up","Escalate Local Office","Escalate to CBE","Escalate to Roxanne"))</f>
        <v/>
      </c>
    </row>
    <row r="383" spans="13:29">
      <c r="M383" s="14"/>
      <c r="T383" s="16"/>
      <c r="U383" s="17">
        <f>IF(AND(COUNTA($A383:$L383)=0,$N383=""),"",IF($T383="Paid","PAID",IF($T383="Closed","CLOSED",IF($Z383="","",IF($Z383=6,"ESCALATED TO ROXANNE",IF(TODAY()&gt;$AB383,"OVERDUE",IF($AB383&lt;=WORKDAY(TODAY(),1,Holidays),"DUE TOMORROW",IF($Z383=4,"ESCALATED TO LOCAL OFFICE",IF($Z383=5,"ESCALATED TO CBE",IF($AA383=TODAY(),"EMAIL SENT","MONITORING"))))))))))</f>
        <v/>
      </c>
      <c r="V383" s="17">
        <f>IF($U383="",IF(AND(COUNTA($A383:$L383)&gt;0,$N383=""),"Awaiting Collection Email time stamp.",""),IF(OR($U383="PAID",$U383="CLOSED"),IF($U383="PAID","Account paid. Action completed.","Account closed. No further action required."),CHOOSE($Z383,"Collection Email","1st Email Follow-up","2nd Email Follow-up","Escalation to Local Office","Escalation to CBE","Escalation to Roxanne")&amp;" sent "&amp;TEXT($AA383,"dd-mmm")&amp;". "&amp;IF($Z383=6,"Final escalation completed.",IF($U383="OVERDUE","Next: "&amp;$AC383&amp;" was due "&amp;TEXT($AB383,"dd-mmm")&amp;" - "&amp;(NETWORKDAYS($AB383,TODAY(),Holidays)-1)&amp;" business day(s) late. Send now.",IF($U383="DUE TOMORROW","Next: "&amp;$AC383&amp;IF($AB383&lt;=TODAY()," is due TODAY ("," is due next business day (")&amp;TEXT($AB383,"dd-mmm")&amp;").","Next: "&amp;$AC383&amp;" due "&amp;TEXT($AB383,"dd-mmm")&amp;" ("&amp;(NETWORKDAYS(TODAY(),$AB383,Holidays)-1)&amp;" business day(s) left).")))))</f>
        <v/>
      </c>
      <c r="W383" s="17">
        <f>IF($Z383="","",CHOOSE($Z383,"Collection Email","1st Follow-up","2nd Follow-up","Local Office","CBE","Roxanne")&amp;IF($Z383=6," - Final"," - Day "&amp;MAX(0,NETWORKDAYS($AA383,TODAY(),Holidays)-1)&amp;" of "&amp;CHOOSE($Z383,3,3,2,2,3))&amp;" | Total Day "&amp;MAX(0,NETWORKDAYS($N383,TODAY(),Holidays)-1))</f>
        <v/>
      </c>
      <c r="X383" s="18"/>
      <c r="Y383" s="18"/>
      <c r="Z383" s="17">
        <f>IF($N383="","",COUNT($N383:$S383))</f>
        <v/>
      </c>
      <c r="AA383" s="19">
        <f>IF($Z383="","",INT(INDEX($N383:$S383,$Z383)))</f>
        <v/>
      </c>
      <c r="AB383" s="19">
        <f>IF(OR($Z383="",$Z383=6),"",WORKDAY($AA383,CHOOSE($Z383,3,3,2,2,3),Holidays))</f>
        <v/>
      </c>
      <c r="AC383" s="17">
        <f>IF(OR($Z383="",$Z383=6),"",CHOOSE($Z383,"1st Email Follow-up","2nd Email Follow-up","Escalate Local Office","Escalate to CBE","Escalate to Roxanne"))</f>
        <v/>
      </c>
    </row>
    <row r="384" spans="13:29">
      <c r="M384" s="14"/>
      <c r="T384" s="16"/>
      <c r="U384" s="17">
        <f>IF(AND(COUNTA($A384:$L384)=0,$N384=""),"",IF($T384="Paid","PAID",IF($T384="Closed","CLOSED",IF($Z384="","",IF($Z384=6,"ESCALATED TO ROXANNE",IF(TODAY()&gt;$AB384,"OVERDUE",IF($AB384&lt;=WORKDAY(TODAY(),1,Holidays),"DUE TOMORROW",IF($Z384=4,"ESCALATED TO LOCAL OFFICE",IF($Z384=5,"ESCALATED TO CBE",IF($AA384=TODAY(),"EMAIL SENT","MONITORING"))))))))))</f>
        <v/>
      </c>
      <c r="V384" s="17">
        <f>IF($U384="",IF(AND(COUNTA($A384:$L384)&gt;0,$N384=""),"Awaiting Collection Email time stamp.",""),IF(OR($U384="PAID",$U384="CLOSED"),IF($U384="PAID","Account paid. Action completed.","Account closed. No further action required."),CHOOSE($Z384,"Collection Email","1st Email Follow-up","2nd Email Follow-up","Escalation to Local Office","Escalation to CBE","Escalation to Roxanne")&amp;" sent "&amp;TEXT($AA384,"dd-mmm")&amp;". "&amp;IF($Z384=6,"Final escalation completed.",IF($U384="OVERDUE","Next: "&amp;$AC384&amp;" was due "&amp;TEXT($AB384,"dd-mmm")&amp;" - "&amp;(NETWORKDAYS($AB384,TODAY(),Holidays)-1)&amp;" business day(s) late. Send now.",IF($U384="DUE TOMORROW","Next: "&amp;$AC384&amp;IF($AB384&lt;=TODAY()," is due TODAY ("," is due next business day (")&amp;TEXT($AB384,"dd-mmm")&amp;").","Next: "&amp;$AC384&amp;" due "&amp;TEXT($AB384,"dd-mmm")&amp;" ("&amp;(NETWORKDAYS(TODAY(),$AB384,Holidays)-1)&amp;" business day(s) left).")))))</f>
        <v/>
      </c>
      <c r="W384" s="17">
        <f>IF($Z384="","",CHOOSE($Z384,"Collection Email","1st Follow-up","2nd Follow-up","Local Office","CBE","Roxanne")&amp;IF($Z384=6," - Final"," - Day "&amp;MAX(0,NETWORKDAYS($AA384,TODAY(),Holidays)-1)&amp;" of "&amp;CHOOSE($Z384,3,3,2,2,3))&amp;" | Total Day "&amp;MAX(0,NETWORKDAYS($N384,TODAY(),Holidays)-1))</f>
        <v/>
      </c>
      <c r="X384" s="18"/>
      <c r="Y384" s="18"/>
      <c r="Z384" s="17">
        <f>IF($N384="","",COUNT($N384:$S384))</f>
        <v/>
      </c>
      <c r="AA384" s="19">
        <f>IF($Z384="","",INT(INDEX($N384:$S384,$Z384)))</f>
        <v/>
      </c>
      <c r="AB384" s="19">
        <f>IF(OR($Z384="",$Z384=6),"",WORKDAY($AA384,CHOOSE($Z384,3,3,2,2,3),Holidays))</f>
        <v/>
      </c>
      <c r="AC384" s="17">
        <f>IF(OR($Z384="",$Z384=6),"",CHOOSE($Z384,"1st Email Follow-up","2nd Email Follow-up","Escalate Local Office","Escalate to CBE","Escalate to Roxanne"))</f>
        <v/>
      </c>
    </row>
    <row r="385" spans="13:29">
      <c r="M385" s="14"/>
      <c r="T385" s="16"/>
      <c r="U385" s="17">
        <f>IF(AND(COUNTA($A385:$L385)=0,$N385=""),"",IF($T385="Paid","PAID",IF($T385="Closed","CLOSED",IF($Z385="","",IF($Z385=6,"ESCALATED TO ROXANNE",IF(TODAY()&gt;$AB385,"OVERDUE",IF($AB385&lt;=WORKDAY(TODAY(),1,Holidays),"DUE TOMORROW",IF($Z385=4,"ESCALATED TO LOCAL OFFICE",IF($Z385=5,"ESCALATED TO CBE",IF($AA385=TODAY(),"EMAIL SENT","MONITORING"))))))))))</f>
        <v/>
      </c>
      <c r="V385" s="17">
        <f>IF($U385="",IF(AND(COUNTA($A385:$L385)&gt;0,$N385=""),"Awaiting Collection Email time stamp.",""),IF(OR($U385="PAID",$U385="CLOSED"),IF($U385="PAID","Account paid. Action completed.","Account closed. No further action required."),CHOOSE($Z385,"Collection Email","1st Email Follow-up","2nd Email Follow-up","Escalation to Local Office","Escalation to CBE","Escalation to Roxanne")&amp;" sent "&amp;TEXT($AA385,"dd-mmm")&amp;". "&amp;IF($Z385=6,"Final escalation completed.",IF($U385="OVERDUE","Next: "&amp;$AC385&amp;" was due "&amp;TEXT($AB385,"dd-mmm")&amp;" - "&amp;(NETWORKDAYS($AB385,TODAY(),Holidays)-1)&amp;" business day(s) late. Send now.",IF($U385="DUE TOMORROW","Next: "&amp;$AC385&amp;IF($AB385&lt;=TODAY()," is due TODAY ("," is due next business day (")&amp;TEXT($AB385,"dd-mmm")&amp;").","Next: "&amp;$AC385&amp;" due "&amp;TEXT($AB385,"dd-mmm")&amp;" ("&amp;(NETWORKDAYS(TODAY(),$AB385,Holidays)-1)&amp;" business day(s) left).")))))</f>
        <v/>
      </c>
      <c r="W385" s="17">
        <f>IF($Z385="","",CHOOSE($Z385,"Collection Email","1st Follow-up","2nd Follow-up","Local Office","CBE","Roxanne")&amp;IF($Z385=6," - Final"," - Day "&amp;MAX(0,NETWORKDAYS($AA385,TODAY(),Holidays)-1)&amp;" of "&amp;CHOOSE($Z385,3,3,2,2,3))&amp;" | Total Day "&amp;MAX(0,NETWORKDAYS($N385,TODAY(),Holidays)-1))</f>
        <v/>
      </c>
      <c r="X385" s="18"/>
      <c r="Y385" s="18"/>
      <c r="Z385" s="17">
        <f>IF($N385="","",COUNT($N385:$S385))</f>
        <v/>
      </c>
      <c r="AA385" s="19">
        <f>IF($Z385="","",INT(INDEX($N385:$S385,$Z385)))</f>
        <v/>
      </c>
      <c r="AB385" s="19">
        <f>IF(OR($Z385="",$Z385=6),"",WORKDAY($AA385,CHOOSE($Z385,3,3,2,2,3),Holidays))</f>
        <v/>
      </c>
      <c r="AC385" s="17">
        <f>IF(OR($Z385="",$Z385=6),"",CHOOSE($Z385,"1st Email Follow-up","2nd Email Follow-up","Escalate Local Office","Escalate to CBE","Escalate to Roxanne"))</f>
        <v/>
      </c>
    </row>
    <row r="386" spans="13:29">
      <c r="M386" s="14"/>
      <c r="T386" s="16"/>
      <c r="U386" s="17">
        <f>IF(AND(COUNTA($A386:$L386)=0,$N386=""),"",IF($T386="Paid","PAID",IF($T386="Closed","CLOSED",IF($Z386="","",IF($Z386=6,"ESCALATED TO ROXANNE",IF(TODAY()&gt;$AB386,"OVERDUE",IF($AB386&lt;=WORKDAY(TODAY(),1,Holidays),"DUE TOMORROW",IF($Z386=4,"ESCALATED TO LOCAL OFFICE",IF($Z386=5,"ESCALATED TO CBE",IF($AA386=TODAY(),"EMAIL SENT","MONITORING"))))))))))</f>
        <v/>
      </c>
      <c r="V386" s="17">
        <f>IF($U386="",IF(AND(COUNTA($A386:$L386)&gt;0,$N386=""),"Awaiting Collection Email time stamp.",""),IF(OR($U386="PAID",$U386="CLOSED"),IF($U386="PAID","Account paid. Action completed.","Account closed. No further action required."),CHOOSE($Z386,"Collection Email","1st Email Follow-up","2nd Email Follow-up","Escalation to Local Office","Escalation to CBE","Escalation to Roxanne")&amp;" sent "&amp;TEXT($AA386,"dd-mmm")&amp;". "&amp;IF($Z386=6,"Final escalation completed.",IF($U386="OVERDUE","Next: "&amp;$AC386&amp;" was due "&amp;TEXT($AB386,"dd-mmm")&amp;" - "&amp;(NETWORKDAYS($AB386,TODAY(),Holidays)-1)&amp;" business day(s) late. Send now.",IF($U386="DUE TOMORROW","Next: "&amp;$AC386&amp;IF($AB386&lt;=TODAY()," is due TODAY ("," is due next business day (")&amp;TEXT($AB386,"dd-mmm")&amp;").","Next: "&amp;$AC386&amp;" due "&amp;TEXT($AB386,"dd-mmm")&amp;" ("&amp;(NETWORKDAYS(TODAY(),$AB386,Holidays)-1)&amp;" business day(s) left).")))))</f>
        <v/>
      </c>
      <c r="W386" s="17">
        <f>IF($Z386="","",CHOOSE($Z386,"Collection Email","1st Follow-up","2nd Follow-up","Local Office","CBE","Roxanne")&amp;IF($Z386=6," - Final"," - Day "&amp;MAX(0,NETWORKDAYS($AA386,TODAY(),Holidays)-1)&amp;" of "&amp;CHOOSE($Z386,3,3,2,2,3))&amp;" | Total Day "&amp;MAX(0,NETWORKDAYS($N386,TODAY(),Holidays)-1))</f>
        <v/>
      </c>
      <c r="X386" s="18"/>
      <c r="Y386" s="18"/>
      <c r="Z386" s="17">
        <f>IF($N386="","",COUNT($N386:$S386))</f>
        <v/>
      </c>
      <c r="AA386" s="19">
        <f>IF($Z386="","",INT(INDEX($N386:$S386,$Z386)))</f>
        <v/>
      </c>
      <c r="AB386" s="19">
        <f>IF(OR($Z386="",$Z386=6),"",WORKDAY($AA386,CHOOSE($Z386,3,3,2,2,3),Holidays))</f>
        <v/>
      </c>
      <c r="AC386" s="17">
        <f>IF(OR($Z386="",$Z386=6),"",CHOOSE($Z386,"1st Email Follow-up","2nd Email Follow-up","Escalate Local Office","Escalate to CBE","Escalate to Roxanne"))</f>
        <v/>
      </c>
    </row>
    <row r="387" spans="13:29">
      <c r="M387" s="14"/>
      <c r="T387" s="16"/>
      <c r="U387" s="17">
        <f>IF(AND(COUNTA($A387:$L387)=0,$N387=""),"",IF($T387="Paid","PAID",IF($T387="Closed","CLOSED",IF($Z387="","",IF($Z387=6,"ESCALATED TO ROXANNE",IF(TODAY()&gt;$AB387,"OVERDUE",IF($AB387&lt;=WORKDAY(TODAY(),1,Holidays),"DUE TOMORROW",IF($Z387=4,"ESCALATED TO LOCAL OFFICE",IF($Z387=5,"ESCALATED TO CBE",IF($AA387=TODAY(),"EMAIL SENT","MONITORING"))))))))))</f>
        <v/>
      </c>
      <c r="V387" s="17">
        <f>IF($U387="",IF(AND(COUNTA($A387:$L387)&gt;0,$N387=""),"Awaiting Collection Email time stamp.",""),IF(OR($U387="PAID",$U387="CLOSED"),IF($U387="PAID","Account paid. Action completed.","Account closed. No further action required."),CHOOSE($Z387,"Collection Email","1st Email Follow-up","2nd Email Follow-up","Escalation to Local Office","Escalation to CBE","Escalation to Roxanne")&amp;" sent "&amp;TEXT($AA387,"dd-mmm")&amp;". "&amp;IF($Z387=6,"Final escalation completed.",IF($U387="OVERDUE","Next: "&amp;$AC387&amp;" was due "&amp;TEXT($AB387,"dd-mmm")&amp;" - "&amp;(NETWORKDAYS($AB387,TODAY(),Holidays)-1)&amp;" business day(s) late. Send now.",IF($U387="DUE TOMORROW","Next: "&amp;$AC387&amp;IF($AB387&lt;=TODAY()," is due TODAY ("," is due next business day (")&amp;TEXT($AB387,"dd-mmm")&amp;").","Next: "&amp;$AC387&amp;" due "&amp;TEXT($AB387,"dd-mmm")&amp;" ("&amp;(NETWORKDAYS(TODAY(),$AB387,Holidays)-1)&amp;" business day(s) left).")))))</f>
        <v/>
      </c>
      <c r="W387" s="17">
        <f>IF($Z387="","",CHOOSE($Z387,"Collection Email","1st Follow-up","2nd Follow-up","Local Office","CBE","Roxanne")&amp;IF($Z387=6," - Final"," - Day "&amp;MAX(0,NETWORKDAYS($AA387,TODAY(),Holidays)-1)&amp;" of "&amp;CHOOSE($Z387,3,3,2,2,3))&amp;" | Total Day "&amp;MAX(0,NETWORKDAYS($N387,TODAY(),Holidays)-1))</f>
        <v/>
      </c>
      <c r="X387" s="18"/>
      <c r="Y387" s="18"/>
      <c r="Z387" s="17">
        <f>IF($N387="","",COUNT($N387:$S387))</f>
        <v/>
      </c>
      <c r="AA387" s="19">
        <f>IF($Z387="","",INT(INDEX($N387:$S387,$Z387)))</f>
        <v/>
      </c>
      <c r="AB387" s="19">
        <f>IF(OR($Z387="",$Z387=6),"",WORKDAY($AA387,CHOOSE($Z387,3,3,2,2,3),Holidays))</f>
        <v/>
      </c>
      <c r="AC387" s="17">
        <f>IF(OR($Z387="",$Z387=6),"",CHOOSE($Z387,"1st Email Follow-up","2nd Email Follow-up","Escalate Local Office","Escalate to CBE","Escalate to Roxanne"))</f>
        <v/>
      </c>
    </row>
    <row r="388" spans="13:29">
      <c r="M388" s="14"/>
      <c r="T388" s="16"/>
      <c r="U388" s="17">
        <f>IF(AND(COUNTA($A388:$L388)=0,$N388=""),"",IF($T388="Paid","PAID",IF($T388="Closed","CLOSED",IF($Z388="","",IF($Z388=6,"ESCALATED TO ROXANNE",IF(TODAY()&gt;$AB388,"OVERDUE",IF($AB388&lt;=WORKDAY(TODAY(),1,Holidays),"DUE TOMORROW",IF($Z388=4,"ESCALATED TO LOCAL OFFICE",IF($Z388=5,"ESCALATED TO CBE",IF($AA388=TODAY(),"EMAIL SENT","MONITORING"))))))))))</f>
        <v/>
      </c>
      <c r="V388" s="17">
        <f>IF($U388="",IF(AND(COUNTA($A388:$L388)&gt;0,$N388=""),"Awaiting Collection Email time stamp.",""),IF(OR($U388="PAID",$U388="CLOSED"),IF($U388="PAID","Account paid. Action completed.","Account closed. No further action required."),CHOOSE($Z388,"Collection Email","1st Email Follow-up","2nd Email Follow-up","Escalation to Local Office","Escalation to CBE","Escalation to Roxanne")&amp;" sent "&amp;TEXT($AA388,"dd-mmm")&amp;". "&amp;IF($Z388=6,"Final escalation completed.",IF($U388="OVERDUE","Next: "&amp;$AC388&amp;" was due "&amp;TEXT($AB388,"dd-mmm")&amp;" - "&amp;(NETWORKDAYS($AB388,TODAY(),Holidays)-1)&amp;" business day(s) late. Send now.",IF($U388="DUE TOMORROW","Next: "&amp;$AC388&amp;IF($AB388&lt;=TODAY()," is due TODAY ("," is due next business day (")&amp;TEXT($AB388,"dd-mmm")&amp;").","Next: "&amp;$AC388&amp;" due "&amp;TEXT($AB388,"dd-mmm")&amp;" ("&amp;(NETWORKDAYS(TODAY(),$AB388,Holidays)-1)&amp;" business day(s) left).")))))</f>
        <v/>
      </c>
      <c r="W388" s="17">
        <f>IF($Z388="","",CHOOSE($Z388,"Collection Email","1st Follow-up","2nd Follow-up","Local Office","CBE","Roxanne")&amp;IF($Z388=6," - Final"," - Day "&amp;MAX(0,NETWORKDAYS($AA388,TODAY(),Holidays)-1)&amp;" of "&amp;CHOOSE($Z388,3,3,2,2,3))&amp;" | Total Day "&amp;MAX(0,NETWORKDAYS($N388,TODAY(),Holidays)-1))</f>
        <v/>
      </c>
      <c r="X388" s="18"/>
      <c r="Y388" s="18"/>
      <c r="Z388" s="17">
        <f>IF($N388="","",COUNT($N388:$S388))</f>
        <v/>
      </c>
      <c r="AA388" s="19">
        <f>IF($Z388="","",INT(INDEX($N388:$S388,$Z388)))</f>
        <v/>
      </c>
      <c r="AB388" s="19">
        <f>IF(OR($Z388="",$Z388=6),"",WORKDAY($AA388,CHOOSE($Z388,3,3,2,2,3),Holidays))</f>
        <v/>
      </c>
      <c r="AC388" s="17">
        <f>IF(OR($Z388="",$Z388=6),"",CHOOSE($Z388,"1st Email Follow-up","2nd Email Follow-up","Escalate Local Office","Escalate to CBE","Escalate to Roxanne"))</f>
        <v/>
      </c>
    </row>
    <row r="389" spans="13:29">
      <c r="M389" s="14"/>
      <c r="T389" s="16"/>
      <c r="U389" s="17">
        <f>IF(AND(COUNTA($A389:$L389)=0,$N389=""),"",IF($T389="Paid","PAID",IF($T389="Closed","CLOSED",IF($Z389="","",IF($Z389=6,"ESCALATED TO ROXANNE",IF(TODAY()&gt;$AB389,"OVERDUE",IF($AB389&lt;=WORKDAY(TODAY(),1,Holidays),"DUE TOMORROW",IF($Z389=4,"ESCALATED TO LOCAL OFFICE",IF($Z389=5,"ESCALATED TO CBE",IF($AA389=TODAY(),"EMAIL SENT","MONITORING"))))))))))</f>
        <v/>
      </c>
      <c r="V389" s="17">
        <f>IF($U389="",IF(AND(COUNTA($A389:$L389)&gt;0,$N389=""),"Awaiting Collection Email time stamp.",""),IF(OR($U389="PAID",$U389="CLOSED"),IF($U389="PAID","Account paid. Action completed.","Account closed. No further action required."),CHOOSE($Z389,"Collection Email","1st Email Follow-up","2nd Email Follow-up","Escalation to Local Office","Escalation to CBE","Escalation to Roxanne")&amp;" sent "&amp;TEXT($AA389,"dd-mmm")&amp;". "&amp;IF($Z389=6,"Final escalation completed.",IF($U389="OVERDUE","Next: "&amp;$AC389&amp;" was due "&amp;TEXT($AB389,"dd-mmm")&amp;" - "&amp;(NETWORKDAYS($AB389,TODAY(),Holidays)-1)&amp;" business day(s) late. Send now.",IF($U389="DUE TOMORROW","Next: "&amp;$AC389&amp;IF($AB389&lt;=TODAY()," is due TODAY ("," is due next business day (")&amp;TEXT($AB389,"dd-mmm")&amp;").","Next: "&amp;$AC389&amp;" due "&amp;TEXT($AB389,"dd-mmm")&amp;" ("&amp;(NETWORKDAYS(TODAY(),$AB389,Holidays)-1)&amp;" business day(s) left).")))))</f>
        <v/>
      </c>
      <c r="W389" s="17">
        <f>IF($Z389="","",CHOOSE($Z389,"Collection Email","1st Follow-up","2nd Follow-up","Local Office","CBE","Roxanne")&amp;IF($Z389=6," - Final"," - Day "&amp;MAX(0,NETWORKDAYS($AA389,TODAY(),Holidays)-1)&amp;" of "&amp;CHOOSE($Z389,3,3,2,2,3))&amp;" | Total Day "&amp;MAX(0,NETWORKDAYS($N389,TODAY(),Holidays)-1))</f>
        <v/>
      </c>
      <c r="X389" s="18"/>
      <c r="Y389" s="18"/>
      <c r="Z389" s="17">
        <f>IF($N389="","",COUNT($N389:$S389))</f>
        <v/>
      </c>
      <c r="AA389" s="19">
        <f>IF($Z389="","",INT(INDEX($N389:$S389,$Z389)))</f>
        <v/>
      </c>
      <c r="AB389" s="19">
        <f>IF(OR($Z389="",$Z389=6),"",WORKDAY($AA389,CHOOSE($Z389,3,3,2,2,3),Holidays))</f>
        <v/>
      </c>
      <c r="AC389" s="17">
        <f>IF(OR($Z389="",$Z389=6),"",CHOOSE($Z389,"1st Email Follow-up","2nd Email Follow-up","Escalate Local Office","Escalate to CBE","Escalate to Roxanne"))</f>
        <v/>
      </c>
    </row>
    <row r="390" spans="13:29">
      <c r="M390" s="14"/>
      <c r="T390" s="16"/>
      <c r="U390" s="17">
        <f>IF(AND(COUNTA($A390:$L390)=0,$N390=""),"",IF($T390="Paid","PAID",IF($T390="Closed","CLOSED",IF($Z390="","",IF($Z390=6,"ESCALATED TO ROXANNE",IF(TODAY()&gt;$AB390,"OVERDUE",IF($AB390&lt;=WORKDAY(TODAY(),1,Holidays),"DUE TOMORROW",IF($Z390=4,"ESCALATED TO LOCAL OFFICE",IF($Z390=5,"ESCALATED TO CBE",IF($AA390=TODAY(),"EMAIL SENT","MONITORING"))))))))))</f>
        <v/>
      </c>
      <c r="V390" s="17">
        <f>IF($U390="",IF(AND(COUNTA($A390:$L390)&gt;0,$N390=""),"Awaiting Collection Email time stamp.",""),IF(OR($U390="PAID",$U390="CLOSED"),IF($U390="PAID","Account paid. Action completed.","Account closed. No further action required."),CHOOSE($Z390,"Collection Email","1st Email Follow-up","2nd Email Follow-up","Escalation to Local Office","Escalation to CBE","Escalation to Roxanne")&amp;" sent "&amp;TEXT($AA390,"dd-mmm")&amp;". "&amp;IF($Z390=6,"Final escalation completed.",IF($U390="OVERDUE","Next: "&amp;$AC390&amp;" was due "&amp;TEXT($AB390,"dd-mmm")&amp;" - "&amp;(NETWORKDAYS($AB390,TODAY(),Holidays)-1)&amp;" business day(s) late. Send now.",IF($U390="DUE TOMORROW","Next: "&amp;$AC390&amp;IF($AB390&lt;=TODAY()," is due TODAY ("," is due next business day (")&amp;TEXT($AB390,"dd-mmm")&amp;").","Next: "&amp;$AC390&amp;" due "&amp;TEXT($AB390,"dd-mmm")&amp;" ("&amp;(NETWORKDAYS(TODAY(),$AB390,Holidays)-1)&amp;" business day(s) left).")))))</f>
        <v/>
      </c>
      <c r="W390" s="17">
        <f>IF($Z390="","",CHOOSE($Z390,"Collection Email","1st Follow-up","2nd Follow-up","Local Office","CBE","Roxanne")&amp;IF($Z390=6," - Final"," - Day "&amp;MAX(0,NETWORKDAYS($AA390,TODAY(),Holidays)-1)&amp;" of "&amp;CHOOSE($Z390,3,3,2,2,3))&amp;" | Total Day "&amp;MAX(0,NETWORKDAYS($N390,TODAY(),Holidays)-1))</f>
        <v/>
      </c>
      <c r="X390" s="18"/>
      <c r="Y390" s="18"/>
      <c r="Z390" s="17">
        <f>IF($N390="","",COUNT($N390:$S390))</f>
        <v/>
      </c>
      <c r="AA390" s="19">
        <f>IF($Z390="","",INT(INDEX($N390:$S390,$Z390)))</f>
        <v/>
      </c>
      <c r="AB390" s="19">
        <f>IF(OR($Z390="",$Z390=6),"",WORKDAY($AA390,CHOOSE($Z390,3,3,2,2,3),Holidays))</f>
        <v/>
      </c>
      <c r="AC390" s="17">
        <f>IF(OR($Z390="",$Z390=6),"",CHOOSE($Z390,"1st Email Follow-up","2nd Email Follow-up","Escalate Local Office","Escalate to CBE","Escalate to Roxanne"))</f>
        <v/>
      </c>
    </row>
    <row r="391" spans="13:29">
      <c r="M391" s="14"/>
      <c r="T391" s="16"/>
      <c r="U391" s="17">
        <f>IF(AND(COUNTA($A391:$L391)=0,$N391=""),"",IF($T391="Paid","PAID",IF($T391="Closed","CLOSED",IF($Z391="","",IF($Z391=6,"ESCALATED TO ROXANNE",IF(TODAY()&gt;$AB391,"OVERDUE",IF($AB391&lt;=WORKDAY(TODAY(),1,Holidays),"DUE TOMORROW",IF($Z391=4,"ESCALATED TO LOCAL OFFICE",IF($Z391=5,"ESCALATED TO CBE",IF($AA391=TODAY(),"EMAIL SENT","MONITORING"))))))))))</f>
        <v/>
      </c>
      <c r="V391" s="17">
        <f>IF($U391="",IF(AND(COUNTA($A391:$L391)&gt;0,$N391=""),"Awaiting Collection Email time stamp.",""),IF(OR($U391="PAID",$U391="CLOSED"),IF($U391="PAID","Account paid. Action completed.","Account closed. No further action required."),CHOOSE($Z391,"Collection Email","1st Email Follow-up","2nd Email Follow-up","Escalation to Local Office","Escalation to CBE","Escalation to Roxanne")&amp;" sent "&amp;TEXT($AA391,"dd-mmm")&amp;". "&amp;IF($Z391=6,"Final escalation completed.",IF($U391="OVERDUE","Next: "&amp;$AC391&amp;" was due "&amp;TEXT($AB391,"dd-mmm")&amp;" - "&amp;(NETWORKDAYS($AB391,TODAY(),Holidays)-1)&amp;" business day(s) late. Send now.",IF($U391="DUE TOMORROW","Next: "&amp;$AC391&amp;IF($AB391&lt;=TODAY()," is due TODAY ("," is due next business day (")&amp;TEXT($AB391,"dd-mmm")&amp;").","Next: "&amp;$AC391&amp;" due "&amp;TEXT($AB391,"dd-mmm")&amp;" ("&amp;(NETWORKDAYS(TODAY(),$AB391,Holidays)-1)&amp;" business day(s) left).")))))</f>
        <v/>
      </c>
      <c r="W391" s="17">
        <f>IF($Z391="","",CHOOSE($Z391,"Collection Email","1st Follow-up","2nd Follow-up","Local Office","CBE","Roxanne")&amp;IF($Z391=6," - Final"," - Day "&amp;MAX(0,NETWORKDAYS($AA391,TODAY(),Holidays)-1)&amp;" of "&amp;CHOOSE($Z391,3,3,2,2,3))&amp;" | Total Day "&amp;MAX(0,NETWORKDAYS($N391,TODAY(),Holidays)-1))</f>
        <v/>
      </c>
      <c r="X391" s="18"/>
      <c r="Y391" s="18"/>
      <c r="Z391" s="17">
        <f>IF($N391="","",COUNT($N391:$S391))</f>
        <v/>
      </c>
      <c r="AA391" s="19">
        <f>IF($Z391="","",INT(INDEX($N391:$S391,$Z391)))</f>
        <v/>
      </c>
      <c r="AB391" s="19">
        <f>IF(OR($Z391="",$Z391=6),"",WORKDAY($AA391,CHOOSE($Z391,3,3,2,2,3),Holidays))</f>
        <v/>
      </c>
      <c r="AC391" s="17">
        <f>IF(OR($Z391="",$Z391=6),"",CHOOSE($Z391,"1st Email Follow-up","2nd Email Follow-up","Escalate Local Office","Escalate to CBE","Escalate to Roxanne"))</f>
        <v/>
      </c>
    </row>
    <row r="392" spans="13:29">
      <c r="M392" s="14"/>
      <c r="T392" s="16"/>
      <c r="U392" s="17">
        <f>IF(AND(COUNTA($A392:$L392)=0,$N392=""),"",IF($T392="Paid","PAID",IF($T392="Closed","CLOSED",IF($Z392="","",IF($Z392=6,"ESCALATED TO ROXANNE",IF(TODAY()&gt;$AB392,"OVERDUE",IF($AB392&lt;=WORKDAY(TODAY(),1,Holidays),"DUE TOMORROW",IF($Z392=4,"ESCALATED TO LOCAL OFFICE",IF($Z392=5,"ESCALATED TO CBE",IF($AA392=TODAY(),"EMAIL SENT","MONITORING"))))))))))</f>
        <v/>
      </c>
      <c r="V392" s="17">
        <f>IF($U392="",IF(AND(COUNTA($A392:$L392)&gt;0,$N392=""),"Awaiting Collection Email time stamp.",""),IF(OR($U392="PAID",$U392="CLOSED"),IF($U392="PAID","Account paid. Action completed.","Account closed. No further action required."),CHOOSE($Z392,"Collection Email","1st Email Follow-up","2nd Email Follow-up","Escalation to Local Office","Escalation to CBE","Escalation to Roxanne")&amp;" sent "&amp;TEXT($AA392,"dd-mmm")&amp;". "&amp;IF($Z392=6,"Final escalation completed.",IF($U392="OVERDUE","Next: "&amp;$AC392&amp;" was due "&amp;TEXT($AB392,"dd-mmm")&amp;" - "&amp;(NETWORKDAYS($AB392,TODAY(),Holidays)-1)&amp;" business day(s) late. Send now.",IF($U392="DUE TOMORROW","Next: "&amp;$AC392&amp;IF($AB392&lt;=TODAY()," is due TODAY ("," is due next business day (")&amp;TEXT($AB392,"dd-mmm")&amp;").","Next: "&amp;$AC392&amp;" due "&amp;TEXT($AB392,"dd-mmm")&amp;" ("&amp;(NETWORKDAYS(TODAY(),$AB392,Holidays)-1)&amp;" business day(s) left).")))))</f>
        <v/>
      </c>
      <c r="W392" s="17">
        <f>IF($Z392="","",CHOOSE($Z392,"Collection Email","1st Follow-up","2nd Follow-up","Local Office","CBE","Roxanne")&amp;IF($Z392=6," - Final"," - Day "&amp;MAX(0,NETWORKDAYS($AA392,TODAY(),Holidays)-1)&amp;" of "&amp;CHOOSE($Z392,3,3,2,2,3))&amp;" | Total Day "&amp;MAX(0,NETWORKDAYS($N392,TODAY(),Holidays)-1))</f>
        <v/>
      </c>
      <c r="X392" s="18"/>
      <c r="Y392" s="18"/>
      <c r="Z392" s="17">
        <f>IF($N392="","",COUNT($N392:$S392))</f>
        <v/>
      </c>
      <c r="AA392" s="19">
        <f>IF($Z392="","",INT(INDEX($N392:$S392,$Z392)))</f>
        <v/>
      </c>
      <c r="AB392" s="19">
        <f>IF(OR($Z392="",$Z392=6),"",WORKDAY($AA392,CHOOSE($Z392,3,3,2,2,3),Holidays))</f>
        <v/>
      </c>
      <c r="AC392" s="17">
        <f>IF(OR($Z392="",$Z392=6),"",CHOOSE($Z392,"1st Email Follow-up","2nd Email Follow-up","Escalate Local Office","Escalate to CBE","Escalate to Roxanne"))</f>
        <v/>
      </c>
    </row>
    <row r="393" spans="13:29">
      <c r="M393" s="14"/>
      <c r="T393" s="16"/>
      <c r="U393" s="17">
        <f>IF(AND(COUNTA($A393:$L393)=0,$N393=""),"",IF($T393="Paid","PAID",IF($T393="Closed","CLOSED",IF($Z393="","",IF($Z393=6,"ESCALATED TO ROXANNE",IF(TODAY()&gt;$AB393,"OVERDUE",IF($AB393&lt;=WORKDAY(TODAY(),1,Holidays),"DUE TOMORROW",IF($Z393=4,"ESCALATED TO LOCAL OFFICE",IF($Z393=5,"ESCALATED TO CBE",IF($AA393=TODAY(),"EMAIL SENT","MONITORING"))))))))))</f>
        <v/>
      </c>
      <c r="V393" s="17">
        <f>IF($U393="",IF(AND(COUNTA($A393:$L393)&gt;0,$N393=""),"Awaiting Collection Email time stamp.",""),IF(OR($U393="PAID",$U393="CLOSED"),IF($U393="PAID","Account paid. Action completed.","Account closed. No further action required."),CHOOSE($Z393,"Collection Email","1st Email Follow-up","2nd Email Follow-up","Escalation to Local Office","Escalation to CBE","Escalation to Roxanne")&amp;" sent "&amp;TEXT($AA393,"dd-mmm")&amp;". "&amp;IF($Z393=6,"Final escalation completed.",IF($U393="OVERDUE","Next: "&amp;$AC393&amp;" was due "&amp;TEXT($AB393,"dd-mmm")&amp;" - "&amp;(NETWORKDAYS($AB393,TODAY(),Holidays)-1)&amp;" business day(s) late. Send now.",IF($U393="DUE TOMORROW","Next: "&amp;$AC393&amp;IF($AB393&lt;=TODAY()," is due TODAY ("," is due next business day (")&amp;TEXT($AB393,"dd-mmm")&amp;").","Next: "&amp;$AC393&amp;" due "&amp;TEXT($AB393,"dd-mmm")&amp;" ("&amp;(NETWORKDAYS(TODAY(),$AB393,Holidays)-1)&amp;" business day(s) left).")))))</f>
        <v/>
      </c>
      <c r="W393" s="17">
        <f>IF($Z393="","",CHOOSE($Z393,"Collection Email","1st Follow-up","2nd Follow-up","Local Office","CBE","Roxanne")&amp;IF($Z393=6," - Final"," - Day "&amp;MAX(0,NETWORKDAYS($AA393,TODAY(),Holidays)-1)&amp;" of "&amp;CHOOSE($Z393,3,3,2,2,3))&amp;" | Total Day "&amp;MAX(0,NETWORKDAYS($N393,TODAY(),Holidays)-1))</f>
        <v/>
      </c>
      <c r="X393" s="18"/>
      <c r="Y393" s="18"/>
      <c r="Z393" s="17">
        <f>IF($N393="","",COUNT($N393:$S393))</f>
        <v/>
      </c>
      <c r="AA393" s="19">
        <f>IF($Z393="","",INT(INDEX($N393:$S393,$Z393)))</f>
        <v/>
      </c>
      <c r="AB393" s="19">
        <f>IF(OR($Z393="",$Z393=6),"",WORKDAY($AA393,CHOOSE($Z393,3,3,2,2,3),Holidays))</f>
        <v/>
      </c>
      <c r="AC393" s="17">
        <f>IF(OR($Z393="",$Z393=6),"",CHOOSE($Z393,"1st Email Follow-up","2nd Email Follow-up","Escalate Local Office","Escalate to CBE","Escalate to Roxanne"))</f>
        <v/>
      </c>
    </row>
    <row r="394" spans="13:29">
      <c r="M394" s="14"/>
      <c r="T394" s="16"/>
      <c r="U394" s="17">
        <f>IF(AND(COUNTA($A394:$L394)=0,$N394=""),"",IF($T394="Paid","PAID",IF($T394="Closed","CLOSED",IF($Z394="","",IF($Z394=6,"ESCALATED TO ROXANNE",IF(TODAY()&gt;$AB394,"OVERDUE",IF($AB394&lt;=WORKDAY(TODAY(),1,Holidays),"DUE TOMORROW",IF($Z394=4,"ESCALATED TO LOCAL OFFICE",IF($Z394=5,"ESCALATED TO CBE",IF($AA394=TODAY(),"EMAIL SENT","MONITORING"))))))))))</f>
        <v/>
      </c>
      <c r="V394" s="17">
        <f>IF($U394="",IF(AND(COUNTA($A394:$L394)&gt;0,$N394=""),"Awaiting Collection Email time stamp.",""),IF(OR($U394="PAID",$U394="CLOSED"),IF($U394="PAID","Account paid. Action completed.","Account closed. No further action required."),CHOOSE($Z394,"Collection Email","1st Email Follow-up","2nd Email Follow-up","Escalation to Local Office","Escalation to CBE","Escalation to Roxanne")&amp;" sent "&amp;TEXT($AA394,"dd-mmm")&amp;". "&amp;IF($Z394=6,"Final escalation completed.",IF($U394="OVERDUE","Next: "&amp;$AC394&amp;" was due "&amp;TEXT($AB394,"dd-mmm")&amp;" - "&amp;(NETWORKDAYS($AB394,TODAY(),Holidays)-1)&amp;" business day(s) late. Send now.",IF($U394="DUE TOMORROW","Next: "&amp;$AC394&amp;IF($AB394&lt;=TODAY()," is due TODAY ("," is due next business day (")&amp;TEXT($AB394,"dd-mmm")&amp;").","Next: "&amp;$AC394&amp;" due "&amp;TEXT($AB394,"dd-mmm")&amp;" ("&amp;(NETWORKDAYS(TODAY(),$AB394,Holidays)-1)&amp;" business day(s) left).")))))</f>
        <v/>
      </c>
      <c r="W394" s="17">
        <f>IF($Z394="","",CHOOSE($Z394,"Collection Email","1st Follow-up","2nd Follow-up","Local Office","CBE","Roxanne")&amp;IF($Z394=6," - Final"," - Day "&amp;MAX(0,NETWORKDAYS($AA394,TODAY(),Holidays)-1)&amp;" of "&amp;CHOOSE($Z394,3,3,2,2,3))&amp;" | Total Day "&amp;MAX(0,NETWORKDAYS($N394,TODAY(),Holidays)-1))</f>
        <v/>
      </c>
      <c r="X394" s="18"/>
      <c r="Y394" s="18"/>
      <c r="Z394" s="17">
        <f>IF($N394="","",COUNT($N394:$S394))</f>
        <v/>
      </c>
      <c r="AA394" s="19">
        <f>IF($Z394="","",INT(INDEX($N394:$S394,$Z394)))</f>
        <v/>
      </c>
      <c r="AB394" s="19">
        <f>IF(OR($Z394="",$Z394=6),"",WORKDAY($AA394,CHOOSE($Z394,3,3,2,2,3),Holidays))</f>
        <v/>
      </c>
      <c r="AC394" s="17">
        <f>IF(OR($Z394="",$Z394=6),"",CHOOSE($Z394,"1st Email Follow-up","2nd Email Follow-up","Escalate Local Office","Escalate to CBE","Escalate to Roxanne"))</f>
        <v/>
      </c>
    </row>
    <row r="395" spans="13:29">
      <c r="M395" s="14"/>
      <c r="T395" s="16"/>
      <c r="U395" s="17">
        <f>IF(AND(COUNTA($A395:$L395)=0,$N395=""),"",IF($T395="Paid","PAID",IF($T395="Closed","CLOSED",IF($Z395="","",IF($Z395=6,"ESCALATED TO ROXANNE",IF(TODAY()&gt;$AB395,"OVERDUE",IF($AB395&lt;=WORKDAY(TODAY(),1,Holidays),"DUE TOMORROW",IF($Z395=4,"ESCALATED TO LOCAL OFFICE",IF($Z395=5,"ESCALATED TO CBE",IF($AA395=TODAY(),"EMAIL SENT","MONITORING"))))))))))</f>
        <v/>
      </c>
      <c r="V395" s="17">
        <f>IF($U395="",IF(AND(COUNTA($A395:$L395)&gt;0,$N395=""),"Awaiting Collection Email time stamp.",""),IF(OR($U395="PAID",$U395="CLOSED"),IF($U395="PAID","Account paid. Action completed.","Account closed. No further action required."),CHOOSE($Z395,"Collection Email","1st Email Follow-up","2nd Email Follow-up","Escalation to Local Office","Escalation to CBE","Escalation to Roxanne")&amp;" sent "&amp;TEXT($AA395,"dd-mmm")&amp;". "&amp;IF($Z395=6,"Final escalation completed.",IF($U395="OVERDUE","Next: "&amp;$AC395&amp;" was due "&amp;TEXT($AB395,"dd-mmm")&amp;" - "&amp;(NETWORKDAYS($AB395,TODAY(),Holidays)-1)&amp;" business day(s) late. Send now.",IF($U395="DUE TOMORROW","Next: "&amp;$AC395&amp;IF($AB395&lt;=TODAY()," is due TODAY ("," is due next business day (")&amp;TEXT($AB395,"dd-mmm")&amp;").","Next: "&amp;$AC395&amp;" due "&amp;TEXT($AB395,"dd-mmm")&amp;" ("&amp;(NETWORKDAYS(TODAY(),$AB395,Holidays)-1)&amp;" business day(s) left).")))))</f>
        <v/>
      </c>
      <c r="W395" s="17">
        <f>IF($Z395="","",CHOOSE($Z395,"Collection Email","1st Follow-up","2nd Follow-up","Local Office","CBE","Roxanne")&amp;IF($Z395=6," - Final"," - Day "&amp;MAX(0,NETWORKDAYS($AA395,TODAY(),Holidays)-1)&amp;" of "&amp;CHOOSE($Z395,3,3,2,2,3))&amp;" | Total Day "&amp;MAX(0,NETWORKDAYS($N395,TODAY(),Holidays)-1))</f>
        <v/>
      </c>
      <c r="X395" s="18"/>
      <c r="Y395" s="18"/>
      <c r="Z395" s="17">
        <f>IF($N395="","",COUNT($N395:$S395))</f>
        <v/>
      </c>
      <c r="AA395" s="19">
        <f>IF($Z395="","",INT(INDEX($N395:$S395,$Z395)))</f>
        <v/>
      </c>
      <c r="AB395" s="19">
        <f>IF(OR($Z395="",$Z395=6),"",WORKDAY($AA395,CHOOSE($Z395,3,3,2,2,3),Holidays))</f>
        <v/>
      </c>
      <c r="AC395" s="17">
        <f>IF(OR($Z395="",$Z395=6),"",CHOOSE($Z395,"1st Email Follow-up","2nd Email Follow-up","Escalate Local Office","Escalate to CBE","Escalate to Roxanne"))</f>
        <v/>
      </c>
    </row>
    <row r="396" spans="13:29">
      <c r="M396" s="14"/>
      <c r="T396" s="16"/>
      <c r="U396" s="17">
        <f>IF(AND(COUNTA($A396:$L396)=0,$N396=""),"",IF($T396="Paid","PAID",IF($T396="Closed","CLOSED",IF($Z396="","",IF($Z396=6,"ESCALATED TO ROXANNE",IF(TODAY()&gt;$AB396,"OVERDUE",IF($AB396&lt;=WORKDAY(TODAY(),1,Holidays),"DUE TOMORROW",IF($Z396=4,"ESCALATED TO LOCAL OFFICE",IF($Z396=5,"ESCALATED TO CBE",IF($AA396=TODAY(),"EMAIL SENT","MONITORING"))))))))))</f>
        <v/>
      </c>
      <c r="V396" s="17">
        <f>IF($U396="",IF(AND(COUNTA($A396:$L396)&gt;0,$N396=""),"Awaiting Collection Email time stamp.",""),IF(OR($U396="PAID",$U396="CLOSED"),IF($U396="PAID","Account paid. Action completed.","Account closed. No further action required."),CHOOSE($Z396,"Collection Email","1st Email Follow-up","2nd Email Follow-up","Escalation to Local Office","Escalation to CBE","Escalation to Roxanne")&amp;" sent "&amp;TEXT($AA396,"dd-mmm")&amp;". "&amp;IF($Z396=6,"Final escalation completed.",IF($U396="OVERDUE","Next: "&amp;$AC396&amp;" was due "&amp;TEXT($AB396,"dd-mmm")&amp;" - "&amp;(NETWORKDAYS($AB396,TODAY(),Holidays)-1)&amp;" business day(s) late. Send now.",IF($U396="DUE TOMORROW","Next: "&amp;$AC396&amp;IF($AB396&lt;=TODAY()," is due TODAY ("," is due next business day (")&amp;TEXT($AB396,"dd-mmm")&amp;").","Next: "&amp;$AC396&amp;" due "&amp;TEXT($AB396,"dd-mmm")&amp;" ("&amp;(NETWORKDAYS(TODAY(),$AB396,Holidays)-1)&amp;" business day(s) left).")))))</f>
        <v/>
      </c>
      <c r="W396" s="17">
        <f>IF($Z396="","",CHOOSE($Z396,"Collection Email","1st Follow-up","2nd Follow-up","Local Office","CBE","Roxanne")&amp;IF($Z396=6," - Final"," - Day "&amp;MAX(0,NETWORKDAYS($AA396,TODAY(),Holidays)-1)&amp;" of "&amp;CHOOSE($Z396,3,3,2,2,3))&amp;" | Total Day "&amp;MAX(0,NETWORKDAYS($N396,TODAY(),Holidays)-1))</f>
        <v/>
      </c>
      <c r="X396" s="18"/>
      <c r="Y396" s="18"/>
      <c r="Z396" s="17">
        <f>IF($N396="","",COUNT($N396:$S396))</f>
        <v/>
      </c>
      <c r="AA396" s="19">
        <f>IF($Z396="","",INT(INDEX($N396:$S396,$Z396)))</f>
        <v/>
      </c>
      <c r="AB396" s="19">
        <f>IF(OR($Z396="",$Z396=6),"",WORKDAY($AA396,CHOOSE($Z396,3,3,2,2,3),Holidays))</f>
        <v/>
      </c>
      <c r="AC396" s="17">
        <f>IF(OR($Z396="",$Z396=6),"",CHOOSE($Z396,"1st Email Follow-up","2nd Email Follow-up","Escalate Local Office","Escalate to CBE","Escalate to Roxanne"))</f>
        <v/>
      </c>
    </row>
    <row r="397" spans="13:29">
      <c r="M397" s="14"/>
      <c r="T397" s="16"/>
      <c r="U397" s="17">
        <f>IF(AND(COUNTA($A397:$L397)=0,$N397=""),"",IF($T397="Paid","PAID",IF($T397="Closed","CLOSED",IF($Z397="","",IF($Z397=6,"ESCALATED TO ROXANNE",IF(TODAY()&gt;$AB397,"OVERDUE",IF($AB397&lt;=WORKDAY(TODAY(),1,Holidays),"DUE TOMORROW",IF($Z397=4,"ESCALATED TO LOCAL OFFICE",IF($Z397=5,"ESCALATED TO CBE",IF($AA397=TODAY(),"EMAIL SENT","MONITORING"))))))))))</f>
        <v/>
      </c>
      <c r="V397" s="17">
        <f>IF($U397="",IF(AND(COUNTA($A397:$L397)&gt;0,$N397=""),"Awaiting Collection Email time stamp.",""),IF(OR($U397="PAID",$U397="CLOSED"),IF($U397="PAID","Account paid. Action completed.","Account closed. No further action required."),CHOOSE($Z397,"Collection Email","1st Email Follow-up","2nd Email Follow-up","Escalation to Local Office","Escalation to CBE","Escalation to Roxanne")&amp;" sent "&amp;TEXT($AA397,"dd-mmm")&amp;". "&amp;IF($Z397=6,"Final escalation completed.",IF($U397="OVERDUE","Next: "&amp;$AC397&amp;" was due "&amp;TEXT($AB397,"dd-mmm")&amp;" - "&amp;(NETWORKDAYS($AB397,TODAY(),Holidays)-1)&amp;" business day(s) late. Send now.",IF($U397="DUE TOMORROW","Next: "&amp;$AC397&amp;IF($AB397&lt;=TODAY()," is due TODAY ("," is due next business day (")&amp;TEXT($AB397,"dd-mmm")&amp;").","Next: "&amp;$AC397&amp;" due "&amp;TEXT($AB397,"dd-mmm")&amp;" ("&amp;(NETWORKDAYS(TODAY(),$AB397,Holidays)-1)&amp;" business day(s) left).")))))</f>
        <v/>
      </c>
      <c r="W397" s="17">
        <f>IF($Z397="","",CHOOSE($Z397,"Collection Email","1st Follow-up","2nd Follow-up","Local Office","CBE","Roxanne")&amp;IF($Z397=6," - Final"," - Day "&amp;MAX(0,NETWORKDAYS($AA397,TODAY(),Holidays)-1)&amp;" of "&amp;CHOOSE($Z397,3,3,2,2,3))&amp;" | Total Day "&amp;MAX(0,NETWORKDAYS($N397,TODAY(),Holidays)-1))</f>
        <v/>
      </c>
      <c r="X397" s="18"/>
      <c r="Y397" s="18"/>
      <c r="Z397" s="17">
        <f>IF($N397="","",COUNT($N397:$S397))</f>
        <v/>
      </c>
      <c r="AA397" s="19">
        <f>IF($Z397="","",INT(INDEX($N397:$S397,$Z397)))</f>
        <v/>
      </c>
      <c r="AB397" s="19">
        <f>IF(OR($Z397="",$Z397=6),"",WORKDAY($AA397,CHOOSE($Z397,3,3,2,2,3),Holidays))</f>
        <v/>
      </c>
      <c r="AC397" s="17">
        <f>IF(OR($Z397="",$Z397=6),"",CHOOSE($Z397,"1st Email Follow-up","2nd Email Follow-up","Escalate Local Office","Escalate to CBE","Escalate to Roxanne"))</f>
        <v/>
      </c>
    </row>
    <row r="398" spans="13:29">
      <c r="M398" s="14"/>
      <c r="T398" s="16"/>
      <c r="U398" s="17">
        <f>IF(AND(COUNTA($A398:$L398)=0,$N398=""),"",IF($T398="Paid","PAID",IF($T398="Closed","CLOSED",IF($Z398="","",IF($Z398=6,"ESCALATED TO ROXANNE",IF(TODAY()&gt;$AB398,"OVERDUE",IF($AB398&lt;=WORKDAY(TODAY(),1,Holidays),"DUE TOMORROW",IF($Z398=4,"ESCALATED TO LOCAL OFFICE",IF($Z398=5,"ESCALATED TO CBE",IF($AA398=TODAY(),"EMAIL SENT","MONITORING"))))))))))</f>
        <v/>
      </c>
      <c r="V398" s="17">
        <f>IF($U398="",IF(AND(COUNTA($A398:$L398)&gt;0,$N398=""),"Awaiting Collection Email time stamp.",""),IF(OR($U398="PAID",$U398="CLOSED"),IF($U398="PAID","Account paid. Action completed.","Account closed. No further action required."),CHOOSE($Z398,"Collection Email","1st Email Follow-up","2nd Email Follow-up","Escalation to Local Office","Escalation to CBE","Escalation to Roxanne")&amp;" sent "&amp;TEXT($AA398,"dd-mmm")&amp;". "&amp;IF($Z398=6,"Final escalation completed.",IF($U398="OVERDUE","Next: "&amp;$AC398&amp;" was due "&amp;TEXT($AB398,"dd-mmm")&amp;" - "&amp;(NETWORKDAYS($AB398,TODAY(),Holidays)-1)&amp;" business day(s) late. Send now.",IF($U398="DUE TOMORROW","Next: "&amp;$AC398&amp;IF($AB398&lt;=TODAY()," is due TODAY ("," is due next business day (")&amp;TEXT($AB398,"dd-mmm")&amp;").","Next: "&amp;$AC398&amp;" due "&amp;TEXT($AB398,"dd-mmm")&amp;" ("&amp;(NETWORKDAYS(TODAY(),$AB398,Holidays)-1)&amp;" business day(s) left).")))))</f>
        <v/>
      </c>
      <c r="W398" s="17">
        <f>IF($Z398="","",CHOOSE($Z398,"Collection Email","1st Follow-up","2nd Follow-up","Local Office","CBE","Roxanne")&amp;IF($Z398=6," - Final"," - Day "&amp;MAX(0,NETWORKDAYS($AA398,TODAY(),Holidays)-1)&amp;" of "&amp;CHOOSE($Z398,3,3,2,2,3))&amp;" | Total Day "&amp;MAX(0,NETWORKDAYS($N398,TODAY(),Holidays)-1))</f>
        <v/>
      </c>
      <c r="X398" s="18"/>
      <c r="Y398" s="18"/>
      <c r="Z398" s="17">
        <f>IF($N398="","",COUNT($N398:$S398))</f>
        <v/>
      </c>
      <c r="AA398" s="19">
        <f>IF($Z398="","",INT(INDEX($N398:$S398,$Z398)))</f>
        <v/>
      </c>
      <c r="AB398" s="19">
        <f>IF(OR($Z398="",$Z398=6),"",WORKDAY($AA398,CHOOSE($Z398,3,3,2,2,3),Holidays))</f>
        <v/>
      </c>
      <c r="AC398" s="17">
        <f>IF(OR($Z398="",$Z398=6),"",CHOOSE($Z398,"1st Email Follow-up","2nd Email Follow-up","Escalate Local Office","Escalate to CBE","Escalate to Roxanne"))</f>
        <v/>
      </c>
    </row>
    <row r="399" spans="13:29">
      <c r="M399" s="14"/>
      <c r="T399" s="16"/>
      <c r="U399" s="17">
        <f>IF(AND(COUNTA($A399:$L399)=0,$N399=""),"",IF($T399="Paid","PAID",IF($T399="Closed","CLOSED",IF($Z399="","",IF($Z399=6,"ESCALATED TO ROXANNE",IF(TODAY()&gt;$AB399,"OVERDUE",IF($AB399&lt;=WORKDAY(TODAY(),1,Holidays),"DUE TOMORROW",IF($Z399=4,"ESCALATED TO LOCAL OFFICE",IF($Z399=5,"ESCALATED TO CBE",IF($AA399=TODAY(),"EMAIL SENT","MONITORING"))))))))))</f>
        <v/>
      </c>
      <c r="V399" s="17">
        <f>IF($U399="",IF(AND(COUNTA($A399:$L399)&gt;0,$N399=""),"Awaiting Collection Email time stamp.",""),IF(OR($U399="PAID",$U399="CLOSED"),IF($U399="PAID","Account paid. Action completed.","Account closed. No further action required."),CHOOSE($Z399,"Collection Email","1st Email Follow-up","2nd Email Follow-up","Escalation to Local Office","Escalation to CBE","Escalation to Roxanne")&amp;" sent "&amp;TEXT($AA399,"dd-mmm")&amp;". "&amp;IF($Z399=6,"Final escalation completed.",IF($U399="OVERDUE","Next: "&amp;$AC399&amp;" was due "&amp;TEXT($AB399,"dd-mmm")&amp;" - "&amp;(NETWORKDAYS($AB399,TODAY(),Holidays)-1)&amp;" business day(s) late. Send now.",IF($U399="DUE TOMORROW","Next: "&amp;$AC399&amp;IF($AB399&lt;=TODAY()," is due TODAY ("," is due next business day (")&amp;TEXT($AB399,"dd-mmm")&amp;").","Next: "&amp;$AC399&amp;" due "&amp;TEXT($AB399,"dd-mmm")&amp;" ("&amp;(NETWORKDAYS(TODAY(),$AB399,Holidays)-1)&amp;" business day(s) left).")))))</f>
        <v/>
      </c>
      <c r="W399" s="17">
        <f>IF($Z399="","",CHOOSE($Z399,"Collection Email","1st Follow-up","2nd Follow-up","Local Office","CBE","Roxanne")&amp;IF($Z399=6," - Final"," - Day "&amp;MAX(0,NETWORKDAYS($AA399,TODAY(),Holidays)-1)&amp;" of "&amp;CHOOSE($Z399,3,3,2,2,3))&amp;" | Total Day "&amp;MAX(0,NETWORKDAYS($N399,TODAY(),Holidays)-1))</f>
        <v/>
      </c>
      <c r="X399" s="18"/>
      <c r="Y399" s="18"/>
      <c r="Z399" s="17">
        <f>IF($N399="","",COUNT($N399:$S399))</f>
        <v/>
      </c>
      <c r="AA399" s="19">
        <f>IF($Z399="","",INT(INDEX($N399:$S399,$Z399)))</f>
        <v/>
      </c>
      <c r="AB399" s="19">
        <f>IF(OR($Z399="",$Z399=6),"",WORKDAY($AA399,CHOOSE($Z399,3,3,2,2,3),Holidays))</f>
        <v/>
      </c>
      <c r="AC399" s="17">
        <f>IF(OR($Z399="",$Z399=6),"",CHOOSE($Z399,"1st Email Follow-up","2nd Email Follow-up","Escalate Local Office","Escalate to CBE","Escalate to Roxanne"))</f>
        <v/>
      </c>
    </row>
    <row r="400" spans="13:29">
      <c r="M400" s="14"/>
      <c r="T400" s="16"/>
      <c r="U400" s="17">
        <f>IF(AND(COUNTA($A400:$L400)=0,$N400=""),"",IF($T400="Paid","PAID",IF($T400="Closed","CLOSED",IF($Z400="","",IF($Z400=6,"ESCALATED TO ROXANNE",IF(TODAY()&gt;$AB400,"OVERDUE",IF($AB400&lt;=WORKDAY(TODAY(),1,Holidays),"DUE TOMORROW",IF($Z400=4,"ESCALATED TO LOCAL OFFICE",IF($Z400=5,"ESCALATED TO CBE",IF($AA400=TODAY(),"EMAIL SENT","MONITORING"))))))))))</f>
        <v/>
      </c>
      <c r="V400" s="17">
        <f>IF($U400="",IF(AND(COUNTA($A400:$L400)&gt;0,$N400=""),"Awaiting Collection Email time stamp.",""),IF(OR($U400="PAID",$U400="CLOSED"),IF($U400="PAID","Account paid. Action completed.","Account closed. No further action required."),CHOOSE($Z400,"Collection Email","1st Email Follow-up","2nd Email Follow-up","Escalation to Local Office","Escalation to CBE","Escalation to Roxanne")&amp;" sent "&amp;TEXT($AA400,"dd-mmm")&amp;". "&amp;IF($Z400=6,"Final escalation completed.",IF($U400="OVERDUE","Next: "&amp;$AC400&amp;" was due "&amp;TEXT($AB400,"dd-mmm")&amp;" - "&amp;(NETWORKDAYS($AB400,TODAY(),Holidays)-1)&amp;" business day(s) late. Send now.",IF($U400="DUE TOMORROW","Next: "&amp;$AC400&amp;IF($AB400&lt;=TODAY()," is due TODAY ("," is due next business day (")&amp;TEXT($AB400,"dd-mmm")&amp;").","Next: "&amp;$AC400&amp;" due "&amp;TEXT($AB400,"dd-mmm")&amp;" ("&amp;(NETWORKDAYS(TODAY(),$AB400,Holidays)-1)&amp;" business day(s) left).")))))</f>
        <v/>
      </c>
      <c r="W400" s="17">
        <f>IF($Z400="","",CHOOSE($Z400,"Collection Email","1st Follow-up","2nd Follow-up","Local Office","CBE","Roxanne")&amp;IF($Z400=6," - Final"," - Day "&amp;MAX(0,NETWORKDAYS($AA400,TODAY(),Holidays)-1)&amp;" of "&amp;CHOOSE($Z400,3,3,2,2,3))&amp;" | Total Day "&amp;MAX(0,NETWORKDAYS($N400,TODAY(),Holidays)-1))</f>
        <v/>
      </c>
      <c r="X400" s="18"/>
      <c r="Y400" s="18"/>
      <c r="Z400" s="17">
        <f>IF($N400="","",COUNT($N400:$S400))</f>
        <v/>
      </c>
      <c r="AA400" s="19">
        <f>IF($Z400="","",INT(INDEX($N400:$S400,$Z400)))</f>
        <v/>
      </c>
      <c r="AB400" s="19">
        <f>IF(OR($Z400="",$Z400=6),"",WORKDAY($AA400,CHOOSE($Z400,3,3,2,2,3),Holidays))</f>
        <v/>
      </c>
      <c r="AC400" s="17">
        <f>IF(OR($Z400="",$Z400=6),"",CHOOSE($Z400,"1st Email Follow-up","2nd Email Follow-up","Escalate Local Office","Escalate to CBE","Escalate to Roxanne"))</f>
        <v/>
      </c>
    </row>
    <row r="401" spans="13:29">
      <c r="M401" s="14"/>
      <c r="T401" s="16"/>
      <c r="U401" s="17">
        <f>IF(AND(COUNTA($A401:$L401)=0,$N401=""),"",IF($T401="Paid","PAID",IF($T401="Closed","CLOSED",IF($Z401="","",IF($Z401=6,"ESCALATED TO ROXANNE",IF(TODAY()&gt;$AB401,"OVERDUE",IF($AB401&lt;=WORKDAY(TODAY(),1,Holidays),"DUE TOMORROW",IF($Z401=4,"ESCALATED TO LOCAL OFFICE",IF($Z401=5,"ESCALATED TO CBE",IF($AA401=TODAY(),"EMAIL SENT","MONITORING"))))))))))</f>
        <v/>
      </c>
      <c r="V401" s="17">
        <f>IF($U401="",IF(AND(COUNTA($A401:$L401)&gt;0,$N401=""),"Awaiting Collection Email time stamp.",""),IF(OR($U401="PAID",$U401="CLOSED"),IF($U401="PAID","Account paid. Action completed.","Account closed. No further action required."),CHOOSE($Z401,"Collection Email","1st Email Follow-up","2nd Email Follow-up","Escalation to Local Office","Escalation to CBE","Escalation to Roxanne")&amp;" sent "&amp;TEXT($AA401,"dd-mmm")&amp;". "&amp;IF($Z401=6,"Final escalation completed.",IF($U401="OVERDUE","Next: "&amp;$AC401&amp;" was due "&amp;TEXT($AB401,"dd-mmm")&amp;" - "&amp;(NETWORKDAYS($AB401,TODAY(),Holidays)-1)&amp;" business day(s) late. Send now.",IF($U401="DUE TOMORROW","Next: "&amp;$AC401&amp;IF($AB401&lt;=TODAY()," is due TODAY ("," is due next business day (")&amp;TEXT($AB401,"dd-mmm")&amp;").","Next: "&amp;$AC401&amp;" due "&amp;TEXT($AB401,"dd-mmm")&amp;" ("&amp;(NETWORKDAYS(TODAY(),$AB401,Holidays)-1)&amp;" business day(s) left).")))))</f>
        <v/>
      </c>
      <c r="W401" s="17">
        <f>IF($Z401="","",CHOOSE($Z401,"Collection Email","1st Follow-up","2nd Follow-up","Local Office","CBE","Roxanne")&amp;IF($Z401=6," - Final"," - Day "&amp;MAX(0,NETWORKDAYS($AA401,TODAY(),Holidays)-1)&amp;" of "&amp;CHOOSE($Z401,3,3,2,2,3))&amp;" | Total Day "&amp;MAX(0,NETWORKDAYS($N401,TODAY(),Holidays)-1))</f>
        <v/>
      </c>
      <c r="X401" s="18"/>
      <c r="Y401" s="18"/>
      <c r="Z401" s="17">
        <f>IF($N401="","",COUNT($N401:$S401))</f>
        <v/>
      </c>
      <c r="AA401" s="19">
        <f>IF($Z401="","",INT(INDEX($N401:$S401,$Z401)))</f>
        <v/>
      </c>
      <c r="AB401" s="19">
        <f>IF(OR($Z401="",$Z401=6),"",WORKDAY($AA401,CHOOSE($Z401,3,3,2,2,3),Holidays))</f>
        <v/>
      </c>
      <c r="AC401" s="17">
        <f>IF(OR($Z401="",$Z401=6),"",CHOOSE($Z401,"1st Email Follow-up","2nd Email Follow-up","Escalate Local Office","Escalate to CBE","Escalate to Roxanne"))</f>
        <v/>
      </c>
    </row>
    <row r="402" spans="13:29">
      <c r="M402" s="14"/>
      <c r="T402" s="16"/>
      <c r="U402" s="17">
        <f>IF(AND(COUNTA($A402:$L402)=0,$N402=""),"",IF($T402="Paid","PAID",IF($T402="Closed","CLOSED",IF($Z402="","",IF($Z402=6,"ESCALATED TO ROXANNE",IF(TODAY()&gt;$AB402,"OVERDUE",IF($AB402&lt;=WORKDAY(TODAY(),1,Holidays),"DUE TOMORROW",IF($Z402=4,"ESCALATED TO LOCAL OFFICE",IF($Z402=5,"ESCALATED TO CBE",IF($AA402=TODAY(),"EMAIL SENT","MONITORING"))))))))))</f>
        <v/>
      </c>
      <c r="V402" s="17">
        <f>IF($U402="",IF(AND(COUNTA($A402:$L402)&gt;0,$N402=""),"Awaiting Collection Email time stamp.",""),IF(OR($U402="PAID",$U402="CLOSED"),IF($U402="PAID","Account paid. Action completed.","Account closed. No further action required."),CHOOSE($Z402,"Collection Email","1st Email Follow-up","2nd Email Follow-up","Escalation to Local Office","Escalation to CBE","Escalation to Roxanne")&amp;" sent "&amp;TEXT($AA402,"dd-mmm")&amp;". "&amp;IF($Z402=6,"Final escalation completed.",IF($U402="OVERDUE","Next: "&amp;$AC402&amp;" was due "&amp;TEXT($AB402,"dd-mmm")&amp;" - "&amp;(NETWORKDAYS($AB402,TODAY(),Holidays)-1)&amp;" business day(s) late. Send now.",IF($U402="DUE TOMORROW","Next: "&amp;$AC402&amp;IF($AB402&lt;=TODAY()," is due TODAY ("," is due next business day (")&amp;TEXT($AB402,"dd-mmm")&amp;").","Next: "&amp;$AC402&amp;" due "&amp;TEXT($AB402,"dd-mmm")&amp;" ("&amp;(NETWORKDAYS(TODAY(),$AB402,Holidays)-1)&amp;" business day(s) left).")))))</f>
        <v/>
      </c>
      <c r="W402" s="17">
        <f>IF($Z402="","",CHOOSE($Z402,"Collection Email","1st Follow-up","2nd Follow-up","Local Office","CBE","Roxanne")&amp;IF($Z402=6," - Final"," - Day "&amp;MAX(0,NETWORKDAYS($AA402,TODAY(),Holidays)-1)&amp;" of "&amp;CHOOSE($Z402,3,3,2,2,3))&amp;" | Total Day "&amp;MAX(0,NETWORKDAYS($N402,TODAY(),Holidays)-1))</f>
        <v/>
      </c>
      <c r="X402" s="18"/>
      <c r="Y402" s="18"/>
      <c r="Z402" s="17">
        <f>IF($N402="","",COUNT($N402:$S402))</f>
        <v/>
      </c>
      <c r="AA402" s="19">
        <f>IF($Z402="","",INT(INDEX($N402:$S402,$Z402)))</f>
        <v/>
      </c>
      <c r="AB402" s="19">
        <f>IF(OR($Z402="",$Z402=6),"",WORKDAY($AA402,CHOOSE($Z402,3,3,2,2,3),Holidays))</f>
        <v/>
      </c>
      <c r="AC402" s="17">
        <f>IF(OR($Z402="",$Z402=6),"",CHOOSE($Z402,"1st Email Follow-up","2nd Email Follow-up","Escalate Local Office","Escalate to CBE","Escalate to Roxanne"))</f>
        <v/>
      </c>
    </row>
    <row r="403" spans="13:29">
      <c r="M403" s="14"/>
      <c r="T403" s="16"/>
      <c r="U403" s="17">
        <f>IF(AND(COUNTA($A403:$L403)=0,$N403=""),"",IF($T403="Paid","PAID",IF($T403="Closed","CLOSED",IF($Z403="","",IF($Z403=6,"ESCALATED TO ROXANNE",IF(TODAY()&gt;$AB403,"OVERDUE",IF($AB403&lt;=WORKDAY(TODAY(),1,Holidays),"DUE TOMORROW",IF($Z403=4,"ESCALATED TO LOCAL OFFICE",IF($Z403=5,"ESCALATED TO CBE",IF($AA403=TODAY(),"EMAIL SENT","MONITORING"))))))))))</f>
        <v/>
      </c>
      <c r="V403" s="17">
        <f>IF($U403="",IF(AND(COUNTA($A403:$L403)&gt;0,$N403=""),"Awaiting Collection Email time stamp.",""),IF(OR($U403="PAID",$U403="CLOSED"),IF($U403="PAID","Account paid. Action completed.","Account closed. No further action required."),CHOOSE($Z403,"Collection Email","1st Email Follow-up","2nd Email Follow-up","Escalation to Local Office","Escalation to CBE","Escalation to Roxanne")&amp;" sent "&amp;TEXT($AA403,"dd-mmm")&amp;". "&amp;IF($Z403=6,"Final escalation completed.",IF($U403="OVERDUE","Next: "&amp;$AC403&amp;" was due "&amp;TEXT($AB403,"dd-mmm")&amp;" - "&amp;(NETWORKDAYS($AB403,TODAY(),Holidays)-1)&amp;" business day(s) late. Send now.",IF($U403="DUE TOMORROW","Next: "&amp;$AC403&amp;IF($AB403&lt;=TODAY()," is due TODAY ("," is due next business day (")&amp;TEXT($AB403,"dd-mmm")&amp;").","Next: "&amp;$AC403&amp;" due "&amp;TEXT($AB403,"dd-mmm")&amp;" ("&amp;(NETWORKDAYS(TODAY(),$AB403,Holidays)-1)&amp;" business day(s) left).")))))</f>
        <v/>
      </c>
      <c r="W403" s="17">
        <f>IF($Z403="","",CHOOSE($Z403,"Collection Email","1st Follow-up","2nd Follow-up","Local Office","CBE","Roxanne")&amp;IF($Z403=6," - Final"," - Day "&amp;MAX(0,NETWORKDAYS($AA403,TODAY(),Holidays)-1)&amp;" of "&amp;CHOOSE($Z403,3,3,2,2,3))&amp;" | Total Day "&amp;MAX(0,NETWORKDAYS($N403,TODAY(),Holidays)-1))</f>
        <v/>
      </c>
      <c r="X403" s="18"/>
      <c r="Y403" s="18"/>
      <c r="Z403" s="17">
        <f>IF($N403="","",COUNT($N403:$S403))</f>
        <v/>
      </c>
      <c r="AA403" s="19">
        <f>IF($Z403="","",INT(INDEX($N403:$S403,$Z403)))</f>
        <v/>
      </c>
      <c r="AB403" s="19">
        <f>IF(OR($Z403="",$Z403=6),"",WORKDAY($AA403,CHOOSE($Z403,3,3,2,2,3),Holidays))</f>
        <v/>
      </c>
      <c r="AC403" s="17">
        <f>IF(OR($Z403="",$Z403=6),"",CHOOSE($Z403,"1st Email Follow-up","2nd Email Follow-up","Escalate Local Office","Escalate to CBE","Escalate to Roxanne"))</f>
        <v/>
      </c>
    </row>
    <row r="404" spans="13:29">
      <c r="M404" s="14"/>
      <c r="T404" s="16"/>
      <c r="U404" s="17">
        <f>IF(AND(COUNTA($A404:$L404)=0,$N404=""),"",IF($T404="Paid","PAID",IF($T404="Closed","CLOSED",IF($Z404="","",IF($Z404=6,"ESCALATED TO ROXANNE",IF(TODAY()&gt;$AB404,"OVERDUE",IF($AB404&lt;=WORKDAY(TODAY(),1,Holidays),"DUE TOMORROW",IF($Z404=4,"ESCALATED TO LOCAL OFFICE",IF($Z404=5,"ESCALATED TO CBE",IF($AA404=TODAY(),"EMAIL SENT","MONITORING"))))))))))</f>
        <v/>
      </c>
      <c r="V404" s="17">
        <f>IF($U404="",IF(AND(COUNTA($A404:$L404)&gt;0,$N404=""),"Awaiting Collection Email time stamp.",""),IF(OR($U404="PAID",$U404="CLOSED"),IF($U404="PAID","Account paid. Action completed.","Account closed. No further action required."),CHOOSE($Z404,"Collection Email","1st Email Follow-up","2nd Email Follow-up","Escalation to Local Office","Escalation to CBE","Escalation to Roxanne")&amp;" sent "&amp;TEXT($AA404,"dd-mmm")&amp;". "&amp;IF($Z404=6,"Final escalation completed.",IF($U404="OVERDUE","Next: "&amp;$AC404&amp;" was due "&amp;TEXT($AB404,"dd-mmm")&amp;" - "&amp;(NETWORKDAYS($AB404,TODAY(),Holidays)-1)&amp;" business day(s) late. Send now.",IF($U404="DUE TOMORROW","Next: "&amp;$AC404&amp;IF($AB404&lt;=TODAY()," is due TODAY ("," is due next business day (")&amp;TEXT($AB404,"dd-mmm")&amp;").","Next: "&amp;$AC404&amp;" due "&amp;TEXT($AB404,"dd-mmm")&amp;" ("&amp;(NETWORKDAYS(TODAY(),$AB404,Holidays)-1)&amp;" business day(s) left).")))))</f>
        <v/>
      </c>
      <c r="W404" s="17">
        <f>IF($Z404="","",CHOOSE($Z404,"Collection Email","1st Follow-up","2nd Follow-up","Local Office","CBE","Roxanne")&amp;IF($Z404=6," - Final"," - Day "&amp;MAX(0,NETWORKDAYS($AA404,TODAY(),Holidays)-1)&amp;" of "&amp;CHOOSE($Z404,3,3,2,2,3))&amp;" | Total Day "&amp;MAX(0,NETWORKDAYS($N404,TODAY(),Holidays)-1))</f>
        <v/>
      </c>
      <c r="X404" s="18"/>
      <c r="Y404" s="18"/>
      <c r="Z404" s="17">
        <f>IF($N404="","",COUNT($N404:$S404))</f>
        <v/>
      </c>
      <c r="AA404" s="19">
        <f>IF($Z404="","",INT(INDEX($N404:$S404,$Z404)))</f>
        <v/>
      </c>
      <c r="AB404" s="19">
        <f>IF(OR($Z404="",$Z404=6),"",WORKDAY($AA404,CHOOSE($Z404,3,3,2,2,3),Holidays))</f>
        <v/>
      </c>
      <c r="AC404" s="17">
        <f>IF(OR($Z404="",$Z404=6),"",CHOOSE($Z404,"1st Email Follow-up","2nd Email Follow-up","Escalate Local Office","Escalate to CBE","Escalate to Roxanne"))</f>
        <v/>
      </c>
    </row>
    <row r="405" spans="13:29">
      <c r="M405" s="14"/>
      <c r="T405" s="16"/>
      <c r="U405" s="17">
        <f>IF(AND(COUNTA($A405:$L405)=0,$N405=""),"",IF($T405="Paid","PAID",IF($T405="Closed","CLOSED",IF($Z405="","",IF($Z405=6,"ESCALATED TO ROXANNE",IF(TODAY()&gt;$AB405,"OVERDUE",IF($AB405&lt;=WORKDAY(TODAY(),1,Holidays),"DUE TOMORROW",IF($Z405=4,"ESCALATED TO LOCAL OFFICE",IF($Z405=5,"ESCALATED TO CBE",IF($AA405=TODAY(),"EMAIL SENT","MONITORING"))))))))))</f>
        <v/>
      </c>
      <c r="V405" s="17">
        <f>IF($U405="",IF(AND(COUNTA($A405:$L405)&gt;0,$N405=""),"Awaiting Collection Email time stamp.",""),IF(OR($U405="PAID",$U405="CLOSED"),IF($U405="PAID","Account paid. Action completed.","Account closed. No further action required."),CHOOSE($Z405,"Collection Email","1st Email Follow-up","2nd Email Follow-up","Escalation to Local Office","Escalation to CBE","Escalation to Roxanne")&amp;" sent "&amp;TEXT($AA405,"dd-mmm")&amp;". "&amp;IF($Z405=6,"Final escalation completed.",IF($U405="OVERDUE","Next: "&amp;$AC405&amp;" was due "&amp;TEXT($AB405,"dd-mmm")&amp;" - "&amp;(NETWORKDAYS($AB405,TODAY(),Holidays)-1)&amp;" business day(s) late. Send now.",IF($U405="DUE TOMORROW","Next: "&amp;$AC405&amp;IF($AB405&lt;=TODAY()," is due TODAY ("," is due next business day (")&amp;TEXT($AB405,"dd-mmm")&amp;").","Next: "&amp;$AC405&amp;" due "&amp;TEXT($AB405,"dd-mmm")&amp;" ("&amp;(NETWORKDAYS(TODAY(),$AB405,Holidays)-1)&amp;" business day(s) left).")))))</f>
        <v/>
      </c>
      <c r="W405" s="17">
        <f>IF($Z405="","",CHOOSE($Z405,"Collection Email","1st Follow-up","2nd Follow-up","Local Office","CBE","Roxanne")&amp;IF($Z405=6," - Final"," - Day "&amp;MAX(0,NETWORKDAYS($AA405,TODAY(),Holidays)-1)&amp;" of "&amp;CHOOSE($Z405,3,3,2,2,3))&amp;" | Total Day "&amp;MAX(0,NETWORKDAYS($N405,TODAY(),Holidays)-1))</f>
        <v/>
      </c>
      <c r="X405" s="18"/>
      <c r="Y405" s="18"/>
      <c r="Z405" s="17">
        <f>IF($N405="","",COUNT($N405:$S405))</f>
        <v/>
      </c>
      <c r="AA405" s="19">
        <f>IF($Z405="","",INT(INDEX($N405:$S405,$Z405)))</f>
        <v/>
      </c>
      <c r="AB405" s="19">
        <f>IF(OR($Z405="",$Z405=6),"",WORKDAY($AA405,CHOOSE($Z405,3,3,2,2,3),Holidays))</f>
        <v/>
      </c>
      <c r="AC405" s="17">
        <f>IF(OR($Z405="",$Z405=6),"",CHOOSE($Z405,"1st Email Follow-up","2nd Email Follow-up","Escalate Local Office","Escalate to CBE","Escalate to Roxanne"))</f>
        <v/>
      </c>
    </row>
    <row r="406" spans="13:29">
      <c r="M406" s="14"/>
      <c r="T406" s="16"/>
      <c r="U406" s="17">
        <f>IF(AND(COUNTA($A406:$L406)=0,$N406=""),"",IF($T406="Paid","PAID",IF($T406="Closed","CLOSED",IF($Z406="","",IF($Z406=6,"ESCALATED TO ROXANNE",IF(TODAY()&gt;$AB406,"OVERDUE",IF($AB406&lt;=WORKDAY(TODAY(),1,Holidays),"DUE TOMORROW",IF($Z406=4,"ESCALATED TO LOCAL OFFICE",IF($Z406=5,"ESCALATED TO CBE",IF($AA406=TODAY(),"EMAIL SENT","MONITORING"))))))))))</f>
        <v/>
      </c>
      <c r="V406" s="17">
        <f>IF($U406="",IF(AND(COUNTA($A406:$L406)&gt;0,$N406=""),"Awaiting Collection Email time stamp.",""),IF(OR($U406="PAID",$U406="CLOSED"),IF($U406="PAID","Account paid. Action completed.","Account closed. No further action required."),CHOOSE($Z406,"Collection Email","1st Email Follow-up","2nd Email Follow-up","Escalation to Local Office","Escalation to CBE","Escalation to Roxanne")&amp;" sent "&amp;TEXT($AA406,"dd-mmm")&amp;". "&amp;IF($Z406=6,"Final escalation completed.",IF($U406="OVERDUE","Next: "&amp;$AC406&amp;" was due "&amp;TEXT($AB406,"dd-mmm")&amp;" - "&amp;(NETWORKDAYS($AB406,TODAY(),Holidays)-1)&amp;" business day(s) late. Send now.",IF($U406="DUE TOMORROW","Next: "&amp;$AC406&amp;IF($AB406&lt;=TODAY()," is due TODAY ("," is due next business day (")&amp;TEXT($AB406,"dd-mmm")&amp;").","Next: "&amp;$AC406&amp;" due "&amp;TEXT($AB406,"dd-mmm")&amp;" ("&amp;(NETWORKDAYS(TODAY(),$AB406,Holidays)-1)&amp;" business day(s) left).")))))</f>
        <v/>
      </c>
      <c r="W406" s="17">
        <f>IF($Z406="","",CHOOSE($Z406,"Collection Email","1st Follow-up","2nd Follow-up","Local Office","CBE","Roxanne")&amp;IF($Z406=6," - Final"," - Day "&amp;MAX(0,NETWORKDAYS($AA406,TODAY(),Holidays)-1)&amp;" of "&amp;CHOOSE($Z406,3,3,2,2,3))&amp;" | Total Day "&amp;MAX(0,NETWORKDAYS($N406,TODAY(),Holidays)-1))</f>
        <v/>
      </c>
      <c r="X406" s="18"/>
      <c r="Y406" s="18"/>
      <c r="Z406" s="17">
        <f>IF($N406="","",COUNT($N406:$S406))</f>
        <v/>
      </c>
      <c r="AA406" s="19">
        <f>IF($Z406="","",INT(INDEX($N406:$S406,$Z406)))</f>
        <v/>
      </c>
      <c r="AB406" s="19">
        <f>IF(OR($Z406="",$Z406=6),"",WORKDAY($AA406,CHOOSE($Z406,3,3,2,2,3),Holidays))</f>
        <v/>
      </c>
      <c r="AC406" s="17">
        <f>IF(OR($Z406="",$Z406=6),"",CHOOSE($Z406,"1st Email Follow-up","2nd Email Follow-up","Escalate Local Office","Escalate to CBE","Escalate to Roxanne"))</f>
        <v/>
      </c>
    </row>
    <row r="407" spans="13:29">
      <c r="M407" s="14"/>
      <c r="T407" s="16"/>
      <c r="U407" s="17">
        <f>IF(AND(COUNTA($A407:$L407)=0,$N407=""),"",IF($T407="Paid","PAID",IF($T407="Closed","CLOSED",IF($Z407="","",IF($Z407=6,"ESCALATED TO ROXANNE",IF(TODAY()&gt;$AB407,"OVERDUE",IF($AB407&lt;=WORKDAY(TODAY(),1,Holidays),"DUE TOMORROW",IF($Z407=4,"ESCALATED TO LOCAL OFFICE",IF($Z407=5,"ESCALATED TO CBE",IF($AA407=TODAY(),"EMAIL SENT","MONITORING"))))))))))</f>
        <v/>
      </c>
      <c r="V407" s="17">
        <f>IF($U407="",IF(AND(COUNTA($A407:$L407)&gt;0,$N407=""),"Awaiting Collection Email time stamp.",""),IF(OR($U407="PAID",$U407="CLOSED"),IF($U407="PAID","Account paid. Action completed.","Account closed. No further action required."),CHOOSE($Z407,"Collection Email","1st Email Follow-up","2nd Email Follow-up","Escalation to Local Office","Escalation to CBE","Escalation to Roxanne")&amp;" sent "&amp;TEXT($AA407,"dd-mmm")&amp;". "&amp;IF($Z407=6,"Final escalation completed.",IF($U407="OVERDUE","Next: "&amp;$AC407&amp;" was due "&amp;TEXT($AB407,"dd-mmm")&amp;" - "&amp;(NETWORKDAYS($AB407,TODAY(),Holidays)-1)&amp;" business day(s) late. Send now.",IF($U407="DUE TOMORROW","Next: "&amp;$AC407&amp;IF($AB407&lt;=TODAY()," is due TODAY ("," is due next business day (")&amp;TEXT($AB407,"dd-mmm")&amp;").","Next: "&amp;$AC407&amp;" due "&amp;TEXT($AB407,"dd-mmm")&amp;" ("&amp;(NETWORKDAYS(TODAY(),$AB407,Holidays)-1)&amp;" business day(s) left).")))))</f>
        <v/>
      </c>
      <c r="W407" s="17">
        <f>IF($Z407="","",CHOOSE($Z407,"Collection Email","1st Follow-up","2nd Follow-up","Local Office","CBE","Roxanne")&amp;IF($Z407=6," - Final"," - Day "&amp;MAX(0,NETWORKDAYS($AA407,TODAY(),Holidays)-1)&amp;" of "&amp;CHOOSE($Z407,3,3,2,2,3))&amp;" | Total Day "&amp;MAX(0,NETWORKDAYS($N407,TODAY(),Holidays)-1))</f>
        <v/>
      </c>
      <c r="X407" s="18"/>
      <c r="Y407" s="18"/>
      <c r="Z407" s="17">
        <f>IF($N407="","",COUNT($N407:$S407))</f>
        <v/>
      </c>
      <c r="AA407" s="19">
        <f>IF($Z407="","",INT(INDEX($N407:$S407,$Z407)))</f>
        <v/>
      </c>
      <c r="AB407" s="19">
        <f>IF(OR($Z407="",$Z407=6),"",WORKDAY($AA407,CHOOSE($Z407,3,3,2,2,3),Holidays))</f>
        <v/>
      </c>
      <c r="AC407" s="17">
        <f>IF(OR($Z407="",$Z407=6),"",CHOOSE($Z407,"1st Email Follow-up","2nd Email Follow-up","Escalate Local Office","Escalate to CBE","Escalate to Roxanne"))</f>
        <v/>
      </c>
    </row>
    <row r="408" spans="13:29">
      <c r="M408" s="14"/>
      <c r="T408" s="16"/>
      <c r="U408" s="17">
        <f>IF(AND(COUNTA($A408:$L408)=0,$N408=""),"",IF($T408="Paid","PAID",IF($T408="Closed","CLOSED",IF($Z408="","",IF($Z408=6,"ESCALATED TO ROXANNE",IF(TODAY()&gt;$AB408,"OVERDUE",IF($AB408&lt;=WORKDAY(TODAY(),1,Holidays),"DUE TOMORROW",IF($Z408=4,"ESCALATED TO LOCAL OFFICE",IF($Z408=5,"ESCALATED TO CBE",IF($AA408=TODAY(),"EMAIL SENT","MONITORING"))))))))))</f>
        <v/>
      </c>
      <c r="V408" s="17">
        <f>IF($U408="",IF(AND(COUNTA($A408:$L408)&gt;0,$N408=""),"Awaiting Collection Email time stamp.",""),IF(OR($U408="PAID",$U408="CLOSED"),IF($U408="PAID","Account paid. Action completed.","Account closed. No further action required."),CHOOSE($Z408,"Collection Email","1st Email Follow-up","2nd Email Follow-up","Escalation to Local Office","Escalation to CBE","Escalation to Roxanne")&amp;" sent "&amp;TEXT($AA408,"dd-mmm")&amp;". "&amp;IF($Z408=6,"Final escalation completed.",IF($U408="OVERDUE","Next: "&amp;$AC408&amp;" was due "&amp;TEXT($AB408,"dd-mmm")&amp;" - "&amp;(NETWORKDAYS($AB408,TODAY(),Holidays)-1)&amp;" business day(s) late. Send now.",IF($U408="DUE TOMORROW","Next: "&amp;$AC408&amp;IF($AB408&lt;=TODAY()," is due TODAY ("," is due next business day (")&amp;TEXT($AB408,"dd-mmm")&amp;").","Next: "&amp;$AC408&amp;" due "&amp;TEXT($AB408,"dd-mmm")&amp;" ("&amp;(NETWORKDAYS(TODAY(),$AB408,Holidays)-1)&amp;" business day(s) left).")))))</f>
        <v/>
      </c>
      <c r="W408" s="17">
        <f>IF($Z408="","",CHOOSE($Z408,"Collection Email","1st Follow-up","2nd Follow-up","Local Office","CBE","Roxanne")&amp;IF($Z408=6," - Final"," - Day "&amp;MAX(0,NETWORKDAYS($AA408,TODAY(),Holidays)-1)&amp;" of "&amp;CHOOSE($Z408,3,3,2,2,3))&amp;" | Total Day "&amp;MAX(0,NETWORKDAYS($N408,TODAY(),Holidays)-1))</f>
        <v/>
      </c>
      <c r="X408" s="18"/>
      <c r="Y408" s="18"/>
      <c r="Z408" s="17">
        <f>IF($N408="","",COUNT($N408:$S408))</f>
        <v/>
      </c>
      <c r="AA408" s="19">
        <f>IF($Z408="","",INT(INDEX($N408:$S408,$Z408)))</f>
        <v/>
      </c>
      <c r="AB408" s="19">
        <f>IF(OR($Z408="",$Z408=6),"",WORKDAY($AA408,CHOOSE($Z408,3,3,2,2,3),Holidays))</f>
        <v/>
      </c>
      <c r="AC408" s="17">
        <f>IF(OR($Z408="",$Z408=6),"",CHOOSE($Z408,"1st Email Follow-up","2nd Email Follow-up","Escalate Local Office","Escalate to CBE","Escalate to Roxanne"))</f>
        <v/>
      </c>
    </row>
    <row r="409" spans="13:29">
      <c r="M409" s="14"/>
      <c r="T409" s="16"/>
      <c r="U409" s="17">
        <f>IF(AND(COUNTA($A409:$L409)=0,$N409=""),"",IF($T409="Paid","PAID",IF($T409="Closed","CLOSED",IF($Z409="","",IF($Z409=6,"ESCALATED TO ROXANNE",IF(TODAY()&gt;$AB409,"OVERDUE",IF($AB409&lt;=WORKDAY(TODAY(),1,Holidays),"DUE TOMORROW",IF($Z409=4,"ESCALATED TO LOCAL OFFICE",IF($Z409=5,"ESCALATED TO CBE",IF($AA409=TODAY(),"EMAIL SENT","MONITORING"))))))))))</f>
        <v/>
      </c>
      <c r="V409" s="17">
        <f>IF($U409="",IF(AND(COUNTA($A409:$L409)&gt;0,$N409=""),"Awaiting Collection Email time stamp.",""),IF(OR($U409="PAID",$U409="CLOSED"),IF($U409="PAID","Account paid. Action completed.","Account closed. No further action required."),CHOOSE($Z409,"Collection Email","1st Email Follow-up","2nd Email Follow-up","Escalation to Local Office","Escalation to CBE","Escalation to Roxanne")&amp;" sent "&amp;TEXT($AA409,"dd-mmm")&amp;". "&amp;IF($Z409=6,"Final escalation completed.",IF($U409="OVERDUE","Next: "&amp;$AC409&amp;" was due "&amp;TEXT($AB409,"dd-mmm")&amp;" - "&amp;(NETWORKDAYS($AB409,TODAY(),Holidays)-1)&amp;" business day(s) late. Send now.",IF($U409="DUE TOMORROW","Next: "&amp;$AC409&amp;IF($AB409&lt;=TODAY()," is due TODAY ("," is due next business day (")&amp;TEXT($AB409,"dd-mmm")&amp;").","Next: "&amp;$AC409&amp;" due "&amp;TEXT($AB409,"dd-mmm")&amp;" ("&amp;(NETWORKDAYS(TODAY(),$AB409,Holidays)-1)&amp;" business day(s) left).")))))</f>
        <v/>
      </c>
      <c r="W409" s="17">
        <f>IF($Z409="","",CHOOSE($Z409,"Collection Email","1st Follow-up","2nd Follow-up","Local Office","CBE","Roxanne")&amp;IF($Z409=6," - Final"," - Day "&amp;MAX(0,NETWORKDAYS($AA409,TODAY(),Holidays)-1)&amp;" of "&amp;CHOOSE($Z409,3,3,2,2,3))&amp;" | Total Day "&amp;MAX(0,NETWORKDAYS($N409,TODAY(),Holidays)-1))</f>
        <v/>
      </c>
      <c r="X409" s="18"/>
      <c r="Y409" s="18"/>
      <c r="Z409" s="17">
        <f>IF($N409="","",COUNT($N409:$S409))</f>
        <v/>
      </c>
      <c r="AA409" s="19">
        <f>IF($Z409="","",INT(INDEX($N409:$S409,$Z409)))</f>
        <v/>
      </c>
      <c r="AB409" s="19">
        <f>IF(OR($Z409="",$Z409=6),"",WORKDAY($AA409,CHOOSE($Z409,3,3,2,2,3),Holidays))</f>
        <v/>
      </c>
      <c r="AC409" s="17">
        <f>IF(OR($Z409="",$Z409=6),"",CHOOSE($Z409,"1st Email Follow-up","2nd Email Follow-up","Escalate Local Office","Escalate to CBE","Escalate to Roxanne"))</f>
        <v/>
      </c>
    </row>
    <row r="410" spans="13:29">
      <c r="M410" s="14"/>
      <c r="T410" s="16"/>
      <c r="U410" s="17">
        <f>IF(AND(COUNTA($A410:$L410)=0,$N410=""),"",IF($T410="Paid","PAID",IF($T410="Closed","CLOSED",IF($Z410="","",IF($Z410=6,"ESCALATED TO ROXANNE",IF(TODAY()&gt;$AB410,"OVERDUE",IF($AB410&lt;=WORKDAY(TODAY(),1,Holidays),"DUE TOMORROW",IF($Z410=4,"ESCALATED TO LOCAL OFFICE",IF($Z410=5,"ESCALATED TO CBE",IF($AA410=TODAY(),"EMAIL SENT","MONITORING"))))))))))</f>
        <v/>
      </c>
      <c r="V410" s="17">
        <f>IF($U410="",IF(AND(COUNTA($A410:$L410)&gt;0,$N410=""),"Awaiting Collection Email time stamp.",""),IF(OR($U410="PAID",$U410="CLOSED"),IF($U410="PAID","Account paid. Action completed.","Account closed. No further action required."),CHOOSE($Z410,"Collection Email","1st Email Follow-up","2nd Email Follow-up","Escalation to Local Office","Escalation to CBE","Escalation to Roxanne")&amp;" sent "&amp;TEXT($AA410,"dd-mmm")&amp;". "&amp;IF($Z410=6,"Final escalation completed.",IF($U410="OVERDUE","Next: "&amp;$AC410&amp;" was due "&amp;TEXT($AB410,"dd-mmm")&amp;" - "&amp;(NETWORKDAYS($AB410,TODAY(),Holidays)-1)&amp;" business day(s) late. Send now.",IF($U410="DUE TOMORROW","Next: "&amp;$AC410&amp;IF($AB410&lt;=TODAY()," is due TODAY ("," is due next business day (")&amp;TEXT($AB410,"dd-mmm")&amp;").","Next: "&amp;$AC410&amp;" due "&amp;TEXT($AB410,"dd-mmm")&amp;" ("&amp;(NETWORKDAYS(TODAY(),$AB410,Holidays)-1)&amp;" business day(s) left).")))))</f>
        <v/>
      </c>
      <c r="W410" s="17">
        <f>IF($Z410="","",CHOOSE($Z410,"Collection Email","1st Follow-up","2nd Follow-up","Local Office","CBE","Roxanne")&amp;IF($Z410=6," - Final"," - Day "&amp;MAX(0,NETWORKDAYS($AA410,TODAY(),Holidays)-1)&amp;" of "&amp;CHOOSE($Z410,3,3,2,2,3))&amp;" | Total Day "&amp;MAX(0,NETWORKDAYS($N410,TODAY(),Holidays)-1))</f>
        <v/>
      </c>
      <c r="X410" s="18"/>
      <c r="Y410" s="18"/>
      <c r="Z410" s="17">
        <f>IF($N410="","",COUNT($N410:$S410))</f>
        <v/>
      </c>
      <c r="AA410" s="19">
        <f>IF($Z410="","",INT(INDEX($N410:$S410,$Z410)))</f>
        <v/>
      </c>
      <c r="AB410" s="19">
        <f>IF(OR($Z410="",$Z410=6),"",WORKDAY($AA410,CHOOSE($Z410,3,3,2,2,3),Holidays))</f>
        <v/>
      </c>
      <c r="AC410" s="17">
        <f>IF(OR($Z410="",$Z410=6),"",CHOOSE($Z410,"1st Email Follow-up","2nd Email Follow-up","Escalate Local Office","Escalate to CBE","Escalate to Roxanne"))</f>
        <v/>
      </c>
    </row>
    <row r="411" spans="13:29">
      <c r="M411" s="14"/>
      <c r="T411" s="16"/>
      <c r="U411" s="17">
        <f>IF(AND(COUNTA($A411:$L411)=0,$N411=""),"",IF($T411="Paid","PAID",IF($T411="Closed","CLOSED",IF($Z411="","",IF($Z411=6,"ESCALATED TO ROXANNE",IF(TODAY()&gt;$AB411,"OVERDUE",IF($AB411&lt;=WORKDAY(TODAY(),1,Holidays),"DUE TOMORROW",IF($Z411=4,"ESCALATED TO LOCAL OFFICE",IF($Z411=5,"ESCALATED TO CBE",IF($AA411=TODAY(),"EMAIL SENT","MONITORING"))))))))))</f>
        <v/>
      </c>
      <c r="V411" s="17">
        <f>IF($U411="",IF(AND(COUNTA($A411:$L411)&gt;0,$N411=""),"Awaiting Collection Email time stamp.",""),IF(OR($U411="PAID",$U411="CLOSED"),IF($U411="PAID","Account paid. Action completed.","Account closed. No further action required."),CHOOSE($Z411,"Collection Email","1st Email Follow-up","2nd Email Follow-up","Escalation to Local Office","Escalation to CBE","Escalation to Roxanne")&amp;" sent "&amp;TEXT($AA411,"dd-mmm")&amp;". "&amp;IF($Z411=6,"Final escalation completed.",IF($U411="OVERDUE","Next: "&amp;$AC411&amp;" was due "&amp;TEXT($AB411,"dd-mmm")&amp;" - "&amp;(NETWORKDAYS($AB411,TODAY(),Holidays)-1)&amp;" business day(s) late. Send now.",IF($U411="DUE TOMORROW","Next: "&amp;$AC411&amp;IF($AB411&lt;=TODAY()," is due TODAY ("," is due next business day (")&amp;TEXT($AB411,"dd-mmm")&amp;").","Next: "&amp;$AC411&amp;" due "&amp;TEXT($AB411,"dd-mmm")&amp;" ("&amp;(NETWORKDAYS(TODAY(),$AB411,Holidays)-1)&amp;" business day(s) left).")))))</f>
        <v/>
      </c>
      <c r="W411" s="17">
        <f>IF($Z411="","",CHOOSE($Z411,"Collection Email","1st Follow-up","2nd Follow-up","Local Office","CBE","Roxanne")&amp;IF($Z411=6," - Final"," - Day "&amp;MAX(0,NETWORKDAYS($AA411,TODAY(),Holidays)-1)&amp;" of "&amp;CHOOSE($Z411,3,3,2,2,3))&amp;" | Total Day "&amp;MAX(0,NETWORKDAYS($N411,TODAY(),Holidays)-1))</f>
        <v/>
      </c>
      <c r="X411" s="18"/>
      <c r="Y411" s="18"/>
      <c r="Z411" s="17">
        <f>IF($N411="","",COUNT($N411:$S411))</f>
        <v/>
      </c>
      <c r="AA411" s="19">
        <f>IF($Z411="","",INT(INDEX($N411:$S411,$Z411)))</f>
        <v/>
      </c>
      <c r="AB411" s="19">
        <f>IF(OR($Z411="",$Z411=6),"",WORKDAY($AA411,CHOOSE($Z411,3,3,2,2,3),Holidays))</f>
        <v/>
      </c>
      <c r="AC411" s="17">
        <f>IF(OR($Z411="",$Z411=6),"",CHOOSE($Z411,"1st Email Follow-up","2nd Email Follow-up","Escalate Local Office","Escalate to CBE","Escalate to Roxanne"))</f>
        <v/>
      </c>
    </row>
    <row r="412" spans="13:29">
      <c r="M412" s="14"/>
      <c r="T412" s="16"/>
      <c r="U412" s="17">
        <f>IF(AND(COUNTA($A412:$L412)=0,$N412=""),"",IF($T412="Paid","PAID",IF($T412="Closed","CLOSED",IF($Z412="","",IF($Z412=6,"ESCALATED TO ROXANNE",IF(TODAY()&gt;$AB412,"OVERDUE",IF($AB412&lt;=WORKDAY(TODAY(),1,Holidays),"DUE TOMORROW",IF($Z412=4,"ESCALATED TO LOCAL OFFICE",IF($Z412=5,"ESCALATED TO CBE",IF($AA412=TODAY(),"EMAIL SENT","MONITORING"))))))))))</f>
        <v/>
      </c>
      <c r="V412" s="17">
        <f>IF($U412="",IF(AND(COUNTA($A412:$L412)&gt;0,$N412=""),"Awaiting Collection Email time stamp.",""),IF(OR($U412="PAID",$U412="CLOSED"),IF($U412="PAID","Account paid. Action completed.","Account closed. No further action required."),CHOOSE($Z412,"Collection Email","1st Email Follow-up","2nd Email Follow-up","Escalation to Local Office","Escalation to CBE","Escalation to Roxanne")&amp;" sent "&amp;TEXT($AA412,"dd-mmm")&amp;". "&amp;IF($Z412=6,"Final escalation completed.",IF($U412="OVERDUE","Next: "&amp;$AC412&amp;" was due "&amp;TEXT($AB412,"dd-mmm")&amp;" - "&amp;(NETWORKDAYS($AB412,TODAY(),Holidays)-1)&amp;" business day(s) late. Send now.",IF($U412="DUE TOMORROW","Next: "&amp;$AC412&amp;IF($AB412&lt;=TODAY()," is due TODAY ("," is due next business day (")&amp;TEXT($AB412,"dd-mmm")&amp;").","Next: "&amp;$AC412&amp;" due "&amp;TEXT($AB412,"dd-mmm")&amp;" ("&amp;(NETWORKDAYS(TODAY(),$AB412,Holidays)-1)&amp;" business day(s) left).")))))</f>
        <v/>
      </c>
      <c r="W412" s="17">
        <f>IF($Z412="","",CHOOSE($Z412,"Collection Email","1st Follow-up","2nd Follow-up","Local Office","CBE","Roxanne")&amp;IF($Z412=6," - Final"," - Day "&amp;MAX(0,NETWORKDAYS($AA412,TODAY(),Holidays)-1)&amp;" of "&amp;CHOOSE($Z412,3,3,2,2,3))&amp;" | Total Day "&amp;MAX(0,NETWORKDAYS($N412,TODAY(),Holidays)-1))</f>
        <v/>
      </c>
      <c r="X412" s="18"/>
      <c r="Y412" s="18"/>
      <c r="Z412" s="17">
        <f>IF($N412="","",COUNT($N412:$S412))</f>
        <v/>
      </c>
      <c r="AA412" s="19">
        <f>IF($Z412="","",INT(INDEX($N412:$S412,$Z412)))</f>
        <v/>
      </c>
      <c r="AB412" s="19">
        <f>IF(OR($Z412="",$Z412=6),"",WORKDAY($AA412,CHOOSE($Z412,3,3,2,2,3),Holidays))</f>
        <v/>
      </c>
      <c r="AC412" s="17">
        <f>IF(OR($Z412="",$Z412=6),"",CHOOSE($Z412,"1st Email Follow-up","2nd Email Follow-up","Escalate Local Office","Escalate to CBE","Escalate to Roxanne"))</f>
        <v/>
      </c>
    </row>
    <row r="413" spans="13:29">
      <c r="M413" s="14"/>
      <c r="T413" s="16"/>
      <c r="U413" s="17">
        <f>IF(AND(COUNTA($A413:$L413)=0,$N413=""),"",IF($T413="Paid","PAID",IF($T413="Closed","CLOSED",IF($Z413="","",IF($Z413=6,"ESCALATED TO ROXANNE",IF(TODAY()&gt;$AB413,"OVERDUE",IF($AB413&lt;=WORKDAY(TODAY(),1,Holidays),"DUE TOMORROW",IF($Z413=4,"ESCALATED TO LOCAL OFFICE",IF($Z413=5,"ESCALATED TO CBE",IF($AA413=TODAY(),"EMAIL SENT","MONITORING"))))))))))</f>
        <v/>
      </c>
      <c r="V413" s="17">
        <f>IF($U413="",IF(AND(COUNTA($A413:$L413)&gt;0,$N413=""),"Awaiting Collection Email time stamp.",""),IF(OR($U413="PAID",$U413="CLOSED"),IF($U413="PAID","Account paid. Action completed.","Account closed. No further action required."),CHOOSE($Z413,"Collection Email","1st Email Follow-up","2nd Email Follow-up","Escalation to Local Office","Escalation to CBE","Escalation to Roxanne")&amp;" sent "&amp;TEXT($AA413,"dd-mmm")&amp;". "&amp;IF($Z413=6,"Final escalation completed.",IF($U413="OVERDUE","Next: "&amp;$AC413&amp;" was due "&amp;TEXT($AB413,"dd-mmm")&amp;" - "&amp;(NETWORKDAYS($AB413,TODAY(),Holidays)-1)&amp;" business day(s) late. Send now.",IF($U413="DUE TOMORROW","Next: "&amp;$AC413&amp;IF($AB413&lt;=TODAY()," is due TODAY ("," is due next business day (")&amp;TEXT($AB413,"dd-mmm")&amp;").","Next: "&amp;$AC413&amp;" due "&amp;TEXT($AB413,"dd-mmm")&amp;" ("&amp;(NETWORKDAYS(TODAY(),$AB413,Holidays)-1)&amp;" business day(s) left).")))))</f>
        <v/>
      </c>
      <c r="W413" s="17">
        <f>IF($Z413="","",CHOOSE($Z413,"Collection Email","1st Follow-up","2nd Follow-up","Local Office","CBE","Roxanne")&amp;IF($Z413=6," - Final"," - Day "&amp;MAX(0,NETWORKDAYS($AA413,TODAY(),Holidays)-1)&amp;" of "&amp;CHOOSE($Z413,3,3,2,2,3))&amp;" | Total Day "&amp;MAX(0,NETWORKDAYS($N413,TODAY(),Holidays)-1))</f>
        <v/>
      </c>
      <c r="X413" s="18"/>
      <c r="Y413" s="18"/>
      <c r="Z413" s="17">
        <f>IF($N413="","",COUNT($N413:$S413))</f>
        <v/>
      </c>
      <c r="AA413" s="19">
        <f>IF($Z413="","",INT(INDEX($N413:$S413,$Z413)))</f>
        <v/>
      </c>
      <c r="AB413" s="19">
        <f>IF(OR($Z413="",$Z413=6),"",WORKDAY($AA413,CHOOSE($Z413,3,3,2,2,3),Holidays))</f>
        <v/>
      </c>
      <c r="AC413" s="17">
        <f>IF(OR($Z413="",$Z413=6),"",CHOOSE($Z413,"1st Email Follow-up","2nd Email Follow-up","Escalate Local Office","Escalate to CBE","Escalate to Roxanne"))</f>
        <v/>
      </c>
    </row>
    <row r="414" spans="13:29">
      <c r="M414" s="14"/>
      <c r="T414" s="16"/>
      <c r="U414" s="17">
        <f>IF(AND(COUNTA($A414:$L414)=0,$N414=""),"",IF($T414="Paid","PAID",IF($T414="Closed","CLOSED",IF($Z414="","",IF($Z414=6,"ESCALATED TO ROXANNE",IF(TODAY()&gt;$AB414,"OVERDUE",IF($AB414&lt;=WORKDAY(TODAY(),1,Holidays),"DUE TOMORROW",IF($Z414=4,"ESCALATED TO LOCAL OFFICE",IF($Z414=5,"ESCALATED TO CBE",IF($AA414=TODAY(),"EMAIL SENT","MONITORING"))))))))))</f>
        <v/>
      </c>
      <c r="V414" s="17">
        <f>IF($U414="",IF(AND(COUNTA($A414:$L414)&gt;0,$N414=""),"Awaiting Collection Email time stamp.",""),IF(OR($U414="PAID",$U414="CLOSED"),IF($U414="PAID","Account paid. Action completed.","Account closed. No further action required."),CHOOSE($Z414,"Collection Email","1st Email Follow-up","2nd Email Follow-up","Escalation to Local Office","Escalation to CBE","Escalation to Roxanne")&amp;" sent "&amp;TEXT($AA414,"dd-mmm")&amp;". "&amp;IF($Z414=6,"Final escalation completed.",IF($U414="OVERDUE","Next: "&amp;$AC414&amp;" was due "&amp;TEXT($AB414,"dd-mmm")&amp;" - "&amp;(NETWORKDAYS($AB414,TODAY(),Holidays)-1)&amp;" business day(s) late. Send now.",IF($U414="DUE TOMORROW","Next: "&amp;$AC414&amp;IF($AB414&lt;=TODAY()," is due TODAY ("," is due next business day (")&amp;TEXT($AB414,"dd-mmm")&amp;").","Next: "&amp;$AC414&amp;" due "&amp;TEXT($AB414,"dd-mmm")&amp;" ("&amp;(NETWORKDAYS(TODAY(),$AB414,Holidays)-1)&amp;" business day(s) left).")))))</f>
        <v/>
      </c>
      <c r="W414" s="17">
        <f>IF($Z414="","",CHOOSE($Z414,"Collection Email","1st Follow-up","2nd Follow-up","Local Office","CBE","Roxanne")&amp;IF($Z414=6," - Final"," - Day "&amp;MAX(0,NETWORKDAYS($AA414,TODAY(),Holidays)-1)&amp;" of "&amp;CHOOSE($Z414,3,3,2,2,3))&amp;" | Total Day "&amp;MAX(0,NETWORKDAYS($N414,TODAY(),Holidays)-1))</f>
        <v/>
      </c>
      <c r="X414" s="18"/>
      <c r="Y414" s="18"/>
      <c r="Z414" s="17">
        <f>IF($N414="","",COUNT($N414:$S414))</f>
        <v/>
      </c>
      <c r="AA414" s="19">
        <f>IF($Z414="","",INT(INDEX($N414:$S414,$Z414)))</f>
        <v/>
      </c>
      <c r="AB414" s="19">
        <f>IF(OR($Z414="",$Z414=6),"",WORKDAY($AA414,CHOOSE($Z414,3,3,2,2,3),Holidays))</f>
        <v/>
      </c>
      <c r="AC414" s="17">
        <f>IF(OR($Z414="",$Z414=6),"",CHOOSE($Z414,"1st Email Follow-up","2nd Email Follow-up","Escalate Local Office","Escalate to CBE","Escalate to Roxanne"))</f>
        <v/>
      </c>
    </row>
    <row r="415" spans="13:29">
      <c r="M415" s="14"/>
      <c r="T415" s="16"/>
      <c r="U415" s="17">
        <f>IF(AND(COUNTA($A415:$L415)=0,$N415=""),"",IF($T415="Paid","PAID",IF($T415="Closed","CLOSED",IF($Z415="","",IF($Z415=6,"ESCALATED TO ROXANNE",IF(TODAY()&gt;$AB415,"OVERDUE",IF($AB415&lt;=WORKDAY(TODAY(),1,Holidays),"DUE TOMORROW",IF($Z415=4,"ESCALATED TO LOCAL OFFICE",IF($Z415=5,"ESCALATED TO CBE",IF($AA415=TODAY(),"EMAIL SENT","MONITORING"))))))))))</f>
        <v/>
      </c>
      <c r="V415" s="17">
        <f>IF($U415="",IF(AND(COUNTA($A415:$L415)&gt;0,$N415=""),"Awaiting Collection Email time stamp.",""),IF(OR($U415="PAID",$U415="CLOSED"),IF($U415="PAID","Account paid. Action completed.","Account closed. No further action required."),CHOOSE($Z415,"Collection Email","1st Email Follow-up","2nd Email Follow-up","Escalation to Local Office","Escalation to CBE","Escalation to Roxanne")&amp;" sent "&amp;TEXT($AA415,"dd-mmm")&amp;". "&amp;IF($Z415=6,"Final escalation completed.",IF($U415="OVERDUE","Next: "&amp;$AC415&amp;" was due "&amp;TEXT($AB415,"dd-mmm")&amp;" - "&amp;(NETWORKDAYS($AB415,TODAY(),Holidays)-1)&amp;" business day(s) late. Send now.",IF($U415="DUE TOMORROW","Next: "&amp;$AC415&amp;IF($AB415&lt;=TODAY()," is due TODAY ("," is due next business day (")&amp;TEXT($AB415,"dd-mmm")&amp;").","Next: "&amp;$AC415&amp;" due "&amp;TEXT($AB415,"dd-mmm")&amp;" ("&amp;(NETWORKDAYS(TODAY(),$AB415,Holidays)-1)&amp;" business day(s) left).")))))</f>
        <v/>
      </c>
      <c r="W415" s="17">
        <f>IF($Z415="","",CHOOSE($Z415,"Collection Email","1st Follow-up","2nd Follow-up","Local Office","CBE","Roxanne")&amp;IF($Z415=6," - Final"," - Day "&amp;MAX(0,NETWORKDAYS($AA415,TODAY(),Holidays)-1)&amp;" of "&amp;CHOOSE($Z415,3,3,2,2,3))&amp;" | Total Day "&amp;MAX(0,NETWORKDAYS($N415,TODAY(),Holidays)-1))</f>
        <v/>
      </c>
      <c r="X415" s="18"/>
      <c r="Y415" s="18"/>
      <c r="Z415" s="17">
        <f>IF($N415="","",COUNT($N415:$S415))</f>
        <v/>
      </c>
      <c r="AA415" s="19">
        <f>IF($Z415="","",INT(INDEX($N415:$S415,$Z415)))</f>
        <v/>
      </c>
      <c r="AB415" s="19">
        <f>IF(OR($Z415="",$Z415=6),"",WORKDAY($AA415,CHOOSE($Z415,3,3,2,2,3),Holidays))</f>
        <v/>
      </c>
      <c r="AC415" s="17">
        <f>IF(OR($Z415="",$Z415=6),"",CHOOSE($Z415,"1st Email Follow-up","2nd Email Follow-up","Escalate Local Office","Escalate to CBE","Escalate to Roxanne"))</f>
        <v/>
      </c>
    </row>
    <row r="416" spans="13:29">
      <c r="M416" s="14"/>
      <c r="T416" s="16"/>
      <c r="U416" s="17">
        <f>IF(AND(COUNTA($A416:$L416)=0,$N416=""),"",IF($T416="Paid","PAID",IF($T416="Closed","CLOSED",IF($Z416="","",IF($Z416=6,"ESCALATED TO ROXANNE",IF(TODAY()&gt;$AB416,"OVERDUE",IF($AB416&lt;=WORKDAY(TODAY(),1,Holidays),"DUE TOMORROW",IF($Z416=4,"ESCALATED TO LOCAL OFFICE",IF($Z416=5,"ESCALATED TO CBE",IF($AA416=TODAY(),"EMAIL SENT","MONITORING"))))))))))</f>
        <v/>
      </c>
      <c r="V416" s="17">
        <f>IF($U416="",IF(AND(COUNTA($A416:$L416)&gt;0,$N416=""),"Awaiting Collection Email time stamp.",""),IF(OR($U416="PAID",$U416="CLOSED"),IF($U416="PAID","Account paid. Action completed.","Account closed. No further action required."),CHOOSE($Z416,"Collection Email","1st Email Follow-up","2nd Email Follow-up","Escalation to Local Office","Escalation to CBE","Escalation to Roxanne")&amp;" sent "&amp;TEXT($AA416,"dd-mmm")&amp;". "&amp;IF($Z416=6,"Final escalation completed.",IF($U416="OVERDUE","Next: "&amp;$AC416&amp;" was due "&amp;TEXT($AB416,"dd-mmm")&amp;" - "&amp;(NETWORKDAYS($AB416,TODAY(),Holidays)-1)&amp;" business day(s) late. Send now.",IF($U416="DUE TOMORROW","Next: "&amp;$AC416&amp;IF($AB416&lt;=TODAY()," is due TODAY ("," is due next business day (")&amp;TEXT($AB416,"dd-mmm")&amp;").","Next: "&amp;$AC416&amp;" due "&amp;TEXT($AB416,"dd-mmm")&amp;" ("&amp;(NETWORKDAYS(TODAY(),$AB416,Holidays)-1)&amp;" business day(s) left).")))))</f>
        <v/>
      </c>
      <c r="W416" s="17">
        <f>IF($Z416="","",CHOOSE($Z416,"Collection Email","1st Follow-up","2nd Follow-up","Local Office","CBE","Roxanne")&amp;IF($Z416=6," - Final"," - Day "&amp;MAX(0,NETWORKDAYS($AA416,TODAY(),Holidays)-1)&amp;" of "&amp;CHOOSE($Z416,3,3,2,2,3))&amp;" | Total Day "&amp;MAX(0,NETWORKDAYS($N416,TODAY(),Holidays)-1))</f>
        <v/>
      </c>
      <c r="X416" s="18"/>
      <c r="Y416" s="18"/>
      <c r="Z416" s="17">
        <f>IF($N416="","",COUNT($N416:$S416))</f>
        <v/>
      </c>
      <c r="AA416" s="19">
        <f>IF($Z416="","",INT(INDEX($N416:$S416,$Z416)))</f>
        <v/>
      </c>
      <c r="AB416" s="19">
        <f>IF(OR($Z416="",$Z416=6),"",WORKDAY($AA416,CHOOSE($Z416,3,3,2,2,3),Holidays))</f>
        <v/>
      </c>
      <c r="AC416" s="17">
        <f>IF(OR($Z416="",$Z416=6),"",CHOOSE($Z416,"1st Email Follow-up","2nd Email Follow-up","Escalate Local Office","Escalate to CBE","Escalate to Roxanne"))</f>
        <v/>
      </c>
    </row>
    <row r="417" spans="13:29">
      <c r="M417" s="14"/>
      <c r="T417" s="16"/>
      <c r="U417" s="17">
        <f>IF(AND(COUNTA($A417:$L417)=0,$N417=""),"",IF($T417="Paid","PAID",IF($T417="Closed","CLOSED",IF($Z417="","",IF($Z417=6,"ESCALATED TO ROXANNE",IF(TODAY()&gt;$AB417,"OVERDUE",IF($AB417&lt;=WORKDAY(TODAY(),1,Holidays),"DUE TOMORROW",IF($Z417=4,"ESCALATED TO LOCAL OFFICE",IF($Z417=5,"ESCALATED TO CBE",IF($AA417=TODAY(),"EMAIL SENT","MONITORING"))))))))))</f>
        <v/>
      </c>
      <c r="V417" s="17">
        <f>IF($U417="",IF(AND(COUNTA($A417:$L417)&gt;0,$N417=""),"Awaiting Collection Email time stamp.",""),IF(OR($U417="PAID",$U417="CLOSED"),IF($U417="PAID","Account paid. Action completed.","Account closed. No further action required."),CHOOSE($Z417,"Collection Email","1st Email Follow-up","2nd Email Follow-up","Escalation to Local Office","Escalation to CBE","Escalation to Roxanne")&amp;" sent "&amp;TEXT($AA417,"dd-mmm")&amp;". "&amp;IF($Z417=6,"Final escalation completed.",IF($U417="OVERDUE","Next: "&amp;$AC417&amp;" was due "&amp;TEXT($AB417,"dd-mmm")&amp;" - "&amp;(NETWORKDAYS($AB417,TODAY(),Holidays)-1)&amp;" business day(s) late. Send now.",IF($U417="DUE TOMORROW","Next: "&amp;$AC417&amp;IF($AB417&lt;=TODAY()," is due TODAY ("," is due next business day (")&amp;TEXT($AB417,"dd-mmm")&amp;").","Next: "&amp;$AC417&amp;" due "&amp;TEXT($AB417,"dd-mmm")&amp;" ("&amp;(NETWORKDAYS(TODAY(),$AB417,Holidays)-1)&amp;" business day(s) left).")))))</f>
        <v/>
      </c>
      <c r="W417" s="17">
        <f>IF($Z417="","",CHOOSE($Z417,"Collection Email","1st Follow-up","2nd Follow-up","Local Office","CBE","Roxanne")&amp;IF($Z417=6," - Final"," - Day "&amp;MAX(0,NETWORKDAYS($AA417,TODAY(),Holidays)-1)&amp;" of "&amp;CHOOSE($Z417,3,3,2,2,3))&amp;" | Total Day "&amp;MAX(0,NETWORKDAYS($N417,TODAY(),Holidays)-1))</f>
        <v/>
      </c>
      <c r="X417" s="18"/>
      <c r="Y417" s="18"/>
      <c r="Z417" s="17">
        <f>IF($N417="","",COUNT($N417:$S417))</f>
        <v/>
      </c>
      <c r="AA417" s="19">
        <f>IF($Z417="","",INT(INDEX($N417:$S417,$Z417)))</f>
        <v/>
      </c>
      <c r="AB417" s="19">
        <f>IF(OR($Z417="",$Z417=6),"",WORKDAY($AA417,CHOOSE($Z417,3,3,2,2,3),Holidays))</f>
        <v/>
      </c>
      <c r="AC417" s="17">
        <f>IF(OR($Z417="",$Z417=6),"",CHOOSE($Z417,"1st Email Follow-up","2nd Email Follow-up","Escalate Local Office","Escalate to CBE","Escalate to Roxanne"))</f>
        <v/>
      </c>
    </row>
    <row r="418" spans="13:29">
      <c r="M418" s="14"/>
      <c r="T418" s="16"/>
      <c r="U418" s="17">
        <f>IF(AND(COUNTA($A418:$L418)=0,$N418=""),"",IF($T418="Paid","PAID",IF($T418="Closed","CLOSED",IF($Z418="","",IF($Z418=6,"ESCALATED TO ROXANNE",IF(TODAY()&gt;$AB418,"OVERDUE",IF($AB418&lt;=WORKDAY(TODAY(),1,Holidays),"DUE TOMORROW",IF($Z418=4,"ESCALATED TO LOCAL OFFICE",IF($Z418=5,"ESCALATED TO CBE",IF($AA418=TODAY(),"EMAIL SENT","MONITORING"))))))))))</f>
        <v/>
      </c>
      <c r="V418" s="17">
        <f>IF($U418="",IF(AND(COUNTA($A418:$L418)&gt;0,$N418=""),"Awaiting Collection Email time stamp.",""),IF(OR($U418="PAID",$U418="CLOSED"),IF($U418="PAID","Account paid. Action completed.","Account closed. No further action required."),CHOOSE($Z418,"Collection Email","1st Email Follow-up","2nd Email Follow-up","Escalation to Local Office","Escalation to CBE","Escalation to Roxanne")&amp;" sent "&amp;TEXT($AA418,"dd-mmm")&amp;". "&amp;IF($Z418=6,"Final escalation completed.",IF($U418="OVERDUE","Next: "&amp;$AC418&amp;" was due "&amp;TEXT($AB418,"dd-mmm")&amp;" - "&amp;(NETWORKDAYS($AB418,TODAY(),Holidays)-1)&amp;" business day(s) late. Send now.",IF($U418="DUE TOMORROW","Next: "&amp;$AC418&amp;IF($AB418&lt;=TODAY()," is due TODAY ("," is due next business day (")&amp;TEXT($AB418,"dd-mmm")&amp;").","Next: "&amp;$AC418&amp;" due "&amp;TEXT($AB418,"dd-mmm")&amp;" ("&amp;(NETWORKDAYS(TODAY(),$AB418,Holidays)-1)&amp;" business day(s) left).")))))</f>
        <v/>
      </c>
      <c r="W418" s="17">
        <f>IF($Z418="","",CHOOSE($Z418,"Collection Email","1st Follow-up","2nd Follow-up","Local Office","CBE","Roxanne")&amp;IF($Z418=6," - Final"," - Day "&amp;MAX(0,NETWORKDAYS($AA418,TODAY(),Holidays)-1)&amp;" of "&amp;CHOOSE($Z418,3,3,2,2,3))&amp;" | Total Day "&amp;MAX(0,NETWORKDAYS($N418,TODAY(),Holidays)-1))</f>
        <v/>
      </c>
      <c r="X418" s="18"/>
      <c r="Y418" s="18"/>
      <c r="Z418" s="17">
        <f>IF($N418="","",COUNT($N418:$S418))</f>
        <v/>
      </c>
      <c r="AA418" s="19">
        <f>IF($Z418="","",INT(INDEX($N418:$S418,$Z418)))</f>
        <v/>
      </c>
      <c r="AB418" s="19">
        <f>IF(OR($Z418="",$Z418=6),"",WORKDAY($AA418,CHOOSE($Z418,3,3,2,2,3),Holidays))</f>
        <v/>
      </c>
      <c r="AC418" s="17">
        <f>IF(OR($Z418="",$Z418=6),"",CHOOSE($Z418,"1st Email Follow-up","2nd Email Follow-up","Escalate Local Office","Escalate to CBE","Escalate to Roxanne"))</f>
        <v/>
      </c>
    </row>
    <row r="419" spans="13:29">
      <c r="M419" s="14"/>
      <c r="T419" s="16"/>
      <c r="U419" s="17">
        <f>IF(AND(COUNTA($A419:$L419)=0,$N419=""),"",IF($T419="Paid","PAID",IF($T419="Closed","CLOSED",IF($Z419="","",IF($Z419=6,"ESCALATED TO ROXANNE",IF(TODAY()&gt;$AB419,"OVERDUE",IF($AB419&lt;=WORKDAY(TODAY(),1,Holidays),"DUE TOMORROW",IF($Z419=4,"ESCALATED TO LOCAL OFFICE",IF($Z419=5,"ESCALATED TO CBE",IF($AA419=TODAY(),"EMAIL SENT","MONITORING"))))))))))</f>
        <v/>
      </c>
      <c r="V419" s="17">
        <f>IF($U419="",IF(AND(COUNTA($A419:$L419)&gt;0,$N419=""),"Awaiting Collection Email time stamp.",""),IF(OR($U419="PAID",$U419="CLOSED"),IF($U419="PAID","Account paid. Action completed.","Account closed. No further action required."),CHOOSE($Z419,"Collection Email","1st Email Follow-up","2nd Email Follow-up","Escalation to Local Office","Escalation to CBE","Escalation to Roxanne")&amp;" sent "&amp;TEXT($AA419,"dd-mmm")&amp;". "&amp;IF($Z419=6,"Final escalation completed.",IF($U419="OVERDUE","Next: "&amp;$AC419&amp;" was due "&amp;TEXT($AB419,"dd-mmm")&amp;" - "&amp;(NETWORKDAYS($AB419,TODAY(),Holidays)-1)&amp;" business day(s) late. Send now.",IF($U419="DUE TOMORROW","Next: "&amp;$AC419&amp;IF($AB419&lt;=TODAY()," is due TODAY ("," is due next business day (")&amp;TEXT($AB419,"dd-mmm")&amp;").","Next: "&amp;$AC419&amp;" due "&amp;TEXT($AB419,"dd-mmm")&amp;" ("&amp;(NETWORKDAYS(TODAY(),$AB419,Holidays)-1)&amp;" business day(s) left).")))))</f>
        <v/>
      </c>
      <c r="W419" s="17">
        <f>IF($Z419="","",CHOOSE($Z419,"Collection Email","1st Follow-up","2nd Follow-up","Local Office","CBE","Roxanne")&amp;IF($Z419=6," - Final"," - Day "&amp;MAX(0,NETWORKDAYS($AA419,TODAY(),Holidays)-1)&amp;" of "&amp;CHOOSE($Z419,3,3,2,2,3))&amp;" | Total Day "&amp;MAX(0,NETWORKDAYS($N419,TODAY(),Holidays)-1))</f>
        <v/>
      </c>
      <c r="X419" s="18"/>
      <c r="Y419" s="18"/>
      <c r="Z419" s="17">
        <f>IF($N419="","",COUNT($N419:$S419))</f>
        <v/>
      </c>
      <c r="AA419" s="19">
        <f>IF($Z419="","",INT(INDEX($N419:$S419,$Z419)))</f>
        <v/>
      </c>
      <c r="AB419" s="19">
        <f>IF(OR($Z419="",$Z419=6),"",WORKDAY($AA419,CHOOSE($Z419,3,3,2,2,3),Holidays))</f>
        <v/>
      </c>
      <c r="AC419" s="17">
        <f>IF(OR($Z419="",$Z419=6),"",CHOOSE($Z419,"1st Email Follow-up","2nd Email Follow-up","Escalate Local Office","Escalate to CBE","Escalate to Roxanne"))</f>
        <v/>
      </c>
    </row>
    <row r="420" spans="13:29">
      <c r="M420" s="14"/>
      <c r="T420" s="16"/>
      <c r="U420" s="17">
        <f>IF(AND(COUNTA($A420:$L420)=0,$N420=""),"",IF($T420="Paid","PAID",IF($T420="Closed","CLOSED",IF($Z420="","",IF($Z420=6,"ESCALATED TO ROXANNE",IF(TODAY()&gt;$AB420,"OVERDUE",IF($AB420&lt;=WORKDAY(TODAY(),1,Holidays),"DUE TOMORROW",IF($Z420=4,"ESCALATED TO LOCAL OFFICE",IF($Z420=5,"ESCALATED TO CBE",IF($AA420=TODAY(),"EMAIL SENT","MONITORING"))))))))))</f>
        <v/>
      </c>
      <c r="V420" s="17">
        <f>IF($U420="",IF(AND(COUNTA($A420:$L420)&gt;0,$N420=""),"Awaiting Collection Email time stamp.",""),IF(OR($U420="PAID",$U420="CLOSED"),IF($U420="PAID","Account paid. Action completed.","Account closed. No further action required."),CHOOSE($Z420,"Collection Email","1st Email Follow-up","2nd Email Follow-up","Escalation to Local Office","Escalation to CBE","Escalation to Roxanne")&amp;" sent "&amp;TEXT($AA420,"dd-mmm")&amp;". "&amp;IF($Z420=6,"Final escalation completed.",IF($U420="OVERDUE","Next: "&amp;$AC420&amp;" was due "&amp;TEXT($AB420,"dd-mmm")&amp;" - "&amp;(NETWORKDAYS($AB420,TODAY(),Holidays)-1)&amp;" business day(s) late. Send now.",IF($U420="DUE TOMORROW","Next: "&amp;$AC420&amp;IF($AB420&lt;=TODAY()," is due TODAY ("," is due next business day (")&amp;TEXT($AB420,"dd-mmm")&amp;").","Next: "&amp;$AC420&amp;" due "&amp;TEXT($AB420,"dd-mmm")&amp;" ("&amp;(NETWORKDAYS(TODAY(),$AB420,Holidays)-1)&amp;" business day(s) left).")))))</f>
        <v/>
      </c>
      <c r="W420" s="17">
        <f>IF($Z420="","",CHOOSE($Z420,"Collection Email","1st Follow-up","2nd Follow-up","Local Office","CBE","Roxanne")&amp;IF($Z420=6," - Final"," - Day "&amp;MAX(0,NETWORKDAYS($AA420,TODAY(),Holidays)-1)&amp;" of "&amp;CHOOSE($Z420,3,3,2,2,3))&amp;" | Total Day "&amp;MAX(0,NETWORKDAYS($N420,TODAY(),Holidays)-1))</f>
        <v/>
      </c>
      <c r="X420" s="18"/>
      <c r="Y420" s="18"/>
      <c r="Z420" s="17">
        <f>IF($N420="","",COUNT($N420:$S420))</f>
        <v/>
      </c>
      <c r="AA420" s="19">
        <f>IF($Z420="","",INT(INDEX($N420:$S420,$Z420)))</f>
        <v/>
      </c>
      <c r="AB420" s="19">
        <f>IF(OR($Z420="",$Z420=6),"",WORKDAY($AA420,CHOOSE($Z420,3,3,2,2,3),Holidays))</f>
        <v/>
      </c>
      <c r="AC420" s="17">
        <f>IF(OR($Z420="",$Z420=6),"",CHOOSE($Z420,"1st Email Follow-up","2nd Email Follow-up","Escalate Local Office","Escalate to CBE","Escalate to Roxanne"))</f>
        <v/>
      </c>
    </row>
    <row r="421" spans="13:29">
      <c r="M421" s="14"/>
      <c r="T421" s="16"/>
      <c r="U421" s="17">
        <f>IF(AND(COUNTA($A421:$L421)=0,$N421=""),"",IF($T421="Paid","PAID",IF($T421="Closed","CLOSED",IF($Z421="","",IF($Z421=6,"ESCALATED TO ROXANNE",IF(TODAY()&gt;$AB421,"OVERDUE",IF($AB421&lt;=WORKDAY(TODAY(),1,Holidays),"DUE TOMORROW",IF($Z421=4,"ESCALATED TO LOCAL OFFICE",IF($Z421=5,"ESCALATED TO CBE",IF($AA421=TODAY(),"EMAIL SENT","MONITORING"))))))))))</f>
        <v/>
      </c>
      <c r="V421" s="17">
        <f>IF($U421="",IF(AND(COUNTA($A421:$L421)&gt;0,$N421=""),"Awaiting Collection Email time stamp.",""),IF(OR($U421="PAID",$U421="CLOSED"),IF($U421="PAID","Account paid. Action completed.","Account closed. No further action required."),CHOOSE($Z421,"Collection Email","1st Email Follow-up","2nd Email Follow-up","Escalation to Local Office","Escalation to CBE","Escalation to Roxanne")&amp;" sent "&amp;TEXT($AA421,"dd-mmm")&amp;". "&amp;IF($Z421=6,"Final escalation completed.",IF($U421="OVERDUE","Next: "&amp;$AC421&amp;" was due "&amp;TEXT($AB421,"dd-mmm")&amp;" - "&amp;(NETWORKDAYS($AB421,TODAY(),Holidays)-1)&amp;" business day(s) late. Send now.",IF($U421="DUE TOMORROW","Next: "&amp;$AC421&amp;IF($AB421&lt;=TODAY()," is due TODAY ("," is due next business day (")&amp;TEXT($AB421,"dd-mmm")&amp;").","Next: "&amp;$AC421&amp;" due "&amp;TEXT($AB421,"dd-mmm")&amp;" ("&amp;(NETWORKDAYS(TODAY(),$AB421,Holidays)-1)&amp;" business day(s) left).")))))</f>
        <v/>
      </c>
      <c r="W421" s="17">
        <f>IF($Z421="","",CHOOSE($Z421,"Collection Email","1st Follow-up","2nd Follow-up","Local Office","CBE","Roxanne")&amp;IF($Z421=6," - Final"," - Day "&amp;MAX(0,NETWORKDAYS($AA421,TODAY(),Holidays)-1)&amp;" of "&amp;CHOOSE($Z421,3,3,2,2,3))&amp;" | Total Day "&amp;MAX(0,NETWORKDAYS($N421,TODAY(),Holidays)-1))</f>
        <v/>
      </c>
      <c r="X421" s="18"/>
      <c r="Y421" s="18"/>
      <c r="Z421" s="17">
        <f>IF($N421="","",COUNT($N421:$S421))</f>
        <v/>
      </c>
      <c r="AA421" s="19">
        <f>IF($Z421="","",INT(INDEX($N421:$S421,$Z421)))</f>
        <v/>
      </c>
      <c r="AB421" s="19">
        <f>IF(OR($Z421="",$Z421=6),"",WORKDAY($AA421,CHOOSE($Z421,3,3,2,2,3),Holidays))</f>
        <v/>
      </c>
      <c r="AC421" s="17">
        <f>IF(OR($Z421="",$Z421=6),"",CHOOSE($Z421,"1st Email Follow-up","2nd Email Follow-up","Escalate Local Office","Escalate to CBE","Escalate to Roxanne"))</f>
        <v/>
      </c>
    </row>
    <row r="422" spans="13:29">
      <c r="M422" s="14"/>
      <c r="T422" s="16"/>
      <c r="U422" s="17">
        <f>IF(AND(COUNTA($A422:$L422)=0,$N422=""),"",IF($T422="Paid","PAID",IF($T422="Closed","CLOSED",IF($Z422="","",IF($Z422=6,"ESCALATED TO ROXANNE",IF(TODAY()&gt;$AB422,"OVERDUE",IF($AB422&lt;=WORKDAY(TODAY(),1,Holidays),"DUE TOMORROW",IF($Z422=4,"ESCALATED TO LOCAL OFFICE",IF($Z422=5,"ESCALATED TO CBE",IF($AA422=TODAY(),"EMAIL SENT","MONITORING"))))))))))</f>
        <v/>
      </c>
      <c r="V422" s="17">
        <f>IF($U422="",IF(AND(COUNTA($A422:$L422)&gt;0,$N422=""),"Awaiting Collection Email time stamp.",""),IF(OR($U422="PAID",$U422="CLOSED"),IF($U422="PAID","Account paid. Action completed.","Account closed. No further action required."),CHOOSE($Z422,"Collection Email","1st Email Follow-up","2nd Email Follow-up","Escalation to Local Office","Escalation to CBE","Escalation to Roxanne")&amp;" sent "&amp;TEXT($AA422,"dd-mmm")&amp;". "&amp;IF($Z422=6,"Final escalation completed.",IF($U422="OVERDUE","Next: "&amp;$AC422&amp;" was due "&amp;TEXT($AB422,"dd-mmm")&amp;" - "&amp;(NETWORKDAYS($AB422,TODAY(),Holidays)-1)&amp;" business day(s) late. Send now.",IF($U422="DUE TOMORROW","Next: "&amp;$AC422&amp;IF($AB422&lt;=TODAY()," is due TODAY ("," is due next business day (")&amp;TEXT($AB422,"dd-mmm")&amp;").","Next: "&amp;$AC422&amp;" due "&amp;TEXT($AB422,"dd-mmm")&amp;" ("&amp;(NETWORKDAYS(TODAY(),$AB422,Holidays)-1)&amp;" business day(s) left).")))))</f>
        <v/>
      </c>
      <c r="W422" s="17">
        <f>IF($Z422="","",CHOOSE($Z422,"Collection Email","1st Follow-up","2nd Follow-up","Local Office","CBE","Roxanne")&amp;IF($Z422=6," - Final"," - Day "&amp;MAX(0,NETWORKDAYS($AA422,TODAY(),Holidays)-1)&amp;" of "&amp;CHOOSE($Z422,3,3,2,2,3))&amp;" | Total Day "&amp;MAX(0,NETWORKDAYS($N422,TODAY(),Holidays)-1))</f>
        <v/>
      </c>
      <c r="X422" s="18"/>
      <c r="Y422" s="18"/>
      <c r="Z422" s="17">
        <f>IF($N422="","",COUNT($N422:$S422))</f>
        <v/>
      </c>
      <c r="AA422" s="19">
        <f>IF($Z422="","",INT(INDEX($N422:$S422,$Z422)))</f>
        <v/>
      </c>
      <c r="AB422" s="19">
        <f>IF(OR($Z422="",$Z422=6),"",WORKDAY($AA422,CHOOSE($Z422,3,3,2,2,3),Holidays))</f>
        <v/>
      </c>
      <c r="AC422" s="17">
        <f>IF(OR($Z422="",$Z422=6),"",CHOOSE($Z422,"1st Email Follow-up","2nd Email Follow-up","Escalate Local Office","Escalate to CBE","Escalate to Roxanne"))</f>
        <v/>
      </c>
    </row>
    <row r="423" spans="13:29">
      <c r="M423" s="14"/>
      <c r="T423" s="16"/>
      <c r="U423" s="17">
        <f>IF(AND(COUNTA($A423:$L423)=0,$N423=""),"",IF($T423="Paid","PAID",IF($T423="Closed","CLOSED",IF($Z423="","",IF($Z423=6,"ESCALATED TO ROXANNE",IF(TODAY()&gt;$AB423,"OVERDUE",IF($AB423&lt;=WORKDAY(TODAY(),1,Holidays),"DUE TOMORROW",IF($Z423=4,"ESCALATED TO LOCAL OFFICE",IF($Z423=5,"ESCALATED TO CBE",IF($AA423=TODAY(),"EMAIL SENT","MONITORING"))))))))))</f>
        <v/>
      </c>
      <c r="V423" s="17">
        <f>IF($U423="",IF(AND(COUNTA($A423:$L423)&gt;0,$N423=""),"Awaiting Collection Email time stamp.",""),IF(OR($U423="PAID",$U423="CLOSED"),IF($U423="PAID","Account paid. Action completed.","Account closed. No further action required."),CHOOSE($Z423,"Collection Email","1st Email Follow-up","2nd Email Follow-up","Escalation to Local Office","Escalation to CBE","Escalation to Roxanne")&amp;" sent "&amp;TEXT($AA423,"dd-mmm")&amp;". "&amp;IF($Z423=6,"Final escalation completed.",IF($U423="OVERDUE","Next: "&amp;$AC423&amp;" was due "&amp;TEXT($AB423,"dd-mmm")&amp;" - "&amp;(NETWORKDAYS($AB423,TODAY(),Holidays)-1)&amp;" business day(s) late. Send now.",IF($U423="DUE TOMORROW","Next: "&amp;$AC423&amp;IF($AB423&lt;=TODAY()," is due TODAY ("," is due next business day (")&amp;TEXT($AB423,"dd-mmm")&amp;").","Next: "&amp;$AC423&amp;" due "&amp;TEXT($AB423,"dd-mmm")&amp;" ("&amp;(NETWORKDAYS(TODAY(),$AB423,Holidays)-1)&amp;" business day(s) left).")))))</f>
        <v/>
      </c>
      <c r="W423" s="17">
        <f>IF($Z423="","",CHOOSE($Z423,"Collection Email","1st Follow-up","2nd Follow-up","Local Office","CBE","Roxanne")&amp;IF($Z423=6," - Final"," - Day "&amp;MAX(0,NETWORKDAYS($AA423,TODAY(),Holidays)-1)&amp;" of "&amp;CHOOSE($Z423,3,3,2,2,3))&amp;" | Total Day "&amp;MAX(0,NETWORKDAYS($N423,TODAY(),Holidays)-1))</f>
        <v/>
      </c>
      <c r="X423" s="18"/>
      <c r="Y423" s="18"/>
      <c r="Z423" s="17">
        <f>IF($N423="","",COUNT($N423:$S423))</f>
        <v/>
      </c>
      <c r="AA423" s="19">
        <f>IF($Z423="","",INT(INDEX($N423:$S423,$Z423)))</f>
        <v/>
      </c>
      <c r="AB423" s="19">
        <f>IF(OR($Z423="",$Z423=6),"",WORKDAY($AA423,CHOOSE($Z423,3,3,2,2,3),Holidays))</f>
        <v/>
      </c>
      <c r="AC423" s="17">
        <f>IF(OR($Z423="",$Z423=6),"",CHOOSE($Z423,"1st Email Follow-up","2nd Email Follow-up","Escalate Local Office","Escalate to CBE","Escalate to Roxanne"))</f>
        <v/>
      </c>
    </row>
    <row r="424" spans="13:29">
      <c r="M424" s="14"/>
      <c r="T424" s="16"/>
      <c r="U424" s="17">
        <f>IF(AND(COUNTA($A424:$L424)=0,$N424=""),"",IF($T424="Paid","PAID",IF($T424="Closed","CLOSED",IF($Z424="","",IF($Z424=6,"ESCALATED TO ROXANNE",IF(TODAY()&gt;$AB424,"OVERDUE",IF($AB424&lt;=WORKDAY(TODAY(),1,Holidays),"DUE TOMORROW",IF($Z424=4,"ESCALATED TO LOCAL OFFICE",IF($Z424=5,"ESCALATED TO CBE",IF($AA424=TODAY(),"EMAIL SENT","MONITORING"))))))))))</f>
        <v/>
      </c>
      <c r="V424" s="17">
        <f>IF($U424="",IF(AND(COUNTA($A424:$L424)&gt;0,$N424=""),"Awaiting Collection Email time stamp.",""),IF(OR($U424="PAID",$U424="CLOSED"),IF($U424="PAID","Account paid. Action completed.","Account closed. No further action required."),CHOOSE($Z424,"Collection Email","1st Email Follow-up","2nd Email Follow-up","Escalation to Local Office","Escalation to CBE","Escalation to Roxanne")&amp;" sent "&amp;TEXT($AA424,"dd-mmm")&amp;". "&amp;IF($Z424=6,"Final escalation completed.",IF($U424="OVERDUE","Next: "&amp;$AC424&amp;" was due "&amp;TEXT($AB424,"dd-mmm")&amp;" - "&amp;(NETWORKDAYS($AB424,TODAY(),Holidays)-1)&amp;" business day(s) late. Send now.",IF($U424="DUE TOMORROW","Next: "&amp;$AC424&amp;IF($AB424&lt;=TODAY()," is due TODAY ("," is due next business day (")&amp;TEXT($AB424,"dd-mmm")&amp;").","Next: "&amp;$AC424&amp;" due "&amp;TEXT($AB424,"dd-mmm")&amp;" ("&amp;(NETWORKDAYS(TODAY(),$AB424,Holidays)-1)&amp;" business day(s) left).")))))</f>
        <v/>
      </c>
      <c r="W424" s="17">
        <f>IF($Z424="","",CHOOSE($Z424,"Collection Email","1st Follow-up","2nd Follow-up","Local Office","CBE","Roxanne")&amp;IF($Z424=6," - Final"," - Day "&amp;MAX(0,NETWORKDAYS($AA424,TODAY(),Holidays)-1)&amp;" of "&amp;CHOOSE($Z424,3,3,2,2,3))&amp;" | Total Day "&amp;MAX(0,NETWORKDAYS($N424,TODAY(),Holidays)-1))</f>
        <v/>
      </c>
      <c r="X424" s="18"/>
      <c r="Y424" s="18"/>
      <c r="Z424" s="17">
        <f>IF($N424="","",COUNT($N424:$S424))</f>
        <v/>
      </c>
      <c r="AA424" s="19">
        <f>IF($Z424="","",INT(INDEX($N424:$S424,$Z424)))</f>
        <v/>
      </c>
      <c r="AB424" s="19">
        <f>IF(OR($Z424="",$Z424=6),"",WORKDAY($AA424,CHOOSE($Z424,3,3,2,2,3),Holidays))</f>
        <v/>
      </c>
      <c r="AC424" s="17">
        <f>IF(OR($Z424="",$Z424=6),"",CHOOSE($Z424,"1st Email Follow-up","2nd Email Follow-up","Escalate Local Office","Escalate to CBE","Escalate to Roxanne"))</f>
        <v/>
      </c>
    </row>
    <row r="425" spans="13:29">
      <c r="M425" s="14"/>
      <c r="T425" s="16"/>
      <c r="U425" s="17">
        <f>IF(AND(COUNTA($A425:$L425)=0,$N425=""),"",IF($T425="Paid","PAID",IF($T425="Closed","CLOSED",IF($Z425="","",IF($Z425=6,"ESCALATED TO ROXANNE",IF(TODAY()&gt;$AB425,"OVERDUE",IF($AB425&lt;=WORKDAY(TODAY(),1,Holidays),"DUE TOMORROW",IF($Z425=4,"ESCALATED TO LOCAL OFFICE",IF($Z425=5,"ESCALATED TO CBE",IF($AA425=TODAY(),"EMAIL SENT","MONITORING"))))))))))</f>
        <v/>
      </c>
      <c r="V425" s="17">
        <f>IF($U425="",IF(AND(COUNTA($A425:$L425)&gt;0,$N425=""),"Awaiting Collection Email time stamp.",""),IF(OR($U425="PAID",$U425="CLOSED"),IF($U425="PAID","Account paid. Action completed.","Account closed. No further action required."),CHOOSE($Z425,"Collection Email","1st Email Follow-up","2nd Email Follow-up","Escalation to Local Office","Escalation to CBE","Escalation to Roxanne")&amp;" sent "&amp;TEXT($AA425,"dd-mmm")&amp;". "&amp;IF($Z425=6,"Final escalation completed.",IF($U425="OVERDUE","Next: "&amp;$AC425&amp;" was due "&amp;TEXT($AB425,"dd-mmm")&amp;" - "&amp;(NETWORKDAYS($AB425,TODAY(),Holidays)-1)&amp;" business day(s) late. Send now.",IF($U425="DUE TOMORROW","Next: "&amp;$AC425&amp;IF($AB425&lt;=TODAY()," is due TODAY ("," is due next business day (")&amp;TEXT($AB425,"dd-mmm")&amp;").","Next: "&amp;$AC425&amp;" due "&amp;TEXT($AB425,"dd-mmm")&amp;" ("&amp;(NETWORKDAYS(TODAY(),$AB425,Holidays)-1)&amp;" business day(s) left).")))))</f>
        <v/>
      </c>
      <c r="W425" s="17">
        <f>IF($Z425="","",CHOOSE($Z425,"Collection Email","1st Follow-up","2nd Follow-up","Local Office","CBE","Roxanne")&amp;IF($Z425=6," - Final"," - Day "&amp;MAX(0,NETWORKDAYS($AA425,TODAY(),Holidays)-1)&amp;" of "&amp;CHOOSE($Z425,3,3,2,2,3))&amp;" | Total Day "&amp;MAX(0,NETWORKDAYS($N425,TODAY(),Holidays)-1))</f>
        <v/>
      </c>
      <c r="X425" s="18"/>
      <c r="Y425" s="18"/>
      <c r="Z425" s="17">
        <f>IF($N425="","",COUNT($N425:$S425))</f>
        <v/>
      </c>
      <c r="AA425" s="19">
        <f>IF($Z425="","",INT(INDEX($N425:$S425,$Z425)))</f>
        <v/>
      </c>
      <c r="AB425" s="19">
        <f>IF(OR($Z425="",$Z425=6),"",WORKDAY($AA425,CHOOSE($Z425,3,3,2,2,3),Holidays))</f>
        <v/>
      </c>
      <c r="AC425" s="17">
        <f>IF(OR($Z425="",$Z425=6),"",CHOOSE($Z425,"1st Email Follow-up","2nd Email Follow-up","Escalate Local Office","Escalate to CBE","Escalate to Roxanne"))</f>
        <v/>
      </c>
    </row>
    <row r="426" spans="13:29">
      <c r="M426" s="14"/>
      <c r="T426" s="16"/>
      <c r="U426" s="17">
        <f>IF(AND(COUNTA($A426:$L426)=0,$N426=""),"",IF($T426="Paid","PAID",IF($T426="Closed","CLOSED",IF($Z426="","",IF($Z426=6,"ESCALATED TO ROXANNE",IF(TODAY()&gt;$AB426,"OVERDUE",IF($AB426&lt;=WORKDAY(TODAY(),1,Holidays),"DUE TOMORROW",IF($Z426=4,"ESCALATED TO LOCAL OFFICE",IF($Z426=5,"ESCALATED TO CBE",IF($AA426=TODAY(),"EMAIL SENT","MONITORING"))))))))))</f>
        <v/>
      </c>
      <c r="V426" s="17">
        <f>IF($U426="",IF(AND(COUNTA($A426:$L426)&gt;0,$N426=""),"Awaiting Collection Email time stamp.",""),IF(OR($U426="PAID",$U426="CLOSED"),IF($U426="PAID","Account paid. Action completed.","Account closed. No further action required."),CHOOSE($Z426,"Collection Email","1st Email Follow-up","2nd Email Follow-up","Escalation to Local Office","Escalation to CBE","Escalation to Roxanne")&amp;" sent "&amp;TEXT($AA426,"dd-mmm")&amp;". "&amp;IF($Z426=6,"Final escalation completed.",IF($U426="OVERDUE","Next: "&amp;$AC426&amp;" was due "&amp;TEXT($AB426,"dd-mmm")&amp;" - "&amp;(NETWORKDAYS($AB426,TODAY(),Holidays)-1)&amp;" business day(s) late. Send now.",IF($U426="DUE TOMORROW","Next: "&amp;$AC426&amp;IF($AB426&lt;=TODAY()," is due TODAY ("," is due next business day (")&amp;TEXT($AB426,"dd-mmm")&amp;").","Next: "&amp;$AC426&amp;" due "&amp;TEXT($AB426,"dd-mmm")&amp;" ("&amp;(NETWORKDAYS(TODAY(),$AB426,Holidays)-1)&amp;" business day(s) left).")))))</f>
        <v/>
      </c>
      <c r="W426" s="17">
        <f>IF($Z426="","",CHOOSE($Z426,"Collection Email","1st Follow-up","2nd Follow-up","Local Office","CBE","Roxanne")&amp;IF($Z426=6," - Final"," - Day "&amp;MAX(0,NETWORKDAYS($AA426,TODAY(),Holidays)-1)&amp;" of "&amp;CHOOSE($Z426,3,3,2,2,3))&amp;" | Total Day "&amp;MAX(0,NETWORKDAYS($N426,TODAY(),Holidays)-1))</f>
        <v/>
      </c>
      <c r="X426" s="18"/>
      <c r="Y426" s="18"/>
      <c r="Z426" s="17">
        <f>IF($N426="","",COUNT($N426:$S426))</f>
        <v/>
      </c>
      <c r="AA426" s="19">
        <f>IF($Z426="","",INT(INDEX($N426:$S426,$Z426)))</f>
        <v/>
      </c>
      <c r="AB426" s="19">
        <f>IF(OR($Z426="",$Z426=6),"",WORKDAY($AA426,CHOOSE($Z426,3,3,2,2,3),Holidays))</f>
        <v/>
      </c>
      <c r="AC426" s="17">
        <f>IF(OR($Z426="",$Z426=6),"",CHOOSE($Z426,"1st Email Follow-up","2nd Email Follow-up","Escalate Local Office","Escalate to CBE","Escalate to Roxanne"))</f>
        <v/>
      </c>
    </row>
    <row r="427" spans="13:29">
      <c r="M427" s="14"/>
      <c r="T427" s="16"/>
      <c r="U427" s="17">
        <f>IF(AND(COUNTA($A427:$L427)=0,$N427=""),"",IF($T427="Paid","PAID",IF($T427="Closed","CLOSED",IF($Z427="","",IF($Z427=6,"ESCALATED TO ROXANNE",IF(TODAY()&gt;$AB427,"OVERDUE",IF($AB427&lt;=WORKDAY(TODAY(),1,Holidays),"DUE TOMORROW",IF($Z427=4,"ESCALATED TO LOCAL OFFICE",IF($Z427=5,"ESCALATED TO CBE",IF($AA427=TODAY(),"EMAIL SENT","MONITORING"))))))))))</f>
        <v/>
      </c>
      <c r="V427" s="17">
        <f>IF($U427="",IF(AND(COUNTA($A427:$L427)&gt;0,$N427=""),"Awaiting Collection Email time stamp.",""),IF(OR($U427="PAID",$U427="CLOSED"),IF($U427="PAID","Account paid. Action completed.","Account closed. No further action required."),CHOOSE($Z427,"Collection Email","1st Email Follow-up","2nd Email Follow-up","Escalation to Local Office","Escalation to CBE","Escalation to Roxanne")&amp;" sent "&amp;TEXT($AA427,"dd-mmm")&amp;". "&amp;IF($Z427=6,"Final escalation completed.",IF($U427="OVERDUE","Next: "&amp;$AC427&amp;" was due "&amp;TEXT($AB427,"dd-mmm")&amp;" - "&amp;(NETWORKDAYS($AB427,TODAY(),Holidays)-1)&amp;" business day(s) late. Send now.",IF($U427="DUE TOMORROW","Next: "&amp;$AC427&amp;IF($AB427&lt;=TODAY()," is due TODAY ("," is due next business day (")&amp;TEXT($AB427,"dd-mmm")&amp;").","Next: "&amp;$AC427&amp;" due "&amp;TEXT($AB427,"dd-mmm")&amp;" ("&amp;(NETWORKDAYS(TODAY(),$AB427,Holidays)-1)&amp;" business day(s) left).")))))</f>
        <v/>
      </c>
      <c r="W427" s="17">
        <f>IF($Z427="","",CHOOSE($Z427,"Collection Email","1st Follow-up","2nd Follow-up","Local Office","CBE","Roxanne")&amp;IF($Z427=6," - Final"," - Day "&amp;MAX(0,NETWORKDAYS($AA427,TODAY(),Holidays)-1)&amp;" of "&amp;CHOOSE($Z427,3,3,2,2,3))&amp;" | Total Day "&amp;MAX(0,NETWORKDAYS($N427,TODAY(),Holidays)-1))</f>
        <v/>
      </c>
      <c r="X427" s="18"/>
      <c r="Y427" s="18"/>
      <c r="Z427" s="17">
        <f>IF($N427="","",COUNT($N427:$S427))</f>
        <v/>
      </c>
      <c r="AA427" s="19">
        <f>IF($Z427="","",INT(INDEX($N427:$S427,$Z427)))</f>
        <v/>
      </c>
      <c r="AB427" s="19">
        <f>IF(OR($Z427="",$Z427=6),"",WORKDAY($AA427,CHOOSE($Z427,3,3,2,2,3),Holidays))</f>
        <v/>
      </c>
      <c r="AC427" s="17">
        <f>IF(OR($Z427="",$Z427=6),"",CHOOSE($Z427,"1st Email Follow-up","2nd Email Follow-up","Escalate Local Office","Escalate to CBE","Escalate to Roxanne"))</f>
        <v/>
      </c>
    </row>
    <row r="428" spans="13:29">
      <c r="M428" s="14"/>
      <c r="T428" s="16"/>
      <c r="U428" s="17">
        <f>IF(AND(COUNTA($A428:$L428)=0,$N428=""),"",IF($T428="Paid","PAID",IF($T428="Closed","CLOSED",IF($Z428="","",IF($Z428=6,"ESCALATED TO ROXANNE",IF(TODAY()&gt;$AB428,"OVERDUE",IF($AB428&lt;=WORKDAY(TODAY(),1,Holidays),"DUE TOMORROW",IF($Z428=4,"ESCALATED TO LOCAL OFFICE",IF($Z428=5,"ESCALATED TO CBE",IF($AA428=TODAY(),"EMAIL SENT","MONITORING"))))))))))</f>
        <v/>
      </c>
      <c r="V428" s="17">
        <f>IF($U428="",IF(AND(COUNTA($A428:$L428)&gt;0,$N428=""),"Awaiting Collection Email time stamp.",""),IF(OR($U428="PAID",$U428="CLOSED"),IF($U428="PAID","Account paid. Action completed.","Account closed. No further action required."),CHOOSE($Z428,"Collection Email","1st Email Follow-up","2nd Email Follow-up","Escalation to Local Office","Escalation to CBE","Escalation to Roxanne")&amp;" sent "&amp;TEXT($AA428,"dd-mmm")&amp;". "&amp;IF($Z428=6,"Final escalation completed.",IF($U428="OVERDUE","Next: "&amp;$AC428&amp;" was due "&amp;TEXT($AB428,"dd-mmm")&amp;" - "&amp;(NETWORKDAYS($AB428,TODAY(),Holidays)-1)&amp;" business day(s) late. Send now.",IF($U428="DUE TOMORROW","Next: "&amp;$AC428&amp;IF($AB428&lt;=TODAY()," is due TODAY ("," is due next business day (")&amp;TEXT($AB428,"dd-mmm")&amp;").","Next: "&amp;$AC428&amp;" due "&amp;TEXT($AB428,"dd-mmm")&amp;" ("&amp;(NETWORKDAYS(TODAY(),$AB428,Holidays)-1)&amp;" business day(s) left).")))))</f>
        <v/>
      </c>
      <c r="W428" s="17">
        <f>IF($Z428="","",CHOOSE($Z428,"Collection Email","1st Follow-up","2nd Follow-up","Local Office","CBE","Roxanne")&amp;IF($Z428=6," - Final"," - Day "&amp;MAX(0,NETWORKDAYS($AA428,TODAY(),Holidays)-1)&amp;" of "&amp;CHOOSE($Z428,3,3,2,2,3))&amp;" | Total Day "&amp;MAX(0,NETWORKDAYS($N428,TODAY(),Holidays)-1))</f>
        <v/>
      </c>
      <c r="X428" s="18"/>
      <c r="Y428" s="18"/>
      <c r="Z428" s="17">
        <f>IF($N428="","",COUNT($N428:$S428))</f>
        <v/>
      </c>
      <c r="AA428" s="19">
        <f>IF($Z428="","",INT(INDEX($N428:$S428,$Z428)))</f>
        <v/>
      </c>
      <c r="AB428" s="19">
        <f>IF(OR($Z428="",$Z428=6),"",WORKDAY($AA428,CHOOSE($Z428,3,3,2,2,3),Holidays))</f>
        <v/>
      </c>
      <c r="AC428" s="17">
        <f>IF(OR($Z428="",$Z428=6),"",CHOOSE($Z428,"1st Email Follow-up","2nd Email Follow-up","Escalate Local Office","Escalate to CBE","Escalate to Roxanne"))</f>
        <v/>
      </c>
    </row>
    <row r="429" spans="13:29">
      <c r="M429" s="14"/>
      <c r="T429" s="16"/>
      <c r="U429" s="17">
        <f>IF(AND(COUNTA($A429:$L429)=0,$N429=""),"",IF($T429="Paid","PAID",IF($T429="Closed","CLOSED",IF($Z429="","",IF($Z429=6,"ESCALATED TO ROXANNE",IF(TODAY()&gt;$AB429,"OVERDUE",IF($AB429&lt;=WORKDAY(TODAY(),1,Holidays),"DUE TOMORROW",IF($Z429=4,"ESCALATED TO LOCAL OFFICE",IF($Z429=5,"ESCALATED TO CBE",IF($AA429=TODAY(),"EMAIL SENT","MONITORING"))))))))))</f>
        <v/>
      </c>
      <c r="V429" s="17">
        <f>IF($U429="",IF(AND(COUNTA($A429:$L429)&gt;0,$N429=""),"Awaiting Collection Email time stamp.",""),IF(OR($U429="PAID",$U429="CLOSED"),IF($U429="PAID","Account paid. Action completed.","Account closed. No further action required."),CHOOSE($Z429,"Collection Email","1st Email Follow-up","2nd Email Follow-up","Escalation to Local Office","Escalation to CBE","Escalation to Roxanne")&amp;" sent "&amp;TEXT($AA429,"dd-mmm")&amp;". "&amp;IF($Z429=6,"Final escalation completed.",IF($U429="OVERDUE","Next: "&amp;$AC429&amp;" was due "&amp;TEXT($AB429,"dd-mmm")&amp;" - "&amp;(NETWORKDAYS($AB429,TODAY(),Holidays)-1)&amp;" business day(s) late. Send now.",IF($U429="DUE TOMORROW","Next: "&amp;$AC429&amp;IF($AB429&lt;=TODAY()," is due TODAY ("," is due next business day (")&amp;TEXT($AB429,"dd-mmm")&amp;").","Next: "&amp;$AC429&amp;" due "&amp;TEXT($AB429,"dd-mmm")&amp;" ("&amp;(NETWORKDAYS(TODAY(),$AB429,Holidays)-1)&amp;" business day(s) left).")))))</f>
        <v/>
      </c>
      <c r="W429" s="17">
        <f>IF($Z429="","",CHOOSE($Z429,"Collection Email","1st Follow-up","2nd Follow-up","Local Office","CBE","Roxanne")&amp;IF($Z429=6," - Final"," - Day "&amp;MAX(0,NETWORKDAYS($AA429,TODAY(),Holidays)-1)&amp;" of "&amp;CHOOSE($Z429,3,3,2,2,3))&amp;" | Total Day "&amp;MAX(0,NETWORKDAYS($N429,TODAY(),Holidays)-1))</f>
        <v/>
      </c>
      <c r="X429" s="18"/>
      <c r="Y429" s="18"/>
      <c r="Z429" s="17">
        <f>IF($N429="","",COUNT($N429:$S429))</f>
        <v/>
      </c>
      <c r="AA429" s="19">
        <f>IF($Z429="","",INT(INDEX($N429:$S429,$Z429)))</f>
        <v/>
      </c>
      <c r="AB429" s="19">
        <f>IF(OR($Z429="",$Z429=6),"",WORKDAY($AA429,CHOOSE($Z429,3,3,2,2,3),Holidays))</f>
        <v/>
      </c>
      <c r="AC429" s="17">
        <f>IF(OR($Z429="",$Z429=6),"",CHOOSE($Z429,"1st Email Follow-up","2nd Email Follow-up","Escalate Local Office","Escalate to CBE","Escalate to Roxanne"))</f>
        <v/>
      </c>
    </row>
    <row r="430" spans="13:29">
      <c r="M430" s="14"/>
      <c r="T430" s="16"/>
      <c r="U430" s="17">
        <f>IF(AND(COUNTA($A430:$L430)=0,$N430=""),"",IF($T430="Paid","PAID",IF($T430="Closed","CLOSED",IF($Z430="","",IF($Z430=6,"ESCALATED TO ROXANNE",IF(TODAY()&gt;$AB430,"OVERDUE",IF($AB430&lt;=WORKDAY(TODAY(),1,Holidays),"DUE TOMORROW",IF($Z430=4,"ESCALATED TO LOCAL OFFICE",IF($Z430=5,"ESCALATED TO CBE",IF($AA430=TODAY(),"EMAIL SENT","MONITORING"))))))))))</f>
        <v/>
      </c>
      <c r="V430" s="17">
        <f>IF($U430="",IF(AND(COUNTA($A430:$L430)&gt;0,$N430=""),"Awaiting Collection Email time stamp.",""),IF(OR($U430="PAID",$U430="CLOSED"),IF($U430="PAID","Account paid. Action completed.","Account closed. No further action required."),CHOOSE($Z430,"Collection Email","1st Email Follow-up","2nd Email Follow-up","Escalation to Local Office","Escalation to CBE","Escalation to Roxanne")&amp;" sent "&amp;TEXT($AA430,"dd-mmm")&amp;". "&amp;IF($Z430=6,"Final escalation completed.",IF($U430="OVERDUE","Next: "&amp;$AC430&amp;" was due "&amp;TEXT($AB430,"dd-mmm")&amp;" - "&amp;(NETWORKDAYS($AB430,TODAY(),Holidays)-1)&amp;" business day(s) late. Send now.",IF($U430="DUE TOMORROW","Next: "&amp;$AC430&amp;IF($AB430&lt;=TODAY()," is due TODAY ("," is due next business day (")&amp;TEXT($AB430,"dd-mmm")&amp;").","Next: "&amp;$AC430&amp;" due "&amp;TEXT($AB430,"dd-mmm")&amp;" ("&amp;(NETWORKDAYS(TODAY(),$AB430,Holidays)-1)&amp;" business day(s) left).")))))</f>
        <v/>
      </c>
      <c r="W430" s="17">
        <f>IF($Z430="","",CHOOSE($Z430,"Collection Email","1st Follow-up","2nd Follow-up","Local Office","CBE","Roxanne")&amp;IF($Z430=6," - Final"," - Day "&amp;MAX(0,NETWORKDAYS($AA430,TODAY(),Holidays)-1)&amp;" of "&amp;CHOOSE($Z430,3,3,2,2,3))&amp;" | Total Day "&amp;MAX(0,NETWORKDAYS($N430,TODAY(),Holidays)-1))</f>
        <v/>
      </c>
      <c r="X430" s="18"/>
      <c r="Y430" s="18"/>
      <c r="Z430" s="17">
        <f>IF($N430="","",COUNT($N430:$S430))</f>
        <v/>
      </c>
      <c r="AA430" s="19">
        <f>IF($Z430="","",INT(INDEX($N430:$S430,$Z430)))</f>
        <v/>
      </c>
      <c r="AB430" s="19">
        <f>IF(OR($Z430="",$Z430=6),"",WORKDAY($AA430,CHOOSE($Z430,3,3,2,2,3),Holidays))</f>
        <v/>
      </c>
      <c r="AC430" s="17">
        <f>IF(OR($Z430="",$Z430=6),"",CHOOSE($Z430,"1st Email Follow-up","2nd Email Follow-up","Escalate Local Office","Escalate to CBE","Escalate to Roxanne"))</f>
        <v/>
      </c>
    </row>
    <row r="431" spans="13:29">
      <c r="M431" s="14"/>
      <c r="T431" s="16"/>
      <c r="U431" s="17">
        <f>IF(AND(COUNTA($A431:$L431)=0,$N431=""),"",IF($T431="Paid","PAID",IF($T431="Closed","CLOSED",IF($Z431="","",IF($Z431=6,"ESCALATED TO ROXANNE",IF(TODAY()&gt;$AB431,"OVERDUE",IF($AB431&lt;=WORKDAY(TODAY(),1,Holidays),"DUE TOMORROW",IF($Z431=4,"ESCALATED TO LOCAL OFFICE",IF($Z431=5,"ESCALATED TO CBE",IF($AA431=TODAY(),"EMAIL SENT","MONITORING"))))))))))</f>
        <v/>
      </c>
      <c r="V431" s="17">
        <f>IF($U431="",IF(AND(COUNTA($A431:$L431)&gt;0,$N431=""),"Awaiting Collection Email time stamp.",""),IF(OR($U431="PAID",$U431="CLOSED"),IF($U431="PAID","Account paid. Action completed.","Account closed. No further action required."),CHOOSE($Z431,"Collection Email","1st Email Follow-up","2nd Email Follow-up","Escalation to Local Office","Escalation to CBE","Escalation to Roxanne")&amp;" sent "&amp;TEXT($AA431,"dd-mmm")&amp;". "&amp;IF($Z431=6,"Final escalation completed.",IF($U431="OVERDUE","Next: "&amp;$AC431&amp;" was due "&amp;TEXT($AB431,"dd-mmm")&amp;" - "&amp;(NETWORKDAYS($AB431,TODAY(),Holidays)-1)&amp;" business day(s) late. Send now.",IF($U431="DUE TOMORROW","Next: "&amp;$AC431&amp;IF($AB431&lt;=TODAY()," is due TODAY ("," is due next business day (")&amp;TEXT($AB431,"dd-mmm")&amp;").","Next: "&amp;$AC431&amp;" due "&amp;TEXT($AB431,"dd-mmm")&amp;" ("&amp;(NETWORKDAYS(TODAY(),$AB431,Holidays)-1)&amp;" business day(s) left).")))))</f>
        <v/>
      </c>
      <c r="W431" s="17">
        <f>IF($Z431="","",CHOOSE($Z431,"Collection Email","1st Follow-up","2nd Follow-up","Local Office","CBE","Roxanne")&amp;IF($Z431=6," - Final"," - Day "&amp;MAX(0,NETWORKDAYS($AA431,TODAY(),Holidays)-1)&amp;" of "&amp;CHOOSE($Z431,3,3,2,2,3))&amp;" | Total Day "&amp;MAX(0,NETWORKDAYS($N431,TODAY(),Holidays)-1))</f>
        <v/>
      </c>
      <c r="X431" s="18"/>
      <c r="Y431" s="18"/>
      <c r="Z431" s="17">
        <f>IF($N431="","",COUNT($N431:$S431))</f>
        <v/>
      </c>
      <c r="AA431" s="19">
        <f>IF($Z431="","",INT(INDEX($N431:$S431,$Z431)))</f>
        <v/>
      </c>
      <c r="AB431" s="19">
        <f>IF(OR($Z431="",$Z431=6),"",WORKDAY($AA431,CHOOSE($Z431,3,3,2,2,3),Holidays))</f>
        <v/>
      </c>
      <c r="AC431" s="17">
        <f>IF(OR($Z431="",$Z431=6),"",CHOOSE($Z431,"1st Email Follow-up","2nd Email Follow-up","Escalate Local Office","Escalate to CBE","Escalate to Roxanne"))</f>
        <v/>
      </c>
    </row>
    <row r="432" spans="13:29">
      <c r="M432" s="14"/>
      <c r="T432" s="16"/>
      <c r="U432" s="17">
        <f>IF(AND(COUNTA($A432:$L432)=0,$N432=""),"",IF($T432="Paid","PAID",IF($T432="Closed","CLOSED",IF($Z432="","",IF($Z432=6,"ESCALATED TO ROXANNE",IF(TODAY()&gt;$AB432,"OVERDUE",IF($AB432&lt;=WORKDAY(TODAY(),1,Holidays),"DUE TOMORROW",IF($Z432=4,"ESCALATED TO LOCAL OFFICE",IF($Z432=5,"ESCALATED TO CBE",IF($AA432=TODAY(),"EMAIL SENT","MONITORING"))))))))))</f>
        <v/>
      </c>
      <c r="V432" s="17">
        <f>IF($U432="",IF(AND(COUNTA($A432:$L432)&gt;0,$N432=""),"Awaiting Collection Email time stamp.",""),IF(OR($U432="PAID",$U432="CLOSED"),IF($U432="PAID","Account paid. Action completed.","Account closed. No further action required."),CHOOSE($Z432,"Collection Email","1st Email Follow-up","2nd Email Follow-up","Escalation to Local Office","Escalation to CBE","Escalation to Roxanne")&amp;" sent "&amp;TEXT($AA432,"dd-mmm")&amp;". "&amp;IF($Z432=6,"Final escalation completed.",IF($U432="OVERDUE","Next: "&amp;$AC432&amp;" was due "&amp;TEXT($AB432,"dd-mmm")&amp;" - "&amp;(NETWORKDAYS($AB432,TODAY(),Holidays)-1)&amp;" business day(s) late. Send now.",IF($U432="DUE TOMORROW","Next: "&amp;$AC432&amp;IF($AB432&lt;=TODAY()," is due TODAY ("," is due next business day (")&amp;TEXT($AB432,"dd-mmm")&amp;").","Next: "&amp;$AC432&amp;" due "&amp;TEXT($AB432,"dd-mmm")&amp;" ("&amp;(NETWORKDAYS(TODAY(),$AB432,Holidays)-1)&amp;" business day(s) left).")))))</f>
        <v/>
      </c>
      <c r="W432" s="17">
        <f>IF($Z432="","",CHOOSE($Z432,"Collection Email","1st Follow-up","2nd Follow-up","Local Office","CBE","Roxanne")&amp;IF($Z432=6," - Final"," - Day "&amp;MAX(0,NETWORKDAYS($AA432,TODAY(),Holidays)-1)&amp;" of "&amp;CHOOSE($Z432,3,3,2,2,3))&amp;" | Total Day "&amp;MAX(0,NETWORKDAYS($N432,TODAY(),Holidays)-1))</f>
        <v/>
      </c>
      <c r="X432" s="18"/>
      <c r="Y432" s="18"/>
      <c r="Z432" s="17">
        <f>IF($N432="","",COUNT($N432:$S432))</f>
        <v/>
      </c>
      <c r="AA432" s="19">
        <f>IF($Z432="","",INT(INDEX($N432:$S432,$Z432)))</f>
        <v/>
      </c>
      <c r="AB432" s="19">
        <f>IF(OR($Z432="",$Z432=6),"",WORKDAY($AA432,CHOOSE($Z432,3,3,2,2,3),Holidays))</f>
        <v/>
      </c>
      <c r="AC432" s="17">
        <f>IF(OR($Z432="",$Z432=6),"",CHOOSE($Z432,"1st Email Follow-up","2nd Email Follow-up","Escalate Local Office","Escalate to CBE","Escalate to Roxanne"))</f>
        <v/>
      </c>
    </row>
    <row r="433" spans="13:29">
      <c r="M433" s="14"/>
      <c r="T433" s="16"/>
      <c r="U433" s="17">
        <f>IF(AND(COUNTA($A433:$L433)=0,$N433=""),"",IF($T433="Paid","PAID",IF($T433="Closed","CLOSED",IF($Z433="","",IF($Z433=6,"ESCALATED TO ROXANNE",IF(TODAY()&gt;$AB433,"OVERDUE",IF($AB433&lt;=WORKDAY(TODAY(),1,Holidays),"DUE TOMORROW",IF($Z433=4,"ESCALATED TO LOCAL OFFICE",IF($Z433=5,"ESCALATED TO CBE",IF($AA433=TODAY(),"EMAIL SENT","MONITORING"))))))))))</f>
        <v/>
      </c>
      <c r="V433" s="17">
        <f>IF($U433="",IF(AND(COUNTA($A433:$L433)&gt;0,$N433=""),"Awaiting Collection Email time stamp.",""),IF(OR($U433="PAID",$U433="CLOSED"),IF($U433="PAID","Account paid. Action completed.","Account closed. No further action required."),CHOOSE($Z433,"Collection Email","1st Email Follow-up","2nd Email Follow-up","Escalation to Local Office","Escalation to CBE","Escalation to Roxanne")&amp;" sent "&amp;TEXT($AA433,"dd-mmm")&amp;". "&amp;IF($Z433=6,"Final escalation completed.",IF($U433="OVERDUE","Next: "&amp;$AC433&amp;" was due "&amp;TEXT($AB433,"dd-mmm")&amp;" - "&amp;(NETWORKDAYS($AB433,TODAY(),Holidays)-1)&amp;" business day(s) late. Send now.",IF($U433="DUE TOMORROW","Next: "&amp;$AC433&amp;IF($AB433&lt;=TODAY()," is due TODAY ("," is due next business day (")&amp;TEXT($AB433,"dd-mmm")&amp;").","Next: "&amp;$AC433&amp;" due "&amp;TEXT($AB433,"dd-mmm")&amp;" ("&amp;(NETWORKDAYS(TODAY(),$AB433,Holidays)-1)&amp;" business day(s) left).")))))</f>
        <v/>
      </c>
      <c r="W433" s="17">
        <f>IF($Z433="","",CHOOSE($Z433,"Collection Email","1st Follow-up","2nd Follow-up","Local Office","CBE","Roxanne")&amp;IF($Z433=6," - Final"," - Day "&amp;MAX(0,NETWORKDAYS($AA433,TODAY(),Holidays)-1)&amp;" of "&amp;CHOOSE($Z433,3,3,2,2,3))&amp;" | Total Day "&amp;MAX(0,NETWORKDAYS($N433,TODAY(),Holidays)-1))</f>
        <v/>
      </c>
      <c r="X433" s="18"/>
      <c r="Y433" s="18"/>
      <c r="Z433" s="17">
        <f>IF($N433="","",COUNT($N433:$S433))</f>
        <v/>
      </c>
      <c r="AA433" s="19">
        <f>IF($Z433="","",INT(INDEX($N433:$S433,$Z433)))</f>
        <v/>
      </c>
      <c r="AB433" s="19">
        <f>IF(OR($Z433="",$Z433=6),"",WORKDAY($AA433,CHOOSE($Z433,3,3,2,2,3),Holidays))</f>
        <v/>
      </c>
      <c r="AC433" s="17">
        <f>IF(OR($Z433="",$Z433=6),"",CHOOSE($Z433,"1st Email Follow-up","2nd Email Follow-up","Escalate Local Office","Escalate to CBE","Escalate to Roxanne"))</f>
        <v/>
      </c>
    </row>
    <row r="434" spans="13:29">
      <c r="M434" s="14"/>
      <c r="T434" s="16"/>
      <c r="U434" s="17">
        <f>IF(AND(COUNTA($A434:$L434)=0,$N434=""),"",IF($T434="Paid","PAID",IF($T434="Closed","CLOSED",IF($Z434="","",IF($Z434=6,"ESCALATED TO ROXANNE",IF(TODAY()&gt;$AB434,"OVERDUE",IF($AB434&lt;=WORKDAY(TODAY(),1,Holidays),"DUE TOMORROW",IF($Z434=4,"ESCALATED TO LOCAL OFFICE",IF($Z434=5,"ESCALATED TO CBE",IF($AA434=TODAY(),"EMAIL SENT","MONITORING"))))))))))</f>
        <v/>
      </c>
      <c r="V434" s="17">
        <f>IF($U434="",IF(AND(COUNTA($A434:$L434)&gt;0,$N434=""),"Awaiting Collection Email time stamp.",""),IF(OR($U434="PAID",$U434="CLOSED"),IF($U434="PAID","Account paid. Action completed.","Account closed. No further action required."),CHOOSE($Z434,"Collection Email","1st Email Follow-up","2nd Email Follow-up","Escalation to Local Office","Escalation to CBE","Escalation to Roxanne")&amp;" sent "&amp;TEXT($AA434,"dd-mmm")&amp;". "&amp;IF($Z434=6,"Final escalation completed.",IF($U434="OVERDUE","Next: "&amp;$AC434&amp;" was due "&amp;TEXT($AB434,"dd-mmm")&amp;" - "&amp;(NETWORKDAYS($AB434,TODAY(),Holidays)-1)&amp;" business day(s) late. Send now.",IF($U434="DUE TOMORROW","Next: "&amp;$AC434&amp;IF($AB434&lt;=TODAY()," is due TODAY ("," is due next business day (")&amp;TEXT($AB434,"dd-mmm")&amp;").","Next: "&amp;$AC434&amp;" due "&amp;TEXT($AB434,"dd-mmm")&amp;" ("&amp;(NETWORKDAYS(TODAY(),$AB434,Holidays)-1)&amp;" business day(s) left).")))))</f>
        <v/>
      </c>
      <c r="W434" s="17">
        <f>IF($Z434="","",CHOOSE($Z434,"Collection Email","1st Follow-up","2nd Follow-up","Local Office","CBE","Roxanne")&amp;IF($Z434=6," - Final"," - Day "&amp;MAX(0,NETWORKDAYS($AA434,TODAY(),Holidays)-1)&amp;" of "&amp;CHOOSE($Z434,3,3,2,2,3))&amp;" | Total Day "&amp;MAX(0,NETWORKDAYS($N434,TODAY(),Holidays)-1))</f>
        <v/>
      </c>
      <c r="X434" s="18"/>
      <c r="Y434" s="18"/>
      <c r="Z434" s="17">
        <f>IF($N434="","",COUNT($N434:$S434))</f>
        <v/>
      </c>
      <c r="AA434" s="19">
        <f>IF($Z434="","",INT(INDEX($N434:$S434,$Z434)))</f>
        <v/>
      </c>
      <c r="AB434" s="19">
        <f>IF(OR($Z434="",$Z434=6),"",WORKDAY($AA434,CHOOSE($Z434,3,3,2,2,3),Holidays))</f>
        <v/>
      </c>
      <c r="AC434" s="17">
        <f>IF(OR($Z434="",$Z434=6),"",CHOOSE($Z434,"1st Email Follow-up","2nd Email Follow-up","Escalate Local Office","Escalate to CBE","Escalate to Roxanne"))</f>
        <v/>
      </c>
    </row>
    <row r="435" spans="13:29">
      <c r="M435" s="14"/>
      <c r="T435" s="16"/>
      <c r="U435" s="17">
        <f>IF(AND(COUNTA($A435:$L435)=0,$N435=""),"",IF($T435="Paid","PAID",IF($T435="Closed","CLOSED",IF($Z435="","",IF($Z435=6,"ESCALATED TO ROXANNE",IF(TODAY()&gt;$AB435,"OVERDUE",IF($AB435&lt;=WORKDAY(TODAY(),1,Holidays),"DUE TOMORROW",IF($Z435=4,"ESCALATED TO LOCAL OFFICE",IF($Z435=5,"ESCALATED TO CBE",IF($AA435=TODAY(),"EMAIL SENT","MONITORING"))))))))))</f>
        <v/>
      </c>
      <c r="V435" s="17">
        <f>IF($U435="",IF(AND(COUNTA($A435:$L435)&gt;0,$N435=""),"Awaiting Collection Email time stamp.",""),IF(OR($U435="PAID",$U435="CLOSED"),IF($U435="PAID","Account paid. Action completed.","Account closed. No further action required."),CHOOSE($Z435,"Collection Email","1st Email Follow-up","2nd Email Follow-up","Escalation to Local Office","Escalation to CBE","Escalation to Roxanne")&amp;" sent "&amp;TEXT($AA435,"dd-mmm")&amp;". "&amp;IF($Z435=6,"Final escalation completed.",IF($U435="OVERDUE","Next: "&amp;$AC435&amp;" was due "&amp;TEXT($AB435,"dd-mmm")&amp;" - "&amp;(NETWORKDAYS($AB435,TODAY(),Holidays)-1)&amp;" business day(s) late. Send now.",IF($U435="DUE TOMORROW","Next: "&amp;$AC435&amp;IF($AB435&lt;=TODAY()," is due TODAY ("," is due next business day (")&amp;TEXT($AB435,"dd-mmm")&amp;").","Next: "&amp;$AC435&amp;" due "&amp;TEXT($AB435,"dd-mmm")&amp;" ("&amp;(NETWORKDAYS(TODAY(),$AB435,Holidays)-1)&amp;" business day(s) left).")))))</f>
        <v/>
      </c>
      <c r="W435" s="17">
        <f>IF($Z435="","",CHOOSE($Z435,"Collection Email","1st Follow-up","2nd Follow-up","Local Office","CBE","Roxanne")&amp;IF($Z435=6," - Final"," - Day "&amp;MAX(0,NETWORKDAYS($AA435,TODAY(),Holidays)-1)&amp;" of "&amp;CHOOSE($Z435,3,3,2,2,3))&amp;" | Total Day "&amp;MAX(0,NETWORKDAYS($N435,TODAY(),Holidays)-1))</f>
        <v/>
      </c>
      <c r="X435" s="18"/>
      <c r="Y435" s="18"/>
      <c r="Z435" s="17">
        <f>IF($N435="","",COUNT($N435:$S435))</f>
        <v/>
      </c>
      <c r="AA435" s="19">
        <f>IF($Z435="","",INT(INDEX($N435:$S435,$Z435)))</f>
        <v/>
      </c>
      <c r="AB435" s="19">
        <f>IF(OR($Z435="",$Z435=6),"",WORKDAY($AA435,CHOOSE($Z435,3,3,2,2,3),Holidays))</f>
        <v/>
      </c>
      <c r="AC435" s="17">
        <f>IF(OR($Z435="",$Z435=6),"",CHOOSE($Z435,"1st Email Follow-up","2nd Email Follow-up","Escalate Local Office","Escalate to CBE","Escalate to Roxanne"))</f>
        <v/>
      </c>
    </row>
    <row r="436" spans="13:29">
      <c r="M436" s="14"/>
      <c r="T436" s="16"/>
      <c r="U436" s="17">
        <f>IF(AND(COUNTA($A436:$L436)=0,$N436=""),"",IF($T436="Paid","PAID",IF($T436="Closed","CLOSED",IF($Z436="","",IF($Z436=6,"ESCALATED TO ROXANNE",IF(TODAY()&gt;$AB436,"OVERDUE",IF($AB436&lt;=WORKDAY(TODAY(),1,Holidays),"DUE TOMORROW",IF($Z436=4,"ESCALATED TO LOCAL OFFICE",IF($Z436=5,"ESCALATED TO CBE",IF($AA436=TODAY(),"EMAIL SENT","MONITORING"))))))))))</f>
        <v/>
      </c>
      <c r="V436" s="17">
        <f>IF($U436="",IF(AND(COUNTA($A436:$L436)&gt;0,$N436=""),"Awaiting Collection Email time stamp.",""),IF(OR($U436="PAID",$U436="CLOSED"),IF($U436="PAID","Account paid. Action completed.","Account closed. No further action required."),CHOOSE($Z436,"Collection Email","1st Email Follow-up","2nd Email Follow-up","Escalation to Local Office","Escalation to CBE","Escalation to Roxanne")&amp;" sent "&amp;TEXT($AA436,"dd-mmm")&amp;". "&amp;IF($Z436=6,"Final escalation completed.",IF($U436="OVERDUE","Next: "&amp;$AC436&amp;" was due "&amp;TEXT($AB436,"dd-mmm")&amp;" - "&amp;(NETWORKDAYS($AB436,TODAY(),Holidays)-1)&amp;" business day(s) late. Send now.",IF($U436="DUE TOMORROW","Next: "&amp;$AC436&amp;IF($AB436&lt;=TODAY()," is due TODAY ("," is due next business day (")&amp;TEXT($AB436,"dd-mmm")&amp;").","Next: "&amp;$AC436&amp;" due "&amp;TEXT($AB436,"dd-mmm")&amp;" ("&amp;(NETWORKDAYS(TODAY(),$AB436,Holidays)-1)&amp;" business day(s) left).")))))</f>
        <v/>
      </c>
      <c r="W436" s="17">
        <f>IF($Z436="","",CHOOSE($Z436,"Collection Email","1st Follow-up","2nd Follow-up","Local Office","CBE","Roxanne")&amp;IF($Z436=6," - Final"," - Day "&amp;MAX(0,NETWORKDAYS($AA436,TODAY(),Holidays)-1)&amp;" of "&amp;CHOOSE($Z436,3,3,2,2,3))&amp;" | Total Day "&amp;MAX(0,NETWORKDAYS($N436,TODAY(),Holidays)-1))</f>
        <v/>
      </c>
      <c r="X436" s="18"/>
      <c r="Y436" s="18"/>
      <c r="Z436" s="17">
        <f>IF($N436="","",COUNT($N436:$S436))</f>
        <v/>
      </c>
      <c r="AA436" s="19">
        <f>IF($Z436="","",INT(INDEX($N436:$S436,$Z436)))</f>
        <v/>
      </c>
      <c r="AB436" s="19">
        <f>IF(OR($Z436="",$Z436=6),"",WORKDAY($AA436,CHOOSE($Z436,3,3,2,2,3),Holidays))</f>
        <v/>
      </c>
      <c r="AC436" s="17">
        <f>IF(OR($Z436="",$Z436=6),"",CHOOSE($Z436,"1st Email Follow-up","2nd Email Follow-up","Escalate Local Office","Escalate to CBE","Escalate to Roxanne"))</f>
        <v/>
      </c>
    </row>
    <row r="437" spans="13:29">
      <c r="M437" s="14"/>
      <c r="T437" s="16"/>
      <c r="U437" s="17">
        <f>IF(AND(COUNTA($A437:$L437)=0,$N437=""),"",IF($T437="Paid","PAID",IF($T437="Closed","CLOSED",IF($Z437="","",IF($Z437=6,"ESCALATED TO ROXANNE",IF(TODAY()&gt;$AB437,"OVERDUE",IF($AB437&lt;=WORKDAY(TODAY(),1,Holidays),"DUE TOMORROW",IF($Z437=4,"ESCALATED TO LOCAL OFFICE",IF($Z437=5,"ESCALATED TO CBE",IF($AA437=TODAY(),"EMAIL SENT","MONITORING"))))))))))</f>
        <v/>
      </c>
      <c r="V437" s="17">
        <f>IF($U437="",IF(AND(COUNTA($A437:$L437)&gt;0,$N437=""),"Awaiting Collection Email time stamp.",""),IF(OR($U437="PAID",$U437="CLOSED"),IF($U437="PAID","Account paid. Action completed.","Account closed. No further action required."),CHOOSE($Z437,"Collection Email","1st Email Follow-up","2nd Email Follow-up","Escalation to Local Office","Escalation to CBE","Escalation to Roxanne")&amp;" sent "&amp;TEXT($AA437,"dd-mmm")&amp;". "&amp;IF($Z437=6,"Final escalation completed.",IF($U437="OVERDUE","Next: "&amp;$AC437&amp;" was due "&amp;TEXT($AB437,"dd-mmm")&amp;" - "&amp;(NETWORKDAYS($AB437,TODAY(),Holidays)-1)&amp;" business day(s) late. Send now.",IF($U437="DUE TOMORROW","Next: "&amp;$AC437&amp;IF($AB437&lt;=TODAY()," is due TODAY ("," is due next business day (")&amp;TEXT($AB437,"dd-mmm")&amp;").","Next: "&amp;$AC437&amp;" due "&amp;TEXT($AB437,"dd-mmm")&amp;" ("&amp;(NETWORKDAYS(TODAY(),$AB437,Holidays)-1)&amp;" business day(s) left).")))))</f>
        <v/>
      </c>
      <c r="W437" s="17">
        <f>IF($Z437="","",CHOOSE($Z437,"Collection Email","1st Follow-up","2nd Follow-up","Local Office","CBE","Roxanne")&amp;IF($Z437=6," - Final"," - Day "&amp;MAX(0,NETWORKDAYS($AA437,TODAY(),Holidays)-1)&amp;" of "&amp;CHOOSE($Z437,3,3,2,2,3))&amp;" | Total Day "&amp;MAX(0,NETWORKDAYS($N437,TODAY(),Holidays)-1))</f>
        <v/>
      </c>
      <c r="X437" s="18"/>
      <c r="Y437" s="18"/>
      <c r="Z437" s="17">
        <f>IF($N437="","",COUNT($N437:$S437))</f>
        <v/>
      </c>
      <c r="AA437" s="19">
        <f>IF($Z437="","",INT(INDEX($N437:$S437,$Z437)))</f>
        <v/>
      </c>
      <c r="AB437" s="19">
        <f>IF(OR($Z437="",$Z437=6),"",WORKDAY($AA437,CHOOSE($Z437,3,3,2,2,3),Holidays))</f>
        <v/>
      </c>
      <c r="AC437" s="17">
        <f>IF(OR($Z437="",$Z437=6),"",CHOOSE($Z437,"1st Email Follow-up","2nd Email Follow-up","Escalate Local Office","Escalate to CBE","Escalate to Roxanne"))</f>
        <v/>
      </c>
    </row>
    <row r="438" spans="13:29">
      <c r="M438" s="14"/>
      <c r="T438" s="16"/>
      <c r="U438" s="17">
        <f>IF(AND(COUNTA($A438:$L438)=0,$N438=""),"",IF($T438="Paid","PAID",IF($T438="Closed","CLOSED",IF($Z438="","",IF($Z438=6,"ESCALATED TO ROXANNE",IF(TODAY()&gt;$AB438,"OVERDUE",IF($AB438&lt;=WORKDAY(TODAY(),1,Holidays),"DUE TOMORROW",IF($Z438=4,"ESCALATED TO LOCAL OFFICE",IF($Z438=5,"ESCALATED TO CBE",IF($AA438=TODAY(),"EMAIL SENT","MONITORING"))))))))))</f>
        <v/>
      </c>
      <c r="V438" s="17">
        <f>IF($U438="",IF(AND(COUNTA($A438:$L438)&gt;0,$N438=""),"Awaiting Collection Email time stamp.",""),IF(OR($U438="PAID",$U438="CLOSED"),IF($U438="PAID","Account paid. Action completed.","Account closed. No further action required."),CHOOSE($Z438,"Collection Email","1st Email Follow-up","2nd Email Follow-up","Escalation to Local Office","Escalation to CBE","Escalation to Roxanne")&amp;" sent "&amp;TEXT($AA438,"dd-mmm")&amp;". "&amp;IF($Z438=6,"Final escalation completed.",IF($U438="OVERDUE","Next: "&amp;$AC438&amp;" was due "&amp;TEXT($AB438,"dd-mmm")&amp;" - "&amp;(NETWORKDAYS($AB438,TODAY(),Holidays)-1)&amp;" business day(s) late. Send now.",IF($U438="DUE TOMORROW","Next: "&amp;$AC438&amp;IF($AB438&lt;=TODAY()," is due TODAY ("," is due next business day (")&amp;TEXT($AB438,"dd-mmm")&amp;").","Next: "&amp;$AC438&amp;" due "&amp;TEXT($AB438,"dd-mmm")&amp;" ("&amp;(NETWORKDAYS(TODAY(),$AB438,Holidays)-1)&amp;" business day(s) left).")))))</f>
        <v/>
      </c>
      <c r="W438" s="17">
        <f>IF($Z438="","",CHOOSE($Z438,"Collection Email","1st Follow-up","2nd Follow-up","Local Office","CBE","Roxanne")&amp;IF($Z438=6," - Final"," - Day "&amp;MAX(0,NETWORKDAYS($AA438,TODAY(),Holidays)-1)&amp;" of "&amp;CHOOSE($Z438,3,3,2,2,3))&amp;" | Total Day "&amp;MAX(0,NETWORKDAYS($N438,TODAY(),Holidays)-1))</f>
        <v/>
      </c>
      <c r="X438" s="18"/>
      <c r="Y438" s="18"/>
      <c r="Z438" s="17">
        <f>IF($N438="","",COUNT($N438:$S438))</f>
        <v/>
      </c>
      <c r="AA438" s="19">
        <f>IF($Z438="","",INT(INDEX($N438:$S438,$Z438)))</f>
        <v/>
      </c>
      <c r="AB438" s="19">
        <f>IF(OR($Z438="",$Z438=6),"",WORKDAY($AA438,CHOOSE($Z438,3,3,2,2,3),Holidays))</f>
        <v/>
      </c>
      <c r="AC438" s="17">
        <f>IF(OR($Z438="",$Z438=6),"",CHOOSE($Z438,"1st Email Follow-up","2nd Email Follow-up","Escalate Local Office","Escalate to CBE","Escalate to Roxanne"))</f>
        <v/>
      </c>
    </row>
    <row r="439" spans="13:29">
      <c r="M439" s="14"/>
      <c r="T439" s="16"/>
      <c r="U439" s="17">
        <f>IF(AND(COUNTA($A439:$L439)=0,$N439=""),"",IF($T439="Paid","PAID",IF($T439="Closed","CLOSED",IF($Z439="","",IF($Z439=6,"ESCALATED TO ROXANNE",IF(TODAY()&gt;$AB439,"OVERDUE",IF($AB439&lt;=WORKDAY(TODAY(),1,Holidays),"DUE TOMORROW",IF($Z439=4,"ESCALATED TO LOCAL OFFICE",IF($Z439=5,"ESCALATED TO CBE",IF($AA439=TODAY(),"EMAIL SENT","MONITORING"))))))))))</f>
        <v/>
      </c>
      <c r="V439" s="17">
        <f>IF($U439="",IF(AND(COUNTA($A439:$L439)&gt;0,$N439=""),"Awaiting Collection Email time stamp.",""),IF(OR($U439="PAID",$U439="CLOSED"),IF($U439="PAID","Account paid. Action completed.","Account closed. No further action required."),CHOOSE($Z439,"Collection Email","1st Email Follow-up","2nd Email Follow-up","Escalation to Local Office","Escalation to CBE","Escalation to Roxanne")&amp;" sent "&amp;TEXT($AA439,"dd-mmm")&amp;". "&amp;IF($Z439=6,"Final escalation completed.",IF($U439="OVERDUE","Next: "&amp;$AC439&amp;" was due "&amp;TEXT($AB439,"dd-mmm")&amp;" - "&amp;(NETWORKDAYS($AB439,TODAY(),Holidays)-1)&amp;" business day(s) late. Send now.",IF($U439="DUE TOMORROW","Next: "&amp;$AC439&amp;IF($AB439&lt;=TODAY()," is due TODAY ("," is due next business day (")&amp;TEXT($AB439,"dd-mmm")&amp;").","Next: "&amp;$AC439&amp;" due "&amp;TEXT($AB439,"dd-mmm")&amp;" ("&amp;(NETWORKDAYS(TODAY(),$AB439,Holidays)-1)&amp;" business day(s) left).")))))</f>
        <v/>
      </c>
      <c r="W439" s="17">
        <f>IF($Z439="","",CHOOSE($Z439,"Collection Email","1st Follow-up","2nd Follow-up","Local Office","CBE","Roxanne")&amp;IF($Z439=6," - Final"," - Day "&amp;MAX(0,NETWORKDAYS($AA439,TODAY(),Holidays)-1)&amp;" of "&amp;CHOOSE($Z439,3,3,2,2,3))&amp;" | Total Day "&amp;MAX(0,NETWORKDAYS($N439,TODAY(),Holidays)-1))</f>
        <v/>
      </c>
      <c r="X439" s="18"/>
      <c r="Y439" s="18"/>
      <c r="Z439" s="17">
        <f>IF($N439="","",COUNT($N439:$S439))</f>
        <v/>
      </c>
      <c r="AA439" s="19">
        <f>IF($Z439="","",INT(INDEX($N439:$S439,$Z439)))</f>
        <v/>
      </c>
      <c r="AB439" s="19">
        <f>IF(OR($Z439="",$Z439=6),"",WORKDAY($AA439,CHOOSE($Z439,3,3,2,2,3),Holidays))</f>
        <v/>
      </c>
      <c r="AC439" s="17">
        <f>IF(OR($Z439="",$Z439=6),"",CHOOSE($Z439,"1st Email Follow-up","2nd Email Follow-up","Escalate Local Office","Escalate to CBE","Escalate to Roxanne"))</f>
        <v/>
      </c>
    </row>
    <row r="440" spans="13:29">
      <c r="M440" s="14"/>
      <c r="T440" s="16"/>
      <c r="U440" s="17">
        <f>IF(AND(COUNTA($A440:$L440)=0,$N440=""),"",IF($T440="Paid","PAID",IF($T440="Closed","CLOSED",IF($Z440="","",IF($Z440=6,"ESCALATED TO ROXANNE",IF(TODAY()&gt;$AB440,"OVERDUE",IF($AB440&lt;=WORKDAY(TODAY(),1,Holidays),"DUE TOMORROW",IF($Z440=4,"ESCALATED TO LOCAL OFFICE",IF($Z440=5,"ESCALATED TO CBE",IF($AA440=TODAY(),"EMAIL SENT","MONITORING"))))))))))</f>
        <v/>
      </c>
      <c r="V440" s="17">
        <f>IF($U440="",IF(AND(COUNTA($A440:$L440)&gt;0,$N440=""),"Awaiting Collection Email time stamp.",""),IF(OR($U440="PAID",$U440="CLOSED"),IF($U440="PAID","Account paid. Action completed.","Account closed. No further action required."),CHOOSE($Z440,"Collection Email","1st Email Follow-up","2nd Email Follow-up","Escalation to Local Office","Escalation to CBE","Escalation to Roxanne")&amp;" sent "&amp;TEXT($AA440,"dd-mmm")&amp;". "&amp;IF($Z440=6,"Final escalation completed.",IF($U440="OVERDUE","Next: "&amp;$AC440&amp;" was due "&amp;TEXT($AB440,"dd-mmm")&amp;" - "&amp;(NETWORKDAYS($AB440,TODAY(),Holidays)-1)&amp;" business day(s) late. Send now.",IF($U440="DUE TOMORROW","Next: "&amp;$AC440&amp;IF($AB440&lt;=TODAY()," is due TODAY ("," is due next business day (")&amp;TEXT($AB440,"dd-mmm")&amp;").","Next: "&amp;$AC440&amp;" due "&amp;TEXT($AB440,"dd-mmm")&amp;" ("&amp;(NETWORKDAYS(TODAY(),$AB440,Holidays)-1)&amp;" business day(s) left).")))))</f>
        <v/>
      </c>
      <c r="W440" s="17">
        <f>IF($Z440="","",CHOOSE($Z440,"Collection Email","1st Follow-up","2nd Follow-up","Local Office","CBE","Roxanne")&amp;IF($Z440=6," - Final"," - Day "&amp;MAX(0,NETWORKDAYS($AA440,TODAY(),Holidays)-1)&amp;" of "&amp;CHOOSE($Z440,3,3,2,2,3))&amp;" | Total Day "&amp;MAX(0,NETWORKDAYS($N440,TODAY(),Holidays)-1))</f>
        <v/>
      </c>
      <c r="X440" s="18"/>
      <c r="Y440" s="18"/>
      <c r="Z440" s="17">
        <f>IF($N440="","",COUNT($N440:$S440))</f>
        <v/>
      </c>
      <c r="AA440" s="19">
        <f>IF($Z440="","",INT(INDEX($N440:$S440,$Z440)))</f>
        <v/>
      </c>
      <c r="AB440" s="19">
        <f>IF(OR($Z440="",$Z440=6),"",WORKDAY($AA440,CHOOSE($Z440,3,3,2,2,3),Holidays))</f>
        <v/>
      </c>
      <c r="AC440" s="17">
        <f>IF(OR($Z440="",$Z440=6),"",CHOOSE($Z440,"1st Email Follow-up","2nd Email Follow-up","Escalate Local Office","Escalate to CBE","Escalate to Roxanne"))</f>
        <v/>
      </c>
    </row>
    <row r="441" spans="13:29">
      <c r="M441" s="14"/>
      <c r="T441" s="16"/>
      <c r="U441" s="17">
        <f>IF(AND(COUNTA($A441:$L441)=0,$N441=""),"",IF($T441="Paid","PAID",IF($T441="Closed","CLOSED",IF($Z441="","",IF($Z441=6,"ESCALATED TO ROXANNE",IF(TODAY()&gt;$AB441,"OVERDUE",IF($AB441&lt;=WORKDAY(TODAY(),1,Holidays),"DUE TOMORROW",IF($Z441=4,"ESCALATED TO LOCAL OFFICE",IF($Z441=5,"ESCALATED TO CBE",IF($AA441=TODAY(),"EMAIL SENT","MONITORING"))))))))))</f>
        <v/>
      </c>
      <c r="V441" s="17">
        <f>IF($U441="",IF(AND(COUNTA($A441:$L441)&gt;0,$N441=""),"Awaiting Collection Email time stamp.",""),IF(OR($U441="PAID",$U441="CLOSED"),IF($U441="PAID","Account paid. Action completed.","Account closed. No further action required."),CHOOSE($Z441,"Collection Email","1st Email Follow-up","2nd Email Follow-up","Escalation to Local Office","Escalation to CBE","Escalation to Roxanne")&amp;" sent "&amp;TEXT($AA441,"dd-mmm")&amp;". "&amp;IF($Z441=6,"Final escalation completed.",IF($U441="OVERDUE","Next: "&amp;$AC441&amp;" was due "&amp;TEXT($AB441,"dd-mmm")&amp;" - "&amp;(NETWORKDAYS($AB441,TODAY(),Holidays)-1)&amp;" business day(s) late. Send now.",IF($U441="DUE TOMORROW","Next: "&amp;$AC441&amp;IF($AB441&lt;=TODAY()," is due TODAY ("," is due next business day (")&amp;TEXT($AB441,"dd-mmm")&amp;").","Next: "&amp;$AC441&amp;" due "&amp;TEXT($AB441,"dd-mmm")&amp;" ("&amp;(NETWORKDAYS(TODAY(),$AB441,Holidays)-1)&amp;" business day(s) left).")))))</f>
        <v/>
      </c>
      <c r="W441" s="17">
        <f>IF($Z441="","",CHOOSE($Z441,"Collection Email","1st Follow-up","2nd Follow-up","Local Office","CBE","Roxanne")&amp;IF($Z441=6," - Final"," - Day "&amp;MAX(0,NETWORKDAYS($AA441,TODAY(),Holidays)-1)&amp;" of "&amp;CHOOSE($Z441,3,3,2,2,3))&amp;" | Total Day "&amp;MAX(0,NETWORKDAYS($N441,TODAY(),Holidays)-1))</f>
        <v/>
      </c>
      <c r="X441" s="18"/>
      <c r="Y441" s="18"/>
      <c r="Z441" s="17">
        <f>IF($N441="","",COUNT($N441:$S441))</f>
        <v/>
      </c>
      <c r="AA441" s="19">
        <f>IF($Z441="","",INT(INDEX($N441:$S441,$Z441)))</f>
        <v/>
      </c>
      <c r="AB441" s="19">
        <f>IF(OR($Z441="",$Z441=6),"",WORKDAY($AA441,CHOOSE($Z441,3,3,2,2,3),Holidays))</f>
        <v/>
      </c>
      <c r="AC441" s="17">
        <f>IF(OR($Z441="",$Z441=6),"",CHOOSE($Z441,"1st Email Follow-up","2nd Email Follow-up","Escalate Local Office","Escalate to CBE","Escalate to Roxanne"))</f>
        <v/>
      </c>
    </row>
    <row r="442" spans="13:29">
      <c r="M442" s="14"/>
      <c r="T442" s="16"/>
      <c r="U442" s="17">
        <f>IF(AND(COUNTA($A442:$L442)=0,$N442=""),"",IF($T442="Paid","PAID",IF($T442="Closed","CLOSED",IF($Z442="","",IF($Z442=6,"ESCALATED TO ROXANNE",IF(TODAY()&gt;$AB442,"OVERDUE",IF($AB442&lt;=WORKDAY(TODAY(),1,Holidays),"DUE TOMORROW",IF($Z442=4,"ESCALATED TO LOCAL OFFICE",IF($Z442=5,"ESCALATED TO CBE",IF($AA442=TODAY(),"EMAIL SENT","MONITORING"))))))))))</f>
        <v/>
      </c>
      <c r="V442" s="17">
        <f>IF($U442="",IF(AND(COUNTA($A442:$L442)&gt;0,$N442=""),"Awaiting Collection Email time stamp.",""),IF(OR($U442="PAID",$U442="CLOSED"),IF($U442="PAID","Account paid. Action completed.","Account closed. No further action required."),CHOOSE($Z442,"Collection Email","1st Email Follow-up","2nd Email Follow-up","Escalation to Local Office","Escalation to CBE","Escalation to Roxanne")&amp;" sent "&amp;TEXT($AA442,"dd-mmm")&amp;". "&amp;IF($Z442=6,"Final escalation completed.",IF($U442="OVERDUE","Next: "&amp;$AC442&amp;" was due "&amp;TEXT($AB442,"dd-mmm")&amp;" - "&amp;(NETWORKDAYS($AB442,TODAY(),Holidays)-1)&amp;" business day(s) late. Send now.",IF($U442="DUE TOMORROW","Next: "&amp;$AC442&amp;IF($AB442&lt;=TODAY()," is due TODAY ("," is due next business day (")&amp;TEXT($AB442,"dd-mmm")&amp;").","Next: "&amp;$AC442&amp;" due "&amp;TEXT($AB442,"dd-mmm")&amp;" ("&amp;(NETWORKDAYS(TODAY(),$AB442,Holidays)-1)&amp;" business day(s) left).")))))</f>
        <v/>
      </c>
      <c r="W442" s="17">
        <f>IF($Z442="","",CHOOSE($Z442,"Collection Email","1st Follow-up","2nd Follow-up","Local Office","CBE","Roxanne")&amp;IF($Z442=6," - Final"," - Day "&amp;MAX(0,NETWORKDAYS($AA442,TODAY(),Holidays)-1)&amp;" of "&amp;CHOOSE($Z442,3,3,2,2,3))&amp;" | Total Day "&amp;MAX(0,NETWORKDAYS($N442,TODAY(),Holidays)-1))</f>
        <v/>
      </c>
      <c r="X442" s="18"/>
      <c r="Y442" s="18"/>
      <c r="Z442" s="17">
        <f>IF($N442="","",COUNT($N442:$S442))</f>
        <v/>
      </c>
      <c r="AA442" s="19">
        <f>IF($Z442="","",INT(INDEX($N442:$S442,$Z442)))</f>
        <v/>
      </c>
      <c r="AB442" s="19">
        <f>IF(OR($Z442="",$Z442=6),"",WORKDAY($AA442,CHOOSE($Z442,3,3,2,2,3),Holidays))</f>
        <v/>
      </c>
      <c r="AC442" s="17">
        <f>IF(OR($Z442="",$Z442=6),"",CHOOSE($Z442,"1st Email Follow-up","2nd Email Follow-up","Escalate Local Office","Escalate to CBE","Escalate to Roxanne"))</f>
        <v/>
      </c>
    </row>
    <row r="443" spans="13:29">
      <c r="M443" s="14"/>
      <c r="T443" s="16"/>
      <c r="U443" s="17">
        <f>IF(AND(COUNTA($A443:$L443)=0,$N443=""),"",IF($T443="Paid","PAID",IF($T443="Closed","CLOSED",IF($Z443="","",IF($Z443=6,"ESCALATED TO ROXANNE",IF(TODAY()&gt;$AB443,"OVERDUE",IF($AB443&lt;=WORKDAY(TODAY(),1,Holidays),"DUE TOMORROW",IF($Z443=4,"ESCALATED TO LOCAL OFFICE",IF($Z443=5,"ESCALATED TO CBE",IF($AA443=TODAY(),"EMAIL SENT","MONITORING"))))))))))</f>
        <v/>
      </c>
      <c r="V443" s="17">
        <f>IF($U443="",IF(AND(COUNTA($A443:$L443)&gt;0,$N443=""),"Awaiting Collection Email time stamp.",""),IF(OR($U443="PAID",$U443="CLOSED"),IF($U443="PAID","Account paid. Action completed.","Account closed. No further action required."),CHOOSE($Z443,"Collection Email","1st Email Follow-up","2nd Email Follow-up","Escalation to Local Office","Escalation to CBE","Escalation to Roxanne")&amp;" sent "&amp;TEXT($AA443,"dd-mmm")&amp;". "&amp;IF($Z443=6,"Final escalation completed.",IF($U443="OVERDUE","Next: "&amp;$AC443&amp;" was due "&amp;TEXT($AB443,"dd-mmm")&amp;" - "&amp;(NETWORKDAYS($AB443,TODAY(),Holidays)-1)&amp;" business day(s) late. Send now.",IF($U443="DUE TOMORROW","Next: "&amp;$AC443&amp;IF($AB443&lt;=TODAY()," is due TODAY ("," is due next business day (")&amp;TEXT($AB443,"dd-mmm")&amp;").","Next: "&amp;$AC443&amp;" due "&amp;TEXT($AB443,"dd-mmm")&amp;" ("&amp;(NETWORKDAYS(TODAY(),$AB443,Holidays)-1)&amp;" business day(s) left).")))))</f>
        <v/>
      </c>
      <c r="W443" s="17">
        <f>IF($Z443="","",CHOOSE($Z443,"Collection Email","1st Follow-up","2nd Follow-up","Local Office","CBE","Roxanne")&amp;IF($Z443=6," - Final"," - Day "&amp;MAX(0,NETWORKDAYS($AA443,TODAY(),Holidays)-1)&amp;" of "&amp;CHOOSE($Z443,3,3,2,2,3))&amp;" | Total Day "&amp;MAX(0,NETWORKDAYS($N443,TODAY(),Holidays)-1))</f>
        <v/>
      </c>
      <c r="X443" s="18"/>
      <c r="Y443" s="18"/>
      <c r="Z443" s="17">
        <f>IF($N443="","",COUNT($N443:$S443))</f>
        <v/>
      </c>
      <c r="AA443" s="19">
        <f>IF($Z443="","",INT(INDEX($N443:$S443,$Z443)))</f>
        <v/>
      </c>
      <c r="AB443" s="19">
        <f>IF(OR($Z443="",$Z443=6),"",WORKDAY($AA443,CHOOSE($Z443,3,3,2,2,3),Holidays))</f>
        <v/>
      </c>
      <c r="AC443" s="17">
        <f>IF(OR($Z443="",$Z443=6),"",CHOOSE($Z443,"1st Email Follow-up","2nd Email Follow-up","Escalate Local Office","Escalate to CBE","Escalate to Roxanne"))</f>
        <v/>
      </c>
    </row>
    <row r="444" spans="13:29">
      <c r="M444" s="14"/>
      <c r="T444" s="16"/>
      <c r="U444" s="17">
        <f>IF(AND(COUNTA($A444:$L444)=0,$N444=""),"",IF($T444="Paid","PAID",IF($T444="Closed","CLOSED",IF($Z444="","",IF($Z444=6,"ESCALATED TO ROXANNE",IF(TODAY()&gt;$AB444,"OVERDUE",IF($AB444&lt;=WORKDAY(TODAY(),1,Holidays),"DUE TOMORROW",IF($Z444=4,"ESCALATED TO LOCAL OFFICE",IF($Z444=5,"ESCALATED TO CBE",IF($AA444=TODAY(),"EMAIL SENT","MONITORING"))))))))))</f>
        <v/>
      </c>
      <c r="V444" s="17">
        <f>IF($U444="",IF(AND(COUNTA($A444:$L444)&gt;0,$N444=""),"Awaiting Collection Email time stamp.",""),IF(OR($U444="PAID",$U444="CLOSED"),IF($U444="PAID","Account paid. Action completed.","Account closed. No further action required."),CHOOSE($Z444,"Collection Email","1st Email Follow-up","2nd Email Follow-up","Escalation to Local Office","Escalation to CBE","Escalation to Roxanne")&amp;" sent "&amp;TEXT($AA444,"dd-mmm")&amp;". "&amp;IF($Z444=6,"Final escalation completed.",IF($U444="OVERDUE","Next: "&amp;$AC444&amp;" was due "&amp;TEXT($AB444,"dd-mmm")&amp;" - "&amp;(NETWORKDAYS($AB444,TODAY(),Holidays)-1)&amp;" business day(s) late. Send now.",IF($U444="DUE TOMORROW","Next: "&amp;$AC444&amp;IF($AB444&lt;=TODAY()," is due TODAY ("," is due next business day (")&amp;TEXT($AB444,"dd-mmm")&amp;").","Next: "&amp;$AC444&amp;" due "&amp;TEXT($AB444,"dd-mmm")&amp;" ("&amp;(NETWORKDAYS(TODAY(),$AB444,Holidays)-1)&amp;" business day(s) left).")))))</f>
        <v/>
      </c>
      <c r="W444" s="17">
        <f>IF($Z444="","",CHOOSE($Z444,"Collection Email","1st Follow-up","2nd Follow-up","Local Office","CBE","Roxanne")&amp;IF($Z444=6," - Final"," - Day "&amp;MAX(0,NETWORKDAYS($AA444,TODAY(),Holidays)-1)&amp;" of "&amp;CHOOSE($Z444,3,3,2,2,3))&amp;" | Total Day "&amp;MAX(0,NETWORKDAYS($N444,TODAY(),Holidays)-1))</f>
        <v/>
      </c>
      <c r="X444" s="18"/>
      <c r="Y444" s="18"/>
      <c r="Z444" s="17">
        <f>IF($N444="","",COUNT($N444:$S444))</f>
        <v/>
      </c>
      <c r="AA444" s="19">
        <f>IF($Z444="","",INT(INDEX($N444:$S444,$Z444)))</f>
        <v/>
      </c>
      <c r="AB444" s="19">
        <f>IF(OR($Z444="",$Z444=6),"",WORKDAY($AA444,CHOOSE($Z444,3,3,2,2,3),Holidays))</f>
        <v/>
      </c>
      <c r="AC444" s="17">
        <f>IF(OR($Z444="",$Z444=6),"",CHOOSE($Z444,"1st Email Follow-up","2nd Email Follow-up","Escalate Local Office","Escalate to CBE","Escalate to Roxanne"))</f>
        <v/>
      </c>
    </row>
    <row r="445" spans="13:29">
      <c r="M445" s="14"/>
      <c r="T445" s="16"/>
      <c r="U445" s="17">
        <f>IF(AND(COUNTA($A445:$L445)=0,$N445=""),"",IF($T445="Paid","PAID",IF($T445="Closed","CLOSED",IF($Z445="","",IF($Z445=6,"ESCALATED TO ROXANNE",IF(TODAY()&gt;$AB445,"OVERDUE",IF($AB445&lt;=WORKDAY(TODAY(),1,Holidays),"DUE TOMORROW",IF($Z445=4,"ESCALATED TO LOCAL OFFICE",IF($Z445=5,"ESCALATED TO CBE",IF($AA445=TODAY(),"EMAIL SENT","MONITORING"))))))))))</f>
        <v/>
      </c>
      <c r="V445" s="17">
        <f>IF($U445="",IF(AND(COUNTA($A445:$L445)&gt;0,$N445=""),"Awaiting Collection Email time stamp.",""),IF(OR($U445="PAID",$U445="CLOSED"),IF($U445="PAID","Account paid. Action completed.","Account closed. No further action required."),CHOOSE($Z445,"Collection Email","1st Email Follow-up","2nd Email Follow-up","Escalation to Local Office","Escalation to CBE","Escalation to Roxanne")&amp;" sent "&amp;TEXT($AA445,"dd-mmm")&amp;". "&amp;IF($Z445=6,"Final escalation completed.",IF($U445="OVERDUE","Next: "&amp;$AC445&amp;" was due "&amp;TEXT($AB445,"dd-mmm")&amp;" - "&amp;(NETWORKDAYS($AB445,TODAY(),Holidays)-1)&amp;" business day(s) late. Send now.",IF($U445="DUE TOMORROW","Next: "&amp;$AC445&amp;IF($AB445&lt;=TODAY()," is due TODAY ("," is due next business day (")&amp;TEXT($AB445,"dd-mmm")&amp;").","Next: "&amp;$AC445&amp;" due "&amp;TEXT($AB445,"dd-mmm")&amp;" ("&amp;(NETWORKDAYS(TODAY(),$AB445,Holidays)-1)&amp;" business day(s) left).")))))</f>
        <v/>
      </c>
      <c r="W445" s="17">
        <f>IF($Z445="","",CHOOSE($Z445,"Collection Email","1st Follow-up","2nd Follow-up","Local Office","CBE","Roxanne")&amp;IF($Z445=6," - Final"," - Day "&amp;MAX(0,NETWORKDAYS($AA445,TODAY(),Holidays)-1)&amp;" of "&amp;CHOOSE($Z445,3,3,2,2,3))&amp;" | Total Day "&amp;MAX(0,NETWORKDAYS($N445,TODAY(),Holidays)-1))</f>
        <v/>
      </c>
      <c r="X445" s="18"/>
      <c r="Y445" s="18"/>
      <c r="Z445" s="17">
        <f>IF($N445="","",COUNT($N445:$S445))</f>
        <v/>
      </c>
      <c r="AA445" s="19">
        <f>IF($Z445="","",INT(INDEX($N445:$S445,$Z445)))</f>
        <v/>
      </c>
      <c r="AB445" s="19">
        <f>IF(OR($Z445="",$Z445=6),"",WORKDAY($AA445,CHOOSE($Z445,3,3,2,2,3),Holidays))</f>
        <v/>
      </c>
      <c r="AC445" s="17">
        <f>IF(OR($Z445="",$Z445=6),"",CHOOSE($Z445,"1st Email Follow-up","2nd Email Follow-up","Escalate Local Office","Escalate to CBE","Escalate to Roxanne"))</f>
        <v/>
      </c>
    </row>
    <row r="446" spans="13:29">
      <c r="M446" s="14"/>
      <c r="T446" s="16"/>
      <c r="U446" s="17">
        <f>IF(AND(COUNTA($A446:$L446)=0,$N446=""),"",IF($T446="Paid","PAID",IF($T446="Closed","CLOSED",IF($Z446="","",IF($Z446=6,"ESCALATED TO ROXANNE",IF(TODAY()&gt;$AB446,"OVERDUE",IF($AB446&lt;=WORKDAY(TODAY(),1,Holidays),"DUE TOMORROW",IF($Z446=4,"ESCALATED TO LOCAL OFFICE",IF($Z446=5,"ESCALATED TO CBE",IF($AA446=TODAY(),"EMAIL SENT","MONITORING"))))))))))</f>
        <v/>
      </c>
      <c r="V446" s="17">
        <f>IF($U446="",IF(AND(COUNTA($A446:$L446)&gt;0,$N446=""),"Awaiting Collection Email time stamp.",""),IF(OR($U446="PAID",$U446="CLOSED"),IF($U446="PAID","Account paid. Action completed.","Account closed. No further action required."),CHOOSE($Z446,"Collection Email","1st Email Follow-up","2nd Email Follow-up","Escalation to Local Office","Escalation to CBE","Escalation to Roxanne")&amp;" sent "&amp;TEXT($AA446,"dd-mmm")&amp;". "&amp;IF($Z446=6,"Final escalation completed.",IF($U446="OVERDUE","Next: "&amp;$AC446&amp;" was due "&amp;TEXT($AB446,"dd-mmm")&amp;" - "&amp;(NETWORKDAYS($AB446,TODAY(),Holidays)-1)&amp;" business day(s) late. Send now.",IF($U446="DUE TOMORROW","Next: "&amp;$AC446&amp;IF($AB446&lt;=TODAY()," is due TODAY ("," is due next business day (")&amp;TEXT($AB446,"dd-mmm")&amp;").","Next: "&amp;$AC446&amp;" due "&amp;TEXT($AB446,"dd-mmm")&amp;" ("&amp;(NETWORKDAYS(TODAY(),$AB446,Holidays)-1)&amp;" business day(s) left).")))))</f>
        <v/>
      </c>
      <c r="W446" s="17">
        <f>IF($Z446="","",CHOOSE($Z446,"Collection Email","1st Follow-up","2nd Follow-up","Local Office","CBE","Roxanne")&amp;IF($Z446=6," - Final"," - Day "&amp;MAX(0,NETWORKDAYS($AA446,TODAY(),Holidays)-1)&amp;" of "&amp;CHOOSE($Z446,3,3,2,2,3))&amp;" | Total Day "&amp;MAX(0,NETWORKDAYS($N446,TODAY(),Holidays)-1))</f>
        <v/>
      </c>
      <c r="X446" s="18"/>
      <c r="Y446" s="18"/>
      <c r="Z446" s="17">
        <f>IF($N446="","",COUNT($N446:$S446))</f>
        <v/>
      </c>
      <c r="AA446" s="19">
        <f>IF($Z446="","",INT(INDEX($N446:$S446,$Z446)))</f>
        <v/>
      </c>
      <c r="AB446" s="19">
        <f>IF(OR($Z446="",$Z446=6),"",WORKDAY($AA446,CHOOSE($Z446,3,3,2,2,3),Holidays))</f>
        <v/>
      </c>
      <c r="AC446" s="17">
        <f>IF(OR($Z446="",$Z446=6),"",CHOOSE($Z446,"1st Email Follow-up","2nd Email Follow-up","Escalate Local Office","Escalate to CBE","Escalate to Roxanne"))</f>
        <v/>
      </c>
    </row>
    <row r="447" spans="13:29">
      <c r="M447" s="14"/>
      <c r="T447" s="16"/>
      <c r="U447" s="17">
        <f>IF(AND(COUNTA($A447:$L447)=0,$N447=""),"",IF($T447="Paid","PAID",IF($T447="Closed","CLOSED",IF($Z447="","",IF($Z447=6,"ESCALATED TO ROXANNE",IF(TODAY()&gt;$AB447,"OVERDUE",IF($AB447&lt;=WORKDAY(TODAY(),1,Holidays),"DUE TOMORROW",IF($Z447=4,"ESCALATED TO LOCAL OFFICE",IF($Z447=5,"ESCALATED TO CBE",IF($AA447=TODAY(),"EMAIL SENT","MONITORING"))))))))))</f>
        <v/>
      </c>
      <c r="V447" s="17">
        <f>IF($U447="",IF(AND(COUNTA($A447:$L447)&gt;0,$N447=""),"Awaiting Collection Email time stamp.",""),IF(OR($U447="PAID",$U447="CLOSED"),IF($U447="PAID","Account paid. Action completed.","Account closed. No further action required."),CHOOSE($Z447,"Collection Email","1st Email Follow-up","2nd Email Follow-up","Escalation to Local Office","Escalation to CBE","Escalation to Roxanne")&amp;" sent "&amp;TEXT($AA447,"dd-mmm")&amp;". "&amp;IF($Z447=6,"Final escalation completed.",IF($U447="OVERDUE","Next: "&amp;$AC447&amp;" was due "&amp;TEXT($AB447,"dd-mmm")&amp;" - "&amp;(NETWORKDAYS($AB447,TODAY(),Holidays)-1)&amp;" business day(s) late. Send now.",IF($U447="DUE TOMORROW","Next: "&amp;$AC447&amp;IF($AB447&lt;=TODAY()," is due TODAY ("," is due next business day (")&amp;TEXT($AB447,"dd-mmm")&amp;").","Next: "&amp;$AC447&amp;" due "&amp;TEXT($AB447,"dd-mmm")&amp;" ("&amp;(NETWORKDAYS(TODAY(),$AB447,Holidays)-1)&amp;" business day(s) left).")))))</f>
        <v/>
      </c>
      <c r="W447" s="17">
        <f>IF($Z447="","",CHOOSE($Z447,"Collection Email","1st Follow-up","2nd Follow-up","Local Office","CBE","Roxanne")&amp;IF($Z447=6," - Final"," - Day "&amp;MAX(0,NETWORKDAYS($AA447,TODAY(),Holidays)-1)&amp;" of "&amp;CHOOSE($Z447,3,3,2,2,3))&amp;" | Total Day "&amp;MAX(0,NETWORKDAYS($N447,TODAY(),Holidays)-1))</f>
        <v/>
      </c>
      <c r="X447" s="18"/>
      <c r="Y447" s="18"/>
      <c r="Z447" s="17">
        <f>IF($N447="","",COUNT($N447:$S447))</f>
        <v/>
      </c>
      <c r="AA447" s="19">
        <f>IF($Z447="","",INT(INDEX($N447:$S447,$Z447)))</f>
        <v/>
      </c>
      <c r="AB447" s="19">
        <f>IF(OR($Z447="",$Z447=6),"",WORKDAY($AA447,CHOOSE($Z447,3,3,2,2,3),Holidays))</f>
        <v/>
      </c>
      <c r="AC447" s="17">
        <f>IF(OR($Z447="",$Z447=6),"",CHOOSE($Z447,"1st Email Follow-up","2nd Email Follow-up","Escalate Local Office","Escalate to CBE","Escalate to Roxanne"))</f>
        <v/>
      </c>
    </row>
    <row r="448" spans="13:29">
      <c r="M448" s="14"/>
      <c r="T448" s="16"/>
      <c r="U448" s="17">
        <f>IF(AND(COUNTA($A448:$L448)=0,$N448=""),"",IF($T448="Paid","PAID",IF($T448="Closed","CLOSED",IF($Z448="","",IF($Z448=6,"ESCALATED TO ROXANNE",IF(TODAY()&gt;$AB448,"OVERDUE",IF($AB448&lt;=WORKDAY(TODAY(),1,Holidays),"DUE TOMORROW",IF($Z448=4,"ESCALATED TO LOCAL OFFICE",IF($Z448=5,"ESCALATED TO CBE",IF($AA448=TODAY(),"EMAIL SENT","MONITORING"))))))))))</f>
        <v/>
      </c>
      <c r="V448" s="17">
        <f>IF($U448="",IF(AND(COUNTA($A448:$L448)&gt;0,$N448=""),"Awaiting Collection Email time stamp.",""),IF(OR($U448="PAID",$U448="CLOSED"),IF($U448="PAID","Account paid. Action completed.","Account closed. No further action required."),CHOOSE($Z448,"Collection Email","1st Email Follow-up","2nd Email Follow-up","Escalation to Local Office","Escalation to CBE","Escalation to Roxanne")&amp;" sent "&amp;TEXT($AA448,"dd-mmm")&amp;". "&amp;IF($Z448=6,"Final escalation completed.",IF($U448="OVERDUE","Next: "&amp;$AC448&amp;" was due "&amp;TEXT($AB448,"dd-mmm")&amp;" - "&amp;(NETWORKDAYS($AB448,TODAY(),Holidays)-1)&amp;" business day(s) late. Send now.",IF($U448="DUE TOMORROW","Next: "&amp;$AC448&amp;IF($AB448&lt;=TODAY()," is due TODAY ("," is due next business day (")&amp;TEXT($AB448,"dd-mmm")&amp;").","Next: "&amp;$AC448&amp;" due "&amp;TEXT($AB448,"dd-mmm")&amp;" ("&amp;(NETWORKDAYS(TODAY(),$AB448,Holidays)-1)&amp;" business day(s) left).")))))</f>
        <v/>
      </c>
      <c r="W448" s="17">
        <f>IF($Z448="","",CHOOSE($Z448,"Collection Email","1st Follow-up","2nd Follow-up","Local Office","CBE","Roxanne")&amp;IF($Z448=6," - Final"," - Day "&amp;MAX(0,NETWORKDAYS($AA448,TODAY(),Holidays)-1)&amp;" of "&amp;CHOOSE($Z448,3,3,2,2,3))&amp;" | Total Day "&amp;MAX(0,NETWORKDAYS($N448,TODAY(),Holidays)-1))</f>
        <v/>
      </c>
      <c r="X448" s="18"/>
      <c r="Y448" s="18"/>
      <c r="Z448" s="17">
        <f>IF($N448="","",COUNT($N448:$S448))</f>
        <v/>
      </c>
      <c r="AA448" s="19">
        <f>IF($Z448="","",INT(INDEX($N448:$S448,$Z448)))</f>
        <v/>
      </c>
      <c r="AB448" s="19">
        <f>IF(OR($Z448="",$Z448=6),"",WORKDAY($AA448,CHOOSE($Z448,3,3,2,2,3),Holidays))</f>
        <v/>
      </c>
      <c r="AC448" s="17">
        <f>IF(OR($Z448="",$Z448=6),"",CHOOSE($Z448,"1st Email Follow-up","2nd Email Follow-up","Escalate Local Office","Escalate to CBE","Escalate to Roxanne"))</f>
        <v/>
      </c>
    </row>
    <row r="449" spans="13:29">
      <c r="M449" s="14"/>
      <c r="T449" s="16"/>
      <c r="U449" s="17">
        <f>IF(AND(COUNTA($A449:$L449)=0,$N449=""),"",IF($T449="Paid","PAID",IF($T449="Closed","CLOSED",IF($Z449="","",IF($Z449=6,"ESCALATED TO ROXANNE",IF(TODAY()&gt;$AB449,"OVERDUE",IF($AB449&lt;=WORKDAY(TODAY(),1,Holidays),"DUE TOMORROW",IF($Z449=4,"ESCALATED TO LOCAL OFFICE",IF($Z449=5,"ESCALATED TO CBE",IF($AA449=TODAY(),"EMAIL SENT","MONITORING"))))))))))</f>
        <v/>
      </c>
      <c r="V449" s="17">
        <f>IF($U449="",IF(AND(COUNTA($A449:$L449)&gt;0,$N449=""),"Awaiting Collection Email time stamp.",""),IF(OR($U449="PAID",$U449="CLOSED"),IF($U449="PAID","Account paid. Action completed.","Account closed. No further action required."),CHOOSE($Z449,"Collection Email","1st Email Follow-up","2nd Email Follow-up","Escalation to Local Office","Escalation to CBE","Escalation to Roxanne")&amp;" sent "&amp;TEXT($AA449,"dd-mmm")&amp;". "&amp;IF($Z449=6,"Final escalation completed.",IF($U449="OVERDUE","Next: "&amp;$AC449&amp;" was due "&amp;TEXT($AB449,"dd-mmm")&amp;" - "&amp;(NETWORKDAYS($AB449,TODAY(),Holidays)-1)&amp;" business day(s) late. Send now.",IF($U449="DUE TOMORROW","Next: "&amp;$AC449&amp;IF($AB449&lt;=TODAY()," is due TODAY ("," is due next business day (")&amp;TEXT($AB449,"dd-mmm")&amp;").","Next: "&amp;$AC449&amp;" due "&amp;TEXT($AB449,"dd-mmm")&amp;" ("&amp;(NETWORKDAYS(TODAY(),$AB449,Holidays)-1)&amp;" business day(s) left).")))))</f>
        <v/>
      </c>
      <c r="W449" s="17">
        <f>IF($Z449="","",CHOOSE($Z449,"Collection Email","1st Follow-up","2nd Follow-up","Local Office","CBE","Roxanne")&amp;IF($Z449=6," - Final"," - Day "&amp;MAX(0,NETWORKDAYS($AA449,TODAY(),Holidays)-1)&amp;" of "&amp;CHOOSE($Z449,3,3,2,2,3))&amp;" | Total Day "&amp;MAX(0,NETWORKDAYS($N449,TODAY(),Holidays)-1))</f>
        <v/>
      </c>
      <c r="X449" s="18"/>
      <c r="Y449" s="18"/>
      <c r="Z449" s="17">
        <f>IF($N449="","",COUNT($N449:$S449))</f>
        <v/>
      </c>
      <c r="AA449" s="19">
        <f>IF($Z449="","",INT(INDEX($N449:$S449,$Z449)))</f>
        <v/>
      </c>
      <c r="AB449" s="19">
        <f>IF(OR($Z449="",$Z449=6),"",WORKDAY($AA449,CHOOSE($Z449,3,3,2,2,3),Holidays))</f>
        <v/>
      </c>
      <c r="AC449" s="17">
        <f>IF(OR($Z449="",$Z449=6),"",CHOOSE($Z449,"1st Email Follow-up","2nd Email Follow-up","Escalate Local Office","Escalate to CBE","Escalate to Roxanne"))</f>
        <v/>
      </c>
    </row>
    <row r="450" spans="13:29">
      <c r="M450" s="14"/>
      <c r="T450" s="16"/>
      <c r="U450" s="17">
        <f>IF(AND(COUNTA($A450:$L450)=0,$N450=""),"",IF($T450="Paid","PAID",IF($T450="Closed","CLOSED",IF($Z450="","",IF($Z450=6,"ESCALATED TO ROXANNE",IF(TODAY()&gt;$AB450,"OVERDUE",IF($AB450&lt;=WORKDAY(TODAY(),1,Holidays),"DUE TOMORROW",IF($Z450=4,"ESCALATED TO LOCAL OFFICE",IF($Z450=5,"ESCALATED TO CBE",IF($AA450=TODAY(),"EMAIL SENT","MONITORING"))))))))))</f>
        <v/>
      </c>
      <c r="V450" s="17">
        <f>IF($U450="",IF(AND(COUNTA($A450:$L450)&gt;0,$N450=""),"Awaiting Collection Email time stamp.",""),IF(OR($U450="PAID",$U450="CLOSED"),IF($U450="PAID","Account paid. Action completed.","Account closed. No further action required."),CHOOSE($Z450,"Collection Email","1st Email Follow-up","2nd Email Follow-up","Escalation to Local Office","Escalation to CBE","Escalation to Roxanne")&amp;" sent "&amp;TEXT($AA450,"dd-mmm")&amp;". "&amp;IF($Z450=6,"Final escalation completed.",IF($U450="OVERDUE","Next: "&amp;$AC450&amp;" was due "&amp;TEXT($AB450,"dd-mmm")&amp;" - "&amp;(NETWORKDAYS($AB450,TODAY(),Holidays)-1)&amp;" business day(s) late. Send now.",IF($U450="DUE TOMORROW","Next: "&amp;$AC450&amp;IF($AB450&lt;=TODAY()," is due TODAY ("," is due next business day (")&amp;TEXT($AB450,"dd-mmm")&amp;").","Next: "&amp;$AC450&amp;" due "&amp;TEXT($AB450,"dd-mmm")&amp;" ("&amp;(NETWORKDAYS(TODAY(),$AB450,Holidays)-1)&amp;" business day(s) left).")))))</f>
        <v/>
      </c>
      <c r="W450" s="17">
        <f>IF($Z450="","",CHOOSE($Z450,"Collection Email","1st Follow-up","2nd Follow-up","Local Office","CBE","Roxanne")&amp;IF($Z450=6," - Final"," - Day "&amp;MAX(0,NETWORKDAYS($AA450,TODAY(),Holidays)-1)&amp;" of "&amp;CHOOSE($Z450,3,3,2,2,3))&amp;" | Total Day "&amp;MAX(0,NETWORKDAYS($N450,TODAY(),Holidays)-1))</f>
        <v/>
      </c>
      <c r="X450" s="18"/>
      <c r="Y450" s="18"/>
      <c r="Z450" s="17">
        <f>IF($N450="","",COUNT($N450:$S450))</f>
        <v/>
      </c>
      <c r="AA450" s="19">
        <f>IF($Z450="","",INT(INDEX($N450:$S450,$Z450)))</f>
        <v/>
      </c>
      <c r="AB450" s="19">
        <f>IF(OR($Z450="",$Z450=6),"",WORKDAY($AA450,CHOOSE($Z450,3,3,2,2,3),Holidays))</f>
        <v/>
      </c>
      <c r="AC450" s="17">
        <f>IF(OR($Z450="",$Z450=6),"",CHOOSE($Z450,"1st Email Follow-up","2nd Email Follow-up","Escalate Local Office","Escalate to CBE","Escalate to Roxanne"))</f>
        <v/>
      </c>
    </row>
    <row r="451" spans="13:29">
      <c r="M451" s="14"/>
      <c r="T451" s="16"/>
      <c r="U451" s="17">
        <f>IF(AND(COUNTA($A451:$L451)=0,$N451=""),"",IF($T451="Paid","PAID",IF($T451="Closed","CLOSED",IF($Z451="","",IF($Z451=6,"ESCALATED TO ROXANNE",IF(TODAY()&gt;$AB451,"OVERDUE",IF($AB451&lt;=WORKDAY(TODAY(),1,Holidays),"DUE TOMORROW",IF($Z451=4,"ESCALATED TO LOCAL OFFICE",IF($Z451=5,"ESCALATED TO CBE",IF($AA451=TODAY(),"EMAIL SENT","MONITORING"))))))))))</f>
        <v/>
      </c>
      <c r="V451" s="17">
        <f>IF($U451="",IF(AND(COUNTA($A451:$L451)&gt;0,$N451=""),"Awaiting Collection Email time stamp.",""),IF(OR($U451="PAID",$U451="CLOSED"),IF($U451="PAID","Account paid. Action completed.","Account closed. No further action required."),CHOOSE($Z451,"Collection Email","1st Email Follow-up","2nd Email Follow-up","Escalation to Local Office","Escalation to CBE","Escalation to Roxanne")&amp;" sent "&amp;TEXT($AA451,"dd-mmm")&amp;". "&amp;IF($Z451=6,"Final escalation completed.",IF($U451="OVERDUE","Next: "&amp;$AC451&amp;" was due "&amp;TEXT($AB451,"dd-mmm")&amp;" - "&amp;(NETWORKDAYS($AB451,TODAY(),Holidays)-1)&amp;" business day(s) late. Send now.",IF($U451="DUE TOMORROW","Next: "&amp;$AC451&amp;IF($AB451&lt;=TODAY()," is due TODAY ("," is due next business day (")&amp;TEXT($AB451,"dd-mmm")&amp;").","Next: "&amp;$AC451&amp;" due "&amp;TEXT($AB451,"dd-mmm")&amp;" ("&amp;(NETWORKDAYS(TODAY(),$AB451,Holidays)-1)&amp;" business day(s) left).")))))</f>
        <v/>
      </c>
      <c r="W451" s="17">
        <f>IF($Z451="","",CHOOSE($Z451,"Collection Email","1st Follow-up","2nd Follow-up","Local Office","CBE","Roxanne")&amp;IF($Z451=6," - Final"," - Day "&amp;MAX(0,NETWORKDAYS($AA451,TODAY(),Holidays)-1)&amp;" of "&amp;CHOOSE($Z451,3,3,2,2,3))&amp;" | Total Day "&amp;MAX(0,NETWORKDAYS($N451,TODAY(),Holidays)-1))</f>
        <v/>
      </c>
      <c r="X451" s="18"/>
      <c r="Y451" s="18"/>
      <c r="Z451" s="17">
        <f>IF($N451="","",COUNT($N451:$S451))</f>
        <v/>
      </c>
      <c r="AA451" s="19">
        <f>IF($Z451="","",INT(INDEX($N451:$S451,$Z451)))</f>
        <v/>
      </c>
      <c r="AB451" s="19">
        <f>IF(OR($Z451="",$Z451=6),"",WORKDAY($AA451,CHOOSE($Z451,3,3,2,2,3),Holidays))</f>
        <v/>
      </c>
      <c r="AC451" s="17">
        <f>IF(OR($Z451="",$Z451=6),"",CHOOSE($Z451,"1st Email Follow-up","2nd Email Follow-up","Escalate Local Office","Escalate to CBE","Escalate to Roxanne"))</f>
        <v/>
      </c>
    </row>
    <row r="452" spans="13:29">
      <c r="M452" s="14"/>
      <c r="T452" s="16"/>
      <c r="U452" s="17">
        <f>IF(AND(COUNTA($A452:$L452)=0,$N452=""),"",IF($T452="Paid","PAID",IF($T452="Closed","CLOSED",IF($Z452="","",IF($Z452=6,"ESCALATED TO ROXANNE",IF(TODAY()&gt;$AB452,"OVERDUE",IF($AB452&lt;=WORKDAY(TODAY(),1,Holidays),"DUE TOMORROW",IF($Z452=4,"ESCALATED TO LOCAL OFFICE",IF($Z452=5,"ESCALATED TO CBE",IF($AA452=TODAY(),"EMAIL SENT","MONITORING"))))))))))</f>
        <v/>
      </c>
      <c r="V452" s="17">
        <f>IF($U452="",IF(AND(COUNTA($A452:$L452)&gt;0,$N452=""),"Awaiting Collection Email time stamp.",""),IF(OR($U452="PAID",$U452="CLOSED"),IF($U452="PAID","Account paid. Action completed.","Account closed. No further action required."),CHOOSE($Z452,"Collection Email","1st Email Follow-up","2nd Email Follow-up","Escalation to Local Office","Escalation to CBE","Escalation to Roxanne")&amp;" sent "&amp;TEXT($AA452,"dd-mmm")&amp;". "&amp;IF($Z452=6,"Final escalation completed.",IF($U452="OVERDUE","Next: "&amp;$AC452&amp;" was due "&amp;TEXT($AB452,"dd-mmm")&amp;" - "&amp;(NETWORKDAYS($AB452,TODAY(),Holidays)-1)&amp;" business day(s) late. Send now.",IF($U452="DUE TOMORROW","Next: "&amp;$AC452&amp;IF($AB452&lt;=TODAY()," is due TODAY ("," is due next business day (")&amp;TEXT($AB452,"dd-mmm")&amp;").","Next: "&amp;$AC452&amp;" due "&amp;TEXT($AB452,"dd-mmm")&amp;" ("&amp;(NETWORKDAYS(TODAY(),$AB452,Holidays)-1)&amp;" business day(s) left).")))))</f>
        <v/>
      </c>
      <c r="W452" s="17">
        <f>IF($Z452="","",CHOOSE($Z452,"Collection Email","1st Follow-up","2nd Follow-up","Local Office","CBE","Roxanne")&amp;IF($Z452=6," - Final"," - Day "&amp;MAX(0,NETWORKDAYS($AA452,TODAY(),Holidays)-1)&amp;" of "&amp;CHOOSE($Z452,3,3,2,2,3))&amp;" | Total Day "&amp;MAX(0,NETWORKDAYS($N452,TODAY(),Holidays)-1))</f>
        <v/>
      </c>
      <c r="X452" s="18"/>
      <c r="Y452" s="18"/>
      <c r="Z452" s="17">
        <f>IF($N452="","",COUNT($N452:$S452))</f>
        <v/>
      </c>
      <c r="AA452" s="19">
        <f>IF($Z452="","",INT(INDEX($N452:$S452,$Z452)))</f>
        <v/>
      </c>
      <c r="AB452" s="19">
        <f>IF(OR($Z452="",$Z452=6),"",WORKDAY($AA452,CHOOSE($Z452,3,3,2,2,3),Holidays))</f>
        <v/>
      </c>
      <c r="AC452" s="17">
        <f>IF(OR($Z452="",$Z452=6),"",CHOOSE($Z452,"1st Email Follow-up","2nd Email Follow-up","Escalate Local Office","Escalate to CBE","Escalate to Roxanne"))</f>
        <v/>
      </c>
    </row>
    <row r="453" spans="13:29">
      <c r="M453" s="14"/>
      <c r="T453" s="16"/>
      <c r="U453" s="17">
        <f>IF(AND(COUNTA($A453:$L453)=0,$N453=""),"",IF($T453="Paid","PAID",IF($T453="Closed","CLOSED",IF($Z453="","",IF($Z453=6,"ESCALATED TO ROXANNE",IF(TODAY()&gt;$AB453,"OVERDUE",IF($AB453&lt;=WORKDAY(TODAY(),1,Holidays),"DUE TOMORROW",IF($Z453=4,"ESCALATED TO LOCAL OFFICE",IF($Z453=5,"ESCALATED TO CBE",IF($AA453=TODAY(),"EMAIL SENT","MONITORING"))))))))))</f>
        <v/>
      </c>
      <c r="V453" s="17">
        <f>IF($U453="",IF(AND(COUNTA($A453:$L453)&gt;0,$N453=""),"Awaiting Collection Email time stamp.",""),IF(OR($U453="PAID",$U453="CLOSED"),IF($U453="PAID","Account paid. Action completed.","Account closed. No further action required."),CHOOSE($Z453,"Collection Email","1st Email Follow-up","2nd Email Follow-up","Escalation to Local Office","Escalation to CBE","Escalation to Roxanne")&amp;" sent "&amp;TEXT($AA453,"dd-mmm")&amp;". "&amp;IF($Z453=6,"Final escalation completed.",IF($U453="OVERDUE","Next: "&amp;$AC453&amp;" was due "&amp;TEXT($AB453,"dd-mmm")&amp;" - "&amp;(NETWORKDAYS($AB453,TODAY(),Holidays)-1)&amp;" business day(s) late. Send now.",IF($U453="DUE TOMORROW","Next: "&amp;$AC453&amp;IF($AB453&lt;=TODAY()," is due TODAY ("," is due next business day (")&amp;TEXT($AB453,"dd-mmm")&amp;").","Next: "&amp;$AC453&amp;" due "&amp;TEXT($AB453,"dd-mmm")&amp;" ("&amp;(NETWORKDAYS(TODAY(),$AB453,Holidays)-1)&amp;" business day(s) left).")))))</f>
        <v/>
      </c>
      <c r="W453" s="17">
        <f>IF($Z453="","",CHOOSE($Z453,"Collection Email","1st Follow-up","2nd Follow-up","Local Office","CBE","Roxanne")&amp;IF($Z453=6," - Final"," - Day "&amp;MAX(0,NETWORKDAYS($AA453,TODAY(),Holidays)-1)&amp;" of "&amp;CHOOSE($Z453,3,3,2,2,3))&amp;" | Total Day "&amp;MAX(0,NETWORKDAYS($N453,TODAY(),Holidays)-1))</f>
        <v/>
      </c>
      <c r="X453" s="18"/>
      <c r="Y453" s="18"/>
      <c r="Z453" s="17">
        <f>IF($N453="","",COUNT($N453:$S453))</f>
        <v/>
      </c>
      <c r="AA453" s="19">
        <f>IF($Z453="","",INT(INDEX($N453:$S453,$Z453)))</f>
        <v/>
      </c>
      <c r="AB453" s="19">
        <f>IF(OR($Z453="",$Z453=6),"",WORKDAY($AA453,CHOOSE($Z453,3,3,2,2,3),Holidays))</f>
        <v/>
      </c>
      <c r="AC453" s="17">
        <f>IF(OR($Z453="",$Z453=6),"",CHOOSE($Z453,"1st Email Follow-up","2nd Email Follow-up","Escalate Local Office","Escalate to CBE","Escalate to Roxanne"))</f>
        <v/>
      </c>
    </row>
    <row r="454" spans="13:29">
      <c r="M454" s="14"/>
      <c r="T454" s="16"/>
      <c r="U454" s="17">
        <f>IF(AND(COUNTA($A454:$L454)=0,$N454=""),"",IF($T454="Paid","PAID",IF($T454="Closed","CLOSED",IF($Z454="","",IF($Z454=6,"ESCALATED TO ROXANNE",IF(TODAY()&gt;$AB454,"OVERDUE",IF($AB454&lt;=WORKDAY(TODAY(),1,Holidays),"DUE TOMORROW",IF($Z454=4,"ESCALATED TO LOCAL OFFICE",IF($Z454=5,"ESCALATED TO CBE",IF($AA454=TODAY(),"EMAIL SENT","MONITORING"))))))))))</f>
        <v/>
      </c>
      <c r="V454" s="17">
        <f>IF($U454="",IF(AND(COUNTA($A454:$L454)&gt;0,$N454=""),"Awaiting Collection Email time stamp.",""),IF(OR($U454="PAID",$U454="CLOSED"),IF($U454="PAID","Account paid. Action completed.","Account closed. No further action required."),CHOOSE($Z454,"Collection Email","1st Email Follow-up","2nd Email Follow-up","Escalation to Local Office","Escalation to CBE","Escalation to Roxanne")&amp;" sent "&amp;TEXT($AA454,"dd-mmm")&amp;". "&amp;IF($Z454=6,"Final escalation completed.",IF($U454="OVERDUE","Next: "&amp;$AC454&amp;" was due "&amp;TEXT($AB454,"dd-mmm")&amp;" - "&amp;(NETWORKDAYS($AB454,TODAY(),Holidays)-1)&amp;" business day(s) late. Send now.",IF($U454="DUE TOMORROW","Next: "&amp;$AC454&amp;IF($AB454&lt;=TODAY()," is due TODAY ("," is due next business day (")&amp;TEXT($AB454,"dd-mmm")&amp;").","Next: "&amp;$AC454&amp;" due "&amp;TEXT($AB454,"dd-mmm")&amp;" ("&amp;(NETWORKDAYS(TODAY(),$AB454,Holidays)-1)&amp;" business day(s) left).")))))</f>
        <v/>
      </c>
      <c r="W454" s="17">
        <f>IF($Z454="","",CHOOSE($Z454,"Collection Email","1st Follow-up","2nd Follow-up","Local Office","CBE","Roxanne")&amp;IF($Z454=6," - Final"," - Day "&amp;MAX(0,NETWORKDAYS($AA454,TODAY(),Holidays)-1)&amp;" of "&amp;CHOOSE($Z454,3,3,2,2,3))&amp;" | Total Day "&amp;MAX(0,NETWORKDAYS($N454,TODAY(),Holidays)-1))</f>
        <v/>
      </c>
      <c r="X454" s="18"/>
      <c r="Y454" s="18"/>
      <c r="Z454" s="17">
        <f>IF($N454="","",COUNT($N454:$S454))</f>
        <v/>
      </c>
      <c r="AA454" s="19">
        <f>IF($Z454="","",INT(INDEX($N454:$S454,$Z454)))</f>
        <v/>
      </c>
      <c r="AB454" s="19">
        <f>IF(OR($Z454="",$Z454=6),"",WORKDAY($AA454,CHOOSE($Z454,3,3,2,2,3),Holidays))</f>
        <v/>
      </c>
      <c r="AC454" s="17">
        <f>IF(OR($Z454="",$Z454=6),"",CHOOSE($Z454,"1st Email Follow-up","2nd Email Follow-up","Escalate Local Office","Escalate to CBE","Escalate to Roxanne"))</f>
        <v/>
      </c>
    </row>
    <row r="455" spans="13:29">
      <c r="M455" s="14"/>
      <c r="T455" s="16"/>
      <c r="U455" s="17">
        <f>IF(AND(COUNTA($A455:$L455)=0,$N455=""),"",IF($T455="Paid","PAID",IF($T455="Closed","CLOSED",IF($Z455="","",IF($Z455=6,"ESCALATED TO ROXANNE",IF(TODAY()&gt;$AB455,"OVERDUE",IF($AB455&lt;=WORKDAY(TODAY(),1,Holidays),"DUE TOMORROW",IF($Z455=4,"ESCALATED TO LOCAL OFFICE",IF($Z455=5,"ESCALATED TO CBE",IF($AA455=TODAY(),"EMAIL SENT","MONITORING"))))))))))</f>
        <v/>
      </c>
      <c r="V455" s="17">
        <f>IF($U455="",IF(AND(COUNTA($A455:$L455)&gt;0,$N455=""),"Awaiting Collection Email time stamp.",""),IF(OR($U455="PAID",$U455="CLOSED"),IF($U455="PAID","Account paid. Action completed.","Account closed. No further action required."),CHOOSE($Z455,"Collection Email","1st Email Follow-up","2nd Email Follow-up","Escalation to Local Office","Escalation to CBE","Escalation to Roxanne")&amp;" sent "&amp;TEXT($AA455,"dd-mmm")&amp;". "&amp;IF($Z455=6,"Final escalation completed.",IF($U455="OVERDUE","Next: "&amp;$AC455&amp;" was due "&amp;TEXT($AB455,"dd-mmm")&amp;" - "&amp;(NETWORKDAYS($AB455,TODAY(),Holidays)-1)&amp;" business day(s) late. Send now.",IF($U455="DUE TOMORROW","Next: "&amp;$AC455&amp;IF($AB455&lt;=TODAY()," is due TODAY ("," is due next business day (")&amp;TEXT($AB455,"dd-mmm")&amp;").","Next: "&amp;$AC455&amp;" due "&amp;TEXT($AB455,"dd-mmm")&amp;" ("&amp;(NETWORKDAYS(TODAY(),$AB455,Holidays)-1)&amp;" business day(s) left).")))))</f>
        <v/>
      </c>
      <c r="W455" s="17">
        <f>IF($Z455="","",CHOOSE($Z455,"Collection Email","1st Follow-up","2nd Follow-up","Local Office","CBE","Roxanne")&amp;IF($Z455=6," - Final"," - Day "&amp;MAX(0,NETWORKDAYS($AA455,TODAY(),Holidays)-1)&amp;" of "&amp;CHOOSE($Z455,3,3,2,2,3))&amp;" | Total Day "&amp;MAX(0,NETWORKDAYS($N455,TODAY(),Holidays)-1))</f>
        <v/>
      </c>
      <c r="X455" s="18"/>
      <c r="Y455" s="18"/>
      <c r="Z455" s="17">
        <f>IF($N455="","",COUNT($N455:$S455))</f>
        <v/>
      </c>
      <c r="AA455" s="19">
        <f>IF($Z455="","",INT(INDEX($N455:$S455,$Z455)))</f>
        <v/>
      </c>
      <c r="AB455" s="19">
        <f>IF(OR($Z455="",$Z455=6),"",WORKDAY($AA455,CHOOSE($Z455,3,3,2,2,3),Holidays))</f>
        <v/>
      </c>
      <c r="AC455" s="17">
        <f>IF(OR($Z455="",$Z455=6),"",CHOOSE($Z455,"1st Email Follow-up","2nd Email Follow-up","Escalate Local Office","Escalate to CBE","Escalate to Roxanne"))</f>
        <v/>
      </c>
    </row>
    <row r="456" spans="13:29">
      <c r="M456" s="14"/>
      <c r="T456" s="16"/>
      <c r="U456" s="17">
        <f>IF(AND(COUNTA($A456:$L456)=0,$N456=""),"",IF($T456="Paid","PAID",IF($T456="Closed","CLOSED",IF($Z456="","",IF($Z456=6,"ESCALATED TO ROXANNE",IF(TODAY()&gt;$AB456,"OVERDUE",IF($AB456&lt;=WORKDAY(TODAY(),1,Holidays),"DUE TOMORROW",IF($Z456=4,"ESCALATED TO LOCAL OFFICE",IF($Z456=5,"ESCALATED TO CBE",IF($AA456=TODAY(),"EMAIL SENT","MONITORING"))))))))))</f>
        <v/>
      </c>
      <c r="V456" s="17">
        <f>IF($U456="",IF(AND(COUNTA($A456:$L456)&gt;0,$N456=""),"Awaiting Collection Email time stamp.",""),IF(OR($U456="PAID",$U456="CLOSED"),IF($U456="PAID","Account paid. Action completed.","Account closed. No further action required."),CHOOSE($Z456,"Collection Email","1st Email Follow-up","2nd Email Follow-up","Escalation to Local Office","Escalation to CBE","Escalation to Roxanne")&amp;" sent "&amp;TEXT($AA456,"dd-mmm")&amp;". "&amp;IF($Z456=6,"Final escalation completed.",IF($U456="OVERDUE","Next: "&amp;$AC456&amp;" was due "&amp;TEXT($AB456,"dd-mmm")&amp;" - "&amp;(NETWORKDAYS($AB456,TODAY(),Holidays)-1)&amp;" business day(s) late. Send now.",IF($U456="DUE TOMORROW","Next: "&amp;$AC456&amp;IF($AB456&lt;=TODAY()," is due TODAY ("," is due next business day (")&amp;TEXT($AB456,"dd-mmm")&amp;").","Next: "&amp;$AC456&amp;" due "&amp;TEXT($AB456,"dd-mmm")&amp;" ("&amp;(NETWORKDAYS(TODAY(),$AB456,Holidays)-1)&amp;" business day(s) left).")))))</f>
        <v/>
      </c>
      <c r="W456" s="17">
        <f>IF($Z456="","",CHOOSE($Z456,"Collection Email","1st Follow-up","2nd Follow-up","Local Office","CBE","Roxanne")&amp;IF($Z456=6," - Final"," - Day "&amp;MAX(0,NETWORKDAYS($AA456,TODAY(),Holidays)-1)&amp;" of "&amp;CHOOSE($Z456,3,3,2,2,3))&amp;" | Total Day "&amp;MAX(0,NETWORKDAYS($N456,TODAY(),Holidays)-1))</f>
        <v/>
      </c>
      <c r="X456" s="18"/>
      <c r="Y456" s="18"/>
      <c r="Z456" s="17">
        <f>IF($N456="","",COUNT($N456:$S456))</f>
        <v/>
      </c>
      <c r="AA456" s="19">
        <f>IF($Z456="","",INT(INDEX($N456:$S456,$Z456)))</f>
        <v/>
      </c>
      <c r="AB456" s="19">
        <f>IF(OR($Z456="",$Z456=6),"",WORKDAY($AA456,CHOOSE($Z456,3,3,2,2,3),Holidays))</f>
        <v/>
      </c>
      <c r="AC456" s="17">
        <f>IF(OR($Z456="",$Z456=6),"",CHOOSE($Z456,"1st Email Follow-up","2nd Email Follow-up","Escalate Local Office","Escalate to CBE","Escalate to Roxanne"))</f>
        <v/>
      </c>
    </row>
    <row r="457" spans="13:29">
      <c r="M457" s="14"/>
      <c r="T457" s="16"/>
      <c r="U457" s="17">
        <f>IF(AND(COUNTA($A457:$L457)=0,$N457=""),"",IF($T457="Paid","PAID",IF($T457="Closed","CLOSED",IF($Z457="","",IF($Z457=6,"ESCALATED TO ROXANNE",IF(TODAY()&gt;$AB457,"OVERDUE",IF($AB457&lt;=WORKDAY(TODAY(),1,Holidays),"DUE TOMORROW",IF($Z457=4,"ESCALATED TO LOCAL OFFICE",IF($Z457=5,"ESCALATED TO CBE",IF($AA457=TODAY(),"EMAIL SENT","MONITORING"))))))))))</f>
        <v/>
      </c>
      <c r="V457" s="17">
        <f>IF($U457="",IF(AND(COUNTA($A457:$L457)&gt;0,$N457=""),"Awaiting Collection Email time stamp.",""),IF(OR($U457="PAID",$U457="CLOSED"),IF($U457="PAID","Account paid. Action completed.","Account closed. No further action required."),CHOOSE($Z457,"Collection Email","1st Email Follow-up","2nd Email Follow-up","Escalation to Local Office","Escalation to CBE","Escalation to Roxanne")&amp;" sent "&amp;TEXT($AA457,"dd-mmm")&amp;". "&amp;IF($Z457=6,"Final escalation completed.",IF($U457="OVERDUE","Next: "&amp;$AC457&amp;" was due "&amp;TEXT($AB457,"dd-mmm")&amp;" - "&amp;(NETWORKDAYS($AB457,TODAY(),Holidays)-1)&amp;" business day(s) late. Send now.",IF($U457="DUE TOMORROW","Next: "&amp;$AC457&amp;IF($AB457&lt;=TODAY()," is due TODAY ("," is due next business day (")&amp;TEXT($AB457,"dd-mmm")&amp;").","Next: "&amp;$AC457&amp;" due "&amp;TEXT($AB457,"dd-mmm")&amp;" ("&amp;(NETWORKDAYS(TODAY(),$AB457,Holidays)-1)&amp;" business day(s) left).")))))</f>
        <v/>
      </c>
      <c r="W457" s="17">
        <f>IF($Z457="","",CHOOSE($Z457,"Collection Email","1st Follow-up","2nd Follow-up","Local Office","CBE","Roxanne")&amp;IF($Z457=6," - Final"," - Day "&amp;MAX(0,NETWORKDAYS($AA457,TODAY(),Holidays)-1)&amp;" of "&amp;CHOOSE($Z457,3,3,2,2,3))&amp;" | Total Day "&amp;MAX(0,NETWORKDAYS($N457,TODAY(),Holidays)-1))</f>
        <v/>
      </c>
      <c r="X457" s="18"/>
      <c r="Y457" s="18"/>
      <c r="Z457" s="17">
        <f>IF($N457="","",COUNT($N457:$S457))</f>
        <v/>
      </c>
      <c r="AA457" s="19">
        <f>IF($Z457="","",INT(INDEX($N457:$S457,$Z457)))</f>
        <v/>
      </c>
      <c r="AB457" s="19">
        <f>IF(OR($Z457="",$Z457=6),"",WORKDAY($AA457,CHOOSE($Z457,3,3,2,2,3),Holidays))</f>
        <v/>
      </c>
      <c r="AC457" s="17">
        <f>IF(OR($Z457="",$Z457=6),"",CHOOSE($Z457,"1st Email Follow-up","2nd Email Follow-up","Escalate Local Office","Escalate to CBE","Escalate to Roxanne"))</f>
        <v/>
      </c>
    </row>
    <row r="458" spans="13:29">
      <c r="M458" s="14"/>
      <c r="T458" s="16"/>
      <c r="U458" s="17">
        <f>IF(AND(COUNTA($A458:$L458)=0,$N458=""),"",IF($T458="Paid","PAID",IF($T458="Closed","CLOSED",IF($Z458="","",IF($Z458=6,"ESCALATED TO ROXANNE",IF(TODAY()&gt;$AB458,"OVERDUE",IF($AB458&lt;=WORKDAY(TODAY(),1,Holidays),"DUE TOMORROW",IF($Z458=4,"ESCALATED TO LOCAL OFFICE",IF($Z458=5,"ESCALATED TO CBE",IF($AA458=TODAY(),"EMAIL SENT","MONITORING"))))))))))</f>
        <v/>
      </c>
      <c r="V458" s="17">
        <f>IF($U458="",IF(AND(COUNTA($A458:$L458)&gt;0,$N458=""),"Awaiting Collection Email time stamp.",""),IF(OR($U458="PAID",$U458="CLOSED"),IF($U458="PAID","Account paid. Action completed.","Account closed. No further action required."),CHOOSE($Z458,"Collection Email","1st Email Follow-up","2nd Email Follow-up","Escalation to Local Office","Escalation to CBE","Escalation to Roxanne")&amp;" sent "&amp;TEXT($AA458,"dd-mmm")&amp;". "&amp;IF($Z458=6,"Final escalation completed.",IF($U458="OVERDUE","Next: "&amp;$AC458&amp;" was due "&amp;TEXT($AB458,"dd-mmm")&amp;" - "&amp;(NETWORKDAYS($AB458,TODAY(),Holidays)-1)&amp;" business day(s) late. Send now.",IF($U458="DUE TOMORROW","Next: "&amp;$AC458&amp;IF($AB458&lt;=TODAY()," is due TODAY ("," is due next business day (")&amp;TEXT($AB458,"dd-mmm")&amp;").","Next: "&amp;$AC458&amp;" due "&amp;TEXT($AB458,"dd-mmm")&amp;" ("&amp;(NETWORKDAYS(TODAY(),$AB458,Holidays)-1)&amp;" business day(s) left).")))))</f>
        <v/>
      </c>
      <c r="W458" s="17">
        <f>IF($Z458="","",CHOOSE($Z458,"Collection Email","1st Follow-up","2nd Follow-up","Local Office","CBE","Roxanne")&amp;IF($Z458=6," - Final"," - Day "&amp;MAX(0,NETWORKDAYS($AA458,TODAY(),Holidays)-1)&amp;" of "&amp;CHOOSE($Z458,3,3,2,2,3))&amp;" | Total Day "&amp;MAX(0,NETWORKDAYS($N458,TODAY(),Holidays)-1))</f>
        <v/>
      </c>
      <c r="X458" s="18"/>
      <c r="Y458" s="18"/>
      <c r="Z458" s="17">
        <f>IF($N458="","",COUNT($N458:$S458))</f>
        <v/>
      </c>
      <c r="AA458" s="19">
        <f>IF($Z458="","",INT(INDEX($N458:$S458,$Z458)))</f>
        <v/>
      </c>
      <c r="AB458" s="19">
        <f>IF(OR($Z458="",$Z458=6),"",WORKDAY($AA458,CHOOSE($Z458,3,3,2,2,3),Holidays))</f>
        <v/>
      </c>
      <c r="AC458" s="17">
        <f>IF(OR($Z458="",$Z458=6),"",CHOOSE($Z458,"1st Email Follow-up","2nd Email Follow-up","Escalate Local Office","Escalate to CBE","Escalate to Roxanne"))</f>
        <v/>
      </c>
    </row>
    <row r="459" spans="13:29">
      <c r="M459" s="14"/>
      <c r="T459" s="16"/>
      <c r="U459" s="17">
        <f>IF(AND(COUNTA($A459:$L459)=0,$N459=""),"",IF($T459="Paid","PAID",IF($T459="Closed","CLOSED",IF($Z459="","",IF($Z459=6,"ESCALATED TO ROXANNE",IF(TODAY()&gt;$AB459,"OVERDUE",IF($AB459&lt;=WORKDAY(TODAY(),1,Holidays),"DUE TOMORROW",IF($Z459=4,"ESCALATED TO LOCAL OFFICE",IF($Z459=5,"ESCALATED TO CBE",IF($AA459=TODAY(),"EMAIL SENT","MONITORING"))))))))))</f>
        <v/>
      </c>
      <c r="V459" s="17">
        <f>IF($U459="",IF(AND(COUNTA($A459:$L459)&gt;0,$N459=""),"Awaiting Collection Email time stamp.",""),IF(OR($U459="PAID",$U459="CLOSED"),IF($U459="PAID","Account paid. Action completed.","Account closed. No further action required."),CHOOSE($Z459,"Collection Email","1st Email Follow-up","2nd Email Follow-up","Escalation to Local Office","Escalation to CBE","Escalation to Roxanne")&amp;" sent "&amp;TEXT($AA459,"dd-mmm")&amp;". "&amp;IF($Z459=6,"Final escalation completed.",IF($U459="OVERDUE","Next: "&amp;$AC459&amp;" was due "&amp;TEXT($AB459,"dd-mmm")&amp;" - "&amp;(NETWORKDAYS($AB459,TODAY(),Holidays)-1)&amp;" business day(s) late. Send now.",IF($U459="DUE TOMORROW","Next: "&amp;$AC459&amp;IF($AB459&lt;=TODAY()," is due TODAY ("," is due next business day (")&amp;TEXT($AB459,"dd-mmm")&amp;").","Next: "&amp;$AC459&amp;" due "&amp;TEXT($AB459,"dd-mmm")&amp;" ("&amp;(NETWORKDAYS(TODAY(),$AB459,Holidays)-1)&amp;" business day(s) left).")))))</f>
        <v/>
      </c>
      <c r="W459" s="17">
        <f>IF($Z459="","",CHOOSE($Z459,"Collection Email","1st Follow-up","2nd Follow-up","Local Office","CBE","Roxanne")&amp;IF($Z459=6," - Final"," - Day "&amp;MAX(0,NETWORKDAYS($AA459,TODAY(),Holidays)-1)&amp;" of "&amp;CHOOSE($Z459,3,3,2,2,3))&amp;" | Total Day "&amp;MAX(0,NETWORKDAYS($N459,TODAY(),Holidays)-1))</f>
        <v/>
      </c>
      <c r="X459" s="18"/>
      <c r="Y459" s="18"/>
      <c r="Z459" s="17">
        <f>IF($N459="","",COUNT($N459:$S459))</f>
        <v/>
      </c>
      <c r="AA459" s="19">
        <f>IF($Z459="","",INT(INDEX($N459:$S459,$Z459)))</f>
        <v/>
      </c>
      <c r="AB459" s="19">
        <f>IF(OR($Z459="",$Z459=6),"",WORKDAY($AA459,CHOOSE($Z459,3,3,2,2,3),Holidays))</f>
        <v/>
      </c>
      <c r="AC459" s="17">
        <f>IF(OR($Z459="",$Z459=6),"",CHOOSE($Z459,"1st Email Follow-up","2nd Email Follow-up","Escalate Local Office","Escalate to CBE","Escalate to Roxanne"))</f>
        <v/>
      </c>
    </row>
    <row r="460" spans="13:29">
      <c r="M460" s="14"/>
      <c r="T460" s="16"/>
      <c r="U460" s="17">
        <f>IF(AND(COUNTA($A460:$L460)=0,$N460=""),"",IF($T460="Paid","PAID",IF($T460="Closed","CLOSED",IF($Z460="","",IF($Z460=6,"ESCALATED TO ROXANNE",IF(TODAY()&gt;$AB460,"OVERDUE",IF($AB460&lt;=WORKDAY(TODAY(),1,Holidays),"DUE TOMORROW",IF($Z460=4,"ESCALATED TO LOCAL OFFICE",IF($Z460=5,"ESCALATED TO CBE",IF($AA460=TODAY(),"EMAIL SENT","MONITORING"))))))))))</f>
        <v/>
      </c>
      <c r="V460" s="17">
        <f>IF($U460="",IF(AND(COUNTA($A460:$L460)&gt;0,$N460=""),"Awaiting Collection Email time stamp.",""),IF(OR($U460="PAID",$U460="CLOSED"),IF($U460="PAID","Account paid. Action completed.","Account closed. No further action required."),CHOOSE($Z460,"Collection Email","1st Email Follow-up","2nd Email Follow-up","Escalation to Local Office","Escalation to CBE","Escalation to Roxanne")&amp;" sent "&amp;TEXT($AA460,"dd-mmm")&amp;". "&amp;IF($Z460=6,"Final escalation completed.",IF($U460="OVERDUE","Next: "&amp;$AC460&amp;" was due "&amp;TEXT($AB460,"dd-mmm")&amp;" - "&amp;(NETWORKDAYS($AB460,TODAY(),Holidays)-1)&amp;" business day(s) late. Send now.",IF($U460="DUE TOMORROW","Next: "&amp;$AC460&amp;IF($AB460&lt;=TODAY()," is due TODAY ("," is due next business day (")&amp;TEXT($AB460,"dd-mmm")&amp;").","Next: "&amp;$AC460&amp;" due "&amp;TEXT($AB460,"dd-mmm")&amp;" ("&amp;(NETWORKDAYS(TODAY(),$AB460,Holidays)-1)&amp;" business day(s) left).")))))</f>
        <v/>
      </c>
      <c r="W460" s="17">
        <f>IF($Z460="","",CHOOSE($Z460,"Collection Email","1st Follow-up","2nd Follow-up","Local Office","CBE","Roxanne")&amp;IF($Z460=6," - Final"," - Day "&amp;MAX(0,NETWORKDAYS($AA460,TODAY(),Holidays)-1)&amp;" of "&amp;CHOOSE($Z460,3,3,2,2,3))&amp;" | Total Day "&amp;MAX(0,NETWORKDAYS($N460,TODAY(),Holidays)-1))</f>
        <v/>
      </c>
      <c r="X460" s="18"/>
      <c r="Y460" s="18"/>
      <c r="Z460" s="17">
        <f>IF($N460="","",COUNT($N460:$S460))</f>
        <v/>
      </c>
      <c r="AA460" s="19">
        <f>IF($Z460="","",INT(INDEX($N460:$S460,$Z460)))</f>
        <v/>
      </c>
      <c r="AB460" s="19">
        <f>IF(OR($Z460="",$Z460=6),"",WORKDAY($AA460,CHOOSE($Z460,3,3,2,2,3),Holidays))</f>
        <v/>
      </c>
      <c r="AC460" s="17">
        <f>IF(OR($Z460="",$Z460=6),"",CHOOSE($Z460,"1st Email Follow-up","2nd Email Follow-up","Escalate Local Office","Escalate to CBE","Escalate to Roxanne"))</f>
        <v/>
      </c>
    </row>
    <row r="461" spans="13:29">
      <c r="M461" s="14"/>
      <c r="T461" s="16"/>
      <c r="U461" s="17">
        <f>IF(AND(COUNTA($A461:$L461)=0,$N461=""),"",IF($T461="Paid","PAID",IF($T461="Closed","CLOSED",IF($Z461="","",IF($Z461=6,"ESCALATED TO ROXANNE",IF(TODAY()&gt;$AB461,"OVERDUE",IF($AB461&lt;=WORKDAY(TODAY(),1,Holidays),"DUE TOMORROW",IF($Z461=4,"ESCALATED TO LOCAL OFFICE",IF($Z461=5,"ESCALATED TO CBE",IF($AA461=TODAY(),"EMAIL SENT","MONITORING"))))))))))</f>
        <v/>
      </c>
      <c r="V461" s="17">
        <f>IF($U461="",IF(AND(COUNTA($A461:$L461)&gt;0,$N461=""),"Awaiting Collection Email time stamp.",""),IF(OR($U461="PAID",$U461="CLOSED"),IF($U461="PAID","Account paid. Action completed.","Account closed. No further action required."),CHOOSE($Z461,"Collection Email","1st Email Follow-up","2nd Email Follow-up","Escalation to Local Office","Escalation to CBE","Escalation to Roxanne")&amp;" sent "&amp;TEXT($AA461,"dd-mmm")&amp;". "&amp;IF($Z461=6,"Final escalation completed.",IF($U461="OVERDUE","Next: "&amp;$AC461&amp;" was due "&amp;TEXT($AB461,"dd-mmm")&amp;" - "&amp;(NETWORKDAYS($AB461,TODAY(),Holidays)-1)&amp;" business day(s) late. Send now.",IF($U461="DUE TOMORROW","Next: "&amp;$AC461&amp;IF($AB461&lt;=TODAY()," is due TODAY ("," is due next business day (")&amp;TEXT($AB461,"dd-mmm")&amp;").","Next: "&amp;$AC461&amp;" due "&amp;TEXT($AB461,"dd-mmm")&amp;" ("&amp;(NETWORKDAYS(TODAY(),$AB461,Holidays)-1)&amp;" business day(s) left).")))))</f>
        <v/>
      </c>
      <c r="W461" s="17">
        <f>IF($Z461="","",CHOOSE($Z461,"Collection Email","1st Follow-up","2nd Follow-up","Local Office","CBE","Roxanne")&amp;IF($Z461=6," - Final"," - Day "&amp;MAX(0,NETWORKDAYS($AA461,TODAY(),Holidays)-1)&amp;" of "&amp;CHOOSE($Z461,3,3,2,2,3))&amp;" | Total Day "&amp;MAX(0,NETWORKDAYS($N461,TODAY(),Holidays)-1))</f>
        <v/>
      </c>
      <c r="X461" s="18"/>
      <c r="Y461" s="18"/>
      <c r="Z461" s="17">
        <f>IF($N461="","",COUNT($N461:$S461))</f>
        <v/>
      </c>
      <c r="AA461" s="19">
        <f>IF($Z461="","",INT(INDEX($N461:$S461,$Z461)))</f>
        <v/>
      </c>
      <c r="AB461" s="19">
        <f>IF(OR($Z461="",$Z461=6),"",WORKDAY($AA461,CHOOSE($Z461,3,3,2,2,3),Holidays))</f>
        <v/>
      </c>
      <c r="AC461" s="17">
        <f>IF(OR($Z461="",$Z461=6),"",CHOOSE($Z461,"1st Email Follow-up","2nd Email Follow-up","Escalate Local Office","Escalate to CBE","Escalate to Roxanne"))</f>
        <v/>
      </c>
    </row>
    <row r="462" spans="13:29">
      <c r="M462" s="14"/>
      <c r="T462" s="16"/>
      <c r="U462" s="17">
        <f>IF(AND(COUNTA($A462:$L462)=0,$N462=""),"",IF($T462="Paid","PAID",IF($T462="Closed","CLOSED",IF($Z462="","",IF($Z462=6,"ESCALATED TO ROXANNE",IF(TODAY()&gt;$AB462,"OVERDUE",IF($AB462&lt;=WORKDAY(TODAY(),1,Holidays),"DUE TOMORROW",IF($Z462=4,"ESCALATED TO LOCAL OFFICE",IF($Z462=5,"ESCALATED TO CBE",IF($AA462=TODAY(),"EMAIL SENT","MONITORING"))))))))))</f>
        <v/>
      </c>
      <c r="V462" s="17">
        <f>IF($U462="",IF(AND(COUNTA($A462:$L462)&gt;0,$N462=""),"Awaiting Collection Email time stamp.",""),IF(OR($U462="PAID",$U462="CLOSED"),IF($U462="PAID","Account paid. Action completed.","Account closed. No further action required."),CHOOSE($Z462,"Collection Email","1st Email Follow-up","2nd Email Follow-up","Escalation to Local Office","Escalation to CBE","Escalation to Roxanne")&amp;" sent "&amp;TEXT($AA462,"dd-mmm")&amp;". "&amp;IF($Z462=6,"Final escalation completed.",IF($U462="OVERDUE","Next: "&amp;$AC462&amp;" was due "&amp;TEXT($AB462,"dd-mmm")&amp;" - "&amp;(NETWORKDAYS($AB462,TODAY(),Holidays)-1)&amp;" business day(s) late. Send now.",IF($U462="DUE TOMORROW","Next: "&amp;$AC462&amp;IF($AB462&lt;=TODAY()," is due TODAY ("," is due next business day (")&amp;TEXT($AB462,"dd-mmm")&amp;").","Next: "&amp;$AC462&amp;" due "&amp;TEXT($AB462,"dd-mmm")&amp;" ("&amp;(NETWORKDAYS(TODAY(),$AB462,Holidays)-1)&amp;" business day(s) left).")))))</f>
        <v/>
      </c>
      <c r="W462" s="17">
        <f>IF($Z462="","",CHOOSE($Z462,"Collection Email","1st Follow-up","2nd Follow-up","Local Office","CBE","Roxanne")&amp;IF($Z462=6," - Final"," - Day "&amp;MAX(0,NETWORKDAYS($AA462,TODAY(),Holidays)-1)&amp;" of "&amp;CHOOSE($Z462,3,3,2,2,3))&amp;" | Total Day "&amp;MAX(0,NETWORKDAYS($N462,TODAY(),Holidays)-1))</f>
        <v/>
      </c>
      <c r="X462" s="18"/>
      <c r="Y462" s="18"/>
      <c r="Z462" s="17">
        <f>IF($N462="","",COUNT($N462:$S462))</f>
        <v/>
      </c>
      <c r="AA462" s="19">
        <f>IF($Z462="","",INT(INDEX($N462:$S462,$Z462)))</f>
        <v/>
      </c>
      <c r="AB462" s="19">
        <f>IF(OR($Z462="",$Z462=6),"",WORKDAY($AA462,CHOOSE($Z462,3,3,2,2,3),Holidays))</f>
        <v/>
      </c>
      <c r="AC462" s="17">
        <f>IF(OR($Z462="",$Z462=6),"",CHOOSE($Z462,"1st Email Follow-up","2nd Email Follow-up","Escalate Local Office","Escalate to CBE","Escalate to Roxanne"))</f>
        <v/>
      </c>
    </row>
    <row r="463" spans="13:29">
      <c r="M463" s="14"/>
      <c r="T463" s="16"/>
      <c r="U463" s="17">
        <f>IF(AND(COUNTA($A463:$L463)=0,$N463=""),"",IF($T463="Paid","PAID",IF($T463="Closed","CLOSED",IF($Z463="","",IF($Z463=6,"ESCALATED TO ROXANNE",IF(TODAY()&gt;$AB463,"OVERDUE",IF($AB463&lt;=WORKDAY(TODAY(),1,Holidays),"DUE TOMORROW",IF($Z463=4,"ESCALATED TO LOCAL OFFICE",IF($Z463=5,"ESCALATED TO CBE",IF($AA463=TODAY(),"EMAIL SENT","MONITORING"))))))))))</f>
        <v/>
      </c>
      <c r="V463" s="17">
        <f>IF($U463="",IF(AND(COUNTA($A463:$L463)&gt;0,$N463=""),"Awaiting Collection Email time stamp.",""),IF(OR($U463="PAID",$U463="CLOSED"),IF($U463="PAID","Account paid. Action completed.","Account closed. No further action required."),CHOOSE($Z463,"Collection Email","1st Email Follow-up","2nd Email Follow-up","Escalation to Local Office","Escalation to CBE","Escalation to Roxanne")&amp;" sent "&amp;TEXT($AA463,"dd-mmm")&amp;". "&amp;IF($Z463=6,"Final escalation completed.",IF($U463="OVERDUE","Next: "&amp;$AC463&amp;" was due "&amp;TEXT($AB463,"dd-mmm")&amp;" - "&amp;(NETWORKDAYS($AB463,TODAY(),Holidays)-1)&amp;" business day(s) late. Send now.",IF($U463="DUE TOMORROW","Next: "&amp;$AC463&amp;IF($AB463&lt;=TODAY()," is due TODAY ("," is due next business day (")&amp;TEXT($AB463,"dd-mmm")&amp;").","Next: "&amp;$AC463&amp;" due "&amp;TEXT($AB463,"dd-mmm")&amp;" ("&amp;(NETWORKDAYS(TODAY(),$AB463,Holidays)-1)&amp;" business day(s) left).")))))</f>
        <v/>
      </c>
      <c r="W463" s="17">
        <f>IF($Z463="","",CHOOSE($Z463,"Collection Email","1st Follow-up","2nd Follow-up","Local Office","CBE","Roxanne")&amp;IF($Z463=6," - Final"," - Day "&amp;MAX(0,NETWORKDAYS($AA463,TODAY(),Holidays)-1)&amp;" of "&amp;CHOOSE($Z463,3,3,2,2,3))&amp;" | Total Day "&amp;MAX(0,NETWORKDAYS($N463,TODAY(),Holidays)-1))</f>
        <v/>
      </c>
      <c r="X463" s="18"/>
      <c r="Y463" s="18"/>
      <c r="Z463" s="17">
        <f>IF($N463="","",COUNT($N463:$S463))</f>
        <v/>
      </c>
      <c r="AA463" s="19">
        <f>IF($Z463="","",INT(INDEX($N463:$S463,$Z463)))</f>
        <v/>
      </c>
      <c r="AB463" s="19">
        <f>IF(OR($Z463="",$Z463=6),"",WORKDAY($AA463,CHOOSE($Z463,3,3,2,2,3),Holidays))</f>
        <v/>
      </c>
      <c r="AC463" s="17">
        <f>IF(OR($Z463="",$Z463=6),"",CHOOSE($Z463,"1st Email Follow-up","2nd Email Follow-up","Escalate Local Office","Escalate to CBE","Escalate to Roxanne"))</f>
        <v/>
      </c>
    </row>
    <row r="464" spans="13:29">
      <c r="M464" s="14"/>
      <c r="T464" s="16"/>
      <c r="U464" s="17">
        <f>IF(AND(COUNTA($A464:$L464)=0,$N464=""),"",IF($T464="Paid","PAID",IF($T464="Closed","CLOSED",IF($Z464="","",IF($Z464=6,"ESCALATED TO ROXANNE",IF(TODAY()&gt;$AB464,"OVERDUE",IF($AB464&lt;=WORKDAY(TODAY(),1,Holidays),"DUE TOMORROW",IF($Z464=4,"ESCALATED TO LOCAL OFFICE",IF($Z464=5,"ESCALATED TO CBE",IF($AA464=TODAY(),"EMAIL SENT","MONITORING"))))))))))</f>
        <v/>
      </c>
      <c r="V464" s="17">
        <f>IF($U464="",IF(AND(COUNTA($A464:$L464)&gt;0,$N464=""),"Awaiting Collection Email time stamp.",""),IF(OR($U464="PAID",$U464="CLOSED"),IF($U464="PAID","Account paid. Action completed.","Account closed. No further action required."),CHOOSE($Z464,"Collection Email","1st Email Follow-up","2nd Email Follow-up","Escalation to Local Office","Escalation to CBE","Escalation to Roxanne")&amp;" sent "&amp;TEXT($AA464,"dd-mmm")&amp;". "&amp;IF($Z464=6,"Final escalation completed.",IF($U464="OVERDUE","Next: "&amp;$AC464&amp;" was due "&amp;TEXT($AB464,"dd-mmm")&amp;" - "&amp;(NETWORKDAYS($AB464,TODAY(),Holidays)-1)&amp;" business day(s) late. Send now.",IF($U464="DUE TOMORROW","Next: "&amp;$AC464&amp;IF($AB464&lt;=TODAY()," is due TODAY ("," is due next business day (")&amp;TEXT($AB464,"dd-mmm")&amp;").","Next: "&amp;$AC464&amp;" due "&amp;TEXT($AB464,"dd-mmm")&amp;" ("&amp;(NETWORKDAYS(TODAY(),$AB464,Holidays)-1)&amp;" business day(s) left).")))))</f>
        <v/>
      </c>
      <c r="W464" s="17">
        <f>IF($Z464="","",CHOOSE($Z464,"Collection Email","1st Follow-up","2nd Follow-up","Local Office","CBE","Roxanne")&amp;IF($Z464=6," - Final"," - Day "&amp;MAX(0,NETWORKDAYS($AA464,TODAY(),Holidays)-1)&amp;" of "&amp;CHOOSE($Z464,3,3,2,2,3))&amp;" | Total Day "&amp;MAX(0,NETWORKDAYS($N464,TODAY(),Holidays)-1))</f>
        <v/>
      </c>
      <c r="X464" s="18"/>
      <c r="Y464" s="18"/>
      <c r="Z464" s="17">
        <f>IF($N464="","",COUNT($N464:$S464))</f>
        <v/>
      </c>
      <c r="AA464" s="19">
        <f>IF($Z464="","",INT(INDEX($N464:$S464,$Z464)))</f>
        <v/>
      </c>
      <c r="AB464" s="19">
        <f>IF(OR($Z464="",$Z464=6),"",WORKDAY($AA464,CHOOSE($Z464,3,3,2,2,3),Holidays))</f>
        <v/>
      </c>
      <c r="AC464" s="17">
        <f>IF(OR($Z464="",$Z464=6),"",CHOOSE($Z464,"1st Email Follow-up","2nd Email Follow-up","Escalate Local Office","Escalate to CBE","Escalate to Roxanne"))</f>
        <v/>
      </c>
    </row>
    <row r="465" spans="13:29">
      <c r="M465" s="14"/>
      <c r="T465" s="16"/>
      <c r="U465" s="17">
        <f>IF(AND(COUNTA($A465:$L465)=0,$N465=""),"",IF($T465="Paid","PAID",IF($T465="Closed","CLOSED",IF($Z465="","",IF($Z465=6,"ESCALATED TO ROXANNE",IF(TODAY()&gt;$AB465,"OVERDUE",IF($AB465&lt;=WORKDAY(TODAY(),1,Holidays),"DUE TOMORROW",IF($Z465=4,"ESCALATED TO LOCAL OFFICE",IF($Z465=5,"ESCALATED TO CBE",IF($AA465=TODAY(),"EMAIL SENT","MONITORING"))))))))))</f>
        <v/>
      </c>
      <c r="V465" s="17">
        <f>IF($U465="",IF(AND(COUNTA($A465:$L465)&gt;0,$N465=""),"Awaiting Collection Email time stamp.",""),IF(OR($U465="PAID",$U465="CLOSED"),IF($U465="PAID","Account paid. Action completed.","Account closed. No further action required."),CHOOSE($Z465,"Collection Email","1st Email Follow-up","2nd Email Follow-up","Escalation to Local Office","Escalation to CBE","Escalation to Roxanne")&amp;" sent "&amp;TEXT($AA465,"dd-mmm")&amp;". "&amp;IF($Z465=6,"Final escalation completed.",IF($U465="OVERDUE","Next: "&amp;$AC465&amp;" was due "&amp;TEXT($AB465,"dd-mmm")&amp;" - "&amp;(NETWORKDAYS($AB465,TODAY(),Holidays)-1)&amp;" business day(s) late. Send now.",IF($U465="DUE TOMORROW","Next: "&amp;$AC465&amp;IF($AB465&lt;=TODAY()," is due TODAY ("," is due next business day (")&amp;TEXT($AB465,"dd-mmm")&amp;").","Next: "&amp;$AC465&amp;" due "&amp;TEXT($AB465,"dd-mmm")&amp;" ("&amp;(NETWORKDAYS(TODAY(),$AB465,Holidays)-1)&amp;" business day(s) left).")))))</f>
        <v/>
      </c>
      <c r="W465" s="17">
        <f>IF($Z465="","",CHOOSE($Z465,"Collection Email","1st Follow-up","2nd Follow-up","Local Office","CBE","Roxanne")&amp;IF($Z465=6," - Final"," - Day "&amp;MAX(0,NETWORKDAYS($AA465,TODAY(),Holidays)-1)&amp;" of "&amp;CHOOSE($Z465,3,3,2,2,3))&amp;" | Total Day "&amp;MAX(0,NETWORKDAYS($N465,TODAY(),Holidays)-1))</f>
        <v/>
      </c>
      <c r="X465" s="18"/>
      <c r="Y465" s="18"/>
      <c r="Z465" s="17">
        <f>IF($N465="","",COUNT($N465:$S465))</f>
        <v/>
      </c>
      <c r="AA465" s="19">
        <f>IF($Z465="","",INT(INDEX($N465:$S465,$Z465)))</f>
        <v/>
      </c>
      <c r="AB465" s="19">
        <f>IF(OR($Z465="",$Z465=6),"",WORKDAY($AA465,CHOOSE($Z465,3,3,2,2,3),Holidays))</f>
        <v/>
      </c>
      <c r="AC465" s="17">
        <f>IF(OR($Z465="",$Z465=6),"",CHOOSE($Z465,"1st Email Follow-up","2nd Email Follow-up","Escalate Local Office","Escalate to CBE","Escalate to Roxanne"))</f>
        <v/>
      </c>
    </row>
    <row r="466" spans="13:29">
      <c r="M466" s="14"/>
      <c r="T466" s="16"/>
      <c r="U466" s="17">
        <f>IF(AND(COUNTA($A466:$L466)=0,$N466=""),"",IF($T466="Paid","PAID",IF($T466="Closed","CLOSED",IF($Z466="","",IF($Z466=6,"ESCALATED TO ROXANNE",IF(TODAY()&gt;$AB466,"OVERDUE",IF($AB466&lt;=WORKDAY(TODAY(),1,Holidays),"DUE TOMORROW",IF($Z466=4,"ESCALATED TO LOCAL OFFICE",IF($Z466=5,"ESCALATED TO CBE",IF($AA466=TODAY(),"EMAIL SENT","MONITORING"))))))))))</f>
        <v/>
      </c>
      <c r="V466" s="17">
        <f>IF($U466="",IF(AND(COUNTA($A466:$L466)&gt;0,$N466=""),"Awaiting Collection Email time stamp.",""),IF(OR($U466="PAID",$U466="CLOSED"),IF($U466="PAID","Account paid. Action completed.","Account closed. No further action required."),CHOOSE($Z466,"Collection Email","1st Email Follow-up","2nd Email Follow-up","Escalation to Local Office","Escalation to CBE","Escalation to Roxanne")&amp;" sent "&amp;TEXT($AA466,"dd-mmm")&amp;". "&amp;IF($Z466=6,"Final escalation completed.",IF($U466="OVERDUE","Next: "&amp;$AC466&amp;" was due "&amp;TEXT($AB466,"dd-mmm")&amp;" - "&amp;(NETWORKDAYS($AB466,TODAY(),Holidays)-1)&amp;" business day(s) late. Send now.",IF($U466="DUE TOMORROW","Next: "&amp;$AC466&amp;IF($AB466&lt;=TODAY()," is due TODAY ("," is due next business day (")&amp;TEXT($AB466,"dd-mmm")&amp;").","Next: "&amp;$AC466&amp;" due "&amp;TEXT($AB466,"dd-mmm")&amp;" ("&amp;(NETWORKDAYS(TODAY(),$AB466,Holidays)-1)&amp;" business day(s) left).")))))</f>
        <v/>
      </c>
      <c r="W466" s="17">
        <f>IF($Z466="","",CHOOSE($Z466,"Collection Email","1st Follow-up","2nd Follow-up","Local Office","CBE","Roxanne")&amp;IF($Z466=6," - Final"," - Day "&amp;MAX(0,NETWORKDAYS($AA466,TODAY(),Holidays)-1)&amp;" of "&amp;CHOOSE($Z466,3,3,2,2,3))&amp;" | Total Day "&amp;MAX(0,NETWORKDAYS($N466,TODAY(),Holidays)-1))</f>
        <v/>
      </c>
      <c r="X466" s="18"/>
      <c r="Y466" s="18"/>
      <c r="Z466" s="17">
        <f>IF($N466="","",COUNT($N466:$S466))</f>
        <v/>
      </c>
      <c r="AA466" s="19">
        <f>IF($Z466="","",INT(INDEX($N466:$S466,$Z466)))</f>
        <v/>
      </c>
      <c r="AB466" s="19">
        <f>IF(OR($Z466="",$Z466=6),"",WORKDAY($AA466,CHOOSE($Z466,3,3,2,2,3),Holidays))</f>
        <v/>
      </c>
      <c r="AC466" s="17">
        <f>IF(OR($Z466="",$Z466=6),"",CHOOSE($Z466,"1st Email Follow-up","2nd Email Follow-up","Escalate Local Office","Escalate to CBE","Escalate to Roxanne"))</f>
        <v/>
      </c>
    </row>
    <row r="467" spans="13:29">
      <c r="M467" s="14"/>
      <c r="T467" s="16"/>
      <c r="U467" s="17">
        <f>IF(AND(COUNTA($A467:$L467)=0,$N467=""),"",IF($T467="Paid","PAID",IF($T467="Closed","CLOSED",IF($Z467="","",IF($Z467=6,"ESCALATED TO ROXANNE",IF(TODAY()&gt;$AB467,"OVERDUE",IF($AB467&lt;=WORKDAY(TODAY(),1,Holidays),"DUE TOMORROW",IF($Z467=4,"ESCALATED TO LOCAL OFFICE",IF($Z467=5,"ESCALATED TO CBE",IF($AA467=TODAY(),"EMAIL SENT","MONITORING"))))))))))</f>
        <v/>
      </c>
      <c r="V467" s="17">
        <f>IF($U467="",IF(AND(COUNTA($A467:$L467)&gt;0,$N467=""),"Awaiting Collection Email time stamp.",""),IF(OR($U467="PAID",$U467="CLOSED"),IF($U467="PAID","Account paid. Action completed.","Account closed. No further action required."),CHOOSE($Z467,"Collection Email","1st Email Follow-up","2nd Email Follow-up","Escalation to Local Office","Escalation to CBE","Escalation to Roxanne")&amp;" sent "&amp;TEXT($AA467,"dd-mmm")&amp;". "&amp;IF($Z467=6,"Final escalation completed.",IF($U467="OVERDUE","Next: "&amp;$AC467&amp;" was due "&amp;TEXT($AB467,"dd-mmm")&amp;" - "&amp;(NETWORKDAYS($AB467,TODAY(),Holidays)-1)&amp;" business day(s) late. Send now.",IF($U467="DUE TOMORROW","Next: "&amp;$AC467&amp;IF($AB467&lt;=TODAY()," is due TODAY ("," is due next business day (")&amp;TEXT($AB467,"dd-mmm")&amp;").","Next: "&amp;$AC467&amp;" due "&amp;TEXT($AB467,"dd-mmm")&amp;" ("&amp;(NETWORKDAYS(TODAY(),$AB467,Holidays)-1)&amp;" business day(s) left).")))))</f>
        <v/>
      </c>
      <c r="W467" s="17">
        <f>IF($Z467="","",CHOOSE($Z467,"Collection Email","1st Follow-up","2nd Follow-up","Local Office","CBE","Roxanne")&amp;IF($Z467=6," - Final"," - Day "&amp;MAX(0,NETWORKDAYS($AA467,TODAY(),Holidays)-1)&amp;" of "&amp;CHOOSE($Z467,3,3,2,2,3))&amp;" | Total Day "&amp;MAX(0,NETWORKDAYS($N467,TODAY(),Holidays)-1))</f>
        <v/>
      </c>
      <c r="X467" s="18"/>
      <c r="Y467" s="18"/>
      <c r="Z467" s="17">
        <f>IF($N467="","",COUNT($N467:$S467))</f>
        <v/>
      </c>
      <c r="AA467" s="19">
        <f>IF($Z467="","",INT(INDEX($N467:$S467,$Z467)))</f>
        <v/>
      </c>
      <c r="AB467" s="19">
        <f>IF(OR($Z467="",$Z467=6),"",WORKDAY($AA467,CHOOSE($Z467,3,3,2,2,3),Holidays))</f>
        <v/>
      </c>
      <c r="AC467" s="17">
        <f>IF(OR($Z467="",$Z467=6),"",CHOOSE($Z467,"1st Email Follow-up","2nd Email Follow-up","Escalate Local Office","Escalate to CBE","Escalate to Roxanne"))</f>
        <v/>
      </c>
    </row>
    <row r="468" spans="13:29">
      <c r="M468" s="14"/>
      <c r="T468" s="16"/>
      <c r="U468" s="17">
        <f>IF(AND(COUNTA($A468:$L468)=0,$N468=""),"",IF($T468="Paid","PAID",IF($T468="Closed","CLOSED",IF($Z468="","",IF($Z468=6,"ESCALATED TO ROXANNE",IF(TODAY()&gt;$AB468,"OVERDUE",IF($AB468&lt;=WORKDAY(TODAY(),1,Holidays),"DUE TOMORROW",IF($Z468=4,"ESCALATED TO LOCAL OFFICE",IF($Z468=5,"ESCALATED TO CBE",IF($AA468=TODAY(),"EMAIL SENT","MONITORING"))))))))))</f>
        <v/>
      </c>
      <c r="V468" s="17">
        <f>IF($U468="",IF(AND(COUNTA($A468:$L468)&gt;0,$N468=""),"Awaiting Collection Email time stamp.",""),IF(OR($U468="PAID",$U468="CLOSED"),IF($U468="PAID","Account paid. Action completed.","Account closed. No further action required."),CHOOSE($Z468,"Collection Email","1st Email Follow-up","2nd Email Follow-up","Escalation to Local Office","Escalation to CBE","Escalation to Roxanne")&amp;" sent "&amp;TEXT($AA468,"dd-mmm")&amp;". "&amp;IF($Z468=6,"Final escalation completed.",IF($U468="OVERDUE","Next: "&amp;$AC468&amp;" was due "&amp;TEXT($AB468,"dd-mmm")&amp;" - "&amp;(NETWORKDAYS($AB468,TODAY(),Holidays)-1)&amp;" business day(s) late. Send now.",IF($U468="DUE TOMORROW","Next: "&amp;$AC468&amp;IF($AB468&lt;=TODAY()," is due TODAY ("," is due next business day (")&amp;TEXT($AB468,"dd-mmm")&amp;").","Next: "&amp;$AC468&amp;" due "&amp;TEXT($AB468,"dd-mmm")&amp;" ("&amp;(NETWORKDAYS(TODAY(),$AB468,Holidays)-1)&amp;" business day(s) left).")))))</f>
        <v/>
      </c>
      <c r="W468" s="17">
        <f>IF($Z468="","",CHOOSE($Z468,"Collection Email","1st Follow-up","2nd Follow-up","Local Office","CBE","Roxanne")&amp;IF($Z468=6," - Final"," - Day "&amp;MAX(0,NETWORKDAYS($AA468,TODAY(),Holidays)-1)&amp;" of "&amp;CHOOSE($Z468,3,3,2,2,3))&amp;" | Total Day "&amp;MAX(0,NETWORKDAYS($N468,TODAY(),Holidays)-1))</f>
        <v/>
      </c>
      <c r="X468" s="18"/>
      <c r="Y468" s="18"/>
      <c r="Z468" s="17">
        <f>IF($N468="","",COUNT($N468:$S468))</f>
        <v/>
      </c>
      <c r="AA468" s="19">
        <f>IF($Z468="","",INT(INDEX($N468:$S468,$Z468)))</f>
        <v/>
      </c>
      <c r="AB468" s="19">
        <f>IF(OR($Z468="",$Z468=6),"",WORKDAY($AA468,CHOOSE($Z468,3,3,2,2,3),Holidays))</f>
        <v/>
      </c>
      <c r="AC468" s="17">
        <f>IF(OR($Z468="",$Z468=6),"",CHOOSE($Z468,"1st Email Follow-up","2nd Email Follow-up","Escalate Local Office","Escalate to CBE","Escalate to Roxanne"))</f>
        <v/>
      </c>
    </row>
    <row r="469" spans="13:29">
      <c r="M469" s="14"/>
      <c r="T469" s="16"/>
      <c r="U469" s="17">
        <f>IF(AND(COUNTA($A469:$L469)=0,$N469=""),"",IF($T469="Paid","PAID",IF($T469="Closed","CLOSED",IF($Z469="","",IF($Z469=6,"ESCALATED TO ROXANNE",IF(TODAY()&gt;$AB469,"OVERDUE",IF($AB469&lt;=WORKDAY(TODAY(),1,Holidays),"DUE TOMORROW",IF($Z469=4,"ESCALATED TO LOCAL OFFICE",IF($Z469=5,"ESCALATED TO CBE",IF($AA469=TODAY(),"EMAIL SENT","MONITORING"))))))))))</f>
        <v/>
      </c>
      <c r="V469" s="17">
        <f>IF($U469="",IF(AND(COUNTA($A469:$L469)&gt;0,$N469=""),"Awaiting Collection Email time stamp.",""),IF(OR($U469="PAID",$U469="CLOSED"),IF($U469="PAID","Account paid. Action completed.","Account closed. No further action required."),CHOOSE($Z469,"Collection Email","1st Email Follow-up","2nd Email Follow-up","Escalation to Local Office","Escalation to CBE","Escalation to Roxanne")&amp;" sent "&amp;TEXT($AA469,"dd-mmm")&amp;". "&amp;IF($Z469=6,"Final escalation completed.",IF($U469="OVERDUE","Next: "&amp;$AC469&amp;" was due "&amp;TEXT($AB469,"dd-mmm")&amp;" - "&amp;(NETWORKDAYS($AB469,TODAY(),Holidays)-1)&amp;" business day(s) late. Send now.",IF($U469="DUE TOMORROW","Next: "&amp;$AC469&amp;IF($AB469&lt;=TODAY()," is due TODAY ("," is due next business day (")&amp;TEXT($AB469,"dd-mmm")&amp;").","Next: "&amp;$AC469&amp;" due "&amp;TEXT($AB469,"dd-mmm")&amp;" ("&amp;(NETWORKDAYS(TODAY(),$AB469,Holidays)-1)&amp;" business day(s) left).")))))</f>
        <v/>
      </c>
      <c r="W469" s="17">
        <f>IF($Z469="","",CHOOSE($Z469,"Collection Email","1st Follow-up","2nd Follow-up","Local Office","CBE","Roxanne")&amp;IF($Z469=6," - Final"," - Day "&amp;MAX(0,NETWORKDAYS($AA469,TODAY(),Holidays)-1)&amp;" of "&amp;CHOOSE($Z469,3,3,2,2,3))&amp;" | Total Day "&amp;MAX(0,NETWORKDAYS($N469,TODAY(),Holidays)-1))</f>
        <v/>
      </c>
      <c r="X469" s="18"/>
      <c r="Y469" s="18"/>
      <c r="Z469" s="17">
        <f>IF($N469="","",COUNT($N469:$S469))</f>
        <v/>
      </c>
      <c r="AA469" s="19">
        <f>IF($Z469="","",INT(INDEX($N469:$S469,$Z469)))</f>
        <v/>
      </c>
      <c r="AB469" s="19">
        <f>IF(OR($Z469="",$Z469=6),"",WORKDAY($AA469,CHOOSE($Z469,3,3,2,2,3),Holidays))</f>
        <v/>
      </c>
      <c r="AC469" s="17">
        <f>IF(OR($Z469="",$Z469=6),"",CHOOSE($Z469,"1st Email Follow-up","2nd Email Follow-up","Escalate Local Office","Escalate to CBE","Escalate to Roxanne"))</f>
        <v/>
      </c>
    </row>
    <row r="470" spans="13:29">
      <c r="M470" s="14"/>
      <c r="T470" s="16"/>
      <c r="U470" s="17">
        <f>IF(AND(COUNTA($A470:$L470)=0,$N470=""),"",IF($T470="Paid","PAID",IF($T470="Closed","CLOSED",IF($Z470="","",IF($Z470=6,"ESCALATED TO ROXANNE",IF(TODAY()&gt;$AB470,"OVERDUE",IF($AB470&lt;=WORKDAY(TODAY(),1,Holidays),"DUE TOMORROW",IF($Z470=4,"ESCALATED TO LOCAL OFFICE",IF($Z470=5,"ESCALATED TO CBE",IF($AA470=TODAY(),"EMAIL SENT","MONITORING"))))))))))</f>
        <v/>
      </c>
      <c r="V470" s="17">
        <f>IF($U470="",IF(AND(COUNTA($A470:$L470)&gt;0,$N470=""),"Awaiting Collection Email time stamp.",""),IF(OR($U470="PAID",$U470="CLOSED"),IF($U470="PAID","Account paid. Action completed.","Account closed. No further action required."),CHOOSE($Z470,"Collection Email","1st Email Follow-up","2nd Email Follow-up","Escalation to Local Office","Escalation to CBE","Escalation to Roxanne")&amp;" sent "&amp;TEXT($AA470,"dd-mmm")&amp;". "&amp;IF($Z470=6,"Final escalation completed.",IF($U470="OVERDUE","Next: "&amp;$AC470&amp;" was due "&amp;TEXT($AB470,"dd-mmm")&amp;" - "&amp;(NETWORKDAYS($AB470,TODAY(),Holidays)-1)&amp;" business day(s) late. Send now.",IF($U470="DUE TOMORROW","Next: "&amp;$AC470&amp;IF($AB470&lt;=TODAY()," is due TODAY ("," is due next business day (")&amp;TEXT($AB470,"dd-mmm")&amp;").","Next: "&amp;$AC470&amp;" due "&amp;TEXT($AB470,"dd-mmm")&amp;" ("&amp;(NETWORKDAYS(TODAY(),$AB470,Holidays)-1)&amp;" business day(s) left).")))))</f>
        <v/>
      </c>
      <c r="W470" s="17">
        <f>IF($Z470="","",CHOOSE($Z470,"Collection Email","1st Follow-up","2nd Follow-up","Local Office","CBE","Roxanne")&amp;IF($Z470=6," - Final"," - Day "&amp;MAX(0,NETWORKDAYS($AA470,TODAY(),Holidays)-1)&amp;" of "&amp;CHOOSE($Z470,3,3,2,2,3))&amp;" | Total Day "&amp;MAX(0,NETWORKDAYS($N470,TODAY(),Holidays)-1))</f>
        <v/>
      </c>
      <c r="X470" s="18"/>
      <c r="Y470" s="18"/>
      <c r="Z470" s="17">
        <f>IF($N470="","",COUNT($N470:$S470))</f>
        <v/>
      </c>
      <c r="AA470" s="19">
        <f>IF($Z470="","",INT(INDEX($N470:$S470,$Z470)))</f>
        <v/>
      </c>
      <c r="AB470" s="19">
        <f>IF(OR($Z470="",$Z470=6),"",WORKDAY($AA470,CHOOSE($Z470,3,3,2,2,3),Holidays))</f>
        <v/>
      </c>
      <c r="AC470" s="17">
        <f>IF(OR($Z470="",$Z470=6),"",CHOOSE($Z470,"1st Email Follow-up","2nd Email Follow-up","Escalate Local Office","Escalate to CBE","Escalate to Roxanne"))</f>
        <v/>
      </c>
    </row>
    <row r="471" spans="13:29">
      <c r="M471" s="14"/>
      <c r="T471" s="16"/>
      <c r="U471" s="17">
        <f>IF(AND(COUNTA($A471:$L471)=0,$N471=""),"",IF($T471="Paid","PAID",IF($T471="Closed","CLOSED",IF($Z471="","",IF($Z471=6,"ESCALATED TO ROXANNE",IF(TODAY()&gt;$AB471,"OVERDUE",IF($AB471&lt;=WORKDAY(TODAY(),1,Holidays),"DUE TOMORROW",IF($Z471=4,"ESCALATED TO LOCAL OFFICE",IF($Z471=5,"ESCALATED TO CBE",IF($AA471=TODAY(),"EMAIL SENT","MONITORING"))))))))))</f>
        <v/>
      </c>
      <c r="V471" s="17">
        <f>IF($U471="",IF(AND(COUNTA($A471:$L471)&gt;0,$N471=""),"Awaiting Collection Email time stamp.",""),IF(OR($U471="PAID",$U471="CLOSED"),IF($U471="PAID","Account paid. Action completed.","Account closed. No further action required."),CHOOSE($Z471,"Collection Email","1st Email Follow-up","2nd Email Follow-up","Escalation to Local Office","Escalation to CBE","Escalation to Roxanne")&amp;" sent "&amp;TEXT($AA471,"dd-mmm")&amp;". "&amp;IF($Z471=6,"Final escalation completed.",IF($U471="OVERDUE","Next: "&amp;$AC471&amp;" was due "&amp;TEXT($AB471,"dd-mmm")&amp;" - "&amp;(NETWORKDAYS($AB471,TODAY(),Holidays)-1)&amp;" business day(s) late. Send now.",IF($U471="DUE TOMORROW","Next: "&amp;$AC471&amp;IF($AB471&lt;=TODAY()," is due TODAY ("," is due next business day (")&amp;TEXT($AB471,"dd-mmm")&amp;").","Next: "&amp;$AC471&amp;" due "&amp;TEXT($AB471,"dd-mmm")&amp;" ("&amp;(NETWORKDAYS(TODAY(),$AB471,Holidays)-1)&amp;" business day(s) left).")))))</f>
        <v/>
      </c>
      <c r="W471" s="17">
        <f>IF($Z471="","",CHOOSE($Z471,"Collection Email","1st Follow-up","2nd Follow-up","Local Office","CBE","Roxanne")&amp;IF($Z471=6," - Final"," - Day "&amp;MAX(0,NETWORKDAYS($AA471,TODAY(),Holidays)-1)&amp;" of "&amp;CHOOSE($Z471,3,3,2,2,3))&amp;" | Total Day "&amp;MAX(0,NETWORKDAYS($N471,TODAY(),Holidays)-1))</f>
        <v/>
      </c>
      <c r="X471" s="18"/>
      <c r="Y471" s="18"/>
      <c r="Z471" s="17">
        <f>IF($N471="","",COUNT($N471:$S471))</f>
        <v/>
      </c>
      <c r="AA471" s="19">
        <f>IF($Z471="","",INT(INDEX($N471:$S471,$Z471)))</f>
        <v/>
      </c>
      <c r="AB471" s="19">
        <f>IF(OR($Z471="",$Z471=6),"",WORKDAY($AA471,CHOOSE($Z471,3,3,2,2,3),Holidays))</f>
        <v/>
      </c>
      <c r="AC471" s="17">
        <f>IF(OR($Z471="",$Z471=6),"",CHOOSE($Z471,"1st Email Follow-up","2nd Email Follow-up","Escalate Local Office","Escalate to CBE","Escalate to Roxanne"))</f>
        <v/>
      </c>
    </row>
    <row r="472" spans="13:29">
      <c r="M472" s="14"/>
      <c r="T472" s="16"/>
      <c r="U472" s="17">
        <f>IF(AND(COUNTA($A472:$L472)=0,$N472=""),"",IF($T472="Paid","PAID",IF($T472="Closed","CLOSED",IF($Z472="","",IF($Z472=6,"ESCALATED TO ROXANNE",IF(TODAY()&gt;$AB472,"OVERDUE",IF($AB472&lt;=WORKDAY(TODAY(),1,Holidays),"DUE TOMORROW",IF($Z472=4,"ESCALATED TO LOCAL OFFICE",IF($Z472=5,"ESCALATED TO CBE",IF($AA472=TODAY(),"EMAIL SENT","MONITORING"))))))))))</f>
        <v/>
      </c>
      <c r="V472" s="17">
        <f>IF($U472="",IF(AND(COUNTA($A472:$L472)&gt;0,$N472=""),"Awaiting Collection Email time stamp.",""),IF(OR($U472="PAID",$U472="CLOSED"),IF($U472="PAID","Account paid. Action completed.","Account closed. No further action required."),CHOOSE($Z472,"Collection Email","1st Email Follow-up","2nd Email Follow-up","Escalation to Local Office","Escalation to CBE","Escalation to Roxanne")&amp;" sent "&amp;TEXT($AA472,"dd-mmm")&amp;". "&amp;IF($Z472=6,"Final escalation completed.",IF($U472="OVERDUE","Next: "&amp;$AC472&amp;" was due "&amp;TEXT($AB472,"dd-mmm")&amp;" - "&amp;(NETWORKDAYS($AB472,TODAY(),Holidays)-1)&amp;" business day(s) late. Send now.",IF($U472="DUE TOMORROW","Next: "&amp;$AC472&amp;IF($AB472&lt;=TODAY()," is due TODAY ("," is due next business day (")&amp;TEXT($AB472,"dd-mmm")&amp;").","Next: "&amp;$AC472&amp;" due "&amp;TEXT($AB472,"dd-mmm")&amp;" ("&amp;(NETWORKDAYS(TODAY(),$AB472,Holidays)-1)&amp;" business day(s) left).")))))</f>
        <v/>
      </c>
      <c r="W472" s="17">
        <f>IF($Z472="","",CHOOSE($Z472,"Collection Email","1st Follow-up","2nd Follow-up","Local Office","CBE","Roxanne")&amp;IF($Z472=6," - Final"," - Day "&amp;MAX(0,NETWORKDAYS($AA472,TODAY(),Holidays)-1)&amp;" of "&amp;CHOOSE($Z472,3,3,2,2,3))&amp;" | Total Day "&amp;MAX(0,NETWORKDAYS($N472,TODAY(),Holidays)-1))</f>
        <v/>
      </c>
      <c r="X472" s="18"/>
      <c r="Y472" s="18"/>
      <c r="Z472" s="17">
        <f>IF($N472="","",COUNT($N472:$S472))</f>
        <v/>
      </c>
      <c r="AA472" s="19">
        <f>IF($Z472="","",INT(INDEX($N472:$S472,$Z472)))</f>
        <v/>
      </c>
      <c r="AB472" s="19">
        <f>IF(OR($Z472="",$Z472=6),"",WORKDAY($AA472,CHOOSE($Z472,3,3,2,2,3),Holidays))</f>
        <v/>
      </c>
      <c r="AC472" s="17">
        <f>IF(OR($Z472="",$Z472=6),"",CHOOSE($Z472,"1st Email Follow-up","2nd Email Follow-up","Escalate Local Office","Escalate to CBE","Escalate to Roxanne"))</f>
        <v/>
      </c>
    </row>
    <row r="473" spans="13:29">
      <c r="M473" s="14"/>
      <c r="T473" s="16"/>
      <c r="U473" s="17">
        <f>IF(AND(COUNTA($A473:$L473)=0,$N473=""),"",IF($T473="Paid","PAID",IF($T473="Closed","CLOSED",IF($Z473="","",IF($Z473=6,"ESCALATED TO ROXANNE",IF(TODAY()&gt;$AB473,"OVERDUE",IF($AB473&lt;=WORKDAY(TODAY(),1,Holidays),"DUE TOMORROW",IF($Z473=4,"ESCALATED TO LOCAL OFFICE",IF($Z473=5,"ESCALATED TO CBE",IF($AA473=TODAY(),"EMAIL SENT","MONITORING"))))))))))</f>
        <v/>
      </c>
      <c r="V473" s="17">
        <f>IF($U473="",IF(AND(COUNTA($A473:$L473)&gt;0,$N473=""),"Awaiting Collection Email time stamp.",""),IF(OR($U473="PAID",$U473="CLOSED"),IF($U473="PAID","Account paid. Action completed.","Account closed. No further action required."),CHOOSE($Z473,"Collection Email","1st Email Follow-up","2nd Email Follow-up","Escalation to Local Office","Escalation to CBE","Escalation to Roxanne")&amp;" sent "&amp;TEXT($AA473,"dd-mmm")&amp;". "&amp;IF($Z473=6,"Final escalation completed.",IF($U473="OVERDUE","Next: "&amp;$AC473&amp;" was due "&amp;TEXT($AB473,"dd-mmm")&amp;" - "&amp;(NETWORKDAYS($AB473,TODAY(),Holidays)-1)&amp;" business day(s) late. Send now.",IF($U473="DUE TOMORROW","Next: "&amp;$AC473&amp;IF($AB473&lt;=TODAY()," is due TODAY ("," is due next business day (")&amp;TEXT($AB473,"dd-mmm")&amp;").","Next: "&amp;$AC473&amp;" due "&amp;TEXT($AB473,"dd-mmm")&amp;" ("&amp;(NETWORKDAYS(TODAY(),$AB473,Holidays)-1)&amp;" business day(s) left).")))))</f>
        <v/>
      </c>
      <c r="W473" s="17">
        <f>IF($Z473="","",CHOOSE($Z473,"Collection Email","1st Follow-up","2nd Follow-up","Local Office","CBE","Roxanne")&amp;IF($Z473=6," - Final"," - Day "&amp;MAX(0,NETWORKDAYS($AA473,TODAY(),Holidays)-1)&amp;" of "&amp;CHOOSE($Z473,3,3,2,2,3))&amp;" | Total Day "&amp;MAX(0,NETWORKDAYS($N473,TODAY(),Holidays)-1))</f>
        <v/>
      </c>
      <c r="X473" s="18"/>
      <c r="Y473" s="18"/>
      <c r="Z473" s="17">
        <f>IF($N473="","",COUNT($N473:$S473))</f>
        <v/>
      </c>
      <c r="AA473" s="19">
        <f>IF($Z473="","",INT(INDEX($N473:$S473,$Z473)))</f>
        <v/>
      </c>
      <c r="AB473" s="19">
        <f>IF(OR($Z473="",$Z473=6),"",WORKDAY($AA473,CHOOSE($Z473,3,3,2,2,3),Holidays))</f>
        <v/>
      </c>
      <c r="AC473" s="17">
        <f>IF(OR($Z473="",$Z473=6),"",CHOOSE($Z473,"1st Email Follow-up","2nd Email Follow-up","Escalate Local Office","Escalate to CBE","Escalate to Roxanne"))</f>
        <v/>
      </c>
    </row>
    <row r="474" spans="13:29">
      <c r="M474" s="14"/>
      <c r="T474" s="16"/>
      <c r="U474" s="17">
        <f>IF(AND(COUNTA($A474:$L474)=0,$N474=""),"",IF($T474="Paid","PAID",IF($T474="Closed","CLOSED",IF($Z474="","",IF($Z474=6,"ESCALATED TO ROXANNE",IF(TODAY()&gt;$AB474,"OVERDUE",IF($AB474&lt;=WORKDAY(TODAY(),1,Holidays),"DUE TOMORROW",IF($Z474=4,"ESCALATED TO LOCAL OFFICE",IF($Z474=5,"ESCALATED TO CBE",IF($AA474=TODAY(),"EMAIL SENT","MONITORING"))))))))))</f>
        <v/>
      </c>
      <c r="V474" s="17">
        <f>IF($U474="",IF(AND(COUNTA($A474:$L474)&gt;0,$N474=""),"Awaiting Collection Email time stamp.",""),IF(OR($U474="PAID",$U474="CLOSED"),IF($U474="PAID","Account paid. Action completed.","Account closed. No further action required."),CHOOSE($Z474,"Collection Email","1st Email Follow-up","2nd Email Follow-up","Escalation to Local Office","Escalation to CBE","Escalation to Roxanne")&amp;" sent "&amp;TEXT($AA474,"dd-mmm")&amp;". "&amp;IF($Z474=6,"Final escalation completed.",IF($U474="OVERDUE","Next: "&amp;$AC474&amp;" was due "&amp;TEXT($AB474,"dd-mmm")&amp;" - "&amp;(NETWORKDAYS($AB474,TODAY(),Holidays)-1)&amp;" business day(s) late. Send now.",IF($U474="DUE TOMORROW","Next: "&amp;$AC474&amp;IF($AB474&lt;=TODAY()," is due TODAY ("," is due next business day (")&amp;TEXT($AB474,"dd-mmm")&amp;").","Next: "&amp;$AC474&amp;" due "&amp;TEXT($AB474,"dd-mmm")&amp;" ("&amp;(NETWORKDAYS(TODAY(),$AB474,Holidays)-1)&amp;" business day(s) left).")))))</f>
        <v/>
      </c>
      <c r="W474" s="17">
        <f>IF($Z474="","",CHOOSE($Z474,"Collection Email","1st Follow-up","2nd Follow-up","Local Office","CBE","Roxanne")&amp;IF($Z474=6," - Final"," - Day "&amp;MAX(0,NETWORKDAYS($AA474,TODAY(),Holidays)-1)&amp;" of "&amp;CHOOSE($Z474,3,3,2,2,3))&amp;" | Total Day "&amp;MAX(0,NETWORKDAYS($N474,TODAY(),Holidays)-1))</f>
        <v/>
      </c>
      <c r="X474" s="18"/>
      <c r="Y474" s="18"/>
      <c r="Z474" s="17">
        <f>IF($N474="","",COUNT($N474:$S474))</f>
        <v/>
      </c>
      <c r="AA474" s="19">
        <f>IF($Z474="","",INT(INDEX($N474:$S474,$Z474)))</f>
        <v/>
      </c>
      <c r="AB474" s="19">
        <f>IF(OR($Z474="",$Z474=6),"",WORKDAY($AA474,CHOOSE($Z474,3,3,2,2,3),Holidays))</f>
        <v/>
      </c>
      <c r="AC474" s="17">
        <f>IF(OR($Z474="",$Z474=6),"",CHOOSE($Z474,"1st Email Follow-up","2nd Email Follow-up","Escalate Local Office","Escalate to CBE","Escalate to Roxanne"))</f>
        <v/>
      </c>
    </row>
    <row r="475" spans="13:29">
      <c r="M475" s="14"/>
      <c r="T475" s="16"/>
      <c r="U475" s="17">
        <f>IF(AND(COUNTA($A475:$L475)=0,$N475=""),"",IF($T475="Paid","PAID",IF($T475="Closed","CLOSED",IF($Z475="","",IF($Z475=6,"ESCALATED TO ROXANNE",IF(TODAY()&gt;$AB475,"OVERDUE",IF($AB475&lt;=WORKDAY(TODAY(),1,Holidays),"DUE TOMORROW",IF($Z475=4,"ESCALATED TO LOCAL OFFICE",IF($Z475=5,"ESCALATED TO CBE",IF($AA475=TODAY(),"EMAIL SENT","MONITORING"))))))))))</f>
        <v/>
      </c>
      <c r="V475" s="17">
        <f>IF($U475="",IF(AND(COUNTA($A475:$L475)&gt;0,$N475=""),"Awaiting Collection Email time stamp.",""),IF(OR($U475="PAID",$U475="CLOSED"),IF($U475="PAID","Account paid. Action completed.","Account closed. No further action required."),CHOOSE($Z475,"Collection Email","1st Email Follow-up","2nd Email Follow-up","Escalation to Local Office","Escalation to CBE","Escalation to Roxanne")&amp;" sent "&amp;TEXT($AA475,"dd-mmm")&amp;". "&amp;IF($Z475=6,"Final escalation completed.",IF($U475="OVERDUE","Next: "&amp;$AC475&amp;" was due "&amp;TEXT($AB475,"dd-mmm")&amp;" - "&amp;(NETWORKDAYS($AB475,TODAY(),Holidays)-1)&amp;" business day(s) late. Send now.",IF($U475="DUE TOMORROW","Next: "&amp;$AC475&amp;IF($AB475&lt;=TODAY()," is due TODAY ("," is due next business day (")&amp;TEXT($AB475,"dd-mmm")&amp;").","Next: "&amp;$AC475&amp;" due "&amp;TEXT($AB475,"dd-mmm")&amp;" ("&amp;(NETWORKDAYS(TODAY(),$AB475,Holidays)-1)&amp;" business day(s) left).")))))</f>
        <v/>
      </c>
      <c r="W475" s="17">
        <f>IF($Z475="","",CHOOSE($Z475,"Collection Email","1st Follow-up","2nd Follow-up","Local Office","CBE","Roxanne")&amp;IF($Z475=6," - Final"," - Day "&amp;MAX(0,NETWORKDAYS($AA475,TODAY(),Holidays)-1)&amp;" of "&amp;CHOOSE($Z475,3,3,2,2,3))&amp;" | Total Day "&amp;MAX(0,NETWORKDAYS($N475,TODAY(),Holidays)-1))</f>
        <v/>
      </c>
      <c r="X475" s="18"/>
      <c r="Y475" s="18"/>
      <c r="Z475" s="17">
        <f>IF($N475="","",COUNT($N475:$S475))</f>
        <v/>
      </c>
      <c r="AA475" s="19">
        <f>IF($Z475="","",INT(INDEX($N475:$S475,$Z475)))</f>
        <v/>
      </c>
      <c r="AB475" s="19">
        <f>IF(OR($Z475="",$Z475=6),"",WORKDAY($AA475,CHOOSE($Z475,3,3,2,2,3),Holidays))</f>
        <v/>
      </c>
      <c r="AC475" s="17">
        <f>IF(OR($Z475="",$Z475=6),"",CHOOSE($Z475,"1st Email Follow-up","2nd Email Follow-up","Escalate Local Office","Escalate to CBE","Escalate to Roxanne"))</f>
        <v/>
      </c>
    </row>
    <row r="476" spans="13:29">
      <c r="M476" s="14"/>
      <c r="T476" s="16"/>
      <c r="U476" s="17">
        <f>IF(AND(COUNTA($A476:$L476)=0,$N476=""),"",IF($T476="Paid","PAID",IF($T476="Closed","CLOSED",IF($Z476="","",IF($Z476=6,"ESCALATED TO ROXANNE",IF(TODAY()&gt;$AB476,"OVERDUE",IF($AB476&lt;=WORKDAY(TODAY(),1,Holidays),"DUE TOMORROW",IF($Z476=4,"ESCALATED TO LOCAL OFFICE",IF($Z476=5,"ESCALATED TO CBE",IF($AA476=TODAY(),"EMAIL SENT","MONITORING"))))))))))</f>
        <v/>
      </c>
      <c r="V476" s="17">
        <f>IF($U476="",IF(AND(COUNTA($A476:$L476)&gt;0,$N476=""),"Awaiting Collection Email time stamp.",""),IF(OR($U476="PAID",$U476="CLOSED"),IF($U476="PAID","Account paid. Action completed.","Account closed. No further action required."),CHOOSE($Z476,"Collection Email","1st Email Follow-up","2nd Email Follow-up","Escalation to Local Office","Escalation to CBE","Escalation to Roxanne")&amp;" sent "&amp;TEXT($AA476,"dd-mmm")&amp;". "&amp;IF($Z476=6,"Final escalation completed.",IF($U476="OVERDUE","Next: "&amp;$AC476&amp;" was due "&amp;TEXT($AB476,"dd-mmm")&amp;" - "&amp;(NETWORKDAYS($AB476,TODAY(),Holidays)-1)&amp;" business day(s) late. Send now.",IF($U476="DUE TOMORROW","Next: "&amp;$AC476&amp;IF($AB476&lt;=TODAY()," is due TODAY ("," is due next business day (")&amp;TEXT($AB476,"dd-mmm")&amp;").","Next: "&amp;$AC476&amp;" due "&amp;TEXT($AB476,"dd-mmm")&amp;" ("&amp;(NETWORKDAYS(TODAY(),$AB476,Holidays)-1)&amp;" business day(s) left).")))))</f>
        <v/>
      </c>
      <c r="W476" s="17">
        <f>IF($Z476="","",CHOOSE($Z476,"Collection Email","1st Follow-up","2nd Follow-up","Local Office","CBE","Roxanne")&amp;IF($Z476=6," - Final"," - Day "&amp;MAX(0,NETWORKDAYS($AA476,TODAY(),Holidays)-1)&amp;" of "&amp;CHOOSE($Z476,3,3,2,2,3))&amp;" | Total Day "&amp;MAX(0,NETWORKDAYS($N476,TODAY(),Holidays)-1))</f>
        <v/>
      </c>
      <c r="X476" s="18"/>
      <c r="Y476" s="18"/>
      <c r="Z476" s="17">
        <f>IF($N476="","",COUNT($N476:$S476))</f>
        <v/>
      </c>
      <c r="AA476" s="19">
        <f>IF($Z476="","",INT(INDEX($N476:$S476,$Z476)))</f>
        <v/>
      </c>
      <c r="AB476" s="19">
        <f>IF(OR($Z476="",$Z476=6),"",WORKDAY($AA476,CHOOSE($Z476,3,3,2,2,3),Holidays))</f>
        <v/>
      </c>
      <c r="AC476" s="17">
        <f>IF(OR($Z476="",$Z476=6),"",CHOOSE($Z476,"1st Email Follow-up","2nd Email Follow-up","Escalate Local Office","Escalate to CBE","Escalate to Roxanne"))</f>
        <v/>
      </c>
    </row>
    <row r="477" spans="13:29">
      <c r="M477" s="14"/>
      <c r="T477" s="16"/>
      <c r="U477" s="17">
        <f>IF(AND(COUNTA($A477:$L477)=0,$N477=""),"",IF($T477="Paid","PAID",IF($T477="Closed","CLOSED",IF($Z477="","",IF($Z477=6,"ESCALATED TO ROXANNE",IF(TODAY()&gt;$AB477,"OVERDUE",IF($AB477&lt;=WORKDAY(TODAY(),1,Holidays),"DUE TOMORROW",IF($Z477=4,"ESCALATED TO LOCAL OFFICE",IF($Z477=5,"ESCALATED TO CBE",IF($AA477=TODAY(),"EMAIL SENT","MONITORING"))))))))))</f>
        <v/>
      </c>
      <c r="V477" s="17">
        <f>IF($U477="",IF(AND(COUNTA($A477:$L477)&gt;0,$N477=""),"Awaiting Collection Email time stamp.",""),IF(OR($U477="PAID",$U477="CLOSED"),IF($U477="PAID","Account paid. Action completed.","Account closed. No further action required."),CHOOSE($Z477,"Collection Email","1st Email Follow-up","2nd Email Follow-up","Escalation to Local Office","Escalation to CBE","Escalation to Roxanne")&amp;" sent "&amp;TEXT($AA477,"dd-mmm")&amp;". "&amp;IF($Z477=6,"Final escalation completed.",IF($U477="OVERDUE","Next: "&amp;$AC477&amp;" was due "&amp;TEXT($AB477,"dd-mmm")&amp;" - "&amp;(NETWORKDAYS($AB477,TODAY(),Holidays)-1)&amp;" business day(s) late. Send now.",IF($U477="DUE TOMORROW","Next: "&amp;$AC477&amp;IF($AB477&lt;=TODAY()," is due TODAY ("," is due next business day (")&amp;TEXT($AB477,"dd-mmm")&amp;").","Next: "&amp;$AC477&amp;" due "&amp;TEXT($AB477,"dd-mmm")&amp;" ("&amp;(NETWORKDAYS(TODAY(),$AB477,Holidays)-1)&amp;" business day(s) left).")))))</f>
        <v/>
      </c>
      <c r="W477" s="17">
        <f>IF($Z477="","",CHOOSE($Z477,"Collection Email","1st Follow-up","2nd Follow-up","Local Office","CBE","Roxanne")&amp;IF($Z477=6," - Final"," - Day "&amp;MAX(0,NETWORKDAYS($AA477,TODAY(),Holidays)-1)&amp;" of "&amp;CHOOSE($Z477,3,3,2,2,3))&amp;" | Total Day "&amp;MAX(0,NETWORKDAYS($N477,TODAY(),Holidays)-1))</f>
        <v/>
      </c>
      <c r="X477" s="18"/>
      <c r="Y477" s="18"/>
      <c r="Z477" s="17">
        <f>IF($N477="","",COUNT($N477:$S477))</f>
        <v/>
      </c>
      <c r="AA477" s="19">
        <f>IF($Z477="","",INT(INDEX($N477:$S477,$Z477)))</f>
        <v/>
      </c>
      <c r="AB477" s="19">
        <f>IF(OR($Z477="",$Z477=6),"",WORKDAY($AA477,CHOOSE($Z477,3,3,2,2,3),Holidays))</f>
        <v/>
      </c>
      <c r="AC477" s="17">
        <f>IF(OR($Z477="",$Z477=6),"",CHOOSE($Z477,"1st Email Follow-up","2nd Email Follow-up","Escalate Local Office","Escalate to CBE","Escalate to Roxanne"))</f>
        <v/>
      </c>
    </row>
    <row r="478" spans="13:29">
      <c r="M478" s="14"/>
      <c r="T478" s="16"/>
      <c r="U478" s="17">
        <f>IF(AND(COUNTA($A478:$L478)=0,$N478=""),"",IF($T478="Paid","PAID",IF($T478="Closed","CLOSED",IF($Z478="","",IF($Z478=6,"ESCALATED TO ROXANNE",IF(TODAY()&gt;$AB478,"OVERDUE",IF($AB478&lt;=WORKDAY(TODAY(),1,Holidays),"DUE TOMORROW",IF($Z478=4,"ESCALATED TO LOCAL OFFICE",IF($Z478=5,"ESCALATED TO CBE",IF($AA478=TODAY(),"EMAIL SENT","MONITORING"))))))))))</f>
        <v/>
      </c>
      <c r="V478" s="17">
        <f>IF($U478="",IF(AND(COUNTA($A478:$L478)&gt;0,$N478=""),"Awaiting Collection Email time stamp.",""),IF(OR($U478="PAID",$U478="CLOSED"),IF($U478="PAID","Account paid. Action completed.","Account closed. No further action required."),CHOOSE($Z478,"Collection Email","1st Email Follow-up","2nd Email Follow-up","Escalation to Local Office","Escalation to CBE","Escalation to Roxanne")&amp;" sent "&amp;TEXT($AA478,"dd-mmm")&amp;". "&amp;IF($Z478=6,"Final escalation completed.",IF($U478="OVERDUE","Next: "&amp;$AC478&amp;" was due "&amp;TEXT($AB478,"dd-mmm")&amp;" - "&amp;(NETWORKDAYS($AB478,TODAY(),Holidays)-1)&amp;" business day(s) late. Send now.",IF($U478="DUE TOMORROW","Next: "&amp;$AC478&amp;IF($AB478&lt;=TODAY()," is due TODAY ("," is due next business day (")&amp;TEXT($AB478,"dd-mmm")&amp;").","Next: "&amp;$AC478&amp;" due "&amp;TEXT($AB478,"dd-mmm")&amp;" ("&amp;(NETWORKDAYS(TODAY(),$AB478,Holidays)-1)&amp;" business day(s) left).")))))</f>
        <v/>
      </c>
      <c r="W478" s="17">
        <f>IF($Z478="","",CHOOSE($Z478,"Collection Email","1st Follow-up","2nd Follow-up","Local Office","CBE","Roxanne")&amp;IF($Z478=6," - Final"," - Day "&amp;MAX(0,NETWORKDAYS($AA478,TODAY(),Holidays)-1)&amp;" of "&amp;CHOOSE($Z478,3,3,2,2,3))&amp;" | Total Day "&amp;MAX(0,NETWORKDAYS($N478,TODAY(),Holidays)-1))</f>
        <v/>
      </c>
      <c r="X478" s="18"/>
      <c r="Y478" s="18"/>
      <c r="Z478" s="17">
        <f>IF($N478="","",COUNT($N478:$S478))</f>
        <v/>
      </c>
      <c r="AA478" s="19">
        <f>IF($Z478="","",INT(INDEX($N478:$S478,$Z478)))</f>
        <v/>
      </c>
      <c r="AB478" s="19">
        <f>IF(OR($Z478="",$Z478=6),"",WORKDAY($AA478,CHOOSE($Z478,3,3,2,2,3),Holidays))</f>
        <v/>
      </c>
      <c r="AC478" s="17">
        <f>IF(OR($Z478="",$Z478=6),"",CHOOSE($Z478,"1st Email Follow-up","2nd Email Follow-up","Escalate Local Office","Escalate to CBE","Escalate to Roxanne"))</f>
        <v/>
      </c>
    </row>
    <row r="479" spans="13:29">
      <c r="M479" s="14"/>
      <c r="T479" s="16"/>
      <c r="U479" s="17">
        <f>IF(AND(COUNTA($A479:$L479)=0,$N479=""),"",IF($T479="Paid","PAID",IF($T479="Closed","CLOSED",IF($Z479="","",IF($Z479=6,"ESCALATED TO ROXANNE",IF(TODAY()&gt;$AB479,"OVERDUE",IF($AB479&lt;=WORKDAY(TODAY(),1,Holidays),"DUE TOMORROW",IF($Z479=4,"ESCALATED TO LOCAL OFFICE",IF($Z479=5,"ESCALATED TO CBE",IF($AA479=TODAY(),"EMAIL SENT","MONITORING"))))))))))</f>
        <v/>
      </c>
      <c r="V479" s="17">
        <f>IF($U479="",IF(AND(COUNTA($A479:$L479)&gt;0,$N479=""),"Awaiting Collection Email time stamp.",""),IF(OR($U479="PAID",$U479="CLOSED"),IF($U479="PAID","Account paid. Action completed.","Account closed. No further action required."),CHOOSE($Z479,"Collection Email","1st Email Follow-up","2nd Email Follow-up","Escalation to Local Office","Escalation to CBE","Escalation to Roxanne")&amp;" sent "&amp;TEXT($AA479,"dd-mmm")&amp;". "&amp;IF($Z479=6,"Final escalation completed.",IF($U479="OVERDUE","Next: "&amp;$AC479&amp;" was due "&amp;TEXT($AB479,"dd-mmm")&amp;" - "&amp;(NETWORKDAYS($AB479,TODAY(),Holidays)-1)&amp;" business day(s) late. Send now.",IF($U479="DUE TOMORROW","Next: "&amp;$AC479&amp;IF($AB479&lt;=TODAY()," is due TODAY ("," is due next business day (")&amp;TEXT($AB479,"dd-mmm")&amp;").","Next: "&amp;$AC479&amp;" due "&amp;TEXT($AB479,"dd-mmm")&amp;" ("&amp;(NETWORKDAYS(TODAY(),$AB479,Holidays)-1)&amp;" business day(s) left).")))))</f>
        <v/>
      </c>
      <c r="W479" s="17">
        <f>IF($Z479="","",CHOOSE($Z479,"Collection Email","1st Follow-up","2nd Follow-up","Local Office","CBE","Roxanne")&amp;IF($Z479=6," - Final"," - Day "&amp;MAX(0,NETWORKDAYS($AA479,TODAY(),Holidays)-1)&amp;" of "&amp;CHOOSE($Z479,3,3,2,2,3))&amp;" | Total Day "&amp;MAX(0,NETWORKDAYS($N479,TODAY(),Holidays)-1))</f>
        <v/>
      </c>
      <c r="X479" s="18"/>
      <c r="Y479" s="18"/>
      <c r="Z479" s="17">
        <f>IF($N479="","",COUNT($N479:$S479))</f>
        <v/>
      </c>
      <c r="AA479" s="19">
        <f>IF($Z479="","",INT(INDEX($N479:$S479,$Z479)))</f>
        <v/>
      </c>
      <c r="AB479" s="19">
        <f>IF(OR($Z479="",$Z479=6),"",WORKDAY($AA479,CHOOSE($Z479,3,3,2,2,3),Holidays))</f>
        <v/>
      </c>
      <c r="AC479" s="17">
        <f>IF(OR($Z479="",$Z479=6),"",CHOOSE($Z479,"1st Email Follow-up","2nd Email Follow-up","Escalate Local Office","Escalate to CBE","Escalate to Roxanne"))</f>
        <v/>
      </c>
    </row>
    <row r="480" spans="13:29">
      <c r="M480" s="14"/>
      <c r="T480" s="16"/>
      <c r="U480" s="17">
        <f>IF(AND(COUNTA($A480:$L480)=0,$N480=""),"",IF($T480="Paid","PAID",IF($T480="Closed","CLOSED",IF($Z480="","",IF($Z480=6,"ESCALATED TO ROXANNE",IF(TODAY()&gt;$AB480,"OVERDUE",IF($AB480&lt;=WORKDAY(TODAY(),1,Holidays),"DUE TOMORROW",IF($Z480=4,"ESCALATED TO LOCAL OFFICE",IF($Z480=5,"ESCALATED TO CBE",IF($AA480=TODAY(),"EMAIL SENT","MONITORING"))))))))))</f>
        <v/>
      </c>
      <c r="V480" s="17">
        <f>IF($U480="",IF(AND(COUNTA($A480:$L480)&gt;0,$N480=""),"Awaiting Collection Email time stamp.",""),IF(OR($U480="PAID",$U480="CLOSED"),IF($U480="PAID","Account paid. Action completed.","Account closed. No further action required."),CHOOSE($Z480,"Collection Email","1st Email Follow-up","2nd Email Follow-up","Escalation to Local Office","Escalation to CBE","Escalation to Roxanne")&amp;" sent "&amp;TEXT($AA480,"dd-mmm")&amp;". "&amp;IF($Z480=6,"Final escalation completed.",IF($U480="OVERDUE","Next: "&amp;$AC480&amp;" was due "&amp;TEXT($AB480,"dd-mmm")&amp;" - "&amp;(NETWORKDAYS($AB480,TODAY(),Holidays)-1)&amp;" business day(s) late. Send now.",IF($U480="DUE TOMORROW","Next: "&amp;$AC480&amp;IF($AB480&lt;=TODAY()," is due TODAY ("," is due next business day (")&amp;TEXT($AB480,"dd-mmm")&amp;").","Next: "&amp;$AC480&amp;" due "&amp;TEXT($AB480,"dd-mmm")&amp;" ("&amp;(NETWORKDAYS(TODAY(),$AB480,Holidays)-1)&amp;" business day(s) left).")))))</f>
        <v/>
      </c>
      <c r="W480" s="17">
        <f>IF($Z480="","",CHOOSE($Z480,"Collection Email","1st Follow-up","2nd Follow-up","Local Office","CBE","Roxanne")&amp;IF($Z480=6," - Final"," - Day "&amp;MAX(0,NETWORKDAYS($AA480,TODAY(),Holidays)-1)&amp;" of "&amp;CHOOSE($Z480,3,3,2,2,3))&amp;" | Total Day "&amp;MAX(0,NETWORKDAYS($N480,TODAY(),Holidays)-1))</f>
        <v/>
      </c>
      <c r="X480" s="18"/>
      <c r="Y480" s="18"/>
      <c r="Z480" s="17">
        <f>IF($N480="","",COUNT($N480:$S480))</f>
        <v/>
      </c>
      <c r="AA480" s="19">
        <f>IF($Z480="","",INT(INDEX($N480:$S480,$Z480)))</f>
        <v/>
      </c>
      <c r="AB480" s="19">
        <f>IF(OR($Z480="",$Z480=6),"",WORKDAY($AA480,CHOOSE($Z480,3,3,2,2,3),Holidays))</f>
        <v/>
      </c>
      <c r="AC480" s="17">
        <f>IF(OR($Z480="",$Z480=6),"",CHOOSE($Z480,"1st Email Follow-up","2nd Email Follow-up","Escalate Local Office","Escalate to CBE","Escalate to Roxanne"))</f>
        <v/>
      </c>
    </row>
    <row r="481" spans="13:29">
      <c r="M481" s="14"/>
      <c r="T481" s="16"/>
      <c r="U481" s="17">
        <f>IF(AND(COUNTA($A481:$L481)=0,$N481=""),"",IF($T481="Paid","PAID",IF($T481="Closed","CLOSED",IF($Z481="","",IF($Z481=6,"ESCALATED TO ROXANNE",IF(TODAY()&gt;$AB481,"OVERDUE",IF($AB481&lt;=WORKDAY(TODAY(),1,Holidays),"DUE TOMORROW",IF($Z481=4,"ESCALATED TO LOCAL OFFICE",IF($Z481=5,"ESCALATED TO CBE",IF($AA481=TODAY(),"EMAIL SENT","MONITORING"))))))))))</f>
        <v/>
      </c>
      <c r="V481" s="17">
        <f>IF($U481="",IF(AND(COUNTA($A481:$L481)&gt;0,$N481=""),"Awaiting Collection Email time stamp.",""),IF(OR($U481="PAID",$U481="CLOSED"),IF($U481="PAID","Account paid. Action completed.","Account closed. No further action required."),CHOOSE($Z481,"Collection Email","1st Email Follow-up","2nd Email Follow-up","Escalation to Local Office","Escalation to CBE","Escalation to Roxanne")&amp;" sent "&amp;TEXT($AA481,"dd-mmm")&amp;". "&amp;IF($Z481=6,"Final escalation completed.",IF($U481="OVERDUE","Next: "&amp;$AC481&amp;" was due "&amp;TEXT($AB481,"dd-mmm")&amp;" - "&amp;(NETWORKDAYS($AB481,TODAY(),Holidays)-1)&amp;" business day(s) late. Send now.",IF($U481="DUE TOMORROW","Next: "&amp;$AC481&amp;IF($AB481&lt;=TODAY()," is due TODAY ("," is due next business day (")&amp;TEXT($AB481,"dd-mmm")&amp;").","Next: "&amp;$AC481&amp;" due "&amp;TEXT($AB481,"dd-mmm")&amp;" ("&amp;(NETWORKDAYS(TODAY(),$AB481,Holidays)-1)&amp;" business day(s) left).")))))</f>
        <v/>
      </c>
      <c r="W481" s="17">
        <f>IF($Z481="","",CHOOSE($Z481,"Collection Email","1st Follow-up","2nd Follow-up","Local Office","CBE","Roxanne")&amp;IF($Z481=6," - Final"," - Day "&amp;MAX(0,NETWORKDAYS($AA481,TODAY(),Holidays)-1)&amp;" of "&amp;CHOOSE($Z481,3,3,2,2,3))&amp;" | Total Day "&amp;MAX(0,NETWORKDAYS($N481,TODAY(),Holidays)-1))</f>
        <v/>
      </c>
      <c r="X481" s="18"/>
      <c r="Y481" s="18"/>
      <c r="Z481" s="17">
        <f>IF($N481="","",COUNT($N481:$S481))</f>
        <v/>
      </c>
      <c r="AA481" s="19">
        <f>IF($Z481="","",INT(INDEX($N481:$S481,$Z481)))</f>
        <v/>
      </c>
      <c r="AB481" s="19">
        <f>IF(OR($Z481="",$Z481=6),"",WORKDAY($AA481,CHOOSE($Z481,3,3,2,2,3),Holidays))</f>
        <v/>
      </c>
      <c r="AC481" s="17">
        <f>IF(OR($Z481="",$Z481=6),"",CHOOSE($Z481,"1st Email Follow-up","2nd Email Follow-up","Escalate Local Office","Escalate to CBE","Escalate to Roxanne"))</f>
        <v/>
      </c>
    </row>
    <row r="482" spans="13:29">
      <c r="M482" s="14"/>
      <c r="T482" s="16"/>
      <c r="U482" s="17">
        <f>IF(AND(COUNTA($A482:$L482)=0,$N482=""),"",IF($T482="Paid","PAID",IF($T482="Closed","CLOSED",IF($Z482="","",IF($Z482=6,"ESCALATED TO ROXANNE",IF(TODAY()&gt;$AB482,"OVERDUE",IF($AB482&lt;=WORKDAY(TODAY(),1,Holidays),"DUE TOMORROW",IF($Z482=4,"ESCALATED TO LOCAL OFFICE",IF($Z482=5,"ESCALATED TO CBE",IF($AA482=TODAY(),"EMAIL SENT","MONITORING"))))))))))</f>
        <v/>
      </c>
      <c r="V482" s="17">
        <f>IF($U482="",IF(AND(COUNTA($A482:$L482)&gt;0,$N482=""),"Awaiting Collection Email time stamp.",""),IF(OR($U482="PAID",$U482="CLOSED"),IF($U482="PAID","Account paid. Action completed.","Account closed. No further action required."),CHOOSE($Z482,"Collection Email","1st Email Follow-up","2nd Email Follow-up","Escalation to Local Office","Escalation to CBE","Escalation to Roxanne")&amp;" sent "&amp;TEXT($AA482,"dd-mmm")&amp;". "&amp;IF($Z482=6,"Final escalation completed.",IF($U482="OVERDUE","Next: "&amp;$AC482&amp;" was due "&amp;TEXT($AB482,"dd-mmm")&amp;" - "&amp;(NETWORKDAYS($AB482,TODAY(),Holidays)-1)&amp;" business day(s) late. Send now.",IF($U482="DUE TOMORROW","Next: "&amp;$AC482&amp;IF($AB482&lt;=TODAY()," is due TODAY ("," is due next business day (")&amp;TEXT($AB482,"dd-mmm")&amp;").","Next: "&amp;$AC482&amp;" due "&amp;TEXT($AB482,"dd-mmm")&amp;" ("&amp;(NETWORKDAYS(TODAY(),$AB482,Holidays)-1)&amp;" business day(s) left).")))))</f>
        <v/>
      </c>
      <c r="W482" s="17">
        <f>IF($Z482="","",CHOOSE($Z482,"Collection Email","1st Follow-up","2nd Follow-up","Local Office","CBE","Roxanne")&amp;IF($Z482=6," - Final"," - Day "&amp;MAX(0,NETWORKDAYS($AA482,TODAY(),Holidays)-1)&amp;" of "&amp;CHOOSE($Z482,3,3,2,2,3))&amp;" | Total Day "&amp;MAX(0,NETWORKDAYS($N482,TODAY(),Holidays)-1))</f>
        <v/>
      </c>
      <c r="X482" s="18"/>
      <c r="Y482" s="18"/>
      <c r="Z482" s="17">
        <f>IF($N482="","",COUNT($N482:$S482))</f>
        <v/>
      </c>
      <c r="AA482" s="19">
        <f>IF($Z482="","",INT(INDEX($N482:$S482,$Z482)))</f>
        <v/>
      </c>
      <c r="AB482" s="19">
        <f>IF(OR($Z482="",$Z482=6),"",WORKDAY($AA482,CHOOSE($Z482,3,3,2,2,3),Holidays))</f>
        <v/>
      </c>
      <c r="AC482" s="17">
        <f>IF(OR($Z482="",$Z482=6),"",CHOOSE($Z482,"1st Email Follow-up","2nd Email Follow-up","Escalate Local Office","Escalate to CBE","Escalate to Roxanne"))</f>
        <v/>
      </c>
    </row>
    <row r="483" spans="13:29">
      <c r="M483" s="14"/>
      <c r="T483" s="16"/>
      <c r="U483" s="17">
        <f>IF(AND(COUNTA($A483:$L483)=0,$N483=""),"",IF($T483="Paid","PAID",IF($T483="Closed","CLOSED",IF($Z483="","",IF($Z483=6,"ESCALATED TO ROXANNE",IF(TODAY()&gt;$AB483,"OVERDUE",IF($AB483&lt;=WORKDAY(TODAY(),1,Holidays),"DUE TOMORROW",IF($Z483=4,"ESCALATED TO LOCAL OFFICE",IF($Z483=5,"ESCALATED TO CBE",IF($AA483=TODAY(),"EMAIL SENT","MONITORING"))))))))))</f>
        <v/>
      </c>
      <c r="V483" s="17">
        <f>IF($U483="",IF(AND(COUNTA($A483:$L483)&gt;0,$N483=""),"Awaiting Collection Email time stamp.",""),IF(OR($U483="PAID",$U483="CLOSED"),IF($U483="PAID","Account paid. Action completed.","Account closed. No further action required."),CHOOSE($Z483,"Collection Email","1st Email Follow-up","2nd Email Follow-up","Escalation to Local Office","Escalation to CBE","Escalation to Roxanne")&amp;" sent "&amp;TEXT($AA483,"dd-mmm")&amp;". "&amp;IF($Z483=6,"Final escalation completed.",IF($U483="OVERDUE","Next: "&amp;$AC483&amp;" was due "&amp;TEXT($AB483,"dd-mmm")&amp;" - "&amp;(NETWORKDAYS($AB483,TODAY(),Holidays)-1)&amp;" business day(s) late. Send now.",IF($U483="DUE TOMORROW","Next: "&amp;$AC483&amp;IF($AB483&lt;=TODAY()," is due TODAY ("," is due next business day (")&amp;TEXT($AB483,"dd-mmm")&amp;").","Next: "&amp;$AC483&amp;" due "&amp;TEXT($AB483,"dd-mmm")&amp;" ("&amp;(NETWORKDAYS(TODAY(),$AB483,Holidays)-1)&amp;" business day(s) left).")))))</f>
        <v/>
      </c>
      <c r="W483" s="17">
        <f>IF($Z483="","",CHOOSE($Z483,"Collection Email","1st Follow-up","2nd Follow-up","Local Office","CBE","Roxanne")&amp;IF($Z483=6," - Final"," - Day "&amp;MAX(0,NETWORKDAYS($AA483,TODAY(),Holidays)-1)&amp;" of "&amp;CHOOSE($Z483,3,3,2,2,3))&amp;" | Total Day "&amp;MAX(0,NETWORKDAYS($N483,TODAY(),Holidays)-1))</f>
        <v/>
      </c>
      <c r="X483" s="18"/>
      <c r="Y483" s="18"/>
      <c r="Z483" s="17">
        <f>IF($N483="","",COUNT($N483:$S483))</f>
        <v/>
      </c>
      <c r="AA483" s="19">
        <f>IF($Z483="","",INT(INDEX($N483:$S483,$Z483)))</f>
        <v/>
      </c>
      <c r="AB483" s="19">
        <f>IF(OR($Z483="",$Z483=6),"",WORKDAY($AA483,CHOOSE($Z483,3,3,2,2,3),Holidays))</f>
        <v/>
      </c>
      <c r="AC483" s="17">
        <f>IF(OR($Z483="",$Z483=6),"",CHOOSE($Z483,"1st Email Follow-up","2nd Email Follow-up","Escalate Local Office","Escalate to CBE","Escalate to Roxanne"))</f>
        <v/>
      </c>
    </row>
    <row r="484" spans="13:29">
      <c r="M484" s="14"/>
      <c r="T484" s="16"/>
      <c r="U484" s="17">
        <f>IF(AND(COUNTA($A484:$L484)=0,$N484=""),"",IF($T484="Paid","PAID",IF($T484="Closed","CLOSED",IF($Z484="","",IF($Z484=6,"ESCALATED TO ROXANNE",IF(TODAY()&gt;$AB484,"OVERDUE",IF($AB484&lt;=WORKDAY(TODAY(),1,Holidays),"DUE TOMORROW",IF($Z484=4,"ESCALATED TO LOCAL OFFICE",IF($Z484=5,"ESCALATED TO CBE",IF($AA484=TODAY(),"EMAIL SENT","MONITORING"))))))))))</f>
        <v/>
      </c>
      <c r="V484" s="17">
        <f>IF($U484="",IF(AND(COUNTA($A484:$L484)&gt;0,$N484=""),"Awaiting Collection Email time stamp.",""),IF(OR($U484="PAID",$U484="CLOSED"),IF($U484="PAID","Account paid. Action completed.","Account closed. No further action required."),CHOOSE($Z484,"Collection Email","1st Email Follow-up","2nd Email Follow-up","Escalation to Local Office","Escalation to CBE","Escalation to Roxanne")&amp;" sent "&amp;TEXT($AA484,"dd-mmm")&amp;". "&amp;IF($Z484=6,"Final escalation completed.",IF($U484="OVERDUE","Next: "&amp;$AC484&amp;" was due "&amp;TEXT($AB484,"dd-mmm")&amp;" - "&amp;(NETWORKDAYS($AB484,TODAY(),Holidays)-1)&amp;" business day(s) late. Send now.",IF($U484="DUE TOMORROW","Next: "&amp;$AC484&amp;IF($AB484&lt;=TODAY()," is due TODAY ("," is due next business day (")&amp;TEXT($AB484,"dd-mmm")&amp;").","Next: "&amp;$AC484&amp;" due "&amp;TEXT($AB484,"dd-mmm")&amp;" ("&amp;(NETWORKDAYS(TODAY(),$AB484,Holidays)-1)&amp;" business day(s) left).")))))</f>
        <v/>
      </c>
      <c r="W484" s="17">
        <f>IF($Z484="","",CHOOSE($Z484,"Collection Email","1st Follow-up","2nd Follow-up","Local Office","CBE","Roxanne")&amp;IF($Z484=6," - Final"," - Day "&amp;MAX(0,NETWORKDAYS($AA484,TODAY(),Holidays)-1)&amp;" of "&amp;CHOOSE($Z484,3,3,2,2,3))&amp;" | Total Day "&amp;MAX(0,NETWORKDAYS($N484,TODAY(),Holidays)-1))</f>
        <v/>
      </c>
      <c r="X484" s="18"/>
      <c r="Y484" s="18"/>
      <c r="Z484" s="17">
        <f>IF($N484="","",COUNT($N484:$S484))</f>
        <v/>
      </c>
      <c r="AA484" s="19">
        <f>IF($Z484="","",INT(INDEX($N484:$S484,$Z484)))</f>
        <v/>
      </c>
      <c r="AB484" s="19">
        <f>IF(OR($Z484="",$Z484=6),"",WORKDAY($AA484,CHOOSE($Z484,3,3,2,2,3),Holidays))</f>
        <v/>
      </c>
      <c r="AC484" s="17">
        <f>IF(OR($Z484="",$Z484=6),"",CHOOSE($Z484,"1st Email Follow-up","2nd Email Follow-up","Escalate Local Office","Escalate to CBE","Escalate to Roxanne"))</f>
        <v/>
      </c>
    </row>
    <row r="485" spans="13:29">
      <c r="M485" s="14"/>
      <c r="T485" s="16"/>
      <c r="U485" s="17">
        <f>IF(AND(COUNTA($A485:$L485)=0,$N485=""),"",IF($T485="Paid","PAID",IF($T485="Closed","CLOSED",IF($Z485="","",IF($Z485=6,"ESCALATED TO ROXANNE",IF(TODAY()&gt;$AB485,"OVERDUE",IF($AB485&lt;=WORKDAY(TODAY(),1,Holidays),"DUE TOMORROW",IF($Z485=4,"ESCALATED TO LOCAL OFFICE",IF($Z485=5,"ESCALATED TO CBE",IF($AA485=TODAY(),"EMAIL SENT","MONITORING"))))))))))</f>
        <v/>
      </c>
      <c r="V485" s="17">
        <f>IF($U485="",IF(AND(COUNTA($A485:$L485)&gt;0,$N485=""),"Awaiting Collection Email time stamp.",""),IF(OR($U485="PAID",$U485="CLOSED"),IF($U485="PAID","Account paid. Action completed.","Account closed. No further action required."),CHOOSE($Z485,"Collection Email","1st Email Follow-up","2nd Email Follow-up","Escalation to Local Office","Escalation to CBE","Escalation to Roxanne")&amp;" sent "&amp;TEXT($AA485,"dd-mmm")&amp;". "&amp;IF($Z485=6,"Final escalation completed.",IF($U485="OVERDUE","Next: "&amp;$AC485&amp;" was due "&amp;TEXT($AB485,"dd-mmm")&amp;" - "&amp;(NETWORKDAYS($AB485,TODAY(),Holidays)-1)&amp;" business day(s) late. Send now.",IF($U485="DUE TOMORROW","Next: "&amp;$AC485&amp;IF($AB485&lt;=TODAY()," is due TODAY ("," is due next business day (")&amp;TEXT($AB485,"dd-mmm")&amp;").","Next: "&amp;$AC485&amp;" due "&amp;TEXT($AB485,"dd-mmm")&amp;" ("&amp;(NETWORKDAYS(TODAY(),$AB485,Holidays)-1)&amp;" business day(s) left).")))))</f>
        <v/>
      </c>
      <c r="W485" s="17">
        <f>IF($Z485="","",CHOOSE($Z485,"Collection Email","1st Follow-up","2nd Follow-up","Local Office","CBE","Roxanne")&amp;IF($Z485=6," - Final"," - Day "&amp;MAX(0,NETWORKDAYS($AA485,TODAY(),Holidays)-1)&amp;" of "&amp;CHOOSE($Z485,3,3,2,2,3))&amp;" | Total Day "&amp;MAX(0,NETWORKDAYS($N485,TODAY(),Holidays)-1))</f>
        <v/>
      </c>
      <c r="X485" s="18"/>
      <c r="Y485" s="18"/>
      <c r="Z485" s="17">
        <f>IF($N485="","",COUNT($N485:$S485))</f>
        <v/>
      </c>
      <c r="AA485" s="19">
        <f>IF($Z485="","",INT(INDEX($N485:$S485,$Z485)))</f>
        <v/>
      </c>
      <c r="AB485" s="19">
        <f>IF(OR($Z485="",$Z485=6),"",WORKDAY($AA485,CHOOSE($Z485,3,3,2,2,3),Holidays))</f>
        <v/>
      </c>
      <c r="AC485" s="17">
        <f>IF(OR($Z485="",$Z485=6),"",CHOOSE($Z485,"1st Email Follow-up","2nd Email Follow-up","Escalate Local Office","Escalate to CBE","Escalate to Roxanne"))</f>
        <v/>
      </c>
    </row>
    <row r="486" spans="13:29">
      <c r="M486" s="14"/>
      <c r="T486" s="16"/>
      <c r="U486" s="17">
        <f>IF(AND(COUNTA($A486:$L486)=0,$N486=""),"",IF($T486="Paid","PAID",IF($T486="Closed","CLOSED",IF($Z486="","",IF($Z486=6,"ESCALATED TO ROXANNE",IF(TODAY()&gt;$AB486,"OVERDUE",IF($AB486&lt;=WORKDAY(TODAY(),1,Holidays),"DUE TOMORROW",IF($Z486=4,"ESCALATED TO LOCAL OFFICE",IF($Z486=5,"ESCALATED TO CBE",IF($AA486=TODAY(),"EMAIL SENT","MONITORING"))))))))))</f>
        <v/>
      </c>
      <c r="V486" s="17">
        <f>IF($U486="",IF(AND(COUNTA($A486:$L486)&gt;0,$N486=""),"Awaiting Collection Email time stamp.",""),IF(OR($U486="PAID",$U486="CLOSED"),IF($U486="PAID","Account paid. Action completed.","Account closed. No further action required."),CHOOSE($Z486,"Collection Email","1st Email Follow-up","2nd Email Follow-up","Escalation to Local Office","Escalation to CBE","Escalation to Roxanne")&amp;" sent "&amp;TEXT($AA486,"dd-mmm")&amp;". "&amp;IF($Z486=6,"Final escalation completed.",IF($U486="OVERDUE","Next: "&amp;$AC486&amp;" was due "&amp;TEXT($AB486,"dd-mmm")&amp;" - "&amp;(NETWORKDAYS($AB486,TODAY(),Holidays)-1)&amp;" business day(s) late. Send now.",IF($U486="DUE TOMORROW","Next: "&amp;$AC486&amp;IF($AB486&lt;=TODAY()," is due TODAY ("," is due next business day (")&amp;TEXT($AB486,"dd-mmm")&amp;").","Next: "&amp;$AC486&amp;" due "&amp;TEXT($AB486,"dd-mmm")&amp;" ("&amp;(NETWORKDAYS(TODAY(),$AB486,Holidays)-1)&amp;" business day(s) left).")))))</f>
        <v/>
      </c>
      <c r="W486" s="17">
        <f>IF($Z486="","",CHOOSE($Z486,"Collection Email","1st Follow-up","2nd Follow-up","Local Office","CBE","Roxanne")&amp;IF($Z486=6," - Final"," - Day "&amp;MAX(0,NETWORKDAYS($AA486,TODAY(),Holidays)-1)&amp;" of "&amp;CHOOSE($Z486,3,3,2,2,3))&amp;" | Total Day "&amp;MAX(0,NETWORKDAYS($N486,TODAY(),Holidays)-1))</f>
        <v/>
      </c>
      <c r="X486" s="18"/>
      <c r="Y486" s="18"/>
      <c r="Z486" s="17">
        <f>IF($N486="","",COUNT($N486:$S486))</f>
        <v/>
      </c>
      <c r="AA486" s="19">
        <f>IF($Z486="","",INT(INDEX($N486:$S486,$Z486)))</f>
        <v/>
      </c>
      <c r="AB486" s="19">
        <f>IF(OR($Z486="",$Z486=6),"",WORKDAY($AA486,CHOOSE($Z486,3,3,2,2,3),Holidays))</f>
        <v/>
      </c>
      <c r="AC486" s="17">
        <f>IF(OR($Z486="",$Z486=6),"",CHOOSE($Z486,"1st Email Follow-up","2nd Email Follow-up","Escalate Local Office","Escalate to CBE","Escalate to Roxanne"))</f>
        <v/>
      </c>
    </row>
    <row r="487" spans="13:29">
      <c r="M487" s="14"/>
      <c r="T487" s="16"/>
      <c r="U487" s="17">
        <f>IF(AND(COUNTA($A487:$L487)=0,$N487=""),"",IF($T487="Paid","PAID",IF($T487="Closed","CLOSED",IF($Z487="","",IF($Z487=6,"ESCALATED TO ROXANNE",IF(TODAY()&gt;$AB487,"OVERDUE",IF($AB487&lt;=WORKDAY(TODAY(),1,Holidays),"DUE TOMORROW",IF($Z487=4,"ESCALATED TO LOCAL OFFICE",IF($Z487=5,"ESCALATED TO CBE",IF($AA487=TODAY(),"EMAIL SENT","MONITORING"))))))))))</f>
        <v/>
      </c>
      <c r="V487" s="17">
        <f>IF($U487="",IF(AND(COUNTA($A487:$L487)&gt;0,$N487=""),"Awaiting Collection Email time stamp.",""),IF(OR($U487="PAID",$U487="CLOSED"),IF($U487="PAID","Account paid. Action completed.","Account closed. No further action required."),CHOOSE($Z487,"Collection Email","1st Email Follow-up","2nd Email Follow-up","Escalation to Local Office","Escalation to CBE","Escalation to Roxanne")&amp;" sent "&amp;TEXT($AA487,"dd-mmm")&amp;". "&amp;IF($Z487=6,"Final escalation completed.",IF($U487="OVERDUE","Next: "&amp;$AC487&amp;" was due "&amp;TEXT($AB487,"dd-mmm")&amp;" - "&amp;(NETWORKDAYS($AB487,TODAY(),Holidays)-1)&amp;" business day(s) late. Send now.",IF($U487="DUE TOMORROW","Next: "&amp;$AC487&amp;IF($AB487&lt;=TODAY()," is due TODAY ("," is due next business day (")&amp;TEXT($AB487,"dd-mmm")&amp;").","Next: "&amp;$AC487&amp;" due "&amp;TEXT($AB487,"dd-mmm")&amp;" ("&amp;(NETWORKDAYS(TODAY(),$AB487,Holidays)-1)&amp;" business day(s) left).")))))</f>
        <v/>
      </c>
      <c r="W487" s="17">
        <f>IF($Z487="","",CHOOSE($Z487,"Collection Email","1st Follow-up","2nd Follow-up","Local Office","CBE","Roxanne")&amp;IF($Z487=6," - Final"," - Day "&amp;MAX(0,NETWORKDAYS($AA487,TODAY(),Holidays)-1)&amp;" of "&amp;CHOOSE($Z487,3,3,2,2,3))&amp;" | Total Day "&amp;MAX(0,NETWORKDAYS($N487,TODAY(),Holidays)-1))</f>
        <v/>
      </c>
      <c r="X487" s="18"/>
      <c r="Y487" s="18"/>
      <c r="Z487" s="17">
        <f>IF($N487="","",COUNT($N487:$S487))</f>
        <v/>
      </c>
      <c r="AA487" s="19">
        <f>IF($Z487="","",INT(INDEX($N487:$S487,$Z487)))</f>
        <v/>
      </c>
      <c r="AB487" s="19">
        <f>IF(OR($Z487="",$Z487=6),"",WORKDAY($AA487,CHOOSE($Z487,3,3,2,2,3),Holidays))</f>
        <v/>
      </c>
      <c r="AC487" s="17">
        <f>IF(OR($Z487="",$Z487=6),"",CHOOSE($Z487,"1st Email Follow-up","2nd Email Follow-up","Escalate Local Office","Escalate to CBE","Escalate to Roxanne"))</f>
        <v/>
      </c>
    </row>
    <row r="488" spans="13:29">
      <c r="M488" s="14"/>
      <c r="T488" s="16"/>
      <c r="U488" s="17">
        <f>IF(AND(COUNTA($A488:$L488)=0,$N488=""),"",IF($T488="Paid","PAID",IF($T488="Closed","CLOSED",IF($Z488="","",IF($Z488=6,"ESCALATED TO ROXANNE",IF(TODAY()&gt;$AB488,"OVERDUE",IF($AB488&lt;=WORKDAY(TODAY(),1,Holidays),"DUE TOMORROW",IF($Z488=4,"ESCALATED TO LOCAL OFFICE",IF($Z488=5,"ESCALATED TO CBE",IF($AA488=TODAY(),"EMAIL SENT","MONITORING"))))))))))</f>
        <v/>
      </c>
      <c r="V488" s="17">
        <f>IF($U488="",IF(AND(COUNTA($A488:$L488)&gt;0,$N488=""),"Awaiting Collection Email time stamp.",""),IF(OR($U488="PAID",$U488="CLOSED"),IF($U488="PAID","Account paid. Action completed.","Account closed. No further action required."),CHOOSE($Z488,"Collection Email","1st Email Follow-up","2nd Email Follow-up","Escalation to Local Office","Escalation to CBE","Escalation to Roxanne")&amp;" sent "&amp;TEXT($AA488,"dd-mmm")&amp;". "&amp;IF($Z488=6,"Final escalation completed.",IF($U488="OVERDUE","Next: "&amp;$AC488&amp;" was due "&amp;TEXT($AB488,"dd-mmm")&amp;" - "&amp;(NETWORKDAYS($AB488,TODAY(),Holidays)-1)&amp;" business day(s) late. Send now.",IF($U488="DUE TOMORROW","Next: "&amp;$AC488&amp;IF($AB488&lt;=TODAY()," is due TODAY ("," is due next business day (")&amp;TEXT($AB488,"dd-mmm")&amp;").","Next: "&amp;$AC488&amp;" due "&amp;TEXT($AB488,"dd-mmm")&amp;" ("&amp;(NETWORKDAYS(TODAY(),$AB488,Holidays)-1)&amp;" business day(s) left).")))))</f>
        <v/>
      </c>
      <c r="W488" s="17">
        <f>IF($Z488="","",CHOOSE($Z488,"Collection Email","1st Follow-up","2nd Follow-up","Local Office","CBE","Roxanne")&amp;IF($Z488=6," - Final"," - Day "&amp;MAX(0,NETWORKDAYS($AA488,TODAY(),Holidays)-1)&amp;" of "&amp;CHOOSE($Z488,3,3,2,2,3))&amp;" | Total Day "&amp;MAX(0,NETWORKDAYS($N488,TODAY(),Holidays)-1))</f>
        <v/>
      </c>
      <c r="X488" s="18"/>
      <c r="Y488" s="18"/>
      <c r="Z488" s="17">
        <f>IF($N488="","",COUNT($N488:$S488))</f>
        <v/>
      </c>
      <c r="AA488" s="19">
        <f>IF($Z488="","",INT(INDEX($N488:$S488,$Z488)))</f>
        <v/>
      </c>
      <c r="AB488" s="19">
        <f>IF(OR($Z488="",$Z488=6),"",WORKDAY($AA488,CHOOSE($Z488,3,3,2,2,3),Holidays))</f>
        <v/>
      </c>
      <c r="AC488" s="17">
        <f>IF(OR($Z488="",$Z488=6),"",CHOOSE($Z488,"1st Email Follow-up","2nd Email Follow-up","Escalate Local Office","Escalate to CBE","Escalate to Roxanne"))</f>
        <v/>
      </c>
    </row>
    <row r="489" spans="13:29">
      <c r="M489" s="14"/>
      <c r="T489" s="16"/>
      <c r="U489" s="17">
        <f>IF(AND(COUNTA($A489:$L489)=0,$N489=""),"",IF($T489="Paid","PAID",IF($T489="Closed","CLOSED",IF($Z489="","",IF($Z489=6,"ESCALATED TO ROXANNE",IF(TODAY()&gt;$AB489,"OVERDUE",IF($AB489&lt;=WORKDAY(TODAY(),1,Holidays),"DUE TOMORROW",IF($Z489=4,"ESCALATED TO LOCAL OFFICE",IF($Z489=5,"ESCALATED TO CBE",IF($AA489=TODAY(),"EMAIL SENT","MONITORING"))))))))))</f>
        <v/>
      </c>
      <c r="V489" s="17">
        <f>IF($U489="",IF(AND(COUNTA($A489:$L489)&gt;0,$N489=""),"Awaiting Collection Email time stamp.",""),IF(OR($U489="PAID",$U489="CLOSED"),IF($U489="PAID","Account paid. Action completed.","Account closed. No further action required."),CHOOSE($Z489,"Collection Email","1st Email Follow-up","2nd Email Follow-up","Escalation to Local Office","Escalation to CBE","Escalation to Roxanne")&amp;" sent "&amp;TEXT($AA489,"dd-mmm")&amp;". "&amp;IF($Z489=6,"Final escalation completed.",IF($U489="OVERDUE","Next: "&amp;$AC489&amp;" was due "&amp;TEXT($AB489,"dd-mmm")&amp;" - "&amp;(NETWORKDAYS($AB489,TODAY(),Holidays)-1)&amp;" business day(s) late. Send now.",IF($U489="DUE TOMORROW","Next: "&amp;$AC489&amp;IF($AB489&lt;=TODAY()," is due TODAY ("," is due next business day (")&amp;TEXT($AB489,"dd-mmm")&amp;").","Next: "&amp;$AC489&amp;" due "&amp;TEXT($AB489,"dd-mmm")&amp;" ("&amp;(NETWORKDAYS(TODAY(),$AB489,Holidays)-1)&amp;" business day(s) left).")))))</f>
        <v/>
      </c>
      <c r="W489" s="17">
        <f>IF($Z489="","",CHOOSE($Z489,"Collection Email","1st Follow-up","2nd Follow-up","Local Office","CBE","Roxanne")&amp;IF($Z489=6," - Final"," - Day "&amp;MAX(0,NETWORKDAYS($AA489,TODAY(),Holidays)-1)&amp;" of "&amp;CHOOSE($Z489,3,3,2,2,3))&amp;" | Total Day "&amp;MAX(0,NETWORKDAYS($N489,TODAY(),Holidays)-1))</f>
        <v/>
      </c>
      <c r="X489" s="18"/>
      <c r="Y489" s="18"/>
      <c r="Z489" s="17">
        <f>IF($N489="","",COUNT($N489:$S489))</f>
        <v/>
      </c>
      <c r="AA489" s="19">
        <f>IF($Z489="","",INT(INDEX($N489:$S489,$Z489)))</f>
        <v/>
      </c>
      <c r="AB489" s="19">
        <f>IF(OR($Z489="",$Z489=6),"",WORKDAY($AA489,CHOOSE($Z489,3,3,2,2,3),Holidays))</f>
        <v/>
      </c>
      <c r="AC489" s="17">
        <f>IF(OR($Z489="",$Z489=6),"",CHOOSE($Z489,"1st Email Follow-up","2nd Email Follow-up","Escalate Local Office","Escalate to CBE","Escalate to Roxanne"))</f>
        <v/>
      </c>
    </row>
    <row r="490" spans="13:29">
      <c r="M490" s="14"/>
      <c r="T490" s="16"/>
      <c r="U490" s="17">
        <f>IF(AND(COUNTA($A490:$L490)=0,$N490=""),"",IF($T490="Paid","PAID",IF($T490="Closed","CLOSED",IF($Z490="","",IF($Z490=6,"ESCALATED TO ROXANNE",IF(TODAY()&gt;$AB490,"OVERDUE",IF($AB490&lt;=WORKDAY(TODAY(),1,Holidays),"DUE TOMORROW",IF($Z490=4,"ESCALATED TO LOCAL OFFICE",IF($Z490=5,"ESCALATED TO CBE",IF($AA490=TODAY(),"EMAIL SENT","MONITORING"))))))))))</f>
        <v/>
      </c>
      <c r="V490" s="17">
        <f>IF($U490="",IF(AND(COUNTA($A490:$L490)&gt;0,$N490=""),"Awaiting Collection Email time stamp.",""),IF(OR($U490="PAID",$U490="CLOSED"),IF($U490="PAID","Account paid. Action completed.","Account closed. No further action required."),CHOOSE($Z490,"Collection Email","1st Email Follow-up","2nd Email Follow-up","Escalation to Local Office","Escalation to CBE","Escalation to Roxanne")&amp;" sent "&amp;TEXT($AA490,"dd-mmm")&amp;". "&amp;IF($Z490=6,"Final escalation completed.",IF($U490="OVERDUE","Next: "&amp;$AC490&amp;" was due "&amp;TEXT($AB490,"dd-mmm")&amp;" - "&amp;(NETWORKDAYS($AB490,TODAY(),Holidays)-1)&amp;" business day(s) late. Send now.",IF($U490="DUE TOMORROW","Next: "&amp;$AC490&amp;IF($AB490&lt;=TODAY()," is due TODAY ("," is due next business day (")&amp;TEXT($AB490,"dd-mmm")&amp;").","Next: "&amp;$AC490&amp;" due "&amp;TEXT($AB490,"dd-mmm")&amp;" ("&amp;(NETWORKDAYS(TODAY(),$AB490,Holidays)-1)&amp;" business day(s) left).")))))</f>
        <v/>
      </c>
      <c r="W490" s="17">
        <f>IF($Z490="","",CHOOSE($Z490,"Collection Email","1st Follow-up","2nd Follow-up","Local Office","CBE","Roxanne")&amp;IF($Z490=6," - Final"," - Day "&amp;MAX(0,NETWORKDAYS($AA490,TODAY(),Holidays)-1)&amp;" of "&amp;CHOOSE($Z490,3,3,2,2,3))&amp;" | Total Day "&amp;MAX(0,NETWORKDAYS($N490,TODAY(),Holidays)-1))</f>
        <v/>
      </c>
      <c r="X490" s="18"/>
      <c r="Y490" s="18"/>
      <c r="Z490" s="17">
        <f>IF($N490="","",COUNT($N490:$S490))</f>
        <v/>
      </c>
      <c r="AA490" s="19">
        <f>IF($Z490="","",INT(INDEX($N490:$S490,$Z490)))</f>
        <v/>
      </c>
      <c r="AB490" s="19">
        <f>IF(OR($Z490="",$Z490=6),"",WORKDAY($AA490,CHOOSE($Z490,3,3,2,2,3),Holidays))</f>
        <v/>
      </c>
      <c r="AC490" s="17">
        <f>IF(OR($Z490="",$Z490=6),"",CHOOSE($Z490,"1st Email Follow-up","2nd Email Follow-up","Escalate Local Office","Escalate to CBE","Escalate to Roxanne"))</f>
        <v/>
      </c>
    </row>
    <row r="491" spans="13:29">
      <c r="M491" s="14"/>
      <c r="T491" s="16"/>
      <c r="U491" s="17">
        <f>IF(AND(COUNTA($A491:$L491)=0,$N491=""),"",IF($T491="Paid","PAID",IF($T491="Closed","CLOSED",IF($Z491="","",IF($Z491=6,"ESCALATED TO ROXANNE",IF(TODAY()&gt;$AB491,"OVERDUE",IF($AB491&lt;=WORKDAY(TODAY(),1,Holidays),"DUE TOMORROW",IF($Z491=4,"ESCALATED TO LOCAL OFFICE",IF($Z491=5,"ESCALATED TO CBE",IF($AA491=TODAY(),"EMAIL SENT","MONITORING"))))))))))</f>
        <v/>
      </c>
      <c r="V491" s="17">
        <f>IF($U491="",IF(AND(COUNTA($A491:$L491)&gt;0,$N491=""),"Awaiting Collection Email time stamp.",""),IF(OR($U491="PAID",$U491="CLOSED"),IF($U491="PAID","Account paid. Action completed.","Account closed. No further action required."),CHOOSE($Z491,"Collection Email","1st Email Follow-up","2nd Email Follow-up","Escalation to Local Office","Escalation to CBE","Escalation to Roxanne")&amp;" sent "&amp;TEXT($AA491,"dd-mmm")&amp;". "&amp;IF($Z491=6,"Final escalation completed.",IF($U491="OVERDUE","Next: "&amp;$AC491&amp;" was due "&amp;TEXT($AB491,"dd-mmm")&amp;" - "&amp;(NETWORKDAYS($AB491,TODAY(),Holidays)-1)&amp;" business day(s) late. Send now.",IF($U491="DUE TOMORROW","Next: "&amp;$AC491&amp;IF($AB491&lt;=TODAY()," is due TODAY ("," is due next business day (")&amp;TEXT($AB491,"dd-mmm")&amp;").","Next: "&amp;$AC491&amp;" due "&amp;TEXT($AB491,"dd-mmm")&amp;" ("&amp;(NETWORKDAYS(TODAY(),$AB491,Holidays)-1)&amp;" business day(s) left).")))))</f>
        <v/>
      </c>
      <c r="W491" s="17">
        <f>IF($Z491="","",CHOOSE($Z491,"Collection Email","1st Follow-up","2nd Follow-up","Local Office","CBE","Roxanne")&amp;IF($Z491=6," - Final"," - Day "&amp;MAX(0,NETWORKDAYS($AA491,TODAY(),Holidays)-1)&amp;" of "&amp;CHOOSE($Z491,3,3,2,2,3))&amp;" | Total Day "&amp;MAX(0,NETWORKDAYS($N491,TODAY(),Holidays)-1))</f>
        <v/>
      </c>
      <c r="X491" s="18"/>
      <c r="Y491" s="18"/>
      <c r="Z491" s="17">
        <f>IF($N491="","",COUNT($N491:$S491))</f>
        <v/>
      </c>
      <c r="AA491" s="19">
        <f>IF($Z491="","",INT(INDEX($N491:$S491,$Z491)))</f>
        <v/>
      </c>
      <c r="AB491" s="19">
        <f>IF(OR($Z491="",$Z491=6),"",WORKDAY($AA491,CHOOSE($Z491,3,3,2,2,3),Holidays))</f>
        <v/>
      </c>
      <c r="AC491" s="17">
        <f>IF(OR($Z491="",$Z491=6),"",CHOOSE($Z491,"1st Email Follow-up","2nd Email Follow-up","Escalate Local Office","Escalate to CBE","Escalate to Roxanne"))</f>
        <v/>
      </c>
    </row>
    <row r="492" spans="13:29">
      <c r="M492" s="14"/>
      <c r="T492" s="16"/>
      <c r="U492" s="17">
        <f>IF(AND(COUNTA($A492:$L492)=0,$N492=""),"",IF($T492="Paid","PAID",IF($T492="Closed","CLOSED",IF($Z492="","",IF($Z492=6,"ESCALATED TO ROXANNE",IF(TODAY()&gt;$AB492,"OVERDUE",IF($AB492&lt;=WORKDAY(TODAY(),1,Holidays),"DUE TOMORROW",IF($Z492=4,"ESCALATED TO LOCAL OFFICE",IF($Z492=5,"ESCALATED TO CBE",IF($AA492=TODAY(),"EMAIL SENT","MONITORING"))))))))))</f>
        <v/>
      </c>
      <c r="V492" s="17">
        <f>IF($U492="",IF(AND(COUNTA($A492:$L492)&gt;0,$N492=""),"Awaiting Collection Email time stamp.",""),IF(OR($U492="PAID",$U492="CLOSED"),IF($U492="PAID","Account paid. Action completed.","Account closed. No further action required."),CHOOSE($Z492,"Collection Email","1st Email Follow-up","2nd Email Follow-up","Escalation to Local Office","Escalation to CBE","Escalation to Roxanne")&amp;" sent "&amp;TEXT($AA492,"dd-mmm")&amp;". "&amp;IF($Z492=6,"Final escalation completed.",IF($U492="OVERDUE","Next: "&amp;$AC492&amp;" was due "&amp;TEXT($AB492,"dd-mmm")&amp;" - "&amp;(NETWORKDAYS($AB492,TODAY(),Holidays)-1)&amp;" business day(s) late. Send now.",IF($U492="DUE TOMORROW","Next: "&amp;$AC492&amp;IF($AB492&lt;=TODAY()," is due TODAY ("," is due next business day (")&amp;TEXT($AB492,"dd-mmm")&amp;").","Next: "&amp;$AC492&amp;" due "&amp;TEXT($AB492,"dd-mmm")&amp;" ("&amp;(NETWORKDAYS(TODAY(),$AB492,Holidays)-1)&amp;" business day(s) left).")))))</f>
        <v/>
      </c>
      <c r="W492" s="17">
        <f>IF($Z492="","",CHOOSE($Z492,"Collection Email","1st Follow-up","2nd Follow-up","Local Office","CBE","Roxanne")&amp;IF($Z492=6," - Final"," - Day "&amp;MAX(0,NETWORKDAYS($AA492,TODAY(),Holidays)-1)&amp;" of "&amp;CHOOSE($Z492,3,3,2,2,3))&amp;" | Total Day "&amp;MAX(0,NETWORKDAYS($N492,TODAY(),Holidays)-1))</f>
        <v/>
      </c>
      <c r="X492" s="18"/>
      <c r="Y492" s="18"/>
      <c r="Z492" s="17">
        <f>IF($N492="","",COUNT($N492:$S492))</f>
        <v/>
      </c>
      <c r="AA492" s="19">
        <f>IF($Z492="","",INT(INDEX($N492:$S492,$Z492)))</f>
        <v/>
      </c>
      <c r="AB492" s="19">
        <f>IF(OR($Z492="",$Z492=6),"",WORKDAY($AA492,CHOOSE($Z492,3,3,2,2,3),Holidays))</f>
        <v/>
      </c>
      <c r="AC492" s="17">
        <f>IF(OR($Z492="",$Z492=6),"",CHOOSE($Z492,"1st Email Follow-up","2nd Email Follow-up","Escalate Local Office","Escalate to CBE","Escalate to Roxanne"))</f>
        <v/>
      </c>
    </row>
    <row r="493" spans="13:29">
      <c r="M493" s="14"/>
      <c r="T493" s="16"/>
      <c r="U493" s="17">
        <f>IF(AND(COUNTA($A493:$L493)=0,$N493=""),"",IF($T493="Paid","PAID",IF($T493="Closed","CLOSED",IF($Z493="","",IF($Z493=6,"ESCALATED TO ROXANNE",IF(TODAY()&gt;$AB493,"OVERDUE",IF($AB493&lt;=WORKDAY(TODAY(),1,Holidays),"DUE TOMORROW",IF($Z493=4,"ESCALATED TO LOCAL OFFICE",IF($Z493=5,"ESCALATED TO CBE",IF($AA493=TODAY(),"EMAIL SENT","MONITORING"))))))))))</f>
        <v/>
      </c>
      <c r="V493" s="17">
        <f>IF($U493="",IF(AND(COUNTA($A493:$L493)&gt;0,$N493=""),"Awaiting Collection Email time stamp.",""),IF(OR($U493="PAID",$U493="CLOSED"),IF($U493="PAID","Account paid. Action completed.","Account closed. No further action required."),CHOOSE($Z493,"Collection Email","1st Email Follow-up","2nd Email Follow-up","Escalation to Local Office","Escalation to CBE","Escalation to Roxanne")&amp;" sent "&amp;TEXT($AA493,"dd-mmm")&amp;". "&amp;IF($Z493=6,"Final escalation completed.",IF($U493="OVERDUE","Next: "&amp;$AC493&amp;" was due "&amp;TEXT($AB493,"dd-mmm")&amp;" - "&amp;(NETWORKDAYS($AB493,TODAY(),Holidays)-1)&amp;" business day(s) late. Send now.",IF($U493="DUE TOMORROW","Next: "&amp;$AC493&amp;IF($AB493&lt;=TODAY()," is due TODAY ("," is due next business day (")&amp;TEXT($AB493,"dd-mmm")&amp;").","Next: "&amp;$AC493&amp;" due "&amp;TEXT($AB493,"dd-mmm")&amp;" ("&amp;(NETWORKDAYS(TODAY(),$AB493,Holidays)-1)&amp;" business day(s) left).")))))</f>
        <v/>
      </c>
      <c r="W493" s="17">
        <f>IF($Z493="","",CHOOSE($Z493,"Collection Email","1st Follow-up","2nd Follow-up","Local Office","CBE","Roxanne")&amp;IF($Z493=6," - Final"," - Day "&amp;MAX(0,NETWORKDAYS($AA493,TODAY(),Holidays)-1)&amp;" of "&amp;CHOOSE($Z493,3,3,2,2,3))&amp;" | Total Day "&amp;MAX(0,NETWORKDAYS($N493,TODAY(),Holidays)-1))</f>
        <v/>
      </c>
      <c r="X493" s="18"/>
      <c r="Y493" s="18"/>
      <c r="Z493" s="17">
        <f>IF($N493="","",COUNT($N493:$S493))</f>
        <v/>
      </c>
      <c r="AA493" s="19">
        <f>IF($Z493="","",INT(INDEX($N493:$S493,$Z493)))</f>
        <v/>
      </c>
      <c r="AB493" s="19">
        <f>IF(OR($Z493="",$Z493=6),"",WORKDAY($AA493,CHOOSE($Z493,3,3,2,2,3),Holidays))</f>
        <v/>
      </c>
      <c r="AC493" s="17">
        <f>IF(OR($Z493="",$Z493=6),"",CHOOSE($Z493,"1st Email Follow-up","2nd Email Follow-up","Escalate Local Office","Escalate to CBE","Escalate to Roxanne"))</f>
        <v/>
      </c>
    </row>
    <row r="494" spans="13:29">
      <c r="M494" s="14"/>
      <c r="T494" s="16"/>
      <c r="U494" s="17">
        <f>IF(AND(COUNTA($A494:$L494)=0,$N494=""),"",IF($T494="Paid","PAID",IF($T494="Closed","CLOSED",IF($Z494="","",IF($Z494=6,"ESCALATED TO ROXANNE",IF(TODAY()&gt;$AB494,"OVERDUE",IF($AB494&lt;=WORKDAY(TODAY(),1,Holidays),"DUE TOMORROW",IF($Z494=4,"ESCALATED TO LOCAL OFFICE",IF($Z494=5,"ESCALATED TO CBE",IF($AA494=TODAY(),"EMAIL SENT","MONITORING"))))))))))</f>
        <v/>
      </c>
      <c r="V494" s="17">
        <f>IF($U494="",IF(AND(COUNTA($A494:$L494)&gt;0,$N494=""),"Awaiting Collection Email time stamp.",""),IF(OR($U494="PAID",$U494="CLOSED"),IF($U494="PAID","Account paid. Action completed.","Account closed. No further action required."),CHOOSE($Z494,"Collection Email","1st Email Follow-up","2nd Email Follow-up","Escalation to Local Office","Escalation to CBE","Escalation to Roxanne")&amp;" sent "&amp;TEXT($AA494,"dd-mmm")&amp;". "&amp;IF($Z494=6,"Final escalation completed.",IF($U494="OVERDUE","Next: "&amp;$AC494&amp;" was due "&amp;TEXT($AB494,"dd-mmm")&amp;" - "&amp;(NETWORKDAYS($AB494,TODAY(),Holidays)-1)&amp;" business day(s) late. Send now.",IF($U494="DUE TOMORROW","Next: "&amp;$AC494&amp;IF($AB494&lt;=TODAY()," is due TODAY ("," is due next business day (")&amp;TEXT($AB494,"dd-mmm")&amp;").","Next: "&amp;$AC494&amp;" due "&amp;TEXT($AB494,"dd-mmm")&amp;" ("&amp;(NETWORKDAYS(TODAY(),$AB494,Holidays)-1)&amp;" business day(s) left).")))))</f>
        <v/>
      </c>
      <c r="W494" s="17">
        <f>IF($Z494="","",CHOOSE($Z494,"Collection Email","1st Follow-up","2nd Follow-up","Local Office","CBE","Roxanne")&amp;IF($Z494=6," - Final"," - Day "&amp;MAX(0,NETWORKDAYS($AA494,TODAY(),Holidays)-1)&amp;" of "&amp;CHOOSE($Z494,3,3,2,2,3))&amp;" | Total Day "&amp;MAX(0,NETWORKDAYS($N494,TODAY(),Holidays)-1))</f>
        <v/>
      </c>
      <c r="X494" s="18"/>
      <c r="Y494" s="18"/>
      <c r="Z494" s="17">
        <f>IF($N494="","",COUNT($N494:$S494))</f>
        <v/>
      </c>
      <c r="AA494" s="19">
        <f>IF($Z494="","",INT(INDEX($N494:$S494,$Z494)))</f>
        <v/>
      </c>
      <c r="AB494" s="19">
        <f>IF(OR($Z494="",$Z494=6),"",WORKDAY($AA494,CHOOSE($Z494,3,3,2,2,3),Holidays))</f>
        <v/>
      </c>
      <c r="AC494" s="17">
        <f>IF(OR($Z494="",$Z494=6),"",CHOOSE($Z494,"1st Email Follow-up","2nd Email Follow-up","Escalate Local Office","Escalate to CBE","Escalate to Roxanne"))</f>
        <v/>
      </c>
    </row>
    <row r="495" spans="13:29">
      <c r="M495" s="14"/>
      <c r="T495" s="16"/>
      <c r="U495" s="17">
        <f>IF(AND(COUNTA($A495:$L495)=0,$N495=""),"",IF($T495="Paid","PAID",IF($T495="Closed","CLOSED",IF($Z495="","",IF($Z495=6,"ESCALATED TO ROXANNE",IF(TODAY()&gt;$AB495,"OVERDUE",IF($AB495&lt;=WORKDAY(TODAY(),1,Holidays),"DUE TOMORROW",IF($Z495=4,"ESCALATED TO LOCAL OFFICE",IF($Z495=5,"ESCALATED TO CBE",IF($AA495=TODAY(),"EMAIL SENT","MONITORING"))))))))))</f>
        <v/>
      </c>
      <c r="V495" s="17">
        <f>IF($U495="",IF(AND(COUNTA($A495:$L495)&gt;0,$N495=""),"Awaiting Collection Email time stamp.",""),IF(OR($U495="PAID",$U495="CLOSED"),IF($U495="PAID","Account paid. Action completed.","Account closed. No further action required."),CHOOSE($Z495,"Collection Email","1st Email Follow-up","2nd Email Follow-up","Escalation to Local Office","Escalation to CBE","Escalation to Roxanne")&amp;" sent "&amp;TEXT($AA495,"dd-mmm")&amp;". "&amp;IF($Z495=6,"Final escalation completed.",IF($U495="OVERDUE","Next: "&amp;$AC495&amp;" was due "&amp;TEXT($AB495,"dd-mmm")&amp;" - "&amp;(NETWORKDAYS($AB495,TODAY(),Holidays)-1)&amp;" business day(s) late. Send now.",IF($U495="DUE TOMORROW","Next: "&amp;$AC495&amp;IF($AB495&lt;=TODAY()," is due TODAY ("," is due next business day (")&amp;TEXT($AB495,"dd-mmm")&amp;").","Next: "&amp;$AC495&amp;" due "&amp;TEXT($AB495,"dd-mmm")&amp;" ("&amp;(NETWORKDAYS(TODAY(),$AB495,Holidays)-1)&amp;" business day(s) left).")))))</f>
        <v/>
      </c>
      <c r="W495" s="17">
        <f>IF($Z495="","",CHOOSE($Z495,"Collection Email","1st Follow-up","2nd Follow-up","Local Office","CBE","Roxanne")&amp;IF($Z495=6," - Final"," - Day "&amp;MAX(0,NETWORKDAYS($AA495,TODAY(),Holidays)-1)&amp;" of "&amp;CHOOSE($Z495,3,3,2,2,3))&amp;" | Total Day "&amp;MAX(0,NETWORKDAYS($N495,TODAY(),Holidays)-1))</f>
        <v/>
      </c>
      <c r="X495" s="18"/>
      <c r="Y495" s="18"/>
      <c r="Z495" s="17">
        <f>IF($N495="","",COUNT($N495:$S495))</f>
        <v/>
      </c>
      <c r="AA495" s="19">
        <f>IF($Z495="","",INT(INDEX($N495:$S495,$Z495)))</f>
        <v/>
      </c>
      <c r="AB495" s="19">
        <f>IF(OR($Z495="",$Z495=6),"",WORKDAY($AA495,CHOOSE($Z495,3,3,2,2,3),Holidays))</f>
        <v/>
      </c>
      <c r="AC495" s="17">
        <f>IF(OR($Z495="",$Z495=6),"",CHOOSE($Z495,"1st Email Follow-up","2nd Email Follow-up","Escalate Local Office","Escalate to CBE","Escalate to Roxanne"))</f>
        <v/>
      </c>
    </row>
    <row r="496" spans="13:29">
      <c r="M496" s="14"/>
      <c r="T496" s="16"/>
      <c r="U496" s="17">
        <f>IF(AND(COUNTA($A496:$L496)=0,$N496=""),"",IF($T496="Paid","PAID",IF($T496="Closed","CLOSED",IF($Z496="","",IF($Z496=6,"ESCALATED TO ROXANNE",IF(TODAY()&gt;$AB496,"OVERDUE",IF($AB496&lt;=WORKDAY(TODAY(),1,Holidays),"DUE TOMORROW",IF($Z496=4,"ESCALATED TO LOCAL OFFICE",IF($Z496=5,"ESCALATED TO CBE",IF($AA496=TODAY(),"EMAIL SENT","MONITORING"))))))))))</f>
        <v/>
      </c>
      <c r="V496" s="17">
        <f>IF($U496="",IF(AND(COUNTA($A496:$L496)&gt;0,$N496=""),"Awaiting Collection Email time stamp.",""),IF(OR($U496="PAID",$U496="CLOSED"),IF($U496="PAID","Account paid. Action completed.","Account closed. No further action required."),CHOOSE($Z496,"Collection Email","1st Email Follow-up","2nd Email Follow-up","Escalation to Local Office","Escalation to CBE","Escalation to Roxanne")&amp;" sent "&amp;TEXT($AA496,"dd-mmm")&amp;". "&amp;IF($Z496=6,"Final escalation completed.",IF($U496="OVERDUE","Next: "&amp;$AC496&amp;" was due "&amp;TEXT($AB496,"dd-mmm")&amp;" - "&amp;(NETWORKDAYS($AB496,TODAY(),Holidays)-1)&amp;" business day(s) late. Send now.",IF($U496="DUE TOMORROW","Next: "&amp;$AC496&amp;IF($AB496&lt;=TODAY()," is due TODAY ("," is due next business day (")&amp;TEXT($AB496,"dd-mmm")&amp;").","Next: "&amp;$AC496&amp;" due "&amp;TEXT($AB496,"dd-mmm")&amp;" ("&amp;(NETWORKDAYS(TODAY(),$AB496,Holidays)-1)&amp;" business day(s) left).")))))</f>
        <v/>
      </c>
      <c r="W496" s="17">
        <f>IF($Z496="","",CHOOSE($Z496,"Collection Email","1st Follow-up","2nd Follow-up","Local Office","CBE","Roxanne")&amp;IF($Z496=6," - Final"," - Day "&amp;MAX(0,NETWORKDAYS($AA496,TODAY(),Holidays)-1)&amp;" of "&amp;CHOOSE($Z496,3,3,2,2,3))&amp;" | Total Day "&amp;MAX(0,NETWORKDAYS($N496,TODAY(),Holidays)-1))</f>
        <v/>
      </c>
      <c r="X496" s="18"/>
      <c r="Y496" s="18"/>
      <c r="Z496" s="17">
        <f>IF($N496="","",COUNT($N496:$S496))</f>
        <v/>
      </c>
      <c r="AA496" s="19">
        <f>IF($Z496="","",INT(INDEX($N496:$S496,$Z496)))</f>
        <v/>
      </c>
      <c r="AB496" s="19">
        <f>IF(OR($Z496="",$Z496=6),"",WORKDAY($AA496,CHOOSE($Z496,3,3,2,2,3),Holidays))</f>
        <v/>
      </c>
      <c r="AC496" s="17">
        <f>IF(OR($Z496="",$Z496=6),"",CHOOSE($Z496,"1st Email Follow-up","2nd Email Follow-up","Escalate Local Office","Escalate to CBE","Escalate to Roxanne"))</f>
        <v/>
      </c>
    </row>
    <row r="497" spans="13:29">
      <c r="M497" s="14"/>
      <c r="T497" s="16"/>
      <c r="U497" s="17">
        <f>IF(AND(COUNTA($A497:$L497)=0,$N497=""),"",IF($T497="Paid","PAID",IF($T497="Closed","CLOSED",IF($Z497="","",IF($Z497=6,"ESCALATED TO ROXANNE",IF(TODAY()&gt;$AB497,"OVERDUE",IF($AB497&lt;=WORKDAY(TODAY(),1,Holidays),"DUE TOMORROW",IF($Z497=4,"ESCALATED TO LOCAL OFFICE",IF($Z497=5,"ESCALATED TO CBE",IF($AA497=TODAY(),"EMAIL SENT","MONITORING"))))))))))</f>
        <v/>
      </c>
      <c r="V497" s="17">
        <f>IF($U497="",IF(AND(COUNTA($A497:$L497)&gt;0,$N497=""),"Awaiting Collection Email time stamp.",""),IF(OR($U497="PAID",$U497="CLOSED"),IF($U497="PAID","Account paid. Action completed.","Account closed. No further action required."),CHOOSE($Z497,"Collection Email","1st Email Follow-up","2nd Email Follow-up","Escalation to Local Office","Escalation to CBE","Escalation to Roxanne")&amp;" sent "&amp;TEXT($AA497,"dd-mmm")&amp;". "&amp;IF($Z497=6,"Final escalation completed.",IF($U497="OVERDUE","Next: "&amp;$AC497&amp;" was due "&amp;TEXT($AB497,"dd-mmm")&amp;" - "&amp;(NETWORKDAYS($AB497,TODAY(),Holidays)-1)&amp;" business day(s) late. Send now.",IF($U497="DUE TOMORROW","Next: "&amp;$AC497&amp;IF($AB497&lt;=TODAY()," is due TODAY ("," is due next business day (")&amp;TEXT($AB497,"dd-mmm")&amp;").","Next: "&amp;$AC497&amp;" due "&amp;TEXT($AB497,"dd-mmm")&amp;" ("&amp;(NETWORKDAYS(TODAY(),$AB497,Holidays)-1)&amp;" business day(s) left).")))))</f>
        <v/>
      </c>
      <c r="W497" s="17">
        <f>IF($Z497="","",CHOOSE($Z497,"Collection Email","1st Follow-up","2nd Follow-up","Local Office","CBE","Roxanne")&amp;IF($Z497=6," - Final"," - Day "&amp;MAX(0,NETWORKDAYS($AA497,TODAY(),Holidays)-1)&amp;" of "&amp;CHOOSE($Z497,3,3,2,2,3))&amp;" | Total Day "&amp;MAX(0,NETWORKDAYS($N497,TODAY(),Holidays)-1))</f>
        <v/>
      </c>
      <c r="X497" s="18"/>
      <c r="Y497" s="18"/>
      <c r="Z497" s="17">
        <f>IF($N497="","",COUNT($N497:$S497))</f>
        <v/>
      </c>
      <c r="AA497" s="19">
        <f>IF($Z497="","",INT(INDEX($N497:$S497,$Z497)))</f>
        <v/>
      </c>
      <c r="AB497" s="19">
        <f>IF(OR($Z497="",$Z497=6),"",WORKDAY($AA497,CHOOSE($Z497,3,3,2,2,3),Holidays))</f>
        <v/>
      </c>
      <c r="AC497" s="17">
        <f>IF(OR($Z497="",$Z497=6),"",CHOOSE($Z497,"1st Email Follow-up","2nd Email Follow-up","Escalate Local Office","Escalate to CBE","Escalate to Roxanne"))</f>
        <v/>
      </c>
    </row>
    <row r="498" spans="13:29">
      <c r="M498" s="14"/>
      <c r="T498" s="16"/>
      <c r="U498" s="17">
        <f>IF(AND(COUNTA($A498:$L498)=0,$N498=""),"",IF($T498="Paid","PAID",IF($T498="Closed","CLOSED",IF($Z498="","",IF($Z498=6,"ESCALATED TO ROXANNE",IF(TODAY()&gt;$AB498,"OVERDUE",IF($AB498&lt;=WORKDAY(TODAY(),1,Holidays),"DUE TOMORROW",IF($Z498=4,"ESCALATED TO LOCAL OFFICE",IF($Z498=5,"ESCALATED TO CBE",IF($AA498=TODAY(),"EMAIL SENT","MONITORING"))))))))))</f>
        <v/>
      </c>
      <c r="V498" s="17">
        <f>IF($U498="",IF(AND(COUNTA($A498:$L498)&gt;0,$N498=""),"Awaiting Collection Email time stamp.",""),IF(OR($U498="PAID",$U498="CLOSED"),IF($U498="PAID","Account paid. Action completed.","Account closed. No further action required."),CHOOSE($Z498,"Collection Email","1st Email Follow-up","2nd Email Follow-up","Escalation to Local Office","Escalation to CBE","Escalation to Roxanne")&amp;" sent "&amp;TEXT($AA498,"dd-mmm")&amp;". "&amp;IF($Z498=6,"Final escalation completed.",IF($U498="OVERDUE","Next: "&amp;$AC498&amp;" was due "&amp;TEXT($AB498,"dd-mmm")&amp;" - "&amp;(NETWORKDAYS($AB498,TODAY(),Holidays)-1)&amp;" business day(s) late. Send now.",IF($U498="DUE TOMORROW","Next: "&amp;$AC498&amp;IF($AB498&lt;=TODAY()," is due TODAY ("," is due next business day (")&amp;TEXT($AB498,"dd-mmm")&amp;").","Next: "&amp;$AC498&amp;" due "&amp;TEXT($AB498,"dd-mmm")&amp;" ("&amp;(NETWORKDAYS(TODAY(),$AB498,Holidays)-1)&amp;" business day(s) left).")))))</f>
        <v/>
      </c>
      <c r="W498" s="17">
        <f>IF($Z498="","",CHOOSE($Z498,"Collection Email","1st Follow-up","2nd Follow-up","Local Office","CBE","Roxanne")&amp;IF($Z498=6," - Final"," - Day "&amp;MAX(0,NETWORKDAYS($AA498,TODAY(),Holidays)-1)&amp;" of "&amp;CHOOSE($Z498,3,3,2,2,3))&amp;" | Total Day "&amp;MAX(0,NETWORKDAYS($N498,TODAY(),Holidays)-1))</f>
        <v/>
      </c>
      <c r="X498" s="18"/>
      <c r="Y498" s="18"/>
      <c r="Z498" s="17">
        <f>IF($N498="","",COUNT($N498:$S498))</f>
        <v/>
      </c>
      <c r="AA498" s="19">
        <f>IF($Z498="","",INT(INDEX($N498:$S498,$Z498)))</f>
        <v/>
      </c>
      <c r="AB498" s="19">
        <f>IF(OR($Z498="",$Z498=6),"",WORKDAY($AA498,CHOOSE($Z498,3,3,2,2,3),Holidays))</f>
        <v/>
      </c>
      <c r="AC498" s="17">
        <f>IF(OR($Z498="",$Z498=6),"",CHOOSE($Z498,"1st Email Follow-up","2nd Email Follow-up","Escalate Local Office","Escalate to CBE","Escalate to Roxanne"))</f>
        <v/>
      </c>
    </row>
    <row r="499" spans="13:29">
      <c r="M499" s="14"/>
      <c r="T499" s="16"/>
      <c r="U499" s="17">
        <f>IF(AND(COUNTA($A499:$L499)=0,$N499=""),"",IF($T499="Paid","PAID",IF($T499="Closed","CLOSED",IF($Z499="","",IF($Z499=6,"ESCALATED TO ROXANNE",IF(TODAY()&gt;$AB499,"OVERDUE",IF($AB499&lt;=WORKDAY(TODAY(),1,Holidays),"DUE TOMORROW",IF($Z499=4,"ESCALATED TO LOCAL OFFICE",IF($Z499=5,"ESCALATED TO CBE",IF($AA499=TODAY(),"EMAIL SENT","MONITORING"))))))))))</f>
        <v/>
      </c>
      <c r="V499" s="17">
        <f>IF($U499="",IF(AND(COUNTA($A499:$L499)&gt;0,$N499=""),"Awaiting Collection Email time stamp.",""),IF(OR($U499="PAID",$U499="CLOSED"),IF($U499="PAID","Account paid. Action completed.","Account closed. No further action required."),CHOOSE($Z499,"Collection Email","1st Email Follow-up","2nd Email Follow-up","Escalation to Local Office","Escalation to CBE","Escalation to Roxanne")&amp;" sent "&amp;TEXT($AA499,"dd-mmm")&amp;". "&amp;IF($Z499=6,"Final escalation completed.",IF($U499="OVERDUE","Next: "&amp;$AC499&amp;" was due "&amp;TEXT($AB499,"dd-mmm")&amp;" - "&amp;(NETWORKDAYS($AB499,TODAY(),Holidays)-1)&amp;" business day(s) late. Send now.",IF($U499="DUE TOMORROW","Next: "&amp;$AC499&amp;IF($AB499&lt;=TODAY()," is due TODAY ("," is due next business day (")&amp;TEXT($AB499,"dd-mmm")&amp;").","Next: "&amp;$AC499&amp;" due "&amp;TEXT($AB499,"dd-mmm")&amp;" ("&amp;(NETWORKDAYS(TODAY(),$AB499,Holidays)-1)&amp;" business day(s) left).")))))</f>
        <v/>
      </c>
      <c r="W499" s="17">
        <f>IF($Z499="","",CHOOSE($Z499,"Collection Email","1st Follow-up","2nd Follow-up","Local Office","CBE","Roxanne")&amp;IF($Z499=6," - Final"," - Day "&amp;MAX(0,NETWORKDAYS($AA499,TODAY(),Holidays)-1)&amp;" of "&amp;CHOOSE($Z499,3,3,2,2,3))&amp;" | Total Day "&amp;MAX(0,NETWORKDAYS($N499,TODAY(),Holidays)-1))</f>
        <v/>
      </c>
      <c r="X499" s="18"/>
      <c r="Y499" s="18"/>
      <c r="Z499" s="17">
        <f>IF($N499="","",COUNT($N499:$S499))</f>
        <v/>
      </c>
      <c r="AA499" s="19">
        <f>IF($Z499="","",INT(INDEX($N499:$S499,$Z499)))</f>
        <v/>
      </c>
      <c r="AB499" s="19">
        <f>IF(OR($Z499="",$Z499=6),"",WORKDAY($AA499,CHOOSE($Z499,3,3,2,2,3),Holidays))</f>
        <v/>
      </c>
      <c r="AC499" s="17">
        <f>IF(OR($Z499="",$Z499=6),"",CHOOSE($Z499,"1st Email Follow-up","2nd Email Follow-up","Escalate Local Office","Escalate to CBE","Escalate to Roxanne"))</f>
        <v/>
      </c>
    </row>
    <row r="500" spans="13:29">
      <c r="M500" s="14"/>
      <c r="T500" s="16"/>
      <c r="U500" s="17">
        <f>IF(AND(COUNTA($A500:$L500)=0,$N500=""),"",IF($T500="Paid","PAID",IF($T500="Closed","CLOSED",IF($Z500="","",IF($Z500=6,"ESCALATED TO ROXANNE",IF(TODAY()&gt;$AB500,"OVERDUE",IF($AB500&lt;=WORKDAY(TODAY(),1,Holidays),"DUE TOMORROW",IF($Z500=4,"ESCALATED TO LOCAL OFFICE",IF($Z500=5,"ESCALATED TO CBE",IF($AA500=TODAY(),"EMAIL SENT","MONITORING"))))))))))</f>
        <v/>
      </c>
      <c r="V500" s="17">
        <f>IF($U500="",IF(AND(COUNTA($A500:$L500)&gt;0,$N500=""),"Awaiting Collection Email time stamp.",""),IF(OR($U500="PAID",$U500="CLOSED"),IF($U500="PAID","Account paid. Action completed.","Account closed. No further action required."),CHOOSE($Z500,"Collection Email","1st Email Follow-up","2nd Email Follow-up","Escalation to Local Office","Escalation to CBE","Escalation to Roxanne")&amp;" sent "&amp;TEXT($AA500,"dd-mmm")&amp;". "&amp;IF($Z500=6,"Final escalation completed.",IF($U500="OVERDUE","Next: "&amp;$AC500&amp;" was due "&amp;TEXT($AB500,"dd-mmm")&amp;" - "&amp;(NETWORKDAYS($AB500,TODAY(),Holidays)-1)&amp;" business day(s) late. Send now.",IF($U500="DUE TOMORROW","Next: "&amp;$AC500&amp;IF($AB500&lt;=TODAY()," is due TODAY ("," is due next business day (")&amp;TEXT($AB500,"dd-mmm")&amp;").","Next: "&amp;$AC500&amp;" due "&amp;TEXT($AB500,"dd-mmm")&amp;" ("&amp;(NETWORKDAYS(TODAY(),$AB500,Holidays)-1)&amp;" business day(s) left).")))))</f>
        <v/>
      </c>
      <c r="W500" s="17">
        <f>IF($Z500="","",CHOOSE($Z500,"Collection Email","1st Follow-up","2nd Follow-up","Local Office","CBE","Roxanne")&amp;IF($Z500=6," - Final"," - Day "&amp;MAX(0,NETWORKDAYS($AA500,TODAY(),Holidays)-1)&amp;" of "&amp;CHOOSE($Z500,3,3,2,2,3))&amp;" | Total Day "&amp;MAX(0,NETWORKDAYS($N500,TODAY(),Holidays)-1))</f>
        <v/>
      </c>
      <c r="X500" s="18"/>
      <c r="Y500" s="18"/>
      <c r="Z500" s="17">
        <f>IF($N500="","",COUNT($N500:$S500))</f>
        <v/>
      </c>
      <c r="AA500" s="19">
        <f>IF($Z500="","",INT(INDEX($N500:$S500,$Z500)))</f>
        <v/>
      </c>
      <c r="AB500" s="19">
        <f>IF(OR($Z500="",$Z500=6),"",WORKDAY($AA500,CHOOSE($Z500,3,3,2,2,3),Holidays))</f>
        <v/>
      </c>
      <c r="AC500" s="17">
        <f>IF(OR($Z500="",$Z500=6),"",CHOOSE($Z500,"1st Email Follow-up","2nd Email Follow-up","Escalate Local Office","Escalate to CBE","Escalate to Roxanne"))</f>
        <v/>
      </c>
    </row>
    <row r="501" spans="13:29">
      <c r="M501" s="14"/>
      <c r="T501" s="16"/>
      <c r="U501" s="17">
        <f>IF(AND(COUNTA($A501:$L501)=0,$N501=""),"",IF($T501="Paid","PAID",IF($T501="Closed","CLOSED",IF($Z501="","",IF($Z501=6,"ESCALATED TO ROXANNE",IF(TODAY()&gt;$AB501,"OVERDUE",IF($AB501&lt;=WORKDAY(TODAY(),1,Holidays),"DUE TOMORROW",IF($Z501=4,"ESCALATED TO LOCAL OFFICE",IF($Z501=5,"ESCALATED TO CBE",IF($AA501=TODAY(),"EMAIL SENT","MONITORING"))))))))))</f>
        <v/>
      </c>
      <c r="V501" s="17">
        <f>IF($U501="",IF(AND(COUNTA($A501:$L501)&gt;0,$N501=""),"Awaiting Collection Email time stamp.",""),IF(OR($U501="PAID",$U501="CLOSED"),IF($U501="PAID","Account paid. Action completed.","Account closed. No further action required."),CHOOSE($Z501,"Collection Email","1st Email Follow-up","2nd Email Follow-up","Escalation to Local Office","Escalation to CBE","Escalation to Roxanne")&amp;" sent "&amp;TEXT($AA501,"dd-mmm")&amp;". "&amp;IF($Z501=6,"Final escalation completed.",IF($U501="OVERDUE","Next: "&amp;$AC501&amp;" was due "&amp;TEXT($AB501,"dd-mmm")&amp;" - "&amp;(NETWORKDAYS($AB501,TODAY(),Holidays)-1)&amp;" business day(s) late. Send now.",IF($U501="DUE TOMORROW","Next: "&amp;$AC501&amp;IF($AB501&lt;=TODAY()," is due TODAY ("," is due next business day (")&amp;TEXT($AB501,"dd-mmm")&amp;").","Next: "&amp;$AC501&amp;" due "&amp;TEXT($AB501,"dd-mmm")&amp;" ("&amp;(NETWORKDAYS(TODAY(),$AB501,Holidays)-1)&amp;" business day(s) left).")))))</f>
        <v/>
      </c>
      <c r="W501" s="17">
        <f>IF($Z501="","",CHOOSE($Z501,"Collection Email","1st Follow-up","2nd Follow-up","Local Office","CBE","Roxanne")&amp;IF($Z501=6," - Final"," - Day "&amp;MAX(0,NETWORKDAYS($AA501,TODAY(),Holidays)-1)&amp;" of "&amp;CHOOSE($Z501,3,3,2,2,3))&amp;" | Total Day "&amp;MAX(0,NETWORKDAYS($N501,TODAY(),Holidays)-1))</f>
        <v/>
      </c>
      <c r="X501" s="18"/>
      <c r="Y501" s="18"/>
      <c r="Z501" s="17">
        <f>IF($N501="","",COUNT($N501:$S501))</f>
        <v/>
      </c>
      <c r="AA501" s="19">
        <f>IF($Z501="","",INT(INDEX($N501:$S501,$Z501)))</f>
        <v/>
      </c>
      <c r="AB501" s="19">
        <f>IF(OR($Z501="",$Z501=6),"",WORKDAY($AA501,CHOOSE($Z501,3,3,2,2,3),Holidays))</f>
        <v/>
      </c>
      <c r="AC501" s="17">
        <f>IF(OR($Z501="",$Z501=6),"",CHOOSE($Z501,"1st Email Follow-up","2nd Email Follow-up","Escalate Local Office","Escalate to CBE","Escalate to Roxanne"))</f>
        <v/>
      </c>
    </row>
    <row r="502" spans="13:29">
      <c r="M502" s="14"/>
      <c r="T502" s="16"/>
      <c r="U502" s="17">
        <f>IF(AND(COUNTA($A502:$L502)=0,$N502=""),"",IF($T502="Paid","PAID",IF($T502="Closed","CLOSED",IF($Z502="","",IF($Z502=6,"ESCALATED TO ROXANNE",IF(TODAY()&gt;$AB502,"OVERDUE",IF($AB502&lt;=WORKDAY(TODAY(),1,Holidays),"DUE TOMORROW",IF($Z502=4,"ESCALATED TO LOCAL OFFICE",IF($Z502=5,"ESCALATED TO CBE",IF($AA502=TODAY(),"EMAIL SENT","MONITORING"))))))))))</f>
        <v/>
      </c>
      <c r="V502" s="17">
        <f>IF($U502="",IF(AND(COUNTA($A502:$L502)&gt;0,$N502=""),"Awaiting Collection Email time stamp.",""),IF(OR($U502="PAID",$U502="CLOSED"),IF($U502="PAID","Account paid. Action completed.","Account closed. No further action required."),CHOOSE($Z502,"Collection Email","1st Email Follow-up","2nd Email Follow-up","Escalation to Local Office","Escalation to CBE","Escalation to Roxanne")&amp;" sent "&amp;TEXT($AA502,"dd-mmm")&amp;". "&amp;IF($Z502=6,"Final escalation completed.",IF($U502="OVERDUE","Next: "&amp;$AC502&amp;" was due "&amp;TEXT($AB502,"dd-mmm")&amp;" - "&amp;(NETWORKDAYS($AB502,TODAY(),Holidays)-1)&amp;" business day(s) late. Send now.",IF($U502="DUE TOMORROW","Next: "&amp;$AC502&amp;IF($AB502&lt;=TODAY()," is due TODAY ("," is due next business day (")&amp;TEXT($AB502,"dd-mmm")&amp;").","Next: "&amp;$AC502&amp;" due "&amp;TEXT($AB502,"dd-mmm")&amp;" ("&amp;(NETWORKDAYS(TODAY(),$AB502,Holidays)-1)&amp;" business day(s) left).")))))</f>
        <v/>
      </c>
      <c r="W502" s="17">
        <f>IF($Z502="","",CHOOSE($Z502,"Collection Email","1st Follow-up","2nd Follow-up","Local Office","CBE","Roxanne")&amp;IF($Z502=6," - Final"," - Day "&amp;MAX(0,NETWORKDAYS($AA502,TODAY(),Holidays)-1)&amp;" of "&amp;CHOOSE($Z502,3,3,2,2,3))&amp;" | Total Day "&amp;MAX(0,NETWORKDAYS($N502,TODAY(),Holidays)-1))</f>
        <v/>
      </c>
      <c r="X502" s="18"/>
      <c r="Y502" s="18"/>
      <c r="Z502" s="17">
        <f>IF($N502="","",COUNT($N502:$S502))</f>
        <v/>
      </c>
      <c r="AA502" s="19">
        <f>IF($Z502="","",INT(INDEX($N502:$S502,$Z502)))</f>
        <v/>
      </c>
      <c r="AB502" s="19">
        <f>IF(OR($Z502="",$Z502=6),"",WORKDAY($AA502,CHOOSE($Z502,3,3,2,2,3),Holidays))</f>
        <v/>
      </c>
      <c r="AC502" s="17">
        <f>IF(OR($Z502="",$Z502=6),"",CHOOSE($Z502,"1st Email Follow-up","2nd Email Follow-up","Escalate Local Office","Escalate to CBE","Escalate to Roxanne"))</f>
        <v/>
      </c>
    </row>
    <row r="503" spans="13:29">
      <c r="M503" s="14"/>
      <c r="T503" s="16"/>
      <c r="U503" s="17">
        <f>IF(AND(COUNTA($A503:$L503)=0,$N503=""),"",IF($T503="Paid","PAID",IF($T503="Closed","CLOSED",IF($Z503="","",IF($Z503=6,"ESCALATED TO ROXANNE",IF(TODAY()&gt;$AB503,"OVERDUE",IF($AB503&lt;=WORKDAY(TODAY(),1,Holidays),"DUE TOMORROW",IF($Z503=4,"ESCALATED TO LOCAL OFFICE",IF($Z503=5,"ESCALATED TO CBE",IF($AA503=TODAY(),"EMAIL SENT","MONITORING"))))))))))</f>
        <v/>
      </c>
      <c r="V503" s="17">
        <f>IF($U503="",IF(AND(COUNTA($A503:$L503)&gt;0,$N503=""),"Awaiting Collection Email time stamp.",""),IF(OR($U503="PAID",$U503="CLOSED"),IF($U503="PAID","Account paid. Action completed.","Account closed. No further action required."),CHOOSE($Z503,"Collection Email","1st Email Follow-up","2nd Email Follow-up","Escalation to Local Office","Escalation to CBE","Escalation to Roxanne")&amp;" sent "&amp;TEXT($AA503,"dd-mmm")&amp;". "&amp;IF($Z503=6,"Final escalation completed.",IF($U503="OVERDUE","Next: "&amp;$AC503&amp;" was due "&amp;TEXT($AB503,"dd-mmm")&amp;" - "&amp;(NETWORKDAYS($AB503,TODAY(),Holidays)-1)&amp;" business day(s) late. Send now.",IF($U503="DUE TOMORROW","Next: "&amp;$AC503&amp;IF($AB503&lt;=TODAY()," is due TODAY ("," is due next business day (")&amp;TEXT($AB503,"dd-mmm")&amp;").","Next: "&amp;$AC503&amp;" due "&amp;TEXT($AB503,"dd-mmm")&amp;" ("&amp;(NETWORKDAYS(TODAY(),$AB503,Holidays)-1)&amp;" business day(s) left).")))))</f>
        <v/>
      </c>
      <c r="W503" s="17">
        <f>IF($Z503="","",CHOOSE($Z503,"Collection Email","1st Follow-up","2nd Follow-up","Local Office","CBE","Roxanne")&amp;IF($Z503=6," - Final"," - Day "&amp;MAX(0,NETWORKDAYS($AA503,TODAY(),Holidays)-1)&amp;" of "&amp;CHOOSE($Z503,3,3,2,2,3))&amp;" | Total Day "&amp;MAX(0,NETWORKDAYS($N503,TODAY(),Holidays)-1))</f>
        <v/>
      </c>
      <c r="X503" s="18"/>
      <c r="Y503" s="18"/>
      <c r="Z503" s="17">
        <f>IF($N503="","",COUNT($N503:$S503))</f>
        <v/>
      </c>
      <c r="AA503" s="19">
        <f>IF($Z503="","",INT(INDEX($N503:$S503,$Z503)))</f>
        <v/>
      </c>
      <c r="AB503" s="19">
        <f>IF(OR($Z503="",$Z503=6),"",WORKDAY($AA503,CHOOSE($Z503,3,3,2,2,3),Holidays))</f>
        <v/>
      </c>
      <c r="AC503" s="17">
        <f>IF(OR($Z503="",$Z503=6),"",CHOOSE($Z503,"1st Email Follow-up","2nd Email Follow-up","Escalate Local Office","Escalate to CBE","Escalate to Roxanne"))</f>
        <v/>
      </c>
    </row>
    <row r="504" spans="13:29">
      <c r="M504" s="14"/>
      <c r="T504" s="16"/>
      <c r="U504" s="17">
        <f>IF(AND(COUNTA($A504:$L504)=0,$N504=""),"",IF($T504="Paid","PAID",IF($T504="Closed","CLOSED",IF($Z504="","",IF($Z504=6,"ESCALATED TO ROXANNE",IF(TODAY()&gt;$AB504,"OVERDUE",IF($AB504&lt;=WORKDAY(TODAY(),1,Holidays),"DUE TOMORROW",IF($Z504=4,"ESCALATED TO LOCAL OFFICE",IF($Z504=5,"ESCALATED TO CBE",IF($AA504=TODAY(),"EMAIL SENT","MONITORING"))))))))))</f>
        <v/>
      </c>
      <c r="V504" s="17">
        <f>IF($U504="",IF(AND(COUNTA($A504:$L504)&gt;0,$N504=""),"Awaiting Collection Email time stamp.",""),IF(OR($U504="PAID",$U504="CLOSED"),IF($U504="PAID","Account paid. Action completed.","Account closed. No further action required."),CHOOSE($Z504,"Collection Email","1st Email Follow-up","2nd Email Follow-up","Escalation to Local Office","Escalation to CBE","Escalation to Roxanne")&amp;" sent "&amp;TEXT($AA504,"dd-mmm")&amp;". "&amp;IF($Z504=6,"Final escalation completed.",IF($U504="OVERDUE","Next: "&amp;$AC504&amp;" was due "&amp;TEXT($AB504,"dd-mmm")&amp;" - "&amp;(NETWORKDAYS($AB504,TODAY(),Holidays)-1)&amp;" business day(s) late. Send now.",IF($U504="DUE TOMORROW","Next: "&amp;$AC504&amp;IF($AB504&lt;=TODAY()," is due TODAY ("," is due next business day (")&amp;TEXT($AB504,"dd-mmm")&amp;").","Next: "&amp;$AC504&amp;" due "&amp;TEXT($AB504,"dd-mmm")&amp;" ("&amp;(NETWORKDAYS(TODAY(),$AB504,Holidays)-1)&amp;" business day(s) left).")))))</f>
        <v/>
      </c>
      <c r="W504" s="17">
        <f>IF($Z504="","",CHOOSE($Z504,"Collection Email","1st Follow-up","2nd Follow-up","Local Office","CBE","Roxanne")&amp;IF($Z504=6," - Final"," - Day "&amp;MAX(0,NETWORKDAYS($AA504,TODAY(),Holidays)-1)&amp;" of "&amp;CHOOSE($Z504,3,3,2,2,3))&amp;" | Total Day "&amp;MAX(0,NETWORKDAYS($N504,TODAY(),Holidays)-1))</f>
        <v/>
      </c>
      <c r="X504" s="18"/>
      <c r="Y504" s="18"/>
      <c r="Z504" s="17">
        <f>IF($N504="","",COUNT($N504:$S504))</f>
        <v/>
      </c>
      <c r="AA504" s="19">
        <f>IF($Z504="","",INT(INDEX($N504:$S504,$Z504)))</f>
        <v/>
      </c>
      <c r="AB504" s="19">
        <f>IF(OR($Z504="",$Z504=6),"",WORKDAY($AA504,CHOOSE($Z504,3,3,2,2,3),Holidays))</f>
        <v/>
      </c>
      <c r="AC504" s="17">
        <f>IF(OR($Z504="",$Z504=6),"",CHOOSE($Z504,"1st Email Follow-up","2nd Email Follow-up","Escalate Local Office","Escalate to CBE","Escalate to Roxanne"))</f>
        <v/>
      </c>
    </row>
    <row r="505" spans="13:29">
      <c r="M505" s="14"/>
      <c r="T505" s="16"/>
      <c r="U505" s="17">
        <f>IF(AND(COUNTA($A505:$L505)=0,$N505=""),"",IF($T505="Paid","PAID",IF($T505="Closed","CLOSED",IF($Z505="","",IF($Z505=6,"ESCALATED TO ROXANNE",IF(TODAY()&gt;$AB505,"OVERDUE",IF($AB505&lt;=WORKDAY(TODAY(),1,Holidays),"DUE TOMORROW",IF($Z505=4,"ESCALATED TO LOCAL OFFICE",IF($Z505=5,"ESCALATED TO CBE",IF($AA505=TODAY(),"EMAIL SENT","MONITORING"))))))))))</f>
        <v/>
      </c>
      <c r="V505" s="17">
        <f>IF($U505="",IF(AND(COUNTA($A505:$L505)&gt;0,$N505=""),"Awaiting Collection Email time stamp.",""),IF(OR($U505="PAID",$U505="CLOSED"),IF($U505="PAID","Account paid. Action completed.","Account closed. No further action required."),CHOOSE($Z505,"Collection Email","1st Email Follow-up","2nd Email Follow-up","Escalation to Local Office","Escalation to CBE","Escalation to Roxanne")&amp;" sent "&amp;TEXT($AA505,"dd-mmm")&amp;". "&amp;IF($Z505=6,"Final escalation completed.",IF($U505="OVERDUE","Next: "&amp;$AC505&amp;" was due "&amp;TEXT($AB505,"dd-mmm")&amp;" - "&amp;(NETWORKDAYS($AB505,TODAY(),Holidays)-1)&amp;" business day(s) late. Send now.",IF($U505="DUE TOMORROW","Next: "&amp;$AC505&amp;IF($AB505&lt;=TODAY()," is due TODAY ("," is due next business day (")&amp;TEXT($AB505,"dd-mmm")&amp;").","Next: "&amp;$AC505&amp;" due "&amp;TEXT($AB505,"dd-mmm")&amp;" ("&amp;(NETWORKDAYS(TODAY(),$AB505,Holidays)-1)&amp;" business day(s) left).")))))</f>
        <v/>
      </c>
      <c r="W505" s="17">
        <f>IF($Z505="","",CHOOSE($Z505,"Collection Email","1st Follow-up","2nd Follow-up","Local Office","CBE","Roxanne")&amp;IF($Z505=6," - Final"," - Day "&amp;MAX(0,NETWORKDAYS($AA505,TODAY(),Holidays)-1)&amp;" of "&amp;CHOOSE($Z505,3,3,2,2,3))&amp;" | Total Day "&amp;MAX(0,NETWORKDAYS($N505,TODAY(),Holidays)-1))</f>
        <v/>
      </c>
      <c r="X505" s="18"/>
      <c r="Y505" s="18"/>
      <c r="Z505" s="17">
        <f>IF($N505="","",COUNT($N505:$S505))</f>
        <v/>
      </c>
      <c r="AA505" s="19">
        <f>IF($Z505="","",INT(INDEX($N505:$S505,$Z505)))</f>
        <v/>
      </c>
      <c r="AB505" s="19">
        <f>IF(OR($Z505="",$Z505=6),"",WORKDAY($AA505,CHOOSE($Z505,3,3,2,2,3),Holidays))</f>
        <v/>
      </c>
      <c r="AC505" s="17">
        <f>IF(OR($Z505="",$Z505=6),"",CHOOSE($Z505,"1st Email Follow-up","2nd Email Follow-up","Escalate Local Office","Escalate to CBE","Escalate to Roxanne"))</f>
        <v/>
      </c>
    </row>
    <row r="506" spans="13:29">
      <c r="M506" s="14"/>
      <c r="T506" s="16"/>
      <c r="U506" s="17">
        <f>IF(AND(COUNTA($A506:$L506)=0,$N506=""),"",IF($T506="Paid","PAID",IF($T506="Closed","CLOSED",IF($Z506="","",IF($Z506=6,"ESCALATED TO ROXANNE",IF(TODAY()&gt;$AB506,"OVERDUE",IF($AB506&lt;=WORKDAY(TODAY(),1,Holidays),"DUE TOMORROW",IF($Z506=4,"ESCALATED TO LOCAL OFFICE",IF($Z506=5,"ESCALATED TO CBE",IF($AA506=TODAY(),"EMAIL SENT","MONITORING"))))))))))</f>
        <v/>
      </c>
      <c r="V506" s="17">
        <f>IF($U506="",IF(AND(COUNTA($A506:$L506)&gt;0,$N506=""),"Awaiting Collection Email time stamp.",""),IF(OR($U506="PAID",$U506="CLOSED"),IF($U506="PAID","Account paid. Action completed.","Account closed. No further action required."),CHOOSE($Z506,"Collection Email","1st Email Follow-up","2nd Email Follow-up","Escalation to Local Office","Escalation to CBE","Escalation to Roxanne")&amp;" sent "&amp;TEXT($AA506,"dd-mmm")&amp;". "&amp;IF($Z506=6,"Final escalation completed.",IF($U506="OVERDUE","Next: "&amp;$AC506&amp;" was due "&amp;TEXT($AB506,"dd-mmm")&amp;" - "&amp;(NETWORKDAYS($AB506,TODAY(),Holidays)-1)&amp;" business day(s) late. Send now.",IF($U506="DUE TOMORROW","Next: "&amp;$AC506&amp;IF($AB506&lt;=TODAY()," is due TODAY ("," is due next business day (")&amp;TEXT($AB506,"dd-mmm")&amp;").","Next: "&amp;$AC506&amp;" due "&amp;TEXT($AB506,"dd-mmm")&amp;" ("&amp;(NETWORKDAYS(TODAY(),$AB506,Holidays)-1)&amp;" business day(s) left).")))))</f>
        <v/>
      </c>
      <c r="W506" s="17">
        <f>IF($Z506="","",CHOOSE($Z506,"Collection Email","1st Follow-up","2nd Follow-up","Local Office","CBE","Roxanne")&amp;IF($Z506=6," - Final"," - Day "&amp;MAX(0,NETWORKDAYS($AA506,TODAY(),Holidays)-1)&amp;" of "&amp;CHOOSE($Z506,3,3,2,2,3))&amp;" | Total Day "&amp;MAX(0,NETWORKDAYS($N506,TODAY(),Holidays)-1))</f>
        <v/>
      </c>
      <c r="X506" s="18"/>
      <c r="Y506" s="18"/>
      <c r="Z506" s="17">
        <f>IF($N506="","",COUNT($N506:$S506))</f>
        <v/>
      </c>
      <c r="AA506" s="19">
        <f>IF($Z506="","",INT(INDEX($N506:$S506,$Z506)))</f>
        <v/>
      </c>
      <c r="AB506" s="19">
        <f>IF(OR($Z506="",$Z506=6),"",WORKDAY($AA506,CHOOSE($Z506,3,3,2,2,3),Holidays))</f>
        <v/>
      </c>
      <c r="AC506" s="17">
        <f>IF(OR($Z506="",$Z506=6),"",CHOOSE($Z506,"1st Email Follow-up","2nd Email Follow-up","Escalate Local Office","Escalate to CBE","Escalate to Roxanne"))</f>
        <v/>
      </c>
    </row>
    <row r="507" spans="13:29">
      <c r="M507" s="14"/>
      <c r="T507" s="16"/>
      <c r="U507" s="17">
        <f>IF(AND(COUNTA($A507:$L507)=0,$N507=""),"",IF($T507="Paid","PAID",IF($T507="Closed","CLOSED",IF($Z507="","",IF($Z507=6,"ESCALATED TO ROXANNE",IF(TODAY()&gt;$AB507,"OVERDUE",IF($AB507&lt;=WORKDAY(TODAY(),1,Holidays),"DUE TOMORROW",IF($Z507=4,"ESCALATED TO LOCAL OFFICE",IF($Z507=5,"ESCALATED TO CBE",IF($AA507=TODAY(),"EMAIL SENT","MONITORING"))))))))))</f>
        <v/>
      </c>
      <c r="V507" s="17">
        <f>IF($U507="",IF(AND(COUNTA($A507:$L507)&gt;0,$N507=""),"Awaiting Collection Email time stamp.",""),IF(OR($U507="PAID",$U507="CLOSED"),IF($U507="PAID","Account paid. Action completed.","Account closed. No further action required."),CHOOSE($Z507,"Collection Email","1st Email Follow-up","2nd Email Follow-up","Escalation to Local Office","Escalation to CBE","Escalation to Roxanne")&amp;" sent "&amp;TEXT($AA507,"dd-mmm")&amp;". "&amp;IF($Z507=6,"Final escalation completed.",IF($U507="OVERDUE","Next: "&amp;$AC507&amp;" was due "&amp;TEXT($AB507,"dd-mmm")&amp;" - "&amp;(NETWORKDAYS($AB507,TODAY(),Holidays)-1)&amp;" business day(s) late. Send now.",IF($U507="DUE TOMORROW","Next: "&amp;$AC507&amp;IF($AB507&lt;=TODAY()," is due TODAY ("," is due next business day (")&amp;TEXT($AB507,"dd-mmm")&amp;").","Next: "&amp;$AC507&amp;" due "&amp;TEXT($AB507,"dd-mmm")&amp;" ("&amp;(NETWORKDAYS(TODAY(),$AB507,Holidays)-1)&amp;" business day(s) left).")))))</f>
        <v/>
      </c>
      <c r="W507" s="17">
        <f>IF($Z507="","",CHOOSE($Z507,"Collection Email","1st Follow-up","2nd Follow-up","Local Office","CBE","Roxanne")&amp;IF($Z507=6," - Final"," - Day "&amp;MAX(0,NETWORKDAYS($AA507,TODAY(),Holidays)-1)&amp;" of "&amp;CHOOSE($Z507,3,3,2,2,3))&amp;" | Total Day "&amp;MAX(0,NETWORKDAYS($N507,TODAY(),Holidays)-1))</f>
        <v/>
      </c>
      <c r="X507" s="18"/>
      <c r="Y507" s="18"/>
      <c r="Z507" s="17">
        <f>IF($N507="","",COUNT($N507:$S507))</f>
        <v/>
      </c>
      <c r="AA507" s="19">
        <f>IF($Z507="","",INT(INDEX($N507:$S507,$Z507)))</f>
        <v/>
      </c>
      <c r="AB507" s="19">
        <f>IF(OR($Z507="",$Z507=6),"",WORKDAY($AA507,CHOOSE($Z507,3,3,2,2,3),Holidays))</f>
        <v/>
      </c>
      <c r="AC507" s="17">
        <f>IF(OR($Z507="",$Z507=6),"",CHOOSE($Z507,"1st Email Follow-up","2nd Email Follow-up","Escalate Local Office","Escalate to CBE","Escalate to Roxanne"))</f>
        <v/>
      </c>
    </row>
    <row r="508" spans="13:29">
      <c r="M508" s="14"/>
      <c r="T508" s="16"/>
      <c r="U508" s="17">
        <f>IF(AND(COUNTA($A508:$L508)=0,$N508=""),"",IF($T508="Paid","PAID",IF($T508="Closed","CLOSED",IF($Z508="","",IF($Z508=6,"ESCALATED TO ROXANNE",IF(TODAY()&gt;$AB508,"OVERDUE",IF($AB508&lt;=WORKDAY(TODAY(),1,Holidays),"DUE TOMORROW",IF($Z508=4,"ESCALATED TO LOCAL OFFICE",IF($Z508=5,"ESCALATED TO CBE",IF($AA508=TODAY(),"EMAIL SENT","MONITORING"))))))))))</f>
        <v/>
      </c>
      <c r="V508" s="17">
        <f>IF($U508="",IF(AND(COUNTA($A508:$L508)&gt;0,$N508=""),"Awaiting Collection Email time stamp.",""),IF(OR($U508="PAID",$U508="CLOSED"),IF($U508="PAID","Account paid. Action completed.","Account closed. No further action required."),CHOOSE($Z508,"Collection Email","1st Email Follow-up","2nd Email Follow-up","Escalation to Local Office","Escalation to CBE","Escalation to Roxanne")&amp;" sent "&amp;TEXT($AA508,"dd-mmm")&amp;". "&amp;IF($Z508=6,"Final escalation completed.",IF($U508="OVERDUE","Next: "&amp;$AC508&amp;" was due "&amp;TEXT($AB508,"dd-mmm")&amp;" - "&amp;(NETWORKDAYS($AB508,TODAY(),Holidays)-1)&amp;" business day(s) late. Send now.",IF($U508="DUE TOMORROW","Next: "&amp;$AC508&amp;IF($AB508&lt;=TODAY()," is due TODAY ("," is due next business day (")&amp;TEXT($AB508,"dd-mmm")&amp;").","Next: "&amp;$AC508&amp;" due "&amp;TEXT($AB508,"dd-mmm")&amp;" ("&amp;(NETWORKDAYS(TODAY(),$AB508,Holidays)-1)&amp;" business day(s) left).")))))</f>
        <v/>
      </c>
      <c r="W508" s="17">
        <f>IF($Z508="","",CHOOSE($Z508,"Collection Email","1st Follow-up","2nd Follow-up","Local Office","CBE","Roxanne")&amp;IF($Z508=6," - Final"," - Day "&amp;MAX(0,NETWORKDAYS($AA508,TODAY(),Holidays)-1)&amp;" of "&amp;CHOOSE($Z508,3,3,2,2,3))&amp;" | Total Day "&amp;MAX(0,NETWORKDAYS($N508,TODAY(),Holidays)-1))</f>
        <v/>
      </c>
      <c r="X508" s="18"/>
      <c r="Y508" s="18"/>
      <c r="Z508" s="17">
        <f>IF($N508="","",COUNT($N508:$S508))</f>
        <v/>
      </c>
      <c r="AA508" s="19">
        <f>IF($Z508="","",INT(INDEX($N508:$S508,$Z508)))</f>
        <v/>
      </c>
      <c r="AB508" s="19">
        <f>IF(OR($Z508="",$Z508=6),"",WORKDAY($AA508,CHOOSE($Z508,3,3,2,2,3),Holidays))</f>
        <v/>
      </c>
      <c r="AC508" s="17">
        <f>IF(OR($Z508="",$Z508=6),"",CHOOSE($Z508,"1st Email Follow-up","2nd Email Follow-up","Escalate Local Office","Escalate to CBE","Escalate to Roxanne"))</f>
        <v/>
      </c>
    </row>
    <row r="509" spans="13:29">
      <c r="M509" s="14"/>
      <c r="T509" s="16"/>
      <c r="U509" s="17">
        <f>IF(AND(COUNTA($A509:$L509)=0,$N509=""),"",IF($T509="Paid","PAID",IF($T509="Closed","CLOSED",IF($Z509="","",IF($Z509=6,"ESCALATED TO ROXANNE",IF(TODAY()&gt;$AB509,"OVERDUE",IF($AB509&lt;=WORKDAY(TODAY(),1,Holidays),"DUE TOMORROW",IF($Z509=4,"ESCALATED TO LOCAL OFFICE",IF($Z509=5,"ESCALATED TO CBE",IF($AA509=TODAY(),"EMAIL SENT","MONITORING"))))))))))</f>
        <v/>
      </c>
      <c r="V509" s="17">
        <f>IF($U509="",IF(AND(COUNTA($A509:$L509)&gt;0,$N509=""),"Awaiting Collection Email time stamp.",""),IF(OR($U509="PAID",$U509="CLOSED"),IF($U509="PAID","Account paid. Action completed.","Account closed. No further action required."),CHOOSE($Z509,"Collection Email","1st Email Follow-up","2nd Email Follow-up","Escalation to Local Office","Escalation to CBE","Escalation to Roxanne")&amp;" sent "&amp;TEXT($AA509,"dd-mmm")&amp;". "&amp;IF($Z509=6,"Final escalation completed.",IF($U509="OVERDUE","Next: "&amp;$AC509&amp;" was due "&amp;TEXT($AB509,"dd-mmm")&amp;" - "&amp;(NETWORKDAYS($AB509,TODAY(),Holidays)-1)&amp;" business day(s) late. Send now.",IF($U509="DUE TOMORROW","Next: "&amp;$AC509&amp;IF($AB509&lt;=TODAY()," is due TODAY ("," is due next business day (")&amp;TEXT($AB509,"dd-mmm")&amp;").","Next: "&amp;$AC509&amp;" due "&amp;TEXT($AB509,"dd-mmm")&amp;" ("&amp;(NETWORKDAYS(TODAY(),$AB509,Holidays)-1)&amp;" business day(s) left).")))))</f>
        <v/>
      </c>
      <c r="W509" s="17">
        <f>IF($Z509="","",CHOOSE($Z509,"Collection Email","1st Follow-up","2nd Follow-up","Local Office","CBE","Roxanne")&amp;IF($Z509=6," - Final"," - Day "&amp;MAX(0,NETWORKDAYS($AA509,TODAY(),Holidays)-1)&amp;" of "&amp;CHOOSE($Z509,3,3,2,2,3))&amp;" | Total Day "&amp;MAX(0,NETWORKDAYS($N509,TODAY(),Holidays)-1))</f>
        <v/>
      </c>
      <c r="X509" s="18"/>
      <c r="Y509" s="18"/>
      <c r="Z509" s="17">
        <f>IF($N509="","",COUNT($N509:$S509))</f>
        <v/>
      </c>
      <c r="AA509" s="19">
        <f>IF($Z509="","",INT(INDEX($N509:$S509,$Z509)))</f>
        <v/>
      </c>
      <c r="AB509" s="19">
        <f>IF(OR($Z509="",$Z509=6),"",WORKDAY($AA509,CHOOSE($Z509,3,3,2,2,3),Holidays))</f>
        <v/>
      </c>
      <c r="AC509" s="17">
        <f>IF(OR($Z509="",$Z509=6),"",CHOOSE($Z509,"1st Email Follow-up","2nd Email Follow-up","Escalate Local Office","Escalate to CBE","Escalate to Roxanne"))</f>
        <v/>
      </c>
    </row>
    <row r="510" spans="13:29">
      <c r="M510" s="14"/>
      <c r="T510" s="16"/>
      <c r="U510" s="17">
        <f>IF(AND(COUNTA($A510:$L510)=0,$N510=""),"",IF($T510="Paid","PAID",IF($T510="Closed","CLOSED",IF($Z510="","",IF($Z510=6,"ESCALATED TO ROXANNE",IF(TODAY()&gt;$AB510,"OVERDUE",IF($AB510&lt;=WORKDAY(TODAY(),1,Holidays),"DUE TOMORROW",IF($Z510=4,"ESCALATED TO LOCAL OFFICE",IF($Z510=5,"ESCALATED TO CBE",IF($AA510=TODAY(),"EMAIL SENT","MONITORING"))))))))))</f>
        <v/>
      </c>
      <c r="V510" s="17">
        <f>IF($U510="",IF(AND(COUNTA($A510:$L510)&gt;0,$N510=""),"Awaiting Collection Email time stamp.",""),IF(OR($U510="PAID",$U510="CLOSED"),IF($U510="PAID","Account paid. Action completed.","Account closed. No further action required."),CHOOSE($Z510,"Collection Email","1st Email Follow-up","2nd Email Follow-up","Escalation to Local Office","Escalation to CBE","Escalation to Roxanne")&amp;" sent "&amp;TEXT($AA510,"dd-mmm")&amp;". "&amp;IF($Z510=6,"Final escalation completed.",IF($U510="OVERDUE","Next: "&amp;$AC510&amp;" was due "&amp;TEXT($AB510,"dd-mmm")&amp;" - "&amp;(NETWORKDAYS($AB510,TODAY(),Holidays)-1)&amp;" business day(s) late. Send now.",IF($U510="DUE TOMORROW","Next: "&amp;$AC510&amp;IF($AB510&lt;=TODAY()," is due TODAY ("," is due next business day (")&amp;TEXT($AB510,"dd-mmm")&amp;").","Next: "&amp;$AC510&amp;" due "&amp;TEXT($AB510,"dd-mmm")&amp;" ("&amp;(NETWORKDAYS(TODAY(),$AB510,Holidays)-1)&amp;" business day(s) left).")))))</f>
        <v/>
      </c>
      <c r="W510" s="17">
        <f>IF($Z510="","",CHOOSE($Z510,"Collection Email","1st Follow-up","2nd Follow-up","Local Office","CBE","Roxanne")&amp;IF($Z510=6," - Final"," - Day "&amp;MAX(0,NETWORKDAYS($AA510,TODAY(),Holidays)-1)&amp;" of "&amp;CHOOSE($Z510,3,3,2,2,3))&amp;" | Total Day "&amp;MAX(0,NETWORKDAYS($N510,TODAY(),Holidays)-1))</f>
        <v/>
      </c>
      <c r="X510" s="18"/>
      <c r="Y510" s="18"/>
      <c r="Z510" s="17">
        <f>IF($N510="","",COUNT($N510:$S510))</f>
        <v/>
      </c>
      <c r="AA510" s="19">
        <f>IF($Z510="","",INT(INDEX($N510:$S510,$Z510)))</f>
        <v/>
      </c>
      <c r="AB510" s="19">
        <f>IF(OR($Z510="",$Z510=6),"",WORKDAY($AA510,CHOOSE($Z510,3,3,2,2,3),Holidays))</f>
        <v/>
      </c>
      <c r="AC510" s="17">
        <f>IF(OR($Z510="",$Z510=6),"",CHOOSE($Z510,"1st Email Follow-up","2nd Email Follow-up","Escalate Local Office","Escalate to CBE","Escalate to Roxanne"))</f>
        <v/>
      </c>
    </row>
    <row r="511" spans="13:29">
      <c r="M511" s="14"/>
      <c r="T511" s="16"/>
      <c r="U511" s="17">
        <f>IF(AND(COUNTA($A511:$L511)=0,$N511=""),"",IF($T511="Paid","PAID",IF($T511="Closed","CLOSED",IF($Z511="","",IF($Z511=6,"ESCALATED TO ROXANNE",IF(TODAY()&gt;$AB511,"OVERDUE",IF($AB511&lt;=WORKDAY(TODAY(),1,Holidays),"DUE TOMORROW",IF($Z511=4,"ESCALATED TO LOCAL OFFICE",IF($Z511=5,"ESCALATED TO CBE",IF($AA511=TODAY(),"EMAIL SENT","MONITORING"))))))))))</f>
        <v/>
      </c>
      <c r="V511" s="17">
        <f>IF($U511="",IF(AND(COUNTA($A511:$L511)&gt;0,$N511=""),"Awaiting Collection Email time stamp.",""),IF(OR($U511="PAID",$U511="CLOSED"),IF($U511="PAID","Account paid. Action completed.","Account closed. No further action required."),CHOOSE($Z511,"Collection Email","1st Email Follow-up","2nd Email Follow-up","Escalation to Local Office","Escalation to CBE","Escalation to Roxanne")&amp;" sent "&amp;TEXT($AA511,"dd-mmm")&amp;". "&amp;IF($Z511=6,"Final escalation completed.",IF($U511="OVERDUE","Next: "&amp;$AC511&amp;" was due "&amp;TEXT($AB511,"dd-mmm")&amp;" - "&amp;(NETWORKDAYS($AB511,TODAY(),Holidays)-1)&amp;" business day(s) late. Send now.",IF($U511="DUE TOMORROW","Next: "&amp;$AC511&amp;IF($AB511&lt;=TODAY()," is due TODAY ("," is due next business day (")&amp;TEXT($AB511,"dd-mmm")&amp;").","Next: "&amp;$AC511&amp;" due "&amp;TEXT($AB511,"dd-mmm")&amp;" ("&amp;(NETWORKDAYS(TODAY(),$AB511,Holidays)-1)&amp;" business day(s) left).")))))</f>
        <v/>
      </c>
      <c r="W511" s="17">
        <f>IF($Z511="","",CHOOSE($Z511,"Collection Email","1st Follow-up","2nd Follow-up","Local Office","CBE","Roxanne")&amp;IF($Z511=6," - Final"," - Day "&amp;MAX(0,NETWORKDAYS($AA511,TODAY(),Holidays)-1)&amp;" of "&amp;CHOOSE($Z511,3,3,2,2,3))&amp;" | Total Day "&amp;MAX(0,NETWORKDAYS($N511,TODAY(),Holidays)-1))</f>
        <v/>
      </c>
      <c r="X511" s="18"/>
      <c r="Y511" s="18"/>
      <c r="Z511" s="17">
        <f>IF($N511="","",COUNT($N511:$S511))</f>
        <v/>
      </c>
      <c r="AA511" s="19">
        <f>IF($Z511="","",INT(INDEX($N511:$S511,$Z511)))</f>
        <v/>
      </c>
      <c r="AB511" s="19">
        <f>IF(OR($Z511="",$Z511=6),"",WORKDAY($AA511,CHOOSE($Z511,3,3,2,2,3),Holidays))</f>
        <v/>
      </c>
      <c r="AC511" s="17">
        <f>IF(OR($Z511="",$Z511=6),"",CHOOSE($Z511,"1st Email Follow-up","2nd Email Follow-up","Escalate Local Office","Escalate to CBE","Escalate to Roxanne"))</f>
        <v/>
      </c>
    </row>
    <row r="512" spans="13:29">
      <c r="M512" s="14"/>
      <c r="T512" s="16"/>
      <c r="U512" s="17">
        <f>IF(AND(COUNTA($A512:$L512)=0,$N512=""),"",IF($T512="Paid","PAID",IF($T512="Closed","CLOSED",IF($Z512="","",IF($Z512=6,"ESCALATED TO ROXANNE",IF(TODAY()&gt;$AB512,"OVERDUE",IF($AB512&lt;=WORKDAY(TODAY(),1,Holidays),"DUE TOMORROW",IF($Z512=4,"ESCALATED TO LOCAL OFFICE",IF($Z512=5,"ESCALATED TO CBE",IF($AA512=TODAY(),"EMAIL SENT","MONITORING"))))))))))</f>
        <v/>
      </c>
      <c r="V512" s="17">
        <f>IF($U512="",IF(AND(COUNTA($A512:$L512)&gt;0,$N512=""),"Awaiting Collection Email time stamp.",""),IF(OR($U512="PAID",$U512="CLOSED"),IF($U512="PAID","Account paid. Action completed.","Account closed. No further action required."),CHOOSE($Z512,"Collection Email","1st Email Follow-up","2nd Email Follow-up","Escalation to Local Office","Escalation to CBE","Escalation to Roxanne")&amp;" sent "&amp;TEXT($AA512,"dd-mmm")&amp;". "&amp;IF($Z512=6,"Final escalation completed.",IF($U512="OVERDUE","Next: "&amp;$AC512&amp;" was due "&amp;TEXT($AB512,"dd-mmm")&amp;" - "&amp;(NETWORKDAYS($AB512,TODAY(),Holidays)-1)&amp;" business day(s) late. Send now.",IF($U512="DUE TOMORROW","Next: "&amp;$AC512&amp;IF($AB512&lt;=TODAY()," is due TODAY ("," is due next business day (")&amp;TEXT($AB512,"dd-mmm")&amp;").","Next: "&amp;$AC512&amp;" due "&amp;TEXT($AB512,"dd-mmm")&amp;" ("&amp;(NETWORKDAYS(TODAY(),$AB512,Holidays)-1)&amp;" business day(s) left).")))))</f>
        <v/>
      </c>
      <c r="W512" s="17">
        <f>IF($Z512="","",CHOOSE($Z512,"Collection Email","1st Follow-up","2nd Follow-up","Local Office","CBE","Roxanne")&amp;IF($Z512=6," - Final"," - Day "&amp;MAX(0,NETWORKDAYS($AA512,TODAY(),Holidays)-1)&amp;" of "&amp;CHOOSE($Z512,3,3,2,2,3))&amp;" | Total Day "&amp;MAX(0,NETWORKDAYS($N512,TODAY(),Holidays)-1))</f>
        <v/>
      </c>
      <c r="X512" s="18"/>
      <c r="Y512" s="18"/>
      <c r="Z512" s="17">
        <f>IF($N512="","",COUNT($N512:$S512))</f>
        <v/>
      </c>
      <c r="AA512" s="19">
        <f>IF($Z512="","",INT(INDEX($N512:$S512,$Z512)))</f>
        <v/>
      </c>
      <c r="AB512" s="19">
        <f>IF(OR($Z512="",$Z512=6),"",WORKDAY($AA512,CHOOSE($Z512,3,3,2,2,3),Holidays))</f>
        <v/>
      </c>
      <c r="AC512" s="17">
        <f>IF(OR($Z512="",$Z512=6),"",CHOOSE($Z512,"1st Email Follow-up","2nd Email Follow-up","Escalate Local Office","Escalate to CBE","Escalate to Roxanne"))</f>
        <v/>
      </c>
    </row>
    <row r="513" spans="13:29">
      <c r="M513" s="14"/>
      <c r="T513" s="16"/>
      <c r="U513" s="17">
        <f>IF(AND(COUNTA($A513:$L513)=0,$N513=""),"",IF($T513="Paid","PAID",IF($T513="Closed","CLOSED",IF($Z513="","",IF($Z513=6,"ESCALATED TO ROXANNE",IF(TODAY()&gt;$AB513,"OVERDUE",IF($AB513&lt;=WORKDAY(TODAY(),1,Holidays),"DUE TOMORROW",IF($Z513=4,"ESCALATED TO LOCAL OFFICE",IF($Z513=5,"ESCALATED TO CBE",IF($AA513=TODAY(),"EMAIL SENT","MONITORING"))))))))))</f>
        <v/>
      </c>
      <c r="V513" s="17">
        <f>IF($U513="",IF(AND(COUNTA($A513:$L513)&gt;0,$N513=""),"Awaiting Collection Email time stamp.",""),IF(OR($U513="PAID",$U513="CLOSED"),IF($U513="PAID","Account paid. Action completed.","Account closed. No further action required."),CHOOSE($Z513,"Collection Email","1st Email Follow-up","2nd Email Follow-up","Escalation to Local Office","Escalation to CBE","Escalation to Roxanne")&amp;" sent "&amp;TEXT($AA513,"dd-mmm")&amp;". "&amp;IF($Z513=6,"Final escalation completed.",IF($U513="OVERDUE","Next: "&amp;$AC513&amp;" was due "&amp;TEXT($AB513,"dd-mmm")&amp;" - "&amp;(NETWORKDAYS($AB513,TODAY(),Holidays)-1)&amp;" business day(s) late. Send now.",IF($U513="DUE TOMORROW","Next: "&amp;$AC513&amp;IF($AB513&lt;=TODAY()," is due TODAY ("," is due next business day (")&amp;TEXT($AB513,"dd-mmm")&amp;").","Next: "&amp;$AC513&amp;" due "&amp;TEXT($AB513,"dd-mmm")&amp;" ("&amp;(NETWORKDAYS(TODAY(),$AB513,Holidays)-1)&amp;" business day(s) left).")))))</f>
        <v/>
      </c>
      <c r="W513" s="17">
        <f>IF($Z513="","",CHOOSE($Z513,"Collection Email","1st Follow-up","2nd Follow-up","Local Office","CBE","Roxanne")&amp;IF($Z513=6," - Final"," - Day "&amp;MAX(0,NETWORKDAYS($AA513,TODAY(),Holidays)-1)&amp;" of "&amp;CHOOSE($Z513,3,3,2,2,3))&amp;" | Total Day "&amp;MAX(0,NETWORKDAYS($N513,TODAY(),Holidays)-1))</f>
        <v/>
      </c>
      <c r="X513" s="18"/>
      <c r="Y513" s="18"/>
      <c r="Z513" s="17">
        <f>IF($N513="","",COUNT($N513:$S513))</f>
        <v/>
      </c>
      <c r="AA513" s="19">
        <f>IF($Z513="","",INT(INDEX($N513:$S513,$Z513)))</f>
        <v/>
      </c>
      <c r="AB513" s="19">
        <f>IF(OR($Z513="",$Z513=6),"",WORKDAY($AA513,CHOOSE($Z513,3,3,2,2,3),Holidays))</f>
        <v/>
      </c>
      <c r="AC513" s="17">
        <f>IF(OR($Z513="",$Z513=6),"",CHOOSE($Z513,"1st Email Follow-up","2nd Email Follow-up","Escalate Local Office","Escalate to CBE","Escalate to Roxanne"))</f>
        <v/>
      </c>
    </row>
    <row r="514" spans="13:29">
      <c r="M514" s="14"/>
      <c r="T514" s="16"/>
      <c r="U514" s="17">
        <f>IF(AND(COUNTA($A514:$L514)=0,$N514=""),"",IF($T514="Paid","PAID",IF($T514="Closed","CLOSED",IF($Z514="","",IF($Z514=6,"ESCALATED TO ROXANNE",IF(TODAY()&gt;$AB514,"OVERDUE",IF($AB514&lt;=WORKDAY(TODAY(),1,Holidays),"DUE TOMORROW",IF($Z514=4,"ESCALATED TO LOCAL OFFICE",IF($Z514=5,"ESCALATED TO CBE",IF($AA514=TODAY(),"EMAIL SENT","MONITORING"))))))))))</f>
        <v/>
      </c>
      <c r="V514" s="17">
        <f>IF($U514="",IF(AND(COUNTA($A514:$L514)&gt;0,$N514=""),"Awaiting Collection Email time stamp.",""),IF(OR($U514="PAID",$U514="CLOSED"),IF($U514="PAID","Account paid. Action completed.","Account closed. No further action required."),CHOOSE($Z514,"Collection Email","1st Email Follow-up","2nd Email Follow-up","Escalation to Local Office","Escalation to CBE","Escalation to Roxanne")&amp;" sent "&amp;TEXT($AA514,"dd-mmm")&amp;". "&amp;IF($Z514=6,"Final escalation completed.",IF($U514="OVERDUE","Next: "&amp;$AC514&amp;" was due "&amp;TEXT($AB514,"dd-mmm")&amp;" - "&amp;(NETWORKDAYS($AB514,TODAY(),Holidays)-1)&amp;" business day(s) late. Send now.",IF($U514="DUE TOMORROW","Next: "&amp;$AC514&amp;IF($AB514&lt;=TODAY()," is due TODAY ("," is due next business day (")&amp;TEXT($AB514,"dd-mmm")&amp;").","Next: "&amp;$AC514&amp;" due "&amp;TEXT($AB514,"dd-mmm")&amp;" ("&amp;(NETWORKDAYS(TODAY(),$AB514,Holidays)-1)&amp;" business day(s) left).")))))</f>
        <v/>
      </c>
      <c r="W514" s="17">
        <f>IF($Z514="","",CHOOSE($Z514,"Collection Email","1st Follow-up","2nd Follow-up","Local Office","CBE","Roxanne")&amp;IF($Z514=6," - Final"," - Day "&amp;MAX(0,NETWORKDAYS($AA514,TODAY(),Holidays)-1)&amp;" of "&amp;CHOOSE($Z514,3,3,2,2,3))&amp;" | Total Day "&amp;MAX(0,NETWORKDAYS($N514,TODAY(),Holidays)-1))</f>
        <v/>
      </c>
      <c r="X514" s="18"/>
      <c r="Y514" s="18"/>
      <c r="Z514" s="17">
        <f>IF($N514="","",COUNT($N514:$S514))</f>
        <v/>
      </c>
      <c r="AA514" s="19">
        <f>IF($Z514="","",INT(INDEX($N514:$S514,$Z514)))</f>
        <v/>
      </c>
      <c r="AB514" s="19">
        <f>IF(OR($Z514="",$Z514=6),"",WORKDAY($AA514,CHOOSE($Z514,3,3,2,2,3),Holidays))</f>
        <v/>
      </c>
      <c r="AC514" s="17">
        <f>IF(OR($Z514="",$Z514=6),"",CHOOSE($Z514,"1st Email Follow-up","2nd Email Follow-up","Escalate Local Office","Escalate to CBE","Escalate to Roxanne"))</f>
        <v/>
      </c>
    </row>
    <row r="515" spans="13:29">
      <c r="M515" s="14"/>
      <c r="T515" s="16"/>
      <c r="U515" s="17">
        <f>IF(AND(COUNTA($A515:$L515)=0,$N515=""),"",IF($T515="Paid","PAID",IF($T515="Closed","CLOSED",IF($Z515="","",IF($Z515=6,"ESCALATED TO ROXANNE",IF(TODAY()&gt;$AB515,"OVERDUE",IF($AB515&lt;=WORKDAY(TODAY(),1,Holidays),"DUE TOMORROW",IF($Z515=4,"ESCALATED TO LOCAL OFFICE",IF($Z515=5,"ESCALATED TO CBE",IF($AA515=TODAY(),"EMAIL SENT","MONITORING"))))))))))</f>
        <v/>
      </c>
      <c r="V515" s="17">
        <f>IF($U515="",IF(AND(COUNTA($A515:$L515)&gt;0,$N515=""),"Awaiting Collection Email time stamp.",""),IF(OR($U515="PAID",$U515="CLOSED"),IF($U515="PAID","Account paid. Action completed.","Account closed. No further action required."),CHOOSE($Z515,"Collection Email","1st Email Follow-up","2nd Email Follow-up","Escalation to Local Office","Escalation to CBE","Escalation to Roxanne")&amp;" sent "&amp;TEXT($AA515,"dd-mmm")&amp;". "&amp;IF($Z515=6,"Final escalation completed.",IF($U515="OVERDUE","Next: "&amp;$AC515&amp;" was due "&amp;TEXT($AB515,"dd-mmm")&amp;" - "&amp;(NETWORKDAYS($AB515,TODAY(),Holidays)-1)&amp;" business day(s) late. Send now.",IF($U515="DUE TOMORROW","Next: "&amp;$AC515&amp;IF($AB515&lt;=TODAY()," is due TODAY ("," is due next business day (")&amp;TEXT($AB515,"dd-mmm")&amp;").","Next: "&amp;$AC515&amp;" due "&amp;TEXT($AB515,"dd-mmm")&amp;" ("&amp;(NETWORKDAYS(TODAY(),$AB515,Holidays)-1)&amp;" business day(s) left).")))))</f>
        <v/>
      </c>
      <c r="W515" s="17">
        <f>IF($Z515="","",CHOOSE($Z515,"Collection Email","1st Follow-up","2nd Follow-up","Local Office","CBE","Roxanne")&amp;IF($Z515=6," - Final"," - Day "&amp;MAX(0,NETWORKDAYS($AA515,TODAY(),Holidays)-1)&amp;" of "&amp;CHOOSE($Z515,3,3,2,2,3))&amp;" | Total Day "&amp;MAX(0,NETWORKDAYS($N515,TODAY(),Holidays)-1))</f>
        <v/>
      </c>
      <c r="X515" s="18"/>
      <c r="Y515" s="18"/>
      <c r="Z515" s="17">
        <f>IF($N515="","",COUNT($N515:$S515))</f>
        <v/>
      </c>
      <c r="AA515" s="19">
        <f>IF($Z515="","",INT(INDEX($N515:$S515,$Z515)))</f>
        <v/>
      </c>
      <c r="AB515" s="19">
        <f>IF(OR($Z515="",$Z515=6),"",WORKDAY($AA515,CHOOSE($Z515,3,3,2,2,3),Holidays))</f>
        <v/>
      </c>
      <c r="AC515" s="17">
        <f>IF(OR($Z515="",$Z515=6),"",CHOOSE($Z515,"1st Email Follow-up","2nd Email Follow-up","Escalate Local Office","Escalate to CBE","Escalate to Roxanne"))</f>
        <v/>
      </c>
    </row>
    <row r="516" spans="13:29">
      <c r="M516" s="14"/>
      <c r="T516" s="16"/>
      <c r="U516" s="17">
        <f>IF(AND(COUNTA($A516:$L516)=0,$N516=""),"",IF($T516="Paid","PAID",IF($T516="Closed","CLOSED",IF($Z516="","",IF($Z516=6,"ESCALATED TO ROXANNE",IF(TODAY()&gt;$AB516,"OVERDUE",IF($AB516&lt;=WORKDAY(TODAY(),1,Holidays),"DUE TOMORROW",IF($Z516=4,"ESCALATED TO LOCAL OFFICE",IF($Z516=5,"ESCALATED TO CBE",IF($AA516=TODAY(),"EMAIL SENT","MONITORING"))))))))))</f>
        <v/>
      </c>
      <c r="V516" s="17">
        <f>IF($U516="",IF(AND(COUNTA($A516:$L516)&gt;0,$N516=""),"Awaiting Collection Email time stamp.",""),IF(OR($U516="PAID",$U516="CLOSED"),IF($U516="PAID","Account paid. Action completed.","Account closed. No further action required."),CHOOSE($Z516,"Collection Email","1st Email Follow-up","2nd Email Follow-up","Escalation to Local Office","Escalation to CBE","Escalation to Roxanne")&amp;" sent "&amp;TEXT($AA516,"dd-mmm")&amp;". "&amp;IF($Z516=6,"Final escalation completed.",IF($U516="OVERDUE","Next: "&amp;$AC516&amp;" was due "&amp;TEXT($AB516,"dd-mmm")&amp;" - "&amp;(NETWORKDAYS($AB516,TODAY(),Holidays)-1)&amp;" business day(s) late. Send now.",IF($U516="DUE TOMORROW","Next: "&amp;$AC516&amp;IF($AB516&lt;=TODAY()," is due TODAY ("," is due next business day (")&amp;TEXT($AB516,"dd-mmm")&amp;").","Next: "&amp;$AC516&amp;" due "&amp;TEXT($AB516,"dd-mmm")&amp;" ("&amp;(NETWORKDAYS(TODAY(),$AB516,Holidays)-1)&amp;" business day(s) left).")))))</f>
        <v/>
      </c>
      <c r="W516" s="17">
        <f>IF($Z516="","",CHOOSE($Z516,"Collection Email","1st Follow-up","2nd Follow-up","Local Office","CBE","Roxanne")&amp;IF($Z516=6," - Final"," - Day "&amp;MAX(0,NETWORKDAYS($AA516,TODAY(),Holidays)-1)&amp;" of "&amp;CHOOSE($Z516,3,3,2,2,3))&amp;" | Total Day "&amp;MAX(0,NETWORKDAYS($N516,TODAY(),Holidays)-1))</f>
        <v/>
      </c>
      <c r="X516" s="18"/>
      <c r="Y516" s="18"/>
      <c r="Z516" s="17">
        <f>IF($N516="","",COUNT($N516:$S516))</f>
        <v/>
      </c>
      <c r="AA516" s="19">
        <f>IF($Z516="","",INT(INDEX($N516:$S516,$Z516)))</f>
        <v/>
      </c>
      <c r="AB516" s="19">
        <f>IF(OR($Z516="",$Z516=6),"",WORKDAY($AA516,CHOOSE($Z516,3,3,2,2,3),Holidays))</f>
        <v/>
      </c>
      <c r="AC516" s="17">
        <f>IF(OR($Z516="",$Z516=6),"",CHOOSE($Z516,"1st Email Follow-up","2nd Email Follow-up","Escalate Local Office","Escalate to CBE","Escalate to Roxanne"))</f>
        <v/>
      </c>
    </row>
    <row r="517" spans="13:29">
      <c r="M517" s="14"/>
      <c r="T517" s="16"/>
      <c r="U517" s="17">
        <f>IF(AND(COUNTA($A517:$L517)=0,$N517=""),"",IF($T517="Paid","PAID",IF($T517="Closed","CLOSED",IF($Z517="","",IF($Z517=6,"ESCALATED TO ROXANNE",IF(TODAY()&gt;$AB517,"OVERDUE",IF($AB517&lt;=WORKDAY(TODAY(),1,Holidays),"DUE TOMORROW",IF($Z517=4,"ESCALATED TO LOCAL OFFICE",IF($Z517=5,"ESCALATED TO CBE",IF($AA517=TODAY(),"EMAIL SENT","MONITORING"))))))))))</f>
        <v/>
      </c>
      <c r="V517" s="17">
        <f>IF($U517="",IF(AND(COUNTA($A517:$L517)&gt;0,$N517=""),"Awaiting Collection Email time stamp.",""),IF(OR($U517="PAID",$U517="CLOSED"),IF($U517="PAID","Account paid. Action completed.","Account closed. No further action required."),CHOOSE($Z517,"Collection Email","1st Email Follow-up","2nd Email Follow-up","Escalation to Local Office","Escalation to CBE","Escalation to Roxanne")&amp;" sent "&amp;TEXT($AA517,"dd-mmm")&amp;". "&amp;IF($Z517=6,"Final escalation completed.",IF($U517="OVERDUE","Next: "&amp;$AC517&amp;" was due "&amp;TEXT($AB517,"dd-mmm")&amp;" - "&amp;(NETWORKDAYS($AB517,TODAY(),Holidays)-1)&amp;" business day(s) late. Send now.",IF($U517="DUE TOMORROW","Next: "&amp;$AC517&amp;IF($AB517&lt;=TODAY()," is due TODAY ("," is due next business day (")&amp;TEXT($AB517,"dd-mmm")&amp;").","Next: "&amp;$AC517&amp;" due "&amp;TEXT($AB517,"dd-mmm")&amp;" ("&amp;(NETWORKDAYS(TODAY(),$AB517,Holidays)-1)&amp;" business day(s) left).")))))</f>
        <v/>
      </c>
      <c r="W517" s="17">
        <f>IF($Z517="","",CHOOSE($Z517,"Collection Email","1st Follow-up","2nd Follow-up","Local Office","CBE","Roxanne")&amp;IF($Z517=6," - Final"," - Day "&amp;MAX(0,NETWORKDAYS($AA517,TODAY(),Holidays)-1)&amp;" of "&amp;CHOOSE($Z517,3,3,2,2,3))&amp;" | Total Day "&amp;MAX(0,NETWORKDAYS($N517,TODAY(),Holidays)-1))</f>
        <v/>
      </c>
      <c r="X517" s="18"/>
      <c r="Y517" s="18"/>
      <c r="Z517" s="17">
        <f>IF($N517="","",COUNT($N517:$S517))</f>
        <v/>
      </c>
      <c r="AA517" s="19">
        <f>IF($Z517="","",INT(INDEX($N517:$S517,$Z517)))</f>
        <v/>
      </c>
      <c r="AB517" s="19">
        <f>IF(OR($Z517="",$Z517=6),"",WORKDAY($AA517,CHOOSE($Z517,3,3,2,2,3),Holidays))</f>
        <v/>
      </c>
      <c r="AC517" s="17">
        <f>IF(OR($Z517="",$Z517=6),"",CHOOSE($Z517,"1st Email Follow-up","2nd Email Follow-up","Escalate Local Office","Escalate to CBE","Escalate to Roxanne"))</f>
        <v/>
      </c>
    </row>
    <row r="518" spans="13:29">
      <c r="M518" s="14"/>
      <c r="T518" s="16"/>
      <c r="U518" s="17">
        <f>IF(AND(COUNTA($A518:$L518)=0,$N518=""),"",IF($T518="Paid","PAID",IF($T518="Closed","CLOSED",IF($Z518="","",IF($Z518=6,"ESCALATED TO ROXANNE",IF(TODAY()&gt;$AB518,"OVERDUE",IF($AB518&lt;=WORKDAY(TODAY(),1,Holidays),"DUE TOMORROW",IF($Z518=4,"ESCALATED TO LOCAL OFFICE",IF($Z518=5,"ESCALATED TO CBE",IF($AA518=TODAY(),"EMAIL SENT","MONITORING"))))))))))</f>
        <v/>
      </c>
      <c r="V518" s="17">
        <f>IF($U518="",IF(AND(COUNTA($A518:$L518)&gt;0,$N518=""),"Awaiting Collection Email time stamp.",""),IF(OR($U518="PAID",$U518="CLOSED"),IF($U518="PAID","Account paid. Action completed.","Account closed. No further action required."),CHOOSE($Z518,"Collection Email","1st Email Follow-up","2nd Email Follow-up","Escalation to Local Office","Escalation to CBE","Escalation to Roxanne")&amp;" sent "&amp;TEXT($AA518,"dd-mmm")&amp;". "&amp;IF($Z518=6,"Final escalation completed.",IF($U518="OVERDUE","Next: "&amp;$AC518&amp;" was due "&amp;TEXT($AB518,"dd-mmm")&amp;" - "&amp;(NETWORKDAYS($AB518,TODAY(),Holidays)-1)&amp;" business day(s) late. Send now.",IF($U518="DUE TOMORROW","Next: "&amp;$AC518&amp;IF($AB518&lt;=TODAY()," is due TODAY ("," is due next business day (")&amp;TEXT($AB518,"dd-mmm")&amp;").","Next: "&amp;$AC518&amp;" due "&amp;TEXT($AB518,"dd-mmm")&amp;" ("&amp;(NETWORKDAYS(TODAY(),$AB518,Holidays)-1)&amp;" business day(s) left).")))))</f>
        <v/>
      </c>
      <c r="W518" s="17">
        <f>IF($Z518="","",CHOOSE($Z518,"Collection Email","1st Follow-up","2nd Follow-up","Local Office","CBE","Roxanne")&amp;IF($Z518=6," - Final"," - Day "&amp;MAX(0,NETWORKDAYS($AA518,TODAY(),Holidays)-1)&amp;" of "&amp;CHOOSE($Z518,3,3,2,2,3))&amp;" | Total Day "&amp;MAX(0,NETWORKDAYS($N518,TODAY(),Holidays)-1))</f>
        <v/>
      </c>
      <c r="X518" s="18"/>
      <c r="Y518" s="18"/>
      <c r="Z518" s="17">
        <f>IF($N518="","",COUNT($N518:$S518))</f>
        <v/>
      </c>
      <c r="AA518" s="19">
        <f>IF($Z518="","",INT(INDEX($N518:$S518,$Z518)))</f>
        <v/>
      </c>
      <c r="AB518" s="19">
        <f>IF(OR($Z518="",$Z518=6),"",WORKDAY($AA518,CHOOSE($Z518,3,3,2,2,3),Holidays))</f>
        <v/>
      </c>
      <c r="AC518" s="17">
        <f>IF(OR($Z518="",$Z518=6),"",CHOOSE($Z518,"1st Email Follow-up","2nd Email Follow-up","Escalate Local Office","Escalate to CBE","Escalate to Roxanne"))</f>
        <v/>
      </c>
    </row>
    <row r="519" spans="13:29">
      <c r="M519" s="14"/>
      <c r="T519" s="16"/>
      <c r="U519" s="17">
        <f>IF(AND(COUNTA($A519:$L519)=0,$N519=""),"",IF($T519="Paid","PAID",IF($T519="Closed","CLOSED",IF($Z519="","",IF($Z519=6,"ESCALATED TO ROXANNE",IF(TODAY()&gt;$AB519,"OVERDUE",IF($AB519&lt;=WORKDAY(TODAY(),1,Holidays),"DUE TOMORROW",IF($Z519=4,"ESCALATED TO LOCAL OFFICE",IF($Z519=5,"ESCALATED TO CBE",IF($AA519=TODAY(),"EMAIL SENT","MONITORING"))))))))))</f>
        <v/>
      </c>
      <c r="V519" s="17">
        <f>IF($U519="",IF(AND(COUNTA($A519:$L519)&gt;0,$N519=""),"Awaiting Collection Email time stamp.",""),IF(OR($U519="PAID",$U519="CLOSED"),IF($U519="PAID","Account paid. Action completed.","Account closed. No further action required."),CHOOSE($Z519,"Collection Email","1st Email Follow-up","2nd Email Follow-up","Escalation to Local Office","Escalation to CBE","Escalation to Roxanne")&amp;" sent "&amp;TEXT($AA519,"dd-mmm")&amp;". "&amp;IF($Z519=6,"Final escalation completed.",IF($U519="OVERDUE","Next: "&amp;$AC519&amp;" was due "&amp;TEXT($AB519,"dd-mmm")&amp;" - "&amp;(NETWORKDAYS($AB519,TODAY(),Holidays)-1)&amp;" business day(s) late. Send now.",IF($U519="DUE TOMORROW","Next: "&amp;$AC519&amp;IF($AB519&lt;=TODAY()," is due TODAY ("," is due next business day (")&amp;TEXT($AB519,"dd-mmm")&amp;").","Next: "&amp;$AC519&amp;" due "&amp;TEXT($AB519,"dd-mmm")&amp;" ("&amp;(NETWORKDAYS(TODAY(),$AB519,Holidays)-1)&amp;" business day(s) left).")))))</f>
        <v/>
      </c>
      <c r="W519" s="17">
        <f>IF($Z519="","",CHOOSE($Z519,"Collection Email","1st Follow-up","2nd Follow-up","Local Office","CBE","Roxanne")&amp;IF($Z519=6," - Final"," - Day "&amp;MAX(0,NETWORKDAYS($AA519,TODAY(),Holidays)-1)&amp;" of "&amp;CHOOSE($Z519,3,3,2,2,3))&amp;" | Total Day "&amp;MAX(0,NETWORKDAYS($N519,TODAY(),Holidays)-1))</f>
        <v/>
      </c>
      <c r="X519" s="18"/>
      <c r="Y519" s="18"/>
      <c r="Z519" s="17">
        <f>IF($N519="","",COUNT($N519:$S519))</f>
        <v/>
      </c>
      <c r="AA519" s="19">
        <f>IF($Z519="","",INT(INDEX($N519:$S519,$Z519)))</f>
        <v/>
      </c>
      <c r="AB519" s="19">
        <f>IF(OR($Z519="",$Z519=6),"",WORKDAY($AA519,CHOOSE($Z519,3,3,2,2,3),Holidays))</f>
        <v/>
      </c>
      <c r="AC519" s="17">
        <f>IF(OR($Z519="",$Z519=6),"",CHOOSE($Z519,"1st Email Follow-up","2nd Email Follow-up","Escalate Local Office","Escalate to CBE","Escalate to Roxanne"))</f>
        <v/>
      </c>
    </row>
    <row r="520" spans="13:29">
      <c r="M520" s="14"/>
      <c r="T520" s="16"/>
      <c r="U520" s="17">
        <f>IF(AND(COUNTA($A520:$L520)=0,$N520=""),"",IF($T520="Paid","PAID",IF($T520="Closed","CLOSED",IF($Z520="","",IF($Z520=6,"ESCALATED TO ROXANNE",IF(TODAY()&gt;$AB520,"OVERDUE",IF($AB520&lt;=WORKDAY(TODAY(),1,Holidays),"DUE TOMORROW",IF($Z520=4,"ESCALATED TO LOCAL OFFICE",IF($Z520=5,"ESCALATED TO CBE",IF($AA520=TODAY(),"EMAIL SENT","MONITORING"))))))))))</f>
        <v/>
      </c>
      <c r="V520" s="17">
        <f>IF($U520="",IF(AND(COUNTA($A520:$L520)&gt;0,$N520=""),"Awaiting Collection Email time stamp.",""),IF(OR($U520="PAID",$U520="CLOSED"),IF($U520="PAID","Account paid. Action completed.","Account closed. No further action required."),CHOOSE($Z520,"Collection Email","1st Email Follow-up","2nd Email Follow-up","Escalation to Local Office","Escalation to CBE","Escalation to Roxanne")&amp;" sent "&amp;TEXT($AA520,"dd-mmm")&amp;". "&amp;IF($Z520=6,"Final escalation completed.",IF($U520="OVERDUE","Next: "&amp;$AC520&amp;" was due "&amp;TEXT($AB520,"dd-mmm")&amp;" - "&amp;(NETWORKDAYS($AB520,TODAY(),Holidays)-1)&amp;" business day(s) late. Send now.",IF($U520="DUE TOMORROW","Next: "&amp;$AC520&amp;IF($AB520&lt;=TODAY()," is due TODAY ("," is due next business day (")&amp;TEXT($AB520,"dd-mmm")&amp;").","Next: "&amp;$AC520&amp;" due "&amp;TEXT($AB520,"dd-mmm")&amp;" ("&amp;(NETWORKDAYS(TODAY(),$AB520,Holidays)-1)&amp;" business day(s) left).")))))</f>
        <v/>
      </c>
      <c r="W520" s="17">
        <f>IF($Z520="","",CHOOSE($Z520,"Collection Email","1st Follow-up","2nd Follow-up","Local Office","CBE","Roxanne")&amp;IF($Z520=6," - Final"," - Day "&amp;MAX(0,NETWORKDAYS($AA520,TODAY(),Holidays)-1)&amp;" of "&amp;CHOOSE($Z520,3,3,2,2,3))&amp;" | Total Day "&amp;MAX(0,NETWORKDAYS($N520,TODAY(),Holidays)-1))</f>
        <v/>
      </c>
      <c r="X520" s="18"/>
      <c r="Y520" s="18"/>
      <c r="Z520" s="17">
        <f>IF($N520="","",COUNT($N520:$S520))</f>
        <v/>
      </c>
      <c r="AA520" s="19">
        <f>IF($Z520="","",INT(INDEX($N520:$S520,$Z520)))</f>
        <v/>
      </c>
      <c r="AB520" s="19">
        <f>IF(OR($Z520="",$Z520=6),"",WORKDAY($AA520,CHOOSE($Z520,3,3,2,2,3),Holidays))</f>
        <v/>
      </c>
      <c r="AC520" s="17">
        <f>IF(OR($Z520="",$Z520=6),"",CHOOSE($Z520,"1st Email Follow-up","2nd Email Follow-up","Escalate Local Office","Escalate to CBE","Escalate to Roxanne"))</f>
        <v/>
      </c>
    </row>
    <row r="521" spans="13:29">
      <c r="M521" s="14"/>
      <c r="T521" s="16"/>
      <c r="U521" s="17">
        <f>IF(AND(COUNTA($A521:$L521)=0,$N521=""),"",IF($T521="Paid","PAID",IF($T521="Closed","CLOSED",IF($Z521="","",IF($Z521=6,"ESCALATED TO ROXANNE",IF(TODAY()&gt;$AB521,"OVERDUE",IF($AB521&lt;=WORKDAY(TODAY(),1,Holidays),"DUE TOMORROW",IF($Z521=4,"ESCALATED TO LOCAL OFFICE",IF($Z521=5,"ESCALATED TO CBE",IF($AA521=TODAY(),"EMAIL SENT","MONITORING"))))))))))</f>
        <v/>
      </c>
      <c r="V521" s="17">
        <f>IF($U521="",IF(AND(COUNTA($A521:$L521)&gt;0,$N521=""),"Awaiting Collection Email time stamp.",""),IF(OR($U521="PAID",$U521="CLOSED"),IF($U521="PAID","Account paid. Action completed.","Account closed. No further action required."),CHOOSE($Z521,"Collection Email","1st Email Follow-up","2nd Email Follow-up","Escalation to Local Office","Escalation to CBE","Escalation to Roxanne")&amp;" sent "&amp;TEXT($AA521,"dd-mmm")&amp;". "&amp;IF($Z521=6,"Final escalation completed.",IF($U521="OVERDUE","Next: "&amp;$AC521&amp;" was due "&amp;TEXT($AB521,"dd-mmm")&amp;" - "&amp;(NETWORKDAYS($AB521,TODAY(),Holidays)-1)&amp;" business day(s) late. Send now.",IF($U521="DUE TOMORROW","Next: "&amp;$AC521&amp;IF($AB521&lt;=TODAY()," is due TODAY ("," is due next business day (")&amp;TEXT($AB521,"dd-mmm")&amp;").","Next: "&amp;$AC521&amp;" due "&amp;TEXT($AB521,"dd-mmm")&amp;" ("&amp;(NETWORKDAYS(TODAY(),$AB521,Holidays)-1)&amp;" business day(s) left).")))))</f>
        <v/>
      </c>
      <c r="W521" s="17">
        <f>IF($Z521="","",CHOOSE($Z521,"Collection Email","1st Follow-up","2nd Follow-up","Local Office","CBE","Roxanne")&amp;IF($Z521=6," - Final"," - Day "&amp;MAX(0,NETWORKDAYS($AA521,TODAY(),Holidays)-1)&amp;" of "&amp;CHOOSE($Z521,3,3,2,2,3))&amp;" | Total Day "&amp;MAX(0,NETWORKDAYS($N521,TODAY(),Holidays)-1))</f>
        <v/>
      </c>
      <c r="X521" s="18"/>
      <c r="Y521" s="18"/>
      <c r="Z521" s="17">
        <f>IF($N521="","",COUNT($N521:$S521))</f>
        <v/>
      </c>
      <c r="AA521" s="19">
        <f>IF($Z521="","",INT(INDEX($N521:$S521,$Z521)))</f>
        <v/>
      </c>
      <c r="AB521" s="19">
        <f>IF(OR($Z521="",$Z521=6),"",WORKDAY($AA521,CHOOSE($Z521,3,3,2,2,3),Holidays))</f>
        <v/>
      </c>
      <c r="AC521" s="17">
        <f>IF(OR($Z521="",$Z521=6),"",CHOOSE($Z521,"1st Email Follow-up","2nd Email Follow-up","Escalate Local Office","Escalate to CBE","Escalate to Roxanne"))</f>
        <v/>
      </c>
    </row>
    <row r="522" spans="13:29">
      <c r="M522" s="14"/>
      <c r="T522" s="16"/>
      <c r="U522" s="17">
        <f>IF(AND(COUNTA($A522:$L522)=0,$N522=""),"",IF($T522="Paid","PAID",IF($T522="Closed","CLOSED",IF($Z522="","",IF($Z522=6,"ESCALATED TO ROXANNE",IF(TODAY()&gt;$AB522,"OVERDUE",IF($AB522&lt;=WORKDAY(TODAY(),1,Holidays),"DUE TOMORROW",IF($Z522=4,"ESCALATED TO LOCAL OFFICE",IF($Z522=5,"ESCALATED TO CBE",IF($AA522=TODAY(),"EMAIL SENT","MONITORING"))))))))))</f>
        <v/>
      </c>
      <c r="V522" s="17">
        <f>IF($U522="",IF(AND(COUNTA($A522:$L522)&gt;0,$N522=""),"Awaiting Collection Email time stamp.",""),IF(OR($U522="PAID",$U522="CLOSED"),IF($U522="PAID","Account paid. Action completed.","Account closed. No further action required."),CHOOSE($Z522,"Collection Email","1st Email Follow-up","2nd Email Follow-up","Escalation to Local Office","Escalation to CBE","Escalation to Roxanne")&amp;" sent "&amp;TEXT($AA522,"dd-mmm")&amp;". "&amp;IF($Z522=6,"Final escalation completed.",IF($U522="OVERDUE","Next: "&amp;$AC522&amp;" was due "&amp;TEXT($AB522,"dd-mmm")&amp;" - "&amp;(NETWORKDAYS($AB522,TODAY(),Holidays)-1)&amp;" business day(s) late. Send now.",IF($U522="DUE TOMORROW","Next: "&amp;$AC522&amp;IF($AB522&lt;=TODAY()," is due TODAY ("," is due next business day (")&amp;TEXT($AB522,"dd-mmm")&amp;").","Next: "&amp;$AC522&amp;" due "&amp;TEXT($AB522,"dd-mmm")&amp;" ("&amp;(NETWORKDAYS(TODAY(),$AB522,Holidays)-1)&amp;" business day(s) left).")))))</f>
        <v/>
      </c>
      <c r="W522" s="17">
        <f>IF($Z522="","",CHOOSE($Z522,"Collection Email","1st Follow-up","2nd Follow-up","Local Office","CBE","Roxanne")&amp;IF($Z522=6," - Final"," - Day "&amp;MAX(0,NETWORKDAYS($AA522,TODAY(),Holidays)-1)&amp;" of "&amp;CHOOSE($Z522,3,3,2,2,3))&amp;" | Total Day "&amp;MAX(0,NETWORKDAYS($N522,TODAY(),Holidays)-1))</f>
        <v/>
      </c>
      <c r="X522" s="18"/>
      <c r="Y522" s="18"/>
      <c r="Z522" s="17">
        <f>IF($N522="","",COUNT($N522:$S522))</f>
        <v/>
      </c>
      <c r="AA522" s="19">
        <f>IF($Z522="","",INT(INDEX($N522:$S522,$Z522)))</f>
        <v/>
      </c>
      <c r="AB522" s="19">
        <f>IF(OR($Z522="",$Z522=6),"",WORKDAY($AA522,CHOOSE($Z522,3,3,2,2,3),Holidays))</f>
        <v/>
      </c>
      <c r="AC522" s="17">
        <f>IF(OR($Z522="",$Z522=6),"",CHOOSE($Z522,"1st Email Follow-up","2nd Email Follow-up","Escalate Local Office","Escalate to CBE","Escalate to Roxanne"))</f>
        <v/>
      </c>
    </row>
    <row r="523" spans="13:29">
      <c r="M523" s="14"/>
      <c r="T523" s="16"/>
      <c r="U523" s="17">
        <f>IF(AND(COUNTA($A523:$L523)=0,$N523=""),"",IF($T523="Paid","PAID",IF($T523="Closed","CLOSED",IF($Z523="","",IF($Z523=6,"ESCALATED TO ROXANNE",IF(TODAY()&gt;$AB523,"OVERDUE",IF($AB523&lt;=WORKDAY(TODAY(),1,Holidays),"DUE TOMORROW",IF($Z523=4,"ESCALATED TO LOCAL OFFICE",IF($Z523=5,"ESCALATED TO CBE",IF($AA523=TODAY(),"EMAIL SENT","MONITORING"))))))))))</f>
        <v/>
      </c>
      <c r="V523" s="17">
        <f>IF($U523="",IF(AND(COUNTA($A523:$L523)&gt;0,$N523=""),"Awaiting Collection Email time stamp.",""),IF(OR($U523="PAID",$U523="CLOSED"),IF($U523="PAID","Account paid. Action completed.","Account closed. No further action required."),CHOOSE($Z523,"Collection Email","1st Email Follow-up","2nd Email Follow-up","Escalation to Local Office","Escalation to CBE","Escalation to Roxanne")&amp;" sent "&amp;TEXT($AA523,"dd-mmm")&amp;". "&amp;IF($Z523=6,"Final escalation completed.",IF($U523="OVERDUE","Next: "&amp;$AC523&amp;" was due "&amp;TEXT($AB523,"dd-mmm")&amp;" - "&amp;(NETWORKDAYS($AB523,TODAY(),Holidays)-1)&amp;" business day(s) late. Send now.",IF($U523="DUE TOMORROW","Next: "&amp;$AC523&amp;IF($AB523&lt;=TODAY()," is due TODAY ("," is due next business day (")&amp;TEXT($AB523,"dd-mmm")&amp;").","Next: "&amp;$AC523&amp;" due "&amp;TEXT($AB523,"dd-mmm")&amp;" ("&amp;(NETWORKDAYS(TODAY(),$AB523,Holidays)-1)&amp;" business day(s) left).")))))</f>
        <v/>
      </c>
      <c r="W523" s="17">
        <f>IF($Z523="","",CHOOSE($Z523,"Collection Email","1st Follow-up","2nd Follow-up","Local Office","CBE","Roxanne")&amp;IF($Z523=6," - Final"," - Day "&amp;MAX(0,NETWORKDAYS($AA523,TODAY(),Holidays)-1)&amp;" of "&amp;CHOOSE($Z523,3,3,2,2,3))&amp;" | Total Day "&amp;MAX(0,NETWORKDAYS($N523,TODAY(),Holidays)-1))</f>
        <v/>
      </c>
      <c r="X523" s="18"/>
      <c r="Y523" s="18"/>
      <c r="Z523" s="17">
        <f>IF($N523="","",COUNT($N523:$S523))</f>
        <v/>
      </c>
      <c r="AA523" s="19">
        <f>IF($Z523="","",INT(INDEX($N523:$S523,$Z523)))</f>
        <v/>
      </c>
      <c r="AB523" s="19">
        <f>IF(OR($Z523="",$Z523=6),"",WORKDAY($AA523,CHOOSE($Z523,3,3,2,2,3),Holidays))</f>
        <v/>
      </c>
      <c r="AC523" s="17">
        <f>IF(OR($Z523="",$Z523=6),"",CHOOSE($Z523,"1st Email Follow-up","2nd Email Follow-up","Escalate Local Office","Escalate to CBE","Escalate to Roxanne"))</f>
        <v/>
      </c>
    </row>
    <row r="524" spans="13:29">
      <c r="M524" s="14"/>
      <c r="T524" s="16"/>
      <c r="U524" s="17">
        <f>IF(AND(COUNTA($A524:$L524)=0,$N524=""),"",IF($T524="Paid","PAID",IF($T524="Closed","CLOSED",IF($Z524="","",IF($Z524=6,"ESCALATED TO ROXANNE",IF(TODAY()&gt;$AB524,"OVERDUE",IF($AB524&lt;=WORKDAY(TODAY(),1,Holidays),"DUE TOMORROW",IF($Z524=4,"ESCALATED TO LOCAL OFFICE",IF($Z524=5,"ESCALATED TO CBE",IF($AA524=TODAY(),"EMAIL SENT","MONITORING"))))))))))</f>
        <v/>
      </c>
      <c r="V524" s="17">
        <f>IF($U524="",IF(AND(COUNTA($A524:$L524)&gt;0,$N524=""),"Awaiting Collection Email time stamp.",""),IF(OR($U524="PAID",$U524="CLOSED"),IF($U524="PAID","Account paid. Action completed.","Account closed. No further action required."),CHOOSE($Z524,"Collection Email","1st Email Follow-up","2nd Email Follow-up","Escalation to Local Office","Escalation to CBE","Escalation to Roxanne")&amp;" sent "&amp;TEXT($AA524,"dd-mmm")&amp;". "&amp;IF($Z524=6,"Final escalation completed.",IF($U524="OVERDUE","Next: "&amp;$AC524&amp;" was due "&amp;TEXT($AB524,"dd-mmm")&amp;" - "&amp;(NETWORKDAYS($AB524,TODAY(),Holidays)-1)&amp;" business day(s) late. Send now.",IF($U524="DUE TOMORROW","Next: "&amp;$AC524&amp;IF($AB524&lt;=TODAY()," is due TODAY ("," is due next business day (")&amp;TEXT($AB524,"dd-mmm")&amp;").","Next: "&amp;$AC524&amp;" due "&amp;TEXT($AB524,"dd-mmm")&amp;" ("&amp;(NETWORKDAYS(TODAY(),$AB524,Holidays)-1)&amp;" business day(s) left).")))))</f>
        <v/>
      </c>
      <c r="W524" s="17">
        <f>IF($Z524="","",CHOOSE($Z524,"Collection Email","1st Follow-up","2nd Follow-up","Local Office","CBE","Roxanne")&amp;IF($Z524=6," - Final"," - Day "&amp;MAX(0,NETWORKDAYS($AA524,TODAY(),Holidays)-1)&amp;" of "&amp;CHOOSE($Z524,3,3,2,2,3))&amp;" | Total Day "&amp;MAX(0,NETWORKDAYS($N524,TODAY(),Holidays)-1))</f>
        <v/>
      </c>
      <c r="X524" s="18"/>
      <c r="Y524" s="18"/>
      <c r="Z524" s="17">
        <f>IF($N524="","",COUNT($N524:$S524))</f>
        <v/>
      </c>
      <c r="AA524" s="19">
        <f>IF($Z524="","",INT(INDEX($N524:$S524,$Z524)))</f>
        <v/>
      </c>
      <c r="AB524" s="19">
        <f>IF(OR($Z524="",$Z524=6),"",WORKDAY($AA524,CHOOSE($Z524,3,3,2,2,3),Holidays))</f>
        <v/>
      </c>
      <c r="AC524" s="17">
        <f>IF(OR($Z524="",$Z524=6),"",CHOOSE($Z524,"1st Email Follow-up","2nd Email Follow-up","Escalate Local Office","Escalate to CBE","Escalate to Roxanne"))</f>
        <v/>
      </c>
    </row>
    <row r="525" spans="13:29">
      <c r="M525" s="14"/>
      <c r="T525" s="16"/>
      <c r="U525" s="17">
        <f>IF(AND(COUNTA($A525:$L525)=0,$N525=""),"",IF($T525="Paid","PAID",IF($T525="Closed","CLOSED",IF($Z525="","",IF($Z525=6,"ESCALATED TO ROXANNE",IF(TODAY()&gt;$AB525,"OVERDUE",IF($AB525&lt;=WORKDAY(TODAY(),1,Holidays),"DUE TOMORROW",IF($Z525=4,"ESCALATED TO LOCAL OFFICE",IF($Z525=5,"ESCALATED TO CBE",IF($AA525=TODAY(),"EMAIL SENT","MONITORING"))))))))))</f>
        <v/>
      </c>
      <c r="V525" s="17">
        <f>IF($U525="",IF(AND(COUNTA($A525:$L525)&gt;0,$N525=""),"Awaiting Collection Email time stamp.",""),IF(OR($U525="PAID",$U525="CLOSED"),IF($U525="PAID","Account paid. Action completed.","Account closed. No further action required."),CHOOSE($Z525,"Collection Email","1st Email Follow-up","2nd Email Follow-up","Escalation to Local Office","Escalation to CBE","Escalation to Roxanne")&amp;" sent "&amp;TEXT($AA525,"dd-mmm")&amp;". "&amp;IF($Z525=6,"Final escalation completed.",IF($U525="OVERDUE","Next: "&amp;$AC525&amp;" was due "&amp;TEXT($AB525,"dd-mmm")&amp;" - "&amp;(NETWORKDAYS($AB525,TODAY(),Holidays)-1)&amp;" business day(s) late. Send now.",IF($U525="DUE TOMORROW","Next: "&amp;$AC525&amp;IF($AB525&lt;=TODAY()," is due TODAY ("," is due next business day (")&amp;TEXT($AB525,"dd-mmm")&amp;").","Next: "&amp;$AC525&amp;" due "&amp;TEXT($AB525,"dd-mmm")&amp;" ("&amp;(NETWORKDAYS(TODAY(),$AB525,Holidays)-1)&amp;" business day(s) left).")))))</f>
        <v/>
      </c>
      <c r="W525" s="17">
        <f>IF($Z525="","",CHOOSE($Z525,"Collection Email","1st Follow-up","2nd Follow-up","Local Office","CBE","Roxanne")&amp;IF($Z525=6," - Final"," - Day "&amp;MAX(0,NETWORKDAYS($AA525,TODAY(),Holidays)-1)&amp;" of "&amp;CHOOSE($Z525,3,3,2,2,3))&amp;" | Total Day "&amp;MAX(0,NETWORKDAYS($N525,TODAY(),Holidays)-1))</f>
        <v/>
      </c>
      <c r="X525" s="18"/>
      <c r="Y525" s="18"/>
      <c r="Z525" s="17">
        <f>IF($N525="","",COUNT($N525:$S525))</f>
        <v/>
      </c>
      <c r="AA525" s="19">
        <f>IF($Z525="","",INT(INDEX($N525:$S525,$Z525)))</f>
        <v/>
      </c>
      <c r="AB525" s="19">
        <f>IF(OR($Z525="",$Z525=6),"",WORKDAY($AA525,CHOOSE($Z525,3,3,2,2,3),Holidays))</f>
        <v/>
      </c>
      <c r="AC525" s="17">
        <f>IF(OR($Z525="",$Z525=6),"",CHOOSE($Z525,"1st Email Follow-up","2nd Email Follow-up","Escalate Local Office","Escalate to CBE","Escalate to Roxanne"))</f>
        <v/>
      </c>
    </row>
    <row r="526" spans="13:29">
      <c r="M526" s="14"/>
      <c r="T526" s="16"/>
      <c r="U526" s="17">
        <f>IF(AND(COUNTA($A526:$L526)=0,$N526=""),"",IF($T526="Paid","PAID",IF($T526="Closed","CLOSED",IF($Z526="","",IF($Z526=6,"ESCALATED TO ROXANNE",IF(TODAY()&gt;$AB526,"OVERDUE",IF($AB526&lt;=WORKDAY(TODAY(),1,Holidays),"DUE TOMORROW",IF($Z526=4,"ESCALATED TO LOCAL OFFICE",IF($Z526=5,"ESCALATED TO CBE",IF($AA526=TODAY(),"EMAIL SENT","MONITORING"))))))))))</f>
        <v/>
      </c>
      <c r="V526" s="17">
        <f>IF($U526="",IF(AND(COUNTA($A526:$L526)&gt;0,$N526=""),"Awaiting Collection Email time stamp.",""),IF(OR($U526="PAID",$U526="CLOSED"),IF($U526="PAID","Account paid. Action completed.","Account closed. No further action required."),CHOOSE($Z526,"Collection Email","1st Email Follow-up","2nd Email Follow-up","Escalation to Local Office","Escalation to CBE","Escalation to Roxanne")&amp;" sent "&amp;TEXT($AA526,"dd-mmm")&amp;". "&amp;IF($Z526=6,"Final escalation completed.",IF($U526="OVERDUE","Next: "&amp;$AC526&amp;" was due "&amp;TEXT($AB526,"dd-mmm")&amp;" - "&amp;(NETWORKDAYS($AB526,TODAY(),Holidays)-1)&amp;" business day(s) late. Send now.",IF($U526="DUE TOMORROW","Next: "&amp;$AC526&amp;IF($AB526&lt;=TODAY()," is due TODAY ("," is due next business day (")&amp;TEXT($AB526,"dd-mmm")&amp;").","Next: "&amp;$AC526&amp;" due "&amp;TEXT($AB526,"dd-mmm")&amp;" ("&amp;(NETWORKDAYS(TODAY(),$AB526,Holidays)-1)&amp;" business day(s) left).")))))</f>
        <v/>
      </c>
      <c r="W526" s="17">
        <f>IF($Z526="","",CHOOSE($Z526,"Collection Email","1st Follow-up","2nd Follow-up","Local Office","CBE","Roxanne")&amp;IF($Z526=6," - Final"," - Day "&amp;MAX(0,NETWORKDAYS($AA526,TODAY(),Holidays)-1)&amp;" of "&amp;CHOOSE($Z526,3,3,2,2,3))&amp;" | Total Day "&amp;MAX(0,NETWORKDAYS($N526,TODAY(),Holidays)-1))</f>
        <v/>
      </c>
      <c r="X526" s="18"/>
      <c r="Y526" s="18"/>
      <c r="Z526" s="17">
        <f>IF($N526="","",COUNT($N526:$S526))</f>
        <v/>
      </c>
      <c r="AA526" s="19">
        <f>IF($Z526="","",INT(INDEX($N526:$S526,$Z526)))</f>
        <v/>
      </c>
      <c r="AB526" s="19">
        <f>IF(OR($Z526="",$Z526=6),"",WORKDAY($AA526,CHOOSE($Z526,3,3,2,2,3),Holidays))</f>
        <v/>
      </c>
      <c r="AC526" s="17">
        <f>IF(OR($Z526="",$Z526=6),"",CHOOSE($Z526,"1st Email Follow-up","2nd Email Follow-up","Escalate Local Office","Escalate to CBE","Escalate to Roxanne"))</f>
        <v/>
      </c>
    </row>
    <row r="527" spans="13:29">
      <c r="M527" s="14"/>
      <c r="T527" s="16"/>
      <c r="U527" s="17">
        <f>IF(AND(COUNTA($A527:$L527)=0,$N527=""),"",IF($T527="Paid","PAID",IF($T527="Closed","CLOSED",IF($Z527="","",IF($Z527=6,"ESCALATED TO ROXANNE",IF(TODAY()&gt;$AB527,"OVERDUE",IF($AB527&lt;=WORKDAY(TODAY(),1,Holidays),"DUE TOMORROW",IF($Z527=4,"ESCALATED TO LOCAL OFFICE",IF($Z527=5,"ESCALATED TO CBE",IF($AA527=TODAY(),"EMAIL SENT","MONITORING"))))))))))</f>
        <v/>
      </c>
      <c r="V527" s="17">
        <f>IF($U527="",IF(AND(COUNTA($A527:$L527)&gt;0,$N527=""),"Awaiting Collection Email time stamp.",""),IF(OR($U527="PAID",$U527="CLOSED"),IF($U527="PAID","Account paid. Action completed.","Account closed. No further action required."),CHOOSE($Z527,"Collection Email","1st Email Follow-up","2nd Email Follow-up","Escalation to Local Office","Escalation to CBE","Escalation to Roxanne")&amp;" sent "&amp;TEXT($AA527,"dd-mmm")&amp;". "&amp;IF($Z527=6,"Final escalation completed.",IF($U527="OVERDUE","Next: "&amp;$AC527&amp;" was due "&amp;TEXT($AB527,"dd-mmm")&amp;" - "&amp;(NETWORKDAYS($AB527,TODAY(),Holidays)-1)&amp;" business day(s) late. Send now.",IF($U527="DUE TOMORROW","Next: "&amp;$AC527&amp;IF($AB527&lt;=TODAY()," is due TODAY ("," is due next business day (")&amp;TEXT($AB527,"dd-mmm")&amp;").","Next: "&amp;$AC527&amp;" due "&amp;TEXT($AB527,"dd-mmm")&amp;" ("&amp;(NETWORKDAYS(TODAY(),$AB527,Holidays)-1)&amp;" business day(s) left).")))))</f>
        <v/>
      </c>
      <c r="W527" s="17">
        <f>IF($Z527="","",CHOOSE($Z527,"Collection Email","1st Follow-up","2nd Follow-up","Local Office","CBE","Roxanne")&amp;IF($Z527=6," - Final"," - Day "&amp;MAX(0,NETWORKDAYS($AA527,TODAY(),Holidays)-1)&amp;" of "&amp;CHOOSE($Z527,3,3,2,2,3))&amp;" | Total Day "&amp;MAX(0,NETWORKDAYS($N527,TODAY(),Holidays)-1))</f>
        <v/>
      </c>
      <c r="X527" s="18"/>
      <c r="Y527" s="18"/>
      <c r="Z527" s="17">
        <f>IF($N527="","",COUNT($N527:$S527))</f>
        <v/>
      </c>
      <c r="AA527" s="19">
        <f>IF($Z527="","",INT(INDEX($N527:$S527,$Z527)))</f>
        <v/>
      </c>
      <c r="AB527" s="19">
        <f>IF(OR($Z527="",$Z527=6),"",WORKDAY($AA527,CHOOSE($Z527,3,3,2,2,3),Holidays))</f>
        <v/>
      </c>
      <c r="AC527" s="17">
        <f>IF(OR($Z527="",$Z527=6),"",CHOOSE($Z527,"1st Email Follow-up","2nd Email Follow-up","Escalate Local Office","Escalate to CBE","Escalate to Roxanne"))</f>
        <v/>
      </c>
    </row>
    <row r="528" spans="13:29">
      <c r="M528" s="14"/>
      <c r="T528" s="16"/>
      <c r="U528" s="17">
        <f>IF(AND(COUNTA($A528:$L528)=0,$N528=""),"",IF($T528="Paid","PAID",IF($T528="Closed","CLOSED",IF($Z528="","",IF($Z528=6,"ESCALATED TO ROXANNE",IF(TODAY()&gt;$AB528,"OVERDUE",IF($AB528&lt;=WORKDAY(TODAY(),1,Holidays),"DUE TOMORROW",IF($Z528=4,"ESCALATED TO LOCAL OFFICE",IF($Z528=5,"ESCALATED TO CBE",IF($AA528=TODAY(),"EMAIL SENT","MONITORING"))))))))))</f>
        <v/>
      </c>
      <c r="V528" s="17">
        <f>IF($U528="",IF(AND(COUNTA($A528:$L528)&gt;0,$N528=""),"Awaiting Collection Email time stamp.",""),IF(OR($U528="PAID",$U528="CLOSED"),IF($U528="PAID","Account paid. Action completed.","Account closed. No further action required."),CHOOSE($Z528,"Collection Email","1st Email Follow-up","2nd Email Follow-up","Escalation to Local Office","Escalation to CBE","Escalation to Roxanne")&amp;" sent "&amp;TEXT($AA528,"dd-mmm")&amp;". "&amp;IF($Z528=6,"Final escalation completed.",IF($U528="OVERDUE","Next: "&amp;$AC528&amp;" was due "&amp;TEXT($AB528,"dd-mmm")&amp;" - "&amp;(NETWORKDAYS($AB528,TODAY(),Holidays)-1)&amp;" business day(s) late. Send now.",IF($U528="DUE TOMORROW","Next: "&amp;$AC528&amp;IF($AB528&lt;=TODAY()," is due TODAY ("," is due next business day (")&amp;TEXT($AB528,"dd-mmm")&amp;").","Next: "&amp;$AC528&amp;" due "&amp;TEXT($AB528,"dd-mmm")&amp;" ("&amp;(NETWORKDAYS(TODAY(),$AB528,Holidays)-1)&amp;" business day(s) left).")))))</f>
        <v/>
      </c>
      <c r="W528" s="17">
        <f>IF($Z528="","",CHOOSE($Z528,"Collection Email","1st Follow-up","2nd Follow-up","Local Office","CBE","Roxanne")&amp;IF($Z528=6," - Final"," - Day "&amp;MAX(0,NETWORKDAYS($AA528,TODAY(),Holidays)-1)&amp;" of "&amp;CHOOSE($Z528,3,3,2,2,3))&amp;" | Total Day "&amp;MAX(0,NETWORKDAYS($N528,TODAY(),Holidays)-1))</f>
        <v/>
      </c>
      <c r="X528" s="18"/>
      <c r="Y528" s="18"/>
      <c r="Z528" s="17">
        <f>IF($N528="","",COUNT($N528:$S528))</f>
        <v/>
      </c>
      <c r="AA528" s="19">
        <f>IF($Z528="","",INT(INDEX($N528:$S528,$Z528)))</f>
        <v/>
      </c>
      <c r="AB528" s="19">
        <f>IF(OR($Z528="",$Z528=6),"",WORKDAY($AA528,CHOOSE($Z528,3,3,2,2,3),Holidays))</f>
        <v/>
      </c>
      <c r="AC528" s="17">
        <f>IF(OR($Z528="",$Z528=6),"",CHOOSE($Z528,"1st Email Follow-up","2nd Email Follow-up","Escalate Local Office","Escalate to CBE","Escalate to Roxanne"))</f>
        <v/>
      </c>
    </row>
    <row r="529" spans="13:29">
      <c r="M529" s="14"/>
      <c r="T529" s="16"/>
      <c r="U529" s="17">
        <f>IF(AND(COUNTA($A529:$L529)=0,$N529=""),"",IF($T529="Paid","PAID",IF($T529="Closed","CLOSED",IF($Z529="","",IF($Z529=6,"ESCALATED TO ROXANNE",IF(TODAY()&gt;$AB529,"OVERDUE",IF($AB529&lt;=WORKDAY(TODAY(),1,Holidays),"DUE TOMORROW",IF($Z529=4,"ESCALATED TO LOCAL OFFICE",IF($Z529=5,"ESCALATED TO CBE",IF($AA529=TODAY(),"EMAIL SENT","MONITORING"))))))))))</f>
        <v/>
      </c>
      <c r="V529" s="17">
        <f>IF($U529="",IF(AND(COUNTA($A529:$L529)&gt;0,$N529=""),"Awaiting Collection Email time stamp.",""),IF(OR($U529="PAID",$U529="CLOSED"),IF($U529="PAID","Account paid. Action completed.","Account closed. No further action required."),CHOOSE($Z529,"Collection Email","1st Email Follow-up","2nd Email Follow-up","Escalation to Local Office","Escalation to CBE","Escalation to Roxanne")&amp;" sent "&amp;TEXT($AA529,"dd-mmm")&amp;". "&amp;IF($Z529=6,"Final escalation completed.",IF($U529="OVERDUE","Next: "&amp;$AC529&amp;" was due "&amp;TEXT($AB529,"dd-mmm")&amp;" - "&amp;(NETWORKDAYS($AB529,TODAY(),Holidays)-1)&amp;" business day(s) late. Send now.",IF($U529="DUE TOMORROW","Next: "&amp;$AC529&amp;IF($AB529&lt;=TODAY()," is due TODAY ("," is due next business day (")&amp;TEXT($AB529,"dd-mmm")&amp;").","Next: "&amp;$AC529&amp;" due "&amp;TEXT($AB529,"dd-mmm")&amp;" ("&amp;(NETWORKDAYS(TODAY(),$AB529,Holidays)-1)&amp;" business day(s) left).")))))</f>
        <v/>
      </c>
      <c r="W529" s="17">
        <f>IF($Z529="","",CHOOSE($Z529,"Collection Email","1st Follow-up","2nd Follow-up","Local Office","CBE","Roxanne")&amp;IF($Z529=6," - Final"," - Day "&amp;MAX(0,NETWORKDAYS($AA529,TODAY(),Holidays)-1)&amp;" of "&amp;CHOOSE($Z529,3,3,2,2,3))&amp;" | Total Day "&amp;MAX(0,NETWORKDAYS($N529,TODAY(),Holidays)-1))</f>
        <v/>
      </c>
      <c r="X529" s="18"/>
      <c r="Y529" s="18"/>
      <c r="Z529" s="17">
        <f>IF($N529="","",COUNT($N529:$S529))</f>
        <v/>
      </c>
      <c r="AA529" s="19">
        <f>IF($Z529="","",INT(INDEX($N529:$S529,$Z529)))</f>
        <v/>
      </c>
      <c r="AB529" s="19">
        <f>IF(OR($Z529="",$Z529=6),"",WORKDAY($AA529,CHOOSE($Z529,3,3,2,2,3),Holidays))</f>
        <v/>
      </c>
      <c r="AC529" s="17">
        <f>IF(OR($Z529="",$Z529=6),"",CHOOSE($Z529,"1st Email Follow-up","2nd Email Follow-up","Escalate Local Office","Escalate to CBE","Escalate to Roxanne"))</f>
        <v/>
      </c>
    </row>
    <row r="530" spans="13:29">
      <c r="M530" s="14"/>
      <c r="T530" s="16"/>
      <c r="U530" s="17">
        <f>IF(AND(COUNTA($A530:$L530)=0,$N530=""),"",IF($T530="Paid","PAID",IF($T530="Closed","CLOSED",IF($Z530="","",IF($Z530=6,"ESCALATED TO ROXANNE",IF(TODAY()&gt;$AB530,"OVERDUE",IF($AB530&lt;=WORKDAY(TODAY(),1,Holidays),"DUE TOMORROW",IF($Z530=4,"ESCALATED TO LOCAL OFFICE",IF($Z530=5,"ESCALATED TO CBE",IF($AA530=TODAY(),"EMAIL SENT","MONITORING"))))))))))</f>
        <v/>
      </c>
      <c r="V530" s="17">
        <f>IF($U530="",IF(AND(COUNTA($A530:$L530)&gt;0,$N530=""),"Awaiting Collection Email time stamp.",""),IF(OR($U530="PAID",$U530="CLOSED"),IF($U530="PAID","Account paid. Action completed.","Account closed. No further action required."),CHOOSE($Z530,"Collection Email","1st Email Follow-up","2nd Email Follow-up","Escalation to Local Office","Escalation to CBE","Escalation to Roxanne")&amp;" sent "&amp;TEXT($AA530,"dd-mmm")&amp;". "&amp;IF($Z530=6,"Final escalation completed.",IF($U530="OVERDUE","Next: "&amp;$AC530&amp;" was due "&amp;TEXT($AB530,"dd-mmm")&amp;" - "&amp;(NETWORKDAYS($AB530,TODAY(),Holidays)-1)&amp;" business day(s) late. Send now.",IF($U530="DUE TOMORROW","Next: "&amp;$AC530&amp;IF($AB530&lt;=TODAY()," is due TODAY ("," is due next business day (")&amp;TEXT($AB530,"dd-mmm")&amp;").","Next: "&amp;$AC530&amp;" due "&amp;TEXT($AB530,"dd-mmm")&amp;" ("&amp;(NETWORKDAYS(TODAY(),$AB530,Holidays)-1)&amp;" business day(s) left).")))))</f>
        <v/>
      </c>
      <c r="W530" s="17">
        <f>IF($Z530="","",CHOOSE($Z530,"Collection Email","1st Follow-up","2nd Follow-up","Local Office","CBE","Roxanne")&amp;IF($Z530=6," - Final"," - Day "&amp;MAX(0,NETWORKDAYS($AA530,TODAY(),Holidays)-1)&amp;" of "&amp;CHOOSE($Z530,3,3,2,2,3))&amp;" | Total Day "&amp;MAX(0,NETWORKDAYS($N530,TODAY(),Holidays)-1))</f>
        <v/>
      </c>
      <c r="X530" s="18"/>
      <c r="Y530" s="18"/>
      <c r="Z530" s="17">
        <f>IF($N530="","",COUNT($N530:$S530))</f>
        <v/>
      </c>
      <c r="AA530" s="19">
        <f>IF($Z530="","",INT(INDEX($N530:$S530,$Z530)))</f>
        <v/>
      </c>
      <c r="AB530" s="19">
        <f>IF(OR($Z530="",$Z530=6),"",WORKDAY($AA530,CHOOSE($Z530,3,3,2,2,3),Holidays))</f>
        <v/>
      </c>
      <c r="AC530" s="17">
        <f>IF(OR($Z530="",$Z530=6),"",CHOOSE($Z530,"1st Email Follow-up","2nd Email Follow-up","Escalate Local Office","Escalate to CBE","Escalate to Roxanne"))</f>
        <v/>
      </c>
    </row>
    <row r="531" spans="13:29">
      <c r="M531" s="14"/>
      <c r="T531" s="16"/>
      <c r="U531" s="17">
        <f>IF(AND(COUNTA($A531:$L531)=0,$N531=""),"",IF($T531="Paid","PAID",IF($T531="Closed","CLOSED",IF($Z531="","",IF($Z531=6,"ESCALATED TO ROXANNE",IF(TODAY()&gt;$AB531,"OVERDUE",IF($AB531&lt;=WORKDAY(TODAY(),1,Holidays),"DUE TOMORROW",IF($Z531=4,"ESCALATED TO LOCAL OFFICE",IF($Z531=5,"ESCALATED TO CBE",IF($AA531=TODAY(),"EMAIL SENT","MONITORING"))))))))))</f>
        <v/>
      </c>
      <c r="V531" s="17">
        <f>IF($U531="",IF(AND(COUNTA($A531:$L531)&gt;0,$N531=""),"Awaiting Collection Email time stamp.",""),IF(OR($U531="PAID",$U531="CLOSED"),IF($U531="PAID","Account paid. Action completed.","Account closed. No further action required."),CHOOSE($Z531,"Collection Email","1st Email Follow-up","2nd Email Follow-up","Escalation to Local Office","Escalation to CBE","Escalation to Roxanne")&amp;" sent "&amp;TEXT($AA531,"dd-mmm")&amp;". "&amp;IF($Z531=6,"Final escalation completed.",IF($U531="OVERDUE","Next: "&amp;$AC531&amp;" was due "&amp;TEXT($AB531,"dd-mmm")&amp;" - "&amp;(NETWORKDAYS($AB531,TODAY(),Holidays)-1)&amp;" business day(s) late. Send now.",IF($U531="DUE TOMORROW","Next: "&amp;$AC531&amp;IF($AB531&lt;=TODAY()," is due TODAY ("," is due next business day (")&amp;TEXT($AB531,"dd-mmm")&amp;").","Next: "&amp;$AC531&amp;" due "&amp;TEXT($AB531,"dd-mmm")&amp;" ("&amp;(NETWORKDAYS(TODAY(),$AB531,Holidays)-1)&amp;" business day(s) left).")))))</f>
        <v/>
      </c>
      <c r="W531" s="17">
        <f>IF($Z531="","",CHOOSE($Z531,"Collection Email","1st Follow-up","2nd Follow-up","Local Office","CBE","Roxanne")&amp;IF($Z531=6," - Final"," - Day "&amp;MAX(0,NETWORKDAYS($AA531,TODAY(),Holidays)-1)&amp;" of "&amp;CHOOSE($Z531,3,3,2,2,3))&amp;" | Total Day "&amp;MAX(0,NETWORKDAYS($N531,TODAY(),Holidays)-1))</f>
        <v/>
      </c>
      <c r="X531" s="18"/>
      <c r="Y531" s="18"/>
      <c r="Z531" s="17">
        <f>IF($N531="","",COUNT($N531:$S531))</f>
        <v/>
      </c>
      <c r="AA531" s="19">
        <f>IF($Z531="","",INT(INDEX($N531:$S531,$Z531)))</f>
        <v/>
      </c>
      <c r="AB531" s="19">
        <f>IF(OR($Z531="",$Z531=6),"",WORKDAY($AA531,CHOOSE($Z531,3,3,2,2,3),Holidays))</f>
        <v/>
      </c>
      <c r="AC531" s="17">
        <f>IF(OR($Z531="",$Z531=6),"",CHOOSE($Z531,"1st Email Follow-up","2nd Email Follow-up","Escalate Local Office","Escalate to CBE","Escalate to Roxanne"))</f>
        <v/>
      </c>
    </row>
    <row r="532" spans="13:29">
      <c r="M532" s="14"/>
      <c r="T532" s="16"/>
      <c r="U532" s="17">
        <f>IF(AND(COUNTA($A532:$L532)=0,$N532=""),"",IF($T532="Paid","PAID",IF($T532="Closed","CLOSED",IF($Z532="","",IF($Z532=6,"ESCALATED TO ROXANNE",IF(TODAY()&gt;$AB532,"OVERDUE",IF($AB532&lt;=WORKDAY(TODAY(),1,Holidays),"DUE TOMORROW",IF($Z532=4,"ESCALATED TO LOCAL OFFICE",IF($Z532=5,"ESCALATED TO CBE",IF($AA532=TODAY(),"EMAIL SENT","MONITORING"))))))))))</f>
        <v/>
      </c>
      <c r="V532" s="17">
        <f>IF($U532="",IF(AND(COUNTA($A532:$L532)&gt;0,$N532=""),"Awaiting Collection Email time stamp.",""),IF(OR($U532="PAID",$U532="CLOSED"),IF($U532="PAID","Account paid. Action completed.","Account closed. No further action required."),CHOOSE($Z532,"Collection Email","1st Email Follow-up","2nd Email Follow-up","Escalation to Local Office","Escalation to CBE","Escalation to Roxanne")&amp;" sent "&amp;TEXT($AA532,"dd-mmm")&amp;". "&amp;IF($Z532=6,"Final escalation completed.",IF($U532="OVERDUE","Next: "&amp;$AC532&amp;" was due "&amp;TEXT($AB532,"dd-mmm")&amp;" - "&amp;(NETWORKDAYS($AB532,TODAY(),Holidays)-1)&amp;" business day(s) late. Send now.",IF($U532="DUE TOMORROW","Next: "&amp;$AC532&amp;IF($AB532&lt;=TODAY()," is due TODAY ("," is due next business day (")&amp;TEXT($AB532,"dd-mmm")&amp;").","Next: "&amp;$AC532&amp;" due "&amp;TEXT($AB532,"dd-mmm")&amp;" ("&amp;(NETWORKDAYS(TODAY(),$AB532,Holidays)-1)&amp;" business day(s) left).")))))</f>
        <v/>
      </c>
      <c r="W532" s="17">
        <f>IF($Z532="","",CHOOSE($Z532,"Collection Email","1st Follow-up","2nd Follow-up","Local Office","CBE","Roxanne")&amp;IF($Z532=6," - Final"," - Day "&amp;MAX(0,NETWORKDAYS($AA532,TODAY(),Holidays)-1)&amp;" of "&amp;CHOOSE($Z532,3,3,2,2,3))&amp;" | Total Day "&amp;MAX(0,NETWORKDAYS($N532,TODAY(),Holidays)-1))</f>
        <v/>
      </c>
      <c r="X532" s="18"/>
      <c r="Y532" s="18"/>
      <c r="Z532" s="17">
        <f>IF($N532="","",COUNT($N532:$S532))</f>
        <v/>
      </c>
      <c r="AA532" s="19">
        <f>IF($Z532="","",INT(INDEX($N532:$S532,$Z532)))</f>
        <v/>
      </c>
      <c r="AB532" s="19">
        <f>IF(OR($Z532="",$Z532=6),"",WORKDAY($AA532,CHOOSE($Z532,3,3,2,2,3),Holidays))</f>
        <v/>
      </c>
      <c r="AC532" s="17">
        <f>IF(OR($Z532="",$Z532=6),"",CHOOSE($Z532,"1st Email Follow-up","2nd Email Follow-up","Escalate Local Office","Escalate to CBE","Escalate to Roxanne"))</f>
        <v/>
      </c>
    </row>
    <row r="533" spans="13:29">
      <c r="M533" s="14"/>
      <c r="T533" s="16"/>
      <c r="U533" s="17">
        <f>IF(AND(COUNTA($A533:$L533)=0,$N533=""),"",IF($T533="Paid","PAID",IF($T533="Closed","CLOSED",IF($Z533="","",IF($Z533=6,"ESCALATED TO ROXANNE",IF(TODAY()&gt;$AB533,"OVERDUE",IF($AB533&lt;=WORKDAY(TODAY(),1,Holidays),"DUE TOMORROW",IF($Z533=4,"ESCALATED TO LOCAL OFFICE",IF($Z533=5,"ESCALATED TO CBE",IF($AA533=TODAY(),"EMAIL SENT","MONITORING"))))))))))</f>
        <v/>
      </c>
      <c r="V533" s="17">
        <f>IF($U533="",IF(AND(COUNTA($A533:$L533)&gt;0,$N533=""),"Awaiting Collection Email time stamp.",""),IF(OR($U533="PAID",$U533="CLOSED"),IF($U533="PAID","Account paid. Action completed.","Account closed. No further action required."),CHOOSE($Z533,"Collection Email","1st Email Follow-up","2nd Email Follow-up","Escalation to Local Office","Escalation to CBE","Escalation to Roxanne")&amp;" sent "&amp;TEXT($AA533,"dd-mmm")&amp;". "&amp;IF($Z533=6,"Final escalation completed.",IF($U533="OVERDUE","Next: "&amp;$AC533&amp;" was due "&amp;TEXT($AB533,"dd-mmm")&amp;" - "&amp;(NETWORKDAYS($AB533,TODAY(),Holidays)-1)&amp;" business day(s) late. Send now.",IF($U533="DUE TOMORROW","Next: "&amp;$AC533&amp;IF($AB533&lt;=TODAY()," is due TODAY ("," is due next business day (")&amp;TEXT($AB533,"dd-mmm")&amp;").","Next: "&amp;$AC533&amp;" due "&amp;TEXT($AB533,"dd-mmm")&amp;" ("&amp;(NETWORKDAYS(TODAY(),$AB533,Holidays)-1)&amp;" business day(s) left).")))))</f>
        <v/>
      </c>
      <c r="W533" s="17">
        <f>IF($Z533="","",CHOOSE($Z533,"Collection Email","1st Follow-up","2nd Follow-up","Local Office","CBE","Roxanne")&amp;IF($Z533=6," - Final"," - Day "&amp;MAX(0,NETWORKDAYS($AA533,TODAY(),Holidays)-1)&amp;" of "&amp;CHOOSE($Z533,3,3,2,2,3))&amp;" | Total Day "&amp;MAX(0,NETWORKDAYS($N533,TODAY(),Holidays)-1))</f>
        <v/>
      </c>
      <c r="X533" s="18"/>
      <c r="Y533" s="18"/>
      <c r="Z533" s="17">
        <f>IF($N533="","",COUNT($N533:$S533))</f>
        <v/>
      </c>
      <c r="AA533" s="19">
        <f>IF($Z533="","",INT(INDEX($N533:$S533,$Z533)))</f>
        <v/>
      </c>
      <c r="AB533" s="19">
        <f>IF(OR($Z533="",$Z533=6),"",WORKDAY($AA533,CHOOSE($Z533,3,3,2,2,3),Holidays))</f>
        <v/>
      </c>
      <c r="AC533" s="17">
        <f>IF(OR($Z533="",$Z533=6),"",CHOOSE($Z533,"1st Email Follow-up","2nd Email Follow-up","Escalate Local Office","Escalate to CBE","Escalate to Roxanne"))</f>
        <v/>
      </c>
    </row>
    <row r="534" spans="13:29">
      <c r="M534" s="14"/>
      <c r="T534" s="16"/>
      <c r="U534" s="17">
        <f>IF(AND(COUNTA($A534:$L534)=0,$N534=""),"",IF($T534="Paid","PAID",IF($T534="Closed","CLOSED",IF($Z534="","",IF($Z534=6,"ESCALATED TO ROXANNE",IF(TODAY()&gt;$AB534,"OVERDUE",IF($AB534&lt;=WORKDAY(TODAY(),1,Holidays),"DUE TOMORROW",IF($Z534=4,"ESCALATED TO LOCAL OFFICE",IF($Z534=5,"ESCALATED TO CBE",IF($AA534=TODAY(),"EMAIL SENT","MONITORING"))))))))))</f>
        <v/>
      </c>
      <c r="V534" s="17">
        <f>IF($U534="",IF(AND(COUNTA($A534:$L534)&gt;0,$N534=""),"Awaiting Collection Email time stamp.",""),IF(OR($U534="PAID",$U534="CLOSED"),IF($U534="PAID","Account paid. Action completed.","Account closed. No further action required."),CHOOSE($Z534,"Collection Email","1st Email Follow-up","2nd Email Follow-up","Escalation to Local Office","Escalation to CBE","Escalation to Roxanne")&amp;" sent "&amp;TEXT($AA534,"dd-mmm")&amp;". "&amp;IF($Z534=6,"Final escalation completed.",IF($U534="OVERDUE","Next: "&amp;$AC534&amp;" was due "&amp;TEXT($AB534,"dd-mmm")&amp;" - "&amp;(NETWORKDAYS($AB534,TODAY(),Holidays)-1)&amp;" business day(s) late. Send now.",IF($U534="DUE TOMORROW","Next: "&amp;$AC534&amp;IF($AB534&lt;=TODAY()," is due TODAY ("," is due next business day (")&amp;TEXT($AB534,"dd-mmm")&amp;").","Next: "&amp;$AC534&amp;" due "&amp;TEXT($AB534,"dd-mmm")&amp;" ("&amp;(NETWORKDAYS(TODAY(),$AB534,Holidays)-1)&amp;" business day(s) left).")))))</f>
        <v/>
      </c>
      <c r="W534" s="17">
        <f>IF($Z534="","",CHOOSE($Z534,"Collection Email","1st Follow-up","2nd Follow-up","Local Office","CBE","Roxanne")&amp;IF($Z534=6," - Final"," - Day "&amp;MAX(0,NETWORKDAYS($AA534,TODAY(),Holidays)-1)&amp;" of "&amp;CHOOSE($Z534,3,3,2,2,3))&amp;" | Total Day "&amp;MAX(0,NETWORKDAYS($N534,TODAY(),Holidays)-1))</f>
        <v/>
      </c>
      <c r="X534" s="18"/>
      <c r="Y534" s="18"/>
      <c r="Z534" s="17">
        <f>IF($N534="","",COUNT($N534:$S534))</f>
        <v/>
      </c>
      <c r="AA534" s="19">
        <f>IF($Z534="","",INT(INDEX($N534:$S534,$Z534)))</f>
        <v/>
      </c>
      <c r="AB534" s="19">
        <f>IF(OR($Z534="",$Z534=6),"",WORKDAY($AA534,CHOOSE($Z534,3,3,2,2,3),Holidays))</f>
        <v/>
      </c>
      <c r="AC534" s="17">
        <f>IF(OR($Z534="",$Z534=6),"",CHOOSE($Z534,"1st Email Follow-up","2nd Email Follow-up","Escalate Local Office","Escalate to CBE","Escalate to Roxanne"))</f>
        <v/>
      </c>
    </row>
    <row r="535" spans="13:29">
      <c r="M535" s="14"/>
      <c r="T535" s="16"/>
      <c r="U535" s="17">
        <f>IF(AND(COUNTA($A535:$L535)=0,$N535=""),"",IF($T535="Paid","PAID",IF($T535="Closed","CLOSED",IF($Z535="","",IF($Z535=6,"ESCALATED TO ROXANNE",IF(TODAY()&gt;$AB535,"OVERDUE",IF($AB535&lt;=WORKDAY(TODAY(),1,Holidays),"DUE TOMORROW",IF($Z535=4,"ESCALATED TO LOCAL OFFICE",IF($Z535=5,"ESCALATED TO CBE",IF($AA535=TODAY(),"EMAIL SENT","MONITORING"))))))))))</f>
        <v/>
      </c>
      <c r="V535" s="17">
        <f>IF($U535="",IF(AND(COUNTA($A535:$L535)&gt;0,$N535=""),"Awaiting Collection Email time stamp.",""),IF(OR($U535="PAID",$U535="CLOSED"),IF($U535="PAID","Account paid. Action completed.","Account closed. No further action required."),CHOOSE($Z535,"Collection Email","1st Email Follow-up","2nd Email Follow-up","Escalation to Local Office","Escalation to CBE","Escalation to Roxanne")&amp;" sent "&amp;TEXT($AA535,"dd-mmm")&amp;". "&amp;IF($Z535=6,"Final escalation completed.",IF($U535="OVERDUE","Next: "&amp;$AC535&amp;" was due "&amp;TEXT($AB535,"dd-mmm")&amp;" - "&amp;(NETWORKDAYS($AB535,TODAY(),Holidays)-1)&amp;" business day(s) late. Send now.",IF($U535="DUE TOMORROW","Next: "&amp;$AC535&amp;IF($AB535&lt;=TODAY()," is due TODAY ("," is due next business day (")&amp;TEXT($AB535,"dd-mmm")&amp;").","Next: "&amp;$AC535&amp;" due "&amp;TEXT($AB535,"dd-mmm")&amp;" ("&amp;(NETWORKDAYS(TODAY(),$AB535,Holidays)-1)&amp;" business day(s) left).")))))</f>
        <v/>
      </c>
      <c r="W535" s="17">
        <f>IF($Z535="","",CHOOSE($Z535,"Collection Email","1st Follow-up","2nd Follow-up","Local Office","CBE","Roxanne")&amp;IF($Z535=6," - Final"," - Day "&amp;MAX(0,NETWORKDAYS($AA535,TODAY(),Holidays)-1)&amp;" of "&amp;CHOOSE($Z535,3,3,2,2,3))&amp;" | Total Day "&amp;MAX(0,NETWORKDAYS($N535,TODAY(),Holidays)-1))</f>
        <v/>
      </c>
      <c r="X535" s="18"/>
      <c r="Y535" s="18"/>
      <c r="Z535" s="17">
        <f>IF($N535="","",COUNT($N535:$S535))</f>
        <v/>
      </c>
      <c r="AA535" s="19">
        <f>IF($Z535="","",INT(INDEX($N535:$S535,$Z535)))</f>
        <v/>
      </c>
      <c r="AB535" s="19">
        <f>IF(OR($Z535="",$Z535=6),"",WORKDAY($AA535,CHOOSE($Z535,3,3,2,2,3),Holidays))</f>
        <v/>
      </c>
      <c r="AC535" s="17">
        <f>IF(OR($Z535="",$Z535=6),"",CHOOSE($Z535,"1st Email Follow-up","2nd Email Follow-up","Escalate Local Office","Escalate to CBE","Escalate to Roxanne"))</f>
        <v/>
      </c>
    </row>
    <row r="536" spans="13:29">
      <c r="M536" s="14"/>
      <c r="T536" s="16"/>
      <c r="U536" s="17">
        <f>IF(AND(COUNTA($A536:$L536)=0,$N536=""),"",IF($T536="Paid","PAID",IF($T536="Closed","CLOSED",IF($Z536="","",IF($Z536=6,"ESCALATED TO ROXANNE",IF(TODAY()&gt;$AB536,"OVERDUE",IF($AB536&lt;=WORKDAY(TODAY(),1,Holidays),"DUE TOMORROW",IF($Z536=4,"ESCALATED TO LOCAL OFFICE",IF($Z536=5,"ESCALATED TO CBE",IF($AA536=TODAY(),"EMAIL SENT","MONITORING"))))))))))</f>
        <v/>
      </c>
      <c r="V536" s="17">
        <f>IF($U536="",IF(AND(COUNTA($A536:$L536)&gt;0,$N536=""),"Awaiting Collection Email time stamp.",""),IF(OR($U536="PAID",$U536="CLOSED"),IF($U536="PAID","Account paid. Action completed.","Account closed. No further action required."),CHOOSE($Z536,"Collection Email","1st Email Follow-up","2nd Email Follow-up","Escalation to Local Office","Escalation to CBE","Escalation to Roxanne")&amp;" sent "&amp;TEXT($AA536,"dd-mmm")&amp;". "&amp;IF($Z536=6,"Final escalation completed.",IF($U536="OVERDUE","Next: "&amp;$AC536&amp;" was due "&amp;TEXT($AB536,"dd-mmm")&amp;" - "&amp;(NETWORKDAYS($AB536,TODAY(),Holidays)-1)&amp;" business day(s) late. Send now.",IF($U536="DUE TOMORROW","Next: "&amp;$AC536&amp;IF($AB536&lt;=TODAY()," is due TODAY ("," is due next business day (")&amp;TEXT($AB536,"dd-mmm")&amp;").","Next: "&amp;$AC536&amp;" due "&amp;TEXT($AB536,"dd-mmm")&amp;" ("&amp;(NETWORKDAYS(TODAY(),$AB536,Holidays)-1)&amp;" business day(s) left).")))))</f>
        <v/>
      </c>
      <c r="W536" s="17">
        <f>IF($Z536="","",CHOOSE($Z536,"Collection Email","1st Follow-up","2nd Follow-up","Local Office","CBE","Roxanne")&amp;IF($Z536=6," - Final"," - Day "&amp;MAX(0,NETWORKDAYS($AA536,TODAY(),Holidays)-1)&amp;" of "&amp;CHOOSE($Z536,3,3,2,2,3))&amp;" | Total Day "&amp;MAX(0,NETWORKDAYS($N536,TODAY(),Holidays)-1))</f>
        <v/>
      </c>
      <c r="X536" s="18"/>
      <c r="Y536" s="18"/>
      <c r="Z536" s="17">
        <f>IF($N536="","",COUNT($N536:$S536))</f>
        <v/>
      </c>
      <c r="AA536" s="19">
        <f>IF($Z536="","",INT(INDEX($N536:$S536,$Z536)))</f>
        <v/>
      </c>
      <c r="AB536" s="19">
        <f>IF(OR($Z536="",$Z536=6),"",WORKDAY($AA536,CHOOSE($Z536,3,3,2,2,3),Holidays))</f>
        <v/>
      </c>
      <c r="AC536" s="17">
        <f>IF(OR($Z536="",$Z536=6),"",CHOOSE($Z536,"1st Email Follow-up","2nd Email Follow-up","Escalate Local Office","Escalate to CBE","Escalate to Roxanne"))</f>
        <v/>
      </c>
    </row>
    <row r="537" spans="13:29">
      <c r="M537" s="14"/>
      <c r="T537" s="16"/>
      <c r="U537" s="17">
        <f>IF(AND(COUNTA($A537:$L537)=0,$N537=""),"",IF($T537="Paid","PAID",IF($T537="Closed","CLOSED",IF($Z537="","",IF($Z537=6,"ESCALATED TO ROXANNE",IF(TODAY()&gt;$AB537,"OVERDUE",IF($AB537&lt;=WORKDAY(TODAY(),1,Holidays),"DUE TOMORROW",IF($Z537=4,"ESCALATED TO LOCAL OFFICE",IF($Z537=5,"ESCALATED TO CBE",IF($AA537=TODAY(),"EMAIL SENT","MONITORING"))))))))))</f>
        <v/>
      </c>
      <c r="V537" s="17">
        <f>IF($U537="",IF(AND(COUNTA($A537:$L537)&gt;0,$N537=""),"Awaiting Collection Email time stamp.",""),IF(OR($U537="PAID",$U537="CLOSED"),IF($U537="PAID","Account paid. Action completed.","Account closed. No further action required."),CHOOSE($Z537,"Collection Email","1st Email Follow-up","2nd Email Follow-up","Escalation to Local Office","Escalation to CBE","Escalation to Roxanne")&amp;" sent "&amp;TEXT($AA537,"dd-mmm")&amp;". "&amp;IF($Z537=6,"Final escalation completed.",IF($U537="OVERDUE","Next: "&amp;$AC537&amp;" was due "&amp;TEXT($AB537,"dd-mmm")&amp;" - "&amp;(NETWORKDAYS($AB537,TODAY(),Holidays)-1)&amp;" business day(s) late. Send now.",IF($U537="DUE TOMORROW","Next: "&amp;$AC537&amp;IF($AB537&lt;=TODAY()," is due TODAY ("," is due next business day (")&amp;TEXT($AB537,"dd-mmm")&amp;").","Next: "&amp;$AC537&amp;" due "&amp;TEXT($AB537,"dd-mmm")&amp;" ("&amp;(NETWORKDAYS(TODAY(),$AB537,Holidays)-1)&amp;" business day(s) left).")))))</f>
        <v/>
      </c>
      <c r="W537" s="17">
        <f>IF($Z537="","",CHOOSE($Z537,"Collection Email","1st Follow-up","2nd Follow-up","Local Office","CBE","Roxanne")&amp;IF($Z537=6," - Final"," - Day "&amp;MAX(0,NETWORKDAYS($AA537,TODAY(),Holidays)-1)&amp;" of "&amp;CHOOSE($Z537,3,3,2,2,3))&amp;" | Total Day "&amp;MAX(0,NETWORKDAYS($N537,TODAY(),Holidays)-1))</f>
        <v/>
      </c>
      <c r="X537" s="18"/>
      <c r="Y537" s="18"/>
      <c r="Z537" s="17">
        <f>IF($N537="","",COUNT($N537:$S537))</f>
        <v/>
      </c>
      <c r="AA537" s="19">
        <f>IF($Z537="","",INT(INDEX($N537:$S537,$Z537)))</f>
        <v/>
      </c>
      <c r="AB537" s="19">
        <f>IF(OR($Z537="",$Z537=6),"",WORKDAY($AA537,CHOOSE($Z537,3,3,2,2,3),Holidays))</f>
        <v/>
      </c>
      <c r="AC537" s="17">
        <f>IF(OR($Z537="",$Z537=6),"",CHOOSE($Z537,"1st Email Follow-up","2nd Email Follow-up","Escalate Local Office","Escalate to CBE","Escalate to Roxanne"))</f>
        <v/>
      </c>
    </row>
    <row r="538" spans="13:29">
      <c r="M538" s="14"/>
      <c r="T538" s="16"/>
      <c r="U538" s="17">
        <f>IF(AND(COUNTA($A538:$L538)=0,$N538=""),"",IF($T538="Paid","PAID",IF($T538="Closed","CLOSED",IF($Z538="","",IF($Z538=6,"ESCALATED TO ROXANNE",IF(TODAY()&gt;$AB538,"OVERDUE",IF($AB538&lt;=WORKDAY(TODAY(),1,Holidays),"DUE TOMORROW",IF($Z538=4,"ESCALATED TO LOCAL OFFICE",IF($Z538=5,"ESCALATED TO CBE",IF($AA538=TODAY(),"EMAIL SENT","MONITORING"))))))))))</f>
        <v/>
      </c>
      <c r="V538" s="17">
        <f>IF($U538="",IF(AND(COUNTA($A538:$L538)&gt;0,$N538=""),"Awaiting Collection Email time stamp.",""),IF(OR($U538="PAID",$U538="CLOSED"),IF($U538="PAID","Account paid. Action completed.","Account closed. No further action required."),CHOOSE($Z538,"Collection Email","1st Email Follow-up","2nd Email Follow-up","Escalation to Local Office","Escalation to CBE","Escalation to Roxanne")&amp;" sent "&amp;TEXT($AA538,"dd-mmm")&amp;". "&amp;IF($Z538=6,"Final escalation completed.",IF($U538="OVERDUE","Next: "&amp;$AC538&amp;" was due "&amp;TEXT($AB538,"dd-mmm")&amp;" - "&amp;(NETWORKDAYS($AB538,TODAY(),Holidays)-1)&amp;" business day(s) late. Send now.",IF($U538="DUE TOMORROW","Next: "&amp;$AC538&amp;IF($AB538&lt;=TODAY()," is due TODAY ("," is due next business day (")&amp;TEXT($AB538,"dd-mmm")&amp;").","Next: "&amp;$AC538&amp;" due "&amp;TEXT($AB538,"dd-mmm")&amp;" ("&amp;(NETWORKDAYS(TODAY(),$AB538,Holidays)-1)&amp;" business day(s) left).")))))</f>
        <v/>
      </c>
      <c r="W538" s="17">
        <f>IF($Z538="","",CHOOSE($Z538,"Collection Email","1st Follow-up","2nd Follow-up","Local Office","CBE","Roxanne")&amp;IF($Z538=6," - Final"," - Day "&amp;MAX(0,NETWORKDAYS($AA538,TODAY(),Holidays)-1)&amp;" of "&amp;CHOOSE($Z538,3,3,2,2,3))&amp;" | Total Day "&amp;MAX(0,NETWORKDAYS($N538,TODAY(),Holidays)-1))</f>
        <v/>
      </c>
      <c r="X538" s="18"/>
      <c r="Y538" s="18"/>
      <c r="Z538" s="17">
        <f>IF($N538="","",COUNT($N538:$S538))</f>
        <v/>
      </c>
      <c r="AA538" s="19">
        <f>IF($Z538="","",INT(INDEX($N538:$S538,$Z538)))</f>
        <v/>
      </c>
      <c r="AB538" s="19">
        <f>IF(OR($Z538="",$Z538=6),"",WORKDAY($AA538,CHOOSE($Z538,3,3,2,2,3),Holidays))</f>
        <v/>
      </c>
      <c r="AC538" s="17">
        <f>IF(OR($Z538="",$Z538=6),"",CHOOSE($Z538,"1st Email Follow-up","2nd Email Follow-up","Escalate Local Office","Escalate to CBE","Escalate to Roxanne"))</f>
        <v/>
      </c>
    </row>
    <row r="539" spans="13:29">
      <c r="M539" s="14"/>
      <c r="T539" s="16"/>
      <c r="U539" s="17">
        <f>IF(AND(COUNTA($A539:$L539)=0,$N539=""),"",IF($T539="Paid","PAID",IF($T539="Closed","CLOSED",IF($Z539="","",IF($Z539=6,"ESCALATED TO ROXANNE",IF(TODAY()&gt;$AB539,"OVERDUE",IF($AB539&lt;=WORKDAY(TODAY(),1,Holidays),"DUE TOMORROW",IF($Z539=4,"ESCALATED TO LOCAL OFFICE",IF($Z539=5,"ESCALATED TO CBE",IF($AA539=TODAY(),"EMAIL SENT","MONITORING"))))))))))</f>
        <v/>
      </c>
      <c r="V539" s="17">
        <f>IF($U539="",IF(AND(COUNTA($A539:$L539)&gt;0,$N539=""),"Awaiting Collection Email time stamp.",""),IF(OR($U539="PAID",$U539="CLOSED"),IF($U539="PAID","Account paid. Action completed.","Account closed. No further action required."),CHOOSE($Z539,"Collection Email","1st Email Follow-up","2nd Email Follow-up","Escalation to Local Office","Escalation to CBE","Escalation to Roxanne")&amp;" sent "&amp;TEXT($AA539,"dd-mmm")&amp;". "&amp;IF($Z539=6,"Final escalation completed.",IF($U539="OVERDUE","Next: "&amp;$AC539&amp;" was due "&amp;TEXT($AB539,"dd-mmm")&amp;" - "&amp;(NETWORKDAYS($AB539,TODAY(),Holidays)-1)&amp;" business day(s) late. Send now.",IF($U539="DUE TOMORROW","Next: "&amp;$AC539&amp;IF($AB539&lt;=TODAY()," is due TODAY ("," is due next business day (")&amp;TEXT($AB539,"dd-mmm")&amp;").","Next: "&amp;$AC539&amp;" due "&amp;TEXT($AB539,"dd-mmm")&amp;" ("&amp;(NETWORKDAYS(TODAY(),$AB539,Holidays)-1)&amp;" business day(s) left).")))))</f>
        <v/>
      </c>
      <c r="W539" s="17">
        <f>IF($Z539="","",CHOOSE($Z539,"Collection Email","1st Follow-up","2nd Follow-up","Local Office","CBE","Roxanne")&amp;IF($Z539=6," - Final"," - Day "&amp;MAX(0,NETWORKDAYS($AA539,TODAY(),Holidays)-1)&amp;" of "&amp;CHOOSE($Z539,3,3,2,2,3))&amp;" | Total Day "&amp;MAX(0,NETWORKDAYS($N539,TODAY(),Holidays)-1))</f>
        <v/>
      </c>
      <c r="X539" s="18"/>
      <c r="Y539" s="18"/>
      <c r="Z539" s="17">
        <f>IF($N539="","",COUNT($N539:$S539))</f>
        <v/>
      </c>
      <c r="AA539" s="19">
        <f>IF($Z539="","",INT(INDEX($N539:$S539,$Z539)))</f>
        <v/>
      </c>
      <c r="AB539" s="19">
        <f>IF(OR($Z539="",$Z539=6),"",WORKDAY($AA539,CHOOSE($Z539,3,3,2,2,3),Holidays))</f>
        <v/>
      </c>
      <c r="AC539" s="17">
        <f>IF(OR($Z539="",$Z539=6),"",CHOOSE($Z539,"1st Email Follow-up","2nd Email Follow-up","Escalate Local Office","Escalate to CBE","Escalate to Roxanne"))</f>
        <v/>
      </c>
    </row>
    <row r="540" spans="13:29">
      <c r="M540" s="14"/>
      <c r="T540" s="16"/>
      <c r="U540" s="17">
        <f>IF(AND(COUNTA($A540:$L540)=0,$N540=""),"",IF($T540="Paid","PAID",IF($T540="Closed","CLOSED",IF($Z540="","",IF($Z540=6,"ESCALATED TO ROXANNE",IF(TODAY()&gt;$AB540,"OVERDUE",IF($AB540&lt;=WORKDAY(TODAY(),1,Holidays),"DUE TOMORROW",IF($Z540=4,"ESCALATED TO LOCAL OFFICE",IF($Z540=5,"ESCALATED TO CBE",IF($AA540=TODAY(),"EMAIL SENT","MONITORING"))))))))))</f>
        <v/>
      </c>
      <c r="V540" s="17">
        <f>IF($U540="",IF(AND(COUNTA($A540:$L540)&gt;0,$N540=""),"Awaiting Collection Email time stamp.",""),IF(OR($U540="PAID",$U540="CLOSED"),IF($U540="PAID","Account paid. Action completed.","Account closed. No further action required."),CHOOSE($Z540,"Collection Email","1st Email Follow-up","2nd Email Follow-up","Escalation to Local Office","Escalation to CBE","Escalation to Roxanne")&amp;" sent "&amp;TEXT($AA540,"dd-mmm")&amp;". "&amp;IF($Z540=6,"Final escalation completed.",IF($U540="OVERDUE","Next: "&amp;$AC540&amp;" was due "&amp;TEXT($AB540,"dd-mmm")&amp;" - "&amp;(NETWORKDAYS($AB540,TODAY(),Holidays)-1)&amp;" business day(s) late. Send now.",IF($U540="DUE TOMORROW","Next: "&amp;$AC540&amp;IF($AB540&lt;=TODAY()," is due TODAY ("," is due next business day (")&amp;TEXT($AB540,"dd-mmm")&amp;").","Next: "&amp;$AC540&amp;" due "&amp;TEXT($AB540,"dd-mmm")&amp;" ("&amp;(NETWORKDAYS(TODAY(),$AB540,Holidays)-1)&amp;" business day(s) left).")))))</f>
        <v/>
      </c>
      <c r="W540" s="17">
        <f>IF($Z540="","",CHOOSE($Z540,"Collection Email","1st Follow-up","2nd Follow-up","Local Office","CBE","Roxanne")&amp;IF($Z540=6," - Final"," - Day "&amp;MAX(0,NETWORKDAYS($AA540,TODAY(),Holidays)-1)&amp;" of "&amp;CHOOSE($Z540,3,3,2,2,3))&amp;" | Total Day "&amp;MAX(0,NETWORKDAYS($N540,TODAY(),Holidays)-1))</f>
        <v/>
      </c>
      <c r="X540" s="18"/>
      <c r="Y540" s="18"/>
      <c r="Z540" s="17">
        <f>IF($N540="","",COUNT($N540:$S540))</f>
        <v/>
      </c>
      <c r="AA540" s="19">
        <f>IF($Z540="","",INT(INDEX($N540:$S540,$Z540)))</f>
        <v/>
      </c>
      <c r="AB540" s="19">
        <f>IF(OR($Z540="",$Z540=6),"",WORKDAY($AA540,CHOOSE($Z540,3,3,2,2,3),Holidays))</f>
        <v/>
      </c>
      <c r="AC540" s="17">
        <f>IF(OR($Z540="",$Z540=6),"",CHOOSE($Z540,"1st Email Follow-up","2nd Email Follow-up","Escalate Local Office","Escalate to CBE","Escalate to Roxanne"))</f>
        <v/>
      </c>
    </row>
    <row r="541" spans="13:29">
      <c r="M541" s="14"/>
      <c r="T541" s="16"/>
      <c r="U541" s="17">
        <f>IF(AND(COUNTA($A541:$L541)=0,$N541=""),"",IF($T541="Paid","PAID",IF($T541="Closed","CLOSED",IF($Z541="","",IF($Z541=6,"ESCALATED TO ROXANNE",IF(TODAY()&gt;$AB541,"OVERDUE",IF($AB541&lt;=WORKDAY(TODAY(),1,Holidays),"DUE TOMORROW",IF($Z541=4,"ESCALATED TO LOCAL OFFICE",IF($Z541=5,"ESCALATED TO CBE",IF($AA541=TODAY(),"EMAIL SENT","MONITORING"))))))))))</f>
        <v/>
      </c>
      <c r="V541" s="17">
        <f>IF($U541="",IF(AND(COUNTA($A541:$L541)&gt;0,$N541=""),"Awaiting Collection Email time stamp.",""),IF(OR($U541="PAID",$U541="CLOSED"),IF($U541="PAID","Account paid. Action completed.","Account closed. No further action required."),CHOOSE($Z541,"Collection Email","1st Email Follow-up","2nd Email Follow-up","Escalation to Local Office","Escalation to CBE","Escalation to Roxanne")&amp;" sent "&amp;TEXT($AA541,"dd-mmm")&amp;". "&amp;IF($Z541=6,"Final escalation completed.",IF($U541="OVERDUE","Next: "&amp;$AC541&amp;" was due "&amp;TEXT($AB541,"dd-mmm")&amp;" - "&amp;(NETWORKDAYS($AB541,TODAY(),Holidays)-1)&amp;" business day(s) late. Send now.",IF($U541="DUE TOMORROW","Next: "&amp;$AC541&amp;IF($AB541&lt;=TODAY()," is due TODAY ("," is due next business day (")&amp;TEXT($AB541,"dd-mmm")&amp;").","Next: "&amp;$AC541&amp;" due "&amp;TEXT($AB541,"dd-mmm")&amp;" ("&amp;(NETWORKDAYS(TODAY(),$AB541,Holidays)-1)&amp;" business day(s) left).")))))</f>
        <v/>
      </c>
      <c r="W541" s="17">
        <f>IF($Z541="","",CHOOSE($Z541,"Collection Email","1st Follow-up","2nd Follow-up","Local Office","CBE","Roxanne")&amp;IF($Z541=6," - Final"," - Day "&amp;MAX(0,NETWORKDAYS($AA541,TODAY(),Holidays)-1)&amp;" of "&amp;CHOOSE($Z541,3,3,2,2,3))&amp;" | Total Day "&amp;MAX(0,NETWORKDAYS($N541,TODAY(),Holidays)-1))</f>
        <v/>
      </c>
      <c r="X541" s="18"/>
      <c r="Y541" s="18"/>
      <c r="Z541" s="17">
        <f>IF($N541="","",COUNT($N541:$S541))</f>
        <v/>
      </c>
      <c r="AA541" s="19">
        <f>IF($Z541="","",INT(INDEX($N541:$S541,$Z541)))</f>
        <v/>
      </c>
      <c r="AB541" s="19">
        <f>IF(OR($Z541="",$Z541=6),"",WORKDAY($AA541,CHOOSE($Z541,3,3,2,2,3),Holidays))</f>
        <v/>
      </c>
      <c r="AC541" s="17">
        <f>IF(OR($Z541="",$Z541=6),"",CHOOSE($Z541,"1st Email Follow-up","2nd Email Follow-up","Escalate Local Office","Escalate to CBE","Escalate to Roxanne"))</f>
        <v/>
      </c>
    </row>
    <row r="542" spans="13:29">
      <c r="M542" s="14"/>
      <c r="T542" s="16"/>
      <c r="U542" s="17">
        <f>IF(AND(COUNTA($A542:$L542)=0,$N542=""),"",IF($T542="Paid","PAID",IF($T542="Closed","CLOSED",IF($Z542="","",IF($Z542=6,"ESCALATED TO ROXANNE",IF(TODAY()&gt;$AB542,"OVERDUE",IF($AB542&lt;=WORKDAY(TODAY(),1,Holidays),"DUE TOMORROW",IF($Z542=4,"ESCALATED TO LOCAL OFFICE",IF($Z542=5,"ESCALATED TO CBE",IF($AA542=TODAY(),"EMAIL SENT","MONITORING"))))))))))</f>
        <v/>
      </c>
      <c r="V542" s="17">
        <f>IF($U542="",IF(AND(COUNTA($A542:$L542)&gt;0,$N542=""),"Awaiting Collection Email time stamp.",""),IF(OR($U542="PAID",$U542="CLOSED"),IF($U542="PAID","Account paid. Action completed.","Account closed. No further action required."),CHOOSE($Z542,"Collection Email","1st Email Follow-up","2nd Email Follow-up","Escalation to Local Office","Escalation to CBE","Escalation to Roxanne")&amp;" sent "&amp;TEXT($AA542,"dd-mmm")&amp;". "&amp;IF($Z542=6,"Final escalation completed.",IF($U542="OVERDUE","Next: "&amp;$AC542&amp;" was due "&amp;TEXT($AB542,"dd-mmm")&amp;" - "&amp;(NETWORKDAYS($AB542,TODAY(),Holidays)-1)&amp;" business day(s) late. Send now.",IF($U542="DUE TOMORROW","Next: "&amp;$AC542&amp;IF($AB542&lt;=TODAY()," is due TODAY ("," is due next business day (")&amp;TEXT($AB542,"dd-mmm")&amp;").","Next: "&amp;$AC542&amp;" due "&amp;TEXT($AB542,"dd-mmm")&amp;" ("&amp;(NETWORKDAYS(TODAY(),$AB542,Holidays)-1)&amp;" business day(s) left).")))))</f>
        <v/>
      </c>
      <c r="W542" s="17">
        <f>IF($Z542="","",CHOOSE($Z542,"Collection Email","1st Follow-up","2nd Follow-up","Local Office","CBE","Roxanne")&amp;IF($Z542=6," - Final"," - Day "&amp;MAX(0,NETWORKDAYS($AA542,TODAY(),Holidays)-1)&amp;" of "&amp;CHOOSE($Z542,3,3,2,2,3))&amp;" | Total Day "&amp;MAX(0,NETWORKDAYS($N542,TODAY(),Holidays)-1))</f>
        <v/>
      </c>
      <c r="X542" s="18"/>
      <c r="Y542" s="18"/>
      <c r="Z542" s="17">
        <f>IF($N542="","",COUNT($N542:$S542))</f>
        <v/>
      </c>
      <c r="AA542" s="19">
        <f>IF($Z542="","",INT(INDEX($N542:$S542,$Z542)))</f>
        <v/>
      </c>
      <c r="AB542" s="19">
        <f>IF(OR($Z542="",$Z542=6),"",WORKDAY($AA542,CHOOSE($Z542,3,3,2,2,3),Holidays))</f>
        <v/>
      </c>
      <c r="AC542" s="17">
        <f>IF(OR($Z542="",$Z542=6),"",CHOOSE($Z542,"1st Email Follow-up","2nd Email Follow-up","Escalate Local Office","Escalate to CBE","Escalate to Roxanne"))</f>
        <v/>
      </c>
    </row>
    <row r="543" spans="13:29">
      <c r="M543" s="14"/>
      <c r="T543" s="16"/>
      <c r="U543" s="17">
        <f>IF(AND(COUNTA($A543:$L543)=0,$N543=""),"",IF($T543="Paid","PAID",IF($T543="Closed","CLOSED",IF($Z543="","",IF($Z543=6,"ESCALATED TO ROXANNE",IF(TODAY()&gt;$AB543,"OVERDUE",IF($AB543&lt;=WORKDAY(TODAY(),1,Holidays),"DUE TOMORROW",IF($Z543=4,"ESCALATED TO LOCAL OFFICE",IF($Z543=5,"ESCALATED TO CBE",IF($AA543=TODAY(),"EMAIL SENT","MONITORING"))))))))))</f>
        <v/>
      </c>
      <c r="V543" s="17">
        <f>IF($U543="",IF(AND(COUNTA($A543:$L543)&gt;0,$N543=""),"Awaiting Collection Email time stamp.",""),IF(OR($U543="PAID",$U543="CLOSED"),IF($U543="PAID","Account paid. Action completed.","Account closed. No further action required."),CHOOSE($Z543,"Collection Email","1st Email Follow-up","2nd Email Follow-up","Escalation to Local Office","Escalation to CBE","Escalation to Roxanne")&amp;" sent "&amp;TEXT($AA543,"dd-mmm")&amp;". "&amp;IF($Z543=6,"Final escalation completed.",IF($U543="OVERDUE","Next: "&amp;$AC543&amp;" was due "&amp;TEXT($AB543,"dd-mmm")&amp;" - "&amp;(NETWORKDAYS($AB543,TODAY(),Holidays)-1)&amp;" business day(s) late. Send now.",IF($U543="DUE TOMORROW","Next: "&amp;$AC543&amp;IF($AB543&lt;=TODAY()," is due TODAY ("," is due next business day (")&amp;TEXT($AB543,"dd-mmm")&amp;").","Next: "&amp;$AC543&amp;" due "&amp;TEXT($AB543,"dd-mmm")&amp;" ("&amp;(NETWORKDAYS(TODAY(),$AB543,Holidays)-1)&amp;" business day(s) left).")))))</f>
        <v/>
      </c>
      <c r="W543" s="17">
        <f>IF($Z543="","",CHOOSE($Z543,"Collection Email","1st Follow-up","2nd Follow-up","Local Office","CBE","Roxanne")&amp;IF($Z543=6," - Final"," - Day "&amp;MAX(0,NETWORKDAYS($AA543,TODAY(),Holidays)-1)&amp;" of "&amp;CHOOSE($Z543,3,3,2,2,3))&amp;" | Total Day "&amp;MAX(0,NETWORKDAYS($N543,TODAY(),Holidays)-1))</f>
        <v/>
      </c>
      <c r="X543" s="18"/>
      <c r="Y543" s="18"/>
      <c r="Z543" s="17">
        <f>IF($N543="","",COUNT($N543:$S543))</f>
        <v/>
      </c>
      <c r="AA543" s="19">
        <f>IF($Z543="","",INT(INDEX($N543:$S543,$Z543)))</f>
        <v/>
      </c>
      <c r="AB543" s="19">
        <f>IF(OR($Z543="",$Z543=6),"",WORKDAY($AA543,CHOOSE($Z543,3,3,2,2,3),Holidays))</f>
        <v/>
      </c>
      <c r="AC543" s="17">
        <f>IF(OR($Z543="",$Z543=6),"",CHOOSE($Z543,"1st Email Follow-up","2nd Email Follow-up","Escalate Local Office","Escalate to CBE","Escalate to Roxanne"))</f>
        <v/>
      </c>
    </row>
    <row r="544" spans="13:29">
      <c r="M544" s="14"/>
      <c r="T544" s="16"/>
      <c r="U544" s="17">
        <f>IF(AND(COUNTA($A544:$L544)=0,$N544=""),"",IF($T544="Paid","PAID",IF($T544="Closed","CLOSED",IF($Z544="","",IF($Z544=6,"ESCALATED TO ROXANNE",IF(TODAY()&gt;$AB544,"OVERDUE",IF($AB544&lt;=WORKDAY(TODAY(),1,Holidays),"DUE TOMORROW",IF($Z544=4,"ESCALATED TO LOCAL OFFICE",IF($Z544=5,"ESCALATED TO CBE",IF($AA544=TODAY(),"EMAIL SENT","MONITORING"))))))))))</f>
        <v/>
      </c>
      <c r="V544" s="17">
        <f>IF($U544="",IF(AND(COUNTA($A544:$L544)&gt;0,$N544=""),"Awaiting Collection Email time stamp.",""),IF(OR($U544="PAID",$U544="CLOSED"),IF($U544="PAID","Account paid. Action completed.","Account closed. No further action required."),CHOOSE($Z544,"Collection Email","1st Email Follow-up","2nd Email Follow-up","Escalation to Local Office","Escalation to CBE","Escalation to Roxanne")&amp;" sent "&amp;TEXT($AA544,"dd-mmm")&amp;". "&amp;IF($Z544=6,"Final escalation completed.",IF($U544="OVERDUE","Next: "&amp;$AC544&amp;" was due "&amp;TEXT($AB544,"dd-mmm")&amp;" - "&amp;(NETWORKDAYS($AB544,TODAY(),Holidays)-1)&amp;" business day(s) late. Send now.",IF($U544="DUE TOMORROW","Next: "&amp;$AC544&amp;IF($AB544&lt;=TODAY()," is due TODAY ("," is due next business day (")&amp;TEXT($AB544,"dd-mmm")&amp;").","Next: "&amp;$AC544&amp;" due "&amp;TEXT($AB544,"dd-mmm")&amp;" ("&amp;(NETWORKDAYS(TODAY(),$AB544,Holidays)-1)&amp;" business day(s) left).")))))</f>
        <v/>
      </c>
      <c r="W544" s="17">
        <f>IF($Z544="","",CHOOSE($Z544,"Collection Email","1st Follow-up","2nd Follow-up","Local Office","CBE","Roxanne")&amp;IF($Z544=6," - Final"," - Day "&amp;MAX(0,NETWORKDAYS($AA544,TODAY(),Holidays)-1)&amp;" of "&amp;CHOOSE($Z544,3,3,2,2,3))&amp;" | Total Day "&amp;MAX(0,NETWORKDAYS($N544,TODAY(),Holidays)-1))</f>
        <v/>
      </c>
      <c r="X544" s="18"/>
      <c r="Y544" s="18"/>
      <c r="Z544" s="17">
        <f>IF($N544="","",COUNT($N544:$S544))</f>
        <v/>
      </c>
      <c r="AA544" s="19">
        <f>IF($Z544="","",INT(INDEX($N544:$S544,$Z544)))</f>
        <v/>
      </c>
      <c r="AB544" s="19">
        <f>IF(OR($Z544="",$Z544=6),"",WORKDAY($AA544,CHOOSE($Z544,3,3,2,2,3),Holidays))</f>
        <v/>
      </c>
      <c r="AC544" s="17">
        <f>IF(OR($Z544="",$Z544=6),"",CHOOSE($Z544,"1st Email Follow-up","2nd Email Follow-up","Escalate Local Office","Escalate to CBE","Escalate to Roxanne"))</f>
        <v/>
      </c>
    </row>
    <row r="545" spans="13:29">
      <c r="M545" s="14"/>
      <c r="T545" s="16"/>
      <c r="U545" s="17">
        <f>IF(AND(COUNTA($A545:$L545)=0,$N545=""),"",IF($T545="Paid","PAID",IF($T545="Closed","CLOSED",IF($Z545="","",IF($Z545=6,"ESCALATED TO ROXANNE",IF(TODAY()&gt;$AB545,"OVERDUE",IF($AB545&lt;=WORKDAY(TODAY(),1,Holidays),"DUE TOMORROW",IF($Z545=4,"ESCALATED TO LOCAL OFFICE",IF($Z545=5,"ESCALATED TO CBE",IF($AA545=TODAY(),"EMAIL SENT","MONITORING"))))))))))</f>
        <v/>
      </c>
      <c r="V545" s="17">
        <f>IF($U545="",IF(AND(COUNTA($A545:$L545)&gt;0,$N545=""),"Awaiting Collection Email time stamp.",""),IF(OR($U545="PAID",$U545="CLOSED"),IF($U545="PAID","Account paid. Action completed.","Account closed. No further action required."),CHOOSE($Z545,"Collection Email","1st Email Follow-up","2nd Email Follow-up","Escalation to Local Office","Escalation to CBE","Escalation to Roxanne")&amp;" sent "&amp;TEXT($AA545,"dd-mmm")&amp;". "&amp;IF($Z545=6,"Final escalation completed.",IF($U545="OVERDUE","Next: "&amp;$AC545&amp;" was due "&amp;TEXT($AB545,"dd-mmm")&amp;" - "&amp;(NETWORKDAYS($AB545,TODAY(),Holidays)-1)&amp;" business day(s) late. Send now.",IF($U545="DUE TOMORROW","Next: "&amp;$AC545&amp;IF($AB545&lt;=TODAY()," is due TODAY ("," is due next business day (")&amp;TEXT($AB545,"dd-mmm")&amp;").","Next: "&amp;$AC545&amp;" due "&amp;TEXT($AB545,"dd-mmm")&amp;" ("&amp;(NETWORKDAYS(TODAY(),$AB545,Holidays)-1)&amp;" business day(s) left).")))))</f>
        <v/>
      </c>
      <c r="W545" s="17">
        <f>IF($Z545="","",CHOOSE($Z545,"Collection Email","1st Follow-up","2nd Follow-up","Local Office","CBE","Roxanne")&amp;IF($Z545=6," - Final"," - Day "&amp;MAX(0,NETWORKDAYS($AA545,TODAY(),Holidays)-1)&amp;" of "&amp;CHOOSE($Z545,3,3,2,2,3))&amp;" | Total Day "&amp;MAX(0,NETWORKDAYS($N545,TODAY(),Holidays)-1))</f>
        <v/>
      </c>
      <c r="X545" s="18"/>
      <c r="Y545" s="18"/>
      <c r="Z545" s="17">
        <f>IF($N545="","",COUNT($N545:$S545))</f>
        <v/>
      </c>
      <c r="AA545" s="19">
        <f>IF($Z545="","",INT(INDEX($N545:$S545,$Z545)))</f>
        <v/>
      </c>
      <c r="AB545" s="19">
        <f>IF(OR($Z545="",$Z545=6),"",WORKDAY($AA545,CHOOSE($Z545,3,3,2,2,3),Holidays))</f>
        <v/>
      </c>
      <c r="AC545" s="17">
        <f>IF(OR($Z545="",$Z545=6),"",CHOOSE($Z545,"1st Email Follow-up","2nd Email Follow-up","Escalate Local Office","Escalate to CBE","Escalate to Roxanne"))</f>
        <v/>
      </c>
    </row>
    <row r="546" spans="13:29">
      <c r="M546" s="14"/>
      <c r="T546" s="16"/>
      <c r="U546" s="17">
        <f>IF(AND(COUNTA($A546:$L546)=0,$N546=""),"",IF($T546="Paid","PAID",IF($T546="Closed","CLOSED",IF($Z546="","",IF($Z546=6,"ESCALATED TO ROXANNE",IF(TODAY()&gt;$AB546,"OVERDUE",IF($AB546&lt;=WORKDAY(TODAY(),1,Holidays),"DUE TOMORROW",IF($Z546=4,"ESCALATED TO LOCAL OFFICE",IF($Z546=5,"ESCALATED TO CBE",IF($AA546=TODAY(),"EMAIL SENT","MONITORING"))))))))))</f>
        <v/>
      </c>
      <c r="V546" s="17">
        <f>IF($U546="",IF(AND(COUNTA($A546:$L546)&gt;0,$N546=""),"Awaiting Collection Email time stamp.",""),IF(OR($U546="PAID",$U546="CLOSED"),IF($U546="PAID","Account paid. Action completed.","Account closed. No further action required."),CHOOSE($Z546,"Collection Email","1st Email Follow-up","2nd Email Follow-up","Escalation to Local Office","Escalation to CBE","Escalation to Roxanne")&amp;" sent "&amp;TEXT($AA546,"dd-mmm")&amp;". "&amp;IF($Z546=6,"Final escalation completed.",IF($U546="OVERDUE","Next: "&amp;$AC546&amp;" was due "&amp;TEXT($AB546,"dd-mmm")&amp;" - "&amp;(NETWORKDAYS($AB546,TODAY(),Holidays)-1)&amp;" business day(s) late. Send now.",IF($U546="DUE TOMORROW","Next: "&amp;$AC546&amp;IF($AB546&lt;=TODAY()," is due TODAY ("," is due next business day (")&amp;TEXT($AB546,"dd-mmm")&amp;").","Next: "&amp;$AC546&amp;" due "&amp;TEXT($AB546,"dd-mmm")&amp;" ("&amp;(NETWORKDAYS(TODAY(),$AB546,Holidays)-1)&amp;" business day(s) left).")))))</f>
        <v/>
      </c>
      <c r="W546" s="17">
        <f>IF($Z546="","",CHOOSE($Z546,"Collection Email","1st Follow-up","2nd Follow-up","Local Office","CBE","Roxanne")&amp;IF($Z546=6," - Final"," - Day "&amp;MAX(0,NETWORKDAYS($AA546,TODAY(),Holidays)-1)&amp;" of "&amp;CHOOSE($Z546,3,3,2,2,3))&amp;" | Total Day "&amp;MAX(0,NETWORKDAYS($N546,TODAY(),Holidays)-1))</f>
        <v/>
      </c>
      <c r="X546" s="18"/>
      <c r="Y546" s="18"/>
      <c r="Z546" s="17">
        <f>IF($N546="","",COUNT($N546:$S546))</f>
        <v/>
      </c>
      <c r="AA546" s="19">
        <f>IF($Z546="","",INT(INDEX($N546:$S546,$Z546)))</f>
        <v/>
      </c>
      <c r="AB546" s="19">
        <f>IF(OR($Z546="",$Z546=6),"",WORKDAY($AA546,CHOOSE($Z546,3,3,2,2,3),Holidays))</f>
        <v/>
      </c>
      <c r="AC546" s="17">
        <f>IF(OR($Z546="",$Z546=6),"",CHOOSE($Z546,"1st Email Follow-up","2nd Email Follow-up","Escalate Local Office","Escalate to CBE","Escalate to Roxanne"))</f>
        <v/>
      </c>
    </row>
    <row r="547" spans="13:29">
      <c r="M547" s="14"/>
      <c r="T547" s="16"/>
      <c r="U547" s="17">
        <f>IF(AND(COUNTA($A547:$L547)=0,$N547=""),"",IF($T547="Paid","PAID",IF($T547="Closed","CLOSED",IF($Z547="","",IF($Z547=6,"ESCALATED TO ROXANNE",IF(TODAY()&gt;$AB547,"OVERDUE",IF($AB547&lt;=WORKDAY(TODAY(),1,Holidays),"DUE TOMORROW",IF($Z547=4,"ESCALATED TO LOCAL OFFICE",IF($Z547=5,"ESCALATED TO CBE",IF($AA547=TODAY(),"EMAIL SENT","MONITORING"))))))))))</f>
        <v/>
      </c>
      <c r="V547" s="17">
        <f>IF($U547="",IF(AND(COUNTA($A547:$L547)&gt;0,$N547=""),"Awaiting Collection Email time stamp.",""),IF(OR($U547="PAID",$U547="CLOSED"),IF($U547="PAID","Account paid. Action completed.","Account closed. No further action required."),CHOOSE($Z547,"Collection Email","1st Email Follow-up","2nd Email Follow-up","Escalation to Local Office","Escalation to CBE","Escalation to Roxanne")&amp;" sent "&amp;TEXT($AA547,"dd-mmm")&amp;". "&amp;IF($Z547=6,"Final escalation completed.",IF($U547="OVERDUE","Next: "&amp;$AC547&amp;" was due "&amp;TEXT($AB547,"dd-mmm")&amp;" - "&amp;(NETWORKDAYS($AB547,TODAY(),Holidays)-1)&amp;" business day(s) late. Send now.",IF($U547="DUE TOMORROW","Next: "&amp;$AC547&amp;IF($AB547&lt;=TODAY()," is due TODAY ("," is due next business day (")&amp;TEXT($AB547,"dd-mmm")&amp;").","Next: "&amp;$AC547&amp;" due "&amp;TEXT($AB547,"dd-mmm")&amp;" ("&amp;(NETWORKDAYS(TODAY(),$AB547,Holidays)-1)&amp;" business day(s) left).")))))</f>
        <v/>
      </c>
      <c r="W547" s="17">
        <f>IF($Z547="","",CHOOSE($Z547,"Collection Email","1st Follow-up","2nd Follow-up","Local Office","CBE","Roxanne")&amp;IF($Z547=6," - Final"," - Day "&amp;MAX(0,NETWORKDAYS($AA547,TODAY(),Holidays)-1)&amp;" of "&amp;CHOOSE($Z547,3,3,2,2,3))&amp;" | Total Day "&amp;MAX(0,NETWORKDAYS($N547,TODAY(),Holidays)-1))</f>
        <v/>
      </c>
      <c r="X547" s="18"/>
      <c r="Y547" s="18"/>
      <c r="Z547" s="17">
        <f>IF($N547="","",COUNT($N547:$S547))</f>
        <v/>
      </c>
      <c r="AA547" s="19">
        <f>IF($Z547="","",INT(INDEX($N547:$S547,$Z547)))</f>
        <v/>
      </c>
      <c r="AB547" s="19">
        <f>IF(OR($Z547="",$Z547=6),"",WORKDAY($AA547,CHOOSE($Z547,3,3,2,2,3),Holidays))</f>
        <v/>
      </c>
      <c r="AC547" s="17">
        <f>IF(OR($Z547="",$Z547=6),"",CHOOSE($Z547,"1st Email Follow-up","2nd Email Follow-up","Escalate Local Office","Escalate to CBE","Escalate to Roxanne"))</f>
        <v/>
      </c>
    </row>
    <row r="548" spans="13:29">
      <c r="M548" s="14"/>
      <c r="T548" s="16"/>
      <c r="U548" s="17">
        <f>IF(AND(COUNTA($A548:$L548)=0,$N548=""),"",IF($T548="Paid","PAID",IF($T548="Closed","CLOSED",IF($Z548="","",IF($Z548=6,"ESCALATED TO ROXANNE",IF(TODAY()&gt;$AB548,"OVERDUE",IF($AB548&lt;=WORKDAY(TODAY(),1,Holidays),"DUE TOMORROW",IF($Z548=4,"ESCALATED TO LOCAL OFFICE",IF($Z548=5,"ESCALATED TO CBE",IF($AA548=TODAY(),"EMAIL SENT","MONITORING"))))))))))</f>
        <v/>
      </c>
      <c r="V548" s="17">
        <f>IF($U548="",IF(AND(COUNTA($A548:$L548)&gt;0,$N548=""),"Awaiting Collection Email time stamp.",""),IF(OR($U548="PAID",$U548="CLOSED"),IF($U548="PAID","Account paid. Action completed.","Account closed. No further action required."),CHOOSE($Z548,"Collection Email","1st Email Follow-up","2nd Email Follow-up","Escalation to Local Office","Escalation to CBE","Escalation to Roxanne")&amp;" sent "&amp;TEXT($AA548,"dd-mmm")&amp;". "&amp;IF($Z548=6,"Final escalation completed.",IF($U548="OVERDUE","Next: "&amp;$AC548&amp;" was due "&amp;TEXT($AB548,"dd-mmm")&amp;" - "&amp;(NETWORKDAYS($AB548,TODAY(),Holidays)-1)&amp;" business day(s) late. Send now.",IF($U548="DUE TOMORROW","Next: "&amp;$AC548&amp;IF($AB548&lt;=TODAY()," is due TODAY ("," is due next business day (")&amp;TEXT($AB548,"dd-mmm")&amp;").","Next: "&amp;$AC548&amp;" due "&amp;TEXT($AB548,"dd-mmm")&amp;" ("&amp;(NETWORKDAYS(TODAY(),$AB548,Holidays)-1)&amp;" business day(s) left).")))))</f>
        <v/>
      </c>
      <c r="W548" s="17">
        <f>IF($Z548="","",CHOOSE($Z548,"Collection Email","1st Follow-up","2nd Follow-up","Local Office","CBE","Roxanne")&amp;IF($Z548=6," - Final"," - Day "&amp;MAX(0,NETWORKDAYS($AA548,TODAY(),Holidays)-1)&amp;" of "&amp;CHOOSE($Z548,3,3,2,2,3))&amp;" | Total Day "&amp;MAX(0,NETWORKDAYS($N548,TODAY(),Holidays)-1))</f>
        <v/>
      </c>
      <c r="X548" s="18"/>
      <c r="Y548" s="18"/>
      <c r="Z548" s="17">
        <f>IF($N548="","",COUNT($N548:$S548))</f>
        <v/>
      </c>
      <c r="AA548" s="19">
        <f>IF($Z548="","",INT(INDEX($N548:$S548,$Z548)))</f>
        <v/>
      </c>
      <c r="AB548" s="19">
        <f>IF(OR($Z548="",$Z548=6),"",WORKDAY($AA548,CHOOSE($Z548,3,3,2,2,3),Holidays))</f>
        <v/>
      </c>
      <c r="AC548" s="17">
        <f>IF(OR($Z548="",$Z548=6),"",CHOOSE($Z548,"1st Email Follow-up","2nd Email Follow-up","Escalate Local Office","Escalate to CBE","Escalate to Roxanne"))</f>
        <v/>
      </c>
    </row>
    <row r="549" spans="13:29">
      <c r="M549" s="14"/>
      <c r="T549" s="16"/>
      <c r="U549" s="17">
        <f>IF(AND(COUNTA($A549:$L549)=0,$N549=""),"",IF($T549="Paid","PAID",IF($T549="Closed","CLOSED",IF($Z549="","",IF($Z549=6,"ESCALATED TO ROXANNE",IF(TODAY()&gt;$AB549,"OVERDUE",IF($AB549&lt;=WORKDAY(TODAY(),1,Holidays),"DUE TOMORROW",IF($Z549=4,"ESCALATED TO LOCAL OFFICE",IF($Z549=5,"ESCALATED TO CBE",IF($AA549=TODAY(),"EMAIL SENT","MONITORING"))))))))))</f>
        <v/>
      </c>
      <c r="V549" s="17">
        <f>IF($U549="",IF(AND(COUNTA($A549:$L549)&gt;0,$N549=""),"Awaiting Collection Email time stamp.",""),IF(OR($U549="PAID",$U549="CLOSED"),IF($U549="PAID","Account paid. Action completed.","Account closed. No further action required."),CHOOSE($Z549,"Collection Email","1st Email Follow-up","2nd Email Follow-up","Escalation to Local Office","Escalation to CBE","Escalation to Roxanne")&amp;" sent "&amp;TEXT($AA549,"dd-mmm")&amp;". "&amp;IF($Z549=6,"Final escalation completed.",IF($U549="OVERDUE","Next: "&amp;$AC549&amp;" was due "&amp;TEXT($AB549,"dd-mmm")&amp;" - "&amp;(NETWORKDAYS($AB549,TODAY(),Holidays)-1)&amp;" business day(s) late. Send now.",IF($U549="DUE TOMORROW","Next: "&amp;$AC549&amp;IF($AB549&lt;=TODAY()," is due TODAY ("," is due next business day (")&amp;TEXT($AB549,"dd-mmm")&amp;").","Next: "&amp;$AC549&amp;" due "&amp;TEXT($AB549,"dd-mmm")&amp;" ("&amp;(NETWORKDAYS(TODAY(),$AB549,Holidays)-1)&amp;" business day(s) left).")))))</f>
        <v/>
      </c>
      <c r="W549" s="17">
        <f>IF($Z549="","",CHOOSE($Z549,"Collection Email","1st Follow-up","2nd Follow-up","Local Office","CBE","Roxanne")&amp;IF($Z549=6," - Final"," - Day "&amp;MAX(0,NETWORKDAYS($AA549,TODAY(),Holidays)-1)&amp;" of "&amp;CHOOSE($Z549,3,3,2,2,3))&amp;" | Total Day "&amp;MAX(0,NETWORKDAYS($N549,TODAY(),Holidays)-1))</f>
        <v/>
      </c>
      <c r="X549" s="18"/>
      <c r="Y549" s="18"/>
      <c r="Z549" s="17">
        <f>IF($N549="","",COUNT($N549:$S549))</f>
        <v/>
      </c>
      <c r="AA549" s="19">
        <f>IF($Z549="","",INT(INDEX($N549:$S549,$Z549)))</f>
        <v/>
      </c>
      <c r="AB549" s="19">
        <f>IF(OR($Z549="",$Z549=6),"",WORKDAY($AA549,CHOOSE($Z549,3,3,2,2,3),Holidays))</f>
        <v/>
      </c>
      <c r="AC549" s="17">
        <f>IF(OR($Z549="",$Z549=6),"",CHOOSE($Z549,"1st Email Follow-up","2nd Email Follow-up","Escalate Local Office","Escalate to CBE","Escalate to Roxanne"))</f>
        <v/>
      </c>
    </row>
    <row r="550" spans="13:29">
      <c r="M550" s="14"/>
      <c r="T550" s="16"/>
      <c r="U550" s="17">
        <f>IF(AND(COUNTA($A550:$L550)=0,$N550=""),"",IF($T550="Paid","PAID",IF($T550="Closed","CLOSED",IF($Z550="","",IF($Z550=6,"ESCALATED TO ROXANNE",IF(TODAY()&gt;$AB550,"OVERDUE",IF($AB550&lt;=WORKDAY(TODAY(),1,Holidays),"DUE TOMORROW",IF($Z550=4,"ESCALATED TO LOCAL OFFICE",IF($Z550=5,"ESCALATED TO CBE",IF($AA550=TODAY(),"EMAIL SENT","MONITORING"))))))))))</f>
        <v/>
      </c>
      <c r="V550" s="17">
        <f>IF($U550="",IF(AND(COUNTA($A550:$L550)&gt;0,$N550=""),"Awaiting Collection Email time stamp.",""),IF(OR($U550="PAID",$U550="CLOSED"),IF($U550="PAID","Account paid. Action completed.","Account closed. No further action required."),CHOOSE($Z550,"Collection Email","1st Email Follow-up","2nd Email Follow-up","Escalation to Local Office","Escalation to CBE","Escalation to Roxanne")&amp;" sent "&amp;TEXT($AA550,"dd-mmm")&amp;". "&amp;IF($Z550=6,"Final escalation completed.",IF($U550="OVERDUE","Next: "&amp;$AC550&amp;" was due "&amp;TEXT($AB550,"dd-mmm")&amp;" - "&amp;(NETWORKDAYS($AB550,TODAY(),Holidays)-1)&amp;" business day(s) late. Send now.",IF($U550="DUE TOMORROW","Next: "&amp;$AC550&amp;IF($AB550&lt;=TODAY()," is due TODAY ("," is due next business day (")&amp;TEXT($AB550,"dd-mmm")&amp;").","Next: "&amp;$AC550&amp;" due "&amp;TEXT($AB550,"dd-mmm")&amp;" ("&amp;(NETWORKDAYS(TODAY(),$AB550,Holidays)-1)&amp;" business day(s) left).")))))</f>
        <v/>
      </c>
      <c r="W550" s="17">
        <f>IF($Z550="","",CHOOSE($Z550,"Collection Email","1st Follow-up","2nd Follow-up","Local Office","CBE","Roxanne")&amp;IF($Z550=6," - Final"," - Day "&amp;MAX(0,NETWORKDAYS($AA550,TODAY(),Holidays)-1)&amp;" of "&amp;CHOOSE($Z550,3,3,2,2,3))&amp;" | Total Day "&amp;MAX(0,NETWORKDAYS($N550,TODAY(),Holidays)-1))</f>
        <v/>
      </c>
      <c r="X550" s="18"/>
      <c r="Y550" s="18"/>
      <c r="Z550" s="17">
        <f>IF($N550="","",COUNT($N550:$S550))</f>
        <v/>
      </c>
      <c r="AA550" s="19">
        <f>IF($Z550="","",INT(INDEX($N550:$S550,$Z550)))</f>
        <v/>
      </c>
      <c r="AB550" s="19">
        <f>IF(OR($Z550="",$Z550=6),"",WORKDAY($AA550,CHOOSE($Z550,3,3,2,2,3),Holidays))</f>
        <v/>
      </c>
      <c r="AC550" s="17">
        <f>IF(OR($Z550="",$Z550=6),"",CHOOSE($Z550,"1st Email Follow-up","2nd Email Follow-up","Escalate Local Office","Escalate to CBE","Escalate to Roxanne"))</f>
        <v/>
      </c>
    </row>
    <row r="551" spans="13:29">
      <c r="M551" s="14"/>
      <c r="T551" s="16"/>
      <c r="U551" s="17">
        <f>IF(AND(COUNTA($A551:$L551)=0,$N551=""),"",IF($T551="Paid","PAID",IF($T551="Closed","CLOSED",IF($Z551="","",IF($Z551=6,"ESCALATED TO ROXANNE",IF(TODAY()&gt;$AB551,"OVERDUE",IF($AB551&lt;=WORKDAY(TODAY(),1,Holidays),"DUE TOMORROW",IF($Z551=4,"ESCALATED TO LOCAL OFFICE",IF($Z551=5,"ESCALATED TO CBE",IF($AA551=TODAY(),"EMAIL SENT","MONITORING"))))))))))</f>
        <v/>
      </c>
      <c r="V551" s="17">
        <f>IF($U551="",IF(AND(COUNTA($A551:$L551)&gt;0,$N551=""),"Awaiting Collection Email time stamp.",""),IF(OR($U551="PAID",$U551="CLOSED"),IF($U551="PAID","Account paid. Action completed.","Account closed. No further action required."),CHOOSE($Z551,"Collection Email","1st Email Follow-up","2nd Email Follow-up","Escalation to Local Office","Escalation to CBE","Escalation to Roxanne")&amp;" sent "&amp;TEXT($AA551,"dd-mmm")&amp;". "&amp;IF($Z551=6,"Final escalation completed.",IF($U551="OVERDUE","Next: "&amp;$AC551&amp;" was due "&amp;TEXT($AB551,"dd-mmm")&amp;" - "&amp;(NETWORKDAYS($AB551,TODAY(),Holidays)-1)&amp;" business day(s) late. Send now.",IF($U551="DUE TOMORROW","Next: "&amp;$AC551&amp;IF($AB551&lt;=TODAY()," is due TODAY ("," is due next business day (")&amp;TEXT($AB551,"dd-mmm")&amp;").","Next: "&amp;$AC551&amp;" due "&amp;TEXT($AB551,"dd-mmm")&amp;" ("&amp;(NETWORKDAYS(TODAY(),$AB551,Holidays)-1)&amp;" business day(s) left).")))))</f>
        <v/>
      </c>
      <c r="W551" s="17">
        <f>IF($Z551="","",CHOOSE($Z551,"Collection Email","1st Follow-up","2nd Follow-up","Local Office","CBE","Roxanne")&amp;IF($Z551=6," - Final"," - Day "&amp;MAX(0,NETWORKDAYS($AA551,TODAY(),Holidays)-1)&amp;" of "&amp;CHOOSE($Z551,3,3,2,2,3))&amp;" | Total Day "&amp;MAX(0,NETWORKDAYS($N551,TODAY(),Holidays)-1))</f>
        <v/>
      </c>
      <c r="X551" s="18"/>
      <c r="Y551" s="18"/>
      <c r="Z551" s="17">
        <f>IF($N551="","",COUNT($N551:$S551))</f>
        <v/>
      </c>
      <c r="AA551" s="19">
        <f>IF($Z551="","",INT(INDEX($N551:$S551,$Z551)))</f>
        <v/>
      </c>
      <c r="AB551" s="19">
        <f>IF(OR($Z551="",$Z551=6),"",WORKDAY($AA551,CHOOSE($Z551,3,3,2,2,3),Holidays))</f>
        <v/>
      </c>
      <c r="AC551" s="17">
        <f>IF(OR($Z551="",$Z551=6),"",CHOOSE($Z551,"1st Email Follow-up","2nd Email Follow-up","Escalate Local Office","Escalate to CBE","Escalate to Roxanne"))</f>
        <v/>
      </c>
    </row>
    <row r="552" spans="13:29">
      <c r="M552" s="14"/>
      <c r="T552" s="16"/>
      <c r="U552" s="17">
        <f>IF(AND(COUNTA($A552:$L552)=0,$N552=""),"",IF($T552="Paid","PAID",IF($T552="Closed","CLOSED",IF($Z552="","",IF($Z552=6,"ESCALATED TO ROXANNE",IF(TODAY()&gt;$AB552,"OVERDUE",IF($AB552&lt;=WORKDAY(TODAY(),1,Holidays),"DUE TOMORROW",IF($Z552=4,"ESCALATED TO LOCAL OFFICE",IF($Z552=5,"ESCALATED TO CBE",IF($AA552=TODAY(),"EMAIL SENT","MONITORING"))))))))))</f>
        <v/>
      </c>
      <c r="V552" s="17">
        <f>IF($U552="",IF(AND(COUNTA($A552:$L552)&gt;0,$N552=""),"Awaiting Collection Email time stamp.",""),IF(OR($U552="PAID",$U552="CLOSED"),IF($U552="PAID","Account paid. Action completed.","Account closed. No further action required."),CHOOSE($Z552,"Collection Email","1st Email Follow-up","2nd Email Follow-up","Escalation to Local Office","Escalation to CBE","Escalation to Roxanne")&amp;" sent "&amp;TEXT($AA552,"dd-mmm")&amp;". "&amp;IF($Z552=6,"Final escalation completed.",IF($U552="OVERDUE","Next: "&amp;$AC552&amp;" was due "&amp;TEXT($AB552,"dd-mmm")&amp;" - "&amp;(NETWORKDAYS($AB552,TODAY(),Holidays)-1)&amp;" business day(s) late. Send now.",IF($U552="DUE TOMORROW","Next: "&amp;$AC552&amp;IF($AB552&lt;=TODAY()," is due TODAY ("," is due next business day (")&amp;TEXT($AB552,"dd-mmm")&amp;").","Next: "&amp;$AC552&amp;" due "&amp;TEXT($AB552,"dd-mmm")&amp;" ("&amp;(NETWORKDAYS(TODAY(),$AB552,Holidays)-1)&amp;" business day(s) left).")))))</f>
        <v/>
      </c>
      <c r="W552" s="17">
        <f>IF($Z552="","",CHOOSE($Z552,"Collection Email","1st Follow-up","2nd Follow-up","Local Office","CBE","Roxanne")&amp;IF($Z552=6," - Final"," - Day "&amp;MAX(0,NETWORKDAYS($AA552,TODAY(),Holidays)-1)&amp;" of "&amp;CHOOSE($Z552,3,3,2,2,3))&amp;" | Total Day "&amp;MAX(0,NETWORKDAYS($N552,TODAY(),Holidays)-1))</f>
        <v/>
      </c>
      <c r="X552" s="18"/>
      <c r="Y552" s="18"/>
      <c r="Z552" s="17">
        <f>IF($N552="","",COUNT($N552:$S552))</f>
        <v/>
      </c>
      <c r="AA552" s="19">
        <f>IF($Z552="","",INT(INDEX($N552:$S552,$Z552)))</f>
        <v/>
      </c>
      <c r="AB552" s="19">
        <f>IF(OR($Z552="",$Z552=6),"",WORKDAY($AA552,CHOOSE($Z552,3,3,2,2,3),Holidays))</f>
        <v/>
      </c>
      <c r="AC552" s="17">
        <f>IF(OR($Z552="",$Z552=6),"",CHOOSE($Z552,"1st Email Follow-up","2nd Email Follow-up","Escalate Local Office","Escalate to CBE","Escalate to Roxanne"))</f>
        <v/>
      </c>
    </row>
    <row r="553" spans="13:29">
      <c r="M553" s="14"/>
      <c r="T553" s="16"/>
      <c r="U553" s="17">
        <f>IF(AND(COUNTA($A553:$L553)=0,$N553=""),"",IF($T553="Paid","PAID",IF($T553="Closed","CLOSED",IF($Z553="","",IF($Z553=6,"ESCALATED TO ROXANNE",IF(TODAY()&gt;$AB553,"OVERDUE",IF($AB553&lt;=WORKDAY(TODAY(),1,Holidays),"DUE TOMORROW",IF($Z553=4,"ESCALATED TO LOCAL OFFICE",IF($Z553=5,"ESCALATED TO CBE",IF($AA553=TODAY(),"EMAIL SENT","MONITORING"))))))))))</f>
        <v/>
      </c>
      <c r="V553" s="17">
        <f>IF($U553="",IF(AND(COUNTA($A553:$L553)&gt;0,$N553=""),"Awaiting Collection Email time stamp.",""),IF(OR($U553="PAID",$U553="CLOSED"),IF($U553="PAID","Account paid. Action completed.","Account closed. No further action required."),CHOOSE($Z553,"Collection Email","1st Email Follow-up","2nd Email Follow-up","Escalation to Local Office","Escalation to CBE","Escalation to Roxanne")&amp;" sent "&amp;TEXT($AA553,"dd-mmm")&amp;". "&amp;IF($Z553=6,"Final escalation completed.",IF($U553="OVERDUE","Next: "&amp;$AC553&amp;" was due "&amp;TEXT($AB553,"dd-mmm")&amp;" - "&amp;(NETWORKDAYS($AB553,TODAY(),Holidays)-1)&amp;" business day(s) late. Send now.",IF($U553="DUE TOMORROW","Next: "&amp;$AC553&amp;IF($AB553&lt;=TODAY()," is due TODAY ("," is due next business day (")&amp;TEXT($AB553,"dd-mmm")&amp;").","Next: "&amp;$AC553&amp;" due "&amp;TEXT($AB553,"dd-mmm")&amp;" ("&amp;(NETWORKDAYS(TODAY(),$AB553,Holidays)-1)&amp;" business day(s) left).")))))</f>
        <v/>
      </c>
      <c r="W553" s="17">
        <f>IF($Z553="","",CHOOSE($Z553,"Collection Email","1st Follow-up","2nd Follow-up","Local Office","CBE","Roxanne")&amp;IF($Z553=6," - Final"," - Day "&amp;MAX(0,NETWORKDAYS($AA553,TODAY(),Holidays)-1)&amp;" of "&amp;CHOOSE($Z553,3,3,2,2,3))&amp;" | Total Day "&amp;MAX(0,NETWORKDAYS($N553,TODAY(),Holidays)-1))</f>
        <v/>
      </c>
      <c r="X553" s="18"/>
      <c r="Y553" s="18"/>
      <c r="Z553" s="17">
        <f>IF($N553="","",COUNT($N553:$S553))</f>
        <v/>
      </c>
      <c r="AA553" s="19">
        <f>IF($Z553="","",INT(INDEX($N553:$S553,$Z553)))</f>
        <v/>
      </c>
      <c r="AB553" s="19">
        <f>IF(OR($Z553="",$Z553=6),"",WORKDAY($AA553,CHOOSE($Z553,3,3,2,2,3),Holidays))</f>
        <v/>
      </c>
      <c r="AC553" s="17">
        <f>IF(OR($Z553="",$Z553=6),"",CHOOSE($Z553,"1st Email Follow-up","2nd Email Follow-up","Escalate Local Office","Escalate to CBE","Escalate to Roxanne"))</f>
        <v/>
      </c>
    </row>
    <row r="554" spans="13:29">
      <c r="M554" s="14"/>
      <c r="T554" s="16"/>
      <c r="U554" s="17">
        <f>IF(AND(COUNTA($A554:$L554)=0,$N554=""),"",IF($T554="Paid","PAID",IF($T554="Closed","CLOSED",IF($Z554="","",IF($Z554=6,"ESCALATED TO ROXANNE",IF(TODAY()&gt;$AB554,"OVERDUE",IF($AB554&lt;=WORKDAY(TODAY(),1,Holidays),"DUE TOMORROW",IF($Z554=4,"ESCALATED TO LOCAL OFFICE",IF($Z554=5,"ESCALATED TO CBE",IF($AA554=TODAY(),"EMAIL SENT","MONITORING"))))))))))</f>
        <v/>
      </c>
      <c r="V554" s="17">
        <f>IF($U554="",IF(AND(COUNTA($A554:$L554)&gt;0,$N554=""),"Awaiting Collection Email time stamp.",""),IF(OR($U554="PAID",$U554="CLOSED"),IF($U554="PAID","Account paid. Action completed.","Account closed. No further action required."),CHOOSE($Z554,"Collection Email","1st Email Follow-up","2nd Email Follow-up","Escalation to Local Office","Escalation to CBE","Escalation to Roxanne")&amp;" sent "&amp;TEXT($AA554,"dd-mmm")&amp;". "&amp;IF($Z554=6,"Final escalation completed.",IF($U554="OVERDUE","Next: "&amp;$AC554&amp;" was due "&amp;TEXT($AB554,"dd-mmm")&amp;" - "&amp;(NETWORKDAYS($AB554,TODAY(),Holidays)-1)&amp;" business day(s) late. Send now.",IF($U554="DUE TOMORROW","Next: "&amp;$AC554&amp;IF($AB554&lt;=TODAY()," is due TODAY ("," is due next business day (")&amp;TEXT($AB554,"dd-mmm")&amp;").","Next: "&amp;$AC554&amp;" due "&amp;TEXT($AB554,"dd-mmm")&amp;" ("&amp;(NETWORKDAYS(TODAY(),$AB554,Holidays)-1)&amp;" business day(s) left).")))))</f>
        <v/>
      </c>
      <c r="W554" s="17">
        <f>IF($Z554="","",CHOOSE($Z554,"Collection Email","1st Follow-up","2nd Follow-up","Local Office","CBE","Roxanne")&amp;IF($Z554=6," - Final"," - Day "&amp;MAX(0,NETWORKDAYS($AA554,TODAY(),Holidays)-1)&amp;" of "&amp;CHOOSE($Z554,3,3,2,2,3))&amp;" | Total Day "&amp;MAX(0,NETWORKDAYS($N554,TODAY(),Holidays)-1))</f>
        <v/>
      </c>
      <c r="X554" s="18"/>
      <c r="Y554" s="18"/>
      <c r="Z554" s="17">
        <f>IF($N554="","",COUNT($N554:$S554))</f>
        <v/>
      </c>
      <c r="AA554" s="19">
        <f>IF($Z554="","",INT(INDEX($N554:$S554,$Z554)))</f>
        <v/>
      </c>
      <c r="AB554" s="19">
        <f>IF(OR($Z554="",$Z554=6),"",WORKDAY($AA554,CHOOSE($Z554,3,3,2,2,3),Holidays))</f>
        <v/>
      </c>
      <c r="AC554" s="17">
        <f>IF(OR($Z554="",$Z554=6),"",CHOOSE($Z554,"1st Email Follow-up","2nd Email Follow-up","Escalate Local Office","Escalate to CBE","Escalate to Roxanne"))</f>
        <v/>
      </c>
    </row>
    <row r="555" spans="13:29">
      <c r="M555" s="14"/>
      <c r="T555" s="16"/>
      <c r="U555" s="17">
        <f>IF(AND(COUNTA($A555:$L555)=0,$N555=""),"",IF($T555="Paid","PAID",IF($T555="Closed","CLOSED",IF($Z555="","",IF($Z555=6,"ESCALATED TO ROXANNE",IF(TODAY()&gt;$AB555,"OVERDUE",IF($AB555&lt;=WORKDAY(TODAY(),1,Holidays),"DUE TOMORROW",IF($Z555=4,"ESCALATED TO LOCAL OFFICE",IF($Z555=5,"ESCALATED TO CBE",IF($AA555=TODAY(),"EMAIL SENT","MONITORING"))))))))))</f>
        <v/>
      </c>
      <c r="V555" s="17">
        <f>IF($U555="",IF(AND(COUNTA($A555:$L555)&gt;0,$N555=""),"Awaiting Collection Email time stamp.",""),IF(OR($U555="PAID",$U555="CLOSED"),IF($U555="PAID","Account paid. Action completed.","Account closed. No further action required."),CHOOSE($Z555,"Collection Email","1st Email Follow-up","2nd Email Follow-up","Escalation to Local Office","Escalation to CBE","Escalation to Roxanne")&amp;" sent "&amp;TEXT($AA555,"dd-mmm")&amp;". "&amp;IF($Z555=6,"Final escalation completed.",IF($U555="OVERDUE","Next: "&amp;$AC555&amp;" was due "&amp;TEXT($AB555,"dd-mmm")&amp;" - "&amp;(NETWORKDAYS($AB555,TODAY(),Holidays)-1)&amp;" business day(s) late. Send now.",IF($U555="DUE TOMORROW","Next: "&amp;$AC555&amp;IF($AB555&lt;=TODAY()," is due TODAY ("," is due next business day (")&amp;TEXT($AB555,"dd-mmm")&amp;").","Next: "&amp;$AC555&amp;" due "&amp;TEXT($AB555,"dd-mmm")&amp;" ("&amp;(NETWORKDAYS(TODAY(),$AB555,Holidays)-1)&amp;" business day(s) left).")))))</f>
        <v/>
      </c>
      <c r="W555" s="17">
        <f>IF($Z555="","",CHOOSE($Z555,"Collection Email","1st Follow-up","2nd Follow-up","Local Office","CBE","Roxanne")&amp;IF($Z555=6," - Final"," - Day "&amp;MAX(0,NETWORKDAYS($AA555,TODAY(),Holidays)-1)&amp;" of "&amp;CHOOSE($Z555,3,3,2,2,3))&amp;" | Total Day "&amp;MAX(0,NETWORKDAYS($N555,TODAY(),Holidays)-1))</f>
        <v/>
      </c>
      <c r="X555" s="18"/>
      <c r="Y555" s="18"/>
      <c r="Z555" s="17">
        <f>IF($N555="","",COUNT($N555:$S555))</f>
        <v/>
      </c>
      <c r="AA555" s="19">
        <f>IF($Z555="","",INT(INDEX($N555:$S555,$Z555)))</f>
        <v/>
      </c>
      <c r="AB555" s="19">
        <f>IF(OR($Z555="",$Z555=6),"",WORKDAY($AA555,CHOOSE($Z555,3,3,2,2,3),Holidays))</f>
        <v/>
      </c>
      <c r="AC555" s="17">
        <f>IF(OR($Z555="",$Z555=6),"",CHOOSE($Z555,"1st Email Follow-up","2nd Email Follow-up","Escalate Local Office","Escalate to CBE","Escalate to Roxanne"))</f>
        <v/>
      </c>
    </row>
    <row r="556" spans="13:29">
      <c r="M556" s="14"/>
      <c r="T556" s="16"/>
      <c r="U556" s="17">
        <f>IF(AND(COUNTA($A556:$L556)=0,$N556=""),"",IF($T556="Paid","PAID",IF($T556="Closed","CLOSED",IF($Z556="","",IF($Z556=6,"ESCALATED TO ROXANNE",IF(TODAY()&gt;$AB556,"OVERDUE",IF($AB556&lt;=WORKDAY(TODAY(),1,Holidays),"DUE TOMORROW",IF($Z556=4,"ESCALATED TO LOCAL OFFICE",IF($Z556=5,"ESCALATED TO CBE",IF($AA556=TODAY(),"EMAIL SENT","MONITORING"))))))))))</f>
        <v/>
      </c>
      <c r="V556" s="17">
        <f>IF($U556="",IF(AND(COUNTA($A556:$L556)&gt;0,$N556=""),"Awaiting Collection Email time stamp.",""),IF(OR($U556="PAID",$U556="CLOSED"),IF($U556="PAID","Account paid. Action completed.","Account closed. No further action required."),CHOOSE($Z556,"Collection Email","1st Email Follow-up","2nd Email Follow-up","Escalation to Local Office","Escalation to CBE","Escalation to Roxanne")&amp;" sent "&amp;TEXT($AA556,"dd-mmm")&amp;". "&amp;IF($Z556=6,"Final escalation completed.",IF($U556="OVERDUE","Next: "&amp;$AC556&amp;" was due "&amp;TEXT($AB556,"dd-mmm")&amp;" - "&amp;(NETWORKDAYS($AB556,TODAY(),Holidays)-1)&amp;" business day(s) late. Send now.",IF($U556="DUE TOMORROW","Next: "&amp;$AC556&amp;IF($AB556&lt;=TODAY()," is due TODAY ("," is due next business day (")&amp;TEXT($AB556,"dd-mmm")&amp;").","Next: "&amp;$AC556&amp;" due "&amp;TEXT($AB556,"dd-mmm")&amp;" ("&amp;(NETWORKDAYS(TODAY(),$AB556,Holidays)-1)&amp;" business day(s) left).")))))</f>
        <v/>
      </c>
      <c r="W556" s="17">
        <f>IF($Z556="","",CHOOSE($Z556,"Collection Email","1st Follow-up","2nd Follow-up","Local Office","CBE","Roxanne")&amp;IF($Z556=6," - Final"," - Day "&amp;MAX(0,NETWORKDAYS($AA556,TODAY(),Holidays)-1)&amp;" of "&amp;CHOOSE($Z556,3,3,2,2,3))&amp;" | Total Day "&amp;MAX(0,NETWORKDAYS($N556,TODAY(),Holidays)-1))</f>
        <v/>
      </c>
      <c r="X556" s="18"/>
      <c r="Y556" s="18"/>
      <c r="Z556" s="17">
        <f>IF($N556="","",COUNT($N556:$S556))</f>
        <v/>
      </c>
      <c r="AA556" s="19">
        <f>IF($Z556="","",INT(INDEX($N556:$S556,$Z556)))</f>
        <v/>
      </c>
      <c r="AB556" s="19">
        <f>IF(OR($Z556="",$Z556=6),"",WORKDAY($AA556,CHOOSE($Z556,3,3,2,2,3),Holidays))</f>
        <v/>
      </c>
      <c r="AC556" s="17">
        <f>IF(OR($Z556="",$Z556=6),"",CHOOSE($Z556,"1st Email Follow-up","2nd Email Follow-up","Escalate Local Office","Escalate to CBE","Escalate to Roxanne"))</f>
        <v/>
      </c>
    </row>
    <row r="557" spans="13:29">
      <c r="M557" s="14"/>
      <c r="T557" s="16"/>
      <c r="U557" s="17">
        <f>IF(AND(COUNTA($A557:$L557)=0,$N557=""),"",IF($T557="Paid","PAID",IF($T557="Closed","CLOSED",IF($Z557="","",IF($Z557=6,"ESCALATED TO ROXANNE",IF(TODAY()&gt;$AB557,"OVERDUE",IF($AB557&lt;=WORKDAY(TODAY(),1,Holidays),"DUE TOMORROW",IF($Z557=4,"ESCALATED TO LOCAL OFFICE",IF($Z557=5,"ESCALATED TO CBE",IF($AA557=TODAY(),"EMAIL SENT","MONITORING"))))))))))</f>
        <v/>
      </c>
      <c r="V557" s="17">
        <f>IF($U557="",IF(AND(COUNTA($A557:$L557)&gt;0,$N557=""),"Awaiting Collection Email time stamp.",""),IF(OR($U557="PAID",$U557="CLOSED"),IF($U557="PAID","Account paid. Action completed.","Account closed. No further action required."),CHOOSE($Z557,"Collection Email","1st Email Follow-up","2nd Email Follow-up","Escalation to Local Office","Escalation to CBE","Escalation to Roxanne")&amp;" sent "&amp;TEXT($AA557,"dd-mmm")&amp;". "&amp;IF($Z557=6,"Final escalation completed.",IF($U557="OVERDUE","Next: "&amp;$AC557&amp;" was due "&amp;TEXT($AB557,"dd-mmm")&amp;" - "&amp;(NETWORKDAYS($AB557,TODAY(),Holidays)-1)&amp;" business day(s) late. Send now.",IF($U557="DUE TOMORROW","Next: "&amp;$AC557&amp;IF($AB557&lt;=TODAY()," is due TODAY ("," is due next business day (")&amp;TEXT($AB557,"dd-mmm")&amp;").","Next: "&amp;$AC557&amp;" due "&amp;TEXT($AB557,"dd-mmm")&amp;" ("&amp;(NETWORKDAYS(TODAY(),$AB557,Holidays)-1)&amp;" business day(s) left).")))))</f>
        <v/>
      </c>
      <c r="W557" s="17">
        <f>IF($Z557="","",CHOOSE($Z557,"Collection Email","1st Follow-up","2nd Follow-up","Local Office","CBE","Roxanne")&amp;IF($Z557=6," - Final"," - Day "&amp;MAX(0,NETWORKDAYS($AA557,TODAY(),Holidays)-1)&amp;" of "&amp;CHOOSE($Z557,3,3,2,2,3))&amp;" | Total Day "&amp;MAX(0,NETWORKDAYS($N557,TODAY(),Holidays)-1))</f>
        <v/>
      </c>
      <c r="X557" s="18"/>
      <c r="Y557" s="18"/>
      <c r="Z557" s="17">
        <f>IF($N557="","",COUNT($N557:$S557))</f>
        <v/>
      </c>
      <c r="AA557" s="19">
        <f>IF($Z557="","",INT(INDEX($N557:$S557,$Z557)))</f>
        <v/>
      </c>
      <c r="AB557" s="19">
        <f>IF(OR($Z557="",$Z557=6),"",WORKDAY($AA557,CHOOSE($Z557,3,3,2,2,3),Holidays))</f>
        <v/>
      </c>
      <c r="AC557" s="17">
        <f>IF(OR($Z557="",$Z557=6),"",CHOOSE($Z557,"1st Email Follow-up","2nd Email Follow-up","Escalate Local Office","Escalate to CBE","Escalate to Roxanne"))</f>
        <v/>
      </c>
    </row>
    <row r="558" spans="13:29">
      <c r="M558" s="14"/>
      <c r="T558" s="16"/>
      <c r="U558" s="17">
        <f>IF(AND(COUNTA($A558:$L558)=0,$N558=""),"",IF($T558="Paid","PAID",IF($T558="Closed","CLOSED",IF($Z558="","",IF($Z558=6,"ESCALATED TO ROXANNE",IF(TODAY()&gt;$AB558,"OVERDUE",IF($AB558&lt;=WORKDAY(TODAY(),1,Holidays),"DUE TOMORROW",IF($Z558=4,"ESCALATED TO LOCAL OFFICE",IF($Z558=5,"ESCALATED TO CBE",IF($AA558=TODAY(),"EMAIL SENT","MONITORING"))))))))))</f>
        <v/>
      </c>
      <c r="V558" s="17">
        <f>IF($U558="",IF(AND(COUNTA($A558:$L558)&gt;0,$N558=""),"Awaiting Collection Email time stamp.",""),IF(OR($U558="PAID",$U558="CLOSED"),IF($U558="PAID","Account paid. Action completed.","Account closed. No further action required."),CHOOSE($Z558,"Collection Email","1st Email Follow-up","2nd Email Follow-up","Escalation to Local Office","Escalation to CBE","Escalation to Roxanne")&amp;" sent "&amp;TEXT($AA558,"dd-mmm")&amp;". "&amp;IF($Z558=6,"Final escalation completed.",IF($U558="OVERDUE","Next: "&amp;$AC558&amp;" was due "&amp;TEXT($AB558,"dd-mmm")&amp;" - "&amp;(NETWORKDAYS($AB558,TODAY(),Holidays)-1)&amp;" business day(s) late. Send now.",IF($U558="DUE TOMORROW","Next: "&amp;$AC558&amp;IF($AB558&lt;=TODAY()," is due TODAY ("," is due next business day (")&amp;TEXT($AB558,"dd-mmm")&amp;").","Next: "&amp;$AC558&amp;" due "&amp;TEXT($AB558,"dd-mmm")&amp;" ("&amp;(NETWORKDAYS(TODAY(),$AB558,Holidays)-1)&amp;" business day(s) left).")))))</f>
        <v/>
      </c>
      <c r="W558" s="17">
        <f>IF($Z558="","",CHOOSE($Z558,"Collection Email","1st Follow-up","2nd Follow-up","Local Office","CBE","Roxanne")&amp;IF($Z558=6," - Final"," - Day "&amp;MAX(0,NETWORKDAYS($AA558,TODAY(),Holidays)-1)&amp;" of "&amp;CHOOSE($Z558,3,3,2,2,3))&amp;" | Total Day "&amp;MAX(0,NETWORKDAYS($N558,TODAY(),Holidays)-1))</f>
        <v/>
      </c>
      <c r="X558" s="18"/>
      <c r="Y558" s="18"/>
      <c r="Z558" s="17">
        <f>IF($N558="","",COUNT($N558:$S558))</f>
        <v/>
      </c>
      <c r="AA558" s="19">
        <f>IF($Z558="","",INT(INDEX($N558:$S558,$Z558)))</f>
        <v/>
      </c>
      <c r="AB558" s="19">
        <f>IF(OR($Z558="",$Z558=6),"",WORKDAY($AA558,CHOOSE($Z558,3,3,2,2,3),Holidays))</f>
        <v/>
      </c>
      <c r="AC558" s="17">
        <f>IF(OR($Z558="",$Z558=6),"",CHOOSE($Z558,"1st Email Follow-up","2nd Email Follow-up","Escalate Local Office","Escalate to CBE","Escalate to Roxanne"))</f>
        <v/>
      </c>
    </row>
    <row r="559" spans="13:29">
      <c r="M559" s="14"/>
      <c r="T559" s="16"/>
      <c r="U559" s="17">
        <f>IF(AND(COUNTA($A559:$L559)=0,$N559=""),"",IF($T559="Paid","PAID",IF($T559="Closed","CLOSED",IF($Z559="","",IF($Z559=6,"ESCALATED TO ROXANNE",IF(TODAY()&gt;$AB559,"OVERDUE",IF($AB559&lt;=WORKDAY(TODAY(),1,Holidays),"DUE TOMORROW",IF($Z559=4,"ESCALATED TO LOCAL OFFICE",IF($Z559=5,"ESCALATED TO CBE",IF($AA559=TODAY(),"EMAIL SENT","MONITORING"))))))))))</f>
        <v/>
      </c>
      <c r="V559" s="17">
        <f>IF($U559="",IF(AND(COUNTA($A559:$L559)&gt;0,$N559=""),"Awaiting Collection Email time stamp.",""),IF(OR($U559="PAID",$U559="CLOSED"),IF($U559="PAID","Account paid. Action completed.","Account closed. No further action required."),CHOOSE($Z559,"Collection Email","1st Email Follow-up","2nd Email Follow-up","Escalation to Local Office","Escalation to CBE","Escalation to Roxanne")&amp;" sent "&amp;TEXT($AA559,"dd-mmm")&amp;". "&amp;IF($Z559=6,"Final escalation completed.",IF($U559="OVERDUE","Next: "&amp;$AC559&amp;" was due "&amp;TEXT($AB559,"dd-mmm")&amp;" - "&amp;(NETWORKDAYS($AB559,TODAY(),Holidays)-1)&amp;" business day(s) late. Send now.",IF($U559="DUE TOMORROW","Next: "&amp;$AC559&amp;IF($AB559&lt;=TODAY()," is due TODAY ("," is due next business day (")&amp;TEXT($AB559,"dd-mmm")&amp;").","Next: "&amp;$AC559&amp;" due "&amp;TEXT($AB559,"dd-mmm")&amp;" ("&amp;(NETWORKDAYS(TODAY(),$AB559,Holidays)-1)&amp;" business day(s) left).")))))</f>
        <v/>
      </c>
      <c r="W559" s="17">
        <f>IF($Z559="","",CHOOSE($Z559,"Collection Email","1st Follow-up","2nd Follow-up","Local Office","CBE","Roxanne")&amp;IF($Z559=6," - Final"," - Day "&amp;MAX(0,NETWORKDAYS($AA559,TODAY(),Holidays)-1)&amp;" of "&amp;CHOOSE($Z559,3,3,2,2,3))&amp;" | Total Day "&amp;MAX(0,NETWORKDAYS($N559,TODAY(),Holidays)-1))</f>
        <v/>
      </c>
      <c r="X559" s="18"/>
      <c r="Y559" s="18"/>
      <c r="Z559" s="17">
        <f>IF($N559="","",COUNT($N559:$S559))</f>
        <v/>
      </c>
      <c r="AA559" s="19">
        <f>IF($Z559="","",INT(INDEX($N559:$S559,$Z559)))</f>
        <v/>
      </c>
      <c r="AB559" s="19">
        <f>IF(OR($Z559="",$Z559=6),"",WORKDAY($AA559,CHOOSE($Z559,3,3,2,2,3),Holidays))</f>
        <v/>
      </c>
      <c r="AC559" s="17">
        <f>IF(OR($Z559="",$Z559=6),"",CHOOSE($Z559,"1st Email Follow-up","2nd Email Follow-up","Escalate Local Office","Escalate to CBE","Escalate to Roxanne"))</f>
        <v/>
      </c>
    </row>
    <row r="560" spans="13:29">
      <c r="M560" s="14"/>
      <c r="T560" s="16"/>
      <c r="U560" s="17">
        <f>IF(AND(COUNTA($A560:$L560)=0,$N560=""),"",IF($T560="Paid","PAID",IF($T560="Closed","CLOSED",IF($Z560="","",IF($Z560=6,"ESCALATED TO ROXANNE",IF(TODAY()&gt;$AB560,"OVERDUE",IF($AB560&lt;=WORKDAY(TODAY(),1,Holidays),"DUE TOMORROW",IF($Z560=4,"ESCALATED TO LOCAL OFFICE",IF($Z560=5,"ESCALATED TO CBE",IF($AA560=TODAY(),"EMAIL SENT","MONITORING"))))))))))</f>
        <v/>
      </c>
      <c r="V560" s="17">
        <f>IF($U560="",IF(AND(COUNTA($A560:$L560)&gt;0,$N560=""),"Awaiting Collection Email time stamp.",""),IF(OR($U560="PAID",$U560="CLOSED"),IF($U560="PAID","Account paid. Action completed.","Account closed. No further action required."),CHOOSE($Z560,"Collection Email","1st Email Follow-up","2nd Email Follow-up","Escalation to Local Office","Escalation to CBE","Escalation to Roxanne")&amp;" sent "&amp;TEXT($AA560,"dd-mmm")&amp;". "&amp;IF($Z560=6,"Final escalation completed.",IF($U560="OVERDUE","Next: "&amp;$AC560&amp;" was due "&amp;TEXT($AB560,"dd-mmm")&amp;" - "&amp;(NETWORKDAYS($AB560,TODAY(),Holidays)-1)&amp;" business day(s) late. Send now.",IF($U560="DUE TOMORROW","Next: "&amp;$AC560&amp;IF($AB560&lt;=TODAY()," is due TODAY ("," is due next business day (")&amp;TEXT($AB560,"dd-mmm")&amp;").","Next: "&amp;$AC560&amp;" due "&amp;TEXT($AB560,"dd-mmm")&amp;" ("&amp;(NETWORKDAYS(TODAY(),$AB560,Holidays)-1)&amp;" business day(s) left).")))))</f>
        <v/>
      </c>
      <c r="W560" s="17">
        <f>IF($Z560="","",CHOOSE($Z560,"Collection Email","1st Follow-up","2nd Follow-up","Local Office","CBE","Roxanne")&amp;IF($Z560=6," - Final"," - Day "&amp;MAX(0,NETWORKDAYS($AA560,TODAY(),Holidays)-1)&amp;" of "&amp;CHOOSE($Z560,3,3,2,2,3))&amp;" | Total Day "&amp;MAX(0,NETWORKDAYS($N560,TODAY(),Holidays)-1))</f>
        <v/>
      </c>
      <c r="X560" s="18"/>
      <c r="Y560" s="18"/>
      <c r="Z560" s="17">
        <f>IF($N560="","",COUNT($N560:$S560))</f>
        <v/>
      </c>
      <c r="AA560" s="19">
        <f>IF($Z560="","",INT(INDEX($N560:$S560,$Z560)))</f>
        <v/>
      </c>
      <c r="AB560" s="19">
        <f>IF(OR($Z560="",$Z560=6),"",WORKDAY($AA560,CHOOSE($Z560,3,3,2,2,3),Holidays))</f>
        <v/>
      </c>
      <c r="AC560" s="17">
        <f>IF(OR($Z560="",$Z560=6),"",CHOOSE($Z560,"1st Email Follow-up","2nd Email Follow-up","Escalate Local Office","Escalate to CBE","Escalate to Roxanne"))</f>
        <v/>
      </c>
    </row>
    <row r="561" spans="13:29">
      <c r="M561" s="14"/>
      <c r="T561" s="16"/>
      <c r="U561" s="17">
        <f>IF(AND(COUNTA($A561:$L561)=0,$N561=""),"",IF($T561="Paid","PAID",IF($T561="Closed","CLOSED",IF($Z561="","",IF($Z561=6,"ESCALATED TO ROXANNE",IF(TODAY()&gt;$AB561,"OVERDUE",IF($AB561&lt;=WORKDAY(TODAY(),1,Holidays),"DUE TOMORROW",IF($Z561=4,"ESCALATED TO LOCAL OFFICE",IF($Z561=5,"ESCALATED TO CBE",IF($AA561=TODAY(),"EMAIL SENT","MONITORING"))))))))))</f>
        <v/>
      </c>
      <c r="V561" s="17">
        <f>IF($U561="",IF(AND(COUNTA($A561:$L561)&gt;0,$N561=""),"Awaiting Collection Email time stamp.",""),IF(OR($U561="PAID",$U561="CLOSED"),IF($U561="PAID","Account paid. Action completed.","Account closed. No further action required."),CHOOSE($Z561,"Collection Email","1st Email Follow-up","2nd Email Follow-up","Escalation to Local Office","Escalation to CBE","Escalation to Roxanne")&amp;" sent "&amp;TEXT($AA561,"dd-mmm")&amp;". "&amp;IF($Z561=6,"Final escalation completed.",IF($U561="OVERDUE","Next: "&amp;$AC561&amp;" was due "&amp;TEXT($AB561,"dd-mmm")&amp;" - "&amp;(NETWORKDAYS($AB561,TODAY(),Holidays)-1)&amp;" business day(s) late. Send now.",IF($U561="DUE TOMORROW","Next: "&amp;$AC561&amp;IF($AB561&lt;=TODAY()," is due TODAY ("," is due next business day (")&amp;TEXT($AB561,"dd-mmm")&amp;").","Next: "&amp;$AC561&amp;" due "&amp;TEXT($AB561,"dd-mmm")&amp;" ("&amp;(NETWORKDAYS(TODAY(),$AB561,Holidays)-1)&amp;" business day(s) left).")))))</f>
        <v/>
      </c>
      <c r="W561" s="17">
        <f>IF($Z561="","",CHOOSE($Z561,"Collection Email","1st Follow-up","2nd Follow-up","Local Office","CBE","Roxanne")&amp;IF($Z561=6," - Final"," - Day "&amp;MAX(0,NETWORKDAYS($AA561,TODAY(),Holidays)-1)&amp;" of "&amp;CHOOSE($Z561,3,3,2,2,3))&amp;" | Total Day "&amp;MAX(0,NETWORKDAYS($N561,TODAY(),Holidays)-1))</f>
        <v/>
      </c>
      <c r="X561" s="18"/>
      <c r="Y561" s="18"/>
      <c r="Z561" s="17">
        <f>IF($N561="","",COUNT($N561:$S561))</f>
        <v/>
      </c>
      <c r="AA561" s="19">
        <f>IF($Z561="","",INT(INDEX($N561:$S561,$Z561)))</f>
        <v/>
      </c>
      <c r="AB561" s="19">
        <f>IF(OR($Z561="",$Z561=6),"",WORKDAY($AA561,CHOOSE($Z561,3,3,2,2,3),Holidays))</f>
        <v/>
      </c>
      <c r="AC561" s="17">
        <f>IF(OR($Z561="",$Z561=6),"",CHOOSE($Z561,"1st Email Follow-up","2nd Email Follow-up","Escalate Local Office","Escalate to CBE","Escalate to Roxanne"))</f>
        <v/>
      </c>
    </row>
    <row r="562" spans="13:29">
      <c r="M562" s="14"/>
      <c r="T562" s="16"/>
      <c r="U562" s="17">
        <f>IF(AND(COUNTA($A562:$L562)=0,$N562=""),"",IF($T562="Paid","PAID",IF($T562="Closed","CLOSED",IF($Z562="","",IF($Z562=6,"ESCALATED TO ROXANNE",IF(TODAY()&gt;$AB562,"OVERDUE",IF($AB562&lt;=WORKDAY(TODAY(),1,Holidays),"DUE TOMORROW",IF($Z562=4,"ESCALATED TO LOCAL OFFICE",IF($Z562=5,"ESCALATED TO CBE",IF($AA562=TODAY(),"EMAIL SENT","MONITORING"))))))))))</f>
        <v/>
      </c>
      <c r="V562" s="17">
        <f>IF($U562="",IF(AND(COUNTA($A562:$L562)&gt;0,$N562=""),"Awaiting Collection Email time stamp.",""),IF(OR($U562="PAID",$U562="CLOSED"),IF($U562="PAID","Account paid. Action completed.","Account closed. No further action required."),CHOOSE($Z562,"Collection Email","1st Email Follow-up","2nd Email Follow-up","Escalation to Local Office","Escalation to CBE","Escalation to Roxanne")&amp;" sent "&amp;TEXT($AA562,"dd-mmm")&amp;". "&amp;IF($Z562=6,"Final escalation completed.",IF($U562="OVERDUE","Next: "&amp;$AC562&amp;" was due "&amp;TEXT($AB562,"dd-mmm")&amp;" - "&amp;(NETWORKDAYS($AB562,TODAY(),Holidays)-1)&amp;" business day(s) late. Send now.",IF($U562="DUE TOMORROW","Next: "&amp;$AC562&amp;IF($AB562&lt;=TODAY()," is due TODAY ("," is due next business day (")&amp;TEXT($AB562,"dd-mmm")&amp;").","Next: "&amp;$AC562&amp;" due "&amp;TEXT($AB562,"dd-mmm")&amp;" ("&amp;(NETWORKDAYS(TODAY(),$AB562,Holidays)-1)&amp;" business day(s) left).")))))</f>
        <v/>
      </c>
      <c r="W562" s="17">
        <f>IF($Z562="","",CHOOSE($Z562,"Collection Email","1st Follow-up","2nd Follow-up","Local Office","CBE","Roxanne")&amp;IF($Z562=6," - Final"," - Day "&amp;MAX(0,NETWORKDAYS($AA562,TODAY(),Holidays)-1)&amp;" of "&amp;CHOOSE($Z562,3,3,2,2,3))&amp;" | Total Day "&amp;MAX(0,NETWORKDAYS($N562,TODAY(),Holidays)-1))</f>
        <v/>
      </c>
      <c r="X562" s="18"/>
      <c r="Y562" s="18"/>
      <c r="Z562" s="17">
        <f>IF($N562="","",COUNT($N562:$S562))</f>
        <v/>
      </c>
      <c r="AA562" s="19">
        <f>IF($Z562="","",INT(INDEX($N562:$S562,$Z562)))</f>
        <v/>
      </c>
      <c r="AB562" s="19">
        <f>IF(OR($Z562="",$Z562=6),"",WORKDAY($AA562,CHOOSE($Z562,3,3,2,2,3),Holidays))</f>
        <v/>
      </c>
      <c r="AC562" s="17">
        <f>IF(OR($Z562="",$Z562=6),"",CHOOSE($Z562,"1st Email Follow-up","2nd Email Follow-up","Escalate Local Office","Escalate to CBE","Escalate to Roxanne"))</f>
        <v/>
      </c>
    </row>
    <row r="563" spans="13:29">
      <c r="M563" s="14"/>
      <c r="T563" s="16"/>
      <c r="U563" s="17">
        <f>IF(AND(COUNTA($A563:$L563)=0,$N563=""),"",IF($T563="Paid","PAID",IF($T563="Closed","CLOSED",IF($Z563="","",IF($Z563=6,"ESCALATED TO ROXANNE",IF(TODAY()&gt;$AB563,"OVERDUE",IF($AB563&lt;=WORKDAY(TODAY(),1,Holidays),"DUE TOMORROW",IF($Z563=4,"ESCALATED TO LOCAL OFFICE",IF($Z563=5,"ESCALATED TO CBE",IF($AA563=TODAY(),"EMAIL SENT","MONITORING"))))))))))</f>
        <v/>
      </c>
      <c r="V563" s="17">
        <f>IF($U563="",IF(AND(COUNTA($A563:$L563)&gt;0,$N563=""),"Awaiting Collection Email time stamp.",""),IF(OR($U563="PAID",$U563="CLOSED"),IF($U563="PAID","Account paid. Action completed.","Account closed. No further action required."),CHOOSE($Z563,"Collection Email","1st Email Follow-up","2nd Email Follow-up","Escalation to Local Office","Escalation to CBE","Escalation to Roxanne")&amp;" sent "&amp;TEXT($AA563,"dd-mmm")&amp;". "&amp;IF($Z563=6,"Final escalation completed.",IF($U563="OVERDUE","Next: "&amp;$AC563&amp;" was due "&amp;TEXT($AB563,"dd-mmm")&amp;" - "&amp;(NETWORKDAYS($AB563,TODAY(),Holidays)-1)&amp;" business day(s) late. Send now.",IF($U563="DUE TOMORROW","Next: "&amp;$AC563&amp;IF($AB563&lt;=TODAY()," is due TODAY ("," is due next business day (")&amp;TEXT($AB563,"dd-mmm")&amp;").","Next: "&amp;$AC563&amp;" due "&amp;TEXT($AB563,"dd-mmm")&amp;" ("&amp;(NETWORKDAYS(TODAY(),$AB563,Holidays)-1)&amp;" business day(s) left).")))))</f>
        <v/>
      </c>
      <c r="W563" s="17">
        <f>IF($Z563="","",CHOOSE($Z563,"Collection Email","1st Follow-up","2nd Follow-up","Local Office","CBE","Roxanne")&amp;IF($Z563=6," - Final"," - Day "&amp;MAX(0,NETWORKDAYS($AA563,TODAY(),Holidays)-1)&amp;" of "&amp;CHOOSE($Z563,3,3,2,2,3))&amp;" | Total Day "&amp;MAX(0,NETWORKDAYS($N563,TODAY(),Holidays)-1))</f>
        <v/>
      </c>
      <c r="X563" s="18"/>
      <c r="Y563" s="18"/>
      <c r="Z563" s="17">
        <f>IF($N563="","",COUNT($N563:$S563))</f>
        <v/>
      </c>
      <c r="AA563" s="19">
        <f>IF($Z563="","",INT(INDEX($N563:$S563,$Z563)))</f>
        <v/>
      </c>
      <c r="AB563" s="19">
        <f>IF(OR($Z563="",$Z563=6),"",WORKDAY($AA563,CHOOSE($Z563,3,3,2,2,3),Holidays))</f>
        <v/>
      </c>
      <c r="AC563" s="17">
        <f>IF(OR($Z563="",$Z563=6),"",CHOOSE($Z563,"1st Email Follow-up","2nd Email Follow-up","Escalate Local Office","Escalate to CBE","Escalate to Roxanne"))</f>
        <v/>
      </c>
    </row>
    <row r="564" spans="13:29">
      <c r="M564" s="14"/>
      <c r="T564" s="16"/>
      <c r="U564" s="17">
        <f>IF(AND(COUNTA($A564:$L564)=0,$N564=""),"",IF($T564="Paid","PAID",IF($T564="Closed","CLOSED",IF($Z564="","",IF($Z564=6,"ESCALATED TO ROXANNE",IF(TODAY()&gt;$AB564,"OVERDUE",IF($AB564&lt;=WORKDAY(TODAY(),1,Holidays),"DUE TOMORROW",IF($Z564=4,"ESCALATED TO LOCAL OFFICE",IF($Z564=5,"ESCALATED TO CBE",IF($AA564=TODAY(),"EMAIL SENT","MONITORING"))))))))))</f>
        <v/>
      </c>
      <c r="V564" s="17">
        <f>IF($U564="",IF(AND(COUNTA($A564:$L564)&gt;0,$N564=""),"Awaiting Collection Email time stamp.",""),IF(OR($U564="PAID",$U564="CLOSED"),IF($U564="PAID","Account paid. Action completed.","Account closed. No further action required."),CHOOSE($Z564,"Collection Email","1st Email Follow-up","2nd Email Follow-up","Escalation to Local Office","Escalation to CBE","Escalation to Roxanne")&amp;" sent "&amp;TEXT($AA564,"dd-mmm")&amp;". "&amp;IF($Z564=6,"Final escalation completed.",IF($U564="OVERDUE","Next: "&amp;$AC564&amp;" was due "&amp;TEXT($AB564,"dd-mmm")&amp;" - "&amp;(NETWORKDAYS($AB564,TODAY(),Holidays)-1)&amp;" business day(s) late. Send now.",IF($U564="DUE TOMORROW","Next: "&amp;$AC564&amp;IF($AB564&lt;=TODAY()," is due TODAY ("," is due next business day (")&amp;TEXT($AB564,"dd-mmm")&amp;").","Next: "&amp;$AC564&amp;" due "&amp;TEXT($AB564,"dd-mmm")&amp;" ("&amp;(NETWORKDAYS(TODAY(),$AB564,Holidays)-1)&amp;" business day(s) left).")))))</f>
        <v/>
      </c>
      <c r="W564" s="17">
        <f>IF($Z564="","",CHOOSE($Z564,"Collection Email","1st Follow-up","2nd Follow-up","Local Office","CBE","Roxanne")&amp;IF($Z564=6," - Final"," - Day "&amp;MAX(0,NETWORKDAYS($AA564,TODAY(),Holidays)-1)&amp;" of "&amp;CHOOSE($Z564,3,3,2,2,3))&amp;" | Total Day "&amp;MAX(0,NETWORKDAYS($N564,TODAY(),Holidays)-1))</f>
        <v/>
      </c>
      <c r="X564" s="18"/>
      <c r="Y564" s="18"/>
      <c r="Z564" s="17">
        <f>IF($N564="","",COUNT($N564:$S564))</f>
        <v/>
      </c>
      <c r="AA564" s="19">
        <f>IF($Z564="","",INT(INDEX($N564:$S564,$Z564)))</f>
        <v/>
      </c>
      <c r="AB564" s="19">
        <f>IF(OR($Z564="",$Z564=6),"",WORKDAY($AA564,CHOOSE($Z564,3,3,2,2,3),Holidays))</f>
        <v/>
      </c>
      <c r="AC564" s="17">
        <f>IF(OR($Z564="",$Z564=6),"",CHOOSE($Z564,"1st Email Follow-up","2nd Email Follow-up","Escalate Local Office","Escalate to CBE","Escalate to Roxanne"))</f>
        <v/>
      </c>
    </row>
    <row r="565" spans="13:29">
      <c r="M565" s="14"/>
      <c r="T565" s="16"/>
      <c r="U565" s="17">
        <f>IF(AND(COUNTA($A565:$L565)=0,$N565=""),"",IF($T565="Paid","PAID",IF($T565="Closed","CLOSED",IF($Z565="","",IF($Z565=6,"ESCALATED TO ROXANNE",IF(TODAY()&gt;$AB565,"OVERDUE",IF($AB565&lt;=WORKDAY(TODAY(),1,Holidays),"DUE TOMORROW",IF($Z565=4,"ESCALATED TO LOCAL OFFICE",IF($Z565=5,"ESCALATED TO CBE",IF($AA565=TODAY(),"EMAIL SENT","MONITORING"))))))))))</f>
        <v/>
      </c>
      <c r="V565" s="17">
        <f>IF($U565="",IF(AND(COUNTA($A565:$L565)&gt;0,$N565=""),"Awaiting Collection Email time stamp.",""),IF(OR($U565="PAID",$U565="CLOSED"),IF($U565="PAID","Account paid. Action completed.","Account closed. No further action required."),CHOOSE($Z565,"Collection Email","1st Email Follow-up","2nd Email Follow-up","Escalation to Local Office","Escalation to CBE","Escalation to Roxanne")&amp;" sent "&amp;TEXT($AA565,"dd-mmm")&amp;". "&amp;IF($Z565=6,"Final escalation completed.",IF($U565="OVERDUE","Next: "&amp;$AC565&amp;" was due "&amp;TEXT($AB565,"dd-mmm")&amp;" - "&amp;(NETWORKDAYS($AB565,TODAY(),Holidays)-1)&amp;" business day(s) late. Send now.",IF($U565="DUE TOMORROW","Next: "&amp;$AC565&amp;IF($AB565&lt;=TODAY()," is due TODAY ("," is due next business day (")&amp;TEXT($AB565,"dd-mmm")&amp;").","Next: "&amp;$AC565&amp;" due "&amp;TEXT($AB565,"dd-mmm")&amp;" ("&amp;(NETWORKDAYS(TODAY(),$AB565,Holidays)-1)&amp;" business day(s) left).")))))</f>
        <v/>
      </c>
      <c r="W565" s="17">
        <f>IF($Z565="","",CHOOSE($Z565,"Collection Email","1st Follow-up","2nd Follow-up","Local Office","CBE","Roxanne")&amp;IF($Z565=6," - Final"," - Day "&amp;MAX(0,NETWORKDAYS($AA565,TODAY(),Holidays)-1)&amp;" of "&amp;CHOOSE($Z565,3,3,2,2,3))&amp;" | Total Day "&amp;MAX(0,NETWORKDAYS($N565,TODAY(),Holidays)-1))</f>
        <v/>
      </c>
      <c r="X565" s="18"/>
      <c r="Y565" s="18"/>
      <c r="Z565" s="17">
        <f>IF($N565="","",COUNT($N565:$S565))</f>
        <v/>
      </c>
      <c r="AA565" s="19">
        <f>IF($Z565="","",INT(INDEX($N565:$S565,$Z565)))</f>
        <v/>
      </c>
      <c r="AB565" s="19">
        <f>IF(OR($Z565="",$Z565=6),"",WORKDAY($AA565,CHOOSE($Z565,3,3,2,2,3),Holidays))</f>
        <v/>
      </c>
      <c r="AC565" s="17">
        <f>IF(OR($Z565="",$Z565=6),"",CHOOSE($Z565,"1st Email Follow-up","2nd Email Follow-up","Escalate Local Office","Escalate to CBE","Escalate to Roxanne"))</f>
        <v/>
      </c>
    </row>
    <row r="566" spans="13:29">
      <c r="M566" s="14"/>
      <c r="T566" s="16"/>
      <c r="U566" s="17">
        <f>IF(AND(COUNTA($A566:$L566)=0,$N566=""),"",IF($T566="Paid","PAID",IF($T566="Closed","CLOSED",IF($Z566="","",IF($Z566=6,"ESCALATED TO ROXANNE",IF(TODAY()&gt;$AB566,"OVERDUE",IF($AB566&lt;=WORKDAY(TODAY(),1,Holidays),"DUE TOMORROW",IF($Z566=4,"ESCALATED TO LOCAL OFFICE",IF($Z566=5,"ESCALATED TO CBE",IF($AA566=TODAY(),"EMAIL SENT","MONITORING"))))))))))</f>
        <v/>
      </c>
      <c r="V566" s="17">
        <f>IF($U566="",IF(AND(COUNTA($A566:$L566)&gt;0,$N566=""),"Awaiting Collection Email time stamp.",""),IF(OR($U566="PAID",$U566="CLOSED"),IF($U566="PAID","Account paid. Action completed.","Account closed. No further action required."),CHOOSE($Z566,"Collection Email","1st Email Follow-up","2nd Email Follow-up","Escalation to Local Office","Escalation to CBE","Escalation to Roxanne")&amp;" sent "&amp;TEXT($AA566,"dd-mmm")&amp;". "&amp;IF($Z566=6,"Final escalation completed.",IF($U566="OVERDUE","Next: "&amp;$AC566&amp;" was due "&amp;TEXT($AB566,"dd-mmm")&amp;" - "&amp;(NETWORKDAYS($AB566,TODAY(),Holidays)-1)&amp;" business day(s) late. Send now.",IF($U566="DUE TOMORROW","Next: "&amp;$AC566&amp;IF($AB566&lt;=TODAY()," is due TODAY ("," is due next business day (")&amp;TEXT($AB566,"dd-mmm")&amp;").","Next: "&amp;$AC566&amp;" due "&amp;TEXT($AB566,"dd-mmm")&amp;" ("&amp;(NETWORKDAYS(TODAY(),$AB566,Holidays)-1)&amp;" business day(s) left).")))))</f>
        <v/>
      </c>
      <c r="W566" s="17">
        <f>IF($Z566="","",CHOOSE($Z566,"Collection Email","1st Follow-up","2nd Follow-up","Local Office","CBE","Roxanne")&amp;IF($Z566=6," - Final"," - Day "&amp;MAX(0,NETWORKDAYS($AA566,TODAY(),Holidays)-1)&amp;" of "&amp;CHOOSE($Z566,3,3,2,2,3))&amp;" | Total Day "&amp;MAX(0,NETWORKDAYS($N566,TODAY(),Holidays)-1))</f>
        <v/>
      </c>
      <c r="X566" s="18"/>
      <c r="Y566" s="18"/>
      <c r="Z566" s="17">
        <f>IF($N566="","",COUNT($N566:$S566))</f>
        <v/>
      </c>
      <c r="AA566" s="19">
        <f>IF($Z566="","",INT(INDEX($N566:$S566,$Z566)))</f>
        <v/>
      </c>
      <c r="AB566" s="19">
        <f>IF(OR($Z566="",$Z566=6),"",WORKDAY($AA566,CHOOSE($Z566,3,3,2,2,3),Holidays))</f>
        <v/>
      </c>
      <c r="AC566" s="17">
        <f>IF(OR($Z566="",$Z566=6),"",CHOOSE($Z566,"1st Email Follow-up","2nd Email Follow-up","Escalate Local Office","Escalate to CBE","Escalate to Roxanne"))</f>
        <v/>
      </c>
    </row>
    <row r="567" spans="13:29">
      <c r="M567" s="14"/>
      <c r="T567" s="16"/>
      <c r="U567" s="17">
        <f>IF(AND(COUNTA($A567:$L567)=0,$N567=""),"",IF($T567="Paid","PAID",IF($T567="Closed","CLOSED",IF($Z567="","",IF($Z567=6,"ESCALATED TO ROXANNE",IF(TODAY()&gt;$AB567,"OVERDUE",IF($AB567&lt;=WORKDAY(TODAY(),1,Holidays),"DUE TOMORROW",IF($Z567=4,"ESCALATED TO LOCAL OFFICE",IF($Z567=5,"ESCALATED TO CBE",IF($AA567=TODAY(),"EMAIL SENT","MONITORING"))))))))))</f>
        <v/>
      </c>
      <c r="V567" s="17">
        <f>IF($U567="",IF(AND(COUNTA($A567:$L567)&gt;0,$N567=""),"Awaiting Collection Email time stamp.",""),IF(OR($U567="PAID",$U567="CLOSED"),IF($U567="PAID","Account paid. Action completed.","Account closed. No further action required."),CHOOSE($Z567,"Collection Email","1st Email Follow-up","2nd Email Follow-up","Escalation to Local Office","Escalation to CBE","Escalation to Roxanne")&amp;" sent "&amp;TEXT($AA567,"dd-mmm")&amp;". "&amp;IF($Z567=6,"Final escalation completed.",IF($U567="OVERDUE","Next: "&amp;$AC567&amp;" was due "&amp;TEXT($AB567,"dd-mmm")&amp;" - "&amp;(NETWORKDAYS($AB567,TODAY(),Holidays)-1)&amp;" business day(s) late. Send now.",IF($U567="DUE TOMORROW","Next: "&amp;$AC567&amp;IF($AB567&lt;=TODAY()," is due TODAY ("," is due next business day (")&amp;TEXT($AB567,"dd-mmm")&amp;").","Next: "&amp;$AC567&amp;" due "&amp;TEXT($AB567,"dd-mmm")&amp;" ("&amp;(NETWORKDAYS(TODAY(),$AB567,Holidays)-1)&amp;" business day(s) left).")))))</f>
        <v/>
      </c>
      <c r="W567" s="17">
        <f>IF($Z567="","",CHOOSE($Z567,"Collection Email","1st Follow-up","2nd Follow-up","Local Office","CBE","Roxanne")&amp;IF($Z567=6," - Final"," - Day "&amp;MAX(0,NETWORKDAYS($AA567,TODAY(),Holidays)-1)&amp;" of "&amp;CHOOSE($Z567,3,3,2,2,3))&amp;" | Total Day "&amp;MAX(0,NETWORKDAYS($N567,TODAY(),Holidays)-1))</f>
        <v/>
      </c>
      <c r="X567" s="18"/>
      <c r="Y567" s="18"/>
      <c r="Z567" s="17">
        <f>IF($N567="","",COUNT($N567:$S567))</f>
        <v/>
      </c>
      <c r="AA567" s="19">
        <f>IF($Z567="","",INT(INDEX($N567:$S567,$Z567)))</f>
        <v/>
      </c>
      <c r="AB567" s="19">
        <f>IF(OR($Z567="",$Z567=6),"",WORKDAY($AA567,CHOOSE($Z567,3,3,2,2,3),Holidays))</f>
        <v/>
      </c>
      <c r="AC567" s="17">
        <f>IF(OR($Z567="",$Z567=6),"",CHOOSE($Z567,"1st Email Follow-up","2nd Email Follow-up","Escalate Local Office","Escalate to CBE","Escalate to Roxanne"))</f>
        <v/>
      </c>
    </row>
    <row r="568" spans="13:29">
      <c r="M568" s="14"/>
      <c r="T568" s="16"/>
      <c r="U568" s="17">
        <f>IF(AND(COUNTA($A568:$L568)=0,$N568=""),"",IF($T568="Paid","PAID",IF($T568="Closed","CLOSED",IF($Z568="","",IF($Z568=6,"ESCALATED TO ROXANNE",IF(TODAY()&gt;$AB568,"OVERDUE",IF($AB568&lt;=WORKDAY(TODAY(),1,Holidays),"DUE TOMORROW",IF($Z568=4,"ESCALATED TO LOCAL OFFICE",IF($Z568=5,"ESCALATED TO CBE",IF($AA568=TODAY(),"EMAIL SENT","MONITORING"))))))))))</f>
        <v/>
      </c>
      <c r="V568" s="17">
        <f>IF($U568="",IF(AND(COUNTA($A568:$L568)&gt;0,$N568=""),"Awaiting Collection Email time stamp.",""),IF(OR($U568="PAID",$U568="CLOSED"),IF($U568="PAID","Account paid. Action completed.","Account closed. No further action required."),CHOOSE($Z568,"Collection Email","1st Email Follow-up","2nd Email Follow-up","Escalation to Local Office","Escalation to CBE","Escalation to Roxanne")&amp;" sent "&amp;TEXT($AA568,"dd-mmm")&amp;". "&amp;IF($Z568=6,"Final escalation completed.",IF($U568="OVERDUE","Next: "&amp;$AC568&amp;" was due "&amp;TEXT($AB568,"dd-mmm")&amp;" - "&amp;(NETWORKDAYS($AB568,TODAY(),Holidays)-1)&amp;" business day(s) late. Send now.",IF($U568="DUE TOMORROW","Next: "&amp;$AC568&amp;IF($AB568&lt;=TODAY()," is due TODAY ("," is due next business day (")&amp;TEXT($AB568,"dd-mmm")&amp;").","Next: "&amp;$AC568&amp;" due "&amp;TEXT($AB568,"dd-mmm")&amp;" ("&amp;(NETWORKDAYS(TODAY(),$AB568,Holidays)-1)&amp;" business day(s) left).")))))</f>
        <v/>
      </c>
      <c r="W568" s="17">
        <f>IF($Z568="","",CHOOSE($Z568,"Collection Email","1st Follow-up","2nd Follow-up","Local Office","CBE","Roxanne")&amp;IF($Z568=6," - Final"," - Day "&amp;MAX(0,NETWORKDAYS($AA568,TODAY(),Holidays)-1)&amp;" of "&amp;CHOOSE($Z568,3,3,2,2,3))&amp;" | Total Day "&amp;MAX(0,NETWORKDAYS($N568,TODAY(),Holidays)-1))</f>
        <v/>
      </c>
      <c r="X568" s="18"/>
      <c r="Y568" s="18"/>
      <c r="Z568" s="17">
        <f>IF($N568="","",COUNT($N568:$S568))</f>
        <v/>
      </c>
      <c r="AA568" s="19">
        <f>IF($Z568="","",INT(INDEX($N568:$S568,$Z568)))</f>
        <v/>
      </c>
      <c r="AB568" s="19">
        <f>IF(OR($Z568="",$Z568=6),"",WORKDAY($AA568,CHOOSE($Z568,3,3,2,2,3),Holidays))</f>
        <v/>
      </c>
      <c r="AC568" s="17">
        <f>IF(OR($Z568="",$Z568=6),"",CHOOSE($Z568,"1st Email Follow-up","2nd Email Follow-up","Escalate Local Office","Escalate to CBE","Escalate to Roxanne"))</f>
        <v/>
      </c>
    </row>
    <row r="569" spans="13:29">
      <c r="M569" s="14"/>
      <c r="T569" s="16"/>
      <c r="U569" s="17">
        <f>IF(AND(COUNTA($A569:$L569)=0,$N569=""),"",IF($T569="Paid","PAID",IF($T569="Closed","CLOSED",IF($Z569="","",IF($Z569=6,"ESCALATED TO ROXANNE",IF(TODAY()&gt;$AB569,"OVERDUE",IF($AB569&lt;=WORKDAY(TODAY(),1,Holidays),"DUE TOMORROW",IF($Z569=4,"ESCALATED TO LOCAL OFFICE",IF($Z569=5,"ESCALATED TO CBE",IF($AA569=TODAY(),"EMAIL SENT","MONITORING"))))))))))</f>
        <v/>
      </c>
      <c r="V569" s="17">
        <f>IF($U569="",IF(AND(COUNTA($A569:$L569)&gt;0,$N569=""),"Awaiting Collection Email time stamp.",""),IF(OR($U569="PAID",$U569="CLOSED"),IF($U569="PAID","Account paid. Action completed.","Account closed. No further action required."),CHOOSE($Z569,"Collection Email","1st Email Follow-up","2nd Email Follow-up","Escalation to Local Office","Escalation to CBE","Escalation to Roxanne")&amp;" sent "&amp;TEXT($AA569,"dd-mmm")&amp;". "&amp;IF($Z569=6,"Final escalation completed.",IF($U569="OVERDUE","Next: "&amp;$AC569&amp;" was due "&amp;TEXT($AB569,"dd-mmm")&amp;" - "&amp;(NETWORKDAYS($AB569,TODAY(),Holidays)-1)&amp;" business day(s) late. Send now.",IF($U569="DUE TOMORROW","Next: "&amp;$AC569&amp;IF($AB569&lt;=TODAY()," is due TODAY ("," is due next business day (")&amp;TEXT($AB569,"dd-mmm")&amp;").","Next: "&amp;$AC569&amp;" due "&amp;TEXT($AB569,"dd-mmm")&amp;" ("&amp;(NETWORKDAYS(TODAY(),$AB569,Holidays)-1)&amp;" business day(s) left).")))))</f>
        <v/>
      </c>
      <c r="W569" s="17">
        <f>IF($Z569="","",CHOOSE($Z569,"Collection Email","1st Follow-up","2nd Follow-up","Local Office","CBE","Roxanne")&amp;IF($Z569=6," - Final"," - Day "&amp;MAX(0,NETWORKDAYS($AA569,TODAY(),Holidays)-1)&amp;" of "&amp;CHOOSE($Z569,3,3,2,2,3))&amp;" | Total Day "&amp;MAX(0,NETWORKDAYS($N569,TODAY(),Holidays)-1))</f>
        <v/>
      </c>
      <c r="X569" s="18"/>
      <c r="Y569" s="18"/>
      <c r="Z569" s="17">
        <f>IF($N569="","",COUNT($N569:$S569))</f>
        <v/>
      </c>
      <c r="AA569" s="19">
        <f>IF($Z569="","",INT(INDEX($N569:$S569,$Z569)))</f>
        <v/>
      </c>
      <c r="AB569" s="19">
        <f>IF(OR($Z569="",$Z569=6),"",WORKDAY($AA569,CHOOSE($Z569,3,3,2,2,3),Holidays))</f>
        <v/>
      </c>
      <c r="AC569" s="17">
        <f>IF(OR($Z569="",$Z569=6),"",CHOOSE($Z569,"1st Email Follow-up","2nd Email Follow-up","Escalate Local Office","Escalate to CBE","Escalate to Roxanne"))</f>
        <v/>
      </c>
    </row>
    <row r="570" spans="13:29">
      <c r="M570" s="14"/>
      <c r="T570" s="16"/>
      <c r="U570" s="17">
        <f>IF(AND(COUNTA($A570:$L570)=0,$N570=""),"",IF($T570="Paid","PAID",IF($T570="Closed","CLOSED",IF($Z570="","",IF($Z570=6,"ESCALATED TO ROXANNE",IF(TODAY()&gt;$AB570,"OVERDUE",IF($AB570&lt;=WORKDAY(TODAY(),1,Holidays),"DUE TOMORROW",IF($Z570=4,"ESCALATED TO LOCAL OFFICE",IF($Z570=5,"ESCALATED TO CBE",IF($AA570=TODAY(),"EMAIL SENT","MONITORING"))))))))))</f>
        <v/>
      </c>
      <c r="V570" s="17">
        <f>IF($U570="",IF(AND(COUNTA($A570:$L570)&gt;0,$N570=""),"Awaiting Collection Email time stamp.",""),IF(OR($U570="PAID",$U570="CLOSED"),IF($U570="PAID","Account paid. Action completed.","Account closed. No further action required."),CHOOSE($Z570,"Collection Email","1st Email Follow-up","2nd Email Follow-up","Escalation to Local Office","Escalation to CBE","Escalation to Roxanne")&amp;" sent "&amp;TEXT($AA570,"dd-mmm")&amp;". "&amp;IF($Z570=6,"Final escalation completed.",IF($U570="OVERDUE","Next: "&amp;$AC570&amp;" was due "&amp;TEXT($AB570,"dd-mmm")&amp;" - "&amp;(NETWORKDAYS($AB570,TODAY(),Holidays)-1)&amp;" business day(s) late. Send now.",IF($U570="DUE TOMORROW","Next: "&amp;$AC570&amp;IF($AB570&lt;=TODAY()," is due TODAY ("," is due next business day (")&amp;TEXT($AB570,"dd-mmm")&amp;").","Next: "&amp;$AC570&amp;" due "&amp;TEXT($AB570,"dd-mmm")&amp;" ("&amp;(NETWORKDAYS(TODAY(),$AB570,Holidays)-1)&amp;" business day(s) left).")))))</f>
        <v/>
      </c>
      <c r="W570" s="17">
        <f>IF($Z570="","",CHOOSE($Z570,"Collection Email","1st Follow-up","2nd Follow-up","Local Office","CBE","Roxanne")&amp;IF($Z570=6," - Final"," - Day "&amp;MAX(0,NETWORKDAYS($AA570,TODAY(),Holidays)-1)&amp;" of "&amp;CHOOSE($Z570,3,3,2,2,3))&amp;" | Total Day "&amp;MAX(0,NETWORKDAYS($N570,TODAY(),Holidays)-1))</f>
        <v/>
      </c>
      <c r="X570" s="18"/>
      <c r="Y570" s="18"/>
      <c r="Z570" s="17">
        <f>IF($N570="","",COUNT($N570:$S570))</f>
        <v/>
      </c>
      <c r="AA570" s="19">
        <f>IF($Z570="","",INT(INDEX($N570:$S570,$Z570)))</f>
        <v/>
      </c>
      <c r="AB570" s="19">
        <f>IF(OR($Z570="",$Z570=6),"",WORKDAY($AA570,CHOOSE($Z570,3,3,2,2,3),Holidays))</f>
        <v/>
      </c>
      <c r="AC570" s="17">
        <f>IF(OR($Z570="",$Z570=6),"",CHOOSE($Z570,"1st Email Follow-up","2nd Email Follow-up","Escalate Local Office","Escalate to CBE","Escalate to Roxanne"))</f>
        <v/>
      </c>
    </row>
    <row r="571" spans="13:29">
      <c r="M571" s="14"/>
      <c r="T571" s="16"/>
      <c r="U571" s="17">
        <f>IF(AND(COUNTA($A571:$L571)=0,$N571=""),"",IF($T571="Paid","PAID",IF($T571="Closed","CLOSED",IF($Z571="","",IF($Z571=6,"ESCALATED TO ROXANNE",IF(TODAY()&gt;$AB571,"OVERDUE",IF($AB571&lt;=WORKDAY(TODAY(),1,Holidays),"DUE TOMORROW",IF($Z571=4,"ESCALATED TO LOCAL OFFICE",IF($Z571=5,"ESCALATED TO CBE",IF($AA571=TODAY(),"EMAIL SENT","MONITORING"))))))))))</f>
        <v/>
      </c>
      <c r="V571" s="17">
        <f>IF($U571="",IF(AND(COUNTA($A571:$L571)&gt;0,$N571=""),"Awaiting Collection Email time stamp.",""),IF(OR($U571="PAID",$U571="CLOSED"),IF($U571="PAID","Account paid. Action completed.","Account closed. No further action required."),CHOOSE($Z571,"Collection Email","1st Email Follow-up","2nd Email Follow-up","Escalation to Local Office","Escalation to CBE","Escalation to Roxanne")&amp;" sent "&amp;TEXT($AA571,"dd-mmm")&amp;". "&amp;IF($Z571=6,"Final escalation completed.",IF($U571="OVERDUE","Next: "&amp;$AC571&amp;" was due "&amp;TEXT($AB571,"dd-mmm")&amp;" - "&amp;(NETWORKDAYS($AB571,TODAY(),Holidays)-1)&amp;" business day(s) late. Send now.",IF($U571="DUE TOMORROW","Next: "&amp;$AC571&amp;IF($AB571&lt;=TODAY()," is due TODAY ("," is due next business day (")&amp;TEXT($AB571,"dd-mmm")&amp;").","Next: "&amp;$AC571&amp;" due "&amp;TEXT($AB571,"dd-mmm")&amp;" ("&amp;(NETWORKDAYS(TODAY(),$AB571,Holidays)-1)&amp;" business day(s) left).")))))</f>
        <v/>
      </c>
      <c r="W571" s="17">
        <f>IF($Z571="","",CHOOSE($Z571,"Collection Email","1st Follow-up","2nd Follow-up","Local Office","CBE","Roxanne")&amp;IF($Z571=6," - Final"," - Day "&amp;MAX(0,NETWORKDAYS($AA571,TODAY(),Holidays)-1)&amp;" of "&amp;CHOOSE($Z571,3,3,2,2,3))&amp;" | Total Day "&amp;MAX(0,NETWORKDAYS($N571,TODAY(),Holidays)-1))</f>
        <v/>
      </c>
      <c r="X571" s="18"/>
      <c r="Y571" s="18"/>
      <c r="Z571" s="17">
        <f>IF($N571="","",COUNT($N571:$S571))</f>
        <v/>
      </c>
      <c r="AA571" s="19">
        <f>IF($Z571="","",INT(INDEX($N571:$S571,$Z571)))</f>
        <v/>
      </c>
      <c r="AB571" s="19">
        <f>IF(OR($Z571="",$Z571=6),"",WORKDAY($AA571,CHOOSE($Z571,3,3,2,2,3),Holidays))</f>
        <v/>
      </c>
      <c r="AC571" s="17">
        <f>IF(OR($Z571="",$Z571=6),"",CHOOSE($Z571,"1st Email Follow-up","2nd Email Follow-up","Escalate Local Office","Escalate to CBE","Escalate to Roxanne"))</f>
        <v/>
      </c>
    </row>
    <row r="572" spans="13:29">
      <c r="M572" s="14"/>
      <c r="T572" s="16"/>
      <c r="U572" s="17">
        <f>IF(AND(COUNTA($A572:$L572)=0,$N572=""),"",IF($T572="Paid","PAID",IF($T572="Closed","CLOSED",IF($Z572="","",IF($Z572=6,"ESCALATED TO ROXANNE",IF(TODAY()&gt;$AB572,"OVERDUE",IF($AB572&lt;=WORKDAY(TODAY(),1,Holidays),"DUE TOMORROW",IF($Z572=4,"ESCALATED TO LOCAL OFFICE",IF($Z572=5,"ESCALATED TO CBE",IF($AA572=TODAY(),"EMAIL SENT","MONITORING"))))))))))</f>
        <v/>
      </c>
      <c r="V572" s="17">
        <f>IF($U572="",IF(AND(COUNTA($A572:$L572)&gt;0,$N572=""),"Awaiting Collection Email time stamp.",""),IF(OR($U572="PAID",$U572="CLOSED"),IF($U572="PAID","Account paid. Action completed.","Account closed. No further action required."),CHOOSE($Z572,"Collection Email","1st Email Follow-up","2nd Email Follow-up","Escalation to Local Office","Escalation to CBE","Escalation to Roxanne")&amp;" sent "&amp;TEXT($AA572,"dd-mmm")&amp;". "&amp;IF($Z572=6,"Final escalation completed.",IF($U572="OVERDUE","Next: "&amp;$AC572&amp;" was due "&amp;TEXT($AB572,"dd-mmm")&amp;" - "&amp;(NETWORKDAYS($AB572,TODAY(),Holidays)-1)&amp;" business day(s) late. Send now.",IF($U572="DUE TOMORROW","Next: "&amp;$AC572&amp;IF($AB572&lt;=TODAY()," is due TODAY ("," is due next business day (")&amp;TEXT($AB572,"dd-mmm")&amp;").","Next: "&amp;$AC572&amp;" due "&amp;TEXT($AB572,"dd-mmm")&amp;" ("&amp;(NETWORKDAYS(TODAY(),$AB572,Holidays)-1)&amp;" business day(s) left).")))))</f>
        <v/>
      </c>
      <c r="W572" s="17">
        <f>IF($Z572="","",CHOOSE($Z572,"Collection Email","1st Follow-up","2nd Follow-up","Local Office","CBE","Roxanne")&amp;IF($Z572=6," - Final"," - Day "&amp;MAX(0,NETWORKDAYS($AA572,TODAY(),Holidays)-1)&amp;" of "&amp;CHOOSE($Z572,3,3,2,2,3))&amp;" | Total Day "&amp;MAX(0,NETWORKDAYS($N572,TODAY(),Holidays)-1))</f>
        <v/>
      </c>
      <c r="X572" s="18"/>
      <c r="Y572" s="18"/>
      <c r="Z572" s="17">
        <f>IF($N572="","",COUNT($N572:$S572))</f>
        <v/>
      </c>
      <c r="AA572" s="19">
        <f>IF($Z572="","",INT(INDEX($N572:$S572,$Z572)))</f>
        <v/>
      </c>
      <c r="AB572" s="19">
        <f>IF(OR($Z572="",$Z572=6),"",WORKDAY($AA572,CHOOSE($Z572,3,3,2,2,3),Holidays))</f>
        <v/>
      </c>
      <c r="AC572" s="17">
        <f>IF(OR($Z572="",$Z572=6),"",CHOOSE($Z572,"1st Email Follow-up","2nd Email Follow-up","Escalate Local Office","Escalate to CBE","Escalate to Roxanne"))</f>
        <v/>
      </c>
    </row>
    <row r="573" spans="13:29">
      <c r="M573" s="14"/>
      <c r="T573" s="16"/>
      <c r="U573" s="17">
        <f>IF(AND(COUNTA($A573:$L573)=0,$N573=""),"",IF($T573="Paid","PAID",IF($T573="Closed","CLOSED",IF($Z573="","",IF($Z573=6,"ESCALATED TO ROXANNE",IF(TODAY()&gt;$AB573,"OVERDUE",IF($AB573&lt;=WORKDAY(TODAY(),1,Holidays),"DUE TOMORROW",IF($Z573=4,"ESCALATED TO LOCAL OFFICE",IF($Z573=5,"ESCALATED TO CBE",IF($AA573=TODAY(),"EMAIL SENT","MONITORING"))))))))))</f>
        <v/>
      </c>
      <c r="V573" s="17">
        <f>IF($U573="",IF(AND(COUNTA($A573:$L573)&gt;0,$N573=""),"Awaiting Collection Email time stamp.",""),IF(OR($U573="PAID",$U573="CLOSED"),IF($U573="PAID","Account paid. Action completed.","Account closed. No further action required."),CHOOSE($Z573,"Collection Email","1st Email Follow-up","2nd Email Follow-up","Escalation to Local Office","Escalation to CBE","Escalation to Roxanne")&amp;" sent "&amp;TEXT($AA573,"dd-mmm")&amp;". "&amp;IF($Z573=6,"Final escalation completed.",IF($U573="OVERDUE","Next: "&amp;$AC573&amp;" was due "&amp;TEXT($AB573,"dd-mmm")&amp;" - "&amp;(NETWORKDAYS($AB573,TODAY(),Holidays)-1)&amp;" business day(s) late. Send now.",IF($U573="DUE TOMORROW","Next: "&amp;$AC573&amp;IF($AB573&lt;=TODAY()," is due TODAY ("," is due next business day (")&amp;TEXT($AB573,"dd-mmm")&amp;").","Next: "&amp;$AC573&amp;" due "&amp;TEXT($AB573,"dd-mmm")&amp;" ("&amp;(NETWORKDAYS(TODAY(),$AB573,Holidays)-1)&amp;" business day(s) left).")))))</f>
        <v/>
      </c>
      <c r="W573" s="17">
        <f>IF($Z573="","",CHOOSE($Z573,"Collection Email","1st Follow-up","2nd Follow-up","Local Office","CBE","Roxanne")&amp;IF($Z573=6," - Final"," - Day "&amp;MAX(0,NETWORKDAYS($AA573,TODAY(),Holidays)-1)&amp;" of "&amp;CHOOSE($Z573,3,3,2,2,3))&amp;" | Total Day "&amp;MAX(0,NETWORKDAYS($N573,TODAY(),Holidays)-1))</f>
        <v/>
      </c>
      <c r="X573" s="18"/>
      <c r="Y573" s="18"/>
      <c r="Z573" s="17">
        <f>IF($N573="","",COUNT($N573:$S573))</f>
        <v/>
      </c>
      <c r="AA573" s="19">
        <f>IF($Z573="","",INT(INDEX($N573:$S573,$Z573)))</f>
        <v/>
      </c>
      <c r="AB573" s="19">
        <f>IF(OR($Z573="",$Z573=6),"",WORKDAY($AA573,CHOOSE($Z573,3,3,2,2,3),Holidays))</f>
        <v/>
      </c>
      <c r="AC573" s="17">
        <f>IF(OR($Z573="",$Z573=6),"",CHOOSE($Z573,"1st Email Follow-up","2nd Email Follow-up","Escalate Local Office","Escalate to CBE","Escalate to Roxanne"))</f>
        <v/>
      </c>
    </row>
    <row r="574" spans="13:29">
      <c r="M574" s="14"/>
      <c r="T574" s="16"/>
      <c r="U574" s="17">
        <f>IF(AND(COUNTA($A574:$L574)=0,$N574=""),"",IF($T574="Paid","PAID",IF($T574="Closed","CLOSED",IF($Z574="","",IF($Z574=6,"ESCALATED TO ROXANNE",IF(TODAY()&gt;$AB574,"OVERDUE",IF($AB574&lt;=WORKDAY(TODAY(),1,Holidays),"DUE TOMORROW",IF($Z574=4,"ESCALATED TO LOCAL OFFICE",IF($Z574=5,"ESCALATED TO CBE",IF($AA574=TODAY(),"EMAIL SENT","MONITORING"))))))))))</f>
        <v/>
      </c>
      <c r="V574" s="17">
        <f>IF($U574="",IF(AND(COUNTA($A574:$L574)&gt;0,$N574=""),"Awaiting Collection Email time stamp.",""),IF(OR($U574="PAID",$U574="CLOSED"),IF($U574="PAID","Account paid. Action completed.","Account closed. No further action required."),CHOOSE($Z574,"Collection Email","1st Email Follow-up","2nd Email Follow-up","Escalation to Local Office","Escalation to CBE","Escalation to Roxanne")&amp;" sent "&amp;TEXT($AA574,"dd-mmm")&amp;". "&amp;IF($Z574=6,"Final escalation completed.",IF($U574="OVERDUE","Next: "&amp;$AC574&amp;" was due "&amp;TEXT($AB574,"dd-mmm")&amp;" - "&amp;(NETWORKDAYS($AB574,TODAY(),Holidays)-1)&amp;" business day(s) late. Send now.",IF($U574="DUE TOMORROW","Next: "&amp;$AC574&amp;IF($AB574&lt;=TODAY()," is due TODAY ("," is due next business day (")&amp;TEXT($AB574,"dd-mmm")&amp;").","Next: "&amp;$AC574&amp;" due "&amp;TEXT($AB574,"dd-mmm")&amp;" ("&amp;(NETWORKDAYS(TODAY(),$AB574,Holidays)-1)&amp;" business day(s) left).")))))</f>
        <v/>
      </c>
      <c r="W574" s="17">
        <f>IF($Z574="","",CHOOSE($Z574,"Collection Email","1st Follow-up","2nd Follow-up","Local Office","CBE","Roxanne")&amp;IF($Z574=6," - Final"," - Day "&amp;MAX(0,NETWORKDAYS($AA574,TODAY(),Holidays)-1)&amp;" of "&amp;CHOOSE($Z574,3,3,2,2,3))&amp;" | Total Day "&amp;MAX(0,NETWORKDAYS($N574,TODAY(),Holidays)-1))</f>
        <v/>
      </c>
      <c r="X574" s="18"/>
      <c r="Y574" s="18"/>
      <c r="Z574" s="17">
        <f>IF($N574="","",COUNT($N574:$S574))</f>
        <v/>
      </c>
      <c r="AA574" s="19">
        <f>IF($Z574="","",INT(INDEX($N574:$S574,$Z574)))</f>
        <v/>
      </c>
      <c r="AB574" s="19">
        <f>IF(OR($Z574="",$Z574=6),"",WORKDAY($AA574,CHOOSE($Z574,3,3,2,2,3),Holidays))</f>
        <v/>
      </c>
      <c r="AC574" s="17">
        <f>IF(OR($Z574="",$Z574=6),"",CHOOSE($Z574,"1st Email Follow-up","2nd Email Follow-up","Escalate Local Office","Escalate to CBE","Escalate to Roxanne"))</f>
        <v/>
      </c>
    </row>
    <row r="575" spans="13:29">
      <c r="M575" s="14"/>
      <c r="T575" s="16"/>
      <c r="U575" s="17">
        <f>IF(AND(COUNTA($A575:$L575)=0,$N575=""),"",IF($T575="Paid","PAID",IF($T575="Closed","CLOSED",IF($Z575="","",IF($Z575=6,"ESCALATED TO ROXANNE",IF(TODAY()&gt;$AB575,"OVERDUE",IF($AB575&lt;=WORKDAY(TODAY(),1,Holidays),"DUE TOMORROW",IF($Z575=4,"ESCALATED TO LOCAL OFFICE",IF($Z575=5,"ESCALATED TO CBE",IF($AA575=TODAY(),"EMAIL SENT","MONITORING"))))))))))</f>
        <v/>
      </c>
      <c r="V575" s="17">
        <f>IF($U575="",IF(AND(COUNTA($A575:$L575)&gt;0,$N575=""),"Awaiting Collection Email time stamp.",""),IF(OR($U575="PAID",$U575="CLOSED"),IF($U575="PAID","Account paid. Action completed.","Account closed. No further action required."),CHOOSE($Z575,"Collection Email","1st Email Follow-up","2nd Email Follow-up","Escalation to Local Office","Escalation to CBE","Escalation to Roxanne")&amp;" sent "&amp;TEXT($AA575,"dd-mmm")&amp;". "&amp;IF($Z575=6,"Final escalation completed.",IF($U575="OVERDUE","Next: "&amp;$AC575&amp;" was due "&amp;TEXT($AB575,"dd-mmm")&amp;" - "&amp;(NETWORKDAYS($AB575,TODAY(),Holidays)-1)&amp;" business day(s) late. Send now.",IF($U575="DUE TOMORROW","Next: "&amp;$AC575&amp;IF($AB575&lt;=TODAY()," is due TODAY ("," is due next business day (")&amp;TEXT($AB575,"dd-mmm")&amp;").","Next: "&amp;$AC575&amp;" due "&amp;TEXT($AB575,"dd-mmm")&amp;" ("&amp;(NETWORKDAYS(TODAY(),$AB575,Holidays)-1)&amp;" business day(s) left).")))))</f>
        <v/>
      </c>
      <c r="W575" s="17">
        <f>IF($Z575="","",CHOOSE($Z575,"Collection Email","1st Follow-up","2nd Follow-up","Local Office","CBE","Roxanne")&amp;IF($Z575=6," - Final"," - Day "&amp;MAX(0,NETWORKDAYS($AA575,TODAY(),Holidays)-1)&amp;" of "&amp;CHOOSE($Z575,3,3,2,2,3))&amp;" | Total Day "&amp;MAX(0,NETWORKDAYS($N575,TODAY(),Holidays)-1))</f>
        <v/>
      </c>
      <c r="X575" s="18"/>
      <c r="Y575" s="18"/>
      <c r="Z575" s="17">
        <f>IF($N575="","",COUNT($N575:$S575))</f>
        <v/>
      </c>
      <c r="AA575" s="19">
        <f>IF($Z575="","",INT(INDEX($N575:$S575,$Z575)))</f>
        <v/>
      </c>
      <c r="AB575" s="19">
        <f>IF(OR($Z575="",$Z575=6),"",WORKDAY($AA575,CHOOSE($Z575,3,3,2,2,3),Holidays))</f>
        <v/>
      </c>
      <c r="AC575" s="17">
        <f>IF(OR($Z575="",$Z575=6),"",CHOOSE($Z575,"1st Email Follow-up","2nd Email Follow-up","Escalate Local Office","Escalate to CBE","Escalate to Roxanne"))</f>
        <v/>
      </c>
    </row>
    <row r="576" spans="13:29">
      <c r="M576" s="14"/>
      <c r="T576" s="16"/>
      <c r="U576" s="17">
        <f>IF(AND(COUNTA($A576:$L576)=0,$N576=""),"",IF($T576="Paid","PAID",IF($T576="Closed","CLOSED",IF($Z576="","",IF($Z576=6,"ESCALATED TO ROXANNE",IF(TODAY()&gt;$AB576,"OVERDUE",IF($AB576&lt;=WORKDAY(TODAY(),1,Holidays),"DUE TOMORROW",IF($Z576=4,"ESCALATED TO LOCAL OFFICE",IF($Z576=5,"ESCALATED TO CBE",IF($AA576=TODAY(),"EMAIL SENT","MONITORING"))))))))))</f>
        <v/>
      </c>
      <c r="V576" s="17">
        <f>IF($U576="",IF(AND(COUNTA($A576:$L576)&gt;0,$N576=""),"Awaiting Collection Email time stamp.",""),IF(OR($U576="PAID",$U576="CLOSED"),IF($U576="PAID","Account paid. Action completed.","Account closed. No further action required."),CHOOSE($Z576,"Collection Email","1st Email Follow-up","2nd Email Follow-up","Escalation to Local Office","Escalation to CBE","Escalation to Roxanne")&amp;" sent "&amp;TEXT($AA576,"dd-mmm")&amp;". "&amp;IF($Z576=6,"Final escalation completed.",IF($U576="OVERDUE","Next: "&amp;$AC576&amp;" was due "&amp;TEXT($AB576,"dd-mmm")&amp;" - "&amp;(NETWORKDAYS($AB576,TODAY(),Holidays)-1)&amp;" business day(s) late. Send now.",IF($U576="DUE TOMORROW","Next: "&amp;$AC576&amp;IF($AB576&lt;=TODAY()," is due TODAY ("," is due next business day (")&amp;TEXT($AB576,"dd-mmm")&amp;").","Next: "&amp;$AC576&amp;" due "&amp;TEXT($AB576,"dd-mmm")&amp;" ("&amp;(NETWORKDAYS(TODAY(),$AB576,Holidays)-1)&amp;" business day(s) left).")))))</f>
        <v/>
      </c>
      <c r="W576" s="17">
        <f>IF($Z576="","",CHOOSE($Z576,"Collection Email","1st Follow-up","2nd Follow-up","Local Office","CBE","Roxanne")&amp;IF($Z576=6," - Final"," - Day "&amp;MAX(0,NETWORKDAYS($AA576,TODAY(),Holidays)-1)&amp;" of "&amp;CHOOSE($Z576,3,3,2,2,3))&amp;" | Total Day "&amp;MAX(0,NETWORKDAYS($N576,TODAY(),Holidays)-1))</f>
        <v/>
      </c>
      <c r="X576" s="18"/>
      <c r="Y576" s="18"/>
      <c r="Z576" s="17">
        <f>IF($N576="","",COUNT($N576:$S576))</f>
        <v/>
      </c>
      <c r="AA576" s="19">
        <f>IF($Z576="","",INT(INDEX($N576:$S576,$Z576)))</f>
        <v/>
      </c>
      <c r="AB576" s="19">
        <f>IF(OR($Z576="",$Z576=6),"",WORKDAY($AA576,CHOOSE($Z576,3,3,2,2,3),Holidays))</f>
        <v/>
      </c>
      <c r="AC576" s="17">
        <f>IF(OR($Z576="",$Z576=6),"",CHOOSE($Z576,"1st Email Follow-up","2nd Email Follow-up","Escalate Local Office","Escalate to CBE","Escalate to Roxanne"))</f>
        <v/>
      </c>
    </row>
    <row r="577" spans="13:29">
      <c r="M577" s="14"/>
      <c r="T577" s="16"/>
      <c r="U577" s="17">
        <f>IF(AND(COUNTA($A577:$L577)=0,$N577=""),"",IF($T577="Paid","PAID",IF($T577="Closed","CLOSED",IF($Z577="","",IF($Z577=6,"ESCALATED TO ROXANNE",IF(TODAY()&gt;$AB577,"OVERDUE",IF($AB577&lt;=WORKDAY(TODAY(),1,Holidays),"DUE TOMORROW",IF($Z577=4,"ESCALATED TO LOCAL OFFICE",IF($Z577=5,"ESCALATED TO CBE",IF($AA577=TODAY(),"EMAIL SENT","MONITORING"))))))))))</f>
        <v/>
      </c>
      <c r="V577" s="17">
        <f>IF($U577="",IF(AND(COUNTA($A577:$L577)&gt;0,$N577=""),"Awaiting Collection Email time stamp.",""),IF(OR($U577="PAID",$U577="CLOSED"),IF($U577="PAID","Account paid. Action completed.","Account closed. No further action required."),CHOOSE($Z577,"Collection Email","1st Email Follow-up","2nd Email Follow-up","Escalation to Local Office","Escalation to CBE","Escalation to Roxanne")&amp;" sent "&amp;TEXT($AA577,"dd-mmm")&amp;". "&amp;IF($Z577=6,"Final escalation completed.",IF($U577="OVERDUE","Next: "&amp;$AC577&amp;" was due "&amp;TEXT($AB577,"dd-mmm")&amp;" - "&amp;(NETWORKDAYS($AB577,TODAY(),Holidays)-1)&amp;" business day(s) late. Send now.",IF($U577="DUE TOMORROW","Next: "&amp;$AC577&amp;IF($AB577&lt;=TODAY()," is due TODAY ("," is due next business day (")&amp;TEXT($AB577,"dd-mmm")&amp;").","Next: "&amp;$AC577&amp;" due "&amp;TEXT($AB577,"dd-mmm")&amp;" ("&amp;(NETWORKDAYS(TODAY(),$AB577,Holidays)-1)&amp;" business day(s) left).")))))</f>
        <v/>
      </c>
      <c r="W577" s="17">
        <f>IF($Z577="","",CHOOSE($Z577,"Collection Email","1st Follow-up","2nd Follow-up","Local Office","CBE","Roxanne")&amp;IF($Z577=6," - Final"," - Day "&amp;MAX(0,NETWORKDAYS($AA577,TODAY(),Holidays)-1)&amp;" of "&amp;CHOOSE($Z577,3,3,2,2,3))&amp;" | Total Day "&amp;MAX(0,NETWORKDAYS($N577,TODAY(),Holidays)-1))</f>
        <v/>
      </c>
      <c r="X577" s="18"/>
      <c r="Y577" s="18"/>
      <c r="Z577" s="17">
        <f>IF($N577="","",COUNT($N577:$S577))</f>
        <v/>
      </c>
      <c r="AA577" s="19">
        <f>IF($Z577="","",INT(INDEX($N577:$S577,$Z577)))</f>
        <v/>
      </c>
      <c r="AB577" s="19">
        <f>IF(OR($Z577="",$Z577=6),"",WORKDAY($AA577,CHOOSE($Z577,3,3,2,2,3),Holidays))</f>
        <v/>
      </c>
      <c r="AC577" s="17">
        <f>IF(OR($Z577="",$Z577=6),"",CHOOSE($Z577,"1st Email Follow-up","2nd Email Follow-up","Escalate Local Office","Escalate to CBE","Escalate to Roxanne"))</f>
        <v/>
      </c>
    </row>
    <row r="578" spans="13:29">
      <c r="M578" s="14"/>
      <c r="T578" s="16"/>
      <c r="U578" s="17">
        <f>IF(AND(COUNTA($A578:$L578)=0,$N578=""),"",IF($T578="Paid","PAID",IF($T578="Closed","CLOSED",IF($Z578="","",IF($Z578=6,"ESCALATED TO ROXANNE",IF(TODAY()&gt;$AB578,"OVERDUE",IF($AB578&lt;=WORKDAY(TODAY(),1,Holidays),"DUE TOMORROW",IF($Z578=4,"ESCALATED TO LOCAL OFFICE",IF($Z578=5,"ESCALATED TO CBE",IF($AA578=TODAY(),"EMAIL SENT","MONITORING"))))))))))</f>
        <v/>
      </c>
      <c r="V578" s="17">
        <f>IF($U578="",IF(AND(COUNTA($A578:$L578)&gt;0,$N578=""),"Awaiting Collection Email time stamp.",""),IF(OR($U578="PAID",$U578="CLOSED"),IF($U578="PAID","Account paid. Action completed.","Account closed. No further action required."),CHOOSE($Z578,"Collection Email","1st Email Follow-up","2nd Email Follow-up","Escalation to Local Office","Escalation to CBE","Escalation to Roxanne")&amp;" sent "&amp;TEXT($AA578,"dd-mmm")&amp;". "&amp;IF($Z578=6,"Final escalation completed.",IF($U578="OVERDUE","Next: "&amp;$AC578&amp;" was due "&amp;TEXT($AB578,"dd-mmm")&amp;" - "&amp;(NETWORKDAYS($AB578,TODAY(),Holidays)-1)&amp;" business day(s) late. Send now.",IF($U578="DUE TOMORROW","Next: "&amp;$AC578&amp;IF($AB578&lt;=TODAY()," is due TODAY ("," is due next business day (")&amp;TEXT($AB578,"dd-mmm")&amp;").","Next: "&amp;$AC578&amp;" due "&amp;TEXT($AB578,"dd-mmm")&amp;" ("&amp;(NETWORKDAYS(TODAY(),$AB578,Holidays)-1)&amp;" business day(s) left).")))))</f>
        <v/>
      </c>
      <c r="W578" s="17">
        <f>IF($Z578="","",CHOOSE($Z578,"Collection Email","1st Follow-up","2nd Follow-up","Local Office","CBE","Roxanne")&amp;IF($Z578=6," - Final"," - Day "&amp;MAX(0,NETWORKDAYS($AA578,TODAY(),Holidays)-1)&amp;" of "&amp;CHOOSE($Z578,3,3,2,2,3))&amp;" | Total Day "&amp;MAX(0,NETWORKDAYS($N578,TODAY(),Holidays)-1))</f>
        <v/>
      </c>
      <c r="X578" s="18"/>
      <c r="Y578" s="18"/>
      <c r="Z578" s="17">
        <f>IF($N578="","",COUNT($N578:$S578))</f>
        <v/>
      </c>
      <c r="AA578" s="19">
        <f>IF($Z578="","",INT(INDEX($N578:$S578,$Z578)))</f>
        <v/>
      </c>
      <c r="AB578" s="19">
        <f>IF(OR($Z578="",$Z578=6),"",WORKDAY($AA578,CHOOSE($Z578,3,3,2,2,3),Holidays))</f>
        <v/>
      </c>
      <c r="AC578" s="17">
        <f>IF(OR($Z578="",$Z578=6),"",CHOOSE($Z578,"1st Email Follow-up","2nd Email Follow-up","Escalate Local Office","Escalate to CBE","Escalate to Roxanne"))</f>
        <v/>
      </c>
    </row>
    <row r="579" spans="13:29">
      <c r="M579" s="14"/>
      <c r="T579" s="16"/>
      <c r="U579" s="17">
        <f>IF(AND(COUNTA($A579:$L579)=0,$N579=""),"",IF($T579="Paid","PAID",IF($T579="Closed","CLOSED",IF($Z579="","",IF($Z579=6,"ESCALATED TO ROXANNE",IF(TODAY()&gt;$AB579,"OVERDUE",IF($AB579&lt;=WORKDAY(TODAY(),1,Holidays),"DUE TOMORROW",IF($Z579=4,"ESCALATED TO LOCAL OFFICE",IF($Z579=5,"ESCALATED TO CBE",IF($AA579=TODAY(),"EMAIL SENT","MONITORING"))))))))))</f>
        <v/>
      </c>
      <c r="V579" s="17">
        <f>IF($U579="",IF(AND(COUNTA($A579:$L579)&gt;0,$N579=""),"Awaiting Collection Email time stamp.",""),IF(OR($U579="PAID",$U579="CLOSED"),IF($U579="PAID","Account paid. Action completed.","Account closed. No further action required."),CHOOSE($Z579,"Collection Email","1st Email Follow-up","2nd Email Follow-up","Escalation to Local Office","Escalation to CBE","Escalation to Roxanne")&amp;" sent "&amp;TEXT($AA579,"dd-mmm")&amp;". "&amp;IF($Z579=6,"Final escalation completed.",IF($U579="OVERDUE","Next: "&amp;$AC579&amp;" was due "&amp;TEXT($AB579,"dd-mmm")&amp;" - "&amp;(NETWORKDAYS($AB579,TODAY(),Holidays)-1)&amp;" business day(s) late. Send now.",IF($U579="DUE TOMORROW","Next: "&amp;$AC579&amp;IF($AB579&lt;=TODAY()," is due TODAY ("," is due next business day (")&amp;TEXT($AB579,"dd-mmm")&amp;").","Next: "&amp;$AC579&amp;" due "&amp;TEXT($AB579,"dd-mmm")&amp;" ("&amp;(NETWORKDAYS(TODAY(),$AB579,Holidays)-1)&amp;" business day(s) left).")))))</f>
        <v/>
      </c>
      <c r="W579" s="17">
        <f>IF($Z579="","",CHOOSE($Z579,"Collection Email","1st Follow-up","2nd Follow-up","Local Office","CBE","Roxanne")&amp;IF($Z579=6," - Final"," - Day "&amp;MAX(0,NETWORKDAYS($AA579,TODAY(),Holidays)-1)&amp;" of "&amp;CHOOSE($Z579,3,3,2,2,3))&amp;" | Total Day "&amp;MAX(0,NETWORKDAYS($N579,TODAY(),Holidays)-1))</f>
        <v/>
      </c>
      <c r="X579" s="18"/>
      <c r="Y579" s="18"/>
      <c r="Z579" s="17">
        <f>IF($N579="","",COUNT($N579:$S579))</f>
        <v/>
      </c>
      <c r="AA579" s="19">
        <f>IF($Z579="","",INT(INDEX($N579:$S579,$Z579)))</f>
        <v/>
      </c>
      <c r="AB579" s="19">
        <f>IF(OR($Z579="",$Z579=6),"",WORKDAY($AA579,CHOOSE($Z579,3,3,2,2,3),Holidays))</f>
        <v/>
      </c>
      <c r="AC579" s="17">
        <f>IF(OR($Z579="",$Z579=6),"",CHOOSE($Z579,"1st Email Follow-up","2nd Email Follow-up","Escalate Local Office","Escalate to CBE","Escalate to Roxanne"))</f>
        <v/>
      </c>
    </row>
    <row r="580" spans="13:29">
      <c r="M580" s="14"/>
      <c r="T580" s="16"/>
      <c r="U580" s="17">
        <f>IF(AND(COUNTA($A580:$L580)=0,$N580=""),"",IF($T580="Paid","PAID",IF($T580="Closed","CLOSED",IF($Z580="","",IF($Z580=6,"ESCALATED TO ROXANNE",IF(TODAY()&gt;$AB580,"OVERDUE",IF($AB580&lt;=WORKDAY(TODAY(),1,Holidays),"DUE TOMORROW",IF($Z580=4,"ESCALATED TO LOCAL OFFICE",IF($Z580=5,"ESCALATED TO CBE",IF($AA580=TODAY(),"EMAIL SENT","MONITORING"))))))))))</f>
        <v/>
      </c>
      <c r="V580" s="17">
        <f>IF($U580="",IF(AND(COUNTA($A580:$L580)&gt;0,$N580=""),"Awaiting Collection Email time stamp.",""),IF(OR($U580="PAID",$U580="CLOSED"),IF($U580="PAID","Account paid. Action completed.","Account closed. No further action required."),CHOOSE($Z580,"Collection Email","1st Email Follow-up","2nd Email Follow-up","Escalation to Local Office","Escalation to CBE","Escalation to Roxanne")&amp;" sent "&amp;TEXT($AA580,"dd-mmm")&amp;". "&amp;IF($Z580=6,"Final escalation completed.",IF($U580="OVERDUE","Next: "&amp;$AC580&amp;" was due "&amp;TEXT($AB580,"dd-mmm")&amp;" - "&amp;(NETWORKDAYS($AB580,TODAY(),Holidays)-1)&amp;" business day(s) late. Send now.",IF($U580="DUE TOMORROW","Next: "&amp;$AC580&amp;IF($AB580&lt;=TODAY()," is due TODAY ("," is due next business day (")&amp;TEXT($AB580,"dd-mmm")&amp;").","Next: "&amp;$AC580&amp;" due "&amp;TEXT($AB580,"dd-mmm")&amp;" ("&amp;(NETWORKDAYS(TODAY(),$AB580,Holidays)-1)&amp;" business day(s) left).")))))</f>
        <v/>
      </c>
      <c r="W580" s="17">
        <f>IF($Z580="","",CHOOSE($Z580,"Collection Email","1st Follow-up","2nd Follow-up","Local Office","CBE","Roxanne")&amp;IF($Z580=6," - Final"," - Day "&amp;MAX(0,NETWORKDAYS($AA580,TODAY(),Holidays)-1)&amp;" of "&amp;CHOOSE($Z580,3,3,2,2,3))&amp;" | Total Day "&amp;MAX(0,NETWORKDAYS($N580,TODAY(),Holidays)-1))</f>
        <v/>
      </c>
      <c r="X580" s="18"/>
      <c r="Y580" s="18"/>
      <c r="Z580" s="17">
        <f>IF($N580="","",COUNT($N580:$S580))</f>
        <v/>
      </c>
      <c r="AA580" s="19">
        <f>IF($Z580="","",INT(INDEX($N580:$S580,$Z580)))</f>
        <v/>
      </c>
      <c r="AB580" s="19">
        <f>IF(OR($Z580="",$Z580=6),"",WORKDAY($AA580,CHOOSE($Z580,3,3,2,2,3),Holidays))</f>
        <v/>
      </c>
      <c r="AC580" s="17">
        <f>IF(OR($Z580="",$Z580=6),"",CHOOSE($Z580,"1st Email Follow-up","2nd Email Follow-up","Escalate Local Office","Escalate to CBE","Escalate to Roxanne"))</f>
        <v/>
      </c>
    </row>
    <row r="581" spans="13:29">
      <c r="M581" s="14"/>
      <c r="T581" s="16"/>
      <c r="U581" s="17">
        <f>IF(AND(COUNTA($A581:$L581)=0,$N581=""),"",IF($T581="Paid","PAID",IF($T581="Closed","CLOSED",IF($Z581="","",IF($Z581=6,"ESCALATED TO ROXANNE",IF(TODAY()&gt;$AB581,"OVERDUE",IF($AB581&lt;=WORKDAY(TODAY(),1,Holidays),"DUE TOMORROW",IF($Z581=4,"ESCALATED TO LOCAL OFFICE",IF($Z581=5,"ESCALATED TO CBE",IF($AA581=TODAY(),"EMAIL SENT","MONITORING"))))))))))</f>
        <v/>
      </c>
      <c r="V581" s="17">
        <f>IF($U581="",IF(AND(COUNTA($A581:$L581)&gt;0,$N581=""),"Awaiting Collection Email time stamp.",""),IF(OR($U581="PAID",$U581="CLOSED"),IF($U581="PAID","Account paid. Action completed.","Account closed. No further action required."),CHOOSE($Z581,"Collection Email","1st Email Follow-up","2nd Email Follow-up","Escalation to Local Office","Escalation to CBE","Escalation to Roxanne")&amp;" sent "&amp;TEXT($AA581,"dd-mmm")&amp;". "&amp;IF($Z581=6,"Final escalation completed.",IF($U581="OVERDUE","Next: "&amp;$AC581&amp;" was due "&amp;TEXT($AB581,"dd-mmm")&amp;" - "&amp;(NETWORKDAYS($AB581,TODAY(),Holidays)-1)&amp;" business day(s) late. Send now.",IF($U581="DUE TOMORROW","Next: "&amp;$AC581&amp;IF($AB581&lt;=TODAY()," is due TODAY ("," is due next business day (")&amp;TEXT($AB581,"dd-mmm")&amp;").","Next: "&amp;$AC581&amp;" due "&amp;TEXT($AB581,"dd-mmm")&amp;" ("&amp;(NETWORKDAYS(TODAY(),$AB581,Holidays)-1)&amp;" business day(s) left).")))))</f>
        <v/>
      </c>
      <c r="W581" s="17">
        <f>IF($Z581="","",CHOOSE($Z581,"Collection Email","1st Follow-up","2nd Follow-up","Local Office","CBE","Roxanne")&amp;IF($Z581=6," - Final"," - Day "&amp;MAX(0,NETWORKDAYS($AA581,TODAY(),Holidays)-1)&amp;" of "&amp;CHOOSE($Z581,3,3,2,2,3))&amp;" | Total Day "&amp;MAX(0,NETWORKDAYS($N581,TODAY(),Holidays)-1))</f>
        <v/>
      </c>
      <c r="X581" s="18"/>
      <c r="Y581" s="18"/>
      <c r="Z581" s="17">
        <f>IF($N581="","",COUNT($N581:$S581))</f>
        <v/>
      </c>
      <c r="AA581" s="19">
        <f>IF($Z581="","",INT(INDEX($N581:$S581,$Z581)))</f>
        <v/>
      </c>
      <c r="AB581" s="19">
        <f>IF(OR($Z581="",$Z581=6),"",WORKDAY($AA581,CHOOSE($Z581,3,3,2,2,3),Holidays))</f>
        <v/>
      </c>
      <c r="AC581" s="17">
        <f>IF(OR($Z581="",$Z581=6),"",CHOOSE($Z581,"1st Email Follow-up","2nd Email Follow-up","Escalate Local Office","Escalate to CBE","Escalate to Roxanne"))</f>
        <v/>
      </c>
    </row>
    <row r="582" spans="13:29">
      <c r="M582" s="14"/>
      <c r="T582" s="16"/>
      <c r="U582" s="17">
        <f>IF(AND(COUNTA($A582:$L582)=0,$N582=""),"",IF($T582="Paid","PAID",IF($T582="Closed","CLOSED",IF($Z582="","",IF($Z582=6,"ESCALATED TO ROXANNE",IF(TODAY()&gt;$AB582,"OVERDUE",IF($AB582&lt;=WORKDAY(TODAY(),1,Holidays),"DUE TOMORROW",IF($Z582=4,"ESCALATED TO LOCAL OFFICE",IF($Z582=5,"ESCALATED TO CBE",IF($AA582=TODAY(),"EMAIL SENT","MONITORING"))))))))))</f>
        <v/>
      </c>
      <c r="V582" s="17">
        <f>IF($U582="",IF(AND(COUNTA($A582:$L582)&gt;0,$N582=""),"Awaiting Collection Email time stamp.",""),IF(OR($U582="PAID",$U582="CLOSED"),IF($U582="PAID","Account paid. Action completed.","Account closed. No further action required."),CHOOSE($Z582,"Collection Email","1st Email Follow-up","2nd Email Follow-up","Escalation to Local Office","Escalation to CBE","Escalation to Roxanne")&amp;" sent "&amp;TEXT($AA582,"dd-mmm")&amp;". "&amp;IF($Z582=6,"Final escalation completed.",IF($U582="OVERDUE","Next: "&amp;$AC582&amp;" was due "&amp;TEXT($AB582,"dd-mmm")&amp;" - "&amp;(NETWORKDAYS($AB582,TODAY(),Holidays)-1)&amp;" business day(s) late. Send now.",IF($U582="DUE TOMORROW","Next: "&amp;$AC582&amp;IF($AB582&lt;=TODAY()," is due TODAY ("," is due next business day (")&amp;TEXT($AB582,"dd-mmm")&amp;").","Next: "&amp;$AC582&amp;" due "&amp;TEXT($AB582,"dd-mmm")&amp;" ("&amp;(NETWORKDAYS(TODAY(),$AB582,Holidays)-1)&amp;" business day(s) left).")))))</f>
        <v/>
      </c>
      <c r="W582" s="17">
        <f>IF($Z582="","",CHOOSE($Z582,"Collection Email","1st Follow-up","2nd Follow-up","Local Office","CBE","Roxanne")&amp;IF($Z582=6," - Final"," - Day "&amp;MAX(0,NETWORKDAYS($AA582,TODAY(),Holidays)-1)&amp;" of "&amp;CHOOSE($Z582,3,3,2,2,3))&amp;" | Total Day "&amp;MAX(0,NETWORKDAYS($N582,TODAY(),Holidays)-1))</f>
        <v/>
      </c>
      <c r="X582" s="18"/>
      <c r="Y582" s="18"/>
      <c r="Z582" s="17">
        <f>IF($N582="","",COUNT($N582:$S582))</f>
        <v/>
      </c>
      <c r="AA582" s="19">
        <f>IF($Z582="","",INT(INDEX($N582:$S582,$Z582)))</f>
        <v/>
      </c>
      <c r="AB582" s="19">
        <f>IF(OR($Z582="",$Z582=6),"",WORKDAY($AA582,CHOOSE($Z582,3,3,2,2,3),Holidays))</f>
        <v/>
      </c>
      <c r="AC582" s="17">
        <f>IF(OR($Z582="",$Z582=6),"",CHOOSE($Z582,"1st Email Follow-up","2nd Email Follow-up","Escalate Local Office","Escalate to CBE","Escalate to Roxanne"))</f>
        <v/>
      </c>
    </row>
    <row r="583" spans="13:29">
      <c r="M583" s="14"/>
      <c r="T583" s="16"/>
      <c r="U583" s="17">
        <f>IF(AND(COUNTA($A583:$L583)=0,$N583=""),"",IF($T583="Paid","PAID",IF($T583="Closed","CLOSED",IF($Z583="","",IF($Z583=6,"ESCALATED TO ROXANNE",IF(TODAY()&gt;$AB583,"OVERDUE",IF($AB583&lt;=WORKDAY(TODAY(),1,Holidays),"DUE TOMORROW",IF($Z583=4,"ESCALATED TO LOCAL OFFICE",IF($Z583=5,"ESCALATED TO CBE",IF($AA583=TODAY(),"EMAIL SENT","MONITORING"))))))))))</f>
        <v/>
      </c>
      <c r="V583" s="17">
        <f>IF($U583="",IF(AND(COUNTA($A583:$L583)&gt;0,$N583=""),"Awaiting Collection Email time stamp.",""),IF(OR($U583="PAID",$U583="CLOSED"),IF($U583="PAID","Account paid. Action completed.","Account closed. No further action required."),CHOOSE($Z583,"Collection Email","1st Email Follow-up","2nd Email Follow-up","Escalation to Local Office","Escalation to CBE","Escalation to Roxanne")&amp;" sent "&amp;TEXT($AA583,"dd-mmm")&amp;". "&amp;IF($Z583=6,"Final escalation completed.",IF($U583="OVERDUE","Next: "&amp;$AC583&amp;" was due "&amp;TEXT($AB583,"dd-mmm")&amp;" - "&amp;(NETWORKDAYS($AB583,TODAY(),Holidays)-1)&amp;" business day(s) late. Send now.",IF($U583="DUE TOMORROW","Next: "&amp;$AC583&amp;IF($AB583&lt;=TODAY()," is due TODAY ("," is due next business day (")&amp;TEXT($AB583,"dd-mmm")&amp;").","Next: "&amp;$AC583&amp;" due "&amp;TEXT($AB583,"dd-mmm")&amp;" ("&amp;(NETWORKDAYS(TODAY(),$AB583,Holidays)-1)&amp;" business day(s) left).")))))</f>
        <v/>
      </c>
      <c r="W583" s="17">
        <f>IF($Z583="","",CHOOSE($Z583,"Collection Email","1st Follow-up","2nd Follow-up","Local Office","CBE","Roxanne")&amp;IF($Z583=6," - Final"," - Day "&amp;MAX(0,NETWORKDAYS($AA583,TODAY(),Holidays)-1)&amp;" of "&amp;CHOOSE($Z583,3,3,2,2,3))&amp;" | Total Day "&amp;MAX(0,NETWORKDAYS($N583,TODAY(),Holidays)-1))</f>
        <v/>
      </c>
      <c r="X583" s="18"/>
      <c r="Y583" s="18"/>
      <c r="Z583" s="17">
        <f>IF($N583="","",COUNT($N583:$S583))</f>
        <v/>
      </c>
      <c r="AA583" s="19">
        <f>IF($Z583="","",INT(INDEX($N583:$S583,$Z583)))</f>
        <v/>
      </c>
      <c r="AB583" s="19">
        <f>IF(OR($Z583="",$Z583=6),"",WORKDAY($AA583,CHOOSE($Z583,3,3,2,2,3),Holidays))</f>
        <v/>
      </c>
      <c r="AC583" s="17">
        <f>IF(OR($Z583="",$Z583=6),"",CHOOSE($Z583,"1st Email Follow-up","2nd Email Follow-up","Escalate Local Office","Escalate to CBE","Escalate to Roxanne"))</f>
        <v/>
      </c>
    </row>
    <row r="584" spans="13:29">
      <c r="M584" s="14"/>
      <c r="T584" s="16"/>
      <c r="U584" s="17">
        <f>IF(AND(COUNTA($A584:$L584)=0,$N584=""),"",IF($T584="Paid","PAID",IF($T584="Closed","CLOSED",IF($Z584="","",IF($Z584=6,"ESCALATED TO ROXANNE",IF(TODAY()&gt;$AB584,"OVERDUE",IF($AB584&lt;=WORKDAY(TODAY(),1,Holidays),"DUE TOMORROW",IF($Z584=4,"ESCALATED TO LOCAL OFFICE",IF($Z584=5,"ESCALATED TO CBE",IF($AA584=TODAY(),"EMAIL SENT","MONITORING"))))))))))</f>
        <v/>
      </c>
      <c r="V584" s="17">
        <f>IF($U584="",IF(AND(COUNTA($A584:$L584)&gt;0,$N584=""),"Awaiting Collection Email time stamp.",""),IF(OR($U584="PAID",$U584="CLOSED"),IF($U584="PAID","Account paid. Action completed.","Account closed. No further action required."),CHOOSE($Z584,"Collection Email","1st Email Follow-up","2nd Email Follow-up","Escalation to Local Office","Escalation to CBE","Escalation to Roxanne")&amp;" sent "&amp;TEXT($AA584,"dd-mmm")&amp;". "&amp;IF($Z584=6,"Final escalation completed.",IF($U584="OVERDUE","Next: "&amp;$AC584&amp;" was due "&amp;TEXT($AB584,"dd-mmm")&amp;" - "&amp;(NETWORKDAYS($AB584,TODAY(),Holidays)-1)&amp;" business day(s) late. Send now.",IF($U584="DUE TOMORROW","Next: "&amp;$AC584&amp;IF($AB584&lt;=TODAY()," is due TODAY ("," is due next business day (")&amp;TEXT($AB584,"dd-mmm")&amp;").","Next: "&amp;$AC584&amp;" due "&amp;TEXT($AB584,"dd-mmm")&amp;" ("&amp;(NETWORKDAYS(TODAY(),$AB584,Holidays)-1)&amp;" business day(s) left).")))))</f>
        <v/>
      </c>
      <c r="W584" s="17">
        <f>IF($Z584="","",CHOOSE($Z584,"Collection Email","1st Follow-up","2nd Follow-up","Local Office","CBE","Roxanne")&amp;IF($Z584=6," - Final"," - Day "&amp;MAX(0,NETWORKDAYS($AA584,TODAY(),Holidays)-1)&amp;" of "&amp;CHOOSE($Z584,3,3,2,2,3))&amp;" | Total Day "&amp;MAX(0,NETWORKDAYS($N584,TODAY(),Holidays)-1))</f>
        <v/>
      </c>
      <c r="X584" s="18"/>
      <c r="Y584" s="18"/>
      <c r="Z584" s="17">
        <f>IF($N584="","",COUNT($N584:$S584))</f>
        <v/>
      </c>
      <c r="AA584" s="19">
        <f>IF($Z584="","",INT(INDEX($N584:$S584,$Z584)))</f>
        <v/>
      </c>
      <c r="AB584" s="19">
        <f>IF(OR($Z584="",$Z584=6),"",WORKDAY($AA584,CHOOSE($Z584,3,3,2,2,3),Holidays))</f>
        <v/>
      </c>
      <c r="AC584" s="17">
        <f>IF(OR($Z584="",$Z584=6),"",CHOOSE($Z584,"1st Email Follow-up","2nd Email Follow-up","Escalate Local Office","Escalate to CBE","Escalate to Roxanne"))</f>
        <v/>
      </c>
    </row>
    <row r="585" spans="13:29">
      <c r="M585" s="14"/>
      <c r="T585" s="16"/>
      <c r="U585" s="17">
        <f>IF(AND(COUNTA($A585:$L585)=0,$N585=""),"",IF($T585="Paid","PAID",IF($T585="Closed","CLOSED",IF($Z585="","",IF($Z585=6,"ESCALATED TO ROXANNE",IF(TODAY()&gt;$AB585,"OVERDUE",IF($AB585&lt;=WORKDAY(TODAY(),1,Holidays),"DUE TOMORROW",IF($Z585=4,"ESCALATED TO LOCAL OFFICE",IF($Z585=5,"ESCALATED TO CBE",IF($AA585=TODAY(),"EMAIL SENT","MONITORING"))))))))))</f>
        <v/>
      </c>
      <c r="V585" s="17">
        <f>IF($U585="",IF(AND(COUNTA($A585:$L585)&gt;0,$N585=""),"Awaiting Collection Email time stamp.",""),IF(OR($U585="PAID",$U585="CLOSED"),IF($U585="PAID","Account paid. Action completed.","Account closed. No further action required."),CHOOSE($Z585,"Collection Email","1st Email Follow-up","2nd Email Follow-up","Escalation to Local Office","Escalation to CBE","Escalation to Roxanne")&amp;" sent "&amp;TEXT($AA585,"dd-mmm")&amp;". "&amp;IF($Z585=6,"Final escalation completed.",IF($U585="OVERDUE","Next: "&amp;$AC585&amp;" was due "&amp;TEXT($AB585,"dd-mmm")&amp;" - "&amp;(NETWORKDAYS($AB585,TODAY(),Holidays)-1)&amp;" business day(s) late. Send now.",IF($U585="DUE TOMORROW","Next: "&amp;$AC585&amp;IF($AB585&lt;=TODAY()," is due TODAY ("," is due next business day (")&amp;TEXT($AB585,"dd-mmm")&amp;").","Next: "&amp;$AC585&amp;" due "&amp;TEXT($AB585,"dd-mmm")&amp;" ("&amp;(NETWORKDAYS(TODAY(),$AB585,Holidays)-1)&amp;" business day(s) left).")))))</f>
        <v/>
      </c>
      <c r="W585" s="17">
        <f>IF($Z585="","",CHOOSE($Z585,"Collection Email","1st Follow-up","2nd Follow-up","Local Office","CBE","Roxanne")&amp;IF($Z585=6," - Final"," - Day "&amp;MAX(0,NETWORKDAYS($AA585,TODAY(),Holidays)-1)&amp;" of "&amp;CHOOSE($Z585,3,3,2,2,3))&amp;" | Total Day "&amp;MAX(0,NETWORKDAYS($N585,TODAY(),Holidays)-1))</f>
        <v/>
      </c>
      <c r="X585" s="18"/>
      <c r="Y585" s="18"/>
      <c r="Z585" s="17">
        <f>IF($N585="","",COUNT($N585:$S585))</f>
        <v/>
      </c>
      <c r="AA585" s="19">
        <f>IF($Z585="","",INT(INDEX($N585:$S585,$Z585)))</f>
        <v/>
      </c>
      <c r="AB585" s="19">
        <f>IF(OR($Z585="",$Z585=6),"",WORKDAY($AA585,CHOOSE($Z585,3,3,2,2,3),Holidays))</f>
        <v/>
      </c>
      <c r="AC585" s="17">
        <f>IF(OR($Z585="",$Z585=6),"",CHOOSE($Z585,"1st Email Follow-up","2nd Email Follow-up","Escalate Local Office","Escalate to CBE","Escalate to Roxanne"))</f>
        <v/>
      </c>
    </row>
    <row r="586" spans="13:29">
      <c r="M586" s="14"/>
      <c r="T586" s="16"/>
      <c r="U586" s="17">
        <f>IF(AND(COUNTA($A586:$L586)=0,$N586=""),"",IF($T586="Paid","PAID",IF($T586="Closed","CLOSED",IF($Z586="","",IF($Z586=6,"ESCALATED TO ROXANNE",IF(TODAY()&gt;$AB586,"OVERDUE",IF($AB586&lt;=WORKDAY(TODAY(),1,Holidays),"DUE TOMORROW",IF($Z586=4,"ESCALATED TO LOCAL OFFICE",IF($Z586=5,"ESCALATED TO CBE",IF($AA586=TODAY(),"EMAIL SENT","MONITORING"))))))))))</f>
        <v/>
      </c>
      <c r="V586" s="17">
        <f>IF($U586="",IF(AND(COUNTA($A586:$L586)&gt;0,$N586=""),"Awaiting Collection Email time stamp.",""),IF(OR($U586="PAID",$U586="CLOSED"),IF($U586="PAID","Account paid. Action completed.","Account closed. No further action required."),CHOOSE($Z586,"Collection Email","1st Email Follow-up","2nd Email Follow-up","Escalation to Local Office","Escalation to CBE","Escalation to Roxanne")&amp;" sent "&amp;TEXT($AA586,"dd-mmm")&amp;". "&amp;IF($Z586=6,"Final escalation completed.",IF($U586="OVERDUE","Next: "&amp;$AC586&amp;" was due "&amp;TEXT($AB586,"dd-mmm")&amp;" - "&amp;(NETWORKDAYS($AB586,TODAY(),Holidays)-1)&amp;" business day(s) late. Send now.",IF($U586="DUE TOMORROW","Next: "&amp;$AC586&amp;IF($AB586&lt;=TODAY()," is due TODAY ("," is due next business day (")&amp;TEXT($AB586,"dd-mmm")&amp;").","Next: "&amp;$AC586&amp;" due "&amp;TEXT($AB586,"dd-mmm")&amp;" ("&amp;(NETWORKDAYS(TODAY(),$AB586,Holidays)-1)&amp;" business day(s) left).")))))</f>
        <v/>
      </c>
      <c r="W586" s="17">
        <f>IF($Z586="","",CHOOSE($Z586,"Collection Email","1st Follow-up","2nd Follow-up","Local Office","CBE","Roxanne")&amp;IF($Z586=6," - Final"," - Day "&amp;MAX(0,NETWORKDAYS($AA586,TODAY(),Holidays)-1)&amp;" of "&amp;CHOOSE($Z586,3,3,2,2,3))&amp;" | Total Day "&amp;MAX(0,NETWORKDAYS($N586,TODAY(),Holidays)-1))</f>
        <v/>
      </c>
      <c r="X586" s="18"/>
      <c r="Y586" s="18"/>
      <c r="Z586" s="17">
        <f>IF($N586="","",COUNT($N586:$S586))</f>
        <v/>
      </c>
      <c r="AA586" s="19">
        <f>IF($Z586="","",INT(INDEX($N586:$S586,$Z586)))</f>
        <v/>
      </c>
      <c r="AB586" s="19">
        <f>IF(OR($Z586="",$Z586=6),"",WORKDAY($AA586,CHOOSE($Z586,3,3,2,2,3),Holidays))</f>
        <v/>
      </c>
      <c r="AC586" s="17">
        <f>IF(OR($Z586="",$Z586=6),"",CHOOSE($Z586,"1st Email Follow-up","2nd Email Follow-up","Escalate Local Office","Escalate to CBE","Escalate to Roxanne"))</f>
        <v/>
      </c>
    </row>
    <row r="587" spans="13:29">
      <c r="M587" s="14"/>
      <c r="T587" s="16"/>
      <c r="U587" s="17">
        <f>IF(AND(COUNTA($A587:$L587)=0,$N587=""),"",IF($T587="Paid","PAID",IF($T587="Closed","CLOSED",IF($Z587="","",IF($Z587=6,"ESCALATED TO ROXANNE",IF(TODAY()&gt;$AB587,"OVERDUE",IF($AB587&lt;=WORKDAY(TODAY(),1,Holidays),"DUE TOMORROW",IF($Z587=4,"ESCALATED TO LOCAL OFFICE",IF($Z587=5,"ESCALATED TO CBE",IF($AA587=TODAY(),"EMAIL SENT","MONITORING"))))))))))</f>
        <v/>
      </c>
      <c r="V587" s="17">
        <f>IF($U587="",IF(AND(COUNTA($A587:$L587)&gt;0,$N587=""),"Awaiting Collection Email time stamp.",""),IF(OR($U587="PAID",$U587="CLOSED"),IF($U587="PAID","Account paid. Action completed.","Account closed. No further action required."),CHOOSE($Z587,"Collection Email","1st Email Follow-up","2nd Email Follow-up","Escalation to Local Office","Escalation to CBE","Escalation to Roxanne")&amp;" sent "&amp;TEXT($AA587,"dd-mmm")&amp;". "&amp;IF($Z587=6,"Final escalation completed.",IF($U587="OVERDUE","Next: "&amp;$AC587&amp;" was due "&amp;TEXT($AB587,"dd-mmm")&amp;" - "&amp;(NETWORKDAYS($AB587,TODAY(),Holidays)-1)&amp;" business day(s) late. Send now.",IF($U587="DUE TOMORROW","Next: "&amp;$AC587&amp;IF($AB587&lt;=TODAY()," is due TODAY ("," is due next business day (")&amp;TEXT($AB587,"dd-mmm")&amp;").","Next: "&amp;$AC587&amp;" due "&amp;TEXT($AB587,"dd-mmm")&amp;" ("&amp;(NETWORKDAYS(TODAY(),$AB587,Holidays)-1)&amp;" business day(s) left).")))))</f>
        <v/>
      </c>
      <c r="W587" s="17">
        <f>IF($Z587="","",CHOOSE($Z587,"Collection Email","1st Follow-up","2nd Follow-up","Local Office","CBE","Roxanne")&amp;IF($Z587=6," - Final"," - Day "&amp;MAX(0,NETWORKDAYS($AA587,TODAY(),Holidays)-1)&amp;" of "&amp;CHOOSE($Z587,3,3,2,2,3))&amp;" | Total Day "&amp;MAX(0,NETWORKDAYS($N587,TODAY(),Holidays)-1))</f>
        <v/>
      </c>
      <c r="X587" s="18"/>
      <c r="Y587" s="18"/>
      <c r="Z587" s="17">
        <f>IF($N587="","",COUNT($N587:$S587))</f>
        <v/>
      </c>
      <c r="AA587" s="19">
        <f>IF($Z587="","",INT(INDEX($N587:$S587,$Z587)))</f>
        <v/>
      </c>
      <c r="AB587" s="19">
        <f>IF(OR($Z587="",$Z587=6),"",WORKDAY($AA587,CHOOSE($Z587,3,3,2,2,3),Holidays))</f>
        <v/>
      </c>
      <c r="AC587" s="17">
        <f>IF(OR($Z587="",$Z587=6),"",CHOOSE($Z587,"1st Email Follow-up","2nd Email Follow-up","Escalate Local Office","Escalate to CBE","Escalate to Roxanne"))</f>
        <v/>
      </c>
    </row>
    <row r="588" spans="13:29">
      <c r="M588" s="14"/>
      <c r="T588" s="16"/>
      <c r="U588" s="17">
        <f>IF(AND(COUNTA($A588:$L588)=0,$N588=""),"",IF($T588="Paid","PAID",IF($T588="Closed","CLOSED",IF($Z588="","",IF($Z588=6,"ESCALATED TO ROXANNE",IF(TODAY()&gt;$AB588,"OVERDUE",IF($AB588&lt;=WORKDAY(TODAY(),1,Holidays),"DUE TOMORROW",IF($Z588=4,"ESCALATED TO LOCAL OFFICE",IF($Z588=5,"ESCALATED TO CBE",IF($AA588=TODAY(),"EMAIL SENT","MONITORING"))))))))))</f>
        <v/>
      </c>
      <c r="V588" s="17">
        <f>IF($U588="",IF(AND(COUNTA($A588:$L588)&gt;0,$N588=""),"Awaiting Collection Email time stamp.",""),IF(OR($U588="PAID",$U588="CLOSED"),IF($U588="PAID","Account paid. Action completed.","Account closed. No further action required."),CHOOSE($Z588,"Collection Email","1st Email Follow-up","2nd Email Follow-up","Escalation to Local Office","Escalation to CBE","Escalation to Roxanne")&amp;" sent "&amp;TEXT($AA588,"dd-mmm")&amp;". "&amp;IF($Z588=6,"Final escalation completed.",IF($U588="OVERDUE","Next: "&amp;$AC588&amp;" was due "&amp;TEXT($AB588,"dd-mmm")&amp;" - "&amp;(NETWORKDAYS($AB588,TODAY(),Holidays)-1)&amp;" business day(s) late. Send now.",IF($U588="DUE TOMORROW","Next: "&amp;$AC588&amp;IF($AB588&lt;=TODAY()," is due TODAY ("," is due next business day (")&amp;TEXT($AB588,"dd-mmm")&amp;").","Next: "&amp;$AC588&amp;" due "&amp;TEXT($AB588,"dd-mmm")&amp;" ("&amp;(NETWORKDAYS(TODAY(),$AB588,Holidays)-1)&amp;" business day(s) left).")))))</f>
        <v/>
      </c>
      <c r="W588" s="17">
        <f>IF($Z588="","",CHOOSE($Z588,"Collection Email","1st Follow-up","2nd Follow-up","Local Office","CBE","Roxanne")&amp;IF($Z588=6," - Final"," - Day "&amp;MAX(0,NETWORKDAYS($AA588,TODAY(),Holidays)-1)&amp;" of "&amp;CHOOSE($Z588,3,3,2,2,3))&amp;" | Total Day "&amp;MAX(0,NETWORKDAYS($N588,TODAY(),Holidays)-1))</f>
        <v/>
      </c>
      <c r="X588" s="18"/>
      <c r="Y588" s="18"/>
      <c r="Z588" s="17">
        <f>IF($N588="","",COUNT($N588:$S588))</f>
        <v/>
      </c>
      <c r="AA588" s="19">
        <f>IF($Z588="","",INT(INDEX($N588:$S588,$Z588)))</f>
        <v/>
      </c>
      <c r="AB588" s="19">
        <f>IF(OR($Z588="",$Z588=6),"",WORKDAY($AA588,CHOOSE($Z588,3,3,2,2,3),Holidays))</f>
        <v/>
      </c>
      <c r="AC588" s="17">
        <f>IF(OR($Z588="",$Z588=6),"",CHOOSE($Z588,"1st Email Follow-up","2nd Email Follow-up","Escalate Local Office","Escalate to CBE","Escalate to Roxanne"))</f>
        <v/>
      </c>
    </row>
    <row r="589" spans="13:29">
      <c r="M589" s="14"/>
      <c r="T589" s="16"/>
      <c r="U589" s="17">
        <f>IF(AND(COUNTA($A589:$L589)=0,$N589=""),"",IF($T589="Paid","PAID",IF($T589="Closed","CLOSED",IF($Z589="","",IF($Z589=6,"ESCALATED TO ROXANNE",IF(TODAY()&gt;$AB589,"OVERDUE",IF($AB589&lt;=WORKDAY(TODAY(),1,Holidays),"DUE TOMORROW",IF($Z589=4,"ESCALATED TO LOCAL OFFICE",IF($Z589=5,"ESCALATED TO CBE",IF($AA589=TODAY(),"EMAIL SENT","MONITORING"))))))))))</f>
        <v/>
      </c>
      <c r="V589" s="17">
        <f>IF($U589="",IF(AND(COUNTA($A589:$L589)&gt;0,$N589=""),"Awaiting Collection Email time stamp.",""),IF(OR($U589="PAID",$U589="CLOSED"),IF($U589="PAID","Account paid. Action completed.","Account closed. No further action required."),CHOOSE($Z589,"Collection Email","1st Email Follow-up","2nd Email Follow-up","Escalation to Local Office","Escalation to CBE","Escalation to Roxanne")&amp;" sent "&amp;TEXT($AA589,"dd-mmm")&amp;". "&amp;IF($Z589=6,"Final escalation completed.",IF($U589="OVERDUE","Next: "&amp;$AC589&amp;" was due "&amp;TEXT($AB589,"dd-mmm")&amp;" - "&amp;(NETWORKDAYS($AB589,TODAY(),Holidays)-1)&amp;" business day(s) late. Send now.",IF($U589="DUE TOMORROW","Next: "&amp;$AC589&amp;IF($AB589&lt;=TODAY()," is due TODAY ("," is due next business day (")&amp;TEXT($AB589,"dd-mmm")&amp;").","Next: "&amp;$AC589&amp;" due "&amp;TEXT($AB589,"dd-mmm")&amp;" ("&amp;(NETWORKDAYS(TODAY(),$AB589,Holidays)-1)&amp;" business day(s) left).")))))</f>
        <v/>
      </c>
      <c r="W589" s="17">
        <f>IF($Z589="","",CHOOSE($Z589,"Collection Email","1st Follow-up","2nd Follow-up","Local Office","CBE","Roxanne")&amp;IF($Z589=6," - Final"," - Day "&amp;MAX(0,NETWORKDAYS($AA589,TODAY(),Holidays)-1)&amp;" of "&amp;CHOOSE($Z589,3,3,2,2,3))&amp;" | Total Day "&amp;MAX(0,NETWORKDAYS($N589,TODAY(),Holidays)-1))</f>
        <v/>
      </c>
      <c r="X589" s="18"/>
      <c r="Y589" s="18"/>
      <c r="Z589" s="17">
        <f>IF($N589="","",COUNT($N589:$S589))</f>
        <v/>
      </c>
      <c r="AA589" s="19">
        <f>IF($Z589="","",INT(INDEX($N589:$S589,$Z589)))</f>
        <v/>
      </c>
      <c r="AB589" s="19">
        <f>IF(OR($Z589="",$Z589=6),"",WORKDAY($AA589,CHOOSE($Z589,3,3,2,2,3),Holidays))</f>
        <v/>
      </c>
      <c r="AC589" s="17">
        <f>IF(OR($Z589="",$Z589=6),"",CHOOSE($Z589,"1st Email Follow-up","2nd Email Follow-up","Escalate Local Office","Escalate to CBE","Escalate to Roxanne"))</f>
        <v/>
      </c>
    </row>
    <row r="590" spans="13:29">
      <c r="M590" s="14"/>
      <c r="T590" s="16"/>
      <c r="U590" s="17">
        <f>IF(AND(COUNTA($A590:$L590)=0,$N590=""),"",IF($T590="Paid","PAID",IF($T590="Closed","CLOSED",IF($Z590="","",IF($Z590=6,"ESCALATED TO ROXANNE",IF(TODAY()&gt;$AB590,"OVERDUE",IF($AB590&lt;=WORKDAY(TODAY(),1,Holidays),"DUE TOMORROW",IF($Z590=4,"ESCALATED TO LOCAL OFFICE",IF($Z590=5,"ESCALATED TO CBE",IF($AA590=TODAY(),"EMAIL SENT","MONITORING"))))))))))</f>
        <v/>
      </c>
      <c r="V590" s="17">
        <f>IF($U590="",IF(AND(COUNTA($A590:$L590)&gt;0,$N590=""),"Awaiting Collection Email time stamp.",""),IF(OR($U590="PAID",$U590="CLOSED"),IF($U590="PAID","Account paid. Action completed.","Account closed. No further action required."),CHOOSE($Z590,"Collection Email","1st Email Follow-up","2nd Email Follow-up","Escalation to Local Office","Escalation to CBE","Escalation to Roxanne")&amp;" sent "&amp;TEXT($AA590,"dd-mmm")&amp;". "&amp;IF($Z590=6,"Final escalation completed.",IF($U590="OVERDUE","Next: "&amp;$AC590&amp;" was due "&amp;TEXT($AB590,"dd-mmm")&amp;" - "&amp;(NETWORKDAYS($AB590,TODAY(),Holidays)-1)&amp;" business day(s) late. Send now.",IF($U590="DUE TOMORROW","Next: "&amp;$AC590&amp;IF($AB590&lt;=TODAY()," is due TODAY ("," is due next business day (")&amp;TEXT($AB590,"dd-mmm")&amp;").","Next: "&amp;$AC590&amp;" due "&amp;TEXT($AB590,"dd-mmm")&amp;" ("&amp;(NETWORKDAYS(TODAY(),$AB590,Holidays)-1)&amp;" business day(s) left).")))))</f>
        <v/>
      </c>
      <c r="W590" s="17">
        <f>IF($Z590="","",CHOOSE($Z590,"Collection Email","1st Follow-up","2nd Follow-up","Local Office","CBE","Roxanne")&amp;IF($Z590=6," - Final"," - Day "&amp;MAX(0,NETWORKDAYS($AA590,TODAY(),Holidays)-1)&amp;" of "&amp;CHOOSE($Z590,3,3,2,2,3))&amp;" | Total Day "&amp;MAX(0,NETWORKDAYS($N590,TODAY(),Holidays)-1))</f>
        <v/>
      </c>
      <c r="X590" s="18"/>
      <c r="Y590" s="18"/>
      <c r="Z590" s="17">
        <f>IF($N590="","",COUNT($N590:$S590))</f>
        <v/>
      </c>
      <c r="AA590" s="19">
        <f>IF($Z590="","",INT(INDEX($N590:$S590,$Z590)))</f>
        <v/>
      </c>
      <c r="AB590" s="19">
        <f>IF(OR($Z590="",$Z590=6),"",WORKDAY($AA590,CHOOSE($Z590,3,3,2,2,3),Holidays))</f>
        <v/>
      </c>
      <c r="AC590" s="17">
        <f>IF(OR($Z590="",$Z590=6),"",CHOOSE($Z590,"1st Email Follow-up","2nd Email Follow-up","Escalate Local Office","Escalate to CBE","Escalate to Roxanne"))</f>
        <v/>
      </c>
    </row>
    <row r="591" spans="13:29">
      <c r="M591" s="14"/>
      <c r="T591" s="16"/>
      <c r="U591" s="17">
        <f>IF(AND(COUNTA($A591:$L591)=0,$N591=""),"",IF($T591="Paid","PAID",IF($T591="Closed","CLOSED",IF($Z591="","",IF($Z591=6,"ESCALATED TO ROXANNE",IF(TODAY()&gt;$AB591,"OVERDUE",IF($AB591&lt;=WORKDAY(TODAY(),1,Holidays),"DUE TOMORROW",IF($Z591=4,"ESCALATED TO LOCAL OFFICE",IF($Z591=5,"ESCALATED TO CBE",IF($AA591=TODAY(),"EMAIL SENT","MONITORING"))))))))))</f>
        <v/>
      </c>
      <c r="V591" s="17">
        <f>IF($U591="",IF(AND(COUNTA($A591:$L591)&gt;0,$N591=""),"Awaiting Collection Email time stamp.",""),IF(OR($U591="PAID",$U591="CLOSED"),IF($U591="PAID","Account paid. Action completed.","Account closed. No further action required."),CHOOSE($Z591,"Collection Email","1st Email Follow-up","2nd Email Follow-up","Escalation to Local Office","Escalation to CBE","Escalation to Roxanne")&amp;" sent "&amp;TEXT($AA591,"dd-mmm")&amp;". "&amp;IF($Z591=6,"Final escalation completed.",IF($U591="OVERDUE","Next: "&amp;$AC591&amp;" was due "&amp;TEXT($AB591,"dd-mmm")&amp;" - "&amp;(NETWORKDAYS($AB591,TODAY(),Holidays)-1)&amp;" business day(s) late. Send now.",IF($U591="DUE TOMORROW","Next: "&amp;$AC591&amp;IF($AB591&lt;=TODAY()," is due TODAY ("," is due next business day (")&amp;TEXT($AB591,"dd-mmm")&amp;").","Next: "&amp;$AC591&amp;" due "&amp;TEXT($AB591,"dd-mmm")&amp;" ("&amp;(NETWORKDAYS(TODAY(),$AB591,Holidays)-1)&amp;" business day(s) left).")))))</f>
        <v/>
      </c>
      <c r="W591" s="17">
        <f>IF($Z591="","",CHOOSE($Z591,"Collection Email","1st Follow-up","2nd Follow-up","Local Office","CBE","Roxanne")&amp;IF($Z591=6," - Final"," - Day "&amp;MAX(0,NETWORKDAYS($AA591,TODAY(),Holidays)-1)&amp;" of "&amp;CHOOSE($Z591,3,3,2,2,3))&amp;" | Total Day "&amp;MAX(0,NETWORKDAYS($N591,TODAY(),Holidays)-1))</f>
        <v/>
      </c>
      <c r="X591" s="18"/>
      <c r="Y591" s="18"/>
      <c r="Z591" s="17">
        <f>IF($N591="","",COUNT($N591:$S591))</f>
        <v/>
      </c>
      <c r="AA591" s="19">
        <f>IF($Z591="","",INT(INDEX($N591:$S591,$Z591)))</f>
        <v/>
      </c>
      <c r="AB591" s="19">
        <f>IF(OR($Z591="",$Z591=6),"",WORKDAY($AA591,CHOOSE($Z591,3,3,2,2,3),Holidays))</f>
        <v/>
      </c>
      <c r="AC591" s="17">
        <f>IF(OR($Z591="",$Z591=6),"",CHOOSE($Z591,"1st Email Follow-up","2nd Email Follow-up","Escalate Local Office","Escalate to CBE","Escalate to Roxanne"))</f>
        <v/>
      </c>
    </row>
    <row r="592" spans="13:29">
      <c r="M592" s="14"/>
      <c r="T592" s="16"/>
      <c r="U592" s="17">
        <f>IF(AND(COUNTA($A592:$L592)=0,$N592=""),"",IF($T592="Paid","PAID",IF($T592="Closed","CLOSED",IF($Z592="","",IF($Z592=6,"ESCALATED TO ROXANNE",IF(TODAY()&gt;$AB592,"OVERDUE",IF($AB592&lt;=WORKDAY(TODAY(),1,Holidays),"DUE TOMORROW",IF($Z592=4,"ESCALATED TO LOCAL OFFICE",IF($Z592=5,"ESCALATED TO CBE",IF($AA592=TODAY(),"EMAIL SENT","MONITORING"))))))))))</f>
        <v/>
      </c>
      <c r="V592" s="17">
        <f>IF($U592="",IF(AND(COUNTA($A592:$L592)&gt;0,$N592=""),"Awaiting Collection Email time stamp.",""),IF(OR($U592="PAID",$U592="CLOSED"),IF($U592="PAID","Account paid. Action completed.","Account closed. No further action required."),CHOOSE($Z592,"Collection Email","1st Email Follow-up","2nd Email Follow-up","Escalation to Local Office","Escalation to CBE","Escalation to Roxanne")&amp;" sent "&amp;TEXT($AA592,"dd-mmm")&amp;". "&amp;IF($Z592=6,"Final escalation completed.",IF($U592="OVERDUE","Next: "&amp;$AC592&amp;" was due "&amp;TEXT($AB592,"dd-mmm")&amp;" - "&amp;(NETWORKDAYS($AB592,TODAY(),Holidays)-1)&amp;" business day(s) late. Send now.",IF($U592="DUE TOMORROW","Next: "&amp;$AC592&amp;IF($AB592&lt;=TODAY()," is due TODAY ("," is due next business day (")&amp;TEXT($AB592,"dd-mmm")&amp;").","Next: "&amp;$AC592&amp;" due "&amp;TEXT($AB592,"dd-mmm")&amp;" ("&amp;(NETWORKDAYS(TODAY(),$AB592,Holidays)-1)&amp;" business day(s) left).")))))</f>
        <v/>
      </c>
      <c r="W592" s="17">
        <f>IF($Z592="","",CHOOSE($Z592,"Collection Email","1st Follow-up","2nd Follow-up","Local Office","CBE","Roxanne")&amp;IF($Z592=6," - Final"," - Day "&amp;MAX(0,NETWORKDAYS($AA592,TODAY(),Holidays)-1)&amp;" of "&amp;CHOOSE($Z592,3,3,2,2,3))&amp;" | Total Day "&amp;MAX(0,NETWORKDAYS($N592,TODAY(),Holidays)-1))</f>
        <v/>
      </c>
      <c r="X592" s="18"/>
      <c r="Y592" s="18"/>
      <c r="Z592" s="17">
        <f>IF($N592="","",COUNT($N592:$S592))</f>
        <v/>
      </c>
      <c r="AA592" s="19">
        <f>IF($Z592="","",INT(INDEX($N592:$S592,$Z592)))</f>
        <v/>
      </c>
      <c r="AB592" s="19">
        <f>IF(OR($Z592="",$Z592=6),"",WORKDAY($AA592,CHOOSE($Z592,3,3,2,2,3),Holidays))</f>
        <v/>
      </c>
      <c r="AC592" s="17">
        <f>IF(OR($Z592="",$Z592=6),"",CHOOSE($Z592,"1st Email Follow-up","2nd Email Follow-up","Escalate Local Office","Escalate to CBE","Escalate to Roxanne"))</f>
        <v/>
      </c>
    </row>
    <row r="593" spans="13:29">
      <c r="M593" s="14"/>
      <c r="T593" s="16"/>
      <c r="U593" s="17">
        <f>IF(AND(COUNTA($A593:$L593)=0,$N593=""),"",IF($T593="Paid","PAID",IF($T593="Closed","CLOSED",IF($Z593="","",IF($Z593=6,"ESCALATED TO ROXANNE",IF(TODAY()&gt;$AB593,"OVERDUE",IF($AB593&lt;=WORKDAY(TODAY(),1,Holidays),"DUE TOMORROW",IF($Z593=4,"ESCALATED TO LOCAL OFFICE",IF($Z593=5,"ESCALATED TO CBE",IF($AA593=TODAY(),"EMAIL SENT","MONITORING"))))))))))</f>
        <v/>
      </c>
      <c r="V593" s="17">
        <f>IF($U593="",IF(AND(COUNTA($A593:$L593)&gt;0,$N593=""),"Awaiting Collection Email time stamp.",""),IF(OR($U593="PAID",$U593="CLOSED"),IF($U593="PAID","Account paid. Action completed.","Account closed. No further action required."),CHOOSE($Z593,"Collection Email","1st Email Follow-up","2nd Email Follow-up","Escalation to Local Office","Escalation to CBE","Escalation to Roxanne")&amp;" sent "&amp;TEXT($AA593,"dd-mmm")&amp;". "&amp;IF($Z593=6,"Final escalation completed.",IF($U593="OVERDUE","Next: "&amp;$AC593&amp;" was due "&amp;TEXT($AB593,"dd-mmm")&amp;" - "&amp;(NETWORKDAYS($AB593,TODAY(),Holidays)-1)&amp;" business day(s) late. Send now.",IF($U593="DUE TOMORROW","Next: "&amp;$AC593&amp;IF($AB593&lt;=TODAY()," is due TODAY ("," is due next business day (")&amp;TEXT($AB593,"dd-mmm")&amp;").","Next: "&amp;$AC593&amp;" due "&amp;TEXT($AB593,"dd-mmm")&amp;" ("&amp;(NETWORKDAYS(TODAY(),$AB593,Holidays)-1)&amp;" business day(s) left).")))))</f>
        <v/>
      </c>
      <c r="W593" s="17">
        <f>IF($Z593="","",CHOOSE($Z593,"Collection Email","1st Follow-up","2nd Follow-up","Local Office","CBE","Roxanne")&amp;IF($Z593=6," - Final"," - Day "&amp;MAX(0,NETWORKDAYS($AA593,TODAY(),Holidays)-1)&amp;" of "&amp;CHOOSE($Z593,3,3,2,2,3))&amp;" | Total Day "&amp;MAX(0,NETWORKDAYS($N593,TODAY(),Holidays)-1))</f>
        <v/>
      </c>
      <c r="X593" s="18"/>
      <c r="Y593" s="18"/>
      <c r="Z593" s="17">
        <f>IF($N593="","",COUNT($N593:$S593))</f>
        <v/>
      </c>
      <c r="AA593" s="19">
        <f>IF($Z593="","",INT(INDEX($N593:$S593,$Z593)))</f>
        <v/>
      </c>
      <c r="AB593" s="19">
        <f>IF(OR($Z593="",$Z593=6),"",WORKDAY($AA593,CHOOSE($Z593,3,3,2,2,3),Holidays))</f>
        <v/>
      </c>
      <c r="AC593" s="17">
        <f>IF(OR($Z593="",$Z593=6),"",CHOOSE($Z593,"1st Email Follow-up","2nd Email Follow-up","Escalate Local Office","Escalate to CBE","Escalate to Roxanne"))</f>
        <v/>
      </c>
    </row>
    <row r="594" spans="13:29">
      <c r="M594" s="14"/>
      <c r="T594" s="16"/>
      <c r="U594" s="17">
        <f>IF(AND(COUNTA($A594:$L594)=0,$N594=""),"",IF($T594="Paid","PAID",IF($T594="Closed","CLOSED",IF($Z594="","",IF($Z594=6,"ESCALATED TO ROXANNE",IF(TODAY()&gt;$AB594,"OVERDUE",IF($AB594&lt;=WORKDAY(TODAY(),1,Holidays),"DUE TOMORROW",IF($Z594=4,"ESCALATED TO LOCAL OFFICE",IF($Z594=5,"ESCALATED TO CBE",IF($AA594=TODAY(),"EMAIL SENT","MONITORING"))))))))))</f>
        <v/>
      </c>
      <c r="V594" s="17">
        <f>IF($U594="",IF(AND(COUNTA($A594:$L594)&gt;0,$N594=""),"Awaiting Collection Email time stamp.",""),IF(OR($U594="PAID",$U594="CLOSED"),IF($U594="PAID","Account paid. Action completed.","Account closed. No further action required."),CHOOSE($Z594,"Collection Email","1st Email Follow-up","2nd Email Follow-up","Escalation to Local Office","Escalation to CBE","Escalation to Roxanne")&amp;" sent "&amp;TEXT($AA594,"dd-mmm")&amp;". "&amp;IF($Z594=6,"Final escalation completed.",IF($U594="OVERDUE","Next: "&amp;$AC594&amp;" was due "&amp;TEXT($AB594,"dd-mmm")&amp;" - "&amp;(NETWORKDAYS($AB594,TODAY(),Holidays)-1)&amp;" business day(s) late. Send now.",IF($U594="DUE TOMORROW","Next: "&amp;$AC594&amp;IF($AB594&lt;=TODAY()," is due TODAY ("," is due next business day (")&amp;TEXT($AB594,"dd-mmm")&amp;").","Next: "&amp;$AC594&amp;" due "&amp;TEXT($AB594,"dd-mmm")&amp;" ("&amp;(NETWORKDAYS(TODAY(),$AB594,Holidays)-1)&amp;" business day(s) left).")))))</f>
        <v/>
      </c>
      <c r="W594" s="17">
        <f>IF($Z594="","",CHOOSE($Z594,"Collection Email","1st Follow-up","2nd Follow-up","Local Office","CBE","Roxanne")&amp;IF($Z594=6," - Final"," - Day "&amp;MAX(0,NETWORKDAYS($AA594,TODAY(),Holidays)-1)&amp;" of "&amp;CHOOSE($Z594,3,3,2,2,3))&amp;" | Total Day "&amp;MAX(0,NETWORKDAYS($N594,TODAY(),Holidays)-1))</f>
        <v/>
      </c>
      <c r="X594" s="18"/>
      <c r="Y594" s="18"/>
      <c r="Z594" s="17">
        <f>IF($N594="","",COUNT($N594:$S594))</f>
        <v/>
      </c>
      <c r="AA594" s="19">
        <f>IF($Z594="","",INT(INDEX($N594:$S594,$Z594)))</f>
        <v/>
      </c>
      <c r="AB594" s="19">
        <f>IF(OR($Z594="",$Z594=6),"",WORKDAY($AA594,CHOOSE($Z594,3,3,2,2,3),Holidays))</f>
        <v/>
      </c>
      <c r="AC594" s="17">
        <f>IF(OR($Z594="",$Z594=6),"",CHOOSE($Z594,"1st Email Follow-up","2nd Email Follow-up","Escalate Local Office","Escalate to CBE","Escalate to Roxanne"))</f>
        <v/>
      </c>
    </row>
    <row r="595" spans="13:29">
      <c r="M595" s="14"/>
      <c r="T595" s="16"/>
      <c r="U595" s="17">
        <f>IF(AND(COUNTA($A595:$L595)=0,$N595=""),"",IF($T595="Paid","PAID",IF($T595="Closed","CLOSED",IF($Z595="","",IF($Z595=6,"ESCALATED TO ROXANNE",IF(TODAY()&gt;$AB595,"OVERDUE",IF($AB595&lt;=WORKDAY(TODAY(),1,Holidays),"DUE TOMORROW",IF($Z595=4,"ESCALATED TO LOCAL OFFICE",IF($Z595=5,"ESCALATED TO CBE",IF($AA595=TODAY(),"EMAIL SENT","MONITORING"))))))))))</f>
        <v/>
      </c>
      <c r="V595" s="17">
        <f>IF($U595="",IF(AND(COUNTA($A595:$L595)&gt;0,$N595=""),"Awaiting Collection Email time stamp.",""),IF(OR($U595="PAID",$U595="CLOSED"),IF($U595="PAID","Account paid. Action completed.","Account closed. No further action required."),CHOOSE($Z595,"Collection Email","1st Email Follow-up","2nd Email Follow-up","Escalation to Local Office","Escalation to CBE","Escalation to Roxanne")&amp;" sent "&amp;TEXT($AA595,"dd-mmm")&amp;". "&amp;IF($Z595=6,"Final escalation completed.",IF($U595="OVERDUE","Next: "&amp;$AC595&amp;" was due "&amp;TEXT($AB595,"dd-mmm")&amp;" - "&amp;(NETWORKDAYS($AB595,TODAY(),Holidays)-1)&amp;" business day(s) late. Send now.",IF($U595="DUE TOMORROW","Next: "&amp;$AC595&amp;IF($AB595&lt;=TODAY()," is due TODAY ("," is due next business day (")&amp;TEXT($AB595,"dd-mmm")&amp;").","Next: "&amp;$AC595&amp;" due "&amp;TEXT($AB595,"dd-mmm")&amp;" ("&amp;(NETWORKDAYS(TODAY(),$AB595,Holidays)-1)&amp;" business day(s) left).")))))</f>
        <v/>
      </c>
      <c r="W595" s="17">
        <f>IF($Z595="","",CHOOSE($Z595,"Collection Email","1st Follow-up","2nd Follow-up","Local Office","CBE","Roxanne")&amp;IF($Z595=6," - Final"," - Day "&amp;MAX(0,NETWORKDAYS($AA595,TODAY(),Holidays)-1)&amp;" of "&amp;CHOOSE($Z595,3,3,2,2,3))&amp;" | Total Day "&amp;MAX(0,NETWORKDAYS($N595,TODAY(),Holidays)-1))</f>
        <v/>
      </c>
      <c r="X595" s="18"/>
      <c r="Y595" s="18"/>
      <c r="Z595" s="17">
        <f>IF($N595="","",COUNT($N595:$S595))</f>
        <v/>
      </c>
      <c r="AA595" s="19">
        <f>IF($Z595="","",INT(INDEX($N595:$S595,$Z595)))</f>
        <v/>
      </c>
      <c r="AB595" s="19">
        <f>IF(OR($Z595="",$Z595=6),"",WORKDAY($AA595,CHOOSE($Z595,3,3,2,2,3),Holidays))</f>
        <v/>
      </c>
      <c r="AC595" s="17">
        <f>IF(OR($Z595="",$Z595=6),"",CHOOSE($Z595,"1st Email Follow-up","2nd Email Follow-up","Escalate Local Office","Escalate to CBE","Escalate to Roxanne"))</f>
        <v/>
      </c>
    </row>
    <row r="596" spans="13:29">
      <c r="M596" s="14"/>
      <c r="T596" s="16"/>
      <c r="U596" s="17">
        <f>IF(AND(COUNTA($A596:$L596)=0,$N596=""),"",IF($T596="Paid","PAID",IF($T596="Closed","CLOSED",IF($Z596="","",IF($Z596=6,"ESCALATED TO ROXANNE",IF(TODAY()&gt;$AB596,"OVERDUE",IF($AB596&lt;=WORKDAY(TODAY(),1,Holidays),"DUE TOMORROW",IF($Z596=4,"ESCALATED TO LOCAL OFFICE",IF($Z596=5,"ESCALATED TO CBE",IF($AA596=TODAY(),"EMAIL SENT","MONITORING"))))))))))</f>
        <v/>
      </c>
      <c r="V596" s="17">
        <f>IF($U596="",IF(AND(COUNTA($A596:$L596)&gt;0,$N596=""),"Awaiting Collection Email time stamp.",""),IF(OR($U596="PAID",$U596="CLOSED"),IF($U596="PAID","Account paid. Action completed.","Account closed. No further action required."),CHOOSE($Z596,"Collection Email","1st Email Follow-up","2nd Email Follow-up","Escalation to Local Office","Escalation to CBE","Escalation to Roxanne")&amp;" sent "&amp;TEXT($AA596,"dd-mmm")&amp;". "&amp;IF($Z596=6,"Final escalation completed.",IF($U596="OVERDUE","Next: "&amp;$AC596&amp;" was due "&amp;TEXT($AB596,"dd-mmm")&amp;" - "&amp;(NETWORKDAYS($AB596,TODAY(),Holidays)-1)&amp;" business day(s) late. Send now.",IF($U596="DUE TOMORROW","Next: "&amp;$AC596&amp;IF($AB596&lt;=TODAY()," is due TODAY ("," is due next business day (")&amp;TEXT($AB596,"dd-mmm")&amp;").","Next: "&amp;$AC596&amp;" due "&amp;TEXT($AB596,"dd-mmm")&amp;" ("&amp;(NETWORKDAYS(TODAY(),$AB596,Holidays)-1)&amp;" business day(s) left).")))))</f>
        <v/>
      </c>
      <c r="W596" s="17">
        <f>IF($Z596="","",CHOOSE($Z596,"Collection Email","1st Follow-up","2nd Follow-up","Local Office","CBE","Roxanne")&amp;IF($Z596=6," - Final"," - Day "&amp;MAX(0,NETWORKDAYS($AA596,TODAY(),Holidays)-1)&amp;" of "&amp;CHOOSE($Z596,3,3,2,2,3))&amp;" | Total Day "&amp;MAX(0,NETWORKDAYS($N596,TODAY(),Holidays)-1))</f>
        <v/>
      </c>
      <c r="X596" s="18"/>
      <c r="Y596" s="18"/>
      <c r="Z596" s="17">
        <f>IF($N596="","",COUNT($N596:$S596))</f>
        <v/>
      </c>
      <c r="AA596" s="19">
        <f>IF($Z596="","",INT(INDEX($N596:$S596,$Z596)))</f>
        <v/>
      </c>
      <c r="AB596" s="19">
        <f>IF(OR($Z596="",$Z596=6),"",WORKDAY($AA596,CHOOSE($Z596,3,3,2,2,3),Holidays))</f>
        <v/>
      </c>
      <c r="AC596" s="17">
        <f>IF(OR($Z596="",$Z596=6),"",CHOOSE($Z596,"1st Email Follow-up","2nd Email Follow-up","Escalate Local Office","Escalate to CBE","Escalate to Roxanne"))</f>
        <v/>
      </c>
    </row>
    <row r="597" spans="13:29">
      <c r="M597" s="14"/>
      <c r="T597" s="16"/>
      <c r="U597" s="17">
        <f>IF(AND(COUNTA($A597:$L597)=0,$N597=""),"",IF($T597="Paid","PAID",IF($T597="Closed","CLOSED",IF($Z597="","",IF($Z597=6,"ESCALATED TO ROXANNE",IF(TODAY()&gt;$AB597,"OVERDUE",IF($AB597&lt;=WORKDAY(TODAY(),1,Holidays),"DUE TOMORROW",IF($Z597=4,"ESCALATED TO LOCAL OFFICE",IF($Z597=5,"ESCALATED TO CBE",IF($AA597=TODAY(),"EMAIL SENT","MONITORING"))))))))))</f>
        <v/>
      </c>
      <c r="V597" s="17">
        <f>IF($U597="",IF(AND(COUNTA($A597:$L597)&gt;0,$N597=""),"Awaiting Collection Email time stamp.",""),IF(OR($U597="PAID",$U597="CLOSED"),IF($U597="PAID","Account paid. Action completed.","Account closed. No further action required."),CHOOSE($Z597,"Collection Email","1st Email Follow-up","2nd Email Follow-up","Escalation to Local Office","Escalation to CBE","Escalation to Roxanne")&amp;" sent "&amp;TEXT($AA597,"dd-mmm")&amp;". "&amp;IF($Z597=6,"Final escalation completed.",IF($U597="OVERDUE","Next: "&amp;$AC597&amp;" was due "&amp;TEXT($AB597,"dd-mmm")&amp;" - "&amp;(NETWORKDAYS($AB597,TODAY(),Holidays)-1)&amp;" business day(s) late. Send now.",IF($U597="DUE TOMORROW","Next: "&amp;$AC597&amp;IF($AB597&lt;=TODAY()," is due TODAY ("," is due next business day (")&amp;TEXT($AB597,"dd-mmm")&amp;").","Next: "&amp;$AC597&amp;" due "&amp;TEXT($AB597,"dd-mmm")&amp;" ("&amp;(NETWORKDAYS(TODAY(),$AB597,Holidays)-1)&amp;" business day(s) left).")))))</f>
        <v/>
      </c>
      <c r="W597" s="17">
        <f>IF($Z597="","",CHOOSE($Z597,"Collection Email","1st Follow-up","2nd Follow-up","Local Office","CBE","Roxanne")&amp;IF($Z597=6," - Final"," - Day "&amp;MAX(0,NETWORKDAYS($AA597,TODAY(),Holidays)-1)&amp;" of "&amp;CHOOSE($Z597,3,3,2,2,3))&amp;" | Total Day "&amp;MAX(0,NETWORKDAYS($N597,TODAY(),Holidays)-1))</f>
        <v/>
      </c>
      <c r="X597" s="18"/>
      <c r="Y597" s="18"/>
      <c r="Z597" s="17">
        <f>IF($N597="","",COUNT($N597:$S597))</f>
        <v/>
      </c>
      <c r="AA597" s="19">
        <f>IF($Z597="","",INT(INDEX($N597:$S597,$Z597)))</f>
        <v/>
      </c>
      <c r="AB597" s="19">
        <f>IF(OR($Z597="",$Z597=6),"",WORKDAY($AA597,CHOOSE($Z597,3,3,2,2,3),Holidays))</f>
        <v/>
      </c>
      <c r="AC597" s="17">
        <f>IF(OR($Z597="",$Z597=6),"",CHOOSE($Z597,"1st Email Follow-up","2nd Email Follow-up","Escalate Local Office","Escalate to CBE","Escalate to Roxanne"))</f>
        <v/>
      </c>
    </row>
    <row r="598" spans="13:29">
      <c r="M598" s="14"/>
      <c r="T598" s="16"/>
      <c r="U598" s="17">
        <f>IF(AND(COUNTA($A598:$L598)=0,$N598=""),"",IF($T598="Paid","PAID",IF($T598="Closed","CLOSED",IF($Z598="","",IF($Z598=6,"ESCALATED TO ROXANNE",IF(TODAY()&gt;$AB598,"OVERDUE",IF($AB598&lt;=WORKDAY(TODAY(),1,Holidays),"DUE TOMORROW",IF($Z598=4,"ESCALATED TO LOCAL OFFICE",IF($Z598=5,"ESCALATED TO CBE",IF($AA598=TODAY(),"EMAIL SENT","MONITORING"))))))))))</f>
        <v/>
      </c>
      <c r="V598" s="17">
        <f>IF($U598="",IF(AND(COUNTA($A598:$L598)&gt;0,$N598=""),"Awaiting Collection Email time stamp.",""),IF(OR($U598="PAID",$U598="CLOSED"),IF($U598="PAID","Account paid. Action completed.","Account closed. No further action required."),CHOOSE($Z598,"Collection Email","1st Email Follow-up","2nd Email Follow-up","Escalation to Local Office","Escalation to CBE","Escalation to Roxanne")&amp;" sent "&amp;TEXT($AA598,"dd-mmm")&amp;". "&amp;IF($Z598=6,"Final escalation completed.",IF($U598="OVERDUE","Next: "&amp;$AC598&amp;" was due "&amp;TEXT($AB598,"dd-mmm")&amp;" - "&amp;(NETWORKDAYS($AB598,TODAY(),Holidays)-1)&amp;" business day(s) late. Send now.",IF($U598="DUE TOMORROW","Next: "&amp;$AC598&amp;IF($AB598&lt;=TODAY()," is due TODAY ("," is due next business day (")&amp;TEXT($AB598,"dd-mmm")&amp;").","Next: "&amp;$AC598&amp;" due "&amp;TEXT($AB598,"dd-mmm")&amp;" ("&amp;(NETWORKDAYS(TODAY(),$AB598,Holidays)-1)&amp;" business day(s) left).")))))</f>
        <v/>
      </c>
      <c r="W598" s="17">
        <f>IF($Z598="","",CHOOSE($Z598,"Collection Email","1st Follow-up","2nd Follow-up","Local Office","CBE","Roxanne")&amp;IF($Z598=6," - Final"," - Day "&amp;MAX(0,NETWORKDAYS($AA598,TODAY(),Holidays)-1)&amp;" of "&amp;CHOOSE($Z598,3,3,2,2,3))&amp;" | Total Day "&amp;MAX(0,NETWORKDAYS($N598,TODAY(),Holidays)-1))</f>
        <v/>
      </c>
      <c r="X598" s="18"/>
      <c r="Y598" s="18"/>
      <c r="Z598" s="17">
        <f>IF($N598="","",COUNT($N598:$S598))</f>
        <v/>
      </c>
      <c r="AA598" s="19">
        <f>IF($Z598="","",INT(INDEX($N598:$S598,$Z598)))</f>
        <v/>
      </c>
      <c r="AB598" s="19">
        <f>IF(OR($Z598="",$Z598=6),"",WORKDAY($AA598,CHOOSE($Z598,3,3,2,2,3),Holidays))</f>
        <v/>
      </c>
      <c r="AC598" s="17">
        <f>IF(OR($Z598="",$Z598=6),"",CHOOSE($Z598,"1st Email Follow-up","2nd Email Follow-up","Escalate Local Office","Escalate to CBE","Escalate to Roxanne"))</f>
        <v/>
      </c>
    </row>
    <row r="599" spans="13:29">
      <c r="M599" s="14"/>
      <c r="T599" s="16"/>
      <c r="U599" s="17">
        <f>IF(AND(COUNTA($A599:$L599)=0,$N599=""),"",IF($T599="Paid","PAID",IF($T599="Closed","CLOSED",IF($Z599="","",IF($Z599=6,"ESCALATED TO ROXANNE",IF(TODAY()&gt;$AB599,"OVERDUE",IF($AB599&lt;=WORKDAY(TODAY(),1,Holidays),"DUE TOMORROW",IF($Z599=4,"ESCALATED TO LOCAL OFFICE",IF($Z599=5,"ESCALATED TO CBE",IF($AA599=TODAY(),"EMAIL SENT","MONITORING"))))))))))</f>
        <v/>
      </c>
      <c r="V599" s="17">
        <f>IF($U599="",IF(AND(COUNTA($A599:$L599)&gt;0,$N599=""),"Awaiting Collection Email time stamp.",""),IF(OR($U599="PAID",$U599="CLOSED"),IF($U599="PAID","Account paid. Action completed.","Account closed. No further action required."),CHOOSE($Z599,"Collection Email","1st Email Follow-up","2nd Email Follow-up","Escalation to Local Office","Escalation to CBE","Escalation to Roxanne")&amp;" sent "&amp;TEXT($AA599,"dd-mmm")&amp;". "&amp;IF($Z599=6,"Final escalation completed.",IF($U599="OVERDUE","Next: "&amp;$AC599&amp;" was due "&amp;TEXT($AB599,"dd-mmm")&amp;" - "&amp;(NETWORKDAYS($AB599,TODAY(),Holidays)-1)&amp;" business day(s) late. Send now.",IF($U599="DUE TOMORROW","Next: "&amp;$AC599&amp;IF($AB599&lt;=TODAY()," is due TODAY ("," is due next business day (")&amp;TEXT($AB599,"dd-mmm")&amp;").","Next: "&amp;$AC599&amp;" due "&amp;TEXT($AB599,"dd-mmm")&amp;" ("&amp;(NETWORKDAYS(TODAY(),$AB599,Holidays)-1)&amp;" business day(s) left).")))))</f>
        <v/>
      </c>
      <c r="W599" s="17">
        <f>IF($Z599="","",CHOOSE($Z599,"Collection Email","1st Follow-up","2nd Follow-up","Local Office","CBE","Roxanne")&amp;IF($Z599=6," - Final"," - Day "&amp;MAX(0,NETWORKDAYS($AA599,TODAY(),Holidays)-1)&amp;" of "&amp;CHOOSE($Z599,3,3,2,2,3))&amp;" | Total Day "&amp;MAX(0,NETWORKDAYS($N599,TODAY(),Holidays)-1))</f>
        <v/>
      </c>
      <c r="X599" s="18"/>
      <c r="Y599" s="18"/>
      <c r="Z599" s="17">
        <f>IF($N599="","",COUNT($N599:$S599))</f>
        <v/>
      </c>
      <c r="AA599" s="19">
        <f>IF($Z599="","",INT(INDEX($N599:$S599,$Z599)))</f>
        <v/>
      </c>
      <c r="AB599" s="19">
        <f>IF(OR($Z599="",$Z599=6),"",WORKDAY($AA599,CHOOSE($Z599,3,3,2,2,3),Holidays))</f>
        <v/>
      </c>
      <c r="AC599" s="17">
        <f>IF(OR($Z599="",$Z599=6),"",CHOOSE($Z599,"1st Email Follow-up","2nd Email Follow-up","Escalate Local Office","Escalate to CBE","Escalate to Roxanne"))</f>
        <v/>
      </c>
    </row>
    <row r="600" spans="13:29">
      <c r="M600" s="14"/>
      <c r="T600" s="16"/>
      <c r="U600" s="17">
        <f>IF(AND(COUNTA($A600:$L600)=0,$N600=""),"",IF($T600="Paid","PAID",IF($T600="Closed","CLOSED",IF($Z600="","",IF($Z600=6,"ESCALATED TO ROXANNE",IF(TODAY()&gt;$AB600,"OVERDUE",IF($AB600&lt;=WORKDAY(TODAY(),1,Holidays),"DUE TOMORROW",IF($Z600=4,"ESCALATED TO LOCAL OFFICE",IF($Z600=5,"ESCALATED TO CBE",IF($AA600=TODAY(),"EMAIL SENT","MONITORING"))))))))))</f>
        <v/>
      </c>
      <c r="V600" s="17">
        <f>IF($U600="",IF(AND(COUNTA($A600:$L600)&gt;0,$N600=""),"Awaiting Collection Email time stamp.",""),IF(OR($U600="PAID",$U600="CLOSED"),IF($U600="PAID","Account paid. Action completed.","Account closed. No further action required."),CHOOSE($Z600,"Collection Email","1st Email Follow-up","2nd Email Follow-up","Escalation to Local Office","Escalation to CBE","Escalation to Roxanne")&amp;" sent "&amp;TEXT($AA600,"dd-mmm")&amp;". "&amp;IF($Z600=6,"Final escalation completed.",IF($U600="OVERDUE","Next: "&amp;$AC600&amp;" was due "&amp;TEXT($AB600,"dd-mmm")&amp;" - "&amp;(NETWORKDAYS($AB600,TODAY(),Holidays)-1)&amp;" business day(s) late. Send now.",IF($U600="DUE TOMORROW","Next: "&amp;$AC600&amp;IF($AB600&lt;=TODAY()," is due TODAY ("," is due next business day (")&amp;TEXT($AB600,"dd-mmm")&amp;").","Next: "&amp;$AC600&amp;" due "&amp;TEXT($AB600,"dd-mmm")&amp;" ("&amp;(NETWORKDAYS(TODAY(),$AB600,Holidays)-1)&amp;" business day(s) left).")))))</f>
        <v/>
      </c>
      <c r="W600" s="17">
        <f>IF($Z600="","",CHOOSE($Z600,"Collection Email","1st Follow-up","2nd Follow-up","Local Office","CBE","Roxanne")&amp;IF($Z600=6," - Final"," - Day "&amp;MAX(0,NETWORKDAYS($AA600,TODAY(),Holidays)-1)&amp;" of "&amp;CHOOSE($Z600,3,3,2,2,3))&amp;" | Total Day "&amp;MAX(0,NETWORKDAYS($N600,TODAY(),Holidays)-1))</f>
        <v/>
      </c>
      <c r="X600" s="18"/>
      <c r="Y600" s="18"/>
      <c r="Z600" s="17">
        <f>IF($N600="","",COUNT($N600:$S600))</f>
        <v/>
      </c>
      <c r="AA600" s="19">
        <f>IF($Z600="","",INT(INDEX($N600:$S600,$Z600)))</f>
        <v/>
      </c>
      <c r="AB600" s="19">
        <f>IF(OR($Z600="",$Z600=6),"",WORKDAY($AA600,CHOOSE($Z600,3,3,2,2,3),Holidays))</f>
        <v/>
      </c>
      <c r="AC600" s="17">
        <f>IF(OR($Z600="",$Z600=6),"",CHOOSE($Z600,"1st Email Follow-up","2nd Email Follow-up","Escalate Local Office","Escalate to CBE","Escalate to Roxanne"))</f>
        <v/>
      </c>
    </row>
    <row r="601" spans="13:29">
      <c r="M601" s="14"/>
      <c r="T601" s="16"/>
      <c r="U601" s="17">
        <f>IF(AND(COUNTA($A601:$L601)=0,$N601=""),"",IF($T601="Paid","PAID",IF($T601="Closed","CLOSED",IF($Z601="","",IF($Z601=6,"ESCALATED TO ROXANNE",IF(TODAY()&gt;$AB601,"OVERDUE",IF($AB601&lt;=WORKDAY(TODAY(),1,Holidays),"DUE TOMORROW",IF($Z601=4,"ESCALATED TO LOCAL OFFICE",IF($Z601=5,"ESCALATED TO CBE",IF($AA601=TODAY(),"EMAIL SENT","MONITORING"))))))))))</f>
        <v/>
      </c>
      <c r="V601" s="17">
        <f>IF($U601="",IF(AND(COUNTA($A601:$L601)&gt;0,$N601=""),"Awaiting Collection Email time stamp.",""),IF(OR($U601="PAID",$U601="CLOSED"),IF($U601="PAID","Account paid. Action completed.","Account closed. No further action required."),CHOOSE($Z601,"Collection Email","1st Email Follow-up","2nd Email Follow-up","Escalation to Local Office","Escalation to CBE","Escalation to Roxanne")&amp;" sent "&amp;TEXT($AA601,"dd-mmm")&amp;". "&amp;IF($Z601=6,"Final escalation completed.",IF($U601="OVERDUE","Next: "&amp;$AC601&amp;" was due "&amp;TEXT($AB601,"dd-mmm")&amp;" - "&amp;(NETWORKDAYS($AB601,TODAY(),Holidays)-1)&amp;" business day(s) late. Send now.",IF($U601="DUE TOMORROW","Next: "&amp;$AC601&amp;IF($AB601&lt;=TODAY()," is due TODAY ("," is due next business day (")&amp;TEXT($AB601,"dd-mmm")&amp;").","Next: "&amp;$AC601&amp;" due "&amp;TEXT($AB601,"dd-mmm")&amp;" ("&amp;(NETWORKDAYS(TODAY(),$AB601,Holidays)-1)&amp;" business day(s) left).")))))</f>
        <v/>
      </c>
      <c r="W601" s="17">
        <f>IF($Z601="","",CHOOSE($Z601,"Collection Email","1st Follow-up","2nd Follow-up","Local Office","CBE","Roxanne")&amp;IF($Z601=6," - Final"," - Day "&amp;MAX(0,NETWORKDAYS($AA601,TODAY(),Holidays)-1)&amp;" of "&amp;CHOOSE($Z601,3,3,2,2,3))&amp;" | Total Day "&amp;MAX(0,NETWORKDAYS($N601,TODAY(),Holidays)-1))</f>
        <v/>
      </c>
      <c r="X601" s="18"/>
      <c r="Y601" s="18"/>
      <c r="Z601" s="17">
        <f>IF($N601="","",COUNT($N601:$S601))</f>
        <v/>
      </c>
      <c r="AA601" s="19">
        <f>IF($Z601="","",INT(INDEX($N601:$S601,$Z601)))</f>
        <v/>
      </c>
      <c r="AB601" s="19">
        <f>IF(OR($Z601="",$Z601=6),"",WORKDAY($AA601,CHOOSE($Z601,3,3,2,2,3),Holidays))</f>
        <v/>
      </c>
      <c r="AC601" s="17">
        <f>IF(OR($Z601="",$Z601=6),"",CHOOSE($Z601,"1st Email Follow-up","2nd Email Follow-up","Escalate Local Office","Escalate to CBE","Escalate to Roxanne"))</f>
        <v/>
      </c>
    </row>
    <row r="602" spans="13:29">
      <c r="M602" s="14"/>
      <c r="T602" s="16"/>
      <c r="U602" s="17">
        <f>IF(AND(COUNTA($A602:$L602)=0,$N602=""),"",IF($T602="Paid","PAID",IF($T602="Closed","CLOSED",IF($Z602="","",IF($Z602=6,"ESCALATED TO ROXANNE",IF(TODAY()&gt;$AB602,"OVERDUE",IF($AB602&lt;=WORKDAY(TODAY(),1,Holidays),"DUE TOMORROW",IF($Z602=4,"ESCALATED TO LOCAL OFFICE",IF($Z602=5,"ESCALATED TO CBE",IF($AA602=TODAY(),"EMAIL SENT","MONITORING"))))))))))</f>
        <v/>
      </c>
      <c r="V602" s="17">
        <f>IF($U602="",IF(AND(COUNTA($A602:$L602)&gt;0,$N602=""),"Awaiting Collection Email time stamp.",""),IF(OR($U602="PAID",$U602="CLOSED"),IF($U602="PAID","Account paid. Action completed.","Account closed. No further action required."),CHOOSE($Z602,"Collection Email","1st Email Follow-up","2nd Email Follow-up","Escalation to Local Office","Escalation to CBE","Escalation to Roxanne")&amp;" sent "&amp;TEXT($AA602,"dd-mmm")&amp;". "&amp;IF($Z602=6,"Final escalation completed.",IF($U602="OVERDUE","Next: "&amp;$AC602&amp;" was due "&amp;TEXT($AB602,"dd-mmm")&amp;" - "&amp;(NETWORKDAYS($AB602,TODAY(),Holidays)-1)&amp;" business day(s) late. Send now.",IF($U602="DUE TOMORROW","Next: "&amp;$AC602&amp;IF($AB602&lt;=TODAY()," is due TODAY ("," is due next business day (")&amp;TEXT($AB602,"dd-mmm")&amp;").","Next: "&amp;$AC602&amp;" due "&amp;TEXT($AB602,"dd-mmm")&amp;" ("&amp;(NETWORKDAYS(TODAY(),$AB602,Holidays)-1)&amp;" business day(s) left).")))))</f>
        <v/>
      </c>
      <c r="W602" s="17">
        <f>IF($Z602="","",CHOOSE($Z602,"Collection Email","1st Follow-up","2nd Follow-up","Local Office","CBE","Roxanne")&amp;IF($Z602=6," - Final"," - Day "&amp;MAX(0,NETWORKDAYS($AA602,TODAY(),Holidays)-1)&amp;" of "&amp;CHOOSE($Z602,3,3,2,2,3))&amp;" | Total Day "&amp;MAX(0,NETWORKDAYS($N602,TODAY(),Holidays)-1))</f>
        <v/>
      </c>
      <c r="X602" s="18"/>
      <c r="Y602" s="18"/>
      <c r="Z602" s="17">
        <f>IF($N602="","",COUNT($N602:$S602))</f>
        <v/>
      </c>
      <c r="AA602" s="19">
        <f>IF($Z602="","",INT(INDEX($N602:$S602,$Z602)))</f>
        <v/>
      </c>
      <c r="AB602" s="19">
        <f>IF(OR($Z602="",$Z602=6),"",WORKDAY($AA602,CHOOSE($Z602,3,3,2,2,3),Holidays))</f>
        <v/>
      </c>
      <c r="AC602" s="17">
        <f>IF(OR($Z602="",$Z602=6),"",CHOOSE($Z602,"1st Email Follow-up","2nd Email Follow-up","Escalate Local Office","Escalate to CBE","Escalate to Roxanne"))</f>
        <v/>
      </c>
    </row>
    <row r="603" spans="13:29">
      <c r="M603" s="14"/>
      <c r="T603" s="16"/>
      <c r="U603" s="17">
        <f>IF(AND(COUNTA($A603:$L603)=0,$N603=""),"",IF($T603="Paid","PAID",IF($T603="Closed","CLOSED",IF($Z603="","",IF($Z603=6,"ESCALATED TO ROXANNE",IF(TODAY()&gt;$AB603,"OVERDUE",IF($AB603&lt;=WORKDAY(TODAY(),1,Holidays),"DUE TOMORROW",IF($Z603=4,"ESCALATED TO LOCAL OFFICE",IF($Z603=5,"ESCALATED TO CBE",IF($AA603=TODAY(),"EMAIL SENT","MONITORING"))))))))))</f>
        <v/>
      </c>
      <c r="V603" s="17">
        <f>IF($U603="",IF(AND(COUNTA($A603:$L603)&gt;0,$N603=""),"Awaiting Collection Email time stamp.",""),IF(OR($U603="PAID",$U603="CLOSED"),IF($U603="PAID","Account paid. Action completed.","Account closed. No further action required."),CHOOSE($Z603,"Collection Email","1st Email Follow-up","2nd Email Follow-up","Escalation to Local Office","Escalation to CBE","Escalation to Roxanne")&amp;" sent "&amp;TEXT($AA603,"dd-mmm")&amp;". "&amp;IF($Z603=6,"Final escalation completed.",IF($U603="OVERDUE","Next: "&amp;$AC603&amp;" was due "&amp;TEXT($AB603,"dd-mmm")&amp;" - "&amp;(NETWORKDAYS($AB603,TODAY(),Holidays)-1)&amp;" business day(s) late. Send now.",IF($U603="DUE TOMORROW","Next: "&amp;$AC603&amp;IF($AB603&lt;=TODAY()," is due TODAY ("," is due next business day (")&amp;TEXT($AB603,"dd-mmm")&amp;").","Next: "&amp;$AC603&amp;" due "&amp;TEXT($AB603,"dd-mmm")&amp;" ("&amp;(NETWORKDAYS(TODAY(),$AB603,Holidays)-1)&amp;" business day(s) left).")))))</f>
        <v/>
      </c>
      <c r="W603" s="17">
        <f>IF($Z603="","",CHOOSE($Z603,"Collection Email","1st Follow-up","2nd Follow-up","Local Office","CBE","Roxanne")&amp;IF($Z603=6," - Final"," - Day "&amp;MAX(0,NETWORKDAYS($AA603,TODAY(),Holidays)-1)&amp;" of "&amp;CHOOSE($Z603,3,3,2,2,3))&amp;" | Total Day "&amp;MAX(0,NETWORKDAYS($N603,TODAY(),Holidays)-1))</f>
        <v/>
      </c>
      <c r="X603" s="18"/>
      <c r="Y603" s="18"/>
      <c r="Z603" s="17">
        <f>IF($N603="","",COUNT($N603:$S603))</f>
        <v/>
      </c>
      <c r="AA603" s="19">
        <f>IF($Z603="","",INT(INDEX($N603:$S603,$Z603)))</f>
        <v/>
      </c>
      <c r="AB603" s="19">
        <f>IF(OR($Z603="",$Z603=6),"",WORKDAY($AA603,CHOOSE($Z603,3,3,2,2,3),Holidays))</f>
        <v/>
      </c>
      <c r="AC603" s="17">
        <f>IF(OR($Z603="",$Z603=6),"",CHOOSE($Z603,"1st Email Follow-up","2nd Email Follow-up","Escalate Local Office","Escalate to CBE","Escalate to Roxanne"))</f>
        <v/>
      </c>
    </row>
    <row r="604" spans="13:29">
      <c r="M604" s="14"/>
      <c r="T604" s="16"/>
      <c r="U604" s="17">
        <f>IF(AND(COUNTA($A604:$L604)=0,$N604=""),"",IF($T604="Paid","PAID",IF($T604="Closed","CLOSED",IF($Z604="","",IF($Z604=6,"ESCALATED TO ROXANNE",IF(TODAY()&gt;$AB604,"OVERDUE",IF($AB604&lt;=WORKDAY(TODAY(),1,Holidays),"DUE TOMORROW",IF($Z604=4,"ESCALATED TO LOCAL OFFICE",IF($Z604=5,"ESCALATED TO CBE",IF($AA604=TODAY(),"EMAIL SENT","MONITORING"))))))))))</f>
        <v/>
      </c>
      <c r="V604" s="17">
        <f>IF($U604="",IF(AND(COUNTA($A604:$L604)&gt;0,$N604=""),"Awaiting Collection Email time stamp.",""),IF(OR($U604="PAID",$U604="CLOSED"),IF($U604="PAID","Account paid. Action completed.","Account closed. No further action required."),CHOOSE($Z604,"Collection Email","1st Email Follow-up","2nd Email Follow-up","Escalation to Local Office","Escalation to CBE","Escalation to Roxanne")&amp;" sent "&amp;TEXT($AA604,"dd-mmm")&amp;". "&amp;IF($Z604=6,"Final escalation completed.",IF($U604="OVERDUE","Next: "&amp;$AC604&amp;" was due "&amp;TEXT($AB604,"dd-mmm")&amp;" - "&amp;(NETWORKDAYS($AB604,TODAY(),Holidays)-1)&amp;" business day(s) late. Send now.",IF($U604="DUE TOMORROW","Next: "&amp;$AC604&amp;IF($AB604&lt;=TODAY()," is due TODAY ("," is due next business day (")&amp;TEXT($AB604,"dd-mmm")&amp;").","Next: "&amp;$AC604&amp;" due "&amp;TEXT($AB604,"dd-mmm")&amp;" ("&amp;(NETWORKDAYS(TODAY(),$AB604,Holidays)-1)&amp;" business day(s) left).")))))</f>
        <v/>
      </c>
      <c r="W604" s="17">
        <f>IF($Z604="","",CHOOSE($Z604,"Collection Email","1st Follow-up","2nd Follow-up","Local Office","CBE","Roxanne")&amp;IF($Z604=6," - Final"," - Day "&amp;MAX(0,NETWORKDAYS($AA604,TODAY(),Holidays)-1)&amp;" of "&amp;CHOOSE($Z604,3,3,2,2,3))&amp;" | Total Day "&amp;MAX(0,NETWORKDAYS($N604,TODAY(),Holidays)-1))</f>
        <v/>
      </c>
      <c r="X604" s="18"/>
      <c r="Y604" s="18"/>
      <c r="Z604" s="17">
        <f>IF($N604="","",COUNT($N604:$S604))</f>
        <v/>
      </c>
      <c r="AA604" s="19">
        <f>IF($Z604="","",INT(INDEX($N604:$S604,$Z604)))</f>
        <v/>
      </c>
      <c r="AB604" s="19">
        <f>IF(OR($Z604="",$Z604=6),"",WORKDAY($AA604,CHOOSE($Z604,3,3,2,2,3),Holidays))</f>
        <v/>
      </c>
      <c r="AC604" s="17">
        <f>IF(OR($Z604="",$Z604=6),"",CHOOSE($Z604,"1st Email Follow-up","2nd Email Follow-up","Escalate Local Office","Escalate to CBE","Escalate to Roxanne"))</f>
        <v/>
      </c>
    </row>
    <row r="605" spans="13:29">
      <c r="M605" s="14"/>
      <c r="T605" s="16"/>
      <c r="U605" s="17">
        <f>IF(AND(COUNTA($A605:$L605)=0,$N605=""),"",IF($T605="Paid","PAID",IF($T605="Closed","CLOSED",IF($Z605="","",IF($Z605=6,"ESCALATED TO ROXANNE",IF(TODAY()&gt;$AB605,"OVERDUE",IF($AB605&lt;=WORKDAY(TODAY(),1,Holidays),"DUE TOMORROW",IF($Z605=4,"ESCALATED TO LOCAL OFFICE",IF($Z605=5,"ESCALATED TO CBE",IF($AA605=TODAY(),"EMAIL SENT","MONITORING"))))))))))</f>
        <v/>
      </c>
      <c r="V605" s="17">
        <f>IF($U605="",IF(AND(COUNTA($A605:$L605)&gt;0,$N605=""),"Awaiting Collection Email time stamp.",""),IF(OR($U605="PAID",$U605="CLOSED"),IF($U605="PAID","Account paid. Action completed.","Account closed. No further action required."),CHOOSE($Z605,"Collection Email","1st Email Follow-up","2nd Email Follow-up","Escalation to Local Office","Escalation to CBE","Escalation to Roxanne")&amp;" sent "&amp;TEXT($AA605,"dd-mmm")&amp;". "&amp;IF($Z605=6,"Final escalation completed.",IF($U605="OVERDUE","Next: "&amp;$AC605&amp;" was due "&amp;TEXT($AB605,"dd-mmm")&amp;" - "&amp;(NETWORKDAYS($AB605,TODAY(),Holidays)-1)&amp;" business day(s) late. Send now.",IF($U605="DUE TOMORROW","Next: "&amp;$AC605&amp;IF($AB605&lt;=TODAY()," is due TODAY ("," is due next business day (")&amp;TEXT($AB605,"dd-mmm")&amp;").","Next: "&amp;$AC605&amp;" due "&amp;TEXT($AB605,"dd-mmm")&amp;" ("&amp;(NETWORKDAYS(TODAY(),$AB605,Holidays)-1)&amp;" business day(s) left).")))))</f>
        <v/>
      </c>
      <c r="W605" s="17">
        <f>IF($Z605="","",CHOOSE($Z605,"Collection Email","1st Follow-up","2nd Follow-up","Local Office","CBE","Roxanne")&amp;IF($Z605=6," - Final"," - Day "&amp;MAX(0,NETWORKDAYS($AA605,TODAY(),Holidays)-1)&amp;" of "&amp;CHOOSE($Z605,3,3,2,2,3))&amp;" | Total Day "&amp;MAX(0,NETWORKDAYS($N605,TODAY(),Holidays)-1))</f>
        <v/>
      </c>
      <c r="X605" s="18"/>
      <c r="Y605" s="18"/>
      <c r="Z605" s="17">
        <f>IF($N605="","",COUNT($N605:$S605))</f>
        <v/>
      </c>
      <c r="AA605" s="19">
        <f>IF($Z605="","",INT(INDEX($N605:$S605,$Z605)))</f>
        <v/>
      </c>
      <c r="AB605" s="19">
        <f>IF(OR($Z605="",$Z605=6),"",WORKDAY($AA605,CHOOSE($Z605,3,3,2,2,3),Holidays))</f>
        <v/>
      </c>
      <c r="AC605" s="17">
        <f>IF(OR($Z605="",$Z605=6),"",CHOOSE($Z605,"1st Email Follow-up","2nd Email Follow-up","Escalate Local Office","Escalate to CBE","Escalate to Roxanne"))</f>
        <v/>
      </c>
    </row>
    <row r="606" spans="13:29">
      <c r="M606" s="14"/>
      <c r="T606" s="16"/>
      <c r="U606" s="17">
        <f>IF(AND(COUNTA($A606:$L606)=0,$N606=""),"",IF($T606="Paid","PAID",IF($T606="Closed","CLOSED",IF($Z606="","",IF($Z606=6,"ESCALATED TO ROXANNE",IF(TODAY()&gt;$AB606,"OVERDUE",IF($AB606&lt;=WORKDAY(TODAY(),1,Holidays),"DUE TOMORROW",IF($Z606=4,"ESCALATED TO LOCAL OFFICE",IF($Z606=5,"ESCALATED TO CBE",IF($AA606=TODAY(),"EMAIL SENT","MONITORING"))))))))))</f>
        <v/>
      </c>
      <c r="V606" s="17">
        <f>IF($U606="",IF(AND(COUNTA($A606:$L606)&gt;0,$N606=""),"Awaiting Collection Email time stamp.",""),IF(OR($U606="PAID",$U606="CLOSED"),IF($U606="PAID","Account paid. Action completed.","Account closed. No further action required."),CHOOSE($Z606,"Collection Email","1st Email Follow-up","2nd Email Follow-up","Escalation to Local Office","Escalation to CBE","Escalation to Roxanne")&amp;" sent "&amp;TEXT($AA606,"dd-mmm")&amp;". "&amp;IF($Z606=6,"Final escalation completed.",IF($U606="OVERDUE","Next: "&amp;$AC606&amp;" was due "&amp;TEXT($AB606,"dd-mmm")&amp;" - "&amp;(NETWORKDAYS($AB606,TODAY(),Holidays)-1)&amp;" business day(s) late. Send now.",IF($U606="DUE TOMORROW","Next: "&amp;$AC606&amp;IF($AB606&lt;=TODAY()," is due TODAY ("," is due next business day (")&amp;TEXT($AB606,"dd-mmm")&amp;").","Next: "&amp;$AC606&amp;" due "&amp;TEXT($AB606,"dd-mmm")&amp;" ("&amp;(NETWORKDAYS(TODAY(),$AB606,Holidays)-1)&amp;" business day(s) left).")))))</f>
        <v/>
      </c>
      <c r="W606" s="17">
        <f>IF($Z606="","",CHOOSE($Z606,"Collection Email","1st Follow-up","2nd Follow-up","Local Office","CBE","Roxanne")&amp;IF($Z606=6," - Final"," - Day "&amp;MAX(0,NETWORKDAYS($AA606,TODAY(),Holidays)-1)&amp;" of "&amp;CHOOSE($Z606,3,3,2,2,3))&amp;" | Total Day "&amp;MAX(0,NETWORKDAYS($N606,TODAY(),Holidays)-1))</f>
        <v/>
      </c>
      <c r="X606" s="18"/>
      <c r="Y606" s="18"/>
      <c r="Z606" s="17">
        <f>IF($N606="","",COUNT($N606:$S606))</f>
        <v/>
      </c>
      <c r="AA606" s="19">
        <f>IF($Z606="","",INT(INDEX($N606:$S606,$Z606)))</f>
        <v/>
      </c>
      <c r="AB606" s="19">
        <f>IF(OR($Z606="",$Z606=6),"",WORKDAY($AA606,CHOOSE($Z606,3,3,2,2,3),Holidays))</f>
        <v/>
      </c>
      <c r="AC606" s="17">
        <f>IF(OR($Z606="",$Z606=6),"",CHOOSE($Z606,"1st Email Follow-up","2nd Email Follow-up","Escalate Local Office","Escalate to CBE","Escalate to Roxanne"))</f>
        <v/>
      </c>
    </row>
    <row r="607" spans="13:29">
      <c r="M607" s="14"/>
      <c r="T607" s="16"/>
      <c r="U607" s="17">
        <f>IF(AND(COUNTA($A607:$L607)=0,$N607=""),"",IF($T607="Paid","PAID",IF($T607="Closed","CLOSED",IF($Z607="","",IF($Z607=6,"ESCALATED TO ROXANNE",IF(TODAY()&gt;$AB607,"OVERDUE",IF($AB607&lt;=WORKDAY(TODAY(),1,Holidays),"DUE TOMORROW",IF($Z607=4,"ESCALATED TO LOCAL OFFICE",IF($Z607=5,"ESCALATED TO CBE",IF($AA607=TODAY(),"EMAIL SENT","MONITORING"))))))))))</f>
        <v/>
      </c>
      <c r="V607" s="17">
        <f>IF($U607="",IF(AND(COUNTA($A607:$L607)&gt;0,$N607=""),"Awaiting Collection Email time stamp.",""),IF(OR($U607="PAID",$U607="CLOSED"),IF($U607="PAID","Account paid. Action completed.","Account closed. No further action required."),CHOOSE($Z607,"Collection Email","1st Email Follow-up","2nd Email Follow-up","Escalation to Local Office","Escalation to CBE","Escalation to Roxanne")&amp;" sent "&amp;TEXT($AA607,"dd-mmm")&amp;". "&amp;IF($Z607=6,"Final escalation completed.",IF($U607="OVERDUE","Next: "&amp;$AC607&amp;" was due "&amp;TEXT($AB607,"dd-mmm")&amp;" - "&amp;(NETWORKDAYS($AB607,TODAY(),Holidays)-1)&amp;" business day(s) late. Send now.",IF($U607="DUE TOMORROW","Next: "&amp;$AC607&amp;IF($AB607&lt;=TODAY()," is due TODAY ("," is due next business day (")&amp;TEXT($AB607,"dd-mmm")&amp;").","Next: "&amp;$AC607&amp;" due "&amp;TEXT($AB607,"dd-mmm")&amp;" ("&amp;(NETWORKDAYS(TODAY(),$AB607,Holidays)-1)&amp;" business day(s) left).")))))</f>
        <v/>
      </c>
      <c r="W607" s="17">
        <f>IF($Z607="","",CHOOSE($Z607,"Collection Email","1st Follow-up","2nd Follow-up","Local Office","CBE","Roxanne")&amp;IF($Z607=6," - Final"," - Day "&amp;MAX(0,NETWORKDAYS($AA607,TODAY(),Holidays)-1)&amp;" of "&amp;CHOOSE($Z607,3,3,2,2,3))&amp;" | Total Day "&amp;MAX(0,NETWORKDAYS($N607,TODAY(),Holidays)-1))</f>
        <v/>
      </c>
      <c r="X607" s="18"/>
      <c r="Y607" s="18"/>
      <c r="Z607" s="17">
        <f>IF($N607="","",COUNT($N607:$S607))</f>
        <v/>
      </c>
      <c r="AA607" s="19">
        <f>IF($Z607="","",INT(INDEX($N607:$S607,$Z607)))</f>
        <v/>
      </c>
      <c r="AB607" s="19">
        <f>IF(OR($Z607="",$Z607=6),"",WORKDAY($AA607,CHOOSE($Z607,3,3,2,2,3),Holidays))</f>
        <v/>
      </c>
      <c r="AC607" s="17">
        <f>IF(OR($Z607="",$Z607=6),"",CHOOSE($Z607,"1st Email Follow-up","2nd Email Follow-up","Escalate Local Office","Escalate to CBE","Escalate to Roxanne"))</f>
        <v/>
      </c>
    </row>
    <row r="608" spans="13:29">
      <c r="M608" s="14"/>
      <c r="T608" s="16"/>
      <c r="U608" s="17">
        <f>IF(AND(COUNTA($A608:$L608)=0,$N608=""),"",IF($T608="Paid","PAID",IF($T608="Closed","CLOSED",IF($Z608="","",IF($Z608=6,"ESCALATED TO ROXANNE",IF(TODAY()&gt;$AB608,"OVERDUE",IF($AB608&lt;=WORKDAY(TODAY(),1,Holidays),"DUE TOMORROW",IF($Z608=4,"ESCALATED TO LOCAL OFFICE",IF($Z608=5,"ESCALATED TO CBE",IF($AA608=TODAY(),"EMAIL SENT","MONITORING"))))))))))</f>
        <v/>
      </c>
      <c r="V608" s="17">
        <f>IF($U608="",IF(AND(COUNTA($A608:$L608)&gt;0,$N608=""),"Awaiting Collection Email time stamp.",""),IF(OR($U608="PAID",$U608="CLOSED"),IF($U608="PAID","Account paid. Action completed.","Account closed. No further action required."),CHOOSE($Z608,"Collection Email","1st Email Follow-up","2nd Email Follow-up","Escalation to Local Office","Escalation to CBE","Escalation to Roxanne")&amp;" sent "&amp;TEXT($AA608,"dd-mmm")&amp;". "&amp;IF($Z608=6,"Final escalation completed.",IF($U608="OVERDUE","Next: "&amp;$AC608&amp;" was due "&amp;TEXT($AB608,"dd-mmm")&amp;" - "&amp;(NETWORKDAYS($AB608,TODAY(),Holidays)-1)&amp;" business day(s) late. Send now.",IF($U608="DUE TOMORROW","Next: "&amp;$AC608&amp;IF($AB608&lt;=TODAY()," is due TODAY ("," is due next business day (")&amp;TEXT($AB608,"dd-mmm")&amp;").","Next: "&amp;$AC608&amp;" due "&amp;TEXT($AB608,"dd-mmm")&amp;" ("&amp;(NETWORKDAYS(TODAY(),$AB608,Holidays)-1)&amp;" business day(s) left).")))))</f>
        <v/>
      </c>
      <c r="W608" s="17">
        <f>IF($Z608="","",CHOOSE($Z608,"Collection Email","1st Follow-up","2nd Follow-up","Local Office","CBE","Roxanne")&amp;IF($Z608=6," - Final"," - Day "&amp;MAX(0,NETWORKDAYS($AA608,TODAY(),Holidays)-1)&amp;" of "&amp;CHOOSE($Z608,3,3,2,2,3))&amp;" | Total Day "&amp;MAX(0,NETWORKDAYS($N608,TODAY(),Holidays)-1))</f>
        <v/>
      </c>
      <c r="X608" s="18"/>
      <c r="Y608" s="18"/>
      <c r="Z608" s="17">
        <f>IF($N608="","",COUNT($N608:$S608))</f>
        <v/>
      </c>
      <c r="AA608" s="19">
        <f>IF($Z608="","",INT(INDEX($N608:$S608,$Z608)))</f>
        <v/>
      </c>
      <c r="AB608" s="19">
        <f>IF(OR($Z608="",$Z608=6),"",WORKDAY($AA608,CHOOSE($Z608,3,3,2,2,3),Holidays))</f>
        <v/>
      </c>
      <c r="AC608" s="17">
        <f>IF(OR($Z608="",$Z608=6),"",CHOOSE($Z608,"1st Email Follow-up","2nd Email Follow-up","Escalate Local Office","Escalate to CBE","Escalate to Roxanne"))</f>
        <v/>
      </c>
    </row>
    <row r="609" spans="13:29">
      <c r="M609" s="14"/>
      <c r="T609" s="16"/>
      <c r="U609" s="17">
        <f>IF(AND(COUNTA($A609:$L609)=0,$N609=""),"",IF($T609="Paid","PAID",IF($T609="Closed","CLOSED",IF($Z609="","",IF($Z609=6,"ESCALATED TO ROXANNE",IF(TODAY()&gt;$AB609,"OVERDUE",IF($AB609&lt;=WORKDAY(TODAY(),1,Holidays),"DUE TOMORROW",IF($Z609=4,"ESCALATED TO LOCAL OFFICE",IF($Z609=5,"ESCALATED TO CBE",IF($AA609=TODAY(),"EMAIL SENT","MONITORING"))))))))))</f>
        <v/>
      </c>
      <c r="V609" s="17">
        <f>IF($U609="",IF(AND(COUNTA($A609:$L609)&gt;0,$N609=""),"Awaiting Collection Email time stamp.",""),IF(OR($U609="PAID",$U609="CLOSED"),IF($U609="PAID","Account paid. Action completed.","Account closed. No further action required."),CHOOSE($Z609,"Collection Email","1st Email Follow-up","2nd Email Follow-up","Escalation to Local Office","Escalation to CBE","Escalation to Roxanne")&amp;" sent "&amp;TEXT($AA609,"dd-mmm")&amp;". "&amp;IF($Z609=6,"Final escalation completed.",IF($U609="OVERDUE","Next: "&amp;$AC609&amp;" was due "&amp;TEXT($AB609,"dd-mmm")&amp;" - "&amp;(NETWORKDAYS($AB609,TODAY(),Holidays)-1)&amp;" business day(s) late. Send now.",IF($U609="DUE TOMORROW","Next: "&amp;$AC609&amp;IF($AB609&lt;=TODAY()," is due TODAY ("," is due next business day (")&amp;TEXT($AB609,"dd-mmm")&amp;").","Next: "&amp;$AC609&amp;" due "&amp;TEXT($AB609,"dd-mmm")&amp;" ("&amp;(NETWORKDAYS(TODAY(),$AB609,Holidays)-1)&amp;" business day(s) left).")))))</f>
        <v/>
      </c>
      <c r="W609" s="17">
        <f>IF($Z609="","",CHOOSE($Z609,"Collection Email","1st Follow-up","2nd Follow-up","Local Office","CBE","Roxanne")&amp;IF($Z609=6," - Final"," - Day "&amp;MAX(0,NETWORKDAYS($AA609,TODAY(),Holidays)-1)&amp;" of "&amp;CHOOSE($Z609,3,3,2,2,3))&amp;" | Total Day "&amp;MAX(0,NETWORKDAYS($N609,TODAY(),Holidays)-1))</f>
        <v/>
      </c>
      <c r="X609" s="18"/>
      <c r="Y609" s="18"/>
      <c r="Z609" s="17">
        <f>IF($N609="","",COUNT($N609:$S609))</f>
        <v/>
      </c>
      <c r="AA609" s="19">
        <f>IF($Z609="","",INT(INDEX($N609:$S609,$Z609)))</f>
        <v/>
      </c>
      <c r="AB609" s="19">
        <f>IF(OR($Z609="",$Z609=6),"",WORKDAY($AA609,CHOOSE($Z609,3,3,2,2,3),Holidays))</f>
        <v/>
      </c>
      <c r="AC609" s="17">
        <f>IF(OR($Z609="",$Z609=6),"",CHOOSE($Z609,"1st Email Follow-up","2nd Email Follow-up","Escalate Local Office","Escalate to CBE","Escalate to Roxanne"))</f>
        <v/>
      </c>
    </row>
    <row r="610" spans="13:29">
      <c r="M610" s="14"/>
      <c r="T610" s="16"/>
      <c r="U610" s="17">
        <f>IF(AND(COUNTA($A610:$L610)=0,$N610=""),"",IF($T610="Paid","PAID",IF($T610="Closed","CLOSED",IF($Z610="","",IF($Z610=6,"ESCALATED TO ROXANNE",IF(TODAY()&gt;$AB610,"OVERDUE",IF($AB610&lt;=WORKDAY(TODAY(),1,Holidays),"DUE TOMORROW",IF($Z610=4,"ESCALATED TO LOCAL OFFICE",IF($Z610=5,"ESCALATED TO CBE",IF($AA610=TODAY(),"EMAIL SENT","MONITORING"))))))))))</f>
        <v/>
      </c>
      <c r="V610" s="17">
        <f>IF($U610="",IF(AND(COUNTA($A610:$L610)&gt;0,$N610=""),"Awaiting Collection Email time stamp.",""),IF(OR($U610="PAID",$U610="CLOSED"),IF($U610="PAID","Account paid. Action completed.","Account closed. No further action required."),CHOOSE($Z610,"Collection Email","1st Email Follow-up","2nd Email Follow-up","Escalation to Local Office","Escalation to CBE","Escalation to Roxanne")&amp;" sent "&amp;TEXT($AA610,"dd-mmm")&amp;". "&amp;IF($Z610=6,"Final escalation completed.",IF($U610="OVERDUE","Next: "&amp;$AC610&amp;" was due "&amp;TEXT($AB610,"dd-mmm")&amp;" - "&amp;(NETWORKDAYS($AB610,TODAY(),Holidays)-1)&amp;" business day(s) late. Send now.",IF($U610="DUE TOMORROW","Next: "&amp;$AC610&amp;IF($AB610&lt;=TODAY()," is due TODAY ("," is due next business day (")&amp;TEXT($AB610,"dd-mmm")&amp;").","Next: "&amp;$AC610&amp;" due "&amp;TEXT($AB610,"dd-mmm")&amp;" ("&amp;(NETWORKDAYS(TODAY(),$AB610,Holidays)-1)&amp;" business day(s) left).")))))</f>
        <v/>
      </c>
      <c r="W610" s="17">
        <f>IF($Z610="","",CHOOSE($Z610,"Collection Email","1st Follow-up","2nd Follow-up","Local Office","CBE","Roxanne")&amp;IF($Z610=6," - Final"," - Day "&amp;MAX(0,NETWORKDAYS($AA610,TODAY(),Holidays)-1)&amp;" of "&amp;CHOOSE($Z610,3,3,2,2,3))&amp;" | Total Day "&amp;MAX(0,NETWORKDAYS($N610,TODAY(),Holidays)-1))</f>
        <v/>
      </c>
      <c r="X610" s="18"/>
      <c r="Y610" s="18"/>
      <c r="Z610" s="17">
        <f>IF($N610="","",COUNT($N610:$S610))</f>
        <v/>
      </c>
      <c r="AA610" s="19">
        <f>IF($Z610="","",INT(INDEX($N610:$S610,$Z610)))</f>
        <v/>
      </c>
      <c r="AB610" s="19">
        <f>IF(OR($Z610="",$Z610=6),"",WORKDAY($AA610,CHOOSE($Z610,3,3,2,2,3),Holidays))</f>
        <v/>
      </c>
      <c r="AC610" s="17">
        <f>IF(OR($Z610="",$Z610=6),"",CHOOSE($Z610,"1st Email Follow-up","2nd Email Follow-up","Escalate Local Office","Escalate to CBE","Escalate to Roxanne"))</f>
        <v/>
      </c>
    </row>
    <row r="611" spans="13:29">
      <c r="M611" s="14"/>
      <c r="T611" s="16"/>
      <c r="U611" s="17">
        <f>IF(AND(COUNTA($A611:$L611)=0,$N611=""),"",IF($T611="Paid","PAID",IF($T611="Closed","CLOSED",IF($Z611="","",IF($Z611=6,"ESCALATED TO ROXANNE",IF(TODAY()&gt;$AB611,"OVERDUE",IF($AB611&lt;=WORKDAY(TODAY(),1,Holidays),"DUE TOMORROW",IF($Z611=4,"ESCALATED TO LOCAL OFFICE",IF($Z611=5,"ESCALATED TO CBE",IF($AA611=TODAY(),"EMAIL SENT","MONITORING"))))))))))</f>
        <v/>
      </c>
      <c r="V611" s="17">
        <f>IF($U611="",IF(AND(COUNTA($A611:$L611)&gt;0,$N611=""),"Awaiting Collection Email time stamp.",""),IF(OR($U611="PAID",$U611="CLOSED"),IF($U611="PAID","Account paid. Action completed.","Account closed. No further action required."),CHOOSE($Z611,"Collection Email","1st Email Follow-up","2nd Email Follow-up","Escalation to Local Office","Escalation to CBE","Escalation to Roxanne")&amp;" sent "&amp;TEXT($AA611,"dd-mmm")&amp;". "&amp;IF($Z611=6,"Final escalation completed.",IF($U611="OVERDUE","Next: "&amp;$AC611&amp;" was due "&amp;TEXT($AB611,"dd-mmm")&amp;" - "&amp;(NETWORKDAYS($AB611,TODAY(),Holidays)-1)&amp;" business day(s) late. Send now.",IF($U611="DUE TOMORROW","Next: "&amp;$AC611&amp;IF($AB611&lt;=TODAY()," is due TODAY ("," is due next business day (")&amp;TEXT($AB611,"dd-mmm")&amp;").","Next: "&amp;$AC611&amp;" due "&amp;TEXT($AB611,"dd-mmm")&amp;" ("&amp;(NETWORKDAYS(TODAY(),$AB611,Holidays)-1)&amp;" business day(s) left).")))))</f>
        <v/>
      </c>
      <c r="W611" s="17">
        <f>IF($Z611="","",CHOOSE($Z611,"Collection Email","1st Follow-up","2nd Follow-up","Local Office","CBE","Roxanne")&amp;IF($Z611=6," - Final"," - Day "&amp;MAX(0,NETWORKDAYS($AA611,TODAY(),Holidays)-1)&amp;" of "&amp;CHOOSE($Z611,3,3,2,2,3))&amp;" | Total Day "&amp;MAX(0,NETWORKDAYS($N611,TODAY(),Holidays)-1))</f>
        <v/>
      </c>
      <c r="X611" s="18"/>
      <c r="Y611" s="18"/>
      <c r="Z611" s="17">
        <f>IF($N611="","",COUNT($N611:$S611))</f>
        <v/>
      </c>
      <c r="AA611" s="19">
        <f>IF($Z611="","",INT(INDEX($N611:$S611,$Z611)))</f>
        <v/>
      </c>
      <c r="AB611" s="19">
        <f>IF(OR($Z611="",$Z611=6),"",WORKDAY($AA611,CHOOSE($Z611,3,3,2,2,3),Holidays))</f>
        <v/>
      </c>
      <c r="AC611" s="17">
        <f>IF(OR($Z611="",$Z611=6),"",CHOOSE($Z611,"1st Email Follow-up","2nd Email Follow-up","Escalate Local Office","Escalate to CBE","Escalate to Roxanne"))</f>
        <v/>
      </c>
    </row>
    <row r="612" spans="13:29">
      <c r="M612" s="14"/>
      <c r="T612" s="16"/>
      <c r="U612" s="17">
        <f>IF(AND(COUNTA($A612:$L612)=0,$N612=""),"",IF($T612="Paid","PAID",IF($T612="Closed","CLOSED",IF($Z612="","",IF($Z612=6,"ESCALATED TO ROXANNE",IF(TODAY()&gt;$AB612,"OVERDUE",IF($AB612&lt;=WORKDAY(TODAY(),1,Holidays),"DUE TOMORROW",IF($Z612=4,"ESCALATED TO LOCAL OFFICE",IF($Z612=5,"ESCALATED TO CBE",IF($AA612=TODAY(),"EMAIL SENT","MONITORING"))))))))))</f>
        <v/>
      </c>
      <c r="V612" s="17">
        <f>IF($U612="",IF(AND(COUNTA($A612:$L612)&gt;0,$N612=""),"Awaiting Collection Email time stamp.",""),IF(OR($U612="PAID",$U612="CLOSED"),IF($U612="PAID","Account paid. Action completed.","Account closed. No further action required."),CHOOSE($Z612,"Collection Email","1st Email Follow-up","2nd Email Follow-up","Escalation to Local Office","Escalation to CBE","Escalation to Roxanne")&amp;" sent "&amp;TEXT($AA612,"dd-mmm")&amp;". "&amp;IF($Z612=6,"Final escalation completed.",IF($U612="OVERDUE","Next: "&amp;$AC612&amp;" was due "&amp;TEXT($AB612,"dd-mmm")&amp;" - "&amp;(NETWORKDAYS($AB612,TODAY(),Holidays)-1)&amp;" business day(s) late. Send now.",IF($U612="DUE TOMORROW","Next: "&amp;$AC612&amp;IF($AB612&lt;=TODAY()," is due TODAY ("," is due next business day (")&amp;TEXT($AB612,"dd-mmm")&amp;").","Next: "&amp;$AC612&amp;" due "&amp;TEXT($AB612,"dd-mmm")&amp;" ("&amp;(NETWORKDAYS(TODAY(),$AB612,Holidays)-1)&amp;" business day(s) left).")))))</f>
        <v/>
      </c>
      <c r="W612" s="17">
        <f>IF($Z612="","",CHOOSE($Z612,"Collection Email","1st Follow-up","2nd Follow-up","Local Office","CBE","Roxanne")&amp;IF($Z612=6," - Final"," - Day "&amp;MAX(0,NETWORKDAYS($AA612,TODAY(),Holidays)-1)&amp;" of "&amp;CHOOSE($Z612,3,3,2,2,3))&amp;" | Total Day "&amp;MAX(0,NETWORKDAYS($N612,TODAY(),Holidays)-1))</f>
        <v/>
      </c>
      <c r="X612" s="18"/>
      <c r="Y612" s="18"/>
      <c r="Z612" s="17">
        <f>IF($N612="","",COUNT($N612:$S612))</f>
        <v/>
      </c>
      <c r="AA612" s="19">
        <f>IF($Z612="","",INT(INDEX($N612:$S612,$Z612)))</f>
        <v/>
      </c>
      <c r="AB612" s="19">
        <f>IF(OR($Z612="",$Z612=6),"",WORKDAY($AA612,CHOOSE($Z612,3,3,2,2,3),Holidays))</f>
        <v/>
      </c>
      <c r="AC612" s="17">
        <f>IF(OR($Z612="",$Z612=6),"",CHOOSE($Z612,"1st Email Follow-up","2nd Email Follow-up","Escalate Local Office","Escalate to CBE","Escalate to Roxanne"))</f>
        <v/>
      </c>
    </row>
    <row r="613" spans="13:29">
      <c r="M613" s="14"/>
      <c r="T613" s="16"/>
      <c r="U613" s="17">
        <f>IF(AND(COUNTA($A613:$L613)=0,$N613=""),"",IF($T613="Paid","PAID",IF($T613="Closed","CLOSED",IF($Z613="","",IF($Z613=6,"ESCALATED TO ROXANNE",IF(TODAY()&gt;$AB613,"OVERDUE",IF($AB613&lt;=WORKDAY(TODAY(),1,Holidays),"DUE TOMORROW",IF($Z613=4,"ESCALATED TO LOCAL OFFICE",IF($Z613=5,"ESCALATED TO CBE",IF($AA613=TODAY(),"EMAIL SENT","MONITORING"))))))))))</f>
        <v/>
      </c>
      <c r="V613" s="17">
        <f>IF($U613="",IF(AND(COUNTA($A613:$L613)&gt;0,$N613=""),"Awaiting Collection Email time stamp.",""),IF(OR($U613="PAID",$U613="CLOSED"),IF($U613="PAID","Account paid. Action completed.","Account closed. No further action required."),CHOOSE($Z613,"Collection Email","1st Email Follow-up","2nd Email Follow-up","Escalation to Local Office","Escalation to CBE","Escalation to Roxanne")&amp;" sent "&amp;TEXT($AA613,"dd-mmm")&amp;". "&amp;IF($Z613=6,"Final escalation completed.",IF($U613="OVERDUE","Next: "&amp;$AC613&amp;" was due "&amp;TEXT($AB613,"dd-mmm")&amp;" - "&amp;(NETWORKDAYS($AB613,TODAY(),Holidays)-1)&amp;" business day(s) late. Send now.",IF($U613="DUE TOMORROW","Next: "&amp;$AC613&amp;IF($AB613&lt;=TODAY()," is due TODAY ("," is due next business day (")&amp;TEXT($AB613,"dd-mmm")&amp;").","Next: "&amp;$AC613&amp;" due "&amp;TEXT($AB613,"dd-mmm")&amp;" ("&amp;(NETWORKDAYS(TODAY(),$AB613,Holidays)-1)&amp;" business day(s) left).")))))</f>
        <v/>
      </c>
      <c r="W613" s="17">
        <f>IF($Z613="","",CHOOSE($Z613,"Collection Email","1st Follow-up","2nd Follow-up","Local Office","CBE","Roxanne")&amp;IF($Z613=6," - Final"," - Day "&amp;MAX(0,NETWORKDAYS($AA613,TODAY(),Holidays)-1)&amp;" of "&amp;CHOOSE($Z613,3,3,2,2,3))&amp;" | Total Day "&amp;MAX(0,NETWORKDAYS($N613,TODAY(),Holidays)-1))</f>
        <v/>
      </c>
      <c r="X613" s="18"/>
      <c r="Y613" s="18"/>
      <c r="Z613" s="17">
        <f>IF($N613="","",COUNT($N613:$S613))</f>
        <v/>
      </c>
      <c r="AA613" s="19">
        <f>IF($Z613="","",INT(INDEX($N613:$S613,$Z613)))</f>
        <v/>
      </c>
      <c r="AB613" s="19">
        <f>IF(OR($Z613="",$Z613=6),"",WORKDAY($AA613,CHOOSE($Z613,3,3,2,2,3),Holidays))</f>
        <v/>
      </c>
      <c r="AC613" s="17">
        <f>IF(OR($Z613="",$Z613=6),"",CHOOSE($Z613,"1st Email Follow-up","2nd Email Follow-up","Escalate Local Office","Escalate to CBE","Escalate to Roxanne"))</f>
        <v/>
      </c>
    </row>
    <row r="614" spans="13:29">
      <c r="M614" s="14"/>
      <c r="T614" s="16"/>
      <c r="U614" s="17">
        <f>IF(AND(COUNTA($A614:$L614)=0,$N614=""),"",IF($T614="Paid","PAID",IF($T614="Closed","CLOSED",IF($Z614="","",IF($Z614=6,"ESCALATED TO ROXANNE",IF(TODAY()&gt;$AB614,"OVERDUE",IF($AB614&lt;=WORKDAY(TODAY(),1,Holidays),"DUE TOMORROW",IF($Z614=4,"ESCALATED TO LOCAL OFFICE",IF($Z614=5,"ESCALATED TO CBE",IF($AA614=TODAY(),"EMAIL SENT","MONITORING"))))))))))</f>
        <v/>
      </c>
      <c r="V614" s="17">
        <f>IF($U614="",IF(AND(COUNTA($A614:$L614)&gt;0,$N614=""),"Awaiting Collection Email time stamp.",""),IF(OR($U614="PAID",$U614="CLOSED"),IF($U614="PAID","Account paid. Action completed.","Account closed. No further action required."),CHOOSE($Z614,"Collection Email","1st Email Follow-up","2nd Email Follow-up","Escalation to Local Office","Escalation to CBE","Escalation to Roxanne")&amp;" sent "&amp;TEXT($AA614,"dd-mmm")&amp;". "&amp;IF($Z614=6,"Final escalation completed.",IF($U614="OVERDUE","Next: "&amp;$AC614&amp;" was due "&amp;TEXT($AB614,"dd-mmm")&amp;" - "&amp;(NETWORKDAYS($AB614,TODAY(),Holidays)-1)&amp;" business day(s) late. Send now.",IF($U614="DUE TOMORROW","Next: "&amp;$AC614&amp;IF($AB614&lt;=TODAY()," is due TODAY ("," is due next business day (")&amp;TEXT($AB614,"dd-mmm")&amp;").","Next: "&amp;$AC614&amp;" due "&amp;TEXT($AB614,"dd-mmm")&amp;" ("&amp;(NETWORKDAYS(TODAY(),$AB614,Holidays)-1)&amp;" business day(s) left).")))))</f>
        <v/>
      </c>
      <c r="W614" s="17">
        <f>IF($Z614="","",CHOOSE($Z614,"Collection Email","1st Follow-up","2nd Follow-up","Local Office","CBE","Roxanne")&amp;IF($Z614=6," - Final"," - Day "&amp;MAX(0,NETWORKDAYS($AA614,TODAY(),Holidays)-1)&amp;" of "&amp;CHOOSE($Z614,3,3,2,2,3))&amp;" | Total Day "&amp;MAX(0,NETWORKDAYS($N614,TODAY(),Holidays)-1))</f>
        <v/>
      </c>
      <c r="X614" s="18"/>
      <c r="Y614" s="18"/>
      <c r="Z614" s="17">
        <f>IF($N614="","",COUNT($N614:$S614))</f>
        <v/>
      </c>
      <c r="AA614" s="19">
        <f>IF($Z614="","",INT(INDEX($N614:$S614,$Z614)))</f>
        <v/>
      </c>
      <c r="AB614" s="19">
        <f>IF(OR($Z614="",$Z614=6),"",WORKDAY($AA614,CHOOSE($Z614,3,3,2,2,3),Holidays))</f>
        <v/>
      </c>
      <c r="AC614" s="17">
        <f>IF(OR($Z614="",$Z614=6),"",CHOOSE($Z614,"1st Email Follow-up","2nd Email Follow-up","Escalate Local Office","Escalate to CBE","Escalate to Roxanne"))</f>
        <v/>
      </c>
    </row>
    <row r="615" spans="13:29">
      <c r="M615" s="14"/>
      <c r="T615" s="16"/>
      <c r="U615" s="17">
        <f>IF(AND(COUNTA($A615:$L615)=0,$N615=""),"",IF($T615="Paid","PAID",IF($T615="Closed","CLOSED",IF($Z615="","",IF($Z615=6,"ESCALATED TO ROXANNE",IF(TODAY()&gt;$AB615,"OVERDUE",IF($AB615&lt;=WORKDAY(TODAY(),1,Holidays),"DUE TOMORROW",IF($Z615=4,"ESCALATED TO LOCAL OFFICE",IF($Z615=5,"ESCALATED TO CBE",IF($AA615=TODAY(),"EMAIL SENT","MONITORING"))))))))))</f>
        <v/>
      </c>
      <c r="V615" s="17">
        <f>IF($U615="",IF(AND(COUNTA($A615:$L615)&gt;0,$N615=""),"Awaiting Collection Email time stamp.",""),IF(OR($U615="PAID",$U615="CLOSED"),IF($U615="PAID","Account paid. Action completed.","Account closed. No further action required."),CHOOSE($Z615,"Collection Email","1st Email Follow-up","2nd Email Follow-up","Escalation to Local Office","Escalation to CBE","Escalation to Roxanne")&amp;" sent "&amp;TEXT($AA615,"dd-mmm")&amp;". "&amp;IF($Z615=6,"Final escalation completed.",IF($U615="OVERDUE","Next: "&amp;$AC615&amp;" was due "&amp;TEXT($AB615,"dd-mmm")&amp;" - "&amp;(NETWORKDAYS($AB615,TODAY(),Holidays)-1)&amp;" business day(s) late. Send now.",IF($U615="DUE TOMORROW","Next: "&amp;$AC615&amp;IF($AB615&lt;=TODAY()," is due TODAY ("," is due next business day (")&amp;TEXT($AB615,"dd-mmm")&amp;").","Next: "&amp;$AC615&amp;" due "&amp;TEXT($AB615,"dd-mmm")&amp;" ("&amp;(NETWORKDAYS(TODAY(),$AB615,Holidays)-1)&amp;" business day(s) left).")))))</f>
        <v/>
      </c>
      <c r="W615" s="17">
        <f>IF($Z615="","",CHOOSE($Z615,"Collection Email","1st Follow-up","2nd Follow-up","Local Office","CBE","Roxanne")&amp;IF($Z615=6," - Final"," - Day "&amp;MAX(0,NETWORKDAYS($AA615,TODAY(),Holidays)-1)&amp;" of "&amp;CHOOSE($Z615,3,3,2,2,3))&amp;" | Total Day "&amp;MAX(0,NETWORKDAYS($N615,TODAY(),Holidays)-1))</f>
        <v/>
      </c>
      <c r="X615" s="18"/>
      <c r="Y615" s="18"/>
      <c r="Z615" s="17">
        <f>IF($N615="","",COUNT($N615:$S615))</f>
        <v/>
      </c>
      <c r="AA615" s="19">
        <f>IF($Z615="","",INT(INDEX($N615:$S615,$Z615)))</f>
        <v/>
      </c>
      <c r="AB615" s="19">
        <f>IF(OR($Z615="",$Z615=6),"",WORKDAY($AA615,CHOOSE($Z615,3,3,2,2,3),Holidays))</f>
        <v/>
      </c>
      <c r="AC615" s="17">
        <f>IF(OR($Z615="",$Z615=6),"",CHOOSE($Z615,"1st Email Follow-up","2nd Email Follow-up","Escalate Local Office","Escalate to CBE","Escalate to Roxanne"))</f>
        <v/>
      </c>
    </row>
    <row r="616" spans="13:29">
      <c r="M616" s="14"/>
      <c r="T616" s="16"/>
      <c r="U616" s="17">
        <f>IF(AND(COUNTA($A616:$L616)=0,$N616=""),"",IF($T616="Paid","PAID",IF($T616="Closed","CLOSED",IF($Z616="","",IF($Z616=6,"ESCALATED TO ROXANNE",IF(TODAY()&gt;$AB616,"OVERDUE",IF($AB616&lt;=WORKDAY(TODAY(),1,Holidays),"DUE TOMORROW",IF($Z616=4,"ESCALATED TO LOCAL OFFICE",IF($Z616=5,"ESCALATED TO CBE",IF($AA616=TODAY(),"EMAIL SENT","MONITORING"))))))))))</f>
        <v/>
      </c>
      <c r="V616" s="17">
        <f>IF($U616="",IF(AND(COUNTA($A616:$L616)&gt;0,$N616=""),"Awaiting Collection Email time stamp.",""),IF(OR($U616="PAID",$U616="CLOSED"),IF($U616="PAID","Account paid. Action completed.","Account closed. No further action required."),CHOOSE($Z616,"Collection Email","1st Email Follow-up","2nd Email Follow-up","Escalation to Local Office","Escalation to CBE","Escalation to Roxanne")&amp;" sent "&amp;TEXT($AA616,"dd-mmm")&amp;". "&amp;IF($Z616=6,"Final escalation completed.",IF($U616="OVERDUE","Next: "&amp;$AC616&amp;" was due "&amp;TEXT($AB616,"dd-mmm")&amp;" - "&amp;(NETWORKDAYS($AB616,TODAY(),Holidays)-1)&amp;" business day(s) late. Send now.",IF($U616="DUE TOMORROW","Next: "&amp;$AC616&amp;IF($AB616&lt;=TODAY()," is due TODAY ("," is due next business day (")&amp;TEXT($AB616,"dd-mmm")&amp;").","Next: "&amp;$AC616&amp;" due "&amp;TEXT($AB616,"dd-mmm")&amp;" ("&amp;(NETWORKDAYS(TODAY(),$AB616,Holidays)-1)&amp;" business day(s) left).")))))</f>
        <v/>
      </c>
      <c r="W616" s="17">
        <f>IF($Z616="","",CHOOSE($Z616,"Collection Email","1st Follow-up","2nd Follow-up","Local Office","CBE","Roxanne")&amp;IF($Z616=6," - Final"," - Day "&amp;MAX(0,NETWORKDAYS($AA616,TODAY(),Holidays)-1)&amp;" of "&amp;CHOOSE($Z616,3,3,2,2,3))&amp;" | Total Day "&amp;MAX(0,NETWORKDAYS($N616,TODAY(),Holidays)-1))</f>
        <v/>
      </c>
      <c r="X616" s="18"/>
      <c r="Y616" s="18"/>
      <c r="Z616" s="17">
        <f>IF($N616="","",COUNT($N616:$S616))</f>
        <v/>
      </c>
      <c r="AA616" s="19">
        <f>IF($Z616="","",INT(INDEX($N616:$S616,$Z616)))</f>
        <v/>
      </c>
      <c r="AB616" s="19">
        <f>IF(OR($Z616="",$Z616=6),"",WORKDAY($AA616,CHOOSE($Z616,3,3,2,2,3),Holidays))</f>
        <v/>
      </c>
      <c r="AC616" s="17">
        <f>IF(OR($Z616="",$Z616=6),"",CHOOSE($Z616,"1st Email Follow-up","2nd Email Follow-up","Escalate Local Office","Escalate to CBE","Escalate to Roxanne"))</f>
        <v/>
      </c>
    </row>
    <row r="617" spans="13:29">
      <c r="M617" s="14"/>
      <c r="T617" s="16"/>
      <c r="U617" s="17">
        <f>IF(AND(COUNTA($A617:$L617)=0,$N617=""),"",IF($T617="Paid","PAID",IF($T617="Closed","CLOSED",IF($Z617="","",IF($Z617=6,"ESCALATED TO ROXANNE",IF(TODAY()&gt;$AB617,"OVERDUE",IF($AB617&lt;=WORKDAY(TODAY(),1,Holidays),"DUE TOMORROW",IF($Z617=4,"ESCALATED TO LOCAL OFFICE",IF($Z617=5,"ESCALATED TO CBE",IF($AA617=TODAY(),"EMAIL SENT","MONITORING"))))))))))</f>
        <v/>
      </c>
      <c r="V617" s="17">
        <f>IF($U617="",IF(AND(COUNTA($A617:$L617)&gt;0,$N617=""),"Awaiting Collection Email time stamp.",""),IF(OR($U617="PAID",$U617="CLOSED"),IF($U617="PAID","Account paid. Action completed.","Account closed. No further action required."),CHOOSE($Z617,"Collection Email","1st Email Follow-up","2nd Email Follow-up","Escalation to Local Office","Escalation to CBE","Escalation to Roxanne")&amp;" sent "&amp;TEXT($AA617,"dd-mmm")&amp;". "&amp;IF($Z617=6,"Final escalation completed.",IF($U617="OVERDUE","Next: "&amp;$AC617&amp;" was due "&amp;TEXT($AB617,"dd-mmm")&amp;" - "&amp;(NETWORKDAYS($AB617,TODAY(),Holidays)-1)&amp;" business day(s) late. Send now.",IF($U617="DUE TOMORROW","Next: "&amp;$AC617&amp;IF($AB617&lt;=TODAY()," is due TODAY ("," is due next business day (")&amp;TEXT($AB617,"dd-mmm")&amp;").","Next: "&amp;$AC617&amp;" due "&amp;TEXT($AB617,"dd-mmm")&amp;" ("&amp;(NETWORKDAYS(TODAY(),$AB617,Holidays)-1)&amp;" business day(s) left).")))))</f>
        <v/>
      </c>
      <c r="W617" s="17">
        <f>IF($Z617="","",CHOOSE($Z617,"Collection Email","1st Follow-up","2nd Follow-up","Local Office","CBE","Roxanne")&amp;IF($Z617=6," - Final"," - Day "&amp;MAX(0,NETWORKDAYS($AA617,TODAY(),Holidays)-1)&amp;" of "&amp;CHOOSE($Z617,3,3,2,2,3))&amp;" | Total Day "&amp;MAX(0,NETWORKDAYS($N617,TODAY(),Holidays)-1))</f>
        <v/>
      </c>
      <c r="X617" s="18"/>
      <c r="Y617" s="18"/>
      <c r="Z617" s="17">
        <f>IF($N617="","",COUNT($N617:$S617))</f>
        <v/>
      </c>
      <c r="AA617" s="19">
        <f>IF($Z617="","",INT(INDEX($N617:$S617,$Z617)))</f>
        <v/>
      </c>
      <c r="AB617" s="19">
        <f>IF(OR($Z617="",$Z617=6),"",WORKDAY($AA617,CHOOSE($Z617,3,3,2,2,3),Holidays))</f>
        <v/>
      </c>
      <c r="AC617" s="17">
        <f>IF(OR($Z617="",$Z617=6),"",CHOOSE($Z617,"1st Email Follow-up","2nd Email Follow-up","Escalate Local Office","Escalate to CBE","Escalate to Roxanne"))</f>
        <v/>
      </c>
    </row>
    <row r="618" spans="13:29">
      <c r="M618" s="14"/>
      <c r="T618" s="16"/>
      <c r="U618" s="17">
        <f>IF(AND(COUNTA($A618:$L618)=0,$N618=""),"",IF($T618="Paid","PAID",IF($T618="Closed","CLOSED",IF($Z618="","",IF($Z618=6,"ESCALATED TO ROXANNE",IF(TODAY()&gt;$AB618,"OVERDUE",IF($AB618&lt;=WORKDAY(TODAY(),1,Holidays),"DUE TOMORROW",IF($Z618=4,"ESCALATED TO LOCAL OFFICE",IF($Z618=5,"ESCALATED TO CBE",IF($AA618=TODAY(),"EMAIL SENT","MONITORING"))))))))))</f>
        <v/>
      </c>
      <c r="V618" s="17">
        <f>IF($U618="",IF(AND(COUNTA($A618:$L618)&gt;0,$N618=""),"Awaiting Collection Email time stamp.",""),IF(OR($U618="PAID",$U618="CLOSED"),IF($U618="PAID","Account paid. Action completed.","Account closed. No further action required."),CHOOSE($Z618,"Collection Email","1st Email Follow-up","2nd Email Follow-up","Escalation to Local Office","Escalation to CBE","Escalation to Roxanne")&amp;" sent "&amp;TEXT($AA618,"dd-mmm")&amp;". "&amp;IF($Z618=6,"Final escalation completed.",IF($U618="OVERDUE","Next: "&amp;$AC618&amp;" was due "&amp;TEXT($AB618,"dd-mmm")&amp;" - "&amp;(NETWORKDAYS($AB618,TODAY(),Holidays)-1)&amp;" business day(s) late. Send now.",IF($U618="DUE TOMORROW","Next: "&amp;$AC618&amp;IF($AB618&lt;=TODAY()," is due TODAY ("," is due next business day (")&amp;TEXT($AB618,"dd-mmm")&amp;").","Next: "&amp;$AC618&amp;" due "&amp;TEXT($AB618,"dd-mmm")&amp;" ("&amp;(NETWORKDAYS(TODAY(),$AB618,Holidays)-1)&amp;" business day(s) left).")))))</f>
        <v/>
      </c>
      <c r="W618" s="17">
        <f>IF($Z618="","",CHOOSE($Z618,"Collection Email","1st Follow-up","2nd Follow-up","Local Office","CBE","Roxanne")&amp;IF($Z618=6," - Final"," - Day "&amp;MAX(0,NETWORKDAYS($AA618,TODAY(),Holidays)-1)&amp;" of "&amp;CHOOSE($Z618,3,3,2,2,3))&amp;" | Total Day "&amp;MAX(0,NETWORKDAYS($N618,TODAY(),Holidays)-1))</f>
        <v/>
      </c>
      <c r="X618" s="18"/>
      <c r="Y618" s="18"/>
      <c r="Z618" s="17">
        <f>IF($N618="","",COUNT($N618:$S618))</f>
        <v/>
      </c>
      <c r="AA618" s="19">
        <f>IF($Z618="","",INT(INDEX($N618:$S618,$Z618)))</f>
        <v/>
      </c>
      <c r="AB618" s="19">
        <f>IF(OR($Z618="",$Z618=6),"",WORKDAY($AA618,CHOOSE($Z618,3,3,2,2,3),Holidays))</f>
        <v/>
      </c>
      <c r="AC618" s="17">
        <f>IF(OR($Z618="",$Z618=6),"",CHOOSE($Z618,"1st Email Follow-up","2nd Email Follow-up","Escalate Local Office","Escalate to CBE","Escalate to Roxanne"))</f>
        <v/>
      </c>
    </row>
    <row r="619" spans="13:29">
      <c r="M619" s="14"/>
      <c r="T619" s="16"/>
      <c r="U619" s="17">
        <f>IF(AND(COUNTA($A619:$L619)=0,$N619=""),"",IF($T619="Paid","PAID",IF($T619="Closed","CLOSED",IF($Z619="","",IF($Z619=6,"ESCALATED TO ROXANNE",IF(TODAY()&gt;$AB619,"OVERDUE",IF($AB619&lt;=WORKDAY(TODAY(),1,Holidays),"DUE TOMORROW",IF($Z619=4,"ESCALATED TO LOCAL OFFICE",IF($Z619=5,"ESCALATED TO CBE",IF($AA619=TODAY(),"EMAIL SENT","MONITORING"))))))))))</f>
        <v/>
      </c>
      <c r="V619" s="17">
        <f>IF($U619="",IF(AND(COUNTA($A619:$L619)&gt;0,$N619=""),"Awaiting Collection Email time stamp.",""),IF(OR($U619="PAID",$U619="CLOSED"),IF($U619="PAID","Account paid. Action completed.","Account closed. No further action required."),CHOOSE($Z619,"Collection Email","1st Email Follow-up","2nd Email Follow-up","Escalation to Local Office","Escalation to CBE","Escalation to Roxanne")&amp;" sent "&amp;TEXT($AA619,"dd-mmm")&amp;". "&amp;IF($Z619=6,"Final escalation completed.",IF($U619="OVERDUE","Next: "&amp;$AC619&amp;" was due "&amp;TEXT($AB619,"dd-mmm")&amp;" - "&amp;(NETWORKDAYS($AB619,TODAY(),Holidays)-1)&amp;" business day(s) late. Send now.",IF($U619="DUE TOMORROW","Next: "&amp;$AC619&amp;IF($AB619&lt;=TODAY()," is due TODAY ("," is due next business day (")&amp;TEXT($AB619,"dd-mmm")&amp;").","Next: "&amp;$AC619&amp;" due "&amp;TEXT($AB619,"dd-mmm")&amp;" ("&amp;(NETWORKDAYS(TODAY(),$AB619,Holidays)-1)&amp;" business day(s) left).")))))</f>
        <v/>
      </c>
      <c r="W619" s="17">
        <f>IF($Z619="","",CHOOSE($Z619,"Collection Email","1st Follow-up","2nd Follow-up","Local Office","CBE","Roxanne")&amp;IF($Z619=6," - Final"," - Day "&amp;MAX(0,NETWORKDAYS($AA619,TODAY(),Holidays)-1)&amp;" of "&amp;CHOOSE($Z619,3,3,2,2,3))&amp;" | Total Day "&amp;MAX(0,NETWORKDAYS($N619,TODAY(),Holidays)-1))</f>
        <v/>
      </c>
      <c r="X619" s="18"/>
      <c r="Y619" s="18"/>
      <c r="Z619" s="17">
        <f>IF($N619="","",COUNT($N619:$S619))</f>
        <v/>
      </c>
      <c r="AA619" s="19">
        <f>IF($Z619="","",INT(INDEX($N619:$S619,$Z619)))</f>
        <v/>
      </c>
      <c r="AB619" s="19">
        <f>IF(OR($Z619="",$Z619=6),"",WORKDAY($AA619,CHOOSE($Z619,3,3,2,2,3),Holidays))</f>
        <v/>
      </c>
      <c r="AC619" s="17">
        <f>IF(OR($Z619="",$Z619=6),"",CHOOSE($Z619,"1st Email Follow-up","2nd Email Follow-up","Escalate Local Office","Escalate to CBE","Escalate to Roxanne"))</f>
        <v/>
      </c>
    </row>
    <row r="620" spans="13:29">
      <c r="M620" s="14"/>
      <c r="T620" s="16"/>
      <c r="U620" s="17">
        <f>IF(AND(COUNTA($A620:$L620)=0,$N620=""),"",IF($T620="Paid","PAID",IF($T620="Closed","CLOSED",IF($Z620="","",IF($Z620=6,"ESCALATED TO ROXANNE",IF(TODAY()&gt;$AB620,"OVERDUE",IF($AB620&lt;=WORKDAY(TODAY(),1,Holidays),"DUE TOMORROW",IF($Z620=4,"ESCALATED TO LOCAL OFFICE",IF($Z620=5,"ESCALATED TO CBE",IF($AA620=TODAY(),"EMAIL SENT","MONITORING"))))))))))</f>
        <v/>
      </c>
      <c r="V620" s="17">
        <f>IF($U620="",IF(AND(COUNTA($A620:$L620)&gt;0,$N620=""),"Awaiting Collection Email time stamp.",""),IF(OR($U620="PAID",$U620="CLOSED"),IF($U620="PAID","Account paid. Action completed.","Account closed. No further action required."),CHOOSE($Z620,"Collection Email","1st Email Follow-up","2nd Email Follow-up","Escalation to Local Office","Escalation to CBE","Escalation to Roxanne")&amp;" sent "&amp;TEXT($AA620,"dd-mmm")&amp;". "&amp;IF($Z620=6,"Final escalation completed.",IF($U620="OVERDUE","Next: "&amp;$AC620&amp;" was due "&amp;TEXT($AB620,"dd-mmm")&amp;" - "&amp;(NETWORKDAYS($AB620,TODAY(),Holidays)-1)&amp;" business day(s) late. Send now.",IF($U620="DUE TOMORROW","Next: "&amp;$AC620&amp;IF($AB620&lt;=TODAY()," is due TODAY ("," is due next business day (")&amp;TEXT($AB620,"dd-mmm")&amp;").","Next: "&amp;$AC620&amp;" due "&amp;TEXT($AB620,"dd-mmm")&amp;" ("&amp;(NETWORKDAYS(TODAY(),$AB620,Holidays)-1)&amp;" business day(s) left).")))))</f>
        <v/>
      </c>
      <c r="W620" s="17">
        <f>IF($Z620="","",CHOOSE($Z620,"Collection Email","1st Follow-up","2nd Follow-up","Local Office","CBE","Roxanne")&amp;IF($Z620=6," - Final"," - Day "&amp;MAX(0,NETWORKDAYS($AA620,TODAY(),Holidays)-1)&amp;" of "&amp;CHOOSE($Z620,3,3,2,2,3))&amp;" | Total Day "&amp;MAX(0,NETWORKDAYS($N620,TODAY(),Holidays)-1))</f>
        <v/>
      </c>
      <c r="X620" s="18"/>
      <c r="Y620" s="18"/>
      <c r="Z620" s="17">
        <f>IF($N620="","",COUNT($N620:$S620))</f>
        <v/>
      </c>
      <c r="AA620" s="19">
        <f>IF($Z620="","",INT(INDEX($N620:$S620,$Z620)))</f>
        <v/>
      </c>
      <c r="AB620" s="19">
        <f>IF(OR($Z620="",$Z620=6),"",WORKDAY($AA620,CHOOSE($Z620,3,3,2,2,3),Holidays))</f>
        <v/>
      </c>
      <c r="AC620" s="17">
        <f>IF(OR($Z620="",$Z620=6),"",CHOOSE($Z620,"1st Email Follow-up","2nd Email Follow-up","Escalate Local Office","Escalate to CBE","Escalate to Roxanne"))</f>
        <v/>
      </c>
    </row>
    <row r="621" spans="13:29">
      <c r="M621" s="14"/>
      <c r="T621" s="16"/>
      <c r="U621" s="17">
        <f>IF(AND(COUNTA($A621:$L621)=0,$N621=""),"",IF($T621="Paid","PAID",IF($T621="Closed","CLOSED",IF($Z621="","",IF($Z621=6,"ESCALATED TO ROXANNE",IF(TODAY()&gt;$AB621,"OVERDUE",IF($AB621&lt;=WORKDAY(TODAY(),1,Holidays),"DUE TOMORROW",IF($Z621=4,"ESCALATED TO LOCAL OFFICE",IF($Z621=5,"ESCALATED TO CBE",IF($AA621=TODAY(),"EMAIL SENT","MONITORING"))))))))))</f>
        <v/>
      </c>
      <c r="V621" s="17">
        <f>IF($U621="",IF(AND(COUNTA($A621:$L621)&gt;0,$N621=""),"Awaiting Collection Email time stamp.",""),IF(OR($U621="PAID",$U621="CLOSED"),IF($U621="PAID","Account paid. Action completed.","Account closed. No further action required."),CHOOSE($Z621,"Collection Email","1st Email Follow-up","2nd Email Follow-up","Escalation to Local Office","Escalation to CBE","Escalation to Roxanne")&amp;" sent "&amp;TEXT($AA621,"dd-mmm")&amp;". "&amp;IF($Z621=6,"Final escalation completed.",IF($U621="OVERDUE","Next: "&amp;$AC621&amp;" was due "&amp;TEXT($AB621,"dd-mmm")&amp;" - "&amp;(NETWORKDAYS($AB621,TODAY(),Holidays)-1)&amp;" business day(s) late. Send now.",IF($U621="DUE TOMORROW","Next: "&amp;$AC621&amp;IF($AB621&lt;=TODAY()," is due TODAY ("," is due next business day (")&amp;TEXT($AB621,"dd-mmm")&amp;").","Next: "&amp;$AC621&amp;" due "&amp;TEXT($AB621,"dd-mmm")&amp;" ("&amp;(NETWORKDAYS(TODAY(),$AB621,Holidays)-1)&amp;" business day(s) left).")))))</f>
        <v/>
      </c>
      <c r="W621" s="17">
        <f>IF($Z621="","",CHOOSE($Z621,"Collection Email","1st Follow-up","2nd Follow-up","Local Office","CBE","Roxanne")&amp;IF($Z621=6," - Final"," - Day "&amp;MAX(0,NETWORKDAYS($AA621,TODAY(),Holidays)-1)&amp;" of "&amp;CHOOSE($Z621,3,3,2,2,3))&amp;" | Total Day "&amp;MAX(0,NETWORKDAYS($N621,TODAY(),Holidays)-1))</f>
        <v/>
      </c>
      <c r="X621" s="18"/>
      <c r="Y621" s="18"/>
      <c r="Z621" s="17">
        <f>IF($N621="","",COUNT($N621:$S621))</f>
        <v/>
      </c>
      <c r="AA621" s="19">
        <f>IF($Z621="","",INT(INDEX($N621:$S621,$Z621)))</f>
        <v/>
      </c>
      <c r="AB621" s="19">
        <f>IF(OR($Z621="",$Z621=6),"",WORKDAY($AA621,CHOOSE($Z621,3,3,2,2,3),Holidays))</f>
        <v/>
      </c>
      <c r="AC621" s="17">
        <f>IF(OR($Z621="",$Z621=6),"",CHOOSE($Z621,"1st Email Follow-up","2nd Email Follow-up","Escalate Local Office","Escalate to CBE","Escalate to Roxanne"))</f>
        <v/>
      </c>
    </row>
    <row r="622" spans="13:29">
      <c r="M622" s="14"/>
      <c r="T622" s="16"/>
      <c r="U622" s="17">
        <f>IF(AND(COUNTA($A622:$L622)=0,$N622=""),"",IF($T622="Paid","PAID",IF($T622="Closed","CLOSED",IF($Z622="","",IF($Z622=6,"ESCALATED TO ROXANNE",IF(TODAY()&gt;$AB622,"OVERDUE",IF($AB622&lt;=WORKDAY(TODAY(),1,Holidays),"DUE TOMORROW",IF($Z622=4,"ESCALATED TO LOCAL OFFICE",IF($Z622=5,"ESCALATED TO CBE",IF($AA622=TODAY(),"EMAIL SENT","MONITORING"))))))))))</f>
        <v/>
      </c>
      <c r="V622" s="17">
        <f>IF($U622="",IF(AND(COUNTA($A622:$L622)&gt;0,$N622=""),"Awaiting Collection Email time stamp.",""),IF(OR($U622="PAID",$U622="CLOSED"),IF($U622="PAID","Account paid. Action completed.","Account closed. No further action required."),CHOOSE($Z622,"Collection Email","1st Email Follow-up","2nd Email Follow-up","Escalation to Local Office","Escalation to CBE","Escalation to Roxanne")&amp;" sent "&amp;TEXT($AA622,"dd-mmm")&amp;". "&amp;IF($Z622=6,"Final escalation completed.",IF($U622="OVERDUE","Next: "&amp;$AC622&amp;" was due "&amp;TEXT($AB622,"dd-mmm")&amp;" - "&amp;(NETWORKDAYS($AB622,TODAY(),Holidays)-1)&amp;" business day(s) late. Send now.",IF($U622="DUE TOMORROW","Next: "&amp;$AC622&amp;IF($AB622&lt;=TODAY()," is due TODAY ("," is due next business day (")&amp;TEXT($AB622,"dd-mmm")&amp;").","Next: "&amp;$AC622&amp;" due "&amp;TEXT($AB622,"dd-mmm")&amp;" ("&amp;(NETWORKDAYS(TODAY(),$AB622,Holidays)-1)&amp;" business day(s) left).")))))</f>
        <v/>
      </c>
      <c r="W622" s="17">
        <f>IF($Z622="","",CHOOSE($Z622,"Collection Email","1st Follow-up","2nd Follow-up","Local Office","CBE","Roxanne")&amp;IF($Z622=6," - Final"," - Day "&amp;MAX(0,NETWORKDAYS($AA622,TODAY(),Holidays)-1)&amp;" of "&amp;CHOOSE($Z622,3,3,2,2,3))&amp;" | Total Day "&amp;MAX(0,NETWORKDAYS($N622,TODAY(),Holidays)-1))</f>
        <v/>
      </c>
      <c r="X622" s="18"/>
      <c r="Y622" s="18"/>
      <c r="Z622" s="17">
        <f>IF($N622="","",COUNT($N622:$S622))</f>
        <v/>
      </c>
      <c r="AA622" s="19">
        <f>IF($Z622="","",INT(INDEX($N622:$S622,$Z622)))</f>
        <v/>
      </c>
      <c r="AB622" s="19">
        <f>IF(OR($Z622="",$Z622=6),"",WORKDAY($AA622,CHOOSE($Z622,3,3,2,2,3),Holidays))</f>
        <v/>
      </c>
      <c r="AC622" s="17">
        <f>IF(OR($Z622="",$Z622=6),"",CHOOSE($Z622,"1st Email Follow-up","2nd Email Follow-up","Escalate Local Office","Escalate to CBE","Escalate to Roxanne"))</f>
        <v/>
      </c>
    </row>
    <row r="623" spans="13:29">
      <c r="M623" s="14"/>
      <c r="T623" s="16"/>
      <c r="U623" s="17">
        <f>IF(AND(COUNTA($A623:$L623)=0,$N623=""),"",IF($T623="Paid","PAID",IF($T623="Closed","CLOSED",IF($Z623="","",IF($Z623=6,"ESCALATED TO ROXANNE",IF(TODAY()&gt;$AB623,"OVERDUE",IF($AB623&lt;=WORKDAY(TODAY(),1,Holidays),"DUE TOMORROW",IF($Z623=4,"ESCALATED TO LOCAL OFFICE",IF($Z623=5,"ESCALATED TO CBE",IF($AA623=TODAY(),"EMAIL SENT","MONITORING"))))))))))</f>
        <v/>
      </c>
      <c r="V623" s="17">
        <f>IF($U623="",IF(AND(COUNTA($A623:$L623)&gt;0,$N623=""),"Awaiting Collection Email time stamp.",""),IF(OR($U623="PAID",$U623="CLOSED"),IF($U623="PAID","Account paid. Action completed.","Account closed. No further action required."),CHOOSE($Z623,"Collection Email","1st Email Follow-up","2nd Email Follow-up","Escalation to Local Office","Escalation to CBE","Escalation to Roxanne")&amp;" sent "&amp;TEXT($AA623,"dd-mmm")&amp;". "&amp;IF($Z623=6,"Final escalation completed.",IF($U623="OVERDUE","Next: "&amp;$AC623&amp;" was due "&amp;TEXT($AB623,"dd-mmm")&amp;" - "&amp;(NETWORKDAYS($AB623,TODAY(),Holidays)-1)&amp;" business day(s) late. Send now.",IF($U623="DUE TOMORROW","Next: "&amp;$AC623&amp;IF($AB623&lt;=TODAY()," is due TODAY ("," is due next business day (")&amp;TEXT($AB623,"dd-mmm")&amp;").","Next: "&amp;$AC623&amp;" due "&amp;TEXT($AB623,"dd-mmm")&amp;" ("&amp;(NETWORKDAYS(TODAY(),$AB623,Holidays)-1)&amp;" business day(s) left).")))))</f>
        <v/>
      </c>
      <c r="W623" s="17">
        <f>IF($Z623="","",CHOOSE($Z623,"Collection Email","1st Follow-up","2nd Follow-up","Local Office","CBE","Roxanne")&amp;IF($Z623=6," - Final"," - Day "&amp;MAX(0,NETWORKDAYS($AA623,TODAY(),Holidays)-1)&amp;" of "&amp;CHOOSE($Z623,3,3,2,2,3))&amp;" | Total Day "&amp;MAX(0,NETWORKDAYS($N623,TODAY(),Holidays)-1))</f>
        <v/>
      </c>
      <c r="X623" s="18"/>
      <c r="Y623" s="18"/>
      <c r="Z623" s="17">
        <f>IF($N623="","",COUNT($N623:$S623))</f>
        <v/>
      </c>
      <c r="AA623" s="19">
        <f>IF($Z623="","",INT(INDEX($N623:$S623,$Z623)))</f>
        <v/>
      </c>
      <c r="AB623" s="19">
        <f>IF(OR($Z623="",$Z623=6),"",WORKDAY($AA623,CHOOSE($Z623,3,3,2,2,3),Holidays))</f>
        <v/>
      </c>
      <c r="AC623" s="17">
        <f>IF(OR($Z623="",$Z623=6),"",CHOOSE($Z623,"1st Email Follow-up","2nd Email Follow-up","Escalate Local Office","Escalate to CBE","Escalate to Roxanne"))</f>
        <v/>
      </c>
    </row>
    <row r="624" spans="13:29">
      <c r="M624" s="14"/>
      <c r="T624" s="16"/>
      <c r="U624" s="17">
        <f>IF(AND(COUNTA($A624:$L624)=0,$N624=""),"",IF($T624="Paid","PAID",IF($T624="Closed","CLOSED",IF($Z624="","",IF($Z624=6,"ESCALATED TO ROXANNE",IF(TODAY()&gt;$AB624,"OVERDUE",IF($AB624&lt;=WORKDAY(TODAY(),1,Holidays),"DUE TOMORROW",IF($Z624=4,"ESCALATED TO LOCAL OFFICE",IF($Z624=5,"ESCALATED TO CBE",IF($AA624=TODAY(),"EMAIL SENT","MONITORING"))))))))))</f>
        <v/>
      </c>
      <c r="V624" s="17">
        <f>IF($U624="",IF(AND(COUNTA($A624:$L624)&gt;0,$N624=""),"Awaiting Collection Email time stamp.",""),IF(OR($U624="PAID",$U624="CLOSED"),IF($U624="PAID","Account paid. Action completed.","Account closed. No further action required."),CHOOSE($Z624,"Collection Email","1st Email Follow-up","2nd Email Follow-up","Escalation to Local Office","Escalation to CBE","Escalation to Roxanne")&amp;" sent "&amp;TEXT($AA624,"dd-mmm")&amp;". "&amp;IF($Z624=6,"Final escalation completed.",IF($U624="OVERDUE","Next: "&amp;$AC624&amp;" was due "&amp;TEXT($AB624,"dd-mmm")&amp;" - "&amp;(NETWORKDAYS($AB624,TODAY(),Holidays)-1)&amp;" business day(s) late. Send now.",IF($U624="DUE TOMORROW","Next: "&amp;$AC624&amp;IF($AB624&lt;=TODAY()," is due TODAY ("," is due next business day (")&amp;TEXT($AB624,"dd-mmm")&amp;").","Next: "&amp;$AC624&amp;" due "&amp;TEXT($AB624,"dd-mmm")&amp;" ("&amp;(NETWORKDAYS(TODAY(),$AB624,Holidays)-1)&amp;" business day(s) left).")))))</f>
        <v/>
      </c>
      <c r="W624" s="17">
        <f>IF($Z624="","",CHOOSE($Z624,"Collection Email","1st Follow-up","2nd Follow-up","Local Office","CBE","Roxanne")&amp;IF($Z624=6," - Final"," - Day "&amp;MAX(0,NETWORKDAYS($AA624,TODAY(),Holidays)-1)&amp;" of "&amp;CHOOSE($Z624,3,3,2,2,3))&amp;" | Total Day "&amp;MAX(0,NETWORKDAYS($N624,TODAY(),Holidays)-1))</f>
        <v/>
      </c>
      <c r="X624" s="18"/>
      <c r="Y624" s="18"/>
      <c r="Z624" s="17">
        <f>IF($N624="","",COUNT($N624:$S624))</f>
        <v/>
      </c>
      <c r="AA624" s="19">
        <f>IF($Z624="","",INT(INDEX($N624:$S624,$Z624)))</f>
        <v/>
      </c>
      <c r="AB624" s="19">
        <f>IF(OR($Z624="",$Z624=6),"",WORKDAY($AA624,CHOOSE($Z624,3,3,2,2,3),Holidays))</f>
        <v/>
      </c>
      <c r="AC624" s="17">
        <f>IF(OR($Z624="",$Z624=6),"",CHOOSE($Z624,"1st Email Follow-up","2nd Email Follow-up","Escalate Local Office","Escalate to CBE","Escalate to Roxanne"))</f>
        <v/>
      </c>
    </row>
    <row r="625" spans="13:29">
      <c r="M625" s="14"/>
      <c r="T625" s="16"/>
      <c r="U625" s="17">
        <f>IF(AND(COUNTA($A625:$L625)=0,$N625=""),"",IF($T625="Paid","PAID",IF($T625="Closed","CLOSED",IF($Z625="","",IF($Z625=6,"ESCALATED TO ROXANNE",IF(TODAY()&gt;$AB625,"OVERDUE",IF($AB625&lt;=WORKDAY(TODAY(),1,Holidays),"DUE TOMORROW",IF($Z625=4,"ESCALATED TO LOCAL OFFICE",IF($Z625=5,"ESCALATED TO CBE",IF($AA625=TODAY(),"EMAIL SENT","MONITORING"))))))))))</f>
        <v/>
      </c>
      <c r="V625" s="17">
        <f>IF($U625="",IF(AND(COUNTA($A625:$L625)&gt;0,$N625=""),"Awaiting Collection Email time stamp.",""),IF(OR($U625="PAID",$U625="CLOSED"),IF($U625="PAID","Account paid. Action completed.","Account closed. No further action required."),CHOOSE($Z625,"Collection Email","1st Email Follow-up","2nd Email Follow-up","Escalation to Local Office","Escalation to CBE","Escalation to Roxanne")&amp;" sent "&amp;TEXT($AA625,"dd-mmm")&amp;". "&amp;IF($Z625=6,"Final escalation completed.",IF($U625="OVERDUE","Next: "&amp;$AC625&amp;" was due "&amp;TEXT($AB625,"dd-mmm")&amp;" - "&amp;(NETWORKDAYS($AB625,TODAY(),Holidays)-1)&amp;" business day(s) late. Send now.",IF($U625="DUE TOMORROW","Next: "&amp;$AC625&amp;IF($AB625&lt;=TODAY()," is due TODAY ("," is due next business day (")&amp;TEXT($AB625,"dd-mmm")&amp;").","Next: "&amp;$AC625&amp;" due "&amp;TEXT($AB625,"dd-mmm")&amp;" ("&amp;(NETWORKDAYS(TODAY(),$AB625,Holidays)-1)&amp;" business day(s) left).")))))</f>
        <v/>
      </c>
      <c r="W625" s="17">
        <f>IF($Z625="","",CHOOSE($Z625,"Collection Email","1st Follow-up","2nd Follow-up","Local Office","CBE","Roxanne")&amp;IF($Z625=6," - Final"," - Day "&amp;MAX(0,NETWORKDAYS($AA625,TODAY(),Holidays)-1)&amp;" of "&amp;CHOOSE($Z625,3,3,2,2,3))&amp;" | Total Day "&amp;MAX(0,NETWORKDAYS($N625,TODAY(),Holidays)-1))</f>
        <v/>
      </c>
      <c r="X625" s="18"/>
      <c r="Y625" s="18"/>
      <c r="Z625" s="17">
        <f>IF($N625="","",COUNT($N625:$S625))</f>
        <v/>
      </c>
      <c r="AA625" s="19">
        <f>IF($Z625="","",INT(INDEX($N625:$S625,$Z625)))</f>
        <v/>
      </c>
      <c r="AB625" s="19">
        <f>IF(OR($Z625="",$Z625=6),"",WORKDAY($AA625,CHOOSE($Z625,3,3,2,2,3),Holidays))</f>
        <v/>
      </c>
      <c r="AC625" s="17">
        <f>IF(OR($Z625="",$Z625=6),"",CHOOSE($Z625,"1st Email Follow-up","2nd Email Follow-up","Escalate Local Office","Escalate to CBE","Escalate to Roxanne"))</f>
        <v/>
      </c>
    </row>
    <row r="626" spans="13:29">
      <c r="M626" s="14"/>
      <c r="T626" s="16"/>
      <c r="U626" s="17">
        <f>IF(AND(COUNTA($A626:$L626)=0,$N626=""),"",IF($T626="Paid","PAID",IF($T626="Closed","CLOSED",IF($Z626="","",IF($Z626=6,"ESCALATED TO ROXANNE",IF(TODAY()&gt;$AB626,"OVERDUE",IF($AB626&lt;=WORKDAY(TODAY(),1,Holidays),"DUE TOMORROW",IF($Z626=4,"ESCALATED TO LOCAL OFFICE",IF($Z626=5,"ESCALATED TO CBE",IF($AA626=TODAY(),"EMAIL SENT","MONITORING"))))))))))</f>
        <v/>
      </c>
      <c r="V626" s="17">
        <f>IF($U626="",IF(AND(COUNTA($A626:$L626)&gt;0,$N626=""),"Awaiting Collection Email time stamp.",""),IF(OR($U626="PAID",$U626="CLOSED"),IF($U626="PAID","Account paid. Action completed.","Account closed. No further action required."),CHOOSE($Z626,"Collection Email","1st Email Follow-up","2nd Email Follow-up","Escalation to Local Office","Escalation to CBE","Escalation to Roxanne")&amp;" sent "&amp;TEXT($AA626,"dd-mmm")&amp;". "&amp;IF($Z626=6,"Final escalation completed.",IF($U626="OVERDUE","Next: "&amp;$AC626&amp;" was due "&amp;TEXT($AB626,"dd-mmm")&amp;" - "&amp;(NETWORKDAYS($AB626,TODAY(),Holidays)-1)&amp;" business day(s) late. Send now.",IF($U626="DUE TOMORROW","Next: "&amp;$AC626&amp;IF($AB626&lt;=TODAY()," is due TODAY ("," is due next business day (")&amp;TEXT($AB626,"dd-mmm")&amp;").","Next: "&amp;$AC626&amp;" due "&amp;TEXT($AB626,"dd-mmm")&amp;" ("&amp;(NETWORKDAYS(TODAY(),$AB626,Holidays)-1)&amp;" business day(s) left).")))))</f>
        <v/>
      </c>
      <c r="W626" s="17">
        <f>IF($Z626="","",CHOOSE($Z626,"Collection Email","1st Follow-up","2nd Follow-up","Local Office","CBE","Roxanne")&amp;IF($Z626=6," - Final"," - Day "&amp;MAX(0,NETWORKDAYS($AA626,TODAY(),Holidays)-1)&amp;" of "&amp;CHOOSE($Z626,3,3,2,2,3))&amp;" | Total Day "&amp;MAX(0,NETWORKDAYS($N626,TODAY(),Holidays)-1))</f>
        <v/>
      </c>
      <c r="X626" s="18"/>
      <c r="Y626" s="18"/>
      <c r="Z626" s="17">
        <f>IF($N626="","",COUNT($N626:$S626))</f>
        <v/>
      </c>
      <c r="AA626" s="19">
        <f>IF($Z626="","",INT(INDEX($N626:$S626,$Z626)))</f>
        <v/>
      </c>
      <c r="AB626" s="19">
        <f>IF(OR($Z626="",$Z626=6),"",WORKDAY($AA626,CHOOSE($Z626,3,3,2,2,3),Holidays))</f>
        <v/>
      </c>
      <c r="AC626" s="17">
        <f>IF(OR($Z626="",$Z626=6),"",CHOOSE($Z626,"1st Email Follow-up","2nd Email Follow-up","Escalate Local Office","Escalate to CBE","Escalate to Roxanne"))</f>
        <v/>
      </c>
    </row>
    <row r="627" spans="13:29">
      <c r="M627" s="14"/>
      <c r="T627" s="16"/>
      <c r="U627" s="17">
        <f>IF(AND(COUNTA($A627:$L627)=0,$N627=""),"",IF($T627="Paid","PAID",IF($T627="Closed","CLOSED",IF($Z627="","",IF($Z627=6,"ESCALATED TO ROXANNE",IF(TODAY()&gt;$AB627,"OVERDUE",IF($AB627&lt;=WORKDAY(TODAY(),1,Holidays),"DUE TOMORROW",IF($Z627=4,"ESCALATED TO LOCAL OFFICE",IF($Z627=5,"ESCALATED TO CBE",IF($AA627=TODAY(),"EMAIL SENT","MONITORING"))))))))))</f>
        <v/>
      </c>
      <c r="V627" s="17">
        <f>IF($U627="",IF(AND(COUNTA($A627:$L627)&gt;0,$N627=""),"Awaiting Collection Email time stamp.",""),IF(OR($U627="PAID",$U627="CLOSED"),IF($U627="PAID","Account paid. Action completed.","Account closed. No further action required."),CHOOSE($Z627,"Collection Email","1st Email Follow-up","2nd Email Follow-up","Escalation to Local Office","Escalation to CBE","Escalation to Roxanne")&amp;" sent "&amp;TEXT($AA627,"dd-mmm")&amp;". "&amp;IF($Z627=6,"Final escalation completed.",IF($U627="OVERDUE","Next: "&amp;$AC627&amp;" was due "&amp;TEXT($AB627,"dd-mmm")&amp;" - "&amp;(NETWORKDAYS($AB627,TODAY(),Holidays)-1)&amp;" business day(s) late. Send now.",IF($U627="DUE TOMORROW","Next: "&amp;$AC627&amp;IF($AB627&lt;=TODAY()," is due TODAY ("," is due next business day (")&amp;TEXT($AB627,"dd-mmm")&amp;").","Next: "&amp;$AC627&amp;" due "&amp;TEXT($AB627,"dd-mmm")&amp;" ("&amp;(NETWORKDAYS(TODAY(),$AB627,Holidays)-1)&amp;" business day(s) left).")))))</f>
        <v/>
      </c>
      <c r="W627" s="17">
        <f>IF($Z627="","",CHOOSE($Z627,"Collection Email","1st Follow-up","2nd Follow-up","Local Office","CBE","Roxanne")&amp;IF($Z627=6," - Final"," - Day "&amp;MAX(0,NETWORKDAYS($AA627,TODAY(),Holidays)-1)&amp;" of "&amp;CHOOSE($Z627,3,3,2,2,3))&amp;" | Total Day "&amp;MAX(0,NETWORKDAYS($N627,TODAY(),Holidays)-1))</f>
        <v/>
      </c>
      <c r="X627" s="18"/>
      <c r="Y627" s="18"/>
      <c r="Z627" s="17">
        <f>IF($N627="","",COUNT($N627:$S627))</f>
        <v/>
      </c>
      <c r="AA627" s="19">
        <f>IF($Z627="","",INT(INDEX($N627:$S627,$Z627)))</f>
        <v/>
      </c>
      <c r="AB627" s="19">
        <f>IF(OR($Z627="",$Z627=6),"",WORKDAY($AA627,CHOOSE($Z627,3,3,2,2,3),Holidays))</f>
        <v/>
      </c>
      <c r="AC627" s="17">
        <f>IF(OR($Z627="",$Z627=6),"",CHOOSE($Z627,"1st Email Follow-up","2nd Email Follow-up","Escalate Local Office","Escalate to CBE","Escalate to Roxanne"))</f>
        <v/>
      </c>
    </row>
    <row r="628" spans="13:29">
      <c r="M628" s="14"/>
      <c r="T628" s="16"/>
      <c r="U628" s="17">
        <f>IF(AND(COUNTA($A628:$L628)=0,$N628=""),"",IF($T628="Paid","PAID",IF($T628="Closed","CLOSED",IF($Z628="","",IF($Z628=6,"ESCALATED TO ROXANNE",IF(TODAY()&gt;$AB628,"OVERDUE",IF($AB628&lt;=WORKDAY(TODAY(),1,Holidays),"DUE TOMORROW",IF($Z628=4,"ESCALATED TO LOCAL OFFICE",IF($Z628=5,"ESCALATED TO CBE",IF($AA628=TODAY(),"EMAIL SENT","MONITORING"))))))))))</f>
        <v/>
      </c>
      <c r="V628" s="17">
        <f>IF($U628="",IF(AND(COUNTA($A628:$L628)&gt;0,$N628=""),"Awaiting Collection Email time stamp.",""),IF(OR($U628="PAID",$U628="CLOSED"),IF($U628="PAID","Account paid. Action completed.","Account closed. No further action required."),CHOOSE($Z628,"Collection Email","1st Email Follow-up","2nd Email Follow-up","Escalation to Local Office","Escalation to CBE","Escalation to Roxanne")&amp;" sent "&amp;TEXT($AA628,"dd-mmm")&amp;". "&amp;IF($Z628=6,"Final escalation completed.",IF($U628="OVERDUE","Next: "&amp;$AC628&amp;" was due "&amp;TEXT($AB628,"dd-mmm")&amp;" - "&amp;(NETWORKDAYS($AB628,TODAY(),Holidays)-1)&amp;" business day(s) late. Send now.",IF($U628="DUE TOMORROW","Next: "&amp;$AC628&amp;IF($AB628&lt;=TODAY()," is due TODAY ("," is due next business day (")&amp;TEXT($AB628,"dd-mmm")&amp;").","Next: "&amp;$AC628&amp;" due "&amp;TEXT($AB628,"dd-mmm")&amp;" ("&amp;(NETWORKDAYS(TODAY(),$AB628,Holidays)-1)&amp;" business day(s) left).")))))</f>
        <v/>
      </c>
      <c r="W628" s="17">
        <f>IF($Z628="","",CHOOSE($Z628,"Collection Email","1st Follow-up","2nd Follow-up","Local Office","CBE","Roxanne")&amp;IF($Z628=6," - Final"," - Day "&amp;MAX(0,NETWORKDAYS($AA628,TODAY(),Holidays)-1)&amp;" of "&amp;CHOOSE($Z628,3,3,2,2,3))&amp;" | Total Day "&amp;MAX(0,NETWORKDAYS($N628,TODAY(),Holidays)-1))</f>
        <v/>
      </c>
      <c r="X628" s="18"/>
      <c r="Y628" s="18"/>
      <c r="Z628" s="17">
        <f>IF($N628="","",COUNT($N628:$S628))</f>
        <v/>
      </c>
      <c r="AA628" s="19">
        <f>IF($Z628="","",INT(INDEX($N628:$S628,$Z628)))</f>
        <v/>
      </c>
      <c r="AB628" s="19">
        <f>IF(OR($Z628="",$Z628=6),"",WORKDAY($AA628,CHOOSE($Z628,3,3,2,2,3),Holidays))</f>
        <v/>
      </c>
      <c r="AC628" s="17">
        <f>IF(OR($Z628="",$Z628=6),"",CHOOSE($Z628,"1st Email Follow-up","2nd Email Follow-up","Escalate Local Office","Escalate to CBE","Escalate to Roxanne"))</f>
        <v/>
      </c>
    </row>
    <row r="629" spans="13:29">
      <c r="M629" s="14"/>
      <c r="T629" s="16"/>
      <c r="U629" s="17">
        <f>IF(AND(COUNTA($A629:$L629)=0,$N629=""),"",IF($T629="Paid","PAID",IF($T629="Closed","CLOSED",IF($Z629="","",IF($Z629=6,"ESCALATED TO ROXANNE",IF(TODAY()&gt;$AB629,"OVERDUE",IF($AB629&lt;=WORKDAY(TODAY(),1,Holidays),"DUE TOMORROW",IF($Z629=4,"ESCALATED TO LOCAL OFFICE",IF($Z629=5,"ESCALATED TO CBE",IF($AA629=TODAY(),"EMAIL SENT","MONITORING"))))))))))</f>
        <v/>
      </c>
      <c r="V629" s="17">
        <f>IF($U629="",IF(AND(COUNTA($A629:$L629)&gt;0,$N629=""),"Awaiting Collection Email time stamp.",""),IF(OR($U629="PAID",$U629="CLOSED"),IF($U629="PAID","Account paid. Action completed.","Account closed. No further action required."),CHOOSE($Z629,"Collection Email","1st Email Follow-up","2nd Email Follow-up","Escalation to Local Office","Escalation to CBE","Escalation to Roxanne")&amp;" sent "&amp;TEXT($AA629,"dd-mmm")&amp;". "&amp;IF($Z629=6,"Final escalation completed.",IF($U629="OVERDUE","Next: "&amp;$AC629&amp;" was due "&amp;TEXT($AB629,"dd-mmm")&amp;" - "&amp;(NETWORKDAYS($AB629,TODAY(),Holidays)-1)&amp;" business day(s) late. Send now.",IF($U629="DUE TOMORROW","Next: "&amp;$AC629&amp;IF($AB629&lt;=TODAY()," is due TODAY ("," is due next business day (")&amp;TEXT($AB629,"dd-mmm")&amp;").","Next: "&amp;$AC629&amp;" due "&amp;TEXT($AB629,"dd-mmm")&amp;" ("&amp;(NETWORKDAYS(TODAY(),$AB629,Holidays)-1)&amp;" business day(s) left).")))))</f>
        <v/>
      </c>
      <c r="W629" s="17">
        <f>IF($Z629="","",CHOOSE($Z629,"Collection Email","1st Follow-up","2nd Follow-up","Local Office","CBE","Roxanne")&amp;IF($Z629=6," - Final"," - Day "&amp;MAX(0,NETWORKDAYS($AA629,TODAY(),Holidays)-1)&amp;" of "&amp;CHOOSE($Z629,3,3,2,2,3))&amp;" | Total Day "&amp;MAX(0,NETWORKDAYS($N629,TODAY(),Holidays)-1))</f>
        <v/>
      </c>
      <c r="X629" s="18"/>
      <c r="Y629" s="18"/>
      <c r="Z629" s="17">
        <f>IF($N629="","",COUNT($N629:$S629))</f>
        <v/>
      </c>
      <c r="AA629" s="19">
        <f>IF($Z629="","",INT(INDEX($N629:$S629,$Z629)))</f>
        <v/>
      </c>
      <c r="AB629" s="19">
        <f>IF(OR($Z629="",$Z629=6),"",WORKDAY($AA629,CHOOSE($Z629,3,3,2,2,3),Holidays))</f>
        <v/>
      </c>
      <c r="AC629" s="17">
        <f>IF(OR($Z629="",$Z629=6),"",CHOOSE($Z629,"1st Email Follow-up","2nd Email Follow-up","Escalate Local Office","Escalate to CBE","Escalate to Roxanne"))</f>
        <v/>
      </c>
    </row>
    <row r="630" spans="13:29">
      <c r="M630" s="14"/>
      <c r="T630" s="16"/>
      <c r="U630" s="17">
        <f>IF(AND(COUNTA($A630:$L630)=0,$N630=""),"",IF($T630="Paid","PAID",IF($T630="Closed","CLOSED",IF($Z630="","",IF($Z630=6,"ESCALATED TO ROXANNE",IF(TODAY()&gt;$AB630,"OVERDUE",IF($AB630&lt;=WORKDAY(TODAY(),1,Holidays),"DUE TOMORROW",IF($Z630=4,"ESCALATED TO LOCAL OFFICE",IF($Z630=5,"ESCALATED TO CBE",IF($AA630=TODAY(),"EMAIL SENT","MONITORING"))))))))))</f>
        <v/>
      </c>
      <c r="V630" s="17">
        <f>IF($U630="",IF(AND(COUNTA($A630:$L630)&gt;0,$N630=""),"Awaiting Collection Email time stamp.",""),IF(OR($U630="PAID",$U630="CLOSED"),IF($U630="PAID","Account paid. Action completed.","Account closed. No further action required."),CHOOSE($Z630,"Collection Email","1st Email Follow-up","2nd Email Follow-up","Escalation to Local Office","Escalation to CBE","Escalation to Roxanne")&amp;" sent "&amp;TEXT($AA630,"dd-mmm")&amp;". "&amp;IF($Z630=6,"Final escalation completed.",IF($U630="OVERDUE","Next: "&amp;$AC630&amp;" was due "&amp;TEXT($AB630,"dd-mmm")&amp;" - "&amp;(NETWORKDAYS($AB630,TODAY(),Holidays)-1)&amp;" business day(s) late. Send now.",IF($U630="DUE TOMORROW","Next: "&amp;$AC630&amp;IF($AB630&lt;=TODAY()," is due TODAY ("," is due next business day (")&amp;TEXT($AB630,"dd-mmm")&amp;").","Next: "&amp;$AC630&amp;" due "&amp;TEXT($AB630,"dd-mmm")&amp;" ("&amp;(NETWORKDAYS(TODAY(),$AB630,Holidays)-1)&amp;" business day(s) left).")))))</f>
        <v/>
      </c>
      <c r="W630" s="17">
        <f>IF($Z630="","",CHOOSE($Z630,"Collection Email","1st Follow-up","2nd Follow-up","Local Office","CBE","Roxanne")&amp;IF($Z630=6," - Final"," - Day "&amp;MAX(0,NETWORKDAYS($AA630,TODAY(),Holidays)-1)&amp;" of "&amp;CHOOSE($Z630,3,3,2,2,3))&amp;" | Total Day "&amp;MAX(0,NETWORKDAYS($N630,TODAY(),Holidays)-1))</f>
        <v/>
      </c>
      <c r="X630" s="18"/>
      <c r="Y630" s="18"/>
      <c r="Z630" s="17">
        <f>IF($N630="","",COUNT($N630:$S630))</f>
        <v/>
      </c>
      <c r="AA630" s="19">
        <f>IF($Z630="","",INT(INDEX($N630:$S630,$Z630)))</f>
        <v/>
      </c>
      <c r="AB630" s="19">
        <f>IF(OR($Z630="",$Z630=6),"",WORKDAY($AA630,CHOOSE($Z630,3,3,2,2,3),Holidays))</f>
        <v/>
      </c>
      <c r="AC630" s="17">
        <f>IF(OR($Z630="",$Z630=6),"",CHOOSE($Z630,"1st Email Follow-up","2nd Email Follow-up","Escalate Local Office","Escalate to CBE","Escalate to Roxanne"))</f>
        <v/>
      </c>
    </row>
    <row r="631" spans="13:29">
      <c r="M631" s="14"/>
      <c r="T631" s="16"/>
      <c r="U631" s="17">
        <f>IF(AND(COUNTA($A631:$L631)=0,$N631=""),"",IF($T631="Paid","PAID",IF($T631="Closed","CLOSED",IF($Z631="","",IF($Z631=6,"ESCALATED TO ROXANNE",IF(TODAY()&gt;$AB631,"OVERDUE",IF($AB631&lt;=WORKDAY(TODAY(),1,Holidays),"DUE TOMORROW",IF($Z631=4,"ESCALATED TO LOCAL OFFICE",IF($Z631=5,"ESCALATED TO CBE",IF($AA631=TODAY(),"EMAIL SENT","MONITORING"))))))))))</f>
        <v/>
      </c>
      <c r="V631" s="17">
        <f>IF($U631="",IF(AND(COUNTA($A631:$L631)&gt;0,$N631=""),"Awaiting Collection Email time stamp.",""),IF(OR($U631="PAID",$U631="CLOSED"),IF($U631="PAID","Account paid. Action completed.","Account closed. No further action required."),CHOOSE($Z631,"Collection Email","1st Email Follow-up","2nd Email Follow-up","Escalation to Local Office","Escalation to CBE","Escalation to Roxanne")&amp;" sent "&amp;TEXT($AA631,"dd-mmm")&amp;". "&amp;IF($Z631=6,"Final escalation completed.",IF($U631="OVERDUE","Next: "&amp;$AC631&amp;" was due "&amp;TEXT($AB631,"dd-mmm")&amp;" - "&amp;(NETWORKDAYS($AB631,TODAY(),Holidays)-1)&amp;" business day(s) late. Send now.",IF($U631="DUE TOMORROW","Next: "&amp;$AC631&amp;IF($AB631&lt;=TODAY()," is due TODAY ("," is due next business day (")&amp;TEXT($AB631,"dd-mmm")&amp;").","Next: "&amp;$AC631&amp;" due "&amp;TEXT($AB631,"dd-mmm")&amp;" ("&amp;(NETWORKDAYS(TODAY(),$AB631,Holidays)-1)&amp;" business day(s) left).")))))</f>
        <v/>
      </c>
      <c r="W631" s="17">
        <f>IF($Z631="","",CHOOSE($Z631,"Collection Email","1st Follow-up","2nd Follow-up","Local Office","CBE","Roxanne")&amp;IF($Z631=6," - Final"," - Day "&amp;MAX(0,NETWORKDAYS($AA631,TODAY(),Holidays)-1)&amp;" of "&amp;CHOOSE($Z631,3,3,2,2,3))&amp;" | Total Day "&amp;MAX(0,NETWORKDAYS($N631,TODAY(),Holidays)-1))</f>
        <v/>
      </c>
      <c r="X631" s="18"/>
      <c r="Y631" s="18"/>
      <c r="Z631" s="17">
        <f>IF($N631="","",COUNT($N631:$S631))</f>
        <v/>
      </c>
      <c r="AA631" s="19">
        <f>IF($Z631="","",INT(INDEX($N631:$S631,$Z631)))</f>
        <v/>
      </c>
      <c r="AB631" s="19">
        <f>IF(OR($Z631="",$Z631=6),"",WORKDAY($AA631,CHOOSE($Z631,3,3,2,2,3),Holidays))</f>
        <v/>
      </c>
      <c r="AC631" s="17">
        <f>IF(OR($Z631="",$Z631=6),"",CHOOSE($Z631,"1st Email Follow-up","2nd Email Follow-up","Escalate Local Office","Escalate to CBE","Escalate to Roxanne"))</f>
        <v/>
      </c>
    </row>
    <row r="632" spans="13:29">
      <c r="M632" s="14"/>
      <c r="T632" s="16"/>
      <c r="U632" s="17">
        <f>IF(AND(COUNTA($A632:$L632)=0,$N632=""),"",IF($T632="Paid","PAID",IF($T632="Closed","CLOSED",IF($Z632="","",IF($Z632=6,"ESCALATED TO ROXANNE",IF(TODAY()&gt;$AB632,"OVERDUE",IF($AB632&lt;=WORKDAY(TODAY(),1,Holidays),"DUE TOMORROW",IF($Z632=4,"ESCALATED TO LOCAL OFFICE",IF($Z632=5,"ESCALATED TO CBE",IF($AA632=TODAY(),"EMAIL SENT","MONITORING"))))))))))</f>
        <v/>
      </c>
      <c r="V632" s="17">
        <f>IF($U632="",IF(AND(COUNTA($A632:$L632)&gt;0,$N632=""),"Awaiting Collection Email time stamp.",""),IF(OR($U632="PAID",$U632="CLOSED"),IF($U632="PAID","Account paid. Action completed.","Account closed. No further action required."),CHOOSE($Z632,"Collection Email","1st Email Follow-up","2nd Email Follow-up","Escalation to Local Office","Escalation to CBE","Escalation to Roxanne")&amp;" sent "&amp;TEXT($AA632,"dd-mmm")&amp;". "&amp;IF($Z632=6,"Final escalation completed.",IF($U632="OVERDUE","Next: "&amp;$AC632&amp;" was due "&amp;TEXT($AB632,"dd-mmm")&amp;" - "&amp;(NETWORKDAYS($AB632,TODAY(),Holidays)-1)&amp;" business day(s) late. Send now.",IF($U632="DUE TOMORROW","Next: "&amp;$AC632&amp;IF($AB632&lt;=TODAY()," is due TODAY ("," is due next business day (")&amp;TEXT($AB632,"dd-mmm")&amp;").","Next: "&amp;$AC632&amp;" due "&amp;TEXT($AB632,"dd-mmm")&amp;" ("&amp;(NETWORKDAYS(TODAY(),$AB632,Holidays)-1)&amp;" business day(s) left).")))))</f>
        <v/>
      </c>
      <c r="W632" s="17">
        <f>IF($Z632="","",CHOOSE($Z632,"Collection Email","1st Follow-up","2nd Follow-up","Local Office","CBE","Roxanne")&amp;IF($Z632=6," - Final"," - Day "&amp;MAX(0,NETWORKDAYS($AA632,TODAY(),Holidays)-1)&amp;" of "&amp;CHOOSE($Z632,3,3,2,2,3))&amp;" | Total Day "&amp;MAX(0,NETWORKDAYS($N632,TODAY(),Holidays)-1))</f>
        <v/>
      </c>
      <c r="X632" s="18"/>
      <c r="Y632" s="18"/>
      <c r="Z632" s="17">
        <f>IF($N632="","",COUNT($N632:$S632))</f>
        <v/>
      </c>
      <c r="AA632" s="19">
        <f>IF($Z632="","",INT(INDEX($N632:$S632,$Z632)))</f>
        <v/>
      </c>
      <c r="AB632" s="19">
        <f>IF(OR($Z632="",$Z632=6),"",WORKDAY($AA632,CHOOSE($Z632,3,3,2,2,3),Holidays))</f>
        <v/>
      </c>
      <c r="AC632" s="17">
        <f>IF(OR($Z632="",$Z632=6),"",CHOOSE($Z632,"1st Email Follow-up","2nd Email Follow-up","Escalate Local Office","Escalate to CBE","Escalate to Roxanne"))</f>
        <v/>
      </c>
    </row>
    <row r="633" spans="13:29">
      <c r="M633" s="14"/>
      <c r="T633" s="16"/>
      <c r="U633" s="17">
        <f>IF(AND(COUNTA($A633:$L633)=0,$N633=""),"",IF($T633="Paid","PAID",IF($T633="Closed","CLOSED",IF($Z633="","",IF($Z633=6,"ESCALATED TO ROXANNE",IF(TODAY()&gt;$AB633,"OVERDUE",IF($AB633&lt;=WORKDAY(TODAY(),1,Holidays),"DUE TOMORROW",IF($Z633=4,"ESCALATED TO LOCAL OFFICE",IF($Z633=5,"ESCALATED TO CBE",IF($AA633=TODAY(),"EMAIL SENT","MONITORING"))))))))))</f>
        <v/>
      </c>
      <c r="V633" s="17">
        <f>IF($U633="",IF(AND(COUNTA($A633:$L633)&gt;0,$N633=""),"Awaiting Collection Email time stamp.",""),IF(OR($U633="PAID",$U633="CLOSED"),IF($U633="PAID","Account paid. Action completed.","Account closed. No further action required."),CHOOSE($Z633,"Collection Email","1st Email Follow-up","2nd Email Follow-up","Escalation to Local Office","Escalation to CBE","Escalation to Roxanne")&amp;" sent "&amp;TEXT($AA633,"dd-mmm")&amp;". "&amp;IF($Z633=6,"Final escalation completed.",IF($U633="OVERDUE","Next: "&amp;$AC633&amp;" was due "&amp;TEXT($AB633,"dd-mmm")&amp;" - "&amp;(NETWORKDAYS($AB633,TODAY(),Holidays)-1)&amp;" business day(s) late. Send now.",IF($U633="DUE TOMORROW","Next: "&amp;$AC633&amp;IF($AB633&lt;=TODAY()," is due TODAY ("," is due next business day (")&amp;TEXT($AB633,"dd-mmm")&amp;").","Next: "&amp;$AC633&amp;" due "&amp;TEXT($AB633,"dd-mmm")&amp;" ("&amp;(NETWORKDAYS(TODAY(),$AB633,Holidays)-1)&amp;" business day(s) left).")))))</f>
        <v/>
      </c>
      <c r="W633" s="17">
        <f>IF($Z633="","",CHOOSE($Z633,"Collection Email","1st Follow-up","2nd Follow-up","Local Office","CBE","Roxanne")&amp;IF($Z633=6," - Final"," - Day "&amp;MAX(0,NETWORKDAYS($AA633,TODAY(),Holidays)-1)&amp;" of "&amp;CHOOSE($Z633,3,3,2,2,3))&amp;" | Total Day "&amp;MAX(0,NETWORKDAYS($N633,TODAY(),Holidays)-1))</f>
        <v/>
      </c>
      <c r="X633" s="18"/>
      <c r="Y633" s="18"/>
      <c r="Z633" s="17">
        <f>IF($N633="","",COUNT($N633:$S633))</f>
        <v/>
      </c>
      <c r="AA633" s="19">
        <f>IF($Z633="","",INT(INDEX($N633:$S633,$Z633)))</f>
        <v/>
      </c>
      <c r="AB633" s="19">
        <f>IF(OR($Z633="",$Z633=6),"",WORKDAY($AA633,CHOOSE($Z633,3,3,2,2,3),Holidays))</f>
        <v/>
      </c>
      <c r="AC633" s="17">
        <f>IF(OR($Z633="",$Z633=6),"",CHOOSE($Z633,"1st Email Follow-up","2nd Email Follow-up","Escalate Local Office","Escalate to CBE","Escalate to Roxanne"))</f>
        <v/>
      </c>
    </row>
    <row r="634" spans="13:29">
      <c r="M634" s="14"/>
      <c r="T634" s="16"/>
      <c r="U634" s="17">
        <f>IF(AND(COUNTA($A634:$L634)=0,$N634=""),"",IF($T634="Paid","PAID",IF($T634="Closed","CLOSED",IF($Z634="","",IF($Z634=6,"ESCALATED TO ROXANNE",IF(TODAY()&gt;$AB634,"OVERDUE",IF($AB634&lt;=WORKDAY(TODAY(),1,Holidays),"DUE TOMORROW",IF($Z634=4,"ESCALATED TO LOCAL OFFICE",IF($Z634=5,"ESCALATED TO CBE",IF($AA634=TODAY(),"EMAIL SENT","MONITORING"))))))))))</f>
        <v/>
      </c>
      <c r="V634" s="17">
        <f>IF($U634="",IF(AND(COUNTA($A634:$L634)&gt;0,$N634=""),"Awaiting Collection Email time stamp.",""),IF(OR($U634="PAID",$U634="CLOSED"),IF($U634="PAID","Account paid. Action completed.","Account closed. No further action required."),CHOOSE($Z634,"Collection Email","1st Email Follow-up","2nd Email Follow-up","Escalation to Local Office","Escalation to CBE","Escalation to Roxanne")&amp;" sent "&amp;TEXT($AA634,"dd-mmm")&amp;". "&amp;IF($Z634=6,"Final escalation completed.",IF($U634="OVERDUE","Next: "&amp;$AC634&amp;" was due "&amp;TEXT($AB634,"dd-mmm")&amp;" - "&amp;(NETWORKDAYS($AB634,TODAY(),Holidays)-1)&amp;" business day(s) late. Send now.",IF($U634="DUE TOMORROW","Next: "&amp;$AC634&amp;IF($AB634&lt;=TODAY()," is due TODAY ("," is due next business day (")&amp;TEXT($AB634,"dd-mmm")&amp;").","Next: "&amp;$AC634&amp;" due "&amp;TEXT($AB634,"dd-mmm")&amp;" ("&amp;(NETWORKDAYS(TODAY(),$AB634,Holidays)-1)&amp;" business day(s) left).")))))</f>
        <v/>
      </c>
      <c r="W634" s="17">
        <f>IF($Z634="","",CHOOSE($Z634,"Collection Email","1st Follow-up","2nd Follow-up","Local Office","CBE","Roxanne")&amp;IF($Z634=6," - Final"," - Day "&amp;MAX(0,NETWORKDAYS($AA634,TODAY(),Holidays)-1)&amp;" of "&amp;CHOOSE($Z634,3,3,2,2,3))&amp;" | Total Day "&amp;MAX(0,NETWORKDAYS($N634,TODAY(),Holidays)-1))</f>
        <v/>
      </c>
      <c r="X634" s="18"/>
      <c r="Y634" s="18"/>
      <c r="Z634" s="17">
        <f>IF($N634="","",COUNT($N634:$S634))</f>
        <v/>
      </c>
      <c r="AA634" s="19">
        <f>IF($Z634="","",INT(INDEX($N634:$S634,$Z634)))</f>
        <v/>
      </c>
      <c r="AB634" s="19">
        <f>IF(OR($Z634="",$Z634=6),"",WORKDAY($AA634,CHOOSE($Z634,3,3,2,2,3),Holidays))</f>
        <v/>
      </c>
      <c r="AC634" s="17">
        <f>IF(OR($Z634="",$Z634=6),"",CHOOSE($Z634,"1st Email Follow-up","2nd Email Follow-up","Escalate Local Office","Escalate to CBE","Escalate to Roxanne"))</f>
        <v/>
      </c>
    </row>
    <row r="635" spans="13:29">
      <c r="M635" s="14"/>
      <c r="T635" s="16"/>
      <c r="U635" s="17">
        <f>IF(AND(COUNTA($A635:$L635)=0,$N635=""),"",IF($T635="Paid","PAID",IF($T635="Closed","CLOSED",IF($Z635="","",IF($Z635=6,"ESCALATED TO ROXANNE",IF(TODAY()&gt;$AB635,"OVERDUE",IF($AB635&lt;=WORKDAY(TODAY(),1,Holidays),"DUE TOMORROW",IF($Z635=4,"ESCALATED TO LOCAL OFFICE",IF($Z635=5,"ESCALATED TO CBE",IF($AA635=TODAY(),"EMAIL SENT","MONITORING"))))))))))</f>
        <v/>
      </c>
      <c r="V635" s="17">
        <f>IF($U635="",IF(AND(COUNTA($A635:$L635)&gt;0,$N635=""),"Awaiting Collection Email time stamp.",""),IF(OR($U635="PAID",$U635="CLOSED"),IF($U635="PAID","Account paid. Action completed.","Account closed. No further action required."),CHOOSE($Z635,"Collection Email","1st Email Follow-up","2nd Email Follow-up","Escalation to Local Office","Escalation to CBE","Escalation to Roxanne")&amp;" sent "&amp;TEXT($AA635,"dd-mmm")&amp;". "&amp;IF($Z635=6,"Final escalation completed.",IF($U635="OVERDUE","Next: "&amp;$AC635&amp;" was due "&amp;TEXT($AB635,"dd-mmm")&amp;" - "&amp;(NETWORKDAYS($AB635,TODAY(),Holidays)-1)&amp;" business day(s) late. Send now.",IF($U635="DUE TOMORROW","Next: "&amp;$AC635&amp;IF($AB635&lt;=TODAY()," is due TODAY ("," is due next business day (")&amp;TEXT($AB635,"dd-mmm")&amp;").","Next: "&amp;$AC635&amp;" due "&amp;TEXT($AB635,"dd-mmm")&amp;" ("&amp;(NETWORKDAYS(TODAY(),$AB635,Holidays)-1)&amp;" business day(s) left).")))))</f>
        <v/>
      </c>
      <c r="W635" s="17">
        <f>IF($Z635="","",CHOOSE($Z635,"Collection Email","1st Follow-up","2nd Follow-up","Local Office","CBE","Roxanne")&amp;IF($Z635=6," - Final"," - Day "&amp;MAX(0,NETWORKDAYS($AA635,TODAY(),Holidays)-1)&amp;" of "&amp;CHOOSE($Z635,3,3,2,2,3))&amp;" | Total Day "&amp;MAX(0,NETWORKDAYS($N635,TODAY(),Holidays)-1))</f>
        <v/>
      </c>
      <c r="X635" s="18"/>
      <c r="Y635" s="18"/>
      <c r="Z635" s="17">
        <f>IF($N635="","",COUNT($N635:$S635))</f>
        <v/>
      </c>
      <c r="AA635" s="19">
        <f>IF($Z635="","",INT(INDEX($N635:$S635,$Z635)))</f>
        <v/>
      </c>
      <c r="AB635" s="19">
        <f>IF(OR($Z635="",$Z635=6),"",WORKDAY($AA635,CHOOSE($Z635,3,3,2,2,3),Holidays))</f>
        <v/>
      </c>
      <c r="AC635" s="17">
        <f>IF(OR($Z635="",$Z635=6),"",CHOOSE($Z635,"1st Email Follow-up","2nd Email Follow-up","Escalate Local Office","Escalate to CBE","Escalate to Roxanne"))</f>
        <v/>
      </c>
    </row>
    <row r="636" spans="13:29">
      <c r="M636" s="14"/>
      <c r="T636" s="16"/>
      <c r="U636" s="17">
        <f>IF(AND(COUNTA($A636:$L636)=0,$N636=""),"",IF($T636="Paid","PAID",IF($T636="Closed","CLOSED",IF($Z636="","",IF($Z636=6,"ESCALATED TO ROXANNE",IF(TODAY()&gt;$AB636,"OVERDUE",IF($AB636&lt;=WORKDAY(TODAY(),1,Holidays),"DUE TOMORROW",IF($Z636=4,"ESCALATED TO LOCAL OFFICE",IF($Z636=5,"ESCALATED TO CBE",IF($AA636=TODAY(),"EMAIL SENT","MONITORING"))))))))))</f>
        <v/>
      </c>
      <c r="V636" s="17">
        <f>IF($U636="",IF(AND(COUNTA($A636:$L636)&gt;0,$N636=""),"Awaiting Collection Email time stamp.",""),IF(OR($U636="PAID",$U636="CLOSED"),IF($U636="PAID","Account paid. Action completed.","Account closed. No further action required."),CHOOSE($Z636,"Collection Email","1st Email Follow-up","2nd Email Follow-up","Escalation to Local Office","Escalation to CBE","Escalation to Roxanne")&amp;" sent "&amp;TEXT($AA636,"dd-mmm")&amp;". "&amp;IF($Z636=6,"Final escalation completed.",IF($U636="OVERDUE","Next: "&amp;$AC636&amp;" was due "&amp;TEXT($AB636,"dd-mmm")&amp;" - "&amp;(NETWORKDAYS($AB636,TODAY(),Holidays)-1)&amp;" business day(s) late. Send now.",IF($U636="DUE TOMORROW","Next: "&amp;$AC636&amp;IF($AB636&lt;=TODAY()," is due TODAY ("," is due next business day (")&amp;TEXT($AB636,"dd-mmm")&amp;").","Next: "&amp;$AC636&amp;" due "&amp;TEXT($AB636,"dd-mmm")&amp;" ("&amp;(NETWORKDAYS(TODAY(),$AB636,Holidays)-1)&amp;" business day(s) left).")))))</f>
        <v/>
      </c>
      <c r="W636" s="17">
        <f>IF($Z636="","",CHOOSE($Z636,"Collection Email","1st Follow-up","2nd Follow-up","Local Office","CBE","Roxanne")&amp;IF($Z636=6," - Final"," - Day "&amp;MAX(0,NETWORKDAYS($AA636,TODAY(),Holidays)-1)&amp;" of "&amp;CHOOSE($Z636,3,3,2,2,3))&amp;" | Total Day "&amp;MAX(0,NETWORKDAYS($N636,TODAY(),Holidays)-1))</f>
        <v/>
      </c>
      <c r="X636" s="18"/>
      <c r="Y636" s="18"/>
      <c r="Z636" s="17">
        <f>IF($N636="","",COUNT($N636:$S636))</f>
        <v/>
      </c>
      <c r="AA636" s="19">
        <f>IF($Z636="","",INT(INDEX($N636:$S636,$Z636)))</f>
        <v/>
      </c>
      <c r="AB636" s="19">
        <f>IF(OR($Z636="",$Z636=6),"",WORKDAY($AA636,CHOOSE($Z636,3,3,2,2,3),Holidays))</f>
        <v/>
      </c>
      <c r="AC636" s="17">
        <f>IF(OR($Z636="",$Z636=6),"",CHOOSE($Z636,"1st Email Follow-up","2nd Email Follow-up","Escalate Local Office","Escalate to CBE","Escalate to Roxanne"))</f>
        <v/>
      </c>
    </row>
    <row r="637" spans="13:29">
      <c r="M637" s="14"/>
      <c r="T637" s="16"/>
      <c r="U637" s="17">
        <f>IF(AND(COUNTA($A637:$L637)=0,$N637=""),"",IF($T637="Paid","PAID",IF($T637="Closed","CLOSED",IF($Z637="","",IF($Z637=6,"ESCALATED TO ROXANNE",IF(TODAY()&gt;$AB637,"OVERDUE",IF($AB637&lt;=WORKDAY(TODAY(),1,Holidays),"DUE TOMORROW",IF($Z637=4,"ESCALATED TO LOCAL OFFICE",IF($Z637=5,"ESCALATED TO CBE",IF($AA637=TODAY(),"EMAIL SENT","MONITORING"))))))))))</f>
        <v/>
      </c>
      <c r="V637" s="17">
        <f>IF($U637="",IF(AND(COUNTA($A637:$L637)&gt;0,$N637=""),"Awaiting Collection Email time stamp.",""),IF(OR($U637="PAID",$U637="CLOSED"),IF($U637="PAID","Account paid. Action completed.","Account closed. No further action required."),CHOOSE($Z637,"Collection Email","1st Email Follow-up","2nd Email Follow-up","Escalation to Local Office","Escalation to CBE","Escalation to Roxanne")&amp;" sent "&amp;TEXT($AA637,"dd-mmm")&amp;". "&amp;IF($Z637=6,"Final escalation completed.",IF($U637="OVERDUE","Next: "&amp;$AC637&amp;" was due "&amp;TEXT($AB637,"dd-mmm")&amp;" - "&amp;(NETWORKDAYS($AB637,TODAY(),Holidays)-1)&amp;" business day(s) late. Send now.",IF($U637="DUE TOMORROW","Next: "&amp;$AC637&amp;IF($AB637&lt;=TODAY()," is due TODAY ("," is due next business day (")&amp;TEXT($AB637,"dd-mmm")&amp;").","Next: "&amp;$AC637&amp;" due "&amp;TEXT($AB637,"dd-mmm")&amp;" ("&amp;(NETWORKDAYS(TODAY(),$AB637,Holidays)-1)&amp;" business day(s) left).")))))</f>
        <v/>
      </c>
      <c r="W637" s="17">
        <f>IF($Z637="","",CHOOSE($Z637,"Collection Email","1st Follow-up","2nd Follow-up","Local Office","CBE","Roxanne")&amp;IF($Z637=6," - Final"," - Day "&amp;MAX(0,NETWORKDAYS($AA637,TODAY(),Holidays)-1)&amp;" of "&amp;CHOOSE($Z637,3,3,2,2,3))&amp;" | Total Day "&amp;MAX(0,NETWORKDAYS($N637,TODAY(),Holidays)-1))</f>
        <v/>
      </c>
      <c r="X637" s="18"/>
      <c r="Y637" s="18"/>
      <c r="Z637" s="17">
        <f>IF($N637="","",COUNT($N637:$S637))</f>
        <v/>
      </c>
      <c r="AA637" s="19">
        <f>IF($Z637="","",INT(INDEX($N637:$S637,$Z637)))</f>
        <v/>
      </c>
      <c r="AB637" s="19">
        <f>IF(OR($Z637="",$Z637=6),"",WORKDAY($AA637,CHOOSE($Z637,3,3,2,2,3),Holidays))</f>
        <v/>
      </c>
      <c r="AC637" s="17">
        <f>IF(OR($Z637="",$Z637=6),"",CHOOSE($Z637,"1st Email Follow-up","2nd Email Follow-up","Escalate Local Office","Escalate to CBE","Escalate to Roxanne"))</f>
        <v/>
      </c>
    </row>
    <row r="638" spans="13:29">
      <c r="M638" s="14"/>
      <c r="T638" s="16"/>
      <c r="U638" s="17">
        <f>IF(AND(COUNTA($A638:$L638)=0,$N638=""),"",IF($T638="Paid","PAID",IF($T638="Closed","CLOSED",IF($Z638="","",IF($Z638=6,"ESCALATED TO ROXANNE",IF(TODAY()&gt;$AB638,"OVERDUE",IF($AB638&lt;=WORKDAY(TODAY(),1,Holidays),"DUE TOMORROW",IF($Z638=4,"ESCALATED TO LOCAL OFFICE",IF($Z638=5,"ESCALATED TO CBE",IF($AA638=TODAY(),"EMAIL SENT","MONITORING"))))))))))</f>
        <v/>
      </c>
      <c r="V638" s="17">
        <f>IF($U638="",IF(AND(COUNTA($A638:$L638)&gt;0,$N638=""),"Awaiting Collection Email time stamp.",""),IF(OR($U638="PAID",$U638="CLOSED"),IF($U638="PAID","Account paid. Action completed.","Account closed. No further action required."),CHOOSE($Z638,"Collection Email","1st Email Follow-up","2nd Email Follow-up","Escalation to Local Office","Escalation to CBE","Escalation to Roxanne")&amp;" sent "&amp;TEXT($AA638,"dd-mmm")&amp;". "&amp;IF($Z638=6,"Final escalation completed.",IF($U638="OVERDUE","Next: "&amp;$AC638&amp;" was due "&amp;TEXT($AB638,"dd-mmm")&amp;" - "&amp;(NETWORKDAYS($AB638,TODAY(),Holidays)-1)&amp;" business day(s) late. Send now.",IF($U638="DUE TOMORROW","Next: "&amp;$AC638&amp;IF($AB638&lt;=TODAY()," is due TODAY ("," is due next business day (")&amp;TEXT($AB638,"dd-mmm")&amp;").","Next: "&amp;$AC638&amp;" due "&amp;TEXT($AB638,"dd-mmm")&amp;" ("&amp;(NETWORKDAYS(TODAY(),$AB638,Holidays)-1)&amp;" business day(s) left).")))))</f>
        <v/>
      </c>
      <c r="W638" s="17">
        <f>IF($Z638="","",CHOOSE($Z638,"Collection Email","1st Follow-up","2nd Follow-up","Local Office","CBE","Roxanne")&amp;IF($Z638=6," - Final"," - Day "&amp;MAX(0,NETWORKDAYS($AA638,TODAY(),Holidays)-1)&amp;" of "&amp;CHOOSE($Z638,3,3,2,2,3))&amp;" | Total Day "&amp;MAX(0,NETWORKDAYS($N638,TODAY(),Holidays)-1))</f>
        <v/>
      </c>
      <c r="X638" s="18"/>
      <c r="Y638" s="18"/>
      <c r="Z638" s="17">
        <f>IF($N638="","",COUNT($N638:$S638))</f>
        <v/>
      </c>
      <c r="AA638" s="19">
        <f>IF($Z638="","",INT(INDEX($N638:$S638,$Z638)))</f>
        <v/>
      </c>
      <c r="AB638" s="19">
        <f>IF(OR($Z638="",$Z638=6),"",WORKDAY($AA638,CHOOSE($Z638,3,3,2,2,3),Holidays))</f>
        <v/>
      </c>
      <c r="AC638" s="17">
        <f>IF(OR($Z638="",$Z638=6),"",CHOOSE($Z638,"1st Email Follow-up","2nd Email Follow-up","Escalate Local Office","Escalate to CBE","Escalate to Roxanne"))</f>
        <v/>
      </c>
    </row>
    <row r="639" spans="13:29">
      <c r="M639" s="14"/>
      <c r="T639" s="16"/>
      <c r="U639" s="17">
        <f>IF(AND(COUNTA($A639:$L639)=0,$N639=""),"",IF($T639="Paid","PAID",IF($T639="Closed","CLOSED",IF($Z639="","",IF($Z639=6,"ESCALATED TO ROXANNE",IF(TODAY()&gt;$AB639,"OVERDUE",IF($AB639&lt;=WORKDAY(TODAY(),1,Holidays),"DUE TOMORROW",IF($Z639=4,"ESCALATED TO LOCAL OFFICE",IF($Z639=5,"ESCALATED TO CBE",IF($AA639=TODAY(),"EMAIL SENT","MONITORING"))))))))))</f>
        <v/>
      </c>
      <c r="V639" s="17">
        <f>IF($U639="",IF(AND(COUNTA($A639:$L639)&gt;0,$N639=""),"Awaiting Collection Email time stamp.",""),IF(OR($U639="PAID",$U639="CLOSED"),IF($U639="PAID","Account paid. Action completed.","Account closed. No further action required."),CHOOSE($Z639,"Collection Email","1st Email Follow-up","2nd Email Follow-up","Escalation to Local Office","Escalation to CBE","Escalation to Roxanne")&amp;" sent "&amp;TEXT($AA639,"dd-mmm")&amp;". "&amp;IF($Z639=6,"Final escalation completed.",IF($U639="OVERDUE","Next: "&amp;$AC639&amp;" was due "&amp;TEXT($AB639,"dd-mmm")&amp;" - "&amp;(NETWORKDAYS($AB639,TODAY(),Holidays)-1)&amp;" business day(s) late. Send now.",IF($U639="DUE TOMORROW","Next: "&amp;$AC639&amp;IF($AB639&lt;=TODAY()," is due TODAY ("," is due next business day (")&amp;TEXT($AB639,"dd-mmm")&amp;").","Next: "&amp;$AC639&amp;" due "&amp;TEXT($AB639,"dd-mmm")&amp;" ("&amp;(NETWORKDAYS(TODAY(),$AB639,Holidays)-1)&amp;" business day(s) left).")))))</f>
        <v/>
      </c>
      <c r="W639" s="17">
        <f>IF($Z639="","",CHOOSE($Z639,"Collection Email","1st Follow-up","2nd Follow-up","Local Office","CBE","Roxanne")&amp;IF($Z639=6," - Final"," - Day "&amp;MAX(0,NETWORKDAYS($AA639,TODAY(),Holidays)-1)&amp;" of "&amp;CHOOSE($Z639,3,3,2,2,3))&amp;" | Total Day "&amp;MAX(0,NETWORKDAYS($N639,TODAY(),Holidays)-1))</f>
        <v/>
      </c>
      <c r="X639" s="18"/>
      <c r="Y639" s="18"/>
      <c r="Z639" s="17">
        <f>IF($N639="","",COUNT($N639:$S639))</f>
        <v/>
      </c>
      <c r="AA639" s="19">
        <f>IF($Z639="","",INT(INDEX($N639:$S639,$Z639)))</f>
        <v/>
      </c>
      <c r="AB639" s="19">
        <f>IF(OR($Z639="",$Z639=6),"",WORKDAY($AA639,CHOOSE($Z639,3,3,2,2,3),Holidays))</f>
        <v/>
      </c>
      <c r="AC639" s="17">
        <f>IF(OR($Z639="",$Z639=6),"",CHOOSE($Z639,"1st Email Follow-up","2nd Email Follow-up","Escalate Local Office","Escalate to CBE","Escalate to Roxanne"))</f>
        <v/>
      </c>
    </row>
    <row r="640" spans="13:29">
      <c r="M640" s="14"/>
      <c r="T640" s="16"/>
      <c r="U640" s="17">
        <f>IF(AND(COUNTA($A640:$L640)=0,$N640=""),"",IF($T640="Paid","PAID",IF($T640="Closed","CLOSED",IF($Z640="","",IF($Z640=6,"ESCALATED TO ROXANNE",IF(TODAY()&gt;$AB640,"OVERDUE",IF($AB640&lt;=WORKDAY(TODAY(),1,Holidays),"DUE TOMORROW",IF($Z640=4,"ESCALATED TO LOCAL OFFICE",IF($Z640=5,"ESCALATED TO CBE",IF($AA640=TODAY(),"EMAIL SENT","MONITORING"))))))))))</f>
        <v/>
      </c>
      <c r="V640" s="17">
        <f>IF($U640="",IF(AND(COUNTA($A640:$L640)&gt;0,$N640=""),"Awaiting Collection Email time stamp.",""),IF(OR($U640="PAID",$U640="CLOSED"),IF($U640="PAID","Account paid. Action completed.","Account closed. No further action required."),CHOOSE($Z640,"Collection Email","1st Email Follow-up","2nd Email Follow-up","Escalation to Local Office","Escalation to CBE","Escalation to Roxanne")&amp;" sent "&amp;TEXT($AA640,"dd-mmm")&amp;". "&amp;IF($Z640=6,"Final escalation completed.",IF($U640="OVERDUE","Next: "&amp;$AC640&amp;" was due "&amp;TEXT($AB640,"dd-mmm")&amp;" - "&amp;(NETWORKDAYS($AB640,TODAY(),Holidays)-1)&amp;" business day(s) late. Send now.",IF($U640="DUE TOMORROW","Next: "&amp;$AC640&amp;IF($AB640&lt;=TODAY()," is due TODAY ("," is due next business day (")&amp;TEXT($AB640,"dd-mmm")&amp;").","Next: "&amp;$AC640&amp;" due "&amp;TEXT($AB640,"dd-mmm")&amp;" ("&amp;(NETWORKDAYS(TODAY(),$AB640,Holidays)-1)&amp;" business day(s) left).")))))</f>
        <v/>
      </c>
      <c r="W640" s="17">
        <f>IF($Z640="","",CHOOSE($Z640,"Collection Email","1st Follow-up","2nd Follow-up","Local Office","CBE","Roxanne")&amp;IF($Z640=6," - Final"," - Day "&amp;MAX(0,NETWORKDAYS($AA640,TODAY(),Holidays)-1)&amp;" of "&amp;CHOOSE($Z640,3,3,2,2,3))&amp;" | Total Day "&amp;MAX(0,NETWORKDAYS($N640,TODAY(),Holidays)-1))</f>
        <v/>
      </c>
      <c r="X640" s="18"/>
      <c r="Y640" s="18"/>
      <c r="Z640" s="17">
        <f>IF($N640="","",COUNT($N640:$S640))</f>
        <v/>
      </c>
      <c r="AA640" s="19">
        <f>IF($Z640="","",INT(INDEX($N640:$S640,$Z640)))</f>
        <v/>
      </c>
      <c r="AB640" s="19">
        <f>IF(OR($Z640="",$Z640=6),"",WORKDAY($AA640,CHOOSE($Z640,3,3,2,2,3),Holidays))</f>
        <v/>
      </c>
      <c r="AC640" s="17">
        <f>IF(OR($Z640="",$Z640=6),"",CHOOSE($Z640,"1st Email Follow-up","2nd Email Follow-up","Escalate Local Office","Escalate to CBE","Escalate to Roxanne"))</f>
        <v/>
      </c>
    </row>
    <row r="641" spans="13:29">
      <c r="M641" s="14"/>
      <c r="T641" s="16"/>
      <c r="U641" s="17">
        <f>IF(AND(COUNTA($A641:$L641)=0,$N641=""),"",IF($T641="Paid","PAID",IF($T641="Closed","CLOSED",IF($Z641="","",IF($Z641=6,"ESCALATED TO ROXANNE",IF(TODAY()&gt;$AB641,"OVERDUE",IF($AB641&lt;=WORKDAY(TODAY(),1,Holidays),"DUE TOMORROW",IF($Z641=4,"ESCALATED TO LOCAL OFFICE",IF($Z641=5,"ESCALATED TO CBE",IF($AA641=TODAY(),"EMAIL SENT","MONITORING"))))))))))</f>
        <v/>
      </c>
      <c r="V641" s="17">
        <f>IF($U641="",IF(AND(COUNTA($A641:$L641)&gt;0,$N641=""),"Awaiting Collection Email time stamp.",""),IF(OR($U641="PAID",$U641="CLOSED"),IF($U641="PAID","Account paid. Action completed.","Account closed. No further action required."),CHOOSE($Z641,"Collection Email","1st Email Follow-up","2nd Email Follow-up","Escalation to Local Office","Escalation to CBE","Escalation to Roxanne")&amp;" sent "&amp;TEXT($AA641,"dd-mmm")&amp;". "&amp;IF($Z641=6,"Final escalation completed.",IF($U641="OVERDUE","Next: "&amp;$AC641&amp;" was due "&amp;TEXT($AB641,"dd-mmm")&amp;" - "&amp;(NETWORKDAYS($AB641,TODAY(),Holidays)-1)&amp;" business day(s) late. Send now.",IF($U641="DUE TOMORROW","Next: "&amp;$AC641&amp;IF($AB641&lt;=TODAY()," is due TODAY ("," is due next business day (")&amp;TEXT($AB641,"dd-mmm")&amp;").","Next: "&amp;$AC641&amp;" due "&amp;TEXT($AB641,"dd-mmm")&amp;" ("&amp;(NETWORKDAYS(TODAY(),$AB641,Holidays)-1)&amp;" business day(s) left).")))))</f>
        <v/>
      </c>
      <c r="W641" s="17">
        <f>IF($Z641="","",CHOOSE($Z641,"Collection Email","1st Follow-up","2nd Follow-up","Local Office","CBE","Roxanne")&amp;IF($Z641=6," - Final"," - Day "&amp;MAX(0,NETWORKDAYS($AA641,TODAY(),Holidays)-1)&amp;" of "&amp;CHOOSE($Z641,3,3,2,2,3))&amp;" | Total Day "&amp;MAX(0,NETWORKDAYS($N641,TODAY(),Holidays)-1))</f>
        <v/>
      </c>
      <c r="X641" s="18"/>
      <c r="Y641" s="18"/>
      <c r="Z641" s="17">
        <f>IF($N641="","",COUNT($N641:$S641))</f>
        <v/>
      </c>
      <c r="AA641" s="19">
        <f>IF($Z641="","",INT(INDEX($N641:$S641,$Z641)))</f>
        <v/>
      </c>
      <c r="AB641" s="19">
        <f>IF(OR($Z641="",$Z641=6),"",WORKDAY($AA641,CHOOSE($Z641,3,3,2,2,3),Holidays))</f>
        <v/>
      </c>
      <c r="AC641" s="17">
        <f>IF(OR($Z641="",$Z641=6),"",CHOOSE($Z641,"1st Email Follow-up","2nd Email Follow-up","Escalate Local Office","Escalate to CBE","Escalate to Roxanne"))</f>
        <v/>
      </c>
    </row>
    <row r="642" spans="13:29">
      <c r="M642" s="14"/>
      <c r="T642" s="16"/>
      <c r="U642" s="17">
        <f>IF(AND(COUNTA($A642:$L642)=0,$N642=""),"",IF($T642="Paid","PAID",IF($T642="Closed","CLOSED",IF($Z642="","",IF($Z642=6,"ESCALATED TO ROXANNE",IF(TODAY()&gt;$AB642,"OVERDUE",IF($AB642&lt;=WORKDAY(TODAY(),1,Holidays),"DUE TOMORROW",IF($Z642=4,"ESCALATED TO LOCAL OFFICE",IF($Z642=5,"ESCALATED TO CBE",IF($AA642=TODAY(),"EMAIL SENT","MONITORING"))))))))))</f>
        <v/>
      </c>
      <c r="V642" s="17">
        <f>IF($U642="",IF(AND(COUNTA($A642:$L642)&gt;0,$N642=""),"Awaiting Collection Email time stamp.",""),IF(OR($U642="PAID",$U642="CLOSED"),IF($U642="PAID","Account paid. Action completed.","Account closed. No further action required."),CHOOSE($Z642,"Collection Email","1st Email Follow-up","2nd Email Follow-up","Escalation to Local Office","Escalation to CBE","Escalation to Roxanne")&amp;" sent "&amp;TEXT($AA642,"dd-mmm")&amp;". "&amp;IF($Z642=6,"Final escalation completed.",IF($U642="OVERDUE","Next: "&amp;$AC642&amp;" was due "&amp;TEXT($AB642,"dd-mmm")&amp;" - "&amp;(NETWORKDAYS($AB642,TODAY(),Holidays)-1)&amp;" business day(s) late. Send now.",IF($U642="DUE TOMORROW","Next: "&amp;$AC642&amp;IF($AB642&lt;=TODAY()," is due TODAY ("," is due next business day (")&amp;TEXT($AB642,"dd-mmm")&amp;").","Next: "&amp;$AC642&amp;" due "&amp;TEXT($AB642,"dd-mmm")&amp;" ("&amp;(NETWORKDAYS(TODAY(),$AB642,Holidays)-1)&amp;" business day(s) left).")))))</f>
        <v/>
      </c>
      <c r="W642" s="17">
        <f>IF($Z642="","",CHOOSE($Z642,"Collection Email","1st Follow-up","2nd Follow-up","Local Office","CBE","Roxanne")&amp;IF($Z642=6," - Final"," - Day "&amp;MAX(0,NETWORKDAYS($AA642,TODAY(),Holidays)-1)&amp;" of "&amp;CHOOSE($Z642,3,3,2,2,3))&amp;" | Total Day "&amp;MAX(0,NETWORKDAYS($N642,TODAY(),Holidays)-1))</f>
        <v/>
      </c>
      <c r="X642" s="18"/>
      <c r="Y642" s="18"/>
      <c r="Z642" s="17">
        <f>IF($N642="","",COUNT($N642:$S642))</f>
        <v/>
      </c>
      <c r="AA642" s="19">
        <f>IF($Z642="","",INT(INDEX($N642:$S642,$Z642)))</f>
        <v/>
      </c>
      <c r="AB642" s="19">
        <f>IF(OR($Z642="",$Z642=6),"",WORKDAY($AA642,CHOOSE($Z642,3,3,2,2,3),Holidays))</f>
        <v/>
      </c>
      <c r="AC642" s="17">
        <f>IF(OR($Z642="",$Z642=6),"",CHOOSE($Z642,"1st Email Follow-up","2nd Email Follow-up","Escalate Local Office","Escalate to CBE","Escalate to Roxanne"))</f>
        <v/>
      </c>
    </row>
    <row r="643" spans="13:29">
      <c r="M643" s="14"/>
      <c r="T643" s="16"/>
      <c r="U643" s="17">
        <f>IF(AND(COUNTA($A643:$L643)=0,$N643=""),"",IF($T643="Paid","PAID",IF($T643="Closed","CLOSED",IF($Z643="","",IF($Z643=6,"ESCALATED TO ROXANNE",IF(TODAY()&gt;$AB643,"OVERDUE",IF($AB643&lt;=WORKDAY(TODAY(),1,Holidays),"DUE TOMORROW",IF($Z643=4,"ESCALATED TO LOCAL OFFICE",IF($Z643=5,"ESCALATED TO CBE",IF($AA643=TODAY(),"EMAIL SENT","MONITORING"))))))))))</f>
        <v/>
      </c>
      <c r="V643" s="17">
        <f>IF($U643="",IF(AND(COUNTA($A643:$L643)&gt;0,$N643=""),"Awaiting Collection Email time stamp.",""),IF(OR($U643="PAID",$U643="CLOSED"),IF($U643="PAID","Account paid. Action completed.","Account closed. No further action required."),CHOOSE($Z643,"Collection Email","1st Email Follow-up","2nd Email Follow-up","Escalation to Local Office","Escalation to CBE","Escalation to Roxanne")&amp;" sent "&amp;TEXT($AA643,"dd-mmm")&amp;". "&amp;IF($Z643=6,"Final escalation completed.",IF($U643="OVERDUE","Next: "&amp;$AC643&amp;" was due "&amp;TEXT($AB643,"dd-mmm")&amp;" - "&amp;(NETWORKDAYS($AB643,TODAY(),Holidays)-1)&amp;" business day(s) late. Send now.",IF($U643="DUE TOMORROW","Next: "&amp;$AC643&amp;IF($AB643&lt;=TODAY()," is due TODAY ("," is due next business day (")&amp;TEXT($AB643,"dd-mmm")&amp;").","Next: "&amp;$AC643&amp;" due "&amp;TEXT($AB643,"dd-mmm")&amp;" ("&amp;(NETWORKDAYS(TODAY(),$AB643,Holidays)-1)&amp;" business day(s) left).")))))</f>
        <v/>
      </c>
      <c r="W643" s="17">
        <f>IF($Z643="","",CHOOSE($Z643,"Collection Email","1st Follow-up","2nd Follow-up","Local Office","CBE","Roxanne")&amp;IF($Z643=6," - Final"," - Day "&amp;MAX(0,NETWORKDAYS($AA643,TODAY(),Holidays)-1)&amp;" of "&amp;CHOOSE($Z643,3,3,2,2,3))&amp;" | Total Day "&amp;MAX(0,NETWORKDAYS($N643,TODAY(),Holidays)-1))</f>
        <v/>
      </c>
      <c r="X643" s="18"/>
      <c r="Y643" s="18"/>
      <c r="Z643" s="17">
        <f>IF($N643="","",COUNT($N643:$S643))</f>
        <v/>
      </c>
      <c r="AA643" s="19">
        <f>IF($Z643="","",INT(INDEX($N643:$S643,$Z643)))</f>
        <v/>
      </c>
      <c r="AB643" s="19">
        <f>IF(OR($Z643="",$Z643=6),"",WORKDAY($AA643,CHOOSE($Z643,3,3,2,2,3),Holidays))</f>
        <v/>
      </c>
      <c r="AC643" s="17">
        <f>IF(OR($Z643="",$Z643=6),"",CHOOSE($Z643,"1st Email Follow-up","2nd Email Follow-up","Escalate Local Office","Escalate to CBE","Escalate to Roxanne"))</f>
        <v/>
      </c>
    </row>
    <row r="644" spans="13:29">
      <c r="M644" s="14"/>
      <c r="T644" s="16"/>
      <c r="U644" s="17">
        <f>IF(AND(COUNTA($A644:$L644)=0,$N644=""),"",IF($T644="Paid","PAID",IF($T644="Closed","CLOSED",IF($Z644="","",IF($Z644=6,"ESCALATED TO ROXANNE",IF(TODAY()&gt;$AB644,"OVERDUE",IF($AB644&lt;=WORKDAY(TODAY(),1,Holidays),"DUE TOMORROW",IF($Z644=4,"ESCALATED TO LOCAL OFFICE",IF($Z644=5,"ESCALATED TO CBE",IF($AA644=TODAY(),"EMAIL SENT","MONITORING"))))))))))</f>
        <v/>
      </c>
      <c r="V644" s="17">
        <f>IF($U644="",IF(AND(COUNTA($A644:$L644)&gt;0,$N644=""),"Awaiting Collection Email time stamp.",""),IF(OR($U644="PAID",$U644="CLOSED"),IF($U644="PAID","Account paid. Action completed.","Account closed. No further action required."),CHOOSE($Z644,"Collection Email","1st Email Follow-up","2nd Email Follow-up","Escalation to Local Office","Escalation to CBE","Escalation to Roxanne")&amp;" sent "&amp;TEXT($AA644,"dd-mmm")&amp;". "&amp;IF($Z644=6,"Final escalation completed.",IF($U644="OVERDUE","Next: "&amp;$AC644&amp;" was due "&amp;TEXT($AB644,"dd-mmm")&amp;" - "&amp;(NETWORKDAYS($AB644,TODAY(),Holidays)-1)&amp;" business day(s) late. Send now.",IF($U644="DUE TOMORROW","Next: "&amp;$AC644&amp;IF($AB644&lt;=TODAY()," is due TODAY ("," is due next business day (")&amp;TEXT($AB644,"dd-mmm")&amp;").","Next: "&amp;$AC644&amp;" due "&amp;TEXT($AB644,"dd-mmm")&amp;" ("&amp;(NETWORKDAYS(TODAY(),$AB644,Holidays)-1)&amp;" business day(s) left).")))))</f>
        <v/>
      </c>
      <c r="W644" s="17">
        <f>IF($Z644="","",CHOOSE($Z644,"Collection Email","1st Follow-up","2nd Follow-up","Local Office","CBE","Roxanne")&amp;IF($Z644=6," - Final"," - Day "&amp;MAX(0,NETWORKDAYS($AA644,TODAY(),Holidays)-1)&amp;" of "&amp;CHOOSE($Z644,3,3,2,2,3))&amp;" | Total Day "&amp;MAX(0,NETWORKDAYS($N644,TODAY(),Holidays)-1))</f>
        <v/>
      </c>
      <c r="X644" s="18"/>
      <c r="Y644" s="18"/>
      <c r="Z644" s="17">
        <f>IF($N644="","",COUNT($N644:$S644))</f>
        <v/>
      </c>
      <c r="AA644" s="19">
        <f>IF($Z644="","",INT(INDEX($N644:$S644,$Z644)))</f>
        <v/>
      </c>
      <c r="AB644" s="19">
        <f>IF(OR($Z644="",$Z644=6),"",WORKDAY($AA644,CHOOSE($Z644,3,3,2,2,3),Holidays))</f>
        <v/>
      </c>
      <c r="AC644" s="17">
        <f>IF(OR($Z644="",$Z644=6),"",CHOOSE($Z644,"1st Email Follow-up","2nd Email Follow-up","Escalate Local Office","Escalate to CBE","Escalate to Roxanne"))</f>
        <v/>
      </c>
    </row>
    <row r="645" spans="13:29">
      <c r="M645" s="14"/>
      <c r="T645" s="16"/>
      <c r="U645" s="17">
        <f>IF(AND(COUNTA($A645:$L645)=0,$N645=""),"",IF($T645="Paid","PAID",IF($T645="Closed","CLOSED",IF($Z645="","",IF($Z645=6,"ESCALATED TO ROXANNE",IF(TODAY()&gt;$AB645,"OVERDUE",IF($AB645&lt;=WORKDAY(TODAY(),1,Holidays),"DUE TOMORROW",IF($Z645=4,"ESCALATED TO LOCAL OFFICE",IF($Z645=5,"ESCALATED TO CBE",IF($AA645=TODAY(),"EMAIL SENT","MONITORING"))))))))))</f>
        <v/>
      </c>
      <c r="V645" s="17">
        <f>IF($U645="",IF(AND(COUNTA($A645:$L645)&gt;0,$N645=""),"Awaiting Collection Email time stamp.",""),IF(OR($U645="PAID",$U645="CLOSED"),IF($U645="PAID","Account paid. Action completed.","Account closed. No further action required."),CHOOSE($Z645,"Collection Email","1st Email Follow-up","2nd Email Follow-up","Escalation to Local Office","Escalation to CBE","Escalation to Roxanne")&amp;" sent "&amp;TEXT($AA645,"dd-mmm")&amp;". "&amp;IF($Z645=6,"Final escalation completed.",IF($U645="OVERDUE","Next: "&amp;$AC645&amp;" was due "&amp;TEXT($AB645,"dd-mmm")&amp;" - "&amp;(NETWORKDAYS($AB645,TODAY(),Holidays)-1)&amp;" business day(s) late. Send now.",IF($U645="DUE TOMORROW","Next: "&amp;$AC645&amp;IF($AB645&lt;=TODAY()," is due TODAY ("," is due next business day (")&amp;TEXT($AB645,"dd-mmm")&amp;").","Next: "&amp;$AC645&amp;" due "&amp;TEXT($AB645,"dd-mmm")&amp;" ("&amp;(NETWORKDAYS(TODAY(),$AB645,Holidays)-1)&amp;" business day(s) left).")))))</f>
        <v/>
      </c>
      <c r="W645" s="17">
        <f>IF($Z645="","",CHOOSE($Z645,"Collection Email","1st Follow-up","2nd Follow-up","Local Office","CBE","Roxanne")&amp;IF($Z645=6," - Final"," - Day "&amp;MAX(0,NETWORKDAYS($AA645,TODAY(),Holidays)-1)&amp;" of "&amp;CHOOSE($Z645,3,3,2,2,3))&amp;" | Total Day "&amp;MAX(0,NETWORKDAYS($N645,TODAY(),Holidays)-1))</f>
        <v/>
      </c>
      <c r="X645" s="18"/>
      <c r="Y645" s="18"/>
      <c r="Z645" s="17">
        <f>IF($N645="","",COUNT($N645:$S645))</f>
        <v/>
      </c>
      <c r="AA645" s="19">
        <f>IF($Z645="","",INT(INDEX($N645:$S645,$Z645)))</f>
        <v/>
      </c>
      <c r="AB645" s="19">
        <f>IF(OR($Z645="",$Z645=6),"",WORKDAY($AA645,CHOOSE($Z645,3,3,2,2,3),Holidays))</f>
        <v/>
      </c>
      <c r="AC645" s="17">
        <f>IF(OR($Z645="",$Z645=6),"",CHOOSE($Z645,"1st Email Follow-up","2nd Email Follow-up","Escalate Local Office","Escalate to CBE","Escalate to Roxanne"))</f>
        <v/>
      </c>
    </row>
    <row r="646" spans="13:29">
      <c r="M646" s="14"/>
      <c r="T646" s="16"/>
      <c r="U646" s="17">
        <f>IF(AND(COUNTA($A646:$L646)=0,$N646=""),"",IF($T646="Paid","PAID",IF($T646="Closed","CLOSED",IF($Z646="","",IF($Z646=6,"ESCALATED TO ROXANNE",IF(TODAY()&gt;$AB646,"OVERDUE",IF($AB646&lt;=WORKDAY(TODAY(),1,Holidays),"DUE TOMORROW",IF($Z646=4,"ESCALATED TO LOCAL OFFICE",IF($Z646=5,"ESCALATED TO CBE",IF($AA646=TODAY(),"EMAIL SENT","MONITORING"))))))))))</f>
        <v/>
      </c>
      <c r="V646" s="17">
        <f>IF($U646="",IF(AND(COUNTA($A646:$L646)&gt;0,$N646=""),"Awaiting Collection Email time stamp.",""),IF(OR($U646="PAID",$U646="CLOSED"),IF($U646="PAID","Account paid. Action completed.","Account closed. No further action required."),CHOOSE($Z646,"Collection Email","1st Email Follow-up","2nd Email Follow-up","Escalation to Local Office","Escalation to CBE","Escalation to Roxanne")&amp;" sent "&amp;TEXT($AA646,"dd-mmm")&amp;". "&amp;IF($Z646=6,"Final escalation completed.",IF($U646="OVERDUE","Next: "&amp;$AC646&amp;" was due "&amp;TEXT($AB646,"dd-mmm")&amp;" - "&amp;(NETWORKDAYS($AB646,TODAY(),Holidays)-1)&amp;" business day(s) late. Send now.",IF($U646="DUE TOMORROW","Next: "&amp;$AC646&amp;IF($AB646&lt;=TODAY()," is due TODAY ("," is due next business day (")&amp;TEXT($AB646,"dd-mmm")&amp;").","Next: "&amp;$AC646&amp;" due "&amp;TEXT($AB646,"dd-mmm")&amp;" ("&amp;(NETWORKDAYS(TODAY(),$AB646,Holidays)-1)&amp;" business day(s) left).")))))</f>
        <v/>
      </c>
      <c r="W646" s="17">
        <f>IF($Z646="","",CHOOSE($Z646,"Collection Email","1st Follow-up","2nd Follow-up","Local Office","CBE","Roxanne")&amp;IF($Z646=6," - Final"," - Day "&amp;MAX(0,NETWORKDAYS($AA646,TODAY(),Holidays)-1)&amp;" of "&amp;CHOOSE($Z646,3,3,2,2,3))&amp;" | Total Day "&amp;MAX(0,NETWORKDAYS($N646,TODAY(),Holidays)-1))</f>
        <v/>
      </c>
      <c r="X646" s="18"/>
      <c r="Y646" s="18"/>
      <c r="Z646" s="17">
        <f>IF($N646="","",COUNT($N646:$S646))</f>
        <v/>
      </c>
      <c r="AA646" s="19">
        <f>IF($Z646="","",INT(INDEX($N646:$S646,$Z646)))</f>
        <v/>
      </c>
      <c r="AB646" s="19">
        <f>IF(OR($Z646="",$Z646=6),"",WORKDAY($AA646,CHOOSE($Z646,3,3,2,2,3),Holidays))</f>
        <v/>
      </c>
      <c r="AC646" s="17">
        <f>IF(OR($Z646="",$Z646=6),"",CHOOSE($Z646,"1st Email Follow-up","2nd Email Follow-up","Escalate Local Office","Escalate to CBE","Escalate to Roxanne"))</f>
        <v/>
      </c>
    </row>
    <row r="647" spans="13:29">
      <c r="M647" s="14"/>
      <c r="T647" s="16"/>
      <c r="U647" s="17">
        <f>IF(AND(COUNTA($A647:$L647)=0,$N647=""),"",IF($T647="Paid","PAID",IF($T647="Closed","CLOSED",IF($Z647="","",IF($Z647=6,"ESCALATED TO ROXANNE",IF(TODAY()&gt;$AB647,"OVERDUE",IF($AB647&lt;=WORKDAY(TODAY(),1,Holidays),"DUE TOMORROW",IF($Z647=4,"ESCALATED TO LOCAL OFFICE",IF($Z647=5,"ESCALATED TO CBE",IF($AA647=TODAY(),"EMAIL SENT","MONITORING"))))))))))</f>
        <v/>
      </c>
      <c r="V647" s="17">
        <f>IF($U647="",IF(AND(COUNTA($A647:$L647)&gt;0,$N647=""),"Awaiting Collection Email time stamp.",""),IF(OR($U647="PAID",$U647="CLOSED"),IF($U647="PAID","Account paid. Action completed.","Account closed. No further action required."),CHOOSE($Z647,"Collection Email","1st Email Follow-up","2nd Email Follow-up","Escalation to Local Office","Escalation to CBE","Escalation to Roxanne")&amp;" sent "&amp;TEXT($AA647,"dd-mmm")&amp;". "&amp;IF($Z647=6,"Final escalation completed.",IF($U647="OVERDUE","Next: "&amp;$AC647&amp;" was due "&amp;TEXT($AB647,"dd-mmm")&amp;" - "&amp;(NETWORKDAYS($AB647,TODAY(),Holidays)-1)&amp;" business day(s) late. Send now.",IF($U647="DUE TOMORROW","Next: "&amp;$AC647&amp;IF($AB647&lt;=TODAY()," is due TODAY ("," is due next business day (")&amp;TEXT($AB647,"dd-mmm")&amp;").","Next: "&amp;$AC647&amp;" due "&amp;TEXT($AB647,"dd-mmm")&amp;" ("&amp;(NETWORKDAYS(TODAY(),$AB647,Holidays)-1)&amp;" business day(s) left).")))))</f>
        <v/>
      </c>
      <c r="W647" s="17">
        <f>IF($Z647="","",CHOOSE($Z647,"Collection Email","1st Follow-up","2nd Follow-up","Local Office","CBE","Roxanne")&amp;IF($Z647=6," - Final"," - Day "&amp;MAX(0,NETWORKDAYS($AA647,TODAY(),Holidays)-1)&amp;" of "&amp;CHOOSE($Z647,3,3,2,2,3))&amp;" | Total Day "&amp;MAX(0,NETWORKDAYS($N647,TODAY(),Holidays)-1))</f>
        <v/>
      </c>
      <c r="X647" s="18"/>
      <c r="Y647" s="18"/>
      <c r="Z647" s="17">
        <f>IF($N647="","",COUNT($N647:$S647))</f>
        <v/>
      </c>
      <c r="AA647" s="19">
        <f>IF($Z647="","",INT(INDEX($N647:$S647,$Z647)))</f>
        <v/>
      </c>
      <c r="AB647" s="19">
        <f>IF(OR($Z647="",$Z647=6),"",WORKDAY($AA647,CHOOSE($Z647,3,3,2,2,3),Holidays))</f>
        <v/>
      </c>
      <c r="AC647" s="17">
        <f>IF(OR($Z647="",$Z647=6),"",CHOOSE($Z647,"1st Email Follow-up","2nd Email Follow-up","Escalate Local Office","Escalate to CBE","Escalate to Roxanne"))</f>
        <v/>
      </c>
    </row>
    <row r="648" spans="13:29">
      <c r="M648" s="14"/>
      <c r="T648" s="16"/>
      <c r="U648" s="17">
        <f>IF(AND(COUNTA($A648:$L648)=0,$N648=""),"",IF($T648="Paid","PAID",IF($T648="Closed","CLOSED",IF($Z648="","",IF($Z648=6,"ESCALATED TO ROXANNE",IF(TODAY()&gt;$AB648,"OVERDUE",IF($AB648&lt;=WORKDAY(TODAY(),1,Holidays),"DUE TOMORROW",IF($Z648=4,"ESCALATED TO LOCAL OFFICE",IF($Z648=5,"ESCALATED TO CBE",IF($AA648=TODAY(),"EMAIL SENT","MONITORING"))))))))))</f>
        <v/>
      </c>
      <c r="V648" s="17">
        <f>IF($U648="",IF(AND(COUNTA($A648:$L648)&gt;0,$N648=""),"Awaiting Collection Email time stamp.",""),IF(OR($U648="PAID",$U648="CLOSED"),IF($U648="PAID","Account paid. Action completed.","Account closed. No further action required."),CHOOSE($Z648,"Collection Email","1st Email Follow-up","2nd Email Follow-up","Escalation to Local Office","Escalation to CBE","Escalation to Roxanne")&amp;" sent "&amp;TEXT($AA648,"dd-mmm")&amp;". "&amp;IF($Z648=6,"Final escalation completed.",IF($U648="OVERDUE","Next: "&amp;$AC648&amp;" was due "&amp;TEXT($AB648,"dd-mmm")&amp;" - "&amp;(NETWORKDAYS($AB648,TODAY(),Holidays)-1)&amp;" business day(s) late. Send now.",IF($U648="DUE TOMORROW","Next: "&amp;$AC648&amp;IF($AB648&lt;=TODAY()," is due TODAY ("," is due next business day (")&amp;TEXT($AB648,"dd-mmm")&amp;").","Next: "&amp;$AC648&amp;" due "&amp;TEXT($AB648,"dd-mmm")&amp;" ("&amp;(NETWORKDAYS(TODAY(),$AB648,Holidays)-1)&amp;" business day(s) left).")))))</f>
        <v/>
      </c>
      <c r="W648" s="17">
        <f>IF($Z648="","",CHOOSE($Z648,"Collection Email","1st Follow-up","2nd Follow-up","Local Office","CBE","Roxanne")&amp;IF($Z648=6," - Final"," - Day "&amp;MAX(0,NETWORKDAYS($AA648,TODAY(),Holidays)-1)&amp;" of "&amp;CHOOSE($Z648,3,3,2,2,3))&amp;" | Total Day "&amp;MAX(0,NETWORKDAYS($N648,TODAY(),Holidays)-1))</f>
        <v/>
      </c>
      <c r="X648" s="18"/>
      <c r="Y648" s="18"/>
      <c r="Z648" s="17">
        <f>IF($N648="","",COUNT($N648:$S648))</f>
        <v/>
      </c>
      <c r="AA648" s="19">
        <f>IF($Z648="","",INT(INDEX($N648:$S648,$Z648)))</f>
        <v/>
      </c>
      <c r="AB648" s="19">
        <f>IF(OR($Z648="",$Z648=6),"",WORKDAY($AA648,CHOOSE($Z648,3,3,2,2,3),Holidays))</f>
        <v/>
      </c>
      <c r="AC648" s="17">
        <f>IF(OR($Z648="",$Z648=6),"",CHOOSE($Z648,"1st Email Follow-up","2nd Email Follow-up","Escalate Local Office","Escalate to CBE","Escalate to Roxanne"))</f>
        <v/>
      </c>
    </row>
    <row r="649" spans="13:29">
      <c r="M649" s="14"/>
      <c r="T649" s="16"/>
      <c r="U649" s="17">
        <f>IF(AND(COUNTA($A649:$L649)=0,$N649=""),"",IF($T649="Paid","PAID",IF($T649="Closed","CLOSED",IF($Z649="","",IF($Z649=6,"ESCALATED TO ROXANNE",IF(TODAY()&gt;$AB649,"OVERDUE",IF($AB649&lt;=WORKDAY(TODAY(),1,Holidays),"DUE TOMORROW",IF($Z649=4,"ESCALATED TO LOCAL OFFICE",IF($Z649=5,"ESCALATED TO CBE",IF($AA649=TODAY(),"EMAIL SENT","MONITORING"))))))))))</f>
        <v/>
      </c>
      <c r="V649" s="17">
        <f>IF($U649="",IF(AND(COUNTA($A649:$L649)&gt;0,$N649=""),"Awaiting Collection Email time stamp.",""),IF(OR($U649="PAID",$U649="CLOSED"),IF($U649="PAID","Account paid. Action completed.","Account closed. No further action required."),CHOOSE($Z649,"Collection Email","1st Email Follow-up","2nd Email Follow-up","Escalation to Local Office","Escalation to CBE","Escalation to Roxanne")&amp;" sent "&amp;TEXT($AA649,"dd-mmm")&amp;". "&amp;IF($Z649=6,"Final escalation completed.",IF($U649="OVERDUE","Next: "&amp;$AC649&amp;" was due "&amp;TEXT($AB649,"dd-mmm")&amp;" - "&amp;(NETWORKDAYS($AB649,TODAY(),Holidays)-1)&amp;" business day(s) late. Send now.",IF($U649="DUE TOMORROW","Next: "&amp;$AC649&amp;IF($AB649&lt;=TODAY()," is due TODAY ("," is due next business day (")&amp;TEXT($AB649,"dd-mmm")&amp;").","Next: "&amp;$AC649&amp;" due "&amp;TEXT($AB649,"dd-mmm")&amp;" ("&amp;(NETWORKDAYS(TODAY(),$AB649,Holidays)-1)&amp;" business day(s) left).")))))</f>
        <v/>
      </c>
      <c r="W649" s="17">
        <f>IF($Z649="","",CHOOSE($Z649,"Collection Email","1st Follow-up","2nd Follow-up","Local Office","CBE","Roxanne")&amp;IF($Z649=6," - Final"," - Day "&amp;MAX(0,NETWORKDAYS($AA649,TODAY(),Holidays)-1)&amp;" of "&amp;CHOOSE($Z649,3,3,2,2,3))&amp;" | Total Day "&amp;MAX(0,NETWORKDAYS($N649,TODAY(),Holidays)-1))</f>
        <v/>
      </c>
      <c r="X649" s="18"/>
      <c r="Y649" s="18"/>
      <c r="Z649" s="17">
        <f>IF($N649="","",COUNT($N649:$S649))</f>
        <v/>
      </c>
      <c r="AA649" s="19">
        <f>IF($Z649="","",INT(INDEX($N649:$S649,$Z649)))</f>
        <v/>
      </c>
      <c r="AB649" s="19">
        <f>IF(OR($Z649="",$Z649=6),"",WORKDAY($AA649,CHOOSE($Z649,3,3,2,2,3),Holidays))</f>
        <v/>
      </c>
      <c r="AC649" s="17">
        <f>IF(OR($Z649="",$Z649=6),"",CHOOSE($Z649,"1st Email Follow-up","2nd Email Follow-up","Escalate Local Office","Escalate to CBE","Escalate to Roxanne"))</f>
        <v/>
      </c>
    </row>
    <row r="650" spans="13:29">
      <c r="M650" s="14"/>
      <c r="T650" s="16"/>
      <c r="U650" s="17">
        <f>IF(AND(COUNTA($A650:$L650)=0,$N650=""),"",IF($T650="Paid","PAID",IF($T650="Closed","CLOSED",IF($Z650="","",IF($Z650=6,"ESCALATED TO ROXANNE",IF(TODAY()&gt;$AB650,"OVERDUE",IF($AB650&lt;=WORKDAY(TODAY(),1,Holidays),"DUE TOMORROW",IF($Z650=4,"ESCALATED TO LOCAL OFFICE",IF($Z650=5,"ESCALATED TO CBE",IF($AA650=TODAY(),"EMAIL SENT","MONITORING"))))))))))</f>
        <v/>
      </c>
      <c r="V650" s="17">
        <f>IF($U650="",IF(AND(COUNTA($A650:$L650)&gt;0,$N650=""),"Awaiting Collection Email time stamp.",""),IF(OR($U650="PAID",$U650="CLOSED"),IF($U650="PAID","Account paid. Action completed.","Account closed. No further action required."),CHOOSE($Z650,"Collection Email","1st Email Follow-up","2nd Email Follow-up","Escalation to Local Office","Escalation to CBE","Escalation to Roxanne")&amp;" sent "&amp;TEXT($AA650,"dd-mmm")&amp;". "&amp;IF($Z650=6,"Final escalation completed.",IF($U650="OVERDUE","Next: "&amp;$AC650&amp;" was due "&amp;TEXT($AB650,"dd-mmm")&amp;" - "&amp;(NETWORKDAYS($AB650,TODAY(),Holidays)-1)&amp;" business day(s) late. Send now.",IF($U650="DUE TOMORROW","Next: "&amp;$AC650&amp;IF($AB650&lt;=TODAY()," is due TODAY ("," is due next business day (")&amp;TEXT($AB650,"dd-mmm")&amp;").","Next: "&amp;$AC650&amp;" due "&amp;TEXT($AB650,"dd-mmm")&amp;" ("&amp;(NETWORKDAYS(TODAY(),$AB650,Holidays)-1)&amp;" business day(s) left).")))))</f>
        <v/>
      </c>
      <c r="W650" s="17">
        <f>IF($Z650="","",CHOOSE($Z650,"Collection Email","1st Follow-up","2nd Follow-up","Local Office","CBE","Roxanne")&amp;IF($Z650=6," - Final"," - Day "&amp;MAX(0,NETWORKDAYS($AA650,TODAY(),Holidays)-1)&amp;" of "&amp;CHOOSE($Z650,3,3,2,2,3))&amp;" | Total Day "&amp;MAX(0,NETWORKDAYS($N650,TODAY(),Holidays)-1))</f>
        <v/>
      </c>
      <c r="X650" s="18"/>
      <c r="Y650" s="18"/>
      <c r="Z650" s="17">
        <f>IF($N650="","",COUNT($N650:$S650))</f>
        <v/>
      </c>
      <c r="AA650" s="19">
        <f>IF($Z650="","",INT(INDEX($N650:$S650,$Z650)))</f>
        <v/>
      </c>
      <c r="AB650" s="19">
        <f>IF(OR($Z650="",$Z650=6),"",WORKDAY($AA650,CHOOSE($Z650,3,3,2,2,3),Holidays))</f>
        <v/>
      </c>
      <c r="AC650" s="17">
        <f>IF(OR($Z650="",$Z650=6),"",CHOOSE($Z650,"1st Email Follow-up","2nd Email Follow-up","Escalate Local Office","Escalate to CBE","Escalate to Roxanne"))</f>
        <v/>
      </c>
    </row>
    <row r="651" spans="13:29">
      <c r="M651" s="14"/>
      <c r="T651" s="16"/>
      <c r="U651" s="17">
        <f>IF(AND(COUNTA($A651:$L651)=0,$N651=""),"",IF($T651="Paid","PAID",IF($T651="Closed","CLOSED",IF($Z651="","",IF($Z651=6,"ESCALATED TO ROXANNE",IF(TODAY()&gt;$AB651,"OVERDUE",IF($AB651&lt;=WORKDAY(TODAY(),1,Holidays),"DUE TOMORROW",IF($Z651=4,"ESCALATED TO LOCAL OFFICE",IF($Z651=5,"ESCALATED TO CBE",IF($AA651=TODAY(),"EMAIL SENT","MONITORING"))))))))))</f>
        <v/>
      </c>
      <c r="V651" s="17">
        <f>IF($U651="",IF(AND(COUNTA($A651:$L651)&gt;0,$N651=""),"Awaiting Collection Email time stamp.",""),IF(OR($U651="PAID",$U651="CLOSED"),IF($U651="PAID","Account paid. Action completed.","Account closed. No further action required."),CHOOSE($Z651,"Collection Email","1st Email Follow-up","2nd Email Follow-up","Escalation to Local Office","Escalation to CBE","Escalation to Roxanne")&amp;" sent "&amp;TEXT($AA651,"dd-mmm")&amp;". "&amp;IF($Z651=6,"Final escalation completed.",IF($U651="OVERDUE","Next: "&amp;$AC651&amp;" was due "&amp;TEXT($AB651,"dd-mmm")&amp;" - "&amp;(NETWORKDAYS($AB651,TODAY(),Holidays)-1)&amp;" business day(s) late. Send now.",IF($U651="DUE TOMORROW","Next: "&amp;$AC651&amp;IF($AB651&lt;=TODAY()," is due TODAY ("," is due next business day (")&amp;TEXT($AB651,"dd-mmm")&amp;").","Next: "&amp;$AC651&amp;" due "&amp;TEXT($AB651,"dd-mmm")&amp;" ("&amp;(NETWORKDAYS(TODAY(),$AB651,Holidays)-1)&amp;" business day(s) left).")))))</f>
        <v/>
      </c>
      <c r="W651" s="17">
        <f>IF($Z651="","",CHOOSE($Z651,"Collection Email","1st Follow-up","2nd Follow-up","Local Office","CBE","Roxanne")&amp;IF($Z651=6," - Final"," - Day "&amp;MAX(0,NETWORKDAYS($AA651,TODAY(),Holidays)-1)&amp;" of "&amp;CHOOSE($Z651,3,3,2,2,3))&amp;" | Total Day "&amp;MAX(0,NETWORKDAYS($N651,TODAY(),Holidays)-1))</f>
        <v/>
      </c>
      <c r="X651" s="18"/>
      <c r="Y651" s="18"/>
      <c r="Z651" s="17">
        <f>IF($N651="","",COUNT($N651:$S651))</f>
        <v/>
      </c>
      <c r="AA651" s="19">
        <f>IF($Z651="","",INT(INDEX($N651:$S651,$Z651)))</f>
        <v/>
      </c>
      <c r="AB651" s="19">
        <f>IF(OR($Z651="",$Z651=6),"",WORKDAY($AA651,CHOOSE($Z651,3,3,2,2,3),Holidays))</f>
        <v/>
      </c>
      <c r="AC651" s="17">
        <f>IF(OR($Z651="",$Z651=6),"",CHOOSE($Z651,"1st Email Follow-up","2nd Email Follow-up","Escalate Local Office","Escalate to CBE","Escalate to Roxanne"))</f>
        <v/>
      </c>
    </row>
    <row r="652" spans="13:29">
      <c r="M652" s="14"/>
      <c r="T652" s="16"/>
      <c r="U652" s="17">
        <f>IF(AND(COUNTA($A652:$L652)=0,$N652=""),"",IF($T652="Paid","PAID",IF($T652="Closed","CLOSED",IF($Z652="","",IF($Z652=6,"ESCALATED TO ROXANNE",IF(TODAY()&gt;$AB652,"OVERDUE",IF($AB652&lt;=WORKDAY(TODAY(),1,Holidays),"DUE TOMORROW",IF($Z652=4,"ESCALATED TO LOCAL OFFICE",IF($Z652=5,"ESCALATED TO CBE",IF($AA652=TODAY(),"EMAIL SENT","MONITORING"))))))))))</f>
        <v/>
      </c>
      <c r="V652" s="17">
        <f>IF($U652="",IF(AND(COUNTA($A652:$L652)&gt;0,$N652=""),"Awaiting Collection Email time stamp.",""),IF(OR($U652="PAID",$U652="CLOSED"),IF($U652="PAID","Account paid. Action completed.","Account closed. No further action required."),CHOOSE($Z652,"Collection Email","1st Email Follow-up","2nd Email Follow-up","Escalation to Local Office","Escalation to CBE","Escalation to Roxanne")&amp;" sent "&amp;TEXT($AA652,"dd-mmm")&amp;". "&amp;IF($Z652=6,"Final escalation completed.",IF($U652="OVERDUE","Next: "&amp;$AC652&amp;" was due "&amp;TEXT($AB652,"dd-mmm")&amp;" - "&amp;(NETWORKDAYS($AB652,TODAY(),Holidays)-1)&amp;" business day(s) late. Send now.",IF($U652="DUE TOMORROW","Next: "&amp;$AC652&amp;IF($AB652&lt;=TODAY()," is due TODAY ("," is due next business day (")&amp;TEXT($AB652,"dd-mmm")&amp;").","Next: "&amp;$AC652&amp;" due "&amp;TEXT($AB652,"dd-mmm")&amp;" ("&amp;(NETWORKDAYS(TODAY(),$AB652,Holidays)-1)&amp;" business day(s) left).")))))</f>
        <v/>
      </c>
      <c r="W652" s="17">
        <f>IF($Z652="","",CHOOSE($Z652,"Collection Email","1st Follow-up","2nd Follow-up","Local Office","CBE","Roxanne")&amp;IF($Z652=6," - Final"," - Day "&amp;MAX(0,NETWORKDAYS($AA652,TODAY(),Holidays)-1)&amp;" of "&amp;CHOOSE($Z652,3,3,2,2,3))&amp;" | Total Day "&amp;MAX(0,NETWORKDAYS($N652,TODAY(),Holidays)-1))</f>
        <v/>
      </c>
      <c r="X652" s="18"/>
      <c r="Y652" s="18"/>
      <c r="Z652" s="17">
        <f>IF($N652="","",COUNT($N652:$S652))</f>
        <v/>
      </c>
      <c r="AA652" s="19">
        <f>IF($Z652="","",INT(INDEX($N652:$S652,$Z652)))</f>
        <v/>
      </c>
      <c r="AB652" s="19">
        <f>IF(OR($Z652="",$Z652=6),"",WORKDAY($AA652,CHOOSE($Z652,3,3,2,2,3),Holidays))</f>
        <v/>
      </c>
      <c r="AC652" s="17">
        <f>IF(OR($Z652="",$Z652=6),"",CHOOSE($Z652,"1st Email Follow-up","2nd Email Follow-up","Escalate Local Office","Escalate to CBE","Escalate to Roxanne"))</f>
        <v/>
      </c>
    </row>
    <row r="653" spans="13:29">
      <c r="M653" s="14"/>
      <c r="T653" s="16"/>
      <c r="U653" s="17">
        <f>IF(AND(COUNTA($A653:$L653)=0,$N653=""),"",IF($T653="Paid","PAID",IF($T653="Closed","CLOSED",IF($Z653="","",IF($Z653=6,"ESCALATED TO ROXANNE",IF(TODAY()&gt;$AB653,"OVERDUE",IF($AB653&lt;=WORKDAY(TODAY(),1,Holidays),"DUE TOMORROW",IF($Z653=4,"ESCALATED TO LOCAL OFFICE",IF($Z653=5,"ESCALATED TO CBE",IF($AA653=TODAY(),"EMAIL SENT","MONITORING"))))))))))</f>
        <v/>
      </c>
      <c r="V653" s="17">
        <f>IF($U653="",IF(AND(COUNTA($A653:$L653)&gt;0,$N653=""),"Awaiting Collection Email time stamp.",""),IF(OR($U653="PAID",$U653="CLOSED"),IF($U653="PAID","Account paid. Action completed.","Account closed. No further action required."),CHOOSE($Z653,"Collection Email","1st Email Follow-up","2nd Email Follow-up","Escalation to Local Office","Escalation to CBE","Escalation to Roxanne")&amp;" sent "&amp;TEXT($AA653,"dd-mmm")&amp;". "&amp;IF($Z653=6,"Final escalation completed.",IF($U653="OVERDUE","Next: "&amp;$AC653&amp;" was due "&amp;TEXT($AB653,"dd-mmm")&amp;" - "&amp;(NETWORKDAYS($AB653,TODAY(),Holidays)-1)&amp;" business day(s) late. Send now.",IF($U653="DUE TOMORROW","Next: "&amp;$AC653&amp;IF($AB653&lt;=TODAY()," is due TODAY ("," is due next business day (")&amp;TEXT($AB653,"dd-mmm")&amp;").","Next: "&amp;$AC653&amp;" due "&amp;TEXT($AB653,"dd-mmm")&amp;" ("&amp;(NETWORKDAYS(TODAY(),$AB653,Holidays)-1)&amp;" business day(s) left).")))))</f>
        <v/>
      </c>
      <c r="W653" s="17">
        <f>IF($Z653="","",CHOOSE($Z653,"Collection Email","1st Follow-up","2nd Follow-up","Local Office","CBE","Roxanne")&amp;IF($Z653=6," - Final"," - Day "&amp;MAX(0,NETWORKDAYS($AA653,TODAY(),Holidays)-1)&amp;" of "&amp;CHOOSE($Z653,3,3,2,2,3))&amp;" | Total Day "&amp;MAX(0,NETWORKDAYS($N653,TODAY(),Holidays)-1))</f>
        <v/>
      </c>
      <c r="X653" s="18"/>
      <c r="Y653" s="18"/>
      <c r="Z653" s="17">
        <f>IF($N653="","",COUNT($N653:$S653))</f>
        <v/>
      </c>
      <c r="AA653" s="19">
        <f>IF($Z653="","",INT(INDEX($N653:$S653,$Z653)))</f>
        <v/>
      </c>
      <c r="AB653" s="19">
        <f>IF(OR($Z653="",$Z653=6),"",WORKDAY($AA653,CHOOSE($Z653,3,3,2,2,3),Holidays))</f>
        <v/>
      </c>
      <c r="AC653" s="17">
        <f>IF(OR($Z653="",$Z653=6),"",CHOOSE($Z653,"1st Email Follow-up","2nd Email Follow-up","Escalate Local Office","Escalate to CBE","Escalate to Roxanne"))</f>
        <v/>
      </c>
    </row>
    <row r="654" spans="13:29">
      <c r="M654" s="14"/>
      <c r="T654" s="16"/>
      <c r="U654" s="17">
        <f>IF(AND(COUNTA($A654:$L654)=0,$N654=""),"",IF($T654="Paid","PAID",IF($T654="Closed","CLOSED",IF($Z654="","",IF($Z654=6,"ESCALATED TO ROXANNE",IF(TODAY()&gt;$AB654,"OVERDUE",IF($AB654&lt;=WORKDAY(TODAY(),1,Holidays),"DUE TOMORROW",IF($Z654=4,"ESCALATED TO LOCAL OFFICE",IF($Z654=5,"ESCALATED TO CBE",IF($AA654=TODAY(),"EMAIL SENT","MONITORING"))))))))))</f>
        <v/>
      </c>
      <c r="V654" s="17">
        <f>IF($U654="",IF(AND(COUNTA($A654:$L654)&gt;0,$N654=""),"Awaiting Collection Email time stamp.",""),IF(OR($U654="PAID",$U654="CLOSED"),IF($U654="PAID","Account paid. Action completed.","Account closed. No further action required."),CHOOSE($Z654,"Collection Email","1st Email Follow-up","2nd Email Follow-up","Escalation to Local Office","Escalation to CBE","Escalation to Roxanne")&amp;" sent "&amp;TEXT($AA654,"dd-mmm")&amp;". "&amp;IF($Z654=6,"Final escalation completed.",IF($U654="OVERDUE","Next: "&amp;$AC654&amp;" was due "&amp;TEXT($AB654,"dd-mmm")&amp;" - "&amp;(NETWORKDAYS($AB654,TODAY(),Holidays)-1)&amp;" business day(s) late. Send now.",IF($U654="DUE TOMORROW","Next: "&amp;$AC654&amp;IF($AB654&lt;=TODAY()," is due TODAY ("," is due next business day (")&amp;TEXT($AB654,"dd-mmm")&amp;").","Next: "&amp;$AC654&amp;" due "&amp;TEXT($AB654,"dd-mmm")&amp;" ("&amp;(NETWORKDAYS(TODAY(),$AB654,Holidays)-1)&amp;" business day(s) left).")))))</f>
        <v/>
      </c>
      <c r="W654" s="17">
        <f>IF($Z654="","",CHOOSE($Z654,"Collection Email","1st Follow-up","2nd Follow-up","Local Office","CBE","Roxanne")&amp;IF($Z654=6," - Final"," - Day "&amp;MAX(0,NETWORKDAYS($AA654,TODAY(),Holidays)-1)&amp;" of "&amp;CHOOSE($Z654,3,3,2,2,3))&amp;" | Total Day "&amp;MAX(0,NETWORKDAYS($N654,TODAY(),Holidays)-1))</f>
        <v/>
      </c>
      <c r="X654" s="18"/>
      <c r="Y654" s="18"/>
      <c r="Z654" s="17">
        <f>IF($N654="","",COUNT($N654:$S654))</f>
        <v/>
      </c>
      <c r="AA654" s="19">
        <f>IF($Z654="","",INT(INDEX($N654:$S654,$Z654)))</f>
        <v/>
      </c>
      <c r="AB654" s="19">
        <f>IF(OR($Z654="",$Z654=6),"",WORKDAY($AA654,CHOOSE($Z654,3,3,2,2,3),Holidays))</f>
        <v/>
      </c>
      <c r="AC654" s="17">
        <f>IF(OR($Z654="",$Z654=6),"",CHOOSE($Z654,"1st Email Follow-up","2nd Email Follow-up","Escalate Local Office","Escalate to CBE","Escalate to Roxanne"))</f>
        <v/>
      </c>
    </row>
    <row r="655" spans="13:29">
      <c r="M655" s="14"/>
      <c r="T655" s="16"/>
      <c r="U655" s="17">
        <f>IF(AND(COUNTA($A655:$L655)=0,$N655=""),"",IF($T655="Paid","PAID",IF($T655="Closed","CLOSED",IF($Z655="","",IF($Z655=6,"ESCALATED TO ROXANNE",IF(TODAY()&gt;$AB655,"OVERDUE",IF($AB655&lt;=WORKDAY(TODAY(),1,Holidays),"DUE TOMORROW",IF($Z655=4,"ESCALATED TO LOCAL OFFICE",IF($Z655=5,"ESCALATED TO CBE",IF($AA655=TODAY(),"EMAIL SENT","MONITORING"))))))))))</f>
        <v/>
      </c>
      <c r="V655" s="17">
        <f>IF($U655="",IF(AND(COUNTA($A655:$L655)&gt;0,$N655=""),"Awaiting Collection Email time stamp.",""),IF(OR($U655="PAID",$U655="CLOSED"),IF($U655="PAID","Account paid. Action completed.","Account closed. No further action required."),CHOOSE($Z655,"Collection Email","1st Email Follow-up","2nd Email Follow-up","Escalation to Local Office","Escalation to CBE","Escalation to Roxanne")&amp;" sent "&amp;TEXT($AA655,"dd-mmm")&amp;". "&amp;IF($Z655=6,"Final escalation completed.",IF($U655="OVERDUE","Next: "&amp;$AC655&amp;" was due "&amp;TEXT($AB655,"dd-mmm")&amp;" - "&amp;(NETWORKDAYS($AB655,TODAY(),Holidays)-1)&amp;" business day(s) late. Send now.",IF($U655="DUE TOMORROW","Next: "&amp;$AC655&amp;IF($AB655&lt;=TODAY()," is due TODAY ("," is due next business day (")&amp;TEXT($AB655,"dd-mmm")&amp;").","Next: "&amp;$AC655&amp;" due "&amp;TEXT($AB655,"dd-mmm")&amp;" ("&amp;(NETWORKDAYS(TODAY(),$AB655,Holidays)-1)&amp;" business day(s) left).")))))</f>
        <v/>
      </c>
      <c r="W655" s="17">
        <f>IF($Z655="","",CHOOSE($Z655,"Collection Email","1st Follow-up","2nd Follow-up","Local Office","CBE","Roxanne")&amp;IF($Z655=6," - Final"," - Day "&amp;MAX(0,NETWORKDAYS($AA655,TODAY(),Holidays)-1)&amp;" of "&amp;CHOOSE($Z655,3,3,2,2,3))&amp;" | Total Day "&amp;MAX(0,NETWORKDAYS($N655,TODAY(),Holidays)-1))</f>
        <v/>
      </c>
      <c r="X655" s="18"/>
      <c r="Y655" s="18"/>
      <c r="Z655" s="17">
        <f>IF($N655="","",COUNT($N655:$S655))</f>
        <v/>
      </c>
      <c r="AA655" s="19">
        <f>IF($Z655="","",INT(INDEX($N655:$S655,$Z655)))</f>
        <v/>
      </c>
      <c r="AB655" s="19">
        <f>IF(OR($Z655="",$Z655=6),"",WORKDAY($AA655,CHOOSE($Z655,3,3,2,2,3),Holidays))</f>
        <v/>
      </c>
      <c r="AC655" s="17">
        <f>IF(OR($Z655="",$Z655=6),"",CHOOSE($Z655,"1st Email Follow-up","2nd Email Follow-up","Escalate Local Office","Escalate to CBE","Escalate to Roxanne"))</f>
        <v/>
      </c>
    </row>
    <row r="656" spans="13:29">
      <c r="M656" s="14"/>
      <c r="T656" s="16"/>
      <c r="U656" s="17">
        <f>IF(AND(COUNTA($A656:$L656)=0,$N656=""),"",IF($T656="Paid","PAID",IF($T656="Closed","CLOSED",IF($Z656="","",IF($Z656=6,"ESCALATED TO ROXANNE",IF(TODAY()&gt;$AB656,"OVERDUE",IF($AB656&lt;=WORKDAY(TODAY(),1,Holidays),"DUE TOMORROW",IF($Z656=4,"ESCALATED TO LOCAL OFFICE",IF($Z656=5,"ESCALATED TO CBE",IF($AA656=TODAY(),"EMAIL SENT","MONITORING"))))))))))</f>
        <v/>
      </c>
      <c r="V656" s="17">
        <f>IF($U656="",IF(AND(COUNTA($A656:$L656)&gt;0,$N656=""),"Awaiting Collection Email time stamp.",""),IF(OR($U656="PAID",$U656="CLOSED"),IF($U656="PAID","Account paid. Action completed.","Account closed. No further action required."),CHOOSE($Z656,"Collection Email","1st Email Follow-up","2nd Email Follow-up","Escalation to Local Office","Escalation to CBE","Escalation to Roxanne")&amp;" sent "&amp;TEXT($AA656,"dd-mmm")&amp;". "&amp;IF($Z656=6,"Final escalation completed.",IF($U656="OVERDUE","Next: "&amp;$AC656&amp;" was due "&amp;TEXT($AB656,"dd-mmm")&amp;" - "&amp;(NETWORKDAYS($AB656,TODAY(),Holidays)-1)&amp;" business day(s) late. Send now.",IF($U656="DUE TOMORROW","Next: "&amp;$AC656&amp;IF($AB656&lt;=TODAY()," is due TODAY ("," is due next business day (")&amp;TEXT($AB656,"dd-mmm")&amp;").","Next: "&amp;$AC656&amp;" due "&amp;TEXT($AB656,"dd-mmm")&amp;" ("&amp;(NETWORKDAYS(TODAY(),$AB656,Holidays)-1)&amp;" business day(s) left).")))))</f>
        <v/>
      </c>
      <c r="W656" s="17">
        <f>IF($Z656="","",CHOOSE($Z656,"Collection Email","1st Follow-up","2nd Follow-up","Local Office","CBE","Roxanne")&amp;IF($Z656=6," - Final"," - Day "&amp;MAX(0,NETWORKDAYS($AA656,TODAY(),Holidays)-1)&amp;" of "&amp;CHOOSE($Z656,3,3,2,2,3))&amp;" | Total Day "&amp;MAX(0,NETWORKDAYS($N656,TODAY(),Holidays)-1))</f>
        <v/>
      </c>
      <c r="X656" s="18"/>
      <c r="Y656" s="18"/>
      <c r="Z656" s="17">
        <f>IF($N656="","",COUNT($N656:$S656))</f>
        <v/>
      </c>
      <c r="AA656" s="19">
        <f>IF($Z656="","",INT(INDEX($N656:$S656,$Z656)))</f>
        <v/>
      </c>
      <c r="AB656" s="19">
        <f>IF(OR($Z656="",$Z656=6),"",WORKDAY($AA656,CHOOSE($Z656,3,3,2,2,3),Holidays))</f>
        <v/>
      </c>
      <c r="AC656" s="17">
        <f>IF(OR($Z656="",$Z656=6),"",CHOOSE($Z656,"1st Email Follow-up","2nd Email Follow-up","Escalate Local Office","Escalate to CBE","Escalate to Roxanne"))</f>
        <v/>
      </c>
    </row>
    <row r="657" spans="13:29">
      <c r="M657" s="14"/>
      <c r="T657" s="16"/>
      <c r="U657" s="17">
        <f>IF(AND(COUNTA($A657:$L657)=0,$N657=""),"",IF($T657="Paid","PAID",IF($T657="Closed","CLOSED",IF($Z657="","",IF($Z657=6,"ESCALATED TO ROXANNE",IF(TODAY()&gt;$AB657,"OVERDUE",IF($AB657&lt;=WORKDAY(TODAY(),1,Holidays),"DUE TOMORROW",IF($Z657=4,"ESCALATED TO LOCAL OFFICE",IF($Z657=5,"ESCALATED TO CBE",IF($AA657=TODAY(),"EMAIL SENT","MONITORING"))))))))))</f>
        <v/>
      </c>
      <c r="V657" s="17">
        <f>IF($U657="",IF(AND(COUNTA($A657:$L657)&gt;0,$N657=""),"Awaiting Collection Email time stamp.",""),IF(OR($U657="PAID",$U657="CLOSED"),IF($U657="PAID","Account paid. Action completed.","Account closed. No further action required."),CHOOSE($Z657,"Collection Email","1st Email Follow-up","2nd Email Follow-up","Escalation to Local Office","Escalation to CBE","Escalation to Roxanne")&amp;" sent "&amp;TEXT($AA657,"dd-mmm")&amp;". "&amp;IF($Z657=6,"Final escalation completed.",IF($U657="OVERDUE","Next: "&amp;$AC657&amp;" was due "&amp;TEXT($AB657,"dd-mmm")&amp;" - "&amp;(NETWORKDAYS($AB657,TODAY(),Holidays)-1)&amp;" business day(s) late. Send now.",IF($U657="DUE TOMORROW","Next: "&amp;$AC657&amp;IF($AB657&lt;=TODAY()," is due TODAY ("," is due next business day (")&amp;TEXT($AB657,"dd-mmm")&amp;").","Next: "&amp;$AC657&amp;" due "&amp;TEXT($AB657,"dd-mmm")&amp;" ("&amp;(NETWORKDAYS(TODAY(),$AB657,Holidays)-1)&amp;" business day(s) left).")))))</f>
        <v/>
      </c>
      <c r="W657" s="17">
        <f>IF($Z657="","",CHOOSE($Z657,"Collection Email","1st Follow-up","2nd Follow-up","Local Office","CBE","Roxanne")&amp;IF($Z657=6," - Final"," - Day "&amp;MAX(0,NETWORKDAYS($AA657,TODAY(),Holidays)-1)&amp;" of "&amp;CHOOSE($Z657,3,3,2,2,3))&amp;" | Total Day "&amp;MAX(0,NETWORKDAYS($N657,TODAY(),Holidays)-1))</f>
        <v/>
      </c>
      <c r="X657" s="18"/>
      <c r="Y657" s="18"/>
      <c r="Z657" s="17">
        <f>IF($N657="","",COUNT($N657:$S657))</f>
        <v/>
      </c>
      <c r="AA657" s="19">
        <f>IF($Z657="","",INT(INDEX($N657:$S657,$Z657)))</f>
        <v/>
      </c>
      <c r="AB657" s="19">
        <f>IF(OR($Z657="",$Z657=6),"",WORKDAY($AA657,CHOOSE($Z657,3,3,2,2,3),Holidays))</f>
        <v/>
      </c>
      <c r="AC657" s="17">
        <f>IF(OR($Z657="",$Z657=6),"",CHOOSE($Z657,"1st Email Follow-up","2nd Email Follow-up","Escalate Local Office","Escalate to CBE","Escalate to Roxanne"))</f>
        <v/>
      </c>
    </row>
    <row r="658" spans="13:29">
      <c r="M658" s="14"/>
      <c r="T658" s="16"/>
      <c r="U658" s="17">
        <f>IF(AND(COUNTA($A658:$L658)=0,$N658=""),"",IF($T658="Paid","PAID",IF($T658="Closed","CLOSED",IF($Z658="","",IF($Z658=6,"ESCALATED TO ROXANNE",IF(TODAY()&gt;$AB658,"OVERDUE",IF($AB658&lt;=WORKDAY(TODAY(),1,Holidays),"DUE TOMORROW",IF($Z658=4,"ESCALATED TO LOCAL OFFICE",IF($Z658=5,"ESCALATED TO CBE",IF($AA658=TODAY(),"EMAIL SENT","MONITORING"))))))))))</f>
        <v/>
      </c>
      <c r="V658" s="17">
        <f>IF($U658="",IF(AND(COUNTA($A658:$L658)&gt;0,$N658=""),"Awaiting Collection Email time stamp.",""),IF(OR($U658="PAID",$U658="CLOSED"),IF($U658="PAID","Account paid. Action completed.","Account closed. No further action required."),CHOOSE($Z658,"Collection Email","1st Email Follow-up","2nd Email Follow-up","Escalation to Local Office","Escalation to CBE","Escalation to Roxanne")&amp;" sent "&amp;TEXT($AA658,"dd-mmm")&amp;". "&amp;IF($Z658=6,"Final escalation completed.",IF($U658="OVERDUE","Next: "&amp;$AC658&amp;" was due "&amp;TEXT($AB658,"dd-mmm")&amp;" - "&amp;(NETWORKDAYS($AB658,TODAY(),Holidays)-1)&amp;" business day(s) late. Send now.",IF($U658="DUE TOMORROW","Next: "&amp;$AC658&amp;IF($AB658&lt;=TODAY()," is due TODAY ("," is due next business day (")&amp;TEXT($AB658,"dd-mmm")&amp;").","Next: "&amp;$AC658&amp;" due "&amp;TEXT($AB658,"dd-mmm")&amp;" ("&amp;(NETWORKDAYS(TODAY(),$AB658,Holidays)-1)&amp;" business day(s) left).")))))</f>
        <v/>
      </c>
      <c r="W658" s="17">
        <f>IF($Z658="","",CHOOSE($Z658,"Collection Email","1st Follow-up","2nd Follow-up","Local Office","CBE","Roxanne")&amp;IF($Z658=6," - Final"," - Day "&amp;MAX(0,NETWORKDAYS($AA658,TODAY(),Holidays)-1)&amp;" of "&amp;CHOOSE($Z658,3,3,2,2,3))&amp;" | Total Day "&amp;MAX(0,NETWORKDAYS($N658,TODAY(),Holidays)-1))</f>
        <v/>
      </c>
      <c r="X658" s="18"/>
      <c r="Y658" s="18"/>
      <c r="Z658" s="17">
        <f>IF($N658="","",COUNT($N658:$S658))</f>
        <v/>
      </c>
      <c r="AA658" s="19">
        <f>IF($Z658="","",INT(INDEX($N658:$S658,$Z658)))</f>
        <v/>
      </c>
      <c r="AB658" s="19">
        <f>IF(OR($Z658="",$Z658=6),"",WORKDAY($AA658,CHOOSE($Z658,3,3,2,2,3),Holidays))</f>
        <v/>
      </c>
      <c r="AC658" s="17">
        <f>IF(OR($Z658="",$Z658=6),"",CHOOSE($Z658,"1st Email Follow-up","2nd Email Follow-up","Escalate Local Office","Escalate to CBE","Escalate to Roxanne"))</f>
        <v/>
      </c>
    </row>
    <row r="659" spans="13:29">
      <c r="M659" s="14"/>
      <c r="T659" s="16"/>
      <c r="U659" s="17">
        <f>IF(AND(COUNTA($A659:$L659)=0,$N659=""),"",IF($T659="Paid","PAID",IF($T659="Closed","CLOSED",IF($Z659="","",IF($Z659=6,"ESCALATED TO ROXANNE",IF(TODAY()&gt;$AB659,"OVERDUE",IF($AB659&lt;=WORKDAY(TODAY(),1,Holidays),"DUE TOMORROW",IF($Z659=4,"ESCALATED TO LOCAL OFFICE",IF($Z659=5,"ESCALATED TO CBE",IF($AA659=TODAY(),"EMAIL SENT","MONITORING"))))))))))</f>
        <v/>
      </c>
      <c r="V659" s="17">
        <f>IF($U659="",IF(AND(COUNTA($A659:$L659)&gt;0,$N659=""),"Awaiting Collection Email time stamp.",""),IF(OR($U659="PAID",$U659="CLOSED"),IF($U659="PAID","Account paid. Action completed.","Account closed. No further action required."),CHOOSE($Z659,"Collection Email","1st Email Follow-up","2nd Email Follow-up","Escalation to Local Office","Escalation to CBE","Escalation to Roxanne")&amp;" sent "&amp;TEXT($AA659,"dd-mmm")&amp;". "&amp;IF($Z659=6,"Final escalation completed.",IF($U659="OVERDUE","Next: "&amp;$AC659&amp;" was due "&amp;TEXT($AB659,"dd-mmm")&amp;" - "&amp;(NETWORKDAYS($AB659,TODAY(),Holidays)-1)&amp;" business day(s) late. Send now.",IF($U659="DUE TOMORROW","Next: "&amp;$AC659&amp;IF($AB659&lt;=TODAY()," is due TODAY ("," is due next business day (")&amp;TEXT($AB659,"dd-mmm")&amp;").","Next: "&amp;$AC659&amp;" due "&amp;TEXT($AB659,"dd-mmm")&amp;" ("&amp;(NETWORKDAYS(TODAY(),$AB659,Holidays)-1)&amp;" business day(s) left).")))))</f>
        <v/>
      </c>
      <c r="W659" s="17">
        <f>IF($Z659="","",CHOOSE($Z659,"Collection Email","1st Follow-up","2nd Follow-up","Local Office","CBE","Roxanne")&amp;IF($Z659=6," - Final"," - Day "&amp;MAX(0,NETWORKDAYS($AA659,TODAY(),Holidays)-1)&amp;" of "&amp;CHOOSE($Z659,3,3,2,2,3))&amp;" | Total Day "&amp;MAX(0,NETWORKDAYS($N659,TODAY(),Holidays)-1))</f>
        <v/>
      </c>
      <c r="X659" s="18"/>
      <c r="Y659" s="18"/>
      <c r="Z659" s="17">
        <f>IF($N659="","",COUNT($N659:$S659))</f>
        <v/>
      </c>
      <c r="AA659" s="19">
        <f>IF($Z659="","",INT(INDEX($N659:$S659,$Z659)))</f>
        <v/>
      </c>
      <c r="AB659" s="19">
        <f>IF(OR($Z659="",$Z659=6),"",WORKDAY($AA659,CHOOSE($Z659,3,3,2,2,3),Holidays))</f>
        <v/>
      </c>
      <c r="AC659" s="17">
        <f>IF(OR($Z659="",$Z659=6),"",CHOOSE($Z659,"1st Email Follow-up","2nd Email Follow-up","Escalate Local Office","Escalate to CBE","Escalate to Roxanne"))</f>
        <v/>
      </c>
    </row>
    <row r="660" spans="13:29">
      <c r="M660" s="14"/>
      <c r="T660" s="16"/>
      <c r="U660" s="17">
        <f>IF(AND(COUNTA($A660:$L660)=0,$N660=""),"",IF($T660="Paid","PAID",IF($T660="Closed","CLOSED",IF($Z660="","",IF($Z660=6,"ESCALATED TO ROXANNE",IF(TODAY()&gt;$AB660,"OVERDUE",IF($AB660&lt;=WORKDAY(TODAY(),1,Holidays),"DUE TOMORROW",IF($Z660=4,"ESCALATED TO LOCAL OFFICE",IF($Z660=5,"ESCALATED TO CBE",IF($AA660=TODAY(),"EMAIL SENT","MONITORING"))))))))))</f>
        <v/>
      </c>
      <c r="V660" s="17">
        <f>IF($U660="",IF(AND(COUNTA($A660:$L660)&gt;0,$N660=""),"Awaiting Collection Email time stamp.",""),IF(OR($U660="PAID",$U660="CLOSED"),IF($U660="PAID","Account paid. Action completed.","Account closed. No further action required."),CHOOSE($Z660,"Collection Email","1st Email Follow-up","2nd Email Follow-up","Escalation to Local Office","Escalation to CBE","Escalation to Roxanne")&amp;" sent "&amp;TEXT($AA660,"dd-mmm")&amp;". "&amp;IF($Z660=6,"Final escalation completed.",IF($U660="OVERDUE","Next: "&amp;$AC660&amp;" was due "&amp;TEXT($AB660,"dd-mmm")&amp;" - "&amp;(NETWORKDAYS($AB660,TODAY(),Holidays)-1)&amp;" business day(s) late. Send now.",IF($U660="DUE TOMORROW","Next: "&amp;$AC660&amp;IF($AB660&lt;=TODAY()," is due TODAY ("," is due next business day (")&amp;TEXT($AB660,"dd-mmm")&amp;").","Next: "&amp;$AC660&amp;" due "&amp;TEXT($AB660,"dd-mmm")&amp;" ("&amp;(NETWORKDAYS(TODAY(),$AB660,Holidays)-1)&amp;" business day(s) left).")))))</f>
        <v/>
      </c>
      <c r="W660" s="17">
        <f>IF($Z660="","",CHOOSE($Z660,"Collection Email","1st Follow-up","2nd Follow-up","Local Office","CBE","Roxanne")&amp;IF($Z660=6," - Final"," - Day "&amp;MAX(0,NETWORKDAYS($AA660,TODAY(),Holidays)-1)&amp;" of "&amp;CHOOSE($Z660,3,3,2,2,3))&amp;" | Total Day "&amp;MAX(0,NETWORKDAYS($N660,TODAY(),Holidays)-1))</f>
        <v/>
      </c>
      <c r="X660" s="18"/>
      <c r="Y660" s="18"/>
      <c r="Z660" s="17">
        <f>IF($N660="","",COUNT($N660:$S660))</f>
        <v/>
      </c>
      <c r="AA660" s="19">
        <f>IF($Z660="","",INT(INDEX($N660:$S660,$Z660)))</f>
        <v/>
      </c>
      <c r="AB660" s="19">
        <f>IF(OR($Z660="",$Z660=6),"",WORKDAY($AA660,CHOOSE($Z660,3,3,2,2,3),Holidays))</f>
        <v/>
      </c>
      <c r="AC660" s="17">
        <f>IF(OR($Z660="",$Z660=6),"",CHOOSE($Z660,"1st Email Follow-up","2nd Email Follow-up","Escalate Local Office","Escalate to CBE","Escalate to Roxanne"))</f>
        <v/>
      </c>
    </row>
    <row r="661" spans="13:29">
      <c r="M661" s="14"/>
      <c r="T661" s="16"/>
      <c r="U661" s="17">
        <f>IF(AND(COUNTA($A661:$L661)=0,$N661=""),"",IF($T661="Paid","PAID",IF($T661="Closed","CLOSED",IF($Z661="","",IF($Z661=6,"ESCALATED TO ROXANNE",IF(TODAY()&gt;$AB661,"OVERDUE",IF($AB661&lt;=WORKDAY(TODAY(),1,Holidays),"DUE TOMORROW",IF($Z661=4,"ESCALATED TO LOCAL OFFICE",IF($Z661=5,"ESCALATED TO CBE",IF($AA661=TODAY(),"EMAIL SENT","MONITORING"))))))))))</f>
        <v/>
      </c>
      <c r="V661" s="17">
        <f>IF($U661="",IF(AND(COUNTA($A661:$L661)&gt;0,$N661=""),"Awaiting Collection Email time stamp.",""),IF(OR($U661="PAID",$U661="CLOSED"),IF($U661="PAID","Account paid. Action completed.","Account closed. No further action required."),CHOOSE($Z661,"Collection Email","1st Email Follow-up","2nd Email Follow-up","Escalation to Local Office","Escalation to CBE","Escalation to Roxanne")&amp;" sent "&amp;TEXT($AA661,"dd-mmm")&amp;". "&amp;IF($Z661=6,"Final escalation completed.",IF($U661="OVERDUE","Next: "&amp;$AC661&amp;" was due "&amp;TEXT($AB661,"dd-mmm")&amp;" - "&amp;(NETWORKDAYS($AB661,TODAY(),Holidays)-1)&amp;" business day(s) late. Send now.",IF($U661="DUE TOMORROW","Next: "&amp;$AC661&amp;IF($AB661&lt;=TODAY()," is due TODAY ("," is due next business day (")&amp;TEXT($AB661,"dd-mmm")&amp;").","Next: "&amp;$AC661&amp;" due "&amp;TEXT($AB661,"dd-mmm")&amp;" ("&amp;(NETWORKDAYS(TODAY(),$AB661,Holidays)-1)&amp;" business day(s) left).")))))</f>
        <v/>
      </c>
      <c r="W661" s="17">
        <f>IF($Z661="","",CHOOSE($Z661,"Collection Email","1st Follow-up","2nd Follow-up","Local Office","CBE","Roxanne")&amp;IF($Z661=6," - Final"," - Day "&amp;MAX(0,NETWORKDAYS($AA661,TODAY(),Holidays)-1)&amp;" of "&amp;CHOOSE($Z661,3,3,2,2,3))&amp;" | Total Day "&amp;MAX(0,NETWORKDAYS($N661,TODAY(),Holidays)-1))</f>
        <v/>
      </c>
      <c r="X661" s="18"/>
      <c r="Y661" s="18"/>
      <c r="Z661" s="17">
        <f>IF($N661="","",COUNT($N661:$S661))</f>
        <v/>
      </c>
      <c r="AA661" s="19">
        <f>IF($Z661="","",INT(INDEX($N661:$S661,$Z661)))</f>
        <v/>
      </c>
      <c r="AB661" s="19">
        <f>IF(OR($Z661="",$Z661=6),"",WORKDAY($AA661,CHOOSE($Z661,3,3,2,2,3),Holidays))</f>
        <v/>
      </c>
      <c r="AC661" s="17">
        <f>IF(OR($Z661="",$Z661=6),"",CHOOSE($Z661,"1st Email Follow-up","2nd Email Follow-up","Escalate Local Office","Escalate to CBE","Escalate to Roxanne"))</f>
        <v/>
      </c>
    </row>
    <row r="662" spans="13:29">
      <c r="M662" s="14"/>
      <c r="T662" s="16"/>
      <c r="U662" s="17">
        <f>IF(AND(COUNTA($A662:$L662)=0,$N662=""),"",IF($T662="Paid","PAID",IF($T662="Closed","CLOSED",IF($Z662="","",IF($Z662=6,"ESCALATED TO ROXANNE",IF(TODAY()&gt;$AB662,"OVERDUE",IF($AB662&lt;=WORKDAY(TODAY(),1,Holidays),"DUE TOMORROW",IF($Z662=4,"ESCALATED TO LOCAL OFFICE",IF($Z662=5,"ESCALATED TO CBE",IF($AA662=TODAY(),"EMAIL SENT","MONITORING"))))))))))</f>
        <v/>
      </c>
      <c r="V662" s="17">
        <f>IF($U662="",IF(AND(COUNTA($A662:$L662)&gt;0,$N662=""),"Awaiting Collection Email time stamp.",""),IF(OR($U662="PAID",$U662="CLOSED"),IF($U662="PAID","Account paid. Action completed.","Account closed. No further action required."),CHOOSE($Z662,"Collection Email","1st Email Follow-up","2nd Email Follow-up","Escalation to Local Office","Escalation to CBE","Escalation to Roxanne")&amp;" sent "&amp;TEXT($AA662,"dd-mmm")&amp;". "&amp;IF($Z662=6,"Final escalation completed.",IF($U662="OVERDUE","Next: "&amp;$AC662&amp;" was due "&amp;TEXT($AB662,"dd-mmm")&amp;" - "&amp;(NETWORKDAYS($AB662,TODAY(),Holidays)-1)&amp;" business day(s) late. Send now.",IF($U662="DUE TOMORROW","Next: "&amp;$AC662&amp;IF($AB662&lt;=TODAY()," is due TODAY ("," is due next business day (")&amp;TEXT($AB662,"dd-mmm")&amp;").","Next: "&amp;$AC662&amp;" due "&amp;TEXT($AB662,"dd-mmm")&amp;" ("&amp;(NETWORKDAYS(TODAY(),$AB662,Holidays)-1)&amp;" business day(s) left).")))))</f>
        <v/>
      </c>
      <c r="W662" s="17">
        <f>IF($Z662="","",CHOOSE($Z662,"Collection Email","1st Follow-up","2nd Follow-up","Local Office","CBE","Roxanne")&amp;IF($Z662=6," - Final"," - Day "&amp;MAX(0,NETWORKDAYS($AA662,TODAY(),Holidays)-1)&amp;" of "&amp;CHOOSE($Z662,3,3,2,2,3))&amp;" | Total Day "&amp;MAX(0,NETWORKDAYS($N662,TODAY(),Holidays)-1))</f>
        <v/>
      </c>
      <c r="X662" s="18"/>
      <c r="Y662" s="18"/>
      <c r="Z662" s="17">
        <f>IF($N662="","",COUNT($N662:$S662))</f>
        <v/>
      </c>
      <c r="AA662" s="19">
        <f>IF($Z662="","",INT(INDEX($N662:$S662,$Z662)))</f>
        <v/>
      </c>
      <c r="AB662" s="19">
        <f>IF(OR($Z662="",$Z662=6),"",WORKDAY($AA662,CHOOSE($Z662,3,3,2,2,3),Holidays))</f>
        <v/>
      </c>
      <c r="AC662" s="17">
        <f>IF(OR($Z662="",$Z662=6),"",CHOOSE($Z662,"1st Email Follow-up","2nd Email Follow-up","Escalate Local Office","Escalate to CBE","Escalate to Roxanne"))</f>
        <v/>
      </c>
    </row>
    <row r="663" spans="13:29">
      <c r="M663" s="14"/>
      <c r="T663" s="16"/>
      <c r="U663" s="17">
        <f>IF(AND(COUNTA($A663:$L663)=0,$N663=""),"",IF($T663="Paid","PAID",IF($T663="Closed","CLOSED",IF($Z663="","",IF($Z663=6,"ESCALATED TO ROXANNE",IF(TODAY()&gt;$AB663,"OVERDUE",IF($AB663&lt;=WORKDAY(TODAY(),1,Holidays),"DUE TOMORROW",IF($Z663=4,"ESCALATED TO LOCAL OFFICE",IF($Z663=5,"ESCALATED TO CBE",IF($AA663=TODAY(),"EMAIL SENT","MONITORING"))))))))))</f>
        <v/>
      </c>
      <c r="V663" s="17">
        <f>IF($U663="",IF(AND(COUNTA($A663:$L663)&gt;0,$N663=""),"Awaiting Collection Email time stamp.",""),IF(OR($U663="PAID",$U663="CLOSED"),IF($U663="PAID","Account paid. Action completed.","Account closed. No further action required."),CHOOSE($Z663,"Collection Email","1st Email Follow-up","2nd Email Follow-up","Escalation to Local Office","Escalation to CBE","Escalation to Roxanne")&amp;" sent "&amp;TEXT($AA663,"dd-mmm")&amp;". "&amp;IF($Z663=6,"Final escalation completed.",IF($U663="OVERDUE","Next: "&amp;$AC663&amp;" was due "&amp;TEXT($AB663,"dd-mmm")&amp;" - "&amp;(NETWORKDAYS($AB663,TODAY(),Holidays)-1)&amp;" business day(s) late. Send now.",IF($U663="DUE TOMORROW","Next: "&amp;$AC663&amp;IF($AB663&lt;=TODAY()," is due TODAY ("," is due next business day (")&amp;TEXT($AB663,"dd-mmm")&amp;").","Next: "&amp;$AC663&amp;" due "&amp;TEXT($AB663,"dd-mmm")&amp;" ("&amp;(NETWORKDAYS(TODAY(),$AB663,Holidays)-1)&amp;" business day(s) left).")))))</f>
        <v/>
      </c>
      <c r="W663" s="17">
        <f>IF($Z663="","",CHOOSE($Z663,"Collection Email","1st Follow-up","2nd Follow-up","Local Office","CBE","Roxanne")&amp;IF($Z663=6," - Final"," - Day "&amp;MAX(0,NETWORKDAYS($AA663,TODAY(),Holidays)-1)&amp;" of "&amp;CHOOSE($Z663,3,3,2,2,3))&amp;" | Total Day "&amp;MAX(0,NETWORKDAYS($N663,TODAY(),Holidays)-1))</f>
        <v/>
      </c>
      <c r="X663" s="18"/>
      <c r="Y663" s="18"/>
      <c r="Z663" s="17">
        <f>IF($N663="","",COUNT($N663:$S663))</f>
        <v/>
      </c>
      <c r="AA663" s="19">
        <f>IF($Z663="","",INT(INDEX($N663:$S663,$Z663)))</f>
        <v/>
      </c>
      <c r="AB663" s="19">
        <f>IF(OR($Z663="",$Z663=6),"",WORKDAY($AA663,CHOOSE($Z663,3,3,2,2,3),Holidays))</f>
        <v/>
      </c>
      <c r="AC663" s="17">
        <f>IF(OR($Z663="",$Z663=6),"",CHOOSE($Z663,"1st Email Follow-up","2nd Email Follow-up","Escalate Local Office","Escalate to CBE","Escalate to Roxanne"))</f>
        <v/>
      </c>
    </row>
    <row r="664" spans="13:29">
      <c r="M664" s="14"/>
      <c r="T664" s="16"/>
      <c r="U664" s="17">
        <f>IF(AND(COUNTA($A664:$L664)=0,$N664=""),"",IF($T664="Paid","PAID",IF($T664="Closed","CLOSED",IF($Z664="","",IF($Z664=6,"ESCALATED TO ROXANNE",IF(TODAY()&gt;$AB664,"OVERDUE",IF($AB664&lt;=WORKDAY(TODAY(),1,Holidays),"DUE TOMORROW",IF($Z664=4,"ESCALATED TO LOCAL OFFICE",IF($Z664=5,"ESCALATED TO CBE",IF($AA664=TODAY(),"EMAIL SENT","MONITORING"))))))))))</f>
        <v/>
      </c>
      <c r="V664" s="17">
        <f>IF($U664="",IF(AND(COUNTA($A664:$L664)&gt;0,$N664=""),"Awaiting Collection Email time stamp.",""),IF(OR($U664="PAID",$U664="CLOSED"),IF($U664="PAID","Account paid. Action completed.","Account closed. No further action required."),CHOOSE($Z664,"Collection Email","1st Email Follow-up","2nd Email Follow-up","Escalation to Local Office","Escalation to CBE","Escalation to Roxanne")&amp;" sent "&amp;TEXT($AA664,"dd-mmm")&amp;". "&amp;IF($Z664=6,"Final escalation completed.",IF($U664="OVERDUE","Next: "&amp;$AC664&amp;" was due "&amp;TEXT($AB664,"dd-mmm")&amp;" - "&amp;(NETWORKDAYS($AB664,TODAY(),Holidays)-1)&amp;" business day(s) late. Send now.",IF($U664="DUE TOMORROW","Next: "&amp;$AC664&amp;IF($AB664&lt;=TODAY()," is due TODAY ("," is due next business day (")&amp;TEXT($AB664,"dd-mmm")&amp;").","Next: "&amp;$AC664&amp;" due "&amp;TEXT($AB664,"dd-mmm")&amp;" ("&amp;(NETWORKDAYS(TODAY(),$AB664,Holidays)-1)&amp;" business day(s) left).")))))</f>
        <v/>
      </c>
      <c r="W664" s="17">
        <f>IF($Z664="","",CHOOSE($Z664,"Collection Email","1st Follow-up","2nd Follow-up","Local Office","CBE","Roxanne")&amp;IF($Z664=6," - Final"," - Day "&amp;MAX(0,NETWORKDAYS($AA664,TODAY(),Holidays)-1)&amp;" of "&amp;CHOOSE($Z664,3,3,2,2,3))&amp;" | Total Day "&amp;MAX(0,NETWORKDAYS($N664,TODAY(),Holidays)-1))</f>
        <v/>
      </c>
      <c r="X664" s="18"/>
      <c r="Y664" s="18"/>
      <c r="Z664" s="17">
        <f>IF($N664="","",COUNT($N664:$S664))</f>
        <v/>
      </c>
      <c r="AA664" s="19">
        <f>IF($Z664="","",INT(INDEX($N664:$S664,$Z664)))</f>
        <v/>
      </c>
      <c r="AB664" s="19">
        <f>IF(OR($Z664="",$Z664=6),"",WORKDAY($AA664,CHOOSE($Z664,3,3,2,2,3),Holidays))</f>
        <v/>
      </c>
      <c r="AC664" s="17">
        <f>IF(OR($Z664="",$Z664=6),"",CHOOSE($Z664,"1st Email Follow-up","2nd Email Follow-up","Escalate Local Office","Escalate to CBE","Escalate to Roxanne"))</f>
        <v/>
      </c>
    </row>
    <row r="665" spans="13:29">
      <c r="M665" s="14"/>
      <c r="T665" s="16"/>
      <c r="U665" s="17">
        <f>IF(AND(COUNTA($A665:$L665)=0,$N665=""),"",IF($T665="Paid","PAID",IF($T665="Closed","CLOSED",IF($Z665="","",IF($Z665=6,"ESCALATED TO ROXANNE",IF(TODAY()&gt;$AB665,"OVERDUE",IF($AB665&lt;=WORKDAY(TODAY(),1,Holidays),"DUE TOMORROW",IF($Z665=4,"ESCALATED TO LOCAL OFFICE",IF($Z665=5,"ESCALATED TO CBE",IF($AA665=TODAY(),"EMAIL SENT","MONITORING"))))))))))</f>
        <v/>
      </c>
      <c r="V665" s="17">
        <f>IF($U665="",IF(AND(COUNTA($A665:$L665)&gt;0,$N665=""),"Awaiting Collection Email time stamp.",""),IF(OR($U665="PAID",$U665="CLOSED"),IF($U665="PAID","Account paid. Action completed.","Account closed. No further action required."),CHOOSE($Z665,"Collection Email","1st Email Follow-up","2nd Email Follow-up","Escalation to Local Office","Escalation to CBE","Escalation to Roxanne")&amp;" sent "&amp;TEXT($AA665,"dd-mmm")&amp;". "&amp;IF($Z665=6,"Final escalation completed.",IF($U665="OVERDUE","Next: "&amp;$AC665&amp;" was due "&amp;TEXT($AB665,"dd-mmm")&amp;" - "&amp;(NETWORKDAYS($AB665,TODAY(),Holidays)-1)&amp;" business day(s) late. Send now.",IF($U665="DUE TOMORROW","Next: "&amp;$AC665&amp;IF($AB665&lt;=TODAY()," is due TODAY ("," is due next business day (")&amp;TEXT($AB665,"dd-mmm")&amp;").","Next: "&amp;$AC665&amp;" due "&amp;TEXT($AB665,"dd-mmm")&amp;" ("&amp;(NETWORKDAYS(TODAY(),$AB665,Holidays)-1)&amp;" business day(s) left).")))))</f>
        <v/>
      </c>
      <c r="W665" s="17">
        <f>IF($Z665="","",CHOOSE($Z665,"Collection Email","1st Follow-up","2nd Follow-up","Local Office","CBE","Roxanne")&amp;IF($Z665=6," - Final"," - Day "&amp;MAX(0,NETWORKDAYS($AA665,TODAY(),Holidays)-1)&amp;" of "&amp;CHOOSE($Z665,3,3,2,2,3))&amp;" | Total Day "&amp;MAX(0,NETWORKDAYS($N665,TODAY(),Holidays)-1))</f>
        <v/>
      </c>
      <c r="X665" s="18"/>
      <c r="Y665" s="18"/>
      <c r="Z665" s="17">
        <f>IF($N665="","",COUNT($N665:$S665))</f>
        <v/>
      </c>
      <c r="AA665" s="19">
        <f>IF($Z665="","",INT(INDEX($N665:$S665,$Z665)))</f>
        <v/>
      </c>
      <c r="AB665" s="19">
        <f>IF(OR($Z665="",$Z665=6),"",WORKDAY($AA665,CHOOSE($Z665,3,3,2,2,3),Holidays))</f>
        <v/>
      </c>
      <c r="AC665" s="17">
        <f>IF(OR($Z665="",$Z665=6),"",CHOOSE($Z665,"1st Email Follow-up","2nd Email Follow-up","Escalate Local Office","Escalate to CBE","Escalate to Roxanne"))</f>
        <v/>
      </c>
    </row>
    <row r="666" spans="13:29">
      <c r="M666" s="14"/>
      <c r="T666" s="16"/>
      <c r="U666" s="17">
        <f>IF(AND(COUNTA($A666:$L666)=0,$N666=""),"",IF($T666="Paid","PAID",IF($T666="Closed","CLOSED",IF($Z666="","",IF($Z666=6,"ESCALATED TO ROXANNE",IF(TODAY()&gt;$AB666,"OVERDUE",IF($AB666&lt;=WORKDAY(TODAY(),1,Holidays),"DUE TOMORROW",IF($Z666=4,"ESCALATED TO LOCAL OFFICE",IF($Z666=5,"ESCALATED TO CBE",IF($AA666=TODAY(),"EMAIL SENT","MONITORING"))))))))))</f>
        <v/>
      </c>
      <c r="V666" s="17">
        <f>IF($U666="",IF(AND(COUNTA($A666:$L666)&gt;0,$N666=""),"Awaiting Collection Email time stamp.",""),IF(OR($U666="PAID",$U666="CLOSED"),IF($U666="PAID","Account paid. Action completed.","Account closed. No further action required."),CHOOSE($Z666,"Collection Email","1st Email Follow-up","2nd Email Follow-up","Escalation to Local Office","Escalation to CBE","Escalation to Roxanne")&amp;" sent "&amp;TEXT($AA666,"dd-mmm")&amp;". "&amp;IF($Z666=6,"Final escalation completed.",IF($U666="OVERDUE","Next: "&amp;$AC666&amp;" was due "&amp;TEXT($AB666,"dd-mmm")&amp;" - "&amp;(NETWORKDAYS($AB666,TODAY(),Holidays)-1)&amp;" business day(s) late. Send now.",IF($U666="DUE TOMORROW","Next: "&amp;$AC666&amp;IF($AB666&lt;=TODAY()," is due TODAY ("," is due next business day (")&amp;TEXT($AB666,"dd-mmm")&amp;").","Next: "&amp;$AC666&amp;" due "&amp;TEXT($AB666,"dd-mmm")&amp;" ("&amp;(NETWORKDAYS(TODAY(),$AB666,Holidays)-1)&amp;" business day(s) left).")))))</f>
        <v/>
      </c>
      <c r="W666" s="17">
        <f>IF($Z666="","",CHOOSE($Z666,"Collection Email","1st Follow-up","2nd Follow-up","Local Office","CBE","Roxanne")&amp;IF($Z666=6," - Final"," - Day "&amp;MAX(0,NETWORKDAYS($AA666,TODAY(),Holidays)-1)&amp;" of "&amp;CHOOSE($Z666,3,3,2,2,3))&amp;" | Total Day "&amp;MAX(0,NETWORKDAYS($N666,TODAY(),Holidays)-1))</f>
        <v/>
      </c>
      <c r="X666" s="18"/>
      <c r="Y666" s="18"/>
      <c r="Z666" s="17">
        <f>IF($N666="","",COUNT($N666:$S666))</f>
        <v/>
      </c>
      <c r="AA666" s="19">
        <f>IF($Z666="","",INT(INDEX($N666:$S666,$Z666)))</f>
        <v/>
      </c>
      <c r="AB666" s="19">
        <f>IF(OR($Z666="",$Z666=6),"",WORKDAY($AA666,CHOOSE($Z666,3,3,2,2,3),Holidays))</f>
        <v/>
      </c>
      <c r="AC666" s="17">
        <f>IF(OR($Z666="",$Z666=6),"",CHOOSE($Z666,"1st Email Follow-up","2nd Email Follow-up","Escalate Local Office","Escalate to CBE","Escalate to Roxanne"))</f>
        <v/>
      </c>
    </row>
    <row r="667" spans="13:29">
      <c r="M667" s="14"/>
      <c r="T667" s="16"/>
      <c r="U667" s="17">
        <f>IF(AND(COUNTA($A667:$L667)=0,$N667=""),"",IF($T667="Paid","PAID",IF($T667="Closed","CLOSED",IF($Z667="","",IF($Z667=6,"ESCALATED TO ROXANNE",IF(TODAY()&gt;$AB667,"OVERDUE",IF($AB667&lt;=WORKDAY(TODAY(),1,Holidays),"DUE TOMORROW",IF($Z667=4,"ESCALATED TO LOCAL OFFICE",IF($Z667=5,"ESCALATED TO CBE",IF($AA667=TODAY(),"EMAIL SENT","MONITORING"))))))))))</f>
        <v/>
      </c>
      <c r="V667" s="17">
        <f>IF($U667="",IF(AND(COUNTA($A667:$L667)&gt;0,$N667=""),"Awaiting Collection Email time stamp.",""),IF(OR($U667="PAID",$U667="CLOSED"),IF($U667="PAID","Account paid. Action completed.","Account closed. No further action required."),CHOOSE($Z667,"Collection Email","1st Email Follow-up","2nd Email Follow-up","Escalation to Local Office","Escalation to CBE","Escalation to Roxanne")&amp;" sent "&amp;TEXT($AA667,"dd-mmm")&amp;". "&amp;IF($Z667=6,"Final escalation completed.",IF($U667="OVERDUE","Next: "&amp;$AC667&amp;" was due "&amp;TEXT($AB667,"dd-mmm")&amp;" - "&amp;(NETWORKDAYS($AB667,TODAY(),Holidays)-1)&amp;" business day(s) late. Send now.",IF($U667="DUE TOMORROW","Next: "&amp;$AC667&amp;IF($AB667&lt;=TODAY()," is due TODAY ("," is due next business day (")&amp;TEXT($AB667,"dd-mmm")&amp;").","Next: "&amp;$AC667&amp;" due "&amp;TEXT($AB667,"dd-mmm")&amp;" ("&amp;(NETWORKDAYS(TODAY(),$AB667,Holidays)-1)&amp;" business day(s) left).")))))</f>
        <v/>
      </c>
      <c r="W667" s="17">
        <f>IF($Z667="","",CHOOSE($Z667,"Collection Email","1st Follow-up","2nd Follow-up","Local Office","CBE","Roxanne")&amp;IF($Z667=6," - Final"," - Day "&amp;MAX(0,NETWORKDAYS($AA667,TODAY(),Holidays)-1)&amp;" of "&amp;CHOOSE($Z667,3,3,2,2,3))&amp;" | Total Day "&amp;MAX(0,NETWORKDAYS($N667,TODAY(),Holidays)-1))</f>
        <v/>
      </c>
      <c r="X667" s="18"/>
      <c r="Y667" s="18"/>
      <c r="Z667" s="17">
        <f>IF($N667="","",COUNT($N667:$S667))</f>
        <v/>
      </c>
      <c r="AA667" s="19">
        <f>IF($Z667="","",INT(INDEX($N667:$S667,$Z667)))</f>
        <v/>
      </c>
      <c r="AB667" s="19">
        <f>IF(OR($Z667="",$Z667=6),"",WORKDAY($AA667,CHOOSE($Z667,3,3,2,2,3),Holidays))</f>
        <v/>
      </c>
      <c r="AC667" s="17">
        <f>IF(OR($Z667="",$Z667=6),"",CHOOSE($Z667,"1st Email Follow-up","2nd Email Follow-up","Escalate Local Office","Escalate to CBE","Escalate to Roxanne"))</f>
        <v/>
      </c>
    </row>
    <row r="668" spans="13:29">
      <c r="M668" s="14"/>
      <c r="T668" s="16"/>
      <c r="U668" s="17">
        <f>IF(AND(COUNTA($A668:$L668)=0,$N668=""),"",IF($T668="Paid","PAID",IF($T668="Closed","CLOSED",IF($Z668="","",IF($Z668=6,"ESCALATED TO ROXANNE",IF(TODAY()&gt;$AB668,"OVERDUE",IF($AB668&lt;=WORKDAY(TODAY(),1,Holidays),"DUE TOMORROW",IF($Z668=4,"ESCALATED TO LOCAL OFFICE",IF($Z668=5,"ESCALATED TO CBE",IF($AA668=TODAY(),"EMAIL SENT","MONITORING"))))))))))</f>
        <v/>
      </c>
      <c r="V668" s="17">
        <f>IF($U668="",IF(AND(COUNTA($A668:$L668)&gt;0,$N668=""),"Awaiting Collection Email time stamp.",""),IF(OR($U668="PAID",$U668="CLOSED"),IF($U668="PAID","Account paid. Action completed.","Account closed. No further action required."),CHOOSE($Z668,"Collection Email","1st Email Follow-up","2nd Email Follow-up","Escalation to Local Office","Escalation to CBE","Escalation to Roxanne")&amp;" sent "&amp;TEXT($AA668,"dd-mmm")&amp;". "&amp;IF($Z668=6,"Final escalation completed.",IF($U668="OVERDUE","Next: "&amp;$AC668&amp;" was due "&amp;TEXT($AB668,"dd-mmm")&amp;" - "&amp;(NETWORKDAYS($AB668,TODAY(),Holidays)-1)&amp;" business day(s) late. Send now.",IF($U668="DUE TOMORROW","Next: "&amp;$AC668&amp;IF($AB668&lt;=TODAY()," is due TODAY ("," is due next business day (")&amp;TEXT($AB668,"dd-mmm")&amp;").","Next: "&amp;$AC668&amp;" due "&amp;TEXT($AB668,"dd-mmm")&amp;" ("&amp;(NETWORKDAYS(TODAY(),$AB668,Holidays)-1)&amp;" business day(s) left).")))))</f>
        <v/>
      </c>
      <c r="W668" s="17">
        <f>IF($Z668="","",CHOOSE($Z668,"Collection Email","1st Follow-up","2nd Follow-up","Local Office","CBE","Roxanne")&amp;IF($Z668=6," - Final"," - Day "&amp;MAX(0,NETWORKDAYS($AA668,TODAY(),Holidays)-1)&amp;" of "&amp;CHOOSE($Z668,3,3,2,2,3))&amp;" | Total Day "&amp;MAX(0,NETWORKDAYS($N668,TODAY(),Holidays)-1))</f>
        <v/>
      </c>
      <c r="X668" s="18"/>
      <c r="Y668" s="18"/>
      <c r="Z668" s="17">
        <f>IF($N668="","",COUNT($N668:$S668))</f>
        <v/>
      </c>
      <c r="AA668" s="19">
        <f>IF($Z668="","",INT(INDEX($N668:$S668,$Z668)))</f>
        <v/>
      </c>
      <c r="AB668" s="19">
        <f>IF(OR($Z668="",$Z668=6),"",WORKDAY($AA668,CHOOSE($Z668,3,3,2,2,3),Holidays))</f>
        <v/>
      </c>
      <c r="AC668" s="17">
        <f>IF(OR($Z668="",$Z668=6),"",CHOOSE($Z668,"1st Email Follow-up","2nd Email Follow-up","Escalate Local Office","Escalate to CBE","Escalate to Roxanne"))</f>
        <v/>
      </c>
    </row>
    <row r="669" spans="13:29">
      <c r="M669" s="14"/>
      <c r="T669" s="16"/>
      <c r="U669" s="17">
        <f>IF(AND(COUNTA($A669:$L669)=0,$N669=""),"",IF($T669="Paid","PAID",IF($T669="Closed","CLOSED",IF($Z669="","",IF($Z669=6,"ESCALATED TO ROXANNE",IF(TODAY()&gt;$AB669,"OVERDUE",IF($AB669&lt;=WORKDAY(TODAY(),1,Holidays),"DUE TOMORROW",IF($Z669=4,"ESCALATED TO LOCAL OFFICE",IF($Z669=5,"ESCALATED TO CBE",IF($AA669=TODAY(),"EMAIL SENT","MONITORING"))))))))))</f>
        <v/>
      </c>
      <c r="V669" s="17">
        <f>IF($U669="",IF(AND(COUNTA($A669:$L669)&gt;0,$N669=""),"Awaiting Collection Email time stamp.",""),IF(OR($U669="PAID",$U669="CLOSED"),IF($U669="PAID","Account paid. Action completed.","Account closed. No further action required."),CHOOSE($Z669,"Collection Email","1st Email Follow-up","2nd Email Follow-up","Escalation to Local Office","Escalation to CBE","Escalation to Roxanne")&amp;" sent "&amp;TEXT($AA669,"dd-mmm")&amp;". "&amp;IF($Z669=6,"Final escalation completed.",IF($U669="OVERDUE","Next: "&amp;$AC669&amp;" was due "&amp;TEXT($AB669,"dd-mmm")&amp;" - "&amp;(NETWORKDAYS($AB669,TODAY(),Holidays)-1)&amp;" business day(s) late. Send now.",IF($U669="DUE TOMORROW","Next: "&amp;$AC669&amp;IF($AB669&lt;=TODAY()," is due TODAY ("," is due next business day (")&amp;TEXT($AB669,"dd-mmm")&amp;").","Next: "&amp;$AC669&amp;" due "&amp;TEXT($AB669,"dd-mmm")&amp;" ("&amp;(NETWORKDAYS(TODAY(),$AB669,Holidays)-1)&amp;" business day(s) left).")))))</f>
        <v/>
      </c>
      <c r="W669" s="17">
        <f>IF($Z669="","",CHOOSE($Z669,"Collection Email","1st Follow-up","2nd Follow-up","Local Office","CBE","Roxanne")&amp;IF($Z669=6," - Final"," - Day "&amp;MAX(0,NETWORKDAYS($AA669,TODAY(),Holidays)-1)&amp;" of "&amp;CHOOSE($Z669,3,3,2,2,3))&amp;" | Total Day "&amp;MAX(0,NETWORKDAYS($N669,TODAY(),Holidays)-1))</f>
        <v/>
      </c>
      <c r="X669" s="18"/>
      <c r="Y669" s="18"/>
      <c r="Z669" s="17">
        <f>IF($N669="","",COUNT($N669:$S669))</f>
        <v/>
      </c>
      <c r="AA669" s="19">
        <f>IF($Z669="","",INT(INDEX($N669:$S669,$Z669)))</f>
        <v/>
      </c>
      <c r="AB669" s="19">
        <f>IF(OR($Z669="",$Z669=6),"",WORKDAY($AA669,CHOOSE($Z669,3,3,2,2,3),Holidays))</f>
        <v/>
      </c>
      <c r="AC669" s="17">
        <f>IF(OR($Z669="",$Z669=6),"",CHOOSE($Z669,"1st Email Follow-up","2nd Email Follow-up","Escalate Local Office","Escalate to CBE","Escalate to Roxanne"))</f>
        <v/>
      </c>
    </row>
    <row r="670" spans="13:29">
      <c r="M670" s="14"/>
      <c r="T670" s="16"/>
      <c r="U670" s="17">
        <f>IF(AND(COUNTA($A670:$L670)=0,$N670=""),"",IF($T670="Paid","PAID",IF($T670="Closed","CLOSED",IF($Z670="","",IF($Z670=6,"ESCALATED TO ROXANNE",IF(TODAY()&gt;$AB670,"OVERDUE",IF($AB670&lt;=WORKDAY(TODAY(),1,Holidays),"DUE TOMORROW",IF($Z670=4,"ESCALATED TO LOCAL OFFICE",IF($Z670=5,"ESCALATED TO CBE",IF($AA670=TODAY(),"EMAIL SENT","MONITORING"))))))))))</f>
        <v/>
      </c>
      <c r="V670" s="17">
        <f>IF($U670="",IF(AND(COUNTA($A670:$L670)&gt;0,$N670=""),"Awaiting Collection Email time stamp.",""),IF(OR($U670="PAID",$U670="CLOSED"),IF($U670="PAID","Account paid. Action completed.","Account closed. No further action required."),CHOOSE($Z670,"Collection Email","1st Email Follow-up","2nd Email Follow-up","Escalation to Local Office","Escalation to CBE","Escalation to Roxanne")&amp;" sent "&amp;TEXT($AA670,"dd-mmm")&amp;". "&amp;IF($Z670=6,"Final escalation completed.",IF($U670="OVERDUE","Next: "&amp;$AC670&amp;" was due "&amp;TEXT($AB670,"dd-mmm")&amp;" - "&amp;(NETWORKDAYS($AB670,TODAY(),Holidays)-1)&amp;" business day(s) late. Send now.",IF($U670="DUE TOMORROW","Next: "&amp;$AC670&amp;IF($AB670&lt;=TODAY()," is due TODAY ("," is due next business day (")&amp;TEXT($AB670,"dd-mmm")&amp;").","Next: "&amp;$AC670&amp;" due "&amp;TEXT($AB670,"dd-mmm")&amp;" ("&amp;(NETWORKDAYS(TODAY(),$AB670,Holidays)-1)&amp;" business day(s) left).")))))</f>
        <v/>
      </c>
      <c r="W670" s="17">
        <f>IF($Z670="","",CHOOSE($Z670,"Collection Email","1st Follow-up","2nd Follow-up","Local Office","CBE","Roxanne")&amp;IF($Z670=6," - Final"," - Day "&amp;MAX(0,NETWORKDAYS($AA670,TODAY(),Holidays)-1)&amp;" of "&amp;CHOOSE($Z670,3,3,2,2,3))&amp;" | Total Day "&amp;MAX(0,NETWORKDAYS($N670,TODAY(),Holidays)-1))</f>
        <v/>
      </c>
      <c r="X670" s="18"/>
      <c r="Y670" s="18"/>
      <c r="Z670" s="17">
        <f>IF($N670="","",COUNT($N670:$S670))</f>
        <v/>
      </c>
      <c r="AA670" s="19">
        <f>IF($Z670="","",INT(INDEX($N670:$S670,$Z670)))</f>
        <v/>
      </c>
      <c r="AB670" s="19">
        <f>IF(OR($Z670="",$Z670=6),"",WORKDAY($AA670,CHOOSE($Z670,3,3,2,2,3),Holidays))</f>
        <v/>
      </c>
      <c r="AC670" s="17">
        <f>IF(OR($Z670="",$Z670=6),"",CHOOSE($Z670,"1st Email Follow-up","2nd Email Follow-up","Escalate Local Office","Escalate to CBE","Escalate to Roxanne"))</f>
        <v/>
      </c>
    </row>
    <row r="671" spans="13:29">
      <c r="M671" s="14"/>
      <c r="T671" s="16"/>
      <c r="U671" s="17">
        <f>IF(AND(COUNTA($A671:$L671)=0,$N671=""),"",IF($T671="Paid","PAID",IF($T671="Closed","CLOSED",IF($Z671="","",IF($Z671=6,"ESCALATED TO ROXANNE",IF(TODAY()&gt;$AB671,"OVERDUE",IF($AB671&lt;=WORKDAY(TODAY(),1,Holidays),"DUE TOMORROW",IF($Z671=4,"ESCALATED TO LOCAL OFFICE",IF($Z671=5,"ESCALATED TO CBE",IF($AA671=TODAY(),"EMAIL SENT","MONITORING"))))))))))</f>
        <v/>
      </c>
      <c r="V671" s="17">
        <f>IF($U671="",IF(AND(COUNTA($A671:$L671)&gt;0,$N671=""),"Awaiting Collection Email time stamp.",""),IF(OR($U671="PAID",$U671="CLOSED"),IF($U671="PAID","Account paid. Action completed.","Account closed. No further action required."),CHOOSE($Z671,"Collection Email","1st Email Follow-up","2nd Email Follow-up","Escalation to Local Office","Escalation to CBE","Escalation to Roxanne")&amp;" sent "&amp;TEXT($AA671,"dd-mmm")&amp;". "&amp;IF($Z671=6,"Final escalation completed.",IF($U671="OVERDUE","Next: "&amp;$AC671&amp;" was due "&amp;TEXT($AB671,"dd-mmm")&amp;" - "&amp;(NETWORKDAYS($AB671,TODAY(),Holidays)-1)&amp;" business day(s) late. Send now.",IF($U671="DUE TOMORROW","Next: "&amp;$AC671&amp;IF($AB671&lt;=TODAY()," is due TODAY ("," is due next business day (")&amp;TEXT($AB671,"dd-mmm")&amp;").","Next: "&amp;$AC671&amp;" due "&amp;TEXT($AB671,"dd-mmm")&amp;" ("&amp;(NETWORKDAYS(TODAY(),$AB671,Holidays)-1)&amp;" business day(s) left).")))))</f>
        <v/>
      </c>
      <c r="W671" s="17">
        <f>IF($Z671="","",CHOOSE($Z671,"Collection Email","1st Follow-up","2nd Follow-up","Local Office","CBE","Roxanne")&amp;IF($Z671=6," - Final"," - Day "&amp;MAX(0,NETWORKDAYS($AA671,TODAY(),Holidays)-1)&amp;" of "&amp;CHOOSE($Z671,3,3,2,2,3))&amp;" | Total Day "&amp;MAX(0,NETWORKDAYS($N671,TODAY(),Holidays)-1))</f>
        <v/>
      </c>
      <c r="X671" s="18"/>
      <c r="Y671" s="18"/>
      <c r="Z671" s="17">
        <f>IF($N671="","",COUNT($N671:$S671))</f>
        <v/>
      </c>
      <c r="AA671" s="19">
        <f>IF($Z671="","",INT(INDEX($N671:$S671,$Z671)))</f>
        <v/>
      </c>
      <c r="AB671" s="19">
        <f>IF(OR($Z671="",$Z671=6),"",WORKDAY($AA671,CHOOSE($Z671,3,3,2,2,3),Holidays))</f>
        <v/>
      </c>
      <c r="AC671" s="17">
        <f>IF(OR($Z671="",$Z671=6),"",CHOOSE($Z671,"1st Email Follow-up","2nd Email Follow-up","Escalate Local Office","Escalate to CBE","Escalate to Roxanne"))</f>
        <v/>
      </c>
    </row>
    <row r="672" spans="13:29">
      <c r="M672" s="14"/>
      <c r="T672" s="16"/>
      <c r="U672" s="17">
        <f>IF(AND(COUNTA($A672:$L672)=0,$N672=""),"",IF($T672="Paid","PAID",IF($T672="Closed","CLOSED",IF($Z672="","",IF($Z672=6,"ESCALATED TO ROXANNE",IF(TODAY()&gt;$AB672,"OVERDUE",IF($AB672&lt;=WORKDAY(TODAY(),1,Holidays),"DUE TOMORROW",IF($Z672=4,"ESCALATED TO LOCAL OFFICE",IF($Z672=5,"ESCALATED TO CBE",IF($AA672=TODAY(),"EMAIL SENT","MONITORING"))))))))))</f>
        <v/>
      </c>
      <c r="V672" s="17">
        <f>IF($U672="",IF(AND(COUNTA($A672:$L672)&gt;0,$N672=""),"Awaiting Collection Email time stamp.",""),IF(OR($U672="PAID",$U672="CLOSED"),IF($U672="PAID","Account paid. Action completed.","Account closed. No further action required."),CHOOSE($Z672,"Collection Email","1st Email Follow-up","2nd Email Follow-up","Escalation to Local Office","Escalation to CBE","Escalation to Roxanne")&amp;" sent "&amp;TEXT($AA672,"dd-mmm")&amp;". "&amp;IF($Z672=6,"Final escalation completed.",IF($U672="OVERDUE","Next: "&amp;$AC672&amp;" was due "&amp;TEXT($AB672,"dd-mmm")&amp;" - "&amp;(NETWORKDAYS($AB672,TODAY(),Holidays)-1)&amp;" business day(s) late. Send now.",IF($U672="DUE TOMORROW","Next: "&amp;$AC672&amp;IF($AB672&lt;=TODAY()," is due TODAY ("," is due next business day (")&amp;TEXT($AB672,"dd-mmm")&amp;").","Next: "&amp;$AC672&amp;" due "&amp;TEXT($AB672,"dd-mmm")&amp;" ("&amp;(NETWORKDAYS(TODAY(),$AB672,Holidays)-1)&amp;" business day(s) left).")))))</f>
        <v/>
      </c>
      <c r="W672" s="17">
        <f>IF($Z672="","",CHOOSE($Z672,"Collection Email","1st Follow-up","2nd Follow-up","Local Office","CBE","Roxanne")&amp;IF($Z672=6," - Final"," - Day "&amp;MAX(0,NETWORKDAYS($AA672,TODAY(),Holidays)-1)&amp;" of "&amp;CHOOSE($Z672,3,3,2,2,3))&amp;" | Total Day "&amp;MAX(0,NETWORKDAYS($N672,TODAY(),Holidays)-1))</f>
        <v/>
      </c>
      <c r="X672" s="18"/>
      <c r="Y672" s="18"/>
      <c r="Z672" s="17">
        <f>IF($N672="","",COUNT($N672:$S672))</f>
        <v/>
      </c>
      <c r="AA672" s="19">
        <f>IF($Z672="","",INT(INDEX($N672:$S672,$Z672)))</f>
        <v/>
      </c>
      <c r="AB672" s="19">
        <f>IF(OR($Z672="",$Z672=6),"",WORKDAY($AA672,CHOOSE($Z672,3,3,2,2,3),Holidays))</f>
        <v/>
      </c>
      <c r="AC672" s="17">
        <f>IF(OR($Z672="",$Z672=6),"",CHOOSE($Z672,"1st Email Follow-up","2nd Email Follow-up","Escalate Local Office","Escalate to CBE","Escalate to Roxanne"))</f>
        <v/>
      </c>
    </row>
    <row r="673" spans="13:29">
      <c r="M673" s="14"/>
      <c r="T673" s="16"/>
      <c r="U673" s="17">
        <f>IF(AND(COUNTA($A673:$L673)=0,$N673=""),"",IF($T673="Paid","PAID",IF($T673="Closed","CLOSED",IF($Z673="","",IF($Z673=6,"ESCALATED TO ROXANNE",IF(TODAY()&gt;$AB673,"OVERDUE",IF($AB673&lt;=WORKDAY(TODAY(),1,Holidays),"DUE TOMORROW",IF($Z673=4,"ESCALATED TO LOCAL OFFICE",IF($Z673=5,"ESCALATED TO CBE",IF($AA673=TODAY(),"EMAIL SENT","MONITORING"))))))))))</f>
        <v/>
      </c>
      <c r="V673" s="17">
        <f>IF($U673="",IF(AND(COUNTA($A673:$L673)&gt;0,$N673=""),"Awaiting Collection Email time stamp.",""),IF(OR($U673="PAID",$U673="CLOSED"),IF($U673="PAID","Account paid. Action completed.","Account closed. No further action required."),CHOOSE($Z673,"Collection Email","1st Email Follow-up","2nd Email Follow-up","Escalation to Local Office","Escalation to CBE","Escalation to Roxanne")&amp;" sent "&amp;TEXT($AA673,"dd-mmm")&amp;". "&amp;IF($Z673=6,"Final escalation completed.",IF($U673="OVERDUE","Next: "&amp;$AC673&amp;" was due "&amp;TEXT($AB673,"dd-mmm")&amp;" - "&amp;(NETWORKDAYS($AB673,TODAY(),Holidays)-1)&amp;" business day(s) late. Send now.",IF($U673="DUE TOMORROW","Next: "&amp;$AC673&amp;IF($AB673&lt;=TODAY()," is due TODAY ("," is due next business day (")&amp;TEXT($AB673,"dd-mmm")&amp;").","Next: "&amp;$AC673&amp;" due "&amp;TEXT($AB673,"dd-mmm")&amp;" ("&amp;(NETWORKDAYS(TODAY(),$AB673,Holidays)-1)&amp;" business day(s) left).")))))</f>
        <v/>
      </c>
      <c r="W673" s="17">
        <f>IF($Z673="","",CHOOSE($Z673,"Collection Email","1st Follow-up","2nd Follow-up","Local Office","CBE","Roxanne")&amp;IF($Z673=6," - Final"," - Day "&amp;MAX(0,NETWORKDAYS($AA673,TODAY(),Holidays)-1)&amp;" of "&amp;CHOOSE($Z673,3,3,2,2,3))&amp;" | Total Day "&amp;MAX(0,NETWORKDAYS($N673,TODAY(),Holidays)-1))</f>
        <v/>
      </c>
      <c r="X673" s="18"/>
      <c r="Y673" s="18"/>
      <c r="Z673" s="17">
        <f>IF($N673="","",COUNT($N673:$S673))</f>
        <v/>
      </c>
      <c r="AA673" s="19">
        <f>IF($Z673="","",INT(INDEX($N673:$S673,$Z673)))</f>
        <v/>
      </c>
      <c r="AB673" s="19">
        <f>IF(OR($Z673="",$Z673=6),"",WORKDAY($AA673,CHOOSE($Z673,3,3,2,2,3),Holidays))</f>
        <v/>
      </c>
      <c r="AC673" s="17">
        <f>IF(OR($Z673="",$Z673=6),"",CHOOSE($Z673,"1st Email Follow-up","2nd Email Follow-up","Escalate Local Office","Escalate to CBE","Escalate to Roxanne"))</f>
        <v/>
      </c>
    </row>
    <row r="674" spans="13:29">
      <c r="M674" s="14"/>
      <c r="T674" s="16"/>
      <c r="U674" s="17">
        <f>IF(AND(COUNTA($A674:$L674)=0,$N674=""),"",IF($T674="Paid","PAID",IF($T674="Closed","CLOSED",IF($Z674="","",IF($Z674=6,"ESCALATED TO ROXANNE",IF(TODAY()&gt;$AB674,"OVERDUE",IF($AB674&lt;=WORKDAY(TODAY(),1,Holidays),"DUE TOMORROW",IF($Z674=4,"ESCALATED TO LOCAL OFFICE",IF($Z674=5,"ESCALATED TO CBE",IF($AA674=TODAY(),"EMAIL SENT","MONITORING"))))))))))</f>
        <v/>
      </c>
      <c r="V674" s="17">
        <f>IF($U674="",IF(AND(COUNTA($A674:$L674)&gt;0,$N674=""),"Awaiting Collection Email time stamp.",""),IF(OR($U674="PAID",$U674="CLOSED"),IF($U674="PAID","Account paid. Action completed.","Account closed. No further action required."),CHOOSE($Z674,"Collection Email","1st Email Follow-up","2nd Email Follow-up","Escalation to Local Office","Escalation to CBE","Escalation to Roxanne")&amp;" sent "&amp;TEXT($AA674,"dd-mmm")&amp;". "&amp;IF($Z674=6,"Final escalation completed.",IF($U674="OVERDUE","Next: "&amp;$AC674&amp;" was due "&amp;TEXT($AB674,"dd-mmm")&amp;" - "&amp;(NETWORKDAYS($AB674,TODAY(),Holidays)-1)&amp;" business day(s) late. Send now.",IF($U674="DUE TOMORROW","Next: "&amp;$AC674&amp;IF($AB674&lt;=TODAY()," is due TODAY ("," is due next business day (")&amp;TEXT($AB674,"dd-mmm")&amp;").","Next: "&amp;$AC674&amp;" due "&amp;TEXT($AB674,"dd-mmm")&amp;" ("&amp;(NETWORKDAYS(TODAY(),$AB674,Holidays)-1)&amp;" business day(s) left).")))))</f>
        <v/>
      </c>
      <c r="W674" s="17">
        <f>IF($Z674="","",CHOOSE($Z674,"Collection Email","1st Follow-up","2nd Follow-up","Local Office","CBE","Roxanne")&amp;IF($Z674=6," - Final"," - Day "&amp;MAX(0,NETWORKDAYS($AA674,TODAY(),Holidays)-1)&amp;" of "&amp;CHOOSE($Z674,3,3,2,2,3))&amp;" | Total Day "&amp;MAX(0,NETWORKDAYS($N674,TODAY(),Holidays)-1))</f>
        <v/>
      </c>
      <c r="X674" s="18"/>
      <c r="Y674" s="18"/>
      <c r="Z674" s="17">
        <f>IF($N674="","",COUNT($N674:$S674))</f>
        <v/>
      </c>
      <c r="AA674" s="19">
        <f>IF($Z674="","",INT(INDEX($N674:$S674,$Z674)))</f>
        <v/>
      </c>
      <c r="AB674" s="19">
        <f>IF(OR($Z674="",$Z674=6),"",WORKDAY($AA674,CHOOSE($Z674,3,3,2,2,3),Holidays))</f>
        <v/>
      </c>
      <c r="AC674" s="17">
        <f>IF(OR($Z674="",$Z674=6),"",CHOOSE($Z674,"1st Email Follow-up","2nd Email Follow-up","Escalate Local Office","Escalate to CBE","Escalate to Roxanne"))</f>
        <v/>
      </c>
    </row>
    <row r="675" spans="13:29">
      <c r="M675" s="14"/>
      <c r="T675" s="16"/>
      <c r="U675" s="17">
        <f>IF(AND(COUNTA($A675:$L675)=0,$N675=""),"",IF($T675="Paid","PAID",IF($T675="Closed","CLOSED",IF($Z675="","",IF($Z675=6,"ESCALATED TO ROXANNE",IF(TODAY()&gt;$AB675,"OVERDUE",IF($AB675&lt;=WORKDAY(TODAY(),1,Holidays),"DUE TOMORROW",IF($Z675=4,"ESCALATED TO LOCAL OFFICE",IF($Z675=5,"ESCALATED TO CBE",IF($AA675=TODAY(),"EMAIL SENT","MONITORING"))))))))))</f>
        <v/>
      </c>
      <c r="V675" s="17">
        <f>IF($U675="",IF(AND(COUNTA($A675:$L675)&gt;0,$N675=""),"Awaiting Collection Email time stamp.",""),IF(OR($U675="PAID",$U675="CLOSED"),IF($U675="PAID","Account paid. Action completed.","Account closed. No further action required."),CHOOSE($Z675,"Collection Email","1st Email Follow-up","2nd Email Follow-up","Escalation to Local Office","Escalation to CBE","Escalation to Roxanne")&amp;" sent "&amp;TEXT($AA675,"dd-mmm")&amp;". "&amp;IF($Z675=6,"Final escalation completed.",IF($U675="OVERDUE","Next: "&amp;$AC675&amp;" was due "&amp;TEXT($AB675,"dd-mmm")&amp;" - "&amp;(NETWORKDAYS($AB675,TODAY(),Holidays)-1)&amp;" business day(s) late. Send now.",IF($U675="DUE TOMORROW","Next: "&amp;$AC675&amp;IF($AB675&lt;=TODAY()," is due TODAY ("," is due next business day (")&amp;TEXT($AB675,"dd-mmm")&amp;").","Next: "&amp;$AC675&amp;" due "&amp;TEXT($AB675,"dd-mmm")&amp;" ("&amp;(NETWORKDAYS(TODAY(),$AB675,Holidays)-1)&amp;" business day(s) left).")))))</f>
        <v/>
      </c>
      <c r="W675" s="17">
        <f>IF($Z675="","",CHOOSE($Z675,"Collection Email","1st Follow-up","2nd Follow-up","Local Office","CBE","Roxanne")&amp;IF($Z675=6," - Final"," - Day "&amp;MAX(0,NETWORKDAYS($AA675,TODAY(),Holidays)-1)&amp;" of "&amp;CHOOSE($Z675,3,3,2,2,3))&amp;" | Total Day "&amp;MAX(0,NETWORKDAYS($N675,TODAY(),Holidays)-1))</f>
        <v/>
      </c>
      <c r="X675" s="18"/>
      <c r="Y675" s="18"/>
      <c r="Z675" s="17">
        <f>IF($N675="","",COUNT($N675:$S675))</f>
        <v/>
      </c>
      <c r="AA675" s="19">
        <f>IF($Z675="","",INT(INDEX($N675:$S675,$Z675)))</f>
        <v/>
      </c>
      <c r="AB675" s="19">
        <f>IF(OR($Z675="",$Z675=6),"",WORKDAY($AA675,CHOOSE($Z675,3,3,2,2,3),Holidays))</f>
        <v/>
      </c>
      <c r="AC675" s="17">
        <f>IF(OR($Z675="",$Z675=6),"",CHOOSE($Z675,"1st Email Follow-up","2nd Email Follow-up","Escalate Local Office","Escalate to CBE","Escalate to Roxanne"))</f>
        <v/>
      </c>
    </row>
    <row r="676" spans="13:29">
      <c r="M676" s="14"/>
      <c r="T676" s="16"/>
      <c r="U676" s="17">
        <f>IF(AND(COUNTA($A676:$L676)=0,$N676=""),"",IF($T676="Paid","PAID",IF($T676="Closed","CLOSED",IF($Z676="","",IF($Z676=6,"ESCALATED TO ROXANNE",IF(TODAY()&gt;$AB676,"OVERDUE",IF($AB676&lt;=WORKDAY(TODAY(),1,Holidays),"DUE TOMORROW",IF($Z676=4,"ESCALATED TO LOCAL OFFICE",IF($Z676=5,"ESCALATED TO CBE",IF($AA676=TODAY(),"EMAIL SENT","MONITORING"))))))))))</f>
        <v/>
      </c>
      <c r="V676" s="17">
        <f>IF($U676="",IF(AND(COUNTA($A676:$L676)&gt;0,$N676=""),"Awaiting Collection Email time stamp.",""),IF(OR($U676="PAID",$U676="CLOSED"),IF($U676="PAID","Account paid. Action completed.","Account closed. No further action required."),CHOOSE($Z676,"Collection Email","1st Email Follow-up","2nd Email Follow-up","Escalation to Local Office","Escalation to CBE","Escalation to Roxanne")&amp;" sent "&amp;TEXT($AA676,"dd-mmm")&amp;". "&amp;IF($Z676=6,"Final escalation completed.",IF($U676="OVERDUE","Next: "&amp;$AC676&amp;" was due "&amp;TEXT($AB676,"dd-mmm")&amp;" - "&amp;(NETWORKDAYS($AB676,TODAY(),Holidays)-1)&amp;" business day(s) late. Send now.",IF($U676="DUE TOMORROW","Next: "&amp;$AC676&amp;IF($AB676&lt;=TODAY()," is due TODAY ("," is due next business day (")&amp;TEXT($AB676,"dd-mmm")&amp;").","Next: "&amp;$AC676&amp;" due "&amp;TEXT($AB676,"dd-mmm")&amp;" ("&amp;(NETWORKDAYS(TODAY(),$AB676,Holidays)-1)&amp;" business day(s) left).")))))</f>
        <v/>
      </c>
      <c r="W676" s="17">
        <f>IF($Z676="","",CHOOSE($Z676,"Collection Email","1st Follow-up","2nd Follow-up","Local Office","CBE","Roxanne")&amp;IF($Z676=6," - Final"," - Day "&amp;MAX(0,NETWORKDAYS($AA676,TODAY(),Holidays)-1)&amp;" of "&amp;CHOOSE($Z676,3,3,2,2,3))&amp;" | Total Day "&amp;MAX(0,NETWORKDAYS($N676,TODAY(),Holidays)-1))</f>
        <v/>
      </c>
      <c r="X676" s="18"/>
      <c r="Y676" s="18"/>
      <c r="Z676" s="17">
        <f>IF($N676="","",COUNT($N676:$S676))</f>
        <v/>
      </c>
      <c r="AA676" s="19">
        <f>IF($Z676="","",INT(INDEX($N676:$S676,$Z676)))</f>
        <v/>
      </c>
      <c r="AB676" s="19">
        <f>IF(OR($Z676="",$Z676=6),"",WORKDAY($AA676,CHOOSE($Z676,3,3,2,2,3),Holidays))</f>
        <v/>
      </c>
      <c r="AC676" s="17">
        <f>IF(OR($Z676="",$Z676=6),"",CHOOSE($Z676,"1st Email Follow-up","2nd Email Follow-up","Escalate Local Office","Escalate to CBE","Escalate to Roxanne"))</f>
        <v/>
      </c>
    </row>
    <row r="677" spans="13:29">
      <c r="M677" s="14"/>
      <c r="T677" s="16"/>
      <c r="U677" s="17">
        <f>IF(AND(COUNTA($A677:$L677)=0,$N677=""),"",IF($T677="Paid","PAID",IF($T677="Closed","CLOSED",IF($Z677="","",IF($Z677=6,"ESCALATED TO ROXANNE",IF(TODAY()&gt;$AB677,"OVERDUE",IF($AB677&lt;=WORKDAY(TODAY(),1,Holidays),"DUE TOMORROW",IF($Z677=4,"ESCALATED TO LOCAL OFFICE",IF($Z677=5,"ESCALATED TO CBE",IF($AA677=TODAY(),"EMAIL SENT","MONITORING"))))))))))</f>
        <v/>
      </c>
      <c r="V677" s="17">
        <f>IF($U677="",IF(AND(COUNTA($A677:$L677)&gt;0,$N677=""),"Awaiting Collection Email time stamp.",""),IF(OR($U677="PAID",$U677="CLOSED"),IF($U677="PAID","Account paid. Action completed.","Account closed. No further action required."),CHOOSE($Z677,"Collection Email","1st Email Follow-up","2nd Email Follow-up","Escalation to Local Office","Escalation to CBE","Escalation to Roxanne")&amp;" sent "&amp;TEXT($AA677,"dd-mmm")&amp;". "&amp;IF($Z677=6,"Final escalation completed.",IF($U677="OVERDUE","Next: "&amp;$AC677&amp;" was due "&amp;TEXT($AB677,"dd-mmm")&amp;" - "&amp;(NETWORKDAYS($AB677,TODAY(),Holidays)-1)&amp;" business day(s) late. Send now.",IF($U677="DUE TOMORROW","Next: "&amp;$AC677&amp;IF($AB677&lt;=TODAY()," is due TODAY ("," is due next business day (")&amp;TEXT($AB677,"dd-mmm")&amp;").","Next: "&amp;$AC677&amp;" due "&amp;TEXT($AB677,"dd-mmm")&amp;" ("&amp;(NETWORKDAYS(TODAY(),$AB677,Holidays)-1)&amp;" business day(s) left).")))))</f>
        <v/>
      </c>
      <c r="W677" s="17">
        <f>IF($Z677="","",CHOOSE($Z677,"Collection Email","1st Follow-up","2nd Follow-up","Local Office","CBE","Roxanne")&amp;IF($Z677=6," - Final"," - Day "&amp;MAX(0,NETWORKDAYS($AA677,TODAY(),Holidays)-1)&amp;" of "&amp;CHOOSE($Z677,3,3,2,2,3))&amp;" | Total Day "&amp;MAX(0,NETWORKDAYS($N677,TODAY(),Holidays)-1))</f>
        <v/>
      </c>
      <c r="X677" s="18"/>
      <c r="Y677" s="18"/>
      <c r="Z677" s="17">
        <f>IF($N677="","",COUNT($N677:$S677))</f>
        <v/>
      </c>
      <c r="AA677" s="19">
        <f>IF($Z677="","",INT(INDEX($N677:$S677,$Z677)))</f>
        <v/>
      </c>
      <c r="AB677" s="19">
        <f>IF(OR($Z677="",$Z677=6),"",WORKDAY($AA677,CHOOSE($Z677,3,3,2,2,3),Holidays))</f>
        <v/>
      </c>
      <c r="AC677" s="17">
        <f>IF(OR($Z677="",$Z677=6),"",CHOOSE($Z677,"1st Email Follow-up","2nd Email Follow-up","Escalate Local Office","Escalate to CBE","Escalate to Roxanne"))</f>
        <v/>
      </c>
    </row>
    <row r="678" spans="13:29">
      <c r="M678" s="14"/>
      <c r="T678" s="16"/>
      <c r="U678" s="17">
        <f>IF(AND(COUNTA($A678:$L678)=0,$N678=""),"",IF($T678="Paid","PAID",IF($T678="Closed","CLOSED",IF($Z678="","",IF($Z678=6,"ESCALATED TO ROXANNE",IF(TODAY()&gt;$AB678,"OVERDUE",IF($AB678&lt;=WORKDAY(TODAY(),1,Holidays),"DUE TOMORROW",IF($Z678=4,"ESCALATED TO LOCAL OFFICE",IF($Z678=5,"ESCALATED TO CBE",IF($AA678=TODAY(),"EMAIL SENT","MONITORING"))))))))))</f>
        <v/>
      </c>
      <c r="V678" s="17">
        <f>IF($U678="",IF(AND(COUNTA($A678:$L678)&gt;0,$N678=""),"Awaiting Collection Email time stamp.",""),IF(OR($U678="PAID",$U678="CLOSED"),IF($U678="PAID","Account paid. Action completed.","Account closed. No further action required."),CHOOSE($Z678,"Collection Email","1st Email Follow-up","2nd Email Follow-up","Escalation to Local Office","Escalation to CBE","Escalation to Roxanne")&amp;" sent "&amp;TEXT($AA678,"dd-mmm")&amp;". "&amp;IF($Z678=6,"Final escalation completed.",IF($U678="OVERDUE","Next: "&amp;$AC678&amp;" was due "&amp;TEXT($AB678,"dd-mmm")&amp;" - "&amp;(NETWORKDAYS($AB678,TODAY(),Holidays)-1)&amp;" business day(s) late. Send now.",IF($U678="DUE TOMORROW","Next: "&amp;$AC678&amp;IF($AB678&lt;=TODAY()," is due TODAY ("," is due next business day (")&amp;TEXT($AB678,"dd-mmm")&amp;").","Next: "&amp;$AC678&amp;" due "&amp;TEXT($AB678,"dd-mmm")&amp;" ("&amp;(NETWORKDAYS(TODAY(),$AB678,Holidays)-1)&amp;" business day(s) left).")))))</f>
        <v/>
      </c>
      <c r="W678" s="17">
        <f>IF($Z678="","",CHOOSE($Z678,"Collection Email","1st Follow-up","2nd Follow-up","Local Office","CBE","Roxanne")&amp;IF($Z678=6," - Final"," - Day "&amp;MAX(0,NETWORKDAYS($AA678,TODAY(),Holidays)-1)&amp;" of "&amp;CHOOSE($Z678,3,3,2,2,3))&amp;" | Total Day "&amp;MAX(0,NETWORKDAYS($N678,TODAY(),Holidays)-1))</f>
        <v/>
      </c>
      <c r="X678" s="18"/>
      <c r="Y678" s="18"/>
      <c r="Z678" s="17">
        <f>IF($N678="","",COUNT($N678:$S678))</f>
        <v/>
      </c>
      <c r="AA678" s="19">
        <f>IF($Z678="","",INT(INDEX($N678:$S678,$Z678)))</f>
        <v/>
      </c>
      <c r="AB678" s="19">
        <f>IF(OR($Z678="",$Z678=6),"",WORKDAY($AA678,CHOOSE($Z678,3,3,2,2,3),Holidays))</f>
        <v/>
      </c>
      <c r="AC678" s="17">
        <f>IF(OR($Z678="",$Z678=6),"",CHOOSE($Z678,"1st Email Follow-up","2nd Email Follow-up","Escalate Local Office","Escalate to CBE","Escalate to Roxanne"))</f>
        <v/>
      </c>
    </row>
    <row r="679" spans="13:29">
      <c r="M679" s="14"/>
      <c r="T679" s="16"/>
      <c r="U679" s="17">
        <f>IF(AND(COUNTA($A679:$L679)=0,$N679=""),"",IF($T679="Paid","PAID",IF($T679="Closed","CLOSED",IF($Z679="","",IF($Z679=6,"ESCALATED TO ROXANNE",IF(TODAY()&gt;$AB679,"OVERDUE",IF($AB679&lt;=WORKDAY(TODAY(),1,Holidays),"DUE TOMORROW",IF($Z679=4,"ESCALATED TO LOCAL OFFICE",IF($Z679=5,"ESCALATED TO CBE",IF($AA679=TODAY(),"EMAIL SENT","MONITORING"))))))))))</f>
        <v/>
      </c>
      <c r="V679" s="17">
        <f>IF($U679="",IF(AND(COUNTA($A679:$L679)&gt;0,$N679=""),"Awaiting Collection Email time stamp.",""),IF(OR($U679="PAID",$U679="CLOSED"),IF($U679="PAID","Account paid. Action completed.","Account closed. No further action required."),CHOOSE($Z679,"Collection Email","1st Email Follow-up","2nd Email Follow-up","Escalation to Local Office","Escalation to CBE","Escalation to Roxanne")&amp;" sent "&amp;TEXT($AA679,"dd-mmm")&amp;". "&amp;IF($Z679=6,"Final escalation completed.",IF($U679="OVERDUE","Next: "&amp;$AC679&amp;" was due "&amp;TEXT($AB679,"dd-mmm")&amp;" - "&amp;(NETWORKDAYS($AB679,TODAY(),Holidays)-1)&amp;" business day(s) late. Send now.",IF($U679="DUE TOMORROW","Next: "&amp;$AC679&amp;IF($AB679&lt;=TODAY()," is due TODAY ("," is due next business day (")&amp;TEXT($AB679,"dd-mmm")&amp;").","Next: "&amp;$AC679&amp;" due "&amp;TEXT($AB679,"dd-mmm")&amp;" ("&amp;(NETWORKDAYS(TODAY(),$AB679,Holidays)-1)&amp;" business day(s) left).")))))</f>
        <v/>
      </c>
      <c r="W679" s="17">
        <f>IF($Z679="","",CHOOSE($Z679,"Collection Email","1st Follow-up","2nd Follow-up","Local Office","CBE","Roxanne")&amp;IF($Z679=6," - Final"," - Day "&amp;MAX(0,NETWORKDAYS($AA679,TODAY(),Holidays)-1)&amp;" of "&amp;CHOOSE($Z679,3,3,2,2,3))&amp;" | Total Day "&amp;MAX(0,NETWORKDAYS($N679,TODAY(),Holidays)-1))</f>
        <v/>
      </c>
      <c r="X679" s="18"/>
      <c r="Y679" s="18"/>
      <c r="Z679" s="17">
        <f>IF($N679="","",COUNT($N679:$S679))</f>
        <v/>
      </c>
      <c r="AA679" s="19">
        <f>IF($Z679="","",INT(INDEX($N679:$S679,$Z679)))</f>
        <v/>
      </c>
      <c r="AB679" s="19">
        <f>IF(OR($Z679="",$Z679=6),"",WORKDAY($AA679,CHOOSE($Z679,3,3,2,2,3),Holidays))</f>
        <v/>
      </c>
      <c r="AC679" s="17">
        <f>IF(OR($Z679="",$Z679=6),"",CHOOSE($Z679,"1st Email Follow-up","2nd Email Follow-up","Escalate Local Office","Escalate to CBE","Escalate to Roxanne"))</f>
        <v/>
      </c>
    </row>
    <row r="680" spans="13:29">
      <c r="M680" s="14"/>
      <c r="T680" s="16"/>
      <c r="U680" s="17">
        <f>IF(AND(COUNTA($A680:$L680)=0,$N680=""),"",IF($T680="Paid","PAID",IF($T680="Closed","CLOSED",IF($Z680="","",IF($Z680=6,"ESCALATED TO ROXANNE",IF(TODAY()&gt;$AB680,"OVERDUE",IF($AB680&lt;=WORKDAY(TODAY(),1,Holidays),"DUE TOMORROW",IF($Z680=4,"ESCALATED TO LOCAL OFFICE",IF($Z680=5,"ESCALATED TO CBE",IF($AA680=TODAY(),"EMAIL SENT","MONITORING"))))))))))</f>
        <v/>
      </c>
      <c r="V680" s="17">
        <f>IF($U680="",IF(AND(COUNTA($A680:$L680)&gt;0,$N680=""),"Awaiting Collection Email time stamp.",""),IF(OR($U680="PAID",$U680="CLOSED"),IF($U680="PAID","Account paid. Action completed.","Account closed. No further action required."),CHOOSE($Z680,"Collection Email","1st Email Follow-up","2nd Email Follow-up","Escalation to Local Office","Escalation to CBE","Escalation to Roxanne")&amp;" sent "&amp;TEXT($AA680,"dd-mmm")&amp;". "&amp;IF($Z680=6,"Final escalation completed.",IF($U680="OVERDUE","Next: "&amp;$AC680&amp;" was due "&amp;TEXT($AB680,"dd-mmm")&amp;" - "&amp;(NETWORKDAYS($AB680,TODAY(),Holidays)-1)&amp;" business day(s) late. Send now.",IF($U680="DUE TOMORROW","Next: "&amp;$AC680&amp;IF($AB680&lt;=TODAY()," is due TODAY ("," is due next business day (")&amp;TEXT($AB680,"dd-mmm")&amp;").","Next: "&amp;$AC680&amp;" due "&amp;TEXT($AB680,"dd-mmm")&amp;" ("&amp;(NETWORKDAYS(TODAY(),$AB680,Holidays)-1)&amp;" business day(s) left).")))))</f>
        <v/>
      </c>
      <c r="W680" s="17">
        <f>IF($Z680="","",CHOOSE($Z680,"Collection Email","1st Follow-up","2nd Follow-up","Local Office","CBE","Roxanne")&amp;IF($Z680=6," - Final"," - Day "&amp;MAX(0,NETWORKDAYS($AA680,TODAY(),Holidays)-1)&amp;" of "&amp;CHOOSE($Z680,3,3,2,2,3))&amp;" | Total Day "&amp;MAX(0,NETWORKDAYS($N680,TODAY(),Holidays)-1))</f>
        <v/>
      </c>
      <c r="X680" s="18"/>
      <c r="Y680" s="18"/>
      <c r="Z680" s="17">
        <f>IF($N680="","",COUNT($N680:$S680))</f>
        <v/>
      </c>
      <c r="AA680" s="19">
        <f>IF($Z680="","",INT(INDEX($N680:$S680,$Z680)))</f>
        <v/>
      </c>
      <c r="AB680" s="19">
        <f>IF(OR($Z680="",$Z680=6),"",WORKDAY($AA680,CHOOSE($Z680,3,3,2,2,3),Holidays))</f>
        <v/>
      </c>
      <c r="AC680" s="17">
        <f>IF(OR($Z680="",$Z680=6),"",CHOOSE($Z680,"1st Email Follow-up","2nd Email Follow-up","Escalate Local Office","Escalate to CBE","Escalate to Roxanne"))</f>
        <v/>
      </c>
    </row>
    <row r="681" spans="13:29">
      <c r="M681" s="14"/>
      <c r="T681" s="16"/>
      <c r="U681" s="17">
        <f>IF(AND(COUNTA($A681:$L681)=0,$N681=""),"",IF($T681="Paid","PAID",IF($T681="Closed","CLOSED",IF($Z681="","",IF($Z681=6,"ESCALATED TO ROXANNE",IF(TODAY()&gt;$AB681,"OVERDUE",IF($AB681&lt;=WORKDAY(TODAY(),1,Holidays),"DUE TOMORROW",IF($Z681=4,"ESCALATED TO LOCAL OFFICE",IF($Z681=5,"ESCALATED TO CBE",IF($AA681=TODAY(),"EMAIL SENT","MONITORING"))))))))))</f>
        <v/>
      </c>
      <c r="V681" s="17">
        <f>IF($U681="",IF(AND(COUNTA($A681:$L681)&gt;0,$N681=""),"Awaiting Collection Email time stamp.",""),IF(OR($U681="PAID",$U681="CLOSED"),IF($U681="PAID","Account paid. Action completed.","Account closed. No further action required."),CHOOSE($Z681,"Collection Email","1st Email Follow-up","2nd Email Follow-up","Escalation to Local Office","Escalation to CBE","Escalation to Roxanne")&amp;" sent "&amp;TEXT($AA681,"dd-mmm")&amp;". "&amp;IF($Z681=6,"Final escalation completed.",IF($U681="OVERDUE","Next: "&amp;$AC681&amp;" was due "&amp;TEXT($AB681,"dd-mmm")&amp;" - "&amp;(NETWORKDAYS($AB681,TODAY(),Holidays)-1)&amp;" business day(s) late. Send now.",IF($U681="DUE TOMORROW","Next: "&amp;$AC681&amp;IF($AB681&lt;=TODAY()," is due TODAY ("," is due next business day (")&amp;TEXT($AB681,"dd-mmm")&amp;").","Next: "&amp;$AC681&amp;" due "&amp;TEXT($AB681,"dd-mmm")&amp;" ("&amp;(NETWORKDAYS(TODAY(),$AB681,Holidays)-1)&amp;" business day(s) left).")))))</f>
        <v/>
      </c>
      <c r="W681" s="17">
        <f>IF($Z681="","",CHOOSE($Z681,"Collection Email","1st Follow-up","2nd Follow-up","Local Office","CBE","Roxanne")&amp;IF($Z681=6," - Final"," - Day "&amp;MAX(0,NETWORKDAYS($AA681,TODAY(),Holidays)-1)&amp;" of "&amp;CHOOSE($Z681,3,3,2,2,3))&amp;" | Total Day "&amp;MAX(0,NETWORKDAYS($N681,TODAY(),Holidays)-1))</f>
        <v/>
      </c>
      <c r="X681" s="18"/>
      <c r="Y681" s="18"/>
      <c r="Z681" s="17">
        <f>IF($N681="","",COUNT($N681:$S681))</f>
        <v/>
      </c>
      <c r="AA681" s="19">
        <f>IF($Z681="","",INT(INDEX($N681:$S681,$Z681)))</f>
        <v/>
      </c>
      <c r="AB681" s="19">
        <f>IF(OR($Z681="",$Z681=6),"",WORKDAY($AA681,CHOOSE($Z681,3,3,2,2,3),Holidays))</f>
        <v/>
      </c>
      <c r="AC681" s="17">
        <f>IF(OR($Z681="",$Z681=6),"",CHOOSE($Z681,"1st Email Follow-up","2nd Email Follow-up","Escalate Local Office","Escalate to CBE","Escalate to Roxanne"))</f>
        <v/>
      </c>
    </row>
    <row r="682" spans="13:29">
      <c r="M682" s="14"/>
      <c r="T682" s="16"/>
      <c r="U682" s="17">
        <f>IF(AND(COUNTA($A682:$L682)=0,$N682=""),"",IF($T682="Paid","PAID",IF($T682="Closed","CLOSED",IF($Z682="","",IF($Z682=6,"ESCALATED TO ROXANNE",IF(TODAY()&gt;$AB682,"OVERDUE",IF($AB682&lt;=WORKDAY(TODAY(),1,Holidays),"DUE TOMORROW",IF($Z682=4,"ESCALATED TO LOCAL OFFICE",IF($Z682=5,"ESCALATED TO CBE",IF($AA682=TODAY(),"EMAIL SENT","MONITORING"))))))))))</f>
        <v/>
      </c>
      <c r="V682" s="17">
        <f>IF($U682="",IF(AND(COUNTA($A682:$L682)&gt;0,$N682=""),"Awaiting Collection Email time stamp.",""),IF(OR($U682="PAID",$U682="CLOSED"),IF($U682="PAID","Account paid. Action completed.","Account closed. No further action required."),CHOOSE($Z682,"Collection Email","1st Email Follow-up","2nd Email Follow-up","Escalation to Local Office","Escalation to CBE","Escalation to Roxanne")&amp;" sent "&amp;TEXT($AA682,"dd-mmm")&amp;". "&amp;IF($Z682=6,"Final escalation completed.",IF($U682="OVERDUE","Next: "&amp;$AC682&amp;" was due "&amp;TEXT($AB682,"dd-mmm")&amp;" - "&amp;(NETWORKDAYS($AB682,TODAY(),Holidays)-1)&amp;" business day(s) late. Send now.",IF($U682="DUE TOMORROW","Next: "&amp;$AC682&amp;IF($AB682&lt;=TODAY()," is due TODAY ("," is due next business day (")&amp;TEXT($AB682,"dd-mmm")&amp;").","Next: "&amp;$AC682&amp;" due "&amp;TEXT($AB682,"dd-mmm")&amp;" ("&amp;(NETWORKDAYS(TODAY(),$AB682,Holidays)-1)&amp;" business day(s) left).")))))</f>
        <v/>
      </c>
      <c r="W682" s="17">
        <f>IF($Z682="","",CHOOSE($Z682,"Collection Email","1st Follow-up","2nd Follow-up","Local Office","CBE","Roxanne")&amp;IF($Z682=6," - Final"," - Day "&amp;MAX(0,NETWORKDAYS($AA682,TODAY(),Holidays)-1)&amp;" of "&amp;CHOOSE($Z682,3,3,2,2,3))&amp;" | Total Day "&amp;MAX(0,NETWORKDAYS($N682,TODAY(),Holidays)-1))</f>
        <v/>
      </c>
      <c r="X682" s="18"/>
      <c r="Y682" s="18"/>
      <c r="Z682" s="17">
        <f>IF($N682="","",COUNT($N682:$S682))</f>
        <v/>
      </c>
      <c r="AA682" s="19">
        <f>IF($Z682="","",INT(INDEX($N682:$S682,$Z682)))</f>
        <v/>
      </c>
      <c r="AB682" s="19">
        <f>IF(OR($Z682="",$Z682=6),"",WORKDAY($AA682,CHOOSE($Z682,3,3,2,2,3),Holidays))</f>
        <v/>
      </c>
      <c r="AC682" s="17">
        <f>IF(OR($Z682="",$Z682=6),"",CHOOSE($Z682,"1st Email Follow-up","2nd Email Follow-up","Escalate Local Office","Escalate to CBE","Escalate to Roxanne"))</f>
        <v/>
      </c>
    </row>
    <row r="683" spans="13:29">
      <c r="M683" s="14"/>
      <c r="T683" s="16"/>
      <c r="U683" s="17">
        <f>IF(AND(COUNTA($A683:$L683)=0,$N683=""),"",IF($T683="Paid","PAID",IF($T683="Closed","CLOSED",IF($Z683="","",IF($Z683=6,"ESCALATED TO ROXANNE",IF(TODAY()&gt;$AB683,"OVERDUE",IF($AB683&lt;=WORKDAY(TODAY(),1,Holidays),"DUE TOMORROW",IF($Z683=4,"ESCALATED TO LOCAL OFFICE",IF($Z683=5,"ESCALATED TO CBE",IF($AA683=TODAY(),"EMAIL SENT","MONITORING"))))))))))</f>
        <v/>
      </c>
      <c r="V683" s="17">
        <f>IF($U683="",IF(AND(COUNTA($A683:$L683)&gt;0,$N683=""),"Awaiting Collection Email time stamp.",""),IF(OR($U683="PAID",$U683="CLOSED"),IF($U683="PAID","Account paid. Action completed.","Account closed. No further action required."),CHOOSE($Z683,"Collection Email","1st Email Follow-up","2nd Email Follow-up","Escalation to Local Office","Escalation to CBE","Escalation to Roxanne")&amp;" sent "&amp;TEXT($AA683,"dd-mmm")&amp;". "&amp;IF($Z683=6,"Final escalation completed.",IF($U683="OVERDUE","Next: "&amp;$AC683&amp;" was due "&amp;TEXT($AB683,"dd-mmm")&amp;" - "&amp;(NETWORKDAYS($AB683,TODAY(),Holidays)-1)&amp;" business day(s) late. Send now.",IF($U683="DUE TOMORROW","Next: "&amp;$AC683&amp;IF($AB683&lt;=TODAY()," is due TODAY ("," is due next business day (")&amp;TEXT($AB683,"dd-mmm")&amp;").","Next: "&amp;$AC683&amp;" due "&amp;TEXT($AB683,"dd-mmm")&amp;" ("&amp;(NETWORKDAYS(TODAY(),$AB683,Holidays)-1)&amp;" business day(s) left).")))))</f>
        <v/>
      </c>
      <c r="W683" s="17">
        <f>IF($Z683="","",CHOOSE($Z683,"Collection Email","1st Follow-up","2nd Follow-up","Local Office","CBE","Roxanne")&amp;IF($Z683=6," - Final"," - Day "&amp;MAX(0,NETWORKDAYS($AA683,TODAY(),Holidays)-1)&amp;" of "&amp;CHOOSE($Z683,3,3,2,2,3))&amp;" | Total Day "&amp;MAX(0,NETWORKDAYS($N683,TODAY(),Holidays)-1))</f>
        <v/>
      </c>
      <c r="X683" s="18"/>
      <c r="Y683" s="18"/>
      <c r="Z683" s="17">
        <f>IF($N683="","",COUNT($N683:$S683))</f>
        <v/>
      </c>
      <c r="AA683" s="19">
        <f>IF($Z683="","",INT(INDEX($N683:$S683,$Z683)))</f>
        <v/>
      </c>
      <c r="AB683" s="19">
        <f>IF(OR($Z683="",$Z683=6),"",WORKDAY($AA683,CHOOSE($Z683,3,3,2,2,3),Holidays))</f>
        <v/>
      </c>
      <c r="AC683" s="17">
        <f>IF(OR($Z683="",$Z683=6),"",CHOOSE($Z683,"1st Email Follow-up","2nd Email Follow-up","Escalate Local Office","Escalate to CBE","Escalate to Roxanne"))</f>
        <v/>
      </c>
    </row>
    <row r="684" spans="13:29">
      <c r="M684" s="14"/>
      <c r="T684" s="16"/>
      <c r="U684" s="17">
        <f>IF(AND(COUNTA($A684:$L684)=0,$N684=""),"",IF($T684="Paid","PAID",IF($T684="Closed","CLOSED",IF($Z684="","",IF($Z684=6,"ESCALATED TO ROXANNE",IF(TODAY()&gt;$AB684,"OVERDUE",IF($AB684&lt;=WORKDAY(TODAY(),1,Holidays),"DUE TOMORROW",IF($Z684=4,"ESCALATED TO LOCAL OFFICE",IF($Z684=5,"ESCALATED TO CBE",IF($AA684=TODAY(),"EMAIL SENT","MONITORING"))))))))))</f>
        <v/>
      </c>
      <c r="V684" s="17">
        <f>IF($U684="",IF(AND(COUNTA($A684:$L684)&gt;0,$N684=""),"Awaiting Collection Email time stamp.",""),IF(OR($U684="PAID",$U684="CLOSED"),IF($U684="PAID","Account paid. Action completed.","Account closed. No further action required."),CHOOSE($Z684,"Collection Email","1st Email Follow-up","2nd Email Follow-up","Escalation to Local Office","Escalation to CBE","Escalation to Roxanne")&amp;" sent "&amp;TEXT($AA684,"dd-mmm")&amp;". "&amp;IF($Z684=6,"Final escalation completed.",IF($U684="OVERDUE","Next: "&amp;$AC684&amp;" was due "&amp;TEXT($AB684,"dd-mmm")&amp;" - "&amp;(NETWORKDAYS($AB684,TODAY(),Holidays)-1)&amp;" business day(s) late. Send now.",IF($U684="DUE TOMORROW","Next: "&amp;$AC684&amp;IF($AB684&lt;=TODAY()," is due TODAY ("," is due next business day (")&amp;TEXT($AB684,"dd-mmm")&amp;").","Next: "&amp;$AC684&amp;" due "&amp;TEXT($AB684,"dd-mmm")&amp;" ("&amp;(NETWORKDAYS(TODAY(),$AB684,Holidays)-1)&amp;" business day(s) left).")))))</f>
        <v/>
      </c>
      <c r="W684" s="17">
        <f>IF($Z684="","",CHOOSE($Z684,"Collection Email","1st Follow-up","2nd Follow-up","Local Office","CBE","Roxanne")&amp;IF($Z684=6," - Final"," - Day "&amp;MAX(0,NETWORKDAYS($AA684,TODAY(),Holidays)-1)&amp;" of "&amp;CHOOSE($Z684,3,3,2,2,3))&amp;" | Total Day "&amp;MAX(0,NETWORKDAYS($N684,TODAY(),Holidays)-1))</f>
        <v/>
      </c>
      <c r="X684" s="18"/>
      <c r="Y684" s="18"/>
      <c r="Z684" s="17">
        <f>IF($N684="","",COUNT($N684:$S684))</f>
        <v/>
      </c>
      <c r="AA684" s="19">
        <f>IF($Z684="","",INT(INDEX($N684:$S684,$Z684)))</f>
        <v/>
      </c>
      <c r="AB684" s="19">
        <f>IF(OR($Z684="",$Z684=6),"",WORKDAY($AA684,CHOOSE($Z684,3,3,2,2,3),Holidays))</f>
        <v/>
      </c>
      <c r="AC684" s="17">
        <f>IF(OR($Z684="",$Z684=6),"",CHOOSE($Z684,"1st Email Follow-up","2nd Email Follow-up","Escalate Local Office","Escalate to CBE","Escalate to Roxanne"))</f>
        <v/>
      </c>
    </row>
    <row r="685" spans="13:29">
      <c r="M685" s="14"/>
      <c r="T685" s="16"/>
      <c r="U685" s="17">
        <f>IF(AND(COUNTA($A685:$L685)=0,$N685=""),"",IF($T685="Paid","PAID",IF($T685="Closed","CLOSED",IF($Z685="","",IF($Z685=6,"ESCALATED TO ROXANNE",IF(TODAY()&gt;$AB685,"OVERDUE",IF($AB685&lt;=WORKDAY(TODAY(),1,Holidays),"DUE TOMORROW",IF($Z685=4,"ESCALATED TO LOCAL OFFICE",IF($Z685=5,"ESCALATED TO CBE",IF($AA685=TODAY(),"EMAIL SENT","MONITORING"))))))))))</f>
        <v/>
      </c>
      <c r="V685" s="17">
        <f>IF($U685="",IF(AND(COUNTA($A685:$L685)&gt;0,$N685=""),"Awaiting Collection Email time stamp.",""),IF(OR($U685="PAID",$U685="CLOSED"),IF($U685="PAID","Account paid. Action completed.","Account closed. No further action required."),CHOOSE($Z685,"Collection Email","1st Email Follow-up","2nd Email Follow-up","Escalation to Local Office","Escalation to CBE","Escalation to Roxanne")&amp;" sent "&amp;TEXT($AA685,"dd-mmm")&amp;". "&amp;IF($Z685=6,"Final escalation completed.",IF($U685="OVERDUE","Next: "&amp;$AC685&amp;" was due "&amp;TEXT($AB685,"dd-mmm")&amp;" - "&amp;(NETWORKDAYS($AB685,TODAY(),Holidays)-1)&amp;" business day(s) late. Send now.",IF($U685="DUE TOMORROW","Next: "&amp;$AC685&amp;IF($AB685&lt;=TODAY()," is due TODAY ("," is due next business day (")&amp;TEXT($AB685,"dd-mmm")&amp;").","Next: "&amp;$AC685&amp;" due "&amp;TEXT($AB685,"dd-mmm")&amp;" ("&amp;(NETWORKDAYS(TODAY(),$AB685,Holidays)-1)&amp;" business day(s) left).")))))</f>
        <v/>
      </c>
      <c r="W685" s="17">
        <f>IF($Z685="","",CHOOSE($Z685,"Collection Email","1st Follow-up","2nd Follow-up","Local Office","CBE","Roxanne")&amp;IF($Z685=6," - Final"," - Day "&amp;MAX(0,NETWORKDAYS($AA685,TODAY(),Holidays)-1)&amp;" of "&amp;CHOOSE($Z685,3,3,2,2,3))&amp;" | Total Day "&amp;MAX(0,NETWORKDAYS($N685,TODAY(),Holidays)-1))</f>
        <v/>
      </c>
      <c r="X685" s="18"/>
      <c r="Y685" s="18"/>
      <c r="Z685" s="17">
        <f>IF($N685="","",COUNT($N685:$S685))</f>
        <v/>
      </c>
      <c r="AA685" s="19">
        <f>IF($Z685="","",INT(INDEX($N685:$S685,$Z685)))</f>
        <v/>
      </c>
      <c r="AB685" s="19">
        <f>IF(OR($Z685="",$Z685=6),"",WORKDAY($AA685,CHOOSE($Z685,3,3,2,2,3),Holidays))</f>
        <v/>
      </c>
      <c r="AC685" s="17">
        <f>IF(OR($Z685="",$Z685=6),"",CHOOSE($Z685,"1st Email Follow-up","2nd Email Follow-up","Escalate Local Office","Escalate to CBE","Escalate to Roxanne"))</f>
        <v/>
      </c>
    </row>
    <row r="686" spans="13:29">
      <c r="M686" s="14"/>
      <c r="T686" s="16"/>
      <c r="U686" s="17">
        <f>IF(AND(COUNTA($A686:$L686)=0,$N686=""),"",IF($T686="Paid","PAID",IF($T686="Closed","CLOSED",IF($Z686="","",IF($Z686=6,"ESCALATED TO ROXANNE",IF(TODAY()&gt;$AB686,"OVERDUE",IF($AB686&lt;=WORKDAY(TODAY(),1,Holidays),"DUE TOMORROW",IF($Z686=4,"ESCALATED TO LOCAL OFFICE",IF($Z686=5,"ESCALATED TO CBE",IF($AA686=TODAY(),"EMAIL SENT","MONITORING"))))))))))</f>
        <v/>
      </c>
      <c r="V686" s="17">
        <f>IF($U686="",IF(AND(COUNTA($A686:$L686)&gt;0,$N686=""),"Awaiting Collection Email time stamp.",""),IF(OR($U686="PAID",$U686="CLOSED"),IF($U686="PAID","Account paid. Action completed.","Account closed. No further action required."),CHOOSE($Z686,"Collection Email","1st Email Follow-up","2nd Email Follow-up","Escalation to Local Office","Escalation to CBE","Escalation to Roxanne")&amp;" sent "&amp;TEXT($AA686,"dd-mmm")&amp;". "&amp;IF($Z686=6,"Final escalation completed.",IF($U686="OVERDUE","Next: "&amp;$AC686&amp;" was due "&amp;TEXT($AB686,"dd-mmm")&amp;" - "&amp;(NETWORKDAYS($AB686,TODAY(),Holidays)-1)&amp;" business day(s) late. Send now.",IF($U686="DUE TOMORROW","Next: "&amp;$AC686&amp;IF($AB686&lt;=TODAY()," is due TODAY ("," is due next business day (")&amp;TEXT($AB686,"dd-mmm")&amp;").","Next: "&amp;$AC686&amp;" due "&amp;TEXT($AB686,"dd-mmm")&amp;" ("&amp;(NETWORKDAYS(TODAY(),$AB686,Holidays)-1)&amp;" business day(s) left).")))))</f>
        <v/>
      </c>
      <c r="W686" s="17">
        <f>IF($Z686="","",CHOOSE($Z686,"Collection Email","1st Follow-up","2nd Follow-up","Local Office","CBE","Roxanne")&amp;IF($Z686=6," - Final"," - Day "&amp;MAX(0,NETWORKDAYS($AA686,TODAY(),Holidays)-1)&amp;" of "&amp;CHOOSE($Z686,3,3,2,2,3))&amp;" | Total Day "&amp;MAX(0,NETWORKDAYS($N686,TODAY(),Holidays)-1))</f>
        <v/>
      </c>
      <c r="X686" s="18"/>
      <c r="Y686" s="18"/>
      <c r="Z686" s="17">
        <f>IF($N686="","",COUNT($N686:$S686))</f>
        <v/>
      </c>
      <c r="AA686" s="19">
        <f>IF($Z686="","",INT(INDEX($N686:$S686,$Z686)))</f>
        <v/>
      </c>
      <c r="AB686" s="19">
        <f>IF(OR($Z686="",$Z686=6),"",WORKDAY($AA686,CHOOSE($Z686,3,3,2,2,3),Holidays))</f>
        <v/>
      </c>
      <c r="AC686" s="17">
        <f>IF(OR($Z686="",$Z686=6),"",CHOOSE($Z686,"1st Email Follow-up","2nd Email Follow-up","Escalate Local Office","Escalate to CBE","Escalate to Roxanne"))</f>
        <v/>
      </c>
    </row>
    <row r="687" spans="13:29">
      <c r="M687" s="14"/>
      <c r="T687" s="16"/>
      <c r="U687" s="17">
        <f>IF(AND(COUNTA($A687:$L687)=0,$N687=""),"",IF($T687="Paid","PAID",IF($T687="Closed","CLOSED",IF($Z687="","",IF($Z687=6,"ESCALATED TO ROXANNE",IF(TODAY()&gt;$AB687,"OVERDUE",IF($AB687&lt;=WORKDAY(TODAY(),1,Holidays),"DUE TOMORROW",IF($Z687=4,"ESCALATED TO LOCAL OFFICE",IF($Z687=5,"ESCALATED TO CBE",IF($AA687=TODAY(),"EMAIL SENT","MONITORING"))))))))))</f>
        <v/>
      </c>
      <c r="V687" s="17">
        <f>IF($U687="",IF(AND(COUNTA($A687:$L687)&gt;0,$N687=""),"Awaiting Collection Email time stamp.",""),IF(OR($U687="PAID",$U687="CLOSED"),IF($U687="PAID","Account paid. Action completed.","Account closed. No further action required."),CHOOSE($Z687,"Collection Email","1st Email Follow-up","2nd Email Follow-up","Escalation to Local Office","Escalation to CBE","Escalation to Roxanne")&amp;" sent "&amp;TEXT($AA687,"dd-mmm")&amp;". "&amp;IF($Z687=6,"Final escalation completed.",IF($U687="OVERDUE","Next: "&amp;$AC687&amp;" was due "&amp;TEXT($AB687,"dd-mmm")&amp;" - "&amp;(NETWORKDAYS($AB687,TODAY(),Holidays)-1)&amp;" business day(s) late. Send now.",IF($U687="DUE TOMORROW","Next: "&amp;$AC687&amp;IF($AB687&lt;=TODAY()," is due TODAY ("," is due next business day (")&amp;TEXT($AB687,"dd-mmm")&amp;").","Next: "&amp;$AC687&amp;" due "&amp;TEXT($AB687,"dd-mmm")&amp;" ("&amp;(NETWORKDAYS(TODAY(),$AB687,Holidays)-1)&amp;" business day(s) left).")))))</f>
        <v/>
      </c>
      <c r="W687" s="17">
        <f>IF($Z687="","",CHOOSE($Z687,"Collection Email","1st Follow-up","2nd Follow-up","Local Office","CBE","Roxanne")&amp;IF($Z687=6," - Final"," - Day "&amp;MAX(0,NETWORKDAYS($AA687,TODAY(),Holidays)-1)&amp;" of "&amp;CHOOSE($Z687,3,3,2,2,3))&amp;" | Total Day "&amp;MAX(0,NETWORKDAYS($N687,TODAY(),Holidays)-1))</f>
        <v/>
      </c>
      <c r="X687" s="18"/>
      <c r="Y687" s="18"/>
      <c r="Z687" s="17">
        <f>IF($N687="","",COUNT($N687:$S687))</f>
        <v/>
      </c>
      <c r="AA687" s="19">
        <f>IF($Z687="","",INT(INDEX($N687:$S687,$Z687)))</f>
        <v/>
      </c>
      <c r="AB687" s="19">
        <f>IF(OR($Z687="",$Z687=6),"",WORKDAY($AA687,CHOOSE($Z687,3,3,2,2,3),Holidays))</f>
        <v/>
      </c>
      <c r="AC687" s="17">
        <f>IF(OR($Z687="",$Z687=6),"",CHOOSE($Z687,"1st Email Follow-up","2nd Email Follow-up","Escalate Local Office","Escalate to CBE","Escalate to Roxanne"))</f>
        <v/>
      </c>
    </row>
    <row r="688" spans="13:29">
      <c r="M688" s="14"/>
      <c r="T688" s="16"/>
      <c r="U688" s="17">
        <f>IF(AND(COUNTA($A688:$L688)=0,$N688=""),"",IF($T688="Paid","PAID",IF($T688="Closed","CLOSED",IF($Z688="","",IF($Z688=6,"ESCALATED TO ROXANNE",IF(TODAY()&gt;$AB688,"OVERDUE",IF($AB688&lt;=WORKDAY(TODAY(),1,Holidays),"DUE TOMORROW",IF($Z688=4,"ESCALATED TO LOCAL OFFICE",IF($Z688=5,"ESCALATED TO CBE",IF($AA688=TODAY(),"EMAIL SENT","MONITORING"))))))))))</f>
        <v/>
      </c>
      <c r="V688" s="17">
        <f>IF($U688="",IF(AND(COUNTA($A688:$L688)&gt;0,$N688=""),"Awaiting Collection Email time stamp.",""),IF(OR($U688="PAID",$U688="CLOSED"),IF($U688="PAID","Account paid. Action completed.","Account closed. No further action required."),CHOOSE($Z688,"Collection Email","1st Email Follow-up","2nd Email Follow-up","Escalation to Local Office","Escalation to CBE","Escalation to Roxanne")&amp;" sent "&amp;TEXT($AA688,"dd-mmm")&amp;". "&amp;IF($Z688=6,"Final escalation completed.",IF($U688="OVERDUE","Next: "&amp;$AC688&amp;" was due "&amp;TEXT($AB688,"dd-mmm")&amp;" - "&amp;(NETWORKDAYS($AB688,TODAY(),Holidays)-1)&amp;" business day(s) late. Send now.",IF($U688="DUE TOMORROW","Next: "&amp;$AC688&amp;IF($AB688&lt;=TODAY()," is due TODAY ("," is due next business day (")&amp;TEXT($AB688,"dd-mmm")&amp;").","Next: "&amp;$AC688&amp;" due "&amp;TEXT($AB688,"dd-mmm")&amp;" ("&amp;(NETWORKDAYS(TODAY(),$AB688,Holidays)-1)&amp;" business day(s) left).")))))</f>
        <v/>
      </c>
      <c r="W688" s="17">
        <f>IF($Z688="","",CHOOSE($Z688,"Collection Email","1st Follow-up","2nd Follow-up","Local Office","CBE","Roxanne")&amp;IF($Z688=6," - Final"," - Day "&amp;MAX(0,NETWORKDAYS($AA688,TODAY(),Holidays)-1)&amp;" of "&amp;CHOOSE($Z688,3,3,2,2,3))&amp;" | Total Day "&amp;MAX(0,NETWORKDAYS($N688,TODAY(),Holidays)-1))</f>
        <v/>
      </c>
      <c r="X688" s="18"/>
      <c r="Y688" s="18"/>
      <c r="Z688" s="17">
        <f>IF($N688="","",COUNT($N688:$S688))</f>
        <v/>
      </c>
      <c r="AA688" s="19">
        <f>IF($Z688="","",INT(INDEX($N688:$S688,$Z688)))</f>
        <v/>
      </c>
      <c r="AB688" s="19">
        <f>IF(OR($Z688="",$Z688=6),"",WORKDAY($AA688,CHOOSE($Z688,3,3,2,2,3),Holidays))</f>
        <v/>
      </c>
      <c r="AC688" s="17">
        <f>IF(OR($Z688="",$Z688=6),"",CHOOSE($Z688,"1st Email Follow-up","2nd Email Follow-up","Escalate Local Office","Escalate to CBE","Escalate to Roxanne"))</f>
        <v/>
      </c>
    </row>
    <row r="689" spans="13:29">
      <c r="M689" s="14"/>
      <c r="T689" s="16"/>
      <c r="U689" s="17">
        <f>IF(AND(COUNTA($A689:$L689)=0,$N689=""),"",IF($T689="Paid","PAID",IF($T689="Closed","CLOSED",IF($Z689="","",IF($Z689=6,"ESCALATED TO ROXANNE",IF(TODAY()&gt;$AB689,"OVERDUE",IF($AB689&lt;=WORKDAY(TODAY(),1,Holidays),"DUE TOMORROW",IF($Z689=4,"ESCALATED TO LOCAL OFFICE",IF($Z689=5,"ESCALATED TO CBE",IF($AA689=TODAY(),"EMAIL SENT","MONITORING"))))))))))</f>
        <v/>
      </c>
      <c r="V689" s="17">
        <f>IF($U689="",IF(AND(COUNTA($A689:$L689)&gt;0,$N689=""),"Awaiting Collection Email time stamp.",""),IF(OR($U689="PAID",$U689="CLOSED"),IF($U689="PAID","Account paid. Action completed.","Account closed. No further action required."),CHOOSE($Z689,"Collection Email","1st Email Follow-up","2nd Email Follow-up","Escalation to Local Office","Escalation to CBE","Escalation to Roxanne")&amp;" sent "&amp;TEXT($AA689,"dd-mmm")&amp;". "&amp;IF($Z689=6,"Final escalation completed.",IF($U689="OVERDUE","Next: "&amp;$AC689&amp;" was due "&amp;TEXT($AB689,"dd-mmm")&amp;" - "&amp;(NETWORKDAYS($AB689,TODAY(),Holidays)-1)&amp;" business day(s) late. Send now.",IF($U689="DUE TOMORROW","Next: "&amp;$AC689&amp;IF($AB689&lt;=TODAY()," is due TODAY ("," is due next business day (")&amp;TEXT($AB689,"dd-mmm")&amp;").","Next: "&amp;$AC689&amp;" due "&amp;TEXT($AB689,"dd-mmm")&amp;" ("&amp;(NETWORKDAYS(TODAY(),$AB689,Holidays)-1)&amp;" business day(s) left).")))))</f>
        <v/>
      </c>
      <c r="W689" s="17">
        <f>IF($Z689="","",CHOOSE($Z689,"Collection Email","1st Follow-up","2nd Follow-up","Local Office","CBE","Roxanne")&amp;IF($Z689=6," - Final"," - Day "&amp;MAX(0,NETWORKDAYS($AA689,TODAY(),Holidays)-1)&amp;" of "&amp;CHOOSE($Z689,3,3,2,2,3))&amp;" | Total Day "&amp;MAX(0,NETWORKDAYS($N689,TODAY(),Holidays)-1))</f>
        <v/>
      </c>
      <c r="X689" s="18"/>
      <c r="Y689" s="18"/>
      <c r="Z689" s="17">
        <f>IF($N689="","",COUNT($N689:$S689))</f>
        <v/>
      </c>
      <c r="AA689" s="19">
        <f>IF($Z689="","",INT(INDEX($N689:$S689,$Z689)))</f>
        <v/>
      </c>
      <c r="AB689" s="19">
        <f>IF(OR($Z689="",$Z689=6),"",WORKDAY($AA689,CHOOSE($Z689,3,3,2,2,3),Holidays))</f>
        <v/>
      </c>
      <c r="AC689" s="17">
        <f>IF(OR($Z689="",$Z689=6),"",CHOOSE($Z689,"1st Email Follow-up","2nd Email Follow-up","Escalate Local Office","Escalate to CBE","Escalate to Roxanne"))</f>
        <v/>
      </c>
    </row>
    <row r="690" spans="13:29">
      <c r="M690" s="14"/>
      <c r="T690" s="16"/>
      <c r="U690" s="17">
        <f>IF(AND(COUNTA($A690:$L690)=0,$N690=""),"",IF($T690="Paid","PAID",IF($T690="Closed","CLOSED",IF($Z690="","",IF($Z690=6,"ESCALATED TO ROXANNE",IF(TODAY()&gt;$AB690,"OVERDUE",IF($AB690&lt;=WORKDAY(TODAY(),1,Holidays),"DUE TOMORROW",IF($Z690=4,"ESCALATED TO LOCAL OFFICE",IF($Z690=5,"ESCALATED TO CBE",IF($AA690=TODAY(),"EMAIL SENT","MONITORING"))))))))))</f>
        <v/>
      </c>
      <c r="V690" s="17">
        <f>IF($U690="",IF(AND(COUNTA($A690:$L690)&gt;0,$N690=""),"Awaiting Collection Email time stamp.",""),IF(OR($U690="PAID",$U690="CLOSED"),IF($U690="PAID","Account paid. Action completed.","Account closed. No further action required."),CHOOSE($Z690,"Collection Email","1st Email Follow-up","2nd Email Follow-up","Escalation to Local Office","Escalation to CBE","Escalation to Roxanne")&amp;" sent "&amp;TEXT($AA690,"dd-mmm")&amp;". "&amp;IF($Z690=6,"Final escalation completed.",IF($U690="OVERDUE","Next: "&amp;$AC690&amp;" was due "&amp;TEXT($AB690,"dd-mmm")&amp;" - "&amp;(NETWORKDAYS($AB690,TODAY(),Holidays)-1)&amp;" business day(s) late. Send now.",IF($U690="DUE TOMORROW","Next: "&amp;$AC690&amp;IF($AB690&lt;=TODAY()," is due TODAY ("," is due next business day (")&amp;TEXT($AB690,"dd-mmm")&amp;").","Next: "&amp;$AC690&amp;" due "&amp;TEXT($AB690,"dd-mmm")&amp;" ("&amp;(NETWORKDAYS(TODAY(),$AB690,Holidays)-1)&amp;" business day(s) left).")))))</f>
        <v/>
      </c>
      <c r="W690" s="17">
        <f>IF($Z690="","",CHOOSE($Z690,"Collection Email","1st Follow-up","2nd Follow-up","Local Office","CBE","Roxanne")&amp;IF($Z690=6," - Final"," - Day "&amp;MAX(0,NETWORKDAYS($AA690,TODAY(),Holidays)-1)&amp;" of "&amp;CHOOSE($Z690,3,3,2,2,3))&amp;" | Total Day "&amp;MAX(0,NETWORKDAYS($N690,TODAY(),Holidays)-1))</f>
        <v/>
      </c>
      <c r="X690" s="18"/>
      <c r="Y690" s="18"/>
      <c r="Z690" s="17">
        <f>IF($N690="","",COUNT($N690:$S690))</f>
        <v/>
      </c>
      <c r="AA690" s="19">
        <f>IF($Z690="","",INT(INDEX($N690:$S690,$Z690)))</f>
        <v/>
      </c>
      <c r="AB690" s="19">
        <f>IF(OR($Z690="",$Z690=6),"",WORKDAY($AA690,CHOOSE($Z690,3,3,2,2,3),Holidays))</f>
        <v/>
      </c>
      <c r="AC690" s="17">
        <f>IF(OR($Z690="",$Z690=6),"",CHOOSE($Z690,"1st Email Follow-up","2nd Email Follow-up","Escalate Local Office","Escalate to CBE","Escalate to Roxanne"))</f>
        <v/>
      </c>
    </row>
    <row r="691" spans="13:29">
      <c r="M691" s="14"/>
      <c r="T691" s="16"/>
      <c r="U691" s="17">
        <f>IF(AND(COUNTA($A691:$L691)=0,$N691=""),"",IF($T691="Paid","PAID",IF($T691="Closed","CLOSED",IF($Z691="","",IF($Z691=6,"ESCALATED TO ROXANNE",IF(TODAY()&gt;$AB691,"OVERDUE",IF($AB691&lt;=WORKDAY(TODAY(),1,Holidays),"DUE TOMORROW",IF($Z691=4,"ESCALATED TO LOCAL OFFICE",IF($Z691=5,"ESCALATED TO CBE",IF($AA691=TODAY(),"EMAIL SENT","MONITORING"))))))))))</f>
        <v/>
      </c>
      <c r="V691" s="17">
        <f>IF($U691="",IF(AND(COUNTA($A691:$L691)&gt;0,$N691=""),"Awaiting Collection Email time stamp.",""),IF(OR($U691="PAID",$U691="CLOSED"),IF($U691="PAID","Account paid. Action completed.","Account closed. No further action required."),CHOOSE($Z691,"Collection Email","1st Email Follow-up","2nd Email Follow-up","Escalation to Local Office","Escalation to CBE","Escalation to Roxanne")&amp;" sent "&amp;TEXT($AA691,"dd-mmm")&amp;". "&amp;IF($Z691=6,"Final escalation completed.",IF($U691="OVERDUE","Next: "&amp;$AC691&amp;" was due "&amp;TEXT($AB691,"dd-mmm")&amp;" - "&amp;(NETWORKDAYS($AB691,TODAY(),Holidays)-1)&amp;" business day(s) late. Send now.",IF($U691="DUE TOMORROW","Next: "&amp;$AC691&amp;IF($AB691&lt;=TODAY()," is due TODAY ("," is due next business day (")&amp;TEXT($AB691,"dd-mmm")&amp;").","Next: "&amp;$AC691&amp;" due "&amp;TEXT($AB691,"dd-mmm")&amp;" ("&amp;(NETWORKDAYS(TODAY(),$AB691,Holidays)-1)&amp;" business day(s) left).")))))</f>
        <v/>
      </c>
      <c r="W691" s="17">
        <f>IF($Z691="","",CHOOSE($Z691,"Collection Email","1st Follow-up","2nd Follow-up","Local Office","CBE","Roxanne")&amp;IF($Z691=6," - Final"," - Day "&amp;MAX(0,NETWORKDAYS($AA691,TODAY(),Holidays)-1)&amp;" of "&amp;CHOOSE($Z691,3,3,2,2,3))&amp;" | Total Day "&amp;MAX(0,NETWORKDAYS($N691,TODAY(),Holidays)-1))</f>
        <v/>
      </c>
      <c r="X691" s="18"/>
      <c r="Y691" s="18"/>
      <c r="Z691" s="17">
        <f>IF($N691="","",COUNT($N691:$S691))</f>
        <v/>
      </c>
      <c r="AA691" s="19">
        <f>IF($Z691="","",INT(INDEX($N691:$S691,$Z691)))</f>
        <v/>
      </c>
      <c r="AB691" s="19">
        <f>IF(OR($Z691="",$Z691=6),"",WORKDAY($AA691,CHOOSE($Z691,3,3,2,2,3),Holidays))</f>
        <v/>
      </c>
      <c r="AC691" s="17">
        <f>IF(OR($Z691="",$Z691=6),"",CHOOSE($Z691,"1st Email Follow-up","2nd Email Follow-up","Escalate Local Office","Escalate to CBE","Escalate to Roxanne"))</f>
        <v/>
      </c>
    </row>
    <row r="692" spans="13:29">
      <c r="M692" s="14"/>
      <c r="T692" s="16"/>
      <c r="U692" s="17">
        <f>IF(AND(COUNTA($A692:$L692)=0,$N692=""),"",IF($T692="Paid","PAID",IF($T692="Closed","CLOSED",IF($Z692="","",IF($Z692=6,"ESCALATED TO ROXANNE",IF(TODAY()&gt;$AB692,"OVERDUE",IF($AB692&lt;=WORKDAY(TODAY(),1,Holidays),"DUE TOMORROW",IF($Z692=4,"ESCALATED TO LOCAL OFFICE",IF($Z692=5,"ESCALATED TO CBE",IF($AA692=TODAY(),"EMAIL SENT","MONITORING"))))))))))</f>
        <v/>
      </c>
      <c r="V692" s="17">
        <f>IF($U692="",IF(AND(COUNTA($A692:$L692)&gt;0,$N692=""),"Awaiting Collection Email time stamp.",""),IF(OR($U692="PAID",$U692="CLOSED"),IF($U692="PAID","Account paid. Action completed.","Account closed. No further action required."),CHOOSE($Z692,"Collection Email","1st Email Follow-up","2nd Email Follow-up","Escalation to Local Office","Escalation to CBE","Escalation to Roxanne")&amp;" sent "&amp;TEXT($AA692,"dd-mmm")&amp;". "&amp;IF($Z692=6,"Final escalation completed.",IF($U692="OVERDUE","Next: "&amp;$AC692&amp;" was due "&amp;TEXT($AB692,"dd-mmm")&amp;" - "&amp;(NETWORKDAYS($AB692,TODAY(),Holidays)-1)&amp;" business day(s) late. Send now.",IF($U692="DUE TOMORROW","Next: "&amp;$AC692&amp;IF($AB692&lt;=TODAY()," is due TODAY ("," is due next business day (")&amp;TEXT($AB692,"dd-mmm")&amp;").","Next: "&amp;$AC692&amp;" due "&amp;TEXT($AB692,"dd-mmm")&amp;" ("&amp;(NETWORKDAYS(TODAY(),$AB692,Holidays)-1)&amp;" business day(s) left).")))))</f>
        <v/>
      </c>
      <c r="W692" s="17">
        <f>IF($Z692="","",CHOOSE($Z692,"Collection Email","1st Follow-up","2nd Follow-up","Local Office","CBE","Roxanne")&amp;IF($Z692=6," - Final"," - Day "&amp;MAX(0,NETWORKDAYS($AA692,TODAY(),Holidays)-1)&amp;" of "&amp;CHOOSE($Z692,3,3,2,2,3))&amp;" | Total Day "&amp;MAX(0,NETWORKDAYS($N692,TODAY(),Holidays)-1))</f>
        <v/>
      </c>
      <c r="X692" s="18"/>
      <c r="Y692" s="18"/>
      <c r="Z692" s="17">
        <f>IF($N692="","",COUNT($N692:$S692))</f>
        <v/>
      </c>
      <c r="AA692" s="19">
        <f>IF($Z692="","",INT(INDEX($N692:$S692,$Z692)))</f>
        <v/>
      </c>
      <c r="AB692" s="19">
        <f>IF(OR($Z692="",$Z692=6),"",WORKDAY($AA692,CHOOSE($Z692,3,3,2,2,3),Holidays))</f>
        <v/>
      </c>
      <c r="AC692" s="17">
        <f>IF(OR($Z692="",$Z692=6),"",CHOOSE($Z692,"1st Email Follow-up","2nd Email Follow-up","Escalate Local Office","Escalate to CBE","Escalate to Roxanne"))</f>
        <v/>
      </c>
    </row>
    <row r="693" spans="13:29">
      <c r="M693" s="14"/>
      <c r="T693" s="16"/>
      <c r="U693" s="17">
        <f>IF(AND(COUNTA($A693:$L693)=0,$N693=""),"",IF($T693="Paid","PAID",IF($T693="Closed","CLOSED",IF($Z693="","",IF($Z693=6,"ESCALATED TO ROXANNE",IF(TODAY()&gt;$AB693,"OVERDUE",IF($AB693&lt;=WORKDAY(TODAY(),1,Holidays),"DUE TOMORROW",IF($Z693=4,"ESCALATED TO LOCAL OFFICE",IF($Z693=5,"ESCALATED TO CBE",IF($AA693=TODAY(),"EMAIL SENT","MONITORING"))))))))))</f>
        <v/>
      </c>
      <c r="V693" s="17">
        <f>IF($U693="",IF(AND(COUNTA($A693:$L693)&gt;0,$N693=""),"Awaiting Collection Email time stamp.",""),IF(OR($U693="PAID",$U693="CLOSED"),IF($U693="PAID","Account paid. Action completed.","Account closed. No further action required."),CHOOSE($Z693,"Collection Email","1st Email Follow-up","2nd Email Follow-up","Escalation to Local Office","Escalation to CBE","Escalation to Roxanne")&amp;" sent "&amp;TEXT($AA693,"dd-mmm")&amp;". "&amp;IF($Z693=6,"Final escalation completed.",IF($U693="OVERDUE","Next: "&amp;$AC693&amp;" was due "&amp;TEXT($AB693,"dd-mmm")&amp;" - "&amp;(NETWORKDAYS($AB693,TODAY(),Holidays)-1)&amp;" business day(s) late. Send now.",IF($U693="DUE TOMORROW","Next: "&amp;$AC693&amp;IF($AB693&lt;=TODAY()," is due TODAY ("," is due next business day (")&amp;TEXT($AB693,"dd-mmm")&amp;").","Next: "&amp;$AC693&amp;" due "&amp;TEXT($AB693,"dd-mmm")&amp;" ("&amp;(NETWORKDAYS(TODAY(),$AB693,Holidays)-1)&amp;" business day(s) left).")))))</f>
        <v/>
      </c>
      <c r="W693" s="17">
        <f>IF($Z693="","",CHOOSE($Z693,"Collection Email","1st Follow-up","2nd Follow-up","Local Office","CBE","Roxanne")&amp;IF($Z693=6," - Final"," - Day "&amp;MAX(0,NETWORKDAYS($AA693,TODAY(),Holidays)-1)&amp;" of "&amp;CHOOSE($Z693,3,3,2,2,3))&amp;" | Total Day "&amp;MAX(0,NETWORKDAYS($N693,TODAY(),Holidays)-1))</f>
        <v/>
      </c>
      <c r="X693" s="18"/>
      <c r="Y693" s="18"/>
      <c r="Z693" s="17">
        <f>IF($N693="","",COUNT($N693:$S693))</f>
        <v/>
      </c>
      <c r="AA693" s="19">
        <f>IF($Z693="","",INT(INDEX($N693:$S693,$Z693)))</f>
        <v/>
      </c>
      <c r="AB693" s="19">
        <f>IF(OR($Z693="",$Z693=6),"",WORKDAY($AA693,CHOOSE($Z693,3,3,2,2,3),Holidays))</f>
        <v/>
      </c>
      <c r="AC693" s="17">
        <f>IF(OR($Z693="",$Z693=6),"",CHOOSE($Z693,"1st Email Follow-up","2nd Email Follow-up","Escalate Local Office","Escalate to CBE","Escalate to Roxanne"))</f>
        <v/>
      </c>
    </row>
    <row r="694" spans="13:29">
      <c r="M694" s="14"/>
      <c r="T694" s="16"/>
      <c r="U694" s="17">
        <f>IF(AND(COUNTA($A694:$L694)=0,$N694=""),"",IF($T694="Paid","PAID",IF($T694="Closed","CLOSED",IF($Z694="","",IF($Z694=6,"ESCALATED TO ROXANNE",IF(TODAY()&gt;$AB694,"OVERDUE",IF($AB694&lt;=WORKDAY(TODAY(),1,Holidays),"DUE TOMORROW",IF($Z694=4,"ESCALATED TO LOCAL OFFICE",IF($Z694=5,"ESCALATED TO CBE",IF($AA694=TODAY(),"EMAIL SENT","MONITORING"))))))))))</f>
        <v/>
      </c>
      <c r="V694" s="17">
        <f>IF($U694="",IF(AND(COUNTA($A694:$L694)&gt;0,$N694=""),"Awaiting Collection Email time stamp.",""),IF(OR($U694="PAID",$U694="CLOSED"),IF($U694="PAID","Account paid. Action completed.","Account closed. No further action required."),CHOOSE($Z694,"Collection Email","1st Email Follow-up","2nd Email Follow-up","Escalation to Local Office","Escalation to CBE","Escalation to Roxanne")&amp;" sent "&amp;TEXT($AA694,"dd-mmm")&amp;". "&amp;IF($Z694=6,"Final escalation completed.",IF($U694="OVERDUE","Next: "&amp;$AC694&amp;" was due "&amp;TEXT($AB694,"dd-mmm")&amp;" - "&amp;(NETWORKDAYS($AB694,TODAY(),Holidays)-1)&amp;" business day(s) late. Send now.",IF($U694="DUE TOMORROW","Next: "&amp;$AC694&amp;IF($AB694&lt;=TODAY()," is due TODAY ("," is due next business day (")&amp;TEXT($AB694,"dd-mmm")&amp;").","Next: "&amp;$AC694&amp;" due "&amp;TEXT($AB694,"dd-mmm")&amp;" ("&amp;(NETWORKDAYS(TODAY(),$AB694,Holidays)-1)&amp;" business day(s) left).")))))</f>
        <v/>
      </c>
      <c r="W694" s="17">
        <f>IF($Z694="","",CHOOSE($Z694,"Collection Email","1st Follow-up","2nd Follow-up","Local Office","CBE","Roxanne")&amp;IF($Z694=6," - Final"," - Day "&amp;MAX(0,NETWORKDAYS($AA694,TODAY(),Holidays)-1)&amp;" of "&amp;CHOOSE($Z694,3,3,2,2,3))&amp;" | Total Day "&amp;MAX(0,NETWORKDAYS($N694,TODAY(),Holidays)-1))</f>
        <v/>
      </c>
      <c r="X694" s="18"/>
      <c r="Y694" s="18"/>
      <c r="Z694" s="17">
        <f>IF($N694="","",COUNT($N694:$S694))</f>
        <v/>
      </c>
      <c r="AA694" s="19">
        <f>IF($Z694="","",INT(INDEX($N694:$S694,$Z694)))</f>
        <v/>
      </c>
      <c r="AB694" s="19">
        <f>IF(OR($Z694="",$Z694=6),"",WORKDAY($AA694,CHOOSE($Z694,3,3,2,2,3),Holidays))</f>
        <v/>
      </c>
      <c r="AC694" s="17">
        <f>IF(OR($Z694="",$Z694=6),"",CHOOSE($Z694,"1st Email Follow-up","2nd Email Follow-up","Escalate Local Office","Escalate to CBE","Escalate to Roxanne"))</f>
        <v/>
      </c>
    </row>
    <row r="695" spans="13:29">
      <c r="M695" s="14"/>
      <c r="T695" s="16"/>
      <c r="U695" s="17">
        <f>IF(AND(COUNTA($A695:$L695)=0,$N695=""),"",IF($T695="Paid","PAID",IF($T695="Closed","CLOSED",IF($Z695="","",IF($Z695=6,"ESCALATED TO ROXANNE",IF(TODAY()&gt;$AB695,"OVERDUE",IF($AB695&lt;=WORKDAY(TODAY(),1,Holidays),"DUE TOMORROW",IF($Z695=4,"ESCALATED TO LOCAL OFFICE",IF($Z695=5,"ESCALATED TO CBE",IF($AA695=TODAY(),"EMAIL SENT","MONITORING"))))))))))</f>
        <v/>
      </c>
      <c r="V695" s="17">
        <f>IF($U695="",IF(AND(COUNTA($A695:$L695)&gt;0,$N695=""),"Awaiting Collection Email time stamp.",""),IF(OR($U695="PAID",$U695="CLOSED"),IF($U695="PAID","Account paid. Action completed.","Account closed. No further action required."),CHOOSE($Z695,"Collection Email","1st Email Follow-up","2nd Email Follow-up","Escalation to Local Office","Escalation to CBE","Escalation to Roxanne")&amp;" sent "&amp;TEXT($AA695,"dd-mmm")&amp;". "&amp;IF($Z695=6,"Final escalation completed.",IF($U695="OVERDUE","Next: "&amp;$AC695&amp;" was due "&amp;TEXT($AB695,"dd-mmm")&amp;" - "&amp;(NETWORKDAYS($AB695,TODAY(),Holidays)-1)&amp;" business day(s) late. Send now.",IF($U695="DUE TOMORROW","Next: "&amp;$AC695&amp;IF($AB695&lt;=TODAY()," is due TODAY ("," is due next business day (")&amp;TEXT($AB695,"dd-mmm")&amp;").","Next: "&amp;$AC695&amp;" due "&amp;TEXT($AB695,"dd-mmm")&amp;" ("&amp;(NETWORKDAYS(TODAY(),$AB695,Holidays)-1)&amp;" business day(s) left).")))))</f>
        <v/>
      </c>
      <c r="W695" s="17">
        <f>IF($Z695="","",CHOOSE($Z695,"Collection Email","1st Follow-up","2nd Follow-up","Local Office","CBE","Roxanne")&amp;IF($Z695=6," - Final"," - Day "&amp;MAX(0,NETWORKDAYS($AA695,TODAY(),Holidays)-1)&amp;" of "&amp;CHOOSE($Z695,3,3,2,2,3))&amp;" | Total Day "&amp;MAX(0,NETWORKDAYS($N695,TODAY(),Holidays)-1))</f>
        <v/>
      </c>
      <c r="X695" s="18"/>
      <c r="Y695" s="18"/>
      <c r="Z695" s="17">
        <f>IF($N695="","",COUNT($N695:$S695))</f>
        <v/>
      </c>
      <c r="AA695" s="19">
        <f>IF($Z695="","",INT(INDEX($N695:$S695,$Z695)))</f>
        <v/>
      </c>
      <c r="AB695" s="19">
        <f>IF(OR($Z695="",$Z695=6),"",WORKDAY($AA695,CHOOSE($Z695,3,3,2,2,3),Holidays))</f>
        <v/>
      </c>
      <c r="AC695" s="17">
        <f>IF(OR($Z695="",$Z695=6),"",CHOOSE($Z695,"1st Email Follow-up","2nd Email Follow-up","Escalate Local Office","Escalate to CBE","Escalate to Roxanne"))</f>
        <v/>
      </c>
    </row>
    <row r="696" spans="13:29">
      <c r="M696" s="14"/>
      <c r="T696" s="16"/>
      <c r="U696" s="17">
        <f>IF(AND(COUNTA($A696:$L696)=0,$N696=""),"",IF($T696="Paid","PAID",IF($T696="Closed","CLOSED",IF($Z696="","",IF($Z696=6,"ESCALATED TO ROXANNE",IF(TODAY()&gt;$AB696,"OVERDUE",IF($AB696&lt;=WORKDAY(TODAY(),1,Holidays),"DUE TOMORROW",IF($Z696=4,"ESCALATED TO LOCAL OFFICE",IF($Z696=5,"ESCALATED TO CBE",IF($AA696=TODAY(),"EMAIL SENT","MONITORING"))))))))))</f>
        <v/>
      </c>
      <c r="V696" s="17">
        <f>IF($U696="",IF(AND(COUNTA($A696:$L696)&gt;0,$N696=""),"Awaiting Collection Email time stamp.",""),IF(OR($U696="PAID",$U696="CLOSED"),IF($U696="PAID","Account paid. Action completed.","Account closed. No further action required."),CHOOSE($Z696,"Collection Email","1st Email Follow-up","2nd Email Follow-up","Escalation to Local Office","Escalation to CBE","Escalation to Roxanne")&amp;" sent "&amp;TEXT($AA696,"dd-mmm")&amp;". "&amp;IF($Z696=6,"Final escalation completed.",IF($U696="OVERDUE","Next: "&amp;$AC696&amp;" was due "&amp;TEXT($AB696,"dd-mmm")&amp;" - "&amp;(NETWORKDAYS($AB696,TODAY(),Holidays)-1)&amp;" business day(s) late. Send now.",IF($U696="DUE TOMORROW","Next: "&amp;$AC696&amp;IF($AB696&lt;=TODAY()," is due TODAY ("," is due next business day (")&amp;TEXT($AB696,"dd-mmm")&amp;").","Next: "&amp;$AC696&amp;" due "&amp;TEXT($AB696,"dd-mmm")&amp;" ("&amp;(NETWORKDAYS(TODAY(),$AB696,Holidays)-1)&amp;" business day(s) left).")))))</f>
        <v/>
      </c>
      <c r="W696" s="17">
        <f>IF($Z696="","",CHOOSE($Z696,"Collection Email","1st Follow-up","2nd Follow-up","Local Office","CBE","Roxanne")&amp;IF($Z696=6," - Final"," - Day "&amp;MAX(0,NETWORKDAYS($AA696,TODAY(),Holidays)-1)&amp;" of "&amp;CHOOSE($Z696,3,3,2,2,3))&amp;" | Total Day "&amp;MAX(0,NETWORKDAYS($N696,TODAY(),Holidays)-1))</f>
        <v/>
      </c>
      <c r="X696" s="18"/>
      <c r="Y696" s="18"/>
      <c r="Z696" s="17">
        <f>IF($N696="","",COUNT($N696:$S696))</f>
        <v/>
      </c>
      <c r="AA696" s="19">
        <f>IF($Z696="","",INT(INDEX($N696:$S696,$Z696)))</f>
        <v/>
      </c>
      <c r="AB696" s="19">
        <f>IF(OR($Z696="",$Z696=6),"",WORKDAY($AA696,CHOOSE($Z696,3,3,2,2,3),Holidays))</f>
        <v/>
      </c>
      <c r="AC696" s="17">
        <f>IF(OR($Z696="",$Z696=6),"",CHOOSE($Z696,"1st Email Follow-up","2nd Email Follow-up","Escalate Local Office","Escalate to CBE","Escalate to Roxanne"))</f>
        <v/>
      </c>
    </row>
    <row r="697" spans="13:29">
      <c r="M697" s="14"/>
      <c r="T697" s="16"/>
      <c r="U697" s="17">
        <f>IF(AND(COUNTA($A697:$L697)=0,$N697=""),"",IF($T697="Paid","PAID",IF($T697="Closed","CLOSED",IF($Z697="","",IF($Z697=6,"ESCALATED TO ROXANNE",IF(TODAY()&gt;$AB697,"OVERDUE",IF($AB697&lt;=WORKDAY(TODAY(),1,Holidays),"DUE TOMORROW",IF($Z697=4,"ESCALATED TO LOCAL OFFICE",IF($Z697=5,"ESCALATED TO CBE",IF($AA697=TODAY(),"EMAIL SENT","MONITORING"))))))))))</f>
        <v/>
      </c>
      <c r="V697" s="17">
        <f>IF($U697="",IF(AND(COUNTA($A697:$L697)&gt;0,$N697=""),"Awaiting Collection Email time stamp.",""),IF(OR($U697="PAID",$U697="CLOSED"),IF($U697="PAID","Account paid. Action completed.","Account closed. No further action required."),CHOOSE($Z697,"Collection Email","1st Email Follow-up","2nd Email Follow-up","Escalation to Local Office","Escalation to CBE","Escalation to Roxanne")&amp;" sent "&amp;TEXT($AA697,"dd-mmm")&amp;". "&amp;IF($Z697=6,"Final escalation completed.",IF($U697="OVERDUE","Next: "&amp;$AC697&amp;" was due "&amp;TEXT($AB697,"dd-mmm")&amp;" - "&amp;(NETWORKDAYS($AB697,TODAY(),Holidays)-1)&amp;" business day(s) late. Send now.",IF($U697="DUE TOMORROW","Next: "&amp;$AC697&amp;IF($AB697&lt;=TODAY()," is due TODAY ("," is due next business day (")&amp;TEXT($AB697,"dd-mmm")&amp;").","Next: "&amp;$AC697&amp;" due "&amp;TEXT($AB697,"dd-mmm")&amp;" ("&amp;(NETWORKDAYS(TODAY(),$AB697,Holidays)-1)&amp;" business day(s) left).")))))</f>
        <v/>
      </c>
      <c r="W697" s="17">
        <f>IF($Z697="","",CHOOSE($Z697,"Collection Email","1st Follow-up","2nd Follow-up","Local Office","CBE","Roxanne")&amp;IF($Z697=6," - Final"," - Day "&amp;MAX(0,NETWORKDAYS($AA697,TODAY(),Holidays)-1)&amp;" of "&amp;CHOOSE($Z697,3,3,2,2,3))&amp;" | Total Day "&amp;MAX(0,NETWORKDAYS($N697,TODAY(),Holidays)-1))</f>
        <v/>
      </c>
      <c r="X697" s="18"/>
      <c r="Y697" s="18"/>
      <c r="Z697" s="17">
        <f>IF($N697="","",COUNT($N697:$S697))</f>
        <v/>
      </c>
      <c r="AA697" s="19">
        <f>IF($Z697="","",INT(INDEX($N697:$S697,$Z697)))</f>
        <v/>
      </c>
      <c r="AB697" s="19">
        <f>IF(OR($Z697="",$Z697=6),"",WORKDAY($AA697,CHOOSE($Z697,3,3,2,2,3),Holidays))</f>
        <v/>
      </c>
      <c r="AC697" s="17">
        <f>IF(OR($Z697="",$Z697=6),"",CHOOSE($Z697,"1st Email Follow-up","2nd Email Follow-up","Escalate Local Office","Escalate to CBE","Escalate to Roxanne"))</f>
        <v/>
      </c>
    </row>
    <row r="698" spans="13:29">
      <c r="M698" s="14"/>
      <c r="T698" s="16"/>
      <c r="U698" s="17">
        <f>IF(AND(COUNTA($A698:$L698)=0,$N698=""),"",IF($T698="Paid","PAID",IF($T698="Closed","CLOSED",IF($Z698="","",IF($Z698=6,"ESCALATED TO ROXANNE",IF(TODAY()&gt;$AB698,"OVERDUE",IF($AB698&lt;=WORKDAY(TODAY(),1,Holidays),"DUE TOMORROW",IF($Z698=4,"ESCALATED TO LOCAL OFFICE",IF($Z698=5,"ESCALATED TO CBE",IF($AA698=TODAY(),"EMAIL SENT","MONITORING"))))))))))</f>
        <v/>
      </c>
      <c r="V698" s="17">
        <f>IF($U698="",IF(AND(COUNTA($A698:$L698)&gt;0,$N698=""),"Awaiting Collection Email time stamp.",""),IF(OR($U698="PAID",$U698="CLOSED"),IF($U698="PAID","Account paid. Action completed.","Account closed. No further action required."),CHOOSE($Z698,"Collection Email","1st Email Follow-up","2nd Email Follow-up","Escalation to Local Office","Escalation to CBE","Escalation to Roxanne")&amp;" sent "&amp;TEXT($AA698,"dd-mmm")&amp;". "&amp;IF($Z698=6,"Final escalation completed.",IF($U698="OVERDUE","Next: "&amp;$AC698&amp;" was due "&amp;TEXT($AB698,"dd-mmm")&amp;" - "&amp;(NETWORKDAYS($AB698,TODAY(),Holidays)-1)&amp;" business day(s) late. Send now.",IF($U698="DUE TOMORROW","Next: "&amp;$AC698&amp;IF($AB698&lt;=TODAY()," is due TODAY ("," is due next business day (")&amp;TEXT($AB698,"dd-mmm")&amp;").","Next: "&amp;$AC698&amp;" due "&amp;TEXT($AB698,"dd-mmm")&amp;" ("&amp;(NETWORKDAYS(TODAY(),$AB698,Holidays)-1)&amp;" business day(s) left).")))))</f>
        <v/>
      </c>
      <c r="W698" s="17">
        <f>IF($Z698="","",CHOOSE($Z698,"Collection Email","1st Follow-up","2nd Follow-up","Local Office","CBE","Roxanne")&amp;IF($Z698=6," - Final"," - Day "&amp;MAX(0,NETWORKDAYS($AA698,TODAY(),Holidays)-1)&amp;" of "&amp;CHOOSE($Z698,3,3,2,2,3))&amp;" | Total Day "&amp;MAX(0,NETWORKDAYS($N698,TODAY(),Holidays)-1))</f>
        <v/>
      </c>
      <c r="X698" s="18"/>
      <c r="Y698" s="18"/>
      <c r="Z698" s="17">
        <f>IF($N698="","",COUNT($N698:$S698))</f>
        <v/>
      </c>
      <c r="AA698" s="19">
        <f>IF($Z698="","",INT(INDEX($N698:$S698,$Z698)))</f>
        <v/>
      </c>
      <c r="AB698" s="19">
        <f>IF(OR($Z698="",$Z698=6),"",WORKDAY($AA698,CHOOSE($Z698,3,3,2,2,3),Holidays))</f>
        <v/>
      </c>
      <c r="AC698" s="17">
        <f>IF(OR($Z698="",$Z698=6),"",CHOOSE($Z698,"1st Email Follow-up","2nd Email Follow-up","Escalate Local Office","Escalate to CBE","Escalate to Roxanne"))</f>
        <v/>
      </c>
    </row>
    <row r="699" spans="13:29">
      <c r="M699" s="14"/>
      <c r="T699" s="16"/>
      <c r="U699" s="17">
        <f>IF(AND(COUNTA($A699:$L699)=0,$N699=""),"",IF($T699="Paid","PAID",IF($T699="Closed","CLOSED",IF($Z699="","",IF($Z699=6,"ESCALATED TO ROXANNE",IF(TODAY()&gt;$AB699,"OVERDUE",IF($AB699&lt;=WORKDAY(TODAY(),1,Holidays),"DUE TOMORROW",IF($Z699=4,"ESCALATED TO LOCAL OFFICE",IF($Z699=5,"ESCALATED TO CBE",IF($AA699=TODAY(),"EMAIL SENT","MONITORING"))))))))))</f>
        <v/>
      </c>
      <c r="V699" s="17">
        <f>IF($U699="",IF(AND(COUNTA($A699:$L699)&gt;0,$N699=""),"Awaiting Collection Email time stamp.",""),IF(OR($U699="PAID",$U699="CLOSED"),IF($U699="PAID","Account paid. Action completed.","Account closed. No further action required."),CHOOSE($Z699,"Collection Email","1st Email Follow-up","2nd Email Follow-up","Escalation to Local Office","Escalation to CBE","Escalation to Roxanne")&amp;" sent "&amp;TEXT($AA699,"dd-mmm")&amp;". "&amp;IF($Z699=6,"Final escalation completed.",IF($U699="OVERDUE","Next: "&amp;$AC699&amp;" was due "&amp;TEXT($AB699,"dd-mmm")&amp;" - "&amp;(NETWORKDAYS($AB699,TODAY(),Holidays)-1)&amp;" business day(s) late. Send now.",IF($U699="DUE TOMORROW","Next: "&amp;$AC699&amp;IF($AB699&lt;=TODAY()," is due TODAY ("," is due next business day (")&amp;TEXT($AB699,"dd-mmm")&amp;").","Next: "&amp;$AC699&amp;" due "&amp;TEXT($AB699,"dd-mmm")&amp;" ("&amp;(NETWORKDAYS(TODAY(),$AB699,Holidays)-1)&amp;" business day(s) left).")))))</f>
        <v/>
      </c>
      <c r="W699" s="17">
        <f>IF($Z699="","",CHOOSE($Z699,"Collection Email","1st Follow-up","2nd Follow-up","Local Office","CBE","Roxanne")&amp;IF($Z699=6," - Final"," - Day "&amp;MAX(0,NETWORKDAYS($AA699,TODAY(),Holidays)-1)&amp;" of "&amp;CHOOSE($Z699,3,3,2,2,3))&amp;" | Total Day "&amp;MAX(0,NETWORKDAYS($N699,TODAY(),Holidays)-1))</f>
        <v/>
      </c>
      <c r="X699" s="18"/>
      <c r="Y699" s="18"/>
      <c r="Z699" s="17">
        <f>IF($N699="","",COUNT($N699:$S699))</f>
        <v/>
      </c>
      <c r="AA699" s="19">
        <f>IF($Z699="","",INT(INDEX($N699:$S699,$Z699)))</f>
        <v/>
      </c>
      <c r="AB699" s="19">
        <f>IF(OR($Z699="",$Z699=6),"",WORKDAY($AA699,CHOOSE($Z699,3,3,2,2,3),Holidays))</f>
        <v/>
      </c>
      <c r="AC699" s="17">
        <f>IF(OR($Z699="",$Z699=6),"",CHOOSE($Z699,"1st Email Follow-up","2nd Email Follow-up","Escalate Local Office","Escalate to CBE","Escalate to Roxanne"))</f>
        <v/>
      </c>
    </row>
    <row r="700" spans="13:29">
      <c r="M700" s="14"/>
      <c r="T700" s="16"/>
      <c r="U700" s="17">
        <f>IF(AND(COUNTA($A700:$L700)=0,$N700=""),"",IF($T700="Paid","PAID",IF($T700="Closed","CLOSED",IF($Z700="","",IF($Z700=6,"ESCALATED TO ROXANNE",IF(TODAY()&gt;$AB700,"OVERDUE",IF($AB700&lt;=WORKDAY(TODAY(),1,Holidays),"DUE TOMORROW",IF($Z700=4,"ESCALATED TO LOCAL OFFICE",IF($Z700=5,"ESCALATED TO CBE",IF($AA700=TODAY(),"EMAIL SENT","MONITORING"))))))))))</f>
        <v/>
      </c>
      <c r="V700" s="17">
        <f>IF($U700="",IF(AND(COUNTA($A700:$L700)&gt;0,$N700=""),"Awaiting Collection Email time stamp.",""),IF(OR($U700="PAID",$U700="CLOSED"),IF($U700="PAID","Account paid. Action completed.","Account closed. No further action required."),CHOOSE($Z700,"Collection Email","1st Email Follow-up","2nd Email Follow-up","Escalation to Local Office","Escalation to CBE","Escalation to Roxanne")&amp;" sent "&amp;TEXT($AA700,"dd-mmm")&amp;". "&amp;IF($Z700=6,"Final escalation completed.",IF($U700="OVERDUE","Next: "&amp;$AC700&amp;" was due "&amp;TEXT($AB700,"dd-mmm")&amp;" - "&amp;(NETWORKDAYS($AB700,TODAY(),Holidays)-1)&amp;" business day(s) late. Send now.",IF($U700="DUE TOMORROW","Next: "&amp;$AC700&amp;IF($AB700&lt;=TODAY()," is due TODAY ("," is due next business day (")&amp;TEXT($AB700,"dd-mmm")&amp;").","Next: "&amp;$AC700&amp;" due "&amp;TEXT($AB700,"dd-mmm")&amp;" ("&amp;(NETWORKDAYS(TODAY(),$AB700,Holidays)-1)&amp;" business day(s) left).")))))</f>
        <v/>
      </c>
      <c r="W700" s="17">
        <f>IF($Z700="","",CHOOSE($Z700,"Collection Email","1st Follow-up","2nd Follow-up","Local Office","CBE","Roxanne")&amp;IF($Z700=6," - Final"," - Day "&amp;MAX(0,NETWORKDAYS($AA700,TODAY(),Holidays)-1)&amp;" of "&amp;CHOOSE($Z700,3,3,2,2,3))&amp;" | Total Day "&amp;MAX(0,NETWORKDAYS($N700,TODAY(),Holidays)-1))</f>
        <v/>
      </c>
      <c r="X700" s="18"/>
      <c r="Y700" s="18"/>
      <c r="Z700" s="17">
        <f>IF($N700="","",COUNT($N700:$S700))</f>
        <v/>
      </c>
      <c r="AA700" s="19">
        <f>IF($Z700="","",INT(INDEX($N700:$S700,$Z700)))</f>
        <v/>
      </c>
      <c r="AB700" s="19">
        <f>IF(OR($Z700="",$Z700=6),"",WORKDAY($AA700,CHOOSE($Z700,3,3,2,2,3),Holidays))</f>
        <v/>
      </c>
      <c r="AC700" s="17">
        <f>IF(OR($Z700="",$Z700=6),"",CHOOSE($Z700,"1st Email Follow-up","2nd Email Follow-up","Escalate Local Office","Escalate to CBE","Escalate to Roxanne"))</f>
        <v/>
      </c>
    </row>
    <row r="701" spans="13:29">
      <c r="M701" s="14"/>
      <c r="T701" s="16"/>
      <c r="U701" s="17">
        <f>IF(AND(COUNTA($A701:$L701)=0,$N701=""),"",IF($T701="Paid","PAID",IF($T701="Closed","CLOSED",IF($Z701="","",IF($Z701=6,"ESCALATED TO ROXANNE",IF(TODAY()&gt;$AB701,"OVERDUE",IF($AB701&lt;=WORKDAY(TODAY(),1,Holidays),"DUE TOMORROW",IF($Z701=4,"ESCALATED TO LOCAL OFFICE",IF($Z701=5,"ESCALATED TO CBE",IF($AA701=TODAY(),"EMAIL SENT","MONITORING"))))))))))</f>
        <v/>
      </c>
      <c r="V701" s="17">
        <f>IF($U701="",IF(AND(COUNTA($A701:$L701)&gt;0,$N701=""),"Awaiting Collection Email time stamp.",""),IF(OR($U701="PAID",$U701="CLOSED"),IF($U701="PAID","Account paid. Action completed.","Account closed. No further action required."),CHOOSE($Z701,"Collection Email","1st Email Follow-up","2nd Email Follow-up","Escalation to Local Office","Escalation to CBE","Escalation to Roxanne")&amp;" sent "&amp;TEXT($AA701,"dd-mmm")&amp;". "&amp;IF($Z701=6,"Final escalation completed.",IF($U701="OVERDUE","Next: "&amp;$AC701&amp;" was due "&amp;TEXT($AB701,"dd-mmm")&amp;" - "&amp;(NETWORKDAYS($AB701,TODAY(),Holidays)-1)&amp;" business day(s) late. Send now.",IF($U701="DUE TOMORROW","Next: "&amp;$AC701&amp;IF($AB701&lt;=TODAY()," is due TODAY ("," is due next business day (")&amp;TEXT($AB701,"dd-mmm")&amp;").","Next: "&amp;$AC701&amp;" due "&amp;TEXT($AB701,"dd-mmm")&amp;" ("&amp;(NETWORKDAYS(TODAY(),$AB701,Holidays)-1)&amp;" business day(s) left).")))))</f>
        <v/>
      </c>
      <c r="W701" s="17">
        <f>IF($Z701="","",CHOOSE($Z701,"Collection Email","1st Follow-up","2nd Follow-up","Local Office","CBE","Roxanne")&amp;IF($Z701=6," - Final"," - Day "&amp;MAX(0,NETWORKDAYS($AA701,TODAY(),Holidays)-1)&amp;" of "&amp;CHOOSE($Z701,3,3,2,2,3))&amp;" | Total Day "&amp;MAX(0,NETWORKDAYS($N701,TODAY(),Holidays)-1))</f>
        <v/>
      </c>
      <c r="X701" s="18"/>
      <c r="Y701" s="18"/>
      <c r="Z701" s="17">
        <f>IF($N701="","",COUNT($N701:$S701))</f>
        <v/>
      </c>
      <c r="AA701" s="19">
        <f>IF($Z701="","",INT(INDEX($N701:$S701,$Z701)))</f>
        <v/>
      </c>
      <c r="AB701" s="19">
        <f>IF(OR($Z701="",$Z701=6),"",WORKDAY($AA701,CHOOSE($Z701,3,3,2,2,3),Holidays))</f>
        <v/>
      </c>
      <c r="AC701" s="17">
        <f>IF(OR($Z701="",$Z701=6),"",CHOOSE($Z701,"1st Email Follow-up","2nd Email Follow-up","Escalate Local Office","Escalate to CBE","Escalate to Roxanne"))</f>
        <v/>
      </c>
    </row>
    <row r="702" spans="13:29">
      <c r="M702" s="14"/>
      <c r="T702" s="16"/>
      <c r="U702" s="17">
        <f>IF(AND(COUNTA($A702:$L702)=0,$N702=""),"",IF($T702="Paid","PAID",IF($T702="Closed","CLOSED",IF($Z702="","",IF($Z702=6,"ESCALATED TO ROXANNE",IF(TODAY()&gt;$AB702,"OVERDUE",IF($AB702&lt;=WORKDAY(TODAY(),1,Holidays),"DUE TOMORROW",IF($Z702=4,"ESCALATED TO LOCAL OFFICE",IF($Z702=5,"ESCALATED TO CBE",IF($AA702=TODAY(),"EMAIL SENT","MONITORING"))))))))))</f>
        <v/>
      </c>
      <c r="V702" s="17">
        <f>IF($U702="",IF(AND(COUNTA($A702:$L702)&gt;0,$N702=""),"Awaiting Collection Email time stamp.",""),IF(OR($U702="PAID",$U702="CLOSED"),IF($U702="PAID","Account paid. Action completed.","Account closed. No further action required."),CHOOSE($Z702,"Collection Email","1st Email Follow-up","2nd Email Follow-up","Escalation to Local Office","Escalation to CBE","Escalation to Roxanne")&amp;" sent "&amp;TEXT($AA702,"dd-mmm")&amp;". "&amp;IF($Z702=6,"Final escalation completed.",IF($U702="OVERDUE","Next: "&amp;$AC702&amp;" was due "&amp;TEXT($AB702,"dd-mmm")&amp;" - "&amp;(NETWORKDAYS($AB702,TODAY(),Holidays)-1)&amp;" business day(s) late. Send now.",IF($U702="DUE TOMORROW","Next: "&amp;$AC702&amp;IF($AB702&lt;=TODAY()," is due TODAY ("," is due next business day (")&amp;TEXT($AB702,"dd-mmm")&amp;").","Next: "&amp;$AC702&amp;" due "&amp;TEXT($AB702,"dd-mmm")&amp;" ("&amp;(NETWORKDAYS(TODAY(),$AB702,Holidays)-1)&amp;" business day(s) left).")))))</f>
        <v/>
      </c>
      <c r="W702" s="17">
        <f>IF($Z702="","",CHOOSE($Z702,"Collection Email","1st Follow-up","2nd Follow-up","Local Office","CBE","Roxanne")&amp;IF($Z702=6," - Final"," - Day "&amp;MAX(0,NETWORKDAYS($AA702,TODAY(),Holidays)-1)&amp;" of "&amp;CHOOSE($Z702,3,3,2,2,3))&amp;" | Total Day "&amp;MAX(0,NETWORKDAYS($N702,TODAY(),Holidays)-1))</f>
        <v/>
      </c>
      <c r="X702" s="18"/>
      <c r="Y702" s="18"/>
      <c r="Z702" s="17">
        <f>IF($N702="","",COUNT($N702:$S702))</f>
        <v/>
      </c>
      <c r="AA702" s="19">
        <f>IF($Z702="","",INT(INDEX($N702:$S702,$Z702)))</f>
        <v/>
      </c>
      <c r="AB702" s="19">
        <f>IF(OR($Z702="",$Z702=6),"",WORKDAY($AA702,CHOOSE($Z702,3,3,2,2,3),Holidays))</f>
        <v/>
      </c>
      <c r="AC702" s="17">
        <f>IF(OR($Z702="",$Z702=6),"",CHOOSE($Z702,"1st Email Follow-up","2nd Email Follow-up","Escalate Local Office","Escalate to CBE","Escalate to Roxanne"))</f>
        <v/>
      </c>
    </row>
    <row r="703" spans="13:29">
      <c r="M703" s="14"/>
      <c r="T703" s="16"/>
      <c r="U703" s="17">
        <f>IF(AND(COUNTA($A703:$L703)=0,$N703=""),"",IF($T703="Paid","PAID",IF($T703="Closed","CLOSED",IF($Z703="","",IF($Z703=6,"ESCALATED TO ROXANNE",IF(TODAY()&gt;$AB703,"OVERDUE",IF($AB703&lt;=WORKDAY(TODAY(),1,Holidays),"DUE TOMORROW",IF($Z703=4,"ESCALATED TO LOCAL OFFICE",IF($Z703=5,"ESCALATED TO CBE",IF($AA703=TODAY(),"EMAIL SENT","MONITORING"))))))))))</f>
        <v/>
      </c>
      <c r="V703" s="17">
        <f>IF($U703="",IF(AND(COUNTA($A703:$L703)&gt;0,$N703=""),"Awaiting Collection Email time stamp.",""),IF(OR($U703="PAID",$U703="CLOSED"),IF($U703="PAID","Account paid. Action completed.","Account closed. No further action required."),CHOOSE($Z703,"Collection Email","1st Email Follow-up","2nd Email Follow-up","Escalation to Local Office","Escalation to CBE","Escalation to Roxanne")&amp;" sent "&amp;TEXT($AA703,"dd-mmm")&amp;". "&amp;IF($Z703=6,"Final escalation completed.",IF($U703="OVERDUE","Next: "&amp;$AC703&amp;" was due "&amp;TEXT($AB703,"dd-mmm")&amp;" - "&amp;(NETWORKDAYS($AB703,TODAY(),Holidays)-1)&amp;" business day(s) late. Send now.",IF($U703="DUE TOMORROW","Next: "&amp;$AC703&amp;IF($AB703&lt;=TODAY()," is due TODAY ("," is due next business day (")&amp;TEXT($AB703,"dd-mmm")&amp;").","Next: "&amp;$AC703&amp;" due "&amp;TEXT($AB703,"dd-mmm")&amp;" ("&amp;(NETWORKDAYS(TODAY(),$AB703,Holidays)-1)&amp;" business day(s) left).")))))</f>
        <v/>
      </c>
      <c r="W703" s="17">
        <f>IF($Z703="","",CHOOSE($Z703,"Collection Email","1st Follow-up","2nd Follow-up","Local Office","CBE","Roxanne")&amp;IF($Z703=6," - Final"," - Day "&amp;MAX(0,NETWORKDAYS($AA703,TODAY(),Holidays)-1)&amp;" of "&amp;CHOOSE($Z703,3,3,2,2,3))&amp;" | Total Day "&amp;MAX(0,NETWORKDAYS($N703,TODAY(),Holidays)-1))</f>
        <v/>
      </c>
      <c r="X703" s="18"/>
      <c r="Y703" s="18"/>
      <c r="Z703" s="17">
        <f>IF($N703="","",COUNT($N703:$S703))</f>
        <v/>
      </c>
      <c r="AA703" s="19">
        <f>IF($Z703="","",INT(INDEX($N703:$S703,$Z703)))</f>
        <v/>
      </c>
      <c r="AB703" s="19">
        <f>IF(OR($Z703="",$Z703=6),"",WORKDAY($AA703,CHOOSE($Z703,3,3,2,2,3),Holidays))</f>
        <v/>
      </c>
      <c r="AC703" s="17">
        <f>IF(OR($Z703="",$Z703=6),"",CHOOSE($Z703,"1st Email Follow-up","2nd Email Follow-up","Escalate Local Office","Escalate to CBE","Escalate to Roxanne"))</f>
        <v/>
      </c>
    </row>
    <row r="704" spans="13:29">
      <c r="M704" s="14"/>
      <c r="T704" s="16"/>
      <c r="U704" s="17">
        <f>IF(AND(COUNTA($A704:$L704)=0,$N704=""),"",IF($T704="Paid","PAID",IF($T704="Closed","CLOSED",IF($Z704="","",IF($Z704=6,"ESCALATED TO ROXANNE",IF(TODAY()&gt;$AB704,"OVERDUE",IF($AB704&lt;=WORKDAY(TODAY(),1,Holidays),"DUE TOMORROW",IF($Z704=4,"ESCALATED TO LOCAL OFFICE",IF($Z704=5,"ESCALATED TO CBE",IF($AA704=TODAY(),"EMAIL SENT","MONITORING"))))))))))</f>
        <v/>
      </c>
      <c r="V704" s="17">
        <f>IF($U704="",IF(AND(COUNTA($A704:$L704)&gt;0,$N704=""),"Awaiting Collection Email time stamp.",""),IF(OR($U704="PAID",$U704="CLOSED"),IF($U704="PAID","Account paid. Action completed.","Account closed. No further action required."),CHOOSE($Z704,"Collection Email","1st Email Follow-up","2nd Email Follow-up","Escalation to Local Office","Escalation to CBE","Escalation to Roxanne")&amp;" sent "&amp;TEXT($AA704,"dd-mmm")&amp;". "&amp;IF($Z704=6,"Final escalation completed.",IF($U704="OVERDUE","Next: "&amp;$AC704&amp;" was due "&amp;TEXT($AB704,"dd-mmm")&amp;" - "&amp;(NETWORKDAYS($AB704,TODAY(),Holidays)-1)&amp;" business day(s) late. Send now.",IF($U704="DUE TOMORROW","Next: "&amp;$AC704&amp;IF($AB704&lt;=TODAY()," is due TODAY ("," is due next business day (")&amp;TEXT($AB704,"dd-mmm")&amp;").","Next: "&amp;$AC704&amp;" due "&amp;TEXT($AB704,"dd-mmm")&amp;" ("&amp;(NETWORKDAYS(TODAY(),$AB704,Holidays)-1)&amp;" business day(s) left).")))))</f>
        <v/>
      </c>
      <c r="W704" s="17">
        <f>IF($Z704="","",CHOOSE($Z704,"Collection Email","1st Follow-up","2nd Follow-up","Local Office","CBE","Roxanne")&amp;IF($Z704=6," - Final"," - Day "&amp;MAX(0,NETWORKDAYS($AA704,TODAY(),Holidays)-1)&amp;" of "&amp;CHOOSE($Z704,3,3,2,2,3))&amp;" | Total Day "&amp;MAX(0,NETWORKDAYS($N704,TODAY(),Holidays)-1))</f>
        <v/>
      </c>
      <c r="X704" s="18"/>
      <c r="Y704" s="18"/>
      <c r="Z704" s="17">
        <f>IF($N704="","",COUNT($N704:$S704))</f>
        <v/>
      </c>
      <c r="AA704" s="19">
        <f>IF($Z704="","",INT(INDEX($N704:$S704,$Z704)))</f>
        <v/>
      </c>
      <c r="AB704" s="19">
        <f>IF(OR($Z704="",$Z704=6),"",WORKDAY($AA704,CHOOSE($Z704,3,3,2,2,3),Holidays))</f>
        <v/>
      </c>
      <c r="AC704" s="17">
        <f>IF(OR($Z704="",$Z704=6),"",CHOOSE($Z704,"1st Email Follow-up","2nd Email Follow-up","Escalate Local Office","Escalate to CBE","Escalate to Roxanne"))</f>
        <v/>
      </c>
    </row>
    <row r="705" spans="13:29">
      <c r="M705" s="14"/>
      <c r="T705" s="16"/>
      <c r="U705" s="17">
        <f>IF(AND(COUNTA($A705:$L705)=0,$N705=""),"",IF($T705="Paid","PAID",IF($T705="Closed","CLOSED",IF($Z705="","",IF($Z705=6,"ESCALATED TO ROXANNE",IF(TODAY()&gt;$AB705,"OVERDUE",IF($AB705&lt;=WORKDAY(TODAY(),1,Holidays),"DUE TOMORROW",IF($Z705=4,"ESCALATED TO LOCAL OFFICE",IF($Z705=5,"ESCALATED TO CBE",IF($AA705=TODAY(),"EMAIL SENT","MONITORING"))))))))))</f>
        <v/>
      </c>
      <c r="V705" s="17">
        <f>IF($U705="",IF(AND(COUNTA($A705:$L705)&gt;0,$N705=""),"Awaiting Collection Email time stamp.",""),IF(OR($U705="PAID",$U705="CLOSED"),IF($U705="PAID","Account paid. Action completed.","Account closed. No further action required."),CHOOSE($Z705,"Collection Email","1st Email Follow-up","2nd Email Follow-up","Escalation to Local Office","Escalation to CBE","Escalation to Roxanne")&amp;" sent "&amp;TEXT($AA705,"dd-mmm")&amp;". "&amp;IF($Z705=6,"Final escalation completed.",IF($U705="OVERDUE","Next: "&amp;$AC705&amp;" was due "&amp;TEXT($AB705,"dd-mmm")&amp;" - "&amp;(NETWORKDAYS($AB705,TODAY(),Holidays)-1)&amp;" business day(s) late. Send now.",IF($U705="DUE TOMORROW","Next: "&amp;$AC705&amp;IF($AB705&lt;=TODAY()," is due TODAY ("," is due next business day (")&amp;TEXT($AB705,"dd-mmm")&amp;").","Next: "&amp;$AC705&amp;" due "&amp;TEXT($AB705,"dd-mmm")&amp;" ("&amp;(NETWORKDAYS(TODAY(),$AB705,Holidays)-1)&amp;" business day(s) left).")))))</f>
        <v/>
      </c>
      <c r="W705" s="17">
        <f>IF($Z705="","",CHOOSE($Z705,"Collection Email","1st Follow-up","2nd Follow-up","Local Office","CBE","Roxanne")&amp;IF($Z705=6," - Final"," - Day "&amp;MAX(0,NETWORKDAYS($AA705,TODAY(),Holidays)-1)&amp;" of "&amp;CHOOSE($Z705,3,3,2,2,3))&amp;" | Total Day "&amp;MAX(0,NETWORKDAYS($N705,TODAY(),Holidays)-1))</f>
        <v/>
      </c>
      <c r="X705" s="18"/>
      <c r="Y705" s="18"/>
      <c r="Z705" s="17">
        <f>IF($N705="","",COUNT($N705:$S705))</f>
        <v/>
      </c>
      <c r="AA705" s="19">
        <f>IF($Z705="","",INT(INDEX($N705:$S705,$Z705)))</f>
        <v/>
      </c>
      <c r="AB705" s="19">
        <f>IF(OR($Z705="",$Z705=6),"",WORKDAY($AA705,CHOOSE($Z705,3,3,2,2,3),Holidays))</f>
        <v/>
      </c>
      <c r="AC705" s="17">
        <f>IF(OR($Z705="",$Z705=6),"",CHOOSE($Z705,"1st Email Follow-up","2nd Email Follow-up","Escalate Local Office","Escalate to CBE","Escalate to Roxanne"))</f>
        <v/>
      </c>
    </row>
    <row r="706" spans="13:29">
      <c r="M706" s="14"/>
      <c r="T706" s="16"/>
      <c r="U706" s="17">
        <f>IF(AND(COUNTA($A706:$L706)=0,$N706=""),"",IF($T706="Paid","PAID",IF($T706="Closed","CLOSED",IF($Z706="","",IF($Z706=6,"ESCALATED TO ROXANNE",IF(TODAY()&gt;$AB706,"OVERDUE",IF($AB706&lt;=WORKDAY(TODAY(),1,Holidays),"DUE TOMORROW",IF($Z706=4,"ESCALATED TO LOCAL OFFICE",IF($Z706=5,"ESCALATED TO CBE",IF($AA706=TODAY(),"EMAIL SENT","MONITORING"))))))))))</f>
        <v/>
      </c>
      <c r="V706" s="17">
        <f>IF($U706="",IF(AND(COUNTA($A706:$L706)&gt;0,$N706=""),"Awaiting Collection Email time stamp.",""),IF(OR($U706="PAID",$U706="CLOSED"),IF($U706="PAID","Account paid. Action completed.","Account closed. No further action required."),CHOOSE($Z706,"Collection Email","1st Email Follow-up","2nd Email Follow-up","Escalation to Local Office","Escalation to CBE","Escalation to Roxanne")&amp;" sent "&amp;TEXT($AA706,"dd-mmm")&amp;". "&amp;IF($Z706=6,"Final escalation completed.",IF($U706="OVERDUE","Next: "&amp;$AC706&amp;" was due "&amp;TEXT($AB706,"dd-mmm")&amp;" - "&amp;(NETWORKDAYS($AB706,TODAY(),Holidays)-1)&amp;" business day(s) late. Send now.",IF($U706="DUE TOMORROW","Next: "&amp;$AC706&amp;IF($AB706&lt;=TODAY()," is due TODAY ("," is due next business day (")&amp;TEXT($AB706,"dd-mmm")&amp;").","Next: "&amp;$AC706&amp;" due "&amp;TEXT($AB706,"dd-mmm")&amp;" ("&amp;(NETWORKDAYS(TODAY(),$AB706,Holidays)-1)&amp;" business day(s) left).")))))</f>
        <v/>
      </c>
      <c r="W706" s="17">
        <f>IF($Z706="","",CHOOSE($Z706,"Collection Email","1st Follow-up","2nd Follow-up","Local Office","CBE","Roxanne")&amp;IF($Z706=6," - Final"," - Day "&amp;MAX(0,NETWORKDAYS($AA706,TODAY(),Holidays)-1)&amp;" of "&amp;CHOOSE($Z706,3,3,2,2,3))&amp;" | Total Day "&amp;MAX(0,NETWORKDAYS($N706,TODAY(),Holidays)-1))</f>
        <v/>
      </c>
      <c r="X706" s="18"/>
      <c r="Y706" s="18"/>
      <c r="Z706" s="17">
        <f>IF($N706="","",COUNT($N706:$S706))</f>
        <v/>
      </c>
      <c r="AA706" s="19">
        <f>IF($Z706="","",INT(INDEX($N706:$S706,$Z706)))</f>
        <v/>
      </c>
      <c r="AB706" s="19">
        <f>IF(OR($Z706="",$Z706=6),"",WORKDAY($AA706,CHOOSE($Z706,3,3,2,2,3),Holidays))</f>
        <v/>
      </c>
      <c r="AC706" s="17">
        <f>IF(OR($Z706="",$Z706=6),"",CHOOSE($Z706,"1st Email Follow-up","2nd Email Follow-up","Escalate Local Office","Escalate to CBE","Escalate to Roxanne"))</f>
        <v/>
      </c>
    </row>
    <row r="707" spans="13:29">
      <c r="M707" s="14"/>
      <c r="T707" s="16"/>
      <c r="U707" s="17">
        <f>IF(AND(COUNTA($A707:$L707)=0,$N707=""),"",IF($T707="Paid","PAID",IF($T707="Closed","CLOSED",IF($Z707="","",IF($Z707=6,"ESCALATED TO ROXANNE",IF(TODAY()&gt;$AB707,"OVERDUE",IF($AB707&lt;=WORKDAY(TODAY(),1,Holidays),"DUE TOMORROW",IF($Z707=4,"ESCALATED TO LOCAL OFFICE",IF($Z707=5,"ESCALATED TO CBE",IF($AA707=TODAY(),"EMAIL SENT","MONITORING"))))))))))</f>
        <v/>
      </c>
      <c r="V707" s="17">
        <f>IF($U707="",IF(AND(COUNTA($A707:$L707)&gt;0,$N707=""),"Awaiting Collection Email time stamp.",""),IF(OR($U707="PAID",$U707="CLOSED"),IF($U707="PAID","Account paid. Action completed.","Account closed. No further action required."),CHOOSE($Z707,"Collection Email","1st Email Follow-up","2nd Email Follow-up","Escalation to Local Office","Escalation to CBE","Escalation to Roxanne")&amp;" sent "&amp;TEXT($AA707,"dd-mmm")&amp;". "&amp;IF($Z707=6,"Final escalation completed.",IF($U707="OVERDUE","Next: "&amp;$AC707&amp;" was due "&amp;TEXT($AB707,"dd-mmm")&amp;" - "&amp;(NETWORKDAYS($AB707,TODAY(),Holidays)-1)&amp;" business day(s) late. Send now.",IF($U707="DUE TOMORROW","Next: "&amp;$AC707&amp;IF($AB707&lt;=TODAY()," is due TODAY ("," is due next business day (")&amp;TEXT($AB707,"dd-mmm")&amp;").","Next: "&amp;$AC707&amp;" due "&amp;TEXT($AB707,"dd-mmm")&amp;" ("&amp;(NETWORKDAYS(TODAY(),$AB707,Holidays)-1)&amp;" business day(s) left).")))))</f>
        <v/>
      </c>
      <c r="W707" s="17">
        <f>IF($Z707="","",CHOOSE($Z707,"Collection Email","1st Follow-up","2nd Follow-up","Local Office","CBE","Roxanne")&amp;IF($Z707=6," - Final"," - Day "&amp;MAX(0,NETWORKDAYS($AA707,TODAY(),Holidays)-1)&amp;" of "&amp;CHOOSE($Z707,3,3,2,2,3))&amp;" | Total Day "&amp;MAX(0,NETWORKDAYS($N707,TODAY(),Holidays)-1))</f>
        <v/>
      </c>
      <c r="X707" s="18"/>
      <c r="Y707" s="18"/>
      <c r="Z707" s="17">
        <f>IF($N707="","",COUNT($N707:$S707))</f>
        <v/>
      </c>
      <c r="AA707" s="19">
        <f>IF($Z707="","",INT(INDEX($N707:$S707,$Z707)))</f>
        <v/>
      </c>
      <c r="AB707" s="19">
        <f>IF(OR($Z707="",$Z707=6),"",WORKDAY($AA707,CHOOSE($Z707,3,3,2,2,3),Holidays))</f>
        <v/>
      </c>
      <c r="AC707" s="17">
        <f>IF(OR($Z707="",$Z707=6),"",CHOOSE($Z707,"1st Email Follow-up","2nd Email Follow-up","Escalate Local Office","Escalate to CBE","Escalate to Roxanne"))</f>
        <v/>
      </c>
    </row>
    <row r="708" spans="13:29">
      <c r="M708" s="14"/>
      <c r="T708" s="16"/>
      <c r="U708" s="17">
        <f>IF(AND(COUNTA($A708:$L708)=0,$N708=""),"",IF($T708="Paid","PAID",IF($T708="Closed","CLOSED",IF($Z708="","",IF($Z708=6,"ESCALATED TO ROXANNE",IF(TODAY()&gt;$AB708,"OVERDUE",IF($AB708&lt;=WORKDAY(TODAY(),1,Holidays),"DUE TOMORROW",IF($Z708=4,"ESCALATED TO LOCAL OFFICE",IF($Z708=5,"ESCALATED TO CBE",IF($AA708=TODAY(),"EMAIL SENT","MONITORING"))))))))))</f>
        <v/>
      </c>
      <c r="V708" s="17">
        <f>IF($U708="",IF(AND(COUNTA($A708:$L708)&gt;0,$N708=""),"Awaiting Collection Email time stamp.",""),IF(OR($U708="PAID",$U708="CLOSED"),IF($U708="PAID","Account paid. Action completed.","Account closed. No further action required."),CHOOSE($Z708,"Collection Email","1st Email Follow-up","2nd Email Follow-up","Escalation to Local Office","Escalation to CBE","Escalation to Roxanne")&amp;" sent "&amp;TEXT($AA708,"dd-mmm")&amp;". "&amp;IF($Z708=6,"Final escalation completed.",IF($U708="OVERDUE","Next: "&amp;$AC708&amp;" was due "&amp;TEXT($AB708,"dd-mmm")&amp;" - "&amp;(NETWORKDAYS($AB708,TODAY(),Holidays)-1)&amp;" business day(s) late. Send now.",IF($U708="DUE TOMORROW","Next: "&amp;$AC708&amp;IF($AB708&lt;=TODAY()," is due TODAY ("," is due next business day (")&amp;TEXT($AB708,"dd-mmm")&amp;").","Next: "&amp;$AC708&amp;" due "&amp;TEXT($AB708,"dd-mmm")&amp;" ("&amp;(NETWORKDAYS(TODAY(),$AB708,Holidays)-1)&amp;" business day(s) left).")))))</f>
        <v/>
      </c>
      <c r="W708" s="17">
        <f>IF($Z708="","",CHOOSE($Z708,"Collection Email","1st Follow-up","2nd Follow-up","Local Office","CBE","Roxanne")&amp;IF($Z708=6," - Final"," - Day "&amp;MAX(0,NETWORKDAYS($AA708,TODAY(),Holidays)-1)&amp;" of "&amp;CHOOSE($Z708,3,3,2,2,3))&amp;" | Total Day "&amp;MAX(0,NETWORKDAYS($N708,TODAY(),Holidays)-1))</f>
        <v/>
      </c>
      <c r="X708" s="18"/>
      <c r="Y708" s="18"/>
      <c r="Z708" s="17">
        <f>IF($N708="","",COUNT($N708:$S708))</f>
        <v/>
      </c>
      <c r="AA708" s="19">
        <f>IF($Z708="","",INT(INDEX($N708:$S708,$Z708)))</f>
        <v/>
      </c>
      <c r="AB708" s="19">
        <f>IF(OR($Z708="",$Z708=6),"",WORKDAY($AA708,CHOOSE($Z708,3,3,2,2,3),Holidays))</f>
        <v/>
      </c>
      <c r="AC708" s="17">
        <f>IF(OR($Z708="",$Z708=6),"",CHOOSE($Z708,"1st Email Follow-up","2nd Email Follow-up","Escalate Local Office","Escalate to CBE","Escalate to Roxanne"))</f>
        <v/>
      </c>
    </row>
    <row r="709" spans="13:29">
      <c r="M709" s="14"/>
      <c r="T709" s="16"/>
      <c r="U709" s="17">
        <f>IF(AND(COUNTA($A709:$L709)=0,$N709=""),"",IF($T709="Paid","PAID",IF($T709="Closed","CLOSED",IF($Z709="","",IF($Z709=6,"ESCALATED TO ROXANNE",IF(TODAY()&gt;$AB709,"OVERDUE",IF($AB709&lt;=WORKDAY(TODAY(),1,Holidays),"DUE TOMORROW",IF($Z709=4,"ESCALATED TO LOCAL OFFICE",IF($Z709=5,"ESCALATED TO CBE",IF($AA709=TODAY(),"EMAIL SENT","MONITORING"))))))))))</f>
        <v/>
      </c>
      <c r="V709" s="17">
        <f>IF($U709="",IF(AND(COUNTA($A709:$L709)&gt;0,$N709=""),"Awaiting Collection Email time stamp.",""),IF(OR($U709="PAID",$U709="CLOSED"),IF($U709="PAID","Account paid. Action completed.","Account closed. No further action required."),CHOOSE($Z709,"Collection Email","1st Email Follow-up","2nd Email Follow-up","Escalation to Local Office","Escalation to CBE","Escalation to Roxanne")&amp;" sent "&amp;TEXT($AA709,"dd-mmm")&amp;". "&amp;IF($Z709=6,"Final escalation completed.",IF($U709="OVERDUE","Next: "&amp;$AC709&amp;" was due "&amp;TEXT($AB709,"dd-mmm")&amp;" - "&amp;(NETWORKDAYS($AB709,TODAY(),Holidays)-1)&amp;" business day(s) late. Send now.",IF($U709="DUE TOMORROW","Next: "&amp;$AC709&amp;IF($AB709&lt;=TODAY()," is due TODAY ("," is due next business day (")&amp;TEXT($AB709,"dd-mmm")&amp;").","Next: "&amp;$AC709&amp;" due "&amp;TEXT($AB709,"dd-mmm")&amp;" ("&amp;(NETWORKDAYS(TODAY(),$AB709,Holidays)-1)&amp;" business day(s) left).")))))</f>
        <v/>
      </c>
      <c r="W709" s="17">
        <f>IF($Z709="","",CHOOSE($Z709,"Collection Email","1st Follow-up","2nd Follow-up","Local Office","CBE","Roxanne")&amp;IF($Z709=6," - Final"," - Day "&amp;MAX(0,NETWORKDAYS($AA709,TODAY(),Holidays)-1)&amp;" of "&amp;CHOOSE($Z709,3,3,2,2,3))&amp;" | Total Day "&amp;MAX(0,NETWORKDAYS($N709,TODAY(),Holidays)-1))</f>
        <v/>
      </c>
      <c r="X709" s="18"/>
      <c r="Y709" s="18"/>
      <c r="Z709" s="17">
        <f>IF($N709="","",COUNT($N709:$S709))</f>
        <v/>
      </c>
      <c r="AA709" s="19">
        <f>IF($Z709="","",INT(INDEX($N709:$S709,$Z709)))</f>
        <v/>
      </c>
      <c r="AB709" s="19">
        <f>IF(OR($Z709="",$Z709=6),"",WORKDAY($AA709,CHOOSE($Z709,3,3,2,2,3),Holidays))</f>
        <v/>
      </c>
      <c r="AC709" s="17">
        <f>IF(OR($Z709="",$Z709=6),"",CHOOSE($Z709,"1st Email Follow-up","2nd Email Follow-up","Escalate Local Office","Escalate to CBE","Escalate to Roxanne"))</f>
        <v/>
      </c>
    </row>
    <row r="710" spans="13:29">
      <c r="M710" s="14"/>
      <c r="T710" s="16"/>
      <c r="U710" s="17">
        <f>IF(AND(COUNTA($A710:$L710)=0,$N710=""),"",IF($T710="Paid","PAID",IF($T710="Closed","CLOSED",IF($Z710="","",IF($Z710=6,"ESCALATED TO ROXANNE",IF(TODAY()&gt;$AB710,"OVERDUE",IF($AB710&lt;=WORKDAY(TODAY(),1,Holidays),"DUE TOMORROW",IF($Z710=4,"ESCALATED TO LOCAL OFFICE",IF($Z710=5,"ESCALATED TO CBE",IF($AA710=TODAY(),"EMAIL SENT","MONITORING"))))))))))</f>
        <v/>
      </c>
      <c r="V710" s="17">
        <f>IF($U710="",IF(AND(COUNTA($A710:$L710)&gt;0,$N710=""),"Awaiting Collection Email time stamp.",""),IF(OR($U710="PAID",$U710="CLOSED"),IF($U710="PAID","Account paid. Action completed.","Account closed. No further action required."),CHOOSE($Z710,"Collection Email","1st Email Follow-up","2nd Email Follow-up","Escalation to Local Office","Escalation to CBE","Escalation to Roxanne")&amp;" sent "&amp;TEXT($AA710,"dd-mmm")&amp;". "&amp;IF($Z710=6,"Final escalation completed.",IF($U710="OVERDUE","Next: "&amp;$AC710&amp;" was due "&amp;TEXT($AB710,"dd-mmm")&amp;" - "&amp;(NETWORKDAYS($AB710,TODAY(),Holidays)-1)&amp;" business day(s) late. Send now.",IF($U710="DUE TOMORROW","Next: "&amp;$AC710&amp;IF($AB710&lt;=TODAY()," is due TODAY ("," is due next business day (")&amp;TEXT($AB710,"dd-mmm")&amp;").","Next: "&amp;$AC710&amp;" due "&amp;TEXT($AB710,"dd-mmm")&amp;" ("&amp;(NETWORKDAYS(TODAY(),$AB710,Holidays)-1)&amp;" business day(s) left).")))))</f>
        <v/>
      </c>
      <c r="W710" s="17">
        <f>IF($Z710="","",CHOOSE($Z710,"Collection Email","1st Follow-up","2nd Follow-up","Local Office","CBE","Roxanne")&amp;IF($Z710=6," - Final"," - Day "&amp;MAX(0,NETWORKDAYS($AA710,TODAY(),Holidays)-1)&amp;" of "&amp;CHOOSE($Z710,3,3,2,2,3))&amp;" | Total Day "&amp;MAX(0,NETWORKDAYS($N710,TODAY(),Holidays)-1))</f>
        <v/>
      </c>
      <c r="X710" s="18"/>
      <c r="Y710" s="18"/>
      <c r="Z710" s="17">
        <f>IF($N710="","",COUNT($N710:$S710))</f>
        <v/>
      </c>
      <c r="AA710" s="19">
        <f>IF($Z710="","",INT(INDEX($N710:$S710,$Z710)))</f>
        <v/>
      </c>
      <c r="AB710" s="19">
        <f>IF(OR($Z710="",$Z710=6),"",WORKDAY($AA710,CHOOSE($Z710,3,3,2,2,3),Holidays))</f>
        <v/>
      </c>
      <c r="AC710" s="17">
        <f>IF(OR($Z710="",$Z710=6),"",CHOOSE($Z710,"1st Email Follow-up","2nd Email Follow-up","Escalate Local Office","Escalate to CBE","Escalate to Roxanne"))</f>
        <v/>
      </c>
    </row>
    <row r="711" spans="13:29">
      <c r="M711" s="14"/>
      <c r="T711" s="16"/>
      <c r="U711" s="17">
        <f>IF(AND(COUNTA($A711:$L711)=0,$N711=""),"",IF($T711="Paid","PAID",IF($T711="Closed","CLOSED",IF($Z711="","",IF($Z711=6,"ESCALATED TO ROXANNE",IF(TODAY()&gt;$AB711,"OVERDUE",IF($AB711&lt;=WORKDAY(TODAY(),1,Holidays),"DUE TOMORROW",IF($Z711=4,"ESCALATED TO LOCAL OFFICE",IF($Z711=5,"ESCALATED TO CBE",IF($AA711=TODAY(),"EMAIL SENT","MONITORING"))))))))))</f>
        <v/>
      </c>
      <c r="V711" s="17">
        <f>IF($U711="",IF(AND(COUNTA($A711:$L711)&gt;0,$N711=""),"Awaiting Collection Email time stamp.",""),IF(OR($U711="PAID",$U711="CLOSED"),IF($U711="PAID","Account paid. Action completed.","Account closed. No further action required."),CHOOSE($Z711,"Collection Email","1st Email Follow-up","2nd Email Follow-up","Escalation to Local Office","Escalation to CBE","Escalation to Roxanne")&amp;" sent "&amp;TEXT($AA711,"dd-mmm")&amp;". "&amp;IF($Z711=6,"Final escalation completed.",IF($U711="OVERDUE","Next: "&amp;$AC711&amp;" was due "&amp;TEXT($AB711,"dd-mmm")&amp;" - "&amp;(NETWORKDAYS($AB711,TODAY(),Holidays)-1)&amp;" business day(s) late. Send now.",IF($U711="DUE TOMORROW","Next: "&amp;$AC711&amp;IF($AB711&lt;=TODAY()," is due TODAY ("," is due next business day (")&amp;TEXT($AB711,"dd-mmm")&amp;").","Next: "&amp;$AC711&amp;" due "&amp;TEXT($AB711,"dd-mmm")&amp;" ("&amp;(NETWORKDAYS(TODAY(),$AB711,Holidays)-1)&amp;" business day(s) left).")))))</f>
        <v/>
      </c>
      <c r="W711" s="17">
        <f>IF($Z711="","",CHOOSE($Z711,"Collection Email","1st Follow-up","2nd Follow-up","Local Office","CBE","Roxanne")&amp;IF($Z711=6," - Final"," - Day "&amp;MAX(0,NETWORKDAYS($AA711,TODAY(),Holidays)-1)&amp;" of "&amp;CHOOSE($Z711,3,3,2,2,3))&amp;" | Total Day "&amp;MAX(0,NETWORKDAYS($N711,TODAY(),Holidays)-1))</f>
        <v/>
      </c>
      <c r="X711" s="18"/>
      <c r="Y711" s="18"/>
      <c r="Z711" s="17">
        <f>IF($N711="","",COUNT($N711:$S711))</f>
        <v/>
      </c>
      <c r="AA711" s="19">
        <f>IF($Z711="","",INT(INDEX($N711:$S711,$Z711)))</f>
        <v/>
      </c>
      <c r="AB711" s="19">
        <f>IF(OR($Z711="",$Z711=6),"",WORKDAY($AA711,CHOOSE($Z711,3,3,2,2,3),Holidays))</f>
        <v/>
      </c>
      <c r="AC711" s="17">
        <f>IF(OR($Z711="",$Z711=6),"",CHOOSE($Z711,"1st Email Follow-up","2nd Email Follow-up","Escalate Local Office","Escalate to CBE","Escalate to Roxanne"))</f>
        <v/>
      </c>
    </row>
    <row r="712" spans="13:29">
      <c r="M712" s="14"/>
      <c r="T712" s="16"/>
      <c r="U712" s="17">
        <f>IF(AND(COUNTA($A712:$L712)=0,$N712=""),"",IF($T712="Paid","PAID",IF($T712="Closed","CLOSED",IF($Z712="","",IF($Z712=6,"ESCALATED TO ROXANNE",IF(TODAY()&gt;$AB712,"OVERDUE",IF($AB712&lt;=WORKDAY(TODAY(),1,Holidays),"DUE TOMORROW",IF($Z712=4,"ESCALATED TO LOCAL OFFICE",IF($Z712=5,"ESCALATED TO CBE",IF($AA712=TODAY(),"EMAIL SENT","MONITORING"))))))))))</f>
        <v/>
      </c>
      <c r="V712" s="17">
        <f>IF($U712="",IF(AND(COUNTA($A712:$L712)&gt;0,$N712=""),"Awaiting Collection Email time stamp.",""),IF(OR($U712="PAID",$U712="CLOSED"),IF($U712="PAID","Account paid. Action completed.","Account closed. No further action required."),CHOOSE($Z712,"Collection Email","1st Email Follow-up","2nd Email Follow-up","Escalation to Local Office","Escalation to CBE","Escalation to Roxanne")&amp;" sent "&amp;TEXT($AA712,"dd-mmm")&amp;". "&amp;IF($Z712=6,"Final escalation completed.",IF($U712="OVERDUE","Next: "&amp;$AC712&amp;" was due "&amp;TEXT($AB712,"dd-mmm")&amp;" - "&amp;(NETWORKDAYS($AB712,TODAY(),Holidays)-1)&amp;" business day(s) late. Send now.",IF($U712="DUE TOMORROW","Next: "&amp;$AC712&amp;IF($AB712&lt;=TODAY()," is due TODAY ("," is due next business day (")&amp;TEXT($AB712,"dd-mmm")&amp;").","Next: "&amp;$AC712&amp;" due "&amp;TEXT($AB712,"dd-mmm")&amp;" ("&amp;(NETWORKDAYS(TODAY(),$AB712,Holidays)-1)&amp;" business day(s) left).")))))</f>
        <v/>
      </c>
      <c r="W712" s="17">
        <f>IF($Z712="","",CHOOSE($Z712,"Collection Email","1st Follow-up","2nd Follow-up","Local Office","CBE","Roxanne")&amp;IF($Z712=6," - Final"," - Day "&amp;MAX(0,NETWORKDAYS($AA712,TODAY(),Holidays)-1)&amp;" of "&amp;CHOOSE($Z712,3,3,2,2,3))&amp;" | Total Day "&amp;MAX(0,NETWORKDAYS($N712,TODAY(),Holidays)-1))</f>
        <v/>
      </c>
      <c r="X712" s="18"/>
      <c r="Y712" s="18"/>
      <c r="Z712" s="17">
        <f>IF($N712="","",COUNT($N712:$S712))</f>
        <v/>
      </c>
      <c r="AA712" s="19">
        <f>IF($Z712="","",INT(INDEX($N712:$S712,$Z712)))</f>
        <v/>
      </c>
      <c r="AB712" s="19">
        <f>IF(OR($Z712="",$Z712=6),"",WORKDAY($AA712,CHOOSE($Z712,3,3,2,2,3),Holidays))</f>
        <v/>
      </c>
      <c r="AC712" s="17">
        <f>IF(OR($Z712="",$Z712=6),"",CHOOSE($Z712,"1st Email Follow-up","2nd Email Follow-up","Escalate Local Office","Escalate to CBE","Escalate to Roxanne"))</f>
        <v/>
      </c>
    </row>
    <row r="713" spans="13:29">
      <c r="M713" s="14"/>
      <c r="T713" s="16"/>
      <c r="U713" s="17">
        <f>IF(AND(COUNTA($A713:$L713)=0,$N713=""),"",IF($T713="Paid","PAID",IF($T713="Closed","CLOSED",IF($Z713="","",IF($Z713=6,"ESCALATED TO ROXANNE",IF(TODAY()&gt;$AB713,"OVERDUE",IF($AB713&lt;=WORKDAY(TODAY(),1,Holidays),"DUE TOMORROW",IF($Z713=4,"ESCALATED TO LOCAL OFFICE",IF($Z713=5,"ESCALATED TO CBE",IF($AA713=TODAY(),"EMAIL SENT","MONITORING"))))))))))</f>
        <v/>
      </c>
      <c r="V713" s="17">
        <f>IF($U713="",IF(AND(COUNTA($A713:$L713)&gt;0,$N713=""),"Awaiting Collection Email time stamp.",""),IF(OR($U713="PAID",$U713="CLOSED"),IF($U713="PAID","Account paid. Action completed.","Account closed. No further action required."),CHOOSE($Z713,"Collection Email","1st Email Follow-up","2nd Email Follow-up","Escalation to Local Office","Escalation to CBE","Escalation to Roxanne")&amp;" sent "&amp;TEXT($AA713,"dd-mmm")&amp;". "&amp;IF($Z713=6,"Final escalation completed.",IF($U713="OVERDUE","Next: "&amp;$AC713&amp;" was due "&amp;TEXT($AB713,"dd-mmm")&amp;" - "&amp;(NETWORKDAYS($AB713,TODAY(),Holidays)-1)&amp;" business day(s) late. Send now.",IF($U713="DUE TOMORROW","Next: "&amp;$AC713&amp;IF($AB713&lt;=TODAY()," is due TODAY ("," is due next business day (")&amp;TEXT($AB713,"dd-mmm")&amp;").","Next: "&amp;$AC713&amp;" due "&amp;TEXT($AB713,"dd-mmm")&amp;" ("&amp;(NETWORKDAYS(TODAY(),$AB713,Holidays)-1)&amp;" business day(s) left).")))))</f>
        <v/>
      </c>
      <c r="W713" s="17">
        <f>IF($Z713="","",CHOOSE($Z713,"Collection Email","1st Follow-up","2nd Follow-up","Local Office","CBE","Roxanne")&amp;IF($Z713=6," - Final"," - Day "&amp;MAX(0,NETWORKDAYS($AA713,TODAY(),Holidays)-1)&amp;" of "&amp;CHOOSE($Z713,3,3,2,2,3))&amp;" | Total Day "&amp;MAX(0,NETWORKDAYS($N713,TODAY(),Holidays)-1))</f>
        <v/>
      </c>
      <c r="X713" s="18"/>
      <c r="Y713" s="18"/>
      <c r="Z713" s="17">
        <f>IF($N713="","",COUNT($N713:$S713))</f>
        <v/>
      </c>
      <c r="AA713" s="19">
        <f>IF($Z713="","",INT(INDEX($N713:$S713,$Z713)))</f>
        <v/>
      </c>
      <c r="AB713" s="19">
        <f>IF(OR($Z713="",$Z713=6),"",WORKDAY($AA713,CHOOSE($Z713,3,3,2,2,3),Holidays))</f>
        <v/>
      </c>
      <c r="AC713" s="17">
        <f>IF(OR($Z713="",$Z713=6),"",CHOOSE($Z713,"1st Email Follow-up","2nd Email Follow-up","Escalate Local Office","Escalate to CBE","Escalate to Roxanne"))</f>
        <v/>
      </c>
    </row>
    <row r="714" spans="13:29">
      <c r="M714" s="14"/>
      <c r="T714" s="16"/>
      <c r="U714" s="17">
        <f>IF(AND(COUNTA($A714:$L714)=0,$N714=""),"",IF($T714="Paid","PAID",IF($T714="Closed","CLOSED",IF($Z714="","",IF($Z714=6,"ESCALATED TO ROXANNE",IF(TODAY()&gt;$AB714,"OVERDUE",IF($AB714&lt;=WORKDAY(TODAY(),1,Holidays),"DUE TOMORROW",IF($Z714=4,"ESCALATED TO LOCAL OFFICE",IF($Z714=5,"ESCALATED TO CBE",IF($AA714=TODAY(),"EMAIL SENT","MONITORING"))))))))))</f>
        <v/>
      </c>
      <c r="V714" s="17">
        <f>IF($U714="",IF(AND(COUNTA($A714:$L714)&gt;0,$N714=""),"Awaiting Collection Email time stamp.",""),IF(OR($U714="PAID",$U714="CLOSED"),IF($U714="PAID","Account paid. Action completed.","Account closed. No further action required."),CHOOSE($Z714,"Collection Email","1st Email Follow-up","2nd Email Follow-up","Escalation to Local Office","Escalation to CBE","Escalation to Roxanne")&amp;" sent "&amp;TEXT($AA714,"dd-mmm")&amp;". "&amp;IF($Z714=6,"Final escalation completed.",IF($U714="OVERDUE","Next: "&amp;$AC714&amp;" was due "&amp;TEXT($AB714,"dd-mmm")&amp;" - "&amp;(NETWORKDAYS($AB714,TODAY(),Holidays)-1)&amp;" business day(s) late. Send now.",IF($U714="DUE TOMORROW","Next: "&amp;$AC714&amp;IF($AB714&lt;=TODAY()," is due TODAY ("," is due next business day (")&amp;TEXT($AB714,"dd-mmm")&amp;").","Next: "&amp;$AC714&amp;" due "&amp;TEXT($AB714,"dd-mmm")&amp;" ("&amp;(NETWORKDAYS(TODAY(),$AB714,Holidays)-1)&amp;" business day(s) left).")))))</f>
        <v/>
      </c>
      <c r="W714" s="17">
        <f>IF($Z714="","",CHOOSE($Z714,"Collection Email","1st Follow-up","2nd Follow-up","Local Office","CBE","Roxanne")&amp;IF($Z714=6," - Final"," - Day "&amp;MAX(0,NETWORKDAYS($AA714,TODAY(),Holidays)-1)&amp;" of "&amp;CHOOSE($Z714,3,3,2,2,3))&amp;" | Total Day "&amp;MAX(0,NETWORKDAYS($N714,TODAY(),Holidays)-1))</f>
        <v/>
      </c>
      <c r="X714" s="18"/>
      <c r="Y714" s="18"/>
      <c r="Z714" s="17">
        <f>IF($N714="","",COUNT($N714:$S714))</f>
        <v/>
      </c>
      <c r="AA714" s="19">
        <f>IF($Z714="","",INT(INDEX($N714:$S714,$Z714)))</f>
        <v/>
      </c>
      <c r="AB714" s="19">
        <f>IF(OR($Z714="",$Z714=6),"",WORKDAY($AA714,CHOOSE($Z714,3,3,2,2,3),Holidays))</f>
        <v/>
      </c>
      <c r="AC714" s="17">
        <f>IF(OR($Z714="",$Z714=6),"",CHOOSE($Z714,"1st Email Follow-up","2nd Email Follow-up","Escalate Local Office","Escalate to CBE","Escalate to Roxanne"))</f>
        <v/>
      </c>
    </row>
    <row r="715" spans="13:29">
      <c r="M715" s="14"/>
      <c r="T715" s="16"/>
      <c r="U715" s="17">
        <f>IF(AND(COUNTA($A715:$L715)=0,$N715=""),"",IF($T715="Paid","PAID",IF($T715="Closed","CLOSED",IF($Z715="","",IF($Z715=6,"ESCALATED TO ROXANNE",IF(TODAY()&gt;$AB715,"OVERDUE",IF($AB715&lt;=WORKDAY(TODAY(),1,Holidays),"DUE TOMORROW",IF($Z715=4,"ESCALATED TO LOCAL OFFICE",IF($Z715=5,"ESCALATED TO CBE",IF($AA715=TODAY(),"EMAIL SENT","MONITORING"))))))))))</f>
        <v/>
      </c>
      <c r="V715" s="17">
        <f>IF($U715="",IF(AND(COUNTA($A715:$L715)&gt;0,$N715=""),"Awaiting Collection Email time stamp.",""),IF(OR($U715="PAID",$U715="CLOSED"),IF($U715="PAID","Account paid. Action completed.","Account closed. No further action required."),CHOOSE($Z715,"Collection Email","1st Email Follow-up","2nd Email Follow-up","Escalation to Local Office","Escalation to CBE","Escalation to Roxanne")&amp;" sent "&amp;TEXT($AA715,"dd-mmm")&amp;". "&amp;IF($Z715=6,"Final escalation completed.",IF($U715="OVERDUE","Next: "&amp;$AC715&amp;" was due "&amp;TEXT($AB715,"dd-mmm")&amp;" - "&amp;(NETWORKDAYS($AB715,TODAY(),Holidays)-1)&amp;" business day(s) late. Send now.",IF($U715="DUE TOMORROW","Next: "&amp;$AC715&amp;IF($AB715&lt;=TODAY()," is due TODAY ("," is due next business day (")&amp;TEXT($AB715,"dd-mmm")&amp;").","Next: "&amp;$AC715&amp;" due "&amp;TEXT($AB715,"dd-mmm")&amp;" ("&amp;(NETWORKDAYS(TODAY(),$AB715,Holidays)-1)&amp;" business day(s) left).")))))</f>
        <v/>
      </c>
      <c r="W715" s="17">
        <f>IF($Z715="","",CHOOSE($Z715,"Collection Email","1st Follow-up","2nd Follow-up","Local Office","CBE","Roxanne")&amp;IF($Z715=6," - Final"," - Day "&amp;MAX(0,NETWORKDAYS($AA715,TODAY(),Holidays)-1)&amp;" of "&amp;CHOOSE($Z715,3,3,2,2,3))&amp;" | Total Day "&amp;MAX(0,NETWORKDAYS($N715,TODAY(),Holidays)-1))</f>
        <v/>
      </c>
      <c r="X715" s="18"/>
      <c r="Y715" s="18"/>
      <c r="Z715" s="17">
        <f>IF($N715="","",COUNT($N715:$S715))</f>
        <v/>
      </c>
      <c r="AA715" s="19">
        <f>IF($Z715="","",INT(INDEX($N715:$S715,$Z715)))</f>
        <v/>
      </c>
      <c r="AB715" s="19">
        <f>IF(OR($Z715="",$Z715=6),"",WORKDAY($AA715,CHOOSE($Z715,3,3,2,2,3),Holidays))</f>
        <v/>
      </c>
      <c r="AC715" s="17">
        <f>IF(OR($Z715="",$Z715=6),"",CHOOSE($Z715,"1st Email Follow-up","2nd Email Follow-up","Escalate Local Office","Escalate to CBE","Escalate to Roxanne"))</f>
        <v/>
      </c>
    </row>
    <row r="716" spans="13:29">
      <c r="M716" s="14"/>
      <c r="T716" s="16"/>
      <c r="U716" s="17">
        <f>IF(AND(COUNTA($A716:$L716)=0,$N716=""),"",IF($T716="Paid","PAID",IF($T716="Closed","CLOSED",IF($Z716="","",IF($Z716=6,"ESCALATED TO ROXANNE",IF(TODAY()&gt;$AB716,"OVERDUE",IF($AB716&lt;=WORKDAY(TODAY(),1,Holidays),"DUE TOMORROW",IF($Z716=4,"ESCALATED TO LOCAL OFFICE",IF($Z716=5,"ESCALATED TO CBE",IF($AA716=TODAY(),"EMAIL SENT","MONITORING"))))))))))</f>
        <v/>
      </c>
      <c r="V716" s="17">
        <f>IF($U716="",IF(AND(COUNTA($A716:$L716)&gt;0,$N716=""),"Awaiting Collection Email time stamp.",""),IF(OR($U716="PAID",$U716="CLOSED"),IF($U716="PAID","Account paid. Action completed.","Account closed. No further action required."),CHOOSE($Z716,"Collection Email","1st Email Follow-up","2nd Email Follow-up","Escalation to Local Office","Escalation to CBE","Escalation to Roxanne")&amp;" sent "&amp;TEXT($AA716,"dd-mmm")&amp;". "&amp;IF($Z716=6,"Final escalation completed.",IF($U716="OVERDUE","Next: "&amp;$AC716&amp;" was due "&amp;TEXT($AB716,"dd-mmm")&amp;" - "&amp;(NETWORKDAYS($AB716,TODAY(),Holidays)-1)&amp;" business day(s) late. Send now.",IF($U716="DUE TOMORROW","Next: "&amp;$AC716&amp;IF($AB716&lt;=TODAY()," is due TODAY ("," is due next business day (")&amp;TEXT($AB716,"dd-mmm")&amp;").","Next: "&amp;$AC716&amp;" due "&amp;TEXT($AB716,"dd-mmm")&amp;" ("&amp;(NETWORKDAYS(TODAY(),$AB716,Holidays)-1)&amp;" business day(s) left).")))))</f>
        <v/>
      </c>
      <c r="W716" s="17">
        <f>IF($Z716="","",CHOOSE($Z716,"Collection Email","1st Follow-up","2nd Follow-up","Local Office","CBE","Roxanne")&amp;IF($Z716=6," - Final"," - Day "&amp;MAX(0,NETWORKDAYS($AA716,TODAY(),Holidays)-1)&amp;" of "&amp;CHOOSE($Z716,3,3,2,2,3))&amp;" | Total Day "&amp;MAX(0,NETWORKDAYS($N716,TODAY(),Holidays)-1))</f>
        <v/>
      </c>
      <c r="X716" s="18"/>
      <c r="Y716" s="18"/>
      <c r="Z716" s="17">
        <f>IF($N716="","",COUNT($N716:$S716))</f>
        <v/>
      </c>
      <c r="AA716" s="19">
        <f>IF($Z716="","",INT(INDEX($N716:$S716,$Z716)))</f>
        <v/>
      </c>
      <c r="AB716" s="19">
        <f>IF(OR($Z716="",$Z716=6),"",WORKDAY($AA716,CHOOSE($Z716,3,3,2,2,3),Holidays))</f>
        <v/>
      </c>
      <c r="AC716" s="17">
        <f>IF(OR($Z716="",$Z716=6),"",CHOOSE($Z716,"1st Email Follow-up","2nd Email Follow-up","Escalate Local Office","Escalate to CBE","Escalate to Roxanne"))</f>
        <v/>
      </c>
    </row>
    <row r="717" spans="13:29">
      <c r="M717" s="14"/>
      <c r="T717" s="16"/>
      <c r="U717" s="17">
        <f>IF(AND(COUNTA($A717:$L717)=0,$N717=""),"",IF($T717="Paid","PAID",IF($T717="Closed","CLOSED",IF($Z717="","",IF($Z717=6,"ESCALATED TO ROXANNE",IF(TODAY()&gt;$AB717,"OVERDUE",IF($AB717&lt;=WORKDAY(TODAY(),1,Holidays),"DUE TOMORROW",IF($Z717=4,"ESCALATED TO LOCAL OFFICE",IF($Z717=5,"ESCALATED TO CBE",IF($AA717=TODAY(),"EMAIL SENT","MONITORING"))))))))))</f>
        <v/>
      </c>
      <c r="V717" s="17">
        <f>IF($U717="",IF(AND(COUNTA($A717:$L717)&gt;0,$N717=""),"Awaiting Collection Email time stamp.",""),IF(OR($U717="PAID",$U717="CLOSED"),IF($U717="PAID","Account paid. Action completed.","Account closed. No further action required."),CHOOSE($Z717,"Collection Email","1st Email Follow-up","2nd Email Follow-up","Escalation to Local Office","Escalation to CBE","Escalation to Roxanne")&amp;" sent "&amp;TEXT($AA717,"dd-mmm")&amp;". "&amp;IF($Z717=6,"Final escalation completed.",IF($U717="OVERDUE","Next: "&amp;$AC717&amp;" was due "&amp;TEXT($AB717,"dd-mmm")&amp;" - "&amp;(NETWORKDAYS($AB717,TODAY(),Holidays)-1)&amp;" business day(s) late. Send now.",IF($U717="DUE TOMORROW","Next: "&amp;$AC717&amp;IF($AB717&lt;=TODAY()," is due TODAY ("," is due next business day (")&amp;TEXT($AB717,"dd-mmm")&amp;").","Next: "&amp;$AC717&amp;" due "&amp;TEXT($AB717,"dd-mmm")&amp;" ("&amp;(NETWORKDAYS(TODAY(),$AB717,Holidays)-1)&amp;" business day(s) left).")))))</f>
        <v/>
      </c>
      <c r="W717" s="17">
        <f>IF($Z717="","",CHOOSE($Z717,"Collection Email","1st Follow-up","2nd Follow-up","Local Office","CBE","Roxanne")&amp;IF($Z717=6," - Final"," - Day "&amp;MAX(0,NETWORKDAYS($AA717,TODAY(),Holidays)-1)&amp;" of "&amp;CHOOSE($Z717,3,3,2,2,3))&amp;" | Total Day "&amp;MAX(0,NETWORKDAYS($N717,TODAY(),Holidays)-1))</f>
        <v/>
      </c>
      <c r="X717" s="18"/>
      <c r="Y717" s="18"/>
      <c r="Z717" s="17">
        <f>IF($N717="","",COUNT($N717:$S717))</f>
        <v/>
      </c>
      <c r="AA717" s="19">
        <f>IF($Z717="","",INT(INDEX($N717:$S717,$Z717)))</f>
        <v/>
      </c>
      <c r="AB717" s="19">
        <f>IF(OR($Z717="",$Z717=6),"",WORKDAY($AA717,CHOOSE($Z717,3,3,2,2,3),Holidays))</f>
        <v/>
      </c>
      <c r="AC717" s="17">
        <f>IF(OR($Z717="",$Z717=6),"",CHOOSE($Z717,"1st Email Follow-up","2nd Email Follow-up","Escalate Local Office","Escalate to CBE","Escalate to Roxanne"))</f>
        <v/>
      </c>
    </row>
    <row r="718" spans="13:29">
      <c r="M718" s="14"/>
      <c r="T718" s="16"/>
      <c r="U718" s="17">
        <f>IF(AND(COUNTA($A718:$L718)=0,$N718=""),"",IF($T718="Paid","PAID",IF($T718="Closed","CLOSED",IF($Z718="","",IF($Z718=6,"ESCALATED TO ROXANNE",IF(TODAY()&gt;$AB718,"OVERDUE",IF($AB718&lt;=WORKDAY(TODAY(),1,Holidays),"DUE TOMORROW",IF($Z718=4,"ESCALATED TO LOCAL OFFICE",IF($Z718=5,"ESCALATED TO CBE",IF($AA718=TODAY(),"EMAIL SENT","MONITORING"))))))))))</f>
        <v/>
      </c>
      <c r="V718" s="17">
        <f>IF($U718="",IF(AND(COUNTA($A718:$L718)&gt;0,$N718=""),"Awaiting Collection Email time stamp.",""),IF(OR($U718="PAID",$U718="CLOSED"),IF($U718="PAID","Account paid. Action completed.","Account closed. No further action required."),CHOOSE($Z718,"Collection Email","1st Email Follow-up","2nd Email Follow-up","Escalation to Local Office","Escalation to CBE","Escalation to Roxanne")&amp;" sent "&amp;TEXT($AA718,"dd-mmm")&amp;". "&amp;IF($Z718=6,"Final escalation completed.",IF($U718="OVERDUE","Next: "&amp;$AC718&amp;" was due "&amp;TEXT($AB718,"dd-mmm")&amp;" - "&amp;(NETWORKDAYS($AB718,TODAY(),Holidays)-1)&amp;" business day(s) late. Send now.",IF($U718="DUE TOMORROW","Next: "&amp;$AC718&amp;IF($AB718&lt;=TODAY()," is due TODAY ("," is due next business day (")&amp;TEXT($AB718,"dd-mmm")&amp;").","Next: "&amp;$AC718&amp;" due "&amp;TEXT($AB718,"dd-mmm")&amp;" ("&amp;(NETWORKDAYS(TODAY(),$AB718,Holidays)-1)&amp;" business day(s) left).")))))</f>
        <v/>
      </c>
      <c r="W718" s="17">
        <f>IF($Z718="","",CHOOSE($Z718,"Collection Email","1st Follow-up","2nd Follow-up","Local Office","CBE","Roxanne")&amp;IF($Z718=6," - Final"," - Day "&amp;MAX(0,NETWORKDAYS($AA718,TODAY(),Holidays)-1)&amp;" of "&amp;CHOOSE($Z718,3,3,2,2,3))&amp;" | Total Day "&amp;MAX(0,NETWORKDAYS($N718,TODAY(),Holidays)-1))</f>
        <v/>
      </c>
      <c r="X718" s="18"/>
      <c r="Y718" s="18"/>
      <c r="Z718" s="17">
        <f>IF($N718="","",COUNT($N718:$S718))</f>
        <v/>
      </c>
      <c r="AA718" s="19">
        <f>IF($Z718="","",INT(INDEX($N718:$S718,$Z718)))</f>
        <v/>
      </c>
      <c r="AB718" s="19">
        <f>IF(OR($Z718="",$Z718=6),"",WORKDAY($AA718,CHOOSE($Z718,3,3,2,2,3),Holidays))</f>
        <v/>
      </c>
      <c r="AC718" s="17">
        <f>IF(OR($Z718="",$Z718=6),"",CHOOSE($Z718,"1st Email Follow-up","2nd Email Follow-up","Escalate Local Office","Escalate to CBE","Escalate to Roxanne"))</f>
        <v/>
      </c>
    </row>
    <row r="719" spans="13:29">
      <c r="M719" s="14"/>
      <c r="T719" s="16"/>
      <c r="U719" s="17">
        <f>IF(AND(COUNTA($A719:$L719)=0,$N719=""),"",IF($T719="Paid","PAID",IF($T719="Closed","CLOSED",IF($Z719="","",IF($Z719=6,"ESCALATED TO ROXANNE",IF(TODAY()&gt;$AB719,"OVERDUE",IF($AB719&lt;=WORKDAY(TODAY(),1,Holidays),"DUE TOMORROW",IF($Z719=4,"ESCALATED TO LOCAL OFFICE",IF($Z719=5,"ESCALATED TO CBE",IF($AA719=TODAY(),"EMAIL SENT","MONITORING"))))))))))</f>
        <v/>
      </c>
      <c r="V719" s="17">
        <f>IF($U719="",IF(AND(COUNTA($A719:$L719)&gt;0,$N719=""),"Awaiting Collection Email time stamp.",""),IF(OR($U719="PAID",$U719="CLOSED"),IF($U719="PAID","Account paid. Action completed.","Account closed. No further action required."),CHOOSE($Z719,"Collection Email","1st Email Follow-up","2nd Email Follow-up","Escalation to Local Office","Escalation to CBE","Escalation to Roxanne")&amp;" sent "&amp;TEXT($AA719,"dd-mmm")&amp;". "&amp;IF($Z719=6,"Final escalation completed.",IF($U719="OVERDUE","Next: "&amp;$AC719&amp;" was due "&amp;TEXT($AB719,"dd-mmm")&amp;" - "&amp;(NETWORKDAYS($AB719,TODAY(),Holidays)-1)&amp;" business day(s) late. Send now.",IF($U719="DUE TOMORROW","Next: "&amp;$AC719&amp;IF($AB719&lt;=TODAY()," is due TODAY ("," is due next business day (")&amp;TEXT($AB719,"dd-mmm")&amp;").","Next: "&amp;$AC719&amp;" due "&amp;TEXT($AB719,"dd-mmm")&amp;" ("&amp;(NETWORKDAYS(TODAY(),$AB719,Holidays)-1)&amp;" business day(s) left).")))))</f>
        <v/>
      </c>
      <c r="W719" s="17">
        <f>IF($Z719="","",CHOOSE($Z719,"Collection Email","1st Follow-up","2nd Follow-up","Local Office","CBE","Roxanne")&amp;IF($Z719=6," - Final"," - Day "&amp;MAX(0,NETWORKDAYS($AA719,TODAY(),Holidays)-1)&amp;" of "&amp;CHOOSE($Z719,3,3,2,2,3))&amp;" | Total Day "&amp;MAX(0,NETWORKDAYS($N719,TODAY(),Holidays)-1))</f>
        <v/>
      </c>
      <c r="X719" s="18"/>
      <c r="Y719" s="18"/>
      <c r="Z719" s="17">
        <f>IF($N719="","",COUNT($N719:$S719))</f>
        <v/>
      </c>
      <c r="AA719" s="19">
        <f>IF($Z719="","",INT(INDEX($N719:$S719,$Z719)))</f>
        <v/>
      </c>
      <c r="AB719" s="19">
        <f>IF(OR($Z719="",$Z719=6),"",WORKDAY($AA719,CHOOSE($Z719,3,3,2,2,3),Holidays))</f>
        <v/>
      </c>
      <c r="AC719" s="17">
        <f>IF(OR($Z719="",$Z719=6),"",CHOOSE($Z719,"1st Email Follow-up","2nd Email Follow-up","Escalate Local Office","Escalate to CBE","Escalate to Roxanne"))</f>
        <v/>
      </c>
    </row>
    <row r="720" spans="13:29">
      <c r="M720" s="14"/>
      <c r="T720" s="16"/>
      <c r="U720" s="17">
        <f>IF(AND(COUNTA($A720:$L720)=0,$N720=""),"",IF($T720="Paid","PAID",IF($T720="Closed","CLOSED",IF($Z720="","",IF($Z720=6,"ESCALATED TO ROXANNE",IF(TODAY()&gt;$AB720,"OVERDUE",IF($AB720&lt;=WORKDAY(TODAY(),1,Holidays),"DUE TOMORROW",IF($Z720=4,"ESCALATED TO LOCAL OFFICE",IF($Z720=5,"ESCALATED TO CBE",IF($AA720=TODAY(),"EMAIL SENT","MONITORING"))))))))))</f>
        <v/>
      </c>
      <c r="V720" s="17">
        <f>IF($U720="",IF(AND(COUNTA($A720:$L720)&gt;0,$N720=""),"Awaiting Collection Email time stamp.",""),IF(OR($U720="PAID",$U720="CLOSED"),IF($U720="PAID","Account paid. Action completed.","Account closed. No further action required."),CHOOSE($Z720,"Collection Email","1st Email Follow-up","2nd Email Follow-up","Escalation to Local Office","Escalation to CBE","Escalation to Roxanne")&amp;" sent "&amp;TEXT($AA720,"dd-mmm")&amp;". "&amp;IF($Z720=6,"Final escalation completed.",IF($U720="OVERDUE","Next: "&amp;$AC720&amp;" was due "&amp;TEXT($AB720,"dd-mmm")&amp;" - "&amp;(NETWORKDAYS($AB720,TODAY(),Holidays)-1)&amp;" business day(s) late. Send now.",IF($U720="DUE TOMORROW","Next: "&amp;$AC720&amp;IF($AB720&lt;=TODAY()," is due TODAY ("," is due next business day (")&amp;TEXT($AB720,"dd-mmm")&amp;").","Next: "&amp;$AC720&amp;" due "&amp;TEXT($AB720,"dd-mmm")&amp;" ("&amp;(NETWORKDAYS(TODAY(),$AB720,Holidays)-1)&amp;" business day(s) left).")))))</f>
        <v/>
      </c>
      <c r="W720" s="17">
        <f>IF($Z720="","",CHOOSE($Z720,"Collection Email","1st Follow-up","2nd Follow-up","Local Office","CBE","Roxanne")&amp;IF($Z720=6," - Final"," - Day "&amp;MAX(0,NETWORKDAYS($AA720,TODAY(),Holidays)-1)&amp;" of "&amp;CHOOSE($Z720,3,3,2,2,3))&amp;" | Total Day "&amp;MAX(0,NETWORKDAYS($N720,TODAY(),Holidays)-1))</f>
        <v/>
      </c>
      <c r="X720" s="18"/>
      <c r="Y720" s="18"/>
      <c r="Z720" s="17">
        <f>IF($N720="","",COUNT($N720:$S720))</f>
        <v/>
      </c>
      <c r="AA720" s="19">
        <f>IF($Z720="","",INT(INDEX($N720:$S720,$Z720)))</f>
        <v/>
      </c>
      <c r="AB720" s="19">
        <f>IF(OR($Z720="",$Z720=6),"",WORKDAY($AA720,CHOOSE($Z720,3,3,2,2,3),Holidays))</f>
        <v/>
      </c>
      <c r="AC720" s="17">
        <f>IF(OR($Z720="",$Z720=6),"",CHOOSE($Z720,"1st Email Follow-up","2nd Email Follow-up","Escalate Local Office","Escalate to CBE","Escalate to Roxanne"))</f>
        <v/>
      </c>
    </row>
    <row r="721" spans="13:29">
      <c r="M721" s="14"/>
      <c r="T721" s="16"/>
      <c r="U721" s="17">
        <f>IF(AND(COUNTA($A721:$L721)=0,$N721=""),"",IF($T721="Paid","PAID",IF($T721="Closed","CLOSED",IF($Z721="","",IF($Z721=6,"ESCALATED TO ROXANNE",IF(TODAY()&gt;$AB721,"OVERDUE",IF($AB721&lt;=WORKDAY(TODAY(),1,Holidays),"DUE TOMORROW",IF($Z721=4,"ESCALATED TO LOCAL OFFICE",IF($Z721=5,"ESCALATED TO CBE",IF($AA721=TODAY(),"EMAIL SENT","MONITORING"))))))))))</f>
        <v/>
      </c>
      <c r="V721" s="17">
        <f>IF($U721="",IF(AND(COUNTA($A721:$L721)&gt;0,$N721=""),"Awaiting Collection Email time stamp.",""),IF(OR($U721="PAID",$U721="CLOSED"),IF($U721="PAID","Account paid. Action completed.","Account closed. No further action required."),CHOOSE($Z721,"Collection Email","1st Email Follow-up","2nd Email Follow-up","Escalation to Local Office","Escalation to CBE","Escalation to Roxanne")&amp;" sent "&amp;TEXT($AA721,"dd-mmm")&amp;". "&amp;IF($Z721=6,"Final escalation completed.",IF($U721="OVERDUE","Next: "&amp;$AC721&amp;" was due "&amp;TEXT($AB721,"dd-mmm")&amp;" - "&amp;(NETWORKDAYS($AB721,TODAY(),Holidays)-1)&amp;" business day(s) late. Send now.",IF($U721="DUE TOMORROW","Next: "&amp;$AC721&amp;IF($AB721&lt;=TODAY()," is due TODAY ("," is due next business day (")&amp;TEXT($AB721,"dd-mmm")&amp;").","Next: "&amp;$AC721&amp;" due "&amp;TEXT($AB721,"dd-mmm")&amp;" ("&amp;(NETWORKDAYS(TODAY(),$AB721,Holidays)-1)&amp;" business day(s) left).")))))</f>
        <v/>
      </c>
      <c r="W721" s="17">
        <f>IF($Z721="","",CHOOSE($Z721,"Collection Email","1st Follow-up","2nd Follow-up","Local Office","CBE","Roxanne")&amp;IF($Z721=6," - Final"," - Day "&amp;MAX(0,NETWORKDAYS($AA721,TODAY(),Holidays)-1)&amp;" of "&amp;CHOOSE($Z721,3,3,2,2,3))&amp;" | Total Day "&amp;MAX(0,NETWORKDAYS($N721,TODAY(),Holidays)-1))</f>
        <v/>
      </c>
      <c r="X721" s="18"/>
      <c r="Y721" s="18"/>
      <c r="Z721" s="17">
        <f>IF($N721="","",COUNT($N721:$S721))</f>
        <v/>
      </c>
      <c r="AA721" s="19">
        <f>IF($Z721="","",INT(INDEX($N721:$S721,$Z721)))</f>
        <v/>
      </c>
      <c r="AB721" s="19">
        <f>IF(OR($Z721="",$Z721=6),"",WORKDAY($AA721,CHOOSE($Z721,3,3,2,2,3),Holidays))</f>
        <v/>
      </c>
      <c r="AC721" s="17">
        <f>IF(OR($Z721="",$Z721=6),"",CHOOSE($Z721,"1st Email Follow-up","2nd Email Follow-up","Escalate Local Office","Escalate to CBE","Escalate to Roxanne"))</f>
        <v/>
      </c>
    </row>
    <row r="722" spans="13:29">
      <c r="M722" s="14"/>
      <c r="T722" s="16"/>
      <c r="U722" s="17">
        <f>IF(AND(COUNTA($A722:$L722)=0,$N722=""),"",IF($T722="Paid","PAID",IF($T722="Closed","CLOSED",IF($Z722="","",IF($Z722=6,"ESCALATED TO ROXANNE",IF(TODAY()&gt;$AB722,"OVERDUE",IF($AB722&lt;=WORKDAY(TODAY(),1,Holidays),"DUE TOMORROW",IF($Z722=4,"ESCALATED TO LOCAL OFFICE",IF($Z722=5,"ESCALATED TO CBE",IF($AA722=TODAY(),"EMAIL SENT","MONITORING"))))))))))</f>
        <v/>
      </c>
      <c r="V722" s="17">
        <f>IF($U722="",IF(AND(COUNTA($A722:$L722)&gt;0,$N722=""),"Awaiting Collection Email time stamp.",""),IF(OR($U722="PAID",$U722="CLOSED"),IF($U722="PAID","Account paid. Action completed.","Account closed. No further action required."),CHOOSE($Z722,"Collection Email","1st Email Follow-up","2nd Email Follow-up","Escalation to Local Office","Escalation to CBE","Escalation to Roxanne")&amp;" sent "&amp;TEXT($AA722,"dd-mmm")&amp;". "&amp;IF($Z722=6,"Final escalation completed.",IF($U722="OVERDUE","Next: "&amp;$AC722&amp;" was due "&amp;TEXT($AB722,"dd-mmm")&amp;" - "&amp;(NETWORKDAYS($AB722,TODAY(),Holidays)-1)&amp;" business day(s) late. Send now.",IF($U722="DUE TOMORROW","Next: "&amp;$AC722&amp;IF($AB722&lt;=TODAY()," is due TODAY ("," is due next business day (")&amp;TEXT($AB722,"dd-mmm")&amp;").","Next: "&amp;$AC722&amp;" due "&amp;TEXT($AB722,"dd-mmm")&amp;" ("&amp;(NETWORKDAYS(TODAY(),$AB722,Holidays)-1)&amp;" business day(s) left).")))))</f>
        <v/>
      </c>
      <c r="W722" s="17">
        <f>IF($Z722="","",CHOOSE($Z722,"Collection Email","1st Follow-up","2nd Follow-up","Local Office","CBE","Roxanne")&amp;IF($Z722=6," - Final"," - Day "&amp;MAX(0,NETWORKDAYS($AA722,TODAY(),Holidays)-1)&amp;" of "&amp;CHOOSE($Z722,3,3,2,2,3))&amp;" | Total Day "&amp;MAX(0,NETWORKDAYS($N722,TODAY(),Holidays)-1))</f>
        <v/>
      </c>
      <c r="X722" s="18"/>
      <c r="Y722" s="18"/>
      <c r="Z722" s="17">
        <f>IF($N722="","",COUNT($N722:$S722))</f>
        <v/>
      </c>
      <c r="AA722" s="19">
        <f>IF($Z722="","",INT(INDEX($N722:$S722,$Z722)))</f>
        <v/>
      </c>
      <c r="AB722" s="19">
        <f>IF(OR($Z722="",$Z722=6),"",WORKDAY($AA722,CHOOSE($Z722,3,3,2,2,3),Holidays))</f>
        <v/>
      </c>
      <c r="AC722" s="17">
        <f>IF(OR($Z722="",$Z722=6),"",CHOOSE($Z722,"1st Email Follow-up","2nd Email Follow-up","Escalate Local Office","Escalate to CBE","Escalate to Roxanne"))</f>
        <v/>
      </c>
    </row>
    <row r="723" spans="13:29">
      <c r="M723" s="14"/>
      <c r="T723" s="16"/>
      <c r="U723" s="17">
        <f>IF(AND(COUNTA($A723:$L723)=0,$N723=""),"",IF($T723="Paid","PAID",IF($T723="Closed","CLOSED",IF($Z723="","",IF($Z723=6,"ESCALATED TO ROXANNE",IF(TODAY()&gt;$AB723,"OVERDUE",IF($AB723&lt;=WORKDAY(TODAY(),1,Holidays),"DUE TOMORROW",IF($Z723=4,"ESCALATED TO LOCAL OFFICE",IF($Z723=5,"ESCALATED TO CBE",IF($AA723=TODAY(),"EMAIL SENT","MONITORING"))))))))))</f>
        <v/>
      </c>
      <c r="V723" s="17">
        <f>IF($U723="",IF(AND(COUNTA($A723:$L723)&gt;0,$N723=""),"Awaiting Collection Email time stamp.",""),IF(OR($U723="PAID",$U723="CLOSED"),IF($U723="PAID","Account paid. Action completed.","Account closed. No further action required."),CHOOSE($Z723,"Collection Email","1st Email Follow-up","2nd Email Follow-up","Escalation to Local Office","Escalation to CBE","Escalation to Roxanne")&amp;" sent "&amp;TEXT($AA723,"dd-mmm")&amp;". "&amp;IF($Z723=6,"Final escalation completed.",IF($U723="OVERDUE","Next: "&amp;$AC723&amp;" was due "&amp;TEXT($AB723,"dd-mmm")&amp;" - "&amp;(NETWORKDAYS($AB723,TODAY(),Holidays)-1)&amp;" business day(s) late. Send now.",IF($U723="DUE TOMORROW","Next: "&amp;$AC723&amp;IF($AB723&lt;=TODAY()," is due TODAY ("," is due next business day (")&amp;TEXT($AB723,"dd-mmm")&amp;").","Next: "&amp;$AC723&amp;" due "&amp;TEXT($AB723,"dd-mmm")&amp;" ("&amp;(NETWORKDAYS(TODAY(),$AB723,Holidays)-1)&amp;" business day(s) left).")))))</f>
        <v/>
      </c>
      <c r="W723" s="17">
        <f>IF($Z723="","",CHOOSE($Z723,"Collection Email","1st Follow-up","2nd Follow-up","Local Office","CBE","Roxanne")&amp;IF($Z723=6," - Final"," - Day "&amp;MAX(0,NETWORKDAYS($AA723,TODAY(),Holidays)-1)&amp;" of "&amp;CHOOSE($Z723,3,3,2,2,3))&amp;" | Total Day "&amp;MAX(0,NETWORKDAYS($N723,TODAY(),Holidays)-1))</f>
        <v/>
      </c>
      <c r="X723" s="18"/>
      <c r="Y723" s="18"/>
      <c r="Z723" s="17">
        <f>IF($N723="","",COUNT($N723:$S723))</f>
        <v/>
      </c>
      <c r="AA723" s="19">
        <f>IF($Z723="","",INT(INDEX($N723:$S723,$Z723)))</f>
        <v/>
      </c>
      <c r="AB723" s="19">
        <f>IF(OR($Z723="",$Z723=6),"",WORKDAY($AA723,CHOOSE($Z723,3,3,2,2,3),Holidays))</f>
        <v/>
      </c>
      <c r="AC723" s="17">
        <f>IF(OR($Z723="",$Z723=6),"",CHOOSE($Z723,"1st Email Follow-up","2nd Email Follow-up","Escalate Local Office","Escalate to CBE","Escalate to Roxanne"))</f>
        <v/>
      </c>
    </row>
    <row r="724" spans="13:29">
      <c r="M724" s="14"/>
      <c r="T724" s="16"/>
      <c r="U724" s="17">
        <f>IF(AND(COUNTA($A724:$L724)=0,$N724=""),"",IF($T724="Paid","PAID",IF($T724="Closed","CLOSED",IF($Z724="","",IF($Z724=6,"ESCALATED TO ROXANNE",IF(TODAY()&gt;$AB724,"OVERDUE",IF($AB724&lt;=WORKDAY(TODAY(),1,Holidays),"DUE TOMORROW",IF($Z724=4,"ESCALATED TO LOCAL OFFICE",IF($Z724=5,"ESCALATED TO CBE",IF($AA724=TODAY(),"EMAIL SENT","MONITORING"))))))))))</f>
        <v/>
      </c>
      <c r="V724" s="17">
        <f>IF($U724="",IF(AND(COUNTA($A724:$L724)&gt;0,$N724=""),"Awaiting Collection Email time stamp.",""),IF(OR($U724="PAID",$U724="CLOSED"),IF($U724="PAID","Account paid. Action completed.","Account closed. No further action required."),CHOOSE($Z724,"Collection Email","1st Email Follow-up","2nd Email Follow-up","Escalation to Local Office","Escalation to CBE","Escalation to Roxanne")&amp;" sent "&amp;TEXT($AA724,"dd-mmm")&amp;". "&amp;IF($Z724=6,"Final escalation completed.",IF($U724="OVERDUE","Next: "&amp;$AC724&amp;" was due "&amp;TEXT($AB724,"dd-mmm")&amp;" - "&amp;(NETWORKDAYS($AB724,TODAY(),Holidays)-1)&amp;" business day(s) late. Send now.",IF($U724="DUE TOMORROW","Next: "&amp;$AC724&amp;IF($AB724&lt;=TODAY()," is due TODAY ("," is due next business day (")&amp;TEXT($AB724,"dd-mmm")&amp;").","Next: "&amp;$AC724&amp;" due "&amp;TEXT($AB724,"dd-mmm")&amp;" ("&amp;(NETWORKDAYS(TODAY(),$AB724,Holidays)-1)&amp;" business day(s) left).")))))</f>
        <v/>
      </c>
      <c r="W724" s="17">
        <f>IF($Z724="","",CHOOSE($Z724,"Collection Email","1st Follow-up","2nd Follow-up","Local Office","CBE","Roxanne")&amp;IF($Z724=6," - Final"," - Day "&amp;MAX(0,NETWORKDAYS($AA724,TODAY(),Holidays)-1)&amp;" of "&amp;CHOOSE($Z724,3,3,2,2,3))&amp;" | Total Day "&amp;MAX(0,NETWORKDAYS($N724,TODAY(),Holidays)-1))</f>
        <v/>
      </c>
      <c r="X724" s="18"/>
      <c r="Y724" s="18"/>
      <c r="Z724" s="17">
        <f>IF($N724="","",COUNT($N724:$S724))</f>
        <v/>
      </c>
      <c r="AA724" s="19">
        <f>IF($Z724="","",INT(INDEX($N724:$S724,$Z724)))</f>
        <v/>
      </c>
      <c r="AB724" s="19">
        <f>IF(OR($Z724="",$Z724=6),"",WORKDAY($AA724,CHOOSE($Z724,3,3,2,2,3),Holidays))</f>
        <v/>
      </c>
      <c r="AC724" s="17">
        <f>IF(OR($Z724="",$Z724=6),"",CHOOSE($Z724,"1st Email Follow-up","2nd Email Follow-up","Escalate Local Office","Escalate to CBE","Escalate to Roxanne"))</f>
        <v/>
      </c>
    </row>
    <row r="725" spans="13:29">
      <c r="M725" s="14"/>
      <c r="T725" s="16"/>
      <c r="U725" s="17">
        <f>IF(AND(COUNTA($A725:$L725)=0,$N725=""),"",IF($T725="Paid","PAID",IF($T725="Closed","CLOSED",IF($Z725="","",IF($Z725=6,"ESCALATED TO ROXANNE",IF(TODAY()&gt;$AB725,"OVERDUE",IF($AB725&lt;=WORKDAY(TODAY(),1,Holidays),"DUE TOMORROW",IF($Z725=4,"ESCALATED TO LOCAL OFFICE",IF($Z725=5,"ESCALATED TO CBE",IF($AA725=TODAY(),"EMAIL SENT","MONITORING"))))))))))</f>
        <v/>
      </c>
      <c r="V725" s="17">
        <f>IF($U725="",IF(AND(COUNTA($A725:$L725)&gt;0,$N725=""),"Awaiting Collection Email time stamp.",""),IF(OR($U725="PAID",$U725="CLOSED"),IF($U725="PAID","Account paid. Action completed.","Account closed. No further action required."),CHOOSE($Z725,"Collection Email","1st Email Follow-up","2nd Email Follow-up","Escalation to Local Office","Escalation to CBE","Escalation to Roxanne")&amp;" sent "&amp;TEXT($AA725,"dd-mmm")&amp;". "&amp;IF($Z725=6,"Final escalation completed.",IF($U725="OVERDUE","Next: "&amp;$AC725&amp;" was due "&amp;TEXT($AB725,"dd-mmm")&amp;" - "&amp;(NETWORKDAYS($AB725,TODAY(),Holidays)-1)&amp;" business day(s) late. Send now.",IF($U725="DUE TOMORROW","Next: "&amp;$AC725&amp;IF($AB725&lt;=TODAY()," is due TODAY ("," is due next business day (")&amp;TEXT($AB725,"dd-mmm")&amp;").","Next: "&amp;$AC725&amp;" due "&amp;TEXT($AB725,"dd-mmm")&amp;" ("&amp;(NETWORKDAYS(TODAY(),$AB725,Holidays)-1)&amp;" business day(s) left).")))))</f>
        <v/>
      </c>
      <c r="W725" s="17">
        <f>IF($Z725="","",CHOOSE($Z725,"Collection Email","1st Follow-up","2nd Follow-up","Local Office","CBE","Roxanne")&amp;IF($Z725=6," - Final"," - Day "&amp;MAX(0,NETWORKDAYS($AA725,TODAY(),Holidays)-1)&amp;" of "&amp;CHOOSE($Z725,3,3,2,2,3))&amp;" | Total Day "&amp;MAX(0,NETWORKDAYS($N725,TODAY(),Holidays)-1))</f>
        <v/>
      </c>
      <c r="X725" s="18"/>
      <c r="Y725" s="18"/>
      <c r="Z725" s="17">
        <f>IF($N725="","",COUNT($N725:$S725))</f>
        <v/>
      </c>
      <c r="AA725" s="19">
        <f>IF($Z725="","",INT(INDEX($N725:$S725,$Z725)))</f>
        <v/>
      </c>
      <c r="AB725" s="19">
        <f>IF(OR($Z725="",$Z725=6),"",WORKDAY($AA725,CHOOSE($Z725,3,3,2,2,3),Holidays))</f>
        <v/>
      </c>
      <c r="AC725" s="17">
        <f>IF(OR($Z725="",$Z725=6),"",CHOOSE($Z725,"1st Email Follow-up","2nd Email Follow-up","Escalate Local Office","Escalate to CBE","Escalate to Roxanne"))</f>
        <v/>
      </c>
    </row>
    <row r="726" spans="13:29">
      <c r="M726" s="14"/>
      <c r="T726" s="16"/>
      <c r="U726" s="17">
        <f>IF(AND(COUNTA($A726:$L726)=0,$N726=""),"",IF($T726="Paid","PAID",IF($T726="Closed","CLOSED",IF($Z726="","",IF($Z726=6,"ESCALATED TO ROXANNE",IF(TODAY()&gt;$AB726,"OVERDUE",IF($AB726&lt;=WORKDAY(TODAY(),1,Holidays),"DUE TOMORROW",IF($Z726=4,"ESCALATED TO LOCAL OFFICE",IF($Z726=5,"ESCALATED TO CBE",IF($AA726=TODAY(),"EMAIL SENT","MONITORING"))))))))))</f>
        <v/>
      </c>
      <c r="V726" s="17">
        <f>IF($U726="",IF(AND(COUNTA($A726:$L726)&gt;0,$N726=""),"Awaiting Collection Email time stamp.",""),IF(OR($U726="PAID",$U726="CLOSED"),IF($U726="PAID","Account paid. Action completed.","Account closed. No further action required."),CHOOSE($Z726,"Collection Email","1st Email Follow-up","2nd Email Follow-up","Escalation to Local Office","Escalation to CBE","Escalation to Roxanne")&amp;" sent "&amp;TEXT($AA726,"dd-mmm")&amp;". "&amp;IF($Z726=6,"Final escalation completed.",IF($U726="OVERDUE","Next: "&amp;$AC726&amp;" was due "&amp;TEXT($AB726,"dd-mmm")&amp;" - "&amp;(NETWORKDAYS($AB726,TODAY(),Holidays)-1)&amp;" business day(s) late. Send now.",IF($U726="DUE TOMORROW","Next: "&amp;$AC726&amp;IF($AB726&lt;=TODAY()," is due TODAY ("," is due next business day (")&amp;TEXT($AB726,"dd-mmm")&amp;").","Next: "&amp;$AC726&amp;" due "&amp;TEXT($AB726,"dd-mmm")&amp;" ("&amp;(NETWORKDAYS(TODAY(),$AB726,Holidays)-1)&amp;" business day(s) left).")))))</f>
        <v/>
      </c>
      <c r="W726" s="17">
        <f>IF($Z726="","",CHOOSE($Z726,"Collection Email","1st Follow-up","2nd Follow-up","Local Office","CBE","Roxanne")&amp;IF($Z726=6," - Final"," - Day "&amp;MAX(0,NETWORKDAYS($AA726,TODAY(),Holidays)-1)&amp;" of "&amp;CHOOSE($Z726,3,3,2,2,3))&amp;" | Total Day "&amp;MAX(0,NETWORKDAYS($N726,TODAY(),Holidays)-1))</f>
        <v/>
      </c>
      <c r="X726" s="18"/>
      <c r="Y726" s="18"/>
      <c r="Z726" s="17">
        <f>IF($N726="","",COUNT($N726:$S726))</f>
        <v/>
      </c>
      <c r="AA726" s="19">
        <f>IF($Z726="","",INT(INDEX($N726:$S726,$Z726)))</f>
        <v/>
      </c>
      <c r="AB726" s="19">
        <f>IF(OR($Z726="",$Z726=6),"",WORKDAY($AA726,CHOOSE($Z726,3,3,2,2,3),Holidays))</f>
        <v/>
      </c>
      <c r="AC726" s="17">
        <f>IF(OR($Z726="",$Z726=6),"",CHOOSE($Z726,"1st Email Follow-up","2nd Email Follow-up","Escalate Local Office","Escalate to CBE","Escalate to Roxanne"))</f>
        <v/>
      </c>
    </row>
    <row r="727" spans="13:29">
      <c r="M727" s="14"/>
      <c r="T727" s="16"/>
      <c r="U727" s="17">
        <f>IF(AND(COUNTA($A727:$L727)=0,$N727=""),"",IF($T727="Paid","PAID",IF($T727="Closed","CLOSED",IF($Z727="","",IF($Z727=6,"ESCALATED TO ROXANNE",IF(TODAY()&gt;$AB727,"OVERDUE",IF($AB727&lt;=WORKDAY(TODAY(),1,Holidays),"DUE TOMORROW",IF($Z727=4,"ESCALATED TO LOCAL OFFICE",IF($Z727=5,"ESCALATED TO CBE",IF($AA727=TODAY(),"EMAIL SENT","MONITORING"))))))))))</f>
        <v/>
      </c>
      <c r="V727" s="17">
        <f>IF($U727="",IF(AND(COUNTA($A727:$L727)&gt;0,$N727=""),"Awaiting Collection Email time stamp.",""),IF(OR($U727="PAID",$U727="CLOSED"),IF($U727="PAID","Account paid. Action completed.","Account closed. No further action required."),CHOOSE($Z727,"Collection Email","1st Email Follow-up","2nd Email Follow-up","Escalation to Local Office","Escalation to CBE","Escalation to Roxanne")&amp;" sent "&amp;TEXT($AA727,"dd-mmm")&amp;". "&amp;IF($Z727=6,"Final escalation completed.",IF($U727="OVERDUE","Next: "&amp;$AC727&amp;" was due "&amp;TEXT($AB727,"dd-mmm")&amp;" - "&amp;(NETWORKDAYS($AB727,TODAY(),Holidays)-1)&amp;" business day(s) late. Send now.",IF($U727="DUE TOMORROW","Next: "&amp;$AC727&amp;IF($AB727&lt;=TODAY()," is due TODAY ("," is due next business day (")&amp;TEXT($AB727,"dd-mmm")&amp;").","Next: "&amp;$AC727&amp;" due "&amp;TEXT($AB727,"dd-mmm")&amp;" ("&amp;(NETWORKDAYS(TODAY(),$AB727,Holidays)-1)&amp;" business day(s) left).")))))</f>
        <v/>
      </c>
      <c r="W727" s="17">
        <f>IF($Z727="","",CHOOSE($Z727,"Collection Email","1st Follow-up","2nd Follow-up","Local Office","CBE","Roxanne")&amp;IF($Z727=6," - Final"," - Day "&amp;MAX(0,NETWORKDAYS($AA727,TODAY(),Holidays)-1)&amp;" of "&amp;CHOOSE($Z727,3,3,2,2,3))&amp;" | Total Day "&amp;MAX(0,NETWORKDAYS($N727,TODAY(),Holidays)-1))</f>
        <v/>
      </c>
      <c r="X727" s="18"/>
      <c r="Y727" s="18"/>
      <c r="Z727" s="17">
        <f>IF($N727="","",COUNT($N727:$S727))</f>
        <v/>
      </c>
      <c r="AA727" s="19">
        <f>IF($Z727="","",INT(INDEX($N727:$S727,$Z727)))</f>
        <v/>
      </c>
      <c r="AB727" s="19">
        <f>IF(OR($Z727="",$Z727=6),"",WORKDAY($AA727,CHOOSE($Z727,3,3,2,2,3),Holidays))</f>
        <v/>
      </c>
      <c r="AC727" s="17">
        <f>IF(OR($Z727="",$Z727=6),"",CHOOSE($Z727,"1st Email Follow-up","2nd Email Follow-up","Escalate Local Office","Escalate to CBE","Escalate to Roxanne"))</f>
        <v/>
      </c>
    </row>
    <row r="728" spans="13:29">
      <c r="M728" s="14"/>
      <c r="T728" s="16"/>
      <c r="U728" s="17">
        <f>IF(AND(COUNTA($A728:$L728)=0,$N728=""),"",IF($T728="Paid","PAID",IF($T728="Closed","CLOSED",IF($Z728="","",IF($Z728=6,"ESCALATED TO ROXANNE",IF(TODAY()&gt;$AB728,"OVERDUE",IF($AB728&lt;=WORKDAY(TODAY(),1,Holidays),"DUE TOMORROW",IF($Z728=4,"ESCALATED TO LOCAL OFFICE",IF($Z728=5,"ESCALATED TO CBE",IF($AA728=TODAY(),"EMAIL SENT","MONITORING"))))))))))</f>
        <v/>
      </c>
      <c r="V728" s="17">
        <f>IF($U728="",IF(AND(COUNTA($A728:$L728)&gt;0,$N728=""),"Awaiting Collection Email time stamp.",""),IF(OR($U728="PAID",$U728="CLOSED"),IF($U728="PAID","Account paid. Action completed.","Account closed. No further action required."),CHOOSE($Z728,"Collection Email","1st Email Follow-up","2nd Email Follow-up","Escalation to Local Office","Escalation to CBE","Escalation to Roxanne")&amp;" sent "&amp;TEXT($AA728,"dd-mmm")&amp;". "&amp;IF($Z728=6,"Final escalation completed.",IF($U728="OVERDUE","Next: "&amp;$AC728&amp;" was due "&amp;TEXT($AB728,"dd-mmm")&amp;" - "&amp;(NETWORKDAYS($AB728,TODAY(),Holidays)-1)&amp;" business day(s) late. Send now.",IF($U728="DUE TOMORROW","Next: "&amp;$AC728&amp;IF($AB728&lt;=TODAY()," is due TODAY ("," is due next business day (")&amp;TEXT($AB728,"dd-mmm")&amp;").","Next: "&amp;$AC728&amp;" due "&amp;TEXT($AB728,"dd-mmm")&amp;" ("&amp;(NETWORKDAYS(TODAY(),$AB728,Holidays)-1)&amp;" business day(s) left).")))))</f>
        <v/>
      </c>
      <c r="W728" s="17">
        <f>IF($Z728="","",CHOOSE($Z728,"Collection Email","1st Follow-up","2nd Follow-up","Local Office","CBE","Roxanne")&amp;IF($Z728=6," - Final"," - Day "&amp;MAX(0,NETWORKDAYS($AA728,TODAY(),Holidays)-1)&amp;" of "&amp;CHOOSE($Z728,3,3,2,2,3))&amp;" | Total Day "&amp;MAX(0,NETWORKDAYS($N728,TODAY(),Holidays)-1))</f>
        <v/>
      </c>
      <c r="X728" s="18"/>
      <c r="Y728" s="18"/>
      <c r="Z728" s="17">
        <f>IF($N728="","",COUNT($N728:$S728))</f>
        <v/>
      </c>
      <c r="AA728" s="19">
        <f>IF($Z728="","",INT(INDEX($N728:$S728,$Z728)))</f>
        <v/>
      </c>
      <c r="AB728" s="19">
        <f>IF(OR($Z728="",$Z728=6),"",WORKDAY($AA728,CHOOSE($Z728,3,3,2,2,3),Holidays))</f>
        <v/>
      </c>
      <c r="AC728" s="17">
        <f>IF(OR($Z728="",$Z728=6),"",CHOOSE($Z728,"1st Email Follow-up","2nd Email Follow-up","Escalate Local Office","Escalate to CBE","Escalate to Roxanne"))</f>
        <v/>
      </c>
    </row>
    <row r="729" spans="13:29">
      <c r="M729" s="14"/>
      <c r="T729" s="16"/>
      <c r="U729" s="17">
        <f>IF(AND(COUNTA($A729:$L729)=0,$N729=""),"",IF($T729="Paid","PAID",IF($T729="Closed","CLOSED",IF($Z729="","",IF($Z729=6,"ESCALATED TO ROXANNE",IF(TODAY()&gt;$AB729,"OVERDUE",IF($AB729&lt;=WORKDAY(TODAY(),1,Holidays),"DUE TOMORROW",IF($Z729=4,"ESCALATED TO LOCAL OFFICE",IF($Z729=5,"ESCALATED TO CBE",IF($AA729=TODAY(),"EMAIL SENT","MONITORING"))))))))))</f>
        <v/>
      </c>
      <c r="V729" s="17">
        <f>IF($U729="",IF(AND(COUNTA($A729:$L729)&gt;0,$N729=""),"Awaiting Collection Email time stamp.",""),IF(OR($U729="PAID",$U729="CLOSED"),IF($U729="PAID","Account paid. Action completed.","Account closed. No further action required."),CHOOSE($Z729,"Collection Email","1st Email Follow-up","2nd Email Follow-up","Escalation to Local Office","Escalation to CBE","Escalation to Roxanne")&amp;" sent "&amp;TEXT($AA729,"dd-mmm")&amp;". "&amp;IF($Z729=6,"Final escalation completed.",IF($U729="OVERDUE","Next: "&amp;$AC729&amp;" was due "&amp;TEXT($AB729,"dd-mmm")&amp;" - "&amp;(NETWORKDAYS($AB729,TODAY(),Holidays)-1)&amp;" business day(s) late. Send now.",IF($U729="DUE TOMORROW","Next: "&amp;$AC729&amp;IF($AB729&lt;=TODAY()," is due TODAY ("," is due next business day (")&amp;TEXT($AB729,"dd-mmm")&amp;").","Next: "&amp;$AC729&amp;" due "&amp;TEXT($AB729,"dd-mmm")&amp;" ("&amp;(NETWORKDAYS(TODAY(),$AB729,Holidays)-1)&amp;" business day(s) left).")))))</f>
        <v/>
      </c>
      <c r="W729" s="17">
        <f>IF($Z729="","",CHOOSE($Z729,"Collection Email","1st Follow-up","2nd Follow-up","Local Office","CBE","Roxanne")&amp;IF($Z729=6," - Final"," - Day "&amp;MAX(0,NETWORKDAYS($AA729,TODAY(),Holidays)-1)&amp;" of "&amp;CHOOSE($Z729,3,3,2,2,3))&amp;" | Total Day "&amp;MAX(0,NETWORKDAYS($N729,TODAY(),Holidays)-1))</f>
        <v/>
      </c>
      <c r="X729" s="18"/>
      <c r="Y729" s="18"/>
      <c r="Z729" s="17">
        <f>IF($N729="","",COUNT($N729:$S729))</f>
        <v/>
      </c>
      <c r="AA729" s="19">
        <f>IF($Z729="","",INT(INDEX($N729:$S729,$Z729)))</f>
        <v/>
      </c>
      <c r="AB729" s="19">
        <f>IF(OR($Z729="",$Z729=6),"",WORKDAY($AA729,CHOOSE($Z729,3,3,2,2,3),Holidays))</f>
        <v/>
      </c>
      <c r="AC729" s="17">
        <f>IF(OR($Z729="",$Z729=6),"",CHOOSE($Z729,"1st Email Follow-up","2nd Email Follow-up","Escalate Local Office","Escalate to CBE","Escalate to Roxanne"))</f>
        <v/>
      </c>
    </row>
    <row r="730" spans="13:29">
      <c r="M730" s="14"/>
      <c r="T730" s="16"/>
      <c r="U730" s="17">
        <f>IF(AND(COUNTA($A730:$L730)=0,$N730=""),"",IF($T730="Paid","PAID",IF($T730="Closed","CLOSED",IF($Z730="","",IF($Z730=6,"ESCALATED TO ROXANNE",IF(TODAY()&gt;$AB730,"OVERDUE",IF($AB730&lt;=WORKDAY(TODAY(),1,Holidays),"DUE TOMORROW",IF($Z730=4,"ESCALATED TO LOCAL OFFICE",IF($Z730=5,"ESCALATED TO CBE",IF($AA730=TODAY(),"EMAIL SENT","MONITORING"))))))))))</f>
        <v/>
      </c>
      <c r="V730" s="17">
        <f>IF($U730="",IF(AND(COUNTA($A730:$L730)&gt;0,$N730=""),"Awaiting Collection Email time stamp.",""),IF(OR($U730="PAID",$U730="CLOSED"),IF($U730="PAID","Account paid. Action completed.","Account closed. No further action required."),CHOOSE($Z730,"Collection Email","1st Email Follow-up","2nd Email Follow-up","Escalation to Local Office","Escalation to CBE","Escalation to Roxanne")&amp;" sent "&amp;TEXT($AA730,"dd-mmm")&amp;". "&amp;IF($Z730=6,"Final escalation completed.",IF($U730="OVERDUE","Next: "&amp;$AC730&amp;" was due "&amp;TEXT($AB730,"dd-mmm")&amp;" - "&amp;(NETWORKDAYS($AB730,TODAY(),Holidays)-1)&amp;" business day(s) late. Send now.",IF($U730="DUE TOMORROW","Next: "&amp;$AC730&amp;IF($AB730&lt;=TODAY()," is due TODAY ("," is due next business day (")&amp;TEXT($AB730,"dd-mmm")&amp;").","Next: "&amp;$AC730&amp;" due "&amp;TEXT($AB730,"dd-mmm")&amp;" ("&amp;(NETWORKDAYS(TODAY(),$AB730,Holidays)-1)&amp;" business day(s) left).")))))</f>
        <v/>
      </c>
      <c r="W730" s="17">
        <f>IF($Z730="","",CHOOSE($Z730,"Collection Email","1st Follow-up","2nd Follow-up","Local Office","CBE","Roxanne")&amp;IF($Z730=6," - Final"," - Day "&amp;MAX(0,NETWORKDAYS($AA730,TODAY(),Holidays)-1)&amp;" of "&amp;CHOOSE($Z730,3,3,2,2,3))&amp;" | Total Day "&amp;MAX(0,NETWORKDAYS($N730,TODAY(),Holidays)-1))</f>
        <v/>
      </c>
      <c r="X730" s="18"/>
      <c r="Y730" s="18"/>
      <c r="Z730" s="17">
        <f>IF($N730="","",COUNT($N730:$S730))</f>
        <v/>
      </c>
      <c r="AA730" s="19">
        <f>IF($Z730="","",INT(INDEX($N730:$S730,$Z730)))</f>
        <v/>
      </c>
      <c r="AB730" s="19">
        <f>IF(OR($Z730="",$Z730=6),"",WORKDAY($AA730,CHOOSE($Z730,3,3,2,2,3),Holidays))</f>
        <v/>
      </c>
      <c r="AC730" s="17">
        <f>IF(OR($Z730="",$Z730=6),"",CHOOSE($Z730,"1st Email Follow-up","2nd Email Follow-up","Escalate Local Office","Escalate to CBE","Escalate to Roxanne"))</f>
        <v/>
      </c>
    </row>
    <row r="731" spans="13:29">
      <c r="M731" s="14"/>
      <c r="T731" s="16"/>
      <c r="U731" s="17">
        <f>IF(AND(COUNTA($A731:$L731)=0,$N731=""),"",IF($T731="Paid","PAID",IF($T731="Closed","CLOSED",IF($Z731="","",IF($Z731=6,"ESCALATED TO ROXANNE",IF(TODAY()&gt;$AB731,"OVERDUE",IF($AB731&lt;=WORKDAY(TODAY(),1,Holidays),"DUE TOMORROW",IF($Z731=4,"ESCALATED TO LOCAL OFFICE",IF($Z731=5,"ESCALATED TO CBE",IF($AA731=TODAY(),"EMAIL SENT","MONITORING"))))))))))</f>
        <v/>
      </c>
      <c r="V731" s="17">
        <f>IF($U731="",IF(AND(COUNTA($A731:$L731)&gt;0,$N731=""),"Awaiting Collection Email time stamp.",""),IF(OR($U731="PAID",$U731="CLOSED"),IF($U731="PAID","Account paid. Action completed.","Account closed. No further action required."),CHOOSE($Z731,"Collection Email","1st Email Follow-up","2nd Email Follow-up","Escalation to Local Office","Escalation to CBE","Escalation to Roxanne")&amp;" sent "&amp;TEXT($AA731,"dd-mmm")&amp;". "&amp;IF($Z731=6,"Final escalation completed.",IF($U731="OVERDUE","Next: "&amp;$AC731&amp;" was due "&amp;TEXT($AB731,"dd-mmm")&amp;" - "&amp;(NETWORKDAYS($AB731,TODAY(),Holidays)-1)&amp;" business day(s) late. Send now.",IF($U731="DUE TOMORROW","Next: "&amp;$AC731&amp;IF($AB731&lt;=TODAY()," is due TODAY ("," is due next business day (")&amp;TEXT($AB731,"dd-mmm")&amp;").","Next: "&amp;$AC731&amp;" due "&amp;TEXT($AB731,"dd-mmm")&amp;" ("&amp;(NETWORKDAYS(TODAY(),$AB731,Holidays)-1)&amp;" business day(s) left).")))))</f>
        <v/>
      </c>
      <c r="W731" s="17">
        <f>IF($Z731="","",CHOOSE($Z731,"Collection Email","1st Follow-up","2nd Follow-up","Local Office","CBE","Roxanne")&amp;IF($Z731=6," - Final"," - Day "&amp;MAX(0,NETWORKDAYS($AA731,TODAY(),Holidays)-1)&amp;" of "&amp;CHOOSE($Z731,3,3,2,2,3))&amp;" | Total Day "&amp;MAX(0,NETWORKDAYS($N731,TODAY(),Holidays)-1))</f>
        <v/>
      </c>
      <c r="X731" s="18"/>
      <c r="Y731" s="18"/>
      <c r="Z731" s="17">
        <f>IF($N731="","",COUNT($N731:$S731))</f>
        <v/>
      </c>
      <c r="AA731" s="19">
        <f>IF($Z731="","",INT(INDEX($N731:$S731,$Z731)))</f>
        <v/>
      </c>
      <c r="AB731" s="19">
        <f>IF(OR($Z731="",$Z731=6),"",WORKDAY($AA731,CHOOSE($Z731,3,3,2,2,3),Holidays))</f>
        <v/>
      </c>
      <c r="AC731" s="17">
        <f>IF(OR($Z731="",$Z731=6),"",CHOOSE($Z731,"1st Email Follow-up","2nd Email Follow-up","Escalate Local Office","Escalate to CBE","Escalate to Roxanne"))</f>
        <v/>
      </c>
    </row>
    <row r="732" spans="13:29">
      <c r="M732" s="14"/>
      <c r="T732" s="16"/>
      <c r="U732" s="17">
        <f>IF(AND(COUNTA($A732:$L732)=0,$N732=""),"",IF($T732="Paid","PAID",IF($T732="Closed","CLOSED",IF($Z732="","",IF($Z732=6,"ESCALATED TO ROXANNE",IF(TODAY()&gt;$AB732,"OVERDUE",IF($AB732&lt;=WORKDAY(TODAY(),1,Holidays),"DUE TOMORROW",IF($Z732=4,"ESCALATED TO LOCAL OFFICE",IF($Z732=5,"ESCALATED TO CBE",IF($AA732=TODAY(),"EMAIL SENT","MONITORING"))))))))))</f>
        <v/>
      </c>
      <c r="V732" s="17">
        <f>IF($U732="",IF(AND(COUNTA($A732:$L732)&gt;0,$N732=""),"Awaiting Collection Email time stamp.",""),IF(OR($U732="PAID",$U732="CLOSED"),IF($U732="PAID","Account paid. Action completed.","Account closed. No further action required."),CHOOSE($Z732,"Collection Email","1st Email Follow-up","2nd Email Follow-up","Escalation to Local Office","Escalation to CBE","Escalation to Roxanne")&amp;" sent "&amp;TEXT($AA732,"dd-mmm")&amp;". "&amp;IF($Z732=6,"Final escalation completed.",IF($U732="OVERDUE","Next: "&amp;$AC732&amp;" was due "&amp;TEXT($AB732,"dd-mmm")&amp;" - "&amp;(NETWORKDAYS($AB732,TODAY(),Holidays)-1)&amp;" business day(s) late. Send now.",IF($U732="DUE TOMORROW","Next: "&amp;$AC732&amp;IF($AB732&lt;=TODAY()," is due TODAY ("," is due next business day (")&amp;TEXT($AB732,"dd-mmm")&amp;").","Next: "&amp;$AC732&amp;" due "&amp;TEXT($AB732,"dd-mmm")&amp;" ("&amp;(NETWORKDAYS(TODAY(),$AB732,Holidays)-1)&amp;" business day(s) left).")))))</f>
        <v/>
      </c>
      <c r="W732" s="17">
        <f>IF($Z732="","",CHOOSE($Z732,"Collection Email","1st Follow-up","2nd Follow-up","Local Office","CBE","Roxanne")&amp;IF($Z732=6," - Final"," - Day "&amp;MAX(0,NETWORKDAYS($AA732,TODAY(),Holidays)-1)&amp;" of "&amp;CHOOSE($Z732,3,3,2,2,3))&amp;" | Total Day "&amp;MAX(0,NETWORKDAYS($N732,TODAY(),Holidays)-1))</f>
        <v/>
      </c>
      <c r="X732" s="18"/>
      <c r="Y732" s="18"/>
      <c r="Z732" s="17">
        <f>IF($N732="","",COUNT($N732:$S732))</f>
        <v/>
      </c>
      <c r="AA732" s="19">
        <f>IF($Z732="","",INT(INDEX($N732:$S732,$Z732)))</f>
        <v/>
      </c>
      <c r="AB732" s="19">
        <f>IF(OR($Z732="",$Z732=6),"",WORKDAY($AA732,CHOOSE($Z732,3,3,2,2,3),Holidays))</f>
        <v/>
      </c>
      <c r="AC732" s="17">
        <f>IF(OR($Z732="",$Z732=6),"",CHOOSE($Z732,"1st Email Follow-up","2nd Email Follow-up","Escalate Local Office","Escalate to CBE","Escalate to Roxanne"))</f>
        <v/>
      </c>
    </row>
    <row r="733" spans="13:29">
      <c r="M733" s="14"/>
      <c r="T733" s="16"/>
      <c r="U733" s="17">
        <f>IF(AND(COUNTA($A733:$L733)=0,$N733=""),"",IF($T733="Paid","PAID",IF($T733="Closed","CLOSED",IF($Z733="","",IF($Z733=6,"ESCALATED TO ROXANNE",IF(TODAY()&gt;$AB733,"OVERDUE",IF($AB733&lt;=WORKDAY(TODAY(),1,Holidays),"DUE TOMORROW",IF($Z733=4,"ESCALATED TO LOCAL OFFICE",IF($Z733=5,"ESCALATED TO CBE",IF($AA733=TODAY(),"EMAIL SENT","MONITORING"))))))))))</f>
        <v/>
      </c>
      <c r="V733" s="17">
        <f>IF($U733="",IF(AND(COUNTA($A733:$L733)&gt;0,$N733=""),"Awaiting Collection Email time stamp.",""),IF(OR($U733="PAID",$U733="CLOSED"),IF($U733="PAID","Account paid. Action completed.","Account closed. No further action required."),CHOOSE($Z733,"Collection Email","1st Email Follow-up","2nd Email Follow-up","Escalation to Local Office","Escalation to CBE","Escalation to Roxanne")&amp;" sent "&amp;TEXT($AA733,"dd-mmm")&amp;". "&amp;IF($Z733=6,"Final escalation completed.",IF($U733="OVERDUE","Next: "&amp;$AC733&amp;" was due "&amp;TEXT($AB733,"dd-mmm")&amp;" - "&amp;(NETWORKDAYS($AB733,TODAY(),Holidays)-1)&amp;" business day(s) late. Send now.",IF($U733="DUE TOMORROW","Next: "&amp;$AC733&amp;IF($AB733&lt;=TODAY()," is due TODAY ("," is due next business day (")&amp;TEXT($AB733,"dd-mmm")&amp;").","Next: "&amp;$AC733&amp;" due "&amp;TEXT($AB733,"dd-mmm")&amp;" ("&amp;(NETWORKDAYS(TODAY(),$AB733,Holidays)-1)&amp;" business day(s) left).")))))</f>
        <v/>
      </c>
      <c r="W733" s="17">
        <f>IF($Z733="","",CHOOSE($Z733,"Collection Email","1st Follow-up","2nd Follow-up","Local Office","CBE","Roxanne")&amp;IF($Z733=6," - Final"," - Day "&amp;MAX(0,NETWORKDAYS($AA733,TODAY(),Holidays)-1)&amp;" of "&amp;CHOOSE($Z733,3,3,2,2,3))&amp;" | Total Day "&amp;MAX(0,NETWORKDAYS($N733,TODAY(),Holidays)-1))</f>
        <v/>
      </c>
      <c r="X733" s="18"/>
      <c r="Y733" s="18"/>
      <c r="Z733" s="17">
        <f>IF($N733="","",COUNT($N733:$S733))</f>
        <v/>
      </c>
      <c r="AA733" s="19">
        <f>IF($Z733="","",INT(INDEX($N733:$S733,$Z733)))</f>
        <v/>
      </c>
      <c r="AB733" s="19">
        <f>IF(OR($Z733="",$Z733=6),"",WORKDAY($AA733,CHOOSE($Z733,3,3,2,2,3),Holidays))</f>
        <v/>
      </c>
      <c r="AC733" s="17">
        <f>IF(OR($Z733="",$Z733=6),"",CHOOSE($Z733,"1st Email Follow-up","2nd Email Follow-up","Escalate Local Office","Escalate to CBE","Escalate to Roxanne"))</f>
        <v/>
      </c>
    </row>
    <row r="734" spans="13:29">
      <c r="M734" s="14"/>
      <c r="T734" s="16"/>
      <c r="U734" s="17">
        <f>IF(AND(COUNTA($A734:$L734)=0,$N734=""),"",IF($T734="Paid","PAID",IF($T734="Closed","CLOSED",IF($Z734="","",IF($Z734=6,"ESCALATED TO ROXANNE",IF(TODAY()&gt;$AB734,"OVERDUE",IF($AB734&lt;=WORKDAY(TODAY(),1,Holidays),"DUE TOMORROW",IF($Z734=4,"ESCALATED TO LOCAL OFFICE",IF($Z734=5,"ESCALATED TO CBE",IF($AA734=TODAY(),"EMAIL SENT","MONITORING"))))))))))</f>
        <v/>
      </c>
      <c r="V734" s="17">
        <f>IF($U734="",IF(AND(COUNTA($A734:$L734)&gt;0,$N734=""),"Awaiting Collection Email time stamp.",""),IF(OR($U734="PAID",$U734="CLOSED"),IF($U734="PAID","Account paid. Action completed.","Account closed. No further action required."),CHOOSE($Z734,"Collection Email","1st Email Follow-up","2nd Email Follow-up","Escalation to Local Office","Escalation to CBE","Escalation to Roxanne")&amp;" sent "&amp;TEXT($AA734,"dd-mmm")&amp;". "&amp;IF($Z734=6,"Final escalation completed.",IF($U734="OVERDUE","Next: "&amp;$AC734&amp;" was due "&amp;TEXT($AB734,"dd-mmm")&amp;" - "&amp;(NETWORKDAYS($AB734,TODAY(),Holidays)-1)&amp;" business day(s) late. Send now.",IF($U734="DUE TOMORROW","Next: "&amp;$AC734&amp;IF($AB734&lt;=TODAY()," is due TODAY ("," is due next business day (")&amp;TEXT($AB734,"dd-mmm")&amp;").","Next: "&amp;$AC734&amp;" due "&amp;TEXT($AB734,"dd-mmm")&amp;" ("&amp;(NETWORKDAYS(TODAY(),$AB734,Holidays)-1)&amp;" business day(s) left).")))))</f>
        <v/>
      </c>
      <c r="W734" s="17">
        <f>IF($Z734="","",CHOOSE($Z734,"Collection Email","1st Follow-up","2nd Follow-up","Local Office","CBE","Roxanne")&amp;IF($Z734=6," - Final"," - Day "&amp;MAX(0,NETWORKDAYS($AA734,TODAY(),Holidays)-1)&amp;" of "&amp;CHOOSE($Z734,3,3,2,2,3))&amp;" | Total Day "&amp;MAX(0,NETWORKDAYS($N734,TODAY(),Holidays)-1))</f>
        <v/>
      </c>
      <c r="X734" s="18"/>
      <c r="Y734" s="18"/>
      <c r="Z734" s="17">
        <f>IF($N734="","",COUNT($N734:$S734))</f>
        <v/>
      </c>
      <c r="AA734" s="19">
        <f>IF($Z734="","",INT(INDEX($N734:$S734,$Z734)))</f>
        <v/>
      </c>
      <c r="AB734" s="19">
        <f>IF(OR($Z734="",$Z734=6),"",WORKDAY($AA734,CHOOSE($Z734,3,3,2,2,3),Holidays))</f>
        <v/>
      </c>
      <c r="AC734" s="17">
        <f>IF(OR($Z734="",$Z734=6),"",CHOOSE($Z734,"1st Email Follow-up","2nd Email Follow-up","Escalate Local Office","Escalate to CBE","Escalate to Roxanne"))</f>
        <v/>
      </c>
    </row>
    <row r="735" spans="13:29">
      <c r="M735" s="14"/>
      <c r="T735" s="16"/>
      <c r="U735" s="17">
        <f>IF(AND(COUNTA($A735:$L735)=0,$N735=""),"",IF($T735="Paid","PAID",IF($T735="Closed","CLOSED",IF($Z735="","",IF($Z735=6,"ESCALATED TO ROXANNE",IF(TODAY()&gt;$AB735,"OVERDUE",IF($AB735&lt;=WORKDAY(TODAY(),1,Holidays),"DUE TOMORROW",IF($Z735=4,"ESCALATED TO LOCAL OFFICE",IF($Z735=5,"ESCALATED TO CBE",IF($AA735=TODAY(),"EMAIL SENT","MONITORING"))))))))))</f>
        <v/>
      </c>
      <c r="V735" s="17">
        <f>IF($U735="",IF(AND(COUNTA($A735:$L735)&gt;0,$N735=""),"Awaiting Collection Email time stamp.",""),IF(OR($U735="PAID",$U735="CLOSED"),IF($U735="PAID","Account paid. Action completed.","Account closed. No further action required."),CHOOSE($Z735,"Collection Email","1st Email Follow-up","2nd Email Follow-up","Escalation to Local Office","Escalation to CBE","Escalation to Roxanne")&amp;" sent "&amp;TEXT($AA735,"dd-mmm")&amp;". "&amp;IF($Z735=6,"Final escalation completed.",IF($U735="OVERDUE","Next: "&amp;$AC735&amp;" was due "&amp;TEXT($AB735,"dd-mmm")&amp;" - "&amp;(NETWORKDAYS($AB735,TODAY(),Holidays)-1)&amp;" business day(s) late. Send now.",IF($U735="DUE TOMORROW","Next: "&amp;$AC735&amp;IF($AB735&lt;=TODAY()," is due TODAY ("," is due next business day (")&amp;TEXT($AB735,"dd-mmm")&amp;").","Next: "&amp;$AC735&amp;" due "&amp;TEXT($AB735,"dd-mmm")&amp;" ("&amp;(NETWORKDAYS(TODAY(),$AB735,Holidays)-1)&amp;" business day(s) left).")))))</f>
        <v/>
      </c>
      <c r="W735" s="17">
        <f>IF($Z735="","",CHOOSE($Z735,"Collection Email","1st Follow-up","2nd Follow-up","Local Office","CBE","Roxanne")&amp;IF($Z735=6," - Final"," - Day "&amp;MAX(0,NETWORKDAYS($AA735,TODAY(),Holidays)-1)&amp;" of "&amp;CHOOSE($Z735,3,3,2,2,3))&amp;" | Total Day "&amp;MAX(0,NETWORKDAYS($N735,TODAY(),Holidays)-1))</f>
        <v/>
      </c>
      <c r="X735" s="18"/>
      <c r="Y735" s="18"/>
      <c r="Z735" s="17">
        <f>IF($N735="","",COUNT($N735:$S735))</f>
        <v/>
      </c>
      <c r="AA735" s="19">
        <f>IF($Z735="","",INT(INDEX($N735:$S735,$Z735)))</f>
        <v/>
      </c>
      <c r="AB735" s="19">
        <f>IF(OR($Z735="",$Z735=6),"",WORKDAY($AA735,CHOOSE($Z735,3,3,2,2,3),Holidays))</f>
        <v/>
      </c>
      <c r="AC735" s="17">
        <f>IF(OR($Z735="",$Z735=6),"",CHOOSE($Z735,"1st Email Follow-up","2nd Email Follow-up","Escalate Local Office","Escalate to CBE","Escalate to Roxanne"))</f>
        <v/>
      </c>
    </row>
    <row r="736" spans="13:29">
      <c r="M736" s="14"/>
      <c r="T736" s="16"/>
      <c r="U736" s="17">
        <f>IF(AND(COUNTA($A736:$L736)=0,$N736=""),"",IF($T736="Paid","PAID",IF($T736="Closed","CLOSED",IF($Z736="","",IF($Z736=6,"ESCALATED TO ROXANNE",IF(TODAY()&gt;$AB736,"OVERDUE",IF($AB736&lt;=WORKDAY(TODAY(),1,Holidays),"DUE TOMORROW",IF($Z736=4,"ESCALATED TO LOCAL OFFICE",IF($Z736=5,"ESCALATED TO CBE",IF($AA736=TODAY(),"EMAIL SENT","MONITORING"))))))))))</f>
        <v/>
      </c>
      <c r="V736" s="17">
        <f>IF($U736="",IF(AND(COUNTA($A736:$L736)&gt;0,$N736=""),"Awaiting Collection Email time stamp.",""),IF(OR($U736="PAID",$U736="CLOSED"),IF($U736="PAID","Account paid. Action completed.","Account closed. No further action required."),CHOOSE($Z736,"Collection Email","1st Email Follow-up","2nd Email Follow-up","Escalation to Local Office","Escalation to CBE","Escalation to Roxanne")&amp;" sent "&amp;TEXT($AA736,"dd-mmm")&amp;". "&amp;IF($Z736=6,"Final escalation completed.",IF($U736="OVERDUE","Next: "&amp;$AC736&amp;" was due "&amp;TEXT($AB736,"dd-mmm")&amp;" - "&amp;(NETWORKDAYS($AB736,TODAY(),Holidays)-1)&amp;" business day(s) late. Send now.",IF($U736="DUE TOMORROW","Next: "&amp;$AC736&amp;IF($AB736&lt;=TODAY()," is due TODAY ("," is due next business day (")&amp;TEXT($AB736,"dd-mmm")&amp;").","Next: "&amp;$AC736&amp;" due "&amp;TEXT($AB736,"dd-mmm")&amp;" ("&amp;(NETWORKDAYS(TODAY(),$AB736,Holidays)-1)&amp;" business day(s) left).")))))</f>
        <v/>
      </c>
      <c r="W736" s="17">
        <f>IF($Z736="","",CHOOSE($Z736,"Collection Email","1st Follow-up","2nd Follow-up","Local Office","CBE","Roxanne")&amp;IF($Z736=6," - Final"," - Day "&amp;MAX(0,NETWORKDAYS($AA736,TODAY(),Holidays)-1)&amp;" of "&amp;CHOOSE($Z736,3,3,2,2,3))&amp;" | Total Day "&amp;MAX(0,NETWORKDAYS($N736,TODAY(),Holidays)-1))</f>
        <v/>
      </c>
      <c r="X736" s="18"/>
      <c r="Y736" s="18"/>
      <c r="Z736" s="17">
        <f>IF($N736="","",COUNT($N736:$S736))</f>
        <v/>
      </c>
      <c r="AA736" s="19">
        <f>IF($Z736="","",INT(INDEX($N736:$S736,$Z736)))</f>
        <v/>
      </c>
      <c r="AB736" s="19">
        <f>IF(OR($Z736="",$Z736=6),"",WORKDAY($AA736,CHOOSE($Z736,3,3,2,2,3),Holidays))</f>
        <v/>
      </c>
      <c r="AC736" s="17">
        <f>IF(OR($Z736="",$Z736=6),"",CHOOSE($Z736,"1st Email Follow-up","2nd Email Follow-up","Escalate Local Office","Escalate to CBE","Escalate to Roxanne"))</f>
        <v/>
      </c>
    </row>
    <row r="737" spans="13:29">
      <c r="M737" s="14"/>
      <c r="T737" s="16"/>
      <c r="U737" s="17">
        <f>IF(AND(COUNTA($A737:$L737)=0,$N737=""),"",IF($T737="Paid","PAID",IF($T737="Closed","CLOSED",IF($Z737="","",IF($Z737=6,"ESCALATED TO ROXANNE",IF(TODAY()&gt;$AB737,"OVERDUE",IF($AB737&lt;=WORKDAY(TODAY(),1,Holidays),"DUE TOMORROW",IF($Z737=4,"ESCALATED TO LOCAL OFFICE",IF($Z737=5,"ESCALATED TO CBE",IF($AA737=TODAY(),"EMAIL SENT","MONITORING"))))))))))</f>
        <v/>
      </c>
      <c r="V737" s="17">
        <f>IF($U737="",IF(AND(COUNTA($A737:$L737)&gt;0,$N737=""),"Awaiting Collection Email time stamp.",""),IF(OR($U737="PAID",$U737="CLOSED"),IF($U737="PAID","Account paid. Action completed.","Account closed. No further action required."),CHOOSE($Z737,"Collection Email","1st Email Follow-up","2nd Email Follow-up","Escalation to Local Office","Escalation to CBE","Escalation to Roxanne")&amp;" sent "&amp;TEXT($AA737,"dd-mmm")&amp;". "&amp;IF($Z737=6,"Final escalation completed.",IF($U737="OVERDUE","Next: "&amp;$AC737&amp;" was due "&amp;TEXT($AB737,"dd-mmm")&amp;" - "&amp;(NETWORKDAYS($AB737,TODAY(),Holidays)-1)&amp;" business day(s) late. Send now.",IF($U737="DUE TOMORROW","Next: "&amp;$AC737&amp;IF($AB737&lt;=TODAY()," is due TODAY ("," is due next business day (")&amp;TEXT($AB737,"dd-mmm")&amp;").","Next: "&amp;$AC737&amp;" due "&amp;TEXT($AB737,"dd-mmm")&amp;" ("&amp;(NETWORKDAYS(TODAY(),$AB737,Holidays)-1)&amp;" business day(s) left).")))))</f>
        <v/>
      </c>
      <c r="W737" s="17">
        <f>IF($Z737="","",CHOOSE($Z737,"Collection Email","1st Follow-up","2nd Follow-up","Local Office","CBE","Roxanne")&amp;IF($Z737=6," - Final"," - Day "&amp;MAX(0,NETWORKDAYS($AA737,TODAY(),Holidays)-1)&amp;" of "&amp;CHOOSE($Z737,3,3,2,2,3))&amp;" | Total Day "&amp;MAX(0,NETWORKDAYS($N737,TODAY(),Holidays)-1))</f>
        <v/>
      </c>
      <c r="X737" s="18"/>
      <c r="Y737" s="18"/>
      <c r="Z737" s="17">
        <f>IF($N737="","",COUNT($N737:$S737))</f>
        <v/>
      </c>
      <c r="AA737" s="19">
        <f>IF($Z737="","",INT(INDEX($N737:$S737,$Z737)))</f>
        <v/>
      </c>
      <c r="AB737" s="19">
        <f>IF(OR($Z737="",$Z737=6),"",WORKDAY($AA737,CHOOSE($Z737,3,3,2,2,3),Holidays))</f>
        <v/>
      </c>
      <c r="AC737" s="17">
        <f>IF(OR($Z737="",$Z737=6),"",CHOOSE($Z737,"1st Email Follow-up","2nd Email Follow-up","Escalate Local Office","Escalate to CBE","Escalate to Roxanne"))</f>
        <v/>
      </c>
    </row>
    <row r="738" spans="13:29">
      <c r="M738" s="14"/>
      <c r="T738" s="16"/>
      <c r="U738" s="17">
        <f>IF(AND(COUNTA($A738:$L738)=0,$N738=""),"",IF($T738="Paid","PAID",IF($T738="Closed","CLOSED",IF($Z738="","",IF($Z738=6,"ESCALATED TO ROXANNE",IF(TODAY()&gt;$AB738,"OVERDUE",IF($AB738&lt;=WORKDAY(TODAY(),1,Holidays),"DUE TOMORROW",IF($Z738=4,"ESCALATED TO LOCAL OFFICE",IF($Z738=5,"ESCALATED TO CBE",IF($AA738=TODAY(),"EMAIL SENT","MONITORING"))))))))))</f>
        <v/>
      </c>
      <c r="V738" s="17">
        <f>IF($U738="",IF(AND(COUNTA($A738:$L738)&gt;0,$N738=""),"Awaiting Collection Email time stamp.",""),IF(OR($U738="PAID",$U738="CLOSED"),IF($U738="PAID","Account paid. Action completed.","Account closed. No further action required."),CHOOSE($Z738,"Collection Email","1st Email Follow-up","2nd Email Follow-up","Escalation to Local Office","Escalation to CBE","Escalation to Roxanne")&amp;" sent "&amp;TEXT($AA738,"dd-mmm")&amp;". "&amp;IF($Z738=6,"Final escalation completed.",IF($U738="OVERDUE","Next: "&amp;$AC738&amp;" was due "&amp;TEXT($AB738,"dd-mmm")&amp;" - "&amp;(NETWORKDAYS($AB738,TODAY(),Holidays)-1)&amp;" business day(s) late. Send now.",IF($U738="DUE TOMORROW","Next: "&amp;$AC738&amp;IF($AB738&lt;=TODAY()," is due TODAY ("," is due next business day (")&amp;TEXT($AB738,"dd-mmm")&amp;").","Next: "&amp;$AC738&amp;" due "&amp;TEXT($AB738,"dd-mmm")&amp;" ("&amp;(NETWORKDAYS(TODAY(),$AB738,Holidays)-1)&amp;" business day(s) left).")))))</f>
        <v/>
      </c>
      <c r="W738" s="17">
        <f>IF($Z738="","",CHOOSE($Z738,"Collection Email","1st Follow-up","2nd Follow-up","Local Office","CBE","Roxanne")&amp;IF($Z738=6," - Final"," - Day "&amp;MAX(0,NETWORKDAYS($AA738,TODAY(),Holidays)-1)&amp;" of "&amp;CHOOSE($Z738,3,3,2,2,3))&amp;" | Total Day "&amp;MAX(0,NETWORKDAYS($N738,TODAY(),Holidays)-1))</f>
        <v/>
      </c>
      <c r="X738" s="18"/>
      <c r="Y738" s="18"/>
      <c r="Z738" s="17">
        <f>IF($N738="","",COUNT($N738:$S738))</f>
        <v/>
      </c>
      <c r="AA738" s="19">
        <f>IF($Z738="","",INT(INDEX($N738:$S738,$Z738)))</f>
        <v/>
      </c>
      <c r="AB738" s="19">
        <f>IF(OR($Z738="",$Z738=6),"",WORKDAY($AA738,CHOOSE($Z738,3,3,2,2,3),Holidays))</f>
        <v/>
      </c>
      <c r="AC738" s="17">
        <f>IF(OR($Z738="",$Z738=6),"",CHOOSE($Z738,"1st Email Follow-up","2nd Email Follow-up","Escalate Local Office","Escalate to CBE","Escalate to Roxanne"))</f>
        <v/>
      </c>
    </row>
    <row r="739" spans="13:29">
      <c r="M739" s="14"/>
      <c r="T739" s="16"/>
      <c r="U739" s="17">
        <f>IF(AND(COUNTA($A739:$L739)=0,$N739=""),"",IF($T739="Paid","PAID",IF($T739="Closed","CLOSED",IF($Z739="","",IF($Z739=6,"ESCALATED TO ROXANNE",IF(TODAY()&gt;$AB739,"OVERDUE",IF($AB739&lt;=WORKDAY(TODAY(),1,Holidays),"DUE TOMORROW",IF($Z739=4,"ESCALATED TO LOCAL OFFICE",IF($Z739=5,"ESCALATED TO CBE",IF($AA739=TODAY(),"EMAIL SENT","MONITORING"))))))))))</f>
        <v/>
      </c>
      <c r="V739" s="17">
        <f>IF($U739="",IF(AND(COUNTA($A739:$L739)&gt;0,$N739=""),"Awaiting Collection Email time stamp.",""),IF(OR($U739="PAID",$U739="CLOSED"),IF($U739="PAID","Account paid. Action completed.","Account closed. No further action required."),CHOOSE($Z739,"Collection Email","1st Email Follow-up","2nd Email Follow-up","Escalation to Local Office","Escalation to CBE","Escalation to Roxanne")&amp;" sent "&amp;TEXT($AA739,"dd-mmm")&amp;". "&amp;IF($Z739=6,"Final escalation completed.",IF($U739="OVERDUE","Next: "&amp;$AC739&amp;" was due "&amp;TEXT($AB739,"dd-mmm")&amp;" - "&amp;(NETWORKDAYS($AB739,TODAY(),Holidays)-1)&amp;" business day(s) late. Send now.",IF($U739="DUE TOMORROW","Next: "&amp;$AC739&amp;IF($AB739&lt;=TODAY()," is due TODAY ("," is due next business day (")&amp;TEXT($AB739,"dd-mmm")&amp;").","Next: "&amp;$AC739&amp;" due "&amp;TEXT($AB739,"dd-mmm")&amp;" ("&amp;(NETWORKDAYS(TODAY(),$AB739,Holidays)-1)&amp;" business day(s) left).")))))</f>
        <v/>
      </c>
      <c r="W739" s="17">
        <f>IF($Z739="","",CHOOSE($Z739,"Collection Email","1st Follow-up","2nd Follow-up","Local Office","CBE","Roxanne")&amp;IF($Z739=6," - Final"," - Day "&amp;MAX(0,NETWORKDAYS($AA739,TODAY(),Holidays)-1)&amp;" of "&amp;CHOOSE($Z739,3,3,2,2,3))&amp;" | Total Day "&amp;MAX(0,NETWORKDAYS($N739,TODAY(),Holidays)-1))</f>
        <v/>
      </c>
      <c r="X739" s="18"/>
      <c r="Y739" s="18"/>
      <c r="Z739" s="17">
        <f>IF($N739="","",COUNT($N739:$S739))</f>
        <v/>
      </c>
      <c r="AA739" s="19">
        <f>IF($Z739="","",INT(INDEX($N739:$S739,$Z739)))</f>
        <v/>
      </c>
      <c r="AB739" s="19">
        <f>IF(OR($Z739="",$Z739=6),"",WORKDAY($AA739,CHOOSE($Z739,3,3,2,2,3),Holidays))</f>
        <v/>
      </c>
      <c r="AC739" s="17">
        <f>IF(OR($Z739="",$Z739=6),"",CHOOSE($Z739,"1st Email Follow-up","2nd Email Follow-up","Escalate Local Office","Escalate to CBE","Escalate to Roxanne"))</f>
        <v/>
      </c>
    </row>
    <row r="740" spans="13:29">
      <c r="M740" s="14"/>
      <c r="T740" s="16"/>
      <c r="U740" s="17">
        <f>IF(AND(COUNTA($A740:$L740)=0,$N740=""),"",IF($T740="Paid","PAID",IF($T740="Closed","CLOSED",IF($Z740="","",IF($Z740=6,"ESCALATED TO ROXANNE",IF(TODAY()&gt;$AB740,"OVERDUE",IF($AB740&lt;=WORKDAY(TODAY(),1,Holidays),"DUE TOMORROW",IF($Z740=4,"ESCALATED TO LOCAL OFFICE",IF($Z740=5,"ESCALATED TO CBE",IF($AA740=TODAY(),"EMAIL SENT","MONITORING"))))))))))</f>
        <v/>
      </c>
      <c r="V740" s="17">
        <f>IF($U740="",IF(AND(COUNTA($A740:$L740)&gt;0,$N740=""),"Awaiting Collection Email time stamp.",""),IF(OR($U740="PAID",$U740="CLOSED"),IF($U740="PAID","Account paid. Action completed.","Account closed. No further action required."),CHOOSE($Z740,"Collection Email","1st Email Follow-up","2nd Email Follow-up","Escalation to Local Office","Escalation to CBE","Escalation to Roxanne")&amp;" sent "&amp;TEXT($AA740,"dd-mmm")&amp;". "&amp;IF($Z740=6,"Final escalation completed.",IF($U740="OVERDUE","Next: "&amp;$AC740&amp;" was due "&amp;TEXT($AB740,"dd-mmm")&amp;" - "&amp;(NETWORKDAYS($AB740,TODAY(),Holidays)-1)&amp;" business day(s) late. Send now.",IF($U740="DUE TOMORROW","Next: "&amp;$AC740&amp;IF($AB740&lt;=TODAY()," is due TODAY ("," is due next business day (")&amp;TEXT($AB740,"dd-mmm")&amp;").","Next: "&amp;$AC740&amp;" due "&amp;TEXT($AB740,"dd-mmm")&amp;" ("&amp;(NETWORKDAYS(TODAY(),$AB740,Holidays)-1)&amp;" business day(s) left).")))))</f>
        <v/>
      </c>
      <c r="W740" s="17">
        <f>IF($Z740="","",CHOOSE($Z740,"Collection Email","1st Follow-up","2nd Follow-up","Local Office","CBE","Roxanne")&amp;IF($Z740=6," - Final"," - Day "&amp;MAX(0,NETWORKDAYS($AA740,TODAY(),Holidays)-1)&amp;" of "&amp;CHOOSE($Z740,3,3,2,2,3))&amp;" | Total Day "&amp;MAX(0,NETWORKDAYS($N740,TODAY(),Holidays)-1))</f>
        <v/>
      </c>
      <c r="X740" s="18"/>
      <c r="Y740" s="18"/>
      <c r="Z740" s="17">
        <f>IF($N740="","",COUNT($N740:$S740))</f>
        <v/>
      </c>
      <c r="AA740" s="19">
        <f>IF($Z740="","",INT(INDEX($N740:$S740,$Z740)))</f>
        <v/>
      </c>
      <c r="AB740" s="19">
        <f>IF(OR($Z740="",$Z740=6),"",WORKDAY($AA740,CHOOSE($Z740,3,3,2,2,3),Holidays))</f>
        <v/>
      </c>
      <c r="AC740" s="17">
        <f>IF(OR($Z740="",$Z740=6),"",CHOOSE($Z740,"1st Email Follow-up","2nd Email Follow-up","Escalate Local Office","Escalate to CBE","Escalate to Roxanne"))</f>
        <v/>
      </c>
    </row>
    <row r="741" spans="13:29">
      <c r="M741" s="14"/>
      <c r="T741" s="16"/>
      <c r="U741" s="17">
        <f>IF(AND(COUNTA($A741:$L741)=0,$N741=""),"",IF($T741="Paid","PAID",IF($T741="Closed","CLOSED",IF($Z741="","",IF($Z741=6,"ESCALATED TO ROXANNE",IF(TODAY()&gt;$AB741,"OVERDUE",IF($AB741&lt;=WORKDAY(TODAY(),1,Holidays),"DUE TOMORROW",IF($Z741=4,"ESCALATED TO LOCAL OFFICE",IF($Z741=5,"ESCALATED TO CBE",IF($AA741=TODAY(),"EMAIL SENT","MONITORING"))))))))))</f>
        <v/>
      </c>
      <c r="V741" s="17">
        <f>IF($U741="",IF(AND(COUNTA($A741:$L741)&gt;0,$N741=""),"Awaiting Collection Email time stamp.",""),IF(OR($U741="PAID",$U741="CLOSED"),IF($U741="PAID","Account paid. Action completed.","Account closed. No further action required."),CHOOSE($Z741,"Collection Email","1st Email Follow-up","2nd Email Follow-up","Escalation to Local Office","Escalation to CBE","Escalation to Roxanne")&amp;" sent "&amp;TEXT($AA741,"dd-mmm")&amp;". "&amp;IF($Z741=6,"Final escalation completed.",IF($U741="OVERDUE","Next: "&amp;$AC741&amp;" was due "&amp;TEXT($AB741,"dd-mmm")&amp;" - "&amp;(NETWORKDAYS($AB741,TODAY(),Holidays)-1)&amp;" business day(s) late. Send now.",IF($U741="DUE TOMORROW","Next: "&amp;$AC741&amp;IF($AB741&lt;=TODAY()," is due TODAY ("," is due next business day (")&amp;TEXT($AB741,"dd-mmm")&amp;").","Next: "&amp;$AC741&amp;" due "&amp;TEXT($AB741,"dd-mmm")&amp;" ("&amp;(NETWORKDAYS(TODAY(),$AB741,Holidays)-1)&amp;" business day(s) left).")))))</f>
        <v/>
      </c>
      <c r="W741" s="17">
        <f>IF($Z741="","",CHOOSE($Z741,"Collection Email","1st Follow-up","2nd Follow-up","Local Office","CBE","Roxanne")&amp;IF($Z741=6," - Final"," - Day "&amp;MAX(0,NETWORKDAYS($AA741,TODAY(),Holidays)-1)&amp;" of "&amp;CHOOSE($Z741,3,3,2,2,3))&amp;" | Total Day "&amp;MAX(0,NETWORKDAYS($N741,TODAY(),Holidays)-1))</f>
        <v/>
      </c>
      <c r="X741" s="18"/>
      <c r="Y741" s="18"/>
      <c r="Z741" s="17">
        <f>IF($N741="","",COUNT($N741:$S741))</f>
        <v/>
      </c>
      <c r="AA741" s="19">
        <f>IF($Z741="","",INT(INDEX($N741:$S741,$Z741)))</f>
        <v/>
      </c>
      <c r="AB741" s="19">
        <f>IF(OR($Z741="",$Z741=6),"",WORKDAY($AA741,CHOOSE($Z741,3,3,2,2,3),Holidays))</f>
        <v/>
      </c>
      <c r="AC741" s="17">
        <f>IF(OR($Z741="",$Z741=6),"",CHOOSE($Z741,"1st Email Follow-up","2nd Email Follow-up","Escalate Local Office","Escalate to CBE","Escalate to Roxanne"))</f>
        <v/>
      </c>
    </row>
    <row r="742" spans="13:29">
      <c r="M742" s="14"/>
      <c r="T742" s="16"/>
      <c r="U742" s="17">
        <f>IF(AND(COUNTA($A742:$L742)=0,$N742=""),"",IF($T742="Paid","PAID",IF($T742="Closed","CLOSED",IF($Z742="","",IF($Z742=6,"ESCALATED TO ROXANNE",IF(TODAY()&gt;$AB742,"OVERDUE",IF($AB742&lt;=WORKDAY(TODAY(),1,Holidays),"DUE TOMORROW",IF($Z742=4,"ESCALATED TO LOCAL OFFICE",IF($Z742=5,"ESCALATED TO CBE",IF($AA742=TODAY(),"EMAIL SENT","MONITORING"))))))))))</f>
        <v/>
      </c>
      <c r="V742" s="17">
        <f>IF($U742="",IF(AND(COUNTA($A742:$L742)&gt;0,$N742=""),"Awaiting Collection Email time stamp.",""),IF(OR($U742="PAID",$U742="CLOSED"),IF($U742="PAID","Account paid. Action completed.","Account closed. No further action required."),CHOOSE($Z742,"Collection Email","1st Email Follow-up","2nd Email Follow-up","Escalation to Local Office","Escalation to CBE","Escalation to Roxanne")&amp;" sent "&amp;TEXT($AA742,"dd-mmm")&amp;". "&amp;IF($Z742=6,"Final escalation completed.",IF($U742="OVERDUE","Next: "&amp;$AC742&amp;" was due "&amp;TEXT($AB742,"dd-mmm")&amp;" - "&amp;(NETWORKDAYS($AB742,TODAY(),Holidays)-1)&amp;" business day(s) late. Send now.",IF($U742="DUE TOMORROW","Next: "&amp;$AC742&amp;IF($AB742&lt;=TODAY()," is due TODAY ("," is due next business day (")&amp;TEXT($AB742,"dd-mmm")&amp;").","Next: "&amp;$AC742&amp;" due "&amp;TEXT($AB742,"dd-mmm")&amp;" ("&amp;(NETWORKDAYS(TODAY(),$AB742,Holidays)-1)&amp;" business day(s) left).")))))</f>
        <v/>
      </c>
      <c r="W742" s="17">
        <f>IF($Z742="","",CHOOSE($Z742,"Collection Email","1st Follow-up","2nd Follow-up","Local Office","CBE","Roxanne")&amp;IF($Z742=6," - Final"," - Day "&amp;MAX(0,NETWORKDAYS($AA742,TODAY(),Holidays)-1)&amp;" of "&amp;CHOOSE($Z742,3,3,2,2,3))&amp;" | Total Day "&amp;MAX(0,NETWORKDAYS($N742,TODAY(),Holidays)-1))</f>
        <v/>
      </c>
      <c r="X742" s="18"/>
      <c r="Y742" s="18"/>
      <c r="Z742" s="17">
        <f>IF($N742="","",COUNT($N742:$S742))</f>
        <v/>
      </c>
      <c r="AA742" s="19">
        <f>IF($Z742="","",INT(INDEX($N742:$S742,$Z742)))</f>
        <v/>
      </c>
      <c r="AB742" s="19">
        <f>IF(OR($Z742="",$Z742=6),"",WORKDAY($AA742,CHOOSE($Z742,3,3,2,2,3),Holidays))</f>
        <v/>
      </c>
      <c r="AC742" s="17">
        <f>IF(OR($Z742="",$Z742=6),"",CHOOSE($Z742,"1st Email Follow-up","2nd Email Follow-up","Escalate Local Office","Escalate to CBE","Escalate to Roxanne"))</f>
        <v/>
      </c>
    </row>
    <row r="743" spans="13:29">
      <c r="M743" s="14"/>
      <c r="T743" s="16"/>
      <c r="U743" s="17">
        <f>IF(AND(COUNTA($A743:$L743)=0,$N743=""),"",IF($T743="Paid","PAID",IF($T743="Closed","CLOSED",IF($Z743="","",IF($Z743=6,"ESCALATED TO ROXANNE",IF(TODAY()&gt;$AB743,"OVERDUE",IF($AB743&lt;=WORKDAY(TODAY(),1,Holidays),"DUE TOMORROW",IF($Z743=4,"ESCALATED TO LOCAL OFFICE",IF($Z743=5,"ESCALATED TO CBE",IF($AA743=TODAY(),"EMAIL SENT","MONITORING"))))))))))</f>
        <v/>
      </c>
      <c r="V743" s="17">
        <f>IF($U743="",IF(AND(COUNTA($A743:$L743)&gt;0,$N743=""),"Awaiting Collection Email time stamp.",""),IF(OR($U743="PAID",$U743="CLOSED"),IF($U743="PAID","Account paid. Action completed.","Account closed. No further action required."),CHOOSE($Z743,"Collection Email","1st Email Follow-up","2nd Email Follow-up","Escalation to Local Office","Escalation to CBE","Escalation to Roxanne")&amp;" sent "&amp;TEXT($AA743,"dd-mmm")&amp;". "&amp;IF($Z743=6,"Final escalation completed.",IF($U743="OVERDUE","Next: "&amp;$AC743&amp;" was due "&amp;TEXT($AB743,"dd-mmm")&amp;" - "&amp;(NETWORKDAYS($AB743,TODAY(),Holidays)-1)&amp;" business day(s) late. Send now.",IF($U743="DUE TOMORROW","Next: "&amp;$AC743&amp;IF($AB743&lt;=TODAY()," is due TODAY ("," is due next business day (")&amp;TEXT($AB743,"dd-mmm")&amp;").","Next: "&amp;$AC743&amp;" due "&amp;TEXT($AB743,"dd-mmm")&amp;" ("&amp;(NETWORKDAYS(TODAY(),$AB743,Holidays)-1)&amp;" business day(s) left).")))))</f>
        <v/>
      </c>
      <c r="W743" s="17">
        <f>IF($Z743="","",CHOOSE($Z743,"Collection Email","1st Follow-up","2nd Follow-up","Local Office","CBE","Roxanne")&amp;IF($Z743=6," - Final"," - Day "&amp;MAX(0,NETWORKDAYS($AA743,TODAY(),Holidays)-1)&amp;" of "&amp;CHOOSE($Z743,3,3,2,2,3))&amp;" | Total Day "&amp;MAX(0,NETWORKDAYS($N743,TODAY(),Holidays)-1))</f>
        <v/>
      </c>
      <c r="X743" s="18"/>
      <c r="Y743" s="18"/>
      <c r="Z743" s="17">
        <f>IF($N743="","",COUNT($N743:$S743))</f>
        <v/>
      </c>
      <c r="AA743" s="19">
        <f>IF($Z743="","",INT(INDEX($N743:$S743,$Z743)))</f>
        <v/>
      </c>
      <c r="AB743" s="19">
        <f>IF(OR($Z743="",$Z743=6),"",WORKDAY($AA743,CHOOSE($Z743,3,3,2,2,3),Holidays))</f>
        <v/>
      </c>
      <c r="AC743" s="17">
        <f>IF(OR($Z743="",$Z743=6),"",CHOOSE($Z743,"1st Email Follow-up","2nd Email Follow-up","Escalate Local Office","Escalate to CBE","Escalate to Roxanne"))</f>
        <v/>
      </c>
    </row>
    <row r="744" spans="13:29">
      <c r="M744" s="14"/>
      <c r="T744" s="16"/>
      <c r="U744" s="17">
        <f>IF(AND(COUNTA($A744:$L744)=0,$N744=""),"",IF($T744="Paid","PAID",IF($T744="Closed","CLOSED",IF($Z744="","",IF($Z744=6,"ESCALATED TO ROXANNE",IF(TODAY()&gt;$AB744,"OVERDUE",IF($AB744&lt;=WORKDAY(TODAY(),1,Holidays),"DUE TOMORROW",IF($Z744=4,"ESCALATED TO LOCAL OFFICE",IF($Z744=5,"ESCALATED TO CBE",IF($AA744=TODAY(),"EMAIL SENT","MONITORING"))))))))))</f>
        <v/>
      </c>
      <c r="V744" s="17">
        <f>IF($U744="",IF(AND(COUNTA($A744:$L744)&gt;0,$N744=""),"Awaiting Collection Email time stamp.",""),IF(OR($U744="PAID",$U744="CLOSED"),IF($U744="PAID","Account paid. Action completed.","Account closed. No further action required."),CHOOSE($Z744,"Collection Email","1st Email Follow-up","2nd Email Follow-up","Escalation to Local Office","Escalation to CBE","Escalation to Roxanne")&amp;" sent "&amp;TEXT($AA744,"dd-mmm")&amp;". "&amp;IF($Z744=6,"Final escalation completed.",IF($U744="OVERDUE","Next: "&amp;$AC744&amp;" was due "&amp;TEXT($AB744,"dd-mmm")&amp;" - "&amp;(NETWORKDAYS($AB744,TODAY(),Holidays)-1)&amp;" business day(s) late. Send now.",IF($U744="DUE TOMORROW","Next: "&amp;$AC744&amp;IF($AB744&lt;=TODAY()," is due TODAY ("," is due next business day (")&amp;TEXT($AB744,"dd-mmm")&amp;").","Next: "&amp;$AC744&amp;" due "&amp;TEXT($AB744,"dd-mmm")&amp;" ("&amp;(NETWORKDAYS(TODAY(),$AB744,Holidays)-1)&amp;" business day(s) left).")))))</f>
        <v/>
      </c>
      <c r="W744" s="17">
        <f>IF($Z744="","",CHOOSE($Z744,"Collection Email","1st Follow-up","2nd Follow-up","Local Office","CBE","Roxanne")&amp;IF($Z744=6," - Final"," - Day "&amp;MAX(0,NETWORKDAYS($AA744,TODAY(),Holidays)-1)&amp;" of "&amp;CHOOSE($Z744,3,3,2,2,3))&amp;" | Total Day "&amp;MAX(0,NETWORKDAYS($N744,TODAY(),Holidays)-1))</f>
        <v/>
      </c>
      <c r="X744" s="18"/>
      <c r="Y744" s="18"/>
      <c r="Z744" s="17">
        <f>IF($N744="","",COUNT($N744:$S744))</f>
        <v/>
      </c>
      <c r="AA744" s="19">
        <f>IF($Z744="","",INT(INDEX($N744:$S744,$Z744)))</f>
        <v/>
      </c>
      <c r="AB744" s="19">
        <f>IF(OR($Z744="",$Z744=6),"",WORKDAY($AA744,CHOOSE($Z744,3,3,2,2,3),Holidays))</f>
        <v/>
      </c>
      <c r="AC744" s="17">
        <f>IF(OR($Z744="",$Z744=6),"",CHOOSE($Z744,"1st Email Follow-up","2nd Email Follow-up","Escalate Local Office","Escalate to CBE","Escalate to Roxanne"))</f>
        <v/>
      </c>
    </row>
    <row r="745" spans="13:29">
      <c r="M745" s="14"/>
      <c r="T745" s="16"/>
      <c r="U745" s="17">
        <f>IF(AND(COUNTA($A745:$L745)=0,$N745=""),"",IF($T745="Paid","PAID",IF($T745="Closed","CLOSED",IF($Z745="","",IF($Z745=6,"ESCALATED TO ROXANNE",IF(TODAY()&gt;$AB745,"OVERDUE",IF($AB745&lt;=WORKDAY(TODAY(),1,Holidays),"DUE TOMORROW",IF($Z745=4,"ESCALATED TO LOCAL OFFICE",IF($Z745=5,"ESCALATED TO CBE",IF($AA745=TODAY(),"EMAIL SENT","MONITORING"))))))))))</f>
        <v/>
      </c>
      <c r="V745" s="17">
        <f>IF($U745="",IF(AND(COUNTA($A745:$L745)&gt;0,$N745=""),"Awaiting Collection Email time stamp.",""),IF(OR($U745="PAID",$U745="CLOSED"),IF($U745="PAID","Account paid. Action completed.","Account closed. No further action required."),CHOOSE($Z745,"Collection Email","1st Email Follow-up","2nd Email Follow-up","Escalation to Local Office","Escalation to CBE","Escalation to Roxanne")&amp;" sent "&amp;TEXT($AA745,"dd-mmm")&amp;". "&amp;IF($Z745=6,"Final escalation completed.",IF($U745="OVERDUE","Next: "&amp;$AC745&amp;" was due "&amp;TEXT($AB745,"dd-mmm")&amp;" - "&amp;(NETWORKDAYS($AB745,TODAY(),Holidays)-1)&amp;" business day(s) late. Send now.",IF($U745="DUE TOMORROW","Next: "&amp;$AC745&amp;IF($AB745&lt;=TODAY()," is due TODAY ("," is due next business day (")&amp;TEXT($AB745,"dd-mmm")&amp;").","Next: "&amp;$AC745&amp;" due "&amp;TEXT($AB745,"dd-mmm")&amp;" ("&amp;(NETWORKDAYS(TODAY(),$AB745,Holidays)-1)&amp;" business day(s) left).")))))</f>
        <v/>
      </c>
      <c r="W745" s="17">
        <f>IF($Z745="","",CHOOSE($Z745,"Collection Email","1st Follow-up","2nd Follow-up","Local Office","CBE","Roxanne")&amp;IF($Z745=6," - Final"," - Day "&amp;MAX(0,NETWORKDAYS($AA745,TODAY(),Holidays)-1)&amp;" of "&amp;CHOOSE($Z745,3,3,2,2,3))&amp;" | Total Day "&amp;MAX(0,NETWORKDAYS($N745,TODAY(),Holidays)-1))</f>
        <v/>
      </c>
      <c r="X745" s="18"/>
      <c r="Y745" s="18"/>
      <c r="Z745" s="17">
        <f>IF($N745="","",COUNT($N745:$S745))</f>
        <v/>
      </c>
      <c r="AA745" s="19">
        <f>IF($Z745="","",INT(INDEX($N745:$S745,$Z745)))</f>
        <v/>
      </c>
      <c r="AB745" s="19">
        <f>IF(OR($Z745="",$Z745=6),"",WORKDAY($AA745,CHOOSE($Z745,3,3,2,2,3),Holidays))</f>
        <v/>
      </c>
      <c r="AC745" s="17">
        <f>IF(OR($Z745="",$Z745=6),"",CHOOSE($Z745,"1st Email Follow-up","2nd Email Follow-up","Escalate Local Office","Escalate to CBE","Escalate to Roxanne"))</f>
        <v/>
      </c>
    </row>
    <row r="746" spans="13:29">
      <c r="M746" s="14"/>
      <c r="T746" s="16"/>
      <c r="U746" s="17">
        <f>IF(AND(COUNTA($A746:$L746)=0,$N746=""),"",IF($T746="Paid","PAID",IF($T746="Closed","CLOSED",IF($Z746="","",IF($Z746=6,"ESCALATED TO ROXANNE",IF(TODAY()&gt;$AB746,"OVERDUE",IF($AB746&lt;=WORKDAY(TODAY(),1,Holidays),"DUE TOMORROW",IF($Z746=4,"ESCALATED TO LOCAL OFFICE",IF($Z746=5,"ESCALATED TO CBE",IF($AA746=TODAY(),"EMAIL SENT","MONITORING"))))))))))</f>
        <v/>
      </c>
      <c r="V746" s="17">
        <f>IF($U746="",IF(AND(COUNTA($A746:$L746)&gt;0,$N746=""),"Awaiting Collection Email time stamp.",""),IF(OR($U746="PAID",$U746="CLOSED"),IF($U746="PAID","Account paid. Action completed.","Account closed. No further action required."),CHOOSE($Z746,"Collection Email","1st Email Follow-up","2nd Email Follow-up","Escalation to Local Office","Escalation to CBE","Escalation to Roxanne")&amp;" sent "&amp;TEXT($AA746,"dd-mmm")&amp;". "&amp;IF($Z746=6,"Final escalation completed.",IF($U746="OVERDUE","Next: "&amp;$AC746&amp;" was due "&amp;TEXT($AB746,"dd-mmm")&amp;" - "&amp;(NETWORKDAYS($AB746,TODAY(),Holidays)-1)&amp;" business day(s) late. Send now.",IF($U746="DUE TOMORROW","Next: "&amp;$AC746&amp;IF($AB746&lt;=TODAY()," is due TODAY ("," is due next business day (")&amp;TEXT($AB746,"dd-mmm")&amp;").","Next: "&amp;$AC746&amp;" due "&amp;TEXT($AB746,"dd-mmm")&amp;" ("&amp;(NETWORKDAYS(TODAY(),$AB746,Holidays)-1)&amp;" business day(s) left).")))))</f>
        <v/>
      </c>
      <c r="W746" s="17">
        <f>IF($Z746="","",CHOOSE($Z746,"Collection Email","1st Follow-up","2nd Follow-up","Local Office","CBE","Roxanne")&amp;IF($Z746=6," - Final"," - Day "&amp;MAX(0,NETWORKDAYS($AA746,TODAY(),Holidays)-1)&amp;" of "&amp;CHOOSE($Z746,3,3,2,2,3))&amp;" | Total Day "&amp;MAX(0,NETWORKDAYS($N746,TODAY(),Holidays)-1))</f>
        <v/>
      </c>
      <c r="X746" s="18"/>
      <c r="Y746" s="18"/>
      <c r="Z746" s="17">
        <f>IF($N746="","",COUNT($N746:$S746))</f>
        <v/>
      </c>
      <c r="AA746" s="19">
        <f>IF($Z746="","",INT(INDEX($N746:$S746,$Z746)))</f>
        <v/>
      </c>
      <c r="AB746" s="19">
        <f>IF(OR($Z746="",$Z746=6),"",WORKDAY($AA746,CHOOSE($Z746,3,3,2,2,3),Holidays))</f>
        <v/>
      </c>
      <c r="AC746" s="17">
        <f>IF(OR($Z746="",$Z746=6),"",CHOOSE($Z746,"1st Email Follow-up","2nd Email Follow-up","Escalate Local Office","Escalate to CBE","Escalate to Roxanne"))</f>
        <v/>
      </c>
    </row>
    <row r="747" spans="13:29">
      <c r="M747" s="14"/>
      <c r="T747" s="16"/>
      <c r="U747" s="17">
        <f>IF(AND(COUNTA($A747:$L747)=0,$N747=""),"",IF($T747="Paid","PAID",IF($T747="Closed","CLOSED",IF($Z747="","",IF($Z747=6,"ESCALATED TO ROXANNE",IF(TODAY()&gt;$AB747,"OVERDUE",IF($AB747&lt;=WORKDAY(TODAY(),1,Holidays),"DUE TOMORROW",IF($Z747=4,"ESCALATED TO LOCAL OFFICE",IF($Z747=5,"ESCALATED TO CBE",IF($AA747=TODAY(),"EMAIL SENT","MONITORING"))))))))))</f>
        <v/>
      </c>
      <c r="V747" s="17">
        <f>IF($U747="",IF(AND(COUNTA($A747:$L747)&gt;0,$N747=""),"Awaiting Collection Email time stamp.",""),IF(OR($U747="PAID",$U747="CLOSED"),IF($U747="PAID","Account paid. Action completed.","Account closed. No further action required."),CHOOSE($Z747,"Collection Email","1st Email Follow-up","2nd Email Follow-up","Escalation to Local Office","Escalation to CBE","Escalation to Roxanne")&amp;" sent "&amp;TEXT($AA747,"dd-mmm")&amp;". "&amp;IF($Z747=6,"Final escalation completed.",IF($U747="OVERDUE","Next: "&amp;$AC747&amp;" was due "&amp;TEXT($AB747,"dd-mmm")&amp;" - "&amp;(NETWORKDAYS($AB747,TODAY(),Holidays)-1)&amp;" business day(s) late. Send now.",IF($U747="DUE TOMORROW","Next: "&amp;$AC747&amp;IF($AB747&lt;=TODAY()," is due TODAY ("," is due next business day (")&amp;TEXT($AB747,"dd-mmm")&amp;").","Next: "&amp;$AC747&amp;" due "&amp;TEXT($AB747,"dd-mmm")&amp;" ("&amp;(NETWORKDAYS(TODAY(),$AB747,Holidays)-1)&amp;" business day(s) left).")))))</f>
        <v/>
      </c>
      <c r="W747" s="17">
        <f>IF($Z747="","",CHOOSE($Z747,"Collection Email","1st Follow-up","2nd Follow-up","Local Office","CBE","Roxanne")&amp;IF($Z747=6," - Final"," - Day "&amp;MAX(0,NETWORKDAYS($AA747,TODAY(),Holidays)-1)&amp;" of "&amp;CHOOSE($Z747,3,3,2,2,3))&amp;" | Total Day "&amp;MAX(0,NETWORKDAYS($N747,TODAY(),Holidays)-1))</f>
        <v/>
      </c>
      <c r="X747" s="18"/>
      <c r="Y747" s="18"/>
      <c r="Z747" s="17">
        <f>IF($N747="","",COUNT($N747:$S747))</f>
        <v/>
      </c>
      <c r="AA747" s="19">
        <f>IF($Z747="","",INT(INDEX($N747:$S747,$Z747)))</f>
        <v/>
      </c>
      <c r="AB747" s="19">
        <f>IF(OR($Z747="",$Z747=6),"",WORKDAY($AA747,CHOOSE($Z747,3,3,2,2,3),Holidays))</f>
        <v/>
      </c>
      <c r="AC747" s="17">
        <f>IF(OR($Z747="",$Z747=6),"",CHOOSE($Z747,"1st Email Follow-up","2nd Email Follow-up","Escalate Local Office","Escalate to CBE","Escalate to Roxanne"))</f>
        <v/>
      </c>
    </row>
    <row r="748" spans="13:29">
      <c r="M748" s="14"/>
      <c r="T748" s="16"/>
      <c r="U748" s="17">
        <f>IF(AND(COUNTA($A748:$L748)=0,$N748=""),"",IF($T748="Paid","PAID",IF($T748="Closed","CLOSED",IF($Z748="","",IF($Z748=6,"ESCALATED TO ROXANNE",IF(TODAY()&gt;$AB748,"OVERDUE",IF($AB748&lt;=WORKDAY(TODAY(),1,Holidays),"DUE TOMORROW",IF($Z748=4,"ESCALATED TO LOCAL OFFICE",IF($Z748=5,"ESCALATED TO CBE",IF($AA748=TODAY(),"EMAIL SENT","MONITORING"))))))))))</f>
        <v/>
      </c>
      <c r="V748" s="17">
        <f>IF($U748="",IF(AND(COUNTA($A748:$L748)&gt;0,$N748=""),"Awaiting Collection Email time stamp.",""),IF(OR($U748="PAID",$U748="CLOSED"),IF($U748="PAID","Account paid. Action completed.","Account closed. No further action required."),CHOOSE($Z748,"Collection Email","1st Email Follow-up","2nd Email Follow-up","Escalation to Local Office","Escalation to CBE","Escalation to Roxanne")&amp;" sent "&amp;TEXT($AA748,"dd-mmm")&amp;". "&amp;IF($Z748=6,"Final escalation completed.",IF($U748="OVERDUE","Next: "&amp;$AC748&amp;" was due "&amp;TEXT($AB748,"dd-mmm")&amp;" - "&amp;(NETWORKDAYS($AB748,TODAY(),Holidays)-1)&amp;" business day(s) late. Send now.",IF($U748="DUE TOMORROW","Next: "&amp;$AC748&amp;IF($AB748&lt;=TODAY()," is due TODAY ("," is due next business day (")&amp;TEXT($AB748,"dd-mmm")&amp;").","Next: "&amp;$AC748&amp;" due "&amp;TEXT($AB748,"dd-mmm")&amp;" ("&amp;(NETWORKDAYS(TODAY(),$AB748,Holidays)-1)&amp;" business day(s) left).")))))</f>
        <v/>
      </c>
      <c r="W748" s="17">
        <f>IF($Z748="","",CHOOSE($Z748,"Collection Email","1st Follow-up","2nd Follow-up","Local Office","CBE","Roxanne")&amp;IF($Z748=6," - Final"," - Day "&amp;MAX(0,NETWORKDAYS($AA748,TODAY(),Holidays)-1)&amp;" of "&amp;CHOOSE($Z748,3,3,2,2,3))&amp;" | Total Day "&amp;MAX(0,NETWORKDAYS($N748,TODAY(),Holidays)-1))</f>
        <v/>
      </c>
      <c r="X748" s="18"/>
      <c r="Y748" s="18"/>
      <c r="Z748" s="17">
        <f>IF($N748="","",COUNT($N748:$S748))</f>
        <v/>
      </c>
      <c r="AA748" s="19">
        <f>IF($Z748="","",INT(INDEX($N748:$S748,$Z748)))</f>
        <v/>
      </c>
      <c r="AB748" s="19">
        <f>IF(OR($Z748="",$Z748=6),"",WORKDAY($AA748,CHOOSE($Z748,3,3,2,2,3),Holidays))</f>
        <v/>
      </c>
      <c r="AC748" s="17">
        <f>IF(OR($Z748="",$Z748=6),"",CHOOSE($Z748,"1st Email Follow-up","2nd Email Follow-up","Escalate Local Office","Escalate to CBE","Escalate to Roxanne"))</f>
        <v/>
      </c>
    </row>
    <row r="749" spans="13:29">
      <c r="M749" s="14"/>
      <c r="T749" s="16"/>
      <c r="U749" s="17">
        <f>IF(AND(COUNTA($A749:$L749)=0,$N749=""),"",IF($T749="Paid","PAID",IF($T749="Closed","CLOSED",IF($Z749="","",IF($Z749=6,"ESCALATED TO ROXANNE",IF(TODAY()&gt;$AB749,"OVERDUE",IF($AB749&lt;=WORKDAY(TODAY(),1,Holidays),"DUE TOMORROW",IF($Z749=4,"ESCALATED TO LOCAL OFFICE",IF($Z749=5,"ESCALATED TO CBE",IF($AA749=TODAY(),"EMAIL SENT","MONITORING"))))))))))</f>
        <v/>
      </c>
      <c r="V749" s="17">
        <f>IF($U749="",IF(AND(COUNTA($A749:$L749)&gt;0,$N749=""),"Awaiting Collection Email time stamp.",""),IF(OR($U749="PAID",$U749="CLOSED"),IF($U749="PAID","Account paid. Action completed.","Account closed. No further action required."),CHOOSE($Z749,"Collection Email","1st Email Follow-up","2nd Email Follow-up","Escalation to Local Office","Escalation to CBE","Escalation to Roxanne")&amp;" sent "&amp;TEXT($AA749,"dd-mmm")&amp;". "&amp;IF($Z749=6,"Final escalation completed.",IF($U749="OVERDUE","Next: "&amp;$AC749&amp;" was due "&amp;TEXT($AB749,"dd-mmm")&amp;" - "&amp;(NETWORKDAYS($AB749,TODAY(),Holidays)-1)&amp;" business day(s) late. Send now.",IF($U749="DUE TOMORROW","Next: "&amp;$AC749&amp;IF($AB749&lt;=TODAY()," is due TODAY ("," is due next business day (")&amp;TEXT($AB749,"dd-mmm")&amp;").","Next: "&amp;$AC749&amp;" due "&amp;TEXT($AB749,"dd-mmm")&amp;" ("&amp;(NETWORKDAYS(TODAY(),$AB749,Holidays)-1)&amp;" business day(s) left).")))))</f>
        <v/>
      </c>
      <c r="W749" s="17">
        <f>IF($Z749="","",CHOOSE($Z749,"Collection Email","1st Follow-up","2nd Follow-up","Local Office","CBE","Roxanne")&amp;IF($Z749=6," - Final"," - Day "&amp;MAX(0,NETWORKDAYS($AA749,TODAY(),Holidays)-1)&amp;" of "&amp;CHOOSE($Z749,3,3,2,2,3))&amp;" | Total Day "&amp;MAX(0,NETWORKDAYS($N749,TODAY(),Holidays)-1))</f>
        <v/>
      </c>
      <c r="X749" s="18"/>
      <c r="Y749" s="18"/>
      <c r="Z749" s="17">
        <f>IF($N749="","",COUNT($N749:$S749))</f>
        <v/>
      </c>
      <c r="AA749" s="19">
        <f>IF($Z749="","",INT(INDEX($N749:$S749,$Z749)))</f>
        <v/>
      </c>
      <c r="AB749" s="19">
        <f>IF(OR($Z749="",$Z749=6),"",WORKDAY($AA749,CHOOSE($Z749,3,3,2,2,3),Holidays))</f>
        <v/>
      </c>
      <c r="AC749" s="17">
        <f>IF(OR($Z749="",$Z749=6),"",CHOOSE($Z749,"1st Email Follow-up","2nd Email Follow-up","Escalate Local Office","Escalate to CBE","Escalate to Roxanne"))</f>
        <v/>
      </c>
    </row>
    <row r="750" spans="13:29">
      <c r="M750" s="14"/>
      <c r="T750" s="16"/>
      <c r="U750" s="17">
        <f>IF(AND(COUNTA($A750:$L750)=0,$N750=""),"",IF($T750="Paid","PAID",IF($T750="Closed","CLOSED",IF($Z750="","",IF($Z750=6,"ESCALATED TO ROXANNE",IF(TODAY()&gt;$AB750,"OVERDUE",IF($AB750&lt;=WORKDAY(TODAY(),1,Holidays),"DUE TOMORROW",IF($Z750=4,"ESCALATED TO LOCAL OFFICE",IF($Z750=5,"ESCALATED TO CBE",IF($AA750=TODAY(),"EMAIL SENT","MONITORING"))))))))))</f>
        <v/>
      </c>
      <c r="V750" s="17">
        <f>IF($U750="",IF(AND(COUNTA($A750:$L750)&gt;0,$N750=""),"Awaiting Collection Email time stamp.",""),IF(OR($U750="PAID",$U750="CLOSED"),IF($U750="PAID","Account paid. Action completed.","Account closed. No further action required."),CHOOSE($Z750,"Collection Email","1st Email Follow-up","2nd Email Follow-up","Escalation to Local Office","Escalation to CBE","Escalation to Roxanne")&amp;" sent "&amp;TEXT($AA750,"dd-mmm")&amp;". "&amp;IF($Z750=6,"Final escalation completed.",IF($U750="OVERDUE","Next: "&amp;$AC750&amp;" was due "&amp;TEXT($AB750,"dd-mmm")&amp;" - "&amp;(NETWORKDAYS($AB750,TODAY(),Holidays)-1)&amp;" business day(s) late. Send now.",IF($U750="DUE TOMORROW","Next: "&amp;$AC750&amp;IF($AB750&lt;=TODAY()," is due TODAY ("," is due next business day (")&amp;TEXT($AB750,"dd-mmm")&amp;").","Next: "&amp;$AC750&amp;" due "&amp;TEXT($AB750,"dd-mmm")&amp;" ("&amp;(NETWORKDAYS(TODAY(),$AB750,Holidays)-1)&amp;" business day(s) left).")))))</f>
        <v/>
      </c>
      <c r="W750" s="17">
        <f>IF($Z750="","",CHOOSE($Z750,"Collection Email","1st Follow-up","2nd Follow-up","Local Office","CBE","Roxanne")&amp;IF($Z750=6," - Final"," - Day "&amp;MAX(0,NETWORKDAYS($AA750,TODAY(),Holidays)-1)&amp;" of "&amp;CHOOSE($Z750,3,3,2,2,3))&amp;" | Total Day "&amp;MAX(0,NETWORKDAYS($N750,TODAY(),Holidays)-1))</f>
        <v/>
      </c>
      <c r="X750" s="18"/>
      <c r="Y750" s="18"/>
      <c r="Z750" s="17">
        <f>IF($N750="","",COUNT($N750:$S750))</f>
        <v/>
      </c>
      <c r="AA750" s="19">
        <f>IF($Z750="","",INT(INDEX($N750:$S750,$Z750)))</f>
        <v/>
      </c>
      <c r="AB750" s="19">
        <f>IF(OR($Z750="",$Z750=6),"",WORKDAY($AA750,CHOOSE($Z750,3,3,2,2,3),Holidays))</f>
        <v/>
      </c>
      <c r="AC750" s="17">
        <f>IF(OR($Z750="",$Z750=6),"",CHOOSE($Z750,"1st Email Follow-up","2nd Email Follow-up","Escalate Local Office","Escalate to CBE","Escalate to Roxanne"))</f>
        <v/>
      </c>
    </row>
    <row r="751" spans="13:29">
      <c r="M751" s="14"/>
      <c r="T751" s="16"/>
      <c r="U751" s="17">
        <f>IF(AND(COUNTA($A751:$L751)=0,$N751=""),"",IF($T751="Paid","PAID",IF($T751="Closed","CLOSED",IF($Z751="","",IF($Z751=6,"ESCALATED TO ROXANNE",IF(TODAY()&gt;$AB751,"OVERDUE",IF($AB751&lt;=WORKDAY(TODAY(),1,Holidays),"DUE TOMORROW",IF($Z751=4,"ESCALATED TO LOCAL OFFICE",IF($Z751=5,"ESCALATED TO CBE",IF($AA751=TODAY(),"EMAIL SENT","MONITORING"))))))))))</f>
        <v/>
      </c>
      <c r="V751" s="17">
        <f>IF($U751="",IF(AND(COUNTA($A751:$L751)&gt;0,$N751=""),"Awaiting Collection Email time stamp.",""),IF(OR($U751="PAID",$U751="CLOSED"),IF($U751="PAID","Account paid. Action completed.","Account closed. No further action required."),CHOOSE($Z751,"Collection Email","1st Email Follow-up","2nd Email Follow-up","Escalation to Local Office","Escalation to CBE","Escalation to Roxanne")&amp;" sent "&amp;TEXT($AA751,"dd-mmm")&amp;". "&amp;IF($Z751=6,"Final escalation completed.",IF($U751="OVERDUE","Next: "&amp;$AC751&amp;" was due "&amp;TEXT($AB751,"dd-mmm")&amp;" - "&amp;(NETWORKDAYS($AB751,TODAY(),Holidays)-1)&amp;" business day(s) late. Send now.",IF($U751="DUE TOMORROW","Next: "&amp;$AC751&amp;IF($AB751&lt;=TODAY()," is due TODAY ("," is due next business day (")&amp;TEXT($AB751,"dd-mmm")&amp;").","Next: "&amp;$AC751&amp;" due "&amp;TEXT($AB751,"dd-mmm")&amp;" ("&amp;(NETWORKDAYS(TODAY(),$AB751,Holidays)-1)&amp;" business day(s) left).")))))</f>
        <v/>
      </c>
      <c r="W751" s="17">
        <f>IF($Z751="","",CHOOSE($Z751,"Collection Email","1st Follow-up","2nd Follow-up","Local Office","CBE","Roxanne")&amp;IF($Z751=6," - Final"," - Day "&amp;MAX(0,NETWORKDAYS($AA751,TODAY(),Holidays)-1)&amp;" of "&amp;CHOOSE($Z751,3,3,2,2,3))&amp;" | Total Day "&amp;MAX(0,NETWORKDAYS($N751,TODAY(),Holidays)-1))</f>
        <v/>
      </c>
      <c r="X751" s="18"/>
      <c r="Y751" s="18"/>
      <c r="Z751" s="17">
        <f>IF($N751="","",COUNT($N751:$S751))</f>
        <v/>
      </c>
      <c r="AA751" s="19">
        <f>IF($Z751="","",INT(INDEX($N751:$S751,$Z751)))</f>
        <v/>
      </c>
      <c r="AB751" s="19">
        <f>IF(OR($Z751="",$Z751=6),"",WORKDAY($AA751,CHOOSE($Z751,3,3,2,2,3),Holidays))</f>
        <v/>
      </c>
      <c r="AC751" s="17">
        <f>IF(OR($Z751="",$Z751=6),"",CHOOSE($Z751,"1st Email Follow-up","2nd Email Follow-up","Escalate Local Office","Escalate to CBE","Escalate to Roxanne"))</f>
        <v/>
      </c>
    </row>
    <row r="752" spans="13:29">
      <c r="M752" s="14"/>
      <c r="T752" s="16"/>
      <c r="U752" s="17">
        <f>IF(AND(COUNTA($A752:$L752)=0,$N752=""),"",IF($T752="Paid","PAID",IF($T752="Closed","CLOSED",IF($Z752="","",IF($Z752=6,"ESCALATED TO ROXANNE",IF(TODAY()&gt;$AB752,"OVERDUE",IF($AB752&lt;=WORKDAY(TODAY(),1,Holidays),"DUE TOMORROW",IF($Z752=4,"ESCALATED TO LOCAL OFFICE",IF($Z752=5,"ESCALATED TO CBE",IF($AA752=TODAY(),"EMAIL SENT","MONITORING"))))))))))</f>
        <v/>
      </c>
      <c r="V752" s="17">
        <f>IF($U752="",IF(AND(COUNTA($A752:$L752)&gt;0,$N752=""),"Awaiting Collection Email time stamp.",""),IF(OR($U752="PAID",$U752="CLOSED"),IF($U752="PAID","Account paid. Action completed.","Account closed. No further action required."),CHOOSE($Z752,"Collection Email","1st Email Follow-up","2nd Email Follow-up","Escalation to Local Office","Escalation to CBE","Escalation to Roxanne")&amp;" sent "&amp;TEXT($AA752,"dd-mmm")&amp;". "&amp;IF($Z752=6,"Final escalation completed.",IF($U752="OVERDUE","Next: "&amp;$AC752&amp;" was due "&amp;TEXT($AB752,"dd-mmm")&amp;" - "&amp;(NETWORKDAYS($AB752,TODAY(),Holidays)-1)&amp;" business day(s) late. Send now.",IF($U752="DUE TOMORROW","Next: "&amp;$AC752&amp;IF($AB752&lt;=TODAY()," is due TODAY ("," is due next business day (")&amp;TEXT($AB752,"dd-mmm")&amp;").","Next: "&amp;$AC752&amp;" due "&amp;TEXT($AB752,"dd-mmm")&amp;" ("&amp;(NETWORKDAYS(TODAY(),$AB752,Holidays)-1)&amp;" business day(s) left).")))))</f>
        <v/>
      </c>
      <c r="W752" s="17">
        <f>IF($Z752="","",CHOOSE($Z752,"Collection Email","1st Follow-up","2nd Follow-up","Local Office","CBE","Roxanne")&amp;IF($Z752=6," - Final"," - Day "&amp;MAX(0,NETWORKDAYS($AA752,TODAY(),Holidays)-1)&amp;" of "&amp;CHOOSE($Z752,3,3,2,2,3))&amp;" | Total Day "&amp;MAX(0,NETWORKDAYS($N752,TODAY(),Holidays)-1))</f>
        <v/>
      </c>
      <c r="X752" s="18"/>
      <c r="Y752" s="18"/>
      <c r="Z752" s="17">
        <f>IF($N752="","",COUNT($N752:$S752))</f>
        <v/>
      </c>
      <c r="AA752" s="19">
        <f>IF($Z752="","",INT(INDEX($N752:$S752,$Z752)))</f>
        <v/>
      </c>
      <c r="AB752" s="19">
        <f>IF(OR($Z752="",$Z752=6),"",WORKDAY($AA752,CHOOSE($Z752,3,3,2,2,3),Holidays))</f>
        <v/>
      </c>
      <c r="AC752" s="17">
        <f>IF(OR($Z752="",$Z752=6),"",CHOOSE($Z752,"1st Email Follow-up","2nd Email Follow-up","Escalate Local Office","Escalate to CBE","Escalate to Roxanne"))</f>
        <v/>
      </c>
    </row>
    <row r="753" spans="13:29">
      <c r="M753" s="14"/>
      <c r="T753" s="16"/>
      <c r="U753" s="17">
        <f>IF(AND(COUNTA($A753:$L753)=0,$N753=""),"",IF($T753="Paid","PAID",IF($T753="Closed","CLOSED",IF($Z753="","",IF($Z753=6,"ESCALATED TO ROXANNE",IF(TODAY()&gt;$AB753,"OVERDUE",IF($AB753&lt;=WORKDAY(TODAY(),1,Holidays),"DUE TOMORROW",IF($Z753=4,"ESCALATED TO LOCAL OFFICE",IF($Z753=5,"ESCALATED TO CBE",IF($AA753=TODAY(),"EMAIL SENT","MONITORING"))))))))))</f>
        <v/>
      </c>
      <c r="V753" s="17">
        <f>IF($U753="",IF(AND(COUNTA($A753:$L753)&gt;0,$N753=""),"Awaiting Collection Email time stamp.",""),IF(OR($U753="PAID",$U753="CLOSED"),IF($U753="PAID","Account paid. Action completed.","Account closed. No further action required."),CHOOSE($Z753,"Collection Email","1st Email Follow-up","2nd Email Follow-up","Escalation to Local Office","Escalation to CBE","Escalation to Roxanne")&amp;" sent "&amp;TEXT($AA753,"dd-mmm")&amp;". "&amp;IF($Z753=6,"Final escalation completed.",IF($U753="OVERDUE","Next: "&amp;$AC753&amp;" was due "&amp;TEXT($AB753,"dd-mmm")&amp;" - "&amp;(NETWORKDAYS($AB753,TODAY(),Holidays)-1)&amp;" business day(s) late. Send now.",IF($U753="DUE TOMORROW","Next: "&amp;$AC753&amp;IF($AB753&lt;=TODAY()," is due TODAY ("," is due next business day (")&amp;TEXT($AB753,"dd-mmm")&amp;").","Next: "&amp;$AC753&amp;" due "&amp;TEXT($AB753,"dd-mmm")&amp;" ("&amp;(NETWORKDAYS(TODAY(),$AB753,Holidays)-1)&amp;" business day(s) left).")))))</f>
        <v/>
      </c>
      <c r="W753" s="17">
        <f>IF($Z753="","",CHOOSE($Z753,"Collection Email","1st Follow-up","2nd Follow-up","Local Office","CBE","Roxanne")&amp;IF($Z753=6," - Final"," - Day "&amp;MAX(0,NETWORKDAYS($AA753,TODAY(),Holidays)-1)&amp;" of "&amp;CHOOSE($Z753,3,3,2,2,3))&amp;" | Total Day "&amp;MAX(0,NETWORKDAYS($N753,TODAY(),Holidays)-1))</f>
        <v/>
      </c>
      <c r="X753" s="18"/>
      <c r="Y753" s="18"/>
      <c r="Z753" s="17">
        <f>IF($N753="","",COUNT($N753:$S753))</f>
        <v/>
      </c>
      <c r="AA753" s="19">
        <f>IF($Z753="","",INT(INDEX($N753:$S753,$Z753)))</f>
        <v/>
      </c>
      <c r="AB753" s="19">
        <f>IF(OR($Z753="",$Z753=6),"",WORKDAY($AA753,CHOOSE($Z753,3,3,2,2,3),Holidays))</f>
        <v/>
      </c>
      <c r="AC753" s="17">
        <f>IF(OR($Z753="",$Z753=6),"",CHOOSE($Z753,"1st Email Follow-up","2nd Email Follow-up","Escalate Local Office","Escalate to CBE","Escalate to Roxanne"))</f>
        <v/>
      </c>
    </row>
    <row r="754" spans="13:29">
      <c r="M754" s="14"/>
      <c r="T754" s="16"/>
      <c r="U754" s="17">
        <f>IF(AND(COUNTA($A754:$L754)=0,$N754=""),"",IF($T754="Paid","PAID",IF($T754="Closed","CLOSED",IF($Z754="","",IF($Z754=6,"ESCALATED TO ROXANNE",IF(TODAY()&gt;$AB754,"OVERDUE",IF($AB754&lt;=WORKDAY(TODAY(),1,Holidays),"DUE TOMORROW",IF($Z754=4,"ESCALATED TO LOCAL OFFICE",IF($Z754=5,"ESCALATED TO CBE",IF($AA754=TODAY(),"EMAIL SENT","MONITORING"))))))))))</f>
        <v/>
      </c>
      <c r="V754" s="17">
        <f>IF($U754="",IF(AND(COUNTA($A754:$L754)&gt;0,$N754=""),"Awaiting Collection Email time stamp.",""),IF(OR($U754="PAID",$U754="CLOSED"),IF($U754="PAID","Account paid. Action completed.","Account closed. No further action required."),CHOOSE($Z754,"Collection Email","1st Email Follow-up","2nd Email Follow-up","Escalation to Local Office","Escalation to CBE","Escalation to Roxanne")&amp;" sent "&amp;TEXT($AA754,"dd-mmm")&amp;". "&amp;IF($Z754=6,"Final escalation completed.",IF($U754="OVERDUE","Next: "&amp;$AC754&amp;" was due "&amp;TEXT($AB754,"dd-mmm")&amp;" - "&amp;(NETWORKDAYS($AB754,TODAY(),Holidays)-1)&amp;" business day(s) late. Send now.",IF($U754="DUE TOMORROW","Next: "&amp;$AC754&amp;IF($AB754&lt;=TODAY()," is due TODAY ("," is due next business day (")&amp;TEXT($AB754,"dd-mmm")&amp;").","Next: "&amp;$AC754&amp;" due "&amp;TEXT($AB754,"dd-mmm")&amp;" ("&amp;(NETWORKDAYS(TODAY(),$AB754,Holidays)-1)&amp;" business day(s) left).")))))</f>
        <v/>
      </c>
      <c r="W754" s="17">
        <f>IF($Z754="","",CHOOSE($Z754,"Collection Email","1st Follow-up","2nd Follow-up","Local Office","CBE","Roxanne")&amp;IF($Z754=6," - Final"," - Day "&amp;MAX(0,NETWORKDAYS($AA754,TODAY(),Holidays)-1)&amp;" of "&amp;CHOOSE($Z754,3,3,2,2,3))&amp;" | Total Day "&amp;MAX(0,NETWORKDAYS($N754,TODAY(),Holidays)-1))</f>
        <v/>
      </c>
      <c r="X754" s="18"/>
      <c r="Y754" s="18"/>
      <c r="Z754" s="17">
        <f>IF($N754="","",COUNT($N754:$S754))</f>
        <v/>
      </c>
      <c r="AA754" s="19">
        <f>IF($Z754="","",INT(INDEX($N754:$S754,$Z754)))</f>
        <v/>
      </c>
      <c r="AB754" s="19">
        <f>IF(OR($Z754="",$Z754=6),"",WORKDAY($AA754,CHOOSE($Z754,3,3,2,2,3),Holidays))</f>
        <v/>
      </c>
      <c r="AC754" s="17">
        <f>IF(OR($Z754="",$Z754=6),"",CHOOSE($Z754,"1st Email Follow-up","2nd Email Follow-up","Escalate Local Office","Escalate to CBE","Escalate to Roxanne"))</f>
        <v/>
      </c>
    </row>
    <row r="755" spans="13:29">
      <c r="M755" s="14"/>
      <c r="T755" s="16"/>
      <c r="U755" s="17">
        <f>IF(AND(COUNTA($A755:$L755)=0,$N755=""),"",IF($T755="Paid","PAID",IF($T755="Closed","CLOSED",IF($Z755="","",IF($Z755=6,"ESCALATED TO ROXANNE",IF(TODAY()&gt;$AB755,"OVERDUE",IF($AB755&lt;=WORKDAY(TODAY(),1,Holidays),"DUE TOMORROW",IF($Z755=4,"ESCALATED TO LOCAL OFFICE",IF($Z755=5,"ESCALATED TO CBE",IF($AA755=TODAY(),"EMAIL SENT","MONITORING"))))))))))</f>
        <v/>
      </c>
      <c r="V755" s="17">
        <f>IF($U755="",IF(AND(COUNTA($A755:$L755)&gt;0,$N755=""),"Awaiting Collection Email time stamp.",""),IF(OR($U755="PAID",$U755="CLOSED"),IF($U755="PAID","Account paid. Action completed.","Account closed. No further action required."),CHOOSE($Z755,"Collection Email","1st Email Follow-up","2nd Email Follow-up","Escalation to Local Office","Escalation to CBE","Escalation to Roxanne")&amp;" sent "&amp;TEXT($AA755,"dd-mmm")&amp;". "&amp;IF($Z755=6,"Final escalation completed.",IF($U755="OVERDUE","Next: "&amp;$AC755&amp;" was due "&amp;TEXT($AB755,"dd-mmm")&amp;" - "&amp;(NETWORKDAYS($AB755,TODAY(),Holidays)-1)&amp;" business day(s) late. Send now.",IF($U755="DUE TOMORROW","Next: "&amp;$AC755&amp;IF($AB755&lt;=TODAY()," is due TODAY ("," is due next business day (")&amp;TEXT($AB755,"dd-mmm")&amp;").","Next: "&amp;$AC755&amp;" due "&amp;TEXT($AB755,"dd-mmm")&amp;" ("&amp;(NETWORKDAYS(TODAY(),$AB755,Holidays)-1)&amp;" business day(s) left).")))))</f>
        <v/>
      </c>
      <c r="W755" s="17">
        <f>IF($Z755="","",CHOOSE($Z755,"Collection Email","1st Follow-up","2nd Follow-up","Local Office","CBE","Roxanne")&amp;IF($Z755=6," - Final"," - Day "&amp;MAX(0,NETWORKDAYS($AA755,TODAY(),Holidays)-1)&amp;" of "&amp;CHOOSE($Z755,3,3,2,2,3))&amp;" | Total Day "&amp;MAX(0,NETWORKDAYS($N755,TODAY(),Holidays)-1))</f>
        <v/>
      </c>
      <c r="X755" s="18"/>
      <c r="Y755" s="18"/>
      <c r="Z755" s="17">
        <f>IF($N755="","",COUNT($N755:$S755))</f>
        <v/>
      </c>
      <c r="AA755" s="19">
        <f>IF($Z755="","",INT(INDEX($N755:$S755,$Z755)))</f>
        <v/>
      </c>
      <c r="AB755" s="19">
        <f>IF(OR($Z755="",$Z755=6),"",WORKDAY($AA755,CHOOSE($Z755,3,3,2,2,3),Holidays))</f>
        <v/>
      </c>
      <c r="AC755" s="17">
        <f>IF(OR($Z755="",$Z755=6),"",CHOOSE($Z755,"1st Email Follow-up","2nd Email Follow-up","Escalate Local Office","Escalate to CBE","Escalate to Roxanne"))</f>
        <v/>
      </c>
    </row>
    <row r="756" spans="13:29">
      <c r="M756" s="14"/>
      <c r="T756" s="16"/>
      <c r="U756" s="17">
        <f>IF(AND(COUNTA($A756:$L756)=0,$N756=""),"",IF($T756="Paid","PAID",IF($T756="Closed","CLOSED",IF($Z756="","",IF($Z756=6,"ESCALATED TO ROXANNE",IF(TODAY()&gt;$AB756,"OVERDUE",IF($AB756&lt;=WORKDAY(TODAY(),1,Holidays),"DUE TOMORROW",IF($Z756=4,"ESCALATED TO LOCAL OFFICE",IF($Z756=5,"ESCALATED TO CBE",IF($AA756=TODAY(),"EMAIL SENT","MONITORING"))))))))))</f>
        <v/>
      </c>
      <c r="V756" s="17">
        <f>IF($U756="",IF(AND(COUNTA($A756:$L756)&gt;0,$N756=""),"Awaiting Collection Email time stamp.",""),IF(OR($U756="PAID",$U756="CLOSED"),IF($U756="PAID","Account paid. Action completed.","Account closed. No further action required."),CHOOSE($Z756,"Collection Email","1st Email Follow-up","2nd Email Follow-up","Escalation to Local Office","Escalation to CBE","Escalation to Roxanne")&amp;" sent "&amp;TEXT($AA756,"dd-mmm")&amp;". "&amp;IF($Z756=6,"Final escalation completed.",IF($U756="OVERDUE","Next: "&amp;$AC756&amp;" was due "&amp;TEXT($AB756,"dd-mmm")&amp;" - "&amp;(NETWORKDAYS($AB756,TODAY(),Holidays)-1)&amp;" business day(s) late. Send now.",IF($U756="DUE TOMORROW","Next: "&amp;$AC756&amp;IF($AB756&lt;=TODAY()," is due TODAY ("," is due next business day (")&amp;TEXT($AB756,"dd-mmm")&amp;").","Next: "&amp;$AC756&amp;" due "&amp;TEXT($AB756,"dd-mmm")&amp;" ("&amp;(NETWORKDAYS(TODAY(),$AB756,Holidays)-1)&amp;" business day(s) left).")))))</f>
        <v/>
      </c>
      <c r="W756" s="17">
        <f>IF($Z756="","",CHOOSE($Z756,"Collection Email","1st Follow-up","2nd Follow-up","Local Office","CBE","Roxanne")&amp;IF($Z756=6," - Final"," - Day "&amp;MAX(0,NETWORKDAYS($AA756,TODAY(),Holidays)-1)&amp;" of "&amp;CHOOSE($Z756,3,3,2,2,3))&amp;" | Total Day "&amp;MAX(0,NETWORKDAYS($N756,TODAY(),Holidays)-1))</f>
        <v/>
      </c>
      <c r="X756" s="18"/>
      <c r="Y756" s="18"/>
      <c r="Z756" s="17">
        <f>IF($N756="","",COUNT($N756:$S756))</f>
        <v/>
      </c>
      <c r="AA756" s="19">
        <f>IF($Z756="","",INT(INDEX($N756:$S756,$Z756)))</f>
        <v/>
      </c>
      <c r="AB756" s="19">
        <f>IF(OR($Z756="",$Z756=6),"",WORKDAY($AA756,CHOOSE($Z756,3,3,2,2,3),Holidays))</f>
        <v/>
      </c>
      <c r="AC756" s="17">
        <f>IF(OR($Z756="",$Z756=6),"",CHOOSE($Z756,"1st Email Follow-up","2nd Email Follow-up","Escalate Local Office","Escalate to CBE","Escalate to Roxanne"))</f>
        <v/>
      </c>
    </row>
    <row r="757" spans="13:29">
      <c r="M757" s="14"/>
      <c r="T757" s="16"/>
      <c r="U757" s="17">
        <f>IF(AND(COUNTA($A757:$L757)=0,$N757=""),"",IF($T757="Paid","PAID",IF($T757="Closed","CLOSED",IF($Z757="","",IF($Z757=6,"ESCALATED TO ROXANNE",IF(TODAY()&gt;$AB757,"OVERDUE",IF($AB757&lt;=WORKDAY(TODAY(),1,Holidays),"DUE TOMORROW",IF($Z757=4,"ESCALATED TO LOCAL OFFICE",IF($Z757=5,"ESCALATED TO CBE",IF($AA757=TODAY(),"EMAIL SENT","MONITORING"))))))))))</f>
        <v/>
      </c>
      <c r="V757" s="17">
        <f>IF($U757="",IF(AND(COUNTA($A757:$L757)&gt;0,$N757=""),"Awaiting Collection Email time stamp.",""),IF(OR($U757="PAID",$U757="CLOSED"),IF($U757="PAID","Account paid. Action completed.","Account closed. No further action required."),CHOOSE($Z757,"Collection Email","1st Email Follow-up","2nd Email Follow-up","Escalation to Local Office","Escalation to CBE","Escalation to Roxanne")&amp;" sent "&amp;TEXT($AA757,"dd-mmm")&amp;". "&amp;IF($Z757=6,"Final escalation completed.",IF($U757="OVERDUE","Next: "&amp;$AC757&amp;" was due "&amp;TEXT($AB757,"dd-mmm")&amp;" - "&amp;(NETWORKDAYS($AB757,TODAY(),Holidays)-1)&amp;" business day(s) late. Send now.",IF($U757="DUE TOMORROW","Next: "&amp;$AC757&amp;IF($AB757&lt;=TODAY()," is due TODAY ("," is due next business day (")&amp;TEXT($AB757,"dd-mmm")&amp;").","Next: "&amp;$AC757&amp;" due "&amp;TEXT($AB757,"dd-mmm")&amp;" ("&amp;(NETWORKDAYS(TODAY(),$AB757,Holidays)-1)&amp;" business day(s) left).")))))</f>
        <v/>
      </c>
      <c r="W757" s="17">
        <f>IF($Z757="","",CHOOSE($Z757,"Collection Email","1st Follow-up","2nd Follow-up","Local Office","CBE","Roxanne")&amp;IF($Z757=6," - Final"," - Day "&amp;MAX(0,NETWORKDAYS($AA757,TODAY(),Holidays)-1)&amp;" of "&amp;CHOOSE($Z757,3,3,2,2,3))&amp;" | Total Day "&amp;MAX(0,NETWORKDAYS($N757,TODAY(),Holidays)-1))</f>
        <v/>
      </c>
      <c r="X757" s="18"/>
      <c r="Y757" s="18"/>
      <c r="Z757" s="17">
        <f>IF($N757="","",COUNT($N757:$S757))</f>
        <v/>
      </c>
      <c r="AA757" s="19">
        <f>IF($Z757="","",INT(INDEX($N757:$S757,$Z757)))</f>
        <v/>
      </c>
      <c r="AB757" s="19">
        <f>IF(OR($Z757="",$Z757=6),"",WORKDAY($AA757,CHOOSE($Z757,3,3,2,2,3),Holidays))</f>
        <v/>
      </c>
      <c r="AC757" s="17">
        <f>IF(OR($Z757="",$Z757=6),"",CHOOSE($Z757,"1st Email Follow-up","2nd Email Follow-up","Escalate Local Office","Escalate to CBE","Escalate to Roxanne"))</f>
        <v/>
      </c>
    </row>
    <row r="758" spans="13:29">
      <c r="M758" s="14"/>
      <c r="T758" s="16"/>
      <c r="U758" s="17">
        <f>IF(AND(COUNTA($A758:$L758)=0,$N758=""),"",IF($T758="Paid","PAID",IF($T758="Closed","CLOSED",IF($Z758="","",IF($Z758=6,"ESCALATED TO ROXANNE",IF(TODAY()&gt;$AB758,"OVERDUE",IF($AB758&lt;=WORKDAY(TODAY(),1,Holidays),"DUE TOMORROW",IF($Z758=4,"ESCALATED TO LOCAL OFFICE",IF($Z758=5,"ESCALATED TO CBE",IF($AA758=TODAY(),"EMAIL SENT","MONITORING"))))))))))</f>
        <v/>
      </c>
      <c r="V758" s="17">
        <f>IF($U758="",IF(AND(COUNTA($A758:$L758)&gt;0,$N758=""),"Awaiting Collection Email time stamp.",""),IF(OR($U758="PAID",$U758="CLOSED"),IF($U758="PAID","Account paid. Action completed.","Account closed. No further action required."),CHOOSE($Z758,"Collection Email","1st Email Follow-up","2nd Email Follow-up","Escalation to Local Office","Escalation to CBE","Escalation to Roxanne")&amp;" sent "&amp;TEXT($AA758,"dd-mmm")&amp;". "&amp;IF($Z758=6,"Final escalation completed.",IF($U758="OVERDUE","Next: "&amp;$AC758&amp;" was due "&amp;TEXT($AB758,"dd-mmm")&amp;" - "&amp;(NETWORKDAYS($AB758,TODAY(),Holidays)-1)&amp;" business day(s) late. Send now.",IF($U758="DUE TOMORROW","Next: "&amp;$AC758&amp;IF($AB758&lt;=TODAY()," is due TODAY ("," is due next business day (")&amp;TEXT($AB758,"dd-mmm")&amp;").","Next: "&amp;$AC758&amp;" due "&amp;TEXT($AB758,"dd-mmm")&amp;" ("&amp;(NETWORKDAYS(TODAY(),$AB758,Holidays)-1)&amp;" business day(s) left).")))))</f>
        <v/>
      </c>
      <c r="W758" s="17">
        <f>IF($Z758="","",CHOOSE($Z758,"Collection Email","1st Follow-up","2nd Follow-up","Local Office","CBE","Roxanne")&amp;IF($Z758=6," - Final"," - Day "&amp;MAX(0,NETWORKDAYS($AA758,TODAY(),Holidays)-1)&amp;" of "&amp;CHOOSE($Z758,3,3,2,2,3))&amp;" | Total Day "&amp;MAX(0,NETWORKDAYS($N758,TODAY(),Holidays)-1))</f>
        <v/>
      </c>
      <c r="X758" s="18"/>
      <c r="Y758" s="18"/>
      <c r="Z758" s="17">
        <f>IF($N758="","",COUNT($N758:$S758))</f>
        <v/>
      </c>
      <c r="AA758" s="19">
        <f>IF($Z758="","",INT(INDEX($N758:$S758,$Z758)))</f>
        <v/>
      </c>
      <c r="AB758" s="19">
        <f>IF(OR($Z758="",$Z758=6),"",WORKDAY($AA758,CHOOSE($Z758,3,3,2,2,3),Holidays))</f>
        <v/>
      </c>
      <c r="AC758" s="17">
        <f>IF(OR($Z758="",$Z758=6),"",CHOOSE($Z758,"1st Email Follow-up","2nd Email Follow-up","Escalate Local Office","Escalate to CBE","Escalate to Roxanne"))</f>
        <v/>
      </c>
    </row>
    <row r="759" spans="13:29">
      <c r="M759" s="14"/>
      <c r="T759" s="16"/>
      <c r="U759" s="17">
        <f>IF(AND(COUNTA($A759:$L759)=0,$N759=""),"",IF($T759="Paid","PAID",IF($T759="Closed","CLOSED",IF($Z759="","",IF($Z759=6,"ESCALATED TO ROXANNE",IF(TODAY()&gt;$AB759,"OVERDUE",IF($AB759&lt;=WORKDAY(TODAY(),1,Holidays),"DUE TOMORROW",IF($Z759=4,"ESCALATED TO LOCAL OFFICE",IF($Z759=5,"ESCALATED TO CBE",IF($AA759=TODAY(),"EMAIL SENT","MONITORING"))))))))))</f>
        <v/>
      </c>
      <c r="V759" s="17">
        <f>IF($U759="",IF(AND(COUNTA($A759:$L759)&gt;0,$N759=""),"Awaiting Collection Email time stamp.",""),IF(OR($U759="PAID",$U759="CLOSED"),IF($U759="PAID","Account paid. Action completed.","Account closed. No further action required."),CHOOSE($Z759,"Collection Email","1st Email Follow-up","2nd Email Follow-up","Escalation to Local Office","Escalation to CBE","Escalation to Roxanne")&amp;" sent "&amp;TEXT($AA759,"dd-mmm")&amp;". "&amp;IF($Z759=6,"Final escalation completed.",IF($U759="OVERDUE","Next: "&amp;$AC759&amp;" was due "&amp;TEXT($AB759,"dd-mmm")&amp;" - "&amp;(NETWORKDAYS($AB759,TODAY(),Holidays)-1)&amp;" business day(s) late. Send now.",IF($U759="DUE TOMORROW","Next: "&amp;$AC759&amp;IF($AB759&lt;=TODAY()," is due TODAY ("," is due next business day (")&amp;TEXT($AB759,"dd-mmm")&amp;").","Next: "&amp;$AC759&amp;" due "&amp;TEXT($AB759,"dd-mmm")&amp;" ("&amp;(NETWORKDAYS(TODAY(),$AB759,Holidays)-1)&amp;" business day(s) left).")))))</f>
        <v/>
      </c>
      <c r="W759" s="17">
        <f>IF($Z759="","",CHOOSE($Z759,"Collection Email","1st Follow-up","2nd Follow-up","Local Office","CBE","Roxanne")&amp;IF($Z759=6," - Final"," - Day "&amp;MAX(0,NETWORKDAYS($AA759,TODAY(),Holidays)-1)&amp;" of "&amp;CHOOSE($Z759,3,3,2,2,3))&amp;" | Total Day "&amp;MAX(0,NETWORKDAYS($N759,TODAY(),Holidays)-1))</f>
        <v/>
      </c>
      <c r="X759" s="18"/>
      <c r="Y759" s="18"/>
      <c r="Z759" s="17">
        <f>IF($N759="","",COUNT($N759:$S759))</f>
        <v/>
      </c>
      <c r="AA759" s="19">
        <f>IF($Z759="","",INT(INDEX($N759:$S759,$Z759)))</f>
        <v/>
      </c>
      <c r="AB759" s="19">
        <f>IF(OR($Z759="",$Z759=6),"",WORKDAY($AA759,CHOOSE($Z759,3,3,2,2,3),Holidays))</f>
        <v/>
      </c>
      <c r="AC759" s="17">
        <f>IF(OR($Z759="",$Z759=6),"",CHOOSE($Z759,"1st Email Follow-up","2nd Email Follow-up","Escalate Local Office","Escalate to CBE","Escalate to Roxanne"))</f>
        <v/>
      </c>
    </row>
    <row r="760" spans="13:29">
      <c r="M760" s="14"/>
      <c r="T760" s="16"/>
      <c r="U760" s="17">
        <f>IF(AND(COUNTA($A760:$L760)=0,$N760=""),"",IF($T760="Paid","PAID",IF($T760="Closed","CLOSED",IF($Z760="","",IF($Z760=6,"ESCALATED TO ROXANNE",IF(TODAY()&gt;$AB760,"OVERDUE",IF($AB760&lt;=WORKDAY(TODAY(),1,Holidays),"DUE TOMORROW",IF($Z760=4,"ESCALATED TO LOCAL OFFICE",IF($Z760=5,"ESCALATED TO CBE",IF($AA760=TODAY(),"EMAIL SENT","MONITORING"))))))))))</f>
        <v/>
      </c>
      <c r="V760" s="17">
        <f>IF($U760="",IF(AND(COUNTA($A760:$L760)&gt;0,$N760=""),"Awaiting Collection Email time stamp.",""),IF(OR($U760="PAID",$U760="CLOSED"),IF($U760="PAID","Account paid. Action completed.","Account closed. No further action required."),CHOOSE($Z760,"Collection Email","1st Email Follow-up","2nd Email Follow-up","Escalation to Local Office","Escalation to CBE","Escalation to Roxanne")&amp;" sent "&amp;TEXT($AA760,"dd-mmm")&amp;". "&amp;IF($Z760=6,"Final escalation completed.",IF($U760="OVERDUE","Next: "&amp;$AC760&amp;" was due "&amp;TEXT($AB760,"dd-mmm")&amp;" - "&amp;(NETWORKDAYS($AB760,TODAY(),Holidays)-1)&amp;" business day(s) late. Send now.",IF($U760="DUE TOMORROW","Next: "&amp;$AC760&amp;IF($AB760&lt;=TODAY()," is due TODAY ("," is due next business day (")&amp;TEXT($AB760,"dd-mmm")&amp;").","Next: "&amp;$AC760&amp;" due "&amp;TEXT($AB760,"dd-mmm")&amp;" ("&amp;(NETWORKDAYS(TODAY(),$AB760,Holidays)-1)&amp;" business day(s) left).")))))</f>
        <v/>
      </c>
      <c r="W760" s="17">
        <f>IF($Z760="","",CHOOSE($Z760,"Collection Email","1st Follow-up","2nd Follow-up","Local Office","CBE","Roxanne")&amp;IF($Z760=6," - Final"," - Day "&amp;MAX(0,NETWORKDAYS($AA760,TODAY(),Holidays)-1)&amp;" of "&amp;CHOOSE($Z760,3,3,2,2,3))&amp;" | Total Day "&amp;MAX(0,NETWORKDAYS($N760,TODAY(),Holidays)-1))</f>
        <v/>
      </c>
      <c r="X760" s="18"/>
      <c r="Y760" s="18"/>
      <c r="Z760" s="17">
        <f>IF($N760="","",COUNT($N760:$S760))</f>
        <v/>
      </c>
      <c r="AA760" s="19">
        <f>IF($Z760="","",INT(INDEX($N760:$S760,$Z760)))</f>
        <v/>
      </c>
      <c r="AB760" s="19">
        <f>IF(OR($Z760="",$Z760=6),"",WORKDAY($AA760,CHOOSE($Z760,3,3,2,2,3),Holidays))</f>
        <v/>
      </c>
      <c r="AC760" s="17">
        <f>IF(OR($Z760="",$Z760=6),"",CHOOSE($Z760,"1st Email Follow-up","2nd Email Follow-up","Escalate Local Office","Escalate to CBE","Escalate to Roxanne"))</f>
        <v/>
      </c>
    </row>
    <row r="761" spans="13:29">
      <c r="M761" s="14"/>
      <c r="T761" s="16"/>
      <c r="U761" s="17">
        <f>IF(AND(COUNTA($A761:$L761)=0,$N761=""),"",IF($T761="Paid","PAID",IF($T761="Closed","CLOSED",IF($Z761="","",IF($Z761=6,"ESCALATED TO ROXANNE",IF(TODAY()&gt;$AB761,"OVERDUE",IF($AB761&lt;=WORKDAY(TODAY(),1,Holidays),"DUE TOMORROW",IF($Z761=4,"ESCALATED TO LOCAL OFFICE",IF($Z761=5,"ESCALATED TO CBE",IF($AA761=TODAY(),"EMAIL SENT","MONITORING"))))))))))</f>
        <v/>
      </c>
      <c r="V761" s="17">
        <f>IF($U761="",IF(AND(COUNTA($A761:$L761)&gt;0,$N761=""),"Awaiting Collection Email time stamp.",""),IF(OR($U761="PAID",$U761="CLOSED"),IF($U761="PAID","Account paid. Action completed.","Account closed. No further action required."),CHOOSE($Z761,"Collection Email","1st Email Follow-up","2nd Email Follow-up","Escalation to Local Office","Escalation to CBE","Escalation to Roxanne")&amp;" sent "&amp;TEXT($AA761,"dd-mmm")&amp;". "&amp;IF($Z761=6,"Final escalation completed.",IF($U761="OVERDUE","Next: "&amp;$AC761&amp;" was due "&amp;TEXT($AB761,"dd-mmm")&amp;" - "&amp;(NETWORKDAYS($AB761,TODAY(),Holidays)-1)&amp;" business day(s) late. Send now.",IF($U761="DUE TOMORROW","Next: "&amp;$AC761&amp;IF($AB761&lt;=TODAY()," is due TODAY ("," is due next business day (")&amp;TEXT($AB761,"dd-mmm")&amp;").","Next: "&amp;$AC761&amp;" due "&amp;TEXT($AB761,"dd-mmm")&amp;" ("&amp;(NETWORKDAYS(TODAY(),$AB761,Holidays)-1)&amp;" business day(s) left).")))))</f>
        <v/>
      </c>
      <c r="W761" s="17">
        <f>IF($Z761="","",CHOOSE($Z761,"Collection Email","1st Follow-up","2nd Follow-up","Local Office","CBE","Roxanne")&amp;IF($Z761=6," - Final"," - Day "&amp;MAX(0,NETWORKDAYS($AA761,TODAY(),Holidays)-1)&amp;" of "&amp;CHOOSE($Z761,3,3,2,2,3))&amp;" | Total Day "&amp;MAX(0,NETWORKDAYS($N761,TODAY(),Holidays)-1))</f>
        <v/>
      </c>
      <c r="X761" s="18"/>
      <c r="Y761" s="18"/>
      <c r="Z761" s="17">
        <f>IF($N761="","",COUNT($N761:$S761))</f>
        <v/>
      </c>
      <c r="AA761" s="19">
        <f>IF($Z761="","",INT(INDEX($N761:$S761,$Z761)))</f>
        <v/>
      </c>
      <c r="AB761" s="19">
        <f>IF(OR($Z761="",$Z761=6),"",WORKDAY($AA761,CHOOSE($Z761,3,3,2,2,3),Holidays))</f>
        <v/>
      </c>
      <c r="AC761" s="17">
        <f>IF(OR($Z761="",$Z761=6),"",CHOOSE($Z761,"1st Email Follow-up","2nd Email Follow-up","Escalate Local Office","Escalate to CBE","Escalate to Roxanne"))</f>
        <v/>
      </c>
    </row>
    <row r="762" spans="13:29">
      <c r="M762" s="14"/>
      <c r="T762" s="16"/>
      <c r="U762" s="17">
        <f>IF(AND(COUNTA($A762:$L762)=0,$N762=""),"",IF($T762="Paid","PAID",IF($T762="Closed","CLOSED",IF($Z762="","",IF($Z762=6,"ESCALATED TO ROXANNE",IF(TODAY()&gt;$AB762,"OVERDUE",IF($AB762&lt;=WORKDAY(TODAY(),1,Holidays),"DUE TOMORROW",IF($Z762=4,"ESCALATED TO LOCAL OFFICE",IF($Z762=5,"ESCALATED TO CBE",IF($AA762=TODAY(),"EMAIL SENT","MONITORING"))))))))))</f>
        <v/>
      </c>
      <c r="V762" s="17">
        <f>IF($U762="",IF(AND(COUNTA($A762:$L762)&gt;0,$N762=""),"Awaiting Collection Email time stamp.",""),IF(OR($U762="PAID",$U762="CLOSED"),IF($U762="PAID","Account paid. Action completed.","Account closed. No further action required."),CHOOSE($Z762,"Collection Email","1st Email Follow-up","2nd Email Follow-up","Escalation to Local Office","Escalation to CBE","Escalation to Roxanne")&amp;" sent "&amp;TEXT($AA762,"dd-mmm")&amp;". "&amp;IF($Z762=6,"Final escalation completed.",IF($U762="OVERDUE","Next: "&amp;$AC762&amp;" was due "&amp;TEXT($AB762,"dd-mmm")&amp;" - "&amp;(NETWORKDAYS($AB762,TODAY(),Holidays)-1)&amp;" business day(s) late. Send now.",IF($U762="DUE TOMORROW","Next: "&amp;$AC762&amp;IF($AB762&lt;=TODAY()," is due TODAY ("," is due next business day (")&amp;TEXT($AB762,"dd-mmm")&amp;").","Next: "&amp;$AC762&amp;" due "&amp;TEXT($AB762,"dd-mmm")&amp;" ("&amp;(NETWORKDAYS(TODAY(),$AB762,Holidays)-1)&amp;" business day(s) left).")))))</f>
        <v/>
      </c>
      <c r="W762" s="17">
        <f>IF($Z762="","",CHOOSE($Z762,"Collection Email","1st Follow-up","2nd Follow-up","Local Office","CBE","Roxanne")&amp;IF($Z762=6," - Final"," - Day "&amp;MAX(0,NETWORKDAYS($AA762,TODAY(),Holidays)-1)&amp;" of "&amp;CHOOSE($Z762,3,3,2,2,3))&amp;" | Total Day "&amp;MAX(0,NETWORKDAYS($N762,TODAY(),Holidays)-1))</f>
        <v/>
      </c>
      <c r="X762" s="18"/>
      <c r="Y762" s="18"/>
      <c r="Z762" s="17">
        <f>IF($N762="","",COUNT($N762:$S762))</f>
        <v/>
      </c>
      <c r="AA762" s="19">
        <f>IF($Z762="","",INT(INDEX($N762:$S762,$Z762)))</f>
        <v/>
      </c>
      <c r="AB762" s="19">
        <f>IF(OR($Z762="",$Z762=6),"",WORKDAY($AA762,CHOOSE($Z762,3,3,2,2,3),Holidays))</f>
        <v/>
      </c>
      <c r="AC762" s="17">
        <f>IF(OR($Z762="",$Z762=6),"",CHOOSE($Z762,"1st Email Follow-up","2nd Email Follow-up","Escalate Local Office","Escalate to CBE","Escalate to Roxanne"))</f>
        <v/>
      </c>
    </row>
    <row r="763" spans="13:29">
      <c r="M763" s="14"/>
      <c r="T763" s="16"/>
      <c r="U763" s="17">
        <f>IF(AND(COUNTA($A763:$L763)=0,$N763=""),"",IF($T763="Paid","PAID",IF($T763="Closed","CLOSED",IF($Z763="","",IF($Z763=6,"ESCALATED TO ROXANNE",IF(TODAY()&gt;$AB763,"OVERDUE",IF($AB763&lt;=WORKDAY(TODAY(),1,Holidays),"DUE TOMORROW",IF($Z763=4,"ESCALATED TO LOCAL OFFICE",IF($Z763=5,"ESCALATED TO CBE",IF($AA763=TODAY(),"EMAIL SENT","MONITORING"))))))))))</f>
        <v/>
      </c>
      <c r="V763" s="17">
        <f>IF($U763="",IF(AND(COUNTA($A763:$L763)&gt;0,$N763=""),"Awaiting Collection Email time stamp.",""),IF(OR($U763="PAID",$U763="CLOSED"),IF($U763="PAID","Account paid. Action completed.","Account closed. No further action required."),CHOOSE($Z763,"Collection Email","1st Email Follow-up","2nd Email Follow-up","Escalation to Local Office","Escalation to CBE","Escalation to Roxanne")&amp;" sent "&amp;TEXT($AA763,"dd-mmm")&amp;". "&amp;IF($Z763=6,"Final escalation completed.",IF($U763="OVERDUE","Next: "&amp;$AC763&amp;" was due "&amp;TEXT($AB763,"dd-mmm")&amp;" - "&amp;(NETWORKDAYS($AB763,TODAY(),Holidays)-1)&amp;" business day(s) late. Send now.",IF($U763="DUE TOMORROW","Next: "&amp;$AC763&amp;IF($AB763&lt;=TODAY()," is due TODAY ("," is due next business day (")&amp;TEXT($AB763,"dd-mmm")&amp;").","Next: "&amp;$AC763&amp;" due "&amp;TEXT($AB763,"dd-mmm")&amp;" ("&amp;(NETWORKDAYS(TODAY(),$AB763,Holidays)-1)&amp;" business day(s) left).")))))</f>
        <v/>
      </c>
      <c r="W763" s="17">
        <f>IF($Z763="","",CHOOSE($Z763,"Collection Email","1st Follow-up","2nd Follow-up","Local Office","CBE","Roxanne")&amp;IF($Z763=6," - Final"," - Day "&amp;MAX(0,NETWORKDAYS($AA763,TODAY(),Holidays)-1)&amp;" of "&amp;CHOOSE($Z763,3,3,2,2,3))&amp;" | Total Day "&amp;MAX(0,NETWORKDAYS($N763,TODAY(),Holidays)-1))</f>
        <v/>
      </c>
      <c r="X763" s="18"/>
      <c r="Y763" s="18"/>
      <c r="Z763" s="17">
        <f>IF($N763="","",COUNT($N763:$S763))</f>
        <v/>
      </c>
      <c r="AA763" s="19">
        <f>IF($Z763="","",INT(INDEX($N763:$S763,$Z763)))</f>
        <v/>
      </c>
      <c r="AB763" s="19">
        <f>IF(OR($Z763="",$Z763=6),"",WORKDAY($AA763,CHOOSE($Z763,3,3,2,2,3),Holidays))</f>
        <v/>
      </c>
      <c r="AC763" s="17">
        <f>IF(OR($Z763="",$Z763=6),"",CHOOSE($Z763,"1st Email Follow-up","2nd Email Follow-up","Escalate Local Office","Escalate to CBE","Escalate to Roxanne"))</f>
        <v/>
      </c>
    </row>
    <row r="764" spans="13:29">
      <c r="M764" s="14"/>
      <c r="T764" s="16"/>
      <c r="U764" s="17">
        <f>IF(AND(COUNTA($A764:$L764)=0,$N764=""),"",IF($T764="Paid","PAID",IF($T764="Closed","CLOSED",IF($Z764="","",IF($Z764=6,"ESCALATED TO ROXANNE",IF(TODAY()&gt;$AB764,"OVERDUE",IF($AB764&lt;=WORKDAY(TODAY(),1,Holidays),"DUE TOMORROW",IF($Z764=4,"ESCALATED TO LOCAL OFFICE",IF($Z764=5,"ESCALATED TO CBE",IF($AA764=TODAY(),"EMAIL SENT","MONITORING"))))))))))</f>
        <v/>
      </c>
      <c r="V764" s="17">
        <f>IF($U764="",IF(AND(COUNTA($A764:$L764)&gt;0,$N764=""),"Awaiting Collection Email time stamp.",""),IF(OR($U764="PAID",$U764="CLOSED"),IF($U764="PAID","Account paid. Action completed.","Account closed. No further action required."),CHOOSE($Z764,"Collection Email","1st Email Follow-up","2nd Email Follow-up","Escalation to Local Office","Escalation to CBE","Escalation to Roxanne")&amp;" sent "&amp;TEXT($AA764,"dd-mmm")&amp;". "&amp;IF($Z764=6,"Final escalation completed.",IF($U764="OVERDUE","Next: "&amp;$AC764&amp;" was due "&amp;TEXT($AB764,"dd-mmm")&amp;" - "&amp;(NETWORKDAYS($AB764,TODAY(),Holidays)-1)&amp;" business day(s) late. Send now.",IF($U764="DUE TOMORROW","Next: "&amp;$AC764&amp;IF($AB764&lt;=TODAY()," is due TODAY ("," is due next business day (")&amp;TEXT($AB764,"dd-mmm")&amp;").","Next: "&amp;$AC764&amp;" due "&amp;TEXT($AB764,"dd-mmm")&amp;" ("&amp;(NETWORKDAYS(TODAY(),$AB764,Holidays)-1)&amp;" business day(s) left).")))))</f>
        <v/>
      </c>
      <c r="W764" s="17">
        <f>IF($Z764="","",CHOOSE($Z764,"Collection Email","1st Follow-up","2nd Follow-up","Local Office","CBE","Roxanne")&amp;IF($Z764=6," - Final"," - Day "&amp;MAX(0,NETWORKDAYS($AA764,TODAY(),Holidays)-1)&amp;" of "&amp;CHOOSE($Z764,3,3,2,2,3))&amp;" | Total Day "&amp;MAX(0,NETWORKDAYS($N764,TODAY(),Holidays)-1))</f>
        <v/>
      </c>
      <c r="X764" s="18"/>
      <c r="Y764" s="18"/>
      <c r="Z764" s="17">
        <f>IF($N764="","",COUNT($N764:$S764))</f>
        <v/>
      </c>
      <c r="AA764" s="19">
        <f>IF($Z764="","",INT(INDEX($N764:$S764,$Z764)))</f>
        <v/>
      </c>
      <c r="AB764" s="19">
        <f>IF(OR($Z764="",$Z764=6),"",WORKDAY($AA764,CHOOSE($Z764,3,3,2,2,3),Holidays))</f>
        <v/>
      </c>
      <c r="AC764" s="17">
        <f>IF(OR($Z764="",$Z764=6),"",CHOOSE($Z764,"1st Email Follow-up","2nd Email Follow-up","Escalate Local Office","Escalate to CBE","Escalate to Roxanne"))</f>
        <v/>
      </c>
    </row>
    <row r="765" spans="13:29">
      <c r="M765" s="14"/>
      <c r="T765" s="16"/>
      <c r="U765" s="17">
        <f>IF(AND(COUNTA($A765:$L765)=0,$N765=""),"",IF($T765="Paid","PAID",IF($T765="Closed","CLOSED",IF($Z765="","",IF($Z765=6,"ESCALATED TO ROXANNE",IF(TODAY()&gt;$AB765,"OVERDUE",IF($AB765&lt;=WORKDAY(TODAY(),1,Holidays),"DUE TOMORROW",IF($Z765=4,"ESCALATED TO LOCAL OFFICE",IF($Z765=5,"ESCALATED TO CBE",IF($AA765=TODAY(),"EMAIL SENT","MONITORING"))))))))))</f>
        <v/>
      </c>
      <c r="V765" s="17">
        <f>IF($U765="",IF(AND(COUNTA($A765:$L765)&gt;0,$N765=""),"Awaiting Collection Email time stamp.",""),IF(OR($U765="PAID",$U765="CLOSED"),IF($U765="PAID","Account paid. Action completed.","Account closed. No further action required."),CHOOSE($Z765,"Collection Email","1st Email Follow-up","2nd Email Follow-up","Escalation to Local Office","Escalation to CBE","Escalation to Roxanne")&amp;" sent "&amp;TEXT($AA765,"dd-mmm")&amp;". "&amp;IF($Z765=6,"Final escalation completed.",IF($U765="OVERDUE","Next: "&amp;$AC765&amp;" was due "&amp;TEXT($AB765,"dd-mmm")&amp;" - "&amp;(NETWORKDAYS($AB765,TODAY(),Holidays)-1)&amp;" business day(s) late. Send now.",IF($U765="DUE TOMORROW","Next: "&amp;$AC765&amp;IF($AB765&lt;=TODAY()," is due TODAY ("," is due next business day (")&amp;TEXT($AB765,"dd-mmm")&amp;").","Next: "&amp;$AC765&amp;" due "&amp;TEXT($AB765,"dd-mmm")&amp;" ("&amp;(NETWORKDAYS(TODAY(),$AB765,Holidays)-1)&amp;" business day(s) left).")))))</f>
        <v/>
      </c>
      <c r="W765" s="17">
        <f>IF($Z765="","",CHOOSE($Z765,"Collection Email","1st Follow-up","2nd Follow-up","Local Office","CBE","Roxanne")&amp;IF($Z765=6," - Final"," - Day "&amp;MAX(0,NETWORKDAYS($AA765,TODAY(),Holidays)-1)&amp;" of "&amp;CHOOSE($Z765,3,3,2,2,3))&amp;" | Total Day "&amp;MAX(0,NETWORKDAYS($N765,TODAY(),Holidays)-1))</f>
        <v/>
      </c>
      <c r="X765" s="18"/>
      <c r="Y765" s="18"/>
      <c r="Z765" s="17">
        <f>IF($N765="","",COUNT($N765:$S765))</f>
        <v/>
      </c>
      <c r="AA765" s="19">
        <f>IF($Z765="","",INT(INDEX($N765:$S765,$Z765)))</f>
        <v/>
      </c>
      <c r="AB765" s="19">
        <f>IF(OR($Z765="",$Z765=6),"",WORKDAY($AA765,CHOOSE($Z765,3,3,2,2,3),Holidays))</f>
        <v/>
      </c>
      <c r="AC765" s="17">
        <f>IF(OR($Z765="",$Z765=6),"",CHOOSE($Z765,"1st Email Follow-up","2nd Email Follow-up","Escalate Local Office","Escalate to CBE","Escalate to Roxanne"))</f>
        <v/>
      </c>
    </row>
    <row r="766" spans="13:29">
      <c r="M766" s="14"/>
      <c r="T766" s="16"/>
      <c r="U766" s="17">
        <f>IF(AND(COUNTA($A766:$L766)=0,$N766=""),"",IF($T766="Paid","PAID",IF($T766="Closed","CLOSED",IF($Z766="","",IF($Z766=6,"ESCALATED TO ROXANNE",IF(TODAY()&gt;$AB766,"OVERDUE",IF($AB766&lt;=WORKDAY(TODAY(),1,Holidays),"DUE TOMORROW",IF($Z766=4,"ESCALATED TO LOCAL OFFICE",IF($Z766=5,"ESCALATED TO CBE",IF($AA766=TODAY(),"EMAIL SENT","MONITORING"))))))))))</f>
        <v/>
      </c>
      <c r="V766" s="17">
        <f>IF($U766="",IF(AND(COUNTA($A766:$L766)&gt;0,$N766=""),"Awaiting Collection Email time stamp.",""),IF(OR($U766="PAID",$U766="CLOSED"),IF($U766="PAID","Account paid. Action completed.","Account closed. No further action required."),CHOOSE($Z766,"Collection Email","1st Email Follow-up","2nd Email Follow-up","Escalation to Local Office","Escalation to CBE","Escalation to Roxanne")&amp;" sent "&amp;TEXT($AA766,"dd-mmm")&amp;". "&amp;IF($Z766=6,"Final escalation completed.",IF($U766="OVERDUE","Next: "&amp;$AC766&amp;" was due "&amp;TEXT($AB766,"dd-mmm")&amp;" - "&amp;(NETWORKDAYS($AB766,TODAY(),Holidays)-1)&amp;" business day(s) late. Send now.",IF($U766="DUE TOMORROW","Next: "&amp;$AC766&amp;IF($AB766&lt;=TODAY()," is due TODAY ("," is due next business day (")&amp;TEXT($AB766,"dd-mmm")&amp;").","Next: "&amp;$AC766&amp;" due "&amp;TEXT($AB766,"dd-mmm")&amp;" ("&amp;(NETWORKDAYS(TODAY(),$AB766,Holidays)-1)&amp;" business day(s) left).")))))</f>
        <v/>
      </c>
      <c r="W766" s="17">
        <f>IF($Z766="","",CHOOSE($Z766,"Collection Email","1st Follow-up","2nd Follow-up","Local Office","CBE","Roxanne")&amp;IF($Z766=6," - Final"," - Day "&amp;MAX(0,NETWORKDAYS($AA766,TODAY(),Holidays)-1)&amp;" of "&amp;CHOOSE($Z766,3,3,2,2,3))&amp;" | Total Day "&amp;MAX(0,NETWORKDAYS($N766,TODAY(),Holidays)-1))</f>
        <v/>
      </c>
      <c r="X766" s="18"/>
      <c r="Y766" s="18"/>
      <c r="Z766" s="17">
        <f>IF($N766="","",COUNT($N766:$S766))</f>
        <v/>
      </c>
      <c r="AA766" s="19">
        <f>IF($Z766="","",INT(INDEX($N766:$S766,$Z766)))</f>
        <v/>
      </c>
      <c r="AB766" s="19">
        <f>IF(OR($Z766="",$Z766=6),"",WORKDAY($AA766,CHOOSE($Z766,3,3,2,2,3),Holidays))</f>
        <v/>
      </c>
      <c r="AC766" s="17">
        <f>IF(OR($Z766="",$Z766=6),"",CHOOSE($Z766,"1st Email Follow-up","2nd Email Follow-up","Escalate Local Office","Escalate to CBE","Escalate to Roxanne"))</f>
        <v/>
      </c>
    </row>
    <row r="767" spans="13:29">
      <c r="M767" s="14"/>
      <c r="T767" s="16"/>
      <c r="U767" s="17">
        <f>IF(AND(COUNTA($A767:$L767)=0,$N767=""),"",IF($T767="Paid","PAID",IF($T767="Closed","CLOSED",IF($Z767="","",IF($Z767=6,"ESCALATED TO ROXANNE",IF(TODAY()&gt;$AB767,"OVERDUE",IF($AB767&lt;=WORKDAY(TODAY(),1,Holidays),"DUE TOMORROW",IF($Z767=4,"ESCALATED TO LOCAL OFFICE",IF($Z767=5,"ESCALATED TO CBE",IF($AA767=TODAY(),"EMAIL SENT","MONITORING"))))))))))</f>
        <v/>
      </c>
      <c r="V767" s="17">
        <f>IF($U767="",IF(AND(COUNTA($A767:$L767)&gt;0,$N767=""),"Awaiting Collection Email time stamp.",""),IF(OR($U767="PAID",$U767="CLOSED"),IF($U767="PAID","Account paid. Action completed.","Account closed. No further action required."),CHOOSE($Z767,"Collection Email","1st Email Follow-up","2nd Email Follow-up","Escalation to Local Office","Escalation to CBE","Escalation to Roxanne")&amp;" sent "&amp;TEXT($AA767,"dd-mmm")&amp;". "&amp;IF($Z767=6,"Final escalation completed.",IF($U767="OVERDUE","Next: "&amp;$AC767&amp;" was due "&amp;TEXT($AB767,"dd-mmm")&amp;" - "&amp;(NETWORKDAYS($AB767,TODAY(),Holidays)-1)&amp;" business day(s) late. Send now.",IF($U767="DUE TOMORROW","Next: "&amp;$AC767&amp;IF($AB767&lt;=TODAY()," is due TODAY ("," is due next business day (")&amp;TEXT($AB767,"dd-mmm")&amp;").","Next: "&amp;$AC767&amp;" due "&amp;TEXT($AB767,"dd-mmm")&amp;" ("&amp;(NETWORKDAYS(TODAY(),$AB767,Holidays)-1)&amp;" business day(s) left).")))))</f>
        <v/>
      </c>
      <c r="W767" s="17">
        <f>IF($Z767="","",CHOOSE($Z767,"Collection Email","1st Follow-up","2nd Follow-up","Local Office","CBE","Roxanne")&amp;IF($Z767=6," - Final"," - Day "&amp;MAX(0,NETWORKDAYS($AA767,TODAY(),Holidays)-1)&amp;" of "&amp;CHOOSE($Z767,3,3,2,2,3))&amp;" | Total Day "&amp;MAX(0,NETWORKDAYS($N767,TODAY(),Holidays)-1))</f>
        <v/>
      </c>
      <c r="X767" s="18"/>
      <c r="Y767" s="18"/>
      <c r="Z767" s="17">
        <f>IF($N767="","",COUNT($N767:$S767))</f>
        <v/>
      </c>
      <c r="AA767" s="19">
        <f>IF($Z767="","",INT(INDEX($N767:$S767,$Z767)))</f>
        <v/>
      </c>
      <c r="AB767" s="19">
        <f>IF(OR($Z767="",$Z767=6),"",WORKDAY($AA767,CHOOSE($Z767,3,3,2,2,3),Holidays))</f>
        <v/>
      </c>
      <c r="AC767" s="17">
        <f>IF(OR($Z767="",$Z767=6),"",CHOOSE($Z767,"1st Email Follow-up","2nd Email Follow-up","Escalate Local Office","Escalate to CBE","Escalate to Roxanne"))</f>
        <v/>
      </c>
    </row>
    <row r="768" spans="13:29">
      <c r="M768" s="14"/>
      <c r="T768" s="16"/>
      <c r="U768" s="17">
        <f>IF(AND(COUNTA($A768:$L768)=0,$N768=""),"",IF($T768="Paid","PAID",IF($T768="Closed","CLOSED",IF($Z768="","",IF($Z768=6,"ESCALATED TO ROXANNE",IF(TODAY()&gt;$AB768,"OVERDUE",IF($AB768&lt;=WORKDAY(TODAY(),1,Holidays),"DUE TOMORROW",IF($Z768=4,"ESCALATED TO LOCAL OFFICE",IF($Z768=5,"ESCALATED TO CBE",IF($AA768=TODAY(),"EMAIL SENT","MONITORING"))))))))))</f>
        <v/>
      </c>
      <c r="V768" s="17">
        <f>IF($U768="",IF(AND(COUNTA($A768:$L768)&gt;0,$N768=""),"Awaiting Collection Email time stamp.",""),IF(OR($U768="PAID",$U768="CLOSED"),IF($U768="PAID","Account paid. Action completed.","Account closed. No further action required."),CHOOSE($Z768,"Collection Email","1st Email Follow-up","2nd Email Follow-up","Escalation to Local Office","Escalation to CBE","Escalation to Roxanne")&amp;" sent "&amp;TEXT($AA768,"dd-mmm")&amp;". "&amp;IF($Z768=6,"Final escalation completed.",IF($U768="OVERDUE","Next: "&amp;$AC768&amp;" was due "&amp;TEXT($AB768,"dd-mmm")&amp;" - "&amp;(NETWORKDAYS($AB768,TODAY(),Holidays)-1)&amp;" business day(s) late. Send now.",IF($U768="DUE TOMORROW","Next: "&amp;$AC768&amp;IF($AB768&lt;=TODAY()," is due TODAY ("," is due next business day (")&amp;TEXT($AB768,"dd-mmm")&amp;").","Next: "&amp;$AC768&amp;" due "&amp;TEXT($AB768,"dd-mmm")&amp;" ("&amp;(NETWORKDAYS(TODAY(),$AB768,Holidays)-1)&amp;" business day(s) left).")))))</f>
        <v/>
      </c>
      <c r="W768" s="17">
        <f>IF($Z768="","",CHOOSE($Z768,"Collection Email","1st Follow-up","2nd Follow-up","Local Office","CBE","Roxanne")&amp;IF($Z768=6," - Final"," - Day "&amp;MAX(0,NETWORKDAYS($AA768,TODAY(),Holidays)-1)&amp;" of "&amp;CHOOSE($Z768,3,3,2,2,3))&amp;" | Total Day "&amp;MAX(0,NETWORKDAYS($N768,TODAY(),Holidays)-1))</f>
        <v/>
      </c>
      <c r="X768" s="18"/>
      <c r="Y768" s="18"/>
      <c r="Z768" s="17">
        <f>IF($N768="","",COUNT($N768:$S768))</f>
        <v/>
      </c>
      <c r="AA768" s="19">
        <f>IF($Z768="","",INT(INDEX($N768:$S768,$Z768)))</f>
        <v/>
      </c>
      <c r="AB768" s="19">
        <f>IF(OR($Z768="",$Z768=6),"",WORKDAY($AA768,CHOOSE($Z768,3,3,2,2,3),Holidays))</f>
        <v/>
      </c>
      <c r="AC768" s="17">
        <f>IF(OR($Z768="",$Z768=6),"",CHOOSE($Z768,"1st Email Follow-up","2nd Email Follow-up","Escalate Local Office","Escalate to CBE","Escalate to Roxanne"))</f>
        <v/>
      </c>
    </row>
    <row r="769" spans="13:29">
      <c r="M769" s="14"/>
      <c r="T769" s="16"/>
      <c r="U769" s="17">
        <f>IF(AND(COUNTA($A769:$L769)=0,$N769=""),"",IF($T769="Paid","PAID",IF($T769="Closed","CLOSED",IF($Z769="","",IF($Z769=6,"ESCALATED TO ROXANNE",IF(TODAY()&gt;$AB769,"OVERDUE",IF($AB769&lt;=WORKDAY(TODAY(),1,Holidays),"DUE TOMORROW",IF($Z769=4,"ESCALATED TO LOCAL OFFICE",IF($Z769=5,"ESCALATED TO CBE",IF($AA769=TODAY(),"EMAIL SENT","MONITORING"))))))))))</f>
        <v/>
      </c>
      <c r="V769" s="17">
        <f>IF($U769="",IF(AND(COUNTA($A769:$L769)&gt;0,$N769=""),"Awaiting Collection Email time stamp.",""),IF(OR($U769="PAID",$U769="CLOSED"),IF($U769="PAID","Account paid. Action completed.","Account closed. No further action required."),CHOOSE($Z769,"Collection Email","1st Email Follow-up","2nd Email Follow-up","Escalation to Local Office","Escalation to CBE","Escalation to Roxanne")&amp;" sent "&amp;TEXT($AA769,"dd-mmm")&amp;". "&amp;IF($Z769=6,"Final escalation completed.",IF($U769="OVERDUE","Next: "&amp;$AC769&amp;" was due "&amp;TEXT($AB769,"dd-mmm")&amp;" - "&amp;(NETWORKDAYS($AB769,TODAY(),Holidays)-1)&amp;" business day(s) late. Send now.",IF($U769="DUE TOMORROW","Next: "&amp;$AC769&amp;IF($AB769&lt;=TODAY()," is due TODAY ("," is due next business day (")&amp;TEXT($AB769,"dd-mmm")&amp;").","Next: "&amp;$AC769&amp;" due "&amp;TEXT($AB769,"dd-mmm")&amp;" ("&amp;(NETWORKDAYS(TODAY(),$AB769,Holidays)-1)&amp;" business day(s) left).")))))</f>
        <v/>
      </c>
      <c r="W769" s="17">
        <f>IF($Z769="","",CHOOSE($Z769,"Collection Email","1st Follow-up","2nd Follow-up","Local Office","CBE","Roxanne")&amp;IF($Z769=6," - Final"," - Day "&amp;MAX(0,NETWORKDAYS($AA769,TODAY(),Holidays)-1)&amp;" of "&amp;CHOOSE($Z769,3,3,2,2,3))&amp;" | Total Day "&amp;MAX(0,NETWORKDAYS($N769,TODAY(),Holidays)-1))</f>
        <v/>
      </c>
      <c r="X769" s="18"/>
      <c r="Y769" s="18"/>
      <c r="Z769" s="17">
        <f>IF($N769="","",COUNT($N769:$S769))</f>
        <v/>
      </c>
      <c r="AA769" s="19">
        <f>IF($Z769="","",INT(INDEX($N769:$S769,$Z769)))</f>
        <v/>
      </c>
      <c r="AB769" s="19">
        <f>IF(OR($Z769="",$Z769=6),"",WORKDAY($AA769,CHOOSE($Z769,3,3,2,2,3),Holidays))</f>
        <v/>
      </c>
      <c r="AC769" s="17">
        <f>IF(OR($Z769="",$Z769=6),"",CHOOSE($Z769,"1st Email Follow-up","2nd Email Follow-up","Escalate Local Office","Escalate to CBE","Escalate to Roxanne"))</f>
        <v/>
      </c>
    </row>
    <row r="770" spans="13:29">
      <c r="M770" s="14"/>
      <c r="T770" s="16"/>
      <c r="U770" s="17">
        <f>IF(AND(COUNTA($A770:$L770)=0,$N770=""),"",IF($T770="Paid","PAID",IF($T770="Closed","CLOSED",IF($Z770="","",IF($Z770=6,"ESCALATED TO ROXANNE",IF(TODAY()&gt;$AB770,"OVERDUE",IF($AB770&lt;=WORKDAY(TODAY(),1,Holidays),"DUE TOMORROW",IF($Z770=4,"ESCALATED TO LOCAL OFFICE",IF($Z770=5,"ESCALATED TO CBE",IF($AA770=TODAY(),"EMAIL SENT","MONITORING"))))))))))</f>
        <v/>
      </c>
      <c r="V770" s="17">
        <f>IF($U770="",IF(AND(COUNTA($A770:$L770)&gt;0,$N770=""),"Awaiting Collection Email time stamp.",""),IF(OR($U770="PAID",$U770="CLOSED"),IF($U770="PAID","Account paid. Action completed.","Account closed. No further action required."),CHOOSE($Z770,"Collection Email","1st Email Follow-up","2nd Email Follow-up","Escalation to Local Office","Escalation to CBE","Escalation to Roxanne")&amp;" sent "&amp;TEXT($AA770,"dd-mmm")&amp;". "&amp;IF($Z770=6,"Final escalation completed.",IF($U770="OVERDUE","Next: "&amp;$AC770&amp;" was due "&amp;TEXT($AB770,"dd-mmm")&amp;" - "&amp;(NETWORKDAYS($AB770,TODAY(),Holidays)-1)&amp;" business day(s) late. Send now.",IF($U770="DUE TOMORROW","Next: "&amp;$AC770&amp;IF($AB770&lt;=TODAY()," is due TODAY ("," is due next business day (")&amp;TEXT($AB770,"dd-mmm")&amp;").","Next: "&amp;$AC770&amp;" due "&amp;TEXT($AB770,"dd-mmm")&amp;" ("&amp;(NETWORKDAYS(TODAY(),$AB770,Holidays)-1)&amp;" business day(s) left).")))))</f>
        <v/>
      </c>
      <c r="W770" s="17">
        <f>IF($Z770="","",CHOOSE($Z770,"Collection Email","1st Follow-up","2nd Follow-up","Local Office","CBE","Roxanne")&amp;IF($Z770=6," - Final"," - Day "&amp;MAX(0,NETWORKDAYS($AA770,TODAY(),Holidays)-1)&amp;" of "&amp;CHOOSE($Z770,3,3,2,2,3))&amp;" | Total Day "&amp;MAX(0,NETWORKDAYS($N770,TODAY(),Holidays)-1))</f>
        <v/>
      </c>
      <c r="X770" s="18"/>
      <c r="Y770" s="18"/>
      <c r="Z770" s="17">
        <f>IF($N770="","",COUNT($N770:$S770))</f>
        <v/>
      </c>
      <c r="AA770" s="19">
        <f>IF($Z770="","",INT(INDEX($N770:$S770,$Z770)))</f>
        <v/>
      </c>
      <c r="AB770" s="19">
        <f>IF(OR($Z770="",$Z770=6),"",WORKDAY($AA770,CHOOSE($Z770,3,3,2,2,3),Holidays))</f>
        <v/>
      </c>
      <c r="AC770" s="17">
        <f>IF(OR($Z770="",$Z770=6),"",CHOOSE($Z770,"1st Email Follow-up","2nd Email Follow-up","Escalate Local Office","Escalate to CBE","Escalate to Roxanne"))</f>
        <v/>
      </c>
    </row>
    <row r="771" spans="13:29">
      <c r="M771" s="14"/>
      <c r="T771" s="16"/>
      <c r="U771" s="17">
        <f>IF(AND(COUNTA($A771:$L771)=0,$N771=""),"",IF($T771="Paid","PAID",IF($T771="Closed","CLOSED",IF($Z771="","",IF($Z771=6,"ESCALATED TO ROXANNE",IF(TODAY()&gt;$AB771,"OVERDUE",IF($AB771&lt;=WORKDAY(TODAY(),1,Holidays),"DUE TOMORROW",IF($Z771=4,"ESCALATED TO LOCAL OFFICE",IF($Z771=5,"ESCALATED TO CBE",IF($AA771=TODAY(),"EMAIL SENT","MONITORING"))))))))))</f>
        <v/>
      </c>
      <c r="V771" s="17">
        <f>IF($U771="",IF(AND(COUNTA($A771:$L771)&gt;0,$N771=""),"Awaiting Collection Email time stamp.",""),IF(OR($U771="PAID",$U771="CLOSED"),IF($U771="PAID","Account paid. Action completed.","Account closed. No further action required."),CHOOSE($Z771,"Collection Email","1st Email Follow-up","2nd Email Follow-up","Escalation to Local Office","Escalation to CBE","Escalation to Roxanne")&amp;" sent "&amp;TEXT($AA771,"dd-mmm")&amp;". "&amp;IF($Z771=6,"Final escalation completed.",IF($U771="OVERDUE","Next: "&amp;$AC771&amp;" was due "&amp;TEXT($AB771,"dd-mmm")&amp;" - "&amp;(NETWORKDAYS($AB771,TODAY(),Holidays)-1)&amp;" business day(s) late. Send now.",IF($U771="DUE TOMORROW","Next: "&amp;$AC771&amp;IF($AB771&lt;=TODAY()," is due TODAY ("," is due next business day (")&amp;TEXT($AB771,"dd-mmm")&amp;").","Next: "&amp;$AC771&amp;" due "&amp;TEXT($AB771,"dd-mmm")&amp;" ("&amp;(NETWORKDAYS(TODAY(),$AB771,Holidays)-1)&amp;" business day(s) left).")))))</f>
        <v/>
      </c>
      <c r="W771" s="17">
        <f>IF($Z771="","",CHOOSE($Z771,"Collection Email","1st Follow-up","2nd Follow-up","Local Office","CBE","Roxanne")&amp;IF($Z771=6," - Final"," - Day "&amp;MAX(0,NETWORKDAYS($AA771,TODAY(),Holidays)-1)&amp;" of "&amp;CHOOSE($Z771,3,3,2,2,3))&amp;" | Total Day "&amp;MAX(0,NETWORKDAYS($N771,TODAY(),Holidays)-1))</f>
        <v/>
      </c>
      <c r="X771" s="18"/>
      <c r="Y771" s="18"/>
      <c r="Z771" s="17">
        <f>IF($N771="","",COUNT($N771:$S771))</f>
        <v/>
      </c>
      <c r="AA771" s="19">
        <f>IF($Z771="","",INT(INDEX($N771:$S771,$Z771)))</f>
        <v/>
      </c>
      <c r="AB771" s="19">
        <f>IF(OR($Z771="",$Z771=6),"",WORKDAY($AA771,CHOOSE($Z771,3,3,2,2,3),Holidays))</f>
        <v/>
      </c>
      <c r="AC771" s="17">
        <f>IF(OR($Z771="",$Z771=6),"",CHOOSE($Z771,"1st Email Follow-up","2nd Email Follow-up","Escalate Local Office","Escalate to CBE","Escalate to Roxanne"))</f>
        <v/>
      </c>
    </row>
    <row r="772" spans="13:29">
      <c r="M772" s="14"/>
      <c r="T772" s="16"/>
      <c r="U772" s="17">
        <f>IF(AND(COUNTA($A772:$L772)=0,$N772=""),"",IF($T772="Paid","PAID",IF($T772="Closed","CLOSED",IF($Z772="","",IF($Z772=6,"ESCALATED TO ROXANNE",IF(TODAY()&gt;$AB772,"OVERDUE",IF($AB772&lt;=WORKDAY(TODAY(),1,Holidays),"DUE TOMORROW",IF($Z772=4,"ESCALATED TO LOCAL OFFICE",IF($Z772=5,"ESCALATED TO CBE",IF($AA772=TODAY(),"EMAIL SENT","MONITORING"))))))))))</f>
        <v/>
      </c>
      <c r="V772" s="17">
        <f>IF($U772="",IF(AND(COUNTA($A772:$L772)&gt;0,$N772=""),"Awaiting Collection Email time stamp.",""),IF(OR($U772="PAID",$U772="CLOSED"),IF($U772="PAID","Account paid. Action completed.","Account closed. No further action required."),CHOOSE($Z772,"Collection Email","1st Email Follow-up","2nd Email Follow-up","Escalation to Local Office","Escalation to CBE","Escalation to Roxanne")&amp;" sent "&amp;TEXT($AA772,"dd-mmm")&amp;". "&amp;IF($Z772=6,"Final escalation completed.",IF($U772="OVERDUE","Next: "&amp;$AC772&amp;" was due "&amp;TEXT($AB772,"dd-mmm")&amp;" - "&amp;(NETWORKDAYS($AB772,TODAY(),Holidays)-1)&amp;" business day(s) late. Send now.",IF($U772="DUE TOMORROW","Next: "&amp;$AC772&amp;IF($AB772&lt;=TODAY()," is due TODAY ("," is due next business day (")&amp;TEXT($AB772,"dd-mmm")&amp;").","Next: "&amp;$AC772&amp;" due "&amp;TEXT($AB772,"dd-mmm")&amp;" ("&amp;(NETWORKDAYS(TODAY(),$AB772,Holidays)-1)&amp;" business day(s) left).")))))</f>
        <v/>
      </c>
      <c r="W772" s="17">
        <f>IF($Z772="","",CHOOSE($Z772,"Collection Email","1st Follow-up","2nd Follow-up","Local Office","CBE","Roxanne")&amp;IF($Z772=6," - Final"," - Day "&amp;MAX(0,NETWORKDAYS($AA772,TODAY(),Holidays)-1)&amp;" of "&amp;CHOOSE($Z772,3,3,2,2,3))&amp;" | Total Day "&amp;MAX(0,NETWORKDAYS($N772,TODAY(),Holidays)-1))</f>
        <v/>
      </c>
      <c r="X772" s="18"/>
      <c r="Y772" s="18"/>
      <c r="Z772" s="17">
        <f>IF($N772="","",COUNT($N772:$S772))</f>
        <v/>
      </c>
      <c r="AA772" s="19">
        <f>IF($Z772="","",INT(INDEX($N772:$S772,$Z772)))</f>
        <v/>
      </c>
      <c r="AB772" s="19">
        <f>IF(OR($Z772="",$Z772=6),"",WORKDAY($AA772,CHOOSE($Z772,3,3,2,2,3),Holidays))</f>
        <v/>
      </c>
      <c r="AC772" s="17">
        <f>IF(OR($Z772="",$Z772=6),"",CHOOSE($Z772,"1st Email Follow-up","2nd Email Follow-up","Escalate Local Office","Escalate to CBE","Escalate to Roxanne"))</f>
        <v/>
      </c>
    </row>
    <row r="773" spans="13:29">
      <c r="M773" s="14"/>
      <c r="T773" s="16"/>
      <c r="U773" s="17">
        <f>IF(AND(COUNTA($A773:$L773)=0,$N773=""),"",IF($T773="Paid","PAID",IF($T773="Closed","CLOSED",IF($Z773="","",IF($Z773=6,"ESCALATED TO ROXANNE",IF(TODAY()&gt;$AB773,"OVERDUE",IF($AB773&lt;=WORKDAY(TODAY(),1,Holidays),"DUE TOMORROW",IF($Z773=4,"ESCALATED TO LOCAL OFFICE",IF($Z773=5,"ESCALATED TO CBE",IF($AA773=TODAY(),"EMAIL SENT","MONITORING"))))))))))</f>
        <v/>
      </c>
      <c r="V773" s="17">
        <f>IF($U773="",IF(AND(COUNTA($A773:$L773)&gt;0,$N773=""),"Awaiting Collection Email time stamp.",""),IF(OR($U773="PAID",$U773="CLOSED"),IF($U773="PAID","Account paid. Action completed.","Account closed. No further action required."),CHOOSE($Z773,"Collection Email","1st Email Follow-up","2nd Email Follow-up","Escalation to Local Office","Escalation to CBE","Escalation to Roxanne")&amp;" sent "&amp;TEXT($AA773,"dd-mmm")&amp;". "&amp;IF($Z773=6,"Final escalation completed.",IF($U773="OVERDUE","Next: "&amp;$AC773&amp;" was due "&amp;TEXT($AB773,"dd-mmm")&amp;" - "&amp;(NETWORKDAYS($AB773,TODAY(),Holidays)-1)&amp;" business day(s) late. Send now.",IF($U773="DUE TOMORROW","Next: "&amp;$AC773&amp;IF($AB773&lt;=TODAY()," is due TODAY ("," is due next business day (")&amp;TEXT($AB773,"dd-mmm")&amp;").","Next: "&amp;$AC773&amp;" due "&amp;TEXT($AB773,"dd-mmm")&amp;" ("&amp;(NETWORKDAYS(TODAY(),$AB773,Holidays)-1)&amp;" business day(s) left).")))))</f>
        <v/>
      </c>
      <c r="W773" s="17">
        <f>IF($Z773="","",CHOOSE($Z773,"Collection Email","1st Follow-up","2nd Follow-up","Local Office","CBE","Roxanne")&amp;IF($Z773=6," - Final"," - Day "&amp;MAX(0,NETWORKDAYS($AA773,TODAY(),Holidays)-1)&amp;" of "&amp;CHOOSE($Z773,3,3,2,2,3))&amp;" | Total Day "&amp;MAX(0,NETWORKDAYS($N773,TODAY(),Holidays)-1))</f>
        <v/>
      </c>
      <c r="X773" s="18"/>
      <c r="Y773" s="18"/>
      <c r="Z773" s="17">
        <f>IF($N773="","",COUNT($N773:$S773))</f>
        <v/>
      </c>
      <c r="AA773" s="19">
        <f>IF($Z773="","",INT(INDEX($N773:$S773,$Z773)))</f>
        <v/>
      </c>
      <c r="AB773" s="19">
        <f>IF(OR($Z773="",$Z773=6),"",WORKDAY($AA773,CHOOSE($Z773,3,3,2,2,3),Holidays))</f>
        <v/>
      </c>
      <c r="AC773" s="17">
        <f>IF(OR($Z773="",$Z773=6),"",CHOOSE($Z773,"1st Email Follow-up","2nd Email Follow-up","Escalate Local Office","Escalate to CBE","Escalate to Roxanne"))</f>
        <v/>
      </c>
    </row>
    <row r="774" spans="13:29">
      <c r="M774" s="14"/>
      <c r="T774" s="16"/>
      <c r="U774" s="17">
        <f>IF(AND(COUNTA($A774:$L774)=0,$N774=""),"",IF($T774="Paid","PAID",IF($T774="Closed","CLOSED",IF($Z774="","",IF($Z774=6,"ESCALATED TO ROXANNE",IF(TODAY()&gt;$AB774,"OVERDUE",IF($AB774&lt;=WORKDAY(TODAY(),1,Holidays),"DUE TOMORROW",IF($Z774=4,"ESCALATED TO LOCAL OFFICE",IF($Z774=5,"ESCALATED TO CBE",IF($AA774=TODAY(),"EMAIL SENT","MONITORING"))))))))))</f>
        <v/>
      </c>
      <c r="V774" s="17">
        <f>IF($U774="",IF(AND(COUNTA($A774:$L774)&gt;0,$N774=""),"Awaiting Collection Email time stamp.",""),IF(OR($U774="PAID",$U774="CLOSED"),IF($U774="PAID","Account paid. Action completed.","Account closed. No further action required."),CHOOSE($Z774,"Collection Email","1st Email Follow-up","2nd Email Follow-up","Escalation to Local Office","Escalation to CBE","Escalation to Roxanne")&amp;" sent "&amp;TEXT($AA774,"dd-mmm")&amp;". "&amp;IF($Z774=6,"Final escalation completed.",IF($U774="OVERDUE","Next: "&amp;$AC774&amp;" was due "&amp;TEXT($AB774,"dd-mmm")&amp;" - "&amp;(NETWORKDAYS($AB774,TODAY(),Holidays)-1)&amp;" business day(s) late. Send now.",IF($U774="DUE TOMORROW","Next: "&amp;$AC774&amp;IF($AB774&lt;=TODAY()," is due TODAY ("," is due next business day (")&amp;TEXT($AB774,"dd-mmm")&amp;").","Next: "&amp;$AC774&amp;" due "&amp;TEXT($AB774,"dd-mmm")&amp;" ("&amp;(NETWORKDAYS(TODAY(),$AB774,Holidays)-1)&amp;" business day(s) left).")))))</f>
        <v/>
      </c>
      <c r="W774" s="17">
        <f>IF($Z774="","",CHOOSE($Z774,"Collection Email","1st Follow-up","2nd Follow-up","Local Office","CBE","Roxanne")&amp;IF($Z774=6," - Final"," - Day "&amp;MAX(0,NETWORKDAYS($AA774,TODAY(),Holidays)-1)&amp;" of "&amp;CHOOSE($Z774,3,3,2,2,3))&amp;" | Total Day "&amp;MAX(0,NETWORKDAYS($N774,TODAY(),Holidays)-1))</f>
        <v/>
      </c>
      <c r="X774" s="18"/>
      <c r="Y774" s="18"/>
      <c r="Z774" s="17">
        <f>IF($N774="","",COUNT($N774:$S774))</f>
        <v/>
      </c>
      <c r="AA774" s="19">
        <f>IF($Z774="","",INT(INDEX($N774:$S774,$Z774)))</f>
        <v/>
      </c>
      <c r="AB774" s="19">
        <f>IF(OR($Z774="",$Z774=6),"",WORKDAY($AA774,CHOOSE($Z774,3,3,2,2,3),Holidays))</f>
        <v/>
      </c>
      <c r="AC774" s="17">
        <f>IF(OR($Z774="",$Z774=6),"",CHOOSE($Z774,"1st Email Follow-up","2nd Email Follow-up","Escalate Local Office","Escalate to CBE","Escalate to Roxanne"))</f>
        <v/>
      </c>
    </row>
    <row r="775" spans="13:29">
      <c r="M775" s="14"/>
      <c r="T775" s="16"/>
      <c r="U775" s="17">
        <f>IF(AND(COUNTA($A775:$L775)=0,$N775=""),"",IF($T775="Paid","PAID",IF($T775="Closed","CLOSED",IF($Z775="","",IF($Z775=6,"ESCALATED TO ROXANNE",IF(TODAY()&gt;$AB775,"OVERDUE",IF($AB775&lt;=WORKDAY(TODAY(),1,Holidays),"DUE TOMORROW",IF($Z775=4,"ESCALATED TO LOCAL OFFICE",IF($Z775=5,"ESCALATED TO CBE",IF($AA775=TODAY(),"EMAIL SENT","MONITORING"))))))))))</f>
        <v/>
      </c>
      <c r="V775" s="17">
        <f>IF($U775="",IF(AND(COUNTA($A775:$L775)&gt;0,$N775=""),"Awaiting Collection Email time stamp.",""),IF(OR($U775="PAID",$U775="CLOSED"),IF($U775="PAID","Account paid. Action completed.","Account closed. No further action required."),CHOOSE($Z775,"Collection Email","1st Email Follow-up","2nd Email Follow-up","Escalation to Local Office","Escalation to CBE","Escalation to Roxanne")&amp;" sent "&amp;TEXT($AA775,"dd-mmm")&amp;". "&amp;IF($Z775=6,"Final escalation completed.",IF($U775="OVERDUE","Next: "&amp;$AC775&amp;" was due "&amp;TEXT($AB775,"dd-mmm")&amp;" - "&amp;(NETWORKDAYS($AB775,TODAY(),Holidays)-1)&amp;" business day(s) late. Send now.",IF($U775="DUE TOMORROW","Next: "&amp;$AC775&amp;IF($AB775&lt;=TODAY()," is due TODAY ("," is due next business day (")&amp;TEXT($AB775,"dd-mmm")&amp;").","Next: "&amp;$AC775&amp;" due "&amp;TEXT($AB775,"dd-mmm")&amp;" ("&amp;(NETWORKDAYS(TODAY(),$AB775,Holidays)-1)&amp;" business day(s) left).")))))</f>
        <v/>
      </c>
      <c r="W775" s="17">
        <f>IF($Z775="","",CHOOSE($Z775,"Collection Email","1st Follow-up","2nd Follow-up","Local Office","CBE","Roxanne")&amp;IF($Z775=6," - Final"," - Day "&amp;MAX(0,NETWORKDAYS($AA775,TODAY(),Holidays)-1)&amp;" of "&amp;CHOOSE($Z775,3,3,2,2,3))&amp;" | Total Day "&amp;MAX(0,NETWORKDAYS($N775,TODAY(),Holidays)-1))</f>
        <v/>
      </c>
      <c r="X775" s="18"/>
      <c r="Y775" s="18"/>
      <c r="Z775" s="17">
        <f>IF($N775="","",COUNT($N775:$S775))</f>
        <v/>
      </c>
      <c r="AA775" s="19">
        <f>IF($Z775="","",INT(INDEX($N775:$S775,$Z775)))</f>
        <v/>
      </c>
      <c r="AB775" s="19">
        <f>IF(OR($Z775="",$Z775=6),"",WORKDAY($AA775,CHOOSE($Z775,3,3,2,2,3),Holidays))</f>
        <v/>
      </c>
      <c r="AC775" s="17">
        <f>IF(OR($Z775="",$Z775=6),"",CHOOSE($Z775,"1st Email Follow-up","2nd Email Follow-up","Escalate Local Office","Escalate to CBE","Escalate to Roxanne"))</f>
        <v/>
      </c>
    </row>
    <row r="776" spans="13:29">
      <c r="M776" s="14"/>
      <c r="T776" s="16"/>
      <c r="U776" s="17">
        <f>IF(AND(COUNTA($A776:$L776)=0,$N776=""),"",IF($T776="Paid","PAID",IF($T776="Closed","CLOSED",IF($Z776="","",IF($Z776=6,"ESCALATED TO ROXANNE",IF(TODAY()&gt;$AB776,"OVERDUE",IF($AB776&lt;=WORKDAY(TODAY(),1,Holidays),"DUE TOMORROW",IF($Z776=4,"ESCALATED TO LOCAL OFFICE",IF($Z776=5,"ESCALATED TO CBE",IF($AA776=TODAY(),"EMAIL SENT","MONITORING"))))))))))</f>
        <v/>
      </c>
      <c r="V776" s="17">
        <f>IF($U776="",IF(AND(COUNTA($A776:$L776)&gt;0,$N776=""),"Awaiting Collection Email time stamp.",""),IF(OR($U776="PAID",$U776="CLOSED"),IF($U776="PAID","Account paid. Action completed.","Account closed. No further action required."),CHOOSE($Z776,"Collection Email","1st Email Follow-up","2nd Email Follow-up","Escalation to Local Office","Escalation to CBE","Escalation to Roxanne")&amp;" sent "&amp;TEXT($AA776,"dd-mmm")&amp;". "&amp;IF($Z776=6,"Final escalation completed.",IF($U776="OVERDUE","Next: "&amp;$AC776&amp;" was due "&amp;TEXT($AB776,"dd-mmm")&amp;" - "&amp;(NETWORKDAYS($AB776,TODAY(),Holidays)-1)&amp;" business day(s) late. Send now.",IF($U776="DUE TOMORROW","Next: "&amp;$AC776&amp;IF($AB776&lt;=TODAY()," is due TODAY ("," is due next business day (")&amp;TEXT($AB776,"dd-mmm")&amp;").","Next: "&amp;$AC776&amp;" due "&amp;TEXT($AB776,"dd-mmm")&amp;" ("&amp;(NETWORKDAYS(TODAY(),$AB776,Holidays)-1)&amp;" business day(s) left).")))))</f>
        <v/>
      </c>
      <c r="W776" s="17">
        <f>IF($Z776="","",CHOOSE($Z776,"Collection Email","1st Follow-up","2nd Follow-up","Local Office","CBE","Roxanne")&amp;IF($Z776=6," - Final"," - Day "&amp;MAX(0,NETWORKDAYS($AA776,TODAY(),Holidays)-1)&amp;" of "&amp;CHOOSE($Z776,3,3,2,2,3))&amp;" | Total Day "&amp;MAX(0,NETWORKDAYS($N776,TODAY(),Holidays)-1))</f>
        <v/>
      </c>
      <c r="X776" s="18"/>
      <c r="Y776" s="18"/>
      <c r="Z776" s="17">
        <f>IF($N776="","",COUNT($N776:$S776))</f>
        <v/>
      </c>
      <c r="AA776" s="19">
        <f>IF($Z776="","",INT(INDEX($N776:$S776,$Z776)))</f>
        <v/>
      </c>
      <c r="AB776" s="19">
        <f>IF(OR($Z776="",$Z776=6),"",WORKDAY($AA776,CHOOSE($Z776,3,3,2,2,3),Holidays))</f>
        <v/>
      </c>
      <c r="AC776" s="17">
        <f>IF(OR($Z776="",$Z776=6),"",CHOOSE($Z776,"1st Email Follow-up","2nd Email Follow-up","Escalate Local Office","Escalate to CBE","Escalate to Roxanne"))</f>
        <v/>
      </c>
    </row>
    <row r="777" spans="13:29">
      <c r="M777" s="14"/>
      <c r="T777" s="16"/>
      <c r="U777" s="17">
        <f>IF(AND(COUNTA($A777:$L777)=0,$N777=""),"",IF($T777="Paid","PAID",IF($T777="Closed","CLOSED",IF($Z777="","",IF($Z777=6,"ESCALATED TO ROXANNE",IF(TODAY()&gt;$AB777,"OVERDUE",IF($AB777&lt;=WORKDAY(TODAY(),1,Holidays),"DUE TOMORROW",IF($Z777=4,"ESCALATED TO LOCAL OFFICE",IF($Z777=5,"ESCALATED TO CBE",IF($AA777=TODAY(),"EMAIL SENT","MONITORING"))))))))))</f>
        <v/>
      </c>
      <c r="V777" s="17">
        <f>IF($U777="",IF(AND(COUNTA($A777:$L777)&gt;0,$N777=""),"Awaiting Collection Email time stamp.",""),IF(OR($U777="PAID",$U777="CLOSED"),IF($U777="PAID","Account paid. Action completed.","Account closed. No further action required."),CHOOSE($Z777,"Collection Email","1st Email Follow-up","2nd Email Follow-up","Escalation to Local Office","Escalation to CBE","Escalation to Roxanne")&amp;" sent "&amp;TEXT($AA777,"dd-mmm")&amp;". "&amp;IF($Z777=6,"Final escalation completed.",IF($U777="OVERDUE","Next: "&amp;$AC777&amp;" was due "&amp;TEXT($AB777,"dd-mmm")&amp;" - "&amp;(NETWORKDAYS($AB777,TODAY(),Holidays)-1)&amp;" business day(s) late. Send now.",IF($U777="DUE TOMORROW","Next: "&amp;$AC777&amp;IF($AB777&lt;=TODAY()," is due TODAY ("," is due next business day (")&amp;TEXT($AB777,"dd-mmm")&amp;").","Next: "&amp;$AC777&amp;" due "&amp;TEXT($AB777,"dd-mmm")&amp;" ("&amp;(NETWORKDAYS(TODAY(),$AB777,Holidays)-1)&amp;" business day(s) left).")))))</f>
        <v/>
      </c>
      <c r="W777" s="17">
        <f>IF($Z777="","",CHOOSE($Z777,"Collection Email","1st Follow-up","2nd Follow-up","Local Office","CBE","Roxanne")&amp;IF($Z777=6," - Final"," - Day "&amp;MAX(0,NETWORKDAYS($AA777,TODAY(),Holidays)-1)&amp;" of "&amp;CHOOSE($Z777,3,3,2,2,3))&amp;" | Total Day "&amp;MAX(0,NETWORKDAYS($N777,TODAY(),Holidays)-1))</f>
        <v/>
      </c>
      <c r="X777" s="18"/>
      <c r="Y777" s="18"/>
      <c r="Z777" s="17">
        <f>IF($N777="","",COUNT($N777:$S777))</f>
        <v/>
      </c>
      <c r="AA777" s="19">
        <f>IF($Z777="","",INT(INDEX($N777:$S777,$Z777)))</f>
        <v/>
      </c>
      <c r="AB777" s="19">
        <f>IF(OR($Z777="",$Z777=6),"",WORKDAY($AA777,CHOOSE($Z777,3,3,2,2,3),Holidays))</f>
        <v/>
      </c>
      <c r="AC777" s="17">
        <f>IF(OR($Z777="",$Z777=6),"",CHOOSE($Z777,"1st Email Follow-up","2nd Email Follow-up","Escalate Local Office","Escalate to CBE","Escalate to Roxanne"))</f>
        <v/>
      </c>
    </row>
    <row r="778" spans="13:29">
      <c r="M778" s="14"/>
      <c r="T778" s="16"/>
      <c r="U778" s="17">
        <f>IF(AND(COUNTA($A778:$L778)=0,$N778=""),"",IF($T778="Paid","PAID",IF($T778="Closed","CLOSED",IF($Z778="","",IF($Z778=6,"ESCALATED TO ROXANNE",IF(TODAY()&gt;$AB778,"OVERDUE",IF($AB778&lt;=WORKDAY(TODAY(),1,Holidays),"DUE TOMORROW",IF($Z778=4,"ESCALATED TO LOCAL OFFICE",IF($Z778=5,"ESCALATED TO CBE",IF($AA778=TODAY(),"EMAIL SENT","MONITORING"))))))))))</f>
        <v/>
      </c>
      <c r="V778" s="17">
        <f>IF($U778="",IF(AND(COUNTA($A778:$L778)&gt;0,$N778=""),"Awaiting Collection Email time stamp.",""),IF(OR($U778="PAID",$U778="CLOSED"),IF($U778="PAID","Account paid. Action completed.","Account closed. No further action required."),CHOOSE($Z778,"Collection Email","1st Email Follow-up","2nd Email Follow-up","Escalation to Local Office","Escalation to CBE","Escalation to Roxanne")&amp;" sent "&amp;TEXT($AA778,"dd-mmm")&amp;". "&amp;IF($Z778=6,"Final escalation completed.",IF($U778="OVERDUE","Next: "&amp;$AC778&amp;" was due "&amp;TEXT($AB778,"dd-mmm")&amp;" - "&amp;(NETWORKDAYS($AB778,TODAY(),Holidays)-1)&amp;" business day(s) late. Send now.",IF($U778="DUE TOMORROW","Next: "&amp;$AC778&amp;IF($AB778&lt;=TODAY()," is due TODAY ("," is due next business day (")&amp;TEXT($AB778,"dd-mmm")&amp;").","Next: "&amp;$AC778&amp;" due "&amp;TEXT($AB778,"dd-mmm")&amp;" ("&amp;(NETWORKDAYS(TODAY(),$AB778,Holidays)-1)&amp;" business day(s) left).")))))</f>
        <v/>
      </c>
      <c r="W778" s="17">
        <f>IF($Z778="","",CHOOSE($Z778,"Collection Email","1st Follow-up","2nd Follow-up","Local Office","CBE","Roxanne")&amp;IF($Z778=6," - Final"," - Day "&amp;MAX(0,NETWORKDAYS($AA778,TODAY(),Holidays)-1)&amp;" of "&amp;CHOOSE($Z778,3,3,2,2,3))&amp;" | Total Day "&amp;MAX(0,NETWORKDAYS($N778,TODAY(),Holidays)-1))</f>
        <v/>
      </c>
      <c r="X778" s="18"/>
      <c r="Y778" s="18"/>
      <c r="Z778" s="17">
        <f>IF($N778="","",COUNT($N778:$S778))</f>
        <v/>
      </c>
      <c r="AA778" s="19">
        <f>IF($Z778="","",INT(INDEX($N778:$S778,$Z778)))</f>
        <v/>
      </c>
      <c r="AB778" s="19">
        <f>IF(OR($Z778="",$Z778=6),"",WORKDAY($AA778,CHOOSE($Z778,3,3,2,2,3),Holidays))</f>
        <v/>
      </c>
      <c r="AC778" s="17">
        <f>IF(OR($Z778="",$Z778=6),"",CHOOSE($Z778,"1st Email Follow-up","2nd Email Follow-up","Escalate Local Office","Escalate to CBE","Escalate to Roxanne"))</f>
        <v/>
      </c>
    </row>
    <row r="779" spans="13:29">
      <c r="M779" s="14"/>
      <c r="T779" s="16"/>
      <c r="U779" s="17">
        <f>IF(AND(COUNTA($A779:$L779)=0,$N779=""),"",IF($T779="Paid","PAID",IF($T779="Closed","CLOSED",IF($Z779="","",IF($Z779=6,"ESCALATED TO ROXANNE",IF(TODAY()&gt;$AB779,"OVERDUE",IF($AB779&lt;=WORKDAY(TODAY(),1,Holidays),"DUE TOMORROW",IF($Z779=4,"ESCALATED TO LOCAL OFFICE",IF($Z779=5,"ESCALATED TO CBE",IF($AA779=TODAY(),"EMAIL SENT","MONITORING"))))))))))</f>
        <v/>
      </c>
      <c r="V779" s="17">
        <f>IF($U779="",IF(AND(COUNTA($A779:$L779)&gt;0,$N779=""),"Awaiting Collection Email time stamp.",""),IF(OR($U779="PAID",$U779="CLOSED"),IF($U779="PAID","Account paid. Action completed.","Account closed. No further action required."),CHOOSE($Z779,"Collection Email","1st Email Follow-up","2nd Email Follow-up","Escalation to Local Office","Escalation to CBE","Escalation to Roxanne")&amp;" sent "&amp;TEXT($AA779,"dd-mmm")&amp;". "&amp;IF($Z779=6,"Final escalation completed.",IF($U779="OVERDUE","Next: "&amp;$AC779&amp;" was due "&amp;TEXT($AB779,"dd-mmm")&amp;" - "&amp;(NETWORKDAYS($AB779,TODAY(),Holidays)-1)&amp;" business day(s) late. Send now.",IF($U779="DUE TOMORROW","Next: "&amp;$AC779&amp;IF($AB779&lt;=TODAY()," is due TODAY ("," is due next business day (")&amp;TEXT($AB779,"dd-mmm")&amp;").","Next: "&amp;$AC779&amp;" due "&amp;TEXT($AB779,"dd-mmm")&amp;" ("&amp;(NETWORKDAYS(TODAY(),$AB779,Holidays)-1)&amp;" business day(s) left).")))))</f>
        <v/>
      </c>
      <c r="W779" s="17">
        <f>IF($Z779="","",CHOOSE($Z779,"Collection Email","1st Follow-up","2nd Follow-up","Local Office","CBE","Roxanne")&amp;IF($Z779=6," - Final"," - Day "&amp;MAX(0,NETWORKDAYS($AA779,TODAY(),Holidays)-1)&amp;" of "&amp;CHOOSE($Z779,3,3,2,2,3))&amp;" | Total Day "&amp;MAX(0,NETWORKDAYS($N779,TODAY(),Holidays)-1))</f>
        <v/>
      </c>
      <c r="X779" s="18"/>
      <c r="Y779" s="18"/>
      <c r="Z779" s="17">
        <f>IF($N779="","",COUNT($N779:$S779))</f>
        <v/>
      </c>
      <c r="AA779" s="19">
        <f>IF($Z779="","",INT(INDEX($N779:$S779,$Z779)))</f>
        <v/>
      </c>
      <c r="AB779" s="19">
        <f>IF(OR($Z779="",$Z779=6),"",WORKDAY($AA779,CHOOSE($Z779,3,3,2,2,3),Holidays))</f>
        <v/>
      </c>
      <c r="AC779" s="17">
        <f>IF(OR($Z779="",$Z779=6),"",CHOOSE($Z779,"1st Email Follow-up","2nd Email Follow-up","Escalate Local Office","Escalate to CBE","Escalate to Roxanne"))</f>
        <v/>
      </c>
    </row>
    <row r="780" spans="13:29">
      <c r="M780" s="14"/>
      <c r="T780" s="16"/>
      <c r="U780" s="17">
        <f>IF(AND(COUNTA($A780:$L780)=0,$N780=""),"",IF($T780="Paid","PAID",IF($T780="Closed","CLOSED",IF($Z780="","",IF($Z780=6,"ESCALATED TO ROXANNE",IF(TODAY()&gt;$AB780,"OVERDUE",IF($AB780&lt;=WORKDAY(TODAY(),1,Holidays),"DUE TOMORROW",IF($Z780=4,"ESCALATED TO LOCAL OFFICE",IF($Z780=5,"ESCALATED TO CBE",IF($AA780=TODAY(),"EMAIL SENT","MONITORING"))))))))))</f>
        <v/>
      </c>
      <c r="V780" s="17">
        <f>IF($U780="",IF(AND(COUNTA($A780:$L780)&gt;0,$N780=""),"Awaiting Collection Email time stamp.",""),IF(OR($U780="PAID",$U780="CLOSED"),IF($U780="PAID","Account paid. Action completed.","Account closed. No further action required."),CHOOSE($Z780,"Collection Email","1st Email Follow-up","2nd Email Follow-up","Escalation to Local Office","Escalation to CBE","Escalation to Roxanne")&amp;" sent "&amp;TEXT($AA780,"dd-mmm")&amp;". "&amp;IF($Z780=6,"Final escalation completed.",IF($U780="OVERDUE","Next: "&amp;$AC780&amp;" was due "&amp;TEXT($AB780,"dd-mmm")&amp;" - "&amp;(NETWORKDAYS($AB780,TODAY(),Holidays)-1)&amp;" business day(s) late. Send now.",IF($U780="DUE TOMORROW","Next: "&amp;$AC780&amp;IF($AB780&lt;=TODAY()," is due TODAY ("," is due next business day (")&amp;TEXT($AB780,"dd-mmm")&amp;").","Next: "&amp;$AC780&amp;" due "&amp;TEXT($AB780,"dd-mmm")&amp;" ("&amp;(NETWORKDAYS(TODAY(),$AB780,Holidays)-1)&amp;" business day(s) left).")))))</f>
        <v/>
      </c>
      <c r="W780" s="17">
        <f>IF($Z780="","",CHOOSE($Z780,"Collection Email","1st Follow-up","2nd Follow-up","Local Office","CBE","Roxanne")&amp;IF($Z780=6," - Final"," - Day "&amp;MAX(0,NETWORKDAYS($AA780,TODAY(),Holidays)-1)&amp;" of "&amp;CHOOSE($Z780,3,3,2,2,3))&amp;" | Total Day "&amp;MAX(0,NETWORKDAYS($N780,TODAY(),Holidays)-1))</f>
        <v/>
      </c>
      <c r="X780" s="18"/>
      <c r="Y780" s="18"/>
      <c r="Z780" s="17">
        <f>IF($N780="","",COUNT($N780:$S780))</f>
        <v/>
      </c>
      <c r="AA780" s="19">
        <f>IF($Z780="","",INT(INDEX($N780:$S780,$Z780)))</f>
        <v/>
      </c>
      <c r="AB780" s="19">
        <f>IF(OR($Z780="",$Z780=6),"",WORKDAY($AA780,CHOOSE($Z780,3,3,2,2,3),Holidays))</f>
        <v/>
      </c>
      <c r="AC780" s="17">
        <f>IF(OR($Z780="",$Z780=6),"",CHOOSE($Z780,"1st Email Follow-up","2nd Email Follow-up","Escalate Local Office","Escalate to CBE","Escalate to Roxanne"))</f>
        <v/>
      </c>
    </row>
    <row r="781" spans="13:29">
      <c r="M781" s="14"/>
      <c r="T781" s="16"/>
      <c r="U781" s="17">
        <f>IF(AND(COUNTA($A781:$L781)=0,$N781=""),"",IF($T781="Paid","PAID",IF($T781="Closed","CLOSED",IF($Z781="","",IF($Z781=6,"ESCALATED TO ROXANNE",IF(TODAY()&gt;$AB781,"OVERDUE",IF($AB781&lt;=WORKDAY(TODAY(),1,Holidays),"DUE TOMORROW",IF($Z781=4,"ESCALATED TO LOCAL OFFICE",IF($Z781=5,"ESCALATED TO CBE",IF($AA781=TODAY(),"EMAIL SENT","MONITORING"))))))))))</f>
        <v/>
      </c>
      <c r="V781" s="17">
        <f>IF($U781="",IF(AND(COUNTA($A781:$L781)&gt;0,$N781=""),"Awaiting Collection Email time stamp.",""),IF(OR($U781="PAID",$U781="CLOSED"),IF($U781="PAID","Account paid. Action completed.","Account closed. No further action required."),CHOOSE($Z781,"Collection Email","1st Email Follow-up","2nd Email Follow-up","Escalation to Local Office","Escalation to CBE","Escalation to Roxanne")&amp;" sent "&amp;TEXT($AA781,"dd-mmm")&amp;". "&amp;IF($Z781=6,"Final escalation completed.",IF($U781="OVERDUE","Next: "&amp;$AC781&amp;" was due "&amp;TEXT($AB781,"dd-mmm")&amp;" - "&amp;(NETWORKDAYS($AB781,TODAY(),Holidays)-1)&amp;" business day(s) late. Send now.",IF($U781="DUE TOMORROW","Next: "&amp;$AC781&amp;IF($AB781&lt;=TODAY()," is due TODAY ("," is due next business day (")&amp;TEXT($AB781,"dd-mmm")&amp;").","Next: "&amp;$AC781&amp;" due "&amp;TEXT($AB781,"dd-mmm")&amp;" ("&amp;(NETWORKDAYS(TODAY(),$AB781,Holidays)-1)&amp;" business day(s) left).")))))</f>
        <v/>
      </c>
      <c r="W781" s="17">
        <f>IF($Z781="","",CHOOSE($Z781,"Collection Email","1st Follow-up","2nd Follow-up","Local Office","CBE","Roxanne")&amp;IF($Z781=6," - Final"," - Day "&amp;MAX(0,NETWORKDAYS($AA781,TODAY(),Holidays)-1)&amp;" of "&amp;CHOOSE($Z781,3,3,2,2,3))&amp;" | Total Day "&amp;MAX(0,NETWORKDAYS($N781,TODAY(),Holidays)-1))</f>
        <v/>
      </c>
      <c r="X781" s="18"/>
      <c r="Y781" s="18"/>
      <c r="Z781" s="17">
        <f>IF($N781="","",COUNT($N781:$S781))</f>
        <v/>
      </c>
      <c r="AA781" s="19">
        <f>IF($Z781="","",INT(INDEX($N781:$S781,$Z781)))</f>
        <v/>
      </c>
      <c r="AB781" s="19">
        <f>IF(OR($Z781="",$Z781=6),"",WORKDAY($AA781,CHOOSE($Z781,3,3,2,2,3),Holidays))</f>
        <v/>
      </c>
      <c r="AC781" s="17">
        <f>IF(OR($Z781="",$Z781=6),"",CHOOSE($Z781,"1st Email Follow-up","2nd Email Follow-up","Escalate Local Office","Escalate to CBE","Escalate to Roxanne"))</f>
        <v/>
      </c>
    </row>
    <row r="782" spans="13:29">
      <c r="M782" s="14"/>
      <c r="T782" s="16"/>
      <c r="U782" s="17">
        <f>IF(AND(COUNTA($A782:$L782)=0,$N782=""),"",IF($T782="Paid","PAID",IF($T782="Closed","CLOSED",IF($Z782="","",IF($Z782=6,"ESCALATED TO ROXANNE",IF(TODAY()&gt;$AB782,"OVERDUE",IF($AB782&lt;=WORKDAY(TODAY(),1,Holidays),"DUE TOMORROW",IF($Z782=4,"ESCALATED TO LOCAL OFFICE",IF($Z782=5,"ESCALATED TO CBE",IF($AA782=TODAY(),"EMAIL SENT","MONITORING"))))))))))</f>
        <v/>
      </c>
      <c r="V782" s="17">
        <f>IF($U782="",IF(AND(COUNTA($A782:$L782)&gt;0,$N782=""),"Awaiting Collection Email time stamp.",""),IF(OR($U782="PAID",$U782="CLOSED"),IF($U782="PAID","Account paid. Action completed.","Account closed. No further action required."),CHOOSE($Z782,"Collection Email","1st Email Follow-up","2nd Email Follow-up","Escalation to Local Office","Escalation to CBE","Escalation to Roxanne")&amp;" sent "&amp;TEXT($AA782,"dd-mmm")&amp;". "&amp;IF($Z782=6,"Final escalation completed.",IF($U782="OVERDUE","Next: "&amp;$AC782&amp;" was due "&amp;TEXT($AB782,"dd-mmm")&amp;" - "&amp;(NETWORKDAYS($AB782,TODAY(),Holidays)-1)&amp;" business day(s) late. Send now.",IF($U782="DUE TOMORROW","Next: "&amp;$AC782&amp;IF($AB782&lt;=TODAY()," is due TODAY ("," is due next business day (")&amp;TEXT($AB782,"dd-mmm")&amp;").","Next: "&amp;$AC782&amp;" due "&amp;TEXT($AB782,"dd-mmm")&amp;" ("&amp;(NETWORKDAYS(TODAY(),$AB782,Holidays)-1)&amp;" business day(s) left).")))))</f>
        <v/>
      </c>
      <c r="W782" s="17">
        <f>IF($Z782="","",CHOOSE($Z782,"Collection Email","1st Follow-up","2nd Follow-up","Local Office","CBE","Roxanne")&amp;IF($Z782=6," - Final"," - Day "&amp;MAX(0,NETWORKDAYS($AA782,TODAY(),Holidays)-1)&amp;" of "&amp;CHOOSE($Z782,3,3,2,2,3))&amp;" | Total Day "&amp;MAX(0,NETWORKDAYS($N782,TODAY(),Holidays)-1))</f>
        <v/>
      </c>
      <c r="X782" s="18"/>
      <c r="Y782" s="18"/>
      <c r="Z782" s="17">
        <f>IF($N782="","",COUNT($N782:$S782))</f>
        <v/>
      </c>
      <c r="AA782" s="19">
        <f>IF($Z782="","",INT(INDEX($N782:$S782,$Z782)))</f>
        <v/>
      </c>
      <c r="AB782" s="19">
        <f>IF(OR($Z782="",$Z782=6),"",WORKDAY($AA782,CHOOSE($Z782,3,3,2,2,3),Holidays))</f>
        <v/>
      </c>
      <c r="AC782" s="17">
        <f>IF(OR($Z782="",$Z782=6),"",CHOOSE($Z782,"1st Email Follow-up","2nd Email Follow-up","Escalate Local Office","Escalate to CBE","Escalate to Roxanne"))</f>
        <v/>
      </c>
    </row>
    <row r="783" spans="13:29">
      <c r="M783" s="14"/>
      <c r="T783" s="16"/>
      <c r="U783" s="17">
        <f>IF(AND(COUNTA($A783:$L783)=0,$N783=""),"",IF($T783="Paid","PAID",IF($T783="Closed","CLOSED",IF($Z783="","",IF($Z783=6,"ESCALATED TO ROXANNE",IF(TODAY()&gt;$AB783,"OVERDUE",IF($AB783&lt;=WORKDAY(TODAY(),1,Holidays),"DUE TOMORROW",IF($Z783=4,"ESCALATED TO LOCAL OFFICE",IF($Z783=5,"ESCALATED TO CBE",IF($AA783=TODAY(),"EMAIL SENT","MONITORING"))))))))))</f>
        <v/>
      </c>
      <c r="V783" s="17">
        <f>IF($U783="",IF(AND(COUNTA($A783:$L783)&gt;0,$N783=""),"Awaiting Collection Email time stamp.",""),IF(OR($U783="PAID",$U783="CLOSED"),IF($U783="PAID","Account paid. Action completed.","Account closed. No further action required."),CHOOSE($Z783,"Collection Email","1st Email Follow-up","2nd Email Follow-up","Escalation to Local Office","Escalation to CBE","Escalation to Roxanne")&amp;" sent "&amp;TEXT($AA783,"dd-mmm")&amp;". "&amp;IF($Z783=6,"Final escalation completed.",IF($U783="OVERDUE","Next: "&amp;$AC783&amp;" was due "&amp;TEXT($AB783,"dd-mmm")&amp;" - "&amp;(NETWORKDAYS($AB783,TODAY(),Holidays)-1)&amp;" business day(s) late. Send now.",IF($U783="DUE TOMORROW","Next: "&amp;$AC783&amp;IF($AB783&lt;=TODAY()," is due TODAY ("," is due next business day (")&amp;TEXT($AB783,"dd-mmm")&amp;").","Next: "&amp;$AC783&amp;" due "&amp;TEXT($AB783,"dd-mmm")&amp;" ("&amp;(NETWORKDAYS(TODAY(),$AB783,Holidays)-1)&amp;" business day(s) left).")))))</f>
        <v/>
      </c>
      <c r="W783" s="17">
        <f>IF($Z783="","",CHOOSE($Z783,"Collection Email","1st Follow-up","2nd Follow-up","Local Office","CBE","Roxanne")&amp;IF($Z783=6," - Final"," - Day "&amp;MAX(0,NETWORKDAYS($AA783,TODAY(),Holidays)-1)&amp;" of "&amp;CHOOSE($Z783,3,3,2,2,3))&amp;" | Total Day "&amp;MAX(0,NETWORKDAYS($N783,TODAY(),Holidays)-1))</f>
        <v/>
      </c>
      <c r="X783" s="18"/>
      <c r="Y783" s="18"/>
      <c r="Z783" s="17">
        <f>IF($N783="","",COUNT($N783:$S783))</f>
        <v/>
      </c>
      <c r="AA783" s="19">
        <f>IF($Z783="","",INT(INDEX($N783:$S783,$Z783)))</f>
        <v/>
      </c>
      <c r="AB783" s="19">
        <f>IF(OR($Z783="",$Z783=6),"",WORKDAY($AA783,CHOOSE($Z783,3,3,2,2,3),Holidays))</f>
        <v/>
      </c>
      <c r="AC783" s="17">
        <f>IF(OR($Z783="",$Z783=6),"",CHOOSE($Z783,"1st Email Follow-up","2nd Email Follow-up","Escalate Local Office","Escalate to CBE","Escalate to Roxanne"))</f>
        <v/>
      </c>
    </row>
    <row r="784" spans="13:29">
      <c r="M784" s="14"/>
      <c r="T784" s="16"/>
      <c r="U784" s="17">
        <f>IF(AND(COUNTA($A784:$L784)=0,$N784=""),"",IF($T784="Paid","PAID",IF($T784="Closed","CLOSED",IF($Z784="","",IF($Z784=6,"ESCALATED TO ROXANNE",IF(TODAY()&gt;$AB784,"OVERDUE",IF($AB784&lt;=WORKDAY(TODAY(),1,Holidays),"DUE TOMORROW",IF($Z784=4,"ESCALATED TO LOCAL OFFICE",IF($Z784=5,"ESCALATED TO CBE",IF($AA784=TODAY(),"EMAIL SENT","MONITORING"))))))))))</f>
        <v/>
      </c>
      <c r="V784" s="17">
        <f>IF($U784="",IF(AND(COUNTA($A784:$L784)&gt;0,$N784=""),"Awaiting Collection Email time stamp.",""),IF(OR($U784="PAID",$U784="CLOSED"),IF($U784="PAID","Account paid. Action completed.","Account closed. No further action required."),CHOOSE($Z784,"Collection Email","1st Email Follow-up","2nd Email Follow-up","Escalation to Local Office","Escalation to CBE","Escalation to Roxanne")&amp;" sent "&amp;TEXT($AA784,"dd-mmm")&amp;". "&amp;IF($Z784=6,"Final escalation completed.",IF($U784="OVERDUE","Next: "&amp;$AC784&amp;" was due "&amp;TEXT($AB784,"dd-mmm")&amp;" - "&amp;(NETWORKDAYS($AB784,TODAY(),Holidays)-1)&amp;" business day(s) late. Send now.",IF($U784="DUE TOMORROW","Next: "&amp;$AC784&amp;IF($AB784&lt;=TODAY()," is due TODAY ("," is due next business day (")&amp;TEXT($AB784,"dd-mmm")&amp;").","Next: "&amp;$AC784&amp;" due "&amp;TEXT($AB784,"dd-mmm")&amp;" ("&amp;(NETWORKDAYS(TODAY(),$AB784,Holidays)-1)&amp;" business day(s) left).")))))</f>
        <v/>
      </c>
      <c r="W784" s="17">
        <f>IF($Z784="","",CHOOSE($Z784,"Collection Email","1st Follow-up","2nd Follow-up","Local Office","CBE","Roxanne")&amp;IF($Z784=6," - Final"," - Day "&amp;MAX(0,NETWORKDAYS($AA784,TODAY(),Holidays)-1)&amp;" of "&amp;CHOOSE($Z784,3,3,2,2,3))&amp;" | Total Day "&amp;MAX(0,NETWORKDAYS($N784,TODAY(),Holidays)-1))</f>
        <v/>
      </c>
      <c r="X784" s="18"/>
      <c r="Y784" s="18"/>
      <c r="Z784" s="17">
        <f>IF($N784="","",COUNT($N784:$S784))</f>
        <v/>
      </c>
      <c r="AA784" s="19">
        <f>IF($Z784="","",INT(INDEX($N784:$S784,$Z784)))</f>
        <v/>
      </c>
      <c r="AB784" s="19">
        <f>IF(OR($Z784="",$Z784=6),"",WORKDAY($AA784,CHOOSE($Z784,3,3,2,2,3),Holidays))</f>
        <v/>
      </c>
      <c r="AC784" s="17">
        <f>IF(OR($Z784="",$Z784=6),"",CHOOSE($Z784,"1st Email Follow-up","2nd Email Follow-up","Escalate Local Office","Escalate to CBE","Escalate to Roxanne"))</f>
        <v/>
      </c>
    </row>
    <row r="785" spans="13:29">
      <c r="M785" s="14"/>
      <c r="T785" s="16"/>
      <c r="U785" s="17">
        <f>IF(AND(COUNTA($A785:$L785)=0,$N785=""),"",IF($T785="Paid","PAID",IF($T785="Closed","CLOSED",IF($Z785="","",IF($Z785=6,"ESCALATED TO ROXANNE",IF(TODAY()&gt;$AB785,"OVERDUE",IF($AB785&lt;=WORKDAY(TODAY(),1,Holidays),"DUE TOMORROW",IF($Z785=4,"ESCALATED TO LOCAL OFFICE",IF($Z785=5,"ESCALATED TO CBE",IF($AA785=TODAY(),"EMAIL SENT","MONITORING"))))))))))</f>
        <v/>
      </c>
      <c r="V785" s="17">
        <f>IF($U785="",IF(AND(COUNTA($A785:$L785)&gt;0,$N785=""),"Awaiting Collection Email time stamp.",""),IF(OR($U785="PAID",$U785="CLOSED"),IF($U785="PAID","Account paid. Action completed.","Account closed. No further action required."),CHOOSE($Z785,"Collection Email","1st Email Follow-up","2nd Email Follow-up","Escalation to Local Office","Escalation to CBE","Escalation to Roxanne")&amp;" sent "&amp;TEXT($AA785,"dd-mmm")&amp;". "&amp;IF($Z785=6,"Final escalation completed.",IF($U785="OVERDUE","Next: "&amp;$AC785&amp;" was due "&amp;TEXT($AB785,"dd-mmm")&amp;" - "&amp;(NETWORKDAYS($AB785,TODAY(),Holidays)-1)&amp;" business day(s) late. Send now.",IF($U785="DUE TOMORROW","Next: "&amp;$AC785&amp;IF($AB785&lt;=TODAY()," is due TODAY ("," is due next business day (")&amp;TEXT($AB785,"dd-mmm")&amp;").","Next: "&amp;$AC785&amp;" due "&amp;TEXT($AB785,"dd-mmm")&amp;" ("&amp;(NETWORKDAYS(TODAY(),$AB785,Holidays)-1)&amp;" business day(s) left).")))))</f>
        <v/>
      </c>
      <c r="W785" s="17">
        <f>IF($Z785="","",CHOOSE($Z785,"Collection Email","1st Follow-up","2nd Follow-up","Local Office","CBE","Roxanne")&amp;IF($Z785=6," - Final"," - Day "&amp;MAX(0,NETWORKDAYS($AA785,TODAY(),Holidays)-1)&amp;" of "&amp;CHOOSE($Z785,3,3,2,2,3))&amp;" | Total Day "&amp;MAX(0,NETWORKDAYS($N785,TODAY(),Holidays)-1))</f>
        <v/>
      </c>
      <c r="X785" s="18"/>
      <c r="Y785" s="18"/>
      <c r="Z785" s="17">
        <f>IF($N785="","",COUNT($N785:$S785))</f>
        <v/>
      </c>
      <c r="AA785" s="19">
        <f>IF($Z785="","",INT(INDEX($N785:$S785,$Z785)))</f>
        <v/>
      </c>
      <c r="AB785" s="19">
        <f>IF(OR($Z785="",$Z785=6),"",WORKDAY($AA785,CHOOSE($Z785,3,3,2,2,3),Holidays))</f>
        <v/>
      </c>
      <c r="AC785" s="17">
        <f>IF(OR($Z785="",$Z785=6),"",CHOOSE($Z785,"1st Email Follow-up","2nd Email Follow-up","Escalate Local Office","Escalate to CBE","Escalate to Roxanne"))</f>
        <v/>
      </c>
    </row>
    <row r="786" spans="13:29">
      <c r="M786" s="14"/>
      <c r="T786" s="16"/>
      <c r="U786" s="17">
        <f>IF(AND(COUNTA($A786:$L786)=0,$N786=""),"",IF($T786="Paid","PAID",IF($T786="Closed","CLOSED",IF($Z786="","",IF($Z786=6,"ESCALATED TO ROXANNE",IF(TODAY()&gt;$AB786,"OVERDUE",IF($AB786&lt;=WORKDAY(TODAY(),1,Holidays),"DUE TOMORROW",IF($Z786=4,"ESCALATED TO LOCAL OFFICE",IF($Z786=5,"ESCALATED TO CBE",IF($AA786=TODAY(),"EMAIL SENT","MONITORING"))))))))))</f>
        <v/>
      </c>
      <c r="V786" s="17">
        <f>IF($U786="",IF(AND(COUNTA($A786:$L786)&gt;0,$N786=""),"Awaiting Collection Email time stamp.",""),IF(OR($U786="PAID",$U786="CLOSED"),IF($U786="PAID","Account paid. Action completed.","Account closed. No further action required."),CHOOSE($Z786,"Collection Email","1st Email Follow-up","2nd Email Follow-up","Escalation to Local Office","Escalation to CBE","Escalation to Roxanne")&amp;" sent "&amp;TEXT($AA786,"dd-mmm")&amp;". "&amp;IF($Z786=6,"Final escalation completed.",IF($U786="OVERDUE","Next: "&amp;$AC786&amp;" was due "&amp;TEXT($AB786,"dd-mmm")&amp;" - "&amp;(NETWORKDAYS($AB786,TODAY(),Holidays)-1)&amp;" business day(s) late. Send now.",IF($U786="DUE TOMORROW","Next: "&amp;$AC786&amp;IF($AB786&lt;=TODAY()," is due TODAY ("," is due next business day (")&amp;TEXT($AB786,"dd-mmm")&amp;").","Next: "&amp;$AC786&amp;" due "&amp;TEXT($AB786,"dd-mmm")&amp;" ("&amp;(NETWORKDAYS(TODAY(),$AB786,Holidays)-1)&amp;" business day(s) left).")))))</f>
        <v/>
      </c>
      <c r="W786" s="17">
        <f>IF($Z786="","",CHOOSE($Z786,"Collection Email","1st Follow-up","2nd Follow-up","Local Office","CBE","Roxanne")&amp;IF($Z786=6," - Final"," - Day "&amp;MAX(0,NETWORKDAYS($AA786,TODAY(),Holidays)-1)&amp;" of "&amp;CHOOSE($Z786,3,3,2,2,3))&amp;" | Total Day "&amp;MAX(0,NETWORKDAYS($N786,TODAY(),Holidays)-1))</f>
        <v/>
      </c>
      <c r="X786" s="18"/>
      <c r="Y786" s="18"/>
      <c r="Z786" s="17">
        <f>IF($N786="","",COUNT($N786:$S786))</f>
        <v/>
      </c>
      <c r="AA786" s="19">
        <f>IF($Z786="","",INT(INDEX($N786:$S786,$Z786)))</f>
        <v/>
      </c>
      <c r="AB786" s="19">
        <f>IF(OR($Z786="",$Z786=6),"",WORKDAY($AA786,CHOOSE($Z786,3,3,2,2,3),Holidays))</f>
        <v/>
      </c>
      <c r="AC786" s="17">
        <f>IF(OR($Z786="",$Z786=6),"",CHOOSE($Z786,"1st Email Follow-up","2nd Email Follow-up","Escalate Local Office","Escalate to CBE","Escalate to Roxanne"))</f>
        <v/>
      </c>
    </row>
    <row r="787" spans="13:29">
      <c r="M787" s="14"/>
      <c r="T787" s="16"/>
      <c r="U787" s="17">
        <f>IF(AND(COUNTA($A787:$L787)=0,$N787=""),"",IF($T787="Paid","PAID",IF($T787="Closed","CLOSED",IF($Z787="","",IF($Z787=6,"ESCALATED TO ROXANNE",IF(TODAY()&gt;$AB787,"OVERDUE",IF($AB787&lt;=WORKDAY(TODAY(),1,Holidays),"DUE TOMORROW",IF($Z787=4,"ESCALATED TO LOCAL OFFICE",IF($Z787=5,"ESCALATED TO CBE",IF($AA787=TODAY(),"EMAIL SENT","MONITORING"))))))))))</f>
        <v/>
      </c>
      <c r="V787" s="17">
        <f>IF($U787="",IF(AND(COUNTA($A787:$L787)&gt;0,$N787=""),"Awaiting Collection Email time stamp.",""),IF(OR($U787="PAID",$U787="CLOSED"),IF($U787="PAID","Account paid. Action completed.","Account closed. No further action required."),CHOOSE($Z787,"Collection Email","1st Email Follow-up","2nd Email Follow-up","Escalation to Local Office","Escalation to CBE","Escalation to Roxanne")&amp;" sent "&amp;TEXT($AA787,"dd-mmm")&amp;". "&amp;IF($Z787=6,"Final escalation completed.",IF($U787="OVERDUE","Next: "&amp;$AC787&amp;" was due "&amp;TEXT($AB787,"dd-mmm")&amp;" - "&amp;(NETWORKDAYS($AB787,TODAY(),Holidays)-1)&amp;" business day(s) late. Send now.",IF($U787="DUE TOMORROW","Next: "&amp;$AC787&amp;IF($AB787&lt;=TODAY()," is due TODAY ("," is due next business day (")&amp;TEXT($AB787,"dd-mmm")&amp;").","Next: "&amp;$AC787&amp;" due "&amp;TEXT($AB787,"dd-mmm")&amp;" ("&amp;(NETWORKDAYS(TODAY(),$AB787,Holidays)-1)&amp;" business day(s) left).")))))</f>
        <v/>
      </c>
      <c r="W787" s="17">
        <f>IF($Z787="","",CHOOSE($Z787,"Collection Email","1st Follow-up","2nd Follow-up","Local Office","CBE","Roxanne")&amp;IF($Z787=6," - Final"," - Day "&amp;MAX(0,NETWORKDAYS($AA787,TODAY(),Holidays)-1)&amp;" of "&amp;CHOOSE($Z787,3,3,2,2,3))&amp;" | Total Day "&amp;MAX(0,NETWORKDAYS($N787,TODAY(),Holidays)-1))</f>
        <v/>
      </c>
      <c r="X787" s="18"/>
      <c r="Y787" s="18"/>
      <c r="Z787" s="17">
        <f>IF($N787="","",COUNT($N787:$S787))</f>
        <v/>
      </c>
      <c r="AA787" s="19">
        <f>IF($Z787="","",INT(INDEX($N787:$S787,$Z787)))</f>
        <v/>
      </c>
      <c r="AB787" s="19">
        <f>IF(OR($Z787="",$Z787=6),"",WORKDAY($AA787,CHOOSE($Z787,3,3,2,2,3),Holidays))</f>
        <v/>
      </c>
      <c r="AC787" s="17">
        <f>IF(OR($Z787="",$Z787=6),"",CHOOSE($Z787,"1st Email Follow-up","2nd Email Follow-up","Escalate Local Office","Escalate to CBE","Escalate to Roxanne"))</f>
        <v/>
      </c>
    </row>
    <row r="788" spans="13:29">
      <c r="M788" s="14"/>
      <c r="T788" s="16"/>
      <c r="U788" s="17">
        <f>IF(AND(COUNTA($A788:$L788)=0,$N788=""),"",IF($T788="Paid","PAID",IF($T788="Closed","CLOSED",IF($Z788="","",IF($Z788=6,"ESCALATED TO ROXANNE",IF(TODAY()&gt;$AB788,"OVERDUE",IF($AB788&lt;=WORKDAY(TODAY(),1,Holidays),"DUE TOMORROW",IF($Z788=4,"ESCALATED TO LOCAL OFFICE",IF($Z788=5,"ESCALATED TO CBE",IF($AA788=TODAY(),"EMAIL SENT","MONITORING"))))))))))</f>
        <v/>
      </c>
      <c r="V788" s="17">
        <f>IF($U788="",IF(AND(COUNTA($A788:$L788)&gt;0,$N788=""),"Awaiting Collection Email time stamp.",""),IF(OR($U788="PAID",$U788="CLOSED"),IF($U788="PAID","Account paid. Action completed.","Account closed. No further action required."),CHOOSE($Z788,"Collection Email","1st Email Follow-up","2nd Email Follow-up","Escalation to Local Office","Escalation to CBE","Escalation to Roxanne")&amp;" sent "&amp;TEXT($AA788,"dd-mmm")&amp;". "&amp;IF($Z788=6,"Final escalation completed.",IF($U788="OVERDUE","Next: "&amp;$AC788&amp;" was due "&amp;TEXT($AB788,"dd-mmm")&amp;" - "&amp;(NETWORKDAYS($AB788,TODAY(),Holidays)-1)&amp;" business day(s) late. Send now.",IF($U788="DUE TOMORROW","Next: "&amp;$AC788&amp;IF($AB788&lt;=TODAY()," is due TODAY ("," is due next business day (")&amp;TEXT($AB788,"dd-mmm")&amp;").","Next: "&amp;$AC788&amp;" due "&amp;TEXT($AB788,"dd-mmm")&amp;" ("&amp;(NETWORKDAYS(TODAY(),$AB788,Holidays)-1)&amp;" business day(s) left).")))))</f>
        <v/>
      </c>
      <c r="W788" s="17">
        <f>IF($Z788="","",CHOOSE($Z788,"Collection Email","1st Follow-up","2nd Follow-up","Local Office","CBE","Roxanne")&amp;IF($Z788=6," - Final"," - Day "&amp;MAX(0,NETWORKDAYS($AA788,TODAY(),Holidays)-1)&amp;" of "&amp;CHOOSE($Z788,3,3,2,2,3))&amp;" | Total Day "&amp;MAX(0,NETWORKDAYS($N788,TODAY(),Holidays)-1))</f>
        <v/>
      </c>
      <c r="X788" s="18"/>
      <c r="Y788" s="18"/>
      <c r="Z788" s="17">
        <f>IF($N788="","",COUNT($N788:$S788))</f>
        <v/>
      </c>
      <c r="AA788" s="19">
        <f>IF($Z788="","",INT(INDEX($N788:$S788,$Z788)))</f>
        <v/>
      </c>
      <c r="AB788" s="19">
        <f>IF(OR($Z788="",$Z788=6),"",WORKDAY($AA788,CHOOSE($Z788,3,3,2,2,3),Holidays))</f>
        <v/>
      </c>
      <c r="AC788" s="17">
        <f>IF(OR($Z788="",$Z788=6),"",CHOOSE($Z788,"1st Email Follow-up","2nd Email Follow-up","Escalate Local Office","Escalate to CBE","Escalate to Roxanne"))</f>
        <v/>
      </c>
    </row>
    <row r="789" spans="13:29">
      <c r="M789" s="14"/>
      <c r="T789" s="16"/>
      <c r="U789" s="17">
        <f>IF(AND(COUNTA($A789:$L789)=0,$N789=""),"",IF($T789="Paid","PAID",IF($T789="Closed","CLOSED",IF($Z789="","",IF($Z789=6,"ESCALATED TO ROXANNE",IF(TODAY()&gt;$AB789,"OVERDUE",IF($AB789&lt;=WORKDAY(TODAY(),1,Holidays),"DUE TOMORROW",IF($Z789=4,"ESCALATED TO LOCAL OFFICE",IF($Z789=5,"ESCALATED TO CBE",IF($AA789=TODAY(),"EMAIL SENT","MONITORING"))))))))))</f>
        <v/>
      </c>
      <c r="V789" s="17">
        <f>IF($U789="",IF(AND(COUNTA($A789:$L789)&gt;0,$N789=""),"Awaiting Collection Email time stamp.",""),IF(OR($U789="PAID",$U789="CLOSED"),IF($U789="PAID","Account paid. Action completed.","Account closed. No further action required."),CHOOSE($Z789,"Collection Email","1st Email Follow-up","2nd Email Follow-up","Escalation to Local Office","Escalation to CBE","Escalation to Roxanne")&amp;" sent "&amp;TEXT($AA789,"dd-mmm")&amp;". "&amp;IF($Z789=6,"Final escalation completed.",IF($U789="OVERDUE","Next: "&amp;$AC789&amp;" was due "&amp;TEXT($AB789,"dd-mmm")&amp;" - "&amp;(NETWORKDAYS($AB789,TODAY(),Holidays)-1)&amp;" business day(s) late. Send now.",IF($U789="DUE TOMORROW","Next: "&amp;$AC789&amp;IF($AB789&lt;=TODAY()," is due TODAY ("," is due next business day (")&amp;TEXT($AB789,"dd-mmm")&amp;").","Next: "&amp;$AC789&amp;" due "&amp;TEXT($AB789,"dd-mmm")&amp;" ("&amp;(NETWORKDAYS(TODAY(),$AB789,Holidays)-1)&amp;" business day(s) left).")))))</f>
        <v/>
      </c>
      <c r="W789" s="17">
        <f>IF($Z789="","",CHOOSE($Z789,"Collection Email","1st Follow-up","2nd Follow-up","Local Office","CBE","Roxanne")&amp;IF($Z789=6," - Final"," - Day "&amp;MAX(0,NETWORKDAYS($AA789,TODAY(),Holidays)-1)&amp;" of "&amp;CHOOSE($Z789,3,3,2,2,3))&amp;" | Total Day "&amp;MAX(0,NETWORKDAYS($N789,TODAY(),Holidays)-1))</f>
        <v/>
      </c>
      <c r="X789" s="18"/>
      <c r="Y789" s="18"/>
      <c r="Z789" s="17">
        <f>IF($N789="","",COUNT($N789:$S789))</f>
        <v/>
      </c>
      <c r="AA789" s="19">
        <f>IF($Z789="","",INT(INDEX($N789:$S789,$Z789)))</f>
        <v/>
      </c>
      <c r="AB789" s="19">
        <f>IF(OR($Z789="",$Z789=6),"",WORKDAY($AA789,CHOOSE($Z789,3,3,2,2,3),Holidays))</f>
        <v/>
      </c>
      <c r="AC789" s="17">
        <f>IF(OR($Z789="",$Z789=6),"",CHOOSE($Z789,"1st Email Follow-up","2nd Email Follow-up","Escalate Local Office","Escalate to CBE","Escalate to Roxanne"))</f>
        <v/>
      </c>
    </row>
    <row r="790" spans="13:29">
      <c r="M790" s="14"/>
      <c r="T790" s="16"/>
      <c r="U790" s="17">
        <f>IF(AND(COUNTA($A790:$L790)=0,$N790=""),"",IF($T790="Paid","PAID",IF($T790="Closed","CLOSED",IF($Z790="","",IF($Z790=6,"ESCALATED TO ROXANNE",IF(TODAY()&gt;$AB790,"OVERDUE",IF($AB790&lt;=WORKDAY(TODAY(),1,Holidays),"DUE TOMORROW",IF($Z790=4,"ESCALATED TO LOCAL OFFICE",IF($Z790=5,"ESCALATED TO CBE",IF($AA790=TODAY(),"EMAIL SENT","MONITORING"))))))))))</f>
        <v/>
      </c>
      <c r="V790" s="17">
        <f>IF($U790="",IF(AND(COUNTA($A790:$L790)&gt;0,$N790=""),"Awaiting Collection Email time stamp.",""),IF(OR($U790="PAID",$U790="CLOSED"),IF($U790="PAID","Account paid. Action completed.","Account closed. No further action required."),CHOOSE($Z790,"Collection Email","1st Email Follow-up","2nd Email Follow-up","Escalation to Local Office","Escalation to CBE","Escalation to Roxanne")&amp;" sent "&amp;TEXT($AA790,"dd-mmm")&amp;". "&amp;IF($Z790=6,"Final escalation completed.",IF($U790="OVERDUE","Next: "&amp;$AC790&amp;" was due "&amp;TEXT($AB790,"dd-mmm")&amp;" - "&amp;(NETWORKDAYS($AB790,TODAY(),Holidays)-1)&amp;" business day(s) late. Send now.",IF($U790="DUE TOMORROW","Next: "&amp;$AC790&amp;IF($AB790&lt;=TODAY()," is due TODAY ("," is due next business day (")&amp;TEXT($AB790,"dd-mmm")&amp;").","Next: "&amp;$AC790&amp;" due "&amp;TEXT($AB790,"dd-mmm")&amp;" ("&amp;(NETWORKDAYS(TODAY(),$AB790,Holidays)-1)&amp;" business day(s) left).")))))</f>
        <v/>
      </c>
      <c r="W790" s="17">
        <f>IF($Z790="","",CHOOSE($Z790,"Collection Email","1st Follow-up","2nd Follow-up","Local Office","CBE","Roxanne")&amp;IF($Z790=6," - Final"," - Day "&amp;MAX(0,NETWORKDAYS($AA790,TODAY(),Holidays)-1)&amp;" of "&amp;CHOOSE($Z790,3,3,2,2,3))&amp;" | Total Day "&amp;MAX(0,NETWORKDAYS($N790,TODAY(),Holidays)-1))</f>
        <v/>
      </c>
      <c r="X790" s="18"/>
      <c r="Y790" s="18"/>
      <c r="Z790" s="17">
        <f>IF($N790="","",COUNT($N790:$S790))</f>
        <v/>
      </c>
      <c r="AA790" s="19">
        <f>IF($Z790="","",INT(INDEX($N790:$S790,$Z790)))</f>
        <v/>
      </c>
      <c r="AB790" s="19">
        <f>IF(OR($Z790="",$Z790=6),"",WORKDAY($AA790,CHOOSE($Z790,3,3,2,2,3),Holidays))</f>
        <v/>
      </c>
      <c r="AC790" s="17">
        <f>IF(OR($Z790="",$Z790=6),"",CHOOSE($Z790,"1st Email Follow-up","2nd Email Follow-up","Escalate Local Office","Escalate to CBE","Escalate to Roxanne"))</f>
        <v/>
      </c>
    </row>
    <row r="791" spans="13:29">
      <c r="M791" s="14"/>
      <c r="T791" s="16"/>
      <c r="U791" s="17">
        <f>IF(AND(COUNTA($A791:$L791)=0,$N791=""),"",IF($T791="Paid","PAID",IF($T791="Closed","CLOSED",IF($Z791="","",IF($Z791=6,"ESCALATED TO ROXANNE",IF(TODAY()&gt;$AB791,"OVERDUE",IF($AB791&lt;=WORKDAY(TODAY(),1,Holidays),"DUE TOMORROW",IF($Z791=4,"ESCALATED TO LOCAL OFFICE",IF($Z791=5,"ESCALATED TO CBE",IF($AA791=TODAY(),"EMAIL SENT","MONITORING"))))))))))</f>
        <v/>
      </c>
      <c r="V791" s="17">
        <f>IF($U791="",IF(AND(COUNTA($A791:$L791)&gt;0,$N791=""),"Awaiting Collection Email time stamp.",""),IF(OR($U791="PAID",$U791="CLOSED"),IF($U791="PAID","Account paid. Action completed.","Account closed. No further action required."),CHOOSE($Z791,"Collection Email","1st Email Follow-up","2nd Email Follow-up","Escalation to Local Office","Escalation to CBE","Escalation to Roxanne")&amp;" sent "&amp;TEXT($AA791,"dd-mmm")&amp;". "&amp;IF($Z791=6,"Final escalation completed.",IF($U791="OVERDUE","Next: "&amp;$AC791&amp;" was due "&amp;TEXT($AB791,"dd-mmm")&amp;" - "&amp;(NETWORKDAYS($AB791,TODAY(),Holidays)-1)&amp;" business day(s) late. Send now.",IF($U791="DUE TOMORROW","Next: "&amp;$AC791&amp;IF($AB791&lt;=TODAY()," is due TODAY ("," is due next business day (")&amp;TEXT($AB791,"dd-mmm")&amp;").","Next: "&amp;$AC791&amp;" due "&amp;TEXT($AB791,"dd-mmm")&amp;" ("&amp;(NETWORKDAYS(TODAY(),$AB791,Holidays)-1)&amp;" business day(s) left).")))))</f>
        <v/>
      </c>
      <c r="W791" s="17">
        <f>IF($Z791="","",CHOOSE($Z791,"Collection Email","1st Follow-up","2nd Follow-up","Local Office","CBE","Roxanne")&amp;IF($Z791=6," - Final"," - Day "&amp;MAX(0,NETWORKDAYS($AA791,TODAY(),Holidays)-1)&amp;" of "&amp;CHOOSE($Z791,3,3,2,2,3))&amp;" | Total Day "&amp;MAX(0,NETWORKDAYS($N791,TODAY(),Holidays)-1))</f>
        <v/>
      </c>
      <c r="X791" s="18"/>
      <c r="Y791" s="18"/>
      <c r="Z791" s="17">
        <f>IF($N791="","",COUNT($N791:$S791))</f>
        <v/>
      </c>
      <c r="AA791" s="19">
        <f>IF($Z791="","",INT(INDEX($N791:$S791,$Z791)))</f>
        <v/>
      </c>
      <c r="AB791" s="19">
        <f>IF(OR($Z791="",$Z791=6),"",WORKDAY($AA791,CHOOSE($Z791,3,3,2,2,3),Holidays))</f>
        <v/>
      </c>
      <c r="AC791" s="17">
        <f>IF(OR($Z791="",$Z791=6),"",CHOOSE($Z791,"1st Email Follow-up","2nd Email Follow-up","Escalate Local Office","Escalate to CBE","Escalate to Roxanne"))</f>
        <v/>
      </c>
    </row>
    <row r="792" spans="13:29">
      <c r="M792" s="14"/>
      <c r="T792" s="16"/>
      <c r="U792" s="17">
        <f>IF(AND(COUNTA($A792:$L792)=0,$N792=""),"",IF($T792="Paid","PAID",IF($T792="Closed","CLOSED",IF($Z792="","",IF($Z792=6,"ESCALATED TO ROXANNE",IF(TODAY()&gt;$AB792,"OVERDUE",IF($AB792&lt;=WORKDAY(TODAY(),1,Holidays),"DUE TOMORROW",IF($Z792=4,"ESCALATED TO LOCAL OFFICE",IF($Z792=5,"ESCALATED TO CBE",IF($AA792=TODAY(),"EMAIL SENT","MONITORING"))))))))))</f>
        <v/>
      </c>
      <c r="V792" s="17">
        <f>IF($U792="",IF(AND(COUNTA($A792:$L792)&gt;0,$N792=""),"Awaiting Collection Email time stamp.",""),IF(OR($U792="PAID",$U792="CLOSED"),IF($U792="PAID","Account paid. Action completed.","Account closed. No further action required."),CHOOSE($Z792,"Collection Email","1st Email Follow-up","2nd Email Follow-up","Escalation to Local Office","Escalation to CBE","Escalation to Roxanne")&amp;" sent "&amp;TEXT($AA792,"dd-mmm")&amp;". "&amp;IF($Z792=6,"Final escalation completed.",IF($U792="OVERDUE","Next: "&amp;$AC792&amp;" was due "&amp;TEXT($AB792,"dd-mmm")&amp;" - "&amp;(NETWORKDAYS($AB792,TODAY(),Holidays)-1)&amp;" business day(s) late. Send now.",IF($U792="DUE TOMORROW","Next: "&amp;$AC792&amp;IF($AB792&lt;=TODAY()," is due TODAY ("," is due next business day (")&amp;TEXT($AB792,"dd-mmm")&amp;").","Next: "&amp;$AC792&amp;" due "&amp;TEXT($AB792,"dd-mmm")&amp;" ("&amp;(NETWORKDAYS(TODAY(),$AB792,Holidays)-1)&amp;" business day(s) left).")))))</f>
        <v/>
      </c>
      <c r="W792" s="17">
        <f>IF($Z792="","",CHOOSE($Z792,"Collection Email","1st Follow-up","2nd Follow-up","Local Office","CBE","Roxanne")&amp;IF($Z792=6," - Final"," - Day "&amp;MAX(0,NETWORKDAYS($AA792,TODAY(),Holidays)-1)&amp;" of "&amp;CHOOSE($Z792,3,3,2,2,3))&amp;" | Total Day "&amp;MAX(0,NETWORKDAYS($N792,TODAY(),Holidays)-1))</f>
        <v/>
      </c>
      <c r="X792" s="18"/>
      <c r="Y792" s="18"/>
      <c r="Z792" s="17">
        <f>IF($N792="","",COUNT($N792:$S792))</f>
        <v/>
      </c>
      <c r="AA792" s="19">
        <f>IF($Z792="","",INT(INDEX($N792:$S792,$Z792)))</f>
        <v/>
      </c>
      <c r="AB792" s="19">
        <f>IF(OR($Z792="",$Z792=6),"",WORKDAY($AA792,CHOOSE($Z792,3,3,2,2,3),Holidays))</f>
        <v/>
      </c>
      <c r="AC792" s="17">
        <f>IF(OR($Z792="",$Z792=6),"",CHOOSE($Z792,"1st Email Follow-up","2nd Email Follow-up","Escalate Local Office","Escalate to CBE","Escalate to Roxanne"))</f>
        <v/>
      </c>
    </row>
    <row r="793" spans="13:29">
      <c r="M793" s="14"/>
      <c r="T793" s="16"/>
      <c r="U793" s="17">
        <f>IF(AND(COUNTA($A793:$L793)=0,$N793=""),"",IF($T793="Paid","PAID",IF($T793="Closed","CLOSED",IF($Z793="","",IF($Z793=6,"ESCALATED TO ROXANNE",IF(TODAY()&gt;$AB793,"OVERDUE",IF($AB793&lt;=WORKDAY(TODAY(),1,Holidays),"DUE TOMORROW",IF($Z793=4,"ESCALATED TO LOCAL OFFICE",IF($Z793=5,"ESCALATED TO CBE",IF($AA793=TODAY(),"EMAIL SENT","MONITORING"))))))))))</f>
        <v/>
      </c>
      <c r="V793" s="17">
        <f>IF($U793="",IF(AND(COUNTA($A793:$L793)&gt;0,$N793=""),"Awaiting Collection Email time stamp.",""),IF(OR($U793="PAID",$U793="CLOSED"),IF($U793="PAID","Account paid. Action completed.","Account closed. No further action required."),CHOOSE($Z793,"Collection Email","1st Email Follow-up","2nd Email Follow-up","Escalation to Local Office","Escalation to CBE","Escalation to Roxanne")&amp;" sent "&amp;TEXT($AA793,"dd-mmm")&amp;". "&amp;IF($Z793=6,"Final escalation completed.",IF($U793="OVERDUE","Next: "&amp;$AC793&amp;" was due "&amp;TEXT($AB793,"dd-mmm")&amp;" - "&amp;(NETWORKDAYS($AB793,TODAY(),Holidays)-1)&amp;" business day(s) late. Send now.",IF($U793="DUE TOMORROW","Next: "&amp;$AC793&amp;IF($AB793&lt;=TODAY()," is due TODAY ("," is due next business day (")&amp;TEXT($AB793,"dd-mmm")&amp;").","Next: "&amp;$AC793&amp;" due "&amp;TEXT($AB793,"dd-mmm")&amp;" ("&amp;(NETWORKDAYS(TODAY(),$AB793,Holidays)-1)&amp;" business day(s) left).")))))</f>
        <v/>
      </c>
      <c r="W793" s="17">
        <f>IF($Z793="","",CHOOSE($Z793,"Collection Email","1st Follow-up","2nd Follow-up","Local Office","CBE","Roxanne")&amp;IF($Z793=6," - Final"," - Day "&amp;MAX(0,NETWORKDAYS($AA793,TODAY(),Holidays)-1)&amp;" of "&amp;CHOOSE($Z793,3,3,2,2,3))&amp;" | Total Day "&amp;MAX(0,NETWORKDAYS($N793,TODAY(),Holidays)-1))</f>
        <v/>
      </c>
      <c r="X793" s="18"/>
      <c r="Y793" s="18"/>
      <c r="Z793" s="17">
        <f>IF($N793="","",COUNT($N793:$S793))</f>
        <v/>
      </c>
      <c r="AA793" s="19">
        <f>IF($Z793="","",INT(INDEX($N793:$S793,$Z793)))</f>
        <v/>
      </c>
      <c r="AB793" s="19">
        <f>IF(OR($Z793="",$Z793=6),"",WORKDAY($AA793,CHOOSE($Z793,3,3,2,2,3),Holidays))</f>
        <v/>
      </c>
      <c r="AC793" s="17">
        <f>IF(OR($Z793="",$Z793=6),"",CHOOSE($Z793,"1st Email Follow-up","2nd Email Follow-up","Escalate Local Office","Escalate to CBE","Escalate to Roxanne"))</f>
        <v/>
      </c>
    </row>
    <row r="794" spans="13:29">
      <c r="M794" s="14"/>
      <c r="T794" s="16"/>
      <c r="U794" s="17">
        <f>IF(AND(COUNTA($A794:$L794)=0,$N794=""),"",IF($T794="Paid","PAID",IF($T794="Closed","CLOSED",IF($Z794="","",IF($Z794=6,"ESCALATED TO ROXANNE",IF(TODAY()&gt;$AB794,"OVERDUE",IF($AB794&lt;=WORKDAY(TODAY(),1,Holidays),"DUE TOMORROW",IF($Z794=4,"ESCALATED TO LOCAL OFFICE",IF($Z794=5,"ESCALATED TO CBE",IF($AA794=TODAY(),"EMAIL SENT","MONITORING"))))))))))</f>
        <v/>
      </c>
      <c r="V794" s="17">
        <f>IF($U794="",IF(AND(COUNTA($A794:$L794)&gt;0,$N794=""),"Awaiting Collection Email time stamp.",""),IF(OR($U794="PAID",$U794="CLOSED"),IF($U794="PAID","Account paid. Action completed.","Account closed. No further action required."),CHOOSE($Z794,"Collection Email","1st Email Follow-up","2nd Email Follow-up","Escalation to Local Office","Escalation to CBE","Escalation to Roxanne")&amp;" sent "&amp;TEXT($AA794,"dd-mmm")&amp;". "&amp;IF($Z794=6,"Final escalation completed.",IF($U794="OVERDUE","Next: "&amp;$AC794&amp;" was due "&amp;TEXT($AB794,"dd-mmm")&amp;" - "&amp;(NETWORKDAYS($AB794,TODAY(),Holidays)-1)&amp;" business day(s) late. Send now.",IF($U794="DUE TOMORROW","Next: "&amp;$AC794&amp;IF($AB794&lt;=TODAY()," is due TODAY ("," is due next business day (")&amp;TEXT($AB794,"dd-mmm")&amp;").","Next: "&amp;$AC794&amp;" due "&amp;TEXT($AB794,"dd-mmm")&amp;" ("&amp;(NETWORKDAYS(TODAY(),$AB794,Holidays)-1)&amp;" business day(s) left).")))))</f>
        <v/>
      </c>
      <c r="W794" s="17">
        <f>IF($Z794="","",CHOOSE($Z794,"Collection Email","1st Follow-up","2nd Follow-up","Local Office","CBE","Roxanne")&amp;IF($Z794=6," - Final"," - Day "&amp;MAX(0,NETWORKDAYS($AA794,TODAY(),Holidays)-1)&amp;" of "&amp;CHOOSE($Z794,3,3,2,2,3))&amp;" | Total Day "&amp;MAX(0,NETWORKDAYS($N794,TODAY(),Holidays)-1))</f>
        <v/>
      </c>
      <c r="X794" s="18"/>
      <c r="Y794" s="18"/>
      <c r="Z794" s="17">
        <f>IF($N794="","",COUNT($N794:$S794))</f>
        <v/>
      </c>
      <c r="AA794" s="19">
        <f>IF($Z794="","",INT(INDEX($N794:$S794,$Z794)))</f>
        <v/>
      </c>
      <c r="AB794" s="19">
        <f>IF(OR($Z794="",$Z794=6),"",WORKDAY($AA794,CHOOSE($Z794,3,3,2,2,3),Holidays))</f>
        <v/>
      </c>
      <c r="AC794" s="17">
        <f>IF(OR($Z794="",$Z794=6),"",CHOOSE($Z794,"1st Email Follow-up","2nd Email Follow-up","Escalate Local Office","Escalate to CBE","Escalate to Roxanne"))</f>
        <v/>
      </c>
    </row>
    <row r="795" spans="13:29">
      <c r="M795" s="14"/>
      <c r="T795" s="16"/>
      <c r="U795" s="17">
        <f>IF(AND(COUNTA($A795:$L795)=0,$N795=""),"",IF($T795="Paid","PAID",IF($T795="Closed","CLOSED",IF($Z795="","",IF($Z795=6,"ESCALATED TO ROXANNE",IF(TODAY()&gt;$AB795,"OVERDUE",IF($AB795&lt;=WORKDAY(TODAY(),1,Holidays),"DUE TOMORROW",IF($Z795=4,"ESCALATED TO LOCAL OFFICE",IF($Z795=5,"ESCALATED TO CBE",IF($AA795=TODAY(),"EMAIL SENT","MONITORING"))))))))))</f>
        <v/>
      </c>
      <c r="V795" s="17">
        <f>IF($U795="",IF(AND(COUNTA($A795:$L795)&gt;0,$N795=""),"Awaiting Collection Email time stamp.",""),IF(OR($U795="PAID",$U795="CLOSED"),IF($U795="PAID","Account paid. Action completed.","Account closed. No further action required."),CHOOSE($Z795,"Collection Email","1st Email Follow-up","2nd Email Follow-up","Escalation to Local Office","Escalation to CBE","Escalation to Roxanne")&amp;" sent "&amp;TEXT($AA795,"dd-mmm")&amp;". "&amp;IF($Z795=6,"Final escalation completed.",IF($U795="OVERDUE","Next: "&amp;$AC795&amp;" was due "&amp;TEXT($AB795,"dd-mmm")&amp;" - "&amp;(NETWORKDAYS($AB795,TODAY(),Holidays)-1)&amp;" business day(s) late. Send now.",IF($U795="DUE TOMORROW","Next: "&amp;$AC795&amp;IF($AB795&lt;=TODAY()," is due TODAY ("," is due next business day (")&amp;TEXT($AB795,"dd-mmm")&amp;").","Next: "&amp;$AC795&amp;" due "&amp;TEXT($AB795,"dd-mmm")&amp;" ("&amp;(NETWORKDAYS(TODAY(),$AB795,Holidays)-1)&amp;" business day(s) left).")))))</f>
        <v/>
      </c>
      <c r="W795" s="17">
        <f>IF($Z795="","",CHOOSE($Z795,"Collection Email","1st Follow-up","2nd Follow-up","Local Office","CBE","Roxanne")&amp;IF($Z795=6," - Final"," - Day "&amp;MAX(0,NETWORKDAYS($AA795,TODAY(),Holidays)-1)&amp;" of "&amp;CHOOSE($Z795,3,3,2,2,3))&amp;" | Total Day "&amp;MAX(0,NETWORKDAYS($N795,TODAY(),Holidays)-1))</f>
        <v/>
      </c>
      <c r="X795" s="18"/>
      <c r="Y795" s="18"/>
      <c r="Z795" s="17">
        <f>IF($N795="","",COUNT($N795:$S795))</f>
        <v/>
      </c>
      <c r="AA795" s="19">
        <f>IF($Z795="","",INT(INDEX($N795:$S795,$Z795)))</f>
        <v/>
      </c>
      <c r="AB795" s="19">
        <f>IF(OR($Z795="",$Z795=6),"",WORKDAY($AA795,CHOOSE($Z795,3,3,2,2,3),Holidays))</f>
        <v/>
      </c>
      <c r="AC795" s="17">
        <f>IF(OR($Z795="",$Z795=6),"",CHOOSE($Z795,"1st Email Follow-up","2nd Email Follow-up","Escalate Local Office","Escalate to CBE","Escalate to Roxanne"))</f>
        <v/>
      </c>
    </row>
    <row r="796" spans="13:29">
      <c r="M796" s="14"/>
      <c r="T796" s="16"/>
      <c r="U796" s="17">
        <f>IF(AND(COUNTA($A796:$L796)=0,$N796=""),"",IF($T796="Paid","PAID",IF($T796="Closed","CLOSED",IF($Z796="","",IF($Z796=6,"ESCALATED TO ROXANNE",IF(TODAY()&gt;$AB796,"OVERDUE",IF($AB796&lt;=WORKDAY(TODAY(),1,Holidays),"DUE TOMORROW",IF($Z796=4,"ESCALATED TO LOCAL OFFICE",IF($Z796=5,"ESCALATED TO CBE",IF($AA796=TODAY(),"EMAIL SENT","MONITORING"))))))))))</f>
        <v/>
      </c>
      <c r="V796" s="17">
        <f>IF($U796="",IF(AND(COUNTA($A796:$L796)&gt;0,$N796=""),"Awaiting Collection Email time stamp.",""),IF(OR($U796="PAID",$U796="CLOSED"),IF($U796="PAID","Account paid. Action completed.","Account closed. No further action required."),CHOOSE($Z796,"Collection Email","1st Email Follow-up","2nd Email Follow-up","Escalation to Local Office","Escalation to CBE","Escalation to Roxanne")&amp;" sent "&amp;TEXT($AA796,"dd-mmm")&amp;". "&amp;IF($Z796=6,"Final escalation completed.",IF($U796="OVERDUE","Next: "&amp;$AC796&amp;" was due "&amp;TEXT($AB796,"dd-mmm")&amp;" - "&amp;(NETWORKDAYS($AB796,TODAY(),Holidays)-1)&amp;" business day(s) late. Send now.",IF($U796="DUE TOMORROW","Next: "&amp;$AC796&amp;IF($AB796&lt;=TODAY()," is due TODAY ("," is due next business day (")&amp;TEXT($AB796,"dd-mmm")&amp;").","Next: "&amp;$AC796&amp;" due "&amp;TEXT($AB796,"dd-mmm")&amp;" ("&amp;(NETWORKDAYS(TODAY(),$AB796,Holidays)-1)&amp;" business day(s) left).")))))</f>
        <v/>
      </c>
      <c r="W796" s="17">
        <f>IF($Z796="","",CHOOSE($Z796,"Collection Email","1st Follow-up","2nd Follow-up","Local Office","CBE","Roxanne")&amp;IF($Z796=6," - Final"," - Day "&amp;MAX(0,NETWORKDAYS($AA796,TODAY(),Holidays)-1)&amp;" of "&amp;CHOOSE($Z796,3,3,2,2,3))&amp;" | Total Day "&amp;MAX(0,NETWORKDAYS($N796,TODAY(),Holidays)-1))</f>
        <v/>
      </c>
      <c r="X796" s="18"/>
      <c r="Y796" s="18"/>
      <c r="Z796" s="17">
        <f>IF($N796="","",COUNT($N796:$S796))</f>
        <v/>
      </c>
      <c r="AA796" s="19">
        <f>IF($Z796="","",INT(INDEX($N796:$S796,$Z796)))</f>
        <v/>
      </c>
      <c r="AB796" s="19">
        <f>IF(OR($Z796="",$Z796=6),"",WORKDAY($AA796,CHOOSE($Z796,3,3,2,2,3),Holidays))</f>
        <v/>
      </c>
      <c r="AC796" s="17">
        <f>IF(OR($Z796="",$Z796=6),"",CHOOSE($Z796,"1st Email Follow-up","2nd Email Follow-up","Escalate Local Office","Escalate to CBE","Escalate to Roxanne"))</f>
        <v/>
      </c>
    </row>
    <row r="797" spans="13:29">
      <c r="M797" s="14"/>
      <c r="T797" s="16"/>
      <c r="U797" s="17">
        <f>IF(AND(COUNTA($A797:$L797)=0,$N797=""),"",IF($T797="Paid","PAID",IF($T797="Closed","CLOSED",IF($Z797="","",IF($Z797=6,"ESCALATED TO ROXANNE",IF(TODAY()&gt;$AB797,"OVERDUE",IF($AB797&lt;=WORKDAY(TODAY(),1,Holidays),"DUE TOMORROW",IF($Z797=4,"ESCALATED TO LOCAL OFFICE",IF($Z797=5,"ESCALATED TO CBE",IF($AA797=TODAY(),"EMAIL SENT","MONITORING"))))))))))</f>
        <v/>
      </c>
      <c r="V797" s="17">
        <f>IF($U797="",IF(AND(COUNTA($A797:$L797)&gt;0,$N797=""),"Awaiting Collection Email time stamp.",""),IF(OR($U797="PAID",$U797="CLOSED"),IF($U797="PAID","Account paid. Action completed.","Account closed. No further action required."),CHOOSE($Z797,"Collection Email","1st Email Follow-up","2nd Email Follow-up","Escalation to Local Office","Escalation to CBE","Escalation to Roxanne")&amp;" sent "&amp;TEXT($AA797,"dd-mmm")&amp;". "&amp;IF($Z797=6,"Final escalation completed.",IF($U797="OVERDUE","Next: "&amp;$AC797&amp;" was due "&amp;TEXT($AB797,"dd-mmm")&amp;" - "&amp;(NETWORKDAYS($AB797,TODAY(),Holidays)-1)&amp;" business day(s) late. Send now.",IF($U797="DUE TOMORROW","Next: "&amp;$AC797&amp;IF($AB797&lt;=TODAY()," is due TODAY ("," is due next business day (")&amp;TEXT($AB797,"dd-mmm")&amp;").","Next: "&amp;$AC797&amp;" due "&amp;TEXT($AB797,"dd-mmm")&amp;" ("&amp;(NETWORKDAYS(TODAY(),$AB797,Holidays)-1)&amp;" business day(s) left).")))))</f>
        <v/>
      </c>
      <c r="W797" s="17">
        <f>IF($Z797="","",CHOOSE($Z797,"Collection Email","1st Follow-up","2nd Follow-up","Local Office","CBE","Roxanne")&amp;IF($Z797=6," - Final"," - Day "&amp;MAX(0,NETWORKDAYS($AA797,TODAY(),Holidays)-1)&amp;" of "&amp;CHOOSE($Z797,3,3,2,2,3))&amp;" | Total Day "&amp;MAX(0,NETWORKDAYS($N797,TODAY(),Holidays)-1))</f>
        <v/>
      </c>
      <c r="X797" s="18"/>
      <c r="Y797" s="18"/>
      <c r="Z797" s="17">
        <f>IF($N797="","",COUNT($N797:$S797))</f>
        <v/>
      </c>
      <c r="AA797" s="19">
        <f>IF($Z797="","",INT(INDEX($N797:$S797,$Z797)))</f>
        <v/>
      </c>
      <c r="AB797" s="19">
        <f>IF(OR($Z797="",$Z797=6),"",WORKDAY($AA797,CHOOSE($Z797,3,3,2,2,3),Holidays))</f>
        <v/>
      </c>
      <c r="AC797" s="17">
        <f>IF(OR($Z797="",$Z797=6),"",CHOOSE($Z797,"1st Email Follow-up","2nd Email Follow-up","Escalate Local Office","Escalate to CBE","Escalate to Roxanne"))</f>
        <v/>
      </c>
    </row>
    <row r="798" spans="13:29">
      <c r="M798" s="14"/>
      <c r="T798" s="16"/>
      <c r="U798" s="17">
        <f>IF(AND(COUNTA($A798:$L798)=0,$N798=""),"",IF($T798="Paid","PAID",IF($T798="Closed","CLOSED",IF($Z798="","",IF($Z798=6,"ESCALATED TO ROXANNE",IF(TODAY()&gt;$AB798,"OVERDUE",IF($AB798&lt;=WORKDAY(TODAY(),1,Holidays),"DUE TOMORROW",IF($Z798=4,"ESCALATED TO LOCAL OFFICE",IF($Z798=5,"ESCALATED TO CBE",IF($AA798=TODAY(),"EMAIL SENT","MONITORING"))))))))))</f>
        <v/>
      </c>
      <c r="V798" s="17">
        <f>IF($U798="",IF(AND(COUNTA($A798:$L798)&gt;0,$N798=""),"Awaiting Collection Email time stamp.",""),IF(OR($U798="PAID",$U798="CLOSED"),IF($U798="PAID","Account paid. Action completed.","Account closed. No further action required."),CHOOSE($Z798,"Collection Email","1st Email Follow-up","2nd Email Follow-up","Escalation to Local Office","Escalation to CBE","Escalation to Roxanne")&amp;" sent "&amp;TEXT($AA798,"dd-mmm")&amp;". "&amp;IF($Z798=6,"Final escalation completed.",IF($U798="OVERDUE","Next: "&amp;$AC798&amp;" was due "&amp;TEXT($AB798,"dd-mmm")&amp;" - "&amp;(NETWORKDAYS($AB798,TODAY(),Holidays)-1)&amp;" business day(s) late. Send now.",IF($U798="DUE TOMORROW","Next: "&amp;$AC798&amp;IF($AB798&lt;=TODAY()," is due TODAY ("," is due next business day (")&amp;TEXT($AB798,"dd-mmm")&amp;").","Next: "&amp;$AC798&amp;" due "&amp;TEXT($AB798,"dd-mmm")&amp;" ("&amp;(NETWORKDAYS(TODAY(),$AB798,Holidays)-1)&amp;" business day(s) left).")))))</f>
        <v/>
      </c>
      <c r="W798" s="17">
        <f>IF($Z798="","",CHOOSE($Z798,"Collection Email","1st Follow-up","2nd Follow-up","Local Office","CBE","Roxanne")&amp;IF($Z798=6," - Final"," - Day "&amp;MAX(0,NETWORKDAYS($AA798,TODAY(),Holidays)-1)&amp;" of "&amp;CHOOSE($Z798,3,3,2,2,3))&amp;" | Total Day "&amp;MAX(0,NETWORKDAYS($N798,TODAY(),Holidays)-1))</f>
        <v/>
      </c>
      <c r="X798" s="18"/>
      <c r="Y798" s="18"/>
      <c r="Z798" s="17">
        <f>IF($N798="","",COUNT($N798:$S798))</f>
        <v/>
      </c>
      <c r="AA798" s="19">
        <f>IF($Z798="","",INT(INDEX($N798:$S798,$Z798)))</f>
        <v/>
      </c>
      <c r="AB798" s="19">
        <f>IF(OR($Z798="",$Z798=6),"",WORKDAY($AA798,CHOOSE($Z798,3,3,2,2,3),Holidays))</f>
        <v/>
      </c>
      <c r="AC798" s="17">
        <f>IF(OR($Z798="",$Z798=6),"",CHOOSE($Z798,"1st Email Follow-up","2nd Email Follow-up","Escalate Local Office","Escalate to CBE","Escalate to Roxanne"))</f>
        <v/>
      </c>
    </row>
    <row r="799" spans="13:29">
      <c r="M799" s="14"/>
      <c r="T799" s="16"/>
      <c r="U799" s="17">
        <f>IF(AND(COUNTA($A799:$L799)=0,$N799=""),"",IF($T799="Paid","PAID",IF($T799="Closed","CLOSED",IF($Z799="","",IF($Z799=6,"ESCALATED TO ROXANNE",IF(TODAY()&gt;$AB799,"OVERDUE",IF($AB799&lt;=WORKDAY(TODAY(),1,Holidays),"DUE TOMORROW",IF($Z799=4,"ESCALATED TO LOCAL OFFICE",IF($Z799=5,"ESCALATED TO CBE",IF($AA799=TODAY(),"EMAIL SENT","MONITORING"))))))))))</f>
        <v/>
      </c>
      <c r="V799" s="17">
        <f>IF($U799="",IF(AND(COUNTA($A799:$L799)&gt;0,$N799=""),"Awaiting Collection Email time stamp.",""),IF(OR($U799="PAID",$U799="CLOSED"),IF($U799="PAID","Account paid. Action completed.","Account closed. No further action required."),CHOOSE($Z799,"Collection Email","1st Email Follow-up","2nd Email Follow-up","Escalation to Local Office","Escalation to CBE","Escalation to Roxanne")&amp;" sent "&amp;TEXT($AA799,"dd-mmm")&amp;". "&amp;IF($Z799=6,"Final escalation completed.",IF($U799="OVERDUE","Next: "&amp;$AC799&amp;" was due "&amp;TEXT($AB799,"dd-mmm")&amp;" - "&amp;(NETWORKDAYS($AB799,TODAY(),Holidays)-1)&amp;" business day(s) late. Send now.",IF($U799="DUE TOMORROW","Next: "&amp;$AC799&amp;IF($AB799&lt;=TODAY()," is due TODAY ("," is due next business day (")&amp;TEXT($AB799,"dd-mmm")&amp;").","Next: "&amp;$AC799&amp;" due "&amp;TEXT($AB799,"dd-mmm")&amp;" ("&amp;(NETWORKDAYS(TODAY(),$AB799,Holidays)-1)&amp;" business day(s) left).")))))</f>
        <v/>
      </c>
      <c r="W799" s="17">
        <f>IF($Z799="","",CHOOSE($Z799,"Collection Email","1st Follow-up","2nd Follow-up","Local Office","CBE","Roxanne")&amp;IF($Z799=6," - Final"," - Day "&amp;MAX(0,NETWORKDAYS($AA799,TODAY(),Holidays)-1)&amp;" of "&amp;CHOOSE($Z799,3,3,2,2,3))&amp;" | Total Day "&amp;MAX(0,NETWORKDAYS($N799,TODAY(),Holidays)-1))</f>
        <v/>
      </c>
      <c r="X799" s="18"/>
      <c r="Y799" s="18"/>
      <c r="Z799" s="17">
        <f>IF($N799="","",COUNT($N799:$S799))</f>
        <v/>
      </c>
      <c r="AA799" s="19">
        <f>IF($Z799="","",INT(INDEX($N799:$S799,$Z799)))</f>
        <v/>
      </c>
      <c r="AB799" s="19">
        <f>IF(OR($Z799="",$Z799=6),"",WORKDAY($AA799,CHOOSE($Z799,3,3,2,2,3),Holidays))</f>
        <v/>
      </c>
      <c r="AC799" s="17">
        <f>IF(OR($Z799="",$Z799=6),"",CHOOSE($Z799,"1st Email Follow-up","2nd Email Follow-up","Escalate Local Office","Escalate to CBE","Escalate to Roxanne"))</f>
        <v/>
      </c>
    </row>
    <row r="800" spans="13:29">
      <c r="M800" s="14"/>
      <c r="T800" s="16"/>
      <c r="U800" s="17">
        <f>IF(AND(COUNTA($A800:$L800)=0,$N800=""),"",IF($T800="Paid","PAID",IF($T800="Closed","CLOSED",IF($Z800="","",IF($Z800=6,"ESCALATED TO ROXANNE",IF(TODAY()&gt;$AB800,"OVERDUE",IF($AB800&lt;=WORKDAY(TODAY(),1,Holidays),"DUE TOMORROW",IF($Z800=4,"ESCALATED TO LOCAL OFFICE",IF($Z800=5,"ESCALATED TO CBE",IF($AA800=TODAY(),"EMAIL SENT","MONITORING"))))))))))</f>
        <v/>
      </c>
      <c r="V800" s="17">
        <f>IF($U800="",IF(AND(COUNTA($A800:$L800)&gt;0,$N800=""),"Awaiting Collection Email time stamp.",""),IF(OR($U800="PAID",$U800="CLOSED"),IF($U800="PAID","Account paid. Action completed.","Account closed. No further action required."),CHOOSE($Z800,"Collection Email","1st Email Follow-up","2nd Email Follow-up","Escalation to Local Office","Escalation to CBE","Escalation to Roxanne")&amp;" sent "&amp;TEXT($AA800,"dd-mmm")&amp;". "&amp;IF($Z800=6,"Final escalation completed.",IF($U800="OVERDUE","Next: "&amp;$AC800&amp;" was due "&amp;TEXT($AB800,"dd-mmm")&amp;" - "&amp;(NETWORKDAYS($AB800,TODAY(),Holidays)-1)&amp;" business day(s) late. Send now.",IF($U800="DUE TOMORROW","Next: "&amp;$AC800&amp;IF($AB800&lt;=TODAY()," is due TODAY ("," is due next business day (")&amp;TEXT($AB800,"dd-mmm")&amp;").","Next: "&amp;$AC800&amp;" due "&amp;TEXT($AB800,"dd-mmm")&amp;" ("&amp;(NETWORKDAYS(TODAY(),$AB800,Holidays)-1)&amp;" business day(s) left).")))))</f>
        <v/>
      </c>
      <c r="W800" s="17">
        <f>IF($Z800="","",CHOOSE($Z800,"Collection Email","1st Follow-up","2nd Follow-up","Local Office","CBE","Roxanne")&amp;IF($Z800=6," - Final"," - Day "&amp;MAX(0,NETWORKDAYS($AA800,TODAY(),Holidays)-1)&amp;" of "&amp;CHOOSE($Z800,3,3,2,2,3))&amp;" | Total Day "&amp;MAX(0,NETWORKDAYS($N800,TODAY(),Holidays)-1))</f>
        <v/>
      </c>
      <c r="X800" s="18"/>
      <c r="Y800" s="18"/>
      <c r="Z800" s="17">
        <f>IF($N800="","",COUNT($N800:$S800))</f>
        <v/>
      </c>
      <c r="AA800" s="19">
        <f>IF($Z800="","",INT(INDEX($N800:$S800,$Z800)))</f>
        <v/>
      </c>
      <c r="AB800" s="19">
        <f>IF(OR($Z800="",$Z800=6),"",WORKDAY($AA800,CHOOSE($Z800,3,3,2,2,3),Holidays))</f>
        <v/>
      </c>
      <c r="AC800" s="17">
        <f>IF(OR($Z800="",$Z800=6),"",CHOOSE($Z800,"1st Email Follow-up","2nd Email Follow-up","Escalate Local Office","Escalate to CBE","Escalate to Roxanne"))</f>
        <v/>
      </c>
    </row>
    <row r="801" spans="13:29">
      <c r="M801" s="14"/>
      <c r="T801" s="16"/>
      <c r="U801" s="17">
        <f>IF(AND(COUNTA($A801:$L801)=0,$N801=""),"",IF($T801="Paid","PAID",IF($T801="Closed","CLOSED",IF($Z801="","",IF($Z801=6,"ESCALATED TO ROXANNE",IF(TODAY()&gt;$AB801,"OVERDUE",IF($AB801&lt;=WORKDAY(TODAY(),1,Holidays),"DUE TOMORROW",IF($Z801=4,"ESCALATED TO LOCAL OFFICE",IF($Z801=5,"ESCALATED TO CBE",IF($AA801=TODAY(),"EMAIL SENT","MONITORING"))))))))))</f>
        <v/>
      </c>
      <c r="V801" s="17">
        <f>IF($U801="",IF(AND(COUNTA($A801:$L801)&gt;0,$N801=""),"Awaiting Collection Email time stamp.",""),IF(OR($U801="PAID",$U801="CLOSED"),IF($U801="PAID","Account paid. Action completed.","Account closed. No further action required."),CHOOSE($Z801,"Collection Email","1st Email Follow-up","2nd Email Follow-up","Escalation to Local Office","Escalation to CBE","Escalation to Roxanne")&amp;" sent "&amp;TEXT($AA801,"dd-mmm")&amp;". "&amp;IF($Z801=6,"Final escalation completed.",IF($U801="OVERDUE","Next: "&amp;$AC801&amp;" was due "&amp;TEXT($AB801,"dd-mmm")&amp;" - "&amp;(NETWORKDAYS($AB801,TODAY(),Holidays)-1)&amp;" business day(s) late. Send now.",IF($U801="DUE TOMORROW","Next: "&amp;$AC801&amp;IF($AB801&lt;=TODAY()," is due TODAY ("," is due next business day (")&amp;TEXT($AB801,"dd-mmm")&amp;").","Next: "&amp;$AC801&amp;" due "&amp;TEXT($AB801,"dd-mmm")&amp;" ("&amp;(NETWORKDAYS(TODAY(),$AB801,Holidays)-1)&amp;" business day(s) left).")))))</f>
        <v/>
      </c>
      <c r="W801" s="17">
        <f>IF($Z801="","",CHOOSE($Z801,"Collection Email","1st Follow-up","2nd Follow-up","Local Office","CBE","Roxanne")&amp;IF($Z801=6," - Final"," - Day "&amp;MAX(0,NETWORKDAYS($AA801,TODAY(),Holidays)-1)&amp;" of "&amp;CHOOSE($Z801,3,3,2,2,3))&amp;" | Total Day "&amp;MAX(0,NETWORKDAYS($N801,TODAY(),Holidays)-1))</f>
        <v/>
      </c>
      <c r="X801" s="18"/>
      <c r="Y801" s="18"/>
      <c r="Z801" s="17">
        <f>IF($N801="","",COUNT($N801:$S801))</f>
        <v/>
      </c>
      <c r="AA801" s="19">
        <f>IF($Z801="","",INT(INDEX($N801:$S801,$Z801)))</f>
        <v/>
      </c>
      <c r="AB801" s="19">
        <f>IF(OR($Z801="",$Z801=6),"",WORKDAY($AA801,CHOOSE($Z801,3,3,2,2,3),Holidays))</f>
        <v/>
      </c>
      <c r="AC801" s="17">
        <f>IF(OR($Z801="",$Z801=6),"",CHOOSE($Z801,"1st Email Follow-up","2nd Email Follow-up","Escalate Local Office","Escalate to CBE","Escalate to Roxanne"))</f>
        <v/>
      </c>
    </row>
    <row r="802" spans="13:29">
      <c r="M802" s="14"/>
      <c r="T802" s="16"/>
      <c r="U802" s="17">
        <f>IF(AND(COUNTA($A802:$L802)=0,$N802=""),"",IF($T802="Paid","PAID",IF($T802="Closed","CLOSED",IF($Z802="","",IF($Z802=6,"ESCALATED TO ROXANNE",IF(TODAY()&gt;$AB802,"OVERDUE",IF($AB802&lt;=WORKDAY(TODAY(),1,Holidays),"DUE TOMORROW",IF($Z802=4,"ESCALATED TO LOCAL OFFICE",IF($Z802=5,"ESCALATED TO CBE",IF($AA802=TODAY(),"EMAIL SENT","MONITORING"))))))))))</f>
        <v/>
      </c>
      <c r="V802" s="17">
        <f>IF($U802="",IF(AND(COUNTA($A802:$L802)&gt;0,$N802=""),"Awaiting Collection Email time stamp.",""),IF(OR($U802="PAID",$U802="CLOSED"),IF($U802="PAID","Account paid. Action completed.","Account closed. No further action required."),CHOOSE($Z802,"Collection Email","1st Email Follow-up","2nd Email Follow-up","Escalation to Local Office","Escalation to CBE","Escalation to Roxanne")&amp;" sent "&amp;TEXT($AA802,"dd-mmm")&amp;". "&amp;IF($Z802=6,"Final escalation completed.",IF($U802="OVERDUE","Next: "&amp;$AC802&amp;" was due "&amp;TEXT($AB802,"dd-mmm")&amp;" - "&amp;(NETWORKDAYS($AB802,TODAY(),Holidays)-1)&amp;" business day(s) late. Send now.",IF($U802="DUE TOMORROW","Next: "&amp;$AC802&amp;IF($AB802&lt;=TODAY()," is due TODAY ("," is due next business day (")&amp;TEXT($AB802,"dd-mmm")&amp;").","Next: "&amp;$AC802&amp;" due "&amp;TEXT($AB802,"dd-mmm")&amp;" ("&amp;(NETWORKDAYS(TODAY(),$AB802,Holidays)-1)&amp;" business day(s) left).")))))</f>
        <v/>
      </c>
      <c r="W802" s="17">
        <f>IF($Z802="","",CHOOSE($Z802,"Collection Email","1st Follow-up","2nd Follow-up","Local Office","CBE","Roxanne")&amp;IF($Z802=6," - Final"," - Day "&amp;MAX(0,NETWORKDAYS($AA802,TODAY(),Holidays)-1)&amp;" of "&amp;CHOOSE($Z802,3,3,2,2,3))&amp;" | Total Day "&amp;MAX(0,NETWORKDAYS($N802,TODAY(),Holidays)-1))</f>
        <v/>
      </c>
      <c r="X802" s="18"/>
      <c r="Y802" s="18"/>
      <c r="Z802" s="17">
        <f>IF($N802="","",COUNT($N802:$S802))</f>
        <v/>
      </c>
      <c r="AA802" s="19">
        <f>IF($Z802="","",INT(INDEX($N802:$S802,$Z802)))</f>
        <v/>
      </c>
      <c r="AB802" s="19">
        <f>IF(OR($Z802="",$Z802=6),"",WORKDAY($AA802,CHOOSE($Z802,3,3,2,2,3),Holidays))</f>
        <v/>
      </c>
      <c r="AC802" s="17">
        <f>IF(OR($Z802="",$Z802=6),"",CHOOSE($Z802,"1st Email Follow-up","2nd Email Follow-up","Escalate Local Office","Escalate to CBE","Escalate to Roxanne"))</f>
        <v/>
      </c>
    </row>
    <row r="803" spans="13:29">
      <c r="M803" s="14"/>
      <c r="T803" s="16"/>
      <c r="U803" s="17">
        <f>IF(AND(COUNTA($A803:$L803)=0,$N803=""),"",IF($T803="Paid","PAID",IF($T803="Closed","CLOSED",IF($Z803="","",IF($Z803=6,"ESCALATED TO ROXANNE",IF(TODAY()&gt;$AB803,"OVERDUE",IF($AB803&lt;=WORKDAY(TODAY(),1,Holidays),"DUE TOMORROW",IF($Z803=4,"ESCALATED TO LOCAL OFFICE",IF($Z803=5,"ESCALATED TO CBE",IF($AA803=TODAY(),"EMAIL SENT","MONITORING"))))))))))</f>
        <v/>
      </c>
      <c r="V803" s="17">
        <f>IF($U803="",IF(AND(COUNTA($A803:$L803)&gt;0,$N803=""),"Awaiting Collection Email time stamp.",""),IF(OR($U803="PAID",$U803="CLOSED"),IF($U803="PAID","Account paid. Action completed.","Account closed. No further action required."),CHOOSE($Z803,"Collection Email","1st Email Follow-up","2nd Email Follow-up","Escalation to Local Office","Escalation to CBE","Escalation to Roxanne")&amp;" sent "&amp;TEXT($AA803,"dd-mmm")&amp;". "&amp;IF($Z803=6,"Final escalation completed.",IF($U803="OVERDUE","Next: "&amp;$AC803&amp;" was due "&amp;TEXT($AB803,"dd-mmm")&amp;" - "&amp;(NETWORKDAYS($AB803,TODAY(),Holidays)-1)&amp;" business day(s) late. Send now.",IF($U803="DUE TOMORROW","Next: "&amp;$AC803&amp;IF($AB803&lt;=TODAY()," is due TODAY ("," is due next business day (")&amp;TEXT($AB803,"dd-mmm")&amp;").","Next: "&amp;$AC803&amp;" due "&amp;TEXT($AB803,"dd-mmm")&amp;" ("&amp;(NETWORKDAYS(TODAY(),$AB803,Holidays)-1)&amp;" business day(s) left).")))))</f>
        <v/>
      </c>
      <c r="W803" s="17">
        <f>IF($Z803="","",CHOOSE($Z803,"Collection Email","1st Follow-up","2nd Follow-up","Local Office","CBE","Roxanne")&amp;IF($Z803=6," - Final"," - Day "&amp;MAX(0,NETWORKDAYS($AA803,TODAY(),Holidays)-1)&amp;" of "&amp;CHOOSE($Z803,3,3,2,2,3))&amp;" | Total Day "&amp;MAX(0,NETWORKDAYS($N803,TODAY(),Holidays)-1))</f>
        <v/>
      </c>
      <c r="X803" s="18"/>
      <c r="Y803" s="18"/>
      <c r="Z803" s="17">
        <f>IF($N803="","",COUNT($N803:$S803))</f>
        <v/>
      </c>
      <c r="AA803" s="19">
        <f>IF($Z803="","",INT(INDEX($N803:$S803,$Z803)))</f>
        <v/>
      </c>
      <c r="AB803" s="19">
        <f>IF(OR($Z803="",$Z803=6),"",WORKDAY($AA803,CHOOSE($Z803,3,3,2,2,3),Holidays))</f>
        <v/>
      </c>
      <c r="AC803" s="17">
        <f>IF(OR($Z803="",$Z803=6),"",CHOOSE($Z803,"1st Email Follow-up","2nd Email Follow-up","Escalate Local Office","Escalate to CBE","Escalate to Roxanne"))</f>
        <v/>
      </c>
    </row>
    <row r="804" spans="13:29">
      <c r="M804" s="14"/>
      <c r="T804" s="16"/>
      <c r="U804" s="17">
        <f>IF(AND(COUNTA($A804:$L804)=0,$N804=""),"",IF($T804="Paid","PAID",IF($T804="Closed","CLOSED",IF($Z804="","",IF($Z804=6,"ESCALATED TO ROXANNE",IF(TODAY()&gt;$AB804,"OVERDUE",IF($AB804&lt;=WORKDAY(TODAY(),1,Holidays),"DUE TOMORROW",IF($Z804=4,"ESCALATED TO LOCAL OFFICE",IF($Z804=5,"ESCALATED TO CBE",IF($AA804=TODAY(),"EMAIL SENT","MONITORING"))))))))))</f>
        <v/>
      </c>
      <c r="V804" s="17">
        <f>IF($U804="",IF(AND(COUNTA($A804:$L804)&gt;0,$N804=""),"Awaiting Collection Email time stamp.",""),IF(OR($U804="PAID",$U804="CLOSED"),IF($U804="PAID","Account paid. Action completed.","Account closed. No further action required."),CHOOSE($Z804,"Collection Email","1st Email Follow-up","2nd Email Follow-up","Escalation to Local Office","Escalation to CBE","Escalation to Roxanne")&amp;" sent "&amp;TEXT($AA804,"dd-mmm")&amp;". "&amp;IF($Z804=6,"Final escalation completed.",IF($U804="OVERDUE","Next: "&amp;$AC804&amp;" was due "&amp;TEXT($AB804,"dd-mmm")&amp;" - "&amp;(NETWORKDAYS($AB804,TODAY(),Holidays)-1)&amp;" business day(s) late. Send now.",IF($U804="DUE TOMORROW","Next: "&amp;$AC804&amp;IF($AB804&lt;=TODAY()," is due TODAY ("," is due next business day (")&amp;TEXT($AB804,"dd-mmm")&amp;").","Next: "&amp;$AC804&amp;" due "&amp;TEXT($AB804,"dd-mmm")&amp;" ("&amp;(NETWORKDAYS(TODAY(),$AB804,Holidays)-1)&amp;" business day(s) left).")))))</f>
        <v/>
      </c>
      <c r="W804" s="17">
        <f>IF($Z804="","",CHOOSE($Z804,"Collection Email","1st Follow-up","2nd Follow-up","Local Office","CBE","Roxanne")&amp;IF($Z804=6," - Final"," - Day "&amp;MAX(0,NETWORKDAYS($AA804,TODAY(),Holidays)-1)&amp;" of "&amp;CHOOSE($Z804,3,3,2,2,3))&amp;" | Total Day "&amp;MAX(0,NETWORKDAYS($N804,TODAY(),Holidays)-1))</f>
        <v/>
      </c>
      <c r="X804" s="18"/>
      <c r="Y804" s="18"/>
      <c r="Z804" s="17">
        <f>IF($N804="","",COUNT($N804:$S804))</f>
        <v/>
      </c>
      <c r="AA804" s="19">
        <f>IF($Z804="","",INT(INDEX($N804:$S804,$Z804)))</f>
        <v/>
      </c>
      <c r="AB804" s="19">
        <f>IF(OR($Z804="",$Z804=6),"",WORKDAY($AA804,CHOOSE($Z804,3,3,2,2,3),Holidays))</f>
        <v/>
      </c>
      <c r="AC804" s="17">
        <f>IF(OR($Z804="",$Z804=6),"",CHOOSE($Z804,"1st Email Follow-up","2nd Email Follow-up","Escalate Local Office","Escalate to CBE","Escalate to Roxanne"))</f>
        <v/>
      </c>
    </row>
    <row r="805" spans="13:29">
      <c r="M805" s="14"/>
      <c r="T805" s="16"/>
      <c r="U805" s="17">
        <f>IF(AND(COUNTA($A805:$L805)=0,$N805=""),"",IF($T805="Paid","PAID",IF($T805="Closed","CLOSED",IF($Z805="","",IF($Z805=6,"ESCALATED TO ROXANNE",IF(TODAY()&gt;$AB805,"OVERDUE",IF($AB805&lt;=WORKDAY(TODAY(),1,Holidays),"DUE TOMORROW",IF($Z805=4,"ESCALATED TO LOCAL OFFICE",IF($Z805=5,"ESCALATED TO CBE",IF($AA805=TODAY(),"EMAIL SENT","MONITORING"))))))))))</f>
        <v/>
      </c>
      <c r="V805" s="17">
        <f>IF($U805="",IF(AND(COUNTA($A805:$L805)&gt;0,$N805=""),"Awaiting Collection Email time stamp.",""),IF(OR($U805="PAID",$U805="CLOSED"),IF($U805="PAID","Account paid. Action completed.","Account closed. No further action required."),CHOOSE($Z805,"Collection Email","1st Email Follow-up","2nd Email Follow-up","Escalation to Local Office","Escalation to CBE","Escalation to Roxanne")&amp;" sent "&amp;TEXT($AA805,"dd-mmm")&amp;". "&amp;IF($Z805=6,"Final escalation completed.",IF($U805="OVERDUE","Next: "&amp;$AC805&amp;" was due "&amp;TEXT($AB805,"dd-mmm")&amp;" - "&amp;(NETWORKDAYS($AB805,TODAY(),Holidays)-1)&amp;" business day(s) late. Send now.",IF($U805="DUE TOMORROW","Next: "&amp;$AC805&amp;IF($AB805&lt;=TODAY()," is due TODAY ("," is due next business day (")&amp;TEXT($AB805,"dd-mmm")&amp;").","Next: "&amp;$AC805&amp;" due "&amp;TEXT($AB805,"dd-mmm")&amp;" ("&amp;(NETWORKDAYS(TODAY(),$AB805,Holidays)-1)&amp;" business day(s) left).")))))</f>
        <v/>
      </c>
      <c r="W805" s="17">
        <f>IF($Z805="","",CHOOSE($Z805,"Collection Email","1st Follow-up","2nd Follow-up","Local Office","CBE","Roxanne")&amp;IF($Z805=6," - Final"," - Day "&amp;MAX(0,NETWORKDAYS($AA805,TODAY(),Holidays)-1)&amp;" of "&amp;CHOOSE($Z805,3,3,2,2,3))&amp;" | Total Day "&amp;MAX(0,NETWORKDAYS($N805,TODAY(),Holidays)-1))</f>
        <v/>
      </c>
      <c r="X805" s="18"/>
      <c r="Y805" s="18"/>
      <c r="Z805" s="17">
        <f>IF($N805="","",COUNT($N805:$S805))</f>
        <v/>
      </c>
      <c r="AA805" s="19">
        <f>IF($Z805="","",INT(INDEX($N805:$S805,$Z805)))</f>
        <v/>
      </c>
      <c r="AB805" s="19">
        <f>IF(OR($Z805="",$Z805=6),"",WORKDAY($AA805,CHOOSE($Z805,3,3,2,2,3),Holidays))</f>
        <v/>
      </c>
      <c r="AC805" s="17">
        <f>IF(OR($Z805="",$Z805=6),"",CHOOSE($Z805,"1st Email Follow-up","2nd Email Follow-up","Escalate Local Office","Escalate to CBE","Escalate to Roxanne"))</f>
        <v/>
      </c>
    </row>
    <row r="806" spans="13:29">
      <c r="M806" s="14"/>
      <c r="T806" s="16"/>
      <c r="U806" s="17">
        <f>IF(AND(COUNTA($A806:$L806)=0,$N806=""),"",IF($T806="Paid","PAID",IF($T806="Closed","CLOSED",IF($Z806="","",IF($Z806=6,"ESCALATED TO ROXANNE",IF(TODAY()&gt;$AB806,"OVERDUE",IF($AB806&lt;=WORKDAY(TODAY(),1,Holidays),"DUE TOMORROW",IF($Z806=4,"ESCALATED TO LOCAL OFFICE",IF($Z806=5,"ESCALATED TO CBE",IF($AA806=TODAY(),"EMAIL SENT","MONITORING"))))))))))</f>
        <v/>
      </c>
      <c r="V806" s="17">
        <f>IF($U806="",IF(AND(COUNTA($A806:$L806)&gt;0,$N806=""),"Awaiting Collection Email time stamp.",""),IF(OR($U806="PAID",$U806="CLOSED"),IF($U806="PAID","Account paid. Action completed.","Account closed. No further action required."),CHOOSE($Z806,"Collection Email","1st Email Follow-up","2nd Email Follow-up","Escalation to Local Office","Escalation to CBE","Escalation to Roxanne")&amp;" sent "&amp;TEXT($AA806,"dd-mmm")&amp;". "&amp;IF($Z806=6,"Final escalation completed.",IF($U806="OVERDUE","Next: "&amp;$AC806&amp;" was due "&amp;TEXT($AB806,"dd-mmm")&amp;" - "&amp;(NETWORKDAYS($AB806,TODAY(),Holidays)-1)&amp;" business day(s) late. Send now.",IF($U806="DUE TOMORROW","Next: "&amp;$AC806&amp;IF($AB806&lt;=TODAY()," is due TODAY ("," is due next business day (")&amp;TEXT($AB806,"dd-mmm")&amp;").","Next: "&amp;$AC806&amp;" due "&amp;TEXT($AB806,"dd-mmm")&amp;" ("&amp;(NETWORKDAYS(TODAY(),$AB806,Holidays)-1)&amp;" business day(s) left).")))))</f>
        <v/>
      </c>
      <c r="W806" s="17">
        <f>IF($Z806="","",CHOOSE($Z806,"Collection Email","1st Follow-up","2nd Follow-up","Local Office","CBE","Roxanne")&amp;IF($Z806=6," - Final"," - Day "&amp;MAX(0,NETWORKDAYS($AA806,TODAY(),Holidays)-1)&amp;" of "&amp;CHOOSE($Z806,3,3,2,2,3))&amp;" | Total Day "&amp;MAX(0,NETWORKDAYS($N806,TODAY(),Holidays)-1))</f>
        <v/>
      </c>
      <c r="X806" s="18"/>
      <c r="Y806" s="18"/>
      <c r="Z806" s="17">
        <f>IF($N806="","",COUNT($N806:$S806))</f>
        <v/>
      </c>
      <c r="AA806" s="19">
        <f>IF($Z806="","",INT(INDEX($N806:$S806,$Z806)))</f>
        <v/>
      </c>
      <c r="AB806" s="19">
        <f>IF(OR($Z806="",$Z806=6),"",WORKDAY($AA806,CHOOSE($Z806,3,3,2,2,3),Holidays))</f>
        <v/>
      </c>
      <c r="AC806" s="17">
        <f>IF(OR($Z806="",$Z806=6),"",CHOOSE($Z806,"1st Email Follow-up","2nd Email Follow-up","Escalate Local Office","Escalate to CBE","Escalate to Roxanne"))</f>
        <v/>
      </c>
    </row>
    <row r="807" spans="13:29">
      <c r="M807" s="14"/>
      <c r="T807" s="16"/>
      <c r="U807" s="17">
        <f>IF(AND(COUNTA($A807:$L807)=0,$N807=""),"",IF($T807="Paid","PAID",IF($T807="Closed","CLOSED",IF($Z807="","",IF($Z807=6,"ESCALATED TO ROXANNE",IF(TODAY()&gt;$AB807,"OVERDUE",IF($AB807&lt;=WORKDAY(TODAY(),1,Holidays),"DUE TOMORROW",IF($Z807=4,"ESCALATED TO LOCAL OFFICE",IF($Z807=5,"ESCALATED TO CBE",IF($AA807=TODAY(),"EMAIL SENT","MONITORING"))))))))))</f>
        <v/>
      </c>
      <c r="V807" s="17">
        <f>IF($U807="",IF(AND(COUNTA($A807:$L807)&gt;0,$N807=""),"Awaiting Collection Email time stamp.",""),IF(OR($U807="PAID",$U807="CLOSED"),IF($U807="PAID","Account paid. Action completed.","Account closed. No further action required."),CHOOSE($Z807,"Collection Email","1st Email Follow-up","2nd Email Follow-up","Escalation to Local Office","Escalation to CBE","Escalation to Roxanne")&amp;" sent "&amp;TEXT($AA807,"dd-mmm")&amp;". "&amp;IF($Z807=6,"Final escalation completed.",IF($U807="OVERDUE","Next: "&amp;$AC807&amp;" was due "&amp;TEXT($AB807,"dd-mmm")&amp;" - "&amp;(NETWORKDAYS($AB807,TODAY(),Holidays)-1)&amp;" business day(s) late. Send now.",IF($U807="DUE TOMORROW","Next: "&amp;$AC807&amp;IF($AB807&lt;=TODAY()," is due TODAY ("," is due next business day (")&amp;TEXT($AB807,"dd-mmm")&amp;").","Next: "&amp;$AC807&amp;" due "&amp;TEXT($AB807,"dd-mmm")&amp;" ("&amp;(NETWORKDAYS(TODAY(),$AB807,Holidays)-1)&amp;" business day(s) left).")))))</f>
        <v/>
      </c>
      <c r="W807" s="17">
        <f>IF($Z807="","",CHOOSE($Z807,"Collection Email","1st Follow-up","2nd Follow-up","Local Office","CBE","Roxanne")&amp;IF($Z807=6," - Final"," - Day "&amp;MAX(0,NETWORKDAYS($AA807,TODAY(),Holidays)-1)&amp;" of "&amp;CHOOSE($Z807,3,3,2,2,3))&amp;" | Total Day "&amp;MAX(0,NETWORKDAYS($N807,TODAY(),Holidays)-1))</f>
        <v/>
      </c>
      <c r="X807" s="18"/>
      <c r="Y807" s="18"/>
      <c r="Z807" s="17">
        <f>IF($N807="","",COUNT($N807:$S807))</f>
        <v/>
      </c>
      <c r="AA807" s="19">
        <f>IF($Z807="","",INT(INDEX($N807:$S807,$Z807)))</f>
        <v/>
      </c>
      <c r="AB807" s="19">
        <f>IF(OR($Z807="",$Z807=6),"",WORKDAY($AA807,CHOOSE($Z807,3,3,2,2,3),Holidays))</f>
        <v/>
      </c>
      <c r="AC807" s="17">
        <f>IF(OR($Z807="",$Z807=6),"",CHOOSE($Z807,"1st Email Follow-up","2nd Email Follow-up","Escalate Local Office","Escalate to CBE","Escalate to Roxanne"))</f>
        <v/>
      </c>
    </row>
    <row r="808" spans="13:29">
      <c r="M808" s="14"/>
      <c r="T808" s="16"/>
      <c r="U808" s="17">
        <f>IF(AND(COUNTA($A808:$L808)=0,$N808=""),"",IF($T808="Paid","PAID",IF($T808="Closed","CLOSED",IF($Z808="","",IF($Z808=6,"ESCALATED TO ROXANNE",IF(TODAY()&gt;$AB808,"OVERDUE",IF($AB808&lt;=WORKDAY(TODAY(),1,Holidays),"DUE TOMORROW",IF($Z808=4,"ESCALATED TO LOCAL OFFICE",IF($Z808=5,"ESCALATED TO CBE",IF($AA808=TODAY(),"EMAIL SENT","MONITORING"))))))))))</f>
        <v/>
      </c>
      <c r="V808" s="17">
        <f>IF($U808="",IF(AND(COUNTA($A808:$L808)&gt;0,$N808=""),"Awaiting Collection Email time stamp.",""),IF(OR($U808="PAID",$U808="CLOSED"),IF($U808="PAID","Account paid. Action completed.","Account closed. No further action required."),CHOOSE($Z808,"Collection Email","1st Email Follow-up","2nd Email Follow-up","Escalation to Local Office","Escalation to CBE","Escalation to Roxanne")&amp;" sent "&amp;TEXT($AA808,"dd-mmm")&amp;". "&amp;IF($Z808=6,"Final escalation completed.",IF($U808="OVERDUE","Next: "&amp;$AC808&amp;" was due "&amp;TEXT($AB808,"dd-mmm")&amp;" - "&amp;(NETWORKDAYS($AB808,TODAY(),Holidays)-1)&amp;" business day(s) late. Send now.",IF($U808="DUE TOMORROW","Next: "&amp;$AC808&amp;IF($AB808&lt;=TODAY()," is due TODAY ("," is due next business day (")&amp;TEXT($AB808,"dd-mmm")&amp;").","Next: "&amp;$AC808&amp;" due "&amp;TEXT($AB808,"dd-mmm")&amp;" ("&amp;(NETWORKDAYS(TODAY(),$AB808,Holidays)-1)&amp;" business day(s) left).")))))</f>
        <v/>
      </c>
      <c r="W808" s="17">
        <f>IF($Z808="","",CHOOSE($Z808,"Collection Email","1st Follow-up","2nd Follow-up","Local Office","CBE","Roxanne")&amp;IF($Z808=6," - Final"," - Day "&amp;MAX(0,NETWORKDAYS($AA808,TODAY(),Holidays)-1)&amp;" of "&amp;CHOOSE($Z808,3,3,2,2,3))&amp;" | Total Day "&amp;MAX(0,NETWORKDAYS($N808,TODAY(),Holidays)-1))</f>
        <v/>
      </c>
      <c r="X808" s="18"/>
      <c r="Y808" s="18"/>
      <c r="Z808" s="17">
        <f>IF($N808="","",COUNT($N808:$S808))</f>
        <v/>
      </c>
      <c r="AA808" s="19">
        <f>IF($Z808="","",INT(INDEX($N808:$S808,$Z808)))</f>
        <v/>
      </c>
      <c r="AB808" s="19">
        <f>IF(OR($Z808="",$Z808=6),"",WORKDAY($AA808,CHOOSE($Z808,3,3,2,2,3),Holidays))</f>
        <v/>
      </c>
      <c r="AC808" s="17">
        <f>IF(OR($Z808="",$Z808=6),"",CHOOSE($Z808,"1st Email Follow-up","2nd Email Follow-up","Escalate Local Office","Escalate to CBE","Escalate to Roxanne"))</f>
        <v/>
      </c>
    </row>
    <row r="809" spans="13:29">
      <c r="M809" s="14"/>
      <c r="T809" s="16"/>
      <c r="U809" s="17">
        <f>IF(AND(COUNTA($A809:$L809)=0,$N809=""),"",IF($T809="Paid","PAID",IF($T809="Closed","CLOSED",IF($Z809="","",IF($Z809=6,"ESCALATED TO ROXANNE",IF(TODAY()&gt;$AB809,"OVERDUE",IF($AB809&lt;=WORKDAY(TODAY(),1,Holidays),"DUE TOMORROW",IF($Z809=4,"ESCALATED TO LOCAL OFFICE",IF($Z809=5,"ESCALATED TO CBE",IF($AA809=TODAY(),"EMAIL SENT","MONITORING"))))))))))</f>
        <v/>
      </c>
      <c r="V809" s="17">
        <f>IF($U809="",IF(AND(COUNTA($A809:$L809)&gt;0,$N809=""),"Awaiting Collection Email time stamp.",""),IF(OR($U809="PAID",$U809="CLOSED"),IF($U809="PAID","Account paid. Action completed.","Account closed. No further action required."),CHOOSE($Z809,"Collection Email","1st Email Follow-up","2nd Email Follow-up","Escalation to Local Office","Escalation to CBE","Escalation to Roxanne")&amp;" sent "&amp;TEXT($AA809,"dd-mmm")&amp;". "&amp;IF($Z809=6,"Final escalation completed.",IF($U809="OVERDUE","Next: "&amp;$AC809&amp;" was due "&amp;TEXT($AB809,"dd-mmm")&amp;" - "&amp;(NETWORKDAYS($AB809,TODAY(),Holidays)-1)&amp;" business day(s) late. Send now.",IF($U809="DUE TOMORROW","Next: "&amp;$AC809&amp;IF($AB809&lt;=TODAY()," is due TODAY ("," is due next business day (")&amp;TEXT($AB809,"dd-mmm")&amp;").","Next: "&amp;$AC809&amp;" due "&amp;TEXT($AB809,"dd-mmm")&amp;" ("&amp;(NETWORKDAYS(TODAY(),$AB809,Holidays)-1)&amp;" business day(s) left).")))))</f>
        <v/>
      </c>
      <c r="W809" s="17">
        <f>IF($Z809="","",CHOOSE($Z809,"Collection Email","1st Follow-up","2nd Follow-up","Local Office","CBE","Roxanne")&amp;IF($Z809=6," - Final"," - Day "&amp;MAX(0,NETWORKDAYS($AA809,TODAY(),Holidays)-1)&amp;" of "&amp;CHOOSE($Z809,3,3,2,2,3))&amp;" | Total Day "&amp;MAX(0,NETWORKDAYS($N809,TODAY(),Holidays)-1))</f>
        <v/>
      </c>
      <c r="X809" s="18"/>
      <c r="Y809" s="18"/>
      <c r="Z809" s="17">
        <f>IF($N809="","",COUNT($N809:$S809))</f>
        <v/>
      </c>
      <c r="AA809" s="19">
        <f>IF($Z809="","",INT(INDEX($N809:$S809,$Z809)))</f>
        <v/>
      </c>
      <c r="AB809" s="19">
        <f>IF(OR($Z809="",$Z809=6),"",WORKDAY($AA809,CHOOSE($Z809,3,3,2,2,3),Holidays))</f>
        <v/>
      </c>
      <c r="AC809" s="17">
        <f>IF(OR($Z809="",$Z809=6),"",CHOOSE($Z809,"1st Email Follow-up","2nd Email Follow-up","Escalate Local Office","Escalate to CBE","Escalate to Roxanne"))</f>
        <v/>
      </c>
    </row>
    <row r="810" spans="13:29">
      <c r="M810" s="14"/>
      <c r="T810" s="16"/>
      <c r="U810" s="17">
        <f>IF(AND(COUNTA($A810:$L810)=0,$N810=""),"",IF($T810="Paid","PAID",IF($T810="Closed","CLOSED",IF($Z810="","",IF($Z810=6,"ESCALATED TO ROXANNE",IF(TODAY()&gt;$AB810,"OVERDUE",IF($AB810&lt;=WORKDAY(TODAY(),1,Holidays),"DUE TOMORROW",IF($Z810=4,"ESCALATED TO LOCAL OFFICE",IF($Z810=5,"ESCALATED TO CBE",IF($AA810=TODAY(),"EMAIL SENT","MONITORING"))))))))))</f>
        <v/>
      </c>
      <c r="V810" s="17">
        <f>IF($U810="",IF(AND(COUNTA($A810:$L810)&gt;0,$N810=""),"Awaiting Collection Email time stamp.",""),IF(OR($U810="PAID",$U810="CLOSED"),IF($U810="PAID","Account paid. Action completed.","Account closed. No further action required."),CHOOSE($Z810,"Collection Email","1st Email Follow-up","2nd Email Follow-up","Escalation to Local Office","Escalation to CBE","Escalation to Roxanne")&amp;" sent "&amp;TEXT($AA810,"dd-mmm")&amp;". "&amp;IF($Z810=6,"Final escalation completed.",IF($U810="OVERDUE","Next: "&amp;$AC810&amp;" was due "&amp;TEXT($AB810,"dd-mmm")&amp;" - "&amp;(NETWORKDAYS($AB810,TODAY(),Holidays)-1)&amp;" business day(s) late. Send now.",IF($U810="DUE TOMORROW","Next: "&amp;$AC810&amp;IF($AB810&lt;=TODAY()," is due TODAY ("," is due next business day (")&amp;TEXT($AB810,"dd-mmm")&amp;").","Next: "&amp;$AC810&amp;" due "&amp;TEXT($AB810,"dd-mmm")&amp;" ("&amp;(NETWORKDAYS(TODAY(),$AB810,Holidays)-1)&amp;" business day(s) left).")))))</f>
        <v/>
      </c>
      <c r="W810" s="17">
        <f>IF($Z810="","",CHOOSE($Z810,"Collection Email","1st Follow-up","2nd Follow-up","Local Office","CBE","Roxanne")&amp;IF($Z810=6," - Final"," - Day "&amp;MAX(0,NETWORKDAYS($AA810,TODAY(),Holidays)-1)&amp;" of "&amp;CHOOSE($Z810,3,3,2,2,3))&amp;" | Total Day "&amp;MAX(0,NETWORKDAYS($N810,TODAY(),Holidays)-1))</f>
        <v/>
      </c>
      <c r="X810" s="18"/>
      <c r="Y810" s="18"/>
      <c r="Z810" s="17">
        <f>IF($N810="","",COUNT($N810:$S810))</f>
        <v/>
      </c>
      <c r="AA810" s="19">
        <f>IF($Z810="","",INT(INDEX($N810:$S810,$Z810)))</f>
        <v/>
      </c>
      <c r="AB810" s="19">
        <f>IF(OR($Z810="",$Z810=6),"",WORKDAY($AA810,CHOOSE($Z810,3,3,2,2,3),Holidays))</f>
        <v/>
      </c>
      <c r="AC810" s="17">
        <f>IF(OR($Z810="",$Z810=6),"",CHOOSE($Z810,"1st Email Follow-up","2nd Email Follow-up","Escalate Local Office","Escalate to CBE","Escalate to Roxanne"))</f>
        <v/>
      </c>
    </row>
    <row r="811" spans="13:29">
      <c r="M811" s="14"/>
      <c r="T811" s="16"/>
      <c r="U811" s="17">
        <f>IF(AND(COUNTA($A811:$L811)=0,$N811=""),"",IF($T811="Paid","PAID",IF($T811="Closed","CLOSED",IF($Z811="","",IF($Z811=6,"ESCALATED TO ROXANNE",IF(TODAY()&gt;$AB811,"OVERDUE",IF($AB811&lt;=WORKDAY(TODAY(),1,Holidays),"DUE TOMORROW",IF($Z811=4,"ESCALATED TO LOCAL OFFICE",IF($Z811=5,"ESCALATED TO CBE",IF($AA811=TODAY(),"EMAIL SENT","MONITORING"))))))))))</f>
        <v/>
      </c>
      <c r="V811" s="17">
        <f>IF($U811="",IF(AND(COUNTA($A811:$L811)&gt;0,$N811=""),"Awaiting Collection Email time stamp.",""),IF(OR($U811="PAID",$U811="CLOSED"),IF($U811="PAID","Account paid. Action completed.","Account closed. No further action required."),CHOOSE($Z811,"Collection Email","1st Email Follow-up","2nd Email Follow-up","Escalation to Local Office","Escalation to CBE","Escalation to Roxanne")&amp;" sent "&amp;TEXT($AA811,"dd-mmm")&amp;". "&amp;IF($Z811=6,"Final escalation completed.",IF($U811="OVERDUE","Next: "&amp;$AC811&amp;" was due "&amp;TEXT($AB811,"dd-mmm")&amp;" - "&amp;(NETWORKDAYS($AB811,TODAY(),Holidays)-1)&amp;" business day(s) late. Send now.",IF($U811="DUE TOMORROW","Next: "&amp;$AC811&amp;IF($AB811&lt;=TODAY()," is due TODAY ("," is due next business day (")&amp;TEXT($AB811,"dd-mmm")&amp;").","Next: "&amp;$AC811&amp;" due "&amp;TEXT($AB811,"dd-mmm")&amp;" ("&amp;(NETWORKDAYS(TODAY(),$AB811,Holidays)-1)&amp;" business day(s) left).")))))</f>
        <v/>
      </c>
      <c r="W811" s="17">
        <f>IF($Z811="","",CHOOSE($Z811,"Collection Email","1st Follow-up","2nd Follow-up","Local Office","CBE","Roxanne")&amp;IF($Z811=6," - Final"," - Day "&amp;MAX(0,NETWORKDAYS($AA811,TODAY(),Holidays)-1)&amp;" of "&amp;CHOOSE($Z811,3,3,2,2,3))&amp;" | Total Day "&amp;MAX(0,NETWORKDAYS($N811,TODAY(),Holidays)-1))</f>
        <v/>
      </c>
      <c r="X811" s="18"/>
      <c r="Y811" s="18"/>
      <c r="Z811" s="17">
        <f>IF($N811="","",COUNT($N811:$S811))</f>
        <v/>
      </c>
      <c r="AA811" s="19">
        <f>IF($Z811="","",INT(INDEX($N811:$S811,$Z811)))</f>
        <v/>
      </c>
      <c r="AB811" s="19">
        <f>IF(OR($Z811="",$Z811=6),"",WORKDAY($AA811,CHOOSE($Z811,3,3,2,2,3),Holidays))</f>
        <v/>
      </c>
      <c r="AC811" s="17">
        <f>IF(OR($Z811="",$Z811=6),"",CHOOSE($Z811,"1st Email Follow-up","2nd Email Follow-up","Escalate Local Office","Escalate to CBE","Escalate to Roxanne"))</f>
        <v/>
      </c>
    </row>
    <row r="812" spans="13:29">
      <c r="M812" s="14"/>
      <c r="T812" s="16"/>
      <c r="U812" s="17">
        <f>IF(AND(COUNTA($A812:$L812)=0,$N812=""),"",IF($T812="Paid","PAID",IF($T812="Closed","CLOSED",IF($Z812="","",IF($Z812=6,"ESCALATED TO ROXANNE",IF(TODAY()&gt;$AB812,"OVERDUE",IF($AB812&lt;=WORKDAY(TODAY(),1,Holidays),"DUE TOMORROW",IF($Z812=4,"ESCALATED TO LOCAL OFFICE",IF($Z812=5,"ESCALATED TO CBE",IF($AA812=TODAY(),"EMAIL SENT","MONITORING"))))))))))</f>
        <v/>
      </c>
      <c r="V812" s="17">
        <f>IF($U812="",IF(AND(COUNTA($A812:$L812)&gt;0,$N812=""),"Awaiting Collection Email time stamp.",""),IF(OR($U812="PAID",$U812="CLOSED"),IF($U812="PAID","Account paid. Action completed.","Account closed. No further action required."),CHOOSE($Z812,"Collection Email","1st Email Follow-up","2nd Email Follow-up","Escalation to Local Office","Escalation to CBE","Escalation to Roxanne")&amp;" sent "&amp;TEXT($AA812,"dd-mmm")&amp;". "&amp;IF($Z812=6,"Final escalation completed.",IF($U812="OVERDUE","Next: "&amp;$AC812&amp;" was due "&amp;TEXT($AB812,"dd-mmm")&amp;" - "&amp;(NETWORKDAYS($AB812,TODAY(),Holidays)-1)&amp;" business day(s) late. Send now.",IF($U812="DUE TOMORROW","Next: "&amp;$AC812&amp;IF($AB812&lt;=TODAY()," is due TODAY ("," is due next business day (")&amp;TEXT($AB812,"dd-mmm")&amp;").","Next: "&amp;$AC812&amp;" due "&amp;TEXT($AB812,"dd-mmm")&amp;" ("&amp;(NETWORKDAYS(TODAY(),$AB812,Holidays)-1)&amp;" business day(s) left).")))))</f>
        <v/>
      </c>
      <c r="W812" s="17">
        <f>IF($Z812="","",CHOOSE($Z812,"Collection Email","1st Follow-up","2nd Follow-up","Local Office","CBE","Roxanne")&amp;IF($Z812=6," - Final"," - Day "&amp;MAX(0,NETWORKDAYS($AA812,TODAY(),Holidays)-1)&amp;" of "&amp;CHOOSE($Z812,3,3,2,2,3))&amp;" | Total Day "&amp;MAX(0,NETWORKDAYS($N812,TODAY(),Holidays)-1))</f>
        <v/>
      </c>
      <c r="X812" s="18"/>
      <c r="Y812" s="18"/>
      <c r="Z812" s="17">
        <f>IF($N812="","",COUNT($N812:$S812))</f>
        <v/>
      </c>
      <c r="AA812" s="19">
        <f>IF($Z812="","",INT(INDEX($N812:$S812,$Z812)))</f>
        <v/>
      </c>
      <c r="AB812" s="19">
        <f>IF(OR($Z812="",$Z812=6),"",WORKDAY($AA812,CHOOSE($Z812,3,3,2,2,3),Holidays))</f>
        <v/>
      </c>
      <c r="AC812" s="17">
        <f>IF(OR($Z812="",$Z812=6),"",CHOOSE($Z812,"1st Email Follow-up","2nd Email Follow-up","Escalate Local Office","Escalate to CBE","Escalate to Roxanne"))</f>
        <v/>
      </c>
    </row>
    <row r="813" spans="13:29">
      <c r="M813" s="14"/>
      <c r="T813" s="16"/>
      <c r="U813" s="17">
        <f>IF(AND(COUNTA($A813:$L813)=0,$N813=""),"",IF($T813="Paid","PAID",IF($T813="Closed","CLOSED",IF($Z813="","",IF($Z813=6,"ESCALATED TO ROXANNE",IF(TODAY()&gt;$AB813,"OVERDUE",IF($AB813&lt;=WORKDAY(TODAY(),1,Holidays),"DUE TOMORROW",IF($Z813=4,"ESCALATED TO LOCAL OFFICE",IF($Z813=5,"ESCALATED TO CBE",IF($AA813=TODAY(),"EMAIL SENT","MONITORING"))))))))))</f>
        <v/>
      </c>
      <c r="V813" s="17">
        <f>IF($U813="",IF(AND(COUNTA($A813:$L813)&gt;0,$N813=""),"Awaiting Collection Email time stamp.",""),IF(OR($U813="PAID",$U813="CLOSED"),IF($U813="PAID","Account paid. Action completed.","Account closed. No further action required."),CHOOSE($Z813,"Collection Email","1st Email Follow-up","2nd Email Follow-up","Escalation to Local Office","Escalation to CBE","Escalation to Roxanne")&amp;" sent "&amp;TEXT($AA813,"dd-mmm")&amp;". "&amp;IF($Z813=6,"Final escalation completed.",IF($U813="OVERDUE","Next: "&amp;$AC813&amp;" was due "&amp;TEXT($AB813,"dd-mmm")&amp;" - "&amp;(NETWORKDAYS($AB813,TODAY(),Holidays)-1)&amp;" business day(s) late. Send now.",IF($U813="DUE TOMORROW","Next: "&amp;$AC813&amp;IF($AB813&lt;=TODAY()," is due TODAY ("," is due next business day (")&amp;TEXT($AB813,"dd-mmm")&amp;").","Next: "&amp;$AC813&amp;" due "&amp;TEXT($AB813,"dd-mmm")&amp;" ("&amp;(NETWORKDAYS(TODAY(),$AB813,Holidays)-1)&amp;" business day(s) left).")))))</f>
        <v/>
      </c>
      <c r="W813" s="17">
        <f>IF($Z813="","",CHOOSE($Z813,"Collection Email","1st Follow-up","2nd Follow-up","Local Office","CBE","Roxanne")&amp;IF($Z813=6," - Final"," - Day "&amp;MAX(0,NETWORKDAYS($AA813,TODAY(),Holidays)-1)&amp;" of "&amp;CHOOSE($Z813,3,3,2,2,3))&amp;" | Total Day "&amp;MAX(0,NETWORKDAYS($N813,TODAY(),Holidays)-1))</f>
        <v/>
      </c>
      <c r="X813" s="18"/>
      <c r="Y813" s="18"/>
      <c r="Z813" s="17">
        <f>IF($N813="","",COUNT($N813:$S813))</f>
        <v/>
      </c>
      <c r="AA813" s="19">
        <f>IF($Z813="","",INT(INDEX($N813:$S813,$Z813)))</f>
        <v/>
      </c>
      <c r="AB813" s="19">
        <f>IF(OR($Z813="",$Z813=6),"",WORKDAY($AA813,CHOOSE($Z813,3,3,2,2,3),Holidays))</f>
        <v/>
      </c>
      <c r="AC813" s="17">
        <f>IF(OR($Z813="",$Z813=6),"",CHOOSE($Z813,"1st Email Follow-up","2nd Email Follow-up","Escalate Local Office","Escalate to CBE","Escalate to Roxanne"))</f>
        <v/>
      </c>
    </row>
    <row r="814" spans="13:29">
      <c r="M814" s="14"/>
      <c r="T814" s="16"/>
      <c r="U814" s="17">
        <f>IF(AND(COUNTA($A814:$L814)=0,$N814=""),"",IF($T814="Paid","PAID",IF($T814="Closed","CLOSED",IF($Z814="","",IF($Z814=6,"ESCALATED TO ROXANNE",IF(TODAY()&gt;$AB814,"OVERDUE",IF($AB814&lt;=WORKDAY(TODAY(),1,Holidays),"DUE TOMORROW",IF($Z814=4,"ESCALATED TO LOCAL OFFICE",IF($Z814=5,"ESCALATED TO CBE",IF($AA814=TODAY(),"EMAIL SENT","MONITORING"))))))))))</f>
        <v/>
      </c>
      <c r="V814" s="17">
        <f>IF($U814="",IF(AND(COUNTA($A814:$L814)&gt;0,$N814=""),"Awaiting Collection Email time stamp.",""),IF(OR($U814="PAID",$U814="CLOSED"),IF($U814="PAID","Account paid. Action completed.","Account closed. No further action required."),CHOOSE($Z814,"Collection Email","1st Email Follow-up","2nd Email Follow-up","Escalation to Local Office","Escalation to CBE","Escalation to Roxanne")&amp;" sent "&amp;TEXT($AA814,"dd-mmm")&amp;". "&amp;IF($Z814=6,"Final escalation completed.",IF($U814="OVERDUE","Next: "&amp;$AC814&amp;" was due "&amp;TEXT($AB814,"dd-mmm")&amp;" - "&amp;(NETWORKDAYS($AB814,TODAY(),Holidays)-1)&amp;" business day(s) late. Send now.",IF($U814="DUE TOMORROW","Next: "&amp;$AC814&amp;IF($AB814&lt;=TODAY()," is due TODAY ("," is due next business day (")&amp;TEXT($AB814,"dd-mmm")&amp;").","Next: "&amp;$AC814&amp;" due "&amp;TEXT($AB814,"dd-mmm")&amp;" ("&amp;(NETWORKDAYS(TODAY(),$AB814,Holidays)-1)&amp;" business day(s) left).")))))</f>
        <v/>
      </c>
      <c r="W814" s="17">
        <f>IF($Z814="","",CHOOSE($Z814,"Collection Email","1st Follow-up","2nd Follow-up","Local Office","CBE","Roxanne")&amp;IF($Z814=6," - Final"," - Day "&amp;MAX(0,NETWORKDAYS($AA814,TODAY(),Holidays)-1)&amp;" of "&amp;CHOOSE($Z814,3,3,2,2,3))&amp;" | Total Day "&amp;MAX(0,NETWORKDAYS($N814,TODAY(),Holidays)-1))</f>
        <v/>
      </c>
      <c r="X814" s="18"/>
      <c r="Y814" s="18"/>
      <c r="Z814" s="17">
        <f>IF($N814="","",COUNT($N814:$S814))</f>
        <v/>
      </c>
      <c r="AA814" s="19">
        <f>IF($Z814="","",INT(INDEX($N814:$S814,$Z814)))</f>
        <v/>
      </c>
      <c r="AB814" s="19">
        <f>IF(OR($Z814="",$Z814=6),"",WORKDAY($AA814,CHOOSE($Z814,3,3,2,2,3),Holidays))</f>
        <v/>
      </c>
      <c r="AC814" s="17">
        <f>IF(OR($Z814="",$Z814=6),"",CHOOSE($Z814,"1st Email Follow-up","2nd Email Follow-up","Escalate Local Office","Escalate to CBE","Escalate to Roxanne"))</f>
        <v/>
      </c>
    </row>
    <row r="815" spans="13:29">
      <c r="M815" s="14"/>
      <c r="T815" s="16"/>
      <c r="U815" s="17">
        <f>IF(AND(COUNTA($A815:$L815)=0,$N815=""),"",IF($T815="Paid","PAID",IF($T815="Closed","CLOSED",IF($Z815="","",IF($Z815=6,"ESCALATED TO ROXANNE",IF(TODAY()&gt;$AB815,"OVERDUE",IF($AB815&lt;=WORKDAY(TODAY(),1,Holidays),"DUE TOMORROW",IF($Z815=4,"ESCALATED TO LOCAL OFFICE",IF($Z815=5,"ESCALATED TO CBE",IF($AA815=TODAY(),"EMAIL SENT","MONITORING"))))))))))</f>
        <v/>
      </c>
      <c r="V815" s="17">
        <f>IF($U815="",IF(AND(COUNTA($A815:$L815)&gt;0,$N815=""),"Awaiting Collection Email time stamp.",""),IF(OR($U815="PAID",$U815="CLOSED"),IF($U815="PAID","Account paid. Action completed.","Account closed. No further action required."),CHOOSE($Z815,"Collection Email","1st Email Follow-up","2nd Email Follow-up","Escalation to Local Office","Escalation to CBE","Escalation to Roxanne")&amp;" sent "&amp;TEXT($AA815,"dd-mmm")&amp;". "&amp;IF($Z815=6,"Final escalation completed.",IF($U815="OVERDUE","Next: "&amp;$AC815&amp;" was due "&amp;TEXT($AB815,"dd-mmm")&amp;" - "&amp;(NETWORKDAYS($AB815,TODAY(),Holidays)-1)&amp;" business day(s) late. Send now.",IF($U815="DUE TOMORROW","Next: "&amp;$AC815&amp;IF($AB815&lt;=TODAY()," is due TODAY ("," is due next business day (")&amp;TEXT($AB815,"dd-mmm")&amp;").","Next: "&amp;$AC815&amp;" due "&amp;TEXT($AB815,"dd-mmm")&amp;" ("&amp;(NETWORKDAYS(TODAY(),$AB815,Holidays)-1)&amp;" business day(s) left).")))))</f>
        <v/>
      </c>
      <c r="W815" s="17">
        <f>IF($Z815="","",CHOOSE($Z815,"Collection Email","1st Follow-up","2nd Follow-up","Local Office","CBE","Roxanne")&amp;IF($Z815=6," - Final"," - Day "&amp;MAX(0,NETWORKDAYS($AA815,TODAY(),Holidays)-1)&amp;" of "&amp;CHOOSE($Z815,3,3,2,2,3))&amp;" | Total Day "&amp;MAX(0,NETWORKDAYS($N815,TODAY(),Holidays)-1))</f>
        <v/>
      </c>
      <c r="X815" s="18"/>
      <c r="Y815" s="18"/>
      <c r="Z815" s="17">
        <f>IF($N815="","",COUNT($N815:$S815))</f>
        <v/>
      </c>
      <c r="AA815" s="19">
        <f>IF($Z815="","",INT(INDEX($N815:$S815,$Z815)))</f>
        <v/>
      </c>
      <c r="AB815" s="19">
        <f>IF(OR($Z815="",$Z815=6),"",WORKDAY($AA815,CHOOSE($Z815,3,3,2,2,3),Holidays))</f>
        <v/>
      </c>
      <c r="AC815" s="17">
        <f>IF(OR($Z815="",$Z815=6),"",CHOOSE($Z815,"1st Email Follow-up","2nd Email Follow-up","Escalate Local Office","Escalate to CBE","Escalate to Roxanne"))</f>
        <v/>
      </c>
    </row>
    <row r="816" spans="13:29">
      <c r="M816" s="14"/>
      <c r="T816" s="16"/>
      <c r="U816" s="17">
        <f>IF(AND(COUNTA($A816:$L816)=0,$N816=""),"",IF($T816="Paid","PAID",IF($T816="Closed","CLOSED",IF($Z816="","",IF($Z816=6,"ESCALATED TO ROXANNE",IF(TODAY()&gt;$AB816,"OVERDUE",IF($AB816&lt;=WORKDAY(TODAY(),1,Holidays),"DUE TOMORROW",IF($Z816=4,"ESCALATED TO LOCAL OFFICE",IF($Z816=5,"ESCALATED TO CBE",IF($AA816=TODAY(),"EMAIL SENT","MONITORING"))))))))))</f>
        <v/>
      </c>
      <c r="V816" s="17">
        <f>IF($U816="",IF(AND(COUNTA($A816:$L816)&gt;0,$N816=""),"Awaiting Collection Email time stamp.",""),IF(OR($U816="PAID",$U816="CLOSED"),IF($U816="PAID","Account paid. Action completed.","Account closed. No further action required."),CHOOSE($Z816,"Collection Email","1st Email Follow-up","2nd Email Follow-up","Escalation to Local Office","Escalation to CBE","Escalation to Roxanne")&amp;" sent "&amp;TEXT($AA816,"dd-mmm")&amp;". "&amp;IF($Z816=6,"Final escalation completed.",IF($U816="OVERDUE","Next: "&amp;$AC816&amp;" was due "&amp;TEXT($AB816,"dd-mmm")&amp;" - "&amp;(NETWORKDAYS($AB816,TODAY(),Holidays)-1)&amp;" business day(s) late. Send now.",IF($U816="DUE TOMORROW","Next: "&amp;$AC816&amp;IF($AB816&lt;=TODAY()," is due TODAY ("," is due next business day (")&amp;TEXT($AB816,"dd-mmm")&amp;").","Next: "&amp;$AC816&amp;" due "&amp;TEXT($AB816,"dd-mmm")&amp;" ("&amp;(NETWORKDAYS(TODAY(),$AB816,Holidays)-1)&amp;" business day(s) left).")))))</f>
        <v/>
      </c>
      <c r="W816" s="17">
        <f>IF($Z816="","",CHOOSE($Z816,"Collection Email","1st Follow-up","2nd Follow-up","Local Office","CBE","Roxanne")&amp;IF($Z816=6," - Final"," - Day "&amp;MAX(0,NETWORKDAYS($AA816,TODAY(),Holidays)-1)&amp;" of "&amp;CHOOSE($Z816,3,3,2,2,3))&amp;" | Total Day "&amp;MAX(0,NETWORKDAYS($N816,TODAY(),Holidays)-1))</f>
        <v/>
      </c>
      <c r="X816" s="18"/>
      <c r="Y816" s="18"/>
      <c r="Z816" s="17">
        <f>IF($N816="","",COUNT($N816:$S816))</f>
        <v/>
      </c>
      <c r="AA816" s="19">
        <f>IF($Z816="","",INT(INDEX($N816:$S816,$Z816)))</f>
        <v/>
      </c>
      <c r="AB816" s="19">
        <f>IF(OR($Z816="",$Z816=6),"",WORKDAY($AA816,CHOOSE($Z816,3,3,2,2,3),Holidays))</f>
        <v/>
      </c>
      <c r="AC816" s="17">
        <f>IF(OR($Z816="",$Z816=6),"",CHOOSE($Z816,"1st Email Follow-up","2nd Email Follow-up","Escalate Local Office","Escalate to CBE","Escalate to Roxanne"))</f>
        <v/>
      </c>
    </row>
    <row r="817" spans="13:29">
      <c r="M817" s="14"/>
      <c r="T817" s="16"/>
      <c r="U817" s="17">
        <f>IF(AND(COUNTA($A817:$L817)=0,$N817=""),"",IF($T817="Paid","PAID",IF($T817="Closed","CLOSED",IF($Z817="","",IF($Z817=6,"ESCALATED TO ROXANNE",IF(TODAY()&gt;$AB817,"OVERDUE",IF($AB817&lt;=WORKDAY(TODAY(),1,Holidays),"DUE TOMORROW",IF($Z817=4,"ESCALATED TO LOCAL OFFICE",IF($Z817=5,"ESCALATED TO CBE",IF($AA817=TODAY(),"EMAIL SENT","MONITORING"))))))))))</f>
        <v/>
      </c>
      <c r="V817" s="17">
        <f>IF($U817="",IF(AND(COUNTA($A817:$L817)&gt;0,$N817=""),"Awaiting Collection Email time stamp.",""),IF(OR($U817="PAID",$U817="CLOSED"),IF($U817="PAID","Account paid. Action completed.","Account closed. No further action required."),CHOOSE($Z817,"Collection Email","1st Email Follow-up","2nd Email Follow-up","Escalation to Local Office","Escalation to CBE","Escalation to Roxanne")&amp;" sent "&amp;TEXT($AA817,"dd-mmm")&amp;". "&amp;IF($Z817=6,"Final escalation completed.",IF($U817="OVERDUE","Next: "&amp;$AC817&amp;" was due "&amp;TEXT($AB817,"dd-mmm")&amp;" - "&amp;(NETWORKDAYS($AB817,TODAY(),Holidays)-1)&amp;" business day(s) late. Send now.",IF($U817="DUE TOMORROW","Next: "&amp;$AC817&amp;IF($AB817&lt;=TODAY()," is due TODAY ("," is due next business day (")&amp;TEXT($AB817,"dd-mmm")&amp;").","Next: "&amp;$AC817&amp;" due "&amp;TEXT($AB817,"dd-mmm")&amp;" ("&amp;(NETWORKDAYS(TODAY(),$AB817,Holidays)-1)&amp;" business day(s) left).")))))</f>
        <v/>
      </c>
      <c r="W817" s="17">
        <f>IF($Z817="","",CHOOSE($Z817,"Collection Email","1st Follow-up","2nd Follow-up","Local Office","CBE","Roxanne")&amp;IF($Z817=6," - Final"," - Day "&amp;MAX(0,NETWORKDAYS($AA817,TODAY(),Holidays)-1)&amp;" of "&amp;CHOOSE($Z817,3,3,2,2,3))&amp;" | Total Day "&amp;MAX(0,NETWORKDAYS($N817,TODAY(),Holidays)-1))</f>
        <v/>
      </c>
      <c r="X817" s="18"/>
      <c r="Y817" s="18"/>
      <c r="Z817" s="17">
        <f>IF($N817="","",COUNT($N817:$S817))</f>
        <v/>
      </c>
      <c r="AA817" s="19">
        <f>IF($Z817="","",INT(INDEX($N817:$S817,$Z817)))</f>
        <v/>
      </c>
      <c r="AB817" s="19">
        <f>IF(OR($Z817="",$Z817=6),"",WORKDAY($AA817,CHOOSE($Z817,3,3,2,2,3),Holidays))</f>
        <v/>
      </c>
      <c r="AC817" s="17">
        <f>IF(OR($Z817="",$Z817=6),"",CHOOSE($Z817,"1st Email Follow-up","2nd Email Follow-up","Escalate Local Office","Escalate to CBE","Escalate to Roxanne"))</f>
        <v/>
      </c>
    </row>
    <row r="818" spans="13:29">
      <c r="M818" s="14"/>
      <c r="T818" s="16"/>
      <c r="U818" s="17">
        <f>IF(AND(COUNTA($A818:$L818)=0,$N818=""),"",IF($T818="Paid","PAID",IF($T818="Closed","CLOSED",IF($Z818="","",IF($Z818=6,"ESCALATED TO ROXANNE",IF(TODAY()&gt;$AB818,"OVERDUE",IF($AB818&lt;=WORKDAY(TODAY(),1,Holidays),"DUE TOMORROW",IF($Z818=4,"ESCALATED TO LOCAL OFFICE",IF($Z818=5,"ESCALATED TO CBE",IF($AA818=TODAY(),"EMAIL SENT","MONITORING"))))))))))</f>
        <v/>
      </c>
      <c r="V818" s="17">
        <f>IF($U818="",IF(AND(COUNTA($A818:$L818)&gt;0,$N818=""),"Awaiting Collection Email time stamp.",""),IF(OR($U818="PAID",$U818="CLOSED"),IF($U818="PAID","Account paid. Action completed.","Account closed. No further action required."),CHOOSE($Z818,"Collection Email","1st Email Follow-up","2nd Email Follow-up","Escalation to Local Office","Escalation to CBE","Escalation to Roxanne")&amp;" sent "&amp;TEXT($AA818,"dd-mmm")&amp;". "&amp;IF($Z818=6,"Final escalation completed.",IF($U818="OVERDUE","Next: "&amp;$AC818&amp;" was due "&amp;TEXT($AB818,"dd-mmm")&amp;" - "&amp;(NETWORKDAYS($AB818,TODAY(),Holidays)-1)&amp;" business day(s) late. Send now.",IF($U818="DUE TOMORROW","Next: "&amp;$AC818&amp;IF($AB818&lt;=TODAY()," is due TODAY ("," is due next business day (")&amp;TEXT($AB818,"dd-mmm")&amp;").","Next: "&amp;$AC818&amp;" due "&amp;TEXT($AB818,"dd-mmm")&amp;" ("&amp;(NETWORKDAYS(TODAY(),$AB818,Holidays)-1)&amp;" business day(s) left).")))))</f>
        <v/>
      </c>
      <c r="W818" s="17">
        <f>IF($Z818="","",CHOOSE($Z818,"Collection Email","1st Follow-up","2nd Follow-up","Local Office","CBE","Roxanne")&amp;IF($Z818=6," - Final"," - Day "&amp;MAX(0,NETWORKDAYS($AA818,TODAY(),Holidays)-1)&amp;" of "&amp;CHOOSE($Z818,3,3,2,2,3))&amp;" | Total Day "&amp;MAX(0,NETWORKDAYS($N818,TODAY(),Holidays)-1))</f>
        <v/>
      </c>
      <c r="X818" s="18"/>
      <c r="Y818" s="18"/>
      <c r="Z818" s="17">
        <f>IF($N818="","",COUNT($N818:$S818))</f>
        <v/>
      </c>
      <c r="AA818" s="19">
        <f>IF($Z818="","",INT(INDEX($N818:$S818,$Z818)))</f>
        <v/>
      </c>
      <c r="AB818" s="19">
        <f>IF(OR($Z818="",$Z818=6),"",WORKDAY($AA818,CHOOSE($Z818,3,3,2,2,3),Holidays))</f>
        <v/>
      </c>
      <c r="AC818" s="17">
        <f>IF(OR($Z818="",$Z818=6),"",CHOOSE($Z818,"1st Email Follow-up","2nd Email Follow-up","Escalate Local Office","Escalate to CBE","Escalate to Roxanne"))</f>
        <v/>
      </c>
    </row>
    <row r="819" spans="13:29">
      <c r="M819" s="14"/>
      <c r="T819" s="16"/>
      <c r="U819" s="17">
        <f>IF(AND(COUNTA($A819:$L819)=0,$N819=""),"",IF($T819="Paid","PAID",IF($T819="Closed","CLOSED",IF($Z819="","",IF($Z819=6,"ESCALATED TO ROXANNE",IF(TODAY()&gt;$AB819,"OVERDUE",IF($AB819&lt;=WORKDAY(TODAY(),1,Holidays),"DUE TOMORROW",IF($Z819=4,"ESCALATED TO LOCAL OFFICE",IF($Z819=5,"ESCALATED TO CBE",IF($AA819=TODAY(),"EMAIL SENT","MONITORING"))))))))))</f>
        <v/>
      </c>
      <c r="V819" s="17">
        <f>IF($U819="",IF(AND(COUNTA($A819:$L819)&gt;0,$N819=""),"Awaiting Collection Email time stamp.",""),IF(OR($U819="PAID",$U819="CLOSED"),IF($U819="PAID","Account paid. Action completed.","Account closed. No further action required."),CHOOSE($Z819,"Collection Email","1st Email Follow-up","2nd Email Follow-up","Escalation to Local Office","Escalation to CBE","Escalation to Roxanne")&amp;" sent "&amp;TEXT($AA819,"dd-mmm")&amp;". "&amp;IF($Z819=6,"Final escalation completed.",IF($U819="OVERDUE","Next: "&amp;$AC819&amp;" was due "&amp;TEXT($AB819,"dd-mmm")&amp;" - "&amp;(NETWORKDAYS($AB819,TODAY(),Holidays)-1)&amp;" business day(s) late. Send now.",IF($U819="DUE TOMORROW","Next: "&amp;$AC819&amp;IF($AB819&lt;=TODAY()," is due TODAY ("," is due next business day (")&amp;TEXT($AB819,"dd-mmm")&amp;").","Next: "&amp;$AC819&amp;" due "&amp;TEXT($AB819,"dd-mmm")&amp;" ("&amp;(NETWORKDAYS(TODAY(),$AB819,Holidays)-1)&amp;" business day(s) left).")))))</f>
        <v/>
      </c>
      <c r="W819" s="17">
        <f>IF($Z819="","",CHOOSE($Z819,"Collection Email","1st Follow-up","2nd Follow-up","Local Office","CBE","Roxanne")&amp;IF($Z819=6," - Final"," - Day "&amp;MAX(0,NETWORKDAYS($AA819,TODAY(),Holidays)-1)&amp;" of "&amp;CHOOSE($Z819,3,3,2,2,3))&amp;" | Total Day "&amp;MAX(0,NETWORKDAYS($N819,TODAY(),Holidays)-1))</f>
        <v/>
      </c>
      <c r="X819" s="18"/>
      <c r="Y819" s="18"/>
      <c r="Z819" s="17">
        <f>IF($N819="","",COUNT($N819:$S819))</f>
        <v/>
      </c>
      <c r="AA819" s="19">
        <f>IF($Z819="","",INT(INDEX($N819:$S819,$Z819)))</f>
        <v/>
      </c>
      <c r="AB819" s="19">
        <f>IF(OR($Z819="",$Z819=6),"",WORKDAY($AA819,CHOOSE($Z819,3,3,2,2,3),Holidays))</f>
        <v/>
      </c>
      <c r="AC819" s="17">
        <f>IF(OR($Z819="",$Z819=6),"",CHOOSE($Z819,"1st Email Follow-up","2nd Email Follow-up","Escalate Local Office","Escalate to CBE","Escalate to Roxanne"))</f>
        <v/>
      </c>
    </row>
    <row r="820" spans="13:29">
      <c r="M820" s="14"/>
      <c r="T820" s="16"/>
      <c r="U820" s="17">
        <f>IF(AND(COUNTA($A820:$L820)=0,$N820=""),"",IF($T820="Paid","PAID",IF($T820="Closed","CLOSED",IF($Z820="","",IF($Z820=6,"ESCALATED TO ROXANNE",IF(TODAY()&gt;$AB820,"OVERDUE",IF($AB820&lt;=WORKDAY(TODAY(),1,Holidays),"DUE TOMORROW",IF($Z820=4,"ESCALATED TO LOCAL OFFICE",IF($Z820=5,"ESCALATED TO CBE",IF($AA820=TODAY(),"EMAIL SENT","MONITORING"))))))))))</f>
        <v/>
      </c>
      <c r="V820" s="17">
        <f>IF($U820="",IF(AND(COUNTA($A820:$L820)&gt;0,$N820=""),"Awaiting Collection Email time stamp.",""),IF(OR($U820="PAID",$U820="CLOSED"),IF($U820="PAID","Account paid. Action completed.","Account closed. No further action required."),CHOOSE($Z820,"Collection Email","1st Email Follow-up","2nd Email Follow-up","Escalation to Local Office","Escalation to CBE","Escalation to Roxanne")&amp;" sent "&amp;TEXT($AA820,"dd-mmm")&amp;". "&amp;IF($Z820=6,"Final escalation completed.",IF($U820="OVERDUE","Next: "&amp;$AC820&amp;" was due "&amp;TEXT($AB820,"dd-mmm")&amp;" - "&amp;(NETWORKDAYS($AB820,TODAY(),Holidays)-1)&amp;" business day(s) late. Send now.",IF($U820="DUE TOMORROW","Next: "&amp;$AC820&amp;IF($AB820&lt;=TODAY()," is due TODAY ("," is due next business day (")&amp;TEXT($AB820,"dd-mmm")&amp;").","Next: "&amp;$AC820&amp;" due "&amp;TEXT($AB820,"dd-mmm")&amp;" ("&amp;(NETWORKDAYS(TODAY(),$AB820,Holidays)-1)&amp;" business day(s) left).")))))</f>
        <v/>
      </c>
      <c r="W820" s="17">
        <f>IF($Z820="","",CHOOSE($Z820,"Collection Email","1st Follow-up","2nd Follow-up","Local Office","CBE","Roxanne")&amp;IF($Z820=6," - Final"," - Day "&amp;MAX(0,NETWORKDAYS($AA820,TODAY(),Holidays)-1)&amp;" of "&amp;CHOOSE($Z820,3,3,2,2,3))&amp;" | Total Day "&amp;MAX(0,NETWORKDAYS($N820,TODAY(),Holidays)-1))</f>
        <v/>
      </c>
      <c r="X820" s="18"/>
      <c r="Y820" s="18"/>
      <c r="Z820" s="17">
        <f>IF($N820="","",COUNT($N820:$S820))</f>
        <v/>
      </c>
      <c r="AA820" s="19">
        <f>IF($Z820="","",INT(INDEX($N820:$S820,$Z820)))</f>
        <v/>
      </c>
      <c r="AB820" s="19">
        <f>IF(OR($Z820="",$Z820=6),"",WORKDAY($AA820,CHOOSE($Z820,3,3,2,2,3),Holidays))</f>
        <v/>
      </c>
      <c r="AC820" s="17">
        <f>IF(OR($Z820="",$Z820=6),"",CHOOSE($Z820,"1st Email Follow-up","2nd Email Follow-up","Escalate Local Office","Escalate to CBE","Escalate to Roxanne"))</f>
        <v/>
      </c>
    </row>
    <row r="821" spans="13:29">
      <c r="M821" s="14"/>
      <c r="T821" s="16"/>
      <c r="U821" s="17">
        <f>IF(AND(COUNTA($A821:$L821)=0,$N821=""),"",IF($T821="Paid","PAID",IF($T821="Closed","CLOSED",IF($Z821="","",IF($Z821=6,"ESCALATED TO ROXANNE",IF(TODAY()&gt;$AB821,"OVERDUE",IF($AB821&lt;=WORKDAY(TODAY(),1,Holidays),"DUE TOMORROW",IF($Z821=4,"ESCALATED TO LOCAL OFFICE",IF($Z821=5,"ESCALATED TO CBE",IF($AA821=TODAY(),"EMAIL SENT","MONITORING"))))))))))</f>
        <v/>
      </c>
      <c r="V821" s="17">
        <f>IF($U821="",IF(AND(COUNTA($A821:$L821)&gt;0,$N821=""),"Awaiting Collection Email time stamp.",""),IF(OR($U821="PAID",$U821="CLOSED"),IF($U821="PAID","Account paid. Action completed.","Account closed. No further action required."),CHOOSE($Z821,"Collection Email","1st Email Follow-up","2nd Email Follow-up","Escalation to Local Office","Escalation to CBE","Escalation to Roxanne")&amp;" sent "&amp;TEXT($AA821,"dd-mmm")&amp;". "&amp;IF($Z821=6,"Final escalation completed.",IF($U821="OVERDUE","Next: "&amp;$AC821&amp;" was due "&amp;TEXT($AB821,"dd-mmm")&amp;" - "&amp;(NETWORKDAYS($AB821,TODAY(),Holidays)-1)&amp;" business day(s) late. Send now.",IF($U821="DUE TOMORROW","Next: "&amp;$AC821&amp;IF($AB821&lt;=TODAY()," is due TODAY ("," is due next business day (")&amp;TEXT($AB821,"dd-mmm")&amp;").","Next: "&amp;$AC821&amp;" due "&amp;TEXT($AB821,"dd-mmm")&amp;" ("&amp;(NETWORKDAYS(TODAY(),$AB821,Holidays)-1)&amp;" business day(s) left).")))))</f>
        <v/>
      </c>
      <c r="W821" s="17">
        <f>IF($Z821="","",CHOOSE($Z821,"Collection Email","1st Follow-up","2nd Follow-up","Local Office","CBE","Roxanne")&amp;IF($Z821=6," - Final"," - Day "&amp;MAX(0,NETWORKDAYS($AA821,TODAY(),Holidays)-1)&amp;" of "&amp;CHOOSE($Z821,3,3,2,2,3))&amp;" | Total Day "&amp;MAX(0,NETWORKDAYS($N821,TODAY(),Holidays)-1))</f>
        <v/>
      </c>
      <c r="X821" s="18"/>
      <c r="Y821" s="18"/>
      <c r="Z821" s="17">
        <f>IF($N821="","",COUNT($N821:$S821))</f>
        <v/>
      </c>
      <c r="AA821" s="19">
        <f>IF($Z821="","",INT(INDEX($N821:$S821,$Z821)))</f>
        <v/>
      </c>
      <c r="AB821" s="19">
        <f>IF(OR($Z821="",$Z821=6),"",WORKDAY($AA821,CHOOSE($Z821,3,3,2,2,3),Holidays))</f>
        <v/>
      </c>
      <c r="AC821" s="17">
        <f>IF(OR($Z821="",$Z821=6),"",CHOOSE($Z821,"1st Email Follow-up","2nd Email Follow-up","Escalate Local Office","Escalate to CBE","Escalate to Roxanne"))</f>
        <v/>
      </c>
    </row>
    <row r="822" spans="13:29">
      <c r="M822" s="14"/>
      <c r="T822" s="16"/>
      <c r="U822" s="17">
        <f>IF(AND(COUNTA($A822:$L822)=0,$N822=""),"",IF($T822="Paid","PAID",IF($T822="Closed","CLOSED",IF($Z822="","",IF($Z822=6,"ESCALATED TO ROXANNE",IF(TODAY()&gt;$AB822,"OVERDUE",IF($AB822&lt;=WORKDAY(TODAY(),1,Holidays),"DUE TOMORROW",IF($Z822=4,"ESCALATED TO LOCAL OFFICE",IF($Z822=5,"ESCALATED TO CBE",IF($AA822=TODAY(),"EMAIL SENT","MONITORING"))))))))))</f>
        <v/>
      </c>
      <c r="V822" s="17">
        <f>IF($U822="",IF(AND(COUNTA($A822:$L822)&gt;0,$N822=""),"Awaiting Collection Email time stamp.",""),IF(OR($U822="PAID",$U822="CLOSED"),IF($U822="PAID","Account paid. Action completed.","Account closed. No further action required."),CHOOSE($Z822,"Collection Email","1st Email Follow-up","2nd Email Follow-up","Escalation to Local Office","Escalation to CBE","Escalation to Roxanne")&amp;" sent "&amp;TEXT($AA822,"dd-mmm")&amp;". "&amp;IF($Z822=6,"Final escalation completed.",IF($U822="OVERDUE","Next: "&amp;$AC822&amp;" was due "&amp;TEXT($AB822,"dd-mmm")&amp;" - "&amp;(NETWORKDAYS($AB822,TODAY(),Holidays)-1)&amp;" business day(s) late. Send now.",IF($U822="DUE TOMORROW","Next: "&amp;$AC822&amp;IF($AB822&lt;=TODAY()," is due TODAY ("," is due next business day (")&amp;TEXT($AB822,"dd-mmm")&amp;").","Next: "&amp;$AC822&amp;" due "&amp;TEXT($AB822,"dd-mmm")&amp;" ("&amp;(NETWORKDAYS(TODAY(),$AB822,Holidays)-1)&amp;" business day(s) left).")))))</f>
        <v/>
      </c>
      <c r="W822" s="17">
        <f>IF($Z822="","",CHOOSE($Z822,"Collection Email","1st Follow-up","2nd Follow-up","Local Office","CBE","Roxanne")&amp;IF($Z822=6," - Final"," - Day "&amp;MAX(0,NETWORKDAYS($AA822,TODAY(),Holidays)-1)&amp;" of "&amp;CHOOSE($Z822,3,3,2,2,3))&amp;" | Total Day "&amp;MAX(0,NETWORKDAYS($N822,TODAY(),Holidays)-1))</f>
        <v/>
      </c>
      <c r="X822" s="18"/>
      <c r="Y822" s="18"/>
      <c r="Z822" s="17">
        <f>IF($N822="","",COUNT($N822:$S822))</f>
        <v/>
      </c>
      <c r="AA822" s="19">
        <f>IF($Z822="","",INT(INDEX($N822:$S822,$Z822)))</f>
        <v/>
      </c>
      <c r="AB822" s="19">
        <f>IF(OR($Z822="",$Z822=6),"",WORKDAY($AA822,CHOOSE($Z822,3,3,2,2,3),Holidays))</f>
        <v/>
      </c>
      <c r="AC822" s="17">
        <f>IF(OR($Z822="",$Z822=6),"",CHOOSE($Z822,"1st Email Follow-up","2nd Email Follow-up","Escalate Local Office","Escalate to CBE","Escalate to Roxanne"))</f>
        <v/>
      </c>
    </row>
    <row r="823" spans="13:29">
      <c r="M823" s="14"/>
      <c r="T823" s="16"/>
      <c r="U823" s="17">
        <f>IF(AND(COUNTA($A823:$L823)=0,$N823=""),"",IF($T823="Paid","PAID",IF($T823="Closed","CLOSED",IF($Z823="","",IF($Z823=6,"ESCALATED TO ROXANNE",IF(TODAY()&gt;$AB823,"OVERDUE",IF($AB823&lt;=WORKDAY(TODAY(),1,Holidays),"DUE TOMORROW",IF($Z823=4,"ESCALATED TO LOCAL OFFICE",IF($Z823=5,"ESCALATED TO CBE",IF($AA823=TODAY(),"EMAIL SENT","MONITORING"))))))))))</f>
        <v/>
      </c>
      <c r="V823" s="17">
        <f>IF($U823="",IF(AND(COUNTA($A823:$L823)&gt;0,$N823=""),"Awaiting Collection Email time stamp.",""),IF(OR($U823="PAID",$U823="CLOSED"),IF($U823="PAID","Account paid. Action completed.","Account closed. No further action required."),CHOOSE($Z823,"Collection Email","1st Email Follow-up","2nd Email Follow-up","Escalation to Local Office","Escalation to CBE","Escalation to Roxanne")&amp;" sent "&amp;TEXT($AA823,"dd-mmm")&amp;". "&amp;IF($Z823=6,"Final escalation completed.",IF($U823="OVERDUE","Next: "&amp;$AC823&amp;" was due "&amp;TEXT($AB823,"dd-mmm")&amp;" - "&amp;(NETWORKDAYS($AB823,TODAY(),Holidays)-1)&amp;" business day(s) late. Send now.",IF($U823="DUE TOMORROW","Next: "&amp;$AC823&amp;IF($AB823&lt;=TODAY()," is due TODAY ("," is due next business day (")&amp;TEXT($AB823,"dd-mmm")&amp;").","Next: "&amp;$AC823&amp;" due "&amp;TEXT($AB823,"dd-mmm")&amp;" ("&amp;(NETWORKDAYS(TODAY(),$AB823,Holidays)-1)&amp;" business day(s) left).")))))</f>
        <v/>
      </c>
      <c r="W823" s="17">
        <f>IF($Z823="","",CHOOSE($Z823,"Collection Email","1st Follow-up","2nd Follow-up","Local Office","CBE","Roxanne")&amp;IF($Z823=6," - Final"," - Day "&amp;MAX(0,NETWORKDAYS($AA823,TODAY(),Holidays)-1)&amp;" of "&amp;CHOOSE($Z823,3,3,2,2,3))&amp;" | Total Day "&amp;MAX(0,NETWORKDAYS($N823,TODAY(),Holidays)-1))</f>
        <v/>
      </c>
      <c r="X823" s="18"/>
      <c r="Y823" s="18"/>
      <c r="Z823" s="17">
        <f>IF($N823="","",COUNT($N823:$S823))</f>
        <v/>
      </c>
      <c r="AA823" s="19">
        <f>IF($Z823="","",INT(INDEX($N823:$S823,$Z823)))</f>
        <v/>
      </c>
      <c r="AB823" s="19">
        <f>IF(OR($Z823="",$Z823=6),"",WORKDAY($AA823,CHOOSE($Z823,3,3,2,2,3),Holidays))</f>
        <v/>
      </c>
      <c r="AC823" s="17">
        <f>IF(OR($Z823="",$Z823=6),"",CHOOSE($Z823,"1st Email Follow-up","2nd Email Follow-up","Escalate Local Office","Escalate to CBE","Escalate to Roxanne"))</f>
        <v/>
      </c>
    </row>
    <row r="824" spans="13:29">
      <c r="M824" s="14"/>
      <c r="T824" s="16"/>
      <c r="U824" s="17">
        <f>IF(AND(COUNTA($A824:$L824)=0,$N824=""),"",IF($T824="Paid","PAID",IF($T824="Closed","CLOSED",IF($Z824="","",IF($Z824=6,"ESCALATED TO ROXANNE",IF(TODAY()&gt;$AB824,"OVERDUE",IF($AB824&lt;=WORKDAY(TODAY(),1,Holidays),"DUE TOMORROW",IF($Z824=4,"ESCALATED TO LOCAL OFFICE",IF($Z824=5,"ESCALATED TO CBE",IF($AA824=TODAY(),"EMAIL SENT","MONITORING"))))))))))</f>
        <v/>
      </c>
      <c r="V824" s="17">
        <f>IF($U824="",IF(AND(COUNTA($A824:$L824)&gt;0,$N824=""),"Awaiting Collection Email time stamp.",""),IF(OR($U824="PAID",$U824="CLOSED"),IF($U824="PAID","Account paid. Action completed.","Account closed. No further action required."),CHOOSE($Z824,"Collection Email","1st Email Follow-up","2nd Email Follow-up","Escalation to Local Office","Escalation to CBE","Escalation to Roxanne")&amp;" sent "&amp;TEXT($AA824,"dd-mmm")&amp;". "&amp;IF($Z824=6,"Final escalation completed.",IF($U824="OVERDUE","Next: "&amp;$AC824&amp;" was due "&amp;TEXT($AB824,"dd-mmm")&amp;" - "&amp;(NETWORKDAYS($AB824,TODAY(),Holidays)-1)&amp;" business day(s) late. Send now.",IF($U824="DUE TOMORROW","Next: "&amp;$AC824&amp;IF($AB824&lt;=TODAY()," is due TODAY ("," is due next business day (")&amp;TEXT($AB824,"dd-mmm")&amp;").","Next: "&amp;$AC824&amp;" due "&amp;TEXT($AB824,"dd-mmm")&amp;" ("&amp;(NETWORKDAYS(TODAY(),$AB824,Holidays)-1)&amp;" business day(s) left).")))))</f>
        <v/>
      </c>
      <c r="W824" s="17">
        <f>IF($Z824="","",CHOOSE($Z824,"Collection Email","1st Follow-up","2nd Follow-up","Local Office","CBE","Roxanne")&amp;IF($Z824=6," - Final"," - Day "&amp;MAX(0,NETWORKDAYS($AA824,TODAY(),Holidays)-1)&amp;" of "&amp;CHOOSE($Z824,3,3,2,2,3))&amp;" | Total Day "&amp;MAX(0,NETWORKDAYS($N824,TODAY(),Holidays)-1))</f>
        <v/>
      </c>
      <c r="X824" s="18"/>
      <c r="Y824" s="18"/>
      <c r="Z824" s="17">
        <f>IF($N824="","",COUNT($N824:$S824))</f>
        <v/>
      </c>
      <c r="AA824" s="19">
        <f>IF($Z824="","",INT(INDEX($N824:$S824,$Z824)))</f>
        <v/>
      </c>
      <c r="AB824" s="19">
        <f>IF(OR($Z824="",$Z824=6),"",WORKDAY($AA824,CHOOSE($Z824,3,3,2,2,3),Holidays))</f>
        <v/>
      </c>
      <c r="AC824" s="17">
        <f>IF(OR($Z824="",$Z824=6),"",CHOOSE($Z824,"1st Email Follow-up","2nd Email Follow-up","Escalate Local Office","Escalate to CBE","Escalate to Roxanne"))</f>
        <v/>
      </c>
    </row>
    <row r="825" spans="13:29">
      <c r="M825" s="14"/>
      <c r="T825" s="16"/>
      <c r="U825" s="17">
        <f>IF(AND(COUNTA($A825:$L825)=0,$N825=""),"",IF($T825="Paid","PAID",IF($T825="Closed","CLOSED",IF($Z825="","",IF($Z825=6,"ESCALATED TO ROXANNE",IF(TODAY()&gt;$AB825,"OVERDUE",IF($AB825&lt;=WORKDAY(TODAY(),1,Holidays),"DUE TOMORROW",IF($Z825=4,"ESCALATED TO LOCAL OFFICE",IF($Z825=5,"ESCALATED TO CBE",IF($AA825=TODAY(),"EMAIL SENT","MONITORING"))))))))))</f>
        <v/>
      </c>
      <c r="V825" s="17">
        <f>IF($U825="",IF(AND(COUNTA($A825:$L825)&gt;0,$N825=""),"Awaiting Collection Email time stamp.",""),IF(OR($U825="PAID",$U825="CLOSED"),IF($U825="PAID","Account paid. Action completed.","Account closed. No further action required."),CHOOSE($Z825,"Collection Email","1st Email Follow-up","2nd Email Follow-up","Escalation to Local Office","Escalation to CBE","Escalation to Roxanne")&amp;" sent "&amp;TEXT($AA825,"dd-mmm")&amp;". "&amp;IF($Z825=6,"Final escalation completed.",IF($U825="OVERDUE","Next: "&amp;$AC825&amp;" was due "&amp;TEXT($AB825,"dd-mmm")&amp;" - "&amp;(NETWORKDAYS($AB825,TODAY(),Holidays)-1)&amp;" business day(s) late. Send now.",IF($U825="DUE TOMORROW","Next: "&amp;$AC825&amp;IF($AB825&lt;=TODAY()," is due TODAY ("," is due next business day (")&amp;TEXT($AB825,"dd-mmm")&amp;").","Next: "&amp;$AC825&amp;" due "&amp;TEXT($AB825,"dd-mmm")&amp;" ("&amp;(NETWORKDAYS(TODAY(),$AB825,Holidays)-1)&amp;" business day(s) left).")))))</f>
        <v/>
      </c>
      <c r="W825" s="17">
        <f>IF($Z825="","",CHOOSE($Z825,"Collection Email","1st Follow-up","2nd Follow-up","Local Office","CBE","Roxanne")&amp;IF($Z825=6," - Final"," - Day "&amp;MAX(0,NETWORKDAYS($AA825,TODAY(),Holidays)-1)&amp;" of "&amp;CHOOSE($Z825,3,3,2,2,3))&amp;" | Total Day "&amp;MAX(0,NETWORKDAYS($N825,TODAY(),Holidays)-1))</f>
        <v/>
      </c>
      <c r="X825" s="18"/>
      <c r="Y825" s="18"/>
      <c r="Z825" s="17">
        <f>IF($N825="","",COUNT($N825:$S825))</f>
        <v/>
      </c>
      <c r="AA825" s="19">
        <f>IF($Z825="","",INT(INDEX($N825:$S825,$Z825)))</f>
        <v/>
      </c>
      <c r="AB825" s="19">
        <f>IF(OR($Z825="",$Z825=6),"",WORKDAY($AA825,CHOOSE($Z825,3,3,2,2,3),Holidays))</f>
        <v/>
      </c>
      <c r="AC825" s="17">
        <f>IF(OR($Z825="",$Z825=6),"",CHOOSE($Z825,"1st Email Follow-up","2nd Email Follow-up","Escalate Local Office","Escalate to CBE","Escalate to Roxanne"))</f>
        <v/>
      </c>
    </row>
    <row r="826" spans="13:29">
      <c r="M826" s="14"/>
      <c r="T826" s="16"/>
      <c r="U826" s="17">
        <f>IF(AND(COUNTA($A826:$L826)=0,$N826=""),"",IF($T826="Paid","PAID",IF($T826="Closed","CLOSED",IF($Z826="","",IF($Z826=6,"ESCALATED TO ROXANNE",IF(TODAY()&gt;$AB826,"OVERDUE",IF($AB826&lt;=WORKDAY(TODAY(),1,Holidays),"DUE TOMORROW",IF($Z826=4,"ESCALATED TO LOCAL OFFICE",IF($Z826=5,"ESCALATED TO CBE",IF($AA826=TODAY(),"EMAIL SENT","MONITORING"))))))))))</f>
        <v/>
      </c>
      <c r="V826" s="17">
        <f>IF($U826="",IF(AND(COUNTA($A826:$L826)&gt;0,$N826=""),"Awaiting Collection Email time stamp.",""),IF(OR($U826="PAID",$U826="CLOSED"),IF($U826="PAID","Account paid. Action completed.","Account closed. No further action required."),CHOOSE($Z826,"Collection Email","1st Email Follow-up","2nd Email Follow-up","Escalation to Local Office","Escalation to CBE","Escalation to Roxanne")&amp;" sent "&amp;TEXT($AA826,"dd-mmm")&amp;". "&amp;IF($Z826=6,"Final escalation completed.",IF($U826="OVERDUE","Next: "&amp;$AC826&amp;" was due "&amp;TEXT($AB826,"dd-mmm")&amp;" - "&amp;(NETWORKDAYS($AB826,TODAY(),Holidays)-1)&amp;" business day(s) late. Send now.",IF($U826="DUE TOMORROW","Next: "&amp;$AC826&amp;IF($AB826&lt;=TODAY()," is due TODAY ("," is due next business day (")&amp;TEXT($AB826,"dd-mmm")&amp;").","Next: "&amp;$AC826&amp;" due "&amp;TEXT($AB826,"dd-mmm")&amp;" ("&amp;(NETWORKDAYS(TODAY(),$AB826,Holidays)-1)&amp;" business day(s) left).")))))</f>
        <v/>
      </c>
      <c r="W826" s="17">
        <f>IF($Z826="","",CHOOSE($Z826,"Collection Email","1st Follow-up","2nd Follow-up","Local Office","CBE","Roxanne")&amp;IF($Z826=6," - Final"," - Day "&amp;MAX(0,NETWORKDAYS($AA826,TODAY(),Holidays)-1)&amp;" of "&amp;CHOOSE($Z826,3,3,2,2,3))&amp;" | Total Day "&amp;MAX(0,NETWORKDAYS($N826,TODAY(),Holidays)-1))</f>
        <v/>
      </c>
      <c r="X826" s="18"/>
      <c r="Y826" s="18"/>
      <c r="Z826" s="17">
        <f>IF($N826="","",COUNT($N826:$S826))</f>
        <v/>
      </c>
      <c r="AA826" s="19">
        <f>IF($Z826="","",INT(INDEX($N826:$S826,$Z826)))</f>
        <v/>
      </c>
      <c r="AB826" s="19">
        <f>IF(OR($Z826="",$Z826=6),"",WORKDAY($AA826,CHOOSE($Z826,3,3,2,2,3),Holidays))</f>
        <v/>
      </c>
      <c r="AC826" s="17">
        <f>IF(OR($Z826="",$Z826=6),"",CHOOSE($Z826,"1st Email Follow-up","2nd Email Follow-up","Escalate Local Office","Escalate to CBE","Escalate to Roxanne"))</f>
        <v/>
      </c>
    </row>
    <row r="827" spans="13:29">
      <c r="M827" s="14"/>
      <c r="T827" s="16"/>
      <c r="U827" s="17">
        <f>IF(AND(COUNTA($A827:$L827)=0,$N827=""),"",IF($T827="Paid","PAID",IF($T827="Closed","CLOSED",IF($Z827="","",IF($Z827=6,"ESCALATED TO ROXANNE",IF(TODAY()&gt;$AB827,"OVERDUE",IF($AB827&lt;=WORKDAY(TODAY(),1,Holidays),"DUE TOMORROW",IF($Z827=4,"ESCALATED TO LOCAL OFFICE",IF($Z827=5,"ESCALATED TO CBE",IF($AA827=TODAY(),"EMAIL SENT","MONITORING"))))))))))</f>
        <v/>
      </c>
      <c r="V827" s="17">
        <f>IF($U827="",IF(AND(COUNTA($A827:$L827)&gt;0,$N827=""),"Awaiting Collection Email time stamp.",""),IF(OR($U827="PAID",$U827="CLOSED"),IF($U827="PAID","Account paid. Action completed.","Account closed. No further action required."),CHOOSE($Z827,"Collection Email","1st Email Follow-up","2nd Email Follow-up","Escalation to Local Office","Escalation to CBE","Escalation to Roxanne")&amp;" sent "&amp;TEXT($AA827,"dd-mmm")&amp;". "&amp;IF($Z827=6,"Final escalation completed.",IF($U827="OVERDUE","Next: "&amp;$AC827&amp;" was due "&amp;TEXT($AB827,"dd-mmm")&amp;" - "&amp;(NETWORKDAYS($AB827,TODAY(),Holidays)-1)&amp;" business day(s) late. Send now.",IF($U827="DUE TOMORROW","Next: "&amp;$AC827&amp;IF($AB827&lt;=TODAY()," is due TODAY ("," is due next business day (")&amp;TEXT($AB827,"dd-mmm")&amp;").","Next: "&amp;$AC827&amp;" due "&amp;TEXT($AB827,"dd-mmm")&amp;" ("&amp;(NETWORKDAYS(TODAY(),$AB827,Holidays)-1)&amp;" business day(s) left).")))))</f>
        <v/>
      </c>
      <c r="W827" s="17">
        <f>IF($Z827="","",CHOOSE($Z827,"Collection Email","1st Follow-up","2nd Follow-up","Local Office","CBE","Roxanne")&amp;IF($Z827=6," - Final"," - Day "&amp;MAX(0,NETWORKDAYS($AA827,TODAY(),Holidays)-1)&amp;" of "&amp;CHOOSE($Z827,3,3,2,2,3))&amp;" | Total Day "&amp;MAX(0,NETWORKDAYS($N827,TODAY(),Holidays)-1))</f>
        <v/>
      </c>
      <c r="X827" s="18"/>
      <c r="Y827" s="18"/>
      <c r="Z827" s="17">
        <f>IF($N827="","",COUNT($N827:$S827))</f>
        <v/>
      </c>
      <c r="AA827" s="19">
        <f>IF($Z827="","",INT(INDEX($N827:$S827,$Z827)))</f>
        <v/>
      </c>
      <c r="AB827" s="19">
        <f>IF(OR($Z827="",$Z827=6),"",WORKDAY($AA827,CHOOSE($Z827,3,3,2,2,3),Holidays))</f>
        <v/>
      </c>
      <c r="AC827" s="17">
        <f>IF(OR($Z827="",$Z827=6),"",CHOOSE($Z827,"1st Email Follow-up","2nd Email Follow-up","Escalate Local Office","Escalate to CBE","Escalate to Roxanne"))</f>
        <v/>
      </c>
    </row>
    <row r="828" spans="13:29">
      <c r="M828" s="14"/>
      <c r="T828" s="16"/>
      <c r="U828" s="17">
        <f>IF(AND(COUNTA($A828:$L828)=0,$N828=""),"",IF($T828="Paid","PAID",IF($T828="Closed","CLOSED",IF($Z828="","",IF($Z828=6,"ESCALATED TO ROXANNE",IF(TODAY()&gt;$AB828,"OVERDUE",IF($AB828&lt;=WORKDAY(TODAY(),1,Holidays),"DUE TOMORROW",IF($Z828=4,"ESCALATED TO LOCAL OFFICE",IF($Z828=5,"ESCALATED TO CBE",IF($AA828=TODAY(),"EMAIL SENT","MONITORING"))))))))))</f>
        <v/>
      </c>
      <c r="V828" s="17">
        <f>IF($U828="",IF(AND(COUNTA($A828:$L828)&gt;0,$N828=""),"Awaiting Collection Email time stamp.",""),IF(OR($U828="PAID",$U828="CLOSED"),IF($U828="PAID","Account paid. Action completed.","Account closed. No further action required."),CHOOSE($Z828,"Collection Email","1st Email Follow-up","2nd Email Follow-up","Escalation to Local Office","Escalation to CBE","Escalation to Roxanne")&amp;" sent "&amp;TEXT($AA828,"dd-mmm")&amp;". "&amp;IF($Z828=6,"Final escalation completed.",IF($U828="OVERDUE","Next: "&amp;$AC828&amp;" was due "&amp;TEXT($AB828,"dd-mmm")&amp;" - "&amp;(NETWORKDAYS($AB828,TODAY(),Holidays)-1)&amp;" business day(s) late. Send now.",IF($U828="DUE TOMORROW","Next: "&amp;$AC828&amp;IF($AB828&lt;=TODAY()," is due TODAY ("," is due next business day (")&amp;TEXT($AB828,"dd-mmm")&amp;").","Next: "&amp;$AC828&amp;" due "&amp;TEXT($AB828,"dd-mmm")&amp;" ("&amp;(NETWORKDAYS(TODAY(),$AB828,Holidays)-1)&amp;" business day(s) left).")))))</f>
        <v/>
      </c>
      <c r="W828" s="17">
        <f>IF($Z828="","",CHOOSE($Z828,"Collection Email","1st Follow-up","2nd Follow-up","Local Office","CBE","Roxanne")&amp;IF($Z828=6," - Final"," - Day "&amp;MAX(0,NETWORKDAYS($AA828,TODAY(),Holidays)-1)&amp;" of "&amp;CHOOSE($Z828,3,3,2,2,3))&amp;" | Total Day "&amp;MAX(0,NETWORKDAYS($N828,TODAY(),Holidays)-1))</f>
        <v/>
      </c>
      <c r="X828" s="18"/>
      <c r="Y828" s="18"/>
      <c r="Z828" s="17">
        <f>IF($N828="","",COUNT($N828:$S828))</f>
        <v/>
      </c>
      <c r="AA828" s="19">
        <f>IF($Z828="","",INT(INDEX($N828:$S828,$Z828)))</f>
        <v/>
      </c>
      <c r="AB828" s="19">
        <f>IF(OR($Z828="",$Z828=6),"",WORKDAY($AA828,CHOOSE($Z828,3,3,2,2,3),Holidays))</f>
        <v/>
      </c>
      <c r="AC828" s="17">
        <f>IF(OR($Z828="",$Z828=6),"",CHOOSE($Z828,"1st Email Follow-up","2nd Email Follow-up","Escalate Local Office","Escalate to CBE","Escalate to Roxanne"))</f>
        <v/>
      </c>
    </row>
    <row r="829" spans="13:29">
      <c r="M829" s="14"/>
      <c r="T829" s="16"/>
      <c r="U829" s="17">
        <f>IF(AND(COUNTA($A829:$L829)=0,$N829=""),"",IF($T829="Paid","PAID",IF($T829="Closed","CLOSED",IF($Z829="","",IF($Z829=6,"ESCALATED TO ROXANNE",IF(TODAY()&gt;$AB829,"OVERDUE",IF($AB829&lt;=WORKDAY(TODAY(),1,Holidays),"DUE TOMORROW",IF($Z829=4,"ESCALATED TO LOCAL OFFICE",IF($Z829=5,"ESCALATED TO CBE",IF($AA829=TODAY(),"EMAIL SENT","MONITORING"))))))))))</f>
        <v/>
      </c>
      <c r="V829" s="17">
        <f>IF($U829="",IF(AND(COUNTA($A829:$L829)&gt;0,$N829=""),"Awaiting Collection Email time stamp.",""),IF(OR($U829="PAID",$U829="CLOSED"),IF($U829="PAID","Account paid. Action completed.","Account closed. No further action required."),CHOOSE($Z829,"Collection Email","1st Email Follow-up","2nd Email Follow-up","Escalation to Local Office","Escalation to CBE","Escalation to Roxanne")&amp;" sent "&amp;TEXT($AA829,"dd-mmm")&amp;". "&amp;IF($Z829=6,"Final escalation completed.",IF($U829="OVERDUE","Next: "&amp;$AC829&amp;" was due "&amp;TEXT($AB829,"dd-mmm")&amp;" - "&amp;(NETWORKDAYS($AB829,TODAY(),Holidays)-1)&amp;" business day(s) late. Send now.",IF($U829="DUE TOMORROW","Next: "&amp;$AC829&amp;IF($AB829&lt;=TODAY()," is due TODAY ("," is due next business day (")&amp;TEXT($AB829,"dd-mmm")&amp;").","Next: "&amp;$AC829&amp;" due "&amp;TEXT($AB829,"dd-mmm")&amp;" ("&amp;(NETWORKDAYS(TODAY(),$AB829,Holidays)-1)&amp;" business day(s) left).")))))</f>
        <v/>
      </c>
      <c r="W829" s="17">
        <f>IF($Z829="","",CHOOSE($Z829,"Collection Email","1st Follow-up","2nd Follow-up","Local Office","CBE","Roxanne")&amp;IF($Z829=6," - Final"," - Day "&amp;MAX(0,NETWORKDAYS($AA829,TODAY(),Holidays)-1)&amp;" of "&amp;CHOOSE($Z829,3,3,2,2,3))&amp;" | Total Day "&amp;MAX(0,NETWORKDAYS($N829,TODAY(),Holidays)-1))</f>
        <v/>
      </c>
      <c r="X829" s="18"/>
      <c r="Y829" s="18"/>
      <c r="Z829" s="17">
        <f>IF($N829="","",COUNT($N829:$S829))</f>
        <v/>
      </c>
      <c r="AA829" s="19">
        <f>IF($Z829="","",INT(INDEX($N829:$S829,$Z829)))</f>
        <v/>
      </c>
      <c r="AB829" s="19">
        <f>IF(OR($Z829="",$Z829=6),"",WORKDAY($AA829,CHOOSE($Z829,3,3,2,2,3),Holidays))</f>
        <v/>
      </c>
      <c r="AC829" s="17">
        <f>IF(OR($Z829="",$Z829=6),"",CHOOSE($Z829,"1st Email Follow-up","2nd Email Follow-up","Escalate Local Office","Escalate to CBE","Escalate to Roxanne"))</f>
        <v/>
      </c>
    </row>
    <row r="830" spans="13:29">
      <c r="M830" s="14"/>
      <c r="T830" s="16"/>
      <c r="U830" s="17">
        <f>IF(AND(COUNTA($A830:$L830)=0,$N830=""),"",IF($T830="Paid","PAID",IF($T830="Closed","CLOSED",IF($Z830="","",IF($Z830=6,"ESCALATED TO ROXANNE",IF(TODAY()&gt;$AB830,"OVERDUE",IF($AB830&lt;=WORKDAY(TODAY(),1,Holidays),"DUE TOMORROW",IF($Z830=4,"ESCALATED TO LOCAL OFFICE",IF($Z830=5,"ESCALATED TO CBE",IF($AA830=TODAY(),"EMAIL SENT","MONITORING"))))))))))</f>
        <v/>
      </c>
      <c r="V830" s="17">
        <f>IF($U830="",IF(AND(COUNTA($A830:$L830)&gt;0,$N830=""),"Awaiting Collection Email time stamp.",""),IF(OR($U830="PAID",$U830="CLOSED"),IF($U830="PAID","Account paid. Action completed.","Account closed. No further action required."),CHOOSE($Z830,"Collection Email","1st Email Follow-up","2nd Email Follow-up","Escalation to Local Office","Escalation to CBE","Escalation to Roxanne")&amp;" sent "&amp;TEXT($AA830,"dd-mmm")&amp;". "&amp;IF($Z830=6,"Final escalation completed.",IF($U830="OVERDUE","Next: "&amp;$AC830&amp;" was due "&amp;TEXT($AB830,"dd-mmm")&amp;" - "&amp;(NETWORKDAYS($AB830,TODAY(),Holidays)-1)&amp;" business day(s) late. Send now.",IF($U830="DUE TOMORROW","Next: "&amp;$AC830&amp;IF($AB830&lt;=TODAY()," is due TODAY ("," is due next business day (")&amp;TEXT($AB830,"dd-mmm")&amp;").","Next: "&amp;$AC830&amp;" due "&amp;TEXT($AB830,"dd-mmm")&amp;" ("&amp;(NETWORKDAYS(TODAY(),$AB830,Holidays)-1)&amp;" business day(s) left).")))))</f>
        <v/>
      </c>
      <c r="W830" s="17">
        <f>IF($Z830="","",CHOOSE($Z830,"Collection Email","1st Follow-up","2nd Follow-up","Local Office","CBE","Roxanne")&amp;IF($Z830=6," - Final"," - Day "&amp;MAX(0,NETWORKDAYS($AA830,TODAY(),Holidays)-1)&amp;" of "&amp;CHOOSE($Z830,3,3,2,2,3))&amp;" | Total Day "&amp;MAX(0,NETWORKDAYS($N830,TODAY(),Holidays)-1))</f>
        <v/>
      </c>
      <c r="X830" s="18"/>
      <c r="Y830" s="18"/>
      <c r="Z830" s="17">
        <f>IF($N830="","",COUNT($N830:$S830))</f>
        <v/>
      </c>
      <c r="AA830" s="19">
        <f>IF($Z830="","",INT(INDEX($N830:$S830,$Z830)))</f>
        <v/>
      </c>
      <c r="AB830" s="19">
        <f>IF(OR($Z830="",$Z830=6),"",WORKDAY($AA830,CHOOSE($Z830,3,3,2,2,3),Holidays))</f>
        <v/>
      </c>
      <c r="AC830" s="17">
        <f>IF(OR($Z830="",$Z830=6),"",CHOOSE($Z830,"1st Email Follow-up","2nd Email Follow-up","Escalate Local Office","Escalate to CBE","Escalate to Roxanne"))</f>
        <v/>
      </c>
    </row>
    <row r="831" spans="13:29">
      <c r="M831" s="14"/>
      <c r="T831" s="16"/>
      <c r="U831" s="17">
        <f>IF(AND(COUNTA($A831:$L831)=0,$N831=""),"",IF($T831="Paid","PAID",IF($T831="Closed","CLOSED",IF($Z831="","",IF($Z831=6,"ESCALATED TO ROXANNE",IF(TODAY()&gt;$AB831,"OVERDUE",IF($AB831&lt;=WORKDAY(TODAY(),1,Holidays),"DUE TOMORROW",IF($Z831=4,"ESCALATED TO LOCAL OFFICE",IF($Z831=5,"ESCALATED TO CBE",IF($AA831=TODAY(),"EMAIL SENT","MONITORING"))))))))))</f>
        <v/>
      </c>
      <c r="V831" s="17">
        <f>IF($U831="",IF(AND(COUNTA($A831:$L831)&gt;0,$N831=""),"Awaiting Collection Email time stamp.",""),IF(OR($U831="PAID",$U831="CLOSED"),IF($U831="PAID","Account paid. Action completed.","Account closed. No further action required."),CHOOSE($Z831,"Collection Email","1st Email Follow-up","2nd Email Follow-up","Escalation to Local Office","Escalation to CBE","Escalation to Roxanne")&amp;" sent "&amp;TEXT($AA831,"dd-mmm")&amp;". "&amp;IF($Z831=6,"Final escalation completed.",IF($U831="OVERDUE","Next: "&amp;$AC831&amp;" was due "&amp;TEXT($AB831,"dd-mmm")&amp;" - "&amp;(NETWORKDAYS($AB831,TODAY(),Holidays)-1)&amp;" business day(s) late. Send now.",IF($U831="DUE TOMORROW","Next: "&amp;$AC831&amp;IF($AB831&lt;=TODAY()," is due TODAY ("," is due next business day (")&amp;TEXT($AB831,"dd-mmm")&amp;").","Next: "&amp;$AC831&amp;" due "&amp;TEXT($AB831,"dd-mmm")&amp;" ("&amp;(NETWORKDAYS(TODAY(),$AB831,Holidays)-1)&amp;" business day(s) left).")))))</f>
        <v/>
      </c>
      <c r="W831" s="17">
        <f>IF($Z831="","",CHOOSE($Z831,"Collection Email","1st Follow-up","2nd Follow-up","Local Office","CBE","Roxanne")&amp;IF($Z831=6," - Final"," - Day "&amp;MAX(0,NETWORKDAYS($AA831,TODAY(),Holidays)-1)&amp;" of "&amp;CHOOSE($Z831,3,3,2,2,3))&amp;" | Total Day "&amp;MAX(0,NETWORKDAYS($N831,TODAY(),Holidays)-1))</f>
        <v/>
      </c>
      <c r="X831" s="18"/>
      <c r="Y831" s="18"/>
      <c r="Z831" s="17">
        <f>IF($N831="","",COUNT($N831:$S831))</f>
        <v/>
      </c>
      <c r="AA831" s="19">
        <f>IF($Z831="","",INT(INDEX($N831:$S831,$Z831)))</f>
        <v/>
      </c>
      <c r="AB831" s="19">
        <f>IF(OR($Z831="",$Z831=6),"",WORKDAY($AA831,CHOOSE($Z831,3,3,2,2,3),Holidays))</f>
        <v/>
      </c>
      <c r="AC831" s="17">
        <f>IF(OR($Z831="",$Z831=6),"",CHOOSE($Z831,"1st Email Follow-up","2nd Email Follow-up","Escalate Local Office","Escalate to CBE","Escalate to Roxanne"))</f>
        <v/>
      </c>
    </row>
    <row r="832" spans="13:29">
      <c r="M832" s="14"/>
      <c r="T832" s="16"/>
      <c r="U832" s="17">
        <f>IF(AND(COUNTA($A832:$L832)=0,$N832=""),"",IF($T832="Paid","PAID",IF($T832="Closed","CLOSED",IF($Z832="","",IF($Z832=6,"ESCALATED TO ROXANNE",IF(TODAY()&gt;$AB832,"OVERDUE",IF($AB832&lt;=WORKDAY(TODAY(),1,Holidays),"DUE TOMORROW",IF($Z832=4,"ESCALATED TO LOCAL OFFICE",IF($Z832=5,"ESCALATED TO CBE",IF($AA832=TODAY(),"EMAIL SENT","MONITORING"))))))))))</f>
        <v/>
      </c>
      <c r="V832" s="17">
        <f>IF($U832="",IF(AND(COUNTA($A832:$L832)&gt;0,$N832=""),"Awaiting Collection Email time stamp.",""),IF(OR($U832="PAID",$U832="CLOSED"),IF($U832="PAID","Account paid. Action completed.","Account closed. No further action required."),CHOOSE($Z832,"Collection Email","1st Email Follow-up","2nd Email Follow-up","Escalation to Local Office","Escalation to CBE","Escalation to Roxanne")&amp;" sent "&amp;TEXT($AA832,"dd-mmm")&amp;". "&amp;IF($Z832=6,"Final escalation completed.",IF($U832="OVERDUE","Next: "&amp;$AC832&amp;" was due "&amp;TEXT($AB832,"dd-mmm")&amp;" - "&amp;(NETWORKDAYS($AB832,TODAY(),Holidays)-1)&amp;" business day(s) late. Send now.",IF($U832="DUE TOMORROW","Next: "&amp;$AC832&amp;IF($AB832&lt;=TODAY()," is due TODAY ("," is due next business day (")&amp;TEXT($AB832,"dd-mmm")&amp;").","Next: "&amp;$AC832&amp;" due "&amp;TEXT($AB832,"dd-mmm")&amp;" ("&amp;(NETWORKDAYS(TODAY(),$AB832,Holidays)-1)&amp;" business day(s) left).")))))</f>
        <v/>
      </c>
      <c r="W832" s="17">
        <f>IF($Z832="","",CHOOSE($Z832,"Collection Email","1st Follow-up","2nd Follow-up","Local Office","CBE","Roxanne")&amp;IF($Z832=6," - Final"," - Day "&amp;MAX(0,NETWORKDAYS($AA832,TODAY(),Holidays)-1)&amp;" of "&amp;CHOOSE($Z832,3,3,2,2,3))&amp;" | Total Day "&amp;MAX(0,NETWORKDAYS($N832,TODAY(),Holidays)-1))</f>
        <v/>
      </c>
      <c r="X832" s="18"/>
      <c r="Y832" s="18"/>
      <c r="Z832" s="17">
        <f>IF($N832="","",COUNT($N832:$S832))</f>
        <v/>
      </c>
      <c r="AA832" s="19">
        <f>IF($Z832="","",INT(INDEX($N832:$S832,$Z832)))</f>
        <v/>
      </c>
      <c r="AB832" s="19">
        <f>IF(OR($Z832="",$Z832=6),"",WORKDAY($AA832,CHOOSE($Z832,3,3,2,2,3),Holidays))</f>
        <v/>
      </c>
      <c r="AC832" s="17">
        <f>IF(OR($Z832="",$Z832=6),"",CHOOSE($Z832,"1st Email Follow-up","2nd Email Follow-up","Escalate Local Office","Escalate to CBE","Escalate to Roxanne"))</f>
        <v/>
      </c>
    </row>
    <row r="833" spans="13:29">
      <c r="M833" s="14"/>
      <c r="T833" s="16"/>
      <c r="U833" s="17">
        <f>IF(AND(COUNTA($A833:$L833)=0,$N833=""),"",IF($T833="Paid","PAID",IF($T833="Closed","CLOSED",IF($Z833="","",IF($Z833=6,"ESCALATED TO ROXANNE",IF(TODAY()&gt;$AB833,"OVERDUE",IF($AB833&lt;=WORKDAY(TODAY(),1,Holidays),"DUE TOMORROW",IF($Z833=4,"ESCALATED TO LOCAL OFFICE",IF($Z833=5,"ESCALATED TO CBE",IF($AA833=TODAY(),"EMAIL SENT","MONITORING"))))))))))</f>
        <v/>
      </c>
      <c r="V833" s="17">
        <f>IF($U833="",IF(AND(COUNTA($A833:$L833)&gt;0,$N833=""),"Awaiting Collection Email time stamp.",""),IF(OR($U833="PAID",$U833="CLOSED"),IF($U833="PAID","Account paid. Action completed.","Account closed. No further action required."),CHOOSE($Z833,"Collection Email","1st Email Follow-up","2nd Email Follow-up","Escalation to Local Office","Escalation to CBE","Escalation to Roxanne")&amp;" sent "&amp;TEXT($AA833,"dd-mmm")&amp;". "&amp;IF($Z833=6,"Final escalation completed.",IF($U833="OVERDUE","Next: "&amp;$AC833&amp;" was due "&amp;TEXT($AB833,"dd-mmm")&amp;" - "&amp;(NETWORKDAYS($AB833,TODAY(),Holidays)-1)&amp;" business day(s) late. Send now.",IF($U833="DUE TOMORROW","Next: "&amp;$AC833&amp;IF($AB833&lt;=TODAY()," is due TODAY ("," is due next business day (")&amp;TEXT($AB833,"dd-mmm")&amp;").","Next: "&amp;$AC833&amp;" due "&amp;TEXT($AB833,"dd-mmm")&amp;" ("&amp;(NETWORKDAYS(TODAY(),$AB833,Holidays)-1)&amp;" business day(s) left).")))))</f>
        <v/>
      </c>
      <c r="W833" s="17">
        <f>IF($Z833="","",CHOOSE($Z833,"Collection Email","1st Follow-up","2nd Follow-up","Local Office","CBE","Roxanne")&amp;IF($Z833=6," - Final"," - Day "&amp;MAX(0,NETWORKDAYS($AA833,TODAY(),Holidays)-1)&amp;" of "&amp;CHOOSE($Z833,3,3,2,2,3))&amp;" | Total Day "&amp;MAX(0,NETWORKDAYS($N833,TODAY(),Holidays)-1))</f>
        <v/>
      </c>
      <c r="X833" s="18"/>
      <c r="Y833" s="18"/>
      <c r="Z833" s="17">
        <f>IF($N833="","",COUNT($N833:$S833))</f>
        <v/>
      </c>
      <c r="AA833" s="19">
        <f>IF($Z833="","",INT(INDEX($N833:$S833,$Z833)))</f>
        <v/>
      </c>
      <c r="AB833" s="19">
        <f>IF(OR($Z833="",$Z833=6),"",WORKDAY($AA833,CHOOSE($Z833,3,3,2,2,3),Holidays))</f>
        <v/>
      </c>
      <c r="AC833" s="17">
        <f>IF(OR($Z833="",$Z833=6),"",CHOOSE($Z833,"1st Email Follow-up","2nd Email Follow-up","Escalate Local Office","Escalate to CBE","Escalate to Roxanne"))</f>
        <v/>
      </c>
    </row>
    <row r="834" spans="13:29">
      <c r="M834" s="14"/>
      <c r="T834" s="16"/>
      <c r="U834" s="17">
        <f>IF(AND(COUNTA($A834:$L834)=0,$N834=""),"",IF($T834="Paid","PAID",IF($T834="Closed","CLOSED",IF($Z834="","",IF($Z834=6,"ESCALATED TO ROXANNE",IF(TODAY()&gt;$AB834,"OVERDUE",IF($AB834&lt;=WORKDAY(TODAY(),1,Holidays),"DUE TOMORROW",IF($Z834=4,"ESCALATED TO LOCAL OFFICE",IF($Z834=5,"ESCALATED TO CBE",IF($AA834=TODAY(),"EMAIL SENT","MONITORING"))))))))))</f>
        <v/>
      </c>
      <c r="V834" s="17">
        <f>IF($U834="",IF(AND(COUNTA($A834:$L834)&gt;0,$N834=""),"Awaiting Collection Email time stamp.",""),IF(OR($U834="PAID",$U834="CLOSED"),IF($U834="PAID","Account paid. Action completed.","Account closed. No further action required."),CHOOSE($Z834,"Collection Email","1st Email Follow-up","2nd Email Follow-up","Escalation to Local Office","Escalation to CBE","Escalation to Roxanne")&amp;" sent "&amp;TEXT($AA834,"dd-mmm")&amp;". "&amp;IF($Z834=6,"Final escalation completed.",IF($U834="OVERDUE","Next: "&amp;$AC834&amp;" was due "&amp;TEXT($AB834,"dd-mmm")&amp;" - "&amp;(NETWORKDAYS($AB834,TODAY(),Holidays)-1)&amp;" business day(s) late. Send now.",IF($U834="DUE TOMORROW","Next: "&amp;$AC834&amp;IF($AB834&lt;=TODAY()," is due TODAY ("," is due next business day (")&amp;TEXT($AB834,"dd-mmm")&amp;").","Next: "&amp;$AC834&amp;" due "&amp;TEXT($AB834,"dd-mmm")&amp;" ("&amp;(NETWORKDAYS(TODAY(),$AB834,Holidays)-1)&amp;" business day(s) left).")))))</f>
        <v/>
      </c>
      <c r="W834" s="17">
        <f>IF($Z834="","",CHOOSE($Z834,"Collection Email","1st Follow-up","2nd Follow-up","Local Office","CBE","Roxanne")&amp;IF($Z834=6," - Final"," - Day "&amp;MAX(0,NETWORKDAYS($AA834,TODAY(),Holidays)-1)&amp;" of "&amp;CHOOSE($Z834,3,3,2,2,3))&amp;" | Total Day "&amp;MAX(0,NETWORKDAYS($N834,TODAY(),Holidays)-1))</f>
        <v/>
      </c>
      <c r="X834" s="18"/>
      <c r="Y834" s="18"/>
      <c r="Z834" s="17">
        <f>IF($N834="","",COUNT($N834:$S834))</f>
        <v/>
      </c>
      <c r="AA834" s="19">
        <f>IF($Z834="","",INT(INDEX($N834:$S834,$Z834)))</f>
        <v/>
      </c>
      <c r="AB834" s="19">
        <f>IF(OR($Z834="",$Z834=6),"",WORKDAY($AA834,CHOOSE($Z834,3,3,2,2,3),Holidays))</f>
        <v/>
      </c>
      <c r="AC834" s="17">
        <f>IF(OR($Z834="",$Z834=6),"",CHOOSE($Z834,"1st Email Follow-up","2nd Email Follow-up","Escalate Local Office","Escalate to CBE","Escalate to Roxanne"))</f>
        <v/>
      </c>
    </row>
    <row r="835" spans="13:29">
      <c r="M835" s="14"/>
      <c r="T835" s="16"/>
      <c r="U835" s="17">
        <f>IF(AND(COUNTA($A835:$L835)=0,$N835=""),"",IF($T835="Paid","PAID",IF($T835="Closed","CLOSED",IF($Z835="","",IF($Z835=6,"ESCALATED TO ROXANNE",IF(TODAY()&gt;$AB835,"OVERDUE",IF($AB835&lt;=WORKDAY(TODAY(),1,Holidays),"DUE TOMORROW",IF($Z835=4,"ESCALATED TO LOCAL OFFICE",IF($Z835=5,"ESCALATED TO CBE",IF($AA835=TODAY(),"EMAIL SENT","MONITORING"))))))))))</f>
        <v/>
      </c>
      <c r="V835" s="17">
        <f>IF($U835="",IF(AND(COUNTA($A835:$L835)&gt;0,$N835=""),"Awaiting Collection Email time stamp.",""),IF(OR($U835="PAID",$U835="CLOSED"),IF($U835="PAID","Account paid. Action completed.","Account closed. No further action required."),CHOOSE($Z835,"Collection Email","1st Email Follow-up","2nd Email Follow-up","Escalation to Local Office","Escalation to CBE","Escalation to Roxanne")&amp;" sent "&amp;TEXT($AA835,"dd-mmm")&amp;". "&amp;IF($Z835=6,"Final escalation completed.",IF($U835="OVERDUE","Next: "&amp;$AC835&amp;" was due "&amp;TEXT($AB835,"dd-mmm")&amp;" - "&amp;(NETWORKDAYS($AB835,TODAY(),Holidays)-1)&amp;" business day(s) late. Send now.",IF($U835="DUE TOMORROW","Next: "&amp;$AC835&amp;IF($AB835&lt;=TODAY()," is due TODAY ("," is due next business day (")&amp;TEXT($AB835,"dd-mmm")&amp;").","Next: "&amp;$AC835&amp;" due "&amp;TEXT($AB835,"dd-mmm")&amp;" ("&amp;(NETWORKDAYS(TODAY(),$AB835,Holidays)-1)&amp;" business day(s) left).")))))</f>
        <v/>
      </c>
      <c r="W835" s="17">
        <f>IF($Z835="","",CHOOSE($Z835,"Collection Email","1st Follow-up","2nd Follow-up","Local Office","CBE","Roxanne")&amp;IF($Z835=6," - Final"," - Day "&amp;MAX(0,NETWORKDAYS($AA835,TODAY(),Holidays)-1)&amp;" of "&amp;CHOOSE($Z835,3,3,2,2,3))&amp;" | Total Day "&amp;MAX(0,NETWORKDAYS($N835,TODAY(),Holidays)-1))</f>
        <v/>
      </c>
      <c r="X835" s="18"/>
      <c r="Y835" s="18"/>
      <c r="Z835" s="17">
        <f>IF($N835="","",COUNT($N835:$S835))</f>
        <v/>
      </c>
      <c r="AA835" s="19">
        <f>IF($Z835="","",INT(INDEX($N835:$S835,$Z835)))</f>
        <v/>
      </c>
      <c r="AB835" s="19">
        <f>IF(OR($Z835="",$Z835=6),"",WORKDAY($AA835,CHOOSE($Z835,3,3,2,2,3),Holidays))</f>
        <v/>
      </c>
      <c r="AC835" s="17">
        <f>IF(OR($Z835="",$Z835=6),"",CHOOSE($Z835,"1st Email Follow-up","2nd Email Follow-up","Escalate Local Office","Escalate to CBE","Escalate to Roxanne"))</f>
        <v/>
      </c>
    </row>
    <row r="836" spans="13:29">
      <c r="M836" s="14"/>
      <c r="T836" s="16"/>
      <c r="U836" s="17">
        <f>IF(AND(COUNTA($A836:$L836)=0,$N836=""),"",IF($T836="Paid","PAID",IF($T836="Closed","CLOSED",IF($Z836="","",IF($Z836=6,"ESCALATED TO ROXANNE",IF(TODAY()&gt;$AB836,"OVERDUE",IF($AB836&lt;=WORKDAY(TODAY(),1,Holidays),"DUE TOMORROW",IF($Z836=4,"ESCALATED TO LOCAL OFFICE",IF($Z836=5,"ESCALATED TO CBE",IF($AA836=TODAY(),"EMAIL SENT","MONITORING"))))))))))</f>
        <v/>
      </c>
      <c r="V836" s="17">
        <f>IF($U836="",IF(AND(COUNTA($A836:$L836)&gt;0,$N836=""),"Awaiting Collection Email time stamp.",""),IF(OR($U836="PAID",$U836="CLOSED"),IF($U836="PAID","Account paid. Action completed.","Account closed. No further action required."),CHOOSE($Z836,"Collection Email","1st Email Follow-up","2nd Email Follow-up","Escalation to Local Office","Escalation to CBE","Escalation to Roxanne")&amp;" sent "&amp;TEXT($AA836,"dd-mmm")&amp;". "&amp;IF($Z836=6,"Final escalation completed.",IF($U836="OVERDUE","Next: "&amp;$AC836&amp;" was due "&amp;TEXT($AB836,"dd-mmm")&amp;" - "&amp;(NETWORKDAYS($AB836,TODAY(),Holidays)-1)&amp;" business day(s) late. Send now.",IF($U836="DUE TOMORROW","Next: "&amp;$AC836&amp;IF($AB836&lt;=TODAY()," is due TODAY ("," is due next business day (")&amp;TEXT($AB836,"dd-mmm")&amp;").","Next: "&amp;$AC836&amp;" due "&amp;TEXT($AB836,"dd-mmm")&amp;" ("&amp;(NETWORKDAYS(TODAY(),$AB836,Holidays)-1)&amp;" business day(s) left).")))))</f>
        <v/>
      </c>
      <c r="W836" s="17">
        <f>IF($Z836="","",CHOOSE($Z836,"Collection Email","1st Follow-up","2nd Follow-up","Local Office","CBE","Roxanne")&amp;IF($Z836=6," - Final"," - Day "&amp;MAX(0,NETWORKDAYS($AA836,TODAY(),Holidays)-1)&amp;" of "&amp;CHOOSE($Z836,3,3,2,2,3))&amp;" | Total Day "&amp;MAX(0,NETWORKDAYS($N836,TODAY(),Holidays)-1))</f>
        <v/>
      </c>
      <c r="X836" s="18"/>
      <c r="Y836" s="18"/>
      <c r="Z836" s="17">
        <f>IF($N836="","",COUNT($N836:$S836))</f>
        <v/>
      </c>
      <c r="AA836" s="19">
        <f>IF($Z836="","",INT(INDEX($N836:$S836,$Z836)))</f>
        <v/>
      </c>
      <c r="AB836" s="19">
        <f>IF(OR($Z836="",$Z836=6),"",WORKDAY($AA836,CHOOSE($Z836,3,3,2,2,3),Holidays))</f>
        <v/>
      </c>
      <c r="AC836" s="17">
        <f>IF(OR($Z836="",$Z836=6),"",CHOOSE($Z836,"1st Email Follow-up","2nd Email Follow-up","Escalate Local Office","Escalate to CBE","Escalate to Roxanne"))</f>
        <v/>
      </c>
    </row>
    <row r="837" spans="13:29">
      <c r="M837" s="14"/>
      <c r="T837" s="16"/>
      <c r="U837" s="17">
        <f>IF(AND(COUNTA($A837:$L837)=0,$N837=""),"",IF($T837="Paid","PAID",IF($T837="Closed","CLOSED",IF($Z837="","",IF($Z837=6,"ESCALATED TO ROXANNE",IF(TODAY()&gt;$AB837,"OVERDUE",IF($AB837&lt;=WORKDAY(TODAY(),1,Holidays),"DUE TOMORROW",IF($Z837=4,"ESCALATED TO LOCAL OFFICE",IF($Z837=5,"ESCALATED TO CBE",IF($AA837=TODAY(),"EMAIL SENT","MONITORING"))))))))))</f>
        <v/>
      </c>
      <c r="V837" s="17">
        <f>IF($U837="",IF(AND(COUNTA($A837:$L837)&gt;0,$N837=""),"Awaiting Collection Email time stamp.",""),IF(OR($U837="PAID",$U837="CLOSED"),IF($U837="PAID","Account paid. Action completed.","Account closed. No further action required."),CHOOSE($Z837,"Collection Email","1st Email Follow-up","2nd Email Follow-up","Escalation to Local Office","Escalation to CBE","Escalation to Roxanne")&amp;" sent "&amp;TEXT($AA837,"dd-mmm")&amp;". "&amp;IF($Z837=6,"Final escalation completed.",IF($U837="OVERDUE","Next: "&amp;$AC837&amp;" was due "&amp;TEXT($AB837,"dd-mmm")&amp;" - "&amp;(NETWORKDAYS($AB837,TODAY(),Holidays)-1)&amp;" business day(s) late. Send now.",IF($U837="DUE TOMORROW","Next: "&amp;$AC837&amp;IF($AB837&lt;=TODAY()," is due TODAY ("," is due next business day (")&amp;TEXT($AB837,"dd-mmm")&amp;").","Next: "&amp;$AC837&amp;" due "&amp;TEXT($AB837,"dd-mmm")&amp;" ("&amp;(NETWORKDAYS(TODAY(),$AB837,Holidays)-1)&amp;" business day(s) left).")))))</f>
        <v/>
      </c>
      <c r="W837" s="17">
        <f>IF($Z837="","",CHOOSE($Z837,"Collection Email","1st Follow-up","2nd Follow-up","Local Office","CBE","Roxanne")&amp;IF($Z837=6," - Final"," - Day "&amp;MAX(0,NETWORKDAYS($AA837,TODAY(),Holidays)-1)&amp;" of "&amp;CHOOSE($Z837,3,3,2,2,3))&amp;" | Total Day "&amp;MAX(0,NETWORKDAYS($N837,TODAY(),Holidays)-1))</f>
        <v/>
      </c>
      <c r="X837" s="18"/>
      <c r="Y837" s="18"/>
      <c r="Z837" s="17">
        <f>IF($N837="","",COUNT($N837:$S837))</f>
        <v/>
      </c>
      <c r="AA837" s="19">
        <f>IF($Z837="","",INT(INDEX($N837:$S837,$Z837)))</f>
        <v/>
      </c>
      <c r="AB837" s="19">
        <f>IF(OR($Z837="",$Z837=6),"",WORKDAY($AA837,CHOOSE($Z837,3,3,2,2,3),Holidays))</f>
        <v/>
      </c>
      <c r="AC837" s="17">
        <f>IF(OR($Z837="",$Z837=6),"",CHOOSE($Z837,"1st Email Follow-up","2nd Email Follow-up","Escalate Local Office","Escalate to CBE","Escalate to Roxanne"))</f>
        <v/>
      </c>
    </row>
    <row r="838" spans="13:29">
      <c r="M838" s="14"/>
      <c r="T838" s="16"/>
      <c r="U838" s="17">
        <f>IF(AND(COUNTA($A838:$L838)=0,$N838=""),"",IF($T838="Paid","PAID",IF($T838="Closed","CLOSED",IF($Z838="","",IF($Z838=6,"ESCALATED TO ROXANNE",IF(TODAY()&gt;$AB838,"OVERDUE",IF($AB838&lt;=WORKDAY(TODAY(),1,Holidays),"DUE TOMORROW",IF($Z838=4,"ESCALATED TO LOCAL OFFICE",IF($Z838=5,"ESCALATED TO CBE",IF($AA838=TODAY(),"EMAIL SENT","MONITORING"))))))))))</f>
        <v/>
      </c>
      <c r="V838" s="17">
        <f>IF($U838="",IF(AND(COUNTA($A838:$L838)&gt;0,$N838=""),"Awaiting Collection Email time stamp.",""),IF(OR($U838="PAID",$U838="CLOSED"),IF($U838="PAID","Account paid. Action completed.","Account closed. No further action required."),CHOOSE($Z838,"Collection Email","1st Email Follow-up","2nd Email Follow-up","Escalation to Local Office","Escalation to CBE","Escalation to Roxanne")&amp;" sent "&amp;TEXT($AA838,"dd-mmm")&amp;". "&amp;IF($Z838=6,"Final escalation completed.",IF($U838="OVERDUE","Next: "&amp;$AC838&amp;" was due "&amp;TEXT($AB838,"dd-mmm")&amp;" - "&amp;(NETWORKDAYS($AB838,TODAY(),Holidays)-1)&amp;" business day(s) late. Send now.",IF($U838="DUE TOMORROW","Next: "&amp;$AC838&amp;IF($AB838&lt;=TODAY()," is due TODAY ("," is due next business day (")&amp;TEXT($AB838,"dd-mmm")&amp;").","Next: "&amp;$AC838&amp;" due "&amp;TEXT($AB838,"dd-mmm")&amp;" ("&amp;(NETWORKDAYS(TODAY(),$AB838,Holidays)-1)&amp;" business day(s) left).")))))</f>
        <v/>
      </c>
      <c r="W838" s="17">
        <f>IF($Z838="","",CHOOSE($Z838,"Collection Email","1st Follow-up","2nd Follow-up","Local Office","CBE","Roxanne")&amp;IF($Z838=6," - Final"," - Day "&amp;MAX(0,NETWORKDAYS($AA838,TODAY(),Holidays)-1)&amp;" of "&amp;CHOOSE($Z838,3,3,2,2,3))&amp;" | Total Day "&amp;MAX(0,NETWORKDAYS($N838,TODAY(),Holidays)-1))</f>
        <v/>
      </c>
      <c r="X838" s="18"/>
      <c r="Y838" s="18"/>
      <c r="Z838" s="17">
        <f>IF($N838="","",COUNT($N838:$S838))</f>
        <v/>
      </c>
      <c r="AA838" s="19">
        <f>IF($Z838="","",INT(INDEX($N838:$S838,$Z838)))</f>
        <v/>
      </c>
      <c r="AB838" s="19">
        <f>IF(OR($Z838="",$Z838=6),"",WORKDAY($AA838,CHOOSE($Z838,3,3,2,2,3),Holidays))</f>
        <v/>
      </c>
      <c r="AC838" s="17">
        <f>IF(OR($Z838="",$Z838=6),"",CHOOSE($Z838,"1st Email Follow-up","2nd Email Follow-up","Escalate Local Office","Escalate to CBE","Escalate to Roxanne"))</f>
        <v/>
      </c>
    </row>
    <row r="839" spans="13:29">
      <c r="M839" s="14"/>
      <c r="T839" s="16"/>
      <c r="U839" s="17">
        <f>IF(AND(COUNTA($A839:$L839)=0,$N839=""),"",IF($T839="Paid","PAID",IF($T839="Closed","CLOSED",IF($Z839="","",IF($Z839=6,"ESCALATED TO ROXANNE",IF(TODAY()&gt;$AB839,"OVERDUE",IF($AB839&lt;=WORKDAY(TODAY(),1,Holidays),"DUE TOMORROW",IF($Z839=4,"ESCALATED TO LOCAL OFFICE",IF($Z839=5,"ESCALATED TO CBE",IF($AA839=TODAY(),"EMAIL SENT","MONITORING"))))))))))</f>
        <v/>
      </c>
      <c r="V839" s="17">
        <f>IF($U839="",IF(AND(COUNTA($A839:$L839)&gt;0,$N839=""),"Awaiting Collection Email time stamp.",""),IF(OR($U839="PAID",$U839="CLOSED"),IF($U839="PAID","Account paid. Action completed.","Account closed. No further action required."),CHOOSE($Z839,"Collection Email","1st Email Follow-up","2nd Email Follow-up","Escalation to Local Office","Escalation to CBE","Escalation to Roxanne")&amp;" sent "&amp;TEXT($AA839,"dd-mmm")&amp;". "&amp;IF($Z839=6,"Final escalation completed.",IF($U839="OVERDUE","Next: "&amp;$AC839&amp;" was due "&amp;TEXT($AB839,"dd-mmm")&amp;" - "&amp;(NETWORKDAYS($AB839,TODAY(),Holidays)-1)&amp;" business day(s) late. Send now.",IF($U839="DUE TOMORROW","Next: "&amp;$AC839&amp;IF($AB839&lt;=TODAY()," is due TODAY ("," is due next business day (")&amp;TEXT($AB839,"dd-mmm")&amp;").","Next: "&amp;$AC839&amp;" due "&amp;TEXT($AB839,"dd-mmm")&amp;" ("&amp;(NETWORKDAYS(TODAY(),$AB839,Holidays)-1)&amp;" business day(s) left).")))))</f>
        <v/>
      </c>
      <c r="W839" s="17">
        <f>IF($Z839="","",CHOOSE($Z839,"Collection Email","1st Follow-up","2nd Follow-up","Local Office","CBE","Roxanne")&amp;IF($Z839=6," - Final"," - Day "&amp;MAX(0,NETWORKDAYS($AA839,TODAY(),Holidays)-1)&amp;" of "&amp;CHOOSE($Z839,3,3,2,2,3))&amp;" | Total Day "&amp;MAX(0,NETWORKDAYS($N839,TODAY(),Holidays)-1))</f>
        <v/>
      </c>
      <c r="X839" s="18"/>
      <c r="Y839" s="18"/>
      <c r="Z839" s="17">
        <f>IF($N839="","",COUNT($N839:$S839))</f>
        <v/>
      </c>
      <c r="AA839" s="19">
        <f>IF($Z839="","",INT(INDEX($N839:$S839,$Z839)))</f>
        <v/>
      </c>
      <c r="AB839" s="19">
        <f>IF(OR($Z839="",$Z839=6),"",WORKDAY($AA839,CHOOSE($Z839,3,3,2,2,3),Holidays))</f>
        <v/>
      </c>
      <c r="AC839" s="17">
        <f>IF(OR($Z839="",$Z839=6),"",CHOOSE($Z839,"1st Email Follow-up","2nd Email Follow-up","Escalate Local Office","Escalate to CBE","Escalate to Roxanne"))</f>
        <v/>
      </c>
    </row>
    <row r="840" spans="13:29">
      <c r="M840" s="14"/>
      <c r="T840" s="16"/>
      <c r="U840" s="17">
        <f>IF(AND(COUNTA($A840:$L840)=0,$N840=""),"",IF($T840="Paid","PAID",IF($T840="Closed","CLOSED",IF($Z840="","",IF($Z840=6,"ESCALATED TO ROXANNE",IF(TODAY()&gt;$AB840,"OVERDUE",IF($AB840&lt;=WORKDAY(TODAY(),1,Holidays),"DUE TOMORROW",IF($Z840=4,"ESCALATED TO LOCAL OFFICE",IF($Z840=5,"ESCALATED TO CBE",IF($AA840=TODAY(),"EMAIL SENT","MONITORING"))))))))))</f>
        <v/>
      </c>
      <c r="V840" s="17">
        <f>IF($U840="",IF(AND(COUNTA($A840:$L840)&gt;0,$N840=""),"Awaiting Collection Email time stamp.",""),IF(OR($U840="PAID",$U840="CLOSED"),IF($U840="PAID","Account paid. Action completed.","Account closed. No further action required."),CHOOSE($Z840,"Collection Email","1st Email Follow-up","2nd Email Follow-up","Escalation to Local Office","Escalation to CBE","Escalation to Roxanne")&amp;" sent "&amp;TEXT($AA840,"dd-mmm")&amp;". "&amp;IF($Z840=6,"Final escalation completed.",IF($U840="OVERDUE","Next: "&amp;$AC840&amp;" was due "&amp;TEXT($AB840,"dd-mmm")&amp;" - "&amp;(NETWORKDAYS($AB840,TODAY(),Holidays)-1)&amp;" business day(s) late. Send now.",IF($U840="DUE TOMORROW","Next: "&amp;$AC840&amp;IF($AB840&lt;=TODAY()," is due TODAY ("," is due next business day (")&amp;TEXT($AB840,"dd-mmm")&amp;").","Next: "&amp;$AC840&amp;" due "&amp;TEXT($AB840,"dd-mmm")&amp;" ("&amp;(NETWORKDAYS(TODAY(),$AB840,Holidays)-1)&amp;" business day(s) left).")))))</f>
        <v/>
      </c>
      <c r="W840" s="17">
        <f>IF($Z840="","",CHOOSE($Z840,"Collection Email","1st Follow-up","2nd Follow-up","Local Office","CBE","Roxanne")&amp;IF($Z840=6," - Final"," - Day "&amp;MAX(0,NETWORKDAYS($AA840,TODAY(),Holidays)-1)&amp;" of "&amp;CHOOSE($Z840,3,3,2,2,3))&amp;" | Total Day "&amp;MAX(0,NETWORKDAYS($N840,TODAY(),Holidays)-1))</f>
        <v/>
      </c>
      <c r="X840" s="18"/>
      <c r="Y840" s="18"/>
      <c r="Z840" s="17">
        <f>IF($N840="","",COUNT($N840:$S840))</f>
        <v/>
      </c>
      <c r="AA840" s="19">
        <f>IF($Z840="","",INT(INDEX($N840:$S840,$Z840)))</f>
        <v/>
      </c>
      <c r="AB840" s="19">
        <f>IF(OR($Z840="",$Z840=6),"",WORKDAY($AA840,CHOOSE($Z840,3,3,2,2,3),Holidays))</f>
        <v/>
      </c>
      <c r="AC840" s="17">
        <f>IF(OR($Z840="",$Z840=6),"",CHOOSE($Z840,"1st Email Follow-up","2nd Email Follow-up","Escalate Local Office","Escalate to CBE","Escalate to Roxanne"))</f>
        <v/>
      </c>
    </row>
    <row r="841" spans="13:29">
      <c r="M841" s="14"/>
      <c r="T841" s="16"/>
      <c r="U841" s="17">
        <f>IF(AND(COUNTA($A841:$L841)=0,$N841=""),"",IF($T841="Paid","PAID",IF($T841="Closed","CLOSED",IF($Z841="","",IF($Z841=6,"ESCALATED TO ROXANNE",IF(TODAY()&gt;$AB841,"OVERDUE",IF($AB841&lt;=WORKDAY(TODAY(),1,Holidays),"DUE TOMORROW",IF($Z841=4,"ESCALATED TO LOCAL OFFICE",IF($Z841=5,"ESCALATED TO CBE",IF($AA841=TODAY(),"EMAIL SENT","MONITORING"))))))))))</f>
        <v/>
      </c>
      <c r="V841" s="17">
        <f>IF($U841="",IF(AND(COUNTA($A841:$L841)&gt;0,$N841=""),"Awaiting Collection Email time stamp.",""),IF(OR($U841="PAID",$U841="CLOSED"),IF($U841="PAID","Account paid. Action completed.","Account closed. No further action required."),CHOOSE($Z841,"Collection Email","1st Email Follow-up","2nd Email Follow-up","Escalation to Local Office","Escalation to CBE","Escalation to Roxanne")&amp;" sent "&amp;TEXT($AA841,"dd-mmm")&amp;". "&amp;IF($Z841=6,"Final escalation completed.",IF($U841="OVERDUE","Next: "&amp;$AC841&amp;" was due "&amp;TEXT($AB841,"dd-mmm")&amp;" - "&amp;(NETWORKDAYS($AB841,TODAY(),Holidays)-1)&amp;" business day(s) late. Send now.",IF($U841="DUE TOMORROW","Next: "&amp;$AC841&amp;IF($AB841&lt;=TODAY()," is due TODAY ("," is due next business day (")&amp;TEXT($AB841,"dd-mmm")&amp;").","Next: "&amp;$AC841&amp;" due "&amp;TEXT($AB841,"dd-mmm")&amp;" ("&amp;(NETWORKDAYS(TODAY(),$AB841,Holidays)-1)&amp;" business day(s) left).")))))</f>
        <v/>
      </c>
      <c r="W841" s="17">
        <f>IF($Z841="","",CHOOSE($Z841,"Collection Email","1st Follow-up","2nd Follow-up","Local Office","CBE","Roxanne")&amp;IF($Z841=6," - Final"," - Day "&amp;MAX(0,NETWORKDAYS($AA841,TODAY(),Holidays)-1)&amp;" of "&amp;CHOOSE($Z841,3,3,2,2,3))&amp;" | Total Day "&amp;MAX(0,NETWORKDAYS($N841,TODAY(),Holidays)-1))</f>
        <v/>
      </c>
      <c r="X841" s="18"/>
      <c r="Y841" s="18"/>
      <c r="Z841" s="17">
        <f>IF($N841="","",COUNT($N841:$S841))</f>
        <v/>
      </c>
      <c r="AA841" s="19">
        <f>IF($Z841="","",INT(INDEX($N841:$S841,$Z841)))</f>
        <v/>
      </c>
      <c r="AB841" s="19">
        <f>IF(OR($Z841="",$Z841=6),"",WORKDAY($AA841,CHOOSE($Z841,3,3,2,2,3),Holidays))</f>
        <v/>
      </c>
      <c r="AC841" s="17">
        <f>IF(OR($Z841="",$Z841=6),"",CHOOSE($Z841,"1st Email Follow-up","2nd Email Follow-up","Escalate Local Office","Escalate to CBE","Escalate to Roxanne"))</f>
        <v/>
      </c>
    </row>
    <row r="842" spans="13:29">
      <c r="M842" s="14"/>
      <c r="T842" s="16"/>
      <c r="U842" s="17">
        <f>IF(AND(COUNTA($A842:$L842)=0,$N842=""),"",IF($T842="Paid","PAID",IF($T842="Closed","CLOSED",IF($Z842="","",IF($Z842=6,"ESCALATED TO ROXANNE",IF(TODAY()&gt;$AB842,"OVERDUE",IF($AB842&lt;=WORKDAY(TODAY(),1,Holidays),"DUE TOMORROW",IF($Z842=4,"ESCALATED TO LOCAL OFFICE",IF($Z842=5,"ESCALATED TO CBE",IF($AA842=TODAY(),"EMAIL SENT","MONITORING"))))))))))</f>
        <v/>
      </c>
      <c r="V842" s="17">
        <f>IF($U842="",IF(AND(COUNTA($A842:$L842)&gt;0,$N842=""),"Awaiting Collection Email time stamp.",""),IF(OR($U842="PAID",$U842="CLOSED"),IF($U842="PAID","Account paid. Action completed.","Account closed. No further action required."),CHOOSE($Z842,"Collection Email","1st Email Follow-up","2nd Email Follow-up","Escalation to Local Office","Escalation to CBE","Escalation to Roxanne")&amp;" sent "&amp;TEXT($AA842,"dd-mmm")&amp;". "&amp;IF($Z842=6,"Final escalation completed.",IF($U842="OVERDUE","Next: "&amp;$AC842&amp;" was due "&amp;TEXT($AB842,"dd-mmm")&amp;" - "&amp;(NETWORKDAYS($AB842,TODAY(),Holidays)-1)&amp;" business day(s) late. Send now.",IF($U842="DUE TOMORROW","Next: "&amp;$AC842&amp;IF($AB842&lt;=TODAY()," is due TODAY ("," is due next business day (")&amp;TEXT($AB842,"dd-mmm")&amp;").","Next: "&amp;$AC842&amp;" due "&amp;TEXT($AB842,"dd-mmm")&amp;" ("&amp;(NETWORKDAYS(TODAY(),$AB842,Holidays)-1)&amp;" business day(s) left).")))))</f>
        <v/>
      </c>
      <c r="W842" s="17">
        <f>IF($Z842="","",CHOOSE($Z842,"Collection Email","1st Follow-up","2nd Follow-up","Local Office","CBE","Roxanne")&amp;IF($Z842=6," - Final"," - Day "&amp;MAX(0,NETWORKDAYS($AA842,TODAY(),Holidays)-1)&amp;" of "&amp;CHOOSE($Z842,3,3,2,2,3))&amp;" | Total Day "&amp;MAX(0,NETWORKDAYS($N842,TODAY(),Holidays)-1))</f>
        <v/>
      </c>
      <c r="X842" s="18"/>
      <c r="Y842" s="18"/>
      <c r="Z842" s="17">
        <f>IF($N842="","",COUNT($N842:$S842))</f>
        <v/>
      </c>
      <c r="AA842" s="19">
        <f>IF($Z842="","",INT(INDEX($N842:$S842,$Z842)))</f>
        <v/>
      </c>
      <c r="AB842" s="19">
        <f>IF(OR($Z842="",$Z842=6),"",WORKDAY($AA842,CHOOSE($Z842,3,3,2,2,3),Holidays))</f>
        <v/>
      </c>
      <c r="AC842" s="17">
        <f>IF(OR($Z842="",$Z842=6),"",CHOOSE($Z842,"1st Email Follow-up","2nd Email Follow-up","Escalate Local Office","Escalate to CBE","Escalate to Roxanne"))</f>
        <v/>
      </c>
    </row>
    <row r="843" spans="13:29">
      <c r="M843" s="14"/>
      <c r="T843" s="16"/>
      <c r="U843" s="17">
        <f>IF(AND(COUNTA($A843:$L843)=0,$N843=""),"",IF($T843="Paid","PAID",IF($T843="Closed","CLOSED",IF($Z843="","",IF($Z843=6,"ESCALATED TO ROXANNE",IF(TODAY()&gt;$AB843,"OVERDUE",IF($AB843&lt;=WORKDAY(TODAY(),1,Holidays),"DUE TOMORROW",IF($Z843=4,"ESCALATED TO LOCAL OFFICE",IF($Z843=5,"ESCALATED TO CBE",IF($AA843=TODAY(),"EMAIL SENT","MONITORING"))))))))))</f>
        <v/>
      </c>
      <c r="V843" s="17">
        <f>IF($U843="",IF(AND(COUNTA($A843:$L843)&gt;0,$N843=""),"Awaiting Collection Email time stamp.",""),IF(OR($U843="PAID",$U843="CLOSED"),IF($U843="PAID","Account paid. Action completed.","Account closed. No further action required."),CHOOSE($Z843,"Collection Email","1st Email Follow-up","2nd Email Follow-up","Escalation to Local Office","Escalation to CBE","Escalation to Roxanne")&amp;" sent "&amp;TEXT($AA843,"dd-mmm")&amp;". "&amp;IF($Z843=6,"Final escalation completed.",IF($U843="OVERDUE","Next: "&amp;$AC843&amp;" was due "&amp;TEXT($AB843,"dd-mmm")&amp;" - "&amp;(NETWORKDAYS($AB843,TODAY(),Holidays)-1)&amp;" business day(s) late. Send now.",IF($U843="DUE TOMORROW","Next: "&amp;$AC843&amp;IF($AB843&lt;=TODAY()," is due TODAY ("," is due next business day (")&amp;TEXT($AB843,"dd-mmm")&amp;").","Next: "&amp;$AC843&amp;" due "&amp;TEXT($AB843,"dd-mmm")&amp;" ("&amp;(NETWORKDAYS(TODAY(),$AB843,Holidays)-1)&amp;" business day(s) left).")))))</f>
        <v/>
      </c>
      <c r="W843" s="17">
        <f>IF($Z843="","",CHOOSE($Z843,"Collection Email","1st Follow-up","2nd Follow-up","Local Office","CBE","Roxanne")&amp;IF($Z843=6," - Final"," - Day "&amp;MAX(0,NETWORKDAYS($AA843,TODAY(),Holidays)-1)&amp;" of "&amp;CHOOSE($Z843,3,3,2,2,3))&amp;" | Total Day "&amp;MAX(0,NETWORKDAYS($N843,TODAY(),Holidays)-1))</f>
        <v/>
      </c>
      <c r="X843" s="18"/>
      <c r="Y843" s="18"/>
      <c r="Z843" s="17">
        <f>IF($N843="","",COUNT($N843:$S843))</f>
        <v/>
      </c>
      <c r="AA843" s="19">
        <f>IF($Z843="","",INT(INDEX($N843:$S843,$Z843)))</f>
        <v/>
      </c>
      <c r="AB843" s="19">
        <f>IF(OR($Z843="",$Z843=6),"",WORKDAY($AA843,CHOOSE($Z843,3,3,2,2,3),Holidays))</f>
        <v/>
      </c>
      <c r="AC843" s="17">
        <f>IF(OR($Z843="",$Z843=6),"",CHOOSE($Z843,"1st Email Follow-up","2nd Email Follow-up","Escalate Local Office","Escalate to CBE","Escalate to Roxanne"))</f>
        <v/>
      </c>
    </row>
    <row r="844" spans="13:29">
      <c r="M844" s="14"/>
      <c r="T844" s="16"/>
      <c r="U844" s="17">
        <f>IF(AND(COUNTA($A844:$L844)=0,$N844=""),"",IF($T844="Paid","PAID",IF($T844="Closed","CLOSED",IF($Z844="","",IF($Z844=6,"ESCALATED TO ROXANNE",IF(TODAY()&gt;$AB844,"OVERDUE",IF($AB844&lt;=WORKDAY(TODAY(),1,Holidays),"DUE TOMORROW",IF($Z844=4,"ESCALATED TO LOCAL OFFICE",IF($Z844=5,"ESCALATED TO CBE",IF($AA844=TODAY(),"EMAIL SENT","MONITORING"))))))))))</f>
        <v/>
      </c>
      <c r="V844" s="17">
        <f>IF($U844="",IF(AND(COUNTA($A844:$L844)&gt;0,$N844=""),"Awaiting Collection Email time stamp.",""),IF(OR($U844="PAID",$U844="CLOSED"),IF($U844="PAID","Account paid. Action completed.","Account closed. No further action required."),CHOOSE($Z844,"Collection Email","1st Email Follow-up","2nd Email Follow-up","Escalation to Local Office","Escalation to CBE","Escalation to Roxanne")&amp;" sent "&amp;TEXT($AA844,"dd-mmm")&amp;". "&amp;IF($Z844=6,"Final escalation completed.",IF($U844="OVERDUE","Next: "&amp;$AC844&amp;" was due "&amp;TEXT($AB844,"dd-mmm")&amp;" - "&amp;(NETWORKDAYS($AB844,TODAY(),Holidays)-1)&amp;" business day(s) late. Send now.",IF($U844="DUE TOMORROW","Next: "&amp;$AC844&amp;IF($AB844&lt;=TODAY()," is due TODAY ("," is due next business day (")&amp;TEXT($AB844,"dd-mmm")&amp;").","Next: "&amp;$AC844&amp;" due "&amp;TEXT($AB844,"dd-mmm")&amp;" ("&amp;(NETWORKDAYS(TODAY(),$AB844,Holidays)-1)&amp;" business day(s) left).")))))</f>
        <v/>
      </c>
      <c r="W844" s="17">
        <f>IF($Z844="","",CHOOSE($Z844,"Collection Email","1st Follow-up","2nd Follow-up","Local Office","CBE","Roxanne")&amp;IF($Z844=6," - Final"," - Day "&amp;MAX(0,NETWORKDAYS($AA844,TODAY(),Holidays)-1)&amp;" of "&amp;CHOOSE($Z844,3,3,2,2,3))&amp;" | Total Day "&amp;MAX(0,NETWORKDAYS($N844,TODAY(),Holidays)-1))</f>
        <v/>
      </c>
      <c r="X844" s="18"/>
      <c r="Y844" s="18"/>
      <c r="Z844" s="17">
        <f>IF($N844="","",COUNT($N844:$S844))</f>
        <v/>
      </c>
      <c r="AA844" s="19">
        <f>IF($Z844="","",INT(INDEX($N844:$S844,$Z844)))</f>
        <v/>
      </c>
      <c r="AB844" s="19">
        <f>IF(OR($Z844="",$Z844=6),"",WORKDAY($AA844,CHOOSE($Z844,3,3,2,2,3),Holidays))</f>
        <v/>
      </c>
      <c r="AC844" s="17">
        <f>IF(OR($Z844="",$Z844=6),"",CHOOSE($Z844,"1st Email Follow-up","2nd Email Follow-up","Escalate Local Office","Escalate to CBE","Escalate to Roxanne"))</f>
        <v/>
      </c>
    </row>
    <row r="845" spans="13:29">
      <c r="M845" s="14"/>
      <c r="T845" s="16"/>
      <c r="U845" s="17">
        <f>IF(AND(COUNTA($A845:$L845)=0,$N845=""),"",IF($T845="Paid","PAID",IF($T845="Closed","CLOSED",IF($Z845="","",IF($Z845=6,"ESCALATED TO ROXANNE",IF(TODAY()&gt;$AB845,"OVERDUE",IF($AB845&lt;=WORKDAY(TODAY(),1,Holidays),"DUE TOMORROW",IF($Z845=4,"ESCALATED TO LOCAL OFFICE",IF($Z845=5,"ESCALATED TO CBE",IF($AA845=TODAY(),"EMAIL SENT","MONITORING"))))))))))</f>
        <v/>
      </c>
      <c r="V845" s="17">
        <f>IF($U845="",IF(AND(COUNTA($A845:$L845)&gt;0,$N845=""),"Awaiting Collection Email time stamp.",""),IF(OR($U845="PAID",$U845="CLOSED"),IF($U845="PAID","Account paid. Action completed.","Account closed. No further action required."),CHOOSE($Z845,"Collection Email","1st Email Follow-up","2nd Email Follow-up","Escalation to Local Office","Escalation to CBE","Escalation to Roxanne")&amp;" sent "&amp;TEXT($AA845,"dd-mmm")&amp;". "&amp;IF($Z845=6,"Final escalation completed.",IF($U845="OVERDUE","Next: "&amp;$AC845&amp;" was due "&amp;TEXT($AB845,"dd-mmm")&amp;" - "&amp;(NETWORKDAYS($AB845,TODAY(),Holidays)-1)&amp;" business day(s) late. Send now.",IF($U845="DUE TOMORROW","Next: "&amp;$AC845&amp;IF($AB845&lt;=TODAY()," is due TODAY ("," is due next business day (")&amp;TEXT($AB845,"dd-mmm")&amp;").","Next: "&amp;$AC845&amp;" due "&amp;TEXT($AB845,"dd-mmm")&amp;" ("&amp;(NETWORKDAYS(TODAY(),$AB845,Holidays)-1)&amp;" business day(s) left).")))))</f>
        <v/>
      </c>
      <c r="W845" s="17">
        <f>IF($Z845="","",CHOOSE($Z845,"Collection Email","1st Follow-up","2nd Follow-up","Local Office","CBE","Roxanne")&amp;IF($Z845=6," - Final"," - Day "&amp;MAX(0,NETWORKDAYS($AA845,TODAY(),Holidays)-1)&amp;" of "&amp;CHOOSE($Z845,3,3,2,2,3))&amp;" | Total Day "&amp;MAX(0,NETWORKDAYS($N845,TODAY(),Holidays)-1))</f>
        <v/>
      </c>
      <c r="X845" s="18"/>
      <c r="Y845" s="18"/>
      <c r="Z845" s="17">
        <f>IF($N845="","",COUNT($N845:$S845))</f>
        <v/>
      </c>
      <c r="AA845" s="19">
        <f>IF($Z845="","",INT(INDEX($N845:$S845,$Z845)))</f>
        <v/>
      </c>
      <c r="AB845" s="19">
        <f>IF(OR($Z845="",$Z845=6),"",WORKDAY($AA845,CHOOSE($Z845,3,3,2,2,3),Holidays))</f>
        <v/>
      </c>
      <c r="AC845" s="17">
        <f>IF(OR($Z845="",$Z845=6),"",CHOOSE($Z845,"1st Email Follow-up","2nd Email Follow-up","Escalate Local Office","Escalate to CBE","Escalate to Roxanne"))</f>
        <v/>
      </c>
    </row>
    <row r="846" spans="13:29">
      <c r="M846" s="14"/>
      <c r="T846" s="16"/>
      <c r="U846" s="17">
        <f>IF(AND(COUNTA($A846:$L846)=0,$N846=""),"",IF($T846="Paid","PAID",IF($T846="Closed","CLOSED",IF($Z846="","",IF($Z846=6,"ESCALATED TO ROXANNE",IF(TODAY()&gt;$AB846,"OVERDUE",IF($AB846&lt;=WORKDAY(TODAY(),1,Holidays),"DUE TOMORROW",IF($Z846=4,"ESCALATED TO LOCAL OFFICE",IF($Z846=5,"ESCALATED TO CBE",IF($AA846=TODAY(),"EMAIL SENT","MONITORING"))))))))))</f>
        <v/>
      </c>
      <c r="V846" s="17">
        <f>IF($U846="",IF(AND(COUNTA($A846:$L846)&gt;0,$N846=""),"Awaiting Collection Email time stamp.",""),IF(OR($U846="PAID",$U846="CLOSED"),IF($U846="PAID","Account paid. Action completed.","Account closed. No further action required."),CHOOSE($Z846,"Collection Email","1st Email Follow-up","2nd Email Follow-up","Escalation to Local Office","Escalation to CBE","Escalation to Roxanne")&amp;" sent "&amp;TEXT($AA846,"dd-mmm")&amp;". "&amp;IF($Z846=6,"Final escalation completed.",IF($U846="OVERDUE","Next: "&amp;$AC846&amp;" was due "&amp;TEXT($AB846,"dd-mmm")&amp;" - "&amp;(NETWORKDAYS($AB846,TODAY(),Holidays)-1)&amp;" business day(s) late. Send now.",IF($U846="DUE TOMORROW","Next: "&amp;$AC846&amp;IF($AB846&lt;=TODAY()," is due TODAY ("," is due next business day (")&amp;TEXT($AB846,"dd-mmm")&amp;").","Next: "&amp;$AC846&amp;" due "&amp;TEXT($AB846,"dd-mmm")&amp;" ("&amp;(NETWORKDAYS(TODAY(),$AB846,Holidays)-1)&amp;" business day(s) left).")))))</f>
        <v/>
      </c>
      <c r="W846" s="17">
        <f>IF($Z846="","",CHOOSE($Z846,"Collection Email","1st Follow-up","2nd Follow-up","Local Office","CBE","Roxanne")&amp;IF($Z846=6," - Final"," - Day "&amp;MAX(0,NETWORKDAYS($AA846,TODAY(),Holidays)-1)&amp;" of "&amp;CHOOSE($Z846,3,3,2,2,3))&amp;" | Total Day "&amp;MAX(0,NETWORKDAYS($N846,TODAY(),Holidays)-1))</f>
        <v/>
      </c>
      <c r="X846" s="18"/>
      <c r="Y846" s="18"/>
      <c r="Z846" s="17">
        <f>IF($N846="","",COUNT($N846:$S846))</f>
        <v/>
      </c>
      <c r="AA846" s="19">
        <f>IF($Z846="","",INT(INDEX($N846:$S846,$Z846)))</f>
        <v/>
      </c>
      <c r="AB846" s="19">
        <f>IF(OR($Z846="",$Z846=6),"",WORKDAY($AA846,CHOOSE($Z846,3,3,2,2,3),Holidays))</f>
        <v/>
      </c>
      <c r="AC846" s="17">
        <f>IF(OR($Z846="",$Z846=6),"",CHOOSE($Z846,"1st Email Follow-up","2nd Email Follow-up","Escalate Local Office","Escalate to CBE","Escalate to Roxanne"))</f>
        <v/>
      </c>
    </row>
    <row r="847" spans="13:29">
      <c r="M847" s="14"/>
      <c r="T847" s="16"/>
      <c r="U847" s="17">
        <f>IF(AND(COUNTA($A847:$L847)=0,$N847=""),"",IF($T847="Paid","PAID",IF($T847="Closed","CLOSED",IF($Z847="","",IF($Z847=6,"ESCALATED TO ROXANNE",IF(TODAY()&gt;$AB847,"OVERDUE",IF($AB847&lt;=WORKDAY(TODAY(),1,Holidays),"DUE TOMORROW",IF($Z847=4,"ESCALATED TO LOCAL OFFICE",IF($Z847=5,"ESCALATED TO CBE",IF($AA847=TODAY(),"EMAIL SENT","MONITORING"))))))))))</f>
        <v/>
      </c>
      <c r="V847" s="17">
        <f>IF($U847="",IF(AND(COUNTA($A847:$L847)&gt;0,$N847=""),"Awaiting Collection Email time stamp.",""),IF(OR($U847="PAID",$U847="CLOSED"),IF($U847="PAID","Account paid. Action completed.","Account closed. No further action required."),CHOOSE($Z847,"Collection Email","1st Email Follow-up","2nd Email Follow-up","Escalation to Local Office","Escalation to CBE","Escalation to Roxanne")&amp;" sent "&amp;TEXT($AA847,"dd-mmm")&amp;". "&amp;IF($Z847=6,"Final escalation completed.",IF($U847="OVERDUE","Next: "&amp;$AC847&amp;" was due "&amp;TEXT($AB847,"dd-mmm")&amp;" - "&amp;(NETWORKDAYS($AB847,TODAY(),Holidays)-1)&amp;" business day(s) late. Send now.",IF($U847="DUE TOMORROW","Next: "&amp;$AC847&amp;IF($AB847&lt;=TODAY()," is due TODAY ("," is due next business day (")&amp;TEXT($AB847,"dd-mmm")&amp;").","Next: "&amp;$AC847&amp;" due "&amp;TEXT($AB847,"dd-mmm")&amp;" ("&amp;(NETWORKDAYS(TODAY(),$AB847,Holidays)-1)&amp;" business day(s) left).")))))</f>
        <v/>
      </c>
      <c r="W847" s="17">
        <f>IF($Z847="","",CHOOSE($Z847,"Collection Email","1st Follow-up","2nd Follow-up","Local Office","CBE","Roxanne")&amp;IF($Z847=6," - Final"," - Day "&amp;MAX(0,NETWORKDAYS($AA847,TODAY(),Holidays)-1)&amp;" of "&amp;CHOOSE($Z847,3,3,2,2,3))&amp;" | Total Day "&amp;MAX(0,NETWORKDAYS($N847,TODAY(),Holidays)-1))</f>
        <v/>
      </c>
      <c r="X847" s="18"/>
      <c r="Y847" s="18"/>
      <c r="Z847" s="17">
        <f>IF($N847="","",COUNT($N847:$S847))</f>
        <v/>
      </c>
      <c r="AA847" s="19">
        <f>IF($Z847="","",INT(INDEX($N847:$S847,$Z847)))</f>
        <v/>
      </c>
      <c r="AB847" s="19">
        <f>IF(OR($Z847="",$Z847=6),"",WORKDAY($AA847,CHOOSE($Z847,3,3,2,2,3),Holidays))</f>
        <v/>
      </c>
      <c r="AC847" s="17">
        <f>IF(OR($Z847="",$Z847=6),"",CHOOSE($Z847,"1st Email Follow-up","2nd Email Follow-up","Escalate Local Office","Escalate to CBE","Escalate to Roxanne"))</f>
        <v/>
      </c>
    </row>
    <row r="848" spans="13:29">
      <c r="M848" s="14"/>
      <c r="T848" s="16"/>
      <c r="U848" s="17">
        <f>IF(AND(COUNTA($A848:$L848)=0,$N848=""),"",IF($T848="Paid","PAID",IF($T848="Closed","CLOSED",IF($Z848="","",IF($Z848=6,"ESCALATED TO ROXANNE",IF(TODAY()&gt;$AB848,"OVERDUE",IF($AB848&lt;=WORKDAY(TODAY(),1,Holidays),"DUE TOMORROW",IF($Z848=4,"ESCALATED TO LOCAL OFFICE",IF($Z848=5,"ESCALATED TO CBE",IF($AA848=TODAY(),"EMAIL SENT","MONITORING"))))))))))</f>
        <v/>
      </c>
      <c r="V848" s="17">
        <f>IF($U848="",IF(AND(COUNTA($A848:$L848)&gt;0,$N848=""),"Awaiting Collection Email time stamp.",""),IF(OR($U848="PAID",$U848="CLOSED"),IF($U848="PAID","Account paid. Action completed.","Account closed. No further action required."),CHOOSE($Z848,"Collection Email","1st Email Follow-up","2nd Email Follow-up","Escalation to Local Office","Escalation to CBE","Escalation to Roxanne")&amp;" sent "&amp;TEXT($AA848,"dd-mmm")&amp;". "&amp;IF($Z848=6,"Final escalation completed.",IF($U848="OVERDUE","Next: "&amp;$AC848&amp;" was due "&amp;TEXT($AB848,"dd-mmm")&amp;" - "&amp;(NETWORKDAYS($AB848,TODAY(),Holidays)-1)&amp;" business day(s) late. Send now.",IF($U848="DUE TOMORROW","Next: "&amp;$AC848&amp;IF($AB848&lt;=TODAY()," is due TODAY ("," is due next business day (")&amp;TEXT($AB848,"dd-mmm")&amp;").","Next: "&amp;$AC848&amp;" due "&amp;TEXT($AB848,"dd-mmm")&amp;" ("&amp;(NETWORKDAYS(TODAY(),$AB848,Holidays)-1)&amp;" business day(s) left).")))))</f>
        <v/>
      </c>
      <c r="W848" s="17">
        <f>IF($Z848="","",CHOOSE($Z848,"Collection Email","1st Follow-up","2nd Follow-up","Local Office","CBE","Roxanne")&amp;IF($Z848=6," - Final"," - Day "&amp;MAX(0,NETWORKDAYS($AA848,TODAY(),Holidays)-1)&amp;" of "&amp;CHOOSE($Z848,3,3,2,2,3))&amp;" | Total Day "&amp;MAX(0,NETWORKDAYS($N848,TODAY(),Holidays)-1))</f>
        <v/>
      </c>
      <c r="X848" s="18"/>
      <c r="Y848" s="18"/>
      <c r="Z848" s="17">
        <f>IF($N848="","",COUNT($N848:$S848))</f>
        <v/>
      </c>
      <c r="AA848" s="19">
        <f>IF($Z848="","",INT(INDEX($N848:$S848,$Z848)))</f>
        <v/>
      </c>
      <c r="AB848" s="19">
        <f>IF(OR($Z848="",$Z848=6),"",WORKDAY($AA848,CHOOSE($Z848,3,3,2,2,3),Holidays))</f>
        <v/>
      </c>
      <c r="AC848" s="17">
        <f>IF(OR($Z848="",$Z848=6),"",CHOOSE($Z848,"1st Email Follow-up","2nd Email Follow-up","Escalate Local Office","Escalate to CBE","Escalate to Roxanne"))</f>
        <v/>
      </c>
    </row>
    <row r="849" spans="13:29">
      <c r="M849" s="14"/>
      <c r="T849" s="16"/>
      <c r="U849" s="17">
        <f>IF(AND(COUNTA($A849:$L849)=0,$N849=""),"",IF($T849="Paid","PAID",IF($T849="Closed","CLOSED",IF($Z849="","",IF($Z849=6,"ESCALATED TO ROXANNE",IF(TODAY()&gt;$AB849,"OVERDUE",IF($AB849&lt;=WORKDAY(TODAY(),1,Holidays),"DUE TOMORROW",IF($Z849=4,"ESCALATED TO LOCAL OFFICE",IF($Z849=5,"ESCALATED TO CBE",IF($AA849=TODAY(),"EMAIL SENT","MONITORING"))))))))))</f>
        <v/>
      </c>
      <c r="V849" s="17">
        <f>IF($U849="",IF(AND(COUNTA($A849:$L849)&gt;0,$N849=""),"Awaiting Collection Email time stamp.",""),IF(OR($U849="PAID",$U849="CLOSED"),IF($U849="PAID","Account paid. Action completed.","Account closed. No further action required."),CHOOSE($Z849,"Collection Email","1st Email Follow-up","2nd Email Follow-up","Escalation to Local Office","Escalation to CBE","Escalation to Roxanne")&amp;" sent "&amp;TEXT($AA849,"dd-mmm")&amp;". "&amp;IF($Z849=6,"Final escalation completed.",IF($U849="OVERDUE","Next: "&amp;$AC849&amp;" was due "&amp;TEXT($AB849,"dd-mmm")&amp;" - "&amp;(NETWORKDAYS($AB849,TODAY(),Holidays)-1)&amp;" business day(s) late. Send now.",IF($U849="DUE TOMORROW","Next: "&amp;$AC849&amp;IF($AB849&lt;=TODAY()," is due TODAY ("," is due next business day (")&amp;TEXT($AB849,"dd-mmm")&amp;").","Next: "&amp;$AC849&amp;" due "&amp;TEXT($AB849,"dd-mmm")&amp;" ("&amp;(NETWORKDAYS(TODAY(),$AB849,Holidays)-1)&amp;" business day(s) left).")))))</f>
        <v/>
      </c>
      <c r="W849" s="17">
        <f>IF($Z849="","",CHOOSE($Z849,"Collection Email","1st Follow-up","2nd Follow-up","Local Office","CBE","Roxanne")&amp;IF($Z849=6," - Final"," - Day "&amp;MAX(0,NETWORKDAYS($AA849,TODAY(),Holidays)-1)&amp;" of "&amp;CHOOSE($Z849,3,3,2,2,3))&amp;" | Total Day "&amp;MAX(0,NETWORKDAYS($N849,TODAY(),Holidays)-1))</f>
        <v/>
      </c>
      <c r="X849" s="18"/>
      <c r="Y849" s="18"/>
      <c r="Z849" s="17">
        <f>IF($N849="","",COUNT($N849:$S849))</f>
        <v/>
      </c>
      <c r="AA849" s="19">
        <f>IF($Z849="","",INT(INDEX($N849:$S849,$Z849)))</f>
        <v/>
      </c>
      <c r="AB849" s="19">
        <f>IF(OR($Z849="",$Z849=6),"",WORKDAY($AA849,CHOOSE($Z849,3,3,2,2,3),Holidays))</f>
        <v/>
      </c>
      <c r="AC849" s="17">
        <f>IF(OR($Z849="",$Z849=6),"",CHOOSE($Z849,"1st Email Follow-up","2nd Email Follow-up","Escalate Local Office","Escalate to CBE","Escalate to Roxanne"))</f>
        <v/>
      </c>
    </row>
    <row r="850" spans="13:29">
      <c r="M850" s="14"/>
      <c r="T850" s="16"/>
      <c r="U850" s="17">
        <f>IF(AND(COUNTA($A850:$L850)=0,$N850=""),"",IF($T850="Paid","PAID",IF($T850="Closed","CLOSED",IF($Z850="","",IF($Z850=6,"ESCALATED TO ROXANNE",IF(TODAY()&gt;$AB850,"OVERDUE",IF($AB850&lt;=WORKDAY(TODAY(),1,Holidays),"DUE TOMORROW",IF($Z850=4,"ESCALATED TO LOCAL OFFICE",IF($Z850=5,"ESCALATED TO CBE",IF($AA850=TODAY(),"EMAIL SENT","MONITORING"))))))))))</f>
        <v/>
      </c>
      <c r="V850" s="17">
        <f>IF($U850="",IF(AND(COUNTA($A850:$L850)&gt;0,$N850=""),"Awaiting Collection Email time stamp.",""),IF(OR($U850="PAID",$U850="CLOSED"),IF($U850="PAID","Account paid. Action completed.","Account closed. No further action required."),CHOOSE($Z850,"Collection Email","1st Email Follow-up","2nd Email Follow-up","Escalation to Local Office","Escalation to CBE","Escalation to Roxanne")&amp;" sent "&amp;TEXT($AA850,"dd-mmm")&amp;". "&amp;IF($Z850=6,"Final escalation completed.",IF($U850="OVERDUE","Next: "&amp;$AC850&amp;" was due "&amp;TEXT($AB850,"dd-mmm")&amp;" - "&amp;(NETWORKDAYS($AB850,TODAY(),Holidays)-1)&amp;" business day(s) late. Send now.",IF($U850="DUE TOMORROW","Next: "&amp;$AC850&amp;IF($AB850&lt;=TODAY()," is due TODAY ("," is due next business day (")&amp;TEXT($AB850,"dd-mmm")&amp;").","Next: "&amp;$AC850&amp;" due "&amp;TEXT($AB850,"dd-mmm")&amp;" ("&amp;(NETWORKDAYS(TODAY(),$AB850,Holidays)-1)&amp;" business day(s) left).")))))</f>
        <v/>
      </c>
      <c r="W850" s="17">
        <f>IF($Z850="","",CHOOSE($Z850,"Collection Email","1st Follow-up","2nd Follow-up","Local Office","CBE","Roxanne")&amp;IF($Z850=6," - Final"," - Day "&amp;MAX(0,NETWORKDAYS($AA850,TODAY(),Holidays)-1)&amp;" of "&amp;CHOOSE($Z850,3,3,2,2,3))&amp;" | Total Day "&amp;MAX(0,NETWORKDAYS($N850,TODAY(),Holidays)-1))</f>
        <v/>
      </c>
      <c r="X850" s="18"/>
      <c r="Y850" s="18"/>
      <c r="Z850" s="17">
        <f>IF($N850="","",COUNT($N850:$S850))</f>
        <v/>
      </c>
      <c r="AA850" s="19">
        <f>IF($Z850="","",INT(INDEX($N850:$S850,$Z850)))</f>
        <v/>
      </c>
      <c r="AB850" s="19">
        <f>IF(OR($Z850="",$Z850=6),"",WORKDAY($AA850,CHOOSE($Z850,3,3,2,2,3),Holidays))</f>
        <v/>
      </c>
      <c r="AC850" s="17">
        <f>IF(OR($Z850="",$Z850=6),"",CHOOSE($Z850,"1st Email Follow-up","2nd Email Follow-up","Escalate Local Office","Escalate to CBE","Escalate to Roxanne"))</f>
        <v/>
      </c>
    </row>
    <row r="851" spans="13:29">
      <c r="M851" s="14"/>
      <c r="T851" s="16"/>
      <c r="U851" s="17">
        <f>IF(AND(COUNTA($A851:$L851)=0,$N851=""),"",IF($T851="Paid","PAID",IF($T851="Closed","CLOSED",IF($Z851="","",IF($Z851=6,"ESCALATED TO ROXANNE",IF(TODAY()&gt;$AB851,"OVERDUE",IF($AB851&lt;=WORKDAY(TODAY(),1,Holidays),"DUE TOMORROW",IF($Z851=4,"ESCALATED TO LOCAL OFFICE",IF($Z851=5,"ESCALATED TO CBE",IF($AA851=TODAY(),"EMAIL SENT","MONITORING"))))))))))</f>
        <v/>
      </c>
      <c r="V851" s="17">
        <f>IF($U851="",IF(AND(COUNTA($A851:$L851)&gt;0,$N851=""),"Awaiting Collection Email time stamp.",""),IF(OR($U851="PAID",$U851="CLOSED"),IF($U851="PAID","Account paid. Action completed.","Account closed. No further action required."),CHOOSE($Z851,"Collection Email","1st Email Follow-up","2nd Email Follow-up","Escalation to Local Office","Escalation to CBE","Escalation to Roxanne")&amp;" sent "&amp;TEXT($AA851,"dd-mmm")&amp;". "&amp;IF($Z851=6,"Final escalation completed.",IF($U851="OVERDUE","Next: "&amp;$AC851&amp;" was due "&amp;TEXT($AB851,"dd-mmm")&amp;" - "&amp;(NETWORKDAYS($AB851,TODAY(),Holidays)-1)&amp;" business day(s) late. Send now.",IF($U851="DUE TOMORROW","Next: "&amp;$AC851&amp;IF($AB851&lt;=TODAY()," is due TODAY ("," is due next business day (")&amp;TEXT($AB851,"dd-mmm")&amp;").","Next: "&amp;$AC851&amp;" due "&amp;TEXT($AB851,"dd-mmm")&amp;" ("&amp;(NETWORKDAYS(TODAY(),$AB851,Holidays)-1)&amp;" business day(s) left).")))))</f>
        <v/>
      </c>
      <c r="W851" s="17">
        <f>IF($Z851="","",CHOOSE($Z851,"Collection Email","1st Follow-up","2nd Follow-up","Local Office","CBE","Roxanne")&amp;IF($Z851=6," - Final"," - Day "&amp;MAX(0,NETWORKDAYS($AA851,TODAY(),Holidays)-1)&amp;" of "&amp;CHOOSE($Z851,3,3,2,2,3))&amp;" | Total Day "&amp;MAX(0,NETWORKDAYS($N851,TODAY(),Holidays)-1))</f>
        <v/>
      </c>
      <c r="X851" s="18"/>
      <c r="Y851" s="18"/>
      <c r="Z851" s="17">
        <f>IF($N851="","",COUNT($N851:$S851))</f>
        <v/>
      </c>
      <c r="AA851" s="19">
        <f>IF($Z851="","",INT(INDEX($N851:$S851,$Z851)))</f>
        <v/>
      </c>
      <c r="AB851" s="19">
        <f>IF(OR($Z851="",$Z851=6),"",WORKDAY($AA851,CHOOSE($Z851,3,3,2,2,3),Holidays))</f>
        <v/>
      </c>
      <c r="AC851" s="17">
        <f>IF(OR($Z851="",$Z851=6),"",CHOOSE($Z851,"1st Email Follow-up","2nd Email Follow-up","Escalate Local Office","Escalate to CBE","Escalate to Roxanne"))</f>
        <v/>
      </c>
    </row>
    <row r="852" spans="13:29">
      <c r="M852" s="14"/>
      <c r="T852" s="16"/>
      <c r="U852" s="17">
        <f>IF(AND(COUNTA($A852:$L852)=0,$N852=""),"",IF($T852="Paid","PAID",IF($T852="Closed","CLOSED",IF($Z852="","",IF($Z852=6,"ESCALATED TO ROXANNE",IF(TODAY()&gt;$AB852,"OVERDUE",IF($AB852&lt;=WORKDAY(TODAY(),1,Holidays),"DUE TOMORROW",IF($Z852=4,"ESCALATED TO LOCAL OFFICE",IF($Z852=5,"ESCALATED TO CBE",IF($AA852=TODAY(),"EMAIL SENT","MONITORING"))))))))))</f>
        <v/>
      </c>
      <c r="V852" s="17">
        <f>IF($U852="",IF(AND(COUNTA($A852:$L852)&gt;0,$N852=""),"Awaiting Collection Email time stamp.",""),IF(OR($U852="PAID",$U852="CLOSED"),IF($U852="PAID","Account paid. Action completed.","Account closed. No further action required."),CHOOSE($Z852,"Collection Email","1st Email Follow-up","2nd Email Follow-up","Escalation to Local Office","Escalation to CBE","Escalation to Roxanne")&amp;" sent "&amp;TEXT($AA852,"dd-mmm")&amp;". "&amp;IF($Z852=6,"Final escalation completed.",IF($U852="OVERDUE","Next: "&amp;$AC852&amp;" was due "&amp;TEXT($AB852,"dd-mmm")&amp;" - "&amp;(NETWORKDAYS($AB852,TODAY(),Holidays)-1)&amp;" business day(s) late. Send now.",IF($U852="DUE TOMORROW","Next: "&amp;$AC852&amp;IF($AB852&lt;=TODAY()," is due TODAY ("," is due next business day (")&amp;TEXT($AB852,"dd-mmm")&amp;").","Next: "&amp;$AC852&amp;" due "&amp;TEXT($AB852,"dd-mmm")&amp;" ("&amp;(NETWORKDAYS(TODAY(),$AB852,Holidays)-1)&amp;" business day(s) left).")))))</f>
        <v/>
      </c>
      <c r="W852" s="17">
        <f>IF($Z852="","",CHOOSE($Z852,"Collection Email","1st Follow-up","2nd Follow-up","Local Office","CBE","Roxanne")&amp;IF($Z852=6," - Final"," - Day "&amp;MAX(0,NETWORKDAYS($AA852,TODAY(),Holidays)-1)&amp;" of "&amp;CHOOSE($Z852,3,3,2,2,3))&amp;" | Total Day "&amp;MAX(0,NETWORKDAYS($N852,TODAY(),Holidays)-1))</f>
        <v/>
      </c>
      <c r="X852" s="18"/>
      <c r="Y852" s="18"/>
      <c r="Z852" s="17">
        <f>IF($N852="","",COUNT($N852:$S852))</f>
        <v/>
      </c>
      <c r="AA852" s="19">
        <f>IF($Z852="","",INT(INDEX($N852:$S852,$Z852)))</f>
        <v/>
      </c>
      <c r="AB852" s="19">
        <f>IF(OR($Z852="",$Z852=6),"",WORKDAY($AA852,CHOOSE($Z852,3,3,2,2,3),Holidays))</f>
        <v/>
      </c>
      <c r="AC852" s="17">
        <f>IF(OR($Z852="",$Z852=6),"",CHOOSE($Z852,"1st Email Follow-up","2nd Email Follow-up","Escalate Local Office","Escalate to CBE","Escalate to Roxanne"))</f>
        <v/>
      </c>
    </row>
    <row r="853" spans="13:29">
      <c r="M853" s="14"/>
      <c r="T853" s="16"/>
      <c r="U853" s="17">
        <f>IF(AND(COUNTA($A853:$L853)=0,$N853=""),"",IF($T853="Paid","PAID",IF($T853="Closed","CLOSED",IF($Z853="","",IF($Z853=6,"ESCALATED TO ROXANNE",IF(TODAY()&gt;$AB853,"OVERDUE",IF($AB853&lt;=WORKDAY(TODAY(),1,Holidays),"DUE TOMORROW",IF($Z853=4,"ESCALATED TO LOCAL OFFICE",IF($Z853=5,"ESCALATED TO CBE",IF($AA853=TODAY(),"EMAIL SENT","MONITORING"))))))))))</f>
        <v/>
      </c>
      <c r="V853" s="17">
        <f>IF($U853="",IF(AND(COUNTA($A853:$L853)&gt;0,$N853=""),"Awaiting Collection Email time stamp.",""),IF(OR($U853="PAID",$U853="CLOSED"),IF($U853="PAID","Account paid. Action completed.","Account closed. No further action required."),CHOOSE($Z853,"Collection Email","1st Email Follow-up","2nd Email Follow-up","Escalation to Local Office","Escalation to CBE","Escalation to Roxanne")&amp;" sent "&amp;TEXT($AA853,"dd-mmm")&amp;". "&amp;IF($Z853=6,"Final escalation completed.",IF($U853="OVERDUE","Next: "&amp;$AC853&amp;" was due "&amp;TEXT($AB853,"dd-mmm")&amp;" - "&amp;(NETWORKDAYS($AB853,TODAY(),Holidays)-1)&amp;" business day(s) late. Send now.",IF($U853="DUE TOMORROW","Next: "&amp;$AC853&amp;IF($AB853&lt;=TODAY()," is due TODAY ("," is due next business day (")&amp;TEXT($AB853,"dd-mmm")&amp;").","Next: "&amp;$AC853&amp;" due "&amp;TEXT($AB853,"dd-mmm")&amp;" ("&amp;(NETWORKDAYS(TODAY(),$AB853,Holidays)-1)&amp;" business day(s) left).")))))</f>
        <v/>
      </c>
      <c r="W853" s="17">
        <f>IF($Z853="","",CHOOSE($Z853,"Collection Email","1st Follow-up","2nd Follow-up","Local Office","CBE","Roxanne")&amp;IF($Z853=6," - Final"," - Day "&amp;MAX(0,NETWORKDAYS($AA853,TODAY(),Holidays)-1)&amp;" of "&amp;CHOOSE($Z853,3,3,2,2,3))&amp;" | Total Day "&amp;MAX(0,NETWORKDAYS($N853,TODAY(),Holidays)-1))</f>
        <v/>
      </c>
      <c r="X853" s="18"/>
      <c r="Y853" s="18"/>
      <c r="Z853" s="17">
        <f>IF($N853="","",COUNT($N853:$S853))</f>
        <v/>
      </c>
      <c r="AA853" s="19">
        <f>IF($Z853="","",INT(INDEX($N853:$S853,$Z853)))</f>
        <v/>
      </c>
      <c r="AB853" s="19">
        <f>IF(OR($Z853="",$Z853=6),"",WORKDAY($AA853,CHOOSE($Z853,3,3,2,2,3),Holidays))</f>
        <v/>
      </c>
      <c r="AC853" s="17">
        <f>IF(OR($Z853="",$Z853=6),"",CHOOSE($Z853,"1st Email Follow-up","2nd Email Follow-up","Escalate Local Office","Escalate to CBE","Escalate to Roxanne"))</f>
        <v/>
      </c>
    </row>
    <row r="854" spans="13:29">
      <c r="M854" s="14"/>
      <c r="T854" s="16"/>
      <c r="U854" s="17">
        <f>IF(AND(COUNTA($A854:$L854)=0,$N854=""),"",IF($T854="Paid","PAID",IF($T854="Closed","CLOSED",IF($Z854="","",IF($Z854=6,"ESCALATED TO ROXANNE",IF(TODAY()&gt;$AB854,"OVERDUE",IF($AB854&lt;=WORKDAY(TODAY(),1,Holidays),"DUE TOMORROW",IF($Z854=4,"ESCALATED TO LOCAL OFFICE",IF($Z854=5,"ESCALATED TO CBE",IF($AA854=TODAY(),"EMAIL SENT","MONITORING"))))))))))</f>
        <v/>
      </c>
      <c r="V854" s="17">
        <f>IF($U854="",IF(AND(COUNTA($A854:$L854)&gt;0,$N854=""),"Awaiting Collection Email time stamp.",""),IF(OR($U854="PAID",$U854="CLOSED"),IF($U854="PAID","Account paid. Action completed.","Account closed. No further action required."),CHOOSE($Z854,"Collection Email","1st Email Follow-up","2nd Email Follow-up","Escalation to Local Office","Escalation to CBE","Escalation to Roxanne")&amp;" sent "&amp;TEXT($AA854,"dd-mmm")&amp;". "&amp;IF($Z854=6,"Final escalation completed.",IF($U854="OVERDUE","Next: "&amp;$AC854&amp;" was due "&amp;TEXT($AB854,"dd-mmm")&amp;" - "&amp;(NETWORKDAYS($AB854,TODAY(),Holidays)-1)&amp;" business day(s) late. Send now.",IF($U854="DUE TOMORROW","Next: "&amp;$AC854&amp;IF($AB854&lt;=TODAY()," is due TODAY ("," is due next business day (")&amp;TEXT($AB854,"dd-mmm")&amp;").","Next: "&amp;$AC854&amp;" due "&amp;TEXT($AB854,"dd-mmm")&amp;" ("&amp;(NETWORKDAYS(TODAY(),$AB854,Holidays)-1)&amp;" business day(s) left).")))))</f>
        <v/>
      </c>
      <c r="W854" s="17">
        <f>IF($Z854="","",CHOOSE($Z854,"Collection Email","1st Follow-up","2nd Follow-up","Local Office","CBE","Roxanne")&amp;IF($Z854=6," - Final"," - Day "&amp;MAX(0,NETWORKDAYS($AA854,TODAY(),Holidays)-1)&amp;" of "&amp;CHOOSE($Z854,3,3,2,2,3))&amp;" | Total Day "&amp;MAX(0,NETWORKDAYS($N854,TODAY(),Holidays)-1))</f>
        <v/>
      </c>
      <c r="X854" s="18"/>
      <c r="Y854" s="18"/>
      <c r="Z854" s="17">
        <f>IF($N854="","",COUNT($N854:$S854))</f>
        <v/>
      </c>
      <c r="AA854" s="19">
        <f>IF($Z854="","",INT(INDEX($N854:$S854,$Z854)))</f>
        <v/>
      </c>
      <c r="AB854" s="19">
        <f>IF(OR($Z854="",$Z854=6),"",WORKDAY($AA854,CHOOSE($Z854,3,3,2,2,3),Holidays))</f>
        <v/>
      </c>
      <c r="AC854" s="17">
        <f>IF(OR($Z854="",$Z854=6),"",CHOOSE($Z854,"1st Email Follow-up","2nd Email Follow-up","Escalate Local Office","Escalate to CBE","Escalate to Roxanne"))</f>
        <v/>
      </c>
    </row>
    <row r="855" spans="13:29">
      <c r="M855" s="14"/>
      <c r="T855" s="16"/>
      <c r="U855" s="17">
        <f>IF(AND(COUNTA($A855:$L855)=0,$N855=""),"",IF($T855="Paid","PAID",IF($T855="Closed","CLOSED",IF($Z855="","",IF($Z855=6,"ESCALATED TO ROXANNE",IF(TODAY()&gt;$AB855,"OVERDUE",IF($AB855&lt;=WORKDAY(TODAY(),1,Holidays),"DUE TOMORROW",IF($Z855=4,"ESCALATED TO LOCAL OFFICE",IF($Z855=5,"ESCALATED TO CBE",IF($AA855=TODAY(),"EMAIL SENT","MONITORING"))))))))))</f>
        <v/>
      </c>
      <c r="V855" s="17">
        <f>IF($U855="",IF(AND(COUNTA($A855:$L855)&gt;0,$N855=""),"Awaiting Collection Email time stamp.",""),IF(OR($U855="PAID",$U855="CLOSED"),IF($U855="PAID","Account paid. Action completed.","Account closed. No further action required."),CHOOSE($Z855,"Collection Email","1st Email Follow-up","2nd Email Follow-up","Escalation to Local Office","Escalation to CBE","Escalation to Roxanne")&amp;" sent "&amp;TEXT($AA855,"dd-mmm")&amp;". "&amp;IF($Z855=6,"Final escalation completed.",IF($U855="OVERDUE","Next: "&amp;$AC855&amp;" was due "&amp;TEXT($AB855,"dd-mmm")&amp;" - "&amp;(NETWORKDAYS($AB855,TODAY(),Holidays)-1)&amp;" business day(s) late. Send now.",IF($U855="DUE TOMORROW","Next: "&amp;$AC855&amp;IF($AB855&lt;=TODAY()," is due TODAY ("," is due next business day (")&amp;TEXT($AB855,"dd-mmm")&amp;").","Next: "&amp;$AC855&amp;" due "&amp;TEXT($AB855,"dd-mmm")&amp;" ("&amp;(NETWORKDAYS(TODAY(),$AB855,Holidays)-1)&amp;" business day(s) left).")))))</f>
        <v/>
      </c>
      <c r="W855" s="17">
        <f>IF($Z855="","",CHOOSE($Z855,"Collection Email","1st Follow-up","2nd Follow-up","Local Office","CBE","Roxanne")&amp;IF($Z855=6," - Final"," - Day "&amp;MAX(0,NETWORKDAYS($AA855,TODAY(),Holidays)-1)&amp;" of "&amp;CHOOSE($Z855,3,3,2,2,3))&amp;" | Total Day "&amp;MAX(0,NETWORKDAYS($N855,TODAY(),Holidays)-1))</f>
        <v/>
      </c>
      <c r="X855" s="18"/>
      <c r="Y855" s="18"/>
      <c r="Z855" s="17">
        <f>IF($N855="","",COUNT($N855:$S855))</f>
        <v/>
      </c>
      <c r="AA855" s="19">
        <f>IF($Z855="","",INT(INDEX($N855:$S855,$Z855)))</f>
        <v/>
      </c>
      <c r="AB855" s="19">
        <f>IF(OR($Z855="",$Z855=6),"",WORKDAY($AA855,CHOOSE($Z855,3,3,2,2,3),Holidays))</f>
        <v/>
      </c>
      <c r="AC855" s="17">
        <f>IF(OR($Z855="",$Z855=6),"",CHOOSE($Z855,"1st Email Follow-up","2nd Email Follow-up","Escalate Local Office","Escalate to CBE","Escalate to Roxanne"))</f>
        <v/>
      </c>
    </row>
    <row r="856" spans="13:29">
      <c r="M856" s="14"/>
      <c r="T856" s="16"/>
      <c r="U856" s="17">
        <f>IF(AND(COUNTA($A856:$L856)=0,$N856=""),"",IF($T856="Paid","PAID",IF($T856="Closed","CLOSED",IF($Z856="","",IF($Z856=6,"ESCALATED TO ROXANNE",IF(TODAY()&gt;$AB856,"OVERDUE",IF($AB856&lt;=WORKDAY(TODAY(),1,Holidays),"DUE TOMORROW",IF($Z856=4,"ESCALATED TO LOCAL OFFICE",IF($Z856=5,"ESCALATED TO CBE",IF($AA856=TODAY(),"EMAIL SENT","MONITORING"))))))))))</f>
        <v/>
      </c>
      <c r="V856" s="17">
        <f>IF($U856="",IF(AND(COUNTA($A856:$L856)&gt;0,$N856=""),"Awaiting Collection Email time stamp.",""),IF(OR($U856="PAID",$U856="CLOSED"),IF($U856="PAID","Account paid. Action completed.","Account closed. No further action required."),CHOOSE($Z856,"Collection Email","1st Email Follow-up","2nd Email Follow-up","Escalation to Local Office","Escalation to CBE","Escalation to Roxanne")&amp;" sent "&amp;TEXT($AA856,"dd-mmm")&amp;". "&amp;IF($Z856=6,"Final escalation completed.",IF($U856="OVERDUE","Next: "&amp;$AC856&amp;" was due "&amp;TEXT($AB856,"dd-mmm")&amp;" - "&amp;(NETWORKDAYS($AB856,TODAY(),Holidays)-1)&amp;" business day(s) late. Send now.",IF($U856="DUE TOMORROW","Next: "&amp;$AC856&amp;IF($AB856&lt;=TODAY()," is due TODAY ("," is due next business day (")&amp;TEXT($AB856,"dd-mmm")&amp;").","Next: "&amp;$AC856&amp;" due "&amp;TEXT($AB856,"dd-mmm")&amp;" ("&amp;(NETWORKDAYS(TODAY(),$AB856,Holidays)-1)&amp;" business day(s) left).")))))</f>
        <v/>
      </c>
      <c r="W856" s="17">
        <f>IF($Z856="","",CHOOSE($Z856,"Collection Email","1st Follow-up","2nd Follow-up","Local Office","CBE","Roxanne")&amp;IF($Z856=6," - Final"," - Day "&amp;MAX(0,NETWORKDAYS($AA856,TODAY(),Holidays)-1)&amp;" of "&amp;CHOOSE($Z856,3,3,2,2,3))&amp;" | Total Day "&amp;MAX(0,NETWORKDAYS($N856,TODAY(),Holidays)-1))</f>
        <v/>
      </c>
      <c r="X856" s="18"/>
      <c r="Y856" s="18"/>
      <c r="Z856" s="17">
        <f>IF($N856="","",COUNT($N856:$S856))</f>
        <v/>
      </c>
      <c r="AA856" s="19">
        <f>IF($Z856="","",INT(INDEX($N856:$S856,$Z856)))</f>
        <v/>
      </c>
      <c r="AB856" s="19">
        <f>IF(OR($Z856="",$Z856=6),"",WORKDAY($AA856,CHOOSE($Z856,3,3,2,2,3),Holidays))</f>
        <v/>
      </c>
      <c r="AC856" s="17">
        <f>IF(OR($Z856="",$Z856=6),"",CHOOSE($Z856,"1st Email Follow-up","2nd Email Follow-up","Escalate Local Office","Escalate to CBE","Escalate to Roxanne"))</f>
        <v/>
      </c>
    </row>
    <row r="857" spans="13:29">
      <c r="M857" s="14"/>
      <c r="T857" s="16"/>
      <c r="U857" s="17">
        <f>IF(AND(COUNTA($A857:$L857)=0,$N857=""),"",IF($T857="Paid","PAID",IF($T857="Closed","CLOSED",IF($Z857="","",IF($Z857=6,"ESCALATED TO ROXANNE",IF(TODAY()&gt;$AB857,"OVERDUE",IF($AB857&lt;=WORKDAY(TODAY(),1,Holidays),"DUE TOMORROW",IF($Z857=4,"ESCALATED TO LOCAL OFFICE",IF($Z857=5,"ESCALATED TO CBE",IF($AA857=TODAY(),"EMAIL SENT","MONITORING"))))))))))</f>
        <v/>
      </c>
      <c r="V857" s="17">
        <f>IF($U857="",IF(AND(COUNTA($A857:$L857)&gt;0,$N857=""),"Awaiting Collection Email time stamp.",""),IF(OR($U857="PAID",$U857="CLOSED"),IF($U857="PAID","Account paid. Action completed.","Account closed. No further action required."),CHOOSE($Z857,"Collection Email","1st Email Follow-up","2nd Email Follow-up","Escalation to Local Office","Escalation to CBE","Escalation to Roxanne")&amp;" sent "&amp;TEXT($AA857,"dd-mmm")&amp;". "&amp;IF($Z857=6,"Final escalation completed.",IF($U857="OVERDUE","Next: "&amp;$AC857&amp;" was due "&amp;TEXT($AB857,"dd-mmm")&amp;" - "&amp;(NETWORKDAYS($AB857,TODAY(),Holidays)-1)&amp;" business day(s) late. Send now.",IF($U857="DUE TOMORROW","Next: "&amp;$AC857&amp;IF($AB857&lt;=TODAY()," is due TODAY ("," is due next business day (")&amp;TEXT($AB857,"dd-mmm")&amp;").","Next: "&amp;$AC857&amp;" due "&amp;TEXT($AB857,"dd-mmm")&amp;" ("&amp;(NETWORKDAYS(TODAY(),$AB857,Holidays)-1)&amp;" business day(s) left).")))))</f>
        <v/>
      </c>
      <c r="W857" s="17">
        <f>IF($Z857="","",CHOOSE($Z857,"Collection Email","1st Follow-up","2nd Follow-up","Local Office","CBE","Roxanne")&amp;IF($Z857=6," - Final"," - Day "&amp;MAX(0,NETWORKDAYS($AA857,TODAY(),Holidays)-1)&amp;" of "&amp;CHOOSE($Z857,3,3,2,2,3))&amp;" | Total Day "&amp;MAX(0,NETWORKDAYS($N857,TODAY(),Holidays)-1))</f>
        <v/>
      </c>
      <c r="X857" s="18"/>
      <c r="Y857" s="18"/>
      <c r="Z857" s="17">
        <f>IF($N857="","",COUNT($N857:$S857))</f>
        <v/>
      </c>
      <c r="AA857" s="19">
        <f>IF($Z857="","",INT(INDEX($N857:$S857,$Z857)))</f>
        <v/>
      </c>
      <c r="AB857" s="19">
        <f>IF(OR($Z857="",$Z857=6),"",WORKDAY($AA857,CHOOSE($Z857,3,3,2,2,3),Holidays))</f>
        <v/>
      </c>
      <c r="AC857" s="17">
        <f>IF(OR($Z857="",$Z857=6),"",CHOOSE($Z857,"1st Email Follow-up","2nd Email Follow-up","Escalate Local Office","Escalate to CBE","Escalate to Roxanne"))</f>
        <v/>
      </c>
    </row>
    <row r="858" spans="13:29">
      <c r="M858" s="14"/>
      <c r="T858" s="16"/>
      <c r="U858" s="17">
        <f>IF(AND(COUNTA($A858:$L858)=0,$N858=""),"",IF($T858="Paid","PAID",IF($T858="Closed","CLOSED",IF($Z858="","",IF($Z858=6,"ESCALATED TO ROXANNE",IF(TODAY()&gt;$AB858,"OVERDUE",IF($AB858&lt;=WORKDAY(TODAY(),1,Holidays),"DUE TOMORROW",IF($Z858=4,"ESCALATED TO LOCAL OFFICE",IF($Z858=5,"ESCALATED TO CBE",IF($AA858=TODAY(),"EMAIL SENT","MONITORING"))))))))))</f>
        <v/>
      </c>
      <c r="V858" s="17">
        <f>IF($U858="",IF(AND(COUNTA($A858:$L858)&gt;0,$N858=""),"Awaiting Collection Email time stamp.",""),IF(OR($U858="PAID",$U858="CLOSED"),IF($U858="PAID","Account paid. Action completed.","Account closed. No further action required."),CHOOSE($Z858,"Collection Email","1st Email Follow-up","2nd Email Follow-up","Escalation to Local Office","Escalation to CBE","Escalation to Roxanne")&amp;" sent "&amp;TEXT($AA858,"dd-mmm")&amp;". "&amp;IF($Z858=6,"Final escalation completed.",IF($U858="OVERDUE","Next: "&amp;$AC858&amp;" was due "&amp;TEXT($AB858,"dd-mmm")&amp;" - "&amp;(NETWORKDAYS($AB858,TODAY(),Holidays)-1)&amp;" business day(s) late. Send now.",IF($U858="DUE TOMORROW","Next: "&amp;$AC858&amp;IF($AB858&lt;=TODAY()," is due TODAY ("," is due next business day (")&amp;TEXT($AB858,"dd-mmm")&amp;").","Next: "&amp;$AC858&amp;" due "&amp;TEXT($AB858,"dd-mmm")&amp;" ("&amp;(NETWORKDAYS(TODAY(),$AB858,Holidays)-1)&amp;" business day(s) left).")))))</f>
        <v/>
      </c>
      <c r="W858" s="17">
        <f>IF($Z858="","",CHOOSE($Z858,"Collection Email","1st Follow-up","2nd Follow-up","Local Office","CBE","Roxanne")&amp;IF($Z858=6," - Final"," - Day "&amp;MAX(0,NETWORKDAYS($AA858,TODAY(),Holidays)-1)&amp;" of "&amp;CHOOSE($Z858,3,3,2,2,3))&amp;" | Total Day "&amp;MAX(0,NETWORKDAYS($N858,TODAY(),Holidays)-1))</f>
        <v/>
      </c>
      <c r="X858" s="18"/>
      <c r="Y858" s="18"/>
      <c r="Z858" s="17">
        <f>IF($N858="","",COUNT($N858:$S858))</f>
        <v/>
      </c>
      <c r="AA858" s="19">
        <f>IF($Z858="","",INT(INDEX($N858:$S858,$Z858)))</f>
        <v/>
      </c>
      <c r="AB858" s="19">
        <f>IF(OR($Z858="",$Z858=6),"",WORKDAY($AA858,CHOOSE($Z858,3,3,2,2,3),Holidays))</f>
        <v/>
      </c>
      <c r="AC858" s="17">
        <f>IF(OR($Z858="",$Z858=6),"",CHOOSE($Z858,"1st Email Follow-up","2nd Email Follow-up","Escalate Local Office","Escalate to CBE","Escalate to Roxanne"))</f>
        <v/>
      </c>
    </row>
    <row r="859" spans="13:29">
      <c r="M859" s="14"/>
      <c r="T859" s="16"/>
      <c r="U859" s="17">
        <f>IF(AND(COUNTA($A859:$L859)=0,$N859=""),"",IF($T859="Paid","PAID",IF($T859="Closed","CLOSED",IF($Z859="","",IF($Z859=6,"ESCALATED TO ROXANNE",IF(TODAY()&gt;$AB859,"OVERDUE",IF($AB859&lt;=WORKDAY(TODAY(),1,Holidays),"DUE TOMORROW",IF($Z859=4,"ESCALATED TO LOCAL OFFICE",IF($Z859=5,"ESCALATED TO CBE",IF($AA859=TODAY(),"EMAIL SENT","MONITORING"))))))))))</f>
        <v/>
      </c>
      <c r="V859" s="17">
        <f>IF($U859="",IF(AND(COUNTA($A859:$L859)&gt;0,$N859=""),"Awaiting Collection Email time stamp.",""),IF(OR($U859="PAID",$U859="CLOSED"),IF($U859="PAID","Account paid. Action completed.","Account closed. No further action required."),CHOOSE($Z859,"Collection Email","1st Email Follow-up","2nd Email Follow-up","Escalation to Local Office","Escalation to CBE","Escalation to Roxanne")&amp;" sent "&amp;TEXT($AA859,"dd-mmm")&amp;". "&amp;IF($Z859=6,"Final escalation completed.",IF($U859="OVERDUE","Next: "&amp;$AC859&amp;" was due "&amp;TEXT($AB859,"dd-mmm")&amp;" - "&amp;(NETWORKDAYS($AB859,TODAY(),Holidays)-1)&amp;" business day(s) late. Send now.",IF($U859="DUE TOMORROW","Next: "&amp;$AC859&amp;IF($AB859&lt;=TODAY()," is due TODAY ("," is due next business day (")&amp;TEXT($AB859,"dd-mmm")&amp;").","Next: "&amp;$AC859&amp;" due "&amp;TEXT($AB859,"dd-mmm")&amp;" ("&amp;(NETWORKDAYS(TODAY(),$AB859,Holidays)-1)&amp;" business day(s) left).")))))</f>
        <v/>
      </c>
      <c r="W859" s="17">
        <f>IF($Z859="","",CHOOSE($Z859,"Collection Email","1st Follow-up","2nd Follow-up","Local Office","CBE","Roxanne")&amp;IF($Z859=6," - Final"," - Day "&amp;MAX(0,NETWORKDAYS($AA859,TODAY(),Holidays)-1)&amp;" of "&amp;CHOOSE($Z859,3,3,2,2,3))&amp;" | Total Day "&amp;MAX(0,NETWORKDAYS($N859,TODAY(),Holidays)-1))</f>
        <v/>
      </c>
      <c r="X859" s="18"/>
      <c r="Y859" s="18"/>
      <c r="Z859" s="17">
        <f>IF($N859="","",COUNT($N859:$S859))</f>
        <v/>
      </c>
      <c r="AA859" s="19">
        <f>IF($Z859="","",INT(INDEX($N859:$S859,$Z859)))</f>
        <v/>
      </c>
      <c r="AB859" s="19">
        <f>IF(OR($Z859="",$Z859=6),"",WORKDAY($AA859,CHOOSE($Z859,3,3,2,2,3),Holidays))</f>
        <v/>
      </c>
      <c r="AC859" s="17">
        <f>IF(OR($Z859="",$Z859=6),"",CHOOSE($Z859,"1st Email Follow-up","2nd Email Follow-up","Escalate Local Office","Escalate to CBE","Escalate to Roxanne"))</f>
        <v/>
      </c>
    </row>
    <row r="860" spans="13:29">
      <c r="M860" s="14"/>
      <c r="T860" s="16"/>
      <c r="U860" s="17">
        <f>IF(AND(COUNTA($A860:$L860)=0,$N860=""),"",IF($T860="Paid","PAID",IF($T860="Closed","CLOSED",IF($Z860="","",IF($Z860=6,"ESCALATED TO ROXANNE",IF(TODAY()&gt;$AB860,"OVERDUE",IF($AB860&lt;=WORKDAY(TODAY(),1,Holidays),"DUE TOMORROW",IF($Z860=4,"ESCALATED TO LOCAL OFFICE",IF($Z860=5,"ESCALATED TO CBE",IF($AA860=TODAY(),"EMAIL SENT","MONITORING"))))))))))</f>
        <v/>
      </c>
      <c r="V860" s="17">
        <f>IF($U860="",IF(AND(COUNTA($A860:$L860)&gt;0,$N860=""),"Awaiting Collection Email time stamp.",""),IF(OR($U860="PAID",$U860="CLOSED"),IF($U860="PAID","Account paid. Action completed.","Account closed. No further action required."),CHOOSE($Z860,"Collection Email","1st Email Follow-up","2nd Email Follow-up","Escalation to Local Office","Escalation to CBE","Escalation to Roxanne")&amp;" sent "&amp;TEXT($AA860,"dd-mmm")&amp;". "&amp;IF($Z860=6,"Final escalation completed.",IF($U860="OVERDUE","Next: "&amp;$AC860&amp;" was due "&amp;TEXT($AB860,"dd-mmm")&amp;" - "&amp;(NETWORKDAYS($AB860,TODAY(),Holidays)-1)&amp;" business day(s) late. Send now.",IF($U860="DUE TOMORROW","Next: "&amp;$AC860&amp;IF($AB860&lt;=TODAY()," is due TODAY ("," is due next business day (")&amp;TEXT($AB860,"dd-mmm")&amp;").","Next: "&amp;$AC860&amp;" due "&amp;TEXT($AB860,"dd-mmm")&amp;" ("&amp;(NETWORKDAYS(TODAY(),$AB860,Holidays)-1)&amp;" business day(s) left).")))))</f>
        <v/>
      </c>
      <c r="W860" s="17">
        <f>IF($Z860="","",CHOOSE($Z860,"Collection Email","1st Follow-up","2nd Follow-up","Local Office","CBE","Roxanne")&amp;IF($Z860=6," - Final"," - Day "&amp;MAX(0,NETWORKDAYS($AA860,TODAY(),Holidays)-1)&amp;" of "&amp;CHOOSE($Z860,3,3,2,2,3))&amp;" | Total Day "&amp;MAX(0,NETWORKDAYS($N860,TODAY(),Holidays)-1))</f>
        <v/>
      </c>
      <c r="X860" s="18"/>
      <c r="Y860" s="18"/>
      <c r="Z860" s="17">
        <f>IF($N860="","",COUNT($N860:$S860))</f>
        <v/>
      </c>
      <c r="AA860" s="19">
        <f>IF($Z860="","",INT(INDEX($N860:$S860,$Z860)))</f>
        <v/>
      </c>
      <c r="AB860" s="19">
        <f>IF(OR($Z860="",$Z860=6),"",WORKDAY($AA860,CHOOSE($Z860,3,3,2,2,3),Holidays))</f>
        <v/>
      </c>
      <c r="AC860" s="17">
        <f>IF(OR($Z860="",$Z860=6),"",CHOOSE($Z860,"1st Email Follow-up","2nd Email Follow-up","Escalate Local Office","Escalate to CBE","Escalate to Roxanne"))</f>
        <v/>
      </c>
    </row>
    <row r="861" spans="13:29">
      <c r="M861" s="14"/>
      <c r="T861" s="16"/>
      <c r="U861" s="17">
        <f>IF(AND(COUNTA($A861:$L861)=0,$N861=""),"",IF($T861="Paid","PAID",IF($T861="Closed","CLOSED",IF($Z861="","",IF($Z861=6,"ESCALATED TO ROXANNE",IF(TODAY()&gt;$AB861,"OVERDUE",IF($AB861&lt;=WORKDAY(TODAY(),1,Holidays),"DUE TOMORROW",IF($Z861=4,"ESCALATED TO LOCAL OFFICE",IF($Z861=5,"ESCALATED TO CBE",IF($AA861=TODAY(),"EMAIL SENT","MONITORING"))))))))))</f>
        <v/>
      </c>
      <c r="V861" s="17">
        <f>IF($U861="",IF(AND(COUNTA($A861:$L861)&gt;0,$N861=""),"Awaiting Collection Email time stamp.",""),IF(OR($U861="PAID",$U861="CLOSED"),IF($U861="PAID","Account paid. Action completed.","Account closed. No further action required."),CHOOSE($Z861,"Collection Email","1st Email Follow-up","2nd Email Follow-up","Escalation to Local Office","Escalation to CBE","Escalation to Roxanne")&amp;" sent "&amp;TEXT($AA861,"dd-mmm")&amp;". "&amp;IF($Z861=6,"Final escalation completed.",IF($U861="OVERDUE","Next: "&amp;$AC861&amp;" was due "&amp;TEXT($AB861,"dd-mmm")&amp;" - "&amp;(NETWORKDAYS($AB861,TODAY(),Holidays)-1)&amp;" business day(s) late. Send now.",IF($U861="DUE TOMORROW","Next: "&amp;$AC861&amp;IF($AB861&lt;=TODAY()," is due TODAY ("," is due next business day (")&amp;TEXT($AB861,"dd-mmm")&amp;").","Next: "&amp;$AC861&amp;" due "&amp;TEXT($AB861,"dd-mmm")&amp;" ("&amp;(NETWORKDAYS(TODAY(),$AB861,Holidays)-1)&amp;" business day(s) left).")))))</f>
        <v/>
      </c>
      <c r="W861" s="17">
        <f>IF($Z861="","",CHOOSE($Z861,"Collection Email","1st Follow-up","2nd Follow-up","Local Office","CBE","Roxanne")&amp;IF($Z861=6," - Final"," - Day "&amp;MAX(0,NETWORKDAYS($AA861,TODAY(),Holidays)-1)&amp;" of "&amp;CHOOSE($Z861,3,3,2,2,3))&amp;" | Total Day "&amp;MAX(0,NETWORKDAYS($N861,TODAY(),Holidays)-1))</f>
        <v/>
      </c>
      <c r="X861" s="18"/>
      <c r="Y861" s="18"/>
      <c r="Z861" s="17">
        <f>IF($N861="","",COUNT($N861:$S861))</f>
        <v/>
      </c>
      <c r="AA861" s="19">
        <f>IF($Z861="","",INT(INDEX($N861:$S861,$Z861)))</f>
        <v/>
      </c>
      <c r="AB861" s="19">
        <f>IF(OR($Z861="",$Z861=6),"",WORKDAY($AA861,CHOOSE($Z861,3,3,2,2,3),Holidays))</f>
        <v/>
      </c>
      <c r="AC861" s="17">
        <f>IF(OR($Z861="",$Z861=6),"",CHOOSE($Z861,"1st Email Follow-up","2nd Email Follow-up","Escalate Local Office","Escalate to CBE","Escalate to Roxanne"))</f>
        <v/>
      </c>
    </row>
    <row r="862" spans="13:29">
      <c r="M862" s="14"/>
      <c r="T862" s="16"/>
      <c r="U862" s="17">
        <f>IF(AND(COUNTA($A862:$L862)=0,$N862=""),"",IF($T862="Paid","PAID",IF($T862="Closed","CLOSED",IF($Z862="","",IF($Z862=6,"ESCALATED TO ROXANNE",IF(TODAY()&gt;$AB862,"OVERDUE",IF($AB862&lt;=WORKDAY(TODAY(),1,Holidays),"DUE TOMORROW",IF($Z862=4,"ESCALATED TO LOCAL OFFICE",IF($Z862=5,"ESCALATED TO CBE",IF($AA862=TODAY(),"EMAIL SENT","MONITORING"))))))))))</f>
        <v/>
      </c>
      <c r="V862" s="17">
        <f>IF($U862="",IF(AND(COUNTA($A862:$L862)&gt;0,$N862=""),"Awaiting Collection Email time stamp.",""),IF(OR($U862="PAID",$U862="CLOSED"),IF($U862="PAID","Account paid. Action completed.","Account closed. No further action required."),CHOOSE($Z862,"Collection Email","1st Email Follow-up","2nd Email Follow-up","Escalation to Local Office","Escalation to CBE","Escalation to Roxanne")&amp;" sent "&amp;TEXT($AA862,"dd-mmm")&amp;". "&amp;IF($Z862=6,"Final escalation completed.",IF($U862="OVERDUE","Next: "&amp;$AC862&amp;" was due "&amp;TEXT($AB862,"dd-mmm")&amp;" - "&amp;(NETWORKDAYS($AB862,TODAY(),Holidays)-1)&amp;" business day(s) late. Send now.",IF($U862="DUE TOMORROW","Next: "&amp;$AC862&amp;IF($AB862&lt;=TODAY()," is due TODAY ("," is due next business day (")&amp;TEXT($AB862,"dd-mmm")&amp;").","Next: "&amp;$AC862&amp;" due "&amp;TEXT($AB862,"dd-mmm")&amp;" ("&amp;(NETWORKDAYS(TODAY(),$AB862,Holidays)-1)&amp;" business day(s) left).")))))</f>
        <v/>
      </c>
      <c r="W862" s="17">
        <f>IF($Z862="","",CHOOSE($Z862,"Collection Email","1st Follow-up","2nd Follow-up","Local Office","CBE","Roxanne")&amp;IF($Z862=6," - Final"," - Day "&amp;MAX(0,NETWORKDAYS($AA862,TODAY(),Holidays)-1)&amp;" of "&amp;CHOOSE($Z862,3,3,2,2,3))&amp;" | Total Day "&amp;MAX(0,NETWORKDAYS($N862,TODAY(),Holidays)-1))</f>
        <v/>
      </c>
      <c r="X862" s="18"/>
      <c r="Y862" s="18"/>
      <c r="Z862" s="17">
        <f>IF($N862="","",COUNT($N862:$S862))</f>
        <v/>
      </c>
      <c r="AA862" s="19">
        <f>IF($Z862="","",INT(INDEX($N862:$S862,$Z862)))</f>
        <v/>
      </c>
      <c r="AB862" s="19">
        <f>IF(OR($Z862="",$Z862=6),"",WORKDAY($AA862,CHOOSE($Z862,3,3,2,2,3),Holidays))</f>
        <v/>
      </c>
      <c r="AC862" s="17">
        <f>IF(OR($Z862="",$Z862=6),"",CHOOSE($Z862,"1st Email Follow-up","2nd Email Follow-up","Escalate Local Office","Escalate to CBE","Escalate to Roxanne"))</f>
        <v/>
      </c>
    </row>
    <row r="863" spans="13:29">
      <c r="M863" s="14"/>
      <c r="T863" s="16"/>
      <c r="U863" s="17">
        <f>IF(AND(COUNTA($A863:$L863)=0,$N863=""),"",IF($T863="Paid","PAID",IF($T863="Closed","CLOSED",IF($Z863="","",IF($Z863=6,"ESCALATED TO ROXANNE",IF(TODAY()&gt;$AB863,"OVERDUE",IF($AB863&lt;=WORKDAY(TODAY(),1,Holidays),"DUE TOMORROW",IF($Z863=4,"ESCALATED TO LOCAL OFFICE",IF($Z863=5,"ESCALATED TO CBE",IF($AA863=TODAY(),"EMAIL SENT","MONITORING"))))))))))</f>
        <v/>
      </c>
      <c r="V863" s="17">
        <f>IF($U863="",IF(AND(COUNTA($A863:$L863)&gt;0,$N863=""),"Awaiting Collection Email time stamp.",""),IF(OR($U863="PAID",$U863="CLOSED"),IF($U863="PAID","Account paid. Action completed.","Account closed. No further action required."),CHOOSE($Z863,"Collection Email","1st Email Follow-up","2nd Email Follow-up","Escalation to Local Office","Escalation to CBE","Escalation to Roxanne")&amp;" sent "&amp;TEXT($AA863,"dd-mmm")&amp;". "&amp;IF($Z863=6,"Final escalation completed.",IF($U863="OVERDUE","Next: "&amp;$AC863&amp;" was due "&amp;TEXT($AB863,"dd-mmm")&amp;" - "&amp;(NETWORKDAYS($AB863,TODAY(),Holidays)-1)&amp;" business day(s) late. Send now.",IF($U863="DUE TOMORROW","Next: "&amp;$AC863&amp;IF($AB863&lt;=TODAY()," is due TODAY ("," is due next business day (")&amp;TEXT($AB863,"dd-mmm")&amp;").","Next: "&amp;$AC863&amp;" due "&amp;TEXT($AB863,"dd-mmm")&amp;" ("&amp;(NETWORKDAYS(TODAY(),$AB863,Holidays)-1)&amp;" business day(s) left).")))))</f>
        <v/>
      </c>
      <c r="W863" s="17">
        <f>IF($Z863="","",CHOOSE($Z863,"Collection Email","1st Follow-up","2nd Follow-up","Local Office","CBE","Roxanne")&amp;IF($Z863=6," - Final"," - Day "&amp;MAX(0,NETWORKDAYS($AA863,TODAY(),Holidays)-1)&amp;" of "&amp;CHOOSE($Z863,3,3,2,2,3))&amp;" | Total Day "&amp;MAX(0,NETWORKDAYS($N863,TODAY(),Holidays)-1))</f>
        <v/>
      </c>
      <c r="X863" s="18"/>
      <c r="Y863" s="18"/>
      <c r="Z863" s="17">
        <f>IF($N863="","",COUNT($N863:$S863))</f>
        <v/>
      </c>
      <c r="AA863" s="19">
        <f>IF($Z863="","",INT(INDEX($N863:$S863,$Z863)))</f>
        <v/>
      </c>
      <c r="AB863" s="19">
        <f>IF(OR($Z863="",$Z863=6),"",WORKDAY($AA863,CHOOSE($Z863,3,3,2,2,3),Holidays))</f>
        <v/>
      </c>
      <c r="AC863" s="17">
        <f>IF(OR($Z863="",$Z863=6),"",CHOOSE($Z863,"1st Email Follow-up","2nd Email Follow-up","Escalate Local Office","Escalate to CBE","Escalate to Roxanne"))</f>
        <v/>
      </c>
    </row>
    <row r="864" spans="13:29">
      <c r="M864" s="14"/>
      <c r="T864" s="16"/>
      <c r="U864" s="17">
        <f>IF(AND(COUNTA($A864:$L864)=0,$N864=""),"",IF($T864="Paid","PAID",IF($T864="Closed","CLOSED",IF($Z864="","",IF($Z864=6,"ESCALATED TO ROXANNE",IF(TODAY()&gt;$AB864,"OVERDUE",IF($AB864&lt;=WORKDAY(TODAY(),1,Holidays),"DUE TOMORROW",IF($Z864=4,"ESCALATED TO LOCAL OFFICE",IF($Z864=5,"ESCALATED TO CBE",IF($AA864=TODAY(),"EMAIL SENT","MONITORING"))))))))))</f>
        <v/>
      </c>
      <c r="V864" s="17">
        <f>IF($U864="",IF(AND(COUNTA($A864:$L864)&gt;0,$N864=""),"Awaiting Collection Email time stamp.",""),IF(OR($U864="PAID",$U864="CLOSED"),IF($U864="PAID","Account paid. Action completed.","Account closed. No further action required."),CHOOSE($Z864,"Collection Email","1st Email Follow-up","2nd Email Follow-up","Escalation to Local Office","Escalation to CBE","Escalation to Roxanne")&amp;" sent "&amp;TEXT($AA864,"dd-mmm")&amp;". "&amp;IF($Z864=6,"Final escalation completed.",IF($U864="OVERDUE","Next: "&amp;$AC864&amp;" was due "&amp;TEXT($AB864,"dd-mmm")&amp;" - "&amp;(NETWORKDAYS($AB864,TODAY(),Holidays)-1)&amp;" business day(s) late. Send now.",IF($U864="DUE TOMORROW","Next: "&amp;$AC864&amp;IF($AB864&lt;=TODAY()," is due TODAY ("," is due next business day (")&amp;TEXT($AB864,"dd-mmm")&amp;").","Next: "&amp;$AC864&amp;" due "&amp;TEXT($AB864,"dd-mmm")&amp;" ("&amp;(NETWORKDAYS(TODAY(),$AB864,Holidays)-1)&amp;" business day(s) left).")))))</f>
        <v/>
      </c>
      <c r="W864" s="17">
        <f>IF($Z864="","",CHOOSE($Z864,"Collection Email","1st Follow-up","2nd Follow-up","Local Office","CBE","Roxanne")&amp;IF($Z864=6," - Final"," - Day "&amp;MAX(0,NETWORKDAYS($AA864,TODAY(),Holidays)-1)&amp;" of "&amp;CHOOSE($Z864,3,3,2,2,3))&amp;" | Total Day "&amp;MAX(0,NETWORKDAYS($N864,TODAY(),Holidays)-1))</f>
        <v/>
      </c>
      <c r="X864" s="18"/>
      <c r="Y864" s="18"/>
      <c r="Z864" s="17">
        <f>IF($N864="","",COUNT($N864:$S864))</f>
        <v/>
      </c>
      <c r="AA864" s="19">
        <f>IF($Z864="","",INT(INDEX($N864:$S864,$Z864)))</f>
        <v/>
      </c>
      <c r="AB864" s="19">
        <f>IF(OR($Z864="",$Z864=6),"",WORKDAY($AA864,CHOOSE($Z864,3,3,2,2,3),Holidays))</f>
        <v/>
      </c>
      <c r="AC864" s="17">
        <f>IF(OR($Z864="",$Z864=6),"",CHOOSE($Z864,"1st Email Follow-up","2nd Email Follow-up","Escalate Local Office","Escalate to CBE","Escalate to Roxanne"))</f>
        <v/>
      </c>
    </row>
    <row r="865" spans="13:29">
      <c r="M865" s="14"/>
      <c r="T865" s="16"/>
      <c r="U865" s="17">
        <f>IF(AND(COUNTA($A865:$L865)=0,$N865=""),"",IF($T865="Paid","PAID",IF($T865="Closed","CLOSED",IF($Z865="","",IF($Z865=6,"ESCALATED TO ROXANNE",IF(TODAY()&gt;$AB865,"OVERDUE",IF($AB865&lt;=WORKDAY(TODAY(),1,Holidays),"DUE TOMORROW",IF($Z865=4,"ESCALATED TO LOCAL OFFICE",IF($Z865=5,"ESCALATED TO CBE",IF($AA865=TODAY(),"EMAIL SENT","MONITORING"))))))))))</f>
        <v/>
      </c>
      <c r="V865" s="17">
        <f>IF($U865="",IF(AND(COUNTA($A865:$L865)&gt;0,$N865=""),"Awaiting Collection Email time stamp.",""),IF(OR($U865="PAID",$U865="CLOSED"),IF($U865="PAID","Account paid. Action completed.","Account closed. No further action required."),CHOOSE($Z865,"Collection Email","1st Email Follow-up","2nd Email Follow-up","Escalation to Local Office","Escalation to CBE","Escalation to Roxanne")&amp;" sent "&amp;TEXT($AA865,"dd-mmm")&amp;". "&amp;IF($Z865=6,"Final escalation completed.",IF($U865="OVERDUE","Next: "&amp;$AC865&amp;" was due "&amp;TEXT($AB865,"dd-mmm")&amp;" - "&amp;(NETWORKDAYS($AB865,TODAY(),Holidays)-1)&amp;" business day(s) late. Send now.",IF($U865="DUE TOMORROW","Next: "&amp;$AC865&amp;IF($AB865&lt;=TODAY()," is due TODAY ("," is due next business day (")&amp;TEXT($AB865,"dd-mmm")&amp;").","Next: "&amp;$AC865&amp;" due "&amp;TEXT($AB865,"dd-mmm")&amp;" ("&amp;(NETWORKDAYS(TODAY(),$AB865,Holidays)-1)&amp;" business day(s) left).")))))</f>
        <v/>
      </c>
      <c r="W865" s="17">
        <f>IF($Z865="","",CHOOSE($Z865,"Collection Email","1st Follow-up","2nd Follow-up","Local Office","CBE","Roxanne")&amp;IF($Z865=6," - Final"," - Day "&amp;MAX(0,NETWORKDAYS($AA865,TODAY(),Holidays)-1)&amp;" of "&amp;CHOOSE($Z865,3,3,2,2,3))&amp;" | Total Day "&amp;MAX(0,NETWORKDAYS($N865,TODAY(),Holidays)-1))</f>
        <v/>
      </c>
      <c r="X865" s="18"/>
      <c r="Y865" s="18"/>
      <c r="Z865" s="17">
        <f>IF($N865="","",COUNT($N865:$S865))</f>
        <v/>
      </c>
      <c r="AA865" s="19">
        <f>IF($Z865="","",INT(INDEX($N865:$S865,$Z865)))</f>
        <v/>
      </c>
      <c r="AB865" s="19">
        <f>IF(OR($Z865="",$Z865=6),"",WORKDAY($AA865,CHOOSE($Z865,3,3,2,2,3),Holidays))</f>
        <v/>
      </c>
      <c r="AC865" s="17">
        <f>IF(OR($Z865="",$Z865=6),"",CHOOSE($Z865,"1st Email Follow-up","2nd Email Follow-up","Escalate Local Office","Escalate to CBE","Escalate to Roxanne"))</f>
        <v/>
      </c>
    </row>
    <row r="866" spans="13:29">
      <c r="M866" s="14"/>
      <c r="T866" s="16"/>
      <c r="U866" s="17">
        <f>IF(AND(COUNTA($A866:$L866)=0,$N866=""),"",IF($T866="Paid","PAID",IF($T866="Closed","CLOSED",IF($Z866="","",IF($Z866=6,"ESCALATED TO ROXANNE",IF(TODAY()&gt;$AB866,"OVERDUE",IF($AB866&lt;=WORKDAY(TODAY(),1,Holidays),"DUE TOMORROW",IF($Z866=4,"ESCALATED TO LOCAL OFFICE",IF($Z866=5,"ESCALATED TO CBE",IF($AA866=TODAY(),"EMAIL SENT","MONITORING"))))))))))</f>
        <v/>
      </c>
      <c r="V866" s="17">
        <f>IF($U866="",IF(AND(COUNTA($A866:$L866)&gt;0,$N866=""),"Awaiting Collection Email time stamp.",""),IF(OR($U866="PAID",$U866="CLOSED"),IF($U866="PAID","Account paid. Action completed.","Account closed. No further action required."),CHOOSE($Z866,"Collection Email","1st Email Follow-up","2nd Email Follow-up","Escalation to Local Office","Escalation to CBE","Escalation to Roxanne")&amp;" sent "&amp;TEXT($AA866,"dd-mmm")&amp;". "&amp;IF($Z866=6,"Final escalation completed.",IF($U866="OVERDUE","Next: "&amp;$AC866&amp;" was due "&amp;TEXT($AB866,"dd-mmm")&amp;" - "&amp;(NETWORKDAYS($AB866,TODAY(),Holidays)-1)&amp;" business day(s) late. Send now.",IF($U866="DUE TOMORROW","Next: "&amp;$AC866&amp;IF($AB866&lt;=TODAY()," is due TODAY ("," is due next business day (")&amp;TEXT($AB866,"dd-mmm")&amp;").","Next: "&amp;$AC866&amp;" due "&amp;TEXT($AB866,"dd-mmm")&amp;" ("&amp;(NETWORKDAYS(TODAY(),$AB866,Holidays)-1)&amp;" business day(s) left).")))))</f>
        <v/>
      </c>
      <c r="W866" s="17">
        <f>IF($Z866="","",CHOOSE($Z866,"Collection Email","1st Follow-up","2nd Follow-up","Local Office","CBE","Roxanne")&amp;IF($Z866=6," - Final"," - Day "&amp;MAX(0,NETWORKDAYS($AA866,TODAY(),Holidays)-1)&amp;" of "&amp;CHOOSE($Z866,3,3,2,2,3))&amp;" | Total Day "&amp;MAX(0,NETWORKDAYS($N866,TODAY(),Holidays)-1))</f>
        <v/>
      </c>
      <c r="X866" s="18"/>
      <c r="Y866" s="18"/>
      <c r="Z866" s="17">
        <f>IF($N866="","",COUNT($N866:$S866))</f>
        <v/>
      </c>
      <c r="AA866" s="19">
        <f>IF($Z866="","",INT(INDEX($N866:$S866,$Z866)))</f>
        <v/>
      </c>
      <c r="AB866" s="19">
        <f>IF(OR($Z866="",$Z866=6),"",WORKDAY($AA866,CHOOSE($Z866,3,3,2,2,3),Holidays))</f>
        <v/>
      </c>
      <c r="AC866" s="17">
        <f>IF(OR($Z866="",$Z866=6),"",CHOOSE($Z866,"1st Email Follow-up","2nd Email Follow-up","Escalate Local Office","Escalate to CBE","Escalate to Roxanne"))</f>
        <v/>
      </c>
    </row>
    <row r="867" spans="13:29">
      <c r="M867" s="14"/>
      <c r="T867" s="16"/>
      <c r="U867" s="17">
        <f>IF(AND(COUNTA($A867:$L867)=0,$N867=""),"",IF($T867="Paid","PAID",IF($T867="Closed","CLOSED",IF($Z867="","",IF($Z867=6,"ESCALATED TO ROXANNE",IF(TODAY()&gt;$AB867,"OVERDUE",IF($AB867&lt;=WORKDAY(TODAY(),1,Holidays),"DUE TOMORROW",IF($Z867=4,"ESCALATED TO LOCAL OFFICE",IF($Z867=5,"ESCALATED TO CBE",IF($AA867=TODAY(),"EMAIL SENT","MONITORING"))))))))))</f>
        <v/>
      </c>
      <c r="V867" s="17">
        <f>IF($U867="",IF(AND(COUNTA($A867:$L867)&gt;0,$N867=""),"Awaiting Collection Email time stamp.",""),IF(OR($U867="PAID",$U867="CLOSED"),IF($U867="PAID","Account paid. Action completed.","Account closed. No further action required."),CHOOSE($Z867,"Collection Email","1st Email Follow-up","2nd Email Follow-up","Escalation to Local Office","Escalation to CBE","Escalation to Roxanne")&amp;" sent "&amp;TEXT($AA867,"dd-mmm")&amp;". "&amp;IF($Z867=6,"Final escalation completed.",IF($U867="OVERDUE","Next: "&amp;$AC867&amp;" was due "&amp;TEXT($AB867,"dd-mmm")&amp;" - "&amp;(NETWORKDAYS($AB867,TODAY(),Holidays)-1)&amp;" business day(s) late. Send now.",IF($U867="DUE TOMORROW","Next: "&amp;$AC867&amp;IF($AB867&lt;=TODAY()," is due TODAY ("," is due next business day (")&amp;TEXT($AB867,"dd-mmm")&amp;").","Next: "&amp;$AC867&amp;" due "&amp;TEXT($AB867,"dd-mmm")&amp;" ("&amp;(NETWORKDAYS(TODAY(),$AB867,Holidays)-1)&amp;" business day(s) left).")))))</f>
        <v/>
      </c>
      <c r="W867" s="17">
        <f>IF($Z867="","",CHOOSE($Z867,"Collection Email","1st Follow-up","2nd Follow-up","Local Office","CBE","Roxanne")&amp;IF($Z867=6," - Final"," - Day "&amp;MAX(0,NETWORKDAYS($AA867,TODAY(),Holidays)-1)&amp;" of "&amp;CHOOSE($Z867,3,3,2,2,3))&amp;" | Total Day "&amp;MAX(0,NETWORKDAYS($N867,TODAY(),Holidays)-1))</f>
        <v/>
      </c>
      <c r="X867" s="18"/>
      <c r="Y867" s="18"/>
      <c r="Z867" s="17">
        <f>IF($N867="","",COUNT($N867:$S867))</f>
        <v/>
      </c>
      <c r="AA867" s="19">
        <f>IF($Z867="","",INT(INDEX($N867:$S867,$Z867)))</f>
        <v/>
      </c>
      <c r="AB867" s="19">
        <f>IF(OR($Z867="",$Z867=6),"",WORKDAY($AA867,CHOOSE($Z867,3,3,2,2,3),Holidays))</f>
        <v/>
      </c>
      <c r="AC867" s="17">
        <f>IF(OR($Z867="",$Z867=6),"",CHOOSE($Z867,"1st Email Follow-up","2nd Email Follow-up","Escalate Local Office","Escalate to CBE","Escalate to Roxanne"))</f>
        <v/>
      </c>
    </row>
    <row r="868" spans="13:29">
      <c r="M868" s="14"/>
      <c r="T868" s="16"/>
      <c r="U868" s="17">
        <f>IF(AND(COUNTA($A868:$L868)=0,$N868=""),"",IF($T868="Paid","PAID",IF($T868="Closed","CLOSED",IF($Z868="","",IF($Z868=6,"ESCALATED TO ROXANNE",IF(TODAY()&gt;$AB868,"OVERDUE",IF($AB868&lt;=WORKDAY(TODAY(),1,Holidays),"DUE TOMORROW",IF($Z868=4,"ESCALATED TO LOCAL OFFICE",IF($Z868=5,"ESCALATED TO CBE",IF($AA868=TODAY(),"EMAIL SENT","MONITORING"))))))))))</f>
        <v/>
      </c>
      <c r="V868" s="17">
        <f>IF($U868="",IF(AND(COUNTA($A868:$L868)&gt;0,$N868=""),"Awaiting Collection Email time stamp.",""),IF(OR($U868="PAID",$U868="CLOSED"),IF($U868="PAID","Account paid. Action completed.","Account closed. No further action required."),CHOOSE($Z868,"Collection Email","1st Email Follow-up","2nd Email Follow-up","Escalation to Local Office","Escalation to CBE","Escalation to Roxanne")&amp;" sent "&amp;TEXT($AA868,"dd-mmm")&amp;". "&amp;IF($Z868=6,"Final escalation completed.",IF($U868="OVERDUE","Next: "&amp;$AC868&amp;" was due "&amp;TEXT($AB868,"dd-mmm")&amp;" - "&amp;(NETWORKDAYS($AB868,TODAY(),Holidays)-1)&amp;" business day(s) late. Send now.",IF($U868="DUE TOMORROW","Next: "&amp;$AC868&amp;IF($AB868&lt;=TODAY()," is due TODAY ("," is due next business day (")&amp;TEXT($AB868,"dd-mmm")&amp;").","Next: "&amp;$AC868&amp;" due "&amp;TEXT($AB868,"dd-mmm")&amp;" ("&amp;(NETWORKDAYS(TODAY(),$AB868,Holidays)-1)&amp;" business day(s) left).")))))</f>
        <v/>
      </c>
      <c r="W868" s="17">
        <f>IF($Z868="","",CHOOSE($Z868,"Collection Email","1st Follow-up","2nd Follow-up","Local Office","CBE","Roxanne")&amp;IF($Z868=6," - Final"," - Day "&amp;MAX(0,NETWORKDAYS($AA868,TODAY(),Holidays)-1)&amp;" of "&amp;CHOOSE($Z868,3,3,2,2,3))&amp;" | Total Day "&amp;MAX(0,NETWORKDAYS($N868,TODAY(),Holidays)-1))</f>
        <v/>
      </c>
      <c r="X868" s="18"/>
      <c r="Y868" s="18"/>
      <c r="Z868" s="17">
        <f>IF($N868="","",COUNT($N868:$S868))</f>
        <v/>
      </c>
      <c r="AA868" s="19">
        <f>IF($Z868="","",INT(INDEX($N868:$S868,$Z868)))</f>
        <v/>
      </c>
      <c r="AB868" s="19">
        <f>IF(OR($Z868="",$Z868=6),"",WORKDAY($AA868,CHOOSE($Z868,3,3,2,2,3),Holidays))</f>
        <v/>
      </c>
      <c r="AC868" s="17">
        <f>IF(OR($Z868="",$Z868=6),"",CHOOSE($Z868,"1st Email Follow-up","2nd Email Follow-up","Escalate Local Office","Escalate to CBE","Escalate to Roxanne"))</f>
        <v/>
      </c>
    </row>
    <row r="869" spans="13:29">
      <c r="M869" s="14"/>
      <c r="T869" s="16"/>
      <c r="U869" s="17">
        <f>IF(AND(COUNTA($A869:$L869)=0,$N869=""),"",IF($T869="Paid","PAID",IF($T869="Closed","CLOSED",IF($Z869="","",IF($Z869=6,"ESCALATED TO ROXANNE",IF(TODAY()&gt;$AB869,"OVERDUE",IF($AB869&lt;=WORKDAY(TODAY(),1,Holidays),"DUE TOMORROW",IF($Z869=4,"ESCALATED TO LOCAL OFFICE",IF($Z869=5,"ESCALATED TO CBE",IF($AA869=TODAY(),"EMAIL SENT","MONITORING"))))))))))</f>
        <v/>
      </c>
      <c r="V869" s="17">
        <f>IF($U869="",IF(AND(COUNTA($A869:$L869)&gt;0,$N869=""),"Awaiting Collection Email time stamp.",""),IF(OR($U869="PAID",$U869="CLOSED"),IF($U869="PAID","Account paid. Action completed.","Account closed. No further action required."),CHOOSE($Z869,"Collection Email","1st Email Follow-up","2nd Email Follow-up","Escalation to Local Office","Escalation to CBE","Escalation to Roxanne")&amp;" sent "&amp;TEXT($AA869,"dd-mmm")&amp;". "&amp;IF($Z869=6,"Final escalation completed.",IF($U869="OVERDUE","Next: "&amp;$AC869&amp;" was due "&amp;TEXT($AB869,"dd-mmm")&amp;" - "&amp;(NETWORKDAYS($AB869,TODAY(),Holidays)-1)&amp;" business day(s) late. Send now.",IF($U869="DUE TOMORROW","Next: "&amp;$AC869&amp;IF($AB869&lt;=TODAY()," is due TODAY ("," is due next business day (")&amp;TEXT($AB869,"dd-mmm")&amp;").","Next: "&amp;$AC869&amp;" due "&amp;TEXT($AB869,"dd-mmm")&amp;" ("&amp;(NETWORKDAYS(TODAY(),$AB869,Holidays)-1)&amp;" business day(s) left).")))))</f>
        <v/>
      </c>
      <c r="W869" s="17">
        <f>IF($Z869="","",CHOOSE($Z869,"Collection Email","1st Follow-up","2nd Follow-up","Local Office","CBE","Roxanne")&amp;IF($Z869=6," - Final"," - Day "&amp;MAX(0,NETWORKDAYS($AA869,TODAY(),Holidays)-1)&amp;" of "&amp;CHOOSE($Z869,3,3,2,2,3))&amp;" | Total Day "&amp;MAX(0,NETWORKDAYS($N869,TODAY(),Holidays)-1))</f>
        <v/>
      </c>
      <c r="X869" s="18"/>
      <c r="Y869" s="18"/>
      <c r="Z869" s="17">
        <f>IF($N869="","",COUNT($N869:$S869))</f>
        <v/>
      </c>
      <c r="AA869" s="19">
        <f>IF($Z869="","",INT(INDEX($N869:$S869,$Z869)))</f>
        <v/>
      </c>
      <c r="AB869" s="19">
        <f>IF(OR($Z869="",$Z869=6),"",WORKDAY($AA869,CHOOSE($Z869,3,3,2,2,3),Holidays))</f>
        <v/>
      </c>
      <c r="AC869" s="17">
        <f>IF(OR($Z869="",$Z869=6),"",CHOOSE($Z869,"1st Email Follow-up","2nd Email Follow-up","Escalate Local Office","Escalate to CBE","Escalate to Roxanne"))</f>
        <v/>
      </c>
    </row>
    <row r="870" spans="13:29">
      <c r="M870" s="14"/>
      <c r="T870" s="16"/>
      <c r="U870" s="17">
        <f>IF(AND(COUNTA($A870:$L870)=0,$N870=""),"",IF($T870="Paid","PAID",IF($T870="Closed","CLOSED",IF($Z870="","",IF($Z870=6,"ESCALATED TO ROXANNE",IF(TODAY()&gt;$AB870,"OVERDUE",IF($AB870&lt;=WORKDAY(TODAY(),1,Holidays),"DUE TOMORROW",IF($Z870=4,"ESCALATED TO LOCAL OFFICE",IF($Z870=5,"ESCALATED TO CBE",IF($AA870=TODAY(),"EMAIL SENT","MONITORING"))))))))))</f>
        <v/>
      </c>
      <c r="V870" s="17">
        <f>IF($U870="",IF(AND(COUNTA($A870:$L870)&gt;0,$N870=""),"Awaiting Collection Email time stamp.",""),IF(OR($U870="PAID",$U870="CLOSED"),IF($U870="PAID","Account paid. Action completed.","Account closed. No further action required."),CHOOSE($Z870,"Collection Email","1st Email Follow-up","2nd Email Follow-up","Escalation to Local Office","Escalation to CBE","Escalation to Roxanne")&amp;" sent "&amp;TEXT($AA870,"dd-mmm")&amp;". "&amp;IF($Z870=6,"Final escalation completed.",IF($U870="OVERDUE","Next: "&amp;$AC870&amp;" was due "&amp;TEXT($AB870,"dd-mmm")&amp;" - "&amp;(NETWORKDAYS($AB870,TODAY(),Holidays)-1)&amp;" business day(s) late. Send now.",IF($U870="DUE TOMORROW","Next: "&amp;$AC870&amp;IF($AB870&lt;=TODAY()," is due TODAY ("," is due next business day (")&amp;TEXT($AB870,"dd-mmm")&amp;").","Next: "&amp;$AC870&amp;" due "&amp;TEXT($AB870,"dd-mmm")&amp;" ("&amp;(NETWORKDAYS(TODAY(),$AB870,Holidays)-1)&amp;" business day(s) left).")))))</f>
        <v/>
      </c>
      <c r="W870" s="17">
        <f>IF($Z870="","",CHOOSE($Z870,"Collection Email","1st Follow-up","2nd Follow-up","Local Office","CBE","Roxanne")&amp;IF($Z870=6," - Final"," - Day "&amp;MAX(0,NETWORKDAYS($AA870,TODAY(),Holidays)-1)&amp;" of "&amp;CHOOSE($Z870,3,3,2,2,3))&amp;" | Total Day "&amp;MAX(0,NETWORKDAYS($N870,TODAY(),Holidays)-1))</f>
        <v/>
      </c>
      <c r="X870" s="18"/>
      <c r="Y870" s="18"/>
      <c r="Z870" s="17">
        <f>IF($N870="","",COUNT($N870:$S870))</f>
        <v/>
      </c>
      <c r="AA870" s="19">
        <f>IF($Z870="","",INT(INDEX($N870:$S870,$Z870)))</f>
        <v/>
      </c>
      <c r="AB870" s="19">
        <f>IF(OR($Z870="",$Z870=6),"",WORKDAY($AA870,CHOOSE($Z870,3,3,2,2,3),Holidays))</f>
        <v/>
      </c>
      <c r="AC870" s="17">
        <f>IF(OR($Z870="",$Z870=6),"",CHOOSE($Z870,"1st Email Follow-up","2nd Email Follow-up","Escalate Local Office","Escalate to CBE","Escalate to Roxanne"))</f>
        <v/>
      </c>
    </row>
    <row r="871" spans="13:29">
      <c r="M871" s="14"/>
      <c r="T871" s="16"/>
      <c r="U871" s="17">
        <f>IF(AND(COUNTA($A871:$L871)=0,$N871=""),"",IF($T871="Paid","PAID",IF($T871="Closed","CLOSED",IF($Z871="","",IF($Z871=6,"ESCALATED TO ROXANNE",IF(TODAY()&gt;$AB871,"OVERDUE",IF($AB871&lt;=WORKDAY(TODAY(),1,Holidays),"DUE TOMORROW",IF($Z871=4,"ESCALATED TO LOCAL OFFICE",IF($Z871=5,"ESCALATED TO CBE",IF($AA871=TODAY(),"EMAIL SENT","MONITORING"))))))))))</f>
        <v/>
      </c>
      <c r="V871" s="17">
        <f>IF($U871="",IF(AND(COUNTA($A871:$L871)&gt;0,$N871=""),"Awaiting Collection Email time stamp.",""),IF(OR($U871="PAID",$U871="CLOSED"),IF($U871="PAID","Account paid. Action completed.","Account closed. No further action required."),CHOOSE($Z871,"Collection Email","1st Email Follow-up","2nd Email Follow-up","Escalation to Local Office","Escalation to CBE","Escalation to Roxanne")&amp;" sent "&amp;TEXT($AA871,"dd-mmm")&amp;". "&amp;IF($Z871=6,"Final escalation completed.",IF($U871="OVERDUE","Next: "&amp;$AC871&amp;" was due "&amp;TEXT($AB871,"dd-mmm")&amp;" - "&amp;(NETWORKDAYS($AB871,TODAY(),Holidays)-1)&amp;" business day(s) late. Send now.",IF($U871="DUE TOMORROW","Next: "&amp;$AC871&amp;IF($AB871&lt;=TODAY()," is due TODAY ("," is due next business day (")&amp;TEXT($AB871,"dd-mmm")&amp;").","Next: "&amp;$AC871&amp;" due "&amp;TEXT($AB871,"dd-mmm")&amp;" ("&amp;(NETWORKDAYS(TODAY(),$AB871,Holidays)-1)&amp;" business day(s) left).")))))</f>
        <v/>
      </c>
      <c r="W871" s="17">
        <f>IF($Z871="","",CHOOSE($Z871,"Collection Email","1st Follow-up","2nd Follow-up","Local Office","CBE","Roxanne")&amp;IF($Z871=6," - Final"," - Day "&amp;MAX(0,NETWORKDAYS($AA871,TODAY(),Holidays)-1)&amp;" of "&amp;CHOOSE($Z871,3,3,2,2,3))&amp;" | Total Day "&amp;MAX(0,NETWORKDAYS($N871,TODAY(),Holidays)-1))</f>
        <v/>
      </c>
      <c r="X871" s="18"/>
      <c r="Y871" s="18"/>
      <c r="Z871" s="17">
        <f>IF($N871="","",COUNT($N871:$S871))</f>
        <v/>
      </c>
      <c r="AA871" s="19">
        <f>IF($Z871="","",INT(INDEX($N871:$S871,$Z871)))</f>
        <v/>
      </c>
      <c r="AB871" s="19">
        <f>IF(OR($Z871="",$Z871=6),"",WORKDAY($AA871,CHOOSE($Z871,3,3,2,2,3),Holidays))</f>
        <v/>
      </c>
      <c r="AC871" s="17">
        <f>IF(OR($Z871="",$Z871=6),"",CHOOSE($Z871,"1st Email Follow-up","2nd Email Follow-up","Escalate Local Office","Escalate to CBE","Escalate to Roxanne"))</f>
        <v/>
      </c>
    </row>
    <row r="872" spans="13:29">
      <c r="M872" s="14"/>
      <c r="T872" s="16"/>
      <c r="U872" s="17">
        <f>IF(AND(COUNTA($A872:$L872)=0,$N872=""),"",IF($T872="Paid","PAID",IF($T872="Closed","CLOSED",IF($Z872="","",IF($Z872=6,"ESCALATED TO ROXANNE",IF(TODAY()&gt;$AB872,"OVERDUE",IF($AB872&lt;=WORKDAY(TODAY(),1,Holidays),"DUE TOMORROW",IF($Z872=4,"ESCALATED TO LOCAL OFFICE",IF($Z872=5,"ESCALATED TO CBE",IF($AA872=TODAY(),"EMAIL SENT","MONITORING"))))))))))</f>
        <v/>
      </c>
      <c r="V872" s="17">
        <f>IF($U872="",IF(AND(COUNTA($A872:$L872)&gt;0,$N872=""),"Awaiting Collection Email time stamp.",""),IF(OR($U872="PAID",$U872="CLOSED"),IF($U872="PAID","Account paid. Action completed.","Account closed. No further action required."),CHOOSE($Z872,"Collection Email","1st Email Follow-up","2nd Email Follow-up","Escalation to Local Office","Escalation to CBE","Escalation to Roxanne")&amp;" sent "&amp;TEXT($AA872,"dd-mmm")&amp;". "&amp;IF($Z872=6,"Final escalation completed.",IF($U872="OVERDUE","Next: "&amp;$AC872&amp;" was due "&amp;TEXT($AB872,"dd-mmm")&amp;" - "&amp;(NETWORKDAYS($AB872,TODAY(),Holidays)-1)&amp;" business day(s) late. Send now.",IF($U872="DUE TOMORROW","Next: "&amp;$AC872&amp;IF($AB872&lt;=TODAY()," is due TODAY ("," is due next business day (")&amp;TEXT($AB872,"dd-mmm")&amp;").","Next: "&amp;$AC872&amp;" due "&amp;TEXT($AB872,"dd-mmm")&amp;" ("&amp;(NETWORKDAYS(TODAY(),$AB872,Holidays)-1)&amp;" business day(s) left).")))))</f>
        <v/>
      </c>
      <c r="W872" s="17">
        <f>IF($Z872="","",CHOOSE($Z872,"Collection Email","1st Follow-up","2nd Follow-up","Local Office","CBE","Roxanne")&amp;IF($Z872=6," - Final"," - Day "&amp;MAX(0,NETWORKDAYS($AA872,TODAY(),Holidays)-1)&amp;" of "&amp;CHOOSE($Z872,3,3,2,2,3))&amp;" | Total Day "&amp;MAX(0,NETWORKDAYS($N872,TODAY(),Holidays)-1))</f>
        <v/>
      </c>
      <c r="X872" s="18"/>
      <c r="Y872" s="18"/>
      <c r="Z872" s="17">
        <f>IF($N872="","",COUNT($N872:$S872))</f>
        <v/>
      </c>
      <c r="AA872" s="19">
        <f>IF($Z872="","",INT(INDEX($N872:$S872,$Z872)))</f>
        <v/>
      </c>
      <c r="AB872" s="19">
        <f>IF(OR($Z872="",$Z872=6),"",WORKDAY($AA872,CHOOSE($Z872,3,3,2,2,3),Holidays))</f>
        <v/>
      </c>
      <c r="AC872" s="17">
        <f>IF(OR($Z872="",$Z872=6),"",CHOOSE($Z872,"1st Email Follow-up","2nd Email Follow-up","Escalate Local Office","Escalate to CBE","Escalate to Roxanne"))</f>
        <v/>
      </c>
    </row>
    <row r="873" spans="13:29">
      <c r="M873" s="14"/>
      <c r="T873" s="16"/>
      <c r="U873" s="17">
        <f>IF(AND(COUNTA($A873:$L873)=0,$N873=""),"",IF($T873="Paid","PAID",IF($T873="Closed","CLOSED",IF($Z873="","",IF($Z873=6,"ESCALATED TO ROXANNE",IF(TODAY()&gt;$AB873,"OVERDUE",IF($AB873&lt;=WORKDAY(TODAY(),1,Holidays),"DUE TOMORROW",IF($Z873=4,"ESCALATED TO LOCAL OFFICE",IF($Z873=5,"ESCALATED TO CBE",IF($AA873=TODAY(),"EMAIL SENT","MONITORING"))))))))))</f>
        <v/>
      </c>
      <c r="V873" s="17">
        <f>IF($U873="",IF(AND(COUNTA($A873:$L873)&gt;0,$N873=""),"Awaiting Collection Email time stamp.",""),IF(OR($U873="PAID",$U873="CLOSED"),IF($U873="PAID","Account paid. Action completed.","Account closed. No further action required."),CHOOSE($Z873,"Collection Email","1st Email Follow-up","2nd Email Follow-up","Escalation to Local Office","Escalation to CBE","Escalation to Roxanne")&amp;" sent "&amp;TEXT($AA873,"dd-mmm")&amp;". "&amp;IF($Z873=6,"Final escalation completed.",IF($U873="OVERDUE","Next: "&amp;$AC873&amp;" was due "&amp;TEXT($AB873,"dd-mmm")&amp;" - "&amp;(NETWORKDAYS($AB873,TODAY(),Holidays)-1)&amp;" business day(s) late. Send now.",IF($U873="DUE TOMORROW","Next: "&amp;$AC873&amp;IF($AB873&lt;=TODAY()," is due TODAY ("," is due next business day (")&amp;TEXT($AB873,"dd-mmm")&amp;").","Next: "&amp;$AC873&amp;" due "&amp;TEXT($AB873,"dd-mmm")&amp;" ("&amp;(NETWORKDAYS(TODAY(),$AB873,Holidays)-1)&amp;" business day(s) left).")))))</f>
        <v/>
      </c>
      <c r="W873" s="17">
        <f>IF($Z873="","",CHOOSE($Z873,"Collection Email","1st Follow-up","2nd Follow-up","Local Office","CBE","Roxanne")&amp;IF($Z873=6," - Final"," - Day "&amp;MAX(0,NETWORKDAYS($AA873,TODAY(),Holidays)-1)&amp;" of "&amp;CHOOSE($Z873,3,3,2,2,3))&amp;" | Total Day "&amp;MAX(0,NETWORKDAYS($N873,TODAY(),Holidays)-1))</f>
        <v/>
      </c>
      <c r="X873" s="18"/>
      <c r="Y873" s="18"/>
      <c r="Z873" s="17">
        <f>IF($N873="","",COUNT($N873:$S873))</f>
        <v/>
      </c>
      <c r="AA873" s="19">
        <f>IF($Z873="","",INT(INDEX($N873:$S873,$Z873)))</f>
        <v/>
      </c>
      <c r="AB873" s="19">
        <f>IF(OR($Z873="",$Z873=6),"",WORKDAY($AA873,CHOOSE($Z873,3,3,2,2,3),Holidays))</f>
        <v/>
      </c>
      <c r="AC873" s="17">
        <f>IF(OR($Z873="",$Z873=6),"",CHOOSE($Z873,"1st Email Follow-up","2nd Email Follow-up","Escalate Local Office","Escalate to CBE","Escalate to Roxanne"))</f>
        <v/>
      </c>
    </row>
    <row r="874" spans="13:29">
      <c r="M874" s="14"/>
      <c r="T874" s="16"/>
      <c r="U874" s="17">
        <f>IF(AND(COUNTA($A874:$L874)=0,$N874=""),"",IF($T874="Paid","PAID",IF($T874="Closed","CLOSED",IF($Z874="","",IF($Z874=6,"ESCALATED TO ROXANNE",IF(TODAY()&gt;$AB874,"OVERDUE",IF($AB874&lt;=WORKDAY(TODAY(),1,Holidays),"DUE TOMORROW",IF($Z874=4,"ESCALATED TO LOCAL OFFICE",IF($Z874=5,"ESCALATED TO CBE",IF($AA874=TODAY(),"EMAIL SENT","MONITORING"))))))))))</f>
        <v/>
      </c>
      <c r="V874" s="17">
        <f>IF($U874="",IF(AND(COUNTA($A874:$L874)&gt;0,$N874=""),"Awaiting Collection Email time stamp.",""),IF(OR($U874="PAID",$U874="CLOSED"),IF($U874="PAID","Account paid. Action completed.","Account closed. No further action required."),CHOOSE($Z874,"Collection Email","1st Email Follow-up","2nd Email Follow-up","Escalation to Local Office","Escalation to CBE","Escalation to Roxanne")&amp;" sent "&amp;TEXT($AA874,"dd-mmm")&amp;". "&amp;IF($Z874=6,"Final escalation completed.",IF($U874="OVERDUE","Next: "&amp;$AC874&amp;" was due "&amp;TEXT($AB874,"dd-mmm")&amp;" - "&amp;(NETWORKDAYS($AB874,TODAY(),Holidays)-1)&amp;" business day(s) late. Send now.",IF($U874="DUE TOMORROW","Next: "&amp;$AC874&amp;IF($AB874&lt;=TODAY()," is due TODAY ("," is due next business day (")&amp;TEXT($AB874,"dd-mmm")&amp;").","Next: "&amp;$AC874&amp;" due "&amp;TEXT($AB874,"dd-mmm")&amp;" ("&amp;(NETWORKDAYS(TODAY(),$AB874,Holidays)-1)&amp;" business day(s) left).")))))</f>
        <v/>
      </c>
      <c r="W874" s="17">
        <f>IF($Z874="","",CHOOSE($Z874,"Collection Email","1st Follow-up","2nd Follow-up","Local Office","CBE","Roxanne")&amp;IF($Z874=6," - Final"," - Day "&amp;MAX(0,NETWORKDAYS($AA874,TODAY(),Holidays)-1)&amp;" of "&amp;CHOOSE($Z874,3,3,2,2,3))&amp;" | Total Day "&amp;MAX(0,NETWORKDAYS($N874,TODAY(),Holidays)-1))</f>
        <v/>
      </c>
      <c r="X874" s="18"/>
      <c r="Y874" s="18"/>
      <c r="Z874" s="17">
        <f>IF($N874="","",COUNT($N874:$S874))</f>
        <v/>
      </c>
      <c r="AA874" s="19">
        <f>IF($Z874="","",INT(INDEX($N874:$S874,$Z874)))</f>
        <v/>
      </c>
      <c r="AB874" s="19">
        <f>IF(OR($Z874="",$Z874=6),"",WORKDAY($AA874,CHOOSE($Z874,3,3,2,2,3),Holidays))</f>
        <v/>
      </c>
      <c r="AC874" s="17">
        <f>IF(OR($Z874="",$Z874=6),"",CHOOSE($Z874,"1st Email Follow-up","2nd Email Follow-up","Escalate Local Office","Escalate to CBE","Escalate to Roxanne"))</f>
        <v/>
      </c>
    </row>
    <row r="875" spans="13:29">
      <c r="M875" s="14"/>
      <c r="T875" s="16"/>
      <c r="U875" s="17">
        <f>IF(AND(COUNTA($A875:$L875)=0,$N875=""),"",IF($T875="Paid","PAID",IF($T875="Closed","CLOSED",IF($Z875="","",IF($Z875=6,"ESCALATED TO ROXANNE",IF(TODAY()&gt;$AB875,"OVERDUE",IF($AB875&lt;=WORKDAY(TODAY(),1,Holidays),"DUE TOMORROW",IF($Z875=4,"ESCALATED TO LOCAL OFFICE",IF($Z875=5,"ESCALATED TO CBE",IF($AA875=TODAY(),"EMAIL SENT","MONITORING"))))))))))</f>
        <v/>
      </c>
      <c r="V875" s="17">
        <f>IF($U875="",IF(AND(COUNTA($A875:$L875)&gt;0,$N875=""),"Awaiting Collection Email time stamp.",""),IF(OR($U875="PAID",$U875="CLOSED"),IF($U875="PAID","Account paid. Action completed.","Account closed. No further action required."),CHOOSE($Z875,"Collection Email","1st Email Follow-up","2nd Email Follow-up","Escalation to Local Office","Escalation to CBE","Escalation to Roxanne")&amp;" sent "&amp;TEXT($AA875,"dd-mmm")&amp;". "&amp;IF($Z875=6,"Final escalation completed.",IF($U875="OVERDUE","Next: "&amp;$AC875&amp;" was due "&amp;TEXT($AB875,"dd-mmm")&amp;" - "&amp;(NETWORKDAYS($AB875,TODAY(),Holidays)-1)&amp;" business day(s) late. Send now.",IF($U875="DUE TOMORROW","Next: "&amp;$AC875&amp;IF($AB875&lt;=TODAY()," is due TODAY ("," is due next business day (")&amp;TEXT($AB875,"dd-mmm")&amp;").","Next: "&amp;$AC875&amp;" due "&amp;TEXT($AB875,"dd-mmm")&amp;" ("&amp;(NETWORKDAYS(TODAY(),$AB875,Holidays)-1)&amp;" business day(s) left).")))))</f>
        <v/>
      </c>
      <c r="W875" s="17">
        <f>IF($Z875="","",CHOOSE($Z875,"Collection Email","1st Follow-up","2nd Follow-up","Local Office","CBE","Roxanne")&amp;IF($Z875=6," - Final"," - Day "&amp;MAX(0,NETWORKDAYS($AA875,TODAY(),Holidays)-1)&amp;" of "&amp;CHOOSE($Z875,3,3,2,2,3))&amp;" | Total Day "&amp;MAX(0,NETWORKDAYS($N875,TODAY(),Holidays)-1))</f>
        <v/>
      </c>
      <c r="X875" s="18"/>
      <c r="Y875" s="18"/>
      <c r="Z875" s="17">
        <f>IF($N875="","",COUNT($N875:$S875))</f>
        <v/>
      </c>
      <c r="AA875" s="19">
        <f>IF($Z875="","",INT(INDEX($N875:$S875,$Z875)))</f>
        <v/>
      </c>
      <c r="AB875" s="19">
        <f>IF(OR($Z875="",$Z875=6),"",WORKDAY($AA875,CHOOSE($Z875,3,3,2,2,3),Holidays))</f>
        <v/>
      </c>
      <c r="AC875" s="17">
        <f>IF(OR($Z875="",$Z875=6),"",CHOOSE($Z875,"1st Email Follow-up","2nd Email Follow-up","Escalate Local Office","Escalate to CBE","Escalate to Roxanne"))</f>
        <v/>
      </c>
    </row>
    <row r="876" spans="13:29">
      <c r="M876" s="14"/>
      <c r="T876" s="16"/>
      <c r="U876" s="17">
        <f>IF(AND(COUNTA($A876:$L876)=0,$N876=""),"",IF($T876="Paid","PAID",IF($T876="Closed","CLOSED",IF($Z876="","",IF($Z876=6,"ESCALATED TO ROXANNE",IF(TODAY()&gt;$AB876,"OVERDUE",IF($AB876&lt;=WORKDAY(TODAY(),1,Holidays),"DUE TOMORROW",IF($Z876=4,"ESCALATED TO LOCAL OFFICE",IF($Z876=5,"ESCALATED TO CBE",IF($AA876=TODAY(),"EMAIL SENT","MONITORING"))))))))))</f>
        <v/>
      </c>
      <c r="V876" s="17">
        <f>IF($U876="",IF(AND(COUNTA($A876:$L876)&gt;0,$N876=""),"Awaiting Collection Email time stamp.",""),IF(OR($U876="PAID",$U876="CLOSED"),IF($U876="PAID","Account paid. Action completed.","Account closed. No further action required."),CHOOSE($Z876,"Collection Email","1st Email Follow-up","2nd Email Follow-up","Escalation to Local Office","Escalation to CBE","Escalation to Roxanne")&amp;" sent "&amp;TEXT($AA876,"dd-mmm")&amp;". "&amp;IF($Z876=6,"Final escalation completed.",IF($U876="OVERDUE","Next: "&amp;$AC876&amp;" was due "&amp;TEXT($AB876,"dd-mmm")&amp;" - "&amp;(NETWORKDAYS($AB876,TODAY(),Holidays)-1)&amp;" business day(s) late. Send now.",IF($U876="DUE TOMORROW","Next: "&amp;$AC876&amp;IF($AB876&lt;=TODAY()," is due TODAY ("," is due next business day (")&amp;TEXT($AB876,"dd-mmm")&amp;").","Next: "&amp;$AC876&amp;" due "&amp;TEXT($AB876,"dd-mmm")&amp;" ("&amp;(NETWORKDAYS(TODAY(),$AB876,Holidays)-1)&amp;" business day(s) left).")))))</f>
        <v/>
      </c>
      <c r="W876" s="17">
        <f>IF($Z876="","",CHOOSE($Z876,"Collection Email","1st Follow-up","2nd Follow-up","Local Office","CBE","Roxanne")&amp;IF($Z876=6," - Final"," - Day "&amp;MAX(0,NETWORKDAYS($AA876,TODAY(),Holidays)-1)&amp;" of "&amp;CHOOSE($Z876,3,3,2,2,3))&amp;" | Total Day "&amp;MAX(0,NETWORKDAYS($N876,TODAY(),Holidays)-1))</f>
        <v/>
      </c>
      <c r="X876" s="18"/>
      <c r="Y876" s="18"/>
      <c r="Z876" s="17">
        <f>IF($N876="","",COUNT($N876:$S876))</f>
        <v/>
      </c>
      <c r="AA876" s="19">
        <f>IF($Z876="","",INT(INDEX($N876:$S876,$Z876)))</f>
        <v/>
      </c>
      <c r="AB876" s="19">
        <f>IF(OR($Z876="",$Z876=6),"",WORKDAY($AA876,CHOOSE($Z876,3,3,2,2,3),Holidays))</f>
        <v/>
      </c>
      <c r="AC876" s="17">
        <f>IF(OR($Z876="",$Z876=6),"",CHOOSE($Z876,"1st Email Follow-up","2nd Email Follow-up","Escalate Local Office","Escalate to CBE","Escalate to Roxanne"))</f>
        <v/>
      </c>
    </row>
    <row r="877" spans="13:29">
      <c r="M877" s="14"/>
      <c r="T877" s="16"/>
      <c r="U877" s="17">
        <f>IF(AND(COUNTA($A877:$L877)=0,$N877=""),"",IF($T877="Paid","PAID",IF($T877="Closed","CLOSED",IF($Z877="","",IF($Z877=6,"ESCALATED TO ROXANNE",IF(TODAY()&gt;$AB877,"OVERDUE",IF($AB877&lt;=WORKDAY(TODAY(),1,Holidays),"DUE TOMORROW",IF($Z877=4,"ESCALATED TO LOCAL OFFICE",IF($Z877=5,"ESCALATED TO CBE",IF($AA877=TODAY(),"EMAIL SENT","MONITORING"))))))))))</f>
        <v/>
      </c>
      <c r="V877" s="17">
        <f>IF($U877="",IF(AND(COUNTA($A877:$L877)&gt;0,$N877=""),"Awaiting Collection Email time stamp.",""),IF(OR($U877="PAID",$U877="CLOSED"),IF($U877="PAID","Account paid. Action completed.","Account closed. No further action required."),CHOOSE($Z877,"Collection Email","1st Email Follow-up","2nd Email Follow-up","Escalation to Local Office","Escalation to CBE","Escalation to Roxanne")&amp;" sent "&amp;TEXT($AA877,"dd-mmm")&amp;". "&amp;IF($Z877=6,"Final escalation completed.",IF($U877="OVERDUE","Next: "&amp;$AC877&amp;" was due "&amp;TEXT($AB877,"dd-mmm")&amp;" - "&amp;(NETWORKDAYS($AB877,TODAY(),Holidays)-1)&amp;" business day(s) late. Send now.",IF($U877="DUE TOMORROW","Next: "&amp;$AC877&amp;IF($AB877&lt;=TODAY()," is due TODAY ("," is due next business day (")&amp;TEXT($AB877,"dd-mmm")&amp;").","Next: "&amp;$AC877&amp;" due "&amp;TEXT($AB877,"dd-mmm")&amp;" ("&amp;(NETWORKDAYS(TODAY(),$AB877,Holidays)-1)&amp;" business day(s) left).")))))</f>
        <v/>
      </c>
      <c r="W877" s="17">
        <f>IF($Z877="","",CHOOSE($Z877,"Collection Email","1st Follow-up","2nd Follow-up","Local Office","CBE","Roxanne")&amp;IF($Z877=6," - Final"," - Day "&amp;MAX(0,NETWORKDAYS($AA877,TODAY(),Holidays)-1)&amp;" of "&amp;CHOOSE($Z877,3,3,2,2,3))&amp;" | Total Day "&amp;MAX(0,NETWORKDAYS($N877,TODAY(),Holidays)-1))</f>
        <v/>
      </c>
      <c r="X877" s="18"/>
      <c r="Y877" s="18"/>
      <c r="Z877" s="17">
        <f>IF($N877="","",COUNT($N877:$S877))</f>
        <v/>
      </c>
      <c r="AA877" s="19">
        <f>IF($Z877="","",INT(INDEX($N877:$S877,$Z877)))</f>
        <v/>
      </c>
      <c r="AB877" s="19">
        <f>IF(OR($Z877="",$Z877=6),"",WORKDAY($AA877,CHOOSE($Z877,3,3,2,2,3),Holidays))</f>
        <v/>
      </c>
      <c r="AC877" s="17">
        <f>IF(OR($Z877="",$Z877=6),"",CHOOSE($Z877,"1st Email Follow-up","2nd Email Follow-up","Escalate Local Office","Escalate to CBE","Escalate to Roxanne"))</f>
        <v/>
      </c>
    </row>
    <row r="878" spans="13:29">
      <c r="M878" s="14"/>
      <c r="T878" s="16"/>
      <c r="U878" s="17">
        <f>IF(AND(COUNTA($A878:$L878)=0,$N878=""),"",IF($T878="Paid","PAID",IF($T878="Closed","CLOSED",IF($Z878="","",IF($Z878=6,"ESCALATED TO ROXANNE",IF(TODAY()&gt;$AB878,"OVERDUE",IF($AB878&lt;=WORKDAY(TODAY(),1,Holidays),"DUE TOMORROW",IF($Z878=4,"ESCALATED TO LOCAL OFFICE",IF($Z878=5,"ESCALATED TO CBE",IF($AA878=TODAY(),"EMAIL SENT","MONITORING"))))))))))</f>
        <v/>
      </c>
      <c r="V878" s="17">
        <f>IF($U878="",IF(AND(COUNTA($A878:$L878)&gt;0,$N878=""),"Awaiting Collection Email time stamp.",""),IF(OR($U878="PAID",$U878="CLOSED"),IF($U878="PAID","Account paid. Action completed.","Account closed. No further action required."),CHOOSE($Z878,"Collection Email","1st Email Follow-up","2nd Email Follow-up","Escalation to Local Office","Escalation to CBE","Escalation to Roxanne")&amp;" sent "&amp;TEXT($AA878,"dd-mmm")&amp;". "&amp;IF($Z878=6,"Final escalation completed.",IF($U878="OVERDUE","Next: "&amp;$AC878&amp;" was due "&amp;TEXT($AB878,"dd-mmm")&amp;" - "&amp;(NETWORKDAYS($AB878,TODAY(),Holidays)-1)&amp;" business day(s) late. Send now.",IF($U878="DUE TOMORROW","Next: "&amp;$AC878&amp;IF($AB878&lt;=TODAY()," is due TODAY ("," is due next business day (")&amp;TEXT($AB878,"dd-mmm")&amp;").","Next: "&amp;$AC878&amp;" due "&amp;TEXT($AB878,"dd-mmm")&amp;" ("&amp;(NETWORKDAYS(TODAY(),$AB878,Holidays)-1)&amp;" business day(s) left).")))))</f>
        <v/>
      </c>
      <c r="W878" s="17">
        <f>IF($Z878="","",CHOOSE($Z878,"Collection Email","1st Follow-up","2nd Follow-up","Local Office","CBE","Roxanne")&amp;IF($Z878=6," - Final"," - Day "&amp;MAX(0,NETWORKDAYS($AA878,TODAY(),Holidays)-1)&amp;" of "&amp;CHOOSE($Z878,3,3,2,2,3))&amp;" | Total Day "&amp;MAX(0,NETWORKDAYS($N878,TODAY(),Holidays)-1))</f>
        <v/>
      </c>
      <c r="X878" s="18"/>
      <c r="Y878" s="18"/>
      <c r="Z878" s="17">
        <f>IF($N878="","",COUNT($N878:$S878))</f>
        <v/>
      </c>
      <c r="AA878" s="19">
        <f>IF($Z878="","",INT(INDEX($N878:$S878,$Z878)))</f>
        <v/>
      </c>
      <c r="AB878" s="19">
        <f>IF(OR($Z878="",$Z878=6),"",WORKDAY($AA878,CHOOSE($Z878,3,3,2,2,3),Holidays))</f>
        <v/>
      </c>
      <c r="AC878" s="17">
        <f>IF(OR($Z878="",$Z878=6),"",CHOOSE($Z878,"1st Email Follow-up","2nd Email Follow-up","Escalate Local Office","Escalate to CBE","Escalate to Roxanne"))</f>
        <v/>
      </c>
    </row>
    <row r="879" spans="13:29">
      <c r="M879" s="14"/>
      <c r="T879" s="16"/>
      <c r="U879" s="17">
        <f>IF(AND(COUNTA($A879:$L879)=0,$N879=""),"",IF($T879="Paid","PAID",IF($T879="Closed","CLOSED",IF($Z879="","",IF($Z879=6,"ESCALATED TO ROXANNE",IF(TODAY()&gt;$AB879,"OVERDUE",IF($AB879&lt;=WORKDAY(TODAY(),1,Holidays),"DUE TOMORROW",IF($Z879=4,"ESCALATED TO LOCAL OFFICE",IF($Z879=5,"ESCALATED TO CBE",IF($AA879=TODAY(),"EMAIL SENT","MONITORING"))))))))))</f>
        <v/>
      </c>
      <c r="V879" s="17">
        <f>IF($U879="",IF(AND(COUNTA($A879:$L879)&gt;0,$N879=""),"Awaiting Collection Email time stamp.",""),IF(OR($U879="PAID",$U879="CLOSED"),IF($U879="PAID","Account paid. Action completed.","Account closed. No further action required."),CHOOSE($Z879,"Collection Email","1st Email Follow-up","2nd Email Follow-up","Escalation to Local Office","Escalation to CBE","Escalation to Roxanne")&amp;" sent "&amp;TEXT($AA879,"dd-mmm")&amp;". "&amp;IF($Z879=6,"Final escalation completed.",IF($U879="OVERDUE","Next: "&amp;$AC879&amp;" was due "&amp;TEXT($AB879,"dd-mmm")&amp;" - "&amp;(NETWORKDAYS($AB879,TODAY(),Holidays)-1)&amp;" business day(s) late. Send now.",IF($U879="DUE TOMORROW","Next: "&amp;$AC879&amp;IF($AB879&lt;=TODAY()," is due TODAY ("," is due next business day (")&amp;TEXT($AB879,"dd-mmm")&amp;").","Next: "&amp;$AC879&amp;" due "&amp;TEXT($AB879,"dd-mmm")&amp;" ("&amp;(NETWORKDAYS(TODAY(),$AB879,Holidays)-1)&amp;" business day(s) left).")))))</f>
        <v/>
      </c>
      <c r="W879" s="17">
        <f>IF($Z879="","",CHOOSE($Z879,"Collection Email","1st Follow-up","2nd Follow-up","Local Office","CBE","Roxanne")&amp;IF($Z879=6," - Final"," - Day "&amp;MAX(0,NETWORKDAYS($AA879,TODAY(),Holidays)-1)&amp;" of "&amp;CHOOSE($Z879,3,3,2,2,3))&amp;" | Total Day "&amp;MAX(0,NETWORKDAYS($N879,TODAY(),Holidays)-1))</f>
        <v/>
      </c>
      <c r="X879" s="18"/>
      <c r="Y879" s="18"/>
      <c r="Z879" s="17">
        <f>IF($N879="","",COUNT($N879:$S879))</f>
        <v/>
      </c>
      <c r="AA879" s="19">
        <f>IF($Z879="","",INT(INDEX($N879:$S879,$Z879)))</f>
        <v/>
      </c>
      <c r="AB879" s="19">
        <f>IF(OR($Z879="",$Z879=6),"",WORKDAY($AA879,CHOOSE($Z879,3,3,2,2,3),Holidays))</f>
        <v/>
      </c>
      <c r="AC879" s="17">
        <f>IF(OR($Z879="",$Z879=6),"",CHOOSE($Z879,"1st Email Follow-up","2nd Email Follow-up","Escalate Local Office","Escalate to CBE","Escalate to Roxanne"))</f>
        <v/>
      </c>
    </row>
    <row r="880" spans="13:29">
      <c r="M880" s="14"/>
      <c r="T880" s="16"/>
      <c r="U880" s="17">
        <f>IF(AND(COUNTA($A880:$L880)=0,$N880=""),"",IF($T880="Paid","PAID",IF($T880="Closed","CLOSED",IF($Z880="","",IF($Z880=6,"ESCALATED TO ROXANNE",IF(TODAY()&gt;$AB880,"OVERDUE",IF($AB880&lt;=WORKDAY(TODAY(),1,Holidays),"DUE TOMORROW",IF($Z880=4,"ESCALATED TO LOCAL OFFICE",IF($Z880=5,"ESCALATED TO CBE",IF($AA880=TODAY(),"EMAIL SENT","MONITORING"))))))))))</f>
        <v/>
      </c>
      <c r="V880" s="17">
        <f>IF($U880="",IF(AND(COUNTA($A880:$L880)&gt;0,$N880=""),"Awaiting Collection Email time stamp.",""),IF(OR($U880="PAID",$U880="CLOSED"),IF($U880="PAID","Account paid. Action completed.","Account closed. No further action required."),CHOOSE($Z880,"Collection Email","1st Email Follow-up","2nd Email Follow-up","Escalation to Local Office","Escalation to CBE","Escalation to Roxanne")&amp;" sent "&amp;TEXT($AA880,"dd-mmm")&amp;". "&amp;IF($Z880=6,"Final escalation completed.",IF($U880="OVERDUE","Next: "&amp;$AC880&amp;" was due "&amp;TEXT($AB880,"dd-mmm")&amp;" - "&amp;(NETWORKDAYS($AB880,TODAY(),Holidays)-1)&amp;" business day(s) late. Send now.",IF($U880="DUE TOMORROW","Next: "&amp;$AC880&amp;IF($AB880&lt;=TODAY()," is due TODAY ("," is due next business day (")&amp;TEXT($AB880,"dd-mmm")&amp;").","Next: "&amp;$AC880&amp;" due "&amp;TEXT($AB880,"dd-mmm")&amp;" ("&amp;(NETWORKDAYS(TODAY(),$AB880,Holidays)-1)&amp;" business day(s) left).")))))</f>
        <v/>
      </c>
      <c r="W880" s="17">
        <f>IF($Z880="","",CHOOSE($Z880,"Collection Email","1st Follow-up","2nd Follow-up","Local Office","CBE","Roxanne")&amp;IF($Z880=6," - Final"," - Day "&amp;MAX(0,NETWORKDAYS($AA880,TODAY(),Holidays)-1)&amp;" of "&amp;CHOOSE($Z880,3,3,2,2,3))&amp;" | Total Day "&amp;MAX(0,NETWORKDAYS($N880,TODAY(),Holidays)-1))</f>
        <v/>
      </c>
      <c r="X880" s="18"/>
      <c r="Y880" s="18"/>
      <c r="Z880" s="17">
        <f>IF($N880="","",COUNT($N880:$S880))</f>
        <v/>
      </c>
      <c r="AA880" s="19">
        <f>IF($Z880="","",INT(INDEX($N880:$S880,$Z880)))</f>
        <v/>
      </c>
      <c r="AB880" s="19">
        <f>IF(OR($Z880="",$Z880=6),"",WORKDAY($AA880,CHOOSE($Z880,3,3,2,2,3),Holidays))</f>
        <v/>
      </c>
      <c r="AC880" s="17">
        <f>IF(OR($Z880="",$Z880=6),"",CHOOSE($Z880,"1st Email Follow-up","2nd Email Follow-up","Escalate Local Office","Escalate to CBE","Escalate to Roxanne"))</f>
        <v/>
      </c>
    </row>
    <row r="881" spans="13:29">
      <c r="M881" s="14"/>
      <c r="T881" s="16"/>
      <c r="U881" s="17">
        <f>IF(AND(COUNTA($A881:$L881)=0,$N881=""),"",IF($T881="Paid","PAID",IF($T881="Closed","CLOSED",IF($Z881="","",IF($Z881=6,"ESCALATED TO ROXANNE",IF(TODAY()&gt;$AB881,"OVERDUE",IF($AB881&lt;=WORKDAY(TODAY(),1,Holidays),"DUE TOMORROW",IF($Z881=4,"ESCALATED TO LOCAL OFFICE",IF($Z881=5,"ESCALATED TO CBE",IF($AA881=TODAY(),"EMAIL SENT","MONITORING"))))))))))</f>
        <v/>
      </c>
      <c r="V881" s="17">
        <f>IF($U881="",IF(AND(COUNTA($A881:$L881)&gt;0,$N881=""),"Awaiting Collection Email time stamp.",""),IF(OR($U881="PAID",$U881="CLOSED"),IF($U881="PAID","Account paid. Action completed.","Account closed. No further action required."),CHOOSE($Z881,"Collection Email","1st Email Follow-up","2nd Email Follow-up","Escalation to Local Office","Escalation to CBE","Escalation to Roxanne")&amp;" sent "&amp;TEXT($AA881,"dd-mmm")&amp;". "&amp;IF($Z881=6,"Final escalation completed.",IF($U881="OVERDUE","Next: "&amp;$AC881&amp;" was due "&amp;TEXT($AB881,"dd-mmm")&amp;" - "&amp;(NETWORKDAYS($AB881,TODAY(),Holidays)-1)&amp;" business day(s) late. Send now.",IF($U881="DUE TOMORROW","Next: "&amp;$AC881&amp;IF($AB881&lt;=TODAY()," is due TODAY ("," is due next business day (")&amp;TEXT($AB881,"dd-mmm")&amp;").","Next: "&amp;$AC881&amp;" due "&amp;TEXT($AB881,"dd-mmm")&amp;" ("&amp;(NETWORKDAYS(TODAY(),$AB881,Holidays)-1)&amp;" business day(s) left).")))))</f>
        <v/>
      </c>
      <c r="W881" s="17">
        <f>IF($Z881="","",CHOOSE($Z881,"Collection Email","1st Follow-up","2nd Follow-up","Local Office","CBE","Roxanne")&amp;IF($Z881=6," - Final"," - Day "&amp;MAX(0,NETWORKDAYS($AA881,TODAY(),Holidays)-1)&amp;" of "&amp;CHOOSE($Z881,3,3,2,2,3))&amp;" | Total Day "&amp;MAX(0,NETWORKDAYS($N881,TODAY(),Holidays)-1))</f>
        <v/>
      </c>
      <c r="X881" s="18"/>
      <c r="Y881" s="18"/>
      <c r="Z881" s="17">
        <f>IF($N881="","",COUNT($N881:$S881))</f>
        <v/>
      </c>
      <c r="AA881" s="19">
        <f>IF($Z881="","",INT(INDEX($N881:$S881,$Z881)))</f>
        <v/>
      </c>
      <c r="AB881" s="19">
        <f>IF(OR($Z881="",$Z881=6),"",WORKDAY($AA881,CHOOSE($Z881,3,3,2,2,3),Holidays))</f>
        <v/>
      </c>
      <c r="AC881" s="17">
        <f>IF(OR($Z881="",$Z881=6),"",CHOOSE($Z881,"1st Email Follow-up","2nd Email Follow-up","Escalate Local Office","Escalate to CBE","Escalate to Roxanne"))</f>
        <v/>
      </c>
    </row>
    <row r="882" spans="13:29">
      <c r="M882" s="14"/>
      <c r="T882" s="16"/>
      <c r="U882" s="17">
        <f>IF(AND(COUNTA($A882:$L882)=0,$N882=""),"",IF($T882="Paid","PAID",IF($T882="Closed","CLOSED",IF($Z882="","",IF($Z882=6,"ESCALATED TO ROXANNE",IF(TODAY()&gt;$AB882,"OVERDUE",IF($AB882&lt;=WORKDAY(TODAY(),1,Holidays),"DUE TOMORROW",IF($Z882=4,"ESCALATED TO LOCAL OFFICE",IF($Z882=5,"ESCALATED TO CBE",IF($AA882=TODAY(),"EMAIL SENT","MONITORING"))))))))))</f>
        <v/>
      </c>
      <c r="V882" s="17">
        <f>IF($U882="",IF(AND(COUNTA($A882:$L882)&gt;0,$N882=""),"Awaiting Collection Email time stamp.",""),IF(OR($U882="PAID",$U882="CLOSED"),IF($U882="PAID","Account paid. Action completed.","Account closed. No further action required."),CHOOSE($Z882,"Collection Email","1st Email Follow-up","2nd Email Follow-up","Escalation to Local Office","Escalation to CBE","Escalation to Roxanne")&amp;" sent "&amp;TEXT($AA882,"dd-mmm")&amp;". "&amp;IF($Z882=6,"Final escalation completed.",IF($U882="OVERDUE","Next: "&amp;$AC882&amp;" was due "&amp;TEXT($AB882,"dd-mmm")&amp;" - "&amp;(NETWORKDAYS($AB882,TODAY(),Holidays)-1)&amp;" business day(s) late. Send now.",IF($U882="DUE TOMORROW","Next: "&amp;$AC882&amp;IF($AB882&lt;=TODAY()," is due TODAY ("," is due next business day (")&amp;TEXT($AB882,"dd-mmm")&amp;").","Next: "&amp;$AC882&amp;" due "&amp;TEXT($AB882,"dd-mmm")&amp;" ("&amp;(NETWORKDAYS(TODAY(),$AB882,Holidays)-1)&amp;" business day(s) left).")))))</f>
        <v/>
      </c>
      <c r="W882" s="17">
        <f>IF($Z882="","",CHOOSE($Z882,"Collection Email","1st Follow-up","2nd Follow-up","Local Office","CBE","Roxanne")&amp;IF($Z882=6," - Final"," - Day "&amp;MAX(0,NETWORKDAYS($AA882,TODAY(),Holidays)-1)&amp;" of "&amp;CHOOSE($Z882,3,3,2,2,3))&amp;" | Total Day "&amp;MAX(0,NETWORKDAYS($N882,TODAY(),Holidays)-1))</f>
        <v/>
      </c>
      <c r="X882" s="18"/>
      <c r="Y882" s="18"/>
      <c r="Z882" s="17">
        <f>IF($N882="","",COUNT($N882:$S882))</f>
        <v/>
      </c>
      <c r="AA882" s="19">
        <f>IF($Z882="","",INT(INDEX($N882:$S882,$Z882)))</f>
        <v/>
      </c>
      <c r="AB882" s="19">
        <f>IF(OR($Z882="",$Z882=6),"",WORKDAY($AA882,CHOOSE($Z882,3,3,2,2,3),Holidays))</f>
        <v/>
      </c>
      <c r="AC882" s="17">
        <f>IF(OR($Z882="",$Z882=6),"",CHOOSE($Z882,"1st Email Follow-up","2nd Email Follow-up","Escalate Local Office","Escalate to CBE","Escalate to Roxanne"))</f>
        <v/>
      </c>
    </row>
    <row r="883" spans="13:29">
      <c r="M883" s="14"/>
      <c r="T883" s="16"/>
      <c r="U883" s="17">
        <f>IF(AND(COUNTA($A883:$L883)=0,$N883=""),"",IF($T883="Paid","PAID",IF($T883="Closed","CLOSED",IF($Z883="","",IF($Z883=6,"ESCALATED TO ROXANNE",IF(TODAY()&gt;$AB883,"OVERDUE",IF($AB883&lt;=WORKDAY(TODAY(),1,Holidays),"DUE TOMORROW",IF($Z883=4,"ESCALATED TO LOCAL OFFICE",IF($Z883=5,"ESCALATED TO CBE",IF($AA883=TODAY(),"EMAIL SENT","MONITORING"))))))))))</f>
        <v/>
      </c>
      <c r="V883" s="17">
        <f>IF($U883="",IF(AND(COUNTA($A883:$L883)&gt;0,$N883=""),"Awaiting Collection Email time stamp.",""),IF(OR($U883="PAID",$U883="CLOSED"),IF($U883="PAID","Account paid. Action completed.","Account closed. No further action required."),CHOOSE($Z883,"Collection Email","1st Email Follow-up","2nd Email Follow-up","Escalation to Local Office","Escalation to CBE","Escalation to Roxanne")&amp;" sent "&amp;TEXT($AA883,"dd-mmm")&amp;". "&amp;IF($Z883=6,"Final escalation completed.",IF($U883="OVERDUE","Next: "&amp;$AC883&amp;" was due "&amp;TEXT($AB883,"dd-mmm")&amp;" - "&amp;(NETWORKDAYS($AB883,TODAY(),Holidays)-1)&amp;" business day(s) late. Send now.",IF($U883="DUE TOMORROW","Next: "&amp;$AC883&amp;IF($AB883&lt;=TODAY()," is due TODAY ("," is due next business day (")&amp;TEXT($AB883,"dd-mmm")&amp;").","Next: "&amp;$AC883&amp;" due "&amp;TEXT($AB883,"dd-mmm")&amp;" ("&amp;(NETWORKDAYS(TODAY(),$AB883,Holidays)-1)&amp;" business day(s) left).")))))</f>
        <v/>
      </c>
      <c r="W883" s="17">
        <f>IF($Z883="","",CHOOSE($Z883,"Collection Email","1st Follow-up","2nd Follow-up","Local Office","CBE","Roxanne")&amp;IF($Z883=6," - Final"," - Day "&amp;MAX(0,NETWORKDAYS($AA883,TODAY(),Holidays)-1)&amp;" of "&amp;CHOOSE($Z883,3,3,2,2,3))&amp;" | Total Day "&amp;MAX(0,NETWORKDAYS($N883,TODAY(),Holidays)-1))</f>
        <v/>
      </c>
      <c r="X883" s="18"/>
      <c r="Y883" s="18"/>
      <c r="Z883" s="17">
        <f>IF($N883="","",COUNT($N883:$S883))</f>
        <v/>
      </c>
      <c r="AA883" s="19">
        <f>IF($Z883="","",INT(INDEX($N883:$S883,$Z883)))</f>
        <v/>
      </c>
      <c r="AB883" s="19">
        <f>IF(OR($Z883="",$Z883=6),"",WORKDAY($AA883,CHOOSE($Z883,3,3,2,2,3),Holidays))</f>
        <v/>
      </c>
      <c r="AC883" s="17">
        <f>IF(OR($Z883="",$Z883=6),"",CHOOSE($Z883,"1st Email Follow-up","2nd Email Follow-up","Escalate Local Office","Escalate to CBE","Escalate to Roxanne"))</f>
        <v/>
      </c>
    </row>
    <row r="884" spans="13:29">
      <c r="M884" s="14"/>
      <c r="T884" s="16"/>
      <c r="U884" s="17">
        <f>IF(AND(COUNTA($A884:$L884)=0,$N884=""),"",IF($T884="Paid","PAID",IF($T884="Closed","CLOSED",IF($Z884="","",IF($Z884=6,"ESCALATED TO ROXANNE",IF(TODAY()&gt;$AB884,"OVERDUE",IF($AB884&lt;=WORKDAY(TODAY(),1,Holidays),"DUE TOMORROW",IF($Z884=4,"ESCALATED TO LOCAL OFFICE",IF($Z884=5,"ESCALATED TO CBE",IF($AA884=TODAY(),"EMAIL SENT","MONITORING"))))))))))</f>
        <v/>
      </c>
      <c r="V884" s="17">
        <f>IF($U884="",IF(AND(COUNTA($A884:$L884)&gt;0,$N884=""),"Awaiting Collection Email time stamp.",""),IF(OR($U884="PAID",$U884="CLOSED"),IF($U884="PAID","Account paid. Action completed.","Account closed. No further action required."),CHOOSE($Z884,"Collection Email","1st Email Follow-up","2nd Email Follow-up","Escalation to Local Office","Escalation to CBE","Escalation to Roxanne")&amp;" sent "&amp;TEXT($AA884,"dd-mmm")&amp;". "&amp;IF($Z884=6,"Final escalation completed.",IF($U884="OVERDUE","Next: "&amp;$AC884&amp;" was due "&amp;TEXT($AB884,"dd-mmm")&amp;" - "&amp;(NETWORKDAYS($AB884,TODAY(),Holidays)-1)&amp;" business day(s) late. Send now.",IF($U884="DUE TOMORROW","Next: "&amp;$AC884&amp;IF($AB884&lt;=TODAY()," is due TODAY ("," is due next business day (")&amp;TEXT($AB884,"dd-mmm")&amp;").","Next: "&amp;$AC884&amp;" due "&amp;TEXT($AB884,"dd-mmm")&amp;" ("&amp;(NETWORKDAYS(TODAY(),$AB884,Holidays)-1)&amp;" business day(s) left).")))))</f>
        <v/>
      </c>
      <c r="W884" s="17">
        <f>IF($Z884="","",CHOOSE($Z884,"Collection Email","1st Follow-up","2nd Follow-up","Local Office","CBE","Roxanne")&amp;IF($Z884=6," - Final"," - Day "&amp;MAX(0,NETWORKDAYS($AA884,TODAY(),Holidays)-1)&amp;" of "&amp;CHOOSE($Z884,3,3,2,2,3))&amp;" | Total Day "&amp;MAX(0,NETWORKDAYS($N884,TODAY(),Holidays)-1))</f>
        <v/>
      </c>
      <c r="X884" s="18"/>
      <c r="Y884" s="18"/>
      <c r="Z884" s="17">
        <f>IF($N884="","",COUNT($N884:$S884))</f>
        <v/>
      </c>
      <c r="AA884" s="19">
        <f>IF($Z884="","",INT(INDEX($N884:$S884,$Z884)))</f>
        <v/>
      </c>
      <c r="AB884" s="19">
        <f>IF(OR($Z884="",$Z884=6),"",WORKDAY($AA884,CHOOSE($Z884,3,3,2,2,3),Holidays))</f>
        <v/>
      </c>
      <c r="AC884" s="17">
        <f>IF(OR($Z884="",$Z884=6),"",CHOOSE($Z884,"1st Email Follow-up","2nd Email Follow-up","Escalate Local Office","Escalate to CBE","Escalate to Roxanne"))</f>
        <v/>
      </c>
    </row>
    <row r="885" spans="13:29">
      <c r="M885" s="14"/>
      <c r="T885" s="16"/>
      <c r="U885" s="17">
        <f>IF(AND(COUNTA($A885:$L885)=0,$N885=""),"",IF($T885="Paid","PAID",IF($T885="Closed","CLOSED",IF($Z885="","",IF($Z885=6,"ESCALATED TO ROXANNE",IF(TODAY()&gt;$AB885,"OVERDUE",IF($AB885&lt;=WORKDAY(TODAY(),1,Holidays),"DUE TOMORROW",IF($Z885=4,"ESCALATED TO LOCAL OFFICE",IF($Z885=5,"ESCALATED TO CBE",IF($AA885=TODAY(),"EMAIL SENT","MONITORING"))))))))))</f>
        <v/>
      </c>
      <c r="V885" s="17">
        <f>IF($U885="",IF(AND(COUNTA($A885:$L885)&gt;0,$N885=""),"Awaiting Collection Email time stamp.",""),IF(OR($U885="PAID",$U885="CLOSED"),IF($U885="PAID","Account paid. Action completed.","Account closed. No further action required."),CHOOSE($Z885,"Collection Email","1st Email Follow-up","2nd Email Follow-up","Escalation to Local Office","Escalation to CBE","Escalation to Roxanne")&amp;" sent "&amp;TEXT($AA885,"dd-mmm")&amp;". "&amp;IF($Z885=6,"Final escalation completed.",IF($U885="OVERDUE","Next: "&amp;$AC885&amp;" was due "&amp;TEXT($AB885,"dd-mmm")&amp;" - "&amp;(NETWORKDAYS($AB885,TODAY(),Holidays)-1)&amp;" business day(s) late. Send now.",IF($U885="DUE TOMORROW","Next: "&amp;$AC885&amp;IF($AB885&lt;=TODAY()," is due TODAY ("," is due next business day (")&amp;TEXT($AB885,"dd-mmm")&amp;").","Next: "&amp;$AC885&amp;" due "&amp;TEXT($AB885,"dd-mmm")&amp;" ("&amp;(NETWORKDAYS(TODAY(),$AB885,Holidays)-1)&amp;" business day(s) left).")))))</f>
        <v/>
      </c>
      <c r="W885" s="17">
        <f>IF($Z885="","",CHOOSE($Z885,"Collection Email","1st Follow-up","2nd Follow-up","Local Office","CBE","Roxanne")&amp;IF($Z885=6," - Final"," - Day "&amp;MAX(0,NETWORKDAYS($AA885,TODAY(),Holidays)-1)&amp;" of "&amp;CHOOSE($Z885,3,3,2,2,3))&amp;" | Total Day "&amp;MAX(0,NETWORKDAYS($N885,TODAY(),Holidays)-1))</f>
        <v/>
      </c>
      <c r="X885" s="18"/>
      <c r="Y885" s="18"/>
      <c r="Z885" s="17">
        <f>IF($N885="","",COUNT($N885:$S885))</f>
        <v/>
      </c>
      <c r="AA885" s="19">
        <f>IF($Z885="","",INT(INDEX($N885:$S885,$Z885)))</f>
        <v/>
      </c>
      <c r="AB885" s="19">
        <f>IF(OR($Z885="",$Z885=6),"",WORKDAY($AA885,CHOOSE($Z885,3,3,2,2,3),Holidays))</f>
        <v/>
      </c>
      <c r="AC885" s="17">
        <f>IF(OR($Z885="",$Z885=6),"",CHOOSE($Z885,"1st Email Follow-up","2nd Email Follow-up","Escalate Local Office","Escalate to CBE","Escalate to Roxanne"))</f>
        <v/>
      </c>
    </row>
    <row r="886" spans="13:29">
      <c r="M886" s="14"/>
      <c r="T886" s="16"/>
      <c r="U886" s="17">
        <f>IF(AND(COUNTA($A886:$L886)=0,$N886=""),"",IF($T886="Paid","PAID",IF($T886="Closed","CLOSED",IF($Z886="","",IF($Z886=6,"ESCALATED TO ROXANNE",IF(TODAY()&gt;$AB886,"OVERDUE",IF($AB886&lt;=WORKDAY(TODAY(),1,Holidays),"DUE TOMORROW",IF($Z886=4,"ESCALATED TO LOCAL OFFICE",IF($Z886=5,"ESCALATED TO CBE",IF($AA886=TODAY(),"EMAIL SENT","MONITORING"))))))))))</f>
        <v/>
      </c>
      <c r="V886" s="17">
        <f>IF($U886="",IF(AND(COUNTA($A886:$L886)&gt;0,$N886=""),"Awaiting Collection Email time stamp.",""),IF(OR($U886="PAID",$U886="CLOSED"),IF($U886="PAID","Account paid. Action completed.","Account closed. No further action required."),CHOOSE($Z886,"Collection Email","1st Email Follow-up","2nd Email Follow-up","Escalation to Local Office","Escalation to CBE","Escalation to Roxanne")&amp;" sent "&amp;TEXT($AA886,"dd-mmm")&amp;". "&amp;IF($Z886=6,"Final escalation completed.",IF($U886="OVERDUE","Next: "&amp;$AC886&amp;" was due "&amp;TEXT($AB886,"dd-mmm")&amp;" - "&amp;(NETWORKDAYS($AB886,TODAY(),Holidays)-1)&amp;" business day(s) late. Send now.",IF($U886="DUE TOMORROW","Next: "&amp;$AC886&amp;IF($AB886&lt;=TODAY()," is due TODAY ("," is due next business day (")&amp;TEXT($AB886,"dd-mmm")&amp;").","Next: "&amp;$AC886&amp;" due "&amp;TEXT($AB886,"dd-mmm")&amp;" ("&amp;(NETWORKDAYS(TODAY(),$AB886,Holidays)-1)&amp;" business day(s) left).")))))</f>
        <v/>
      </c>
      <c r="W886" s="17">
        <f>IF($Z886="","",CHOOSE($Z886,"Collection Email","1st Follow-up","2nd Follow-up","Local Office","CBE","Roxanne")&amp;IF($Z886=6," - Final"," - Day "&amp;MAX(0,NETWORKDAYS($AA886,TODAY(),Holidays)-1)&amp;" of "&amp;CHOOSE($Z886,3,3,2,2,3))&amp;" | Total Day "&amp;MAX(0,NETWORKDAYS($N886,TODAY(),Holidays)-1))</f>
        <v/>
      </c>
      <c r="X886" s="18"/>
      <c r="Y886" s="18"/>
      <c r="Z886" s="17">
        <f>IF($N886="","",COUNT($N886:$S886))</f>
        <v/>
      </c>
      <c r="AA886" s="19">
        <f>IF($Z886="","",INT(INDEX($N886:$S886,$Z886)))</f>
        <v/>
      </c>
      <c r="AB886" s="19">
        <f>IF(OR($Z886="",$Z886=6),"",WORKDAY($AA886,CHOOSE($Z886,3,3,2,2,3),Holidays))</f>
        <v/>
      </c>
      <c r="AC886" s="17">
        <f>IF(OR($Z886="",$Z886=6),"",CHOOSE($Z886,"1st Email Follow-up","2nd Email Follow-up","Escalate Local Office","Escalate to CBE","Escalate to Roxanne"))</f>
        <v/>
      </c>
    </row>
    <row r="887" spans="13:29">
      <c r="M887" s="14"/>
      <c r="T887" s="16"/>
      <c r="U887" s="17">
        <f>IF(AND(COUNTA($A887:$L887)=0,$N887=""),"",IF($T887="Paid","PAID",IF($T887="Closed","CLOSED",IF($Z887="","",IF($Z887=6,"ESCALATED TO ROXANNE",IF(TODAY()&gt;$AB887,"OVERDUE",IF($AB887&lt;=WORKDAY(TODAY(),1,Holidays),"DUE TOMORROW",IF($Z887=4,"ESCALATED TO LOCAL OFFICE",IF($Z887=5,"ESCALATED TO CBE",IF($AA887=TODAY(),"EMAIL SENT","MONITORING"))))))))))</f>
        <v/>
      </c>
      <c r="V887" s="17">
        <f>IF($U887="",IF(AND(COUNTA($A887:$L887)&gt;0,$N887=""),"Awaiting Collection Email time stamp.",""),IF(OR($U887="PAID",$U887="CLOSED"),IF($U887="PAID","Account paid. Action completed.","Account closed. No further action required."),CHOOSE($Z887,"Collection Email","1st Email Follow-up","2nd Email Follow-up","Escalation to Local Office","Escalation to CBE","Escalation to Roxanne")&amp;" sent "&amp;TEXT($AA887,"dd-mmm")&amp;". "&amp;IF($Z887=6,"Final escalation completed.",IF($U887="OVERDUE","Next: "&amp;$AC887&amp;" was due "&amp;TEXT($AB887,"dd-mmm")&amp;" - "&amp;(NETWORKDAYS($AB887,TODAY(),Holidays)-1)&amp;" business day(s) late. Send now.",IF($U887="DUE TOMORROW","Next: "&amp;$AC887&amp;IF($AB887&lt;=TODAY()," is due TODAY ("," is due next business day (")&amp;TEXT($AB887,"dd-mmm")&amp;").","Next: "&amp;$AC887&amp;" due "&amp;TEXT($AB887,"dd-mmm")&amp;" ("&amp;(NETWORKDAYS(TODAY(),$AB887,Holidays)-1)&amp;" business day(s) left).")))))</f>
        <v/>
      </c>
      <c r="W887" s="17">
        <f>IF($Z887="","",CHOOSE($Z887,"Collection Email","1st Follow-up","2nd Follow-up","Local Office","CBE","Roxanne")&amp;IF($Z887=6," - Final"," - Day "&amp;MAX(0,NETWORKDAYS($AA887,TODAY(),Holidays)-1)&amp;" of "&amp;CHOOSE($Z887,3,3,2,2,3))&amp;" | Total Day "&amp;MAX(0,NETWORKDAYS($N887,TODAY(),Holidays)-1))</f>
        <v/>
      </c>
      <c r="X887" s="18"/>
      <c r="Y887" s="18"/>
      <c r="Z887" s="17">
        <f>IF($N887="","",COUNT($N887:$S887))</f>
        <v/>
      </c>
      <c r="AA887" s="19">
        <f>IF($Z887="","",INT(INDEX($N887:$S887,$Z887)))</f>
        <v/>
      </c>
      <c r="AB887" s="19">
        <f>IF(OR($Z887="",$Z887=6),"",WORKDAY($AA887,CHOOSE($Z887,3,3,2,2,3),Holidays))</f>
        <v/>
      </c>
      <c r="AC887" s="17">
        <f>IF(OR($Z887="",$Z887=6),"",CHOOSE($Z887,"1st Email Follow-up","2nd Email Follow-up","Escalate Local Office","Escalate to CBE","Escalate to Roxanne"))</f>
        <v/>
      </c>
    </row>
    <row r="888" spans="13:29">
      <c r="M888" s="14"/>
      <c r="T888" s="16"/>
      <c r="U888" s="17">
        <f>IF(AND(COUNTA($A888:$L888)=0,$N888=""),"",IF($T888="Paid","PAID",IF($T888="Closed","CLOSED",IF($Z888="","",IF($Z888=6,"ESCALATED TO ROXANNE",IF(TODAY()&gt;$AB888,"OVERDUE",IF($AB888&lt;=WORKDAY(TODAY(),1,Holidays),"DUE TOMORROW",IF($Z888=4,"ESCALATED TO LOCAL OFFICE",IF($Z888=5,"ESCALATED TO CBE",IF($AA888=TODAY(),"EMAIL SENT","MONITORING"))))))))))</f>
        <v/>
      </c>
      <c r="V888" s="17">
        <f>IF($U888="",IF(AND(COUNTA($A888:$L888)&gt;0,$N888=""),"Awaiting Collection Email time stamp.",""),IF(OR($U888="PAID",$U888="CLOSED"),IF($U888="PAID","Account paid. Action completed.","Account closed. No further action required."),CHOOSE($Z888,"Collection Email","1st Email Follow-up","2nd Email Follow-up","Escalation to Local Office","Escalation to CBE","Escalation to Roxanne")&amp;" sent "&amp;TEXT($AA888,"dd-mmm")&amp;". "&amp;IF($Z888=6,"Final escalation completed.",IF($U888="OVERDUE","Next: "&amp;$AC888&amp;" was due "&amp;TEXT($AB888,"dd-mmm")&amp;" - "&amp;(NETWORKDAYS($AB888,TODAY(),Holidays)-1)&amp;" business day(s) late. Send now.",IF($U888="DUE TOMORROW","Next: "&amp;$AC888&amp;IF($AB888&lt;=TODAY()," is due TODAY ("," is due next business day (")&amp;TEXT($AB888,"dd-mmm")&amp;").","Next: "&amp;$AC888&amp;" due "&amp;TEXT($AB888,"dd-mmm")&amp;" ("&amp;(NETWORKDAYS(TODAY(),$AB888,Holidays)-1)&amp;" business day(s) left).")))))</f>
        <v/>
      </c>
      <c r="W888" s="17">
        <f>IF($Z888="","",CHOOSE($Z888,"Collection Email","1st Follow-up","2nd Follow-up","Local Office","CBE","Roxanne")&amp;IF($Z888=6," - Final"," - Day "&amp;MAX(0,NETWORKDAYS($AA888,TODAY(),Holidays)-1)&amp;" of "&amp;CHOOSE($Z888,3,3,2,2,3))&amp;" | Total Day "&amp;MAX(0,NETWORKDAYS($N888,TODAY(),Holidays)-1))</f>
        <v/>
      </c>
      <c r="X888" s="18"/>
      <c r="Y888" s="18"/>
      <c r="Z888" s="17">
        <f>IF($N888="","",COUNT($N888:$S888))</f>
        <v/>
      </c>
      <c r="AA888" s="19">
        <f>IF($Z888="","",INT(INDEX($N888:$S888,$Z888)))</f>
        <v/>
      </c>
      <c r="AB888" s="19">
        <f>IF(OR($Z888="",$Z888=6),"",WORKDAY($AA888,CHOOSE($Z888,3,3,2,2,3),Holidays))</f>
        <v/>
      </c>
      <c r="AC888" s="17">
        <f>IF(OR($Z888="",$Z888=6),"",CHOOSE($Z888,"1st Email Follow-up","2nd Email Follow-up","Escalate Local Office","Escalate to CBE","Escalate to Roxanne"))</f>
        <v/>
      </c>
    </row>
    <row r="889" spans="13:29">
      <c r="M889" s="14"/>
      <c r="T889" s="16"/>
      <c r="U889" s="17">
        <f>IF(AND(COUNTA($A889:$L889)=0,$N889=""),"",IF($T889="Paid","PAID",IF($T889="Closed","CLOSED",IF($Z889="","",IF($Z889=6,"ESCALATED TO ROXANNE",IF(TODAY()&gt;$AB889,"OVERDUE",IF($AB889&lt;=WORKDAY(TODAY(),1,Holidays),"DUE TOMORROW",IF($Z889=4,"ESCALATED TO LOCAL OFFICE",IF($Z889=5,"ESCALATED TO CBE",IF($AA889=TODAY(),"EMAIL SENT","MONITORING"))))))))))</f>
        <v/>
      </c>
      <c r="V889" s="17">
        <f>IF($U889="",IF(AND(COUNTA($A889:$L889)&gt;0,$N889=""),"Awaiting Collection Email time stamp.",""),IF(OR($U889="PAID",$U889="CLOSED"),IF($U889="PAID","Account paid. Action completed.","Account closed. No further action required."),CHOOSE($Z889,"Collection Email","1st Email Follow-up","2nd Email Follow-up","Escalation to Local Office","Escalation to CBE","Escalation to Roxanne")&amp;" sent "&amp;TEXT($AA889,"dd-mmm")&amp;". "&amp;IF($Z889=6,"Final escalation completed.",IF($U889="OVERDUE","Next: "&amp;$AC889&amp;" was due "&amp;TEXT($AB889,"dd-mmm")&amp;" - "&amp;(NETWORKDAYS($AB889,TODAY(),Holidays)-1)&amp;" business day(s) late. Send now.",IF($U889="DUE TOMORROW","Next: "&amp;$AC889&amp;IF($AB889&lt;=TODAY()," is due TODAY ("," is due next business day (")&amp;TEXT($AB889,"dd-mmm")&amp;").","Next: "&amp;$AC889&amp;" due "&amp;TEXT($AB889,"dd-mmm")&amp;" ("&amp;(NETWORKDAYS(TODAY(),$AB889,Holidays)-1)&amp;" business day(s) left).")))))</f>
        <v/>
      </c>
      <c r="W889" s="17">
        <f>IF($Z889="","",CHOOSE($Z889,"Collection Email","1st Follow-up","2nd Follow-up","Local Office","CBE","Roxanne")&amp;IF($Z889=6," - Final"," - Day "&amp;MAX(0,NETWORKDAYS($AA889,TODAY(),Holidays)-1)&amp;" of "&amp;CHOOSE($Z889,3,3,2,2,3))&amp;" | Total Day "&amp;MAX(0,NETWORKDAYS($N889,TODAY(),Holidays)-1))</f>
        <v/>
      </c>
      <c r="X889" s="18"/>
      <c r="Y889" s="18"/>
      <c r="Z889" s="17">
        <f>IF($N889="","",COUNT($N889:$S889))</f>
        <v/>
      </c>
      <c r="AA889" s="19">
        <f>IF($Z889="","",INT(INDEX($N889:$S889,$Z889)))</f>
        <v/>
      </c>
      <c r="AB889" s="19">
        <f>IF(OR($Z889="",$Z889=6),"",WORKDAY($AA889,CHOOSE($Z889,3,3,2,2,3),Holidays))</f>
        <v/>
      </c>
      <c r="AC889" s="17">
        <f>IF(OR($Z889="",$Z889=6),"",CHOOSE($Z889,"1st Email Follow-up","2nd Email Follow-up","Escalate Local Office","Escalate to CBE","Escalate to Roxanne"))</f>
        <v/>
      </c>
    </row>
    <row r="890" spans="13:29">
      <c r="M890" s="14"/>
      <c r="T890" s="16"/>
      <c r="U890" s="17">
        <f>IF(AND(COUNTA($A890:$L890)=0,$N890=""),"",IF($T890="Paid","PAID",IF($T890="Closed","CLOSED",IF($Z890="","",IF($Z890=6,"ESCALATED TO ROXANNE",IF(TODAY()&gt;$AB890,"OVERDUE",IF($AB890&lt;=WORKDAY(TODAY(),1,Holidays),"DUE TOMORROW",IF($Z890=4,"ESCALATED TO LOCAL OFFICE",IF($Z890=5,"ESCALATED TO CBE",IF($AA890=TODAY(),"EMAIL SENT","MONITORING"))))))))))</f>
        <v/>
      </c>
      <c r="V890" s="17">
        <f>IF($U890="",IF(AND(COUNTA($A890:$L890)&gt;0,$N890=""),"Awaiting Collection Email time stamp.",""),IF(OR($U890="PAID",$U890="CLOSED"),IF($U890="PAID","Account paid. Action completed.","Account closed. No further action required."),CHOOSE($Z890,"Collection Email","1st Email Follow-up","2nd Email Follow-up","Escalation to Local Office","Escalation to CBE","Escalation to Roxanne")&amp;" sent "&amp;TEXT($AA890,"dd-mmm")&amp;". "&amp;IF($Z890=6,"Final escalation completed.",IF($U890="OVERDUE","Next: "&amp;$AC890&amp;" was due "&amp;TEXT($AB890,"dd-mmm")&amp;" - "&amp;(NETWORKDAYS($AB890,TODAY(),Holidays)-1)&amp;" business day(s) late. Send now.",IF($U890="DUE TOMORROW","Next: "&amp;$AC890&amp;IF($AB890&lt;=TODAY()," is due TODAY ("," is due next business day (")&amp;TEXT($AB890,"dd-mmm")&amp;").","Next: "&amp;$AC890&amp;" due "&amp;TEXT($AB890,"dd-mmm")&amp;" ("&amp;(NETWORKDAYS(TODAY(),$AB890,Holidays)-1)&amp;" business day(s) left).")))))</f>
        <v/>
      </c>
      <c r="W890" s="17">
        <f>IF($Z890="","",CHOOSE($Z890,"Collection Email","1st Follow-up","2nd Follow-up","Local Office","CBE","Roxanne")&amp;IF($Z890=6," - Final"," - Day "&amp;MAX(0,NETWORKDAYS($AA890,TODAY(),Holidays)-1)&amp;" of "&amp;CHOOSE($Z890,3,3,2,2,3))&amp;" | Total Day "&amp;MAX(0,NETWORKDAYS($N890,TODAY(),Holidays)-1))</f>
        <v/>
      </c>
      <c r="X890" s="18"/>
      <c r="Y890" s="18"/>
      <c r="Z890" s="17">
        <f>IF($N890="","",COUNT($N890:$S890))</f>
        <v/>
      </c>
      <c r="AA890" s="19">
        <f>IF($Z890="","",INT(INDEX($N890:$S890,$Z890)))</f>
        <v/>
      </c>
      <c r="AB890" s="19">
        <f>IF(OR($Z890="",$Z890=6),"",WORKDAY($AA890,CHOOSE($Z890,3,3,2,2,3),Holidays))</f>
        <v/>
      </c>
      <c r="AC890" s="17">
        <f>IF(OR($Z890="",$Z890=6),"",CHOOSE($Z890,"1st Email Follow-up","2nd Email Follow-up","Escalate Local Office","Escalate to CBE","Escalate to Roxanne"))</f>
        <v/>
      </c>
    </row>
    <row r="891" spans="13:29">
      <c r="M891" s="14"/>
      <c r="T891" s="16"/>
      <c r="U891" s="17">
        <f>IF(AND(COUNTA($A891:$L891)=0,$N891=""),"",IF($T891="Paid","PAID",IF($T891="Closed","CLOSED",IF($Z891="","",IF($Z891=6,"ESCALATED TO ROXANNE",IF(TODAY()&gt;$AB891,"OVERDUE",IF($AB891&lt;=WORKDAY(TODAY(),1,Holidays),"DUE TOMORROW",IF($Z891=4,"ESCALATED TO LOCAL OFFICE",IF($Z891=5,"ESCALATED TO CBE",IF($AA891=TODAY(),"EMAIL SENT","MONITORING"))))))))))</f>
        <v/>
      </c>
      <c r="V891" s="17">
        <f>IF($U891="",IF(AND(COUNTA($A891:$L891)&gt;0,$N891=""),"Awaiting Collection Email time stamp.",""),IF(OR($U891="PAID",$U891="CLOSED"),IF($U891="PAID","Account paid. Action completed.","Account closed. No further action required."),CHOOSE($Z891,"Collection Email","1st Email Follow-up","2nd Email Follow-up","Escalation to Local Office","Escalation to CBE","Escalation to Roxanne")&amp;" sent "&amp;TEXT($AA891,"dd-mmm")&amp;". "&amp;IF($Z891=6,"Final escalation completed.",IF($U891="OVERDUE","Next: "&amp;$AC891&amp;" was due "&amp;TEXT($AB891,"dd-mmm")&amp;" - "&amp;(NETWORKDAYS($AB891,TODAY(),Holidays)-1)&amp;" business day(s) late. Send now.",IF($U891="DUE TOMORROW","Next: "&amp;$AC891&amp;IF($AB891&lt;=TODAY()," is due TODAY ("," is due next business day (")&amp;TEXT($AB891,"dd-mmm")&amp;").","Next: "&amp;$AC891&amp;" due "&amp;TEXT($AB891,"dd-mmm")&amp;" ("&amp;(NETWORKDAYS(TODAY(),$AB891,Holidays)-1)&amp;" business day(s) left).")))))</f>
        <v/>
      </c>
      <c r="W891" s="17">
        <f>IF($Z891="","",CHOOSE($Z891,"Collection Email","1st Follow-up","2nd Follow-up","Local Office","CBE","Roxanne")&amp;IF($Z891=6," - Final"," - Day "&amp;MAX(0,NETWORKDAYS($AA891,TODAY(),Holidays)-1)&amp;" of "&amp;CHOOSE($Z891,3,3,2,2,3))&amp;" | Total Day "&amp;MAX(0,NETWORKDAYS($N891,TODAY(),Holidays)-1))</f>
        <v/>
      </c>
      <c r="X891" s="18"/>
      <c r="Y891" s="18"/>
      <c r="Z891" s="17">
        <f>IF($N891="","",COUNT($N891:$S891))</f>
        <v/>
      </c>
      <c r="AA891" s="19">
        <f>IF($Z891="","",INT(INDEX($N891:$S891,$Z891)))</f>
        <v/>
      </c>
      <c r="AB891" s="19">
        <f>IF(OR($Z891="",$Z891=6),"",WORKDAY($AA891,CHOOSE($Z891,3,3,2,2,3),Holidays))</f>
        <v/>
      </c>
      <c r="AC891" s="17">
        <f>IF(OR($Z891="",$Z891=6),"",CHOOSE($Z891,"1st Email Follow-up","2nd Email Follow-up","Escalate Local Office","Escalate to CBE","Escalate to Roxanne"))</f>
        <v/>
      </c>
    </row>
    <row r="892" spans="13:29">
      <c r="M892" s="14"/>
      <c r="T892" s="16"/>
      <c r="U892" s="17">
        <f>IF(AND(COUNTA($A892:$L892)=0,$N892=""),"",IF($T892="Paid","PAID",IF($T892="Closed","CLOSED",IF($Z892="","",IF($Z892=6,"ESCALATED TO ROXANNE",IF(TODAY()&gt;$AB892,"OVERDUE",IF($AB892&lt;=WORKDAY(TODAY(),1,Holidays),"DUE TOMORROW",IF($Z892=4,"ESCALATED TO LOCAL OFFICE",IF($Z892=5,"ESCALATED TO CBE",IF($AA892=TODAY(),"EMAIL SENT","MONITORING"))))))))))</f>
        <v/>
      </c>
      <c r="V892" s="17">
        <f>IF($U892="",IF(AND(COUNTA($A892:$L892)&gt;0,$N892=""),"Awaiting Collection Email time stamp.",""),IF(OR($U892="PAID",$U892="CLOSED"),IF($U892="PAID","Account paid. Action completed.","Account closed. No further action required."),CHOOSE($Z892,"Collection Email","1st Email Follow-up","2nd Email Follow-up","Escalation to Local Office","Escalation to CBE","Escalation to Roxanne")&amp;" sent "&amp;TEXT($AA892,"dd-mmm")&amp;". "&amp;IF($Z892=6,"Final escalation completed.",IF($U892="OVERDUE","Next: "&amp;$AC892&amp;" was due "&amp;TEXT($AB892,"dd-mmm")&amp;" - "&amp;(NETWORKDAYS($AB892,TODAY(),Holidays)-1)&amp;" business day(s) late. Send now.",IF($U892="DUE TOMORROW","Next: "&amp;$AC892&amp;IF($AB892&lt;=TODAY()," is due TODAY ("," is due next business day (")&amp;TEXT($AB892,"dd-mmm")&amp;").","Next: "&amp;$AC892&amp;" due "&amp;TEXT($AB892,"dd-mmm")&amp;" ("&amp;(NETWORKDAYS(TODAY(),$AB892,Holidays)-1)&amp;" business day(s) left).")))))</f>
        <v/>
      </c>
      <c r="W892" s="17">
        <f>IF($Z892="","",CHOOSE($Z892,"Collection Email","1st Follow-up","2nd Follow-up","Local Office","CBE","Roxanne")&amp;IF($Z892=6," - Final"," - Day "&amp;MAX(0,NETWORKDAYS($AA892,TODAY(),Holidays)-1)&amp;" of "&amp;CHOOSE($Z892,3,3,2,2,3))&amp;" | Total Day "&amp;MAX(0,NETWORKDAYS($N892,TODAY(),Holidays)-1))</f>
        <v/>
      </c>
      <c r="X892" s="18"/>
      <c r="Y892" s="18"/>
      <c r="Z892" s="17">
        <f>IF($N892="","",COUNT($N892:$S892))</f>
        <v/>
      </c>
      <c r="AA892" s="19">
        <f>IF($Z892="","",INT(INDEX($N892:$S892,$Z892)))</f>
        <v/>
      </c>
      <c r="AB892" s="19">
        <f>IF(OR($Z892="",$Z892=6),"",WORKDAY($AA892,CHOOSE($Z892,3,3,2,2,3),Holidays))</f>
        <v/>
      </c>
      <c r="AC892" s="17">
        <f>IF(OR($Z892="",$Z892=6),"",CHOOSE($Z892,"1st Email Follow-up","2nd Email Follow-up","Escalate Local Office","Escalate to CBE","Escalate to Roxanne"))</f>
        <v/>
      </c>
    </row>
    <row r="893" spans="13:29">
      <c r="M893" s="14"/>
      <c r="T893" s="16"/>
      <c r="U893" s="17">
        <f>IF(AND(COUNTA($A893:$L893)=0,$N893=""),"",IF($T893="Paid","PAID",IF($T893="Closed","CLOSED",IF($Z893="","",IF($Z893=6,"ESCALATED TO ROXANNE",IF(TODAY()&gt;$AB893,"OVERDUE",IF($AB893&lt;=WORKDAY(TODAY(),1,Holidays),"DUE TOMORROW",IF($Z893=4,"ESCALATED TO LOCAL OFFICE",IF($Z893=5,"ESCALATED TO CBE",IF($AA893=TODAY(),"EMAIL SENT","MONITORING"))))))))))</f>
        <v/>
      </c>
      <c r="V893" s="17">
        <f>IF($U893="",IF(AND(COUNTA($A893:$L893)&gt;0,$N893=""),"Awaiting Collection Email time stamp.",""),IF(OR($U893="PAID",$U893="CLOSED"),IF($U893="PAID","Account paid. Action completed.","Account closed. No further action required."),CHOOSE($Z893,"Collection Email","1st Email Follow-up","2nd Email Follow-up","Escalation to Local Office","Escalation to CBE","Escalation to Roxanne")&amp;" sent "&amp;TEXT($AA893,"dd-mmm")&amp;". "&amp;IF($Z893=6,"Final escalation completed.",IF($U893="OVERDUE","Next: "&amp;$AC893&amp;" was due "&amp;TEXT($AB893,"dd-mmm")&amp;" - "&amp;(NETWORKDAYS($AB893,TODAY(),Holidays)-1)&amp;" business day(s) late. Send now.",IF($U893="DUE TOMORROW","Next: "&amp;$AC893&amp;IF($AB893&lt;=TODAY()," is due TODAY ("," is due next business day (")&amp;TEXT($AB893,"dd-mmm")&amp;").","Next: "&amp;$AC893&amp;" due "&amp;TEXT($AB893,"dd-mmm")&amp;" ("&amp;(NETWORKDAYS(TODAY(),$AB893,Holidays)-1)&amp;" business day(s) left).")))))</f>
        <v/>
      </c>
      <c r="W893" s="17">
        <f>IF($Z893="","",CHOOSE($Z893,"Collection Email","1st Follow-up","2nd Follow-up","Local Office","CBE","Roxanne")&amp;IF($Z893=6," - Final"," - Day "&amp;MAX(0,NETWORKDAYS($AA893,TODAY(),Holidays)-1)&amp;" of "&amp;CHOOSE($Z893,3,3,2,2,3))&amp;" | Total Day "&amp;MAX(0,NETWORKDAYS($N893,TODAY(),Holidays)-1))</f>
        <v/>
      </c>
      <c r="X893" s="18"/>
      <c r="Y893" s="18"/>
      <c r="Z893" s="17">
        <f>IF($N893="","",COUNT($N893:$S893))</f>
        <v/>
      </c>
      <c r="AA893" s="19">
        <f>IF($Z893="","",INT(INDEX($N893:$S893,$Z893)))</f>
        <v/>
      </c>
      <c r="AB893" s="19">
        <f>IF(OR($Z893="",$Z893=6),"",WORKDAY($AA893,CHOOSE($Z893,3,3,2,2,3),Holidays))</f>
        <v/>
      </c>
      <c r="AC893" s="17">
        <f>IF(OR($Z893="",$Z893=6),"",CHOOSE($Z893,"1st Email Follow-up","2nd Email Follow-up","Escalate Local Office","Escalate to CBE","Escalate to Roxanne"))</f>
        <v/>
      </c>
    </row>
    <row r="894" spans="13:29">
      <c r="M894" s="14"/>
      <c r="T894" s="16"/>
      <c r="U894" s="17">
        <f>IF(AND(COUNTA($A894:$L894)=0,$N894=""),"",IF($T894="Paid","PAID",IF($T894="Closed","CLOSED",IF($Z894="","",IF($Z894=6,"ESCALATED TO ROXANNE",IF(TODAY()&gt;$AB894,"OVERDUE",IF($AB894&lt;=WORKDAY(TODAY(),1,Holidays),"DUE TOMORROW",IF($Z894=4,"ESCALATED TO LOCAL OFFICE",IF($Z894=5,"ESCALATED TO CBE",IF($AA894=TODAY(),"EMAIL SENT","MONITORING"))))))))))</f>
        <v/>
      </c>
      <c r="V894" s="17">
        <f>IF($U894="",IF(AND(COUNTA($A894:$L894)&gt;0,$N894=""),"Awaiting Collection Email time stamp.",""),IF(OR($U894="PAID",$U894="CLOSED"),IF($U894="PAID","Account paid. Action completed.","Account closed. No further action required."),CHOOSE($Z894,"Collection Email","1st Email Follow-up","2nd Email Follow-up","Escalation to Local Office","Escalation to CBE","Escalation to Roxanne")&amp;" sent "&amp;TEXT($AA894,"dd-mmm")&amp;". "&amp;IF($Z894=6,"Final escalation completed.",IF($U894="OVERDUE","Next: "&amp;$AC894&amp;" was due "&amp;TEXT($AB894,"dd-mmm")&amp;" - "&amp;(NETWORKDAYS($AB894,TODAY(),Holidays)-1)&amp;" business day(s) late. Send now.",IF($U894="DUE TOMORROW","Next: "&amp;$AC894&amp;IF($AB894&lt;=TODAY()," is due TODAY ("," is due next business day (")&amp;TEXT($AB894,"dd-mmm")&amp;").","Next: "&amp;$AC894&amp;" due "&amp;TEXT($AB894,"dd-mmm")&amp;" ("&amp;(NETWORKDAYS(TODAY(),$AB894,Holidays)-1)&amp;" business day(s) left).")))))</f>
        <v/>
      </c>
      <c r="W894" s="17">
        <f>IF($Z894="","",CHOOSE($Z894,"Collection Email","1st Follow-up","2nd Follow-up","Local Office","CBE","Roxanne")&amp;IF($Z894=6," - Final"," - Day "&amp;MAX(0,NETWORKDAYS($AA894,TODAY(),Holidays)-1)&amp;" of "&amp;CHOOSE($Z894,3,3,2,2,3))&amp;" | Total Day "&amp;MAX(0,NETWORKDAYS($N894,TODAY(),Holidays)-1))</f>
        <v/>
      </c>
      <c r="X894" s="18"/>
      <c r="Y894" s="18"/>
      <c r="Z894" s="17">
        <f>IF($N894="","",COUNT($N894:$S894))</f>
        <v/>
      </c>
      <c r="AA894" s="19">
        <f>IF($Z894="","",INT(INDEX($N894:$S894,$Z894)))</f>
        <v/>
      </c>
      <c r="AB894" s="19">
        <f>IF(OR($Z894="",$Z894=6),"",WORKDAY($AA894,CHOOSE($Z894,3,3,2,2,3),Holidays))</f>
        <v/>
      </c>
      <c r="AC894" s="17">
        <f>IF(OR($Z894="",$Z894=6),"",CHOOSE($Z894,"1st Email Follow-up","2nd Email Follow-up","Escalate Local Office","Escalate to CBE","Escalate to Roxanne"))</f>
        <v/>
      </c>
    </row>
    <row r="895" spans="13:29">
      <c r="M895" s="14"/>
      <c r="T895" s="16"/>
      <c r="U895" s="17">
        <f>IF(AND(COUNTA($A895:$L895)=0,$N895=""),"",IF($T895="Paid","PAID",IF($T895="Closed","CLOSED",IF($Z895="","",IF($Z895=6,"ESCALATED TO ROXANNE",IF(TODAY()&gt;$AB895,"OVERDUE",IF($AB895&lt;=WORKDAY(TODAY(),1,Holidays),"DUE TOMORROW",IF($Z895=4,"ESCALATED TO LOCAL OFFICE",IF($Z895=5,"ESCALATED TO CBE",IF($AA895=TODAY(),"EMAIL SENT","MONITORING"))))))))))</f>
        <v/>
      </c>
      <c r="V895" s="17">
        <f>IF($U895="",IF(AND(COUNTA($A895:$L895)&gt;0,$N895=""),"Awaiting Collection Email time stamp.",""),IF(OR($U895="PAID",$U895="CLOSED"),IF($U895="PAID","Account paid. Action completed.","Account closed. No further action required."),CHOOSE($Z895,"Collection Email","1st Email Follow-up","2nd Email Follow-up","Escalation to Local Office","Escalation to CBE","Escalation to Roxanne")&amp;" sent "&amp;TEXT($AA895,"dd-mmm")&amp;". "&amp;IF($Z895=6,"Final escalation completed.",IF($U895="OVERDUE","Next: "&amp;$AC895&amp;" was due "&amp;TEXT($AB895,"dd-mmm")&amp;" - "&amp;(NETWORKDAYS($AB895,TODAY(),Holidays)-1)&amp;" business day(s) late. Send now.",IF($U895="DUE TOMORROW","Next: "&amp;$AC895&amp;IF($AB895&lt;=TODAY()," is due TODAY ("," is due next business day (")&amp;TEXT($AB895,"dd-mmm")&amp;").","Next: "&amp;$AC895&amp;" due "&amp;TEXT($AB895,"dd-mmm")&amp;" ("&amp;(NETWORKDAYS(TODAY(),$AB895,Holidays)-1)&amp;" business day(s) left).")))))</f>
        <v/>
      </c>
      <c r="W895" s="17">
        <f>IF($Z895="","",CHOOSE($Z895,"Collection Email","1st Follow-up","2nd Follow-up","Local Office","CBE","Roxanne")&amp;IF($Z895=6," - Final"," - Day "&amp;MAX(0,NETWORKDAYS($AA895,TODAY(),Holidays)-1)&amp;" of "&amp;CHOOSE($Z895,3,3,2,2,3))&amp;" | Total Day "&amp;MAX(0,NETWORKDAYS($N895,TODAY(),Holidays)-1))</f>
        <v/>
      </c>
      <c r="X895" s="18"/>
      <c r="Y895" s="18"/>
      <c r="Z895" s="17">
        <f>IF($N895="","",COUNT($N895:$S895))</f>
        <v/>
      </c>
      <c r="AA895" s="19">
        <f>IF($Z895="","",INT(INDEX($N895:$S895,$Z895)))</f>
        <v/>
      </c>
      <c r="AB895" s="19">
        <f>IF(OR($Z895="",$Z895=6),"",WORKDAY($AA895,CHOOSE($Z895,3,3,2,2,3),Holidays))</f>
        <v/>
      </c>
      <c r="AC895" s="17">
        <f>IF(OR($Z895="",$Z895=6),"",CHOOSE($Z895,"1st Email Follow-up","2nd Email Follow-up","Escalate Local Office","Escalate to CBE","Escalate to Roxanne"))</f>
        <v/>
      </c>
    </row>
    <row r="896" spans="13:29">
      <c r="M896" s="14"/>
      <c r="T896" s="16"/>
      <c r="U896" s="17">
        <f>IF(AND(COUNTA($A896:$L896)=0,$N896=""),"",IF($T896="Paid","PAID",IF($T896="Closed","CLOSED",IF($Z896="","",IF($Z896=6,"ESCALATED TO ROXANNE",IF(TODAY()&gt;$AB896,"OVERDUE",IF($AB896&lt;=WORKDAY(TODAY(),1,Holidays),"DUE TOMORROW",IF($Z896=4,"ESCALATED TO LOCAL OFFICE",IF($Z896=5,"ESCALATED TO CBE",IF($AA896=TODAY(),"EMAIL SENT","MONITORING"))))))))))</f>
        <v/>
      </c>
      <c r="V896" s="17">
        <f>IF($U896="",IF(AND(COUNTA($A896:$L896)&gt;0,$N896=""),"Awaiting Collection Email time stamp.",""),IF(OR($U896="PAID",$U896="CLOSED"),IF($U896="PAID","Account paid. Action completed.","Account closed. No further action required."),CHOOSE($Z896,"Collection Email","1st Email Follow-up","2nd Email Follow-up","Escalation to Local Office","Escalation to CBE","Escalation to Roxanne")&amp;" sent "&amp;TEXT($AA896,"dd-mmm")&amp;". "&amp;IF($Z896=6,"Final escalation completed.",IF($U896="OVERDUE","Next: "&amp;$AC896&amp;" was due "&amp;TEXT($AB896,"dd-mmm")&amp;" - "&amp;(NETWORKDAYS($AB896,TODAY(),Holidays)-1)&amp;" business day(s) late. Send now.",IF($U896="DUE TOMORROW","Next: "&amp;$AC896&amp;IF($AB896&lt;=TODAY()," is due TODAY ("," is due next business day (")&amp;TEXT($AB896,"dd-mmm")&amp;").","Next: "&amp;$AC896&amp;" due "&amp;TEXT($AB896,"dd-mmm")&amp;" ("&amp;(NETWORKDAYS(TODAY(),$AB896,Holidays)-1)&amp;" business day(s) left).")))))</f>
        <v/>
      </c>
      <c r="W896" s="17">
        <f>IF($Z896="","",CHOOSE($Z896,"Collection Email","1st Follow-up","2nd Follow-up","Local Office","CBE","Roxanne")&amp;IF($Z896=6," - Final"," - Day "&amp;MAX(0,NETWORKDAYS($AA896,TODAY(),Holidays)-1)&amp;" of "&amp;CHOOSE($Z896,3,3,2,2,3))&amp;" | Total Day "&amp;MAX(0,NETWORKDAYS($N896,TODAY(),Holidays)-1))</f>
        <v/>
      </c>
      <c r="X896" s="18"/>
      <c r="Y896" s="18"/>
      <c r="Z896" s="17">
        <f>IF($N896="","",COUNT($N896:$S896))</f>
        <v/>
      </c>
      <c r="AA896" s="19">
        <f>IF($Z896="","",INT(INDEX($N896:$S896,$Z896)))</f>
        <v/>
      </c>
      <c r="AB896" s="19">
        <f>IF(OR($Z896="",$Z896=6),"",WORKDAY($AA896,CHOOSE($Z896,3,3,2,2,3),Holidays))</f>
        <v/>
      </c>
      <c r="AC896" s="17">
        <f>IF(OR($Z896="",$Z896=6),"",CHOOSE($Z896,"1st Email Follow-up","2nd Email Follow-up","Escalate Local Office","Escalate to CBE","Escalate to Roxanne"))</f>
        <v/>
      </c>
    </row>
    <row r="897" spans="13:29">
      <c r="M897" s="14"/>
      <c r="T897" s="16"/>
      <c r="U897" s="17">
        <f>IF(AND(COUNTA($A897:$L897)=0,$N897=""),"",IF($T897="Paid","PAID",IF($T897="Closed","CLOSED",IF($Z897="","",IF($Z897=6,"ESCALATED TO ROXANNE",IF(TODAY()&gt;$AB897,"OVERDUE",IF($AB897&lt;=WORKDAY(TODAY(),1,Holidays),"DUE TOMORROW",IF($Z897=4,"ESCALATED TO LOCAL OFFICE",IF($Z897=5,"ESCALATED TO CBE",IF($AA897=TODAY(),"EMAIL SENT","MONITORING"))))))))))</f>
        <v/>
      </c>
      <c r="V897" s="17">
        <f>IF($U897="",IF(AND(COUNTA($A897:$L897)&gt;0,$N897=""),"Awaiting Collection Email time stamp.",""),IF(OR($U897="PAID",$U897="CLOSED"),IF($U897="PAID","Account paid. Action completed.","Account closed. No further action required."),CHOOSE($Z897,"Collection Email","1st Email Follow-up","2nd Email Follow-up","Escalation to Local Office","Escalation to CBE","Escalation to Roxanne")&amp;" sent "&amp;TEXT($AA897,"dd-mmm")&amp;". "&amp;IF($Z897=6,"Final escalation completed.",IF($U897="OVERDUE","Next: "&amp;$AC897&amp;" was due "&amp;TEXT($AB897,"dd-mmm")&amp;" - "&amp;(NETWORKDAYS($AB897,TODAY(),Holidays)-1)&amp;" business day(s) late. Send now.",IF($U897="DUE TOMORROW","Next: "&amp;$AC897&amp;IF($AB897&lt;=TODAY()," is due TODAY ("," is due next business day (")&amp;TEXT($AB897,"dd-mmm")&amp;").","Next: "&amp;$AC897&amp;" due "&amp;TEXT($AB897,"dd-mmm")&amp;" ("&amp;(NETWORKDAYS(TODAY(),$AB897,Holidays)-1)&amp;" business day(s) left).")))))</f>
        <v/>
      </c>
      <c r="W897" s="17">
        <f>IF($Z897="","",CHOOSE($Z897,"Collection Email","1st Follow-up","2nd Follow-up","Local Office","CBE","Roxanne")&amp;IF($Z897=6," - Final"," - Day "&amp;MAX(0,NETWORKDAYS($AA897,TODAY(),Holidays)-1)&amp;" of "&amp;CHOOSE($Z897,3,3,2,2,3))&amp;" | Total Day "&amp;MAX(0,NETWORKDAYS($N897,TODAY(),Holidays)-1))</f>
        <v/>
      </c>
      <c r="X897" s="18"/>
      <c r="Y897" s="18"/>
      <c r="Z897" s="17">
        <f>IF($N897="","",COUNT($N897:$S897))</f>
        <v/>
      </c>
      <c r="AA897" s="19">
        <f>IF($Z897="","",INT(INDEX($N897:$S897,$Z897)))</f>
        <v/>
      </c>
      <c r="AB897" s="19">
        <f>IF(OR($Z897="",$Z897=6),"",WORKDAY($AA897,CHOOSE($Z897,3,3,2,2,3),Holidays))</f>
        <v/>
      </c>
      <c r="AC897" s="17">
        <f>IF(OR($Z897="",$Z897=6),"",CHOOSE($Z897,"1st Email Follow-up","2nd Email Follow-up","Escalate Local Office","Escalate to CBE","Escalate to Roxanne"))</f>
        <v/>
      </c>
    </row>
    <row r="898" spans="13:29">
      <c r="M898" s="14"/>
      <c r="T898" s="16"/>
      <c r="U898" s="17">
        <f>IF(AND(COUNTA($A898:$L898)=0,$N898=""),"",IF($T898="Paid","PAID",IF($T898="Closed","CLOSED",IF($Z898="","",IF($Z898=6,"ESCALATED TO ROXANNE",IF(TODAY()&gt;$AB898,"OVERDUE",IF($AB898&lt;=WORKDAY(TODAY(),1,Holidays),"DUE TOMORROW",IF($Z898=4,"ESCALATED TO LOCAL OFFICE",IF($Z898=5,"ESCALATED TO CBE",IF($AA898=TODAY(),"EMAIL SENT","MONITORING"))))))))))</f>
        <v/>
      </c>
      <c r="V898" s="17">
        <f>IF($U898="",IF(AND(COUNTA($A898:$L898)&gt;0,$N898=""),"Awaiting Collection Email time stamp.",""),IF(OR($U898="PAID",$U898="CLOSED"),IF($U898="PAID","Account paid. Action completed.","Account closed. No further action required."),CHOOSE($Z898,"Collection Email","1st Email Follow-up","2nd Email Follow-up","Escalation to Local Office","Escalation to CBE","Escalation to Roxanne")&amp;" sent "&amp;TEXT($AA898,"dd-mmm")&amp;". "&amp;IF($Z898=6,"Final escalation completed.",IF($U898="OVERDUE","Next: "&amp;$AC898&amp;" was due "&amp;TEXT($AB898,"dd-mmm")&amp;" - "&amp;(NETWORKDAYS($AB898,TODAY(),Holidays)-1)&amp;" business day(s) late. Send now.",IF($U898="DUE TOMORROW","Next: "&amp;$AC898&amp;IF($AB898&lt;=TODAY()," is due TODAY ("," is due next business day (")&amp;TEXT($AB898,"dd-mmm")&amp;").","Next: "&amp;$AC898&amp;" due "&amp;TEXT($AB898,"dd-mmm")&amp;" ("&amp;(NETWORKDAYS(TODAY(),$AB898,Holidays)-1)&amp;" business day(s) left).")))))</f>
        <v/>
      </c>
      <c r="W898" s="17">
        <f>IF($Z898="","",CHOOSE($Z898,"Collection Email","1st Follow-up","2nd Follow-up","Local Office","CBE","Roxanne")&amp;IF($Z898=6," - Final"," - Day "&amp;MAX(0,NETWORKDAYS($AA898,TODAY(),Holidays)-1)&amp;" of "&amp;CHOOSE($Z898,3,3,2,2,3))&amp;" | Total Day "&amp;MAX(0,NETWORKDAYS($N898,TODAY(),Holidays)-1))</f>
        <v/>
      </c>
      <c r="X898" s="18"/>
      <c r="Y898" s="18"/>
      <c r="Z898" s="17">
        <f>IF($N898="","",COUNT($N898:$S898))</f>
        <v/>
      </c>
      <c r="AA898" s="19">
        <f>IF($Z898="","",INT(INDEX($N898:$S898,$Z898)))</f>
        <v/>
      </c>
      <c r="AB898" s="19">
        <f>IF(OR($Z898="",$Z898=6),"",WORKDAY($AA898,CHOOSE($Z898,3,3,2,2,3),Holidays))</f>
        <v/>
      </c>
      <c r="AC898" s="17">
        <f>IF(OR($Z898="",$Z898=6),"",CHOOSE($Z898,"1st Email Follow-up","2nd Email Follow-up","Escalate Local Office","Escalate to CBE","Escalate to Roxanne"))</f>
        <v/>
      </c>
    </row>
    <row r="899" spans="13:29">
      <c r="M899" s="14"/>
      <c r="T899" s="16"/>
      <c r="U899" s="17">
        <f>IF(AND(COUNTA($A899:$L899)=0,$N899=""),"",IF($T899="Paid","PAID",IF($T899="Closed","CLOSED",IF($Z899="","",IF($Z899=6,"ESCALATED TO ROXANNE",IF(TODAY()&gt;$AB899,"OVERDUE",IF($AB899&lt;=WORKDAY(TODAY(),1,Holidays),"DUE TOMORROW",IF($Z899=4,"ESCALATED TO LOCAL OFFICE",IF($Z899=5,"ESCALATED TO CBE",IF($AA899=TODAY(),"EMAIL SENT","MONITORING"))))))))))</f>
        <v/>
      </c>
      <c r="V899" s="17">
        <f>IF($U899="",IF(AND(COUNTA($A899:$L899)&gt;0,$N899=""),"Awaiting Collection Email time stamp.",""),IF(OR($U899="PAID",$U899="CLOSED"),IF($U899="PAID","Account paid. Action completed.","Account closed. No further action required."),CHOOSE($Z899,"Collection Email","1st Email Follow-up","2nd Email Follow-up","Escalation to Local Office","Escalation to CBE","Escalation to Roxanne")&amp;" sent "&amp;TEXT($AA899,"dd-mmm")&amp;". "&amp;IF($Z899=6,"Final escalation completed.",IF($U899="OVERDUE","Next: "&amp;$AC899&amp;" was due "&amp;TEXT($AB899,"dd-mmm")&amp;" - "&amp;(NETWORKDAYS($AB899,TODAY(),Holidays)-1)&amp;" business day(s) late. Send now.",IF($U899="DUE TOMORROW","Next: "&amp;$AC899&amp;IF($AB899&lt;=TODAY()," is due TODAY ("," is due next business day (")&amp;TEXT($AB899,"dd-mmm")&amp;").","Next: "&amp;$AC899&amp;" due "&amp;TEXT($AB899,"dd-mmm")&amp;" ("&amp;(NETWORKDAYS(TODAY(),$AB899,Holidays)-1)&amp;" business day(s) left).")))))</f>
        <v/>
      </c>
      <c r="W899" s="17">
        <f>IF($Z899="","",CHOOSE($Z899,"Collection Email","1st Follow-up","2nd Follow-up","Local Office","CBE","Roxanne")&amp;IF($Z899=6," - Final"," - Day "&amp;MAX(0,NETWORKDAYS($AA899,TODAY(),Holidays)-1)&amp;" of "&amp;CHOOSE($Z899,3,3,2,2,3))&amp;" | Total Day "&amp;MAX(0,NETWORKDAYS($N899,TODAY(),Holidays)-1))</f>
        <v/>
      </c>
      <c r="X899" s="18"/>
      <c r="Y899" s="18"/>
      <c r="Z899" s="17">
        <f>IF($N899="","",COUNT($N899:$S899))</f>
        <v/>
      </c>
      <c r="AA899" s="19">
        <f>IF($Z899="","",INT(INDEX($N899:$S899,$Z899)))</f>
        <v/>
      </c>
      <c r="AB899" s="19">
        <f>IF(OR($Z899="",$Z899=6),"",WORKDAY($AA899,CHOOSE($Z899,3,3,2,2,3),Holidays))</f>
        <v/>
      </c>
      <c r="AC899" s="17">
        <f>IF(OR($Z899="",$Z899=6),"",CHOOSE($Z899,"1st Email Follow-up","2nd Email Follow-up","Escalate Local Office","Escalate to CBE","Escalate to Roxanne"))</f>
        <v/>
      </c>
    </row>
    <row r="900" spans="13:29">
      <c r="M900" s="14"/>
      <c r="T900" s="16"/>
      <c r="U900" s="17">
        <f>IF(AND(COUNTA($A900:$L900)=0,$N900=""),"",IF($T900="Paid","PAID",IF($T900="Closed","CLOSED",IF($Z900="","",IF($Z900=6,"ESCALATED TO ROXANNE",IF(TODAY()&gt;$AB900,"OVERDUE",IF($AB900&lt;=WORKDAY(TODAY(),1,Holidays),"DUE TOMORROW",IF($Z900=4,"ESCALATED TO LOCAL OFFICE",IF($Z900=5,"ESCALATED TO CBE",IF($AA900=TODAY(),"EMAIL SENT","MONITORING"))))))))))</f>
        <v/>
      </c>
      <c r="V900" s="17">
        <f>IF($U900="",IF(AND(COUNTA($A900:$L900)&gt;0,$N900=""),"Awaiting Collection Email time stamp.",""),IF(OR($U900="PAID",$U900="CLOSED"),IF($U900="PAID","Account paid. Action completed.","Account closed. No further action required."),CHOOSE($Z900,"Collection Email","1st Email Follow-up","2nd Email Follow-up","Escalation to Local Office","Escalation to CBE","Escalation to Roxanne")&amp;" sent "&amp;TEXT($AA900,"dd-mmm")&amp;". "&amp;IF($Z900=6,"Final escalation completed.",IF($U900="OVERDUE","Next: "&amp;$AC900&amp;" was due "&amp;TEXT($AB900,"dd-mmm")&amp;" - "&amp;(NETWORKDAYS($AB900,TODAY(),Holidays)-1)&amp;" business day(s) late. Send now.",IF($U900="DUE TOMORROW","Next: "&amp;$AC900&amp;IF($AB900&lt;=TODAY()," is due TODAY ("," is due next business day (")&amp;TEXT($AB900,"dd-mmm")&amp;").","Next: "&amp;$AC900&amp;" due "&amp;TEXT($AB900,"dd-mmm")&amp;" ("&amp;(NETWORKDAYS(TODAY(),$AB900,Holidays)-1)&amp;" business day(s) left).")))))</f>
        <v/>
      </c>
      <c r="W900" s="17">
        <f>IF($Z900="","",CHOOSE($Z900,"Collection Email","1st Follow-up","2nd Follow-up","Local Office","CBE","Roxanne")&amp;IF($Z900=6," - Final"," - Day "&amp;MAX(0,NETWORKDAYS($AA900,TODAY(),Holidays)-1)&amp;" of "&amp;CHOOSE($Z900,3,3,2,2,3))&amp;" | Total Day "&amp;MAX(0,NETWORKDAYS($N900,TODAY(),Holidays)-1))</f>
        <v/>
      </c>
      <c r="X900" s="18"/>
      <c r="Y900" s="18"/>
      <c r="Z900" s="17">
        <f>IF($N900="","",COUNT($N900:$S900))</f>
        <v/>
      </c>
      <c r="AA900" s="19">
        <f>IF($Z900="","",INT(INDEX($N900:$S900,$Z900)))</f>
        <v/>
      </c>
      <c r="AB900" s="19">
        <f>IF(OR($Z900="",$Z900=6),"",WORKDAY($AA900,CHOOSE($Z900,3,3,2,2,3),Holidays))</f>
        <v/>
      </c>
      <c r="AC900" s="17">
        <f>IF(OR($Z900="",$Z900=6),"",CHOOSE($Z900,"1st Email Follow-up","2nd Email Follow-up","Escalate Local Office","Escalate to CBE","Escalate to Roxanne"))</f>
        <v/>
      </c>
    </row>
    <row r="901" spans="13:29">
      <c r="M901" s="14"/>
      <c r="T901" s="16"/>
      <c r="U901" s="17">
        <f>IF(AND(COUNTA($A901:$L901)=0,$N901=""),"",IF($T901="Paid","PAID",IF($T901="Closed","CLOSED",IF($Z901="","",IF($Z901=6,"ESCALATED TO ROXANNE",IF(TODAY()&gt;$AB901,"OVERDUE",IF($AB901&lt;=WORKDAY(TODAY(),1,Holidays),"DUE TOMORROW",IF($Z901=4,"ESCALATED TO LOCAL OFFICE",IF($Z901=5,"ESCALATED TO CBE",IF($AA901=TODAY(),"EMAIL SENT","MONITORING"))))))))))</f>
        <v/>
      </c>
      <c r="V901" s="17">
        <f>IF($U901="",IF(AND(COUNTA($A901:$L901)&gt;0,$N901=""),"Awaiting Collection Email time stamp.",""),IF(OR($U901="PAID",$U901="CLOSED"),IF($U901="PAID","Account paid. Action completed.","Account closed. No further action required."),CHOOSE($Z901,"Collection Email","1st Email Follow-up","2nd Email Follow-up","Escalation to Local Office","Escalation to CBE","Escalation to Roxanne")&amp;" sent "&amp;TEXT($AA901,"dd-mmm")&amp;". "&amp;IF($Z901=6,"Final escalation completed.",IF($U901="OVERDUE","Next: "&amp;$AC901&amp;" was due "&amp;TEXT($AB901,"dd-mmm")&amp;" - "&amp;(NETWORKDAYS($AB901,TODAY(),Holidays)-1)&amp;" business day(s) late. Send now.",IF($U901="DUE TOMORROW","Next: "&amp;$AC901&amp;IF($AB901&lt;=TODAY()," is due TODAY ("," is due next business day (")&amp;TEXT($AB901,"dd-mmm")&amp;").","Next: "&amp;$AC901&amp;" due "&amp;TEXT($AB901,"dd-mmm")&amp;" ("&amp;(NETWORKDAYS(TODAY(),$AB901,Holidays)-1)&amp;" business day(s) left).")))))</f>
        <v/>
      </c>
      <c r="W901" s="17">
        <f>IF($Z901="","",CHOOSE($Z901,"Collection Email","1st Follow-up","2nd Follow-up","Local Office","CBE","Roxanne")&amp;IF($Z901=6," - Final"," - Day "&amp;MAX(0,NETWORKDAYS($AA901,TODAY(),Holidays)-1)&amp;" of "&amp;CHOOSE($Z901,3,3,2,2,3))&amp;" | Total Day "&amp;MAX(0,NETWORKDAYS($N901,TODAY(),Holidays)-1))</f>
        <v/>
      </c>
      <c r="X901" s="18"/>
      <c r="Y901" s="18"/>
      <c r="Z901" s="17">
        <f>IF($N901="","",COUNT($N901:$S901))</f>
        <v/>
      </c>
      <c r="AA901" s="19">
        <f>IF($Z901="","",INT(INDEX($N901:$S901,$Z901)))</f>
        <v/>
      </c>
      <c r="AB901" s="19">
        <f>IF(OR($Z901="",$Z901=6),"",WORKDAY($AA901,CHOOSE($Z901,3,3,2,2,3),Holidays))</f>
        <v/>
      </c>
      <c r="AC901" s="17">
        <f>IF(OR($Z901="",$Z901=6),"",CHOOSE($Z901,"1st Email Follow-up","2nd Email Follow-up","Escalate Local Office","Escalate to CBE","Escalate to Roxanne"))</f>
        <v/>
      </c>
    </row>
    <row r="902" spans="13:29">
      <c r="M902" s="14"/>
      <c r="T902" s="16"/>
      <c r="U902" s="17">
        <f>IF(AND(COUNTA($A902:$L902)=0,$N902=""),"",IF($T902="Paid","PAID",IF($T902="Closed","CLOSED",IF($Z902="","",IF($Z902=6,"ESCALATED TO ROXANNE",IF(TODAY()&gt;$AB902,"OVERDUE",IF($AB902&lt;=WORKDAY(TODAY(),1,Holidays),"DUE TOMORROW",IF($Z902=4,"ESCALATED TO LOCAL OFFICE",IF($Z902=5,"ESCALATED TO CBE",IF($AA902=TODAY(),"EMAIL SENT","MONITORING"))))))))))</f>
        <v/>
      </c>
      <c r="V902" s="17">
        <f>IF($U902="",IF(AND(COUNTA($A902:$L902)&gt;0,$N902=""),"Awaiting Collection Email time stamp.",""),IF(OR($U902="PAID",$U902="CLOSED"),IF($U902="PAID","Account paid. Action completed.","Account closed. No further action required."),CHOOSE($Z902,"Collection Email","1st Email Follow-up","2nd Email Follow-up","Escalation to Local Office","Escalation to CBE","Escalation to Roxanne")&amp;" sent "&amp;TEXT($AA902,"dd-mmm")&amp;". "&amp;IF($Z902=6,"Final escalation completed.",IF($U902="OVERDUE","Next: "&amp;$AC902&amp;" was due "&amp;TEXT($AB902,"dd-mmm")&amp;" - "&amp;(NETWORKDAYS($AB902,TODAY(),Holidays)-1)&amp;" business day(s) late. Send now.",IF($U902="DUE TOMORROW","Next: "&amp;$AC902&amp;IF($AB902&lt;=TODAY()," is due TODAY ("," is due next business day (")&amp;TEXT($AB902,"dd-mmm")&amp;").","Next: "&amp;$AC902&amp;" due "&amp;TEXT($AB902,"dd-mmm")&amp;" ("&amp;(NETWORKDAYS(TODAY(),$AB902,Holidays)-1)&amp;" business day(s) left).")))))</f>
        <v/>
      </c>
      <c r="W902" s="17">
        <f>IF($Z902="","",CHOOSE($Z902,"Collection Email","1st Follow-up","2nd Follow-up","Local Office","CBE","Roxanne")&amp;IF($Z902=6," - Final"," - Day "&amp;MAX(0,NETWORKDAYS($AA902,TODAY(),Holidays)-1)&amp;" of "&amp;CHOOSE($Z902,3,3,2,2,3))&amp;" | Total Day "&amp;MAX(0,NETWORKDAYS($N902,TODAY(),Holidays)-1))</f>
        <v/>
      </c>
      <c r="X902" s="18"/>
      <c r="Y902" s="18"/>
      <c r="Z902" s="17">
        <f>IF($N902="","",COUNT($N902:$S902))</f>
        <v/>
      </c>
      <c r="AA902" s="19">
        <f>IF($Z902="","",INT(INDEX($N902:$S902,$Z902)))</f>
        <v/>
      </c>
      <c r="AB902" s="19">
        <f>IF(OR($Z902="",$Z902=6),"",WORKDAY($AA902,CHOOSE($Z902,3,3,2,2,3),Holidays))</f>
        <v/>
      </c>
      <c r="AC902" s="17">
        <f>IF(OR($Z902="",$Z902=6),"",CHOOSE($Z902,"1st Email Follow-up","2nd Email Follow-up","Escalate Local Office","Escalate to CBE","Escalate to Roxanne"))</f>
        <v/>
      </c>
    </row>
    <row r="903" spans="13:29">
      <c r="M903" s="14"/>
      <c r="T903" s="16"/>
      <c r="U903" s="17">
        <f>IF(AND(COUNTA($A903:$L903)=0,$N903=""),"",IF($T903="Paid","PAID",IF($T903="Closed","CLOSED",IF($Z903="","",IF($Z903=6,"ESCALATED TO ROXANNE",IF(TODAY()&gt;$AB903,"OVERDUE",IF($AB903&lt;=WORKDAY(TODAY(),1,Holidays),"DUE TOMORROW",IF($Z903=4,"ESCALATED TO LOCAL OFFICE",IF($Z903=5,"ESCALATED TO CBE",IF($AA903=TODAY(),"EMAIL SENT","MONITORING"))))))))))</f>
        <v/>
      </c>
      <c r="V903" s="17">
        <f>IF($U903="",IF(AND(COUNTA($A903:$L903)&gt;0,$N903=""),"Awaiting Collection Email time stamp.",""),IF(OR($U903="PAID",$U903="CLOSED"),IF($U903="PAID","Account paid. Action completed.","Account closed. No further action required."),CHOOSE($Z903,"Collection Email","1st Email Follow-up","2nd Email Follow-up","Escalation to Local Office","Escalation to CBE","Escalation to Roxanne")&amp;" sent "&amp;TEXT($AA903,"dd-mmm")&amp;". "&amp;IF($Z903=6,"Final escalation completed.",IF($U903="OVERDUE","Next: "&amp;$AC903&amp;" was due "&amp;TEXT($AB903,"dd-mmm")&amp;" - "&amp;(NETWORKDAYS($AB903,TODAY(),Holidays)-1)&amp;" business day(s) late. Send now.",IF($U903="DUE TOMORROW","Next: "&amp;$AC903&amp;IF($AB903&lt;=TODAY()," is due TODAY ("," is due next business day (")&amp;TEXT($AB903,"dd-mmm")&amp;").","Next: "&amp;$AC903&amp;" due "&amp;TEXT($AB903,"dd-mmm")&amp;" ("&amp;(NETWORKDAYS(TODAY(),$AB903,Holidays)-1)&amp;" business day(s) left).")))))</f>
        <v/>
      </c>
      <c r="W903" s="17">
        <f>IF($Z903="","",CHOOSE($Z903,"Collection Email","1st Follow-up","2nd Follow-up","Local Office","CBE","Roxanne")&amp;IF($Z903=6," - Final"," - Day "&amp;MAX(0,NETWORKDAYS($AA903,TODAY(),Holidays)-1)&amp;" of "&amp;CHOOSE($Z903,3,3,2,2,3))&amp;" | Total Day "&amp;MAX(0,NETWORKDAYS($N903,TODAY(),Holidays)-1))</f>
        <v/>
      </c>
      <c r="X903" s="18"/>
      <c r="Y903" s="18"/>
      <c r="Z903" s="17">
        <f>IF($N903="","",COUNT($N903:$S903))</f>
        <v/>
      </c>
      <c r="AA903" s="19">
        <f>IF($Z903="","",INT(INDEX($N903:$S903,$Z903)))</f>
        <v/>
      </c>
      <c r="AB903" s="19">
        <f>IF(OR($Z903="",$Z903=6),"",WORKDAY($AA903,CHOOSE($Z903,3,3,2,2,3),Holidays))</f>
        <v/>
      </c>
      <c r="AC903" s="17">
        <f>IF(OR($Z903="",$Z903=6),"",CHOOSE($Z903,"1st Email Follow-up","2nd Email Follow-up","Escalate Local Office","Escalate to CBE","Escalate to Roxanne"))</f>
        <v/>
      </c>
    </row>
    <row r="904" spans="13:29">
      <c r="M904" s="14"/>
      <c r="T904" s="16"/>
      <c r="U904" s="17">
        <f>IF(AND(COUNTA($A904:$L904)=0,$N904=""),"",IF($T904="Paid","PAID",IF($T904="Closed","CLOSED",IF($Z904="","",IF($Z904=6,"ESCALATED TO ROXANNE",IF(TODAY()&gt;$AB904,"OVERDUE",IF($AB904&lt;=WORKDAY(TODAY(),1,Holidays),"DUE TOMORROW",IF($Z904=4,"ESCALATED TO LOCAL OFFICE",IF($Z904=5,"ESCALATED TO CBE",IF($AA904=TODAY(),"EMAIL SENT","MONITORING"))))))))))</f>
        <v/>
      </c>
      <c r="V904" s="17">
        <f>IF($U904="",IF(AND(COUNTA($A904:$L904)&gt;0,$N904=""),"Awaiting Collection Email time stamp.",""),IF(OR($U904="PAID",$U904="CLOSED"),IF($U904="PAID","Account paid. Action completed.","Account closed. No further action required."),CHOOSE($Z904,"Collection Email","1st Email Follow-up","2nd Email Follow-up","Escalation to Local Office","Escalation to CBE","Escalation to Roxanne")&amp;" sent "&amp;TEXT($AA904,"dd-mmm")&amp;". "&amp;IF($Z904=6,"Final escalation completed.",IF($U904="OVERDUE","Next: "&amp;$AC904&amp;" was due "&amp;TEXT($AB904,"dd-mmm")&amp;" - "&amp;(NETWORKDAYS($AB904,TODAY(),Holidays)-1)&amp;" business day(s) late. Send now.",IF($U904="DUE TOMORROW","Next: "&amp;$AC904&amp;IF($AB904&lt;=TODAY()," is due TODAY ("," is due next business day (")&amp;TEXT($AB904,"dd-mmm")&amp;").","Next: "&amp;$AC904&amp;" due "&amp;TEXT($AB904,"dd-mmm")&amp;" ("&amp;(NETWORKDAYS(TODAY(),$AB904,Holidays)-1)&amp;" business day(s) left).")))))</f>
        <v/>
      </c>
      <c r="W904" s="17">
        <f>IF($Z904="","",CHOOSE($Z904,"Collection Email","1st Follow-up","2nd Follow-up","Local Office","CBE","Roxanne")&amp;IF($Z904=6," - Final"," - Day "&amp;MAX(0,NETWORKDAYS($AA904,TODAY(),Holidays)-1)&amp;" of "&amp;CHOOSE($Z904,3,3,2,2,3))&amp;" | Total Day "&amp;MAX(0,NETWORKDAYS($N904,TODAY(),Holidays)-1))</f>
        <v/>
      </c>
      <c r="X904" s="18"/>
      <c r="Y904" s="18"/>
      <c r="Z904" s="17">
        <f>IF($N904="","",COUNT($N904:$S904))</f>
        <v/>
      </c>
      <c r="AA904" s="19">
        <f>IF($Z904="","",INT(INDEX($N904:$S904,$Z904)))</f>
        <v/>
      </c>
      <c r="AB904" s="19">
        <f>IF(OR($Z904="",$Z904=6),"",WORKDAY($AA904,CHOOSE($Z904,3,3,2,2,3),Holidays))</f>
        <v/>
      </c>
      <c r="AC904" s="17">
        <f>IF(OR($Z904="",$Z904=6),"",CHOOSE($Z904,"1st Email Follow-up","2nd Email Follow-up","Escalate Local Office","Escalate to CBE","Escalate to Roxanne"))</f>
        <v/>
      </c>
    </row>
    <row r="905" spans="13:29">
      <c r="M905" s="14"/>
      <c r="T905" s="16"/>
      <c r="U905" s="17">
        <f>IF(AND(COUNTA($A905:$L905)=0,$N905=""),"",IF($T905="Paid","PAID",IF($T905="Closed","CLOSED",IF($Z905="","",IF($Z905=6,"ESCALATED TO ROXANNE",IF(TODAY()&gt;$AB905,"OVERDUE",IF($AB905&lt;=WORKDAY(TODAY(),1,Holidays),"DUE TOMORROW",IF($Z905=4,"ESCALATED TO LOCAL OFFICE",IF($Z905=5,"ESCALATED TO CBE",IF($AA905=TODAY(),"EMAIL SENT","MONITORING"))))))))))</f>
        <v/>
      </c>
      <c r="V905" s="17">
        <f>IF($U905="",IF(AND(COUNTA($A905:$L905)&gt;0,$N905=""),"Awaiting Collection Email time stamp.",""),IF(OR($U905="PAID",$U905="CLOSED"),IF($U905="PAID","Account paid. Action completed.","Account closed. No further action required."),CHOOSE($Z905,"Collection Email","1st Email Follow-up","2nd Email Follow-up","Escalation to Local Office","Escalation to CBE","Escalation to Roxanne")&amp;" sent "&amp;TEXT($AA905,"dd-mmm")&amp;". "&amp;IF($Z905=6,"Final escalation completed.",IF($U905="OVERDUE","Next: "&amp;$AC905&amp;" was due "&amp;TEXT($AB905,"dd-mmm")&amp;" - "&amp;(NETWORKDAYS($AB905,TODAY(),Holidays)-1)&amp;" business day(s) late. Send now.",IF($U905="DUE TOMORROW","Next: "&amp;$AC905&amp;IF($AB905&lt;=TODAY()," is due TODAY ("," is due next business day (")&amp;TEXT($AB905,"dd-mmm")&amp;").","Next: "&amp;$AC905&amp;" due "&amp;TEXT($AB905,"dd-mmm")&amp;" ("&amp;(NETWORKDAYS(TODAY(),$AB905,Holidays)-1)&amp;" business day(s) left).")))))</f>
        <v/>
      </c>
      <c r="W905" s="17">
        <f>IF($Z905="","",CHOOSE($Z905,"Collection Email","1st Follow-up","2nd Follow-up","Local Office","CBE","Roxanne")&amp;IF($Z905=6," - Final"," - Day "&amp;MAX(0,NETWORKDAYS($AA905,TODAY(),Holidays)-1)&amp;" of "&amp;CHOOSE($Z905,3,3,2,2,3))&amp;" | Total Day "&amp;MAX(0,NETWORKDAYS($N905,TODAY(),Holidays)-1))</f>
        <v/>
      </c>
      <c r="X905" s="18"/>
      <c r="Y905" s="18"/>
      <c r="Z905" s="17">
        <f>IF($N905="","",COUNT($N905:$S905))</f>
        <v/>
      </c>
      <c r="AA905" s="19">
        <f>IF($Z905="","",INT(INDEX($N905:$S905,$Z905)))</f>
        <v/>
      </c>
      <c r="AB905" s="19">
        <f>IF(OR($Z905="",$Z905=6),"",WORKDAY($AA905,CHOOSE($Z905,3,3,2,2,3),Holidays))</f>
        <v/>
      </c>
      <c r="AC905" s="17">
        <f>IF(OR($Z905="",$Z905=6),"",CHOOSE($Z905,"1st Email Follow-up","2nd Email Follow-up","Escalate Local Office","Escalate to CBE","Escalate to Roxanne"))</f>
        <v/>
      </c>
    </row>
    <row r="906" spans="13:29">
      <c r="M906" s="14"/>
      <c r="T906" s="16"/>
      <c r="U906" s="17">
        <f>IF(AND(COUNTA($A906:$L906)=0,$N906=""),"",IF($T906="Paid","PAID",IF($T906="Closed","CLOSED",IF($Z906="","",IF($Z906=6,"ESCALATED TO ROXANNE",IF(TODAY()&gt;$AB906,"OVERDUE",IF($AB906&lt;=WORKDAY(TODAY(),1,Holidays),"DUE TOMORROW",IF($Z906=4,"ESCALATED TO LOCAL OFFICE",IF($Z906=5,"ESCALATED TO CBE",IF($AA906=TODAY(),"EMAIL SENT","MONITORING"))))))))))</f>
        <v/>
      </c>
      <c r="V906" s="17">
        <f>IF($U906="",IF(AND(COUNTA($A906:$L906)&gt;0,$N906=""),"Awaiting Collection Email time stamp.",""),IF(OR($U906="PAID",$U906="CLOSED"),IF($U906="PAID","Account paid. Action completed.","Account closed. No further action required."),CHOOSE($Z906,"Collection Email","1st Email Follow-up","2nd Email Follow-up","Escalation to Local Office","Escalation to CBE","Escalation to Roxanne")&amp;" sent "&amp;TEXT($AA906,"dd-mmm")&amp;". "&amp;IF($Z906=6,"Final escalation completed.",IF($U906="OVERDUE","Next: "&amp;$AC906&amp;" was due "&amp;TEXT($AB906,"dd-mmm")&amp;" - "&amp;(NETWORKDAYS($AB906,TODAY(),Holidays)-1)&amp;" business day(s) late. Send now.",IF($U906="DUE TOMORROW","Next: "&amp;$AC906&amp;IF($AB906&lt;=TODAY()," is due TODAY ("," is due next business day (")&amp;TEXT($AB906,"dd-mmm")&amp;").","Next: "&amp;$AC906&amp;" due "&amp;TEXT($AB906,"dd-mmm")&amp;" ("&amp;(NETWORKDAYS(TODAY(),$AB906,Holidays)-1)&amp;" business day(s) left).")))))</f>
        <v/>
      </c>
      <c r="W906" s="17">
        <f>IF($Z906="","",CHOOSE($Z906,"Collection Email","1st Follow-up","2nd Follow-up","Local Office","CBE","Roxanne")&amp;IF($Z906=6," - Final"," - Day "&amp;MAX(0,NETWORKDAYS($AA906,TODAY(),Holidays)-1)&amp;" of "&amp;CHOOSE($Z906,3,3,2,2,3))&amp;" | Total Day "&amp;MAX(0,NETWORKDAYS($N906,TODAY(),Holidays)-1))</f>
        <v/>
      </c>
      <c r="X906" s="18"/>
      <c r="Y906" s="18"/>
      <c r="Z906" s="17">
        <f>IF($N906="","",COUNT($N906:$S906))</f>
        <v/>
      </c>
      <c r="AA906" s="19">
        <f>IF($Z906="","",INT(INDEX($N906:$S906,$Z906)))</f>
        <v/>
      </c>
      <c r="AB906" s="19">
        <f>IF(OR($Z906="",$Z906=6),"",WORKDAY($AA906,CHOOSE($Z906,3,3,2,2,3),Holidays))</f>
        <v/>
      </c>
      <c r="AC906" s="17">
        <f>IF(OR($Z906="",$Z906=6),"",CHOOSE($Z906,"1st Email Follow-up","2nd Email Follow-up","Escalate Local Office","Escalate to CBE","Escalate to Roxanne"))</f>
        <v/>
      </c>
    </row>
    <row r="907" spans="13:29">
      <c r="M907" s="14"/>
      <c r="T907" s="16"/>
      <c r="U907" s="17">
        <f>IF(AND(COUNTA($A907:$L907)=0,$N907=""),"",IF($T907="Paid","PAID",IF($T907="Closed","CLOSED",IF($Z907="","",IF($Z907=6,"ESCALATED TO ROXANNE",IF(TODAY()&gt;$AB907,"OVERDUE",IF($AB907&lt;=WORKDAY(TODAY(),1,Holidays),"DUE TOMORROW",IF($Z907=4,"ESCALATED TO LOCAL OFFICE",IF($Z907=5,"ESCALATED TO CBE",IF($AA907=TODAY(),"EMAIL SENT","MONITORING"))))))))))</f>
        <v/>
      </c>
      <c r="V907" s="17">
        <f>IF($U907="",IF(AND(COUNTA($A907:$L907)&gt;0,$N907=""),"Awaiting Collection Email time stamp.",""),IF(OR($U907="PAID",$U907="CLOSED"),IF($U907="PAID","Account paid. Action completed.","Account closed. No further action required."),CHOOSE($Z907,"Collection Email","1st Email Follow-up","2nd Email Follow-up","Escalation to Local Office","Escalation to CBE","Escalation to Roxanne")&amp;" sent "&amp;TEXT($AA907,"dd-mmm")&amp;". "&amp;IF($Z907=6,"Final escalation completed.",IF($U907="OVERDUE","Next: "&amp;$AC907&amp;" was due "&amp;TEXT($AB907,"dd-mmm")&amp;" - "&amp;(NETWORKDAYS($AB907,TODAY(),Holidays)-1)&amp;" business day(s) late. Send now.",IF($U907="DUE TOMORROW","Next: "&amp;$AC907&amp;IF($AB907&lt;=TODAY()," is due TODAY ("," is due next business day (")&amp;TEXT($AB907,"dd-mmm")&amp;").","Next: "&amp;$AC907&amp;" due "&amp;TEXT($AB907,"dd-mmm")&amp;" ("&amp;(NETWORKDAYS(TODAY(),$AB907,Holidays)-1)&amp;" business day(s) left).")))))</f>
        <v/>
      </c>
      <c r="W907" s="17">
        <f>IF($Z907="","",CHOOSE($Z907,"Collection Email","1st Follow-up","2nd Follow-up","Local Office","CBE","Roxanne")&amp;IF($Z907=6," - Final"," - Day "&amp;MAX(0,NETWORKDAYS($AA907,TODAY(),Holidays)-1)&amp;" of "&amp;CHOOSE($Z907,3,3,2,2,3))&amp;" | Total Day "&amp;MAX(0,NETWORKDAYS($N907,TODAY(),Holidays)-1))</f>
        <v/>
      </c>
      <c r="X907" s="18"/>
      <c r="Y907" s="18"/>
      <c r="Z907" s="17">
        <f>IF($N907="","",COUNT($N907:$S907))</f>
        <v/>
      </c>
      <c r="AA907" s="19">
        <f>IF($Z907="","",INT(INDEX($N907:$S907,$Z907)))</f>
        <v/>
      </c>
      <c r="AB907" s="19">
        <f>IF(OR($Z907="",$Z907=6),"",WORKDAY($AA907,CHOOSE($Z907,3,3,2,2,3),Holidays))</f>
        <v/>
      </c>
      <c r="AC907" s="17">
        <f>IF(OR($Z907="",$Z907=6),"",CHOOSE($Z907,"1st Email Follow-up","2nd Email Follow-up","Escalate Local Office","Escalate to CBE","Escalate to Roxanne"))</f>
        <v/>
      </c>
    </row>
    <row r="908" spans="13:29">
      <c r="M908" s="14"/>
      <c r="T908" s="16"/>
      <c r="U908" s="17">
        <f>IF(AND(COUNTA($A908:$L908)=0,$N908=""),"",IF($T908="Paid","PAID",IF($T908="Closed","CLOSED",IF($Z908="","",IF($Z908=6,"ESCALATED TO ROXANNE",IF(TODAY()&gt;$AB908,"OVERDUE",IF($AB908&lt;=WORKDAY(TODAY(),1,Holidays),"DUE TOMORROW",IF($Z908=4,"ESCALATED TO LOCAL OFFICE",IF($Z908=5,"ESCALATED TO CBE",IF($AA908=TODAY(),"EMAIL SENT","MONITORING"))))))))))</f>
        <v/>
      </c>
      <c r="V908" s="17">
        <f>IF($U908="",IF(AND(COUNTA($A908:$L908)&gt;0,$N908=""),"Awaiting Collection Email time stamp.",""),IF(OR($U908="PAID",$U908="CLOSED"),IF($U908="PAID","Account paid. Action completed.","Account closed. No further action required."),CHOOSE($Z908,"Collection Email","1st Email Follow-up","2nd Email Follow-up","Escalation to Local Office","Escalation to CBE","Escalation to Roxanne")&amp;" sent "&amp;TEXT($AA908,"dd-mmm")&amp;". "&amp;IF($Z908=6,"Final escalation completed.",IF($U908="OVERDUE","Next: "&amp;$AC908&amp;" was due "&amp;TEXT($AB908,"dd-mmm")&amp;" - "&amp;(NETWORKDAYS($AB908,TODAY(),Holidays)-1)&amp;" business day(s) late. Send now.",IF($U908="DUE TOMORROW","Next: "&amp;$AC908&amp;IF($AB908&lt;=TODAY()," is due TODAY ("," is due next business day (")&amp;TEXT($AB908,"dd-mmm")&amp;").","Next: "&amp;$AC908&amp;" due "&amp;TEXT($AB908,"dd-mmm")&amp;" ("&amp;(NETWORKDAYS(TODAY(),$AB908,Holidays)-1)&amp;" business day(s) left).")))))</f>
        <v/>
      </c>
      <c r="W908" s="17">
        <f>IF($Z908="","",CHOOSE($Z908,"Collection Email","1st Follow-up","2nd Follow-up","Local Office","CBE","Roxanne")&amp;IF($Z908=6," - Final"," - Day "&amp;MAX(0,NETWORKDAYS($AA908,TODAY(),Holidays)-1)&amp;" of "&amp;CHOOSE($Z908,3,3,2,2,3))&amp;" | Total Day "&amp;MAX(0,NETWORKDAYS($N908,TODAY(),Holidays)-1))</f>
        <v/>
      </c>
      <c r="X908" s="18"/>
      <c r="Y908" s="18"/>
      <c r="Z908" s="17">
        <f>IF($N908="","",COUNT($N908:$S908))</f>
        <v/>
      </c>
      <c r="AA908" s="19">
        <f>IF($Z908="","",INT(INDEX($N908:$S908,$Z908)))</f>
        <v/>
      </c>
      <c r="AB908" s="19">
        <f>IF(OR($Z908="",$Z908=6),"",WORKDAY($AA908,CHOOSE($Z908,3,3,2,2,3),Holidays))</f>
        <v/>
      </c>
      <c r="AC908" s="17">
        <f>IF(OR($Z908="",$Z908=6),"",CHOOSE($Z908,"1st Email Follow-up","2nd Email Follow-up","Escalate Local Office","Escalate to CBE","Escalate to Roxanne"))</f>
        <v/>
      </c>
    </row>
    <row r="909" spans="13:29">
      <c r="M909" s="14"/>
      <c r="T909" s="16"/>
      <c r="U909" s="17">
        <f>IF(AND(COUNTA($A909:$L909)=0,$N909=""),"",IF($T909="Paid","PAID",IF($T909="Closed","CLOSED",IF($Z909="","",IF($Z909=6,"ESCALATED TO ROXANNE",IF(TODAY()&gt;$AB909,"OVERDUE",IF($AB909&lt;=WORKDAY(TODAY(),1,Holidays),"DUE TOMORROW",IF($Z909=4,"ESCALATED TO LOCAL OFFICE",IF($Z909=5,"ESCALATED TO CBE",IF($AA909=TODAY(),"EMAIL SENT","MONITORING"))))))))))</f>
        <v/>
      </c>
      <c r="V909" s="17">
        <f>IF($U909="",IF(AND(COUNTA($A909:$L909)&gt;0,$N909=""),"Awaiting Collection Email time stamp.",""),IF(OR($U909="PAID",$U909="CLOSED"),IF($U909="PAID","Account paid. Action completed.","Account closed. No further action required."),CHOOSE($Z909,"Collection Email","1st Email Follow-up","2nd Email Follow-up","Escalation to Local Office","Escalation to CBE","Escalation to Roxanne")&amp;" sent "&amp;TEXT($AA909,"dd-mmm")&amp;". "&amp;IF($Z909=6,"Final escalation completed.",IF($U909="OVERDUE","Next: "&amp;$AC909&amp;" was due "&amp;TEXT($AB909,"dd-mmm")&amp;" - "&amp;(NETWORKDAYS($AB909,TODAY(),Holidays)-1)&amp;" business day(s) late. Send now.",IF($U909="DUE TOMORROW","Next: "&amp;$AC909&amp;IF($AB909&lt;=TODAY()," is due TODAY ("," is due next business day (")&amp;TEXT($AB909,"dd-mmm")&amp;").","Next: "&amp;$AC909&amp;" due "&amp;TEXT($AB909,"dd-mmm")&amp;" ("&amp;(NETWORKDAYS(TODAY(),$AB909,Holidays)-1)&amp;" business day(s) left).")))))</f>
        <v/>
      </c>
      <c r="W909" s="17">
        <f>IF($Z909="","",CHOOSE($Z909,"Collection Email","1st Follow-up","2nd Follow-up","Local Office","CBE","Roxanne")&amp;IF($Z909=6," - Final"," - Day "&amp;MAX(0,NETWORKDAYS($AA909,TODAY(),Holidays)-1)&amp;" of "&amp;CHOOSE($Z909,3,3,2,2,3))&amp;" | Total Day "&amp;MAX(0,NETWORKDAYS($N909,TODAY(),Holidays)-1))</f>
        <v/>
      </c>
      <c r="X909" s="18"/>
      <c r="Y909" s="18"/>
      <c r="Z909" s="17">
        <f>IF($N909="","",COUNT($N909:$S909))</f>
        <v/>
      </c>
      <c r="AA909" s="19">
        <f>IF($Z909="","",INT(INDEX($N909:$S909,$Z909)))</f>
        <v/>
      </c>
      <c r="AB909" s="19">
        <f>IF(OR($Z909="",$Z909=6),"",WORKDAY($AA909,CHOOSE($Z909,3,3,2,2,3),Holidays))</f>
        <v/>
      </c>
      <c r="AC909" s="17">
        <f>IF(OR($Z909="",$Z909=6),"",CHOOSE($Z909,"1st Email Follow-up","2nd Email Follow-up","Escalate Local Office","Escalate to CBE","Escalate to Roxanne"))</f>
        <v/>
      </c>
    </row>
    <row r="910" spans="13:29">
      <c r="M910" s="14"/>
      <c r="T910" s="16"/>
      <c r="U910" s="17">
        <f>IF(AND(COUNTA($A910:$L910)=0,$N910=""),"",IF($T910="Paid","PAID",IF($T910="Closed","CLOSED",IF($Z910="","",IF($Z910=6,"ESCALATED TO ROXANNE",IF(TODAY()&gt;$AB910,"OVERDUE",IF($AB910&lt;=WORKDAY(TODAY(),1,Holidays),"DUE TOMORROW",IF($Z910=4,"ESCALATED TO LOCAL OFFICE",IF($Z910=5,"ESCALATED TO CBE",IF($AA910=TODAY(),"EMAIL SENT","MONITORING"))))))))))</f>
        <v/>
      </c>
      <c r="V910" s="17">
        <f>IF($U910="",IF(AND(COUNTA($A910:$L910)&gt;0,$N910=""),"Awaiting Collection Email time stamp.",""),IF(OR($U910="PAID",$U910="CLOSED"),IF($U910="PAID","Account paid. Action completed.","Account closed. No further action required."),CHOOSE($Z910,"Collection Email","1st Email Follow-up","2nd Email Follow-up","Escalation to Local Office","Escalation to CBE","Escalation to Roxanne")&amp;" sent "&amp;TEXT($AA910,"dd-mmm")&amp;". "&amp;IF($Z910=6,"Final escalation completed.",IF($U910="OVERDUE","Next: "&amp;$AC910&amp;" was due "&amp;TEXT($AB910,"dd-mmm")&amp;" - "&amp;(NETWORKDAYS($AB910,TODAY(),Holidays)-1)&amp;" business day(s) late. Send now.",IF($U910="DUE TOMORROW","Next: "&amp;$AC910&amp;IF($AB910&lt;=TODAY()," is due TODAY ("," is due next business day (")&amp;TEXT($AB910,"dd-mmm")&amp;").","Next: "&amp;$AC910&amp;" due "&amp;TEXT($AB910,"dd-mmm")&amp;" ("&amp;(NETWORKDAYS(TODAY(),$AB910,Holidays)-1)&amp;" business day(s) left).")))))</f>
        <v/>
      </c>
      <c r="W910" s="17">
        <f>IF($Z910="","",CHOOSE($Z910,"Collection Email","1st Follow-up","2nd Follow-up","Local Office","CBE","Roxanne")&amp;IF($Z910=6," - Final"," - Day "&amp;MAX(0,NETWORKDAYS($AA910,TODAY(),Holidays)-1)&amp;" of "&amp;CHOOSE($Z910,3,3,2,2,3))&amp;" | Total Day "&amp;MAX(0,NETWORKDAYS($N910,TODAY(),Holidays)-1))</f>
        <v/>
      </c>
      <c r="X910" s="18"/>
      <c r="Y910" s="18"/>
      <c r="Z910" s="17">
        <f>IF($N910="","",COUNT($N910:$S910))</f>
        <v/>
      </c>
      <c r="AA910" s="19">
        <f>IF($Z910="","",INT(INDEX($N910:$S910,$Z910)))</f>
        <v/>
      </c>
      <c r="AB910" s="19">
        <f>IF(OR($Z910="",$Z910=6),"",WORKDAY($AA910,CHOOSE($Z910,3,3,2,2,3),Holidays))</f>
        <v/>
      </c>
      <c r="AC910" s="17">
        <f>IF(OR($Z910="",$Z910=6),"",CHOOSE($Z910,"1st Email Follow-up","2nd Email Follow-up","Escalate Local Office","Escalate to CBE","Escalate to Roxanne"))</f>
        <v/>
      </c>
    </row>
    <row r="911" spans="13:29">
      <c r="M911" s="14"/>
      <c r="T911" s="16"/>
      <c r="U911" s="17">
        <f>IF(AND(COUNTA($A911:$L911)=0,$N911=""),"",IF($T911="Paid","PAID",IF($T911="Closed","CLOSED",IF($Z911="","",IF($Z911=6,"ESCALATED TO ROXANNE",IF(TODAY()&gt;$AB911,"OVERDUE",IF($AB911&lt;=WORKDAY(TODAY(),1,Holidays),"DUE TOMORROW",IF($Z911=4,"ESCALATED TO LOCAL OFFICE",IF($Z911=5,"ESCALATED TO CBE",IF($AA911=TODAY(),"EMAIL SENT","MONITORING"))))))))))</f>
        <v/>
      </c>
      <c r="V911" s="17">
        <f>IF($U911="",IF(AND(COUNTA($A911:$L911)&gt;0,$N911=""),"Awaiting Collection Email time stamp.",""),IF(OR($U911="PAID",$U911="CLOSED"),IF($U911="PAID","Account paid. Action completed.","Account closed. No further action required."),CHOOSE($Z911,"Collection Email","1st Email Follow-up","2nd Email Follow-up","Escalation to Local Office","Escalation to CBE","Escalation to Roxanne")&amp;" sent "&amp;TEXT($AA911,"dd-mmm")&amp;". "&amp;IF($Z911=6,"Final escalation completed.",IF($U911="OVERDUE","Next: "&amp;$AC911&amp;" was due "&amp;TEXT($AB911,"dd-mmm")&amp;" - "&amp;(NETWORKDAYS($AB911,TODAY(),Holidays)-1)&amp;" business day(s) late. Send now.",IF($U911="DUE TOMORROW","Next: "&amp;$AC911&amp;IF($AB911&lt;=TODAY()," is due TODAY ("," is due next business day (")&amp;TEXT($AB911,"dd-mmm")&amp;").","Next: "&amp;$AC911&amp;" due "&amp;TEXT($AB911,"dd-mmm")&amp;" ("&amp;(NETWORKDAYS(TODAY(),$AB911,Holidays)-1)&amp;" business day(s) left).")))))</f>
        <v/>
      </c>
      <c r="W911" s="17">
        <f>IF($Z911="","",CHOOSE($Z911,"Collection Email","1st Follow-up","2nd Follow-up","Local Office","CBE","Roxanne")&amp;IF($Z911=6," - Final"," - Day "&amp;MAX(0,NETWORKDAYS($AA911,TODAY(),Holidays)-1)&amp;" of "&amp;CHOOSE($Z911,3,3,2,2,3))&amp;" | Total Day "&amp;MAX(0,NETWORKDAYS($N911,TODAY(),Holidays)-1))</f>
        <v/>
      </c>
      <c r="X911" s="18"/>
      <c r="Y911" s="18"/>
      <c r="Z911" s="17">
        <f>IF($N911="","",COUNT($N911:$S911))</f>
        <v/>
      </c>
      <c r="AA911" s="19">
        <f>IF($Z911="","",INT(INDEX($N911:$S911,$Z911)))</f>
        <v/>
      </c>
      <c r="AB911" s="19">
        <f>IF(OR($Z911="",$Z911=6),"",WORKDAY($AA911,CHOOSE($Z911,3,3,2,2,3),Holidays))</f>
        <v/>
      </c>
      <c r="AC911" s="17">
        <f>IF(OR($Z911="",$Z911=6),"",CHOOSE($Z911,"1st Email Follow-up","2nd Email Follow-up","Escalate Local Office","Escalate to CBE","Escalate to Roxanne"))</f>
        <v/>
      </c>
    </row>
    <row r="912" spans="13:29">
      <c r="M912" s="14"/>
      <c r="T912" s="16"/>
      <c r="U912" s="17">
        <f>IF(AND(COUNTA($A912:$L912)=0,$N912=""),"",IF($T912="Paid","PAID",IF($T912="Closed","CLOSED",IF($Z912="","",IF($Z912=6,"ESCALATED TO ROXANNE",IF(TODAY()&gt;$AB912,"OVERDUE",IF($AB912&lt;=WORKDAY(TODAY(),1,Holidays),"DUE TOMORROW",IF($Z912=4,"ESCALATED TO LOCAL OFFICE",IF($Z912=5,"ESCALATED TO CBE",IF($AA912=TODAY(),"EMAIL SENT","MONITORING"))))))))))</f>
        <v/>
      </c>
      <c r="V912" s="17">
        <f>IF($U912="",IF(AND(COUNTA($A912:$L912)&gt;0,$N912=""),"Awaiting Collection Email time stamp.",""),IF(OR($U912="PAID",$U912="CLOSED"),IF($U912="PAID","Account paid. Action completed.","Account closed. No further action required."),CHOOSE($Z912,"Collection Email","1st Email Follow-up","2nd Email Follow-up","Escalation to Local Office","Escalation to CBE","Escalation to Roxanne")&amp;" sent "&amp;TEXT($AA912,"dd-mmm")&amp;". "&amp;IF($Z912=6,"Final escalation completed.",IF($U912="OVERDUE","Next: "&amp;$AC912&amp;" was due "&amp;TEXT($AB912,"dd-mmm")&amp;" - "&amp;(NETWORKDAYS($AB912,TODAY(),Holidays)-1)&amp;" business day(s) late. Send now.",IF($U912="DUE TOMORROW","Next: "&amp;$AC912&amp;IF($AB912&lt;=TODAY()," is due TODAY ("," is due next business day (")&amp;TEXT($AB912,"dd-mmm")&amp;").","Next: "&amp;$AC912&amp;" due "&amp;TEXT($AB912,"dd-mmm")&amp;" ("&amp;(NETWORKDAYS(TODAY(),$AB912,Holidays)-1)&amp;" business day(s) left).")))))</f>
        <v/>
      </c>
      <c r="W912" s="17">
        <f>IF($Z912="","",CHOOSE($Z912,"Collection Email","1st Follow-up","2nd Follow-up","Local Office","CBE","Roxanne")&amp;IF($Z912=6," - Final"," - Day "&amp;MAX(0,NETWORKDAYS($AA912,TODAY(),Holidays)-1)&amp;" of "&amp;CHOOSE($Z912,3,3,2,2,3))&amp;" | Total Day "&amp;MAX(0,NETWORKDAYS($N912,TODAY(),Holidays)-1))</f>
        <v/>
      </c>
      <c r="X912" s="18"/>
      <c r="Y912" s="18"/>
      <c r="Z912" s="17">
        <f>IF($N912="","",COUNT($N912:$S912))</f>
        <v/>
      </c>
      <c r="AA912" s="19">
        <f>IF($Z912="","",INT(INDEX($N912:$S912,$Z912)))</f>
        <v/>
      </c>
      <c r="AB912" s="19">
        <f>IF(OR($Z912="",$Z912=6),"",WORKDAY($AA912,CHOOSE($Z912,3,3,2,2,3),Holidays))</f>
        <v/>
      </c>
      <c r="AC912" s="17">
        <f>IF(OR($Z912="",$Z912=6),"",CHOOSE($Z912,"1st Email Follow-up","2nd Email Follow-up","Escalate Local Office","Escalate to CBE","Escalate to Roxanne"))</f>
        <v/>
      </c>
    </row>
    <row r="913" spans="13:29">
      <c r="M913" s="14"/>
      <c r="T913" s="16"/>
      <c r="U913" s="17">
        <f>IF(AND(COUNTA($A913:$L913)=0,$N913=""),"",IF($T913="Paid","PAID",IF($T913="Closed","CLOSED",IF($Z913="","",IF($Z913=6,"ESCALATED TO ROXANNE",IF(TODAY()&gt;$AB913,"OVERDUE",IF($AB913&lt;=WORKDAY(TODAY(),1,Holidays),"DUE TOMORROW",IF($Z913=4,"ESCALATED TO LOCAL OFFICE",IF($Z913=5,"ESCALATED TO CBE",IF($AA913=TODAY(),"EMAIL SENT","MONITORING"))))))))))</f>
        <v/>
      </c>
      <c r="V913" s="17">
        <f>IF($U913="",IF(AND(COUNTA($A913:$L913)&gt;0,$N913=""),"Awaiting Collection Email time stamp.",""),IF(OR($U913="PAID",$U913="CLOSED"),IF($U913="PAID","Account paid. Action completed.","Account closed. No further action required."),CHOOSE($Z913,"Collection Email","1st Email Follow-up","2nd Email Follow-up","Escalation to Local Office","Escalation to CBE","Escalation to Roxanne")&amp;" sent "&amp;TEXT($AA913,"dd-mmm")&amp;". "&amp;IF($Z913=6,"Final escalation completed.",IF($U913="OVERDUE","Next: "&amp;$AC913&amp;" was due "&amp;TEXT($AB913,"dd-mmm")&amp;" - "&amp;(NETWORKDAYS($AB913,TODAY(),Holidays)-1)&amp;" business day(s) late. Send now.",IF($U913="DUE TOMORROW","Next: "&amp;$AC913&amp;IF($AB913&lt;=TODAY()," is due TODAY ("," is due next business day (")&amp;TEXT($AB913,"dd-mmm")&amp;").","Next: "&amp;$AC913&amp;" due "&amp;TEXT($AB913,"dd-mmm")&amp;" ("&amp;(NETWORKDAYS(TODAY(),$AB913,Holidays)-1)&amp;" business day(s) left).")))))</f>
        <v/>
      </c>
      <c r="W913" s="17">
        <f>IF($Z913="","",CHOOSE($Z913,"Collection Email","1st Follow-up","2nd Follow-up","Local Office","CBE","Roxanne")&amp;IF($Z913=6," - Final"," - Day "&amp;MAX(0,NETWORKDAYS($AA913,TODAY(),Holidays)-1)&amp;" of "&amp;CHOOSE($Z913,3,3,2,2,3))&amp;" | Total Day "&amp;MAX(0,NETWORKDAYS($N913,TODAY(),Holidays)-1))</f>
        <v/>
      </c>
      <c r="X913" s="18"/>
      <c r="Y913" s="18"/>
      <c r="Z913" s="17">
        <f>IF($N913="","",COUNT($N913:$S913))</f>
        <v/>
      </c>
      <c r="AA913" s="19">
        <f>IF($Z913="","",INT(INDEX($N913:$S913,$Z913)))</f>
        <v/>
      </c>
      <c r="AB913" s="19">
        <f>IF(OR($Z913="",$Z913=6),"",WORKDAY($AA913,CHOOSE($Z913,3,3,2,2,3),Holidays))</f>
        <v/>
      </c>
      <c r="AC913" s="17">
        <f>IF(OR($Z913="",$Z913=6),"",CHOOSE($Z913,"1st Email Follow-up","2nd Email Follow-up","Escalate Local Office","Escalate to CBE","Escalate to Roxanne"))</f>
        <v/>
      </c>
    </row>
    <row r="914" spans="13:29">
      <c r="M914" s="14"/>
      <c r="T914" s="16"/>
      <c r="U914" s="17">
        <f>IF(AND(COUNTA($A914:$L914)=0,$N914=""),"",IF($T914="Paid","PAID",IF($T914="Closed","CLOSED",IF($Z914="","",IF($Z914=6,"ESCALATED TO ROXANNE",IF(TODAY()&gt;$AB914,"OVERDUE",IF($AB914&lt;=WORKDAY(TODAY(),1,Holidays),"DUE TOMORROW",IF($Z914=4,"ESCALATED TO LOCAL OFFICE",IF($Z914=5,"ESCALATED TO CBE",IF($AA914=TODAY(),"EMAIL SENT","MONITORING"))))))))))</f>
        <v/>
      </c>
      <c r="V914" s="17">
        <f>IF($U914="",IF(AND(COUNTA($A914:$L914)&gt;0,$N914=""),"Awaiting Collection Email time stamp.",""),IF(OR($U914="PAID",$U914="CLOSED"),IF($U914="PAID","Account paid. Action completed.","Account closed. No further action required."),CHOOSE($Z914,"Collection Email","1st Email Follow-up","2nd Email Follow-up","Escalation to Local Office","Escalation to CBE","Escalation to Roxanne")&amp;" sent "&amp;TEXT($AA914,"dd-mmm")&amp;". "&amp;IF($Z914=6,"Final escalation completed.",IF($U914="OVERDUE","Next: "&amp;$AC914&amp;" was due "&amp;TEXT($AB914,"dd-mmm")&amp;" - "&amp;(NETWORKDAYS($AB914,TODAY(),Holidays)-1)&amp;" business day(s) late. Send now.",IF($U914="DUE TOMORROW","Next: "&amp;$AC914&amp;IF($AB914&lt;=TODAY()," is due TODAY ("," is due next business day (")&amp;TEXT($AB914,"dd-mmm")&amp;").","Next: "&amp;$AC914&amp;" due "&amp;TEXT($AB914,"dd-mmm")&amp;" ("&amp;(NETWORKDAYS(TODAY(),$AB914,Holidays)-1)&amp;" business day(s) left).")))))</f>
        <v/>
      </c>
      <c r="W914" s="17">
        <f>IF($Z914="","",CHOOSE($Z914,"Collection Email","1st Follow-up","2nd Follow-up","Local Office","CBE","Roxanne")&amp;IF($Z914=6," - Final"," - Day "&amp;MAX(0,NETWORKDAYS($AA914,TODAY(),Holidays)-1)&amp;" of "&amp;CHOOSE($Z914,3,3,2,2,3))&amp;" | Total Day "&amp;MAX(0,NETWORKDAYS($N914,TODAY(),Holidays)-1))</f>
        <v/>
      </c>
      <c r="X914" s="18"/>
      <c r="Y914" s="18"/>
      <c r="Z914" s="17">
        <f>IF($N914="","",COUNT($N914:$S914))</f>
        <v/>
      </c>
      <c r="AA914" s="19">
        <f>IF($Z914="","",INT(INDEX($N914:$S914,$Z914)))</f>
        <v/>
      </c>
      <c r="AB914" s="19">
        <f>IF(OR($Z914="",$Z914=6),"",WORKDAY($AA914,CHOOSE($Z914,3,3,2,2,3),Holidays))</f>
        <v/>
      </c>
      <c r="AC914" s="17">
        <f>IF(OR($Z914="",$Z914=6),"",CHOOSE($Z914,"1st Email Follow-up","2nd Email Follow-up","Escalate Local Office","Escalate to CBE","Escalate to Roxanne"))</f>
        <v/>
      </c>
    </row>
    <row r="915" spans="13:29">
      <c r="M915" s="14"/>
      <c r="T915" s="16"/>
      <c r="U915" s="17">
        <f>IF(AND(COUNTA($A915:$L915)=0,$N915=""),"",IF($T915="Paid","PAID",IF($T915="Closed","CLOSED",IF($Z915="","",IF($Z915=6,"ESCALATED TO ROXANNE",IF(TODAY()&gt;$AB915,"OVERDUE",IF($AB915&lt;=WORKDAY(TODAY(),1,Holidays),"DUE TOMORROW",IF($Z915=4,"ESCALATED TO LOCAL OFFICE",IF($Z915=5,"ESCALATED TO CBE",IF($AA915=TODAY(),"EMAIL SENT","MONITORING"))))))))))</f>
        <v/>
      </c>
      <c r="V915" s="17">
        <f>IF($U915="",IF(AND(COUNTA($A915:$L915)&gt;0,$N915=""),"Awaiting Collection Email time stamp.",""),IF(OR($U915="PAID",$U915="CLOSED"),IF($U915="PAID","Account paid. Action completed.","Account closed. No further action required."),CHOOSE($Z915,"Collection Email","1st Email Follow-up","2nd Email Follow-up","Escalation to Local Office","Escalation to CBE","Escalation to Roxanne")&amp;" sent "&amp;TEXT($AA915,"dd-mmm")&amp;". "&amp;IF($Z915=6,"Final escalation completed.",IF($U915="OVERDUE","Next: "&amp;$AC915&amp;" was due "&amp;TEXT($AB915,"dd-mmm")&amp;" - "&amp;(NETWORKDAYS($AB915,TODAY(),Holidays)-1)&amp;" business day(s) late. Send now.",IF($U915="DUE TOMORROW","Next: "&amp;$AC915&amp;IF($AB915&lt;=TODAY()," is due TODAY ("," is due next business day (")&amp;TEXT($AB915,"dd-mmm")&amp;").","Next: "&amp;$AC915&amp;" due "&amp;TEXT($AB915,"dd-mmm")&amp;" ("&amp;(NETWORKDAYS(TODAY(),$AB915,Holidays)-1)&amp;" business day(s) left).")))))</f>
        <v/>
      </c>
      <c r="W915" s="17">
        <f>IF($Z915="","",CHOOSE($Z915,"Collection Email","1st Follow-up","2nd Follow-up","Local Office","CBE","Roxanne")&amp;IF($Z915=6," - Final"," - Day "&amp;MAX(0,NETWORKDAYS($AA915,TODAY(),Holidays)-1)&amp;" of "&amp;CHOOSE($Z915,3,3,2,2,3))&amp;" | Total Day "&amp;MAX(0,NETWORKDAYS($N915,TODAY(),Holidays)-1))</f>
        <v/>
      </c>
      <c r="X915" s="18"/>
      <c r="Y915" s="18"/>
      <c r="Z915" s="17">
        <f>IF($N915="","",COUNT($N915:$S915))</f>
        <v/>
      </c>
      <c r="AA915" s="19">
        <f>IF($Z915="","",INT(INDEX($N915:$S915,$Z915)))</f>
        <v/>
      </c>
      <c r="AB915" s="19">
        <f>IF(OR($Z915="",$Z915=6),"",WORKDAY($AA915,CHOOSE($Z915,3,3,2,2,3),Holidays))</f>
        <v/>
      </c>
      <c r="AC915" s="17">
        <f>IF(OR($Z915="",$Z915=6),"",CHOOSE($Z915,"1st Email Follow-up","2nd Email Follow-up","Escalate Local Office","Escalate to CBE","Escalate to Roxanne"))</f>
        <v/>
      </c>
    </row>
    <row r="916" spans="13:29">
      <c r="M916" s="14"/>
      <c r="T916" s="16"/>
      <c r="U916" s="17">
        <f>IF(AND(COUNTA($A916:$L916)=0,$N916=""),"",IF($T916="Paid","PAID",IF($T916="Closed","CLOSED",IF($Z916="","",IF($Z916=6,"ESCALATED TO ROXANNE",IF(TODAY()&gt;$AB916,"OVERDUE",IF($AB916&lt;=WORKDAY(TODAY(),1,Holidays),"DUE TOMORROW",IF($Z916=4,"ESCALATED TO LOCAL OFFICE",IF($Z916=5,"ESCALATED TO CBE",IF($AA916=TODAY(),"EMAIL SENT","MONITORING"))))))))))</f>
        <v/>
      </c>
      <c r="V916" s="17">
        <f>IF($U916="",IF(AND(COUNTA($A916:$L916)&gt;0,$N916=""),"Awaiting Collection Email time stamp.",""),IF(OR($U916="PAID",$U916="CLOSED"),IF($U916="PAID","Account paid. Action completed.","Account closed. No further action required."),CHOOSE($Z916,"Collection Email","1st Email Follow-up","2nd Email Follow-up","Escalation to Local Office","Escalation to CBE","Escalation to Roxanne")&amp;" sent "&amp;TEXT($AA916,"dd-mmm")&amp;". "&amp;IF($Z916=6,"Final escalation completed.",IF($U916="OVERDUE","Next: "&amp;$AC916&amp;" was due "&amp;TEXT($AB916,"dd-mmm")&amp;" - "&amp;(NETWORKDAYS($AB916,TODAY(),Holidays)-1)&amp;" business day(s) late. Send now.",IF($U916="DUE TOMORROW","Next: "&amp;$AC916&amp;IF($AB916&lt;=TODAY()," is due TODAY ("," is due next business day (")&amp;TEXT($AB916,"dd-mmm")&amp;").","Next: "&amp;$AC916&amp;" due "&amp;TEXT($AB916,"dd-mmm")&amp;" ("&amp;(NETWORKDAYS(TODAY(),$AB916,Holidays)-1)&amp;" business day(s) left).")))))</f>
        <v/>
      </c>
      <c r="W916" s="17">
        <f>IF($Z916="","",CHOOSE($Z916,"Collection Email","1st Follow-up","2nd Follow-up","Local Office","CBE","Roxanne")&amp;IF($Z916=6," - Final"," - Day "&amp;MAX(0,NETWORKDAYS($AA916,TODAY(),Holidays)-1)&amp;" of "&amp;CHOOSE($Z916,3,3,2,2,3))&amp;" | Total Day "&amp;MAX(0,NETWORKDAYS($N916,TODAY(),Holidays)-1))</f>
        <v/>
      </c>
      <c r="X916" s="18"/>
      <c r="Y916" s="18"/>
      <c r="Z916" s="17">
        <f>IF($N916="","",COUNT($N916:$S916))</f>
        <v/>
      </c>
      <c r="AA916" s="19">
        <f>IF($Z916="","",INT(INDEX($N916:$S916,$Z916)))</f>
        <v/>
      </c>
      <c r="AB916" s="19">
        <f>IF(OR($Z916="",$Z916=6),"",WORKDAY($AA916,CHOOSE($Z916,3,3,2,2,3),Holidays))</f>
        <v/>
      </c>
      <c r="AC916" s="17">
        <f>IF(OR($Z916="",$Z916=6),"",CHOOSE($Z916,"1st Email Follow-up","2nd Email Follow-up","Escalate Local Office","Escalate to CBE","Escalate to Roxanne"))</f>
        <v/>
      </c>
    </row>
    <row r="917" spans="13:29">
      <c r="M917" s="14"/>
      <c r="T917" s="16"/>
      <c r="U917" s="17">
        <f>IF(AND(COUNTA($A917:$L917)=0,$N917=""),"",IF($T917="Paid","PAID",IF($T917="Closed","CLOSED",IF($Z917="","",IF($Z917=6,"ESCALATED TO ROXANNE",IF(TODAY()&gt;$AB917,"OVERDUE",IF($AB917&lt;=WORKDAY(TODAY(),1,Holidays),"DUE TOMORROW",IF($Z917=4,"ESCALATED TO LOCAL OFFICE",IF($Z917=5,"ESCALATED TO CBE",IF($AA917=TODAY(),"EMAIL SENT","MONITORING"))))))))))</f>
        <v/>
      </c>
      <c r="V917" s="17">
        <f>IF($U917="",IF(AND(COUNTA($A917:$L917)&gt;0,$N917=""),"Awaiting Collection Email time stamp.",""),IF(OR($U917="PAID",$U917="CLOSED"),IF($U917="PAID","Account paid. Action completed.","Account closed. No further action required."),CHOOSE($Z917,"Collection Email","1st Email Follow-up","2nd Email Follow-up","Escalation to Local Office","Escalation to CBE","Escalation to Roxanne")&amp;" sent "&amp;TEXT($AA917,"dd-mmm")&amp;". "&amp;IF($Z917=6,"Final escalation completed.",IF($U917="OVERDUE","Next: "&amp;$AC917&amp;" was due "&amp;TEXT($AB917,"dd-mmm")&amp;" - "&amp;(NETWORKDAYS($AB917,TODAY(),Holidays)-1)&amp;" business day(s) late. Send now.",IF($U917="DUE TOMORROW","Next: "&amp;$AC917&amp;IF($AB917&lt;=TODAY()," is due TODAY ("," is due next business day (")&amp;TEXT($AB917,"dd-mmm")&amp;").","Next: "&amp;$AC917&amp;" due "&amp;TEXT($AB917,"dd-mmm")&amp;" ("&amp;(NETWORKDAYS(TODAY(),$AB917,Holidays)-1)&amp;" business day(s) left).")))))</f>
        <v/>
      </c>
      <c r="W917" s="17">
        <f>IF($Z917="","",CHOOSE($Z917,"Collection Email","1st Follow-up","2nd Follow-up","Local Office","CBE","Roxanne")&amp;IF($Z917=6," - Final"," - Day "&amp;MAX(0,NETWORKDAYS($AA917,TODAY(),Holidays)-1)&amp;" of "&amp;CHOOSE($Z917,3,3,2,2,3))&amp;" | Total Day "&amp;MAX(0,NETWORKDAYS($N917,TODAY(),Holidays)-1))</f>
        <v/>
      </c>
      <c r="X917" s="18"/>
      <c r="Y917" s="18"/>
      <c r="Z917" s="17">
        <f>IF($N917="","",COUNT($N917:$S917))</f>
        <v/>
      </c>
      <c r="AA917" s="19">
        <f>IF($Z917="","",INT(INDEX($N917:$S917,$Z917)))</f>
        <v/>
      </c>
      <c r="AB917" s="19">
        <f>IF(OR($Z917="",$Z917=6),"",WORKDAY($AA917,CHOOSE($Z917,3,3,2,2,3),Holidays))</f>
        <v/>
      </c>
      <c r="AC917" s="17">
        <f>IF(OR($Z917="",$Z917=6),"",CHOOSE($Z917,"1st Email Follow-up","2nd Email Follow-up","Escalate Local Office","Escalate to CBE","Escalate to Roxanne"))</f>
        <v/>
      </c>
    </row>
    <row r="918" spans="13:29">
      <c r="M918" s="14"/>
      <c r="T918" s="16"/>
      <c r="U918" s="17">
        <f>IF(AND(COUNTA($A918:$L918)=0,$N918=""),"",IF($T918="Paid","PAID",IF($T918="Closed","CLOSED",IF($Z918="","",IF($Z918=6,"ESCALATED TO ROXANNE",IF(TODAY()&gt;$AB918,"OVERDUE",IF($AB918&lt;=WORKDAY(TODAY(),1,Holidays),"DUE TOMORROW",IF($Z918=4,"ESCALATED TO LOCAL OFFICE",IF($Z918=5,"ESCALATED TO CBE",IF($AA918=TODAY(),"EMAIL SENT","MONITORING"))))))))))</f>
        <v/>
      </c>
      <c r="V918" s="17">
        <f>IF($U918="",IF(AND(COUNTA($A918:$L918)&gt;0,$N918=""),"Awaiting Collection Email time stamp.",""),IF(OR($U918="PAID",$U918="CLOSED"),IF($U918="PAID","Account paid. Action completed.","Account closed. No further action required."),CHOOSE($Z918,"Collection Email","1st Email Follow-up","2nd Email Follow-up","Escalation to Local Office","Escalation to CBE","Escalation to Roxanne")&amp;" sent "&amp;TEXT($AA918,"dd-mmm")&amp;". "&amp;IF($Z918=6,"Final escalation completed.",IF($U918="OVERDUE","Next: "&amp;$AC918&amp;" was due "&amp;TEXT($AB918,"dd-mmm")&amp;" - "&amp;(NETWORKDAYS($AB918,TODAY(),Holidays)-1)&amp;" business day(s) late. Send now.",IF($U918="DUE TOMORROW","Next: "&amp;$AC918&amp;IF($AB918&lt;=TODAY()," is due TODAY ("," is due next business day (")&amp;TEXT($AB918,"dd-mmm")&amp;").","Next: "&amp;$AC918&amp;" due "&amp;TEXT($AB918,"dd-mmm")&amp;" ("&amp;(NETWORKDAYS(TODAY(),$AB918,Holidays)-1)&amp;" business day(s) left).")))))</f>
        <v/>
      </c>
      <c r="W918" s="17">
        <f>IF($Z918="","",CHOOSE($Z918,"Collection Email","1st Follow-up","2nd Follow-up","Local Office","CBE","Roxanne")&amp;IF($Z918=6," - Final"," - Day "&amp;MAX(0,NETWORKDAYS($AA918,TODAY(),Holidays)-1)&amp;" of "&amp;CHOOSE($Z918,3,3,2,2,3))&amp;" | Total Day "&amp;MAX(0,NETWORKDAYS($N918,TODAY(),Holidays)-1))</f>
        <v/>
      </c>
      <c r="X918" s="18"/>
      <c r="Y918" s="18"/>
      <c r="Z918" s="17">
        <f>IF($N918="","",COUNT($N918:$S918))</f>
        <v/>
      </c>
      <c r="AA918" s="19">
        <f>IF($Z918="","",INT(INDEX($N918:$S918,$Z918)))</f>
        <v/>
      </c>
      <c r="AB918" s="19">
        <f>IF(OR($Z918="",$Z918=6),"",WORKDAY($AA918,CHOOSE($Z918,3,3,2,2,3),Holidays))</f>
        <v/>
      </c>
      <c r="AC918" s="17">
        <f>IF(OR($Z918="",$Z918=6),"",CHOOSE($Z918,"1st Email Follow-up","2nd Email Follow-up","Escalate Local Office","Escalate to CBE","Escalate to Roxanne"))</f>
        <v/>
      </c>
    </row>
    <row r="919" spans="13:29">
      <c r="M919" s="14"/>
      <c r="T919" s="16"/>
      <c r="U919" s="17">
        <f>IF(AND(COUNTA($A919:$L919)=0,$N919=""),"",IF($T919="Paid","PAID",IF($T919="Closed","CLOSED",IF($Z919="","",IF($Z919=6,"ESCALATED TO ROXANNE",IF(TODAY()&gt;$AB919,"OVERDUE",IF($AB919&lt;=WORKDAY(TODAY(),1,Holidays),"DUE TOMORROW",IF($Z919=4,"ESCALATED TO LOCAL OFFICE",IF($Z919=5,"ESCALATED TO CBE",IF($AA919=TODAY(),"EMAIL SENT","MONITORING"))))))))))</f>
        <v/>
      </c>
      <c r="V919" s="17">
        <f>IF($U919="",IF(AND(COUNTA($A919:$L919)&gt;0,$N919=""),"Awaiting Collection Email time stamp.",""),IF(OR($U919="PAID",$U919="CLOSED"),IF($U919="PAID","Account paid. Action completed.","Account closed. No further action required."),CHOOSE($Z919,"Collection Email","1st Email Follow-up","2nd Email Follow-up","Escalation to Local Office","Escalation to CBE","Escalation to Roxanne")&amp;" sent "&amp;TEXT($AA919,"dd-mmm")&amp;". "&amp;IF($Z919=6,"Final escalation completed.",IF($U919="OVERDUE","Next: "&amp;$AC919&amp;" was due "&amp;TEXT($AB919,"dd-mmm")&amp;" - "&amp;(NETWORKDAYS($AB919,TODAY(),Holidays)-1)&amp;" business day(s) late. Send now.",IF($U919="DUE TOMORROW","Next: "&amp;$AC919&amp;IF($AB919&lt;=TODAY()," is due TODAY ("," is due next business day (")&amp;TEXT($AB919,"dd-mmm")&amp;").","Next: "&amp;$AC919&amp;" due "&amp;TEXT($AB919,"dd-mmm")&amp;" ("&amp;(NETWORKDAYS(TODAY(),$AB919,Holidays)-1)&amp;" business day(s) left).")))))</f>
        <v/>
      </c>
      <c r="W919" s="17">
        <f>IF($Z919="","",CHOOSE($Z919,"Collection Email","1st Follow-up","2nd Follow-up","Local Office","CBE","Roxanne")&amp;IF($Z919=6," - Final"," - Day "&amp;MAX(0,NETWORKDAYS($AA919,TODAY(),Holidays)-1)&amp;" of "&amp;CHOOSE($Z919,3,3,2,2,3))&amp;" | Total Day "&amp;MAX(0,NETWORKDAYS($N919,TODAY(),Holidays)-1))</f>
        <v/>
      </c>
      <c r="X919" s="18"/>
      <c r="Y919" s="18"/>
      <c r="Z919" s="17">
        <f>IF($N919="","",COUNT($N919:$S919))</f>
        <v/>
      </c>
      <c r="AA919" s="19">
        <f>IF($Z919="","",INT(INDEX($N919:$S919,$Z919)))</f>
        <v/>
      </c>
      <c r="AB919" s="19">
        <f>IF(OR($Z919="",$Z919=6),"",WORKDAY($AA919,CHOOSE($Z919,3,3,2,2,3),Holidays))</f>
        <v/>
      </c>
      <c r="AC919" s="17">
        <f>IF(OR($Z919="",$Z919=6),"",CHOOSE($Z919,"1st Email Follow-up","2nd Email Follow-up","Escalate Local Office","Escalate to CBE","Escalate to Roxanne"))</f>
        <v/>
      </c>
    </row>
    <row r="920" spans="13:29">
      <c r="M920" s="14"/>
      <c r="T920" s="16"/>
      <c r="U920" s="17">
        <f>IF(AND(COUNTA($A920:$L920)=0,$N920=""),"",IF($T920="Paid","PAID",IF($T920="Closed","CLOSED",IF($Z920="","",IF($Z920=6,"ESCALATED TO ROXANNE",IF(TODAY()&gt;$AB920,"OVERDUE",IF($AB920&lt;=WORKDAY(TODAY(),1,Holidays),"DUE TOMORROW",IF($Z920=4,"ESCALATED TO LOCAL OFFICE",IF($Z920=5,"ESCALATED TO CBE",IF($AA920=TODAY(),"EMAIL SENT","MONITORING"))))))))))</f>
        <v/>
      </c>
      <c r="V920" s="17">
        <f>IF($U920="",IF(AND(COUNTA($A920:$L920)&gt;0,$N920=""),"Awaiting Collection Email time stamp.",""),IF(OR($U920="PAID",$U920="CLOSED"),IF($U920="PAID","Account paid. Action completed.","Account closed. No further action required."),CHOOSE($Z920,"Collection Email","1st Email Follow-up","2nd Email Follow-up","Escalation to Local Office","Escalation to CBE","Escalation to Roxanne")&amp;" sent "&amp;TEXT($AA920,"dd-mmm")&amp;". "&amp;IF($Z920=6,"Final escalation completed.",IF($U920="OVERDUE","Next: "&amp;$AC920&amp;" was due "&amp;TEXT($AB920,"dd-mmm")&amp;" - "&amp;(NETWORKDAYS($AB920,TODAY(),Holidays)-1)&amp;" business day(s) late. Send now.",IF($U920="DUE TOMORROW","Next: "&amp;$AC920&amp;IF($AB920&lt;=TODAY()," is due TODAY ("," is due next business day (")&amp;TEXT($AB920,"dd-mmm")&amp;").","Next: "&amp;$AC920&amp;" due "&amp;TEXT($AB920,"dd-mmm")&amp;" ("&amp;(NETWORKDAYS(TODAY(),$AB920,Holidays)-1)&amp;" business day(s) left).")))))</f>
        <v/>
      </c>
      <c r="W920" s="17">
        <f>IF($Z920="","",CHOOSE($Z920,"Collection Email","1st Follow-up","2nd Follow-up","Local Office","CBE","Roxanne")&amp;IF($Z920=6," - Final"," - Day "&amp;MAX(0,NETWORKDAYS($AA920,TODAY(),Holidays)-1)&amp;" of "&amp;CHOOSE($Z920,3,3,2,2,3))&amp;" | Total Day "&amp;MAX(0,NETWORKDAYS($N920,TODAY(),Holidays)-1))</f>
        <v/>
      </c>
      <c r="X920" s="18"/>
      <c r="Y920" s="18"/>
      <c r="Z920" s="17">
        <f>IF($N920="","",COUNT($N920:$S920))</f>
        <v/>
      </c>
      <c r="AA920" s="19">
        <f>IF($Z920="","",INT(INDEX($N920:$S920,$Z920)))</f>
        <v/>
      </c>
      <c r="AB920" s="19">
        <f>IF(OR($Z920="",$Z920=6),"",WORKDAY($AA920,CHOOSE($Z920,3,3,2,2,3),Holidays))</f>
        <v/>
      </c>
      <c r="AC920" s="17">
        <f>IF(OR($Z920="",$Z920=6),"",CHOOSE($Z920,"1st Email Follow-up","2nd Email Follow-up","Escalate Local Office","Escalate to CBE","Escalate to Roxanne"))</f>
        <v/>
      </c>
    </row>
    <row r="921" spans="13:29">
      <c r="M921" s="14"/>
      <c r="T921" s="16"/>
      <c r="U921" s="17">
        <f>IF(AND(COUNTA($A921:$L921)=0,$N921=""),"",IF($T921="Paid","PAID",IF($T921="Closed","CLOSED",IF($Z921="","",IF($Z921=6,"ESCALATED TO ROXANNE",IF(TODAY()&gt;$AB921,"OVERDUE",IF($AB921&lt;=WORKDAY(TODAY(),1,Holidays),"DUE TOMORROW",IF($Z921=4,"ESCALATED TO LOCAL OFFICE",IF($Z921=5,"ESCALATED TO CBE",IF($AA921=TODAY(),"EMAIL SENT","MONITORING"))))))))))</f>
        <v/>
      </c>
      <c r="V921" s="17">
        <f>IF($U921="",IF(AND(COUNTA($A921:$L921)&gt;0,$N921=""),"Awaiting Collection Email time stamp.",""),IF(OR($U921="PAID",$U921="CLOSED"),IF($U921="PAID","Account paid. Action completed.","Account closed. No further action required."),CHOOSE($Z921,"Collection Email","1st Email Follow-up","2nd Email Follow-up","Escalation to Local Office","Escalation to CBE","Escalation to Roxanne")&amp;" sent "&amp;TEXT($AA921,"dd-mmm")&amp;". "&amp;IF($Z921=6,"Final escalation completed.",IF($U921="OVERDUE","Next: "&amp;$AC921&amp;" was due "&amp;TEXT($AB921,"dd-mmm")&amp;" - "&amp;(NETWORKDAYS($AB921,TODAY(),Holidays)-1)&amp;" business day(s) late. Send now.",IF($U921="DUE TOMORROW","Next: "&amp;$AC921&amp;IF($AB921&lt;=TODAY()," is due TODAY ("," is due next business day (")&amp;TEXT($AB921,"dd-mmm")&amp;").","Next: "&amp;$AC921&amp;" due "&amp;TEXT($AB921,"dd-mmm")&amp;" ("&amp;(NETWORKDAYS(TODAY(),$AB921,Holidays)-1)&amp;" business day(s) left).")))))</f>
        <v/>
      </c>
      <c r="W921" s="17">
        <f>IF($Z921="","",CHOOSE($Z921,"Collection Email","1st Follow-up","2nd Follow-up","Local Office","CBE","Roxanne")&amp;IF($Z921=6," - Final"," - Day "&amp;MAX(0,NETWORKDAYS($AA921,TODAY(),Holidays)-1)&amp;" of "&amp;CHOOSE($Z921,3,3,2,2,3))&amp;" | Total Day "&amp;MAX(0,NETWORKDAYS($N921,TODAY(),Holidays)-1))</f>
        <v/>
      </c>
      <c r="X921" s="18"/>
      <c r="Y921" s="18"/>
      <c r="Z921" s="17">
        <f>IF($N921="","",COUNT($N921:$S921))</f>
        <v/>
      </c>
      <c r="AA921" s="19">
        <f>IF($Z921="","",INT(INDEX($N921:$S921,$Z921)))</f>
        <v/>
      </c>
      <c r="AB921" s="19">
        <f>IF(OR($Z921="",$Z921=6),"",WORKDAY($AA921,CHOOSE($Z921,3,3,2,2,3),Holidays))</f>
        <v/>
      </c>
      <c r="AC921" s="17">
        <f>IF(OR($Z921="",$Z921=6),"",CHOOSE($Z921,"1st Email Follow-up","2nd Email Follow-up","Escalate Local Office","Escalate to CBE","Escalate to Roxanne"))</f>
        <v/>
      </c>
    </row>
    <row r="922" spans="13:29">
      <c r="M922" s="14"/>
      <c r="T922" s="16"/>
      <c r="U922" s="17">
        <f>IF(AND(COUNTA($A922:$L922)=0,$N922=""),"",IF($T922="Paid","PAID",IF($T922="Closed","CLOSED",IF($Z922="","",IF($Z922=6,"ESCALATED TO ROXANNE",IF(TODAY()&gt;$AB922,"OVERDUE",IF($AB922&lt;=WORKDAY(TODAY(),1,Holidays),"DUE TOMORROW",IF($Z922=4,"ESCALATED TO LOCAL OFFICE",IF($Z922=5,"ESCALATED TO CBE",IF($AA922=TODAY(),"EMAIL SENT","MONITORING"))))))))))</f>
        <v/>
      </c>
      <c r="V922" s="17">
        <f>IF($U922="",IF(AND(COUNTA($A922:$L922)&gt;0,$N922=""),"Awaiting Collection Email time stamp.",""),IF(OR($U922="PAID",$U922="CLOSED"),IF($U922="PAID","Account paid. Action completed.","Account closed. No further action required."),CHOOSE($Z922,"Collection Email","1st Email Follow-up","2nd Email Follow-up","Escalation to Local Office","Escalation to CBE","Escalation to Roxanne")&amp;" sent "&amp;TEXT($AA922,"dd-mmm")&amp;". "&amp;IF($Z922=6,"Final escalation completed.",IF($U922="OVERDUE","Next: "&amp;$AC922&amp;" was due "&amp;TEXT($AB922,"dd-mmm")&amp;" - "&amp;(NETWORKDAYS($AB922,TODAY(),Holidays)-1)&amp;" business day(s) late. Send now.",IF($U922="DUE TOMORROW","Next: "&amp;$AC922&amp;IF($AB922&lt;=TODAY()," is due TODAY ("," is due next business day (")&amp;TEXT($AB922,"dd-mmm")&amp;").","Next: "&amp;$AC922&amp;" due "&amp;TEXT($AB922,"dd-mmm")&amp;" ("&amp;(NETWORKDAYS(TODAY(),$AB922,Holidays)-1)&amp;" business day(s) left).")))))</f>
        <v/>
      </c>
      <c r="W922" s="17">
        <f>IF($Z922="","",CHOOSE($Z922,"Collection Email","1st Follow-up","2nd Follow-up","Local Office","CBE","Roxanne")&amp;IF($Z922=6," - Final"," - Day "&amp;MAX(0,NETWORKDAYS($AA922,TODAY(),Holidays)-1)&amp;" of "&amp;CHOOSE($Z922,3,3,2,2,3))&amp;" | Total Day "&amp;MAX(0,NETWORKDAYS($N922,TODAY(),Holidays)-1))</f>
        <v/>
      </c>
      <c r="X922" s="18"/>
      <c r="Y922" s="18"/>
      <c r="Z922" s="17">
        <f>IF($N922="","",COUNT($N922:$S922))</f>
        <v/>
      </c>
      <c r="AA922" s="19">
        <f>IF($Z922="","",INT(INDEX($N922:$S922,$Z922)))</f>
        <v/>
      </c>
      <c r="AB922" s="19">
        <f>IF(OR($Z922="",$Z922=6),"",WORKDAY($AA922,CHOOSE($Z922,3,3,2,2,3),Holidays))</f>
        <v/>
      </c>
      <c r="AC922" s="17">
        <f>IF(OR($Z922="",$Z922=6),"",CHOOSE($Z922,"1st Email Follow-up","2nd Email Follow-up","Escalate Local Office","Escalate to CBE","Escalate to Roxanne"))</f>
        <v/>
      </c>
    </row>
    <row r="923" spans="13:29">
      <c r="M923" s="14"/>
      <c r="T923" s="16"/>
      <c r="U923" s="17">
        <f>IF(AND(COUNTA($A923:$L923)=0,$N923=""),"",IF($T923="Paid","PAID",IF($T923="Closed","CLOSED",IF($Z923="","",IF($Z923=6,"ESCALATED TO ROXANNE",IF(TODAY()&gt;$AB923,"OVERDUE",IF($AB923&lt;=WORKDAY(TODAY(),1,Holidays),"DUE TOMORROW",IF($Z923=4,"ESCALATED TO LOCAL OFFICE",IF($Z923=5,"ESCALATED TO CBE",IF($AA923=TODAY(),"EMAIL SENT","MONITORING"))))))))))</f>
        <v/>
      </c>
      <c r="V923" s="17">
        <f>IF($U923="",IF(AND(COUNTA($A923:$L923)&gt;0,$N923=""),"Awaiting Collection Email time stamp.",""),IF(OR($U923="PAID",$U923="CLOSED"),IF($U923="PAID","Account paid. Action completed.","Account closed. No further action required."),CHOOSE($Z923,"Collection Email","1st Email Follow-up","2nd Email Follow-up","Escalation to Local Office","Escalation to CBE","Escalation to Roxanne")&amp;" sent "&amp;TEXT($AA923,"dd-mmm")&amp;". "&amp;IF($Z923=6,"Final escalation completed.",IF($U923="OVERDUE","Next: "&amp;$AC923&amp;" was due "&amp;TEXT($AB923,"dd-mmm")&amp;" - "&amp;(NETWORKDAYS($AB923,TODAY(),Holidays)-1)&amp;" business day(s) late. Send now.",IF($U923="DUE TOMORROW","Next: "&amp;$AC923&amp;IF($AB923&lt;=TODAY()," is due TODAY ("," is due next business day (")&amp;TEXT($AB923,"dd-mmm")&amp;").","Next: "&amp;$AC923&amp;" due "&amp;TEXT($AB923,"dd-mmm")&amp;" ("&amp;(NETWORKDAYS(TODAY(),$AB923,Holidays)-1)&amp;" business day(s) left).")))))</f>
        <v/>
      </c>
      <c r="W923" s="17">
        <f>IF($Z923="","",CHOOSE($Z923,"Collection Email","1st Follow-up","2nd Follow-up","Local Office","CBE","Roxanne")&amp;IF($Z923=6," - Final"," - Day "&amp;MAX(0,NETWORKDAYS($AA923,TODAY(),Holidays)-1)&amp;" of "&amp;CHOOSE($Z923,3,3,2,2,3))&amp;" | Total Day "&amp;MAX(0,NETWORKDAYS($N923,TODAY(),Holidays)-1))</f>
        <v/>
      </c>
      <c r="X923" s="18"/>
      <c r="Y923" s="18"/>
      <c r="Z923" s="17">
        <f>IF($N923="","",COUNT($N923:$S923))</f>
        <v/>
      </c>
      <c r="AA923" s="19">
        <f>IF($Z923="","",INT(INDEX($N923:$S923,$Z923)))</f>
        <v/>
      </c>
      <c r="AB923" s="19">
        <f>IF(OR($Z923="",$Z923=6),"",WORKDAY($AA923,CHOOSE($Z923,3,3,2,2,3),Holidays))</f>
        <v/>
      </c>
      <c r="AC923" s="17">
        <f>IF(OR($Z923="",$Z923=6),"",CHOOSE($Z923,"1st Email Follow-up","2nd Email Follow-up","Escalate Local Office","Escalate to CBE","Escalate to Roxanne"))</f>
        <v/>
      </c>
    </row>
    <row r="924" spans="13:29">
      <c r="M924" s="14"/>
      <c r="T924" s="16"/>
      <c r="U924" s="17">
        <f>IF(AND(COUNTA($A924:$L924)=0,$N924=""),"",IF($T924="Paid","PAID",IF($T924="Closed","CLOSED",IF($Z924="","",IF($Z924=6,"ESCALATED TO ROXANNE",IF(TODAY()&gt;$AB924,"OVERDUE",IF($AB924&lt;=WORKDAY(TODAY(),1,Holidays),"DUE TOMORROW",IF($Z924=4,"ESCALATED TO LOCAL OFFICE",IF($Z924=5,"ESCALATED TO CBE",IF($AA924=TODAY(),"EMAIL SENT","MONITORING"))))))))))</f>
        <v/>
      </c>
      <c r="V924" s="17">
        <f>IF($U924="",IF(AND(COUNTA($A924:$L924)&gt;0,$N924=""),"Awaiting Collection Email time stamp.",""),IF(OR($U924="PAID",$U924="CLOSED"),IF($U924="PAID","Account paid. Action completed.","Account closed. No further action required."),CHOOSE($Z924,"Collection Email","1st Email Follow-up","2nd Email Follow-up","Escalation to Local Office","Escalation to CBE","Escalation to Roxanne")&amp;" sent "&amp;TEXT($AA924,"dd-mmm")&amp;". "&amp;IF($Z924=6,"Final escalation completed.",IF($U924="OVERDUE","Next: "&amp;$AC924&amp;" was due "&amp;TEXT($AB924,"dd-mmm")&amp;" - "&amp;(NETWORKDAYS($AB924,TODAY(),Holidays)-1)&amp;" business day(s) late. Send now.",IF($U924="DUE TOMORROW","Next: "&amp;$AC924&amp;IF($AB924&lt;=TODAY()," is due TODAY ("," is due next business day (")&amp;TEXT($AB924,"dd-mmm")&amp;").","Next: "&amp;$AC924&amp;" due "&amp;TEXT($AB924,"dd-mmm")&amp;" ("&amp;(NETWORKDAYS(TODAY(),$AB924,Holidays)-1)&amp;" business day(s) left).")))))</f>
        <v/>
      </c>
      <c r="W924" s="17">
        <f>IF($Z924="","",CHOOSE($Z924,"Collection Email","1st Follow-up","2nd Follow-up","Local Office","CBE","Roxanne")&amp;IF($Z924=6," - Final"," - Day "&amp;MAX(0,NETWORKDAYS($AA924,TODAY(),Holidays)-1)&amp;" of "&amp;CHOOSE($Z924,3,3,2,2,3))&amp;" | Total Day "&amp;MAX(0,NETWORKDAYS($N924,TODAY(),Holidays)-1))</f>
        <v/>
      </c>
      <c r="X924" s="18"/>
      <c r="Y924" s="18"/>
      <c r="Z924" s="17">
        <f>IF($N924="","",COUNT($N924:$S924))</f>
        <v/>
      </c>
      <c r="AA924" s="19">
        <f>IF($Z924="","",INT(INDEX($N924:$S924,$Z924)))</f>
        <v/>
      </c>
      <c r="AB924" s="19">
        <f>IF(OR($Z924="",$Z924=6),"",WORKDAY($AA924,CHOOSE($Z924,3,3,2,2,3),Holidays))</f>
        <v/>
      </c>
      <c r="AC924" s="17">
        <f>IF(OR($Z924="",$Z924=6),"",CHOOSE($Z924,"1st Email Follow-up","2nd Email Follow-up","Escalate Local Office","Escalate to CBE","Escalate to Roxanne"))</f>
        <v/>
      </c>
    </row>
    <row r="925" spans="13:29">
      <c r="M925" s="14"/>
      <c r="T925" s="16"/>
      <c r="U925" s="17">
        <f>IF(AND(COUNTA($A925:$L925)=0,$N925=""),"",IF($T925="Paid","PAID",IF($T925="Closed","CLOSED",IF($Z925="","",IF($Z925=6,"ESCALATED TO ROXANNE",IF(TODAY()&gt;$AB925,"OVERDUE",IF($AB925&lt;=WORKDAY(TODAY(),1,Holidays),"DUE TOMORROW",IF($Z925=4,"ESCALATED TO LOCAL OFFICE",IF($Z925=5,"ESCALATED TO CBE",IF($AA925=TODAY(),"EMAIL SENT","MONITORING"))))))))))</f>
        <v/>
      </c>
      <c r="V925" s="17">
        <f>IF($U925="",IF(AND(COUNTA($A925:$L925)&gt;0,$N925=""),"Awaiting Collection Email time stamp.",""),IF(OR($U925="PAID",$U925="CLOSED"),IF($U925="PAID","Account paid. Action completed.","Account closed. No further action required."),CHOOSE($Z925,"Collection Email","1st Email Follow-up","2nd Email Follow-up","Escalation to Local Office","Escalation to CBE","Escalation to Roxanne")&amp;" sent "&amp;TEXT($AA925,"dd-mmm")&amp;". "&amp;IF($Z925=6,"Final escalation completed.",IF($U925="OVERDUE","Next: "&amp;$AC925&amp;" was due "&amp;TEXT($AB925,"dd-mmm")&amp;" - "&amp;(NETWORKDAYS($AB925,TODAY(),Holidays)-1)&amp;" business day(s) late. Send now.",IF($U925="DUE TOMORROW","Next: "&amp;$AC925&amp;IF($AB925&lt;=TODAY()," is due TODAY ("," is due next business day (")&amp;TEXT($AB925,"dd-mmm")&amp;").","Next: "&amp;$AC925&amp;" due "&amp;TEXT($AB925,"dd-mmm")&amp;" ("&amp;(NETWORKDAYS(TODAY(),$AB925,Holidays)-1)&amp;" business day(s) left).")))))</f>
        <v/>
      </c>
      <c r="W925" s="17">
        <f>IF($Z925="","",CHOOSE($Z925,"Collection Email","1st Follow-up","2nd Follow-up","Local Office","CBE","Roxanne")&amp;IF($Z925=6," - Final"," - Day "&amp;MAX(0,NETWORKDAYS($AA925,TODAY(),Holidays)-1)&amp;" of "&amp;CHOOSE($Z925,3,3,2,2,3))&amp;" | Total Day "&amp;MAX(0,NETWORKDAYS($N925,TODAY(),Holidays)-1))</f>
        <v/>
      </c>
      <c r="X925" s="18"/>
      <c r="Y925" s="18"/>
      <c r="Z925" s="17">
        <f>IF($N925="","",COUNT($N925:$S925))</f>
        <v/>
      </c>
      <c r="AA925" s="19">
        <f>IF($Z925="","",INT(INDEX($N925:$S925,$Z925)))</f>
        <v/>
      </c>
      <c r="AB925" s="19">
        <f>IF(OR($Z925="",$Z925=6),"",WORKDAY($AA925,CHOOSE($Z925,3,3,2,2,3),Holidays))</f>
        <v/>
      </c>
      <c r="AC925" s="17">
        <f>IF(OR($Z925="",$Z925=6),"",CHOOSE($Z925,"1st Email Follow-up","2nd Email Follow-up","Escalate Local Office","Escalate to CBE","Escalate to Roxanne"))</f>
        <v/>
      </c>
    </row>
    <row r="926" spans="13:29">
      <c r="M926" s="14"/>
      <c r="T926" s="16"/>
      <c r="U926" s="17">
        <f>IF(AND(COUNTA($A926:$L926)=0,$N926=""),"",IF($T926="Paid","PAID",IF($T926="Closed","CLOSED",IF($Z926="","",IF($Z926=6,"ESCALATED TO ROXANNE",IF(TODAY()&gt;$AB926,"OVERDUE",IF($AB926&lt;=WORKDAY(TODAY(),1,Holidays),"DUE TOMORROW",IF($Z926=4,"ESCALATED TO LOCAL OFFICE",IF($Z926=5,"ESCALATED TO CBE",IF($AA926=TODAY(),"EMAIL SENT","MONITORING"))))))))))</f>
        <v/>
      </c>
      <c r="V926" s="17">
        <f>IF($U926="",IF(AND(COUNTA($A926:$L926)&gt;0,$N926=""),"Awaiting Collection Email time stamp.",""),IF(OR($U926="PAID",$U926="CLOSED"),IF($U926="PAID","Account paid. Action completed.","Account closed. No further action required."),CHOOSE($Z926,"Collection Email","1st Email Follow-up","2nd Email Follow-up","Escalation to Local Office","Escalation to CBE","Escalation to Roxanne")&amp;" sent "&amp;TEXT($AA926,"dd-mmm")&amp;". "&amp;IF($Z926=6,"Final escalation completed.",IF($U926="OVERDUE","Next: "&amp;$AC926&amp;" was due "&amp;TEXT($AB926,"dd-mmm")&amp;" - "&amp;(NETWORKDAYS($AB926,TODAY(),Holidays)-1)&amp;" business day(s) late. Send now.",IF($U926="DUE TOMORROW","Next: "&amp;$AC926&amp;IF($AB926&lt;=TODAY()," is due TODAY ("," is due next business day (")&amp;TEXT($AB926,"dd-mmm")&amp;").","Next: "&amp;$AC926&amp;" due "&amp;TEXT($AB926,"dd-mmm")&amp;" ("&amp;(NETWORKDAYS(TODAY(),$AB926,Holidays)-1)&amp;" business day(s) left).")))))</f>
        <v/>
      </c>
      <c r="W926" s="17">
        <f>IF($Z926="","",CHOOSE($Z926,"Collection Email","1st Follow-up","2nd Follow-up","Local Office","CBE","Roxanne")&amp;IF($Z926=6," - Final"," - Day "&amp;MAX(0,NETWORKDAYS($AA926,TODAY(),Holidays)-1)&amp;" of "&amp;CHOOSE($Z926,3,3,2,2,3))&amp;" | Total Day "&amp;MAX(0,NETWORKDAYS($N926,TODAY(),Holidays)-1))</f>
        <v/>
      </c>
      <c r="X926" s="18"/>
      <c r="Y926" s="18"/>
      <c r="Z926" s="17">
        <f>IF($N926="","",COUNT($N926:$S926))</f>
        <v/>
      </c>
      <c r="AA926" s="19">
        <f>IF($Z926="","",INT(INDEX($N926:$S926,$Z926)))</f>
        <v/>
      </c>
      <c r="AB926" s="19">
        <f>IF(OR($Z926="",$Z926=6),"",WORKDAY($AA926,CHOOSE($Z926,3,3,2,2,3),Holidays))</f>
        <v/>
      </c>
      <c r="AC926" s="17">
        <f>IF(OR($Z926="",$Z926=6),"",CHOOSE($Z926,"1st Email Follow-up","2nd Email Follow-up","Escalate Local Office","Escalate to CBE","Escalate to Roxanne"))</f>
        <v/>
      </c>
    </row>
    <row r="927" spans="13:29">
      <c r="M927" s="14"/>
      <c r="T927" s="16"/>
      <c r="U927" s="17">
        <f>IF(AND(COUNTA($A927:$L927)=0,$N927=""),"",IF($T927="Paid","PAID",IF($T927="Closed","CLOSED",IF($Z927="","",IF($Z927=6,"ESCALATED TO ROXANNE",IF(TODAY()&gt;$AB927,"OVERDUE",IF($AB927&lt;=WORKDAY(TODAY(),1,Holidays),"DUE TOMORROW",IF($Z927=4,"ESCALATED TO LOCAL OFFICE",IF($Z927=5,"ESCALATED TO CBE",IF($AA927=TODAY(),"EMAIL SENT","MONITORING"))))))))))</f>
        <v/>
      </c>
      <c r="V927" s="17">
        <f>IF($U927="",IF(AND(COUNTA($A927:$L927)&gt;0,$N927=""),"Awaiting Collection Email time stamp.",""),IF(OR($U927="PAID",$U927="CLOSED"),IF($U927="PAID","Account paid. Action completed.","Account closed. No further action required."),CHOOSE($Z927,"Collection Email","1st Email Follow-up","2nd Email Follow-up","Escalation to Local Office","Escalation to CBE","Escalation to Roxanne")&amp;" sent "&amp;TEXT($AA927,"dd-mmm")&amp;". "&amp;IF($Z927=6,"Final escalation completed.",IF($U927="OVERDUE","Next: "&amp;$AC927&amp;" was due "&amp;TEXT($AB927,"dd-mmm")&amp;" - "&amp;(NETWORKDAYS($AB927,TODAY(),Holidays)-1)&amp;" business day(s) late. Send now.",IF($U927="DUE TOMORROW","Next: "&amp;$AC927&amp;IF($AB927&lt;=TODAY()," is due TODAY ("," is due next business day (")&amp;TEXT($AB927,"dd-mmm")&amp;").","Next: "&amp;$AC927&amp;" due "&amp;TEXT($AB927,"dd-mmm")&amp;" ("&amp;(NETWORKDAYS(TODAY(),$AB927,Holidays)-1)&amp;" business day(s) left).")))))</f>
        <v/>
      </c>
      <c r="W927" s="17">
        <f>IF($Z927="","",CHOOSE($Z927,"Collection Email","1st Follow-up","2nd Follow-up","Local Office","CBE","Roxanne")&amp;IF($Z927=6," - Final"," - Day "&amp;MAX(0,NETWORKDAYS($AA927,TODAY(),Holidays)-1)&amp;" of "&amp;CHOOSE($Z927,3,3,2,2,3))&amp;" | Total Day "&amp;MAX(0,NETWORKDAYS($N927,TODAY(),Holidays)-1))</f>
        <v/>
      </c>
      <c r="X927" s="18"/>
      <c r="Y927" s="18"/>
      <c r="Z927" s="17">
        <f>IF($N927="","",COUNT($N927:$S927))</f>
        <v/>
      </c>
      <c r="AA927" s="19">
        <f>IF($Z927="","",INT(INDEX($N927:$S927,$Z927)))</f>
        <v/>
      </c>
      <c r="AB927" s="19">
        <f>IF(OR($Z927="",$Z927=6),"",WORKDAY($AA927,CHOOSE($Z927,3,3,2,2,3),Holidays))</f>
        <v/>
      </c>
      <c r="AC927" s="17">
        <f>IF(OR($Z927="",$Z927=6),"",CHOOSE($Z927,"1st Email Follow-up","2nd Email Follow-up","Escalate Local Office","Escalate to CBE","Escalate to Roxanne"))</f>
        <v/>
      </c>
    </row>
    <row r="928" spans="13:29">
      <c r="M928" s="14"/>
      <c r="T928" s="16"/>
      <c r="U928" s="17">
        <f>IF(AND(COUNTA($A928:$L928)=0,$N928=""),"",IF($T928="Paid","PAID",IF($T928="Closed","CLOSED",IF($Z928="","",IF($Z928=6,"ESCALATED TO ROXANNE",IF(TODAY()&gt;$AB928,"OVERDUE",IF($AB928&lt;=WORKDAY(TODAY(),1,Holidays),"DUE TOMORROW",IF($Z928=4,"ESCALATED TO LOCAL OFFICE",IF($Z928=5,"ESCALATED TO CBE",IF($AA928=TODAY(),"EMAIL SENT","MONITORING"))))))))))</f>
        <v/>
      </c>
      <c r="V928" s="17">
        <f>IF($U928="",IF(AND(COUNTA($A928:$L928)&gt;0,$N928=""),"Awaiting Collection Email time stamp.",""),IF(OR($U928="PAID",$U928="CLOSED"),IF($U928="PAID","Account paid. Action completed.","Account closed. No further action required."),CHOOSE($Z928,"Collection Email","1st Email Follow-up","2nd Email Follow-up","Escalation to Local Office","Escalation to CBE","Escalation to Roxanne")&amp;" sent "&amp;TEXT($AA928,"dd-mmm")&amp;". "&amp;IF($Z928=6,"Final escalation completed.",IF($U928="OVERDUE","Next: "&amp;$AC928&amp;" was due "&amp;TEXT($AB928,"dd-mmm")&amp;" - "&amp;(NETWORKDAYS($AB928,TODAY(),Holidays)-1)&amp;" business day(s) late. Send now.",IF($U928="DUE TOMORROW","Next: "&amp;$AC928&amp;IF($AB928&lt;=TODAY()," is due TODAY ("," is due next business day (")&amp;TEXT($AB928,"dd-mmm")&amp;").","Next: "&amp;$AC928&amp;" due "&amp;TEXT($AB928,"dd-mmm")&amp;" ("&amp;(NETWORKDAYS(TODAY(),$AB928,Holidays)-1)&amp;" business day(s) left).")))))</f>
        <v/>
      </c>
      <c r="W928" s="17">
        <f>IF($Z928="","",CHOOSE($Z928,"Collection Email","1st Follow-up","2nd Follow-up","Local Office","CBE","Roxanne")&amp;IF($Z928=6," - Final"," - Day "&amp;MAX(0,NETWORKDAYS($AA928,TODAY(),Holidays)-1)&amp;" of "&amp;CHOOSE($Z928,3,3,2,2,3))&amp;" | Total Day "&amp;MAX(0,NETWORKDAYS($N928,TODAY(),Holidays)-1))</f>
        <v/>
      </c>
      <c r="X928" s="18"/>
      <c r="Y928" s="18"/>
      <c r="Z928" s="17">
        <f>IF($N928="","",COUNT($N928:$S928))</f>
        <v/>
      </c>
      <c r="AA928" s="19">
        <f>IF($Z928="","",INT(INDEX($N928:$S928,$Z928)))</f>
        <v/>
      </c>
      <c r="AB928" s="19">
        <f>IF(OR($Z928="",$Z928=6),"",WORKDAY($AA928,CHOOSE($Z928,3,3,2,2,3),Holidays))</f>
        <v/>
      </c>
      <c r="AC928" s="17">
        <f>IF(OR($Z928="",$Z928=6),"",CHOOSE($Z928,"1st Email Follow-up","2nd Email Follow-up","Escalate Local Office","Escalate to CBE","Escalate to Roxanne"))</f>
        <v/>
      </c>
    </row>
    <row r="929" spans="13:29">
      <c r="M929" s="14"/>
      <c r="T929" s="16"/>
      <c r="U929" s="17">
        <f>IF(AND(COUNTA($A929:$L929)=0,$N929=""),"",IF($T929="Paid","PAID",IF($T929="Closed","CLOSED",IF($Z929="","",IF($Z929=6,"ESCALATED TO ROXANNE",IF(TODAY()&gt;$AB929,"OVERDUE",IF($AB929&lt;=WORKDAY(TODAY(),1,Holidays),"DUE TOMORROW",IF($Z929=4,"ESCALATED TO LOCAL OFFICE",IF($Z929=5,"ESCALATED TO CBE",IF($AA929=TODAY(),"EMAIL SENT","MONITORING"))))))))))</f>
        <v/>
      </c>
      <c r="V929" s="17">
        <f>IF($U929="",IF(AND(COUNTA($A929:$L929)&gt;0,$N929=""),"Awaiting Collection Email time stamp.",""),IF(OR($U929="PAID",$U929="CLOSED"),IF($U929="PAID","Account paid. Action completed.","Account closed. No further action required."),CHOOSE($Z929,"Collection Email","1st Email Follow-up","2nd Email Follow-up","Escalation to Local Office","Escalation to CBE","Escalation to Roxanne")&amp;" sent "&amp;TEXT($AA929,"dd-mmm")&amp;". "&amp;IF($Z929=6,"Final escalation completed.",IF($U929="OVERDUE","Next: "&amp;$AC929&amp;" was due "&amp;TEXT($AB929,"dd-mmm")&amp;" - "&amp;(NETWORKDAYS($AB929,TODAY(),Holidays)-1)&amp;" business day(s) late. Send now.",IF($U929="DUE TOMORROW","Next: "&amp;$AC929&amp;IF($AB929&lt;=TODAY()," is due TODAY ("," is due next business day (")&amp;TEXT($AB929,"dd-mmm")&amp;").","Next: "&amp;$AC929&amp;" due "&amp;TEXT($AB929,"dd-mmm")&amp;" ("&amp;(NETWORKDAYS(TODAY(),$AB929,Holidays)-1)&amp;" business day(s) left).")))))</f>
        <v/>
      </c>
      <c r="W929" s="17">
        <f>IF($Z929="","",CHOOSE($Z929,"Collection Email","1st Follow-up","2nd Follow-up","Local Office","CBE","Roxanne")&amp;IF($Z929=6," - Final"," - Day "&amp;MAX(0,NETWORKDAYS($AA929,TODAY(),Holidays)-1)&amp;" of "&amp;CHOOSE($Z929,3,3,2,2,3))&amp;" | Total Day "&amp;MAX(0,NETWORKDAYS($N929,TODAY(),Holidays)-1))</f>
        <v/>
      </c>
      <c r="X929" s="18"/>
      <c r="Y929" s="18"/>
      <c r="Z929" s="17">
        <f>IF($N929="","",COUNT($N929:$S929))</f>
        <v/>
      </c>
      <c r="AA929" s="19">
        <f>IF($Z929="","",INT(INDEX($N929:$S929,$Z929)))</f>
        <v/>
      </c>
      <c r="AB929" s="19">
        <f>IF(OR($Z929="",$Z929=6),"",WORKDAY($AA929,CHOOSE($Z929,3,3,2,2,3),Holidays))</f>
        <v/>
      </c>
      <c r="AC929" s="17">
        <f>IF(OR($Z929="",$Z929=6),"",CHOOSE($Z929,"1st Email Follow-up","2nd Email Follow-up","Escalate Local Office","Escalate to CBE","Escalate to Roxanne"))</f>
        <v/>
      </c>
    </row>
    <row r="930" spans="13:29">
      <c r="M930" s="14"/>
      <c r="T930" s="16"/>
      <c r="U930" s="17">
        <f>IF(AND(COUNTA($A930:$L930)=0,$N930=""),"",IF($T930="Paid","PAID",IF($T930="Closed","CLOSED",IF($Z930="","",IF($Z930=6,"ESCALATED TO ROXANNE",IF(TODAY()&gt;$AB930,"OVERDUE",IF($AB930&lt;=WORKDAY(TODAY(),1,Holidays),"DUE TOMORROW",IF($Z930=4,"ESCALATED TO LOCAL OFFICE",IF($Z930=5,"ESCALATED TO CBE",IF($AA930=TODAY(),"EMAIL SENT","MONITORING"))))))))))</f>
        <v/>
      </c>
      <c r="V930" s="17">
        <f>IF($U930="",IF(AND(COUNTA($A930:$L930)&gt;0,$N930=""),"Awaiting Collection Email time stamp.",""),IF(OR($U930="PAID",$U930="CLOSED"),IF($U930="PAID","Account paid. Action completed.","Account closed. No further action required."),CHOOSE($Z930,"Collection Email","1st Email Follow-up","2nd Email Follow-up","Escalation to Local Office","Escalation to CBE","Escalation to Roxanne")&amp;" sent "&amp;TEXT($AA930,"dd-mmm")&amp;". "&amp;IF($Z930=6,"Final escalation completed.",IF($U930="OVERDUE","Next: "&amp;$AC930&amp;" was due "&amp;TEXT($AB930,"dd-mmm")&amp;" - "&amp;(NETWORKDAYS($AB930,TODAY(),Holidays)-1)&amp;" business day(s) late. Send now.",IF($U930="DUE TOMORROW","Next: "&amp;$AC930&amp;IF($AB930&lt;=TODAY()," is due TODAY ("," is due next business day (")&amp;TEXT($AB930,"dd-mmm")&amp;").","Next: "&amp;$AC930&amp;" due "&amp;TEXT($AB930,"dd-mmm")&amp;" ("&amp;(NETWORKDAYS(TODAY(),$AB930,Holidays)-1)&amp;" business day(s) left).")))))</f>
        <v/>
      </c>
      <c r="W930" s="17">
        <f>IF($Z930="","",CHOOSE($Z930,"Collection Email","1st Follow-up","2nd Follow-up","Local Office","CBE","Roxanne")&amp;IF($Z930=6," - Final"," - Day "&amp;MAX(0,NETWORKDAYS($AA930,TODAY(),Holidays)-1)&amp;" of "&amp;CHOOSE($Z930,3,3,2,2,3))&amp;" | Total Day "&amp;MAX(0,NETWORKDAYS($N930,TODAY(),Holidays)-1))</f>
        <v/>
      </c>
      <c r="X930" s="18"/>
      <c r="Y930" s="18"/>
      <c r="Z930" s="17">
        <f>IF($N930="","",COUNT($N930:$S930))</f>
        <v/>
      </c>
      <c r="AA930" s="19">
        <f>IF($Z930="","",INT(INDEX($N930:$S930,$Z930)))</f>
        <v/>
      </c>
      <c r="AB930" s="19">
        <f>IF(OR($Z930="",$Z930=6),"",WORKDAY($AA930,CHOOSE($Z930,3,3,2,2,3),Holidays))</f>
        <v/>
      </c>
      <c r="AC930" s="17">
        <f>IF(OR($Z930="",$Z930=6),"",CHOOSE($Z930,"1st Email Follow-up","2nd Email Follow-up","Escalate Local Office","Escalate to CBE","Escalate to Roxanne"))</f>
        <v/>
      </c>
    </row>
    <row r="931" spans="13:29">
      <c r="M931" s="14"/>
      <c r="T931" s="16"/>
      <c r="U931" s="17">
        <f>IF(AND(COUNTA($A931:$L931)=0,$N931=""),"",IF($T931="Paid","PAID",IF($T931="Closed","CLOSED",IF($Z931="","",IF($Z931=6,"ESCALATED TO ROXANNE",IF(TODAY()&gt;$AB931,"OVERDUE",IF($AB931&lt;=WORKDAY(TODAY(),1,Holidays),"DUE TOMORROW",IF($Z931=4,"ESCALATED TO LOCAL OFFICE",IF($Z931=5,"ESCALATED TO CBE",IF($AA931=TODAY(),"EMAIL SENT","MONITORING"))))))))))</f>
        <v/>
      </c>
      <c r="V931" s="17">
        <f>IF($U931="",IF(AND(COUNTA($A931:$L931)&gt;0,$N931=""),"Awaiting Collection Email time stamp.",""),IF(OR($U931="PAID",$U931="CLOSED"),IF($U931="PAID","Account paid. Action completed.","Account closed. No further action required."),CHOOSE($Z931,"Collection Email","1st Email Follow-up","2nd Email Follow-up","Escalation to Local Office","Escalation to CBE","Escalation to Roxanne")&amp;" sent "&amp;TEXT($AA931,"dd-mmm")&amp;". "&amp;IF($Z931=6,"Final escalation completed.",IF($U931="OVERDUE","Next: "&amp;$AC931&amp;" was due "&amp;TEXT($AB931,"dd-mmm")&amp;" - "&amp;(NETWORKDAYS($AB931,TODAY(),Holidays)-1)&amp;" business day(s) late. Send now.",IF($U931="DUE TOMORROW","Next: "&amp;$AC931&amp;IF($AB931&lt;=TODAY()," is due TODAY ("," is due next business day (")&amp;TEXT($AB931,"dd-mmm")&amp;").","Next: "&amp;$AC931&amp;" due "&amp;TEXT($AB931,"dd-mmm")&amp;" ("&amp;(NETWORKDAYS(TODAY(),$AB931,Holidays)-1)&amp;" business day(s) left).")))))</f>
        <v/>
      </c>
      <c r="W931" s="17">
        <f>IF($Z931="","",CHOOSE($Z931,"Collection Email","1st Follow-up","2nd Follow-up","Local Office","CBE","Roxanne")&amp;IF($Z931=6," - Final"," - Day "&amp;MAX(0,NETWORKDAYS($AA931,TODAY(),Holidays)-1)&amp;" of "&amp;CHOOSE($Z931,3,3,2,2,3))&amp;" | Total Day "&amp;MAX(0,NETWORKDAYS($N931,TODAY(),Holidays)-1))</f>
        <v/>
      </c>
      <c r="X931" s="18"/>
      <c r="Y931" s="18"/>
      <c r="Z931" s="17">
        <f>IF($N931="","",COUNT($N931:$S931))</f>
        <v/>
      </c>
      <c r="AA931" s="19">
        <f>IF($Z931="","",INT(INDEX($N931:$S931,$Z931)))</f>
        <v/>
      </c>
      <c r="AB931" s="19">
        <f>IF(OR($Z931="",$Z931=6),"",WORKDAY($AA931,CHOOSE($Z931,3,3,2,2,3),Holidays))</f>
        <v/>
      </c>
      <c r="AC931" s="17">
        <f>IF(OR($Z931="",$Z931=6),"",CHOOSE($Z931,"1st Email Follow-up","2nd Email Follow-up","Escalate Local Office","Escalate to CBE","Escalate to Roxanne"))</f>
        <v/>
      </c>
    </row>
    <row r="932" spans="13:29">
      <c r="M932" s="14"/>
      <c r="T932" s="16"/>
      <c r="U932" s="17">
        <f>IF(AND(COUNTA($A932:$L932)=0,$N932=""),"",IF($T932="Paid","PAID",IF($T932="Closed","CLOSED",IF($Z932="","",IF($Z932=6,"ESCALATED TO ROXANNE",IF(TODAY()&gt;$AB932,"OVERDUE",IF($AB932&lt;=WORKDAY(TODAY(),1,Holidays),"DUE TOMORROW",IF($Z932=4,"ESCALATED TO LOCAL OFFICE",IF($Z932=5,"ESCALATED TO CBE",IF($AA932=TODAY(),"EMAIL SENT","MONITORING"))))))))))</f>
        <v/>
      </c>
      <c r="V932" s="17">
        <f>IF($U932="",IF(AND(COUNTA($A932:$L932)&gt;0,$N932=""),"Awaiting Collection Email time stamp.",""),IF(OR($U932="PAID",$U932="CLOSED"),IF($U932="PAID","Account paid. Action completed.","Account closed. No further action required."),CHOOSE($Z932,"Collection Email","1st Email Follow-up","2nd Email Follow-up","Escalation to Local Office","Escalation to CBE","Escalation to Roxanne")&amp;" sent "&amp;TEXT($AA932,"dd-mmm")&amp;". "&amp;IF($Z932=6,"Final escalation completed.",IF($U932="OVERDUE","Next: "&amp;$AC932&amp;" was due "&amp;TEXT($AB932,"dd-mmm")&amp;" - "&amp;(NETWORKDAYS($AB932,TODAY(),Holidays)-1)&amp;" business day(s) late. Send now.",IF($U932="DUE TOMORROW","Next: "&amp;$AC932&amp;IF($AB932&lt;=TODAY()," is due TODAY ("," is due next business day (")&amp;TEXT($AB932,"dd-mmm")&amp;").","Next: "&amp;$AC932&amp;" due "&amp;TEXT($AB932,"dd-mmm")&amp;" ("&amp;(NETWORKDAYS(TODAY(),$AB932,Holidays)-1)&amp;" business day(s) left).")))))</f>
        <v/>
      </c>
      <c r="W932" s="17">
        <f>IF($Z932="","",CHOOSE($Z932,"Collection Email","1st Follow-up","2nd Follow-up","Local Office","CBE","Roxanne")&amp;IF($Z932=6," - Final"," - Day "&amp;MAX(0,NETWORKDAYS($AA932,TODAY(),Holidays)-1)&amp;" of "&amp;CHOOSE($Z932,3,3,2,2,3))&amp;" | Total Day "&amp;MAX(0,NETWORKDAYS($N932,TODAY(),Holidays)-1))</f>
        <v/>
      </c>
      <c r="X932" s="18"/>
      <c r="Y932" s="18"/>
      <c r="Z932" s="17">
        <f>IF($N932="","",COUNT($N932:$S932))</f>
        <v/>
      </c>
      <c r="AA932" s="19">
        <f>IF($Z932="","",INT(INDEX($N932:$S932,$Z932)))</f>
        <v/>
      </c>
      <c r="AB932" s="19">
        <f>IF(OR($Z932="",$Z932=6),"",WORKDAY($AA932,CHOOSE($Z932,3,3,2,2,3),Holidays))</f>
        <v/>
      </c>
      <c r="AC932" s="17">
        <f>IF(OR($Z932="",$Z932=6),"",CHOOSE($Z932,"1st Email Follow-up","2nd Email Follow-up","Escalate Local Office","Escalate to CBE","Escalate to Roxanne"))</f>
        <v/>
      </c>
    </row>
    <row r="933" spans="13:29">
      <c r="M933" s="14"/>
      <c r="T933" s="16"/>
      <c r="U933" s="17">
        <f>IF(AND(COUNTA($A933:$L933)=0,$N933=""),"",IF($T933="Paid","PAID",IF($T933="Closed","CLOSED",IF($Z933="","",IF($Z933=6,"ESCALATED TO ROXANNE",IF(TODAY()&gt;$AB933,"OVERDUE",IF($AB933&lt;=WORKDAY(TODAY(),1,Holidays),"DUE TOMORROW",IF($Z933=4,"ESCALATED TO LOCAL OFFICE",IF($Z933=5,"ESCALATED TO CBE",IF($AA933=TODAY(),"EMAIL SENT","MONITORING"))))))))))</f>
        <v/>
      </c>
      <c r="V933" s="17">
        <f>IF($U933="",IF(AND(COUNTA($A933:$L933)&gt;0,$N933=""),"Awaiting Collection Email time stamp.",""),IF(OR($U933="PAID",$U933="CLOSED"),IF($U933="PAID","Account paid. Action completed.","Account closed. No further action required."),CHOOSE($Z933,"Collection Email","1st Email Follow-up","2nd Email Follow-up","Escalation to Local Office","Escalation to CBE","Escalation to Roxanne")&amp;" sent "&amp;TEXT($AA933,"dd-mmm")&amp;". "&amp;IF($Z933=6,"Final escalation completed.",IF($U933="OVERDUE","Next: "&amp;$AC933&amp;" was due "&amp;TEXT($AB933,"dd-mmm")&amp;" - "&amp;(NETWORKDAYS($AB933,TODAY(),Holidays)-1)&amp;" business day(s) late. Send now.",IF($U933="DUE TOMORROW","Next: "&amp;$AC933&amp;IF($AB933&lt;=TODAY()," is due TODAY ("," is due next business day (")&amp;TEXT($AB933,"dd-mmm")&amp;").","Next: "&amp;$AC933&amp;" due "&amp;TEXT($AB933,"dd-mmm")&amp;" ("&amp;(NETWORKDAYS(TODAY(),$AB933,Holidays)-1)&amp;" business day(s) left).")))))</f>
        <v/>
      </c>
      <c r="W933" s="17">
        <f>IF($Z933="","",CHOOSE($Z933,"Collection Email","1st Follow-up","2nd Follow-up","Local Office","CBE","Roxanne")&amp;IF($Z933=6," - Final"," - Day "&amp;MAX(0,NETWORKDAYS($AA933,TODAY(),Holidays)-1)&amp;" of "&amp;CHOOSE($Z933,3,3,2,2,3))&amp;" | Total Day "&amp;MAX(0,NETWORKDAYS($N933,TODAY(),Holidays)-1))</f>
        <v/>
      </c>
      <c r="X933" s="18"/>
      <c r="Y933" s="18"/>
      <c r="Z933" s="17">
        <f>IF($N933="","",COUNT($N933:$S933))</f>
        <v/>
      </c>
      <c r="AA933" s="19">
        <f>IF($Z933="","",INT(INDEX($N933:$S933,$Z933)))</f>
        <v/>
      </c>
      <c r="AB933" s="19">
        <f>IF(OR($Z933="",$Z933=6),"",WORKDAY($AA933,CHOOSE($Z933,3,3,2,2,3),Holidays))</f>
        <v/>
      </c>
      <c r="AC933" s="17">
        <f>IF(OR($Z933="",$Z933=6),"",CHOOSE($Z933,"1st Email Follow-up","2nd Email Follow-up","Escalate Local Office","Escalate to CBE","Escalate to Roxanne"))</f>
        <v/>
      </c>
    </row>
    <row r="934" spans="13:29">
      <c r="M934" s="14"/>
      <c r="T934" s="16"/>
      <c r="U934" s="17">
        <f>IF(AND(COUNTA($A934:$L934)=0,$N934=""),"",IF($T934="Paid","PAID",IF($T934="Closed","CLOSED",IF($Z934="","",IF($Z934=6,"ESCALATED TO ROXANNE",IF(TODAY()&gt;$AB934,"OVERDUE",IF($AB934&lt;=WORKDAY(TODAY(),1,Holidays),"DUE TOMORROW",IF($Z934=4,"ESCALATED TO LOCAL OFFICE",IF($Z934=5,"ESCALATED TO CBE",IF($AA934=TODAY(),"EMAIL SENT","MONITORING"))))))))))</f>
        <v/>
      </c>
      <c r="V934" s="17">
        <f>IF($U934="",IF(AND(COUNTA($A934:$L934)&gt;0,$N934=""),"Awaiting Collection Email time stamp.",""),IF(OR($U934="PAID",$U934="CLOSED"),IF($U934="PAID","Account paid. Action completed.","Account closed. No further action required."),CHOOSE($Z934,"Collection Email","1st Email Follow-up","2nd Email Follow-up","Escalation to Local Office","Escalation to CBE","Escalation to Roxanne")&amp;" sent "&amp;TEXT($AA934,"dd-mmm")&amp;". "&amp;IF($Z934=6,"Final escalation completed.",IF($U934="OVERDUE","Next: "&amp;$AC934&amp;" was due "&amp;TEXT($AB934,"dd-mmm")&amp;" - "&amp;(NETWORKDAYS($AB934,TODAY(),Holidays)-1)&amp;" business day(s) late. Send now.",IF($U934="DUE TOMORROW","Next: "&amp;$AC934&amp;IF($AB934&lt;=TODAY()," is due TODAY ("," is due next business day (")&amp;TEXT($AB934,"dd-mmm")&amp;").","Next: "&amp;$AC934&amp;" due "&amp;TEXT($AB934,"dd-mmm")&amp;" ("&amp;(NETWORKDAYS(TODAY(),$AB934,Holidays)-1)&amp;" business day(s) left).")))))</f>
        <v/>
      </c>
      <c r="W934" s="17">
        <f>IF($Z934="","",CHOOSE($Z934,"Collection Email","1st Follow-up","2nd Follow-up","Local Office","CBE","Roxanne")&amp;IF($Z934=6," - Final"," - Day "&amp;MAX(0,NETWORKDAYS($AA934,TODAY(),Holidays)-1)&amp;" of "&amp;CHOOSE($Z934,3,3,2,2,3))&amp;" | Total Day "&amp;MAX(0,NETWORKDAYS($N934,TODAY(),Holidays)-1))</f>
        <v/>
      </c>
      <c r="X934" s="18"/>
      <c r="Y934" s="18"/>
      <c r="Z934" s="17">
        <f>IF($N934="","",COUNT($N934:$S934))</f>
        <v/>
      </c>
      <c r="AA934" s="19">
        <f>IF($Z934="","",INT(INDEX($N934:$S934,$Z934)))</f>
        <v/>
      </c>
      <c r="AB934" s="19">
        <f>IF(OR($Z934="",$Z934=6),"",WORKDAY($AA934,CHOOSE($Z934,3,3,2,2,3),Holidays))</f>
        <v/>
      </c>
      <c r="AC934" s="17">
        <f>IF(OR($Z934="",$Z934=6),"",CHOOSE($Z934,"1st Email Follow-up","2nd Email Follow-up","Escalate Local Office","Escalate to CBE","Escalate to Roxanne"))</f>
        <v/>
      </c>
    </row>
    <row r="935" spans="13:29">
      <c r="M935" s="14"/>
      <c r="T935" s="16"/>
      <c r="U935" s="17">
        <f>IF(AND(COUNTA($A935:$L935)=0,$N935=""),"",IF($T935="Paid","PAID",IF($T935="Closed","CLOSED",IF($Z935="","",IF($Z935=6,"ESCALATED TO ROXANNE",IF(TODAY()&gt;$AB935,"OVERDUE",IF($AB935&lt;=WORKDAY(TODAY(),1,Holidays),"DUE TOMORROW",IF($Z935=4,"ESCALATED TO LOCAL OFFICE",IF($Z935=5,"ESCALATED TO CBE",IF($AA935=TODAY(),"EMAIL SENT","MONITORING"))))))))))</f>
        <v/>
      </c>
      <c r="V935" s="17">
        <f>IF($U935="",IF(AND(COUNTA($A935:$L935)&gt;0,$N935=""),"Awaiting Collection Email time stamp.",""),IF(OR($U935="PAID",$U935="CLOSED"),IF($U935="PAID","Account paid. Action completed.","Account closed. No further action required."),CHOOSE($Z935,"Collection Email","1st Email Follow-up","2nd Email Follow-up","Escalation to Local Office","Escalation to CBE","Escalation to Roxanne")&amp;" sent "&amp;TEXT($AA935,"dd-mmm")&amp;". "&amp;IF($Z935=6,"Final escalation completed.",IF($U935="OVERDUE","Next: "&amp;$AC935&amp;" was due "&amp;TEXT($AB935,"dd-mmm")&amp;" - "&amp;(NETWORKDAYS($AB935,TODAY(),Holidays)-1)&amp;" business day(s) late. Send now.",IF($U935="DUE TOMORROW","Next: "&amp;$AC935&amp;IF($AB935&lt;=TODAY()," is due TODAY ("," is due next business day (")&amp;TEXT($AB935,"dd-mmm")&amp;").","Next: "&amp;$AC935&amp;" due "&amp;TEXT($AB935,"dd-mmm")&amp;" ("&amp;(NETWORKDAYS(TODAY(),$AB935,Holidays)-1)&amp;" business day(s) left).")))))</f>
        <v/>
      </c>
      <c r="W935" s="17">
        <f>IF($Z935="","",CHOOSE($Z935,"Collection Email","1st Follow-up","2nd Follow-up","Local Office","CBE","Roxanne")&amp;IF($Z935=6," - Final"," - Day "&amp;MAX(0,NETWORKDAYS($AA935,TODAY(),Holidays)-1)&amp;" of "&amp;CHOOSE($Z935,3,3,2,2,3))&amp;" | Total Day "&amp;MAX(0,NETWORKDAYS($N935,TODAY(),Holidays)-1))</f>
        <v/>
      </c>
      <c r="X935" s="18"/>
      <c r="Y935" s="18"/>
      <c r="Z935" s="17">
        <f>IF($N935="","",COUNT($N935:$S935))</f>
        <v/>
      </c>
      <c r="AA935" s="19">
        <f>IF($Z935="","",INT(INDEX($N935:$S935,$Z935)))</f>
        <v/>
      </c>
      <c r="AB935" s="19">
        <f>IF(OR($Z935="",$Z935=6),"",WORKDAY($AA935,CHOOSE($Z935,3,3,2,2,3),Holidays))</f>
        <v/>
      </c>
      <c r="AC935" s="17">
        <f>IF(OR($Z935="",$Z935=6),"",CHOOSE($Z935,"1st Email Follow-up","2nd Email Follow-up","Escalate Local Office","Escalate to CBE","Escalate to Roxanne"))</f>
        <v/>
      </c>
    </row>
    <row r="936" spans="13:29">
      <c r="M936" s="14"/>
      <c r="T936" s="16"/>
      <c r="U936" s="17">
        <f>IF(AND(COUNTA($A936:$L936)=0,$N936=""),"",IF($T936="Paid","PAID",IF($T936="Closed","CLOSED",IF($Z936="","",IF($Z936=6,"ESCALATED TO ROXANNE",IF(TODAY()&gt;$AB936,"OVERDUE",IF($AB936&lt;=WORKDAY(TODAY(),1,Holidays),"DUE TOMORROW",IF($Z936=4,"ESCALATED TO LOCAL OFFICE",IF($Z936=5,"ESCALATED TO CBE",IF($AA936=TODAY(),"EMAIL SENT","MONITORING"))))))))))</f>
        <v/>
      </c>
      <c r="V936" s="17">
        <f>IF($U936="",IF(AND(COUNTA($A936:$L936)&gt;0,$N936=""),"Awaiting Collection Email time stamp.",""),IF(OR($U936="PAID",$U936="CLOSED"),IF($U936="PAID","Account paid. Action completed.","Account closed. No further action required."),CHOOSE($Z936,"Collection Email","1st Email Follow-up","2nd Email Follow-up","Escalation to Local Office","Escalation to CBE","Escalation to Roxanne")&amp;" sent "&amp;TEXT($AA936,"dd-mmm")&amp;". "&amp;IF($Z936=6,"Final escalation completed.",IF($U936="OVERDUE","Next: "&amp;$AC936&amp;" was due "&amp;TEXT($AB936,"dd-mmm")&amp;" - "&amp;(NETWORKDAYS($AB936,TODAY(),Holidays)-1)&amp;" business day(s) late. Send now.",IF($U936="DUE TOMORROW","Next: "&amp;$AC936&amp;IF($AB936&lt;=TODAY()," is due TODAY ("," is due next business day (")&amp;TEXT($AB936,"dd-mmm")&amp;").","Next: "&amp;$AC936&amp;" due "&amp;TEXT($AB936,"dd-mmm")&amp;" ("&amp;(NETWORKDAYS(TODAY(),$AB936,Holidays)-1)&amp;" business day(s) left).")))))</f>
        <v/>
      </c>
      <c r="W936" s="17">
        <f>IF($Z936="","",CHOOSE($Z936,"Collection Email","1st Follow-up","2nd Follow-up","Local Office","CBE","Roxanne")&amp;IF($Z936=6," - Final"," - Day "&amp;MAX(0,NETWORKDAYS($AA936,TODAY(),Holidays)-1)&amp;" of "&amp;CHOOSE($Z936,3,3,2,2,3))&amp;" | Total Day "&amp;MAX(0,NETWORKDAYS($N936,TODAY(),Holidays)-1))</f>
        <v/>
      </c>
      <c r="X936" s="18"/>
      <c r="Y936" s="18"/>
      <c r="Z936" s="17">
        <f>IF($N936="","",COUNT($N936:$S936))</f>
        <v/>
      </c>
      <c r="AA936" s="19">
        <f>IF($Z936="","",INT(INDEX($N936:$S936,$Z936)))</f>
        <v/>
      </c>
      <c r="AB936" s="19">
        <f>IF(OR($Z936="",$Z936=6),"",WORKDAY($AA936,CHOOSE($Z936,3,3,2,2,3),Holidays))</f>
        <v/>
      </c>
      <c r="AC936" s="17">
        <f>IF(OR($Z936="",$Z936=6),"",CHOOSE($Z936,"1st Email Follow-up","2nd Email Follow-up","Escalate Local Office","Escalate to CBE","Escalate to Roxanne"))</f>
        <v/>
      </c>
    </row>
    <row r="937" spans="13:29">
      <c r="M937" s="14"/>
      <c r="T937" s="16"/>
      <c r="U937" s="17">
        <f>IF(AND(COUNTA($A937:$L937)=0,$N937=""),"",IF($T937="Paid","PAID",IF($T937="Closed","CLOSED",IF($Z937="","",IF($Z937=6,"ESCALATED TO ROXANNE",IF(TODAY()&gt;$AB937,"OVERDUE",IF($AB937&lt;=WORKDAY(TODAY(),1,Holidays),"DUE TOMORROW",IF($Z937=4,"ESCALATED TO LOCAL OFFICE",IF($Z937=5,"ESCALATED TO CBE",IF($AA937=TODAY(),"EMAIL SENT","MONITORING"))))))))))</f>
        <v/>
      </c>
      <c r="V937" s="17">
        <f>IF($U937="",IF(AND(COUNTA($A937:$L937)&gt;0,$N937=""),"Awaiting Collection Email time stamp.",""),IF(OR($U937="PAID",$U937="CLOSED"),IF($U937="PAID","Account paid. Action completed.","Account closed. No further action required."),CHOOSE($Z937,"Collection Email","1st Email Follow-up","2nd Email Follow-up","Escalation to Local Office","Escalation to CBE","Escalation to Roxanne")&amp;" sent "&amp;TEXT($AA937,"dd-mmm")&amp;". "&amp;IF($Z937=6,"Final escalation completed.",IF($U937="OVERDUE","Next: "&amp;$AC937&amp;" was due "&amp;TEXT($AB937,"dd-mmm")&amp;" - "&amp;(NETWORKDAYS($AB937,TODAY(),Holidays)-1)&amp;" business day(s) late. Send now.",IF($U937="DUE TOMORROW","Next: "&amp;$AC937&amp;IF($AB937&lt;=TODAY()," is due TODAY ("," is due next business day (")&amp;TEXT($AB937,"dd-mmm")&amp;").","Next: "&amp;$AC937&amp;" due "&amp;TEXT($AB937,"dd-mmm")&amp;" ("&amp;(NETWORKDAYS(TODAY(),$AB937,Holidays)-1)&amp;" business day(s) left).")))))</f>
        <v/>
      </c>
      <c r="W937" s="17">
        <f>IF($Z937="","",CHOOSE($Z937,"Collection Email","1st Follow-up","2nd Follow-up","Local Office","CBE","Roxanne")&amp;IF($Z937=6," - Final"," - Day "&amp;MAX(0,NETWORKDAYS($AA937,TODAY(),Holidays)-1)&amp;" of "&amp;CHOOSE($Z937,3,3,2,2,3))&amp;" | Total Day "&amp;MAX(0,NETWORKDAYS($N937,TODAY(),Holidays)-1))</f>
        <v/>
      </c>
      <c r="X937" s="18"/>
      <c r="Y937" s="18"/>
      <c r="Z937" s="17">
        <f>IF($N937="","",COUNT($N937:$S937))</f>
        <v/>
      </c>
      <c r="AA937" s="19">
        <f>IF($Z937="","",INT(INDEX($N937:$S937,$Z937)))</f>
        <v/>
      </c>
      <c r="AB937" s="19">
        <f>IF(OR($Z937="",$Z937=6),"",WORKDAY($AA937,CHOOSE($Z937,3,3,2,2,3),Holidays))</f>
        <v/>
      </c>
      <c r="AC937" s="17">
        <f>IF(OR($Z937="",$Z937=6),"",CHOOSE($Z937,"1st Email Follow-up","2nd Email Follow-up","Escalate Local Office","Escalate to CBE","Escalate to Roxanne"))</f>
        <v/>
      </c>
    </row>
    <row r="938" spans="13:29">
      <c r="M938" s="14"/>
      <c r="T938" s="16"/>
      <c r="U938" s="17">
        <f>IF(AND(COUNTA($A938:$L938)=0,$N938=""),"",IF($T938="Paid","PAID",IF($T938="Closed","CLOSED",IF($Z938="","",IF($Z938=6,"ESCALATED TO ROXANNE",IF(TODAY()&gt;$AB938,"OVERDUE",IF($AB938&lt;=WORKDAY(TODAY(),1,Holidays),"DUE TOMORROW",IF($Z938=4,"ESCALATED TO LOCAL OFFICE",IF($Z938=5,"ESCALATED TO CBE",IF($AA938=TODAY(),"EMAIL SENT","MONITORING"))))))))))</f>
        <v/>
      </c>
      <c r="V938" s="17">
        <f>IF($U938="",IF(AND(COUNTA($A938:$L938)&gt;0,$N938=""),"Awaiting Collection Email time stamp.",""),IF(OR($U938="PAID",$U938="CLOSED"),IF($U938="PAID","Account paid. Action completed.","Account closed. No further action required."),CHOOSE($Z938,"Collection Email","1st Email Follow-up","2nd Email Follow-up","Escalation to Local Office","Escalation to CBE","Escalation to Roxanne")&amp;" sent "&amp;TEXT($AA938,"dd-mmm")&amp;". "&amp;IF($Z938=6,"Final escalation completed.",IF($U938="OVERDUE","Next: "&amp;$AC938&amp;" was due "&amp;TEXT($AB938,"dd-mmm")&amp;" - "&amp;(NETWORKDAYS($AB938,TODAY(),Holidays)-1)&amp;" business day(s) late. Send now.",IF($U938="DUE TOMORROW","Next: "&amp;$AC938&amp;IF($AB938&lt;=TODAY()," is due TODAY ("," is due next business day (")&amp;TEXT($AB938,"dd-mmm")&amp;").","Next: "&amp;$AC938&amp;" due "&amp;TEXT($AB938,"dd-mmm")&amp;" ("&amp;(NETWORKDAYS(TODAY(),$AB938,Holidays)-1)&amp;" business day(s) left).")))))</f>
        <v/>
      </c>
      <c r="W938" s="17">
        <f>IF($Z938="","",CHOOSE($Z938,"Collection Email","1st Follow-up","2nd Follow-up","Local Office","CBE","Roxanne")&amp;IF($Z938=6," - Final"," - Day "&amp;MAX(0,NETWORKDAYS($AA938,TODAY(),Holidays)-1)&amp;" of "&amp;CHOOSE($Z938,3,3,2,2,3))&amp;" | Total Day "&amp;MAX(0,NETWORKDAYS($N938,TODAY(),Holidays)-1))</f>
        <v/>
      </c>
      <c r="X938" s="18"/>
      <c r="Y938" s="18"/>
      <c r="Z938" s="17">
        <f>IF($N938="","",COUNT($N938:$S938))</f>
        <v/>
      </c>
      <c r="AA938" s="19">
        <f>IF($Z938="","",INT(INDEX($N938:$S938,$Z938)))</f>
        <v/>
      </c>
      <c r="AB938" s="19">
        <f>IF(OR($Z938="",$Z938=6),"",WORKDAY($AA938,CHOOSE($Z938,3,3,2,2,3),Holidays))</f>
        <v/>
      </c>
      <c r="AC938" s="17">
        <f>IF(OR($Z938="",$Z938=6),"",CHOOSE($Z938,"1st Email Follow-up","2nd Email Follow-up","Escalate Local Office","Escalate to CBE","Escalate to Roxanne"))</f>
        <v/>
      </c>
    </row>
    <row r="939" spans="13:29">
      <c r="M939" s="14"/>
      <c r="T939" s="16"/>
      <c r="U939" s="17">
        <f>IF(AND(COUNTA($A939:$L939)=0,$N939=""),"",IF($T939="Paid","PAID",IF($T939="Closed","CLOSED",IF($Z939="","",IF($Z939=6,"ESCALATED TO ROXANNE",IF(TODAY()&gt;$AB939,"OVERDUE",IF($AB939&lt;=WORKDAY(TODAY(),1,Holidays),"DUE TOMORROW",IF($Z939=4,"ESCALATED TO LOCAL OFFICE",IF($Z939=5,"ESCALATED TO CBE",IF($AA939=TODAY(),"EMAIL SENT","MONITORING"))))))))))</f>
        <v/>
      </c>
      <c r="V939" s="17">
        <f>IF($U939="",IF(AND(COUNTA($A939:$L939)&gt;0,$N939=""),"Awaiting Collection Email time stamp.",""),IF(OR($U939="PAID",$U939="CLOSED"),IF($U939="PAID","Account paid. Action completed.","Account closed. No further action required."),CHOOSE($Z939,"Collection Email","1st Email Follow-up","2nd Email Follow-up","Escalation to Local Office","Escalation to CBE","Escalation to Roxanne")&amp;" sent "&amp;TEXT($AA939,"dd-mmm")&amp;". "&amp;IF($Z939=6,"Final escalation completed.",IF($U939="OVERDUE","Next: "&amp;$AC939&amp;" was due "&amp;TEXT($AB939,"dd-mmm")&amp;" - "&amp;(NETWORKDAYS($AB939,TODAY(),Holidays)-1)&amp;" business day(s) late. Send now.",IF($U939="DUE TOMORROW","Next: "&amp;$AC939&amp;IF($AB939&lt;=TODAY()," is due TODAY ("," is due next business day (")&amp;TEXT($AB939,"dd-mmm")&amp;").","Next: "&amp;$AC939&amp;" due "&amp;TEXT($AB939,"dd-mmm")&amp;" ("&amp;(NETWORKDAYS(TODAY(),$AB939,Holidays)-1)&amp;" business day(s) left).")))))</f>
        <v/>
      </c>
      <c r="W939" s="17">
        <f>IF($Z939="","",CHOOSE($Z939,"Collection Email","1st Follow-up","2nd Follow-up","Local Office","CBE","Roxanne")&amp;IF($Z939=6," - Final"," - Day "&amp;MAX(0,NETWORKDAYS($AA939,TODAY(),Holidays)-1)&amp;" of "&amp;CHOOSE($Z939,3,3,2,2,3))&amp;" | Total Day "&amp;MAX(0,NETWORKDAYS($N939,TODAY(),Holidays)-1))</f>
        <v/>
      </c>
      <c r="X939" s="18"/>
      <c r="Y939" s="18"/>
      <c r="Z939" s="17">
        <f>IF($N939="","",COUNT($N939:$S939))</f>
        <v/>
      </c>
      <c r="AA939" s="19">
        <f>IF($Z939="","",INT(INDEX($N939:$S939,$Z939)))</f>
        <v/>
      </c>
      <c r="AB939" s="19">
        <f>IF(OR($Z939="",$Z939=6),"",WORKDAY($AA939,CHOOSE($Z939,3,3,2,2,3),Holidays))</f>
        <v/>
      </c>
      <c r="AC939" s="17">
        <f>IF(OR($Z939="",$Z939=6),"",CHOOSE($Z939,"1st Email Follow-up","2nd Email Follow-up","Escalate Local Office","Escalate to CBE","Escalate to Roxanne"))</f>
        <v/>
      </c>
    </row>
    <row r="940" spans="13:29">
      <c r="M940" s="14"/>
      <c r="T940" s="16"/>
      <c r="U940" s="17">
        <f>IF(AND(COUNTA($A940:$L940)=0,$N940=""),"",IF($T940="Paid","PAID",IF($T940="Closed","CLOSED",IF($Z940="","",IF($Z940=6,"ESCALATED TO ROXANNE",IF(TODAY()&gt;$AB940,"OVERDUE",IF($AB940&lt;=WORKDAY(TODAY(),1,Holidays),"DUE TOMORROW",IF($Z940=4,"ESCALATED TO LOCAL OFFICE",IF($Z940=5,"ESCALATED TO CBE",IF($AA940=TODAY(),"EMAIL SENT","MONITORING"))))))))))</f>
        <v/>
      </c>
      <c r="V940" s="17">
        <f>IF($U940="",IF(AND(COUNTA($A940:$L940)&gt;0,$N940=""),"Awaiting Collection Email time stamp.",""),IF(OR($U940="PAID",$U940="CLOSED"),IF($U940="PAID","Account paid. Action completed.","Account closed. No further action required."),CHOOSE($Z940,"Collection Email","1st Email Follow-up","2nd Email Follow-up","Escalation to Local Office","Escalation to CBE","Escalation to Roxanne")&amp;" sent "&amp;TEXT($AA940,"dd-mmm")&amp;". "&amp;IF($Z940=6,"Final escalation completed.",IF($U940="OVERDUE","Next: "&amp;$AC940&amp;" was due "&amp;TEXT($AB940,"dd-mmm")&amp;" - "&amp;(NETWORKDAYS($AB940,TODAY(),Holidays)-1)&amp;" business day(s) late. Send now.",IF($U940="DUE TOMORROW","Next: "&amp;$AC940&amp;IF($AB940&lt;=TODAY()," is due TODAY ("," is due next business day (")&amp;TEXT($AB940,"dd-mmm")&amp;").","Next: "&amp;$AC940&amp;" due "&amp;TEXT($AB940,"dd-mmm")&amp;" ("&amp;(NETWORKDAYS(TODAY(),$AB940,Holidays)-1)&amp;" business day(s) left).")))))</f>
        <v/>
      </c>
      <c r="W940" s="17">
        <f>IF($Z940="","",CHOOSE($Z940,"Collection Email","1st Follow-up","2nd Follow-up","Local Office","CBE","Roxanne")&amp;IF($Z940=6," - Final"," - Day "&amp;MAX(0,NETWORKDAYS($AA940,TODAY(),Holidays)-1)&amp;" of "&amp;CHOOSE($Z940,3,3,2,2,3))&amp;" | Total Day "&amp;MAX(0,NETWORKDAYS($N940,TODAY(),Holidays)-1))</f>
        <v/>
      </c>
      <c r="X940" s="18"/>
      <c r="Y940" s="18"/>
      <c r="Z940" s="17">
        <f>IF($N940="","",COUNT($N940:$S940))</f>
        <v/>
      </c>
      <c r="AA940" s="19">
        <f>IF($Z940="","",INT(INDEX($N940:$S940,$Z940)))</f>
        <v/>
      </c>
      <c r="AB940" s="19">
        <f>IF(OR($Z940="",$Z940=6),"",WORKDAY($AA940,CHOOSE($Z940,3,3,2,2,3),Holidays))</f>
        <v/>
      </c>
      <c r="AC940" s="17">
        <f>IF(OR($Z940="",$Z940=6),"",CHOOSE($Z940,"1st Email Follow-up","2nd Email Follow-up","Escalate Local Office","Escalate to CBE","Escalate to Roxanne"))</f>
        <v/>
      </c>
    </row>
    <row r="941" spans="13:29">
      <c r="M941" s="14"/>
      <c r="T941" s="16"/>
      <c r="U941" s="17">
        <f>IF(AND(COUNTA($A941:$L941)=0,$N941=""),"",IF($T941="Paid","PAID",IF($T941="Closed","CLOSED",IF($Z941="","",IF($Z941=6,"ESCALATED TO ROXANNE",IF(TODAY()&gt;$AB941,"OVERDUE",IF($AB941&lt;=WORKDAY(TODAY(),1,Holidays),"DUE TOMORROW",IF($Z941=4,"ESCALATED TO LOCAL OFFICE",IF($Z941=5,"ESCALATED TO CBE",IF($AA941=TODAY(),"EMAIL SENT","MONITORING"))))))))))</f>
        <v/>
      </c>
      <c r="V941" s="17">
        <f>IF($U941="",IF(AND(COUNTA($A941:$L941)&gt;0,$N941=""),"Awaiting Collection Email time stamp.",""),IF(OR($U941="PAID",$U941="CLOSED"),IF($U941="PAID","Account paid. Action completed.","Account closed. No further action required."),CHOOSE($Z941,"Collection Email","1st Email Follow-up","2nd Email Follow-up","Escalation to Local Office","Escalation to CBE","Escalation to Roxanne")&amp;" sent "&amp;TEXT($AA941,"dd-mmm")&amp;". "&amp;IF($Z941=6,"Final escalation completed.",IF($U941="OVERDUE","Next: "&amp;$AC941&amp;" was due "&amp;TEXT($AB941,"dd-mmm")&amp;" - "&amp;(NETWORKDAYS($AB941,TODAY(),Holidays)-1)&amp;" business day(s) late. Send now.",IF($U941="DUE TOMORROW","Next: "&amp;$AC941&amp;IF($AB941&lt;=TODAY()," is due TODAY ("," is due next business day (")&amp;TEXT($AB941,"dd-mmm")&amp;").","Next: "&amp;$AC941&amp;" due "&amp;TEXT($AB941,"dd-mmm")&amp;" ("&amp;(NETWORKDAYS(TODAY(),$AB941,Holidays)-1)&amp;" business day(s) left).")))))</f>
        <v/>
      </c>
      <c r="W941" s="17">
        <f>IF($Z941="","",CHOOSE($Z941,"Collection Email","1st Follow-up","2nd Follow-up","Local Office","CBE","Roxanne")&amp;IF($Z941=6," - Final"," - Day "&amp;MAX(0,NETWORKDAYS($AA941,TODAY(),Holidays)-1)&amp;" of "&amp;CHOOSE($Z941,3,3,2,2,3))&amp;" | Total Day "&amp;MAX(0,NETWORKDAYS($N941,TODAY(),Holidays)-1))</f>
        <v/>
      </c>
      <c r="X941" s="18"/>
      <c r="Y941" s="18"/>
      <c r="Z941" s="17">
        <f>IF($N941="","",COUNT($N941:$S941))</f>
        <v/>
      </c>
      <c r="AA941" s="19">
        <f>IF($Z941="","",INT(INDEX($N941:$S941,$Z941)))</f>
        <v/>
      </c>
      <c r="AB941" s="19">
        <f>IF(OR($Z941="",$Z941=6),"",WORKDAY($AA941,CHOOSE($Z941,3,3,2,2,3),Holidays))</f>
        <v/>
      </c>
      <c r="AC941" s="17">
        <f>IF(OR($Z941="",$Z941=6),"",CHOOSE($Z941,"1st Email Follow-up","2nd Email Follow-up","Escalate Local Office","Escalate to CBE","Escalate to Roxanne"))</f>
        <v/>
      </c>
    </row>
    <row r="942" spans="13:29">
      <c r="M942" s="14"/>
      <c r="T942" s="16"/>
      <c r="U942" s="17">
        <f>IF(AND(COUNTA($A942:$L942)=0,$N942=""),"",IF($T942="Paid","PAID",IF($T942="Closed","CLOSED",IF($Z942="","",IF($Z942=6,"ESCALATED TO ROXANNE",IF(TODAY()&gt;$AB942,"OVERDUE",IF($AB942&lt;=WORKDAY(TODAY(),1,Holidays),"DUE TOMORROW",IF($Z942=4,"ESCALATED TO LOCAL OFFICE",IF($Z942=5,"ESCALATED TO CBE",IF($AA942=TODAY(),"EMAIL SENT","MONITORING"))))))))))</f>
        <v/>
      </c>
      <c r="V942" s="17">
        <f>IF($U942="",IF(AND(COUNTA($A942:$L942)&gt;0,$N942=""),"Awaiting Collection Email time stamp.",""),IF(OR($U942="PAID",$U942="CLOSED"),IF($U942="PAID","Account paid. Action completed.","Account closed. No further action required."),CHOOSE($Z942,"Collection Email","1st Email Follow-up","2nd Email Follow-up","Escalation to Local Office","Escalation to CBE","Escalation to Roxanne")&amp;" sent "&amp;TEXT($AA942,"dd-mmm")&amp;". "&amp;IF($Z942=6,"Final escalation completed.",IF($U942="OVERDUE","Next: "&amp;$AC942&amp;" was due "&amp;TEXT($AB942,"dd-mmm")&amp;" - "&amp;(NETWORKDAYS($AB942,TODAY(),Holidays)-1)&amp;" business day(s) late. Send now.",IF($U942="DUE TOMORROW","Next: "&amp;$AC942&amp;IF($AB942&lt;=TODAY()," is due TODAY ("," is due next business day (")&amp;TEXT($AB942,"dd-mmm")&amp;").","Next: "&amp;$AC942&amp;" due "&amp;TEXT($AB942,"dd-mmm")&amp;" ("&amp;(NETWORKDAYS(TODAY(),$AB942,Holidays)-1)&amp;" business day(s) left).")))))</f>
        <v/>
      </c>
      <c r="W942" s="17">
        <f>IF($Z942="","",CHOOSE($Z942,"Collection Email","1st Follow-up","2nd Follow-up","Local Office","CBE","Roxanne")&amp;IF($Z942=6," - Final"," - Day "&amp;MAX(0,NETWORKDAYS($AA942,TODAY(),Holidays)-1)&amp;" of "&amp;CHOOSE($Z942,3,3,2,2,3))&amp;" | Total Day "&amp;MAX(0,NETWORKDAYS($N942,TODAY(),Holidays)-1))</f>
        <v/>
      </c>
      <c r="X942" s="18"/>
      <c r="Y942" s="18"/>
      <c r="Z942" s="17">
        <f>IF($N942="","",COUNT($N942:$S942))</f>
        <v/>
      </c>
      <c r="AA942" s="19">
        <f>IF($Z942="","",INT(INDEX($N942:$S942,$Z942)))</f>
        <v/>
      </c>
      <c r="AB942" s="19">
        <f>IF(OR($Z942="",$Z942=6),"",WORKDAY($AA942,CHOOSE($Z942,3,3,2,2,3),Holidays))</f>
        <v/>
      </c>
      <c r="AC942" s="17">
        <f>IF(OR($Z942="",$Z942=6),"",CHOOSE($Z942,"1st Email Follow-up","2nd Email Follow-up","Escalate Local Office","Escalate to CBE","Escalate to Roxanne"))</f>
        <v/>
      </c>
    </row>
    <row r="943" spans="13:29">
      <c r="M943" s="14"/>
      <c r="T943" s="16"/>
      <c r="U943" s="17">
        <f>IF(AND(COUNTA($A943:$L943)=0,$N943=""),"",IF($T943="Paid","PAID",IF($T943="Closed","CLOSED",IF($Z943="","",IF($Z943=6,"ESCALATED TO ROXANNE",IF(TODAY()&gt;$AB943,"OVERDUE",IF($AB943&lt;=WORKDAY(TODAY(),1,Holidays),"DUE TOMORROW",IF($Z943=4,"ESCALATED TO LOCAL OFFICE",IF($Z943=5,"ESCALATED TO CBE",IF($AA943=TODAY(),"EMAIL SENT","MONITORING"))))))))))</f>
        <v/>
      </c>
      <c r="V943" s="17">
        <f>IF($U943="",IF(AND(COUNTA($A943:$L943)&gt;0,$N943=""),"Awaiting Collection Email time stamp.",""),IF(OR($U943="PAID",$U943="CLOSED"),IF($U943="PAID","Account paid. Action completed.","Account closed. No further action required."),CHOOSE($Z943,"Collection Email","1st Email Follow-up","2nd Email Follow-up","Escalation to Local Office","Escalation to CBE","Escalation to Roxanne")&amp;" sent "&amp;TEXT($AA943,"dd-mmm")&amp;". "&amp;IF($Z943=6,"Final escalation completed.",IF($U943="OVERDUE","Next: "&amp;$AC943&amp;" was due "&amp;TEXT($AB943,"dd-mmm")&amp;" - "&amp;(NETWORKDAYS($AB943,TODAY(),Holidays)-1)&amp;" business day(s) late. Send now.",IF($U943="DUE TOMORROW","Next: "&amp;$AC943&amp;IF($AB943&lt;=TODAY()," is due TODAY ("," is due next business day (")&amp;TEXT($AB943,"dd-mmm")&amp;").","Next: "&amp;$AC943&amp;" due "&amp;TEXT($AB943,"dd-mmm")&amp;" ("&amp;(NETWORKDAYS(TODAY(),$AB943,Holidays)-1)&amp;" business day(s) left).")))))</f>
        <v/>
      </c>
      <c r="W943" s="17">
        <f>IF($Z943="","",CHOOSE($Z943,"Collection Email","1st Follow-up","2nd Follow-up","Local Office","CBE","Roxanne")&amp;IF($Z943=6," - Final"," - Day "&amp;MAX(0,NETWORKDAYS($AA943,TODAY(),Holidays)-1)&amp;" of "&amp;CHOOSE($Z943,3,3,2,2,3))&amp;" | Total Day "&amp;MAX(0,NETWORKDAYS($N943,TODAY(),Holidays)-1))</f>
        <v/>
      </c>
      <c r="X943" s="18"/>
      <c r="Y943" s="18"/>
      <c r="Z943" s="17">
        <f>IF($N943="","",COUNT($N943:$S943))</f>
        <v/>
      </c>
      <c r="AA943" s="19">
        <f>IF($Z943="","",INT(INDEX($N943:$S943,$Z943)))</f>
        <v/>
      </c>
      <c r="AB943" s="19">
        <f>IF(OR($Z943="",$Z943=6),"",WORKDAY($AA943,CHOOSE($Z943,3,3,2,2,3),Holidays))</f>
        <v/>
      </c>
      <c r="AC943" s="17">
        <f>IF(OR($Z943="",$Z943=6),"",CHOOSE($Z943,"1st Email Follow-up","2nd Email Follow-up","Escalate Local Office","Escalate to CBE","Escalate to Roxanne"))</f>
        <v/>
      </c>
    </row>
    <row r="944" spans="13:29">
      <c r="M944" s="14"/>
      <c r="T944" s="16"/>
      <c r="U944" s="17">
        <f>IF(AND(COUNTA($A944:$L944)=0,$N944=""),"",IF($T944="Paid","PAID",IF($T944="Closed","CLOSED",IF($Z944="","",IF($Z944=6,"ESCALATED TO ROXANNE",IF(TODAY()&gt;$AB944,"OVERDUE",IF($AB944&lt;=WORKDAY(TODAY(),1,Holidays),"DUE TOMORROW",IF($Z944=4,"ESCALATED TO LOCAL OFFICE",IF($Z944=5,"ESCALATED TO CBE",IF($AA944=TODAY(),"EMAIL SENT","MONITORING"))))))))))</f>
        <v/>
      </c>
      <c r="V944" s="17">
        <f>IF($U944="",IF(AND(COUNTA($A944:$L944)&gt;0,$N944=""),"Awaiting Collection Email time stamp.",""),IF(OR($U944="PAID",$U944="CLOSED"),IF($U944="PAID","Account paid. Action completed.","Account closed. No further action required."),CHOOSE($Z944,"Collection Email","1st Email Follow-up","2nd Email Follow-up","Escalation to Local Office","Escalation to CBE","Escalation to Roxanne")&amp;" sent "&amp;TEXT($AA944,"dd-mmm")&amp;". "&amp;IF($Z944=6,"Final escalation completed.",IF($U944="OVERDUE","Next: "&amp;$AC944&amp;" was due "&amp;TEXT($AB944,"dd-mmm")&amp;" - "&amp;(NETWORKDAYS($AB944,TODAY(),Holidays)-1)&amp;" business day(s) late. Send now.",IF($U944="DUE TOMORROW","Next: "&amp;$AC944&amp;IF($AB944&lt;=TODAY()," is due TODAY ("," is due next business day (")&amp;TEXT($AB944,"dd-mmm")&amp;").","Next: "&amp;$AC944&amp;" due "&amp;TEXT($AB944,"dd-mmm")&amp;" ("&amp;(NETWORKDAYS(TODAY(),$AB944,Holidays)-1)&amp;" business day(s) left).")))))</f>
        <v/>
      </c>
      <c r="W944" s="17">
        <f>IF($Z944="","",CHOOSE($Z944,"Collection Email","1st Follow-up","2nd Follow-up","Local Office","CBE","Roxanne")&amp;IF($Z944=6," - Final"," - Day "&amp;MAX(0,NETWORKDAYS($AA944,TODAY(),Holidays)-1)&amp;" of "&amp;CHOOSE($Z944,3,3,2,2,3))&amp;" | Total Day "&amp;MAX(0,NETWORKDAYS($N944,TODAY(),Holidays)-1))</f>
        <v/>
      </c>
      <c r="X944" s="18"/>
      <c r="Y944" s="18"/>
      <c r="Z944" s="17">
        <f>IF($N944="","",COUNT($N944:$S944))</f>
        <v/>
      </c>
      <c r="AA944" s="19">
        <f>IF($Z944="","",INT(INDEX($N944:$S944,$Z944)))</f>
        <v/>
      </c>
      <c r="AB944" s="19">
        <f>IF(OR($Z944="",$Z944=6),"",WORKDAY($AA944,CHOOSE($Z944,3,3,2,2,3),Holidays))</f>
        <v/>
      </c>
      <c r="AC944" s="17">
        <f>IF(OR($Z944="",$Z944=6),"",CHOOSE($Z944,"1st Email Follow-up","2nd Email Follow-up","Escalate Local Office","Escalate to CBE","Escalate to Roxanne"))</f>
        <v/>
      </c>
    </row>
    <row r="945" spans="13:29">
      <c r="M945" s="14"/>
      <c r="T945" s="16"/>
      <c r="U945" s="17">
        <f>IF(AND(COUNTA($A945:$L945)=0,$N945=""),"",IF($T945="Paid","PAID",IF($T945="Closed","CLOSED",IF($Z945="","",IF($Z945=6,"ESCALATED TO ROXANNE",IF(TODAY()&gt;$AB945,"OVERDUE",IF($AB945&lt;=WORKDAY(TODAY(),1,Holidays),"DUE TOMORROW",IF($Z945=4,"ESCALATED TO LOCAL OFFICE",IF($Z945=5,"ESCALATED TO CBE",IF($AA945=TODAY(),"EMAIL SENT","MONITORING"))))))))))</f>
        <v/>
      </c>
      <c r="V945" s="17">
        <f>IF($U945="",IF(AND(COUNTA($A945:$L945)&gt;0,$N945=""),"Awaiting Collection Email time stamp.",""),IF(OR($U945="PAID",$U945="CLOSED"),IF($U945="PAID","Account paid. Action completed.","Account closed. No further action required."),CHOOSE($Z945,"Collection Email","1st Email Follow-up","2nd Email Follow-up","Escalation to Local Office","Escalation to CBE","Escalation to Roxanne")&amp;" sent "&amp;TEXT($AA945,"dd-mmm")&amp;". "&amp;IF($Z945=6,"Final escalation completed.",IF($U945="OVERDUE","Next: "&amp;$AC945&amp;" was due "&amp;TEXT($AB945,"dd-mmm")&amp;" - "&amp;(NETWORKDAYS($AB945,TODAY(),Holidays)-1)&amp;" business day(s) late. Send now.",IF($U945="DUE TOMORROW","Next: "&amp;$AC945&amp;IF($AB945&lt;=TODAY()," is due TODAY ("," is due next business day (")&amp;TEXT($AB945,"dd-mmm")&amp;").","Next: "&amp;$AC945&amp;" due "&amp;TEXT($AB945,"dd-mmm")&amp;" ("&amp;(NETWORKDAYS(TODAY(),$AB945,Holidays)-1)&amp;" business day(s) left).")))))</f>
        <v/>
      </c>
      <c r="W945" s="17">
        <f>IF($Z945="","",CHOOSE($Z945,"Collection Email","1st Follow-up","2nd Follow-up","Local Office","CBE","Roxanne")&amp;IF($Z945=6," - Final"," - Day "&amp;MAX(0,NETWORKDAYS($AA945,TODAY(),Holidays)-1)&amp;" of "&amp;CHOOSE($Z945,3,3,2,2,3))&amp;" | Total Day "&amp;MAX(0,NETWORKDAYS($N945,TODAY(),Holidays)-1))</f>
        <v/>
      </c>
      <c r="X945" s="18"/>
      <c r="Y945" s="18"/>
      <c r="Z945" s="17">
        <f>IF($N945="","",COUNT($N945:$S945))</f>
        <v/>
      </c>
      <c r="AA945" s="19">
        <f>IF($Z945="","",INT(INDEX($N945:$S945,$Z945)))</f>
        <v/>
      </c>
      <c r="AB945" s="19">
        <f>IF(OR($Z945="",$Z945=6),"",WORKDAY($AA945,CHOOSE($Z945,3,3,2,2,3),Holidays))</f>
        <v/>
      </c>
      <c r="AC945" s="17">
        <f>IF(OR($Z945="",$Z945=6),"",CHOOSE($Z945,"1st Email Follow-up","2nd Email Follow-up","Escalate Local Office","Escalate to CBE","Escalate to Roxanne"))</f>
        <v/>
      </c>
    </row>
    <row r="946" spans="13:29">
      <c r="M946" s="14"/>
      <c r="T946" s="16"/>
      <c r="U946" s="17">
        <f>IF(AND(COUNTA($A946:$L946)=0,$N946=""),"",IF($T946="Paid","PAID",IF($T946="Closed","CLOSED",IF($Z946="","",IF($Z946=6,"ESCALATED TO ROXANNE",IF(TODAY()&gt;$AB946,"OVERDUE",IF($AB946&lt;=WORKDAY(TODAY(),1,Holidays),"DUE TOMORROW",IF($Z946=4,"ESCALATED TO LOCAL OFFICE",IF($Z946=5,"ESCALATED TO CBE",IF($AA946=TODAY(),"EMAIL SENT","MONITORING"))))))))))</f>
        <v/>
      </c>
      <c r="V946" s="17">
        <f>IF($U946="",IF(AND(COUNTA($A946:$L946)&gt;0,$N946=""),"Awaiting Collection Email time stamp.",""),IF(OR($U946="PAID",$U946="CLOSED"),IF($U946="PAID","Account paid. Action completed.","Account closed. No further action required."),CHOOSE($Z946,"Collection Email","1st Email Follow-up","2nd Email Follow-up","Escalation to Local Office","Escalation to CBE","Escalation to Roxanne")&amp;" sent "&amp;TEXT($AA946,"dd-mmm")&amp;". "&amp;IF($Z946=6,"Final escalation completed.",IF($U946="OVERDUE","Next: "&amp;$AC946&amp;" was due "&amp;TEXT($AB946,"dd-mmm")&amp;" - "&amp;(NETWORKDAYS($AB946,TODAY(),Holidays)-1)&amp;" business day(s) late. Send now.",IF($U946="DUE TOMORROW","Next: "&amp;$AC946&amp;IF($AB946&lt;=TODAY()," is due TODAY ("," is due next business day (")&amp;TEXT($AB946,"dd-mmm")&amp;").","Next: "&amp;$AC946&amp;" due "&amp;TEXT($AB946,"dd-mmm")&amp;" ("&amp;(NETWORKDAYS(TODAY(),$AB946,Holidays)-1)&amp;" business day(s) left).")))))</f>
        <v/>
      </c>
      <c r="W946" s="17">
        <f>IF($Z946="","",CHOOSE($Z946,"Collection Email","1st Follow-up","2nd Follow-up","Local Office","CBE","Roxanne")&amp;IF($Z946=6," - Final"," - Day "&amp;MAX(0,NETWORKDAYS($AA946,TODAY(),Holidays)-1)&amp;" of "&amp;CHOOSE($Z946,3,3,2,2,3))&amp;" | Total Day "&amp;MAX(0,NETWORKDAYS($N946,TODAY(),Holidays)-1))</f>
        <v/>
      </c>
      <c r="X946" s="18"/>
      <c r="Y946" s="18"/>
      <c r="Z946" s="17">
        <f>IF($N946="","",COUNT($N946:$S946))</f>
        <v/>
      </c>
      <c r="AA946" s="19">
        <f>IF($Z946="","",INT(INDEX($N946:$S946,$Z946)))</f>
        <v/>
      </c>
      <c r="AB946" s="19">
        <f>IF(OR($Z946="",$Z946=6),"",WORKDAY($AA946,CHOOSE($Z946,3,3,2,2,3),Holidays))</f>
        <v/>
      </c>
      <c r="AC946" s="17">
        <f>IF(OR($Z946="",$Z946=6),"",CHOOSE($Z946,"1st Email Follow-up","2nd Email Follow-up","Escalate Local Office","Escalate to CBE","Escalate to Roxanne"))</f>
        <v/>
      </c>
    </row>
    <row r="947" spans="13:29">
      <c r="M947" s="14"/>
      <c r="T947" s="16"/>
      <c r="U947" s="17">
        <f>IF(AND(COUNTA($A947:$L947)=0,$N947=""),"",IF($T947="Paid","PAID",IF($T947="Closed","CLOSED",IF($Z947="","",IF($Z947=6,"ESCALATED TO ROXANNE",IF(TODAY()&gt;$AB947,"OVERDUE",IF($AB947&lt;=WORKDAY(TODAY(),1,Holidays),"DUE TOMORROW",IF($Z947=4,"ESCALATED TO LOCAL OFFICE",IF($Z947=5,"ESCALATED TO CBE",IF($AA947=TODAY(),"EMAIL SENT","MONITORING"))))))))))</f>
        <v/>
      </c>
      <c r="V947" s="17">
        <f>IF($U947="",IF(AND(COUNTA($A947:$L947)&gt;0,$N947=""),"Awaiting Collection Email time stamp.",""),IF(OR($U947="PAID",$U947="CLOSED"),IF($U947="PAID","Account paid. Action completed.","Account closed. No further action required."),CHOOSE($Z947,"Collection Email","1st Email Follow-up","2nd Email Follow-up","Escalation to Local Office","Escalation to CBE","Escalation to Roxanne")&amp;" sent "&amp;TEXT($AA947,"dd-mmm")&amp;". "&amp;IF($Z947=6,"Final escalation completed.",IF($U947="OVERDUE","Next: "&amp;$AC947&amp;" was due "&amp;TEXT($AB947,"dd-mmm")&amp;" - "&amp;(NETWORKDAYS($AB947,TODAY(),Holidays)-1)&amp;" business day(s) late. Send now.",IF($U947="DUE TOMORROW","Next: "&amp;$AC947&amp;IF($AB947&lt;=TODAY()," is due TODAY ("," is due next business day (")&amp;TEXT($AB947,"dd-mmm")&amp;").","Next: "&amp;$AC947&amp;" due "&amp;TEXT($AB947,"dd-mmm")&amp;" ("&amp;(NETWORKDAYS(TODAY(),$AB947,Holidays)-1)&amp;" business day(s) left).")))))</f>
        <v/>
      </c>
      <c r="W947" s="17">
        <f>IF($Z947="","",CHOOSE($Z947,"Collection Email","1st Follow-up","2nd Follow-up","Local Office","CBE","Roxanne")&amp;IF($Z947=6," - Final"," - Day "&amp;MAX(0,NETWORKDAYS($AA947,TODAY(),Holidays)-1)&amp;" of "&amp;CHOOSE($Z947,3,3,2,2,3))&amp;" | Total Day "&amp;MAX(0,NETWORKDAYS($N947,TODAY(),Holidays)-1))</f>
        <v/>
      </c>
      <c r="X947" s="18"/>
      <c r="Y947" s="18"/>
      <c r="Z947" s="17">
        <f>IF($N947="","",COUNT($N947:$S947))</f>
        <v/>
      </c>
      <c r="AA947" s="19">
        <f>IF($Z947="","",INT(INDEX($N947:$S947,$Z947)))</f>
        <v/>
      </c>
      <c r="AB947" s="19">
        <f>IF(OR($Z947="",$Z947=6),"",WORKDAY($AA947,CHOOSE($Z947,3,3,2,2,3),Holidays))</f>
        <v/>
      </c>
      <c r="AC947" s="17">
        <f>IF(OR($Z947="",$Z947=6),"",CHOOSE($Z947,"1st Email Follow-up","2nd Email Follow-up","Escalate Local Office","Escalate to CBE","Escalate to Roxanne"))</f>
        <v/>
      </c>
    </row>
    <row r="948" spans="13:29">
      <c r="M948" s="14"/>
      <c r="T948" s="16"/>
      <c r="U948" s="17">
        <f>IF(AND(COUNTA($A948:$L948)=0,$N948=""),"",IF($T948="Paid","PAID",IF($T948="Closed","CLOSED",IF($Z948="","",IF($Z948=6,"ESCALATED TO ROXANNE",IF(TODAY()&gt;$AB948,"OVERDUE",IF($AB948&lt;=WORKDAY(TODAY(),1,Holidays),"DUE TOMORROW",IF($Z948=4,"ESCALATED TO LOCAL OFFICE",IF($Z948=5,"ESCALATED TO CBE",IF($AA948=TODAY(),"EMAIL SENT","MONITORING"))))))))))</f>
        <v/>
      </c>
      <c r="V948" s="17">
        <f>IF($U948="",IF(AND(COUNTA($A948:$L948)&gt;0,$N948=""),"Awaiting Collection Email time stamp.",""),IF(OR($U948="PAID",$U948="CLOSED"),IF($U948="PAID","Account paid. Action completed.","Account closed. No further action required."),CHOOSE($Z948,"Collection Email","1st Email Follow-up","2nd Email Follow-up","Escalation to Local Office","Escalation to CBE","Escalation to Roxanne")&amp;" sent "&amp;TEXT($AA948,"dd-mmm")&amp;". "&amp;IF($Z948=6,"Final escalation completed.",IF($U948="OVERDUE","Next: "&amp;$AC948&amp;" was due "&amp;TEXT($AB948,"dd-mmm")&amp;" - "&amp;(NETWORKDAYS($AB948,TODAY(),Holidays)-1)&amp;" business day(s) late. Send now.",IF($U948="DUE TOMORROW","Next: "&amp;$AC948&amp;IF($AB948&lt;=TODAY()," is due TODAY ("," is due next business day (")&amp;TEXT($AB948,"dd-mmm")&amp;").","Next: "&amp;$AC948&amp;" due "&amp;TEXT($AB948,"dd-mmm")&amp;" ("&amp;(NETWORKDAYS(TODAY(),$AB948,Holidays)-1)&amp;" business day(s) left).")))))</f>
        <v/>
      </c>
      <c r="W948" s="17">
        <f>IF($Z948="","",CHOOSE($Z948,"Collection Email","1st Follow-up","2nd Follow-up","Local Office","CBE","Roxanne")&amp;IF($Z948=6," - Final"," - Day "&amp;MAX(0,NETWORKDAYS($AA948,TODAY(),Holidays)-1)&amp;" of "&amp;CHOOSE($Z948,3,3,2,2,3))&amp;" | Total Day "&amp;MAX(0,NETWORKDAYS($N948,TODAY(),Holidays)-1))</f>
        <v/>
      </c>
      <c r="X948" s="18"/>
      <c r="Y948" s="18"/>
      <c r="Z948" s="17">
        <f>IF($N948="","",COUNT($N948:$S948))</f>
        <v/>
      </c>
      <c r="AA948" s="19">
        <f>IF($Z948="","",INT(INDEX($N948:$S948,$Z948)))</f>
        <v/>
      </c>
      <c r="AB948" s="19">
        <f>IF(OR($Z948="",$Z948=6),"",WORKDAY($AA948,CHOOSE($Z948,3,3,2,2,3),Holidays))</f>
        <v/>
      </c>
      <c r="AC948" s="17">
        <f>IF(OR($Z948="",$Z948=6),"",CHOOSE($Z948,"1st Email Follow-up","2nd Email Follow-up","Escalate Local Office","Escalate to CBE","Escalate to Roxanne"))</f>
        <v/>
      </c>
    </row>
    <row r="949" spans="13:29">
      <c r="M949" s="14"/>
      <c r="T949" s="16"/>
      <c r="U949" s="17">
        <f>IF(AND(COUNTA($A949:$L949)=0,$N949=""),"",IF($T949="Paid","PAID",IF($T949="Closed","CLOSED",IF($Z949="","",IF($Z949=6,"ESCALATED TO ROXANNE",IF(TODAY()&gt;$AB949,"OVERDUE",IF($AB949&lt;=WORKDAY(TODAY(),1,Holidays),"DUE TOMORROW",IF($Z949=4,"ESCALATED TO LOCAL OFFICE",IF($Z949=5,"ESCALATED TO CBE",IF($AA949=TODAY(),"EMAIL SENT","MONITORING"))))))))))</f>
        <v/>
      </c>
      <c r="V949" s="17">
        <f>IF($U949="",IF(AND(COUNTA($A949:$L949)&gt;0,$N949=""),"Awaiting Collection Email time stamp.",""),IF(OR($U949="PAID",$U949="CLOSED"),IF($U949="PAID","Account paid. Action completed.","Account closed. No further action required."),CHOOSE($Z949,"Collection Email","1st Email Follow-up","2nd Email Follow-up","Escalation to Local Office","Escalation to CBE","Escalation to Roxanne")&amp;" sent "&amp;TEXT($AA949,"dd-mmm")&amp;". "&amp;IF($Z949=6,"Final escalation completed.",IF($U949="OVERDUE","Next: "&amp;$AC949&amp;" was due "&amp;TEXT($AB949,"dd-mmm")&amp;" - "&amp;(NETWORKDAYS($AB949,TODAY(),Holidays)-1)&amp;" business day(s) late. Send now.",IF($U949="DUE TOMORROW","Next: "&amp;$AC949&amp;IF($AB949&lt;=TODAY()," is due TODAY ("," is due next business day (")&amp;TEXT($AB949,"dd-mmm")&amp;").","Next: "&amp;$AC949&amp;" due "&amp;TEXT($AB949,"dd-mmm")&amp;" ("&amp;(NETWORKDAYS(TODAY(),$AB949,Holidays)-1)&amp;" business day(s) left).")))))</f>
        <v/>
      </c>
      <c r="W949" s="17">
        <f>IF($Z949="","",CHOOSE($Z949,"Collection Email","1st Follow-up","2nd Follow-up","Local Office","CBE","Roxanne")&amp;IF($Z949=6," - Final"," - Day "&amp;MAX(0,NETWORKDAYS($AA949,TODAY(),Holidays)-1)&amp;" of "&amp;CHOOSE($Z949,3,3,2,2,3))&amp;" | Total Day "&amp;MAX(0,NETWORKDAYS($N949,TODAY(),Holidays)-1))</f>
        <v/>
      </c>
      <c r="X949" s="18"/>
      <c r="Y949" s="18"/>
      <c r="Z949" s="17">
        <f>IF($N949="","",COUNT($N949:$S949))</f>
        <v/>
      </c>
      <c r="AA949" s="19">
        <f>IF($Z949="","",INT(INDEX($N949:$S949,$Z949)))</f>
        <v/>
      </c>
      <c r="AB949" s="19">
        <f>IF(OR($Z949="",$Z949=6),"",WORKDAY($AA949,CHOOSE($Z949,3,3,2,2,3),Holidays))</f>
        <v/>
      </c>
      <c r="AC949" s="17">
        <f>IF(OR($Z949="",$Z949=6),"",CHOOSE($Z949,"1st Email Follow-up","2nd Email Follow-up","Escalate Local Office","Escalate to CBE","Escalate to Roxanne"))</f>
        <v/>
      </c>
    </row>
    <row r="950" spans="13:29">
      <c r="M950" s="14"/>
      <c r="T950" s="16"/>
      <c r="U950" s="17">
        <f>IF(AND(COUNTA($A950:$L950)=0,$N950=""),"",IF($T950="Paid","PAID",IF($T950="Closed","CLOSED",IF($Z950="","",IF($Z950=6,"ESCALATED TO ROXANNE",IF(TODAY()&gt;$AB950,"OVERDUE",IF($AB950&lt;=WORKDAY(TODAY(),1,Holidays),"DUE TOMORROW",IF($Z950=4,"ESCALATED TO LOCAL OFFICE",IF($Z950=5,"ESCALATED TO CBE",IF($AA950=TODAY(),"EMAIL SENT","MONITORING"))))))))))</f>
        <v/>
      </c>
      <c r="V950" s="17">
        <f>IF($U950="",IF(AND(COUNTA($A950:$L950)&gt;0,$N950=""),"Awaiting Collection Email time stamp.",""),IF(OR($U950="PAID",$U950="CLOSED"),IF($U950="PAID","Account paid. Action completed.","Account closed. No further action required."),CHOOSE($Z950,"Collection Email","1st Email Follow-up","2nd Email Follow-up","Escalation to Local Office","Escalation to CBE","Escalation to Roxanne")&amp;" sent "&amp;TEXT($AA950,"dd-mmm")&amp;". "&amp;IF($Z950=6,"Final escalation completed.",IF($U950="OVERDUE","Next: "&amp;$AC950&amp;" was due "&amp;TEXT($AB950,"dd-mmm")&amp;" - "&amp;(NETWORKDAYS($AB950,TODAY(),Holidays)-1)&amp;" business day(s) late. Send now.",IF($U950="DUE TOMORROW","Next: "&amp;$AC950&amp;IF($AB950&lt;=TODAY()," is due TODAY ("," is due next business day (")&amp;TEXT($AB950,"dd-mmm")&amp;").","Next: "&amp;$AC950&amp;" due "&amp;TEXT($AB950,"dd-mmm")&amp;" ("&amp;(NETWORKDAYS(TODAY(),$AB950,Holidays)-1)&amp;" business day(s) left).")))))</f>
        <v/>
      </c>
      <c r="W950" s="17">
        <f>IF($Z950="","",CHOOSE($Z950,"Collection Email","1st Follow-up","2nd Follow-up","Local Office","CBE","Roxanne")&amp;IF($Z950=6," - Final"," - Day "&amp;MAX(0,NETWORKDAYS($AA950,TODAY(),Holidays)-1)&amp;" of "&amp;CHOOSE($Z950,3,3,2,2,3))&amp;" | Total Day "&amp;MAX(0,NETWORKDAYS($N950,TODAY(),Holidays)-1))</f>
        <v/>
      </c>
      <c r="X950" s="18"/>
      <c r="Y950" s="18"/>
      <c r="Z950" s="17">
        <f>IF($N950="","",COUNT($N950:$S950))</f>
        <v/>
      </c>
      <c r="AA950" s="19">
        <f>IF($Z950="","",INT(INDEX($N950:$S950,$Z950)))</f>
        <v/>
      </c>
      <c r="AB950" s="19">
        <f>IF(OR($Z950="",$Z950=6),"",WORKDAY($AA950,CHOOSE($Z950,3,3,2,2,3),Holidays))</f>
        <v/>
      </c>
      <c r="AC950" s="17">
        <f>IF(OR($Z950="",$Z950=6),"",CHOOSE($Z950,"1st Email Follow-up","2nd Email Follow-up","Escalate Local Office","Escalate to CBE","Escalate to Roxanne"))</f>
        <v/>
      </c>
    </row>
    <row r="951" spans="13:29">
      <c r="M951" s="14"/>
      <c r="T951" s="16"/>
      <c r="U951" s="17">
        <f>IF(AND(COUNTA($A951:$L951)=0,$N951=""),"",IF($T951="Paid","PAID",IF($T951="Closed","CLOSED",IF($Z951="","",IF($Z951=6,"ESCALATED TO ROXANNE",IF(TODAY()&gt;$AB951,"OVERDUE",IF($AB951&lt;=WORKDAY(TODAY(),1,Holidays),"DUE TOMORROW",IF($Z951=4,"ESCALATED TO LOCAL OFFICE",IF($Z951=5,"ESCALATED TO CBE",IF($AA951=TODAY(),"EMAIL SENT","MONITORING"))))))))))</f>
        <v/>
      </c>
      <c r="V951" s="17">
        <f>IF($U951="",IF(AND(COUNTA($A951:$L951)&gt;0,$N951=""),"Awaiting Collection Email time stamp.",""),IF(OR($U951="PAID",$U951="CLOSED"),IF($U951="PAID","Account paid. Action completed.","Account closed. No further action required."),CHOOSE($Z951,"Collection Email","1st Email Follow-up","2nd Email Follow-up","Escalation to Local Office","Escalation to CBE","Escalation to Roxanne")&amp;" sent "&amp;TEXT($AA951,"dd-mmm")&amp;". "&amp;IF($Z951=6,"Final escalation completed.",IF($U951="OVERDUE","Next: "&amp;$AC951&amp;" was due "&amp;TEXT($AB951,"dd-mmm")&amp;" - "&amp;(NETWORKDAYS($AB951,TODAY(),Holidays)-1)&amp;" business day(s) late. Send now.",IF($U951="DUE TOMORROW","Next: "&amp;$AC951&amp;IF($AB951&lt;=TODAY()," is due TODAY ("," is due next business day (")&amp;TEXT($AB951,"dd-mmm")&amp;").","Next: "&amp;$AC951&amp;" due "&amp;TEXT($AB951,"dd-mmm")&amp;" ("&amp;(NETWORKDAYS(TODAY(),$AB951,Holidays)-1)&amp;" business day(s) left).")))))</f>
        <v/>
      </c>
      <c r="W951" s="17">
        <f>IF($Z951="","",CHOOSE($Z951,"Collection Email","1st Follow-up","2nd Follow-up","Local Office","CBE","Roxanne")&amp;IF($Z951=6," - Final"," - Day "&amp;MAX(0,NETWORKDAYS($AA951,TODAY(),Holidays)-1)&amp;" of "&amp;CHOOSE($Z951,3,3,2,2,3))&amp;" | Total Day "&amp;MAX(0,NETWORKDAYS($N951,TODAY(),Holidays)-1))</f>
        <v/>
      </c>
      <c r="X951" s="18"/>
      <c r="Y951" s="18"/>
      <c r="Z951" s="17">
        <f>IF($N951="","",COUNT($N951:$S951))</f>
        <v/>
      </c>
      <c r="AA951" s="19">
        <f>IF($Z951="","",INT(INDEX($N951:$S951,$Z951)))</f>
        <v/>
      </c>
      <c r="AB951" s="19">
        <f>IF(OR($Z951="",$Z951=6),"",WORKDAY($AA951,CHOOSE($Z951,3,3,2,2,3),Holidays))</f>
        <v/>
      </c>
      <c r="AC951" s="17">
        <f>IF(OR($Z951="",$Z951=6),"",CHOOSE($Z951,"1st Email Follow-up","2nd Email Follow-up","Escalate Local Office","Escalate to CBE","Escalate to Roxanne"))</f>
        <v/>
      </c>
    </row>
    <row r="952" spans="13:29">
      <c r="M952" s="14"/>
      <c r="T952" s="16"/>
      <c r="U952" s="17">
        <f>IF(AND(COUNTA($A952:$L952)=0,$N952=""),"",IF($T952="Paid","PAID",IF($T952="Closed","CLOSED",IF($Z952="","",IF($Z952=6,"ESCALATED TO ROXANNE",IF(TODAY()&gt;$AB952,"OVERDUE",IF($AB952&lt;=WORKDAY(TODAY(),1,Holidays),"DUE TOMORROW",IF($Z952=4,"ESCALATED TO LOCAL OFFICE",IF($Z952=5,"ESCALATED TO CBE",IF($AA952=TODAY(),"EMAIL SENT","MONITORING"))))))))))</f>
        <v/>
      </c>
      <c r="V952" s="17">
        <f>IF($U952="",IF(AND(COUNTA($A952:$L952)&gt;0,$N952=""),"Awaiting Collection Email time stamp.",""),IF(OR($U952="PAID",$U952="CLOSED"),IF($U952="PAID","Account paid. Action completed.","Account closed. No further action required."),CHOOSE($Z952,"Collection Email","1st Email Follow-up","2nd Email Follow-up","Escalation to Local Office","Escalation to CBE","Escalation to Roxanne")&amp;" sent "&amp;TEXT($AA952,"dd-mmm")&amp;". "&amp;IF($Z952=6,"Final escalation completed.",IF($U952="OVERDUE","Next: "&amp;$AC952&amp;" was due "&amp;TEXT($AB952,"dd-mmm")&amp;" - "&amp;(NETWORKDAYS($AB952,TODAY(),Holidays)-1)&amp;" business day(s) late. Send now.",IF($U952="DUE TOMORROW","Next: "&amp;$AC952&amp;IF($AB952&lt;=TODAY()," is due TODAY ("," is due next business day (")&amp;TEXT($AB952,"dd-mmm")&amp;").","Next: "&amp;$AC952&amp;" due "&amp;TEXT($AB952,"dd-mmm")&amp;" ("&amp;(NETWORKDAYS(TODAY(),$AB952,Holidays)-1)&amp;" business day(s) left).")))))</f>
        <v/>
      </c>
      <c r="W952" s="17">
        <f>IF($Z952="","",CHOOSE($Z952,"Collection Email","1st Follow-up","2nd Follow-up","Local Office","CBE","Roxanne")&amp;IF($Z952=6," - Final"," - Day "&amp;MAX(0,NETWORKDAYS($AA952,TODAY(),Holidays)-1)&amp;" of "&amp;CHOOSE($Z952,3,3,2,2,3))&amp;" | Total Day "&amp;MAX(0,NETWORKDAYS($N952,TODAY(),Holidays)-1))</f>
        <v/>
      </c>
      <c r="X952" s="18"/>
      <c r="Y952" s="18"/>
      <c r="Z952" s="17">
        <f>IF($N952="","",COUNT($N952:$S952))</f>
        <v/>
      </c>
      <c r="AA952" s="19">
        <f>IF($Z952="","",INT(INDEX($N952:$S952,$Z952)))</f>
        <v/>
      </c>
      <c r="AB952" s="19">
        <f>IF(OR($Z952="",$Z952=6),"",WORKDAY($AA952,CHOOSE($Z952,3,3,2,2,3),Holidays))</f>
        <v/>
      </c>
      <c r="AC952" s="17">
        <f>IF(OR($Z952="",$Z952=6),"",CHOOSE($Z952,"1st Email Follow-up","2nd Email Follow-up","Escalate Local Office","Escalate to CBE","Escalate to Roxanne"))</f>
        <v/>
      </c>
    </row>
    <row r="953" spans="13:29">
      <c r="M953" s="14"/>
      <c r="T953" s="16"/>
      <c r="U953" s="17">
        <f>IF(AND(COUNTA($A953:$L953)=0,$N953=""),"",IF($T953="Paid","PAID",IF($T953="Closed","CLOSED",IF($Z953="","",IF($Z953=6,"ESCALATED TO ROXANNE",IF(TODAY()&gt;$AB953,"OVERDUE",IF($AB953&lt;=WORKDAY(TODAY(),1,Holidays),"DUE TOMORROW",IF($Z953=4,"ESCALATED TO LOCAL OFFICE",IF($Z953=5,"ESCALATED TO CBE",IF($AA953=TODAY(),"EMAIL SENT","MONITORING"))))))))))</f>
        <v/>
      </c>
      <c r="V953" s="17">
        <f>IF($U953="",IF(AND(COUNTA($A953:$L953)&gt;0,$N953=""),"Awaiting Collection Email time stamp.",""),IF(OR($U953="PAID",$U953="CLOSED"),IF($U953="PAID","Account paid. Action completed.","Account closed. No further action required."),CHOOSE($Z953,"Collection Email","1st Email Follow-up","2nd Email Follow-up","Escalation to Local Office","Escalation to CBE","Escalation to Roxanne")&amp;" sent "&amp;TEXT($AA953,"dd-mmm")&amp;". "&amp;IF($Z953=6,"Final escalation completed.",IF($U953="OVERDUE","Next: "&amp;$AC953&amp;" was due "&amp;TEXT($AB953,"dd-mmm")&amp;" - "&amp;(NETWORKDAYS($AB953,TODAY(),Holidays)-1)&amp;" business day(s) late. Send now.",IF($U953="DUE TOMORROW","Next: "&amp;$AC953&amp;IF($AB953&lt;=TODAY()," is due TODAY ("," is due next business day (")&amp;TEXT($AB953,"dd-mmm")&amp;").","Next: "&amp;$AC953&amp;" due "&amp;TEXT($AB953,"dd-mmm")&amp;" ("&amp;(NETWORKDAYS(TODAY(),$AB953,Holidays)-1)&amp;" business day(s) left).")))))</f>
        <v/>
      </c>
      <c r="W953" s="17">
        <f>IF($Z953="","",CHOOSE($Z953,"Collection Email","1st Follow-up","2nd Follow-up","Local Office","CBE","Roxanne")&amp;IF($Z953=6," - Final"," - Day "&amp;MAX(0,NETWORKDAYS($AA953,TODAY(),Holidays)-1)&amp;" of "&amp;CHOOSE($Z953,3,3,2,2,3))&amp;" | Total Day "&amp;MAX(0,NETWORKDAYS($N953,TODAY(),Holidays)-1))</f>
        <v/>
      </c>
      <c r="X953" s="18"/>
      <c r="Y953" s="18"/>
      <c r="Z953" s="17">
        <f>IF($N953="","",COUNT($N953:$S953))</f>
        <v/>
      </c>
      <c r="AA953" s="19">
        <f>IF($Z953="","",INT(INDEX($N953:$S953,$Z953)))</f>
        <v/>
      </c>
      <c r="AB953" s="19">
        <f>IF(OR($Z953="",$Z953=6),"",WORKDAY($AA953,CHOOSE($Z953,3,3,2,2,3),Holidays))</f>
        <v/>
      </c>
      <c r="AC953" s="17">
        <f>IF(OR($Z953="",$Z953=6),"",CHOOSE($Z953,"1st Email Follow-up","2nd Email Follow-up","Escalate Local Office","Escalate to CBE","Escalate to Roxanne"))</f>
        <v/>
      </c>
    </row>
    <row r="954" spans="13:29">
      <c r="M954" s="14"/>
      <c r="T954" s="16"/>
      <c r="U954" s="17">
        <f>IF(AND(COUNTA($A954:$L954)=0,$N954=""),"",IF($T954="Paid","PAID",IF($T954="Closed","CLOSED",IF($Z954="","",IF($Z954=6,"ESCALATED TO ROXANNE",IF(TODAY()&gt;$AB954,"OVERDUE",IF($AB954&lt;=WORKDAY(TODAY(),1,Holidays),"DUE TOMORROW",IF($Z954=4,"ESCALATED TO LOCAL OFFICE",IF($Z954=5,"ESCALATED TO CBE",IF($AA954=TODAY(),"EMAIL SENT","MONITORING"))))))))))</f>
        <v/>
      </c>
      <c r="V954" s="17">
        <f>IF($U954="",IF(AND(COUNTA($A954:$L954)&gt;0,$N954=""),"Awaiting Collection Email time stamp.",""),IF(OR($U954="PAID",$U954="CLOSED"),IF($U954="PAID","Account paid. Action completed.","Account closed. No further action required."),CHOOSE($Z954,"Collection Email","1st Email Follow-up","2nd Email Follow-up","Escalation to Local Office","Escalation to CBE","Escalation to Roxanne")&amp;" sent "&amp;TEXT($AA954,"dd-mmm")&amp;". "&amp;IF($Z954=6,"Final escalation completed.",IF($U954="OVERDUE","Next: "&amp;$AC954&amp;" was due "&amp;TEXT($AB954,"dd-mmm")&amp;" - "&amp;(NETWORKDAYS($AB954,TODAY(),Holidays)-1)&amp;" business day(s) late. Send now.",IF($U954="DUE TOMORROW","Next: "&amp;$AC954&amp;IF($AB954&lt;=TODAY()," is due TODAY ("," is due next business day (")&amp;TEXT($AB954,"dd-mmm")&amp;").","Next: "&amp;$AC954&amp;" due "&amp;TEXT($AB954,"dd-mmm")&amp;" ("&amp;(NETWORKDAYS(TODAY(),$AB954,Holidays)-1)&amp;" business day(s) left).")))))</f>
        <v/>
      </c>
      <c r="W954" s="17">
        <f>IF($Z954="","",CHOOSE($Z954,"Collection Email","1st Follow-up","2nd Follow-up","Local Office","CBE","Roxanne")&amp;IF($Z954=6," - Final"," - Day "&amp;MAX(0,NETWORKDAYS($AA954,TODAY(),Holidays)-1)&amp;" of "&amp;CHOOSE($Z954,3,3,2,2,3))&amp;" | Total Day "&amp;MAX(0,NETWORKDAYS($N954,TODAY(),Holidays)-1))</f>
        <v/>
      </c>
      <c r="X954" s="18"/>
      <c r="Y954" s="18"/>
      <c r="Z954" s="17">
        <f>IF($N954="","",COUNT($N954:$S954))</f>
        <v/>
      </c>
      <c r="AA954" s="19">
        <f>IF($Z954="","",INT(INDEX($N954:$S954,$Z954)))</f>
        <v/>
      </c>
      <c r="AB954" s="19">
        <f>IF(OR($Z954="",$Z954=6),"",WORKDAY($AA954,CHOOSE($Z954,3,3,2,2,3),Holidays))</f>
        <v/>
      </c>
      <c r="AC954" s="17">
        <f>IF(OR($Z954="",$Z954=6),"",CHOOSE($Z954,"1st Email Follow-up","2nd Email Follow-up","Escalate Local Office","Escalate to CBE","Escalate to Roxanne"))</f>
        <v/>
      </c>
    </row>
    <row r="955" spans="13:29">
      <c r="M955" s="14"/>
      <c r="T955" s="16"/>
      <c r="U955" s="17">
        <f>IF(AND(COUNTA($A955:$L955)=0,$N955=""),"",IF($T955="Paid","PAID",IF($T955="Closed","CLOSED",IF($Z955="","",IF($Z955=6,"ESCALATED TO ROXANNE",IF(TODAY()&gt;$AB955,"OVERDUE",IF($AB955&lt;=WORKDAY(TODAY(),1,Holidays),"DUE TOMORROW",IF($Z955=4,"ESCALATED TO LOCAL OFFICE",IF($Z955=5,"ESCALATED TO CBE",IF($AA955=TODAY(),"EMAIL SENT","MONITORING"))))))))))</f>
        <v/>
      </c>
      <c r="V955" s="17">
        <f>IF($U955="",IF(AND(COUNTA($A955:$L955)&gt;0,$N955=""),"Awaiting Collection Email time stamp.",""),IF(OR($U955="PAID",$U955="CLOSED"),IF($U955="PAID","Account paid. Action completed.","Account closed. No further action required."),CHOOSE($Z955,"Collection Email","1st Email Follow-up","2nd Email Follow-up","Escalation to Local Office","Escalation to CBE","Escalation to Roxanne")&amp;" sent "&amp;TEXT($AA955,"dd-mmm")&amp;". "&amp;IF($Z955=6,"Final escalation completed.",IF($U955="OVERDUE","Next: "&amp;$AC955&amp;" was due "&amp;TEXT($AB955,"dd-mmm")&amp;" - "&amp;(NETWORKDAYS($AB955,TODAY(),Holidays)-1)&amp;" business day(s) late. Send now.",IF($U955="DUE TOMORROW","Next: "&amp;$AC955&amp;IF($AB955&lt;=TODAY()," is due TODAY ("," is due next business day (")&amp;TEXT($AB955,"dd-mmm")&amp;").","Next: "&amp;$AC955&amp;" due "&amp;TEXT($AB955,"dd-mmm")&amp;" ("&amp;(NETWORKDAYS(TODAY(),$AB955,Holidays)-1)&amp;" business day(s) left).")))))</f>
        <v/>
      </c>
      <c r="W955" s="17">
        <f>IF($Z955="","",CHOOSE($Z955,"Collection Email","1st Follow-up","2nd Follow-up","Local Office","CBE","Roxanne")&amp;IF($Z955=6," - Final"," - Day "&amp;MAX(0,NETWORKDAYS($AA955,TODAY(),Holidays)-1)&amp;" of "&amp;CHOOSE($Z955,3,3,2,2,3))&amp;" | Total Day "&amp;MAX(0,NETWORKDAYS($N955,TODAY(),Holidays)-1))</f>
        <v/>
      </c>
      <c r="X955" s="18"/>
      <c r="Y955" s="18"/>
      <c r="Z955" s="17">
        <f>IF($N955="","",COUNT($N955:$S955))</f>
        <v/>
      </c>
      <c r="AA955" s="19">
        <f>IF($Z955="","",INT(INDEX($N955:$S955,$Z955)))</f>
        <v/>
      </c>
      <c r="AB955" s="19">
        <f>IF(OR($Z955="",$Z955=6),"",WORKDAY($AA955,CHOOSE($Z955,3,3,2,2,3),Holidays))</f>
        <v/>
      </c>
      <c r="AC955" s="17">
        <f>IF(OR($Z955="",$Z955=6),"",CHOOSE($Z955,"1st Email Follow-up","2nd Email Follow-up","Escalate Local Office","Escalate to CBE","Escalate to Roxanne"))</f>
        <v/>
      </c>
    </row>
    <row r="956" spans="13:29">
      <c r="M956" s="14"/>
      <c r="T956" s="16"/>
      <c r="U956" s="17">
        <f>IF(AND(COUNTA($A956:$L956)=0,$N956=""),"",IF($T956="Paid","PAID",IF($T956="Closed","CLOSED",IF($Z956="","",IF($Z956=6,"ESCALATED TO ROXANNE",IF(TODAY()&gt;$AB956,"OVERDUE",IF($AB956&lt;=WORKDAY(TODAY(),1,Holidays),"DUE TOMORROW",IF($Z956=4,"ESCALATED TO LOCAL OFFICE",IF($Z956=5,"ESCALATED TO CBE",IF($AA956=TODAY(),"EMAIL SENT","MONITORING"))))))))))</f>
        <v/>
      </c>
      <c r="V956" s="17">
        <f>IF($U956="",IF(AND(COUNTA($A956:$L956)&gt;0,$N956=""),"Awaiting Collection Email time stamp.",""),IF(OR($U956="PAID",$U956="CLOSED"),IF($U956="PAID","Account paid. Action completed.","Account closed. No further action required."),CHOOSE($Z956,"Collection Email","1st Email Follow-up","2nd Email Follow-up","Escalation to Local Office","Escalation to CBE","Escalation to Roxanne")&amp;" sent "&amp;TEXT($AA956,"dd-mmm")&amp;". "&amp;IF($Z956=6,"Final escalation completed.",IF($U956="OVERDUE","Next: "&amp;$AC956&amp;" was due "&amp;TEXT($AB956,"dd-mmm")&amp;" - "&amp;(NETWORKDAYS($AB956,TODAY(),Holidays)-1)&amp;" business day(s) late. Send now.",IF($U956="DUE TOMORROW","Next: "&amp;$AC956&amp;IF($AB956&lt;=TODAY()," is due TODAY ("," is due next business day (")&amp;TEXT($AB956,"dd-mmm")&amp;").","Next: "&amp;$AC956&amp;" due "&amp;TEXT($AB956,"dd-mmm")&amp;" ("&amp;(NETWORKDAYS(TODAY(),$AB956,Holidays)-1)&amp;" business day(s) left).")))))</f>
        <v/>
      </c>
      <c r="W956" s="17">
        <f>IF($Z956="","",CHOOSE($Z956,"Collection Email","1st Follow-up","2nd Follow-up","Local Office","CBE","Roxanne")&amp;IF($Z956=6," - Final"," - Day "&amp;MAX(0,NETWORKDAYS($AA956,TODAY(),Holidays)-1)&amp;" of "&amp;CHOOSE($Z956,3,3,2,2,3))&amp;" | Total Day "&amp;MAX(0,NETWORKDAYS($N956,TODAY(),Holidays)-1))</f>
        <v/>
      </c>
      <c r="X956" s="18"/>
      <c r="Y956" s="18"/>
      <c r="Z956" s="17">
        <f>IF($N956="","",COUNT($N956:$S956))</f>
        <v/>
      </c>
      <c r="AA956" s="19">
        <f>IF($Z956="","",INT(INDEX($N956:$S956,$Z956)))</f>
        <v/>
      </c>
      <c r="AB956" s="19">
        <f>IF(OR($Z956="",$Z956=6),"",WORKDAY($AA956,CHOOSE($Z956,3,3,2,2,3),Holidays))</f>
        <v/>
      </c>
      <c r="AC956" s="17">
        <f>IF(OR($Z956="",$Z956=6),"",CHOOSE($Z956,"1st Email Follow-up","2nd Email Follow-up","Escalate Local Office","Escalate to CBE","Escalate to Roxanne"))</f>
        <v/>
      </c>
    </row>
    <row r="957" spans="13:29">
      <c r="M957" s="14"/>
      <c r="T957" s="16"/>
      <c r="U957" s="17">
        <f>IF(AND(COUNTA($A957:$L957)=0,$N957=""),"",IF($T957="Paid","PAID",IF($T957="Closed","CLOSED",IF($Z957="","",IF($Z957=6,"ESCALATED TO ROXANNE",IF(TODAY()&gt;$AB957,"OVERDUE",IF($AB957&lt;=WORKDAY(TODAY(),1,Holidays),"DUE TOMORROW",IF($Z957=4,"ESCALATED TO LOCAL OFFICE",IF($Z957=5,"ESCALATED TO CBE",IF($AA957=TODAY(),"EMAIL SENT","MONITORING"))))))))))</f>
        <v/>
      </c>
      <c r="V957" s="17">
        <f>IF($U957="",IF(AND(COUNTA($A957:$L957)&gt;0,$N957=""),"Awaiting Collection Email time stamp.",""),IF(OR($U957="PAID",$U957="CLOSED"),IF($U957="PAID","Account paid. Action completed.","Account closed. No further action required."),CHOOSE($Z957,"Collection Email","1st Email Follow-up","2nd Email Follow-up","Escalation to Local Office","Escalation to CBE","Escalation to Roxanne")&amp;" sent "&amp;TEXT($AA957,"dd-mmm")&amp;". "&amp;IF($Z957=6,"Final escalation completed.",IF($U957="OVERDUE","Next: "&amp;$AC957&amp;" was due "&amp;TEXT($AB957,"dd-mmm")&amp;" - "&amp;(NETWORKDAYS($AB957,TODAY(),Holidays)-1)&amp;" business day(s) late. Send now.",IF($U957="DUE TOMORROW","Next: "&amp;$AC957&amp;IF($AB957&lt;=TODAY()," is due TODAY ("," is due next business day (")&amp;TEXT($AB957,"dd-mmm")&amp;").","Next: "&amp;$AC957&amp;" due "&amp;TEXT($AB957,"dd-mmm")&amp;" ("&amp;(NETWORKDAYS(TODAY(),$AB957,Holidays)-1)&amp;" business day(s) left).")))))</f>
        <v/>
      </c>
      <c r="W957" s="17">
        <f>IF($Z957="","",CHOOSE($Z957,"Collection Email","1st Follow-up","2nd Follow-up","Local Office","CBE","Roxanne")&amp;IF($Z957=6," - Final"," - Day "&amp;MAX(0,NETWORKDAYS($AA957,TODAY(),Holidays)-1)&amp;" of "&amp;CHOOSE($Z957,3,3,2,2,3))&amp;" | Total Day "&amp;MAX(0,NETWORKDAYS($N957,TODAY(),Holidays)-1))</f>
        <v/>
      </c>
      <c r="X957" s="18"/>
      <c r="Y957" s="18"/>
      <c r="Z957" s="17">
        <f>IF($N957="","",COUNT($N957:$S957))</f>
        <v/>
      </c>
      <c r="AA957" s="19">
        <f>IF($Z957="","",INT(INDEX($N957:$S957,$Z957)))</f>
        <v/>
      </c>
      <c r="AB957" s="19">
        <f>IF(OR($Z957="",$Z957=6),"",WORKDAY($AA957,CHOOSE($Z957,3,3,2,2,3),Holidays))</f>
        <v/>
      </c>
      <c r="AC957" s="17">
        <f>IF(OR($Z957="",$Z957=6),"",CHOOSE($Z957,"1st Email Follow-up","2nd Email Follow-up","Escalate Local Office","Escalate to CBE","Escalate to Roxanne"))</f>
        <v/>
      </c>
    </row>
    <row r="958" spans="13:29">
      <c r="M958" s="14"/>
      <c r="T958" s="16"/>
      <c r="U958" s="17">
        <f>IF(AND(COUNTA($A958:$L958)=0,$N958=""),"",IF($T958="Paid","PAID",IF($T958="Closed","CLOSED",IF($Z958="","",IF($Z958=6,"ESCALATED TO ROXANNE",IF(TODAY()&gt;$AB958,"OVERDUE",IF($AB958&lt;=WORKDAY(TODAY(),1,Holidays),"DUE TOMORROW",IF($Z958=4,"ESCALATED TO LOCAL OFFICE",IF($Z958=5,"ESCALATED TO CBE",IF($AA958=TODAY(),"EMAIL SENT","MONITORING"))))))))))</f>
        <v/>
      </c>
      <c r="V958" s="17">
        <f>IF($U958="",IF(AND(COUNTA($A958:$L958)&gt;0,$N958=""),"Awaiting Collection Email time stamp.",""),IF(OR($U958="PAID",$U958="CLOSED"),IF($U958="PAID","Account paid. Action completed.","Account closed. No further action required."),CHOOSE($Z958,"Collection Email","1st Email Follow-up","2nd Email Follow-up","Escalation to Local Office","Escalation to CBE","Escalation to Roxanne")&amp;" sent "&amp;TEXT($AA958,"dd-mmm")&amp;". "&amp;IF($Z958=6,"Final escalation completed.",IF($U958="OVERDUE","Next: "&amp;$AC958&amp;" was due "&amp;TEXT($AB958,"dd-mmm")&amp;" - "&amp;(NETWORKDAYS($AB958,TODAY(),Holidays)-1)&amp;" business day(s) late. Send now.",IF($U958="DUE TOMORROW","Next: "&amp;$AC958&amp;IF($AB958&lt;=TODAY()," is due TODAY ("," is due next business day (")&amp;TEXT($AB958,"dd-mmm")&amp;").","Next: "&amp;$AC958&amp;" due "&amp;TEXT($AB958,"dd-mmm")&amp;" ("&amp;(NETWORKDAYS(TODAY(),$AB958,Holidays)-1)&amp;" business day(s) left).")))))</f>
        <v/>
      </c>
      <c r="W958" s="17">
        <f>IF($Z958="","",CHOOSE($Z958,"Collection Email","1st Follow-up","2nd Follow-up","Local Office","CBE","Roxanne")&amp;IF($Z958=6," - Final"," - Day "&amp;MAX(0,NETWORKDAYS($AA958,TODAY(),Holidays)-1)&amp;" of "&amp;CHOOSE($Z958,3,3,2,2,3))&amp;" | Total Day "&amp;MAX(0,NETWORKDAYS($N958,TODAY(),Holidays)-1))</f>
        <v/>
      </c>
      <c r="X958" s="18"/>
      <c r="Y958" s="18"/>
      <c r="Z958" s="17">
        <f>IF($N958="","",COUNT($N958:$S958))</f>
        <v/>
      </c>
      <c r="AA958" s="19">
        <f>IF($Z958="","",INT(INDEX($N958:$S958,$Z958)))</f>
        <v/>
      </c>
      <c r="AB958" s="19">
        <f>IF(OR($Z958="",$Z958=6),"",WORKDAY($AA958,CHOOSE($Z958,3,3,2,2,3),Holidays))</f>
        <v/>
      </c>
      <c r="AC958" s="17">
        <f>IF(OR($Z958="",$Z958=6),"",CHOOSE($Z958,"1st Email Follow-up","2nd Email Follow-up","Escalate Local Office","Escalate to CBE","Escalate to Roxanne"))</f>
        <v/>
      </c>
    </row>
    <row r="959" spans="13:29">
      <c r="M959" s="14"/>
      <c r="T959" s="16"/>
      <c r="U959" s="17">
        <f>IF(AND(COUNTA($A959:$L959)=0,$N959=""),"",IF($T959="Paid","PAID",IF($T959="Closed","CLOSED",IF($Z959="","",IF($Z959=6,"ESCALATED TO ROXANNE",IF(TODAY()&gt;$AB959,"OVERDUE",IF($AB959&lt;=WORKDAY(TODAY(),1,Holidays),"DUE TOMORROW",IF($Z959=4,"ESCALATED TO LOCAL OFFICE",IF($Z959=5,"ESCALATED TO CBE",IF($AA959=TODAY(),"EMAIL SENT","MONITORING"))))))))))</f>
        <v/>
      </c>
      <c r="V959" s="17">
        <f>IF($U959="",IF(AND(COUNTA($A959:$L959)&gt;0,$N959=""),"Awaiting Collection Email time stamp.",""),IF(OR($U959="PAID",$U959="CLOSED"),IF($U959="PAID","Account paid. Action completed.","Account closed. No further action required."),CHOOSE($Z959,"Collection Email","1st Email Follow-up","2nd Email Follow-up","Escalation to Local Office","Escalation to CBE","Escalation to Roxanne")&amp;" sent "&amp;TEXT($AA959,"dd-mmm")&amp;". "&amp;IF($Z959=6,"Final escalation completed.",IF($U959="OVERDUE","Next: "&amp;$AC959&amp;" was due "&amp;TEXT($AB959,"dd-mmm")&amp;" - "&amp;(NETWORKDAYS($AB959,TODAY(),Holidays)-1)&amp;" business day(s) late. Send now.",IF($U959="DUE TOMORROW","Next: "&amp;$AC959&amp;IF($AB959&lt;=TODAY()," is due TODAY ("," is due next business day (")&amp;TEXT($AB959,"dd-mmm")&amp;").","Next: "&amp;$AC959&amp;" due "&amp;TEXT($AB959,"dd-mmm")&amp;" ("&amp;(NETWORKDAYS(TODAY(),$AB959,Holidays)-1)&amp;" business day(s) left).")))))</f>
        <v/>
      </c>
      <c r="W959" s="17">
        <f>IF($Z959="","",CHOOSE($Z959,"Collection Email","1st Follow-up","2nd Follow-up","Local Office","CBE","Roxanne")&amp;IF($Z959=6," - Final"," - Day "&amp;MAX(0,NETWORKDAYS($AA959,TODAY(),Holidays)-1)&amp;" of "&amp;CHOOSE($Z959,3,3,2,2,3))&amp;" | Total Day "&amp;MAX(0,NETWORKDAYS($N959,TODAY(),Holidays)-1))</f>
        <v/>
      </c>
      <c r="X959" s="18"/>
      <c r="Y959" s="18"/>
      <c r="Z959" s="17">
        <f>IF($N959="","",COUNT($N959:$S959))</f>
        <v/>
      </c>
      <c r="AA959" s="19">
        <f>IF($Z959="","",INT(INDEX($N959:$S959,$Z959)))</f>
        <v/>
      </c>
      <c r="AB959" s="19">
        <f>IF(OR($Z959="",$Z959=6),"",WORKDAY($AA959,CHOOSE($Z959,3,3,2,2,3),Holidays))</f>
        <v/>
      </c>
      <c r="AC959" s="17">
        <f>IF(OR($Z959="",$Z959=6),"",CHOOSE($Z959,"1st Email Follow-up","2nd Email Follow-up","Escalate Local Office","Escalate to CBE","Escalate to Roxanne"))</f>
        <v/>
      </c>
    </row>
    <row r="960" spans="13:29">
      <c r="M960" s="14"/>
      <c r="T960" s="16"/>
      <c r="U960" s="17">
        <f>IF(AND(COUNTA($A960:$L960)=0,$N960=""),"",IF($T960="Paid","PAID",IF($T960="Closed","CLOSED",IF($Z960="","",IF($Z960=6,"ESCALATED TO ROXANNE",IF(TODAY()&gt;$AB960,"OVERDUE",IF($AB960&lt;=WORKDAY(TODAY(),1,Holidays),"DUE TOMORROW",IF($Z960=4,"ESCALATED TO LOCAL OFFICE",IF($Z960=5,"ESCALATED TO CBE",IF($AA960=TODAY(),"EMAIL SENT","MONITORING"))))))))))</f>
        <v/>
      </c>
      <c r="V960" s="17">
        <f>IF($U960="",IF(AND(COUNTA($A960:$L960)&gt;0,$N960=""),"Awaiting Collection Email time stamp.",""),IF(OR($U960="PAID",$U960="CLOSED"),IF($U960="PAID","Account paid. Action completed.","Account closed. No further action required."),CHOOSE($Z960,"Collection Email","1st Email Follow-up","2nd Email Follow-up","Escalation to Local Office","Escalation to CBE","Escalation to Roxanne")&amp;" sent "&amp;TEXT($AA960,"dd-mmm")&amp;". "&amp;IF($Z960=6,"Final escalation completed.",IF($U960="OVERDUE","Next: "&amp;$AC960&amp;" was due "&amp;TEXT($AB960,"dd-mmm")&amp;" - "&amp;(NETWORKDAYS($AB960,TODAY(),Holidays)-1)&amp;" business day(s) late. Send now.",IF($U960="DUE TOMORROW","Next: "&amp;$AC960&amp;IF($AB960&lt;=TODAY()," is due TODAY ("," is due next business day (")&amp;TEXT($AB960,"dd-mmm")&amp;").","Next: "&amp;$AC960&amp;" due "&amp;TEXT($AB960,"dd-mmm")&amp;" ("&amp;(NETWORKDAYS(TODAY(),$AB960,Holidays)-1)&amp;" business day(s) left).")))))</f>
        <v/>
      </c>
      <c r="W960" s="17">
        <f>IF($Z960="","",CHOOSE($Z960,"Collection Email","1st Follow-up","2nd Follow-up","Local Office","CBE","Roxanne")&amp;IF($Z960=6," - Final"," - Day "&amp;MAX(0,NETWORKDAYS($AA960,TODAY(),Holidays)-1)&amp;" of "&amp;CHOOSE($Z960,3,3,2,2,3))&amp;" | Total Day "&amp;MAX(0,NETWORKDAYS($N960,TODAY(),Holidays)-1))</f>
        <v/>
      </c>
      <c r="X960" s="18"/>
      <c r="Y960" s="18"/>
      <c r="Z960" s="17">
        <f>IF($N960="","",COUNT($N960:$S960))</f>
        <v/>
      </c>
      <c r="AA960" s="19">
        <f>IF($Z960="","",INT(INDEX($N960:$S960,$Z960)))</f>
        <v/>
      </c>
      <c r="AB960" s="19">
        <f>IF(OR($Z960="",$Z960=6),"",WORKDAY($AA960,CHOOSE($Z960,3,3,2,2,3),Holidays))</f>
        <v/>
      </c>
      <c r="AC960" s="17">
        <f>IF(OR($Z960="",$Z960=6),"",CHOOSE($Z960,"1st Email Follow-up","2nd Email Follow-up","Escalate Local Office","Escalate to CBE","Escalate to Roxanne"))</f>
        <v/>
      </c>
    </row>
    <row r="961" spans="13:29">
      <c r="M961" s="14"/>
      <c r="T961" s="16"/>
      <c r="U961" s="17">
        <f>IF(AND(COUNTA($A961:$L961)=0,$N961=""),"",IF($T961="Paid","PAID",IF($T961="Closed","CLOSED",IF($Z961="","",IF($Z961=6,"ESCALATED TO ROXANNE",IF(TODAY()&gt;$AB961,"OVERDUE",IF($AB961&lt;=WORKDAY(TODAY(),1,Holidays),"DUE TOMORROW",IF($Z961=4,"ESCALATED TO LOCAL OFFICE",IF($Z961=5,"ESCALATED TO CBE",IF($AA961=TODAY(),"EMAIL SENT","MONITORING"))))))))))</f>
        <v/>
      </c>
      <c r="V961" s="17">
        <f>IF($U961="",IF(AND(COUNTA($A961:$L961)&gt;0,$N961=""),"Awaiting Collection Email time stamp.",""),IF(OR($U961="PAID",$U961="CLOSED"),IF($U961="PAID","Account paid. Action completed.","Account closed. No further action required."),CHOOSE($Z961,"Collection Email","1st Email Follow-up","2nd Email Follow-up","Escalation to Local Office","Escalation to CBE","Escalation to Roxanne")&amp;" sent "&amp;TEXT($AA961,"dd-mmm")&amp;". "&amp;IF($Z961=6,"Final escalation completed.",IF($U961="OVERDUE","Next: "&amp;$AC961&amp;" was due "&amp;TEXT($AB961,"dd-mmm")&amp;" - "&amp;(NETWORKDAYS($AB961,TODAY(),Holidays)-1)&amp;" business day(s) late. Send now.",IF($U961="DUE TOMORROW","Next: "&amp;$AC961&amp;IF($AB961&lt;=TODAY()," is due TODAY ("," is due next business day (")&amp;TEXT($AB961,"dd-mmm")&amp;").","Next: "&amp;$AC961&amp;" due "&amp;TEXT($AB961,"dd-mmm")&amp;" ("&amp;(NETWORKDAYS(TODAY(),$AB961,Holidays)-1)&amp;" business day(s) left).")))))</f>
        <v/>
      </c>
      <c r="W961" s="17">
        <f>IF($Z961="","",CHOOSE($Z961,"Collection Email","1st Follow-up","2nd Follow-up","Local Office","CBE","Roxanne")&amp;IF($Z961=6," - Final"," - Day "&amp;MAX(0,NETWORKDAYS($AA961,TODAY(),Holidays)-1)&amp;" of "&amp;CHOOSE($Z961,3,3,2,2,3))&amp;" | Total Day "&amp;MAX(0,NETWORKDAYS($N961,TODAY(),Holidays)-1))</f>
        <v/>
      </c>
      <c r="X961" s="18"/>
      <c r="Y961" s="18"/>
      <c r="Z961" s="17">
        <f>IF($N961="","",COUNT($N961:$S961))</f>
        <v/>
      </c>
      <c r="AA961" s="19">
        <f>IF($Z961="","",INT(INDEX($N961:$S961,$Z961)))</f>
        <v/>
      </c>
      <c r="AB961" s="19">
        <f>IF(OR($Z961="",$Z961=6),"",WORKDAY($AA961,CHOOSE($Z961,3,3,2,2,3),Holidays))</f>
        <v/>
      </c>
      <c r="AC961" s="17">
        <f>IF(OR($Z961="",$Z961=6),"",CHOOSE($Z961,"1st Email Follow-up","2nd Email Follow-up","Escalate Local Office","Escalate to CBE","Escalate to Roxanne"))</f>
        <v/>
      </c>
    </row>
    <row r="962" spans="13:29">
      <c r="M962" s="14"/>
      <c r="T962" s="16"/>
      <c r="U962" s="17">
        <f>IF(AND(COUNTA($A962:$L962)=0,$N962=""),"",IF($T962="Paid","PAID",IF($T962="Closed","CLOSED",IF($Z962="","",IF($Z962=6,"ESCALATED TO ROXANNE",IF(TODAY()&gt;$AB962,"OVERDUE",IF($AB962&lt;=WORKDAY(TODAY(),1,Holidays),"DUE TOMORROW",IF($Z962=4,"ESCALATED TO LOCAL OFFICE",IF($Z962=5,"ESCALATED TO CBE",IF($AA962=TODAY(),"EMAIL SENT","MONITORING"))))))))))</f>
        <v/>
      </c>
      <c r="V962" s="17">
        <f>IF($U962="",IF(AND(COUNTA($A962:$L962)&gt;0,$N962=""),"Awaiting Collection Email time stamp.",""),IF(OR($U962="PAID",$U962="CLOSED"),IF($U962="PAID","Account paid. Action completed.","Account closed. No further action required."),CHOOSE($Z962,"Collection Email","1st Email Follow-up","2nd Email Follow-up","Escalation to Local Office","Escalation to CBE","Escalation to Roxanne")&amp;" sent "&amp;TEXT($AA962,"dd-mmm")&amp;". "&amp;IF($Z962=6,"Final escalation completed.",IF($U962="OVERDUE","Next: "&amp;$AC962&amp;" was due "&amp;TEXT($AB962,"dd-mmm")&amp;" - "&amp;(NETWORKDAYS($AB962,TODAY(),Holidays)-1)&amp;" business day(s) late. Send now.",IF($U962="DUE TOMORROW","Next: "&amp;$AC962&amp;IF($AB962&lt;=TODAY()," is due TODAY ("," is due next business day (")&amp;TEXT($AB962,"dd-mmm")&amp;").","Next: "&amp;$AC962&amp;" due "&amp;TEXT($AB962,"dd-mmm")&amp;" ("&amp;(NETWORKDAYS(TODAY(),$AB962,Holidays)-1)&amp;" business day(s) left).")))))</f>
        <v/>
      </c>
      <c r="W962" s="17">
        <f>IF($Z962="","",CHOOSE($Z962,"Collection Email","1st Follow-up","2nd Follow-up","Local Office","CBE","Roxanne")&amp;IF($Z962=6," - Final"," - Day "&amp;MAX(0,NETWORKDAYS($AA962,TODAY(),Holidays)-1)&amp;" of "&amp;CHOOSE($Z962,3,3,2,2,3))&amp;" | Total Day "&amp;MAX(0,NETWORKDAYS($N962,TODAY(),Holidays)-1))</f>
        <v/>
      </c>
      <c r="X962" s="18"/>
      <c r="Y962" s="18"/>
      <c r="Z962" s="17">
        <f>IF($N962="","",COUNT($N962:$S962))</f>
        <v/>
      </c>
      <c r="AA962" s="19">
        <f>IF($Z962="","",INT(INDEX($N962:$S962,$Z962)))</f>
        <v/>
      </c>
      <c r="AB962" s="19">
        <f>IF(OR($Z962="",$Z962=6),"",WORKDAY($AA962,CHOOSE($Z962,3,3,2,2,3),Holidays))</f>
        <v/>
      </c>
      <c r="AC962" s="17">
        <f>IF(OR($Z962="",$Z962=6),"",CHOOSE($Z962,"1st Email Follow-up","2nd Email Follow-up","Escalate Local Office","Escalate to CBE","Escalate to Roxanne"))</f>
        <v/>
      </c>
    </row>
    <row r="963" spans="13:29">
      <c r="M963" s="14"/>
      <c r="T963" s="16"/>
      <c r="U963" s="17">
        <f>IF(AND(COUNTA($A963:$L963)=0,$N963=""),"",IF($T963="Paid","PAID",IF($T963="Closed","CLOSED",IF($Z963="","",IF($Z963=6,"ESCALATED TO ROXANNE",IF(TODAY()&gt;$AB963,"OVERDUE",IF($AB963&lt;=WORKDAY(TODAY(),1,Holidays),"DUE TOMORROW",IF($Z963=4,"ESCALATED TO LOCAL OFFICE",IF($Z963=5,"ESCALATED TO CBE",IF($AA963=TODAY(),"EMAIL SENT","MONITORING"))))))))))</f>
        <v/>
      </c>
      <c r="V963" s="17">
        <f>IF($U963="",IF(AND(COUNTA($A963:$L963)&gt;0,$N963=""),"Awaiting Collection Email time stamp.",""),IF(OR($U963="PAID",$U963="CLOSED"),IF($U963="PAID","Account paid. Action completed.","Account closed. No further action required."),CHOOSE($Z963,"Collection Email","1st Email Follow-up","2nd Email Follow-up","Escalation to Local Office","Escalation to CBE","Escalation to Roxanne")&amp;" sent "&amp;TEXT($AA963,"dd-mmm")&amp;". "&amp;IF($Z963=6,"Final escalation completed.",IF($U963="OVERDUE","Next: "&amp;$AC963&amp;" was due "&amp;TEXT($AB963,"dd-mmm")&amp;" - "&amp;(NETWORKDAYS($AB963,TODAY(),Holidays)-1)&amp;" business day(s) late. Send now.",IF($U963="DUE TOMORROW","Next: "&amp;$AC963&amp;IF($AB963&lt;=TODAY()," is due TODAY ("," is due next business day (")&amp;TEXT($AB963,"dd-mmm")&amp;").","Next: "&amp;$AC963&amp;" due "&amp;TEXT($AB963,"dd-mmm")&amp;" ("&amp;(NETWORKDAYS(TODAY(),$AB963,Holidays)-1)&amp;" business day(s) left).")))))</f>
        <v/>
      </c>
      <c r="W963" s="17">
        <f>IF($Z963="","",CHOOSE($Z963,"Collection Email","1st Follow-up","2nd Follow-up","Local Office","CBE","Roxanne")&amp;IF($Z963=6," - Final"," - Day "&amp;MAX(0,NETWORKDAYS($AA963,TODAY(),Holidays)-1)&amp;" of "&amp;CHOOSE($Z963,3,3,2,2,3))&amp;" | Total Day "&amp;MAX(0,NETWORKDAYS($N963,TODAY(),Holidays)-1))</f>
        <v/>
      </c>
      <c r="X963" s="18"/>
      <c r="Y963" s="18"/>
      <c r="Z963" s="17">
        <f>IF($N963="","",COUNT($N963:$S963))</f>
        <v/>
      </c>
      <c r="AA963" s="19">
        <f>IF($Z963="","",INT(INDEX($N963:$S963,$Z963)))</f>
        <v/>
      </c>
      <c r="AB963" s="19">
        <f>IF(OR($Z963="",$Z963=6),"",WORKDAY($AA963,CHOOSE($Z963,3,3,2,2,3),Holidays))</f>
        <v/>
      </c>
      <c r="AC963" s="17">
        <f>IF(OR($Z963="",$Z963=6),"",CHOOSE($Z963,"1st Email Follow-up","2nd Email Follow-up","Escalate Local Office","Escalate to CBE","Escalate to Roxanne"))</f>
        <v/>
      </c>
    </row>
    <row r="964" spans="13:29">
      <c r="M964" s="14"/>
      <c r="T964" s="16"/>
      <c r="U964" s="17">
        <f>IF(AND(COUNTA($A964:$L964)=0,$N964=""),"",IF($T964="Paid","PAID",IF($T964="Closed","CLOSED",IF($Z964="","",IF($Z964=6,"ESCALATED TO ROXANNE",IF(TODAY()&gt;$AB964,"OVERDUE",IF($AB964&lt;=WORKDAY(TODAY(),1,Holidays),"DUE TOMORROW",IF($Z964=4,"ESCALATED TO LOCAL OFFICE",IF($Z964=5,"ESCALATED TO CBE",IF($AA964=TODAY(),"EMAIL SENT","MONITORING"))))))))))</f>
        <v/>
      </c>
      <c r="V964" s="17">
        <f>IF($U964="",IF(AND(COUNTA($A964:$L964)&gt;0,$N964=""),"Awaiting Collection Email time stamp.",""),IF(OR($U964="PAID",$U964="CLOSED"),IF($U964="PAID","Account paid. Action completed.","Account closed. No further action required."),CHOOSE($Z964,"Collection Email","1st Email Follow-up","2nd Email Follow-up","Escalation to Local Office","Escalation to CBE","Escalation to Roxanne")&amp;" sent "&amp;TEXT($AA964,"dd-mmm")&amp;". "&amp;IF($Z964=6,"Final escalation completed.",IF($U964="OVERDUE","Next: "&amp;$AC964&amp;" was due "&amp;TEXT($AB964,"dd-mmm")&amp;" - "&amp;(NETWORKDAYS($AB964,TODAY(),Holidays)-1)&amp;" business day(s) late. Send now.",IF($U964="DUE TOMORROW","Next: "&amp;$AC964&amp;IF($AB964&lt;=TODAY()," is due TODAY ("," is due next business day (")&amp;TEXT($AB964,"dd-mmm")&amp;").","Next: "&amp;$AC964&amp;" due "&amp;TEXT($AB964,"dd-mmm")&amp;" ("&amp;(NETWORKDAYS(TODAY(),$AB964,Holidays)-1)&amp;" business day(s) left).")))))</f>
        <v/>
      </c>
      <c r="W964" s="17">
        <f>IF($Z964="","",CHOOSE($Z964,"Collection Email","1st Follow-up","2nd Follow-up","Local Office","CBE","Roxanne")&amp;IF($Z964=6," - Final"," - Day "&amp;MAX(0,NETWORKDAYS($AA964,TODAY(),Holidays)-1)&amp;" of "&amp;CHOOSE($Z964,3,3,2,2,3))&amp;" | Total Day "&amp;MAX(0,NETWORKDAYS($N964,TODAY(),Holidays)-1))</f>
        <v/>
      </c>
      <c r="X964" s="18"/>
      <c r="Y964" s="18"/>
      <c r="Z964" s="17">
        <f>IF($N964="","",COUNT($N964:$S964))</f>
        <v/>
      </c>
      <c r="AA964" s="19">
        <f>IF($Z964="","",INT(INDEX($N964:$S964,$Z964)))</f>
        <v/>
      </c>
      <c r="AB964" s="19">
        <f>IF(OR($Z964="",$Z964=6),"",WORKDAY($AA964,CHOOSE($Z964,3,3,2,2,3),Holidays))</f>
        <v/>
      </c>
      <c r="AC964" s="17">
        <f>IF(OR($Z964="",$Z964=6),"",CHOOSE($Z964,"1st Email Follow-up","2nd Email Follow-up","Escalate Local Office","Escalate to CBE","Escalate to Roxanne"))</f>
        <v/>
      </c>
    </row>
    <row r="965" spans="13:29">
      <c r="M965" s="14"/>
      <c r="T965" s="16"/>
      <c r="U965" s="17">
        <f>IF(AND(COUNTA($A965:$L965)=0,$N965=""),"",IF($T965="Paid","PAID",IF($T965="Closed","CLOSED",IF($Z965="","",IF($Z965=6,"ESCALATED TO ROXANNE",IF(TODAY()&gt;$AB965,"OVERDUE",IF($AB965&lt;=WORKDAY(TODAY(),1,Holidays),"DUE TOMORROW",IF($Z965=4,"ESCALATED TO LOCAL OFFICE",IF($Z965=5,"ESCALATED TO CBE",IF($AA965=TODAY(),"EMAIL SENT","MONITORING"))))))))))</f>
        <v/>
      </c>
      <c r="V965" s="17">
        <f>IF($U965="",IF(AND(COUNTA($A965:$L965)&gt;0,$N965=""),"Awaiting Collection Email time stamp.",""),IF(OR($U965="PAID",$U965="CLOSED"),IF($U965="PAID","Account paid. Action completed.","Account closed. No further action required."),CHOOSE($Z965,"Collection Email","1st Email Follow-up","2nd Email Follow-up","Escalation to Local Office","Escalation to CBE","Escalation to Roxanne")&amp;" sent "&amp;TEXT($AA965,"dd-mmm")&amp;". "&amp;IF($Z965=6,"Final escalation completed.",IF($U965="OVERDUE","Next: "&amp;$AC965&amp;" was due "&amp;TEXT($AB965,"dd-mmm")&amp;" - "&amp;(NETWORKDAYS($AB965,TODAY(),Holidays)-1)&amp;" business day(s) late. Send now.",IF($U965="DUE TOMORROW","Next: "&amp;$AC965&amp;IF($AB965&lt;=TODAY()," is due TODAY ("," is due next business day (")&amp;TEXT($AB965,"dd-mmm")&amp;").","Next: "&amp;$AC965&amp;" due "&amp;TEXT($AB965,"dd-mmm")&amp;" ("&amp;(NETWORKDAYS(TODAY(),$AB965,Holidays)-1)&amp;" business day(s) left).")))))</f>
        <v/>
      </c>
      <c r="W965" s="17">
        <f>IF($Z965="","",CHOOSE($Z965,"Collection Email","1st Follow-up","2nd Follow-up","Local Office","CBE","Roxanne")&amp;IF($Z965=6," - Final"," - Day "&amp;MAX(0,NETWORKDAYS($AA965,TODAY(),Holidays)-1)&amp;" of "&amp;CHOOSE($Z965,3,3,2,2,3))&amp;" | Total Day "&amp;MAX(0,NETWORKDAYS($N965,TODAY(),Holidays)-1))</f>
        <v/>
      </c>
      <c r="X965" s="18"/>
      <c r="Y965" s="18"/>
      <c r="Z965" s="17">
        <f>IF($N965="","",COUNT($N965:$S965))</f>
        <v/>
      </c>
      <c r="AA965" s="19">
        <f>IF($Z965="","",INT(INDEX($N965:$S965,$Z965)))</f>
        <v/>
      </c>
      <c r="AB965" s="19">
        <f>IF(OR($Z965="",$Z965=6),"",WORKDAY($AA965,CHOOSE($Z965,3,3,2,2,3),Holidays))</f>
        <v/>
      </c>
      <c r="AC965" s="17">
        <f>IF(OR($Z965="",$Z965=6),"",CHOOSE($Z965,"1st Email Follow-up","2nd Email Follow-up","Escalate Local Office","Escalate to CBE","Escalate to Roxanne"))</f>
        <v/>
      </c>
    </row>
    <row r="966" spans="13:29">
      <c r="M966" s="14"/>
      <c r="T966" s="16"/>
      <c r="U966" s="17">
        <f>IF(AND(COUNTA($A966:$L966)=0,$N966=""),"",IF($T966="Paid","PAID",IF($T966="Closed","CLOSED",IF($Z966="","",IF($Z966=6,"ESCALATED TO ROXANNE",IF(TODAY()&gt;$AB966,"OVERDUE",IF($AB966&lt;=WORKDAY(TODAY(),1,Holidays),"DUE TOMORROW",IF($Z966=4,"ESCALATED TO LOCAL OFFICE",IF($Z966=5,"ESCALATED TO CBE",IF($AA966=TODAY(),"EMAIL SENT","MONITORING"))))))))))</f>
        <v/>
      </c>
      <c r="V966" s="17">
        <f>IF($U966="",IF(AND(COUNTA($A966:$L966)&gt;0,$N966=""),"Awaiting Collection Email time stamp.",""),IF(OR($U966="PAID",$U966="CLOSED"),IF($U966="PAID","Account paid. Action completed.","Account closed. No further action required."),CHOOSE($Z966,"Collection Email","1st Email Follow-up","2nd Email Follow-up","Escalation to Local Office","Escalation to CBE","Escalation to Roxanne")&amp;" sent "&amp;TEXT($AA966,"dd-mmm")&amp;". "&amp;IF($Z966=6,"Final escalation completed.",IF($U966="OVERDUE","Next: "&amp;$AC966&amp;" was due "&amp;TEXT($AB966,"dd-mmm")&amp;" - "&amp;(NETWORKDAYS($AB966,TODAY(),Holidays)-1)&amp;" business day(s) late. Send now.",IF($U966="DUE TOMORROW","Next: "&amp;$AC966&amp;IF($AB966&lt;=TODAY()," is due TODAY ("," is due next business day (")&amp;TEXT($AB966,"dd-mmm")&amp;").","Next: "&amp;$AC966&amp;" due "&amp;TEXT($AB966,"dd-mmm")&amp;" ("&amp;(NETWORKDAYS(TODAY(),$AB966,Holidays)-1)&amp;" business day(s) left).")))))</f>
        <v/>
      </c>
      <c r="W966" s="17">
        <f>IF($Z966="","",CHOOSE($Z966,"Collection Email","1st Follow-up","2nd Follow-up","Local Office","CBE","Roxanne")&amp;IF($Z966=6," - Final"," - Day "&amp;MAX(0,NETWORKDAYS($AA966,TODAY(),Holidays)-1)&amp;" of "&amp;CHOOSE($Z966,3,3,2,2,3))&amp;" | Total Day "&amp;MAX(0,NETWORKDAYS($N966,TODAY(),Holidays)-1))</f>
        <v/>
      </c>
      <c r="X966" s="18"/>
      <c r="Y966" s="18"/>
      <c r="Z966" s="17">
        <f>IF($N966="","",COUNT($N966:$S966))</f>
        <v/>
      </c>
      <c r="AA966" s="19">
        <f>IF($Z966="","",INT(INDEX($N966:$S966,$Z966)))</f>
        <v/>
      </c>
      <c r="AB966" s="19">
        <f>IF(OR($Z966="",$Z966=6),"",WORKDAY($AA966,CHOOSE($Z966,3,3,2,2,3),Holidays))</f>
        <v/>
      </c>
      <c r="AC966" s="17">
        <f>IF(OR($Z966="",$Z966=6),"",CHOOSE($Z966,"1st Email Follow-up","2nd Email Follow-up","Escalate Local Office","Escalate to CBE","Escalate to Roxanne"))</f>
        <v/>
      </c>
    </row>
    <row r="967" spans="13:29">
      <c r="M967" s="14"/>
      <c r="T967" s="16"/>
      <c r="U967" s="17">
        <f>IF(AND(COUNTA($A967:$L967)=0,$N967=""),"",IF($T967="Paid","PAID",IF($T967="Closed","CLOSED",IF($Z967="","",IF($Z967=6,"ESCALATED TO ROXANNE",IF(TODAY()&gt;$AB967,"OVERDUE",IF($AB967&lt;=WORKDAY(TODAY(),1,Holidays),"DUE TOMORROW",IF($Z967=4,"ESCALATED TO LOCAL OFFICE",IF($Z967=5,"ESCALATED TO CBE",IF($AA967=TODAY(),"EMAIL SENT","MONITORING"))))))))))</f>
        <v/>
      </c>
      <c r="V967" s="17">
        <f>IF($U967="",IF(AND(COUNTA($A967:$L967)&gt;0,$N967=""),"Awaiting Collection Email time stamp.",""),IF(OR($U967="PAID",$U967="CLOSED"),IF($U967="PAID","Account paid. Action completed.","Account closed. No further action required."),CHOOSE($Z967,"Collection Email","1st Email Follow-up","2nd Email Follow-up","Escalation to Local Office","Escalation to CBE","Escalation to Roxanne")&amp;" sent "&amp;TEXT($AA967,"dd-mmm")&amp;". "&amp;IF($Z967=6,"Final escalation completed.",IF($U967="OVERDUE","Next: "&amp;$AC967&amp;" was due "&amp;TEXT($AB967,"dd-mmm")&amp;" - "&amp;(NETWORKDAYS($AB967,TODAY(),Holidays)-1)&amp;" business day(s) late. Send now.",IF($U967="DUE TOMORROW","Next: "&amp;$AC967&amp;IF($AB967&lt;=TODAY()," is due TODAY ("," is due next business day (")&amp;TEXT($AB967,"dd-mmm")&amp;").","Next: "&amp;$AC967&amp;" due "&amp;TEXT($AB967,"dd-mmm")&amp;" ("&amp;(NETWORKDAYS(TODAY(),$AB967,Holidays)-1)&amp;" business day(s) left).")))))</f>
        <v/>
      </c>
      <c r="W967" s="17">
        <f>IF($Z967="","",CHOOSE($Z967,"Collection Email","1st Follow-up","2nd Follow-up","Local Office","CBE","Roxanne")&amp;IF($Z967=6," - Final"," - Day "&amp;MAX(0,NETWORKDAYS($AA967,TODAY(),Holidays)-1)&amp;" of "&amp;CHOOSE($Z967,3,3,2,2,3))&amp;" | Total Day "&amp;MAX(0,NETWORKDAYS($N967,TODAY(),Holidays)-1))</f>
        <v/>
      </c>
      <c r="X967" s="18"/>
      <c r="Y967" s="18"/>
      <c r="Z967" s="17">
        <f>IF($N967="","",COUNT($N967:$S967))</f>
        <v/>
      </c>
      <c r="AA967" s="19">
        <f>IF($Z967="","",INT(INDEX($N967:$S967,$Z967)))</f>
        <v/>
      </c>
      <c r="AB967" s="19">
        <f>IF(OR($Z967="",$Z967=6),"",WORKDAY($AA967,CHOOSE($Z967,3,3,2,2,3),Holidays))</f>
        <v/>
      </c>
      <c r="AC967" s="17">
        <f>IF(OR($Z967="",$Z967=6),"",CHOOSE($Z967,"1st Email Follow-up","2nd Email Follow-up","Escalate Local Office","Escalate to CBE","Escalate to Roxanne"))</f>
        <v/>
      </c>
    </row>
    <row r="968" spans="13:29">
      <c r="M968" s="14"/>
      <c r="T968" s="16"/>
      <c r="U968" s="17">
        <f>IF(AND(COUNTA($A968:$L968)=0,$N968=""),"",IF($T968="Paid","PAID",IF($T968="Closed","CLOSED",IF($Z968="","",IF($Z968=6,"ESCALATED TO ROXANNE",IF(TODAY()&gt;$AB968,"OVERDUE",IF($AB968&lt;=WORKDAY(TODAY(),1,Holidays),"DUE TOMORROW",IF($Z968=4,"ESCALATED TO LOCAL OFFICE",IF($Z968=5,"ESCALATED TO CBE",IF($AA968=TODAY(),"EMAIL SENT","MONITORING"))))))))))</f>
        <v/>
      </c>
      <c r="V968" s="17">
        <f>IF($U968="",IF(AND(COUNTA($A968:$L968)&gt;0,$N968=""),"Awaiting Collection Email time stamp.",""),IF(OR($U968="PAID",$U968="CLOSED"),IF($U968="PAID","Account paid. Action completed.","Account closed. No further action required."),CHOOSE($Z968,"Collection Email","1st Email Follow-up","2nd Email Follow-up","Escalation to Local Office","Escalation to CBE","Escalation to Roxanne")&amp;" sent "&amp;TEXT($AA968,"dd-mmm")&amp;". "&amp;IF($Z968=6,"Final escalation completed.",IF($U968="OVERDUE","Next: "&amp;$AC968&amp;" was due "&amp;TEXT($AB968,"dd-mmm")&amp;" - "&amp;(NETWORKDAYS($AB968,TODAY(),Holidays)-1)&amp;" business day(s) late. Send now.",IF($U968="DUE TOMORROW","Next: "&amp;$AC968&amp;IF($AB968&lt;=TODAY()," is due TODAY ("," is due next business day (")&amp;TEXT($AB968,"dd-mmm")&amp;").","Next: "&amp;$AC968&amp;" due "&amp;TEXT($AB968,"dd-mmm")&amp;" ("&amp;(NETWORKDAYS(TODAY(),$AB968,Holidays)-1)&amp;" business day(s) left).")))))</f>
        <v/>
      </c>
      <c r="W968" s="17">
        <f>IF($Z968="","",CHOOSE($Z968,"Collection Email","1st Follow-up","2nd Follow-up","Local Office","CBE","Roxanne")&amp;IF($Z968=6," - Final"," - Day "&amp;MAX(0,NETWORKDAYS($AA968,TODAY(),Holidays)-1)&amp;" of "&amp;CHOOSE($Z968,3,3,2,2,3))&amp;" | Total Day "&amp;MAX(0,NETWORKDAYS($N968,TODAY(),Holidays)-1))</f>
        <v/>
      </c>
      <c r="X968" s="18"/>
      <c r="Y968" s="18"/>
      <c r="Z968" s="17">
        <f>IF($N968="","",COUNT($N968:$S968))</f>
        <v/>
      </c>
      <c r="AA968" s="19">
        <f>IF($Z968="","",INT(INDEX($N968:$S968,$Z968)))</f>
        <v/>
      </c>
      <c r="AB968" s="19">
        <f>IF(OR($Z968="",$Z968=6),"",WORKDAY($AA968,CHOOSE($Z968,3,3,2,2,3),Holidays))</f>
        <v/>
      </c>
      <c r="AC968" s="17">
        <f>IF(OR($Z968="",$Z968=6),"",CHOOSE($Z968,"1st Email Follow-up","2nd Email Follow-up","Escalate Local Office","Escalate to CBE","Escalate to Roxanne"))</f>
        <v/>
      </c>
    </row>
    <row r="969" spans="13:29">
      <c r="M969" s="14"/>
      <c r="T969" s="16"/>
      <c r="U969" s="17">
        <f>IF(AND(COUNTA($A969:$L969)=0,$N969=""),"",IF($T969="Paid","PAID",IF($T969="Closed","CLOSED",IF($Z969="","",IF($Z969=6,"ESCALATED TO ROXANNE",IF(TODAY()&gt;$AB969,"OVERDUE",IF($AB969&lt;=WORKDAY(TODAY(),1,Holidays),"DUE TOMORROW",IF($Z969=4,"ESCALATED TO LOCAL OFFICE",IF($Z969=5,"ESCALATED TO CBE",IF($AA969=TODAY(),"EMAIL SENT","MONITORING"))))))))))</f>
        <v/>
      </c>
      <c r="V969" s="17">
        <f>IF($U969="",IF(AND(COUNTA($A969:$L969)&gt;0,$N969=""),"Awaiting Collection Email time stamp.",""),IF(OR($U969="PAID",$U969="CLOSED"),IF($U969="PAID","Account paid. Action completed.","Account closed. No further action required."),CHOOSE($Z969,"Collection Email","1st Email Follow-up","2nd Email Follow-up","Escalation to Local Office","Escalation to CBE","Escalation to Roxanne")&amp;" sent "&amp;TEXT($AA969,"dd-mmm")&amp;". "&amp;IF($Z969=6,"Final escalation completed.",IF($U969="OVERDUE","Next: "&amp;$AC969&amp;" was due "&amp;TEXT($AB969,"dd-mmm")&amp;" - "&amp;(NETWORKDAYS($AB969,TODAY(),Holidays)-1)&amp;" business day(s) late. Send now.",IF($U969="DUE TOMORROW","Next: "&amp;$AC969&amp;IF($AB969&lt;=TODAY()," is due TODAY ("," is due next business day (")&amp;TEXT($AB969,"dd-mmm")&amp;").","Next: "&amp;$AC969&amp;" due "&amp;TEXT($AB969,"dd-mmm")&amp;" ("&amp;(NETWORKDAYS(TODAY(),$AB969,Holidays)-1)&amp;" business day(s) left).")))))</f>
        <v/>
      </c>
      <c r="W969" s="17">
        <f>IF($Z969="","",CHOOSE($Z969,"Collection Email","1st Follow-up","2nd Follow-up","Local Office","CBE","Roxanne")&amp;IF($Z969=6," - Final"," - Day "&amp;MAX(0,NETWORKDAYS($AA969,TODAY(),Holidays)-1)&amp;" of "&amp;CHOOSE($Z969,3,3,2,2,3))&amp;" | Total Day "&amp;MAX(0,NETWORKDAYS($N969,TODAY(),Holidays)-1))</f>
        <v/>
      </c>
      <c r="X969" s="18"/>
      <c r="Y969" s="18"/>
      <c r="Z969" s="17">
        <f>IF($N969="","",COUNT($N969:$S969))</f>
        <v/>
      </c>
      <c r="AA969" s="19">
        <f>IF($Z969="","",INT(INDEX($N969:$S969,$Z969)))</f>
        <v/>
      </c>
      <c r="AB969" s="19">
        <f>IF(OR($Z969="",$Z969=6),"",WORKDAY($AA969,CHOOSE($Z969,3,3,2,2,3),Holidays))</f>
        <v/>
      </c>
      <c r="AC969" s="17">
        <f>IF(OR($Z969="",$Z969=6),"",CHOOSE($Z969,"1st Email Follow-up","2nd Email Follow-up","Escalate Local Office","Escalate to CBE","Escalate to Roxanne"))</f>
        <v/>
      </c>
    </row>
    <row r="970" spans="13:29">
      <c r="M970" s="14"/>
      <c r="T970" s="16"/>
      <c r="U970" s="17">
        <f>IF(AND(COUNTA($A970:$L970)=0,$N970=""),"",IF($T970="Paid","PAID",IF($T970="Closed","CLOSED",IF($Z970="","",IF($Z970=6,"ESCALATED TO ROXANNE",IF(TODAY()&gt;$AB970,"OVERDUE",IF($AB970&lt;=WORKDAY(TODAY(),1,Holidays),"DUE TOMORROW",IF($Z970=4,"ESCALATED TO LOCAL OFFICE",IF($Z970=5,"ESCALATED TO CBE",IF($AA970=TODAY(),"EMAIL SENT","MONITORING"))))))))))</f>
        <v/>
      </c>
      <c r="V970" s="17">
        <f>IF($U970="",IF(AND(COUNTA($A970:$L970)&gt;0,$N970=""),"Awaiting Collection Email time stamp.",""),IF(OR($U970="PAID",$U970="CLOSED"),IF($U970="PAID","Account paid. Action completed.","Account closed. No further action required."),CHOOSE($Z970,"Collection Email","1st Email Follow-up","2nd Email Follow-up","Escalation to Local Office","Escalation to CBE","Escalation to Roxanne")&amp;" sent "&amp;TEXT($AA970,"dd-mmm")&amp;". "&amp;IF($Z970=6,"Final escalation completed.",IF($U970="OVERDUE","Next: "&amp;$AC970&amp;" was due "&amp;TEXT($AB970,"dd-mmm")&amp;" - "&amp;(NETWORKDAYS($AB970,TODAY(),Holidays)-1)&amp;" business day(s) late. Send now.",IF($U970="DUE TOMORROW","Next: "&amp;$AC970&amp;IF($AB970&lt;=TODAY()," is due TODAY ("," is due next business day (")&amp;TEXT($AB970,"dd-mmm")&amp;").","Next: "&amp;$AC970&amp;" due "&amp;TEXT($AB970,"dd-mmm")&amp;" ("&amp;(NETWORKDAYS(TODAY(),$AB970,Holidays)-1)&amp;" business day(s) left).")))))</f>
        <v/>
      </c>
      <c r="W970" s="17">
        <f>IF($Z970="","",CHOOSE($Z970,"Collection Email","1st Follow-up","2nd Follow-up","Local Office","CBE","Roxanne")&amp;IF($Z970=6," - Final"," - Day "&amp;MAX(0,NETWORKDAYS($AA970,TODAY(),Holidays)-1)&amp;" of "&amp;CHOOSE($Z970,3,3,2,2,3))&amp;" | Total Day "&amp;MAX(0,NETWORKDAYS($N970,TODAY(),Holidays)-1))</f>
        <v/>
      </c>
      <c r="X970" s="18"/>
      <c r="Y970" s="18"/>
      <c r="Z970" s="17">
        <f>IF($N970="","",COUNT($N970:$S970))</f>
        <v/>
      </c>
      <c r="AA970" s="19">
        <f>IF($Z970="","",INT(INDEX($N970:$S970,$Z970)))</f>
        <v/>
      </c>
      <c r="AB970" s="19">
        <f>IF(OR($Z970="",$Z970=6),"",WORKDAY($AA970,CHOOSE($Z970,3,3,2,2,3),Holidays))</f>
        <v/>
      </c>
      <c r="AC970" s="17">
        <f>IF(OR($Z970="",$Z970=6),"",CHOOSE($Z970,"1st Email Follow-up","2nd Email Follow-up","Escalate Local Office","Escalate to CBE","Escalate to Roxanne"))</f>
        <v/>
      </c>
    </row>
    <row r="971" spans="13:29">
      <c r="M971" s="14"/>
      <c r="T971" s="16"/>
      <c r="U971" s="17">
        <f>IF(AND(COUNTA($A971:$L971)=0,$N971=""),"",IF($T971="Paid","PAID",IF($T971="Closed","CLOSED",IF($Z971="","",IF($Z971=6,"ESCALATED TO ROXANNE",IF(TODAY()&gt;$AB971,"OVERDUE",IF($AB971&lt;=WORKDAY(TODAY(),1,Holidays),"DUE TOMORROW",IF($Z971=4,"ESCALATED TO LOCAL OFFICE",IF($Z971=5,"ESCALATED TO CBE",IF($AA971=TODAY(),"EMAIL SENT","MONITORING"))))))))))</f>
        <v/>
      </c>
      <c r="V971" s="17">
        <f>IF($U971="",IF(AND(COUNTA($A971:$L971)&gt;0,$N971=""),"Awaiting Collection Email time stamp.",""),IF(OR($U971="PAID",$U971="CLOSED"),IF($U971="PAID","Account paid. Action completed.","Account closed. No further action required."),CHOOSE($Z971,"Collection Email","1st Email Follow-up","2nd Email Follow-up","Escalation to Local Office","Escalation to CBE","Escalation to Roxanne")&amp;" sent "&amp;TEXT($AA971,"dd-mmm")&amp;". "&amp;IF($Z971=6,"Final escalation completed.",IF($U971="OVERDUE","Next: "&amp;$AC971&amp;" was due "&amp;TEXT($AB971,"dd-mmm")&amp;" - "&amp;(NETWORKDAYS($AB971,TODAY(),Holidays)-1)&amp;" business day(s) late. Send now.",IF($U971="DUE TOMORROW","Next: "&amp;$AC971&amp;IF($AB971&lt;=TODAY()," is due TODAY ("," is due next business day (")&amp;TEXT($AB971,"dd-mmm")&amp;").","Next: "&amp;$AC971&amp;" due "&amp;TEXT($AB971,"dd-mmm")&amp;" ("&amp;(NETWORKDAYS(TODAY(),$AB971,Holidays)-1)&amp;" business day(s) left).")))))</f>
        <v/>
      </c>
      <c r="W971" s="17">
        <f>IF($Z971="","",CHOOSE($Z971,"Collection Email","1st Follow-up","2nd Follow-up","Local Office","CBE","Roxanne")&amp;IF($Z971=6," - Final"," - Day "&amp;MAX(0,NETWORKDAYS($AA971,TODAY(),Holidays)-1)&amp;" of "&amp;CHOOSE($Z971,3,3,2,2,3))&amp;" | Total Day "&amp;MAX(0,NETWORKDAYS($N971,TODAY(),Holidays)-1))</f>
        <v/>
      </c>
      <c r="X971" s="18"/>
      <c r="Y971" s="18"/>
      <c r="Z971" s="17">
        <f>IF($N971="","",COUNT($N971:$S971))</f>
        <v/>
      </c>
      <c r="AA971" s="19">
        <f>IF($Z971="","",INT(INDEX($N971:$S971,$Z971)))</f>
        <v/>
      </c>
      <c r="AB971" s="19">
        <f>IF(OR($Z971="",$Z971=6),"",WORKDAY($AA971,CHOOSE($Z971,3,3,2,2,3),Holidays))</f>
        <v/>
      </c>
      <c r="AC971" s="17">
        <f>IF(OR($Z971="",$Z971=6),"",CHOOSE($Z971,"1st Email Follow-up","2nd Email Follow-up","Escalate Local Office","Escalate to CBE","Escalate to Roxanne"))</f>
        <v/>
      </c>
    </row>
    <row r="972" spans="13:29">
      <c r="M972" s="14"/>
      <c r="T972" s="16"/>
      <c r="U972" s="17">
        <f>IF(AND(COUNTA($A972:$L972)=0,$N972=""),"",IF($T972="Paid","PAID",IF($T972="Closed","CLOSED",IF($Z972="","",IF($Z972=6,"ESCALATED TO ROXANNE",IF(TODAY()&gt;$AB972,"OVERDUE",IF($AB972&lt;=WORKDAY(TODAY(),1,Holidays),"DUE TOMORROW",IF($Z972=4,"ESCALATED TO LOCAL OFFICE",IF($Z972=5,"ESCALATED TO CBE",IF($AA972=TODAY(),"EMAIL SENT","MONITORING"))))))))))</f>
        <v/>
      </c>
      <c r="V972" s="17">
        <f>IF($U972="",IF(AND(COUNTA($A972:$L972)&gt;0,$N972=""),"Awaiting Collection Email time stamp.",""),IF(OR($U972="PAID",$U972="CLOSED"),IF($U972="PAID","Account paid. Action completed.","Account closed. No further action required."),CHOOSE($Z972,"Collection Email","1st Email Follow-up","2nd Email Follow-up","Escalation to Local Office","Escalation to CBE","Escalation to Roxanne")&amp;" sent "&amp;TEXT($AA972,"dd-mmm")&amp;". "&amp;IF($Z972=6,"Final escalation completed.",IF($U972="OVERDUE","Next: "&amp;$AC972&amp;" was due "&amp;TEXT($AB972,"dd-mmm")&amp;" - "&amp;(NETWORKDAYS($AB972,TODAY(),Holidays)-1)&amp;" business day(s) late. Send now.",IF($U972="DUE TOMORROW","Next: "&amp;$AC972&amp;IF($AB972&lt;=TODAY()," is due TODAY ("," is due next business day (")&amp;TEXT($AB972,"dd-mmm")&amp;").","Next: "&amp;$AC972&amp;" due "&amp;TEXT($AB972,"dd-mmm")&amp;" ("&amp;(NETWORKDAYS(TODAY(),$AB972,Holidays)-1)&amp;" business day(s) left).")))))</f>
        <v/>
      </c>
      <c r="W972" s="17">
        <f>IF($Z972="","",CHOOSE($Z972,"Collection Email","1st Follow-up","2nd Follow-up","Local Office","CBE","Roxanne")&amp;IF($Z972=6," - Final"," - Day "&amp;MAX(0,NETWORKDAYS($AA972,TODAY(),Holidays)-1)&amp;" of "&amp;CHOOSE($Z972,3,3,2,2,3))&amp;" | Total Day "&amp;MAX(0,NETWORKDAYS($N972,TODAY(),Holidays)-1))</f>
        <v/>
      </c>
      <c r="X972" s="18"/>
      <c r="Y972" s="18"/>
      <c r="Z972" s="17">
        <f>IF($N972="","",COUNT($N972:$S972))</f>
        <v/>
      </c>
      <c r="AA972" s="19">
        <f>IF($Z972="","",INT(INDEX($N972:$S972,$Z972)))</f>
        <v/>
      </c>
      <c r="AB972" s="19">
        <f>IF(OR($Z972="",$Z972=6),"",WORKDAY($AA972,CHOOSE($Z972,3,3,2,2,3),Holidays))</f>
        <v/>
      </c>
      <c r="AC972" s="17">
        <f>IF(OR($Z972="",$Z972=6),"",CHOOSE($Z972,"1st Email Follow-up","2nd Email Follow-up","Escalate Local Office","Escalate to CBE","Escalate to Roxanne"))</f>
        <v/>
      </c>
    </row>
    <row r="973" spans="13:29">
      <c r="M973" s="14"/>
      <c r="T973" s="16"/>
      <c r="U973" s="17">
        <f>IF(AND(COUNTA($A973:$L973)=0,$N973=""),"",IF($T973="Paid","PAID",IF($T973="Closed","CLOSED",IF($Z973="","",IF($Z973=6,"ESCALATED TO ROXANNE",IF(TODAY()&gt;$AB973,"OVERDUE",IF($AB973&lt;=WORKDAY(TODAY(),1,Holidays),"DUE TOMORROW",IF($Z973=4,"ESCALATED TO LOCAL OFFICE",IF($Z973=5,"ESCALATED TO CBE",IF($AA973=TODAY(),"EMAIL SENT","MONITORING"))))))))))</f>
        <v/>
      </c>
      <c r="V973" s="17">
        <f>IF($U973="",IF(AND(COUNTA($A973:$L973)&gt;0,$N973=""),"Awaiting Collection Email time stamp.",""),IF(OR($U973="PAID",$U973="CLOSED"),IF($U973="PAID","Account paid. Action completed.","Account closed. No further action required."),CHOOSE($Z973,"Collection Email","1st Email Follow-up","2nd Email Follow-up","Escalation to Local Office","Escalation to CBE","Escalation to Roxanne")&amp;" sent "&amp;TEXT($AA973,"dd-mmm")&amp;". "&amp;IF($Z973=6,"Final escalation completed.",IF($U973="OVERDUE","Next: "&amp;$AC973&amp;" was due "&amp;TEXT($AB973,"dd-mmm")&amp;" - "&amp;(NETWORKDAYS($AB973,TODAY(),Holidays)-1)&amp;" business day(s) late. Send now.",IF($U973="DUE TOMORROW","Next: "&amp;$AC973&amp;IF($AB973&lt;=TODAY()," is due TODAY ("," is due next business day (")&amp;TEXT($AB973,"dd-mmm")&amp;").","Next: "&amp;$AC973&amp;" due "&amp;TEXT($AB973,"dd-mmm")&amp;" ("&amp;(NETWORKDAYS(TODAY(),$AB973,Holidays)-1)&amp;" business day(s) left).")))))</f>
        <v/>
      </c>
      <c r="W973" s="17">
        <f>IF($Z973="","",CHOOSE($Z973,"Collection Email","1st Follow-up","2nd Follow-up","Local Office","CBE","Roxanne")&amp;IF($Z973=6," - Final"," - Day "&amp;MAX(0,NETWORKDAYS($AA973,TODAY(),Holidays)-1)&amp;" of "&amp;CHOOSE($Z973,3,3,2,2,3))&amp;" | Total Day "&amp;MAX(0,NETWORKDAYS($N973,TODAY(),Holidays)-1))</f>
        <v/>
      </c>
      <c r="X973" s="18"/>
      <c r="Y973" s="18"/>
      <c r="Z973" s="17">
        <f>IF($N973="","",COUNT($N973:$S973))</f>
        <v/>
      </c>
      <c r="AA973" s="19">
        <f>IF($Z973="","",INT(INDEX($N973:$S973,$Z973)))</f>
        <v/>
      </c>
      <c r="AB973" s="19">
        <f>IF(OR($Z973="",$Z973=6),"",WORKDAY($AA973,CHOOSE($Z973,3,3,2,2,3),Holidays))</f>
        <v/>
      </c>
      <c r="AC973" s="17">
        <f>IF(OR($Z973="",$Z973=6),"",CHOOSE($Z973,"1st Email Follow-up","2nd Email Follow-up","Escalate Local Office","Escalate to CBE","Escalate to Roxanne"))</f>
        <v/>
      </c>
    </row>
    <row r="974" spans="13:29">
      <c r="M974" s="14"/>
      <c r="T974" s="16"/>
      <c r="U974" s="17">
        <f>IF(AND(COUNTA($A974:$L974)=0,$N974=""),"",IF($T974="Paid","PAID",IF($T974="Closed","CLOSED",IF($Z974="","",IF($Z974=6,"ESCALATED TO ROXANNE",IF(TODAY()&gt;$AB974,"OVERDUE",IF($AB974&lt;=WORKDAY(TODAY(),1,Holidays),"DUE TOMORROW",IF($Z974=4,"ESCALATED TO LOCAL OFFICE",IF($Z974=5,"ESCALATED TO CBE",IF($AA974=TODAY(),"EMAIL SENT","MONITORING"))))))))))</f>
        <v/>
      </c>
      <c r="V974" s="17">
        <f>IF($U974="",IF(AND(COUNTA($A974:$L974)&gt;0,$N974=""),"Awaiting Collection Email time stamp.",""),IF(OR($U974="PAID",$U974="CLOSED"),IF($U974="PAID","Account paid. Action completed.","Account closed. No further action required."),CHOOSE($Z974,"Collection Email","1st Email Follow-up","2nd Email Follow-up","Escalation to Local Office","Escalation to CBE","Escalation to Roxanne")&amp;" sent "&amp;TEXT($AA974,"dd-mmm")&amp;". "&amp;IF($Z974=6,"Final escalation completed.",IF($U974="OVERDUE","Next: "&amp;$AC974&amp;" was due "&amp;TEXT($AB974,"dd-mmm")&amp;" - "&amp;(NETWORKDAYS($AB974,TODAY(),Holidays)-1)&amp;" business day(s) late. Send now.",IF($U974="DUE TOMORROW","Next: "&amp;$AC974&amp;IF($AB974&lt;=TODAY()," is due TODAY ("," is due next business day (")&amp;TEXT($AB974,"dd-mmm")&amp;").","Next: "&amp;$AC974&amp;" due "&amp;TEXT($AB974,"dd-mmm")&amp;" ("&amp;(NETWORKDAYS(TODAY(),$AB974,Holidays)-1)&amp;" business day(s) left).")))))</f>
        <v/>
      </c>
      <c r="W974" s="17">
        <f>IF($Z974="","",CHOOSE($Z974,"Collection Email","1st Follow-up","2nd Follow-up","Local Office","CBE","Roxanne")&amp;IF($Z974=6," - Final"," - Day "&amp;MAX(0,NETWORKDAYS($AA974,TODAY(),Holidays)-1)&amp;" of "&amp;CHOOSE($Z974,3,3,2,2,3))&amp;" | Total Day "&amp;MAX(0,NETWORKDAYS($N974,TODAY(),Holidays)-1))</f>
        <v/>
      </c>
      <c r="X974" s="18"/>
      <c r="Y974" s="18"/>
      <c r="Z974" s="17">
        <f>IF($N974="","",COUNT($N974:$S974))</f>
        <v/>
      </c>
      <c r="AA974" s="19">
        <f>IF($Z974="","",INT(INDEX($N974:$S974,$Z974)))</f>
        <v/>
      </c>
      <c r="AB974" s="19">
        <f>IF(OR($Z974="",$Z974=6),"",WORKDAY($AA974,CHOOSE($Z974,3,3,2,2,3),Holidays))</f>
        <v/>
      </c>
      <c r="AC974" s="17">
        <f>IF(OR($Z974="",$Z974=6),"",CHOOSE($Z974,"1st Email Follow-up","2nd Email Follow-up","Escalate Local Office","Escalate to CBE","Escalate to Roxanne"))</f>
        <v/>
      </c>
    </row>
    <row r="975" spans="13:29">
      <c r="M975" s="14"/>
      <c r="T975" s="16"/>
      <c r="U975" s="17">
        <f>IF(AND(COUNTA($A975:$L975)=0,$N975=""),"",IF($T975="Paid","PAID",IF($T975="Closed","CLOSED",IF($Z975="","",IF($Z975=6,"ESCALATED TO ROXANNE",IF(TODAY()&gt;$AB975,"OVERDUE",IF($AB975&lt;=WORKDAY(TODAY(),1,Holidays),"DUE TOMORROW",IF($Z975=4,"ESCALATED TO LOCAL OFFICE",IF($Z975=5,"ESCALATED TO CBE",IF($AA975=TODAY(),"EMAIL SENT","MONITORING"))))))))))</f>
        <v/>
      </c>
      <c r="V975" s="17">
        <f>IF($U975="",IF(AND(COUNTA($A975:$L975)&gt;0,$N975=""),"Awaiting Collection Email time stamp.",""),IF(OR($U975="PAID",$U975="CLOSED"),IF($U975="PAID","Account paid. Action completed.","Account closed. No further action required."),CHOOSE($Z975,"Collection Email","1st Email Follow-up","2nd Email Follow-up","Escalation to Local Office","Escalation to CBE","Escalation to Roxanne")&amp;" sent "&amp;TEXT($AA975,"dd-mmm")&amp;". "&amp;IF($Z975=6,"Final escalation completed.",IF($U975="OVERDUE","Next: "&amp;$AC975&amp;" was due "&amp;TEXT($AB975,"dd-mmm")&amp;" - "&amp;(NETWORKDAYS($AB975,TODAY(),Holidays)-1)&amp;" business day(s) late. Send now.",IF($U975="DUE TOMORROW","Next: "&amp;$AC975&amp;IF($AB975&lt;=TODAY()," is due TODAY ("," is due next business day (")&amp;TEXT($AB975,"dd-mmm")&amp;").","Next: "&amp;$AC975&amp;" due "&amp;TEXT($AB975,"dd-mmm")&amp;" ("&amp;(NETWORKDAYS(TODAY(),$AB975,Holidays)-1)&amp;" business day(s) left).")))))</f>
        <v/>
      </c>
      <c r="W975" s="17">
        <f>IF($Z975="","",CHOOSE($Z975,"Collection Email","1st Follow-up","2nd Follow-up","Local Office","CBE","Roxanne")&amp;IF($Z975=6," - Final"," - Day "&amp;MAX(0,NETWORKDAYS($AA975,TODAY(),Holidays)-1)&amp;" of "&amp;CHOOSE($Z975,3,3,2,2,3))&amp;" | Total Day "&amp;MAX(0,NETWORKDAYS($N975,TODAY(),Holidays)-1))</f>
        <v/>
      </c>
      <c r="X975" s="18"/>
      <c r="Y975" s="18"/>
      <c r="Z975" s="17">
        <f>IF($N975="","",COUNT($N975:$S975))</f>
        <v/>
      </c>
      <c r="AA975" s="19">
        <f>IF($Z975="","",INT(INDEX($N975:$S975,$Z975)))</f>
        <v/>
      </c>
      <c r="AB975" s="19">
        <f>IF(OR($Z975="",$Z975=6),"",WORKDAY($AA975,CHOOSE($Z975,3,3,2,2,3),Holidays))</f>
        <v/>
      </c>
      <c r="AC975" s="17">
        <f>IF(OR($Z975="",$Z975=6),"",CHOOSE($Z975,"1st Email Follow-up","2nd Email Follow-up","Escalate Local Office","Escalate to CBE","Escalate to Roxanne"))</f>
        <v/>
      </c>
    </row>
    <row r="976" spans="13:29">
      <c r="M976" s="14"/>
      <c r="T976" s="16"/>
      <c r="U976" s="17">
        <f>IF(AND(COUNTA($A976:$L976)=0,$N976=""),"",IF($T976="Paid","PAID",IF($T976="Closed","CLOSED",IF($Z976="","",IF($Z976=6,"ESCALATED TO ROXANNE",IF(TODAY()&gt;$AB976,"OVERDUE",IF($AB976&lt;=WORKDAY(TODAY(),1,Holidays),"DUE TOMORROW",IF($Z976=4,"ESCALATED TO LOCAL OFFICE",IF($Z976=5,"ESCALATED TO CBE",IF($AA976=TODAY(),"EMAIL SENT","MONITORING"))))))))))</f>
        <v/>
      </c>
      <c r="V976" s="17">
        <f>IF($U976="",IF(AND(COUNTA($A976:$L976)&gt;0,$N976=""),"Awaiting Collection Email time stamp.",""),IF(OR($U976="PAID",$U976="CLOSED"),IF($U976="PAID","Account paid. Action completed.","Account closed. No further action required."),CHOOSE($Z976,"Collection Email","1st Email Follow-up","2nd Email Follow-up","Escalation to Local Office","Escalation to CBE","Escalation to Roxanne")&amp;" sent "&amp;TEXT($AA976,"dd-mmm")&amp;". "&amp;IF($Z976=6,"Final escalation completed.",IF($U976="OVERDUE","Next: "&amp;$AC976&amp;" was due "&amp;TEXT($AB976,"dd-mmm")&amp;" - "&amp;(NETWORKDAYS($AB976,TODAY(),Holidays)-1)&amp;" business day(s) late. Send now.",IF($U976="DUE TOMORROW","Next: "&amp;$AC976&amp;IF($AB976&lt;=TODAY()," is due TODAY ("," is due next business day (")&amp;TEXT($AB976,"dd-mmm")&amp;").","Next: "&amp;$AC976&amp;" due "&amp;TEXT($AB976,"dd-mmm")&amp;" ("&amp;(NETWORKDAYS(TODAY(),$AB976,Holidays)-1)&amp;" business day(s) left).")))))</f>
        <v/>
      </c>
      <c r="W976" s="17">
        <f>IF($Z976="","",CHOOSE($Z976,"Collection Email","1st Follow-up","2nd Follow-up","Local Office","CBE","Roxanne")&amp;IF($Z976=6," - Final"," - Day "&amp;MAX(0,NETWORKDAYS($AA976,TODAY(),Holidays)-1)&amp;" of "&amp;CHOOSE($Z976,3,3,2,2,3))&amp;" | Total Day "&amp;MAX(0,NETWORKDAYS($N976,TODAY(),Holidays)-1))</f>
        <v/>
      </c>
      <c r="X976" s="18"/>
      <c r="Y976" s="18"/>
      <c r="Z976" s="17">
        <f>IF($N976="","",COUNT($N976:$S976))</f>
        <v/>
      </c>
      <c r="AA976" s="19">
        <f>IF($Z976="","",INT(INDEX($N976:$S976,$Z976)))</f>
        <v/>
      </c>
      <c r="AB976" s="19">
        <f>IF(OR($Z976="",$Z976=6),"",WORKDAY($AA976,CHOOSE($Z976,3,3,2,2,3),Holidays))</f>
        <v/>
      </c>
      <c r="AC976" s="17">
        <f>IF(OR($Z976="",$Z976=6),"",CHOOSE($Z976,"1st Email Follow-up","2nd Email Follow-up","Escalate Local Office","Escalate to CBE","Escalate to Roxanne"))</f>
        <v/>
      </c>
    </row>
    <row r="977" spans="13:29">
      <c r="M977" s="14"/>
      <c r="T977" s="16"/>
      <c r="U977" s="17">
        <f>IF(AND(COUNTA($A977:$L977)=0,$N977=""),"",IF($T977="Paid","PAID",IF($T977="Closed","CLOSED",IF($Z977="","",IF($Z977=6,"ESCALATED TO ROXANNE",IF(TODAY()&gt;$AB977,"OVERDUE",IF($AB977&lt;=WORKDAY(TODAY(),1,Holidays),"DUE TOMORROW",IF($Z977=4,"ESCALATED TO LOCAL OFFICE",IF($Z977=5,"ESCALATED TO CBE",IF($AA977=TODAY(),"EMAIL SENT","MONITORING"))))))))))</f>
        <v/>
      </c>
      <c r="V977" s="17">
        <f>IF($U977="",IF(AND(COUNTA($A977:$L977)&gt;0,$N977=""),"Awaiting Collection Email time stamp.",""),IF(OR($U977="PAID",$U977="CLOSED"),IF($U977="PAID","Account paid. Action completed.","Account closed. No further action required."),CHOOSE($Z977,"Collection Email","1st Email Follow-up","2nd Email Follow-up","Escalation to Local Office","Escalation to CBE","Escalation to Roxanne")&amp;" sent "&amp;TEXT($AA977,"dd-mmm")&amp;". "&amp;IF($Z977=6,"Final escalation completed.",IF($U977="OVERDUE","Next: "&amp;$AC977&amp;" was due "&amp;TEXT($AB977,"dd-mmm")&amp;" - "&amp;(NETWORKDAYS($AB977,TODAY(),Holidays)-1)&amp;" business day(s) late. Send now.",IF($U977="DUE TOMORROW","Next: "&amp;$AC977&amp;IF($AB977&lt;=TODAY()," is due TODAY ("," is due next business day (")&amp;TEXT($AB977,"dd-mmm")&amp;").","Next: "&amp;$AC977&amp;" due "&amp;TEXT($AB977,"dd-mmm")&amp;" ("&amp;(NETWORKDAYS(TODAY(),$AB977,Holidays)-1)&amp;" business day(s) left).")))))</f>
        <v/>
      </c>
      <c r="W977" s="17">
        <f>IF($Z977="","",CHOOSE($Z977,"Collection Email","1st Follow-up","2nd Follow-up","Local Office","CBE","Roxanne")&amp;IF($Z977=6," - Final"," - Day "&amp;MAX(0,NETWORKDAYS($AA977,TODAY(),Holidays)-1)&amp;" of "&amp;CHOOSE($Z977,3,3,2,2,3))&amp;" | Total Day "&amp;MAX(0,NETWORKDAYS($N977,TODAY(),Holidays)-1))</f>
        <v/>
      </c>
      <c r="X977" s="18"/>
      <c r="Y977" s="18"/>
      <c r="Z977" s="17">
        <f>IF($N977="","",COUNT($N977:$S977))</f>
        <v/>
      </c>
      <c r="AA977" s="19">
        <f>IF($Z977="","",INT(INDEX($N977:$S977,$Z977)))</f>
        <v/>
      </c>
      <c r="AB977" s="19">
        <f>IF(OR($Z977="",$Z977=6),"",WORKDAY($AA977,CHOOSE($Z977,3,3,2,2,3),Holidays))</f>
        <v/>
      </c>
      <c r="AC977" s="17">
        <f>IF(OR($Z977="",$Z977=6),"",CHOOSE($Z977,"1st Email Follow-up","2nd Email Follow-up","Escalate Local Office","Escalate to CBE","Escalate to Roxanne"))</f>
        <v/>
      </c>
    </row>
    <row r="978" spans="13:29">
      <c r="M978" s="14"/>
      <c r="T978" s="16"/>
      <c r="U978" s="17">
        <f>IF(AND(COUNTA($A978:$L978)=0,$N978=""),"",IF($T978="Paid","PAID",IF($T978="Closed","CLOSED",IF($Z978="","",IF($Z978=6,"ESCALATED TO ROXANNE",IF(TODAY()&gt;$AB978,"OVERDUE",IF($AB978&lt;=WORKDAY(TODAY(),1,Holidays),"DUE TOMORROW",IF($Z978=4,"ESCALATED TO LOCAL OFFICE",IF($Z978=5,"ESCALATED TO CBE",IF($AA978=TODAY(),"EMAIL SENT","MONITORING"))))))))))</f>
        <v/>
      </c>
      <c r="V978" s="17">
        <f>IF($U978="",IF(AND(COUNTA($A978:$L978)&gt;0,$N978=""),"Awaiting Collection Email time stamp.",""),IF(OR($U978="PAID",$U978="CLOSED"),IF($U978="PAID","Account paid. Action completed.","Account closed. No further action required."),CHOOSE($Z978,"Collection Email","1st Email Follow-up","2nd Email Follow-up","Escalation to Local Office","Escalation to CBE","Escalation to Roxanne")&amp;" sent "&amp;TEXT($AA978,"dd-mmm")&amp;". "&amp;IF($Z978=6,"Final escalation completed.",IF($U978="OVERDUE","Next: "&amp;$AC978&amp;" was due "&amp;TEXT($AB978,"dd-mmm")&amp;" - "&amp;(NETWORKDAYS($AB978,TODAY(),Holidays)-1)&amp;" business day(s) late. Send now.",IF($U978="DUE TOMORROW","Next: "&amp;$AC978&amp;IF($AB978&lt;=TODAY()," is due TODAY ("," is due next business day (")&amp;TEXT($AB978,"dd-mmm")&amp;").","Next: "&amp;$AC978&amp;" due "&amp;TEXT($AB978,"dd-mmm")&amp;" ("&amp;(NETWORKDAYS(TODAY(),$AB978,Holidays)-1)&amp;" business day(s) left).")))))</f>
        <v/>
      </c>
      <c r="W978" s="17">
        <f>IF($Z978="","",CHOOSE($Z978,"Collection Email","1st Follow-up","2nd Follow-up","Local Office","CBE","Roxanne")&amp;IF($Z978=6," - Final"," - Day "&amp;MAX(0,NETWORKDAYS($AA978,TODAY(),Holidays)-1)&amp;" of "&amp;CHOOSE($Z978,3,3,2,2,3))&amp;" | Total Day "&amp;MAX(0,NETWORKDAYS($N978,TODAY(),Holidays)-1))</f>
        <v/>
      </c>
      <c r="X978" s="18"/>
      <c r="Y978" s="18"/>
      <c r="Z978" s="17">
        <f>IF($N978="","",COUNT($N978:$S978))</f>
        <v/>
      </c>
      <c r="AA978" s="19">
        <f>IF($Z978="","",INT(INDEX($N978:$S978,$Z978)))</f>
        <v/>
      </c>
      <c r="AB978" s="19">
        <f>IF(OR($Z978="",$Z978=6),"",WORKDAY($AA978,CHOOSE($Z978,3,3,2,2,3),Holidays))</f>
        <v/>
      </c>
      <c r="AC978" s="17">
        <f>IF(OR($Z978="",$Z978=6),"",CHOOSE($Z978,"1st Email Follow-up","2nd Email Follow-up","Escalate Local Office","Escalate to CBE","Escalate to Roxanne"))</f>
        <v/>
      </c>
    </row>
    <row r="979" spans="13:29">
      <c r="M979" s="14"/>
      <c r="T979" s="16"/>
      <c r="U979" s="17">
        <f>IF(AND(COUNTA($A979:$L979)=0,$N979=""),"",IF($T979="Paid","PAID",IF($T979="Closed","CLOSED",IF($Z979="","",IF($Z979=6,"ESCALATED TO ROXANNE",IF(TODAY()&gt;$AB979,"OVERDUE",IF($AB979&lt;=WORKDAY(TODAY(),1,Holidays),"DUE TOMORROW",IF($Z979=4,"ESCALATED TO LOCAL OFFICE",IF($Z979=5,"ESCALATED TO CBE",IF($AA979=TODAY(),"EMAIL SENT","MONITORING"))))))))))</f>
        <v/>
      </c>
      <c r="V979" s="17">
        <f>IF($U979="",IF(AND(COUNTA($A979:$L979)&gt;0,$N979=""),"Awaiting Collection Email time stamp.",""),IF(OR($U979="PAID",$U979="CLOSED"),IF($U979="PAID","Account paid. Action completed.","Account closed. No further action required."),CHOOSE($Z979,"Collection Email","1st Email Follow-up","2nd Email Follow-up","Escalation to Local Office","Escalation to CBE","Escalation to Roxanne")&amp;" sent "&amp;TEXT($AA979,"dd-mmm")&amp;". "&amp;IF($Z979=6,"Final escalation completed.",IF($U979="OVERDUE","Next: "&amp;$AC979&amp;" was due "&amp;TEXT($AB979,"dd-mmm")&amp;" - "&amp;(NETWORKDAYS($AB979,TODAY(),Holidays)-1)&amp;" business day(s) late. Send now.",IF($U979="DUE TOMORROW","Next: "&amp;$AC979&amp;IF($AB979&lt;=TODAY()," is due TODAY ("," is due next business day (")&amp;TEXT($AB979,"dd-mmm")&amp;").","Next: "&amp;$AC979&amp;" due "&amp;TEXT($AB979,"dd-mmm")&amp;" ("&amp;(NETWORKDAYS(TODAY(),$AB979,Holidays)-1)&amp;" business day(s) left).")))))</f>
        <v/>
      </c>
      <c r="W979" s="17">
        <f>IF($Z979="","",CHOOSE($Z979,"Collection Email","1st Follow-up","2nd Follow-up","Local Office","CBE","Roxanne")&amp;IF($Z979=6," - Final"," - Day "&amp;MAX(0,NETWORKDAYS($AA979,TODAY(),Holidays)-1)&amp;" of "&amp;CHOOSE($Z979,3,3,2,2,3))&amp;" | Total Day "&amp;MAX(0,NETWORKDAYS($N979,TODAY(),Holidays)-1))</f>
        <v/>
      </c>
      <c r="X979" s="18"/>
      <c r="Y979" s="18"/>
      <c r="Z979" s="17">
        <f>IF($N979="","",COUNT($N979:$S979))</f>
        <v/>
      </c>
      <c r="AA979" s="19">
        <f>IF($Z979="","",INT(INDEX($N979:$S979,$Z979)))</f>
        <v/>
      </c>
      <c r="AB979" s="19">
        <f>IF(OR($Z979="",$Z979=6),"",WORKDAY($AA979,CHOOSE($Z979,3,3,2,2,3),Holidays))</f>
        <v/>
      </c>
      <c r="AC979" s="17">
        <f>IF(OR($Z979="",$Z979=6),"",CHOOSE($Z979,"1st Email Follow-up","2nd Email Follow-up","Escalate Local Office","Escalate to CBE","Escalate to Roxanne"))</f>
        <v/>
      </c>
    </row>
    <row r="980" spans="13:29">
      <c r="M980" s="14"/>
      <c r="T980" s="16"/>
      <c r="U980" s="17">
        <f>IF(AND(COUNTA($A980:$L980)=0,$N980=""),"",IF($T980="Paid","PAID",IF($T980="Closed","CLOSED",IF($Z980="","",IF($Z980=6,"ESCALATED TO ROXANNE",IF(TODAY()&gt;$AB980,"OVERDUE",IF($AB980&lt;=WORKDAY(TODAY(),1,Holidays),"DUE TOMORROW",IF($Z980=4,"ESCALATED TO LOCAL OFFICE",IF($Z980=5,"ESCALATED TO CBE",IF($AA980=TODAY(),"EMAIL SENT","MONITORING"))))))))))</f>
        <v/>
      </c>
      <c r="V980" s="17">
        <f>IF($U980="",IF(AND(COUNTA($A980:$L980)&gt;0,$N980=""),"Awaiting Collection Email time stamp.",""),IF(OR($U980="PAID",$U980="CLOSED"),IF($U980="PAID","Account paid. Action completed.","Account closed. No further action required."),CHOOSE($Z980,"Collection Email","1st Email Follow-up","2nd Email Follow-up","Escalation to Local Office","Escalation to CBE","Escalation to Roxanne")&amp;" sent "&amp;TEXT($AA980,"dd-mmm")&amp;". "&amp;IF($Z980=6,"Final escalation completed.",IF($U980="OVERDUE","Next: "&amp;$AC980&amp;" was due "&amp;TEXT($AB980,"dd-mmm")&amp;" - "&amp;(NETWORKDAYS($AB980,TODAY(),Holidays)-1)&amp;" business day(s) late. Send now.",IF($U980="DUE TOMORROW","Next: "&amp;$AC980&amp;IF($AB980&lt;=TODAY()," is due TODAY ("," is due next business day (")&amp;TEXT($AB980,"dd-mmm")&amp;").","Next: "&amp;$AC980&amp;" due "&amp;TEXT($AB980,"dd-mmm")&amp;" ("&amp;(NETWORKDAYS(TODAY(),$AB980,Holidays)-1)&amp;" business day(s) left).")))))</f>
        <v/>
      </c>
      <c r="W980" s="17">
        <f>IF($Z980="","",CHOOSE($Z980,"Collection Email","1st Follow-up","2nd Follow-up","Local Office","CBE","Roxanne")&amp;IF($Z980=6," - Final"," - Day "&amp;MAX(0,NETWORKDAYS($AA980,TODAY(),Holidays)-1)&amp;" of "&amp;CHOOSE($Z980,3,3,2,2,3))&amp;" | Total Day "&amp;MAX(0,NETWORKDAYS($N980,TODAY(),Holidays)-1))</f>
        <v/>
      </c>
      <c r="X980" s="18"/>
      <c r="Y980" s="18"/>
      <c r="Z980" s="17">
        <f>IF($N980="","",COUNT($N980:$S980))</f>
        <v/>
      </c>
      <c r="AA980" s="19">
        <f>IF($Z980="","",INT(INDEX($N980:$S980,$Z980)))</f>
        <v/>
      </c>
      <c r="AB980" s="19">
        <f>IF(OR($Z980="",$Z980=6),"",WORKDAY($AA980,CHOOSE($Z980,3,3,2,2,3),Holidays))</f>
        <v/>
      </c>
      <c r="AC980" s="17">
        <f>IF(OR($Z980="",$Z980=6),"",CHOOSE($Z980,"1st Email Follow-up","2nd Email Follow-up","Escalate Local Office","Escalate to CBE","Escalate to Roxanne"))</f>
        <v/>
      </c>
    </row>
    <row r="981" spans="13:29">
      <c r="M981" s="14"/>
      <c r="T981" s="16"/>
      <c r="U981" s="17">
        <f>IF(AND(COUNTA($A981:$L981)=0,$N981=""),"",IF($T981="Paid","PAID",IF($T981="Closed","CLOSED",IF($Z981="","",IF($Z981=6,"ESCALATED TO ROXANNE",IF(TODAY()&gt;$AB981,"OVERDUE",IF($AB981&lt;=WORKDAY(TODAY(),1,Holidays),"DUE TOMORROW",IF($Z981=4,"ESCALATED TO LOCAL OFFICE",IF($Z981=5,"ESCALATED TO CBE",IF($AA981=TODAY(),"EMAIL SENT","MONITORING"))))))))))</f>
        <v/>
      </c>
      <c r="V981" s="17">
        <f>IF($U981="",IF(AND(COUNTA($A981:$L981)&gt;0,$N981=""),"Awaiting Collection Email time stamp.",""),IF(OR($U981="PAID",$U981="CLOSED"),IF($U981="PAID","Account paid. Action completed.","Account closed. No further action required."),CHOOSE($Z981,"Collection Email","1st Email Follow-up","2nd Email Follow-up","Escalation to Local Office","Escalation to CBE","Escalation to Roxanne")&amp;" sent "&amp;TEXT($AA981,"dd-mmm")&amp;". "&amp;IF($Z981=6,"Final escalation completed.",IF($U981="OVERDUE","Next: "&amp;$AC981&amp;" was due "&amp;TEXT($AB981,"dd-mmm")&amp;" - "&amp;(NETWORKDAYS($AB981,TODAY(),Holidays)-1)&amp;" business day(s) late. Send now.",IF($U981="DUE TOMORROW","Next: "&amp;$AC981&amp;IF($AB981&lt;=TODAY()," is due TODAY ("," is due next business day (")&amp;TEXT($AB981,"dd-mmm")&amp;").","Next: "&amp;$AC981&amp;" due "&amp;TEXT($AB981,"dd-mmm")&amp;" ("&amp;(NETWORKDAYS(TODAY(),$AB981,Holidays)-1)&amp;" business day(s) left).")))))</f>
        <v/>
      </c>
      <c r="W981" s="17">
        <f>IF($Z981="","",CHOOSE($Z981,"Collection Email","1st Follow-up","2nd Follow-up","Local Office","CBE","Roxanne")&amp;IF($Z981=6," - Final"," - Day "&amp;MAX(0,NETWORKDAYS($AA981,TODAY(),Holidays)-1)&amp;" of "&amp;CHOOSE($Z981,3,3,2,2,3))&amp;" | Total Day "&amp;MAX(0,NETWORKDAYS($N981,TODAY(),Holidays)-1))</f>
        <v/>
      </c>
      <c r="X981" s="18"/>
      <c r="Y981" s="18"/>
      <c r="Z981" s="17">
        <f>IF($N981="","",COUNT($N981:$S981))</f>
        <v/>
      </c>
      <c r="AA981" s="19">
        <f>IF($Z981="","",INT(INDEX($N981:$S981,$Z981)))</f>
        <v/>
      </c>
      <c r="AB981" s="19">
        <f>IF(OR($Z981="",$Z981=6),"",WORKDAY($AA981,CHOOSE($Z981,3,3,2,2,3),Holidays))</f>
        <v/>
      </c>
      <c r="AC981" s="17">
        <f>IF(OR($Z981="",$Z981=6),"",CHOOSE($Z981,"1st Email Follow-up","2nd Email Follow-up","Escalate Local Office","Escalate to CBE","Escalate to Roxanne"))</f>
        <v/>
      </c>
    </row>
    <row r="982" spans="13:29">
      <c r="M982" s="14"/>
      <c r="T982" s="16"/>
      <c r="U982" s="17">
        <f>IF(AND(COUNTA($A982:$L982)=0,$N982=""),"",IF($T982="Paid","PAID",IF($T982="Closed","CLOSED",IF($Z982="","",IF($Z982=6,"ESCALATED TO ROXANNE",IF(TODAY()&gt;$AB982,"OVERDUE",IF($AB982&lt;=WORKDAY(TODAY(),1,Holidays),"DUE TOMORROW",IF($Z982=4,"ESCALATED TO LOCAL OFFICE",IF($Z982=5,"ESCALATED TO CBE",IF($AA982=TODAY(),"EMAIL SENT","MONITORING"))))))))))</f>
        <v/>
      </c>
      <c r="V982" s="17">
        <f>IF($U982="",IF(AND(COUNTA($A982:$L982)&gt;0,$N982=""),"Awaiting Collection Email time stamp.",""),IF(OR($U982="PAID",$U982="CLOSED"),IF($U982="PAID","Account paid. Action completed.","Account closed. No further action required."),CHOOSE($Z982,"Collection Email","1st Email Follow-up","2nd Email Follow-up","Escalation to Local Office","Escalation to CBE","Escalation to Roxanne")&amp;" sent "&amp;TEXT($AA982,"dd-mmm")&amp;". "&amp;IF($Z982=6,"Final escalation completed.",IF($U982="OVERDUE","Next: "&amp;$AC982&amp;" was due "&amp;TEXT($AB982,"dd-mmm")&amp;" - "&amp;(NETWORKDAYS($AB982,TODAY(),Holidays)-1)&amp;" business day(s) late. Send now.",IF($U982="DUE TOMORROW","Next: "&amp;$AC982&amp;IF($AB982&lt;=TODAY()," is due TODAY ("," is due next business day (")&amp;TEXT($AB982,"dd-mmm")&amp;").","Next: "&amp;$AC982&amp;" due "&amp;TEXT($AB982,"dd-mmm")&amp;" ("&amp;(NETWORKDAYS(TODAY(),$AB982,Holidays)-1)&amp;" business day(s) left).")))))</f>
        <v/>
      </c>
      <c r="W982" s="17">
        <f>IF($Z982="","",CHOOSE($Z982,"Collection Email","1st Follow-up","2nd Follow-up","Local Office","CBE","Roxanne")&amp;IF($Z982=6," - Final"," - Day "&amp;MAX(0,NETWORKDAYS($AA982,TODAY(),Holidays)-1)&amp;" of "&amp;CHOOSE($Z982,3,3,2,2,3))&amp;" | Total Day "&amp;MAX(0,NETWORKDAYS($N982,TODAY(),Holidays)-1))</f>
        <v/>
      </c>
      <c r="X982" s="18"/>
      <c r="Y982" s="18"/>
      <c r="Z982" s="17">
        <f>IF($N982="","",COUNT($N982:$S982))</f>
        <v/>
      </c>
      <c r="AA982" s="19">
        <f>IF($Z982="","",INT(INDEX($N982:$S982,$Z982)))</f>
        <v/>
      </c>
      <c r="AB982" s="19">
        <f>IF(OR($Z982="",$Z982=6),"",WORKDAY($AA982,CHOOSE($Z982,3,3,2,2,3),Holidays))</f>
        <v/>
      </c>
      <c r="AC982" s="17">
        <f>IF(OR($Z982="",$Z982=6),"",CHOOSE($Z982,"1st Email Follow-up","2nd Email Follow-up","Escalate Local Office","Escalate to CBE","Escalate to Roxanne"))</f>
        <v/>
      </c>
    </row>
    <row r="983" spans="13:29">
      <c r="M983" s="14"/>
      <c r="T983" s="16"/>
      <c r="U983" s="17">
        <f>IF(AND(COUNTA($A983:$L983)=0,$N983=""),"",IF($T983="Paid","PAID",IF($T983="Closed","CLOSED",IF($Z983="","",IF($Z983=6,"ESCALATED TO ROXANNE",IF(TODAY()&gt;$AB983,"OVERDUE",IF($AB983&lt;=WORKDAY(TODAY(),1,Holidays),"DUE TOMORROW",IF($Z983=4,"ESCALATED TO LOCAL OFFICE",IF($Z983=5,"ESCALATED TO CBE",IF($AA983=TODAY(),"EMAIL SENT","MONITORING"))))))))))</f>
        <v/>
      </c>
      <c r="V983" s="17">
        <f>IF($U983="",IF(AND(COUNTA($A983:$L983)&gt;0,$N983=""),"Awaiting Collection Email time stamp.",""),IF(OR($U983="PAID",$U983="CLOSED"),IF($U983="PAID","Account paid. Action completed.","Account closed. No further action required."),CHOOSE($Z983,"Collection Email","1st Email Follow-up","2nd Email Follow-up","Escalation to Local Office","Escalation to CBE","Escalation to Roxanne")&amp;" sent "&amp;TEXT($AA983,"dd-mmm")&amp;". "&amp;IF($Z983=6,"Final escalation completed.",IF($U983="OVERDUE","Next: "&amp;$AC983&amp;" was due "&amp;TEXT($AB983,"dd-mmm")&amp;" - "&amp;(NETWORKDAYS($AB983,TODAY(),Holidays)-1)&amp;" business day(s) late. Send now.",IF($U983="DUE TOMORROW","Next: "&amp;$AC983&amp;IF($AB983&lt;=TODAY()," is due TODAY ("," is due next business day (")&amp;TEXT($AB983,"dd-mmm")&amp;").","Next: "&amp;$AC983&amp;" due "&amp;TEXT($AB983,"dd-mmm")&amp;" ("&amp;(NETWORKDAYS(TODAY(),$AB983,Holidays)-1)&amp;" business day(s) left).")))))</f>
        <v/>
      </c>
      <c r="W983" s="17">
        <f>IF($Z983="","",CHOOSE($Z983,"Collection Email","1st Follow-up","2nd Follow-up","Local Office","CBE","Roxanne")&amp;IF($Z983=6," - Final"," - Day "&amp;MAX(0,NETWORKDAYS($AA983,TODAY(),Holidays)-1)&amp;" of "&amp;CHOOSE($Z983,3,3,2,2,3))&amp;" | Total Day "&amp;MAX(0,NETWORKDAYS($N983,TODAY(),Holidays)-1))</f>
        <v/>
      </c>
      <c r="X983" s="18"/>
      <c r="Y983" s="18"/>
      <c r="Z983" s="17">
        <f>IF($N983="","",COUNT($N983:$S983))</f>
        <v/>
      </c>
      <c r="AA983" s="19">
        <f>IF($Z983="","",INT(INDEX($N983:$S983,$Z983)))</f>
        <v/>
      </c>
      <c r="AB983" s="19">
        <f>IF(OR($Z983="",$Z983=6),"",WORKDAY($AA983,CHOOSE($Z983,3,3,2,2,3),Holidays))</f>
        <v/>
      </c>
      <c r="AC983" s="17">
        <f>IF(OR($Z983="",$Z983=6),"",CHOOSE($Z983,"1st Email Follow-up","2nd Email Follow-up","Escalate Local Office","Escalate to CBE","Escalate to Roxanne"))</f>
        <v/>
      </c>
    </row>
    <row r="984" spans="13:29">
      <c r="M984" s="14"/>
      <c r="T984" s="16"/>
      <c r="U984" s="17">
        <f>IF(AND(COUNTA($A984:$L984)=0,$N984=""),"",IF($T984="Paid","PAID",IF($T984="Closed","CLOSED",IF($Z984="","",IF($Z984=6,"ESCALATED TO ROXANNE",IF(TODAY()&gt;$AB984,"OVERDUE",IF($AB984&lt;=WORKDAY(TODAY(),1,Holidays),"DUE TOMORROW",IF($Z984=4,"ESCALATED TO LOCAL OFFICE",IF($Z984=5,"ESCALATED TO CBE",IF($AA984=TODAY(),"EMAIL SENT","MONITORING"))))))))))</f>
        <v/>
      </c>
      <c r="V984" s="17">
        <f>IF($U984="",IF(AND(COUNTA($A984:$L984)&gt;0,$N984=""),"Awaiting Collection Email time stamp.",""),IF(OR($U984="PAID",$U984="CLOSED"),IF($U984="PAID","Account paid. Action completed.","Account closed. No further action required."),CHOOSE($Z984,"Collection Email","1st Email Follow-up","2nd Email Follow-up","Escalation to Local Office","Escalation to CBE","Escalation to Roxanne")&amp;" sent "&amp;TEXT($AA984,"dd-mmm")&amp;". "&amp;IF($Z984=6,"Final escalation completed.",IF($U984="OVERDUE","Next: "&amp;$AC984&amp;" was due "&amp;TEXT($AB984,"dd-mmm")&amp;" - "&amp;(NETWORKDAYS($AB984,TODAY(),Holidays)-1)&amp;" business day(s) late. Send now.",IF($U984="DUE TOMORROW","Next: "&amp;$AC984&amp;IF($AB984&lt;=TODAY()," is due TODAY ("," is due next business day (")&amp;TEXT($AB984,"dd-mmm")&amp;").","Next: "&amp;$AC984&amp;" due "&amp;TEXT($AB984,"dd-mmm")&amp;" ("&amp;(NETWORKDAYS(TODAY(),$AB984,Holidays)-1)&amp;" business day(s) left).")))))</f>
        <v/>
      </c>
      <c r="W984" s="17">
        <f>IF($Z984="","",CHOOSE($Z984,"Collection Email","1st Follow-up","2nd Follow-up","Local Office","CBE","Roxanne")&amp;IF($Z984=6," - Final"," - Day "&amp;MAX(0,NETWORKDAYS($AA984,TODAY(),Holidays)-1)&amp;" of "&amp;CHOOSE($Z984,3,3,2,2,3))&amp;" | Total Day "&amp;MAX(0,NETWORKDAYS($N984,TODAY(),Holidays)-1))</f>
        <v/>
      </c>
      <c r="X984" s="18"/>
      <c r="Y984" s="18"/>
      <c r="Z984" s="17">
        <f>IF($N984="","",COUNT($N984:$S984))</f>
        <v/>
      </c>
      <c r="AA984" s="19">
        <f>IF($Z984="","",INT(INDEX($N984:$S984,$Z984)))</f>
        <v/>
      </c>
      <c r="AB984" s="19">
        <f>IF(OR($Z984="",$Z984=6),"",WORKDAY($AA984,CHOOSE($Z984,3,3,2,2,3),Holidays))</f>
        <v/>
      </c>
      <c r="AC984" s="17">
        <f>IF(OR($Z984="",$Z984=6),"",CHOOSE($Z984,"1st Email Follow-up","2nd Email Follow-up","Escalate Local Office","Escalate to CBE","Escalate to Roxanne"))</f>
        <v/>
      </c>
    </row>
    <row r="985" spans="13:29">
      <c r="M985" s="14"/>
      <c r="T985" s="16"/>
      <c r="U985" s="17">
        <f>IF(AND(COUNTA($A985:$L985)=0,$N985=""),"",IF($T985="Paid","PAID",IF($T985="Closed","CLOSED",IF($Z985="","",IF($Z985=6,"ESCALATED TO ROXANNE",IF(TODAY()&gt;$AB985,"OVERDUE",IF($AB985&lt;=WORKDAY(TODAY(),1,Holidays),"DUE TOMORROW",IF($Z985=4,"ESCALATED TO LOCAL OFFICE",IF($Z985=5,"ESCALATED TO CBE",IF($AA985=TODAY(),"EMAIL SENT","MONITORING"))))))))))</f>
        <v/>
      </c>
      <c r="V985" s="17">
        <f>IF($U985="",IF(AND(COUNTA($A985:$L985)&gt;0,$N985=""),"Awaiting Collection Email time stamp.",""),IF(OR($U985="PAID",$U985="CLOSED"),IF($U985="PAID","Account paid. Action completed.","Account closed. No further action required."),CHOOSE($Z985,"Collection Email","1st Email Follow-up","2nd Email Follow-up","Escalation to Local Office","Escalation to CBE","Escalation to Roxanne")&amp;" sent "&amp;TEXT($AA985,"dd-mmm")&amp;". "&amp;IF($Z985=6,"Final escalation completed.",IF($U985="OVERDUE","Next: "&amp;$AC985&amp;" was due "&amp;TEXT($AB985,"dd-mmm")&amp;" - "&amp;(NETWORKDAYS($AB985,TODAY(),Holidays)-1)&amp;" business day(s) late. Send now.",IF($U985="DUE TOMORROW","Next: "&amp;$AC985&amp;IF($AB985&lt;=TODAY()," is due TODAY ("," is due next business day (")&amp;TEXT($AB985,"dd-mmm")&amp;").","Next: "&amp;$AC985&amp;" due "&amp;TEXT($AB985,"dd-mmm")&amp;" ("&amp;(NETWORKDAYS(TODAY(),$AB985,Holidays)-1)&amp;" business day(s) left).")))))</f>
        <v/>
      </c>
      <c r="W985" s="17">
        <f>IF($Z985="","",CHOOSE($Z985,"Collection Email","1st Follow-up","2nd Follow-up","Local Office","CBE","Roxanne")&amp;IF($Z985=6," - Final"," - Day "&amp;MAX(0,NETWORKDAYS($AA985,TODAY(),Holidays)-1)&amp;" of "&amp;CHOOSE($Z985,3,3,2,2,3))&amp;" | Total Day "&amp;MAX(0,NETWORKDAYS($N985,TODAY(),Holidays)-1))</f>
        <v/>
      </c>
      <c r="X985" s="18"/>
      <c r="Y985" s="18"/>
      <c r="Z985" s="17">
        <f>IF($N985="","",COUNT($N985:$S985))</f>
        <v/>
      </c>
      <c r="AA985" s="19">
        <f>IF($Z985="","",INT(INDEX($N985:$S985,$Z985)))</f>
        <v/>
      </c>
      <c r="AB985" s="19">
        <f>IF(OR($Z985="",$Z985=6),"",WORKDAY($AA985,CHOOSE($Z985,3,3,2,2,3),Holidays))</f>
        <v/>
      </c>
      <c r="AC985" s="17">
        <f>IF(OR($Z985="",$Z985=6),"",CHOOSE($Z985,"1st Email Follow-up","2nd Email Follow-up","Escalate Local Office","Escalate to CBE","Escalate to Roxanne"))</f>
        <v/>
      </c>
    </row>
    <row r="986" spans="13:29">
      <c r="M986" s="14"/>
      <c r="T986" s="16"/>
      <c r="U986" s="17">
        <f>IF(AND(COUNTA($A986:$L986)=0,$N986=""),"",IF($T986="Paid","PAID",IF($T986="Closed","CLOSED",IF($Z986="","",IF($Z986=6,"ESCALATED TO ROXANNE",IF(TODAY()&gt;$AB986,"OVERDUE",IF($AB986&lt;=WORKDAY(TODAY(),1,Holidays),"DUE TOMORROW",IF($Z986=4,"ESCALATED TO LOCAL OFFICE",IF($Z986=5,"ESCALATED TO CBE",IF($AA986=TODAY(),"EMAIL SENT","MONITORING"))))))))))</f>
        <v/>
      </c>
      <c r="V986" s="17">
        <f>IF($U986="",IF(AND(COUNTA($A986:$L986)&gt;0,$N986=""),"Awaiting Collection Email time stamp.",""),IF(OR($U986="PAID",$U986="CLOSED"),IF($U986="PAID","Account paid. Action completed.","Account closed. No further action required."),CHOOSE($Z986,"Collection Email","1st Email Follow-up","2nd Email Follow-up","Escalation to Local Office","Escalation to CBE","Escalation to Roxanne")&amp;" sent "&amp;TEXT($AA986,"dd-mmm")&amp;". "&amp;IF($Z986=6,"Final escalation completed.",IF($U986="OVERDUE","Next: "&amp;$AC986&amp;" was due "&amp;TEXT($AB986,"dd-mmm")&amp;" - "&amp;(NETWORKDAYS($AB986,TODAY(),Holidays)-1)&amp;" business day(s) late. Send now.",IF($U986="DUE TOMORROW","Next: "&amp;$AC986&amp;IF($AB986&lt;=TODAY()," is due TODAY ("," is due next business day (")&amp;TEXT($AB986,"dd-mmm")&amp;").","Next: "&amp;$AC986&amp;" due "&amp;TEXT($AB986,"dd-mmm")&amp;" ("&amp;(NETWORKDAYS(TODAY(),$AB986,Holidays)-1)&amp;" business day(s) left).")))))</f>
        <v/>
      </c>
      <c r="W986" s="17">
        <f>IF($Z986="","",CHOOSE($Z986,"Collection Email","1st Follow-up","2nd Follow-up","Local Office","CBE","Roxanne")&amp;IF($Z986=6," - Final"," - Day "&amp;MAX(0,NETWORKDAYS($AA986,TODAY(),Holidays)-1)&amp;" of "&amp;CHOOSE($Z986,3,3,2,2,3))&amp;" | Total Day "&amp;MAX(0,NETWORKDAYS($N986,TODAY(),Holidays)-1))</f>
        <v/>
      </c>
      <c r="X986" s="18"/>
      <c r="Y986" s="18"/>
      <c r="Z986" s="17">
        <f>IF($N986="","",COUNT($N986:$S986))</f>
        <v/>
      </c>
      <c r="AA986" s="19">
        <f>IF($Z986="","",INT(INDEX($N986:$S986,$Z986)))</f>
        <v/>
      </c>
      <c r="AB986" s="19">
        <f>IF(OR($Z986="",$Z986=6),"",WORKDAY($AA986,CHOOSE($Z986,3,3,2,2,3),Holidays))</f>
        <v/>
      </c>
      <c r="AC986" s="17">
        <f>IF(OR($Z986="",$Z986=6),"",CHOOSE($Z986,"1st Email Follow-up","2nd Email Follow-up","Escalate Local Office","Escalate to CBE","Escalate to Roxanne"))</f>
        <v/>
      </c>
    </row>
    <row r="987" spans="13:29">
      <c r="M987" s="14"/>
      <c r="T987" s="16"/>
      <c r="U987" s="17">
        <f>IF(AND(COUNTA($A987:$L987)=0,$N987=""),"",IF($T987="Paid","PAID",IF($T987="Closed","CLOSED",IF($Z987="","",IF($Z987=6,"ESCALATED TO ROXANNE",IF(TODAY()&gt;$AB987,"OVERDUE",IF($AB987&lt;=WORKDAY(TODAY(),1,Holidays),"DUE TOMORROW",IF($Z987=4,"ESCALATED TO LOCAL OFFICE",IF($Z987=5,"ESCALATED TO CBE",IF($AA987=TODAY(),"EMAIL SENT","MONITORING"))))))))))</f>
        <v/>
      </c>
      <c r="V987" s="17">
        <f>IF($U987="",IF(AND(COUNTA($A987:$L987)&gt;0,$N987=""),"Awaiting Collection Email time stamp.",""),IF(OR($U987="PAID",$U987="CLOSED"),IF($U987="PAID","Account paid. Action completed.","Account closed. No further action required."),CHOOSE($Z987,"Collection Email","1st Email Follow-up","2nd Email Follow-up","Escalation to Local Office","Escalation to CBE","Escalation to Roxanne")&amp;" sent "&amp;TEXT($AA987,"dd-mmm")&amp;". "&amp;IF($Z987=6,"Final escalation completed.",IF($U987="OVERDUE","Next: "&amp;$AC987&amp;" was due "&amp;TEXT($AB987,"dd-mmm")&amp;" - "&amp;(NETWORKDAYS($AB987,TODAY(),Holidays)-1)&amp;" business day(s) late. Send now.",IF($U987="DUE TOMORROW","Next: "&amp;$AC987&amp;IF($AB987&lt;=TODAY()," is due TODAY ("," is due next business day (")&amp;TEXT($AB987,"dd-mmm")&amp;").","Next: "&amp;$AC987&amp;" due "&amp;TEXT($AB987,"dd-mmm")&amp;" ("&amp;(NETWORKDAYS(TODAY(),$AB987,Holidays)-1)&amp;" business day(s) left).")))))</f>
        <v/>
      </c>
      <c r="W987" s="17">
        <f>IF($Z987="","",CHOOSE($Z987,"Collection Email","1st Follow-up","2nd Follow-up","Local Office","CBE","Roxanne")&amp;IF($Z987=6," - Final"," - Day "&amp;MAX(0,NETWORKDAYS($AA987,TODAY(),Holidays)-1)&amp;" of "&amp;CHOOSE($Z987,3,3,2,2,3))&amp;" | Total Day "&amp;MAX(0,NETWORKDAYS($N987,TODAY(),Holidays)-1))</f>
        <v/>
      </c>
      <c r="X987" s="18"/>
      <c r="Y987" s="18"/>
      <c r="Z987" s="17">
        <f>IF($N987="","",COUNT($N987:$S987))</f>
        <v/>
      </c>
      <c r="AA987" s="19">
        <f>IF($Z987="","",INT(INDEX($N987:$S987,$Z987)))</f>
        <v/>
      </c>
      <c r="AB987" s="19">
        <f>IF(OR($Z987="",$Z987=6),"",WORKDAY($AA987,CHOOSE($Z987,3,3,2,2,3),Holidays))</f>
        <v/>
      </c>
      <c r="AC987" s="17">
        <f>IF(OR($Z987="",$Z987=6),"",CHOOSE($Z987,"1st Email Follow-up","2nd Email Follow-up","Escalate Local Office","Escalate to CBE","Escalate to Roxanne"))</f>
        <v/>
      </c>
    </row>
    <row r="988" spans="13:29">
      <c r="M988" s="14"/>
      <c r="T988" s="16"/>
      <c r="U988" s="17">
        <f>IF(AND(COUNTA($A988:$L988)=0,$N988=""),"",IF($T988="Paid","PAID",IF($T988="Closed","CLOSED",IF($Z988="","",IF($Z988=6,"ESCALATED TO ROXANNE",IF(TODAY()&gt;$AB988,"OVERDUE",IF($AB988&lt;=WORKDAY(TODAY(),1,Holidays),"DUE TOMORROW",IF($Z988=4,"ESCALATED TO LOCAL OFFICE",IF($Z988=5,"ESCALATED TO CBE",IF($AA988=TODAY(),"EMAIL SENT","MONITORING"))))))))))</f>
        <v/>
      </c>
      <c r="V988" s="17">
        <f>IF($U988="",IF(AND(COUNTA($A988:$L988)&gt;0,$N988=""),"Awaiting Collection Email time stamp.",""),IF(OR($U988="PAID",$U988="CLOSED"),IF($U988="PAID","Account paid. Action completed.","Account closed. No further action required."),CHOOSE($Z988,"Collection Email","1st Email Follow-up","2nd Email Follow-up","Escalation to Local Office","Escalation to CBE","Escalation to Roxanne")&amp;" sent "&amp;TEXT($AA988,"dd-mmm")&amp;". "&amp;IF($Z988=6,"Final escalation completed.",IF($U988="OVERDUE","Next: "&amp;$AC988&amp;" was due "&amp;TEXT($AB988,"dd-mmm")&amp;" - "&amp;(NETWORKDAYS($AB988,TODAY(),Holidays)-1)&amp;" business day(s) late. Send now.",IF($U988="DUE TOMORROW","Next: "&amp;$AC988&amp;IF($AB988&lt;=TODAY()," is due TODAY ("," is due next business day (")&amp;TEXT($AB988,"dd-mmm")&amp;").","Next: "&amp;$AC988&amp;" due "&amp;TEXT($AB988,"dd-mmm")&amp;" ("&amp;(NETWORKDAYS(TODAY(),$AB988,Holidays)-1)&amp;" business day(s) left).")))))</f>
        <v/>
      </c>
      <c r="W988" s="17">
        <f>IF($Z988="","",CHOOSE($Z988,"Collection Email","1st Follow-up","2nd Follow-up","Local Office","CBE","Roxanne")&amp;IF($Z988=6," - Final"," - Day "&amp;MAX(0,NETWORKDAYS($AA988,TODAY(),Holidays)-1)&amp;" of "&amp;CHOOSE($Z988,3,3,2,2,3))&amp;" | Total Day "&amp;MAX(0,NETWORKDAYS($N988,TODAY(),Holidays)-1))</f>
        <v/>
      </c>
      <c r="X988" s="18"/>
      <c r="Y988" s="18"/>
      <c r="Z988" s="17">
        <f>IF($N988="","",COUNT($N988:$S988))</f>
        <v/>
      </c>
      <c r="AA988" s="19">
        <f>IF($Z988="","",INT(INDEX($N988:$S988,$Z988)))</f>
        <v/>
      </c>
      <c r="AB988" s="19">
        <f>IF(OR($Z988="",$Z988=6),"",WORKDAY($AA988,CHOOSE($Z988,3,3,2,2,3),Holidays))</f>
        <v/>
      </c>
      <c r="AC988" s="17">
        <f>IF(OR($Z988="",$Z988=6),"",CHOOSE($Z988,"1st Email Follow-up","2nd Email Follow-up","Escalate Local Office","Escalate to CBE","Escalate to Roxanne"))</f>
        <v/>
      </c>
    </row>
    <row r="989" spans="13:29">
      <c r="M989" s="14"/>
      <c r="T989" s="16"/>
      <c r="U989" s="17">
        <f>IF(AND(COUNTA($A989:$L989)=0,$N989=""),"",IF($T989="Paid","PAID",IF($T989="Closed","CLOSED",IF($Z989="","",IF($Z989=6,"ESCALATED TO ROXANNE",IF(TODAY()&gt;$AB989,"OVERDUE",IF($AB989&lt;=WORKDAY(TODAY(),1,Holidays),"DUE TOMORROW",IF($Z989=4,"ESCALATED TO LOCAL OFFICE",IF($Z989=5,"ESCALATED TO CBE",IF($AA989=TODAY(),"EMAIL SENT","MONITORING"))))))))))</f>
        <v/>
      </c>
      <c r="V989" s="17">
        <f>IF($U989="",IF(AND(COUNTA($A989:$L989)&gt;0,$N989=""),"Awaiting Collection Email time stamp.",""),IF(OR($U989="PAID",$U989="CLOSED"),IF($U989="PAID","Account paid. Action completed.","Account closed. No further action required."),CHOOSE($Z989,"Collection Email","1st Email Follow-up","2nd Email Follow-up","Escalation to Local Office","Escalation to CBE","Escalation to Roxanne")&amp;" sent "&amp;TEXT($AA989,"dd-mmm")&amp;". "&amp;IF($Z989=6,"Final escalation completed.",IF($U989="OVERDUE","Next: "&amp;$AC989&amp;" was due "&amp;TEXT($AB989,"dd-mmm")&amp;" - "&amp;(NETWORKDAYS($AB989,TODAY(),Holidays)-1)&amp;" business day(s) late. Send now.",IF($U989="DUE TOMORROW","Next: "&amp;$AC989&amp;IF($AB989&lt;=TODAY()," is due TODAY ("," is due next business day (")&amp;TEXT($AB989,"dd-mmm")&amp;").","Next: "&amp;$AC989&amp;" due "&amp;TEXT($AB989,"dd-mmm")&amp;" ("&amp;(NETWORKDAYS(TODAY(),$AB989,Holidays)-1)&amp;" business day(s) left).")))))</f>
        <v/>
      </c>
      <c r="W989" s="17">
        <f>IF($Z989="","",CHOOSE($Z989,"Collection Email","1st Follow-up","2nd Follow-up","Local Office","CBE","Roxanne")&amp;IF($Z989=6," - Final"," - Day "&amp;MAX(0,NETWORKDAYS($AA989,TODAY(),Holidays)-1)&amp;" of "&amp;CHOOSE($Z989,3,3,2,2,3))&amp;" | Total Day "&amp;MAX(0,NETWORKDAYS($N989,TODAY(),Holidays)-1))</f>
        <v/>
      </c>
      <c r="X989" s="18"/>
      <c r="Y989" s="18"/>
      <c r="Z989" s="17">
        <f>IF($N989="","",COUNT($N989:$S989))</f>
        <v/>
      </c>
      <c r="AA989" s="19">
        <f>IF($Z989="","",INT(INDEX($N989:$S989,$Z989)))</f>
        <v/>
      </c>
      <c r="AB989" s="19">
        <f>IF(OR($Z989="",$Z989=6),"",WORKDAY($AA989,CHOOSE($Z989,3,3,2,2,3),Holidays))</f>
        <v/>
      </c>
      <c r="AC989" s="17">
        <f>IF(OR($Z989="",$Z989=6),"",CHOOSE($Z989,"1st Email Follow-up","2nd Email Follow-up","Escalate Local Office","Escalate to CBE","Escalate to Roxanne"))</f>
        <v/>
      </c>
    </row>
    <row r="990" spans="13:29">
      <c r="M990" s="14"/>
      <c r="T990" s="16"/>
      <c r="U990" s="17">
        <f>IF(AND(COUNTA($A990:$L990)=0,$N990=""),"",IF($T990="Paid","PAID",IF($T990="Closed","CLOSED",IF($Z990="","",IF($Z990=6,"ESCALATED TO ROXANNE",IF(TODAY()&gt;$AB990,"OVERDUE",IF($AB990&lt;=WORKDAY(TODAY(),1,Holidays),"DUE TOMORROW",IF($Z990=4,"ESCALATED TO LOCAL OFFICE",IF($Z990=5,"ESCALATED TO CBE",IF($AA990=TODAY(),"EMAIL SENT","MONITORING"))))))))))</f>
        <v/>
      </c>
      <c r="V990" s="17">
        <f>IF($U990="",IF(AND(COUNTA($A990:$L990)&gt;0,$N990=""),"Awaiting Collection Email time stamp.",""),IF(OR($U990="PAID",$U990="CLOSED"),IF($U990="PAID","Account paid. Action completed.","Account closed. No further action required."),CHOOSE($Z990,"Collection Email","1st Email Follow-up","2nd Email Follow-up","Escalation to Local Office","Escalation to CBE","Escalation to Roxanne")&amp;" sent "&amp;TEXT($AA990,"dd-mmm")&amp;". "&amp;IF($Z990=6,"Final escalation completed.",IF($U990="OVERDUE","Next: "&amp;$AC990&amp;" was due "&amp;TEXT($AB990,"dd-mmm")&amp;" - "&amp;(NETWORKDAYS($AB990,TODAY(),Holidays)-1)&amp;" business day(s) late. Send now.",IF($U990="DUE TOMORROW","Next: "&amp;$AC990&amp;IF($AB990&lt;=TODAY()," is due TODAY ("," is due next business day (")&amp;TEXT($AB990,"dd-mmm")&amp;").","Next: "&amp;$AC990&amp;" due "&amp;TEXT($AB990,"dd-mmm")&amp;" ("&amp;(NETWORKDAYS(TODAY(),$AB990,Holidays)-1)&amp;" business day(s) left).")))))</f>
        <v/>
      </c>
      <c r="W990" s="17">
        <f>IF($Z990="","",CHOOSE($Z990,"Collection Email","1st Follow-up","2nd Follow-up","Local Office","CBE","Roxanne")&amp;IF($Z990=6," - Final"," - Day "&amp;MAX(0,NETWORKDAYS($AA990,TODAY(),Holidays)-1)&amp;" of "&amp;CHOOSE($Z990,3,3,2,2,3))&amp;" | Total Day "&amp;MAX(0,NETWORKDAYS($N990,TODAY(),Holidays)-1))</f>
        <v/>
      </c>
      <c r="X990" s="18"/>
      <c r="Y990" s="18"/>
      <c r="Z990" s="17">
        <f>IF($N990="","",COUNT($N990:$S990))</f>
        <v/>
      </c>
      <c r="AA990" s="19">
        <f>IF($Z990="","",INT(INDEX($N990:$S990,$Z990)))</f>
        <v/>
      </c>
      <c r="AB990" s="19">
        <f>IF(OR($Z990="",$Z990=6),"",WORKDAY($AA990,CHOOSE($Z990,3,3,2,2,3),Holidays))</f>
        <v/>
      </c>
      <c r="AC990" s="17">
        <f>IF(OR($Z990="",$Z990=6),"",CHOOSE($Z990,"1st Email Follow-up","2nd Email Follow-up","Escalate Local Office","Escalate to CBE","Escalate to Roxanne"))</f>
        <v/>
      </c>
    </row>
    <row r="991" spans="13:29">
      <c r="M991" s="14"/>
      <c r="T991" s="16"/>
      <c r="U991" s="17">
        <f>IF(AND(COUNTA($A991:$L991)=0,$N991=""),"",IF($T991="Paid","PAID",IF($T991="Closed","CLOSED",IF($Z991="","",IF($Z991=6,"ESCALATED TO ROXANNE",IF(TODAY()&gt;$AB991,"OVERDUE",IF($AB991&lt;=WORKDAY(TODAY(),1,Holidays),"DUE TOMORROW",IF($Z991=4,"ESCALATED TO LOCAL OFFICE",IF($Z991=5,"ESCALATED TO CBE",IF($AA991=TODAY(),"EMAIL SENT","MONITORING"))))))))))</f>
        <v/>
      </c>
      <c r="V991" s="17">
        <f>IF($U991="",IF(AND(COUNTA($A991:$L991)&gt;0,$N991=""),"Awaiting Collection Email time stamp.",""),IF(OR($U991="PAID",$U991="CLOSED"),IF($U991="PAID","Account paid. Action completed.","Account closed. No further action required."),CHOOSE($Z991,"Collection Email","1st Email Follow-up","2nd Email Follow-up","Escalation to Local Office","Escalation to CBE","Escalation to Roxanne")&amp;" sent "&amp;TEXT($AA991,"dd-mmm")&amp;". "&amp;IF($Z991=6,"Final escalation completed.",IF($U991="OVERDUE","Next: "&amp;$AC991&amp;" was due "&amp;TEXT($AB991,"dd-mmm")&amp;" - "&amp;(NETWORKDAYS($AB991,TODAY(),Holidays)-1)&amp;" business day(s) late. Send now.",IF($U991="DUE TOMORROW","Next: "&amp;$AC991&amp;IF($AB991&lt;=TODAY()," is due TODAY ("," is due next business day (")&amp;TEXT($AB991,"dd-mmm")&amp;").","Next: "&amp;$AC991&amp;" due "&amp;TEXT($AB991,"dd-mmm")&amp;" ("&amp;(NETWORKDAYS(TODAY(),$AB991,Holidays)-1)&amp;" business day(s) left).")))))</f>
        <v/>
      </c>
      <c r="W991" s="17">
        <f>IF($Z991="","",CHOOSE($Z991,"Collection Email","1st Follow-up","2nd Follow-up","Local Office","CBE","Roxanne")&amp;IF($Z991=6," - Final"," - Day "&amp;MAX(0,NETWORKDAYS($AA991,TODAY(),Holidays)-1)&amp;" of "&amp;CHOOSE($Z991,3,3,2,2,3))&amp;" | Total Day "&amp;MAX(0,NETWORKDAYS($N991,TODAY(),Holidays)-1))</f>
        <v/>
      </c>
      <c r="X991" s="18"/>
      <c r="Y991" s="18"/>
      <c r="Z991" s="17">
        <f>IF($N991="","",COUNT($N991:$S991))</f>
        <v/>
      </c>
      <c r="AA991" s="19">
        <f>IF($Z991="","",INT(INDEX($N991:$S991,$Z991)))</f>
        <v/>
      </c>
      <c r="AB991" s="19">
        <f>IF(OR($Z991="",$Z991=6),"",WORKDAY($AA991,CHOOSE($Z991,3,3,2,2,3),Holidays))</f>
        <v/>
      </c>
      <c r="AC991" s="17">
        <f>IF(OR($Z991="",$Z991=6),"",CHOOSE($Z991,"1st Email Follow-up","2nd Email Follow-up","Escalate Local Office","Escalate to CBE","Escalate to Roxanne"))</f>
        <v/>
      </c>
    </row>
    <row r="992" spans="13:29">
      <c r="M992" s="14"/>
      <c r="T992" s="16"/>
      <c r="U992" s="17">
        <f>IF(AND(COUNTA($A992:$L992)=0,$N992=""),"",IF($T992="Paid","PAID",IF($T992="Closed","CLOSED",IF($Z992="","",IF($Z992=6,"ESCALATED TO ROXANNE",IF(TODAY()&gt;$AB992,"OVERDUE",IF($AB992&lt;=WORKDAY(TODAY(),1,Holidays),"DUE TOMORROW",IF($Z992=4,"ESCALATED TO LOCAL OFFICE",IF($Z992=5,"ESCALATED TO CBE",IF($AA992=TODAY(),"EMAIL SENT","MONITORING"))))))))))</f>
        <v/>
      </c>
      <c r="V992" s="17">
        <f>IF($U992="",IF(AND(COUNTA($A992:$L992)&gt;0,$N992=""),"Awaiting Collection Email time stamp.",""),IF(OR($U992="PAID",$U992="CLOSED"),IF($U992="PAID","Account paid. Action completed.","Account closed. No further action required."),CHOOSE($Z992,"Collection Email","1st Email Follow-up","2nd Email Follow-up","Escalation to Local Office","Escalation to CBE","Escalation to Roxanne")&amp;" sent "&amp;TEXT($AA992,"dd-mmm")&amp;". "&amp;IF($Z992=6,"Final escalation completed.",IF($U992="OVERDUE","Next: "&amp;$AC992&amp;" was due "&amp;TEXT($AB992,"dd-mmm")&amp;" - "&amp;(NETWORKDAYS($AB992,TODAY(),Holidays)-1)&amp;" business day(s) late. Send now.",IF($U992="DUE TOMORROW","Next: "&amp;$AC992&amp;IF($AB992&lt;=TODAY()," is due TODAY ("," is due next business day (")&amp;TEXT($AB992,"dd-mmm")&amp;").","Next: "&amp;$AC992&amp;" due "&amp;TEXT($AB992,"dd-mmm")&amp;" ("&amp;(NETWORKDAYS(TODAY(),$AB992,Holidays)-1)&amp;" business day(s) left).")))))</f>
        <v/>
      </c>
      <c r="W992" s="17">
        <f>IF($Z992="","",CHOOSE($Z992,"Collection Email","1st Follow-up","2nd Follow-up","Local Office","CBE","Roxanne")&amp;IF($Z992=6," - Final"," - Day "&amp;MAX(0,NETWORKDAYS($AA992,TODAY(),Holidays)-1)&amp;" of "&amp;CHOOSE($Z992,3,3,2,2,3))&amp;" | Total Day "&amp;MAX(0,NETWORKDAYS($N992,TODAY(),Holidays)-1))</f>
        <v/>
      </c>
      <c r="X992" s="18"/>
      <c r="Y992" s="18"/>
      <c r="Z992" s="17">
        <f>IF($N992="","",COUNT($N992:$S992))</f>
        <v/>
      </c>
      <c r="AA992" s="19">
        <f>IF($Z992="","",INT(INDEX($N992:$S992,$Z992)))</f>
        <v/>
      </c>
      <c r="AB992" s="19">
        <f>IF(OR($Z992="",$Z992=6),"",WORKDAY($AA992,CHOOSE($Z992,3,3,2,2,3),Holidays))</f>
        <v/>
      </c>
      <c r="AC992" s="17">
        <f>IF(OR($Z992="",$Z992=6),"",CHOOSE($Z992,"1st Email Follow-up","2nd Email Follow-up","Escalate Local Office","Escalate to CBE","Escalate to Roxanne"))</f>
        <v/>
      </c>
    </row>
    <row r="993" spans="13:29">
      <c r="M993" s="14"/>
      <c r="T993" s="16"/>
      <c r="U993" s="17">
        <f>IF(AND(COUNTA($A993:$L993)=0,$N993=""),"",IF($T993="Paid","PAID",IF($T993="Closed","CLOSED",IF($Z993="","",IF($Z993=6,"ESCALATED TO ROXANNE",IF(TODAY()&gt;$AB993,"OVERDUE",IF($AB993&lt;=WORKDAY(TODAY(),1,Holidays),"DUE TOMORROW",IF($Z993=4,"ESCALATED TO LOCAL OFFICE",IF($Z993=5,"ESCALATED TO CBE",IF($AA993=TODAY(),"EMAIL SENT","MONITORING"))))))))))</f>
        <v/>
      </c>
      <c r="V993" s="17">
        <f>IF($U993="",IF(AND(COUNTA($A993:$L993)&gt;0,$N993=""),"Awaiting Collection Email time stamp.",""),IF(OR($U993="PAID",$U993="CLOSED"),IF($U993="PAID","Account paid. Action completed.","Account closed. No further action required."),CHOOSE($Z993,"Collection Email","1st Email Follow-up","2nd Email Follow-up","Escalation to Local Office","Escalation to CBE","Escalation to Roxanne")&amp;" sent "&amp;TEXT($AA993,"dd-mmm")&amp;". "&amp;IF($Z993=6,"Final escalation completed.",IF($U993="OVERDUE","Next: "&amp;$AC993&amp;" was due "&amp;TEXT($AB993,"dd-mmm")&amp;" - "&amp;(NETWORKDAYS($AB993,TODAY(),Holidays)-1)&amp;" business day(s) late. Send now.",IF($U993="DUE TOMORROW","Next: "&amp;$AC993&amp;IF($AB993&lt;=TODAY()," is due TODAY ("," is due next business day (")&amp;TEXT($AB993,"dd-mmm")&amp;").","Next: "&amp;$AC993&amp;" due "&amp;TEXT($AB993,"dd-mmm")&amp;" ("&amp;(NETWORKDAYS(TODAY(),$AB993,Holidays)-1)&amp;" business day(s) left).")))))</f>
        <v/>
      </c>
      <c r="W993" s="17">
        <f>IF($Z993="","",CHOOSE($Z993,"Collection Email","1st Follow-up","2nd Follow-up","Local Office","CBE","Roxanne")&amp;IF($Z993=6," - Final"," - Day "&amp;MAX(0,NETWORKDAYS($AA993,TODAY(),Holidays)-1)&amp;" of "&amp;CHOOSE($Z993,3,3,2,2,3))&amp;" | Total Day "&amp;MAX(0,NETWORKDAYS($N993,TODAY(),Holidays)-1))</f>
        <v/>
      </c>
      <c r="X993" s="18"/>
      <c r="Y993" s="18"/>
      <c r="Z993" s="17">
        <f>IF($N993="","",COUNT($N993:$S993))</f>
        <v/>
      </c>
      <c r="AA993" s="19">
        <f>IF($Z993="","",INT(INDEX($N993:$S993,$Z993)))</f>
        <v/>
      </c>
      <c r="AB993" s="19">
        <f>IF(OR($Z993="",$Z993=6),"",WORKDAY($AA993,CHOOSE($Z993,3,3,2,2,3),Holidays))</f>
        <v/>
      </c>
      <c r="AC993" s="17">
        <f>IF(OR($Z993="",$Z993=6),"",CHOOSE($Z993,"1st Email Follow-up","2nd Email Follow-up","Escalate Local Office","Escalate to CBE","Escalate to Roxanne"))</f>
        <v/>
      </c>
    </row>
    <row r="994" spans="13:29">
      <c r="M994" s="14"/>
      <c r="T994" s="16"/>
      <c r="U994" s="17">
        <f>IF(AND(COUNTA($A994:$L994)=0,$N994=""),"",IF($T994="Paid","PAID",IF($T994="Closed","CLOSED",IF($Z994="","",IF($Z994=6,"ESCALATED TO ROXANNE",IF(TODAY()&gt;$AB994,"OVERDUE",IF($AB994&lt;=WORKDAY(TODAY(),1,Holidays),"DUE TOMORROW",IF($Z994=4,"ESCALATED TO LOCAL OFFICE",IF($Z994=5,"ESCALATED TO CBE",IF($AA994=TODAY(),"EMAIL SENT","MONITORING"))))))))))</f>
        <v/>
      </c>
      <c r="V994" s="17">
        <f>IF($U994="",IF(AND(COUNTA($A994:$L994)&gt;0,$N994=""),"Awaiting Collection Email time stamp.",""),IF(OR($U994="PAID",$U994="CLOSED"),IF($U994="PAID","Account paid. Action completed.","Account closed. No further action required."),CHOOSE($Z994,"Collection Email","1st Email Follow-up","2nd Email Follow-up","Escalation to Local Office","Escalation to CBE","Escalation to Roxanne")&amp;" sent "&amp;TEXT($AA994,"dd-mmm")&amp;". "&amp;IF($Z994=6,"Final escalation completed.",IF($U994="OVERDUE","Next: "&amp;$AC994&amp;" was due "&amp;TEXT($AB994,"dd-mmm")&amp;" - "&amp;(NETWORKDAYS($AB994,TODAY(),Holidays)-1)&amp;" business day(s) late. Send now.",IF($U994="DUE TOMORROW","Next: "&amp;$AC994&amp;IF($AB994&lt;=TODAY()," is due TODAY ("," is due next business day (")&amp;TEXT($AB994,"dd-mmm")&amp;").","Next: "&amp;$AC994&amp;" due "&amp;TEXT($AB994,"dd-mmm")&amp;" ("&amp;(NETWORKDAYS(TODAY(),$AB994,Holidays)-1)&amp;" business day(s) left).")))))</f>
        <v/>
      </c>
      <c r="W994" s="17">
        <f>IF($Z994="","",CHOOSE($Z994,"Collection Email","1st Follow-up","2nd Follow-up","Local Office","CBE","Roxanne")&amp;IF($Z994=6," - Final"," - Day "&amp;MAX(0,NETWORKDAYS($AA994,TODAY(),Holidays)-1)&amp;" of "&amp;CHOOSE($Z994,3,3,2,2,3))&amp;" | Total Day "&amp;MAX(0,NETWORKDAYS($N994,TODAY(),Holidays)-1))</f>
        <v/>
      </c>
      <c r="X994" s="18"/>
      <c r="Y994" s="18"/>
      <c r="Z994" s="17">
        <f>IF($N994="","",COUNT($N994:$S994))</f>
        <v/>
      </c>
      <c r="AA994" s="19">
        <f>IF($Z994="","",INT(INDEX($N994:$S994,$Z994)))</f>
        <v/>
      </c>
      <c r="AB994" s="19">
        <f>IF(OR($Z994="",$Z994=6),"",WORKDAY($AA994,CHOOSE($Z994,3,3,2,2,3),Holidays))</f>
        <v/>
      </c>
      <c r="AC994" s="17">
        <f>IF(OR($Z994="",$Z994=6),"",CHOOSE($Z994,"1st Email Follow-up","2nd Email Follow-up","Escalate Local Office","Escalate to CBE","Escalate to Roxanne"))</f>
        <v/>
      </c>
    </row>
    <row r="995" spans="13:29">
      <c r="M995" s="14"/>
      <c r="T995" s="16"/>
      <c r="U995" s="17">
        <f>IF(AND(COUNTA($A995:$L995)=0,$N995=""),"",IF($T995="Paid","PAID",IF($T995="Closed","CLOSED",IF($Z995="","",IF($Z995=6,"ESCALATED TO ROXANNE",IF(TODAY()&gt;$AB995,"OVERDUE",IF($AB995&lt;=WORKDAY(TODAY(),1,Holidays),"DUE TOMORROW",IF($Z995=4,"ESCALATED TO LOCAL OFFICE",IF($Z995=5,"ESCALATED TO CBE",IF($AA995=TODAY(),"EMAIL SENT","MONITORING"))))))))))</f>
        <v/>
      </c>
      <c r="V995" s="17">
        <f>IF($U995="",IF(AND(COUNTA($A995:$L995)&gt;0,$N995=""),"Awaiting Collection Email time stamp.",""),IF(OR($U995="PAID",$U995="CLOSED"),IF($U995="PAID","Account paid. Action completed.","Account closed. No further action required."),CHOOSE($Z995,"Collection Email","1st Email Follow-up","2nd Email Follow-up","Escalation to Local Office","Escalation to CBE","Escalation to Roxanne")&amp;" sent "&amp;TEXT($AA995,"dd-mmm")&amp;". "&amp;IF($Z995=6,"Final escalation completed.",IF($U995="OVERDUE","Next: "&amp;$AC995&amp;" was due "&amp;TEXT($AB995,"dd-mmm")&amp;" - "&amp;(NETWORKDAYS($AB995,TODAY(),Holidays)-1)&amp;" business day(s) late. Send now.",IF($U995="DUE TOMORROW","Next: "&amp;$AC995&amp;IF($AB995&lt;=TODAY()," is due TODAY ("," is due next business day (")&amp;TEXT($AB995,"dd-mmm")&amp;").","Next: "&amp;$AC995&amp;" due "&amp;TEXT($AB995,"dd-mmm")&amp;" ("&amp;(NETWORKDAYS(TODAY(),$AB995,Holidays)-1)&amp;" business day(s) left).")))))</f>
        <v/>
      </c>
      <c r="W995" s="17">
        <f>IF($Z995="","",CHOOSE($Z995,"Collection Email","1st Follow-up","2nd Follow-up","Local Office","CBE","Roxanne")&amp;IF($Z995=6," - Final"," - Day "&amp;MAX(0,NETWORKDAYS($AA995,TODAY(),Holidays)-1)&amp;" of "&amp;CHOOSE($Z995,3,3,2,2,3))&amp;" | Total Day "&amp;MAX(0,NETWORKDAYS($N995,TODAY(),Holidays)-1))</f>
        <v/>
      </c>
      <c r="X995" s="18"/>
      <c r="Y995" s="18"/>
      <c r="Z995" s="17">
        <f>IF($N995="","",COUNT($N995:$S995))</f>
        <v/>
      </c>
      <c r="AA995" s="19">
        <f>IF($Z995="","",INT(INDEX($N995:$S995,$Z995)))</f>
        <v/>
      </c>
      <c r="AB995" s="19">
        <f>IF(OR($Z995="",$Z995=6),"",WORKDAY($AA995,CHOOSE($Z995,3,3,2,2,3),Holidays))</f>
        <v/>
      </c>
      <c r="AC995" s="17">
        <f>IF(OR($Z995="",$Z995=6),"",CHOOSE($Z995,"1st Email Follow-up","2nd Email Follow-up","Escalate Local Office","Escalate to CBE","Escalate to Roxanne"))</f>
        <v/>
      </c>
    </row>
    <row r="996" spans="13:29">
      <c r="M996" s="14"/>
      <c r="T996" s="16"/>
      <c r="U996" s="17">
        <f>IF(AND(COUNTA($A996:$L996)=0,$N996=""),"",IF($T996="Paid","PAID",IF($T996="Closed","CLOSED",IF($Z996="","",IF($Z996=6,"ESCALATED TO ROXANNE",IF(TODAY()&gt;$AB996,"OVERDUE",IF($AB996&lt;=WORKDAY(TODAY(),1,Holidays),"DUE TOMORROW",IF($Z996=4,"ESCALATED TO LOCAL OFFICE",IF($Z996=5,"ESCALATED TO CBE",IF($AA996=TODAY(),"EMAIL SENT","MONITORING"))))))))))</f>
        <v/>
      </c>
      <c r="V996" s="17">
        <f>IF($U996="",IF(AND(COUNTA($A996:$L996)&gt;0,$N996=""),"Awaiting Collection Email time stamp.",""),IF(OR($U996="PAID",$U996="CLOSED"),IF($U996="PAID","Account paid. Action completed.","Account closed. No further action required."),CHOOSE($Z996,"Collection Email","1st Email Follow-up","2nd Email Follow-up","Escalation to Local Office","Escalation to CBE","Escalation to Roxanne")&amp;" sent "&amp;TEXT($AA996,"dd-mmm")&amp;". "&amp;IF($Z996=6,"Final escalation completed.",IF($U996="OVERDUE","Next: "&amp;$AC996&amp;" was due "&amp;TEXT($AB996,"dd-mmm")&amp;" - "&amp;(NETWORKDAYS($AB996,TODAY(),Holidays)-1)&amp;" business day(s) late. Send now.",IF($U996="DUE TOMORROW","Next: "&amp;$AC996&amp;IF($AB996&lt;=TODAY()," is due TODAY ("," is due next business day (")&amp;TEXT($AB996,"dd-mmm")&amp;").","Next: "&amp;$AC996&amp;" due "&amp;TEXT($AB996,"dd-mmm")&amp;" ("&amp;(NETWORKDAYS(TODAY(),$AB996,Holidays)-1)&amp;" business day(s) left).")))))</f>
        <v/>
      </c>
      <c r="W996" s="17">
        <f>IF($Z996="","",CHOOSE($Z996,"Collection Email","1st Follow-up","2nd Follow-up","Local Office","CBE","Roxanne")&amp;IF($Z996=6," - Final"," - Day "&amp;MAX(0,NETWORKDAYS($AA996,TODAY(),Holidays)-1)&amp;" of "&amp;CHOOSE($Z996,3,3,2,2,3))&amp;" | Total Day "&amp;MAX(0,NETWORKDAYS($N996,TODAY(),Holidays)-1))</f>
        <v/>
      </c>
      <c r="X996" s="18"/>
      <c r="Y996" s="18"/>
      <c r="Z996" s="17">
        <f>IF($N996="","",COUNT($N996:$S996))</f>
        <v/>
      </c>
      <c r="AA996" s="19">
        <f>IF($Z996="","",INT(INDEX($N996:$S996,$Z996)))</f>
        <v/>
      </c>
      <c r="AB996" s="19">
        <f>IF(OR($Z996="",$Z996=6),"",WORKDAY($AA996,CHOOSE($Z996,3,3,2,2,3),Holidays))</f>
        <v/>
      </c>
      <c r="AC996" s="17">
        <f>IF(OR($Z996="",$Z996=6),"",CHOOSE($Z996,"1st Email Follow-up","2nd Email Follow-up","Escalate Local Office","Escalate to CBE","Escalate to Roxanne"))</f>
        <v/>
      </c>
    </row>
    <row r="997" spans="13:29">
      <c r="M997" s="14"/>
      <c r="T997" s="16"/>
      <c r="U997" s="17">
        <f>IF(AND(COUNTA($A997:$L997)=0,$N997=""),"",IF($T997="Paid","PAID",IF($T997="Closed","CLOSED",IF($Z997="","",IF($Z997=6,"ESCALATED TO ROXANNE",IF(TODAY()&gt;$AB997,"OVERDUE",IF($AB997&lt;=WORKDAY(TODAY(),1,Holidays),"DUE TOMORROW",IF($Z997=4,"ESCALATED TO LOCAL OFFICE",IF($Z997=5,"ESCALATED TO CBE",IF($AA997=TODAY(),"EMAIL SENT","MONITORING"))))))))))</f>
        <v/>
      </c>
      <c r="V997" s="17">
        <f>IF($U997="",IF(AND(COUNTA($A997:$L997)&gt;0,$N997=""),"Awaiting Collection Email time stamp.",""),IF(OR($U997="PAID",$U997="CLOSED"),IF($U997="PAID","Account paid. Action completed.","Account closed. No further action required."),CHOOSE($Z997,"Collection Email","1st Email Follow-up","2nd Email Follow-up","Escalation to Local Office","Escalation to CBE","Escalation to Roxanne")&amp;" sent "&amp;TEXT($AA997,"dd-mmm")&amp;". "&amp;IF($Z997=6,"Final escalation completed.",IF($U997="OVERDUE","Next: "&amp;$AC997&amp;" was due "&amp;TEXT($AB997,"dd-mmm")&amp;" - "&amp;(NETWORKDAYS($AB997,TODAY(),Holidays)-1)&amp;" business day(s) late. Send now.",IF($U997="DUE TOMORROW","Next: "&amp;$AC997&amp;IF($AB997&lt;=TODAY()," is due TODAY ("," is due next business day (")&amp;TEXT($AB997,"dd-mmm")&amp;").","Next: "&amp;$AC997&amp;" due "&amp;TEXT($AB997,"dd-mmm")&amp;" ("&amp;(NETWORKDAYS(TODAY(),$AB997,Holidays)-1)&amp;" business day(s) left).")))))</f>
        <v/>
      </c>
      <c r="W997" s="17">
        <f>IF($Z997="","",CHOOSE($Z997,"Collection Email","1st Follow-up","2nd Follow-up","Local Office","CBE","Roxanne")&amp;IF($Z997=6," - Final"," - Day "&amp;MAX(0,NETWORKDAYS($AA997,TODAY(),Holidays)-1)&amp;" of "&amp;CHOOSE($Z997,3,3,2,2,3))&amp;" | Total Day "&amp;MAX(0,NETWORKDAYS($N997,TODAY(),Holidays)-1))</f>
        <v/>
      </c>
      <c r="X997" s="18"/>
      <c r="Y997" s="18"/>
      <c r="Z997" s="17">
        <f>IF($N997="","",COUNT($N997:$S997))</f>
        <v/>
      </c>
      <c r="AA997" s="19">
        <f>IF($Z997="","",INT(INDEX($N997:$S997,$Z997)))</f>
        <v/>
      </c>
      <c r="AB997" s="19">
        <f>IF(OR($Z997="",$Z997=6),"",WORKDAY($AA997,CHOOSE($Z997,3,3,2,2,3),Holidays))</f>
        <v/>
      </c>
      <c r="AC997" s="17">
        <f>IF(OR($Z997="",$Z997=6),"",CHOOSE($Z997,"1st Email Follow-up","2nd Email Follow-up","Escalate Local Office","Escalate to CBE","Escalate to Roxanne"))</f>
        <v/>
      </c>
    </row>
    <row r="998" spans="13:29">
      <c r="M998" s="14"/>
      <c r="T998" s="16"/>
      <c r="U998" s="17">
        <f>IF(AND(COUNTA($A998:$L998)=0,$N998=""),"",IF($T998="Paid","PAID",IF($T998="Closed","CLOSED",IF($Z998="","",IF($Z998=6,"ESCALATED TO ROXANNE",IF(TODAY()&gt;$AB998,"OVERDUE",IF($AB998&lt;=WORKDAY(TODAY(),1,Holidays),"DUE TOMORROW",IF($Z998=4,"ESCALATED TO LOCAL OFFICE",IF($Z998=5,"ESCALATED TO CBE",IF($AA998=TODAY(),"EMAIL SENT","MONITORING"))))))))))</f>
        <v/>
      </c>
      <c r="V998" s="17">
        <f>IF($U998="",IF(AND(COUNTA($A998:$L998)&gt;0,$N998=""),"Awaiting Collection Email time stamp.",""),IF(OR($U998="PAID",$U998="CLOSED"),IF($U998="PAID","Account paid. Action completed.","Account closed. No further action required."),CHOOSE($Z998,"Collection Email","1st Email Follow-up","2nd Email Follow-up","Escalation to Local Office","Escalation to CBE","Escalation to Roxanne")&amp;" sent "&amp;TEXT($AA998,"dd-mmm")&amp;". "&amp;IF($Z998=6,"Final escalation completed.",IF($U998="OVERDUE","Next: "&amp;$AC998&amp;" was due "&amp;TEXT($AB998,"dd-mmm")&amp;" - "&amp;(NETWORKDAYS($AB998,TODAY(),Holidays)-1)&amp;" business day(s) late. Send now.",IF($U998="DUE TOMORROW","Next: "&amp;$AC998&amp;IF($AB998&lt;=TODAY()," is due TODAY ("," is due next business day (")&amp;TEXT($AB998,"dd-mmm")&amp;").","Next: "&amp;$AC998&amp;" due "&amp;TEXT($AB998,"dd-mmm")&amp;" ("&amp;(NETWORKDAYS(TODAY(),$AB998,Holidays)-1)&amp;" business day(s) left).")))))</f>
        <v/>
      </c>
      <c r="W998" s="17">
        <f>IF($Z998="","",CHOOSE($Z998,"Collection Email","1st Follow-up","2nd Follow-up","Local Office","CBE","Roxanne")&amp;IF($Z998=6," - Final"," - Day "&amp;MAX(0,NETWORKDAYS($AA998,TODAY(),Holidays)-1)&amp;" of "&amp;CHOOSE($Z998,3,3,2,2,3))&amp;" | Total Day "&amp;MAX(0,NETWORKDAYS($N998,TODAY(),Holidays)-1))</f>
        <v/>
      </c>
      <c r="X998" s="18"/>
      <c r="Y998" s="18"/>
      <c r="Z998" s="17">
        <f>IF($N998="","",COUNT($N998:$S998))</f>
        <v/>
      </c>
      <c r="AA998" s="19">
        <f>IF($Z998="","",INT(INDEX($N998:$S998,$Z998)))</f>
        <v/>
      </c>
      <c r="AB998" s="19">
        <f>IF(OR($Z998="",$Z998=6),"",WORKDAY($AA998,CHOOSE($Z998,3,3,2,2,3),Holidays))</f>
        <v/>
      </c>
      <c r="AC998" s="17">
        <f>IF(OR($Z998="",$Z998=6),"",CHOOSE($Z998,"1st Email Follow-up","2nd Email Follow-up","Escalate Local Office","Escalate to CBE","Escalate to Roxanne"))</f>
        <v/>
      </c>
    </row>
    <row r="999" spans="13:29">
      <c r="M999" s="14"/>
      <c r="T999" s="16"/>
      <c r="U999" s="17">
        <f>IF(AND(COUNTA($A999:$L999)=0,$N999=""),"",IF($T999="Paid","PAID",IF($T999="Closed","CLOSED",IF($Z999="","",IF($Z999=6,"ESCALATED TO ROXANNE",IF(TODAY()&gt;$AB999,"OVERDUE",IF($AB999&lt;=WORKDAY(TODAY(),1,Holidays),"DUE TOMORROW",IF($Z999=4,"ESCALATED TO LOCAL OFFICE",IF($Z999=5,"ESCALATED TO CBE",IF($AA999=TODAY(),"EMAIL SENT","MONITORING"))))))))))</f>
        <v/>
      </c>
      <c r="V999" s="17">
        <f>IF($U999="",IF(AND(COUNTA($A999:$L999)&gt;0,$N999=""),"Awaiting Collection Email time stamp.",""),IF(OR($U999="PAID",$U999="CLOSED"),IF($U999="PAID","Account paid. Action completed.","Account closed. No further action required."),CHOOSE($Z999,"Collection Email","1st Email Follow-up","2nd Email Follow-up","Escalation to Local Office","Escalation to CBE","Escalation to Roxanne")&amp;" sent "&amp;TEXT($AA999,"dd-mmm")&amp;". "&amp;IF($Z999=6,"Final escalation completed.",IF($U999="OVERDUE","Next: "&amp;$AC999&amp;" was due "&amp;TEXT($AB999,"dd-mmm")&amp;" - "&amp;(NETWORKDAYS($AB999,TODAY(),Holidays)-1)&amp;" business day(s) late. Send now.",IF($U999="DUE TOMORROW","Next: "&amp;$AC999&amp;IF($AB999&lt;=TODAY()," is due TODAY ("," is due next business day (")&amp;TEXT($AB999,"dd-mmm")&amp;").","Next: "&amp;$AC999&amp;" due "&amp;TEXT($AB999,"dd-mmm")&amp;" ("&amp;(NETWORKDAYS(TODAY(),$AB999,Holidays)-1)&amp;" business day(s) left).")))))</f>
        <v/>
      </c>
      <c r="W999" s="17">
        <f>IF($Z999="","",CHOOSE($Z999,"Collection Email","1st Follow-up","2nd Follow-up","Local Office","CBE","Roxanne")&amp;IF($Z999=6," - Final"," - Day "&amp;MAX(0,NETWORKDAYS($AA999,TODAY(),Holidays)-1)&amp;" of "&amp;CHOOSE($Z999,3,3,2,2,3))&amp;" | Total Day "&amp;MAX(0,NETWORKDAYS($N999,TODAY(),Holidays)-1))</f>
        <v/>
      </c>
      <c r="X999" s="18"/>
      <c r="Y999" s="18"/>
      <c r="Z999" s="17">
        <f>IF($N999="","",COUNT($N999:$S999))</f>
        <v/>
      </c>
      <c r="AA999" s="19">
        <f>IF($Z999="","",INT(INDEX($N999:$S999,$Z999)))</f>
        <v/>
      </c>
      <c r="AB999" s="19">
        <f>IF(OR($Z999="",$Z999=6),"",WORKDAY($AA999,CHOOSE($Z999,3,3,2,2,3),Holidays))</f>
        <v/>
      </c>
      <c r="AC999" s="17">
        <f>IF(OR($Z999="",$Z999=6),"",CHOOSE($Z999,"1st Email Follow-up","2nd Email Follow-up","Escalate Local Office","Escalate to CBE","Escalate to Roxanne"))</f>
        <v/>
      </c>
    </row>
    <row r="1000" spans="13:29">
      <c r="M1000" s="14"/>
      <c r="T1000" s="16"/>
      <c r="U1000" s="17">
        <f>IF(AND(COUNTA($A1000:$L1000)=0,$N1000=""),"",IF($T1000="Paid","PAID",IF($T1000="Closed","CLOSED",IF($Z1000="","",IF($Z1000=6,"ESCALATED TO ROXANNE",IF(TODAY()&gt;$AB1000,"OVERDUE",IF($AB1000&lt;=WORKDAY(TODAY(),1,Holidays),"DUE TOMORROW",IF($Z1000=4,"ESCALATED TO LOCAL OFFICE",IF($Z1000=5,"ESCALATED TO CBE",IF($AA1000=TODAY(),"EMAIL SENT","MONITORING"))))))))))</f>
        <v/>
      </c>
      <c r="V1000" s="17">
        <f>IF($U1000="",IF(AND(COUNTA($A1000:$L1000)&gt;0,$N1000=""),"Awaiting Collection Email time stamp.",""),IF(OR($U1000="PAID",$U1000="CLOSED"),IF($U1000="PAID","Account paid. Action completed.","Account closed. No further action required."),CHOOSE($Z1000,"Collection Email","1st Email Follow-up","2nd Email Follow-up","Escalation to Local Office","Escalation to CBE","Escalation to Roxanne")&amp;" sent "&amp;TEXT($AA1000,"dd-mmm")&amp;". "&amp;IF($Z1000=6,"Final escalation completed.",IF($U1000="OVERDUE","Next: "&amp;$AC1000&amp;" was due "&amp;TEXT($AB1000,"dd-mmm")&amp;" - "&amp;(NETWORKDAYS($AB1000,TODAY(),Holidays)-1)&amp;" business day(s) late. Send now.",IF($U1000="DUE TOMORROW","Next: "&amp;$AC1000&amp;IF($AB1000&lt;=TODAY()," is due TODAY ("," is due next business day (")&amp;TEXT($AB1000,"dd-mmm")&amp;").","Next: "&amp;$AC1000&amp;" due "&amp;TEXT($AB1000,"dd-mmm")&amp;" ("&amp;(NETWORKDAYS(TODAY(),$AB1000,Holidays)-1)&amp;" business day(s) left).")))))</f>
        <v/>
      </c>
      <c r="W1000" s="17">
        <f>IF($Z1000="","",CHOOSE($Z1000,"Collection Email","1st Follow-up","2nd Follow-up","Local Office","CBE","Roxanne")&amp;IF($Z1000=6," - Final"," - Day "&amp;MAX(0,NETWORKDAYS($AA1000,TODAY(),Holidays)-1)&amp;" of "&amp;CHOOSE($Z1000,3,3,2,2,3))&amp;" | Total Day "&amp;MAX(0,NETWORKDAYS($N1000,TODAY(),Holidays)-1))</f>
        <v/>
      </c>
      <c r="X1000" s="18"/>
      <c r="Y1000" s="18"/>
      <c r="Z1000" s="17">
        <f>IF($N1000="","",COUNT($N1000:$S1000))</f>
        <v/>
      </c>
      <c r="AA1000" s="19">
        <f>IF($Z1000="","",INT(INDEX($N1000:$S1000,$Z1000)))</f>
        <v/>
      </c>
      <c r="AB1000" s="19">
        <f>IF(OR($Z1000="",$Z1000=6),"",WORKDAY($AA1000,CHOOSE($Z1000,3,3,2,2,3),Holidays))</f>
        <v/>
      </c>
      <c r="AC1000" s="17">
        <f>IF(OR($Z1000="",$Z1000=6),"",CHOOSE($Z1000,"1st Email Follow-up","2nd Email Follow-up","Escalate Local Office","Escalate to CBE","Escalate to Roxanne"))</f>
        <v/>
      </c>
    </row>
    <row r="1001" spans="13:29">
      <c r="M1001" s="14"/>
      <c r="T1001" s="16"/>
      <c r="U1001" s="17">
        <f>IF(AND(COUNTA($A1001:$L1001)=0,$N1001=""),"",IF($T1001="Paid","PAID",IF($T1001="Closed","CLOSED",IF($Z1001="","",IF($Z1001=6,"ESCALATED TO ROXANNE",IF(TODAY()&gt;$AB1001,"OVERDUE",IF($AB1001&lt;=WORKDAY(TODAY(),1,Holidays),"DUE TOMORROW",IF($Z1001=4,"ESCALATED TO LOCAL OFFICE",IF($Z1001=5,"ESCALATED TO CBE",IF($AA1001=TODAY(),"EMAIL SENT","MONITORING"))))))))))</f>
        <v/>
      </c>
      <c r="V1001" s="17">
        <f>IF($U1001="",IF(AND(COUNTA($A1001:$L1001)&gt;0,$N1001=""),"Awaiting Collection Email time stamp.",""),IF(OR($U1001="PAID",$U1001="CLOSED"),IF($U1001="PAID","Account paid. Action completed.","Account closed. No further action required."),CHOOSE($Z1001,"Collection Email","1st Email Follow-up","2nd Email Follow-up","Escalation to Local Office","Escalation to CBE","Escalation to Roxanne")&amp;" sent "&amp;TEXT($AA1001,"dd-mmm")&amp;". "&amp;IF($Z1001=6,"Final escalation completed.",IF($U1001="OVERDUE","Next: "&amp;$AC1001&amp;" was due "&amp;TEXT($AB1001,"dd-mmm")&amp;" - "&amp;(NETWORKDAYS($AB1001,TODAY(),Holidays)-1)&amp;" business day(s) late. Send now.",IF($U1001="DUE TOMORROW","Next: "&amp;$AC1001&amp;IF($AB1001&lt;=TODAY()," is due TODAY ("," is due next business day (")&amp;TEXT($AB1001,"dd-mmm")&amp;").","Next: "&amp;$AC1001&amp;" due "&amp;TEXT($AB1001,"dd-mmm")&amp;" ("&amp;(NETWORKDAYS(TODAY(),$AB1001,Holidays)-1)&amp;" business day(s) left).")))))</f>
        <v/>
      </c>
      <c r="W1001" s="17">
        <f>IF($Z1001="","",CHOOSE($Z1001,"Collection Email","1st Follow-up","2nd Follow-up","Local Office","CBE","Roxanne")&amp;IF($Z1001=6," - Final"," - Day "&amp;MAX(0,NETWORKDAYS($AA1001,TODAY(),Holidays)-1)&amp;" of "&amp;CHOOSE($Z1001,3,3,2,2,3))&amp;" | Total Day "&amp;MAX(0,NETWORKDAYS($N1001,TODAY(),Holidays)-1))</f>
        <v/>
      </c>
      <c r="X1001" s="18"/>
      <c r="Y1001" s="18"/>
      <c r="Z1001" s="17">
        <f>IF($N1001="","",COUNT($N1001:$S1001))</f>
        <v/>
      </c>
      <c r="AA1001" s="19">
        <f>IF($Z1001="","",INT(INDEX($N1001:$S1001,$Z1001)))</f>
        <v/>
      </c>
      <c r="AB1001" s="19">
        <f>IF(OR($Z1001="",$Z1001=6),"",WORKDAY($AA1001,CHOOSE($Z1001,3,3,2,2,3),Holidays))</f>
        <v/>
      </c>
      <c r="AC1001" s="17">
        <f>IF(OR($Z1001="",$Z1001=6),"",CHOOSE($Z1001,"1st Email Follow-up","2nd Email Follow-up","Escalate Local Office","Escalate to CBE","Escalate to Roxanne"))</f>
        <v/>
      </c>
    </row>
    <row r="1002" spans="13:29">
      <c r="M1002" s="14"/>
      <c r="T1002" s="16"/>
      <c r="U1002" s="17">
        <f>IF(AND(COUNTA($A1002:$L1002)=0,$N1002=""),"",IF($T1002="Paid","PAID",IF($T1002="Closed","CLOSED",IF($Z1002="","",IF($Z1002=6,"ESCALATED TO ROXANNE",IF(TODAY()&gt;$AB1002,"OVERDUE",IF($AB1002&lt;=WORKDAY(TODAY(),1,Holidays),"DUE TOMORROW",IF($Z1002=4,"ESCALATED TO LOCAL OFFICE",IF($Z1002=5,"ESCALATED TO CBE",IF($AA1002=TODAY(),"EMAIL SENT","MONITORING"))))))))))</f>
        <v/>
      </c>
      <c r="V1002" s="17">
        <f>IF($U1002="",IF(AND(COUNTA($A1002:$L1002)&gt;0,$N1002=""),"Awaiting Collection Email time stamp.",""),IF(OR($U1002="PAID",$U1002="CLOSED"),IF($U1002="PAID","Account paid. Action completed.","Account closed. No further action required."),CHOOSE($Z1002,"Collection Email","1st Email Follow-up","2nd Email Follow-up","Escalation to Local Office","Escalation to CBE","Escalation to Roxanne")&amp;" sent "&amp;TEXT($AA1002,"dd-mmm")&amp;". "&amp;IF($Z1002=6,"Final escalation completed.",IF($U1002="OVERDUE","Next: "&amp;$AC1002&amp;" was due "&amp;TEXT($AB1002,"dd-mmm")&amp;" - "&amp;(NETWORKDAYS($AB1002,TODAY(),Holidays)-1)&amp;" business day(s) late. Send now.",IF($U1002="DUE TOMORROW","Next: "&amp;$AC1002&amp;IF($AB1002&lt;=TODAY()," is due TODAY ("," is due next business day (")&amp;TEXT($AB1002,"dd-mmm")&amp;").","Next: "&amp;$AC1002&amp;" due "&amp;TEXT($AB1002,"dd-mmm")&amp;" ("&amp;(NETWORKDAYS(TODAY(),$AB1002,Holidays)-1)&amp;" business day(s) left).")))))</f>
        <v/>
      </c>
      <c r="W1002" s="17">
        <f>IF($Z1002="","",CHOOSE($Z1002,"Collection Email","1st Follow-up","2nd Follow-up","Local Office","CBE","Roxanne")&amp;IF($Z1002=6," - Final"," - Day "&amp;MAX(0,NETWORKDAYS($AA1002,TODAY(),Holidays)-1)&amp;" of "&amp;CHOOSE($Z1002,3,3,2,2,3))&amp;" | Total Day "&amp;MAX(0,NETWORKDAYS($N1002,TODAY(),Holidays)-1))</f>
        <v/>
      </c>
      <c r="X1002" s="18"/>
      <c r="Y1002" s="18"/>
      <c r="Z1002" s="17">
        <f>IF($N1002="","",COUNT($N1002:$S1002))</f>
        <v/>
      </c>
      <c r="AA1002" s="19">
        <f>IF($Z1002="","",INT(INDEX($N1002:$S1002,$Z1002)))</f>
        <v/>
      </c>
      <c r="AB1002" s="19">
        <f>IF(OR($Z1002="",$Z1002=6),"",WORKDAY($AA1002,CHOOSE($Z1002,3,3,2,2,3),Holidays))</f>
        <v/>
      </c>
      <c r="AC1002" s="17">
        <f>IF(OR($Z1002="",$Z1002=6),"",CHOOSE($Z1002,"1st Email Follow-up","2nd Email Follow-up","Escalate Local Office","Escalate to CBE","Escalate to Roxanne"))</f>
        <v/>
      </c>
    </row>
    <row r="1003" spans="13:29">
      <c r="M1003" s="14"/>
      <c r="T1003" s="16"/>
      <c r="U1003" s="17">
        <f>IF(AND(COUNTA($A1003:$L1003)=0,$N1003=""),"",IF($T1003="Paid","PAID",IF($T1003="Closed","CLOSED",IF($Z1003="","",IF($Z1003=6,"ESCALATED TO ROXANNE",IF(TODAY()&gt;$AB1003,"OVERDUE",IF($AB1003&lt;=WORKDAY(TODAY(),1,Holidays),"DUE TOMORROW",IF($Z1003=4,"ESCALATED TO LOCAL OFFICE",IF($Z1003=5,"ESCALATED TO CBE",IF($AA1003=TODAY(),"EMAIL SENT","MONITORING"))))))))))</f>
        <v/>
      </c>
      <c r="V1003" s="17">
        <f>IF($U1003="",IF(AND(COUNTA($A1003:$L1003)&gt;0,$N1003=""),"Awaiting Collection Email time stamp.",""),IF(OR($U1003="PAID",$U1003="CLOSED"),IF($U1003="PAID","Account paid. Action completed.","Account closed. No further action required."),CHOOSE($Z1003,"Collection Email","1st Email Follow-up","2nd Email Follow-up","Escalation to Local Office","Escalation to CBE","Escalation to Roxanne")&amp;" sent "&amp;TEXT($AA1003,"dd-mmm")&amp;". "&amp;IF($Z1003=6,"Final escalation completed.",IF($U1003="OVERDUE","Next: "&amp;$AC1003&amp;" was due "&amp;TEXT($AB1003,"dd-mmm")&amp;" - "&amp;(NETWORKDAYS($AB1003,TODAY(),Holidays)-1)&amp;" business day(s) late. Send now.",IF($U1003="DUE TOMORROW","Next: "&amp;$AC1003&amp;IF($AB1003&lt;=TODAY()," is due TODAY ("," is due next business day (")&amp;TEXT($AB1003,"dd-mmm")&amp;").","Next: "&amp;$AC1003&amp;" due "&amp;TEXT($AB1003,"dd-mmm")&amp;" ("&amp;(NETWORKDAYS(TODAY(),$AB1003,Holidays)-1)&amp;" business day(s) left).")))))</f>
        <v/>
      </c>
      <c r="W1003" s="17">
        <f>IF($Z1003="","",CHOOSE($Z1003,"Collection Email","1st Follow-up","2nd Follow-up","Local Office","CBE","Roxanne")&amp;IF($Z1003=6," - Final"," - Day "&amp;MAX(0,NETWORKDAYS($AA1003,TODAY(),Holidays)-1)&amp;" of "&amp;CHOOSE($Z1003,3,3,2,2,3))&amp;" | Total Day "&amp;MAX(0,NETWORKDAYS($N1003,TODAY(),Holidays)-1))</f>
        <v/>
      </c>
      <c r="X1003" s="18"/>
      <c r="Y1003" s="18"/>
      <c r="Z1003" s="17">
        <f>IF($N1003="","",COUNT($N1003:$S1003))</f>
        <v/>
      </c>
      <c r="AA1003" s="19">
        <f>IF($Z1003="","",INT(INDEX($N1003:$S1003,$Z1003)))</f>
        <v/>
      </c>
      <c r="AB1003" s="19">
        <f>IF(OR($Z1003="",$Z1003=6),"",WORKDAY($AA1003,CHOOSE($Z1003,3,3,2,2,3),Holidays))</f>
        <v/>
      </c>
      <c r="AC1003" s="17">
        <f>IF(OR($Z1003="",$Z1003=6),"",CHOOSE($Z1003,"1st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U4:V1003">
    <cfRule type="expression" dxfId="0" priority="1" stopIfTrue="1">
      <formula>$U4="PAID"</formula>
    </cfRule>
    <cfRule type="expression" dxfId="0" priority="2" stopIfTrue="1">
      <formula>$U4="CLOSED"</formula>
    </cfRule>
    <cfRule type="expression" dxfId="0" priority="3" stopIfTrue="1">
      <formula>$U4="EMAIL SENT"</formula>
    </cfRule>
    <cfRule type="expression" dxfId="1" priority="4" stopIfTrue="1">
      <formula>$U4="DUE TOMORROW"</formula>
    </cfRule>
    <cfRule type="expression" dxfId="2" priority="5" stopIfTrue="1">
      <formula>$U4="OVERDUE"</formula>
    </cfRule>
    <cfRule type="expression" dxfId="3" priority="6" stopIfTrue="1">
      <formula>$U4="ESCALATED TO LOCAL OFFICE"</formula>
    </cfRule>
    <cfRule type="expression" dxfId="3" priority="7" stopIfTrue="1">
      <formula>$U4="ESCALATED TO CBE"</formula>
    </cfRule>
    <cfRule type="expression" dxfId="4" priority="8" stopIfTrue="1">
      <formula>$U4="ESCALATED TO ROXANNE"</formula>
    </cfRule>
    <cfRule type="expression" dxfId="5" priority="9" stopIfTrue="1">
      <formula>$U4="MONITORING"</formula>
    </cfRule>
  </conditionalFormatting>
  <dataValidations count="2">
    <dataValidation type="list" allowBlank="1" showInputMessage="1" showErrorMessage="1" errorTitle="Resolution" error="Choose Paid or Closed from the list, or leave blank." sqref="T4:T1003">
      <formula1>"Paid,Closed"</formula1>
    </dataValidation>
    <dataValidation type="list" allowBlank="1" showInputMessage="1" showErrorMessage="1" errorTitle="Invoice Receive" error="Choose Yes or No from the list, or leave blank." sqref="M4:M1003">
      <formula1>"Yes,No"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C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11" customWidth="1"/>
    <col min="2" max="2" width="14.7109375" style="11" customWidth="1"/>
    <col min="3" max="3" width="34.7109375" style="11" customWidth="1"/>
    <col min="4" max="4" width="18.7109375" style="11" customWidth="1"/>
    <col min="5" max="6" width="11.7109375" style="12" customWidth="1"/>
    <col min="7" max="7" width="7.7109375" style="11" customWidth="1"/>
    <col min="8" max="8" width="34.7109375" style="11" customWidth="1"/>
    <col min="9" max="9" width="6.7109375" style="11" customWidth="1"/>
    <col min="10" max="10" width="14.7109375" style="13" customWidth="1"/>
    <col min="11" max="11" width="16.7109375" style="13" customWidth="1"/>
    <col min="12" max="12" width="16.7109375" style="11" customWidth="1"/>
    <col min="13" max="13" width="12.7109375" style="14" customWidth="1"/>
    <col min="14" max="14" width="15.7109375" style="15" customWidth="1"/>
    <col min="15" max="16" width="16.7109375" style="15" customWidth="1"/>
    <col min="17" max="18" width="18.7109375" style="15" customWidth="1"/>
    <col min="19" max="19" width="20.7109375" style="15" customWidth="1"/>
    <col min="20" max="20" width="14.7109375" style="16" customWidth="1"/>
    <col min="21" max="21" width="26.7109375" style="17" customWidth="1"/>
    <col min="22" max="22" width="70.7109375" style="17" customWidth="1"/>
    <col min="23" max="23" width="34.7109375" style="17" customWidth="1"/>
    <col min="24" max="25" width="40.7109375" style="18" customWidth="1"/>
    <col min="26" max="26" width="8.7109375" style="17" hidden="1" customWidth="1"/>
    <col min="27" max="28" width="12.7109375" style="19" hidden="1" customWidth="1"/>
    <col min="29" max="29" width="22.7109375" style="17" hidden="1" customWidth="1"/>
  </cols>
  <sheetData>
    <row r="1" spans="1:29" ht="30" customHeight="1"/>
    <row r="2" spans="1:29">
      <c r="O2" s="20" t="s">
        <v>0</v>
      </c>
      <c r="P2" s="20" t="s">
        <v>0</v>
      </c>
      <c r="Q2" s="20" t="s">
        <v>1</v>
      </c>
      <c r="R2" s="20" t="s">
        <v>1</v>
      </c>
      <c r="S2" s="20" t="s">
        <v>0</v>
      </c>
    </row>
    <row r="3" spans="1:29" ht="32" customHeight="1">
      <c r="A3" s="21" t="s">
        <v>2</v>
      </c>
      <c r="B3" s="21" t="s">
        <v>3</v>
      </c>
      <c r="C3" s="21" t="s">
        <v>4</v>
      </c>
      <c r="D3" s="21" t="s">
        <v>5</v>
      </c>
      <c r="E3" s="21" t="s">
        <v>6</v>
      </c>
      <c r="F3" s="21" t="s">
        <v>7</v>
      </c>
      <c r="G3" s="21" t="s">
        <v>8</v>
      </c>
      <c r="H3" s="21" t="s">
        <v>9</v>
      </c>
      <c r="I3" s="21" t="s">
        <v>10</v>
      </c>
      <c r="J3" s="21" t="s">
        <v>11</v>
      </c>
      <c r="K3" s="21" t="s">
        <v>12</v>
      </c>
      <c r="L3" s="21" t="s">
        <v>13</v>
      </c>
      <c r="M3" s="22" t="s">
        <v>14</v>
      </c>
      <c r="N3" s="23" t="s">
        <v>15</v>
      </c>
      <c r="O3" s="23" t="s">
        <v>16</v>
      </c>
      <c r="P3" s="23" t="s">
        <v>17</v>
      </c>
      <c r="Q3" s="23" t="s">
        <v>18</v>
      </c>
      <c r="R3" s="23" t="s">
        <v>19</v>
      </c>
      <c r="S3" s="23" t="s">
        <v>20</v>
      </c>
      <c r="T3" s="22" t="s">
        <v>21</v>
      </c>
      <c r="U3" s="21" t="s">
        <v>22</v>
      </c>
      <c r="V3" s="21" t="s">
        <v>23</v>
      </c>
      <c r="W3" s="21" t="s">
        <v>24</v>
      </c>
      <c r="X3" s="22" t="s">
        <v>25</v>
      </c>
      <c r="Y3" s="22" t="s">
        <v>26</v>
      </c>
      <c r="Z3" s="21" t="s">
        <v>27</v>
      </c>
      <c r="AA3" s="21" t="s">
        <v>28</v>
      </c>
      <c r="AB3" s="21" t="s">
        <v>29</v>
      </c>
      <c r="AC3" s="21" t="s">
        <v>30</v>
      </c>
    </row>
    <row r="4" spans="1:29">
      <c r="M4" s="14"/>
      <c r="T4" s="16"/>
      <c r="U4" s="17">
        <f>IF(AND(COUNTA($A4:$L4)=0,$N4=""),"",IF($T4="Paid","PAID",IF($T4="Closed","CLOSED",IF($Z4="","",IF($Z4=6,"ESCALATED TO ROXANNE",IF(TODAY()&gt;$AB4,"OVERDUE",IF($AB4&lt;=WORKDAY(TODAY(),1,Holidays),"DUE TOMORROW",IF($Z4=4,"ESCALATED TO LOCAL OFFICE",IF($Z4=5,"ESCALATED TO CBE",IF($AA4=TODAY(),"EMAIL SENT","MONITORING"))))))))))</f>
        <v/>
      </c>
      <c r="V4" s="17">
        <f>IF($U4="",IF(AND(COUNTA($A4:$L4)&gt;0,$N4=""),"Awaiting Collection Email time stamp.",""),IF(OR($U4="PAID",$U4="CLOSED"),IF($U4="PAID","Account paid. Action completed.","Account closed. No further action required."),CHOOSE($Z4,"Collection Email","1st Email Follow-up","2nd Email Follow-up","Escalation to Local Office","Escalation to CBE","Escalation to Roxanne")&amp;" sent "&amp;TEXT($AA4,"dd-mmm")&amp;". "&amp;IF($Z4=6,"Final escalation completed.",IF($U4="OVERDUE","Next: "&amp;$AC4&amp;" was due "&amp;TEXT($AB4,"dd-mmm")&amp;" - "&amp;(NETWORKDAYS($AB4,TODAY(),Holidays)-1)&amp;" business day(s) late. Send now.",IF($U4="DUE TOMORROW","Next: "&amp;$AC4&amp;IF($AB4&lt;=TODAY()," is due TODAY ("," is due next business day (")&amp;TEXT($AB4,"dd-mmm")&amp;").","Next: "&amp;$AC4&amp;" due "&amp;TEXT($AB4,"dd-mmm")&amp;" ("&amp;(NETWORKDAYS(TODAY(),$AB4,Holidays)-1)&amp;" business day(s) left).")))))</f>
        <v/>
      </c>
      <c r="W4" s="17">
        <f>IF($Z4="","",CHOOSE($Z4,"Collection Email","1st Follow-up","2nd Follow-up","Local Office","CBE","Roxanne")&amp;IF($Z4=6," - Final"," - Day "&amp;MAX(0,NETWORKDAYS($AA4,TODAY(),Holidays)-1)&amp;" of "&amp;CHOOSE($Z4,3,3,2,2,3))&amp;" | Total Day "&amp;MAX(0,NETWORKDAYS($N4,TODAY(),Holidays)-1))</f>
        <v/>
      </c>
      <c r="X4" s="18"/>
      <c r="Y4" s="18"/>
      <c r="Z4" s="17">
        <f>IF($N4="","",COUNT($N4:$S4))</f>
        <v/>
      </c>
      <c r="AA4" s="19">
        <f>IF($Z4="","",INT(INDEX($N4:$S4,$Z4)))</f>
        <v/>
      </c>
      <c r="AB4" s="19">
        <f>IF(OR($Z4="",$Z4=6),"",WORKDAY($AA4,CHOOSE($Z4,3,3,2,2,3),Holidays))</f>
        <v/>
      </c>
      <c r="AC4" s="17">
        <f>IF(OR($Z4="",$Z4=6),"",CHOOSE($Z4,"1st Email Follow-up","2nd Email Follow-up","Escalate Local Office","Escalate to CBE","Escalate to Roxanne"))</f>
        <v/>
      </c>
    </row>
    <row r="5" spans="1:29">
      <c r="M5" s="14"/>
      <c r="T5" s="16"/>
      <c r="U5" s="17">
        <f>IF(AND(COUNTA($A5:$L5)=0,$N5=""),"",IF($T5="Paid","PAID",IF($T5="Closed","CLOSED",IF($Z5="","",IF($Z5=6,"ESCALATED TO ROXANNE",IF(TODAY()&gt;$AB5,"OVERDUE",IF($AB5&lt;=WORKDAY(TODAY(),1,Holidays),"DUE TOMORROW",IF($Z5=4,"ESCALATED TO LOCAL OFFICE",IF($Z5=5,"ESCALATED TO CBE",IF($AA5=TODAY(),"EMAIL SENT","MONITORING"))))))))))</f>
        <v/>
      </c>
      <c r="V5" s="17">
        <f>IF($U5="",IF(AND(COUNTA($A5:$L5)&gt;0,$N5=""),"Awaiting Collection Email time stamp.",""),IF(OR($U5="PAID",$U5="CLOSED"),IF($U5="PAID","Account paid. Action completed.","Account closed. No further action required."),CHOOSE($Z5,"Collection Email","1st Email Follow-up","2nd Email Follow-up","Escalation to Local Office","Escalation to CBE","Escalation to Roxanne")&amp;" sent "&amp;TEXT($AA5,"dd-mmm")&amp;". "&amp;IF($Z5=6,"Final escalation completed.",IF($U5="OVERDUE","Next: "&amp;$AC5&amp;" was due "&amp;TEXT($AB5,"dd-mmm")&amp;" - "&amp;(NETWORKDAYS($AB5,TODAY(),Holidays)-1)&amp;" business day(s) late. Send now.",IF($U5="DUE TOMORROW","Next: "&amp;$AC5&amp;IF($AB5&lt;=TODAY()," is due TODAY ("," is due next business day (")&amp;TEXT($AB5,"dd-mmm")&amp;").","Next: "&amp;$AC5&amp;" due "&amp;TEXT($AB5,"dd-mmm")&amp;" ("&amp;(NETWORKDAYS(TODAY(),$AB5,Holidays)-1)&amp;" business day(s) left).")))))</f>
        <v/>
      </c>
      <c r="W5" s="17">
        <f>IF($Z5="","",CHOOSE($Z5,"Collection Email","1st Follow-up","2nd Follow-up","Local Office","CBE","Roxanne")&amp;IF($Z5=6," - Final"," - Day "&amp;MAX(0,NETWORKDAYS($AA5,TODAY(),Holidays)-1)&amp;" of "&amp;CHOOSE($Z5,3,3,2,2,3))&amp;" | Total Day "&amp;MAX(0,NETWORKDAYS($N5,TODAY(),Holidays)-1))</f>
        <v/>
      </c>
      <c r="X5" s="18"/>
      <c r="Y5" s="18"/>
      <c r="Z5" s="17">
        <f>IF($N5="","",COUNT($N5:$S5))</f>
        <v/>
      </c>
      <c r="AA5" s="19">
        <f>IF($Z5="","",INT(INDEX($N5:$S5,$Z5)))</f>
        <v/>
      </c>
      <c r="AB5" s="19">
        <f>IF(OR($Z5="",$Z5=6),"",WORKDAY($AA5,CHOOSE($Z5,3,3,2,2,3),Holidays))</f>
        <v/>
      </c>
      <c r="AC5" s="17">
        <f>IF(OR($Z5="",$Z5=6),"",CHOOSE($Z5,"1st Email Follow-up","2nd Email Follow-up","Escalate Local Office","Escalate to CBE","Escalate to Roxanne"))</f>
        <v/>
      </c>
    </row>
    <row r="6" spans="1:29">
      <c r="M6" s="14"/>
      <c r="T6" s="16"/>
      <c r="U6" s="17">
        <f>IF(AND(COUNTA($A6:$L6)=0,$N6=""),"",IF($T6="Paid","PAID",IF($T6="Closed","CLOSED",IF($Z6="","",IF($Z6=6,"ESCALATED TO ROXANNE",IF(TODAY()&gt;$AB6,"OVERDUE",IF($AB6&lt;=WORKDAY(TODAY(),1,Holidays),"DUE TOMORROW",IF($Z6=4,"ESCALATED TO LOCAL OFFICE",IF($Z6=5,"ESCALATED TO CBE",IF($AA6=TODAY(),"EMAIL SENT","MONITORING"))))))))))</f>
        <v/>
      </c>
      <c r="V6" s="17">
        <f>IF($U6="",IF(AND(COUNTA($A6:$L6)&gt;0,$N6=""),"Awaiting Collection Email time stamp.",""),IF(OR($U6="PAID",$U6="CLOSED"),IF($U6="PAID","Account paid. Action completed.","Account closed. No further action required."),CHOOSE($Z6,"Collection Email","1st Email Follow-up","2nd Email Follow-up","Escalation to Local Office","Escalation to CBE","Escalation to Roxanne")&amp;" sent "&amp;TEXT($AA6,"dd-mmm")&amp;". "&amp;IF($Z6=6,"Final escalation completed.",IF($U6="OVERDUE","Next: "&amp;$AC6&amp;" was due "&amp;TEXT($AB6,"dd-mmm")&amp;" - "&amp;(NETWORKDAYS($AB6,TODAY(),Holidays)-1)&amp;" business day(s) late. Send now.",IF($U6="DUE TOMORROW","Next: "&amp;$AC6&amp;IF($AB6&lt;=TODAY()," is due TODAY ("," is due next business day (")&amp;TEXT($AB6,"dd-mmm")&amp;").","Next: "&amp;$AC6&amp;" due "&amp;TEXT($AB6,"dd-mmm")&amp;" ("&amp;(NETWORKDAYS(TODAY(),$AB6,Holidays)-1)&amp;" business day(s) left).")))))</f>
        <v/>
      </c>
      <c r="W6" s="17">
        <f>IF($Z6="","",CHOOSE($Z6,"Collection Email","1st Follow-up","2nd Follow-up","Local Office","CBE","Roxanne")&amp;IF($Z6=6," - Final"," - Day "&amp;MAX(0,NETWORKDAYS($AA6,TODAY(),Holidays)-1)&amp;" of "&amp;CHOOSE($Z6,3,3,2,2,3))&amp;" | Total Day "&amp;MAX(0,NETWORKDAYS($N6,TODAY(),Holidays)-1))</f>
        <v/>
      </c>
      <c r="X6" s="18"/>
      <c r="Y6" s="18"/>
      <c r="Z6" s="17">
        <f>IF($N6="","",COUNT($N6:$S6))</f>
        <v/>
      </c>
      <c r="AA6" s="19">
        <f>IF($Z6="","",INT(INDEX($N6:$S6,$Z6)))</f>
        <v/>
      </c>
      <c r="AB6" s="19">
        <f>IF(OR($Z6="",$Z6=6),"",WORKDAY($AA6,CHOOSE($Z6,3,3,2,2,3),Holidays))</f>
        <v/>
      </c>
      <c r="AC6" s="17">
        <f>IF(OR($Z6="",$Z6=6),"",CHOOSE($Z6,"1st Email Follow-up","2nd Email Follow-up","Escalate Local Office","Escalate to CBE","Escalate to Roxanne"))</f>
        <v/>
      </c>
    </row>
    <row r="7" spans="1:29">
      <c r="M7" s="14"/>
      <c r="T7" s="16"/>
      <c r="U7" s="17">
        <f>IF(AND(COUNTA($A7:$L7)=0,$N7=""),"",IF($T7="Paid","PAID",IF($T7="Closed","CLOSED",IF($Z7="","",IF($Z7=6,"ESCALATED TO ROXANNE",IF(TODAY()&gt;$AB7,"OVERDUE",IF($AB7&lt;=WORKDAY(TODAY(),1,Holidays),"DUE TOMORROW",IF($Z7=4,"ESCALATED TO LOCAL OFFICE",IF($Z7=5,"ESCALATED TO CBE",IF($AA7=TODAY(),"EMAIL SENT","MONITORING"))))))))))</f>
        <v/>
      </c>
      <c r="V7" s="17">
        <f>IF($U7="",IF(AND(COUNTA($A7:$L7)&gt;0,$N7=""),"Awaiting Collection Email time stamp.",""),IF(OR($U7="PAID",$U7="CLOSED"),IF($U7="PAID","Account paid. Action completed.","Account closed. No further action required."),CHOOSE($Z7,"Collection Email","1st Email Follow-up","2nd Email Follow-up","Escalation to Local Office","Escalation to CBE","Escalation to Roxanne")&amp;" sent "&amp;TEXT($AA7,"dd-mmm")&amp;". "&amp;IF($Z7=6,"Final escalation completed.",IF($U7="OVERDUE","Next: "&amp;$AC7&amp;" was due "&amp;TEXT($AB7,"dd-mmm")&amp;" - "&amp;(NETWORKDAYS($AB7,TODAY(),Holidays)-1)&amp;" business day(s) late. Send now.",IF($U7="DUE TOMORROW","Next: "&amp;$AC7&amp;IF($AB7&lt;=TODAY()," is due TODAY ("," is due next business day (")&amp;TEXT($AB7,"dd-mmm")&amp;").","Next: "&amp;$AC7&amp;" due "&amp;TEXT($AB7,"dd-mmm")&amp;" ("&amp;(NETWORKDAYS(TODAY(),$AB7,Holidays)-1)&amp;" business day(s) left).")))))</f>
        <v/>
      </c>
      <c r="W7" s="17">
        <f>IF($Z7="","",CHOOSE($Z7,"Collection Email","1st Follow-up","2nd Follow-up","Local Office","CBE","Roxanne")&amp;IF($Z7=6," - Final"," - Day "&amp;MAX(0,NETWORKDAYS($AA7,TODAY(),Holidays)-1)&amp;" of "&amp;CHOOSE($Z7,3,3,2,2,3))&amp;" | Total Day "&amp;MAX(0,NETWORKDAYS($N7,TODAY(),Holidays)-1))</f>
        <v/>
      </c>
      <c r="X7" s="18"/>
      <c r="Y7" s="18"/>
      <c r="Z7" s="17">
        <f>IF($N7="","",COUNT($N7:$S7))</f>
        <v/>
      </c>
      <c r="AA7" s="19">
        <f>IF($Z7="","",INT(INDEX($N7:$S7,$Z7)))</f>
        <v/>
      </c>
      <c r="AB7" s="19">
        <f>IF(OR($Z7="",$Z7=6),"",WORKDAY($AA7,CHOOSE($Z7,3,3,2,2,3),Holidays))</f>
        <v/>
      </c>
      <c r="AC7" s="17">
        <f>IF(OR($Z7="",$Z7=6),"",CHOOSE($Z7,"1st Email Follow-up","2nd Email Follow-up","Escalate Local Office","Escalate to CBE","Escalate to Roxanne"))</f>
        <v/>
      </c>
    </row>
    <row r="8" spans="1:29">
      <c r="M8" s="14"/>
      <c r="T8" s="16"/>
      <c r="U8" s="17">
        <f>IF(AND(COUNTA($A8:$L8)=0,$N8=""),"",IF($T8="Paid","PAID",IF($T8="Closed","CLOSED",IF($Z8="","",IF($Z8=6,"ESCALATED TO ROXANNE",IF(TODAY()&gt;$AB8,"OVERDUE",IF($AB8&lt;=WORKDAY(TODAY(),1,Holidays),"DUE TOMORROW",IF($Z8=4,"ESCALATED TO LOCAL OFFICE",IF($Z8=5,"ESCALATED TO CBE",IF($AA8=TODAY(),"EMAIL SENT","MONITORING"))))))))))</f>
        <v/>
      </c>
      <c r="V8" s="17">
        <f>IF($U8="",IF(AND(COUNTA($A8:$L8)&gt;0,$N8=""),"Awaiting Collection Email time stamp.",""),IF(OR($U8="PAID",$U8="CLOSED"),IF($U8="PAID","Account paid. Action completed.","Account closed. No further action required."),CHOOSE($Z8,"Collection Email","1st Email Follow-up","2nd Email Follow-up","Escalation to Local Office","Escalation to CBE","Escalation to Roxanne")&amp;" sent "&amp;TEXT($AA8,"dd-mmm")&amp;". "&amp;IF($Z8=6,"Final escalation completed.",IF($U8="OVERDUE","Next: "&amp;$AC8&amp;" was due "&amp;TEXT($AB8,"dd-mmm")&amp;" - "&amp;(NETWORKDAYS($AB8,TODAY(),Holidays)-1)&amp;" business day(s) late. Send now.",IF($U8="DUE TOMORROW","Next: "&amp;$AC8&amp;IF($AB8&lt;=TODAY()," is due TODAY ("," is due next business day (")&amp;TEXT($AB8,"dd-mmm")&amp;").","Next: "&amp;$AC8&amp;" due "&amp;TEXT($AB8,"dd-mmm")&amp;" ("&amp;(NETWORKDAYS(TODAY(),$AB8,Holidays)-1)&amp;" business day(s) left).")))))</f>
        <v/>
      </c>
      <c r="W8" s="17">
        <f>IF($Z8="","",CHOOSE($Z8,"Collection Email","1st Follow-up","2nd Follow-up","Local Office","CBE","Roxanne")&amp;IF($Z8=6," - Final"," - Day "&amp;MAX(0,NETWORKDAYS($AA8,TODAY(),Holidays)-1)&amp;" of "&amp;CHOOSE($Z8,3,3,2,2,3))&amp;" | Total Day "&amp;MAX(0,NETWORKDAYS($N8,TODAY(),Holidays)-1))</f>
        <v/>
      </c>
      <c r="X8" s="18"/>
      <c r="Y8" s="18"/>
      <c r="Z8" s="17">
        <f>IF($N8="","",COUNT($N8:$S8))</f>
        <v/>
      </c>
      <c r="AA8" s="19">
        <f>IF($Z8="","",INT(INDEX($N8:$S8,$Z8)))</f>
        <v/>
      </c>
      <c r="AB8" s="19">
        <f>IF(OR($Z8="",$Z8=6),"",WORKDAY($AA8,CHOOSE($Z8,3,3,2,2,3),Holidays))</f>
        <v/>
      </c>
      <c r="AC8" s="17">
        <f>IF(OR($Z8="",$Z8=6),"",CHOOSE($Z8,"1st Email Follow-up","2nd Email Follow-up","Escalate Local Office","Escalate to CBE","Escalate to Roxanne"))</f>
        <v/>
      </c>
    </row>
    <row r="9" spans="1:29">
      <c r="M9" s="14"/>
      <c r="T9" s="16"/>
      <c r="U9" s="17">
        <f>IF(AND(COUNTA($A9:$L9)=0,$N9=""),"",IF($T9="Paid","PAID",IF($T9="Closed","CLOSED",IF($Z9="","",IF($Z9=6,"ESCALATED TO ROXANNE",IF(TODAY()&gt;$AB9,"OVERDUE",IF($AB9&lt;=WORKDAY(TODAY(),1,Holidays),"DUE TOMORROW",IF($Z9=4,"ESCALATED TO LOCAL OFFICE",IF($Z9=5,"ESCALATED TO CBE",IF($AA9=TODAY(),"EMAIL SENT","MONITORING"))))))))))</f>
        <v/>
      </c>
      <c r="V9" s="17">
        <f>IF($U9="",IF(AND(COUNTA($A9:$L9)&gt;0,$N9=""),"Awaiting Collection Email time stamp.",""),IF(OR($U9="PAID",$U9="CLOSED"),IF($U9="PAID","Account paid. Action completed.","Account closed. No further action required."),CHOOSE($Z9,"Collection Email","1st Email Follow-up","2nd Email Follow-up","Escalation to Local Office","Escalation to CBE","Escalation to Roxanne")&amp;" sent "&amp;TEXT($AA9,"dd-mmm")&amp;". "&amp;IF($Z9=6,"Final escalation completed.",IF($U9="OVERDUE","Next: "&amp;$AC9&amp;" was due "&amp;TEXT($AB9,"dd-mmm")&amp;" - "&amp;(NETWORKDAYS($AB9,TODAY(),Holidays)-1)&amp;" business day(s) late. Send now.",IF($U9="DUE TOMORROW","Next: "&amp;$AC9&amp;IF($AB9&lt;=TODAY()," is due TODAY ("," is due next business day (")&amp;TEXT($AB9,"dd-mmm")&amp;").","Next: "&amp;$AC9&amp;" due "&amp;TEXT($AB9,"dd-mmm")&amp;" ("&amp;(NETWORKDAYS(TODAY(),$AB9,Holidays)-1)&amp;" business day(s) left).")))))</f>
        <v/>
      </c>
      <c r="W9" s="17">
        <f>IF($Z9="","",CHOOSE($Z9,"Collection Email","1st Follow-up","2nd Follow-up","Local Office","CBE","Roxanne")&amp;IF($Z9=6," - Final"," - Day "&amp;MAX(0,NETWORKDAYS($AA9,TODAY(),Holidays)-1)&amp;" of "&amp;CHOOSE($Z9,3,3,2,2,3))&amp;" | Total Day "&amp;MAX(0,NETWORKDAYS($N9,TODAY(),Holidays)-1))</f>
        <v/>
      </c>
      <c r="X9" s="18"/>
      <c r="Y9" s="18"/>
      <c r="Z9" s="17">
        <f>IF($N9="","",COUNT($N9:$S9))</f>
        <v/>
      </c>
      <c r="AA9" s="19">
        <f>IF($Z9="","",INT(INDEX($N9:$S9,$Z9)))</f>
        <v/>
      </c>
      <c r="AB9" s="19">
        <f>IF(OR($Z9="",$Z9=6),"",WORKDAY($AA9,CHOOSE($Z9,3,3,2,2,3),Holidays))</f>
        <v/>
      </c>
      <c r="AC9" s="17">
        <f>IF(OR($Z9="",$Z9=6),"",CHOOSE($Z9,"1st Email Follow-up","2nd Email Follow-up","Escalate Local Office","Escalate to CBE","Escalate to Roxanne"))</f>
        <v/>
      </c>
    </row>
    <row r="10" spans="1:29">
      <c r="M10" s="14"/>
      <c r="T10" s="16"/>
      <c r="U10" s="17">
        <f>IF(AND(COUNTA($A10:$L10)=0,$N10=""),"",IF($T10="Paid","PAID",IF($T10="Closed","CLOSED",IF($Z10="","",IF($Z10=6,"ESCALATED TO ROXANNE",IF(TODAY()&gt;$AB10,"OVERDUE",IF($AB10&lt;=WORKDAY(TODAY(),1,Holidays),"DUE TOMORROW",IF($Z10=4,"ESCALATED TO LOCAL OFFICE",IF($Z10=5,"ESCALATED TO CBE",IF($AA10=TODAY(),"EMAIL SENT","MONITORING"))))))))))</f>
        <v/>
      </c>
      <c r="V10" s="17">
        <f>IF($U10="",IF(AND(COUNTA($A10:$L10)&gt;0,$N10=""),"Awaiting Collection Email time stamp.",""),IF(OR($U10="PAID",$U10="CLOSED"),IF($U10="PAID","Account paid. Action completed.","Account closed. No further action required."),CHOOSE($Z10,"Collection Email","1st Email Follow-up","2nd Email Follow-up","Escalation to Local Office","Escalation to CBE","Escalation to Roxanne")&amp;" sent "&amp;TEXT($AA10,"dd-mmm")&amp;". "&amp;IF($Z10=6,"Final escalation completed.",IF($U10="OVERDUE","Next: "&amp;$AC10&amp;" was due "&amp;TEXT($AB10,"dd-mmm")&amp;" - "&amp;(NETWORKDAYS($AB10,TODAY(),Holidays)-1)&amp;" business day(s) late. Send now.",IF($U10="DUE TOMORROW","Next: "&amp;$AC10&amp;IF($AB10&lt;=TODAY()," is due TODAY ("," is due next business day (")&amp;TEXT($AB10,"dd-mmm")&amp;").","Next: "&amp;$AC10&amp;" due "&amp;TEXT($AB10,"dd-mmm")&amp;" ("&amp;(NETWORKDAYS(TODAY(),$AB10,Holidays)-1)&amp;" business day(s) left).")))))</f>
        <v/>
      </c>
      <c r="W10" s="17">
        <f>IF($Z10="","",CHOOSE($Z10,"Collection Email","1st Follow-up","2nd Follow-up","Local Office","CBE","Roxanne")&amp;IF($Z10=6," - Final"," - Day "&amp;MAX(0,NETWORKDAYS($AA10,TODAY(),Holidays)-1)&amp;" of "&amp;CHOOSE($Z10,3,3,2,2,3))&amp;" | Total Day "&amp;MAX(0,NETWORKDAYS($N10,TODAY(),Holidays)-1))</f>
        <v/>
      </c>
      <c r="X10" s="18"/>
      <c r="Y10" s="18"/>
      <c r="Z10" s="17">
        <f>IF($N10="","",COUNT($N10:$S10))</f>
        <v/>
      </c>
      <c r="AA10" s="19">
        <f>IF($Z10="","",INT(INDEX($N10:$S10,$Z10)))</f>
        <v/>
      </c>
      <c r="AB10" s="19">
        <f>IF(OR($Z10="",$Z10=6),"",WORKDAY($AA10,CHOOSE($Z10,3,3,2,2,3),Holidays))</f>
        <v/>
      </c>
      <c r="AC10" s="17">
        <f>IF(OR($Z10="",$Z10=6),"",CHOOSE($Z10,"1st Email Follow-up","2nd Email Follow-up","Escalate Local Office","Escalate to CBE","Escalate to Roxanne"))</f>
        <v/>
      </c>
    </row>
    <row r="11" spans="1:29">
      <c r="M11" s="14"/>
      <c r="T11" s="16"/>
      <c r="U11" s="17">
        <f>IF(AND(COUNTA($A11:$L11)=0,$N11=""),"",IF($T11="Paid","PAID",IF($T11="Closed","CLOSED",IF($Z11="","",IF($Z11=6,"ESCALATED TO ROXANNE",IF(TODAY()&gt;$AB11,"OVERDUE",IF($AB11&lt;=WORKDAY(TODAY(),1,Holidays),"DUE TOMORROW",IF($Z11=4,"ESCALATED TO LOCAL OFFICE",IF($Z11=5,"ESCALATED TO CBE",IF($AA11=TODAY(),"EMAIL SENT","MONITORING"))))))))))</f>
        <v/>
      </c>
      <c r="V11" s="17">
        <f>IF($U11="",IF(AND(COUNTA($A11:$L11)&gt;0,$N11=""),"Awaiting Collection Email time stamp.",""),IF(OR($U11="PAID",$U11="CLOSED"),IF($U11="PAID","Account paid. Action completed.","Account closed. No further action required."),CHOOSE($Z11,"Collection Email","1st Email Follow-up","2nd Email Follow-up","Escalation to Local Office","Escalation to CBE","Escalation to Roxanne")&amp;" sent "&amp;TEXT($AA11,"dd-mmm")&amp;". "&amp;IF($Z11=6,"Final escalation completed.",IF($U11="OVERDUE","Next: "&amp;$AC11&amp;" was due "&amp;TEXT($AB11,"dd-mmm")&amp;" - "&amp;(NETWORKDAYS($AB11,TODAY(),Holidays)-1)&amp;" business day(s) late. Send now.",IF($U11="DUE TOMORROW","Next: "&amp;$AC11&amp;IF($AB11&lt;=TODAY()," is due TODAY ("," is due next business day (")&amp;TEXT($AB11,"dd-mmm")&amp;").","Next: "&amp;$AC11&amp;" due "&amp;TEXT($AB11,"dd-mmm")&amp;" ("&amp;(NETWORKDAYS(TODAY(),$AB11,Holidays)-1)&amp;" business day(s) left).")))))</f>
        <v/>
      </c>
      <c r="W11" s="17">
        <f>IF($Z11="","",CHOOSE($Z11,"Collection Email","1st Follow-up","2nd Follow-up","Local Office","CBE","Roxanne")&amp;IF($Z11=6," - Final"," - Day "&amp;MAX(0,NETWORKDAYS($AA11,TODAY(),Holidays)-1)&amp;" of "&amp;CHOOSE($Z11,3,3,2,2,3))&amp;" | Total Day "&amp;MAX(0,NETWORKDAYS($N11,TODAY(),Holidays)-1))</f>
        <v/>
      </c>
      <c r="X11" s="18"/>
      <c r="Y11" s="18"/>
      <c r="Z11" s="17">
        <f>IF($N11="","",COUNT($N11:$S11))</f>
        <v/>
      </c>
      <c r="AA11" s="19">
        <f>IF($Z11="","",INT(INDEX($N11:$S11,$Z11)))</f>
        <v/>
      </c>
      <c r="AB11" s="19">
        <f>IF(OR($Z11="",$Z11=6),"",WORKDAY($AA11,CHOOSE($Z11,3,3,2,2,3),Holidays))</f>
        <v/>
      </c>
      <c r="AC11" s="17">
        <f>IF(OR($Z11="",$Z11=6),"",CHOOSE($Z11,"1st Email Follow-up","2nd Email Follow-up","Escalate Local Office","Escalate to CBE","Escalate to Roxanne"))</f>
        <v/>
      </c>
    </row>
    <row r="12" spans="1:29">
      <c r="M12" s="14"/>
      <c r="T12" s="16"/>
      <c r="U12" s="17">
        <f>IF(AND(COUNTA($A12:$L12)=0,$N12=""),"",IF($T12="Paid","PAID",IF($T12="Closed","CLOSED",IF($Z12="","",IF($Z12=6,"ESCALATED TO ROXANNE",IF(TODAY()&gt;$AB12,"OVERDUE",IF($AB12&lt;=WORKDAY(TODAY(),1,Holidays),"DUE TOMORROW",IF($Z12=4,"ESCALATED TO LOCAL OFFICE",IF($Z12=5,"ESCALATED TO CBE",IF($AA12=TODAY(),"EMAIL SENT","MONITORING"))))))))))</f>
        <v/>
      </c>
      <c r="V12" s="17">
        <f>IF($U12="",IF(AND(COUNTA($A12:$L12)&gt;0,$N12=""),"Awaiting Collection Email time stamp.",""),IF(OR($U12="PAID",$U12="CLOSED"),IF($U12="PAID","Account paid. Action completed.","Account closed. No further action required."),CHOOSE($Z12,"Collection Email","1st Email Follow-up","2nd Email Follow-up","Escalation to Local Office","Escalation to CBE","Escalation to Roxanne")&amp;" sent "&amp;TEXT($AA12,"dd-mmm")&amp;". "&amp;IF($Z12=6,"Final escalation completed.",IF($U12="OVERDUE","Next: "&amp;$AC12&amp;" was due "&amp;TEXT($AB12,"dd-mmm")&amp;" - "&amp;(NETWORKDAYS($AB12,TODAY(),Holidays)-1)&amp;" business day(s) late. Send now.",IF($U12="DUE TOMORROW","Next: "&amp;$AC12&amp;IF($AB12&lt;=TODAY()," is due TODAY ("," is due next business day (")&amp;TEXT($AB12,"dd-mmm")&amp;").","Next: "&amp;$AC12&amp;" due "&amp;TEXT($AB12,"dd-mmm")&amp;" ("&amp;(NETWORKDAYS(TODAY(),$AB12,Holidays)-1)&amp;" business day(s) left).")))))</f>
        <v/>
      </c>
      <c r="W12" s="17">
        <f>IF($Z12="","",CHOOSE($Z12,"Collection Email","1st Follow-up","2nd Follow-up","Local Office","CBE","Roxanne")&amp;IF($Z12=6," - Final"," - Day "&amp;MAX(0,NETWORKDAYS($AA12,TODAY(),Holidays)-1)&amp;" of "&amp;CHOOSE($Z12,3,3,2,2,3))&amp;" | Total Day "&amp;MAX(0,NETWORKDAYS($N12,TODAY(),Holidays)-1))</f>
        <v/>
      </c>
      <c r="X12" s="18"/>
      <c r="Y12" s="18"/>
      <c r="Z12" s="17">
        <f>IF($N12="","",COUNT($N12:$S12))</f>
        <v/>
      </c>
      <c r="AA12" s="19">
        <f>IF($Z12="","",INT(INDEX($N12:$S12,$Z12)))</f>
        <v/>
      </c>
      <c r="AB12" s="19">
        <f>IF(OR($Z12="",$Z12=6),"",WORKDAY($AA12,CHOOSE($Z12,3,3,2,2,3),Holidays))</f>
        <v/>
      </c>
      <c r="AC12" s="17">
        <f>IF(OR($Z12="",$Z12=6),"",CHOOSE($Z12,"1st Email Follow-up","2nd Email Follow-up","Escalate Local Office","Escalate to CBE","Escalate to Roxanne"))</f>
        <v/>
      </c>
    </row>
    <row r="13" spans="1:29">
      <c r="M13" s="14"/>
      <c r="T13" s="16"/>
      <c r="U13" s="17">
        <f>IF(AND(COUNTA($A13:$L13)=0,$N13=""),"",IF($T13="Paid","PAID",IF($T13="Closed","CLOSED",IF($Z13="","",IF($Z13=6,"ESCALATED TO ROXANNE",IF(TODAY()&gt;$AB13,"OVERDUE",IF($AB13&lt;=WORKDAY(TODAY(),1,Holidays),"DUE TOMORROW",IF($Z13=4,"ESCALATED TO LOCAL OFFICE",IF($Z13=5,"ESCALATED TO CBE",IF($AA13=TODAY(),"EMAIL SENT","MONITORING"))))))))))</f>
        <v/>
      </c>
      <c r="V13" s="17">
        <f>IF($U13="",IF(AND(COUNTA($A13:$L13)&gt;0,$N13=""),"Awaiting Collection Email time stamp.",""),IF(OR($U13="PAID",$U13="CLOSED"),IF($U13="PAID","Account paid. Action completed.","Account closed. No further action required."),CHOOSE($Z13,"Collection Email","1st Email Follow-up","2nd Email Follow-up","Escalation to Local Office","Escalation to CBE","Escalation to Roxanne")&amp;" sent "&amp;TEXT($AA13,"dd-mmm")&amp;". "&amp;IF($Z13=6,"Final escalation completed.",IF($U13="OVERDUE","Next: "&amp;$AC13&amp;" was due "&amp;TEXT($AB13,"dd-mmm")&amp;" - "&amp;(NETWORKDAYS($AB13,TODAY(),Holidays)-1)&amp;" business day(s) late. Send now.",IF($U13="DUE TOMORROW","Next: "&amp;$AC13&amp;IF($AB13&lt;=TODAY()," is due TODAY ("," is due next business day (")&amp;TEXT($AB13,"dd-mmm")&amp;").","Next: "&amp;$AC13&amp;" due "&amp;TEXT($AB13,"dd-mmm")&amp;" ("&amp;(NETWORKDAYS(TODAY(),$AB13,Holidays)-1)&amp;" business day(s) left).")))))</f>
        <v/>
      </c>
      <c r="W13" s="17">
        <f>IF($Z13="","",CHOOSE($Z13,"Collection Email","1st Follow-up","2nd Follow-up","Local Office","CBE","Roxanne")&amp;IF($Z13=6," - Final"," - Day "&amp;MAX(0,NETWORKDAYS($AA13,TODAY(),Holidays)-1)&amp;" of "&amp;CHOOSE($Z13,3,3,2,2,3))&amp;" | Total Day "&amp;MAX(0,NETWORKDAYS($N13,TODAY(),Holidays)-1))</f>
        <v/>
      </c>
      <c r="X13" s="18"/>
      <c r="Y13" s="18"/>
      <c r="Z13" s="17">
        <f>IF($N13="","",COUNT($N13:$S13))</f>
        <v/>
      </c>
      <c r="AA13" s="19">
        <f>IF($Z13="","",INT(INDEX($N13:$S13,$Z13)))</f>
        <v/>
      </c>
      <c r="AB13" s="19">
        <f>IF(OR($Z13="",$Z13=6),"",WORKDAY($AA13,CHOOSE($Z13,3,3,2,2,3),Holidays))</f>
        <v/>
      </c>
      <c r="AC13" s="17">
        <f>IF(OR($Z13="",$Z13=6),"",CHOOSE($Z13,"1st Email Follow-up","2nd Email Follow-up","Escalate Local Office","Escalate to CBE","Escalate to Roxanne"))</f>
        <v/>
      </c>
    </row>
    <row r="14" spans="1:29">
      <c r="M14" s="14"/>
      <c r="T14" s="16"/>
      <c r="U14" s="17">
        <f>IF(AND(COUNTA($A14:$L14)=0,$N14=""),"",IF($T14="Paid","PAID",IF($T14="Closed","CLOSED",IF($Z14="","",IF($Z14=6,"ESCALATED TO ROXANNE",IF(TODAY()&gt;$AB14,"OVERDUE",IF($AB14&lt;=WORKDAY(TODAY(),1,Holidays),"DUE TOMORROW",IF($Z14=4,"ESCALATED TO LOCAL OFFICE",IF($Z14=5,"ESCALATED TO CBE",IF($AA14=TODAY(),"EMAIL SENT","MONITORING"))))))))))</f>
        <v/>
      </c>
      <c r="V14" s="17">
        <f>IF($U14="",IF(AND(COUNTA($A14:$L14)&gt;0,$N14=""),"Awaiting Collection Email time stamp.",""),IF(OR($U14="PAID",$U14="CLOSED"),IF($U14="PAID","Account paid. Action completed.","Account closed. No further action required."),CHOOSE($Z14,"Collection Email","1st Email Follow-up","2nd Email Follow-up","Escalation to Local Office","Escalation to CBE","Escalation to Roxanne")&amp;" sent "&amp;TEXT($AA14,"dd-mmm")&amp;". "&amp;IF($Z14=6,"Final escalation completed.",IF($U14="OVERDUE","Next: "&amp;$AC14&amp;" was due "&amp;TEXT($AB14,"dd-mmm")&amp;" - "&amp;(NETWORKDAYS($AB14,TODAY(),Holidays)-1)&amp;" business day(s) late. Send now.",IF($U14="DUE TOMORROW","Next: "&amp;$AC14&amp;IF($AB14&lt;=TODAY()," is due TODAY ("," is due next business day (")&amp;TEXT($AB14,"dd-mmm")&amp;").","Next: "&amp;$AC14&amp;" due "&amp;TEXT($AB14,"dd-mmm")&amp;" ("&amp;(NETWORKDAYS(TODAY(),$AB14,Holidays)-1)&amp;" business day(s) left).")))))</f>
        <v/>
      </c>
      <c r="W14" s="17">
        <f>IF($Z14="","",CHOOSE($Z14,"Collection Email","1st Follow-up","2nd Follow-up","Local Office","CBE","Roxanne")&amp;IF($Z14=6," - Final"," - Day "&amp;MAX(0,NETWORKDAYS($AA14,TODAY(),Holidays)-1)&amp;" of "&amp;CHOOSE($Z14,3,3,2,2,3))&amp;" | Total Day "&amp;MAX(0,NETWORKDAYS($N14,TODAY(),Holidays)-1))</f>
        <v/>
      </c>
      <c r="X14" s="18"/>
      <c r="Y14" s="18"/>
      <c r="Z14" s="17">
        <f>IF($N14="","",COUNT($N14:$S14))</f>
        <v/>
      </c>
      <c r="AA14" s="19">
        <f>IF($Z14="","",INT(INDEX($N14:$S14,$Z14)))</f>
        <v/>
      </c>
      <c r="AB14" s="19">
        <f>IF(OR($Z14="",$Z14=6),"",WORKDAY($AA14,CHOOSE($Z14,3,3,2,2,3),Holidays))</f>
        <v/>
      </c>
      <c r="AC14" s="17">
        <f>IF(OR($Z14="",$Z14=6),"",CHOOSE($Z14,"1st Email Follow-up","2nd Email Follow-up","Escalate Local Office","Escalate to CBE","Escalate to Roxanne"))</f>
        <v/>
      </c>
    </row>
    <row r="15" spans="1:29">
      <c r="M15" s="14"/>
      <c r="T15" s="16"/>
      <c r="U15" s="17">
        <f>IF(AND(COUNTA($A15:$L15)=0,$N15=""),"",IF($T15="Paid","PAID",IF($T15="Closed","CLOSED",IF($Z15="","",IF($Z15=6,"ESCALATED TO ROXANNE",IF(TODAY()&gt;$AB15,"OVERDUE",IF($AB15&lt;=WORKDAY(TODAY(),1,Holidays),"DUE TOMORROW",IF($Z15=4,"ESCALATED TO LOCAL OFFICE",IF($Z15=5,"ESCALATED TO CBE",IF($AA15=TODAY(),"EMAIL SENT","MONITORING"))))))))))</f>
        <v/>
      </c>
      <c r="V15" s="17">
        <f>IF($U15="",IF(AND(COUNTA($A15:$L15)&gt;0,$N15=""),"Awaiting Collection Email time stamp.",""),IF(OR($U15="PAID",$U15="CLOSED"),IF($U15="PAID","Account paid. Action completed.","Account closed. No further action required."),CHOOSE($Z15,"Collection Email","1st Email Follow-up","2nd Email Follow-up","Escalation to Local Office","Escalation to CBE","Escalation to Roxanne")&amp;" sent "&amp;TEXT($AA15,"dd-mmm")&amp;". "&amp;IF($Z15=6,"Final escalation completed.",IF($U15="OVERDUE","Next: "&amp;$AC15&amp;" was due "&amp;TEXT($AB15,"dd-mmm")&amp;" - "&amp;(NETWORKDAYS($AB15,TODAY(),Holidays)-1)&amp;" business day(s) late. Send now.",IF($U15="DUE TOMORROW","Next: "&amp;$AC15&amp;IF($AB15&lt;=TODAY()," is due TODAY ("," is due next business day (")&amp;TEXT($AB15,"dd-mmm")&amp;").","Next: "&amp;$AC15&amp;" due "&amp;TEXT($AB15,"dd-mmm")&amp;" ("&amp;(NETWORKDAYS(TODAY(),$AB15,Holidays)-1)&amp;" business day(s) left).")))))</f>
        <v/>
      </c>
      <c r="W15" s="17">
        <f>IF($Z15="","",CHOOSE($Z15,"Collection Email","1st Follow-up","2nd Follow-up","Local Office","CBE","Roxanne")&amp;IF($Z15=6," - Final"," - Day "&amp;MAX(0,NETWORKDAYS($AA15,TODAY(),Holidays)-1)&amp;" of "&amp;CHOOSE($Z15,3,3,2,2,3))&amp;" | Total Day "&amp;MAX(0,NETWORKDAYS($N15,TODAY(),Holidays)-1))</f>
        <v/>
      </c>
      <c r="X15" s="18"/>
      <c r="Y15" s="18"/>
      <c r="Z15" s="17">
        <f>IF($N15="","",COUNT($N15:$S15))</f>
        <v/>
      </c>
      <c r="AA15" s="19">
        <f>IF($Z15="","",INT(INDEX($N15:$S15,$Z15)))</f>
        <v/>
      </c>
      <c r="AB15" s="19">
        <f>IF(OR($Z15="",$Z15=6),"",WORKDAY($AA15,CHOOSE($Z15,3,3,2,2,3),Holidays))</f>
        <v/>
      </c>
      <c r="AC15" s="17">
        <f>IF(OR($Z15="",$Z15=6),"",CHOOSE($Z15,"1st Email Follow-up","2nd Email Follow-up","Escalate Local Office","Escalate to CBE","Escalate to Roxanne"))</f>
        <v/>
      </c>
    </row>
    <row r="16" spans="1:29">
      <c r="M16" s="14"/>
      <c r="T16" s="16"/>
      <c r="U16" s="17">
        <f>IF(AND(COUNTA($A16:$L16)=0,$N16=""),"",IF($T16="Paid","PAID",IF($T16="Closed","CLOSED",IF($Z16="","",IF($Z16=6,"ESCALATED TO ROXANNE",IF(TODAY()&gt;$AB16,"OVERDUE",IF($AB16&lt;=WORKDAY(TODAY(),1,Holidays),"DUE TOMORROW",IF($Z16=4,"ESCALATED TO LOCAL OFFICE",IF($Z16=5,"ESCALATED TO CBE",IF($AA16=TODAY(),"EMAIL SENT","MONITORING"))))))))))</f>
        <v/>
      </c>
      <c r="V16" s="17">
        <f>IF($U16="",IF(AND(COUNTA($A16:$L16)&gt;0,$N16=""),"Awaiting Collection Email time stamp.",""),IF(OR($U16="PAID",$U16="CLOSED"),IF($U16="PAID","Account paid. Action completed.","Account closed. No further action required."),CHOOSE($Z16,"Collection Email","1st Email Follow-up","2nd Email Follow-up","Escalation to Local Office","Escalation to CBE","Escalation to Roxanne")&amp;" sent "&amp;TEXT($AA16,"dd-mmm")&amp;". "&amp;IF($Z16=6,"Final escalation completed.",IF($U16="OVERDUE","Next: "&amp;$AC16&amp;" was due "&amp;TEXT($AB16,"dd-mmm")&amp;" - "&amp;(NETWORKDAYS($AB16,TODAY(),Holidays)-1)&amp;" business day(s) late. Send now.",IF($U16="DUE TOMORROW","Next: "&amp;$AC16&amp;IF($AB16&lt;=TODAY()," is due TODAY ("," is due next business day (")&amp;TEXT($AB16,"dd-mmm")&amp;").","Next: "&amp;$AC16&amp;" due "&amp;TEXT($AB16,"dd-mmm")&amp;" ("&amp;(NETWORKDAYS(TODAY(),$AB16,Holidays)-1)&amp;" business day(s) left).")))))</f>
        <v/>
      </c>
      <c r="W16" s="17">
        <f>IF($Z16="","",CHOOSE($Z16,"Collection Email","1st Follow-up","2nd Follow-up","Local Office","CBE","Roxanne")&amp;IF($Z16=6," - Final"," - Day "&amp;MAX(0,NETWORKDAYS($AA16,TODAY(),Holidays)-1)&amp;" of "&amp;CHOOSE($Z16,3,3,2,2,3))&amp;" | Total Day "&amp;MAX(0,NETWORKDAYS($N16,TODAY(),Holidays)-1))</f>
        <v/>
      </c>
      <c r="X16" s="18"/>
      <c r="Y16" s="18"/>
      <c r="Z16" s="17">
        <f>IF($N16="","",COUNT($N16:$S16))</f>
        <v/>
      </c>
      <c r="AA16" s="19">
        <f>IF($Z16="","",INT(INDEX($N16:$S16,$Z16)))</f>
        <v/>
      </c>
      <c r="AB16" s="19">
        <f>IF(OR($Z16="",$Z16=6),"",WORKDAY($AA16,CHOOSE($Z16,3,3,2,2,3),Holidays))</f>
        <v/>
      </c>
      <c r="AC16" s="17">
        <f>IF(OR($Z16="",$Z16=6),"",CHOOSE($Z16,"1st Email Follow-up","2nd Email Follow-up","Escalate Local Office","Escalate to CBE","Escalate to Roxanne"))</f>
        <v/>
      </c>
    </row>
    <row r="17" spans="13:29">
      <c r="M17" s="14"/>
      <c r="T17" s="16"/>
      <c r="U17" s="17">
        <f>IF(AND(COUNTA($A17:$L17)=0,$N17=""),"",IF($T17="Paid","PAID",IF($T17="Closed","CLOSED",IF($Z17="","",IF($Z17=6,"ESCALATED TO ROXANNE",IF(TODAY()&gt;$AB17,"OVERDUE",IF($AB17&lt;=WORKDAY(TODAY(),1,Holidays),"DUE TOMORROW",IF($Z17=4,"ESCALATED TO LOCAL OFFICE",IF($Z17=5,"ESCALATED TO CBE",IF($AA17=TODAY(),"EMAIL SENT","MONITORING"))))))))))</f>
        <v/>
      </c>
      <c r="V17" s="17">
        <f>IF($U17="",IF(AND(COUNTA($A17:$L17)&gt;0,$N17=""),"Awaiting Collection Email time stamp.",""),IF(OR($U17="PAID",$U17="CLOSED"),IF($U17="PAID","Account paid. Action completed.","Account closed. No further action required."),CHOOSE($Z17,"Collection Email","1st Email Follow-up","2nd Email Follow-up","Escalation to Local Office","Escalation to CBE","Escalation to Roxanne")&amp;" sent "&amp;TEXT($AA17,"dd-mmm")&amp;". "&amp;IF($Z17=6,"Final escalation completed.",IF($U17="OVERDUE","Next: "&amp;$AC17&amp;" was due "&amp;TEXT($AB17,"dd-mmm")&amp;" - "&amp;(NETWORKDAYS($AB17,TODAY(),Holidays)-1)&amp;" business day(s) late. Send now.",IF($U17="DUE TOMORROW","Next: "&amp;$AC17&amp;IF($AB17&lt;=TODAY()," is due TODAY ("," is due next business day (")&amp;TEXT($AB17,"dd-mmm")&amp;").","Next: "&amp;$AC17&amp;" due "&amp;TEXT($AB17,"dd-mmm")&amp;" ("&amp;(NETWORKDAYS(TODAY(),$AB17,Holidays)-1)&amp;" business day(s) left).")))))</f>
        <v/>
      </c>
      <c r="W17" s="17">
        <f>IF($Z17="","",CHOOSE($Z17,"Collection Email","1st Follow-up","2nd Follow-up","Local Office","CBE","Roxanne")&amp;IF($Z17=6," - Final"," - Day "&amp;MAX(0,NETWORKDAYS($AA17,TODAY(),Holidays)-1)&amp;" of "&amp;CHOOSE($Z17,3,3,2,2,3))&amp;" | Total Day "&amp;MAX(0,NETWORKDAYS($N17,TODAY(),Holidays)-1))</f>
        <v/>
      </c>
      <c r="X17" s="18"/>
      <c r="Y17" s="18"/>
      <c r="Z17" s="17">
        <f>IF($N17="","",COUNT($N17:$S17))</f>
        <v/>
      </c>
      <c r="AA17" s="19">
        <f>IF($Z17="","",INT(INDEX($N17:$S17,$Z17)))</f>
        <v/>
      </c>
      <c r="AB17" s="19">
        <f>IF(OR($Z17="",$Z17=6),"",WORKDAY($AA17,CHOOSE($Z17,3,3,2,2,3),Holidays))</f>
        <v/>
      </c>
      <c r="AC17" s="17">
        <f>IF(OR($Z17="",$Z17=6),"",CHOOSE($Z17,"1st Email Follow-up","2nd Email Follow-up","Escalate Local Office","Escalate to CBE","Escalate to Roxanne"))</f>
        <v/>
      </c>
    </row>
    <row r="18" spans="13:29">
      <c r="M18" s="14"/>
      <c r="T18" s="16"/>
      <c r="U18" s="17">
        <f>IF(AND(COUNTA($A18:$L18)=0,$N18=""),"",IF($T18="Paid","PAID",IF($T18="Closed","CLOSED",IF($Z18="","",IF($Z18=6,"ESCALATED TO ROXANNE",IF(TODAY()&gt;$AB18,"OVERDUE",IF($AB18&lt;=WORKDAY(TODAY(),1,Holidays),"DUE TOMORROW",IF($Z18=4,"ESCALATED TO LOCAL OFFICE",IF($Z18=5,"ESCALATED TO CBE",IF($AA18=TODAY(),"EMAIL SENT","MONITORING"))))))))))</f>
        <v/>
      </c>
      <c r="V18" s="17">
        <f>IF($U18="",IF(AND(COUNTA($A18:$L18)&gt;0,$N18=""),"Awaiting Collection Email time stamp.",""),IF(OR($U18="PAID",$U18="CLOSED"),IF($U18="PAID","Account paid. Action completed.","Account closed. No further action required."),CHOOSE($Z18,"Collection Email","1st Email Follow-up","2nd Email Follow-up","Escalation to Local Office","Escalation to CBE","Escalation to Roxanne")&amp;" sent "&amp;TEXT($AA18,"dd-mmm")&amp;". "&amp;IF($Z18=6,"Final escalation completed.",IF($U18="OVERDUE","Next: "&amp;$AC18&amp;" was due "&amp;TEXT($AB18,"dd-mmm")&amp;" - "&amp;(NETWORKDAYS($AB18,TODAY(),Holidays)-1)&amp;" business day(s) late. Send now.",IF($U18="DUE TOMORROW","Next: "&amp;$AC18&amp;IF($AB18&lt;=TODAY()," is due TODAY ("," is due next business day (")&amp;TEXT($AB18,"dd-mmm")&amp;").","Next: "&amp;$AC18&amp;" due "&amp;TEXT($AB18,"dd-mmm")&amp;" ("&amp;(NETWORKDAYS(TODAY(),$AB18,Holidays)-1)&amp;" business day(s) left).")))))</f>
        <v/>
      </c>
      <c r="W18" s="17">
        <f>IF($Z18="","",CHOOSE($Z18,"Collection Email","1st Follow-up","2nd Follow-up","Local Office","CBE","Roxanne")&amp;IF($Z18=6," - Final"," - Day "&amp;MAX(0,NETWORKDAYS($AA18,TODAY(),Holidays)-1)&amp;" of "&amp;CHOOSE($Z18,3,3,2,2,3))&amp;" | Total Day "&amp;MAX(0,NETWORKDAYS($N18,TODAY(),Holidays)-1))</f>
        <v/>
      </c>
      <c r="X18" s="18"/>
      <c r="Y18" s="18"/>
      <c r="Z18" s="17">
        <f>IF($N18="","",COUNT($N18:$S18))</f>
        <v/>
      </c>
      <c r="AA18" s="19">
        <f>IF($Z18="","",INT(INDEX($N18:$S18,$Z18)))</f>
        <v/>
      </c>
      <c r="AB18" s="19">
        <f>IF(OR($Z18="",$Z18=6),"",WORKDAY($AA18,CHOOSE($Z18,3,3,2,2,3),Holidays))</f>
        <v/>
      </c>
      <c r="AC18" s="17">
        <f>IF(OR($Z18="",$Z18=6),"",CHOOSE($Z18,"1st Email Follow-up","2nd Email Follow-up","Escalate Local Office","Escalate to CBE","Escalate to Roxanne"))</f>
        <v/>
      </c>
    </row>
    <row r="19" spans="13:29">
      <c r="M19" s="14"/>
      <c r="T19" s="16"/>
      <c r="U19" s="17">
        <f>IF(AND(COUNTA($A19:$L19)=0,$N19=""),"",IF($T19="Paid","PAID",IF($T19="Closed","CLOSED",IF($Z19="","",IF($Z19=6,"ESCALATED TO ROXANNE",IF(TODAY()&gt;$AB19,"OVERDUE",IF($AB19&lt;=WORKDAY(TODAY(),1,Holidays),"DUE TOMORROW",IF($Z19=4,"ESCALATED TO LOCAL OFFICE",IF($Z19=5,"ESCALATED TO CBE",IF($AA19=TODAY(),"EMAIL SENT","MONITORING"))))))))))</f>
        <v/>
      </c>
      <c r="V19" s="17">
        <f>IF($U19="",IF(AND(COUNTA($A19:$L19)&gt;0,$N19=""),"Awaiting Collection Email time stamp.",""),IF(OR($U19="PAID",$U19="CLOSED"),IF($U19="PAID","Account paid. Action completed.","Account closed. No further action required."),CHOOSE($Z19,"Collection Email","1st Email Follow-up","2nd Email Follow-up","Escalation to Local Office","Escalation to CBE","Escalation to Roxanne")&amp;" sent "&amp;TEXT($AA19,"dd-mmm")&amp;". "&amp;IF($Z19=6,"Final escalation completed.",IF($U19="OVERDUE","Next: "&amp;$AC19&amp;" was due "&amp;TEXT($AB19,"dd-mmm")&amp;" - "&amp;(NETWORKDAYS($AB19,TODAY(),Holidays)-1)&amp;" business day(s) late. Send now.",IF($U19="DUE TOMORROW","Next: "&amp;$AC19&amp;IF($AB19&lt;=TODAY()," is due TODAY ("," is due next business day (")&amp;TEXT($AB19,"dd-mmm")&amp;").","Next: "&amp;$AC19&amp;" due "&amp;TEXT($AB19,"dd-mmm")&amp;" ("&amp;(NETWORKDAYS(TODAY(),$AB19,Holidays)-1)&amp;" business day(s) left).")))))</f>
        <v/>
      </c>
      <c r="W19" s="17">
        <f>IF($Z19="","",CHOOSE($Z19,"Collection Email","1st Follow-up","2nd Follow-up","Local Office","CBE","Roxanne")&amp;IF($Z19=6," - Final"," - Day "&amp;MAX(0,NETWORKDAYS($AA19,TODAY(),Holidays)-1)&amp;" of "&amp;CHOOSE($Z19,3,3,2,2,3))&amp;" | Total Day "&amp;MAX(0,NETWORKDAYS($N19,TODAY(),Holidays)-1))</f>
        <v/>
      </c>
      <c r="X19" s="18"/>
      <c r="Y19" s="18"/>
      <c r="Z19" s="17">
        <f>IF($N19="","",COUNT($N19:$S19))</f>
        <v/>
      </c>
      <c r="AA19" s="19">
        <f>IF($Z19="","",INT(INDEX($N19:$S19,$Z19)))</f>
        <v/>
      </c>
      <c r="AB19" s="19">
        <f>IF(OR($Z19="",$Z19=6),"",WORKDAY($AA19,CHOOSE($Z19,3,3,2,2,3),Holidays))</f>
        <v/>
      </c>
      <c r="AC19" s="17">
        <f>IF(OR($Z19="",$Z19=6),"",CHOOSE($Z19,"1st Email Follow-up","2nd Email Follow-up","Escalate Local Office","Escalate to CBE","Escalate to Roxanne"))</f>
        <v/>
      </c>
    </row>
    <row r="20" spans="13:29">
      <c r="M20" s="14"/>
      <c r="T20" s="16"/>
      <c r="U20" s="17">
        <f>IF(AND(COUNTA($A20:$L20)=0,$N20=""),"",IF($T20="Paid","PAID",IF($T20="Closed","CLOSED",IF($Z20="","",IF($Z20=6,"ESCALATED TO ROXANNE",IF(TODAY()&gt;$AB20,"OVERDUE",IF($AB20&lt;=WORKDAY(TODAY(),1,Holidays),"DUE TOMORROW",IF($Z20=4,"ESCALATED TO LOCAL OFFICE",IF($Z20=5,"ESCALATED TO CBE",IF($AA20=TODAY(),"EMAIL SENT","MONITORING"))))))))))</f>
        <v/>
      </c>
      <c r="V20" s="17">
        <f>IF($U20="",IF(AND(COUNTA($A20:$L20)&gt;0,$N20=""),"Awaiting Collection Email time stamp.",""),IF(OR($U20="PAID",$U20="CLOSED"),IF($U20="PAID","Account paid. Action completed.","Account closed. No further action required."),CHOOSE($Z20,"Collection Email","1st Email Follow-up","2nd Email Follow-up","Escalation to Local Office","Escalation to CBE","Escalation to Roxanne")&amp;" sent "&amp;TEXT($AA20,"dd-mmm")&amp;". "&amp;IF($Z20=6,"Final escalation completed.",IF($U20="OVERDUE","Next: "&amp;$AC20&amp;" was due "&amp;TEXT($AB20,"dd-mmm")&amp;" - "&amp;(NETWORKDAYS($AB20,TODAY(),Holidays)-1)&amp;" business day(s) late. Send now.",IF($U20="DUE TOMORROW","Next: "&amp;$AC20&amp;IF($AB20&lt;=TODAY()," is due TODAY ("," is due next business day (")&amp;TEXT($AB20,"dd-mmm")&amp;").","Next: "&amp;$AC20&amp;" due "&amp;TEXT($AB20,"dd-mmm")&amp;" ("&amp;(NETWORKDAYS(TODAY(),$AB20,Holidays)-1)&amp;" business day(s) left).")))))</f>
        <v/>
      </c>
      <c r="W20" s="17">
        <f>IF($Z20="","",CHOOSE($Z20,"Collection Email","1st Follow-up","2nd Follow-up","Local Office","CBE","Roxanne")&amp;IF($Z20=6," - Final"," - Day "&amp;MAX(0,NETWORKDAYS($AA20,TODAY(),Holidays)-1)&amp;" of "&amp;CHOOSE($Z20,3,3,2,2,3))&amp;" | Total Day "&amp;MAX(0,NETWORKDAYS($N20,TODAY(),Holidays)-1))</f>
        <v/>
      </c>
      <c r="X20" s="18"/>
      <c r="Y20" s="18"/>
      <c r="Z20" s="17">
        <f>IF($N20="","",COUNT($N20:$S20))</f>
        <v/>
      </c>
      <c r="AA20" s="19">
        <f>IF($Z20="","",INT(INDEX($N20:$S20,$Z20)))</f>
        <v/>
      </c>
      <c r="AB20" s="19">
        <f>IF(OR($Z20="",$Z20=6),"",WORKDAY($AA20,CHOOSE($Z20,3,3,2,2,3),Holidays))</f>
        <v/>
      </c>
      <c r="AC20" s="17">
        <f>IF(OR($Z20="",$Z20=6),"",CHOOSE($Z20,"1st Email Follow-up","2nd Email Follow-up","Escalate Local Office","Escalate to CBE","Escalate to Roxanne"))</f>
        <v/>
      </c>
    </row>
    <row r="21" spans="13:29">
      <c r="M21" s="14"/>
      <c r="T21" s="16"/>
      <c r="U21" s="17">
        <f>IF(AND(COUNTA($A21:$L21)=0,$N21=""),"",IF($T21="Paid","PAID",IF($T21="Closed","CLOSED",IF($Z21="","",IF($Z21=6,"ESCALATED TO ROXANNE",IF(TODAY()&gt;$AB21,"OVERDUE",IF($AB21&lt;=WORKDAY(TODAY(),1,Holidays),"DUE TOMORROW",IF($Z21=4,"ESCALATED TO LOCAL OFFICE",IF($Z21=5,"ESCALATED TO CBE",IF($AA21=TODAY(),"EMAIL SENT","MONITORING"))))))))))</f>
        <v/>
      </c>
      <c r="V21" s="17">
        <f>IF($U21="",IF(AND(COUNTA($A21:$L21)&gt;0,$N21=""),"Awaiting Collection Email time stamp.",""),IF(OR($U21="PAID",$U21="CLOSED"),IF($U21="PAID","Account paid. Action completed.","Account closed. No further action required."),CHOOSE($Z21,"Collection Email","1st Email Follow-up","2nd Email Follow-up","Escalation to Local Office","Escalation to CBE","Escalation to Roxanne")&amp;" sent "&amp;TEXT($AA21,"dd-mmm")&amp;". "&amp;IF($Z21=6,"Final escalation completed.",IF($U21="OVERDUE","Next: "&amp;$AC21&amp;" was due "&amp;TEXT($AB21,"dd-mmm")&amp;" - "&amp;(NETWORKDAYS($AB21,TODAY(),Holidays)-1)&amp;" business day(s) late. Send now.",IF($U21="DUE TOMORROW","Next: "&amp;$AC21&amp;IF($AB21&lt;=TODAY()," is due TODAY ("," is due next business day (")&amp;TEXT($AB21,"dd-mmm")&amp;").","Next: "&amp;$AC21&amp;" due "&amp;TEXT($AB21,"dd-mmm")&amp;" ("&amp;(NETWORKDAYS(TODAY(),$AB21,Holidays)-1)&amp;" business day(s) left).")))))</f>
        <v/>
      </c>
      <c r="W21" s="17">
        <f>IF($Z21="","",CHOOSE($Z21,"Collection Email","1st Follow-up","2nd Follow-up","Local Office","CBE","Roxanne")&amp;IF($Z21=6," - Final"," - Day "&amp;MAX(0,NETWORKDAYS($AA21,TODAY(),Holidays)-1)&amp;" of "&amp;CHOOSE($Z21,3,3,2,2,3))&amp;" | Total Day "&amp;MAX(0,NETWORKDAYS($N21,TODAY(),Holidays)-1))</f>
        <v/>
      </c>
      <c r="X21" s="18"/>
      <c r="Y21" s="18"/>
      <c r="Z21" s="17">
        <f>IF($N21="","",COUNT($N21:$S21))</f>
        <v/>
      </c>
      <c r="AA21" s="19">
        <f>IF($Z21="","",INT(INDEX($N21:$S21,$Z21)))</f>
        <v/>
      </c>
      <c r="AB21" s="19">
        <f>IF(OR($Z21="",$Z21=6),"",WORKDAY($AA21,CHOOSE($Z21,3,3,2,2,3),Holidays))</f>
        <v/>
      </c>
      <c r="AC21" s="17">
        <f>IF(OR($Z21="",$Z21=6),"",CHOOSE($Z21,"1st Email Follow-up","2nd Email Follow-up","Escalate Local Office","Escalate to CBE","Escalate to Roxanne"))</f>
        <v/>
      </c>
    </row>
    <row r="22" spans="13:29">
      <c r="M22" s="14"/>
      <c r="T22" s="16"/>
      <c r="U22" s="17">
        <f>IF(AND(COUNTA($A22:$L22)=0,$N22=""),"",IF($T22="Paid","PAID",IF($T22="Closed","CLOSED",IF($Z22="","",IF($Z22=6,"ESCALATED TO ROXANNE",IF(TODAY()&gt;$AB22,"OVERDUE",IF($AB22&lt;=WORKDAY(TODAY(),1,Holidays),"DUE TOMORROW",IF($Z22=4,"ESCALATED TO LOCAL OFFICE",IF($Z22=5,"ESCALATED TO CBE",IF($AA22=TODAY(),"EMAIL SENT","MONITORING"))))))))))</f>
        <v/>
      </c>
      <c r="V22" s="17">
        <f>IF($U22="",IF(AND(COUNTA($A22:$L22)&gt;0,$N22=""),"Awaiting Collection Email time stamp.",""),IF(OR($U22="PAID",$U22="CLOSED"),IF($U22="PAID","Account paid. Action completed.","Account closed. No further action required."),CHOOSE($Z22,"Collection Email","1st Email Follow-up","2nd Email Follow-up","Escalation to Local Office","Escalation to CBE","Escalation to Roxanne")&amp;" sent "&amp;TEXT($AA22,"dd-mmm")&amp;". "&amp;IF($Z22=6,"Final escalation completed.",IF($U22="OVERDUE","Next: "&amp;$AC22&amp;" was due "&amp;TEXT($AB22,"dd-mmm")&amp;" - "&amp;(NETWORKDAYS($AB22,TODAY(),Holidays)-1)&amp;" business day(s) late. Send now.",IF($U22="DUE TOMORROW","Next: "&amp;$AC22&amp;IF($AB22&lt;=TODAY()," is due TODAY ("," is due next business day (")&amp;TEXT($AB22,"dd-mmm")&amp;").","Next: "&amp;$AC22&amp;" due "&amp;TEXT($AB22,"dd-mmm")&amp;" ("&amp;(NETWORKDAYS(TODAY(),$AB22,Holidays)-1)&amp;" business day(s) left).")))))</f>
        <v/>
      </c>
      <c r="W22" s="17">
        <f>IF($Z22="","",CHOOSE($Z22,"Collection Email","1st Follow-up","2nd Follow-up","Local Office","CBE","Roxanne")&amp;IF($Z22=6," - Final"," - Day "&amp;MAX(0,NETWORKDAYS($AA22,TODAY(),Holidays)-1)&amp;" of "&amp;CHOOSE($Z22,3,3,2,2,3))&amp;" | Total Day "&amp;MAX(0,NETWORKDAYS($N22,TODAY(),Holidays)-1))</f>
        <v/>
      </c>
      <c r="X22" s="18"/>
      <c r="Y22" s="18"/>
      <c r="Z22" s="17">
        <f>IF($N22="","",COUNT($N22:$S22))</f>
        <v/>
      </c>
      <c r="AA22" s="19">
        <f>IF($Z22="","",INT(INDEX($N22:$S22,$Z22)))</f>
        <v/>
      </c>
      <c r="AB22" s="19">
        <f>IF(OR($Z22="",$Z22=6),"",WORKDAY($AA22,CHOOSE($Z22,3,3,2,2,3),Holidays))</f>
        <v/>
      </c>
      <c r="AC22" s="17">
        <f>IF(OR($Z22="",$Z22=6),"",CHOOSE($Z22,"1st Email Follow-up","2nd Email Follow-up","Escalate Local Office","Escalate to CBE","Escalate to Roxanne"))</f>
        <v/>
      </c>
    </row>
    <row r="23" spans="13:29">
      <c r="M23" s="14"/>
      <c r="T23" s="16"/>
      <c r="U23" s="17">
        <f>IF(AND(COUNTA($A23:$L23)=0,$N23=""),"",IF($T23="Paid","PAID",IF($T23="Closed","CLOSED",IF($Z23="","",IF($Z23=6,"ESCALATED TO ROXANNE",IF(TODAY()&gt;$AB23,"OVERDUE",IF($AB23&lt;=WORKDAY(TODAY(),1,Holidays),"DUE TOMORROW",IF($Z23=4,"ESCALATED TO LOCAL OFFICE",IF($Z23=5,"ESCALATED TO CBE",IF($AA23=TODAY(),"EMAIL SENT","MONITORING"))))))))))</f>
        <v/>
      </c>
      <c r="V23" s="17">
        <f>IF($U23="",IF(AND(COUNTA($A23:$L23)&gt;0,$N23=""),"Awaiting Collection Email time stamp.",""),IF(OR($U23="PAID",$U23="CLOSED"),IF($U23="PAID","Account paid. Action completed.","Account closed. No further action required."),CHOOSE($Z23,"Collection Email","1st Email Follow-up","2nd Email Follow-up","Escalation to Local Office","Escalation to CBE","Escalation to Roxanne")&amp;" sent "&amp;TEXT($AA23,"dd-mmm")&amp;". "&amp;IF($Z23=6,"Final escalation completed.",IF($U23="OVERDUE","Next: "&amp;$AC23&amp;" was due "&amp;TEXT($AB23,"dd-mmm")&amp;" - "&amp;(NETWORKDAYS($AB23,TODAY(),Holidays)-1)&amp;" business day(s) late. Send now.",IF($U23="DUE TOMORROW","Next: "&amp;$AC23&amp;IF($AB23&lt;=TODAY()," is due TODAY ("," is due next business day (")&amp;TEXT($AB23,"dd-mmm")&amp;").","Next: "&amp;$AC23&amp;" due "&amp;TEXT($AB23,"dd-mmm")&amp;" ("&amp;(NETWORKDAYS(TODAY(),$AB23,Holidays)-1)&amp;" business day(s) left).")))))</f>
        <v/>
      </c>
      <c r="W23" s="17">
        <f>IF($Z23="","",CHOOSE($Z23,"Collection Email","1st Follow-up","2nd Follow-up","Local Office","CBE","Roxanne")&amp;IF($Z23=6," - Final"," - Day "&amp;MAX(0,NETWORKDAYS($AA23,TODAY(),Holidays)-1)&amp;" of "&amp;CHOOSE($Z23,3,3,2,2,3))&amp;" | Total Day "&amp;MAX(0,NETWORKDAYS($N23,TODAY(),Holidays)-1))</f>
        <v/>
      </c>
      <c r="X23" s="18"/>
      <c r="Y23" s="18"/>
      <c r="Z23" s="17">
        <f>IF($N23="","",COUNT($N23:$S23))</f>
        <v/>
      </c>
      <c r="AA23" s="19">
        <f>IF($Z23="","",INT(INDEX($N23:$S23,$Z23)))</f>
        <v/>
      </c>
      <c r="AB23" s="19">
        <f>IF(OR($Z23="",$Z23=6),"",WORKDAY($AA23,CHOOSE($Z23,3,3,2,2,3),Holidays))</f>
        <v/>
      </c>
      <c r="AC23" s="17">
        <f>IF(OR($Z23="",$Z23=6),"",CHOOSE($Z23,"1st Email Follow-up","2nd Email Follow-up","Escalate Local Office","Escalate to CBE","Escalate to Roxanne"))</f>
        <v/>
      </c>
    </row>
    <row r="24" spans="13:29">
      <c r="M24" s="14"/>
      <c r="T24" s="16"/>
      <c r="U24" s="17">
        <f>IF(AND(COUNTA($A24:$L24)=0,$N24=""),"",IF($T24="Paid","PAID",IF($T24="Closed","CLOSED",IF($Z24="","",IF($Z24=6,"ESCALATED TO ROXANNE",IF(TODAY()&gt;$AB24,"OVERDUE",IF($AB24&lt;=WORKDAY(TODAY(),1,Holidays),"DUE TOMORROW",IF($Z24=4,"ESCALATED TO LOCAL OFFICE",IF($Z24=5,"ESCALATED TO CBE",IF($AA24=TODAY(),"EMAIL SENT","MONITORING"))))))))))</f>
        <v/>
      </c>
      <c r="V24" s="17">
        <f>IF($U24="",IF(AND(COUNTA($A24:$L24)&gt;0,$N24=""),"Awaiting Collection Email time stamp.",""),IF(OR($U24="PAID",$U24="CLOSED"),IF($U24="PAID","Account paid. Action completed.","Account closed. No further action required."),CHOOSE($Z24,"Collection Email","1st Email Follow-up","2nd Email Follow-up","Escalation to Local Office","Escalation to CBE","Escalation to Roxanne")&amp;" sent "&amp;TEXT($AA24,"dd-mmm")&amp;". "&amp;IF($Z24=6,"Final escalation completed.",IF($U24="OVERDUE","Next: "&amp;$AC24&amp;" was due "&amp;TEXT($AB24,"dd-mmm")&amp;" - "&amp;(NETWORKDAYS($AB24,TODAY(),Holidays)-1)&amp;" business day(s) late. Send now.",IF($U24="DUE TOMORROW","Next: "&amp;$AC24&amp;IF($AB24&lt;=TODAY()," is due TODAY ("," is due next business day (")&amp;TEXT($AB24,"dd-mmm")&amp;").","Next: "&amp;$AC24&amp;" due "&amp;TEXT($AB24,"dd-mmm")&amp;" ("&amp;(NETWORKDAYS(TODAY(),$AB24,Holidays)-1)&amp;" business day(s) left).")))))</f>
        <v/>
      </c>
      <c r="W24" s="17">
        <f>IF($Z24="","",CHOOSE($Z24,"Collection Email","1st Follow-up","2nd Follow-up","Local Office","CBE","Roxanne")&amp;IF($Z24=6," - Final"," - Day "&amp;MAX(0,NETWORKDAYS($AA24,TODAY(),Holidays)-1)&amp;" of "&amp;CHOOSE($Z24,3,3,2,2,3))&amp;" | Total Day "&amp;MAX(0,NETWORKDAYS($N24,TODAY(),Holidays)-1))</f>
        <v/>
      </c>
      <c r="X24" s="18"/>
      <c r="Y24" s="18"/>
      <c r="Z24" s="17">
        <f>IF($N24="","",COUNT($N24:$S24))</f>
        <v/>
      </c>
      <c r="AA24" s="19">
        <f>IF($Z24="","",INT(INDEX($N24:$S24,$Z24)))</f>
        <v/>
      </c>
      <c r="AB24" s="19">
        <f>IF(OR($Z24="",$Z24=6),"",WORKDAY($AA24,CHOOSE($Z24,3,3,2,2,3),Holidays))</f>
        <v/>
      </c>
      <c r="AC24" s="17">
        <f>IF(OR($Z24="",$Z24=6),"",CHOOSE($Z24,"1st Email Follow-up","2nd Email Follow-up","Escalate Local Office","Escalate to CBE","Escalate to Roxanne"))</f>
        <v/>
      </c>
    </row>
    <row r="25" spans="13:29">
      <c r="M25" s="14"/>
      <c r="T25" s="16"/>
      <c r="U25" s="17">
        <f>IF(AND(COUNTA($A25:$L25)=0,$N25=""),"",IF($T25="Paid","PAID",IF($T25="Closed","CLOSED",IF($Z25="","",IF($Z25=6,"ESCALATED TO ROXANNE",IF(TODAY()&gt;$AB25,"OVERDUE",IF($AB25&lt;=WORKDAY(TODAY(),1,Holidays),"DUE TOMORROW",IF($Z25=4,"ESCALATED TO LOCAL OFFICE",IF($Z25=5,"ESCALATED TO CBE",IF($AA25=TODAY(),"EMAIL SENT","MONITORING"))))))))))</f>
        <v/>
      </c>
      <c r="V25" s="17">
        <f>IF($U25="",IF(AND(COUNTA($A25:$L25)&gt;0,$N25=""),"Awaiting Collection Email time stamp.",""),IF(OR($U25="PAID",$U25="CLOSED"),IF($U25="PAID","Account paid. Action completed.","Account closed. No further action required."),CHOOSE($Z25,"Collection Email","1st Email Follow-up","2nd Email Follow-up","Escalation to Local Office","Escalation to CBE","Escalation to Roxanne")&amp;" sent "&amp;TEXT($AA25,"dd-mmm")&amp;". "&amp;IF($Z25=6,"Final escalation completed.",IF($U25="OVERDUE","Next: "&amp;$AC25&amp;" was due "&amp;TEXT($AB25,"dd-mmm")&amp;" - "&amp;(NETWORKDAYS($AB25,TODAY(),Holidays)-1)&amp;" business day(s) late. Send now.",IF($U25="DUE TOMORROW","Next: "&amp;$AC25&amp;IF($AB25&lt;=TODAY()," is due TODAY ("," is due next business day (")&amp;TEXT($AB25,"dd-mmm")&amp;").","Next: "&amp;$AC25&amp;" due "&amp;TEXT($AB25,"dd-mmm")&amp;" ("&amp;(NETWORKDAYS(TODAY(),$AB25,Holidays)-1)&amp;" business day(s) left).")))))</f>
        <v/>
      </c>
      <c r="W25" s="17">
        <f>IF($Z25="","",CHOOSE($Z25,"Collection Email","1st Follow-up","2nd Follow-up","Local Office","CBE","Roxanne")&amp;IF($Z25=6," - Final"," - Day "&amp;MAX(0,NETWORKDAYS($AA25,TODAY(),Holidays)-1)&amp;" of "&amp;CHOOSE($Z25,3,3,2,2,3))&amp;" | Total Day "&amp;MAX(0,NETWORKDAYS($N25,TODAY(),Holidays)-1))</f>
        <v/>
      </c>
      <c r="X25" s="18"/>
      <c r="Y25" s="18"/>
      <c r="Z25" s="17">
        <f>IF($N25="","",COUNT($N25:$S25))</f>
        <v/>
      </c>
      <c r="AA25" s="19">
        <f>IF($Z25="","",INT(INDEX($N25:$S25,$Z25)))</f>
        <v/>
      </c>
      <c r="AB25" s="19">
        <f>IF(OR($Z25="",$Z25=6),"",WORKDAY($AA25,CHOOSE($Z25,3,3,2,2,3),Holidays))</f>
        <v/>
      </c>
      <c r="AC25" s="17">
        <f>IF(OR($Z25="",$Z25=6),"",CHOOSE($Z25,"1st Email Follow-up","2nd Email Follow-up","Escalate Local Office","Escalate to CBE","Escalate to Roxanne"))</f>
        <v/>
      </c>
    </row>
    <row r="26" spans="13:29">
      <c r="M26" s="14"/>
      <c r="T26" s="16"/>
      <c r="U26" s="17">
        <f>IF(AND(COUNTA($A26:$L26)=0,$N26=""),"",IF($T26="Paid","PAID",IF($T26="Closed","CLOSED",IF($Z26="","",IF($Z26=6,"ESCALATED TO ROXANNE",IF(TODAY()&gt;$AB26,"OVERDUE",IF($AB26&lt;=WORKDAY(TODAY(),1,Holidays),"DUE TOMORROW",IF($Z26=4,"ESCALATED TO LOCAL OFFICE",IF($Z26=5,"ESCALATED TO CBE",IF($AA26=TODAY(),"EMAIL SENT","MONITORING"))))))))))</f>
        <v/>
      </c>
      <c r="V26" s="17">
        <f>IF($U26="",IF(AND(COUNTA($A26:$L26)&gt;0,$N26=""),"Awaiting Collection Email time stamp.",""),IF(OR($U26="PAID",$U26="CLOSED"),IF($U26="PAID","Account paid. Action completed.","Account closed. No further action required."),CHOOSE($Z26,"Collection Email","1st Email Follow-up","2nd Email Follow-up","Escalation to Local Office","Escalation to CBE","Escalation to Roxanne")&amp;" sent "&amp;TEXT($AA26,"dd-mmm")&amp;". "&amp;IF($Z26=6,"Final escalation completed.",IF($U26="OVERDUE","Next: "&amp;$AC26&amp;" was due "&amp;TEXT($AB26,"dd-mmm")&amp;" - "&amp;(NETWORKDAYS($AB26,TODAY(),Holidays)-1)&amp;" business day(s) late. Send now.",IF($U26="DUE TOMORROW","Next: "&amp;$AC26&amp;IF($AB26&lt;=TODAY()," is due TODAY ("," is due next business day (")&amp;TEXT($AB26,"dd-mmm")&amp;").","Next: "&amp;$AC26&amp;" due "&amp;TEXT($AB26,"dd-mmm")&amp;" ("&amp;(NETWORKDAYS(TODAY(),$AB26,Holidays)-1)&amp;" business day(s) left).")))))</f>
        <v/>
      </c>
      <c r="W26" s="17">
        <f>IF($Z26="","",CHOOSE($Z26,"Collection Email","1st Follow-up","2nd Follow-up","Local Office","CBE","Roxanne")&amp;IF($Z26=6," - Final"," - Day "&amp;MAX(0,NETWORKDAYS($AA26,TODAY(),Holidays)-1)&amp;" of "&amp;CHOOSE($Z26,3,3,2,2,3))&amp;" | Total Day "&amp;MAX(0,NETWORKDAYS($N26,TODAY(),Holidays)-1))</f>
        <v/>
      </c>
      <c r="X26" s="18"/>
      <c r="Y26" s="18"/>
      <c r="Z26" s="17">
        <f>IF($N26="","",COUNT($N26:$S26))</f>
        <v/>
      </c>
      <c r="AA26" s="19">
        <f>IF($Z26="","",INT(INDEX($N26:$S26,$Z26)))</f>
        <v/>
      </c>
      <c r="AB26" s="19">
        <f>IF(OR($Z26="",$Z26=6),"",WORKDAY($AA26,CHOOSE($Z26,3,3,2,2,3),Holidays))</f>
        <v/>
      </c>
      <c r="AC26" s="17">
        <f>IF(OR($Z26="",$Z26=6),"",CHOOSE($Z26,"1st Email Follow-up","2nd Email Follow-up","Escalate Local Office","Escalate to CBE","Escalate to Roxanne"))</f>
        <v/>
      </c>
    </row>
    <row r="27" spans="13:29">
      <c r="M27" s="14"/>
      <c r="T27" s="16"/>
      <c r="U27" s="17">
        <f>IF(AND(COUNTA($A27:$L27)=0,$N27=""),"",IF($T27="Paid","PAID",IF($T27="Closed","CLOSED",IF($Z27="","",IF($Z27=6,"ESCALATED TO ROXANNE",IF(TODAY()&gt;$AB27,"OVERDUE",IF($AB27&lt;=WORKDAY(TODAY(),1,Holidays),"DUE TOMORROW",IF($Z27=4,"ESCALATED TO LOCAL OFFICE",IF($Z27=5,"ESCALATED TO CBE",IF($AA27=TODAY(),"EMAIL SENT","MONITORING"))))))))))</f>
        <v/>
      </c>
      <c r="V27" s="17">
        <f>IF($U27="",IF(AND(COUNTA($A27:$L27)&gt;0,$N27=""),"Awaiting Collection Email time stamp.",""),IF(OR($U27="PAID",$U27="CLOSED"),IF($U27="PAID","Account paid. Action completed.","Account closed. No further action required."),CHOOSE($Z27,"Collection Email","1st Email Follow-up","2nd Email Follow-up","Escalation to Local Office","Escalation to CBE","Escalation to Roxanne")&amp;" sent "&amp;TEXT($AA27,"dd-mmm")&amp;". "&amp;IF($Z27=6,"Final escalation completed.",IF($U27="OVERDUE","Next: "&amp;$AC27&amp;" was due "&amp;TEXT($AB27,"dd-mmm")&amp;" - "&amp;(NETWORKDAYS($AB27,TODAY(),Holidays)-1)&amp;" business day(s) late. Send now.",IF($U27="DUE TOMORROW","Next: "&amp;$AC27&amp;IF($AB27&lt;=TODAY()," is due TODAY ("," is due next business day (")&amp;TEXT($AB27,"dd-mmm")&amp;").","Next: "&amp;$AC27&amp;" due "&amp;TEXT($AB27,"dd-mmm")&amp;" ("&amp;(NETWORKDAYS(TODAY(),$AB27,Holidays)-1)&amp;" business day(s) left).")))))</f>
        <v/>
      </c>
      <c r="W27" s="17">
        <f>IF($Z27="","",CHOOSE($Z27,"Collection Email","1st Follow-up","2nd Follow-up","Local Office","CBE","Roxanne")&amp;IF($Z27=6," - Final"," - Day "&amp;MAX(0,NETWORKDAYS($AA27,TODAY(),Holidays)-1)&amp;" of "&amp;CHOOSE($Z27,3,3,2,2,3))&amp;" | Total Day "&amp;MAX(0,NETWORKDAYS($N27,TODAY(),Holidays)-1))</f>
        <v/>
      </c>
      <c r="X27" s="18"/>
      <c r="Y27" s="18"/>
      <c r="Z27" s="17">
        <f>IF($N27="","",COUNT($N27:$S27))</f>
        <v/>
      </c>
      <c r="AA27" s="19">
        <f>IF($Z27="","",INT(INDEX($N27:$S27,$Z27)))</f>
        <v/>
      </c>
      <c r="AB27" s="19">
        <f>IF(OR($Z27="",$Z27=6),"",WORKDAY($AA27,CHOOSE($Z27,3,3,2,2,3),Holidays))</f>
        <v/>
      </c>
      <c r="AC27" s="17">
        <f>IF(OR($Z27="",$Z27=6),"",CHOOSE($Z27,"1st Email Follow-up","2nd Email Follow-up","Escalate Local Office","Escalate to CBE","Escalate to Roxanne"))</f>
        <v/>
      </c>
    </row>
    <row r="28" spans="13:29">
      <c r="M28" s="14"/>
      <c r="T28" s="16"/>
      <c r="U28" s="17">
        <f>IF(AND(COUNTA($A28:$L28)=0,$N28=""),"",IF($T28="Paid","PAID",IF($T28="Closed","CLOSED",IF($Z28="","",IF($Z28=6,"ESCALATED TO ROXANNE",IF(TODAY()&gt;$AB28,"OVERDUE",IF($AB28&lt;=WORKDAY(TODAY(),1,Holidays),"DUE TOMORROW",IF($Z28=4,"ESCALATED TO LOCAL OFFICE",IF($Z28=5,"ESCALATED TO CBE",IF($AA28=TODAY(),"EMAIL SENT","MONITORING"))))))))))</f>
        <v/>
      </c>
      <c r="V28" s="17">
        <f>IF($U28="",IF(AND(COUNTA($A28:$L28)&gt;0,$N28=""),"Awaiting Collection Email time stamp.",""),IF(OR($U28="PAID",$U28="CLOSED"),IF($U28="PAID","Account paid. Action completed.","Account closed. No further action required."),CHOOSE($Z28,"Collection Email","1st Email Follow-up","2nd Email Follow-up","Escalation to Local Office","Escalation to CBE","Escalation to Roxanne")&amp;" sent "&amp;TEXT($AA28,"dd-mmm")&amp;". "&amp;IF($Z28=6,"Final escalation completed.",IF($U28="OVERDUE","Next: "&amp;$AC28&amp;" was due "&amp;TEXT($AB28,"dd-mmm")&amp;" - "&amp;(NETWORKDAYS($AB28,TODAY(),Holidays)-1)&amp;" business day(s) late. Send now.",IF($U28="DUE TOMORROW","Next: "&amp;$AC28&amp;IF($AB28&lt;=TODAY()," is due TODAY ("," is due next business day (")&amp;TEXT($AB28,"dd-mmm")&amp;").","Next: "&amp;$AC28&amp;" due "&amp;TEXT($AB28,"dd-mmm")&amp;" ("&amp;(NETWORKDAYS(TODAY(),$AB28,Holidays)-1)&amp;" business day(s) left).")))))</f>
        <v/>
      </c>
      <c r="W28" s="17">
        <f>IF($Z28="","",CHOOSE($Z28,"Collection Email","1st Follow-up","2nd Follow-up","Local Office","CBE","Roxanne")&amp;IF($Z28=6," - Final"," - Day "&amp;MAX(0,NETWORKDAYS($AA28,TODAY(),Holidays)-1)&amp;" of "&amp;CHOOSE($Z28,3,3,2,2,3))&amp;" | Total Day "&amp;MAX(0,NETWORKDAYS($N28,TODAY(),Holidays)-1))</f>
        <v/>
      </c>
      <c r="X28" s="18"/>
      <c r="Y28" s="18"/>
      <c r="Z28" s="17">
        <f>IF($N28="","",COUNT($N28:$S28))</f>
        <v/>
      </c>
      <c r="AA28" s="19">
        <f>IF($Z28="","",INT(INDEX($N28:$S28,$Z28)))</f>
        <v/>
      </c>
      <c r="AB28" s="19">
        <f>IF(OR($Z28="",$Z28=6),"",WORKDAY($AA28,CHOOSE($Z28,3,3,2,2,3),Holidays))</f>
        <v/>
      </c>
      <c r="AC28" s="17">
        <f>IF(OR($Z28="",$Z28=6),"",CHOOSE($Z28,"1st Email Follow-up","2nd Email Follow-up","Escalate Local Office","Escalate to CBE","Escalate to Roxanne"))</f>
        <v/>
      </c>
    </row>
    <row r="29" spans="13:29">
      <c r="M29" s="14"/>
      <c r="T29" s="16"/>
      <c r="U29" s="17">
        <f>IF(AND(COUNTA($A29:$L29)=0,$N29=""),"",IF($T29="Paid","PAID",IF($T29="Closed","CLOSED",IF($Z29="","",IF($Z29=6,"ESCALATED TO ROXANNE",IF(TODAY()&gt;$AB29,"OVERDUE",IF($AB29&lt;=WORKDAY(TODAY(),1,Holidays),"DUE TOMORROW",IF($Z29=4,"ESCALATED TO LOCAL OFFICE",IF($Z29=5,"ESCALATED TO CBE",IF($AA29=TODAY(),"EMAIL SENT","MONITORING"))))))))))</f>
        <v/>
      </c>
      <c r="V29" s="17">
        <f>IF($U29="",IF(AND(COUNTA($A29:$L29)&gt;0,$N29=""),"Awaiting Collection Email time stamp.",""),IF(OR($U29="PAID",$U29="CLOSED"),IF($U29="PAID","Account paid. Action completed.","Account closed. No further action required."),CHOOSE($Z29,"Collection Email","1st Email Follow-up","2nd Email Follow-up","Escalation to Local Office","Escalation to CBE","Escalation to Roxanne")&amp;" sent "&amp;TEXT($AA29,"dd-mmm")&amp;". "&amp;IF($Z29=6,"Final escalation completed.",IF($U29="OVERDUE","Next: "&amp;$AC29&amp;" was due "&amp;TEXT($AB29,"dd-mmm")&amp;" - "&amp;(NETWORKDAYS($AB29,TODAY(),Holidays)-1)&amp;" business day(s) late. Send now.",IF($U29="DUE TOMORROW","Next: "&amp;$AC29&amp;IF($AB29&lt;=TODAY()," is due TODAY ("," is due next business day (")&amp;TEXT($AB29,"dd-mmm")&amp;").","Next: "&amp;$AC29&amp;" due "&amp;TEXT($AB29,"dd-mmm")&amp;" ("&amp;(NETWORKDAYS(TODAY(),$AB29,Holidays)-1)&amp;" business day(s) left).")))))</f>
        <v/>
      </c>
      <c r="W29" s="17">
        <f>IF($Z29="","",CHOOSE($Z29,"Collection Email","1st Follow-up","2nd Follow-up","Local Office","CBE","Roxanne")&amp;IF($Z29=6," - Final"," - Day "&amp;MAX(0,NETWORKDAYS($AA29,TODAY(),Holidays)-1)&amp;" of "&amp;CHOOSE($Z29,3,3,2,2,3))&amp;" | Total Day "&amp;MAX(0,NETWORKDAYS($N29,TODAY(),Holidays)-1))</f>
        <v/>
      </c>
      <c r="X29" s="18"/>
      <c r="Y29" s="18"/>
      <c r="Z29" s="17">
        <f>IF($N29="","",COUNT($N29:$S29))</f>
        <v/>
      </c>
      <c r="AA29" s="19">
        <f>IF($Z29="","",INT(INDEX($N29:$S29,$Z29)))</f>
        <v/>
      </c>
      <c r="AB29" s="19">
        <f>IF(OR($Z29="",$Z29=6),"",WORKDAY($AA29,CHOOSE($Z29,3,3,2,2,3),Holidays))</f>
        <v/>
      </c>
      <c r="AC29" s="17">
        <f>IF(OR($Z29="",$Z29=6),"",CHOOSE($Z29,"1st Email Follow-up","2nd Email Follow-up","Escalate Local Office","Escalate to CBE","Escalate to Roxanne"))</f>
        <v/>
      </c>
    </row>
    <row r="30" spans="13:29">
      <c r="M30" s="14"/>
      <c r="T30" s="16"/>
      <c r="U30" s="17">
        <f>IF(AND(COUNTA($A30:$L30)=0,$N30=""),"",IF($T30="Paid","PAID",IF($T30="Closed","CLOSED",IF($Z30="","",IF($Z30=6,"ESCALATED TO ROXANNE",IF(TODAY()&gt;$AB30,"OVERDUE",IF($AB30&lt;=WORKDAY(TODAY(),1,Holidays),"DUE TOMORROW",IF($Z30=4,"ESCALATED TO LOCAL OFFICE",IF($Z30=5,"ESCALATED TO CBE",IF($AA30=TODAY(),"EMAIL SENT","MONITORING"))))))))))</f>
        <v/>
      </c>
      <c r="V30" s="17">
        <f>IF($U30="",IF(AND(COUNTA($A30:$L30)&gt;0,$N30=""),"Awaiting Collection Email time stamp.",""),IF(OR($U30="PAID",$U30="CLOSED"),IF($U30="PAID","Account paid. Action completed.","Account closed. No further action required."),CHOOSE($Z30,"Collection Email","1st Email Follow-up","2nd Email Follow-up","Escalation to Local Office","Escalation to CBE","Escalation to Roxanne")&amp;" sent "&amp;TEXT($AA30,"dd-mmm")&amp;". "&amp;IF($Z30=6,"Final escalation completed.",IF($U30="OVERDUE","Next: "&amp;$AC30&amp;" was due "&amp;TEXT($AB30,"dd-mmm")&amp;" - "&amp;(NETWORKDAYS($AB30,TODAY(),Holidays)-1)&amp;" business day(s) late. Send now.",IF($U30="DUE TOMORROW","Next: "&amp;$AC30&amp;IF($AB30&lt;=TODAY()," is due TODAY ("," is due next business day (")&amp;TEXT($AB30,"dd-mmm")&amp;").","Next: "&amp;$AC30&amp;" due "&amp;TEXT($AB30,"dd-mmm")&amp;" ("&amp;(NETWORKDAYS(TODAY(),$AB30,Holidays)-1)&amp;" business day(s) left).")))))</f>
        <v/>
      </c>
      <c r="W30" s="17">
        <f>IF($Z30="","",CHOOSE($Z30,"Collection Email","1st Follow-up","2nd Follow-up","Local Office","CBE","Roxanne")&amp;IF($Z30=6," - Final"," - Day "&amp;MAX(0,NETWORKDAYS($AA30,TODAY(),Holidays)-1)&amp;" of "&amp;CHOOSE($Z30,3,3,2,2,3))&amp;" | Total Day "&amp;MAX(0,NETWORKDAYS($N30,TODAY(),Holidays)-1))</f>
        <v/>
      </c>
      <c r="X30" s="18"/>
      <c r="Y30" s="18"/>
      <c r="Z30" s="17">
        <f>IF($N30="","",COUNT($N30:$S30))</f>
        <v/>
      </c>
      <c r="AA30" s="19">
        <f>IF($Z30="","",INT(INDEX($N30:$S30,$Z30)))</f>
        <v/>
      </c>
      <c r="AB30" s="19">
        <f>IF(OR($Z30="",$Z30=6),"",WORKDAY($AA30,CHOOSE($Z30,3,3,2,2,3),Holidays))</f>
        <v/>
      </c>
      <c r="AC30" s="17">
        <f>IF(OR($Z30="",$Z30=6),"",CHOOSE($Z30,"1st Email Follow-up","2nd Email Follow-up","Escalate Local Office","Escalate to CBE","Escalate to Roxanne"))</f>
        <v/>
      </c>
    </row>
    <row r="31" spans="13:29">
      <c r="M31" s="14"/>
      <c r="T31" s="16"/>
      <c r="U31" s="17">
        <f>IF(AND(COUNTA($A31:$L31)=0,$N31=""),"",IF($T31="Paid","PAID",IF($T31="Closed","CLOSED",IF($Z31="","",IF($Z31=6,"ESCALATED TO ROXANNE",IF(TODAY()&gt;$AB31,"OVERDUE",IF($AB31&lt;=WORKDAY(TODAY(),1,Holidays),"DUE TOMORROW",IF($Z31=4,"ESCALATED TO LOCAL OFFICE",IF($Z31=5,"ESCALATED TO CBE",IF($AA31=TODAY(),"EMAIL SENT","MONITORING"))))))))))</f>
        <v/>
      </c>
      <c r="V31" s="17">
        <f>IF($U31="",IF(AND(COUNTA($A31:$L31)&gt;0,$N31=""),"Awaiting Collection Email time stamp.",""),IF(OR($U31="PAID",$U31="CLOSED"),IF($U31="PAID","Account paid. Action completed.","Account closed. No further action required."),CHOOSE($Z31,"Collection Email","1st Email Follow-up","2nd Email Follow-up","Escalation to Local Office","Escalation to CBE","Escalation to Roxanne")&amp;" sent "&amp;TEXT($AA31,"dd-mmm")&amp;". "&amp;IF($Z31=6,"Final escalation completed.",IF($U31="OVERDUE","Next: "&amp;$AC31&amp;" was due "&amp;TEXT($AB31,"dd-mmm")&amp;" - "&amp;(NETWORKDAYS($AB31,TODAY(),Holidays)-1)&amp;" business day(s) late. Send now.",IF($U31="DUE TOMORROW","Next: "&amp;$AC31&amp;IF($AB31&lt;=TODAY()," is due TODAY ("," is due next business day (")&amp;TEXT($AB31,"dd-mmm")&amp;").","Next: "&amp;$AC31&amp;" due "&amp;TEXT($AB31,"dd-mmm")&amp;" ("&amp;(NETWORKDAYS(TODAY(),$AB31,Holidays)-1)&amp;" business day(s) left).")))))</f>
        <v/>
      </c>
      <c r="W31" s="17">
        <f>IF($Z31="","",CHOOSE($Z31,"Collection Email","1st Follow-up","2nd Follow-up","Local Office","CBE","Roxanne")&amp;IF($Z31=6," - Final"," - Day "&amp;MAX(0,NETWORKDAYS($AA31,TODAY(),Holidays)-1)&amp;" of "&amp;CHOOSE($Z31,3,3,2,2,3))&amp;" | Total Day "&amp;MAX(0,NETWORKDAYS($N31,TODAY(),Holidays)-1))</f>
        <v/>
      </c>
      <c r="X31" s="18"/>
      <c r="Y31" s="18"/>
      <c r="Z31" s="17">
        <f>IF($N31="","",COUNT($N31:$S31))</f>
        <v/>
      </c>
      <c r="AA31" s="19">
        <f>IF($Z31="","",INT(INDEX($N31:$S31,$Z31)))</f>
        <v/>
      </c>
      <c r="AB31" s="19">
        <f>IF(OR($Z31="",$Z31=6),"",WORKDAY($AA31,CHOOSE($Z31,3,3,2,2,3),Holidays))</f>
        <v/>
      </c>
      <c r="AC31" s="17">
        <f>IF(OR($Z31="",$Z31=6),"",CHOOSE($Z31,"1st Email Follow-up","2nd Email Follow-up","Escalate Local Office","Escalate to CBE","Escalate to Roxanne"))</f>
        <v/>
      </c>
    </row>
    <row r="32" spans="13:29">
      <c r="M32" s="14"/>
      <c r="T32" s="16"/>
      <c r="U32" s="17">
        <f>IF(AND(COUNTA($A32:$L32)=0,$N32=""),"",IF($T32="Paid","PAID",IF($T32="Closed","CLOSED",IF($Z32="","",IF($Z32=6,"ESCALATED TO ROXANNE",IF(TODAY()&gt;$AB32,"OVERDUE",IF($AB32&lt;=WORKDAY(TODAY(),1,Holidays),"DUE TOMORROW",IF($Z32=4,"ESCALATED TO LOCAL OFFICE",IF($Z32=5,"ESCALATED TO CBE",IF($AA32=TODAY(),"EMAIL SENT","MONITORING"))))))))))</f>
        <v/>
      </c>
      <c r="V32" s="17">
        <f>IF($U32="",IF(AND(COUNTA($A32:$L32)&gt;0,$N32=""),"Awaiting Collection Email time stamp.",""),IF(OR($U32="PAID",$U32="CLOSED"),IF($U32="PAID","Account paid. Action completed.","Account closed. No further action required."),CHOOSE($Z32,"Collection Email","1st Email Follow-up","2nd Email Follow-up","Escalation to Local Office","Escalation to CBE","Escalation to Roxanne")&amp;" sent "&amp;TEXT($AA32,"dd-mmm")&amp;". "&amp;IF($Z32=6,"Final escalation completed.",IF($U32="OVERDUE","Next: "&amp;$AC32&amp;" was due "&amp;TEXT($AB32,"dd-mmm")&amp;" - "&amp;(NETWORKDAYS($AB32,TODAY(),Holidays)-1)&amp;" business day(s) late. Send now.",IF($U32="DUE TOMORROW","Next: "&amp;$AC32&amp;IF($AB32&lt;=TODAY()," is due TODAY ("," is due next business day (")&amp;TEXT($AB32,"dd-mmm")&amp;").","Next: "&amp;$AC32&amp;" due "&amp;TEXT($AB32,"dd-mmm")&amp;" ("&amp;(NETWORKDAYS(TODAY(),$AB32,Holidays)-1)&amp;" business day(s) left).")))))</f>
        <v/>
      </c>
      <c r="W32" s="17">
        <f>IF($Z32="","",CHOOSE($Z32,"Collection Email","1st Follow-up","2nd Follow-up","Local Office","CBE","Roxanne")&amp;IF($Z32=6," - Final"," - Day "&amp;MAX(0,NETWORKDAYS($AA32,TODAY(),Holidays)-1)&amp;" of "&amp;CHOOSE($Z32,3,3,2,2,3))&amp;" | Total Day "&amp;MAX(0,NETWORKDAYS($N32,TODAY(),Holidays)-1))</f>
        <v/>
      </c>
      <c r="X32" s="18"/>
      <c r="Y32" s="18"/>
      <c r="Z32" s="17">
        <f>IF($N32="","",COUNT($N32:$S32))</f>
        <v/>
      </c>
      <c r="AA32" s="19">
        <f>IF($Z32="","",INT(INDEX($N32:$S32,$Z32)))</f>
        <v/>
      </c>
      <c r="AB32" s="19">
        <f>IF(OR($Z32="",$Z32=6),"",WORKDAY($AA32,CHOOSE($Z32,3,3,2,2,3),Holidays))</f>
        <v/>
      </c>
      <c r="AC32" s="17">
        <f>IF(OR($Z32="",$Z32=6),"",CHOOSE($Z32,"1st Email Follow-up","2nd Email Follow-up","Escalate Local Office","Escalate to CBE","Escalate to Roxanne"))</f>
        <v/>
      </c>
    </row>
    <row r="33" spans="13:29">
      <c r="M33" s="14"/>
      <c r="T33" s="16"/>
      <c r="U33" s="17">
        <f>IF(AND(COUNTA($A33:$L33)=0,$N33=""),"",IF($T33="Paid","PAID",IF($T33="Closed","CLOSED",IF($Z33="","",IF($Z33=6,"ESCALATED TO ROXANNE",IF(TODAY()&gt;$AB33,"OVERDUE",IF($AB33&lt;=WORKDAY(TODAY(),1,Holidays),"DUE TOMORROW",IF($Z33=4,"ESCALATED TO LOCAL OFFICE",IF($Z33=5,"ESCALATED TO CBE",IF($AA33=TODAY(),"EMAIL SENT","MONITORING"))))))))))</f>
        <v/>
      </c>
      <c r="V33" s="17">
        <f>IF($U33="",IF(AND(COUNTA($A33:$L33)&gt;0,$N33=""),"Awaiting Collection Email time stamp.",""),IF(OR($U33="PAID",$U33="CLOSED"),IF($U33="PAID","Account paid. Action completed.","Account closed. No further action required."),CHOOSE($Z33,"Collection Email","1st Email Follow-up","2nd Email Follow-up","Escalation to Local Office","Escalation to CBE","Escalation to Roxanne")&amp;" sent "&amp;TEXT($AA33,"dd-mmm")&amp;". "&amp;IF($Z33=6,"Final escalation completed.",IF($U33="OVERDUE","Next: "&amp;$AC33&amp;" was due "&amp;TEXT($AB33,"dd-mmm")&amp;" - "&amp;(NETWORKDAYS($AB33,TODAY(),Holidays)-1)&amp;" business day(s) late. Send now.",IF($U33="DUE TOMORROW","Next: "&amp;$AC33&amp;IF($AB33&lt;=TODAY()," is due TODAY ("," is due next business day (")&amp;TEXT($AB33,"dd-mmm")&amp;").","Next: "&amp;$AC33&amp;" due "&amp;TEXT($AB33,"dd-mmm")&amp;" ("&amp;(NETWORKDAYS(TODAY(),$AB33,Holidays)-1)&amp;" business day(s) left).")))))</f>
        <v/>
      </c>
      <c r="W33" s="17">
        <f>IF($Z33="","",CHOOSE($Z33,"Collection Email","1st Follow-up","2nd Follow-up","Local Office","CBE","Roxanne")&amp;IF($Z33=6," - Final"," - Day "&amp;MAX(0,NETWORKDAYS($AA33,TODAY(),Holidays)-1)&amp;" of "&amp;CHOOSE($Z33,3,3,2,2,3))&amp;" | Total Day "&amp;MAX(0,NETWORKDAYS($N33,TODAY(),Holidays)-1))</f>
        <v/>
      </c>
      <c r="X33" s="18"/>
      <c r="Y33" s="18"/>
      <c r="Z33" s="17">
        <f>IF($N33="","",COUNT($N33:$S33))</f>
        <v/>
      </c>
      <c r="AA33" s="19">
        <f>IF($Z33="","",INT(INDEX($N33:$S33,$Z33)))</f>
        <v/>
      </c>
      <c r="AB33" s="19">
        <f>IF(OR($Z33="",$Z33=6),"",WORKDAY($AA33,CHOOSE($Z33,3,3,2,2,3),Holidays))</f>
        <v/>
      </c>
      <c r="AC33" s="17">
        <f>IF(OR($Z33="",$Z33=6),"",CHOOSE($Z33,"1st Email Follow-up","2nd Email Follow-up","Escalate Local Office","Escalate to CBE","Escalate to Roxanne"))</f>
        <v/>
      </c>
    </row>
    <row r="34" spans="13:29">
      <c r="M34" s="14"/>
      <c r="T34" s="16"/>
      <c r="U34" s="17">
        <f>IF(AND(COUNTA($A34:$L34)=0,$N34=""),"",IF($T34="Paid","PAID",IF($T34="Closed","CLOSED",IF($Z34="","",IF($Z34=6,"ESCALATED TO ROXANNE",IF(TODAY()&gt;$AB34,"OVERDUE",IF($AB34&lt;=WORKDAY(TODAY(),1,Holidays),"DUE TOMORROW",IF($Z34=4,"ESCALATED TO LOCAL OFFICE",IF($Z34=5,"ESCALATED TO CBE",IF($AA34=TODAY(),"EMAIL SENT","MONITORING"))))))))))</f>
        <v/>
      </c>
      <c r="V34" s="17">
        <f>IF($U34="",IF(AND(COUNTA($A34:$L34)&gt;0,$N34=""),"Awaiting Collection Email time stamp.",""),IF(OR($U34="PAID",$U34="CLOSED"),IF($U34="PAID","Account paid. Action completed.","Account closed. No further action required."),CHOOSE($Z34,"Collection Email","1st Email Follow-up","2nd Email Follow-up","Escalation to Local Office","Escalation to CBE","Escalation to Roxanne")&amp;" sent "&amp;TEXT($AA34,"dd-mmm")&amp;". "&amp;IF($Z34=6,"Final escalation completed.",IF($U34="OVERDUE","Next: "&amp;$AC34&amp;" was due "&amp;TEXT($AB34,"dd-mmm")&amp;" - "&amp;(NETWORKDAYS($AB34,TODAY(),Holidays)-1)&amp;" business day(s) late. Send now.",IF($U34="DUE TOMORROW","Next: "&amp;$AC34&amp;IF($AB34&lt;=TODAY()," is due TODAY ("," is due next business day (")&amp;TEXT($AB34,"dd-mmm")&amp;").","Next: "&amp;$AC34&amp;" due "&amp;TEXT($AB34,"dd-mmm")&amp;" ("&amp;(NETWORKDAYS(TODAY(),$AB34,Holidays)-1)&amp;" business day(s) left).")))))</f>
        <v/>
      </c>
      <c r="W34" s="17">
        <f>IF($Z34="","",CHOOSE($Z34,"Collection Email","1st Follow-up","2nd Follow-up","Local Office","CBE","Roxanne")&amp;IF($Z34=6," - Final"," - Day "&amp;MAX(0,NETWORKDAYS($AA34,TODAY(),Holidays)-1)&amp;" of "&amp;CHOOSE($Z34,3,3,2,2,3))&amp;" | Total Day "&amp;MAX(0,NETWORKDAYS($N34,TODAY(),Holidays)-1))</f>
        <v/>
      </c>
      <c r="X34" s="18"/>
      <c r="Y34" s="18"/>
      <c r="Z34" s="17">
        <f>IF($N34="","",COUNT($N34:$S34))</f>
        <v/>
      </c>
      <c r="AA34" s="19">
        <f>IF($Z34="","",INT(INDEX($N34:$S34,$Z34)))</f>
        <v/>
      </c>
      <c r="AB34" s="19">
        <f>IF(OR($Z34="",$Z34=6),"",WORKDAY($AA34,CHOOSE($Z34,3,3,2,2,3),Holidays))</f>
        <v/>
      </c>
      <c r="AC34" s="17">
        <f>IF(OR($Z34="",$Z34=6),"",CHOOSE($Z34,"1st Email Follow-up","2nd Email Follow-up","Escalate Local Office","Escalate to CBE","Escalate to Roxanne"))</f>
        <v/>
      </c>
    </row>
    <row r="35" spans="13:29">
      <c r="M35" s="14"/>
      <c r="T35" s="16"/>
      <c r="U35" s="17">
        <f>IF(AND(COUNTA($A35:$L35)=0,$N35=""),"",IF($T35="Paid","PAID",IF($T35="Closed","CLOSED",IF($Z35="","",IF($Z35=6,"ESCALATED TO ROXANNE",IF(TODAY()&gt;$AB35,"OVERDUE",IF($AB35&lt;=WORKDAY(TODAY(),1,Holidays),"DUE TOMORROW",IF($Z35=4,"ESCALATED TO LOCAL OFFICE",IF($Z35=5,"ESCALATED TO CBE",IF($AA35=TODAY(),"EMAIL SENT","MONITORING"))))))))))</f>
        <v/>
      </c>
      <c r="V35" s="17">
        <f>IF($U35="",IF(AND(COUNTA($A35:$L35)&gt;0,$N35=""),"Awaiting Collection Email time stamp.",""),IF(OR($U35="PAID",$U35="CLOSED"),IF($U35="PAID","Account paid. Action completed.","Account closed. No further action required."),CHOOSE($Z35,"Collection Email","1st Email Follow-up","2nd Email Follow-up","Escalation to Local Office","Escalation to CBE","Escalation to Roxanne")&amp;" sent "&amp;TEXT($AA35,"dd-mmm")&amp;". "&amp;IF($Z35=6,"Final escalation completed.",IF($U35="OVERDUE","Next: "&amp;$AC35&amp;" was due "&amp;TEXT($AB35,"dd-mmm")&amp;" - "&amp;(NETWORKDAYS($AB35,TODAY(),Holidays)-1)&amp;" business day(s) late. Send now.",IF($U35="DUE TOMORROW","Next: "&amp;$AC35&amp;IF($AB35&lt;=TODAY()," is due TODAY ("," is due next business day (")&amp;TEXT($AB35,"dd-mmm")&amp;").","Next: "&amp;$AC35&amp;" due "&amp;TEXT($AB35,"dd-mmm")&amp;" ("&amp;(NETWORKDAYS(TODAY(),$AB35,Holidays)-1)&amp;" business day(s) left).")))))</f>
        <v/>
      </c>
      <c r="W35" s="17">
        <f>IF($Z35="","",CHOOSE($Z35,"Collection Email","1st Follow-up","2nd Follow-up","Local Office","CBE","Roxanne")&amp;IF($Z35=6," - Final"," - Day "&amp;MAX(0,NETWORKDAYS($AA35,TODAY(),Holidays)-1)&amp;" of "&amp;CHOOSE($Z35,3,3,2,2,3))&amp;" | Total Day "&amp;MAX(0,NETWORKDAYS($N35,TODAY(),Holidays)-1))</f>
        <v/>
      </c>
      <c r="X35" s="18"/>
      <c r="Y35" s="18"/>
      <c r="Z35" s="17">
        <f>IF($N35="","",COUNT($N35:$S35))</f>
        <v/>
      </c>
      <c r="AA35" s="19">
        <f>IF($Z35="","",INT(INDEX($N35:$S35,$Z35)))</f>
        <v/>
      </c>
      <c r="AB35" s="19">
        <f>IF(OR($Z35="",$Z35=6),"",WORKDAY($AA35,CHOOSE($Z35,3,3,2,2,3),Holidays))</f>
        <v/>
      </c>
      <c r="AC35" s="17">
        <f>IF(OR($Z35="",$Z35=6),"",CHOOSE($Z35,"1st Email Follow-up","2nd Email Follow-up","Escalate Local Office","Escalate to CBE","Escalate to Roxanne"))</f>
        <v/>
      </c>
    </row>
    <row r="36" spans="13:29">
      <c r="M36" s="14"/>
      <c r="T36" s="16"/>
      <c r="U36" s="17">
        <f>IF(AND(COUNTA($A36:$L36)=0,$N36=""),"",IF($T36="Paid","PAID",IF($T36="Closed","CLOSED",IF($Z36="","",IF($Z36=6,"ESCALATED TO ROXANNE",IF(TODAY()&gt;$AB36,"OVERDUE",IF($AB36&lt;=WORKDAY(TODAY(),1,Holidays),"DUE TOMORROW",IF($Z36=4,"ESCALATED TO LOCAL OFFICE",IF($Z36=5,"ESCALATED TO CBE",IF($AA36=TODAY(),"EMAIL SENT","MONITORING"))))))))))</f>
        <v/>
      </c>
      <c r="V36" s="17">
        <f>IF($U36="",IF(AND(COUNTA($A36:$L36)&gt;0,$N36=""),"Awaiting Collection Email time stamp.",""),IF(OR($U36="PAID",$U36="CLOSED"),IF($U36="PAID","Account paid. Action completed.","Account closed. No further action required."),CHOOSE($Z36,"Collection Email","1st Email Follow-up","2nd Email Follow-up","Escalation to Local Office","Escalation to CBE","Escalation to Roxanne")&amp;" sent "&amp;TEXT($AA36,"dd-mmm")&amp;". "&amp;IF($Z36=6,"Final escalation completed.",IF($U36="OVERDUE","Next: "&amp;$AC36&amp;" was due "&amp;TEXT($AB36,"dd-mmm")&amp;" - "&amp;(NETWORKDAYS($AB36,TODAY(),Holidays)-1)&amp;" business day(s) late. Send now.",IF($U36="DUE TOMORROW","Next: "&amp;$AC36&amp;IF($AB36&lt;=TODAY()," is due TODAY ("," is due next business day (")&amp;TEXT($AB36,"dd-mmm")&amp;").","Next: "&amp;$AC36&amp;" due "&amp;TEXT($AB36,"dd-mmm")&amp;" ("&amp;(NETWORKDAYS(TODAY(),$AB36,Holidays)-1)&amp;" business day(s) left).")))))</f>
        <v/>
      </c>
      <c r="W36" s="17">
        <f>IF($Z36="","",CHOOSE($Z36,"Collection Email","1st Follow-up","2nd Follow-up","Local Office","CBE","Roxanne")&amp;IF($Z36=6," - Final"," - Day "&amp;MAX(0,NETWORKDAYS($AA36,TODAY(),Holidays)-1)&amp;" of "&amp;CHOOSE($Z36,3,3,2,2,3))&amp;" | Total Day "&amp;MAX(0,NETWORKDAYS($N36,TODAY(),Holidays)-1))</f>
        <v/>
      </c>
      <c r="X36" s="18"/>
      <c r="Y36" s="18"/>
      <c r="Z36" s="17">
        <f>IF($N36="","",COUNT($N36:$S36))</f>
        <v/>
      </c>
      <c r="AA36" s="19">
        <f>IF($Z36="","",INT(INDEX($N36:$S36,$Z36)))</f>
        <v/>
      </c>
      <c r="AB36" s="19">
        <f>IF(OR($Z36="",$Z36=6),"",WORKDAY($AA36,CHOOSE($Z36,3,3,2,2,3),Holidays))</f>
        <v/>
      </c>
      <c r="AC36" s="17">
        <f>IF(OR($Z36="",$Z36=6),"",CHOOSE($Z36,"1st Email Follow-up","2nd Email Follow-up","Escalate Local Office","Escalate to CBE","Escalate to Roxanne"))</f>
        <v/>
      </c>
    </row>
    <row r="37" spans="13:29">
      <c r="M37" s="14"/>
      <c r="T37" s="16"/>
      <c r="U37" s="17">
        <f>IF(AND(COUNTA($A37:$L37)=0,$N37=""),"",IF($T37="Paid","PAID",IF($T37="Closed","CLOSED",IF($Z37="","",IF($Z37=6,"ESCALATED TO ROXANNE",IF(TODAY()&gt;$AB37,"OVERDUE",IF($AB37&lt;=WORKDAY(TODAY(),1,Holidays),"DUE TOMORROW",IF($Z37=4,"ESCALATED TO LOCAL OFFICE",IF($Z37=5,"ESCALATED TO CBE",IF($AA37=TODAY(),"EMAIL SENT","MONITORING"))))))))))</f>
        <v/>
      </c>
      <c r="V37" s="17">
        <f>IF($U37="",IF(AND(COUNTA($A37:$L37)&gt;0,$N37=""),"Awaiting Collection Email time stamp.",""),IF(OR($U37="PAID",$U37="CLOSED"),IF($U37="PAID","Account paid. Action completed.","Account closed. No further action required."),CHOOSE($Z37,"Collection Email","1st Email Follow-up","2nd Email Follow-up","Escalation to Local Office","Escalation to CBE","Escalation to Roxanne")&amp;" sent "&amp;TEXT($AA37,"dd-mmm")&amp;". "&amp;IF($Z37=6,"Final escalation completed.",IF($U37="OVERDUE","Next: "&amp;$AC37&amp;" was due "&amp;TEXT($AB37,"dd-mmm")&amp;" - "&amp;(NETWORKDAYS($AB37,TODAY(),Holidays)-1)&amp;" business day(s) late. Send now.",IF($U37="DUE TOMORROW","Next: "&amp;$AC37&amp;IF($AB37&lt;=TODAY()," is due TODAY ("," is due next business day (")&amp;TEXT($AB37,"dd-mmm")&amp;").","Next: "&amp;$AC37&amp;" due "&amp;TEXT($AB37,"dd-mmm")&amp;" ("&amp;(NETWORKDAYS(TODAY(),$AB37,Holidays)-1)&amp;" business day(s) left).")))))</f>
        <v/>
      </c>
      <c r="W37" s="17">
        <f>IF($Z37="","",CHOOSE($Z37,"Collection Email","1st Follow-up","2nd Follow-up","Local Office","CBE","Roxanne")&amp;IF($Z37=6," - Final"," - Day "&amp;MAX(0,NETWORKDAYS($AA37,TODAY(),Holidays)-1)&amp;" of "&amp;CHOOSE($Z37,3,3,2,2,3))&amp;" | Total Day "&amp;MAX(0,NETWORKDAYS($N37,TODAY(),Holidays)-1))</f>
        <v/>
      </c>
      <c r="X37" s="18"/>
      <c r="Y37" s="18"/>
      <c r="Z37" s="17">
        <f>IF($N37="","",COUNT($N37:$S37))</f>
        <v/>
      </c>
      <c r="AA37" s="19">
        <f>IF($Z37="","",INT(INDEX($N37:$S37,$Z37)))</f>
        <v/>
      </c>
      <c r="AB37" s="19">
        <f>IF(OR($Z37="",$Z37=6),"",WORKDAY($AA37,CHOOSE($Z37,3,3,2,2,3),Holidays))</f>
        <v/>
      </c>
      <c r="AC37" s="17">
        <f>IF(OR($Z37="",$Z37=6),"",CHOOSE($Z37,"1st Email Follow-up","2nd Email Follow-up","Escalate Local Office","Escalate to CBE","Escalate to Roxanne"))</f>
        <v/>
      </c>
    </row>
    <row r="38" spans="13:29">
      <c r="M38" s="14"/>
      <c r="T38" s="16"/>
      <c r="U38" s="17">
        <f>IF(AND(COUNTA($A38:$L38)=0,$N38=""),"",IF($T38="Paid","PAID",IF($T38="Closed","CLOSED",IF($Z38="","",IF($Z38=6,"ESCALATED TO ROXANNE",IF(TODAY()&gt;$AB38,"OVERDUE",IF($AB38&lt;=WORKDAY(TODAY(),1,Holidays),"DUE TOMORROW",IF($Z38=4,"ESCALATED TO LOCAL OFFICE",IF($Z38=5,"ESCALATED TO CBE",IF($AA38=TODAY(),"EMAIL SENT","MONITORING"))))))))))</f>
        <v/>
      </c>
      <c r="V38" s="17">
        <f>IF($U38="",IF(AND(COUNTA($A38:$L38)&gt;0,$N38=""),"Awaiting Collection Email time stamp.",""),IF(OR($U38="PAID",$U38="CLOSED"),IF($U38="PAID","Account paid. Action completed.","Account closed. No further action required."),CHOOSE($Z38,"Collection Email","1st Email Follow-up","2nd Email Follow-up","Escalation to Local Office","Escalation to CBE","Escalation to Roxanne")&amp;" sent "&amp;TEXT($AA38,"dd-mmm")&amp;". "&amp;IF($Z38=6,"Final escalation completed.",IF($U38="OVERDUE","Next: "&amp;$AC38&amp;" was due "&amp;TEXT($AB38,"dd-mmm")&amp;" - "&amp;(NETWORKDAYS($AB38,TODAY(),Holidays)-1)&amp;" business day(s) late. Send now.",IF($U38="DUE TOMORROW","Next: "&amp;$AC38&amp;IF($AB38&lt;=TODAY()," is due TODAY ("," is due next business day (")&amp;TEXT($AB38,"dd-mmm")&amp;").","Next: "&amp;$AC38&amp;" due "&amp;TEXT($AB38,"dd-mmm")&amp;" ("&amp;(NETWORKDAYS(TODAY(),$AB38,Holidays)-1)&amp;" business day(s) left).")))))</f>
        <v/>
      </c>
      <c r="W38" s="17">
        <f>IF($Z38="","",CHOOSE($Z38,"Collection Email","1st Follow-up","2nd Follow-up","Local Office","CBE","Roxanne")&amp;IF($Z38=6," - Final"," - Day "&amp;MAX(0,NETWORKDAYS($AA38,TODAY(),Holidays)-1)&amp;" of "&amp;CHOOSE($Z38,3,3,2,2,3))&amp;" | Total Day "&amp;MAX(0,NETWORKDAYS($N38,TODAY(),Holidays)-1))</f>
        <v/>
      </c>
      <c r="X38" s="18"/>
      <c r="Y38" s="18"/>
      <c r="Z38" s="17">
        <f>IF($N38="","",COUNT($N38:$S38))</f>
        <v/>
      </c>
      <c r="AA38" s="19">
        <f>IF($Z38="","",INT(INDEX($N38:$S38,$Z38)))</f>
        <v/>
      </c>
      <c r="AB38" s="19">
        <f>IF(OR($Z38="",$Z38=6),"",WORKDAY($AA38,CHOOSE($Z38,3,3,2,2,3),Holidays))</f>
        <v/>
      </c>
      <c r="AC38" s="17">
        <f>IF(OR($Z38="",$Z38=6),"",CHOOSE($Z38,"1st Email Follow-up","2nd Email Follow-up","Escalate Local Office","Escalate to CBE","Escalate to Roxanne"))</f>
        <v/>
      </c>
    </row>
    <row r="39" spans="13:29">
      <c r="M39" s="14"/>
      <c r="T39" s="16"/>
      <c r="U39" s="17">
        <f>IF(AND(COUNTA($A39:$L39)=0,$N39=""),"",IF($T39="Paid","PAID",IF($T39="Closed","CLOSED",IF($Z39="","",IF($Z39=6,"ESCALATED TO ROXANNE",IF(TODAY()&gt;$AB39,"OVERDUE",IF($AB39&lt;=WORKDAY(TODAY(),1,Holidays),"DUE TOMORROW",IF($Z39=4,"ESCALATED TO LOCAL OFFICE",IF($Z39=5,"ESCALATED TO CBE",IF($AA39=TODAY(),"EMAIL SENT","MONITORING"))))))))))</f>
        <v/>
      </c>
      <c r="V39" s="17">
        <f>IF($U39="",IF(AND(COUNTA($A39:$L39)&gt;0,$N39=""),"Awaiting Collection Email time stamp.",""),IF(OR($U39="PAID",$U39="CLOSED"),IF($U39="PAID","Account paid. Action completed.","Account closed. No further action required."),CHOOSE($Z39,"Collection Email","1st Email Follow-up","2nd Email Follow-up","Escalation to Local Office","Escalation to CBE","Escalation to Roxanne")&amp;" sent "&amp;TEXT($AA39,"dd-mmm")&amp;". "&amp;IF($Z39=6,"Final escalation completed.",IF($U39="OVERDUE","Next: "&amp;$AC39&amp;" was due "&amp;TEXT($AB39,"dd-mmm")&amp;" - "&amp;(NETWORKDAYS($AB39,TODAY(),Holidays)-1)&amp;" business day(s) late. Send now.",IF($U39="DUE TOMORROW","Next: "&amp;$AC39&amp;IF($AB39&lt;=TODAY()," is due TODAY ("," is due next business day (")&amp;TEXT($AB39,"dd-mmm")&amp;").","Next: "&amp;$AC39&amp;" due "&amp;TEXT($AB39,"dd-mmm")&amp;" ("&amp;(NETWORKDAYS(TODAY(),$AB39,Holidays)-1)&amp;" business day(s) left).")))))</f>
        <v/>
      </c>
      <c r="W39" s="17">
        <f>IF($Z39="","",CHOOSE($Z39,"Collection Email","1st Follow-up","2nd Follow-up","Local Office","CBE","Roxanne")&amp;IF($Z39=6," - Final"," - Day "&amp;MAX(0,NETWORKDAYS($AA39,TODAY(),Holidays)-1)&amp;" of "&amp;CHOOSE($Z39,3,3,2,2,3))&amp;" | Total Day "&amp;MAX(0,NETWORKDAYS($N39,TODAY(),Holidays)-1))</f>
        <v/>
      </c>
      <c r="X39" s="18"/>
      <c r="Y39" s="18"/>
      <c r="Z39" s="17">
        <f>IF($N39="","",COUNT($N39:$S39))</f>
        <v/>
      </c>
      <c r="AA39" s="19">
        <f>IF($Z39="","",INT(INDEX($N39:$S39,$Z39)))</f>
        <v/>
      </c>
      <c r="AB39" s="19">
        <f>IF(OR($Z39="",$Z39=6),"",WORKDAY($AA39,CHOOSE($Z39,3,3,2,2,3),Holidays))</f>
        <v/>
      </c>
      <c r="AC39" s="17">
        <f>IF(OR($Z39="",$Z39=6),"",CHOOSE($Z39,"1st Email Follow-up","2nd Email Follow-up","Escalate Local Office","Escalate to CBE","Escalate to Roxanne"))</f>
        <v/>
      </c>
    </row>
    <row r="40" spans="13:29">
      <c r="M40" s="14"/>
      <c r="T40" s="16"/>
      <c r="U40" s="17">
        <f>IF(AND(COUNTA($A40:$L40)=0,$N40=""),"",IF($T40="Paid","PAID",IF($T40="Closed","CLOSED",IF($Z40="","",IF($Z40=6,"ESCALATED TO ROXANNE",IF(TODAY()&gt;$AB40,"OVERDUE",IF($AB40&lt;=WORKDAY(TODAY(),1,Holidays),"DUE TOMORROW",IF($Z40=4,"ESCALATED TO LOCAL OFFICE",IF($Z40=5,"ESCALATED TO CBE",IF($AA40=TODAY(),"EMAIL SENT","MONITORING"))))))))))</f>
        <v/>
      </c>
      <c r="V40" s="17">
        <f>IF($U40="",IF(AND(COUNTA($A40:$L40)&gt;0,$N40=""),"Awaiting Collection Email time stamp.",""),IF(OR($U40="PAID",$U40="CLOSED"),IF($U40="PAID","Account paid. Action completed.","Account closed. No further action required."),CHOOSE($Z40,"Collection Email","1st Email Follow-up","2nd Email Follow-up","Escalation to Local Office","Escalation to CBE","Escalation to Roxanne")&amp;" sent "&amp;TEXT($AA40,"dd-mmm")&amp;". "&amp;IF($Z40=6,"Final escalation completed.",IF($U40="OVERDUE","Next: "&amp;$AC40&amp;" was due "&amp;TEXT($AB40,"dd-mmm")&amp;" - "&amp;(NETWORKDAYS($AB40,TODAY(),Holidays)-1)&amp;" business day(s) late. Send now.",IF($U40="DUE TOMORROW","Next: "&amp;$AC40&amp;IF($AB40&lt;=TODAY()," is due TODAY ("," is due next business day (")&amp;TEXT($AB40,"dd-mmm")&amp;").","Next: "&amp;$AC40&amp;" due "&amp;TEXT($AB40,"dd-mmm")&amp;" ("&amp;(NETWORKDAYS(TODAY(),$AB40,Holidays)-1)&amp;" business day(s) left).")))))</f>
        <v/>
      </c>
      <c r="W40" s="17">
        <f>IF($Z40="","",CHOOSE($Z40,"Collection Email","1st Follow-up","2nd Follow-up","Local Office","CBE","Roxanne")&amp;IF($Z40=6," - Final"," - Day "&amp;MAX(0,NETWORKDAYS($AA40,TODAY(),Holidays)-1)&amp;" of "&amp;CHOOSE($Z40,3,3,2,2,3))&amp;" | Total Day "&amp;MAX(0,NETWORKDAYS($N40,TODAY(),Holidays)-1))</f>
        <v/>
      </c>
      <c r="X40" s="18"/>
      <c r="Y40" s="18"/>
      <c r="Z40" s="17">
        <f>IF($N40="","",COUNT($N40:$S40))</f>
        <v/>
      </c>
      <c r="AA40" s="19">
        <f>IF($Z40="","",INT(INDEX($N40:$S40,$Z40)))</f>
        <v/>
      </c>
      <c r="AB40" s="19">
        <f>IF(OR($Z40="",$Z40=6),"",WORKDAY($AA40,CHOOSE($Z40,3,3,2,2,3),Holidays))</f>
        <v/>
      </c>
      <c r="AC40" s="17">
        <f>IF(OR($Z40="",$Z40=6),"",CHOOSE($Z40,"1st Email Follow-up","2nd Email Follow-up","Escalate Local Office","Escalate to CBE","Escalate to Roxanne"))</f>
        <v/>
      </c>
    </row>
    <row r="41" spans="13:29">
      <c r="M41" s="14"/>
      <c r="T41" s="16"/>
      <c r="U41" s="17">
        <f>IF(AND(COUNTA($A41:$L41)=0,$N41=""),"",IF($T41="Paid","PAID",IF($T41="Closed","CLOSED",IF($Z41="","",IF($Z41=6,"ESCALATED TO ROXANNE",IF(TODAY()&gt;$AB41,"OVERDUE",IF($AB41&lt;=WORKDAY(TODAY(),1,Holidays),"DUE TOMORROW",IF($Z41=4,"ESCALATED TO LOCAL OFFICE",IF($Z41=5,"ESCALATED TO CBE",IF($AA41=TODAY(),"EMAIL SENT","MONITORING"))))))))))</f>
        <v/>
      </c>
      <c r="V41" s="17">
        <f>IF($U41="",IF(AND(COUNTA($A41:$L41)&gt;0,$N41=""),"Awaiting Collection Email time stamp.",""),IF(OR($U41="PAID",$U41="CLOSED"),IF($U41="PAID","Account paid. Action completed.","Account closed. No further action required."),CHOOSE($Z41,"Collection Email","1st Email Follow-up","2nd Email Follow-up","Escalation to Local Office","Escalation to CBE","Escalation to Roxanne")&amp;" sent "&amp;TEXT($AA41,"dd-mmm")&amp;". "&amp;IF($Z41=6,"Final escalation completed.",IF($U41="OVERDUE","Next: "&amp;$AC41&amp;" was due "&amp;TEXT($AB41,"dd-mmm")&amp;" - "&amp;(NETWORKDAYS($AB41,TODAY(),Holidays)-1)&amp;" business day(s) late. Send now.",IF($U41="DUE TOMORROW","Next: "&amp;$AC41&amp;IF($AB41&lt;=TODAY()," is due TODAY ("," is due next business day (")&amp;TEXT($AB41,"dd-mmm")&amp;").","Next: "&amp;$AC41&amp;" due "&amp;TEXT($AB41,"dd-mmm")&amp;" ("&amp;(NETWORKDAYS(TODAY(),$AB41,Holidays)-1)&amp;" business day(s) left).")))))</f>
        <v/>
      </c>
      <c r="W41" s="17">
        <f>IF($Z41="","",CHOOSE($Z41,"Collection Email","1st Follow-up","2nd Follow-up","Local Office","CBE","Roxanne")&amp;IF($Z41=6," - Final"," - Day "&amp;MAX(0,NETWORKDAYS($AA41,TODAY(),Holidays)-1)&amp;" of "&amp;CHOOSE($Z41,3,3,2,2,3))&amp;" | Total Day "&amp;MAX(0,NETWORKDAYS($N41,TODAY(),Holidays)-1))</f>
        <v/>
      </c>
      <c r="X41" s="18"/>
      <c r="Y41" s="18"/>
      <c r="Z41" s="17">
        <f>IF($N41="","",COUNT($N41:$S41))</f>
        <v/>
      </c>
      <c r="AA41" s="19">
        <f>IF($Z41="","",INT(INDEX($N41:$S41,$Z41)))</f>
        <v/>
      </c>
      <c r="AB41" s="19">
        <f>IF(OR($Z41="",$Z41=6),"",WORKDAY($AA41,CHOOSE($Z41,3,3,2,2,3),Holidays))</f>
        <v/>
      </c>
      <c r="AC41" s="17">
        <f>IF(OR($Z41="",$Z41=6),"",CHOOSE($Z41,"1st Email Follow-up","2nd Email Follow-up","Escalate Local Office","Escalate to CBE","Escalate to Roxanne"))</f>
        <v/>
      </c>
    </row>
    <row r="42" spans="13:29">
      <c r="M42" s="14"/>
      <c r="T42" s="16"/>
      <c r="U42" s="17">
        <f>IF(AND(COUNTA($A42:$L42)=0,$N42=""),"",IF($T42="Paid","PAID",IF($T42="Closed","CLOSED",IF($Z42="","",IF($Z42=6,"ESCALATED TO ROXANNE",IF(TODAY()&gt;$AB42,"OVERDUE",IF($AB42&lt;=WORKDAY(TODAY(),1,Holidays),"DUE TOMORROW",IF($Z42=4,"ESCALATED TO LOCAL OFFICE",IF($Z42=5,"ESCALATED TO CBE",IF($AA42=TODAY(),"EMAIL SENT","MONITORING"))))))))))</f>
        <v/>
      </c>
      <c r="V42" s="17">
        <f>IF($U42="",IF(AND(COUNTA($A42:$L42)&gt;0,$N42=""),"Awaiting Collection Email time stamp.",""),IF(OR($U42="PAID",$U42="CLOSED"),IF($U42="PAID","Account paid. Action completed.","Account closed. No further action required."),CHOOSE($Z42,"Collection Email","1st Email Follow-up","2nd Email Follow-up","Escalation to Local Office","Escalation to CBE","Escalation to Roxanne")&amp;" sent "&amp;TEXT($AA42,"dd-mmm")&amp;". "&amp;IF($Z42=6,"Final escalation completed.",IF($U42="OVERDUE","Next: "&amp;$AC42&amp;" was due "&amp;TEXT($AB42,"dd-mmm")&amp;" - "&amp;(NETWORKDAYS($AB42,TODAY(),Holidays)-1)&amp;" business day(s) late. Send now.",IF($U42="DUE TOMORROW","Next: "&amp;$AC42&amp;IF($AB42&lt;=TODAY()," is due TODAY ("," is due next business day (")&amp;TEXT($AB42,"dd-mmm")&amp;").","Next: "&amp;$AC42&amp;" due "&amp;TEXT($AB42,"dd-mmm")&amp;" ("&amp;(NETWORKDAYS(TODAY(),$AB42,Holidays)-1)&amp;" business day(s) left).")))))</f>
        <v/>
      </c>
      <c r="W42" s="17">
        <f>IF($Z42="","",CHOOSE($Z42,"Collection Email","1st Follow-up","2nd Follow-up","Local Office","CBE","Roxanne")&amp;IF($Z42=6," - Final"," - Day "&amp;MAX(0,NETWORKDAYS($AA42,TODAY(),Holidays)-1)&amp;" of "&amp;CHOOSE($Z42,3,3,2,2,3))&amp;" | Total Day "&amp;MAX(0,NETWORKDAYS($N42,TODAY(),Holidays)-1))</f>
        <v/>
      </c>
      <c r="X42" s="18"/>
      <c r="Y42" s="18"/>
      <c r="Z42" s="17">
        <f>IF($N42="","",COUNT($N42:$S42))</f>
        <v/>
      </c>
      <c r="AA42" s="19">
        <f>IF($Z42="","",INT(INDEX($N42:$S42,$Z42)))</f>
        <v/>
      </c>
      <c r="AB42" s="19">
        <f>IF(OR($Z42="",$Z42=6),"",WORKDAY($AA42,CHOOSE($Z42,3,3,2,2,3),Holidays))</f>
        <v/>
      </c>
      <c r="AC42" s="17">
        <f>IF(OR($Z42="",$Z42=6),"",CHOOSE($Z42,"1st Email Follow-up","2nd Email Follow-up","Escalate Local Office","Escalate to CBE","Escalate to Roxanne"))</f>
        <v/>
      </c>
    </row>
    <row r="43" spans="13:29">
      <c r="M43" s="14"/>
      <c r="T43" s="16"/>
      <c r="U43" s="17">
        <f>IF(AND(COUNTA($A43:$L43)=0,$N43=""),"",IF($T43="Paid","PAID",IF($T43="Closed","CLOSED",IF($Z43="","",IF($Z43=6,"ESCALATED TO ROXANNE",IF(TODAY()&gt;$AB43,"OVERDUE",IF($AB43&lt;=WORKDAY(TODAY(),1,Holidays),"DUE TOMORROW",IF($Z43=4,"ESCALATED TO LOCAL OFFICE",IF($Z43=5,"ESCALATED TO CBE",IF($AA43=TODAY(),"EMAIL SENT","MONITORING"))))))))))</f>
        <v/>
      </c>
      <c r="V43" s="17">
        <f>IF($U43="",IF(AND(COUNTA($A43:$L43)&gt;0,$N43=""),"Awaiting Collection Email time stamp.",""),IF(OR($U43="PAID",$U43="CLOSED"),IF($U43="PAID","Account paid. Action completed.","Account closed. No further action required."),CHOOSE($Z43,"Collection Email","1st Email Follow-up","2nd Email Follow-up","Escalation to Local Office","Escalation to CBE","Escalation to Roxanne")&amp;" sent "&amp;TEXT($AA43,"dd-mmm")&amp;". "&amp;IF($Z43=6,"Final escalation completed.",IF($U43="OVERDUE","Next: "&amp;$AC43&amp;" was due "&amp;TEXT($AB43,"dd-mmm")&amp;" - "&amp;(NETWORKDAYS($AB43,TODAY(),Holidays)-1)&amp;" business day(s) late. Send now.",IF($U43="DUE TOMORROW","Next: "&amp;$AC43&amp;IF($AB43&lt;=TODAY()," is due TODAY ("," is due next business day (")&amp;TEXT($AB43,"dd-mmm")&amp;").","Next: "&amp;$AC43&amp;" due "&amp;TEXT($AB43,"dd-mmm")&amp;" ("&amp;(NETWORKDAYS(TODAY(),$AB43,Holidays)-1)&amp;" business day(s) left).")))))</f>
        <v/>
      </c>
      <c r="W43" s="17">
        <f>IF($Z43="","",CHOOSE($Z43,"Collection Email","1st Follow-up","2nd Follow-up","Local Office","CBE","Roxanne")&amp;IF($Z43=6," - Final"," - Day "&amp;MAX(0,NETWORKDAYS($AA43,TODAY(),Holidays)-1)&amp;" of "&amp;CHOOSE($Z43,3,3,2,2,3))&amp;" | Total Day "&amp;MAX(0,NETWORKDAYS($N43,TODAY(),Holidays)-1))</f>
        <v/>
      </c>
      <c r="X43" s="18"/>
      <c r="Y43" s="18"/>
      <c r="Z43" s="17">
        <f>IF($N43="","",COUNT($N43:$S43))</f>
        <v/>
      </c>
      <c r="AA43" s="19">
        <f>IF($Z43="","",INT(INDEX($N43:$S43,$Z43)))</f>
        <v/>
      </c>
      <c r="AB43" s="19">
        <f>IF(OR($Z43="",$Z43=6),"",WORKDAY($AA43,CHOOSE($Z43,3,3,2,2,3),Holidays))</f>
        <v/>
      </c>
      <c r="AC43" s="17">
        <f>IF(OR($Z43="",$Z43=6),"",CHOOSE($Z43,"1st Email Follow-up","2nd Email Follow-up","Escalate Local Office","Escalate to CBE","Escalate to Roxanne"))</f>
        <v/>
      </c>
    </row>
    <row r="44" spans="13:29">
      <c r="M44" s="14"/>
      <c r="T44" s="16"/>
      <c r="U44" s="17">
        <f>IF(AND(COUNTA($A44:$L44)=0,$N44=""),"",IF($T44="Paid","PAID",IF($T44="Closed","CLOSED",IF($Z44="","",IF($Z44=6,"ESCALATED TO ROXANNE",IF(TODAY()&gt;$AB44,"OVERDUE",IF($AB44&lt;=WORKDAY(TODAY(),1,Holidays),"DUE TOMORROW",IF($Z44=4,"ESCALATED TO LOCAL OFFICE",IF($Z44=5,"ESCALATED TO CBE",IF($AA44=TODAY(),"EMAIL SENT","MONITORING"))))))))))</f>
        <v/>
      </c>
      <c r="V44" s="17">
        <f>IF($U44="",IF(AND(COUNTA($A44:$L44)&gt;0,$N44=""),"Awaiting Collection Email time stamp.",""),IF(OR($U44="PAID",$U44="CLOSED"),IF($U44="PAID","Account paid. Action completed.","Account closed. No further action required."),CHOOSE($Z44,"Collection Email","1st Email Follow-up","2nd Email Follow-up","Escalation to Local Office","Escalation to CBE","Escalation to Roxanne")&amp;" sent "&amp;TEXT($AA44,"dd-mmm")&amp;". "&amp;IF($Z44=6,"Final escalation completed.",IF($U44="OVERDUE","Next: "&amp;$AC44&amp;" was due "&amp;TEXT($AB44,"dd-mmm")&amp;" - "&amp;(NETWORKDAYS($AB44,TODAY(),Holidays)-1)&amp;" business day(s) late. Send now.",IF($U44="DUE TOMORROW","Next: "&amp;$AC44&amp;IF($AB44&lt;=TODAY()," is due TODAY ("," is due next business day (")&amp;TEXT($AB44,"dd-mmm")&amp;").","Next: "&amp;$AC44&amp;" due "&amp;TEXT($AB44,"dd-mmm")&amp;" ("&amp;(NETWORKDAYS(TODAY(),$AB44,Holidays)-1)&amp;" business day(s) left).")))))</f>
        <v/>
      </c>
      <c r="W44" s="17">
        <f>IF($Z44="","",CHOOSE($Z44,"Collection Email","1st Follow-up","2nd Follow-up","Local Office","CBE","Roxanne")&amp;IF($Z44=6," - Final"," - Day "&amp;MAX(0,NETWORKDAYS($AA44,TODAY(),Holidays)-1)&amp;" of "&amp;CHOOSE($Z44,3,3,2,2,3))&amp;" | Total Day "&amp;MAX(0,NETWORKDAYS($N44,TODAY(),Holidays)-1))</f>
        <v/>
      </c>
      <c r="X44" s="18"/>
      <c r="Y44" s="18"/>
      <c r="Z44" s="17">
        <f>IF($N44="","",COUNT($N44:$S44))</f>
        <v/>
      </c>
      <c r="AA44" s="19">
        <f>IF($Z44="","",INT(INDEX($N44:$S44,$Z44)))</f>
        <v/>
      </c>
      <c r="AB44" s="19">
        <f>IF(OR($Z44="",$Z44=6),"",WORKDAY($AA44,CHOOSE($Z44,3,3,2,2,3),Holidays))</f>
        <v/>
      </c>
      <c r="AC44" s="17">
        <f>IF(OR($Z44="",$Z44=6),"",CHOOSE($Z44,"1st Email Follow-up","2nd Email Follow-up","Escalate Local Office","Escalate to CBE","Escalate to Roxanne"))</f>
        <v/>
      </c>
    </row>
    <row r="45" spans="13:29">
      <c r="M45" s="14"/>
      <c r="T45" s="16"/>
      <c r="U45" s="17">
        <f>IF(AND(COUNTA($A45:$L45)=0,$N45=""),"",IF($T45="Paid","PAID",IF($T45="Closed","CLOSED",IF($Z45="","",IF($Z45=6,"ESCALATED TO ROXANNE",IF(TODAY()&gt;$AB45,"OVERDUE",IF($AB45&lt;=WORKDAY(TODAY(),1,Holidays),"DUE TOMORROW",IF($Z45=4,"ESCALATED TO LOCAL OFFICE",IF($Z45=5,"ESCALATED TO CBE",IF($AA45=TODAY(),"EMAIL SENT","MONITORING"))))))))))</f>
        <v/>
      </c>
      <c r="V45" s="17">
        <f>IF($U45="",IF(AND(COUNTA($A45:$L45)&gt;0,$N45=""),"Awaiting Collection Email time stamp.",""),IF(OR($U45="PAID",$U45="CLOSED"),IF($U45="PAID","Account paid. Action completed.","Account closed. No further action required."),CHOOSE($Z45,"Collection Email","1st Email Follow-up","2nd Email Follow-up","Escalation to Local Office","Escalation to CBE","Escalation to Roxanne")&amp;" sent "&amp;TEXT($AA45,"dd-mmm")&amp;". "&amp;IF($Z45=6,"Final escalation completed.",IF($U45="OVERDUE","Next: "&amp;$AC45&amp;" was due "&amp;TEXT($AB45,"dd-mmm")&amp;" - "&amp;(NETWORKDAYS($AB45,TODAY(),Holidays)-1)&amp;" business day(s) late. Send now.",IF($U45="DUE TOMORROW","Next: "&amp;$AC45&amp;IF($AB45&lt;=TODAY()," is due TODAY ("," is due next business day (")&amp;TEXT($AB45,"dd-mmm")&amp;").","Next: "&amp;$AC45&amp;" due "&amp;TEXT($AB45,"dd-mmm")&amp;" ("&amp;(NETWORKDAYS(TODAY(),$AB45,Holidays)-1)&amp;" business day(s) left).")))))</f>
        <v/>
      </c>
      <c r="W45" s="17">
        <f>IF($Z45="","",CHOOSE($Z45,"Collection Email","1st Follow-up","2nd Follow-up","Local Office","CBE","Roxanne")&amp;IF($Z45=6," - Final"," - Day "&amp;MAX(0,NETWORKDAYS($AA45,TODAY(),Holidays)-1)&amp;" of "&amp;CHOOSE($Z45,3,3,2,2,3))&amp;" | Total Day "&amp;MAX(0,NETWORKDAYS($N45,TODAY(),Holidays)-1))</f>
        <v/>
      </c>
      <c r="X45" s="18"/>
      <c r="Y45" s="18"/>
      <c r="Z45" s="17">
        <f>IF($N45="","",COUNT($N45:$S45))</f>
        <v/>
      </c>
      <c r="AA45" s="19">
        <f>IF($Z45="","",INT(INDEX($N45:$S45,$Z45)))</f>
        <v/>
      </c>
      <c r="AB45" s="19">
        <f>IF(OR($Z45="",$Z45=6),"",WORKDAY($AA45,CHOOSE($Z45,3,3,2,2,3),Holidays))</f>
        <v/>
      </c>
      <c r="AC45" s="17">
        <f>IF(OR($Z45="",$Z45=6),"",CHOOSE($Z45,"1st Email Follow-up","2nd Email Follow-up","Escalate Local Office","Escalate to CBE","Escalate to Roxanne"))</f>
        <v/>
      </c>
    </row>
    <row r="46" spans="13:29">
      <c r="M46" s="14"/>
      <c r="T46" s="16"/>
      <c r="U46" s="17">
        <f>IF(AND(COUNTA($A46:$L46)=0,$N46=""),"",IF($T46="Paid","PAID",IF($T46="Closed","CLOSED",IF($Z46="","",IF($Z46=6,"ESCALATED TO ROXANNE",IF(TODAY()&gt;$AB46,"OVERDUE",IF($AB46&lt;=WORKDAY(TODAY(),1,Holidays),"DUE TOMORROW",IF($Z46=4,"ESCALATED TO LOCAL OFFICE",IF($Z46=5,"ESCALATED TO CBE",IF($AA46=TODAY(),"EMAIL SENT","MONITORING"))))))))))</f>
        <v/>
      </c>
      <c r="V46" s="17">
        <f>IF($U46="",IF(AND(COUNTA($A46:$L46)&gt;0,$N46=""),"Awaiting Collection Email time stamp.",""),IF(OR($U46="PAID",$U46="CLOSED"),IF($U46="PAID","Account paid. Action completed.","Account closed. No further action required."),CHOOSE($Z46,"Collection Email","1st Email Follow-up","2nd Email Follow-up","Escalation to Local Office","Escalation to CBE","Escalation to Roxanne")&amp;" sent "&amp;TEXT($AA46,"dd-mmm")&amp;". "&amp;IF($Z46=6,"Final escalation completed.",IF($U46="OVERDUE","Next: "&amp;$AC46&amp;" was due "&amp;TEXT($AB46,"dd-mmm")&amp;" - "&amp;(NETWORKDAYS($AB46,TODAY(),Holidays)-1)&amp;" business day(s) late. Send now.",IF($U46="DUE TOMORROW","Next: "&amp;$AC46&amp;IF($AB46&lt;=TODAY()," is due TODAY ("," is due next business day (")&amp;TEXT($AB46,"dd-mmm")&amp;").","Next: "&amp;$AC46&amp;" due "&amp;TEXT($AB46,"dd-mmm")&amp;" ("&amp;(NETWORKDAYS(TODAY(),$AB46,Holidays)-1)&amp;" business day(s) left).")))))</f>
        <v/>
      </c>
      <c r="W46" s="17">
        <f>IF($Z46="","",CHOOSE($Z46,"Collection Email","1st Follow-up","2nd Follow-up","Local Office","CBE","Roxanne")&amp;IF($Z46=6," - Final"," - Day "&amp;MAX(0,NETWORKDAYS($AA46,TODAY(),Holidays)-1)&amp;" of "&amp;CHOOSE($Z46,3,3,2,2,3))&amp;" | Total Day "&amp;MAX(0,NETWORKDAYS($N46,TODAY(),Holidays)-1))</f>
        <v/>
      </c>
      <c r="X46" s="18"/>
      <c r="Y46" s="18"/>
      <c r="Z46" s="17">
        <f>IF($N46="","",COUNT($N46:$S46))</f>
        <v/>
      </c>
      <c r="AA46" s="19">
        <f>IF($Z46="","",INT(INDEX($N46:$S46,$Z46)))</f>
        <v/>
      </c>
      <c r="AB46" s="19">
        <f>IF(OR($Z46="",$Z46=6),"",WORKDAY($AA46,CHOOSE($Z46,3,3,2,2,3),Holidays))</f>
        <v/>
      </c>
      <c r="AC46" s="17">
        <f>IF(OR($Z46="",$Z46=6),"",CHOOSE($Z46,"1st Email Follow-up","2nd Email Follow-up","Escalate Local Office","Escalate to CBE","Escalate to Roxanne"))</f>
        <v/>
      </c>
    </row>
    <row r="47" spans="13:29">
      <c r="M47" s="14"/>
      <c r="T47" s="16"/>
      <c r="U47" s="17">
        <f>IF(AND(COUNTA($A47:$L47)=0,$N47=""),"",IF($T47="Paid","PAID",IF($T47="Closed","CLOSED",IF($Z47="","",IF($Z47=6,"ESCALATED TO ROXANNE",IF(TODAY()&gt;$AB47,"OVERDUE",IF($AB47&lt;=WORKDAY(TODAY(),1,Holidays),"DUE TOMORROW",IF($Z47=4,"ESCALATED TO LOCAL OFFICE",IF($Z47=5,"ESCALATED TO CBE",IF($AA47=TODAY(),"EMAIL SENT","MONITORING"))))))))))</f>
        <v/>
      </c>
      <c r="V47" s="17">
        <f>IF($U47="",IF(AND(COUNTA($A47:$L47)&gt;0,$N47=""),"Awaiting Collection Email time stamp.",""),IF(OR($U47="PAID",$U47="CLOSED"),IF($U47="PAID","Account paid. Action completed.","Account closed. No further action required."),CHOOSE($Z47,"Collection Email","1st Email Follow-up","2nd Email Follow-up","Escalation to Local Office","Escalation to CBE","Escalation to Roxanne")&amp;" sent "&amp;TEXT($AA47,"dd-mmm")&amp;". "&amp;IF($Z47=6,"Final escalation completed.",IF($U47="OVERDUE","Next: "&amp;$AC47&amp;" was due "&amp;TEXT($AB47,"dd-mmm")&amp;" - "&amp;(NETWORKDAYS($AB47,TODAY(),Holidays)-1)&amp;" business day(s) late. Send now.",IF($U47="DUE TOMORROW","Next: "&amp;$AC47&amp;IF($AB47&lt;=TODAY()," is due TODAY ("," is due next business day (")&amp;TEXT($AB47,"dd-mmm")&amp;").","Next: "&amp;$AC47&amp;" due "&amp;TEXT($AB47,"dd-mmm")&amp;" ("&amp;(NETWORKDAYS(TODAY(),$AB47,Holidays)-1)&amp;" business day(s) left).")))))</f>
        <v/>
      </c>
      <c r="W47" s="17">
        <f>IF($Z47="","",CHOOSE($Z47,"Collection Email","1st Follow-up","2nd Follow-up","Local Office","CBE","Roxanne")&amp;IF($Z47=6," - Final"," - Day "&amp;MAX(0,NETWORKDAYS($AA47,TODAY(),Holidays)-1)&amp;" of "&amp;CHOOSE($Z47,3,3,2,2,3))&amp;" | Total Day "&amp;MAX(0,NETWORKDAYS($N47,TODAY(),Holidays)-1))</f>
        <v/>
      </c>
      <c r="X47" s="18"/>
      <c r="Y47" s="18"/>
      <c r="Z47" s="17">
        <f>IF($N47="","",COUNT($N47:$S47))</f>
        <v/>
      </c>
      <c r="AA47" s="19">
        <f>IF($Z47="","",INT(INDEX($N47:$S47,$Z47)))</f>
        <v/>
      </c>
      <c r="AB47" s="19">
        <f>IF(OR($Z47="",$Z47=6),"",WORKDAY($AA47,CHOOSE($Z47,3,3,2,2,3),Holidays))</f>
        <v/>
      </c>
      <c r="AC47" s="17">
        <f>IF(OR($Z47="",$Z47=6),"",CHOOSE($Z47,"1st Email Follow-up","2nd Email Follow-up","Escalate Local Office","Escalate to CBE","Escalate to Roxanne"))</f>
        <v/>
      </c>
    </row>
    <row r="48" spans="13:29">
      <c r="M48" s="14"/>
      <c r="T48" s="16"/>
      <c r="U48" s="17">
        <f>IF(AND(COUNTA($A48:$L48)=0,$N48=""),"",IF($T48="Paid","PAID",IF($T48="Closed","CLOSED",IF($Z48="","",IF($Z48=6,"ESCALATED TO ROXANNE",IF(TODAY()&gt;$AB48,"OVERDUE",IF($AB48&lt;=WORKDAY(TODAY(),1,Holidays),"DUE TOMORROW",IF($Z48=4,"ESCALATED TO LOCAL OFFICE",IF($Z48=5,"ESCALATED TO CBE",IF($AA48=TODAY(),"EMAIL SENT","MONITORING"))))))))))</f>
        <v/>
      </c>
      <c r="V48" s="17">
        <f>IF($U48="",IF(AND(COUNTA($A48:$L48)&gt;0,$N48=""),"Awaiting Collection Email time stamp.",""),IF(OR($U48="PAID",$U48="CLOSED"),IF($U48="PAID","Account paid. Action completed.","Account closed. No further action required."),CHOOSE($Z48,"Collection Email","1st Email Follow-up","2nd Email Follow-up","Escalation to Local Office","Escalation to CBE","Escalation to Roxanne")&amp;" sent "&amp;TEXT($AA48,"dd-mmm")&amp;". "&amp;IF($Z48=6,"Final escalation completed.",IF($U48="OVERDUE","Next: "&amp;$AC48&amp;" was due "&amp;TEXT($AB48,"dd-mmm")&amp;" - "&amp;(NETWORKDAYS($AB48,TODAY(),Holidays)-1)&amp;" business day(s) late. Send now.",IF($U48="DUE TOMORROW","Next: "&amp;$AC48&amp;IF($AB48&lt;=TODAY()," is due TODAY ("," is due next business day (")&amp;TEXT($AB48,"dd-mmm")&amp;").","Next: "&amp;$AC48&amp;" due "&amp;TEXT($AB48,"dd-mmm")&amp;" ("&amp;(NETWORKDAYS(TODAY(),$AB48,Holidays)-1)&amp;" business day(s) left).")))))</f>
        <v/>
      </c>
      <c r="W48" s="17">
        <f>IF($Z48="","",CHOOSE($Z48,"Collection Email","1st Follow-up","2nd Follow-up","Local Office","CBE","Roxanne")&amp;IF($Z48=6," - Final"," - Day "&amp;MAX(0,NETWORKDAYS($AA48,TODAY(),Holidays)-1)&amp;" of "&amp;CHOOSE($Z48,3,3,2,2,3))&amp;" | Total Day "&amp;MAX(0,NETWORKDAYS($N48,TODAY(),Holidays)-1))</f>
        <v/>
      </c>
      <c r="X48" s="18"/>
      <c r="Y48" s="18"/>
      <c r="Z48" s="17">
        <f>IF($N48="","",COUNT($N48:$S48))</f>
        <v/>
      </c>
      <c r="AA48" s="19">
        <f>IF($Z48="","",INT(INDEX($N48:$S48,$Z48)))</f>
        <v/>
      </c>
      <c r="AB48" s="19">
        <f>IF(OR($Z48="",$Z48=6),"",WORKDAY($AA48,CHOOSE($Z48,3,3,2,2,3),Holidays))</f>
        <v/>
      </c>
      <c r="AC48" s="17">
        <f>IF(OR($Z48="",$Z48=6),"",CHOOSE($Z48,"1st Email Follow-up","2nd Email Follow-up","Escalate Local Office","Escalate to CBE","Escalate to Roxanne"))</f>
        <v/>
      </c>
    </row>
    <row r="49" spans="13:29">
      <c r="M49" s="14"/>
      <c r="T49" s="16"/>
      <c r="U49" s="17">
        <f>IF(AND(COUNTA($A49:$L49)=0,$N49=""),"",IF($T49="Paid","PAID",IF($T49="Closed","CLOSED",IF($Z49="","",IF($Z49=6,"ESCALATED TO ROXANNE",IF(TODAY()&gt;$AB49,"OVERDUE",IF($AB49&lt;=WORKDAY(TODAY(),1,Holidays),"DUE TOMORROW",IF($Z49=4,"ESCALATED TO LOCAL OFFICE",IF($Z49=5,"ESCALATED TO CBE",IF($AA49=TODAY(),"EMAIL SENT","MONITORING"))))))))))</f>
        <v/>
      </c>
      <c r="V49" s="17">
        <f>IF($U49="",IF(AND(COUNTA($A49:$L49)&gt;0,$N49=""),"Awaiting Collection Email time stamp.",""),IF(OR($U49="PAID",$U49="CLOSED"),IF($U49="PAID","Account paid. Action completed.","Account closed. No further action required."),CHOOSE($Z49,"Collection Email","1st Email Follow-up","2nd Email Follow-up","Escalation to Local Office","Escalation to CBE","Escalation to Roxanne")&amp;" sent "&amp;TEXT($AA49,"dd-mmm")&amp;". "&amp;IF($Z49=6,"Final escalation completed.",IF($U49="OVERDUE","Next: "&amp;$AC49&amp;" was due "&amp;TEXT($AB49,"dd-mmm")&amp;" - "&amp;(NETWORKDAYS($AB49,TODAY(),Holidays)-1)&amp;" business day(s) late. Send now.",IF($U49="DUE TOMORROW","Next: "&amp;$AC49&amp;IF($AB49&lt;=TODAY()," is due TODAY ("," is due next business day (")&amp;TEXT($AB49,"dd-mmm")&amp;").","Next: "&amp;$AC49&amp;" due "&amp;TEXT($AB49,"dd-mmm")&amp;" ("&amp;(NETWORKDAYS(TODAY(),$AB49,Holidays)-1)&amp;" business day(s) left).")))))</f>
        <v/>
      </c>
      <c r="W49" s="17">
        <f>IF($Z49="","",CHOOSE($Z49,"Collection Email","1st Follow-up","2nd Follow-up","Local Office","CBE","Roxanne")&amp;IF($Z49=6," - Final"," - Day "&amp;MAX(0,NETWORKDAYS($AA49,TODAY(),Holidays)-1)&amp;" of "&amp;CHOOSE($Z49,3,3,2,2,3))&amp;" | Total Day "&amp;MAX(0,NETWORKDAYS($N49,TODAY(),Holidays)-1))</f>
        <v/>
      </c>
      <c r="X49" s="18"/>
      <c r="Y49" s="18"/>
      <c r="Z49" s="17">
        <f>IF($N49="","",COUNT($N49:$S49))</f>
        <v/>
      </c>
      <c r="AA49" s="19">
        <f>IF($Z49="","",INT(INDEX($N49:$S49,$Z49)))</f>
        <v/>
      </c>
      <c r="AB49" s="19">
        <f>IF(OR($Z49="",$Z49=6),"",WORKDAY($AA49,CHOOSE($Z49,3,3,2,2,3),Holidays))</f>
        <v/>
      </c>
      <c r="AC49" s="17">
        <f>IF(OR($Z49="",$Z49=6),"",CHOOSE($Z49,"1st Email Follow-up","2nd Email Follow-up","Escalate Local Office","Escalate to CBE","Escalate to Roxanne"))</f>
        <v/>
      </c>
    </row>
    <row r="50" spans="13:29">
      <c r="M50" s="14"/>
      <c r="T50" s="16"/>
      <c r="U50" s="17">
        <f>IF(AND(COUNTA($A50:$L50)=0,$N50=""),"",IF($T50="Paid","PAID",IF($T50="Closed","CLOSED",IF($Z50="","",IF($Z50=6,"ESCALATED TO ROXANNE",IF(TODAY()&gt;$AB50,"OVERDUE",IF($AB50&lt;=WORKDAY(TODAY(),1,Holidays),"DUE TOMORROW",IF($Z50=4,"ESCALATED TO LOCAL OFFICE",IF($Z50=5,"ESCALATED TO CBE",IF($AA50=TODAY(),"EMAIL SENT","MONITORING"))))))))))</f>
        <v/>
      </c>
      <c r="V50" s="17">
        <f>IF($U50="",IF(AND(COUNTA($A50:$L50)&gt;0,$N50=""),"Awaiting Collection Email time stamp.",""),IF(OR($U50="PAID",$U50="CLOSED"),IF($U50="PAID","Account paid. Action completed.","Account closed. No further action required."),CHOOSE($Z50,"Collection Email","1st Email Follow-up","2nd Email Follow-up","Escalation to Local Office","Escalation to CBE","Escalation to Roxanne")&amp;" sent "&amp;TEXT($AA50,"dd-mmm")&amp;". "&amp;IF($Z50=6,"Final escalation completed.",IF($U50="OVERDUE","Next: "&amp;$AC50&amp;" was due "&amp;TEXT($AB50,"dd-mmm")&amp;" - "&amp;(NETWORKDAYS($AB50,TODAY(),Holidays)-1)&amp;" business day(s) late. Send now.",IF($U50="DUE TOMORROW","Next: "&amp;$AC50&amp;IF($AB50&lt;=TODAY()," is due TODAY ("," is due next business day (")&amp;TEXT($AB50,"dd-mmm")&amp;").","Next: "&amp;$AC50&amp;" due "&amp;TEXT($AB50,"dd-mmm")&amp;" ("&amp;(NETWORKDAYS(TODAY(),$AB50,Holidays)-1)&amp;" business day(s) left).")))))</f>
        <v/>
      </c>
      <c r="W50" s="17">
        <f>IF($Z50="","",CHOOSE($Z50,"Collection Email","1st Follow-up","2nd Follow-up","Local Office","CBE","Roxanne")&amp;IF($Z50=6," - Final"," - Day "&amp;MAX(0,NETWORKDAYS($AA50,TODAY(),Holidays)-1)&amp;" of "&amp;CHOOSE($Z50,3,3,2,2,3))&amp;" | Total Day "&amp;MAX(0,NETWORKDAYS($N50,TODAY(),Holidays)-1))</f>
        <v/>
      </c>
      <c r="X50" s="18"/>
      <c r="Y50" s="18"/>
      <c r="Z50" s="17">
        <f>IF($N50="","",COUNT($N50:$S50))</f>
        <v/>
      </c>
      <c r="AA50" s="19">
        <f>IF($Z50="","",INT(INDEX($N50:$S50,$Z50)))</f>
        <v/>
      </c>
      <c r="AB50" s="19">
        <f>IF(OR($Z50="",$Z50=6),"",WORKDAY($AA50,CHOOSE($Z50,3,3,2,2,3),Holidays))</f>
        <v/>
      </c>
      <c r="AC50" s="17">
        <f>IF(OR($Z50="",$Z50=6),"",CHOOSE($Z50,"1st Email Follow-up","2nd Email Follow-up","Escalate Local Office","Escalate to CBE","Escalate to Roxanne"))</f>
        <v/>
      </c>
    </row>
    <row r="51" spans="13:29">
      <c r="M51" s="14"/>
      <c r="T51" s="16"/>
      <c r="U51" s="17">
        <f>IF(AND(COUNTA($A51:$L51)=0,$N51=""),"",IF($T51="Paid","PAID",IF($T51="Closed","CLOSED",IF($Z51="","",IF($Z51=6,"ESCALATED TO ROXANNE",IF(TODAY()&gt;$AB51,"OVERDUE",IF($AB51&lt;=WORKDAY(TODAY(),1,Holidays),"DUE TOMORROW",IF($Z51=4,"ESCALATED TO LOCAL OFFICE",IF($Z51=5,"ESCALATED TO CBE",IF($AA51=TODAY(),"EMAIL SENT","MONITORING"))))))))))</f>
        <v/>
      </c>
      <c r="V51" s="17">
        <f>IF($U51="",IF(AND(COUNTA($A51:$L51)&gt;0,$N51=""),"Awaiting Collection Email time stamp.",""),IF(OR($U51="PAID",$U51="CLOSED"),IF($U51="PAID","Account paid. Action completed.","Account closed. No further action required."),CHOOSE($Z51,"Collection Email","1st Email Follow-up","2nd Email Follow-up","Escalation to Local Office","Escalation to CBE","Escalation to Roxanne")&amp;" sent "&amp;TEXT($AA51,"dd-mmm")&amp;". "&amp;IF($Z51=6,"Final escalation completed.",IF($U51="OVERDUE","Next: "&amp;$AC51&amp;" was due "&amp;TEXT($AB51,"dd-mmm")&amp;" - "&amp;(NETWORKDAYS($AB51,TODAY(),Holidays)-1)&amp;" business day(s) late. Send now.",IF($U51="DUE TOMORROW","Next: "&amp;$AC51&amp;IF($AB51&lt;=TODAY()," is due TODAY ("," is due next business day (")&amp;TEXT($AB51,"dd-mmm")&amp;").","Next: "&amp;$AC51&amp;" due "&amp;TEXT($AB51,"dd-mmm")&amp;" ("&amp;(NETWORKDAYS(TODAY(),$AB51,Holidays)-1)&amp;" business day(s) left).")))))</f>
        <v/>
      </c>
      <c r="W51" s="17">
        <f>IF($Z51="","",CHOOSE($Z51,"Collection Email","1st Follow-up","2nd Follow-up","Local Office","CBE","Roxanne")&amp;IF($Z51=6," - Final"," - Day "&amp;MAX(0,NETWORKDAYS($AA51,TODAY(),Holidays)-1)&amp;" of "&amp;CHOOSE($Z51,3,3,2,2,3))&amp;" | Total Day "&amp;MAX(0,NETWORKDAYS($N51,TODAY(),Holidays)-1))</f>
        <v/>
      </c>
      <c r="X51" s="18"/>
      <c r="Y51" s="18"/>
      <c r="Z51" s="17">
        <f>IF($N51="","",COUNT($N51:$S51))</f>
        <v/>
      </c>
      <c r="AA51" s="19">
        <f>IF($Z51="","",INT(INDEX($N51:$S51,$Z51)))</f>
        <v/>
      </c>
      <c r="AB51" s="19">
        <f>IF(OR($Z51="",$Z51=6),"",WORKDAY($AA51,CHOOSE($Z51,3,3,2,2,3),Holidays))</f>
        <v/>
      </c>
      <c r="AC51" s="17">
        <f>IF(OR($Z51="",$Z51=6),"",CHOOSE($Z51,"1st Email Follow-up","2nd Email Follow-up","Escalate Local Office","Escalate to CBE","Escalate to Roxanne"))</f>
        <v/>
      </c>
    </row>
    <row r="52" spans="13:29">
      <c r="M52" s="14"/>
      <c r="T52" s="16"/>
      <c r="U52" s="17">
        <f>IF(AND(COUNTA($A52:$L52)=0,$N52=""),"",IF($T52="Paid","PAID",IF($T52="Closed","CLOSED",IF($Z52="","",IF($Z52=6,"ESCALATED TO ROXANNE",IF(TODAY()&gt;$AB52,"OVERDUE",IF($AB52&lt;=WORKDAY(TODAY(),1,Holidays),"DUE TOMORROW",IF($Z52=4,"ESCALATED TO LOCAL OFFICE",IF($Z52=5,"ESCALATED TO CBE",IF($AA52=TODAY(),"EMAIL SENT","MONITORING"))))))))))</f>
        <v/>
      </c>
      <c r="V52" s="17">
        <f>IF($U52="",IF(AND(COUNTA($A52:$L52)&gt;0,$N52=""),"Awaiting Collection Email time stamp.",""),IF(OR($U52="PAID",$U52="CLOSED"),IF($U52="PAID","Account paid. Action completed.","Account closed. No further action required."),CHOOSE($Z52,"Collection Email","1st Email Follow-up","2nd Email Follow-up","Escalation to Local Office","Escalation to CBE","Escalation to Roxanne")&amp;" sent "&amp;TEXT($AA52,"dd-mmm")&amp;". "&amp;IF($Z52=6,"Final escalation completed.",IF($U52="OVERDUE","Next: "&amp;$AC52&amp;" was due "&amp;TEXT($AB52,"dd-mmm")&amp;" - "&amp;(NETWORKDAYS($AB52,TODAY(),Holidays)-1)&amp;" business day(s) late. Send now.",IF($U52="DUE TOMORROW","Next: "&amp;$AC52&amp;IF($AB52&lt;=TODAY()," is due TODAY ("," is due next business day (")&amp;TEXT($AB52,"dd-mmm")&amp;").","Next: "&amp;$AC52&amp;" due "&amp;TEXT($AB52,"dd-mmm")&amp;" ("&amp;(NETWORKDAYS(TODAY(),$AB52,Holidays)-1)&amp;" business day(s) left).")))))</f>
        <v/>
      </c>
      <c r="W52" s="17">
        <f>IF($Z52="","",CHOOSE($Z52,"Collection Email","1st Follow-up","2nd Follow-up","Local Office","CBE","Roxanne")&amp;IF($Z52=6," - Final"," - Day "&amp;MAX(0,NETWORKDAYS($AA52,TODAY(),Holidays)-1)&amp;" of "&amp;CHOOSE($Z52,3,3,2,2,3))&amp;" | Total Day "&amp;MAX(0,NETWORKDAYS($N52,TODAY(),Holidays)-1))</f>
        <v/>
      </c>
      <c r="X52" s="18"/>
      <c r="Y52" s="18"/>
      <c r="Z52" s="17">
        <f>IF($N52="","",COUNT($N52:$S52))</f>
        <v/>
      </c>
      <c r="AA52" s="19">
        <f>IF($Z52="","",INT(INDEX($N52:$S52,$Z52)))</f>
        <v/>
      </c>
      <c r="AB52" s="19">
        <f>IF(OR($Z52="",$Z52=6),"",WORKDAY($AA52,CHOOSE($Z52,3,3,2,2,3),Holidays))</f>
        <v/>
      </c>
      <c r="AC52" s="17">
        <f>IF(OR($Z52="",$Z52=6),"",CHOOSE($Z52,"1st Email Follow-up","2nd Email Follow-up","Escalate Local Office","Escalate to CBE","Escalate to Roxanne"))</f>
        <v/>
      </c>
    </row>
    <row r="53" spans="13:29">
      <c r="M53" s="14"/>
      <c r="T53" s="16"/>
      <c r="U53" s="17">
        <f>IF(AND(COUNTA($A53:$L53)=0,$N53=""),"",IF($T53="Paid","PAID",IF($T53="Closed","CLOSED",IF($Z53="","",IF($Z53=6,"ESCALATED TO ROXANNE",IF(TODAY()&gt;$AB53,"OVERDUE",IF($AB53&lt;=WORKDAY(TODAY(),1,Holidays),"DUE TOMORROW",IF($Z53=4,"ESCALATED TO LOCAL OFFICE",IF($Z53=5,"ESCALATED TO CBE",IF($AA53=TODAY(),"EMAIL SENT","MONITORING"))))))))))</f>
        <v/>
      </c>
      <c r="V53" s="17">
        <f>IF($U53="",IF(AND(COUNTA($A53:$L53)&gt;0,$N53=""),"Awaiting Collection Email time stamp.",""),IF(OR($U53="PAID",$U53="CLOSED"),IF($U53="PAID","Account paid. Action completed.","Account closed. No further action required."),CHOOSE($Z53,"Collection Email","1st Email Follow-up","2nd Email Follow-up","Escalation to Local Office","Escalation to CBE","Escalation to Roxanne")&amp;" sent "&amp;TEXT($AA53,"dd-mmm")&amp;". "&amp;IF($Z53=6,"Final escalation completed.",IF($U53="OVERDUE","Next: "&amp;$AC53&amp;" was due "&amp;TEXT($AB53,"dd-mmm")&amp;" - "&amp;(NETWORKDAYS($AB53,TODAY(),Holidays)-1)&amp;" business day(s) late. Send now.",IF($U53="DUE TOMORROW","Next: "&amp;$AC53&amp;IF($AB53&lt;=TODAY()," is due TODAY ("," is due next business day (")&amp;TEXT($AB53,"dd-mmm")&amp;").","Next: "&amp;$AC53&amp;" due "&amp;TEXT($AB53,"dd-mmm")&amp;" ("&amp;(NETWORKDAYS(TODAY(),$AB53,Holidays)-1)&amp;" business day(s) left).")))))</f>
        <v/>
      </c>
      <c r="W53" s="17">
        <f>IF($Z53="","",CHOOSE($Z53,"Collection Email","1st Follow-up","2nd Follow-up","Local Office","CBE","Roxanne")&amp;IF($Z53=6," - Final"," - Day "&amp;MAX(0,NETWORKDAYS($AA53,TODAY(),Holidays)-1)&amp;" of "&amp;CHOOSE($Z53,3,3,2,2,3))&amp;" | Total Day "&amp;MAX(0,NETWORKDAYS($N53,TODAY(),Holidays)-1))</f>
        <v/>
      </c>
      <c r="X53" s="18"/>
      <c r="Y53" s="18"/>
      <c r="Z53" s="17">
        <f>IF($N53="","",COUNT($N53:$S53))</f>
        <v/>
      </c>
      <c r="AA53" s="19">
        <f>IF($Z53="","",INT(INDEX($N53:$S53,$Z53)))</f>
        <v/>
      </c>
      <c r="AB53" s="19">
        <f>IF(OR($Z53="",$Z53=6),"",WORKDAY($AA53,CHOOSE($Z53,3,3,2,2,3),Holidays))</f>
        <v/>
      </c>
      <c r="AC53" s="17">
        <f>IF(OR($Z53="",$Z53=6),"",CHOOSE($Z53,"1st Email Follow-up","2nd Email Follow-up","Escalate Local Office","Escalate to CBE","Escalate to Roxanne"))</f>
        <v/>
      </c>
    </row>
    <row r="54" spans="13:29">
      <c r="M54" s="14"/>
      <c r="T54" s="16"/>
      <c r="U54" s="17">
        <f>IF(AND(COUNTA($A54:$L54)=0,$N54=""),"",IF($T54="Paid","PAID",IF($T54="Closed","CLOSED",IF($Z54="","",IF($Z54=6,"ESCALATED TO ROXANNE",IF(TODAY()&gt;$AB54,"OVERDUE",IF($AB54&lt;=WORKDAY(TODAY(),1,Holidays),"DUE TOMORROW",IF($Z54=4,"ESCALATED TO LOCAL OFFICE",IF($Z54=5,"ESCALATED TO CBE",IF($AA54=TODAY(),"EMAIL SENT","MONITORING"))))))))))</f>
        <v/>
      </c>
      <c r="V54" s="17">
        <f>IF($U54="",IF(AND(COUNTA($A54:$L54)&gt;0,$N54=""),"Awaiting Collection Email time stamp.",""),IF(OR($U54="PAID",$U54="CLOSED"),IF($U54="PAID","Account paid. Action completed.","Account closed. No further action required."),CHOOSE($Z54,"Collection Email","1st Email Follow-up","2nd Email Follow-up","Escalation to Local Office","Escalation to CBE","Escalation to Roxanne")&amp;" sent "&amp;TEXT($AA54,"dd-mmm")&amp;". "&amp;IF($Z54=6,"Final escalation completed.",IF($U54="OVERDUE","Next: "&amp;$AC54&amp;" was due "&amp;TEXT($AB54,"dd-mmm")&amp;" - "&amp;(NETWORKDAYS($AB54,TODAY(),Holidays)-1)&amp;" business day(s) late. Send now.",IF($U54="DUE TOMORROW","Next: "&amp;$AC54&amp;IF($AB54&lt;=TODAY()," is due TODAY ("," is due next business day (")&amp;TEXT($AB54,"dd-mmm")&amp;").","Next: "&amp;$AC54&amp;" due "&amp;TEXT($AB54,"dd-mmm")&amp;" ("&amp;(NETWORKDAYS(TODAY(),$AB54,Holidays)-1)&amp;" business day(s) left).")))))</f>
        <v/>
      </c>
      <c r="W54" s="17">
        <f>IF($Z54="","",CHOOSE($Z54,"Collection Email","1st Follow-up","2nd Follow-up","Local Office","CBE","Roxanne")&amp;IF($Z54=6," - Final"," - Day "&amp;MAX(0,NETWORKDAYS($AA54,TODAY(),Holidays)-1)&amp;" of "&amp;CHOOSE($Z54,3,3,2,2,3))&amp;" | Total Day "&amp;MAX(0,NETWORKDAYS($N54,TODAY(),Holidays)-1))</f>
        <v/>
      </c>
      <c r="X54" s="18"/>
      <c r="Y54" s="18"/>
      <c r="Z54" s="17">
        <f>IF($N54="","",COUNT($N54:$S54))</f>
        <v/>
      </c>
      <c r="AA54" s="19">
        <f>IF($Z54="","",INT(INDEX($N54:$S54,$Z54)))</f>
        <v/>
      </c>
      <c r="AB54" s="19">
        <f>IF(OR($Z54="",$Z54=6),"",WORKDAY($AA54,CHOOSE($Z54,3,3,2,2,3),Holidays))</f>
        <v/>
      </c>
      <c r="AC54" s="17">
        <f>IF(OR($Z54="",$Z54=6),"",CHOOSE($Z54,"1st Email Follow-up","2nd Email Follow-up","Escalate Local Office","Escalate to CBE","Escalate to Roxanne"))</f>
        <v/>
      </c>
    </row>
    <row r="55" spans="13:29">
      <c r="M55" s="14"/>
      <c r="T55" s="16"/>
      <c r="U55" s="17">
        <f>IF(AND(COUNTA($A55:$L55)=0,$N55=""),"",IF($T55="Paid","PAID",IF($T55="Closed","CLOSED",IF($Z55="","",IF($Z55=6,"ESCALATED TO ROXANNE",IF(TODAY()&gt;$AB55,"OVERDUE",IF($AB55&lt;=WORKDAY(TODAY(),1,Holidays),"DUE TOMORROW",IF($Z55=4,"ESCALATED TO LOCAL OFFICE",IF($Z55=5,"ESCALATED TO CBE",IF($AA55=TODAY(),"EMAIL SENT","MONITORING"))))))))))</f>
        <v/>
      </c>
      <c r="V55" s="17">
        <f>IF($U55="",IF(AND(COUNTA($A55:$L55)&gt;0,$N55=""),"Awaiting Collection Email time stamp.",""),IF(OR($U55="PAID",$U55="CLOSED"),IF($U55="PAID","Account paid. Action completed.","Account closed. No further action required."),CHOOSE($Z55,"Collection Email","1st Email Follow-up","2nd Email Follow-up","Escalation to Local Office","Escalation to CBE","Escalation to Roxanne")&amp;" sent "&amp;TEXT($AA55,"dd-mmm")&amp;". "&amp;IF($Z55=6,"Final escalation completed.",IF($U55="OVERDUE","Next: "&amp;$AC55&amp;" was due "&amp;TEXT($AB55,"dd-mmm")&amp;" - "&amp;(NETWORKDAYS($AB55,TODAY(),Holidays)-1)&amp;" business day(s) late. Send now.",IF($U55="DUE TOMORROW","Next: "&amp;$AC55&amp;IF($AB55&lt;=TODAY()," is due TODAY ("," is due next business day (")&amp;TEXT($AB55,"dd-mmm")&amp;").","Next: "&amp;$AC55&amp;" due "&amp;TEXT($AB55,"dd-mmm")&amp;" ("&amp;(NETWORKDAYS(TODAY(),$AB55,Holidays)-1)&amp;" business day(s) left).")))))</f>
        <v/>
      </c>
      <c r="W55" s="17">
        <f>IF($Z55="","",CHOOSE($Z55,"Collection Email","1st Follow-up","2nd Follow-up","Local Office","CBE","Roxanne")&amp;IF($Z55=6," - Final"," - Day "&amp;MAX(0,NETWORKDAYS($AA55,TODAY(),Holidays)-1)&amp;" of "&amp;CHOOSE($Z55,3,3,2,2,3))&amp;" | Total Day "&amp;MAX(0,NETWORKDAYS($N55,TODAY(),Holidays)-1))</f>
        <v/>
      </c>
      <c r="X55" s="18"/>
      <c r="Y55" s="18"/>
      <c r="Z55" s="17">
        <f>IF($N55="","",COUNT($N55:$S55))</f>
        <v/>
      </c>
      <c r="AA55" s="19">
        <f>IF($Z55="","",INT(INDEX($N55:$S55,$Z55)))</f>
        <v/>
      </c>
      <c r="AB55" s="19">
        <f>IF(OR($Z55="",$Z55=6),"",WORKDAY($AA55,CHOOSE($Z55,3,3,2,2,3),Holidays))</f>
        <v/>
      </c>
      <c r="AC55" s="17">
        <f>IF(OR($Z55="",$Z55=6),"",CHOOSE($Z55,"1st Email Follow-up","2nd Email Follow-up","Escalate Local Office","Escalate to CBE","Escalate to Roxanne"))</f>
        <v/>
      </c>
    </row>
    <row r="56" spans="13:29">
      <c r="M56" s="14"/>
      <c r="T56" s="16"/>
      <c r="U56" s="17">
        <f>IF(AND(COUNTA($A56:$L56)=0,$N56=""),"",IF($T56="Paid","PAID",IF($T56="Closed","CLOSED",IF($Z56="","",IF($Z56=6,"ESCALATED TO ROXANNE",IF(TODAY()&gt;$AB56,"OVERDUE",IF($AB56&lt;=WORKDAY(TODAY(),1,Holidays),"DUE TOMORROW",IF($Z56=4,"ESCALATED TO LOCAL OFFICE",IF($Z56=5,"ESCALATED TO CBE",IF($AA56=TODAY(),"EMAIL SENT","MONITORING"))))))))))</f>
        <v/>
      </c>
      <c r="V56" s="17">
        <f>IF($U56="",IF(AND(COUNTA($A56:$L56)&gt;0,$N56=""),"Awaiting Collection Email time stamp.",""),IF(OR($U56="PAID",$U56="CLOSED"),IF($U56="PAID","Account paid. Action completed.","Account closed. No further action required."),CHOOSE($Z56,"Collection Email","1st Email Follow-up","2nd Email Follow-up","Escalation to Local Office","Escalation to CBE","Escalation to Roxanne")&amp;" sent "&amp;TEXT($AA56,"dd-mmm")&amp;". "&amp;IF($Z56=6,"Final escalation completed.",IF($U56="OVERDUE","Next: "&amp;$AC56&amp;" was due "&amp;TEXT($AB56,"dd-mmm")&amp;" - "&amp;(NETWORKDAYS($AB56,TODAY(),Holidays)-1)&amp;" business day(s) late. Send now.",IF($U56="DUE TOMORROW","Next: "&amp;$AC56&amp;IF($AB56&lt;=TODAY()," is due TODAY ("," is due next business day (")&amp;TEXT($AB56,"dd-mmm")&amp;").","Next: "&amp;$AC56&amp;" due "&amp;TEXT($AB56,"dd-mmm")&amp;" ("&amp;(NETWORKDAYS(TODAY(),$AB56,Holidays)-1)&amp;" business day(s) left).")))))</f>
        <v/>
      </c>
      <c r="W56" s="17">
        <f>IF($Z56="","",CHOOSE($Z56,"Collection Email","1st Follow-up","2nd Follow-up","Local Office","CBE","Roxanne")&amp;IF($Z56=6," - Final"," - Day "&amp;MAX(0,NETWORKDAYS($AA56,TODAY(),Holidays)-1)&amp;" of "&amp;CHOOSE($Z56,3,3,2,2,3))&amp;" | Total Day "&amp;MAX(0,NETWORKDAYS($N56,TODAY(),Holidays)-1))</f>
        <v/>
      </c>
      <c r="X56" s="18"/>
      <c r="Y56" s="18"/>
      <c r="Z56" s="17">
        <f>IF($N56="","",COUNT($N56:$S56))</f>
        <v/>
      </c>
      <c r="AA56" s="19">
        <f>IF($Z56="","",INT(INDEX($N56:$S56,$Z56)))</f>
        <v/>
      </c>
      <c r="AB56" s="19">
        <f>IF(OR($Z56="",$Z56=6),"",WORKDAY($AA56,CHOOSE($Z56,3,3,2,2,3),Holidays))</f>
        <v/>
      </c>
      <c r="AC56" s="17">
        <f>IF(OR($Z56="",$Z56=6),"",CHOOSE($Z56,"1st Email Follow-up","2nd Email Follow-up","Escalate Local Office","Escalate to CBE","Escalate to Roxanne"))</f>
        <v/>
      </c>
    </row>
    <row r="57" spans="13:29">
      <c r="M57" s="14"/>
      <c r="T57" s="16"/>
      <c r="U57" s="17">
        <f>IF(AND(COUNTA($A57:$L57)=0,$N57=""),"",IF($T57="Paid","PAID",IF($T57="Closed","CLOSED",IF($Z57="","",IF($Z57=6,"ESCALATED TO ROXANNE",IF(TODAY()&gt;$AB57,"OVERDUE",IF($AB57&lt;=WORKDAY(TODAY(),1,Holidays),"DUE TOMORROW",IF($Z57=4,"ESCALATED TO LOCAL OFFICE",IF($Z57=5,"ESCALATED TO CBE",IF($AA57=TODAY(),"EMAIL SENT","MONITORING"))))))))))</f>
        <v/>
      </c>
      <c r="V57" s="17">
        <f>IF($U57="",IF(AND(COUNTA($A57:$L57)&gt;0,$N57=""),"Awaiting Collection Email time stamp.",""),IF(OR($U57="PAID",$U57="CLOSED"),IF($U57="PAID","Account paid. Action completed.","Account closed. No further action required."),CHOOSE($Z57,"Collection Email","1st Email Follow-up","2nd Email Follow-up","Escalation to Local Office","Escalation to CBE","Escalation to Roxanne")&amp;" sent "&amp;TEXT($AA57,"dd-mmm")&amp;". "&amp;IF($Z57=6,"Final escalation completed.",IF($U57="OVERDUE","Next: "&amp;$AC57&amp;" was due "&amp;TEXT($AB57,"dd-mmm")&amp;" - "&amp;(NETWORKDAYS($AB57,TODAY(),Holidays)-1)&amp;" business day(s) late. Send now.",IF($U57="DUE TOMORROW","Next: "&amp;$AC57&amp;IF($AB57&lt;=TODAY()," is due TODAY ("," is due next business day (")&amp;TEXT($AB57,"dd-mmm")&amp;").","Next: "&amp;$AC57&amp;" due "&amp;TEXT($AB57,"dd-mmm")&amp;" ("&amp;(NETWORKDAYS(TODAY(),$AB57,Holidays)-1)&amp;" business day(s) left).")))))</f>
        <v/>
      </c>
      <c r="W57" s="17">
        <f>IF($Z57="","",CHOOSE($Z57,"Collection Email","1st Follow-up","2nd Follow-up","Local Office","CBE","Roxanne")&amp;IF($Z57=6," - Final"," - Day "&amp;MAX(0,NETWORKDAYS($AA57,TODAY(),Holidays)-1)&amp;" of "&amp;CHOOSE($Z57,3,3,2,2,3))&amp;" | Total Day "&amp;MAX(0,NETWORKDAYS($N57,TODAY(),Holidays)-1))</f>
        <v/>
      </c>
      <c r="X57" s="18"/>
      <c r="Y57" s="18"/>
      <c r="Z57" s="17">
        <f>IF($N57="","",COUNT($N57:$S57))</f>
        <v/>
      </c>
      <c r="AA57" s="19">
        <f>IF($Z57="","",INT(INDEX($N57:$S57,$Z57)))</f>
        <v/>
      </c>
      <c r="AB57" s="19">
        <f>IF(OR($Z57="",$Z57=6),"",WORKDAY($AA57,CHOOSE($Z57,3,3,2,2,3),Holidays))</f>
        <v/>
      </c>
      <c r="AC57" s="17">
        <f>IF(OR($Z57="",$Z57=6),"",CHOOSE($Z57,"1st Email Follow-up","2nd Email Follow-up","Escalate Local Office","Escalate to CBE","Escalate to Roxanne"))</f>
        <v/>
      </c>
    </row>
    <row r="58" spans="13:29">
      <c r="M58" s="14"/>
      <c r="T58" s="16"/>
      <c r="U58" s="17">
        <f>IF(AND(COUNTA($A58:$L58)=0,$N58=""),"",IF($T58="Paid","PAID",IF($T58="Closed","CLOSED",IF($Z58="","",IF($Z58=6,"ESCALATED TO ROXANNE",IF(TODAY()&gt;$AB58,"OVERDUE",IF($AB58&lt;=WORKDAY(TODAY(),1,Holidays),"DUE TOMORROW",IF($Z58=4,"ESCALATED TO LOCAL OFFICE",IF($Z58=5,"ESCALATED TO CBE",IF($AA58=TODAY(),"EMAIL SENT","MONITORING"))))))))))</f>
        <v/>
      </c>
      <c r="V58" s="17">
        <f>IF($U58="",IF(AND(COUNTA($A58:$L58)&gt;0,$N58=""),"Awaiting Collection Email time stamp.",""),IF(OR($U58="PAID",$U58="CLOSED"),IF($U58="PAID","Account paid. Action completed.","Account closed. No further action required."),CHOOSE($Z58,"Collection Email","1st Email Follow-up","2nd Email Follow-up","Escalation to Local Office","Escalation to CBE","Escalation to Roxanne")&amp;" sent "&amp;TEXT($AA58,"dd-mmm")&amp;". "&amp;IF($Z58=6,"Final escalation completed.",IF($U58="OVERDUE","Next: "&amp;$AC58&amp;" was due "&amp;TEXT($AB58,"dd-mmm")&amp;" - "&amp;(NETWORKDAYS($AB58,TODAY(),Holidays)-1)&amp;" business day(s) late. Send now.",IF($U58="DUE TOMORROW","Next: "&amp;$AC58&amp;IF($AB58&lt;=TODAY()," is due TODAY ("," is due next business day (")&amp;TEXT($AB58,"dd-mmm")&amp;").","Next: "&amp;$AC58&amp;" due "&amp;TEXT($AB58,"dd-mmm")&amp;" ("&amp;(NETWORKDAYS(TODAY(),$AB58,Holidays)-1)&amp;" business day(s) left).")))))</f>
        <v/>
      </c>
      <c r="W58" s="17">
        <f>IF($Z58="","",CHOOSE($Z58,"Collection Email","1st Follow-up","2nd Follow-up","Local Office","CBE","Roxanne")&amp;IF($Z58=6," - Final"," - Day "&amp;MAX(0,NETWORKDAYS($AA58,TODAY(),Holidays)-1)&amp;" of "&amp;CHOOSE($Z58,3,3,2,2,3))&amp;" | Total Day "&amp;MAX(0,NETWORKDAYS($N58,TODAY(),Holidays)-1))</f>
        <v/>
      </c>
      <c r="X58" s="18"/>
      <c r="Y58" s="18"/>
      <c r="Z58" s="17">
        <f>IF($N58="","",COUNT($N58:$S58))</f>
        <v/>
      </c>
      <c r="AA58" s="19">
        <f>IF($Z58="","",INT(INDEX($N58:$S58,$Z58)))</f>
        <v/>
      </c>
      <c r="AB58" s="19">
        <f>IF(OR($Z58="",$Z58=6),"",WORKDAY($AA58,CHOOSE($Z58,3,3,2,2,3),Holidays))</f>
        <v/>
      </c>
      <c r="AC58" s="17">
        <f>IF(OR($Z58="",$Z58=6),"",CHOOSE($Z58,"1st Email Follow-up","2nd Email Follow-up","Escalate Local Office","Escalate to CBE","Escalate to Roxanne"))</f>
        <v/>
      </c>
    </row>
    <row r="59" spans="13:29">
      <c r="M59" s="14"/>
      <c r="T59" s="16"/>
      <c r="U59" s="17">
        <f>IF(AND(COUNTA($A59:$L59)=0,$N59=""),"",IF($T59="Paid","PAID",IF($T59="Closed","CLOSED",IF($Z59="","",IF($Z59=6,"ESCALATED TO ROXANNE",IF(TODAY()&gt;$AB59,"OVERDUE",IF($AB59&lt;=WORKDAY(TODAY(),1,Holidays),"DUE TOMORROW",IF($Z59=4,"ESCALATED TO LOCAL OFFICE",IF($Z59=5,"ESCALATED TO CBE",IF($AA59=TODAY(),"EMAIL SENT","MONITORING"))))))))))</f>
        <v/>
      </c>
      <c r="V59" s="17">
        <f>IF($U59="",IF(AND(COUNTA($A59:$L59)&gt;0,$N59=""),"Awaiting Collection Email time stamp.",""),IF(OR($U59="PAID",$U59="CLOSED"),IF($U59="PAID","Account paid. Action completed.","Account closed. No further action required."),CHOOSE($Z59,"Collection Email","1st Email Follow-up","2nd Email Follow-up","Escalation to Local Office","Escalation to CBE","Escalation to Roxanne")&amp;" sent "&amp;TEXT($AA59,"dd-mmm")&amp;". "&amp;IF($Z59=6,"Final escalation completed.",IF($U59="OVERDUE","Next: "&amp;$AC59&amp;" was due "&amp;TEXT($AB59,"dd-mmm")&amp;" - "&amp;(NETWORKDAYS($AB59,TODAY(),Holidays)-1)&amp;" business day(s) late. Send now.",IF($U59="DUE TOMORROW","Next: "&amp;$AC59&amp;IF($AB59&lt;=TODAY()," is due TODAY ("," is due next business day (")&amp;TEXT($AB59,"dd-mmm")&amp;").","Next: "&amp;$AC59&amp;" due "&amp;TEXT($AB59,"dd-mmm")&amp;" ("&amp;(NETWORKDAYS(TODAY(),$AB59,Holidays)-1)&amp;" business day(s) left).")))))</f>
        <v/>
      </c>
      <c r="W59" s="17">
        <f>IF($Z59="","",CHOOSE($Z59,"Collection Email","1st Follow-up","2nd Follow-up","Local Office","CBE","Roxanne")&amp;IF($Z59=6," - Final"," - Day "&amp;MAX(0,NETWORKDAYS($AA59,TODAY(),Holidays)-1)&amp;" of "&amp;CHOOSE($Z59,3,3,2,2,3))&amp;" | Total Day "&amp;MAX(0,NETWORKDAYS($N59,TODAY(),Holidays)-1))</f>
        <v/>
      </c>
      <c r="X59" s="18"/>
      <c r="Y59" s="18"/>
      <c r="Z59" s="17">
        <f>IF($N59="","",COUNT($N59:$S59))</f>
        <v/>
      </c>
      <c r="AA59" s="19">
        <f>IF($Z59="","",INT(INDEX($N59:$S59,$Z59)))</f>
        <v/>
      </c>
      <c r="AB59" s="19">
        <f>IF(OR($Z59="",$Z59=6),"",WORKDAY($AA59,CHOOSE($Z59,3,3,2,2,3),Holidays))</f>
        <v/>
      </c>
      <c r="AC59" s="17">
        <f>IF(OR($Z59="",$Z59=6),"",CHOOSE($Z59,"1st Email Follow-up","2nd Email Follow-up","Escalate Local Office","Escalate to CBE","Escalate to Roxanne"))</f>
        <v/>
      </c>
    </row>
    <row r="60" spans="13:29">
      <c r="M60" s="14"/>
      <c r="T60" s="16"/>
      <c r="U60" s="17">
        <f>IF(AND(COUNTA($A60:$L60)=0,$N60=""),"",IF($T60="Paid","PAID",IF($T60="Closed","CLOSED",IF($Z60="","",IF($Z60=6,"ESCALATED TO ROXANNE",IF(TODAY()&gt;$AB60,"OVERDUE",IF($AB60&lt;=WORKDAY(TODAY(),1,Holidays),"DUE TOMORROW",IF($Z60=4,"ESCALATED TO LOCAL OFFICE",IF($Z60=5,"ESCALATED TO CBE",IF($AA60=TODAY(),"EMAIL SENT","MONITORING"))))))))))</f>
        <v/>
      </c>
      <c r="V60" s="17">
        <f>IF($U60="",IF(AND(COUNTA($A60:$L60)&gt;0,$N60=""),"Awaiting Collection Email time stamp.",""),IF(OR($U60="PAID",$U60="CLOSED"),IF($U60="PAID","Account paid. Action completed.","Account closed. No further action required."),CHOOSE($Z60,"Collection Email","1st Email Follow-up","2nd Email Follow-up","Escalation to Local Office","Escalation to CBE","Escalation to Roxanne")&amp;" sent "&amp;TEXT($AA60,"dd-mmm")&amp;". "&amp;IF($Z60=6,"Final escalation completed.",IF($U60="OVERDUE","Next: "&amp;$AC60&amp;" was due "&amp;TEXT($AB60,"dd-mmm")&amp;" - "&amp;(NETWORKDAYS($AB60,TODAY(),Holidays)-1)&amp;" business day(s) late. Send now.",IF($U60="DUE TOMORROW","Next: "&amp;$AC60&amp;IF($AB60&lt;=TODAY()," is due TODAY ("," is due next business day (")&amp;TEXT($AB60,"dd-mmm")&amp;").","Next: "&amp;$AC60&amp;" due "&amp;TEXT($AB60,"dd-mmm")&amp;" ("&amp;(NETWORKDAYS(TODAY(),$AB60,Holidays)-1)&amp;" business day(s) left).")))))</f>
        <v/>
      </c>
      <c r="W60" s="17">
        <f>IF($Z60="","",CHOOSE($Z60,"Collection Email","1st Follow-up","2nd Follow-up","Local Office","CBE","Roxanne")&amp;IF($Z60=6," - Final"," - Day "&amp;MAX(0,NETWORKDAYS($AA60,TODAY(),Holidays)-1)&amp;" of "&amp;CHOOSE($Z60,3,3,2,2,3))&amp;" | Total Day "&amp;MAX(0,NETWORKDAYS($N60,TODAY(),Holidays)-1))</f>
        <v/>
      </c>
      <c r="X60" s="18"/>
      <c r="Y60" s="18"/>
      <c r="Z60" s="17">
        <f>IF($N60="","",COUNT($N60:$S60))</f>
        <v/>
      </c>
      <c r="AA60" s="19">
        <f>IF($Z60="","",INT(INDEX($N60:$S60,$Z60)))</f>
        <v/>
      </c>
      <c r="AB60" s="19">
        <f>IF(OR($Z60="",$Z60=6),"",WORKDAY($AA60,CHOOSE($Z60,3,3,2,2,3),Holidays))</f>
        <v/>
      </c>
      <c r="AC60" s="17">
        <f>IF(OR($Z60="",$Z60=6),"",CHOOSE($Z60,"1st Email Follow-up","2nd Email Follow-up","Escalate Local Office","Escalate to CBE","Escalate to Roxanne"))</f>
        <v/>
      </c>
    </row>
    <row r="61" spans="13:29">
      <c r="M61" s="14"/>
      <c r="T61" s="16"/>
      <c r="U61" s="17">
        <f>IF(AND(COUNTA($A61:$L61)=0,$N61=""),"",IF($T61="Paid","PAID",IF($T61="Closed","CLOSED",IF($Z61="","",IF($Z61=6,"ESCALATED TO ROXANNE",IF(TODAY()&gt;$AB61,"OVERDUE",IF($AB61&lt;=WORKDAY(TODAY(),1,Holidays),"DUE TOMORROW",IF($Z61=4,"ESCALATED TO LOCAL OFFICE",IF($Z61=5,"ESCALATED TO CBE",IF($AA61=TODAY(),"EMAIL SENT","MONITORING"))))))))))</f>
        <v/>
      </c>
      <c r="V61" s="17">
        <f>IF($U61="",IF(AND(COUNTA($A61:$L61)&gt;0,$N61=""),"Awaiting Collection Email time stamp.",""),IF(OR($U61="PAID",$U61="CLOSED"),IF($U61="PAID","Account paid. Action completed.","Account closed. No further action required."),CHOOSE($Z61,"Collection Email","1st Email Follow-up","2nd Email Follow-up","Escalation to Local Office","Escalation to CBE","Escalation to Roxanne")&amp;" sent "&amp;TEXT($AA61,"dd-mmm")&amp;". "&amp;IF($Z61=6,"Final escalation completed.",IF($U61="OVERDUE","Next: "&amp;$AC61&amp;" was due "&amp;TEXT($AB61,"dd-mmm")&amp;" - "&amp;(NETWORKDAYS($AB61,TODAY(),Holidays)-1)&amp;" business day(s) late. Send now.",IF($U61="DUE TOMORROW","Next: "&amp;$AC61&amp;IF($AB61&lt;=TODAY()," is due TODAY ("," is due next business day (")&amp;TEXT($AB61,"dd-mmm")&amp;").","Next: "&amp;$AC61&amp;" due "&amp;TEXT($AB61,"dd-mmm")&amp;" ("&amp;(NETWORKDAYS(TODAY(),$AB61,Holidays)-1)&amp;" business day(s) left).")))))</f>
        <v/>
      </c>
      <c r="W61" s="17">
        <f>IF($Z61="","",CHOOSE($Z61,"Collection Email","1st Follow-up","2nd Follow-up","Local Office","CBE","Roxanne")&amp;IF($Z61=6," - Final"," - Day "&amp;MAX(0,NETWORKDAYS($AA61,TODAY(),Holidays)-1)&amp;" of "&amp;CHOOSE($Z61,3,3,2,2,3))&amp;" | Total Day "&amp;MAX(0,NETWORKDAYS($N61,TODAY(),Holidays)-1))</f>
        <v/>
      </c>
      <c r="X61" s="18"/>
      <c r="Y61" s="18"/>
      <c r="Z61" s="17">
        <f>IF($N61="","",COUNT($N61:$S61))</f>
        <v/>
      </c>
      <c r="AA61" s="19">
        <f>IF($Z61="","",INT(INDEX($N61:$S61,$Z61)))</f>
        <v/>
      </c>
      <c r="AB61" s="19">
        <f>IF(OR($Z61="",$Z61=6),"",WORKDAY($AA61,CHOOSE($Z61,3,3,2,2,3),Holidays))</f>
        <v/>
      </c>
      <c r="AC61" s="17">
        <f>IF(OR($Z61="",$Z61=6),"",CHOOSE($Z61,"1st Email Follow-up","2nd Email Follow-up","Escalate Local Office","Escalate to CBE","Escalate to Roxanne"))</f>
        <v/>
      </c>
    </row>
    <row r="62" spans="13:29">
      <c r="M62" s="14"/>
      <c r="T62" s="16"/>
      <c r="U62" s="17">
        <f>IF(AND(COUNTA($A62:$L62)=0,$N62=""),"",IF($T62="Paid","PAID",IF($T62="Closed","CLOSED",IF($Z62="","",IF($Z62=6,"ESCALATED TO ROXANNE",IF(TODAY()&gt;$AB62,"OVERDUE",IF($AB62&lt;=WORKDAY(TODAY(),1,Holidays),"DUE TOMORROW",IF($Z62=4,"ESCALATED TO LOCAL OFFICE",IF($Z62=5,"ESCALATED TO CBE",IF($AA62=TODAY(),"EMAIL SENT","MONITORING"))))))))))</f>
        <v/>
      </c>
      <c r="V62" s="17">
        <f>IF($U62="",IF(AND(COUNTA($A62:$L62)&gt;0,$N62=""),"Awaiting Collection Email time stamp.",""),IF(OR($U62="PAID",$U62="CLOSED"),IF($U62="PAID","Account paid. Action completed.","Account closed. No further action required."),CHOOSE($Z62,"Collection Email","1st Email Follow-up","2nd Email Follow-up","Escalation to Local Office","Escalation to CBE","Escalation to Roxanne")&amp;" sent "&amp;TEXT($AA62,"dd-mmm")&amp;". "&amp;IF($Z62=6,"Final escalation completed.",IF($U62="OVERDUE","Next: "&amp;$AC62&amp;" was due "&amp;TEXT($AB62,"dd-mmm")&amp;" - "&amp;(NETWORKDAYS($AB62,TODAY(),Holidays)-1)&amp;" business day(s) late. Send now.",IF($U62="DUE TOMORROW","Next: "&amp;$AC62&amp;IF($AB62&lt;=TODAY()," is due TODAY ("," is due next business day (")&amp;TEXT($AB62,"dd-mmm")&amp;").","Next: "&amp;$AC62&amp;" due "&amp;TEXT($AB62,"dd-mmm")&amp;" ("&amp;(NETWORKDAYS(TODAY(),$AB62,Holidays)-1)&amp;" business day(s) left).")))))</f>
        <v/>
      </c>
      <c r="W62" s="17">
        <f>IF($Z62="","",CHOOSE($Z62,"Collection Email","1st Follow-up","2nd Follow-up","Local Office","CBE","Roxanne")&amp;IF($Z62=6," - Final"," - Day "&amp;MAX(0,NETWORKDAYS($AA62,TODAY(),Holidays)-1)&amp;" of "&amp;CHOOSE($Z62,3,3,2,2,3))&amp;" | Total Day "&amp;MAX(0,NETWORKDAYS($N62,TODAY(),Holidays)-1))</f>
        <v/>
      </c>
      <c r="X62" s="18"/>
      <c r="Y62" s="18"/>
      <c r="Z62" s="17">
        <f>IF($N62="","",COUNT($N62:$S62))</f>
        <v/>
      </c>
      <c r="AA62" s="19">
        <f>IF($Z62="","",INT(INDEX($N62:$S62,$Z62)))</f>
        <v/>
      </c>
      <c r="AB62" s="19">
        <f>IF(OR($Z62="",$Z62=6),"",WORKDAY($AA62,CHOOSE($Z62,3,3,2,2,3),Holidays))</f>
        <v/>
      </c>
      <c r="AC62" s="17">
        <f>IF(OR($Z62="",$Z62=6),"",CHOOSE($Z62,"1st Email Follow-up","2nd Email Follow-up","Escalate Local Office","Escalate to CBE","Escalate to Roxanne"))</f>
        <v/>
      </c>
    </row>
    <row r="63" spans="13:29">
      <c r="M63" s="14"/>
      <c r="T63" s="16"/>
      <c r="U63" s="17">
        <f>IF(AND(COUNTA($A63:$L63)=0,$N63=""),"",IF($T63="Paid","PAID",IF($T63="Closed","CLOSED",IF($Z63="","",IF($Z63=6,"ESCALATED TO ROXANNE",IF(TODAY()&gt;$AB63,"OVERDUE",IF($AB63&lt;=WORKDAY(TODAY(),1,Holidays),"DUE TOMORROW",IF($Z63=4,"ESCALATED TO LOCAL OFFICE",IF($Z63=5,"ESCALATED TO CBE",IF($AA63=TODAY(),"EMAIL SENT","MONITORING"))))))))))</f>
        <v/>
      </c>
      <c r="V63" s="17">
        <f>IF($U63="",IF(AND(COUNTA($A63:$L63)&gt;0,$N63=""),"Awaiting Collection Email time stamp.",""),IF(OR($U63="PAID",$U63="CLOSED"),IF($U63="PAID","Account paid. Action completed.","Account closed. No further action required."),CHOOSE($Z63,"Collection Email","1st Email Follow-up","2nd Email Follow-up","Escalation to Local Office","Escalation to CBE","Escalation to Roxanne")&amp;" sent "&amp;TEXT($AA63,"dd-mmm")&amp;". "&amp;IF($Z63=6,"Final escalation completed.",IF($U63="OVERDUE","Next: "&amp;$AC63&amp;" was due "&amp;TEXT($AB63,"dd-mmm")&amp;" - "&amp;(NETWORKDAYS($AB63,TODAY(),Holidays)-1)&amp;" business day(s) late. Send now.",IF($U63="DUE TOMORROW","Next: "&amp;$AC63&amp;IF($AB63&lt;=TODAY()," is due TODAY ("," is due next business day (")&amp;TEXT($AB63,"dd-mmm")&amp;").","Next: "&amp;$AC63&amp;" due "&amp;TEXT($AB63,"dd-mmm")&amp;" ("&amp;(NETWORKDAYS(TODAY(),$AB63,Holidays)-1)&amp;" business day(s) left).")))))</f>
        <v/>
      </c>
      <c r="W63" s="17">
        <f>IF($Z63="","",CHOOSE($Z63,"Collection Email","1st Follow-up","2nd Follow-up","Local Office","CBE","Roxanne")&amp;IF($Z63=6," - Final"," - Day "&amp;MAX(0,NETWORKDAYS($AA63,TODAY(),Holidays)-1)&amp;" of "&amp;CHOOSE($Z63,3,3,2,2,3))&amp;" | Total Day "&amp;MAX(0,NETWORKDAYS($N63,TODAY(),Holidays)-1))</f>
        <v/>
      </c>
      <c r="X63" s="18"/>
      <c r="Y63" s="18"/>
      <c r="Z63" s="17">
        <f>IF($N63="","",COUNT($N63:$S63))</f>
        <v/>
      </c>
      <c r="AA63" s="19">
        <f>IF($Z63="","",INT(INDEX($N63:$S63,$Z63)))</f>
        <v/>
      </c>
      <c r="AB63" s="19">
        <f>IF(OR($Z63="",$Z63=6),"",WORKDAY($AA63,CHOOSE($Z63,3,3,2,2,3),Holidays))</f>
        <v/>
      </c>
      <c r="AC63" s="17">
        <f>IF(OR($Z63="",$Z63=6),"",CHOOSE($Z63,"1st Email Follow-up","2nd Email Follow-up","Escalate Local Office","Escalate to CBE","Escalate to Roxanne"))</f>
        <v/>
      </c>
    </row>
    <row r="64" spans="13:29">
      <c r="M64" s="14"/>
      <c r="T64" s="16"/>
      <c r="U64" s="17">
        <f>IF(AND(COUNTA($A64:$L64)=0,$N64=""),"",IF($T64="Paid","PAID",IF($T64="Closed","CLOSED",IF($Z64="","",IF($Z64=6,"ESCALATED TO ROXANNE",IF(TODAY()&gt;$AB64,"OVERDUE",IF($AB64&lt;=WORKDAY(TODAY(),1,Holidays),"DUE TOMORROW",IF($Z64=4,"ESCALATED TO LOCAL OFFICE",IF($Z64=5,"ESCALATED TO CBE",IF($AA64=TODAY(),"EMAIL SENT","MONITORING"))))))))))</f>
        <v/>
      </c>
      <c r="V64" s="17">
        <f>IF($U64="",IF(AND(COUNTA($A64:$L64)&gt;0,$N64=""),"Awaiting Collection Email time stamp.",""),IF(OR($U64="PAID",$U64="CLOSED"),IF($U64="PAID","Account paid. Action completed.","Account closed. No further action required."),CHOOSE($Z64,"Collection Email","1st Email Follow-up","2nd Email Follow-up","Escalation to Local Office","Escalation to CBE","Escalation to Roxanne")&amp;" sent "&amp;TEXT($AA64,"dd-mmm")&amp;". "&amp;IF($Z64=6,"Final escalation completed.",IF($U64="OVERDUE","Next: "&amp;$AC64&amp;" was due "&amp;TEXT($AB64,"dd-mmm")&amp;" - "&amp;(NETWORKDAYS($AB64,TODAY(),Holidays)-1)&amp;" business day(s) late. Send now.",IF($U64="DUE TOMORROW","Next: "&amp;$AC64&amp;IF($AB64&lt;=TODAY()," is due TODAY ("," is due next business day (")&amp;TEXT($AB64,"dd-mmm")&amp;").","Next: "&amp;$AC64&amp;" due "&amp;TEXT($AB64,"dd-mmm")&amp;" ("&amp;(NETWORKDAYS(TODAY(),$AB64,Holidays)-1)&amp;" business day(s) left).")))))</f>
        <v/>
      </c>
      <c r="W64" s="17">
        <f>IF($Z64="","",CHOOSE($Z64,"Collection Email","1st Follow-up","2nd Follow-up","Local Office","CBE","Roxanne")&amp;IF($Z64=6," - Final"," - Day "&amp;MAX(0,NETWORKDAYS($AA64,TODAY(),Holidays)-1)&amp;" of "&amp;CHOOSE($Z64,3,3,2,2,3))&amp;" | Total Day "&amp;MAX(0,NETWORKDAYS($N64,TODAY(),Holidays)-1))</f>
        <v/>
      </c>
      <c r="X64" s="18"/>
      <c r="Y64" s="18"/>
      <c r="Z64" s="17">
        <f>IF($N64="","",COUNT($N64:$S64))</f>
        <v/>
      </c>
      <c r="AA64" s="19">
        <f>IF($Z64="","",INT(INDEX($N64:$S64,$Z64)))</f>
        <v/>
      </c>
      <c r="AB64" s="19">
        <f>IF(OR($Z64="",$Z64=6),"",WORKDAY($AA64,CHOOSE($Z64,3,3,2,2,3),Holidays))</f>
        <v/>
      </c>
      <c r="AC64" s="17">
        <f>IF(OR($Z64="",$Z64=6),"",CHOOSE($Z64,"1st Email Follow-up","2nd Email Follow-up","Escalate Local Office","Escalate to CBE","Escalate to Roxanne"))</f>
        <v/>
      </c>
    </row>
    <row r="65" spans="13:29">
      <c r="M65" s="14"/>
      <c r="T65" s="16"/>
      <c r="U65" s="17">
        <f>IF(AND(COUNTA($A65:$L65)=0,$N65=""),"",IF($T65="Paid","PAID",IF($T65="Closed","CLOSED",IF($Z65="","",IF($Z65=6,"ESCALATED TO ROXANNE",IF(TODAY()&gt;$AB65,"OVERDUE",IF($AB65&lt;=WORKDAY(TODAY(),1,Holidays),"DUE TOMORROW",IF($Z65=4,"ESCALATED TO LOCAL OFFICE",IF($Z65=5,"ESCALATED TO CBE",IF($AA65=TODAY(),"EMAIL SENT","MONITORING"))))))))))</f>
        <v/>
      </c>
      <c r="V65" s="17">
        <f>IF($U65="",IF(AND(COUNTA($A65:$L65)&gt;0,$N65=""),"Awaiting Collection Email time stamp.",""),IF(OR($U65="PAID",$U65="CLOSED"),IF($U65="PAID","Account paid. Action completed.","Account closed. No further action required."),CHOOSE($Z65,"Collection Email","1st Email Follow-up","2nd Email Follow-up","Escalation to Local Office","Escalation to CBE","Escalation to Roxanne")&amp;" sent "&amp;TEXT($AA65,"dd-mmm")&amp;". "&amp;IF($Z65=6,"Final escalation completed.",IF($U65="OVERDUE","Next: "&amp;$AC65&amp;" was due "&amp;TEXT($AB65,"dd-mmm")&amp;" - "&amp;(NETWORKDAYS($AB65,TODAY(),Holidays)-1)&amp;" business day(s) late. Send now.",IF($U65="DUE TOMORROW","Next: "&amp;$AC65&amp;IF($AB65&lt;=TODAY()," is due TODAY ("," is due next business day (")&amp;TEXT($AB65,"dd-mmm")&amp;").","Next: "&amp;$AC65&amp;" due "&amp;TEXT($AB65,"dd-mmm")&amp;" ("&amp;(NETWORKDAYS(TODAY(),$AB65,Holidays)-1)&amp;" business day(s) left).")))))</f>
        <v/>
      </c>
      <c r="W65" s="17">
        <f>IF($Z65="","",CHOOSE($Z65,"Collection Email","1st Follow-up","2nd Follow-up","Local Office","CBE","Roxanne")&amp;IF($Z65=6," - Final"," - Day "&amp;MAX(0,NETWORKDAYS($AA65,TODAY(),Holidays)-1)&amp;" of "&amp;CHOOSE($Z65,3,3,2,2,3))&amp;" | Total Day "&amp;MAX(0,NETWORKDAYS($N65,TODAY(),Holidays)-1))</f>
        <v/>
      </c>
      <c r="X65" s="18"/>
      <c r="Y65" s="18"/>
      <c r="Z65" s="17">
        <f>IF($N65="","",COUNT($N65:$S65))</f>
        <v/>
      </c>
      <c r="AA65" s="19">
        <f>IF($Z65="","",INT(INDEX($N65:$S65,$Z65)))</f>
        <v/>
      </c>
      <c r="AB65" s="19">
        <f>IF(OR($Z65="",$Z65=6),"",WORKDAY($AA65,CHOOSE($Z65,3,3,2,2,3),Holidays))</f>
        <v/>
      </c>
      <c r="AC65" s="17">
        <f>IF(OR($Z65="",$Z65=6),"",CHOOSE($Z65,"1st Email Follow-up","2nd Email Follow-up","Escalate Local Office","Escalate to CBE","Escalate to Roxanne"))</f>
        <v/>
      </c>
    </row>
    <row r="66" spans="13:29">
      <c r="M66" s="14"/>
      <c r="T66" s="16"/>
      <c r="U66" s="17">
        <f>IF(AND(COUNTA($A66:$L66)=0,$N66=""),"",IF($T66="Paid","PAID",IF($T66="Closed","CLOSED",IF($Z66="","",IF($Z66=6,"ESCALATED TO ROXANNE",IF(TODAY()&gt;$AB66,"OVERDUE",IF($AB66&lt;=WORKDAY(TODAY(),1,Holidays),"DUE TOMORROW",IF($Z66=4,"ESCALATED TO LOCAL OFFICE",IF($Z66=5,"ESCALATED TO CBE",IF($AA66=TODAY(),"EMAIL SENT","MONITORING"))))))))))</f>
        <v/>
      </c>
      <c r="V66" s="17">
        <f>IF($U66="",IF(AND(COUNTA($A66:$L66)&gt;0,$N66=""),"Awaiting Collection Email time stamp.",""),IF(OR($U66="PAID",$U66="CLOSED"),IF($U66="PAID","Account paid. Action completed.","Account closed. No further action required."),CHOOSE($Z66,"Collection Email","1st Email Follow-up","2nd Email Follow-up","Escalation to Local Office","Escalation to CBE","Escalation to Roxanne")&amp;" sent "&amp;TEXT($AA66,"dd-mmm")&amp;". "&amp;IF($Z66=6,"Final escalation completed.",IF($U66="OVERDUE","Next: "&amp;$AC66&amp;" was due "&amp;TEXT($AB66,"dd-mmm")&amp;" - "&amp;(NETWORKDAYS($AB66,TODAY(),Holidays)-1)&amp;" business day(s) late. Send now.",IF($U66="DUE TOMORROW","Next: "&amp;$AC66&amp;IF($AB66&lt;=TODAY()," is due TODAY ("," is due next business day (")&amp;TEXT($AB66,"dd-mmm")&amp;").","Next: "&amp;$AC66&amp;" due "&amp;TEXT($AB66,"dd-mmm")&amp;" ("&amp;(NETWORKDAYS(TODAY(),$AB66,Holidays)-1)&amp;" business day(s) left).")))))</f>
        <v/>
      </c>
      <c r="W66" s="17">
        <f>IF($Z66="","",CHOOSE($Z66,"Collection Email","1st Follow-up","2nd Follow-up","Local Office","CBE","Roxanne")&amp;IF($Z66=6," - Final"," - Day "&amp;MAX(0,NETWORKDAYS($AA66,TODAY(),Holidays)-1)&amp;" of "&amp;CHOOSE($Z66,3,3,2,2,3))&amp;" | Total Day "&amp;MAX(0,NETWORKDAYS($N66,TODAY(),Holidays)-1))</f>
        <v/>
      </c>
      <c r="X66" s="18"/>
      <c r="Y66" s="18"/>
      <c r="Z66" s="17">
        <f>IF($N66="","",COUNT($N66:$S66))</f>
        <v/>
      </c>
      <c r="AA66" s="19">
        <f>IF($Z66="","",INT(INDEX($N66:$S66,$Z66)))</f>
        <v/>
      </c>
      <c r="AB66" s="19">
        <f>IF(OR($Z66="",$Z66=6),"",WORKDAY($AA66,CHOOSE($Z66,3,3,2,2,3),Holidays))</f>
        <v/>
      </c>
      <c r="AC66" s="17">
        <f>IF(OR($Z66="",$Z66=6),"",CHOOSE($Z66,"1st Email Follow-up","2nd Email Follow-up","Escalate Local Office","Escalate to CBE","Escalate to Roxanne"))</f>
        <v/>
      </c>
    </row>
    <row r="67" spans="13:29">
      <c r="M67" s="14"/>
      <c r="T67" s="16"/>
      <c r="U67" s="17">
        <f>IF(AND(COUNTA($A67:$L67)=0,$N67=""),"",IF($T67="Paid","PAID",IF($T67="Closed","CLOSED",IF($Z67="","",IF($Z67=6,"ESCALATED TO ROXANNE",IF(TODAY()&gt;$AB67,"OVERDUE",IF($AB67&lt;=WORKDAY(TODAY(),1,Holidays),"DUE TOMORROW",IF($Z67=4,"ESCALATED TO LOCAL OFFICE",IF($Z67=5,"ESCALATED TO CBE",IF($AA67=TODAY(),"EMAIL SENT","MONITORING"))))))))))</f>
        <v/>
      </c>
      <c r="V67" s="17">
        <f>IF($U67="",IF(AND(COUNTA($A67:$L67)&gt;0,$N67=""),"Awaiting Collection Email time stamp.",""),IF(OR($U67="PAID",$U67="CLOSED"),IF($U67="PAID","Account paid. Action completed.","Account closed. No further action required."),CHOOSE($Z67,"Collection Email","1st Email Follow-up","2nd Email Follow-up","Escalation to Local Office","Escalation to CBE","Escalation to Roxanne")&amp;" sent "&amp;TEXT($AA67,"dd-mmm")&amp;". "&amp;IF($Z67=6,"Final escalation completed.",IF($U67="OVERDUE","Next: "&amp;$AC67&amp;" was due "&amp;TEXT($AB67,"dd-mmm")&amp;" - "&amp;(NETWORKDAYS($AB67,TODAY(),Holidays)-1)&amp;" business day(s) late. Send now.",IF($U67="DUE TOMORROW","Next: "&amp;$AC67&amp;IF($AB67&lt;=TODAY()," is due TODAY ("," is due next business day (")&amp;TEXT($AB67,"dd-mmm")&amp;").","Next: "&amp;$AC67&amp;" due "&amp;TEXT($AB67,"dd-mmm")&amp;" ("&amp;(NETWORKDAYS(TODAY(),$AB67,Holidays)-1)&amp;" business day(s) left).")))))</f>
        <v/>
      </c>
      <c r="W67" s="17">
        <f>IF($Z67="","",CHOOSE($Z67,"Collection Email","1st Follow-up","2nd Follow-up","Local Office","CBE","Roxanne")&amp;IF($Z67=6," - Final"," - Day "&amp;MAX(0,NETWORKDAYS($AA67,TODAY(),Holidays)-1)&amp;" of "&amp;CHOOSE($Z67,3,3,2,2,3))&amp;" | Total Day "&amp;MAX(0,NETWORKDAYS($N67,TODAY(),Holidays)-1))</f>
        <v/>
      </c>
      <c r="X67" s="18"/>
      <c r="Y67" s="18"/>
      <c r="Z67" s="17">
        <f>IF($N67="","",COUNT($N67:$S67))</f>
        <v/>
      </c>
      <c r="AA67" s="19">
        <f>IF($Z67="","",INT(INDEX($N67:$S67,$Z67)))</f>
        <v/>
      </c>
      <c r="AB67" s="19">
        <f>IF(OR($Z67="",$Z67=6),"",WORKDAY($AA67,CHOOSE($Z67,3,3,2,2,3),Holidays))</f>
        <v/>
      </c>
      <c r="AC67" s="17">
        <f>IF(OR($Z67="",$Z67=6),"",CHOOSE($Z67,"1st Email Follow-up","2nd Email Follow-up","Escalate Local Office","Escalate to CBE","Escalate to Roxanne"))</f>
        <v/>
      </c>
    </row>
    <row r="68" spans="13:29">
      <c r="M68" s="14"/>
      <c r="T68" s="16"/>
      <c r="U68" s="17">
        <f>IF(AND(COUNTA($A68:$L68)=0,$N68=""),"",IF($T68="Paid","PAID",IF($T68="Closed","CLOSED",IF($Z68="","",IF($Z68=6,"ESCALATED TO ROXANNE",IF(TODAY()&gt;$AB68,"OVERDUE",IF($AB68&lt;=WORKDAY(TODAY(),1,Holidays),"DUE TOMORROW",IF($Z68=4,"ESCALATED TO LOCAL OFFICE",IF($Z68=5,"ESCALATED TO CBE",IF($AA68=TODAY(),"EMAIL SENT","MONITORING"))))))))))</f>
        <v/>
      </c>
      <c r="V68" s="17">
        <f>IF($U68="",IF(AND(COUNTA($A68:$L68)&gt;0,$N68=""),"Awaiting Collection Email time stamp.",""),IF(OR($U68="PAID",$U68="CLOSED"),IF($U68="PAID","Account paid. Action completed.","Account closed. No further action required."),CHOOSE($Z68,"Collection Email","1st Email Follow-up","2nd Email Follow-up","Escalation to Local Office","Escalation to CBE","Escalation to Roxanne")&amp;" sent "&amp;TEXT($AA68,"dd-mmm")&amp;". "&amp;IF($Z68=6,"Final escalation completed.",IF($U68="OVERDUE","Next: "&amp;$AC68&amp;" was due "&amp;TEXT($AB68,"dd-mmm")&amp;" - "&amp;(NETWORKDAYS($AB68,TODAY(),Holidays)-1)&amp;" business day(s) late. Send now.",IF($U68="DUE TOMORROW","Next: "&amp;$AC68&amp;IF($AB68&lt;=TODAY()," is due TODAY ("," is due next business day (")&amp;TEXT($AB68,"dd-mmm")&amp;").","Next: "&amp;$AC68&amp;" due "&amp;TEXT($AB68,"dd-mmm")&amp;" ("&amp;(NETWORKDAYS(TODAY(),$AB68,Holidays)-1)&amp;" business day(s) left).")))))</f>
        <v/>
      </c>
      <c r="W68" s="17">
        <f>IF($Z68="","",CHOOSE($Z68,"Collection Email","1st Follow-up","2nd Follow-up","Local Office","CBE","Roxanne")&amp;IF($Z68=6," - Final"," - Day "&amp;MAX(0,NETWORKDAYS($AA68,TODAY(),Holidays)-1)&amp;" of "&amp;CHOOSE($Z68,3,3,2,2,3))&amp;" | Total Day "&amp;MAX(0,NETWORKDAYS($N68,TODAY(),Holidays)-1))</f>
        <v/>
      </c>
      <c r="X68" s="18"/>
      <c r="Y68" s="18"/>
      <c r="Z68" s="17">
        <f>IF($N68="","",COUNT($N68:$S68))</f>
        <v/>
      </c>
      <c r="AA68" s="19">
        <f>IF($Z68="","",INT(INDEX($N68:$S68,$Z68)))</f>
        <v/>
      </c>
      <c r="AB68" s="19">
        <f>IF(OR($Z68="",$Z68=6),"",WORKDAY($AA68,CHOOSE($Z68,3,3,2,2,3),Holidays))</f>
        <v/>
      </c>
      <c r="AC68" s="17">
        <f>IF(OR($Z68="",$Z68=6),"",CHOOSE($Z68,"1st Email Follow-up","2nd Email Follow-up","Escalate Local Office","Escalate to CBE","Escalate to Roxanne"))</f>
        <v/>
      </c>
    </row>
    <row r="69" spans="13:29">
      <c r="M69" s="14"/>
      <c r="T69" s="16"/>
      <c r="U69" s="17">
        <f>IF(AND(COUNTA($A69:$L69)=0,$N69=""),"",IF($T69="Paid","PAID",IF($T69="Closed","CLOSED",IF($Z69="","",IF($Z69=6,"ESCALATED TO ROXANNE",IF(TODAY()&gt;$AB69,"OVERDUE",IF($AB69&lt;=WORKDAY(TODAY(),1,Holidays),"DUE TOMORROW",IF($Z69=4,"ESCALATED TO LOCAL OFFICE",IF($Z69=5,"ESCALATED TO CBE",IF($AA69=TODAY(),"EMAIL SENT","MONITORING"))))))))))</f>
        <v/>
      </c>
      <c r="V69" s="17">
        <f>IF($U69="",IF(AND(COUNTA($A69:$L69)&gt;0,$N69=""),"Awaiting Collection Email time stamp.",""),IF(OR($U69="PAID",$U69="CLOSED"),IF($U69="PAID","Account paid. Action completed.","Account closed. No further action required."),CHOOSE($Z69,"Collection Email","1st Email Follow-up","2nd Email Follow-up","Escalation to Local Office","Escalation to CBE","Escalation to Roxanne")&amp;" sent "&amp;TEXT($AA69,"dd-mmm")&amp;". "&amp;IF($Z69=6,"Final escalation completed.",IF($U69="OVERDUE","Next: "&amp;$AC69&amp;" was due "&amp;TEXT($AB69,"dd-mmm")&amp;" - "&amp;(NETWORKDAYS($AB69,TODAY(),Holidays)-1)&amp;" business day(s) late. Send now.",IF($U69="DUE TOMORROW","Next: "&amp;$AC69&amp;IF($AB69&lt;=TODAY()," is due TODAY ("," is due next business day (")&amp;TEXT($AB69,"dd-mmm")&amp;").","Next: "&amp;$AC69&amp;" due "&amp;TEXT($AB69,"dd-mmm")&amp;" ("&amp;(NETWORKDAYS(TODAY(),$AB69,Holidays)-1)&amp;" business day(s) left).")))))</f>
        <v/>
      </c>
      <c r="W69" s="17">
        <f>IF($Z69="","",CHOOSE($Z69,"Collection Email","1st Follow-up","2nd Follow-up","Local Office","CBE","Roxanne")&amp;IF($Z69=6," - Final"," - Day "&amp;MAX(0,NETWORKDAYS($AA69,TODAY(),Holidays)-1)&amp;" of "&amp;CHOOSE($Z69,3,3,2,2,3))&amp;" | Total Day "&amp;MAX(0,NETWORKDAYS($N69,TODAY(),Holidays)-1))</f>
        <v/>
      </c>
      <c r="X69" s="18"/>
      <c r="Y69" s="18"/>
      <c r="Z69" s="17">
        <f>IF($N69="","",COUNT($N69:$S69))</f>
        <v/>
      </c>
      <c r="AA69" s="19">
        <f>IF($Z69="","",INT(INDEX($N69:$S69,$Z69)))</f>
        <v/>
      </c>
      <c r="AB69" s="19">
        <f>IF(OR($Z69="",$Z69=6),"",WORKDAY($AA69,CHOOSE($Z69,3,3,2,2,3),Holidays))</f>
        <v/>
      </c>
      <c r="AC69" s="17">
        <f>IF(OR($Z69="",$Z69=6),"",CHOOSE($Z69,"1st Email Follow-up","2nd Email Follow-up","Escalate Local Office","Escalate to CBE","Escalate to Roxanne"))</f>
        <v/>
      </c>
    </row>
    <row r="70" spans="13:29">
      <c r="M70" s="14"/>
      <c r="T70" s="16"/>
      <c r="U70" s="17">
        <f>IF(AND(COUNTA($A70:$L70)=0,$N70=""),"",IF($T70="Paid","PAID",IF($T70="Closed","CLOSED",IF($Z70="","",IF($Z70=6,"ESCALATED TO ROXANNE",IF(TODAY()&gt;$AB70,"OVERDUE",IF($AB70&lt;=WORKDAY(TODAY(),1,Holidays),"DUE TOMORROW",IF($Z70=4,"ESCALATED TO LOCAL OFFICE",IF($Z70=5,"ESCALATED TO CBE",IF($AA70=TODAY(),"EMAIL SENT","MONITORING"))))))))))</f>
        <v/>
      </c>
      <c r="V70" s="17">
        <f>IF($U70="",IF(AND(COUNTA($A70:$L70)&gt;0,$N70=""),"Awaiting Collection Email time stamp.",""),IF(OR($U70="PAID",$U70="CLOSED"),IF($U70="PAID","Account paid. Action completed.","Account closed. No further action required."),CHOOSE($Z70,"Collection Email","1st Email Follow-up","2nd Email Follow-up","Escalation to Local Office","Escalation to CBE","Escalation to Roxanne")&amp;" sent "&amp;TEXT($AA70,"dd-mmm")&amp;". "&amp;IF($Z70=6,"Final escalation completed.",IF($U70="OVERDUE","Next: "&amp;$AC70&amp;" was due "&amp;TEXT($AB70,"dd-mmm")&amp;" - "&amp;(NETWORKDAYS($AB70,TODAY(),Holidays)-1)&amp;" business day(s) late. Send now.",IF($U70="DUE TOMORROW","Next: "&amp;$AC70&amp;IF($AB70&lt;=TODAY()," is due TODAY ("," is due next business day (")&amp;TEXT($AB70,"dd-mmm")&amp;").","Next: "&amp;$AC70&amp;" due "&amp;TEXT($AB70,"dd-mmm")&amp;" ("&amp;(NETWORKDAYS(TODAY(),$AB70,Holidays)-1)&amp;" business day(s) left).")))))</f>
        <v/>
      </c>
      <c r="W70" s="17">
        <f>IF($Z70="","",CHOOSE($Z70,"Collection Email","1st Follow-up","2nd Follow-up","Local Office","CBE","Roxanne")&amp;IF($Z70=6," - Final"," - Day "&amp;MAX(0,NETWORKDAYS($AA70,TODAY(),Holidays)-1)&amp;" of "&amp;CHOOSE($Z70,3,3,2,2,3))&amp;" | Total Day "&amp;MAX(0,NETWORKDAYS($N70,TODAY(),Holidays)-1))</f>
        <v/>
      </c>
      <c r="X70" s="18"/>
      <c r="Y70" s="18"/>
      <c r="Z70" s="17">
        <f>IF($N70="","",COUNT($N70:$S70))</f>
        <v/>
      </c>
      <c r="AA70" s="19">
        <f>IF($Z70="","",INT(INDEX($N70:$S70,$Z70)))</f>
        <v/>
      </c>
      <c r="AB70" s="19">
        <f>IF(OR($Z70="",$Z70=6),"",WORKDAY($AA70,CHOOSE($Z70,3,3,2,2,3),Holidays))</f>
        <v/>
      </c>
      <c r="AC70" s="17">
        <f>IF(OR($Z70="",$Z70=6),"",CHOOSE($Z70,"1st Email Follow-up","2nd Email Follow-up","Escalate Local Office","Escalate to CBE","Escalate to Roxanne"))</f>
        <v/>
      </c>
    </row>
    <row r="71" spans="13:29">
      <c r="M71" s="14"/>
      <c r="T71" s="16"/>
      <c r="U71" s="17">
        <f>IF(AND(COUNTA($A71:$L71)=0,$N71=""),"",IF($T71="Paid","PAID",IF($T71="Closed","CLOSED",IF($Z71="","",IF($Z71=6,"ESCALATED TO ROXANNE",IF(TODAY()&gt;$AB71,"OVERDUE",IF($AB71&lt;=WORKDAY(TODAY(),1,Holidays),"DUE TOMORROW",IF($Z71=4,"ESCALATED TO LOCAL OFFICE",IF($Z71=5,"ESCALATED TO CBE",IF($AA71=TODAY(),"EMAIL SENT","MONITORING"))))))))))</f>
        <v/>
      </c>
      <c r="V71" s="17">
        <f>IF($U71="",IF(AND(COUNTA($A71:$L71)&gt;0,$N71=""),"Awaiting Collection Email time stamp.",""),IF(OR($U71="PAID",$U71="CLOSED"),IF($U71="PAID","Account paid. Action completed.","Account closed. No further action required."),CHOOSE($Z71,"Collection Email","1st Email Follow-up","2nd Email Follow-up","Escalation to Local Office","Escalation to CBE","Escalation to Roxanne")&amp;" sent "&amp;TEXT($AA71,"dd-mmm")&amp;". "&amp;IF($Z71=6,"Final escalation completed.",IF($U71="OVERDUE","Next: "&amp;$AC71&amp;" was due "&amp;TEXT($AB71,"dd-mmm")&amp;" - "&amp;(NETWORKDAYS($AB71,TODAY(),Holidays)-1)&amp;" business day(s) late. Send now.",IF($U71="DUE TOMORROW","Next: "&amp;$AC71&amp;IF($AB71&lt;=TODAY()," is due TODAY ("," is due next business day (")&amp;TEXT($AB71,"dd-mmm")&amp;").","Next: "&amp;$AC71&amp;" due "&amp;TEXT($AB71,"dd-mmm")&amp;" ("&amp;(NETWORKDAYS(TODAY(),$AB71,Holidays)-1)&amp;" business day(s) left).")))))</f>
        <v/>
      </c>
      <c r="W71" s="17">
        <f>IF($Z71="","",CHOOSE($Z71,"Collection Email","1st Follow-up","2nd Follow-up","Local Office","CBE","Roxanne")&amp;IF($Z71=6," - Final"," - Day "&amp;MAX(0,NETWORKDAYS($AA71,TODAY(),Holidays)-1)&amp;" of "&amp;CHOOSE($Z71,3,3,2,2,3))&amp;" | Total Day "&amp;MAX(0,NETWORKDAYS($N71,TODAY(),Holidays)-1))</f>
        <v/>
      </c>
      <c r="X71" s="18"/>
      <c r="Y71" s="18"/>
      <c r="Z71" s="17">
        <f>IF($N71="","",COUNT($N71:$S71))</f>
        <v/>
      </c>
      <c r="AA71" s="19">
        <f>IF($Z71="","",INT(INDEX($N71:$S71,$Z71)))</f>
        <v/>
      </c>
      <c r="AB71" s="19">
        <f>IF(OR($Z71="",$Z71=6),"",WORKDAY($AA71,CHOOSE($Z71,3,3,2,2,3),Holidays))</f>
        <v/>
      </c>
      <c r="AC71" s="17">
        <f>IF(OR($Z71="",$Z71=6),"",CHOOSE($Z71,"1st Email Follow-up","2nd Email Follow-up","Escalate Local Office","Escalate to CBE","Escalate to Roxanne"))</f>
        <v/>
      </c>
    </row>
    <row r="72" spans="13:29">
      <c r="M72" s="14"/>
      <c r="T72" s="16"/>
      <c r="U72" s="17">
        <f>IF(AND(COUNTA($A72:$L72)=0,$N72=""),"",IF($T72="Paid","PAID",IF($T72="Closed","CLOSED",IF($Z72="","",IF($Z72=6,"ESCALATED TO ROXANNE",IF(TODAY()&gt;$AB72,"OVERDUE",IF($AB72&lt;=WORKDAY(TODAY(),1,Holidays),"DUE TOMORROW",IF($Z72=4,"ESCALATED TO LOCAL OFFICE",IF($Z72=5,"ESCALATED TO CBE",IF($AA72=TODAY(),"EMAIL SENT","MONITORING"))))))))))</f>
        <v/>
      </c>
      <c r="V72" s="17">
        <f>IF($U72="",IF(AND(COUNTA($A72:$L72)&gt;0,$N72=""),"Awaiting Collection Email time stamp.",""),IF(OR($U72="PAID",$U72="CLOSED"),IF($U72="PAID","Account paid. Action completed.","Account closed. No further action required."),CHOOSE($Z72,"Collection Email","1st Email Follow-up","2nd Email Follow-up","Escalation to Local Office","Escalation to CBE","Escalation to Roxanne")&amp;" sent "&amp;TEXT($AA72,"dd-mmm")&amp;". "&amp;IF($Z72=6,"Final escalation completed.",IF($U72="OVERDUE","Next: "&amp;$AC72&amp;" was due "&amp;TEXT($AB72,"dd-mmm")&amp;" - "&amp;(NETWORKDAYS($AB72,TODAY(),Holidays)-1)&amp;" business day(s) late. Send now.",IF($U72="DUE TOMORROW","Next: "&amp;$AC72&amp;IF($AB72&lt;=TODAY()," is due TODAY ("," is due next business day (")&amp;TEXT($AB72,"dd-mmm")&amp;").","Next: "&amp;$AC72&amp;" due "&amp;TEXT($AB72,"dd-mmm")&amp;" ("&amp;(NETWORKDAYS(TODAY(),$AB72,Holidays)-1)&amp;" business day(s) left).")))))</f>
        <v/>
      </c>
      <c r="W72" s="17">
        <f>IF($Z72="","",CHOOSE($Z72,"Collection Email","1st Follow-up","2nd Follow-up","Local Office","CBE","Roxanne")&amp;IF($Z72=6," - Final"," - Day "&amp;MAX(0,NETWORKDAYS($AA72,TODAY(),Holidays)-1)&amp;" of "&amp;CHOOSE($Z72,3,3,2,2,3))&amp;" | Total Day "&amp;MAX(0,NETWORKDAYS($N72,TODAY(),Holidays)-1))</f>
        <v/>
      </c>
      <c r="X72" s="18"/>
      <c r="Y72" s="18"/>
      <c r="Z72" s="17">
        <f>IF($N72="","",COUNT($N72:$S72))</f>
        <v/>
      </c>
      <c r="AA72" s="19">
        <f>IF($Z72="","",INT(INDEX($N72:$S72,$Z72)))</f>
        <v/>
      </c>
      <c r="AB72" s="19">
        <f>IF(OR($Z72="",$Z72=6),"",WORKDAY($AA72,CHOOSE($Z72,3,3,2,2,3),Holidays))</f>
        <v/>
      </c>
      <c r="AC72" s="17">
        <f>IF(OR($Z72="",$Z72=6),"",CHOOSE($Z72,"1st Email Follow-up","2nd Email Follow-up","Escalate Local Office","Escalate to CBE","Escalate to Roxanne"))</f>
        <v/>
      </c>
    </row>
    <row r="73" spans="13:29">
      <c r="M73" s="14"/>
      <c r="T73" s="16"/>
      <c r="U73" s="17">
        <f>IF(AND(COUNTA($A73:$L73)=0,$N73=""),"",IF($T73="Paid","PAID",IF($T73="Closed","CLOSED",IF($Z73="","",IF($Z73=6,"ESCALATED TO ROXANNE",IF(TODAY()&gt;$AB73,"OVERDUE",IF($AB73&lt;=WORKDAY(TODAY(),1,Holidays),"DUE TOMORROW",IF($Z73=4,"ESCALATED TO LOCAL OFFICE",IF($Z73=5,"ESCALATED TO CBE",IF($AA73=TODAY(),"EMAIL SENT","MONITORING"))))))))))</f>
        <v/>
      </c>
      <c r="V73" s="17">
        <f>IF($U73="",IF(AND(COUNTA($A73:$L73)&gt;0,$N73=""),"Awaiting Collection Email time stamp.",""),IF(OR($U73="PAID",$U73="CLOSED"),IF($U73="PAID","Account paid. Action completed.","Account closed. No further action required."),CHOOSE($Z73,"Collection Email","1st Email Follow-up","2nd Email Follow-up","Escalation to Local Office","Escalation to CBE","Escalation to Roxanne")&amp;" sent "&amp;TEXT($AA73,"dd-mmm")&amp;". "&amp;IF($Z73=6,"Final escalation completed.",IF($U73="OVERDUE","Next: "&amp;$AC73&amp;" was due "&amp;TEXT($AB73,"dd-mmm")&amp;" - "&amp;(NETWORKDAYS($AB73,TODAY(),Holidays)-1)&amp;" business day(s) late. Send now.",IF($U73="DUE TOMORROW","Next: "&amp;$AC73&amp;IF($AB73&lt;=TODAY()," is due TODAY ("," is due next business day (")&amp;TEXT($AB73,"dd-mmm")&amp;").","Next: "&amp;$AC73&amp;" due "&amp;TEXT($AB73,"dd-mmm")&amp;" ("&amp;(NETWORKDAYS(TODAY(),$AB73,Holidays)-1)&amp;" business day(s) left).")))))</f>
        <v/>
      </c>
      <c r="W73" s="17">
        <f>IF($Z73="","",CHOOSE($Z73,"Collection Email","1st Follow-up","2nd Follow-up","Local Office","CBE","Roxanne")&amp;IF($Z73=6," - Final"," - Day "&amp;MAX(0,NETWORKDAYS($AA73,TODAY(),Holidays)-1)&amp;" of "&amp;CHOOSE($Z73,3,3,2,2,3))&amp;" | Total Day "&amp;MAX(0,NETWORKDAYS($N73,TODAY(),Holidays)-1))</f>
        <v/>
      </c>
      <c r="X73" s="18"/>
      <c r="Y73" s="18"/>
      <c r="Z73" s="17">
        <f>IF($N73="","",COUNT($N73:$S73))</f>
        <v/>
      </c>
      <c r="AA73" s="19">
        <f>IF($Z73="","",INT(INDEX($N73:$S73,$Z73)))</f>
        <v/>
      </c>
      <c r="AB73" s="19">
        <f>IF(OR($Z73="",$Z73=6),"",WORKDAY($AA73,CHOOSE($Z73,3,3,2,2,3),Holidays))</f>
        <v/>
      </c>
      <c r="AC73" s="17">
        <f>IF(OR($Z73="",$Z73=6),"",CHOOSE($Z73,"1st Email Follow-up","2nd Email Follow-up","Escalate Local Office","Escalate to CBE","Escalate to Roxanne"))</f>
        <v/>
      </c>
    </row>
    <row r="74" spans="13:29">
      <c r="M74" s="14"/>
      <c r="T74" s="16"/>
      <c r="U74" s="17">
        <f>IF(AND(COUNTA($A74:$L74)=0,$N74=""),"",IF($T74="Paid","PAID",IF($T74="Closed","CLOSED",IF($Z74="","",IF($Z74=6,"ESCALATED TO ROXANNE",IF(TODAY()&gt;$AB74,"OVERDUE",IF($AB74&lt;=WORKDAY(TODAY(),1,Holidays),"DUE TOMORROW",IF($Z74=4,"ESCALATED TO LOCAL OFFICE",IF($Z74=5,"ESCALATED TO CBE",IF($AA74=TODAY(),"EMAIL SENT","MONITORING"))))))))))</f>
        <v/>
      </c>
      <c r="V74" s="17">
        <f>IF($U74="",IF(AND(COUNTA($A74:$L74)&gt;0,$N74=""),"Awaiting Collection Email time stamp.",""),IF(OR($U74="PAID",$U74="CLOSED"),IF($U74="PAID","Account paid. Action completed.","Account closed. No further action required."),CHOOSE($Z74,"Collection Email","1st Email Follow-up","2nd Email Follow-up","Escalation to Local Office","Escalation to CBE","Escalation to Roxanne")&amp;" sent "&amp;TEXT($AA74,"dd-mmm")&amp;". "&amp;IF($Z74=6,"Final escalation completed.",IF($U74="OVERDUE","Next: "&amp;$AC74&amp;" was due "&amp;TEXT($AB74,"dd-mmm")&amp;" - "&amp;(NETWORKDAYS($AB74,TODAY(),Holidays)-1)&amp;" business day(s) late. Send now.",IF($U74="DUE TOMORROW","Next: "&amp;$AC74&amp;IF($AB74&lt;=TODAY()," is due TODAY ("," is due next business day (")&amp;TEXT($AB74,"dd-mmm")&amp;").","Next: "&amp;$AC74&amp;" due "&amp;TEXT($AB74,"dd-mmm")&amp;" ("&amp;(NETWORKDAYS(TODAY(),$AB74,Holidays)-1)&amp;" business day(s) left).")))))</f>
        <v/>
      </c>
      <c r="W74" s="17">
        <f>IF($Z74="","",CHOOSE($Z74,"Collection Email","1st Follow-up","2nd Follow-up","Local Office","CBE","Roxanne")&amp;IF($Z74=6," - Final"," - Day "&amp;MAX(0,NETWORKDAYS($AA74,TODAY(),Holidays)-1)&amp;" of "&amp;CHOOSE($Z74,3,3,2,2,3))&amp;" | Total Day "&amp;MAX(0,NETWORKDAYS($N74,TODAY(),Holidays)-1))</f>
        <v/>
      </c>
      <c r="X74" s="18"/>
      <c r="Y74" s="18"/>
      <c r="Z74" s="17">
        <f>IF($N74="","",COUNT($N74:$S74))</f>
        <v/>
      </c>
      <c r="AA74" s="19">
        <f>IF($Z74="","",INT(INDEX($N74:$S74,$Z74)))</f>
        <v/>
      </c>
      <c r="AB74" s="19">
        <f>IF(OR($Z74="",$Z74=6),"",WORKDAY($AA74,CHOOSE($Z74,3,3,2,2,3),Holidays))</f>
        <v/>
      </c>
      <c r="AC74" s="17">
        <f>IF(OR($Z74="",$Z74=6),"",CHOOSE($Z74,"1st Email Follow-up","2nd Email Follow-up","Escalate Local Office","Escalate to CBE","Escalate to Roxanne"))</f>
        <v/>
      </c>
    </row>
    <row r="75" spans="13:29">
      <c r="M75" s="14"/>
      <c r="T75" s="16"/>
      <c r="U75" s="17">
        <f>IF(AND(COUNTA($A75:$L75)=0,$N75=""),"",IF($T75="Paid","PAID",IF($T75="Closed","CLOSED",IF($Z75="","",IF($Z75=6,"ESCALATED TO ROXANNE",IF(TODAY()&gt;$AB75,"OVERDUE",IF($AB75&lt;=WORKDAY(TODAY(),1,Holidays),"DUE TOMORROW",IF($Z75=4,"ESCALATED TO LOCAL OFFICE",IF($Z75=5,"ESCALATED TO CBE",IF($AA75=TODAY(),"EMAIL SENT","MONITORING"))))))))))</f>
        <v/>
      </c>
      <c r="V75" s="17">
        <f>IF($U75="",IF(AND(COUNTA($A75:$L75)&gt;0,$N75=""),"Awaiting Collection Email time stamp.",""),IF(OR($U75="PAID",$U75="CLOSED"),IF($U75="PAID","Account paid. Action completed.","Account closed. No further action required."),CHOOSE($Z75,"Collection Email","1st Email Follow-up","2nd Email Follow-up","Escalation to Local Office","Escalation to CBE","Escalation to Roxanne")&amp;" sent "&amp;TEXT($AA75,"dd-mmm")&amp;". "&amp;IF($Z75=6,"Final escalation completed.",IF($U75="OVERDUE","Next: "&amp;$AC75&amp;" was due "&amp;TEXT($AB75,"dd-mmm")&amp;" - "&amp;(NETWORKDAYS($AB75,TODAY(),Holidays)-1)&amp;" business day(s) late. Send now.",IF($U75="DUE TOMORROW","Next: "&amp;$AC75&amp;IF($AB75&lt;=TODAY()," is due TODAY ("," is due next business day (")&amp;TEXT($AB75,"dd-mmm")&amp;").","Next: "&amp;$AC75&amp;" due "&amp;TEXT($AB75,"dd-mmm")&amp;" ("&amp;(NETWORKDAYS(TODAY(),$AB75,Holidays)-1)&amp;" business day(s) left).")))))</f>
        <v/>
      </c>
      <c r="W75" s="17">
        <f>IF($Z75="","",CHOOSE($Z75,"Collection Email","1st Follow-up","2nd Follow-up","Local Office","CBE","Roxanne")&amp;IF($Z75=6," - Final"," - Day "&amp;MAX(0,NETWORKDAYS($AA75,TODAY(),Holidays)-1)&amp;" of "&amp;CHOOSE($Z75,3,3,2,2,3))&amp;" | Total Day "&amp;MAX(0,NETWORKDAYS($N75,TODAY(),Holidays)-1))</f>
        <v/>
      </c>
      <c r="X75" s="18"/>
      <c r="Y75" s="18"/>
      <c r="Z75" s="17">
        <f>IF($N75="","",COUNT($N75:$S75))</f>
        <v/>
      </c>
      <c r="AA75" s="19">
        <f>IF($Z75="","",INT(INDEX($N75:$S75,$Z75)))</f>
        <v/>
      </c>
      <c r="AB75" s="19">
        <f>IF(OR($Z75="",$Z75=6),"",WORKDAY($AA75,CHOOSE($Z75,3,3,2,2,3),Holidays))</f>
        <v/>
      </c>
      <c r="AC75" s="17">
        <f>IF(OR($Z75="",$Z75=6),"",CHOOSE($Z75,"1st Email Follow-up","2nd Email Follow-up","Escalate Local Office","Escalate to CBE","Escalate to Roxanne"))</f>
        <v/>
      </c>
    </row>
    <row r="76" spans="13:29">
      <c r="M76" s="14"/>
      <c r="T76" s="16"/>
      <c r="U76" s="17">
        <f>IF(AND(COUNTA($A76:$L76)=0,$N76=""),"",IF($T76="Paid","PAID",IF($T76="Closed","CLOSED",IF($Z76="","",IF($Z76=6,"ESCALATED TO ROXANNE",IF(TODAY()&gt;$AB76,"OVERDUE",IF($AB76&lt;=WORKDAY(TODAY(),1,Holidays),"DUE TOMORROW",IF($Z76=4,"ESCALATED TO LOCAL OFFICE",IF($Z76=5,"ESCALATED TO CBE",IF($AA76=TODAY(),"EMAIL SENT","MONITORING"))))))))))</f>
        <v/>
      </c>
      <c r="V76" s="17">
        <f>IF($U76="",IF(AND(COUNTA($A76:$L76)&gt;0,$N76=""),"Awaiting Collection Email time stamp.",""),IF(OR($U76="PAID",$U76="CLOSED"),IF($U76="PAID","Account paid. Action completed.","Account closed. No further action required."),CHOOSE($Z76,"Collection Email","1st Email Follow-up","2nd Email Follow-up","Escalation to Local Office","Escalation to CBE","Escalation to Roxanne")&amp;" sent "&amp;TEXT($AA76,"dd-mmm")&amp;". "&amp;IF($Z76=6,"Final escalation completed.",IF($U76="OVERDUE","Next: "&amp;$AC76&amp;" was due "&amp;TEXT($AB76,"dd-mmm")&amp;" - "&amp;(NETWORKDAYS($AB76,TODAY(),Holidays)-1)&amp;" business day(s) late. Send now.",IF($U76="DUE TOMORROW","Next: "&amp;$AC76&amp;IF($AB76&lt;=TODAY()," is due TODAY ("," is due next business day (")&amp;TEXT($AB76,"dd-mmm")&amp;").","Next: "&amp;$AC76&amp;" due "&amp;TEXT($AB76,"dd-mmm")&amp;" ("&amp;(NETWORKDAYS(TODAY(),$AB76,Holidays)-1)&amp;" business day(s) left).")))))</f>
        <v/>
      </c>
      <c r="W76" s="17">
        <f>IF($Z76="","",CHOOSE($Z76,"Collection Email","1st Follow-up","2nd Follow-up","Local Office","CBE","Roxanne")&amp;IF($Z76=6," - Final"," - Day "&amp;MAX(0,NETWORKDAYS($AA76,TODAY(),Holidays)-1)&amp;" of "&amp;CHOOSE($Z76,3,3,2,2,3))&amp;" | Total Day "&amp;MAX(0,NETWORKDAYS($N76,TODAY(),Holidays)-1))</f>
        <v/>
      </c>
      <c r="X76" s="18"/>
      <c r="Y76" s="18"/>
      <c r="Z76" s="17">
        <f>IF($N76="","",COUNT($N76:$S76))</f>
        <v/>
      </c>
      <c r="AA76" s="19">
        <f>IF($Z76="","",INT(INDEX($N76:$S76,$Z76)))</f>
        <v/>
      </c>
      <c r="AB76" s="19">
        <f>IF(OR($Z76="",$Z76=6),"",WORKDAY($AA76,CHOOSE($Z76,3,3,2,2,3),Holidays))</f>
        <v/>
      </c>
      <c r="AC76" s="17">
        <f>IF(OR($Z76="",$Z76=6),"",CHOOSE($Z76,"1st Email Follow-up","2nd Email Follow-up","Escalate Local Office","Escalate to CBE","Escalate to Roxanne"))</f>
        <v/>
      </c>
    </row>
    <row r="77" spans="13:29">
      <c r="M77" s="14"/>
      <c r="T77" s="16"/>
      <c r="U77" s="17">
        <f>IF(AND(COUNTA($A77:$L77)=0,$N77=""),"",IF($T77="Paid","PAID",IF($T77="Closed","CLOSED",IF($Z77="","",IF($Z77=6,"ESCALATED TO ROXANNE",IF(TODAY()&gt;$AB77,"OVERDUE",IF($AB77&lt;=WORKDAY(TODAY(),1,Holidays),"DUE TOMORROW",IF($Z77=4,"ESCALATED TO LOCAL OFFICE",IF($Z77=5,"ESCALATED TO CBE",IF($AA77=TODAY(),"EMAIL SENT","MONITORING"))))))))))</f>
        <v/>
      </c>
      <c r="V77" s="17">
        <f>IF($U77="",IF(AND(COUNTA($A77:$L77)&gt;0,$N77=""),"Awaiting Collection Email time stamp.",""),IF(OR($U77="PAID",$U77="CLOSED"),IF($U77="PAID","Account paid. Action completed.","Account closed. No further action required."),CHOOSE($Z77,"Collection Email","1st Email Follow-up","2nd Email Follow-up","Escalation to Local Office","Escalation to CBE","Escalation to Roxanne")&amp;" sent "&amp;TEXT($AA77,"dd-mmm")&amp;". "&amp;IF($Z77=6,"Final escalation completed.",IF($U77="OVERDUE","Next: "&amp;$AC77&amp;" was due "&amp;TEXT($AB77,"dd-mmm")&amp;" - "&amp;(NETWORKDAYS($AB77,TODAY(),Holidays)-1)&amp;" business day(s) late. Send now.",IF($U77="DUE TOMORROW","Next: "&amp;$AC77&amp;IF($AB77&lt;=TODAY()," is due TODAY ("," is due next business day (")&amp;TEXT($AB77,"dd-mmm")&amp;").","Next: "&amp;$AC77&amp;" due "&amp;TEXT($AB77,"dd-mmm")&amp;" ("&amp;(NETWORKDAYS(TODAY(),$AB77,Holidays)-1)&amp;" business day(s) left).")))))</f>
        <v/>
      </c>
      <c r="W77" s="17">
        <f>IF($Z77="","",CHOOSE($Z77,"Collection Email","1st Follow-up","2nd Follow-up","Local Office","CBE","Roxanne")&amp;IF($Z77=6," - Final"," - Day "&amp;MAX(0,NETWORKDAYS($AA77,TODAY(),Holidays)-1)&amp;" of "&amp;CHOOSE($Z77,3,3,2,2,3))&amp;" | Total Day "&amp;MAX(0,NETWORKDAYS($N77,TODAY(),Holidays)-1))</f>
        <v/>
      </c>
      <c r="X77" s="18"/>
      <c r="Y77" s="18"/>
      <c r="Z77" s="17">
        <f>IF($N77="","",COUNT($N77:$S77))</f>
        <v/>
      </c>
      <c r="AA77" s="19">
        <f>IF($Z77="","",INT(INDEX($N77:$S77,$Z77)))</f>
        <v/>
      </c>
      <c r="AB77" s="19">
        <f>IF(OR($Z77="",$Z77=6),"",WORKDAY($AA77,CHOOSE($Z77,3,3,2,2,3),Holidays))</f>
        <v/>
      </c>
      <c r="AC77" s="17">
        <f>IF(OR($Z77="",$Z77=6),"",CHOOSE($Z77,"1st Email Follow-up","2nd Email Follow-up","Escalate Local Office","Escalate to CBE","Escalate to Roxanne"))</f>
        <v/>
      </c>
    </row>
    <row r="78" spans="13:29">
      <c r="M78" s="14"/>
      <c r="T78" s="16"/>
      <c r="U78" s="17">
        <f>IF(AND(COUNTA($A78:$L78)=0,$N78=""),"",IF($T78="Paid","PAID",IF($T78="Closed","CLOSED",IF($Z78="","",IF($Z78=6,"ESCALATED TO ROXANNE",IF(TODAY()&gt;$AB78,"OVERDUE",IF($AB78&lt;=WORKDAY(TODAY(),1,Holidays),"DUE TOMORROW",IF($Z78=4,"ESCALATED TO LOCAL OFFICE",IF($Z78=5,"ESCALATED TO CBE",IF($AA78=TODAY(),"EMAIL SENT","MONITORING"))))))))))</f>
        <v/>
      </c>
      <c r="V78" s="17">
        <f>IF($U78="",IF(AND(COUNTA($A78:$L78)&gt;0,$N78=""),"Awaiting Collection Email time stamp.",""),IF(OR($U78="PAID",$U78="CLOSED"),IF($U78="PAID","Account paid. Action completed.","Account closed. No further action required."),CHOOSE($Z78,"Collection Email","1st Email Follow-up","2nd Email Follow-up","Escalation to Local Office","Escalation to CBE","Escalation to Roxanne")&amp;" sent "&amp;TEXT($AA78,"dd-mmm")&amp;". "&amp;IF($Z78=6,"Final escalation completed.",IF($U78="OVERDUE","Next: "&amp;$AC78&amp;" was due "&amp;TEXT($AB78,"dd-mmm")&amp;" - "&amp;(NETWORKDAYS($AB78,TODAY(),Holidays)-1)&amp;" business day(s) late. Send now.",IF($U78="DUE TOMORROW","Next: "&amp;$AC78&amp;IF($AB78&lt;=TODAY()," is due TODAY ("," is due next business day (")&amp;TEXT($AB78,"dd-mmm")&amp;").","Next: "&amp;$AC78&amp;" due "&amp;TEXT($AB78,"dd-mmm")&amp;" ("&amp;(NETWORKDAYS(TODAY(),$AB78,Holidays)-1)&amp;" business day(s) left).")))))</f>
        <v/>
      </c>
      <c r="W78" s="17">
        <f>IF($Z78="","",CHOOSE($Z78,"Collection Email","1st Follow-up","2nd Follow-up","Local Office","CBE","Roxanne")&amp;IF($Z78=6," - Final"," - Day "&amp;MAX(0,NETWORKDAYS($AA78,TODAY(),Holidays)-1)&amp;" of "&amp;CHOOSE($Z78,3,3,2,2,3))&amp;" | Total Day "&amp;MAX(0,NETWORKDAYS($N78,TODAY(),Holidays)-1))</f>
        <v/>
      </c>
      <c r="X78" s="18"/>
      <c r="Y78" s="18"/>
      <c r="Z78" s="17">
        <f>IF($N78="","",COUNT($N78:$S78))</f>
        <v/>
      </c>
      <c r="AA78" s="19">
        <f>IF($Z78="","",INT(INDEX($N78:$S78,$Z78)))</f>
        <v/>
      </c>
      <c r="AB78" s="19">
        <f>IF(OR($Z78="",$Z78=6),"",WORKDAY($AA78,CHOOSE($Z78,3,3,2,2,3),Holidays))</f>
        <v/>
      </c>
      <c r="AC78" s="17">
        <f>IF(OR($Z78="",$Z78=6),"",CHOOSE($Z78,"1st Email Follow-up","2nd Email Follow-up","Escalate Local Office","Escalate to CBE","Escalate to Roxanne"))</f>
        <v/>
      </c>
    </row>
    <row r="79" spans="13:29">
      <c r="M79" s="14"/>
      <c r="T79" s="16"/>
      <c r="U79" s="17">
        <f>IF(AND(COUNTA($A79:$L79)=0,$N79=""),"",IF($T79="Paid","PAID",IF($T79="Closed","CLOSED",IF($Z79="","",IF($Z79=6,"ESCALATED TO ROXANNE",IF(TODAY()&gt;$AB79,"OVERDUE",IF($AB79&lt;=WORKDAY(TODAY(),1,Holidays),"DUE TOMORROW",IF($Z79=4,"ESCALATED TO LOCAL OFFICE",IF($Z79=5,"ESCALATED TO CBE",IF($AA79=TODAY(),"EMAIL SENT","MONITORING"))))))))))</f>
        <v/>
      </c>
      <c r="V79" s="17">
        <f>IF($U79="",IF(AND(COUNTA($A79:$L79)&gt;0,$N79=""),"Awaiting Collection Email time stamp.",""),IF(OR($U79="PAID",$U79="CLOSED"),IF($U79="PAID","Account paid. Action completed.","Account closed. No further action required."),CHOOSE($Z79,"Collection Email","1st Email Follow-up","2nd Email Follow-up","Escalation to Local Office","Escalation to CBE","Escalation to Roxanne")&amp;" sent "&amp;TEXT($AA79,"dd-mmm")&amp;". "&amp;IF($Z79=6,"Final escalation completed.",IF($U79="OVERDUE","Next: "&amp;$AC79&amp;" was due "&amp;TEXT($AB79,"dd-mmm")&amp;" - "&amp;(NETWORKDAYS($AB79,TODAY(),Holidays)-1)&amp;" business day(s) late. Send now.",IF($U79="DUE TOMORROW","Next: "&amp;$AC79&amp;IF($AB79&lt;=TODAY()," is due TODAY ("," is due next business day (")&amp;TEXT($AB79,"dd-mmm")&amp;").","Next: "&amp;$AC79&amp;" due "&amp;TEXT($AB79,"dd-mmm")&amp;" ("&amp;(NETWORKDAYS(TODAY(),$AB79,Holidays)-1)&amp;" business day(s) left).")))))</f>
        <v/>
      </c>
      <c r="W79" s="17">
        <f>IF($Z79="","",CHOOSE($Z79,"Collection Email","1st Follow-up","2nd Follow-up","Local Office","CBE","Roxanne")&amp;IF($Z79=6," - Final"," - Day "&amp;MAX(0,NETWORKDAYS($AA79,TODAY(),Holidays)-1)&amp;" of "&amp;CHOOSE($Z79,3,3,2,2,3))&amp;" | Total Day "&amp;MAX(0,NETWORKDAYS($N79,TODAY(),Holidays)-1))</f>
        <v/>
      </c>
      <c r="X79" s="18"/>
      <c r="Y79" s="18"/>
      <c r="Z79" s="17">
        <f>IF($N79="","",COUNT($N79:$S79))</f>
        <v/>
      </c>
      <c r="AA79" s="19">
        <f>IF($Z79="","",INT(INDEX($N79:$S79,$Z79)))</f>
        <v/>
      </c>
      <c r="AB79" s="19">
        <f>IF(OR($Z79="",$Z79=6),"",WORKDAY($AA79,CHOOSE($Z79,3,3,2,2,3),Holidays))</f>
        <v/>
      </c>
      <c r="AC79" s="17">
        <f>IF(OR($Z79="",$Z79=6),"",CHOOSE($Z79,"1st Email Follow-up","2nd Email Follow-up","Escalate Local Office","Escalate to CBE","Escalate to Roxanne"))</f>
        <v/>
      </c>
    </row>
    <row r="80" spans="13:29">
      <c r="M80" s="14"/>
      <c r="T80" s="16"/>
      <c r="U80" s="17">
        <f>IF(AND(COUNTA($A80:$L80)=0,$N80=""),"",IF($T80="Paid","PAID",IF($T80="Closed","CLOSED",IF($Z80="","",IF($Z80=6,"ESCALATED TO ROXANNE",IF(TODAY()&gt;$AB80,"OVERDUE",IF($AB80&lt;=WORKDAY(TODAY(),1,Holidays),"DUE TOMORROW",IF($Z80=4,"ESCALATED TO LOCAL OFFICE",IF($Z80=5,"ESCALATED TO CBE",IF($AA80=TODAY(),"EMAIL SENT","MONITORING"))))))))))</f>
        <v/>
      </c>
      <c r="V80" s="17">
        <f>IF($U80="",IF(AND(COUNTA($A80:$L80)&gt;0,$N80=""),"Awaiting Collection Email time stamp.",""),IF(OR($U80="PAID",$U80="CLOSED"),IF($U80="PAID","Account paid. Action completed.","Account closed. No further action required."),CHOOSE($Z80,"Collection Email","1st Email Follow-up","2nd Email Follow-up","Escalation to Local Office","Escalation to CBE","Escalation to Roxanne")&amp;" sent "&amp;TEXT($AA80,"dd-mmm")&amp;". "&amp;IF($Z80=6,"Final escalation completed.",IF($U80="OVERDUE","Next: "&amp;$AC80&amp;" was due "&amp;TEXT($AB80,"dd-mmm")&amp;" - "&amp;(NETWORKDAYS($AB80,TODAY(),Holidays)-1)&amp;" business day(s) late. Send now.",IF($U80="DUE TOMORROW","Next: "&amp;$AC80&amp;IF($AB80&lt;=TODAY()," is due TODAY ("," is due next business day (")&amp;TEXT($AB80,"dd-mmm")&amp;").","Next: "&amp;$AC80&amp;" due "&amp;TEXT($AB80,"dd-mmm")&amp;" ("&amp;(NETWORKDAYS(TODAY(),$AB80,Holidays)-1)&amp;" business day(s) left).")))))</f>
        <v/>
      </c>
      <c r="W80" s="17">
        <f>IF($Z80="","",CHOOSE($Z80,"Collection Email","1st Follow-up","2nd Follow-up","Local Office","CBE","Roxanne")&amp;IF($Z80=6," - Final"," - Day "&amp;MAX(0,NETWORKDAYS($AA80,TODAY(),Holidays)-1)&amp;" of "&amp;CHOOSE($Z80,3,3,2,2,3))&amp;" | Total Day "&amp;MAX(0,NETWORKDAYS($N80,TODAY(),Holidays)-1))</f>
        <v/>
      </c>
      <c r="X80" s="18"/>
      <c r="Y80" s="18"/>
      <c r="Z80" s="17">
        <f>IF($N80="","",COUNT($N80:$S80))</f>
        <v/>
      </c>
      <c r="AA80" s="19">
        <f>IF($Z80="","",INT(INDEX($N80:$S80,$Z80)))</f>
        <v/>
      </c>
      <c r="AB80" s="19">
        <f>IF(OR($Z80="",$Z80=6),"",WORKDAY($AA80,CHOOSE($Z80,3,3,2,2,3),Holidays))</f>
        <v/>
      </c>
      <c r="AC80" s="17">
        <f>IF(OR($Z80="",$Z80=6),"",CHOOSE($Z80,"1st Email Follow-up","2nd Email Follow-up","Escalate Local Office","Escalate to CBE","Escalate to Roxanne"))</f>
        <v/>
      </c>
    </row>
    <row r="81" spans="13:29">
      <c r="M81" s="14"/>
      <c r="T81" s="16"/>
      <c r="U81" s="17">
        <f>IF(AND(COUNTA($A81:$L81)=0,$N81=""),"",IF($T81="Paid","PAID",IF($T81="Closed","CLOSED",IF($Z81="","",IF($Z81=6,"ESCALATED TO ROXANNE",IF(TODAY()&gt;$AB81,"OVERDUE",IF($AB81&lt;=WORKDAY(TODAY(),1,Holidays),"DUE TOMORROW",IF($Z81=4,"ESCALATED TO LOCAL OFFICE",IF($Z81=5,"ESCALATED TO CBE",IF($AA81=TODAY(),"EMAIL SENT","MONITORING"))))))))))</f>
        <v/>
      </c>
      <c r="V81" s="17">
        <f>IF($U81="",IF(AND(COUNTA($A81:$L81)&gt;0,$N81=""),"Awaiting Collection Email time stamp.",""),IF(OR($U81="PAID",$U81="CLOSED"),IF($U81="PAID","Account paid. Action completed.","Account closed. No further action required."),CHOOSE($Z81,"Collection Email","1st Email Follow-up","2nd Email Follow-up","Escalation to Local Office","Escalation to CBE","Escalation to Roxanne")&amp;" sent "&amp;TEXT($AA81,"dd-mmm")&amp;". "&amp;IF($Z81=6,"Final escalation completed.",IF($U81="OVERDUE","Next: "&amp;$AC81&amp;" was due "&amp;TEXT($AB81,"dd-mmm")&amp;" - "&amp;(NETWORKDAYS($AB81,TODAY(),Holidays)-1)&amp;" business day(s) late. Send now.",IF($U81="DUE TOMORROW","Next: "&amp;$AC81&amp;IF($AB81&lt;=TODAY()," is due TODAY ("," is due next business day (")&amp;TEXT($AB81,"dd-mmm")&amp;").","Next: "&amp;$AC81&amp;" due "&amp;TEXT($AB81,"dd-mmm")&amp;" ("&amp;(NETWORKDAYS(TODAY(),$AB81,Holidays)-1)&amp;" business day(s) left).")))))</f>
        <v/>
      </c>
      <c r="W81" s="17">
        <f>IF($Z81="","",CHOOSE($Z81,"Collection Email","1st Follow-up","2nd Follow-up","Local Office","CBE","Roxanne")&amp;IF($Z81=6," - Final"," - Day "&amp;MAX(0,NETWORKDAYS($AA81,TODAY(),Holidays)-1)&amp;" of "&amp;CHOOSE($Z81,3,3,2,2,3))&amp;" | Total Day "&amp;MAX(0,NETWORKDAYS($N81,TODAY(),Holidays)-1))</f>
        <v/>
      </c>
      <c r="X81" s="18"/>
      <c r="Y81" s="18"/>
      <c r="Z81" s="17">
        <f>IF($N81="","",COUNT($N81:$S81))</f>
        <v/>
      </c>
      <c r="AA81" s="19">
        <f>IF($Z81="","",INT(INDEX($N81:$S81,$Z81)))</f>
        <v/>
      </c>
      <c r="AB81" s="19">
        <f>IF(OR($Z81="",$Z81=6),"",WORKDAY($AA81,CHOOSE($Z81,3,3,2,2,3),Holidays))</f>
        <v/>
      </c>
      <c r="AC81" s="17">
        <f>IF(OR($Z81="",$Z81=6),"",CHOOSE($Z81,"1st Email Follow-up","2nd Email Follow-up","Escalate Local Office","Escalate to CBE","Escalate to Roxanne"))</f>
        <v/>
      </c>
    </row>
    <row r="82" spans="13:29">
      <c r="M82" s="14"/>
      <c r="T82" s="16"/>
      <c r="U82" s="17">
        <f>IF(AND(COUNTA($A82:$L82)=0,$N82=""),"",IF($T82="Paid","PAID",IF($T82="Closed","CLOSED",IF($Z82="","",IF($Z82=6,"ESCALATED TO ROXANNE",IF(TODAY()&gt;$AB82,"OVERDUE",IF($AB82&lt;=WORKDAY(TODAY(),1,Holidays),"DUE TOMORROW",IF($Z82=4,"ESCALATED TO LOCAL OFFICE",IF($Z82=5,"ESCALATED TO CBE",IF($AA82=TODAY(),"EMAIL SENT","MONITORING"))))))))))</f>
        <v/>
      </c>
      <c r="V82" s="17">
        <f>IF($U82="",IF(AND(COUNTA($A82:$L82)&gt;0,$N82=""),"Awaiting Collection Email time stamp.",""),IF(OR($U82="PAID",$U82="CLOSED"),IF($U82="PAID","Account paid. Action completed.","Account closed. No further action required."),CHOOSE($Z82,"Collection Email","1st Email Follow-up","2nd Email Follow-up","Escalation to Local Office","Escalation to CBE","Escalation to Roxanne")&amp;" sent "&amp;TEXT($AA82,"dd-mmm")&amp;". "&amp;IF($Z82=6,"Final escalation completed.",IF($U82="OVERDUE","Next: "&amp;$AC82&amp;" was due "&amp;TEXT($AB82,"dd-mmm")&amp;" - "&amp;(NETWORKDAYS($AB82,TODAY(),Holidays)-1)&amp;" business day(s) late. Send now.",IF($U82="DUE TOMORROW","Next: "&amp;$AC82&amp;IF($AB82&lt;=TODAY()," is due TODAY ("," is due next business day (")&amp;TEXT($AB82,"dd-mmm")&amp;").","Next: "&amp;$AC82&amp;" due "&amp;TEXT($AB82,"dd-mmm")&amp;" ("&amp;(NETWORKDAYS(TODAY(),$AB82,Holidays)-1)&amp;" business day(s) left).")))))</f>
        <v/>
      </c>
      <c r="W82" s="17">
        <f>IF($Z82="","",CHOOSE($Z82,"Collection Email","1st Follow-up","2nd Follow-up","Local Office","CBE","Roxanne")&amp;IF($Z82=6," - Final"," - Day "&amp;MAX(0,NETWORKDAYS($AA82,TODAY(),Holidays)-1)&amp;" of "&amp;CHOOSE($Z82,3,3,2,2,3))&amp;" | Total Day "&amp;MAX(0,NETWORKDAYS($N82,TODAY(),Holidays)-1))</f>
        <v/>
      </c>
      <c r="X82" s="18"/>
      <c r="Y82" s="18"/>
      <c r="Z82" s="17">
        <f>IF($N82="","",COUNT($N82:$S82))</f>
        <v/>
      </c>
      <c r="AA82" s="19">
        <f>IF($Z82="","",INT(INDEX($N82:$S82,$Z82)))</f>
        <v/>
      </c>
      <c r="AB82" s="19">
        <f>IF(OR($Z82="",$Z82=6),"",WORKDAY($AA82,CHOOSE($Z82,3,3,2,2,3),Holidays))</f>
        <v/>
      </c>
      <c r="AC82" s="17">
        <f>IF(OR($Z82="",$Z82=6),"",CHOOSE($Z82,"1st Email Follow-up","2nd Email Follow-up","Escalate Local Office","Escalate to CBE","Escalate to Roxanne"))</f>
        <v/>
      </c>
    </row>
    <row r="83" spans="13:29">
      <c r="M83" s="14"/>
      <c r="T83" s="16"/>
      <c r="U83" s="17">
        <f>IF(AND(COUNTA($A83:$L83)=0,$N83=""),"",IF($T83="Paid","PAID",IF($T83="Closed","CLOSED",IF($Z83="","",IF($Z83=6,"ESCALATED TO ROXANNE",IF(TODAY()&gt;$AB83,"OVERDUE",IF($AB83&lt;=WORKDAY(TODAY(),1,Holidays),"DUE TOMORROW",IF($Z83=4,"ESCALATED TO LOCAL OFFICE",IF($Z83=5,"ESCALATED TO CBE",IF($AA83=TODAY(),"EMAIL SENT","MONITORING"))))))))))</f>
        <v/>
      </c>
      <c r="V83" s="17">
        <f>IF($U83="",IF(AND(COUNTA($A83:$L83)&gt;0,$N83=""),"Awaiting Collection Email time stamp.",""),IF(OR($U83="PAID",$U83="CLOSED"),IF($U83="PAID","Account paid. Action completed.","Account closed. No further action required."),CHOOSE($Z83,"Collection Email","1st Email Follow-up","2nd Email Follow-up","Escalation to Local Office","Escalation to CBE","Escalation to Roxanne")&amp;" sent "&amp;TEXT($AA83,"dd-mmm")&amp;". "&amp;IF($Z83=6,"Final escalation completed.",IF($U83="OVERDUE","Next: "&amp;$AC83&amp;" was due "&amp;TEXT($AB83,"dd-mmm")&amp;" - "&amp;(NETWORKDAYS($AB83,TODAY(),Holidays)-1)&amp;" business day(s) late. Send now.",IF($U83="DUE TOMORROW","Next: "&amp;$AC83&amp;IF($AB83&lt;=TODAY()," is due TODAY ("," is due next business day (")&amp;TEXT($AB83,"dd-mmm")&amp;").","Next: "&amp;$AC83&amp;" due "&amp;TEXT($AB83,"dd-mmm")&amp;" ("&amp;(NETWORKDAYS(TODAY(),$AB83,Holidays)-1)&amp;" business day(s) left).")))))</f>
        <v/>
      </c>
      <c r="W83" s="17">
        <f>IF($Z83="","",CHOOSE($Z83,"Collection Email","1st Follow-up","2nd Follow-up","Local Office","CBE","Roxanne")&amp;IF($Z83=6," - Final"," - Day "&amp;MAX(0,NETWORKDAYS($AA83,TODAY(),Holidays)-1)&amp;" of "&amp;CHOOSE($Z83,3,3,2,2,3))&amp;" | Total Day "&amp;MAX(0,NETWORKDAYS($N83,TODAY(),Holidays)-1))</f>
        <v/>
      </c>
      <c r="X83" s="18"/>
      <c r="Y83" s="18"/>
      <c r="Z83" s="17">
        <f>IF($N83="","",COUNT($N83:$S83))</f>
        <v/>
      </c>
      <c r="AA83" s="19">
        <f>IF($Z83="","",INT(INDEX($N83:$S83,$Z83)))</f>
        <v/>
      </c>
      <c r="AB83" s="19">
        <f>IF(OR($Z83="",$Z83=6),"",WORKDAY($AA83,CHOOSE($Z83,3,3,2,2,3),Holidays))</f>
        <v/>
      </c>
      <c r="AC83" s="17">
        <f>IF(OR($Z83="",$Z83=6),"",CHOOSE($Z83,"1st Email Follow-up","2nd Email Follow-up","Escalate Local Office","Escalate to CBE","Escalate to Roxanne"))</f>
        <v/>
      </c>
    </row>
    <row r="84" spans="13:29">
      <c r="M84" s="14"/>
      <c r="T84" s="16"/>
      <c r="U84" s="17">
        <f>IF(AND(COUNTA($A84:$L84)=0,$N84=""),"",IF($T84="Paid","PAID",IF($T84="Closed","CLOSED",IF($Z84="","",IF($Z84=6,"ESCALATED TO ROXANNE",IF(TODAY()&gt;$AB84,"OVERDUE",IF($AB84&lt;=WORKDAY(TODAY(),1,Holidays),"DUE TOMORROW",IF($Z84=4,"ESCALATED TO LOCAL OFFICE",IF($Z84=5,"ESCALATED TO CBE",IF($AA84=TODAY(),"EMAIL SENT","MONITORING"))))))))))</f>
        <v/>
      </c>
      <c r="V84" s="17">
        <f>IF($U84="",IF(AND(COUNTA($A84:$L84)&gt;0,$N84=""),"Awaiting Collection Email time stamp.",""),IF(OR($U84="PAID",$U84="CLOSED"),IF($U84="PAID","Account paid. Action completed.","Account closed. No further action required."),CHOOSE($Z84,"Collection Email","1st Email Follow-up","2nd Email Follow-up","Escalation to Local Office","Escalation to CBE","Escalation to Roxanne")&amp;" sent "&amp;TEXT($AA84,"dd-mmm")&amp;". "&amp;IF($Z84=6,"Final escalation completed.",IF($U84="OVERDUE","Next: "&amp;$AC84&amp;" was due "&amp;TEXT($AB84,"dd-mmm")&amp;" - "&amp;(NETWORKDAYS($AB84,TODAY(),Holidays)-1)&amp;" business day(s) late. Send now.",IF($U84="DUE TOMORROW","Next: "&amp;$AC84&amp;IF($AB84&lt;=TODAY()," is due TODAY ("," is due next business day (")&amp;TEXT($AB84,"dd-mmm")&amp;").","Next: "&amp;$AC84&amp;" due "&amp;TEXT($AB84,"dd-mmm")&amp;" ("&amp;(NETWORKDAYS(TODAY(),$AB84,Holidays)-1)&amp;" business day(s) left).")))))</f>
        <v/>
      </c>
      <c r="W84" s="17">
        <f>IF($Z84="","",CHOOSE($Z84,"Collection Email","1st Follow-up","2nd Follow-up","Local Office","CBE","Roxanne")&amp;IF($Z84=6," - Final"," - Day "&amp;MAX(0,NETWORKDAYS($AA84,TODAY(),Holidays)-1)&amp;" of "&amp;CHOOSE($Z84,3,3,2,2,3))&amp;" | Total Day "&amp;MAX(0,NETWORKDAYS($N84,TODAY(),Holidays)-1))</f>
        <v/>
      </c>
      <c r="X84" s="18"/>
      <c r="Y84" s="18"/>
      <c r="Z84" s="17">
        <f>IF($N84="","",COUNT($N84:$S84))</f>
        <v/>
      </c>
      <c r="AA84" s="19">
        <f>IF($Z84="","",INT(INDEX($N84:$S84,$Z84)))</f>
        <v/>
      </c>
      <c r="AB84" s="19">
        <f>IF(OR($Z84="",$Z84=6),"",WORKDAY($AA84,CHOOSE($Z84,3,3,2,2,3),Holidays))</f>
        <v/>
      </c>
      <c r="AC84" s="17">
        <f>IF(OR($Z84="",$Z84=6),"",CHOOSE($Z84,"1st Email Follow-up","2nd Email Follow-up","Escalate Local Office","Escalate to CBE","Escalate to Roxanne"))</f>
        <v/>
      </c>
    </row>
    <row r="85" spans="13:29">
      <c r="M85" s="14"/>
      <c r="T85" s="16"/>
      <c r="U85" s="17">
        <f>IF(AND(COUNTA($A85:$L85)=0,$N85=""),"",IF($T85="Paid","PAID",IF($T85="Closed","CLOSED",IF($Z85="","",IF($Z85=6,"ESCALATED TO ROXANNE",IF(TODAY()&gt;$AB85,"OVERDUE",IF($AB85&lt;=WORKDAY(TODAY(),1,Holidays),"DUE TOMORROW",IF($Z85=4,"ESCALATED TO LOCAL OFFICE",IF($Z85=5,"ESCALATED TO CBE",IF($AA85=TODAY(),"EMAIL SENT","MONITORING"))))))))))</f>
        <v/>
      </c>
      <c r="V85" s="17">
        <f>IF($U85="",IF(AND(COUNTA($A85:$L85)&gt;0,$N85=""),"Awaiting Collection Email time stamp.",""),IF(OR($U85="PAID",$U85="CLOSED"),IF($U85="PAID","Account paid. Action completed.","Account closed. No further action required."),CHOOSE($Z85,"Collection Email","1st Email Follow-up","2nd Email Follow-up","Escalation to Local Office","Escalation to CBE","Escalation to Roxanne")&amp;" sent "&amp;TEXT($AA85,"dd-mmm")&amp;". "&amp;IF($Z85=6,"Final escalation completed.",IF($U85="OVERDUE","Next: "&amp;$AC85&amp;" was due "&amp;TEXT($AB85,"dd-mmm")&amp;" - "&amp;(NETWORKDAYS($AB85,TODAY(),Holidays)-1)&amp;" business day(s) late. Send now.",IF($U85="DUE TOMORROW","Next: "&amp;$AC85&amp;IF($AB85&lt;=TODAY()," is due TODAY ("," is due next business day (")&amp;TEXT($AB85,"dd-mmm")&amp;").","Next: "&amp;$AC85&amp;" due "&amp;TEXT($AB85,"dd-mmm")&amp;" ("&amp;(NETWORKDAYS(TODAY(),$AB85,Holidays)-1)&amp;" business day(s) left).")))))</f>
        <v/>
      </c>
      <c r="W85" s="17">
        <f>IF($Z85="","",CHOOSE($Z85,"Collection Email","1st Follow-up","2nd Follow-up","Local Office","CBE","Roxanne")&amp;IF($Z85=6," - Final"," - Day "&amp;MAX(0,NETWORKDAYS($AA85,TODAY(),Holidays)-1)&amp;" of "&amp;CHOOSE($Z85,3,3,2,2,3))&amp;" | Total Day "&amp;MAX(0,NETWORKDAYS($N85,TODAY(),Holidays)-1))</f>
        <v/>
      </c>
      <c r="X85" s="18"/>
      <c r="Y85" s="18"/>
      <c r="Z85" s="17">
        <f>IF($N85="","",COUNT($N85:$S85))</f>
        <v/>
      </c>
      <c r="AA85" s="19">
        <f>IF($Z85="","",INT(INDEX($N85:$S85,$Z85)))</f>
        <v/>
      </c>
      <c r="AB85" s="19">
        <f>IF(OR($Z85="",$Z85=6),"",WORKDAY($AA85,CHOOSE($Z85,3,3,2,2,3),Holidays))</f>
        <v/>
      </c>
      <c r="AC85" s="17">
        <f>IF(OR($Z85="",$Z85=6),"",CHOOSE($Z85,"1st Email Follow-up","2nd Email Follow-up","Escalate Local Office","Escalate to CBE","Escalate to Roxanne"))</f>
        <v/>
      </c>
    </row>
    <row r="86" spans="13:29">
      <c r="M86" s="14"/>
      <c r="T86" s="16"/>
      <c r="U86" s="17">
        <f>IF(AND(COUNTA($A86:$L86)=0,$N86=""),"",IF($T86="Paid","PAID",IF($T86="Closed","CLOSED",IF($Z86="","",IF($Z86=6,"ESCALATED TO ROXANNE",IF(TODAY()&gt;$AB86,"OVERDUE",IF($AB86&lt;=WORKDAY(TODAY(),1,Holidays),"DUE TOMORROW",IF($Z86=4,"ESCALATED TO LOCAL OFFICE",IF($Z86=5,"ESCALATED TO CBE",IF($AA86=TODAY(),"EMAIL SENT","MONITORING"))))))))))</f>
        <v/>
      </c>
      <c r="V86" s="17">
        <f>IF($U86="",IF(AND(COUNTA($A86:$L86)&gt;0,$N86=""),"Awaiting Collection Email time stamp.",""),IF(OR($U86="PAID",$U86="CLOSED"),IF($U86="PAID","Account paid. Action completed.","Account closed. No further action required."),CHOOSE($Z86,"Collection Email","1st Email Follow-up","2nd Email Follow-up","Escalation to Local Office","Escalation to CBE","Escalation to Roxanne")&amp;" sent "&amp;TEXT($AA86,"dd-mmm")&amp;". "&amp;IF($Z86=6,"Final escalation completed.",IF($U86="OVERDUE","Next: "&amp;$AC86&amp;" was due "&amp;TEXT($AB86,"dd-mmm")&amp;" - "&amp;(NETWORKDAYS($AB86,TODAY(),Holidays)-1)&amp;" business day(s) late. Send now.",IF($U86="DUE TOMORROW","Next: "&amp;$AC86&amp;IF($AB86&lt;=TODAY()," is due TODAY ("," is due next business day (")&amp;TEXT($AB86,"dd-mmm")&amp;").","Next: "&amp;$AC86&amp;" due "&amp;TEXT($AB86,"dd-mmm")&amp;" ("&amp;(NETWORKDAYS(TODAY(),$AB86,Holidays)-1)&amp;" business day(s) left).")))))</f>
        <v/>
      </c>
      <c r="W86" s="17">
        <f>IF($Z86="","",CHOOSE($Z86,"Collection Email","1st Follow-up","2nd Follow-up","Local Office","CBE","Roxanne")&amp;IF($Z86=6," - Final"," - Day "&amp;MAX(0,NETWORKDAYS($AA86,TODAY(),Holidays)-1)&amp;" of "&amp;CHOOSE($Z86,3,3,2,2,3))&amp;" | Total Day "&amp;MAX(0,NETWORKDAYS($N86,TODAY(),Holidays)-1))</f>
        <v/>
      </c>
      <c r="X86" s="18"/>
      <c r="Y86" s="18"/>
      <c r="Z86" s="17">
        <f>IF($N86="","",COUNT($N86:$S86))</f>
        <v/>
      </c>
      <c r="AA86" s="19">
        <f>IF($Z86="","",INT(INDEX($N86:$S86,$Z86)))</f>
        <v/>
      </c>
      <c r="AB86" s="19">
        <f>IF(OR($Z86="",$Z86=6),"",WORKDAY($AA86,CHOOSE($Z86,3,3,2,2,3),Holidays))</f>
        <v/>
      </c>
      <c r="AC86" s="17">
        <f>IF(OR($Z86="",$Z86=6),"",CHOOSE($Z86,"1st Email Follow-up","2nd Email Follow-up","Escalate Local Office","Escalate to CBE","Escalate to Roxanne"))</f>
        <v/>
      </c>
    </row>
    <row r="87" spans="13:29">
      <c r="M87" s="14"/>
      <c r="T87" s="16"/>
      <c r="U87" s="17">
        <f>IF(AND(COUNTA($A87:$L87)=0,$N87=""),"",IF($T87="Paid","PAID",IF($T87="Closed","CLOSED",IF($Z87="","",IF($Z87=6,"ESCALATED TO ROXANNE",IF(TODAY()&gt;$AB87,"OVERDUE",IF($AB87&lt;=WORKDAY(TODAY(),1,Holidays),"DUE TOMORROW",IF($Z87=4,"ESCALATED TO LOCAL OFFICE",IF($Z87=5,"ESCALATED TO CBE",IF($AA87=TODAY(),"EMAIL SENT","MONITORING"))))))))))</f>
        <v/>
      </c>
      <c r="V87" s="17">
        <f>IF($U87="",IF(AND(COUNTA($A87:$L87)&gt;0,$N87=""),"Awaiting Collection Email time stamp.",""),IF(OR($U87="PAID",$U87="CLOSED"),IF($U87="PAID","Account paid. Action completed.","Account closed. No further action required."),CHOOSE($Z87,"Collection Email","1st Email Follow-up","2nd Email Follow-up","Escalation to Local Office","Escalation to CBE","Escalation to Roxanne")&amp;" sent "&amp;TEXT($AA87,"dd-mmm")&amp;". "&amp;IF($Z87=6,"Final escalation completed.",IF($U87="OVERDUE","Next: "&amp;$AC87&amp;" was due "&amp;TEXT($AB87,"dd-mmm")&amp;" - "&amp;(NETWORKDAYS($AB87,TODAY(),Holidays)-1)&amp;" business day(s) late. Send now.",IF($U87="DUE TOMORROW","Next: "&amp;$AC87&amp;IF($AB87&lt;=TODAY()," is due TODAY ("," is due next business day (")&amp;TEXT($AB87,"dd-mmm")&amp;").","Next: "&amp;$AC87&amp;" due "&amp;TEXT($AB87,"dd-mmm")&amp;" ("&amp;(NETWORKDAYS(TODAY(),$AB87,Holidays)-1)&amp;" business day(s) left).")))))</f>
        <v/>
      </c>
      <c r="W87" s="17">
        <f>IF($Z87="","",CHOOSE($Z87,"Collection Email","1st Follow-up","2nd Follow-up","Local Office","CBE","Roxanne")&amp;IF($Z87=6," - Final"," - Day "&amp;MAX(0,NETWORKDAYS($AA87,TODAY(),Holidays)-1)&amp;" of "&amp;CHOOSE($Z87,3,3,2,2,3))&amp;" | Total Day "&amp;MAX(0,NETWORKDAYS($N87,TODAY(),Holidays)-1))</f>
        <v/>
      </c>
      <c r="X87" s="18"/>
      <c r="Y87" s="18"/>
      <c r="Z87" s="17">
        <f>IF($N87="","",COUNT($N87:$S87))</f>
        <v/>
      </c>
      <c r="AA87" s="19">
        <f>IF($Z87="","",INT(INDEX($N87:$S87,$Z87)))</f>
        <v/>
      </c>
      <c r="AB87" s="19">
        <f>IF(OR($Z87="",$Z87=6),"",WORKDAY($AA87,CHOOSE($Z87,3,3,2,2,3),Holidays))</f>
        <v/>
      </c>
      <c r="AC87" s="17">
        <f>IF(OR($Z87="",$Z87=6),"",CHOOSE($Z87,"1st Email Follow-up","2nd Email Follow-up","Escalate Local Office","Escalate to CBE","Escalate to Roxanne"))</f>
        <v/>
      </c>
    </row>
    <row r="88" spans="13:29">
      <c r="M88" s="14"/>
      <c r="T88" s="16"/>
      <c r="U88" s="17">
        <f>IF(AND(COUNTA($A88:$L88)=0,$N88=""),"",IF($T88="Paid","PAID",IF($T88="Closed","CLOSED",IF($Z88="","",IF($Z88=6,"ESCALATED TO ROXANNE",IF(TODAY()&gt;$AB88,"OVERDUE",IF($AB88&lt;=WORKDAY(TODAY(),1,Holidays),"DUE TOMORROW",IF($Z88=4,"ESCALATED TO LOCAL OFFICE",IF($Z88=5,"ESCALATED TO CBE",IF($AA88=TODAY(),"EMAIL SENT","MONITORING"))))))))))</f>
        <v/>
      </c>
      <c r="V88" s="17">
        <f>IF($U88="",IF(AND(COUNTA($A88:$L88)&gt;0,$N88=""),"Awaiting Collection Email time stamp.",""),IF(OR($U88="PAID",$U88="CLOSED"),IF($U88="PAID","Account paid. Action completed.","Account closed. No further action required."),CHOOSE($Z88,"Collection Email","1st Email Follow-up","2nd Email Follow-up","Escalation to Local Office","Escalation to CBE","Escalation to Roxanne")&amp;" sent "&amp;TEXT($AA88,"dd-mmm")&amp;". "&amp;IF($Z88=6,"Final escalation completed.",IF($U88="OVERDUE","Next: "&amp;$AC88&amp;" was due "&amp;TEXT($AB88,"dd-mmm")&amp;" - "&amp;(NETWORKDAYS($AB88,TODAY(),Holidays)-1)&amp;" business day(s) late. Send now.",IF($U88="DUE TOMORROW","Next: "&amp;$AC88&amp;IF($AB88&lt;=TODAY()," is due TODAY ("," is due next business day (")&amp;TEXT($AB88,"dd-mmm")&amp;").","Next: "&amp;$AC88&amp;" due "&amp;TEXT($AB88,"dd-mmm")&amp;" ("&amp;(NETWORKDAYS(TODAY(),$AB88,Holidays)-1)&amp;" business day(s) left).")))))</f>
        <v/>
      </c>
      <c r="W88" s="17">
        <f>IF($Z88="","",CHOOSE($Z88,"Collection Email","1st Follow-up","2nd Follow-up","Local Office","CBE","Roxanne")&amp;IF($Z88=6," - Final"," - Day "&amp;MAX(0,NETWORKDAYS($AA88,TODAY(),Holidays)-1)&amp;" of "&amp;CHOOSE($Z88,3,3,2,2,3))&amp;" | Total Day "&amp;MAX(0,NETWORKDAYS($N88,TODAY(),Holidays)-1))</f>
        <v/>
      </c>
      <c r="X88" s="18"/>
      <c r="Y88" s="18"/>
      <c r="Z88" s="17">
        <f>IF($N88="","",COUNT($N88:$S88))</f>
        <v/>
      </c>
      <c r="AA88" s="19">
        <f>IF($Z88="","",INT(INDEX($N88:$S88,$Z88)))</f>
        <v/>
      </c>
      <c r="AB88" s="19">
        <f>IF(OR($Z88="",$Z88=6),"",WORKDAY($AA88,CHOOSE($Z88,3,3,2,2,3),Holidays))</f>
        <v/>
      </c>
      <c r="AC88" s="17">
        <f>IF(OR($Z88="",$Z88=6),"",CHOOSE($Z88,"1st Email Follow-up","2nd Email Follow-up","Escalate Local Office","Escalate to CBE","Escalate to Roxanne"))</f>
        <v/>
      </c>
    </row>
    <row r="89" spans="13:29">
      <c r="M89" s="14"/>
      <c r="T89" s="16"/>
      <c r="U89" s="17">
        <f>IF(AND(COUNTA($A89:$L89)=0,$N89=""),"",IF($T89="Paid","PAID",IF($T89="Closed","CLOSED",IF($Z89="","",IF($Z89=6,"ESCALATED TO ROXANNE",IF(TODAY()&gt;$AB89,"OVERDUE",IF($AB89&lt;=WORKDAY(TODAY(),1,Holidays),"DUE TOMORROW",IF($Z89=4,"ESCALATED TO LOCAL OFFICE",IF($Z89=5,"ESCALATED TO CBE",IF($AA89=TODAY(),"EMAIL SENT","MONITORING"))))))))))</f>
        <v/>
      </c>
      <c r="V89" s="17">
        <f>IF($U89="",IF(AND(COUNTA($A89:$L89)&gt;0,$N89=""),"Awaiting Collection Email time stamp.",""),IF(OR($U89="PAID",$U89="CLOSED"),IF($U89="PAID","Account paid. Action completed.","Account closed. No further action required."),CHOOSE($Z89,"Collection Email","1st Email Follow-up","2nd Email Follow-up","Escalation to Local Office","Escalation to CBE","Escalation to Roxanne")&amp;" sent "&amp;TEXT($AA89,"dd-mmm")&amp;". "&amp;IF($Z89=6,"Final escalation completed.",IF($U89="OVERDUE","Next: "&amp;$AC89&amp;" was due "&amp;TEXT($AB89,"dd-mmm")&amp;" - "&amp;(NETWORKDAYS($AB89,TODAY(),Holidays)-1)&amp;" business day(s) late. Send now.",IF($U89="DUE TOMORROW","Next: "&amp;$AC89&amp;IF($AB89&lt;=TODAY()," is due TODAY ("," is due next business day (")&amp;TEXT($AB89,"dd-mmm")&amp;").","Next: "&amp;$AC89&amp;" due "&amp;TEXT($AB89,"dd-mmm")&amp;" ("&amp;(NETWORKDAYS(TODAY(),$AB89,Holidays)-1)&amp;" business day(s) left).")))))</f>
        <v/>
      </c>
      <c r="W89" s="17">
        <f>IF($Z89="","",CHOOSE($Z89,"Collection Email","1st Follow-up","2nd Follow-up","Local Office","CBE","Roxanne")&amp;IF($Z89=6," - Final"," - Day "&amp;MAX(0,NETWORKDAYS($AA89,TODAY(),Holidays)-1)&amp;" of "&amp;CHOOSE($Z89,3,3,2,2,3))&amp;" | Total Day "&amp;MAX(0,NETWORKDAYS($N89,TODAY(),Holidays)-1))</f>
        <v/>
      </c>
      <c r="X89" s="18"/>
      <c r="Y89" s="18"/>
      <c r="Z89" s="17">
        <f>IF($N89="","",COUNT($N89:$S89))</f>
        <v/>
      </c>
      <c r="AA89" s="19">
        <f>IF($Z89="","",INT(INDEX($N89:$S89,$Z89)))</f>
        <v/>
      </c>
      <c r="AB89" s="19">
        <f>IF(OR($Z89="",$Z89=6),"",WORKDAY($AA89,CHOOSE($Z89,3,3,2,2,3),Holidays))</f>
        <v/>
      </c>
      <c r="AC89" s="17">
        <f>IF(OR($Z89="",$Z89=6),"",CHOOSE($Z89,"1st Email Follow-up","2nd Email Follow-up","Escalate Local Office","Escalate to CBE","Escalate to Roxanne"))</f>
        <v/>
      </c>
    </row>
    <row r="90" spans="13:29">
      <c r="M90" s="14"/>
      <c r="T90" s="16"/>
      <c r="U90" s="17">
        <f>IF(AND(COUNTA($A90:$L90)=0,$N90=""),"",IF($T90="Paid","PAID",IF($T90="Closed","CLOSED",IF($Z90="","",IF($Z90=6,"ESCALATED TO ROXANNE",IF(TODAY()&gt;$AB90,"OVERDUE",IF($AB90&lt;=WORKDAY(TODAY(),1,Holidays),"DUE TOMORROW",IF($Z90=4,"ESCALATED TO LOCAL OFFICE",IF($Z90=5,"ESCALATED TO CBE",IF($AA90=TODAY(),"EMAIL SENT","MONITORING"))))))))))</f>
        <v/>
      </c>
      <c r="V90" s="17">
        <f>IF($U90="",IF(AND(COUNTA($A90:$L90)&gt;0,$N90=""),"Awaiting Collection Email time stamp.",""),IF(OR($U90="PAID",$U90="CLOSED"),IF($U90="PAID","Account paid. Action completed.","Account closed. No further action required."),CHOOSE($Z90,"Collection Email","1st Email Follow-up","2nd Email Follow-up","Escalation to Local Office","Escalation to CBE","Escalation to Roxanne")&amp;" sent "&amp;TEXT($AA90,"dd-mmm")&amp;". "&amp;IF($Z90=6,"Final escalation completed.",IF($U90="OVERDUE","Next: "&amp;$AC90&amp;" was due "&amp;TEXT($AB90,"dd-mmm")&amp;" - "&amp;(NETWORKDAYS($AB90,TODAY(),Holidays)-1)&amp;" business day(s) late. Send now.",IF($U90="DUE TOMORROW","Next: "&amp;$AC90&amp;IF($AB90&lt;=TODAY()," is due TODAY ("," is due next business day (")&amp;TEXT($AB90,"dd-mmm")&amp;").","Next: "&amp;$AC90&amp;" due "&amp;TEXT($AB90,"dd-mmm")&amp;" ("&amp;(NETWORKDAYS(TODAY(),$AB90,Holidays)-1)&amp;" business day(s) left).")))))</f>
        <v/>
      </c>
      <c r="W90" s="17">
        <f>IF($Z90="","",CHOOSE($Z90,"Collection Email","1st Follow-up","2nd Follow-up","Local Office","CBE","Roxanne")&amp;IF($Z90=6," - Final"," - Day "&amp;MAX(0,NETWORKDAYS($AA90,TODAY(),Holidays)-1)&amp;" of "&amp;CHOOSE($Z90,3,3,2,2,3))&amp;" | Total Day "&amp;MAX(0,NETWORKDAYS($N90,TODAY(),Holidays)-1))</f>
        <v/>
      </c>
      <c r="X90" s="18"/>
      <c r="Y90" s="18"/>
      <c r="Z90" s="17">
        <f>IF($N90="","",COUNT($N90:$S90))</f>
        <v/>
      </c>
      <c r="AA90" s="19">
        <f>IF($Z90="","",INT(INDEX($N90:$S90,$Z90)))</f>
        <v/>
      </c>
      <c r="AB90" s="19">
        <f>IF(OR($Z90="",$Z90=6),"",WORKDAY($AA90,CHOOSE($Z90,3,3,2,2,3),Holidays))</f>
        <v/>
      </c>
      <c r="AC90" s="17">
        <f>IF(OR($Z90="",$Z90=6),"",CHOOSE($Z90,"1st Email Follow-up","2nd Email Follow-up","Escalate Local Office","Escalate to CBE","Escalate to Roxanne"))</f>
        <v/>
      </c>
    </row>
    <row r="91" spans="13:29">
      <c r="M91" s="14"/>
      <c r="T91" s="16"/>
      <c r="U91" s="17">
        <f>IF(AND(COUNTA($A91:$L91)=0,$N91=""),"",IF($T91="Paid","PAID",IF($T91="Closed","CLOSED",IF($Z91="","",IF($Z91=6,"ESCALATED TO ROXANNE",IF(TODAY()&gt;$AB91,"OVERDUE",IF($AB91&lt;=WORKDAY(TODAY(),1,Holidays),"DUE TOMORROW",IF($Z91=4,"ESCALATED TO LOCAL OFFICE",IF($Z91=5,"ESCALATED TO CBE",IF($AA91=TODAY(),"EMAIL SENT","MONITORING"))))))))))</f>
        <v/>
      </c>
      <c r="V91" s="17">
        <f>IF($U91="",IF(AND(COUNTA($A91:$L91)&gt;0,$N91=""),"Awaiting Collection Email time stamp.",""),IF(OR($U91="PAID",$U91="CLOSED"),IF($U91="PAID","Account paid. Action completed.","Account closed. No further action required."),CHOOSE($Z91,"Collection Email","1st Email Follow-up","2nd Email Follow-up","Escalation to Local Office","Escalation to CBE","Escalation to Roxanne")&amp;" sent "&amp;TEXT($AA91,"dd-mmm")&amp;". "&amp;IF($Z91=6,"Final escalation completed.",IF($U91="OVERDUE","Next: "&amp;$AC91&amp;" was due "&amp;TEXT($AB91,"dd-mmm")&amp;" - "&amp;(NETWORKDAYS($AB91,TODAY(),Holidays)-1)&amp;" business day(s) late. Send now.",IF($U91="DUE TOMORROW","Next: "&amp;$AC91&amp;IF($AB91&lt;=TODAY()," is due TODAY ("," is due next business day (")&amp;TEXT($AB91,"dd-mmm")&amp;").","Next: "&amp;$AC91&amp;" due "&amp;TEXT($AB91,"dd-mmm")&amp;" ("&amp;(NETWORKDAYS(TODAY(),$AB91,Holidays)-1)&amp;" business day(s) left).")))))</f>
        <v/>
      </c>
      <c r="W91" s="17">
        <f>IF($Z91="","",CHOOSE($Z91,"Collection Email","1st Follow-up","2nd Follow-up","Local Office","CBE","Roxanne")&amp;IF($Z91=6," - Final"," - Day "&amp;MAX(0,NETWORKDAYS($AA91,TODAY(),Holidays)-1)&amp;" of "&amp;CHOOSE($Z91,3,3,2,2,3))&amp;" | Total Day "&amp;MAX(0,NETWORKDAYS($N91,TODAY(),Holidays)-1))</f>
        <v/>
      </c>
      <c r="X91" s="18"/>
      <c r="Y91" s="18"/>
      <c r="Z91" s="17">
        <f>IF($N91="","",COUNT($N91:$S91))</f>
        <v/>
      </c>
      <c r="AA91" s="19">
        <f>IF($Z91="","",INT(INDEX($N91:$S91,$Z91)))</f>
        <v/>
      </c>
      <c r="AB91" s="19">
        <f>IF(OR($Z91="",$Z91=6),"",WORKDAY($AA91,CHOOSE($Z91,3,3,2,2,3),Holidays))</f>
        <v/>
      </c>
      <c r="AC91" s="17">
        <f>IF(OR($Z91="",$Z91=6),"",CHOOSE($Z91,"1st Email Follow-up","2nd Email Follow-up","Escalate Local Office","Escalate to CBE","Escalate to Roxanne"))</f>
        <v/>
      </c>
    </row>
    <row r="92" spans="13:29">
      <c r="M92" s="14"/>
      <c r="T92" s="16"/>
      <c r="U92" s="17">
        <f>IF(AND(COUNTA($A92:$L92)=0,$N92=""),"",IF($T92="Paid","PAID",IF($T92="Closed","CLOSED",IF($Z92="","",IF($Z92=6,"ESCALATED TO ROXANNE",IF(TODAY()&gt;$AB92,"OVERDUE",IF($AB92&lt;=WORKDAY(TODAY(),1,Holidays),"DUE TOMORROW",IF($Z92=4,"ESCALATED TO LOCAL OFFICE",IF($Z92=5,"ESCALATED TO CBE",IF($AA92=TODAY(),"EMAIL SENT","MONITORING"))))))))))</f>
        <v/>
      </c>
      <c r="V92" s="17">
        <f>IF($U92="",IF(AND(COUNTA($A92:$L92)&gt;0,$N92=""),"Awaiting Collection Email time stamp.",""),IF(OR($U92="PAID",$U92="CLOSED"),IF($U92="PAID","Account paid. Action completed.","Account closed. No further action required."),CHOOSE($Z92,"Collection Email","1st Email Follow-up","2nd Email Follow-up","Escalation to Local Office","Escalation to CBE","Escalation to Roxanne")&amp;" sent "&amp;TEXT($AA92,"dd-mmm")&amp;". "&amp;IF($Z92=6,"Final escalation completed.",IF($U92="OVERDUE","Next: "&amp;$AC92&amp;" was due "&amp;TEXT($AB92,"dd-mmm")&amp;" - "&amp;(NETWORKDAYS($AB92,TODAY(),Holidays)-1)&amp;" business day(s) late. Send now.",IF($U92="DUE TOMORROW","Next: "&amp;$AC92&amp;IF($AB92&lt;=TODAY()," is due TODAY ("," is due next business day (")&amp;TEXT($AB92,"dd-mmm")&amp;").","Next: "&amp;$AC92&amp;" due "&amp;TEXT($AB92,"dd-mmm")&amp;" ("&amp;(NETWORKDAYS(TODAY(),$AB92,Holidays)-1)&amp;" business day(s) left).")))))</f>
        <v/>
      </c>
      <c r="W92" s="17">
        <f>IF($Z92="","",CHOOSE($Z92,"Collection Email","1st Follow-up","2nd Follow-up","Local Office","CBE","Roxanne")&amp;IF($Z92=6," - Final"," - Day "&amp;MAX(0,NETWORKDAYS($AA92,TODAY(),Holidays)-1)&amp;" of "&amp;CHOOSE($Z92,3,3,2,2,3))&amp;" | Total Day "&amp;MAX(0,NETWORKDAYS($N92,TODAY(),Holidays)-1))</f>
        <v/>
      </c>
      <c r="X92" s="18"/>
      <c r="Y92" s="18"/>
      <c r="Z92" s="17">
        <f>IF($N92="","",COUNT($N92:$S92))</f>
        <v/>
      </c>
      <c r="AA92" s="19">
        <f>IF($Z92="","",INT(INDEX($N92:$S92,$Z92)))</f>
        <v/>
      </c>
      <c r="AB92" s="19">
        <f>IF(OR($Z92="",$Z92=6),"",WORKDAY($AA92,CHOOSE($Z92,3,3,2,2,3),Holidays))</f>
        <v/>
      </c>
      <c r="AC92" s="17">
        <f>IF(OR($Z92="",$Z92=6),"",CHOOSE($Z92,"1st Email Follow-up","2nd Email Follow-up","Escalate Local Office","Escalate to CBE","Escalate to Roxanne"))</f>
        <v/>
      </c>
    </row>
    <row r="93" spans="13:29">
      <c r="M93" s="14"/>
      <c r="T93" s="16"/>
      <c r="U93" s="17">
        <f>IF(AND(COUNTA($A93:$L93)=0,$N93=""),"",IF($T93="Paid","PAID",IF($T93="Closed","CLOSED",IF($Z93="","",IF($Z93=6,"ESCALATED TO ROXANNE",IF(TODAY()&gt;$AB93,"OVERDUE",IF($AB93&lt;=WORKDAY(TODAY(),1,Holidays),"DUE TOMORROW",IF($Z93=4,"ESCALATED TO LOCAL OFFICE",IF($Z93=5,"ESCALATED TO CBE",IF($AA93=TODAY(),"EMAIL SENT","MONITORING"))))))))))</f>
        <v/>
      </c>
      <c r="V93" s="17">
        <f>IF($U93="",IF(AND(COUNTA($A93:$L93)&gt;0,$N93=""),"Awaiting Collection Email time stamp.",""),IF(OR($U93="PAID",$U93="CLOSED"),IF($U93="PAID","Account paid. Action completed.","Account closed. No further action required."),CHOOSE($Z93,"Collection Email","1st Email Follow-up","2nd Email Follow-up","Escalation to Local Office","Escalation to CBE","Escalation to Roxanne")&amp;" sent "&amp;TEXT($AA93,"dd-mmm")&amp;". "&amp;IF($Z93=6,"Final escalation completed.",IF($U93="OVERDUE","Next: "&amp;$AC93&amp;" was due "&amp;TEXT($AB93,"dd-mmm")&amp;" - "&amp;(NETWORKDAYS($AB93,TODAY(),Holidays)-1)&amp;" business day(s) late. Send now.",IF($U93="DUE TOMORROW","Next: "&amp;$AC93&amp;IF($AB93&lt;=TODAY()," is due TODAY ("," is due next business day (")&amp;TEXT($AB93,"dd-mmm")&amp;").","Next: "&amp;$AC93&amp;" due "&amp;TEXT($AB93,"dd-mmm")&amp;" ("&amp;(NETWORKDAYS(TODAY(),$AB93,Holidays)-1)&amp;" business day(s) left).")))))</f>
        <v/>
      </c>
      <c r="W93" s="17">
        <f>IF($Z93="","",CHOOSE($Z93,"Collection Email","1st Follow-up","2nd Follow-up","Local Office","CBE","Roxanne")&amp;IF($Z93=6," - Final"," - Day "&amp;MAX(0,NETWORKDAYS($AA93,TODAY(),Holidays)-1)&amp;" of "&amp;CHOOSE($Z93,3,3,2,2,3))&amp;" | Total Day "&amp;MAX(0,NETWORKDAYS($N93,TODAY(),Holidays)-1))</f>
        <v/>
      </c>
      <c r="X93" s="18"/>
      <c r="Y93" s="18"/>
      <c r="Z93" s="17">
        <f>IF($N93="","",COUNT($N93:$S93))</f>
        <v/>
      </c>
      <c r="AA93" s="19">
        <f>IF($Z93="","",INT(INDEX($N93:$S93,$Z93)))</f>
        <v/>
      </c>
      <c r="AB93" s="19">
        <f>IF(OR($Z93="",$Z93=6),"",WORKDAY($AA93,CHOOSE($Z93,3,3,2,2,3),Holidays))</f>
        <v/>
      </c>
      <c r="AC93" s="17">
        <f>IF(OR($Z93="",$Z93=6),"",CHOOSE($Z93,"1st Email Follow-up","2nd Email Follow-up","Escalate Local Office","Escalate to CBE","Escalate to Roxanne"))</f>
        <v/>
      </c>
    </row>
    <row r="94" spans="13:29">
      <c r="M94" s="14"/>
      <c r="T94" s="16"/>
      <c r="U94" s="17">
        <f>IF(AND(COUNTA($A94:$L94)=0,$N94=""),"",IF($T94="Paid","PAID",IF($T94="Closed","CLOSED",IF($Z94="","",IF($Z94=6,"ESCALATED TO ROXANNE",IF(TODAY()&gt;$AB94,"OVERDUE",IF($AB94&lt;=WORKDAY(TODAY(),1,Holidays),"DUE TOMORROW",IF($Z94=4,"ESCALATED TO LOCAL OFFICE",IF($Z94=5,"ESCALATED TO CBE",IF($AA94=TODAY(),"EMAIL SENT","MONITORING"))))))))))</f>
        <v/>
      </c>
      <c r="V94" s="17">
        <f>IF($U94="",IF(AND(COUNTA($A94:$L94)&gt;0,$N94=""),"Awaiting Collection Email time stamp.",""),IF(OR($U94="PAID",$U94="CLOSED"),IF($U94="PAID","Account paid. Action completed.","Account closed. No further action required."),CHOOSE($Z94,"Collection Email","1st Email Follow-up","2nd Email Follow-up","Escalation to Local Office","Escalation to CBE","Escalation to Roxanne")&amp;" sent "&amp;TEXT($AA94,"dd-mmm")&amp;". "&amp;IF($Z94=6,"Final escalation completed.",IF($U94="OVERDUE","Next: "&amp;$AC94&amp;" was due "&amp;TEXT($AB94,"dd-mmm")&amp;" - "&amp;(NETWORKDAYS($AB94,TODAY(),Holidays)-1)&amp;" business day(s) late. Send now.",IF($U94="DUE TOMORROW","Next: "&amp;$AC94&amp;IF($AB94&lt;=TODAY()," is due TODAY ("," is due next business day (")&amp;TEXT($AB94,"dd-mmm")&amp;").","Next: "&amp;$AC94&amp;" due "&amp;TEXT($AB94,"dd-mmm")&amp;" ("&amp;(NETWORKDAYS(TODAY(),$AB94,Holidays)-1)&amp;" business day(s) left).")))))</f>
        <v/>
      </c>
      <c r="W94" s="17">
        <f>IF($Z94="","",CHOOSE($Z94,"Collection Email","1st Follow-up","2nd Follow-up","Local Office","CBE","Roxanne")&amp;IF($Z94=6," - Final"," - Day "&amp;MAX(0,NETWORKDAYS($AA94,TODAY(),Holidays)-1)&amp;" of "&amp;CHOOSE($Z94,3,3,2,2,3))&amp;" | Total Day "&amp;MAX(0,NETWORKDAYS($N94,TODAY(),Holidays)-1))</f>
        <v/>
      </c>
      <c r="X94" s="18"/>
      <c r="Y94" s="18"/>
      <c r="Z94" s="17">
        <f>IF($N94="","",COUNT($N94:$S94))</f>
        <v/>
      </c>
      <c r="AA94" s="19">
        <f>IF($Z94="","",INT(INDEX($N94:$S94,$Z94)))</f>
        <v/>
      </c>
      <c r="AB94" s="19">
        <f>IF(OR($Z94="",$Z94=6),"",WORKDAY($AA94,CHOOSE($Z94,3,3,2,2,3),Holidays))</f>
        <v/>
      </c>
      <c r="AC94" s="17">
        <f>IF(OR($Z94="",$Z94=6),"",CHOOSE($Z94,"1st Email Follow-up","2nd Email Follow-up","Escalate Local Office","Escalate to CBE","Escalate to Roxanne"))</f>
        <v/>
      </c>
    </row>
    <row r="95" spans="13:29">
      <c r="M95" s="14"/>
      <c r="T95" s="16"/>
      <c r="U95" s="17">
        <f>IF(AND(COUNTA($A95:$L95)=0,$N95=""),"",IF($T95="Paid","PAID",IF($T95="Closed","CLOSED",IF($Z95="","",IF($Z95=6,"ESCALATED TO ROXANNE",IF(TODAY()&gt;$AB95,"OVERDUE",IF($AB95&lt;=WORKDAY(TODAY(),1,Holidays),"DUE TOMORROW",IF($Z95=4,"ESCALATED TO LOCAL OFFICE",IF($Z95=5,"ESCALATED TO CBE",IF($AA95=TODAY(),"EMAIL SENT","MONITORING"))))))))))</f>
        <v/>
      </c>
      <c r="V95" s="17">
        <f>IF($U95="",IF(AND(COUNTA($A95:$L95)&gt;0,$N95=""),"Awaiting Collection Email time stamp.",""),IF(OR($U95="PAID",$U95="CLOSED"),IF($U95="PAID","Account paid. Action completed.","Account closed. No further action required."),CHOOSE($Z95,"Collection Email","1st Email Follow-up","2nd Email Follow-up","Escalation to Local Office","Escalation to CBE","Escalation to Roxanne")&amp;" sent "&amp;TEXT($AA95,"dd-mmm")&amp;". "&amp;IF($Z95=6,"Final escalation completed.",IF($U95="OVERDUE","Next: "&amp;$AC95&amp;" was due "&amp;TEXT($AB95,"dd-mmm")&amp;" - "&amp;(NETWORKDAYS($AB95,TODAY(),Holidays)-1)&amp;" business day(s) late. Send now.",IF($U95="DUE TOMORROW","Next: "&amp;$AC95&amp;IF($AB95&lt;=TODAY()," is due TODAY ("," is due next business day (")&amp;TEXT($AB95,"dd-mmm")&amp;").","Next: "&amp;$AC95&amp;" due "&amp;TEXT($AB95,"dd-mmm")&amp;" ("&amp;(NETWORKDAYS(TODAY(),$AB95,Holidays)-1)&amp;" business day(s) left).")))))</f>
        <v/>
      </c>
      <c r="W95" s="17">
        <f>IF($Z95="","",CHOOSE($Z95,"Collection Email","1st Follow-up","2nd Follow-up","Local Office","CBE","Roxanne")&amp;IF($Z95=6," - Final"," - Day "&amp;MAX(0,NETWORKDAYS($AA95,TODAY(),Holidays)-1)&amp;" of "&amp;CHOOSE($Z95,3,3,2,2,3))&amp;" | Total Day "&amp;MAX(0,NETWORKDAYS($N95,TODAY(),Holidays)-1))</f>
        <v/>
      </c>
      <c r="X95" s="18"/>
      <c r="Y95" s="18"/>
      <c r="Z95" s="17">
        <f>IF($N95="","",COUNT($N95:$S95))</f>
        <v/>
      </c>
      <c r="AA95" s="19">
        <f>IF($Z95="","",INT(INDEX($N95:$S95,$Z95)))</f>
        <v/>
      </c>
      <c r="AB95" s="19">
        <f>IF(OR($Z95="",$Z95=6),"",WORKDAY($AA95,CHOOSE($Z95,3,3,2,2,3),Holidays))</f>
        <v/>
      </c>
      <c r="AC95" s="17">
        <f>IF(OR($Z95="",$Z95=6),"",CHOOSE($Z95,"1st Email Follow-up","2nd Email Follow-up","Escalate Local Office","Escalate to CBE","Escalate to Roxanne"))</f>
        <v/>
      </c>
    </row>
    <row r="96" spans="13:29">
      <c r="M96" s="14"/>
      <c r="T96" s="16"/>
      <c r="U96" s="17">
        <f>IF(AND(COUNTA($A96:$L96)=0,$N96=""),"",IF($T96="Paid","PAID",IF($T96="Closed","CLOSED",IF($Z96="","",IF($Z96=6,"ESCALATED TO ROXANNE",IF(TODAY()&gt;$AB96,"OVERDUE",IF($AB96&lt;=WORKDAY(TODAY(),1,Holidays),"DUE TOMORROW",IF($Z96=4,"ESCALATED TO LOCAL OFFICE",IF($Z96=5,"ESCALATED TO CBE",IF($AA96=TODAY(),"EMAIL SENT","MONITORING"))))))))))</f>
        <v/>
      </c>
      <c r="V96" s="17">
        <f>IF($U96="",IF(AND(COUNTA($A96:$L96)&gt;0,$N96=""),"Awaiting Collection Email time stamp.",""),IF(OR($U96="PAID",$U96="CLOSED"),IF($U96="PAID","Account paid. Action completed.","Account closed. No further action required."),CHOOSE($Z96,"Collection Email","1st Email Follow-up","2nd Email Follow-up","Escalation to Local Office","Escalation to CBE","Escalation to Roxanne")&amp;" sent "&amp;TEXT($AA96,"dd-mmm")&amp;". "&amp;IF($Z96=6,"Final escalation completed.",IF($U96="OVERDUE","Next: "&amp;$AC96&amp;" was due "&amp;TEXT($AB96,"dd-mmm")&amp;" - "&amp;(NETWORKDAYS($AB96,TODAY(),Holidays)-1)&amp;" business day(s) late. Send now.",IF($U96="DUE TOMORROW","Next: "&amp;$AC96&amp;IF($AB96&lt;=TODAY()," is due TODAY ("," is due next business day (")&amp;TEXT($AB96,"dd-mmm")&amp;").","Next: "&amp;$AC96&amp;" due "&amp;TEXT($AB96,"dd-mmm")&amp;" ("&amp;(NETWORKDAYS(TODAY(),$AB96,Holidays)-1)&amp;" business day(s) left).")))))</f>
        <v/>
      </c>
      <c r="W96" s="17">
        <f>IF($Z96="","",CHOOSE($Z96,"Collection Email","1st Follow-up","2nd Follow-up","Local Office","CBE","Roxanne")&amp;IF($Z96=6," - Final"," - Day "&amp;MAX(0,NETWORKDAYS($AA96,TODAY(),Holidays)-1)&amp;" of "&amp;CHOOSE($Z96,3,3,2,2,3))&amp;" | Total Day "&amp;MAX(0,NETWORKDAYS($N96,TODAY(),Holidays)-1))</f>
        <v/>
      </c>
      <c r="X96" s="18"/>
      <c r="Y96" s="18"/>
      <c r="Z96" s="17">
        <f>IF($N96="","",COUNT($N96:$S96))</f>
        <v/>
      </c>
      <c r="AA96" s="19">
        <f>IF($Z96="","",INT(INDEX($N96:$S96,$Z96)))</f>
        <v/>
      </c>
      <c r="AB96" s="19">
        <f>IF(OR($Z96="",$Z96=6),"",WORKDAY($AA96,CHOOSE($Z96,3,3,2,2,3),Holidays))</f>
        <v/>
      </c>
      <c r="AC96" s="17">
        <f>IF(OR($Z96="",$Z96=6),"",CHOOSE($Z96,"1st Email Follow-up","2nd Email Follow-up","Escalate Local Office","Escalate to CBE","Escalate to Roxanne"))</f>
        <v/>
      </c>
    </row>
    <row r="97" spans="13:29">
      <c r="M97" s="14"/>
      <c r="T97" s="16"/>
      <c r="U97" s="17">
        <f>IF(AND(COUNTA($A97:$L97)=0,$N97=""),"",IF($T97="Paid","PAID",IF($T97="Closed","CLOSED",IF($Z97="","",IF($Z97=6,"ESCALATED TO ROXANNE",IF(TODAY()&gt;$AB97,"OVERDUE",IF($AB97&lt;=WORKDAY(TODAY(),1,Holidays),"DUE TOMORROW",IF($Z97=4,"ESCALATED TO LOCAL OFFICE",IF($Z97=5,"ESCALATED TO CBE",IF($AA97=TODAY(),"EMAIL SENT","MONITORING"))))))))))</f>
        <v/>
      </c>
      <c r="V97" s="17">
        <f>IF($U97="",IF(AND(COUNTA($A97:$L97)&gt;0,$N97=""),"Awaiting Collection Email time stamp.",""),IF(OR($U97="PAID",$U97="CLOSED"),IF($U97="PAID","Account paid. Action completed.","Account closed. No further action required."),CHOOSE($Z97,"Collection Email","1st Email Follow-up","2nd Email Follow-up","Escalation to Local Office","Escalation to CBE","Escalation to Roxanne")&amp;" sent "&amp;TEXT($AA97,"dd-mmm")&amp;". "&amp;IF($Z97=6,"Final escalation completed.",IF($U97="OVERDUE","Next: "&amp;$AC97&amp;" was due "&amp;TEXT($AB97,"dd-mmm")&amp;" - "&amp;(NETWORKDAYS($AB97,TODAY(),Holidays)-1)&amp;" business day(s) late. Send now.",IF($U97="DUE TOMORROW","Next: "&amp;$AC97&amp;IF($AB97&lt;=TODAY()," is due TODAY ("," is due next business day (")&amp;TEXT($AB97,"dd-mmm")&amp;").","Next: "&amp;$AC97&amp;" due "&amp;TEXT($AB97,"dd-mmm")&amp;" ("&amp;(NETWORKDAYS(TODAY(),$AB97,Holidays)-1)&amp;" business day(s) left).")))))</f>
        <v/>
      </c>
      <c r="W97" s="17">
        <f>IF($Z97="","",CHOOSE($Z97,"Collection Email","1st Follow-up","2nd Follow-up","Local Office","CBE","Roxanne")&amp;IF($Z97=6," - Final"," - Day "&amp;MAX(0,NETWORKDAYS($AA97,TODAY(),Holidays)-1)&amp;" of "&amp;CHOOSE($Z97,3,3,2,2,3))&amp;" | Total Day "&amp;MAX(0,NETWORKDAYS($N97,TODAY(),Holidays)-1))</f>
        <v/>
      </c>
      <c r="X97" s="18"/>
      <c r="Y97" s="18"/>
      <c r="Z97" s="17">
        <f>IF($N97="","",COUNT($N97:$S97))</f>
        <v/>
      </c>
      <c r="AA97" s="19">
        <f>IF($Z97="","",INT(INDEX($N97:$S97,$Z97)))</f>
        <v/>
      </c>
      <c r="AB97" s="19">
        <f>IF(OR($Z97="",$Z97=6),"",WORKDAY($AA97,CHOOSE($Z97,3,3,2,2,3),Holidays))</f>
        <v/>
      </c>
      <c r="AC97" s="17">
        <f>IF(OR($Z97="",$Z97=6),"",CHOOSE($Z97,"1st Email Follow-up","2nd Email Follow-up","Escalate Local Office","Escalate to CBE","Escalate to Roxanne"))</f>
        <v/>
      </c>
    </row>
    <row r="98" spans="13:29">
      <c r="M98" s="14"/>
      <c r="T98" s="16"/>
      <c r="U98" s="17">
        <f>IF(AND(COUNTA($A98:$L98)=0,$N98=""),"",IF($T98="Paid","PAID",IF($T98="Closed","CLOSED",IF($Z98="","",IF($Z98=6,"ESCALATED TO ROXANNE",IF(TODAY()&gt;$AB98,"OVERDUE",IF($AB98&lt;=WORKDAY(TODAY(),1,Holidays),"DUE TOMORROW",IF($Z98=4,"ESCALATED TO LOCAL OFFICE",IF($Z98=5,"ESCALATED TO CBE",IF($AA98=TODAY(),"EMAIL SENT","MONITORING"))))))))))</f>
        <v/>
      </c>
      <c r="V98" s="17">
        <f>IF($U98="",IF(AND(COUNTA($A98:$L98)&gt;0,$N98=""),"Awaiting Collection Email time stamp.",""),IF(OR($U98="PAID",$U98="CLOSED"),IF($U98="PAID","Account paid. Action completed.","Account closed. No further action required."),CHOOSE($Z98,"Collection Email","1st Email Follow-up","2nd Email Follow-up","Escalation to Local Office","Escalation to CBE","Escalation to Roxanne")&amp;" sent "&amp;TEXT($AA98,"dd-mmm")&amp;". "&amp;IF($Z98=6,"Final escalation completed.",IF($U98="OVERDUE","Next: "&amp;$AC98&amp;" was due "&amp;TEXT($AB98,"dd-mmm")&amp;" - "&amp;(NETWORKDAYS($AB98,TODAY(),Holidays)-1)&amp;" business day(s) late. Send now.",IF($U98="DUE TOMORROW","Next: "&amp;$AC98&amp;IF($AB98&lt;=TODAY()," is due TODAY ("," is due next business day (")&amp;TEXT($AB98,"dd-mmm")&amp;").","Next: "&amp;$AC98&amp;" due "&amp;TEXT($AB98,"dd-mmm")&amp;" ("&amp;(NETWORKDAYS(TODAY(),$AB98,Holidays)-1)&amp;" business day(s) left).")))))</f>
        <v/>
      </c>
      <c r="W98" s="17">
        <f>IF($Z98="","",CHOOSE($Z98,"Collection Email","1st Follow-up","2nd Follow-up","Local Office","CBE","Roxanne")&amp;IF($Z98=6," - Final"," - Day "&amp;MAX(0,NETWORKDAYS($AA98,TODAY(),Holidays)-1)&amp;" of "&amp;CHOOSE($Z98,3,3,2,2,3))&amp;" | Total Day "&amp;MAX(0,NETWORKDAYS($N98,TODAY(),Holidays)-1))</f>
        <v/>
      </c>
      <c r="X98" s="18"/>
      <c r="Y98" s="18"/>
      <c r="Z98" s="17">
        <f>IF($N98="","",COUNT($N98:$S98))</f>
        <v/>
      </c>
      <c r="AA98" s="19">
        <f>IF($Z98="","",INT(INDEX($N98:$S98,$Z98)))</f>
        <v/>
      </c>
      <c r="AB98" s="19">
        <f>IF(OR($Z98="",$Z98=6),"",WORKDAY($AA98,CHOOSE($Z98,3,3,2,2,3),Holidays))</f>
        <v/>
      </c>
      <c r="AC98" s="17">
        <f>IF(OR($Z98="",$Z98=6),"",CHOOSE($Z98,"1st Email Follow-up","2nd Email Follow-up","Escalate Local Office","Escalate to CBE","Escalate to Roxanne"))</f>
        <v/>
      </c>
    </row>
    <row r="99" spans="13:29">
      <c r="M99" s="14"/>
      <c r="T99" s="16"/>
      <c r="U99" s="17">
        <f>IF(AND(COUNTA($A99:$L99)=0,$N99=""),"",IF($T99="Paid","PAID",IF($T99="Closed","CLOSED",IF($Z99="","",IF($Z99=6,"ESCALATED TO ROXANNE",IF(TODAY()&gt;$AB99,"OVERDUE",IF($AB99&lt;=WORKDAY(TODAY(),1,Holidays),"DUE TOMORROW",IF($Z99=4,"ESCALATED TO LOCAL OFFICE",IF($Z99=5,"ESCALATED TO CBE",IF($AA99=TODAY(),"EMAIL SENT","MONITORING"))))))))))</f>
        <v/>
      </c>
      <c r="V99" s="17">
        <f>IF($U99="",IF(AND(COUNTA($A99:$L99)&gt;0,$N99=""),"Awaiting Collection Email time stamp.",""),IF(OR($U99="PAID",$U99="CLOSED"),IF($U99="PAID","Account paid. Action completed.","Account closed. No further action required."),CHOOSE($Z99,"Collection Email","1st Email Follow-up","2nd Email Follow-up","Escalation to Local Office","Escalation to CBE","Escalation to Roxanne")&amp;" sent "&amp;TEXT($AA99,"dd-mmm")&amp;". "&amp;IF($Z99=6,"Final escalation completed.",IF($U99="OVERDUE","Next: "&amp;$AC99&amp;" was due "&amp;TEXT($AB99,"dd-mmm")&amp;" - "&amp;(NETWORKDAYS($AB99,TODAY(),Holidays)-1)&amp;" business day(s) late. Send now.",IF($U99="DUE TOMORROW","Next: "&amp;$AC99&amp;IF($AB99&lt;=TODAY()," is due TODAY ("," is due next business day (")&amp;TEXT($AB99,"dd-mmm")&amp;").","Next: "&amp;$AC99&amp;" due "&amp;TEXT($AB99,"dd-mmm")&amp;" ("&amp;(NETWORKDAYS(TODAY(),$AB99,Holidays)-1)&amp;" business day(s) left).")))))</f>
        <v/>
      </c>
      <c r="W99" s="17">
        <f>IF($Z99="","",CHOOSE($Z99,"Collection Email","1st Follow-up","2nd Follow-up","Local Office","CBE","Roxanne")&amp;IF($Z99=6," - Final"," - Day "&amp;MAX(0,NETWORKDAYS($AA99,TODAY(),Holidays)-1)&amp;" of "&amp;CHOOSE($Z99,3,3,2,2,3))&amp;" | Total Day "&amp;MAX(0,NETWORKDAYS($N99,TODAY(),Holidays)-1))</f>
        <v/>
      </c>
      <c r="X99" s="18"/>
      <c r="Y99" s="18"/>
      <c r="Z99" s="17">
        <f>IF($N99="","",COUNT($N99:$S99))</f>
        <v/>
      </c>
      <c r="AA99" s="19">
        <f>IF($Z99="","",INT(INDEX($N99:$S99,$Z99)))</f>
        <v/>
      </c>
      <c r="AB99" s="19">
        <f>IF(OR($Z99="",$Z99=6),"",WORKDAY($AA99,CHOOSE($Z99,3,3,2,2,3),Holidays))</f>
        <v/>
      </c>
      <c r="AC99" s="17">
        <f>IF(OR($Z99="",$Z99=6),"",CHOOSE($Z99,"1st Email Follow-up","2nd Email Follow-up","Escalate Local Office","Escalate to CBE","Escalate to Roxanne"))</f>
        <v/>
      </c>
    </row>
    <row r="100" spans="13:29">
      <c r="M100" s="14"/>
      <c r="T100" s="16"/>
      <c r="U100" s="17">
        <f>IF(AND(COUNTA($A100:$L100)=0,$N100=""),"",IF($T100="Paid","PAID",IF($T100="Closed","CLOSED",IF($Z100="","",IF($Z100=6,"ESCALATED TO ROXANNE",IF(TODAY()&gt;$AB100,"OVERDUE",IF($AB100&lt;=WORKDAY(TODAY(),1,Holidays),"DUE TOMORROW",IF($Z100=4,"ESCALATED TO LOCAL OFFICE",IF($Z100=5,"ESCALATED TO CBE",IF($AA100=TODAY(),"EMAIL SENT","MONITORING"))))))))))</f>
        <v/>
      </c>
      <c r="V100" s="17">
        <f>IF($U100="",IF(AND(COUNTA($A100:$L100)&gt;0,$N100=""),"Awaiting Collection Email time stamp.",""),IF(OR($U100="PAID",$U100="CLOSED"),IF($U100="PAID","Account paid. Action completed.","Account closed. No further action required."),CHOOSE($Z100,"Collection Email","1st Email Follow-up","2nd Email Follow-up","Escalation to Local Office","Escalation to CBE","Escalation to Roxanne")&amp;" sent "&amp;TEXT($AA100,"dd-mmm")&amp;". "&amp;IF($Z100=6,"Final escalation completed.",IF($U100="OVERDUE","Next: "&amp;$AC100&amp;" was due "&amp;TEXT($AB100,"dd-mmm")&amp;" - "&amp;(NETWORKDAYS($AB100,TODAY(),Holidays)-1)&amp;" business day(s) late. Send now.",IF($U100="DUE TOMORROW","Next: "&amp;$AC100&amp;IF($AB100&lt;=TODAY()," is due TODAY ("," is due next business day (")&amp;TEXT($AB100,"dd-mmm")&amp;").","Next: "&amp;$AC100&amp;" due "&amp;TEXT($AB100,"dd-mmm")&amp;" ("&amp;(NETWORKDAYS(TODAY(),$AB100,Holidays)-1)&amp;" business day(s) left).")))))</f>
        <v/>
      </c>
      <c r="W100" s="17">
        <f>IF($Z100="","",CHOOSE($Z100,"Collection Email","1st Follow-up","2nd Follow-up","Local Office","CBE","Roxanne")&amp;IF($Z100=6," - Final"," - Day "&amp;MAX(0,NETWORKDAYS($AA100,TODAY(),Holidays)-1)&amp;" of "&amp;CHOOSE($Z100,3,3,2,2,3))&amp;" | Total Day "&amp;MAX(0,NETWORKDAYS($N100,TODAY(),Holidays)-1))</f>
        <v/>
      </c>
      <c r="X100" s="18"/>
      <c r="Y100" s="18"/>
      <c r="Z100" s="17">
        <f>IF($N100="","",COUNT($N100:$S100))</f>
        <v/>
      </c>
      <c r="AA100" s="19">
        <f>IF($Z100="","",INT(INDEX($N100:$S100,$Z100)))</f>
        <v/>
      </c>
      <c r="AB100" s="19">
        <f>IF(OR($Z100="",$Z100=6),"",WORKDAY($AA100,CHOOSE($Z100,3,3,2,2,3),Holidays))</f>
        <v/>
      </c>
      <c r="AC100" s="17">
        <f>IF(OR($Z100="",$Z100=6),"",CHOOSE($Z100,"1st Email Follow-up","2nd Email Follow-up","Escalate Local Office","Escalate to CBE","Escalate to Roxanne"))</f>
        <v/>
      </c>
    </row>
    <row r="101" spans="13:29">
      <c r="M101" s="14"/>
      <c r="T101" s="16"/>
      <c r="U101" s="17">
        <f>IF(AND(COUNTA($A101:$L101)=0,$N101=""),"",IF($T101="Paid","PAID",IF($T101="Closed","CLOSED",IF($Z101="","",IF($Z101=6,"ESCALATED TO ROXANNE",IF(TODAY()&gt;$AB101,"OVERDUE",IF($AB101&lt;=WORKDAY(TODAY(),1,Holidays),"DUE TOMORROW",IF($Z101=4,"ESCALATED TO LOCAL OFFICE",IF($Z101=5,"ESCALATED TO CBE",IF($AA101=TODAY(),"EMAIL SENT","MONITORING"))))))))))</f>
        <v/>
      </c>
      <c r="V101" s="17">
        <f>IF($U101="",IF(AND(COUNTA($A101:$L101)&gt;0,$N101=""),"Awaiting Collection Email time stamp.",""),IF(OR($U101="PAID",$U101="CLOSED"),IF($U101="PAID","Account paid. Action completed.","Account closed. No further action required."),CHOOSE($Z101,"Collection Email","1st Email Follow-up","2nd Email Follow-up","Escalation to Local Office","Escalation to CBE","Escalation to Roxanne")&amp;" sent "&amp;TEXT($AA101,"dd-mmm")&amp;". "&amp;IF($Z101=6,"Final escalation completed.",IF($U101="OVERDUE","Next: "&amp;$AC101&amp;" was due "&amp;TEXT($AB101,"dd-mmm")&amp;" - "&amp;(NETWORKDAYS($AB101,TODAY(),Holidays)-1)&amp;" business day(s) late. Send now.",IF($U101="DUE TOMORROW","Next: "&amp;$AC101&amp;IF($AB101&lt;=TODAY()," is due TODAY ("," is due next business day (")&amp;TEXT($AB101,"dd-mmm")&amp;").","Next: "&amp;$AC101&amp;" due "&amp;TEXT($AB101,"dd-mmm")&amp;" ("&amp;(NETWORKDAYS(TODAY(),$AB101,Holidays)-1)&amp;" business day(s) left).")))))</f>
        <v/>
      </c>
      <c r="W101" s="17">
        <f>IF($Z101="","",CHOOSE($Z101,"Collection Email","1st Follow-up","2nd Follow-up","Local Office","CBE","Roxanne")&amp;IF($Z101=6," - Final"," - Day "&amp;MAX(0,NETWORKDAYS($AA101,TODAY(),Holidays)-1)&amp;" of "&amp;CHOOSE($Z101,3,3,2,2,3))&amp;" | Total Day "&amp;MAX(0,NETWORKDAYS($N101,TODAY(),Holidays)-1))</f>
        <v/>
      </c>
      <c r="X101" s="18"/>
      <c r="Y101" s="18"/>
      <c r="Z101" s="17">
        <f>IF($N101="","",COUNT($N101:$S101))</f>
        <v/>
      </c>
      <c r="AA101" s="19">
        <f>IF($Z101="","",INT(INDEX($N101:$S101,$Z101)))</f>
        <v/>
      </c>
      <c r="AB101" s="19">
        <f>IF(OR($Z101="",$Z101=6),"",WORKDAY($AA101,CHOOSE($Z101,3,3,2,2,3),Holidays))</f>
        <v/>
      </c>
      <c r="AC101" s="17">
        <f>IF(OR($Z101="",$Z101=6),"",CHOOSE($Z101,"1st Email Follow-up","2nd Email Follow-up","Escalate Local Office","Escalate to CBE","Escalate to Roxanne"))</f>
        <v/>
      </c>
    </row>
    <row r="102" spans="13:29">
      <c r="M102" s="14"/>
      <c r="T102" s="16"/>
      <c r="U102" s="17">
        <f>IF(AND(COUNTA($A102:$L102)=0,$N102=""),"",IF($T102="Paid","PAID",IF($T102="Closed","CLOSED",IF($Z102="","",IF($Z102=6,"ESCALATED TO ROXANNE",IF(TODAY()&gt;$AB102,"OVERDUE",IF($AB102&lt;=WORKDAY(TODAY(),1,Holidays),"DUE TOMORROW",IF($Z102=4,"ESCALATED TO LOCAL OFFICE",IF($Z102=5,"ESCALATED TO CBE",IF($AA102=TODAY(),"EMAIL SENT","MONITORING"))))))))))</f>
        <v/>
      </c>
      <c r="V102" s="17">
        <f>IF($U102="",IF(AND(COUNTA($A102:$L102)&gt;0,$N102=""),"Awaiting Collection Email time stamp.",""),IF(OR($U102="PAID",$U102="CLOSED"),IF($U102="PAID","Account paid. Action completed.","Account closed. No further action required."),CHOOSE($Z102,"Collection Email","1st Email Follow-up","2nd Email Follow-up","Escalation to Local Office","Escalation to CBE","Escalation to Roxanne")&amp;" sent "&amp;TEXT($AA102,"dd-mmm")&amp;". "&amp;IF($Z102=6,"Final escalation completed.",IF($U102="OVERDUE","Next: "&amp;$AC102&amp;" was due "&amp;TEXT($AB102,"dd-mmm")&amp;" - "&amp;(NETWORKDAYS($AB102,TODAY(),Holidays)-1)&amp;" business day(s) late. Send now.",IF($U102="DUE TOMORROW","Next: "&amp;$AC102&amp;IF($AB102&lt;=TODAY()," is due TODAY ("," is due next business day (")&amp;TEXT($AB102,"dd-mmm")&amp;").","Next: "&amp;$AC102&amp;" due "&amp;TEXT($AB102,"dd-mmm")&amp;" ("&amp;(NETWORKDAYS(TODAY(),$AB102,Holidays)-1)&amp;" business day(s) left).")))))</f>
        <v/>
      </c>
      <c r="W102" s="17">
        <f>IF($Z102="","",CHOOSE($Z102,"Collection Email","1st Follow-up","2nd Follow-up","Local Office","CBE","Roxanne")&amp;IF($Z102=6," - Final"," - Day "&amp;MAX(0,NETWORKDAYS($AA102,TODAY(),Holidays)-1)&amp;" of "&amp;CHOOSE($Z102,3,3,2,2,3))&amp;" | Total Day "&amp;MAX(0,NETWORKDAYS($N102,TODAY(),Holidays)-1))</f>
        <v/>
      </c>
      <c r="X102" s="18"/>
      <c r="Y102" s="18"/>
      <c r="Z102" s="17">
        <f>IF($N102="","",COUNT($N102:$S102))</f>
        <v/>
      </c>
      <c r="AA102" s="19">
        <f>IF($Z102="","",INT(INDEX($N102:$S102,$Z102)))</f>
        <v/>
      </c>
      <c r="AB102" s="19">
        <f>IF(OR($Z102="",$Z102=6),"",WORKDAY($AA102,CHOOSE($Z102,3,3,2,2,3),Holidays))</f>
        <v/>
      </c>
      <c r="AC102" s="17">
        <f>IF(OR($Z102="",$Z102=6),"",CHOOSE($Z102,"1st Email Follow-up","2nd Email Follow-up","Escalate Local Office","Escalate to CBE","Escalate to Roxanne"))</f>
        <v/>
      </c>
    </row>
    <row r="103" spans="13:29">
      <c r="M103" s="14"/>
      <c r="T103" s="16"/>
      <c r="U103" s="17">
        <f>IF(AND(COUNTA($A103:$L103)=0,$N103=""),"",IF($T103="Paid","PAID",IF($T103="Closed","CLOSED",IF($Z103="","",IF($Z103=6,"ESCALATED TO ROXANNE",IF(TODAY()&gt;$AB103,"OVERDUE",IF($AB103&lt;=WORKDAY(TODAY(),1,Holidays),"DUE TOMORROW",IF($Z103=4,"ESCALATED TO LOCAL OFFICE",IF($Z103=5,"ESCALATED TO CBE",IF($AA103=TODAY(),"EMAIL SENT","MONITORING"))))))))))</f>
        <v/>
      </c>
      <c r="V103" s="17">
        <f>IF($U103="",IF(AND(COUNTA($A103:$L103)&gt;0,$N103=""),"Awaiting Collection Email time stamp.",""),IF(OR($U103="PAID",$U103="CLOSED"),IF($U103="PAID","Account paid. Action completed.","Account closed. No further action required."),CHOOSE($Z103,"Collection Email","1st Email Follow-up","2nd Email Follow-up","Escalation to Local Office","Escalation to CBE","Escalation to Roxanne")&amp;" sent "&amp;TEXT($AA103,"dd-mmm")&amp;". "&amp;IF($Z103=6,"Final escalation completed.",IF($U103="OVERDUE","Next: "&amp;$AC103&amp;" was due "&amp;TEXT($AB103,"dd-mmm")&amp;" - "&amp;(NETWORKDAYS($AB103,TODAY(),Holidays)-1)&amp;" business day(s) late. Send now.",IF($U103="DUE TOMORROW","Next: "&amp;$AC103&amp;IF($AB103&lt;=TODAY()," is due TODAY ("," is due next business day (")&amp;TEXT($AB103,"dd-mmm")&amp;").","Next: "&amp;$AC103&amp;" due "&amp;TEXT($AB103,"dd-mmm")&amp;" ("&amp;(NETWORKDAYS(TODAY(),$AB103,Holidays)-1)&amp;" business day(s) left).")))))</f>
        <v/>
      </c>
      <c r="W103" s="17">
        <f>IF($Z103="","",CHOOSE($Z103,"Collection Email","1st Follow-up","2nd Follow-up","Local Office","CBE","Roxanne")&amp;IF($Z103=6," - Final"," - Day "&amp;MAX(0,NETWORKDAYS($AA103,TODAY(),Holidays)-1)&amp;" of "&amp;CHOOSE($Z103,3,3,2,2,3))&amp;" | Total Day "&amp;MAX(0,NETWORKDAYS($N103,TODAY(),Holidays)-1))</f>
        <v/>
      </c>
      <c r="X103" s="18"/>
      <c r="Y103" s="18"/>
      <c r="Z103" s="17">
        <f>IF($N103="","",COUNT($N103:$S103))</f>
        <v/>
      </c>
      <c r="AA103" s="19">
        <f>IF($Z103="","",INT(INDEX($N103:$S103,$Z103)))</f>
        <v/>
      </c>
      <c r="AB103" s="19">
        <f>IF(OR($Z103="",$Z103=6),"",WORKDAY($AA103,CHOOSE($Z103,3,3,2,2,3),Holidays))</f>
        <v/>
      </c>
      <c r="AC103" s="17">
        <f>IF(OR($Z103="",$Z103=6),"",CHOOSE($Z103,"1st Email Follow-up","2nd Email Follow-up","Escalate Local Office","Escalate to CBE","Escalate to Roxanne"))</f>
        <v/>
      </c>
    </row>
    <row r="104" spans="13:29">
      <c r="M104" s="14"/>
      <c r="T104" s="16"/>
      <c r="U104" s="17">
        <f>IF(AND(COUNTA($A104:$L104)=0,$N104=""),"",IF($T104="Paid","PAID",IF($T104="Closed","CLOSED",IF($Z104="","",IF($Z104=6,"ESCALATED TO ROXANNE",IF(TODAY()&gt;$AB104,"OVERDUE",IF($AB104&lt;=WORKDAY(TODAY(),1,Holidays),"DUE TOMORROW",IF($Z104=4,"ESCALATED TO LOCAL OFFICE",IF($Z104=5,"ESCALATED TO CBE",IF($AA104=TODAY(),"EMAIL SENT","MONITORING"))))))))))</f>
        <v/>
      </c>
      <c r="V104" s="17">
        <f>IF($U104="",IF(AND(COUNTA($A104:$L104)&gt;0,$N104=""),"Awaiting Collection Email time stamp.",""),IF(OR($U104="PAID",$U104="CLOSED"),IF($U104="PAID","Account paid. Action completed.","Account closed. No further action required."),CHOOSE($Z104,"Collection Email","1st Email Follow-up","2nd Email Follow-up","Escalation to Local Office","Escalation to CBE","Escalation to Roxanne")&amp;" sent "&amp;TEXT($AA104,"dd-mmm")&amp;". "&amp;IF($Z104=6,"Final escalation completed.",IF($U104="OVERDUE","Next: "&amp;$AC104&amp;" was due "&amp;TEXT($AB104,"dd-mmm")&amp;" - "&amp;(NETWORKDAYS($AB104,TODAY(),Holidays)-1)&amp;" business day(s) late. Send now.",IF($U104="DUE TOMORROW","Next: "&amp;$AC104&amp;IF($AB104&lt;=TODAY()," is due TODAY ("," is due next business day (")&amp;TEXT($AB104,"dd-mmm")&amp;").","Next: "&amp;$AC104&amp;" due "&amp;TEXT($AB104,"dd-mmm")&amp;" ("&amp;(NETWORKDAYS(TODAY(),$AB104,Holidays)-1)&amp;" business day(s) left).")))))</f>
        <v/>
      </c>
      <c r="W104" s="17">
        <f>IF($Z104="","",CHOOSE($Z104,"Collection Email","1st Follow-up","2nd Follow-up","Local Office","CBE","Roxanne")&amp;IF($Z104=6," - Final"," - Day "&amp;MAX(0,NETWORKDAYS($AA104,TODAY(),Holidays)-1)&amp;" of "&amp;CHOOSE($Z104,3,3,2,2,3))&amp;" | Total Day "&amp;MAX(0,NETWORKDAYS($N104,TODAY(),Holidays)-1))</f>
        <v/>
      </c>
      <c r="X104" s="18"/>
      <c r="Y104" s="18"/>
      <c r="Z104" s="17">
        <f>IF($N104="","",COUNT($N104:$S104))</f>
        <v/>
      </c>
      <c r="AA104" s="19">
        <f>IF($Z104="","",INT(INDEX($N104:$S104,$Z104)))</f>
        <v/>
      </c>
      <c r="AB104" s="19">
        <f>IF(OR($Z104="",$Z104=6),"",WORKDAY($AA104,CHOOSE($Z104,3,3,2,2,3),Holidays))</f>
        <v/>
      </c>
      <c r="AC104" s="17">
        <f>IF(OR($Z104="",$Z104=6),"",CHOOSE($Z104,"1st Email Follow-up","2nd Email Follow-up","Escalate Local Office","Escalate to CBE","Escalate to Roxanne"))</f>
        <v/>
      </c>
    </row>
    <row r="105" spans="13:29">
      <c r="M105" s="14"/>
      <c r="T105" s="16"/>
      <c r="U105" s="17">
        <f>IF(AND(COUNTA($A105:$L105)=0,$N105=""),"",IF($T105="Paid","PAID",IF($T105="Closed","CLOSED",IF($Z105="","",IF($Z105=6,"ESCALATED TO ROXANNE",IF(TODAY()&gt;$AB105,"OVERDUE",IF($AB105&lt;=WORKDAY(TODAY(),1,Holidays),"DUE TOMORROW",IF($Z105=4,"ESCALATED TO LOCAL OFFICE",IF($Z105=5,"ESCALATED TO CBE",IF($AA105=TODAY(),"EMAIL SENT","MONITORING"))))))))))</f>
        <v/>
      </c>
      <c r="V105" s="17">
        <f>IF($U105="",IF(AND(COUNTA($A105:$L105)&gt;0,$N105=""),"Awaiting Collection Email time stamp.",""),IF(OR($U105="PAID",$U105="CLOSED"),IF($U105="PAID","Account paid. Action completed.","Account closed. No further action required."),CHOOSE($Z105,"Collection Email","1st Email Follow-up","2nd Email Follow-up","Escalation to Local Office","Escalation to CBE","Escalation to Roxanne")&amp;" sent "&amp;TEXT($AA105,"dd-mmm")&amp;". "&amp;IF($Z105=6,"Final escalation completed.",IF($U105="OVERDUE","Next: "&amp;$AC105&amp;" was due "&amp;TEXT($AB105,"dd-mmm")&amp;" - "&amp;(NETWORKDAYS($AB105,TODAY(),Holidays)-1)&amp;" business day(s) late. Send now.",IF($U105="DUE TOMORROW","Next: "&amp;$AC105&amp;IF($AB105&lt;=TODAY()," is due TODAY ("," is due next business day (")&amp;TEXT($AB105,"dd-mmm")&amp;").","Next: "&amp;$AC105&amp;" due "&amp;TEXT($AB105,"dd-mmm")&amp;" ("&amp;(NETWORKDAYS(TODAY(),$AB105,Holidays)-1)&amp;" business day(s) left).")))))</f>
        <v/>
      </c>
      <c r="W105" s="17">
        <f>IF($Z105="","",CHOOSE($Z105,"Collection Email","1st Follow-up","2nd Follow-up","Local Office","CBE","Roxanne")&amp;IF($Z105=6," - Final"," - Day "&amp;MAX(0,NETWORKDAYS($AA105,TODAY(),Holidays)-1)&amp;" of "&amp;CHOOSE($Z105,3,3,2,2,3))&amp;" | Total Day "&amp;MAX(0,NETWORKDAYS($N105,TODAY(),Holidays)-1))</f>
        <v/>
      </c>
      <c r="X105" s="18"/>
      <c r="Y105" s="18"/>
      <c r="Z105" s="17">
        <f>IF($N105="","",COUNT($N105:$S105))</f>
        <v/>
      </c>
      <c r="AA105" s="19">
        <f>IF($Z105="","",INT(INDEX($N105:$S105,$Z105)))</f>
        <v/>
      </c>
      <c r="AB105" s="19">
        <f>IF(OR($Z105="",$Z105=6),"",WORKDAY($AA105,CHOOSE($Z105,3,3,2,2,3),Holidays))</f>
        <v/>
      </c>
      <c r="AC105" s="17">
        <f>IF(OR($Z105="",$Z105=6),"",CHOOSE($Z105,"1st Email Follow-up","2nd Email Follow-up","Escalate Local Office","Escalate to CBE","Escalate to Roxanne"))</f>
        <v/>
      </c>
    </row>
    <row r="106" spans="13:29">
      <c r="M106" s="14"/>
      <c r="T106" s="16"/>
      <c r="U106" s="17">
        <f>IF(AND(COUNTA($A106:$L106)=0,$N106=""),"",IF($T106="Paid","PAID",IF($T106="Closed","CLOSED",IF($Z106="","",IF($Z106=6,"ESCALATED TO ROXANNE",IF(TODAY()&gt;$AB106,"OVERDUE",IF($AB106&lt;=WORKDAY(TODAY(),1,Holidays),"DUE TOMORROW",IF($Z106=4,"ESCALATED TO LOCAL OFFICE",IF($Z106=5,"ESCALATED TO CBE",IF($AA106=TODAY(),"EMAIL SENT","MONITORING"))))))))))</f>
        <v/>
      </c>
      <c r="V106" s="17">
        <f>IF($U106="",IF(AND(COUNTA($A106:$L106)&gt;0,$N106=""),"Awaiting Collection Email time stamp.",""),IF(OR($U106="PAID",$U106="CLOSED"),IF($U106="PAID","Account paid. Action completed.","Account closed. No further action required."),CHOOSE($Z106,"Collection Email","1st Email Follow-up","2nd Email Follow-up","Escalation to Local Office","Escalation to CBE","Escalation to Roxanne")&amp;" sent "&amp;TEXT($AA106,"dd-mmm")&amp;". "&amp;IF($Z106=6,"Final escalation completed.",IF($U106="OVERDUE","Next: "&amp;$AC106&amp;" was due "&amp;TEXT($AB106,"dd-mmm")&amp;" - "&amp;(NETWORKDAYS($AB106,TODAY(),Holidays)-1)&amp;" business day(s) late. Send now.",IF($U106="DUE TOMORROW","Next: "&amp;$AC106&amp;IF($AB106&lt;=TODAY()," is due TODAY ("," is due next business day (")&amp;TEXT($AB106,"dd-mmm")&amp;").","Next: "&amp;$AC106&amp;" due "&amp;TEXT($AB106,"dd-mmm")&amp;" ("&amp;(NETWORKDAYS(TODAY(),$AB106,Holidays)-1)&amp;" business day(s) left).")))))</f>
        <v/>
      </c>
      <c r="W106" s="17">
        <f>IF($Z106="","",CHOOSE($Z106,"Collection Email","1st Follow-up","2nd Follow-up","Local Office","CBE","Roxanne")&amp;IF($Z106=6," - Final"," - Day "&amp;MAX(0,NETWORKDAYS($AA106,TODAY(),Holidays)-1)&amp;" of "&amp;CHOOSE($Z106,3,3,2,2,3))&amp;" | Total Day "&amp;MAX(0,NETWORKDAYS($N106,TODAY(),Holidays)-1))</f>
        <v/>
      </c>
      <c r="X106" s="18"/>
      <c r="Y106" s="18"/>
      <c r="Z106" s="17">
        <f>IF($N106="","",COUNT($N106:$S106))</f>
        <v/>
      </c>
      <c r="AA106" s="19">
        <f>IF($Z106="","",INT(INDEX($N106:$S106,$Z106)))</f>
        <v/>
      </c>
      <c r="AB106" s="19">
        <f>IF(OR($Z106="",$Z106=6),"",WORKDAY($AA106,CHOOSE($Z106,3,3,2,2,3),Holidays))</f>
        <v/>
      </c>
      <c r="AC106" s="17">
        <f>IF(OR($Z106="",$Z106=6),"",CHOOSE($Z106,"1st Email Follow-up","2nd Email Follow-up","Escalate Local Office","Escalate to CBE","Escalate to Roxanne"))</f>
        <v/>
      </c>
    </row>
    <row r="107" spans="13:29">
      <c r="M107" s="14"/>
      <c r="T107" s="16"/>
      <c r="U107" s="17">
        <f>IF(AND(COUNTA($A107:$L107)=0,$N107=""),"",IF($T107="Paid","PAID",IF($T107="Closed","CLOSED",IF($Z107="","",IF($Z107=6,"ESCALATED TO ROXANNE",IF(TODAY()&gt;$AB107,"OVERDUE",IF($AB107&lt;=WORKDAY(TODAY(),1,Holidays),"DUE TOMORROW",IF($Z107=4,"ESCALATED TO LOCAL OFFICE",IF($Z107=5,"ESCALATED TO CBE",IF($AA107=TODAY(),"EMAIL SENT","MONITORING"))))))))))</f>
        <v/>
      </c>
      <c r="V107" s="17">
        <f>IF($U107="",IF(AND(COUNTA($A107:$L107)&gt;0,$N107=""),"Awaiting Collection Email time stamp.",""),IF(OR($U107="PAID",$U107="CLOSED"),IF($U107="PAID","Account paid. Action completed.","Account closed. No further action required."),CHOOSE($Z107,"Collection Email","1st Email Follow-up","2nd Email Follow-up","Escalation to Local Office","Escalation to CBE","Escalation to Roxanne")&amp;" sent "&amp;TEXT($AA107,"dd-mmm")&amp;". "&amp;IF($Z107=6,"Final escalation completed.",IF($U107="OVERDUE","Next: "&amp;$AC107&amp;" was due "&amp;TEXT($AB107,"dd-mmm")&amp;" - "&amp;(NETWORKDAYS($AB107,TODAY(),Holidays)-1)&amp;" business day(s) late. Send now.",IF($U107="DUE TOMORROW","Next: "&amp;$AC107&amp;IF($AB107&lt;=TODAY()," is due TODAY ("," is due next business day (")&amp;TEXT($AB107,"dd-mmm")&amp;").","Next: "&amp;$AC107&amp;" due "&amp;TEXT($AB107,"dd-mmm")&amp;" ("&amp;(NETWORKDAYS(TODAY(),$AB107,Holidays)-1)&amp;" business day(s) left).")))))</f>
        <v/>
      </c>
      <c r="W107" s="17">
        <f>IF($Z107="","",CHOOSE($Z107,"Collection Email","1st Follow-up","2nd Follow-up","Local Office","CBE","Roxanne")&amp;IF($Z107=6," - Final"," - Day "&amp;MAX(0,NETWORKDAYS($AA107,TODAY(),Holidays)-1)&amp;" of "&amp;CHOOSE($Z107,3,3,2,2,3))&amp;" | Total Day "&amp;MAX(0,NETWORKDAYS($N107,TODAY(),Holidays)-1))</f>
        <v/>
      </c>
      <c r="X107" s="18"/>
      <c r="Y107" s="18"/>
      <c r="Z107" s="17">
        <f>IF($N107="","",COUNT($N107:$S107))</f>
        <v/>
      </c>
      <c r="AA107" s="19">
        <f>IF($Z107="","",INT(INDEX($N107:$S107,$Z107)))</f>
        <v/>
      </c>
      <c r="AB107" s="19">
        <f>IF(OR($Z107="",$Z107=6),"",WORKDAY($AA107,CHOOSE($Z107,3,3,2,2,3),Holidays))</f>
        <v/>
      </c>
      <c r="AC107" s="17">
        <f>IF(OR($Z107="",$Z107=6),"",CHOOSE($Z107,"1st Email Follow-up","2nd Email Follow-up","Escalate Local Office","Escalate to CBE","Escalate to Roxanne"))</f>
        <v/>
      </c>
    </row>
    <row r="108" spans="13:29">
      <c r="M108" s="14"/>
      <c r="T108" s="16"/>
      <c r="U108" s="17">
        <f>IF(AND(COUNTA($A108:$L108)=0,$N108=""),"",IF($T108="Paid","PAID",IF($T108="Closed","CLOSED",IF($Z108="","",IF($Z108=6,"ESCALATED TO ROXANNE",IF(TODAY()&gt;$AB108,"OVERDUE",IF($AB108&lt;=WORKDAY(TODAY(),1,Holidays),"DUE TOMORROW",IF($Z108=4,"ESCALATED TO LOCAL OFFICE",IF($Z108=5,"ESCALATED TO CBE",IF($AA108=TODAY(),"EMAIL SENT","MONITORING"))))))))))</f>
        <v/>
      </c>
      <c r="V108" s="17">
        <f>IF($U108="",IF(AND(COUNTA($A108:$L108)&gt;0,$N108=""),"Awaiting Collection Email time stamp.",""),IF(OR($U108="PAID",$U108="CLOSED"),IF($U108="PAID","Account paid. Action completed.","Account closed. No further action required."),CHOOSE($Z108,"Collection Email","1st Email Follow-up","2nd Email Follow-up","Escalation to Local Office","Escalation to CBE","Escalation to Roxanne")&amp;" sent "&amp;TEXT($AA108,"dd-mmm")&amp;". "&amp;IF($Z108=6,"Final escalation completed.",IF($U108="OVERDUE","Next: "&amp;$AC108&amp;" was due "&amp;TEXT($AB108,"dd-mmm")&amp;" - "&amp;(NETWORKDAYS($AB108,TODAY(),Holidays)-1)&amp;" business day(s) late. Send now.",IF($U108="DUE TOMORROW","Next: "&amp;$AC108&amp;IF($AB108&lt;=TODAY()," is due TODAY ("," is due next business day (")&amp;TEXT($AB108,"dd-mmm")&amp;").","Next: "&amp;$AC108&amp;" due "&amp;TEXT($AB108,"dd-mmm")&amp;" ("&amp;(NETWORKDAYS(TODAY(),$AB108,Holidays)-1)&amp;" business day(s) left).")))))</f>
        <v/>
      </c>
      <c r="W108" s="17">
        <f>IF($Z108="","",CHOOSE($Z108,"Collection Email","1st Follow-up","2nd Follow-up","Local Office","CBE","Roxanne")&amp;IF($Z108=6," - Final"," - Day "&amp;MAX(0,NETWORKDAYS($AA108,TODAY(),Holidays)-1)&amp;" of "&amp;CHOOSE($Z108,3,3,2,2,3))&amp;" | Total Day "&amp;MAX(0,NETWORKDAYS($N108,TODAY(),Holidays)-1))</f>
        <v/>
      </c>
      <c r="X108" s="18"/>
      <c r="Y108" s="18"/>
      <c r="Z108" s="17">
        <f>IF($N108="","",COUNT($N108:$S108))</f>
        <v/>
      </c>
      <c r="AA108" s="19">
        <f>IF($Z108="","",INT(INDEX($N108:$S108,$Z108)))</f>
        <v/>
      </c>
      <c r="AB108" s="19">
        <f>IF(OR($Z108="",$Z108=6),"",WORKDAY($AA108,CHOOSE($Z108,3,3,2,2,3),Holidays))</f>
        <v/>
      </c>
      <c r="AC108" s="17">
        <f>IF(OR($Z108="",$Z108=6),"",CHOOSE($Z108,"1st Email Follow-up","2nd Email Follow-up","Escalate Local Office","Escalate to CBE","Escalate to Roxanne"))</f>
        <v/>
      </c>
    </row>
    <row r="109" spans="13:29">
      <c r="M109" s="14"/>
      <c r="T109" s="16"/>
      <c r="U109" s="17">
        <f>IF(AND(COUNTA($A109:$L109)=0,$N109=""),"",IF($T109="Paid","PAID",IF($T109="Closed","CLOSED",IF($Z109="","",IF($Z109=6,"ESCALATED TO ROXANNE",IF(TODAY()&gt;$AB109,"OVERDUE",IF($AB109&lt;=WORKDAY(TODAY(),1,Holidays),"DUE TOMORROW",IF($Z109=4,"ESCALATED TO LOCAL OFFICE",IF($Z109=5,"ESCALATED TO CBE",IF($AA109=TODAY(),"EMAIL SENT","MONITORING"))))))))))</f>
        <v/>
      </c>
      <c r="V109" s="17">
        <f>IF($U109="",IF(AND(COUNTA($A109:$L109)&gt;0,$N109=""),"Awaiting Collection Email time stamp.",""),IF(OR($U109="PAID",$U109="CLOSED"),IF($U109="PAID","Account paid. Action completed.","Account closed. No further action required."),CHOOSE($Z109,"Collection Email","1st Email Follow-up","2nd Email Follow-up","Escalation to Local Office","Escalation to CBE","Escalation to Roxanne")&amp;" sent "&amp;TEXT($AA109,"dd-mmm")&amp;". "&amp;IF($Z109=6,"Final escalation completed.",IF($U109="OVERDUE","Next: "&amp;$AC109&amp;" was due "&amp;TEXT($AB109,"dd-mmm")&amp;" - "&amp;(NETWORKDAYS($AB109,TODAY(),Holidays)-1)&amp;" business day(s) late. Send now.",IF($U109="DUE TOMORROW","Next: "&amp;$AC109&amp;IF($AB109&lt;=TODAY()," is due TODAY ("," is due next business day (")&amp;TEXT($AB109,"dd-mmm")&amp;").","Next: "&amp;$AC109&amp;" due "&amp;TEXT($AB109,"dd-mmm")&amp;" ("&amp;(NETWORKDAYS(TODAY(),$AB109,Holidays)-1)&amp;" business day(s) left).")))))</f>
        <v/>
      </c>
      <c r="W109" s="17">
        <f>IF($Z109="","",CHOOSE($Z109,"Collection Email","1st Follow-up","2nd Follow-up","Local Office","CBE","Roxanne")&amp;IF($Z109=6," - Final"," - Day "&amp;MAX(0,NETWORKDAYS($AA109,TODAY(),Holidays)-1)&amp;" of "&amp;CHOOSE($Z109,3,3,2,2,3))&amp;" | Total Day "&amp;MAX(0,NETWORKDAYS($N109,TODAY(),Holidays)-1))</f>
        <v/>
      </c>
      <c r="X109" s="18"/>
      <c r="Y109" s="18"/>
      <c r="Z109" s="17">
        <f>IF($N109="","",COUNT($N109:$S109))</f>
        <v/>
      </c>
      <c r="AA109" s="19">
        <f>IF($Z109="","",INT(INDEX($N109:$S109,$Z109)))</f>
        <v/>
      </c>
      <c r="AB109" s="19">
        <f>IF(OR($Z109="",$Z109=6),"",WORKDAY($AA109,CHOOSE($Z109,3,3,2,2,3),Holidays))</f>
        <v/>
      </c>
      <c r="AC109" s="17">
        <f>IF(OR($Z109="",$Z109=6),"",CHOOSE($Z109,"1st Email Follow-up","2nd Email Follow-up","Escalate Local Office","Escalate to CBE","Escalate to Roxanne"))</f>
        <v/>
      </c>
    </row>
    <row r="110" spans="13:29">
      <c r="M110" s="14"/>
      <c r="T110" s="16"/>
      <c r="U110" s="17">
        <f>IF(AND(COUNTA($A110:$L110)=0,$N110=""),"",IF($T110="Paid","PAID",IF($T110="Closed","CLOSED",IF($Z110="","",IF($Z110=6,"ESCALATED TO ROXANNE",IF(TODAY()&gt;$AB110,"OVERDUE",IF($AB110&lt;=WORKDAY(TODAY(),1,Holidays),"DUE TOMORROW",IF($Z110=4,"ESCALATED TO LOCAL OFFICE",IF($Z110=5,"ESCALATED TO CBE",IF($AA110=TODAY(),"EMAIL SENT","MONITORING"))))))))))</f>
        <v/>
      </c>
      <c r="V110" s="17">
        <f>IF($U110="",IF(AND(COUNTA($A110:$L110)&gt;0,$N110=""),"Awaiting Collection Email time stamp.",""),IF(OR($U110="PAID",$U110="CLOSED"),IF($U110="PAID","Account paid. Action completed.","Account closed. No further action required."),CHOOSE($Z110,"Collection Email","1st Email Follow-up","2nd Email Follow-up","Escalation to Local Office","Escalation to CBE","Escalation to Roxanne")&amp;" sent "&amp;TEXT($AA110,"dd-mmm")&amp;". "&amp;IF($Z110=6,"Final escalation completed.",IF($U110="OVERDUE","Next: "&amp;$AC110&amp;" was due "&amp;TEXT($AB110,"dd-mmm")&amp;" - "&amp;(NETWORKDAYS($AB110,TODAY(),Holidays)-1)&amp;" business day(s) late. Send now.",IF($U110="DUE TOMORROW","Next: "&amp;$AC110&amp;IF($AB110&lt;=TODAY()," is due TODAY ("," is due next business day (")&amp;TEXT($AB110,"dd-mmm")&amp;").","Next: "&amp;$AC110&amp;" due "&amp;TEXT($AB110,"dd-mmm")&amp;" ("&amp;(NETWORKDAYS(TODAY(),$AB110,Holidays)-1)&amp;" business day(s) left).")))))</f>
        <v/>
      </c>
      <c r="W110" s="17">
        <f>IF($Z110="","",CHOOSE($Z110,"Collection Email","1st Follow-up","2nd Follow-up","Local Office","CBE","Roxanne")&amp;IF($Z110=6," - Final"," - Day "&amp;MAX(0,NETWORKDAYS($AA110,TODAY(),Holidays)-1)&amp;" of "&amp;CHOOSE($Z110,3,3,2,2,3))&amp;" | Total Day "&amp;MAX(0,NETWORKDAYS($N110,TODAY(),Holidays)-1))</f>
        <v/>
      </c>
      <c r="X110" s="18"/>
      <c r="Y110" s="18"/>
      <c r="Z110" s="17">
        <f>IF($N110="","",COUNT($N110:$S110))</f>
        <v/>
      </c>
      <c r="AA110" s="19">
        <f>IF($Z110="","",INT(INDEX($N110:$S110,$Z110)))</f>
        <v/>
      </c>
      <c r="AB110" s="19">
        <f>IF(OR($Z110="",$Z110=6),"",WORKDAY($AA110,CHOOSE($Z110,3,3,2,2,3),Holidays))</f>
        <v/>
      </c>
      <c r="AC110" s="17">
        <f>IF(OR($Z110="",$Z110=6),"",CHOOSE($Z110,"1st Email Follow-up","2nd Email Follow-up","Escalate Local Office","Escalate to CBE","Escalate to Roxanne"))</f>
        <v/>
      </c>
    </row>
    <row r="111" spans="13:29">
      <c r="M111" s="14"/>
      <c r="T111" s="16"/>
      <c r="U111" s="17">
        <f>IF(AND(COUNTA($A111:$L111)=0,$N111=""),"",IF($T111="Paid","PAID",IF($T111="Closed","CLOSED",IF($Z111="","",IF($Z111=6,"ESCALATED TO ROXANNE",IF(TODAY()&gt;$AB111,"OVERDUE",IF($AB111&lt;=WORKDAY(TODAY(),1,Holidays),"DUE TOMORROW",IF($Z111=4,"ESCALATED TO LOCAL OFFICE",IF($Z111=5,"ESCALATED TO CBE",IF($AA111=TODAY(),"EMAIL SENT","MONITORING"))))))))))</f>
        <v/>
      </c>
      <c r="V111" s="17">
        <f>IF($U111="",IF(AND(COUNTA($A111:$L111)&gt;0,$N111=""),"Awaiting Collection Email time stamp.",""),IF(OR($U111="PAID",$U111="CLOSED"),IF($U111="PAID","Account paid. Action completed.","Account closed. No further action required."),CHOOSE($Z111,"Collection Email","1st Email Follow-up","2nd Email Follow-up","Escalation to Local Office","Escalation to CBE","Escalation to Roxanne")&amp;" sent "&amp;TEXT($AA111,"dd-mmm")&amp;". "&amp;IF($Z111=6,"Final escalation completed.",IF($U111="OVERDUE","Next: "&amp;$AC111&amp;" was due "&amp;TEXT($AB111,"dd-mmm")&amp;" - "&amp;(NETWORKDAYS($AB111,TODAY(),Holidays)-1)&amp;" business day(s) late. Send now.",IF($U111="DUE TOMORROW","Next: "&amp;$AC111&amp;IF($AB111&lt;=TODAY()," is due TODAY ("," is due next business day (")&amp;TEXT($AB111,"dd-mmm")&amp;").","Next: "&amp;$AC111&amp;" due "&amp;TEXT($AB111,"dd-mmm")&amp;" ("&amp;(NETWORKDAYS(TODAY(),$AB111,Holidays)-1)&amp;" business day(s) left).")))))</f>
        <v/>
      </c>
      <c r="W111" s="17">
        <f>IF($Z111="","",CHOOSE($Z111,"Collection Email","1st Follow-up","2nd Follow-up","Local Office","CBE","Roxanne")&amp;IF($Z111=6," - Final"," - Day "&amp;MAX(0,NETWORKDAYS($AA111,TODAY(),Holidays)-1)&amp;" of "&amp;CHOOSE($Z111,3,3,2,2,3))&amp;" | Total Day "&amp;MAX(0,NETWORKDAYS($N111,TODAY(),Holidays)-1))</f>
        <v/>
      </c>
      <c r="X111" s="18"/>
      <c r="Y111" s="18"/>
      <c r="Z111" s="17">
        <f>IF($N111="","",COUNT($N111:$S111))</f>
        <v/>
      </c>
      <c r="AA111" s="19">
        <f>IF($Z111="","",INT(INDEX($N111:$S111,$Z111)))</f>
        <v/>
      </c>
      <c r="AB111" s="19">
        <f>IF(OR($Z111="",$Z111=6),"",WORKDAY($AA111,CHOOSE($Z111,3,3,2,2,3),Holidays))</f>
        <v/>
      </c>
      <c r="AC111" s="17">
        <f>IF(OR($Z111="",$Z111=6),"",CHOOSE($Z111,"1st Email Follow-up","2nd Email Follow-up","Escalate Local Office","Escalate to CBE","Escalate to Roxanne"))</f>
        <v/>
      </c>
    </row>
    <row r="112" spans="13:29">
      <c r="M112" s="14"/>
      <c r="T112" s="16"/>
      <c r="U112" s="17">
        <f>IF(AND(COUNTA($A112:$L112)=0,$N112=""),"",IF($T112="Paid","PAID",IF($T112="Closed","CLOSED",IF($Z112="","",IF($Z112=6,"ESCALATED TO ROXANNE",IF(TODAY()&gt;$AB112,"OVERDUE",IF($AB112&lt;=WORKDAY(TODAY(),1,Holidays),"DUE TOMORROW",IF($Z112=4,"ESCALATED TO LOCAL OFFICE",IF($Z112=5,"ESCALATED TO CBE",IF($AA112=TODAY(),"EMAIL SENT","MONITORING"))))))))))</f>
        <v/>
      </c>
      <c r="V112" s="17">
        <f>IF($U112="",IF(AND(COUNTA($A112:$L112)&gt;0,$N112=""),"Awaiting Collection Email time stamp.",""),IF(OR($U112="PAID",$U112="CLOSED"),IF($U112="PAID","Account paid. Action completed.","Account closed. No further action required."),CHOOSE($Z112,"Collection Email","1st Email Follow-up","2nd Email Follow-up","Escalation to Local Office","Escalation to CBE","Escalation to Roxanne")&amp;" sent "&amp;TEXT($AA112,"dd-mmm")&amp;". "&amp;IF($Z112=6,"Final escalation completed.",IF($U112="OVERDUE","Next: "&amp;$AC112&amp;" was due "&amp;TEXT($AB112,"dd-mmm")&amp;" - "&amp;(NETWORKDAYS($AB112,TODAY(),Holidays)-1)&amp;" business day(s) late. Send now.",IF($U112="DUE TOMORROW","Next: "&amp;$AC112&amp;IF($AB112&lt;=TODAY()," is due TODAY ("," is due next business day (")&amp;TEXT($AB112,"dd-mmm")&amp;").","Next: "&amp;$AC112&amp;" due "&amp;TEXT($AB112,"dd-mmm")&amp;" ("&amp;(NETWORKDAYS(TODAY(),$AB112,Holidays)-1)&amp;" business day(s) left).")))))</f>
        <v/>
      </c>
      <c r="W112" s="17">
        <f>IF($Z112="","",CHOOSE($Z112,"Collection Email","1st Follow-up","2nd Follow-up","Local Office","CBE","Roxanne")&amp;IF($Z112=6," - Final"," - Day "&amp;MAX(0,NETWORKDAYS($AA112,TODAY(),Holidays)-1)&amp;" of "&amp;CHOOSE($Z112,3,3,2,2,3))&amp;" | Total Day "&amp;MAX(0,NETWORKDAYS($N112,TODAY(),Holidays)-1))</f>
        <v/>
      </c>
      <c r="X112" s="18"/>
      <c r="Y112" s="18"/>
      <c r="Z112" s="17">
        <f>IF($N112="","",COUNT($N112:$S112))</f>
        <v/>
      </c>
      <c r="AA112" s="19">
        <f>IF($Z112="","",INT(INDEX($N112:$S112,$Z112)))</f>
        <v/>
      </c>
      <c r="AB112" s="19">
        <f>IF(OR($Z112="",$Z112=6),"",WORKDAY($AA112,CHOOSE($Z112,3,3,2,2,3),Holidays))</f>
        <v/>
      </c>
      <c r="AC112" s="17">
        <f>IF(OR($Z112="",$Z112=6),"",CHOOSE($Z112,"1st Email Follow-up","2nd Email Follow-up","Escalate Local Office","Escalate to CBE","Escalate to Roxanne"))</f>
        <v/>
      </c>
    </row>
    <row r="113" spans="13:29">
      <c r="M113" s="14"/>
      <c r="T113" s="16"/>
      <c r="U113" s="17">
        <f>IF(AND(COUNTA($A113:$L113)=0,$N113=""),"",IF($T113="Paid","PAID",IF($T113="Closed","CLOSED",IF($Z113="","",IF($Z113=6,"ESCALATED TO ROXANNE",IF(TODAY()&gt;$AB113,"OVERDUE",IF($AB113&lt;=WORKDAY(TODAY(),1,Holidays),"DUE TOMORROW",IF($Z113=4,"ESCALATED TO LOCAL OFFICE",IF($Z113=5,"ESCALATED TO CBE",IF($AA113=TODAY(),"EMAIL SENT","MONITORING"))))))))))</f>
        <v/>
      </c>
      <c r="V113" s="17">
        <f>IF($U113="",IF(AND(COUNTA($A113:$L113)&gt;0,$N113=""),"Awaiting Collection Email time stamp.",""),IF(OR($U113="PAID",$U113="CLOSED"),IF($U113="PAID","Account paid. Action completed.","Account closed. No further action required."),CHOOSE($Z113,"Collection Email","1st Email Follow-up","2nd Email Follow-up","Escalation to Local Office","Escalation to CBE","Escalation to Roxanne")&amp;" sent "&amp;TEXT($AA113,"dd-mmm")&amp;". "&amp;IF($Z113=6,"Final escalation completed.",IF($U113="OVERDUE","Next: "&amp;$AC113&amp;" was due "&amp;TEXT($AB113,"dd-mmm")&amp;" - "&amp;(NETWORKDAYS($AB113,TODAY(),Holidays)-1)&amp;" business day(s) late. Send now.",IF($U113="DUE TOMORROW","Next: "&amp;$AC113&amp;IF($AB113&lt;=TODAY()," is due TODAY ("," is due next business day (")&amp;TEXT($AB113,"dd-mmm")&amp;").","Next: "&amp;$AC113&amp;" due "&amp;TEXT($AB113,"dd-mmm")&amp;" ("&amp;(NETWORKDAYS(TODAY(),$AB113,Holidays)-1)&amp;" business day(s) left).")))))</f>
        <v/>
      </c>
      <c r="W113" s="17">
        <f>IF($Z113="","",CHOOSE($Z113,"Collection Email","1st Follow-up","2nd Follow-up","Local Office","CBE","Roxanne")&amp;IF($Z113=6," - Final"," - Day "&amp;MAX(0,NETWORKDAYS($AA113,TODAY(),Holidays)-1)&amp;" of "&amp;CHOOSE($Z113,3,3,2,2,3))&amp;" | Total Day "&amp;MAX(0,NETWORKDAYS($N113,TODAY(),Holidays)-1))</f>
        <v/>
      </c>
      <c r="X113" s="18"/>
      <c r="Y113" s="18"/>
      <c r="Z113" s="17">
        <f>IF($N113="","",COUNT($N113:$S113))</f>
        <v/>
      </c>
      <c r="AA113" s="19">
        <f>IF($Z113="","",INT(INDEX($N113:$S113,$Z113)))</f>
        <v/>
      </c>
      <c r="AB113" s="19">
        <f>IF(OR($Z113="",$Z113=6),"",WORKDAY($AA113,CHOOSE($Z113,3,3,2,2,3),Holidays))</f>
        <v/>
      </c>
      <c r="AC113" s="17">
        <f>IF(OR($Z113="",$Z113=6),"",CHOOSE($Z113,"1st Email Follow-up","2nd Email Follow-up","Escalate Local Office","Escalate to CBE","Escalate to Roxanne"))</f>
        <v/>
      </c>
    </row>
    <row r="114" spans="13:29">
      <c r="M114" s="14"/>
      <c r="T114" s="16"/>
      <c r="U114" s="17">
        <f>IF(AND(COUNTA($A114:$L114)=0,$N114=""),"",IF($T114="Paid","PAID",IF($T114="Closed","CLOSED",IF($Z114="","",IF($Z114=6,"ESCALATED TO ROXANNE",IF(TODAY()&gt;$AB114,"OVERDUE",IF($AB114&lt;=WORKDAY(TODAY(),1,Holidays),"DUE TOMORROW",IF($Z114=4,"ESCALATED TO LOCAL OFFICE",IF($Z114=5,"ESCALATED TO CBE",IF($AA114=TODAY(),"EMAIL SENT","MONITORING"))))))))))</f>
        <v/>
      </c>
      <c r="V114" s="17">
        <f>IF($U114="",IF(AND(COUNTA($A114:$L114)&gt;0,$N114=""),"Awaiting Collection Email time stamp.",""),IF(OR($U114="PAID",$U114="CLOSED"),IF($U114="PAID","Account paid. Action completed.","Account closed. No further action required."),CHOOSE($Z114,"Collection Email","1st Email Follow-up","2nd Email Follow-up","Escalation to Local Office","Escalation to CBE","Escalation to Roxanne")&amp;" sent "&amp;TEXT($AA114,"dd-mmm")&amp;". "&amp;IF($Z114=6,"Final escalation completed.",IF($U114="OVERDUE","Next: "&amp;$AC114&amp;" was due "&amp;TEXT($AB114,"dd-mmm")&amp;" - "&amp;(NETWORKDAYS($AB114,TODAY(),Holidays)-1)&amp;" business day(s) late. Send now.",IF($U114="DUE TOMORROW","Next: "&amp;$AC114&amp;IF($AB114&lt;=TODAY()," is due TODAY ("," is due next business day (")&amp;TEXT($AB114,"dd-mmm")&amp;").","Next: "&amp;$AC114&amp;" due "&amp;TEXT($AB114,"dd-mmm")&amp;" ("&amp;(NETWORKDAYS(TODAY(),$AB114,Holidays)-1)&amp;" business day(s) left).")))))</f>
        <v/>
      </c>
      <c r="W114" s="17">
        <f>IF($Z114="","",CHOOSE($Z114,"Collection Email","1st Follow-up","2nd Follow-up","Local Office","CBE","Roxanne")&amp;IF($Z114=6," - Final"," - Day "&amp;MAX(0,NETWORKDAYS($AA114,TODAY(),Holidays)-1)&amp;" of "&amp;CHOOSE($Z114,3,3,2,2,3))&amp;" | Total Day "&amp;MAX(0,NETWORKDAYS($N114,TODAY(),Holidays)-1))</f>
        <v/>
      </c>
      <c r="X114" s="18"/>
      <c r="Y114" s="18"/>
      <c r="Z114" s="17">
        <f>IF($N114="","",COUNT($N114:$S114))</f>
        <v/>
      </c>
      <c r="AA114" s="19">
        <f>IF($Z114="","",INT(INDEX($N114:$S114,$Z114)))</f>
        <v/>
      </c>
      <c r="AB114" s="19">
        <f>IF(OR($Z114="",$Z114=6),"",WORKDAY($AA114,CHOOSE($Z114,3,3,2,2,3),Holidays))</f>
        <v/>
      </c>
      <c r="AC114" s="17">
        <f>IF(OR($Z114="",$Z114=6),"",CHOOSE($Z114,"1st Email Follow-up","2nd Email Follow-up","Escalate Local Office","Escalate to CBE","Escalate to Roxanne"))</f>
        <v/>
      </c>
    </row>
    <row r="115" spans="13:29">
      <c r="M115" s="14"/>
      <c r="T115" s="16"/>
      <c r="U115" s="17">
        <f>IF(AND(COUNTA($A115:$L115)=0,$N115=""),"",IF($T115="Paid","PAID",IF($T115="Closed","CLOSED",IF($Z115="","",IF($Z115=6,"ESCALATED TO ROXANNE",IF(TODAY()&gt;$AB115,"OVERDUE",IF($AB115&lt;=WORKDAY(TODAY(),1,Holidays),"DUE TOMORROW",IF($Z115=4,"ESCALATED TO LOCAL OFFICE",IF($Z115=5,"ESCALATED TO CBE",IF($AA115=TODAY(),"EMAIL SENT","MONITORING"))))))))))</f>
        <v/>
      </c>
      <c r="V115" s="17">
        <f>IF($U115="",IF(AND(COUNTA($A115:$L115)&gt;0,$N115=""),"Awaiting Collection Email time stamp.",""),IF(OR($U115="PAID",$U115="CLOSED"),IF($U115="PAID","Account paid. Action completed.","Account closed. No further action required."),CHOOSE($Z115,"Collection Email","1st Email Follow-up","2nd Email Follow-up","Escalation to Local Office","Escalation to CBE","Escalation to Roxanne")&amp;" sent "&amp;TEXT($AA115,"dd-mmm")&amp;". "&amp;IF($Z115=6,"Final escalation completed.",IF($U115="OVERDUE","Next: "&amp;$AC115&amp;" was due "&amp;TEXT($AB115,"dd-mmm")&amp;" - "&amp;(NETWORKDAYS($AB115,TODAY(),Holidays)-1)&amp;" business day(s) late. Send now.",IF($U115="DUE TOMORROW","Next: "&amp;$AC115&amp;IF($AB115&lt;=TODAY()," is due TODAY ("," is due next business day (")&amp;TEXT($AB115,"dd-mmm")&amp;").","Next: "&amp;$AC115&amp;" due "&amp;TEXT($AB115,"dd-mmm")&amp;" ("&amp;(NETWORKDAYS(TODAY(),$AB115,Holidays)-1)&amp;" business day(s) left).")))))</f>
        <v/>
      </c>
      <c r="W115" s="17">
        <f>IF($Z115="","",CHOOSE($Z115,"Collection Email","1st Follow-up","2nd Follow-up","Local Office","CBE","Roxanne")&amp;IF($Z115=6," - Final"," - Day "&amp;MAX(0,NETWORKDAYS($AA115,TODAY(),Holidays)-1)&amp;" of "&amp;CHOOSE($Z115,3,3,2,2,3))&amp;" | Total Day "&amp;MAX(0,NETWORKDAYS($N115,TODAY(),Holidays)-1))</f>
        <v/>
      </c>
      <c r="X115" s="18"/>
      <c r="Y115" s="18"/>
      <c r="Z115" s="17">
        <f>IF($N115="","",COUNT($N115:$S115))</f>
        <v/>
      </c>
      <c r="AA115" s="19">
        <f>IF($Z115="","",INT(INDEX($N115:$S115,$Z115)))</f>
        <v/>
      </c>
      <c r="AB115" s="19">
        <f>IF(OR($Z115="",$Z115=6),"",WORKDAY($AA115,CHOOSE($Z115,3,3,2,2,3),Holidays))</f>
        <v/>
      </c>
      <c r="AC115" s="17">
        <f>IF(OR($Z115="",$Z115=6),"",CHOOSE($Z115,"1st Email Follow-up","2nd Email Follow-up","Escalate Local Office","Escalate to CBE","Escalate to Roxanne"))</f>
        <v/>
      </c>
    </row>
    <row r="116" spans="13:29">
      <c r="M116" s="14"/>
      <c r="T116" s="16"/>
      <c r="U116" s="17">
        <f>IF(AND(COUNTA($A116:$L116)=0,$N116=""),"",IF($T116="Paid","PAID",IF($T116="Closed","CLOSED",IF($Z116="","",IF($Z116=6,"ESCALATED TO ROXANNE",IF(TODAY()&gt;$AB116,"OVERDUE",IF($AB116&lt;=WORKDAY(TODAY(),1,Holidays),"DUE TOMORROW",IF($Z116=4,"ESCALATED TO LOCAL OFFICE",IF($Z116=5,"ESCALATED TO CBE",IF($AA116=TODAY(),"EMAIL SENT","MONITORING"))))))))))</f>
        <v/>
      </c>
      <c r="V116" s="17">
        <f>IF($U116="",IF(AND(COUNTA($A116:$L116)&gt;0,$N116=""),"Awaiting Collection Email time stamp.",""),IF(OR($U116="PAID",$U116="CLOSED"),IF($U116="PAID","Account paid. Action completed.","Account closed. No further action required."),CHOOSE($Z116,"Collection Email","1st Email Follow-up","2nd Email Follow-up","Escalation to Local Office","Escalation to CBE","Escalation to Roxanne")&amp;" sent "&amp;TEXT($AA116,"dd-mmm")&amp;". "&amp;IF($Z116=6,"Final escalation completed.",IF($U116="OVERDUE","Next: "&amp;$AC116&amp;" was due "&amp;TEXT($AB116,"dd-mmm")&amp;" - "&amp;(NETWORKDAYS($AB116,TODAY(),Holidays)-1)&amp;" business day(s) late. Send now.",IF($U116="DUE TOMORROW","Next: "&amp;$AC116&amp;IF($AB116&lt;=TODAY()," is due TODAY ("," is due next business day (")&amp;TEXT($AB116,"dd-mmm")&amp;").","Next: "&amp;$AC116&amp;" due "&amp;TEXT($AB116,"dd-mmm")&amp;" ("&amp;(NETWORKDAYS(TODAY(),$AB116,Holidays)-1)&amp;" business day(s) left).")))))</f>
        <v/>
      </c>
      <c r="W116" s="17">
        <f>IF($Z116="","",CHOOSE($Z116,"Collection Email","1st Follow-up","2nd Follow-up","Local Office","CBE","Roxanne")&amp;IF($Z116=6," - Final"," - Day "&amp;MAX(0,NETWORKDAYS($AA116,TODAY(),Holidays)-1)&amp;" of "&amp;CHOOSE($Z116,3,3,2,2,3))&amp;" | Total Day "&amp;MAX(0,NETWORKDAYS($N116,TODAY(),Holidays)-1))</f>
        <v/>
      </c>
      <c r="X116" s="18"/>
      <c r="Y116" s="18"/>
      <c r="Z116" s="17">
        <f>IF($N116="","",COUNT($N116:$S116))</f>
        <v/>
      </c>
      <c r="AA116" s="19">
        <f>IF($Z116="","",INT(INDEX($N116:$S116,$Z116)))</f>
        <v/>
      </c>
      <c r="AB116" s="19">
        <f>IF(OR($Z116="",$Z116=6),"",WORKDAY($AA116,CHOOSE($Z116,3,3,2,2,3),Holidays))</f>
        <v/>
      </c>
      <c r="AC116" s="17">
        <f>IF(OR($Z116="",$Z116=6),"",CHOOSE($Z116,"1st Email Follow-up","2nd Email Follow-up","Escalate Local Office","Escalate to CBE","Escalate to Roxanne"))</f>
        <v/>
      </c>
    </row>
    <row r="117" spans="13:29">
      <c r="M117" s="14"/>
      <c r="T117" s="16"/>
      <c r="U117" s="17">
        <f>IF(AND(COUNTA($A117:$L117)=0,$N117=""),"",IF($T117="Paid","PAID",IF($T117="Closed","CLOSED",IF($Z117="","",IF($Z117=6,"ESCALATED TO ROXANNE",IF(TODAY()&gt;$AB117,"OVERDUE",IF($AB117&lt;=WORKDAY(TODAY(),1,Holidays),"DUE TOMORROW",IF($Z117=4,"ESCALATED TO LOCAL OFFICE",IF($Z117=5,"ESCALATED TO CBE",IF($AA117=TODAY(),"EMAIL SENT","MONITORING"))))))))))</f>
        <v/>
      </c>
      <c r="V117" s="17">
        <f>IF($U117="",IF(AND(COUNTA($A117:$L117)&gt;0,$N117=""),"Awaiting Collection Email time stamp.",""),IF(OR($U117="PAID",$U117="CLOSED"),IF($U117="PAID","Account paid. Action completed.","Account closed. No further action required."),CHOOSE($Z117,"Collection Email","1st Email Follow-up","2nd Email Follow-up","Escalation to Local Office","Escalation to CBE","Escalation to Roxanne")&amp;" sent "&amp;TEXT($AA117,"dd-mmm")&amp;". "&amp;IF($Z117=6,"Final escalation completed.",IF($U117="OVERDUE","Next: "&amp;$AC117&amp;" was due "&amp;TEXT($AB117,"dd-mmm")&amp;" - "&amp;(NETWORKDAYS($AB117,TODAY(),Holidays)-1)&amp;" business day(s) late. Send now.",IF($U117="DUE TOMORROW","Next: "&amp;$AC117&amp;IF($AB117&lt;=TODAY()," is due TODAY ("," is due next business day (")&amp;TEXT($AB117,"dd-mmm")&amp;").","Next: "&amp;$AC117&amp;" due "&amp;TEXT($AB117,"dd-mmm")&amp;" ("&amp;(NETWORKDAYS(TODAY(),$AB117,Holidays)-1)&amp;" business day(s) left).")))))</f>
        <v/>
      </c>
      <c r="W117" s="17">
        <f>IF($Z117="","",CHOOSE($Z117,"Collection Email","1st Follow-up","2nd Follow-up","Local Office","CBE","Roxanne")&amp;IF($Z117=6," - Final"," - Day "&amp;MAX(0,NETWORKDAYS($AA117,TODAY(),Holidays)-1)&amp;" of "&amp;CHOOSE($Z117,3,3,2,2,3))&amp;" | Total Day "&amp;MAX(0,NETWORKDAYS($N117,TODAY(),Holidays)-1))</f>
        <v/>
      </c>
      <c r="X117" s="18"/>
      <c r="Y117" s="18"/>
      <c r="Z117" s="17">
        <f>IF($N117="","",COUNT($N117:$S117))</f>
        <v/>
      </c>
      <c r="AA117" s="19">
        <f>IF($Z117="","",INT(INDEX($N117:$S117,$Z117)))</f>
        <v/>
      </c>
      <c r="AB117" s="19">
        <f>IF(OR($Z117="",$Z117=6),"",WORKDAY($AA117,CHOOSE($Z117,3,3,2,2,3),Holidays))</f>
        <v/>
      </c>
      <c r="AC117" s="17">
        <f>IF(OR($Z117="",$Z117=6),"",CHOOSE($Z117,"1st Email Follow-up","2nd Email Follow-up","Escalate Local Office","Escalate to CBE","Escalate to Roxanne"))</f>
        <v/>
      </c>
    </row>
    <row r="118" spans="13:29">
      <c r="M118" s="14"/>
      <c r="T118" s="16"/>
      <c r="U118" s="17">
        <f>IF(AND(COUNTA($A118:$L118)=0,$N118=""),"",IF($T118="Paid","PAID",IF($T118="Closed","CLOSED",IF($Z118="","",IF($Z118=6,"ESCALATED TO ROXANNE",IF(TODAY()&gt;$AB118,"OVERDUE",IF($AB118&lt;=WORKDAY(TODAY(),1,Holidays),"DUE TOMORROW",IF($Z118=4,"ESCALATED TO LOCAL OFFICE",IF($Z118=5,"ESCALATED TO CBE",IF($AA118=TODAY(),"EMAIL SENT","MONITORING"))))))))))</f>
        <v/>
      </c>
      <c r="V118" s="17">
        <f>IF($U118="",IF(AND(COUNTA($A118:$L118)&gt;0,$N118=""),"Awaiting Collection Email time stamp.",""),IF(OR($U118="PAID",$U118="CLOSED"),IF($U118="PAID","Account paid. Action completed.","Account closed. No further action required."),CHOOSE($Z118,"Collection Email","1st Email Follow-up","2nd Email Follow-up","Escalation to Local Office","Escalation to CBE","Escalation to Roxanne")&amp;" sent "&amp;TEXT($AA118,"dd-mmm")&amp;". "&amp;IF($Z118=6,"Final escalation completed.",IF($U118="OVERDUE","Next: "&amp;$AC118&amp;" was due "&amp;TEXT($AB118,"dd-mmm")&amp;" - "&amp;(NETWORKDAYS($AB118,TODAY(),Holidays)-1)&amp;" business day(s) late. Send now.",IF($U118="DUE TOMORROW","Next: "&amp;$AC118&amp;IF($AB118&lt;=TODAY()," is due TODAY ("," is due next business day (")&amp;TEXT($AB118,"dd-mmm")&amp;").","Next: "&amp;$AC118&amp;" due "&amp;TEXT($AB118,"dd-mmm")&amp;" ("&amp;(NETWORKDAYS(TODAY(),$AB118,Holidays)-1)&amp;" business day(s) left).")))))</f>
        <v/>
      </c>
      <c r="W118" s="17">
        <f>IF($Z118="","",CHOOSE($Z118,"Collection Email","1st Follow-up","2nd Follow-up","Local Office","CBE","Roxanne")&amp;IF($Z118=6," - Final"," - Day "&amp;MAX(0,NETWORKDAYS($AA118,TODAY(),Holidays)-1)&amp;" of "&amp;CHOOSE($Z118,3,3,2,2,3))&amp;" | Total Day "&amp;MAX(0,NETWORKDAYS($N118,TODAY(),Holidays)-1))</f>
        <v/>
      </c>
      <c r="X118" s="18"/>
      <c r="Y118" s="18"/>
      <c r="Z118" s="17">
        <f>IF($N118="","",COUNT($N118:$S118))</f>
        <v/>
      </c>
      <c r="AA118" s="19">
        <f>IF($Z118="","",INT(INDEX($N118:$S118,$Z118)))</f>
        <v/>
      </c>
      <c r="AB118" s="19">
        <f>IF(OR($Z118="",$Z118=6),"",WORKDAY($AA118,CHOOSE($Z118,3,3,2,2,3),Holidays))</f>
        <v/>
      </c>
      <c r="AC118" s="17">
        <f>IF(OR($Z118="",$Z118=6),"",CHOOSE($Z118,"1st Email Follow-up","2nd Email Follow-up","Escalate Local Office","Escalate to CBE","Escalate to Roxanne"))</f>
        <v/>
      </c>
    </row>
    <row r="119" spans="13:29">
      <c r="M119" s="14"/>
      <c r="T119" s="16"/>
      <c r="U119" s="17">
        <f>IF(AND(COUNTA($A119:$L119)=0,$N119=""),"",IF($T119="Paid","PAID",IF($T119="Closed","CLOSED",IF($Z119="","",IF($Z119=6,"ESCALATED TO ROXANNE",IF(TODAY()&gt;$AB119,"OVERDUE",IF($AB119&lt;=WORKDAY(TODAY(),1,Holidays),"DUE TOMORROW",IF($Z119=4,"ESCALATED TO LOCAL OFFICE",IF($Z119=5,"ESCALATED TO CBE",IF($AA119=TODAY(),"EMAIL SENT","MONITORING"))))))))))</f>
        <v/>
      </c>
      <c r="V119" s="17">
        <f>IF($U119="",IF(AND(COUNTA($A119:$L119)&gt;0,$N119=""),"Awaiting Collection Email time stamp.",""),IF(OR($U119="PAID",$U119="CLOSED"),IF($U119="PAID","Account paid. Action completed.","Account closed. No further action required."),CHOOSE($Z119,"Collection Email","1st Email Follow-up","2nd Email Follow-up","Escalation to Local Office","Escalation to CBE","Escalation to Roxanne")&amp;" sent "&amp;TEXT($AA119,"dd-mmm")&amp;". "&amp;IF($Z119=6,"Final escalation completed.",IF($U119="OVERDUE","Next: "&amp;$AC119&amp;" was due "&amp;TEXT($AB119,"dd-mmm")&amp;" - "&amp;(NETWORKDAYS($AB119,TODAY(),Holidays)-1)&amp;" business day(s) late. Send now.",IF($U119="DUE TOMORROW","Next: "&amp;$AC119&amp;IF($AB119&lt;=TODAY()," is due TODAY ("," is due next business day (")&amp;TEXT($AB119,"dd-mmm")&amp;").","Next: "&amp;$AC119&amp;" due "&amp;TEXT($AB119,"dd-mmm")&amp;" ("&amp;(NETWORKDAYS(TODAY(),$AB119,Holidays)-1)&amp;" business day(s) left).")))))</f>
        <v/>
      </c>
      <c r="W119" s="17">
        <f>IF($Z119="","",CHOOSE($Z119,"Collection Email","1st Follow-up","2nd Follow-up","Local Office","CBE","Roxanne")&amp;IF($Z119=6," - Final"," - Day "&amp;MAX(0,NETWORKDAYS($AA119,TODAY(),Holidays)-1)&amp;" of "&amp;CHOOSE($Z119,3,3,2,2,3))&amp;" | Total Day "&amp;MAX(0,NETWORKDAYS($N119,TODAY(),Holidays)-1))</f>
        <v/>
      </c>
      <c r="X119" s="18"/>
      <c r="Y119" s="18"/>
      <c r="Z119" s="17">
        <f>IF($N119="","",COUNT($N119:$S119))</f>
        <v/>
      </c>
      <c r="AA119" s="19">
        <f>IF($Z119="","",INT(INDEX($N119:$S119,$Z119)))</f>
        <v/>
      </c>
      <c r="AB119" s="19">
        <f>IF(OR($Z119="",$Z119=6),"",WORKDAY($AA119,CHOOSE($Z119,3,3,2,2,3),Holidays))</f>
        <v/>
      </c>
      <c r="AC119" s="17">
        <f>IF(OR($Z119="",$Z119=6),"",CHOOSE($Z119,"1st Email Follow-up","2nd Email Follow-up","Escalate Local Office","Escalate to CBE","Escalate to Roxanne"))</f>
        <v/>
      </c>
    </row>
    <row r="120" spans="13:29">
      <c r="M120" s="14"/>
      <c r="T120" s="16"/>
      <c r="U120" s="17">
        <f>IF(AND(COUNTA($A120:$L120)=0,$N120=""),"",IF($T120="Paid","PAID",IF($T120="Closed","CLOSED",IF($Z120="","",IF($Z120=6,"ESCALATED TO ROXANNE",IF(TODAY()&gt;$AB120,"OVERDUE",IF($AB120&lt;=WORKDAY(TODAY(),1,Holidays),"DUE TOMORROW",IF($Z120=4,"ESCALATED TO LOCAL OFFICE",IF($Z120=5,"ESCALATED TO CBE",IF($AA120=TODAY(),"EMAIL SENT","MONITORING"))))))))))</f>
        <v/>
      </c>
      <c r="V120" s="17">
        <f>IF($U120="",IF(AND(COUNTA($A120:$L120)&gt;0,$N120=""),"Awaiting Collection Email time stamp.",""),IF(OR($U120="PAID",$U120="CLOSED"),IF($U120="PAID","Account paid. Action completed.","Account closed. No further action required."),CHOOSE($Z120,"Collection Email","1st Email Follow-up","2nd Email Follow-up","Escalation to Local Office","Escalation to CBE","Escalation to Roxanne")&amp;" sent "&amp;TEXT($AA120,"dd-mmm")&amp;". "&amp;IF($Z120=6,"Final escalation completed.",IF($U120="OVERDUE","Next: "&amp;$AC120&amp;" was due "&amp;TEXT($AB120,"dd-mmm")&amp;" - "&amp;(NETWORKDAYS($AB120,TODAY(),Holidays)-1)&amp;" business day(s) late. Send now.",IF($U120="DUE TOMORROW","Next: "&amp;$AC120&amp;IF($AB120&lt;=TODAY()," is due TODAY ("," is due next business day (")&amp;TEXT($AB120,"dd-mmm")&amp;").","Next: "&amp;$AC120&amp;" due "&amp;TEXT($AB120,"dd-mmm")&amp;" ("&amp;(NETWORKDAYS(TODAY(),$AB120,Holidays)-1)&amp;" business day(s) left).")))))</f>
        <v/>
      </c>
      <c r="W120" s="17">
        <f>IF($Z120="","",CHOOSE($Z120,"Collection Email","1st Follow-up","2nd Follow-up","Local Office","CBE","Roxanne")&amp;IF($Z120=6," - Final"," - Day "&amp;MAX(0,NETWORKDAYS($AA120,TODAY(),Holidays)-1)&amp;" of "&amp;CHOOSE($Z120,3,3,2,2,3))&amp;" | Total Day "&amp;MAX(0,NETWORKDAYS($N120,TODAY(),Holidays)-1))</f>
        <v/>
      </c>
      <c r="X120" s="18"/>
      <c r="Y120" s="18"/>
      <c r="Z120" s="17">
        <f>IF($N120="","",COUNT($N120:$S120))</f>
        <v/>
      </c>
      <c r="AA120" s="19">
        <f>IF($Z120="","",INT(INDEX($N120:$S120,$Z120)))</f>
        <v/>
      </c>
      <c r="AB120" s="19">
        <f>IF(OR($Z120="",$Z120=6),"",WORKDAY($AA120,CHOOSE($Z120,3,3,2,2,3),Holidays))</f>
        <v/>
      </c>
      <c r="AC120" s="17">
        <f>IF(OR($Z120="",$Z120=6),"",CHOOSE($Z120,"1st Email Follow-up","2nd Email Follow-up","Escalate Local Office","Escalate to CBE","Escalate to Roxanne"))</f>
        <v/>
      </c>
    </row>
    <row r="121" spans="13:29">
      <c r="M121" s="14"/>
      <c r="T121" s="16"/>
      <c r="U121" s="17">
        <f>IF(AND(COUNTA($A121:$L121)=0,$N121=""),"",IF($T121="Paid","PAID",IF($T121="Closed","CLOSED",IF($Z121="","",IF($Z121=6,"ESCALATED TO ROXANNE",IF(TODAY()&gt;$AB121,"OVERDUE",IF($AB121&lt;=WORKDAY(TODAY(),1,Holidays),"DUE TOMORROW",IF($Z121=4,"ESCALATED TO LOCAL OFFICE",IF($Z121=5,"ESCALATED TO CBE",IF($AA121=TODAY(),"EMAIL SENT","MONITORING"))))))))))</f>
        <v/>
      </c>
      <c r="V121" s="17">
        <f>IF($U121="",IF(AND(COUNTA($A121:$L121)&gt;0,$N121=""),"Awaiting Collection Email time stamp.",""),IF(OR($U121="PAID",$U121="CLOSED"),IF($U121="PAID","Account paid. Action completed.","Account closed. No further action required."),CHOOSE($Z121,"Collection Email","1st Email Follow-up","2nd Email Follow-up","Escalation to Local Office","Escalation to CBE","Escalation to Roxanne")&amp;" sent "&amp;TEXT($AA121,"dd-mmm")&amp;". "&amp;IF($Z121=6,"Final escalation completed.",IF($U121="OVERDUE","Next: "&amp;$AC121&amp;" was due "&amp;TEXT($AB121,"dd-mmm")&amp;" - "&amp;(NETWORKDAYS($AB121,TODAY(),Holidays)-1)&amp;" business day(s) late. Send now.",IF($U121="DUE TOMORROW","Next: "&amp;$AC121&amp;IF($AB121&lt;=TODAY()," is due TODAY ("," is due next business day (")&amp;TEXT($AB121,"dd-mmm")&amp;").","Next: "&amp;$AC121&amp;" due "&amp;TEXT($AB121,"dd-mmm")&amp;" ("&amp;(NETWORKDAYS(TODAY(),$AB121,Holidays)-1)&amp;" business day(s) left).")))))</f>
        <v/>
      </c>
      <c r="W121" s="17">
        <f>IF($Z121="","",CHOOSE($Z121,"Collection Email","1st Follow-up","2nd Follow-up","Local Office","CBE","Roxanne")&amp;IF($Z121=6," - Final"," - Day "&amp;MAX(0,NETWORKDAYS($AA121,TODAY(),Holidays)-1)&amp;" of "&amp;CHOOSE($Z121,3,3,2,2,3))&amp;" | Total Day "&amp;MAX(0,NETWORKDAYS($N121,TODAY(),Holidays)-1))</f>
        <v/>
      </c>
      <c r="X121" s="18"/>
      <c r="Y121" s="18"/>
      <c r="Z121" s="17">
        <f>IF($N121="","",COUNT($N121:$S121))</f>
        <v/>
      </c>
      <c r="AA121" s="19">
        <f>IF($Z121="","",INT(INDEX($N121:$S121,$Z121)))</f>
        <v/>
      </c>
      <c r="AB121" s="19">
        <f>IF(OR($Z121="",$Z121=6),"",WORKDAY($AA121,CHOOSE($Z121,3,3,2,2,3),Holidays))</f>
        <v/>
      </c>
      <c r="AC121" s="17">
        <f>IF(OR($Z121="",$Z121=6),"",CHOOSE($Z121,"1st Email Follow-up","2nd Email Follow-up","Escalate Local Office","Escalate to CBE","Escalate to Roxanne"))</f>
        <v/>
      </c>
    </row>
    <row r="122" spans="13:29">
      <c r="M122" s="14"/>
      <c r="T122" s="16"/>
      <c r="U122" s="17">
        <f>IF(AND(COUNTA($A122:$L122)=0,$N122=""),"",IF($T122="Paid","PAID",IF($T122="Closed","CLOSED",IF($Z122="","",IF($Z122=6,"ESCALATED TO ROXANNE",IF(TODAY()&gt;$AB122,"OVERDUE",IF($AB122&lt;=WORKDAY(TODAY(),1,Holidays),"DUE TOMORROW",IF($Z122=4,"ESCALATED TO LOCAL OFFICE",IF($Z122=5,"ESCALATED TO CBE",IF($AA122=TODAY(),"EMAIL SENT","MONITORING"))))))))))</f>
        <v/>
      </c>
      <c r="V122" s="17">
        <f>IF($U122="",IF(AND(COUNTA($A122:$L122)&gt;0,$N122=""),"Awaiting Collection Email time stamp.",""),IF(OR($U122="PAID",$U122="CLOSED"),IF($U122="PAID","Account paid. Action completed.","Account closed. No further action required."),CHOOSE($Z122,"Collection Email","1st Email Follow-up","2nd Email Follow-up","Escalation to Local Office","Escalation to CBE","Escalation to Roxanne")&amp;" sent "&amp;TEXT($AA122,"dd-mmm")&amp;". "&amp;IF($Z122=6,"Final escalation completed.",IF($U122="OVERDUE","Next: "&amp;$AC122&amp;" was due "&amp;TEXT($AB122,"dd-mmm")&amp;" - "&amp;(NETWORKDAYS($AB122,TODAY(),Holidays)-1)&amp;" business day(s) late. Send now.",IF($U122="DUE TOMORROW","Next: "&amp;$AC122&amp;IF($AB122&lt;=TODAY()," is due TODAY ("," is due next business day (")&amp;TEXT($AB122,"dd-mmm")&amp;").","Next: "&amp;$AC122&amp;" due "&amp;TEXT($AB122,"dd-mmm")&amp;" ("&amp;(NETWORKDAYS(TODAY(),$AB122,Holidays)-1)&amp;" business day(s) left).")))))</f>
        <v/>
      </c>
      <c r="W122" s="17">
        <f>IF($Z122="","",CHOOSE($Z122,"Collection Email","1st Follow-up","2nd Follow-up","Local Office","CBE","Roxanne")&amp;IF($Z122=6," - Final"," - Day "&amp;MAX(0,NETWORKDAYS($AA122,TODAY(),Holidays)-1)&amp;" of "&amp;CHOOSE($Z122,3,3,2,2,3))&amp;" | Total Day "&amp;MAX(0,NETWORKDAYS($N122,TODAY(),Holidays)-1))</f>
        <v/>
      </c>
      <c r="X122" s="18"/>
      <c r="Y122" s="18"/>
      <c r="Z122" s="17">
        <f>IF($N122="","",COUNT($N122:$S122))</f>
        <v/>
      </c>
      <c r="AA122" s="19">
        <f>IF($Z122="","",INT(INDEX($N122:$S122,$Z122)))</f>
        <v/>
      </c>
      <c r="AB122" s="19">
        <f>IF(OR($Z122="",$Z122=6),"",WORKDAY($AA122,CHOOSE($Z122,3,3,2,2,3),Holidays))</f>
        <v/>
      </c>
      <c r="AC122" s="17">
        <f>IF(OR($Z122="",$Z122=6),"",CHOOSE($Z122,"1st Email Follow-up","2nd Email Follow-up","Escalate Local Office","Escalate to CBE","Escalate to Roxanne"))</f>
        <v/>
      </c>
    </row>
    <row r="123" spans="13:29">
      <c r="M123" s="14"/>
      <c r="T123" s="16"/>
      <c r="U123" s="17">
        <f>IF(AND(COUNTA($A123:$L123)=0,$N123=""),"",IF($T123="Paid","PAID",IF($T123="Closed","CLOSED",IF($Z123="","",IF($Z123=6,"ESCALATED TO ROXANNE",IF(TODAY()&gt;$AB123,"OVERDUE",IF($AB123&lt;=WORKDAY(TODAY(),1,Holidays),"DUE TOMORROW",IF($Z123=4,"ESCALATED TO LOCAL OFFICE",IF($Z123=5,"ESCALATED TO CBE",IF($AA123=TODAY(),"EMAIL SENT","MONITORING"))))))))))</f>
        <v/>
      </c>
      <c r="V123" s="17">
        <f>IF($U123="",IF(AND(COUNTA($A123:$L123)&gt;0,$N123=""),"Awaiting Collection Email time stamp.",""),IF(OR($U123="PAID",$U123="CLOSED"),IF($U123="PAID","Account paid. Action completed.","Account closed. No further action required."),CHOOSE($Z123,"Collection Email","1st Email Follow-up","2nd Email Follow-up","Escalation to Local Office","Escalation to CBE","Escalation to Roxanne")&amp;" sent "&amp;TEXT($AA123,"dd-mmm")&amp;". "&amp;IF($Z123=6,"Final escalation completed.",IF($U123="OVERDUE","Next: "&amp;$AC123&amp;" was due "&amp;TEXT($AB123,"dd-mmm")&amp;" - "&amp;(NETWORKDAYS($AB123,TODAY(),Holidays)-1)&amp;" business day(s) late. Send now.",IF($U123="DUE TOMORROW","Next: "&amp;$AC123&amp;IF($AB123&lt;=TODAY()," is due TODAY ("," is due next business day (")&amp;TEXT($AB123,"dd-mmm")&amp;").","Next: "&amp;$AC123&amp;" due "&amp;TEXT($AB123,"dd-mmm")&amp;" ("&amp;(NETWORKDAYS(TODAY(),$AB123,Holidays)-1)&amp;" business day(s) left).")))))</f>
        <v/>
      </c>
      <c r="W123" s="17">
        <f>IF($Z123="","",CHOOSE($Z123,"Collection Email","1st Follow-up","2nd Follow-up","Local Office","CBE","Roxanne")&amp;IF($Z123=6," - Final"," - Day "&amp;MAX(0,NETWORKDAYS($AA123,TODAY(),Holidays)-1)&amp;" of "&amp;CHOOSE($Z123,3,3,2,2,3))&amp;" | Total Day "&amp;MAX(0,NETWORKDAYS($N123,TODAY(),Holidays)-1))</f>
        <v/>
      </c>
      <c r="X123" s="18"/>
      <c r="Y123" s="18"/>
      <c r="Z123" s="17">
        <f>IF($N123="","",COUNT($N123:$S123))</f>
        <v/>
      </c>
      <c r="AA123" s="19">
        <f>IF($Z123="","",INT(INDEX($N123:$S123,$Z123)))</f>
        <v/>
      </c>
      <c r="AB123" s="19">
        <f>IF(OR($Z123="",$Z123=6),"",WORKDAY($AA123,CHOOSE($Z123,3,3,2,2,3),Holidays))</f>
        <v/>
      </c>
      <c r="AC123" s="17">
        <f>IF(OR($Z123="",$Z123=6),"",CHOOSE($Z123,"1st Email Follow-up","2nd Email Follow-up","Escalate Local Office","Escalate to CBE","Escalate to Roxanne"))</f>
        <v/>
      </c>
    </row>
    <row r="124" spans="13:29">
      <c r="M124" s="14"/>
      <c r="T124" s="16"/>
      <c r="U124" s="17">
        <f>IF(AND(COUNTA($A124:$L124)=0,$N124=""),"",IF($T124="Paid","PAID",IF($T124="Closed","CLOSED",IF($Z124="","",IF($Z124=6,"ESCALATED TO ROXANNE",IF(TODAY()&gt;$AB124,"OVERDUE",IF($AB124&lt;=WORKDAY(TODAY(),1,Holidays),"DUE TOMORROW",IF($Z124=4,"ESCALATED TO LOCAL OFFICE",IF($Z124=5,"ESCALATED TO CBE",IF($AA124=TODAY(),"EMAIL SENT","MONITORING"))))))))))</f>
        <v/>
      </c>
      <c r="V124" s="17">
        <f>IF($U124="",IF(AND(COUNTA($A124:$L124)&gt;0,$N124=""),"Awaiting Collection Email time stamp.",""),IF(OR($U124="PAID",$U124="CLOSED"),IF($U124="PAID","Account paid. Action completed.","Account closed. No further action required."),CHOOSE($Z124,"Collection Email","1st Email Follow-up","2nd Email Follow-up","Escalation to Local Office","Escalation to CBE","Escalation to Roxanne")&amp;" sent "&amp;TEXT($AA124,"dd-mmm")&amp;". "&amp;IF($Z124=6,"Final escalation completed.",IF($U124="OVERDUE","Next: "&amp;$AC124&amp;" was due "&amp;TEXT($AB124,"dd-mmm")&amp;" - "&amp;(NETWORKDAYS($AB124,TODAY(),Holidays)-1)&amp;" business day(s) late. Send now.",IF($U124="DUE TOMORROW","Next: "&amp;$AC124&amp;IF($AB124&lt;=TODAY()," is due TODAY ("," is due next business day (")&amp;TEXT($AB124,"dd-mmm")&amp;").","Next: "&amp;$AC124&amp;" due "&amp;TEXT($AB124,"dd-mmm")&amp;" ("&amp;(NETWORKDAYS(TODAY(),$AB124,Holidays)-1)&amp;" business day(s) left).")))))</f>
        <v/>
      </c>
      <c r="W124" s="17">
        <f>IF($Z124="","",CHOOSE($Z124,"Collection Email","1st Follow-up","2nd Follow-up","Local Office","CBE","Roxanne")&amp;IF($Z124=6," - Final"," - Day "&amp;MAX(0,NETWORKDAYS($AA124,TODAY(),Holidays)-1)&amp;" of "&amp;CHOOSE($Z124,3,3,2,2,3))&amp;" | Total Day "&amp;MAX(0,NETWORKDAYS($N124,TODAY(),Holidays)-1))</f>
        <v/>
      </c>
      <c r="X124" s="18"/>
      <c r="Y124" s="18"/>
      <c r="Z124" s="17">
        <f>IF($N124="","",COUNT($N124:$S124))</f>
        <v/>
      </c>
      <c r="AA124" s="19">
        <f>IF($Z124="","",INT(INDEX($N124:$S124,$Z124)))</f>
        <v/>
      </c>
      <c r="AB124" s="19">
        <f>IF(OR($Z124="",$Z124=6),"",WORKDAY($AA124,CHOOSE($Z124,3,3,2,2,3),Holidays))</f>
        <v/>
      </c>
      <c r="AC124" s="17">
        <f>IF(OR($Z124="",$Z124=6),"",CHOOSE($Z124,"1st Email Follow-up","2nd Email Follow-up","Escalate Local Office","Escalate to CBE","Escalate to Roxanne"))</f>
        <v/>
      </c>
    </row>
    <row r="125" spans="13:29">
      <c r="M125" s="14"/>
      <c r="T125" s="16"/>
      <c r="U125" s="17">
        <f>IF(AND(COUNTA($A125:$L125)=0,$N125=""),"",IF($T125="Paid","PAID",IF($T125="Closed","CLOSED",IF($Z125="","",IF($Z125=6,"ESCALATED TO ROXANNE",IF(TODAY()&gt;$AB125,"OVERDUE",IF($AB125&lt;=WORKDAY(TODAY(),1,Holidays),"DUE TOMORROW",IF($Z125=4,"ESCALATED TO LOCAL OFFICE",IF($Z125=5,"ESCALATED TO CBE",IF($AA125=TODAY(),"EMAIL SENT","MONITORING"))))))))))</f>
        <v/>
      </c>
      <c r="V125" s="17">
        <f>IF($U125="",IF(AND(COUNTA($A125:$L125)&gt;0,$N125=""),"Awaiting Collection Email time stamp.",""),IF(OR($U125="PAID",$U125="CLOSED"),IF($U125="PAID","Account paid. Action completed.","Account closed. No further action required."),CHOOSE($Z125,"Collection Email","1st Email Follow-up","2nd Email Follow-up","Escalation to Local Office","Escalation to CBE","Escalation to Roxanne")&amp;" sent "&amp;TEXT($AA125,"dd-mmm")&amp;". "&amp;IF($Z125=6,"Final escalation completed.",IF($U125="OVERDUE","Next: "&amp;$AC125&amp;" was due "&amp;TEXT($AB125,"dd-mmm")&amp;" - "&amp;(NETWORKDAYS($AB125,TODAY(),Holidays)-1)&amp;" business day(s) late. Send now.",IF($U125="DUE TOMORROW","Next: "&amp;$AC125&amp;IF($AB125&lt;=TODAY()," is due TODAY ("," is due next business day (")&amp;TEXT($AB125,"dd-mmm")&amp;").","Next: "&amp;$AC125&amp;" due "&amp;TEXT($AB125,"dd-mmm")&amp;" ("&amp;(NETWORKDAYS(TODAY(),$AB125,Holidays)-1)&amp;" business day(s) left).")))))</f>
        <v/>
      </c>
      <c r="W125" s="17">
        <f>IF($Z125="","",CHOOSE($Z125,"Collection Email","1st Follow-up","2nd Follow-up","Local Office","CBE","Roxanne")&amp;IF($Z125=6," - Final"," - Day "&amp;MAX(0,NETWORKDAYS($AA125,TODAY(),Holidays)-1)&amp;" of "&amp;CHOOSE($Z125,3,3,2,2,3))&amp;" | Total Day "&amp;MAX(0,NETWORKDAYS($N125,TODAY(),Holidays)-1))</f>
        <v/>
      </c>
      <c r="X125" s="18"/>
      <c r="Y125" s="18"/>
      <c r="Z125" s="17">
        <f>IF($N125="","",COUNT($N125:$S125))</f>
        <v/>
      </c>
      <c r="AA125" s="19">
        <f>IF($Z125="","",INT(INDEX($N125:$S125,$Z125)))</f>
        <v/>
      </c>
      <c r="AB125" s="19">
        <f>IF(OR($Z125="",$Z125=6),"",WORKDAY($AA125,CHOOSE($Z125,3,3,2,2,3),Holidays))</f>
        <v/>
      </c>
      <c r="AC125" s="17">
        <f>IF(OR($Z125="",$Z125=6),"",CHOOSE($Z125,"1st Email Follow-up","2nd Email Follow-up","Escalate Local Office","Escalate to CBE","Escalate to Roxanne"))</f>
        <v/>
      </c>
    </row>
    <row r="126" spans="13:29">
      <c r="M126" s="14"/>
      <c r="T126" s="16"/>
      <c r="U126" s="17">
        <f>IF(AND(COUNTA($A126:$L126)=0,$N126=""),"",IF($T126="Paid","PAID",IF($T126="Closed","CLOSED",IF($Z126="","",IF($Z126=6,"ESCALATED TO ROXANNE",IF(TODAY()&gt;$AB126,"OVERDUE",IF($AB126&lt;=WORKDAY(TODAY(),1,Holidays),"DUE TOMORROW",IF($Z126=4,"ESCALATED TO LOCAL OFFICE",IF($Z126=5,"ESCALATED TO CBE",IF($AA126=TODAY(),"EMAIL SENT","MONITORING"))))))))))</f>
        <v/>
      </c>
      <c r="V126" s="17">
        <f>IF($U126="",IF(AND(COUNTA($A126:$L126)&gt;0,$N126=""),"Awaiting Collection Email time stamp.",""),IF(OR($U126="PAID",$U126="CLOSED"),IF($U126="PAID","Account paid. Action completed.","Account closed. No further action required."),CHOOSE($Z126,"Collection Email","1st Email Follow-up","2nd Email Follow-up","Escalation to Local Office","Escalation to CBE","Escalation to Roxanne")&amp;" sent "&amp;TEXT($AA126,"dd-mmm")&amp;". "&amp;IF($Z126=6,"Final escalation completed.",IF($U126="OVERDUE","Next: "&amp;$AC126&amp;" was due "&amp;TEXT($AB126,"dd-mmm")&amp;" - "&amp;(NETWORKDAYS($AB126,TODAY(),Holidays)-1)&amp;" business day(s) late. Send now.",IF($U126="DUE TOMORROW","Next: "&amp;$AC126&amp;IF($AB126&lt;=TODAY()," is due TODAY ("," is due next business day (")&amp;TEXT($AB126,"dd-mmm")&amp;").","Next: "&amp;$AC126&amp;" due "&amp;TEXT($AB126,"dd-mmm")&amp;" ("&amp;(NETWORKDAYS(TODAY(),$AB126,Holidays)-1)&amp;" business day(s) left).")))))</f>
        <v/>
      </c>
      <c r="W126" s="17">
        <f>IF($Z126="","",CHOOSE($Z126,"Collection Email","1st Follow-up","2nd Follow-up","Local Office","CBE","Roxanne")&amp;IF($Z126=6," - Final"," - Day "&amp;MAX(0,NETWORKDAYS($AA126,TODAY(),Holidays)-1)&amp;" of "&amp;CHOOSE($Z126,3,3,2,2,3))&amp;" | Total Day "&amp;MAX(0,NETWORKDAYS($N126,TODAY(),Holidays)-1))</f>
        <v/>
      </c>
      <c r="X126" s="18"/>
      <c r="Y126" s="18"/>
      <c r="Z126" s="17">
        <f>IF($N126="","",COUNT($N126:$S126))</f>
        <v/>
      </c>
      <c r="AA126" s="19">
        <f>IF($Z126="","",INT(INDEX($N126:$S126,$Z126)))</f>
        <v/>
      </c>
      <c r="AB126" s="19">
        <f>IF(OR($Z126="",$Z126=6),"",WORKDAY($AA126,CHOOSE($Z126,3,3,2,2,3),Holidays))</f>
        <v/>
      </c>
      <c r="AC126" s="17">
        <f>IF(OR($Z126="",$Z126=6),"",CHOOSE($Z126,"1st Email Follow-up","2nd Email Follow-up","Escalate Local Office","Escalate to CBE","Escalate to Roxanne"))</f>
        <v/>
      </c>
    </row>
    <row r="127" spans="13:29">
      <c r="M127" s="14"/>
      <c r="T127" s="16"/>
      <c r="U127" s="17">
        <f>IF(AND(COUNTA($A127:$L127)=0,$N127=""),"",IF($T127="Paid","PAID",IF($T127="Closed","CLOSED",IF($Z127="","",IF($Z127=6,"ESCALATED TO ROXANNE",IF(TODAY()&gt;$AB127,"OVERDUE",IF($AB127&lt;=WORKDAY(TODAY(),1,Holidays),"DUE TOMORROW",IF($Z127=4,"ESCALATED TO LOCAL OFFICE",IF($Z127=5,"ESCALATED TO CBE",IF($AA127=TODAY(),"EMAIL SENT","MONITORING"))))))))))</f>
        <v/>
      </c>
      <c r="V127" s="17">
        <f>IF($U127="",IF(AND(COUNTA($A127:$L127)&gt;0,$N127=""),"Awaiting Collection Email time stamp.",""),IF(OR($U127="PAID",$U127="CLOSED"),IF($U127="PAID","Account paid. Action completed.","Account closed. No further action required."),CHOOSE($Z127,"Collection Email","1st Email Follow-up","2nd Email Follow-up","Escalation to Local Office","Escalation to CBE","Escalation to Roxanne")&amp;" sent "&amp;TEXT($AA127,"dd-mmm")&amp;". "&amp;IF($Z127=6,"Final escalation completed.",IF($U127="OVERDUE","Next: "&amp;$AC127&amp;" was due "&amp;TEXT($AB127,"dd-mmm")&amp;" - "&amp;(NETWORKDAYS($AB127,TODAY(),Holidays)-1)&amp;" business day(s) late. Send now.",IF($U127="DUE TOMORROW","Next: "&amp;$AC127&amp;IF($AB127&lt;=TODAY()," is due TODAY ("," is due next business day (")&amp;TEXT($AB127,"dd-mmm")&amp;").","Next: "&amp;$AC127&amp;" due "&amp;TEXT($AB127,"dd-mmm")&amp;" ("&amp;(NETWORKDAYS(TODAY(),$AB127,Holidays)-1)&amp;" business day(s) left).")))))</f>
        <v/>
      </c>
      <c r="W127" s="17">
        <f>IF($Z127="","",CHOOSE($Z127,"Collection Email","1st Follow-up","2nd Follow-up","Local Office","CBE","Roxanne")&amp;IF($Z127=6," - Final"," - Day "&amp;MAX(0,NETWORKDAYS($AA127,TODAY(),Holidays)-1)&amp;" of "&amp;CHOOSE($Z127,3,3,2,2,3))&amp;" | Total Day "&amp;MAX(0,NETWORKDAYS($N127,TODAY(),Holidays)-1))</f>
        <v/>
      </c>
      <c r="X127" s="18"/>
      <c r="Y127" s="18"/>
      <c r="Z127" s="17">
        <f>IF($N127="","",COUNT($N127:$S127))</f>
        <v/>
      </c>
      <c r="AA127" s="19">
        <f>IF($Z127="","",INT(INDEX($N127:$S127,$Z127)))</f>
        <v/>
      </c>
      <c r="AB127" s="19">
        <f>IF(OR($Z127="",$Z127=6),"",WORKDAY($AA127,CHOOSE($Z127,3,3,2,2,3),Holidays))</f>
        <v/>
      </c>
      <c r="AC127" s="17">
        <f>IF(OR($Z127="",$Z127=6),"",CHOOSE($Z127,"1st Email Follow-up","2nd Email Follow-up","Escalate Local Office","Escalate to CBE","Escalate to Roxanne"))</f>
        <v/>
      </c>
    </row>
    <row r="128" spans="13:29">
      <c r="M128" s="14"/>
      <c r="T128" s="16"/>
      <c r="U128" s="17">
        <f>IF(AND(COUNTA($A128:$L128)=0,$N128=""),"",IF($T128="Paid","PAID",IF($T128="Closed","CLOSED",IF($Z128="","",IF($Z128=6,"ESCALATED TO ROXANNE",IF(TODAY()&gt;$AB128,"OVERDUE",IF($AB128&lt;=WORKDAY(TODAY(),1,Holidays),"DUE TOMORROW",IF($Z128=4,"ESCALATED TO LOCAL OFFICE",IF($Z128=5,"ESCALATED TO CBE",IF($AA128=TODAY(),"EMAIL SENT","MONITORING"))))))))))</f>
        <v/>
      </c>
      <c r="V128" s="17">
        <f>IF($U128="",IF(AND(COUNTA($A128:$L128)&gt;0,$N128=""),"Awaiting Collection Email time stamp.",""),IF(OR($U128="PAID",$U128="CLOSED"),IF($U128="PAID","Account paid. Action completed.","Account closed. No further action required."),CHOOSE($Z128,"Collection Email","1st Email Follow-up","2nd Email Follow-up","Escalation to Local Office","Escalation to CBE","Escalation to Roxanne")&amp;" sent "&amp;TEXT($AA128,"dd-mmm")&amp;". "&amp;IF($Z128=6,"Final escalation completed.",IF($U128="OVERDUE","Next: "&amp;$AC128&amp;" was due "&amp;TEXT($AB128,"dd-mmm")&amp;" - "&amp;(NETWORKDAYS($AB128,TODAY(),Holidays)-1)&amp;" business day(s) late. Send now.",IF($U128="DUE TOMORROW","Next: "&amp;$AC128&amp;IF($AB128&lt;=TODAY()," is due TODAY ("," is due next business day (")&amp;TEXT($AB128,"dd-mmm")&amp;").","Next: "&amp;$AC128&amp;" due "&amp;TEXT($AB128,"dd-mmm")&amp;" ("&amp;(NETWORKDAYS(TODAY(),$AB128,Holidays)-1)&amp;" business day(s) left).")))))</f>
        <v/>
      </c>
      <c r="W128" s="17">
        <f>IF($Z128="","",CHOOSE($Z128,"Collection Email","1st Follow-up","2nd Follow-up","Local Office","CBE","Roxanne")&amp;IF($Z128=6," - Final"," - Day "&amp;MAX(0,NETWORKDAYS($AA128,TODAY(),Holidays)-1)&amp;" of "&amp;CHOOSE($Z128,3,3,2,2,3))&amp;" | Total Day "&amp;MAX(0,NETWORKDAYS($N128,TODAY(),Holidays)-1))</f>
        <v/>
      </c>
      <c r="X128" s="18"/>
      <c r="Y128" s="18"/>
      <c r="Z128" s="17">
        <f>IF($N128="","",COUNT($N128:$S128))</f>
        <v/>
      </c>
      <c r="AA128" s="19">
        <f>IF($Z128="","",INT(INDEX($N128:$S128,$Z128)))</f>
        <v/>
      </c>
      <c r="AB128" s="19">
        <f>IF(OR($Z128="",$Z128=6),"",WORKDAY($AA128,CHOOSE($Z128,3,3,2,2,3),Holidays))</f>
        <v/>
      </c>
      <c r="AC128" s="17">
        <f>IF(OR($Z128="",$Z128=6),"",CHOOSE($Z128,"1st Email Follow-up","2nd Email Follow-up","Escalate Local Office","Escalate to CBE","Escalate to Roxanne"))</f>
        <v/>
      </c>
    </row>
    <row r="129" spans="13:29">
      <c r="M129" s="14"/>
      <c r="T129" s="16"/>
      <c r="U129" s="17">
        <f>IF(AND(COUNTA($A129:$L129)=0,$N129=""),"",IF($T129="Paid","PAID",IF($T129="Closed","CLOSED",IF($Z129="","",IF($Z129=6,"ESCALATED TO ROXANNE",IF(TODAY()&gt;$AB129,"OVERDUE",IF($AB129&lt;=WORKDAY(TODAY(),1,Holidays),"DUE TOMORROW",IF($Z129=4,"ESCALATED TO LOCAL OFFICE",IF($Z129=5,"ESCALATED TO CBE",IF($AA129=TODAY(),"EMAIL SENT","MONITORING"))))))))))</f>
        <v/>
      </c>
      <c r="V129" s="17">
        <f>IF($U129="",IF(AND(COUNTA($A129:$L129)&gt;0,$N129=""),"Awaiting Collection Email time stamp.",""),IF(OR($U129="PAID",$U129="CLOSED"),IF($U129="PAID","Account paid. Action completed.","Account closed. No further action required."),CHOOSE($Z129,"Collection Email","1st Email Follow-up","2nd Email Follow-up","Escalation to Local Office","Escalation to CBE","Escalation to Roxanne")&amp;" sent "&amp;TEXT($AA129,"dd-mmm")&amp;". "&amp;IF($Z129=6,"Final escalation completed.",IF($U129="OVERDUE","Next: "&amp;$AC129&amp;" was due "&amp;TEXT($AB129,"dd-mmm")&amp;" - "&amp;(NETWORKDAYS($AB129,TODAY(),Holidays)-1)&amp;" business day(s) late. Send now.",IF($U129="DUE TOMORROW","Next: "&amp;$AC129&amp;IF($AB129&lt;=TODAY()," is due TODAY ("," is due next business day (")&amp;TEXT($AB129,"dd-mmm")&amp;").","Next: "&amp;$AC129&amp;" due "&amp;TEXT($AB129,"dd-mmm")&amp;" ("&amp;(NETWORKDAYS(TODAY(),$AB129,Holidays)-1)&amp;" business day(s) left).")))))</f>
        <v/>
      </c>
      <c r="W129" s="17">
        <f>IF($Z129="","",CHOOSE($Z129,"Collection Email","1st Follow-up","2nd Follow-up","Local Office","CBE","Roxanne")&amp;IF($Z129=6," - Final"," - Day "&amp;MAX(0,NETWORKDAYS($AA129,TODAY(),Holidays)-1)&amp;" of "&amp;CHOOSE($Z129,3,3,2,2,3))&amp;" | Total Day "&amp;MAX(0,NETWORKDAYS($N129,TODAY(),Holidays)-1))</f>
        <v/>
      </c>
      <c r="X129" s="18"/>
      <c r="Y129" s="18"/>
      <c r="Z129" s="17">
        <f>IF($N129="","",COUNT($N129:$S129))</f>
        <v/>
      </c>
      <c r="AA129" s="19">
        <f>IF($Z129="","",INT(INDEX($N129:$S129,$Z129)))</f>
        <v/>
      </c>
      <c r="AB129" s="19">
        <f>IF(OR($Z129="",$Z129=6),"",WORKDAY($AA129,CHOOSE($Z129,3,3,2,2,3),Holidays))</f>
        <v/>
      </c>
      <c r="AC129" s="17">
        <f>IF(OR($Z129="",$Z129=6),"",CHOOSE($Z129,"1st Email Follow-up","2nd Email Follow-up","Escalate Local Office","Escalate to CBE","Escalate to Roxanne"))</f>
        <v/>
      </c>
    </row>
    <row r="130" spans="13:29">
      <c r="M130" s="14"/>
      <c r="T130" s="16"/>
      <c r="U130" s="17">
        <f>IF(AND(COUNTA($A130:$L130)=0,$N130=""),"",IF($T130="Paid","PAID",IF($T130="Closed","CLOSED",IF($Z130="","",IF($Z130=6,"ESCALATED TO ROXANNE",IF(TODAY()&gt;$AB130,"OVERDUE",IF($AB130&lt;=WORKDAY(TODAY(),1,Holidays),"DUE TOMORROW",IF($Z130=4,"ESCALATED TO LOCAL OFFICE",IF($Z130=5,"ESCALATED TO CBE",IF($AA130=TODAY(),"EMAIL SENT","MONITORING"))))))))))</f>
        <v/>
      </c>
      <c r="V130" s="17">
        <f>IF($U130="",IF(AND(COUNTA($A130:$L130)&gt;0,$N130=""),"Awaiting Collection Email time stamp.",""),IF(OR($U130="PAID",$U130="CLOSED"),IF($U130="PAID","Account paid. Action completed.","Account closed. No further action required."),CHOOSE($Z130,"Collection Email","1st Email Follow-up","2nd Email Follow-up","Escalation to Local Office","Escalation to CBE","Escalation to Roxanne")&amp;" sent "&amp;TEXT($AA130,"dd-mmm")&amp;". "&amp;IF($Z130=6,"Final escalation completed.",IF($U130="OVERDUE","Next: "&amp;$AC130&amp;" was due "&amp;TEXT($AB130,"dd-mmm")&amp;" - "&amp;(NETWORKDAYS($AB130,TODAY(),Holidays)-1)&amp;" business day(s) late. Send now.",IF($U130="DUE TOMORROW","Next: "&amp;$AC130&amp;IF($AB130&lt;=TODAY()," is due TODAY ("," is due next business day (")&amp;TEXT($AB130,"dd-mmm")&amp;").","Next: "&amp;$AC130&amp;" due "&amp;TEXT($AB130,"dd-mmm")&amp;" ("&amp;(NETWORKDAYS(TODAY(),$AB130,Holidays)-1)&amp;" business day(s) left).")))))</f>
        <v/>
      </c>
      <c r="W130" s="17">
        <f>IF($Z130="","",CHOOSE($Z130,"Collection Email","1st Follow-up","2nd Follow-up","Local Office","CBE","Roxanne")&amp;IF($Z130=6," - Final"," - Day "&amp;MAX(0,NETWORKDAYS($AA130,TODAY(),Holidays)-1)&amp;" of "&amp;CHOOSE($Z130,3,3,2,2,3))&amp;" | Total Day "&amp;MAX(0,NETWORKDAYS($N130,TODAY(),Holidays)-1))</f>
        <v/>
      </c>
      <c r="X130" s="18"/>
      <c r="Y130" s="18"/>
      <c r="Z130" s="17">
        <f>IF($N130="","",COUNT($N130:$S130))</f>
        <v/>
      </c>
      <c r="AA130" s="19">
        <f>IF($Z130="","",INT(INDEX($N130:$S130,$Z130)))</f>
        <v/>
      </c>
      <c r="AB130" s="19">
        <f>IF(OR($Z130="",$Z130=6),"",WORKDAY($AA130,CHOOSE($Z130,3,3,2,2,3),Holidays))</f>
        <v/>
      </c>
      <c r="AC130" s="17">
        <f>IF(OR($Z130="",$Z130=6),"",CHOOSE($Z130,"1st Email Follow-up","2nd Email Follow-up","Escalate Local Office","Escalate to CBE","Escalate to Roxanne"))</f>
        <v/>
      </c>
    </row>
    <row r="131" spans="13:29">
      <c r="M131" s="14"/>
      <c r="T131" s="16"/>
      <c r="U131" s="17">
        <f>IF(AND(COUNTA($A131:$L131)=0,$N131=""),"",IF($T131="Paid","PAID",IF($T131="Closed","CLOSED",IF($Z131="","",IF($Z131=6,"ESCALATED TO ROXANNE",IF(TODAY()&gt;$AB131,"OVERDUE",IF($AB131&lt;=WORKDAY(TODAY(),1,Holidays),"DUE TOMORROW",IF($Z131=4,"ESCALATED TO LOCAL OFFICE",IF($Z131=5,"ESCALATED TO CBE",IF($AA131=TODAY(),"EMAIL SENT","MONITORING"))))))))))</f>
        <v/>
      </c>
      <c r="V131" s="17">
        <f>IF($U131="",IF(AND(COUNTA($A131:$L131)&gt;0,$N131=""),"Awaiting Collection Email time stamp.",""),IF(OR($U131="PAID",$U131="CLOSED"),IF($U131="PAID","Account paid. Action completed.","Account closed. No further action required."),CHOOSE($Z131,"Collection Email","1st Email Follow-up","2nd Email Follow-up","Escalation to Local Office","Escalation to CBE","Escalation to Roxanne")&amp;" sent "&amp;TEXT($AA131,"dd-mmm")&amp;". "&amp;IF($Z131=6,"Final escalation completed.",IF($U131="OVERDUE","Next: "&amp;$AC131&amp;" was due "&amp;TEXT($AB131,"dd-mmm")&amp;" - "&amp;(NETWORKDAYS($AB131,TODAY(),Holidays)-1)&amp;" business day(s) late. Send now.",IF($U131="DUE TOMORROW","Next: "&amp;$AC131&amp;IF($AB131&lt;=TODAY()," is due TODAY ("," is due next business day (")&amp;TEXT($AB131,"dd-mmm")&amp;").","Next: "&amp;$AC131&amp;" due "&amp;TEXT($AB131,"dd-mmm")&amp;" ("&amp;(NETWORKDAYS(TODAY(),$AB131,Holidays)-1)&amp;" business day(s) left).")))))</f>
        <v/>
      </c>
      <c r="W131" s="17">
        <f>IF($Z131="","",CHOOSE($Z131,"Collection Email","1st Follow-up","2nd Follow-up","Local Office","CBE","Roxanne")&amp;IF($Z131=6," - Final"," - Day "&amp;MAX(0,NETWORKDAYS($AA131,TODAY(),Holidays)-1)&amp;" of "&amp;CHOOSE($Z131,3,3,2,2,3))&amp;" | Total Day "&amp;MAX(0,NETWORKDAYS($N131,TODAY(),Holidays)-1))</f>
        <v/>
      </c>
      <c r="X131" s="18"/>
      <c r="Y131" s="18"/>
      <c r="Z131" s="17">
        <f>IF($N131="","",COUNT($N131:$S131))</f>
        <v/>
      </c>
      <c r="AA131" s="19">
        <f>IF($Z131="","",INT(INDEX($N131:$S131,$Z131)))</f>
        <v/>
      </c>
      <c r="AB131" s="19">
        <f>IF(OR($Z131="",$Z131=6),"",WORKDAY($AA131,CHOOSE($Z131,3,3,2,2,3),Holidays))</f>
        <v/>
      </c>
      <c r="AC131" s="17">
        <f>IF(OR($Z131="",$Z131=6),"",CHOOSE($Z131,"1st Email Follow-up","2nd Email Follow-up","Escalate Local Office","Escalate to CBE","Escalate to Roxanne"))</f>
        <v/>
      </c>
    </row>
    <row r="132" spans="13:29">
      <c r="M132" s="14"/>
      <c r="T132" s="16"/>
      <c r="U132" s="17">
        <f>IF(AND(COUNTA($A132:$L132)=0,$N132=""),"",IF($T132="Paid","PAID",IF($T132="Closed","CLOSED",IF($Z132="","",IF($Z132=6,"ESCALATED TO ROXANNE",IF(TODAY()&gt;$AB132,"OVERDUE",IF($AB132&lt;=WORKDAY(TODAY(),1,Holidays),"DUE TOMORROW",IF($Z132=4,"ESCALATED TO LOCAL OFFICE",IF($Z132=5,"ESCALATED TO CBE",IF($AA132=TODAY(),"EMAIL SENT","MONITORING"))))))))))</f>
        <v/>
      </c>
      <c r="V132" s="17">
        <f>IF($U132="",IF(AND(COUNTA($A132:$L132)&gt;0,$N132=""),"Awaiting Collection Email time stamp.",""),IF(OR($U132="PAID",$U132="CLOSED"),IF($U132="PAID","Account paid. Action completed.","Account closed. No further action required."),CHOOSE($Z132,"Collection Email","1st Email Follow-up","2nd Email Follow-up","Escalation to Local Office","Escalation to CBE","Escalation to Roxanne")&amp;" sent "&amp;TEXT($AA132,"dd-mmm")&amp;". "&amp;IF($Z132=6,"Final escalation completed.",IF($U132="OVERDUE","Next: "&amp;$AC132&amp;" was due "&amp;TEXT($AB132,"dd-mmm")&amp;" - "&amp;(NETWORKDAYS($AB132,TODAY(),Holidays)-1)&amp;" business day(s) late. Send now.",IF($U132="DUE TOMORROW","Next: "&amp;$AC132&amp;IF($AB132&lt;=TODAY()," is due TODAY ("," is due next business day (")&amp;TEXT($AB132,"dd-mmm")&amp;").","Next: "&amp;$AC132&amp;" due "&amp;TEXT($AB132,"dd-mmm")&amp;" ("&amp;(NETWORKDAYS(TODAY(),$AB132,Holidays)-1)&amp;" business day(s) left).")))))</f>
        <v/>
      </c>
      <c r="W132" s="17">
        <f>IF($Z132="","",CHOOSE($Z132,"Collection Email","1st Follow-up","2nd Follow-up","Local Office","CBE","Roxanne")&amp;IF($Z132=6," - Final"," - Day "&amp;MAX(0,NETWORKDAYS($AA132,TODAY(),Holidays)-1)&amp;" of "&amp;CHOOSE($Z132,3,3,2,2,3))&amp;" | Total Day "&amp;MAX(0,NETWORKDAYS($N132,TODAY(),Holidays)-1))</f>
        <v/>
      </c>
      <c r="X132" s="18"/>
      <c r="Y132" s="18"/>
      <c r="Z132" s="17">
        <f>IF($N132="","",COUNT($N132:$S132))</f>
        <v/>
      </c>
      <c r="AA132" s="19">
        <f>IF($Z132="","",INT(INDEX($N132:$S132,$Z132)))</f>
        <v/>
      </c>
      <c r="AB132" s="19">
        <f>IF(OR($Z132="",$Z132=6),"",WORKDAY($AA132,CHOOSE($Z132,3,3,2,2,3),Holidays))</f>
        <v/>
      </c>
      <c r="AC132" s="17">
        <f>IF(OR($Z132="",$Z132=6),"",CHOOSE($Z132,"1st Email Follow-up","2nd Email Follow-up","Escalate Local Office","Escalate to CBE","Escalate to Roxanne"))</f>
        <v/>
      </c>
    </row>
    <row r="133" spans="13:29">
      <c r="M133" s="14"/>
      <c r="T133" s="16"/>
      <c r="U133" s="17">
        <f>IF(AND(COUNTA($A133:$L133)=0,$N133=""),"",IF($T133="Paid","PAID",IF($T133="Closed","CLOSED",IF($Z133="","",IF($Z133=6,"ESCALATED TO ROXANNE",IF(TODAY()&gt;$AB133,"OVERDUE",IF($AB133&lt;=WORKDAY(TODAY(),1,Holidays),"DUE TOMORROW",IF($Z133=4,"ESCALATED TO LOCAL OFFICE",IF($Z133=5,"ESCALATED TO CBE",IF($AA133=TODAY(),"EMAIL SENT","MONITORING"))))))))))</f>
        <v/>
      </c>
      <c r="V133" s="17">
        <f>IF($U133="",IF(AND(COUNTA($A133:$L133)&gt;0,$N133=""),"Awaiting Collection Email time stamp.",""),IF(OR($U133="PAID",$U133="CLOSED"),IF($U133="PAID","Account paid. Action completed.","Account closed. No further action required."),CHOOSE($Z133,"Collection Email","1st Email Follow-up","2nd Email Follow-up","Escalation to Local Office","Escalation to CBE","Escalation to Roxanne")&amp;" sent "&amp;TEXT($AA133,"dd-mmm")&amp;". "&amp;IF($Z133=6,"Final escalation completed.",IF($U133="OVERDUE","Next: "&amp;$AC133&amp;" was due "&amp;TEXT($AB133,"dd-mmm")&amp;" - "&amp;(NETWORKDAYS($AB133,TODAY(),Holidays)-1)&amp;" business day(s) late. Send now.",IF($U133="DUE TOMORROW","Next: "&amp;$AC133&amp;IF($AB133&lt;=TODAY()," is due TODAY ("," is due next business day (")&amp;TEXT($AB133,"dd-mmm")&amp;").","Next: "&amp;$AC133&amp;" due "&amp;TEXT($AB133,"dd-mmm")&amp;" ("&amp;(NETWORKDAYS(TODAY(),$AB133,Holidays)-1)&amp;" business day(s) left).")))))</f>
        <v/>
      </c>
      <c r="W133" s="17">
        <f>IF($Z133="","",CHOOSE($Z133,"Collection Email","1st Follow-up","2nd Follow-up","Local Office","CBE","Roxanne")&amp;IF($Z133=6," - Final"," - Day "&amp;MAX(0,NETWORKDAYS($AA133,TODAY(),Holidays)-1)&amp;" of "&amp;CHOOSE($Z133,3,3,2,2,3))&amp;" | Total Day "&amp;MAX(0,NETWORKDAYS($N133,TODAY(),Holidays)-1))</f>
        <v/>
      </c>
      <c r="X133" s="18"/>
      <c r="Y133" s="18"/>
      <c r="Z133" s="17">
        <f>IF($N133="","",COUNT($N133:$S133))</f>
        <v/>
      </c>
      <c r="AA133" s="19">
        <f>IF($Z133="","",INT(INDEX($N133:$S133,$Z133)))</f>
        <v/>
      </c>
      <c r="AB133" s="19">
        <f>IF(OR($Z133="",$Z133=6),"",WORKDAY($AA133,CHOOSE($Z133,3,3,2,2,3),Holidays))</f>
        <v/>
      </c>
      <c r="AC133" s="17">
        <f>IF(OR($Z133="",$Z133=6),"",CHOOSE($Z133,"1st Email Follow-up","2nd Email Follow-up","Escalate Local Office","Escalate to CBE","Escalate to Roxanne"))</f>
        <v/>
      </c>
    </row>
    <row r="134" spans="13:29">
      <c r="M134" s="14"/>
      <c r="T134" s="16"/>
      <c r="U134" s="17">
        <f>IF(AND(COUNTA($A134:$L134)=0,$N134=""),"",IF($T134="Paid","PAID",IF($T134="Closed","CLOSED",IF($Z134="","",IF($Z134=6,"ESCALATED TO ROXANNE",IF(TODAY()&gt;$AB134,"OVERDUE",IF($AB134&lt;=WORKDAY(TODAY(),1,Holidays),"DUE TOMORROW",IF($Z134=4,"ESCALATED TO LOCAL OFFICE",IF($Z134=5,"ESCALATED TO CBE",IF($AA134=TODAY(),"EMAIL SENT","MONITORING"))))))))))</f>
        <v/>
      </c>
      <c r="V134" s="17">
        <f>IF($U134="",IF(AND(COUNTA($A134:$L134)&gt;0,$N134=""),"Awaiting Collection Email time stamp.",""),IF(OR($U134="PAID",$U134="CLOSED"),IF($U134="PAID","Account paid. Action completed.","Account closed. No further action required."),CHOOSE($Z134,"Collection Email","1st Email Follow-up","2nd Email Follow-up","Escalation to Local Office","Escalation to CBE","Escalation to Roxanne")&amp;" sent "&amp;TEXT($AA134,"dd-mmm")&amp;". "&amp;IF($Z134=6,"Final escalation completed.",IF($U134="OVERDUE","Next: "&amp;$AC134&amp;" was due "&amp;TEXT($AB134,"dd-mmm")&amp;" - "&amp;(NETWORKDAYS($AB134,TODAY(),Holidays)-1)&amp;" business day(s) late. Send now.",IF($U134="DUE TOMORROW","Next: "&amp;$AC134&amp;IF($AB134&lt;=TODAY()," is due TODAY ("," is due next business day (")&amp;TEXT($AB134,"dd-mmm")&amp;").","Next: "&amp;$AC134&amp;" due "&amp;TEXT($AB134,"dd-mmm")&amp;" ("&amp;(NETWORKDAYS(TODAY(),$AB134,Holidays)-1)&amp;" business day(s) left).")))))</f>
        <v/>
      </c>
      <c r="W134" s="17">
        <f>IF($Z134="","",CHOOSE($Z134,"Collection Email","1st Follow-up","2nd Follow-up","Local Office","CBE","Roxanne")&amp;IF($Z134=6," - Final"," - Day "&amp;MAX(0,NETWORKDAYS($AA134,TODAY(),Holidays)-1)&amp;" of "&amp;CHOOSE($Z134,3,3,2,2,3))&amp;" | Total Day "&amp;MAX(0,NETWORKDAYS($N134,TODAY(),Holidays)-1))</f>
        <v/>
      </c>
      <c r="X134" s="18"/>
      <c r="Y134" s="18"/>
      <c r="Z134" s="17">
        <f>IF($N134="","",COUNT($N134:$S134))</f>
        <v/>
      </c>
      <c r="AA134" s="19">
        <f>IF($Z134="","",INT(INDEX($N134:$S134,$Z134)))</f>
        <v/>
      </c>
      <c r="AB134" s="19">
        <f>IF(OR($Z134="",$Z134=6),"",WORKDAY($AA134,CHOOSE($Z134,3,3,2,2,3),Holidays))</f>
        <v/>
      </c>
      <c r="AC134" s="17">
        <f>IF(OR($Z134="",$Z134=6),"",CHOOSE($Z134,"1st Email Follow-up","2nd Email Follow-up","Escalate Local Office","Escalate to CBE","Escalate to Roxanne"))</f>
        <v/>
      </c>
    </row>
    <row r="135" spans="13:29">
      <c r="M135" s="14"/>
      <c r="T135" s="16"/>
      <c r="U135" s="17">
        <f>IF(AND(COUNTA($A135:$L135)=0,$N135=""),"",IF($T135="Paid","PAID",IF($T135="Closed","CLOSED",IF($Z135="","",IF($Z135=6,"ESCALATED TO ROXANNE",IF(TODAY()&gt;$AB135,"OVERDUE",IF($AB135&lt;=WORKDAY(TODAY(),1,Holidays),"DUE TOMORROW",IF($Z135=4,"ESCALATED TO LOCAL OFFICE",IF($Z135=5,"ESCALATED TO CBE",IF($AA135=TODAY(),"EMAIL SENT","MONITORING"))))))))))</f>
        <v/>
      </c>
      <c r="V135" s="17">
        <f>IF($U135="",IF(AND(COUNTA($A135:$L135)&gt;0,$N135=""),"Awaiting Collection Email time stamp.",""),IF(OR($U135="PAID",$U135="CLOSED"),IF($U135="PAID","Account paid. Action completed.","Account closed. No further action required."),CHOOSE($Z135,"Collection Email","1st Email Follow-up","2nd Email Follow-up","Escalation to Local Office","Escalation to CBE","Escalation to Roxanne")&amp;" sent "&amp;TEXT($AA135,"dd-mmm")&amp;". "&amp;IF($Z135=6,"Final escalation completed.",IF($U135="OVERDUE","Next: "&amp;$AC135&amp;" was due "&amp;TEXT($AB135,"dd-mmm")&amp;" - "&amp;(NETWORKDAYS($AB135,TODAY(),Holidays)-1)&amp;" business day(s) late. Send now.",IF($U135="DUE TOMORROW","Next: "&amp;$AC135&amp;IF($AB135&lt;=TODAY()," is due TODAY ("," is due next business day (")&amp;TEXT($AB135,"dd-mmm")&amp;").","Next: "&amp;$AC135&amp;" due "&amp;TEXT($AB135,"dd-mmm")&amp;" ("&amp;(NETWORKDAYS(TODAY(),$AB135,Holidays)-1)&amp;" business day(s) left).")))))</f>
        <v/>
      </c>
      <c r="W135" s="17">
        <f>IF($Z135="","",CHOOSE($Z135,"Collection Email","1st Follow-up","2nd Follow-up","Local Office","CBE","Roxanne")&amp;IF($Z135=6," - Final"," - Day "&amp;MAX(0,NETWORKDAYS($AA135,TODAY(),Holidays)-1)&amp;" of "&amp;CHOOSE($Z135,3,3,2,2,3))&amp;" | Total Day "&amp;MAX(0,NETWORKDAYS($N135,TODAY(),Holidays)-1))</f>
        <v/>
      </c>
      <c r="X135" s="18"/>
      <c r="Y135" s="18"/>
      <c r="Z135" s="17">
        <f>IF($N135="","",COUNT($N135:$S135))</f>
        <v/>
      </c>
      <c r="AA135" s="19">
        <f>IF($Z135="","",INT(INDEX($N135:$S135,$Z135)))</f>
        <v/>
      </c>
      <c r="AB135" s="19">
        <f>IF(OR($Z135="",$Z135=6),"",WORKDAY($AA135,CHOOSE($Z135,3,3,2,2,3),Holidays))</f>
        <v/>
      </c>
      <c r="AC135" s="17">
        <f>IF(OR($Z135="",$Z135=6),"",CHOOSE($Z135,"1st Email Follow-up","2nd Email Follow-up","Escalate Local Office","Escalate to CBE","Escalate to Roxanne"))</f>
        <v/>
      </c>
    </row>
    <row r="136" spans="13:29">
      <c r="M136" s="14"/>
      <c r="T136" s="16"/>
      <c r="U136" s="17">
        <f>IF(AND(COUNTA($A136:$L136)=0,$N136=""),"",IF($T136="Paid","PAID",IF($T136="Closed","CLOSED",IF($Z136="","",IF($Z136=6,"ESCALATED TO ROXANNE",IF(TODAY()&gt;$AB136,"OVERDUE",IF($AB136&lt;=WORKDAY(TODAY(),1,Holidays),"DUE TOMORROW",IF($Z136=4,"ESCALATED TO LOCAL OFFICE",IF($Z136=5,"ESCALATED TO CBE",IF($AA136=TODAY(),"EMAIL SENT","MONITORING"))))))))))</f>
        <v/>
      </c>
      <c r="V136" s="17">
        <f>IF($U136="",IF(AND(COUNTA($A136:$L136)&gt;0,$N136=""),"Awaiting Collection Email time stamp.",""),IF(OR($U136="PAID",$U136="CLOSED"),IF($U136="PAID","Account paid. Action completed.","Account closed. No further action required."),CHOOSE($Z136,"Collection Email","1st Email Follow-up","2nd Email Follow-up","Escalation to Local Office","Escalation to CBE","Escalation to Roxanne")&amp;" sent "&amp;TEXT($AA136,"dd-mmm")&amp;". "&amp;IF($Z136=6,"Final escalation completed.",IF($U136="OVERDUE","Next: "&amp;$AC136&amp;" was due "&amp;TEXT($AB136,"dd-mmm")&amp;" - "&amp;(NETWORKDAYS($AB136,TODAY(),Holidays)-1)&amp;" business day(s) late. Send now.",IF($U136="DUE TOMORROW","Next: "&amp;$AC136&amp;IF($AB136&lt;=TODAY()," is due TODAY ("," is due next business day (")&amp;TEXT($AB136,"dd-mmm")&amp;").","Next: "&amp;$AC136&amp;" due "&amp;TEXT($AB136,"dd-mmm")&amp;" ("&amp;(NETWORKDAYS(TODAY(),$AB136,Holidays)-1)&amp;" business day(s) left).")))))</f>
        <v/>
      </c>
      <c r="W136" s="17">
        <f>IF($Z136="","",CHOOSE($Z136,"Collection Email","1st Follow-up","2nd Follow-up","Local Office","CBE","Roxanne")&amp;IF($Z136=6," - Final"," - Day "&amp;MAX(0,NETWORKDAYS($AA136,TODAY(),Holidays)-1)&amp;" of "&amp;CHOOSE($Z136,3,3,2,2,3))&amp;" | Total Day "&amp;MAX(0,NETWORKDAYS($N136,TODAY(),Holidays)-1))</f>
        <v/>
      </c>
      <c r="X136" s="18"/>
      <c r="Y136" s="18"/>
      <c r="Z136" s="17">
        <f>IF($N136="","",COUNT($N136:$S136))</f>
        <v/>
      </c>
      <c r="AA136" s="19">
        <f>IF($Z136="","",INT(INDEX($N136:$S136,$Z136)))</f>
        <v/>
      </c>
      <c r="AB136" s="19">
        <f>IF(OR($Z136="",$Z136=6),"",WORKDAY($AA136,CHOOSE($Z136,3,3,2,2,3),Holidays))</f>
        <v/>
      </c>
      <c r="AC136" s="17">
        <f>IF(OR($Z136="",$Z136=6),"",CHOOSE($Z136,"1st Email Follow-up","2nd Email Follow-up","Escalate Local Office","Escalate to CBE","Escalate to Roxanne"))</f>
        <v/>
      </c>
    </row>
    <row r="137" spans="13:29">
      <c r="M137" s="14"/>
      <c r="T137" s="16"/>
      <c r="U137" s="17">
        <f>IF(AND(COUNTA($A137:$L137)=0,$N137=""),"",IF($T137="Paid","PAID",IF($T137="Closed","CLOSED",IF($Z137="","",IF($Z137=6,"ESCALATED TO ROXANNE",IF(TODAY()&gt;$AB137,"OVERDUE",IF($AB137&lt;=WORKDAY(TODAY(),1,Holidays),"DUE TOMORROW",IF($Z137=4,"ESCALATED TO LOCAL OFFICE",IF($Z137=5,"ESCALATED TO CBE",IF($AA137=TODAY(),"EMAIL SENT","MONITORING"))))))))))</f>
        <v/>
      </c>
      <c r="V137" s="17">
        <f>IF($U137="",IF(AND(COUNTA($A137:$L137)&gt;0,$N137=""),"Awaiting Collection Email time stamp.",""),IF(OR($U137="PAID",$U137="CLOSED"),IF($U137="PAID","Account paid. Action completed.","Account closed. No further action required."),CHOOSE($Z137,"Collection Email","1st Email Follow-up","2nd Email Follow-up","Escalation to Local Office","Escalation to CBE","Escalation to Roxanne")&amp;" sent "&amp;TEXT($AA137,"dd-mmm")&amp;". "&amp;IF($Z137=6,"Final escalation completed.",IF($U137="OVERDUE","Next: "&amp;$AC137&amp;" was due "&amp;TEXT($AB137,"dd-mmm")&amp;" - "&amp;(NETWORKDAYS($AB137,TODAY(),Holidays)-1)&amp;" business day(s) late. Send now.",IF($U137="DUE TOMORROW","Next: "&amp;$AC137&amp;IF($AB137&lt;=TODAY()," is due TODAY ("," is due next business day (")&amp;TEXT($AB137,"dd-mmm")&amp;").","Next: "&amp;$AC137&amp;" due "&amp;TEXT($AB137,"dd-mmm")&amp;" ("&amp;(NETWORKDAYS(TODAY(),$AB137,Holidays)-1)&amp;" business day(s) left).")))))</f>
        <v/>
      </c>
      <c r="W137" s="17">
        <f>IF($Z137="","",CHOOSE($Z137,"Collection Email","1st Follow-up","2nd Follow-up","Local Office","CBE","Roxanne")&amp;IF($Z137=6," - Final"," - Day "&amp;MAX(0,NETWORKDAYS($AA137,TODAY(),Holidays)-1)&amp;" of "&amp;CHOOSE($Z137,3,3,2,2,3))&amp;" | Total Day "&amp;MAX(0,NETWORKDAYS($N137,TODAY(),Holidays)-1))</f>
        <v/>
      </c>
      <c r="X137" s="18"/>
      <c r="Y137" s="18"/>
      <c r="Z137" s="17">
        <f>IF($N137="","",COUNT($N137:$S137))</f>
        <v/>
      </c>
      <c r="AA137" s="19">
        <f>IF($Z137="","",INT(INDEX($N137:$S137,$Z137)))</f>
        <v/>
      </c>
      <c r="AB137" s="19">
        <f>IF(OR($Z137="",$Z137=6),"",WORKDAY($AA137,CHOOSE($Z137,3,3,2,2,3),Holidays))</f>
        <v/>
      </c>
      <c r="AC137" s="17">
        <f>IF(OR($Z137="",$Z137=6),"",CHOOSE($Z137,"1st Email Follow-up","2nd Email Follow-up","Escalate Local Office","Escalate to CBE","Escalate to Roxanne"))</f>
        <v/>
      </c>
    </row>
    <row r="138" spans="13:29">
      <c r="M138" s="14"/>
      <c r="T138" s="16"/>
      <c r="U138" s="17">
        <f>IF(AND(COUNTA($A138:$L138)=0,$N138=""),"",IF($T138="Paid","PAID",IF($T138="Closed","CLOSED",IF($Z138="","",IF($Z138=6,"ESCALATED TO ROXANNE",IF(TODAY()&gt;$AB138,"OVERDUE",IF($AB138&lt;=WORKDAY(TODAY(),1,Holidays),"DUE TOMORROW",IF($Z138=4,"ESCALATED TO LOCAL OFFICE",IF($Z138=5,"ESCALATED TO CBE",IF($AA138=TODAY(),"EMAIL SENT","MONITORING"))))))))))</f>
        <v/>
      </c>
      <c r="V138" s="17">
        <f>IF($U138="",IF(AND(COUNTA($A138:$L138)&gt;0,$N138=""),"Awaiting Collection Email time stamp.",""),IF(OR($U138="PAID",$U138="CLOSED"),IF($U138="PAID","Account paid. Action completed.","Account closed. No further action required."),CHOOSE($Z138,"Collection Email","1st Email Follow-up","2nd Email Follow-up","Escalation to Local Office","Escalation to CBE","Escalation to Roxanne")&amp;" sent "&amp;TEXT($AA138,"dd-mmm")&amp;". "&amp;IF($Z138=6,"Final escalation completed.",IF($U138="OVERDUE","Next: "&amp;$AC138&amp;" was due "&amp;TEXT($AB138,"dd-mmm")&amp;" - "&amp;(NETWORKDAYS($AB138,TODAY(),Holidays)-1)&amp;" business day(s) late. Send now.",IF($U138="DUE TOMORROW","Next: "&amp;$AC138&amp;IF($AB138&lt;=TODAY()," is due TODAY ("," is due next business day (")&amp;TEXT($AB138,"dd-mmm")&amp;").","Next: "&amp;$AC138&amp;" due "&amp;TEXT($AB138,"dd-mmm")&amp;" ("&amp;(NETWORKDAYS(TODAY(),$AB138,Holidays)-1)&amp;" business day(s) left).")))))</f>
        <v/>
      </c>
      <c r="W138" s="17">
        <f>IF($Z138="","",CHOOSE($Z138,"Collection Email","1st Follow-up","2nd Follow-up","Local Office","CBE","Roxanne")&amp;IF($Z138=6," - Final"," - Day "&amp;MAX(0,NETWORKDAYS($AA138,TODAY(),Holidays)-1)&amp;" of "&amp;CHOOSE($Z138,3,3,2,2,3))&amp;" | Total Day "&amp;MAX(0,NETWORKDAYS($N138,TODAY(),Holidays)-1))</f>
        <v/>
      </c>
      <c r="X138" s="18"/>
      <c r="Y138" s="18"/>
      <c r="Z138" s="17">
        <f>IF($N138="","",COUNT($N138:$S138))</f>
        <v/>
      </c>
      <c r="AA138" s="19">
        <f>IF($Z138="","",INT(INDEX($N138:$S138,$Z138)))</f>
        <v/>
      </c>
      <c r="AB138" s="19">
        <f>IF(OR($Z138="",$Z138=6),"",WORKDAY($AA138,CHOOSE($Z138,3,3,2,2,3),Holidays))</f>
        <v/>
      </c>
      <c r="AC138" s="17">
        <f>IF(OR($Z138="",$Z138=6),"",CHOOSE($Z138,"1st Email Follow-up","2nd Email Follow-up","Escalate Local Office","Escalate to CBE","Escalate to Roxanne"))</f>
        <v/>
      </c>
    </row>
    <row r="139" spans="13:29">
      <c r="M139" s="14"/>
      <c r="T139" s="16"/>
      <c r="U139" s="17">
        <f>IF(AND(COUNTA($A139:$L139)=0,$N139=""),"",IF($T139="Paid","PAID",IF($T139="Closed","CLOSED",IF($Z139="","",IF($Z139=6,"ESCALATED TO ROXANNE",IF(TODAY()&gt;$AB139,"OVERDUE",IF($AB139&lt;=WORKDAY(TODAY(),1,Holidays),"DUE TOMORROW",IF($Z139=4,"ESCALATED TO LOCAL OFFICE",IF($Z139=5,"ESCALATED TO CBE",IF($AA139=TODAY(),"EMAIL SENT","MONITORING"))))))))))</f>
        <v/>
      </c>
      <c r="V139" s="17">
        <f>IF($U139="",IF(AND(COUNTA($A139:$L139)&gt;0,$N139=""),"Awaiting Collection Email time stamp.",""),IF(OR($U139="PAID",$U139="CLOSED"),IF($U139="PAID","Account paid. Action completed.","Account closed. No further action required."),CHOOSE($Z139,"Collection Email","1st Email Follow-up","2nd Email Follow-up","Escalation to Local Office","Escalation to CBE","Escalation to Roxanne")&amp;" sent "&amp;TEXT($AA139,"dd-mmm")&amp;". "&amp;IF($Z139=6,"Final escalation completed.",IF($U139="OVERDUE","Next: "&amp;$AC139&amp;" was due "&amp;TEXT($AB139,"dd-mmm")&amp;" - "&amp;(NETWORKDAYS($AB139,TODAY(),Holidays)-1)&amp;" business day(s) late. Send now.",IF($U139="DUE TOMORROW","Next: "&amp;$AC139&amp;IF($AB139&lt;=TODAY()," is due TODAY ("," is due next business day (")&amp;TEXT($AB139,"dd-mmm")&amp;").","Next: "&amp;$AC139&amp;" due "&amp;TEXT($AB139,"dd-mmm")&amp;" ("&amp;(NETWORKDAYS(TODAY(),$AB139,Holidays)-1)&amp;" business day(s) left).")))))</f>
        <v/>
      </c>
      <c r="W139" s="17">
        <f>IF($Z139="","",CHOOSE($Z139,"Collection Email","1st Follow-up","2nd Follow-up","Local Office","CBE","Roxanne")&amp;IF($Z139=6," - Final"," - Day "&amp;MAX(0,NETWORKDAYS($AA139,TODAY(),Holidays)-1)&amp;" of "&amp;CHOOSE($Z139,3,3,2,2,3))&amp;" | Total Day "&amp;MAX(0,NETWORKDAYS($N139,TODAY(),Holidays)-1))</f>
        <v/>
      </c>
      <c r="X139" s="18"/>
      <c r="Y139" s="18"/>
      <c r="Z139" s="17">
        <f>IF($N139="","",COUNT($N139:$S139))</f>
        <v/>
      </c>
      <c r="AA139" s="19">
        <f>IF($Z139="","",INT(INDEX($N139:$S139,$Z139)))</f>
        <v/>
      </c>
      <c r="AB139" s="19">
        <f>IF(OR($Z139="",$Z139=6),"",WORKDAY($AA139,CHOOSE($Z139,3,3,2,2,3),Holidays))</f>
        <v/>
      </c>
      <c r="AC139" s="17">
        <f>IF(OR($Z139="",$Z139=6),"",CHOOSE($Z139,"1st Email Follow-up","2nd Email Follow-up","Escalate Local Office","Escalate to CBE","Escalate to Roxanne"))</f>
        <v/>
      </c>
    </row>
    <row r="140" spans="13:29">
      <c r="M140" s="14"/>
      <c r="T140" s="16"/>
      <c r="U140" s="17">
        <f>IF(AND(COUNTA($A140:$L140)=0,$N140=""),"",IF($T140="Paid","PAID",IF($T140="Closed","CLOSED",IF($Z140="","",IF($Z140=6,"ESCALATED TO ROXANNE",IF(TODAY()&gt;$AB140,"OVERDUE",IF($AB140&lt;=WORKDAY(TODAY(),1,Holidays),"DUE TOMORROW",IF($Z140=4,"ESCALATED TO LOCAL OFFICE",IF($Z140=5,"ESCALATED TO CBE",IF($AA140=TODAY(),"EMAIL SENT","MONITORING"))))))))))</f>
        <v/>
      </c>
      <c r="V140" s="17">
        <f>IF($U140="",IF(AND(COUNTA($A140:$L140)&gt;0,$N140=""),"Awaiting Collection Email time stamp.",""),IF(OR($U140="PAID",$U140="CLOSED"),IF($U140="PAID","Account paid. Action completed.","Account closed. No further action required."),CHOOSE($Z140,"Collection Email","1st Email Follow-up","2nd Email Follow-up","Escalation to Local Office","Escalation to CBE","Escalation to Roxanne")&amp;" sent "&amp;TEXT($AA140,"dd-mmm")&amp;". "&amp;IF($Z140=6,"Final escalation completed.",IF($U140="OVERDUE","Next: "&amp;$AC140&amp;" was due "&amp;TEXT($AB140,"dd-mmm")&amp;" - "&amp;(NETWORKDAYS($AB140,TODAY(),Holidays)-1)&amp;" business day(s) late. Send now.",IF($U140="DUE TOMORROW","Next: "&amp;$AC140&amp;IF($AB140&lt;=TODAY()," is due TODAY ("," is due next business day (")&amp;TEXT($AB140,"dd-mmm")&amp;").","Next: "&amp;$AC140&amp;" due "&amp;TEXT($AB140,"dd-mmm")&amp;" ("&amp;(NETWORKDAYS(TODAY(),$AB140,Holidays)-1)&amp;" business day(s) left).")))))</f>
        <v/>
      </c>
      <c r="W140" s="17">
        <f>IF($Z140="","",CHOOSE($Z140,"Collection Email","1st Follow-up","2nd Follow-up","Local Office","CBE","Roxanne")&amp;IF($Z140=6," - Final"," - Day "&amp;MAX(0,NETWORKDAYS($AA140,TODAY(),Holidays)-1)&amp;" of "&amp;CHOOSE($Z140,3,3,2,2,3))&amp;" | Total Day "&amp;MAX(0,NETWORKDAYS($N140,TODAY(),Holidays)-1))</f>
        <v/>
      </c>
      <c r="X140" s="18"/>
      <c r="Y140" s="18"/>
      <c r="Z140" s="17">
        <f>IF($N140="","",COUNT($N140:$S140))</f>
        <v/>
      </c>
      <c r="AA140" s="19">
        <f>IF($Z140="","",INT(INDEX($N140:$S140,$Z140)))</f>
        <v/>
      </c>
      <c r="AB140" s="19">
        <f>IF(OR($Z140="",$Z140=6),"",WORKDAY($AA140,CHOOSE($Z140,3,3,2,2,3),Holidays))</f>
        <v/>
      </c>
      <c r="AC140" s="17">
        <f>IF(OR($Z140="",$Z140=6),"",CHOOSE($Z140,"1st Email Follow-up","2nd Email Follow-up","Escalate Local Office","Escalate to CBE","Escalate to Roxanne"))</f>
        <v/>
      </c>
    </row>
    <row r="141" spans="13:29">
      <c r="M141" s="14"/>
      <c r="T141" s="16"/>
      <c r="U141" s="17">
        <f>IF(AND(COUNTA($A141:$L141)=0,$N141=""),"",IF($T141="Paid","PAID",IF($T141="Closed","CLOSED",IF($Z141="","",IF($Z141=6,"ESCALATED TO ROXANNE",IF(TODAY()&gt;$AB141,"OVERDUE",IF($AB141&lt;=WORKDAY(TODAY(),1,Holidays),"DUE TOMORROW",IF($Z141=4,"ESCALATED TO LOCAL OFFICE",IF($Z141=5,"ESCALATED TO CBE",IF($AA141=TODAY(),"EMAIL SENT","MONITORING"))))))))))</f>
        <v/>
      </c>
      <c r="V141" s="17">
        <f>IF($U141="",IF(AND(COUNTA($A141:$L141)&gt;0,$N141=""),"Awaiting Collection Email time stamp.",""),IF(OR($U141="PAID",$U141="CLOSED"),IF($U141="PAID","Account paid. Action completed.","Account closed. No further action required."),CHOOSE($Z141,"Collection Email","1st Email Follow-up","2nd Email Follow-up","Escalation to Local Office","Escalation to CBE","Escalation to Roxanne")&amp;" sent "&amp;TEXT($AA141,"dd-mmm")&amp;". "&amp;IF($Z141=6,"Final escalation completed.",IF($U141="OVERDUE","Next: "&amp;$AC141&amp;" was due "&amp;TEXT($AB141,"dd-mmm")&amp;" - "&amp;(NETWORKDAYS($AB141,TODAY(),Holidays)-1)&amp;" business day(s) late. Send now.",IF($U141="DUE TOMORROW","Next: "&amp;$AC141&amp;IF($AB141&lt;=TODAY()," is due TODAY ("," is due next business day (")&amp;TEXT($AB141,"dd-mmm")&amp;").","Next: "&amp;$AC141&amp;" due "&amp;TEXT($AB141,"dd-mmm")&amp;" ("&amp;(NETWORKDAYS(TODAY(),$AB141,Holidays)-1)&amp;" business day(s) left).")))))</f>
        <v/>
      </c>
      <c r="W141" s="17">
        <f>IF($Z141="","",CHOOSE($Z141,"Collection Email","1st Follow-up","2nd Follow-up","Local Office","CBE","Roxanne")&amp;IF($Z141=6," - Final"," - Day "&amp;MAX(0,NETWORKDAYS($AA141,TODAY(),Holidays)-1)&amp;" of "&amp;CHOOSE($Z141,3,3,2,2,3))&amp;" | Total Day "&amp;MAX(0,NETWORKDAYS($N141,TODAY(),Holidays)-1))</f>
        <v/>
      </c>
      <c r="X141" s="18"/>
      <c r="Y141" s="18"/>
      <c r="Z141" s="17">
        <f>IF($N141="","",COUNT($N141:$S141))</f>
        <v/>
      </c>
      <c r="AA141" s="19">
        <f>IF($Z141="","",INT(INDEX($N141:$S141,$Z141)))</f>
        <v/>
      </c>
      <c r="AB141" s="19">
        <f>IF(OR($Z141="",$Z141=6),"",WORKDAY($AA141,CHOOSE($Z141,3,3,2,2,3),Holidays))</f>
        <v/>
      </c>
      <c r="AC141" s="17">
        <f>IF(OR($Z141="",$Z141=6),"",CHOOSE($Z141,"1st Email Follow-up","2nd Email Follow-up","Escalate Local Office","Escalate to CBE","Escalate to Roxanne"))</f>
        <v/>
      </c>
    </row>
    <row r="142" spans="13:29">
      <c r="M142" s="14"/>
      <c r="T142" s="16"/>
      <c r="U142" s="17">
        <f>IF(AND(COUNTA($A142:$L142)=0,$N142=""),"",IF($T142="Paid","PAID",IF($T142="Closed","CLOSED",IF($Z142="","",IF($Z142=6,"ESCALATED TO ROXANNE",IF(TODAY()&gt;$AB142,"OVERDUE",IF($AB142&lt;=WORKDAY(TODAY(),1,Holidays),"DUE TOMORROW",IF($Z142=4,"ESCALATED TO LOCAL OFFICE",IF($Z142=5,"ESCALATED TO CBE",IF($AA142=TODAY(),"EMAIL SENT","MONITORING"))))))))))</f>
        <v/>
      </c>
      <c r="V142" s="17">
        <f>IF($U142="",IF(AND(COUNTA($A142:$L142)&gt;0,$N142=""),"Awaiting Collection Email time stamp.",""),IF(OR($U142="PAID",$U142="CLOSED"),IF($U142="PAID","Account paid. Action completed.","Account closed. No further action required."),CHOOSE($Z142,"Collection Email","1st Email Follow-up","2nd Email Follow-up","Escalation to Local Office","Escalation to CBE","Escalation to Roxanne")&amp;" sent "&amp;TEXT($AA142,"dd-mmm")&amp;". "&amp;IF($Z142=6,"Final escalation completed.",IF($U142="OVERDUE","Next: "&amp;$AC142&amp;" was due "&amp;TEXT($AB142,"dd-mmm")&amp;" - "&amp;(NETWORKDAYS($AB142,TODAY(),Holidays)-1)&amp;" business day(s) late. Send now.",IF($U142="DUE TOMORROW","Next: "&amp;$AC142&amp;IF($AB142&lt;=TODAY()," is due TODAY ("," is due next business day (")&amp;TEXT($AB142,"dd-mmm")&amp;").","Next: "&amp;$AC142&amp;" due "&amp;TEXT($AB142,"dd-mmm")&amp;" ("&amp;(NETWORKDAYS(TODAY(),$AB142,Holidays)-1)&amp;" business day(s) left).")))))</f>
        <v/>
      </c>
      <c r="W142" s="17">
        <f>IF($Z142="","",CHOOSE($Z142,"Collection Email","1st Follow-up","2nd Follow-up","Local Office","CBE","Roxanne")&amp;IF($Z142=6," - Final"," - Day "&amp;MAX(0,NETWORKDAYS($AA142,TODAY(),Holidays)-1)&amp;" of "&amp;CHOOSE($Z142,3,3,2,2,3))&amp;" | Total Day "&amp;MAX(0,NETWORKDAYS($N142,TODAY(),Holidays)-1))</f>
        <v/>
      </c>
      <c r="X142" s="18"/>
      <c r="Y142" s="18"/>
      <c r="Z142" s="17">
        <f>IF($N142="","",COUNT($N142:$S142))</f>
        <v/>
      </c>
      <c r="AA142" s="19">
        <f>IF($Z142="","",INT(INDEX($N142:$S142,$Z142)))</f>
        <v/>
      </c>
      <c r="AB142" s="19">
        <f>IF(OR($Z142="",$Z142=6),"",WORKDAY($AA142,CHOOSE($Z142,3,3,2,2,3),Holidays))</f>
        <v/>
      </c>
      <c r="AC142" s="17">
        <f>IF(OR($Z142="",$Z142=6),"",CHOOSE($Z142,"1st Email Follow-up","2nd Email Follow-up","Escalate Local Office","Escalate to CBE","Escalate to Roxanne"))</f>
        <v/>
      </c>
    </row>
    <row r="143" spans="13:29">
      <c r="M143" s="14"/>
      <c r="T143" s="16"/>
      <c r="U143" s="17">
        <f>IF(AND(COUNTA($A143:$L143)=0,$N143=""),"",IF($T143="Paid","PAID",IF($T143="Closed","CLOSED",IF($Z143="","",IF($Z143=6,"ESCALATED TO ROXANNE",IF(TODAY()&gt;$AB143,"OVERDUE",IF($AB143&lt;=WORKDAY(TODAY(),1,Holidays),"DUE TOMORROW",IF($Z143=4,"ESCALATED TO LOCAL OFFICE",IF($Z143=5,"ESCALATED TO CBE",IF($AA143=TODAY(),"EMAIL SENT","MONITORING"))))))))))</f>
        <v/>
      </c>
      <c r="V143" s="17">
        <f>IF($U143="",IF(AND(COUNTA($A143:$L143)&gt;0,$N143=""),"Awaiting Collection Email time stamp.",""),IF(OR($U143="PAID",$U143="CLOSED"),IF($U143="PAID","Account paid. Action completed.","Account closed. No further action required."),CHOOSE($Z143,"Collection Email","1st Email Follow-up","2nd Email Follow-up","Escalation to Local Office","Escalation to CBE","Escalation to Roxanne")&amp;" sent "&amp;TEXT($AA143,"dd-mmm")&amp;". "&amp;IF($Z143=6,"Final escalation completed.",IF($U143="OVERDUE","Next: "&amp;$AC143&amp;" was due "&amp;TEXT($AB143,"dd-mmm")&amp;" - "&amp;(NETWORKDAYS($AB143,TODAY(),Holidays)-1)&amp;" business day(s) late. Send now.",IF($U143="DUE TOMORROW","Next: "&amp;$AC143&amp;IF($AB143&lt;=TODAY()," is due TODAY ("," is due next business day (")&amp;TEXT($AB143,"dd-mmm")&amp;").","Next: "&amp;$AC143&amp;" due "&amp;TEXT($AB143,"dd-mmm")&amp;" ("&amp;(NETWORKDAYS(TODAY(),$AB143,Holidays)-1)&amp;" business day(s) left).")))))</f>
        <v/>
      </c>
      <c r="W143" s="17">
        <f>IF($Z143="","",CHOOSE($Z143,"Collection Email","1st Follow-up","2nd Follow-up","Local Office","CBE","Roxanne")&amp;IF($Z143=6," - Final"," - Day "&amp;MAX(0,NETWORKDAYS($AA143,TODAY(),Holidays)-1)&amp;" of "&amp;CHOOSE($Z143,3,3,2,2,3))&amp;" | Total Day "&amp;MAX(0,NETWORKDAYS($N143,TODAY(),Holidays)-1))</f>
        <v/>
      </c>
      <c r="X143" s="18"/>
      <c r="Y143" s="18"/>
      <c r="Z143" s="17">
        <f>IF($N143="","",COUNT($N143:$S143))</f>
        <v/>
      </c>
      <c r="AA143" s="19">
        <f>IF($Z143="","",INT(INDEX($N143:$S143,$Z143)))</f>
        <v/>
      </c>
      <c r="AB143" s="19">
        <f>IF(OR($Z143="",$Z143=6),"",WORKDAY($AA143,CHOOSE($Z143,3,3,2,2,3),Holidays))</f>
        <v/>
      </c>
      <c r="AC143" s="17">
        <f>IF(OR($Z143="",$Z143=6),"",CHOOSE($Z143,"1st Email Follow-up","2nd Email Follow-up","Escalate Local Office","Escalate to CBE","Escalate to Roxanne"))</f>
        <v/>
      </c>
    </row>
    <row r="144" spans="13:29">
      <c r="M144" s="14"/>
      <c r="T144" s="16"/>
      <c r="U144" s="17">
        <f>IF(AND(COUNTA($A144:$L144)=0,$N144=""),"",IF($T144="Paid","PAID",IF($T144="Closed","CLOSED",IF($Z144="","",IF($Z144=6,"ESCALATED TO ROXANNE",IF(TODAY()&gt;$AB144,"OVERDUE",IF($AB144&lt;=WORKDAY(TODAY(),1,Holidays),"DUE TOMORROW",IF($Z144=4,"ESCALATED TO LOCAL OFFICE",IF($Z144=5,"ESCALATED TO CBE",IF($AA144=TODAY(),"EMAIL SENT","MONITORING"))))))))))</f>
        <v/>
      </c>
      <c r="V144" s="17">
        <f>IF($U144="",IF(AND(COUNTA($A144:$L144)&gt;0,$N144=""),"Awaiting Collection Email time stamp.",""),IF(OR($U144="PAID",$U144="CLOSED"),IF($U144="PAID","Account paid. Action completed.","Account closed. No further action required."),CHOOSE($Z144,"Collection Email","1st Email Follow-up","2nd Email Follow-up","Escalation to Local Office","Escalation to CBE","Escalation to Roxanne")&amp;" sent "&amp;TEXT($AA144,"dd-mmm")&amp;". "&amp;IF($Z144=6,"Final escalation completed.",IF($U144="OVERDUE","Next: "&amp;$AC144&amp;" was due "&amp;TEXT($AB144,"dd-mmm")&amp;" - "&amp;(NETWORKDAYS($AB144,TODAY(),Holidays)-1)&amp;" business day(s) late. Send now.",IF($U144="DUE TOMORROW","Next: "&amp;$AC144&amp;IF($AB144&lt;=TODAY()," is due TODAY ("," is due next business day (")&amp;TEXT($AB144,"dd-mmm")&amp;").","Next: "&amp;$AC144&amp;" due "&amp;TEXT($AB144,"dd-mmm")&amp;" ("&amp;(NETWORKDAYS(TODAY(),$AB144,Holidays)-1)&amp;" business day(s) left).")))))</f>
        <v/>
      </c>
      <c r="W144" s="17">
        <f>IF($Z144="","",CHOOSE($Z144,"Collection Email","1st Follow-up","2nd Follow-up","Local Office","CBE","Roxanne")&amp;IF($Z144=6," - Final"," - Day "&amp;MAX(0,NETWORKDAYS($AA144,TODAY(),Holidays)-1)&amp;" of "&amp;CHOOSE($Z144,3,3,2,2,3))&amp;" | Total Day "&amp;MAX(0,NETWORKDAYS($N144,TODAY(),Holidays)-1))</f>
        <v/>
      </c>
      <c r="X144" s="18"/>
      <c r="Y144" s="18"/>
      <c r="Z144" s="17">
        <f>IF($N144="","",COUNT($N144:$S144))</f>
        <v/>
      </c>
      <c r="AA144" s="19">
        <f>IF($Z144="","",INT(INDEX($N144:$S144,$Z144)))</f>
        <v/>
      </c>
      <c r="AB144" s="19">
        <f>IF(OR($Z144="",$Z144=6),"",WORKDAY($AA144,CHOOSE($Z144,3,3,2,2,3),Holidays))</f>
        <v/>
      </c>
      <c r="AC144" s="17">
        <f>IF(OR($Z144="",$Z144=6),"",CHOOSE($Z144,"1st Email Follow-up","2nd Email Follow-up","Escalate Local Office","Escalate to CBE","Escalate to Roxanne"))</f>
        <v/>
      </c>
    </row>
    <row r="145" spans="13:29">
      <c r="M145" s="14"/>
      <c r="T145" s="16"/>
      <c r="U145" s="17">
        <f>IF(AND(COUNTA($A145:$L145)=0,$N145=""),"",IF($T145="Paid","PAID",IF($T145="Closed","CLOSED",IF($Z145="","",IF($Z145=6,"ESCALATED TO ROXANNE",IF(TODAY()&gt;$AB145,"OVERDUE",IF($AB145&lt;=WORKDAY(TODAY(),1,Holidays),"DUE TOMORROW",IF($Z145=4,"ESCALATED TO LOCAL OFFICE",IF($Z145=5,"ESCALATED TO CBE",IF($AA145=TODAY(),"EMAIL SENT","MONITORING"))))))))))</f>
        <v/>
      </c>
      <c r="V145" s="17">
        <f>IF($U145="",IF(AND(COUNTA($A145:$L145)&gt;0,$N145=""),"Awaiting Collection Email time stamp.",""),IF(OR($U145="PAID",$U145="CLOSED"),IF($U145="PAID","Account paid. Action completed.","Account closed. No further action required."),CHOOSE($Z145,"Collection Email","1st Email Follow-up","2nd Email Follow-up","Escalation to Local Office","Escalation to CBE","Escalation to Roxanne")&amp;" sent "&amp;TEXT($AA145,"dd-mmm")&amp;". "&amp;IF($Z145=6,"Final escalation completed.",IF($U145="OVERDUE","Next: "&amp;$AC145&amp;" was due "&amp;TEXT($AB145,"dd-mmm")&amp;" - "&amp;(NETWORKDAYS($AB145,TODAY(),Holidays)-1)&amp;" business day(s) late. Send now.",IF($U145="DUE TOMORROW","Next: "&amp;$AC145&amp;IF($AB145&lt;=TODAY()," is due TODAY ("," is due next business day (")&amp;TEXT($AB145,"dd-mmm")&amp;").","Next: "&amp;$AC145&amp;" due "&amp;TEXT($AB145,"dd-mmm")&amp;" ("&amp;(NETWORKDAYS(TODAY(),$AB145,Holidays)-1)&amp;" business day(s) left).")))))</f>
        <v/>
      </c>
      <c r="W145" s="17">
        <f>IF($Z145="","",CHOOSE($Z145,"Collection Email","1st Follow-up","2nd Follow-up","Local Office","CBE","Roxanne")&amp;IF($Z145=6," - Final"," - Day "&amp;MAX(0,NETWORKDAYS($AA145,TODAY(),Holidays)-1)&amp;" of "&amp;CHOOSE($Z145,3,3,2,2,3))&amp;" | Total Day "&amp;MAX(0,NETWORKDAYS($N145,TODAY(),Holidays)-1))</f>
        <v/>
      </c>
      <c r="X145" s="18"/>
      <c r="Y145" s="18"/>
      <c r="Z145" s="17">
        <f>IF($N145="","",COUNT($N145:$S145))</f>
        <v/>
      </c>
      <c r="AA145" s="19">
        <f>IF($Z145="","",INT(INDEX($N145:$S145,$Z145)))</f>
        <v/>
      </c>
      <c r="AB145" s="19">
        <f>IF(OR($Z145="",$Z145=6),"",WORKDAY($AA145,CHOOSE($Z145,3,3,2,2,3),Holidays))</f>
        <v/>
      </c>
      <c r="AC145" s="17">
        <f>IF(OR($Z145="",$Z145=6),"",CHOOSE($Z145,"1st Email Follow-up","2nd Email Follow-up","Escalate Local Office","Escalate to CBE","Escalate to Roxanne"))</f>
        <v/>
      </c>
    </row>
    <row r="146" spans="13:29">
      <c r="M146" s="14"/>
      <c r="T146" s="16"/>
      <c r="U146" s="17">
        <f>IF(AND(COUNTA($A146:$L146)=0,$N146=""),"",IF($T146="Paid","PAID",IF($T146="Closed","CLOSED",IF($Z146="","",IF($Z146=6,"ESCALATED TO ROXANNE",IF(TODAY()&gt;$AB146,"OVERDUE",IF($AB146&lt;=WORKDAY(TODAY(),1,Holidays),"DUE TOMORROW",IF($Z146=4,"ESCALATED TO LOCAL OFFICE",IF($Z146=5,"ESCALATED TO CBE",IF($AA146=TODAY(),"EMAIL SENT","MONITORING"))))))))))</f>
        <v/>
      </c>
      <c r="V146" s="17">
        <f>IF($U146="",IF(AND(COUNTA($A146:$L146)&gt;0,$N146=""),"Awaiting Collection Email time stamp.",""),IF(OR($U146="PAID",$U146="CLOSED"),IF($U146="PAID","Account paid. Action completed.","Account closed. No further action required."),CHOOSE($Z146,"Collection Email","1st Email Follow-up","2nd Email Follow-up","Escalation to Local Office","Escalation to CBE","Escalation to Roxanne")&amp;" sent "&amp;TEXT($AA146,"dd-mmm")&amp;". "&amp;IF($Z146=6,"Final escalation completed.",IF($U146="OVERDUE","Next: "&amp;$AC146&amp;" was due "&amp;TEXT($AB146,"dd-mmm")&amp;" - "&amp;(NETWORKDAYS($AB146,TODAY(),Holidays)-1)&amp;" business day(s) late. Send now.",IF($U146="DUE TOMORROW","Next: "&amp;$AC146&amp;IF($AB146&lt;=TODAY()," is due TODAY ("," is due next business day (")&amp;TEXT($AB146,"dd-mmm")&amp;").","Next: "&amp;$AC146&amp;" due "&amp;TEXT($AB146,"dd-mmm")&amp;" ("&amp;(NETWORKDAYS(TODAY(),$AB146,Holidays)-1)&amp;" business day(s) left).")))))</f>
        <v/>
      </c>
      <c r="W146" s="17">
        <f>IF($Z146="","",CHOOSE($Z146,"Collection Email","1st Follow-up","2nd Follow-up","Local Office","CBE","Roxanne")&amp;IF($Z146=6," - Final"," - Day "&amp;MAX(0,NETWORKDAYS($AA146,TODAY(),Holidays)-1)&amp;" of "&amp;CHOOSE($Z146,3,3,2,2,3))&amp;" | Total Day "&amp;MAX(0,NETWORKDAYS($N146,TODAY(),Holidays)-1))</f>
        <v/>
      </c>
      <c r="X146" s="18"/>
      <c r="Y146" s="18"/>
      <c r="Z146" s="17">
        <f>IF($N146="","",COUNT($N146:$S146))</f>
        <v/>
      </c>
      <c r="AA146" s="19">
        <f>IF($Z146="","",INT(INDEX($N146:$S146,$Z146)))</f>
        <v/>
      </c>
      <c r="AB146" s="19">
        <f>IF(OR($Z146="",$Z146=6),"",WORKDAY($AA146,CHOOSE($Z146,3,3,2,2,3),Holidays))</f>
        <v/>
      </c>
      <c r="AC146" s="17">
        <f>IF(OR($Z146="",$Z146=6),"",CHOOSE($Z146,"1st Email Follow-up","2nd Email Follow-up","Escalate Local Office","Escalate to CBE","Escalate to Roxanne"))</f>
        <v/>
      </c>
    </row>
    <row r="147" spans="13:29">
      <c r="M147" s="14"/>
      <c r="T147" s="16"/>
      <c r="U147" s="17">
        <f>IF(AND(COUNTA($A147:$L147)=0,$N147=""),"",IF($T147="Paid","PAID",IF($T147="Closed","CLOSED",IF($Z147="","",IF($Z147=6,"ESCALATED TO ROXANNE",IF(TODAY()&gt;$AB147,"OVERDUE",IF($AB147&lt;=WORKDAY(TODAY(),1,Holidays),"DUE TOMORROW",IF($Z147=4,"ESCALATED TO LOCAL OFFICE",IF($Z147=5,"ESCALATED TO CBE",IF($AA147=TODAY(),"EMAIL SENT","MONITORING"))))))))))</f>
        <v/>
      </c>
      <c r="V147" s="17">
        <f>IF($U147="",IF(AND(COUNTA($A147:$L147)&gt;0,$N147=""),"Awaiting Collection Email time stamp.",""),IF(OR($U147="PAID",$U147="CLOSED"),IF($U147="PAID","Account paid. Action completed.","Account closed. No further action required."),CHOOSE($Z147,"Collection Email","1st Email Follow-up","2nd Email Follow-up","Escalation to Local Office","Escalation to CBE","Escalation to Roxanne")&amp;" sent "&amp;TEXT($AA147,"dd-mmm")&amp;". "&amp;IF($Z147=6,"Final escalation completed.",IF($U147="OVERDUE","Next: "&amp;$AC147&amp;" was due "&amp;TEXT($AB147,"dd-mmm")&amp;" - "&amp;(NETWORKDAYS($AB147,TODAY(),Holidays)-1)&amp;" business day(s) late. Send now.",IF($U147="DUE TOMORROW","Next: "&amp;$AC147&amp;IF($AB147&lt;=TODAY()," is due TODAY ("," is due next business day (")&amp;TEXT($AB147,"dd-mmm")&amp;").","Next: "&amp;$AC147&amp;" due "&amp;TEXT($AB147,"dd-mmm")&amp;" ("&amp;(NETWORKDAYS(TODAY(),$AB147,Holidays)-1)&amp;" business day(s) left).")))))</f>
        <v/>
      </c>
      <c r="W147" s="17">
        <f>IF($Z147="","",CHOOSE($Z147,"Collection Email","1st Follow-up","2nd Follow-up","Local Office","CBE","Roxanne")&amp;IF($Z147=6," - Final"," - Day "&amp;MAX(0,NETWORKDAYS($AA147,TODAY(),Holidays)-1)&amp;" of "&amp;CHOOSE($Z147,3,3,2,2,3))&amp;" | Total Day "&amp;MAX(0,NETWORKDAYS($N147,TODAY(),Holidays)-1))</f>
        <v/>
      </c>
      <c r="X147" s="18"/>
      <c r="Y147" s="18"/>
      <c r="Z147" s="17">
        <f>IF($N147="","",COUNT($N147:$S147))</f>
        <v/>
      </c>
      <c r="AA147" s="19">
        <f>IF($Z147="","",INT(INDEX($N147:$S147,$Z147)))</f>
        <v/>
      </c>
      <c r="AB147" s="19">
        <f>IF(OR($Z147="",$Z147=6),"",WORKDAY($AA147,CHOOSE($Z147,3,3,2,2,3),Holidays))</f>
        <v/>
      </c>
      <c r="AC147" s="17">
        <f>IF(OR($Z147="",$Z147=6),"",CHOOSE($Z147,"1st Email Follow-up","2nd Email Follow-up","Escalate Local Office","Escalate to CBE","Escalate to Roxanne"))</f>
        <v/>
      </c>
    </row>
    <row r="148" spans="13:29">
      <c r="M148" s="14"/>
      <c r="T148" s="16"/>
      <c r="U148" s="17">
        <f>IF(AND(COUNTA($A148:$L148)=0,$N148=""),"",IF($T148="Paid","PAID",IF($T148="Closed","CLOSED",IF($Z148="","",IF($Z148=6,"ESCALATED TO ROXANNE",IF(TODAY()&gt;$AB148,"OVERDUE",IF($AB148&lt;=WORKDAY(TODAY(),1,Holidays),"DUE TOMORROW",IF($Z148=4,"ESCALATED TO LOCAL OFFICE",IF($Z148=5,"ESCALATED TO CBE",IF($AA148=TODAY(),"EMAIL SENT","MONITORING"))))))))))</f>
        <v/>
      </c>
      <c r="V148" s="17">
        <f>IF($U148="",IF(AND(COUNTA($A148:$L148)&gt;0,$N148=""),"Awaiting Collection Email time stamp.",""),IF(OR($U148="PAID",$U148="CLOSED"),IF($U148="PAID","Account paid. Action completed.","Account closed. No further action required."),CHOOSE($Z148,"Collection Email","1st Email Follow-up","2nd Email Follow-up","Escalation to Local Office","Escalation to CBE","Escalation to Roxanne")&amp;" sent "&amp;TEXT($AA148,"dd-mmm")&amp;". "&amp;IF($Z148=6,"Final escalation completed.",IF($U148="OVERDUE","Next: "&amp;$AC148&amp;" was due "&amp;TEXT($AB148,"dd-mmm")&amp;" - "&amp;(NETWORKDAYS($AB148,TODAY(),Holidays)-1)&amp;" business day(s) late. Send now.",IF($U148="DUE TOMORROW","Next: "&amp;$AC148&amp;IF($AB148&lt;=TODAY()," is due TODAY ("," is due next business day (")&amp;TEXT($AB148,"dd-mmm")&amp;").","Next: "&amp;$AC148&amp;" due "&amp;TEXT($AB148,"dd-mmm")&amp;" ("&amp;(NETWORKDAYS(TODAY(),$AB148,Holidays)-1)&amp;" business day(s) left).")))))</f>
        <v/>
      </c>
      <c r="W148" s="17">
        <f>IF($Z148="","",CHOOSE($Z148,"Collection Email","1st Follow-up","2nd Follow-up","Local Office","CBE","Roxanne")&amp;IF($Z148=6," - Final"," - Day "&amp;MAX(0,NETWORKDAYS($AA148,TODAY(),Holidays)-1)&amp;" of "&amp;CHOOSE($Z148,3,3,2,2,3))&amp;" | Total Day "&amp;MAX(0,NETWORKDAYS($N148,TODAY(),Holidays)-1))</f>
        <v/>
      </c>
      <c r="X148" s="18"/>
      <c r="Y148" s="18"/>
      <c r="Z148" s="17">
        <f>IF($N148="","",COUNT($N148:$S148))</f>
        <v/>
      </c>
      <c r="AA148" s="19">
        <f>IF($Z148="","",INT(INDEX($N148:$S148,$Z148)))</f>
        <v/>
      </c>
      <c r="AB148" s="19">
        <f>IF(OR($Z148="",$Z148=6),"",WORKDAY($AA148,CHOOSE($Z148,3,3,2,2,3),Holidays))</f>
        <v/>
      </c>
      <c r="AC148" s="17">
        <f>IF(OR($Z148="",$Z148=6),"",CHOOSE($Z148,"1st Email Follow-up","2nd Email Follow-up","Escalate Local Office","Escalate to CBE","Escalate to Roxanne"))</f>
        <v/>
      </c>
    </row>
    <row r="149" spans="13:29">
      <c r="M149" s="14"/>
      <c r="T149" s="16"/>
      <c r="U149" s="17">
        <f>IF(AND(COUNTA($A149:$L149)=0,$N149=""),"",IF($T149="Paid","PAID",IF($T149="Closed","CLOSED",IF($Z149="","",IF($Z149=6,"ESCALATED TO ROXANNE",IF(TODAY()&gt;$AB149,"OVERDUE",IF($AB149&lt;=WORKDAY(TODAY(),1,Holidays),"DUE TOMORROW",IF($Z149=4,"ESCALATED TO LOCAL OFFICE",IF($Z149=5,"ESCALATED TO CBE",IF($AA149=TODAY(),"EMAIL SENT","MONITORING"))))))))))</f>
        <v/>
      </c>
      <c r="V149" s="17">
        <f>IF($U149="",IF(AND(COUNTA($A149:$L149)&gt;0,$N149=""),"Awaiting Collection Email time stamp.",""),IF(OR($U149="PAID",$U149="CLOSED"),IF($U149="PAID","Account paid. Action completed.","Account closed. No further action required."),CHOOSE($Z149,"Collection Email","1st Email Follow-up","2nd Email Follow-up","Escalation to Local Office","Escalation to CBE","Escalation to Roxanne")&amp;" sent "&amp;TEXT($AA149,"dd-mmm")&amp;". "&amp;IF($Z149=6,"Final escalation completed.",IF($U149="OVERDUE","Next: "&amp;$AC149&amp;" was due "&amp;TEXT($AB149,"dd-mmm")&amp;" - "&amp;(NETWORKDAYS($AB149,TODAY(),Holidays)-1)&amp;" business day(s) late. Send now.",IF($U149="DUE TOMORROW","Next: "&amp;$AC149&amp;IF($AB149&lt;=TODAY()," is due TODAY ("," is due next business day (")&amp;TEXT($AB149,"dd-mmm")&amp;").","Next: "&amp;$AC149&amp;" due "&amp;TEXT($AB149,"dd-mmm")&amp;" ("&amp;(NETWORKDAYS(TODAY(),$AB149,Holidays)-1)&amp;" business day(s) left).")))))</f>
        <v/>
      </c>
      <c r="W149" s="17">
        <f>IF($Z149="","",CHOOSE($Z149,"Collection Email","1st Follow-up","2nd Follow-up","Local Office","CBE","Roxanne")&amp;IF($Z149=6," - Final"," - Day "&amp;MAX(0,NETWORKDAYS($AA149,TODAY(),Holidays)-1)&amp;" of "&amp;CHOOSE($Z149,3,3,2,2,3))&amp;" | Total Day "&amp;MAX(0,NETWORKDAYS($N149,TODAY(),Holidays)-1))</f>
        <v/>
      </c>
      <c r="X149" s="18"/>
      <c r="Y149" s="18"/>
      <c r="Z149" s="17">
        <f>IF($N149="","",COUNT($N149:$S149))</f>
        <v/>
      </c>
      <c r="AA149" s="19">
        <f>IF($Z149="","",INT(INDEX($N149:$S149,$Z149)))</f>
        <v/>
      </c>
      <c r="AB149" s="19">
        <f>IF(OR($Z149="",$Z149=6),"",WORKDAY($AA149,CHOOSE($Z149,3,3,2,2,3),Holidays))</f>
        <v/>
      </c>
      <c r="AC149" s="17">
        <f>IF(OR($Z149="",$Z149=6),"",CHOOSE($Z149,"1st Email Follow-up","2nd Email Follow-up","Escalate Local Office","Escalate to CBE","Escalate to Roxanne"))</f>
        <v/>
      </c>
    </row>
    <row r="150" spans="13:29">
      <c r="M150" s="14"/>
      <c r="T150" s="16"/>
      <c r="U150" s="17">
        <f>IF(AND(COUNTA($A150:$L150)=0,$N150=""),"",IF($T150="Paid","PAID",IF($T150="Closed","CLOSED",IF($Z150="","",IF($Z150=6,"ESCALATED TO ROXANNE",IF(TODAY()&gt;$AB150,"OVERDUE",IF($AB150&lt;=WORKDAY(TODAY(),1,Holidays),"DUE TOMORROW",IF($Z150=4,"ESCALATED TO LOCAL OFFICE",IF($Z150=5,"ESCALATED TO CBE",IF($AA150=TODAY(),"EMAIL SENT","MONITORING"))))))))))</f>
        <v/>
      </c>
      <c r="V150" s="17">
        <f>IF($U150="",IF(AND(COUNTA($A150:$L150)&gt;0,$N150=""),"Awaiting Collection Email time stamp.",""),IF(OR($U150="PAID",$U150="CLOSED"),IF($U150="PAID","Account paid. Action completed.","Account closed. No further action required."),CHOOSE($Z150,"Collection Email","1st Email Follow-up","2nd Email Follow-up","Escalation to Local Office","Escalation to CBE","Escalation to Roxanne")&amp;" sent "&amp;TEXT($AA150,"dd-mmm")&amp;". "&amp;IF($Z150=6,"Final escalation completed.",IF($U150="OVERDUE","Next: "&amp;$AC150&amp;" was due "&amp;TEXT($AB150,"dd-mmm")&amp;" - "&amp;(NETWORKDAYS($AB150,TODAY(),Holidays)-1)&amp;" business day(s) late. Send now.",IF($U150="DUE TOMORROW","Next: "&amp;$AC150&amp;IF($AB150&lt;=TODAY()," is due TODAY ("," is due next business day (")&amp;TEXT($AB150,"dd-mmm")&amp;").","Next: "&amp;$AC150&amp;" due "&amp;TEXT($AB150,"dd-mmm")&amp;" ("&amp;(NETWORKDAYS(TODAY(),$AB150,Holidays)-1)&amp;" business day(s) left).")))))</f>
        <v/>
      </c>
      <c r="W150" s="17">
        <f>IF($Z150="","",CHOOSE($Z150,"Collection Email","1st Follow-up","2nd Follow-up","Local Office","CBE","Roxanne")&amp;IF($Z150=6," - Final"," - Day "&amp;MAX(0,NETWORKDAYS($AA150,TODAY(),Holidays)-1)&amp;" of "&amp;CHOOSE($Z150,3,3,2,2,3))&amp;" | Total Day "&amp;MAX(0,NETWORKDAYS($N150,TODAY(),Holidays)-1))</f>
        <v/>
      </c>
      <c r="X150" s="18"/>
      <c r="Y150" s="18"/>
      <c r="Z150" s="17">
        <f>IF($N150="","",COUNT($N150:$S150))</f>
        <v/>
      </c>
      <c r="AA150" s="19">
        <f>IF($Z150="","",INT(INDEX($N150:$S150,$Z150)))</f>
        <v/>
      </c>
      <c r="AB150" s="19">
        <f>IF(OR($Z150="",$Z150=6),"",WORKDAY($AA150,CHOOSE($Z150,3,3,2,2,3),Holidays))</f>
        <v/>
      </c>
      <c r="AC150" s="17">
        <f>IF(OR($Z150="",$Z150=6),"",CHOOSE($Z150,"1st Email Follow-up","2nd Email Follow-up","Escalate Local Office","Escalate to CBE","Escalate to Roxanne"))</f>
        <v/>
      </c>
    </row>
    <row r="151" spans="13:29">
      <c r="M151" s="14"/>
      <c r="T151" s="16"/>
      <c r="U151" s="17">
        <f>IF(AND(COUNTA($A151:$L151)=0,$N151=""),"",IF($T151="Paid","PAID",IF($T151="Closed","CLOSED",IF($Z151="","",IF($Z151=6,"ESCALATED TO ROXANNE",IF(TODAY()&gt;$AB151,"OVERDUE",IF($AB151&lt;=WORKDAY(TODAY(),1,Holidays),"DUE TOMORROW",IF($Z151=4,"ESCALATED TO LOCAL OFFICE",IF($Z151=5,"ESCALATED TO CBE",IF($AA151=TODAY(),"EMAIL SENT","MONITORING"))))))))))</f>
        <v/>
      </c>
      <c r="V151" s="17">
        <f>IF($U151="",IF(AND(COUNTA($A151:$L151)&gt;0,$N151=""),"Awaiting Collection Email time stamp.",""),IF(OR($U151="PAID",$U151="CLOSED"),IF($U151="PAID","Account paid. Action completed.","Account closed. No further action required."),CHOOSE($Z151,"Collection Email","1st Email Follow-up","2nd Email Follow-up","Escalation to Local Office","Escalation to CBE","Escalation to Roxanne")&amp;" sent "&amp;TEXT($AA151,"dd-mmm")&amp;". "&amp;IF($Z151=6,"Final escalation completed.",IF($U151="OVERDUE","Next: "&amp;$AC151&amp;" was due "&amp;TEXT($AB151,"dd-mmm")&amp;" - "&amp;(NETWORKDAYS($AB151,TODAY(),Holidays)-1)&amp;" business day(s) late. Send now.",IF($U151="DUE TOMORROW","Next: "&amp;$AC151&amp;IF($AB151&lt;=TODAY()," is due TODAY ("," is due next business day (")&amp;TEXT($AB151,"dd-mmm")&amp;").","Next: "&amp;$AC151&amp;" due "&amp;TEXT($AB151,"dd-mmm")&amp;" ("&amp;(NETWORKDAYS(TODAY(),$AB151,Holidays)-1)&amp;" business day(s) left).")))))</f>
        <v/>
      </c>
      <c r="W151" s="17">
        <f>IF($Z151="","",CHOOSE($Z151,"Collection Email","1st Follow-up","2nd Follow-up","Local Office","CBE","Roxanne")&amp;IF($Z151=6," - Final"," - Day "&amp;MAX(0,NETWORKDAYS($AA151,TODAY(),Holidays)-1)&amp;" of "&amp;CHOOSE($Z151,3,3,2,2,3))&amp;" | Total Day "&amp;MAX(0,NETWORKDAYS($N151,TODAY(),Holidays)-1))</f>
        <v/>
      </c>
      <c r="X151" s="18"/>
      <c r="Y151" s="18"/>
      <c r="Z151" s="17">
        <f>IF($N151="","",COUNT($N151:$S151))</f>
        <v/>
      </c>
      <c r="AA151" s="19">
        <f>IF($Z151="","",INT(INDEX($N151:$S151,$Z151)))</f>
        <v/>
      </c>
      <c r="AB151" s="19">
        <f>IF(OR($Z151="",$Z151=6),"",WORKDAY($AA151,CHOOSE($Z151,3,3,2,2,3),Holidays))</f>
        <v/>
      </c>
      <c r="AC151" s="17">
        <f>IF(OR($Z151="",$Z151=6),"",CHOOSE($Z151,"1st Email Follow-up","2nd Email Follow-up","Escalate Local Office","Escalate to CBE","Escalate to Roxanne"))</f>
        <v/>
      </c>
    </row>
    <row r="152" spans="13:29">
      <c r="M152" s="14"/>
      <c r="T152" s="16"/>
      <c r="U152" s="17">
        <f>IF(AND(COUNTA($A152:$L152)=0,$N152=""),"",IF($T152="Paid","PAID",IF($T152="Closed","CLOSED",IF($Z152="","",IF($Z152=6,"ESCALATED TO ROXANNE",IF(TODAY()&gt;$AB152,"OVERDUE",IF($AB152&lt;=WORKDAY(TODAY(),1,Holidays),"DUE TOMORROW",IF($Z152=4,"ESCALATED TO LOCAL OFFICE",IF($Z152=5,"ESCALATED TO CBE",IF($AA152=TODAY(),"EMAIL SENT","MONITORING"))))))))))</f>
        <v/>
      </c>
      <c r="V152" s="17">
        <f>IF($U152="",IF(AND(COUNTA($A152:$L152)&gt;0,$N152=""),"Awaiting Collection Email time stamp.",""),IF(OR($U152="PAID",$U152="CLOSED"),IF($U152="PAID","Account paid. Action completed.","Account closed. No further action required."),CHOOSE($Z152,"Collection Email","1st Email Follow-up","2nd Email Follow-up","Escalation to Local Office","Escalation to CBE","Escalation to Roxanne")&amp;" sent "&amp;TEXT($AA152,"dd-mmm")&amp;". "&amp;IF($Z152=6,"Final escalation completed.",IF($U152="OVERDUE","Next: "&amp;$AC152&amp;" was due "&amp;TEXT($AB152,"dd-mmm")&amp;" - "&amp;(NETWORKDAYS($AB152,TODAY(),Holidays)-1)&amp;" business day(s) late. Send now.",IF($U152="DUE TOMORROW","Next: "&amp;$AC152&amp;IF($AB152&lt;=TODAY()," is due TODAY ("," is due next business day (")&amp;TEXT($AB152,"dd-mmm")&amp;").","Next: "&amp;$AC152&amp;" due "&amp;TEXT($AB152,"dd-mmm")&amp;" ("&amp;(NETWORKDAYS(TODAY(),$AB152,Holidays)-1)&amp;" business day(s) left).")))))</f>
        <v/>
      </c>
      <c r="W152" s="17">
        <f>IF($Z152="","",CHOOSE($Z152,"Collection Email","1st Follow-up","2nd Follow-up","Local Office","CBE","Roxanne")&amp;IF($Z152=6," - Final"," - Day "&amp;MAX(0,NETWORKDAYS($AA152,TODAY(),Holidays)-1)&amp;" of "&amp;CHOOSE($Z152,3,3,2,2,3))&amp;" | Total Day "&amp;MAX(0,NETWORKDAYS($N152,TODAY(),Holidays)-1))</f>
        <v/>
      </c>
      <c r="X152" s="18"/>
      <c r="Y152" s="18"/>
      <c r="Z152" s="17">
        <f>IF($N152="","",COUNT($N152:$S152))</f>
        <v/>
      </c>
      <c r="AA152" s="19">
        <f>IF($Z152="","",INT(INDEX($N152:$S152,$Z152)))</f>
        <v/>
      </c>
      <c r="AB152" s="19">
        <f>IF(OR($Z152="",$Z152=6),"",WORKDAY($AA152,CHOOSE($Z152,3,3,2,2,3),Holidays))</f>
        <v/>
      </c>
      <c r="AC152" s="17">
        <f>IF(OR($Z152="",$Z152=6),"",CHOOSE($Z152,"1st Email Follow-up","2nd Email Follow-up","Escalate Local Office","Escalate to CBE","Escalate to Roxanne"))</f>
        <v/>
      </c>
    </row>
    <row r="153" spans="13:29">
      <c r="M153" s="14"/>
      <c r="T153" s="16"/>
      <c r="U153" s="17">
        <f>IF(AND(COUNTA($A153:$L153)=0,$N153=""),"",IF($T153="Paid","PAID",IF($T153="Closed","CLOSED",IF($Z153="","",IF($Z153=6,"ESCALATED TO ROXANNE",IF(TODAY()&gt;$AB153,"OVERDUE",IF($AB153&lt;=WORKDAY(TODAY(),1,Holidays),"DUE TOMORROW",IF($Z153=4,"ESCALATED TO LOCAL OFFICE",IF($Z153=5,"ESCALATED TO CBE",IF($AA153=TODAY(),"EMAIL SENT","MONITORING"))))))))))</f>
        <v/>
      </c>
      <c r="V153" s="17">
        <f>IF($U153="",IF(AND(COUNTA($A153:$L153)&gt;0,$N153=""),"Awaiting Collection Email time stamp.",""),IF(OR($U153="PAID",$U153="CLOSED"),IF($U153="PAID","Account paid. Action completed.","Account closed. No further action required."),CHOOSE($Z153,"Collection Email","1st Email Follow-up","2nd Email Follow-up","Escalation to Local Office","Escalation to CBE","Escalation to Roxanne")&amp;" sent "&amp;TEXT($AA153,"dd-mmm")&amp;". "&amp;IF($Z153=6,"Final escalation completed.",IF($U153="OVERDUE","Next: "&amp;$AC153&amp;" was due "&amp;TEXT($AB153,"dd-mmm")&amp;" - "&amp;(NETWORKDAYS($AB153,TODAY(),Holidays)-1)&amp;" business day(s) late. Send now.",IF($U153="DUE TOMORROW","Next: "&amp;$AC153&amp;IF($AB153&lt;=TODAY()," is due TODAY ("," is due next business day (")&amp;TEXT($AB153,"dd-mmm")&amp;").","Next: "&amp;$AC153&amp;" due "&amp;TEXT($AB153,"dd-mmm")&amp;" ("&amp;(NETWORKDAYS(TODAY(),$AB153,Holidays)-1)&amp;" business day(s) left).")))))</f>
        <v/>
      </c>
      <c r="W153" s="17">
        <f>IF($Z153="","",CHOOSE($Z153,"Collection Email","1st Follow-up","2nd Follow-up","Local Office","CBE","Roxanne")&amp;IF($Z153=6," - Final"," - Day "&amp;MAX(0,NETWORKDAYS($AA153,TODAY(),Holidays)-1)&amp;" of "&amp;CHOOSE($Z153,3,3,2,2,3))&amp;" | Total Day "&amp;MAX(0,NETWORKDAYS($N153,TODAY(),Holidays)-1))</f>
        <v/>
      </c>
      <c r="X153" s="18"/>
      <c r="Y153" s="18"/>
      <c r="Z153" s="17">
        <f>IF($N153="","",COUNT($N153:$S153))</f>
        <v/>
      </c>
      <c r="AA153" s="19">
        <f>IF($Z153="","",INT(INDEX($N153:$S153,$Z153)))</f>
        <v/>
      </c>
      <c r="AB153" s="19">
        <f>IF(OR($Z153="",$Z153=6),"",WORKDAY($AA153,CHOOSE($Z153,3,3,2,2,3),Holidays))</f>
        <v/>
      </c>
      <c r="AC153" s="17">
        <f>IF(OR($Z153="",$Z153=6),"",CHOOSE($Z153,"1st Email Follow-up","2nd Email Follow-up","Escalate Local Office","Escalate to CBE","Escalate to Roxanne"))</f>
        <v/>
      </c>
    </row>
    <row r="154" spans="13:29">
      <c r="M154" s="14"/>
      <c r="T154" s="16"/>
      <c r="U154" s="17">
        <f>IF(AND(COUNTA($A154:$L154)=0,$N154=""),"",IF($T154="Paid","PAID",IF($T154="Closed","CLOSED",IF($Z154="","",IF($Z154=6,"ESCALATED TO ROXANNE",IF(TODAY()&gt;$AB154,"OVERDUE",IF($AB154&lt;=WORKDAY(TODAY(),1,Holidays),"DUE TOMORROW",IF($Z154=4,"ESCALATED TO LOCAL OFFICE",IF($Z154=5,"ESCALATED TO CBE",IF($AA154=TODAY(),"EMAIL SENT","MONITORING"))))))))))</f>
        <v/>
      </c>
      <c r="V154" s="17">
        <f>IF($U154="",IF(AND(COUNTA($A154:$L154)&gt;0,$N154=""),"Awaiting Collection Email time stamp.",""),IF(OR($U154="PAID",$U154="CLOSED"),IF($U154="PAID","Account paid. Action completed.","Account closed. No further action required."),CHOOSE($Z154,"Collection Email","1st Email Follow-up","2nd Email Follow-up","Escalation to Local Office","Escalation to CBE","Escalation to Roxanne")&amp;" sent "&amp;TEXT($AA154,"dd-mmm")&amp;". "&amp;IF($Z154=6,"Final escalation completed.",IF($U154="OVERDUE","Next: "&amp;$AC154&amp;" was due "&amp;TEXT($AB154,"dd-mmm")&amp;" - "&amp;(NETWORKDAYS($AB154,TODAY(),Holidays)-1)&amp;" business day(s) late. Send now.",IF($U154="DUE TOMORROW","Next: "&amp;$AC154&amp;IF($AB154&lt;=TODAY()," is due TODAY ("," is due next business day (")&amp;TEXT($AB154,"dd-mmm")&amp;").","Next: "&amp;$AC154&amp;" due "&amp;TEXT($AB154,"dd-mmm")&amp;" ("&amp;(NETWORKDAYS(TODAY(),$AB154,Holidays)-1)&amp;" business day(s) left).")))))</f>
        <v/>
      </c>
      <c r="W154" s="17">
        <f>IF($Z154="","",CHOOSE($Z154,"Collection Email","1st Follow-up","2nd Follow-up","Local Office","CBE","Roxanne")&amp;IF($Z154=6," - Final"," - Day "&amp;MAX(0,NETWORKDAYS($AA154,TODAY(),Holidays)-1)&amp;" of "&amp;CHOOSE($Z154,3,3,2,2,3))&amp;" | Total Day "&amp;MAX(0,NETWORKDAYS($N154,TODAY(),Holidays)-1))</f>
        <v/>
      </c>
      <c r="X154" s="18"/>
      <c r="Y154" s="18"/>
      <c r="Z154" s="17">
        <f>IF($N154="","",COUNT($N154:$S154))</f>
        <v/>
      </c>
      <c r="AA154" s="19">
        <f>IF($Z154="","",INT(INDEX($N154:$S154,$Z154)))</f>
        <v/>
      </c>
      <c r="AB154" s="19">
        <f>IF(OR($Z154="",$Z154=6),"",WORKDAY($AA154,CHOOSE($Z154,3,3,2,2,3),Holidays))</f>
        <v/>
      </c>
      <c r="AC154" s="17">
        <f>IF(OR($Z154="",$Z154=6),"",CHOOSE($Z154,"1st Email Follow-up","2nd Email Follow-up","Escalate Local Office","Escalate to CBE","Escalate to Roxanne"))</f>
        <v/>
      </c>
    </row>
    <row r="155" spans="13:29">
      <c r="M155" s="14"/>
      <c r="T155" s="16"/>
      <c r="U155" s="17">
        <f>IF(AND(COUNTA($A155:$L155)=0,$N155=""),"",IF($T155="Paid","PAID",IF($T155="Closed","CLOSED",IF($Z155="","",IF($Z155=6,"ESCALATED TO ROXANNE",IF(TODAY()&gt;$AB155,"OVERDUE",IF($AB155&lt;=WORKDAY(TODAY(),1,Holidays),"DUE TOMORROW",IF($Z155=4,"ESCALATED TO LOCAL OFFICE",IF($Z155=5,"ESCALATED TO CBE",IF($AA155=TODAY(),"EMAIL SENT","MONITORING"))))))))))</f>
        <v/>
      </c>
      <c r="V155" s="17">
        <f>IF($U155="",IF(AND(COUNTA($A155:$L155)&gt;0,$N155=""),"Awaiting Collection Email time stamp.",""),IF(OR($U155="PAID",$U155="CLOSED"),IF($U155="PAID","Account paid. Action completed.","Account closed. No further action required."),CHOOSE($Z155,"Collection Email","1st Email Follow-up","2nd Email Follow-up","Escalation to Local Office","Escalation to CBE","Escalation to Roxanne")&amp;" sent "&amp;TEXT($AA155,"dd-mmm")&amp;". "&amp;IF($Z155=6,"Final escalation completed.",IF($U155="OVERDUE","Next: "&amp;$AC155&amp;" was due "&amp;TEXT($AB155,"dd-mmm")&amp;" - "&amp;(NETWORKDAYS($AB155,TODAY(),Holidays)-1)&amp;" business day(s) late. Send now.",IF($U155="DUE TOMORROW","Next: "&amp;$AC155&amp;IF($AB155&lt;=TODAY()," is due TODAY ("," is due next business day (")&amp;TEXT($AB155,"dd-mmm")&amp;").","Next: "&amp;$AC155&amp;" due "&amp;TEXT($AB155,"dd-mmm")&amp;" ("&amp;(NETWORKDAYS(TODAY(),$AB155,Holidays)-1)&amp;" business day(s) left).")))))</f>
        <v/>
      </c>
      <c r="W155" s="17">
        <f>IF($Z155="","",CHOOSE($Z155,"Collection Email","1st Follow-up","2nd Follow-up","Local Office","CBE","Roxanne")&amp;IF($Z155=6," - Final"," - Day "&amp;MAX(0,NETWORKDAYS($AA155,TODAY(),Holidays)-1)&amp;" of "&amp;CHOOSE($Z155,3,3,2,2,3))&amp;" | Total Day "&amp;MAX(0,NETWORKDAYS($N155,TODAY(),Holidays)-1))</f>
        <v/>
      </c>
      <c r="X155" s="18"/>
      <c r="Y155" s="18"/>
      <c r="Z155" s="17">
        <f>IF($N155="","",COUNT($N155:$S155))</f>
        <v/>
      </c>
      <c r="AA155" s="19">
        <f>IF($Z155="","",INT(INDEX($N155:$S155,$Z155)))</f>
        <v/>
      </c>
      <c r="AB155" s="19">
        <f>IF(OR($Z155="",$Z155=6),"",WORKDAY($AA155,CHOOSE($Z155,3,3,2,2,3),Holidays))</f>
        <v/>
      </c>
      <c r="AC155" s="17">
        <f>IF(OR($Z155="",$Z155=6),"",CHOOSE($Z155,"1st Email Follow-up","2nd Email Follow-up","Escalate Local Office","Escalate to CBE","Escalate to Roxanne"))</f>
        <v/>
      </c>
    </row>
    <row r="156" spans="13:29">
      <c r="M156" s="14"/>
      <c r="T156" s="16"/>
      <c r="U156" s="17">
        <f>IF(AND(COUNTA($A156:$L156)=0,$N156=""),"",IF($T156="Paid","PAID",IF($T156="Closed","CLOSED",IF($Z156="","",IF($Z156=6,"ESCALATED TO ROXANNE",IF(TODAY()&gt;$AB156,"OVERDUE",IF($AB156&lt;=WORKDAY(TODAY(),1,Holidays),"DUE TOMORROW",IF($Z156=4,"ESCALATED TO LOCAL OFFICE",IF($Z156=5,"ESCALATED TO CBE",IF($AA156=TODAY(),"EMAIL SENT","MONITORING"))))))))))</f>
        <v/>
      </c>
      <c r="V156" s="17">
        <f>IF($U156="",IF(AND(COUNTA($A156:$L156)&gt;0,$N156=""),"Awaiting Collection Email time stamp.",""),IF(OR($U156="PAID",$U156="CLOSED"),IF($U156="PAID","Account paid. Action completed.","Account closed. No further action required."),CHOOSE($Z156,"Collection Email","1st Email Follow-up","2nd Email Follow-up","Escalation to Local Office","Escalation to CBE","Escalation to Roxanne")&amp;" sent "&amp;TEXT($AA156,"dd-mmm")&amp;". "&amp;IF($Z156=6,"Final escalation completed.",IF($U156="OVERDUE","Next: "&amp;$AC156&amp;" was due "&amp;TEXT($AB156,"dd-mmm")&amp;" - "&amp;(NETWORKDAYS($AB156,TODAY(),Holidays)-1)&amp;" business day(s) late. Send now.",IF($U156="DUE TOMORROW","Next: "&amp;$AC156&amp;IF($AB156&lt;=TODAY()," is due TODAY ("," is due next business day (")&amp;TEXT($AB156,"dd-mmm")&amp;").","Next: "&amp;$AC156&amp;" due "&amp;TEXT($AB156,"dd-mmm")&amp;" ("&amp;(NETWORKDAYS(TODAY(),$AB156,Holidays)-1)&amp;" business day(s) left).")))))</f>
        <v/>
      </c>
      <c r="W156" s="17">
        <f>IF($Z156="","",CHOOSE($Z156,"Collection Email","1st Follow-up","2nd Follow-up","Local Office","CBE","Roxanne")&amp;IF($Z156=6," - Final"," - Day "&amp;MAX(0,NETWORKDAYS($AA156,TODAY(),Holidays)-1)&amp;" of "&amp;CHOOSE($Z156,3,3,2,2,3))&amp;" | Total Day "&amp;MAX(0,NETWORKDAYS($N156,TODAY(),Holidays)-1))</f>
        <v/>
      </c>
      <c r="X156" s="18"/>
      <c r="Y156" s="18"/>
      <c r="Z156" s="17">
        <f>IF($N156="","",COUNT($N156:$S156))</f>
        <v/>
      </c>
      <c r="AA156" s="19">
        <f>IF($Z156="","",INT(INDEX($N156:$S156,$Z156)))</f>
        <v/>
      </c>
      <c r="AB156" s="19">
        <f>IF(OR($Z156="",$Z156=6),"",WORKDAY($AA156,CHOOSE($Z156,3,3,2,2,3),Holidays))</f>
        <v/>
      </c>
      <c r="AC156" s="17">
        <f>IF(OR($Z156="",$Z156=6),"",CHOOSE($Z156,"1st Email Follow-up","2nd Email Follow-up","Escalate Local Office","Escalate to CBE","Escalate to Roxanne"))</f>
        <v/>
      </c>
    </row>
    <row r="157" spans="13:29">
      <c r="M157" s="14"/>
      <c r="T157" s="16"/>
      <c r="U157" s="17">
        <f>IF(AND(COUNTA($A157:$L157)=0,$N157=""),"",IF($T157="Paid","PAID",IF($T157="Closed","CLOSED",IF($Z157="","",IF($Z157=6,"ESCALATED TO ROXANNE",IF(TODAY()&gt;$AB157,"OVERDUE",IF($AB157&lt;=WORKDAY(TODAY(),1,Holidays),"DUE TOMORROW",IF($Z157=4,"ESCALATED TO LOCAL OFFICE",IF($Z157=5,"ESCALATED TO CBE",IF($AA157=TODAY(),"EMAIL SENT","MONITORING"))))))))))</f>
        <v/>
      </c>
      <c r="V157" s="17">
        <f>IF($U157="",IF(AND(COUNTA($A157:$L157)&gt;0,$N157=""),"Awaiting Collection Email time stamp.",""),IF(OR($U157="PAID",$U157="CLOSED"),IF($U157="PAID","Account paid. Action completed.","Account closed. No further action required."),CHOOSE($Z157,"Collection Email","1st Email Follow-up","2nd Email Follow-up","Escalation to Local Office","Escalation to CBE","Escalation to Roxanne")&amp;" sent "&amp;TEXT($AA157,"dd-mmm")&amp;". "&amp;IF($Z157=6,"Final escalation completed.",IF($U157="OVERDUE","Next: "&amp;$AC157&amp;" was due "&amp;TEXT($AB157,"dd-mmm")&amp;" - "&amp;(NETWORKDAYS($AB157,TODAY(),Holidays)-1)&amp;" business day(s) late. Send now.",IF($U157="DUE TOMORROW","Next: "&amp;$AC157&amp;IF($AB157&lt;=TODAY()," is due TODAY ("," is due next business day (")&amp;TEXT($AB157,"dd-mmm")&amp;").","Next: "&amp;$AC157&amp;" due "&amp;TEXT($AB157,"dd-mmm")&amp;" ("&amp;(NETWORKDAYS(TODAY(),$AB157,Holidays)-1)&amp;" business day(s) left).")))))</f>
        <v/>
      </c>
      <c r="W157" s="17">
        <f>IF($Z157="","",CHOOSE($Z157,"Collection Email","1st Follow-up","2nd Follow-up","Local Office","CBE","Roxanne")&amp;IF($Z157=6," - Final"," - Day "&amp;MAX(0,NETWORKDAYS($AA157,TODAY(),Holidays)-1)&amp;" of "&amp;CHOOSE($Z157,3,3,2,2,3))&amp;" | Total Day "&amp;MAX(0,NETWORKDAYS($N157,TODAY(),Holidays)-1))</f>
        <v/>
      </c>
      <c r="X157" s="18"/>
      <c r="Y157" s="18"/>
      <c r="Z157" s="17">
        <f>IF($N157="","",COUNT($N157:$S157))</f>
        <v/>
      </c>
      <c r="AA157" s="19">
        <f>IF($Z157="","",INT(INDEX($N157:$S157,$Z157)))</f>
        <v/>
      </c>
      <c r="AB157" s="19">
        <f>IF(OR($Z157="",$Z157=6),"",WORKDAY($AA157,CHOOSE($Z157,3,3,2,2,3),Holidays))</f>
        <v/>
      </c>
      <c r="AC157" s="17">
        <f>IF(OR($Z157="",$Z157=6),"",CHOOSE($Z157,"1st Email Follow-up","2nd Email Follow-up","Escalate Local Office","Escalate to CBE","Escalate to Roxanne"))</f>
        <v/>
      </c>
    </row>
    <row r="158" spans="13:29">
      <c r="M158" s="14"/>
      <c r="T158" s="16"/>
      <c r="U158" s="17">
        <f>IF(AND(COUNTA($A158:$L158)=0,$N158=""),"",IF($T158="Paid","PAID",IF($T158="Closed","CLOSED",IF($Z158="","",IF($Z158=6,"ESCALATED TO ROXANNE",IF(TODAY()&gt;$AB158,"OVERDUE",IF($AB158&lt;=WORKDAY(TODAY(),1,Holidays),"DUE TOMORROW",IF($Z158=4,"ESCALATED TO LOCAL OFFICE",IF($Z158=5,"ESCALATED TO CBE",IF($AA158=TODAY(),"EMAIL SENT","MONITORING"))))))))))</f>
        <v/>
      </c>
      <c r="V158" s="17">
        <f>IF($U158="",IF(AND(COUNTA($A158:$L158)&gt;0,$N158=""),"Awaiting Collection Email time stamp.",""),IF(OR($U158="PAID",$U158="CLOSED"),IF($U158="PAID","Account paid. Action completed.","Account closed. No further action required."),CHOOSE($Z158,"Collection Email","1st Email Follow-up","2nd Email Follow-up","Escalation to Local Office","Escalation to CBE","Escalation to Roxanne")&amp;" sent "&amp;TEXT($AA158,"dd-mmm")&amp;". "&amp;IF($Z158=6,"Final escalation completed.",IF($U158="OVERDUE","Next: "&amp;$AC158&amp;" was due "&amp;TEXT($AB158,"dd-mmm")&amp;" - "&amp;(NETWORKDAYS($AB158,TODAY(),Holidays)-1)&amp;" business day(s) late. Send now.",IF($U158="DUE TOMORROW","Next: "&amp;$AC158&amp;IF($AB158&lt;=TODAY()," is due TODAY ("," is due next business day (")&amp;TEXT($AB158,"dd-mmm")&amp;").","Next: "&amp;$AC158&amp;" due "&amp;TEXT($AB158,"dd-mmm")&amp;" ("&amp;(NETWORKDAYS(TODAY(),$AB158,Holidays)-1)&amp;" business day(s) left).")))))</f>
        <v/>
      </c>
      <c r="W158" s="17">
        <f>IF($Z158="","",CHOOSE($Z158,"Collection Email","1st Follow-up","2nd Follow-up","Local Office","CBE","Roxanne")&amp;IF($Z158=6," - Final"," - Day "&amp;MAX(0,NETWORKDAYS($AA158,TODAY(),Holidays)-1)&amp;" of "&amp;CHOOSE($Z158,3,3,2,2,3))&amp;" | Total Day "&amp;MAX(0,NETWORKDAYS($N158,TODAY(),Holidays)-1))</f>
        <v/>
      </c>
      <c r="X158" s="18"/>
      <c r="Y158" s="18"/>
      <c r="Z158" s="17">
        <f>IF($N158="","",COUNT($N158:$S158))</f>
        <v/>
      </c>
      <c r="AA158" s="19">
        <f>IF($Z158="","",INT(INDEX($N158:$S158,$Z158)))</f>
        <v/>
      </c>
      <c r="AB158" s="19">
        <f>IF(OR($Z158="",$Z158=6),"",WORKDAY($AA158,CHOOSE($Z158,3,3,2,2,3),Holidays))</f>
        <v/>
      </c>
      <c r="AC158" s="17">
        <f>IF(OR($Z158="",$Z158=6),"",CHOOSE($Z158,"1st Email Follow-up","2nd Email Follow-up","Escalate Local Office","Escalate to CBE","Escalate to Roxanne"))</f>
        <v/>
      </c>
    </row>
    <row r="159" spans="13:29">
      <c r="M159" s="14"/>
      <c r="T159" s="16"/>
      <c r="U159" s="17">
        <f>IF(AND(COUNTA($A159:$L159)=0,$N159=""),"",IF($T159="Paid","PAID",IF($T159="Closed","CLOSED",IF($Z159="","",IF($Z159=6,"ESCALATED TO ROXANNE",IF(TODAY()&gt;$AB159,"OVERDUE",IF($AB159&lt;=WORKDAY(TODAY(),1,Holidays),"DUE TOMORROW",IF($Z159=4,"ESCALATED TO LOCAL OFFICE",IF($Z159=5,"ESCALATED TO CBE",IF($AA159=TODAY(),"EMAIL SENT","MONITORING"))))))))))</f>
        <v/>
      </c>
      <c r="V159" s="17">
        <f>IF($U159="",IF(AND(COUNTA($A159:$L159)&gt;0,$N159=""),"Awaiting Collection Email time stamp.",""),IF(OR($U159="PAID",$U159="CLOSED"),IF($U159="PAID","Account paid. Action completed.","Account closed. No further action required."),CHOOSE($Z159,"Collection Email","1st Email Follow-up","2nd Email Follow-up","Escalation to Local Office","Escalation to CBE","Escalation to Roxanne")&amp;" sent "&amp;TEXT($AA159,"dd-mmm")&amp;". "&amp;IF($Z159=6,"Final escalation completed.",IF($U159="OVERDUE","Next: "&amp;$AC159&amp;" was due "&amp;TEXT($AB159,"dd-mmm")&amp;" - "&amp;(NETWORKDAYS($AB159,TODAY(),Holidays)-1)&amp;" business day(s) late. Send now.",IF($U159="DUE TOMORROW","Next: "&amp;$AC159&amp;IF($AB159&lt;=TODAY()," is due TODAY ("," is due next business day (")&amp;TEXT($AB159,"dd-mmm")&amp;").","Next: "&amp;$AC159&amp;" due "&amp;TEXT($AB159,"dd-mmm")&amp;" ("&amp;(NETWORKDAYS(TODAY(),$AB159,Holidays)-1)&amp;" business day(s) left).")))))</f>
        <v/>
      </c>
      <c r="W159" s="17">
        <f>IF($Z159="","",CHOOSE($Z159,"Collection Email","1st Follow-up","2nd Follow-up","Local Office","CBE","Roxanne")&amp;IF($Z159=6," - Final"," - Day "&amp;MAX(0,NETWORKDAYS($AA159,TODAY(),Holidays)-1)&amp;" of "&amp;CHOOSE($Z159,3,3,2,2,3))&amp;" | Total Day "&amp;MAX(0,NETWORKDAYS($N159,TODAY(),Holidays)-1))</f>
        <v/>
      </c>
      <c r="X159" s="18"/>
      <c r="Y159" s="18"/>
      <c r="Z159" s="17">
        <f>IF($N159="","",COUNT($N159:$S159))</f>
        <v/>
      </c>
      <c r="AA159" s="19">
        <f>IF($Z159="","",INT(INDEX($N159:$S159,$Z159)))</f>
        <v/>
      </c>
      <c r="AB159" s="19">
        <f>IF(OR($Z159="",$Z159=6),"",WORKDAY($AA159,CHOOSE($Z159,3,3,2,2,3),Holidays))</f>
        <v/>
      </c>
      <c r="AC159" s="17">
        <f>IF(OR($Z159="",$Z159=6),"",CHOOSE($Z159,"1st Email Follow-up","2nd Email Follow-up","Escalate Local Office","Escalate to CBE","Escalate to Roxanne"))</f>
        <v/>
      </c>
    </row>
    <row r="160" spans="13:29">
      <c r="M160" s="14"/>
      <c r="T160" s="16"/>
      <c r="U160" s="17">
        <f>IF(AND(COUNTA($A160:$L160)=0,$N160=""),"",IF($T160="Paid","PAID",IF($T160="Closed","CLOSED",IF($Z160="","",IF($Z160=6,"ESCALATED TO ROXANNE",IF(TODAY()&gt;$AB160,"OVERDUE",IF($AB160&lt;=WORKDAY(TODAY(),1,Holidays),"DUE TOMORROW",IF($Z160=4,"ESCALATED TO LOCAL OFFICE",IF($Z160=5,"ESCALATED TO CBE",IF($AA160=TODAY(),"EMAIL SENT","MONITORING"))))))))))</f>
        <v/>
      </c>
      <c r="V160" s="17">
        <f>IF($U160="",IF(AND(COUNTA($A160:$L160)&gt;0,$N160=""),"Awaiting Collection Email time stamp.",""),IF(OR($U160="PAID",$U160="CLOSED"),IF($U160="PAID","Account paid. Action completed.","Account closed. No further action required."),CHOOSE($Z160,"Collection Email","1st Email Follow-up","2nd Email Follow-up","Escalation to Local Office","Escalation to CBE","Escalation to Roxanne")&amp;" sent "&amp;TEXT($AA160,"dd-mmm")&amp;". "&amp;IF($Z160=6,"Final escalation completed.",IF($U160="OVERDUE","Next: "&amp;$AC160&amp;" was due "&amp;TEXT($AB160,"dd-mmm")&amp;" - "&amp;(NETWORKDAYS($AB160,TODAY(),Holidays)-1)&amp;" business day(s) late. Send now.",IF($U160="DUE TOMORROW","Next: "&amp;$AC160&amp;IF($AB160&lt;=TODAY()," is due TODAY ("," is due next business day (")&amp;TEXT($AB160,"dd-mmm")&amp;").","Next: "&amp;$AC160&amp;" due "&amp;TEXT($AB160,"dd-mmm")&amp;" ("&amp;(NETWORKDAYS(TODAY(),$AB160,Holidays)-1)&amp;" business day(s) left).")))))</f>
        <v/>
      </c>
      <c r="W160" s="17">
        <f>IF($Z160="","",CHOOSE($Z160,"Collection Email","1st Follow-up","2nd Follow-up","Local Office","CBE","Roxanne")&amp;IF($Z160=6," - Final"," - Day "&amp;MAX(0,NETWORKDAYS($AA160,TODAY(),Holidays)-1)&amp;" of "&amp;CHOOSE($Z160,3,3,2,2,3))&amp;" | Total Day "&amp;MAX(0,NETWORKDAYS($N160,TODAY(),Holidays)-1))</f>
        <v/>
      </c>
      <c r="X160" s="18"/>
      <c r="Y160" s="18"/>
      <c r="Z160" s="17">
        <f>IF($N160="","",COUNT($N160:$S160))</f>
        <v/>
      </c>
      <c r="AA160" s="19">
        <f>IF($Z160="","",INT(INDEX($N160:$S160,$Z160)))</f>
        <v/>
      </c>
      <c r="AB160" s="19">
        <f>IF(OR($Z160="",$Z160=6),"",WORKDAY($AA160,CHOOSE($Z160,3,3,2,2,3),Holidays))</f>
        <v/>
      </c>
      <c r="AC160" s="17">
        <f>IF(OR($Z160="",$Z160=6),"",CHOOSE($Z160,"1st Email Follow-up","2nd Email Follow-up","Escalate Local Office","Escalate to CBE","Escalate to Roxanne"))</f>
        <v/>
      </c>
    </row>
    <row r="161" spans="13:29">
      <c r="M161" s="14"/>
      <c r="T161" s="16"/>
      <c r="U161" s="17">
        <f>IF(AND(COUNTA($A161:$L161)=0,$N161=""),"",IF($T161="Paid","PAID",IF($T161="Closed","CLOSED",IF($Z161="","",IF($Z161=6,"ESCALATED TO ROXANNE",IF(TODAY()&gt;$AB161,"OVERDUE",IF($AB161&lt;=WORKDAY(TODAY(),1,Holidays),"DUE TOMORROW",IF($Z161=4,"ESCALATED TO LOCAL OFFICE",IF($Z161=5,"ESCALATED TO CBE",IF($AA161=TODAY(),"EMAIL SENT","MONITORING"))))))))))</f>
        <v/>
      </c>
      <c r="V161" s="17">
        <f>IF($U161="",IF(AND(COUNTA($A161:$L161)&gt;0,$N161=""),"Awaiting Collection Email time stamp.",""),IF(OR($U161="PAID",$U161="CLOSED"),IF($U161="PAID","Account paid. Action completed.","Account closed. No further action required."),CHOOSE($Z161,"Collection Email","1st Email Follow-up","2nd Email Follow-up","Escalation to Local Office","Escalation to CBE","Escalation to Roxanne")&amp;" sent "&amp;TEXT($AA161,"dd-mmm")&amp;". "&amp;IF($Z161=6,"Final escalation completed.",IF($U161="OVERDUE","Next: "&amp;$AC161&amp;" was due "&amp;TEXT($AB161,"dd-mmm")&amp;" - "&amp;(NETWORKDAYS($AB161,TODAY(),Holidays)-1)&amp;" business day(s) late. Send now.",IF($U161="DUE TOMORROW","Next: "&amp;$AC161&amp;IF($AB161&lt;=TODAY()," is due TODAY ("," is due next business day (")&amp;TEXT($AB161,"dd-mmm")&amp;").","Next: "&amp;$AC161&amp;" due "&amp;TEXT($AB161,"dd-mmm")&amp;" ("&amp;(NETWORKDAYS(TODAY(),$AB161,Holidays)-1)&amp;" business day(s) left).")))))</f>
        <v/>
      </c>
      <c r="W161" s="17">
        <f>IF($Z161="","",CHOOSE($Z161,"Collection Email","1st Follow-up","2nd Follow-up","Local Office","CBE","Roxanne")&amp;IF($Z161=6," - Final"," - Day "&amp;MAX(0,NETWORKDAYS($AA161,TODAY(),Holidays)-1)&amp;" of "&amp;CHOOSE($Z161,3,3,2,2,3))&amp;" | Total Day "&amp;MAX(0,NETWORKDAYS($N161,TODAY(),Holidays)-1))</f>
        <v/>
      </c>
      <c r="X161" s="18"/>
      <c r="Y161" s="18"/>
      <c r="Z161" s="17">
        <f>IF($N161="","",COUNT($N161:$S161))</f>
        <v/>
      </c>
      <c r="AA161" s="19">
        <f>IF($Z161="","",INT(INDEX($N161:$S161,$Z161)))</f>
        <v/>
      </c>
      <c r="AB161" s="19">
        <f>IF(OR($Z161="",$Z161=6),"",WORKDAY($AA161,CHOOSE($Z161,3,3,2,2,3),Holidays))</f>
        <v/>
      </c>
      <c r="AC161" s="17">
        <f>IF(OR($Z161="",$Z161=6),"",CHOOSE($Z161,"1st Email Follow-up","2nd Email Follow-up","Escalate Local Office","Escalate to CBE","Escalate to Roxanne"))</f>
        <v/>
      </c>
    </row>
    <row r="162" spans="13:29">
      <c r="M162" s="14"/>
      <c r="T162" s="16"/>
      <c r="U162" s="17">
        <f>IF(AND(COUNTA($A162:$L162)=0,$N162=""),"",IF($T162="Paid","PAID",IF($T162="Closed","CLOSED",IF($Z162="","",IF($Z162=6,"ESCALATED TO ROXANNE",IF(TODAY()&gt;$AB162,"OVERDUE",IF($AB162&lt;=WORKDAY(TODAY(),1,Holidays),"DUE TOMORROW",IF($Z162=4,"ESCALATED TO LOCAL OFFICE",IF($Z162=5,"ESCALATED TO CBE",IF($AA162=TODAY(),"EMAIL SENT","MONITORING"))))))))))</f>
        <v/>
      </c>
      <c r="V162" s="17">
        <f>IF($U162="",IF(AND(COUNTA($A162:$L162)&gt;0,$N162=""),"Awaiting Collection Email time stamp.",""),IF(OR($U162="PAID",$U162="CLOSED"),IF($U162="PAID","Account paid. Action completed.","Account closed. No further action required."),CHOOSE($Z162,"Collection Email","1st Email Follow-up","2nd Email Follow-up","Escalation to Local Office","Escalation to CBE","Escalation to Roxanne")&amp;" sent "&amp;TEXT($AA162,"dd-mmm")&amp;". "&amp;IF($Z162=6,"Final escalation completed.",IF($U162="OVERDUE","Next: "&amp;$AC162&amp;" was due "&amp;TEXT($AB162,"dd-mmm")&amp;" - "&amp;(NETWORKDAYS($AB162,TODAY(),Holidays)-1)&amp;" business day(s) late. Send now.",IF($U162="DUE TOMORROW","Next: "&amp;$AC162&amp;IF($AB162&lt;=TODAY()," is due TODAY ("," is due next business day (")&amp;TEXT($AB162,"dd-mmm")&amp;").","Next: "&amp;$AC162&amp;" due "&amp;TEXT($AB162,"dd-mmm")&amp;" ("&amp;(NETWORKDAYS(TODAY(),$AB162,Holidays)-1)&amp;" business day(s) left).")))))</f>
        <v/>
      </c>
      <c r="W162" s="17">
        <f>IF($Z162="","",CHOOSE($Z162,"Collection Email","1st Follow-up","2nd Follow-up","Local Office","CBE","Roxanne")&amp;IF($Z162=6," - Final"," - Day "&amp;MAX(0,NETWORKDAYS($AA162,TODAY(),Holidays)-1)&amp;" of "&amp;CHOOSE($Z162,3,3,2,2,3))&amp;" | Total Day "&amp;MAX(0,NETWORKDAYS($N162,TODAY(),Holidays)-1))</f>
        <v/>
      </c>
      <c r="X162" s="18"/>
      <c r="Y162" s="18"/>
      <c r="Z162" s="17">
        <f>IF($N162="","",COUNT($N162:$S162))</f>
        <v/>
      </c>
      <c r="AA162" s="19">
        <f>IF($Z162="","",INT(INDEX($N162:$S162,$Z162)))</f>
        <v/>
      </c>
      <c r="AB162" s="19">
        <f>IF(OR($Z162="",$Z162=6),"",WORKDAY($AA162,CHOOSE($Z162,3,3,2,2,3),Holidays))</f>
        <v/>
      </c>
      <c r="AC162" s="17">
        <f>IF(OR($Z162="",$Z162=6),"",CHOOSE($Z162,"1st Email Follow-up","2nd Email Follow-up","Escalate Local Office","Escalate to CBE","Escalate to Roxanne"))</f>
        <v/>
      </c>
    </row>
    <row r="163" spans="13:29">
      <c r="M163" s="14"/>
      <c r="T163" s="16"/>
      <c r="U163" s="17">
        <f>IF(AND(COUNTA($A163:$L163)=0,$N163=""),"",IF($T163="Paid","PAID",IF($T163="Closed","CLOSED",IF($Z163="","",IF($Z163=6,"ESCALATED TO ROXANNE",IF(TODAY()&gt;$AB163,"OVERDUE",IF($AB163&lt;=WORKDAY(TODAY(),1,Holidays),"DUE TOMORROW",IF($Z163=4,"ESCALATED TO LOCAL OFFICE",IF($Z163=5,"ESCALATED TO CBE",IF($AA163=TODAY(),"EMAIL SENT","MONITORING"))))))))))</f>
        <v/>
      </c>
      <c r="V163" s="17">
        <f>IF($U163="",IF(AND(COUNTA($A163:$L163)&gt;0,$N163=""),"Awaiting Collection Email time stamp.",""),IF(OR($U163="PAID",$U163="CLOSED"),IF($U163="PAID","Account paid. Action completed.","Account closed. No further action required."),CHOOSE($Z163,"Collection Email","1st Email Follow-up","2nd Email Follow-up","Escalation to Local Office","Escalation to CBE","Escalation to Roxanne")&amp;" sent "&amp;TEXT($AA163,"dd-mmm")&amp;". "&amp;IF($Z163=6,"Final escalation completed.",IF($U163="OVERDUE","Next: "&amp;$AC163&amp;" was due "&amp;TEXT($AB163,"dd-mmm")&amp;" - "&amp;(NETWORKDAYS($AB163,TODAY(),Holidays)-1)&amp;" business day(s) late. Send now.",IF($U163="DUE TOMORROW","Next: "&amp;$AC163&amp;IF($AB163&lt;=TODAY()," is due TODAY ("," is due next business day (")&amp;TEXT($AB163,"dd-mmm")&amp;").","Next: "&amp;$AC163&amp;" due "&amp;TEXT($AB163,"dd-mmm")&amp;" ("&amp;(NETWORKDAYS(TODAY(),$AB163,Holidays)-1)&amp;" business day(s) left).")))))</f>
        <v/>
      </c>
      <c r="W163" s="17">
        <f>IF($Z163="","",CHOOSE($Z163,"Collection Email","1st Follow-up","2nd Follow-up","Local Office","CBE","Roxanne")&amp;IF($Z163=6," - Final"," - Day "&amp;MAX(0,NETWORKDAYS($AA163,TODAY(),Holidays)-1)&amp;" of "&amp;CHOOSE($Z163,3,3,2,2,3))&amp;" | Total Day "&amp;MAX(0,NETWORKDAYS($N163,TODAY(),Holidays)-1))</f>
        <v/>
      </c>
      <c r="X163" s="18"/>
      <c r="Y163" s="18"/>
      <c r="Z163" s="17">
        <f>IF($N163="","",COUNT($N163:$S163))</f>
        <v/>
      </c>
      <c r="AA163" s="19">
        <f>IF($Z163="","",INT(INDEX($N163:$S163,$Z163)))</f>
        <v/>
      </c>
      <c r="AB163" s="19">
        <f>IF(OR($Z163="",$Z163=6),"",WORKDAY($AA163,CHOOSE($Z163,3,3,2,2,3),Holidays))</f>
        <v/>
      </c>
      <c r="AC163" s="17">
        <f>IF(OR($Z163="",$Z163=6),"",CHOOSE($Z163,"1st Email Follow-up","2nd Email Follow-up","Escalate Local Office","Escalate to CBE","Escalate to Roxanne"))</f>
        <v/>
      </c>
    </row>
    <row r="164" spans="13:29">
      <c r="M164" s="14"/>
      <c r="T164" s="16"/>
      <c r="U164" s="17">
        <f>IF(AND(COUNTA($A164:$L164)=0,$N164=""),"",IF($T164="Paid","PAID",IF($T164="Closed","CLOSED",IF($Z164="","",IF($Z164=6,"ESCALATED TO ROXANNE",IF(TODAY()&gt;$AB164,"OVERDUE",IF($AB164&lt;=WORKDAY(TODAY(),1,Holidays),"DUE TOMORROW",IF($Z164=4,"ESCALATED TO LOCAL OFFICE",IF($Z164=5,"ESCALATED TO CBE",IF($AA164=TODAY(),"EMAIL SENT","MONITORING"))))))))))</f>
        <v/>
      </c>
      <c r="V164" s="17">
        <f>IF($U164="",IF(AND(COUNTA($A164:$L164)&gt;0,$N164=""),"Awaiting Collection Email time stamp.",""),IF(OR($U164="PAID",$U164="CLOSED"),IF($U164="PAID","Account paid. Action completed.","Account closed. No further action required."),CHOOSE($Z164,"Collection Email","1st Email Follow-up","2nd Email Follow-up","Escalation to Local Office","Escalation to CBE","Escalation to Roxanne")&amp;" sent "&amp;TEXT($AA164,"dd-mmm")&amp;". "&amp;IF($Z164=6,"Final escalation completed.",IF($U164="OVERDUE","Next: "&amp;$AC164&amp;" was due "&amp;TEXT($AB164,"dd-mmm")&amp;" - "&amp;(NETWORKDAYS($AB164,TODAY(),Holidays)-1)&amp;" business day(s) late. Send now.",IF($U164="DUE TOMORROW","Next: "&amp;$AC164&amp;IF($AB164&lt;=TODAY()," is due TODAY ("," is due next business day (")&amp;TEXT($AB164,"dd-mmm")&amp;").","Next: "&amp;$AC164&amp;" due "&amp;TEXT($AB164,"dd-mmm")&amp;" ("&amp;(NETWORKDAYS(TODAY(),$AB164,Holidays)-1)&amp;" business day(s) left).")))))</f>
        <v/>
      </c>
      <c r="W164" s="17">
        <f>IF($Z164="","",CHOOSE($Z164,"Collection Email","1st Follow-up","2nd Follow-up","Local Office","CBE","Roxanne")&amp;IF($Z164=6," - Final"," - Day "&amp;MAX(0,NETWORKDAYS($AA164,TODAY(),Holidays)-1)&amp;" of "&amp;CHOOSE($Z164,3,3,2,2,3))&amp;" | Total Day "&amp;MAX(0,NETWORKDAYS($N164,TODAY(),Holidays)-1))</f>
        <v/>
      </c>
      <c r="X164" s="18"/>
      <c r="Y164" s="18"/>
      <c r="Z164" s="17">
        <f>IF($N164="","",COUNT($N164:$S164))</f>
        <v/>
      </c>
      <c r="AA164" s="19">
        <f>IF($Z164="","",INT(INDEX($N164:$S164,$Z164)))</f>
        <v/>
      </c>
      <c r="AB164" s="19">
        <f>IF(OR($Z164="",$Z164=6),"",WORKDAY($AA164,CHOOSE($Z164,3,3,2,2,3),Holidays))</f>
        <v/>
      </c>
      <c r="AC164" s="17">
        <f>IF(OR($Z164="",$Z164=6),"",CHOOSE($Z164,"1st Email Follow-up","2nd Email Follow-up","Escalate Local Office","Escalate to CBE","Escalate to Roxanne"))</f>
        <v/>
      </c>
    </row>
    <row r="165" spans="13:29">
      <c r="M165" s="14"/>
      <c r="T165" s="16"/>
      <c r="U165" s="17">
        <f>IF(AND(COUNTA($A165:$L165)=0,$N165=""),"",IF($T165="Paid","PAID",IF($T165="Closed","CLOSED",IF($Z165="","",IF($Z165=6,"ESCALATED TO ROXANNE",IF(TODAY()&gt;$AB165,"OVERDUE",IF($AB165&lt;=WORKDAY(TODAY(),1,Holidays),"DUE TOMORROW",IF($Z165=4,"ESCALATED TO LOCAL OFFICE",IF($Z165=5,"ESCALATED TO CBE",IF($AA165=TODAY(),"EMAIL SENT","MONITORING"))))))))))</f>
        <v/>
      </c>
      <c r="V165" s="17">
        <f>IF($U165="",IF(AND(COUNTA($A165:$L165)&gt;0,$N165=""),"Awaiting Collection Email time stamp.",""),IF(OR($U165="PAID",$U165="CLOSED"),IF($U165="PAID","Account paid. Action completed.","Account closed. No further action required."),CHOOSE($Z165,"Collection Email","1st Email Follow-up","2nd Email Follow-up","Escalation to Local Office","Escalation to CBE","Escalation to Roxanne")&amp;" sent "&amp;TEXT($AA165,"dd-mmm")&amp;". "&amp;IF($Z165=6,"Final escalation completed.",IF($U165="OVERDUE","Next: "&amp;$AC165&amp;" was due "&amp;TEXT($AB165,"dd-mmm")&amp;" - "&amp;(NETWORKDAYS($AB165,TODAY(),Holidays)-1)&amp;" business day(s) late. Send now.",IF($U165="DUE TOMORROW","Next: "&amp;$AC165&amp;IF($AB165&lt;=TODAY()," is due TODAY ("," is due next business day (")&amp;TEXT($AB165,"dd-mmm")&amp;").","Next: "&amp;$AC165&amp;" due "&amp;TEXT($AB165,"dd-mmm")&amp;" ("&amp;(NETWORKDAYS(TODAY(),$AB165,Holidays)-1)&amp;" business day(s) left).")))))</f>
        <v/>
      </c>
      <c r="W165" s="17">
        <f>IF($Z165="","",CHOOSE($Z165,"Collection Email","1st Follow-up","2nd Follow-up","Local Office","CBE","Roxanne")&amp;IF($Z165=6," - Final"," - Day "&amp;MAX(0,NETWORKDAYS($AA165,TODAY(),Holidays)-1)&amp;" of "&amp;CHOOSE($Z165,3,3,2,2,3))&amp;" | Total Day "&amp;MAX(0,NETWORKDAYS($N165,TODAY(),Holidays)-1))</f>
        <v/>
      </c>
      <c r="X165" s="18"/>
      <c r="Y165" s="18"/>
      <c r="Z165" s="17">
        <f>IF($N165="","",COUNT($N165:$S165))</f>
        <v/>
      </c>
      <c r="AA165" s="19">
        <f>IF($Z165="","",INT(INDEX($N165:$S165,$Z165)))</f>
        <v/>
      </c>
      <c r="AB165" s="19">
        <f>IF(OR($Z165="",$Z165=6),"",WORKDAY($AA165,CHOOSE($Z165,3,3,2,2,3),Holidays))</f>
        <v/>
      </c>
      <c r="AC165" s="17">
        <f>IF(OR($Z165="",$Z165=6),"",CHOOSE($Z165,"1st Email Follow-up","2nd Email Follow-up","Escalate Local Office","Escalate to CBE","Escalate to Roxanne"))</f>
        <v/>
      </c>
    </row>
    <row r="166" spans="13:29">
      <c r="M166" s="14"/>
      <c r="T166" s="16"/>
      <c r="U166" s="17">
        <f>IF(AND(COUNTA($A166:$L166)=0,$N166=""),"",IF($T166="Paid","PAID",IF($T166="Closed","CLOSED",IF($Z166="","",IF($Z166=6,"ESCALATED TO ROXANNE",IF(TODAY()&gt;$AB166,"OVERDUE",IF($AB166&lt;=WORKDAY(TODAY(),1,Holidays),"DUE TOMORROW",IF($Z166=4,"ESCALATED TO LOCAL OFFICE",IF($Z166=5,"ESCALATED TO CBE",IF($AA166=TODAY(),"EMAIL SENT","MONITORING"))))))))))</f>
        <v/>
      </c>
      <c r="V166" s="17">
        <f>IF($U166="",IF(AND(COUNTA($A166:$L166)&gt;0,$N166=""),"Awaiting Collection Email time stamp.",""),IF(OR($U166="PAID",$U166="CLOSED"),IF($U166="PAID","Account paid. Action completed.","Account closed. No further action required."),CHOOSE($Z166,"Collection Email","1st Email Follow-up","2nd Email Follow-up","Escalation to Local Office","Escalation to CBE","Escalation to Roxanne")&amp;" sent "&amp;TEXT($AA166,"dd-mmm")&amp;". "&amp;IF($Z166=6,"Final escalation completed.",IF($U166="OVERDUE","Next: "&amp;$AC166&amp;" was due "&amp;TEXT($AB166,"dd-mmm")&amp;" - "&amp;(NETWORKDAYS($AB166,TODAY(),Holidays)-1)&amp;" business day(s) late. Send now.",IF($U166="DUE TOMORROW","Next: "&amp;$AC166&amp;IF($AB166&lt;=TODAY()," is due TODAY ("," is due next business day (")&amp;TEXT($AB166,"dd-mmm")&amp;").","Next: "&amp;$AC166&amp;" due "&amp;TEXT($AB166,"dd-mmm")&amp;" ("&amp;(NETWORKDAYS(TODAY(),$AB166,Holidays)-1)&amp;" business day(s) left).")))))</f>
        <v/>
      </c>
      <c r="W166" s="17">
        <f>IF($Z166="","",CHOOSE($Z166,"Collection Email","1st Follow-up","2nd Follow-up","Local Office","CBE","Roxanne")&amp;IF($Z166=6," - Final"," - Day "&amp;MAX(0,NETWORKDAYS($AA166,TODAY(),Holidays)-1)&amp;" of "&amp;CHOOSE($Z166,3,3,2,2,3))&amp;" | Total Day "&amp;MAX(0,NETWORKDAYS($N166,TODAY(),Holidays)-1))</f>
        <v/>
      </c>
      <c r="X166" s="18"/>
      <c r="Y166" s="18"/>
      <c r="Z166" s="17">
        <f>IF($N166="","",COUNT($N166:$S166))</f>
        <v/>
      </c>
      <c r="AA166" s="19">
        <f>IF($Z166="","",INT(INDEX($N166:$S166,$Z166)))</f>
        <v/>
      </c>
      <c r="AB166" s="19">
        <f>IF(OR($Z166="",$Z166=6),"",WORKDAY($AA166,CHOOSE($Z166,3,3,2,2,3),Holidays))</f>
        <v/>
      </c>
      <c r="AC166" s="17">
        <f>IF(OR($Z166="",$Z166=6),"",CHOOSE($Z166,"1st Email Follow-up","2nd Email Follow-up","Escalate Local Office","Escalate to CBE","Escalate to Roxanne"))</f>
        <v/>
      </c>
    </row>
    <row r="167" spans="13:29">
      <c r="M167" s="14"/>
      <c r="T167" s="16"/>
      <c r="U167" s="17">
        <f>IF(AND(COUNTA($A167:$L167)=0,$N167=""),"",IF($T167="Paid","PAID",IF($T167="Closed","CLOSED",IF($Z167="","",IF($Z167=6,"ESCALATED TO ROXANNE",IF(TODAY()&gt;$AB167,"OVERDUE",IF($AB167&lt;=WORKDAY(TODAY(),1,Holidays),"DUE TOMORROW",IF($Z167=4,"ESCALATED TO LOCAL OFFICE",IF($Z167=5,"ESCALATED TO CBE",IF($AA167=TODAY(),"EMAIL SENT","MONITORING"))))))))))</f>
        <v/>
      </c>
      <c r="V167" s="17">
        <f>IF($U167="",IF(AND(COUNTA($A167:$L167)&gt;0,$N167=""),"Awaiting Collection Email time stamp.",""),IF(OR($U167="PAID",$U167="CLOSED"),IF($U167="PAID","Account paid. Action completed.","Account closed. No further action required."),CHOOSE($Z167,"Collection Email","1st Email Follow-up","2nd Email Follow-up","Escalation to Local Office","Escalation to CBE","Escalation to Roxanne")&amp;" sent "&amp;TEXT($AA167,"dd-mmm")&amp;". "&amp;IF($Z167=6,"Final escalation completed.",IF($U167="OVERDUE","Next: "&amp;$AC167&amp;" was due "&amp;TEXT($AB167,"dd-mmm")&amp;" - "&amp;(NETWORKDAYS($AB167,TODAY(),Holidays)-1)&amp;" business day(s) late. Send now.",IF($U167="DUE TOMORROW","Next: "&amp;$AC167&amp;IF($AB167&lt;=TODAY()," is due TODAY ("," is due next business day (")&amp;TEXT($AB167,"dd-mmm")&amp;").","Next: "&amp;$AC167&amp;" due "&amp;TEXT($AB167,"dd-mmm")&amp;" ("&amp;(NETWORKDAYS(TODAY(),$AB167,Holidays)-1)&amp;" business day(s) left).")))))</f>
        <v/>
      </c>
      <c r="W167" s="17">
        <f>IF($Z167="","",CHOOSE($Z167,"Collection Email","1st Follow-up","2nd Follow-up","Local Office","CBE","Roxanne")&amp;IF($Z167=6," - Final"," - Day "&amp;MAX(0,NETWORKDAYS($AA167,TODAY(),Holidays)-1)&amp;" of "&amp;CHOOSE($Z167,3,3,2,2,3))&amp;" | Total Day "&amp;MAX(0,NETWORKDAYS($N167,TODAY(),Holidays)-1))</f>
        <v/>
      </c>
      <c r="X167" s="18"/>
      <c r="Y167" s="18"/>
      <c r="Z167" s="17">
        <f>IF($N167="","",COUNT($N167:$S167))</f>
        <v/>
      </c>
      <c r="AA167" s="19">
        <f>IF($Z167="","",INT(INDEX($N167:$S167,$Z167)))</f>
        <v/>
      </c>
      <c r="AB167" s="19">
        <f>IF(OR($Z167="",$Z167=6),"",WORKDAY($AA167,CHOOSE($Z167,3,3,2,2,3),Holidays))</f>
        <v/>
      </c>
      <c r="AC167" s="17">
        <f>IF(OR($Z167="",$Z167=6),"",CHOOSE($Z167,"1st Email Follow-up","2nd Email Follow-up","Escalate Local Office","Escalate to CBE","Escalate to Roxanne"))</f>
        <v/>
      </c>
    </row>
    <row r="168" spans="13:29">
      <c r="M168" s="14"/>
      <c r="T168" s="16"/>
      <c r="U168" s="17">
        <f>IF(AND(COUNTA($A168:$L168)=0,$N168=""),"",IF($T168="Paid","PAID",IF($T168="Closed","CLOSED",IF($Z168="","",IF($Z168=6,"ESCALATED TO ROXANNE",IF(TODAY()&gt;$AB168,"OVERDUE",IF($AB168&lt;=WORKDAY(TODAY(),1,Holidays),"DUE TOMORROW",IF($Z168=4,"ESCALATED TO LOCAL OFFICE",IF($Z168=5,"ESCALATED TO CBE",IF($AA168=TODAY(),"EMAIL SENT","MONITORING"))))))))))</f>
        <v/>
      </c>
      <c r="V168" s="17">
        <f>IF($U168="",IF(AND(COUNTA($A168:$L168)&gt;0,$N168=""),"Awaiting Collection Email time stamp.",""),IF(OR($U168="PAID",$U168="CLOSED"),IF($U168="PAID","Account paid. Action completed.","Account closed. No further action required."),CHOOSE($Z168,"Collection Email","1st Email Follow-up","2nd Email Follow-up","Escalation to Local Office","Escalation to CBE","Escalation to Roxanne")&amp;" sent "&amp;TEXT($AA168,"dd-mmm")&amp;". "&amp;IF($Z168=6,"Final escalation completed.",IF($U168="OVERDUE","Next: "&amp;$AC168&amp;" was due "&amp;TEXT($AB168,"dd-mmm")&amp;" - "&amp;(NETWORKDAYS($AB168,TODAY(),Holidays)-1)&amp;" business day(s) late. Send now.",IF($U168="DUE TOMORROW","Next: "&amp;$AC168&amp;IF($AB168&lt;=TODAY()," is due TODAY ("," is due next business day (")&amp;TEXT($AB168,"dd-mmm")&amp;").","Next: "&amp;$AC168&amp;" due "&amp;TEXT($AB168,"dd-mmm")&amp;" ("&amp;(NETWORKDAYS(TODAY(),$AB168,Holidays)-1)&amp;" business day(s) left).")))))</f>
        <v/>
      </c>
      <c r="W168" s="17">
        <f>IF($Z168="","",CHOOSE($Z168,"Collection Email","1st Follow-up","2nd Follow-up","Local Office","CBE","Roxanne")&amp;IF($Z168=6," - Final"," - Day "&amp;MAX(0,NETWORKDAYS($AA168,TODAY(),Holidays)-1)&amp;" of "&amp;CHOOSE($Z168,3,3,2,2,3))&amp;" | Total Day "&amp;MAX(0,NETWORKDAYS($N168,TODAY(),Holidays)-1))</f>
        <v/>
      </c>
      <c r="X168" s="18"/>
      <c r="Y168" s="18"/>
      <c r="Z168" s="17">
        <f>IF($N168="","",COUNT($N168:$S168))</f>
        <v/>
      </c>
      <c r="AA168" s="19">
        <f>IF($Z168="","",INT(INDEX($N168:$S168,$Z168)))</f>
        <v/>
      </c>
      <c r="AB168" s="19">
        <f>IF(OR($Z168="",$Z168=6),"",WORKDAY($AA168,CHOOSE($Z168,3,3,2,2,3),Holidays))</f>
        <v/>
      </c>
      <c r="AC168" s="17">
        <f>IF(OR($Z168="",$Z168=6),"",CHOOSE($Z168,"1st Email Follow-up","2nd Email Follow-up","Escalate Local Office","Escalate to CBE","Escalate to Roxanne"))</f>
        <v/>
      </c>
    </row>
    <row r="169" spans="13:29">
      <c r="M169" s="14"/>
      <c r="T169" s="16"/>
      <c r="U169" s="17">
        <f>IF(AND(COUNTA($A169:$L169)=0,$N169=""),"",IF($T169="Paid","PAID",IF($T169="Closed","CLOSED",IF($Z169="","",IF($Z169=6,"ESCALATED TO ROXANNE",IF(TODAY()&gt;$AB169,"OVERDUE",IF($AB169&lt;=WORKDAY(TODAY(),1,Holidays),"DUE TOMORROW",IF($Z169=4,"ESCALATED TO LOCAL OFFICE",IF($Z169=5,"ESCALATED TO CBE",IF($AA169=TODAY(),"EMAIL SENT","MONITORING"))))))))))</f>
        <v/>
      </c>
      <c r="V169" s="17">
        <f>IF($U169="",IF(AND(COUNTA($A169:$L169)&gt;0,$N169=""),"Awaiting Collection Email time stamp.",""),IF(OR($U169="PAID",$U169="CLOSED"),IF($U169="PAID","Account paid. Action completed.","Account closed. No further action required."),CHOOSE($Z169,"Collection Email","1st Email Follow-up","2nd Email Follow-up","Escalation to Local Office","Escalation to CBE","Escalation to Roxanne")&amp;" sent "&amp;TEXT($AA169,"dd-mmm")&amp;". "&amp;IF($Z169=6,"Final escalation completed.",IF($U169="OVERDUE","Next: "&amp;$AC169&amp;" was due "&amp;TEXT($AB169,"dd-mmm")&amp;" - "&amp;(NETWORKDAYS($AB169,TODAY(),Holidays)-1)&amp;" business day(s) late. Send now.",IF($U169="DUE TOMORROW","Next: "&amp;$AC169&amp;IF($AB169&lt;=TODAY()," is due TODAY ("," is due next business day (")&amp;TEXT($AB169,"dd-mmm")&amp;").","Next: "&amp;$AC169&amp;" due "&amp;TEXT($AB169,"dd-mmm")&amp;" ("&amp;(NETWORKDAYS(TODAY(),$AB169,Holidays)-1)&amp;" business day(s) left).")))))</f>
        <v/>
      </c>
      <c r="W169" s="17">
        <f>IF($Z169="","",CHOOSE($Z169,"Collection Email","1st Follow-up","2nd Follow-up","Local Office","CBE","Roxanne")&amp;IF($Z169=6," - Final"," - Day "&amp;MAX(0,NETWORKDAYS($AA169,TODAY(),Holidays)-1)&amp;" of "&amp;CHOOSE($Z169,3,3,2,2,3))&amp;" | Total Day "&amp;MAX(0,NETWORKDAYS($N169,TODAY(),Holidays)-1))</f>
        <v/>
      </c>
      <c r="X169" s="18"/>
      <c r="Y169" s="18"/>
      <c r="Z169" s="17">
        <f>IF($N169="","",COUNT($N169:$S169))</f>
        <v/>
      </c>
      <c r="AA169" s="19">
        <f>IF($Z169="","",INT(INDEX($N169:$S169,$Z169)))</f>
        <v/>
      </c>
      <c r="AB169" s="19">
        <f>IF(OR($Z169="",$Z169=6),"",WORKDAY($AA169,CHOOSE($Z169,3,3,2,2,3),Holidays))</f>
        <v/>
      </c>
      <c r="AC169" s="17">
        <f>IF(OR($Z169="",$Z169=6),"",CHOOSE($Z169,"1st Email Follow-up","2nd Email Follow-up","Escalate Local Office","Escalate to CBE","Escalate to Roxanne"))</f>
        <v/>
      </c>
    </row>
    <row r="170" spans="13:29">
      <c r="M170" s="14"/>
      <c r="T170" s="16"/>
      <c r="U170" s="17">
        <f>IF(AND(COUNTA($A170:$L170)=0,$N170=""),"",IF($T170="Paid","PAID",IF($T170="Closed","CLOSED",IF($Z170="","",IF($Z170=6,"ESCALATED TO ROXANNE",IF(TODAY()&gt;$AB170,"OVERDUE",IF($AB170&lt;=WORKDAY(TODAY(),1,Holidays),"DUE TOMORROW",IF($Z170=4,"ESCALATED TO LOCAL OFFICE",IF($Z170=5,"ESCALATED TO CBE",IF($AA170=TODAY(),"EMAIL SENT","MONITORING"))))))))))</f>
        <v/>
      </c>
      <c r="V170" s="17">
        <f>IF($U170="",IF(AND(COUNTA($A170:$L170)&gt;0,$N170=""),"Awaiting Collection Email time stamp.",""),IF(OR($U170="PAID",$U170="CLOSED"),IF($U170="PAID","Account paid. Action completed.","Account closed. No further action required."),CHOOSE($Z170,"Collection Email","1st Email Follow-up","2nd Email Follow-up","Escalation to Local Office","Escalation to CBE","Escalation to Roxanne")&amp;" sent "&amp;TEXT($AA170,"dd-mmm")&amp;". "&amp;IF($Z170=6,"Final escalation completed.",IF($U170="OVERDUE","Next: "&amp;$AC170&amp;" was due "&amp;TEXT($AB170,"dd-mmm")&amp;" - "&amp;(NETWORKDAYS($AB170,TODAY(),Holidays)-1)&amp;" business day(s) late. Send now.",IF($U170="DUE TOMORROW","Next: "&amp;$AC170&amp;IF($AB170&lt;=TODAY()," is due TODAY ("," is due next business day (")&amp;TEXT($AB170,"dd-mmm")&amp;").","Next: "&amp;$AC170&amp;" due "&amp;TEXT($AB170,"dd-mmm")&amp;" ("&amp;(NETWORKDAYS(TODAY(),$AB170,Holidays)-1)&amp;" business day(s) left).")))))</f>
        <v/>
      </c>
      <c r="W170" s="17">
        <f>IF($Z170="","",CHOOSE($Z170,"Collection Email","1st Follow-up","2nd Follow-up","Local Office","CBE","Roxanne")&amp;IF($Z170=6," - Final"," - Day "&amp;MAX(0,NETWORKDAYS($AA170,TODAY(),Holidays)-1)&amp;" of "&amp;CHOOSE($Z170,3,3,2,2,3))&amp;" | Total Day "&amp;MAX(0,NETWORKDAYS($N170,TODAY(),Holidays)-1))</f>
        <v/>
      </c>
      <c r="X170" s="18"/>
      <c r="Y170" s="18"/>
      <c r="Z170" s="17">
        <f>IF($N170="","",COUNT($N170:$S170))</f>
        <v/>
      </c>
      <c r="AA170" s="19">
        <f>IF($Z170="","",INT(INDEX($N170:$S170,$Z170)))</f>
        <v/>
      </c>
      <c r="AB170" s="19">
        <f>IF(OR($Z170="",$Z170=6),"",WORKDAY($AA170,CHOOSE($Z170,3,3,2,2,3),Holidays))</f>
        <v/>
      </c>
      <c r="AC170" s="17">
        <f>IF(OR($Z170="",$Z170=6),"",CHOOSE($Z170,"1st Email Follow-up","2nd Email Follow-up","Escalate Local Office","Escalate to CBE","Escalate to Roxanne"))</f>
        <v/>
      </c>
    </row>
    <row r="171" spans="13:29">
      <c r="M171" s="14"/>
      <c r="T171" s="16"/>
      <c r="U171" s="17">
        <f>IF(AND(COUNTA($A171:$L171)=0,$N171=""),"",IF($T171="Paid","PAID",IF($T171="Closed","CLOSED",IF($Z171="","",IF($Z171=6,"ESCALATED TO ROXANNE",IF(TODAY()&gt;$AB171,"OVERDUE",IF($AB171&lt;=WORKDAY(TODAY(),1,Holidays),"DUE TOMORROW",IF($Z171=4,"ESCALATED TO LOCAL OFFICE",IF($Z171=5,"ESCALATED TO CBE",IF($AA171=TODAY(),"EMAIL SENT","MONITORING"))))))))))</f>
        <v/>
      </c>
      <c r="V171" s="17">
        <f>IF($U171="",IF(AND(COUNTA($A171:$L171)&gt;0,$N171=""),"Awaiting Collection Email time stamp.",""),IF(OR($U171="PAID",$U171="CLOSED"),IF($U171="PAID","Account paid. Action completed.","Account closed. No further action required."),CHOOSE($Z171,"Collection Email","1st Email Follow-up","2nd Email Follow-up","Escalation to Local Office","Escalation to CBE","Escalation to Roxanne")&amp;" sent "&amp;TEXT($AA171,"dd-mmm")&amp;". "&amp;IF($Z171=6,"Final escalation completed.",IF($U171="OVERDUE","Next: "&amp;$AC171&amp;" was due "&amp;TEXT($AB171,"dd-mmm")&amp;" - "&amp;(NETWORKDAYS($AB171,TODAY(),Holidays)-1)&amp;" business day(s) late. Send now.",IF($U171="DUE TOMORROW","Next: "&amp;$AC171&amp;IF($AB171&lt;=TODAY()," is due TODAY ("," is due next business day (")&amp;TEXT($AB171,"dd-mmm")&amp;").","Next: "&amp;$AC171&amp;" due "&amp;TEXT($AB171,"dd-mmm")&amp;" ("&amp;(NETWORKDAYS(TODAY(),$AB171,Holidays)-1)&amp;" business day(s) left).")))))</f>
        <v/>
      </c>
      <c r="W171" s="17">
        <f>IF($Z171="","",CHOOSE($Z171,"Collection Email","1st Follow-up","2nd Follow-up","Local Office","CBE","Roxanne")&amp;IF($Z171=6," - Final"," - Day "&amp;MAX(0,NETWORKDAYS($AA171,TODAY(),Holidays)-1)&amp;" of "&amp;CHOOSE($Z171,3,3,2,2,3))&amp;" | Total Day "&amp;MAX(0,NETWORKDAYS($N171,TODAY(),Holidays)-1))</f>
        <v/>
      </c>
      <c r="X171" s="18"/>
      <c r="Y171" s="18"/>
      <c r="Z171" s="17">
        <f>IF($N171="","",COUNT($N171:$S171))</f>
        <v/>
      </c>
      <c r="AA171" s="19">
        <f>IF($Z171="","",INT(INDEX($N171:$S171,$Z171)))</f>
        <v/>
      </c>
      <c r="AB171" s="19">
        <f>IF(OR($Z171="",$Z171=6),"",WORKDAY($AA171,CHOOSE($Z171,3,3,2,2,3),Holidays))</f>
        <v/>
      </c>
      <c r="AC171" s="17">
        <f>IF(OR($Z171="",$Z171=6),"",CHOOSE($Z171,"1st Email Follow-up","2nd Email Follow-up","Escalate Local Office","Escalate to CBE","Escalate to Roxanne"))</f>
        <v/>
      </c>
    </row>
    <row r="172" spans="13:29">
      <c r="M172" s="14"/>
      <c r="T172" s="16"/>
      <c r="U172" s="17">
        <f>IF(AND(COUNTA($A172:$L172)=0,$N172=""),"",IF($T172="Paid","PAID",IF($T172="Closed","CLOSED",IF($Z172="","",IF($Z172=6,"ESCALATED TO ROXANNE",IF(TODAY()&gt;$AB172,"OVERDUE",IF($AB172&lt;=WORKDAY(TODAY(),1,Holidays),"DUE TOMORROW",IF($Z172=4,"ESCALATED TO LOCAL OFFICE",IF($Z172=5,"ESCALATED TO CBE",IF($AA172=TODAY(),"EMAIL SENT","MONITORING"))))))))))</f>
        <v/>
      </c>
      <c r="V172" s="17">
        <f>IF($U172="",IF(AND(COUNTA($A172:$L172)&gt;0,$N172=""),"Awaiting Collection Email time stamp.",""),IF(OR($U172="PAID",$U172="CLOSED"),IF($U172="PAID","Account paid. Action completed.","Account closed. No further action required."),CHOOSE($Z172,"Collection Email","1st Email Follow-up","2nd Email Follow-up","Escalation to Local Office","Escalation to CBE","Escalation to Roxanne")&amp;" sent "&amp;TEXT($AA172,"dd-mmm")&amp;". "&amp;IF($Z172=6,"Final escalation completed.",IF($U172="OVERDUE","Next: "&amp;$AC172&amp;" was due "&amp;TEXT($AB172,"dd-mmm")&amp;" - "&amp;(NETWORKDAYS($AB172,TODAY(),Holidays)-1)&amp;" business day(s) late. Send now.",IF($U172="DUE TOMORROW","Next: "&amp;$AC172&amp;IF($AB172&lt;=TODAY()," is due TODAY ("," is due next business day (")&amp;TEXT($AB172,"dd-mmm")&amp;").","Next: "&amp;$AC172&amp;" due "&amp;TEXT($AB172,"dd-mmm")&amp;" ("&amp;(NETWORKDAYS(TODAY(),$AB172,Holidays)-1)&amp;" business day(s) left).")))))</f>
        <v/>
      </c>
      <c r="W172" s="17">
        <f>IF($Z172="","",CHOOSE($Z172,"Collection Email","1st Follow-up","2nd Follow-up","Local Office","CBE","Roxanne")&amp;IF($Z172=6," - Final"," - Day "&amp;MAX(0,NETWORKDAYS($AA172,TODAY(),Holidays)-1)&amp;" of "&amp;CHOOSE($Z172,3,3,2,2,3))&amp;" | Total Day "&amp;MAX(0,NETWORKDAYS($N172,TODAY(),Holidays)-1))</f>
        <v/>
      </c>
      <c r="X172" s="18"/>
      <c r="Y172" s="18"/>
      <c r="Z172" s="17">
        <f>IF($N172="","",COUNT($N172:$S172))</f>
        <v/>
      </c>
      <c r="AA172" s="19">
        <f>IF($Z172="","",INT(INDEX($N172:$S172,$Z172)))</f>
        <v/>
      </c>
      <c r="AB172" s="19">
        <f>IF(OR($Z172="",$Z172=6),"",WORKDAY($AA172,CHOOSE($Z172,3,3,2,2,3),Holidays))</f>
        <v/>
      </c>
      <c r="AC172" s="17">
        <f>IF(OR($Z172="",$Z172=6),"",CHOOSE($Z172,"1st Email Follow-up","2nd Email Follow-up","Escalate Local Office","Escalate to CBE","Escalate to Roxanne"))</f>
        <v/>
      </c>
    </row>
    <row r="173" spans="13:29">
      <c r="M173" s="14"/>
      <c r="T173" s="16"/>
      <c r="U173" s="17">
        <f>IF(AND(COUNTA($A173:$L173)=0,$N173=""),"",IF($T173="Paid","PAID",IF($T173="Closed","CLOSED",IF($Z173="","",IF($Z173=6,"ESCALATED TO ROXANNE",IF(TODAY()&gt;$AB173,"OVERDUE",IF($AB173&lt;=WORKDAY(TODAY(),1,Holidays),"DUE TOMORROW",IF($Z173=4,"ESCALATED TO LOCAL OFFICE",IF($Z173=5,"ESCALATED TO CBE",IF($AA173=TODAY(),"EMAIL SENT","MONITORING"))))))))))</f>
        <v/>
      </c>
      <c r="V173" s="17">
        <f>IF($U173="",IF(AND(COUNTA($A173:$L173)&gt;0,$N173=""),"Awaiting Collection Email time stamp.",""),IF(OR($U173="PAID",$U173="CLOSED"),IF($U173="PAID","Account paid. Action completed.","Account closed. No further action required."),CHOOSE($Z173,"Collection Email","1st Email Follow-up","2nd Email Follow-up","Escalation to Local Office","Escalation to CBE","Escalation to Roxanne")&amp;" sent "&amp;TEXT($AA173,"dd-mmm")&amp;". "&amp;IF($Z173=6,"Final escalation completed.",IF($U173="OVERDUE","Next: "&amp;$AC173&amp;" was due "&amp;TEXT($AB173,"dd-mmm")&amp;" - "&amp;(NETWORKDAYS($AB173,TODAY(),Holidays)-1)&amp;" business day(s) late. Send now.",IF($U173="DUE TOMORROW","Next: "&amp;$AC173&amp;IF($AB173&lt;=TODAY()," is due TODAY ("," is due next business day (")&amp;TEXT($AB173,"dd-mmm")&amp;").","Next: "&amp;$AC173&amp;" due "&amp;TEXT($AB173,"dd-mmm")&amp;" ("&amp;(NETWORKDAYS(TODAY(),$AB173,Holidays)-1)&amp;" business day(s) left).")))))</f>
        <v/>
      </c>
      <c r="W173" s="17">
        <f>IF($Z173="","",CHOOSE($Z173,"Collection Email","1st Follow-up","2nd Follow-up","Local Office","CBE","Roxanne")&amp;IF($Z173=6," - Final"," - Day "&amp;MAX(0,NETWORKDAYS($AA173,TODAY(),Holidays)-1)&amp;" of "&amp;CHOOSE($Z173,3,3,2,2,3))&amp;" | Total Day "&amp;MAX(0,NETWORKDAYS($N173,TODAY(),Holidays)-1))</f>
        <v/>
      </c>
      <c r="X173" s="18"/>
      <c r="Y173" s="18"/>
      <c r="Z173" s="17">
        <f>IF($N173="","",COUNT($N173:$S173))</f>
        <v/>
      </c>
      <c r="AA173" s="19">
        <f>IF($Z173="","",INT(INDEX($N173:$S173,$Z173)))</f>
        <v/>
      </c>
      <c r="AB173" s="19">
        <f>IF(OR($Z173="",$Z173=6),"",WORKDAY($AA173,CHOOSE($Z173,3,3,2,2,3),Holidays))</f>
        <v/>
      </c>
      <c r="AC173" s="17">
        <f>IF(OR($Z173="",$Z173=6),"",CHOOSE($Z173,"1st Email Follow-up","2nd Email Follow-up","Escalate Local Office","Escalate to CBE","Escalate to Roxanne"))</f>
        <v/>
      </c>
    </row>
    <row r="174" spans="13:29">
      <c r="M174" s="14"/>
      <c r="T174" s="16"/>
      <c r="U174" s="17">
        <f>IF(AND(COUNTA($A174:$L174)=0,$N174=""),"",IF($T174="Paid","PAID",IF($T174="Closed","CLOSED",IF($Z174="","",IF($Z174=6,"ESCALATED TO ROXANNE",IF(TODAY()&gt;$AB174,"OVERDUE",IF($AB174&lt;=WORKDAY(TODAY(),1,Holidays),"DUE TOMORROW",IF($Z174=4,"ESCALATED TO LOCAL OFFICE",IF($Z174=5,"ESCALATED TO CBE",IF($AA174=TODAY(),"EMAIL SENT","MONITORING"))))))))))</f>
        <v/>
      </c>
      <c r="V174" s="17">
        <f>IF($U174="",IF(AND(COUNTA($A174:$L174)&gt;0,$N174=""),"Awaiting Collection Email time stamp.",""),IF(OR($U174="PAID",$U174="CLOSED"),IF($U174="PAID","Account paid. Action completed.","Account closed. No further action required."),CHOOSE($Z174,"Collection Email","1st Email Follow-up","2nd Email Follow-up","Escalation to Local Office","Escalation to CBE","Escalation to Roxanne")&amp;" sent "&amp;TEXT($AA174,"dd-mmm")&amp;". "&amp;IF($Z174=6,"Final escalation completed.",IF($U174="OVERDUE","Next: "&amp;$AC174&amp;" was due "&amp;TEXT($AB174,"dd-mmm")&amp;" - "&amp;(NETWORKDAYS($AB174,TODAY(),Holidays)-1)&amp;" business day(s) late. Send now.",IF($U174="DUE TOMORROW","Next: "&amp;$AC174&amp;IF($AB174&lt;=TODAY()," is due TODAY ("," is due next business day (")&amp;TEXT($AB174,"dd-mmm")&amp;").","Next: "&amp;$AC174&amp;" due "&amp;TEXT($AB174,"dd-mmm")&amp;" ("&amp;(NETWORKDAYS(TODAY(),$AB174,Holidays)-1)&amp;" business day(s) left).")))))</f>
        <v/>
      </c>
      <c r="W174" s="17">
        <f>IF($Z174="","",CHOOSE($Z174,"Collection Email","1st Follow-up","2nd Follow-up","Local Office","CBE","Roxanne")&amp;IF($Z174=6," - Final"," - Day "&amp;MAX(0,NETWORKDAYS($AA174,TODAY(),Holidays)-1)&amp;" of "&amp;CHOOSE($Z174,3,3,2,2,3))&amp;" | Total Day "&amp;MAX(0,NETWORKDAYS($N174,TODAY(),Holidays)-1))</f>
        <v/>
      </c>
      <c r="X174" s="18"/>
      <c r="Y174" s="18"/>
      <c r="Z174" s="17">
        <f>IF($N174="","",COUNT($N174:$S174))</f>
        <v/>
      </c>
      <c r="AA174" s="19">
        <f>IF($Z174="","",INT(INDEX($N174:$S174,$Z174)))</f>
        <v/>
      </c>
      <c r="AB174" s="19">
        <f>IF(OR($Z174="",$Z174=6),"",WORKDAY($AA174,CHOOSE($Z174,3,3,2,2,3),Holidays))</f>
        <v/>
      </c>
      <c r="AC174" s="17">
        <f>IF(OR($Z174="",$Z174=6),"",CHOOSE($Z174,"1st Email Follow-up","2nd Email Follow-up","Escalate Local Office","Escalate to CBE","Escalate to Roxanne"))</f>
        <v/>
      </c>
    </row>
    <row r="175" spans="13:29">
      <c r="M175" s="14"/>
      <c r="T175" s="16"/>
      <c r="U175" s="17">
        <f>IF(AND(COUNTA($A175:$L175)=0,$N175=""),"",IF($T175="Paid","PAID",IF($T175="Closed","CLOSED",IF($Z175="","",IF($Z175=6,"ESCALATED TO ROXANNE",IF(TODAY()&gt;$AB175,"OVERDUE",IF($AB175&lt;=WORKDAY(TODAY(),1,Holidays),"DUE TOMORROW",IF($Z175=4,"ESCALATED TO LOCAL OFFICE",IF($Z175=5,"ESCALATED TO CBE",IF($AA175=TODAY(),"EMAIL SENT","MONITORING"))))))))))</f>
        <v/>
      </c>
      <c r="V175" s="17">
        <f>IF($U175="",IF(AND(COUNTA($A175:$L175)&gt;0,$N175=""),"Awaiting Collection Email time stamp.",""),IF(OR($U175="PAID",$U175="CLOSED"),IF($U175="PAID","Account paid. Action completed.","Account closed. No further action required."),CHOOSE($Z175,"Collection Email","1st Email Follow-up","2nd Email Follow-up","Escalation to Local Office","Escalation to CBE","Escalation to Roxanne")&amp;" sent "&amp;TEXT($AA175,"dd-mmm")&amp;". "&amp;IF($Z175=6,"Final escalation completed.",IF($U175="OVERDUE","Next: "&amp;$AC175&amp;" was due "&amp;TEXT($AB175,"dd-mmm")&amp;" - "&amp;(NETWORKDAYS($AB175,TODAY(),Holidays)-1)&amp;" business day(s) late. Send now.",IF($U175="DUE TOMORROW","Next: "&amp;$AC175&amp;IF($AB175&lt;=TODAY()," is due TODAY ("," is due next business day (")&amp;TEXT($AB175,"dd-mmm")&amp;").","Next: "&amp;$AC175&amp;" due "&amp;TEXT($AB175,"dd-mmm")&amp;" ("&amp;(NETWORKDAYS(TODAY(),$AB175,Holidays)-1)&amp;" business day(s) left).")))))</f>
        <v/>
      </c>
      <c r="W175" s="17">
        <f>IF($Z175="","",CHOOSE($Z175,"Collection Email","1st Follow-up","2nd Follow-up","Local Office","CBE","Roxanne")&amp;IF($Z175=6," - Final"," - Day "&amp;MAX(0,NETWORKDAYS($AA175,TODAY(),Holidays)-1)&amp;" of "&amp;CHOOSE($Z175,3,3,2,2,3))&amp;" | Total Day "&amp;MAX(0,NETWORKDAYS($N175,TODAY(),Holidays)-1))</f>
        <v/>
      </c>
      <c r="X175" s="18"/>
      <c r="Y175" s="18"/>
      <c r="Z175" s="17">
        <f>IF($N175="","",COUNT($N175:$S175))</f>
        <v/>
      </c>
      <c r="AA175" s="19">
        <f>IF($Z175="","",INT(INDEX($N175:$S175,$Z175)))</f>
        <v/>
      </c>
      <c r="AB175" s="19">
        <f>IF(OR($Z175="",$Z175=6),"",WORKDAY($AA175,CHOOSE($Z175,3,3,2,2,3),Holidays))</f>
        <v/>
      </c>
      <c r="AC175" s="17">
        <f>IF(OR($Z175="",$Z175=6),"",CHOOSE($Z175,"1st Email Follow-up","2nd Email Follow-up","Escalate Local Office","Escalate to CBE","Escalate to Roxanne"))</f>
        <v/>
      </c>
    </row>
    <row r="176" spans="13:29">
      <c r="M176" s="14"/>
      <c r="T176" s="16"/>
      <c r="U176" s="17">
        <f>IF(AND(COUNTA($A176:$L176)=0,$N176=""),"",IF($T176="Paid","PAID",IF($T176="Closed","CLOSED",IF($Z176="","",IF($Z176=6,"ESCALATED TO ROXANNE",IF(TODAY()&gt;$AB176,"OVERDUE",IF($AB176&lt;=WORKDAY(TODAY(),1,Holidays),"DUE TOMORROW",IF($Z176=4,"ESCALATED TO LOCAL OFFICE",IF($Z176=5,"ESCALATED TO CBE",IF($AA176=TODAY(),"EMAIL SENT","MONITORING"))))))))))</f>
        <v/>
      </c>
      <c r="V176" s="17">
        <f>IF($U176="",IF(AND(COUNTA($A176:$L176)&gt;0,$N176=""),"Awaiting Collection Email time stamp.",""),IF(OR($U176="PAID",$U176="CLOSED"),IF($U176="PAID","Account paid. Action completed.","Account closed. No further action required."),CHOOSE($Z176,"Collection Email","1st Email Follow-up","2nd Email Follow-up","Escalation to Local Office","Escalation to CBE","Escalation to Roxanne")&amp;" sent "&amp;TEXT($AA176,"dd-mmm")&amp;". "&amp;IF($Z176=6,"Final escalation completed.",IF($U176="OVERDUE","Next: "&amp;$AC176&amp;" was due "&amp;TEXT($AB176,"dd-mmm")&amp;" - "&amp;(NETWORKDAYS($AB176,TODAY(),Holidays)-1)&amp;" business day(s) late. Send now.",IF($U176="DUE TOMORROW","Next: "&amp;$AC176&amp;IF($AB176&lt;=TODAY()," is due TODAY ("," is due next business day (")&amp;TEXT($AB176,"dd-mmm")&amp;").","Next: "&amp;$AC176&amp;" due "&amp;TEXT($AB176,"dd-mmm")&amp;" ("&amp;(NETWORKDAYS(TODAY(),$AB176,Holidays)-1)&amp;" business day(s) left).")))))</f>
        <v/>
      </c>
      <c r="W176" s="17">
        <f>IF($Z176="","",CHOOSE($Z176,"Collection Email","1st Follow-up","2nd Follow-up","Local Office","CBE","Roxanne")&amp;IF($Z176=6," - Final"," - Day "&amp;MAX(0,NETWORKDAYS($AA176,TODAY(),Holidays)-1)&amp;" of "&amp;CHOOSE($Z176,3,3,2,2,3))&amp;" | Total Day "&amp;MAX(0,NETWORKDAYS($N176,TODAY(),Holidays)-1))</f>
        <v/>
      </c>
      <c r="X176" s="18"/>
      <c r="Y176" s="18"/>
      <c r="Z176" s="17">
        <f>IF($N176="","",COUNT($N176:$S176))</f>
        <v/>
      </c>
      <c r="AA176" s="19">
        <f>IF($Z176="","",INT(INDEX($N176:$S176,$Z176)))</f>
        <v/>
      </c>
      <c r="AB176" s="19">
        <f>IF(OR($Z176="",$Z176=6),"",WORKDAY($AA176,CHOOSE($Z176,3,3,2,2,3),Holidays))</f>
        <v/>
      </c>
      <c r="AC176" s="17">
        <f>IF(OR($Z176="",$Z176=6),"",CHOOSE($Z176,"1st Email Follow-up","2nd Email Follow-up","Escalate Local Office","Escalate to CBE","Escalate to Roxanne"))</f>
        <v/>
      </c>
    </row>
    <row r="177" spans="13:29">
      <c r="M177" s="14"/>
      <c r="T177" s="16"/>
      <c r="U177" s="17">
        <f>IF(AND(COUNTA($A177:$L177)=0,$N177=""),"",IF($T177="Paid","PAID",IF($T177="Closed","CLOSED",IF($Z177="","",IF($Z177=6,"ESCALATED TO ROXANNE",IF(TODAY()&gt;$AB177,"OVERDUE",IF($AB177&lt;=WORKDAY(TODAY(),1,Holidays),"DUE TOMORROW",IF($Z177=4,"ESCALATED TO LOCAL OFFICE",IF($Z177=5,"ESCALATED TO CBE",IF($AA177=TODAY(),"EMAIL SENT","MONITORING"))))))))))</f>
        <v/>
      </c>
      <c r="V177" s="17">
        <f>IF($U177="",IF(AND(COUNTA($A177:$L177)&gt;0,$N177=""),"Awaiting Collection Email time stamp.",""),IF(OR($U177="PAID",$U177="CLOSED"),IF($U177="PAID","Account paid. Action completed.","Account closed. No further action required."),CHOOSE($Z177,"Collection Email","1st Email Follow-up","2nd Email Follow-up","Escalation to Local Office","Escalation to CBE","Escalation to Roxanne")&amp;" sent "&amp;TEXT($AA177,"dd-mmm")&amp;". "&amp;IF($Z177=6,"Final escalation completed.",IF($U177="OVERDUE","Next: "&amp;$AC177&amp;" was due "&amp;TEXT($AB177,"dd-mmm")&amp;" - "&amp;(NETWORKDAYS($AB177,TODAY(),Holidays)-1)&amp;" business day(s) late. Send now.",IF($U177="DUE TOMORROW","Next: "&amp;$AC177&amp;IF($AB177&lt;=TODAY()," is due TODAY ("," is due next business day (")&amp;TEXT($AB177,"dd-mmm")&amp;").","Next: "&amp;$AC177&amp;" due "&amp;TEXT($AB177,"dd-mmm")&amp;" ("&amp;(NETWORKDAYS(TODAY(),$AB177,Holidays)-1)&amp;" business day(s) left).")))))</f>
        <v/>
      </c>
      <c r="W177" s="17">
        <f>IF($Z177="","",CHOOSE($Z177,"Collection Email","1st Follow-up","2nd Follow-up","Local Office","CBE","Roxanne")&amp;IF($Z177=6," - Final"," - Day "&amp;MAX(0,NETWORKDAYS($AA177,TODAY(),Holidays)-1)&amp;" of "&amp;CHOOSE($Z177,3,3,2,2,3))&amp;" | Total Day "&amp;MAX(0,NETWORKDAYS($N177,TODAY(),Holidays)-1))</f>
        <v/>
      </c>
      <c r="X177" s="18"/>
      <c r="Y177" s="18"/>
      <c r="Z177" s="17">
        <f>IF($N177="","",COUNT($N177:$S177))</f>
        <v/>
      </c>
      <c r="AA177" s="19">
        <f>IF($Z177="","",INT(INDEX($N177:$S177,$Z177)))</f>
        <v/>
      </c>
      <c r="AB177" s="19">
        <f>IF(OR($Z177="",$Z177=6),"",WORKDAY($AA177,CHOOSE($Z177,3,3,2,2,3),Holidays))</f>
        <v/>
      </c>
      <c r="AC177" s="17">
        <f>IF(OR($Z177="",$Z177=6),"",CHOOSE($Z177,"1st Email Follow-up","2nd Email Follow-up","Escalate Local Office","Escalate to CBE","Escalate to Roxanne"))</f>
        <v/>
      </c>
    </row>
    <row r="178" spans="13:29">
      <c r="M178" s="14"/>
      <c r="T178" s="16"/>
      <c r="U178" s="17">
        <f>IF(AND(COUNTA($A178:$L178)=0,$N178=""),"",IF($T178="Paid","PAID",IF($T178="Closed","CLOSED",IF($Z178="","",IF($Z178=6,"ESCALATED TO ROXANNE",IF(TODAY()&gt;$AB178,"OVERDUE",IF($AB178&lt;=WORKDAY(TODAY(),1,Holidays),"DUE TOMORROW",IF($Z178=4,"ESCALATED TO LOCAL OFFICE",IF($Z178=5,"ESCALATED TO CBE",IF($AA178=TODAY(),"EMAIL SENT","MONITORING"))))))))))</f>
        <v/>
      </c>
      <c r="V178" s="17">
        <f>IF($U178="",IF(AND(COUNTA($A178:$L178)&gt;0,$N178=""),"Awaiting Collection Email time stamp.",""),IF(OR($U178="PAID",$U178="CLOSED"),IF($U178="PAID","Account paid. Action completed.","Account closed. No further action required."),CHOOSE($Z178,"Collection Email","1st Email Follow-up","2nd Email Follow-up","Escalation to Local Office","Escalation to CBE","Escalation to Roxanne")&amp;" sent "&amp;TEXT($AA178,"dd-mmm")&amp;". "&amp;IF($Z178=6,"Final escalation completed.",IF($U178="OVERDUE","Next: "&amp;$AC178&amp;" was due "&amp;TEXT($AB178,"dd-mmm")&amp;" - "&amp;(NETWORKDAYS($AB178,TODAY(),Holidays)-1)&amp;" business day(s) late. Send now.",IF($U178="DUE TOMORROW","Next: "&amp;$AC178&amp;IF($AB178&lt;=TODAY()," is due TODAY ("," is due next business day (")&amp;TEXT($AB178,"dd-mmm")&amp;").","Next: "&amp;$AC178&amp;" due "&amp;TEXT($AB178,"dd-mmm")&amp;" ("&amp;(NETWORKDAYS(TODAY(),$AB178,Holidays)-1)&amp;" business day(s) left).")))))</f>
        <v/>
      </c>
      <c r="W178" s="17">
        <f>IF($Z178="","",CHOOSE($Z178,"Collection Email","1st Follow-up","2nd Follow-up","Local Office","CBE","Roxanne")&amp;IF($Z178=6," - Final"," - Day "&amp;MAX(0,NETWORKDAYS($AA178,TODAY(),Holidays)-1)&amp;" of "&amp;CHOOSE($Z178,3,3,2,2,3))&amp;" | Total Day "&amp;MAX(0,NETWORKDAYS($N178,TODAY(),Holidays)-1))</f>
        <v/>
      </c>
      <c r="X178" s="18"/>
      <c r="Y178" s="18"/>
      <c r="Z178" s="17">
        <f>IF($N178="","",COUNT($N178:$S178))</f>
        <v/>
      </c>
      <c r="AA178" s="19">
        <f>IF($Z178="","",INT(INDEX($N178:$S178,$Z178)))</f>
        <v/>
      </c>
      <c r="AB178" s="19">
        <f>IF(OR($Z178="",$Z178=6),"",WORKDAY($AA178,CHOOSE($Z178,3,3,2,2,3),Holidays))</f>
        <v/>
      </c>
      <c r="AC178" s="17">
        <f>IF(OR($Z178="",$Z178=6),"",CHOOSE($Z178,"1st Email Follow-up","2nd Email Follow-up","Escalate Local Office","Escalate to CBE","Escalate to Roxanne"))</f>
        <v/>
      </c>
    </row>
    <row r="179" spans="13:29">
      <c r="M179" s="14"/>
      <c r="T179" s="16"/>
      <c r="U179" s="17">
        <f>IF(AND(COUNTA($A179:$L179)=0,$N179=""),"",IF($T179="Paid","PAID",IF($T179="Closed","CLOSED",IF($Z179="","",IF($Z179=6,"ESCALATED TO ROXANNE",IF(TODAY()&gt;$AB179,"OVERDUE",IF($AB179&lt;=WORKDAY(TODAY(),1,Holidays),"DUE TOMORROW",IF($Z179=4,"ESCALATED TO LOCAL OFFICE",IF($Z179=5,"ESCALATED TO CBE",IF($AA179=TODAY(),"EMAIL SENT","MONITORING"))))))))))</f>
        <v/>
      </c>
      <c r="V179" s="17">
        <f>IF($U179="",IF(AND(COUNTA($A179:$L179)&gt;0,$N179=""),"Awaiting Collection Email time stamp.",""),IF(OR($U179="PAID",$U179="CLOSED"),IF($U179="PAID","Account paid. Action completed.","Account closed. No further action required."),CHOOSE($Z179,"Collection Email","1st Email Follow-up","2nd Email Follow-up","Escalation to Local Office","Escalation to CBE","Escalation to Roxanne")&amp;" sent "&amp;TEXT($AA179,"dd-mmm")&amp;". "&amp;IF($Z179=6,"Final escalation completed.",IF($U179="OVERDUE","Next: "&amp;$AC179&amp;" was due "&amp;TEXT($AB179,"dd-mmm")&amp;" - "&amp;(NETWORKDAYS($AB179,TODAY(),Holidays)-1)&amp;" business day(s) late. Send now.",IF($U179="DUE TOMORROW","Next: "&amp;$AC179&amp;IF($AB179&lt;=TODAY()," is due TODAY ("," is due next business day (")&amp;TEXT($AB179,"dd-mmm")&amp;").","Next: "&amp;$AC179&amp;" due "&amp;TEXT($AB179,"dd-mmm")&amp;" ("&amp;(NETWORKDAYS(TODAY(),$AB179,Holidays)-1)&amp;" business day(s) left).")))))</f>
        <v/>
      </c>
      <c r="W179" s="17">
        <f>IF($Z179="","",CHOOSE($Z179,"Collection Email","1st Follow-up","2nd Follow-up","Local Office","CBE","Roxanne")&amp;IF($Z179=6," - Final"," - Day "&amp;MAX(0,NETWORKDAYS($AA179,TODAY(),Holidays)-1)&amp;" of "&amp;CHOOSE($Z179,3,3,2,2,3))&amp;" | Total Day "&amp;MAX(0,NETWORKDAYS($N179,TODAY(),Holidays)-1))</f>
        <v/>
      </c>
      <c r="X179" s="18"/>
      <c r="Y179" s="18"/>
      <c r="Z179" s="17">
        <f>IF($N179="","",COUNT($N179:$S179))</f>
        <v/>
      </c>
      <c r="AA179" s="19">
        <f>IF($Z179="","",INT(INDEX($N179:$S179,$Z179)))</f>
        <v/>
      </c>
      <c r="AB179" s="19">
        <f>IF(OR($Z179="",$Z179=6),"",WORKDAY($AA179,CHOOSE($Z179,3,3,2,2,3),Holidays))</f>
        <v/>
      </c>
      <c r="AC179" s="17">
        <f>IF(OR($Z179="",$Z179=6),"",CHOOSE($Z179,"1st Email Follow-up","2nd Email Follow-up","Escalate Local Office","Escalate to CBE","Escalate to Roxanne"))</f>
        <v/>
      </c>
    </row>
    <row r="180" spans="13:29">
      <c r="M180" s="14"/>
      <c r="T180" s="16"/>
      <c r="U180" s="17">
        <f>IF(AND(COUNTA($A180:$L180)=0,$N180=""),"",IF($T180="Paid","PAID",IF($T180="Closed","CLOSED",IF($Z180="","",IF($Z180=6,"ESCALATED TO ROXANNE",IF(TODAY()&gt;$AB180,"OVERDUE",IF($AB180&lt;=WORKDAY(TODAY(),1,Holidays),"DUE TOMORROW",IF($Z180=4,"ESCALATED TO LOCAL OFFICE",IF($Z180=5,"ESCALATED TO CBE",IF($AA180=TODAY(),"EMAIL SENT","MONITORING"))))))))))</f>
        <v/>
      </c>
      <c r="V180" s="17">
        <f>IF($U180="",IF(AND(COUNTA($A180:$L180)&gt;0,$N180=""),"Awaiting Collection Email time stamp.",""),IF(OR($U180="PAID",$U180="CLOSED"),IF($U180="PAID","Account paid. Action completed.","Account closed. No further action required."),CHOOSE($Z180,"Collection Email","1st Email Follow-up","2nd Email Follow-up","Escalation to Local Office","Escalation to CBE","Escalation to Roxanne")&amp;" sent "&amp;TEXT($AA180,"dd-mmm")&amp;". "&amp;IF($Z180=6,"Final escalation completed.",IF($U180="OVERDUE","Next: "&amp;$AC180&amp;" was due "&amp;TEXT($AB180,"dd-mmm")&amp;" - "&amp;(NETWORKDAYS($AB180,TODAY(),Holidays)-1)&amp;" business day(s) late. Send now.",IF($U180="DUE TOMORROW","Next: "&amp;$AC180&amp;IF($AB180&lt;=TODAY()," is due TODAY ("," is due next business day (")&amp;TEXT($AB180,"dd-mmm")&amp;").","Next: "&amp;$AC180&amp;" due "&amp;TEXT($AB180,"dd-mmm")&amp;" ("&amp;(NETWORKDAYS(TODAY(),$AB180,Holidays)-1)&amp;" business day(s) left).")))))</f>
        <v/>
      </c>
      <c r="W180" s="17">
        <f>IF($Z180="","",CHOOSE($Z180,"Collection Email","1st Follow-up","2nd Follow-up","Local Office","CBE","Roxanne")&amp;IF($Z180=6," - Final"," - Day "&amp;MAX(0,NETWORKDAYS($AA180,TODAY(),Holidays)-1)&amp;" of "&amp;CHOOSE($Z180,3,3,2,2,3))&amp;" | Total Day "&amp;MAX(0,NETWORKDAYS($N180,TODAY(),Holidays)-1))</f>
        <v/>
      </c>
      <c r="X180" s="18"/>
      <c r="Y180" s="18"/>
      <c r="Z180" s="17">
        <f>IF($N180="","",COUNT($N180:$S180))</f>
        <v/>
      </c>
      <c r="AA180" s="19">
        <f>IF($Z180="","",INT(INDEX($N180:$S180,$Z180)))</f>
        <v/>
      </c>
      <c r="AB180" s="19">
        <f>IF(OR($Z180="",$Z180=6),"",WORKDAY($AA180,CHOOSE($Z180,3,3,2,2,3),Holidays))</f>
        <v/>
      </c>
      <c r="AC180" s="17">
        <f>IF(OR($Z180="",$Z180=6),"",CHOOSE($Z180,"1st Email Follow-up","2nd Email Follow-up","Escalate Local Office","Escalate to CBE","Escalate to Roxanne"))</f>
        <v/>
      </c>
    </row>
    <row r="181" spans="13:29">
      <c r="M181" s="14"/>
      <c r="T181" s="16"/>
      <c r="U181" s="17">
        <f>IF(AND(COUNTA($A181:$L181)=0,$N181=""),"",IF($T181="Paid","PAID",IF($T181="Closed","CLOSED",IF($Z181="","",IF($Z181=6,"ESCALATED TO ROXANNE",IF(TODAY()&gt;$AB181,"OVERDUE",IF($AB181&lt;=WORKDAY(TODAY(),1,Holidays),"DUE TOMORROW",IF($Z181=4,"ESCALATED TO LOCAL OFFICE",IF($Z181=5,"ESCALATED TO CBE",IF($AA181=TODAY(),"EMAIL SENT","MONITORING"))))))))))</f>
        <v/>
      </c>
      <c r="V181" s="17">
        <f>IF($U181="",IF(AND(COUNTA($A181:$L181)&gt;0,$N181=""),"Awaiting Collection Email time stamp.",""),IF(OR($U181="PAID",$U181="CLOSED"),IF($U181="PAID","Account paid. Action completed.","Account closed. No further action required."),CHOOSE($Z181,"Collection Email","1st Email Follow-up","2nd Email Follow-up","Escalation to Local Office","Escalation to CBE","Escalation to Roxanne")&amp;" sent "&amp;TEXT($AA181,"dd-mmm")&amp;". "&amp;IF($Z181=6,"Final escalation completed.",IF($U181="OVERDUE","Next: "&amp;$AC181&amp;" was due "&amp;TEXT($AB181,"dd-mmm")&amp;" - "&amp;(NETWORKDAYS($AB181,TODAY(),Holidays)-1)&amp;" business day(s) late. Send now.",IF($U181="DUE TOMORROW","Next: "&amp;$AC181&amp;IF($AB181&lt;=TODAY()," is due TODAY ("," is due next business day (")&amp;TEXT($AB181,"dd-mmm")&amp;").","Next: "&amp;$AC181&amp;" due "&amp;TEXT($AB181,"dd-mmm")&amp;" ("&amp;(NETWORKDAYS(TODAY(),$AB181,Holidays)-1)&amp;" business day(s) left).")))))</f>
        <v/>
      </c>
      <c r="W181" s="17">
        <f>IF($Z181="","",CHOOSE($Z181,"Collection Email","1st Follow-up","2nd Follow-up","Local Office","CBE","Roxanne")&amp;IF($Z181=6," - Final"," - Day "&amp;MAX(0,NETWORKDAYS($AA181,TODAY(),Holidays)-1)&amp;" of "&amp;CHOOSE($Z181,3,3,2,2,3))&amp;" | Total Day "&amp;MAX(0,NETWORKDAYS($N181,TODAY(),Holidays)-1))</f>
        <v/>
      </c>
      <c r="X181" s="18"/>
      <c r="Y181" s="18"/>
      <c r="Z181" s="17">
        <f>IF($N181="","",COUNT($N181:$S181))</f>
        <v/>
      </c>
      <c r="AA181" s="19">
        <f>IF($Z181="","",INT(INDEX($N181:$S181,$Z181)))</f>
        <v/>
      </c>
      <c r="AB181" s="19">
        <f>IF(OR($Z181="",$Z181=6),"",WORKDAY($AA181,CHOOSE($Z181,3,3,2,2,3),Holidays))</f>
        <v/>
      </c>
      <c r="AC181" s="17">
        <f>IF(OR($Z181="",$Z181=6),"",CHOOSE($Z181,"1st Email Follow-up","2nd Email Follow-up","Escalate Local Office","Escalate to CBE","Escalate to Roxanne"))</f>
        <v/>
      </c>
    </row>
    <row r="182" spans="13:29">
      <c r="M182" s="14"/>
      <c r="T182" s="16"/>
      <c r="U182" s="17">
        <f>IF(AND(COUNTA($A182:$L182)=0,$N182=""),"",IF($T182="Paid","PAID",IF($T182="Closed","CLOSED",IF($Z182="","",IF($Z182=6,"ESCALATED TO ROXANNE",IF(TODAY()&gt;$AB182,"OVERDUE",IF($AB182&lt;=WORKDAY(TODAY(),1,Holidays),"DUE TOMORROW",IF($Z182=4,"ESCALATED TO LOCAL OFFICE",IF($Z182=5,"ESCALATED TO CBE",IF($AA182=TODAY(),"EMAIL SENT","MONITORING"))))))))))</f>
        <v/>
      </c>
      <c r="V182" s="17">
        <f>IF($U182="",IF(AND(COUNTA($A182:$L182)&gt;0,$N182=""),"Awaiting Collection Email time stamp.",""),IF(OR($U182="PAID",$U182="CLOSED"),IF($U182="PAID","Account paid. Action completed.","Account closed. No further action required."),CHOOSE($Z182,"Collection Email","1st Email Follow-up","2nd Email Follow-up","Escalation to Local Office","Escalation to CBE","Escalation to Roxanne")&amp;" sent "&amp;TEXT($AA182,"dd-mmm")&amp;". "&amp;IF($Z182=6,"Final escalation completed.",IF($U182="OVERDUE","Next: "&amp;$AC182&amp;" was due "&amp;TEXT($AB182,"dd-mmm")&amp;" - "&amp;(NETWORKDAYS($AB182,TODAY(),Holidays)-1)&amp;" business day(s) late. Send now.",IF($U182="DUE TOMORROW","Next: "&amp;$AC182&amp;IF($AB182&lt;=TODAY()," is due TODAY ("," is due next business day (")&amp;TEXT($AB182,"dd-mmm")&amp;").","Next: "&amp;$AC182&amp;" due "&amp;TEXT($AB182,"dd-mmm")&amp;" ("&amp;(NETWORKDAYS(TODAY(),$AB182,Holidays)-1)&amp;" business day(s) left).")))))</f>
        <v/>
      </c>
      <c r="W182" s="17">
        <f>IF($Z182="","",CHOOSE($Z182,"Collection Email","1st Follow-up","2nd Follow-up","Local Office","CBE","Roxanne")&amp;IF($Z182=6," - Final"," - Day "&amp;MAX(0,NETWORKDAYS($AA182,TODAY(),Holidays)-1)&amp;" of "&amp;CHOOSE($Z182,3,3,2,2,3))&amp;" | Total Day "&amp;MAX(0,NETWORKDAYS($N182,TODAY(),Holidays)-1))</f>
        <v/>
      </c>
      <c r="X182" s="18"/>
      <c r="Y182" s="18"/>
      <c r="Z182" s="17">
        <f>IF($N182="","",COUNT($N182:$S182))</f>
        <v/>
      </c>
      <c r="AA182" s="19">
        <f>IF($Z182="","",INT(INDEX($N182:$S182,$Z182)))</f>
        <v/>
      </c>
      <c r="AB182" s="19">
        <f>IF(OR($Z182="",$Z182=6),"",WORKDAY($AA182,CHOOSE($Z182,3,3,2,2,3),Holidays))</f>
        <v/>
      </c>
      <c r="AC182" s="17">
        <f>IF(OR($Z182="",$Z182=6),"",CHOOSE($Z182,"1st Email Follow-up","2nd Email Follow-up","Escalate Local Office","Escalate to CBE","Escalate to Roxanne"))</f>
        <v/>
      </c>
    </row>
    <row r="183" spans="13:29">
      <c r="M183" s="14"/>
      <c r="T183" s="16"/>
      <c r="U183" s="17">
        <f>IF(AND(COUNTA($A183:$L183)=0,$N183=""),"",IF($T183="Paid","PAID",IF($T183="Closed","CLOSED",IF($Z183="","",IF($Z183=6,"ESCALATED TO ROXANNE",IF(TODAY()&gt;$AB183,"OVERDUE",IF($AB183&lt;=WORKDAY(TODAY(),1,Holidays),"DUE TOMORROW",IF($Z183=4,"ESCALATED TO LOCAL OFFICE",IF($Z183=5,"ESCALATED TO CBE",IF($AA183=TODAY(),"EMAIL SENT","MONITORING"))))))))))</f>
        <v/>
      </c>
      <c r="V183" s="17">
        <f>IF($U183="",IF(AND(COUNTA($A183:$L183)&gt;0,$N183=""),"Awaiting Collection Email time stamp.",""),IF(OR($U183="PAID",$U183="CLOSED"),IF($U183="PAID","Account paid. Action completed.","Account closed. No further action required."),CHOOSE($Z183,"Collection Email","1st Email Follow-up","2nd Email Follow-up","Escalation to Local Office","Escalation to CBE","Escalation to Roxanne")&amp;" sent "&amp;TEXT($AA183,"dd-mmm")&amp;". "&amp;IF($Z183=6,"Final escalation completed.",IF($U183="OVERDUE","Next: "&amp;$AC183&amp;" was due "&amp;TEXT($AB183,"dd-mmm")&amp;" - "&amp;(NETWORKDAYS($AB183,TODAY(),Holidays)-1)&amp;" business day(s) late. Send now.",IF($U183="DUE TOMORROW","Next: "&amp;$AC183&amp;IF($AB183&lt;=TODAY()," is due TODAY ("," is due next business day (")&amp;TEXT($AB183,"dd-mmm")&amp;").","Next: "&amp;$AC183&amp;" due "&amp;TEXT($AB183,"dd-mmm")&amp;" ("&amp;(NETWORKDAYS(TODAY(),$AB183,Holidays)-1)&amp;" business day(s) left).")))))</f>
        <v/>
      </c>
      <c r="W183" s="17">
        <f>IF($Z183="","",CHOOSE($Z183,"Collection Email","1st Follow-up","2nd Follow-up","Local Office","CBE","Roxanne")&amp;IF($Z183=6," - Final"," - Day "&amp;MAX(0,NETWORKDAYS($AA183,TODAY(),Holidays)-1)&amp;" of "&amp;CHOOSE($Z183,3,3,2,2,3))&amp;" | Total Day "&amp;MAX(0,NETWORKDAYS($N183,TODAY(),Holidays)-1))</f>
        <v/>
      </c>
      <c r="X183" s="18"/>
      <c r="Y183" s="18"/>
      <c r="Z183" s="17">
        <f>IF($N183="","",COUNT($N183:$S183))</f>
        <v/>
      </c>
      <c r="AA183" s="19">
        <f>IF($Z183="","",INT(INDEX($N183:$S183,$Z183)))</f>
        <v/>
      </c>
      <c r="AB183" s="19">
        <f>IF(OR($Z183="",$Z183=6),"",WORKDAY($AA183,CHOOSE($Z183,3,3,2,2,3),Holidays))</f>
        <v/>
      </c>
      <c r="AC183" s="17">
        <f>IF(OR($Z183="",$Z183=6),"",CHOOSE($Z183,"1st Email Follow-up","2nd Email Follow-up","Escalate Local Office","Escalate to CBE","Escalate to Roxanne"))</f>
        <v/>
      </c>
    </row>
    <row r="184" spans="13:29">
      <c r="M184" s="14"/>
      <c r="T184" s="16"/>
      <c r="U184" s="17">
        <f>IF(AND(COUNTA($A184:$L184)=0,$N184=""),"",IF($T184="Paid","PAID",IF($T184="Closed","CLOSED",IF($Z184="","",IF($Z184=6,"ESCALATED TO ROXANNE",IF(TODAY()&gt;$AB184,"OVERDUE",IF($AB184&lt;=WORKDAY(TODAY(),1,Holidays),"DUE TOMORROW",IF($Z184=4,"ESCALATED TO LOCAL OFFICE",IF($Z184=5,"ESCALATED TO CBE",IF($AA184=TODAY(),"EMAIL SENT","MONITORING"))))))))))</f>
        <v/>
      </c>
      <c r="V184" s="17">
        <f>IF($U184="",IF(AND(COUNTA($A184:$L184)&gt;0,$N184=""),"Awaiting Collection Email time stamp.",""),IF(OR($U184="PAID",$U184="CLOSED"),IF($U184="PAID","Account paid. Action completed.","Account closed. No further action required."),CHOOSE($Z184,"Collection Email","1st Email Follow-up","2nd Email Follow-up","Escalation to Local Office","Escalation to CBE","Escalation to Roxanne")&amp;" sent "&amp;TEXT($AA184,"dd-mmm")&amp;". "&amp;IF($Z184=6,"Final escalation completed.",IF($U184="OVERDUE","Next: "&amp;$AC184&amp;" was due "&amp;TEXT($AB184,"dd-mmm")&amp;" - "&amp;(NETWORKDAYS($AB184,TODAY(),Holidays)-1)&amp;" business day(s) late. Send now.",IF($U184="DUE TOMORROW","Next: "&amp;$AC184&amp;IF($AB184&lt;=TODAY()," is due TODAY ("," is due next business day (")&amp;TEXT($AB184,"dd-mmm")&amp;").","Next: "&amp;$AC184&amp;" due "&amp;TEXT($AB184,"dd-mmm")&amp;" ("&amp;(NETWORKDAYS(TODAY(),$AB184,Holidays)-1)&amp;" business day(s) left).")))))</f>
        <v/>
      </c>
      <c r="W184" s="17">
        <f>IF($Z184="","",CHOOSE($Z184,"Collection Email","1st Follow-up","2nd Follow-up","Local Office","CBE","Roxanne")&amp;IF($Z184=6," - Final"," - Day "&amp;MAX(0,NETWORKDAYS($AA184,TODAY(),Holidays)-1)&amp;" of "&amp;CHOOSE($Z184,3,3,2,2,3))&amp;" | Total Day "&amp;MAX(0,NETWORKDAYS($N184,TODAY(),Holidays)-1))</f>
        <v/>
      </c>
      <c r="X184" s="18"/>
      <c r="Y184" s="18"/>
      <c r="Z184" s="17">
        <f>IF($N184="","",COUNT($N184:$S184))</f>
        <v/>
      </c>
      <c r="AA184" s="19">
        <f>IF($Z184="","",INT(INDEX($N184:$S184,$Z184)))</f>
        <v/>
      </c>
      <c r="AB184" s="19">
        <f>IF(OR($Z184="",$Z184=6),"",WORKDAY($AA184,CHOOSE($Z184,3,3,2,2,3),Holidays))</f>
        <v/>
      </c>
      <c r="AC184" s="17">
        <f>IF(OR($Z184="",$Z184=6),"",CHOOSE($Z184,"1st Email Follow-up","2nd Email Follow-up","Escalate Local Office","Escalate to CBE","Escalate to Roxanne"))</f>
        <v/>
      </c>
    </row>
    <row r="185" spans="13:29">
      <c r="M185" s="14"/>
      <c r="T185" s="16"/>
      <c r="U185" s="17">
        <f>IF(AND(COUNTA($A185:$L185)=0,$N185=""),"",IF($T185="Paid","PAID",IF($T185="Closed","CLOSED",IF($Z185="","",IF($Z185=6,"ESCALATED TO ROXANNE",IF(TODAY()&gt;$AB185,"OVERDUE",IF($AB185&lt;=WORKDAY(TODAY(),1,Holidays),"DUE TOMORROW",IF($Z185=4,"ESCALATED TO LOCAL OFFICE",IF($Z185=5,"ESCALATED TO CBE",IF($AA185=TODAY(),"EMAIL SENT","MONITORING"))))))))))</f>
        <v/>
      </c>
      <c r="V185" s="17">
        <f>IF($U185="",IF(AND(COUNTA($A185:$L185)&gt;0,$N185=""),"Awaiting Collection Email time stamp.",""),IF(OR($U185="PAID",$U185="CLOSED"),IF($U185="PAID","Account paid. Action completed.","Account closed. No further action required."),CHOOSE($Z185,"Collection Email","1st Email Follow-up","2nd Email Follow-up","Escalation to Local Office","Escalation to CBE","Escalation to Roxanne")&amp;" sent "&amp;TEXT($AA185,"dd-mmm")&amp;". "&amp;IF($Z185=6,"Final escalation completed.",IF($U185="OVERDUE","Next: "&amp;$AC185&amp;" was due "&amp;TEXT($AB185,"dd-mmm")&amp;" - "&amp;(NETWORKDAYS($AB185,TODAY(),Holidays)-1)&amp;" business day(s) late. Send now.",IF($U185="DUE TOMORROW","Next: "&amp;$AC185&amp;IF($AB185&lt;=TODAY()," is due TODAY ("," is due next business day (")&amp;TEXT($AB185,"dd-mmm")&amp;").","Next: "&amp;$AC185&amp;" due "&amp;TEXT($AB185,"dd-mmm")&amp;" ("&amp;(NETWORKDAYS(TODAY(),$AB185,Holidays)-1)&amp;" business day(s) left).")))))</f>
        <v/>
      </c>
      <c r="W185" s="17">
        <f>IF($Z185="","",CHOOSE($Z185,"Collection Email","1st Follow-up","2nd Follow-up","Local Office","CBE","Roxanne")&amp;IF($Z185=6," - Final"," - Day "&amp;MAX(0,NETWORKDAYS($AA185,TODAY(),Holidays)-1)&amp;" of "&amp;CHOOSE($Z185,3,3,2,2,3))&amp;" | Total Day "&amp;MAX(0,NETWORKDAYS($N185,TODAY(),Holidays)-1))</f>
        <v/>
      </c>
      <c r="X185" s="18"/>
      <c r="Y185" s="18"/>
      <c r="Z185" s="17">
        <f>IF($N185="","",COUNT($N185:$S185))</f>
        <v/>
      </c>
      <c r="AA185" s="19">
        <f>IF($Z185="","",INT(INDEX($N185:$S185,$Z185)))</f>
        <v/>
      </c>
      <c r="AB185" s="19">
        <f>IF(OR($Z185="",$Z185=6),"",WORKDAY($AA185,CHOOSE($Z185,3,3,2,2,3),Holidays))</f>
        <v/>
      </c>
      <c r="AC185" s="17">
        <f>IF(OR($Z185="",$Z185=6),"",CHOOSE($Z185,"1st Email Follow-up","2nd Email Follow-up","Escalate Local Office","Escalate to CBE","Escalate to Roxanne"))</f>
        <v/>
      </c>
    </row>
    <row r="186" spans="13:29">
      <c r="M186" s="14"/>
      <c r="T186" s="16"/>
      <c r="U186" s="17">
        <f>IF(AND(COUNTA($A186:$L186)=0,$N186=""),"",IF($T186="Paid","PAID",IF($T186="Closed","CLOSED",IF($Z186="","",IF($Z186=6,"ESCALATED TO ROXANNE",IF(TODAY()&gt;$AB186,"OVERDUE",IF($AB186&lt;=WORKDAY(TODAY(),1,Holidays),"DUE TOMORROW",IF($Z186=4,"ESCALATED TO LOCAL OFFICE",IF($Z186=5,"ESCALATED TO CBE",IF($AA186=TODAY(),"EMAIL SENT","MONITORING"))))))))))</f>
        <v/>
      </c>
      <c r="V186" s="17">
        <f>IF($U186="",IF(AND(COUNTA($A186:$L186)&gt;0,$N186=""),"Awaiting Collection Email time stamp.",""),IF(OR($U186="PAID",$U186="CLOSED"),IF($U186="PAID","Account paid. Action completed.","Account closed. No further action required."),CHOOSE($Z186,"Collection Email","1st Email Follow-up","2nd Email Follow-up","Escalation to Local Office","Escalation to CBE","Escalation to Roxanne")&amp;" sent "&amp;TEXT($AA186,"dd-mmm")&amp;". "&amp;IF($Z186=6,"Final escalation completed.",IF($U186="OVERDUE","Next: "&amp;$AC186&amp;" was due "&amp;TEXT($AB186,"dd-mmm")&amp;" - "&amp;(NETWORKDAYS($AB186,TODAY(),Holidays)-1)&amp;" business day(s) late. Send now.",IF($U186="DUE TOMORROW","Next: "&amp;$AC186&amp;IF($AB186&lt;=TODAY()," is due TODAY ("," is due next business day (")&amp;TEXT($AB186,"dd-mmm")&amp;").","Next: "&amp;$AC186&amp;" due "&amp;TEXT($AB186,"dd-mmm")&amp;" ("&amp;(NETWORKDAYS(TODAY(),$AB186,Holidays)-1)&amp;" business day(s) left).")))))</f>
        <v/>
      </c>
      <c r="W186" s="17">
        <f>IF($Z186="","",CHOOSE($Z186,"Collection Email","1st Follow-up","2nd Follow-up","Local Office","CBE","Roxanne")&amp;IF($Z186=6," - Final"," - Day "&amp;MAX(0,NETWORKDAYS($AA186,TODAY(),Holidays)-1)&amp;" of "&amp;CHOOSE($Z186,3,3,2,2,3))&amp;" | Total Day "&amp;MAX(0,NETWORKDAYS($N186,TODAY(),Holidays)-1))</f>
        <v/>
      </c>
      <c r="X186" s="18"/>
      <c r="Y186" s="18"/>
      <c r="Z186" s="17">
        <f>IF($N186="","",COUNT($N186:$S186))</f>
        <v/>
      </c>
      <c r="AA186" s="19">
        <f>IF($Z186="","",INT(INDEX($N186:$S186,$Z186)))</f>
        <v/>
      </c>
      <c r="AB186" s="19">
        <f>IF(OR($Z186="",$Z186=6),"",WORKDAY($AA186,CHOOSE($Z186,3,3,2,2,3),Holidays))</f>
        <v/>
      </c>
      <c r="AC186" s="17">
        <f>IF(OR($Z186="",$Z186=6),"",CHOOSE($Z186,"1st Email Follow-up","2nd Email Follow-up","Escalate Local Office","Escalate to CBE","Escalate to Roxanne"))</f>
        <v/>
      </c>
    </row>
    <row r="187" spans="13:29">
      <c r="M187" s="14"/>
      <c r="T187" s="16"/>
      <c r="U187" s="17">
        <f>IF(AND(COUNTA($A187:$L187)=0,$N187=""),"",IF($T187="Paid","PAID",IF($T187="Closed","CLOSED",IF($Z187="","",IF($Z187=6,"ESCALATED TO ROXANNE",IF(TODAY()&gt;$AB187,"OVERDUE",IF($AB187&lt;=WORKDAY(TODAY(),1,Holidays),"DUE TOMORROW",IF($Z187=4,"ESCALATED TO LOCAL OFFICE",IF($Z187=5,"ESCALATED TO CBE",IF($AA187=TODAY(),"EMAIL SENT","MONITORING"))))))))))</f>
        <v/>
      </c>
      <c r="V187" s="17">
        <f>IF($U187="",IF(AND(COUNTA($A187:$L187)&gt;0,$N187=""),"Awaiting Collection Email time stamp.",""),IF(OR($U187="PAID",$U187="CLOSED"),IF($U187="PAID","Account paid. Action completed.","Account closed. No further action required."),CHOOSE($Z187,"Collection Email","1st Email Follow-up","2nd Email Follow-up","Escalation to Local Office","Escalation to CBE","Escalation to Roxanne")&amp;" sent "&amp;TEXT($AA187,"dd-mmm")&amp;". "&amp;IF($Z187=6,"Final escalation completed.",IF($U187="OVERDUE","Next: "&amp;$AC187&amp;" was due "&amp;TEXT($AB187,"dd-mmm")&amp;" - "&amp;(NETWORKDAYS($AB187,TODAY(),Holidays)-1)&amp;" business day(s) late. Send now.",IF($U187="DUE TOMORROW","Next: "&amp;$AC187&amp;IF($AB187&lt;=TODAY()," is due TODAY ("," is due next business day (")&amp;TEXT($AB187,"dd-mmm")&amp;").","Next: "&amp;$AC187&amp;" due "&amp;TEXT($AB187,"dd-mmm")&amp;" ("&amp;(NETWORKDAYS(TODAY(),$AB187,Holidays)-1)&amp;" business day(s) left).")))))</f>
        <v/>
      </c>
      <c r="W187" s="17">
        <f>IF($Z187="","",CHOOSE($Z187,"Collection Email","1st Follow-up","2nd Follow-up","Local Office","CBE","Roxanne")&amp;IF($Z187=6," - Final"," - Day "&amp;MAX(0,NETWORKDAYS($AA187,TODAY(),Holidays)-1)&amp;" of "&amp;CHOOSE($Z187,3,3,2,2,3))&amp;" | Total Day "&amp;MAX(0,NETWORKDAYS($N187,TODAY(),Holidays)-1))</f>
        <v/>
      </c>
      <c r="X187" s="18"/>
      <c r="Y187" s="18"/>
      <c r="Z187" s="17">
        <f>IF($N187="","",COUNT($N187:$S187))</f>
        <v/>
      </c>
      <c r="AA187" s="19">
        <f>IF($Z187="","",INT(INDEX($N187:$S187,$Z187)))</f>
        <v/>
      </c>
      <c r="AB187" s="19">
        <f>IF(OR($Z187="",$Z187=6),"",WORKDAY($AA187,CHOOSE($Z187,3,3,2,2,3),Holidays))</f>
        <v/>
      </c>
      <c r="AC187" s="17">
        <f>IF(OR($Z187="",$Z187=6),"",CHOOSE($Z187,"1st Email Follow-up","2nd Email Follow-up","Escalate Local Office","Escalate to CBE","Escalate to Roxanne"))</f>
        <v/>
      </c>
    </row>
    <row r="188" spans="13:29">
      <c r="M188" s="14"/>
      <c r="T188" s="16"/>
      <c r="U188" s="17">
        <f>IF(AND(COUNTA($A188:$L188)=0,$N188=""),"",IF($T188="Paid","PAID",IF($T188="Closed","CLOSED",IF($Z188="","",IF($Z188=6,"ESCALATED TO ROXANNE",IF(TODAY()&gt;$AB188,"OVERDUE",IF($AB188&lt;=WORKDAY(TODAY(),1,Holidays),"DUE TOMORROW",IF($Z188=4,"ESCALATED TO LOCAL OFFICE",IF($Z188=5,"ESCALATED TO CBE",IF($AA188=TODAY(),"EMAIL SENT","MONITORING"))))))))))</f>
        <v/>
      </c>
      <c r="V188" s="17">
        <f>IF($U188="",IF(AND(COUNTA($A188:$L188)&gt;0,$N188=""),"Awaiting Collection Email time stamp.",""),IF(OR($U188="PAID",$U188="CLOSED"),IF($U188="PAID","Account paid. Action completed.","Account closed. No further action required."),CHOOSE($Z188,"Collection Email","1st Email Follow-up","2nd Email Follow-up","Escalation to Local Office","Escalation to CBE","Escalation to Roxanne")&amp;" sent "&amp;TEXT($AA188,"dd-mmm")&amp;". "&amp;IF($Z188=6,"Final escalation completed.",IF($U188="OVERDUE","Next: "&amp;$AC188&amp;" was due "&amp;TEXT($AB188,"dd-mmm")&amp;" - "&amp;(NETWORKDAYS($AB188,TODAY(),Holidays)-1)&amp;" business day(s) late. Send now.",IF($U188="DUE TOMORROW","Next: "&amp;$AC188&amp;IF($AB188&lt;=TODAY()," is due TODAY ("," is due next business day (")&amp;TEXT($AB188,"dd-mmm")&amp;").","Next: "&amp;$AC188&amp;" due "&amp;TEXT($AB188,"dd-mmm")&amp;" ("&amp;(NETWORKDAYS(TODAY(),$AB188,Holidays)-1)&amp;" business day(s) left).")))))</f>
        <v/>
      </c>
      <c r="W188" s="17">
        <f>IF($Z188="","",CHOOSE($Z188,"Collection Email","1st Follow-up","2nd Follow-up","Local Office","CBE","Roxanne")&amp;IF($Z188=6," - Final"," - Day "&amp;MAX(0,NETWORKDAYS($AA188,TODAY(),Holidays)-1)&amp;" of "&amp;CHOOSE($Z188,3,3,2,2,3))&amp;" | Total Day "&amp;MAX(0,NETWORKDAYS($N188,TODAY(),Holidays)-1))</f>
        <v/>
      </c>
      <c r="X188" s="18"/>
      <c r="Y188" s="18"/>
      <c r="Z188" s="17">
        <f>IF($N188="","",COUNT($N188:$S188))</f>
        <v/>
      </c>
      <c r="AA188" s="19">
        <f>IF($Z188="","",INT(INDEX($N188:$S188,$Z188)))</f>
        <v/>
      </c>
      <c r="AB188" s="19">
        <f>IF(OR($Z188="",$Z188=6),"",WORKDAY($AA188,CHOOSE($Z188,3,3,2,2,3),Holidays))</f>
        <v/>
      </c>
      <c r="AC188" s="17">
        <f>IF(OR($Z188="",$Z188=6),"",CHOOSE($Z188,"1st Email Follow-up","2nd Email Follow-up","Escalate Local Office","Escalate to CBE","Escalate to Roxanne"))</f>
        <v/>
      </c>
    </row>
    <row r="189" spans="13:29">
      <c r="M189" s="14"/>
      <c r="T189" s="16"/>
      <c r="U189" s="17">
        <f>IF(AND(COUNTA($A189:$L189)=0,$N189=""),"",IF($T189="Paid","PAID",IF($T189="Closed","CLOSED",IF($Z189="","",IF($Z189=6,"ESCALATED TO ROXANNE",IF(TODAY()&gt;$AB189,"OVERDUE",IF($AB189&lt;=WORKDAY(TODAY(),1,Holidays),"DUE TOMORROW",IF($Z189=4,"ESCALATED TO LOCAL OFFICE",IF($Z189=5,"ESCALATED TO CBE",IF($AA189=TODAY(),"EMAIL SENT","MONITORING"))))))))))</f>
        <v/>
      </c>
      <c r="V189" s="17">
        <f>IF($U189="",IF(AND(COUNTA($A189:$L189)&gt;0,$N189=""),"Awaiting Collection Email time stamp.",""),IF(OR($U189="PAID",$U189="CLOSED"),IF($U189="PAID","Account paid. Action completed.","Account closed. No further action required."),CHOOSE($Z189,"Collection Email","1st Email Follow-up","2nd Email Follow-up","Escalation to Local Office","Escalation to CBE","Escalation to Roxanne")&amp;" sent "&amp;TEXT($AA189,"dd-mmm")&amp;". "&amp;IF($Z189=6,"Final escalation completed.",IF($U189="OVERDUE","Next: "&amp;$AC189&amp;" was due "&amp;TEXT($AB189,"dd-mmm")&amp;" - "&amp;(NETWORKDAYS($AB189,TODAY(),Holidays)-1)&amp;" business day(s) late. Send now.",IF($U189="DUE TOMORROW","Next: "&amp;$AC189&amp;IF($AB189&lt;=TODAY()," is due TODAY ("," is due next business day (")&amp;TEXT($AB189,"dd-mmm")&amp;").","Next: "&amp;$AC189&amp;" due "&amp;TEXT($AB189,"dd-mmm")&amp;" ("&amp;(NETWORKDAYS(TODAY(),$AB189,Holidays)-1)&amp;" business day(s) left).")))))</f>
        <v/>
      </c>
      <c r="W189" s="17">
        <f>IF($Z189="","",CHOOSE($Z189,"Collection Email","1st Follow-up","2nd Follow-up","Local Office","CBE","Roxanne")&amp;IF($Z189=6," - Final"," - Day "&amp;MAX(0,NETWORKDAYS($AA189,TODAY(),Holidays)-1)&amp;" of "&amp;CHOOSE($Z189,3,3,2,2,3))&amp;" | Total Day "&amp;MAX(0,NETWORKDAYS($N189,TODAY(),Holidays)-1))</f>
        <v/>
      </c>
      <c r="X189" s="18"/>
      <c r="Y189" s="18"/>
      <c r="Z189" s="17">
        <f>IF($N189="","",COUNT($N189:$S189))</f>
        <v/>
      </c>
      <c r="AA189" s="19">
        <f>IF($Z189="","",INT(INDEX($N189:$S189,$Z189)))</f>
        <v/>
      </c>
      <c r="AB189" s="19">
        <f>IF(OR($Z189="",$Z189=6),"",WORKDAY($AA189,CHOOSE($Z189,3,3,2,2,3),Holidays))</f>
        <v/>
      </c>
      <c r="AC189" s="17">
        <f>IF(OR($Z189="",$Z189=6),"",CHOOSE($Z189,"1st Email Follow-up","2nd Email Follow-up","Escalate Local Office","Escalate to CBE","Escalate to Roxanne"))</f>
        <v/>
      </c>
    </row>
    <row r="190" spans="13:29">
      <c r="M190" s="14"/>
      <c r="T190" s="16"/>
      <c r="U190" s="17">
        <f>IF(AND(COUNTA($A190:$L190)=0,$N190=""),"",IF($T190="Paid","PAID",IF($T190="Closed","CLOSED",IF($Z190="","",IF($Z190=6,"ESCALATED TO ROXANNE",IF(TODAY()&gt;$AB190,"OVERDUE",IF($AB190&lt;=WORKDAY(TODAY(),1,Holidays),"DUE TOMORROW",IF($Z190=4,"ESCALATED TO LOCAL OFFICE",IF($Z190=5,"ESCALATED TO CBE",IF($AA190=TODAY(),"EMAIL SENT","MONITORING"))))))))))</f>
        <v/>
      </c>
      <c r="V190" s="17">
        <f>IF($U190="",IF(AND(COUNTA($A190:$L190)&gt;0,$N190=""),"Awaiting Collection Email time stamp.",""),IF(OR($U190="PAID",$U190="CLOSED"),IF($U190="PAID","Account paid. Action completed.","Account closed. No further action required."),CHOOSE($Z190,"Collection Email","1st Email Follow-up","2nd Email Follow-up","Escalation to Local Office","Escalation to CBE","Escalation to Roxanne")&amp;" sent "&amp;TEXT($AA190,"dd-mmm")&amp;". "&amp;IF($Z190=6,"Final escalation completed.",IF($U190="OVERDUE","Next: "&amp;$AC190&amp;" was due "&amp;TEXT($AB190,"dd-mmm")&amp;" - "&amp;(NETWORKDAYS($AB190,TODAY(),Holidays)-1)&amp;" business day(s) late. Send now.",IF($U190="DUE TOMORROW","Next: "&amp;$AC190&amp;IF($AB190&lt;=TODAY()," is due TODAY ("," is due next business day (")&amp;TEXT($AB190,"dd-mmm")&amp;").","Next: "&amp;$AC190&amp;" due "&amp;TEXT($AB190,"dd-mmm")&amp;" ("&amp;(NETWORKDAYS(TODAY(),$AB190,Holidays)-1)&amp;" business day(s) left).")))))</f>
        <v/>
      </c>
      <c r="W190" s="17">
        <f>IF($Z190="","",CHOOSE($Z190,"Collection Email","1st Follow-up","2nd Follow-up","Local Office","CBE","Roxanne")&amp;IF($Z190=6," - Final"," - Day "&amp;MAX(0,NETWORKDAYS($AA190,TODAY(),Holidays)-1)&amp;" of "&amp;CHOOSE($Z190,3,3,2,2,3))&amp;" | Total Day "&amp;MAX(0,NETWORKDAYS($N190,TODAY(),Holidays)-1))</f>
        <v/>
      </c>
      <c r="X190" s="18"/>
      <c r="Y190" s="18"/>
      <c r="Z190" s="17">
        <f>IF($N190="","",COUNT($N190:$S190))</f>
        <v/>
      </c>
      <c r="AA190" s="19">
        <f>IF($Z190="","",INT(INDEX($N190:$S190,$Z190)))</f>
        <v/>
      </c>
      <c r="AB190" s="19">
        <f>IF(OR($Z190="",$Z190=6),"",WORKDAY($AA190,CHOOSE($Z190,3,3,2,2,3),Holidays))</f>
        <v/>
      </c>
      <c r="AC190" s="17">
        <f>IF(OR($Z190="",$Z190=6),"",CHOOSE($Z190,"1st Email Follow-up","2nd Email Follow-up","Escalate Local Office","Escalate to CBE","Escalate to Roxanne"))</f>
        <v/>
      </c>
    </row>
    <row r="191" spans="13:29">
      <c r="M191" s="14"/>
      <c r="T191" s="16"/>
      <c r="U191" s="17">
        <f>IF(AND(COUNTA($A191:$L191)=0,$N191=""),"",IF($T191="Paid","PAID",IF($T191="Closed","CLOSED",IF($Z191="","",IF($Z191=6,"ESCALATED TO ROXANNE",IF(TODAY()&gt;$AB191,"OVERDUE",IF($AB191&lt;=WORKDAY(TODAY(),1,Holidays),"DUE TOMORROW",IF($Z191=4,"ESCALATED TO LOCAL OFFICE",IF($Z191=5,"ESCALATED TO CBE",IF($AA191=TODAY(),"EMAIL SENT","MONITORING"))))))))))</f>
        <v/>
      </c>
      <c r="V191" s="17">
        <f>IF($U191="",IF(AND(COUNTA($A191:$L191)&gt;0,$N191=""),"Awaiting Collection Email time stamp.",""),IF(OR($U191="PAID",$U191="CLOSED"),IF($U191="PAID","Account paid. Action completed.","Account closed. No further action required."),CHOOSE($Z191,"Collection Email","1st Email Follow-up","2nd Email Follow-up","Escalation to Local Office","Escalation to CBE","Escalation to Roxanne")&amp;" sent "&amp;TEXT($AA191,"dd-mmm")&amp;". "&amp;IF($Z191=6,"Final escalation completed.",IF($U191="OVERDUE","Next: "&amp;$AC191&amp;" was due "&amp;TEXT($AB191,"dd-mmm")&amp;" - "&amp;(NETWORKDAYS($AB191,TODAY(),Holidays)-1)&amp;" business day(s) late. Send now.",IF($U191="DUE TOMORROW","Next: "&amp;$AC191&amp;IF($AB191&lt;=TODAY()," is due TODAY ("," is due next business day (")&amp;TEXT($AB191,"dd-mmm")&amp;").","Next: "&amp;$AC191&amp;" due "&amp;TEXT($AB191,"dd-mmm")&amp;" ("&amp;(NETWORKDAYS(TODAY(),$AB191,Holidays)-1)&amp;" business day(s) left).")))))</f>
        <v/>
      </c>
      <c r="W191" s="17">
        <f>IF($Z191="","",CHOOSE($Z191,"Collection Email","1st Follow-up","2nd Follow-up","Local Office","CBE","Roxanne")&amp;IF($Z191=6," - Final"," - Day "&amp;MAX(0,NETWORKDAYS($AA191,TODAY(),Holidays)-1)&amp;" of "&amp;CHOOSE($Z191,3,3,2,2,3))&amp;" | Total Day "&amp;MAX(0,NETWORKDAYS($N191,TODAY(),Holidays)-1))</f>
        <v/>
      </c>
      <c r="X191" s="18"/>
      <c r="Y191" s="18"/>
      <c r="Z191" s="17">
        <f>IF($N191="","",COUNT($N191:$S191))</f>
        <v/>
      </c>
      <c r="AA191" s="19">
        <f>IF($Z191="","",INT(INDEX($N191:$S191,$Z191)))</f>
        <v/>
      </c>
      <c r="AB191" s="19">
        <f>IF(OR($Z191="",$Z191=6),"",WORKDAY($AA191,CHOOSE($Z191,3,3,2,2,3),Holidays))</f>
        <v/>
      </c>
      <c r="AC191" s="17">
        <f>IF(OR($Z191="",$Z191=6),"",CHOOSE($Z191,"1st Email Follow-up","2nd Email Follow-up","Escalate Local Office","Escalate to CBE","Escalate to Roxanne"))</f>
        <v/>
      </c>
    </row>
    <row r="192" spans="13:29">
      <c r="M192" s="14"/>
      <c r="T192" s="16"/>
      <c r="U192" s="17">
        <f>IF(AND(COUNTA($A192:$L192)=0,$N192=""),"",IF($T192="Paid","PAID",IF($T192="Closed","CLOSED",IF($Z192="","",IF($Z192=6,"ESCALATED TO ROXANNE",IF(TODAY()&gt;$AB192,"OVERDUE",IF($AB192&lt;=WORKDAY(TODAY(),1,Holidays),"DUE TOMORROW",IF($Z192=4,"ESCALATED TO LOCAL OFFICE",IF($Z192=5,"ESCALATED TO CBE",IF($AA192=TODAY(),"EMAIL SENT","MONITORING"))))))))))</f>
        <v/>
      </c>
      <c r="V192" s="17">
        <f>IF($U192="",IF(AND(COUNTA($A192:$L192)&gt;0,$N192=""),"Awaiting Collection Email time stamp.",""),IF(OR($U192="PAID",$U192="CLOSED"),IF($U192="PAID","Account paid. Action completed.","Account closed. No further action required."),CHOOSE($Z192,"Collection Email","1st Email Follow-up","2nd Email Follow-up","Escalation to Local Office","Escalation to CBE","Escalation to Roxanne")&amp;" sent "&amp;TEXT($AA192,"dd-mmm")&amp;". "&amp;IF($Z192=6,"Final escalation completed.",IF($U192="OVERDUE","Next: "&amp;$AC192&amp;" was due "&amp;TEXT($AB192,"dd-mmm")&amp;" - "&amp;(NETWORKDAYS($AB192,TODAY(),Holidays)-1)&amp;" business day(s) late. Send now.",IF($U192="DUE TOMORROW","Next: "&amp;$AC192&amp;IF($AB192&lt;=TODAY()," is due TODAY ("," is due next business day (")&amp;TEXT($AB192,"dd-mmm")&amp;").","Next: "&amp;$AC192&amp;" due "&amp;TEXT($AB192,"dd-mmm")&amp;" ("&amp;(NETWORKDAYS(TODAY(),$AB192,Holidays)-1)&amp;" business day(s) left).")))))</f>
        <v/>
      </c>
      <c r="W192" s="17">
        <f>IF($Z192="","",CHOOSE($Z192,"Collection Email","1st Follow-up","2nd Follow-up","Local Office","CBE","Roxanne")&amp;IF($Z192=6," - Final"," - Day "&amp;MAX(0,NETWORKDAYS($AA192,TODAY(),Holidays)-1)&amp;" of "&amp;CHOOSE($Z192,3,3,2,2,3))&amp;" | Total Day "&amp;MAX(0,NETWORKDAYS($N192,TODAY(),Holidays)-1))</f>
        <v/>
      </c>
      <c r="X192" s="18"/>
      <c r="Y192" s="18"/>
      <c r="Z192" s="17">
        <f>IF($N192="","",COUNT($N192:$S192))</f>
        <v/>
      </c>
      <c r="AA192" s="19">
        <f>IF($Z192="","",INT(INDEX($N192:$S192,$Z192)))</f>
        <v/>
      </c>
      <c r="AB192" s="19">
        <f>IF(OR($Z192="",$Z192=6),"",WORKDAY($AA192,CHOOSE($Z192,3,3,2,2,3),Holidays))</f>
        <v/>
      </c>
      <c r="AC192" s="17">
        <f>IF(OR($Z192="",$Z192=6),"",CHOOSE($Z192,"1st Email Follow-up","2nd Email Follow-up","Escalate Local Office","Escalate to CBE","Escalate to Roxanne"))</f>
        <v/>
      </c>
    </row>
    <row r="193" spans="13:29">
      <c r="M193" s="14"/>
      <c r="T193" s="16"/>
      <c r="U193" s="17">
        <f>IF(AND(COUNTA($A193:$L193)=0,$N193=""),"",IF($T193="Paid","PAID",IF($T193="Closed","CLOSED",IF($Z193="","",IF($Z193=6,"ESCALATED TO ROXANNE",IF(TODAY()&gt;$AB193,"OVERDUE",IF($AB193&lt;=WORKDAY(TODAY(),1,Holidays),"DUE TOMORROW",IF($Z193=4,"ESCALATED TO LOCAL OFFICE",IF($Z193=5,"ESCALATED TO CBE",IF($AA193=TODAY(),"EMAIL SENT","MONITORING"))))))))))</f>
        <v/>
      </c>
      <c r="V193" s="17">
        <f>IF($U193="",IF(AND(COUNTA($A193:$L193)&gt;0,$N193=""),"Awaiting Collection Email time stamp.",""),IF(OR($U193="PAID",$U193="CLOSED"),IF($U193="PAID","Account paid. Action completed.","Account closed. No further action required."),CHOOSE($Z193,"Collection Email","1st Email Follow-up","2nd Email Follow-up","Escalation to Local Office","Escalation to CBE","Escalation to Roxanne")&amp;" sent "&amp;TEXT($AA193,"dd-mmm")&amp;". "&amp;IF($Z193=6,"Final escalation completed.",IF($U193="OVERDUE","Next: "&amp;$AC193&amp;" was due "&amp;TEXT($AB193,"dd-mmm")&amp;" - "&amp;(NETWORKDAYS($AB193,TODAY(),Holidays)-1)&amp;" business day(s) late. Send now.",IF($U193="DUE TOMORROW","Next: "&amp;$AC193&amp;IF($AB193&lt;=TODAY()," is due TODAY ("," is due next business day (")&amp;TEXT($AB193,"dd-mmm")&amp;").","Next: "&amp;$AC193&amp;" due "&amp;TEXT($AB193,"dd-mmm")&amp;" ("&amp;(NETWORKDAYS(TODAY(),$AB193,Holidays)-1)&amp;" business day(s) left).")))))</f>
        <v/>
      </c>
      <c r="W193" s="17">
        <f>IF($Z193="","",CHOOSE($Z193,"Collection Email","1st Follow-up","2nd Follow-up","Local Office","CBE","Roxanne")&amp;IF($Z193=6," - Final"," - Day "&amp;MAX(0,NETWORKDAYS($AA193,TODAY(),Holidays)-1)&amp;" of "&amp;CHOOSE($Z193,3,3,2,2,3))&amp;" | Total Day "&amp;MAX(0,NETWORKDAYS($N193,TODAY(),Holidays)-1))</f>
        <v/>
      </c>
      <c r="X193" s="18"/>
      <c r="Y193" s="18"/>
      <c r="Z193" s="17">
        <f>IF($N193="","",COUNT($N193:$S193))</f>
        <v/>
      </c>
      <c r="AA193" s="19">
        <f>IF($Z193="","",INT(INDEX($N193:$S193,$Z193)))</f>
        <v/>
      </c>
      <c r="AB193" s="19">
        <f>IF(OR($Z193="",$Z193=6),"",WORKDAY($AA193,CHOOSE($Z193,3,3,2,2,3),Holidays))</f>
        <v/>
      </c>
      <c r="AC193" s="17">
        <f>IF(OR($Z193="",$Z193=6),"",CHOOSE($Z193,"1st Email Follow-up","2nd Email Follow-up","Escalate Local Office","Escalate to CBE","Escalate to Roxanne"))</f>
        <v/>
      </c>
    </row>
    <row r="194" spans="13:29">
      <c r="M194" s="14"/>
      <c r="T194" s="16"/>
      <c r="U194" s="17">
        <f>IF(AND(COUNTA($A194:$L194)=0,$N194=""),"",IF($T194="Paid","PAID",IF($T194="Closed","CLOSED",IF($Z194="","",IF($Z194=6,"ESCALATED TO ROXANNE",IF(TODAY()&gt;$AB194,"OVERDUE",IF($AB194&lt;=WORKDAY(TODAY(),1,Holidays),"DUE TOMORROW",IF($Z194=4,"ESCALATED TO LOCAL OFFICE",IF($Z194=5,"ESCALATED TO CBE",IF($AA194=TODAY(),"EMAIL SENT","MONITORING"))))))))))</f>
        <v/>
      </c>
      <c r="V194" s="17">
        <f>IF($U194="",IF(AND(COUNTA($A194:$L194)&gt;0,$N194=""),"Awaiting Collection Email time stamp.",""),IF(OR($U194="PAID",$U194="CLOSED"),IF($U194="PAID","Account paid. Action completed.","Account closed. No further action required."),CHOOSE($Z194,"Collection Email","1st Email Follow-up","2nd Email Follow-up","Escalation to Local Office","Escalation to CBE","Escalation to Roxanne")&amp;" sent "&amp;TEXT($AA194,"dd-mmm")&amp;". "&amp;IF($Z194=6,"Final escalation completed.",IF($U194="OVERDUE","Next: "&amp;$AC194&amp;" was due "&amp;TEXT($AB194,"dd-mmm")&amp;" - "&amp;(NETWORKDAYS($AB194,TODAY(),Holidays)-1)&amp;" business day(s) late. Send now.",IF($U194="DUE TOMORROW","Next: "&amp;$AC194&amp;IF($AB194&lt;=TODAY()," is due TODAY ("," is due next business day (")&amp;TEXT($AB194,"dd-mmm")&amp;").","Next: "&amp;$AC194&amp;" due "&amp;TEXT($AB194,"dd-mmm")&amp;" ("&amp;(NETWORKDAYS(TODAY(),$AB194,Holidays)-1)&amp;" business day(s) left).")))))</f>
        <v/>
      </c>
      <c r="W194" s="17">
        <f>IF($Z194="","",CHOOSE($Z194,"Collection Email","1st Follow-up","2nd Follow-up","Local Office","CBE","Roxanne")&amp;IF($Z194=6," - Final"," - Day "&amp;MAX(0,NETWORKDAYS($AA194,TODAY(),Holidays)-1)&amp;" of "&amp;CHOOSE($Z194,3,3,2,2,3))&amp;" | Total Day "&amp;MAX(0,NETWORKDAYS($N194,TODAY(),Holidays)-1))</f>
        <v/>
      </c>
      <c r="X194" s="18"/>
      <c r="Y194" s="18"/>
      <c r="Z194" s="17">
        <f>IF($N194="","",COUNT($N194:$S194))</f>
        <v/>
      </c>
      <c r="AA194" s="19">
        <f>IF($Z194="","",INT(INDEX($N194:$S194,$Z194)))</f>
        <v/>
      </c>
      <c r="AB194" s="19">
        <f>IF(OR($Z194="",$Z194=6),"",WORKDAY($AA194,CHOOSE($Z194,3,3,2,2,3),Holidays))</f>
        <v/>
      </c>
      <c r="AC194" s="17">
        <f>IF(OR($Z194="",$Z194=6),"",CHOOSE($Z194,"1st Email Follow-up","2nd Email Follow-up","Escalate Local Office","Escalate to CBE","Escalate to Roxanne"))</f>
        <v/>
      </c>
    </row>
    <row r="195" spans="13:29">
      <c r="M195" s="14"/>
      <c r="T195" s="16"/>
      <c r="U195" s="17">
        <f>IF(AND(COUNTA($A195:$L195)=0,$N195=""),"",IF($T195="Paid","PAID",IF($T195="Closed","CLOSED",IF($Z195="","",IF($Z195=6,"ESCALATED TO ROXANNE",IF(TODAY()&gt;$AB195,"OVERDUE",IF($AB195&lt;=WORKDAY(TODAY(),1,Holidays),"DUE TOMORROW",IF($Z195=4,"ESCALATED TO LOCAL OFFICE",IF($Z195=5,"ESCALATED TO CBE",IF($AA195=TODAY(),"EMAIL SENT","MONITORING"))))))))))</f>
        <v/>
      </c>
      <c r="V195" s="17">
        <f>IF($U195="",IF(AND(COUNTA($A195:$L195)&gt;0,$N195=""),"Awaiting Collection Email time stamp.",""),IF(OR($U195="PAID",$U195="CLOSED"),IF($U195="PAID","Account paid. Action completed.","Account closed. No further action required."),CHOOSE($Z195,"Collection Email","1st Email Follow-up","2nd Email Follow-up","Escalation to Local Office","Escalation to CBE","Escalation to Roxanne")&amp;" sent "&amp;TEXT($AA195,"dd-mmm")&amp;". "&amp;IF($Z195=6,"Final escalation completed.",IF($U195="OVERDUE","Next: "&amp;$AC195&amp;" was due "&amp;TEXT($AB195,"dd-mmm")&amp;" - "&amp;(NETWORKDAYS($AB195,TODAY(),Holidays)-1)&amp;" business day(s) late. Send now.",IF($U195="DUE TOMORROW","Next: "&amp;$AC195&amp;IF($AB195&lt;=TODAY()," is due TODAY ("," is due next business day (")&amp;TEXT($AB195,"dd-mmm")&amp;").","Next: "&amp;$AC195&amp;" due "&amp;TEXT($AB195,"dd-mmm")&amp;" ("&amp;(NETWORKDAYS(TODAY(),$AB195,Holidays)-1)&amp;" business day(s) left).")))))</f>
        <v/>
      </c>
      <c r="W195" s="17">
        <f>IF($Z195="","",CHOOSE($Z195,"Collection Email","1st Follow-up","2nd Follow-up","Local Office","CBE","Roxanne")&amp;IF($Z195=6," - Final"," - Day "&amp;MAX(0,NETWORKDAYS($AA195,TODAY(),Holidays)-1)&amp;" of "&amp;CHOOSE($Z195,3,3,2,2,3))&amp;" | Total Day "&amp;MAX(0,NETWORKDAYS($N195,TODAY(),Holidays)-1))</f>
        <v/>
      </c>
      <c r="X195" s="18"/>
      <c r="Y195" s="18"/>
      <c r="Z195" s="17">
        <f>IF($N195="","",COUNT($N195:$S195))</f>
        <v/>
      </c>
      <c r="AA195" s="19">
        <f>IF($Z195="","",INT(INDEX($N195:$S195,$Z195)))</f>
        <v/>
      </c>
      <c r="AB195" s="19">
        <f>IF(OR($Z195="",$Z195=6),"",WORKDAY($AA195,CHOOSE($Z195,3,3,2,2,3),Holidays))</f>
        <v/>
      </c>
      <c r="AC195" s="17">
        <f>IF(OR($Z195="",$Z195=6),"",CHOOSE($Z195,"1st Email Follow-up","2nd Email Follow-up","Escalate Local Office","Escalate to CBE","Escalate to Roxanne"))</f>
        <v/>
      </c>
    </row>
    <row r="196" spans="13:29">
      <c r="M196" s="14"/>
      <c r="T196" s="16"/>
      <c r="U196" s="17">
        <f>IF(AND(COUNTA($A196:$L196)=0,$N196=""),"",IF($T196="Paid","PAID",IF($T196="Closed","CLOSED",IF($Z196="","",IF($Z196=6,"ESCALATED TO ROXANNE",IF(TODAY()&gt;$AB196,"OVERDUE",IF($AB196&lt;=WORKDAY(TODAY(),1,Holidays),"DUE TOMORROW",IF($Z196=4,"ESCALATED TO LOCAL OFFICE",IF($Z196=5,"ESCALATED TO CBE",IF($AA196=TODAY(),"EMAIL SENT","MONITORING"))))))))))</f>
        <v/>
      </c>
      <c r="V196" s="17">
        <f>IF($U196="",IF(AND(COUNTA($A196:$L196)&gt;0,$N196=""),"Awaiting Collection Email time stamp.",""),IF(OR($U196="PAID",$U196="CLOSED"),IF($U196="PAID","Account paid. Action completed.","Account closed. No further action required."),CHOOSE($Z196,"Collection Email","1st Email Follow-up","2nd Email Follow-up","Escalation to Local Office","Escalation to CBE","Escalation to Roxanne")&amp;" sent "&amp;TEXT($AA196,"dd-mmm")&amp;". "&amp;IF($Z196=6,"Final escalation completed.",IF($U196="OVERDUE","Next: "&amp;$AC196&amp;" was due "&amp;TEXT($AB196,"dd-mmm")&amp;" - "&amp;(NETWORKDAYS($AB196,TODAY(),Holidays)-1)&amp;" business day(s) late. Send now.",IF($U196="DUE TOMORROW","Next: "&amp;$AC196&amp;IF($AB196&lt;=TODAY()," is due TODAY ("," is due next business day (")&amp;TEXT($AB196,"dd-mmm")&amp;").","Next: "&amp;$AC196&amp;" due "&amp;TEXT($AB196,"dd-mmm")&amp;" ("&amp;(NETWORKDAYS(TODAY(),$AB196,Holidays)-1)&amp;" business day(s) left).")))))</f>
        <v/>
      </c>
      <c r="W196" s="17">
        <f>IF($Z196="","",CHOOSE($Z196,"Collection Email","1st Follow-up","2nd Follow-up","Local Office","CBE","Roxanne")&amp;IF($Z196=6," - Final"," - Day "&amp;MAX(0,NETWORKDAYS($AA196,TODAY(),Holidays)-1)&amp;" of "&amp;CHOOSE($Z196,3,3,2,2,3))&amp;" | Total Day "&amp;MAX(0,NETWORKDAYS($N196,TODAY(),Holidays)-1))</f>
        <v/>
      </c>
      <c r="X196" s="18"/>
      <c r="Y196" s="18"/>
      <c r="Z196" s="17">
        <f>IF($N196="","",COUNT($N196:$S196))</f>
        <v/>
      </c>
      <c r="AA196" s="19">
        <f>IF($Z196="","",INT(INDEX($N196:$S196,$Z196)))</f>
        <v/>
      </c>
      <c r="AB196" s="19">
        <f>IF(OR($Z196="",$Z196=6),"",WORKDAY($AA196,CHOOSE($Z196,3,3,2,2,3),Holidays))</f>
        <v/>
      </c>
      <c r="AC196" s="17">
        <f>IF(OR($Z196="",$Z196=6),"",CHOOSE($Z196,"1st Email Follow-up","2nd Email Follow-up","Escalate Local Office","Escalate to CBE","Escalate to Roxanne"))</f>
        <v/>
      </c>
    </row>
    <row r="197" spans="13:29">
      <c r="M197" s="14"/>
      <c r="T197" s="16"/>
      <c r="U197" s="17">
        <f>IF(AND(COUNTA($A197:$L197)=0,$N197=""),"",IF($T197="Paid","PAID",IF($T197="Closed","CLOSED",IF($Z197="","",IF($Z197=6,"ESCALATED TO ROXANNE",IF(TODAY()&gt;$AB197,"OVERDUE",IF($AB197&lt;=WORKDAY(TODAY(),1,Holidays),"DUE TOMORROW",IF($Z197=4,"ESCALATED TO LOCAL OFFICE",IF($Z197=5,"ESCALATED TO CBE",IF($AA197=TODAY(),"EMAIL SENT","MONITORING"))))))))))</f>
        <v/>
      </c>
      <c r="V197" s="17">
        <f>IF($U197="",IF(AND(COUNTA($A197:$L197)&gt;0,$N197=""),"Awaiting Collection Email time stamp.",""),IF(OR($U197="PAID",$U197="CLOSED"),IF($U197="PAID","Account paid. Action completed.","Account closed. No further action required."),CHOOSE($Z197,"Collection Email","1st Email Follow-up","2nd Email Follow-up","Escalation to Local Office","Escalation to CBE","Escalation to Roxanne")&amp;" sent "&amp;TEXT($AA197,"dd-mmm")&amp;". "&amp;IF($Z197=6,"Final escalation completed.",IF($U197="OVERDUE","Next: "&amp;$AC197&amp;" was due "&amp;TEXT($AB197,"dd-mmm")&amp;" - "&amp;(NETWORKDAYS($AB197,TODAY(),Holidays)-1)&amp;" business day(s) late. Send now.",IF($U197="DUE TOMORROW","Next: "&amp;$AC197&amp;IF($AB197&lt;=TODAY()," is due TODAY ("," is due next business day (")&amp;TEXT($AB197,"dd-mmm")&amp;").","Next: "&amp;$AC197&amp;" due "&amp;TEXT($AB197,"dd-mmm")&amp;" ("&amp;(NETWORKDAYS(TODAY(),$AB197,Holidays)-1)&amp;" business day(s) left).")))))</f>
        <v/>
      </c>
      <c r="W197" s="17">
        <f>IF($Z197="","",CHOOSE($Z197,"Collection Email","1st Follow-up","2nd Follow-up","Local Office","CBE","Roxanne")&amp;IF($Z197=6," - Final"," - Day "&amp;MAX(0,NETWORKDAYS($AA197,TODAY(),Holidays)-1)&amp;" of "&amp;CHOOSE($Z197,3,3,2,2,3))&amp;" | Total Day "&amp;MAX(0,NETWORKDAYS($N197,TODAY(),Holidays)-1))</f>
        <v/>
      </c>
      <c r="X197" s="18"/>
      <c r="Y197" s="18"/>
      <c r="Z197" s="17">
        <f>IF($N197="","",COUNT($N197:$S197))</f>
        <v/>
      </c>
      <c r="AA197" s="19">
        <f>IF($Z197="","",INT(INDEX($N197:$S197,$Z197)))</f>
        <v/>
      </c>
      <c r="AB197" s="19">
        <f>IF(OR($Z197="",$Z197=6),"",WORKDAY($AA197,CHOOSE($Z197,3,3,2,2,3),Holidays))</f>
        <v/>
      </c>
      <c r="AC197" s="17">
        <f>IF(OR($Z197="",$Z197=6),"",CHOOSE($Z197,"1st Email Follow-up","2nd Email Follow-up","Escalate Local Office","Escalate to CBE","Escalate to Roxanne"))</f>
        <v/>
      </c>
    </row>
    <row r="198" spans="13:29">
      <c r="M198" s="14"/>
      <c r="T198" s="16"/>
      <c r="U198" s="17">
        <f>IF(AND(COUNTA($A198:$L198)=0,$N198=""),"",IF($T198="Paid","PAID",IF($T198="Closed","CLOSED",IF($Z198="","",IF($Z198=6,"ESCALATED TO ROXANNE",IF(TODAY()&gt;$AB198,"OVERDUE",IF($AB198&lt;=WORKDAY(TODAY(),1,Holidays),"DUE TOMORROW",IF($Z198=4,"ESCALATED TO LOCAL OFFICE",IF($Z198=5,"ESCALATED TO CBE",IF($AA198=TODAY(),"EMAIL SENT","MONITORING"))))))))))</f>
        <v/>
      </c>
      <c r="V198" s="17">
        <f>IF($U198="",IF(AND(COUNTA($A198:$L198)&gt;0,$N198=""),"Awaiting Collection Email time stamp.",""),IF(OR($U198="PAID",$U198="CLOSED"),IF($U198="PAID","Account paid. Action completed.","Account closed. No further action required."),CHOOSE($Z198,"Collection Email","1st Email Follow-up","2nd Email Follow-up","Escalation to Local Office","Escalation to CBE","Escalation to Roxanne")&amp;" sent "&amp;TEXT($AA198,"dd-mmm")&amp;". "&amp;IF($Z198=6,"Final escalation completed.",IF($U198="OVERDUE","Next: "&amp;$AC198&amp;" was due "&amp;TEXT($AB198,"dd-mmm")&amp;" - "&amp;(NETWORKDAYS($AB198,TODAY(),Holidays)-1)&amp;" business day(s) late. Send now.",IF($U198="DUE TOMORROW","Next: "&amp;$AC198&amp;IF($AB198&lt;=TODAY()," is due TODAY ("," is due next business day (")&amp;TEXT($AB198,"dd-mmm")&amp;").","Next: "&amp;$AC198&amp;" due "&amp;TEXT($AB198,"dd-mmm")&amp;" ("&amp;(NETWORKDAYS(TODAY(),$AB198,Holidays)-1)&amp;" business day(s) left).")))))</f>
        <v/>
      </c>
      <c r="W198" s="17">
        <f>IF($Z198="","",CHOOSE($Z198,"Collection Email","1st Follow-up","2nd Follow-up","Local Office","CBE","Roxanne")&amp;IF($Z198=6," - Final"," - Day "&amp;MAX(0,NETWORKDAYS($AA198,TODAY(),Holidays)-1)&amp;" of "&amp;CHOOSE($Z198,3,3,2,2,3))&amp;" | Total Day "&amp;MAX(0,NETWORKDAYS($N198,TODAY(),Holidays)-1))</f>
        <v/>
      </c>
      <c r="X198" s="18"/>
      <c r="Y198" s="18"/>
      <c r="Z198" s="17">
        <f>IF($N198="","",COUNT($N198:$S198))</f>
        <v/>
      </c>
      <c r="AA198" s="19">
        <f>IF($Z198="","",INT(INDEX($N198:$S198,$Z198)))</f>
        <v/>
      </c>
      <c r="AB198" s="19">
        <f>IF(OR($Z198="",$Z198=6),"",WORKDAY($AA198,CHOOSE($Z198,3,3,2,2,3),Holidays))</f>
        <v/>
      </c>
      <c r="AC198" s="17">
        <f>IF(OR($Z198="",$Z198=6),"",CHOOSE($Z198,"1st Email Follow-up","2nd Email Follow-up","Escalate Local Office","Escalate to CBE","Escalate to Roxanne"))</f>
        <v/>
      </c>
    </row>
    <row r="199" spans="13:29">
      <c r="M199" s="14"/>
      <c r="T199" s="16"/>
      <c r="U199" s="17">
        <f>IF(AND(COUNTA($A199:$L199)=0,$N199=""),"",IF($T199="Paid","PAID",IF($T199="Closed","CLOSED",IF($Z199="","",IF($Z199=6,"ESCALATED TO ROXANNE",IF(TODAY()&gt;$AB199,"OVERDUE",IF($AB199&lt;=WORKDAY(TODAY(),1,Holidays),"DUE TOMORROW",IF($Z199=4,"ESCALATED TO LOCAL OFFICE",IF($Z199=5,"ESCALATED TO CBE",IF($AA199=TODAY(),"EMAIL SENT","MONITORING"))))))))))</f>
        <v/>
      </c>
      <c r="V199" s="17">
        <f>IF($U199="",IF(AND(COUNTA($A199:$L199)&gt;0,$N199=""),"Awaiting Collection Email time stamp.",""),IF(OR($U199="PAID",$U199="CLOSED"),IF($U199="PAID","Account paid. Action completed.","Account closed. No further action required."),CHOOSE($Z199,"Collection Email","1st Email Follow-up","2nd Email Follow-up","Escalation to Local Office","Escalation to CBE","Escalation to Roxanne")&amp;" sent "&amp;TEXT($AA199,"dd-mmm")&amp;". "&amp;IF($Z199=6,"Final escalation completed.",IF($U199="OVERDUE","Next: "&amp;$AC199&amp;" was due "&amp;TEXT($AB199,"dd-mmm")&amp;" - "&amp;(NETWORKDAYS($AB199,TODAY(),Holidays)-1)&amp;" business day(s) late. Send now.",IF($U199="DUE TOMORROW","Next: "&amp;$AC199&amp;IF($AB199&lt;=TODAY()," is due TODAY ("," is due next business day (")&amp;TEXT($AB199,"dd-mmm")&amp;").","Next: "&amp;$AC199&amp;" due "&amp;TEXT($AB199,"dd-mmm")&amp;" ("&amp;(NETWORKDAYS(TODAY(),$AB199,Holidays)-1)&amp;" business day(s) left).")))))</f>
        <v/>
      </c>
      <c r="W199" s="17">
        <f>IF($Z199="","",CHOOSE($Z199,"Collection Email","1st Follow-up","2nd Follow-up","Local Office","CBE","Roxanne")&amp;IF($Z199=6," - Final"," - Day "&amp;MAX(0,NETWORKDAYS($AA199,TODAY(),Holidays)-1)&amp;" of "&amp;CHOOSE($Z199,3,3,2,2,3))&amp;" | Total Day "&amp;MAX(0,NETWORKDAYS($N199,TODAY(),Holidays)-1))</f>
        <v/>
      </c>
      <c r="X199" s="18"/>
      <c r="Y199" s="18"/>
      <c r="Z199" s="17">
        <f>IF($N199="","",COUNT($N199:$S199))</f>
        <v/>
      </c>
      <c r="AA199" s="19">
        <f>IF($Z199="","",INT(INDEX($N199:$S199,$Z199)))</f>
        <v/>
      </c>
      <c r="AB199" s="19">
        <f>IF(OR($Z199="",$Z199=6),"",WORKDAY($AA199,CHOOSE($Z199,3,3,2,2,3),Holidays))</f>
        <v/>
      </c>
      <c r="AC199" s="17">
        <f>IF(OR($Z199="",$Z199=6),"",CHOOSE($Z199,"1st Email Follow-up","2nd Email Follow-up","Escalate Local Office","Escalate to CBE","Escalate to Roxanne"))</f>
        <v/>
      </c>
    </row>
    <row r="200" spans="13:29">
      <c r="M200" s="14"/>
      <c r="T200" s="16"/>
      <c r="U200" s="17">
        <f>IF(AND(COUNTA($A200:$L200)=0,$N200=""),"",IF($T200="Paid","PAID",IF($T200="Closed","CLOSED",IF($Z200="","",IF($Z200=6,"ESCALATED TO ROXANNE",IF(TODAY()&gt;$AB200,"OVERDUE",IF($AB200&lt;=WORKDAY(TODAY(),1,Holidays),"DUE TOMORROW",IF($Z200=4,"ESCALATED TO LOCAL OFFICE",IF($Z200=5,"ESCALATED TO CBE",IF($AA200=TODAY(),"EMAIL SENT","MONITORING"))))))))))</f>
        <v/>
      </c>
      <c r="V200" s="17">
        <f>IF($U200="",IF(AND(COUNTA($A200:$L200)&gt;0,$N200=""),"Awaiting Collection Email time stamp.",""),IF(OR($U200="PAID",$U200="CLOSED"),IF($U200="PAID","Account paid. Action completed.","Account closed. No further action required."),CHOOSE($Z200,"Collection Email","1st Email Follow-up","2nd Email Follow-up","Escalation to Local Office","Escalation to CBE","Escalation to Roxanne")&amp;" sent "&amp;TEXT($AA200,"dd-mmm")&amp;". "&amp;IF($Z200=6,"Final escalation completed.",IF($U200="OVERDUE","Next: "&amp;$AC200&amp;" was due "&amp;TEXT($AB200,"dd-mmm")&amp;" - "&amp;(NETWORKDAYS($AB200,TODAY(),Holidays)-1)&amp;" business day(s) late. Send now.",IF($U200="DUE TOMORROW","Next: "&amp;$AC200&amp;IF($AB200&lt;=TODAY()," is due TODAY ("," is due next business day (")&amp;TEXT($AB200,"dd-mmm")&amp;").","Next: "&amp;$AC200&amp;" due "&amp;TEXT($AB200,"dd-mmm")&amp;" ("&amp;(NETWORKDAYS(TODAY(),$AB200,Holidays)-1)&amp;" business day(s) left).")))))</f>
        <v/>
      </c>
      <c r="W200" s="17">
        <f>IF($Z200="","",CHOOSE($Z200,"Collection Email","1st Follow-up","2nd Follow-up","Local Office","CBE","Roxanne")&amp;IF($Z200=6," - Final"," - Day "&amp;MAX(0,NETWORKDAYS($AA200,TODAY(),Holidays)-1)&amp;" of "&amp;CHOOSE($Z200,3,3,2,2,3))&amp;" | Total Day "&amp;MAX(0,NETWORKDAYS($N200,TODAY(),Holidays)-1))</f>
        <v/>
      </c>
      <c r="X200" s="18"/>
      <c r="Y200" s="18"/>
      <c r="Z200" s="17">
        <f>IF($N200="","",COUNT($N200:$S200))</f>
        <v/>
      </c>
      <c r="AA200" s="19">
        <f>IF($Z200="","",INT(INDEX($N200:$S200,$Z200)))</f>
        <v/>
      </c>
      <c r="AB200" s="19">
        <f>IF(OR($Z200="",$Z200=6),"",WORKDAY($AA200,CHOOSE($Z200,3,3,2,2,3),Holidays))</f>
        <v/>
      </c>
      <c r="AC200" s="17">
        <f>IF(OR($Z200="",$Z200=6),"",CHOOSE($Z200,"1st Email Follow-up","2nd Email Follow-up","Escalate Local Office","Escalate to CBE","Escalate to Roxanne"))</f>
        <v/>
      </c>
    </row>
    <row r="201" spans="13:29">
      <c r="M201" s="14"/>
      <c r="T201" s="16"/>
      <c r="U201" s="17">
        <f>IF(AND(COUNTA($A201:$L201)=0,$N201=""),"",IF($T201="Paid","PAID",IF($T201="Closed","CLOSED",IF($Z201="","",IF($Z201=6,"ESCALATED TO ROXANNE",IF(TODAY()&gt;$AB201,"OVERDUE",IF($AB201&lt;=WORKDAY(TODAY(),1,Holidays),"DUE TOMORROW",IF($Z201=4,"ESCALATED TO LOCAL OFFICE",IF($Z201=5,"ESCALATED TO CBE",IF($AA201=TODAY(),"EMAIL SENT","MONITORING"))))))))))</f>
        <v/>
      </c>
      <c r="V201" s="17">
        <f>IF($U201="",IF(AND(COUNTA($A201:$L201)&gt;0,$N201=""),"Awaiting Collection Email time stamp.",""),IF(OR($U201="PAID",$U201="CLOSED"),IF($U201="PAID","Account paid. Action completed.","Account closed. No further action required."),CHOOSE($Z201,"Collection Email","1st Email Follow-up","2nd Email Follow-up","Escalation to Local Office","Escalation to CBE","Escalation to Roxanne")&amp;" sent "&amp;TEXT($AA201,"dd-mmm")&amp;". "&amp;IF($Z201=6,"Final escalation completed.",IF($U201="OVERDUE","Next: "&amp;$AC201&amp;" was due "&amp;TEXT($AB201,"dd-mmm")&amp;" - "&amp;(NETWORKDAYS($AB201,TODAY(),Holidays)-1)&amp;" business day(s) late. Send now.",IF($U201="DUE TOMORROW","Next: "&amp;$AC201&amp;IF($AB201&lt;=TODAY()," is due TODAY ("," is due next business day (")&amp;TEXT($AB201,"dd-mmm")&amp;").","Next: "&amp;$AC201&amp;" due "&amp;TEXT($AB201,"dd-mmm")&amp;" ("&amp;(NETWORKDAYS(TODAY(),$AB201,Holidays)-1)&amp;" business day(s) left).")))))</f>
        <v/>
      </c>
      <c r="W201" s="17">
        <f>IF($Z201="","",CHOOSE($Z201,"Collection Email","1st Follow-up","2nd Follow-up","Local Office","CBE","Roxanne")&amp;IF($Z201=6," - Final"," - Day "&amp;MAX(0,NETWORKDAYS($AA201,TODAY(),Holidays)-1)&amp;" of "&amp;CHOOSE($Z201,3,3,2,2,3))&amp;" | Total Day "&amp;MAX(0,NETWORKDAYS($N201,TODAY(),Holidays)-1))</f>
        <v/>
      </c>
      <c r="X201" s="18"/>
      <c r="Y201" s="18"/>
      <c r="Z201" s="17">
        <f>IF($N201="","",COUNT($N201:$S201))</f>
        <v/>
      </c>
      <c r="AA201" s="19">
        <f>IF($Z201="","",INT(INDEX($N201:$S201,$Z201)))</f>
        <v/>
      </c>
      <c r="AB201" s="19">
        <f>IF(OR($Z201="",$Z201=6),"",WORKDAY($AA201,CHOOSE($Z201,3,3,2,2,3),Holidays))</f>
        <v/>
      </c>
      <c r="AC201" s="17">
        <f>IF(OR($Z201="",$Z201=6),"",CHOOSE($Z201,"1st Email Follow-up","2nd Email Follow-up","Escalate Local Office","Escalate to CBE","Escalate to Roxanne"))</f>
        <v/>
      </c>
    </row>
    <row r="202" spans="13:29">
      <c r="M202" s="14"/>
      <c r="T202" s="16"/>
      <c r="U202" s="17">
        <f>IF(AND(COUNTA($A202:$L202)=0,$N202=""),"",IF($T202="Paid","PAID",IF($T202="Closed","CLOSED",IF($Z202="","",IF($Z202=6,"ESCALATED TO ROXANNE",IF(TODAY()&gt;$AB202,"OVERDUE",IF($AB202&lt;=WORKDAY(TODAY(),1,Holidays),"DUE TOMORROW",IF($Z202=4,"ESCALATED TO LOCAL OFFICE",IF($Z202=5,"ESCALATED TO CBE",IF($AA202=TODAY(),"EMAIL SENT","MONITORING"))))))))))</f>
        <v/>
      </c>
      <c r="V202" s="17">
        <f>IF($U202="",IF(AND(COUNTA($A202:$L202)&gt;0,$N202=""),"Awaiting Collection Email time stamp.",""),IF(OR($U202="PAID",$U202="CLOSED"),IF($U202="PAID","Account paid. Action completed.","Account closed. No further action required."),CHOOSE($Z202,"Collection Email","1st Email Follow-up","2nd Email Follow-up","Escalation to Local Office","Escalation to CBE","Escalation to Roxanne")&amp;" sent "&amp;TEXT($AA202,"dd-mmm")&amp;". "&amp;IF($Z202=6,"Final escalation completed.",IF($U202="OVERDUE","Next: "&amp;$AC202&amp;" was due "&amp;TEXT($AB202,"dd-mmm")&amp;" - "&amp;(NETWORKDAYS($AB202,TODAY(),Holidays)-1)&amp;" business day(s) late. Send now.",IF($U202="DUE TOMORROW","Next: "&amp;$AC202&amp;IF($AB202&lt;=TODAY()," is due TODAY ("," is due next business day (")&amp;TEXT($AB202,"dd-mmm")&amp;").","Next: "&amp;$AC202&amp;" due "&amp;TEXT($AB202,"dd-mmm")&amp;" ("&amp;(NETWORKDAYS(TODAY(),$AB202,Holidays)-1)&amp;" business day(s) left).")))))</f>
        <v/>
      </c>
      <c r="W202" s="17">
        <f>IF($Z202="","",CHOOSE($Z202,"Collection Email","1st Follow-up","2nd Follow-up","Local Office","CBE","Roxanne")&amp;IF($Z202=6," - Final"," - Day "&amp;MAX(0,NETWORKDAYS($AA202,TODAY(),Holidays)-1)&amp;" of "&amp;CHOOSE($Z202,3,3,2,2,3))&amp;" | Total Day "&amp;MAX(0,NETWORKDAYS($N202,TODAY(),Holidays)-1))</f>
        <v/>
      </c>
      <c r="X202" s="18"/>
      <c r="Y202" s="18"/>
      <c r="Z202" s="17">
        <f>IF($N202="","",COUNT($N202:$S202))</f>
        <v/>
      </c>
      <c r="AA202" s="19">
        <f>IF($Z202="","",INT(INDEX($N202:$S202,$Z202)))</f>
        <v/>
      </c>
      <c r="AB202" s="19">
        <f>IF(OR($Z202="",$Z202=6),"",WORKDAY($AA202,CHOOSE($Z202,3,3,2,2,3),Holidays))</f>
        <v/>
      </c>
      <c r="AC202" s="17">
        <f>IF(OR($Z202="",$Z202=6),"",CHOOSE($Z202,"1st Email Follow-up","2nd Email Follow-up","Escalate Local Office","Escalate to CBE","Escalate to Roxanne"))</f>
        <v/>
      </c>
    </row>
    <row r="203" spans="13:29">
      <c r="M203" s="14"/>
      <c r="T203" s="16"/>
      <c r="U203" s="17">
        <f>IF(AND(COUNTA($A203:$L203)=0,$N203=""),"",IF($T203="Paid","PAID",IF($T203="Closed","CLOSED",IF($Z203="","",IF($Z203=6,"ESCALATED TO ROXANNE",IF(TODAY()&gt;$AB203,"OVERDUE",IF($AB203&lt;=WORKDAY(TODAY(),1,Holidays),"DUE TOMORROW",IF($Z203=4,"ESCALATED TO LOCAL OFFICE",IF($Z203=5,"ESCALATED TO CBE",IF($AA203=TODAY(),"EMAIL SENT","MONITORING"))))))))))</f>
        <v/>
      </c>
      <c r="V203" s="17">
        <f>IF($U203="",IF(AND(COUNTA($A203:$L203)&gt;0,$N203=""),"Awaiting Collection Email time stamp.",""),IF(OR($U203="PAID",$U203="CLOSED"),IF($U203="PAID","Account paid. Action completed.","Account closed. No further action required."),CHOOSE($Z203,"Collection Email","1st Email Follow-up","2nd Email Follow-up","Escalation to Local Office","Escalation to CBE","Escalation to Roxanne")&amp;" sent "&amp;TEXT($AA203,"dd-mmm")&amp;". "&amp;IF($Z203=6,"Final escalation completed.",IF($U203="OVERDUE","Next: "&amp;$AC203&amp;" was due "&amp;TEXT($AB203,"dd-mmm")&amp;" - "&amp;(NETWORKDAYS($AB203,TODAY(),Holidays)-1)&amp;" business day(s) late. Send now.",IF($U203="DUE TOMORROW","Next: "&amp;$AC203&amp;IF($AB203&lt;=TODAY()," is due TODAY ("," is due next business day (")&amp;TEXT($AB203,"dd-mmm")&amp;").","Next: "&amp;$AC203&amp;" due "&amp;TEXT($AB203,"dd-mmm")&amp;" ("&amp;(NETWORKDAYS(TODAY(),$AB203,Holidays)-1)&amp;" business day(s) left).")))))</f>
        <v/>
      </c>
      <c r="W203" s="17">
        <f>IF($Z203="","",CHOOSE($Z203,"Collection Email","1st Follow-up","2nd Follow-up","Local Office","CBE","Roxanne")&amp;IF($Z203=6," - Final"," - Day "&amp;MAX(0,NETWORKDAYS($AA203,TODAY(),Holidays)-1)&amp;" of "&amp;CHOOSE($Z203,3,3,2,2,3))&amp;" | Total Day "&amp;MAX(0,NETWORKDAYS($N203,TODAY(),Holidays)-1))</f>
        <v/>
      </c>
      <c r="X203" s="18"/>
      <c r="Y203" s="18"/>
      <c r="Z203" s="17">
        <f>IF($N203="","",COUNT($N203:$S203))</f>
        <v/>
      </c>
      <c r="AA203" s="19">
        <f>IF($Z203="","",INT(INDEX($N203:$S203,$Z203)))</f>
        <v/>
      </c>
      <c r="AB203" s="19">
        <f>IF(OR($Z203="",$Z203=6),"",WORKDAY($AA203,CHOOSE($Z203,3,3,2,2,3),Holidays))</f>
        <v/>
      </c>
      <c r="AC203" s="17">
        <f>IF(OR($Z203="",$Z203=6),"",CHOOSE($Z203,"1st Email Follow-up","2nd Email Follow-up","Escalate Local Office","Escalate to CBE","Escalate to Roxanne"))</f>
        <v/>
      </c>
    </row>
    <row r="204" spans="13:29">
      <c r="M204" s="14"/>
      <c r="T204" s="16"/>
      <c r="U204" s="17">
        <f>IF(AND(COUNTA($A204:$L204)=0,$N204=""),"",IF($T204="Paid","PAID",IF($T204="Closed","CLOSED",IF($Z204="","",IF($Z204=6,"ESCALATED TO ROXANNE",IF(TODAY()&gt;$AB204,"OVERDUE",IF($AB204&lt;=WORKDAY(TODAY(),1,Holidays),"DUE TOMORROW",IF($Z204=4,"ESCALATED TO LOCAL OFFICE",IF($Z204=5,"ESCALATED TO CBE",IF($AA204=TODAY(),"EMAIL SENT","MONITORING"))))))))))</f>
        <v/>
      </c>
      <c r="V204" s="17">
        <f>IF($U204="",IF(AND(COUNTA($A204:$L204)&gt;0,$N204=""),"Awaiting Collection Email time stamp.",""),IF(OR($U204="PAID",$U204="CLOSED"),IF($U204="PAID","Account paid. Action completed.","Account closed. No further action required."),CHOOSE($Z204,"Collection Email","1st Email Follow-up","2nd Email Follow-up","Escalation to Local Office","Escalation to CBE","Escalation to Roxanne")&amp;" sent "&amp;TEXT($AA204,"dd-mmm")&amp;". "&amp;IF($Z204=6,"Final escalation completed.",IF($U204="OVERDUE","Next: "&amp;$AC204&amp;" was due "&amp;TEXT($AB204,"dd-mmm")&amp;" - "&amp;(NETWORKDAYS($AB204,TODAY(),Holidays)-1)&amp;" business day(s) late. Send now.",IF($U204="DUE TOMORROW","Next: "&amp;$AC204&amp;IF($AB204&lt;=TODAY()," is due TODAY ("," is due next business day (")&amp;TEXT($AB204,"dd-mmm")&amp;").","Next: "&amp;$AC204&amp;" due "&amp;TEXT($AB204,"dd-mmm")&amp;" ("&amp;(NETWORKDAYS(TODAY(),$AB204,Holidays)-1)&amp;" business day(s) left).")))))</f>
        <v/>
      </c>
      <c r="W204" s="17">
        <f>IF($Z204="","",CHOOSE($Z204,"Collection Email","1st Follow-up","2nd Follow-up","Local Office","CBE","Roxanne")&amp;IF($Z204=6," - Final"," - Day "&amp;MAX(0,NETWORKDAYS($AA204,TODAY(),Holidays)-1)&amp;" of "&amp;CHOOSE($Z204,3,3,2,2,3))&amp;" | Total Day "&amp;MAX(0,NETWORKDAYS($N204,TODAY(),Holidays)-1))</f>
        <v/>
      </c>
      <c r="X204" s="18"/>
      <c r="Y204" s="18"/>
      <c r="Z204" s="17">
        <f>IF($N204="","",COUNT($N204:$S204))</f>
        <v/>
      </c>
      <c r="AA204" s="19">
        <f>IF($Z204="","",INT(INDEX($N204:$S204,$Z204)))</f>
        <v/>
      </c>
      <c r="AB204" s="19">
        <f>IF(OR($Z204="",$Z204=6),"",WORKDAY($AA204,CHOOSE($Z204,3,3,2,2,3),Holidays))</f>
        <v/>
      </c>
      <c r="AC204" s="17">
        <f>IF(OR($Z204="",$Z204=6),"",CHOOSE($Z204,"1st Email Follow-up","2nd Email Follow-up","Escalate Local Office","Escalate to CBE","Escalate to Roxanne"))</f>
        <v/>
      </c>
    </row>
    <row r="205" spans="13:29">
      <c r="M205" s="14"/>
      <c r="T205" s="16"/>
      <c r="U205" s="17">
        <f>IF(AND(COUNTA($A205:$L205)=0,$N205=""),"",IF($T205="Paid","PAID",IF($T205="Closed","CLOSED",IF($Z205="","",IF($Z205=6,"ESCALATED TO ROXANNE",IF(TODAY()&gt;$AB205,"OVERDUE",IF($AB205&lt;=WORKDAY(TODAY(),1,Holidays),"DUE TOMORROW",IF($Z205=4,"ESCALATED TO LOCAL OFFICE",IF($Z205=5,"ESCALATED TO CBE",IF($AA205=TODAY(),"EMAIL SENT","MONITORING"))))))))))</f>
        <v/>
      </c>
      <c r="V205" s="17">
        <f>IF($U205="",IF(AND(COUNTA($A205:$L205)&gt;0,$N205=""),"Awaiting Collection Email time stamp.",""),IF(OR($U205="PAID",$U205="CLOSED"),IF($U205="PAID","Account paid. Action completed.","Account closed. No further action required."),CHOOSE($Z205,"Collection Email","1st Email Follow-up","2nd Email Follow-up","Escalation to Local Office","Escalation to CBE","Escalation to Roxanne")&amp;" sent "&amp;TEXT($AA205,"dd-mmm")&amp;". "&amp;IF($Z205=6,"Final escalation completed.",IF($U205="OVERDUE","Next: "&amp;$AC205&amp;" was due "&amp;TEXT($AB205,"dd-mmm")&amp;" - "&amp;(NETWORKDAYS($AB205,TODAY(),Holidays)-1)&amp;" business day(s) late. Send now.",IF($U205="DUE TOMORROW","Next: "&amp;$AC205&amp;IF($AB205&lt;=TODAY()," is due TODAY ("," is due next business day (")&amp;TEXT($AB205,"dd-mmm")&amp;").","Next: "&amp;$AC205&amp;" due "&amp;TEXT($AB205,"dd-mmm")&amp;" ("&amp;(NETWORKDAYS(TODAY(),$AB205,Holidays)-1)&amp;" business day(s) left).")))))</f>
        <v/>
      </c>
      <c r="W205" s="17">
        <f>IF($Z205="","",CHOOSE($Z205,"Collection Email","1st Follow-up","2nd Follow-up","Local Office","CBE","Roxanne")&amp;IF($Z205=6," - Final"," - Day "&amp;MAX(0,NETWORKDAYS($AA205,TODAY(),Holidays)-1)&amp;" of "&amp;CHOOSE($Z205,3,3,2,2,3))&amp;" | Total Day "&amp;MAX(0,NETWORKDAYS($N205,TODAY(),Holidays)-1))</f>
        <v/>
      </c>
      <c r="X205" s="18"/>
      <c r="Y205" s="18"/>
      <c r="Z205" s="17">
        <f>IF($N205="","",COUNT($N205:$S205))</f>
        <v/>
      </c>
      <c r="AA205" s="19">
        <f>IF($Z205="","",INT(INDEX($N205:$S205,$Z205)))</f>
        <v/>
      </c>
      <c r="AB205" s="19">
        <f>IF(OR($Z205="",$Z205=6),"",WORKDAY($AA205,CHOOSE($Z205,3,3,2,2,3),Holidays))</f>
        <v/>
      </c>
      <c r="AC205" s="17">
        <f>IF(OR($Z205="",$Z205=6),"",CHOOSE($Z205,"1st Email Follow-up","2nd Email Follow-up","Escalate Local Office","Escalate to CBE","Escalate to Roxanne"))</f>
        <v/>
      </c>
    </row>
    <row r="206" spans="13:29">
      <c r="M206" s="14"/>
      <c r="T206" s="16"/>
      <c r="U206" s="17">
        <f>IF(AND(COUNTA($A206:$L206)=0,$N206=""),"",IF($T206="Paid","PAID",IF($T206="Closed","CLOSED",IF($Z206="","",IF($Z206=6,"ESCALATED TO ROXANNE",IF(TODAY()&gt;$AB206,"OVERDUE",IF($AB206&lt;=WORKDAY(TODAY(),1,Holidays),"DUE TOMORROW",IF($Z206=4,"ESCALATED TO LOCAL OFFICE",IF($Z206=5,"ESCALATED TO CBE",IF($AA206=TODAY(),"EMAIL SENT","MONITORING"))))))))))</f>
        <v/>
      </c>
      <c r="V206" s="17">
        <f>IF($U206="",IF(AND(COUNTA($A206:$L206)&gt;0,$N206=""),"Awaiting Collection Email time stamp.",""),IF(OR($U206="PAID",$U206="CLOSED"),IF($U206="PAID","Account paid. Action completed.","Account closed. No further action required."),CHOOSE($Z206,"Collection Email","1st Email Follow-up","2nd Email Follow-up","Escalation to Local Office","Escalation to CBE","Escalation to Roxanne")&amp;" sent "&amp;TEXT($AA206,"dd-mmm")&amp;". "&amp;IF($Z206=6,"Final escalation completed.",IF($U206="OVERDUE","Next: "&amp;$AC206&amp;" was due "&amp;TEXT($AB206,"dd-mmm")&amp;" - "&amp;(NETWORKDAYS($AB206,TODAY(),Holidays)-1)&amp;" business day(s) late. Send now.",IF($U206="DUE TOMORROW","Next: "&amp;$AC206&amp;IF($AB206&lt;=TODAY()," is due TODAY ("," is due next business day (")&amp;TEXT($AB206,"dd-mmm")&amp;").","Next: "&amp;$AC206&amp;" due "&amp;TEXT($AB206,"dd-mmm")&amp;" ("&amp;(NETWORKDAYS(TODAY(),$AB206,Holidays)-1)&amp;" business day(s) left).")))))</f>
        <v/>
      </c>
      <c r="W206" s="17">
        <f>IF($Z206="","",CHOOSE($Z206,"Collection Email","1st Follow-up","2nd Follow-up","Local Office","CBE","Roxanne")&amp;IF($Z206=6," - Final"," - Day "&amp;MAX(0,NETWORKDAYS($AA206,TODAY(),Holidays)-1)&amp;" of "&amp;CHOOSE($Z206,3,3,2,2,3))&amp;" | Total Day "&amp;MAX(0,NETWORKDAYS($N206,TODAY(),Holidays)-1))</f>
        <v/>
      </c>
      <c r="X206" s="18"/>
      <c r="Y206" s="18"/>
      <c r="Z206" s="17">
        <f>IF($N206="","",COUNT($N206:$S206))</f>
        <v/>
      </c>
      <c r="AA206" s="19">
        <f>IF($Z206="","",INT(INDEX($N206:$S206,$Z206)))</f>
        <v/>
      </c>
      <c r="AB206" s="19">
        <f>IF(OR($Z206="",$Z206=6),"",WORKDAY($AA206,CHOOSE($Z206,3,3,2,2,3),Holidays))</f>
        <v/>
      </c>
      <c r="AC206" s="17">
        <f>IF(OR($Z206="",$Z206=6),"",CHOOSE($Z206,"1st Email Follow-up","2nd Email Follow-up","Escalate Local Office","Escalate to CBE","Escalate to Roxanne"))</f>
        <v/>
      </c>
    </row>
    <row r="207" spans="13:29">
      <c r="M207" s="14"/>
      <c r="T207" s="16"/>
      <c r="U207" s="17">
        <f>IF(AND(COUNTA($A207:$L207)=0,$N207=""),"",IF($T207="Paid","PAID",IF($T207="Closed","CLOSED",IF($Z207="","",IF($Z207=6,"ESCALATED TO ROXANNE",IF(TODAY()&gt;$AB207,"OVERDUE",IF($AB207&lt;=WORKDAY(TODAY(),1,Holidays),"DUE TOMORROW",IF($Z207=4,"ESCALATED TO LOCAL OFFICE",IF($Z207=5,"ESCALATED TO CBE",IF($AA207=TODAY(),"EMAIL SENT","MONITORING"))))))))))</f>
        <v/>
      </c>
      <c r="V207" s="17">
        <f>IF($U207="",IF(AND(COUNTA($A207:$L207)&gt;0,$N207=""),"Awaiting Collection Email time stamp.",""),IF(OR($U207="PAID",$U207="CLOSED"),IF($U207="PAID","Account paid. Action completed.","Account closed. No further action required."),CHOOSE($Z207,"Collection Email","1st Email Follow-up","2nd Email Follow-up","Escalation to Local Office","Escalation to CBE","Escalation to Roxanne")&amp;" sent "&amp;TEXT($AA207,"dd-mmm")&amp;". "&amp;IF($Z207=6,"Final escalation completed.",IF($U207="OVERDUE","Next: "&amp;$AC207&amp;" was due "&amp;TEXT($AB207,"dd-mmm")&amp;" - "&amp;(NETWORKDAYS($AB207,TODAY(),Holidays)-1)&amp;" business day(s) late. Send now.",IF($U207="DUE TOMORROW","Next: "&amp;$AC207&amp;IF($AB207&lt;=TODAY()," is due TODAY ("," is due next business day (")&amp;TEXT($AB207,"dd-mmm")&amp;").","Next: "&amp;$AC207&amp;" due "&amp;TEXT($AB207,"dd-mmm")&amp;" ("&amp;(NETWORKDAYS(TODAY(),$AB207,Holidays)-1)&amp;" business day(s) left).")))))</f>
        <v/>
      </c>
      <c r="W207" s="17">
        <f>IF($Z207="","",CHOOSE($Z207,"Collection Email","1st Follow-up","2nd Follow-up","Local Office","CBE","Roxanne")&amp;IF($Z207=6," - Final"," - Day "&amp;MAX(0,NETWORKDAYS($AA207,TODAY(),Holidays)-1)&amp;" of "&amp;CHOOSE($Z207,3,3,2,2,3))&amp;" | Total Day "&amp;MAX(0,NETWORKDAYS($N207,TODAY(),Holidays)-1))</f>
        <v/>
      </c>
      <c r="X207" s="18"/>
      <c r="Y207" s="18"/>
      <c r="Z207" s="17">
        <f>IF($N207="","",COUNT($N207:$S207))</f>
        <v/>
      </c>
      <c r="AA207" s="19">
        <f>IF($Z207="","",INT(INDEX($N207:$S207,$Z207)))</f>
        <v/>
      </c>
      <c r="AB207" s="19">
        <f>IF(OR($Z207="",$Z207=6),"",WORKDAY($AA207,CHOOSE($Z207,3,3,2,2,3),Holidays))</f>
        <v/>
      </c>
      <c r="AC207" s="17">
        <f>IF(OR($Z207="",$Z207=6),"",CHOOSE($Z207,"1st Email Follow-up","2nd Email Follow-up","Escalate Local Office","Escalate to CBE","Escalate to Roxanne"))</f>
        <v/>
      </c>
    </row>
    <row r="208" spans="13:29">
      <c r="M208" s="14"/>
      <c r="T208" s="16"/>
      <c r="U208" s="17">
        <f>IF(AND(COUNTA($A208:$L208)=0,$N208=""),"",IF($T208="Paid","PAID",IF($T208="Closed","CLOSED",IF($Z208="","",IF($Z208=6,"ESCALATED TO ROXANNE",IF(TODAY()&gt;$AB208,"OVERDUE",IF($AB208&lt;=WORKDAY(TODAY(),1,Holidays),"DUE TOMORROW",IF($Z208=4,"ESCALATED TO LOCAL OFFICE",IF($Z208=5,"ESCALATED TO CBE",IF($AA208=TODAY(),"EMAIL SENT","MONITORING"))))))))))</f>
        <v/>
      </c>
      <c r="V208" s="17">
        <f>IF($U208="",IF(AND(COUNTA($A208:$L208)&gt;0,$N208=""),"Awaiting Collection Email time stamp.",""),IF(OR($U208="PAID",$U208="CLOSED"),IF($U208="PAID","Account paid. Action completed.","Account closed. No further action required."),CHOOSE($Z208,"Collection Email","1st Email Follow-up","2nd Email Follow-up","Escalation to Local Office","Escalation to CBE","Escalation to Roxanne")&amp;" sent "&amp;TEXT($AA208,"dd-mmm")&amp;". "&amp;IF($Z208=6,"Final escalation completed.",IF($U208="OVERDUE","Next: "&amp;$AC208&amp;" was due "&amp;TEXT($AB208,"dd-mmm")&amp;" - "&amp;(NETWORKDAYS($AB208,TODAY(),Holidays)-1)&amp;" business day(s) late. Send now.",IF($U208="DUE TOMORROW","Next: "&amp;$AC208&amp;IF($AB208&lt;=TODAY()," is due TODAY ("," is due next business day (")&amp;TEXT($AB208,"dd-mmm")&amp;").","Next: "&amp;$AC208&amp;" due "&amp;TEXT($AB208,"dd-mmm")&amp;" ("&amp;(NETWORKDAYS(TODAY(),$AB208,Holidays)-1)&amp;" business day(s) left).")))))</f>
        <v/>
      </c>
      <c r="W208" s="17">
        <f>IF($Z208="","",CHOOSE($Z208,"Collection Email","1st Follow-up","2nd Follow-up","Local Office","CBE","Roxanne")&amp;IF($Z208=6," - Final"," - Day "&amp;MAX(0,NETWORKDAYS($AA208,TODAY(),Holidays)-1)&amp;" of "&amp;CHOOSE($Z208,3,3,2,2,3))&amp;" | Total Day "&amp;MAX(0,NETWORKDAYS($N208,TODAY(),Holidays)-1))</f>
        <v/>
      </c>
      <c r="X208" s="18"/>
      <c r="Y208" s="18"/>
      <c r="Z208" s="17">
        <f>IF($N208="","",COUNT($N208:$S208))</f>
        <v/>
      </c>
      <c r="AA208" s="19">
        <f>IF($Z208="","",INT(INDEX($N208:$S208,$Z208)))</f>
        <v/>
      </c>
      <c r="AB208" s="19">
        <f>IF(OR($Z208="",$Z208=6),"",WORKDAY($AA208,CHOOSE($Z208,3,3,2,2,3),Holidays))</f>
        <v/>
      </c>
      <c r="AC208" s="17">
        <f>IF(OR($Z208="",$Z208=6),"",CHOOSE($Z208,"1st Email Follow-up","2nd Email Follow-up","Escalate Local Office","Escalate to CBE","Escalate to Roxanne"))</f>
        <v/>
      </c>
    </row>
    <row r="209" spans="13:29">
      <c r="M209" s="14"/>
      <c r="T209" s="16"/>
      <c r="U209" s="17">
        <f>IF(AND(COUNTA($A209:$L209)=0,$N209=""),"",IF($T209="Paid","PAID",IF($T209="Closed","CLOSED",IF($Z209="","",IF($Z209=6,"ESCALATED TO ROXANNE",IF(TODAY()&gt;$AB209,"OVERDUE",IF($AB209&lt;=WORKDAY(TODAY(),1,Holidays),"DUE TOMORROW",IF($Z209=4,"ESCALATED TO LOCAL OFFICE",IF($Z209=5,"ESCALATED TO CBE",IF($AA209=TODAY(),"EMAIL SENT","MONITORING"))))))))))</f>
        <v/>
      </c>
      <c r="V209" s="17">
        <f>IF($U209="",IF(AND(COUNTA($A209:$L209)&gt;0,$N209=""),"Awaiting Collection Email time stamp.",""),IF(OR($U209="PAID",$U209="CLOSED"),IF($U209="PAID","Account paid. Action completed.","Account closed. No further action required."),CHOOSE($Z209,"Collection Email","1st Email Follow-up","2nd Email Follow-up","Escalation to Local Office","Escalation to CBE","Escalation to Roxanne")&amp;" sent "&amp;TEXT($AA209,"dd-mmm")&amp;". "&amp;IF($Z209=6,"Final escalation completed.",IF($U209="OVERDUE","Next: "&amp;$AC209&amp;" was due "&amp;TEXT($AB209,"dd-mmm")&amp;" - "&amp;(NETWORKDAYS($AB209,TODAY(),Holidays)-1)&amp;" business day(s) late. Send now.",IF($U209="DUE TOMORROW","Next: "&amp;$AC209&amp;IF($AB209&lt;=TODAY()," is due TODAY ("," is due next business day (")&amp;TEXT($AB209,"dd-mmm")&amp;").","Next: "&amp;$AC209&amp;" due "&amp;TEXT($AB209,"dd-mmm")&amp;" ("&amp;(NETWORKDAYS(TODAY(),$AB209,Holidays)-1)&amp;" business day(s) left).")))))</f>
        <v/>
      </c>
      <c r="W209" s="17">
        <f>IF($Z209="","",CHOOSE($Z209,"Collection Email","1st Follow-up","2nd Follow-up","Local Office","CBE","Roxanne")&amp;IF($Z209=6," - Final"," - Day "&amp;MAX(0,NETWORKDAYS($AA209,TODAY(),Holidays)-1)&amp;" of "&amp;CHOOSE($Z209,3,3,2,2,3))&amp;" | Total Day "&amp;MAX(0,NETWORKDAYS($N209,TODAY(),Holidays)-1))</f>
        <v/>
      </c>
      <c r="X209" s="18"/>
      <c r="Y209" s="18"/>
      <c r="Z209" s="17">
        <f>IF($N209="","",COUNT($N209:$S209))</f>
        <v/>
      </c>
      <c r="AA209" s="19">
        <f>IF($Z209="","",INT(INDEX($N209:$S209,$Z209)))</f>
        <v/>
      </c>
      <c r="AB209" s="19">
        <f>IF(OR($Z209="",$Z209=6),"",WORKDAY($AA209,CHOOSE($Z209,3,3,2,2,3),Holidays))</f>
        <v/>
      </c>
      <c r="AC209" s="17">
        <f>IF(OR($Z209="",$Z209=6),"",CHOOSE($Z209,"1st Email Follow-up","2nd Email Follow-up","Escalate Local Office","Escalate to CBE","Escalate to Roxanne"))</f>
        <v/>
      </c>
    </row>
    <row r="210" spans="13:29">
      <c r="M210" s="14"/>
      <c r="T210" s="16"/>
      <c r="U210" s="17">
        <f>IF(AND(COUNTA($A210:$L210)=0,$N210=""),"",IF($T210="Paid","PAID",IF($T210="Closed","CLOSED",IF($Z210="","",IF($Z210=6,"ESCALATED TO ROXANNE",IF(TODAY()&gt;$AB210,"OVERDUE",IF($AB210&lt;=WORKDAY(TODAY(),1,Holidays),"DUE TOMORROW",IF($Z210=4,"ESCALATED TO LOCAL OFFICE",IF($Z210=5,"ESCALATED TO CBE",IF($AA210=TODAY(),"EMAIL SENT","MONITORING"))))))))))</f>
        <v/>
      </c>
      <c r="V210" s="17">
        <f>IF($U210="",IF(AND(COUNTA($A210:$L210)&gt;0,$N210=""),"Awaiting Collection Email time stamp.",""),IF(OR($U210="PAID",$U210="CLOSED"),IF($U210="PAID","Account paid. Action completed.","Account closed. No further action required."),CHOOSE($Z210,"Collection Email","1st Email Follow-up","2nd Email Follow-up","Escalation to Local Office","Escalation to CBE","Escalation to Roxanne")&amp;" sent "&amp;TEXT($AA210,"dd-mmm")&amp;". "&amp;IF($Z210=6,"Final escalation completed.",IF($U210="OVERDUE","Next: "&amp;$AC210&amp;" was due "&amp;TEXT($AB210,"dd-mmm")&amp;" - "&amp;(NETWORKDAYS($AB210,TODAY(),Holidays)-1)&amp;" business day(s) late. Send now.",IF($U210="DUE TOMORROW","Next: "&amp;$AC210&amp;IF($AB210&lt;=TODAY()," is due TODAY ("," is due next business day (")&amp;TEXT($AB210,"dd-mmm")&amp;").","Next: "&amp;$AC210&amp;" due "&amp;TEXT($AB210,"dd-mmm")&amp;" ("&amp;(NETWORKDAYS(TODAY(),$AB210,Holidays)-1)&amp;" business day(s) left).")))))</f>
        <v/>
      </c>
      <c r="W210" s="17">
        <f>IF($Z210="","",CHOOSE($Z210,"Collection Email","1st Follow-up","2nd Follow-up","Local Office","CBE","Roxanne")&amp;IF($Z210=6," - Final"," - Day "&amp;MAX(0,NETWORKDAYS($AA210,TODAY(),Holidays)-1)&amp;" of "&amp;CHOOSE($Z210,3,3,2,2,3))&amp;" | Total Day "&amp;MAX(0,NETWORKDAYS($N210,TODAY(),Holidays)-1))</f>
        <v/>
      </c>
      <c r="X210" s="18"/>
      <c r="Y210" s="18"/>
      <c r="Z210" s="17">
        <f>IF($N210="","",COUNT($N210:$S210))</f>
        <v/>
      </c>
      <c r="AA210" s="19">
        <f>IF($Z210="","",INT(INDEX($N210:$S210,$Z210)))</f>
        <v/>
      </c>
      <c r="AB210" s="19">
        <f>IF(OR($Z210="",$Z210=6),"",WORKDAY($AA210,CHOOSE($Z210,3,3,2,2,3),Holidays))</f>
        <v/>
      </c>
      <c r="AC210" s="17">
        <f>IF(OR($Z210="",$Z210=6),"",CHOOSE($Z210,"1st Email Follow-up","2nd Email Follow-up","Escalate Local Office","Escalate to CBE","Escalate to Roxanne"))</f>
        <v/>
      </c>
    </row>
    <row r="211" spans="13:29">
      <c r="M211" s="14"/>
      <c r="T211" s="16"/>
      <c r="U211" s="17">
        <f>IF(AND(COUNTA($A211:$L211)=0,$N211=""),"",IF($T211="Paid","PAID",IF($T211="Closed","CLOSED",IF($Z211="","",IF($Z211=6,"ESCALATED TO ROXANNE",IF(TODAY()&gt;$AB211,"OVERDUE",IF($AB211&lt;=WORKDAY(TODAY(),1,Holidays),"DUE TOMORROW",IF($Z211=4,"ESCALATED TO LOCAL OFFICE",IF($Z211=5,"ESCALATED TO CBE",IF($AA211=TODAY(),"EMAIL SENT","MONITORING"))))))))))</f>
        <v/>
      </c>
      <c r="V211" s="17">
        <f>IF($U211="",IF(AND(COUNTA($A211:$L211)&gt;0,$N211=""),"Awaiting Collection Email time stamp.",""),IF(OR($U211="PAID",$U211="CLOSED"),IF($U211="PAID","Account paid. Action completed.","Account closed. No further action required."),CHOOSE($Z211,"Collection Email","1st Email Follow-up","2nd Email Follow-up","Escalation to Local Office","Escalation to CBE","Escalation to Roxanne")&amp;" sent "&amp;TEXT($AA211,"dd-mmm")&amp;". "&amp;IF($Z211=6,"Final escalation completed.",IF($U211="OVERDUE","Next: "&amp;$AC211&amp;" was due "&amp;TEXT($AB211,"dd-mmm")&amp;" - "&amp;(NETWORKDAYS($AB211,TODAY(),Holidays)-1)&amp;" business day(s) late. Send now.",IF($U211="DUE TOMORROW","Next: "&amp;$AC211&amp;IF($AB211&lt;=TODAY()," is due TODAY ("," is due next business day (")&amp;TEXT($AB211,"dd-mmm")&amp;").","Next: "&amp;$AC211&amp;" due "&amp;TEXT($AB211,"dd-mmm")&amp;" ("&amp;(NETWORKDAYS(TODAY(),$AB211,Holidays)-1)&amp;" business day(s) left).")))))</f>
        <v/>
      </c>
      <c r="W211" s="17">
        <f>IF($Z211="","",CHOOSE($Z211,"Collection Email","1st Follow-up","2nd Follow-up","Local Office","CBE","Roxanne")&amp;IF($Z211=6," - Final"," - Day "&amp;MAX(0,NETWORKDAYS($AA211,TODAY(),Holidays)-1)&amp;" of "&amp;CHOOSE($Z211,3,3,2,2,3))&amp;" | Total Day "&amp;MAX(0,NETWORKDAYS($N211,TODAY(),Holidays)-1))</f>
        <v/>
      </c>
      <c r="X211" s="18"/>
      <c r="Y211" s="18"/>
      <c r="Z211" s="17">
        <f>IF($N211="","",COUNT($N211:$S211))</f>
        <v/>
      </c>
      <c r="AA211" s="19">
        <f>IF($Z211="","",INT(INDEX($N211:$S211,$Z211)))</f>
        <v/>
      </c>
      <c r="AB211" s="19">
        <f>IF(OR($Z211="",$Z211=6),"",WORKDAY($AA211,CHOOSE($Z211,3,3,2,2,3),Holidays))</f>
        <v/>
      </c>
      <c r="AC211" s="17">
        <f>IF(OR($Z211="",$Z211=6),"",CHOOSE($Z211,"1st Email Follow-up","2nd Email Follow-up","Escalate Local Office","Escalate to CBE","Escalate to Roxanne"))</f>
        <v/>
      </c>
    </row>
    <row r="212" spans="13:29">
      <c r="M212" s="14"/>
      <c r="T212" s="16"/>
      <c r="U212" s="17">
        <f>IF(AND(COUNTA($A212:$L212)=0,$N212=""),"",IF($T212="Paid","PAID",IF($T212="Closed","CLOSED",IF($Z212="","",IF($Z212=6,"ESCALATED TO ROXANNE",IF(TODAY()&gt;$AB212,"OVERDUE",IF($AB212&lt;=WORKDAY(TODAY(),1,Holidays),"DUE TOMORROW",IF($Z212=4,"ESCALATED TO LOCAL OFFICE",IF($Z212=5,"ESCALATED TO CBE",IF($AA212=TODAY(),"EMAIL SENT","MONITORING"))))))))))</f>
        <v/>
      </c>
      <c r="V212" s="17">
        <f>IF($U212="",IF(AND(COUNTA($A212:$L212)&gt;0,$N212=""),"Awaiting Collection Email time stamp.",""),IF(OR($U212="PAID",$U212="CLOSED"),IF($U212="PAID","Account paid. Action completed.","Account closed. No further action required."),CHOOSE($Z212,"Collection Email","1st Email Follow-up","2nd Email Follow-up","Escalation to Local Office","Escalation to CBE","Escalation to Roxanne")&amp;" sent "&amp;TEXT($AA212,"dd-mmm")&amp;". "&amp;IF($Z212=6,"Final escalation completed.",IF($U212="OVERDUE","Next: "&amp;$AC212&amp;" was due "&amp;TEXT($AB212,"dd-mmm")&amp;" - "&amp;(NETWORKDAYS($AB212,TODAY(),Holidays)-1)&amp;" business day(s) late. Send now.",IF($U212="DUE TOMORROW","Next: "&amp;$AC212&amp;IF($AB212&lt;=TODAY()," is due TODAY ("," is due next business day (")&amp;TEXT($AB212,"dd-mmm")&amp;").","Next: "&amp;$AC212&amp;" due "&amp;TEXT($AB212,"dd-mmm")&amp;" ("&amp;(NETWORKDAYS(TODAY(),$AB212,Holidays)-1)&amp;" business day(s) left).")))))</f>
        <v/>
      </c>
      <c r="W212" s="17">
        <f>IF($Z212="","",CHOOSE($Z212,"Collection Email","1st Follow-up","2nd Follow-up","Local Office","CBE","Roxanne")&amp;IF($Z212=6," - Final"," - Day "&amp;MAX(0,NETWORKDAYS($AA212,TODAY(),Holidays)-1)&amp;" of "&amp;CHOOSE($Z212,3,3,2,2,3))&amp;" | Total Day "&amp;MAX(0,NETWORKDAYS($N212,TODAY(),Holidays)-1))</f>
        <v/>
      </c>
      <c r="X212" s="18"/>
      <c r="Y212" s="18"/>
      <c r="Z212" s="17">
        <f>IF($N212="","",COUNT($N212:$S212))</f>
        <v/>
      </c>
      <c r="AA212" s="19">
        <f>IF($Z212="","",INT(INDEX($N212:$S212,$Z212)))</f>
        <v/>
      </c>
      <c r="AB212" s="19">
        <f>IF(OR($Z212="",$Z212=6),"",WORKDAY($AA212,CHOOSE($Z212,3,3,2,2,3),Holidays))</f>
        <v/>
      </c>
      <c r="AC212" s="17">
        <f>IF(OR($Z212="",$Z212=6),"",CHOOSE($Z212,"1st Email Follow-up","2nd Email Follow-up","Escalate Local Office","Escalate to CBE","Escalate to Roxanne"))</f>
        <v/>
      </c>
    </row>
    <row r="213" spans="13:29">
      <c r="M213" s="14"/>
      <c r="T213" s="16"/>
      <c r="U213" s="17">
        <f>IF(AND(COUNTA($A213:$L213)=0,$N213=""),"",IF($T213="Paid","PAID",IF($T213="Closed","CLOSED",IF($Z213="","",IF($Z213=6,"ESCALATED TO ROXANNE",IF(TODAY()&gt;$AB213,"OVERDUE",IF($AB213&lt;=WORKDAY(TODAY(),1,Holidays),"DUE TOMORROW",IF($Z213=4,"ESCALATED TO LOCAL OFFICE",IF($Z213=5,"ESCALATED TO CBE",IF($AA213=TODAY(),"EMAIL SENT","MONITORING"))))))))))</f>
        <v/>
      </c>
      <c r="V213" s="17">
        <f>IF($U213="",IF(AND(COUNTA($A213:$L213)&gt;0,$N213=""),"Awaiting Collection Email time stamp.",""),IF(OR($U213="PAID",$U213="CLOSED"),IF($U213="PAID","Account paid. Action completed.","Account closed. No further action required."),CHOOSE($Z213,"Collection Email","1st Email Follow-up","2nd Email Follow-up","Escalation to Local Office","Escalation to CBE","Escalation to Roxanne")&amp;" sent "&amp;TEXT($AA213,"dd-mmm")&amp;". "&amp;IF($Z213=6,"Final escalation completed.",IF($U213="OVERDUE","Next: "&amp;$AC213&amp;" was due "&amp;TEXT($AB213,"dd-mmm")&amp;" - "&amp;(NETWORKDAYS($AB213,TODAY(),Holidays)-1)&amp;" business day(s) late. Send now.",IF($U213="DUE TOMORROW","Next: "&amp;$AC213&amp;IF($AB213&lt;=TODAY()," is due TODAY ("," is due next business day (")&amp;TEXT($AB213,"dd-mmm")&amp;").","Next: "&amp;$AC213&amp;" due "&amp;TEXT($AB213,"dd-mmm")&amp;" ("&amp;(NETWORKDAYS(TODAY(),$AB213,Holidays)-1)&amp;" business day(s) left).")))))</f>
        <v/>
      </c>
      <c r="W213" s="17">
        <f>IF($Z213="","",CHOOSE($Z213,"Collection Email","1st Follow-up","2nd Follow-up","Local Office","CBE","Roxanne")&amp;IF($Z213=6," - Final"," - Day "&amp;MAX(0,NETWORKDAYS($AA213,TODAY(),Holidays)-1)&amp;" of "&amp;CHOOSE($Z213,3,3,2,2,3))&amp;" | Total Day "&amp;MAX(0,NETWORKDAYS($N213,TODAY(),Holidays)-1))</f>
        <v/>
      </c>
      <c r="X213" s="18"/>
      <c r="Y213" s="18"/>
      <c r="Z213" s="17">
        <f>IF($N213="","",COUNT($N213:$S213))</f>
        <v/>
      </c>
      <c r="AA213" s="19">
        <f>IF($Z213="","",INT(INDEX($N213:$S213,$Z213)))</f>
        <v/>
      </c>
      <c r="AB213" s="19">
        <f>IF(OR($Z213="",$Z213=6),"",WORKDAY($AA213,CHOOSE($Z213,3,3,2,2,3),Holidays))</f>
        <v/>
      </c>
      <c r="AC213" s="17">
        <f>IF(OR($Z213="",$Z213=6),"",CHOOSE($Z213,"1st Email Follow-up","2nd Email Follow-up","Escalate Local Office","Escalate to CBE","Escalate to Roxanne"))</f>
        <v/>
      </c>
    </row>
    <row r="214" spans="13:29">
      <c r="M214" s="14"/>
      <c r="T214" s="16"/>
      <c r="U214" s="17">
        <f>IF(AND(COUNTA($A214:$L214)=0,$N214=""),"",IF($T214="Paid","PAID",IF($T214="Closed","CLOSED",IF($Z214="","",IF($Z214=6,"ESCALATED TO ROXANNE",IF(TODAY()&gt;$AB214,"OVERDUE",IF($AB214&lt;=WORKDAY(TODAY(),1,Holidays),"DUE TOMORROW",IF($Z214=4,"ESCALATED TO LOCAL OFFICE",IF($Z214=5,"ESCALATED TO CBE",IF($AA214=TODAY(),"EMAIL SENT","MONITORING"))))))))))</f>
        <v/>
      </c>
      <c r="V214" s="17">
        <f>IF($U214="",IF(AND(COUNTA($A214:$L214)&gt;0,$N214=""),"Awaiting Collection Email time stamp.",""),IF(OR($U214="PAID",$U214="CLOSED"),IF($U214="PAID","Account paid. Action completed.","Account closed. No further action required."),CHOOSE($Z214,"Collection Email","1st Email Follow-up","2nd Email Follow-up","Escalation to Local Office","Escalation to CBE","Escalation to Roxanne")&amp;" sent "&amp;TEXT($AA214,"dd-mmm")&amp;". "&amp;IF($Z214=6,"Final escalation completed.",IF($U214="OVERDUE","Next: "&amp;$AC214&amp;" was due "&amp;TEXT($AB214,"dd-mmm")&amp;" - "&amp;(NETWORKDAYS($AB214,TODAY(),Holidays)-1)&amp;" business day(s) late. Send now.",IF($U214="DUE TOMORROW","Next: "&amp;$AC214&amp;IF($AB214&lt;=TODAY()," is due TODAY ("," is due next business day (")&amp;TEXT($AB214,"dd-mmm")&amp;").","Next: "&amp;$AC214&amp;" due "&amp;TEXT($AB214,"dd-mmm")&amp;" ("&amp;(NETWORKDAYS(TODAY(),$AB214,Holidays)-1)&amp;" business day(s) left).")))))</f>
        <v/>
      </c>
      <c r="W214" s="17">
        <f>IF($Z214="","",CHOOSE($Z214,"Collection Email","1st Follow-up","2nd Follow-up","Local Office","CBE","Roxanne")&amp;IF($Z214=6," - Final"," - Day "&amp;MAX(0,NETWORKDAYS($AA214,TODAY(),Holidays)-1)&amp;" of "&amp;CHOOSE($Z214,3,3,2,2,3))&amp;" | Total Day "&amp;MAX(0,NETWORKDAYS($N214,TODAY(),Holidays)-1))</f>
        <v/>
      </c>
      <c r="X214" s="18"/>
      <c r="Y214" s="18"/>
      <c r="Z214" s="17">
        <f>IF($N214="","",COUNT($N214:$S214))</f>
        <v/>
      </c>
      <c r="AA214" s="19">
        <f>IF($Z214="","",INT(INDEX($N214:$S214,$Z214)))</f>
        <v/>
      </c>
      <c r="AB214" s="19">
        <f>IF(OR($Z214="",$Z214=6),"",WORKDAY($AA214,CHOOSE($Z214,3,3,2,2,3),Holidays))</f>
        <v/>
      </c>
      <c r="AC214" s="17">
        <f>IF(OR($Z214="",$Z214=6),"",CHOOSE($Z214,"1st Email Follow-up","2nd Email Follow-up","Escalate Local Office","Escalate to CBE","Escalate to Roxanne"))</f>
        <v/>
      </c>
    </row>
    <row r="215" spans="13:29">
      <c r="M215" s="14"/>
      <c r="T215" s="16"/>
      <c r="U215" s="17">
        <f>IF(AND(COUNTA($A215:$L215)=0,$N215=""),"",IF($T215="Paid","PAID",IF($T215="Closed","CLOSED",IF($Z215="","",IF($Z215=6,"ESCALATED TO ROXANNE",IF(TODAY()&gt;$AB215,"OVERDUE",IF($AB215&lt;=WORKDAY(TODAY(),1,Holidays),"DUE TOMORROW",IF($Z215=4,"ESCALATED TO LOCAL OFFICE",IF($Z215=5,"ESCALATED TO CBE",IF($AA215=TODAY(),"EMAIL SENT","MONITORING"))))))))))</f>
        <v/>
      </c>
      <c r="V215" s="17">
        <f>IF($U215="",IF(AND(COUNTA($A215:$L215)&gt;0,$N215=""),"Awaiting Collection Email time stamp.",""),IF(OR($U215="PAID",$U215="CLOSED"),IF($U215="PAID","Account paid. Action completed.","Account closed. No further action required."),CHOOSE($Z215,"Collection Email","1st Email Follow-up","2nd Email Follow-up","Escalation to Local Office","Escalation to CBE","Escalation to Roxanne")&amp;" sent "&amp;TEXT($AA215,"dd-mmm")&amp;". "&amp;IF($Z215=6,"Final escalation completed.",IF($U215="OVERDUE","Next: "&amp;$AC215&amp;" was due "&amp;TEXT($AB215,"dd-mmm")&amp;" - "&amp;(NETWORKDAYS($AB215,TODAY(),Holidays)-1)&amp;" business day(s) late. Send now.",IF($U215="DUE TOMORROW","Next: "&amp;$AC215&amp;IF($AB215&lt;=TODAY()," is due TODAY ("," is due next business day (")&amp;TEXT($AB215,"dd-mmm")&amp;").","Next: "&amp;$AC215&amp;" due "&amp;TEXT($AB215,"dd-mmm")&amp;" ("&amp;(NETWORKDAYS(TODAY(),$AB215,Holidays)-1)&amp;" business day(s) left).")))))</f>
        <v/>
      </c>
      <c r="W215" s="17">
        <f>IF($Z215="","",CHOOSE($Z215,"Collection Email","1st Follow-up","2nd Follow-up","Local Office","CBE","Roxanne")&amp;IF($Z215=6," - Final"," - Day "&amp;MAX(0,NETWORKDAYS($AA215,TODAY(),Holidays)-1)&amp;" of "&amp;CHOOSE($Z215,3,3,2,2,3))&amp;" | Total Day "&amp;MAX(0,NETWORKDAYS($N215,TODAY(),Holidays)-1))</f>
        <v/>
      </c>
      <c r="X215" s="18"/>
      <c r="Y215" s="18"/>
      <c r="Z215" s="17">
        <f>IF($N215="","",COUNT($N215:$S215))</f>
        <v/>
      </c>
      <c r="AA215" s="19">
        <f>IF($Z215="","",INT(INDEX($N215:$S215,$Z215)))</f>
        <v/>
      </c>
      <c r="AB215" s="19">
        <f>IF(OR($Z215="",$Z215=6),"",WORKDAY($AA215,CHOOSE($Z215,3,3,2,2,3),Holidays))</f>
        <v/>
      </c>
      <c r="AC215" s="17">
        <f>IF(OR($Z215="",$Z215=6),"",CHOOSE($Z215,"1st Email Follow-up","2nd Email Follow-up","Escalate Local Office","Escalate to CBE","Escalate to Roxanne"))</f>
        <v/>
      </c>
    </row>
    <row r="216" spans="13:29">
      <c r="M216" s="14"/>
      <c r="T216" s="16"/>
      <c r="U216" s="17">
        <f>IF(AND(COUNTA($A216:$L216)=0,$N216=""),"",IF($T216="Paid","PAID",IF($T216="Closed","CLOSED",IF($Z216="","",IF($Z216=6,"ESCALATED TO ROXANNE",IF(TODAY()&gt;$AB216,"OVERDUE",IF($AB216&lt;=WORKDAY(TODAY(),1,Holidays),"DUE TOMORROW",IF($Z216=4,"ESCALATED TO LOCAL OFFICE",IF($Z216=5,"ESCALATED TO CBE",IF($AA216=TODAY(),"EMAIL SENT","MONITORING"))))))))))</f>
        <v/>
      </c>
      <c r="V216" s="17">
        <f>IF($U216="",IF(AND(COUNTA($A216:$L216)&gt;0,$N216=""),"Awaiting Collection Email time stamp.",""),IF(OR($U216="PAID",$U216="CLOSED"),IF($U216="PAID","Account paid. Action completed.","Account closed. No further action required."),CHOOSE($Z216,"Collection Email","1st Email Follow-up","2nd Email Follow-up","Escalation to Local Office","Escalation to CBE","Escalation to Roxanne")&amp;" sent "&amp;TEXT($AA216,"dd-mmm")&amp;". "&amp;IF($Z216=6,"Final escalation completed.",IF($U216="OVERDUE","Next: "&amp;$AC216&amp;" was due "&amp;TEXT($AB216,"dd-mmm")&amp;" - "&amp;(NETWORKDAYS($AB216,TODAY(),Holidays)-1)&amp;" business day(s) late. Send now.",IF($U216="DUE TOMORROW","Next: "&amp;$AC216&amp;IF($AB216&lt;=TODAY()," is due TODAY ("," is due next business day (")&amp;TEXT($AB216,"dd-mmm")&amp;").","Next: "&amp;$AC216&amp;" due "&amp;TEXT($AB216,"dd-mmm")&amp;" ("&amp;(NETWORKDAYS(TODAY(),$AB216,Holidays)-1)&amp;" business day(s) left).")))))</f>
        <v/>
      </c>
      <c r="W216" s="17">
        <f>IF($Z216="","",CHOOSE($Z216,"Collection Email","1st Follow-up","2nd Follow-up","Local Office","CBE","Roxanne")&amp;IF($Z216=6," - Final"," - Day "&amp;MAX(0,NETWORKDAYS($AA216,TODAY(),Holidays)-1)&amp;" of "&amp;CHOOSE($Z216,3,3,2,2,3))&amp;" | Total Day "&amp;MAX(0,NETWORKDAYS($N216,TODAY(),Holidays)-1))</f>
        <v/>
      </c>
      <c r="X216" s="18"/>
      <c r="Y216" s="18"/>
      <c r="Z216" s="17">
        <f>IF($N216="","",COUNT($N216:$S216))</f>
        <v/>
      </c>
      <c r="AA216" s="19">
        <f>IF($Z216="","",INT(INDEX($N216:$S216,$Z216)))</f>
        <v/>
      </c>
      <c r="AB216" s="19">
        <f>IF(OR($Z216="",$Z216=6),"",WORKDAY($AA216,CHOOSE($Z216,3,3,2,2,3),Holidays))</f>
        <v/>
      </c>
      <c r="AC216" s="17">
        <f>IF(OR($Z216="",$Z216=6),"",CHOOSE($Z216,"1st Email Follow-up","2nd Email Follow-up","Escalate Local Office","Escalate to CBE","Escalate to Roxanne"))</f>
        <v/>
      </c>
    </row>
    <row r="217" spans="13:29">
      <c r="M217" s="14"/>
      <c r="T217" s="16"/>
      <c r="U217" s="17">
        <f>IF(AND(COUNTA($A217:$L217)=0,$N217=""),"",IF($T217="Paid","PAID",IF($T217="Closed","CLOSED",IF($Z217="","",IF($Z217=6,"ESCALATED TO ROXANNE",IF(TODAY()&gt;$AB217,"OVERDUE",IF($AB217&lt;=WORKDAY(TODAY(),1,Holidays),"DUE TOMORROW",IF($Z217=4,"ESCALATED TO LOCAL OFFICE",IF($Z217=5,"ESCALATED TO CBE",IF($AA217=TODAY(),"EMAIL SENT","MONITORING"))))))))))</f>
        <v/>
      </c>
      <c r="V217" s="17">
        <f>IF($U217="",IF(AND(COUNTA($A217:$L217)&gt;0,$N217=""),"Awaiting Collection Email time stamp.",""),IF(OR($U217="PAID",$U217="CLOSED"),IF($U217="PAID","Account paid. Action completed.","Account closed. No further action required."),CHOOSE($Z217,"Collection Email","1st Email Follow-up","2nd Email Follow-up","Escalation to Local Office","Escalation to CBE","Escalation to Roxanne")&amp;" sent "&amp;TEXT($AA217,"dd-mmm")&amp;". "&amp;IF($Z217=6,"Final escalation completed.",IF($U217="OVERDUE","Next: "&amp;$AC217&amp;" was due "&amp;TEXT($AB217,"dd-mmm")&amp;" - "&amp;(NETWORKDAYS($AB217,TODAY(),Holidays)-1)&amp;" business day(s) late. Send now.",IF($U217="DUE TOMORROW","Next: "&amp;$AC217&amp;IF($AB217&lt;=TODAY()," is due TODAY ("," is due next business day (")&amp;TEXT($AB217,"dd-mmm")&amp;").","Next: "&amp;$AC217&amp;" due "&amp;TEXT($AB217,"dd-mmm")&amp;" ("&amp;(NETWORKDAYS(TODAY(),$AB217,Holidays)-1)&amp;" business day(s) left).")))))</f>
        <v/>
      </c>
      <c r="W217" s="17">
        <f>IF($Z217="","",CHOOSE($Z217,"Collection Email","1st Follow-up","2nd Follow-up","Local Office","CBE","Roxanne")&amp;IF($Z217=6," - Final"," - Day "&amp;MAX(0,NETWORKDAYS($AA217,TODAY(),Holidays)-1)&amp;" of "&amp;CHOOSE($Z217,3,3,2,2,3))&amp;" | Total Day "&amp;MAX(0,NETWORKDAYS($N217,TODAY(),Holidays)-1))</f>
        <v/>
      </c>
      <c r="X217" s="18"/>
      <c r="Y217" s="18"/>
      <c r="Z217" s="17">
        <f>IF($N217="","",COUNT($N217:$S217))</f>
        <v/>
      </c>
      <c r="AA217" s="19">
        <f>IF($Z217="","",INT(INDEX($N217:$S217,$Z217)))</f>
        <v/>
      </c>
      <c r="AB217" s="19">
        <f>IF(OR($Z217="",$Z217=6),"",WORKDAY($AA217,CHOOSE($Z217,3,3,2,2,3),Holidays))</f>
        <v/>
      </c>
      <c r="AC217" s="17">
        <f>IF(OR($Z217="",$Z217=6),"",CHOOSE($Z217,"1st Email Follow-up","2nd Email Follow-up","Escalate Local Office","Escalate to CBE","Escalate to Roxanne"))</f>
        <v/>
      </c>
    </row>
    <row r="218" spans="13:29">
      <c r="M218" s="14"/>
      <c r="T218" s="16"/>
      <c r="U218" s="17">
        <f>IF(AND(COUNTA($A218:$L218)=0,$N218=""),"",IF($T218="Paid","PAID",IF($T218="Closed","CLOSED",IF($Z218="","",IF($Z218=6,"ESCALATED TO ROXANNE",IF(TODAY()&gt;$AB218,"OVERDUE",IF($AB218&lt;=WORKDAY(TODAY(),1,Holidays),"DUE TOMORROW",IF($Z218=4,"ESCALATED TO LOCAL OFFICE",IF($Z218=5,"ESCALATED TO CBE",IF($AA218=TODAY(),"EMAIL SENT","MONITORING"))))))))))</f>
        <v/>
      </c>
      <c r="V218" s="17">
        <f>IF($U218="",IF(AND(COUNTA($A218:$L218)&gt;0,$N218=""),"Awaiting Collection Email time stamp.",""),IF(OR($U218="PAID",$U218="CLOSED"),IF($U218="PAID","Account paid. Action completed.","Account closed. No further action required."),CHOOSE($Z218,"Collection Email","1st Email Follow-up","2nd Email Follow-up","Escalation to Local Office","Escalation to CBE","Escalation to Roxanne")&amp;" sent "&amp;TEXT($AA218,"dd-mmm")&amp;". "&amp;IF($Z218=6,"Final escalation completed.",IF($U218="OVERDUE","Next: "&amp;$AC218&amp;" was due "&amp;TEXT($AB218,"dd-mmm")&amp;" - "&amp;(NETWORKDAYS($AB218,TODAY(),Holidays)-1)&amp;" business day(s) late. Send now.",IF($U218="DUE TOMORROW","Next: "&amp;$AC218&amp;IF($AB218&lt;=TODAY()," is due TODAY ("," is due next business day (")&amp;TEXT($AB218,"dd-mmm")&amp;").","Next: "&amp;$AC218&amp;" due "&amp;TEXT($AB218,"dd-mmm")&amp;" ("&amp;(NETWORKDAYS(TODAY(),$AB218,Holidays)-1)&amp;" business day(s) left).")))))</f>
        <v/>
      </c>
      <c r="W218" s="17">
        <f>IF($Z218="","",CHOOSE($Z218,"Collection Email","1st Follow-up","2nd Follow-up","Local Office","CBE","Roxanne")&amp;IF($Z218=6," - Final"," - Day "&amp;MAX(0,NETWORKDAYS($AA218,TODAY(),Holidays)-1)&amp;" of "&amp;CHOOSE($Z218,3,3,2,2,3))&amp;" | Total Day "&amp;MAX(0,NETWORKDAYS($N218,TODAY(),Holidays)-1))</f>
        <v/>
      </c>
      <c r="X218" s="18"/>
      <c r="Y218" s="18"/>
      <c r="Z218" s="17">
        <f>IF($N218="","",COUNT($N218:$S218))</f>
        <v/>
      </c>
      <c r="AA218" s="19">
        <f>IF($Z218="","",INT(INDEX($N218:$S218,$Z218)))</f>
        <v/>
      </c>
      <c r="AB218" s="19">
        <f>IF(OR($Z218="",$Z218=6),"",WORKDAY($AA218,CHOOSE($Z218,3,3,2,2,3),Holidays))</f>
        <v/>
      </c>
      <c r="AC218" s="17">
        <f>IF(OR($Z218="",$Z218=6),"",CHOOSE($Z218,"1st Email Follow-up","2nd Email Follow-up","Escalate Local Office","Escalate to CBE","Escalate to Roxanne"))</f>
        <v/>
      </c>
    </row>
    <row r="219" spans="13:29">
      <c r="M219" s="14"/>
      <c r="T219" s="16"/>
      <c r="U219" s="17">
        <f>IF(AND(COUNTA($A219:$L219)=0,$N219=""),"",IF($T219="Paid","PAID",IF($T219="Closed","CLOSED",IF($Z219="","",IF($Z219=6,"ESCALATED TO ROXANNE",IF(TODAY()&gt;$AB219,"OVERDUE",IF($AB219&lt;=WORKDAY(TODAY(),1,Holidays),"DUE TOMORROW",IF($Z219=4,"ESCALATED TO LOCAL OFFICE",IF($Z219=5,"ESCALATED TO CBE",IF($AA219=TODAY(),"EMAIL SENT","MONITORING"))))))))))</f>
        <v/>
      </c>
      <c r="V219" s="17">
        <f>IF($U219="",IF(AND(COUNTA($A219:$L219)&gt;0,$N219=""),"Awaiting Collection Email time stamp.",""),IF(OR($U219="PAID",$U219="CLOSED"),IF($U219="PAID","Account paid. Action completed.","Account closed. No further action required."),CHOOSE($Z219,"Collection Email","1st Email Follow-up","2nd Email Follow-up","Escalation to Local Office","Escalation to CBE","Escalation to Roxanne")&amp;" sent "&amp;TEXT($AA219,"dd-mmm")&amp;". "&amp;IF($Z219=6,"Final escalation completed.",IF($U219="OVERDUE","Next: "&amp;$AC219&amp;" was due "&amp;TEXT($AB219,"dd-mmm")&amp;" - "&amp;(NETWORKDAYS($AB219,TODAY(),Holidays)-1)&amp;" business day(s) late. Send now.",IF($U219="DUE TOMORROW","Next: "&amp;$AC219&amp;IF($AB219&lt;=TODAY()," is due TODAY ("," is due next business day (")&amp;TEXT($AB219,"dd-mmm")&amp;").","Next: "&amp;$AC219&amp;" due "&amp;TEXT($AB219,"dd-mmm")&amp;" ("&amp;(NETWORKDAYS(TODAY(),$AB219,Holidays)-1)&amp;" business day(s) left).")))))</f>
        <v/>
      </c>
      <c r="W219" s="17">
        <f>IF($Z219="","",CHOOSE($Z219,"Collection Email","1st Follow-up","2nd Follow-up","Local Office","CBE","Roxanne")&amp;IF($Z219=6," - Final"," - Day "&amp;MAX(0,NETWORKDAYS($AA219,TODAY(),Holidays)-1)&amp;" of "&amp;CHOOSE($Z219,3,3,2,2,3))&amp;" | Total Day "&amp;MAX(0,NETWORKDAYS($N219,TODAY(),Holidays)-1))</f>
        <v/>
      </c>
      <c r="X219" s="18"/>
      <c r="Y219" s="18"/>
      <c r="Z219" s="17">
        <f>IF($N219="","",COUNT($N219:$S219))</f>
        <v/>
      </c>
      <c r="AA219" s="19">
        <f>IF($Z219="","",INT(INDEX($N219:$S219,$Z219)))</f>
        <v/>
      </c>
      <c r="AB219" s="19">
        <f>IF(OR($Z219="",$Z219=6),"",WORKDAY($AA219,CHOOSE($Z219,3,3,2,2,3),Holidays))</f>
        <v/>
      </c>
      <c r="AC219" s="17">
        <f>IF(OR($Z219="",$Z219=6),"",CHOOSE($Z219,"1st Email Follow-up","2nd Email Follow-up","Escalate Local Office","Escalate to CBE","Escalate to Roxanne"))</f>
        <v/>
      </c>
    </row>
    <row r="220" spans="13:29">
      <c r="M220" s="14"/>
      <c r="T220" s="16"/>
      <c r="U220" s="17">
        <f>IF(AND(COUNTA($A220:$L220)=0,$N220=""),"",IF($T220="Paid","PAID",IF($T220="Closed","CLOSED",IF($Z220="","",IF($Z220=6,"ESCALATED TO ROXANNE",IF(TODAY()&gt;$AB220,"OVERDUE",IF($AB220&lt;=WORKDAY(TODAY(),1,Holidays),"DUE TOMORROW",IF($Z220=4,"ESCALATED TO LOCAL OFFICE",IF($Z220=5,"ESCALATED TO CBE",IF($AA220=TODAY(),"EMAIL SENT","MONITORING"))))))))))</f>
        <v/>
      </c>
      <c r="V220" s="17">
        <f>IF($U220="",IF(AND(COUNTA($A220:$L220)&gt;0,$N220=""),"Awaiting Collection Email time stamp.",""),IF(OR($U220="PAID",$U220="CLOSED"),IF($U220="PAID","Account paid. Action completed.","Account closed. No further action required."),CHOOSE($Z220,"Collection Email","1st Email Follow-up","2nd Email Follow-up","Escalation to Local Office","Escalation to CBE","Escalation to Roxanne")&amp;" sent "&amp;TEXT($AA220,"dd-mmm")&amp;". "&amp;IF($Z220=6,"Final escalation completed.",IF($U220="OVERDUE","Next: "&amp;$AC220&amp;" was due "&amp;TEXT($AB220,"dd-mmm")&amp;" - "&amp;(NETWORKDAYS($AB220,TODAY(),Holidays)-1)&amp;" business day(s) late. Send now.",IF($U220="DUE TOMORROW","Next: "&amp;$AC220&amp;IF($AB220&lt;=TODAY()," is due TODAY ("," is due next business day (")&amp;TEXT($AB220,"dd-mmm")&amp;").","Next: "&amp;$AC220&amp;" due "&amp;TEXT($AB220,"dd-mmm")&amp;" ("&amp;(NETWORKDAYS(TODAY(),$AB220,Holidays)-1)&amp;" business day(s) left).")))))</f>
        <v/>
      </c>
      <c r="W220" s="17">
        <f>IF($Z220="","",CHOOSE($Z220,"Collection Email","1st Follow-up","2nd Follow-up","Local Office","CBE","Roxanne")&amp;IF($Z220=6," - Final"," - Day "&amp;MAX(0,NETWORKDAYS($AA220,TODAY(),Holidays)-1)&amp;" of "&amp;CHOOSE($Z220,3,3,2,2,3))&amp;" | Total Day "&amp;MAX(0,NETWORKDAYS($N220,TODAY(),Holidays)-1))</f>
        <v/>
      </c>
      <c r="X220" s="18"/>
      <c r="Y220" s="18"/>
      <c r="Z220" s="17">
        <f>IF($N220="","",COUNT($N220:$S220))</f>
        <v/>
      </c>
      <c r="AA220" s="19">
        <f>IF($Z220="","",INT(INDEX($N220:$S220,$Z220)))</f>
        <v/>
      </c>
      <c r="AB220" s="19">
        <f>IF(OR($Z220="",$Z220=6),"",WORKDAY($AA220,CHOOSE($Z220,3,3,2,2,3),Holidays))</f>
        <v/>
      </c>
      <c r="AC220" s="17">
        <f>IF(OR($Z220="",$Z220=6),"",CHOOSE($Z220,"1st Email Follow-up","2nd Email Follow-up","Escalate Local Office","Escalate to CBE","Escalate to Roxanne"))</f>
        <v/>
      </c>
    </row>
    <row r="221" spans="13:29">
      <c r="M221" s="14"/>
      <c r="T221" s="16"/>
      <c r="U221" s="17">
        <f>IF(AND(COUNTA($A221:$L221)=0,$N221=""),"",IF($T221="Paid","PAID",IF($T221="Closed","CLOSED",IF($Z221="","",IF($Z221=6,"ESCALATED TO ROXANNE",IF(TODAY()&gt;$AB221,"OVERDUE",IF($AB221&lt;=WORKDAY(TODAY(),1,Holidays),"DUE TOMORROW",IF($Z221=4,"ESCALATED TO LOCAL OFFICE",IF($Z221=5,"ESCALATED TO CBE",IF($AA221=TODAY(),"EMAIL SENT","MONITORING"))))))))))</f>
        <v/>
      </c>
      <c r="V221" s="17">
        <f>IF($U221="",IF(AND(COUNTA($A221:$L221)&gt;0,$N221=""),"Awaiting Collection Email time stamp.",""),IF(OR($U221="PAID",$U221="CLOSED"),IF($U221="PAID","Account paid. Action completed.","Account closed. No further action required."),CHOOSE($Z221,"Collection Email","1st Email Follow-up","2nd Email Follow-up","Escalation to Local Office","Escalation to CBE","Escalation to Roxanne")&amp;" sent "&amp;TEXT($AA221,"dd-mmm")&amp;". "&amp;IF($Z221=6,"Final escalation completed.",IF($U221="OVERDUE","Next: "&amp;$AC221&amp;" was due "&amp;TEXT($AB221,"dd-mmm")&amp;" - "&amp;(NETWORKDAYS($AB221,TODAY(),Holidays)-1)&amp;" business day(s) late. Send now.",IF($U221="DUE TOMORROW","Next: "&amp;$AC221&amp;IF($AB221&lt;=TODAY()," is due TODAY ("," is due next business day (")&amp;TEXT($AB221,"dd-mmm")&amp;").","Next: "&amp;$AC221&amp;" due "&amp;TEXT($AB221,"dd-mmm")&amp;" ("&amp;(NETWORKDAYS(TODAY(),$AB221,Holidays)-1)&amp;" business day(s) left).")))))</f>
        <v/>
      </c>
      <c r="W221" s="17">
        <f>IF($Z221="","",CHOOSE($Z221,"Collection Email","1st Follow-up","2nd Follow-up","Local Office","CBE","Roxanne")&amp;IF($Z221=6," - Final"," - Day "&amp;MAX(0,NETWORKDAYS($AA221,TODAY(),Holidays)-1)&amp;" of "&amp;CHOOSE($Z221,3,3,2,2,3))&amp;" | Total Day "&amp;MAX(0,NETWORKDAYS($N221,TODAY(),Holidays)-1))</f>
        <v/>
      </c>
      <c r="X221" s="18"/>
      <c r="Y221" s="18"/>
      <c r="Z221" s="17">
        <f>IF($N221="","",COUNT($N221:$S221))</f>
        <v/>
      </c>
      <c r="AA221" s="19">
        <f>IF($Z221="","",INT(INDEX($N221:$S221,$Z221)))</f>
        <v/>
      </c>
      <c r="AB221" s="19">
        <f>IF(OR($Z221="",$Z221=6),"",WORKDAY($AA221,CHOOSE($Z221,3,3,2,2,3),Holidays))</f>
        <v/>
      </c>
      <c r="AC221" s="17">
        <f>IF(OR($Z221="",$Z221=6),"",CHOOSE($Z221,"1st Email Follow-up","2nd Email Follow-up","Escalate Local Office","Escalate to CBE","Escalate to Roxanne"))</f>
        <v/>
      </c>
    </row>
    <row r="222" spans="13:29">
      <c r="M222" s="14"/>
      <c r="T222" s="16"/>
      <c r="U222" s="17">
        <f>IF(AND(COUNTA($A222:$L222)=0,$N222=""),"",IF($T222="Paid","PAID",IF($T222="Closed","CLOSED",IF($Z222="","",IF($Z222=6,"ESCALATED TO ROXANNE",IF(TODAY()&gt;$AB222,"OVERDUE",IF($AB222&lt;=WORKDAY(TODAY(),1,Holidays),"DUE TOMORROW",IF($Z222=4,"ESCALATED TO LOCAL OFFICE",IF($Z222=5,"ESCALATED TO CBE",IF($AA222=TODAY(),"EMAIL SENT","MONITORING"))))))))))</f>
        <v/>
      </c>
      <c r="V222" s="17">
        <f>IF($U222="",IF(AND(COUNTA($A222:$L222)&gt;0,$N222=""),"Awaiting Collection Email time stamp.",""),IF(OR($U222="PAID",$U222="CLOSED"),IF($U222="PAID","Account paid. Action completed.","Account closed. No further action required."),CHOOSE($Z222,"Collection Email","1st Email Follow-up","2nd Email Follow-up","Escalation to Local Office","Escalation to CBE","Escalation to Roxanne")&amp;" sent "&amp;TEXT($AA222,"dd-mmm")&amp;". "&amp;IF($Z222=6,"Final escalation completed.",IF($U222="OVERDUE","Next: "&amp;$AC222&amp;" was due "&amp;TEXT($AB222,"dd-mmm")&amp;" - "&amp;(NETWORKDAYS($AB222,TODAY(),Holidays)-1)&amp;" business day(s) late. Send now.",IF($U222="DUE TOMORROW","Next: "&amp;$AC222&amp;IF($AB222&lt;=TODAY()," is due TODAY ("," is due next business day (")&amp;TEXT($AB222,"dd-mmm")&amp;").","Next: "&amp;$AC222&amp;" due "&amp;TEXT($AB222,"dd-mmm")&amp;" ("&amp;(NETWORKDAYS(TODAY(),$AB222,Holidays)-1)&amp;" business day(s) left).")))))</f>
        <v/>
      </c>
      <c r="W222" s="17">
        <f>IF($Z222="","",CHOOSE($Z222,"Collection Email","1st Follow-up","2nd Follow-up","Local Office","CBE","Roxanne")&amp;IF($Z222=6," - Final"," - Day "&amp;MAX(0,NETWORKDAYS($AA222,TODAY(),Holidays)-1)&amp;" of "&amp;CHOOSE($Z222,3,3,2,2,3))&amp;" | Total Day "&amp;MAX(0,NETWORKDAYS($N222,TODAY(),Holidays)-1))</f>
        <v/>
      </c>
      <c r="X222" s="18"/>
      <c r="Y222" s="18"/>
      <c r="Z222" s="17">
        <f>IF($N222="","",COUNT($N222:$S222))</f>
        <v/>
      </c>
      <c r="AA222" s="19">
        <f>IF($Z222="","",INT(INDEX($N222:$S222,$Z222)))</f>
        <v/>
      </c>
      <c r="AB222" s="19">
        <f>IF(OR($Z222="",$Z222=6),"",WORKDAY($AA222,CHOOSE($Z222,3,3,2,2,3),Holidays))</f>
        <v/>
      </c>
      <c r="AC222" s="17">
        <f>IF(OR($Z222="",$Z222=6),"",CHOOSE($Z222,"1st Email Follow-up","2nd Email Follow-up","Escalate Local Office","Escalate to CBE","Escalate to Roxanne"))</f>
        <v/>
      </c>
    </row>
    <row r="223" spans="13:29">
      <c r="M223" s="14"/>
      <c r="T223" s="16"/>
      <c r="U223" s="17">
        <f>IF(AND(COUNTA($A223:$L223)=0,$N223=""),"",IF($T223="Paid","PAID",IF($T223="Closed","CLOSED",IF($Z223="","",IF($Z223=6,"ESCALATED TO ROXANNE",IF(TODAY()&gt;$AB223,"OVERDUE",IF($AB223&lt;=WORKDAY(TODAY(),1,Holidays),"DUE TOMORROW",IF($Z223=4,"ESCALATED TO LOCAL OFFICE",IF($Z223=5,"ESCALATED TO CBE",IF($AA223=TODAY(),"EMAIL SENT","MONITORING"))))))))))</f>
        <v/>
      </c>
      <c r="V223" s="17">
        <f>IF($U223="",IF(AND(COUNTA($A223:$L223)&gt;0,$N223=""),"Awaiting Collection Email time stamp.",""),IF(OR($U223="PAID",$U223="CLOSED"),IF($U223="PAID","Account paid. Action completed.","Account closed. No further action required."),CHOOSE($Z223,"Collection Email","1st Email Follow-up","2nd Email Follow-up","Escalation to Local Office","Escalation to CBE","Escalation to Roxanne")&amp;" sent "&amp;TEXT($AA223,"dd-mmm")&amp;". "&amp;IF($Z223=6,"Final escalation completed.",IF($U223="OVERDUE","Next: "&amp;$AC223&amp;" was due "&amp;TEXT($AB223,"dd-mmm")&amp;" - "&amp;(NETWORKDAYS($AB223,TODAY(),Holidays)-1)&amp;" business day(s) late. Send now.",IF($U223="DUE TOMORROW","Next: "&amp;$AC223&amp;IF($AB223&lt;=TODAY()," is due TODAY ("," is due next business day (")&amp;TEXT($AB223,"dd-mmm")&amp;").","Next: "&amp;$AC223&amp;" due "&amp;TEXT($AB223,"dd-mmm")&amp;" ("&amp;(NETWORKDAYS(TODAY(),$AB223,Holidays)-1)&amp;" business day(s) left).")))))</f>
        <v/>
      </c>
      <c r="W223" s="17">
        <f>IF($Z223="","",CHOOSE($Z223,"Collection Email","1st Follow-up","2nd Follow-up","Local Office","CBE","Roxanne")&amp;IF($Z223=6," - Final"," - Day "&amp;MAX(0,NETWORKDAYS($AA223,TODAY(),Holidays)-1)&amp;" of "&amp;CHOOSE($Z223,3,3,2,2,3))&amp;" | Total Day "&amp;MAX(0,NETWORKDAYS($N223,TODAY(),Holidays)-1))</f>
        <v/>
      </c>
      <c r="X223" s="18"/>
      <c r="Y223" s="18"/>
      <c r="Z223" s="17">
        <f>IF($N223="","",COUNT($N223:$S223))</f>
        <v/>
      </c>
      <c r="AA223" s="19">
        <f>IF($Z223="","",INT(INDEX($N223:$S223,$Z223)))</f>
        <v/>
      </c>
      <c r="AB223" s="19">
        <f>IF(OR($Z223="",$Z223=6),"",WORKDAY($AA223,CHOOSE($Z223,3,3,2,2,3),Holidays))</f>
        <v/>
      </c>
      <c r="AC223" s="17">
        <f>IF(OR($Z223="",$Z223=6),"",CHOOSE($Z223,"1st Email Follow-up","2nd Email Follow-up","Escalate Local Office","Escalate to CBE","Escalate to Roxanne"))</f>
        <v/>
      </c>
    </row>
    <row r="224" spans="13:29">
      <c r="M224" s="14"/>
      <c r="T224" s="16"/>
      <c r="U224" s="17">
        <f>IF(AND(COUNTA($A224:$L224)=0,$N224=""),"",IF($T224="Paid","PAID",IF($T224="Closed","CLOSED",IF($Z224="","",IF($Z224=6,"ESCALATED TO ROXANNE",IF(TODAY()&gt;$AB224,"OVERDUE",IF($AB224&lt;=WORKDAY(TODAY(),1,Holidays),"DUE TOMORROW",IF($Z224=4,"ESCALATED TO LOCAL OFFICE",IF($Z224=5,"ESCALATED TO CBE",IF($AA224=TODAY(),"EMAIL SENT","MONITORING"))))))))))</f>
        <v/>
      </c>
      <c r="V224" s="17">
        <f>IF($U224="",IF(AND(COUNTA($A224:$L224)&gt;0,$N224=""),"Awaiting Collection Email time stamp.",""),IF(OR($U224="PAID",$U224="CLOSED"),IF($U224="PAID","Account paid. Action completed.","Account closed. No further action required."),CHOOSE($Z224,"Collection Email","1st Email Follow-up","2nd Email Follow-up","Escalation to Local Office","Escalation to CBE","Escalation to Roxanne")&amp;" sent "&amp;TEXT($AA224,"dd-mmm")&amp;". "&amp;IF($Z224=6,"Final escalation completed.",IF($U224="OVERDUE","Next: "&amp;$AC224&amp;" was due "&amp;TEXT($AB224,"dd-mmm")&amp;" - "&amp;(NETWORKDAYS($AB224,TODAY(),Holidays)-1)&amp;" business day(s) late. Send now.",IF($U224="DUE TOMORROW","Next: "&amp;$AC224&amp;IF($AB224&lt;=TODAY()," is due TODAY ("," is due next business day (")&amp;TEXT($AB224,"dd-mmm")&amp;").","Next: "&amp;$AC224&amp;" due "&amp;TEXT($AB224,"dd-mmm")&amp;" ("&amp;(NETWORKDAYS(TODAY(),$AB224,Holidays)-1)&amp;" business day(s) left).")))))</f>
        <v/>
      </c>
      <c r="W224" s="17">
        <f>IF($Z224="","",CHOOSE($Z224,"Collection Email","1st Follow-up","2nd Follow-up","Local Office","CBE","Roxanne")&amp;IF($Z224=6," - Final"," - Day "&amp;MAX(0,NETWORKDAYS($AA224,TODAY(),Holidays)-1)&amp;" of "&amp;CHOOSE($Z224,3,3,2,2,3))&amp;" | Total Day "&amp;MAX(0,NETWORKDAYS($N224,TODAY(),Holidays)-1))</f>
        <v/>
      </c>
      <c r="X224" s="18"/>
      <c r="Y224" s="18"/>
      <c r="Z224" s="17">
        <f>IF($N224="","",COUNT($N224:$S224))</f>
        <v/>
      </c>
      <c r="AA224" s="19">
        <f>IF($Z224="","",INT(INDEX($N224:$S224,$Z224)))</f>
        <v/>
      </c>
      <c r="AB224" s="19">
        <f>IF(OR($Z224="",$Z224=6),"",WORKDAY($AA224,CHOOSE($Z224,3,3,2,2,3),Holidays))</f>
        <v/>
      </c>
      <c r="AC224" s="17">
        <f>IF(OR($Z224="",$Z224=6),"",CHOOSE($Z224,"1st Email Follow-up","2nd Email Follow-up","Escalate Local Office","Escalate to CBE","Escalate to Roxanne"))</f>
        <v/>
      </c>
    </row>
    <row r="225" spans="13:29">
      <c r="M225" s="14"/>
      <c r="T225" s="16"/>
      <c r="U225" s="17">
        <f>IF(AND(COUNTA($A225:$L225)=0,$N225=""),"",IF($T225="Paid","PAID",IF($T225="Closed","CLOSED",IF($Z225="","",IF($Z225=6,"ESCALATED TO ROXANNE",IF(TODAY()&gt;$AB225,"OVERDUE",IF($AB225&lt;=WORKDAY(TODAY(),1,Holidays),"DUE TOMORROW",IF($Z225=4,"ESCALATED TO LOCAL OFFICE",IF($Z225=5,"ESCALATED TO CBE",IF($AA225=TODAY(),"EMAIL SENT","MONITORING"))))))))))</f>
        <v/>
      </c>
      <c r="V225" s="17">
        <f>IF($U225="",IF(AND(COUNTA($A225:$L225)&gt;0,$N225=""),"Awaiting Collection Email time stamp.",""),IF(OR($U225="PAID",$U225="CLOSED"),IF($U225="PAID","Account paid. Action completed.","Account closed. No further action required."),CHOOSE($Z225,"Collection Email","1st Email Follow-up","2nd Email Follow-up","Escalation to Local Office","Escalation to CBE","Escalation to Roxanne")&amp;" sent "&amp;TEXT($AA225,"dd-mmm")&amp;". "&amp;IF($Z225=6,"Final escalation completed.",IF($U225="OVERDUE","Next: "&amp;$AC225&amp;" was due "&amp;TEXT($AB225,"dd-mmm")&amp;" - "&amp;(NETWORKDAYS($AB225,TODAY(),Holidays)-1)&amp;" business day(s) late. Send now.",IF($U225="DUE TOMORROW","Next: "&amp;$AC225&amp;IF($AB225&lt;=TODAY()," is due TODAY ("," is due next business day (")&amp;TEXT($AB225,"dd-mmm")&amp;").","Next: "&amp;$AC225&amp;" due "&amp;TEXT($AB225,"dd-mmm")&amp;" ("&amp;(NETWORKDAYS(TODAY(),$AB225,Holidays)-1)&amp;" business day(s) left).")))))</f>
        <v/>
      </c>
      <c r="W225" s="17">
        <f>IF($Z225="","",CHOOSE($Z225,"Collection Email","1st Follow-up","2nd Follow-up","Local Office","CBE","Roxanne")&amp;IF($Z225=6," - Final"," - Day "&amp;MAX(0,NETWORKDAYS($AA225,TODAY(),Holidays)-1)&amp;" of "&amp;CHOOSE($Z225,3,3,2,2,3))&amp;" | Total Day "&amp;MAX(0,NETWORKDAYS($N225,TODAY(),Holidays)-1))</f>
        <v/>
      </c>
      <c r="X225" s="18"/>
      <c r="Y225" s="18"/>
      <c r="Z225" s="17">
        <f>IF($N225="","",COUNT($N225:$S225))</f>
        <v/>
      </c>
      <c r="AA225" s="19">
        <f>IF($Z225="","",INT(INDEX($N225:$S225,$Z225)))</f>
        <v/>
      </c>
      <c r="AB225" s="19">
        <f>IF(OR($Z225="",$Z225=6),"",WORKDAY($AA225,CHOOSE($Z225,3,3,2,2,3),Holidays))</f>
        <v/>
      </c>
      <c r="AC225" s="17">
        <f>IF(OR($Z225="",$Z225=6),"",CHOOSE($Z225,"1st Email Follow-up","2nd Email Follow-up","Escalate Local Office","Escalate to CBE","Escalate to Roxanne"))</f>
        <v/>
      </c>
    </row>
    <row r="226" spans="13:29">
      <c r="M226" s="14"/>
      <c r="T226" s="16"/>
      <c r="U226" s="17">
        <f>IF(AND(COUNTA($A226:$L226)=0,$N226=""),"",IF($T226="Paid","PAID",IF($T226="Closed","CLOSED",IF($Z226="","",IF($Z226=6,"ESCALATED TO ROXANNE",IF(TODAY()&gt;$AB226,"OVERDUE",IF($AB226&lt;=WORKDAY(TODAY(),1,Holidays),"DUE TOMORROW",IF($Z226=4,"ESCALATED TO LOCAL OFFICE",IF($Z226=5,"ESCALATED TO CBE",IF($AA226=TODAY(),"EMAIL SENT","MONITORING"))))))))))</f>
        <v/>
      </c>
      <c r="V226" s="17">
        <f>IF($U226="",IF(AND(COUNTA($A226:$L226)&gt;0,$N226=""),"Awaiting Collection Email time stamp.",""),IF(OR($U226="PAID",$U226="CLOSED"),IF($U226="PAID","Account paid. Action completed.","Account closed. No further action required."),CHOOSE($Z226,"Collection Email","1st Email Follow-up","2nd Email Follow-up","Escalation to Local Office","Escalation to CBE","Escalation to Roxanne")&amp;" sent "&amp;TEXT($AA226,"dd-mmm")&amp;". "&amp;IF($Z226=6,"Final escalation completed.",IF($U226="OVERDUE","Next: "&amp;$AC226&amp;" was due "&amp;TEXT($AB226,"dd-mmm")&amp;" - "&amp;(NETWORKDAYS($AB226,TODAY(),Holidays)-1)&amp;" business day(s) late. Send now.",IF($U226="DUE TOMORROW","Next: "&amp;$AC226&amp;IF($AB226&lt;=TODAY()," is due TODAY ("," is due next business day (")&amp;TEXT($AB226,"dd-mmm")&amp;").","Next: "&amp;$AC226&amp;" due "&amp;TEXT($AB226,"dd-mmm")&amp;" ("&amp;(NETWORKDAYS(TODAY(),$AB226,Holidays)-1)&amp;" business day(s) left).")))))</f>
        <v/>
      </c>
      <c r="W226" s="17">
        <f>IF($Z226="","",CHOOSE($Z226,"Collection Email","1st Follow-up","2nd Follow-up","Local Office","CBE","Roxanne")&amp;IF($Z226=6," - Final"," - Day "&amp;MAX(0,NETWORKDAYS($AA226,TODAY(),Holidays)-1)&amp;" of "&amp;CHOOSE($Z226,3,3,2,2,3))&amp;" | Total Day "&amp;MAX(0,NETWORKDAYS($N226,TODAY(),Holidays)-1))</f>
        <v/>
      </c>
      <c r="X226" s="18"/>
      <c r="Y226" s="18"/>
      <c r="Z226" s="17">
        <f>IF($N226="","",COUNT($N226:$S226))</f>
        <v/>
      </c>
      <c r="AA226" s="19">
        <f>IF($Z226="","",INT(INDEX($N226:$S226,$Z226)))</f>
        <v/>
      </c>
      <c r="AB226" s="19">
        <f>IF(OR($Z226="",$Z226=6),"",WORKDAY($AA226,CHOOSE($Z226,3,3,2,2,3),Holidays))</f>
        <v/>
      </c>
      <c r="AC226" s="17">
        <f>IF(OR($Z226="",$Z226=6),"",CHOOSE($Z226,"1st Email Follow-up","2nd Email Follow-up","Escalate Local Office","Escalate to CBE","Escalate to Roxanne"))</f>
        <v/>
      </c>
    </row>
    <row r="227" spans="13:29">
      <c r="M227" s="14"/>
      <c r="T227" s="16"/>
      <c r="U227" s="17">
        <f>IF(AND(COUNTA($A227:$L227)=0,$N227=""),"",IF($T227="Paid","PAID",IF($T227="Closed","CLOSED",IF($Z227="","",IF($Z227=6,"ESCALATED TO ROXANNE",IF(TODAY()&gt;$AB227,"OVERDUE",IF($AB227&lt;=WORKDAY(TODAY(),1,Holidays),"DUE TOMORROW",IF($Z227=4,"ESCALATED TO LOCAL OFFICE",IF($Z227=5,"ESCALATED TO CBE",IF($AA227=TODAY(),"EMAIL SENT","MONITORING"))))))))))</f>
        <v/>
      </c>
      <c r="V227" s="17">
        <f>IF($U227="",IF(AND(COUNTA($A227:$L227)&gt;0,$N227=""),"Awaiting Collection Email time stamp.",""),IF(OR($U227="PAID",$U227="CLOSED"),IF($U227="PAID","Account paid. Action completed.","Account closed. No further action required."),CHOOSE($Z227,"Collection Email","1st Email Follow-up","2nd Email Follow-up","Escalation to Local Office","Escalation to CBE","Escalation to Roxanne")&amp;" sent "&amp;TEXT($AA227,"dd-mmm")&amp;". "&amp;IF($Z227=6,"Final escalation completed.",IF($U227="OVERDUE","Next: "&amp;$AC227&amp;" was due "&amp;TEXT($AB227,"dd-mmm")&amp;" - "&amp;(NETWORKDAYS($AB227,TODAY(),Holidays)-1)&amp;" business day(s) late. Send now.",IF($U227="DUE TOMORROW","Next: "&amp;$AC227&amp;IF($AB227&lt;=TODAY()," is due TODAY ("," is due next business day (")&amp;TEXT($AB227,"dd-mmm")&amp;").","Next: "&amp;$AC227&amp;" due "&amp;TEXT($AB227,"dd-mmm")&amp;" ("&amp;(NETWORKDAYS(TODAY(),$AB227,Holidays)-1)&amp;" business day(s) left).")))))</f>
        <v/>
      </c>
      <c r="W227" s="17">
        <f>IF($Z227="","",CHOOSE($Z227,"Collection Email","1st Follow-up","2nd Follow-up","Local Office","CBE","Roxanne")&amp;IF($Z227=6," - Final"," - Day "&amp;MAX(0,NETWORKDAYS($AA227,TODAY(),Holidays)-1)&amp;" of "&amp;CHOOSE($Z227,3,3,2,2,3))&amp;" | Total Day "&amp;MAX(0,NETWORKDAYS($N227,TODAY(),Holidays)-1))</f>
        <v/>
      </c>
      <c r="X227" s="18"/>
      <c r="Y227" s="18"/>
      <c r="Z227" s="17">
        <f>IF($N227="","",COUNT($N227:$S227))</f>
        <v/>
      </c>
      <c r="AA227" s="19">
        <f>IF($Z227="","",INT(INDEX($N227:$S227,$Z227)))</f>
        <v/>
      </c>
      <c r="AB227" s="19">
        <f>IF(OR($Z227="",$Z227=6),"",WORKDAY($AA227,CHOOSE($Z227,3,3,2,2,3),Holidays))</f>
        <v/>
      </c>
      <c r="AC227" s="17">
        <f>IF(OR($Z227="",$Z227=6),"",CHOOSE($Z227,"1st Email Follow-up","2nd Email Follow-up","Escalate Local Office","Escalate to CBE","Escalate to Roxanne"))</f>
        <v/>
      </c>
    </row>
    <row r="228" spans="13:29">
      <c r="M228" s="14"/>
      <c r="T228" s="16"/>
      <c r="U228" s="17">
        <f>IF(AND(COUNTA($A228:$L228)=0,$N228=""),"",IF($T228="Paid","PAID",IF($T228="Closed","CLOSED",IF($Z228="","",IF($Z228=6,"ESCALATED TO ROXANNE",IF(TODAY()&gt;$AB228,"OVERDUE",IF($AB228&lt;=WORKDAY(TODAY(),1,Holidays),"DUE TOMORROW",IF($Z228=4,"ESCALATED TO LOCAL OFFICE",IF($Z228=5,"ESCALATED TO CBE",IF($AA228=TODAY(),"EMAIL SENT","MONITORING"))))))))))</f>
        <v/>
      </c>
      <c r="V228" s="17">
        <f>IF($U228="",IF(AND(COUNTA($A228:$L228)&gt;0,$N228=""),"Awaiting Collection Email time stamp.",""),IF(OR($U228="PAID",$U228="CLOSED"),IF($U228="PAID","Account paid. Action completed.","Account closed. No further action required."),CHOOSE($Z228,"Collection Email","1st Email Follow-up","2nd Email Follow-up","Escalation to Local Office","Escalation to CBE","Escalation to Roxanne")&amp;" sent "&amp;TEXT($AA228,"dd-mmm")&amp;". "&amp;IF($Z228=6,"Final escalation completed.",IF($U228="OVERDUE","Next: "&amp;$AC228&amp;" was due "&amp;TEXT($AB228,"dd-mmm")&amp;" - "&amp;(NETWORKDAYS($AB228,TODAY(),Holidays)-1)&amp;" business day(s) late. Send now.",IF($U228="DUE TOMORROW","Next: "&amp;$AC228&amp;IF($AB228&lt;=TODAY()," is due TODAY ("," is due next business day (")&amp;TEXT($AB228,"dd-mmm")&amp;").","Next: "&amp;$AC228&amp;" due "&amp;TEXT($AB228,"dd-mmm")&amp;" ("&amp;(NETWORKDAYS(TODAY(),$AB228,Holidays)-1)&amp;" business day(s) left).")))))</f>
        <v/>
      </c>
      <c r="W228" s="17">
        <f>IF($Z228="","",CHOOSE($Z228,"Collection Email","1st Follow-up","2nd Follow-up","Local Office","CBE","Roxanne")&amp;IF($Z228=6," - Final"," - Day "&amp;MAX(0,NETWORKDAYS($AA228,TODAY(),Holidays)-1)&amp;" of "&amp;CHOOSE($Z228,3,3,2,2,3))&amp;" | Total Day "&amp;MAX(0,NETWORKDAYS($N228,TODAY(),Holidays)-1))</f>
        <v/>
      </c>
      <c r="X228" s="18"/>
      <c r="Y228" s="18"/>
      <c r="Z228" s="17">
        <f>IF($N228="","",COUNT($N228:$S228))</f>
        <v/>
      </c>
      <c r="AA228" s="19">
        <f>IF($Z228="","",INT(INDEX($N228:$S228,$Z228)))</f>
        <v/>
      </c>
      <c r="AB228" s="19">
        <f>IF(OR($Z228="",$Z228=6),"",WORKDAY($AA228,CHOOSE($Z228,3,3,2,2,3),Holidays))</f>
        <v/>
      </c>
      <c r="AC228" s="17">
        <f>IF(OR($Z228="",$Z228=6),"",CHOOSE($Z228,"1st Email Follow-up","2nd Email Follow-up","Escalate Local Office","Escalate to CBE","Escalate to Roxanne"))</f>
        <v/>
      </c>
    </row>
    <row r="229" spans="13:29">
      <c r="M229" s="14"/>
      <c r="T229" s="16"/>
      <c r="U229" s="17">
        <f>IF(AND(COUNTA($A229:$L229)=0,$N229=""),"",IF($T229="Paid","PAID",IF($T229="Closed","CLOSED",IF($Z229="","",IF($Z229=6,"ESCALATED TO ROXANNE",IF(TODAY()&gt;$AB229,"OVERDUE",IF($AB229&lt;=WORKDAY(TODAY(),1,Holidays),"DUE TOMORROW",IF($Z229=4,"ESCALATED TO LOCAL OFFICE",IF($Z229=5,"ESCALATED TO CBE",IF($AA229=TODAY(),"EMAIL SENT","MONITORING"))))))))))</f>
        <v/>
      </c>
      <c r="V229" s="17">
        <f>IF($U229="",IF(AND(COUNTA($A229:$L229)&gt;0,$N229=""),"Awaiting Collection Email time stamp.",""),IF(OR($U229="PAID",$U229="CLOSED"),IF($U229="PAID","Account paid. Action completed.","Account closed. No further action required."),CHOOSE($Z229,"Collection Email","1st Email Follow-up","2nd Email Follow-up","Escalation to Local Office","Escalation to CBE","Escalation to Roxanne")&amp;" sent "&amp;TEXT($AA229,"dd-mmm")&amp;". "&amp;IF($Z229=6,"Final escalation completed.",IF($U229="OVERDUE","Next: "&amp;$AC229&amp;" was due "&amp;TEXT($AB229,"dd-mmm")&amp;" - "&amp;(NETWORKDAYS($AB229,TODAY(),Holidays)-1)&amp;" business day(s) late. Send now.",IF($U229="DUE TOMORROW","Next: "&amp;$AC229&amp;IF($AB229&lt;=TODAY()," is due TODAY ("," is due next business day (")&amp;TEXT($AB229,"dd-mmm")&amp;").","Next: "&amp;$AC229&amp;" due "&amp;TEXT($AB229,"dd-mmm")&amp;" ("&amp;(NETWORKDAYS(TODAY(),$AB229,Holidays)-1)&amp;" business day(s) left).")))))</f>
        <v/>
      </c>
      <c r="W229" s="17">
        <f>IF($Z229="","",CHOOSE($Z229,"Collection Email","1st Follow-up","2nd Follow-up","Local Office","CBE","Roxanne")&amp;IF($Z229=6," - Final"," - Day "&amp;MAX(0,NETWORKDAYS($AA229,TODAY(),Holidays)-1)&amp;" of "&amp;CHOOSE($Z229,3,3,2,2,3))&amp;" | Total Day "&amp;MAX(0,NETWORKDAYS($N229,TODAY(),Holidays)-1))</f>
        <v/>
      </c>
      <c r="X229" s="18"/>
      <c r="Y229" s="18"/>
      <c r="Z229" s="17">
        <f>IF($N229="","",COUNT($N229:$S229))</f>
        <v/>
      </c>
      <c r="AA229" s="19">
        <f>IF($Z229="","",INT(INDEX($N229:$S229,$Z229)))</f>
        <v/>
      </c>
      <c r="AB229" s="19">
        <f>IF(OR($Z229="",$Z229=6),"",WORKDAY($AA229,CHOOSE($Z229,3,3,2,2,3),Holidays))</f>
        <v/>
      </c>
      <c r="AC229" s="17">
        <f>IF(OR($Z229="",$Z229=6),"",CHOOSE($Z229,"1st Email Follow-up","2nd Email Follow-up","Escalate Local Office","Escalate to CBE","Escalate to Roxanne"))</f>
        <v/>
      </c>
    </row>
    <row r="230" spans="13:29">
      <c r="M230" s="14"/>
      <c r="T230" s="16"/>
      <c r="U230" s="17">
        <f>IF(AND(COUNTA($A230:$L230)=0,$N230=""),"",IF($T230="Paid","PAID",IF($T230="Closed","CLOSED",IF($Z230="","",IF($Z230=6,"ESCALATED TO ROXANNE",IF(TODAY()&gt;$AB230,"OVERDUE",IF($AB230&lt;=WORKDAY(TODAY(),1,Holidays),"DUE TOMORROW",IF($Z230=4,"ESCALATED TO LOCAL OFFICE",IF($Z230=5,"ESCALATED TO CBE",IF($AA230=TODAY(),"EMAIL SENT","MONITORING"))))))))))</f>
        <v/>
      </c>
      <c r="V230" s="17">
        <f>IF($U230="",IF(AND(COUNTA($A230:$L230)&gt;0,$N230=""),"Awaiting Collection Email time stamp.",""),IF(OR($U230="PAID",$U230="CLOSED"),IF($U230="PAID","Account paid. Action completed.","Account closed. No further action required."),CHOOSE($Z230,"Collection Email","1st Email Follow-up","2nd Email Follow-up","Escalation to Local Office","Escalation to CBE","Escalation to Roxanne")&amp;" sent "&amp;TEXT($AA230,"dd-mmm")&amp;". "&amp;IF($Z230=6,"Final escalation completed.",IF($U230="OVERDUE","Next: "&amp;$AC230&amp;" was due "&amp;TEXT($AB230,"dd-mmm")&amp;" - "&amp;(NETWORKDAYS($AB230,TODAY(),Holidays)-1)&amp;" business day(s) late. Send now.",IF($U230="DUE TOMORROW","Next: "&amp;$AC230&amp;IF($AB230&lt;=TODAY()," is due TODAY ("," is due next business day (")&amp;TEXT($AB230,"dd-mmm")&amp;").","Next: "&amp;$AC230&amp;" due "&amp;TEXT($AB230,"dd-mmm")&amp;" ("&amp;(NETWORKDAYS(TODAY(),$AB230,Holidays)-1)&amp;" business day(s) left).")))))</f>
        <v/>
      </c>
      <c r="W230" s="17">
        <f>IF($Z230="","",CHOOSE($Z230,"Collection Email","1st Follow-up","2nd Follow-up","Local Office","CBE","Roxanne")&amp;IF($Z230=6," - Final"," - Day "&amp;MAX(0,NETWORKDAYS($AA230,TODAY(),Holidays)-1)&amp;" of "&amp;CHOOSE($Z230,3,3,2,2,3))&amp;" | Total Day "&amp;MAX(0,NETWORKDAYS($N230,TODAY(),Holidays)-1))</f>
        <v/>
      </c>
      <c r="X230" s="18"/>
      <c r="Y230" s="18"/>
      <c r="Z230" s="17">
        <f>IF($N230="","",COUNT($N230:$S230))</f>
        <v/>
      </c>
      <c r="AA230" s="19">
        <f>IF($Z230="","",INT(INDEX($N230:$S230,$Z230)))</f>
        <v/>
      </c>
      <c r="AB230" s="19">
        <f>IF(OR($Z230="",$Z230=6),"",WORKDAY($AA230,CHOOSE($Z230,3,3,2,2,3),Holidays))</f>
        <v/>
      </c>
      <c r="AC230" s="17">
        <f>IF(OR($Z230="",$Z230=6),"",CHOOSE($Z230,"1st Email Follow-up","2nd Email Follow-up","Escalate Local Office","Escalate to CBE","Escalate to Roxanne"))</f>
        <v/>
      </c>
    </row>
    <row r="231" spans="13:29">
      <c r="M231" s="14"/>
      <c r="T231" s="16"/>
      <c r="U231" s="17">
        <f>IF(AND(COUNTA($A231:$L231)=0,$N231=""),"",IF($T231="Paid","PAID",IF($T231="Closed","CLOSED",IF($Z231="","",IF($Z231=6,"ESCALATED TO ROXANNE",IF(TODAY()&gt;$AB231,"OVERDUE",IF($AB231&lt;=WORKDAY(TODAY(),1,Holidays),"DUE TOMORROW",IF($Z231=4,"ESCALATED TO LOCAL OFFICE",IF($Z231=5,"ESCALATED TO CBE",IF($AA231=TODAY(),"EMAIL SENT","MONITORING"))))))))))</f>
        <v/>
      </c>
      <c r="V231" s="17">
        <f>IF($U231="",IF(AND(COUNTA($A231:$L231)&gt;0,$N231=""),"Awaiting Collection Email time stamp.",""),IF(OR($U231="PAID",$U231="CLOSED"),IF($U231="PAID","Account paid. Action completed.","Account closed. No further action required."),CHOOSE($Z231,"Collection Email","1st Email Follow-up","2nd Email Follow-up","Escalation to Local Office","Escalation to CBE","Escalation to Roxanne")&amp;" sent "&amp;TEXT($AA231,"dd-mmm")&amp;". "&amp;IF($Z231=6,"Final escalation completed.",IF($U231="OVERDUE","Next: "&amp;$AC231&amp;" was due "&amp;TEXT($AB231,"dd-mmm")&amp;" - "&amp;(NETWORKDAYS($AB231,TODAY(),Holidays)-1)&amp;" business day(s) late. Send now.",IF($U231="DUE TOMORROW","Next: "&amp;$AC231&amp;IF($AB231&lt;=TODAY()," is due TODAY ("," is due next business day (")&amp;TEXT($AB231,"dd-mmm")&amp;").","Next: "&amp;$AC231&amp;" due "&amp;TEXT($AB231,"dd-mmm")&amp;" ("&amp;(NETWORKDAYS(TODAY(),$AB231,Holidays)-1)&amp;" business day(s) left).")))))</f>
        <v/>
      </c>
      <c r="W231" s="17">
        <f>IF($Z231="","",CHOOSE($Z231,"Collection Email","1st Follow-up","2nd Follow-up","Local Office","CBE","Roxanne")&amp;IF($Z231=6," - Final"," - Day "&amp;MAX(0,NETWORKDAYS($AA231,TODAY(),Holidays)-1)&amp;" of "&amp;CHOOSE($Z231,3,3,2,2,3))&amp;" | Total Day "&amp;MAX(0,NETWORKDAYS($N231,TODAY(),Holidays)-1))</f>
        <v/>
      </c>
      <c r="X231" s="18"/>
      <c r="Y231" s="18"/>
      <c r="Z231" s="17">
        <f>IF($N231="","",COUNT($N231:$S231))</f>
        <v/>
      </c>
      <c r="AA231" s="19">
        <f>IF($Z231="","",INT(INDEX($N231:$S231,$Z231)))</f>
        <v/>
      </c>
      <c r="AB231" s="19">
        <f>IF(OR($Z231="",$Z231=6),"",WORKDAY($AA231,CHOOSE($Z231,3,3,2,2,3),Holidays))</f>
        <v/>
      </c>
      <c r="AC231" s="17">
        <f>IF(OR($Z231="",$Z231=6),"",CHOOSE($Z231,"1st Email Follow-up","2nd Email Follow-up","Escalate Local Office","Escalate to CBE","Escalate to Roxanne"))</f>
        <v/>
      </c>
    </row>
    <row r="232" spans="13:29">
      <c r="M232" s="14"/>
      <c r="T232" s="16"/>
      <c r="U232" s="17">
        <f>IF(AND(COUNTA($A232:$L232)=0,$N232=""),"",IF($T232="Paid","PAID",IF($T232="Closed","CLOSED",IF($Z232="","",IF($Z232=6,"ESCALATED TO ROXANNE",IF(TODAY()&gt;$AB232,"OVERDUE",IF($AB232&lt;=WORKDAY(TODAY(),1,Holidays),"DUE TOMORROW",IF($Z232=4,"ESCALATED TO LOCAL OFFICE",IF($Z232=5,"ESCALATED TO CBE",IF($AA232=TODAY(),"EMAIL SENT","MONITORING"))))))))))</f>
        <v/>
      </c>
      <c r="V232" s="17">
        <f>IF($U232="",IF(AND(COUNTA($A232:$L232)&gt;0,$N232=""),"Awaiting Collection Email time stamp.",""),IF(OR($U232="PAID",$U232="CLOSED"),IF($U232="PAID","Account paid. Action completed.","Account closed. No further action required."),CHOOSE($Z232,"Collection Email","1st Email Follow-up","2nd Email Follow-up","Escalation to Local Office","Escalation to CBE","Escalation to Roxanne")&amp;" sent "&amp;TEXT($AA232,"dd-mmm")&amp;". "&amp;IF($Z232=6,"Final escalation completed.",IF($U232="OVERDUE","Next: "&amp;$AC232&amp;" was due "&amp;TEXT($AB232,"dd-mmm")&amp;" - "&amp;(NETWORKDAYS($AB232,TODAY(),Holidays)-1)&amp;" business day(s) late. Send now.",IF($U232="DUE TOMORROW","Next: "&amp;$AC232&amp;IF($AB232&lt;=TODAY()," is due TODAY ("," is due next business day (")&amp;TEXT($AB232,"dd-mmm")&amp;").","Next: "&amp;$AC232&amp;" due "&amp;TEXT($AB232,"dd-mmm")&amp;" ("&amp;(NETWORKDAYS(TODAY(),$AB232,Holidays)-1)&amp;" business day(s) left).")))))</f>
        <v/>
      </c>
      <c r="W232" s="17">
        <f>IF($Z232="","",CHOOSE($Z232,"Collection Email","1st Follow-up","2nd Follow-up","Local Office","CBE","Roxanne")&amp;IF($Z232=6," - Final"," - Day "&amp;MAX(0,NETWORKDAYS($AA232,TODAY(),Holidays)-1)&amp;" of "&amp;CHOOSE($Z232,3,3,2,2,3))&amp;" | Total Day "&amp;MAX(0,NETWORKDAYS($N232,TODAY(),Holidays)-1))</f>
        <v/>
      </c>
      <c r="X232" s="18"/>
      <c r="Y232" s="18"/>
      <c r="Z232" s="17">
        <f>IF($N232="","",COUNT($N232:$S232))</f>
        <v/>
      </c>
      <c r="AA232" s="19">
        <f>IF($Z232="","",INT(INDEX($N232:$S232,$Z232)))</f>
        <v/>
      </c>
      <c r="AB232" s="19">
        <f>IF(OR($Z232="",$Z232=6),"",WORKDAY($AA232,CHOOSE($Z232,3,3,2,2,3),Holidays))</f>
        <v/>
      </c>
      <c r="AC232" s="17">
        <f>IF(OR($Z232="",$Z232=6),"",CHOOSE($Z232,"1st Email Follow-up","2nd Email Follow-up","Escalate Local Office","Escalate to CBE","Escalate to Roxanne"))</f>
        <v/>
      </c>
    </row>
    <row r="233" spans="13:29">
      <c r="M233" s="14"/>
      <c r="T233" s="16"/>
      <c r="U233" s="17">
        <f>IF(AND(COUNTA($A233:$L233)=0,$N233=""),"",IF($T233="Paid","PAID",IF($T233="Closed","CLOSED",IF($Z233="","",IF($Z233=6,"ESCALATED TO ROXANNE",IF(TODAY()&gt;$AB233,"OVERDUE",IF($AB233&lt;=WORKDAY(TODAY(),1,Holidays),"DUE TOMORROW",IF($Z233=4,"ESCALATED TO LOCAL OFFICE",IF($Z233=5,"ESCALATED TO CBE",IF($AA233=TODAY(),"EMAIL SENT","MONITORING"))))))))))</f>
        <v/>
      </c>
      <c r="V233" s="17">
        <f>IF($U233="",IF(AND(COUNTA($A233:$L233)&gt;0,$N233=""),"Awaiting Collection Email time stamp.",""),IF(OR($U233="PAID",$U233="CLOSED"),IF($U233="PAID","Account paid. Action completed.","Account closed. No further action required."),CHOOSE($Z233,"Collection Email","1st Email Follow-up","2nd Email Follow-up","Escalation to Local Office","Escalation to CBE","Escalation to Roxanne")&amp;" sent "&amp;TEXT($AA233,"dd-mmm")&amp;". "&amp;IF($Z233=6,"Final escalation completed.",IF($U233="OVERDUE","Next: "&amp;$AC233&amp;" was due "&amp;TEXT($AB233,"dd-mmm")&amp;" - "&amp;(NETWORKDAYS($AB233,TODAY(),Holidays)-1)&amp;" business day(s) late. Send now.",IF($U233="DUE TOMORROW","Next: "&amp;$AC233&amp;IF($AB233&lt;=TODAY()," is due TODAY ("," is due next business day (")&amp;TEXT($AB233,"dd-mmm")&amp;").","Next: "&amp;$AC233&amp;" due "&amp;TEXT($AB233,"dd-mmm")&amp;" ("&amp;(NETWORKDAYS(TODAY(),$AB233,Holidays)-1)&amp;" business day(s) left).")))))</f>
        <v/>
      </c>
      <c r="W233" s="17">
        <f>IF($Z233="","",CHOOSE($Z233,"Collection Email","1st Follow-up","2nd Follow-up","Local Office","CBE","Roxanne")&amp;IF($Z233=6," - Final"," - Day "&amp;MAX(0,NETWORKDAYS($AA233,TODAY(),Holidays)-1)&amp;" of "&amp;CHOOSE($Z233,3,3,2,2,3))&amp;" | Total Day "&amp;MAX(0,NETWORKDAYS($N233,TODAY(),Holidays)-1))</f>
        <v/>
      </c>
      <c r="X233" s="18"/>
      <c r="Y233" s="18"/>
      <c r="Z233" s="17">
        <f>IF($N233="","",COUNT($N233:$S233))</f>
        <v/>
      </c>
      <c r="AA233" s="19">
        <f>IF($Z233="","",INT(INDEX($N233:$S233,$Z233)))</f>
        <v/>
      </c>
      <c r="AB233" s="19">
        <f>IF(OR($Z233="",$Z233=6),"",WORKDAY($AA233,CHOOSE($Z233,3,3,2,2,3),Holidays))</f>
        <v/>
      </c>
      <c r="AC233" s="17">
        <f>IF(OR($Z233="",$Z233=6),"",CHOOSE($Z233,"1st Email Follow-up","2nd Email Follow-up","Escalate Local Office","Escalate to CBE","Escalate to Roxanne"))</f>
        <v/>
      </c>
    </row>
    <row r="234" spans="13:29">
      <c r="M234" s="14"/>
      <c r="T234" s="16"/>
      <c r="U234" s="17">
        <f>IF(AND(COUNTA($A234:$L234)=0,$N234=""),"",IF($T234="Paid","PAID",IF($T234="Closed","CLOSED",IF($Z234="","",IF($Z234=6,"ESCALATED TO ROXANNE",IF(TODAY()&gt;$AB234,"OVERDUE",IF($AB234&lt;=WORKDAY(TODAY(),1,Holidays),"DUE TOMORROW",IF($Z234=4,"ESCALATED TO LOCAL OFFICE",IF($Z234=5,"ESCALATED TO CBE",IF($AA234=TODAY(),"EMAIL SENT","MONITORING"))))))))))</f>
        <v/>
      </c>
      <c r="V234" s="17">
        <f>IF($U234="",IF(AND(COUNTA($A234:$L234)&gt;0,$N234=""),"Awaiting Collection Email time stamp.",""),IF(OR($U234="PAID",$U234="CLOSED"),IF($U234="PAID","Account paid. Action completed.","Account closed. No further action required."),CHOOSE($Z234,"Collection Email","1st Email Follow-up","2nd Email Follow-up","Escalation to Local Office","Escalation to CBE","Escalation to Roxanne")&amp;" sent "&amp;TEXT($AA234,"dd-mmm")&amp;". "&amp;IF($Z234=6,"Final escalation completed.",IF($U234="OVERDUE","Next: "&amp;$AC234&amp;" was due "&amp;TEXT($AB234,"dd-mmm")&amp;" - "&amp;(NETWORKDAYS($AB234,TODAY(),Holidays)-1)&amp;" business day(s) late. Send now.",IF($U234="DUE TOMORROW","Next: "&amp;$AC234&amp;IF($AB234&lt;=TODAY()," is due TODAY ("," is due next business day (")&amp;TEXT($AB234,"dd-mmm")&amp;").","Next: "&amp;$AC234&amp;" due "&amp;TEXT($AB234,"dd-mmm")&amp;" ("&amp;(NETWORKDAYS(TODAY(),$AB234,Holidays)-1)&amp;" business day(s) left).")))))</f>
        <v/>
      </c>
      <c r="W234" s="17">
        <f>IF($Z234="","",CHOOSE($Z234,"Collection Email","1st Follow-up","2nd Follow-up","Local Office","CBE","Roxanne")&amp;IF($Z234=6," - Final"," - Day "&amp;MAX(0,NETWORKDAYS($AA234,TODAY(),Holidays)-1)&amp;" of "&amp;CHOOSE($Z234,3,3,2,2,3))&amp;" | Total Day "&amp;MAX(0,NETWORKDAYS($N234,TODAY(),Holidays)-1))</f>
        <v/>
      </c>
      <c r="X234" s="18"/>
      <c r="Y234" s="18"/>
      <c r="Z234" s="17">
        <f>IF($N234="","",COUNT($N234:$S234))</f>
        <v/>
      </c>
      <c r="AA234" s="19">
        <f>IF($Z234="","",INT(INDEX($N234:$S234,$Z234)))</f>
        <v/>
      </c>
      <c r="AB234" s="19">
        <f>IF(OR($Z234="",$Z234=6),"",WORKDAY($AA234,CHOOSE($Z234,3,3,2,2,3),Holidays))</f>
        <v/>
      </c>
      <c r="AC234" s="17">
        <f>IF(OR($Z234="",$Z234=6),"",CHOOSE($Z234,"1st Email Follow-up","2nd Email Follow-up","Escalate Local Office","Escalate to CBE","Escalate to Roxanne"))</f>
        <v/>
      </c>
    </row>
    <row r="235" spans="13:29">
      <c r="M235" s="14"/>
      <c r="T235" s="16"/>
      <c r="U235" s="17">
        <f>IF(AND(COUNTA($A235:$L235)=0,$N235=""),"",IF($T235="Paid","PAID",IF($T235="Closed","CLOSED",IF($Z235="","",IF($Z235=6,"ESCALATED TO ROXANNE",IF(TODAY()&gt;$AB235,"OVERDUE",IF($AB235&lt;=WORKDAY(TODAY(),1,Holidays),"DUE TOMORROW",IF($Z235=4,"ESCALATED TO LOCAL OFFICE",IF($Z235=5,"ESCALATED TO CBE",IF($AA235=TODAY(),"EMAIL SENT","MONITORING"))))))))))</f>
        <v/>
      </c>
      <c r="V235" s="17">
        <f>IF($U235="",IF(AND(COUNTA($A235:$L235)&gt;0,$N235=""),"Awaiting Collection Email time stamp.",""),IF(OR($U235="PAID",$U235="CLOSED"),IF($U235="PAID","Account paid. Action completed.","Account closed. No further action required."),CHOOSE($Z235,"Collection Email","1st Email Follow-up","2nd Email Follow-up","Escalation to Local Office","Escalation to CBE","Escalation to Roxanne")&amp;" sent "&amp;TEXT($AA235,"dd-mmm")&amp;". "&amp;IF($Z235=6,"Final escalation completed.",IF($U235="OVERDUE","Next: "&amp;$AC235&amp;" was due "&amp;TEXT($AB235,"dd-mmm")&amp;" - "&amp;(NETWORKDAYS($AB235,TODAY(),Holidays)-1)&amp;" business day(s) late. Send now.",IF($U235="DUE TOMORROW","Next: "&amp;$AC235&amp;IF($AB235&lt;=TODAY()," is due TODAY ("," is due next business day (")&amp;TEXT($AB235,"dd-mmm")&amp;").","Next: "&amp;$AC235&amp;" due "&amp;TEXT($AB235,"dd-mmm")&amp;" ("&amp;(NETWORKDAYS(TODAY(),$AB235,Holidays)-1)&amp;" business day(s) left).")))))</f>
        <v/>
      </c>
      <c r="W235" s="17">
        <f>IF($Z235="","",CHOOSE($Z235,"Collection Email","1st Follow-up","2nd Follow-up","Local Office","CBE","Roxanne")&amp;IF($Z235=6," - Final"," - Day "&amp;MAX(0,NETWORKDAYS($AA235,TODAY(),Holidays)-1)&amp;" of "&amp;CHOOSE($Z235,3,3,2,2,3))&amp;" | Total Day "&amp;MAX(0,NETWORKDAYS($N235,TODAY(),Holidays)-1))</f>
        <v/>
      </c>
      <c r="X235" s="18"/>
      <c r="Y235" s="18"/>
      <c r="Z235" s="17">
        <f>IF($N235="","",COUNT($N235:$S235))</f>
        <v/>
      </c>
      <c r="AA235" s="19">
        <f>IF($Z235="","",INT(INDEX($N235:$S235,$Z235)))</f>
        <v/>
      </c>
      <c r="AB235" s="19">
        <f>IF(OR($Z235="",$Z235=6),"",WORKDAY($AA235,CHOOSE($Z235,3,3,2,2,3),Holidays))</f>
        <v/>
      </c>
      <c r="AC235" s="17">
        <f>IF(OR($Z235="",$Z235=6),"",CHOOSE($Z235,"1st Email Follow-up","2nd Email Follow-up","Escalate Local Office","Escalate to CBE","Escalate to Roxanne"))</f>
        <v/>
      </c>
    </row>
    <row r="236" spans="13:29">
      <c r="M236" s="14"/>
      <c r="T236" s="16"/>
      <c r="U236" s="17">
        <f>IF(AND(COUNTA($A236:$L236)=0,$N236=""),"",IF($T236="Paid","PAID",IF($T236="Closed","CLOSED",IF($Z236="","",IF($Z236=6,"ESCALATED TO ROXANNE",IF(TODAY()&gt;$AB236,"OVERDUE",IF($AB236&lt;=WORKDAY(TODAY(),1,Holidays),"DUE TOMORROW",IF($Z236=4,"ESCALATED TO LOCAL OFFICE",IF($Z236=5,"ESCALATED TO CBE",IF($AA236=TODAY(),"EMAIL SENT","MONITORING"))))))))))</f>
        <v/>
      </c>
      <c r="V236" s="17">
        <f>IF($U236="",IF(AND(COUNTA($A236:$L236)&gt;0,$N236=""),"Awaiting Collection Email time stamp.",""),IF(OR($U236="PAID",$U236="CLOSED"),IF($U236="PAID","Account paid. Action completed.","Account closed. No further action required."),CHOOSE($Z236,"Collection Email","1st Email Follow-up","2nd Email Follow-up","Escalation to Local Office","Escalation to CBE","Escalation to Roxanne")&amp;" sent "&amp;TEXT($AA236,"dd-mmm")&amp;". "&amp;IF($Z236=6,"Final escalation completed.",IF($U236="OVERDUE","Next: "&amp;$AC236&amp;" was due "&amp;TEXT($AB236,"dd-mmm")&amp;" - "&amp;(NETWORKDAYS($AB236,TODAY(),Holidays)-1)&amp;" business day(s) late. Send now.",IF($U236="DUE TOMORROW","Next: "&amp;$AC236&amp;IF($AB236&lt;=TODAY()," is due TODAY ("," is due next business day (")&amp;TEXT($AB236,"dd-mmm")&amp;").","Next: "&amp;$AC236&amp;" due "&amp;TEXT($AB236,"dd-mmm")&amp;" ("&amp;(NETWORKDAYS(TODAY(),$AB236,Holidays)-1)&amp;" business day(s) left).")))))</f>
        <v/>
      </c>
      <c r="W236" s="17">
        <f>IF($Z236="","",CHOOSE($Z236,"Collection Email","1st Follow-up","2nd Follow-up","Local Office","CBE","Roxanne")&amp;IF($Z236=6," - Final"," - Day "&amp;MAX(0,NETWORKDAYS($AA236,TODAY(),Holidays)-1)&amp;" of "&amp;CHOOSE($Z236,3,3,2,2,3))&amp;" | Total Day "&amp;MAX(0,NETWORKDAYS($N236,TODAY(),Holidays)-1))</f>
        <v/>
      </c>
      <c r="X236" s="18"/>
      <c r="Y236" s="18"/>
      <c r="Z236" s="17">
        <f>IF($N236="","",COUNT($N236:$S236))</f>
        <v/>
      </c>
      <c r="AA236" s="19">
        <f>IF($Z236="","",INT(INDEX($N236:$S236,$Z236)))</f>
        <v/>
      </c>
      <c r="AB236" s="19">
        <f>IF(OR($Z236="",$Z236=6),"",WORKDAY($AA236,CHOOSE($Z236,3,3,2,2,3),Holidays))</f>
        <v/>
      </c>
      <c r="AC236" s="17">
        <f>IF(OR($Z236="",$Z236=6),"",CHOOSE($Z236,"1st Email Follow-up","2nd Email Follow-up","Escalate Local Office","Escalate to CBE","Escalate to Roxanne"))</f>
        <v/>
      </c>
    </row>
    <row r="237" spans="13:29">
      <c r="M237" s="14"/>
      <c r="T237" s="16"/>
      <c r="U237" s="17">
        <f>IF(AND(COUNTA($A237:$L237)=0,$N237=""),"",IF($T237="Paid","PAID",IF($T237="Closed","CLOSED",IF($Z237="","",IF($Z237=6,"ESCALATED TO ROXANNE",IF(TODAY()&gt;$AB237,"OVERDUE",IF($AB237&lt;=WORKDAY(TODAY(),1,Holidays),"DUE TOMORROW",IF($Z237=4,"ESCALATED TO LOCAL OFFICE",IF($Z237=5,"ESCALATED TO CBE",IF($AA237=TODAY(),"EMAIL SENT","MONITORING"))))))))))</f>
        <v/>
      </c>
      <c r="V237" s="17">
        <f>IF($U237="",IF(AND(COUNTA($A237:$L237)&gt;0,$N237=""),"Awaiting Collection Email time stamp.",""),IF(OR($U237="PAID",$U237="CLOSED"),IF($U237="PAID","Account paid. Action completed.","Account closed. No further action required."),CHOOSE($Z237,"Collection Email","1st Email Follow-up","2nd Email Follow-up","Escalation to Local Office","Escalation to CBE","Escalation to Roxanne")&amp;" sent "&amp;TEXT($AA237,"dd-mmm")&amp;". "&amp;IF($Z237=6,"Final escalation completed.",IF($U237="OVERDUE","Next: "&amp;$AC237&amp;" was due "&amp;TEXT($AB237,"dd-mmm")&amp;" - "&amp;(NETWORKDAYS($AB237,TODAY(),Holidays)-1)&amp;" business day(s) late. Send now.",IF($U237="DUE TOMORROW","Next: "&amp;$AC237&amp;IF($AB237&lt;=TODAY()," is due TODAY ("," is due next business day (")&amp;TEXT($AB237,"dd-mmm")&amp;").","Next: "&amp;$AC237&amp;" due "&amp;TEXT($AB237,"dd-mmm")&amp;" ("&amp;(NETWORKDAYS(TODAY(),$AB237,Holidays)-1)&amp;" business day(s) left).")))))</f>
        <v/>
      </c>
      <c r="W237" s="17">
        <f>IF($Z237="","",CHOOSE($Z237,"Collection Email","1st Follow-up","2nd Follow-up","Local Office","CBE","Roxanne")&amp;IF($Z237=6," - Final"," - Day "&amp;MAX(0,NETWORKDAYS($AA237,TODAY(),Holidays)-1)&amp;" of "&amp;CHOOSE($Z237,3,3,2,2,3))&amp;" | Total Day "&amp;MAX(0,NETWORKDAYS($N237,TODAY(),Holidays)-1))</f>
        <v/>
      </c>
      <c r="X237" s="18"/>
      <c r="Y237" s="18"/>
      <c r="Z237" s="17">
        <f>IF($N237="","",COUNT($N237:$S237))</f>
        <v/>
      </c>
      <c r="AA237" s="19">
        <f>IF($Z237="","",INT(INDEX($N237:$S237,$Z237)))</f>
        <v/>
      </c>
      <c r="AB237" s="19">
        <f>IF(OR($Z237="",$Z237=6),"",WORKDAY($AA237,CHOOSE($Z237,3,3,2,2,3),Holidays))</f>
        <v/>
      </c>
      <c r="AC237" s="17">
        <f>IF(OR($Z237="",$Z237=6),"",CHOOSE($Z237,"1st Email Follow-up","2nd Email Follow-up","Escalate Local Office","Escalate to CBE","Escalate to Roxanne"))</f>
        <v/>
      </c>
    </row>
    <row r="238" spans="13:29">
      <c r="M238" s="14"/>
      <c r="T238" s="16"/>
      <c r="U238" s="17">
        <f>IF(AND(COUNTA($A238:$L238)=0,$N238=""),"",IF($T238="Paid","PAID",IF($T238="Closed","CLOSED",IF($Z238="","",IF($Z238=6,"ESCALATED TO ROXANNE",IF(TODAY()&gt;$AB238,"OVERDUE",IF($AB238&lt;=WORKDAY(TODAY(),1,Holidays),"DUE TOMORROW",IF($Z238=4,"ESCALATED TO LOCAL OFFICE",IF($Z238=5,"ESCALATED TO CBE",IF($AA238=TODAY(),"EMAIL SENT","MONITORING"))))))))))</f>
        <v/>
      </c>
      <c r="V238" s="17">
        <f>IF($U238="",IF(AND(COUNTA($A238:$L238)&gt;0,$N238=""),"Awaiting Collection Email time stamp.",""),IF(OR($U238="PAID",$U238="CLOSED"),IF($U238="PAID","Account paid. Action completed.","Account closed. No further action required."),CHOOSE($Z238,"Collection Email","1st Email Follow-up","2nd Email Follow-up","Escalation to Local Office","Escalation to CBE","Escalation to Roxanne")&amp;" sent "&amp;TEXT($AA238,"dd-mmm")&amp;". "&amp;IF($Z238=6,"Final escalation completed.",IF($U238="OVERDUE","Next: "&amp;$AC238&amp;" was due "&amp;TEXT($AB238,"dd-mmm")&amp;" - "&amp;(NETWORKDAYS($AB238,TODAY(),Holidays)-1)&amp;" business day(s) late. Send now.",IF($U238="DUE TOMORROW","Next: "&amp;$AC238&amp;IF($AB238&lt;=TODAY()," is due TODAY ("," is due next business day (")&amp;TEXT($AB238,"dd-mmm")&amp;").","Next: "&amp;$AC238&amp;" due "&amp;TEXT($AB238,"dd-mmm")&amp;" ("&amp;(NETWORKDAYS(TODAY(),$AB238,Holidays)-1)&amp;" business day(s) left).")))))</f>
        <v/>
      </c>
      <c r="W238" s="17">
        <f>IF($Z238="","",CHOOSE($Z238,"Collection Email","1st Follow-up","2nd Follow-up","Local Office","CBE","Roxanne")&amp;IF($Z238=6," - Final"," - Day "&amp;MAX(0,NETWORKDAYS($AA238,TODAY(),Holidays)-1)&amp;" of "&amp;CHOOSE($Z238,3,3,2,2,3))&amp;" | Total Day "&amp;MAX(0,NETWORKDAYS($N238,TODAY(),Holidays)-1))</f>
        <v/>
      </c>
      <c r="X238" s="18"/>
      <c r="Y238" s="18"/>
      <c r="Z238" s="17">
        <f>IF($N238="","",COUNT($N238:$S238))</f>
        <v/>
      </c>
      <c r="AA238" s="19">
        <f>IF($Z238="","",INT(INDEX($N238:$S238,$Z238)))</f>
        <v/>
      </c>
      <c r="AB238" s="19">
        <f>IF(OR($Z238="",$Z238=6),"",WORKDAY($AA238,CHOOSE($Z238,3,3,2,2,3),Holidays))</f>
        <v/>
      </c>
      <c r="AC238" s="17">
        <f>IF(OR($Z238="",$Z238=6),"",CHOOSE($Z238,"1st Email Follow-up","2nd Email Follow-up","Escalate Local Office","Escalate to CBE","Escalate to Roxanne"))</f>
        <v/>
      </c>
    </row>
    <row r="239" spans="13:29">
      <c r="M239" s="14"/>
      <c r="T239" s="16"/>
      <c r="U239" s="17">
        <f>IF(AND(COUNTA($A239:$L239)=0,$N239=""),"",IF($T239="Paid","PAID",IF($T239="Closed","CLOSED",IF($Z239="","",IF($Z239=6,"ESCALATED TO ROXANNE",IF(TODAY()&gt;$AB239,"OVERDUE",IF($AB239&lt;=WORKDAY(TODAY(),1,Holidays),"DUE TOMORROW",IF($Z239=4,"ESCALATED TO LOCAL OFFICE",IF($Z239=5,"ESCALATED TO CBE",IF($AA239=TODAY(),"EMAIL SENT","MONITORING"))))))))))</f>
        <v/>
      </c>
      <c r="V239" s="17">
        <f>IF($U239="",IF(AND(COUNTA($A239:$L239)&gt;0,$N239=""),"Awaiting Collection Email time stamp.",""),IF(OR($U239="PAID",$U239="CLOSED"),IF($U239="PAID","Account paid. Action completed.","Account closed. No further action required."),CHOOSE($Z239,"Collection Email","1st Email Follow-up","2nd Email Follow-up","Escalation to Local Office","Escalation to CBE","Escalation to Roxanne")&amp;" sent "&amp;TEXT($AA239,"dd-mmm")&amp;". "&amp;IF($Z239=6,"Final escalation completed.",IF($U239="OVERDUE","Next: "&amp;$AC239&amp;" was due "&amp;TEXT($AB239,"dd-mmm")&amp;" - "&amp;(NETWORKDAYS($AB239,TODAY(),Holidays)-1)&amp;" business day(s) late. Send now.",IF($U239="DUE TOMORROW","Next: "&amp;$AC239&amp;IF($AB239&lt;=TODAY()," is due TODAY ("," is due next business day (")&amp;TEXT($AB239,"dd-mmm")&amp;").","Next: "&amp;$AC239&amp;" due "&amp;TEXT($AB239,"dd-mmm")&amp;" ("&amp;(NETWORKDAYS(TODAY(),$AB239,Holidays)-1)&amp;" business day(s) left).")))))</f>
        <v/>
      </c>
      <c r="W239" s="17">
        <f>IF($Z239="","",CHOOSE($Z239,"Collection Email","1st Follow-up","2nd Follow-up","Local Office","CBE","Roxanne")&amp;IF($Z239=6," - Final"," - Day "&amp;MAX(0,NETWORKDAYS($AA239,TODAY(),Holidays)-1)&amp;" of "&amp;CHOOSE($Z239,3,3,2,2,3))&amp;" | Total Day "&amp;MAX(0,NETWORKDAYS($N239,TODAY(),Holidays)-1))</f>
        <v/>
      </c>
      <c r="X239" s="18"/>
      <c r="Y239" s="18"/>
      <c r="Z239" s="17">
        <f>IF($N239="","",COUNT($N239:$S239))</f>
        <v/>
      </c>
      <c r="AA239" s="19">
        <f>IF($Z239="","",INT(INDEX($N239:$S239,$Z239)))</f>
        <v/>
      </c>
      <c r="AB239" s="19">
        <f>IF(OR($Z239="",$Z239=6),"",WORKDAY($AA239,CHOOSE($Z239,3,3,2,2,3),Holidays))</f>
        <v/>
      </c>
      <c r="AC239" s="17">
        <f>IF(OR($Z239="",$Z239=6),"",CHOOSE($Z239,"1st Email Follow-up","2nd Email Follow-up","Escalate Local Office","Escalate to CBE","Escalate to Roxanne"))</f>
        <v/>
      </c>
    </row>
    <row r="240" spans="13:29">
      <c r="M240" s="14"/>
      <c r="T240" s="16"/>
      <c r="U240" s="17">
        <f>IF(AND(COUNTA($A240:$L240)=0,$N240=""),"",IF($T240="Paid","PAID",IF($T240="Closed","CLOSED",IF($Z240="","",IF($Z240=6,"ESCALATED TO ROXANNE",IF(TODAY()&gt;$AB240,"OVERDUE",IF($AB240&lt;=WORKDAY(TODAY(),1,Holidays),"DUE TOMORROW",IF($Z240=4,"ESCALATED TO LOCAL OFFICE",IF($Z240=5,"ESCALATED TO CBE",IF($AA240=TODAY(),"EMAIL SENT","MONITORING"))))))))))</f>
        <v/>
      </c>
      <c r="V240" s="17">
        <f>IF($U240="",IF(AND(COUNTA($A240:$L240)&gt;0,$N240=""),"Awaiting Collection Email time stamp.",""),IF(OR($U240="PAID",$U240="CLOSED"),IF($U240="PAID","Account paid. Action completed.","Account closed. No further action required."),CHOOSE($Z240,"Collection Email","1st Email Follow-up","2nd Email Follow-up","Escalation to Local Office","Escalation to CBE","Escalation to Roxanne")&amp;" sent "&amp;TEXT($AA240,"dd-mmm")&amp;". "&amp;IF($Z240=6,"Final escalation completed.",IF($U240="OVERDUE","Next: "&amp;$AC240&amp;" was due "&amp;TEXT($AB240,"dd-mmm")&amp;" - "&amp;(NETWORKDAYS($AB240,TODAY(),Holidays)-1)&amp;" business day(s) late. Send now.",IF($U240="DUE TOMORROW","Next: "&amp;$AC240&amp;IF($AB240&lt;=TODAY()," is due TODAY ("," is due next business day (")&amp;TEXT($AB240,"dd-mmm")&amp;").","Next: "&amp;$AC240&amp;" due "&amp;TEXT($AB240,"dd-mmm")&amp;" ("&amp;(NETWORKDAYS(TODAY(),$AB240,Holidays)-1)&amp;" business day(s) left).")))))</f>
        <v/>
      </c>
      <c r="W240" s="17">
        <f>IF($Z240="","",CHOOSE($Z240,"Collection Email","1st Follow-up","2nd Follow-up","Local Office","CBE","Roxanne")&amp;IF($Z240=6," - Final"," - Day "&amp;MAX(0,NETWORKDAYS($AA240,TODAY(),Holidays)-1)&amp;" of "&amp;CHOOSE($Z240,3,3,2,2,3))&amp;" | Total Day "&amp;MAX(0,NETWORKDAYS($N240,TODAY(),Holidays)-1))</f>
        <v/>
      </c>
      <c r="X240" s="18"/>
      <c r="Y240" s="18"/>
      <c r="Z240" s="17">
        <f>IF($N240="","",COUNT($N240:$S240))</f>
        <v/>
      </c>
      <c r="AA240" s="19">
        <f>IF($Z240="","",INT(INDEX($N240:$S240,$Z240)))</f>
        <v/>
      </c>
      <c r="AB240" s="19">
        <f>IF(OR($Z240="",$Z240=6),"",WORKDAY($AA240,CHOOSE($Z240,3,3,2,2,3),Holidays))</f>
        <v/>
      </c>
      <c r="AC240" s="17">
        <f>IF(OR($Z240="",$Z240=6),"",CHOOSE($Z240,"1st Email Follow-up","2nd Email Follow-up","Escalate Local Office","Escalate to CBE","Escalate to Roxanne"))</f>
        <v/>
      </c>
    </row>
    <row r="241" spans="13:29">
      <c r="M241" s="14"/>
      <c r="T241" s="16"/>
      <c r="U241" s="17">
        <f>IF(AND(COUNTA($A241:$L241)=0,$N241=""),"",IF($T241="Paid","PAID",IF($T241="Closed","CLOSED",IF($Z241="","",IF($Z241=6,"ESCALATED TO ROXANNE",IF(TODAY()&gt;$AB241,"OVERDUE",IF($AB241&lt;=WORKDAY(TODAY(),1,Holidays),"DUE TOMORROW",IF($Z241=4,"ESCALATED TO LOCAL OFFICE",IF($Z241=5,"ESCALATED TO CBE",IF($AA241=TODAY(),"EMAIL SENT","MONITORING"))))))))))</f>
        <v/>
      </c>
      <c r="V241" s="17">
        <f>IF($U241="",IF(AND(COUNTA($A241:$L241)&gt;0,$N241=""),"Awaiting Collection Email time stamp.",""),IF(OR($U241="PAID",$U241="CLOSED"),IF($U241="PAID","Account paid. Action completed.","Account closed. No further action required."),CHOOSE($Z241,"Collection Email","1st Email Follow-up","2nd Email Follow-up","Escalation to Local Office","Escalation to CBE","Escalation to Roxanne")&amp;" sent "&amp;TEXT($AA241,"dd-mmm")&amp;". "&amp;IF($Z241=6,"Final escalation completed.",IF($U241="OVERDUE","Next: "&amp;$AC241&amp;" was due "&amp;TEXT($AB241,"dd-mmm")&amp;" - "&amp;(NETWORKDAYS($AB241,TODAY(),Holidays)-1)&amp;" business day(s) late. Send now.",IF($U241="DUE TOMORROW","Next: "&amp;$AC241&amp;IF($AB241&lt;=TODAY()," is due TODAY ("," is due next business day (")&amp;TEXT($AB241,"dd-mmm")&amp;").","Next: "&amp;$AC241&amp;" due "&amp;TEXT($AB241,"dd-mmm")&amp;" ("&amp;(NETWORKDAYS(TODAY(),$AB241,Holidays)-1)&amp;" business day(s) left).")))))</f>
        <v/>
      </c>
      <c r="W241" s="17">
        <f>IF($Z241="","",CHOOSE($Z241,"Collection Email","1st Follow-up","2nd Follow-up","Local Office","CBE","Roxanne")&amp;IF($Z241=6," - Final"," - Day "&amp;MAX(0,NETWORKDAYS($AA241,TODAY(),Holidays)-1)&amp;" of "&amp;CHOOSE($Z241,3,3,2,2,3))&amp;" | Total Day "&amp;MAX(0,NETWORKDAYS($N241,TODAY(),Holidays)-1))</f>
        <v/>
      </c>
      <c r="X241" s="18"/>
      <c r="Y241" s="18"/>
      <c r="Z241" s="17">
        <f>IF($N241="","",COUNT($N241:$S241))</f>
        <v/>
      </c>
      <c r="AA241" s="19">
        <f>IF($Z241="","",INT(INDEX($N241:$S241,$Z241)))</f>
        <v/>
      </c>
      <c r="AB241" s="19">
        <f>IF(OR($Z241="",$Z241=6),"",WORKDAY($AA241,CHOOSE($Z241,3,3,2,2,3),Holidays))</f>
        <v/>
      </c>
      <c r="AC241" s="17">
        <f>IF(OR($Z241="",$Z241=6),"",CHOOSE($Z241,"1st Email Follow-up","2nd Email Follow-up","Escalate Local Office","Escalate to CBE","Escalate to Roxanne"))</f>
        <v/>
      </c>
    </row>
    <row r="242" spans="13:29">
      <c r="M242" s="14"/>
      <c r="T242" s="16"/>
      <c r="U242" s="17">
        <f>IF(AND(COUNTA($A242:$L242)=0,$N242=""),"",IF($T242="Paid","PAID",IF($T242="Closed","CLOSED",IF($Z242="","",IF($Z242=6,"ESCALATED TO ROXANNE",IF(TODAY()&gt;$AB242,"OVERDUE",IF($AB242&lt;=WORKDAY(TODAY(),1,Holidays),"DUE TOMORROW",IF($Z242=4,"ESCALATED TO LOCAL OFFICE",IF($Z242=5,"ESCALATED TO CBE",IF($AA242=TODAY(),"EMAIL SENT","MONITORING"))))))))))</f>
        <v/>
      </c>
      <c r="V242" s="17">
        <f>IF($U242="",IF(AND(COUNTA($A242:$L242)&gt;0,$N242=""),"Awaiting Collection Email time stamp.",""),IF(OR($U242="PAID",$U242="CLOSED"),IF($U242="PAID","Account paid. Action completed.","Account closed. No further action required."),CHOOSE($Z242,"Collection Email","1st Email Follow-up","2nd Email Follow-up","Escalation to Local Office","Escalation to CBE","Escalation to Roxanne")&amp;" sent "&amp;TEXT($AA242,"dd-mmm")&amp;". "&amp;IF($Z242=6,"Final escalation completed.",IF($U242="OVERDUE","Next: "&amp;$AC242&amp;" was due "&amp;TEXT($AB242,"dd-mmm")&amp;" - "&amp;(NETWORKDAYS($AB242,TODAY(),Holidays)-1)&amp;" business day(s) late. Send now.",IF($U242="DUE TOMORROW","Next: "&amp;$AC242&amp;IF($AB242&lt;=TODAY()," is due TODAY ("," is due next business day (")&amp;TEXT($AB242,"dd-mmm")&amp;").","Next: "&amp;$AC242&amp;" due "&amp;TEXT($AB242,"dd-mmm")&amp;" ("&amp;(NETWORKDAYS(TODAY(),$AB242,Holidays)-1)&amp;" business day(s) left).")))))</f>
        <v/>
      </c>
      <c r="W242" s="17">
        <f>IF($Z242="","",CHOOSE($Z242,"Collection Email","1st Follow-up","2nd Follow-up","Local Office","CBE","Roxanne")&amp;IF($Z242=6," - Final"," - Day "&amp;MAX(0,NETWORKDAYS($AA242,TODAY(),Holidays)-1)&amp;" of "&amp;CHOOSE($Z242,3,3,2,2,3))&amp;" | Total Day "&amp;MAX(0,NETWORKDAYS($N242,TODAY(),Holidays)-1))</f>
        <v/>
      </c>
      <c r="X242" s="18"/>
      <c r="Y242" s="18"/>
      <c r="Z242" s="17">
        <f>IF($N242="","",COUNT($N242:$S242))</f>
        <v/>
      </c>
      <c r="AA242" s="19">
        <f>IF($Z242="","",INT(INDEX($N242:$S242,$Z242)))</f>
        <v/>
      </c>
      <c r="AB242" s="19">
        <f>IF(OR($Z242="",$Z242=6),"",WORKDAY($AA242,CHOOSE($Z242,3,3,2,2,3),Holidays))</f>
        <v/>
      </c>
      <c r="AC242" s="17">
        <f>IF(OR($Z242="",$Z242=6),"",CHOOSE($Z242,"1st Email Follow-up","2nd Email Follow-up","Escalate Local Office","Escalate to CBE","Escalate to Roxanne"))</f>
        <v/>
      </c>
    </row>
    <row r="243" spans="13:29">
      <c r="M243" s="14"/>
      <c r="T243" s="16"/>
      <c r="U243" s="17">
        <f>IF(AND(COUNTA($A243:$L243)=0,$N243=""),"",IF($T243="Paid","PAID",IF($T243="Closed","CLOSED",IF($Z243="","",IF($Z243=6,"ESCALATED TO ROXANNE",IF(TODAY()&gt;$AB243,"OVERDUE",IF($AB243&lt;=WORKDAY(TODAY(),1,Holidays),"DUE TOMORROW",IF($Z243=4,"ESCALATED TO LOCAL OFFICE",IF($Z243=5,"ESCALATED TO CBE",IF($AA243=TODAY(),"EMAIL SENT","MONITORING"))))))))))</f>
        <v/>
      </c>
      <c r="V243" s="17">
        <f>IF($U243="",IF(AND(COUNTA($A243:$L243)&gt;0,$N243=""),"Awaiting Collection Email time stamp.",""),IF(OR($U243="PAID",$U243="CLOSED"),IF($U243="PAID","Account paid. Action completed.","Account closed. No further action required."),CHOOSE($Z243,"Collection Email","1st Email Follow-up","2nd Email Follow-up","Escalation to Local Office","Escalation to CBE","Escalation to Roxanne")&amp;" sent "&amp;TEXT($AA243,"dd-mmm")&amp;". "&amp;IF($Z243=6,"Final escalation completed.",IF($U243="OVERDUE","Next: "&amp;$AC243&amp;" was due "&amp;TEXT($AB243,"dd-mmm")&amp;" - "&amp;(NETWORKDAYS($AB243,TODAY(),Holidays)-1)&amp;" business day(s) late. Send now.",IF($U243="DUE TOMORROW","Next: "&amp;$AC243&amp;IF($AB243&lt;=TODAY()," is due TODAY ("," is due next business day (")&amp;TEXT($AB243,"dd-mmm")&amp;").","Next: "&amp;$AC243&amp;" due "&amp;TEXT($AB243,"dd-mmm")&amp;" ("&amp;(NETWORKDAYS(TODAY(),$AB243,Holidays)-1)&amp;" business day(s) left).")))))</f>
        <v/>
      </c>
      <c r="W243" s="17">
        <f>IF($Z243="","",CHOOSE($Z243,"Collection Email","1st Follow-up","2nd Follow-up","Local Office","CBE","Roxanne")&amp;IF($Z243=6," - Final"," - Day "&amp;MAX(0,NETWORKDAYS($AA243,TODAY(),Holidays)-1)&amp;" of "&amp;CHOOSE($Z243,3,3,2,2,3))&amp;" | Total Day "&amp;MAX(0,NETWORKDAYS($N243,TODAY(),Holidays)-1))</f>
        <v/>
      </c>
      <c r="X243" s="18"/>
      <c r="Y243" s="18"/>
      <c r="Z243" s="17">
        <f>IF($N243="","",COUNT($N243:$S243))</f>
        <v/>
      </c>
      <c r="AA243" s="19">
        <f>IF($Z243="","",INT(INDEX($N243:$S243,$Z243)))</f>
        <v/>
      </c>
      <c r="AB243" s="19">
        <f>IF(OR($Z243="",$Z243=6),"",WORKDAY($AA243,CHOOSE($Z243,3,3,2,2,3),Holidays))</f>
        <v/>
      </c>
      <c r="AC243" s="17">
        <f>IF(OR($Z243="",$Z243=6),"",CHOOSE($Z243,"1st Email Follow-up","2nd Email Follow-up","Escalate Local Office","Escalate to CBE","Escalate to Roxanne"))</f>
        <v/>
      </c>
    </row>
    <row r="244" spans="13:29">
      <c r="M244" s="14"/>
      <c r="T244" s="16"/>
      <c r="U244" s="17">
        <f>IF(AND(COUNTA($A244:$L244)=0,$N244=""),"",IF($T244="Paid","PAID",IF($T244="Closed","CLOSED",IF($Z244="","",IF($Z244=6,"ESCALATED TO ROXANNE",IF(TODAY()&gt;$AB244,"OVERDUE",IF($AB244&lt;=WORKDAY(TODAY(),1,Holidays),"DUE TOMORROW",IF($Z244=4,"ESCALATED TO LOCAL OFFICE",IF($Z244=5,"ESCALATED TO CBE",IF($AA244=TODAY(),"EMAIL SENT","MONITORING"))))))))))</f>
        <v/>
      </c>
      <c r="V244" s="17">
        <f>IF($U244="",IF(AND(COUNTA($A244:$L244)&gt;0,$N244=""),"Awaiting Collection Email time stamp.",""),IF(OR($U244="PAID",$U244="CLOSED"),IF($U244="PAID","Account paid. Action completed.","Account closed. No further action required."),CHOOSE($Z244,"Collection Email","1st Email Follow-up","2nd Email Follow-up","Escalation to Local Office","Escalation to CBE","Escalation to Roxanne")&amp;" sent "&amp;TEXT($AA244,"dd-mmm")&amp;". "&amp;IF($Z244=6,"Final escalation completed.",IF($U244="OVERDUE","Next: "&amp;$AC244&amp;" was due "&amp;TEXT($AB244,"dd-mmm")&amp;" - "&amp;(NETWORKDAYS($AB244,TODAY(),Holidays)-1)&amp;" business day(s) late. Send now.",IF($U244="DUE TOMORROW","Next: "&amp;$AC244&amp;IF($AB244&lt;=TODAY()," is due TODAY ("," is due next business day (")&amp;TEXT($AB244,"dd-mmm")&amp;").","Next: "&amp;$AC244&amp;" due "&amp;TEXT($AB244,"dd-mmm")&amp;" ("&amp;(NETWORKDAYS(TODAY(),$AB244,Holidays)-1)&amp;" business day(s) left).")))))</f>
        <v/>
      </c>
      <c r="W244" s="17">
        <f>IF($Z244="","",CHOOSE($Z244,"Collection Email","1st Follow-up","2nd Follow-up","Local Office","CBE","Roxanne")&amp;IF($Z244=6," - Final"," - Day "&amp;MAX(0,NETWORKDAYS($AA244,TODAY(),Holidays)-1)&amp;" of "&amp;CHOOSE($Z244,3,3,2,2,3))&amp;" | Total Day "&amp;MAX(0,NETWORKDAYS($N244,TODAY(),Holidays)-1))</f>
        <v/>
      </c>
      <c r="X244" s="18"/>
      <c r="Y244" s="18"/>
      <c r="Z244" s="17">
        <f>IF($N244="","",COUNT($N244:$S244))</f>
        <v/>
      </c>
      <c r="AA244" s="19">
        <f>IF($Z244="","",INT(INDEX($N244:$S244,$Z244)))</f>
        <v/>
      </c>
      <c r="AB244" s="19">
        <f>IF(OR($Z244="",$Z244=6),"",WORKDAY($AA244,CHOOSE($Z244,3,3,2,2,3),Holidays))</f>
        <v/>
      </c>
      <c r="AC244" s="17">
        <f>IF(OR($Z244="",$Z244=6),"",CHOOSE($Z244,"1st Email Follow-up","2nd Email Follow-up","Escalate Local Office","Escalate to CBE","Escalate to Roxanne"))</f>
        <v/>
      </c>
    </row>
    <row r="245" spans="13:29">
      <c r="M245" s="14"/>
      <c r="T245" s="16"/>
      <c r="U245" s="17">
        <f>IF(AND(COUNTA($A245:$L245)=0,$N245=""),"",IF($T245="Paid","PAID",IF($T245="Closed","CLOSED",IF($Z245="","",IF($Z245=6,"ESCALATED TO ROXANNE",IF(TODAY()&gt;$AB245,"OVERDUE",IF($AB245&lt;=WORKDAY(TODAY(),1,Holidays),"DUE TOMORROW",IF($Z245=4,"ESCALATED TO LOCAL OFFICE",IF($Z245=5,"ESCALATED TO CBE",IF($AA245=TODAY(),"EMAIL SENT","MONITORING"))))))))))</f>
        <v/>
      </c>
      <c r="V245" s="17">
        <f>IF($U245="",IF(AND(COUNTA($A245:$L245)&gt;0,$N245=""),"Awaiting Collection Email time stamp.",""),IF(OR($U245="PAID",$U245="CLOSED"),IF($U245="PAID","Account paid. Action completed.","Account closed. No further action required."),CHOOSE($Z245,"Collection Email","1st Email Follow-up","2nd Email Follow-up","Escalation to Local Office","Escalation to CBE","Escalation to Roxanne")&amp;" sent "&amp;TEXT($AA245,"dd-mmm")&amp;". "&amp;IF($Z245=6,"Final escalation completed.",IF($U245="OVERDUE","Next: "&amp;$AC245&amp;" was due "&amp;TEXT($AB245,"dd-mmm")&amp;" - "&amp;(NETWORKDAYS($AB245,TODAY(),Holidays)-1)&amp;" business day(s) late. Send now.",IF($U245="DUE TOMORROW","Next: "&amp;$AC245&amp;IF($AB245&lt;=TODAY()," is due TODAY ("," is due next business day (")&amp;TEXT($AB245,"dd-mmm")&amp;").","Next: "&amp;$AC245&amp;" due "&amp;TEXT($AB245,"dd-mmm")&amp;" ("&amp;(NETWORKDAYS(TODAY(),$AB245,Holidays)-1)&amp;" business day(s) left).")))))</f>
        <v/>
      </c>
      <c r="W245" s="17">
        <f>IF($Z245="","",CHOOSE($Z245,"Collection Email","1st Follow-up","2nd Follow-up","Local Office","CBE","Roxanne")&amp;IF($Z245=6," - Final"," - Day "&amp;MAX(0,NETWORKDAYS($AA245,TODAY(),Holidays)-1)&amp;" of "&amp;CHOOSE($Z245,3,3,2,2,3))&amp;" | Total Day "&amp;MAX(0,NETWORKDAYS($N245,TODAY(),Holidays)-1))</f>
        <v/>
      </c>
      <c r="X245" s="18"/>
      <c r="Y245" s="18"/>
      <c r="Z245" s="17">
        <f>IF($N245="","",COUNT($N245:$S245))</f>
        <v/>
      </c>
      <c r="AA245" s="19">
        <f>IF($Z245="","",INT(INDEX($N245:$S245,$Z245)))</f>
        <v/>
      </c>
      <c r="AB245" s="19">
        <f>IF(OR($Z245="",$Z245=6),"",WORKDAY($AA245,CHOOSE($Z245,3,3,2,2,3),Holidays))</f>
        <v/>
      </c>
      <c r="AC245" s="17">
        <f>IF(OR($Z245="",$Z245=6),"",CHOOSE($Z245,"1st Email Follow-up","2nd Email Follow-up","Escalate Local Office","Escalate to CBE","Escalate to Roxanne"))</f>
        <v/>
      </c>
    </row>
    <row r="246" spans="13:29">
      <c r="M246" s="14"/>
      <c r="T246" s="16"/>
      <c r="U246" s="17">
        <f>IF(AND(COUNTA($A246:$L246)=0,$N246=""),"",IF($T246="Paid","PAID",IF($T246="Closed","CLOSED",IF($Z246="","",IF($Z246=6,"ESCALATED TO ROXANNE",IF(TODAY()&gt;$AB246,"OVERDUE",IF($AB246&lt;=WORKDAY(TODAY(),1,Holidays),"DUE TOMORROW",IF($Z246=4,"ESCALATED TO LOCAL OFFICE",IF($Z246=5,"ESCALATED TO CBE",IF($AA246=TODAY(),"EMAIL SENT","MONITORING"))))))))))</f>
        <v/>
      </c>
      <c r="V246" s="17">
        <f>IF($U246="",IF(AND(COUNTA($A246:$L246)&gt;0,$N246=""),"Awaiting Collection Email time stamp.",""),IF(OR($U246="PAID",$U246="CLOSED"),IF($U246="PAID","Account paid. Action completed.","Account closed. No further action required."),CHOOSE($Z246,"Collection Email","1st Email Follow-up","2nd Email Follow-up","Escalation to Local Office","Escalation to CBE","Escalation to Roxanne")&amp;" sent "&amp;TEXT($AA246,"dd-mmm")&amp;". "&amp;IF($Z246=6,"Final escalation completed.",IF($U246="OVERDUE","Next: "&amp;$AC246&amp;" was due "&amp;TEXT($AB246,"dd-mmm")&amp;" - "&amp;(NETWORKDAYS($AB246,TODAY(),Holidays)-1)&amp;" business day(s) late. Send now.",IF($U246="DUE TOMORROW","Next: "&amp;$AC246&amp;IF($AB246&lt;=TODAY()," is due TODAY ("," is due next business day (")&amp;TEXT($AB246,"dd-mmm")&amp;").","Next: "&amp;$AC246&amp;" due "&amp;TEXT($AB246,"dd-mmm")&amp;" ("&amp;(NETWORKDAYS(TODAY(),$AB246,Holidays)-1)&amp;" business day(s) left).")))))</f>
        <v/>
      </c>
      <c r="W246" s="17">
        <f>IF($Z246="","",CHOOSE($Z246,"Collection Email","1st Follow-up","2nd Follow-up","Local Office","CBE","Roxanne")&amp;IF($Z246=6," - Final"," - Day "&amp;MAX(0,NETWORKDAYS($AA246,TODAY(),Holidays)-1)&amp;" of "&amp;CHOOSE($Z246,3,3,2,2,3))&amp;" | Total Day "&amp;MAX(0,NETWORKDAYS($N246,TODAY(),Holidays)-1))</f>
        <v/>
      </c>
      <c r="X246" s="18"/>
      <c r="Y246" s="18"/>
      <c r="Z246" s="17">
        <f>IF($N246="","",COUNT($N246:$S246))</f>
        <v/>
      </c>
      <c r="AA246" s="19">
        <f>IF($Z246="","",INT(INDEX($N246:$S246,$Z246)))</f>
        <v/>
      </c>
      <c r="AB246" s="19">
        <f>IF(OR($Z246="",$Z246=6),"",WORKDAY($AA246,CHOOSE($Z246,3,3,2,2,3),Holidays))</f>
        <v/>
      </c>
      <c r="AC246" s="17">
        <f>IF(OR($Z246="",$Z246=6),"",CHOOSE($Z246,"1st Email Follow-up","2nd Email Follow-up","Escalate Local Office","Escalate to CBE","Escalate to Roxanne"))</f>
        <v/>
      </c>
    </row>
    <row r="247" spans="13:29">
      <c r="M247" s="14"/>
      <c r="T247" s="16"/>
      <c r="U247" s="17">
        <f>IF(AND(COUNTA($A247:$L247)=0,$N247=""),"",IF($T247="Paid","PAID",IF($T247="Closed","CLOSED",IF($Z247="","",IF($Z247=6,"ESCALATED TO ROXANNE",IF(TODAY()&gt;$AB247,"OVERDUE",IF($AB247&lt;=WORKDAY(TODAY(),1,Holidays),"DUE TOMORROW",IF($Z247=4,"ESCALATED TO LOCAL OFFICE",IF($Z247=5,"ESCALATED TO CBE",IF($AA247=TODAY(),"EMAIL SENT","MONITORING"))))))))))</f>
        <v/>
      </c>
      <c r="V247" s="17">
        <f>IF($U247="",IF(AND(COUNTA($A247:$L247)&gt;0,$N247=""),"Awaiting Collection Email time stamp.",""),IF(OR($U247="PAID",$U247="CLOSED"),IF($U247="PAID","Account paid. Action completed.","Account closed. No further action required."),CHOOSE($Z247,"Collection Email","1st Email Follow-up","2nd Email Follow-up","Escalation to Local Office","Escalation to CBE","Escalation to Roxanne")&amp;" sent "&amp;TEXT($AA247,"dd-mmm")&amp;". "&amp;IF($Z247=6,"Final escalation completed.",IF($U247="OVERDUE","Next: "&amp;$AC247&amp;" was due "&amp;TEXT($AB247,"dd-mmm")&amp;" - "&amp;(NETWORKDAYS($AB247,TODAY(),Holidays)-1)&amp;" business day(s) late. Send now.",IF($U247="DUE TOMORROW","Next: "&amp;$AC247&amp;IF($AB247&lt;=TODAY()," is due TODAY ("," is due next business day (")&amp;TEXT($AB247,"dd-mmm")&amp;").","Next: "&amp;$AC247&amp;" due "&amp;TEXT($AB247,"dd-mmm")&amp;" ("&amp;(NETWORKDAYS(TODAY(),$AB247,Holidays)-1)&amp;" business day(s) left).")))))</f>
        <v/>
      </c>
      <c r="W247" s="17">
        <f>IF($Z247="","",CHOOSE($Z247,"Collection Email","1st Follow-up","2nd Follow-up","Local Office","CBE","Roxanne")&amp;IF($Z247=6," - Final"," - Day "&amp;MAX(0,NETWORKDAYS($AA247,TODAY(),Holidays)-1)&amp;" of "&amp;CHOOSE($Z247,3,3,2,2,3))&amp;" | Total Day "&amp;MAX(0,NETWORKDAYS($N247,TODAY(),Holidays)-1))</f>
        <v/>
      </c>
      <c r="X247" s="18"/>
      <c r="Y247" s="18"/>
      <c r="Z247" s="17">
        <f>IF($N247="","",COUNT($N247:$S247))</f>
        <v/>
      </c>
      <c r="AA247" s="19">
        <f>IF($Z247="","",INT(INDEX($N247:$S247,$Z247)))</f>
        <v/>
      </c>
      <c r="AB247" s="19">
        <f>IF(OR($Z247="",$Z247=6),"",WORKDAY($AA247,CHOOSE($Z247,3,3,2,2,3),Holidays))</f>
        <v/>
      </c>
      <c r="AC247" s="17">
        <f>IF(OR($Z247="",$Z247=6),"",CHOOSE($Z247,"1st Email Follow-up","2nd Email Follow-up","Escalate Local Office","Escalate to CBE","Escalate to Roxanne"))</f>
        <v/>
      </c>
    </row>
    <row r="248" spans="13:29">
      <c r="M248" s="14"/>
      <c r="T248" s="16"/>
      <c r="U248" s="17">
        <f>IF(AND(COUNTA($A248:$L248)=0,$N248=""),"",IF($T248="Paid","PAID",IF($T248="Closed","CLOSED",IF($Z248="","",IF($Z248=6,"ESCALATED TO ROXANNE",IF(TODAY()&gt;$AB248,"OVERDUE",IF($AB248&lt;=WORKDAY(TODAY(),1,Holidays),"DUE TOMORROW",IF($Z248=4,"ESCALATED TO LOCAL OFFICE",IF($Z248=5,"ESCALATED TO CBE",IF($AA248=TODAY(),"EMAIL SENT","MONITORING"))))))))))</f>
        <v/>
      </c>
      <c r="V248" s="17">
        <f>IF($U248="",IF(AND(COUNTA($A248:$L248)&gt;0,$N248=""),"Awaiting Collection Email time stamp.",""),IF(OR($U248="PAID",$U248="CLOSED"),IF($U248="PAID","Account paid. Action completed.","Account closed. No further action required."),CHOOSE($Z248,"Collection Email","1st Email Follow-up","2nd Email Follow-up","Escalation to Local Office","Escalation to CBE","Escalation to Roxanne")&amp;" sent "&amp;TEXT($AA248,"dd-mmm")&amp;". "&amp;IF($Z248=6,"Final escalation completed.",IF($U248="OVERDUE","Next: "&amp;$AC248&amp;" was due "&amp;TEXT($AB248,"dd-mmm")&amp;" - "&amp;(NETWORKDAYS($AB248,TODAY(),Holidays)-1)&amp;" business day(s) late. Send now.",IF($U248="DUE TOMORROW","Next: "&amp;$AC248&amp;IF($AB248&lt;=TODAY()," is due TODAY ("," is due next business day (")&amp;TEXT($AB248,"dd-mmm")&amp;").","Next: "&amp;$AC248&amp;" due "&amp;TEXT($AB248,"dd-mmm")&amp;" ("&amp;(NETWORKDAYS(TODAY(),$AB248,Holidays)-1)&amp;" business day(s) left).")))))</f>
        <v/>
      </c>
      <c r="W248" s="17">
        <f>IF($Z248="","",CHOOSE($Z248,"Collection Email","1st Follow-up","2nd Follow-up","Local Office","CBE","Roxanne")&amp;IF($Z248=6," - Final"," - Day "&amp;MAX(0,NETWORKDAYS($AA248,TODAY(),Holidays)-1)&amp;" of "&amp;CHOOSE($Z248,3,3,2,2,3))&amp;" | Total Day "&amp;MAX(0,NETWORKDAYS($N248,TODAY(),Holidays)-1))</f>
        <v/>
      </c>
      <c r="X248" s="18"/>
      <c r="Y248" s="18"/>
      <c r="Z248" s="17">
        <f>IF($N248="","",COUNT($N248:$S248))</f>
        <v/>
      </c>
      <c r="AA248" s="19">
        <f>IF($Z248="","",INT(INDEX($N248:$S248,$Z248)))</f>
        <v/>
      </c>
      <c r="AB248" s="19">
        <f>IF(OR($Z248="",$Z248=6),"",WORKDAY($AA248,CHOOSE($Z248,3,3,2,2,3),Holidays))</f>
        <v/>
      </c>
      <c r="AC248" s="17">
        <f>IF(OR($Z248="",$Z248=6),"",CHOOSE($Z248,"1st Email Follow-up","2nd Email Follow-up","Escalate Local Office","Escalate to CBE","Escalate to Roxanne"))</f>
        <v/>
      </c>
    </row>
    <row r="249" spans="13:29">
      <c r="M249" s="14"/>
      <c r="T249" s="16"/>
      <c r="U249" s="17">
        <f>IF(AND(COUNTA($A249:$L249)=0,$N249=""),"",IF($T249="Paid","PAID",IF($T249="Closed","CLOSED",IF($Z249="","",IF($Z249=6,"ESCALATED TO ROXANNE",IF(TODAY()&gt;$AB249,"OVERDUE",IF($AB249&lt;=WORKDAY(TODAY(),1,Holidays),"DUE TOMORROW",IF($Z249=4,"ESCALATED TO LOCAL OFFICE",IF($Z249=5,"ESCALATED TO CBE",IF($AA249=TODAY(),"EMAIL SENT","MONITORING"))))))))))</f>
        <v/>
      </c>
      <c r="V249" s="17">
        <f>IF($U249="",IF(AND(COUNTA($A249:$L249)&gt;0,$N249=""),"Awaiting Collection Email time stamp.",""),IF(OR($U249="PAID",$U249="CLOSED"),IF($U249="PAID","Account paid. Action completed.","Account closed. No further action required."),CHOOSE($Z249,"Collection Email","1st Email Follow-up","2nd Email Follow-up","Escalation to Local Office","Escalation to CBE","Escalation to Roxanne")&amp;" sent "&amp;TEXT($AA249,"dd-mmm")&amp;". "&amp;IF($Z249=6,"Final escalation completed.",IF($U249="OVERDUE","Next: "&amp;$AC249&amp;" was due "&amp;TEXT($AB249,"dd-mmm")&amp;" - "&amp;(NETWORKDAYS($AB249,TODAY(),Holidays)-1)&amp;" business day(s) late. Send now.",IF($U249="DUE TOMORROW","Next: "&amp;$AC249&amp;IF($AB249&lt;=TODAY()," is due TODAY ("," is due next business day (")&amp;TEXT($AB249,"dd-mmm")&amp;").","Next: "&amp;$AC249&amp;" due "&amp;TEXT($AB249,"dd-mmm")&amp;" ("&amp;(NETWORKDAYS(TODAY(),$AB249,Holidays)-1)&amp;" business day(s) left).")))))</f>
        <v/>
      </c>
      <c r="W249" s="17">
        <f>IF($Z249="","",CHOOSE($Z249,"Collection Email","1st Follow-up","2nd Follow-up","Local Office","CBE","Roxanne")&amp;IF($Z249=6," - Final"," - Day "&amp;MAX(0,NETWORKDAYS($AA249,TODAY(),Holidays)-1)&amp;" of "&amp;CHOOSE($Z249,3,3,2,2,3))&amp;" | Total Day "&amp;MAX(0,NETWORKDAYS($N249,TODAY(),Holidays)-1))</f>
        <v/>
      </c>
      <c r="X249" s="18"/>
      <c r="Y249" s="18"/>
      <c r="Z249" s="17">
        <f>IF($N249="","",COUNT($N249:$S249))</f>
        <v/>
      </c>
      <c r="AA249" s="19">
        <f>IF($Z249="","",INT(INDEX($N249:$S249,$Z249)))</f>
        <v/>
      </c>
      <c r="AB249" s="19">
        <f>IF(OR($Z249="",$Z249=6),"",WORKDAY($AA249,CHOOSE($Z249,3,3,2,2,3),Holidays))</f>
        <v/>
      </c>
      <c r="AC249" s="17">
        <f>IF(OR($Z249="",$Z249=6),"",CHOOSE($Z249,"1st Email Follow-up","2nd Email Follow-up","Escalate Local Office","Escalate to CBE","Escalate to Roxanne"))</f>
        <v/>
      </c>
    </row>
    <row r="250" spans="13:29">
      <c r="M250" s="14"/>
      <c r="T250" s="16"/>
      <c r="U250" s="17">
        <f>IF(AND(COUNTA($A250:$L250)=0,$N250=""),"",IF($T250="Paid","PAID",IF($T250="Closed","CLOSED",IF($Z250="","",IF($Z250=6,"ESCALATED TO ROXANNE",IF(TODAY()&gt;$AB250,"OVERDUE",IF($AB250&lt;=WORKDAY(TODAY(),1,Holidays),"DUE TOMORROW",IF($Z250=4,"ESCALATED TO LOCAL OFFICE",IF($Z250=5,"ESCALATED TO CBE",IF($AA250=TODAY(),"EMAIL SENT","MONITORING"))))))))))</f>
        <v/>
      </c>
      <c r="V250" s="17">
        <f>IF($U250="",IF(AND(COUNTA($A250:$L250)&gt;0,$N250=""),"Awaiting Collection Email time stamp.",""),IF(OR($U250="PAID",$U250="CLOSED"),IF($U250="PAID","Account paid. Action completed.","Account closed. No further action required."),CHOOSE($Z250,"Collection Email","1st Email Follow-up","2nd Email Follow-up","Escalation to Local Office","Escalation to CBE","Escalation to Roxanne")&amp;" sent "&amp;TEXT($AA250,"dd-mmm")&amp;". "&amp;IF($Z250=6,"Final escalation completed.",IF($U250="OVERDUE","Next: "&amp;$AC250&amp;" was due "&amp;TEXT($AB250,"dd-mmm")&amp;" - "&amp;(NETWORKDAYS($AB250,TODAY(),Holidays)-1)&amp;" business day(s) late. Send now.",IF($U250="DUE TOMORROW","Next: "&amp;$AC250&amp;IF($AB250&lt;=TODAY()," is due TODAY ("," is due next business day (")&amp;TEXT($AB250,"dd-mmm")&amp;").","Next: "&amp;$AC250&amp;" due "&amp;TEXT($AB250,"dd-mmm")&amp;" ("&amp;(NETWORKDAYS(TODAY(),$AB250,Holidays)-1)&amp;" business day(s) left).")))))</f>
        <v/>
      </c>
      <c r="W250" s="17">
        <f>IF($Z250="","",CHOOSE($Z250,"Collection Email","1st Follow-up","2nd Follow-up","Local Office","CBE","Roxanne")&amp;IF($Z250=6," - Final"," - Day "&amp;MAX(0,NETWORKDAYS($AA250,TODAY(),Holidays)-1)&amp;" of "&amp;CHOOSE($Z250,3,3,2,2,3))&amp;" | Total Day "&amp;MAX(0,NETWORKDAYS($N250,TODAY(),Holidays)-1))</f>
        <v/>
      </c>
      <c r="X250" s="18"/>
      <c r="Y250" s="18"/>
      <c r="Z250" s="17">
        <f>IF($N250="","",COUNT($N250:$S250))</f>
        <v/>
      </c>
      <c r="AA250" s="19">
        <f>IF($Z250="","",INT(INDEX($N250:$S250,$Z250)))</f>
        <v/>
      </c>
      <c r="AB250" s="19">
        <f>IF(OR($Z250="",$Z250=6),"",WORKDAY($AA250,CHOOSE($Z250,3,3,2,2,3),Holidays))</f>
        <v/>
      </c>
      <c r="AC250" s="17">
        <f>IF(OR($Z250="",$Z250=6),"",CHOOSE($Z250,"1st Email Follow-up","2nd Email Follow-up","Escalate Local Office","Escalate to CBE","Escalate to Roxanne"))</f>
        <v/>
      </c>
    </row>
    <row r="251" spans="13:29">
      <c r="M251" s="14"/>
      <c r="T251" s="16"/>
      <c r="U251" s="17">
        <f>IF(AND(COUNTA($A251:$L251)=0,$N251=""),"",IF($T251="Paid","PAID",IF($T251="Closed","CLOSED",IF($Z251="","",IF($Z251=6,"ESCALATED TO ROXANNE",IF(TODAY()&gt;$AB251,"OVERDUE",IF($AB251&lt;=WORKDAY(TODAY(),1,Holidays),"DUE TOMORROW",IF($Z251=4,"ESCALATED TO LOCAL OFFICE",IF($Z251=5,"ESCALATED TO CBE",IF($AA251=TODAY(),"EMAIL SENT","MONITORING"))))))))))</f>
        <v/>
      </c>
      <c r="V251" s="17">
        <f>IF($U251="",IF(AND(COUNTA($A251:$L251)&gt;0,$N251=""),"Awaiting Collection Email time stamp.",""),IF(OR($U251="PAID",$U251="CLOSED"),IF($U251="PAID","Account paid. Action completed.","Account closed. No further action required."),CHOOSE($Z251,"Collection Email","1st Email Follow-up","2nd Email Follow-up","Escalation to Local Office","Escalation to CBE","Escalation to Roxanne")&amp;" sent "&amp;TEXT($AA251,"dd-mmm")&amp;". "&amp;IF($Z251=6,"Final escalation completed.",IF($U251="OVERDUE","Next: "&amp;$AC251&amp;" was due "&amp;TEXT($AB251,"dd-mmm")&amp;" - "&amp;(NETWORKDAYS($AB251,TODAY(),Holidays)-1)&amp;" business day(s) late. Send now.",IF($U251="DUE TOMORROW","Next: "&amp;$AC251&amp;IF($AB251&lt;=TODAY()," is due TODAY ("," is due next business day (")&amp;TEXT($AB251,"dd-mmm")&amp;").","Next: "&amp;$AC251&amp;" due "&amp;TEXT($AB251,"dd-mmm")&amp;" ("&amp;(NETWORKDAYS(TODAY(),$AB251,Holidays)-1)&amp;" business day(s) left).")))))</f>
        <v/>
      </c>
      <c r="W251" s="17">
        <f>IF($Z251="","",CHOOSE($Z251,"Collection Email","1st Follow-up","2nd Follow-up","Local Office","CBE","Roxanne")&amp;IF($Z251=6," - Final"," - Day "&amp;MAX(0,NETWORKDAYS($AA251,TODAY(),Holidays)-1)&amp;" of "&amp;CHOOSE($Z251,3,3,2,2,3))&amp;" | Total Day "&amp;MAX(0,NETWORKDAYS($N251,TODAY(),Holidays)-1))</f>
        <v/>
      </c>
      <c r="X251" s="18"/>
      <c r="Y251" s="18"/>
      <c r="Z251" s="17">
        <f>IF($N251="","",COUNT($N251:$S251))</f>
        <v/>
      </c>
      <c r="AA251" s="19">
        <f>IF($Z251="","",INT(INDEX($N251:$S251,$Z251)))</f>
        <v/>
      </c>
      <c r="AB251" s="19">
        <f>IF(OR($Z251="",$Z251=6),"",WORKDAY($AA251,CHOOSE($Z251,3,3,2,2,3),Holidays))</f>
        <v/>
      </c>
      <c r="AC251" s="17">
        <f>IF(OR($Z251="",$Z251=6),"",CHOOSE($Z251,"1st Email Follow-up","2nd Email Follow-up","Escalate Local Office","Escalate to CBE","Escalate to Roxanne"))</f>
        <v/>
      </c>
    </row>
    <row r="252" spans="13:29">
      <c r="M252" s="14"/>
      <c r="T252" s="16"/>
      <c r="U252" s="17">
        <f>IF(AND(COUNTA($A252:$L252)=0,$N252=""),"",IF($T252="Paid","PAID",IF($T252="Closed","CLOSED",IF($Z252="","",IF($Z252=6,"ESCALATED TO ROXANNE",IF(TODAY()&gt;$AB252,"OVERDUE",IF($AB252&lt;=WORKDAY(TODAY(),1,Holidays),"DUE TOMORROW",IF($Z252=4,"ESCALATED TO LOCAL OFFICE",IF($Z252=5,"ESCALATED TO CBE",IF($AA252=TODAY(),"EMAIL SENT","MONITORING"))))))))))</f>
        <v/>
      </c>
      <c r="V252" s="17">
        <f>IF($U252="",IF(AND(COUNTA($A252:$L252)&gt;0,$N252=""),"Awaiting Collection Email time stamp.",""),IF(OR($U252="PAID",$U252="CLOSED"),IF($U252="PAID","Account paid. Action completed.","Account closed. No further action required."),CHOOSE($Z252,"Collection Email","1st Email Follow-up","2nd Email Follow-up","Escalation to Local Office","Escalation to CBE","Escalation to Roxanne")&amp;" sent "&amp;TEXT($AA252,"dd-mmm")&amp;". "&amp;IF($Z252=6,"Final escalation completed.",IF($U252="OVERDUE","Next: "&amp;$AC252&amp;" was due "&amp;TEXT($AB252,"dd-mmm")&amp;" - "&amp;(NETWORKDAYS($AB252,TODAY(),Holidays)-1)&amp;" business day(s) late. Send now.",IF($U252="DUE TOMORROW","Next: "&amp;$AC252&amp;IF($AB252&lt;=TODAY()," is due TODAY ("," is due next business day (")&amp;TEXT($AB252,"dd-mmm")&amp;").","Next: "&amp;$AC252&amp;" due "&amp;TEXT($AB252,"dd-mmm")&amp;" ("&amp;(NETWORKDAYS(TODAY(),$AB252,Holidays)-1)&amp;" business day(s) left).")))))</f>
        <v/>
      </c>
      <c r="W252" s="17">
        <f>IF($Z252="","",CHOOSE($Z252,"Collection Email","1st Follow-up","2nd Follow-up","Local Office","CBE","Roxanne")&amp;IF($Z252=6," - Final"," - Day "&amp;MAX(0,NETWORKDAYS($AA252,TODAY(),Holidays)-1)&amp;" of "&amp;CHOOSE($Z252,3,3,2,2,3))&amp;" | Total Day "&amp;MAX(0,NETWORKDAYS($N252,TODAY(),Holidays)-1))</f>
        <v/>
      </c>
      <c r="X252" s="18"/>
      <c r="Y252" s="18"/>
      <c r="Z252" s="17">
        <f>IF($N252="","",COUNT($N252:$S252))</f>
        <v/>
      </c>
      <c r="AA252" s="19">
        <f>IF($Z252="","",INT(INDEX($N252:$S252,$Z252)))</f>
        <v/>
      </c>
      <c r="AB252" s="19">
        <f>IF(OR($Z252="",$Z252=6),"",WORKDAY($AA252,CHOOSE($Z252,3,3,2,2,3),Holidays))</f>
        <v/>
      </c>
      <c r="AC252" s="17">
        <f>IF(OR($Z252="",$Z252=6),"",CHOOSE($Z252,"1st Email Follow-up","2nd Email Follow-up","Escalate Local Office","Escalate to CBE","Escalate to Roxanne"))</f>
        <v/>
      </c>
    </row>
    <row r="253" spans="13:29">
      <c r="M253" s="14"/>
      <c r="T253" s="16"/>
      <c r="U253" s="17">
        <f>IF(AND(COUNTA($A253:$L253)=0,$N253=""),"",IF($T253="Paid","PAID",IF($T253="Closed","CLOSED",IF($Z253="","",IF($Z253=6,"ESCALATED TO ROXANNE",IF(TODAY()&gt;$AB253,"OVERDUE",IF($AB253&lt;=WORKDAY(TODAY(),1,Holidays),"DUE TOMORROW",IF($Z253=4,"ESCALATED TO LOCAL OFFICE",IF($Z253=5,"ESCALATED TO CBE",IF($AA253=TODAY(),"EMAIL SENT","MONITORING"))))))))))</f>
        <v/>
      </c>
      <c r="V253" s="17">
        <f>IF($U253="",IF(AND(COUNTA($A253:$L253)&gt;0,$N253=""),"Awaiting Collection Email time stamp.",""),IF(OR($U253="PAID",$U253="CLOSED"),IF($U253="PAID","Account paid. Action completed.","Account closed. No further action required."),CHOOSE($Z253,"Collection Email","1st Email Follow-up","2nd Email Follow-up","Escalation to Local Office","Escalation to CBE","Escalation to Roxanne")&amp;" sent "&amp;TEXT($AA253,"dd-mmm")&amp;". "&amp;IF($Z253=6,"Final escalation completed.",IF($U253="OVERDUE","Next: "&amp;$AC253&amp;" was due "&amp;TEXT($AB253,"dd-mmm")&amp;" - "&amp;(NETWORKDAYS($AB253,TODAY(),Holidays)-1)&amp;" business day(s) late. Send now.",IF($U253="DUE TOMORROW","Next: "&amp;$AC253&amp;IF($AB253&lt;=TODAY()," is due TODAY ("," is due next business day (")&amp;TEXT($AB253,"dd-mmm")&amp;").","Next: "&amp;$AC253&amp;" due "&amp;TEXT($AB253,"dd-mmm")&amp;" ("&amp;(NETWORKDAYS(TODAY(),$AB253,Holidays)-1)&amp;" business day(s) left).")))))</f>
        <v/>
      </c>
      <c r="W253" s="17">
        <f>IF($Z253="","",CHOOSE($Z253,"Collection Email","1st Follow-up","2nd Follow-up","Local Office","CBE","Roxanne")&amp;IF($Z253=6," - Final"," - Day "&amp;MAX(0,NETWORKDAYS($AA253,TODAY(),Holidays)-1)&amp;" of "&amp;CHOOSE($Z253,3,3,2,2,3))&amp;" | Total Day "&amp;MAX(0,NETWORKDAYS($N253,TODAY(),Holidays)-1))</f>
        <v/>
      </c>
      <c r="X253" s="18"/>
      <c r="Y253" s="18"/>
      <c r="Z253" s="17">
        <f>IF($N253="","",COUNT($N253:$S253))</f>
        <v/>
      </c>
      <c r="AA253" s="19">
        <f>IF($Z253="","",INT(INDEX($N253:$S253,$Z253)))</f>
        <v/>
      </c>
      <c r="AB253" s="19">
        <f>IF(OR($Z253="",$Z253=6),"",WORKDAY($AA253,CHOOSE($Z253,3,3,2,2,3),Holidays))</f>
        <v/>
      </c>
      <c r="AC253" s="17">
        <f>IF(OR($Z253="",$Z253=6),"",CHOOSE($Z253,"1st Email Follow-up","2nd Email Follow-up","Escalate Local Office","Escalate to CBE","Escalate to Roxanne"))</f>
        <v/>
      </c>
    </row>
    <row r="254" spans="13:29">
      <c r="M254" s="14"/>
      <c r="T254" s="16"/>
      <c r="U254" s="17">
        <f>IF(AND(COUNTA($A254:$L254)=0,$N254=""),"",IF($T254="Paid","PAID",IF($T254="Closed","CLOSED",IF($Z254="","",IF($Z254=6,"ESCALATED TO ROXANNE",IF(TODAY()&gt;$AB254,"OVERDUE",IF($AB254&lt;=WORKDAY(TODAY(),1,Holidays),"DUE TOMORROW",IF($Z254=4,"ESCALATED TO LOCAL OFFICE",IF($Z254=5,"ESCALATED TO CBE",IF($AA254=TODAY(),"EMAIL SENT","MONITORING"))))))))))</f>
        <v/>
      </c>
      <c r="V254" s="17">
        <f>IF($U254="",IF(AND(COUNTA($A254:$L254)&gt;0,$N254=""),"Awaiting Collection Email time stamp.",""),IF(OR($U254="PAID",$U254="CLOSED"),IF($U254="PAID","Account paid. Action completed.","Account closed. No further action required."),CHOOSE($Z254,"Collection Email","1st Email Follow-up","2nd Email Follow-up","Escalation to Local Office","Escalation to CBE","Escalation to Roxanne")&amp;" sent "&amp;TEXT($AA254,"dd-mmm")&amp;". "&amp;IF($Z254=6,"Final escalation completed.",IF($U254="OVERDUE","Next: "&amp;$AC254&amp;" was due "&amp;TEXT($AB254,"dd-mmm")&amp;" - "&amp;(NETWORKDAYS($AB254,TODAY(),Holidays)-1)&amp;" business day(s) late. Send now.",IF($U254="DUE TOMORROW","Next: "&amp;$AC254&amp;IF($AB254&lt;=TODAY()," is due TODAY ("," is due next business day (")&amp;TEXT($AB254,"dd-mmm")&amp;").","Next: "&amp;$AC254&amp;" due "&amp;TEXT($AB254,"dd-mmm")&amp;" ("&amp;(NETWORKDAYS(TODAY(),$AB254,Holidays)-1)&amp;" business day(s) left).")))))</f>
        <v/>
      </c>
      <c r="W254" s="17">
        <f>IF($Z254="","",CHOOSE($Z254,"Collection Email","1st Follow-up","2nd Follow-up","Local Office","CBE","Roxanne")&amp;IF($Z254=6," - Final"," - Day "&amp;MAX(0,NETWORKDAYS($AA254,TODAY(),Holidays)-1)&amp;" of "&amp;CHOOSE($Z254,3,3,2,2,3))&amp;" | Total Day "&amp;MAX(0,NETWORKDAYS($N254,TODAY(),Holidays)-1))</f>
        <v/>
      </c>
      <c r="X254" s="18"/>
      <c r="Y254" s="18"/>
      <c r="Z254" s="17">
        <f>IF($N254="","",COUNT($N254:$S254))</f>
        <v/>
      </c>
      <c r="AA254" s="19">
        <f>IF($Z254="","",INT(INDEX($N254:$S254,$Z254)))</f>
        <v/>
      </c>
      <c r="AB254" s="19">
        <f>IF(OR($Z254="",$Z254=6),"",WORKDAY($AA254,CHOOSE($Z254,3,3,2,2,3),Holidays))</f>
        <v/>
      </c>
      <c r="AC254" s="17">
        <f>IF(OR($Z254="",$Z254=6),"",CHOOSE($Z254,"1st Email Follow-up","2nd Email Follow-up","Escalate Local Office","Escalate to CBE","Escalate to Roxanne"))</f>
        <v/>
      </c>
    </row>
    <row r="255" spans="13:29">
      <c r="M255" s="14"/>
      <c r="T255" s="16"/>
      <c r="U255" s="17">
        <f>IF(AND(COUNTA($A255:$L255)=0,$N255=""),"",IF($T255="Paid","PAID",IF($T255="Closed","CLOSED",IF($Z255="","",IF($Z255=6,"ESCALATED TO ROXANNE",IF(TODAY()&gt;$AB255,"OVERDUE",IF($AB255&lt;=WORKDAY(TODAY(),1,Holidays),"DUE TOMORROW",IF($Z255=4,"ESCALATED TO LOCAL OFFICE",IF($Z255=5,"ESCALATED TO CBE",IF($AA255=TODAY(),"EMAIL SENT","MONITORING"))))))))))</f>
        <v/>
      </c>
      <c r="V255" s="17">
        <f>IF($U255="",IF(AND(COUNTA($A255:$L255)&gt;0,$N255=""),"Awaiting Collection Email time stamp.",""),IF(OR($U255="PAID",$U255="CLOSED"),IF($U255="PAID","Account paid. Action completed.","Account closed. No further action required."),CHOOSE($Z255,"Collection Email","1st Email Follow-up","2nd Email Follow-up","Escalation to Local Office","Escalation to CBE","Escalation to Roxanne")&amp;" sent "&amp;TEXT($AA255,"dd-mmm")&amp;". "&amp;IF($Z255=6,"Final escalation completed.",IF($U255="OVERDUE","Next: "&amp;$AC255&amp;" was due "&amp;TEXT($AB255,"dd-mmm")&amp;" - "&amp;(NETWORKDAYS($AB255,TODAY(),Holidays)-1)&amp;" business day(s) late. Send now.",IF($U255="DUE TOMORROW","Next: "&amp;$AC255&amp;IF($AB255&lt;=TODAY()," is due TODAY ("," is due next business day (")&amp;TEXT($AB255,"dd-mmm")&amp;").","Next: "&amp;$AC255&amp;" due "&amp;TEXT($AB255,"dd-mmm")&amp;" ("&amp;(NETWORKDAYS(TODAY(),$AB255,Holidays)-1)&amp;" business day(s) left).")))))</f>
        <v/>
      </c>
      <c r="W255" s="17">
        <f>IF($Z255="","",CHOOSE($Z255,"Collection Email","1st Follow-up","2nd Follow-up","Local Office","CBE","Roxanne")&amp;IF($Z255=6," - Final"," - Day "&amp;MAX(0,NETWORKDAYS($AA255,TODAY(),Holidays)-1)&amp;" of "&amp;CHOOSE($Z255,3,3,2,2,3))&amp;" | Total Day "&amp;MAX(0,NETWORKDAYS($N255,TODAY(),Holidays)-1))</f>
        <v/>
      </c>
      <c r="X255" s="18"/>
      <c r="Y255" s="18"/>
      <c r="Z255" s="17">
        <f>IF($N255="","",COUNT($N255:$S255))</f>
        <v/>
      </c>
      <c r="AA255" s="19">
        <f>IF($Z255="","",INT(INDEX($N255:$S255,$Z255)))</f>
        <v/>
      </c>
      <c r="AB255" s="19">
        <f>IF(OR($Z255="",$Z255=6),"",WORKDAY($AA255,CHOOSE($Z255,3,3,2,2,3),Holidays))</f>
        <v/>
      </c>
      <c r="AC255" s="17">
        <f>IF(OR($Z255="",$Z255=6),"",CHOOSE($Z255,"1st Email Follow-up","2nd Email Follow-up","Escalate Local Office","Escalate to CBE","Escalate to Roxanne"))</f>
        <v/>
      </c>
    </row>
    <row r="256" spans="13:29">
      <c r="M256" s="14"/>
      <c r="T256" s="16"/>
      <c r="U256" s="17">
        <f>IF(AND(COUNTA($A256:$L256)=0,$N256=""),"",IF($T256="Paid","PAID",IF($T256="Closed","CLOSED",IF($Z256="","",IF($Z256=6,"ESCALATED TO ROXANNE",IF(TODAY()&gt;$AB256,"OVERDUE",IF($AB256&lt;=WORKDAY(TODAY(),1,Holidays),"DUE TOMORROW",IF($Z256=4,"ESCALATED TO LOCAL OFFICE",IF($Z256=5,"ESCALATED TO CBE",IF($AA256=TODAY(),"EMAIL SENT","MONITORING"))))))))))</f>
        <v/>
      </c>
      <c r="V256" s="17">
        <f>IF($U256="",IF(AND(COUNTA($A256:$L256)&gt;0,$N256=""),"Awaiting Collection Email time stamp.",""),IF(OR($U256="PAID",$U256="CLOSED"),IF($U256="PAID","Account paid. Action completed.","Account closed. No further action required."),CHOOSE($Z256,"Collection Email","1st Email Follow-up","2nd Email Follow-up","Escalation to Local Office","Escalation to CBE","Escalation to Roxanne")&amp;" sent "&amp;TEXT($AA256,"dd-mmm")&amp;". "&amp;IF($Z256=6,"Final escalation completed.",IF($U256="OVERDUE","Next: "&amp;$AC256&amp;" was due "&amp;TEXT($AB256,"dd-mmm")&amp;" - "&amp;(NETWORKDAYS($AB256,TODAY(),Holidays)-1)&amp;" business day(s) late. Send now.",IF($U256="DUE TOMORROW","Next: "&amp;$AC256&amp;IF($AB256&lt;=TODAY()," is due TODAY ("," is due next business day (")&amp;TEXT($AB256,"dd-mmm")&amp;").","Next: "&amp;$AC256&amp;" due "&amp;TEXT($AB256,"dd-mmm")&amp;" ("&amp;(NETWORKDAYS(TODAY(),$AB256,Holidays)-1)&amp;" business day(s) left).")))))</f>
        <v/>
      </c>
      <c r="W256" s="17">
        <f>IF($Z256="","",CHOOSE($Z256,"Collection Email","1st Follow-up","2nd Follow-up","Local Office","CBE","Roxanne")&amp;IF($Z256=6," - Final"," - Day "&amp;MAX(0,NETWORKDAYS($AA256,TODAY(),Holidays)-1)&amp;" of "&amp;CHOOSE($Z256,3,3,2,2,3))&amp;" | Total Day "&amp;MAX(0,NETWORKDAYS($N256,TODAY(),Holidays)-1))</f>
        <v/>
      </c>
      <c r="X256" s="18"/>
      <c r="Y256" s="18"/>
      <c r="Z256" s="17">
        <f>IF($N256="","",COUNT($N256:$S256))</f>
        <v/>
      </c>
      <c r="AA256" s="19">
        <f>IF($Z256="","",INT(INDEX($N256:$S256,$Z256)))</f>
        <v/>
      </c>
      <c r="AB256" s="19">
        <f>IF(OR($Z256="",$Z256=6),"",WORKDAY($AA256,CHOOSE($Z256,3,3,2,2,3),Holidays))</f>
        <v/>
      </c>
      <c r="AC256" s="17">
        <f>IF(OR($Z256="",$Z256=6),"",CHOOSE($Z256,"1st Email Follow-up","2nd Email Follow-up","Escalate Local Office","Escalate to CBE","Escalate to Roxanne"))</f>
        <v/>
      </c>
    </row>
    <row r="257" spans="13:29">
      <c r="M257" s="14"/>
      <c r="T257" s="16"/>
      <c r="U257" s="17">
        <f>IF(AND(COUNTA($A257:$L257)=0,$N257=""),"",IF($T257="Paid","PAID",IF($T257="Closed","CLOSED",IF($Z257="","",IF($Z257=6,"ESCALATED TO ROXANNE",IF(TODAY()&gt;$AB257,"OVERDUE",IF($AB257&lt;=WORKDAY(TODAY(),1,Holidays),"DUE TOMORROW",IF($Z257=4,"ESCALATED TO LOCAL OFFICE",IF($Z257=5,"ESCALATED TO CBE",IF($AA257=TODAY(),"EMAIL SENT","MONITORING"))))))))))</f>
        <v/>
      </c>
      <c r="V257" s="17">
        <f>IF($U257="",IF(AND(COUNTA($A257:$L257)&gt;0,$N257=""),"Awaiting Collection Email time stamp.",""),IF(OR($U257="PAID",$U257="CLOSED"),IF($U257="PAID","Account paid. Action completed.","Account closed. No further action required."),CHOOSE($Z257,"Collection Email","1st Email Follow-up","2nd Email Follow-up","Escalation to Local Office","Escalation to CBE","Escalation to Roxanne")&amp;" sent "&amp;TEXT($AA257,"dd-mmm")&amp;". "&amp;IF($Z257=6,"Final escalation completed.",IF($U257="OVERDUE","Next: "&amp;$AC257&amp;" was due "&amp;TEXT($AB257,"dd-mmm")&amp;" - "&amp;(NETWORKDAYS($AB257,TODAY(),Holidays)-1)&amp;" business day(s) late. Send now.",IF($U257="DUE TOMORROW","Next: "&amp;$AC257&amp;IF($AB257&lt;=TODAY()," is due TODAY ("," is due next business day (")&amp;TEXT($AB257,"dd-mmm")&amp;").","Next: "&amp;$AC257&amp;" due "&amp;TEXT($AB257,"dd-mmm")&amp;" ("&amp;(NETWORKDAYS(TODAY(),$AB257,Holidays)-1)&amp;" business day(s) left).")))))</f>
        <v/>
      </c>
      <c r="W257" s="17">
        <f>IF($Z257="","",CHOOSE($Z257,"Collection Email","1st Follow-up","2nd Follow-up","Local Office","CBE","Roxanne")&amp;IF($Z257=6," - Final"," - Day "&amp;MAX(0,NETWORKDAYS($AA257,TODAY(),Holidays)-1)&amp;" of "&amp;CHOOSE($Z257,3,3,2,2,3))&amp;" | Total Day "&amp;MAX(0,NETWORKDAYS($N257,TODAY(),Holidays)-1))</f>
        <v/>
      </c>
      <c r="X257" s="18"/>
      <c r="Y257" s="18"/>
      <c r="Z257" s="17">
        <f>IF($N257="","",COUNT($N257:$S257))</f>
        <v/>
      </c>
      <c r="AA257" s="19">
        <f>IF($Z257="","",INT(INDEX($N257:$S257,$Z257)))</f>
        <v/>
      </c>
      <c r="AB257" s="19">
        <f>IF(OR($Z257="",$Z257=6),"",WORKDAY($AA257,CHOOSE($Z257,3,3,2,2,3),Holidays))</f>
        <v/>
      </c>
      <c r="AC257" s="17">
        <f>IF(OR($Z257="",$Z257=6),"",CHOOSE($Z257,"1st Email Follow-up","2nd Email Follow-up","Escalate Local Office","Escalate to CBE","Escalate to Roxanne"))</f>
        <v/>
      </c>
    </row>
    <row r="258" spans="13:29">
      <c r="M258" s="14"/>
      <c r="T258" s="16"/>
      <c r="U258" s="17">
        <f>IF(AND(COUNTA($A258:$L258)=0,$N258=""),"",IF($T258="Paid","PAID",IF($T258="Closed","CLOSED",IF($Z258="","",IF($Z258=6,"ESCALATED TO ROXANNE",IF(TODAY()&gt;$AB258,"OVERDUE",IF($AB258&lt;=WORKDAY(TODAY(),1,Holidays),"DUE TOMORROW",IF($Z258=4,"ESCALATED TO LOCAL OFFICE",IF($Z258=5,"ESCALATED TO CBE",IF($AA258=TODAY(),"EMAIL SENT","MONITORING"))))))))))</f>
        <v/>
      </c>
      <c r="V258" s="17">
        <f>IF($U258="",IF(AND(COUNTA($A258:$L258)&gt;0,$N258=""),"Awaiting Collection Email time stamp.",""),IF(OR($U258="PAID",$U258="CLOSED"),IF($U258="PAID","Account paid. Action completed.","Account closed. No further action required."),CHOOSE($Z258,"Collection Email","1st Email Follow-up","2nd Email Follow-up","Escalation to Local Office","Escalation to CBE","Escalation to Roxanne")&amp;" sent "&amp;TEXT($AA258,"dd-mmm")&amp;". "&amp;IF($Z258=6,"Final escalation completed.",IF($U258="OVERDUE","Next: "&amp;$AC258&amp;" was due "&amp;TEXT($AB258,"dd-mmm")&amp;" - "&amp;(NETWORKDAYS($AB258,TODAY(),Holidays)-1)&amp;" business day(s) late. Send now.",IF($U258="DUE TOMORROW","Next: "&amp;$AC258&amp;IF($AB258&lt;=TODAY()," is due TODAY ("," is due next business day (")&amp;TEXT($AB258,"dd-mmm")&amp;").","Next: "&amp;$AC258&amp;" due "&amp;TEXT($AB258,"dd-mmm")&amp;" ("&amp;(NETWORKDAYS(TODAY(),$AB258,Holidays)-1)&amp;" business day(s) left).")))))</f>
        <v/>
      </c>
      <c r="W258" s="17">
        <f>IF($Z258="","",CHOOSE($Z258,"Collection Email","1st Follow-up","2nd Follow-up","Local Office","CBE","Roxanne")&amp;IF($Z258=6," - Final"," - Day "&amp;MAX(0,NETWORKDAYS($AA258,TODAY(),Holidays)-1)&amp;" of "&amp;CHOOSE($Z258,3,3,2,2,3))&amp;" | Total Day "&amp;MAX(0,NETWORKDAYS($N258,TODAY(),Holidays)-1))</f>
        <v/>
      </c>
      <c r="X258" s="18"/>
      <c r="Y258" s="18"/>
      <c r="Z258" s="17">
        <f>IF($N258="","",COUNT($N258:$S258))</f>
        <v/>
      </c>
      <c r="AA258" s="19">
        <f>IF($Z258="","",INT(INDEX($N258:$S258,$Z258)))</f>
        <v/>
      </c>
      <c r="AB258" s="19">
        <f>IF(OR($Z258="",$Z258=6),"",WORKDAY($AA258,CHOOSE($Z258,3,3,2,2,3),Holidays))</f>
        <v/>
      </c>
      <c r="AC258" s="17">
        <f>IF(OR($Z258="",$Z258=6),"",CHOOSE($Z258,"1st Email Follow-up","2nd Email Follow-up","Escalate Local Office","Escalate to CBE","Escalate to Roxanne"))</f>
        <v/>
      </c>
    </row>
    <row r="259" spans="13:29">
      <c r="M259" s="14"/>
      <c r="T259" s="16"/>
      <c r="U259" s="17">
        <f>IF(AND(COUNTA($A259:$L259)=0,$N259=""),"",IF($T259="Paid","PAID",IF($T259="Closed","CLOSED",IF($Z259="","",IF($Z259=6,"ESCALATED TO ROXANNE",IF(TODAY()&gt;$AB259,"OVERDUE",IF($AB259&lt;=WORKDAY(TODAY(),1,Holidays),"DUE TOMORROW",IF($Z259=4,"ESCALATED TO LOCAL OFFICE",IF($Z259=5,"ESCALATED TO CBE",IF($AA259=TODAY(),"EMAIL SENT","MONITORING"))))))))))</f>
        <v/>
      </c>
      <c r="V259" s="17">
        <f>IF($U259="",IF(AND(COUNTA($A259:$L259)&gt;0,$N259=""),"Awaiting Collection Email time stamp.",""),IF(OR($U259="PAID",$U259="CLOSED"),IF($U259="PAID","Account paid. Action completed.","Account closed. No further action required."),CHOOSE($Z259,"Collection Email","1st Email Follow-up","2nd Email Follow-up","Escalation to Local Office","Escalation to CBE","Escalation to Roxanne")&amp;" sent "&amp;TEXT($AA259,"dd-mmm")&amp;". "&amp;IF($Z259=6,"Final escalation completed.",IF($U259="OVERDUE","Next: "&amp;$AC259&amp;" was due "&amp;TEXT($AB259,"dd-mmm")&amp;" - "&amp;(NETWORKDAYS($AB259,TODAY(),Holidays)-1)&amp;" business day(s) late. Send now.",IF($U259="DUE TOMORROW","Next: "&amp;$AC259&amp;IF($AB259&lt;=TODAY()," is due TODAY ("," is due next business day (")&amp;TEXT($AB259,"dd-mmm")&amp;").","Next: "&amp;$AC259&amp;" due "&amp;TEXT($AB259,"dd-mmm")&amp;" ("&amp;(NETWORKDAYS(TODAY(),$AB259,Holidays)-1)&amp;" business day(s) left).")))))</f>
        <v/>
      </c>
      <c r="W259" s="17">
        <f>IF($Z259="","",CHOOSE($Z259,"Collection Email","1st Follow-up","2nd Follow-up","Local Office","CBE","Roxanne")&amp;IF($Z259=6," - Final"," - Day "&amp;MAX(0,NETWORKDAYS($AA259,TODAY(),Holidays)-1)&amp;" of "&amp;CHOOSE($Z259,3,3,2,2,3))&amp;" | Total Day "&amp;MAX(0,NETWORKDAYS($N259,TODAY(),Holidays)-1))</f>
        <v/>
      </c>
      <c r="X259" s="18"/>
      <c r="Y259" s="18"/>
      <c r="Z259" s="17">
        <f>IF($N259="","",COUNT($N259:$S259))</f>
        <v/>
      </c>
      <c r="AA259" s="19">
        <f>IF($Z259="","",INT(INDEX($N259:$S259,$Z259)))</f>
        <v/>
      </c>
      <c r="AB259" s="19">
        <f>IF(OR($Z259="",$Z259=6),"",WORKDAY($AA259,CHOOSE($Z259,3,3,2,2,3),Holidays))</f>
        <v/>
      </c>
      <c r="AC259" s="17">
        <f>IF(OR($Z259="",$Z259=6),"",CHOOSE($Z259,"1st Email Follow-up","2nd Email Follow-up","Escalate Local Office","Escalate to CBE","Escalate to Roxanne"))</f>
        <v/>
      </c>
    </row>
    <row r="260" spans="13:29">
      <c r="M260" s="14"/>
      <c r="T260" s="16"/>
      <c r="U260" s="17">
        <f>IF(AND(COUNTA($A260:$L260)=0,$N260=""),"",IF($T260="Paid","PAID",IF($T260="Closed","CLOSED",IF($Z260="","",IF($Z260=6,"ESCALATED TO ROXANNE",IF(TODAY()&gt;$AB260,"OVERDUE",IF($AB260&lt;=WORKDAY(TODAY(),1,Holidays),"DUE TOMORROW",IF($Z260=4,"ESCALATED TO LOCAL OFFICE",IF($Z260=5,"ESCALATED TO CBE",IF($AA260=TODAY(),"EMAIL SENT","MONITORING"))))))))))</f>
        <v/>
      </c>
      <c r="V260" s="17">
        <f>IF($U260="",IF(AND(COUNTA($A260:$L260)&gt;0,$N260=""),"Awaiting Collection Email time stamp.",""),IF(OR($U260="PAID",$U260="CLOSED"),IF($U260="PAID","Account paid. Action completed.","Account closed. No further action required."),CHOOSE($Z260,"Collection Email","1st Email Follow-up","2nd Email Follow-up","Escalation to Local Office","Escalation to CBE","Escalation to Roxanne")&amp;" sent "&amp;TEXT($AA260,"dd-mmm")&amp;". "&amp;IF($Z260=6,"Final escalation completed.",IF($U260="OVERDUE","Next: "&amp;$AC260&amp;" was due "&amp;TEXT($AB260,"dd-mmm")&amp;" - "&amp;(NETWORKDAYS($AB260,TODAY(),Holidays)-1)&amp;" business day(s) late. Send now.",IF($U260="DUE TOMORROW","Next: "&amp;$AC260&amp;IF($AB260&lt;=TODAY()," is due TODAY ("," is due next business day (")&amp;TEXT($AB260,"dd-mmm")&amp;").","Next: "&amp;$AC260&amp;" due "&amp;TEXT($AB260,"dd-mmm")&amp;" ("&amp;(NETWORKDAYS(TODAY(),$AB260,Holidays)-1)&amp;" business day(s) left).")))))</f>
        <v/>
      </c>
      <c r="W260" s="17">
        <f>IF($Z260="","",CHOOSE($Z260,"Collection Email","1st Follow-up","2nd Follow-up","Local Office","CBE","Roxanne")&amp;IF($Z260=6," - Final"," - Day "&amp;MAX(0,NETWORKDAYS($AA260,TODAY(),Holidays)-1)&amp;" of "&amp;CHOOSE($Z260,3,3,2,2,3))&amp;" | Total Day "&amp;MAX(0,NETWORKDAYS($N260,TODAY(),Holidays)-1))</f>
        <v/>
      </c>
      <c r="X260" s="18"/>
      <c r="Y260" s="18"/>
      <c r="Z260" s="17">
        <f>IF($N260="","",COUNT($N260:$S260))</f>
        <v/>
      </c>
      <c r="AA260" s="19">
        <f>IF($Z260="","",INT(INDEX($N260:$S260,$Z260)))</f>
        <v/>
      </c>
      <c r="AB260" s="19">
        <f>IF(OR($Z260="",$Z260=6),"",WORKDAY($AA260,CHOOSE($Z260,3,3,2,2,3),Holidays))</f>
        <v/>
      </c>
      <c r="AC260" s="17">
        <f>IF(OR($Z260="",$Z260=6),"",CHOOSE($Z260,"1st Email Follow-up","2nd Email Follow-up","Escalate Local Office","Escalate to CBE","Escalate to Roxanne"))</f>
        <v/>
      </c>
    </row>
    <row r="261" spans="13:29">
      <c r="M261" s="14"/>
      <c r="T261" s="16"/>
      <c r="U261" s="17">
        <f>IF(AND(COUNTA($A261:$L261)=0,$N261=""),"",IF($T261="Paid","PAID",IF($T261="Closed","CLOSED",IF($Z261="","",IF($Z261=6,"ESCALATED TO ROXANNE",IF(TODAY()&gt;$AB261,"OVERDUE",IF($AB261&lt;=WORKDAY(TODAY(),1,Holidays),"DUE TOMORROW",IF($Z261=4,"ESCALATED TO LOCAL OFFICE",IF($Z261=5,"ESCALATED TO CBE",IF($AA261=TODAY(),"EMAIL SENT","MONITORING"))))))))))</f>
        <v/>
      </c>
      <c r="V261" s="17">
        <f>IF($U261="",IF(AND(COUNTA($A261:$L261)&gt;0,$N261=""),"Awaiting Collection Email time stamp.",""),IF(OR($U261="PAID",$U261="CLOSED"),IF($U261="PAID","Account paid. Action completed.","Account closed. No further action required."),CHOOSE($Z261,"Collection Email","1st Email Follow-up","2nd Email Follow-up","Escalation to Local Office","Escalation to CBE","Escalation to Roxanne")&amp;" sent "&amp;TEXT($AA261,"dd-mmm")&amp;". "&amp;IF($Z261=6,"Final escalation completed.",IF($U261="OVERDUE","Next: "&amp;$AC261&amp;" was due "&amp;TEXT($AB261,"dd-mmm")&amp;" - "&amp;(NETWORKDAYS($AB261,TODAY(),Holidays)-1)&amp;" business day(s) late. Send now.",IF($U261="DUE TOMORROW","Next: "&amp;$AC261&amp;IF($AB261&lt;=TODAY()," is due TODAY ("," is due next business day (")&amp;TEXT($AB261,"dd-mmm")&amp;").","Next: "&amp;$AC261&amp;" due "&amp;TEXT($AB261,"dd-mmm")&amp;" ("&amp;(NETWORKDAYS(TODAY(),$AB261,Holidays)-1)&amp;" business day(s) left).")))))</f>
        <v/>
      </c>
      <c r="W261" s="17">
        <f>IF($Z261="","",CHOOSE($Z261,"Collection Email","1st Follow-up","2nd Follow-up","Local Office","CBE","Roxanne")&amp;IF($Z261=6," - Final"," - Day "&amp;MAX(0,NETWORKDAYS($AA261,TODAY(),Holidays)-1)&amp;" of "&amp;CHOOSE($Z261,3,3,2,2,3))&amp;" | Total Day "&amp;MAX(0,NETWORKDAYS($N261,TODAY(),Holidays)-1))</f>
        <v/>
      </c>
      <c r="X261" s="18"/>
      <c r="Y261" s="18"/>
      <c r="Z261" s="17">
        <f>IF($N261="","",COUNT($N261:$S261))</f>
        <v/>
      </c>
      <c r="AA261" s="19">
        <f>IF($Z261="","",INT(INDEX($N261:$S261,$Z261)))</f>
        <v/>
      </c>
      <c r="AB261" s="19">
        <f>IF(OR($Z261="",$Z261=6),"",WORKDAY($AA261,CHOOSE($Z261,3,3,2,2,3),Holidays))</f>
        <v/>
      </c>
      <c r="AC261" s="17">
        <f>IF(OR($Z261="",$Z261=6),"",CHOOSE($Z261,"1st Email Follow-up","2nd Email Follow-up","Escalate Local Office","Escalate to CBE","Escalate to Roxanne"))</f>
        <v/>
      </c>
    </row>
    <row r="262" spans="13:29">
      <c r="M262" s="14"/>
      <c r="T262" s="16"/>
      <c r="U262" s="17">
        <f>IF(AND(COUNTA($A262:$L262)=0,$N262=""),"",IF($T262="Paid","PAID",IF($T262="Closed","CLOSED",IF($Z262="","",IF($Z262=6,"ESCALATED TO ROXANNE",IF(TODAY()&gt;$AB262,"OVERDUE",IF($AB262&lt;=WORKDAY(TODAY(),1,Holidays),"DUE TOMORROW",IF($Z262=4,"ESCALATED TO LOCAL OFFICE",IF($Z262=5,"ESCALATED TO CBE",IF($AA262=TODAY(),"EMAIL SENT","MONITORING"))))))))))</f>
        <v/>
      </c>
      <c r="V262" s="17">
        <f>IF($U262="",IF(AND(COUNTA($A262:$L262)&gt;0,$N262=""),"Awaiting Collection Email time stamp.",""),IF(OR($U262="PAID",$U262="CLOSED"),IF($U262="PAID","Account paid. Action completed.","Account closed. No further action required."),CHOOSE($Z262,"Collection Email","1st Email Follow-up","2nd Email Follow-up","Escalation to Local Office","Escalation to CBE","Escalation to Roxanne")&amp;" sent "&amp;TEXT($AA262,"dd-mmm")&amp;". "&amp;IF($Z262=6,"Final escalation completed.",IF($U262="OVERDUE","Next: "&amp;$AC262&amp;" was due "&amp;TEXT($AB262,"dd-mmm")&amp;" - "&amp;(NETWORKDAYS($AB262,TODAY(),Holidays)-1)&amp;" business day(s) late. Send now.",IF($U262="DUE TOMORROW","Next: "&amp;$AC262&amp;IF($AB262&lt;=TODAY()," is due TODAY ("," is due next business day (")&amp;TEXT($AB262,"dd-mmm")&amp;").","Next: "&amp;$AC262&amp;" due "&amp;TEXT($AB262,"dd-mmm")&amp;" ("&amp;(NETWORKDAYS(TODAY(),$AB262,Holidays)-1)&amp;" business day(s) left).")))))</f>
        <v/>
      </c>
      <c r="W262" s="17">
        <f>IF($Z262="","",CHOOSE($Z262,"Collection Email","1st Follow-up","2nd Follow-up","Local Office","CBE","Roxanne")&amp;IF($Z262=6," - Final"," - Day "&amp;MAX(0,NETWORKDAYS($AA262,TODAY(),Holidays)-1)&amp;" of "&amp;CHOOSE($Z262,3,3,2,2,3))&amp;" | Total Day "&amp;MAX(0,NETWORKDAYS($N262,TODAY(),Holidays)-1))</f>
        <v/>
      </c>
      <c r="X262" s="18"/>
      <c r="Y262" s="18"/>
      <c r="Z262" s="17">
        <f>IF($N262="","",COUNT($N262:$S262))</f>
        <v/>
      </c>
      <c r="AA262" s="19">
        <f>IF($Z262="","",INT(INDEX($N262:$S262,$Z262)))</f>
        <v/>
      </c>
      <c r="AB262" s="19">
        <f>IF(OR($Z262="",$Z262=6),"",WORKDAY($AA262,CHOOSE($Z262,3,3,2,2,3),Holidays))</f>
        <v/>
      </c>
      <c r="AC262" s="17">
        <f>IF(OR($Z262="",$Z262=6),"",CHOOSE($Z262,"1st Email Follow-up","2nd Email Follow-up","Escalate Local Office","Escalate to CBE","Escalate to Roxanne"))</f>
        <v/>
      </c>
    </row>
    <row r="263" spans="13:29">
      <c r="M263" s="14"/>
      <c r="T263" s="16"/>
      <c r="U263" s="17">
        <f>IF(AND(COUNTA($A263:$L263)=0,$N263=""),"",IF($T263="Paid","PAID",IF($T263="Closed","CLOSED",IF($Z263="","",IF($Z263=6,"ESCALATED TO ROXANNE",IF(TODAY()&gt;$AB263,"OVERDUE",IF($AB263&lt;=WORKDAY(TODAY(),1,Holidays),"DUE TOMORROW",IF($Z263=4,"ESCALATED TO LOCAL OFFICE",IF($Z263=5,"ESCALATED TO CBE",IF($AA263=TODAY(),"EMAIL SENT","MONITORING"))))))))))</f>
        <v/>
      </c>
      <c r="V263" s="17">
        <f>IF($U263="",IF(AND(COUNTA($A263:$L263)&gt;0,$N263=""),"Awaiting Collection Email time stamp.",""),IF(OR($U263="PAID",$U263="CLOSED"),IF($U263="PAID","Account paid. Action completed.","Account closed. No further action required."),CHOOSE($Z263,"Collection Email","1st Email Follow-up","2nd Email Follow-up","Escalation to Local Office","Escalation to CBE","Escalation to Roxanne")&amp;" sent "&amp;TEXT($AA263,"dd-mmm")&amp;". "&amp;IF($Z263=6,"Final escalation completed.",IF($U263="OVERDUE","Next: "&amp;$AC263&amp;" was due "&amp;TEXT($AB263,"dd-mmm")&amp;" - "&amp;(NETWORKDAYS($AB263,TODAY(),Holidays)-1)&amp;" business day(s) late. Send now.",IF($U263="DUE TOMORROW","Next: "&amp;$AC263&amp;IF($AB263&lt;=TODAY()," is due TODAY ("," is due next business day (")&amp;TEXT($AB263,"dd-mmm")&amp;").","Next: "&amp;$AC263&amp;" due "&amp;TEXT($AB263,"dd-mmm")&amp;" ("&amp;(NETWORKDAYS(TODAY(),$AB263,Holidays)-1)&amp;" business day(s) left).")))))</f>
        <v/>
      </c>
      <c r="W263" s="17">
        <f>IF($Z263="","",CHOOSE($Z263,"Collection Email","1st Follow-up","2nd Follow-up","Local Office","CBE","Roxanne")&amp;IF($Z263=6," - Final"," - Day "&amp;MAX(0,NETWORKDAYS($AA263,TODAY(),Holidays)-1)&amp;" of "&amp;CHOOSE($Z263,3,3,2,2,3))&amp;" | Total Day "&amp;MAX(0,NETWORKDAYS($N263,TODAY(),Holidays)-1))</f>
        <v/>
      </c>
      <c r="X263" s="18"/>
      <c r="Y263" s="18"/>
      <c r="Z263" s="17">
        <f>IF($N263="","",COUNT($N263:$S263))</f>
        <v/>
      </c>
      <c r="AA263" s="19">
        <f>IF($Z263="","",INT(INDEX($N263:$S263,$Z263)))</f>
        <v/>
      </c>
      <c r="AB263" s="19">
        <f>IF(OR($Z263="",$Z263=6),"",WORKDAY($AA263,CHOOSE($Z263,3,3,2,2,3),Holidays))</f>
        <v/>
      </c>
      <c r="AC263" s="17">
        <f>IF(OR($Z263="",$Z263=6),"",CHOOSE($Z263,"1st Email Follow-up","2nd Email Follow-up","Escalate Local Office","Escalate to CBE","Escalate to Roxanne"))</f>
        <v/>
      </c>
    </row>
    <row r="264" spans="13:29">
      <c r="M264" s="14"/>
      <c r="T264" s="16"/>
      <c r="U264" s="17">
        <f>IF(AND(COUNTA($A264:$L264)=0,$N264=""),"",IF($T264="Paid","PAID",IF($T264="Closed","CLOSED",IF($Z264="","",IF($Z264=6,"ESCALATED TO ROXANNE",IF(TODAY()&gt;$AB264,"OVERDUE",IF($AB264&lt;=WORKDAY(TODAY(),1,Holidays),"DUE TOMORROW",IF($Z264=4,"ESCALATED TO LOCAL OFFICE",IF($Z264=5,"ESCALATED TO CBE",IF($AA264=TODAY(),"EMAIL SENT","MONITORING"))))))))))</f>
        <v/>
      </c>
      <c r="V264" s="17">
        <f>IF($U264="",IF(AND(COUNTA($A264:$L264)&gt;0,$N264=""),"Awaiting Collection Email time stamp.",""),IF(OR($U264="PAID",$U264="CLOSED"),IF($U264="PAID","Account paid. Action completed.","Account closed. No further action required."),CHOOSE($Z264,"Collection Email","1st Email Follow-up","2nd Email Follow-up","Escalation to Local Office","Escalation to CBE","Escalation to Roxanne")&amp;" sent "&amp;TEXT($AA264,"dd-mmm")&amp;". "&amp;IF($Z264=6,"Final escalation completed.",IF($U264="OVERDUE","Next: "&amp;$AC264&amp;" was due "&amp;TEXT($AB264,"dd-mmm")&amp;" - "&amp;(NETWORKDAYS($AB264,TODAY(),Holidays)-1)&amp;" business day(s) late. Send now.",IF($U264="DUE TOMORROW","Next: "&amp;$AC264&amp;IF($AB264&lt;=TODAY()," is due TODAY ("," is due next business day (")&amp;TEXT($AB264,"dd-mmm")&amp;").","Next: "&amp;$AC264&amp;" due "&amp;TEXT($AB264,"dd-mmm")&amp;" ("&amp;(NETWORKDAYS(TODAY(),$AB264,Holidays)-1)&amp;" business day(s) left).")))))</f>
        <v/>
      </c>
      <c r="W264" s="17">
        <f>IF($Z264="","",CHOOSE($Z264,"Collection Email","1st Follow-up","2nd Follow-up","Local Office","CBE","Roxanne")&amp;IF($Z264=6," - Final"," - Day "&amp;MAX(0,NETWORKDAYS($AA264,TODAY(),Holidays)-1)&amp;" of "&amp;CHOOSE($Z264,3,3,2,2,3))&amp;" | Total Day "&amp;MAX(0,NETWORKDAYS($N264,TODAY(),Holidays)-1))</f>
        <v/>
      </c>
      <c r="X264" s="18"/>
      <c r="Y264" s="18"/>
      <c r="Z264" s="17">
        <f>IF($N264="","",COUNT($N264:$S264))</f>
        <v/>
      </c>
      <c r="AA264" s="19">
        <f>IF($Z264="","",INT(INDEX($N264:$S264,$Z264)))</f>
        <v/>
      </c>
      <c r="AB264" s="19">
        <f>IF(OR($Z264="",$Z264=6),"",WORKDAY($AA264,CHOOSE($Z264,3,3,2,2,3),Holidays))</f>
        <v/>
      </c>
      <c r="AC264" s="17">
        <f>IF(OR($Z264="",$Z264=6),"",CHOOSE($Z264,"1st Email Follow-up","2nd Email Follow-up","Escalate Local Office","Escalate to CBE","Escalate to Roxanne"))</f>
        <v/>
      </c>
    </row>
    <row r="265" spans="13:29">
      <c r="M265" s="14"/>
      <c r="T265" s="16"/>
      <c r="U265" s="17">
        <f>IF(AND(COUNTA($A265:$L265)=0,$N265=""),"",IF($T265="Paid","PAID",IF($T265="Closed","CLOSED",IF($Z265="","",IF($Z265=6,"ESCALATED TO ROXANNE",IF(TODAY()&gt;$AB265,"OVERDUE",IF($AB265&lt;=WORKDAY(TODAY(),1,Holidays),"DUE TOMORROW",IF($Z265=4,"ESCALATED TO LOCAL OFFICE",IF($Z265=5,"ESCALATED TO CBE",IF($AA265=TODAY(),"EMAIL SENT","MONITORING"))))))))))</f>
        <v/>
      </c>
      <c r="V265" s="17">
        <f>IF($U265="",IF(AND(COUNTA($A265:$L265)&gt;0,$N265=""),"Awaiting Collection Email time stamp.",""),IF(OR($U265="PAID",$U265="CLOSED"),IF($U265="PAID","Account paid. Action completed.","Account closed. No further action required."),CHOOSE($Z265,"Collection Email","1st Email Follow-up","2nd Email Follow-up","Escalation to Local Office","Escalation to CBE","Escalation to Roxanne")&amp;" sent "&amp;TEXT($AA265,"dd-mmm")&amp;". "&amp;IF($Z265=6,"Final escalation completed.",IF($U265="OVERDUE","Next: "&amp;$AC265&amp;" was due "&amp;TEXT($AB265,"dd-mmm")&amp;" - "&amp;(NETWORKDAYS($AB265,TODAY(),Holidays)-1)&amp;" business day(s) late. Send now.",IF($U265="DUE TOMORROW","Next: "&amp;$AC265&amp;IF($AB265&lt;=TODAY()," is due TODAY ("," is due next business day (")&amp;TEXT($AB265,"dd-mmm")&amp;").","Next: "&amp;$AC265&amp;" due "&amp;TEXT($AB265,"dd-mmm")&amp;" ("&amp;(NETWORKDAYS(TODAY(),$AB265,Holidays)-1)&amp;" business day(s) left).")))))</f>
        <v/>
      </c>
      <c r="W265" s="17">
        <f>IF($Z265="","",CHOOSE($Z265,"Collection Email","1st Follow-up","2nd Follow-up","Local Office","CBE","Roxanne")&amp;IF($Z265=6," - Final"," - Day "&amp;MAX(0,NETWORKDAYS($AA265,TODAY(),Holidays)-1)&amp;" of "&amp;CHOOSE($Z265,3,3,2,2,3))&amp;" | Total Day "&amp;MAX(0,NETWORKDAYS($N265,TODAY(),Holidays)-1))</f>
        <v/>
      </c>
      <c r="X265" s="18"/>
      <c r="Y265" s="18"/>
      <c r="Z265" s="17">
        <f>IF($N265="","",COUNT($N265:$S265))</f>
        <v/>
      </c>
      <c r="AA265" s="19">
        <f>IF($Z265="","",INT(INDEX($N265:$S265,$Z265)))</f>
        <v/>
      </c>
      <c r="AB265" s="19">
        <f>IF(OR($Z265="",$Z265=6),"",WORKDAY($AA265,CHOOSE($Z265,3,3,2,2,3),Holidays))</f>
        <v/>
      </c>
      <c r="AC265" s="17">
        <f>IF(OR($Z265="",$Z265=6),"",CHOOSE($Z265,"1st Email Follow-up","2nd Email Follow-up","Escalate Local Office","Escalate to CBE","Escalate to Roxanne"))</f>
        <v/>
      </c>
    </row>
    <row r="266" spans="13:29">
      <c r="M266" s="14"/>
      <c r="T266" s="16"/>
      <c r="U266" s="17">
        <f>IF(AND(COUNTA($A266:$L266)=0,$N266=""),"",IF($T266="Paid","PAID",IF($T266="Closed","CLOSED",IF($Z266="","",IF($Z266=6,"ESCALATED TO ROXANNE",IF(TODAY()&gt;$AB266,"OVERDUE",IF($AB266&lt;=WORKDAY(TODAY(),1,Holidays),"DUE TOMORROW",IF($Z266=4,"ESCALATED TO LOCAL OFFICE",IF($Z266=5,"ESCALATED TO CBE",IF($AA266=TODAY(),"EMAIL SENT","MONITORING"))))))))))</f>
        <v/>
      </c>
      <c r="V266" s="17">
        <f>IF($U266="",IF(AND(COUNTA($A266:$L266)&gt;0,$N266=""),"Awaiting Collection Email time stamp.",""),IF(OR($U266="PAID",$U266="CLOSED"),IF($U266="PAID","Account paid. Action completed.","Account closed. No further action required."),CHOOSE($Z266,"Collection Email","1st Email Follow-up","2nd Email Follow-up","Escalation to Local Office","Escalation to CBE","Escalation to Roxanne")&amp;" sent "&amp;TEXT($AA266,"dd-mmm")&amp;". "&amp;IF($Z266=6,"Final escalation completed.",IF($U266="OVERDUE","Next: "&amp;$AC266&amp;" was due "&amp;TEXT($AB266,"dd-mmm")&amp;" - "&amp;(NETWORKDAYS($AB266,TODAY(),Holidays)-1)&amp;" business day(s) late. Send now.",IF($U266="DUE TOMORROW","Next: "&amp;$AC266&amp;IF($AB266&lt;=TODAY()," is due TODAY ("," is due next business day (")&amp;TEXT($AB266,"dd-mmm")&amp;").","Next: "&amp;$AC266&amp;" due "&amp;TEXT($AB266,"dd-mmm")&amp;" ("&amp;(NETWORKDAYS(TODAY(),$AB266,Holidays)-1)&amp;" business day(s) left).")))))</f>
        <v/>
      </c>
      <c r="W266" s="17">
        <f>IF($Z266="","",CHOOSE($Z266,"Collection Email","1st Follow-up","2nd Follow-up","Local Office","CBE","Roxanne")&amp;IF($Z266=6," - Final"," - Day "&amp;MAX(0,NETWORKDAYS($AA266,TODAY(),Holidays)-1)&amp;" of "&amp;CHOOSE($Z266,3,3,2,2,3))&amp;" | Total Day "&amp;MAX(0,NETWORKDAYS($N266,TODAY(),Holidays)-1))</f>
        <v/>
      </c>
      <c r="X266" s="18"/>
      <c r="Y266" s="18"/>
      <c r="Z266" s="17">
        <f>IF($N266="","",COUNT($N266:$S266))</f>
        <v/>
      </c>
      <c r="AA266" s="19">
        <f>IF($Z266="","",INT(INDEX($N266:$S266,$Z266)))</f>
        <v/>
      </c>
      <c r="AB266" s="19">
        <f>IF(OR($Z266="",$Z266=6),"",WORKDAY($AA266,CHOOSE($Z266,3,3,2,2,3),Holidays))</f>
        <v/>
      </c>
      <c r="AC266" s="17">
        <f>IF(OR($Z266="",$Z266=6),"",CHOOSE($Z266,"1st Email Follow-up","2nd Email Follow-up","Escalate Local Office","Escalate to CBE","Escalate to Roxanne"))</f>
        <v/>
      </c>
    </row>
    <row r="267" spans="13:29">
      <c r="M267" s="14"/>
      <c r="T267" s="16"/>
      <c r="U267" s="17">
        <f>IF(AND(COUNTA($A267:$L267)=0,$N267=""),"",IF($T267="Paid","PAID",IF($T267="Closed","CLOSED",IF($Z267="","",IF($Z267=6,"ESCALATED TO ROXANNE",IF(TODAY()&gt;$AB267,"OVERDUE",IF($AB267&lt;=WORKDAY(TODAY(),1,Holidays),"DUE TOMORROW",IF($Z267=4,"ESCALATED TO LOCAL OFFICE",IF($Z267=5,"ESCALATED TO CBE",IF($AA267=TODAY(),"EMAIL SENT","MONITORING"))))))))))</f>
        <v/>
      </c>
      <c r="V267" s="17">
        <f>IF($U267="",IF(AND(COUNTA($A267:$L267)&gt;0,$N267=""),"Awaiting Collection Email time stamp.",""),IF(OR($U267="PAID",$U267="CLOSED"),IF($U267="PAID","Account paid. Action completed.","Account closed. No further action required."),CHOOSE($Z267,"Collection Email","1st Email Follow-up","2nd Email Follow-up","Escalation to Local Office","Escalation to CBE","Escalation to Roxanne")&amp;" sent "&amp;TEXT($AA267,"dd-mmm")&amp;". "&amp;IF($Z267=6,"Final escalation completed.",IF($U267="OVERDUE","Next: "&amp;$AC267&amp;" was due "&amp;TEXT($AB267,"dd-mmm")&amp;" - "&amp;(NETWORKDAYS($AB267,TODAY(),Holidays)-1)&amp;" business day(s) late. Send now.",IF($U267="DUE TOMORROW","Next: "&amp;$AC267&amp;IF($AB267&lt;=TODAY()," is due TODAY ("," is due next business day (")&amp;TEXT($AB267,"dd-mmm")&amp;").","Next: "&amp;$AC267&amp;" due "&amp;TEXT($AB267,"dd-mmm")&amp;" ("&amp;(NETWORKDAYS(TODAY(),$AB267,Holidays)-1)&amp;" business day(s) left).")))))</f>
        <v/>
      </c>
      <c r="W267" s="17">
        <f>IF($Z267="","",CHOOSE($Z267,"Collection Email","1st Follow-up","2nd Follow-up","Local Office","CBE","Roxanne")&amp;IF($Z267=6," - Final"," - Day "&amp;MAX(0,NETWORKDAYS($AA267,TODAY(),Holidays)-1)&amp;" of "&amp;CHOOSE($Z267,3,3,2,2,3))&amp;" | Total Day "&amp;MAX(0,NETWORKDAYS($N267,TODAY(),Holidays)-1))</f>
        <v/>
      </c>
      <c r="X267" s="18"/>
      <c r="Y267" s="18"/>
      <c r="Z267" s="17">
        <f>IF($N267="","",COUNT($N267:$S267))</f>
        <v/>
      </c>
      <c r="AA267" s="19">
        <f>IF($Z267="","",INT(INDEX($N267:$S267,$Z267)))</f>
        <v/>
      </c>
      <c r="AB267" s="19">
        <f>IF(OR($Z267="",$Z267=6),"",WORKDAY($AA267,CHOOSE($Z267,3,3,2,2,3),Holidays))</f>
        <v/>
      </c>
      <c r="AC267" s="17">
        <f>IF(OR($Z267="",$Z267=6),"",CHOOSE($Z267,"1st Email Follow-up","2nd Email Follow-up","Escalate Local Office","Escalate to CBE","Escalate to Roxanne"))</f>
        <v/>
      </c>
    </row>
    <row r="268" spans="13:29">
      <c r="M268" s="14"/>
      <c r="T268" s="16"/>
      <c r="U268" s="17">
        <f>IF(AND(COUNTA($A268:$L268)=0,$N268=""),"",IF($T268="Paid","PAID",IF($T268="Closed","CLOSED",IF($Z268="","",IF($Z268=6,"ESCALATED TO ROXANNE",IF(TODAY()&gt;$AB268,"OVERDUE",IF($AB268&lt;=WORKDAY(TODAY(),1,Holidays),"DUE TOMORROW",IF($Z268=4,"ESCALATED TO LOCAL OFFICE",IF($Z268=5,"ESCALATED TO CBE",IF($AA268=TODAY(),"EMAIL SENT","MONITORING"))))))))))</f>
        <v/>
      </c>
      <c r="V268" s="17">
        <f>IF($U268="",IF(AND(COUNTA($A268:$L268)&gt;0,$N268=""),"Awaiting Collection Email time stamp.",""),IF(OR($U268="PAID",$U268="CLOSED"),IF($U268="PAID","Account paid. Action completed.","Account closed. No further action required."),CHOOSE($Z268,"Collection Email","1st Email Follow-up","2nd Email Follow-up","Escalation to Local Office","Escalation to CBE","Escalation to Roxanne")&amp;" sent "&amp;TEXT($AA268,"dd-mmm")&amp;". "&amp;IF($Z268=6,"Final escalation completed.",IF($U268="OVERDUE","Next: "&amp;$AC268&amp;" was due "&amp;TEXT($AB268,"dd-mmm")&amp;" - "&amp;(NETWORKDAYS($AB268,TODAY(),Holidays)-1)&amp;" business day(s) late. Send now.",IF($U268="DUE TOMORROW","Next: "&amp;$AC268&amp;IF($AB268&lt;=TODAY()," is due TODAY ("," is due next business day (")&amp;TEXT($AB268,"dd-mmm")&amp;").","Next: "&amp;$AC268&amp;" due "&amp;TEXT($AB268,"dd-mmm")&amp;" ("&amp;(NETWORKDAYS(TODAY(),$AB268,Holidays)-1)&amp;" business day(s) left).")))))</f>
        <v/>
      </c>
      <c r="W268" s="17">
        <f>IF($Z268="","",CHOOSE($Z268,"Collection Email","1st Follow-up","2nd Follow-up","Local Office","CBE","Roxanne")&amp;IF($Z268=6," - Final"," - Day "&amp;MAX(0,NETWORKDAYS($AA268,TODAY(),Holidays)-1)&amp;" of "&amp;CHOOSE($Z268,3,3,2,2,3))&amp;" | Total Day "&amp;MAX(0,NETWORKDAYS($N268,TODAY(),Holidays)-1))</f>
        <v/>
      </c>
      <c r="X268" s="18"/>
      <c r="Y268" s="18"/>
      <c r="Z268" s="17">
        <f>IF($N268="","",COUNT($N268:$S268))</f>
        <v/>
      </c>
      <c r="AA268" s="19">
        <f>IF($Z268="","",INT(INDEX($N268:$S268,$Z268)))</f>
        <v/>
      </c>
      <c r="AB268" s="19">
        <f>IF(OR($Z268="",$Z268=6),"",WORKDAY($AA268,CHOOSE($Z268,3,3,2,2,3),Holidays))</f>
        <v/>
      </c>
      <c r="AC268" s="17">
        <f>IF(OR($Z268="",$Z268=6),"",CHOOSE($Z268,"1st Email Follow-up","2nd Email Follow-up","Escalate Local Office","Escalate to CBE","Escalate to Roxanne"))</f>
        <v/>
      </c>
    </row>
    <row r="269" spans="13:29">
      <c r="M269" s="14"/>
      <c r="T269" s="16"/>
      <c r="U269" s="17">
        <f>IF(AND(COUNTA($A269:$L269)=0,$N269=""),"",IF($T269="Paid","PAID",IF($T269="Closed","CLOSED",IF($Z269="","",IF($Z269=6,"ESCALATED TO ROXANNE",IF(TODAY()&gt;$AB269,"OVERDUE",IF($AB269&lt;=WORKDAY(TODAY(),1,Holidays),"DUE TOMORROW",IF($Z269=4,"ESCALATED TO LOCAL OFFICE",IF($Z269=5,"ESCALATED TO CBE",IF($AA269=TODAY(),"EMAIL SENT","MONITORING"))))))))))</f>
        <v/>
      </c>
      <c r="V269" s="17">
        <f>IF($U269="",IF(AND(COUNTA($A269:$L269)&gt;0,$N269=""),"Awaiting Collection Email time stamp.",""),IF(OR($U269="PAID",$U269="CLOSED"),IF($U269="PAID","Account paid. Action completed.","Account closed. No further action required."),CHOOSE($Z269,"Collection Email","1st Email Follow-up","2nd Email Follow-up","Escalation to Local Office","Escalation to CBE","Escalation to Roxanne")&amp;" sent "&amp;TEXT($AA269,"dd-mmm")&amp;". "&amp;IF($Z269=6,"Final escalation completed.",IF($U269="OVERDUE","Next: "&amp;$AC269&amp;" was due "&amp;TEXT($AB269,"dd-mmm")&amp;" - "&amp;(NETWORKDAYS($AB269,TODAY(),Holidays)-1)&amp;" business day(s) late. Send now.",IF($U269="DUE TOMORROW","Next: "&amp;$AC269&amp;IF($AB269&lt;=TODAY()," is due TODAY ("," is due next business day (")&amp;TEXT($AB269,"dd-mmm")&amp;").","Next: "&amp;$AC269&amp;" due "&amp;TEXT($AB269,"dd-mmm")&amp;" ("&amp;(NETWORKDAYS(TODAY(),$AB269,Holidays)-1)&amp;" business day(s) left).")))))</f>
        <v/>
      </c>
      <c r="W269" s="17">
        <f>IF($Z269="","",CHOOSE($Z269,"Collection Email","1st Follow-up","2nd Follow-up","Local Office","CBE","Roxanne")&amp;IF($Z269=6," - Final"," - Day "&amp;MAX(0,NETWORKDAYS($AA269,TODAY(),Holidays)-1)&amp;" of "&amp;CHOOSE($Z269,3,3,2,2,3))&amp;" | Total Day "&amp;MAX(0,NETWORKDAYS($N269,TODAY(),Holidays)-1))</f>
        <v/>
      </c>
      <c r="X269" s="18"/>
      <c r="Y269" s="18"/>
      <c r="Z269" s="17">
        <f>IF($N269="","",COUNT($N269:$S269))</f>
        <v/>
      </c>
      <c r="AA269" s="19">
        <f>IF($Z269="","",INT(INDEX($N269:$S269,$Z269)))</f>
        <v/>
      </c>
      <c r="AB269" s="19">
        <f>IF(OR($Z269="",$Z269=6),"",WORKDAY($AA269,CHOOSE($Z269,3,3,2,2,3),Holidays))</f>
        <v/>
      </c>
      <c r="AC269" s="17">
        <f>IF(OR($Z269="",$Z269=6),"",CHOOSE($Z269,"1st Email Follow-up","2nd Email Follow-up","Escalate Local Office","Escalate to CBE","Escalate to Roxanne"))</f>
        <v/>
      </c>
    </row>
    <row r="270" spans="13:29">
      <c r="M270" s="14"/>
      <c r="T270" s="16"/>
      <c r="U270" s="17">
        <f>IF(AND(COUNTA($A270:$L270)=0,$N270=""),"",IF($T270="Paid","PAID",IF($T270="Closed","CLOSED",IF($Z270="","",IF($Z270=6,"ESCALATED TO ROXANNE",IF(TODAY()&gt;$AB270,"OVERDUE",IF($AB270&lt;=WORKDAY(TODAY(),1,Holidays),"DUE TOMORROW",IF($Z270=4,"ESCALATED TO LOCAL OFFICE",IF($Z270=5,"ESCALATED TO CBE",IF($AA270=TODAY(),"EMAIL SENT","MONITORING"))))))))))</f>
        <v/>
      </c>
      <c r="V270" s="17">
        <f>IF($U270="",IF(AND(COUNTA($A270:$L270)&gt;0,$N270=""),"Awaiting Collection Email time stamp.",""),IF(OR($U270="PAID",$U270="CLOSED"),IF($U270="PAID","Account paid. Action completed.","Account closed. No further action required."),CHOOSE($Z270,"Collection Email","1st Email Follow-up","2nd Email Follow-up","Escalation to Local Office","Escalation to CBE","Escalation to Roxanne")&amp;" sent "&amp;TEXT($AA270,"dd-mmm")&amp;". "&amp;IF($Z270=6,"Final escalation completed.",IF($U270="OVERDUE","Next: "&amp;$AC270&amp;" was due "&amp;TEXT($AB270,"dd-mmm")&amp;" - "&amp;(NETWORKDAYS($AB270,TODAY(),Holidays)-1)&amp;" business day(s) late. Send now.",IF($U270="DUE TOMORROW","Next: "&amp;$AC270&amp;IF($AB270&lt;=TODAY()," is due TODAY ("," is due next business day (")&amp;TEXT($AB270,"dd-mmm")&amp;").","Next: "&amp;$AC270&amp;" due "&amp;TEXT($AB270,"dd-mmm")&amp;" ("&amp;(NETWORKDAYS(TODAY(),$AB270,Holidays)-1)&amp;" business day(s) left).")))))</f>
        <v/>
      </c>
      <c r="W270" s="17">
        <f>IF($Z270="","",CHOOSE($Z270,"Collection Email","1st Follow-up","2nd Follow-up","Local Office","CBE","Roxanne")&amp;IF($Z270=6," - Final"," - Day "&amp;MAX(0,NETWORKDAYS($AA270,TODAY(),Holidays)-1)&amp;" of "&amp;CHOOSE($Z270,3,3,2,2,3))&amp;" | Total Day "&amp;MAX(0,NETWORKDAYS($N270,TODAY(),Holidays)-1))</f>
        <v/>
      </c>
      <c r="X270" s="18"/>
      <c r="Y270" s="18"/>
      <c r="Z270" s="17">
        <f>IF($N270="","",COUNT($N270:$S270))</f>
        <v/>
      </c>
      <c r="AA270" s="19">
        <f>IF($Z270="","",INT(INDEX($N270:$S270,$Z270)))</f>
        <v/>
      </c>
      <c r="AB270" s="19">
        <f>IF(OR($Z270="",$Z270=6),"",WORKDAY($AA270,CHOOSE($Z270,3,3,2,2,3),Holidays))</f>
        <v/>
      </c>
      <c r="AC270" s="17">
        <f>IF(OR($Z270="",$Z270=6),"",CHOOSE($Z270,"1st Email Follow-up","2nd Email Follow-up","Escalate Local Office","Escalate to CBE","Escalate to Roxanne"))</f>
        <v/>
      </c>
    </row>
    <row r="271" spans="13:29">
      <c r="M271" s="14"/>
      <c r="T271" s="16"/>
      <c r="U271" s="17">
        <f>IF(AND(COUNTA($A271:$L271)=0,$N271=""),"",IF($T271="Paid","PAID",IF($T271="Closed","CLOSED",IF($Z271="","",IF($Z271=6,"ESCALATED TO ROXANNE",IF(TODAY()&gt;$AB271,"OVERDUE",IF($AB271&lt;=WORKDAY(TODAY(),1,Holidays),"DUE TOMORROW",IF($Z271=4,"ESCALATED TO LOCAL OFFICE",IF($Z271=5,"ESCALATED TO CBE",IF($AA271=TODAY(),"EMAIL SENT","MONITORING"))))))))))</f>
        <v/>
      </c>
      <c r="V271" s="17">
        <f>IF($U271="",IF(AND(COUNTA($A271:$L271)&gt;0,$N271=""),"Awaiting Collection Email time stamp.",""),IF(OR($U271="PAID",$U271="CLOSED"),IF($U271="PAID","Account paid. Action completed.","Account closed. No further action required."),CHOOSE($Z271,"Collection Email","1st Email Follow-up","2nd Email Follow-up","Escalation to Local Office","Escalation to CBE","Escalation to Roxanne")&amp;" sent "&amp;TEXT($AA271,"dd-mmm")&amp;". "&amp;IF($Z271=6,"Final escalation completed.",IF($U271="OVERDUE","Next: "&amp;$AC271&amp;" was due "&amp;TEXT($AB271,"dd-mmm")&amp;" - "&amp;(NETWORKDAYS($AB271,TODAY(),Holidays)-1)&amp;" business day(s) late. Send now.",IF($U271="DUE TOMORROW","Next: "&amp;$AC271&amp;IF($AB271&lt;=TODAY()," is due TODAY ("," is due next business day (")&amp;TEXT($AB271,"dd-mmm")&amp;").","Next: "&amp;$AC271&amp;" due "&amp;TEXT($AB271,"dd-mmm")&amp;" ("&amp;(NETWORKDAYS(TODAY(),$AB271,Holidays)-1)&amp;" business day(s) left).")))))</f>
        <v/>
      </c>
      <c r="W271" s="17">
        <f>IF($Z271="","",CHOOSE($Z271,"Collection Email","1st Follow-up","2nd Follow-up","Local Office","CBE","Roxanne")&amp;IF($Z271=6," - Final"," - Day "&amp;MAX(0,NETWORKDAYS($AA271,TODAY(),Holidays)-1)&amp;" of "&amp;CHOOSE($Z271,3,3,2,2,3))&amp;" | Total Day "&amp;MAX(0,NETWORKDAYS($N271,TODAY(),Holidays)-1))</f>
        <v/>
      </c>
      <c r="X271" s="18"/>
      <c r="Y271" s="18"/>
      <c r="Z271" s="17">
        <f>IF($N271="","",COUNT($N271:$S271))</f>
        <v/>
      </c>
      <c r="AA271" s="19">
        <f>IF($Z271="","",INT(INDEX($N271:$S271,$Z271)))</f>
        <v/>
      </c>
      <c r="AB271" s="19">
        <f>IF(OR($Z271="",$Z271=6),"",WORKDAY($AA271,CHOOSE($Z271,3,3,2,2,3),Holidays))</f>
        <v/>
      </c>
      <c r="AC271" s="17">
        <f>IF(OR($Z271="",$Z271=6),"",CHOOSE($Z271,"1st Email Follow-up","2nd Email Follow-up","Escalate Local Office","Escalate to CBE","Escalate to Roxanne"))</f>
        <v/>
      </c>
    </row>
    <row r="272" spans="13:29">
      <c r="M272" s="14"/>
      <c r="T272" s="16"/>
      <c r="U272" s="17">
        <f>IF(AND(COUNTA($A272:$L272)=0,$N272=""),"",IF($T272="Paid","PAID",IF($T272="Closed","CLOSED",IF($Z272="","",IF($Z272=6,"ESCALATED TO ROXANNE",IF(TODAY()&gt;$AB272,"OVERDUE",IF($AB272&lt;=WORKDAY(TODAY(),1,Holidays),"DUE TOMORROW",IF($Z272=4,"ESCALATED TO LOCAL OFFICE",IF($Z272=5,"ESCALATED TO CBE",IF($AA272=TODAY(),"EMAIL SENT","MONITORING"))))))))))</f>
        <v/>
      </c>
      <c r="V272" s="17">
        <f>IF($U272="",IF(AND(COUNTA($A272:$L272)&gt;0,$N272=""),"Awaiting Collection Email time stamp.",""),IF(OR($U272="PAID",$U272="CLOSED"),IF($U272="PAID","Account paid. Action completed.","Account closed. No further action required."),CHOOSE($Z272,"Collection Email","1st Email Follow-up","2nd Email Follow-up","Escalation to Local Office","Escalation to CBE","Escalation to Roxanne")&amp;" sent "&amp;TEXT($AA272,"dd-mmm")&amp;". "&amp;IF($Z272=6,"Final escalation completed.",IF($U272="OVERDUE","Next: "&amp;$AC272&amp;" was due "&amp;TEXT($AB272,"dd-mmm")&amp;" - "&amp;(NETWORKDAYS($AB272,TODAY(),Holidays)-1)&amp;" business day(s) late. Send now.",IF($U272="DUE TOMORROW","Next: "&amp;$AC272&amp;IF($AB272&lt;=TODAY()," is due TODAY ("," is due next business day (")&amp;TEXT($AB272,"dd-mmm")&amp;").","Next: "&amp;$AC272&amp;" due "&amp;TEXT($AB272,"dd-mmm")&amp;" ("&amp;(NETWORKDAYS(TODAY(),$AB272,Holidays)-1)&amp;" business day(s) left).")))))</f>
        <v/>
      </c>
      <c r="W272" s="17">
        <f>IF($Z272="","",CHOOSE($Z272,"Collection Email","1st Follow-up","2nd Follow-up","Local Office","CBE","Roxanne")&amp;IF($Z272=6," - Final"," - Day "&amp;MAX(0,NETWORKDAYS($AA272,TODAY(),Holidays)-1)&amp;" of "&amp;CHOOSE($Z272,3,3,2,2,3))&amp;" | Total Day "&amp;MAX(0,NETWORKDAYS($N272,TODAY(),Holidays)-1))</f>
        <v/>
      </c>
      <c r="X272" s="18"/>
      <c r="Y272" s="18"/>
      <c r="Z272" s="17">
        <f>IF($N272="","",COUNT($N272:$S272))</f>
        <v/>
      </c>
      <c r="AA272" s="19">
        <f>IF($Z272="","",INT(INDEX($N272:$S272,$Z272)))</f>
        <v/>
      </c>
      <c r="AB272" s="19">
        <f>IF(OR($Z272="",$Z272=6),"",WORKDAY($AA272,CHOOSE($Z272,3,3,2,2,3),Holidays))</f>
        <v/>
      </c>
      <c r="AC272" s="17">
        <f>IF(OR($Z272="",$Z272=6),"",CHOOSE($Z272,"1st Email Follow-up","2nd Email Follow-up","Escalate Local Office","Escalate to CBE","Escalate to Roxanne"))</f>
        <v/>
      </c>
    </row>
    <row r="273" spans="13:29">
      <c r="M273" s="14"/>
      <c r="T273" s="16"/>
      <c r="U273" s="17">
        <f>IF(AND(COUNTA($A273:$L273)=0,$N273=""),"",IF($T273="Paid","PAID",IF($T273="Closed","CLOSED",IF($Z273="","",IF($Z273=6,"ESCALATED TO ROXANNE",IF(TODAY()&gt;$AB273,"OVERDUE",IF($AB273&lt;=WORKDAY(TODAY(),1,Holidays),"DUE TOMORROW",IF($Z273=4,"ESCALATED TO LOCAL OFFICE",IF($Z273=5,"ESCALATED TO CBE",IF($AA273=TODAY(),"EMAIL SENT","MONITORING"))))))))))</f>
        <v/>
      </c>
      <c r="V273" s="17">
        <f>IF($U273="",IF(AND(COUNTA($A273:$L273)&gt;0,$N273=""),"Awaiting Collection Email time stamp.",""),IF(OR($U273="PAID",$U273="CLOSED"),IF($U273="PAID","Account paid. Action completed.","Account closed. No further action required."),CHOOSE($Z273,"Collection Email","1st Email Follow-up","2nd Email Follow-up","Escalation to Local Office","Escalation to CBE","Escalation to Roxanne")&amp;" sent "&amp;TEXT($AA273,"dd-mmm")&amp;". "&amp;IF($Z273=6,"Final escalation completed.",IF($U273="OVERDUE","Next: "&amp;$AC273&amp;" was due "&amp;TEXT($AB273,"dd-mmm")&amp;" - "&amp;(NETWORKDAYS($AB273,TODAY(),Holidays)-1)&amp;" business day(s) late. Send now.",IF($U273="DUE TOMORROW","Next: "&amp;$AC273&amp;IF($AB273&lt;=TODAY()," is due TODAY ("," is due next business day (")&amp;TEXT($AB273,"dd-mmm")&amp;").","Next: "&amp;$AC273&amp;" due "&amp;TEXT($AB273,"dd-mmm")&amp;" ("&amp;(NETWORKDAYS(TODAY(),$AB273,Holidays)-1)&amp;" business day(s) left).")))))</f>
        <v/>
      </c>
      <c r="W273" s="17">
        <f>IF($Z273="","",CHOOSE($Z273,"Collection Email","1st Follow-up","2nd Follow-up","Local Office","CBE","Roxanne")&amp;IF($Z273=6," - Final"," - Day "&amp;MAX(0,NETWORKDAYS($AA273,TODAY(),Holidays)-1)&amp;" of "&amp;CHOOSE($Z273,3,3,2,2,3))&amp;" | Total Day "&amp;MAX(0,NETWORKDAYS($N273,TODAY(),Holidays)-1))</f>
        <v/>
      </c>
      <c r="X273" s="18"/>
      <c r="Y273" s="18"/>
      <c r="Z273" s="17">
        <f>IF($N273="","",COUNT($N273:$S273))</f>
        <v/>
      </c>
      <c r="AA273" s="19">
        <f>IF($Z273="","",INT(INDEX($N273:$S273,$Z273)))</f>
        <v/>
      </c>
      <c r="AB273" s="19">
        <f>IF(OR($Z273="",$Z273=6),"",WORKDAY($AA273,CHOOSE($Z273,3,3,2,2,3),Holidays))</f>
        <v/>
      </c>
      <c r="AC273" s="17">
        <f>IF(OR($Z273="",$Z273=6),"",CHOOSE($Z273,"1st Email Follow-up","2nd Email Follow-up","Escalate Local Office","Escalate to CBE","Escalate to Roxanne"))</f>
        <v/>
      </c>
    </row>
    <row r="274" spans="13:29">
      <c r="M274" s="14"/>
      <c r="T274" s="16"/>
      <c r="U274" s="17">
        <f>IF(AND(COUNTA($A274:$L274)=0,$N274=""),"",IF($T274="Paid","PAID",IF($T274="Closed","CLOSED",IF($Z274="","",IF($Z274=6,"ESCALATED TO ROXANNE",IF(TODAY()&gt;$AB274,"OVERDUE",IF($AB274&lt;=WORKDAY(TODAY(),1,Holidays),"DUE TOMORROW",IF($Z274=4,"ESCALATED TO LOCAL OFFICE",IF($Z274=5,"ESCALATED TO CBE",IF($AA274=TODAY(),"EMAIL SENT","MONITORING"))))))))))</f>
        <v/>
      </c>
      <c r="V274" s="17">
        <f>IF($U274="",IF(AND(COUNTA($A274:$L274)&gt;0,$N274=""),"Awaiting Collection Email time stamp.",""),IF(OR($U274="PAID",$U274="CLOSED"),IF($U274="PAID","Account paid. Action completed.","Account closed. No further action required."),CHOOSE($Z274,"Collection Email","1st Email Follow-up","2nd Email Follow-up","Escalation to Local Office","Escalation to CBE","Escalation to Roxanne")&amp;" sent "&amp;TEXT($AA274,"dd-mmm")&amp;". "&amp;IF($Z274=6,"Final escalation completed.",IF($U274="OVERDUE","Next: "&amp;$AC274&amp;" was due "&amp;TEXT($AB274,"dd-mmm")&amp;" - "&amp;(NETWORKDAYS($AB274,TODAY(),Holidays)-1)&amp;" business day(s) late. Send now.",IF($U274="DUE TOMORROW","Next: "&amp;$AC274&amp;IF($AB274&lt;=TODAY()," is due TODAY ("," is due next business day (")&amp;TEXT($AB274,"dd-mmm")&amp;").","Next: "&amp;$AC274&amp;" due "&amp;TEXT($AB274,"dd-mmm")&amp;" ("&amp;(NETWORKDAYS(TODAY(),$AB274,Holidays)-1)&amp;" business day(s) left).")))))</f>
        <v/>
      </c>
      <c r="W274" s="17">
        <f>IF($Z274="","",CHOOSE($Z274,"Collection Email","1st Follow-up","2nd Follow-up","Local Office","CBE","Roxanne")&amp;IF($Z274=6," - Final"," - Day "&amp;MAX(0,NETWORKDAYS($AA274,TODAY(),Holidays)-1)&amp;" of "&amp;CHOOSE($Z274,3,3,2,2,3))&amp;" | Total Day "&amp;MAX(0,NETWORKDAYS($N274,TODAY(),Holidays)-1))</f>
        <v/>
      </c>
      <c r="X274" s="18"/>
      <c r="Y274" s="18"/>
      <c r="Z274" s="17">
        <f>IF($N274="","",COUNT($N274:$S274))</f>
        <v/>
      </c>
      <c r="AA274" s="19">
        <f>IF($Z274="","",INT(INDEX($N274:$S274,$Z274)))</f>
        <v/>
      </c>
      <c r="AB274" s="19">
        <f>IF(OR($Z274="",$Z274=6),"",WORKDAY($AA274,CHOOSE($Z274,3,3,2,2,3),Holidays))</f>
        <v/>
      </c>
      <c r="AC274" s="17">
        <f>IF(OR($Z274="",$Z274=6),"",CHOOSE($Z274,"1st Email Follow-up","2nd Email Follow-up","Escalate Local Office","Escalate to CBE","Escalate to Roxanne"))</f>
        <v/>
      </c>
    </row>
    <row r="275" spans="13:29">
      <c r="M275" s="14"/>
      <c r="T275" s="16"/>
      <c r="U275" s="17">
        <f>IF(AND(COUNTA($A275:$L275)=0,$N275=""),"",IF($T275="Paid","PAID",IF($T275="Closed","CLOSED",IF($Z275="","",IF($Z275=6,"ESCALATED TO ROXANNE",IF(TODAY()&gt;$AB275,"OVERDUE",IF($AB275&lt;=WORKDAY(TODAY(),1,Holidays),"DUE TOMORROW",IF($Z275=4,"ESCALATED TO LOCAL OFFICE",IF($Z275=5,"ESCALATED TO CBE",IF($AA275=TODAY(),"EMAIL SENT","MONITORING"))))))))))</f>
        <v/>
      </c>
      <c r="V275" s="17">
        <f>IF($U275="",IF(AND(COUNTA($A275:$L275)&gt;0,$N275=""),"Awaiting Collection Email time stamp.",""),IF(OR($U275="PAID",$U275="CLOSED"),IF($U275="PAID","Account paid. Action completed.","Account closed. No further action required."),CHOOSE($Z275,"Collection Email","1st Email Follow-up","2nd Email Follow-up","Escalation to Local Office","Escalation to CBE","Escalation to Roxanne")&amp;" sent "&amp;TEXT($AA275,"dd-mmm")&amp;". "&amp;IF($Z275=6,"Final escalation completed.",IF($U275="OVERDUE","Next: "&amp;$AC275&amp;" was due "&amp;TEXT($AB275,"dd-mmm")&amp;" - "&amp;(NETWORKDAYS($AB275,TODAY(),Holidays)-1)&amp;" business day(s) late. Send now.",IF($U275="DUE TOMORROW","Next: "&amp;$AC275&amp;IF($AB275&lt;=TODAY()," is due TODAY ("," is due next business day (")&amp;TEXT($AB275,"dd-mmm")&amp;").","Next: "&amp;$AC275&amp;" due "&amp;TEXT($AB275,"dd-mmm")&amp;" ("&amp;(NETWORKDAYS(TODAY(),$AB275,Holidays)-1)&amp;" business day(s) left).")))))</f>
        <v/>
      </c>
      <c r="W275" s="17">
        <f>IF($Z275="","",CHOOSE($Z275,"Collection Email","1st Follow-up","2nd Follow-up","Local Office","CBE","Roxanne")&amp;IF($Z275=6," - Final"," - Day "&amp;MAX(0,NETWORKDAYS($AA275,TODAY(),Holidays)-1)&amp;" of "&amp;CHOOSE($Z275,3,3,2,2,3))&amp;" | Total Day "&amp;MAX(0,NETWORKDAYS($N275,TODAY(),Holidays)-1))</f>
        <v/>
      </c>
      <c r="X275" s="18"/>
      <c r="Y275" s="18"/>
      <c r="Z275" s="17">
        <f>IF($N275="","",COUNT($N275:$S275))</f>
        <v/>
      </c>
      <c r="AA275" s="19">
        <f>IF($Z275="","",INT(INDEX($N275:$S275,$Z275)))</f>
        <v/>
      </c>
      <c r="AB275" s="19">
        <f>IF(OR($Z275="",$Z275=6),"",WORKDAY($AA275,CHOOSE($Z275,3,3,2,2,3),Holidays))</f>
        <v/>
      </c>
      <c r="AC275" s="17">
        <f>IF(OR($Z275="",$Z275=6),"",CHOOSE($Z275,"1st Email Follow-up","2nd Email Follow-up","Escalate Local Office","Escalate to CBE","Escalate to Roxanne"))</f>
        <v/>
      </c>
    </row>
    <row r="276" spans="13:29">
      <c r="M276" s="14"/>
      <c r="T276" s="16"/>
      <c r="U276" s="17">
        <f>IF(AND(COUNTA($A276:$L276)=0,$N276=""),"",IF($T276="Paid","PAID",IF($T276="Closed","CLOSED",IF($Z276="","",IF($Z276=6,"ESCALATED TO ROXANNE",IF(TODAY()&gt;$AB276,"OVERDUE",IF($AB276&lt;=WORKDAY(TODAY(),1,Holidays),"DUE TOMORROW",IF($Z276=4,"ESCALATED TO LOCAL OFFICE",IF($Z276=5,"ESCALATED TO CBE",IF($AA276=TODAY(),"EMAIL SENT","MONITORING"))))))))))</f>
        <v/>
      </c>
      <c r="V276" s="17">
        <f>IF($U276="",IF(AND(COUNTA($A276:$L276)&gt;0,$N276=""),"Awaiting Collection Email time stamp.",""),IF(OR($U276="PAID",$U276="CLOSED"),IF($U276="PAID","Account paid. Action completed.","Account closed. No further action required."),CHOOSE($Z276,"Collection Email","1st Email Follow-up","2nd Email Follow-up","Escalation to Local Office","Escalation to CBE","Escalation to Roxanne")&amp;" sent "&amp;TEXT($AA276,"dd-mmm")&amp;". "&amp;IF($Z276=6,"Final escalation completed.",IF($U276="OVERDUE","Next: "&amp;$AC276&amp;" was due "&amp;TEXT($AB276,"dd-mmm")&amp;" - "&amp;(NETWORKDAYS($AB276,TODAY(),Holidays)-1)&amp;" business day(s) late. Send now.",IF($U276="DUE TOMORROW","Next: "&amp;$AC276&amp;IF($AB276&lt;=TODAY()," is due TODAY ("," is due next business day (")&amp;TEXT($AB276,"dd-mmm")&amp;").","Next: "&amp;$AC276&amp;" due "&amp;TEXT($AB276,"dd-mmm")&amp;" ("&amp;(NETWORKDAYS(TODAY(),$AB276,Holidays)-1)&amp;" business day(s) left).")))))</f>
        <v/>
      </c>
      <c r="W276" s="17">
        <f>IF($Z276="","",CHOOSE($Z276,"Collection Email","1st Follow-up","2nd Follow-up","Local Office","CBE","Roxanne")&amp;IF($Z276=6," - Final"," - Day "&amp;MAX(0,NETWORKDAYS($AA276,TODAY(),Holidays)-1)&amp;" of "&amp;CHOOSE($Z276,3,3,2,2,3))&amp;" | Total Day "&amp;MAX(0,NETWORKDAYS($N276,TODAY(),Holidays)-1))</f>
        <v/>
      </c>
      <c r="X276" s="18"/>
      <c r="Y276" s="18"/>
      <c r="Z276" s="17">
        <f>IF($N276="","",COUNT($N276:$S276))</f>
        <v/>
      </c>
      <c r="AA276" s="19">
        <f>IF($Z276="","",INT(INDEX($N276:$S276,$Z276)))</f>
        <v/>
      </c>
      <c r="AB276" s="19">
        <f>IF(OR($Z276="",$Z276=6),"",WORKDAY($AA276,CHOOSE($Z276,3,3,2,2,3),Holidays))</f>
        <v/>
      </c>
      <c r="AC276" s="17">
        <f>IF(OR($Z276="",$Z276=6),"",CHOOSE($Z276,"1st Email Follow-up","2nd Email Follow-up","Escalate Local Office","Escalate to CBE","Escalate to Roxanne"))</f>
        <v/>
      </c>
    </row>
    <row r="277" spans="13:29">
      <c r="M277" s="14"/>
      <c r="T277" s="16"/>
      <c r="U277" s="17">
        <f>IF(AND(COUNTA($A277:$L277)=0,$N277=""),"",IF($T277="Paid","PAID",IF($T277="Closed","CLOSED",IF($Z277="","",IF($Z277=6,"ESCALATED TO ROXANNE",IF(TODAY()&gt;$AB277,"OVERDUE",IF($AB277&lt;=WORKDAY(TODAY(),1,Holidays),"DUE TOMORROW",IF($Z277=4,"ESCALATED TO LOCAL OFFICE",IF($Z277=5,"ESCALATED TO CBE",IF($AA277=TODAY(),"EMAIL SENT","MONITORING"))))))))))</f>
        <v/>
      </c>
      <c r="V277" s="17">
        <f>IF($U277="",IF(AND(COUNTA($A277:$L277)&gt;0,$N277=""),"Awaiting Collection Email time stamp.",""),IF(OR($U277="PAID",$U277="CLOSED"),IF($U277="PAID","Account paid. Action completed.","Account closed. No further action required."),CHOOSE($Z277,"Collection Email","1st Email Follow-up","2nd Email Follow-up","Escalation to Local Office","Escalation to CBE","Escalation to Roxanne")&amp;" sent "&amp;TEXT($AA277,"dd-mmm")&amp;". "&amp;IF($Z277=6,"Final escalation completed.",IF($U277="OVERDUE","Next: "&amp;$AC277&amp;" was due "&amp;TEXT($AB277,"dd-mmm")&amp;" - "&amp;(NETWORKDAYS($AB277,TODAY(),Holidays)-1)&amp;" business day(s) late. Send now.",IF($U277="DUE TOMORROW","Next: "&amp;$AC277&amp;IF($AB277&lt;=TODAY()," is due TODAY ("," is due next business day (")&amp;TEXT($AB277,"dd-mmm")&amp;").","Next: "&amp;$AC277&amp;" due "&amp;TEXT($AB277,"dd-mmm")&amp;" ("&amp;(NETWORKDAYS(TODAY(),$AB277,Holidays)-1)&amp;" business day(s) left).")))))</f>
        <v/>
      </c>
      <c r="W277" s="17">
        <f>IF($Z277="","",CHOOSE($Z277,"Collection Email","1st Follow-up","2nd Follow-up","Local Office","CBE","Roxanne")&amp;IF($Z277=6," - Final"," - Day "&amp;MAX(0,NETWORKDAYS($AA277,TODAY(),Holidays)-1)&amp;" of "&amp;CHOOSE($Z277,3,3,2,2,3))&amp;" | Total Day "&amp;MAX(0,NETWORKDAYS($N277,TODAY(),Holidays)-1))</f>
        <v/>
      </c>
      <c r="X277" s="18"/>
      <c r="Y277" s="18"/>
      <c r="Z277" s="17">
        <f>IF($N277="","",COUNT($N277:$S277))</f>
        <v/>
      </c>
      <c r="AA277" s="19">
        <f>IF($Z277="","",INT(INDEX($N277:$S277,$Z277)))</f>
        <v/>
      </c>
      <c r="AB277" s="19">
        <f>IF(OR($Z277="",$Z277=6),"",WORKDAY($AA277,CHOOSE($Z277,3,3,2,2,3),Holidays))</f>
        <v/>
      </c>
      <c r="AC277" s="17">
        <f>IF(OR($Z277="",$Z277=6),"",CHOOSE($Z277,"1st Email Follow-up","2nd Email Follow-up","Escalate Local Office","Escalate to CBE","Escalate to Roxanne"))</f>
        <v/>
      </c>
    </row>
    <row r="278" spans="13:29">
      <c r="M278" s="14"/>
      <c r="T278" s="16"/>
      <c r="U278" s="17">
        <f>IF(AND(COUNTA($A278:$L278)=0,$N278=""),"",IF($T278="Paid","PAID",IF($T278="Closed","CLOSED",IF($Z278="","",IF($Z278=6,"ESCALATED TO ROXANNE",IF(TODAY()&gt;$AB278,"OVERDUE",IF($AB278&lt;=WORKDAY(TODAY(),1,Holidays),"DUE TOMORROW",IF($Z278=4,"ESCALATED TO LOCAL OFFICE",IF($Z278=5,"ESCALATED TO CBE",IF($AA278=TODAY(),"EMAIL SENT","MONITORING"))))))))))</f>
        <v/>
      </c>
      <c r="V278" s="17">
        <f>IF($U278="",IF(AND(COUNTA($A278:$L278)&gt;0,$N278=""),"Awaiting Collection Email time stamp.",""),IF(OR($U278="PAID",$U278="CLOSED"),IF($U278="PAID","Account paid. Action completed.","Account closed. No further action required."),CHOOSE($Z278,"Collection Email","1st Email Follow-up","2nd Email Follow-up","Escalation to Local Office","Escalation to CBE","Escalation to Roxanne")&amp;" sent "&amp;TEXT($AA278,"dd-mmm")&amp;". "&amp;IF($Z278=6,"Final escalation completed.",IF($U278="OVERDUE","Next: "&amp;$AC278&amp;" was due "&amp;TEXT($AB278,"dd-mmm")&amp;" - "&amp;(NETWORKDAYS($AB278,TODAY(),Holidays)-1)&amp;" business day(s) late. Send now.",IF($U278="DUE TOMORROW","Next: "&amp;$AC278&amp;IF($AB278&lt;=TODAY()," is due TODAY ("," is due next business day (")&amp;TEXT($AB278,"dd-mmm")&amp;").","Next: "&amp;$AC278&amp;" due "&amp;TEXT($AB278,"dd-mmm")&amp;" ("&amp;(NETWORKDAYS(TODAY(),$AB278,Holidays)-1)&amp;" business day(s) left).")))))</f>
        <v/>
      </c>
      <c r="W278" s="17">
        <f>IF($Z278="","",CHOOSE($Z278,"Collection Email","1st Follow-up","2nd Follow-up","Local Office","CBE","Roxanne")&amp;IF($Z278=6," - Final"," - Day "&amp;MAX(0,NETWORKDAYS($AA278,TODAY(),Holidays)-1)&amp;" of "&amp;CHOOSE($Z278,3,3,2,2,3))&amp;" | Total Day "&amp;MAX(0,NETWORKDAYS($N278,TODAY(),Holidays)-1))</f>
        <v/>
      </c>
      <c r="X278" s="18"/>
      <c r="Y278" s="18"/>
      <c r="Z278" s="17">
        <f>IF($N278="","",COUNT($N278:$S278))</f>
        <v/>
      </c>
      <c r="AA278" s="19">
        <f>IF($Z278="","",INT(INDEX($N278:$S278,$Z278)))</f>
        <v/>
      </c>
      <c r="AB278" s="19">
        <f>IF(OR($Z278="",$Z278=6),"",WORKDAY($AA278,CHOOSE($Z278,3,3,2,2,3),Holidays))</f>
        <v/>
      </c>
      <c r="AC278" s="17">
        <f>IF(OR($Z278="",$Z278=6),"",CHOOSE($Z278,"1st Email Follow-up","2nd Email Follow-up","Escalate Local Office","Escalate to CBE","Escalate to Roxanne"))</f>
        <v/>
      </c>
    </row>
    <row r="279" spans="13:29">
      <c r="M279" s="14"/>
      <c r="T279" s="16"/>
      <c r="U279" s="17">
        <f>IF(AND(COUNTA($A279:$L279)=0,$N279=""),"",IF($T279="Paid","PAID",IF($T279="Closed","CLOSED",IF($Z279="","",IF($Z279=6,"ESCALATED TO ROXANNE",IF(TODAY()&gt;$AB279,"OVERDUE",IF($AB279&lt;=WORKDAY(TODAY(),1,Holidays),"DUE TOMORROW",IF($Z279=4,"ESCALATED TO LOCAL OFFICE",IF($Z279=5,"ESCALATED TO CBE",IF($AA279=TODAY(),"EMAIL SENT","MONITORING"))))))))))</f>
        <v/>
      </c>
      <c r="V279" s="17">
        <f>IF($U279="",IF(AND(COUNTA($A279:$L279)&gt;0,$N279=""),"Awaiting Collection Email time stamp.",""),IF(OR($U279="PAID",$U279="CLOSED"),IF($U279="PAID","Account paid. Action completed.","Account closed. No further action required."),CHOOSE($Z279,"Collection Email","1st Email Follow-up","2nd Email Follow-up","Escalation to Local Office","Escalation to CBE","Escalation to Roxanne")&amp;" sent "&amp;TEXT($AA279,"dd-mmm")&amp;". "&amp;IF($Z279=6,"Final escalation completed.",IF($U279="OVERDUE","Next: "&amp;$AC279&amp;" was due "&amp;TEXT($AB279,"dd-mmm")&amp;" - "&amp;(NETWORKDAYS($AB279,TODAY(),Holidays)-1)&amp;" business day(s) late. Send now.",IF($U279="DUE TOMORROW","Next: "&amp;$AC279&amp;IF($AB279&lt;=TODAY()," is due TODAY ("," is due next business day (")&amp;TEXT($AB279,"dd-mmm")&amp;").","Next: "&amp;$AC279&amp;" due "&amp;TEXT($AB279,"dd-mmm")&amp;" ("&amp;(NETWORKDAYS(TODAY(),$AB279,Holidays)-1)&amp;" business day(s) left).")))))</f>
        <v/>
      </c>
      <c r="W279" s="17">
        <f>IF($Z279="","",CHOOSE($Z279,"Collection Email","1st Follow-up","2nd Follow-up","Local Office","CBE","Roxanne")&amp;IF($Z279=6," - Final"," - Day "&amp;MAX(0,NETWORKDAYS($AA279,TODAY(),Holidays)-1)&amp;" of "&amp;CHOOSE($Z279,3,3,2,2,3))&amp;" | Total Day "&amp;MAX(0,NETWORKDAYS($N279,TODAY(),Holidays)-1))</f>
        <v/>
      </c>
      <c r="X279" s="18"/>
      <c r="Y279" s="18"/>
      <c r="Z279" s="17">
        <f>IF($N279="","",COUNT($N279:$S279))</f>
        <v/>
      </c>
      <c r="AA279" s="19">
        <f>IF($Z279="","",INT(INDEX($N279:$S279,$Z279)))</f>
        <v/>
      </c>
      <c r="AB279" s="19">
        <f>IF(OR($Z279="",$Z279=6),"",WORKDAY($AA279,CHOOSE($Z279,3,3,2,2,3),Holidays))</f>
        <v/>
      </c>
      <c r="AC279" s="17">
        <f>IF(OR($Z279="",$Z279=6),"",CHOOSE($Z279,"1st Email Follow-up","2nd Email Follow-up","Escalate Local Office","Escalate to CBE","Escalate to Roxanne"))</f>
        <v/>
      </c>
    </row>
    <row r="280" spans="13:29">
      <c r="M280" s="14"/>
      <c r="T280" s="16"/>
      <c r="U280" s="17">
        <f>IF(AND(COUNTA($A280:$L280)=0,$N280=""),"",IF($T280="Paid","PAID",IF($T280="Closed","CLOSED",IF($Z280="","",IF($Z280=6,"ESCALATED TO ROXANNE",IF(TODAY()&gt;$AB280,"OVERDUE",IF($AB280&lt;=WORKDAY(TODAY(),1,Holidays),"DUE TOMORROW",IF($Z280=4,"ESCALATED TO LOCAL OFFICE",IF($Z280=5,"ESCALATED TO CBE",IF($AA280=TODAY(),"EMAIL SENT","MONITORING"))))))))))</f>
        <v/>
      </c>
      <c r="V280" s="17">
        <f>IF($U280="",IF(AND(COUNTA($A280:$L280)&gt;0,$N280=""),"Awaiting Collection Email time stamp.",""),IF(OR($U280="PAID",$U280="CLOSED"),IF($U280="PAID","Account paid. Action completed.","Account closed. No further action required."),CHOOSE($Z280,"Collection Email","1st Email Follow-up","2nd Email Follow-up","Escalation to Local Office","Escalation to CBE","Escalation to Roxanne")&amp;" sent "&amp;TEXT($AA280,"dd-mmm")&amp;". "&amp;IF($Z280=6,"Final escalation completed.",IF($U280="OVERDUE","Next: "&amp;$AC280&amp;" was due "&amp;TEXT($AB280,"dd-mmm")&amp;" - "&amp;(NETWORKDAYS($AB280,TODAY(),Holidays)-1)&amp;" business day(s) late. Send now.",IF($U280="DUE TOMORROW","Next: "&amp;$AC280&amp;IF($AB280&lt;=TODAY()," is due TODAY ("," is due next business day (")&amp;TEXT($AB280,"dd-mmm")&amp;").","Next: "&amp;$AC280&amp;" due "&amp;TEXT($AB280,"dd-mmm")&amp;" ("&amp;(NETWORKDAYS(TODAY(),$AB280,Holidays)-1)&amp;" business day(s) left).")))))</f>
        <v/>
      </c>
      <c r="W280" s="17">
        <f>IF($Z280="","",CHOOSE($Z280,"Collection Email","1st Follow-up","2nd Follow-up","Local Office","CBE","Roxanne")&amp;IF($Z280=6," - Final"," - Day "&amp;MAX(0,NETWORKDAYS($AA280,TODAY(),Holidays)-1)&amp;" of "&amp;CHOOSE($Z280,3,3,2,2,3))&amp;" | Total Day "&amp;MAX(0,NETWORKDAYS($N280,TODAY(),Holidays)-1))</f>
        <v/>
      </c>
      <c r="X280" s="18"/>
      <c r="Y280" s="18"/>
      <c r="Z280" s="17">
        <f>IF($N280="","",COUNT($N280:$S280))</f>
        <v/>
      </c>
      <c r="AA280" s="19">
        <f>IF($Z280="","",INT(INDEX($N280:$S280,$Z280)))</f>
        <v/>
      </c>
      <c r="AB280" s="19">
        <f>IF(OR($Z280="",$Z280=6),"",WORKDAY($AA280,CHOOSE($Z280,3,3,2,2,3),Holidays))</f>
        <v/>
      </c>
      <c r="AC280" s="17">
        <f>IF(OR($Z280="",$Z280=6),"",CHOOSE($Z280,"1st Email Follow-up","2nd Email Follow-up","Escalate Local Office","Escalate to CBE","Escalate to Roxanne"))</f>
        <v/>
      </c>
    </row>
    <row r="281" spans="13:29">
      <c r="M281" s="14"/>
      <c r="T281" s="16"/>
      <c r="U281" s="17">
        <f>IF(AND(COUNTA($A281:$L281)=0,$N281=""),"",IF($T281="Paid","PAID",IF($T281="Closed","CLOSED",IF($Z281="","",IF($Z281=6,"ESCALATED TO ROXANNE",IF(TODAY()&gt;$AB281,"OVERDUE",IF($AB281&lt;=WORKDAY(TODAY(),1,Holidays),"DUE TOMORROW",IF($Z281=4,"ESCALATED TO LOCAL OFFICE",IF($Z281=5,"ESCALATED TO CBE",IF($AA281=TODAY(),"EMAIL SENT","MONITORING"))))))))))</f>
        <v/>
      </c>
      <c r="V281" s="17">
        <f>IF($U281="",IF(AND(COUNTA($A281:$L281)&gt;0,$N281=""),"Awaiting Collection Email time stamp.",""),IF(OR($U281="PAID",$U281="CLOSED"),IF($U281="PAID","Account paid. Action completed.","Account closed. No further action required."),CHOOSE($Z281,"Collection Email","1st Email Follow-up","2nd Email Follow-up","Escalation to Local Office","Escalation to CBE","Escalation to Roxanne")&amp;" sent "&amp;TEXT($AA281,"dd-mmm")&amp;". "&amp;IF($Z281=6,"Final escalation completed.",IF($U281="OVERDUE","Next: "&amp;$AC281&amp;" was due "&amp;TEXT($AB281,"dd-mmm")&amp;" - "&amp;(NETWORKDAYS($AB281,TODAY(),Holidays)-1)&amp;" business day(s) late. Send now.",IF($U281="DUE TOMORROW","Next: "&amp;$AC281&amp;IF($AB281&lt;=TODAY()," is due TODAY ("," is due next business day (")&amp;TEXT($AB281,"dd-mmm")&amp;").","Next: "&amp;$AC281&amp;" due "&amp;TEXT($AB281,"dd-mmm")&amp;" ("&amp;(NETWORKDAYS(TODAY(),$AB281,Holidays)-1)&amp;" business day(s) left).")))))</f>
        <v/>
      </c>
      <c r="W281" s="17">
        <f>IF($Z281="","",CHOOSE($Z281,"Collection Email","1st Follow-up","2nd Follow-up","Local Office","CBE","Roxanne")&amp;IF($Z281=6," - Final"," - Day "&amp;MAX(0,NETWORKDAYS($AA281,TODAY(),Holidays)-1)&amp;" of "&amp;CHOOSE($Z281,3,3,2,2,3))&amp;" | Total Day "&amp;MAX(0,NETWORKDAYS($N281,TODAY(),Holidays)-1))</f>
        <v/>
      </c>
      <c r="X281" s="18"/>
      <c r="Y281" s="18"/>
      <c r="Z281" s="17">
        <f>IF($N281="","",COUNT($N281:$S281))</f>
        <v/>
      </c>
      <c r="AA281" s="19">
        <f>IF($Z281="","",INT(INDEX($N281:$S281,$Z281)))</f>
        <v/>
      </c>
      <c r="AB281" s="19">
        <f>IF(OR($Z281="",$Z281=6),"",WORKDAY($AA281,CHOOSE($Z281,3,3,2,2,3),Holidays))</f>
        <v/>
      </c>
      <c r="AC281" s="17">
        <f>IF(OR($Z281="",$Z281=6),"",CHOOSE($Z281,"1st Email Follow-up","2nd Email Follow-up","Escalate Local Office","Escalate to CBE","Escalate to Roxanne"))</f>
        <v/>
      </c>
    </row>
    <row r="282" spans="13:29">
      <c r="M282" s="14"/>
      <c r="T282" s="16"/>
      <c r="U282" s="17">
        <f>IF(AND(COUNTA($A282:$L282)=0,$N282=""),"",IF($T282="Paid","PAID",IF($T282="Closed","CLOSED",IF($Z282="","",IF($Z282=6,"ESCALATED TO ROXANNE",IF(TODAY()&gt;$AB282,"OVERDUE",IF($AB282&lt;=WORKDAY(TODAY(),1,Holidays),"DUE TOMORROW",IF($Z282=4,"ESCALATED TO LOCAL OFFICE",IF($Z282=5,"ESCALATED TO CBE",IF($AA282=TODAY(),"EMAIL SENT","MONITORING"))))))))))</f>
        <v/>
      </c>
      <c r="V282" s="17">
        <f>IF($U282="",IF(AND(COUNTA($A282:$L282)&gt;0,$N282=""),"Awaiting Collection Email time stamp.",""),IF(OR($U282="PAID",$U282="CLOSED"),IF($U282="PAID","Account paid. Action completed.","Account closed. No further action required."),CHOOSE($Z282,"Collection Email","1st Email Follow-up","2nd Email Follow-up","Escalation to Local Office","Escalation to CBE","Escalation to Roxanne")&amp;" sent "&amp;TEXT($AA282,"dd-mmm")&amp;". "&amp;IF($Z282=6,"Final escalation completed.",IF($U282="OVERDUE","Next: "&amp;$AC282&amp;" was due "&amp;TEXT($AB282,"dd-mmm")&amp;" - "&amp;(NETWORKDAYS($AB282,TODAY(),Holidays)-1)&amp;" business day(s) late. Send now.",IF($U282="DUE TOMORROW","Next: "&amp;$AC282&amp;IF($AB282&lt;=TODAY()," is due TODAY ("," is due next business day (")&amp;TEXT($AB282,"dd-mmm")&amp;").","Next: "&amp;$AC282&amp;" due "&amp;TEXT($AB282,"dd-mmm")&amp;" ("&amp;(NETWORKDAYS(TODAY(),$AB282,Holidays)-1)&amp;" business day(s) left).")))))</f>
        <v/>
      </c>
      <c r="W282" s="17">
        <f>IF($Z282="","",CHOOSE($Z282,"Collection Email","1st Follow-up","2nd Follow-up","Local Office","CBE","Roxanne")&amp;IF($Z282=6," - Final"," - Day "&amp;MAX(0,NETWORKDAYS($AA282,TODAY(),Holidays)-1)&amp;" of "&amp;CHOOSE($Z282,3,3,2,2,3))&amp;" | Total Day "&amp;MAX(0,NETWORKDAYS($N282,TODAY(),Holidays)-1))</f>
        <v/>
      </c>
      <c r="X282" s="18"/>
      <c r="Y282" s="18"/>
      <c r="Z282" s="17">
        <f>IF($N282="","",COUNT($N282:$S282))</f>
        <v/>
      </c>
      <c r="AA282" s="19">
        <f>IF($Z282="","",INT(INDEX($N282:$S282,$Z282)))</f>
        <v/>
      </c>
      <c r="AB282" s="19">
        <f>IF(OR($Z282="",$Z282=6),"",WORKDAY($AA282,CHOOSE($Z282,3,3,2,2,3),Holidays))</f>
        <v/>
      </c>
      <c r="AC282" s="17">
        <f>IF(OR($Z282="",$Z282=6),"",CHOOSE($Z282,"1st Email Follow-up","2nd Email Follow-up","Escalate Local Office","Escalate to CBE","Escalate to Roxanne"))</f>
        <v/>
      </c>
    </row>
    <row r="283" spans="13:29">
      <c r="M283" s="14"/>
      <c r="T283" s="16"/>
      <c r="U283" s="17">
        <f>IF(AND(COUNTA($A283:$L283)=0,$N283=""),"",IF($T283="Paid","PAID",IF($T283="Closed","CLOSED",IF($Z283="","",IF($Z283=6,"ESCALATED TO ROXANNE",IF(TODAY()&gt;$AB283,"OVERDUE",IF($AB283&lt;=WORKDAY(TODAY(),1,Holidays),"DUE TOMORROW",IF($Z283=4,"ESCALATED TO LOCAL OFFICE",IF($Z283=5,"ESCALATED TO CBE",IF($AA283=TODAY(),"EMAIL SENT","MONITORING"))))))))))</f>
        <v/>
      </c>
      <c r="V283" s="17">
        <f>IF($U283="",IF(AND(COUNTA($A283:$L283)&gt;0,$N283=""),"Awaiting Collection Email time stamp.",""),IF(OR($U283="PAID",$U283="CLOSED"),IF($U283="PAID","Account paid. Action completed.","Account closed. No further action required."),CHOOSE($Z283,"Collection Email","1st Email Follow-up","2nd Email Follow-up","Escalation to Local Office","Escalation to CBE","Escalation to Roxanne")&amp;" sent "&amp;TEXT($AA283,"dd-mmm")&amp;". "&amp;IF($Z283=6,"Final escalation completed.",IF($U283="OVERDUE","Next: "&amp;$AC283&amp;" was due "&amp;TEXT($AB283,"dd-mmm")&amp;" - "&amp;(NETWORKDAYS($AB283,TODAY(),Holidays)-1)&amp;" business day(s) late. Send now.",IF($U283="DUE TOMORROW","Next: "&amp;$AC283&amp;IF($AB283&lt;=TODAY()," is due TODAY ("," is due next business day (")&amp;TEXT($AB283,"dd-mmm")&amp;").","Next: "&amp;$AC283&amp;" due "&amp;TEXT($AB283,"dd-mmm")&amp;" ("&amp;(NETWORKDAYS(TODAY(),$AB283,Holidays)-1)&amp;" business day(s) left).")))))</f>
        <v/>
      </c>
      <c r="W283" s="17">
        <f>IF($Z283="","",CHOOSE($Z283,"Collection Email","1st Follow-up","2nd Follow-up","Local Office","CBE","Roxanne")&amp;IF($Z283=6," - Final"," - Day "&amp;MAX(0,NETWORKDAYS($AA283,TODAY(),Holidays)-1)&amp;" of "&amp;CHOOSE($Z283,3,3,2,2,3))&amp;" | Total Day "&amp;MAX(0,NETWORKDAYS($N283,TODAY(),Holidays)-1))</f>
        <v/>
      </c>
      <c r="X283" s="18"/>
      <c r="Y283" s="18"/>
      <c r="Z283" s="17">
        <f>IF($N283="","",COUNT($N283:$S283))</f>
        <v/>
      </c>
      <c r="AA283" s="19">
        <f>IF($Z283="","",INT(INDEX($N283:$S283,$Z283)))</f>
        <v/>
      </c>
      <c r="AB283" s="19">
        <f>IF(OR($Z283="",$Z283=6),"",WORKDAY($AA283,CHOOSE($Z283,3,3,2,2,3),Holidays))</f>
        <v/>
      </c>
      <c r="AC283" s="17">
        <f>IF(OR($Z283="",$Z283=6),"",CHOOSE($Z283,"1st Email Follow-up","2nd Email Follow-up","Escalate Local Office","Escalate to CBE","Escalate to Roxanne"))</f>
        <v/>
      </c>
    </row>
    <row r="284" spans="13:29">
      <c r="M284" s="14"/>
      <c r="T284" s="16"/>
      <c r="U284" s="17">
        <f>IF(AND(COUNTA($A284:$L284)=0,$N284=""),"",IF($T284="Paid","PAID",IF($T284="Closed","CLOSED",IF($Z284="","",IF($Z284=6,"ESCALATED TO ROXANNE",IF(TODAY()&gt;$AB284,"OVERDUE",IF($AB284&lt;=WORKDAY(TODAY(),1,Holidays),"DUE TOMORROW",IF($Z284=4,"ESCALATED TO LOCAL OFFICE",IF($Z284=5,"ESCALATED TO CBE",IF($AA284=TODAY(),"EMAIL SENT","MONITORING"))))))))))</f>
        <v/>
      </c>
      <c r="V284" s="17">
        <f>IF($U284="",IF(AND(COUNTA($A284:$L284)&gt;0,$N284=""),"Awaiting Collection Email time stamp.",""),IF(OR($U284="PAID",$U284="CLOSED"),IF($U284="PAID","Account paid. Action completed.","Account closed. No further action required."),CHOOSE($Z284,"Collection Email","1st Email Follow-up","2nd Email Follow-up","Escalation to Local Office","Escalation to CBE","Escalation to Roxanne")&amp;" sent "&amp;TEXT($AA284,"dd-mmm")&amp;". "&amp;IF($Z284=6,"Final escalation completed.",IF($U284="OVERDUE","Next: "&amp;$AC284&amp;" was due "&amp;TEXT($AB284,"dd-mmm")&amp;" - "&amp;(NETWORKDAYS($AB284,TODAY(),Holidays)-1)&amp;" business day(s) late. Send now.",IF($U284="DUE TOMORROW","Next: "&amp;$AC284&amp;IF($AB284&lt;=TODAY()," is due TODAY ("," is due next business day (")&amp;TEXT($AB284,"dd-mmm")&amp;").","Next: "&amp;$AC284&amp;" due "&amp;TEXT($AB284,"dd-mmm")&amp;" ("&amp;(NETWORKDAYS(TODAY(),$AB284,Holidays)-1)&amp;" business day(s) left).")))))</f>
        <v/>
      </c>
      <c r="W284" s="17">
        <f>IF($Z284="","",CHOOSE($Z284,"Collection Email","1st Follow-up","2nd Follow-up","Local Office","CBE","Roxanne")&amp;IF($Z284=6," - Final"," - Day "&amp;MAX(0,NETWORKDAYS($AA284,TODAY(),Holidays)-1)&amp;" of "&amp;CHOOSE($Z284,3,3,2,2,3))&amp;" | Total Day "&amp;MAX(0,NETWORKDAYS($N284,TODAY(),Holidays)-1))</f>
        <v/>
      </c>
      <c r="X284" s="18"/>
      <c r="Y284" s="18"/>
      <c r="Z284" s="17">
        <f>IF($N284="","",COUNT($N284:$S284))</f>
        <v/>
      </c>
      <c r="AA284" s="19">
        <f>IF($Z284="","",INT(INDEX($N284:$S284,$Z284)))</f>
        <v/>
      </c>
      <c r="AB284" s="19">
        <f>IF(OR($Z284="",$Z284=6),"",WORKDAY($AA284,CHOOSE($Z284,3,3,2,2,3),Holidays))</f>
        <v/>
      </c>
      <c r="AC284" s="17">
        <f>IF(OR($Z284="",$Z284=6),"",CHOOSE($Z284,"1st Email Follow-up","2nd Email Follow-up","Escalate Local Office","Escalate to CBE","Escalate to Roxanne"))</f>
        <v/>
      </c>
    </row>
    <row r="285" spans="13:29">
      <c r="M285" s="14"/>
      <c r="T285" s="16"/>
      <c r="U285" s="17">
        <f>IF(AND(COUNTA($A285:$L285)=0,$N285=""),"",IF($T285="Paid","PAID",IF($T285="Closed","CLOSED",IF($Z285="","",IF($Z285=6,"ESCALATED TO ROXANNE",IF(TODAY()&gt;$AB285,"OVERDUE",IF($AB285&lt;=WORKDAY(TODAY(),1,Holidays),"DUE TOMORROW",IF($Z285=4,"ESCALATED TO LOCAL OFFICE",IF($Z285=5,"ESCALATED TO CBE",IF($AA285=TODAY(),"EMAIL SENT","MONITORING"))))))))))</f>
        <v/>
      </c>
      <c r="V285" s="17">
        <f>IF($U285="",IF(AND(COUNTA($A285:$L285)&gt;0,$N285=""),"Awaiting Collection Email time stamp.",""),IF(OR($U285="PAID",$U285="CLOSED"),IF($U285="PAID","Account paid. Action completed.","Account closed. No further action required."),CHOOSE($Z285,"Collection Email","1st Email Follow-up","2nd Email Follow-up","Escalation to Local Office","Escalation to CBE","Escalation to Roxanne")&amp;" sent "&amp;TEXT($AA285,"dd-mmm")&amp;". "&amp;IF($Z285=6,"Final escalation completed.",IF($U285="OVERDUE","Next: "&amp;$AC285&amp;" was due "&amp;TEXT($AB285,"dd-mmm")&amp;" - "&amp;(NETWORKDAYS($AB285,TODAY(),Holidays)-1)&amp;" business day(s) late. Send now.",IF($U285="DUE TOMORROW","Next: "&amp;$AC285&amp;IF($AB285&lt;=TODAY()," is due TODAY ("," is due next business day (")&amp;TEXT($AB285,"dd-mmm")&amp;").","Next: "&amp;$AC285&amp;" due "&amp;TEXT($AB285,"dd-mmm")&amp;" ("&amp;(NETWORKDAYS(TODAY(),$AB285,Holidays)-1)&amp;" business day(s) left).")))))</f>
        <v/>
      </c>
      <c r="W285" s="17">
        <f>IF($Z285="","",CHOOSE($Z285,"Collection Email","1st Follow-up","2nd Follow-up","Local Office","CBE","Roxanne")&amp;IF($Z285=6," - Final"," - Day "&amp;MAX(0,NETWORKDAYS($AA285,TODAY(),Holidays)-1)&amp;" of "&amp;CHOOSE($Z285,3,3,2,2,3))&amp;" | Total Day "&amp;MAX(0,NETWORKDAYS($N285,TODAY(),Holidays)-1))</f>
        <v/>
      </c>
      <c r="X285" s="18"/>
      <c r="Y285" s="18"/>
      <c r="Z285" s="17">
        <f>IF($N285="","",COUNT($N285:$S285))</f>
        <v/>
      </c>
      <c r="AA285" s="19">
        <f>IF($Z285="","",INT(INDEX($N285:$S285,$Z285)))</f>
        <v/>
      </c>
      <c r="AB285" s="19">
        <f>IF(OR($Z285="",$Z285=6),"",WORKDAY($AA285,CHOOSE($Z285,3,3,2,2,3),Holidays))</f>
        <v/>
      </c>
      <c r="AC285" s="17">
        <f>IF(OR($Z285="",$Z285=6),"",CHOOSE($Z285,"1st Email Follow-up","2nd Email Follow-up","Escalate Local Office","Escalate to CBE","Escalate to Roxanne"))</f>
        <v/>
      </c>
    </row>
    <row r="286" spans="13:29">
      <c r="M286" s="14"/>
      <c r="T286" s="16"/>
      <c r="U286" s="17">
        <f>IF(AND(COUNTA($A286:$L286)=0,$N286=""),"",IF($T286="Paid","PAID",IF($T286="Closed","CLOSED",IF($Z286="","",IF($Z286=6,"ESCALATED TO ROXANNE",IF(TODAY()&gt;$AB286,"OVERDUE",IF($AB286&lt;=WORKDAY(TODAY(),1,Holidays),"DUE TOMORROW",IF($Z286=4,"ESCALATED TO LOCAL OFFICE",IF($Z286=5,"ESCALATED TO CBE",IF($AA286=TODAY(),"EMAIL SENT","MONITORING"))))))))))</f>
        <v/>
      </c>
      <c r="V286" s="17">
        <f>IF($U286="",IF(AND(COUNTA($A286:$L286)&gt;0,$N286=""),"Awaiting Collection Email time stamp.",""),IF(OR($U286="PAID",$U286="CLOSED"),IF($U286="PAID","Account paid. Action completed.","Account closed. No further action required."),CHOOSE($Z286,"Collection Email","1st Email Follow-up","2nd Email Follow-up","Escalation to Local Office","Escalation to CBE","Escalation to Roxanne")&amp;" sent "&amp;TEXT($AA286,"dd-mmm")&amp;". "&amp;IF($Z286=6,"Final escalation completed.",IF($U286="OVERDUE","Next: "&amp;$AC286&amp;" was due "&amp;TEXT($AB286,"dd-mmm")&amp;" - "&amp;(NETWORKDAYS($AB286,TODAY(),Holidays)-1)&amp;" business day(s) late. Send now.",IF($U286="DUE TOMORROW","Next: "&amp;$AC286&amp;IF($AB286&lt;=TODAY()," is due TODAY ("," is due next business day (")&amp;TEXT($AB286,"dd-mmm")&amp;").","Next: "&amp;$AC286&amp;" due "&amp;TEXT($AB286,"dd-mmm")&amp;" ("&amp;(NETWORKDAYS(TODAY(),$AB286,Holidays)-1)&amp;" business day(s) left).")))))</f>
        <v/>
      </c>
      <c r="W286" s="17">
        <f>IF($Z286="","",CHOOSE($Z286,"Collection Email","1st Follow-up","2nd Follow-up","Local Office","CBE","Roxanne")&amp;IF($Z286=6," - Final"," - Day "&amp;MAX(0,NETWORKDAYS($AA286,TODAY(),Holidays)-1)&amp;" of "&amp;CHOOSE($Z286,3,3,2,2,3))&amp;" | Total Day "&amp;MAX(0,NETWORKDAYS($N286,TODAY(),Holidays)-1))</f>
        <v/>
      </c>
      <c r="X286" s="18"/>
      <c r="Y286" s="18"/>
      <c r="Z286" s="17">
        <f>IF($N286="","",COUNT($N286:$S286))</f>
        <v/>
      </c>
      <c r="AA286" s="19">
        <f>IF($Z286="","",INT(INDEX($N286:$S286,$Z286)))</f>
        <v/>
      </c>
      <c r="AB286" s="19">
        <f>IF(OR($Z286="",$Z286=6),"",WORKDAY($AA286,CHOOSE($Z286,3,3,2,2,3),Holidays))</f>
        <v/>
      </c>
      <c r="AC286" s="17">
        <f>IF(OR($Z286="",$Z286=6),"",CHOOSE($Z286,"1st Email Follow-up","2nd Email Follow-up","Escalate Local Office","Escalate to CBE","Escalate to Roxanne"))</f>
        <v/>
      </c>
    </row>
    <row r="287" spans="13:29">
      <c r="M287" s="14"/>
      <c r="T287" s="16"/>
      <c r="U287" s="17">
        <f>IF(AND(COUNTA($A287:$L287)=0,$N287=""),"",IF($T287="Paid","PAID",IF($T287="Closed","CLOSED",IF($Z287="","",IF($Z287=6,"ESCALATED TO ROXANNE",IF(TODAY()&gt;$AB287,"OVERDUE",IF($AB287&lt;=WORKDAY(TODAY(),1,Holidays),"DUE TOMORROW",IF($Z287=4,"ESCALATED TO LOCAL OFFICE",IF($Z287=5,"ESCALATED TO CBE",IF($AA287=TODAY(),"EMAIL SENT","MONITORING"))))))))))</f>
        <v/>
      </c>
      <c r="V287" s="17">
        <f>IF($U287="",IF(AND(COUNTA($A287:$L287)&gt;0,$N287=""),"Awaiting Collection Email time stamp.",""),IF(OR($U287="PAID",$U287="CLOSED"),IF($U287="PAID","Account paid. Action completed.","Account closed. No further action required."),CHOOSE($Z287,"Collection Email","1st Email Follow-up","2nd Email Follow-up","Escalation to Local Office","Escalation to CBE","Escalation to Roxanne")&amp;" sent "&amp;TEXT($AA287,"dd-mmm")&amp;". "&amp;IF($Z287=6,"Final escalation completed.",IF($U287="OVERDUE","Next: "&amp;$AC287&amp;" was due "&amp;TEXT($AB287,"dd-mmm")&amp;" - "&amp;(NETWORKDAYS($AB287,TODAY(),Holidays)-1)&amp;" business day(s) late. Send now.",IF($U287="DUE TOMORROW","Next: "&amp;$AC287&amp;IF($AB287&lt;=TODAY()," is due TODAY ("," is due next business day (")&amp;TEXT($AB287,"dd-mmm")&amp;").","Next: "&amp;$AC287&amp;" due "&amp;TEXT($AB287,"dd-mmm")&amp;" ("&amp;(NETWORKDAYS(TODAY(),$AB287,Holidays)-1)&amp;" business day(s) left).")))))</f>
        <v/>
      </c>
      <c r="W287" s="17">
        <f>IF($Z287="","",CHOOSE($Z287,"Collection Email","1st Follow-up","2nd Follow-up","Local Office","CBE","Roxanne")&amp;IF($Z287=6," - Final"," - Day "&amp;MAX(0,NETWORKDAYS($AA287,TODAY(),Holidays)-1)&amp;" of "&amp;CHOOSE($Z287,3,3,2,2,3))&amp;" | Total Day "&amp;MAX(0,NETWORKDAYS($N287,TODAY(),Holidays)-1))</f>
        <v/>
      </c>
      <c r="X287" s="18"/>
      <c r="Y287" s="18"/>
      <c r="Z287" s="17">
        <f>IF($N287="","",COUNT($N287:$S287))</f>
        <v/>
      </c>
      <c r="AA287" s="19">
        <f>IF($Z287="","",INT(INDEX($N287:$S287,$Z287)))</f>
        <v/>
      </c>
      <c r="AB287" s="19">
        <f>IF(OR($Z287="",$Z287=6),"",WORKDAY($AA287,CHOOSE($Z287,3,3,2,2,3),Holidays))</f>
        <v/>
      </c>
      <c r="AC287" s="17">
        <f>IF(OR($Z287="",$Z287=6),"",CHOOSE($Z287,"1st Email Follow-up","2nd Email Follow-up","Escalate Local Office","Escalate to CBE","Escalate to Roxanne"))</f>
        <v/>
      </c>
    </row>
    <row r="288" spans="13:29">
      <c r="M288" s="14"/>
      <c r="T288" s="16"/>
      <c r="U288" s="17">
        <f>IF(AND(COUNTA($A288:$L288)=0,$N288=""),"",IF($T288="Paid","PAID",IF($T288="Closed","CLOSED",IF($Z288="","",IF($Z288=6,"ESCALATED TO ROXANNE",IF(TODAY()&gt;$AB288,"OVERDUE",IF($AB288&lt;=WORKDAY(TODAY(),1,Holidays),"DUE TOMORROW",IF($Z288=4,"ESCALATED TO LOCAL OFFICE",IF($Z288=5,"ESCALATED TO CBE",IF($AA288=TODAY(),"EMAIL SENT","MONITORING"))))))))))</f>
        <v/>
      </c>
      <c r="V288" s="17">
        <f>IF($U288="",IF(AND(COUNTA($A288:$L288)&gt;0,$N288=""),"Awaiting Collection Email time stamp.",""),IF(OR($U288="PAID",$U288="CLOSED"),IF($U288="PAID","Account paid. Action completed.","Account closed. No further action required."),CHOOSE($Z288,"Collection Email","1st Email Follow-up","2nd Email Follow-up","Escalation to Local Office","Escalation to CBE","Escalation to Roxanne")&amp;" sent "&amp;TEXT($AA288,"dd-mmm")&amp;". "&amp;IF($Z288=6,"Final escalation completed.",IF($U288="OVERDUE","Next: "&amp;$AC288&amp;" was due "&amp;TEXT($AB288,"dd-mmm")&amp;" - "&amp;(NETWORKDAYS($AB288,TODAY(),Holidays)-1)&amp;" business day(s) late. Send now.",IF($U288="DUE TOMORROW","Next: "&amp;$AC288&amp;IF($AB288&lt;=TODAY()," is due TODAY ("," is due next business day (")&amp;TEXT($AB288,"dd-mmm")&amp;").","Next: "&amp;$AC288&amp;" due "&amp;TEXT($AB288,"dd-mmm")&amp;" ("&amp;(NETWORKDAYS(TODAY(),$AB288,Holidays)-1)&amp;" business day(s) left).")))))</f>
        <v/>
      </c>
      <c r="W288" s="17">
        <f>IF($Z288="","",CHOOSE($Z288,"Collection Email","1st Follow-up","2nd Follow-up","Local Office","CBE","Roxanne")&amp;IF($Z288=6," - Final"," - Day "&amp;MAX(0,NETWORKDAYS($AA288,TODAY(),Holidays)-1)&amp;" of "&amp;CHOOSE($Z288,3,3,2,2,3))&amp;" | Total Day "&amp;MAX(0,NETWORKDAYS($N288,TODAY(),Holidays)-1))</f>
        <v/>
      </c>
      <c r="X288" s="18"/>
      <c r="Y288" s="18"/>
      <c r="Z288" s="17">
        <f>IF($N288="","",COUNT($N288:$S288))</f>
        <v/>
      </c>
      <c r="AA288" s="19">
        <f>IF($Z288="","",INT(INDEX($N288:$S288,$Z288)))</f>
        <v/>
      </c>
      <c r="AB288" s="19">
        <f>IF(OR($Z288="",$Z288=6),"",WORKDAY($AA288,CHOOSE($Z288,3,3,2,2,3),Holidays))</f>
        <v/>
      </c>
      <c r="AC288" s="17">
        <f>IF(OR($Z288="",$Z288=6),"",CHOOSE($Z288,"1st Email Follow-up","2nd Email Follow-up","Escalate Local Office","Escalate to CBE","Escalate to Roxanne"))</f>
        <v/>
      </c>
    </row>
    <row r="289" spans="13:29">
      <c r="M289" s="14"/>
      <c r="T289" s="16"/>
      <c r="U289" s="17">
        <f>IF(AND(COUNTA($A289:$L289)=0,$N289=""),"",IF($T289="Paid","PAID",IF($T289="Closed","CLOSED",IF($Z289="","",IF($Z289=6,"ESCALATED TO ROXANNE",IF(TODAY()&gt;$AB289,"OVERDUE",IF($AB289&lt;=WORKDAY(TODAY(),1,Holidays),"DUE TOMORROW",IF($Z289=4,"ESCALATED TO LOCAL OFFICE",IF($Z289=5,"ESCALATED TO CBE",IF($AA289=TODAY(),"EMAIL SENT","MONITORING"))))))))))</f>
        <v/>
      </c>
      <c r="V289" s="17">
        <f>IF($U289="",IF(AND(COUNTA($A289:$L289)&gt;0,$N289=""),"Awaiting Collection Email time stamp.",""),IF(OR($U289="PAID",$U289="CLOSED"),IF($U289="PAID","Account paid. Action completed.","Account closed. No further action required."),CHOOSE($Z289,"Collection Email","1st Email Follow-up","2nd Email Follow-up","Escalation to Local Office","Escalation to CBE","Escalation to Roxanne")&amp;" sent "&amp;TEXT($AA289,"dd-mmm")&amp;". "&amp;IF($Z289=6,"Final escalation completed.",IF($U289="OVERDUE","Next: "&amp;$AC289&amp;" was due "&amp;TEXT($AB289,"dd-mmm")&amp;" - "&amp;(NETWORKDAYS($AB289,TODAY(),Holidays)-1)&amp;" business day(s) late. Send now.",IF($U289="DUE TOMORROW","Next: "&amp;$AC289&amp;IF($AB289&lt;=TODAY()," is due TODAY ("," is due next business day (")&amp;TEXT($AB289,"dd-mmm")&amp;").","Next: "&amp;$AC289&amp;" due "&amp;TEXT($AB289,"dd-mmm")&amp;" ("&amp;(NETWORKDAYS(TODAY(),$AB289,Holidays)-1)&amp;" business day(s) left).")))))</f>
        <v/>
      </c>
      <c r="W289" s="17">
        <f>IF($Z289="","",CHOOSE($Z289,"Collection Email","1st Follow-up","2nd Follow-up","Local Office","CBE","Roxanne")&amp;IF($Z289=6," - Final"," - Day "&amp;MAX(0,NETWORKDAYS($AA289,TODAY(),Holidays)-1)&amp;" of "&amp;CHOOSE($Z289,3,3,2,2,3))&amp;" | Total Day "&amp;MAX(0,NETWORKDAYS($N289,TODAY(),Holidays)-1))</f>
        <v/>
      </c>
      <c r="X289" s="18"/>
      <c r="Y289" s="18"/>
      <c r="Z289" s="17">
        <f>IF($N289="","",COUNT($N289:$S289))</f>
        <v/>
      </c>
      <c r="AA289" s="19">
        <f>IF($Z289="","",INT(INDEX($N289:$S289,$Z289)))</f>
        <v/>
      </c>
      <c r="AB289" s="19">
        <f>IF(OR($Z289="",$Z289=6),"",WORKDAY($AA289,CHOOSE($Z289,3,3,2,2,3),Holidays))</f>
        <v/>
      </c>
      <c r="AC289" s="17">
        <f>IF(OR($Z289="",$Z289=6),"",CHOOSE($Z289,"1st Email Follow-up","2nd Email Follow-up","Escalate Local Office","Escalate to CBE","Escalate to Roxanne"))</f>
        <v/>
      </c>
    </row>
    <row r="290" spans="13:29">
      <c r="M290" s="14"/>
      <c r="T290" s="16"/>
      <c r="U290" s="17">
        <f>IF(AND(COUNTA($A290:$L290)=0,$N290=""),"",IF($T290="Paid","PAID",IF($T290="Closed","CLOSED",IF($Z290="","",IF($Z290=6,"ESCALATED TO ROXANNE",IF(TODAY()&gt;$AB290,"OVERDUE",IF($AB290&lt;=WORKDAY(TODAY(),1,Holidays),"DUE TOMORROW",IF($Z290=4,"ESCALATED TO LOCAL OFFICE",IF($Z290=5,"ESCALATED TO CBE",IF($AA290=TODAY(),"EMAIL SENT","MONITORING"))))))))))</f>
        <v/>
      </c>
      <c r="V290" s="17">
        <f>IF($U290="",IF(AND(COUNTA($A290:$L290)&gt;0,$N290=""),"Awaiting Collection Email time stamp.",""),IF(OR($U290="PAID",$U290="CLOSED"),IF($U290="PAID","Account paid. Action completed.","Account closed. No further action required."),CHOOSE($Z290,"Collection Email","1st Email Follow-up","2nd Email Follow-up","Escalation to Local Office","Escalation to CBE","Escalation to Roxanne")&amp;" sent "&amp;TEXT($AA290,"dd-mmm")&amp;". "&amp;IF($Z290=6,"Final escalation completed.",IF($U290="OVERDUE","Next: "&amp;$AC290&amp;" was due "&amp;TEXT($AB290,"dd-mmm")&amp;" - "&amp;(NETWORKDAYS($AB290,TODAY(),Holidays)-1)&amp;" business day(s) late. Send now.",IF($U290="DUE TOMORROW","Next: "&amp;$AC290&amp;IF($AB290&lt;=TODAY()," is due TODAY ("," is due next business day (")&amp;TEXT($AB290,"dd-mmm")&amp;").","Next: "&amp;$AC290&amp;" due "&amp;TEXT($AB290,"dd-mmm")&amp;" ("&amp;(NETWORKDAYS(TODAY(),$AB290,Holidays)-1)&amp;" business day(s) left).")))))</f>
        <v/>
      </c>
      <c r="W290" s="17">
        <f>IF($Z290="","",CHOOSE($Z290,"Collection Email","1st Follow-up","2nd Follow-up","Local Office","CBE","Roxanne")&amp;IF($Z290=6," - Final"," - Day "&amp;MAX(0,NETWORKDAYS($AA290,TODAY(),Holidays)-1)&amp;" of "&amp;CHOOSE($Z290,3,3,2,2,3))&amp;" | Total Day "&amp;MAX(0,NETWORKDAYS($N290,TODAY(),Holidays)-1))</f>
        <v/>
      </c>
      <c r="X290" s="18"/>
      <c r="Y290" s="18"/>
      <c r="Z290" s="17">
        <f>IF($N290="","",COUNT($N290:$S290))</f>
        <v/>
      </c>
      <c r="AA290" s="19">
        <f>IF($Z290="","",INT(INDEX($N290:$S290,$Z290)))</f>
        <v/>
      </c>
      <c r="AB290" s="19">
        <f>IF(OR($Z290="",$Z290=6),"",WORKDAY($AA290,CHOOSE($Z290,3,3,2,2,3),Holidays))</f>
        <v/>
      </c>
      <c r="AC290" s="17">
        <f>IF(OR($Z290="",$Z290=6),"",CHOOSE($Z290,"1st Email Follow-up","2nd Email Follow-up","Escalate Local Office","Escalate to CBE","Escalate to Roxanne"))</f>
        <v/>
      </c>
    </row>
    <row r="291" spans="13:29">
      <c r="M291" s="14"/>
      <c r="T291" s="16"/>
      <c r="U291" s="17">
        <f>IF(AND(COUNTA($A291:$L291)=0,$N291=""),"",IF($T291="Paid","PAID",IF($T291="Closed","CLOSED",IF($Z291="","",IF($Z291=6,"ESCALATED TO ROXANNE",IF(TODAY()&gt;$AB291,"OVERDUE",IF($AB291&lt;=WORKDAY(TODAY(),1,Holidays),"DUE TOMORROW",IF($Z291=4,"ESCALATED TO LOCAL OFFICE",IF($Z291=5,"ESCALATED TO CBE",IF($AA291=TODAY(),"EMAIL SENT","MONITORING"))))))))))</f>
        <v/>
      </c>
      <c r="V291" s="17">
        <f>IF($U291="",IF(AND(COUNTA($A291:$L291)&gt;0,$N291=""),"Awaiting Collection Email time stamp.",""),IF(OR($U291="PAID",$U291="CLOSED"),IF($U291="PAID","Account paid. Action completed.","Account closed. No further action required."),CHOOSE($Z291,"Collection Email","1st Email Follow-up","2nd Email Follow-up","Escalation to Local Office","Escalation to CBE","Escalation to Roxanne")&amp;" sent "&amp;TEXT($AA291,"dd-mmm")&amp;". "&amp;IF($Z291=6,"Final escalation completed.",IF($U291="OVERDUE","Next: "&amp;$AC291&amp;" was due "&amp;TEXT($AB291,"dd-mmm")&amp;" - "&amp;(NETWORKDAYS($AB291,TODAY(),Holidays)-1)&amp;" business day(s) late. Send now.",IF($U291="DUE TOMORROW","Next: "&amp;$AC291&amp;IF($AB291&lt;=TODAY()," is due TODAY ("," is due next business day (")&amp;TEXT($AB291,"dd-mmm")&amp;").","Next: "&amp;$AC291&amp;" due "&amp;TEXT($AB291,"dd-mmm")&amp;" ("&amp;(NETWORKDAYS(TODAY(),$AB291,Holidays)-1)&amp;" business day(s) left).")))))</f>
        <v/>
      </c>
      <c r="W291" s="17">
        <f>IF($Z291="","",CHOOSE($Z291,"Collection Email","1st Follow-up","2nd Follow-up","Local Office","CBE","Roxanne")&amp;IF($Z291=6," - Final"," - Day "&amp;MAX(0,NETWORKDAYS($AA291,TODAY(),Holidays)-1)&amp;" of "&amp;CHOOSE($Z291,3,3,2,2,3))&amp;" | Total Day "&amp;MAX(0,NETWORKDAYS($N291,TODAY(),Holidays)-1))</f>
        <v/>
      </c>
      <c r="X291" s="18"/>
      <c r="Y291" s="18"/>
      <c r="Z291" s="17">
        <f>IF($N291="","",COUNT($N291:$S291))</f>
        <v/>
      </c>
      <c r="AA291" s="19">
        <f>IF($Z291="","",INT(INDEX($N291:$S291,$Z291)))</f>
        <v/>
      </c>
      <c r="AB291" s="19">
        <f>IF(OR($Z291="",$Z291=6),"",WORKDAY($AA291,CHOOSE($Z291,3,3,2,2,3),Holidays))</f>
        <v/>
      </c>
      <c r="AC291" s="17">
        <f>IF(OR($Z291="",$Z291=6),"",CHOOSE($Z291,"1st Email Follow-up","2nd Email Follow-up","Escalate Local Office","Escalate to CBE","Escalate to Roxanne"))</f>
        <v/>
      </c>
    </row>
    <row r="292" spans="13:29">
      <c r="M292" s="14"/>
      <c r="T292" s="16"/>
      <c r="U292" s="17">
        <f>IF(AND(COUNTA($A292:$L292)=0,$N292=""),"",IF($T292="Paid","PAID",IF($T292="Closed","CLOSED",IF($Z292="","",IF($Z292=6,"ESCALATED TO ROXANNE",IF(TODAY()&gt;$AB292,"OVERDUE",IF($AB292&lt;=WORKDAY(TODAY(),1,Holidays),"DUE TOMORROW",IF($Z292=4,"ESCALATED TO LOCAL OFFICE",IF($Z292=5,"ESCALATED TO CBE",IF($AA292=TODAY(),"EMAIL SENT","MONITORING"))))))))))</f>
        <v/>
      </c>
      <c r="V292" s="17">
        <f>IF($U292="",IF(AND(COUNTA($A292:$L292)&gt;0,$N292=""),"Awaiting Collection Email time stamp.",""),IF(OR($U292="PAID",$U292="CLOSED"),IF($U292="PAID","Account paid. Action completed.","Account closed. No further action required."),CHOOSE($Z292,"Collection Email","1st Email Follow-up","2nd Email Follow-up","Escalation to Local Office","Escalation to CBE","Escalation to Roxanne")&amp;" sent "&amp;TEXT($AA292,"dd-mmm")&amp;". "&amp;IF($Z292=6,"Final escalation completed.",IF($U292="OVERDUE","Next: "&amp;$AC292&amp;" was due "&amp;TEXT($AB292,"dd-mmm")&amp;" - "&amp;(NETWORKDAYS($AB292,TODAY(),Holidays)-1)&amp;" business day(s) late. Send now.",IF($U292="DUE TOMORROW","Next: "&amp;$AC292&amp;IF($AB292&lt;=TODAY()," is due TODAY ("," is due next business day (")&amp;TEXT($AB292,"dd-mmm")&amp;").","Next: "&amp;$AC292&amp;" due "&amp;TEXT($AB292,"dd-mmm")&amp;" ("&amp;(NETWORKDAYS(TODAY(),$AB292,Holidays)-1)&amp;" business day(s) left).")))))</f>
        <v/>
      </c>
      <c r="W292" s="17">
        <f>IF($Z292="","",CHOOSE($Z292,"Collection Email","1st Follow-up","2nd Follow-up","Local Office","CBE","Roxanne")&amp;IF($Z292=6," - Final"," - Day "&amp;MAX(0,NETWORKDAYS($AA292,TODAY(),Holidays)-1)&amp;" of "&amp;CHOOSE($Z292,3,3,2,2,3))&amp;" | Total Day "&amp;MAX(0,NETWORKDAYS($N292,TODAY(),Holidays)-1))</f>
        <v/>
      </c>
      <c r="X292" s="18"/>
      <c r="Y292" s="18"/>
      <c r="Z292" s="17">
        <f>IF($N292="","",COUNT($N292:$S292))</f>
        <v/>
      </c>
      <c r="AA292" s="19">
        <f>IF($Z292="","",INT(INDEX($N292:$S292,$Z292)))</f>
        <v/>
      </c>
      <c r="AB292" s="19">
        <f>IF(OR($Z292="",$Z292=6),"",WORKDAY($AA292,CHOOSE($Z292,3,3,2,2,3),Holidays))</f>
        <v/>
      </c>
      <c r="AC292" s="17">
        <f>IF(OR($Z292="",$Z292=6),"",CHOOSE($Z292,"1st Email Follow-up","2nd Email Follow-up","Escalate Local Office","Escalate to CBE","Escalate to Roxanne"))</f>
        <v/>
      </c>
    </row>
    <row r="293" spans="13:29">
      <c r="M293" s="14"/>
      <c r="T293" s="16"/>
      <c r="U293" s="17">
        <f>IF(AND(COUNTA($A293:$L293)=0,$N293=""),"",IF($T293="Paid","PAID",IF($T293="Closed","CLOSED",IF($Z293="","",IF($Z293=6,"ESCALATED TO ROXANNE",IF(TODAY()&gt;$AB293,"OVERDUE",IF($AB293&lt;=WORKDAY(TODAY(),1,Holidays),"DUE TOMORROW",IF($Z293=4,"ESCALATED TO LOCAL OFFICE",IF($Z293=5,"ESCALATED TO CBE",IF($AA293=TODAY(),"EMAIL SENT","MONITORING"))))))))))</f>
        <v/>
      </c>
      <c r="V293" s="17">
        <f>IF($U293="",IF(AND(COUNTA($A293:$L293)&gt;0,$N293=""),"Awaiting Collection Email time stamp.",""),IF(OR($U293="PAID",$U293="CLOSED"),IF($U293="PAID","Account paid. Action completed.","Account closed. No further action required."),CHOOSE($Z293,"Collection Email","1st Email Follow-up","2nd Email Follow-up","Escalation to Local Office","Escalation to CBE","Escalation to Roxanne")&amp;" sent "&amp;TEXT($AA293,"dd-mmm")&amp;". "&amp;IF($Z293=6,"Final escalation completed.",IF($U293="OVERDUE","Next: "&amp;$AC293&amp;" was due "&amp;TEXT($AB293,"dd-mmm")&amp;" - "&amp;(NETWORKDAYS($AB293,TODAY(),Holidays)-1)&amp;" business day(s) late. Send now.",IF($U293="DUE TOMORROW","Next: "&amp;$AC293&amp;IF($AB293&lt;=TODAY()," is due TODAY ("," is due next business day (")&amp;TEXT($AB293,"dd-mmm")&amp;").","Next: "&amp;$AC293&amp;" due "&amp;TEXT($AB293,"dd-mmm")&amp;" ("&amp;(NETWORKDAYS(TODAY(),$AB293,Holidays)-1)&amp;" business day(s) left).")))))</f>
        <v/>
      </c>
      <c r="W293" s="17">
        <f>IF($Z293="","",CHOOSE($Z293,"Collection Email","1st Follow-up","2nd Follow-up","Local Office","CBE","Roxanne")&amp;IF($Z293=6," - Final"," - Day "&amp;MAX(0,NETWORKDAYS($AA293,TODAY(),Holidays)-1)&amp;" of "&amp;CHOOSE($Z293,3,3,2,2,3))&amp;" | Total Day "&amp;MAX(0,NETWORKDAYS($N293,TODAY(),Holidays)-1))</f>
        <v/>
      </c>
      <c r="X293" s="18"/>
      <c r="Y293" s="18"/>
      <c r="Z293" s="17">
        <f>IF($N293="","",COUNT($N293:$S293))</f>
        <v/>
      </c>
      <c r="AA293" s="19">
        <f>IF($Z293="","",INT(INDEX($N293:$S293,$Z293)))</f>
        <v/>
      </c>
      <c r="AB293" s="19">
        <f>IF(OR($Z293="",$Z293=6),"",WORKDAY($AA293,CHOOSE($Z293,3,3,2,2,3),Holidays))</f>
        <v/>
      </c>
      <c r="AC293" s="17">
        <f>IF(OR($Z293="",$Z293=6),"",CHOOSE($Z293,"1st Email Follow-up","2nd Email Follow-up","Escalate Local Office","Escalate to CBE","Escalate to Roxanne"))</f>
        <v/>
      </c>
    </row>
    <row r="294" spans="13:29">
      <c r="M294" s="14"/>
      <c r="T294" s="16"/>
      <c r="U294" s="17">
        <f>IF(AND(COUNTA($A294:$L294)=0,$N294=""),"",IF($T294="Paid","PAID",IF($T294="Closed","CLOSED",IF($Z294="","",IF($Z294=6,"ESCALATED TO ROXANNE",IF(TODAY()&gt;$AB294,"OVERDUE",IF($AB294&lt;=WORKDAY(TODAY(),1,Holidays),"DUE TOMORROW",IF($Z294=4,"ESCALATED TO LOCAL OFFICE",IF($Z294=5,"ESCALATED TO CBE",IF($AA294=TODAY(),"EMAIL SENT","MONITORING"))))))))))</f>
        <v/>
      </c>
      <c r="V294" s="17">
        <f>IF($U294="",IF(AND(COUNTA($A294:$L294)&gt;0,$N294=""),"Awaiting Collection Email time stamp.",""),IF(OR($U294="PAID",$U294="CLOSED"),IF($U294="PAID","Account paid. Action completed.","Account closed. No further action required."),CHOOSE($Z294,"Collection Email","1st Email Follow-up","2nd Email Follow-up","Escalation to Local Office","Escalation to CBE","Escalation to Roxanne")&amp;" sent "&amp;TEXT($AA294,"dd-mmm")&amp;". "&amp;IF($Z294=6,"Final escalation completed.",IF($U294="OVERDUE","Next: "&amp;$AC294&amp;" was due "&amp;TEXT($AB294,"dd-mmm")&amp;" - "&amp;(NETWORKDAYS($AB294,TODAY(),Holidays)-1)&amp;" business day(s) late. Send now.",IF($U294="DUE TOMORROW","Next: "&amp;$AC294&amp;IF($AB294&lt;=TODAY()," is due TODAY ("," is due next business day (")&amp;TEXT($AB294,"dd-mmm")&amp;").","Next: "&amp;$AC294&amp;" due "&amp;TEXT($AB294,"dd-mmm")&amp;" ("&amp;(NETWORKDAYS(TODAY(),$AB294,Holidays)-1)&amp;" business day(s) left).")))))</f>
        <v/>
      </c>
      <c r="W294" s="17">
        <f>IF($Z294="","",CHOOSE($Z294,"Collection Email","1st Follow-up","2nd Follow-up","Local Office","CBE","Roxanne")&amp;IF($Z294=6," - Final"," - Day "&amp;MAX(0,NETWORKDAYS($AA294,TODAY(),Holidays)-1)&amp;" of "&amp;CHOOSE($Z294,3,3,2,2,3))&amp;" | Total Day "&amp;MAX(0,NETWORKDAYS($N294,TODAY(),Holidays)-1))</f>
        <v/>
      </c>
      <c r="X294" s="18"/>
      <c r="Y294" s="18"/>
      <c r="Z294" s="17">
        <f>IF($N294="","",COUNT($N294:$S294))</f>
        <v/>
      </c>
      <c r="AA294" s="19">
        <f>IF($Z294="","",INT(INDEX($N294:$S294,$Z294)))</f>
        <v/>
      </c>
      <c r="AB294" s="19">
        <f>IF(OR($Z294="",$Z294=6),"",WORKDAY($AA294,CHOOSE($Z294,3,3,2,2,3),Holidays))</f>
        <v/>
      </c>
      <c r="AC294" s="17">
        <f>IF(OR($Z294="",$Z294=6),"",CHOOSE($Z294,"1st Email Follow-up","2nd Email Follow-up","Escalate Local Office","Escalate to CBE","Escalate to Roxanne"))</f>
        <v/>
      </c>
    </row>
    <row r="295" spans="13:29">
      <c r="M295" s="14"/>
      <c r="T295" s="16"/>
      <c r="U295" s="17">
        <f>IF(AND(COUNTA($A295:$L295)=0,$N295=""),"",IF($T295="Paid","PAID",IF($T295="Closed","CLOSED",IF($Z295="","",IF($Z295=6,"ESCALATED TO ROXANNE",IF(TODAY()&gt;$AB295,"OVERDUE",IF($AB295&lt;=WORKDAY(TODAY(),1,Holidays),"DUE TOMORROW",IF($Z295=4,"ESCALATED TO LOCAL OFFICE",IF($Z295=5,"ESCALATED TO CBE",IF($AA295=TODAY(),"EMAIL SENT","MONITORING"))))))))))</f>
        <v/>
      </c>
      <c r="V295" s="17">
        <f>IF($U295="",IF(AND(COUNTA($A295:$L295)&gt;0,$N295=""),"Awaiting Collection Email time stamp.",""),IF(OR($U295="PAID",$U295="CLOSED"),IF($U295="PAID","Account paid. Action completed.","Account closed. No further action required."),CHOOSE($Z295,"Collection Email","1st Email Follow-up","2nd Email Follow-up","Escalation to Local Office","Escalation to CBE","Escalation to Roxanne")&amp;" sent "&amp;TEXT($AA295,"dd-mmm")&amp;". "&amp;IF($Z295=6,"Final escalation completed.",IF($U295="OVERDUE","Next: "&amp;$AC295&amp;" was due "&amp;TEXT($AB295,"dd-mmm")&amp;" - "&amp;(NETWORKDAYS($AB295,TODAY(),Holidays)-1)&amp;" business day(s) late. Send now.",IF($U295="DUE TOMORROW","Next: "&amp;$AC295&amp;IF($AB295&lt;=TODAY()," is due TODAY ("," is due next business day (")&amp;TEXT($AB295,"dd-mmm")&amp;").","Next: "&amp;$AC295&amp;" due "&amp;TEXT($AB295,"dd-mmm")&amp;" ("&amp;(NETWORKDAYS(TODAY(),$AB295,Holidays)-1)&amp;" business day(s) left).")))))</f>
        <v/>
      </c>
      <c r="W295" s="17">
        <f>IF($Z295="","",CHOOSE($Z295,"Collection Email","1st Follow-up","2nd Follow-up","Local Office","CBE","Roxanne")&amp;IF($Z295=6," - Final"," - Day "&amp;MAX(0,NETWORKDAYS($AA295,TODAY(),Holidays)-1)&amp;" of "&amp;CHOOSE($Z295,3,3,2,2,3))&amp;" | Total Day "&amp;MAX(0,NETWORKDAYS($N295,TODAY(),Holidays)-1))</f>
        <v/>
      </c>
      <c r="X295" s="18"/>
      <c r="Y295" s="18"/>
      <c r="Z295" s="17">
        <f>IF($N295="","",COUNT($N295:$S295))</f>
        <v/>
      </c>
      <c r="AA295" s="19">
        <f>IF($Z295="","",INT(INDEX($N295:$S295,$Z295)))</f>
        <v/>
      </c>
      <c r="AB295" s="19">
        <f>IF(OR($Z295="",$Z295=6),"",WORKDAY($AA295,CHOOSE($Z295,3,3,2,2,3),Holidays))</f>
        <v/>
      </c>
      <c r="AC295" s="17">
        <f>IF(OR($Z295="",$Z295=6),"",CHOOSE($Z295,"1st Email Follow-up","2nd Email Follow-up","Escalate Local Office","Escalate to CBE","Escalate to Roxanne"))</f>
        <v/>
      </c>
    </row>
    <row r="296" spans="13:29">
      <c r="M296" s="14"/>
      <c r="T296" s="16"/>
      <c r="U296" s="17">
        <f>IF(AND(COUNTA($A296:$L296)=0,$N296=""),"",IF($T296="Paid","PAID",IF($T296="Closed","CLOSED",IF($Z296="","",IF($Z296=6,"ESCALATED TO ROXANNE",IF(TODAY()&gt;$AB296,"OVERDUE",IF($AB296&lt;=WORKDAY(TODAY(),1,Holidays),"DUE TOMORROW",IF($Z296=4,"ESCALATED TO LOCAL OFFICE",IF($Z296=5,"ESCALATED TO CBE",IF($AA296=TODAY(),"EMAIL SENT","MONITORING"))))))))))</f>
        <v/>
      </c>
      <c r="V296" s="17">
        <f>IF($U296="",IF(AND(COUNTA($A296:$L296)&gt;0,$N296=""),"Awaiting Collection Email time stamp.",""),IF(OR($U296="PAID",$U296="CLOSED"),IF($U296="PAID","Account paid. Action completed.","Account closed. No further action required."),CHOOSE($Z296,"Collection Email","1st Email Follow-up","2nd Email Follow-up","Escalation to Local Office","Escalation to CBE","Escalation to Roxanne")&amp;" sent "&amp;TEXT($AA296,"dd-mmm")&amp;". "&amp;IF($Z296=6,"Final escalation completed.",IF($U296="OVERDUE","Next: "&amp;$AC296&amp;" was due "&amp;TEXT($AB296,"dd-mmm")&amp;" - "&amp;(NETWORKDAYS($AB296,TODAY(),Holidays)-1)&amp;" business day(s) late. Send now.",IF($U296="DUE TOMORROW","Next: "&amp;$AC296&amp;IF($AB296&lt;=TODAY()," is due TODAY ("," is due next business day (")&amp;TEXT($AB296,"dd-mmm")&amp;").","Next: "&amp;$AC296&amp;" due "&amp;TEXT($AB296,"dd-mmm")&amp;" ("&amp;(NETWORKDAYS(TODAY(),$AB296,Holidays)-1)&amp;" business day(s) left).")))))</f>
        <v/>
      </c>
      <c r="W296" s="17">
        <f>IF($Z296="","",CHOOSE($Z296,"Collection Email","1st Follow-up","2nd Follow-up","Local Office","CBE","Roxanne")&amp;IF($Z296=6," - Final"," - Day "&amp;MAX(0,NETWORKDAYS($AA296,TODAY(),Holidays)-1)&amp;" of "&amp;CHOOSE($Z296,3,3,2,2,3))&amp;" | Total Day "&amp;MAX(0,NETWORKDAYS($N296,TODAY(),Holidays)-1))</f>
        <v/>
      </c>
      <c r="X296" s="18"/>
      <c r="Y296" s="18"/>
      <c r="Z296" s="17">
        <f>IF($N296="","",COUNT($N296:$S296))</f>
        <v/>
      </c>
      <c r="AA296" s="19">
        <f>IF($Z296="","",INT(INDEX($N296:$S296,$Z296)))</f>
        <v/>
      </c>
      <c r="AB296" s="19">
        <f>IF(OR($Z296="",$Z296=6),"",WORKDAY($AA296,CHOOSE($Z296,3,3,2,2,3),Holidays))</f>
        <v/>
      </c>
      <c r="AC296" s="17">
        <f>IF(OR($Z296="",$Z296=6),"",CHOOSE($Z296,"1st Email Follow-up","2nd Email Follow-up","Escalate Local Office","Escalate to CBE","Escalate to Roxanne"))</f>
        <v/>
      </c>
    </row>
    <row r="297" spans="13:29">
      <c r="M297" s="14"/>
      <c r="T297" s="16"/>
      <c r="U297" s="17">
        <f>IF(AND(COUNTA($A297:$L297)=0,$N297=""),"",IF($T297="Paid","PAID",IF($T297="Closed","CLOSED",IF($Z297="","",IF($Z297=6,"ESCALATED TO ROXANNE",IF(TODAY()&gt;$AB297,"OVERDUE",IF($AB297&lt;=WORKDAY(TODAY(),1,Holidays),"DUE TOMORROW",IF($Z297=4,"ESCALATED TO LOCAL OFFICE",IF($Z297=5,"ESCALATED TO CBE",IF($AA297=TODAY(),"EMAIL SENT","MONITORING"))))))))))</f>
        <v/>
      </c>
      <c r="V297" s="17">
        <f>IF($U297="",IF(AND(COUNTA($A297:$L297)&gt;0,$N297=""),"Awaiting Collection Email time stamp.",""),IF(OR($U297="PAID",$U297="CLOSED"),IF($U297="PAID","Account paid. Action completed.","Account closed. No further action required."),CHOOSE($Z297,"Collection Email","1st Email Follow-up","2nd Email Follow-up","Escalation to Local Office","Escalation to CBE","Escalation to Roxanne")&amp;" sent "&amp;TEXT($AA297,"dd-mmm")&amp;". "&amp;IF($Z297=6,"Final escalation completed.",IF($U297="OVERDUE","Next: "&amp;$AC297&amp;" was due "&amp;TEXT($AB297,"dd-mmm")&amp;" - "&amp;(NETWORKDAYS($AB297,TODAY(),Holidays)-1)&amp;" business day(s) late. Send now.",IF($U297="DUE TOMORROW","Next: "&amp;$AC297&amp;IF($AB297&lt;=TODAY()," is due TODAY ("," is due next business day (")&amp;TEXT($AB297,"dd-mmm")&amp;").","Next: "&amp;$AC297&amp;" due "&amp;TEXT($AB297,"dd-mmm")&amp;" ("&amp;(NETWORKDAYS(TODAY(),$AB297,Holidays)-1)&amp;" business day(s) left).")))))</f>
        <v/>
      </c>
      <c r="W297" s="17">
        <f>IF($Z297="","",CHOOSE($Z297,"Collection Email","1st Follow-up","2nd Follow-up","Local Office","CBE","Roxanne")&amp;IF($Z297=6," - Final"," - Day "&amp;MAX(0,NETWORKDAYS($AA297,TODAY(),Holidays)-1)&amp;" of "&amp;CHOOSE($Z297,3,3,2,2,3))&amp;" | Total Day "&amp;MAX(0,NETWORKDAYS($N297,TODAY(),Holidays)-1))</f>
        <v/>
      </c>
      <c r="X297" s="18"/>
      <c r="Y297" s="18"/>
      <c r="Z297" s="17">
        <f>IF($N297="","",COUNT($N297:$S297))</f>
        <v/>
      </c>
      <c r="AA297" s="19">
        <f>IF($Z297="","",INT(INDEX($N297:$S297,$Z297)))</f>
        <v/>
      </c>
      <c r="AB297" s="19">
        <f>IF(OR($Z297="",$Z297=6),"",WORKDAY($AA297,CHOOSE($Z297,3,3,2,2,3),Holidays))</f>
        <v/>
      </c>
      <c r="AC297" s="17">
        <f>IF(OR($Z297="",$Z297=6),"",CHOOSE($Z297,"1st Email Follow-up","2nd Email Follow-up","Escalate Local Office","Escalate to CBE","Escalate to Roxanne"))</f>
        <v/>
      </c>
    </row>
    <row r="298" spans="13:29">
      <c r="M298" s="14"/>
      <c r="T298" s="16"/>
      <c r="U298" s="17">
        <f>IF(AND(COUNTA($A298:$L298)=0,$N298=""),"",IF($T298="Paid","PAID",IF($T298="Closed","CLOSED",IF($Z298="","",IF($Z298=6,"ESCALATED TO ROXANNE",IF(TODAY()&gt;$AB298,"OVERDUE",IF($AB298&lt;=WORKDAY(TODAY(),1,Holidays),"DUE TOMORROW",IF($Z298=4,"ESCALATED TO LOCAL OFFICE",IF($Z298=5,"ESCALATED TO CBE",IF($AA298=TODAY(),"EMAIL SENT","MONITORING"))))))))))</f>
        <v/>
      </c>
      <c r="V298" s="17">
        <f>IF($U298="",IF(AND(COUNTA($A298:$L298)&gt;0,$N298=""),"Awaiting Collection Email time stamp.",""),IF(OR($U298="PAID",$U298="CLOSED"),IF($U298="PAID","Account paid. Action completed.","Account closed. No further action required."),CHOOSE($Z298,"Collection Email","1st Email Follow-up","2nd Email Follow-up","Escalation to Local Office","Escalation to CBE","Escalation to Roxanne")&amp;" sent "&amp;TEXT($AA298,"dd-mmm")&amp;". "&amp;IF($Z298=6,"Final escalation completed.",IF($U298="OVERDUE","Next: "&amp;$AC298&amp;" was due "&amp;TEXT($AB298,"dd-mmm")&amp;" - "&amp;(NETWORKDAYS($AB298,TODAY(),Holidays)-1)&amp;" business day(s) late. Send now.",IF($U298="DUE TOMORROW","Next: "&amp;$AC298&amp;IF($AB298&lt;=TODAY()," is due TODAY ("," is due next business day (")&amp;TEXT($AB298,"dd-mmm")&amp;").","Next: "&amp;$AC298&amp;" due "&amp;TEXT($AB298,"dd-mmm")&amp;" ("&amp;(NETWORKDAYS(TODAY(),$AB298,Holidays)-1)&amp;" business day(s) left).")))))</f>
        <v/>
      </c>
      <c r="W298" s="17">
        <f>IF($Z298="","",CHOOSE($Z298,"Collection Email","1st Follow-up","2nd Follow-up","Local Office","CBE","Roxanne")&amp;IF($Z298=6," - Final"," - Day "&amp;MAX(0,NETWORKDAYS($AA298,TODAY(),Holidays)-1)&amp;" of "&amp;CHOOSE($Z298,3,3,2,2,3))&amp;" | Total Day "&amp;MAX(0,NETWORKDAYS($N298,TODAY(),Holidays)-1))</f>
        <v/>
      </c>
      <c r="X298" s="18"/>
      <c r="Y298" s="18"/>
      <c r="Z298" s="17">
        <f>IF($N298="","",COUNT($N298:$S298))</f>
        <v/>
      </c>
      <c r="AA298" s="19">
        <f>IF($Z298="","",INT(INDEX($N298:$S298,$Z298)))</f>
        <v/>
      </c>
      <c r="AB298" s="19">
        <f>IF(OR($Z298="",$Z298=6),"",WORKDAY($AA298,CHOOSE($Z298,3,3,2,2,3),Holidays))</f>
        <v/>
      </c>
      <c r="AC298" s="17">
        <f>IF(OR($Z298="",$Z298=6),"",CHOOSE($Z298,"1st Email Follow-up","2nd Email Follow-up","Escalate Local Office","Escalate to CBE","Escalate to Roxanne"))</f>
        <v/>
      </c>
    </row>
    <row r="299" spans="13:29">
      <c r="M299" s="14"/>
      <c r="T299" s="16"/>
      <c r="U299" s="17">
        <f>IF(AND(COUNTA($A299:$L299)=0,$N299=""),"",IF($T299="Paid","PAID",IF($T299="Closed","CLOSED",IF($Z299="","",IF($Z299=6,"ESCALATED TO ROXANNE",IF(TODAY()&gt;$AB299,"OVERDUE",IF($AB299&lt;=WORKDAY(TODAY(),1,Holidays),"DUE TOMORROW",IF($Z299=4,"ESCALATED TO LOCAL OFFICE",IF($Z299=5,"ESCALATED TO CBE",IF($AA299=TODAY(),"EMAIL SENT","MONITORING"))))))))))</f>
        <v/>
      </c>
      <c r="V299" s="17">
        <f>IF($U299="",IF(AND(COUNTA($A299:$L299)&gt;0,$N299=""),"Awaiting Collection Email time stamp.",""),IF(OR($U299="PAID",$U299="CLOSED"),IF($U299="PAID","Account paid. Action completed.","Account closed. No further action required."),CHOOSE($Z299,"Collection Email","1st Email Follow-up","2nd Email Follow-up","Escalation to Local Office","Escalation to CBE","Escalation to Roxanne")&amp;" sent "&amp;TEXT($AA299,"dd-mmm")&amp;". "&amp;IF($Z299=6,"Final escalation completed.",IF($U299="OVERDUE","Next: "&amp;$AC299&amp;" was due "&amp;TEXT($AB299,"dd-mmm")&amp;" - "&amp;(NETWORKDAYS($AB299,TODAY(),Holidays)-1)&amp;" business day(s) late. Send now.",IF($U299="DUE TOMORROW","Next: "&amp;$AC299&amp;IF($AB299&lt;=TODAY()," is due TODAY ("," is due next business day (")&amp;TEXT($AB299,"dd-mmm")&amp;").","Next: "&amp;$AC299&amp;" due "&amp;TEXT($AB299,"dd-mmm")&amp;" ("&amp;(NETWORKDAYS(TODAY(),$AB299,Holidays)-1)&amp;" business day(s) left).")))))</f>
        <v/>
      </c>
      <c r="W299" s="17">
        <f>IF($Z299="","",CHOOSE($Z299,"Collection Email","1st Follow-up","2nd Follow-up","Local Office","CBE","Roxanne")&amp;IF($Z299=6," - Final"," - Day "&amp;MAX(0,NETWORKDAYS($AA299,TODAY(),Holidays)-1)&amp;" of "&amp;CHOOSE($Z299,3,3,2,2,3))&amp;" | Total Day "&amp;MAX(0,NETWORKDAYS($N299,TODAY(),Holidays)-1))</f>
        <v/>
      </c>
      <c r="X299" s="18"/>
      <c r="Y299" s="18"/>
      <c r="Z299" s="17">
        <f>IF($N299="","",COUNT($N299:$S299))</f>
        <v/>
      </c>
      <c r="AA299" s="19">
        <f>IF($Z299="","",INT(INDEX($N299:$S299,$Z299)))</f>
        <v/>
      </c>
      <c r="AB299" s="19">
        <f>IF(OR($Z299="",$Z299=6),"",WORKDAY($AA299,CHOOSE($Z299,3,3,2,2,3),Holidays))</f>
        <v/>
      </c>
      <c r="AC299" s="17">
        <f>IF(OR($Z299="",$Z299=6),"",CHOOSE($Z299,"1st Email Follow-up","2nd Email Follow-up","Escalate Local Office","Escalate to CBE","Escalate to Roxanne"))</f>
        <v/>
      </c>
    </row>
    <row r="300" spans="13:29">
      <c r="M300" s="14"/>
      <c r="T300" s="16"/>
      <c r="U300" s="17">
        <f>IF(AND(COUNTA($A300:$L300)=0,$N300=""),"",IF($T300="Paid","PAID",IF($T300="Closed","CLOSED",IF($Z300="","",IF($Z300=6,"ESCALATED TO ROXANNE",IF(TODAY()&gt;$AB300,"OVERDUE",IF($AB300&lt;=WORKDAY(TODAY(),1,Holidays),"DUE TOMORROW",IF($Z300=4,"ESCALATED TO LOCAL OFFICE",IF($Z300=5,"ESCALATED TO CBE",IF($AA300=TODAY(),"EMAIL SENT","MONITORING"))))))))))</f>
        <v/>
      </c>
      <c r="V300" s="17">
        <f>IF($U300="",IF(AND(COUNTA($A300:$L300)&gt;0,$N300=""),"Awaiting Collection Email time stamp.",""),IF(OR($U300="PAID",$U300="CLOSED"),IF($U300="PAID","Account paid. Action completed.","Account closed. No further action required."),CHOOSE($Z300,"Collection Email","1st Email Follow-up","2nd Email Follow-up","Escalation to Local Office","Escalation to CBE","Escalation to Roxanne")&amp;" sent "&amp;TEXT($AA300,"dd-mmm")&amp;". "&amp;IF($Z300=6,"Final escalation completed.",IF($U300="OVERDUE","Next: "&amp;$AC300&amp;" was due "&amp;TEXT($AB300,"dd-mmm")&amp;" - "&amp;(NETWORKDAYS($AB300,TODAY(),Holidays)-1)&amp;" business day(s) late. Send now.",IF($U300="DUE TOMORROW","Next: "&amp;$AC300&amp;IF($AB300&lt;=TODAY()," is due TODAY ("," is due next business day (")&amp;TEXT($AB300,"dd-mmm")&amp;").","Next: "&amp;$AC300&amp;" due "&amp;TEXT($AB300,"dd-mmm")&amp;" ("&amp;(NETWORKDAYS(TODAY(),$AB300,Holidays)-1)&amp;" business day(s) left).")))))</f>
        <v/>
      </c>
      <c r="W300" s="17">
        <f>IF($Z300="","",CHOOSE($Z300,"Collection Email","1st Follow-up","2nd Follow-up","Local Office","CBE","Roxanne")&amp;IF($Z300=6," - Final"," - Day "&amp;MAX(0,NETWORKDAYS($AA300,TODAY(),Holidays)-1)&amp;" of "&amp;CHOOSE($Z300,3,3,2,2,3))&amp;" | Total Day "&amp;MAX(0,NETWORKDAYS($N300,TODAY(),Holidays)-1))</f>
        <v/>
      </c>
      <c r="X300" s="18"/>
      <c r="Y300" s="18"/>
      <c r="Z300" s="17">
        <f>IF($N300="","",COUNT($N300:$S300))</f>
        <v/>
      </c>
      <c r="AA300" s="19">
        <f>IF($Z300="","",INT(INDEX($N300:$S300,$Z300)))</f>
        <v/>
      </c>
      <c r="AB300" s="19">
        <f>IF(OR($Z300="",$Z300=6),"",WORKDAY($AA300,CHOOSE($Z300,3,3,2,2,3),Holidays))</f>
        <v/>
      </c>
      <c r="AC300" s="17">
        <f>IF(OR($Z300="",$Z300=6),"",CHOOSE($Z300,"1st Email Follow-up","2nd Email Follow-up","Escalate Local Office","Escalate to CBE","Escalate to Roxanne"))</f>
        <v/>
      </c>
    </row>
    <row r="301" spans="13:29">
      <c r="M301" s="14"/>
      <c r="T301" s="16"/>
      <c r="U301" s="17">
        <f>IF(AND(COUNTA($A301:$L301)=0,$N301=""),"",IF($T301="Paid","PAID",IF($T301="Closed","CLOSED",IF($Z301="","",IF($Z301=6,"ESCALATED TO ROXANNE",IF(TODAY()&gt;$AB301,"OVERDUE",IF($AB301&lt;=WORKDAY(TODAY(),1,Holidays),"DUE TOMORROW",IF($Z301=4,"ESCALATED TO LOCAL OFFICE",IF($Z301=5,"ESCALATED TO CBE",IF($AA301=TODAY(),"EMAIL SENT","MONITORING"))))))))))</f>
        <v/>
      </c>
      <c r="V301" s="17">
        <f>IF($U301="",IF(AND(COUNTA($A301:$L301)&gt;0,$N301=""),"Awaiting Collection Email time stamp.",""),IF(OR($U301="PAID",$U301="CLOSED"),IF($U301="PAID","Account paid. Action completed.","Account closed. No further action required."),CHOOSE($Z301,"Collection Email","1st Email Follow-up","2nd Email Follow-up","Escalation to Local Office","Escalation to CBE","Escalation to Roxanne")&amp;" sent "&amp;TEXT($AA301,"dd-mmm")&amp;". "&amp;IF($Z301=6,"Final escalation completed.",IF($U301="OVERDUE","Next: "&amp;$AC301&amp;" was due "&amp;TEXT($AB301,"dd-mmm")&amp;" - "&amp;(NETWORKDAYS($AB301,TODAY(),Holidays)-1)&amp;" business day(s) late. Send now.",IF($U301="DUE TOMORROW","Next: "&amp;$AC301&amp;IF($AB301&lt;=TODAY()," is due TODAY ("," is due next business day (")&amp;TEXT($AB301,"dd-mmm")&amp;").","Next: "&amp;$AC301&amp;" due "&amp;TEXT($AB301,"dd-mmm")&amp;" ("&amp;(NETWORKDAYS(TODAY(),$AB301,Holidays)-1)&amp;" business day(s) left).")))))</f>
        <v/>
      </c>
      <c r="W301" s="17">
        <f>IF($Z301="","",CHOOSE($Z301,"Collection Email","1st Follow-up","2nd Follow-up","Local Office","CBE","Roxanne")&amp;IF($Z301=6," - Final"," - Day "&amp;MAX(0,NETWORKDAYS($AA301,TODAY(),Holidays)-1)&amp;" of "&amp;CHOOSE($Z301,3,3,2,2,3))&amp;" | Total Day "&amp;MAX(0,NETWORKDAYS($N301,TODAY(),Holidays)-1))</f>
        <v/>
      </c>
      <c r="X301" s="18"/>
      <c r="Y301" s="18"/>
      <c r="Z301" s="17">
        <f>IF($N301="","",COUNT($N301:$S301))</f>
        <v/>
      </c>
      <c r="AA301" s="19">
        <f>IF($Z301="","",INT(INDEX($N301:$S301,$Z301)))</f>
        <v/>
      </c>
      <c r="AB301" s="19">
        <f>IF(OR($Z301="",$Z301=6),"",WORKDAY($AA301,CHOOSE($Z301,3,3,2,2,3),Holidays))</f>
        <v/>
      </c>
      <c r="AC301" s="17">
        <f>IF(OR($Z301="",$Z301=6),"",CHOOSE($Z301,"1st Email Follow-up","2nd Email Follow-up","Escalate Local Office","Escalate to CBE","Escalate to Roxanne"))</f>
        <v/>
      </c>
    </row>
    <row r="302" spans="13:29">
      <c r="M302" s="14"/>
      <c r="T302" s="16"/>
      <c r="U302" s="17">
        <f>IF(AND(COUNTA($A302:$L302)=0,$N302=""),"",IF($T302="Paid","PAID",IF($T302="Closed","CLOSED",IF($Z302="","",IF($Z302=6,"ESCALATED TO ROXANNE",IF(TODAY()&gt;$AB302,"OVERDUE",IF($AB302&lt;=WORKDAY(TODAY(),1,Holidays),"DUE TOMORROW",IF($Z302=4,"ESCALATED TO LOCAL OFFICE",IF($Z302=5,"ESCALATED TO CBE",IF($AA302=TODAY(),"EMAIL SENT","MONITORING"))))))))))</f>
        <v/>
      </c>
      <c r="V302" s="17">
        <f>IF($U302="",IF(AND(COUNTA($A302:$L302)&gt;0,$N302=""),"Awaiting Collection Email time stamp.",""),IF(OR($U302="PAID",$U302="CLOSED"),IF($U302="PAID","Account paid. Action completed.","Account closed. No further action required."),CHOOSE($Z302,"Collection Email","1st Email Follow-up","2nd Email Follow-up","Escalation to Local Office","Escalation to CBE","Escalation to Roxanne")&amp;" sent "&amp;TEXT($AA302,"dd-mmm")&amp;". "&amp;IF($Z302=6,"Final escalation completed.",IF($U302="OVERDUE","Next: "&amp;$AC302&amp;" was due "&amp;TEXT($AB302,"dd-mmm")&amp;" - "&amp;(NETWORKDAYS($AB302,TODAY(),Holidays)-1)&amp;" business day(s) late. Send now.",IF($U302="DUE TOMORROW","Next: "&amp;$AC302&amp;IF($AB302&lt;=TODAY()," is due TODAY ("," is due next business day (")&amp;TEXT($AB302,"dd-mmm")&amp;").","Next: "&amp;$AC302&amp;" due "&amp;TEXT($AB302,"dd-mmm")&amp;" ("&amp;(NETWORKDAYS(TODAY(),$AB302,Holidays)-1)&amp;" business day(s) left).")))))</f>
        <v/>
      </c>
      <c r="W302" s="17">
        <f>IF($Z302="","",CHOOSE($Z302,"Collection Email","1st Follow-up","2nd Follow-up","Local Office","CBE","Roxanne")&amp;IF($Z302=6," - Final"," - Day "&amp;MAX(0,NETWORKDAYS($AA302,TODAY(),Holidays)-1)&amp;" of "&amp;CHOOSE($Z302,3,3,2,2,3))&amp;" | Total Day "&amp;MAX(0,NETWORKDAYS($N302,TODAY(),Holidays)-1))</f>
        <v/>
      </c>
      <c r="X302" s="18"/>
      <c r="Y302" s="18"/>
      <c r="Z302" s="17">
        <f>IF($N302="","",COUNT($N302:$S302))</f>
        <v/>
      </c>
      <c r="AA302" s="19">
        <f>IF($Z302="","",INT(INDEX($N302:$S302,$Z302)))</f>
        <v/>
      </c>
      <c r="AB302" s="19">
        <f>IF(OR($Z302="",$Z302=6),"",WORKDAY($AA302,CHOOSE($Z302,3,3,2,2,3),Holidays))</f>
        <v/>
      </c>
      <c r="AC302" s="17">
        <f>IF(OR($Z302="",$Z302=6),"",CHOOSE($Z302,"1st Email Follow-up","2nd Email Follow-up","Escalate Local Office","Escalate to CBE","Escalate to Roxanne"))</f>
        <v/>
      </c>
    </row>
    <row r="303" spans="13:29">
      <c r="M303" s="14"/>
      <c r="T303" s="16"/>
      <c r="U303" s="17">
        <f>IF(AND(COUNTA($A303:$L303)=0,$N303=""),"",IF($T303="Paid","PAID",IF($T303="Closed","CLOSED",IF($Z303="","",IF($Z303=6,"ESCALATED TO ROXANNE",IF(TODAY()&gt;$AB303,"OVERDUE",IF($AB303&lt;=WORKDAY(TODAY(),1,Holidays),"DUE TOMORROW",IF($Z303=4,"ESCALATED TO LOCAL OFFICE",IF($Z303=5,"ESCALATED TO CBE",IF($AA303=TODAY(),"EMAIL SENT","MONITORING"))))))))))</f>
        <v/>
      </c>
      <c r="V303" s="17">
        <f>IF($U303="",IF(AND(COUNTA($A303:$L303)&gt;0,$N303=""),"Awaiting Collection Email time stamp.",""),IF(OR($U303="PAID",$U303="CLOSED"),IF($U303="PAID","Account paid. Action completed.","Account closed. No further action required."),CHOOSE($Z303,"Collection Email","1st Email Follow-up","2nd Email Follow-up","Escalation to Local Office","Escalation to CBE","Escalation to Roxanne")&amp;" sent "&amp;TEXT($AA303,"dd-mmm")&amp;". "&amp;IF($Z303=6,"Final escalation completed.",IF($U303="OVERDUE","Next: "&amp;$AC303&amp;" was due "&amp;TEXT($AB303,"dd-mmm")&amp;" - "&amp;(NETWORKDAYS($AB303,TODAY(),Holidays)-1)&amp;" business day(s) late. Send now.",IF($U303="DUE TOMORROW","Next: "&amp;$AC303&amp;IF($AB303&lt;=TODAY()," is due TODAY ("," is due next business day (")&amp;TEXT($AB303,"dd-mmm")&amp;").","Next: "&amp;$AC303&amp;" due "&amp;TEXT($AB303,"dd-mmm")&amp;" ("&amp;(NETWORKDAYS(TODAY(),$AB303,Holidays)-1)&amp;" business day(s) left).")))))</f>
        <v/>
      </c>
      <c r="W303" s="17">
        <f>IF($Z303="","",CHOOSE($Z303,"Collection Email","1st Follow-up","2nd Follow-up","Local Office","CBE","Roxanne")&amp;IF($Z303=6," - Final"," - Day "&amp;MAX(0,NETWORKDAYS($AA303,TODAY(),Holidays)-1)&amp;" of "&amp;CHOOSE($Z303,3,3,2,2,3))&amp;" | Total Day "&amp;MAX(0,NETWORKDAYS($N303,TODAY(),Holidays)-1))</f>
        <v/>
      </c>
      <c r="X303" s="18"/>
      <c r="Y303" s="18"/>
      <c r="Z303" s="17">
        <f>IF($N303="","",COUNT($N303:$S303))</f>
        <v/>
      </c>
      <c r="AA303" s="19">
        <f>IF($Z303="","",INT(INDEX($N303:$S303,$Z303)))</f>
        <v/>
      </c>
      <c r="AB303" s="19">
        <f>IF(OR($Z303="",$Z303=6),"",WORKDAY($AA303,CHOOSE($Z303,3,3,2,2,3),Holidays))</f>
        <v/>
      </c>
      <c r="AC303" s="17">
        <f>IF(OR($Z303="",$Z303=6),"",CHOOSE($Z303,"1st Email Follow-up","2nd Email Follow-up","Escalate Local Office","Escalate to CBE","Escalate to Roxanne"))</f>
        <v/>
      </c>
    </row>
    <row r="304" spans="13:29">
      <c r="M304" s="14"/>
      <c r="T304" s="16"/>
      <c r="U304" s="17">
        <f>IF(AND(COUNTA($A304:$L304)=0,$N304=""),"",IF($T304="Paid","PAID",IF($T304="Closed","CLOSED",IF($Z304="","",IF($Z304=6,"ESCALATED TO ROXANNE",IF(TODAY()&gt;$AB304,"OVERDUE",IF($AB304&lt;=WORKDAY(TODAY(),1,Holidays),"DUE TOMORROW",IF($Z304=4,"ESCALATED TO LOCAL OFFICE",IF($Z304=5,"ESCALATED TO CBE",IF($AA304=TODAY(),"EMAIL SENT","MONITORING"))))))))))</f>
        <v/>
      </c>
      <c r="V304" s="17">
        <f>IF($U304="",IF(AND(COUNTA($A304:$L304)&gt;0,$N304=""),"Awaiting Collection Email time stamp.",""),IF(OR($U304="PAID",$U304="CLOSED"),IF($U304="PAID","Account paid. Action completed.","Account closed. No further action required."),CHOOSE($Z304,"Collection Email","1st Email Follow-up","2nd Email Follow-up","Escalation to Local Office","Escalation to CBE","Escalation to Roxanne")&amp;" sent "&amp;TEXT($AA304,"dd-mmm")&amp;". "&amp;IF($Z304=6,"Final escalation completed.",IF($U304="OVERDUE","Next: "&amp;$AC304&amp;" was due "&amp;TEXT($AB304,"dd-mmm")&amp;" - "&amp;(NETWORKDAYS($AB304,TODAY(),Holidays)-1)&amp;" business day(s) late. Send now.",IF($U304="DUE TOMORROW","Next: "&amp;$AC304&amp;IF($AB304&lt;=TODAY()," is due TODAY ("," is due next business day (")&amp;TEXT($AB304,"dd-mmm")&amp;").","Next: "&amp;$AC304&amp;" due "&amp;TEXT($AB304,"dd-mmm")&amp;" ("&amp;(NETWORKDAYS(TODAY(),$AB304,Holidays)-1)&amp;" business day(s) left).")))))</f>
        <v/>
      </c>
      <c r="W304" s="17">
        <f>IF($Z304="","",CHOOSE($Z304,"Collection Email","1st Follow-up","2nd Follow-up","Local Office","CBE","Roxanne")&amp;IF($Z304=6," - Final"," - Day "&amp;MAX(0,NETWORKDAYS($AA304,TODAY(),Holidays)-1)&amp;" of "&amp;CHOOSE($Z304,3,3,2,2,3))&amp;" | Total Day "&amp;MAX(0,NETWORKDAYS($N304,TODAY(),Holidays)-1))</f>
        <v/>
      </c>
      <c r="X304" s="18"/>
      <c r="Y304" s="18"/>
      <c r="Z304" s="17">
        <f>IF($N304="","",COUNT($N304:$S304))</f>
        <v/>
      </c>
      <c r="AA304" s="19">
        <f>IF($Z304="","",INT(INDEX($N304:$S304,$Z304)))</f>
        <v/>
      </c>
      <c r="AB304" s="19">
        <f>IF(OR($Z304="",$Z304=6),"",WORKDAY($AA304,CHOOSE($Z304,3,3,2,2,3),Holidays))</f>
        <v/>
      </c>
      <c r="AC304" s="17">
        <f>IF(OR($Z304="",$Z304=6),"",CHOOSE($Z304,"1st Email Follow-up","2nd Email Follow-up","Escalate Local Office","Escalate to CBE","Escalate to Roxanne"))</f>
        <v/>
      </c>
    </row>
    <row r="305" spans="13:29">
      <c r="M305" s="14"/>
      <c r="T305" s="16"/>
      <c r="U305" s="17">
        <f>IF(AND(COUNTA($A305:$L305)=0,$N305=""),"",IF($T305="Paid","PAID",IF($T305="Closed","CLOSED",IF($Z305="","",IF($Z305=6,"ESCALATED TO ROXANNE",IF(TODAY()&gt;$AB305,"OVERDUE",IF($AB305&lt;=WORKDAY(TODAY(),1,Holidays),"DUE TOMORROW",IF($Z305=4,"ESCALATED TO LOCAL OFFICE",IF($Z305=5,"ESCALATED TO CBE",IF($AA305=TODAY(),"EMAIL SENT","MONITORING"))))))))))</f>
        <v/>
      </c>
      <c r="V305" s="17">
        <f>IF($U305="",IF(AND(COUNTA($A305:$L305)&gt;0,$N305=""),"Awaiting Collection Email time stamp.",""),IF(OR($U305="PAID",$U305="CLOSED"),IF($U305="PAID","Account paid. Action completed.","Account closed. No further action required."),CHOOSE($Z305,"Collection Email","1st Email Follow-up","2nd Email Follow-up","Escalation to Local Office","Escalation to CBE","Escalation to Roxanne")&amp;" sent "&amp;TEXT($AA305,"dd-mmm")&amp;". "&amp;IF($Z305=6,"Final escalation completed.",IF($U305="OVERDUE","Next: "&amp;$AC305&amp;" was due "&amp;TEXT($AB305,"dd-mmm")&amp;" - "&amp;(NETWORKDAYS($AB305,TODAY(),Holidays)-1)&amp;" business day(s) late. Send now.",IF($U305="DUE TOMORROW","Next: "&amp;$AC305&amp;IF($AB305&lt;=TODAY()," is due TODAY ("," is due next business day (")&amp;TEXT($AB305,"dd-mmm")&amp;").","Next: "&amp;$AC305&amp;" due "&amp;TEXT($AB305,"dd-mmm")&amp;" ("&amp;(NETWORKDAYS(TODAY(),$AB305,Holidays)-1)&amp;" business day(s) left).")))))</f>
        <v/>
      </c>
      <c r="W305" s="17">
        <f>IF($Z305="","",CHOOSE($Z305,"Collection Email","1st Follow-up","2nd Follow-up","Local Office","CBE","Roxanne")&amp;IF($Z305=6," - Final"," - Day "&amp;MAX(0,NETWORKDAYS($AA305,TODAY(),Holidays)-1)&amp;" of "&amp;CHOOSE($Z305,3,3,2,2,3))&amp;" | Total Day "&amp;MAX(0,NETWORKDAYS($N305,TODAY(),Holidays)-1))</f>
        <v/>
      </c>
      <c r="X305" s="18"/>
      <c r="Y305" s="18"/>
      <c r="Z305" s="17">
        <f>IF($N305="","",COUNT($N305:$S305))</f>
        <v/>
      </c>
      <c r="AA305" s="19">
        <f>IF($Z305="","",INT(INDEX($N305:$S305,$Z305)))</f>
        <v/>
      </c>
      <c r="AB305" s="19">
        <f>IF(OR($Z305="",$Z305=6),"",WORKDAY($AA305,CHOOSE($Z305,3,3,2,2,3),Holidays))</f>
        <v/>
      </c>
      <c r="AC305" s="17">
        <f>IF(OR($Z305="",$Z305=6),"",CHOOSE($Z305,"1st Email Follow-up","2nd Email Follow-up","Escalate Local Office","Escalate to CBE","Escalate to Roxanne"))</f>
        <v/>
      </c>
    </row>
    <row r="306" spans="13:29">
      <c r="M306" s="14"/>
      <c r="T306" s="16"/>
      <c r="U306" s="17">
        <f>IF(AND(COUNTA($A306:$L306)=0,$N306=""),"",IF($T306="Paid","PAID",IF($T306="Closed","CLOSED",IF($Z306="","",IF($Z306=6,"ESCALATED TO ROXANNE",IF(TODAY()&gt;$AB306,"OVERDUE",IF($AB306&lt;=WORKDAY(TODAY(),1,Holidays),"DUE TOMORROW",IF($Z306=4,"ESCALATED TO LOCAL OFFICE",IF($Z306=5,"ESCALATED TO CBE",IF($AA306=TODAY(),"EMAIL SENT","MONITORING"))))))))))</f>
        <v/>
      </c>
      <c r="V306" s="17">
        <f>IF($U306="",IF(AND(COUNTA($A306:$L306)&gt;0,$N306=""),"Awaiting Collection Email time stamp.",""),IF(OR($U306="PAID",$U306="CLOSED"),IF($U306="PAID","Account paid. Action completed.","Account closed. No further action required."),CHOOSE($Z306,"Collection Email","1st Email Follow-up","2nd Email Follow-up","Escalation to Local Office","Escalation to CBE","Escalation to Roxanne")&amp;" sent "&amp;TEXT($AA306,"dd-mmm")&amp;". "&amp;IF($Z306=6,"Final escalation completed.",IF($U306="OVERDUE","Next: "&amp;$AC306&amp;" was due "&amp;TEXT($AB306,"dd-mmm")&amp;" - "&amp;(NETWORKDAYS($AB306,TODAY(),Holidays)-1)&amp;" business day(s) late. Send now.",IF($U306="DUE TOMORROW","Next: "&amp;$AC306&amp;IF($AB306&lt;=TODAY()," is due TODAY ("," is due next business day (")&amp;TEXT($AB306,"dd-mmm")&amp;").","Next: "&amp;$AC306&amp;" due "&amp;TEXT($AB306,"dd-mmm")&amp;" ("&amp;(NETWORKDAYS(TODAY(),$AB306,Holidays)-1)&amp;" business day(s) left).")))))</f>
        <v/>
      </c>
      <c r="W306" s="17">
        <f>IF($Z306="","",CHOOSE($Z306,"Collection Email","1st Follow-up","2nd Follow-up","Local Office","CBE","Roxanne")&amp;IF($Z306=6," - Final"," - Day "&amp;MAX(0,NETWORKDAYS($AA306,TODAY(),Holidays)-1)&amp;" of "&amp;CHOOSE($Z306,3,3,2,2,3))&amp;" | Total Day "&amp;MAX(0,NETWORKDAYS($N306,TODAY(),Holidays)-1))</f>
        <v/>
      </c>
      <c r="X306" s="18"/>
      <c r="Y306" s="18"/>
      <c r="Z306" s="17">
        <f>IF($N306="","",COUNT($N306:$S306))</f>
        <v/>
      </c>
      <c r="AA306" s="19">
        <f>IF($Z306="","",INT(INDEX($N306:$S306,$Z306)))</f>
        <v/>
      </c>
      <c r="AB306" s="19">
        <f>IF(OR($Z306="",$Z306=6),"",WORKDAY($AA306,CHOOSE($Z306,3,3,2,2,3),Holidays))</f>
        <v/>
      </c>
      <c r="AC306" s="17">
        <f>IF(OR($Z306="",$Z306=6),"",CHOOSE($Z306,"1st Email Follow-up","2nd Email Follow-up","Escalate Local Office","Escalate to CBE","Escalate to Roxanne"))</f>
        <v/>
      </c>
    </row>
    <row r="307" spans="13:29">
      <c r="M307" s="14"/>
      <c r="T307" s="16"/>
      <c r="U307" s="17">
        <f>IF(AND(COUNTA($A307:$L307)=0,$N307=""),"",IF($T307="Paid","PAID",IF($T307="Closed","CLOSED",IF($Z307="","",IF($Z307=6,"ESCALATED TO ROXANNE",IF(TODAY()&gt;$AB307,"OVERDUE",IF($AB307&lt;=WORKDAY(TODAY(),1,Holidays),"DUE TOMORROW",IF($Z307=4,"ESCALATED TO LOCAL OFFICE",IF($Z307=5,"ESCALATED TO CBE",IF($AA307=TODAY(),"EMAIL SENT","MONITORING"))))))))))</f>
        <v/>
      </c>
      <c r="V307" s="17">
        <f>IF($U307="",IF(AND(COUNTA($A307:$L307)&gt;0,$N307=""),"Awaiting Collection Email time stamp.",""),IF(OR($U307="PAID",$U307="CLOSED"),IF($U307="PAID","Account paid. Action completed.","Account closed. No further action required."),CHOOSE($Z307,"Collection Email","1st Email Follow-up","2nd Email Follow-up","Escalation to Local Office","Escalation to CBE","Escalation to Roxanne")&amp;" sent "&amp;TEXT($AA307,"dd-mmm")&amp;". "&amp;IF($Z307=6,"Final escalation completed.",IF($U307="OVERDUE","Next: "&amp;$AC307&amp;" was due "&amp;TEXT($AB307,"dd-mmm")&amp;" - "&amp;(NETWORKDAYS($AB307,TODAY(),Holidays)-1)&amp;" business day(s) late. Send now.",IF($U307="DUE TOMORROW","Next: "&amp;$AC307&amp;IF($AB307&lt;=TODAY()," is due TODAY ("," is due next business day (")&amp;TEXT($AB307,"dd-mmm")&amp;").","Next: "&amp;$AC307&amp;" due "&amp;TEXT($AB307,"dd-mmm")&amp;" ("&amp;(NETWORKDAYS(TODAY(),$AB307,Holidays)-1)&amp;" business day(s) left).")))))</f>
        <v/>
      </c>
      <c r="W307" s="17">
        <f>IF($Z307="","",CHOOSE($Z307,"Collection Email","1st Follow-up","2nd Follow-up","Local Office","CBE","Roxanne")&amp;IF($Z307=6," - Final"," - Day "&amp;MAX(0,NETWORKDAYS($AA307,TODAY(),Holidays)-1)&amp;" of "&amp;CHOOSE($Z307,3,3,2,2,3))&amp;" | Total Day "&amp;MAX(0,NETWORKDAYS($N307,TODAY(),Holidays)-1))</f>
        <v/>
      </c>
      <c r="X307" s="18"/>
      <c r="Y307" s="18"/>
      <c r="Z307" s="17">
        <f>IF($N307="","",COUNT($N307:$S307))</f>
        <v/>
      </c>
      <c r="AA307" s="19">
        <f>IF($Z307="","",INT(INDEX($N307:$S307,$Z307)))</f>
        <v/>
      </c>
      <c r="AB307" s="19">
        <f>IF(OR($Z307="",$Z307=6),"",WORKDAY($AA307,CHOOSE($Z307,3,3,2,2,3),Holidays))</f>
        <v/>
      </c>
      <c r="AC307" s="17">
        <f>IF(OR($Z307="",$Z307=6),"",CHOOSE($Z307,"1st Email Follow-up","2nd Email Follow-up","Escalate Local Office","Escalate to CBE","Escalate to Roxanne"))</f>
        <v/>
      </c>
    </row>
    <row r="308" spans="13:29">
      <c r="M308" s="14"/>
      <c r="T308" s="16"/>
      <c r="U308" s="17">
        <f>IF(AND(COUNTA($A308:$L308)=0,$N308=""),"",IF($T308="Paid","PAID",IF($T308="Closed","CLOSED",IF($Z308="","",IF($Z308=6,"ESCALATED TO ROXANNE",IF(TODAY()&gt;$AB308,"OVERDUE",IF($AB308&lt;=WORKDAY(TODAY(),1,Holidays),"DUE TOMORROW",IF($Z308=4,"ESCALATED TO LOCAL OFFICE",IF($Z308=5,"ESCALATED TO CBE",IF($AA308=TODAY(),"EMAIL SENT","MONITORING"))))))))))</f>
        <v/>
      </c>
      <c r="V308" s="17">
        <f>IF($U308="",IF(AND(COUNTA($A308:$L308)&gt;0,$N308=""),"Awaiting Collection Email time stamp.",""),IF(OR($U308="PAID",$U308="CLOSED"),IF($U308="PAID","Account paid. Action completed.","Account closed. No further action required."),CHOOSE($Z308,"Collection Email","1st Email Follow-up","2nd Email Follow-up","Escalation to Local Office","Escalation to CBE","Escalation to Roxanne")&amp;" sent "&amp;TEXT($AA308,"dd-mmm")&amp;". "&amp;IF($Z308=6,"Final escalation completed.",IF($U308="OVERDUE","Next: "&amp;$AC308&amp;" was due "&amp;TEXT($AB308,"dd-mmm")&amp;" - "&amp;(NETWORKDAYS($AB308,TODAY(),Holidays)-1)&amp;" business day(s) late. Send now.",IF($U308="DUE TOMORROW","Next: "&amp;$AC308&amp;IF($AB308&lt;=TODAY()," is due TODAY ("," is due next business day (")&amp;TEXT($AB308,"dd-mmm")&amp;").","Next: "&amp;$AC308&amp;" due "&amp;TEXT($AB308,"dd-mmm")&amp;" ("&amp;(NETWORKDAYS(TODAY(),$AB308,Holidays)-1)&amp;" business day(s) left).")))))</f>
        <v/>
      </c>
      <c r="W308" s="17">
        <f>IF($Z308="","",CHOOSE($Z308,"Collection Email","1st Follow-up","2nd Follow-up","Local Office","CBE","Roxanne")&amp;IF($Z308=6," - Final"," - Day "&amp;MAX(0,NETWORKDAYS($AA308,TODAY(),Holidays)-1)&amp;" of "&amp;CHOOSE($Z308,3,3,2,2,3))&amp;" | Total Day "&amp;MAX(0,NETWORKDAYS($N308,TODAY(),Holidays)-1))</f>
        <v/>
      </c>
      <c r="X308" s="18"/>
      <c r="Y308" s="18"/>
      <c r="Z308" s="17">
        <f>IF($N308="","",COUNT($N308:$S308))</f>
        <v/>
      </c>
      <c r="AA308" s="19">
        <f>IF($Z308="","",INT(INDEX($N308:$S308,$Z308)))</f>
        <v/>
      </c>
      <c r="AB308" s="19">
        <f>IF(OR($Z308="",$Z308=6),"",WORKDAY($AA308,CHOOSE($Z308,3,3,2,2,3),Holidays))</f>
        <v/>
      </c>
      <c r="AC308" s="17">
        <f>IF(OR($Z308="",$Z308=6),"",CHOOSE($Z308,"1st Email Follow-up","2nd Email Follow-up","Escalate Local Office","Escalate to CBE","Escalate to Roxanne"))</f>
        <v/>
      </c>
    </row>
    <row r="309" spans="13:29">
      <c r="M309" s="14"/>
      <c r="T309" s="16"/>
      <c r="U309" s="17">
        <f>IF(AND(COUNTA($A309:$L309)=0,$N309=""),"",IF($T309="Paid","PAID",IF($T309="Closed","CLOSED",IF($Z309="","",IF($Z309=6,"ESCALATED TO ROXANNE",IF(TODAY()&gt;$AB309,"OVERDUE",IF($AB309&lt;=WORKDAY(TODAY(),1,Holidays),"DUE TOMORROW",IF($Z309=4,"ESCALATED TO LOCAL OFFICE",IF($Z309=5,"ESCALATED TO CBE",IF($AA309=TODAY(),"EMAIL SENT","MONITORING"))))))))))</f>
        <v/>
      </c>
      <c r="V309" s="17">
        <f>IF($U309="",IF(AND(COUNTA($A309:$L309)&gt;0,$N309=""),"Awaiting Collection Email time stamp.",""),IF(OR($U309="PAID",$U309="CLOSED"),IF($U309="PAID","Account paid. Action completed.","Account closed. No further action required."),CHOOSE($Z309,"Collection Email","1st Email Follow-up","2nd Email Follow-up","Escalation to Local Office","Escalation to CBE","Escalation to Roxanne")&amp;" sent "&amp;TEXT($AA309,"dd-mmm")&amp;". "&amp;IF($Z309=6,"Final escalation completed.",IF($U309="OVERDUE","Next: "&amp;$AC309&amp;" was due "&amp;TEXT($AB309,"dd-mmm")&amp;" - "&amp;(NETWORKDAYS($AB309,TODAY(),Holidays)-1)&amp;" business day(s) late. Send now.",IF($U309="DUE TOMORROW","Next: "&amp;$AC309&amp;IF($AB309&lt;=TODAY()," is due TODAY ("," is due next business day (")&amp;TEXT($AB309,"dd-mmm")&amp;").","Next: "&amp;$AC309&amp;" due "&amp;TEXT($AB309,"dd-mmm")&amp;" ("&amp;(NETWORKDAYS(TODAY(),$AB309,Holidays)-1)&amp;" business day(s) left).")))))</f>
        <v/>
      </c>
      <c r="W309" s="17">
        <f>IF($Z309="","",CHOOSE($Z309,"Collection Email","1st Follow-up","2nd Follow-up","Local Office","CBE","Roxanne")&amp;IF($Z309=6," - Final"," - Day "&amp;MAX(0,NETWORKDAYS($AA309,TODAY(),Holidays)-1)&amp;" of "&amp;CHOOSE($Z309,3,3,2,2,3))&amp;" | Total Day "&amp;MAX(0,NETWORKDAYS($N309,TODAY(),Holidays)-1))</f>
        <v/>
      </c>
      <c r="X309" s="18"/>
      <c r="Y309" s="18"/>
      <c r="Z309" s="17">
        <f>IF($N309="","",COUNT($N309:$S309))</f>
        <v/>
      </c>
      <c r="AA309" s="19">
        <f>IF($Z309="","",INT(INDEX($N309:$S309,$Z309)))</f>
        <v/>
      </c>
      <c r="AB309" s="19">
        <f>IF(OR($Z309="",$Z309=6),"",WORKDAY($AA309,CHOOSE($Z309,3,3,2,2,3),Holidays))</f>
        <v/>
      </c>
      <c r="AC309" s="17">
        <f>IF(OR($Z309="",$Z309=6),"",CHOOSE($Z309,"1st Email Follow-up","2nd Email Follow-up","Escalate Local Office","Escalate to CBE","Escalate to Roxanne"))</f>
        <v/>
      </c>
    </row>
    <row r="310" spans="13:29">
      <c r="M310" s="14"/>
      <c r="T310" s="16"/>
      <c r="U310" s="17">
        <f>IF(AND(COUNTA($A310:$L310)=0,$N310=""),"",IF($T310="Paid","PAID",IF($T310="Closed","CLOSED",IF($Z310="","",IF($Z310=6,"ESCALATED TO ROXANNE",IF(TODAY()&gt;$AB310,"OVERDUE",IF($AB310&lt;=WORKDAY(TODAY(),1,Holidays),"DUE TOMORROW",IF($Z310=4,"ESCALATED TO LOCAL OFFICE",IF($Z310=5,"ESCALATED TO CBE",IF($AA310=TODAY(),"EMAIL SENT","MONITORING"))))))))))</f>
        <v/>
      </c>
      <c r="V310" s="17">
        <f>IF($U310="",IF(AND(COUNTA($A310:$L310)&gt;0,$N310=""),"Awaiting Collection Email time stamp.",""),IF(OR($U310="PAID",$U310="CLOSED"),IF($U310="PAID","Account paid. Action completed.","Account closed. No further action required."),CHOOSE($Z310,"Collection Email","1st Email Follow-up","2nd Email Follow-up","Escalation to Local Office","Escalation to CBE","Escalation to Roxanne")&amp;" sent "&amp;TEXT($AA310,"dd-mmm")&amp;". "&amp;IF($Z310=6,"Final escalation completed.",IF($U310="OVERDUE","Next: "&amp;$AC310&amp;" was due "&amp;TEXT($AB310,"dd-mmm")&amp;" - "&amp;(NETWORKDAYS($AB310,TODAY(),Holidays)-1)&amp;" business day(s) late. Send now.",IF($U310="DUE TOMORROW","Next: "&amp;$AC310&amp;IF($AB310&lt;=TODAY()," is due TODAY ("," is due next business day (")&amp;TEXT($AB310,"dd-mmm")&amp;").","Next: "&amp;$AC310&amp;" due "&amp;TEXT($AB310,"dd-mmm")&amp;" ("&amp;(NETWORKDAYS(TODAY(),$AB310,Holidays)-1)&amp;" business day(s) left).")))))</f>
        <v/>
      </c>
      <c r="W310" s="17">
        <f>IF($Z310="","",CHOOSE($Z310,"Collection Email","1st Follow-up","2nd Follow-up","Local Office","CBE","Roxanne")&amp;IF($Z310=6," - Final"," - Day "&amp;MAX(0,NETWORKDAYS($AA310,TODAY(),Holidays)-1)&amp;" of "&amp;CHOOSE($Z310,3,3,2,2,3))&amp;" | Total Day "&amp;MAX(0,NETWORKDAYS($N310,TODAY(),Holidays)-1))</f>
        <v/>
      </c>
      <c r="X310" s="18"/>
      <c r="Y310" s="18"/>
      <c r="Z310" s="17">
        <f>IF($N310="","",COUNT($N310:$S310))</f>
        <v/>
      </c>
      <c r="AA310" s="19">
        <f>IF($Z310="","",INT(INDEX($N310:$S310,$Z310)))</f>
        <v/>
      </c>
      <c r="AB310" s="19">
        <f>IF(OR($Z310="",$Z310=6),"",WORKDAY($AA310,CHOOSE($Z310,3,3,2,2,3),Holidays))</f>
        <v/>
      </c>
      <c r="AC310" s="17">
        <f>IF(OR($Z310="",$Z310=6),"",CHOOSE($Z310,"1st Email Follow-up","2nd Email Follow-up","Escalate Local Office","Escalate to CBE","Escalate to Roxanne"))</f>
        <v/>
      </c>
    </row>
    <row r="311" spans="13:29">
      <c r="M311" s="14"/>
      <c r="T311" s="16"/>
      <c r="U311" s="17">
        <f>IF(AND(COUNTA($A311:$L311)=0,$N311=""),"",IF($T311="Paid","PAID",IF($T311="Closed","CLOSED",IF($Z311="","",IF($Z311=6,"ESCALATED TO ROXANNE",IF(TODAY()&gt;$AB311,"OVERDUE",IF($AB311&lt;=WORKDAY(TODAY(),1,Holidays),"DUE TOMORROW",IF($Z311=4,"ESCALATED TO LOCAL OFFICE",IF($Z311=5,"ESCALATED TO CBE",IF($AA311=TODAY(),"EMAIL SENT","MONITORING"))))))))))</f>
        <v/>
      </c>
      <c r="V311" s="17">
        <f>IF($U311="",IF(AND(COUNTA($A311:$L311)&gt;0,$N311=""),"Awaiting Collection Email time stamp.",""),IF(OR($U311="PAID",$U311="CLOSED"),IF($U311="PAID","Account paid. Action completed.","Account closed. No further action required."),CHOOSE($Z311,"Collection Email","1st Email Follow-up","2nd Email Follow-up","Escalation to Local Office","Escalation to CBE","Escalation to Roxanne")&amp;" sent "&amp;TEXT($AA311,"dd-mmm")&amp;". "&amp;IF($Z311=6,"Final escalation completed.",IF($U311="OVERDUE","Next: "&amp;$AC311&amp;" was due "&amp;TEXT($AB311,"dd-mmm")&amp;" - "&amp;(NETWORKDAYS($AB311,TODAY(),Holidays)-1)&amp;" business day(s) late. Send now.",IF($U311="DUE TOMORROW","Next: "&amp;$AC311&amp;IF($AB311&lt;=TODAY()," is due TODAY ("," is due next business day (")&amp;TEXT($AB311,"dd-mmm")&amp;").","Next: "&amp;$AC311&amp;" due "&amp;TEXT($AB311,"dd-mmm")&amp;" ("&amp;(NETWORKDAYS(TODAY(),$AB311,Holidays)-1)&amp;" business day(s) left).")))))</f>
        <v/>
      </c>
      <c r="W311" s="17">
        <f>IF($Z311="","",CHOOSE($Z311,"Collection Email","1st Follow-up","2nd Follow-up","Local Office","CBE","Roxanne")&amp;IF($Z311=6," - Final"," - Day "&amp;MAX(0,NETWORKDAYS($AA311,TODAY(),Holidays)-1)&amp;" of "&amp;CHOOSE($Z311,3,3,2,2,3))&amp;" | Total Day "&amp;MAX(0,NETWORKDAYS($N311,TODAY(),Holidays)-1))</f>
        <v/>
      </c>
      <c r="X311" s="18"/>
      <c r="Y311" s="18"/>
      <c r="Z311" s="17">
        <f>IF($N311="","",COUNT($N311:$S311))</f>
        <v/>
      </c>
      <c r="AA311" s="19">
        <f>IF($Z311="","",INT(INDEX($N311:$S311,$Z311)))</f>
        <v/>
      </c>
      <c r="AB311" s="19">
        <f>IF(OR($Z311="",$Z311=6),"",WORKDAY($AA311,CHOOSE($Z311,3,3,2,2,3),Holidays))</f>
        <v/>
      </c>
      <c r="AC311" s="17">
        <f>IF(OR($Z311="",$Z311=6),"",CHOOSE($Z311,"1st Email Follow-up","2nd Email Follow-up","Escalate Local Office","Escalate to CBE","Escalate to Roxanne"))</f>
        <v/>
      </c>
    </row>
    <row r="312" spans="13:29">
      <c r="M312" s="14"/>
      <c r="T312" s="16"/>
      <c r="U312" s="17">
        <f>IF(AND(COUNTA($A312:$L312)=0,$N312=""),"",IF($T312="Paid","PAID",IF($T312="Closed","CLOSED",IF($Z312="","",IF($Z312=6,"ESCALATED TO ROXANNE",IF(TODAY()&gt;$AB312,"OVERDUE",IF($AB312&lt;=WORKDAY(TODAY(),1,Holidays),"DUE TOMORROW",IF($Z312=4,"ESCALATED TO LOCAL OFFICE",IF($Z312=5,"ESCALATED TO CBE",IF($AA312=TODAY(),"EMAIL SENT","MONITORING"))))))))))</f>
        <v/>
      </c>
      <c r="V312" s="17">
        <f>IF($U312="",IF(AND(COUNTA($A312:$L312)&gt;0,$N312=""),"Awaiting Collection Email time stamp.",""),IF(OR($U312="PAID",$U312="CLOSED"),IF($U312="PAID","Account paid. Action completed.","Account closed. No further action required."),CHOOSE($Z312,"Collection Email","1st Email Follow-up","2nd Email Follow-up","Escalation to Local Office","Escalation to CBE","Escalation to Roxanne")&amp;" sent "&amp;TEXT($AA312,"dd-mmm")&amp;". "&amp;IF($Z312=6,"Final escalation completed.",IF($U312="OVERDUE","Next: "&amp;$AC312&amp;" was due "&amp;TEXT($AB312,"dd-mmm")&amp;" - "&amp;(NETWORKDAYS($AB312,TODAY(),Holidays)-1)&amp;" business day(s) late. Send now.",IF($U312="DUE TOMORROW","Next: "&amp;$AC312&amp;IF($AB312&lt;=TODAY()," is due TODAY ("," is due next business day (")&amp;TEXT($AB312,"dd-mmm")&amp;").","Next: "&amp;$AC312&amp;" due "&amp;TEXT($AB312,"dd-mmm")&amp;" ("&amp;(NETWORKDAYS(TODAY(),$AB312,Holidays)-1)&amp;" business day(s) left).")))))</f>
        <v/>
      </c>
      <c r="W312" s="17">
        <f>IF($Z312="","",CHOOSE($Z312,"Collection Email","1st Follow-up","2nd Follow-up","Local Office","CBE","Roxanne")&amp;IF($Z312=6," - Final"," - Day "&amp;MAX(0,NETWORKDAYS($AA312,TODAY(),Holidays)-1)&amp;" of "&amp;CHOOSE($Z312,3,3,2,2,3))&amp;" | Total Day "&amp;MAX(0,NETWORKDAYS($N312,TODAY(),Holidays)-1))</f>
        <v/>
      </c>
      <c r="X312" s="18"/>
      <c r="Y312" s="18"/>
      <c r="Z312" s="17">
        <f>IF($N312="","",COUNT($N312:$S312))</f>
        <v/>
      </c>
      <c r="AA312" s="19">
        <f>IF($Z312="","",INT(INDEX($N312:$S312,$Z312)))</f>
        <v/>
      </c>
      <c r="AB312" s="19">
        <f>IF(OR($Z312="",$Z312=6),"",WORKDAY($AA312,CHOOSE($Z312,3,3,2,2,3),Holidays))</f>
        <v/>
      </c>
      <c r="AC312" s="17">
        <f>IF(OR($Z312="",$Z312=6),"",CHOOSE($Z312,"1st Email Follow-up","2nd Email Follow-up","Escalate Local Office","Escalate to CBE","Escalate to Roxanne"))</f>
        <v/>
      </c>
    </row>
    <row r="313" spans="13:29">
      <c r="M313" s="14"/>
      <c r="T313" s="16"/>
      <c r="U313" s="17">
        <f>IF(AND(COUNTA($A313:$L313)=0,$N313=""),"",IF($T313="Paid","PAID",IF($T313="Closed","CLOSED",IF($Z313="","",IF($Z313=6,"ESCALATED TO ROXANNE",IF(TODAY()&gt;$AB313,"OVERDUE",IF($AB313&lt;=WORKDAY(TODAY(),1,Holidays),"DUE TOMORROW",IF($Z313=4,"ESCALATED TO LOCAL OFFICE",IF($Z313=5,"ESCALATED TO CBE",IF($AA313=TODAY(),"EMAIL SENT","MONITORING"))))))))))</f>
        <v/>
      </c>
      <c r="V313" s="17">
        <f>IF($U313="",IF(AND(COUNTA($A313:$L313)&gt;0,$N313=""),"Awaiting Collection Email time stamp.",""),IF(OR($U313="PAID",$U313="CLOSED"),IF($U313="PAID","Account paid. Action completed.","Account closed. No further action required."),CHOOSE($Z313,"Collection Email","1st Email Follow-up","2nd Email Follow-up","Escalation to Local Office","Escalation to CBE","Escalation to Roxanne")&amp;" sent "&amp;TEXT($AA313,"dd-mmm")&amp;". "&amp;IF($Z313=6,"Final escalation completed.",IF($U313="OVERDUE","Next: "&amp;$AC313&amp;" was due "&amp;TEXT($AB313,"dd-mmm")&amp;" - "&amp;(NETWORKDAYS($AB313,TODAY(),Holidays)-1)&amp;" business day(s) late. Send now.",IF($U313="DUE TOMORROW","Next: "&amp;$AC313&amp;IF($AB313&lt;=TODAY()," is due TODAY ("," is due next business day (")&amp;TEXT($AB313,"dd-mmm")&amp;").","Next: "&amp;$AC313&amp;" due "&amp;TEXT($AB313,"dd-mmm")&amp;" ("&amp;(NETWORKDAYS(TODAY(),$AB313,Holidays)-1)&amp;" business day(s) left).")))))</f>
        <v/>
      </c>
      <c r="W313" s="17">
        <f>IF($Z313="","",CHOOSE($Z313,"Collection Email","1st Follow-up","2nd Follow-up","Local Office","CBE","Roxanne")&amp;IF($Z313=6," - Final"," - Day "&amp;MAX(0,NETWORKDAYS($AA313,TODAY(),Holidays)-1)&amp;" of "&amp;CHOOSE($Z313,3,3,2,2,3))&amp;" | Total Day "&amp;MAX(0,NETWORKDAYS($N313,TODAY(),Holidays)-1))</f>
        <v/>
      </c>
      <c r="X313" s="18"/>
      <c r="Y313" s="18"/>
      <c r="Z313" s="17">
        <f>IF($N313="","",COUNT($N313:$S313))</f>
        <v/>
      </c>
      <c r="AA313" s="19">
        <f>IF($Z313="","",INT(INDEX($N313:$S313,$Z313)))</f>
        <v/>
      </c>
      <c r="AB313" s="19">
        <f>IF(OR($Z313="",$Z313=6),"",WORKDAY($AA313,CHOOSE($Z313,3,3,2,2,3),Holidays))</f>
        <v/>
      </c>
      <c r="AC313" s="17">
        <f>IF(OR($Z313="",$Z313=6),"",CHOOSE($Z313,"1st Email Follow-up","2nd Email Follow-up","Escalate Local Office","Escalate to CBE","Escalate to Roxanne"))</f>
        <v/>
      </c>
    </row>
    <row r="314" spans="13:29">
      <c r="M314" s="14"/>
      <c r="T314" s="16"/>
      <c r="U314" s="17">
        <f>IF(AND(COUNTA($A314:$L314)=0,$N314=""),"",IF($T314="Paid","PAID",IF($T314="Closed","CLOSED",IF($Z314="","",IF($Z314=6,"ESCALATED TO ROXANNE",IF(TODAY()&gt;$AB314,"OVERDUE",IF($AB314&lt;=WORKDAY(TODAY(),1,Holidays),"DUE TOMORROW",IF($Z314=4,"ESCALATED TO LOCAL OFFICE",IF($Z314=5,"ESCALATED TO CBE",IF($AA314=TODAY(),"EMAIL SENT","MONITORING"))))))))))</f>
        <v/>
      </c>
      <c r="V314" s="17">
        <f>IF($U314="",IF(AND(COUNTA($A314:$L314)&gt;0,$N314=""),"Awaiting Collection Email time stamp.",""),IF(OR($U314="PAID",$U314="CLOSED"),IF($U314="PAID","Account paid. Action completed.","Account closed. No further action required."),CHOOSE($Z314,"Collection Email","1st Email Follow-up","2nd Email Follow-up","Escalation to Local Office","Escalation to CBE","Escalation to Roxanne")&amp;" sent "&amp;TEXT($AA314,"dd-mmm")&amp;". "&amp;IF($Z314=6,"Final escalation completed.",IF($U314="OVERDUE","Next: "&amp;$AC314&amp;" was due "&amp;TEXT($AB314,"dd-mmm")&amp;" - "&amp;(NETWORKDAYS($AB314,TODAY(),Holidays)-1)&amp;" business day(s) late. Send now.",IF($U314="DUE TOMORROW","Next: "&amp;$AC314&amp;IF($AB314&lt;=TODAY()," is due TODAY ("," is due next business day (")&amp;TEXT($AB314,"dd-mmm")&amp;").","Next: "&amp;$AC314&amp;" due "&amp;TEXT($AB314,"dd-mmm")&amp;" ("&amp;(NETWORKDAYS(TODAY(),$AB314,Holidays)-1)&amp;" business day(s) left).")))))</f>
        <v/>
      </c>
      <c r="W314" s="17">
        <f>IF($Z314="","",CHOOSE($Z314,"Collection Email","1st Follow-up","2nd Follow-up","Local Office","CBE","Roxanne")&amp;IF($Z314=6," - Final"," - Day "&amp;MAX(0,NETWORKDAYS($AA314,TODAY(),Holidays)-1)&amp;" of "&amp;CHOOSE($Z314,3,3,2,2,3))&amp;" | Total Day "&amp;MAX(0,NETWORKDAYS($N314,TODAY(),Holidays)-1))</f>
        <v/>
      </c>
      <c r="X314" s="18"/>
      <c r="Y314" s="18"/>
      <c r="Z314" s="17">
        <f>IF($N314="","",COUNT($N314:$S314))</f>
        <v/>
      </c>
      <c r="AA314" s="19">
        <f>IF($Z314="","",INT(INDEX($N314:$S314,$Z314)))</f>
        <v/>
      </c>
      <c r="AB314" s="19">
        <f>IF(OR($Z314="",$Z314=6),"",WORKDAY($AA314,CHOOSE($Z314,3,3,2,2,3),Holidays))</f>
        <v/>
      </c>
      <c r="AC314" s="17">
        <f>IF(OR($Z314="",$Z314=6),"",CHOOSE($Z314,"1st Email Follow-up","2nd Email Follow-up","Escalate Local Office","Escalate to CBE","Escalate to Roxanne"))</f>
        <v/>
      </c>
    </row>
    <row r="315" spans="13:29">
      <c r="M315" s="14"/>
      <c r="T315" s="16"/>
      <c r="U315" s="17">
        <f>IF(AND(COUNTA($A315:$L315)=0,$N315=""),"",IF($T315="Paid","PAID",IF($T315="Closed","CLOSED",IF($Z315="","",IF($Z315=6,"ESCALATED TO ROXANNE",IF(TODAY()&gt;$AB315,"OVERDUE",IF($AB315&lt;=WORKDAY(TODAY(),1,Holidays),"DUE TOMORROW",IF($Z315=4,"ESCALATED TO LOCAL OFFICE",IF($Z315=5,"ESCALATED TO CBE",IF($AA315=TODAY(),"EMAIL SENT","MONITORING"))))))))))</f>
        <v/>
      </c>
      <c r="V315" s="17">
        <f>IF($U315="",IF(AND(COUNTA($A315:$L315)&gt;0,$N315=""),"Awaiting Collection Email time stamp.",""),IF(OR($U315="PAID",$U315="CLOSED"),IF($U315="PAID","Account paid. Action completed.","Account closed. No further action required."),CHOOSE($Z315,"Collection Email","1st Email Follow-up","2nd Email Follow-up","Escalation to Local Office","Escalation to CBE","Escalation to Roxanne")&amp;" sent "&amp;TEXT($AA315,"dd-mmm")&amp;". "&amp;IF($Z315=6,"Final escalation completed.",IF($U315="OVERDUE","Next: "&amp;$AC315&amp;" was due "&amp;TEXT($AB315,"dd-mmm")&amp;" - "&amp;(NETWORKDAYS($AB315,TODAY(),Holidays)-1)&amp;" business day(s) late. Send now.",IF($U315="DUE TOMORROW","Next: "&amp;$AC315&amp;IF($AB315&lt;=TODAY()," is due TODAY ("," is due next business day (")&amp;TEXT($AB315,"dd-mmm")&amp;").","Next: "&amp;$AC315&amp;" due "&amp;TEXT($AB315,"dd-mmm")&amp;" ("&amp;(NETWORKDAYS(TODAY(),$AB315,Holidays)-1)&amp;" business day(s) left).")))))</f>
        <v/>
      </c>
      <c r="W315" s="17">
        <f>IF($Z315="","",CHOOSE($Z315,"Collection Email","1st Follow-up","2nd Follow-up","Local Office","CBE","Roxanne")&amp;IF($Z315=6," - Final"," - Day "&amp;MAX(0,NETWORKDAYS($AA315,TODAY(),Holidays)-1)&amp;" of "&amp;CHOOSE($Z315,3,3,2,2,3))&amp;" | Total Day "&amp;MAX(0,NETWORKDAYS($N315,TODAY(),Holidays)-1))</f>
        <v/>
      </c>
      <c r="X315" s="18"/>
      <c r="Y315" s="18"/>
      <c r="Z315" s="17">
        <f>IF($N315="","",COUNT($N315:$S315))</f>
        <v/>
      </c>
      <c r="AA315" s="19">
        <f>IF($Z315="","",INT(INDEX($N315:$S315,$Z315)))</f>
        <v/>
      </c>
      <c r="AB315" s="19">
        <f>IF(OR($Z315="",$Z315=6),"",WORKDAY($AA315,CHOOSE($Z315,3,3,2,2,3),Holidays))</f>
        <v/>
      </c>
      <c r="AC315" s="17">
        <f>IF(OR($Z315="",$Z315=6),"",CHOOSE($Z315,"1st Email Follow-up","2nd Email Follow-up","Escalate Local Office","Escalate to CBE","Escalate to Roxanne"))</f>
        <v/>
      </c>
    </row>
    <row r="316" spans="13:29">
      <c r="M316" s="14"/>
      <c r="T316" s="16"/>
      <c r="U316" s="17">
        <f>IF(AND(COUNTA($A316:$L316)=0,$N316=""),"",IF($T316="Paid","PAID",IF($T316="Closed","CLOSED",IF($Z316="","",IF($Z316=6,"ESCALATED TO ROXANNE",IF(TODAY()&gt;$AB316,"OVERDUE",IF($AB316&lt;=WORKDAY(TODAY(),1,Holidays),"DUE TOMORROW",IF($Z316=4,"ESCALATED TO LOCAL OFFICE",IF($Z316=5,"ESCALATED TO CBE",IF($AA316=TODAY(),"EMAIL SENT","MONITORING"))))))))))</f>
        <v/>
      </c>
      <c r="V316" s="17">
        <f>IF($U316="",IF(AND(COUNTA($A316:$L316)&gt;0,$N316=""),"Awaiting Collection Email time stamp.",""),IF(OR($U316="PAID",$U316="CLOSED"),IF($U316="PAID","Account paid. Action completed.","Account closed. No further action required."),CHOOSE($Z316,"Collection Email","1st Email Follow-up","2nd Email Follow-up","Escalation to Local Office","Escalation to CBE","Escalation to Roxanne")&amp;" sent "&amp;TEXT($AA316,"dd-mmm")&amp;". "&amp;IF($Z316=6,"Final escalation completed.",IF($U316="OVERDUE","Next: "&amp;$AC316&amp;" was due "&amp;TEXT($AB316,"dd-mmm")&amp;" - "&amp;(NETWORKDAYS($AB316,TODAY(),Holidays)-1)&amp;" business day(s) late. Send now.",IF($U316="DUE TOMORROW","Next: "&amp;$AC316&amp;IF($AB316&lt;=TODAY()," is due TODAY ("," is due next business day (")&amp;TEXT($AB316,"dd-mmm")&amp;").","Next: "&amp;$AC316&amp;" due "&amp;TEXT($AB316,"dd-mmm")&amp;" ("&amp;(NETWORKDAYS(TODAY(),$AB316,Holidays)-1)&amp;" business day(s) left).")))))</f>
        <v/>
      </c>
      <c r="W316" s="17">
        <f>IF($Z316="","",CHOOSE($Z316,"Collection Email","1st Follow-up","2nd Follow-up","Local Office","CBE","Roxanne")&amp;IF($Z316=6," - Final"," - Day "&amp;MAX(0,NETWORKDAYS($AA316,TODAY(),Holidays)-1)&amp;" of "&amp;CHOOSE($Z316,3,3,2,2,3))&amp;" | Total Day "&amp;MAX(0,NETWORKDAYS($N316,TODAY(),Holidays)-1))</f>
        <v/>
      </c>
      <c r="X316" s="18"/>
      <c r="Y316" s="18"/>
      <c r="Z316" s="17">
        <f>IF($N316="","",COUNT($N316:$S316))</f>
        <v/>
      </c>
      <c r="AA316" s="19">
        <f>IF($Z316="","",INT(INDEX($N316:$S316,$Z316)))</f>
        <v/>
      </c>
      <c r="AB316" s="19">
        <f>IF(OR($Z316="",$Z316=6),"",WORKDAY($AA316,CHOOSE($Z316,3,3,2,2,3),Holidays))</f>
        <v/>
      </c>
      <c r="AC316" s="17">
        <f>IF(OR($Z316="",$Z316=6),"",CHOOSE($Z316,"1st Email Follow-up","2nd Email Follow-up","Escalate Local Office","Escalate to CBE","Escalate to Roxanne"))</f>
        <v/>
      </c>
    </row>
    <row r="317" spans="13:29">
      <c r="M317" s="14"/>
      <c r="T317" s="16"/>
      <c r="U317" s="17">
        <f>IF(AND(COUNTA($A317:$L317)=0,$N317=""),"",IF($T317="Paid","PAID",IF($T317="Closed","CLOSED",IF($Z317="","",IF($Z317=6,"ESCALATED TO ROXANNE",IF(TODAY()&gt;$AB317,"OVERDUE",IF($AB317&lt;=WORKDAY(TODAY(),1,Holidays),"DUE TOMORROW",IF($Z317=4,"ESCALATED TO LOCAL OFFICE",IF($Z317=5,"ESCALATED TO CBE",IF($AA317=TODAY(),"EMAIL SENT","MONITORING"))))))))))</f>
        <v/>
      </c>
      <c r="V317" s="17">
        <f>IF($U317="",IF(AND(COUNTA($A317:$L317)&gt;0,$N317=""),"Awaiting Collection Email time stamp.",""),IF(OR($U317="PAID",$U317="CLOSED"),IF($U317="PAID","Account paid. Action completed.","Account closed. No further action required."),CHOOSE($Z317,"Collection Email","1st Email Follow-up","2nd Email Follow-up","Escalation to Local Office","Escalation to CBE","Escalation to Roxanne")&amp;" sent "&amp;TEXT($AA317,"dd-mmm")&amp;". "&amp;IF($Z317=6,"Final escalation completed.",IF($U317="OVERDUE","Next: "&amp;$AC317&amp;" was due "&amp;TEXT($AB317,"dd-mmm")&amp;" - "&amp;(NETWORKDAYS($AB317,TODAY(),Holidays)-1)&amp;" business day(s) late. Send now.",IF($U317="DUE TOMORROW","Next: "&amp;$AC317&amp;IF($AB317&lt;=TODAY()," is due TODAY ("," is due next business day (")&amp;TEXT($AB317,"dd-mmm")&amp;").","Next: "&amp;$AC317&amp;" due "&amp;TEXT($AB317,"dd-mmm")&amp;" ("&amp;(NETWORKDAYS(TODAY(),$AB317,Holidays)-1)&amp;" business day(s) left).")))))</f>
        <v/>
      </c>
      <c r="W317" s="17">
        <f>IF($Z317="","",CHOOSE($Z317,"Collection Email","1st Follow-up","2nd Follow-up","Local Office","CBE","Roxanne")&amp;IF($Z317=6," - Final"," - Day "&amp;MAX(0,NETWORKDAYS($AA317,TODAY(),Holidays)-1)&amp;" of "&amp;CHOOSE($Z317,3,3,2,2,3))&amp;" | Total Day "&amp;MAX(0,NETWORKDAYS($N317,TODAY(),Holidays)-1))</f>
        <v/>
      </c>
      <c r="X317" s="18"/>
      <c r="Y317" s="18"/>
      <c r="Z317" s="17">
        <f>IF($N317="","",COUNT($N317:$S317))</f>
        <v/>
      </c>
      <c r="AA317" s="19">
        <f>IF($Z317="","",INT(INDEX($N317:$S317,$Z317)))</f>
        <v/>
      </c>
      <c r="AB317" s="19">
        <f>IF(OR($Z317="",$Z317=6),"",WORKDAY($AA317,CHOOSE($Z317,3,3,2,2,3),Holidays))</f>
        <v/>
      </c>
      <c r="AC317" s="17">
        <f>IF(OR($Z317="",$Z317=6),"",CHOOSE($Z317,"1st Email Follow-up","2nd Email Follow-up","Escalate Local Office","Escalate to CBE","Escalate to Roxanne"))</f>
        <v/>
      </c>
    </row>
    <row r="318" spans="13:29">
      <c r="M318" s="14"/>
      <c r="T318" s="16"/>
      <c r="U318" s="17">
        <f>IF(AND(COUNTA($A318:$L318)=0,$N318=""),"",IF($T318="Paid","PAID",IF($T318="Closed","CLOSED",IF($Z318="","",IF($Z318=6,"ESCALATED TO ROXANNE",IF(TODAY()&gt;$AB318,"OVERDUE",IF($AB318&lt;=WORKDAY(TODAY(),1,Holidays),"DUE TOMORROW",IF($Z318=4,"ESCALATED TO LOCAL OFFICE",IF($Z318=5,"ESCALATED TO CBE",IF($AA318=TODAY(),"EMAIL SENT","MONITORING"))))))))))</f>
        <v/>
      </c>
      <c r="V318" s="17">
        <f>IF($U318="",IF(AND(COUNTA($A318:$L318)&gt;0,$N318=""),"Awaiting Collection Email time stamp.",""),IF(OR($U318="PAID",$U318="CLOSED"),IF($U318="PAID","Account paid. Action completed.","Account closed. No further action required."),CHOOSE($Z318,"Collection Email","1st Email Follow-up","2nd Email Follow-up","Escalation to Local Office","Escalation to CBE","Escalation to Roxanne")&amp;" sent "&amp;TEXT($AA318,"dd-mmm")&amp;". "&amp;IF($Z318=6,"Final escalation completed.",IF($U318="OVERDUE","Next: "&amp;$AC318&amp;" was due "&amp;TEXT($AB318,"dd-mmm")&amp;" - "&amp;(NETWORKDAYS($AB318,TODAY(),Holidays)-1)&amp;" business day(s) late. Send now.",IF($U318="DUE TOMORROW","Next: "&amp;$AC318&amp;IF($AB318&lt;=TODAY()," is due TODAY ("," is due next business day (")&amp;TEXT($AB318,"dd-mmm")&amp;").","Next: "&amp;$AC318&amp;" due "&amp;TEXT($AB318,"dd-mmm")&amp;" ("&amp;(NETWORKDAYS(TODAY(),$AB318,Holidays)-1)&amp;" business day(s) left).")))))</f>
        <v/>
      </c>
      <c r="W318" s="17">
        <f>IF($Z318="","",CHOOSE($Z318,"Collection Email","1st Follow-up","2nd Follow-up","Local Office","CBE","Roxanne")&amp;IF($Z318=6," - Final"," - Day "&amp;MAX(0,NETWORKDAYS($AA318,TODAY(),Holidays)-1)&amp;" of "&amp;CHOOSE($Z318,3,3,2,2,3))&amp;" | Total Day "&amp;MAX(0,NETWORKDAYS($N318,TODAY(),Holidays)-1))</f>
        <v/>
      </c>
      <c r="X318" s="18"/>
      <c r="Y318" s="18"/>
      <c r="Z318" s="17">
        <f>IF($N318="","",COUNT($N318:$S318))</f>
        <v/>
      </c>
      <c r="AA318" s="19">
        <f>IF($Z318="","",INT(INDEX($N318:$S318,$Z318)))</f>
        <v/>
      </c>
      <c r="AB318" s="19">
        <f>IF(OR($Z318="",$Z318=6),"",WORKDAY($AA318,CHOOSE($Z318,3,3,2,2,3),Holidays))</f>
        <v/>
      </c>
      <c r="AC318" s="17">
        <f>IF(OR($Z318="",$Z318=6),"",CHOOSE($Z318,"1st Email Follow-up","2nd Email Follow-up","Escalate Local Office","Escalate to CBE","Escalate to Roxanne"))</f>
        <v/>
      </c>
    </row>
    <row r="319" spans="13:29">
      <c r="M319" s="14"/>
      <c r="T319" s="16"/>
      <c r="U319" s="17">
        <f>IF(AND(COUNTA($A319:$L319)=0,$N319=""),"",IF($T319="Paid","PAID",IF($T319="Closed","CLOSED",IF($Z319="","",IF($Z319=6,"ESCALATED TO ROXANNE",IF(TODAY()&gt;$AB319,"OVERDUE",IF($AB319&lt;=WORKDAY(TODAY(),1,Holidays),"DUE TOMORROW",IF($Z319=4,"ESCALATED TO LOCAL OFFICE",IF($Z319=5,"ESCALATED TO CBE",IF($AA319=TODAY(),"EMAIL SENT","MONITORING"))))))))))</f>
        <v/>
      </c>
      <c r="V319" s="17">
        <f>IF($U319="",IF(AND(COUNTA($A319:$L319)&gt;0,$N319=""),"Awaiting Collection Email time stamp.",""),IF(OR($U319="PAID",$U319="CLOSED"),IF($U319="PAID","Account paid. Action completed.","Account closed. No further action required."),CHOOSE($Z319,"Collection Email","1st Email Follow-up","2nd Email Follow-up","Escalation to Local Office","Escalation to CBE","Escalation to Roxanne")&amp;" sent "&amp;TEXT($AA319,"dd-mmm")&amp;". "&amp;IF($Z319=6,"Final escalation completed.",IF($U319="OVERDUE","Next: "&amp;$AC319&amp;" was due "&amp;TEXT($AB319,"dd-mmm")&amp;" - "&amp;(NETWORKDAYS($AB319,TODAY(),Holidays)-1)&amp;" business day(s) late. Send now.",IF($U319="DUE TOMORROW","Next: "&amp;$AC319&amp;IF($AB319&lt;=TODAY()," is due TODAY ("," is due next business day (")&amp;TEXT($AB319,"dd-mmm")&amp;").","Next: "&amp;$AC319&amp;" due "&amp;TEXT($AB319,"dd-mmm")&amp;" ("&amp;(NETWORKDAYS(TODAY(),$AB319,Holidays)-1)&amp;" business day(s) left).")))))</f>
        <v/>
      </c>
      <c r="W319" s="17">
        <f>IF($Z319="","",CHOOSE($Z319,"Collection Email","1st Follow-up","2nd Follow-up","Local Office","CBE","Roxanne")&amp;IF($Z319=6," - Final"," - Day "&amp;MAX(0,NETWORKDAYS($AA319,TODAY(),Holidays)-1)&amp;" of "&amp;CHOOSE($Z319,3,3,2,2,3))&amp;" | Total Day "&amp;MAX(0,NETWORKDAYS($N319,TODAY(),Holidays)-1))</f>
        <v/>
      </c>
      <c r="X319" s="18"/>
      <c r="Y319" s="18"/>
      <c r="Z319" s="17">
        <f>IF($N319="","",COUNT($N319:$S319))</f>
        <v/>
      </c>
      <c r="AA319" s="19">
        <f>IF($Z319="","",INT(INDEX($N319:$S319,$Z319)))</f>
        <v/>
      </c>
      <c r="AB319" s="19">
        <f>IF(OR($Z319="",$Z319=6),"",WORKDAY($AA319,CHOOSE($Z319,3,3,2,2,3),Holidays))</f>
        <v/>
      </c>
      <c r="AC319" s="17">
        <f>IF(OR($Z319="",$Z319=6),"",CHOOSE($Z319,"1st Email Follow-up","2nd Email Follow-up","Escalate Local Office","Escalate to CBE","Escalate to Roxanne"))</f>
        <v/>
      </c>
    </row>
    <row r="320" spans="13:29">
      <c r="M320" s="14"/>
      <c r="T320" s="16"/>
      <c r="U320" s="17">
        <f>IF(AND(COUNTA($A320:$L320)=0,$N320=""),"",IF($T320="Paid","PAID",IF($T320="Closed","CLOSED",IF($Z320="","",IF($Z320=6,"ESCALATED TO ROXANNE",IF(TODAY()&gt;$AB320,"OVERDUE",IF($AB320&lt;=WORKDAY(TODAY(),1,Holidays),"DUE TOMORROW",IF($Z320=4,"ESCALATED TO LOCAL OFFICE",IF($Z320=5,"ESCALATED TO CBE",IF($AA320=TODAY(),"EMAIL SENT","MONITORING"))))))))))</f>
        <v/>
      </c>
      <c r="V320" s="17">
        <f>IF($U320="",IF(AND(COUNTA($A320:$L320)&gt;0,$N320=""),"Awaiting Collection Email time stamp.",""),IF(OR($U320="PAID",$U320="CLOSED"),IF($U320="PAID","Account paid. Action completed.","Account closed. No further action required."),CHOOSE($Z320,"Collection Email","1st Email Follow-up","2nd Email Follow-up","Escalation to Local Office","Escalation to CBE","Escalation to Roxanne")&amp;" sent "&amp;TEXT($AA320,"dd-mmm")&amp;". "&amp;IF($Z320=6,"Final escalation completed.",IF($U320="OVERDUE","Next: "&amp;$AC320&amp;" was due "&amp;TEXT($AB320,"dd-mmm")&amp;" - "&amp;(NETWORKDAYS($AB320,TODAY(),Holidays)-1)&amp;" business day(s) late. Send now.",IF($U320="DUE TOMORROW","Next: "&amp;$AC320&amp;IF($AB320&lt;=TODAY()," is due TODAY ("," is due next business day (")&amp;TEXT($AB320,"dd-mmm")&amp;").","Next: "&amp;$AC320&amp;" due "&amp;TEXT($AB320,"dd-mmm")&amp;" ("&amp;(NETWORKDAYS(TODAY(),$AB320,Holidays)-1)&amp;" business day(s) left).")))))</f>
        <v/>
      </c>
      <c r="W320" s="17">
        <f>IF($Z320="","",CHOOSE($Z320,"Collection Email","1st Follow-up","2nd Follow-up","Local Office","CBE","Roxanne")&amp;IF($Z320=6," - Final"," - Day "&amp;MAX(0,NETWORKDAYS($AA320,TODAY(),Holidays)-1)&amp;" of "&amp;CHOOSE($Z320,3,3,2,2,3))&amp;" | Total Day "&amp;MAX(0,NETWORKDAYS($N320,TODAY(),Holidays)-1))</f>
        <v/>
      </c>
      <c r="X320" s="18"/>
      <c r="Y320" s="18"/>
      <c r="Z320" s="17">
        <f>IF($N320="","",COUNT($N320:$S320))</f>
        <v/>
      </c>
      <c r="AA320" s="19">
        <f>IF($Z320="","",INT(INDEX($N320:$S320,$Z320)))</f>
        <v/>
      </c>
      <c r="AB320" s="19">
        <f>IF(OR($Z320="",$Z320=6),"",WORKDAY($AA320,CHOOSE($Z320,3,3,2,2,3),Holidays))</f>
        <v/>
      </c>
      <c r="AC320" s="17">
        <f>IF(OR($Z320="",$Z320=6),"",CHOOSE($Z320,"1st Email Follow-up","2nd Email Follow-up","Escalate Local Office","Escalate to CBE","Escalate to Roxanne"))</f>
        <v/>
      </c>
    </row>
    <row r="321" spans="13:29">
      <c r="M321" s="14"/>
      <c r="T321" s="16"/>
      <c r="U321" s="17">
        <f>IF(AND(COUNTA($A321:$L321)=0,$N321=""),"",IF($T321="Paid","PAID",IF($T321="Closed","CLOSED",IF($Z321="","",IF($Z321=6,"ESCALATED TO ROXANNE",IF(TODAY()&gt;$AB321,"OVERDUE",IF($AB321&lt;=WORKDAY(TODAY(),1,Holidays),"DUE TOMORROW",IF($Z321=4,"ESCALATED TO LOCAL OFFICE",IF($Z321=5,"ESCALATED TO CBE",IF($AA321=TODAY(),"EMAIL SENT","MONITORING"))))))))))</f>
        <v/>
      </c>
      <c r="V321" s="17">
        <f>IF($U321="",IF(AND(COUNTA($A321:$L321)&gt;0,$N321=""),"Awaiting Collection Email time stamp.",""),IF(OR($U321="PAID",$U321="CLOSED"),IF($U321="PAID","Account paid. Action completed.","Account closed. No further action required."),CHOOSE($Z321,"Collection Email","1st Email Follow-up","2nd Email Follow-up","Escalation to Local Office","Escalation to CBE","Escalation to Roxanne")&amp;" sent "&amp;TEXT($AA321,"dd-mmm")&amp;". "&amp;IF($Z321=6,"Final escalation completed.",IF($U321="OVERDUE","Next: "&amp;$AC321&amp;" was due "&amp;TEXT($AB321,"dd-mmm")&amp;" - "&amp;(NETWORKDAYS($AB321,TODAY(),Holidays)-1)&amp;" business day(s) late. Send now.",IF($U321="DUE TOMORROW","Next: "&amp;$AC321&amp;IF($AB321&lt;=TODAY()," is due TODAY ("," is due next business day (")&amp;TEXT($AB321,"dd-mmm")&amp;").","Next: "&amp;$AC321&amp;" due "&amp;TEXT($AB321,"dd-mmm")&amp;" ("&amp;(NETWORKDAYS(TODAY(),$AB321,Holidays)-1)&amp;" business day(s) left).")))))</f>
        <v/>
      </c>
      <c r="W321" s="17">
        <f>IF($Z321="","",CHOOSE($Z321,"Collection Email","1st Follow-up","2nd Follow-up","Local Office","CBE","Roxanne")&amp;IF($Z321=6," - Final"," - Day "&amp;MAX(0,NETWORKDAYS($AA321,TODAY(),Holidays)-1)&amp;" of "&amp;CHOOSE($Z321,3,3,2,2,3))&amp;" | Total Day "&amp;MAX(0,NETWORKDAYS($N321,TODAY(),Holidays)-1))</f>
        <v/>
      </c>
      <c r="X321" s="18"/>
      <c r="Y321" s="18"/>
      <c r="Z321" s="17">
        <f>IF($N321="","",COUNT($N321:$S321))</f>
        <v/>
      </c>
      <c r="AA321" s="19">
        <f>IF($Z321="","",INT(INDEX($N321:$S321,$Z321)))</f>
        <v/>
      </c>
      <c r="AB321" s="19">
        <f>IF(OR($Z321="",$Z321=6),"",WORKDAY($AA321,CHOOSE($Z321,3,3,2,2,3),Holidays))</f>
        <v/>
      </c>
      <c r="AC321" s="17">
        <f>IF(OR($Z321="",$Z321=6),"",CHOOSE($Z321,"1st Email Follow-up","2nd Email Follow-up","Escalate Local Office","Escalate to CBE","Escalate to Roxanne"))</f>
        <v/>
      </c>
    </row>
    <row r="322" spans="13:29">
      <c r="M322" s="14"/>
      <c r="T322" s="16"/>
      <c r="U322" s="17">
        <f>IF(AND(COUNTA($A322:$L322)=0,$N322=""),"",IF($T322="Paid","PAID",IF($T322="Closed","CLOSED",IF($Z322="","",IF($Z322=6,"ESCALATED TO ROXANNE",IF(TODAY()&gt;$AB322,"OVERDUE",IF($AB322&lt;=WORKDAY(TODAY(),1,Holidays),"DUE TOMORROW",IF($Z322=4,"ESCALATED TO LOCAL OFFICE",IF($Z322=5,"ESCALATED TO CBE",IF($AA322=TODAY(),"EMAIL SENT","MONITORING"))))))))))</f>
        <v/>
      </c>
      <c r="V322" s="17">
        <f>IF($U322="",IF(AND(COUNTA($A322:$L322)&gt;0,$N322=""),"Awaiting Collection Email time stamp.",""),IF(OR($U322="PAID",$U322="CLOSED"),IF($U322="PAID","Account paid. Action completed.","Account closed. No further action required."),CHOOSE($Z322,"Collection Email","1st Email Follow-up","2nd Email Follow-up","Escalation to Local Office","Escalation to CBE","Escalation to Roxanne")&amp;" sent "&amp;TEXT($AA322,"dd-mmm")&amp;". "&amp;IF($Z322=6,"Final escalation completed.",IF($U322="OVERDUE","Next: "&amp;$AC322&amp;" was due "&amp;TEXT($AB322,"dd-mmm")&amp;" - "&amp;(NETWORKDAYS($AB322,TODAY(),Holidays)-1)&amp;" business day(s) late. Send now.",IF($U322="DUE TOMORROW","Next: "&amp;$AC322&amp;IF($AB322&lt;=TODAY()," is due TODAY ("," is due next business day (")&amp;TEXT($AB322,"dd-mmm")&amp;").","Next: "&amp;$AC322&amp;" due "&amp;TEXT($AB322,"dd-mmm")&amp;" ("&amp;(NETWORKDAYS(TODAY(),$AB322,Holidays)-1)&amp;" business day(s) left).")))))</f>
        <v/>
      </c>
      <c r="W322" s="17">
        <f>IF($Z322="","",CHOOSE($Z322,"Collection Email","1st Follow-up","2nd Follow-up","Local Office","CBE","Roxanne")&amp;IF($Z322=6," - Final"," - Day "&amp;MAX(0,NETWORKDAYS($AA322,TODAY(),Holidays)-1)&amp;" of "&amp;CHOOSE($Z322,3,3,2,2,3))&amp;" | Total Day "&amp;MAX(0,NETWORKDAYS($N322,TODAY(),Holidays)-1))</f>
        <v/>
      </c>
      <c r="X322" s="18"/>
      <c r="Y322" s="18"/>
      <c r="Z322" s="17">
        <f>IF($N322="","",COUNT($N322:$S322))</f>
        <v/>
      </c>
      <c r="AA322" s="19">
        <f>IF($Z322="","",INT(INDEX($N322:$S322,$Z322)))</f>
        <v/>
      </c>
      <c r="AB322" s="19">
        <f>IF(OR($Z322="",$Z322=6),"",WORKDAY($AA322,CHOOSE($Z322,3,3,2,2,3),Holidays))</f>
        <v/>
      </c>
      <c r="AC322" s="17">
        <f>IF(OR($Z322="",$Z322=6),"",CHOOSE($Z322,"1st Email Follow-up","2nd Email Follow-up","Escalate Local Office","Escalate to CBE","Escalate to Roxanne"))</f>
        <v/>
      </c>
    </row>
    <row r="323" spans="13:29">
      <c r="M323" s="14"/>
      <c r="T323" s="16"/>
      <c r="U323" s="17">
        <f>IF(AND(COUNTA($A323:$L323)=0,$N323=""),"",IF($T323="Paid","PAID",IF($T323="Closed","CLOSED",IF($Z323="","",IF($Z323=6,"ESCALATED TO ROXANNE",IF(TODAY()&gt;$AB323,"OVERDUE",IF($AB323&lt;=WORKDAY(TODAY(),1,Holidays),"DUE TOMORROW",IF($Z323=4,"ESCALATED TO LOCAL OFFICE",IF($Z323=5,"ESCALATED TO CBE",IF($AA323=TODAY(),"EMAIL SENT","MONITORING"))))))))))</f>
        <v/>
      </c>
      <c r="V323" s="17">
        <f>IF($U323="",IF(AND(COUNTA($A323:$L323)&gt;0,$N323=""),"Awaiting Collection Email time stamp.",""),IF(OR($U323="PAID",$U323="CLOSED"),IF($U323="PAID","Account paid. Action completed.","Account closed. No further action required."),CHOOSE($Z323,"Collection Email","1st Email Follow-up","2nd Email Follow-up","Escalation to Local Office","Escalation to CBE","Escalation to Roxanne")&amp;" sent "&amp;TEXT($AA323,"dd-mmm")&amp;". "&amp;IF($Z323=6,"Final escalation completed.",IF($U323="OVERDUE","Next: "&amp;$AC323&amp;" was due "&amp;TEXT($AB323,"dd-mmm")&amp;" - "&amp;(NETWORKDAYS($AB323,TODAY(),Holidays)-1)&amp;" business day(s) late. Send now.",IF($U323="DUE TOMORROW","Next: "&amp;$AC323&amp;IF($AB323&lt;=TODAY()," is due TODAY ("," is due next business day (")&amp;TEXT($AB323,"dd-mmm")&amp;").","Next: "&amp;$AC323&amp;" due "&amp;TEXT($AB323,"dd-mmm")&amp;" ("&amp;(NETWORKDAYS(TODAY(),$AB323,Holidays)-1)&amp;" business day(s) left).")))))</f>
        <v/>
      </c>
      <c r="W323" s="17">
        <f>IF($Z323="","",CHOOSE($Z323,"Collection Email","1st Follow-up","2nd Follow-up","Local Office","CBE","Roxanne")&amp;IF($Z323=6," - Final"," - Day "&amp;MAX(0,NETWORKDAYS($AA323,TODAY(),Holidays)-1)&amp;" of "&amp;CHOOSE($Z323,3,3,2,2,3))&amp;" | Total Day "&amp;MAX(0,NETWORKDAYS($N323,TODAY(),Holidays)-1))</f>
        <v/>
      </c>
      <c r="X323" s="18"/>
      <c r="Y323" s="18"/>
      <c r="Z323" s="17">
        <f>IF($N323="","",COUNT($N323:$S323))</f>
        <v/>
      </c>
      <c r="AA323" s="19">
        <f>IF($Z323="","",INT(INDEX($N323:$S323,$Z323)))</f>
        <v/>
      </c>
      <c r="AB323" s="19">
        <f>IF(OR($Z323="",$Z323=6),"",WORKDAY($AA323,CHOOSE($Z323,3,3,2,2,3),Holidays))</f>
        <v/>
      </c>
      <c r="AC323" s="17">
        <f>IF(OR($Z323="",$Z323=6),"",CHOOSE($Z323,"1st Email Follow-up","2nd Email Follow-up","Escalate Local Office","Escalate to CBE","Escalate to Roxanne"))</f>
        <v/>
      </c>
    </row>
    <row r="324" spans="13:29">
      <c r="M324" s="14"/>
      <c r="T324" s="16"/>
      <c r="U324" s="17">
        <f>IF(AND(COUNTA($A324:$L324)=0,$N324=""),"",IF($T324="Paid","PAID",IF($T324="Closed","CLOSED",IF($Z324="","",IF($Z324=6,"ESCALATED TO ROXANNE",IF(TODAY()&gt;$AB324,"OVERDUE",IF($AB324&lt;=WORKDAY(TODAY(),1,Holidays),"DUE TOMORROW",IF($Z324=4,"ESCALATED TO LOCAL OFFICE",IF($Z324=5,"ESCALATED TO CBE",IF($AA324=TODAY(),"EMAIL SENT","MONITORING"))))))))))</f>
        <v/>
      </c>
      <c r="V324" s="17">
        <f>IF($U324="",IF(AND(COUNTA($A324:$L324)&gt;0,$N324=""),"Awaiting Collection Email time stamp.",""),IF(OR($U324="PAID",$U324="CLOSED"),IF($U324="PAID","Account paid. Action completed.","Account closed. No further action required."),CHOOSE($Z324,"Collection Email","1st Email Follow-up","2nd Email Follow-up","Escalation to Local Office","Escalation to CBE","Escalation to Roxanne")&amp;" sent "&amp;TEXT($AA324,"dd-mmm")&amp;". "&amp;IF($Z324=6,"Final escalation completed.",IF($U324="OVERDUE","Next: "&amp;$AC324&amp;" was due "&amp;TEXT($AB324,"dd-mmm")&amp;" - "&amp;(NETWORKDAYS($AB324,TODAY(),Holidays)-1)&amp;" business day(s) late. Send now.",IF($U324="DUE TOMORROW","Next: "&amp;$AC324&amp;IF($AB324&lt;=TODAY()," is due TODAY ("," is due next business day (")&amp;TEXT($AB324,"dd-mmm")&amp;").","Next: "&amp;$AC324&amp;" due "&amp;TEXT($AB324,"dd-mmm")&amp;" ("&amp;(NETWORKDAYS(TODAY(),$AB324,Holidays)-1)&amp;" business day(s) left).")))))</f>
        <v/>
      </c>
      <c r="W324" s="17">
        <f>IF($Z324="","",CHOOSE($Z324,"Collection Email","1st Follow-up","2nd Follow-up","Local Office","CBE","Roxanne")&amp;IF($Z324=6," - Final"," - Day "&amp;MAX(0,NETWORKDAYS($AA324,TODAY(),Holidays)-1)&amp;" of "&amp;CHOOSE($Z324,3,3,2,2,3))&amp;" | Total Day "&amp;MAX(0,NETWORKDAYS($N324,TODAY(),Holidays)-1))</f>
        <v/>
      </c>
      <c r="X324" s="18"/>
      <c r="Y324" s="18"/>
      <c r="Z324" s="17">
        <f>IF($N324="","",COUNT($N324:$S324))</f>
        <v/>
      </c>
      <c r="AA324" s="19">
        <f>IF($Z324="","",INT(INDEX($N324:$S324,$Z324)))</f>
        <v/>
      </c>
      <c r="AB324" s="19">
        <f>IF(OR($Z324="",$Z324=6),"",WORKDAY($AA324,CHOOSE($Z324,3,3,2,2,3),Holidays))</f>
        <v/>
      </c>
      <c r="AC324" s="17">
        <f>IF(OR($Z324="",$Z324=6),"",CHOOSE($Z324,"1st Email Follow-up","2nd Email Follow-up","Escalate Local Office","Escalate to CBE","Escalate to Roxanne"))</f>
        <v/>
      </c>
    </row>
    <row r="325" spans="13:29">
      <c r="M325" s="14"/>
      <c r="T325" s="16"/>
      <c r="U325" s="17">
        <f>IF(AND(COUNTA($A325:$L325)=0,$N325=""),"",IF($T325="Paid","PAID",IF($T325="Closed","CLOSED",IF($Z325="","",IF($Z325=6,"ESCALATED TO ROXANNE",IF(TODAY()&gt;$AB325,"OVERDUE",IF($AB325&lt;=WORKDAY(TODAY(),1,Holidays),"DUE TOMORROW",IF($Z325=4,"ESCALATED TO LOCAL OFFICE",IF($Z325=5,"ESCALATED TO CBE",IF($AA325=TODAY(),"EMAIL SENT","MONITORING"))))))))))</f>
        <v/>
      </c>
      <c r="V325" s="17">
        <f>IF($U325="",IF(AND(COUNTA($A325:$L325)&gt;0,$N325=""),"Awaiting Collection Email time stamp.",""),IF(OR($U325="PAID",$U325="CLOSED"),IF($U325="PAID","Account paid. Action completed.","Account closed. No further action required."),CHOOSE($Z325,"Collection Email","1st Email Follow-up","2nd Email Follow-up","Escalation to Local Office","Escalation to CBE","Escalation to Roxanne")&amp;" sent "&amp;TEXT($AA325,"dd-mmm")&amp;". "&amp;IF($Z325=6,"Final escalation completed.",IF($U325="OVERDUE","Next: "&amp;$AC325&amp;" was due "&amp;TEXT($AB325,"dd-mmm")&amp;" - "&amp;(NETWORKDAYS($AB325,TODAY(),Holidays)-1)&amp;" business day(s) late. Send now.",IF($U325="DUE TOMORROW","Next: "&amp;$AC325&amp;IF($AB325&lt;=TODAY()," is due TODAY ("," is due next business day (")&amp;TEXT($AB325,"dd-mmm")&amp;").","Next: "&amp;$AC325&amp;" due "&amp;TEXT($AB325,"dd-mmm")&amp;" ("&amp;(NETWORKDAYS(TODAY(),$AB325,Holidays)-1)&amp;" business day(s) left).")))))</f>
        <v/>
      </c>
      <c r="W325" s="17">
        <f>IF($Z325="","",CHOOSE($Z325,"Collection Email","1st Follow-up","2nd Follow-up","Local Office","CBE","Roxanne")&amp;IF($Z325=6," - Final"," - Day "&amp;MAX(0,NETWORKDAYS($AA325,TODAY(),Holidays)-1)&amp;" of "&amp;CHOOSE($Z325,3,3,2,2,3))&amp;" | Total Day "&amp;MAX(0,NETWORKDAYS($N325,TODAY(),Holidays)-1))</f>
        <v/>
      </c>
      <c r="X325" s="18"/>
      <c r="Y325" s="18"/>
      <c r="Z325" s="17">
        <f>IF($N325="","",COUNT($N325:$S325))</f>
        <v/>
      </c>
      <c r="AA325" s="19">
        <f>IF($Z325="","",INT(INDEX($N325:$S325,$Z325)))</f>
        <v/>
      </c>
      <c r="AB325" s="19">
        <f>IF(OR($Z325="",$Z325=6),"",WORKDAY($AA325,CHOOSE($Z325,3,3,2,2,3),Holidays))</f>
        <v/>
      </c>
      <c r="AC325" s="17">
        <f>IF(OR($Z325="",$Z325=6),"",CHOOSE($Z325,"1st Email Follow-up","2nd Email Follow-up","Escalate Local Office","Escalate to CBE","Escalate to Roxanne"))</f>
        <v/>
      </c>
    </row>
    <row r="326" spans="13:29">
      <c r="M326" s="14"/>
      <c r="T326" s="16"/>
      <c r="U326" s="17">
        <f>IF(AND(COUNTA($A326:$L326)=0,$N326=""),"",IF($T326="Paid","PAID",IF($T326="Closed","CLOSED",IF($Z326="","",IF($Z326=6,"ESCALATED TO ROXANNE",IF(TODAY()&gt;$AB326,"OVERDUE",IF($AB326&lt;=WORKDAY(TODAY(),1,Holidays),"DUE TOMORROW",IF($Z326=4,"ESCALATED TO LOCAL OFFICE",IF($Z326=5,"ESCALATED TO CBE",IF($AA326=TODAY(),"EMAIL SENT","MONITORING"))))))))))</f>
        <v/>
      </c>
      <c r="V326" s="17">
        <f>IF($U326="",IF(AND(COUNTA($A326:$L326)&gt;0,$N326=""),"Awaiting Collection Email time stamp.",""),IF(OR($U326="PAID",$U326="CLOSED"),IF($U326="PAID","Account paid. Action completed.","Account closed. No further action required."),CHOOSE($Z326,"Collection Email","1st Email Follow-up","2nd Email Follow-up","Escalation to Local Office","Escalation to CBE","Escalation to Roxanne")&amp;" sent "&amp;TEXT($AA326,"dd-mmm")&amp;". "&amp;IF($Z326=6,"Final escalation completed.",IF($U326="OVERDUE","Next: "&amp;$AC326&amp;" was due "&amp;TEXT($AB326,"dd-mmm")&amp;" - "&amp;(NETWORKDAYS($AB326,TODAY(),Holidays)-1)&amp;" business day(s) late. Send now.",IF($U326="DUE TOMORROW","Next: "&amp;$AC326&amp;IF($AB326&lt;=TODAY()," is due TODAY ("," is due next business day (")&amp;TEXT($AB326,"dd-mmm")&amp;").","Next: "&amp;$AC326&amp;" due "&amp;TEXT($AB326,"dd-mmm")&amp;" ("&amp;(NETWORKDAYS(TODAY(),$AB326,Holidays)-1)&amp;" business day(s) left).")))))</f>
        <v/>
      </c>
      <c r="W326" s="17">
        <f>IF($Z326="","",CHOOSE($Z326,"Collection Email","1st Follow-up","2nd Follow-up","Local Office","CBE","Roxanne")&amp;IF($Z326=6," - Final"," - Day "&amp;MAX(0,NETWORKDAYS($AA326,TODAY(),Holidays)-1)&amp;" of "&amp;CHOOSE($Z326,3,3,2,2,3))&amp;" | Total Day "&amp;MAX(0,NETWORKDAYS($N326,TODAY(),Holidays)-1))</f>
        <v/>
      </c>
      <c r="X326" s="18"/>
      <c r="Y326" s="18"/>
      <c r="Z326" s="17">
        <f>IF($N326="","",COUNT($N326:$S326))</f>
        <v/>
      </c>
      <c r="AA326" s="19">
        <f>IF($Z326="","",INT(INDEX($N326:$S326,$Z326)))</f>
        <v/>
      </c>
      <c r="AB326" s="19">
        <f>IF(OR($Z326="",$Z326=6),"",WORKDAY($AA326,CHOOSE($Z326,3,3,2,2,3),Holidays))</f>
        <v/>
      </c>
      <c r="AC326" s="17">
        <f>IF(OR($Z326="",$Z326=6),"",CHOOSE($Z326,"1st Email Follow-up","2nd Email Follow-up","Escalate Local Office","Escalate to CBE","Escalate to Roxanne"))</f>
        <v/>
      </c>
    </row>
    <row r="327" spans="13:29">
      <c r="M327" s="14"/>
      <c r="T327" s="16"/>
      <c r="U327" s="17">
        <f>IF(AND(COUNTA($A327:$L327)=0,$N327=""),"",IF($T327="Paid","PAID",IF($T327="Closed","CLOSED",IF($Z327="","",IF($Z327=6,"ESCALATED TO ROXANNE",IF(TODAY()&gt;$AB327,"OVERDUE",IF($AB327&lt;=WORKDAY(TODAY(),1,Holidays),"DUE TOMORROW",IF($Z327=4,"ESCALATED TO LOCAL OFFICE",IF($Z327=5,"ESCALATED TO CBE",IF($AA327=TODAY(),"EMAIL SENT","MONITORING"))))))))))</f>
        <v/>
      </c>
      <c r="V327" s="17">
        <f>IF($U327="",IF(AND(COUNTA($A327:$L327)&gt;0,$N327=""),"Awaiting Collection Email time stamp.",""),IF(OR($U327="PAID",$U327="CLOSED"),IF($U327="PAID","Account paid. Action completed.","Account closed. No further action required."),CHOOSE($Z327,"Collection Email","1st Email Follow-up","2nd Email Follow-up","Escalation to Local Office","Escalation to CBE","Escalation to Roxanne")&amp;" sent "&amp;TEXT($AA327,"dd-mmm")&amp;". "&amp;IF($Z327=6,"Final escalation completed.",IF($U327="OVERDUE","Next: "&amp;$AC327&amp;" was due "&amp;TEXT($AB327,"dd-mmm")&amp;" - "&amp;(NETWORKDAYS($AB327,TODAY(),Holidays)-1)&amp;" business day(s) late. Send now.",IF($U327="DUE TOMORROW","Next: "&amp;$AC327&amp;IF($AB327&lt;=TODAY()," is due TODAY ("," is due next business day (")&amp;TEXT($AB327,"dd-mmm")&amp;").","Next: "&amp;$AC327&amp;" due "&amp;TEXT($AB327,"dd-mmm")&amp;" ("&amp;(NETWORKDAYS(TODAY(),$AB327,Holidays)-1)&amp;" business day(s) left).")))))</f>
        <v/>
      </c>
      <c r="W327" s="17">
        <f>IF($Z327="","",CHOOSE($Z327,"Collection Email","1st Follow-up","2nd Follow-up","Local Office","CBE","Roxanne")&amp;IF($Z327=6," - Final"," - Day "&amp;MAX(0,NETWORKDAYS($AA327,TODAY(),Holidays)-1)&amp;" of "&amp;CHOOSE($Z327,3,3,2,2,3))&amp;" | Total Day "&amp;MAX(0,NETWORKDAYS($N327,TODAY(),Holidays)-1))</f>
        <v/>
      </c>
      <c r="X327" s="18"/>
      <c r="Y327" s="18"/>
      <c r="Z327" s="17">
        <f>IF($N327="","",COUNT($N327:$S327))</f>
        <v/>
      </c>
      <c r="AA327" s="19">
        <f>IF($Z327="","",INT(INDEX($N327:$S327,$Z327)))</f>
        <v/>
      </c>
      <c r="AB327" s="19">
        <f>IF(OR($Z327="",$Z327=6),"",WORKDAY($AA327,CHOOSE($Z327,3,3,2,2,3),Holidays))</f>
        <v/>
      </c>
      <c r="AC327" s="17">
        <f>IF(OR($Z327="",$Z327=6),"",CHOOSE($Z327,"1st Email Follow-up","2nd Email Follow-up","Escalate Local Office","Escalate to CBE","Escalate to Roxanne"))</f>
        <v/>
      </c>
    </row>
    <row r="328" spans="13:29">
      <c r="M328" s="14"/>
      <c r="T328" s="16"/>
      <c r="U328" s="17">
        <f>IF(AND(COUNTA($A328:$L328)=0,$N328=""),"",IF($T328="Paid","PAID",IF($T328="Closed","CLOSED",IF($Z328="","",IF($Z328=6,"ESCALATED TO ROXANNE",IF(TODAY()&gt;$AB328,"OVERDUE",IF($AB328&lt;=WORKDAY(TODAY(),1,Holidays),"DUE TOMORROW",IF($Z328=4,"ESCALATED TO LOCAL OFFICE",IF($Z328=5,"ESCALATED TO CBE",IF($AA328=TODAY(),"EMAIL SENT","MONITORING"))))))))))</f>
        <v/>
      </c>
      <c r="V328" s="17">
        <f>IF($U328="",IF(AND(COUNTA($A328:$L328)&gt;0,$N328=""),"Awaiting Collection Email time stamp.",""),IF(OR($U328="PAID",$U328="CLOSED"),IF($U328="PAID","Account paid. Action completed.","Account closed. No further action required."),CHOOSE($Z328,"Collection Email","1st Email Follow-up","2nd Email Follow-up","Escalation to Local Office","Escalation to CBE","Escalation to Roxanne")&amp;" sent "&amp;TEXT($AA328,"dd-mmm")&amp;". "&amp;IF($Z328=6,"Final escalation completed.",IF($U328="OVERDUE","Next: "&amp;$AC328&amp;" was due "&amp;TEXT($AB328,"dd-mmm")&amp;" - "&amp;(NETWORKDAYS($AB328,TODAY(),Holidays)-1)&amp;" business day(s) late. Send now.",IF($U328="DUE TOMORROW","Next: "&amp;$AC328&amp;IF($AB328&lt;=TODAY()," is due TODAY ("," is due next business day (")&amp;TEXT($AB328,"dd-mmm")&amp;").","Next: "&amp;$AC328&amp;" due "&amp;TEXT($AB328,"dd-mmm")&amp;" ("&amp;(NETWORKDAYS(TODAY(),$AB328,Holidays)-1)&amp;" business day(s) left).")))))</f>
        <v/>
      </c>
      <c r="W328" s="17">
        <f>IF($Z328="","",CHOOSE($Z328,"Collection Email","1st Follow-up","2nd Follow-up","Local Office","CBE","Roxanne")&amp;IF($Z328=6," - Final"," - Day "&amp;MAX(0,NETWORKDAYS($AA328,TODAY(),Holidays)-1)&amp;" of "&amp;CHOOSE($Z328,3,3,2,2,3))&amp;" | Total Day "&amp;MAX(0,NETWORKDAYS($N328,TODAY(),Holidays)-1))</f>
        <v/>
      </c>
      <c r="X328" s="18"/>
      <c r="Y328" s="18"/>
      <c r="Z328" s="17">
        <f>IF($N328="","",COUNT($N328:$S328))</f>
        <v/>
      </c>
      <c r="AA328" s="19">
        <f>IF($Z328="","",INT(INDEX($N328:$S328,$Z328)))</f>
        <v/>
      </c>
      <c r="AB328" s="19">
        <f>IF(OR($Z328="",$Z328=6),"",WORKDAY($AA328,CHOOSE($Z328,3,3,2,2,3),Holidays))</f>
        <v/>
      </c>
      <c r="AC328" s="17">
        <f>IF(OR($Z328="",$Z328=6),"",CHOOSE($Z328,"1st Email Follow-up","2nd Email Follow-up","Escalate Local Office","Escalate to CBE","Escalate to Roxanne"))</f>
        <v/>
      </c>
    </row>
    <row r="329" spans="13:29">
      <c r="M329" s="14"/>
      <c r="T329" s="16"/>
      <c r="U329" s="17">
        <f>IF(AND(COUNTA($A329:$L329)=0,$N329=""),"",IF($T329="Paid","PAID",IF($T329="Closed","CLOSED",IF($Z329="","",IF($Z329=6,"ESCALATED TO ROXANNE",IF(TODAY()&gt;$AB329,"OVERDUE",IF($AB329&lt;=WORKDAY(TODAY(),1,Holidays),"DUE TOMORROW",IF($Z329=4,"ESCALATED TO LOCAL OFFICE",IF($Z329=5,"ESCALATED TO CBE",IF($AA329=TODAY(),"EMAIL SENT","MONITORING"))))))))))</f>
        <v/>
      </c>
      <c r="V329" s="17">
        <f>IF($U329="",IF(AND(COUNTA($A329:$L329)&gt;0,$N329=""),"Awaiting Collection Email time stamp.",""),IF(OR($U329="PAID",$U329="CLOSED"),IF($U329="PAID","Account paid. Action completed.","Account closed. No further action required."),CHOOSE($Z329,"Collection Email","1st Email Follow-up","2nd Email Follow-up","Escalation to Local Office","Escalation to CBE","Escalation to Roxanne")&amp;" sent "&amp;TEXT($AA329,"dd-mmm")&amp;". "&amp;IF($Z329=6,"Final escalation completed.",IF($U329="OVERDUE","Next: "&amp;$AC329&amp;" was due "&amp;TEXT($AB329,"dd-mmm")&amp;" - "&amp;(NETWORKDAYS($AB329,TODAY(),Holidays)-1)&amp;" business day(s) late. Send now.",IF($U329="DUE TOMORROW","Next: "&amp;$AC329&amp;IF($AB329&lt;=TODAY()," is due TODAY ("," is due next business day (")&amp;TEXT($AB329,"dd-mmm")&amp;").","Next: "&amp;$AC329&amp;" due "&amp;TEXT($AB329,"dd-mmm")&amp;" ("&amp;(NETWORKDAYS(TODAY(),$AB329,Holidays)-1)&amp;" business day(s) left).")))))</f>
        <v/>
      </c>
      <c r="W329" s="17">
        <f>IF($Z329="","",CHOOSE($Z329,"Collection Email","1st Follow-up","2nd Follow-up","Local Office","CBE","Roxanne")&amp;IF($Z329=6," - Final"," - Day "&amp;MAX(0,NETWORKDAYS($AA329,TODAY(),Holidays)-1)&amp;" of "&amp;CHOOSE($Z329,3,3,2,2,3))&amp;" | Total Day "&amp;MAX(0,NETWORKDAYS($N329,TODAY(),Holidays)-1))</f>
        <v/>
      </c>
      <c r="X329" s="18"/>
      <c r="Y329" s="18"/>
      <c r="Z329" s="17">
        <f>IF($N329="","",COUNT($N329:$S329))</f>
        <v/>
      </c>
      <c r="AA329" s="19">
        <f>IF($Z329="","",INT(INDEX($N329:$S329,$Z329)))</f>
        <v/>
      </c>
      <c r="AB329" s="19">
        <f>IF(OR($Z329="",$Z329=6),"",WORKDAY($AA329,CHOOSE($Z329,3,3,2,2,3),Holidays))</f>
        <v/>
      </c>
      <c r="AC329" s="17">
        <f>IF(OR($Z329="",$Z329=6),"",CHOOSE($Z329,"1st Email Follow-up","2nd Email Follow-up","Escalate Local Office","Escalate to CBE","Escalate to Roxanne"))</f>
        <v/>
      </c>
    </row>
    <row r="330" spans="13:29">
      <c r="M330" s="14"/>
      <c r="T330" s="16"/>
      <c r="U330" s="17">
        <f>IF(AND(COUNTA($A330:$L330)=0,$N330=""),"",IF($T330="Paid","PAID",IF($T330="Closed","CLOSED",IF($Z330="","",IF($Z330=6,"ESCALATED TO ROXANNE",IF(TODAY()&gt;$AB330,"OVERDUE",IF($AB330&lt;=WORKDAY(TODAY(),1,Holidays),"DUE TOMORROW",IF($Z330=4,"ESCALATED TO LOCAL OFFICE",IF($Z330=5,"ESCALATED TO CBE",IF($AA330=TODAY(),"EMAIL SENT","MONITORING"))))))))))</f>
        <v/>
      </c>
      <c r="V330" s="17">
        <f>IF($U330="",IF(AND(COUNTA($A330:$L330)&gt;0,$N330=""),"Awaiting Collection Email time stamp.",""),IF(OR($U330="PAID",$U330="CLOSED"),IF($U330="PAID","Account paid. Action completed.","Account closed. No further action required."),CHOOSE($Z330,"Collection Email","1st Email Follow-up","2nd Email Follow-up","Escalation to Local Office","Escalation to CBE","Escalation to Roxanne")&amp;" sent "&amp;TEXT($AA330,"dd-mmm")&amp;". "&amp;IF($Z330=6,"Final escalation completed.",IF($U330="OVERDUE","Next: "&amp;$AC330&amp;" was due "&amp;TEXT($AB330,"dd-mmm")&amp;" - "&amp;(NETWORKDAYS($AB330,TODAY(),Holidays)-1)&amp;" business day(s) late. Send now.",IF($U330="DUE TOMORROW","Next: "&amp;$AC330&amp;IF($AB330&lt;=TODAY()," is due TODAY ("," is due next business day (")&amp;TEXT($AB330,"dd-mmm")&amp;").","Next: "&amp;$AC330&amp;" due "&amp;TEXT($AB330,"dd-mmm")&amp;" ("&amp;(NETWORKDAYS(TODAY(),$AB330,Holidays)-1)&amp;" business day(s) left).")))))</f>
        <v/>
      </c>
      <c r="W330" s="17">
        <f>IF($Z330="","",CHOOSE($Z330,"Collection Email","1st Follow-up","2nd Follow-up","Local Office","CBE","Roxanne")&amp;IF($Z330=6," - Final"," - Day "&amp;MAX(0,NETWORKDAYS($AA330,TODAY(),Holidays)-1)&amp;" of "&amp;CHOOSE($Z330,3,3,2,2,3))&amp;" | Total Day "&amp;MAX(0,NETWORKDAYS($N330,TODAY(),Holidays)-1))</f>
        <v/>
      </c>
      <c r="X330" s="18"/>
      <c r="Y330" s="18"/>
      <c r="Z330" s="17">
        <f>IF($N330="","",COUNT($N330:$S330))</f>
        <v/>
      </c>
      <c r="AA330" s="19">
        <f>IF($Z330="","",INT(INDEX($N330:$S330,$Z330)))</f>
        <v/>
      </c>
      <c r="AB330" s="19">
        <f>IF(OR($Z330="",$Z330=6),"",WORKDAY($AA330,CHOOSE($Z330,3,3,2,2,3),Holidays))</f>
        <v/>
      </c>
      <c r="AC330" s="17">
        <f>IF(OR($Z330="",$Z330=6),"",CHOOSE($Z330,"1st Email Follow-up","2nd Email Follow-up","Escalate Local Office","Escalate to CBE","Escalate to Roxanne"))</f>
        <v/>
      </c>
    </row>
    <row r="331" spans="13:29">
      <c r="M331" s="14"/>
      <c r="T331" s="16"/>
      <c r="U331" s="17">
        <f>IF(AND(COUNTA($A331:$L331)=0,$N331=""),"",IF($T331="Paid","PAID",IF($T331="Closed","CLOSED",IF($Z331="","",IF($Z331=6,"ESCALATED TO ROXANNE",IF(TODAY()&gt;$AB331,"OVERDUE",IF($AB331&lt;=WORKDAY(TODAY(),1,Holidays),"DUE TOMORROW",IF($Z331=4,"ESCALATED TO LOCAL OFFICE",IF($Z331=5,"ESCALATED TO CBE",IF($AA331=TODAY(),"EMAIL SENT","MONITORING"))))))))))</f>
        <v/>
      </c>
      <c r="V331" s="17">
        <f>IF($U331="",IF(AND(COUNTA($A331:$L331)&gt;0,$N331=""),"Awaiting Collection Email time stamp.",""),IF(OR($U331="PAID",$U331="CLOSED"),IF($U331="PAID","Account paid. Action completed.","Account closed. No further action required."),CHOOSE($Z331,"Collection Email","1st Email Follow-up","2nd Email Follow-up","Escalation to Local Office","Escalation to CBE","Escalation to Roxanne")&amp;" sent "&amp;TEXT($AA331,"dd-mmm")&amp;". "&amp;IF($Z331=6,"Final escalation completed.",IF($U331="OVERDUE","Next: "&amp;$AC331&amp;" was due "&amp;TEXT($AB331,"dd-mmm")&amp;" - "&amp;(NETWORKDAYS($AB331,TODAY(),Holidays)-1)&amp;" business day(s) late. Send now.",IF($U331="DUE TOMORROW","Next: "&amp;$AC331&amp;IF($AB331&lt;=TODAY()," is due TODAY ("," is due next business day (")&amp;TEXT($AB331,"dd-mmm")&amp;").","Next: "&amp;$AC331&amp;" due "&amp;TEXT($AB331,"dd-mmm")&amp;" ("&amp;(NETWORKDAYS(TODAY(),$AB331,Holidays)-1)&amp;" business day(s) left).")))))</f>
        <v/>
      </c>
      <c r="W331" s="17">
        <f>IF($Z331="","",CHOOSE($Z331,"Collection Email","1st Follow-up","2nd Follow-up","Local Office","CBE","Roxanne")&amp;IF($Z331=6," - Final"," - Day "&amp;MAX(0,NETWORKDAYS($AA331,TODAY(),Holidays)-1)&amp;" of "&amp;CHOOSE($Z331,3,3,2,2,3))&amp;" | Total Day "&amp;MAX(0,NETWORKDAYS($N331,TODAY(),Holidays)-1))</f>
        <v/>
      </c>
      <c r="X331" s="18"/>
      <c r="Y331" s="18"/>
      <c r="Z331" s="17">
        <f>IF($N331="","",COUNT($N331:$S331))</f>
        <v/>
      </c>
      <c r="AA331" s="19">
        <f>IF($Z331="","",INT(INDEX($N331:$S331,$Z331)))</f>
        <v/>
      </c>
      <c r="AB331" s="19">
        <f>IF(OR($Z331="",$Z331=6),"",WORKDAY($AA331,CHOOSE($Z331,3,3,2,2,3),Holidays))</f>
        <v/>
      </c>
      <c r="AC331" s="17">
        <f>IF(OR($Z331="",$Z331=6),"",CHOOSE($Z331,"1st Email Follow-up","2nd Email Follow-up","Escalate Local Office","Escalate to CBE","Escalate to Roxanne"))</f>
        <v/>
      </c>
    </row>
    <row r="332" spans="13:29">
      <c r="M332" s="14"/>
      <c r="T332" s="16"/>
      <c r="U332" s="17">
        <f>IF(AND(COUNTA($A332:$L332)=0,$N332=""),"",IF($T332="Paid","PAID",IF($T332="Closed","CLOSED",IF($Z332="","",IF($Z332=6,"ESCALATED TO ROXANNE",IF(TODAY()&gt;$AB332,"OVERDUE",IF($AB332&lt;=WORKDAY(TODAY(),1,Holidays),"DUE TOMORROW",IF($Z332=4,"ESCALATED TO LOCAL OFFICE",IF($Z332=5,"ESCALATED TO CBE",IF($AA332=TODAY(),"EMAIL SENT","MONITORING"))))))))))</f>
        <v/>
      </c>
      <c r="V332" s="17">
        <f>IF($U332="",IF(AND(COUNTA($A332:$L332)&gt;0,$N332=""),"Awaiting Collection Email time stamp.",""),IF(OR($U332="PAID",$U332="CLOSED"),IF($U332="PAID","Account paid. Action completed.","Account closed. No further action required."),CHOOSE($Z332,"Collection Email","1st Email Follow-up","2nd Email Follow-up","Escalation to Local Office","Escalation to CBE","Escalation to Roxanne")&amp;" sent "&amp;TEXT($AA332,"dd-mmm")&amp;". "&amp;IF($Z332=6,"Final escalation completed.",IF($U332="OVERDUE","Next: "&amp;$AC332&amp;" was due "&amp;TEXT($AB332,"dd-mmm")&amp;" - "&amp;(NETWORKDAYS($AB332,TODAY(),Holidays)-1)&amp;" business day(s) late. Send now.",IF($U332="DUE TOMORROW","Next: "&amp;$AC332&amp;IF($AB332&lt;=TODAY()," is due TODAY ("," is due next business day (")&amp;TEXT($AB332,"dd-mmm")&amp;").","Next: "&amp;$AC332&amp;" due "&amp;TEXT($AB332,"dd-mmm")&amp;" ("&amp;(NETWORKDAYS(TODAY(),$AB332,Holidays)-1)&amp;" business day(s) left).")))))</f>
        <v/>
      </c>
      <c r="W332" s="17">
        <f>IF($Z332="","",CHOOSE($Z332,"Collection Email","1st Follow-up","2nd Follow-up","Local Office","CBE","Roxanne")&amp;IF($Z332=6," - Final"," - Day "&amp;MAX(0,NETWORKDAYS($AA332,TODAY(),Holidays)-1)&amp;" of "&amp;CHOOSE($Z332,3,3,2,2,3))&amp;" | Total Day "&amp;MAX(0,NETWORKDAYS($N332,TODAY(),Holidays)-1))</f>
        <v/>
      </c>
      <c r="X332" s="18"/>
      <c r="Y332" s="18"/>
      <c r="Z332" s="17">
        <f>IF($N332="","",COUNT($N332:$S332))</f>
        <v/>
      </c>
      <c r="AA332" s="19">
        <f>IF($Z332="","",INT(INDEX($N332:$S332,$Z332)))</f>
        <v/>
      </c>
      <c r="AB332" s="19">
        <f>IF(OR($Z332="",$Z332=6),"",WORKDAY($AA332,CHOOSE($Z332,3,3,2,2,3),Holidays))</f>
        <v/>
      </c>
      <c r="AC332" s="17">
        <f>IF(OR($Z332="",$Z332=6),"",CHOOSE($Z332,"1st Email Follow-up","2nd Email Follow-up","Escalate Local Office","Escalate to CBE","Escalate to Roxanne"))</f>
        <v/>
      </c>
    </row>
    <row r="333" spans="13:29">
      <c r="M333" s="14"/>
      <c r="T333" s="16"/>
      <c r="U333" s="17">
        <f>IF(AND(COUNTA($A333:$L333)=0,$N333=""),"",IF($T333="Paid","PAID",IF($T333="Closed","CLOSED",IF($Z333="","",IF($Z333=6,"ESCALATED TO ROXANNE",IF(TODAY()&gt;$AB333,"OVERDUE",IF($AB333&lt;=WORKDAY(TODAY(),1,Holidays),"DUE TOMORROW",IF($Z333=4,"ESCALATED TO LOCAL OFFICE",IF($Z333=5,"ESCALATED TO CBE",IF($AA333=TODAY(),"EMAIL SENT","MONITORING"))))))))))</f>
        <v/>
      </c>
      <c r="V333" s="17">
        <f>IF($U333="",IF(AND(COUNTA($A333:$L333)&gt;0,$N333=""),"Awaiting Collection Email time stamp.",""),IF(OR($U333="PAID",$U333="CLOSED"),IF($U333="PAID","Account paid. Action completed.","Account closed. No further action required."),CHOOSE($Z333,"Collection Email","1st Email Follow-up","2nd Email Follow-up","Escalation to Local Office","Escalation to CBE","Escalation to Roxanne")&amp;" sent "&amp;TEXT($AA333,"dd-mmm")&amp;". "&amp;IF($Z333=6,"Final escalation completed.",IF($U333="OVERDUE","Next: "&amp;$AC333&amp;" was due "&amp;TEXT($AB333,"dd-mmm")&amp;" - "&amp;(NETWORKDAYS($AB333,TODAY(),Holidays)-1)&amp;" business day(s) late. Send now.",IF($U333="DUE TOMORROW","Next: "&amp;$AC333&amp;IF($AB333&lt;=TODAY()," is due TODAY ("," is due next business day (")&amp;TEXT($AB333,"dd-mmm")&amp;").","Next: "&amp;$AC333&amp;" due "&amp;TEXT($AB333,"dd-mmm")&amp;" ("&amp;(NETWORKDAYS(TODAY(),$AB333,Holidays)-1)&amp;" business day(s) left).")))))</f>
        <v/>
      </c>
      <c r="W333" s="17">
        <f>IF($Z333="","",CHOOSE($Z333,"Collection Email","1st Follow-up","2nd Follow-up","Local Office","CBE","Roxanne")&amp;IF($Z333=6," - Final"," - Day "&amp;MAX(0,NETWORKDAYS($AA333,TODAY(),Holidays)-1)&amp;" of "&amp;CHOOSE($Z333,3,3,2,2,3))&amp;" | Total Day "&amp;MAX(0,NETWORKDAYS($N333,TODAY(),Holidays)-1))</f>
        <v/>
      </c>
      <c r="X333" s="18"/>
      <c r="Y333" s="18"/>
      <c r="Z333" s="17">
        <f>IF($N333="","",COUNT($N333:$S333))</f>
        <v/>
      </c>
      <c r="AA333" s="19">
        <f>IF($Z333="","",INT(INDEX($N333:$S333,$Z333)))</f>
        <v/>
      </c>
      <c r="AB333" s="19">
        <f>IF(OR($Z333="",$Z333=6),"",WORKDAY($AA333,CHOOSE($Z333,3,3,2,2,3),Holidays))</f>
        <v/>
      </c>
      <c r="AC333" s="17">
        <f>IF(OR($Z333="",$Z333=6),"",CHOOSE($Z333,"1st Email Follow-up","2nd Email Follow-up","Escalate Local Office","Escalate to CBE","Escalate to Roxanne"))</f>
        <v/>
      </c>
    </row>
    <row r="334" spans="13:29">
      <c r="M334" s="14"/>
      <c r="T334" s="16"/>
      <c r="U334" s="17">
        <f>IF(AND(COUNTA($A334:$L334)=0,$N334=""),"",IF($T334="Paid","PAID",IF($T334="Closed","CLOSED",IF($Z334="","",IF($Z334=6,"ESCALATED TO ROXANNE",IF(TODAY()&gt;$AB334,"OVERDUE",IF($AB334&lt;=WORKDAY(TODAY(),1,Holidays),"DUE TOMORROW",IF($Z334=4,"ESCALATED TO LOCAL OFFICE",IF($Z334=5,"ESCALATED TO CBE",IF($AA334=TODAY(),"EMAIL SENT","MONITORING"))))))))))</f>
        <v/>
      </c>
      <c r="V334" s="17">
        <f>IF($U334="",IF(AND(COUNTA($A334:$L334)&gt;0,$N334=""),"Awaiting Collection Email time stamp.",""),IF(OR($U334="PAID",$U334="CLOSED"),IF($U334="PAID","Account paid. Action completed.","Account closed. No further action required."),CHOOSE($Z334,"Collection Email","1st Email Follow-up","2nd Email Follow-up","Escalation to Local Office","Escalation to CBE","Escalation to Roxanne")&amp;" sent "&amp;TEXT($AA334,"dd-mmm")&amp;". "&amp;IF($Z334=6,"Final escalation completed.",IF($U334="OVERDUE","Next: "&amp;$AC334&amp;" was due "&amp;TEXT($AB334,"dd-mmm")&amp;" - "&amp;(NETWORKDAYS($AB334,TODAY(),Holidays)-1)&amp;" business day(s) late. Send now.",IF($U334="DUE TOMORROW","Next: "&amp;$AC334&amp;IF($AB334&lt;=TODAY()," is due TODAY ("," is due next business day (")&amp;TEXT($AB334,"dd-mmm")&amp;").","Next: "&amp;$AC334&amp;" due "&amp;TEXT($AB334,"dd-mmm")&amp;" ("&amp;(NETWORKDAYS(TODAY(),$AB334,Holidays)-1)&amp;" business day(s) left).")))))</f>
        <v/>
      </c>
      <c r="W334" s="17">
        <f>IF($Z334="","",CHOOSE($Z334,"Collection Email","1st Follow-up","2nd Follow-up","Local Office","CBE","Roxanne")&amp;IF($Z334=6," - Final"," - Day "&amp;MAX(0,NETWORKDAYS($AA334,TODAY(),Holidays)-1)&amp;" of "&amp;CHOOSE($Z334,3,3,2,2,3))&amp;" | Total Day "&amp;MAX(0,NETWORKDAYS($N334,TODAY(),Holidays)-1))</f>
        <v/>
      </c>
      <c r="X334" s="18"/>
      <c r="Y334" s="18"/>
      <c r="Z334" s="17">
        <f>IF($N334="","",COUNT($N334:$S334))</f>
        <v/>
      </c>
      <c r="AA334" s="19">
        <f>IF($Z334="","",INT(INDEX($N334:$S334,$Z334)))</f>
        <v/>
      </c>
      <c r="AB334" s="19">
        <f>IF(OR($Z334="",$Z334=6),"",WORKDAY($AA334,CHOOSE($Z334,3,3,2,2,3),Holidays))</f>
        <v/>
      </c>
      <c r="AC334" s="17">
        <f>IF(OR($Z334="",$Z334=6),"",CHOOSE($Z334,"1st Email Follow-up","2nd Email Follow-up","Escalate Local Office","Escalate to CBE","Escalate to Roxanne"))</f>
        <v/>
      </c>
    </row>
    <row r="335" spans="13:29">
      <c r="M335" s="14"/>
      <c r="T335" s="16"/>
      <c r="U335" s="17">
        <f>IF(AND(COUNTA($A335:$L335)=0,$N335=""),"",IF($T335="Paid","PAID",IF($T335="Closed","CLOSED",IF($Z335="","",IF($Z335=6,"ESCALATED TO ROXANNE",IF(TODAY()&gt;$AB335,"OVERDUE",IF($AB335&lt;=WORKDAY(TODAY(),1,Holidays),"DUE TOMORROW",IF($Z335=4,"ESCALATED TO LOCAL OFFICE",IF($Z335=5,"ESCALATED TO CBE",IF($AA335=TODAY(),"EMAIL SENT","MONITORING"))))))))))</f>
        <v/>
      </c>
      <c r="V335" s="17">
        <f>IF($U335="",IF(AND(COUNTA($A335:$L335)&gt;0,$N335=""),"Awaiting Collection Email time stamp.",""),IF(OR($U335="PAID",$U335="CLOSED"),IF($U335="PAID","Account paid. Action completed.","Account closed. No further action required."),CHOOSE($Z335,"Collection Email","1st Email Follow-up","2nd Email Follow-up","Escalation to Local Office","Escalation to CBE","Escalation to Roxanne")&amp;" sent "&amp;TEXT($AA335,"dd-mmm")&amp;". "&amp;IF($Z335=6,"Final escalation completed.",IF($U335="OVERDUE","Next: "&amp;$AC335&amp;" was due "&amp;TEXT($AB335,"dd-mmm")&amp;" - "&amp;(NETWORKDAYS($AB335,TODAY(),Holidays)-1)&amp;" business day(s) late. Send now.",IF($U335="DUE TOMORROW","Next: "&amp;$AC335&amp;IF($AB335&lt;=TODAY()," is due TODAY ("," is due next business day (")&amp;TEXT($AB335,"dd-mmm")&amp;").","Next: "&amp;$AC335&amp;" due "&amp;TEXT($AB335,"dd-mmm")&amp;" ("&amp;(NETWORKDAYS(TODAY(),$AB335,Holidays)-1)&amp;" business day(s) left).")))))</f>
        <v/>
      </c>
      <c r="W335" s="17">
        <f>IF($Z335="","",CHOOSE($Z335,"Collection Email","1st Follow-up","2nd Follow-up","Local Office","CBE","Roxanne")&amp;IF($Z335=6," - Final"," - Day "&amp;MAX(0,NETWORKDAYS($AA335,TODAY(),Holidays)-1)&amp;" of "&amp;CHOOSE($Z335,3,3,2,2,3))&amp;" | Total Day "&amp;MAX(0,NETWORKDAYS($N335,TODAY(),Holidays)-1))</f>
        <v/>
      </c>
      <c r="X335" s="18"/>
      <c r="Y335" s="18"/>
      <c r="Z335" s="17">
        <f>IF($N335="","",COUNT($N335:$S335))</f>
        <v/>
      </c>
      <c r="AA335" s="19">
        <f>IF($Z335="","",INT(INDEX($N335:$S335,$Z335)))</f>
        <v/>
      </c>
      <c r="AB335" s="19">
        <f>IF(OR($Z335="",$Z335=6),"",WORKDAY($AA335,CHOOSE($Z335,3,3,2,2,3),Holidays))</f>
        <v/>
      </c>
      <c r="AC335" s="17">
        <f>IF(OR($Z335="",$Z335=6),"",CHOOSE($Z335,"1st Email Follow-up","2nd Email Follow-up","Escalate Local Office","Escalate to CBE","Escalate to Roxanne"))</f>
        <v/>
      </c>
    </row>
    <row r="336" spans="13:29">
      <c r="M336" s="14"/>
      <c r="T336" s="16"/>
      <c r="U336" s="17">
        <f>IF(AND(COUNTA($A336:$L336)=0,$N336=""),"",IF($T336="Paid","PAID",IF($T336="Closed","CLOSED",IF($Z336="","",IF($Z336=6,"ESCALATED TO ROXANNE",IF(TODAY()&gt;$AB336,"OVERDUE",IF($AB336&lt;=WORKDAY(TODAY(),1,Holidays),"DUE TOMORROW",IF($Z336=4,"ESCALATED TO LOCAL OFFICE",IF($Z336=5,"ESCALATED TO CBE",IF($AA336=TODAY(),"EMAIL SENT","MONITORING"))))))))))</f>
        <v/>
      </c>
      <c r="V336" s="17">
        <f>IF($U336="",IF(AND(COUNTA($A336:$L336)&gt;0,$N336=""),"Awaiting Collection Email time stamp.",""),IF(OR($U336="PAID",$U336="CLOSED"),IF($U336="PAID","Account paid. Action completed.","Account closed. No further action required."),CHOOSE($Z336,"Collection Email","1st Email Follow-up","2nd Email Follow-up","Escalation to Local Office","Escalation to CBE","Escalation to Roxanne")&amp;" sent "&amp;TEXT($AA336,"dd-mmm")&amp;". "&amp;IF($Z336=6,"Final escalation completed.",IF($U336="OVERDUE","Next: "&amp;$AC336&amp;" was due "&amp;TEXT($AB336,"dd-mmm")&amp;" - "&amp;(NETWORKDAYS($AB336,TODAY(),Holidays)-1)&amp;" business day(s) late. Send now.",IF($U336="DUE TOMORROW","Next: "&amp;$AC336&amp;IF($AB336&lt;=TODAY()," is due TODAY ("," is due next business day (")&amp;TEXT($AB336,"dd-mmm")&amp;").","Next: "&amp;$AC336&amp;" due "&amp;TEXT($AB336,"dd-mmm")&amp;" ("&amp;(NETWORKDAYS(TODAY(),$AB336,Holidays)-1)&amp;" business day(s) left).")))))</f>
        <v/>
      </c>
      <c r="W336" s="17">
        <f>IF($Z336="","",CHOOSE($Z336,"Collection Email","1st Follow-up","2nd Follow-up","Local Office","CBE","Roxanne")&amp;IF($Z336=6," - Final"," - Day "&amp;MAX(0,NETWORKDAYS($AA336,TODAY(),Holidays)-1)&amp;" of "&amp;CHOOSE($Z336,3,3,2,2,3))&amp;" | Total Day "&amp;MAX(0,NETWORKDAYS($N336,TODAY(),Holidays)-1))</f>
        <v/>
      </c>
      <c r="X336" s="18"/>
      <c r="Y336" s="18"/>
      <c r="Z336" s="17">
        <f>IF($N336="","",COUNT($N336:$S336))</f>
        <v/>
      </c>
      <c r="AA336" s="19">
        <f>IF($Z336="","",INT(INDEX($N336:$S336,$Z336)))</f>
        <v/>
      </c>
      <c r="AB336" s="19">
        <f>IF(OR($Z336="",$Z336=6),"",WORKDAY($AA336,CHOOSE($Z336,3,3,2,2,3),Holidays))</f>
        <v/>
      </c>
      <c r="AC336" s="17">
        <f>IF(OR($Z336="",$Z336=6),"",CHOOSE($Z336,"1st Email Follow-up","2nd Email Follow-up","Escalate Local Office","Escalate to CBE","Escalate to Roxanne"))</f>
        <v/>
      </c>
    </row>
    <row r="337" spans="13:29">
      <c r="M337" s="14"/>
      <c r="T337" s="16"/>
      <c r="U337" s="17">
        <f>IF(AND(COUNTA($A337:$L337)=0,$N337=""),"",IF($T337="Paid","PAID",IF($T337="Closed","CLOSED",IF($Z337="","",IF($Z337=6,"ESCALATED TO ROXANNE",IF(TODAY()&gt;$AB337,"OVERDUE",IF($AB337&lt;=WORKDAY(TODAY(),1,Holidays),"DUE TOMORROW",IF($Z337=4,"ESCALATED TO LOCAL OFFICE",IF($Z337=5,"ESCALATED TO CBE",IF($AA337=TODAY(),"EMAIL SENT","MONITORING"))))))))))</f>
        <v/>
      </c>
      <c r="V337" s="17">
        <f>IF($U337="",IF(AND(COUNTA($A337:$L337)&gt;0,$N337=""),"Awaiting Collection Email time stamp.",""),IF(OR($U337="PAID",$U337="CLOSED"),IF($U337="PAID","Account paid. Action completed.","Account closed. No further action required."),CHOOSE($Z337,"Collection Email","1st Email Follow-up","2nd Email Follow-up","Escalation to Local Office","Escalation to CBE","Escalation to Roxanne")&amp;" sent "&amp;TEXT($AA337,"dd-mmm")&amp;". "&amp;IF($Z337=6,"Final escalation completed.",IF($U337="OVERDUE","Next: "&amp;$AC337&amp;" was due "&amp;TEXT($AB337,"dd-mmm")&amp;" - "&amp;(NETWORKDAYS($AB337,TODAY(),Holidays)-1)&amp;" business day(s) late. Send now.",IF($U337="DUE TOMORROW","Next: "&amp;$AC337&amp;IF($AB337&lt;=TODAY()," is due TODAY ("," is due next business day (")&amp;TEXT($AB337,"dd-mmm")&amp;").","Next: "&amp;$AC337&amp;" due "&amp;TEXT($AB337,"dd-mmm")&amp;" ("&amp;(NETWORKDAYS(TODAY(),$AB337,Holidays)-1)&amp;" business day(s) left).")))))</f>
        <v/>
      </c>
      <c r="W337" s="17">
        <f>IF($Z337="","",CHOOSE($Z337,"Collection Email","1st Follow-up","2nd Follow-up","Local Office","CBE","Roxanne")&amp;IF($Z337=6," - Final"," - Day "&amp;MAX(0,NETWORKDAYS($AA337,TODAY(),Holidays)-1)&amp;" of "&amp;CHOOSE($Z337,3,3,2,2,3))&amp;" | Total Day "&amp;MAX(0,NETWORKDAYS($N337,TODAY(),Holidays)-1))</f>
        <v/>
      </c>
      <c r="X337" s="18"/>
      <c r="Y337" s="18"/>
      <c r="Z337" s="17">
        <f>IF($N337="","",COUNT($N337:$S337))</f>
        <v/>
      </c>
      <c r="AA337" s="19">
        <f>IF($Z337="","",INT(INDEX($N337:$S337,$Z337)))</f>
        <v/>
      </c>
      <c r="AB337" s="19">
        <f>IF(OR($Z337="",$Z337=6),"",WORKDAY($AA337,CHOOSE($Z337,3,3,2,2,3),Holidays))</f>
        <v/>
      </c>
      <c r="AC337" s="17">
        <f>IF(OR($Z337="",$Z337=6),"",CHOOSE($Z337,"1st Email Follow-up","2nd Email Follow-up","Escalate Local Office","Escalate to CBE","Escalate to Roxanne"))</f>
        <v/>
      </c>
    </row>
    <row r="338" spans="13:29">
      <c r="M338" s="14"/>
      <c r="T338" s="16"/>
      <c r="U338" s="17">
        <f>IF(AND(COUNTA($A338:$L338)=0,$N338=""),"",IF($T338="Paid","PAID",IF($T338="Closed","CLOSED",IF($Z338="","",IF($Z338=6,"ESCALATED TO ROXANNE",IF(TODAY()&gt;$AB338,"OVERDUE",IF($AB338&lt;=WORKDAY(TODAY(),1,Holidays),"DUE TOMORROW",IF($Z338=4,"ESCALATED TO LOCAL OFFICE",IF($Z338=5,"ESCALATED TO CBE",IF($AA338=TODAY(),"EMAIL SENT","MONITORING"))))))))))</f>
        <v/>
      </c>
      <c r="V338" s="17">
        <f>IF($U338="",IF(AND(COUNTA($A338:$L338)&gt;0,$N338=""),"Awaiting Collection Email time stamp.",""),IF(OR($U338="PAID",$U338="CLOSED"),IF($U338="PAID","Account paid. Action completed.","Account closed. No further action required."),CHOOSE($Z338,"Collection Email","1st Email Follow-up","2nd Email Follow-up","Escalation to Local Office","Escalation to CBE","Escalation to Roxanne")&amp;" sent "&amp;TEXT($AA338,"dd-mmm")&amp;". "&amp;IF($Z338=6,"Final escalation completed.",IF($U338="OVERDUE","Next: "&amp;$AC338&amp;" was due "&amp;TEXT($AB338,"dd-mmm")&amp;" - "&amp;(NETWORKDAYS($AB338,TODAY(),Holidays)-1)&amp;" business day(s) late. Send now.",IF($U338="DUE TOMORROW","Next: "&amp;$AC338&amp;IF($AB338&lt;=TODAY()," is due TODAY ("," is due next business day (")&amp;TEXT($AB338,"dd-mmm")&amp;").","Next: "&amp;$AC338&amp;" due "&amp;TEXT($AB338,"dd-mmm")&amp;" ("&amp;(NETWORKDAYS(TODAY(),$AB338,Holidays)-1)&amp;" business day(s) left).")))))</f>
        <v/>
      </c>
      <c r="W338" s="17">
        <f>IF($Z338="","",CHOOSE($Z338,"Collection Email","1st Follow-up","2nd Follow-up","Local Office","CBE","Roxanne")&amp;IF($Z338=6," - Final"," - Day "&amp;MAX(0,NETWORKDAYS($AA338,TODAY(),Holidays)-1)&amp;" of "&amp;CHOOSE($Z338,3,3,2,2,3))&amp;" | Total Day "&amp;MAX(0,NETWORKDAYS($N338,TODAY(),Holidays)-1))</f>
        <v/>
      </c>
      <c r="X338" s="18"/>
      <c r="Y338" s="18"/>
      <c r="Z338" s="17">
        <f>IF($N338="","",COUNT($N338:$S338))</f>
        <v/>
      </c>
      <c r="AA338" s="19">
        <f>IF($Z338="","",INT(INDEX($N338:$S338,$Z338)))</f>
        <v/>
      </c>
      <c r="AB338" s="19">
        <f>IF(OR($Z338="",$Z338=6),"",WORKDAY($AA338,CHOOSE($Z338,3,3,2,2,3),Holidays))</f>
        <v/>
      </c>
      <c r="AC338" s="17">
        <f>IF(OR($Z338="",$Z338=6),"",CHOOSE($Z338,"1st Email Follow-up","2nd Email Follow-up","Escalate Local Office","Escalate to CBE","Escalate to Roxanne"))</f>
        <v/>
      </c>
    </row>
    <row r="339" spans="13:29">
      <c r="M339" s="14"/>
      <c r="T339" s="16"/>
      <c r="U339" s="17">
        <f>IF(AND(COUNTA($A339:$L339)=0,$N339=""),"",IF($T339="Paid","PAID",IF($T339="Closed","CLOSED",IF($Z339="","",IF($Z339=6,"ESCALATED TO ROXANNE",IF(TODAY()&gt;$AB339,"OVERDUE",IF($AB339&lt;=WORKDAY(TODAY(),1,Holidays),"DUE TOMORROW",IF($Z339=4,"ESCALATED TO LOCAL OFFICE",IF($Z339=5,"ESCALATED TO CBE",IF($AA339=TODAY(),"EMAIL SENT","MONITORING"))))))))))</f>
        <v/>
      </c>
      <c r="V339" s="17">
        <f>IF($U339="",IF(AND(COUNTA($A339:$L339)&gt;0,$N339=""),"Awaiting Collection Email time stamp.",""),IF(OR($U339="PAID",$U339="CLOSED"),IF($U339="PAID","Account paid. Action completed.","Account closed. No further action required."),CHOOSE($Z339,"Collection Email","1st Email Follow-up","2nd Email Follow-up","Escalation to Local Office","Escalation to CBE","Escalation to Roxanne")&amp;" sent "&amp;TEXT($AA339,"dd-mmm")&amp;". "&amp;IF($Z339=6,"Final escalation completed.",IF($U339="OVERDUE","Next: "&amp;$AC339&amp;" was due "&amp;TEXT($AB339,"dd-mmm")&amp;" - "&amp;(NETWORKDAYS($AB339,TODAY(),Holidays)-1)&amp;" business day(s) late. Send now.",IF($U339="DUE TOMORROW","Next: "&amp;$AC339&amp;IF($AB339&lt;=TODAY()," is due TODAY ("," is due next business day (")&amp;TEXT($AB339,"dd-mmm")&amp;").","Next: "&amp;$AC339&amp;" due "&amp;TEXT($AB339,"dd-mmm")&amp;" ("&amp;(NETWORKDAYS(TODAY(),$AB339,Holidays)-1)&amp;" business day(s) left).")))))</f>
        <v/>
      </c>
      <c r="W339" s="17">
        <f>IF($Z339="","",CHOOSE($Z339,"Collection Email","1st Follow-up","2nd Follow-up","Local Office","CBE","Roxanne")&amp;IF($Z339=6," - Final"," - Day "&amp;MAX(0,NETWORKDAYS($AA339,TODAY(),Holidays)-1)&amp;" of "&amp;CHOOSE($Z339,3,3,2,2,3))&amp;" | Total Day "&amp;MAX(0,NETWORKDAYS($N339,TODAY(),Holidays)-1))</f>
        <v/>
      </c>
      <c r="X339" s="18"/>
      <c r="Y339" s="18"/>
      <c r="Z339" s="17">
        <f>IF($N339="","",COUNT($N339:$S339))</f>
        <v/>
      </c>
      <c r="AA339" s="19">
        <f>IF($Z339="","",INT(INDEX($N339:$S339,$Z339)))</f>
        <v/>
      </c>
      <c r="AB339" s="19">
        <f>IF(OR($Z339="",$Z339=6),"",WORKDAY($AA339,CHOOSE($Z339,3,3,2,2,3),Holidays))</f>
        <v/>
      </c>
      <c r="AC339" s="17">
        <f>IF(OR($Z339="",$Z339=6),"",CHOOSE($Z339,"1st Email Follow-up","2nd Email Follow-up","Escalate Local Office","Escalate to CBE","Escalate to Roxanne"))</f>
        <v/>
      </c>
    </row>
    <row r="340" spans="13:29">
      <c r="M340" s="14"/>
      <c r="T340" s="16"/>
      <c r="U340" s="17">
        <f>IF(AND(COUNTA($A340:$L340)=0,$N340=""),"",IF($T340="Paid","PAID",IF($T340="Closed","CLOSED",IF($Z340="","",IF($Z340=6,"ESCALATED TO ROXANNE",IF(TODAY()&gt;$AB340,"OVERDUE",IF($AB340&lt;=WORKDAY(TODAY(),1,Holidays),"DUE TOMORROW",IF($Z340=4,"ESCALATED TO LOCAL OFFICE",IF($Z340=5,"ESCALATED TO CBE",IF($AA340=TODAY(),"EMAIL SENT","MONITORING"))))))))))</f>
        <v/>
      </c>
      <c r="V340" s="17">
        <f>IF($U340="",IF(AND(COUNTA($A340:$L340)&gt;0,$N340=""),"Awaiting Collection Email time stamp.",""),IF(OR($U340="PAID",$U340="CLOSED"),IF($U340="PAID","Account paid. Action completed.","Account closed. No further action required."),CHOOSE($Z340,"Collection Email","1st Email Follow-up","2nd Email Follow-up","Escalation to Local Office","Escalation to CBE","Escalation to Roxanne")&amp;" sent "&amp;TEXT($AA340,"dd-mmm")&amp;". "&amp;IF($Z340=6,"Final escalation completed.",IF($U340="OVERDUE","Next: "&amp;$AC340&amp;" was due "&amp;TEXT($AB340,"dd-mmm")&amp;" - "&amp;(NETWORKDAYS($AB340,TODAY(),Holidays)-1)&amp;" business day(s) late. Send now.",IF($U340="DUE TOMORROW","Next: "&amp;$AC340&amp;IF($AB340&lt;=TODAY()," is due TODAY ("," is due next business day (")&amp;TEXT($AB340,"dd-mmm")&amp;").","Next: "&amp;$AC340&amp;" due "&amp;TEXT($AB340,"dd-mmm")&amp;" ("&amp;(NETWORKDAYS(TODAY(),$AB340,Holidays)-1)&amp;" business day(s) left).")))))</f>
        <v/>
      </c>
      <c r="W340" s="17">
        <f>IF($Z340="","",CHOOSE($Z340,"Collection Email","1st Follow-up","2nd Follow-up","Local Office","CBE","Roxanne")&amp;IF($Z340=6," - Final"," - Day "&amp;MAX(0,NETWORKDAYS($AA340,TODAY(),Holidays)-1)&amp;" of "&amp;CHOOSE($Z340,3,3,2,2,3))&amp;" | Total Day "&amp;MAX(0,NETWORKDAYS($N340,TODAY(),Holidays)-1))</f>
        <v/>
      </c>
      <c r="X340" s="18"/>
      <c r="Y340" s="18"/>
      <c r="Z340" s="17">
        <f>IF($N340="","",COUNT($N340:$S340))</f>
        <v/>
      </c>
      <c r="AA340" s="19">
        <f>IF($Z340="","",INT(INDEX($N340:$S340,$Z340)))</f>
        <v/>
      </c>
      <c r="AB340" s="19">
        <f>IF(OR($Z340="",$Z340=6),"",WORKDAY($AA340,CHOOSE($Z340,3,3,2,2,3),Holidays))</f>
        <v/>
      </c>
      <c r="AC340" s="17">
        <f>IF(OR($Z340="",$Z340=6),"",CHOOSE($Z340,"1st Email Follow-up","2nd Email Follow-up","Escalate Local Office","Escalate to CBE","Escalate to Roxanne"))</f>
        <v/>
      </c>
    </row>
    <row r="341" spans="13:29">
      <c r="M341" s="14"/>
      <c r="T341" s="16"/>
      <c r="U341" s="17">
        <f>IF(AND(COUNTA($A341:$L341)=0,$N341=""),"",IF($T341="Paid","PAID",IF($T341="Closed","CLOSED",IF($Z341="","",IF($Z341=6,"ESCALATED TO ROXANNE",IF(TODAY()&gt;$AB341,"OVERDUE",IF($AB341&lt;=WORKDAY(TODAY(),1,Holidays),"DUE TOMORROW",IF($Z341=4,"ESCALATED TO LOCAL OFFICE",IF($Z341=5,"ESCALATED TO CBE",IF($AA341=TODAY(),"EMAIL SENT","MONITORING"))))))))))</f>
        <v/>
      </c>
      <c r="V341" s="17">
        <f>IF($U341="",IF(AND(COUNTA($A341:$L341)&gt;0,$N341=""),"Awaiting Collection Email time stamp.",""),IF(OR($U341="PAID",$U341="CLOSED"),IF($U341="PAID","Account paid. Action completed.","Account closed. No further action required."),CHOOSE($Z341,"Collection Email","1st Email Follow-up","2nd Email Follow-up","Escalation to Local Office","Escalation to CBE","Escalation to Roxanne")&amp;" sent "&amp;TEXT($AA341,"dd-mmm")&amp;". "&amp;IF($Z341=6,"Final escalation completed.",IF($U341="OVERDUE","Next: "&amp;$AC341&amp;" was due "&amp;TEXT($AB341,"dd-mmm")&amp;" - "&amp;(NETWORKDAYS($AB341,TODAY(),Holidays)-1)&amp;" business day(s) late. Send now.",IF($U341="DUE TOMORROW","Next: "&amp;$AC341&amp;IF($AB341&lt;=TODAY()," is due TODAY ("," is due next business day (")&amp;TEXT($AB341,"dd-mmm")&amp;").","Next: "&amp;$AC341&amp;" due "&amp;TEXT($AB341,"dd-mmm")&amp;" ("&amp;(NETWORKDAYS(TODAY(),$AB341,Holidays)-1)&amp;" business day(s) left).")))))</f>
        <v/>
      </c>
      <c r="W341" s="17">
        <f>IF($Z341="","",CHOOSE($Z341,"Collection Email","1st Follow-up","2nd Follow-up","Local Office","CBE","Roxanne")&amp;IF($Z341=6," - Final"," - Day "&amp;MAX(0,NETWORKDAYS($AA341,TODAY(),Holidays)-1)&amp;" of "&amp;CHOOSE($Z341,3,3,2,2,3))&amp;" | Total Day "&amp;MAX(0,NETWORKDAYS($N341,TODAY(),Holidays)-1))</f>
        <v/>
      </c>
      <c r="X341" s="18"/>
      <c r="Y341" s="18"/>
      <c r="Z341" s="17">
        <f>IF($N341="","",COUNT($N341:$S341))</f>
        <v/>
      </c>
      <c r="AA341" s="19">
        <f>IF($Z341="","",INT(INDEX($N341:$S341,$Z341)))</f>
        <v/>
      </c>
      <c r="AB341" s="19">
        <f>IF(OR($Z341="",$Z341=6),"",WORKDAY($AA341,CHOOSE($Z341,3,3,2,2,3),Holidays))</f>
        <v/>
      </c>
      <c r="AC341" s="17">
        <f>IF(OR($Z341="",$Z341=6),"",CHOOSE($Z341,"1st Email Follow-up","2nd Email Follow-up","Escalate Local Office","Escalate to CBE","Escalate to Roxanne"))</f>
        <v/>
      </c>
    </row>
    <row r="342" spans="13:29">
      <c r="M342" s="14"/>
      <c r="T342" s="16"/>
      <c r="U342" s="17">
        <f>IF(AND(COUNTA($A342:$L342)=0,$N342=""),"",IF($T342="Paid","PAID",IF($T342="Closed","CLOSED",IF($Z342="","",IF($Z342=6,"ESCALATED TO ROXANNE",IF(TODAY()&gt;$AB342,"OVERDUE",IF($AB342&lt;=WORKDAY(TODAY(),1,Holidays),"DUE TOMORROW",IF($Z342=4,"ESCALATED TO LOCAL OFFICE",IF($Z342=5,"ESCALATED TO CBE",IF($AA342=TODAY(),"EMAIL SENT","MONITORING"))))))))))</f>
        <v/>
      </c>
      <c r="V342" s="17">
        <f>IF($U342="",IF(AND(COUNTA($A342:$L342)&gt;0,$N342=""),"Awaiting Collection Email time stamp.",""),IF(OR($U342="PAID",$U342="CLOSED"),IF($U342="PAID","Account paid. Action completed.","Account closed. No further action required."),CHOOSE($Z342,"Collection Email","1st Email Follow-up","2nd Email Follow-up","Escalation to Local Office","Escalation to CBE","Escalation to Roxanne")&amp;" sent "&amp;TEXT($AA342,"dd-mmm")&amp;". "&amp;IF($Z342=6,"Final escalation completed.",IF($U342="OVERDUE","Next: "&amp;$AC342&amp;" was due "&amp;TEXT($AB342,"dd-mmm")&amp;" - "&amp;(NETWORKDAYS($AB342,TODAY(),Holidays)-1)&amp;" business day(s) late. Send now.",IF($U342="DUE TOMORROW","Next: "&amp;$AC342&amp;IF($AB342&lt;=TODAY()," is due TODAY ("," is due next business day (")&amp;TEXT($AB342,"dd-mmm")&amp;").","Next: "&amp;$AC342&amp;" due "&amp;TEXT($AB342,"dd-mmm")&amp;" ("&amp;(NETWORKDAYS(TODAY(),$AB342,Holidays)-1)&amp;" business day(s) left).")))))</f>
        <v/>
      </c>
      <c r="W342" s="17">
        <f>IF($Z342="","",CHOOSE($Z342,"Collection Email","1st Follow-up","2nd Follow-up","Local Office","CBE","Roxanne")&amp;IF($Z342=6," - Final"," - Day "&amp;MAX(0,NETWORKDAYS($AA342,TODAY(),Holidays)-1)&amp;" of "&amp;CHOOSE($Z342,3,3,2,2,3))&amp;" | Total Day "&amp;MAX(0,NETWORKDAYS($N342,TODAY(),Holidays)-1))</f>
        <v/>
      </c>
      <c r="X342" s="18"/>
      <c r="Y342" s="18"/>
      <c r="Z342" s="17">
        <f>IF($N342="","",COUNT($N342:$S342))</f>
        <v/>
      </c>
      <c r="AA342" s="19">
        <f>IF($Z342="","",INT(INDEX($N342:$S342,$Z342)))</f>
        <v/>
      </c>
      <c r="AB342" s="19">
        <f>IF(OR($Z342="",$Z342=6),"",WORKDAY($AA342,CHOOSE($Z342,3,3,2,2,3),Holidays))</f>
        <v/>
      </c>
      <c r="AC342" s="17">
        <f>IF(OR($Z342="",$Z342=6),"",CHOOSE($Z342,"1st Email Follow-up","2nd Email Follow-up","Escalate Local Office","Escalate to CBE","Escalate to Roxanne"))</f>
        <v/>
      </c>
    </row>
    <row r="343" spans="13:29">
      <c r="M343" s="14"/>
      <c r="T343" s="16"/>
      <c r="U343" s="17">
        <f>IF(AND(COUNTA($A343:$L343)=0,$N343=""),"",IF($T343="Paid","PAID",IF($T343="Closed","CLOSED",IF($Z343="","",IF($Z343=6,"ESCALATED TO ROXANNE",IF(TODAY()&gt;$AB343,"OVERDUE",IF($AB343&lt;=WORKDAY(TODAY(),1,Holidays),"DUE TOMORROW",IF($Z343=4,"ESCALATED TO LOCAL OFFICE",IF($Z343=5,"ESCALATED TO CBE",IF($AA343=TODAY(),"EMAIL SENT","MONITORING"))))))))))</f>
        <v/>
      </c>
      <c r="V343" s="17">
        <f>IF($U343="",IF(AND(COUNTA($A343:$L343)&gt;0,$N343=""),"Awaiting Collection Email time stamp.",""),IF(OR($U343="PAID",$U343="CLOSED"),IF($U343="PAID","Account paid. Action completed.","Account closed. No further action required."),CHOOSE($Z343,"Collection Email","1st Email Follow-up","2nd Email Follow-up","Escalation to Local Office","Escalation to CBE","Escalation to Roxanne")&amp;" sent "&amp;TEXT($AA343,"dd-mmm")&amp;". "&amp;IF($Z343=6,"Final escalation completed.",IF($U343="OVERDUE","Next: "&amp;$AC343&amp;" was due "&amp;TEXT($AB343,"dd-mmm")&amp;" - "&amp;(NETWORKDAYS($AB343,TODAY(),Holidays)-1)&amp;" business day(s) late. Send now.",IF($U343="DUE TOMORROW","Next: "&amp;$AC343&amp;IF($AB343&lt;=TODAY()," is due TODAY ("," is due next business day (")&amp;TEXT($AB343,"dd-mmm")&amp;").","Next: "&amp;$AC343&amp;" due "&amp;TEXT($AB343,"dd-mmm")&amp;" ("&amp;(NETWORKDAYS(TODAY(),$AB343,Holidays)-1)&amp;" business day(s) left).")))))</f>
        <v/>
      </c>
      <c r="W343" s="17">
        <f>IF($Z343="","",CHOOSE($Z343,"Collection Email","1st Follow-up","2nd Follow-up","Local Office","CBE","Roxanne")&amp;IF($Z343=6," - Final"," - Day "&amp;MAX(0,NETWORKDAYS($AA343,TODAY(),Holidays)-1)&amp;" of "&amp;CHOOSE($Z343,3,3,2,2,3))&amp;" | Total Day "&amp;MAX(0,NETWORKDAYS($N343,TODAY(),Holidays)-1))</f>
        <v/>
      </c>
      <c r="X343" s="18"/>
      <c r="Y343" s="18"/>
      <c r="Z343" s="17">
        <f>IF($N343="","",COUNT($N343:$S343))</f>
        <v/>
      </c>
      <c r="AA343" s="19">
        <f>IF($Z343="","",INT(INDEX($N343:$S343,$Z343)))</f>
        <v/>
      </c>
      <c r="AB343" s="19">
        <f>IF(OR($Z343="",$Z343=6),"",WORKDAY($AA343,CHOOSE($Z343,3,3,2,2,3),Holidays))</f>
        <v/>
      </c>
      <c r="AC343" s="17">
        <f>IF(OR($Z343="",$Z343=6),"",CHOOSE($Z343,"1st Email Follow-up","2nd Email Follow-up","Escalate Local Office","Escalate to CBE","Escalate to Roxanne"))</f>
        <v/>
      </c>
    </row>
    <row r="344" spans="13:29">
      <c r="M344" s="14"/>
      <c r="T344" s="16"/>
      <c r="U344" s="17">
        <f>IF(AND(COUNTA($A344:$L344)=0,$N344=""),"",IF($T344="Paid","PAID",IF($T344="Closed","CLOSED",IF($Z344="","",IF($Z344=6,"ESCALATED TO ROXANNE",IF(TODAY()&gt;$AB344,"OVERDUE",IF($AB344&lt;=WORKDAY(TODAY(),1,Holidays),"DUE TOMORROW",IF($Z344=4,"ESCALATED TO LOCAL OFFICE",IF($Z344=5,"ESCALATED TO CBE",IF($AA344=TODAY(),"EMAIL SENT","MONITORING"))))))))))</f>
        <v/>
      </c>
      <c r="V344" s="17">
        <f>IF($U344="",IF(AND(COUNTA($A344:$L344)&gt;0,$N344=""),"Awaiting Collection Email time stamp.",""),IF(OR($U344="PAID",$U344="CLOSED"),IF($U344="PAID","Account paid. Action completed.","Account closed. No further action required."),CHOOSE($Z344,"Collection Email","1st Email Follow-up","2nd Email Follow-up","Escalation to Local Office","Escalation to CBE","Escalation to Roxanne")&amp;" sent "&amp;TEXT($AA344,"dd-mmm")&amp;". "&amp;IF($Z344=6,"Final escalation completed.",IF($U344="OVERDUE","Next: "&amp;$AC344&amp;" was due "&amp;TEXT($AB344,"dd-mmm")&amp;" - "&amp;(NETWORKDAYS($AB344,TODAY(),Holidays)-1)&amp;" business day(s) late. Send now.",IF($U344="DUE TOMORROW","Next: "&amp;$AC344&amp;IF($AB344&lt;=TODAY()," is due TODAY ("," is due next business day (")&amp;TEXT($AB344,"dd-mmm")&amp;").","Next: "&amp;$AC344&amp;" due "&amp;TEXT($AB344,"dd-mmm")&amp;" ("&amp;(NETWORKDAYS(TODAY(),$AB344,Holidays)-1)&amp;" business day(s) left).")))))</f>
        <v/>
      </c>
      <c r="W344" s="17">
        <f>IF($Z344="","",CHOOSE($Z344,"Collection Email","1st Follow-up","2nd Follow-up","Local Office","CBE","Roxanne")&amp;IF($Z344=6," - Final"," - Day "&amp;MAX(0,NETWORKDAYS($AA344,TODAY(),Holidays)-1)&amp;" of "&amp;CHOOSE($Z344,3,3,2,2,3))&amp;" | Total Day "&amp;MAX(0,NETWORKDAYS($N344,TODAY(),Holidays)-1))</f>
        <v/>
      </c>
      <c r="X344" s="18"/>
      <c r="Y344" s="18"/>
      <c r="Z344" s="17">
        <f>IF($N344="","",COUNT($N344:$S344))</f>
        <v/>
      </c>
      <c r="AA344" s="19">
        <f>IF($Z344="","",INT(INDEX($N344:$S344,$Z344)))</f>
        <v/>
      </c>
      <c r="AB344" s="19">
        <f>IF(OR($Z344="",$Z344=6),"",WORKDAY($AA344,CHOOSE($Z344,3,3,2,2,3),Holidays))</f>
        <v/>
      </c>
      <c r="AC344" s="17">
        <f>IF(OR($Z344="",$Z344=6),"",CHOOSE($Z344,"1st Email Follow-up","2nd Email Follow-up","Escalate Local Office","Escalate to CBE","Escalate to Roxanne"))</f>
        <v/>
      </c>
    </row>
    <row r="345" spans="13:29">
      <c r="M345" s="14"/>
      <c r="T345" s="16"/>
      <c r="U345" s="17">
        <f>IF(AND(COUNTA($A345:$L345)=0,$N345=""),"",IF($T345="Paid","PAID",IF($T345="Closed","CLOSED",IF($Z345="","",IF($Z345=6,"ESCALATED TO ROXANNE",IF(TODAY()&gt;$AB345,"OVERDUE",IF($AB345&lt;=WORKDAY(TODAY(),1,Holidays),"DUE TOMORROW",IF($Z345=4,"ESCALATED TO LOCAL OFFICE",IF($Z345=5,"ESCALATED TO CBE",IF($AA345=TODAY(),"EMAIL SENT","MONITORING"))))))))))</f>
        <v/>
      </c>
      <c r="V345" s="17">
        <f>IF($U345="",IF(AND(COUNTA($A345:$L345)&gt;0,$N345=""),"Awaiting Collection Email time stamp.",""),IF(OR($U345="PAID",$U345="CLOSED"),IF($U345="PAID","Account paid. Action completed.","Account closed. No further action required."),CHOOSE($Z345,"Collection Email","1st Email Follow-up","2nd Email Follow-up","Escalation to Local Office","Escalation to CBE","Escalation to Roxanne")&amp;" sent "&amp;TEXT($AA345,"dd-mmm")&amp;". "&amp;IF($Z345=6,"Final escalation completed.",IF($U345="OVERDUE","Next: "&amp;$AC345&amp;" was due "&amp;TEXT($AB345,"dd-mmm")&amp;" - "&amp;(NETWORKDAYS($AB345,TODAY(),Holidays)-1)&amp;" business day(s) late. Send now.",IF($U345="DUE TOMORROW","Next: "&amp;$AC345&amp;IF($AB345&lt;=TODAY()," is due TODAY ("," is due next business day (")&amp;TEXT($AB345,"dd-mmm")&amp;").","Next: "&amp;$AC345&amp;" due "&amp;TEXT($AB345,"dd-mmm")&amp;" ("&amp;(NETWORKDAYS(TODAY(),$AB345,Holidays)-1)&amp;" business day(s) left).")))))</f>
        <v/>
      </c>
      <c r="W345" s="17">
        <f>IF($Z345="","",CHOOSE($Z345,"Collection Email","1st Follow-up","2nd Follow-up","Local Office","CBE","Roxanne")&amp;IF($Z345=6," - Final"," - Day "&amp;MAX(0,NETWORKDAYS($AA345,TODAY(),Holidays)-1)&amp;" of "&amp;CHOOSE($Z345,3,3,2,2,3))&amp;" | Total Day "&amp;MAX(0,NETWORKDAYS($N345,TODAY(),Holidays)-1))</f>
        <v/>
      </c>
      <c r="X345" s="18"/>
      <c r="Y345" s="18"/>
      <c r="Z345" s="17">
        <f>IF($N345="","",COUNT($N345:$S345))</f>
        <v/>
      </c>
      <c r="AA345" s="19">
        <f>IF($Z345="","",INT(INDEX($N345:$S345,$Z345)))</f>
        <v/>
      </c>
      <c r="AB345" s="19">
        <f>IF(OR($Z345="",$Z345=6),"",WORKDAY($AA345,CHOOSE($Z345,3,3,2,2,3),Holidays))</f>
        <v/>
      </c>
      <c r="AC345" s="17">
        <f>IF(OR($Z345="",$Z345=6),"",CHOOSE($Z345,"1st Email Follow-up","2nd Email Follow-up","Escalate Local Office","Escalate to CBE","Escalate to Roxanne"))</f>
        <v/>
      </c>
    </row>
    <row r="346" spans="13:29">
      <c r="M346" s="14"/>
      <c r="T346" s="16"/>
      <c r="U346" s="17">
        <f>IF(AND(COUNTA($A346:$L346)=0,$N346=""),"",IF($T346="Paid","PAID",IF($T346="Closed","CLOSED",IF($Z346="","",IF($Z346=6,"ESCALATED TO ROXANNE",IF(TODAY()&gt;$AB346,"OVERDUE",IF($AB346&lt;=WORKDAY(TODAY(),1,Holidays),"DUE TOMORROW",IF($Z346=4,"ESCALATED TO LOCAL OFFICE",IF($Z346=5,"ESCALATED TO CBE",IF($AA346=TODAY(),"EMAIL SENT","MONITORING"))))))))))</f>
        <v/>
      </c>
      <c r="V346" s="17">
        <f>IF($U346="",IF(AND(COUNTA($A346:$L346)&gt;0,$N346=""),"Awaiting Collection Email time stamp.",""),IF(OR($U346="PAID",$U346="CLOSED"),IF($U346="PAID","Account paid. Action completed.","Account closed. No further action required."),CHOOSE($Z346,"Collection Email","1st Email Follow-up","2nd Email Follow-up","Escalation to Local Office","Escalation to CBE","Escalation to Roxanne")&amp;" sent "&amp;TEXT($AA346,"dd-mmm")&amp;". "&amp;IF($Z346=6,"Final escalation completed.",IF($U346="OVERDUE","Next: "&amp;$AC346&amp;" was due "&amp;TEXT($AB346,"dd-mmm")&amp;" - "&amp;(NETWORKDAYS($AB346,TODAY(),Holidays)-1)&amp;" business day(s) late. Send now.",IF($U346="DUE TOMORROW","Next: "&amp;$AC346&amp;IF($AB346&lt;=TODAY()," is due TODAY ("," is due next business day (")&amp;TEXT($AB346,"dd-mmm")&amp;").","Next: "&amp;$AC346&amp;" due "&amp;TEXT($AB346,"dd-mmm")&amp;" ("&amp;(NETWORKDAYS(TODAY(),$AB346,Holidays)-1)&amp;" business day(s) left).")))))</f>
        <v/>
      </c>
      <c r="W346" s="17">
        <f>IF($Z346="","",CHOOSE($Z346,"Collection Email","1st Follow-up","2nd Follow-up","Local Office","CBE","Roxanne")&amp;IF($Z346=6," - Final"," - Day "&amp;MAX(0,NETWORKDAYS($AA346,TODAY(),Holidays)-1)&amp;" of "&amp;CHOOSE($Z346,3,3,2,2,3))&amp;" | Total Day "&amp;MAX(0,NETWORKDAYS($N346,TODAY(),Holidays)-1))</f>
        <v/>
      </c>
      <c r="X346" s="18"/>
      <c r="Y346" s="18"/>
      <c r="Z346" s="17">
        <f>IF($N346="","",COUNT($N346:$S346))</f>
        <v/>
      </c>
      <c r="AA346" s="19">
        <f>IF($Z346="","",INT(INDEX($N346:$S346,$Z346)))</f>
        <v/>
      </c>
      <c r="AB346" s="19">
        <f>IF(OR($Z346="",$Z346=6),"",WORKDAY($AA346,CHOOSE($Z346,3,3,2,2,3),Holidays))</f>
        <v/>
      </c>
      <c r="AC346" s="17">
        <f>IF(OR($Z346="",$Z346=6),"",CHOOSE($Z346,"1st Email Follow-up","2nd Email Follow-up","Escalate Local Office","Escalate to CBE","Escalate to Roxanne"))</f>
        <v/>
      </c>
    </row>
    <row r="347" spans="13:29">
      <c r="M347" s="14"/>
      <c r="T347" s="16"/>
      <c r="U347" s="17">
        <f>IF(AND(COUNTA($A347:$L347)=0,$N347=""),"",IF($T347="Paid","PAID",IF($T347="Closed","CLOSED",IF($Z347="","",IF($Z347=6,"ESCALATED TO ROXANNE",IF(TODAY()&gt;$AB347,"OVERDUE",IF($AB347&lt;=WORKDAY(TODAY(),1,Holidays),"DUE TOMORROW",IF($Z347=4,"ESCALATED TO LOCAL OFFICE",IF($Z347=5,"ESCALATED TO CBE",IF($AA347=TODAY(),"EMAIL SENT","MONITORING"))))))))))</f>
        <v/>
      </c>
      <c r="V347" s="17">
        <f>IF($U347="",IF(AND(COUNTA($A347:$L347)&gt;0,$N347=""),"Awaiting Collection Email time stamp.",""),IF(OR($U347="PAID",$U347="CLOSED"),IF($U347="PAID","Account paid. Action completed.","Account closed. No further action required."),CHOOSE($Z347,"Collection Email","1st Email Follow-up","2nd Email Follow-up","Escalation to Local Office","Escalation to CBE","Escalation to Roxanne")&amp;" sent "&amp;TEXT($AA347,"dd-mmm")&amp;". "&amp;IF($Z347=6,"Final escalation completed.",IF($U347="OVERDUE","Next: "&amp;$AC347&amp;" was due "&amp;TEXT($AB347,"dd-mmm")&amp;" - "&amp;(NETWORKDAYS($AB347,TODAY(),Holidays)-1)&amp;" business day(s) late. Send now.",IF($U347="DUE TOMORROW","Next: "&amp;$AC347&amp;IF($AB347&lt;=TODAY()," is due TODAY ("," is due next business day (")&amp;TEXT($AB347,"dd-mmm")&amp;").","Next: "&amp;$AC347&amp;" due "&amp;TEXT($AB347,"dd-mmm")&amp;" ("&amp;(NETWORKDAYS(TODAY(),$AB347,Holidays)-1)&amp;" business day(s) left).")))))</f>
        <v/>
      </c>
      <c r="W347" s="17">
        <f>IF($Z347="","",CHOOSE($Z347,"Collection Email","1st Follow-up","2nd Follow-up","Local Office","CBE","Roxanne")&amp;IF($Z347=6," - Final"," - Day "&amp;MAX(0,NETWORKDAYS($AA347,TODAY(),Holidays)-1)&amp;" of "&amp;CHOOSE($Z347,3,3,2,2,3))&amp;" | Total Day "&amp;MAX(0,NETWORKDAYS($N347,TODAY(),Holidays)-1))</f>
        <v/>
      </c>
      <c r="X347" s="18"/>
      <c r="Y347" s="18"/>
      <c r="Z347" s="17">
        <f>IF($N347="","",COUNT($N347:$S347))</f>
        <v/>
      </c>
      <c r="AA347" s="19">
        <f>IF($Z347="","",INT(INDEX($N347:$S347,$Z347)))</f>
        <v/>
      </c>
      <c r="AB347" s="19">
        <f>IF(OR($Z347="",$Z347=6),"",WORKDAY($AA347,CHOOSE($Z347,3,3,2,2,3),Holidays))</f>
        <v/>
      </c>
      <c r="AC347" s="17">
        <f>IF(OR($Z347="",$Z347=6),"",CHOOSE($Z347,"1st Email Follow-up","2nd Email Follow-up","Escalate Local Office","Escalate to CBE","Escalate to Roxanne"))</f>
        <v/>
      </c>
    </row>
    <row r="348" spans="13:29">
      <c r="M348" s="14"/>
      <c r="T348" s="16"/>
      <c r="U348" s="17">
        <f>IF(AND(COUNTA($A348:$L348)=0,$N348=""),"",IF($T348="Paid","PAID",IF($T348="Closed","CLOSED",IF($Z348="","",IF($Z348=6,"ESCALATED TO ROXANNE",IF(TODAY()&gt;$AB348,"OVERDUE",IF($AB348&lt;=WORKDAY(TODAY(),1,Holidays),"DUE TOMORROW",IF($Z348=4,"ESCALATED TO LOCAL OFFICE",IF($Z348=5,"ESCALATED TO CBE",IF($AA348=TODAY(),"EMAIL SENT","MONITORING"))))))))))</f>
        <v/>
      </c>
      <c r="V348" s="17">
        <f>IF($U348="",IF(AND(COUNTA($A348:$L348)&gt;0,$N348=""),"Awaiting Collection Email time stamp.",""),IF(OR($U348="PAID",$U348="CLOSED"),IF($U348="PAID","Account paid. Action completed.","Account closed. No further action required."),CHOOSE($Z348,"Collection Email","1st Email Follow-up","2nd Email Follow-up","Escalation to Local Office","Escalation to CBE","Escalation to Roxanne")&amp;" sent "&amp;TEXT($AA348,"dd-mmm")&amp;". "&amp;IF($Z348=6,"Final escalation completed.",IF($U348="OVERDUE","Next: "&amp;$AC348&amp;" was due "&amp;TEXT($AB348,"dd-mmm")&amp;" - "&amp;(NETWORKDAYS($AB348,TODAY(),Holidays)-1)&amp;" business day(s) late. Send now.",IF($U348="DUE TOMORROW","Next: "&amp;$AC348&amp;IF($AB348&lt;=TODAY()," is due TODAY ("," is due next business day (")&amp;TEXT($AB348,"dd-mmm")&amp;").","Next: "&amp;$AC348&amp;" due "&amp;TEXT($AB348,"dd-mmm")&amp;" ("&amp;(NETWORKDAYS(TODAY(),$AB348,Holidays)-1)&amp;" business day(s) left).")))))</f>
        <v/>
      </c>
      <c r="W348" s="17">
        <f>IF($Z348="","",CHOOSE($Z348,"Collection Email","1st Follow-up","2nd Follow-up","Local Office","CBE","Roxanne")&amp;IF($Z348=6," - Final"," - Day "&amp;MAX(0,NETWORKDAYS($AA348,TODAY(),Holidays)-1)&amp;" of "&amp;CHOOSE($Z348,3,3,2,2,3))&amp;" | Total Day "&amp;MAX(0,NETWORKDAYS($N348,TODAY(),Holidays)-1))</f>
        <v/>
      </c>
      <c r="X348" s="18"/>
      <c r="Y348" s="18"/>
      <c r="Z348" s="17">
        <f>IF($N348="","",COUNT($N348:$S348))</f>
        <v/>
      </c>
      <c r="AA348" s="19">
        <f>IF($Z348="","",INT(INDEX($N348:$S348,$Z348)))</f>
        <v/>
      </c>
      <c r="AB348" s="19">
        <f>IF(OR($Z348="",$Z348=6),"",WORKDAY($AA348,CHOOSE($Z348,3,3,2,2,3),Holidays))</f>
        <v/>
      </c>
      <c r="AC348" s="17">
        <f>IF(OR($Z348="",$Z348=6),"",CHOOSE($Z348,"1st Email Follow-up","2nd Email Follow-up","Escalate Local Office","Escalate to CBE","Escalate to Roxanne"))</f>
        <v/>
      </c>
    </row>
    <row r="349" spans="13:29">
      <c r="M349" s="14"/>
      <c r="T349" s="16"/>
      <c r="U349" s="17">
        <f>IF(AND(COUNTA($A349:$L349)=0,$N349=""),"",IF($T349="Paid","PAID",IF($T349="Closed","CLOSED",IF($Z349="","",IF($Z349=6,"ESCALATED TO ROXANNE",IF(TODAY()&gt;$AB349,"OVERDUE",IF($AB349&lt;=WORKDAY(TODAY(),1,Holidays),"DUE TOMORROW",IF($Z349=4,"ESCALATED TO LOCAL OFFICE",IF($Z349=5,"ESCALATED TO CBE",IF($AA349=TODAY(),"EMAIL SENT","MONITORING"))))))))))</f>
        <v/>
      </c>
      <c r="V349" s="17">
        <f>IF($U349="",IF(AND(COUNTA($A349:$L349)&gt;0,$N349=""),"Awaiting Collection Email time stamp.",""),IF(OR($U349="PAID",$U349="CLOSED"),IF($U349="PAID","Account paid. Action completed.","Account closed. No further action required."),CHOOSE($Z349,"Collection Email","1st Email Follow-up","2nd Email Follow-up","Escalation to Local Office","Escalation to CBE","Escalation to Roxanne")&amp;" sent "&amp;TEXT($AA349,"dd-mmm")&amp;". "&amp;IF($Z349=6,"Final escalation completed.",IF($U349="OVERDUE","Next: "&amp;$AC349&amp;" was due "&amp;TEXT($AB349,"dd-mmm")&amp;" - "&amp;(NETWORKDAYS($AB349,TODAY(),Holidays)-1)&amp;" business day(s) late. Send now.",IF($U349="DUE TOMORROW","Next: "&amp;$AC349&amp;IF($AB349&lt;=TODAY()," is due TODAY ("," is due next business day (")&amp;TEXT($AB349,"dd-mmm")&amp;").","Next: "&amp;$AC349&amp;" due "&amp;TEXT($AB349,"dd-mmm")&amp;" ("&amp;(NETWORKDAYS(TODAY(),$AB349,Holidays)-1)&amp;" business day(s) left).")))))</f>
        <v/>
      </c>
      <c r="W349" s="17">
        <f>IF($Z349="","",CHOOSE($Z349,"Collection Email","1st Follow-up","2nd Follow-up","Local Office","CBE","Roxanne")&amp;IF($Z349=6," - Final"," - Day "&amp;MAX(0,NETWORKDAYS($AA349,TODAY(),Holidays)-1)&amp;" of "&amp;CHOOSE($Z349,3,3,2,2,3))&amp;" | Total Day "&amp;MAX(0,NETWORKDAYS($N349,TODAY(),Holidays)-1))</f>
        <v/>
      </c>
      <c r="X349" s="18"/>
      <c r="Y349" s="18"/>
      <c r="Z349" s="17">
        <f>IF($N349="","",COUNT($N349:$S349))</f>
        <v/>
      </c>
      <c r="AA349" s="19">
        <f>IF($Z349="","",INT(INDEX($N349:$S349,$Z349)))</f>
        <v/>
      </c>
      <c r="AB349" s="19">
        <f>IF(OR($Z349="",$Z349=6),"",WORKDAY($AA349,CHOOSE($Z349,3,3,2,2,3),Holidays))</f>
        <v/>
      </c>
      <c r="AC349" s="17">
        <f>IF(OR($Z349="",$Z349=6),"",CHOOSE($Z349,"1st Email Follow-up","2nd Email Follow-up","Escalate Local Office","Escalate to CBE","Escalate to Roxanne"))</f>
        <v/>
      </c>
    </row>
    <row r="350" spans="13:29">
      <c r="M350" s="14"/>
      <c r="T350" s="16"/>
      <c r="U350" s="17">
        <f>IF(AND(COUNTA($A350:$L350)=0,$N350=""),"",IF($T350="Paid","PAID",IF($T350="Closed","CLOSED",IF($Z350="","",IF($Z350=6,"ESCALATED TO ROXANNE",IF(TODAY()&gt;$AB350,"OVERDUE",IF($AB350&lt;=WORKDAY(TODAY(),1,Holidays),"DUE TOMORROW",IF($Z350=4,"ESCALATED TO LOCAL OFFICE",IF($Z350=5,"ESCALATED TO CBE",IF($AA350=TODAY(),"EMAIL SENT","MONITORING"))))))))))</f>
        <v/>
      </c>
      <c r="V350" s="17">
        <f>IF($U350="",IF(AND(COUNTA($A350:$L350)&gt;0,$N350=""),"Awaiting Collection Email time stamp.",""),IF(OR($U350="PAID",$U350="CLOSED"),IF($U350="PAID","Account paid. Action completed.","Account closed. No further action required."),CHOOSE($Z350,"Collection Email","1st Email Follow-up","2nd Email Follow-up","Escalation to Local Office","Escalation to CBE","Escalation to Roxanne")&amp;" sent "&amp;TEXT($AA350,"dd-mmm")&amp;". "&amp;IF($Z350=6,"Final escalation completed.",IF($U350="OVERDUE","Next: "&amp;$AC350&amp;" was due "&amp;TEXT($AB350,"dd-mmm")&amp;" - "&amp;(NETWORKDAYS($AB350,TODAY(),Holidays)-1)&amp;" business day(s) late. Send now.",IF($U350="DUE TOMORROW","Next: "&amp;$AC350&amp;IF($AB350&lt;=TODAY()," is due TODAY ("," is due next business day (")&amp;TEXT($AB350,"dd-mmm")&amp;").","Next: "&amp;$AC350&amp;" due "&amp;TEXT($AB350,"dd-mmm")&amp;" ("&amp;(NETWORKDAYS(TODAY(),$AB350,Holidays)-1)&amp;" business day(s) left).")))))</f>
        <v/>
      </c>
      <c r="W350" s="17">
        <f>IF($Z350="","",CHOOSE($Z350,"Collection Email","1st Follow-up","2nd Follow-up","Local Office","CBE","Roxanne")&amp;IF($Z350=6," - Final"," - Day "&amp;MAX(0,NETWORKDAYS($AA350,TODAY(),Holidays)-1)&amp;" of "&amp;CHOOSE($Z350,3,3,2,2,3))&amp;" | Total Day "&amp;MAX(0,NETWORKDAYS($N350,TODAY(),Holidays)-1))</f>
        <v/>
      </c>
      <c r="X350" s="18"/>
      <c r="Y350" s="18"/>
      <c r="Z350" s="17">
        <f>IF($N350="","",COUNT($N350:$S350))</f>
        <v/>
      </c>
      <c r="AA350" s="19">
        <f>IF($Z350="","",INT(INDEX($N350:$S350,$Z350)))</f>
        <v/>
      </c>
      <c r="AB350" s="19">
        <f>IF(OR($Z350="",$Z350=6),"",WORKDAY($AA350,CHOOSE($Z350,3,3,2,2,3),Holidays))</f>
        <v/>
      </c>
      <c r="AC350" s="17">
        <f>IF(OR($Z350="",$Z350=6),"",CHOOSE($Z350,"1st Email Follow-up","2nd Email Follow-up","Escalate Local Office","Escalate to CBE","Escalate to Roxanne"))</f>
        <v/>
      </c>
    </row>
    <row r="351" spans="13:29">
      <c r="M351" s="14"/>
      <c r="T351" s="16"/>
      <c r="U351" s="17">
        <f>IF(AND(COUNTA($A351:$L351)=0,$N351=""),"",IF($T351="Paid","PAID",IF($T351="Closed","CLOSED",IF($Z351="","",IF($Z351=6,"ESCALATED TO ROXANNE",IF(TODAY()&gt;$AB351,"OVERDUE",IF($AB351&lt;=WORKDAY(TODAY(),1,Holidays),"DUE TOMORROW",IF($Z351=4,"ESCALATED TO LOCAL OFFICE",IF($Z351=5,"ESCALATED TO CBE",IF($AA351=TODAY(),"EMAIL SENT","MONITORING"))))))))))</f>
        <v/>
      </c>
      <c r="V351" s="17">
        <f>IF($U351="",IF(AND(COUNTA($A351:$L351)&gt;0,$N351=""),"Awaiting Collection Email time stamp.",""),IF(OR($U351="PAID",$U351="CLOSED"),IF($U351="PAID","Account paid. Action completed.","Account closed. No further action required."),CHOOSE($Z351,"Collection Email","1st Email Follow-up","2nd Email Follow-up","Escalation to Local Office","Escalation to CBE","Escalation to Roxanne")&amp;" sent "&amp;TEXT($AA351,"dd-mmm")&amp;". "&amp;IF($Z351=6,"Final escalation completed.",IF($U351="OVERDUE","Next: "&amp;$AC351&amp;" was due "&amp;TEXT($AB351,"dd-mmm")&amp;" - "&amp;(NETWORKDAYS($AB351,TODAY(),Holidays)-1)&amp;" business day(s) late. Send now.",IF($U351="DUE TOMORROW","Next: "&amp;$AC351&amp;IF($AB351&lt;=TODAY()," is due TODAY ("," is due next business day (")&amp;TEXT($AB351,"dd-mmm")&amp;").","Next: "&amp;$AC351&amp;" due "&amp;TEXT($AB351,"dd-mmm")&amp;" ("&amp;(NETWORKDAYS(TODAY(),$AB351,Holidays)-1)&amp;" business day(s) left).")))))</f>
        <v/>
      </c>
      <c r="W351" s="17">
        <f>IF($Z351="","",CHOOSE($Z351,"Collection Email","1st Follow-up","2nd Follow-up","Local Office","CBE","Roxanne")&amp;IF($Z351=6," - Final"," - Day "&amp;MAX(0,NETWORKDAYS($AA351,TODAY(),Holidays)-1)&amp;" of "&amp;CHOOSE($Z351,3,3,2,2,3))&amp;" | Total Day "&amp;MAX(0,NETWORKDAYS($N351,TODAY(),Holidays)-1))</f>
        <v/>
      </c>
      <c r="X351" s="18"/>
      <c r="Y351" s="18"/>
      <c r="Z351" s="17">
        <f>IF($N351="","",COUNT($N351:$S351))</f>
        <v/>
      </c>
      <c r="AA351" s="19">
        <f>IF($Z351="","",INT(INDEX($N351:$S351,$Z351)))</f>
        <v/>
      </c>
      <c r="AB351" s="19">
        <f>IF(OR($Z351="",$Z351=6),"",WORKDAY($AA351,CHOOSE($Z351,3,3,2,2,3),Holidays))</f>
        <v/>
      </c>
      <c r="AC351" s="17">
        <f>IF(OR($Z351="",$Z351=6),"",CHOOSE($Z351,"1st Email Follow-up","2nd Email Follow-up","Escalate Local Office","Escalate to CBE","Escalate to Roxanne"))</f>
        <v/>
      </c>
    </row>
    <row r="352" spans="13:29">
      <c r="M352" s="14"/>
      <c r="T352" s="16"/>
      <c r="U352" s="17">
        <f>IF(AND(COUNTA($A352:$L352)=0,$N352=""),"",IF($T352="Paid","PAID",IF($T352="Closed","CLOSED",IF($Z352="","",IF($Z352=6,"ESCALATED TO ROXANNE",IF(TODAY()&gt;$AB352,"OVERDUE",IF($AB352&lt;=WORKDAY(TODAY(),1,Holidays),"DUE TOMORROW",IF($Z352=4,"ESCALATED TO LOCAL OFFICE",IF($Z352=5,"ESCALATED TO CBE",IF($AA352=TODAY(),"EMAIL SENT","MONITORING"))))))))))</f>
        <v/>
      </c>
      <c r="V352" s="17">
        <f>IF($U352="",IF(AND(COUNTA($A352:$L352)&gt;0,$N352=""),"Awaiting Collection Email time stamp.",""),IF(OR($U352="PAID",$U352="CLOSED"),IF($U352="PAID","Account paid. Action completed.","Account closed. No further action required."),CHOOSE($Z352,"Collection Email","1st Email Follow-up","2nd Email Follow-up","Escalation to Local Office","Escalation to CBE","Escalation to Roxanne")&amp;" sent "&amp;TEXT($AA352,"dd-mmm")&amp;". "&amp;IF($Z352=6,"Final escalation completed.",IF($U352="OVERDUE","Next: "&amp;$AC352&amp;" was due "&amp;TEXT($AB352,"dd-mmm")&amp;" - "&amp;(NETWORKDAYS($AB352,TODAY(),Holidays)-1)&amp;" business day(s) late. Send now.",IF($U352="DUE TOMORROW","Next: "&amp;$AC352&amp;IF($AB352&lt;=TODAY()," is due TODAY ("," is due next business day (")&amp;TEXT($AB352,"dd-mmm")&amp;").","Next: "&amp;$AC352&amp;" due "&amp;TEXT($AB352,"dd-mmm")&amp;" ("&amp;(NETWORKDAYS(TODAY(),$AB352,Holidays)-1)&amp;" business day(s) left).")))))</f>
        <v/>
      </c>
      <c r="W352" s="17">
        <f>IF($Z352="","",CHOOSE($Z352,"Collection Email","1st Follow-up","2nd Follow-up","Local Office","CBE","Roxanne")&amp;IF($Z352=6," - Final"," - Day "&amp;MAX(0,NETWORKDAYS($AA352,TODAY(),Holidays)-1)&amp;" of "&amp;CHOOSE($Z352,3,3,2,2,3))&amp;" | Total Day "&amp;MAX(0,NETWORKDAYS($N352,TODAY(),Holidays)-1))</f>
        <v/>
      </c>
      <c r="X352" s="18"/>
      <c r="Y352" s="18"/>
      <c r="Z352" s="17">
        <f>IF($N352="","",COUNT($N352:$S352))</f>
        <v/>
      </c>
      <c r="AA352" s="19">
        <f>IF($Z352="","",INT(INDEX($N352:$S352,$Z352)))</f>
        <v/>
      </c>
      <c r="AB352" s="19">
        <f>IF(OR($Z352="",$Z352=6),"",WORKDAY($AA352,CHOOSE($Z352,3,3,2,2,3),Holidays))</f>
        <v/>
      </c>
      <c r="AC352" s="17">
        <f>IF(OR($Z352="",$Z352=6),"",CHOOSE($Z352,"1st Email Follow-up","2nd Email Follow-up","Escalate Local Office","Escalate to CBE","Escalate to Roxanne"))</f>
        <v/>
      </c>
    </row>
    <row r="353" spans="13:29">
      <c r="M353" s="14"/>
      <c r="T353" s="16"/>
      <c r="U353" s="17">
        <f>IF(AND(COUNTA($A353:$L353)=0,$N353=""),"",IF($T353="Paid","PAID",IF($T353="Closed","CLOSED",IF($Z353="","",IF($Z353=6,"ESCALATED TO ROXANNE",IF(TODAY()&gt;$AB353,"OVERDUE",IF($AB353&lt;=WORKDAY(TODAY(),1,Holidays),"DUE TOMORROW",IF($Z353=4,"ESCALATED TO LOCAL OFFICE",IF($Z353=5,"ESCALATED TO CBE",IF($AA353=TODAY(),"EMAIL SENT","MONITORING"))))))))))</f>
        <v/>
      </c>
      <c r="V353" s="17">
        <f>IF($U353="",IF(AND(COUNTA($A353:$L353)&gt;0,$N353=""),"Awaiting Collection Email time stamp.",""),IF(OR($U353="PAID",$U353="CLOSED"),IF($U353="PAID","Account paid. Action completed.","Account closed. No further action required."),CHOOSE($Z353,"Collection Email","1st Email Follow-up","2nd Email Follow-up","Escalation to Local Office","Escalation to CBE","Escalation to Roxanne")&amp;" sent "&amp;TEXT($AA353,"dd-mmm")&amp;". "&amp;IF($Z353=6,"Final escalation completed.",IF($U353="OVERDUE","Next: "&amp;$AC353&amp;" was due "&amp;TEXT($AB353,"dd-mmm")&amp;" - "&amp;(NETWORKDAYS($AB353,TODAY(),Holidays)-1)&amp;" business day(s) late. Send now.",IF($U353="DUE TOMORROW","Next: "&amp;$AC353&amp;IF($AB353&lt;=TODAY()," is due TODAY ("," is due next business day (")&amp;TEXT($AB353,"dd-mmm")&amp;").","Next: "&amp;$AC353&amp;" due "&amp;TEXT($AB353,"dd-mmm")&amp;" ("&amp;(NETWORKDAYS(TODAY(),$AB353,Holidays)-1)&amp;" business day(s) left).")))))</f>
        <v/>
      </c>
      <c r="W353" s="17">
        <f>IF($Z353="","",CHOOSE($Z353,"Collection Email","1st Follow-up","2nd Follow-up","Local Office","CBE","Roxanne")&amp;IF($Z353=6," - Final"," - Day "&amp;MAX(0,NETWORKDAYS($AA353,TODAY(),Holidays)-1)&amp;" of "&amp;CHOOSE($Z353,3,3,2,2,3))&amp;" | Total Day "&amp;MAX(0,NETWORKDAYS($N353,TODAY(),Holidays)-1))</f>
        <v/>
      </c>
      <c r="X353" s="18"/>
      <c r="Y353" s="18"/>
      <c r="Z353" s="17">
        <f>IF($N353="","",COUNT($N353:$S353))</f>
        <v/>
      </c>
      <c r="AA353" s="19">
        <f>IF($Z353="","",INT(INDEX($N353:$S353,$Z353)))</f>
        <v/>
      </c>
      <c r="AB353" s="19">
        <f>IF(OR($Z353="",$Z353=6),"",WORKDAY($AA353,CHOOSE($Z353,3,3,2,2,3),Holidays))</f>
        <v/>
      </c>
      <c r="AC353" s="17">
        <f>IF(OR($Z353="",$Z353=6),"",CHOOSE($Z353,"1st Email Follow-up","2nd Email Follow-up","Escalate Local Office","Escalate to CBE","Escalate to Roxanne"))</f>
        <v/>
      </c>
    </row>
    <row r="354" spans="13:29">
      <c r="M354" s="14"/>
      <c r="T354" s="16"/>
      <c r="U354" s="17">
        <f>IF(AND(COUNTA($A354:$L354)=0,$N354=""),"",IF($T354="Paid","PAID",IF($T354="Closed","CLOSED",IF($Z354="","",IF($Z354=6,"ESCALATED TO ROXANNE",IF(TODAY()&gt;$AB354,"OVERDUE",IF($AB354&lt;=WORKDAY(TODAY(),1,Holidays),"DUE TOMORROW",IF($Z354=4,"ESCALATED TO LOCAL OFFICE",IF($Z354=5,"ESCALATED TO CBE",IF($AA354=TODAY(),"EMAIL SENT","MONITORING"))))))))))</f>
        <v/>
      </c>
      <c r="V354" s="17">
        <f>IF($U354="",IF(AND(COUNTA($A354:$L354)&gt;0,$N354=""),"Awaiting Collection Email time stamp.",""),IF(OR($U354="PAID",$U354="CLOSED"),IF($U354="PAID","Account paid. Action completed.","Account closed. No further action required."),CHOOSE($Z354,"Collection Email","1st Email Follow-up","2nd Email Follow-up","Escalation to Local Office","Escalation to CBE","Escalation to Roxanne")&amp;" sent "&amp;TEXT($AA354,"dd-mmm")&amp;". "&amp;IF($Z354=6,"Final escalation completed.",IF($U354="OVERDUE","Next: "&amp;$AC354&amp;" was due "&amp;TEXT($AB354,"dd-mmm")&amp;" - "&amp;(NETWORKDAYS($AB354,TODAY(),Holidays)-1)&amp;" business day(s) late. Send now.",IF($U354="DUE TOMORROW","Next: "&amp;$AC354&amp;IF($AB354&lt;=TODAY()," is due TODAY ("," is due next business day (")&amp;TEXT($AB354,"dd-mmm")&amp;").","Next: "&amp;$AC354&amp;" due "&amp;TEXT($AB354,"dd-mmm")&amp;" ("&amp;(NETWORKDAYS(TODAY(),$AB354,Holidays)-1)&amp;" business day(s) left).")))))</f>
        <v/>
      </c>
      <c r="W354" s="17">
        <f>IF($Z354="","",CHOOSE($Z354,"Collection Email","1st Follow-up","2nd Follow-up","Local Office","CBE","Roxanne")&amp;IF($Z354=6," - Final"," - Day "&amp;MAX(0,NETWORKDAYS($AA354,TODAY(),Holidays)-1)&amp;" of "&amp;CHOOSE($Z354,3,3,2,2,3))&amp;" | Total Day "&amp;MAX(0,NETWORKDAYS($N354,TODAY(),Holidays)-1))</f>
        <v/>
      </c>
      <c r="X354" s="18"/>
      <c r="Y354" s="18"/>
      <c r="Z354" s="17">
        <f>IF($N354="","",COUNT($N354:$S354))</f>
        <v/>
      </c>
      <c r="AA354" s="19">
        <f>IF($Z354="","",INT(INDEX($N354:$S354,$Z354)))</f>
        <v/>
      </c>
      <c r="AB354" s="19">
        <f>IF(OR($Z354="",$Z354=6),"",WORKDAY($AA354,CHOOSE($Z354,3,3,2,2,3),Holidays))</f>
        <v/>
      </c>
      <c r="AC354" s="17">
        <f>IF(OR($Z354="",$Z354=6),"",CHOOSE($Z354,"1st Email Follow-up","2nd Email Follow-up","Escalate Local Office","Escalate to CBE","Escalate to Roxanne"))</f>
        <v/>
      </c>
    </row>
    <row r="355" spans="13:29">
      <c r="M355" s="14"/>
      <c r="T355" s="16"/>
      <c r="U355" s="17">
        <f>IF(AND(COUNTA($A355:$L355)=0,$N355=""),"",IF($T355="Paid","PAID",IF($T355="Closed","CLOSED",IF($Z355="","",IF($Z355=6,"ESCALATED TO ROXANNE",IF(TODAY()&gt;$AB355,"OVERDUE",IF($AB355&lt;=WORKDAY(TODAY(),1,Holidays),"DUE TOMORROW",IF($Z355=4,"ESCALATED TO LOCAL OFFICE",IF($Z355=5,"ESCALATED TO CBE",IF($AA355=TODAY(),"EMAIL SENT","MONITORING"))))))))))</f>
        <v/>
      </c>
      <c r="V355" s="17">
        <f>IF($U355="",IF(AND(COUNTA($A355:$L355)&gt;0,$N355=""),"Awaiting Collection Email time stamp.",""),IF(OR($U355="PAID",$U355="CLOSED"),IF($U355="PAID","Account paid. Action completed.","Account closed. No further action required."),CHOOSE($Z355,"Collection Email","1st Email Follow-up","2nd Email Follow-up","Escalation to Local Office","Escalation to CBE","Escalation to Roxanne")&amp;" sent "&amp;TEXT($AA355,"dd-mmm")&amp;". "&amp;IF($Z355=6,"Final escalation completed.",IF($U355="OVERDUE","Next: "&amp;$AC355&amp;" was due "&amp;TEXT($AB355,"dd-mmm")&amp;" - "&amp;(NETWORKDAYS($AB355,TODAY(),Holidays)-1)&amp;" business day(s) late. Send now.",IF($U355="DUE TOMORROW","Next: "&amp;$AC355&amp;IF($AB355&lt;=TODAY()," is due TODAY ("," is due next business day (")&amp;TEXT($AB355,"dd-mmm")&amp;").","Next: "&amp;$AC355&amp;" due "&amp;TEXT($AB355,"dd-mmm")&amp;" ("&amp;(NETWORKDAYS(TODAY(),$AB355,Holidays)-1)&amp;" business day(s) left).")))))</f>
        <v/>
      </c>
      <c r="W355" s="17">
        <f>IF($Z355="","",CHOOSE($Z355,"Collection Email","1st Follow-up","2nd Follow-up","Local Office","CBE","Roxanne")&amp;IF($Z355=6," - Final"," - Day "&amp;MAX(0,NETWORKDAYS($AA355,TODAY(),Holidays)-1)&amp;" of "&amp;CHOOSE($Z355,3,3,2,2,3))&amp;" | Total Day "&amp;MAX(0,NETWORKDAYS($N355,TODAY(),Holidays)-1))</f>
        <v/>
      </c>
      <c r="X355" s="18"/>
      <c r="Y355" s="18"/>
      <c r="Z355" s="17">
        <f>IF($N355="","",COUNT($N355:$S355))</f>
        <v/>
      </c>
      <c r="AA355" s="19">
        <f>IF($Z355="","",INT(INDEX($N355:$S355,$Z355)))</f>
        <v/>
      </c>
      <c r="AB355" s="19">
        <f>IF(OR($Z355="",$Z355=6),"",WORKDAY($AA355,CHOOSE($Z355,3,3,2,2,3),Holidays))</f>
        <v/>
      </c>
      <c r="AC355" s="17">
        <f>IF(OR($Z355="",$Z355=6),"",CHOOSE($Z355,"1st Email Follow-up","2nd Email Follow-up","Escalate Local Office","Escalate to CBE","Escalate to Roxanne"))</f>
        <v/>
      </c>
    </row>
    <row r="356" spans="13:29">
      <c r="M356" s="14"/>
      <c r="T356" s="16"/>
      <c r="U356" s="17">
        <f>IF(AND(COUNTA($A356:$L356)=0,$N356=""),"",IF($T356="Paid","PAID",IF($T356="Closed","CLOSED",IF($Z356="","",IF($Z356=6,"ESCALATED TO ROXANNE",IF(TODAY()&gt;$AB356,"OVERDUE",IF($AB356&lt;=WORKDAY(TODAY(),1,Holidays),"DUE TOMORROW",IF($Z356=4,"ESCALATED TO LOCAL OFFICE",IF($Z356=5,"ESCALATED TO CBE",IF($AA356=TODAY(),"EMAIL SENT","MONITORING"))))))))))</f>
        <v/>
      </c>
      <c r="V356" s="17">
        <f>IF($U356="",IF(AND(COUNTA($A356:$L356)&gt;0,$N356=""),"Awaiting Collection Email time stamp.",""),IF(OR($U356="PAID",$U356="CLOSED"),IF($U356="PAID","Account paid. Action completed.","Account closed. No further action required."),CHOOSE($Z356,"Collection Email","1st Email Follow-up","2nd Email Follow-up","Escalation to Local Office","Escalation to CBE","Escalation to Roxanne")&amp;" sent "&amp;TEXT($AA356,"dd-mmm")&amp;". "&amp;IF($Z356=6,"Final escalation completed.",IF($U356="OVERDUE","Next: "&amp;$AC356&amp;" was due "&amp;TEXT($AB356,"dd-mmm")&amp;" - "&amp;(NETWORKDAYS($AB356,TODAY(),Holidays)-1)&amp;" business day(s) late. Send now.",IF($U356="DUE TOMORROW","Next: "&amp;$AC356&amp;IF($AB356&lt;=TODAY()," is due TODAY ("," is due next business day (")&amp;TEXT($AB356,"dd-mmm")&amp;").","Next: "&amp;$AC356&amp;" due "&amp;TEXT($AB356,"dd-mmm")&amp;" ("&amp;(NETWORKDAYS(TODAY(),$AB356,Holidays)-1)&amp;" business day(s) left).")))))</f>
        <v/>
      </c>
      <c r="W356" s="17">
        <f>IF($Z356="","",CHOOSE($Z356,"Collection Email","1st Follow-up","2nd Follow-up","Local Office","CBE","Roxanne")&amp;IF($Z356=6," - Final"," - Day "&amp;MAX(0,NETWORKDAYS($AA356,TODAY(),Holidays)-1)&amp;" of "&amp;CHOOSE($Z356,3,3,2,2,3))&amp;" | Total Day "&amp;MAX(0,NETWORKDAYS($N356,TODAY(),Holidays)-1))</f>
        <v/>
      </c>
      <c r="X356" s="18"/>
      <c r="Y356" s="18"/>
      <c r="Z356" s="17">
        <f>IF($N356="","",COUNT($N356:$S356))</f>
        <v/>
      </c>
      <c r="AA356" s="19">
        <f>IF($Z356="","",INT(INDEX($N356:$S356,$Z356)))</f>
        <v/>
      </c>
      <c r="AB356" s="19">
        <f>IF(OR($Z356="",$Z356=6),"",WORKDAY($AA356,CHOOSE($Z356,3,3,2,2,3),Holidays))</f>
        <v/>
      </c>
      <c r="AC356" s="17">
        <f>IF(OR($Z356="",$Z356=6),"",CHOOSE($Z356,"1st Email Follow-up","2nd Email Follow-up","Escalate Local Office","Escalate to CBE","Escalate to Roxanne"))</f>
        <v/>
      </c>
    </row>
    <row r="357" spans="13:29">
      <c r="M357" s="14"/>
      <c r="T357" s="16"/>
      <c r="U357" s="17">
        <f>IF(AND(COUNTA($A357:$L357)=0,$N357=""),"",IF($T357="Paid","PAID",IF($T357="Closed","CLOSED",IF($Z357="","",IF($Z357=6,"ESCALATED TO ROXANNE",IF(TODAY()&gt;$AB357,"OVERDUE",IF($AB357&lt;=WORKDAY(TODAY(),1,Holidays),"DUE TOMORROW",IF($Z357=4,"ESCALATED TO LOCAL OFFICE",IF($Z357=5,"ESCALATED TO CBE",IF($AA357=TODAY(),"EMAIL SENT","MONITORING"))))))))))</f>
        <v/>
      </c>
      <c r="V357" s="17">
        <f>IF($U357="",IF(AND(COUNTA($A357:$L357)&gt;0,$N357=""),"Awaiting Collection Email time stamp.",""),IF(OR($U357="PAID",$U357="CLOSED"),IF($U357="PAID","Account paid. Action completed.","Account closed. No further action required."),CHOOSE($Z357,"Collection Email","1st Email Follow-up","2nd Email Follow-up","Escalation to Local Office","Escalation to CBE","Escalation to Roxanne")&amp;" sent "&amp;TEXT($AA357,"dd-mmm")&amp;". "&amp;IF($Z357=6,"Final escalation completed.",IF($U357="OVERDUE","Next: "&amp;$AC357&amp;" was due "&amp;TEXT($AB357,"dd-mmm")&amp;" - "&amp;(NETWORKDAYS($AB357,TODAY(),Holidays)-1)&amp;" business day(s) late. Send now.",IF($U357="DUE TOMORROW","Next: "&amp;$AC357&amp;IF($AB357&lt;=TODAY()," is due TODAY ("," is due next business day (")&amp;TEXT($AB357,"dd-mmm")&amp;").","Next: "&amp;$AC357&amp;" due "&amp;TEXT($AB357,"dd-mmm")&amp;" ("&amp;(NETWORKDAYS(TODAY(),$AB357,Holidays)-1)&amp;" business day(s) left).")))))</f>
        <v/>
      </c>
      <c r="W357" s="17">
        <f>IF($Z357="","",CHOOSE($Z357,"Collection Email","1st Follow-up","2nd Follow-up","Local Office","CBE","Roxanne")&amp;IF($Z357=6," - Final"," - Day "&amp;MAX(0,NETWORKDAYS($AA357,TODAY(),Holidays)-1)&amp;" of "&amp;CHOOSE($Z357,3,3,2,2,3))&amp;" | Total Day "&amp;MAX(0,NETWORKDAYS($N357,TODAY(),Holidays)-1))</f>
        <v/>
      </c>
      <c r="X357" s="18"/>
      <c r="Y357" s="18"/>
      <c r="Z357" s="17">
        <f>IF($N357="","",COUNT($N357:$S357))</f>
        <v/>
      </c>
      <c r="AA357" s="19">
        <f>IF($Z357="","",INT(INDEX($N357:$S357,$Z357)))</f>
        <v/>
      </c>
      <c r="AB357" s="19">
        <f>IF(OR($Z357="",$Z357=6),"",WORKDAY($AA357,CHOOSE($Z357,3,3,2,2,3),Holidays))</f>
        <v/>
      </c>
      <c r="AC357" s="17">
        <f>IF(OR($Z357="",$Z357=6),"",CHOOSE($Z357,"1st Email Follow-up","2nd Email Follow-up","Escalate Local Office","Escalate to CBE","Escalate to Roxanne"))</f>
        <v/>
      </c>
    </row>
    <row r="358" spans="13:29">
      <c r="M358" s="14"/>
      <c r="T358" s="16"/>
      <c r="U358" s="17">
        <f>IF(AND(COUNTA($A358:$L358)=0,$N358=""),"",IF($T358="Paid","PAID",IF($T358="Closed","CLOSED",IF($Z358="","",IF($Z358=6,"ESCALATED TO ROXANNE",IF(TODAY()&gt;$AB358,"OVERDUE",IF($AB358&lt;=WORKDAY(TODAY(),1,Holidays),"DUE TOMORROW",IF($Z358=4,"ESCALATED TO LOCAL OFFICE",IF($Z358=5,"ESCALATED TO CBE",IF($AA358=TODAY(),"EMAIL SENT","MONITORING"))))))))))</f>
        <v/>
      </c>
      <c r="V358" s="17">
        <f>IF($U358="",IF(AND(COUNTA($A358:$L358)&gt;0,$N358=""),"Awaiting Collection Email time stamp.",""),IF(OR($U358="PAID",$U358="CLOSED"),IF($U358="PAID","Account paid. Action completed.","Account closed. No further action required."),CHOOSE($Z358,"Collection Email","1st Email Follow-up","2nd Email Follow-up","Escalation to Local Office","Escalation to CBE","Escalation to Roxanne")&amp;" sent "&amp;TEXT($AA358,"dd-mmm")&amp;". "&amp;IF($Z358=6,"Final escalation completed.",IF($U358="OVERDUE","Next: "&amp;$AC358&amp;" was due "&amp;TEXT($AB358,"dd-mmm")&amp;" - "&amp;(NETWORKDAYS($AB358,TODAY(),Holidays)-1)&amp;" business day(s) late. Send now.",IF($U358="DUE TOMORROW","Next: "&amp;$AC358&amp;IF($AB358&lt;=TODAY()," is due TODAY ("," is due next business day (")&amp;TEXT($AB358,"dd-mmm")&amp;").","Next: "&amp;$AC358&amp;" due "&amp;TEXT($AB358,"dd-mmm")&amp;" ("&amp;(NETWORKDAYS(TODAY(),$AB358,Holidays)-1)&amp;" business day(s) left).")))))</f>
        <v/>
      </c>
      <c r="W358" s="17">
        <f>IF($Z358="","",CHOOSE($Z358,"Collection Email","1st Follow-up","2nd Follow-up","Local Office","CBE","Roxanne")&amp;IF($Z358=6," - Final"," - Day "&amp;MAX(0,NETWORKDAYS($AA358,TODAY(),Holidays)-1)&amp;" of "&amp;CHOOSE($Z358,3,3,2,2,3))&amp;" | Total Day "&amp;MAX(0,NETWORKDAYS($N358,TODAY(),Holidays)-1))</f>
        <v/>
      </c>
      <c r="X358" s="18"/>
      <c r="Y358" s="18"/>
      <c r="Z358" s="17">
        <f>IF($N358="","",COUNT($N358:$S358))</f>
        <v/>
      </c>
      <c r="AA358" s="19">
        <f>IF($Z358="","",INT(INDEX($N358:$S358,$Z358)))</f>
        <v/>
      </c>
      <c r="AB358" s="19">
        <f>IF(OR($Z358="",$Z358=6),"",WORKDAY($AA358,CHOOSE($Z358,3,3,2,2,3),Holidays))</f>
        <v/>
      </c>
      <c r="AC358" s="17">
        <f>IF(OR($Z358="",$Z358=6),"",CHOOSE($Z358,"1st Email Follow-up","2nd Email Follow-up","Escalate Local Office","Escalate to CBE","Escalate to Roxanne"))</f>
        <v/>
      </c>
    </row>
    <row r="359" spans="13:29">
      <c r="M359" s="14"/>
      <c r="T359" s="16"/>
      <c r="U359" s="17">
        <f>IF(AND(COUNTA($A359:$L359)=0,$N359=""),"",IF($T359="Paid","PAID",IF($T359="Closed","CLOSED",IF($Z359="","",IF($Z359=6,"ESCALATED TO ROXANNE",IF(TODAY()&gt;$AB359,"OVERDUE",IF($AB359&lt;=WORKDAY(TODAY(),1,Holidays),"DUE TOMORROW",IF($Z359=4,"ESCALATED TO LOCAL OFFICE",IF($Z359=5,"ESCALATED TO CBE",IF($AA359=TODAY(),"EMAIL SENT","MONITORING"))))))))))</f>
        <v/>
      </c>
      <c r="V359" s="17">
        <f>IF($U359="",IF(AND(COUNTA($A359:$L359)&gt;0,$N359=""),"Awaiting Collection Email time stamp.",""),IF(OR($U359="PAID",$U359="CLOSED"),IF($U359="PAID","Account paid. Action completed.","Account closed. No further action required."),CHOOSE($Z359,"Collection Email","1st Email Follow-up","2nd Email Follow-up","Escalation to Local Office","Escalation to CBE","Escalation to Roxanne")&amp;" sent "&amp;TEXT($AA359,"dd-mmm")&amp;". "&amp;IF($Z359=6,"Final escalation completed.",IF($U359="OVERDUE","Next: "&amp;$AC359&amp;" was due "&amp;TEXT($AB359,"dd-mmm")&amp;" - "&amp;(NETWORKDAYS($AB359,TODAY(),Holidays)-1)&amp;" business day(s) late. Send now.",IF($U359="DUE TOMORROW","Next: "&amp;$AC359&amp;IF($AB359&lt;=TODAY()," is due TODAY ("," is due next business day (")&amp;TEXT($AB359,"dd-mmm")&amp;").","Next: "&amp;$AC359&amp;" due "&amp;TEXT($AB359,"dd-mmm")&amp;" ("&amp;(NETWORKDAYS(TODAY(),$AB359,Holidays)-1)&amp;" business day(s) left).")))))</f>
        <v/>
      </c>
      <c r="W359" s="17">
        <f>IF($Z359="","",CHOOSE($Z359,"Collection Email","1st Follow-up","2nd Follow-up","Local Office","CBE","Roxanne")&amp;IF($Z359=6," - Final"," - Day "&amp;MAX(0,NETWORKDAYS($AA359,TODAY(),Holidays)-1)&amp;" of "&amp;CHOOSE($Z359,3,3,2,2,3))&amp;" | Total Day "&amp;MAX(0,NETWORKDAYS($N359,TODAY(),Holidays)-1))</f>
        <v/>
      </c>
      <c r="X359" s="18"/>
      <c r="Y359" s="18"/>
      <c r="Z359" s="17">
        <f>IF($N359="","",COUNT($N359:$S359))</f>
        <v/>
      </c>
      <c r="AA359" s="19">
        <f>IF($Z359="","",INT(INDEX($N359:$S359,$Z359)))</f>
        <v/>
      </c>
      <c r="AB359" s="19">
        <f>IF(OR($Z359="",$Z359=6),"",WORKDAY($AA359,CHOOSE($Z359,3,3,2,2,3),Holidays))</f>
        <v/>
      </c>
      <c r="AC359" s="17">
        <f>IF(OR($Z359="",$Z359=6),"",CHOOSE($Z359,"1st Email Follow-up","2nd Email Follow-up","Escalate Local Office","Escalate to CBE","Escalate to Roxanne"))</f>
        <v/>
      </c>
    </row>
    <row r="360" spans="13:29">
      <c r="M360" s="14"/>
      <c r="T360" s="16"/>
      <c r="U360" s="17">
        <f>IF(AND(COUNTA($A360:$L360)=0,$N360=""),"",IF($T360="Paid","PAID",IF($T360="Closed","CLOSED",IF($Z360="","",IF($Z360=6,"ESCALATED TO ROXANNE",IF(TODAY()&gt;$AB360,"OVERDUE",IF($AB360&lt;=WORKDAY(TODAY(),1,Holidays),"DUE TOMORROW",IF($Z360=4,"ESCALATED TO LOCAL OFFICE",IF($Z360=5,"ESCALATED TO CBE",IF($AA360=TODAY(),"EMAIL SENT","MONITORING"))))))))))</f>
        <v/>
      </c>
      <c r="V360" s="17">
        <f>IF($U360="",IF(AND(COUNTA($A360:$L360)&gt;0,$N360=""),"Awaiting Collection Email time stamp.",""),IF(OR($U360="PAID",$U360="CLOSED"),IF($U360="PAID","Account paid. Action completed.","Account closed. No further action required."),CHOOSE($Z360,"Collection Email","1st Email Follow-up","2nd Email Follow-up","Escalation to Local Office","Escalation to CBE","Escalation to Roxanne")&amp;" sent "&amp;TEXT($AA360,"dd-mmm")&amp;". "&amp;IF($Z360=6,"Final escalation completed.",IF($U360="OVERDUE","Next: "&amp;$AC360&amp;" was due "&amp;TEXT($AB360,"dd-mmm")&amp;" - "&amp;(NETWORKDAYS($AB360,TODAY(),Holidays)-1)&amp;" business day(s) late. Send now.",IF($U360="DUE TOMORROW","Next: "&amp;$AC360&amp;IF($AB360&lt;=TODAY()," is due TODAY ("," is due next business day (")&amp;TEXT($AB360,"dd-mmm")&amp;").","Next: "&amp;$AC360&amp;" due "&amp;TEXT($AB360,"dd-mmm")&amp;" ("&amp;(NETWORKDAYS(TODAY(),$AB360,Holidays)-1)&amp;" business day(s) left).")))))</f>
        <v/>
      </c>
      <c r="W360" s="17">
        <f>IF($Z360="","",CHOOSE($Z360,"Collection Email","1st Follow-up","2nd Follow-up","Local Office","CBE","Roxanne")&amp;IF($Z360=6," - Final"," - Day "&amp;MAX(0,NETWORKDAYS($AA360,TODAY(),Holidays)-1)&amp;" of "&amp;CHOOSE($Z360,3,3,2,2,3))&amp;" | Total Day "&amp;MAX(0,NETWORKDAYS($N360,TODAY(),Holidays)-1))</f>
        <v/>
      </c>
      <c r="X360" s="18"/>
      <c r="Y360" s="18"/>
      <c r="Z360" s="17">
        <f>IF($N360="","",COUNT($N360:$S360))</f>
        <v/>
      </c>
      <c r="AA360" s="19">
        <f>IF($Z360="","",INT(INDEX($N360:$S360,$Z360)))</f>
        <v/>
      </c>
      <c r="AB360" s="19">
        <f>IF(OR($Z360="",$Z360=6),"",WORKDAY($AA360,CHOOSE($Z360,3,3,2,2,3),Holidays))</f>
        <v/>
      </c>
      <c r="AC360" s="17">
        <f>IF(OR($Z360="",$Z360=6),"",CHOOSE($Z360,"1st Email Follow-up","2nd Email Follow-up","Escalate Local Office","Escalate to CBE","Escalate to Roxanne"))</f>
        <v/>
      </c>
    </row>
    <row r="361" spans="13:29">
      <c r="M361" s="14"/>
      <c r="T361" s="16"/>
      <c r="U361" s="17">
        <f>IF(AND(COUNTA($A361:$L361)=0,$N361=""),"",IF($T361="Paid","PAID",IF($T361="Closed","CLOSED",IF($Z361="","",IF($Z361=6,"ESCALATED TO ROXANNE",IF(TODAY()&gt;$AB361,"OVERDUE",IF($AB361&lt;=WORKDAY(TODAY(),1,Holidays),"DUE TOMORROW",IF($Z361=4,"ESCALATED TO LOCAL OFFICE",IF($Z361=5,"ESCALATED TO CBE",IF($AA361=TODAY(),"EMAIL SENT","MONITORING"))))))))))</f>
        <v/>
      </c>
      <c r="V361" s="17">
        <f>IF($U361="",IF(AND(COUNTA($A361:$L361)&gt;0,$N361=""),"Awaiting Collection Email time stamp.",""),IF(OR($U361="PAID",$U361="CLOSED"),IF($U361="PAID","Account paid. Action completed.","Account closed. No further action required."),CHOOSE($Z361,"Collection Email","1st Email Follow-up","2nd Email Follow-up","Escalation to Local Office","Escalation to CBE","Escalation to Roxanne")&amp;" sent "&amp;TEXT($AA361,"dd-mmm")&amp;". "&amp;IF($Z361=6,"Final escalation completed.",IF($U361="OVERDUE","Next: "&amp;$AC361&amp;" was due "&amp;TEXT($AB361,"dd-mmm")&amp;" - "&amp;(NETWORKDAYS($AB361,TODAY(),Holidays)-1)&amp;" business day(s) late. Send now.",IF($U361="DUE TOMORROW","Next: "&amp;$AC361&amp;IF($AB361&lt;=TODAY()," is due TODAY ("," is due next business day (")&amp;TEXT($AB361,"dd-mmm")&amp;").","Next: "&amp;$AC361&amp;" due "&amp;TEXT($AB361,"dd-mmm")&amp;" ("&amp;(NETWORKDAYS(TODAY(),$AB361,Holidays)-1)&amp;" business day(s) left).")))))</f>
        <v/>
      </c>
      <c r="W361" s="17">
        <f>IF($Z361="","",CHOOSE($Z361,"Collection Email","1st Follow-up","2nd Follow-up","Local Office","CBE","Roxanne")&amp;IF($Z361=6," - Final"," - Day "&amp;MAX(0,NETWORKDAYS($AA361,TODAY(),Holidays)-1)&amp;" of "&amp;CHOOSE($Z361,3,3,2,2,3))&amp;" | Total Day "&amp;MAX(0,NETWORKDAYS($N361,TODAY(),Holidays)-1))</f>
        <v/>
      </c>
      <c r="X361" s="18"/>
      <c r="Y361" s="18"/>
      <c r="Z361" s="17">
        <f>IF($N361="","",COUNT($N361:$S361))</f>
        <v/>
      </c>
      <c r="AA361" s="19">
        <f>IF($Z361="","",INT(INDEX($N361:$S361,$Z361)))</f>
        <v/>
      </c>
      <c r="AB361" s="19">
        <f>IF(OR($Z361="",$Z361=6),"",WORKDAY($AA361,CHOOSE($Z361,3,3,2,2,3),Holidays))</f>
        <v/>
      </c>
      <c r="AC361" s="17">
        <f>IF(OR($Z361="",$Z361=6),"",CHOOSE($Z361,"1st Email Follow-up","2nd Email Follow-up","Escalate Local Office","Escalate to CBE","Escalate to Roxanne"))</f>
        <v/>
      </c>
    </row>
    <row r="362" spans="13:29">
      <c r="M362" s="14"/>
      <c r="T362" s="16"/>
      <c r="U362" s="17">
        <f>IF(AND(COUNTA($A362:$L362)=0,$N362=""),"",IF($T362="Paid","PAID",IF($T362="Closed","CLOSED",IF($Z362="","",IF($Z362=6,"ESCALATED TO ROXANNE",IF(TODAY()&gt;$AB362,"OVERDUE",IF($AB362&lt;=WORKDAY(TODAY(),1,Holidays),"DUE TOMORROW",IF($Z362=4,"ESCALATED TO LOCAL OFFICE",IF($Z362=5,"ESCALATED TO CBE",IF($AA362=TODAY(),"EMAIL SENT","MONITORING"))))))))))</f>
        <v/>
      </c>
      <c r="V362" s="17">
        <f>IF($U362="",IF(AND(COUNTA($A362:$L362)&gt;0,$N362=""),"Awaiting Collection Email time stamp.",""),IF(OR($U362="PAID",$U362="CLOSED"),IF($U362="PAID","Account paid. Action completed.","Account closed. No further action required."),CHOOSE($Z362,"Collection Email","1st Email Follow-up","2nd Email Follow-up","Escalation to Local Office","Escalation to CBE","Escalation to Roxanne")&amp;" sent "&amp;TEXT($AA362,"dd-mmm")&amp;". "&amp;IF($Z362=6,"Final escalation completed.",IF($U362="OVERDUE","Next: "&amp;$AC362&amp;" was due "&amp;TEXT($AB362,"dd-mmm")&amp;" - "&amp;(NETWORKDAYS($AB362,TODAY(),Holidays)-1)&amp;" business day(s) late. Send now.",IF($U362="DUE TOMORROW","Next: "&amp;$AC362&amp;IF($AB362&lt;=TODAY()," is due TODAY ("," is due next business day (")&amp;TEXT($AB362,"dd-mmm")&amp;").","Next: "&amp;$AC362&amp;" due "&amp;TEXT($AB362,"dd-mmm")&amp;" ("&amp;(NETWORKDAYS(TODAY(),$AB362,Holidays)-1)&amp;" business day(s) left).")))))</f>
        <v/>
      </c>
      <c r="W362" s="17">
        <f>IF($Z362="","",CHOOSE($Z362,"Collection Email","1st Follow-up","2nd Follow-up","Local Office","CBE","Roxanne")&amp;IF($Z362=6," - Final"," - Day "&amp;MAX(0,NETWORKDAYS($AA362,TODAY(),Holidays)-1)&amp;" of "&amp;CHOOSE($Z362,3,3,2,2,3))&amp;" | Total Day "&amp;MAX(0,NETWORKDAYS($N362,TODAY(),Holidays)-1))</f>
        <v/>
      </c>
      <c r="X362" s="18"/>
      <c r="Y362" s="18"/>
      <c r="Z362" s="17">
        <f>IF($N362="","",COUNT($N362:$S362))</f>
        <v/>
      </c>
      <c r="AA362" s="19">
        <f>IF($Z362="","",INT(INDEX($N362:$S362,$Z362)))</f>
        <v/>
      </c>
      <c r="AB362" s="19">
        <f>IF(OR($Z362="",$Z362=6),"",WORKDAY($AA362,CHOOSE($Z362,3,3,2,2,3),Holidays))</f>
        <v/>
      </c>
      <c r="AC362" s="17">
        <f>IF(OR($Z362="",$Z362=6),"",CHOOSE($Z362,"1st Email Follow-up","2nd Email Follow-up","Escalate Local Office","Escalate to CBE","Escalate to Roxanne"))</f>
        <v/>
      </c>
    </row>
    <row r="363" spans="13:29">
      <c r="M363" s="14"/>
      <c r="T363" s="16"/>
      <c r="U363" s="17">
        <f>IF(AND(COUNTA($A363:$L363)=0,$N363=""),"",IF($T363="Paid","PAID",IF($T363="Closed","CLOSED",IF($Z363="","",IF($Z363=6,"ESCALATED TO ROXANNE",IF(TODAY()&gt;$AB363,"OVERDUE",IF($AB363&lt;=WORKDAY(TODAY(),1,Holidays),"DUE TOMORROW",IF($Z363=4,"ESCALATED TO LOCAL OFFICE",IF($Z363=5,"ESCALATED TO CBE",IF($AA363=TODAY(),"EMAIL SENT","MONITORING"))))))))))</f>
        <v/>
      </c>
      <c r="V363" s="17">
        <f>IF($U363="",IF(AND(COUNTA($A363:$L363)&gt;0,$N363=""),"Awaiting Collection Email time stamp.",""),IF(OR($U363="PAID",$U363="CLOSED"),IF($U363="PAID","Account paid. Action completed.","Account closed. No further action required."),CHOOSE($Z363,"Collection Email","1st Email Follow-up","2nd Email Follow-up","Escalation to Local Office","Escalation to CBE","Escalation to Roxanne")&amp;" sent "&amp;TEXT($AA363,"dd-mmm")&amp;". "&amp;IF($Z363=6,"Final escalation completed.",IF($U363="OVERDUE","Next: "&amp;$AC363&amp;" was due "&amp;TEXT($AB363,"dd-mmm")&amp;" - "&amp;(NETWORKDAYS($AB363,TODAY(),Holidays)-1)&amp;" business day(s) late. Send now.",IF($U363="DUE TOMORROW","Next: "&amp;$AC363&amp;IF($AB363&lt;=TODAY()," is due TODAY ("," is due next business day (")&amp;TEXT($AB363,"dd-mmm")&amp;").","Next: "&amp;$AC363&amp;" due "&amp;TEXT($AB363,"dd-mmm")&amp;" ("&amp;(NETWORKDAYS(TODAY(),$AB363,Holidays)-1)&amp;" business day(s) left).")))))</f>
        <v/>
      </c>
      <c r="W363" s="17">
        <f>IF($Z363="","",CHOOSE($Z363,"Collection Email","1st Follow-up","2nd Follow-up","Local Office","CBE","Roxanne")&amp;IF($Z363=6," - Final"," - Day "&amp;MAX(0,NETWORKDAYS($AA363,TODAY(),Holidays)-1)&amp;" of "&amp;CHOOSE($Z363,3,3,2,2,3))&amp;" | Total Day "&amp;MAX(0,NETWORKDAYS($N363,TODAY(),Holidays)-1))</f>
        <v/>
      </c>
      <c r="X363" s="18"/>
      <c r="Y363" s="18"/>
      <c r="Z363" s="17">
        <f>IF($N363="","",COUNT($N363:$S363))</f>
        <v/>
      </c>
      <c r="AA363" s="19">
        <f>IF($Z363="","",INT(INDEX($N363:$S363,$Z363)))</f>
        <v/>
      </c>
      <c r="AB363" s="19">
        <f>IF(OR($Z363="",$Z363=6),"",WORKDAY($AA363,CHOOSE($Z363,3,3,2,2,3),Holidays))</f>
        <v/>
      </c>
      <c r="AC363" s="17">
        <f>IF(OR($Z363="",$Z363=6),"",CHOOSE($Z363,"1st Email Follow-up","2nd Email Follow-up","Escalate Local Office","Escalate to CBE","Escalate to Roxanne"))</f>
        <v/>
      </c>
    </row>
    <row r="364" spans="13:29">
      <c r="M364" s="14"/>
      <c r="T364" s="16"/>
      <c r="U364" s="17">
        <f>IF(AND(COUNTA($A364:$L364)=0,$N364=""),"",IF($T364="Paid","PAID",IF($T364="Closed","CLOSED",IF($Z364="","",IF($Z364=6,"ESCALATED TO ROXANNE",IF(TODAY()&gt;$AB364,"OVERDUE",IF($AB364&lt;=WORKDAY(TODAY(),1,Holidays),"DUE TOMORROW",IF($Z364=4,"ESCALATED TO LOCAL OFFICE",IF($Z364=5,"ESCALATED TO CBE",IF($AA364=TODAY(),"EMAIL SENT","MONITORING"))))))))))</f>
        <v/>
      </c>
      <c r="V364" s="17">
        <f>IF($U364="",IF(AND(COUNTA($A364:$L364)&gt;0,$N364=""),"Awaiting Collection Email time stamp.",""),IF(OR($U364="PAID",$U364="CLOSED"),IF($U364="PAID","Account paid. Action completed.","Account closed. No further action required."),CHOOSE($Z364,"Collection Email","1st Email Follow-up","2nd Email Follow-up","Escalation to Local Office","Escalation to CBE","Escalation to Roxanne")&amp;" sent "&amp;TEXT($AA364,"dd-mmm")&amp;". "&amp;IF($Z364=6,"Final escalation completed.",IF($U364="OVERDUE","Next: "&amp;$AC364&amp;" was due "&amp;TEXT($AB364,"dd-mmm")&amp;" - "&amp;(NETWORKDAYS($AB364,TODAY(),Holidays)-1)&amp;" business day(s) late. Send now.",IF($U364="DUE TOMORROW","Next: "&amp;$AC364&amp;IF($AB364&lt;=TODAY()," is due TODAY ("," is due next business day (")&amp;TEXT($AB364,"dd-mmm")&amp;").","Next: "&amp;$AC364&amp;" due "&amp;TEXT($AB364,"dd-mmm")&amp;" ("&amp;(NETWORKDAYS(TODAY(),$AB364,Holidays)-1)&amp;" business day(s) left).")))))</f>
        <v/>
      </c>
      <c r="W364" s="17">
        <f>IF($Z364="","",CHOOSE($Z364,"Collection Email","1st Follow-up","2nd Follow-up","Local Office","CBE","Roxanne")&amp;IF($Z364=6," - Final"," - Day "&amp;MAX(0,NETWORKDAYS($AA364,TODAY(),Holidays)-1)&amp;" of "&amp;CHOOSE($Z364,3,3,2,2,3))&amp;" | Total Day "&amp;MAX(0,NETWORKDAYS($N364,TODAY(),Holidays)-1))</f>
        <v/>
      </c>
      <c r="X364" s="18"/>
      <c r="Y364" s="18"/>
      <c r="Z364" s="17">
        <f>IF($N364="","",COUNT($N364:$S364))</f>
        <v/>
      </c>
      <c r="AA364" s="19">
        <f>IF($Z364="","",INT(INDEX($N364:$S364,$Z364)))</f>
        <v/>
      </c>
      <c r="AB364" s="19">
        <f>IF(OR($Z364="",$Z364=6),"",WORKDAY($AA364,CHOOSE($Z364,3,3,2,2,3),Holidays))</f>
        <v/>
      </c>
      <c r="AC364" s="17">
        <f>IF(OR($Z364="",$Z364=6),"",CHOOSE($Z364,"1st Email Follow-up","2nd Email Follow-up","Escalate Local Office","Escalate to CBE","Escalate to Roxanne"))</f>
        <v/>
      </c>
    </row>
    <row r="365" spans="13:29">
      <c r="M365" s="14"/>
      <c r="T365" s="16"/>
      <c r="U365" s="17">
        <f>IF(AND(COUNTA($A365:$L365)=0,$N365=""),"",IF($T365="Paid","PAID",IF($T365="Closed","CLOSED",IF($Z365="","",IF($Z365=6,"ESCALATED TO ROXANNE",IF(TODAY()&gt;$AB365,"OVERDUE",IF($AB365&lt;=WORKDAY(TODAY(),1,Holidays),"DUE TOMORROW",IF($Z365=4,"ESCALATED TO LOCAL OFFICE",IF($Z365=5,"ESCALATED TO CBE",IF($AA365=TODAY(),"EMAIL SENT","MONITORING"))))))))))</f>
        <v/>
      </c>
      <c r="V365" s="17">
        <f>IF($U365="",IF(AND(COUNTA($A365:$L365)&gt;0,$N365=""),"Awaiting Collection Email time stamp.",""),IF(OR($U365="PAID",$U365="CLOSED"),IF($U365="PAID","Account paid. Action completed.","Account closed. No further action required."),CHOOSE($Z365,"Collection Email","1st Email Follow-up","2nd Email Follow-up","Escalation to Local Office","Escalation to CBE","Escalation to Roxanne")&amp;" sent "&amp;TEXT($AA365,"dd-mmm")&amp;". "&amp;IF($Z365=6,"Final escalation completed.",IF($U365="OVERDUE","Next: "&amp;$AC365&amp;" was due "&amp;TEXT($AB365,"dd-mmm")&amp;" - "&amp;(NETWORKDAYS($AB365,TODAY(),Holidays)-1)&amp;" business day(s) late. Send now.",IF($U365="DUE TOMORROW","Next: "&amp;$AC365&amp;IF($AB365&lt;=TODAY()," is due TODAY ("," is due next business day (")&amp;TEXT($AB365,"dd-mmm")&amp;").","Next: "&amp;$AC365&amp;" due "&amp;TEXT($AB365,"dd-mmm")&amp;" ("&amp;(NETWORKDAYS(TODAY(),$AB365,Holidays)-1)&amp;" business day(s) left).")))))</f>
        <v/>
      </c>
      <c r="W365" s="17">
        <f>IF($Z365="","",CHOOSE($Z365,"Collection Email","1st Follow-up","2nd Follow-up","Local Office","CBE","Roxanne")&amp;IF($Z365=6," - Final"," - Day "&amp;MAX(0,NETWORKDAYS($AA365,TODAY(),Holidays)-1)&amp;" of "&amp;CHOOSE($Z365,3,3,2,2,3))&amp;" | Total Day "&amp;MAX(0,NETWORKDAYS($N365,TODAY(),Holidays)-1))</f>
        <v/>
      </c>
      <c r="X365" s="18"/>
      <c r="Y365" s="18"/>
      <c r="Z365" s="17">
        <f>IF($N365="","",COUNT($N365:$S365))</f>
        <v/>
      </c>
      <c r="AA365" s="19">
        <f>IF($Z365="","",INT(INDEX($N365:$S365,$Z365)))</f>
        <v/>
      </c>
      <c r="AB365" s="19">
        <f>IF(OR($Z365="",$Z365=6),"",WORKDAY($AA365,CHOOSE($Z365,3,3,2,2,3),Holidays))</f>
        <v/>
      </c>
      <c r="AC365" s="17">
        <f>IF(OR($Z365="",$Z365=6),"",CHOOSE($Z365,"1st Email Follow-up","2nd Email Follow-up","Escalate Local Office","Escalate to CBE","Escalate to Roxanne"))</f>
        <v/>
      </c>
    </row>
    <row r="366" spans="13:29">
      <c r="M366" s="14"/>
      <c r="T366" s="16"/>
      <c r="U366" s="17">
        <f>IF(AND(COUNTA($A366:$L366)=0,$N366=""),"",IF($T366="Paid","PAID",IF($T366="Closed","CLOSED",IF($Z366="","",IF($Z366=6,"ESCALATED TO ROXANNE",IF(TODAY()&gt;$AB366,"OVERDUE",IF($AB366&lt;=WORKDAY(TODAY(),1,Holidays),"DUE TOMORROW",IF($Z366=4,"ESCALATED TO LOCAL OFFICE",IF($Z366=5,"ESCALATED TO CBE",IF($AA366=TODAY(),"EMAIL SENT","MONITORING"))))))))))</f>
        <v/>
      </c>
      <c r="V366" s="17">
        <f>IF($U366="",IF(AND(COUNTA($A366:$L366)&gt;0,$N366=""),"Awaiting Collection Email time stamp.",""),IF(OR($U366="PAID",$U366="CLOSED"),IF($U366="PAID","Account paid. Action completed.","Account closed. No further action required."),CHOOSE($Z366,"Collection Email","1st Email Follow-up","2nd Email Follow-up","Escalation to Local Office","Escalation to CBE","Escalation to Roxanne")&amp;" sent "&amp;TEXT($AA366,"dd-mmm")&amp;". "&amp;IF($Z366=6,"Final escalation completed.",IF($U366="OVERDUE","Next: "&amp;$AC366&amp;" was due "&amp;TEXT($AB366,"dd-mmm")&amp;" - "&amp;(NETWORKDAYS($AB366,TODAY(),Holidays)-1)&amp;" business day(s) late. Send now.",IF($U366="DUE TOMORROW","Next: "&amp;$AC366&amp;IF($AB366&lt;=TODAY()," is due TODAY ("," is due next business day (")&amp;TEXT($AB366,"dd-mmm")&amp;").","Next: "&amp;$AC366&amp;" due "&amp;TEXT($AB366,"dd-mmm")&amp;" ("&amp;(NETWORKDAYS(TODAY(),$AB366,Holidays)-1)&amp;" business day(s) left).")))))</f>
        <v/>
      </c>
      <c r="W366" s="17">
        <f>IF($Z366="","",CHOOSE($Z366,"Collection Email","1st Follow-up","2nd Follow-up","Local Office","CBE","Roxanne")&amp;IF($Z366=6," - Final"," - Day "&amp;MAX(0,NETWORKDAYS($AA366,TODAY(),Holidays)-1)&amp;" of "&amp;CHOOSE($Z366,3,3,2,2,3))&amp;" | Total Day "&amp;MAX(0,NETWORKDAYS($N366,TODAY(),Holidays)-1))</f>
        <v/>
      </c>
      <c r="X366" s="18"/>
      <c r="Y366" s="18"/>
      <c r="Z366" s="17">
        <f>IF($N366="","",COUNT($N366:$S366))</f>
        <v/>
      </c>
      <c r="AA366" s="19">
        <f>IF($Z366="","",INT(INDEX($N366:$S366,$Z366)))</f>
        <v/>
      </c>
      <c r="AB366" s="19">
        <f>IF(OR($Z366="",$Z366=6),"",WORKDAY($AA366,CHOOSE($Z366,3,3,2,2,3),Holidays))</f>
        <v/>
      </c>
      <c r="AC366" s="17">
        <f>IF(OR($Z366="",$Z366=6),"",CHOOSE($Z366,"1st Email Follow-up","2nd Email Follow-up","Escalate Local Office","Escalate to CBE","Escalate to Roxanne"))</f>
        <v/>
      </c>
    </row>
    <row r="367" spans="13:29">
      <c r="M367" s="14"/>
      <c r="T367" s="16"/>
      <c r="U367" s="17">
        <f>IF(AND(COUNTA($A367:$L367)=0,$N367=""),"",IF($T367="Paid","PAID",IF($T367="Closed","CLOSED",IF($Z367="","",IF($Z367=6,"ESCALATED TO ROXANNE",IF(TODAY()&gt;$AB367,"OVERDUE",IF($AB367&lt;=WORKDAY(TODAY(),1,Holidays),"DUE TOMORROW",IF($Z367=4,"ESCALATED TO LOCAL OFFICE",IF($Z367=5,"ESCALATED TO CBE",IF($AA367=TODAY(),"EMAIL SENT","MONITORING"))))))))))</f>
        <v/>
      </c>
      <c r="V367" s="17">
        <f>IF($U367="",IF(AND(COUNTA($A367:$L367)&gt;0,$N367=""),"Awaiting Collection Email time stamp.",""),IF(OR($U367="PAID",$U367="CLOSED"),IF($U367="PAID","Account paid. Action completed.","Account closed. No further action required."),CHOOSE($Z367,"Collection Email","1st Email Follow-up","2nd Email Follow-up","Escalation to Local Office","Escalation to CBE","Escalation to Roxanne")&amp;" sent "&amp;TEXT($AA367,"dd-mmm")&amp;". "&amp;IF($Z367=6,"Final escalation completed.",IF($U367="OVERDUE","Next: "&amp;$AC367&amp;" was due "&amp;TEXT($AB367,"dd-mmm")&amp;" - "&amp;(NETWORKDAYS($AB367,TODAY(),Holidays)-1)&amp;" business day(s) late. Send now.",IF($U367="DUE TOMORROW","Next: "&amp;$AC367&amp;IF($AB367&lt;=TODAY()," is due TODAY ("," is due next business day (")&amp;TEXT($AB367,"dd-mmm")&amp;").","Next: "&amp;$AC367&amp;" due "&amp;TEXT($AB367,"dd-mmm")&amp;" ("&amp;(NETWORKDAYS(TODAY(),$AB367,Holidays)-1)&amp;" business day(s) left).")))))</f>
        <v/>
      </c>
      <c r="W367" s="17">
        <f>IF($Z367="","",CHOOSE($Z367,"Collection Email","1st Follow-up","2nd Follow-up","Local Office","CBE","Roxanne")&amp;IF($Z367=6," - Final"," - Day "&amp;MAX(0,NETWORKDAYS($AA367,TODAY(),Holidays)-1)&amp;" of "&amp;CHOOSE($Z367,3,3,2,2,3))&amp;" | Total Day "&amp;MAX(0,NETWORKDAYS($N367,TODAY(),Holidays)-1))</f>
        <v/>
      </c>
      <c r="X367" s="18"/>
      <c r="Y367" s="18"/>
      <c r="Z367" s="17">
        <f>IF($N367="","",COUNT($N367:$S367))</f>
        <v/>
      </c>
      <c r="AA367" s="19">
        <f>IF($Z367="","",INT(INDEX($N367:$S367,$Z367)))</f>
        <v/>
      </c>
      <c r="AB367" s="19">
        <f>IF(OR($Z367="",$Z367=6),"",WORKDAY($AA367,CHOOSE($Z367,3,3,2,2,3),Holidays))</f>
        <v/>
      </c>
      <c r="AC367" s="17">
        <f>IF(OR($Z367="",$Z367=6),"",CHOOSE($Z367,"1st Email Follow-up","2nd Email Follow-up","Escalate Local Office","Escalate to CBE","Escalate to Roxanne"))</f>
        <v/>
      </c>
    </row>
    <row r="368" spans="13:29">
      <c r="M368" s="14"/>
      <c r="T368" s="16"/>
      <c r="U368" s="17">
        <f>IF(AND(COUNTA($A368:$L368)=0,$N368=""),"",IF($T368="Paid","PAID",IF($T368="Closed","CLOSED",IF($Z368="","",IF($Z368=6,"ESCALATED TO ROXANNE",IF(TODAY()&gt;$AB368,"OVERDUE",IF($AB368&lt;=WORKDAY(TODAY(),1,Holidays),"DUE TOMORROW",IF($Z368=4,"ESCALATED TO LOCAL OFFICE",IF($Z368=5,"ESCALATED TO CBE",IF($AA368=TODAY(),"EMAIL SENT","MONITORING"))))))))))</f>
        <v/>
      </c>
      <c r="V368" s="17">
        <f>IF($U368="",IF(AND(COUNTA($A368:$L368)&gt;0,$N368=""),"Awaiting Collection Email time stamp.",""),IF(OR($U368="PAID",$U368="CLOSED"),IF($U368="PAID","Account paid. Action completed.","Account closed. No further action required."),CHOOSE($Z368,"Collection Email","1st Email Follow-up","2nd Email Follow-up","Escalation to Local Office","Escalation to CBE","Escalation to Roxanne")&amp;" sent "&amp;TEXT($AA368,"dd-mmm")&amp;". "&amp;IF($Z368=6,"Final escalation completed.",IF($U368="OVERDUE","Next: "&amp;$AC368&amp;" was due "&amp;TEXT($AB368,"dd-mmm")&amp;" - "&amp;(NETWORKDAYS($AB368,TODAY(),Holidays)-1)&amp;" business day(s) late. Send now.",IF($U368="DUE TOMORROW","Next: "&amp;$AC368&amp;IF($AB368&lt;=TODAY()," is due TODAY ("," is due next business day (")&amp;TEXT($AB368,"dd-mmm")&amp;").","Next: "&amp;$AC368&amp;" due "&amp;TEXT($AB368,"dd-mmm")&amp;" ("&amp;(NETWORKDAYS(TODAY(),$AB368,Holidays)-1)&amp;" business day(s) left).")))))</f>
        <v/>
      </c>
      <c r="W368" s="17">
        <f>IF($Z368="","",CHOOSE($Z368,"Collection Email","1st Follow-up","2nd Follow-up","Local Office","CBE","Roxanne")&amp;IF($Z368=6," - Final"," - Day "&amp;MAX(0,NETWORKDAYS($AA368,TODAY(),Holidays)-1)&amp;" of "&amp;CHOOSE($Z368,3,3,2,2,3))&amp;" | Total Day "&amp;MAX(0,NETWORKDAYS($N368,TODAY(),Holidays)-1))</f>
        <v/>
      </c>
      <c r="X368" s="18"/>
      <c r="Y368" s="18"/>
      <c r="Z368" s="17">
        <f>IF($N368="","",COUNT($N368:$S368))</f>
        <v/>
      </c>
      <c r="AA368" s="19">
        <f>IF($Z368="","",INT(INDEX($N368:$S368,$Z368)))</f>
        <v/>
      </c>
      <c r="AB368" s="19">
        <f>IF(OR($Z368="",$Z368=6),"",WORKDAY($AA368,CHOOSE($Z368,3,3,2,2,3),Holidays))</f>
        <v/>
      </c>
      <c r="AC368" s="17">
        <f>IF(OR($Z368="",$Z368=6),"",CHOOSE($Z368,"1st Email Follow-up","2nd Email Follow-up","Escalate Local Office","Escalate to CBE","Escalate to Roxanne"))</f>
        <v/>
      </c>
    </row>
    <row r="369" spans="13:29">
      <c r="M369" s="14"/>
      <c r="T369" s="16"/>
      <c r="U369" s="17">
        <f>IF(AND(COUNTA($A369:$L369)=0,$N369=""),"",IF($T369="Paid","PAID",IF($T369="Closed","CLOSED",IF($Z369="","",IF($Z369=6,"ESCALATED TO ROXANNE",IF(TODAY()&gt;$AB369,"OVERDUE",IF($AB369&lt;=WORKDAY(TODAY(),1,Holidays),"DUE TOMORROW",IF($Z369=4,"ESCALATED TO LOCAL OFFICE",IF($Z369=5,"ESCALATED TO CBE",IF($AA369=TODAY(),"EMAIL SENT","MONITORING"))))))))))</f>
        <v/>
      </c>
      <c r="V369" s="17">
        <f>IF($U369="",IF(AND(COUNTA($A369:$L369)&gt;0,$N369=""),"Awaiting Collection Email time stamp.",""),IF(OR($U369="PAID",$U369="CLOSED"),IF($U369="PAID","Account paid. Action completed.","Account closed. No further action required."),CHOOSE($Z369,"Collection Email","1st Email Follow-up","2nd Email Follow-up","Escalation to Local Office","Escalation to CBE","Escalation to Roxanne")&amp;" sent "&amp;TEXT($AA369,"dd-mmm")&amp;". "&amp;IF($Z369=6,"Final escalation completed.",IF($U369="OVERDUE","Next: "&amp;$AC369&amp;" was due "&amp;TEXT($AB369,"dd-mmm")&amp;" - "&amp;(NETWORKDAYS($AB369,TODAY(),Holidays)-1)&amp;" business day(s) late. Send now.",IF($U369="DUE TOMORROW","Next: "&amp;$AC369&amp;IF($AB369&lt;=TODAY()," is due TODAY ("," is due next business day (")&amp;TEXT($AB369,"dd-mmm")&amp;").","Next: "&amp;$AC369&amp;" due "&amp;TEXT($AB369,"dd-mmm")&amp;" ("&amp;(NETWORKDAYS(TODAY(),$AB369,Holidays)-1)&amp;" business day(s) left).")))))</f>
        <v/>
      </c>
      <c r="W369" s="17">
        <f>IF($Z369="","",CHOOSE($Z369,"Collection Email","1st Follow-up","2nd Follow-up","Local Office","CBE","Roxanne")&amp;IF($Z369=6," - Final"," - Day "&amp;MAX(0,NETWORKDAYS($AA369,TODAY(),Holidays)-1)&amp;" of "&amp;CHOOSE($Z369,3,3,2,2,3))&amp;" | Total Day "&amp;MAX(0,NETWORKDAYS($N369,TODAY(),Holidays)-1))</f>
        <v/>
      </c>
      <c r="X369" s="18"/>
      <c r="Y369" s="18"/>
      <c r="Z369" s="17">
        <f>IF($N369="","",COUNT($N369:$S369))</f>
        <v/>
      </c>
      <c r="AA369" s="19">
        <f>IF($Z369="","",INT(INDEX($N369:$S369,$Z369)))</f>
        <v/>
      </c>
      <c r="AB369" s="19">
        <f>IF(OR($Z369="",$Z369=6),"",WORKDAY($AA369,CHOOSE($Z369,3,3,2,2,3),Holidays))</f>
        <v/>
      </c>
      <c r="AC369" s="17">
        <f>IF(OR($Z369="",$Z369=6),"",CHOOSE($Z369,"1st Email Follow-up","2nd Email Follow-up","Escalate Local Office","Escalate to CBE","Escalate to Roxanne"))</f>
        <v/>
      </c>
    </row>
    <row r="370" spans="13:29">
      <c r="M370" s="14"/>
      <c r="T370" s="16"/>
      <c r="U370" s="17">
        <f>IF(AND(COUNTA($A370:$L370)=0,$N370=""),"",IF($T370="Paid","PAID",IF($T370="Closed","CLOSED",IF($Z370="","",IF($Z370=6,"ESCALATED TO ROXANNE",IF(TODAY()&gt;$AB370,"OVERDUE",IF($AB370&lt;=WORKDAY(TODAY(),1,Holidays),"DUE TOMORROW",IF($Z370=4,"ESCALATED TO LOCAL OFFICE",IF($Z370=5,"ESCALATED TO CBE",IF($AA370=TODAY(),"EMAIL SENT","MONITORING"))))))))))</f>
        <v/>
      </c>
      <c r="V370" s="17">
        <f>IF($U370="",IF(AND(COUNTA($A370:$L370)&gt;0,$N370=""),"Awaiting Collection Email time stamp.",""),IF(OR($U370="PAID",$U370="CLOSED"),IF($U370="PAID","Account paid. Action completed.","Account closed. No further action required."),CHOOSE($Z370,"Collection Email","1st Email Follow-up","2nd Email Follow-up","Escalation to Local Office","Escalation to CBE","Escalation to Roxanne")&amp;" sent "&amp;TEXT($AA370,"dd-mmm")&amp;". "&amp;IF($Z370=6,"Final escalation completed.",IF($U370="OVERDUE","Next: "&amp;$AC370&amp;" was due "&amp;TEXT($AB370,"dd-mmm")&amp;" - "&amp;(NETWORKDAYS($AB370,TODAY(),Holidays)-1)&amp;" business day(s) late. Send now.",IF($U370="DUE TOMORROW","Next: "&amp;$AC370&amp;IF($AB370&lt;=TODAY()," is due TODAY ("," is due next business day (")&amp;TEXT($AB370,"dd-mmm")&amp;").","Next: "&amp;$AC370&amp;" due "&amp;TEXT($AB370,"dd-mmm")&amp;" ("&amp;(NETWORKDAYS(TODAY(),$AB370,Holidays)-1)&amp;" business day(s) left).")))))</f>
        <v/>
      </c>
      <c r="W370" s="17">
        <f>IF($Z370="","",CHOOSE($Z370,"Collection Email","1st Follow-up","2nd Follow-up","Local Office","CBE","Roxanne")&amp;IF($Z370=6," - Final"," - Day "&amp;MAX(0,NETWORKDAYS($AA370,TODAY(),Holidays)-1)&amp;" of "&amp;CHOOSE($Z370,3,3,2,2,3))&amp;" | Total Day "&amp;MAX(0,NETWORKDAYS($N370,TODAY(),Holidays)-1))</f>
        <v/>
      </c>
      <c r="X370" s="18"/>
      <c r="Y370" s="18"/>
      <c r="Z370" s="17">
        <f>IF($N370="","",COUNT($N370:$S370))</f>
        <v/>
      </c>
      <c r="AA370" s="19">
        <f>IF($Z370="","",INT(INDEX($N370:$S370,$Z370)))</f>
        <v/>
      </c>
      <c r="AB370" s="19">
        <f>IF(OR($Z370="",$Z370=6),"",WORKDAY($AA370,CHOOSE($Z370,3,3,2,2,3),Holidays))</f>
        <v/>
      </c>
      <c r="AC370" s="17">
        <f>IF(OR($Z370="",$Z370=6),"",CHOOSE($Z370,"1st Email Follow-up","2nd Email Follow-up","Escalate Local Office","Escalate to CBE","Escalate to Roxanne"))</f>
        <v/>
      </c>
    </row>
    <row r="371" spans="13:29">
      <c r="M371" s="14"/>
      <c r="T371" s="16"/>
      <c r="U371" s="17">
        <f>IF(AND(COUNTA($A371:$L371)=0,$N371=""),"",IF($T371="Paid","PAID",IF($T371="Closed","CLOSED",IF($Z371="","",IF($Z371=6,"ESCALATED TO ROXANNE",IF(TODAY()&gt;$AB371,"OVERDUE",IF($AB371&lt;=WORKDAY(TODAY(),1,Holidays),"DUE TOMORROW",IF($Z371=4,"ESCALATED TO LOCAL OFFICE",IF($Z371=5,"ESCALATED TO CBE",IF($AA371=TODAY(),"EMAIL SENT","MONITORING"))))))))))</f>
        <v/>
      </c>
      <c r="V371" s="17">
        <f>IF($U371="",IF(AND(COUNTA($A371:$L371)&gt;0,$N371=""),"Awaiting Collection Email time stamp.",""),IF(OR($U371="PAID",$U371="CLOSED"),IF($U371="PAID","Account paid. Action completed.","Account closed. No further action required."),CHOOSE($Z371,"Collection Email","1st Email Follow-up","2nd Email Follow-up","Escalation to Local Office","Escalation to CBE","Escalation to Roxanne")&amp;" sent "&amp;TEXT($AA371,"dd-mmm")&amp;". "&amp;IF($Z371=6,"Final escalation completed.",IF($U371="OVERDUE","Next: "&amp;$AC371&amp;" was due "&amp;TEXT($AB371,"dd-mmm")&amp;" - "&amp;(NETWORKDAYS($AB371,TODAY(),Holidays)-1)&amp;" business day(s) late. Send now.",IF($U371="DUE TOMORROW","Next: "&amp;$AC371&amp;IF($AB371&lt;=TODAY()," is due TODAY ("," is due next business day (")&amp;TEXT($AB371,"dd-mmm")&amp;").","Next: "&amp;$AC371&amp;" due "&amp;TEXT($AB371,"dd-mmm")&amp;" ("&amp;(NETWORKDAYS(TODAY(),$AB371,Holidays)-1)&amp;" business day(s) left).")))))</f>
        <v/>
      </c>
      <c r="W371" s="17">
        <f>IF($Z371="","",CHOOSE($Z371,"Collection Email","1st Follow-up","2nd Follow-up","Local Office","CBE","Roxanne")&amp;IF($Z371=6," - Final"," - Day "&amp;MAX(0,NETWORKDAYS($AA371,TODAY(),Holidays)-1)&amp;" of "&amp;CHOOSE($Z371,3,3,2,2,3))&amp;" | Total Day "&amp;MAX(0,NETWORKDAYS($N371,TODAY(),Holidays)-1))</f>
        <v/>
      </c>
      <c r="X371" s="18"/>
      <c r="Y371" s="18"/>
      <c r="Z371" s="17">
        <f>IF($N371="","",COUNT($N371:$S371))</f>
        <v/>
      </c>
      <c r="AA371" s="19">
        <f>IF($Z371="","",INT(INDEX($N371:$S371,$Z371)))</f>
        <v/>
      </c>
      <c r="AB371" s="19">
        <f>IF(OR($Z371="",$Z371=6),"",WORKDAY($AA371,CHOOSE($Z371,3,3,2,2,3),Holidays))</f>
        <v/>
      </c>
      <c r="AC371" s="17">
        <f>IF(OR($Z371="",$Z371=6),"",CHOOSE($Z371,"1st Email Follow-up","2nd Email Follow-up","Escalate Local Office","Escalate to CBE","Escalate to Roxanne"))</f>
        <v/>
      </c>
    </row>
    <row r="372" spans="13:29">
      <c r="M372" s="14"/>
      <c r="T372" s="16"/>
      <c r="U372" s="17">
        <f>IF(AND(COUNTA($A372:$L372)=0,$N372=""),"",IF($T372="Paid","PAID",IF($T372="Closed","CLOSED",IF($Z372="","",IF($Z372=6,"ESCALATED TO ROXANNE",IF(TODAY()&gt;$AB372,"OVERDUE",IF($AB372&lt;=WORKDAY(TODAY(),1,Holidays),"DUE TOMORROW",IF($Z372=4,"ESCALATED TO LOCAL OFFICE",IF($Z372=5,"ESCALATED TO CBE",IF($AA372=TODAY(),"EMAIL SENT","MONITORING"))))))))))</f>
        <v/>
      </c>
      <c r="V372" s="17">
        <f>IF($U372="",IF(AND(COUNTA($A372:$L372)&gt;0,$N372=""),"Awaiting Collection Email time stamp.",""),IF(OR($U372="PAID",$U372="CLOSED"),IF($U372="PAID","Account paid. Action completed.","Account closed. No further action required."),CHOOSE($Z372,"Collection Email","1st Email Follow-up","2nd Email Follow-up","Escalation to Local Office","Escalation to CBE","Escalation to Roxanne")&amp;" sent "&amp;TEXT($AA372,"dd-mmm")&amp;". "&amp;IF($Z372=6,"Final escalation completed.",IF($U372="OVERDUE","Next: "&amp;$AC372&amp;" was due "&amp;TEXT($AB372,"dd-mmm")&amp;" - "&amp;(NETWORKDAYS($AB372,TODAY(),Holidays)-1)&amp;" business day(s) late. Send now.",IF($U372="DUE TOMORROW","Next: "&amp;$AC372&amp;IF($AB372&lt;=TODAY()," is due TODAY ("," is due next business day (")&amp;TEXT($AB372,"dd-mmm")&amp;").","Next: "&amp;$AC372&amp;" due "&amp;TEXT($AB372,"dd-mmm")&amp;" ("&amp;(NETWORKDAYS(TODAY(),$AB372,Holidays)-1)&amp;" business day(s) left).")))))</f>
        <v/>
      </c>
      <c r="W372" s="17">
        <f>IF($Z372="","",CHOOSE($Z372,"Collection Email","1st Follow-up","2nd Follow-up","Local Office","CBE","Roxanne")&amp;IF($Z372=6," - Final"," - Day "&amp;MAX(0,NETWORKDAYS($AA372,TODAY(),Holidays)-1)&amp;" of "&amp;CHOOSE($Z372,3,3,2,2,3))&amp;" | Total Day "&amp;MAX(0,NETWORKDAYS($N372,TODAY(),Holidays)-1))</f>
        <v/>
      </c>
      <c r="X372" s="18"/>
      <c r="Y372" s="18"/>
      <c r="Z372" s="17">
        <f>IF($N372="","",COUNT($N372:$S372))</f>
        <v/>
      </c>
      <c r="AA372" s="19">
        <f>IF($Z372="","",INT(INDEX($N372:$S372,$Z372)))</f>
        <v/>
      </c>
      <c r="AB372" s="19">
        <f>IF(OR($Z372="",$Z372=6),"",WORKDAY($AA372,CHOOSE($Z372,3,3,2,2,3),Holidays))</f>
        <v/>
      </c>
      <c r="AC372" s="17">
        <f>IF(OR($Z372="",$Z372=6),"",CHOOSE($Z372,"1st Email Follow-up","2nd Email Follow-up","Escalate Local Office","Escalate to CBE","Escalate to Roxanne"))</f>
        <v/>
      </c>
    </row>
    <row r="373" spans="13:29">
      <c r="M373" s="14"/>
      <c r="T373" s="16"/>
      <c r="U373" s="17">
        <f>IF(AND(COUNTA($A373:$L373)=0,$N373=""),"",IF($T373="Paid","PAID",IF($T373="Closed","CLOSED",IF($Z373="","",IF($Z373=6,"ESCALATED TO ROXANNE",IF(TODAY()&gt;$AB373,"OVERDUE",IF($AB373&lt;=WORKDAY(TODAY(),1,Holidays),"DUE TOMORROW",IF($Z373=4,"ESCALATED TO LOCAL OFFICE",IF($Z373=5,"ESCALATED TO CBE",IF($AA373=TODAY(),"EMAIL SENT","MONITORING"))))))))))</f>
        <v/>
      </c>
      <c r="V373" s="17">
        <f>IF($U373="",IF(AND(COUNTA($A373:$L373)&gt;0,$N373=""),"Awaiting Collection Email time stamp.",""),IF(OR($U373="PAID",$U373="CLOSED"),IF($U373="PAID","Account paid. Action completed.","Account closed. No further action required."),CHOOSE($Z373,"Collection Email","1st Email Follow-up","2nd Email Follow-up","Escalation to Local Office","Escalation to CBE","Escalation to Roxanne")&amp;" sent "&amp;TEXT($AA373,"dd-mmm")&amp;". "&amp;IF($Z373=6,"Final escalation completed.",IF($U373="OVERDUE","Next: "&amp;$AC373&amp;" was due "&amp;TEXT($AB373,"dd-mmm")&amp;" - "&amp;(NETWORKDAYS($AB373,TODAY(),Holidays)-1)&amp;" business day(s) late. Send now.",IF($U373="DUE TOMORROW","Next: "&amp;$AC373&amp;IF($AB373&lt;=TODAY()," is due TODAY ("," is due next business day (")&amp;TEXT($AB373,"dd-mmm")&amp;").","Next: "&amp;$AC373&amp;" due "&amp;TEXT($AB373,"dd-mmm")&amp;" ("&amp;(NETWORKDAYS(TODAY(),$AB373,Holidays)-1)&amp;" business day(s) left).")))))</f>
        <v/>
      </c>
      <c r="W373" s="17">
        <f>IF($Z373="","",CHOOSE($Z373,"Collection Email","1st Follow-up","2nd Follow-up","Local Office","CBE","Roxanne")&amp;IF($Z373=6," - Final"," - Day "&amp;MAX(0,NETWORKDAYS($AA373,TODAY(),Holidays)-1)&amp;" of "&amp;CHOOSE($Z373,3,3,2,2,3))&amp;" | Total Day "&amp;MAX(0,NETWORKDAYS($N373,TODAY(),Holidays)-1))</f>
        <v/>
      </c>
      <c r="X373" s="18"/>
      <c r="Y373" s="18"/>
      <c r="Z373" s="17">
        <f>IF($N373="","",COUNT($N373:$S373))</f>
        <v/>
      </c>
      <c r="AA373" s="19">
        <f>IF($Z373="","",INT(INDEX($N373:$S373,$Z373)))</f>
        <v/>
      </c>
      <c r="AB373" s="19">
        <f>IF(OR($Z373="",$Z373=6),"",WORKDAY($AA373,CHOOSE($Z373,3,3,2,2,3),Holidays))</f>
        <v/>
      </c>
      <c r="AC373" s="17">
        <f>IF(OR($Z373="",$Z373=6),"",CHOOSE($Z373,"1st Email Follow-up","2nd Email Follow-up","Escalate Local Office","Escalate to CBE","Escalate to Roxanne"))</f>
        <v/>
      </c>
    </row>
    <row r="374" spans="13:29">
      <c r="M374" s="14"/>
      <c r="T374" s="16"/>
      <c r="U374" s="17">
        <f>IF(AND(COUNTA($A374:$L374)=0,$N374=""),"",IF($T374="Paid","PAID",IF($T374="Closed","CLOSED",IF($Z374="","",IF($Z374=6,"ESCALATED TO ROXANNE",IF(TODAY()&gt;$AB374,"OVERDUE",IF($AB374&lt;=WORKDAY(TODAY(),1,Holidays),"DUE TOMORROW",IF($Z374=4,"ESCALATED TO LOCAL OFFICE",IF($Z374=5,"ESCALATED TO CBE",IF($AA374=TODAY(),"EMAIL SENT","MONITORING"))))))))))</f>
        <v/>
      </c>
      <c r="V374" s="17">
        <f>IF($U374="",IF(AND(COUNTA($A374:$L374)&gt;0,$N374=""),"Awaiting Collection Email time stamp.",""),IF(OR($U374="PAID",$U374="CLOSED"),IF($U374="PAID","Account paid. Action completed.","Account closed. No further action required."),CHOOSE($Z374,"Collection Email","1st Email Follow-up","2nd Email Follow-up","Escalation to Local Office","Escalation to CBE","Escalation to Roxanne")&amp;" sent "&amp;TEXT($AA374,"dd-mmm")&amp;". "&amp;IF($Z374=6,"Final escalation completed.",IF($U374="OVERDUE","Next: "&amp;$AC374&amp;" was due "&amp;TEXT($AB374,"dd-mmm")&amp;" - "&amp;(NETWORKDAYS($AB374,TODAY(),Holidays)-1)&amp;" business day(s) late. Send now.",IF($U374="DUE TOMORROW","Next: "&amp;$AC374&amp;IF($AB374&lt;=TODAY()," is due TODAY ("," is due next business day (")&amp;TEXT($AB374,"dd-mmm")&amp;").","Next: "&amp;$AC374&amp;" due "&amp;TEXT($AB374,"dd-mmm")&amp;" ("&amp;(NETWORKDAYS(TODAY(),$AB374,Holidays)-1)&amp;" business day(s) left).")))))</f>
        <v/>
      </c>
      <c r="W374" s="17">
        <f>IF($Z374="","",CHOOSE($Z374,"Collection Email","1st Follow-up","2nd Follow-up","Local Office","CBE","Roxanne")&amp;IF($Z374=6," - Final"," - Day "&amp;MAX(0,NETWORKDAYS($AA374,TODAY(),Holidays)-1)&amp;" of "&amp;CHOOSE($Z374,3,3,2,2,3))&amp;" | Total Day "&amp;MAX(0,NETWORKDAYS($N374,TODAY(),Holidays)-1))</f>
        <v/>
      </c>
      <c r="X374" s="18"/>
      <c r="Y374" s="18"/>
      <c r="Z374" s="17">
        <f>IF($N374="","",COUNT($N374:$S374))</f>
        <v/>
      </c>
      <c r="AA374" s="19">
        <f>IF($Z374="","",INT(INDEX($N374:$S374,$Z374)))</f>
        <v/>
      </c>
      <c r="AB374" s="19">
        <f>IF(OR($Z374="",$Z374=6),"",WORKDAY($AA374,CHOOSE($Z374,3,3,2,2,3),Holidays))</f>
        <v/>
      </c>
      <c r="AC374" s="17">
        <f>IF(OR($Z374="",$Z374=6),"",CHOOSE($Z374,"1st Email Follow-up","2nd Email Follow-up","Escalate Local Office","Escalate to CBE","Escalate to Roxanne"))</f>
        <v/>
      </c>
    </row>
    <row r="375" spans="13:29">
      <c r="M375" s="14"/>
      <c r="T375" s="16"/>
      <c r="U375" s="17">
        <f>IF(AND(COUNTA($A375:$L375)=0,$N375=""),"",IF($T375="Paid","PAID",IF($T375="Closed","CLOSED",IF($Z375="","",IF($Z375=6,"ESCALATED TO ROXANNE",IF(TODAY()&gt;$AB375,"OVERDUE",IF($AB375&lt;=WORKDAY(TODAY(),1,Holidays),"DUE TOMORROW",IF($Z375=4,"ESCALATED TO LOCAL OFFICE",IF($Z375=5,"ESCALATED TO CBE",IF($AA375=TODAY(),"EMAIL SENT","MONITORING"))))))))))</f>
        <v/>
      </c>
      <c r="V375" s="17">
        <f>IF($U375="",IF(AND(COUNTA($A375:$L375)&gt;0,$N375=""),"Awaiting Collection Email time stamp.",""),IF(OR($U375="PAID",$U375="CLOSED"),IF($U375="PAID","Account paid. Action completed.","Account closed. No further action required."),CHOOSE($Z375,"Collection Email","1st Email Follow-up","2nd Email Follow-up","Escalation to Local Office","Escalation to CBE","Escalation to Roxanne")&amp;" sent "&amp;TEXT($AA375,"dd-mmm")&amp;". "&amp;IF($Z375=6,"Final escalation completed.",IF($U375="OVERDUE","Next: "&amp;$AC375&amp;" was due "&amp;TEXT($AB375,"dd-mmm")&amp;" - "&amp;(NETWORKDAYS($AB375,TODAY(),Holidays)-1)&amp;" business day(s) late. Send now.",IF($U375="DUE TOMORROW","Next: "&amp;$AC375&amp;IF($AB375&lt;=TODAY()," is due TODAY ("," is due next business day (")&amp;TEXT($AB375,"dd-mmm")&amp;").","Next: "&amp;$AC375&amp;" due "&amp;TEXT($AB375,"dd-mmm")&amp;" ("&amp;(NETWORKDAYS(TODAY(),$AB375,Holidays)-1)&amp;" business day(s) left).")))))</f>
        <v/>
      </c>
      <c r="W375" s="17">
        <f>IF($Z375="","",CHOOSE($Z375,"Collection Email","1st Follow-up","2nd Follow-up","Local Office","CBE","Roxanne")&amp;IF($Z375=6," - Final"," - Day "&amp;MAX(0,NETWORKDAYS($AA375,TODAY(),Holidays)-1)&amp;" of "&amp;CHOOSE($Z375,3,3,2,2,3))&amp;" | Total Day "&amp;MAX(0,NETWORKDAYS($N375,TODAY(),Holidays)-1))</f>
        <v/>
      </c>
      <c r="X375" s="18"/>
      <c r="Y375" s="18"/>
      <c r="Z375" s="17">
        <f>IF($N375="","",COUNT($N375:$S375))</f>
        <v/>
      </c>
      <c r="AA375" s="19">
        <f>IF($Z375="","",INT(INDEX($N375:$S375,$Z375)))</f>
        <v/>
      </c>
      <c r="AB375" s="19">
        <f>IF(OR($Z375="",$Z375=6),"",WORKDAY($AA375,CHOOSE($Z375,3,3,2,2,3),Holidays))</f>
        <v/>
      </c>
      <c r="AC375" s="17">
        <f>IF(OR($Z375="",$Z375=6),"",CHOOSE($Z375,"1st Email Follow-up","2nd Email Follow-up","Escalate Local Office","Escalate to CBE","Escalate to Roxanne"))</f>
        <v/>
      </c>
    </row>
    <row r="376" spans="13:29">
      <c r="M376" s="14"/>
      <c r="T376" s="16"/>
      <c r="U376" s="17">
        <f>IF(AND(COUNTA($A376:$L376)=0,$N376=""),"",IF($T376="Paid","PAID",IF($T376="Closed","CLOSED",IF($Z376="","",IF($Z376=6,"ESCALATED TO ROXANNE",IF(TODAY()&gt;$AB376,"OVERDUE",IF($AB376&lt;=WORKDAY(TODAY(),1,Holidays),"DUE TOMORROW",IF($Z376=4,"ESCALATED TO LOCAL OFFICE",IF($Z376=5,"ESCALATED TO CBE",IF($AA376=TODAY(),"EMAIL SENT","MONITORING"))))))))))</f>
        <v/>
      </c>
      <c r="V376" s="17">
        <f>IF($U376="",IF(AND(COUNTA($A376:$L376)&gt;0,$N376=""),"Awaiting Collection Email time stamp.",""),IF(OR($U376="PAID",$U376="CLOSED"),IF($U376="PAID","Account paid. Action completed.","Account closed. No further action required."),CHOOSE($Z376,"Collection Email","1st Email Follow-up","2nd Email Follow-up","Escalation to Local Office","Escalation to CBE","Escalation to Roxanne")&amp;" sent "&amp;TEXT($AA376,"dd-mmm")&amp;". "&amp;IF($Z376=6,"Final escalation completed.",IF($U376="OVERDUE","Next: "&amp;$AC376&amp;" was due "&amp;TEXT($AB376,"dd-mmm")&amp;" - "&amp;(NETWORKDAYS($AB376,TODAY(),Holidays)-1)&amp;" business day(s) late. Send now.",IF($U376="DUE TOMORROW","Next: "&amp;$AC376&amp;IF($AB376&lt;=TODAY()," is due TODAY ("," is due next business day (")&amp;TEXT($AB376,"dd-mmm")&amp;").","Next: "&amp;$AC376&amp;" due "&amp;TEXT($AB376,"dd-mmm")&amp;" ("&amp;(NETWORKDAYS(TODAY(),$AB376,Holidays)-1)&amp;" business day(s) left).")))))</f>
        <v/>
      </c>
      <c r="W376" s="17">
        <f>IF($Z376="","",CHOOSE($Z376,"Collection Email","1st Follow-up","2nd Follow-up","Local Office","CBE","Roxanne")&amp;IF($Z376=6," - Final"," - Day "&amp;MAX(0,NETWORKDAYS($AA376,TODAY(),Holidays)-1)&amp;" of "&amp;CHOOSE($Z376,3,3,2,2,3))&amp;" | Total Day "&amp;MAX(0,NETWORKDAYS($N376,TODAY(),Holidays)-1))</f>
        <v/>
      </c>
      <c r="X376" s="18"/>
      <c r="Y376" s="18"/>
      <c r="Z376" s="17">
        <f>IF($N376="","",COUNT($N376:$S376))</f>
        <v/>
      </c>
      <c r="AA376" s="19">
        <f>IF($Z376="","",INT(INDEX($N376:$S376,$Z376)))</f>
        <v/>
      </c>
      <c r="AB376" s="19">
        <f>IF(OR($Z376="",$Z376=6),"",WORKDAY($AA376,CHOOSE($Z376,3,3,2,2,3),Holidays))</f>
        <v/>
      </c>
      <c r="AC376" s="17">
        <f>IF(OR($Z376="",$Z376=6),"",CHOOSE($Z376,"1st Email Follow-up","2nd Email Follow-up","Escalate Local Office","Escalate to CBE","Escalate to Roxanne"))</f>
        <v/>
      </c>
    </row>
    <row r="377" spans="13:29">
      <c r="M377" s="14"/>
      <c r="T377" s="16"/>
      <c r="U377" s="17">
        <f>IF(AND(COUNTA($A377:$L377)=0,$N377=""),"",IF($T377="Paid","PAID",IF($T377="Closed","CLOSED",IF($Z377="","",IF($Z377=6,"ESCALATED TO ROXANNE",IF(TODAY()&gt;$AB377,"OVERDUE",IF($AB377&lt;=WORKDAY(TODAY(),1,Holidays),"DUE TOMORROW",IF($Z377=4,"ESCALATED TO LOCAL OFFICE",IF($Z377=5,"ESCALATED TO CBE",IF($AA377=TODAY(),"EMAIL SENT","MONITORING"))))))))))</f>
        <v/>
      </c>
      <c r="V377" s="17">
        <f>IF($U377="",IF(AND(COUNTA($A377:$L377)&gt;0,$N377=""),"Awaiting Collection Email time stamp.",""),IF(OR($U377="PAID",$U377="CLOSED"),IF($U377="PAID","Account paid. Action completed.","Account closed. No further action required."),CHOOSE($Z377,"Collection Email","1st Email Follow-up","2nd Email Follow-up","Escalation to Local Office","Escalation to CBE","Escalation to Roxanne")&amp;" sent "&amp;TEXT($AA377,"dd-mmm")&amp;". "&amp;IF($Z377=6,"Final escalation completed.",IF($U377="OVERDUE","Next: "&amp;$AC377&amp;" was due "&amp;TEXT($AB377,"dd-mmm")&amp;" - "&amp;(NETWORKDAYS($AB377,TODAY(),Holidays)-1)&amp;" business day(s) late. Send now.",IF($U377="DUE TOMORROW","Next: "&amp;$AC377&amp;IF($AB377&lt;=TODAY()," is due TODAY ("," is due next business day (")&amp;TEXT($AB377,"dd-mmm")&amp;").","Next: "&amp;$AC377&amp;" due "&amp;TEXT($AB377,"dd-mmm")&amp;" ("&amp;(NETWORKDAYS(TODAY(),$AB377,Holidays)-1)&amp;" business day(s) left).")))))</f>
        <v/>
      </c>
      <c r="W377" s="17">
        <f>IF($Z377="","",CHOOSE($Z377,"Collection Email","1st Follow-up","2nd Follow-up","Local Office","CBE","Roxanne")&amp;IF($Z377=6," - Final"," - Day "&amp;MAX(0,NETWORKDAYS($AA377,TODAY(),Holidays)-1)&amp;" of "&amp;CHOOSE($Z377,3,3,2,2,3))&amp;" | Total Day "&amp;MAX(0,NETWORKDAYS($N377,TODAY(),Holidays)-1))</f>
        <v/>
      </c>
      <c r="X377" s="18"/>
      <c r="Y377" s="18"/>
      <c r="Z377" s="17">
        <f>IF($N377="","",COUNT($N377:$S377))</f>
        <v/>
      </c>
      <c r="AA377" s="19">
        <f>IF($Z377="","",INT(INDEX($N377:$S377,$Z377)))</f>
        <v/>
      </c>
      <c r="AB377" s="19">
        <f>IF(OR($Z377="",$Z377=6),"",WORKDAY($AA377,CHOOSE($Z377,3,3,2,2,3),Holidays))</f>
        <v/>
      </c>
      <c r="AC377" s="17">
        <f>IF(OR($Z377="",$Z377=6),"",CHOOSE($Z377,"1st Email Follow-up","2nd Email Follow-up","Escalate Local Office","Escalate to CBE","Escalate to Roxanne"))</f>
        <v/>
      </c>
    </row>
    <row r="378" spans="13:29">
      <c r="M378" s="14"/>
      <c r="T378" s="16"/>
      <c r="U378" s="17">
        <f>IF(AND(COUNTA($A378:$L378)=0,$N378=""),"",IF($T378="Paid","PAID",IF($T378="Closed","CLOSED",IF($Z378="","",IF($Z378=6,"ESCALATED TO ROXANNE",IF(TODAY()&gt;$AB378,"OVERDUE",IF($AB378&lt;=WORKDAY(TODAY(),1,Holidays),"DUE TOMORROW",IF($Z378=4,"ESCALATED TO LOCAL OFFICE",IF($Z378=5,"ESCALATED TO CBE",IF($AA378=TODAY(),"EMAIL SENT","MONITORING"))))))))))</f>
        <v/>
      </c>
      <c r="V378" s="17">
        <f>IF($U378="",IF(AND(COUNTA($A378:$L378)&gt;0,$N378=""),"Awaiting Collection Email time stamp.",""),IF(OR($U378="PAID",$U378="CLOSED"),IF($U378="PAID","Account paid. Action completed.","Account closed. No further action required."),CHOOSE($Z378,"Collection Email","1st Email Follow-up","2nd Email Follow-up","Escalation to Local Office","Escalation to CBE","Escalation to Roxanne")&amp;" sent "&amp;TEXT($AA378,"dd-mmm")&amp;". "&amp;IF($Z378=6,"Final escalation completed.",IF($U378="OVERDUE","Next: "&amp;$AC378&amp;" was due "&amp;TEXT($AB378,"dd-mmm")&amp;" - "&amp;(NETWORKDAYS($AB378,TODAY(),Holidays)-1)&amp;" business day(s) late. Send now.",IF($U378="DUE TOMORROW","Next: "&amp;$AC378&amp;IF($AB378&lt;=TODAY()," is due TODAY ("," is due next business day (")&amp;TEXT($AB378,"dd-mmm")&amp;").","Next: "&amp;$AC378&amp;" due "&amp;TEXT($AB378,"dd-mmm")&amp;" ("&amp;(NETWORKDAYS(TODAY(),$AB378,Holidays)-1)&amp;" business day(s) left).")))))</f>
        <v/>
      </c>
      <c r="W378" s="17">
        <f>IF($Z378="","",CHOOSE($Z378,"Collection Email","1st Follow-up","2nd Follow-up","Local Office","CBE","Roxanne")&amp;IF($Z378=6," - Final"," - Day "&amp;MAX(0,NETWORKDAYS($AA378,TODAY(),Holidays)-1)&amp;" of "&amp;CHOOSE($Z378,3,3,2,2,3))&amp;" | Total Day "&amp;MAX(0,NETWORKDAYS($N378,TODAY(),Holidays)-1))</f>
        <v/>
      </c>
      <c r="X378" s="18"/>
      <c r="Y378" s="18"/>
      <c r="Z378" s="17">
        <f>IF($N378="","",COUNT($N378:$S378))</f>
        <v/>
      </c>
      <c r="AA378" s="19">
        <f>IF($Z378="","",INT(INDEX($N378:$S378,$Z378)))</f>
        <v/>
      </c>
      <c r="AB378" s="19">
        <f>IF(OR($Z378="",$Z378=6),"",WORKDAY($AA378,CHOOSE($Z378,3,3,2,2,3),Holidays))</f>
        <v/>
      </c>
      <c r="AC378" s="17">
        <f>IF(OR($Z378="",$Z378=6),"",CHOOSE($Z378,"1st Email Follow-up","2nd Email Follow-up","Escalate Local Office","Escalate to CBE","Escalate to Roxanne"))</f>
        <v/>
      </c>
    </row>
    <row r="379" spans="13:29">
      <c r="M379" s="14"/>
      <c r="T379" s="16"/>
      <c r="U379" s="17">
        <f>IF(AND(COUNTA($A379:$L379)=0,$N379=""),"",IF($T379="Paid","PAID",IF($T379="Closed","CLOSED",IF($Z379="","",IF($Z379=6,"ESCALATED TO ROXANNE",IF(TODAY()&gt;$AB379,"OVERDUE",IF($AB379&lt;=WORKDAY(TODAY(),1,Holidays),"DUE TOMORROW",IF($Z379=4,"ESCALATED TO LOCAL OFFICE",IF($Z379=5,"ESCALATED TO CBE",IF($AA379=TODAY(),"EMAIL SENT","MONITORING"))))))))))</f>
        <v/>
      </c>
      <c r="V379" s="17">
        <f>IF($U379="",IF(AND(COUNTA($A379:$L379)&gt;0,$N379=""),"Awaiting Collection Email time stamp.",""),IF(OR($U379="PAID",$U379="CLOSED"),IF($U379="PAID","Account paid. Action completed.","Account closed. No further action required."),CHOOSE($Z379,"Collection Email","1st Email Follow-up","2nd Email Follow-up","Escalation to Local Office","Escalation to CBE","Escalation to Roxanne")&amp;" sent "&amp;TEXT($AA379,"dd-mmm")&amp;". "&amp;IF($Z379=6,"Final escalation completed.",IF($U379="OVERDUE","Next: "&amp;$AC379&amp;" was due "&amp;TEXT($AB379,"dd-mmm")&amp;" - "&amp;(NETWORKDAYS($AB379,TODAY(),Holidays)-1)&amp;" business day(s) late. Send now.",IF($U379="DUE TOMORROW","Next: "&amp;$AC379&amp;IF($AB379&lt;=TODAY()," is due TODAY ("," is due next business day (")&amp;TEXT($AB379,"dd-mmm")&amp;").","Next: "&amp;$AC379&amp;" due "&amp;TEXT($AB379,"dd-mmm")&amp;" ("&amp;(NETWORKDAYS(TODAY(),$AB379,Holidays)-1)&amp;" business day(s) left).")))))</f>
        <v/>
      </c>
      <c r="W379" s="17">
        <f>IF($Z379="","",CHOOSE($Z379,"Collection Email","1st Follow-up","2nd Follow-up","Local Office","CBE","Roxanne")&amp;IF($Z379=6," - Final"," - Day "&amp;MAX(0,NETWORKDAYS($AA379,TODAY(),Holidays)-1)&amp;" of "&amp;CHOOSE($Z379,3,3,2,2,3))&amp;" | Total Day "&amp;MAX(0,NETWORKDAYS($N379,TODAY(),Holidays)-1))</f>
        <v/>
      </c>
      <c r="X379" s="18"/>
      <c r="Y379" s="18"/>
      <c r="Z379" s="17">
        <f>IF($N379="","",COUNT($N379:$S379))</f>
        <v/>
      </c>
      <c r="AA379" s="19">
        <f>IF($Z379="","",INT(INDEX($N379:$S379,$Z379)))</f>
        <v/>
      </c>
      <c r="AB379" s="19">
        <f>IF(OR($Z379="",$Z379=6),"",WORKDAY($AA379,CHOOSE($Z379,3,3,2,2,3),Holidays))</f>
        <v/>
      </c>
      <c r="AC379" s="17">
        <f>IF(OR($Z379="",$Z379=6),"",CHOOSE($Z379,"1st Email Follow-up","2nd Email Follow-up","Escalate Local Office","Escalate to CBE","Escalate to Roxanne"))</f>
        <v/>
      </c>
    </row>
    <row r="380" spans="13:29">
      <c r="M380" s="14"/>
      <c r="T380" s="16"/>
      <c r="U380" s="17">
        <f>IF(AND(COUNTA($A380:$L380)=0,$N380=""),"",IF($T380="Paid","PAID",IF($T380="Closed","CLOSED",IF($Z380="","",IF($Z380=6,"ESCALATED TO ROXANNE",IF(TODAY()&gt;$AB380,"OVERDUE",IF($AB380&lt;=WORKDAY(TODAY(),1,Holidays),"DUE TOMORROW",IF($Z380=4,"ESCALATED TO LOCAL OFFICE",IF($Z380=5,"ESCALATED TO CBE",IF($AA380=TODAY(),"EMAIL SENT","MONITORING"))))))))))</f>
        <v/>
      </c>
      <c r="V380" s="17">
        <f>IF($U380="",IF(AND(COUNTA($A380:$L380)&gt;0,$N380=""),"Awaiting Collection Email time stamp.",""),IF(OR($U380="PAID",$U380="CLOSED"),IF($U380="PAID","Account paid. Action completed.","Account closed. No further action required."),CHOOSE($Z380,"Collection Email","1st Email Follow-up","2nd Email Follow-up","Escalation to Local Office","Escalation to CBE","Escalation to Roxanne")&amp;" sent "&amp;TEXT($AA380,"dd-mmm")&amp;". "&amp;IF($Z380=6,"Final escalation completed.",IF($U380="OVERDUE","Next: "&amp;$AC380&amp;" was due "&amp;TEXT($AB380,"dd-mmm")&amp;" - "&amp;(NETWORKDAYS($AB380,TODAY(),Holidays)-1)&amp;" business day(s) late. Send now.",IF($U380="DUE TOMORROW","Next: "&amp;$AC380&amp;IF($AB380&lt;=TODAY()," is due TODAY ("," is due next business day (")&amp;TEXT($AB380,"dd-mmm")&amp;").","Next: "&amp;$AC380&amp;" due "&amp;TEXT($AB380,"dd-mmm")&amp;" ("&amp;(NETWORKDAYS(TODAY(),$AB380,Holidays)-1)&amp;" business day(s) left).")))))</f>
        <v/>
      </c>
      <c r="W380" s="17">
        <f>IF($Z380="","",CHOOSE($Z380,"Collection Email","1st Follow-up","2nd Follow-up","Local Office","CBE","Roxanne")&amp;IF($Z380=6," - Final"," - Day "&amp;MAX(0,NETWORKDAYS($AA380,TODAY(),Holidays)-1)&amp;" of "&amp;CHOOSE($Z380,3,3,2,2,3))&amp;" | Total Day "&amp;MAX(0,NETWORKDAYS($N380,TODAY(),Holidays)-1))</f>
        <v/>
      </c>
      <c r="X380" s="18"/>
      <c r="Y380" s="18"/>
      <c r="Z380" s="17">
        <f>IF($N380="","",COUNT($N380:$S380))</f>
        <v/>
      </c>
      <c r="AA380" s="19">
        <f>IF($Z380="","",INT(INDEX($N380:$S380,$Z380)))</f>
        <v/>
      </c>
      <c r="AB380" s="19">
        <f>IF(OR($Z380="",$Z380=6),"",WORKDAY($AA380,CHOOSE($Z380,3,3,2,2,3),Holidays))</f>
        <v/>
      </c>
      <c r="AC380" s="17">
        <f>IF(OR($Z380="",$Z380=6),"",CHOOSE($Z380,"1st Email Follow-up","2nd Email Follow-up","Escalate Local Office","Escalate to CBE","Escalate to Roxanne"))</f>
        <v/>
      </c>
    </row>
    <row r="381" spans="13:29">
      <c r="M381" s="14"/>
      <c r="T381" s="16"/>
      <c r="U381" s="17">
        <f>IF(AND(COUNTA($A381:$L381)=0,$N381=""),"",IF($T381="Paid","PAID",IF($T381="Closed","CLOSED",IF($Z381="","",IF($Z381=6,"ESCALATED TO ROXANNE",IF(TODAY()&gt;$AB381,"OVERDUE",IF($AB381&lt;=WORKDAY(TODAY(),1,Holidays),"DUE TOMORROW",IF($Z381=4,"ESCALATED TO LOCAL OFFICE",IF($Z381=5,"ESCALATED TO CBE",IF($AA381=TODAY(),"EMAIL SENT","MONITORING"))))))))))</f>
        <v/>
      </c>
      <c r="V381" s="17">
        <f>IF($U381="",IF(AND(COUNTA($A381:$L381)&gt;0,$N381=""),"Awaiting Collection Email time stamp.",""),IF(OR($U381="PAID",$U381="CLOSED"),IF($U381="PAID","Account paid. Action completed.","Account closed. No further action required."),CHOOSE($Z381,"Collection Email","1st Email Follow-up","2nd Email Follow-up","Escalation to Local Office","Escalation to CBE","Escalation to Roxanne")&amp;" sent "&amp;TEXT($AA381,"dd-mmm")&amp;". "&amp;IF($Z381=6,"Final escalation completed.",IF($U381="OVERDUE","Next: "&amp;$AC381&amp;" was due "&amp;TEXT($AB381,"dd-mmm")&amp;" - "&amp;(NETWORKDAYS($AB381,TODAY(),Holidays)-1)&amp;" business day(s) late. Send now.",IF($U381="DUE TOMORROW","Next: "&amp;$AC381&amp;IF($AB381&lt;=TODAY()," is due TODAY ("," is due next business day (")&amp;TEXT($AB381,"dd-mmm")&amp;").","Next: "&amp;$AC381&amp;" due "&amp;TEXT($AB381,"dd-mmm")&amp;" ("&amp;(NETWORKDAYS(TODAY(),$AB381,Holidays)-1)&amp;" business day(s) left).")))))</f>
        <v/>
      </c>
      <c r="W381" s="17">
        <f>IF($Z381="","",CHOOSE($Z381,"Collection Email","1st Follow-up","2nd Follow-up","Local Office","CBE","Roxanne")&amp;IF($Z381=6," - Final"," - Day "&amp;MAX(0,NETWORKDAYS($AA381,TODAY(),Holidays)-1)&amp;" of "&amp;CHOOSE($Z381,3,3,2,2,3))&amp;" | Total Day "&amp;MAX(0,NETWORKDAYS($N381,TODAY(),Holidays)-1))</f>
        <v/>
      </c>
      <c r="X381" s="18"/>
      <c r="Y381" s="18"/>
      <c r="Z381" s="17">
        <f>IF($N381="","",COUNT($N381:$S381))</f>
        <v/>
      </c>
      <c r="AA381" s="19">
        <f>IF($Z381="","",INT(INDEX($N381:$S381,$Z381)))</f>
        <v/>
      </c>
      <c r="AB381" s="19">
        <f>IF(OR($Z381="",$Z381=6),"",WORKDAY($AA381,CHOOSE($Z381,3,3,2,2,3),Holidays))</f>
        <v/>
      </c>
      <c r="AC381" s="17">
        <f>IF(OR($Z381="",$Z381=6),"",CHOOSE($Z381,"1st Email Follow-up","2nd Email Follow-up","Escalate Local Office","Escalate to CBE","Escalate to Roxanne"))</f>
        <v/>
      </c>
    </row>
    <row r="382" spans="13:29">
      <c r="M382" s="14"/>
      <c r="T382" s="16"/>
      <c r="U382" s="17">
        <f>IF(AND(COUNTA($A382:$L382)=0,$N382=""),"",IF($T382="Paid","PAID",IF($T382="Closed","CLOSED",IF($Z382="","",IF($Z382=6,"ESCALATED TO ROXANNE",IF(TODAY()&gt;$AB382,"OVERDUE",IF($AB382&lt;=WORKDAY(TODAY(),1,Holidays),"DUE TOMORROW",IF($Z382=4,"ESCALATED TO LOCAL OFFICE",IF($Z382=5,"ESCALATED TO CBE",IF($AA382=TODAY(),"EMAIL SENT","MONITORING"))))))))))</f>
        <v/>
      </c>
      <c r="V382" s="17">
        <f>IF($U382="",IF(AND(COUNTA($A382:$L382)&gt;0,$N382=""),"Awaiting Collection Email time stamp.",""),IF(OR($U382="PAID",$U382="CLOSED"),IF($U382="PAID","Account paid. Action completed.","Account closed. No further action required."),CHOOSE($Z382,"Collection Email","1st Email Follow-up","2nd Email Follow-up","Escalation to Local Office","Escalation to CBE","Escalation to Roxanne")&amp;" sent "&amp;TEXT($AA382,"dd-mmm")&amp;". "&amp;IF($Z382=6,"Final escalation completed.",IF($U382="OVERDUE","Next: "&amp;$AC382&amp;" was due "&amp;TEXT($AB382,"dd-mmm")&amp;" - "&amp;(NETWORKDAYS($AB382,TODAY(),Holidays)-1)&amp;" business day(s) late. Send now.",IF($U382="DUE TOMORROW","Next: "&amp;$AC382&amp;IF($AB382&lt;=TODAY()," is due TODAY ("," is due next business day (")&amp;TEXT($AB382,"dd-mmm")&amp;").","Next: "&amp;$AC382&amp;" due "&amp;TEXT($AB382,"dd-mmm")&amp;" ("&amp;(NETWORKDAYS(TODAY(),$AB382,Holidays)-1)&amp;" business day(s) left).")))))</f>
        <v/>
      </c>
      <c r="W382" s="17">
        <f>IF($Z382="","",CHOOSE($Z382,"Collection Email","1st Follow-up","2nd Follow-up","Local Office","CBE","Roxanne")&amp;IF($Z382=6," - Final"," - Day "&amp;MAX(0,NETWORKDAYS($AA382,TODAY(),Holidays)-1)&amp;" of "&amp;CHOOSE($Z382,3,3,2,2,3))&amp;" | Total Day "&amp;MAX(0,NETWORKDAYS($N382,TODAY(),Holidays)-1))</f>
        <v/>
      </c>
      <c r="X382" s="18"/>
      <c r="Y382" s="18"/>
      <c r="Z382" s="17">
        <f>IF($N382="","",COUNT($N382:$S382))</f>
        <v/>
      </c>
      <c r="AA382" s="19">
        <f>IF($Z382="","",INT(INDEX($N382:$S382,$Z382)))</f>
        <v/>
      </c>
      <c r="AB382" s="19">
        <f>IF(OR($Z382="",$Z382=6),"",WORKDAY($AA382,CHOOSE($Z382,3,3,2,2,3),Holidays))</f>
        <v/>
      </c>
      <c r="AC382" s="17">
        <f>IF(OR($Z382="",$Z382=6),"",CHOOSE($Z382,"1st Email Follow-up","2nd Email Follow-up","Escalate Local Office","Escalate to CBE","Escalate to Roxanne"))</f>
        <v/>
      </c>
    </row>
    <row r="383" spans="13:29">
      <c r="M383" s="14"/>
      <c r="T383" s="16"/>
      <c r="U383" s="17">
        <f>IF(AND(COUNTA($A383:$L383)=0,$N383=""),"",IF($T383="Paid","PAID",IF($T383="Closed","CLOSED",IF($Z383="","",IF($Z383=6,"ESCALATED TO ROXANNE",IF(TODAY()&gt;$AB383,"OVERDUE",IF($AB383&lt;=WORKDAY(TODAY(),1,Holidays),"DUE TOMORROW",IF($Z383=4,"ESCALATED TO LOCAL OFFICE",IF($Z383=5,"ESCALATED TO CBE",IF($AA383=TODAY(),"EMAIL SENT","MONITORING"))))))))))</f>
        <v/>
      </c>
      <c r="V383" s="17">
        <f>IF($U383="",IF(AND(COUNTA($A383:$L383)&gt;0,$N383=""),"Awaiting Collection Email time stamp.",""),IF(OR($U383="PAID",$U383="CLOSED"),IF($U383="PAID","Account paid. Action completed.","Account closed. No further action required."),CHOOSE($Z383,"Collection Email","1st Email Follow-up","2nd Email Follow-up","Escalation to Local Office","Escalation to CBE","Escalation to Roxanne")&amp;" sent "&amp;TEXT($AA383,"dd-mmm")&amp;". "&amp;IF($Z383=6,"Final escalation completed.",IF($U383="OVERDUE","Next: "&amp;$AC383&amp;" was due "&amp;TEXT($AB383,"dd-mmm")&amp;" - "&amp;(NETWORKDAYS($AB383,TODAY(),Holidays)-1)&amp;" business day(s) late. Send now.",IF($U383="DUE TOMORROW","Next: "&amp;$AC383&amp;IF($AB383&lt;=TODAY()," is due TODAY ("," is due next business day (")&amp;TEXT($AB383,"dd-mmm")&amp;").","Next: "&amp;$AC383&amp;" due "&amp;TEXT($AB383,"dd-mmm")&amp;" ("&amp;(NETWORKDAYS(TODAY(),$AB383,Holidays)-1)&amp;" business day(s) left).")))))</f>
        <v/>
      </c>
      <c r="W383" s="17">
        <f>IF($Z383="","",CHOOSE($Z383,"Collection Email","1st Follow-up","2nd Follow-up","Local Office","CBE","Roxanne")&amp;IF($Z383=6," - Final"," - Day "&amp;MAX(0,NETWORKDAYS($AA383,TODAY(),Holidays)-1)&amp;" of "&amp;CHOOSE($Z383,3,3,2,2,3))&amp;" | Total Day "&amp;MAX(0,NETWORKDAYS($N383,TODAY(),Holidays)-1))</f>
        <v/>
      </c>
      <c r="X383" s="18"/>
      <c r="Y383" s="18"/>
      <c r="Z383" s="17">
        <f>IF($N383="","",COUNT($N383:$S383))</f>
        <v/>
      </c>
      <c r="AA383" s="19">
        <f>IF($Z383="","",INT(INDEX($N383:$S383,$Z383)))</f>
        <v/>
      </c>
      <c r="AB383" s="19">
        <f>IF(OR($Z383="",$Z383=6),"",WORKDAY($AA383,CHOOSE($Z383,3,3,2,2,3),Holidays))</f>
        <v/>
      </c>
      <c r="AC383" s="17">
        <f>IF(OR($Z383="",$Z383=6),"",CHOOSE($Z383,"1st Email Follow-up","2nd Email Follow-up","Escalate Local Office","Escalate to CBE","Escalate to Roxanne"))</f>
        <v/>
      </c>
    </row>
    <row r="384" spans="13:29">
      <c r="M384" s="14"/>
      <c r="T384" s="16"/>
      <c r="U384" s="17">
        <f>IF(AND(COUNTA($A384:$L384)=0,$N384=""),"",IF($T384="Paid","PAID",IF($T384="Closed","CLOSED",IF($Z384="","",IF($Z384=6,"ESCALATED TO ROXANNE",IF(TODAY()&gt;$AB384,"OVERDUE",IF($AB384&lt;=WORKDAY(TODAY(),1,Holidays),"DUE TOMORROW",IF($Z384=4,"ESCALATED TO LOCAL OFFICE",IF($Z384=5,"ESCALATED TO CBE",IF($AA384=TODAY(),"EMAIL SENT","MONITORING"))))))))))</f>
        <v/>
      </c>
      <c r="V384" s="17">
        <f>IF($U384="",IF(AND(COUNTA($A384:$L384)&gt;0,$N384=""),"Awaiting Collection Email time stamp.",""),IF(OR($U384="PAID",$U384="CLOSED"),IF($U384="PAID","Account paid. Action completed.","Account closed. No further action required."),CHOOSE($Z384,"Collection Email","1st Email Follow-up","2nd Email Follow-up","Escalation to Local Office","Escalation to CBE","Escalation to Roxanne")&amp;" sent "&amp;TEXT($AA384,"dd-mmm")&amp;". "&amp;IF($Z384=6,"Final escalation completed.",IF($U384="OVERDUE","Next: "&amp;$AC384&amp;" was due "&amp;TEXT($AB384,"dd-mmm")&amp;" - "&amp;(NETWORKDAYS($AB384,TODAY(),Holidays)-1)&amp;" business day(s) late. Send now.",IF($U384="DUE TOMORROW","Next: "&amp;$AC384&amp;IF($AB384&lt;=TODAY()," is due TODAY ("," is due next business day (")&amp;TEXT($AB384,"dd-mmm")&amp;").","Next: "&amp;$AC384&amp;" due "&amp;TEXT($AB384,"dd-mmm")&amp;" ("&amp;(NETWORKDAYS(TODAY(),$AB384,Holidays)-1)&amp;" business day(s) left).")))))</f>
        <v/>
      </c>
      <c r="W384" s="17">
        <f>IF($Z384="","",CHOOSE($Z384,"Collection Email","1st Follow-up","2nd Follow-up","Local Office","CBE","Roxanne")&amp;IF($Z384=6," - Final"," - Day "&amp;MAX(0,NETWORKDAYS($AA384,TODAY(),Holidays)-1)&amp;" of "&amp;CHOOSE($Z384,3,3,2,2,3))&amp;" | Total Day "&amp;MAX(0,NETWORKDAYS($N384,TODAY(),Holidays)-1))</f>
        <v/>
      </c>
      <c r="X384" s="18"/>
      <c r="Y384" s="18"/>
      <c r="Z384" s="17">
        <f>IF($N384="","",COUNT($N384:$S384))</f>
        <v/>
      </c>
      <c r="AA384" s="19">
        <f>IF($Z384="","",INT(INDEX($N384:$S384,$Z384)))</f>
        <v/>
      </c>
      <c r="AB384" s="19">
        <f>IF(OR($Z384="",$Z384=6),"",WORKDAY($AA384,CHOOSE($Z384,3,3,2,2,3),Holidays))</f>
        <v/>
      </c>
      <c r="AC384" s="17">
        <f>IF(OR($Z384="",$Z384=6),"",CHOOSE($Z384,"1st Email Follow-up","2nd Email Follow-up","Escalate Local Office","Escalate to CBE","Escalate to Roxanne"))</f>
        <v/>
      </c>
    </row>
    <row r="385" spans="13:29">
      <c r="M385" s="14"/>
      <c r="T385" s="16"/>
      <c r="U385" s="17">
        <f>IF(AND(COUNTA($A385:$L385)=0,$N385=""),"",IF($T385="Paid","PAID",IF($T385="Closed","CLOSED",IF($Z385="","",IF($Z385=6,"ESCALATED TO ROXANNE",IF(TODAY()&gt;$AB385,"OVERDUE",IF($AB385&lt;=WORKDAY(TODAY(),1,Holidays),"DUE TOMORROW",IF($Z385=4,"ESCALATED TO LOCAL OFFICE",IF($Z385=5,"ESCALATED TO CBE",IF($AA385=TODAY(),"EMAIL SENT","MONITORING"))))))))))</f>
        <v/>
      </c>
      <c r="V385" s="17">
        <f>IF($U385="",IF(AND(COUNTA($A385:$L385)&gt;0,$N385=""),"Awaiting Collection Email time stamp.",""),IF(OR($U385="PAID",$U385="CLOSED"),IF($U385="PAID","Account paid. Action completed.","Account closed. No further action required."),CHOOSE($Z385,"Collection Email","1st Email Follow-up","2nd Email Follow-up","Escalation to Local Office","Escalation to CBE","Escalation to Roxanne")&amp;" sent "&amp;TEXT($AA385,"dd-mmm")&amp;". "&amp;IF($Z385=6,"Final escalation completed.",IF($U385="OVERDUE","Next: "&amp;$AC385&amp;" was due "&amp;TEXT($AB385,"dd-mmm")&amp;" - "&amp;(NETWORKDAYS($AB385,TODAY(),Holidays)-1)&amp;" business day(s) late. Send now.",IF($U385="DUE TOMORROW","Next: "&amp;$AC385&amp;IF($AB385&lt;=TODAY()," is due TODAY ("," is due next business day (")&amp;TEXT($AB385,"dd-mmm")&amp;").","Next: "&amp;$AC385&amp;" due "&amp;TEXT($AB385,"dd-mmm")&amp;" ("&amp;(NETWORKDAYS(TODAY(),$AB385,Holidays)-1)&amp;" business day(s) left).")))))</f>
        <v/>
      </c>
      <c r="W385" s="17">
        <f>IF($Z385="","",CHOOSE($Z385,"Collection Email","1st Follow-up","2nd Follow-up","Local Office","CBE","Roxanne")&amp;IF($Z385=6," - Final"," - Day "&amp;MAX(0,NETWORKDAYS($AA385,TODAY(),Holidays)-1)&amp;" of "&amp;CHOOSE($Z385,3,3,2,2,3))&amp;" | Total Day "&amp;MAX(0,NETWORKDAYS($N385,TODAY(),Holidays)-1))</f>
        <v/>
      </c>
      <c r="X385" s="18"/>
      <c r="Y385" s="18"/>
      <c r="Z385" s="17">
        <f>IF($N385="","",COUNT($N385:$S385))</f>
        <v/>
      </c>
      <c r="AA385" s="19">
        <f>IF($Z385="","",INT(INDEX($N385:$S385,$Z385)))</f>
        <v/>
      </c>
      <c r="AB385" s="19">
        <f>IF(OR($Z385="",$Z385=6),"",WORKDAY($AA385,CHOOSE($Z385,3,3,2,2,3),Holidays))</f>
        <v/>
      </c>
      <c r="AC385" s="17">
        <f>IF(OR($Z385="",$Z385=6),"",CHOOSE($Z385,"1st Email Follow-up","2nd Email Follow-up","Escalate Local Office","Escalate to CBE","Escalate to Roxanne"))</f>
        <v/>
      </c>
    </row>
    <row r="386" spans="13:29">
      <c r="M386" s="14"/>
      <c r="T386" s="16"/>
      <c r="U386" s="17">
        <f>IF(AND(COUNTA($A386:$L386)=0,$N386=""),"",IF($T386="Paid","PAID",IF($T386="Closed","CLOSED",IF($Z386="","",IF($Z386=6,"ESCALATED TO ROXANNE",IF(TODAY()&gt;$AB386,"OVERDUE",IF($AB386&lt;=WORKDAY(TODAY(),1,Holidays),"DUE TOMORROW",IF($Z386=4,"ESCALATED TO LOCAL OFFICE",IF($Z386=5,"ESCALATED TO CBE",IF($AA386=TODAY(),"EMAIL SENT","MONITORING"))))))))))</f>
        <v/>
      </c>
      <c r="V386" s="17">
        <f>IF($U386="",IF(AND(COUNTA($A386:$L386)&gt;0,$N386=""),"Awaiting Collection Email time stamp.",""),IF(OR($U386="PAID",$U386="CLOSED"),IF($U386="PAID","Account paid. Action completed.","Account closed. No further action required."),CHOOSE($Z386,"Collection Email","1st Email Follow-up","2nd Email Follow-up","Escalation to Local Office","Escalation to CBE","Escalation to Roxanne")&amp;" sent "&amp;TEXT($AA386,"dd-mmm")&amp;". "&amp;IF($Z386=6,"Final escalation completed.",IF($U386="OVERDUE","Next: "&amp;$AC386&amp;" was due "&amp;TEXT($AB386,"dd-mmm")&amp;" - "&amp;(NETWORKDAYS($AB386,TODAY(),Holidays)-1)&amp;" business day(s) late. Send now.",IF($U386="DUE TOMORROW","Next: "&amp;$AC386&amp;IF($AB386&lt;=TODAY()," is due TODAY ("," is due next business day (")&amp;TEXT($AB386,"dd-mmm")&amp;").","Next: "&amp;$AC386&amp;" due "&amp;TEXT($AB386,"dd-mmm")&amp;" ("&amp;(NETWORKDAYS(TODAY(),$AB386,Holidays)-1)&amp;" business day(s) left).")))))</f>
        <v/>
      </c>
      <c r="W386" s="17">
        <f>IF($Z386="","",CHOOSE($Z386,"Collection Email","1st Follow-up","2nd Follow-up","Local Office","CBE","Roxanne")&amp;IF($Z386=6," - Final"," - Day "&amp;MAX(0,NETWORKDAYS($AA386,TODAY(),Holidays)-1)&amp;" of "&amp;CHOOSE($Z386,3,3,2,2,3))&amp;" | Total Day "&amp;MAX(0,NETWORKDAYS($N386,TODAY(),Holidays)-1))</f>
        <v/>
      </c>
      <c r="X386" s="18"/>
      <c r="Y386" s="18"/>
      <c r="Z386" s="17">
        <f>IF($N386="","",COUNT($N386:$S386))</f>
        <v/>
      </c>
      <c r="AA386" s="19">
        <f>IF($Z386="","",INT(INDEX($N386:$S386,$Z386)))</f>
        <v/>
      </c>
      <c r="AB386" s="19">
        <f>IF(OR($Z386="",$Z386=6),"",WORKDAY($AA386,CHOOSE($Z386,3,3,2,2,3),Holidays))</f>
        <v/>
      </c>
      <c r="AC386" s="17">
        <f>IF(OR($Z386="",$Z386=6),"",CHOOSE($Z386,"1st Email Follow-up","2nd Email Follow-up","Escalate Local Office","Escalate to CBE","Escalate to Roxanne"))</f>
        <v/>
      </c>
    </row>
    <row r="387" spans="13:29">
      <c r="M387" s="14"/>
      <c r="T387" s="16"/>
      <c r="U387" s="17">
        <f>IF(AND(COUNTA($A387:$L387)=0,$N387=""),"",IF($T387="Paid","PAID",IF($T387="Closed","CLOSED",IF($Z387="","",IF($Z387=6,"ESCALATED TO ROXANNE",IF(TODAY()&gt;$AB387,"OVERDUE",IF($AB387&lt;=WORKDAY(TODAY(),1,Holidays),"DUE TOMORROW",IF($Z387=4,"ESCALATED TO LOCAL OFFICE",IF($Z387=5,"ESCALATED TO CBE",IF($AA387=TODAY(),"EMAIL SENT","MONITORING"))))))))))</f>
        <v/>
      </c>
      <c r="V387" s="17">
        <f>IF($U387="",IF(AND(COUNTA($A387:$L387)&gt;0,$N387=""),"Awaiting Collection Email time stamp.",""),IF(OR($U387="PAID",$U387="CLOSED"),IF($U387="PAID","Account paid. Action completed.","Account closed. No further action required."),CHOOSE($Z387,"Collection Email","1st Email Follow-up","2nd Email Follow-up","Escalation to Local Office","Escalation to CBE","Escalation to Roxanne")&amp;" sent "&amp;TEXT($AA387,"dd-mmm")&amp;". "&amp;IF($Z387=6,"Final escalation completed.",IF($U387="OVERDUE","Next: "&amp;$AC387&amp;" was due "&amp;TEXT($AB387,"dd-mmm")&amp;" - "&amp;(NETWORKDAYS($AB387,TODAY(),Holidays)-1)&amp;" business day(s) late. Send now.",IF($U387="DUE TOMORROW","Next: "&amp;$AC387&amp;IF($AB387&lt;=TODAY()," is due TODAY ("," is due next business day (")&amp;TEXT($AB387,"dd-mmm")&amp;").","Next: "&amp;$AC387&amp;" due "&amp;TEXT($AB387,"dd-mmm")&amp;" ("&amp;(NETWORKDAYS(TODAY(),$AB387,Holidays)-1)&amp;" business day(s) left).")))))</f>
        <v/>
      </c>
      <c r="W387" s="17">
        <f>IF($Z387="","",CHOOSE($Z387,"Collection Email","1st Follow-up","2nd Follow-up","Local Office","CBE","Roxanne")&amp;IF($Z387=6," - Final"," - Day "&amp;MAX(0,NETWORKDAYS($AA387,TODAY(),Holidays)-1)&amp;" of "&amp;CHOOSE($Z387,3,3,2,2,3))&amp;" | Total Day "&amp;MAX(0,NETWORKDAYS($N387,TODAY(),Holidays)-1))</f>
        <v/>
      </c>
      <c r="X387" s="18"/>
      <c r="Y387" s="18"/>
      <c r="Z387" s="17">
        <f>IF($N387="","",COUNT($N387:$S387))</f>
        <v/>
      </c>
      <c r="AA387" s="19">
        <f>IF($Z387="","",INT(INDEX($N387:$S387,$Z387)))</f>
        <v/>
      </c>
      <c r="AB387" s="19">
        <f>IF(OR($Z387="",$Z387=6),"",WORKDAY($AA387,CHOOSE($Z387,3,3,2,2,3),Holidays))</f>
        <v/>
      </c>
      <c r="AC387" s="17">
        <f>IF(OR($Z387="",$Z387=6),"",CHOOSE($Z387,"1st Email Follow-up","2nd Email Follow-up","Escalate Local Office","Escalate to CBE","Escalate to Roxanne"))</f>
        <v/>
      </c>
    </row>
    <row r="388" spans="13:29">
      <c r="M388" s="14"/>
      <c r="T388" s="16"/>
      <c r="U388" s="17">
        <f>IF(AND(COUNTA($A388:$L388)=0,$N388=""),"",IF($T388="Paid","PAID",IF($T388="Closed","CLOSED",IF($Z388="","",IF($Z388=6,"ESCALATED TO ROXANNE",IF(TODAY()&gt;$AB388,"OVERDUE",IF($AB388&lt;=WORKDAY(TODAY(),1,Holidays),"DUE TOMORROW",IF($Z388=4,"ESCALATED TO LOCAL OFFICE",IF($Z388=5,"ESCALATED TO CBE",IF($AA388=TODAY(),"EMAIL SENT","MONITORING"))))))))))</f>
        <v/>
      </c>
      <c r="V388" s="17">
        <f>IF($U388="",IF(AND(COUNTA($A388:$L388)&gt;0,$N388=""),"Awaiting Collection Email time stamp.",""),IF(OR($U388="PAID",$U388="CLOSED"),IF($U388="PAID","Account paid. Action completed.","Account closed. No further action required."),CHOOSE($Z388,"Collection Email","1st Email Follow-up","2nd Email Follow-up","Escalation to Local Office","Escalation to CBE","Escalation to Roxanne")&amp;" sent "&amp;TEXT($AA388,"dd-mmm")&amp;". "&amp;IF($Z388=6,"Final escalation completed.",IF($U388="OVERDUE","Next: "&amp;$AC388&amp;" was due "&amp;TEXT($AB388,"dd-mmm")&amp;" - "&amp;(NETWORKDAYS($AB388,TODAY(),Holidays)-1)&amp;" business day(s) late. Send now.",IF($U388="DUE TOMORROW","Next: "&amp;$AC388&amp;IF($AB388&lt;=TODAY()," is due TODAY ("," is due next business day (")&amp;TEXT($AB388,"dd-mmm")&amp;").","Next: "&amp;$AC388&amp;" due "&amp;TEXT($AB388,"dd-mmm")&amp;" ("&amp;(NETWORKDAYS(TODAY(),$AB388,Holidays)-1)&amp;" business day(s) left).")))))</f>
        <v/>
      </c>
      <c r="W388" s="17">
        <f>IF($Z388="","",CHOOSE($Z388,"Collection Email","1st Follow-up","2nd Follow-up","Local Office","CBE","Roxanne")&amp;IF($Z388=6," - Final"," - Day "&amp;MAX(0,NETWORKDAYS($AA388,TODAY(),Holidays)-1)&amp;" of "&amp;CHOOSE($Z388,3,3,2,2,3))&amp;" | Total Day "&amp;MAX(0,NETWORKDAYS($N388,TODAY(),Holidays)-1))</f>
        <v/>
      </c>
      <c r="X388" s="18"/>
      <c r="Y388" s="18"/>
      <c r="Z388" s="17">
        <f>IF($N388="","",COUNT($N388:$S388))</f>
        <v/>
      </c>
      <c r="AA388" s="19">
        <f>IF($Z388="","",INT(INDEX($N388:$S388,$Z388)))</f>
        <v/>
      </c>
      <c r="AB388" s="19">
        <f>IF(OR($Z388="",$Z388=6),"",WORKDAY($AA388,CHOOSE($Z388,3,3,2,2,3),Holidays))</f>
        <v/>
      </c>
      <c r="AC388" s="17">
        <f>IF(OR($Z388="",$Z388=6),"",CHOOSE($Z388,"1st Email Follow-up","2nd Email Follow-up","Escalate Local Office","Escalate to CBE","Escalate to Roxanne"))</f>
        <v/>
      </c>
    </row>
    <row r="389" spans="13:29">
      <c r="M389" s="14"/>
      <c r="T389" s="16"/>
      <c r="U389" s="17">
        <f>IF(AND(COUNTA($A389:$L389)=0,$N389=""),"",IF($T389="Paid","PAID",IF($T389="Closed","CLOSED",IF($Z389="","",IF($Z389=6,"ESCALATED TO ROXANNE",IF(TODAY()&gt;$AB389,"OVERDUE",IF($AB389&lt;=WORKDAY(TODAY(),1,Holidays),"DUE TOMORROW",IF($Z389=4,"ESCALATED TO LOCAL OFFICE",IF($Z389=5,"ESCALATED TO CBE",IF($AA389=TODAY(),"EMAIL SENT","MONITORING"))))))))))</f>
        <v/>
      </c>
      <c r="V389" s="17">
        <f>IF($U389="",IF(AND(COUNTA($A389:$L389)&gt;0,$N389=""),"Awaiting Collection Email time stamp.",""),IF(OR($U389="PAID",$U389="CLOSED"),IF($U389="PAID","Account paid. Action completed.","Account closed. No further action required."),CHOOSE($Z389,"Collection Email","1st Email Follow-up","2nd Email Follow-up","Escalation to Local Office","Escalation to CBE","Escalation to Roxanne")&amp;" sent "&amp;TEXT($AA389,"dd-mmm")&amp;". "&amp;IF($Z389=6,"Final escalation completed.",IF($U389="OVERDUE","Next: "&amp;$AC389&amp;" was due "&amp;TEXT($AB389,"dd-mmm")&amp;" - "&amp;(NETWORKDAYS($AB389,TODAY(),Holidays)-1)&amp;" business day(s) late. Send now.",IF($U389="DUE TOMORROW","Next: "&amp;$AC389&amp;IF($AB389&lt;=TODAY()," is due TODAY ("," is due next business day (")&amp;TEXT($AB389,"dd-mmm")&amp;").","Next: "&amp;$AC389&amp;" due "&amp;TEXT($AB389,"dd-mmm")&amp;" ("&amp;(NETWORKDAYS(TODAY(),$AB389,Holidays)-1)&amp;" business day(s) left).")))))</f>
        <v/>
      </c>
      <c r="W389" s="17">
        <f>IF($Z389="","",CHOOSE($Z389,"Collection Email","1st Follow-up","2nd Follow-up","Local Office","CBE","Roxanne")&amp;IF($Z389=6," - Final"," - Day "&amp;MAX(0,NETWORKDAYS($AA389,TODAY(),Holidays)-1)&amp;" of "&amp;CHOOSE($Z389,3,3,2,2,3))&amp;" | Total Day "&amp;MAX(0,NETWORKDAYS($N389,TODAY(),Holidays)-1))</f>
        <v/>
      </c>
      <c r="X389" s="18"/>
      <c r="Y389" s="18"/>
      <c r="Z389" s="17">
        <f>IF($N389="","",COUNT($N389:$S389))</f>
        <v/>
      </c>
      <c r="AA389" s="19">
        <f>IF($Z389="","",INT(INDEX($N389:$S389,$Z389)))</f>
        <v/>
      </c>
      <c r="AB389" s="19">
        <f>IF(OR($Z389="",$Z389=6),"",WORKDAY($AA389,CHOOSE($Z389,3,3,2,2,3),Holidays))</f>
        <v/>
      </c>
      <c r="AC389" s="17">
        <f>IF(OR($Z389="",$Z389=6),"",CHOOSE($Z389,"1st Email Follow-up","2nd Email Follow-up","Escalate Local Office","Escalate to CBE","Escalate to Roxanne"))</f>
        <v/>
      </c>
    </row>
    <row r="390" spans="13:29">
      <c r="M390" s="14"/>
      <c r="T390" s="16"/>
      <c r="U390" s="17">
        <f>IF(AND(COUNTA($A390:$L390)=0,$N390=""),"",IF($T390="Paid","PAID",IF($T390="Closed","CLOSED",IF($Z390="","",IF($Z390=6,"ESCALATED TO ROXANNE",IF(TODAY()&gt;$AB390,"OVERDUE",IF($AB390&lt;=WORKDAY(TODAY(),1,Holidays),"DUE TOMORROW",IF($Z390=4,"ESCALATED TO LOCAL OFFICE",IF($Z390=5,"ESCALATED TO CBE",IF($AA390=TODAY(),"EMAIL SENT","MONITORING"))))))))))</f>
        <v/>
      </c>
      <c r="V390" s="17">
        <f>IF($U390="",IF(AND(COUNTA($A390:$L390)&gt;0,$N390=""),"Awaiting Collection Email time stamp.",""),IF(OR($U390="PAID",$U390="CLOSED"),IF($U390="PAID","Account paid. Action completed.","Account closed. No further action required."),CHOOSE($Z390,"Collection Email","1st Email Follow-up","2nd Email Follow-up","Escalation to Local Office","Escalation to CBE","Escalation to Roxanne")&amp;" sent "&amp;TEXT($AA390,"dd-mmm")&amp;". "&amp;IF($Z390=6,"Final escalation completed.",IF($U390="OVERDUE","Next: "&amp;$AC390&amp;" was due "&amp;TEXT($AB390,"dd-mmm")&amp;" - "&amp;(NETWORKDAYS($AB390,TODAY(),Holidays)-1)&amp;" business day(s) late. Send now.",IF($U390="DUE TOMORROW","Next: "&amp;$AC390&amp;IF($AB390&lt;=TODAY()," is due TODAY ("," is due next business day (")&amp;TEXT($AB390,"dd-mmm")&amp;").","Next: "&amp;$AC390&amp;" due "&amp;TEXT($AB390,"dd-mmm")&amp;" ("&amp;(NETWORKDAYS(TODAY(),$AB390,Holidays)-1)&amp;" business day(s) left).")))))</f>
        <v/>
      </c>
      <c r="W390" s="17">
        <f>IF($Z390="","",CHOOSE($Z390,"Collection Email","1st Follow-up","2nd Follow-up","Local Office","CBE","Roxanne")&amp;IF($Z390=6," - Final"," - Day "&amp;MAX(0,NETWORKDAYS($AA390,TODAY(),Holidays)-1)&amp;" of "&amp;CHOOSE($Z390,3,3,2,2,3))&amp;" | Total Day "&amp;MAX(0,NETWORKDAYS($N390,TODAY(),Holidays)-1))</f>
        <v/>
      </c>
      <c r="X390" s="18"/>
      <c r="Y390" s="18"/>
      <c r="Z390" s="17">
        <f>IF($N390="","",COUNT($N390:$S390))</f>
        <v/>
      </c>
      <c r="AA390" s="19">
        <f>IF($Z390="","",INT(INDEX($N390:$S390,$Z390)))</f>
        <v/>
      </c>
      <c r="AB390" s="19">
        <f>IF(OR($Z390="",$Z390=6),"",WORKDAY($AA390,CHOOSE($Z390,3,3,2,2,3),Holidays))</f>
        <v/>
      </c>
      <c r="AC390" s="17">
        <f>IF(OR($Z390="",$Z390=6),"",CHOOSE($Z390,"1st Email Follow-up","2nd Email Follow-up","Escalate Local Office","Escalate to CBE","Escalate to Roxanne"))</f>
        <v/>
      </c>
    </row>
    <row r="391" spans="13:29">
      <c r="M391" s="14"/>
      <c r="T391" s="16"/>
      <c r="U391" s="17">
        <f>IF(AND(COUNTA($A391:$L391)=0,$N391=""),"",IF($T391="Paid","PAID",IF($T391="Closed","CLOSED",IF($Z391="","",IF($Z391=6,"ESCALATED TO ROXANNE",IF(TODAY()&gt;$AB391,"OVERDUE",IF($AB391&lt;=WORKDAY(TODAY(),1,Holidays),"DUE TOMORROW",IF($Z391=4,"ESCALATED TO LOCAL OFFICE",IF($Z391=5,"ESCALATED TO CBE",IF($AA391=TODAY(),"EMAIL SENT","MONITORING"))))))))))</f>
        <v/>
      </c>
      <c r="V391" s="17">
        <f>IF($U391="",IF(AND(COUNTA($A391:$L391)&gt;0,$N391=""),"Awaiting Collection Email time stamp.",""),IF(OR($U391="PAID",$U391="CLOSED"),IF($U391="PAID","Account paid. Action completed.","Account closed. No further action required."),CHOOSE($Z391,"Collection Email","1st Email Follow-up","2nd Email Follow-up","Escalation to Local Office","Escalation to CBE","Escalation to Roxanne")&amp;" sent "&amp;TEXT($AA391,"dd-mmm")&amp;". "&amp;IF($Z391=6,"Final escalation completed.",IF($U391="OVERDUE","Next: "&amp;$AC391&amp;" was due "&amp;TEXT($AB391,"dd-mmm")&amp;" - "&amp;(NETWORKDAYS($AB391,TODAY(),Holidays)-1)&amp;" business day(s) late. Send now.",IF($U391="DUE TOMORROW","Next: "&amp;$AC391&amp;IF($AB391&lt;=TODAY()," is due TODAY ("," is due next business day (")&amp;TEXT($AB391,"dd-mmm")&amp;").","Next: "&amp;$AC391&amp;" due "&amp;TEXT($AB391,"dd-mmm")&amp;" ("&amp;(NETWORKDAYS(TODAY(),$AB391,Holidays)-1)&amp;" business day(s) left).")))))</f>
        <v/>
      </c>
      <c r="W391" s="17">
        <f>IF($Z391="","",CHOOSE($Z391,"Collection Email","1st Follow-up","2nd Follow-up","Local Office","CBE","Roxanne")&amp;IF($Z391=6," - Final"," - Day "&amp;MAX(0,NETWORKDAYS($AA391,TODAY(),Holidays)-1)&amp;" of "&amp;CHOOSE($Z391,3,3,2,2,3))&amp;" | Total Day "&amp;MAX(0,NETWORKDAYS($N391,TODAY(),Holidays)-1))</f>
        <v/>
      </c>
      <c r="X391" s="18"/>
      <c r="Y391" s="18"/>
      <c r="Z391" s="17">
        <f>IF($N391="","",COUNT($N391:$S391))</f>
        <v/>
      </c>
      <c r="AA391" s="19">
        <f>IF($Z391="","",INT(INDEX($N391:$S391,$Z391)))</f>
        <v/>
      </c>
      <c r="AB391" s="19">
        <f>IF(OR($Z391="",$Z391=6),"",WORKDAY($AA391,CHOOSE($Z391,3,3,2,2,3),Holidays))</f>
        <v/>
      </c>
      <c r="AC391" s="17">
        <f>IF(OR($Z391="",$Z391=6),"",CHOOSE($Z391,"1st Email Follow-up","2nd Email Follow-up","Escalate Local Office","Escalate to CBE","Escalate to Roxanne"))</f>
        <v/>
      </c>
    </row>
    <row r="392" spans="13:29">
      <c r="M392" s="14"/>
      <c r="T392" s="16"/>
      <c r="U392" s="17">
        <f>IF(AND(COUNTA($A392:$L392)=0,$N392=""),"",IF($T392="Paid","PAID",IF($T392="Closed","CLOSED",IF($Z392="","",IF($Z392=6,"ESCALATED TO ROXANNE",IF(TODAY()&gt;$AB392,"OVERDUE",IF($AB392&lt;=WORKDAY(TODAY(),1,Holidays),"DUE TOMORROW",IF($Z392=4,"ESCALATED TO LOCAL OFFICE",IF($Z392=5,"ESCALATED TO CBE",IF($AA392=TODAY(),"EMAIL SENT","MONITORING"))))))))))</f>
        <v/>
      </c>
      <c r="V392" s="17">
        <f>IF($U392="",IF(AND(COUNTA($A392:$L392)&gt;0,$N392=""),"Awaiting Collection Email time stamp.",""),IF(OR($U392="PAID",$U392="CLOSED"),IF($U392="PAID","Account paid. Action completed.","Account closed. No further action required."),CHOOSE($Z392,"Collection Email","1st Email Follow-up","2nd Email Follow-up","Escalation to Local Office","Escalation to CBE","Escalation to Roxanne")&amp;" sent "&amp;TEXT($AA392,"dd-mmm")&amp;". "&amp;IF($Z392=6,"Final escalation completed.",IF($U392="OVERDUE","Next: "&amp;$AC392&amp;" was due "&amp;TEXT($AB392,"dd-mmm")&amp;" - "&amp;(NETWORKDAYS($AB392,TODAY(),Holidays)-1)&amp;" business day(s) late. Send now.",IF($U392="DUE TOMORROW","Next: "&amp;$AC392&amp;IF($AB392&lt;=TODAY()," is due TODAY ("," is due next business day (")&amp;TEXT($AB392,"dd-mmm")&amp;").","Next: "&amp;$AC392&amp;" due "&amp;TEXT($AB392,"dd-mmm")&amp;" ("&amp;(NETWORKDAYS(TODAY(),$AB392,Holidays)-1)&amp;" business day(s) left).")))))</f>
        <v/>
      </c>
      <c r="W392" s="17">
        <f>IF($Z392="","",CHOOSE($Z392,"Collection Email","1st Follow-up","2nd Follow-up","Local Office","CBE","Roxanne")&amp;IF($Z392=6," - Final"," - Day "&amp;MAX(0,NETWORKDAYS($AA392,TODAY(),Holidays)-1)&amp;" of "&amp;CHOOSE($Z392,3,3,2,2,3))&amp;" | Total Day "&amp;MAX(0,NETWORKDAYS($N392,TODAY(),Holidays)-1))</f>
        <v/>
      </c>
      <c r="X392" s="18"/>
      <c r="Y392" s="18"/>
      <c r="Z392" s="17">
        <f>IF($N392="","",COUNT($N392:$S392))</f>
        <v/>
      </c>
      <c r="AA392" s="19">
        <f>IF($Z392="","",INT(INDEX($N392:$S392,$Z392)))</f>
        <v/>
      </c>
      <c r="AB392" s="19">
        <f>IF(OR($Z392="",$Z392=6),"",WORKDAY($AA392,CHOOSE($Z392,3,3,2,2,3),Holidays))</f>
        <v/>
      </c>
      <c r="AC392" s="17">
        <f>IF(OR($Z392="",$Z392=6),"",CHOOSE($Z392,"1st Email Follow-up","2nd Email Follow-up","Escalate Local Office","Escalate to CBE","Escalate to Roxanne"))</f>
        <v/>
      </c>
    </row>
    <row r="393" spans="13:29">
      <c r="M393" s="14"/>
      <c r="T393" s="16"/>
      <c r="U393" s="17">
        <f>IF(AND(COUNTA($A393:$L393)=0,$N393=""),"",IF($T393="Paid","PAID",IF($T393="Closed","CLOSED",IF($Z393="","",IF($Z393=6,"ESCALATED TO ROXANNE",IF(TODAY()&gt;$AB393,"OVERDUE",IF($AB393&lt;=WORKDAY(TODAY(),1,Holidays),"DUE TOMORROW",IF($Z393=4,"ESCALATED TO LOCAL OFFICE",IF($Z393=5,"ESCALATED TO CBE",IF($AA393=TODAY(),"EMAIL SENT","MONITORING"))))))))))</f>
        <v/>
      </c>
      <c r="V393" s="17">
        <f>IF($U393="",IF(AND(COUNTA($A393:$L393)&gt;0,$N393=""),"Awaiting Collection Email time stamp.",""),IF(OR($U393="PAID",$U393="CLOSED"),IF($U393="PAID","Account paid. Action completed.","Account closed. No further action required."),CHOOSE($Z393,"Collection Email","1st Email Follow-up","2nd Email Follow-up","Escalation to Local Office","Escalation to CBE","Escalation to Roxanne")&amp;" sent "&amp;TEXT($AA393,"dd-mmm")&amp;". "&amp;IF($Z393=6,"Final escalation completed.",IF($U393="OVERDUE","Next: "&amp;$AC393&amp;" was due "&amp;TEXT($AB393,"dd-mmm")&amp;" - "&amp;(NETWORKDAYS($AB393,TODAY(),Holidays)-1)&amp;" business day(s) late. Send now.",IF($U393="DUE TOMORROW","Next: "&amp;$AC393&amp;IF($AB393&lt;=TODAY()," is due TODAY ("," is due next business day (")&amp;TEXT($AB393,"dd-mmm")&amp;").","Next: "&amp;$AC393&amp;" due "&amp;TEXT($AB393,"dd-mmm")&amp;" ("&amp;(NETWORKDAYS(TODAY(),$AB393,Holidays)-1)&amp;" business day(s) left).")))))</f>
        <v/>
      </c>
      <c r="W393" s="17">
        <f>IF($Z393="","",CHOOSE($Z393,"Collection Email","1st Follow-up","2nd Follow-up","Local Office","CBE","Roxanne")&amp;IF($Z393=6," - Final"," - Day "&amp;MAX(0,NETWORKDAYS($AA393,TODAY(),Holidays)-1)&amp;" of "&amp;CHOOSE($Z393,3,3,2,2,3))&amp;" | Total Day "&amp;MAX(0,NETWORKDAYS($N393,TODAY(),Holidays)-1))</f>
        <v/>
      </c>
      <c r="X393" s="18"/>
      <c r="Y393" s="18"/>
      <c r="Z393" s="17">
        <f>IF($N393="","",COUNT($N393:$S393))</f>
        <v/>
      </c>
      <c r="AA393" s="19">
        <f>IF($Z393="","",INT(INDEX($N393:$S393,$Z393)))</f>
        <v/>
      </c>
      <c r="AB393" s="19">
        <f>IF(OR($Z393="",$Z393=6),"",WORKDAY($AA393,CHOOSE($Z393,3,3,2,2,3),Holidays))</f>
        <v/>
      </c>
      <c r="AC393" s="17">
        <f>IF(OR($Z393="",$Z393=6),"",CHOOSE($Z393,"1st Email Follow-up","2nd Email Follow-up","Escalate Local Office","Escalate to CBE","Escalate to Roxanne"))</f>
        <v/>
      </c>
    </row>
    <row r="394" spans="13:29">
      <c r="M394" s="14"/>
      <c r="T394" s="16"/>
      <c r="U394" s="17">
        <f>IF(AND(COUNTA($A394:$L394)=0,$N394=""),"",IF($T394="Paid","PAID",IF($T394="Closed","CLOSED",IF($Z394="","",IF($Z394=6,"ESCALATED TO ROXANNE",IF(TODAY()&gt;$AB394,"OVERDUE",IF($AB394&lt;=WORKDAY(TODAY(),1,Holidays),"DUE TOMORROW",IF($Z394=4,"ESCALATED TO LOCAL OFFICE",IF($Z394=5,"ESCALATED TO CBE",IF($AA394=TODAY(),"EMAIL SENT","MONITORING"))))))))))</f>
        <v/>
      </c>
      <c r="V394" s="17">
        <f>IF($U394="",IF(AND(COUNTA($A394:$L394)&gt;0,$N394=""),"Awaiting Collection Email time stamp.",""),IF(OR($U394="PAID",$U394="CLOSED"),IF($U394="PAID","Account paid. Action completed.","Account closed. No further action required."),CHOOSE($Z394,"Collection Email","1st Email Follow-up","2nd Email Follow-up","Escalation to Local Office","Escalation to CBE","Escalation to Roxanne")&amp;" sent "&amp;TEXT($AA394,"dd-mmm")&amp;". "&amp;IF($Z394=6,"Final escalation completed.",IF($U394="OVERDUE","Next: "&amp;$AC394&amp;" was due "&amp;TEXT($AB394,"dd-mmm")&amp;" - "&amp;(NETWORKDAYS($AB394,TODAY(),Holidays)-1)&amp;" business day(s) late. Send now.",IF($U394="DUE TOMORROW","Next: "&amp;$AC394&amp;IF($AB394&lt;=TODAY()," is due TODAY ("," is due next business day (")&amp;TEXT($AB394,"dd-mmm")&amp;").","Next: "&amp;$AC394&amp;" due "&amp;TEXT($AB394,"dd-mmm")&amp;" ("&amp;(NETWORKDAYS(TODAY(),$AB394,Holidays)-1)&amp;" business day(s) left).")))))</f>
        <v/>
      </c>
      <c r="W394" s="17">
        <f>IF($Z394="","",CHOOSE($Z394,"Collection Email","1st Follow-up","2nd Follow-up","Local Office","CBE","Roxanne")&amp;IF($Z394=6," - Final"," - Day "&amp;MAX(0,NETWORKDAYS($AA394,TODAY(),Holidays)-1)&amp;" of "&amp;CHOOSE($Z394,3,3,2,2,3))&amp;" | Total Day "&amp;MAX(0,NETWORKDAYS($N394,TODAY(),Holidays)-1))</f>
        <v/>
      </c>
      <c r="X394" s="18"/>
      <c r="Y394" s="18"/>
      <c r="Z394" s="17">
        <f>IF($N394="","",COUNT($N394:$S394))</f>
        <v/>
      </c>
      <c r="AA394" s="19">
        <f>IF($Z394="","",INT(INDEX($N394:$S394,$Z394)))</f>
        <v/>
      </c>
      <c r="AB394" s="19">
        <f>IF(OR($Z394="",$Z394=6),"",WORKDAY($AA394,CHOOSE($Z394,3,3,2,2,3),Holidays))</f>
        <v/>
      </c>
      <c r="AC394" s="17">
        <f>IF(OR($Z394="",$Z394=6),"",CHOOSE($Z394,"1st Email Follow-up","2nd Email Follow-up","Escalate Local Office","Escalate to CBE","Escalate to Roxanne"))</f>
        <v/>
      </c>
    </row>
    <row r="395" spans="13:29">
      <c r="M395" s="14"/>
      <c r="T395" s="16"/>
      <c r="U395" s="17">
        <f>IF(AND(COUNTA($A395:$L395)=0,$N395=""),"",IF($T395="Paid","PAID",IF($T395="Closed","CLOSED",IF($Z395="","",IF($Z395=6,"ESCALATED TO ROXANNE",IF(TODAY()&gt;$AB395,"OVERDUE",IF($AB395&lt;=WORKDAY(TODAY(),1,Holidays),"DUE TOMORROW",IF($Z395=4,"ESCALATED TO LOCAL OFFICE",IF($Z395=5,"ESCALATED TO CBE",IF($AA395=TODAY(),"EMAIL SENT","MONITORING"))))))))))</f>
        <v/>
      </c>
      <c r="V395" s="17">
        <f>IF($U395="",IF(AND(COUNTA($A395:$L395)&gt;0,$N395=""),"Awaiting Collection Email time stamp.",""),IF(OR($U395="PAID",$U395="CLOSED"),IF($U395="PAID","Account paid. Action completed.","Account closed. No further action required."),CHOOSE($Z395,"Collection Email","1st Email Follow-up","2nd Email Follow-up","Escalation to Local Office","Escalation to CBE","Escalation to Roxanne")&amp;" sent "&amp;TEXT($AA395,"dd-mmm")&amp;". "&amp;IF($Z395=6,"Final escalation completed.",IF($U395="OVERDUE","Next: "&amp;$AC395&amp;" was due "&amp;TEXT($AB395,"dd-mmm")&amp;" - "&amp;(NETWORKDAYS($AB395,TODAY(),Holidays)-1)&amp;" business day(s) late. Send now.",IF($U395="DUE TOMORROW","Next: "&amp;$AC395&amp;IF($AB395&lt;=TODAY()," is due TODAY ("," is due next business day (")&amp;TEXT($AB395,"dd-mmm")&amp;").","Next: "&amp;$AC395&amp;" due "&amp;TEXT($AB395,"dd-mmm")&amp;" ("&amp;(NETWORKDAYS(TODAY(),$AB395,Holidays)-1)&amp;" business day(s) left).")))))</f>
        <v/>
      </c>
      <c r="W395" s="17">
        <f>IF($Z395="","",CHOOSE($Z395,"Collection Email","1st Follow-up","2nd Follow-up","Local Office","CBE","Roxanne")&amp;IF($Z395=6," - Final"," - Day "&amp;MAX(0,NETWORKDAYS($AA395,TODAY(),Holidays)-1)&amp;" of "&amp;CHOOSE($Z395,3,3,2,2,3))&amp;" | Total Day "&amp;MAX(0,NETWORKDAYS($N395,TODAY(),Holidays)-1))</f>
        <v/>
      </c>
      <c r="X395" s="18"/>
      <c r="Y395" s="18"/>
      <c r="Z395" s="17">
        <f>IF($N395="","",COUNT($N395:$S395))</f>
        <v/>
      </c>
      <c r="AA395" s="19">
        <f>IF($Z395="","",INT(INDEX($N395:$S395,$Z395)))</f>
        <v/>
      </c>
      <c r="AB395" s="19">
        <f>IF(OR($Z395="",$Z395=6),"",WORKDAY($AA395,CHOOSE($Z395,3,3,2,2,3),Holidays))</f>
        <v/>
      </c>
      <c r="AC395" s="17">
        <f>IF(OR($Z395="",$Z395=6),"",CHOOSE($Z395,"1st Email Follow-up","2nd Email Follow-up","Escalate Local Office","Escalate to CBE","Escalate to Roxanne"))</f>
        <v/>
      </c>
    </row>
    <row r="396" spans="13:29">
      <c r="M396" s="14"/>
      <c r="T396" s="16"/>
      <c r="U396" s="17">
        <f>IF(AND(COUNTA($A396:$L396)=0,$N396=""),"",IF($T396="Paid","PAID",IF($T396="Closed","CLOSED",IF($Z396="","",IF($Z396=6,"ESCALATED TO ROXANNE",IF(TODAY()&gt;$AB396,"OVERDUE",IF($AB396&lt;=WORKDAY(TODAY(),1,Holidays),"DUE TOMORROW",IF($Z396=4,"ESCALATED TO LOCAL OFFICE",IF($Z396=5,"ESCALATED TO CBE",IF($AA396=TODAY(),"EMAIL SENT","MONITORING"))))))))))</f>
        <v/>
      </c>
      <c r="V396" s="17">
        <f>IF($U396="",IF(AND(COUNTA($A396:$L396)&gt;0,$N396=""),"Awaiting Collection Email time stamp.",""),IF(OR($U396="PAID",$U396="CLOSED"),IF($U396="PAID","Account paid. Action completed.","Account closed. No further action required."),CHOOSE($Z396,"Collection Email","1st Email Follow-up","2nd Email Follow-up","Escalation to Local Office","Escalation to CBE","Escalation to Roxanne")&amp;" sent "&amp;TEXT($AA396,"dd-mmm")&amp;". "&amp;IF($Z396=6,"Final escalation completed.",IF($U396="OVERDUE","Next: "&amp;$AC396&amp;" was due "&amp;TEXT($AB396,"dd-mmm")&amp;" - "&amp;(NETWORKDAYS($AB396,TODAY(),Holidays)-1)&amp;" business day(s) late. Send now.",IF($U396="DUE TOMORROW","Next: "&amp;$AC396&amp;IF($AB396&lt;=TODAY()," is due TODAY ("," is due next business day (")&amp;TEXT($AB396,"dd-mmm")&amp;").","Next: "&amp;$AC396&amp;" due "&amp;TEXT($AB396,"dd-mmm")&amp;" ("&amp;(NETWORKDAYS(TODAY(),$AB396,Holidays)-1)&amp;" business day(s) left).")))))</f>
        <v/>
      </c>
      <c r="W396" s="17">
        <f>IF($Z396="","",CHOOSE($Z396,"Collection Email","1st Follow-up","2nd Follow-up","Local Office","CBE","Roxanne")&amp;IF($Z396=6," - Final"," - Day "&amp;MAX(0,NETWORKDAYS($AA396,TODAY(),Holidays)-1)&amp;" of "&amp;CHOOSE($Z396,3,3,2,2,3))&amp;" | Total Day "&amp;MAX(0,NETWORKDAYS($N396,TODAY(),Holidays)-1))</f>
        <v/>
      </c>
      <c r="X396" s="18"/>
      <c r="Y396" s="18"/>
      <c r="Z396" s="17">
        <f>IF($N396="","",COUNT($N396:$S396))</f>
        <v/>
      </c>
      <c r="AA396" s="19">
        <f>IF($Z396="","",INT(INDEX($N396:$S396,$Z396)))</f>
        <v/>
      </c>
      <c r="AB396" s="19">
        <f>IF(OR($Z396="",$Z396=6),"",WORKDAY($AA396,CHOOSE($Z396,3,3,2,2,3),Holidays))</f>
        <v/>
      </c>
      <c r="AC396" s="17">
        <f>IF(OR($Z396="",$Z396=6),"",CHOOSE($Z396,"1st Email Follow-up","2nd Email Follow-up","Escalate Local Office","Escalate to CBE","Escalate to Roxanne"))</f>
        <v/>
      </c>
    </row>
    <row r="397" spans="13:29">
      <c r="M397" s="14"/>
      <c r="T397" s="16"/>
      <c r="U397" s="17">
        <f>IF(AND(COUNTA($A397:$L397)=0,$N397=""),"",IF($T397="Paid","PAID",IF($T397="Closed","CLOSED",IF($Z397="","",IF($Z397=6,"ESCALATED TO ROXANNE",IF(TODAY()&gt;$AB397,"OVERDUE",IF($AB397&lt;=WORKDAY(TODAY(),1,Holidays),"DUE TOMORROW",IF($Z397=4,"ESCALATED TO LOCAL OFFICE",IF($Z397=5,"ESCALATED TO CBE",IF($AA397=TODAY(),"EMAIL SENT","MONITORING"))))))))))</f>
        <v/>
      </c>
      <c r="V397" s="17">
        <f>IF($U397="",IF(AND(COUNTA($A397:$L397)&gt;0,$N397=""),"Awaiting Collection Email time stamp.",""),IF(OR($U397="PAID",$U397="CLOSED"),IF($U397="PAID","Account paid. Action completed.","Account closed. No further action required."),CHOOSE($Z397,"Collection Email","1st Email Follow-up","2nd Email Follow-up","Escalation to Local Office","Escalation to CBE","Escalation to Roxanne")&amp;" sent "&amp;TEXT($AA397,"dd-mmm")&amp;". "&amp;IF($Z397=6,"Final escalation completed.",IF($U397="OVERDUE","Next: "&amp;$AC397&amp;" was due "&amp;TEXT($AB397,"dd-mmm")&amp;" - "&amp;(NETWORKDAYS($AB397,TODAY(),Holidays)-1)&amp;" business day(s) late. Send now.",IF($U397="DUE TOMORROW","Next: "&amp;$AC397&amp;IF($AB397&lt;=TODAY()," is due TODAY ("," is due next business day (")&amp;TEXT($AB397,"dd-mmm")&amp;").","Next: "&amp;$AC397&amp;" due "&amp;TEXT($AB397,"dd-mmm")&amp;" ("&amp;(NETWORKDAYS(TODAY(),$AB397,Holidays)-1)&amp;" business day(s) left).")))))</f>
        <v/>
      </c>
      <c r="W397" s="17">
        <f>IF($Z397="","",CHOOSE($Z397,"Collection Email","1st Follow-up","2nd Follow-up","Local Office","CBE","Roxanne")&amp;IF($Z397=6," - Final"," - Day "&amp;MAX(0,NETWORKDAYS($AA397,TODAY(),Holidays)-1)&amp;" of "&amp;CHOOSE($Z397,3,3,2,2,3))&amp;" | Total Day "&amp;MAX(0,NETWORKDAYS($N397,TODAY(),Holidays)-1))</f>
        <v/>
      </c>
      <c r="X397" s="18"/>
      <c r="Y397" s="18"/>
      <c r="Z397" s="17">
        <f>IF($N397="","",COUNT($N397:$S397))</f>
        <v/>
      </c>
      <c r="AA397" s="19">
        <f>IF($Z397="","",INT(INDEX($N397:$S397,$Z397)))</f>
        <v/>
      </c>
      <c r="AB397" s="19">
        <f>IF(OR($Z397="",$Z397=6),"",WORKDAY($AA397,CHOOSE($Z397,3,3,2,2,3),Holidays))</f>
        <v/>
      </c>
      <c r="AC397" s="17">
        <f>IF(OR($Z397="",$Z397=6),"",CHOOSE($Z397,"1st Email Follow-up","2nd Email Follow-up","Escalate Local Office","Escalate to CBE","Escalate to Roxanne"))</f>
        <v/>
      </c>
    </row>
    <row r="398" spans="13:29">
      <c r="M398" s="14"/>
      <c r="T398" s="16"/>
      <c r="U398" s="17">
        <f>IF(AND(COUNTA($A398:$L398)=0,$N398=""),"",IF($T398="Paid","PAID",IF($T398="Closed","CLOSED",IF($Z398="","",IF($Z398=6,"ESCALATED TO ROXANNE",IF(TODAY()&gt;$AB398,"OVERDUE",IF($AB398&lt;=WORKDAY(TODAY(),1,Holidays),"DUE TOMORROW",IF($Z398=4,"ESCALATED TO LOCAL OFFICE",IF($Z398=5,"ESCALATED TO CBE",IF($AA398=TODAY(),"EMAIL SENT","MONITORING"))))))))))</f>
        <v/>
      </c>
      <c r="V398" s="17">
        <f>IF($U398="",IF(AND(COUNTA($A398:$L398)&gt;0,$N398=""),"Awaiting Collection Email time stamp.",""),IF(OR($U398="PAID",$U398="CLOSED"),IF($U398="PAID","Account paid. Action completed.","Account closed. No further action required."),CHOOSE($Z398,"Collection Email","1st Email Follow-up","2nd Email Follow-up","Escalation to Local Office","Escalation to CBE","Escalation to Roxanne")&amp;" sent "&amp;TEXT($AA398,"dd-mmm")&amp;". "&amp;IF($Z398=6,"Final escalation completed.",IF($U398="OVERDUE","Next: "&amp;$AC398&amp;" was due "&amp;TEXT($AB398,"dd-mmm")&amp;" - "&amp;(NETWORKDAYS($AB398,TODAY(),Holidays)-1)&amp;" business day(s) late. Send now.",IF($U398="DUE TOMORROW","Next: "&amp;$AC398&amp;IF($AB398&lt;=TODAY()," is due TODAY ("," is due next business day (")&amp;TEXT($AB398,"dd-mmm")&amp;").","Next: "&amp;$AC398&amp;" due "&amp;TEXT($AB398,"dd-mmm")&amp;" ("&amp;(NETWORKDAYS(TODAY(),$AB398,Holidays)-1)&amp;" business day(s) left).")))))</f>
        <v/>
      </c>
      <c r="W398" s="17">
        <f>IF($Z398="","",CHOOSE($Z398,"Collection Email","1st Follow-up","2nd Follow-up","Local Office","CBE","Roxanne")&amp;IF($Z398=6," - Final"," - Day "&amp;MAX(0,NETWORKDAYS($AA398,TODAY(),Holidays)-1)&amp;" of "&amp;CHOOSE($Z398,3,3,2,2,3))&amp;" | Total Day "&amp;MAX(0,NETWORKDAYS($N398,TODAY(),Holidays)-1))</f>
        <v/>
      </c>
      <c r="X398" s="18"/>
      <c r="Y398" s="18"/>
      <c r="Z398" s="17">
        <f>IF($N398="","",COUNT($N398:$S398))</f>
        <v/>
      </c>
      <c r="AA398" s="19">
        <f>IF($Z398="","",INT(INDEX($N398:$S398,$Z398)))</f>
        <v/>
      </c>
      <c r="AB398" s="19">
        <f>IF(OR($Z398="",$Z398=6),"",WORKDAY($AA398,CHOOSE($Z398,3,3,2,2,3),Holidays))</f>
        <v/>
      </c>
      <c r="AC398" s="17">
        <f>IF(OR($Z398="",$Z398=6),"",CHOOSE($Z398,"1st Email Follow-up","2nd Email Follow-up","Escalate Local Office","Escalate to CBE","Escalate to Roxanne"))</f>
        <v/>
      </c>
    </row>
    <row r="399" spans="13:29">
      <c r="M399" s="14"/>
      <c r="T399" s="16"/>
      <c r="U399" s="17">
        <f>IF(AND(COUNTA($A399:$L399)=0,$N399=""),"",IF($T399="Paid","PAID",IF($T399="Closed","CLOSED",IF($Z399="","",IF($Z399=6,"ESCALATED TO ROXANNE",IF(TODAY()&gt;$AB399,"OVERDUE",IF($AB399&lt;=WORKDAY(TODAY(),1,Holidays),"DUE TOMORROW",IF($Z399=4,"ESCALATED TO LOCAL OFFICE",IF($Z399=5,"ESCALATED TO CBE",IF($AA399=TODAY(),"EMAIL SENT","MONITORING"))))))))))</f>
        <v/>
      </c>
      <c r="V399" s="17">
        <f>IF($U399="",IF(AND(COUNTA($A399:$L399)&gt;0,$N399=""),"Awaiting Collection Email time stamp.",""),IF(OR($U399="PAID",$U399="CLOSED"),IF($U399="PAID","Account paid. Action completed.","Account closed. No further action required."),CHOOSE($Z399,"Collection Email","1st Email Follow-up","2nd Email Follow-up","Escalation to Local Office","Escalation to CBE","Escalation to Roxanne")&amp;" sent "&amp;TEXT($AA399,"dd-mmm")&amp;". "&amp;IF($Z399=6,"Final escalation completed.",IF($U399="OVERDUE","Next: "&amp;$AC399&amp;" was due "&amp;TEXT($AB399,"dd-mmm")&amp;" - "&amp;(NETWORKDAYS($AB399,TODAY(),Holidays)-1)&amp;" business day(s) late. Send now.",IF($U399="DUE TOMORROW","Next: "&amp;$AC399&amp;IF($AB399&lt;=TODAY()," is due TODAY ("," is due next business day (")&amp;TEXT($AB399,"dd-mmm")&amp;").","Next: "&amp;$AC399&amp;" due "&amp;TEXT($AB399,"dd-mmm")&amp;" ("&amp;(NETWORKDAYS(TODAY(),$AB399,Holidays)-1)&amp;" business day(s) left).")))))</f>
        <v/>
      </c>
      <c r="W399" s="17">
        <f>IF($Z399="","",CHOOSE($Z399,"Collection Email","1st Follow-up","2nd Follow-up","Local Office","CBE","Roxanne")&amp;IF($Z399=6," - Final"," - Day "&amp;MAX(0,NETWORKDAYS($AA399,TODAY(),Holidays)-1)&amp;" of "&amp;CHOOSE($Z399,3,3,2,2,3))&amp;" | Total Day "&amp;MAX(0,NETWORKDAYS($N399,TODAY(),Holidays)-1))</f>
        <v/>
      </c>
      <c r="X399" s="18"/>
      <c r="Y399" s="18"/>
      <c r="Z399" s="17">
        <f>IF($N399="","",COUNT($N399:$S399))</f>
        <v/>
      </c>
      <c r="AA399" s="19">
        <f>IF($Z399="","",INT(INDEX($N399:$S399,$Z399)))</f>
        <v/>
      </c>
      <c r="AB399" s="19">
        <f>IF(OR($Z399="",$Z399=6),"",WORKDAY($AA399,CHOOSE($Z399,3,3,2,2,3),Holidays))</f>
        <v/>
      </c>
      <c r="AC399" s="17">
        <f>IF(OR($Z399="",$Z399=6),"",CHOOSE($Z399,"1st Email Follow-up","2nd Email Follow-up","Escalate Local Office","Escalate to CBE","Escalate to Roxanne"))</f>
        <v/>
      </c>
    </row>
    <row r="400" spans="13:29">
      <c r="M400" s="14"/>
      <c r="T400" s="16"/>
      <c r="U400" s="17">
        <f>IF(AND(COUNTA($A400:$L400)=0,$N400=""),"",IF($T400="Paid","PAID",IF($T400="Closed","CLOSED",IF($Z400="","",IF($Z400=6,"ESCALATED TO ROXANNE",IF(TODAY()&gt;$AB400,"OVERDUE",IF($AB400&lt;=WORKDAY(TODAY(),1,Holidays),"DUE TOMORROW",IF($Z400=4,"ESCALATED TO LOCAL OFFICE",IF($Z400=5,"ESCALATED TO CBE",IF($AA400=TODAY(),"EMAIL SENT","MONITORING"))))))))))</f>
        <v/>
      </c>
      <c r="V400" s="17">
        <f>IF($U400="",IF(AND(COUNTA($A400:$L400)&gt;0,$N400=""),"Awaiting Collection Email time stamp.",""),IF(OR($U400="PAID",$U400="CLOSED"),IF($U400="PAID","Account paid. Action completed.","Account closed. No further action required."),CHOOSE($Z400,"Collection Email","1st Email Follow-up","2nd Email Follow-up","Escalation to Local Office","Escalation to CBE","Escalation to Roxanne")&amp;" sent "&amp;TEXT($AA400,"dd-mmm")&amp;". "&amp;IF($Z400=6,"Final escalation completed.",IF($U400="OVERDUE","Next: "&amp;$AC400&amp;" was due "&amp;TEXT($AB400,"dd-mmm")&amp;" - "&amp;(NETWORKDAYS($AB400,TODAY(),Holidays)-1)&amp;" business day(s) late. Send now.",IF($U400="DUE TOMORROW","Next: "&amp;$AC400&amp;IF($AB400&lt;=TODAY()," is due TODAY ("," is due next business day (")&amp;TEXT($AB400,"dd-mmm")&amp;").","Next: "&amp;$AC400&amp;" due "&amp;TEXT($AB400,"dd-mmm")&amp;" ("&amp;(NETWORKDAYS(TODAY(),$AB400,Holidays)-1)&amp;" business day(s) left).")))))</f>
        <v/>
      </c>
      <c r="W400" s="17">
        <f>IF($Z400="","",CHOOSE($Z400,"Collection Email","1st Follow-up","2nd Follow-up","Local Office","CBE","Roxanne")&amp;IF($Z400=6," - Final"," - Day "&amp;MAX(0,NETWORKDAYS($AA400,TODAY(),Holidays)-1)&amp;" of "&amp;CHOOSE($Z400,3,3,2,2,3))&amp;" | Total Day "&amp;MAX(0,NETWORKDAYS($N400,TODAY(),Holidays)-1))</f>
        <v/>
      </c>
      <c r="X400" s="18"/>
      <c r="Y400" s="18"/>
      <c r="Z400" s="17">
        <f>IF($N400="","",COUNT($N400:$S400))</f>
        <v/>
      </c>
      <c r="AA400" s="19">
        <f>IF($Z400="","",INT(INDEX($N400:$S400,$Z400)))</f>
        <v/>
      </c>
      <c r="AB400" s="19">
        <f>IF(OR($Z400="",$Z400=6),"",WORKDAY($AA400,CHOOSE($Z400,3,3,2,2,3),Holidays))</f>
        <v/>
      </c>
      <c r="AC400" s="17">
        <f>IF(OR($Z400="",$Z400=6),"",CHOOSE($Z400,"1st Email Follow-up","2nd Email Follow-up","Escalate Local Office","Escalate to CBE","Escalate to Roxanne"))</f>
        <v/>
      </c>
    </row>
    <row r="401" spans="13:29">
      <c r="M401" s="14"/>
      <c r="T401" s="16"/>
      <c r="U401" s="17">
        <f>IF(AND(COUNTA($A401:$L401)=0,$N401=""),"",IF($T401="Paid","PAID",IF($T401="Closed","CLOSED",IF($Z401="","",IF($Z401=6,"ESCALATED TO ROXANNE",IF(TODAY()&gt;$AB401,"OVERDUE",IF($AB401&lt;=WORKDAY(TODAY(),1,Holidays),"DUE TOMORROW",IF($Z401=4,"ESCALATED TO LOCAL OFFICE",IF($Z401=5,"ESCALATED TO CBE",IF($AA401=TODAY(),"EMAIL SENT","MONITORING"))))))))))</f>
        <v/>
      </c>
      <c r="V401" s="17">
        <f>IF($U401="",IF(AND(COUNTA($A401:$L401)&gt;0,$N401=""),"Awaiting Collection Email time stamp.",""),IF(OR($U401="PAID",$U401="CLOSED"),IF($U401="PAID","Account paid. Action completed.","Account closed. No further action required."),CHOOSE($Z401,"Collection Email","1st Email Follow-up","2nd Email Follow-up","Escalation to Local Office","Escalation to CBE","Escalation to Roxanne")&amp;" sent "&amp;TEXT($AA401,"dd-mmm")&amp;". "&amp;IF($Z401=6,"Final escalation completed.",IF($U401="OVERDUE","Next: "&amp;$AC401&amp;" was due "&amp;TEXT($AB401,"dd-mmm")&amp;" - "&amp;(NETWORKDAYS($AB401,TODAY(),Holidays)-1)&amp;" business day(s) late. Send now.",IF($U401="DUE TOMORROW","Next: "&amp;$AC401&amp;IF($AB401&lt;=TODAY()," is due TODAY ("," is due next business day (")&amp;TEXT($AB401,"dd-mmm")&amp;").","Next: "&amp;$AC401&amp;" due "&amp;TEXT($AB401,"dd-mmm")&amp;" ("&amp;(NETWORKDAYS(TODAY(),$AB401,Holidays)-1)&amp;" business day(s) left).")))))</f>
        <v/>
      </c>
      <c r="W401" s="17">
        <f>IF($Z401="","",CHOOSE($Z401,"Collection Email","1st Follow-up","2nd Follow-up","Local Office","CBE","Roxanne")&amp;IF($Z401=6," - Final"," - Day "&amp;MAX(0,NETWORKDAYS($AA401,TODAY(),Holidays)-1)&amp;" of "&amp;CHOOSE($Z401,3,3,2,2,3))&amp;" | Total Day "&amp;MAX(0,NETWORKDAYS($N401,TODAY(),Holidays)-1))</f>
        <v/>
      </c>
      <c r="X401" s="18"/>
      <c r="Y401" s="18"/>
      <c r="Z401" s="17">
        <f>IF($N401="","",COUNT($N401:$S401))</f>
        <v/>
      </c>
      <c r="AA401" s="19">
        <f>IF($Z401="","",INT(INDEX($N401:$S401,$Z401)))</f>
        <v/>
      </c>
      <c r="AB401" s="19">
        <f>IF(OR($Z401="",$Z401=6),"",WORKDAY($AA401,CHOOSE($Z401,3,3,2,2,3),Holidays))</f>
        <v/>
      </c>
      <c r="AC401" s="17">
        <f>IF(OR($Z401="",$Z401=6),"",CHOOSE($Z401,"1st Email Follow-up","2nd Email Follow-up","Escalate Local Office","Escalate to CBE","Escalate to Roxanne"))</f>
        <v/>
      </c>
    </row>
    <row r="402" spans="13:29">
      <c r="M402" s="14"/>
      <c r="T402" s="16"/>
      <c r="U402" s="17">
        <f>IF(AND(COUNTA($A402:$L402)=0,$N402=""),"",IF($T402="Paid","PAID",IF($T402="Closed","CLOSED",IF($Z402="","",IF($Z402=6,"ESCALATED TO ROXANNE",IF(TODAY()&gt;$AB402,"OVERDUE",IF($AB402&lt;=WORKDAY(TODAY(),1,Holidays),"DUE TOMORROW",IF($Z402=4,"ESCALATED TO LOCAL OFFICE",IF($Z402=5,"ESCALATED TO CBE",IF($AA402=TODAY(),"EMAIL SENT","MONITORING"))))))))))</f>
        <v/>
      </c>
      <c r="V402" s="17">
        <f>IF($U402="",IF(AND(COUNTA($A402:$L402)&gt;0,$N402=""),"Awaiting Collection Email time stamp.",""),IF(OR($U402="PAID",$U402="CLOSED"),IF($U402="PAID","Account paid. Action completed.","Account closed. No further action required."),CHOOSE($Z402,"Collection Email","1st Email Follow-up","2nd Email Follow-up","Escalation to Local Office","Escalation to CBE","Escalation to Roxanne")&amp;" sent "&amp;TEXT($AA402,"dd-mmm")&amp;". "&amp;IF($Z402=6,"Final escalation completed.",IF($U402="OVERDUE","Next: "&amp;$AC402&amp;" was due "&amp;TEXT($AB402,"dd-mmm")&amp;" - "&amp;(NETWORKDAYS($AB402,TODAY(),Holidays)-1)&amp;" business day(s) late. Send now.",IF($U402="DUE TOMORROW","Next: "&amp;$AC402&amp;IF($AB402&lt;=TODAY()," is due TODAY ("," is due next business day (")&amp;TEXT($AB402,"dd-mmm")&amp;").","Next: "&amp;$AC402&amp;" due "&amp;TEXT($AB402,"dd-mmm")&amp;" ("&amp;(NETWORKDAYS(TODAY(),$AB402,Holidays)-1)&amp;" business day(s) left).")))))</f>
        <v/>
      </c>
      <c r="W402" s="17">
        <f>IF($Z402="","",CHOOSE($Z402,"Collection Email","1st Follow-up","2nd Follow-up","Local Office","CBE","Roxanne")&amp;IF($Z402=6," - Final"," - Day "&amp;MAX(0,NETWORKDAYS($AA402,TODAY(),Holidays)-1)&amp;" of "&amp;CHOOSE($Z402,3,3,2,2,3))&amp;" | Total Day "&amp;MAX(0,NETWORKDAYS($N402,TODAY(),Holidays)-1))</f>
        <v/>
      </c>
      <c r="X402" s="18"/>
      <c r="Y402" s="18"/>
      <c r="Z402" s="17">
        <f>IF($N402="","",COUNT($N402:$S402))</f>
        <v/>
      </c>
      <c r="AA402" s="19">
        <f>IF($Z402="","",INT(INDEX($N402:$S402,$Z402)))</f>
        <v/>
      </c>
      <c r="AB402" s="19">
        <f>IF(OR($Z402="",$Z402=6),"",WORKDAY($AA402,CHOOSE($Z402,3,3,2,2,3),Holidays))</f>
        <v/>
      </c>
      <c r="AC402" s="17">
        <f>IF(OR($Z402="",$Z402=6),"",CHOOSE($Z402,"1st Email Follow-up","2nd Email Follow-up","Escalate Local Office","Escalate to CBE","Escalate to Roxanne"))</f>
        <v/>
      </c>
    </row>
    <row r="403" spans="13:29">
      <c r="M403" s="14"/>
      <c r="T403" s="16"/>
      <c r="U403" s="17">
        <f>IF(AND(COUNTA($A403:$L403)=0,$N403=""),"",IF($T403="Paid","PAID",IF($T403="Closed","CLOSED",IF($Z403="","",IF($Z403=6,"ESCALATED TO ROXANNE",IF(TODAY()&gt;$AB403,"OVERDUE",IF($AB403&lt;=WORKDAY(TODAY(),1,Holidays),"DUE TOMORROW",IF($Z403=4,"ESCALATED TO LOCAL OFFICE",IF($Z403=5,"ESCALATED TO CBE",IF($AA403=TODAY(),"EMAIL SENT","MONITORING"))))))))))</f>
        <v/>
      </c>
      <c r="V403" s="17">
        <f>IF($U403="",IF(AND(COUNTA($A403:$L403)&gt;0,$N403=""),"Awaiting Collection Email time stamp.",""),IF(OR($U403="PAID",$U403="CLOSED"),IF($U403="PAID","Account paid. Action completed.","Account closed. No further action required."),CHOOSE($Z403,"Collection Email","1st Email Follow-up","2nd Email Follow-up","Escalation to Local Office","Escalation to CBE","Escalation to Roxanne")&amp;" sent "&amp;TEXT($AA403,"dd-mmm")&amp;". "&amp;IF($Z403=6,"Final escalation completed.",IF($U403="OVERDUE","Next: "&amp;$AC403&amp;" was due "&amp;TEXT($AB403,"dd-mmm")&amp;" - "&amp;(NETWORKDAYS($AB403,TODAY(),Holidays)-1)&amp;" business day(s) late. Send now.",IF($U403="DUE TOMORROW","Next: "&amp;$AC403&amp;IF($AB403&lt;=TODAY()," is due TODAY ("," is due next business day (")&amp;TEXT($AB403,"dd-mmm")&amp;").","Next: "&amp;$AC403&amp;" due "&amp;TEXT($AB403,"dd-mmm")&amp;" ("&amp;(NETWORKDAYS(TODAY(),$AB403,Holidays)-1)&amp;" business day(s) left).")))))</f>
        <v/>
      </c>
      <c r="W403" s="17">
        <f>IF($Z403="","",CHOOSE($Z403,"Collection Email","1st Follow-up","2nd Follow-up","Local Office","CBE","Roxanne")&amp;IF($Z403=6," - Final"," - Day "&amp;MAX(0,NETWORKDAYS($AA403,TODAY(),Holidays)-1)&amp;" of "&amp;CHOOSE($Z403,3,3,2,2,3))&amp;" | Total Day "&amp;MAX(0,NETWORKDAYS($N403,TODAY(),Holidays)-1))</f>
        <v/>
      </c>
      <c r="X403" s="18"/>
      <c r="Y403" s="18"/>
      <c r="Z403" s="17">
        <f>IF($N403="","",COUNT($N403:$S403))</f>
        <v/>
      </c>
      <c r="AA403" s="19">
        <f>IF($Z403="","",INT(INDEX($N403:$S403,$Z403)))</f>
        <v/>
      </c>
      <c r="AB403" s="19">
        <f>IF(OR($Z403="",$Z403=6),"",WORKDAY($AA403,CHOOSE($Z403,3,3,2,2,3),Holidays))</f>
        <v/>
      </c>
      <c r="AC403" s="17">
        <f>IF(OR($Z403="",$Z403=6),"",CHOOSE($Z403,"1st Email Follow-up","2nd Email Follow-up","Escalate Local Office","Escalate to CBE","Escalate to Roxanne"))</f>
        <v/>
      </c>
    </row>
    <row r="404" spans="13:29">
      <c r="M404" s="14"/>
      <c r="T404" s="16"/>
      <c r="U404" s="17">
        <f>IF(AND(COUNTA($A404:$L404)=0,$N404=""),"",IF($T404="Paid","PAID",IF($T404="Closed","CLOSED",IF($Z404="","",IF($Z404=6,"ESCALATED TO ROXANNE",IF(TODAY()&gt;$AB404,"OVERDUE",IF($AB404&lt;=WORKDAY(TODAY(),1,Holidays),"DUE TOMORROW",IF($Z404=4,"ESCALATED TO LOCAL OFFICE",IF($Z404=5,"ESCALATED TO CBE",IF($AA404=TODAY(),"EMAIL SENT","MONITORING"))))))))))</f>
        <v/>
      </c>
      <c r="V404" s="17">
        <f>IF($U404="",IF(AND(COUNTA($A404:$L404)&gt;0,$N404=""),"Awaiting Collection Email time stamp.",""),IF(OR($U404="PAID",$U404="CLOSED"),IF($U404="PAID","Account paid. Action completed.","Account closed. No further action required."),CHOOSE($Z404,"Collection Email","1st Email Follow-up","2nd Email Follow-up","Escalation to Local Office","Escalation to CBE","Escalation to Roxanne")&amp;" sent "&amp;TEXT($AA404,"dd-mmm")&amp;". "&amp;IF($Z404=6,"Final escalation completed.",IF($U404="OVERDUE","Next: "&amp;$AC404&amp;" was due "&amp;TEXT($AB404,"dd-mmm")&amp;" - "&amp;(NETWORKDAYS($AB404,TODAY(),Holidays)-1)&amp;" business day(s) late. Send now.",IF($U404="DUE TOMORROW","Next: "&amp;$AC404&amp;IF($AB404&lt;=TODAY()," is due TODAY ("," is due next business day (")&amp;TEXT($AB404,"dd-mmm")&amp;").","Next: "&amp;$AC404&amp;" due "&amp;TEXT($AB404,"dd-mmm")&amp;" ("&amp;(NETWORKDAYS(TODAY(),$AB404,Holidays)-1)&amp;" business day(s) left).")))))</f>
        <v/>
      </c>
      <c r="W404" s="17">
        <f>IF($Z404="","",CHOOSE($Z404,"Collection Email","1st Follow-up","2nd Follow-up","Local Office","CBE","Roxanne")&amp;IF($Z404=6," - Final"," - Day "&amp;MAX(0,NETWORKDAYS($AA404,TODAY(),Holidays)-1)&amp;" of "&amp;CHOOSE($Z404,3,3,2,2,3))&amp;" | Total Day "&amp;MAX(0,NETWORKDAYS($N404,TODAY(),Holidays)-1))</f>
        <v/>
      </c>
      <c r="X404" s="18"/>
      <c r="Y404" s="18"/>
      <c r="Z404" s="17">
        <f>IF($N404="","",COUNT($N404:$S404))</f>
        <v/>
      </c>
      <c r="AA404" s="19">
        <f>IF($Z404="","",INT(INDEX($N404:$S404,$Z404)))</f>
        <v/>
      </c>
      <c r="AB404" s="19">
        <f>IF(OR($Z404="",$Z404=6),"",WORKDAY($AA404,CHOOSE($Z404,3,3,2,2,3),Holidays))</f>
        <v/>
      </c>
      <c r="AC404" s="17">
        <f>IF(OR($Z404="",$Z404=6),"",CHOOSE($Z404,"1st Email Follow-up","2nd Email Follow-up","Escalate Local Office","Escalate to CBE","Escalate to Roxanne"))</f>
        <v/>
      </c>
    </row>
    <row r="405" spans="13:29">
      <c r="M405" s="14"/>
      <c r="T405" s="16"/>
      <c r="U405" s="17">
        <f>IF(AND(COUNTA($A405:$L405)=0,$N405=""),"",IF($T405="Paid","PAID",IF($T405="Closed","CLOSED",IF($Z405="","",IF($Z405=6,"ESCALATED TO ROXANNE",IF(TODAY()&gt;$AB405,"OVERDUE",IF($AB405&lt;=WORKDAY(TODAY(),1,Holidays),"DUE TOMORROW",IF($Z405=4,"ESCALATED TO LOCAL OFFICE",IF($Z405=5,"ESCALATED TO CBE",IF($AA405=TODAY(),"EMAIL SENT","MONITORING"))))))))))</f>
        <v/>
      </c>
      <c r="V405" s="17">
        <f>IF($U405="",IF(AND(COUNTA($A405:$L405)&gt;0,$N405=""),"Awaiting Collection Email time stamp.",""),IF(OR($U405="PAID",$U405="CLOSED"),IF($U405="PAID","Account paid. Action completed.","Account closed. No further action required."),CHOOSE($Z405,"Collection Email","1st Email Follow-up","2nd Email Follow-up","Escalation to Local Office","Escalation to CBE","Escalation to Roxanne")&amp;" sent "&amp;TEXT($AA405,"dd-mmm")&amp;". "&amp;IF($Z405=6,"Final escalation completed.",IF($U405="OVERDUE","Next: "&amp;$AC405&amp;" was due "&amp;TEXT($AB405,"dd-mmm")&amp;" - "&amp;(NETWORKDAYS($AB405,TODAY(),Holidays)-1)&amp;" business day(s) late. Send now.",IF($U405="DUE TOMORROW","Next: "&amp;$AC405&amp;IF($AB405&lt;=TODAY()," is due TODAY ("," is due next business day (")&amp;TEXT($AB405,"dd-mmm")&amp;").","Next: "&amp;$AC405&amp;" due "&amp;TEXT($AB405,"dd-mmm")&amp;" ("&amp;(NETWORKDAYS(TODAY(),$AB405,Holidays)-1)&amp;" business day(s) left).")))))</f>
        <v/>
      </c>
      <c r="W405" s="17">
        <f>IF($Z405="","",CHOOSE($Z405,"Collection Email","1st Follow-up","2nd Follow-up","Local Office","CBE","Roxanne")&amp;IF($Z405=6," - Final"," - Day "&amp;MAX(0,NETWORKDAYS($AA405,TODAY(),Holidays)-1)&amp;" of "&amp;CHOOSE($Z405,3,3,2,2,3))&amp;" | Total Day "&amp;MAX(0,NETWORKDAYS($N405,TODAY(),Holidays)-1))</f>
        <v/>
      </c>
      <c r="X405" s="18"/>
      <c r="Y405" s="18"/>
      <c r="Z405" s="17">
        <f>IF($N405="","",COUNT($N405:$S405))</f>
        <v/>
      </c>
      <c r="AA405" s="19">
        <f>IF($Z405="","",INT(INDEX($N405:$S405,$Z405)))</f>
        <v/>
      </c>
      <c r="AB405" s="19">
        <f>IF(OR($Z405="",$Z405=6),"",WORKDAY($AA405,CHOOSE($Z405,3,3,2,2,3),Holidays))</f>
        <v/>
      </c>
      <c r="AC405" s="17">
        <f>IF(OR($Z405="",$Z405=6),"",CHOOSE($Z405,"1st Email Follow-up","2nd Email Follow-up","Escalate Local Office","Escalate to CBE","Escalate to Roxanne"))</f>
        <v/>
      </c>
    </row>
    <row r="406" spans="13:29">
      <c r="M406" s="14"/>
      <c r="T406" s="16"/>
      <c r="U406" s="17">
        <f>IF(AND(COUNTA($A406:$L406)=0,$N406=""),"",IF($T406="Paid","PAID",IF($T406="Closed","CLOSED",IF($Z406="","",IF($Z406=6,"ESCALATED TO ROXANNE",IF(TODAY()&gt;$AB406,"OVERDUE",IF($AB406&lt;=WORKDAY(TODAY(),1,Holidays),"DUE TOMORROW",IF($Z406=4,"ESCALATED TO LOCAL OFFICE",IF($Z406=5,"ESCALATED TO CBE",IF($AA406=TODAY(),"EMAIL SENT","MONITORING"))))))))))</f>
        <v/>
      </c>
      <c r="V406" s="17">
        <f>IF($U406="",IF(AND(COUNTA($A406:$L406)&gt;0,$N406=""),"Awaiting Collection Email time stamp.",""),IF(OR($U406="PAID",$U406="CLOSED"),IF($U406="PAID","Account paid. Action completed.","Account closed. No further action required."),CHOOSE($Z406,"Collection Email","1st Email Follow-up","2nd Email Follow-up","Escalation to Local Office","Escalation to CBE","Escalation to Roxanne")&amp;" sent "&amp;TEXT($AA406,"dd-mmm")&amp;". "&amp;IF($Z406=6,"Final escalation completed.",IF($U406="OVERDUE","Next: "&amp;$AC406&amp;" was due "&amp;TEXT($AB406,"dd-mmm")&amp;" - "&amp;(NETWORKDAYS($AB406,TODAY(),Holidays)-1)&amp;" business day(s) late. Send now.",IF($U406="DUE TOMORROW","Next: "&amp;$AC406&amp;IF($AB406&lt;=TODAY()," is due TODAY ("," is due next business day (")&amp;TEXT($AB406,"dd-mmm")&amp;").","Next: "&amp;$AC406&amp;" due "&amp;TEXT($AB406,"dd-mmm")&amp;" ("&amp;(NETWORKDAYS(TODAY(),$AB406,Holidays)-1)&amp;" business day(s) left).")))))</f>
        <v/>
      </c>
      <c r="W406" s="17">
        <f>IF($Z406="","",CHOOSE($Z406,"Collection Email","1st Follow-up","2nd Follow-up","Local Office","CBE","Roxanne")&amp;IF($Z406=6," - Final"," - Day "&amp;MAX(0,NETWORKDAYS($AA406,TODAY(),Holidays)-1)&amp;" of "&amp;CHOOSE($Z406,3,3,2,2,3))&amp;" | Total Day "&amp;MAX(0,NETWORKDAYS($N406,TODAY(),Holidays)-1))</f>
        <v/>
      </c>
      <c r="X406" s="18"/>
      <c r="Y406" s="18"/>
      <c r="Z406" s="17">
        <f>IF($N406="","",COUNT($N406:$S406))</f>
        <v/>
      </c>
      <c r="AA406" s="19">
        <f>IF($Z406="","",INT(INDEX($N406:$S406,$Z406)))</f>
        <v/>
      </c>
      <c r="AB406" s="19">
        <f>IF(OR($Z406="",$Z406=6),"",WORKDAY($AA406,CHOOSE($Z406,3,3,2,2,3),Holidays))</f>
        <v/>
      </c>
      <c r="AC406" s="17">
        <f>IF(OR($Z406="",$Z406=6),"",CHOOSE($Z406,"1st Email Follow-up","2nd Email Follow-up","Escalate Local Office","Escalate to CBE","Escalate to Roxanne"))</f>
        <v/>
      </c>
    </row>
    <row r="407" spans="13:29">
      <c r="M407" s="14"/>
      <c r="T407" s="16"/>
      <c r="U407" s="17">
        <f>IF(AND(COUNTA($A407:$L407)=0,$N407=""),"",IF($T407="Paid","PAID",IF($T407="Closed","CLOSED",IF($Z407="","",IF($Z407=6,"ESCALATED TO ROXANNE",IF(TODAY()&gt;$AB407,"OVERDUE",IF($AB407&lt;=WORKDAY(TODAY(),1,Holidays),"DUE TOMORROW",IF($Z407=4,"ESCALATED TO LOCAL OFFICE",IF($Z407=5,"ESCALATED TO CBE",IF($AA407=TODAY(),"EMAIL SENT","MONITORING"))))))))))</f>
        <v/>
      </c>
      <c r="V407" s="17">
        <f>IF($U407="",IF(AND(COUNTA($A407:$L407)&gt;0,$N407=""),"Awaiting Collection Email time stamp.",""),IF(OR($U407="PAID",$U407="CLOSED"),IF($U407="PAID","Account paid. Action completed.","Account closed. No further action required."),CHOOSE($Z407,"Collection Email","1st Email Follow-up","2nd Email Follow-up","Escalation to Local Office","Escalation to CBE","Escalation to Roxanne")&amp;" sent "&amp;TEXT($AA407,"dd-mmm")&amp;". "&amp;IF($Z407=6,"Final escalation completed.",IF($U407="OVERDUE","Next: "&amp;$AC407&amp;" was due "&amp;TEXT($AB407,"dd-mmm")&amp;" - "&amp;(NETWORKDAYS($AB407,TODAY(),Holidays)-1)&amp;" business day(s) late. Send now.",IF($U407="DUE TOMORROW","Next: "&amp;$AC407&amp;IF($AB407&lt;=TODAY()," is due TODAY ("," is due next business day (")&amp;TEXT($AB407,"dd-mmm")&amp;").","Next: "&amp;$AC407&amp;" due "&amp;TEXT($AB407,"dd-mmm")&amp;" ("&amp;(NETWORKDAYS(TODAY(),$AB407,Holidays)-1)&amp;" business day(s) left).")))))</f>
        <v/>
      </c>
      <c r="W407" s="17">
        <f>IF($Z407="","",CHOOSE($Z407,"Collection Email","1st Follow-up","2nd Follow-up","Local Office","CBE","Roxanne")&amp;IF($Z407=6," - Final"," - Day "&amp;MAX(0,NETWORKDAYS($AA407,TODAY(),Holidays)-1)&amp;" of "&amp;CHOOSE($Z407,3,3,2,2,3))&amp;" | Total Day "&amp;MAX(0,NETWORKDAYS($N407,TODAY(),Holidays)-1))</f>
        <v/>
      </c>
      <c r="X407" s="18"/>
      <c r="Y407" s="18"/>
      <c r="Z407" s="17">
        <f>IF($N407="","",COUNT($N407:$S407))</f>
        <v/>
      </c>
      <c r="AA407" s="19">
        <f>IF($Z407="","",INT(INDEX($N407:$S407,$Z407)))</f>
        <v/>
      </c>
      <c r="AB407" s="19">
        <f>IF(OR($Z407="",$Z407=6),"",WORKDAY($AA407,CHOOSE($Z407,3,3,2,2,3),Holidays))</f>
        <v/>
      </c>
      <c r="AC407" s="17">
        <f>IF(OR($Z407="",$Z407=6),"",CHOOSE($Z407,"1st Email Follow-up","2nd Email Follow-up","Escalate Local Office","Escalate to CBE","Escalate to Roxanne"))</f>
        <v/>
      </c>
    </row>
    <row r="408" spans="13:29">
      <c r="M408" s="14"/>
      <c r="T408" s="16"/>
      <c r="U408" s="17">
        <f>IF(AND(COUNTA($A408:$L408)=0,$N408=""),"",IF($T408="Paid","PAID",IF($T408="Closed","CLOSED",IF($Z408="","",IF($Z408=6,"ESCALATED TO ROXANNE",IF(TODAY()&gt;$AB408,"OVERDUE",IF($AB408&lt;=WORKDAY(TODAY(),1,Holidays),"DUE TOMORROW",IF($Z408=4,"ESCALATED TO LOCAL OFFICE",IF($Z408=5,"ESCALATED TO CBE",IF($AA408=TODAY(),"EMAIL SENT","MONITORING"))))))))))</f>
        <v/>
      </c>
      <c r="V408" s="17">
        <f>IF($U408="",IF(AND(COUNTA($A408:$L408)&gt;0,$N408=""),"Awaiting Collection Email time stamp.",""),IF(OR($U408="PAID",$U408="CLOSED"),IF($U408="PAID","Account paid. Action completed.","Account closed. No further action required."),CHOOSE($Z408,"Collection Email","1st Email Follow-up","2nd Email Follow-up","Escalation to Local Office","Escalation to CBE","Escalation to Roxanne")&amp;" sent "&amp;TEXT($AA408,"dd-mmm")&amp;". "&amp;IF($Z408=6,"Final escalation completed.",IF($U408="OVERDUE","Next: "&amp;$AC408&amp;" was due "&amp;TEXT($AB408,"dd-mmm")&amp;" - "&amp;(NETWORKDAYS($AB408,TODAY(),Holidays)-1)&amp;" business day(s) late. Send now.",IF($U408="DUE TOMORROW","Next: "&amp;$AC408&amp;IF($AB408&lt;=TODAY()," is due TODAY ("," is due next business day (")&amp;TEXT($AB408,"dd-mmm")&amp;").","Next: "&amp;$AC408&amp;" due "&amp;TEXT($AB408,"dd-mmm")&amp;" ("&amp;(NETWORKDAYS(TODAY(),$AB408,Holidays)-1)&amp;" business day(s) left).")))))</f>
        <v/>
      </c>
      <c r="W408" s="17">
        <f>IF($Z408="","",CHOOSE($Z408,"Collection Email","1st Follow-up","2nd Follow-up","Local Office","CBE","Roxanne")&amp;IF($Z408=6," - Final"," - Day "&amp;MAX(0,NETWORKDAYS($AA408,TODAY(),Holidays)-1)&amp;" of "&amp;CHOOSE($Z408,3,3,2,2,3))&amp;" | Total Day "&amp;MAX(0,NETWORKDAYS($N408,TODAY(),Holidays)-1))</f>
        <v/>
      </c>
      <c r="X408" s="18"/>
      <c r="Y408" s="18"/>
      <c r="Z408" s="17">
        <f>IF($N408="","",COUNT($N408:$S408))</f>
        <v/>
      </c>
      <c r="AA408" s="19">
        <f>IF($Z408="","",INT(INDEX($N408:$S408,$Z408)))</f>
        <v/>
      </c>
      <c r="AB408" s="19">
        <f>IF(OR($Z408="",$Z408=6),"",WORKDAY($AA408,CHOOSE($Z408,3,3,2,2,3),Holidays))</f>
        <v/>
      </c>
      <c r="AC408" s="17">
        <f>IF(OR($Z408="",$Z408=6),"",CHOOSE($Z408,"1st Email Follow-up","2nd Email Follow-up","Escalate Local Office","Escalate to CBE","Escalate to Roxanne"))</f>
        <v/>
      </c>
    </row>
    <row r="409" spans="13:29">
      <c r="M409" s="14"/>
      <c r="T409" s="16"/>
      <c r="U409" s="17">
        <f>IF(AND(COUNTA($A409:$L409)=0,$N409=""),"",IF($T409="Paid","PAID",IF($T409="Closed","CLOSED",IF($Z409="","",IF($Z409=6,"ESCALATED TO ROXANNE",IF(TODAY()&gt;$AB409,"OVERDUE",IF($AB409&lt;=WORKDAY(TODAY(),1,Holidays),"DUE TOMORROW",IF($Z409=4,"ESCALATED TO LOCAL OFFICE",IF($Z409=5,"ESCALATED TO CBE",IF($AA409=TODAY(),"EMAIL SENT","MONITORING"))))))))))</f>
        <v/>
      </c>
      <c r="V409" s="17">
        <f>IF($U409="",IF(AND(COUNTA($A409:$L409)&gt;0,$N409=""),"Awaiting Collection Email time stamp.",""),IF(OR($U409="PAID",$U409="CLOSED"),IF($U409="PAID","Account paid. Action completed.","Account closed. No further action required."),CHOOSE($Z409,"Collection Email","1st Email Follow-up","2nd Email Follow-up","Escalation to Local Office","Escalation to CBE","Escalation to Roxanne")&amp;" sent "&amp;TEXT($AA409,"dd-mmm")&amp;". "&amp;IF($Z409=6,"Final escalation completed.",IF($U409="OVERDUE","Next: "&amp;$AC409&amp;" was due "&amp;TEXT($AB409,"dd-mmm")&amp;" - "&amp;(NETWORKDAYS($AB409,TODAY(),Holidays)-1)&amp;" business day(s) late. Send now.",IF($U409="DUE TOMORROW","Next: "&amp;$AC409&amp;IF($AB409&lt;=TODAY()," is due TODAY ("," is due next business day (")&amp;TEXT($AB409,"dd-mmm")&amp;").","Next: "&amp;$AC409&amp;" due "&amp;TEXT($AB409,"dd-mmm")&amp;" ("&amp;(NETWORKDAYS(TODAY(),$AB409,Holidays)-1)&amp;" business day(s) left).")))))</f>
        <v/>
      </c>
      <c r="W409" s="17">
        <f>IF($Z409="","",CHOOSE($Z409,"Collection Email","1st Follow-up","2nd Follow-up","Local Office","CBE","Roxanne")&amp;IF($Z409=6," - Final"," - Day "&amp;MAX(0,NETWORKDAYS($AA409,TODAY(),Holidays)-1)&amp;" of "&amp;CHOOSE($Z409,3,3,2,2,3))&amp;" | Total Day "&amp;MAX(0,NETWORKDAYS($N409,TODAY(),Holidays)-1))</f>
        <v/>
      </c>
      <c r="X409" s="18"/>
      <c r="Y409" s="18"/>
      <c r="Z409" s="17">
        <f>IF($N409="","",COUNT($N409:$S409))</f>
        <v/>
      </c>
      <c r="AA409" s="19">
        <f>IF($Z409="","",INT(INDEX($N409:$S409,$Z409)))</f>
        <v/>
      </c>
      <c r="AB409" s="19">
        <f>IF(OR($Z409="",$Z409=6),"",WORKDAY($AA409,CHOOSE($Z409,3,3,2,2,3),Holidays))</f>
        <v/>
      </c>
      <c r="AC409" s="17">
        <f>IF(OR($Z409="",$Z409=6),"",CHOOSE($Z409,"1st Email Follow-up","2nd Email Follow-up","Escalate Local Office","Escalate to CBE","Escalate to Roxanne"))</f>
        <v/>
      </c>
    </row>
    <row r="410" spans="13:29">
      <c r="M410" s="14"/>
      <c r="T410" s="16"/>
      <c r="U410" s="17">
        <f>IF(AND(COUNTA($A410:$L410)=0,$N410=""),"",IF($T410="Paid","PAID",IF($T410="Closed","CLOSED",IF($Z410="","",IF($Z410=6,"ESCALATED TO ROXANNE",IF(TODAY()&gt;$AB410,"OVERDUE",IF($AB410&lt;=WORKDAY(TODAY(),1,Holidays),"DUE TOMORROW",IF($Z410=4,"ESCALATED TO LOCAL OFFICE",IF($Z410=5,"ESCALATED TO CBE",IF($AA410=TODAY(),"EMAIL SENT","MONITORING"))))))))))</f>
        <v/>
      </c>
      <c r="V410" s="17">
        <f>IF($U410="",IF(AND(COUNTA($A410:$L410)&gt;0,$N410=""),"Awaiting Collection Email time stamp.",""),IF(OR($U410="PAID",$U410="CLOSED"),IF($U410="PAID","Account paid. Action completed.","Account closed. No further action required."),CHOOSE($Z410,"Collection Email","1st Email Follow-up","2nd Email Follow-up","Escalation to Local Office","Escalation to CBE","Escalation to Roxanne")&amp;" sent "&amp;TEXT($AA410,"dd-mmm")&amp;". "&amp;IF($Z410=6,"Final escalation completed.",IF($U410="OVERDUE","Next: "&amp;$AC410&amp;" was due "&amp;TEXT($AB410,"dd-mmm")&amp;" - "&amp;(NETWORKDAYS($AB410,TODAY(),Holidays)-1)&amp;" business day(s) late. Send now.",IF($U410="DUE TOMORROW","Next: "&amp;$AC410&amp;IF($AB410&lt;=TODAY()," is due TODAY ("," is due next business day (")&amp;TEXT($AB410,"dd-mmm")&amp;").","Next: "&amp;$AC410&amp;" due "&amp;TEXT($AB410,"dd-mmm")&amp;" ("&amp;(NETWORKDAYS(TODAY(),$AB410,Holidays)-1)&amp;" business day(s) left).")))))</f>
        <v/>
      </c>
      <c r="W410" s="17">
        <f>IF($Z410="","",CHOOSE($Z410,"Collection Email","1st Follow-up","2nd Follow-up","Local Office","CBE","Roxanne")&amp;IF($Z410=6," - Final"," - Day "&amp;MAX(0,NETWORKDAYS($AA410,TODAY(),Holidays)-1)&amp;" of "&amp;CHOOSE($Z410,3,3,2,2,3))&amp;" | Total Day "&amp;MAX(0,NETWORKDAYS($N410,TODAY(),Holidays)-1))</f>
        <v/>
      </c>
      <c r="X410" s="18"/>
      <c r="Y410" s="18"/>
      <c r="Z410" s="17">
        <f>IF($N410="","",COUNT($N410:$S410))</f>
        <v/>
      </c>
      <c r="AA410" s="19">
        <f>IF($Z410="","",INT(INDEX($N410:$S410,$Z410)))</f>
        <v/>
      </c>
      <c r="AB410" s="19">
        <f>IF(OR($Z410="",$Z410=6),"",WORKDAY($AA410,CHOOSE($Z410,3,3,2,2,3),Holidays))</f>
        <v/>
      </c>
      <c r="AC410" s="17">
        <f>IF(OR($Z410="",$Z410=6),"",CHOOSE($Z410,"1st Email Follow-up","2nd Email Follow-up","Escalate Local Office","Escalate to CBE","Escalate to Roxanne"))</f>
        <v/>
      </c>
    </row>
    <row r="411" spans="13:29">
      <c r="M411" s="14"/>
      <c r="T411" s="16"/>
      <c r="U411" s="17">
        <f>IF(AND(COUNTA($A411:$L411)=0,$N411=""),"",IF($T411="Paid","PAID",IF($T411="Closed","CLOSED",IF($Z411="","",IF($Z411=6,"ESCALATED TO ROXANNE",IF(TODAY()&gt;$AB411,"OVERDUE",IF($AB411&lt;=WORKDAY(TODAY(),1,Holidays),"DUE TOMORROW",IF($Z411=4,"ESCALATED TO LOCAL OFFICE",IF($Z411=5,"ESCALATED TO CBE",IF($AA411=TODAY(),"EMAIL SENT","MONITORING"))))))))))</f>
        <v/>
      </c>
      <c r="V411" s="17">
        <f>IF($U411="",IF(AND(COUNTA($A411:$L411)&gt;0,$N411=""),"Awaiting Collection Email time stamp.",""),IF(OR($U411="PAID",$U411="CLOSED"),IF($U411="PAID","Account paid. Action completed.","Account closed. No further action required."),CHOOSE($Z411,"Collection Email","1st Email Follow-up","2nd Email Follow-up","Escalation to Local Office","Escalation to CBE","Escalation to Roxanne")&amp;" sent "&amp;TEXT($AA411,"dd-mmm")&amp;". "&amp;IF($Z411=6,"Final escalation completed.",IF($U411="OVERDUE","Next: "&amp;$AC411&amp;" was due "&amp;TEXT($AB411,"dd-mmm")&amp;" - "&amp;(NETWORKDAYS($AB411,TODAY(),Holidays)-1)&amp;" business day(s) late. Send now.",IF($U411="DUE TOMORROW","Next: "&amp;$AC411&amp;IF($AB411&lt;=TODAY()," is due TODAY ("," is due next business day (")&amp;TEXT($AB411,"dd-mmm")&amp;").","Next: "&amp;$AC411&amp;" due "&amp;TEXT($AB411,"dd-mmm")&amp;" ("&amp;(NETWORKDAYS(TODAY(),$AB411,Holidays)-1)&amp;" business day(s) left).")))))</f>
        <v/>
      </c>
      <c r="W411" s="17">
        <f>IF($Z411="","",CHOOSE($Z411,"Collection Email","1st Follow-up","2nd Follow-up","Local Office","CBE","Roxanne")&amp;IF($Z411=6," - Final"," - Day "&amp;MAX(0,NETWORKDAYS($AA411,TODAY(),Holidays)-1)&amp;" of "&amp;CHOOSE($Z411,3,3,2,2,3))&amp;" | Total Day "&amp;MAX(0,NETWORKDAYS($N411,TODAY(),Holidays)-1))</f>
        <v/>
      </c>
      <c r="X411" s="18"/>
      <c r="Y411" s="18"/>
      <c r="Z411" s="17">
        <f>IF($N411="","",COUNT($N411:$S411))</f>
        <v/>
      </c>
      <c r="AA411" s="19">
        <f>IF($Z411="","",INT(INDEX($N411:$S411,$Z411)))</f>
        <v/>
      </c>
      <c r="AB411" s="19">
        <f>IF(OR($Z411="",$Z411=6),"",WORKDAY($AA411,CHOOSE($Z411,3,3,2,2,3),Holidays))</f>
        <v/>
      </c>
      <c r="AC411" s="17">
        <f>IF(OR($Z411="",$Z411=6),"",CHOOSE($Z411,"1st Email Follow-up","2nd Email Follow-up","Escalate Local Office","Escalate to CBE","Escalate to Roxanne"))</f>
        <v/>
      </c>
    </row>
    <row r="412" spans="13:29">
      <c r="M412" s="14"/>
      <c r="T412" s="16"/>
      <c r="U412" s="17">
        <f>IF(AND(COUNTA($A412:$L412)=0,$N412=""),"",IF($T412="Paid","PAID",IF($T412="Closed","CLOSED",IF($Z412="","",IF($Z412=6,"ESCALATED TO ROXANNE",IF(TODAY()&gt;$AB412,"OVERDUE",IF($AB412&lt;=WORKDAY(TODAY(),1,Holidays),"DUE TOMORROW",IF($Z412=4,"ESCALATED TO LOCAL OFFICE",IF($Z412=5,"ESCALATED TO CBE",IF($AA412=TODAY(),"EMAIL SENT","MONITORING"))))))))))</f>
        <v/>
      </c>
      <c r="V412" s="17">
        <f>IF($U412="",IF(AND(COUNTA($A412:$L412)&gt;0,$N412=""),"Awaiting Collection Email time stamp.",""),IF(OR($U412="PAID",$U412="CLOSED"),IF($U412="PAID","Account paid. Action completed.","Account closed. No further action required."),CHOOSE($Z412,"Collection Email","1st Email Follow-up","2nd Email Follow-up","Escalation to Local Office","Escalation to CBE","Escalation to Roxanne")&amp;" sent "&amp;TEXT($AA412,"dd-mmm")&amp;". "&amp;IF($Z412=6,"Final escalation completed.",IF($U412="OVERDUE","Next: "&amp;$AC412&amp;" was due "&amp;TEXT($AB412,"dd-mmm")&amp;" - "&amp;(NETWORKDAYS($AB412,TODAY(),Holidays)-1)&amp;" business day(s) late. Send now.",IF($U412="DUE TOMORROW","Next: "&amp;$AC412&amp;IF($AB412&lt;=TODAY()," is due TODAY ("," is due next business day (")&amp;TEXT($AB412,"dd-mmm")&amp;").","Next: "&amp;$AC412&amp;" due "&amp;TEXT($AB412,"dd-mmm")&amp;" ("&amp;(NETWORKDAYS(TODAY(),$AB412,Holidays)-1)&amp;" business day(s) left).")))))</f>
        <v/>
      </c>
      <c r="W412" s="17">
        <f>IF($Z412="","",CHOOSE($Z412,"Collection Email","1st Follow-up","2nd Follow-up","Local Office","CBE","Roxanne")&amp;IF($Z412=6," - Final"," - Day "&amp;MAX(0,NETWORKDAYS($AA412,TODAY(),Holidays)-1)&amp;" of "&amp;CHOOSE($Z412,3,3,2,2,3))&amp;" | Total Day "&amp;MAX(0,NETWORKDAYS($N412,TODAY(),Holidays)-1))</f>
        <v/>
      </c>
      <c r="X412" s="18"/>
      <c r="Y412" s="18"/>
      <c r="Z412" s="17">
        <f>IF($N412="","",COUNT($N412:$S412))</f>
        <v/>
      </c>
      <c r="AA412" s="19">
        <f>IF($Z412="","",INT(INDEX($N412:$S412,$Z412)))</f>
        <v/>
      </c>
      <c r="AB412" s="19">
        <f>IF(OR($Z412="",$Z412=6),"",WORKDAY($AA412,CHOOSE($Z412,3,3,2,2,3),Holidays))</f>
        <v/>
      </c>
      <c r="AC412" s="17">
        <f>IF(OR($Z412="",$Z412=6),"",CHOOSE($Z412,"1st Email Follow-up","2nd Email Follow-up","Escalate Local Office","Escalate to CBE","Escalate to Roxanne"))</f>
        <v/>
      </c>
    </row>
    <row r="413" spans="13:29">
      <c r="M413" s="14"/>
      <c r="T413" s="16"/>
      <c r="U413" s="17">
        <f>IF(AND(COUNTA($A413:$L413)=0,$N413=""),"",IF($T413="Paid","PAID",IF($T413="Closed","CLOSED",IF($Z413="","",IF($Z413=6,"ESCALATED TO ROXANNE",IF(TODAY()&gt;$AB413,"OVERDUE",IF($AB413&lt;=WORKDAY(TODAY(),1,Holidays),"DUE TOMORROW",IF($Z413=4,"ESCALATED TO LOCAL OFFICE",IF($Z413=5,"ESCALATED TO CBE",IF($AA413=TODAY(),"EMAIL SENT","MONITORING"))))))))))</f>
        <v/>
      </c>
      <c r="V413" s="17">
        <f>IF($U413="",IF(AND(COUNTA($A413:$L413)&gt;0,$N413=""),"Awaiting Collection Email time stamp.",""),IF(OR($U413="PAID",$U413="CLOSED"),IF($U413="PAID","Account paid. Action completed.","Account closed. No further action required."),CHOOSE($Z413,"Collection Email","1st Email Follow-up","2nd Email Follow-up","Escalation to Local Office","Escalation to CBE","Escalation to Roxanne")&amp;" sent "&amp;TEXT($AA413,"dd-mmm")&amp;". "&amp;IF($Z413=6,"Final escalation completed.",IF($U413="OVERDUE","Next: "&amp;$AC413&amp;" was due "&amp;TEXT($AB413,"dd-mmm")&amp;" - "&amp;(NETWORKDAYS($AB413,TODAY(),Holidays)-1)&amp;" business day(s) late. Send now.",IF($U413="DUE TOMORROW","Next: "&amp;$AC413&amp;IF($AB413&lt;=TODAY()," is due TODAY ("," is due next business day (")&amp;TEXT($AB413,"dd-mmm")&amp;").","Next: "&amp;$AC413&amp;" due "&amp;TEXT($AB413,"dd-mmm")&amp;" ("&amp;(NETWORKDAYS(TODAY(),$AB413,Holidays)-1)&amp;" business day(s) left).")))))</f>
        <v/>
      </c>
      <c r="W413" s="17">
        <f>IF($Z413="","",CHOOSE($Z413,"Collection Email","1st Follow-up","2nd Follow-up","Local Office","CBE","Roxanne")&amp;IF($Z413=6," - Final"," - Day "&amp;MAX(0,NETWORKDAYS($AA413,TODAY(),Holidays)-1)&amp;" of "&amp;CHOOSE($Z413,3,3,2,2,3))&amp;" | Total Day "&amp;MAX(0,NETWORKDAYS($N413,TODAY(),Holidays)-1))</f>
        <v/>
      </c>
      <c r="X413" s="18"/>
      <c r="Y413" s="18"/>
      <c r="Z413" s="17">
        <f>IF($N413="","",COUNT($N413:$S413))</f>
        <v/>
      </c>
      <c r="AA413" s="19">
        <f>IF($Z413="","",INT(INDEX($N413:$S413,$Z413)))</f>
        <v/>
      </c>
      <c r="AB413" s="19">
        <f>IF(OR($Z413="",$Z413=6),"",WORKDAY($AA413,CHOOSE($Z413,3,3,2,2,3),Holidays))</f>
        <v/>
      </c>
      <c r="AC413" s="17">
        <f>IF(OR($Z413="",$Z413=6),"",CHOOSE($Z413,"1st Email Follow-up","2nd Email Follow-up","Escalate Local Office","Escalate to CBE","Escalate to Roxanne"))</f>
        <v/>
      </c>
    </row>
    <row r="414" spans="13:29">
      <c r="M414" s="14"/>
      <c r="T414" s="16"/>
      <c r="U414" s="17">
        <f>IF(AND(COUNTA($A414:$L414)=0,$N414=""),"",IF($T414="Paid","PAID",IF($T414="Closed","CLOSED",IF($Z414="","",IF($Z414=6,"ESCALATED TO ROXANNE",IF(TODAY()&gt;$AB414,"OVERDUE",IF($AB414&lt;=WORKDAY(TODAY(),1,Holidays),"DUE TOMORROW",IF($Z414=4,"ESCALATED TO LOCAL OFFICE",IF($Z414=5,"ESCALATED TO CBE",IF($AA414=TODAY(),"EMAIL SENT","MONITORING"))))))))))</f>
        <v/>
      </c>
      <c r="V414" s="17">
        <f>IF($U414="",IF(AND(COUNTA($A414:$L414)&gt;0,$N414=""),"Awaiting Collection Email time stamp.",""),IF(OR($U414="PAID",$U414="CLOSED"),IF($U414="PAID","Account paid. Action completed.","Account closed. No further action required."),CHOOSE($Z414,"Collection Email","1st Email Follow-up","2nd Email Follow-up","Escalation to Local Office","Escalation to CBE","Escalation to Roxanne")&amp;" sent "&amp;TEXT($AA414,"dd-mmm")&amp;". "&amp;IF($Z414=6,"Final escalation completed.",IF($U414="OVERDUE","Next: "&amp;$AC414&amp;" was due "&amp;TEXT($AB414,"dd-mmm")&amp;" - "&amp;(NETWORKDAYS($AB414,TODAY(),Holidays)-1)&amp;" business day(s) late. Send now.",IF($U414="DUE TOMORROW","Next: "&amp;$AC414&amp;IF($AB414&lt;=TODAY()," is due TODAY ("," is due next business day (")&amp;TEXT($AB414,"dd-mmm")&amp;").","Next: "&amp;$AC414&amp;" due "&amp;TEXT($AB414,"dd-mmm")&amp;" ("&amp;(NETWORKDAYS(TODAY(),$AB414,Holidays)-1)&amp;" business day(s) left).")))))</f>
        <v/>
      </c>
      <c r="W414" s="17">
        <f>IF($Z414="","",CHOOSE($Z414,"Collection Email","1st Follow-up","2nd Follow-up","Local Office","CBE","Roxanne")&amp;IF($Z414=6," - Final"," - Day "&amp;MAX(0,NETWORKDAYS($AA414,TODAY(),Holidays)-1)&amp;" of "&amp;CHOOSE($Z414,3,3,2,2,3))&amp;" | Total Day "&amp;MAX(0,NETWORKDAYS($N414,TODAY(),Holidays)-1))</f>
        <v/>
      </c>
      <c r="X414" s="18"/>
      <c r="Y414" s="18"/>
      <c r="Z414" s="17">
        <f>IF($N414="","",COUNT($N414:$S414))</f>
        <v/>
      </c>
      <c r="AA414" s="19">
        <f>IF($Z414="","",INT(INDEX($N414:$S414,$Z414)))</f>
        <v/>
      </c>
      <c r="AB414" s="19">
        <f>IF(OR($Z414="",$Z414=6),"",WORKDAY($AA414,CHOOSE($Z414,3,3,2,2,3),Holidays))</f>
        <v/>
      </c>
      <c r="AC414" s="17">
        <f>IF(OR($Z414="",$Z414=6),"",CHOOSE($Z414,"1st Email Follow-up","2nd Email Follow-up","Escalate Local Office","Escalate to CBE","Escalate to Roxanne"))</f>
        <v/>
      </c>
    </row>
    <row r="415" spans="13:29">
      <c r="M415" s="14"/>
      <c r="T415" s="16"/>
      <c r="U415" s="17">
        <f>IF(AND(COUNTA($A415:$L415)=0,$N415=""),"",IF($T415="Paid","PAID",IF($T415="Closed","CLOSED",IF($Z415="","",IF($Z415=6,"ESCALATED TO ROXANNE",IF(TODAY()&gt;$AB415,"OVERDUE",IF($AB415&lt;=WORKDAY(TODAY(),1,Holidays),"DUE TOMORROW",IF($Z415=4,"ESCALATED TO LOCAL OFFICE",IF($Z415=5,"ESCALATED TO CBE",IF($AA415=TODAY(),"EMAIL SENT","MONITORING"))))))))))</f>
        <v/>
      </c>
      <c r="V415" s="17">
        <f>IF($U415="",IF(AND(COUNTA($A415:$L415)&gt;0,$N415=""),"Awaiting Collection Email time stamp.",""),IF(OR($U415="PAID",$U415="CLOSED"),IF($U415="PAID","Account paid. Action completed.","Account closed. No further action required."),CHOOSE($Z415,"Collection Email","1st Email Follow-up","2nd Email Follow-up","Escalation to Local Office","Escalation to CBE","Escalation to Roxanne")&amp;" sent "&amp;TEXT($AA415,"dd-mmm")&amp;". "&amp;IF($Z415=6,"Final escalation completed.",IF($U415="OVERDUE","Next: "&amp;$AC415&amp;" was due "&amp;TEXT($AB415,"dd-mmm")&amp;" - "&amp;(NETWORKDAYS($AB415,TODAY(),Holidays)-1)&amp;" business day(s) late. Send now.",IF($U415="DUE TOMORROW","Next: "&amp;$AC415&amp;IF($AB415&lt;=TODAY()," is due TODAY ("," is due next business day (")&amp;TEXT($AB415,"dd-mmm")&amp;").","Next: "&amp;$AC415&amp;" due "&amp;TEXT($AB415,"dd-mmm")&amp;" ("&amp;(NETWORKDAYS(TODAY(),$AB415,Holidays)-1)&amp;" business day(s) left).")))))</f>
        <v/>
      </c>
      <c r="W415" s="17">
        <f>IF($Z415="","",CHOOSE($Z415,"Collection Email","1st Follow-up","2nd Follow-up","Local Office","CBE","Roxanne")&amp;IF($Z415=6," - Final"," - Day "&amp;MAX(0,NETWORKDAYS($AA415,TODAY(),Holidays)-1)&amp;" of "&amp;CHOOSE($Z415,3,3,2,2,3))&amp;" | Total Day "&amp;MAX(0,NETWORKDAYS($N415,TODAY(),Holidays)-1))</f>
        <v/>
      </c>
      <c r="X415" s="18"/>
      <c r="Y415" s="18"/>
      <c r="Z415" s="17">
        <f>IF($N415="","",COUNT($N415:$S415))</f>
        <v/>
      </c>
      <c r="AA415" s="19">
        <f>IF($Z415="","",INT(INDEX($N415:$S415,$Z415)))</f>
        <v/>
      </c>
      <c r="AB415" s="19">
        <f>IF(OR($Z415="",$Z415=6),"",WORKDAY($AA415,CHOOSE($Z415,3,3,2,2,3),Holidays))</f>
        <v/>
      </c>
      <c r="AC415" s="17">
        <f>IF(OR($Z415="",$Z415=6),"",CHOOSE($Z415,"1st Email Follow-up","2nd Email Follow-up","Escalate Local Office","Escalate to CBE","Escalate to Roxanne"))</f>
        <v/>
      </c>
    </row>
    <row r="416" spans="13:29">
      <c r="M416" s="14"/>
      <c r="T416" s="16"/>
      <c r="U416" s="17">
        <f>IF(AND(COUNTA($A416:$L416)=0,$N416=""),"",IF($T416="Paid","PAID",IF($T416="Closed","CLOSED",IF($Z416="","",IF($Z416=6,"ESCALATED TO ROXANNE",IF(TODAY()&gt;$AB416,"OVERDUE",IF($AB416&lt;=WORKDAY(TODAY(),1,Holidays),"DUE TOMORROW",IF($Z416=4,"ESCALATED TO LOCAL OFFICE",IF($Z416=5,"ESCALATED TO CBE",IF($AA416=TODAY(),"EMAIL SENT","MONITORING"))))))))))</f>
        <v/>
      </c>
      <c r="V416" s="17">
        <f>IF($U416="",IF(AND(COUNTA($A416:$L416)&gt;0,$N416=""),"Awaiting Collection Email time stamp.",""),IF(OR($U416="PAID",$U416="CLOSED"),IF($U416="PAID","Account paid. Action completed.","Account closed. No further action required."),CHOOSE($Z416,"Collection Email","1st Email Follow-up","2nd Email Follow-up","Escalation to Local Office","Escalation to CBE","Escalation to Roxanne")&amp;" sent "&amp;TEXT($AA416,"dd-mmm")&amp;". "&amp;IF($Z416=6,"Final escalation completed.",IF($U416="OVERDUE","Next: "&amp;$AC416&amp;" was due "&amp;TEXT($AB416,"dd-mmm")&amp;" - "&amp;(NETWORKDAYS($AB416,TODAY(),Holidays)-1)&amp;" business day(s) late. Send now.",IF($U416="DUE TOMORROW","Next: "&amp;$AC416&amp;IF($AB416&lt;=TODAY()," is due TODAY ("," is due next business day (")&amp;TEXT($AB416,"dd-mmm")&amp;").","Next: "&amp;$AC416&amp;" due "&amp;TEXT($AB416,"dd-mmm")&amp;" ("&amp;(NETWORKDAYS(TODAY(),$AB416,Holidays)-1)&amp;" business day(s) left).")))))</f>
        <v/>
      </c>
      <c r="W416" s="17">
        <f>IF($Z416="","",CHOOSE($Z416,"Collection Email","1st Follow-up","2nd Follow-up","Local Office","CBE","Roxanne")&amp;IF($Z416=6," - Final"," - Day "&amp;MAX(0,NETWORKDAYS($AA416,TODAY(),Holidays)-1)&amp;" of "&amp;CHOOSE($Z416,3,3,2,2,3))&amp;" | Total Day "&amp;MAX(0,NETWORKDAYS($N416,TODAY(),Holidays)-1))</f>
        <v/>
      </c>
      <c r="X416" s="18"/>
      <c r="Y416" s="18"/>
      <c r="Z416" s="17">
        <f>IF($N416="","",COUNT($N416:$S416))</f>
        <v/>
      </c>
      <c r="AA416" s="19">
        <f>IF($Z416="","",INT(INDEX($N416:$S416,$Z416)))</f>
        <v/>
      </c>
      <c r="AB416" s="19">
        <f>IF(OR($Z416="",$Z416=6),"",WORKDAY($AA416,CHOOSE($Z416,3,3,2,2,3),Holidays))</f>
        <v/>
      </c>
      <c r="AC416" s="17">
        <f>IF(OR($Z416="",$Z416=6),"",CHOOSE($Z416,"1st Email Follow-up","2nd Email Follow-up","Escalate Local Office","Escalate to CBE","Escalate to Roxanne"))</f>
        <v/>
      </c>
    </row>
    <row r="417" spans="13:29">
      <c r="M417" s="14"/>
      <c r="T417" s="16"/>
      <c r="U417" s="17">
        <f>IF(AND(COUNTA($A417:$L417)=0,$N417=""),"",IF($T417="Paid","PAID",IF($T417="Closed","CLOSED",IF($Z417="","",IF($Z417=6,"ESCALATED TO ROXANNE",IF(TODAY()&gt;$AB417,"OVERDUE",IF($AB417&lt;=WORKDAY(TODAY(),1,Holidays),"DUE TOMORROW",IF($Z417=4,"ESCALATED TO LOCAL OFFICE",IF($Z417=5,"ESCALATED TO CBE",IF($AA417=TODAY(),"EMAIL SENT","MONITORING"))))))))))</f>
        <v/>
      </c>
      <c r="V417" s="17">
        <f>IF($U417="",IF(AND(COUNTA($A417:$L417)&gt;0,$N417=""),"Awaiting Collection Email time stamp.",""),IF(OR($U417="PAID",$U417="CLOSED"),IF($U417="PAID","Account paid. Action completed.","Account closed. No further action required."),CHOOSE($Z417,"Collection Email","1st Email Follow-up","2nd Email Follow-up","Escalation to Local Office","Escalation to CBE","Escalation to Roxanne")&amp;" sent "&amp;TEXT($AA417,"dd-mmm")&amp;". "&amp;IF($Z417=6,"Final escalation completed.",IF($U417="OVERDUE","Next: "&amp;$AC417&amp;" was due "&amp;TEXT($AB417,"dd-mmm")&amp;" - "&amp;(NETWORKDAYS($AB417,TODAY(),Holidays)-1)&amp;" business day(s) late. Send now.",IF($U417="DUE TOMORROW","Next: "&amp;$AC417&amp;IF($AB417&lt;=TODAY()," is due TODAY ("," is due next business day (")&amp;TEXT($AB417,"dd-mmm")&amp;").","Next: "&amp;$AC417&amp;" due "&amp;TEXT($AB417,"dd-mmm")&amp;" ("&amp;(NETWORKDAYS(TODAY(),$AB417,Holidays)-1)&amp;" business day(s) left).")))))</f>
        <v/>
      </c>
      <c r="W417" s="17">
        <f>IF($Z417="","",CHOOSE($Z417,"Collection Email","1st Follow-up","2nd Follow-up","Local Office","CBE","Roxanne")&amp;IF($Z417=6," - Final"," - Day "&amp;MAX(0,NETWORKDAYS($AA417,TODAY(),Holidays)-1)&amp;" of "&amp;CHOOSE($Z417,3,3,2,2,3))&amp;" | Total Day "&amp;MAX(0,NETWORKDAYS($N417,TODAY(),Holidays)-1))</f>
        <v/>
      </c>
      <c r="X417" s="18"/>
      <c r="Y417" s="18"/>
      <c r="Z417" s="17">
        <f>IF($N417="","",COUNT($N417:$S417))</f>
        <v/>
      </c>
      <c r="AA417" s="19">
        <f>IF($Z417="","",INT(INDEX($N417:$S417,$Z417)))</f>
        <v/>
      </c>
      <c r="AB417" s="19">
        <f>IF(OR($Z417="",$Z417=6),"",WORKDAY($AA417,CHOOSE($Z417,3,3,2,2,3),Holidays))</f>
        <v/>
      </c>
      <c r="AC417" s="17">
        <f>IF(OR($Z417="",$Z417=6),"",CHOOSE($Z417,"1st Email Follow-up","2nd Email Follow-up","Escalate Local Office","Escalate to CBE","Escalate to Roxanne"))</f>
        <v/>
      </c>
    </row>
    <row r="418" spans="13:29">
      <c r="M418" s="14"/>
      <c r="T418" s="16"/>
      <c r="U418" s="17">
        <f>IF(AND(COUNTA($A418:$L418)=0,$N418=""),"",IF($T418="Paid","PAID",IF($T418="Closed","CLOSED",IF($Z418="","",IF($Z418=6,"ESCALATED TO ROXANNE",IF(TODAY()&gt;$AB418,"OVERDUE",IF($AB418&lt;=WORKDAY(TODAY(),1,Holidays),"DUE TOMORROW",IF($Z418=4,"ESCALATED TO LOCAL OFFICE",IF($Z418=5,"ESCALATED TO CBE",IF($AA418=TODAY(),"EMAIL SENT","MONITORING"))))))))))</f>
        <v/>
      </c>
      <c r="V418" s="17">
        <f>IF($U418="",IF(AND(COUNTA($A418:$L418)&gt;0,$N418=""),"Awaiting Collection Email time stamp.",""),IF(OR($U418="PAID",$U418="CLOSED"),IF($U418="PAID","Account paid. Action completed.","Account closed. No further action required."),CHOOSE($Z418,"Collection Email","1st Email Follow-up","2nd Email Follow-up","Escalation to Local Office","Escalation to CBE","Escalation to Roxanne")&amp;" sent "&amp;TEXT($AA418,"dd-mmm")&amp;". "&amp;IF($Z418=6,"Final escalation completed.",IF($U418="OVERDUE","Next: "&amp;$AC418&amp;" was due "&amp;TEXT($AB418,"dd-mmm")&amp;" - "&amp;(NETWORKDAYS($AB418,TODAY(),Holidays)-1)&amp;" business day(s) late. Send now.",IF($U418="DUE TOMORROW","Next: "&amp;$AC418&amp;IF($AB418&lt;=TODAY()," is due TODAY ("," is due next business day (")&amp;TEXT($AB418,"dd-mmm")&amp;").","Next: "&amp;$AC418&amp;" due "&amp;TEXT($AB418,"dd-mmm")&amp;" ("&amp;(NETWORKDAYS(TODAY(),$AB418,Holidays)-1)&amp;" business day(s) left).")))))</f>
        <v/>
      </c>
      <c r="W418" s="17">
        <f>IF($Z418="","",CHOOSE($Z418,"Collection Email","1st Follow-up","2nd Follow-up","Local Office","CBE","Roxanne")&amp;IF($Z418=6," - Final"," - Day "&amp;MAX(0,NETWORKDAYS($AA418,TODAY(),Holidays)-1)&amp;" of "&amp;CHOOSE($Z418,3,3,2,2,3))&amp;" | Total Day "&amp;MAX(0,NETWORKDAYS($N418,TODAY(),Holidays)-1))</f>
        <v/>
      </c>
      <c r="X418" s="18"/>
      <c r="Y418" s="18"/>
      <c r="Z418" s="17">
        <f>IF($N418="","",COUNT($N418:$S418))</f>
        <v/>
      </c>
      <c r="AA418" s="19">
        <f>IF($Z418="","",INT(INDEX($N418:$S418,$Z418)))</f>
        <v/>
      </c>
      <c r="AB418" s="19">
        <f>IF(OR($Z418="",$Z418=6),"",WORKDAY($AA418,CHOOSE($Z418,3,3,2,2,3),Holidays))</f>
        <v/>
      </c>
      <c r="AC418" s="17">
        <f>IF(OR($Z418="",$Z418=6),"",CHOOSE($Z418,"1st Email Follow-up","2nd Email Follow-up","Escalate Local Office","Escalate to CBE","Escalate to Roxanne"))</f>
        <v/>
      </c>
    </row>
    <row r="419" spans="13:29">
      <c r="M419" s="14"/>
      <c r="T419" s="16"/>
      <c r="U419" s="17">
        <f>IF(AND(COUNTA($A419:$L419)=0,$N419=""),"",IF($T419="Paid","PAID",IF($T419="Closed","CLOSED",IF($Z419="","",IF($Z419=6,"ESCALATED TO ROXANNE",IF(TODAY()&gt;$AB419,"OVERDUE",IF($AB419&lt;=WORKDAY(TODAY(),1,Holidays),"DUE TOMORROW",IF($Z419=4,"ESCALATED TO LOCAL OFFICE",IF($Z419=5,"ESCALATED TO CBE",IF($AA419=TODAY(),"EMAIL SENT","MONITORING"))))))))))</f>
        <v/>
      </c>
      <c r="V419" s="17">
        <f>IF($U419="",IF(AND(COUNTA($A419:$L419)&gt;0,$N419=""),"Awaiting Collection Email time stamp.",""),IF(OR($U419="PAID",$U419="CLOSED"),IF($U419="PAID","Account paid. Action completed.","Account closed. No further action required."),CHOOSE($Z419,"Collection Email","1st Email Follow-up","2nd Email Follow-up","Escalation to Local Office","Escalation to CBE","Escalation to Roxanne")&amp;" sent "&amp;TEXT($AA419,"dd-mmm")&amp;". "&amp;IF($Z419=6,"Final escalation completed.",IF($U419="OVERDUE","Next: "&amp;$AC419&amp;" was due "&amp;TEXT($AB419,"dd-mmm")&amp;" - "&amp;(NETWORKDAYS($AB419,TODAY(),Holidays)-1)&amp;" business day(s) late. Send now.",IF($U419="DUE TOMORROW","Next: "&amp;$AC419&amp;IF($AB419&lt;=TODAY()," is due TODAY ("," is due next business day (")&amp;TEXT($AB419,"dd-mmm")&amp;").","Next: "&amp;$AC419&amp;" due "&amp;TEXT($AB419,"dd-mmm")&amp;" ("&amp;(NETWORKDAYS(TODAY(),$AB419,Holidays)-1)&amp;" business day(s) left).")))))</f>
        <v/>
      </c>
      <c r="W419" s="17">
        <f>IF($Z419="","",CHOOSE($Z419,"Collection Email","1st Follow-up","2nd Follow-up","Local Office","CBE","Roxanne")&amp;IF($Z419=6," - Final"," - Day "&amp;MAX(0,NETWORKDAYS($AA419,TODAY(),Holidays)-1)&amp;" of "&amp;CHOOSE($Z419,3,3,2,2,3))&amp;" | Total Day "&amp;MAX(0,NETWORKDAYS($N419,TODAY(),Holidays)-1))</f>
        <v/>
      </c>
      <c r="X419" s="18"/>
      <c r="Y419" s="18"/>
      <c r="Z419" s="17">
        <f>IF($N419="","",COUNT($N419:$S419))</f>
        <v/>
      </c>
      <c r="AA419" s="19">
        <f>IF($Z419="","",INT(INDEX($N419:$S419,$Z419)))</f>
        <v/>
      </c>
      <c r="AB419" s="19">
        <f>IF(OR($Z419="",$Z419=6),"",WORKDAY($AA419,CHOOSE($Z419,3,3,2,2,3),Holidays))</f>
        <v/>
      </c>
      <c r="AC419" s="17">
        <f>IF(OR($Z419="",$Z419=6),"",CHOOSE($Z419,"1st Email Follow-up","2nd Email Follow-up","Escalate Local Office","Escalate to CBE","Escalate to Roxanne"))</f>
        <v/>
      </c>
    </row>
    <row r="420" spans="13:29">
      <c r="M420" s="14"/>
      <c r="T420" s="16"/>
      <c r="U420" s="17">
        <f>IF(AND(COUNTA($A420:$L420)=0,$N420=""),"",IF($T420="Paid","PAID",IF($T420="Closed","CLOSED",IF($Z420="","",IF($Z420=6,"ESCALATED TO ROXANNE",IF(TODAY()&gt;$AB420,"OVERDUE",IF($AB420&lt;=WORKDAY(TODAY(),1,Holidays),"DUE TOMORROW",IF($Z420=4,"ESCALATED TO LOCAL OFFICE",IF($Z420=5,"ESCALATED TO CBE",IF($AA420=TODAY(),"EMAIL SENT","MONITORING"))))))))))</f>
        <v/>
      </c>
      <c r="V420" s="17">
        <f>IF($U420="",IF(AND(COUNTA($A420:$L420)&gt;0,$N420=""),"Awaiting Collection Email time stamp.",""),IF(OR($U420="PAID",$U420="CLOSED"),IF($U420="PAID","Account paid. Action completed.","Account closed. No further action required."),CHOOSE($Z420,"Collection Email","1st Email Follow-up","2nd Email Follow-up","Escalation to Local Office","Escalation to CBE","Escalation to Roxanne")&amp;" sent "&amp;TEXT($AA420,"dd-mmm")&amp;". "&amp;IF($Z420=6,"Final escalation completed.",IF($U420="OVERDUE","Next: "&amp;$AC420&amp;" was due "&amp;TEXT($AB420,"dd-mmm")&amp;" - "&amp;(NETWORKDAYS($AB420,TODAY(),Holidays)-1)&amp;" business day(s) late. Send now.",IF($U420="DUE TOMORROW","Next: "&amp;$AC420&amp;IF($AB420&lt;=TODAY()," is due TODAY ("," is due next business day (")&amp;TEXT($AB420,"dd-mmm")&amp;").","Next: "&amp;$AC420&amp;" due "&amp;TEXT($AB420,"dd-mmm")&amp;" ("&amp;(NETWORKDAYS(TODAY(),$AB420,Holidays)-1)&amp;" business day(s) left).")))))</f>
        <v/>
      </c>
      <c r="W420" s="17">
        <f>IF($Z420="","",CHOOSE($Z420,"Collection Email","1st Follow-up","2nd Follow-up","Local Office","CBE","Roxanne")&amp;IF($Z420=6," - Final"," - Day "&amp;MAX(0,NETWORKDAYS($AA420,TODAY(),Holidays)-1)&amp;" of "&amp;CHOOSE($Z420,3,3,2,2,3))&amp;" | Total Day "&amp;MAX(0,NETWORKDAYS($N420,TODAY(),Holidays)-1))</f>
        <v/>
      </c>
      <c r="X420" s="18"/>
      <c r="Y420" s="18"/>
      <c r="Z420" s="17">
        <f>IF($N420="","",COUNT($N420:$S420))</f>
        <v/>
      </c>
      <c r="AA420" s="19">
        <f>IF($Z420="","",INT(INDEX($N420:$S420,$Z420)))</f>
        <v/>
      </c>
      <c r="AB420" s="19">
        <f>IF(OR($Z420="",$Z420=6),"",WORKDAY($AA420,CHOOSE($Z420,3,3,2,2,3),Holidays))</f>
        <v/>
      </c>
      <c r="AC420" s="17">
        <f>IF(OR($Z420="",$Z420=6),"",CHOOSE($Z420,"1st Email Follow-up","2nd Email Follow-up","Escalate Local Office","Escalate to CBE","Escalate to Roxanne"))</f>
        <v/>
      </c>
    </row>
    <row r="421" spans="13:29">
      <c r="M421" s="14"/>
      <c r="T421" s="16"/>
      <c r="U421" s="17">
        <f>IF(AND(COUNTA($A421:$L421)=0,$N421=""),"",IF($T421="Paid","PAID",IF($T421="Closed","CLOSED",IF($Z421="","",IF($Z421=6,"ESCALATED TO ROXANNE",IF(TODAY()&gt;$AB421,"OVERDUE",IF($AB421&lt;=WORKDAY(TODAY(),1,Holidays),"DUE TOMORROW",IF($Z421=4,"ESCALATED TO LOCAL OFFICE",IF($Z421=5,"ESCALATED TO CBE",IF($AA421=TODAY(),"EMAIL SENT","MONITORING"))))))))))</f>
        <v/>
      </c>
      <c r="V421" s="17">
        <f>IF($U421="",IF(AND(COUNTA($A421:$L421)&gt;0,$N421=""),"Awaiting Collection Email time stamp.",""),IF(OR($U421="PAID",$U421="CLOSED"),IF($U421="PAID","Account paid. Action completed.","Account closed. No further action required."),CHOOSE($Z421,"Collection Email","1st Email Follow-up","2nd Email Follow-up","Escalation to Local Office","Escalation to CBE","Escalation to Roxanne")&amp;" sent "&amp;TEXT($AA421,"dd-mmm")&amp;". "&amp;IF($Z421=6,"Final escalation completed.",IF($U421="OVERDUE","Next: "&amp;$AC421&amp;" was due "&amp;TEXT($AB421,"dd-mmm")&amp;" - "&amp;(NETWORKDAYS($AB421,TODAY(),Holidays)-1)&amp;" business day(s) late. Send now.",IF($U421="DUE TOMORROW","Next: "&amp;$AC421&amp;IF($AB421&lt;=TODAY()," is due TODAY ("," is due next business day (")&amp;TEXT($AB421,"dd-mmm")&amp;").","Next: "&amp;$AC421&amp;" due "&amp;TEXT($AB421,"dd-mmm")&amp;" ("&amp;(NETWORKDAYS(TODAY(),$AB421,Holidays)-1)&amp;" business day(s) left).")))))</f>
        <v/>
      </c>
      <c r="W421" s="17">
        <f>IF($Z421="","",CHOOSE($Z421,"Collection Email","1st Follow-up","2nd Follow-up","Local Office","CBE","Roxanne")&amp;IF($Z421=6," - Final"," - Day "&amp;MAX(0,NETWORKDAYS($AA421,TODAY(),Holidays)-1)&amp;" of "&amp;CHOOSE($Z421,3,3,2,2,3))&amp;" | Total Day "&amp;MAX(0,NETWORKDAYS($N421,TODAY(),Holidays)-1))</f>
        <v/>
      </c>
      <c r="X421" s="18"/>
      <c r="Y421" s="18"/>
      <c r="Z421" s="17">
        <f>IF($N421="","",COUNT($N421:$S421))</f>
        <v/>
      </c>
      <c r="AA421" s="19">
        <f>IF($Z421="","",INT(INDEX($N421:$S421,$Z421)))</f>
        <v/>
      </c>
      <c r="AB421" s="19">
        <f>IF(OR($Z421="",$Z421=6),"",WORKDAY($AA421,CHOOSE($Z421,3,3,2,2,3),Holidays))</f>
        <v/>
      </c>
      <c r="AC421" s="17">
        <f>IF(OR($Z421="",$Z421=6),"",CHOOSE($Z421,"1st Email Follow-up","2nd Email Follow-up","Escalate Local Office","Escalate to CBE","Escalate to Roxanne"))</f>
        <v/>
      </c>
    </row>
    <row r="422" spans="13:29">
      <c r="M422" s="14"/>
      <c r="T422" s="16"/>
      <c r="U422" s="17">
        <f>IF(AND(COUNTA($A422:$L422)=0,$N422=""),"",IF($T422="Paid","PAID",IF($T422="Closed","CLOSED",IF($Z422="","",IF($Z422=6,"ESCALATED TO ROXANNE",IF(TODAY()&gt;$AB422,"OVERDUE",IF($AB422&lt;=WORKDAY(TODAY(),1,Holidays),"DUE TOMORROW",IF($Z422=4,"ESCALATED TO LOCAL OFFICE",IF($Z422=5,"ESCALATED TO CBE",IF($AA422=TODAY(),"EMAIL SENT","MONITORING"))))))))))</f>
        <v/>
      </c>
      <c r="V422" s="17">
        <f>IF($U422="",IF(AND(COUNTA($A422:$L422)&gt;0,$N422=""),"Awaiting Collection Email time stamp.",""),IF(OR($U422="PAID",$U422="CLOSED"),IF($U422="PAID","Account paid. Action completed.","Account closed. No further action required."),CHOOSE($Z422,"Collection Email","1st Email Follow-up","2nd Email Follow-up","Escalation to Local Office","Escalation to CBE","Escalation to Roxanne")&amp;" sent "&amp;TEXT($AA422,"dd-mmm")&amp;". "&amp;IF($Z422=6,"Final escalation completed.",IF($U422="OVERDUE","Next: "&amp;$AC422&amp;" was due "&amp;TEXT($AB422,"dd-mmm")&amp;" - "&amp;(NETWORKDAYS($AB422,TODAY(),Holidays)-1)&amp;" business day(s) late. Send now.",IF($U422="DUE TOMORROW","Next: "&amp;$AC422&amp;IF($AB422&lt;=TODAY()," is due TODAY ("," is due next business day (")&amp;TEXT($AB422,"dd-mmm")&amp;").","Next: "&amp;$AC422&amp;" due "&amp;TEXT($AB422,"dd-mmm")&amp;" ("&amp;(NETWORKDAYS(TODAY(),$AB422,Holidays)-1)&amp;" business day(s) left).")))))</f>
        <v/>
      </c>
      <c r="W422" s="17">
        <f>IF($Z422="","",CHOOSE($Z422,"Collection Email","1st Follow-up","2nd Follow-up","Local Office","CBE","Roxanne")&amp;IF($Z422=6," - Final"," - Day "&amp;MAX(0,NETWORKDAYS($AA422,TODAY(),Holidays)-1)&amp;" of "&amp;CHOOSE($Z422,3,3,2,2,3))&amp;" | Total Day "&amp;MAX(0,NETWORKDAYS($N422,TODAY(),Holidays)-1))</f>
        <v/>
      </c>
      <c r="X422" s="18"/>
      <c r="Y422" s="18"/>
      <c r="Z422" s="17">
        <f>IF($N422="","",COUNT($N422:$S422))</f>
        <v/>
      </c>
      <c r="AA422" s="19">
        <f>IF($Z422="","",INT(INDEX($N422:$S422,$Z422)))</f>
        <v/>
      </c>
      <c r="AB422" s="19">
        <f>IF(OR($Z422="",$Z422=6),"",WORKDAY($AA422,CHOOSE($Z422,3,3,2,2,3),Holidays))</f>
        <v/>
      </c>
      <c r="AC422" s="17">
        <f>IF(OR($Z422="",$Z422=6),"",CHOOSE($Z422,"1st Email Follow-up","2nd Email Follow-up","Escalate Local Office","Escalate to CBE","Escalate to Roxanne"))</f>
        <v/>
      </c>
    </row>
    <row r="423" spans="13:29">
      <c r="M423" s="14"/>
      <c r="T423" s="16"/>
      <c r="U423" s="17">
        <f>IF(AND(COUNTA($A423:$L423)=0,$N423=""),"",IF($T423="Paid","PAID",IF($T423="Closed","CLOSED",IF($Z423="","",IF($Z423=6,"ESCALATED TO ROXANNE",IF(TODAY()&gt;$AB423,"OVERDUE",IF($AB423&lt;=WORKDAY(TODAY(),1,Holidays),"DUE TOMORROW",IF($Z423=4,"ESCALATED TO LOCAL OFFICE",IF($Z423=5,"ESCALATED TO CBE",IF($AA423=TODAY(),"EMAIL SENT","MONITORING"))))))))))</f>
        <v/>
      </c>
      <c r="V423" s="17">
        <f>IF($U423="",IF(AND(COUNTA($A423:$L423)&gt;0,$N423=""),"Awaiting Collection Email time stamp.",""),IF(OR($U423="PAID",$U423="CLOSED"),IF($U423="PAID","Account paid. Action completed.","Account closed. No further action required."),CHOOSE($Z423,"Collection Email","1st Email Follow-up","2nd Email Follow-up","Escalation to Local Office","Escalation to CBE","Escalation to Roxanne")&amp;" sent "&amp;TEXT($AA423,"dd-mmm")&amp;". "&amp;IF($Z423=6,"Final escalation completed.",IF($U423="OVERDUE","Next: "&amp;$AC423&amp;" was due "&amp;TEXT($AB423,"dd-mmm")&amp;" - "&amp;(NETWORKDAYS($AB423,TODAY(),Holidays)-1)&amp;" business day(s) late. Send now.",IF($U423="DUE TOMORROW","Next: "&amp;$AC423&amp;IF($AB423&lt;=TODAY()," is due TODAY ("," is due next business day (")&amp;TEXT($AB423,"dd-mmm")&amp;").","Next: "&amp;$AC423&amp;" due "&amp;TEXT($AB423,"dd-mmm")&amp;" ("&amp;(NETWORKDAYS(TODAY(),$AB423,Holidays)-1)&amp;" business day(s) left).")))))</f>
        <v/>
      </c>
      <c r="W423" s="17">
        <f>IF($Z423="","",CHOOSE($Z423,"Collection Email","1st Follow-up","2nd Follow-up","Local Office","CBE","Roxanne")&amp;IF($Z423=6," - Final"," - Day "&amp;MAX(0,NETWORKDAYS($AA423,TODAY(),Holidays)-1)&amp;" of "&amp;CHOOSE($Z423,3,3,2,2,3))&amp;" | Total Day "&amp;MAX(0,NETWORKDAYS($N423,TODAY(),Holidays)-1))</f>
        <v/>
      </c>
      <c r="X423" s="18"/>
      <c r="Y423" s="18"/>
      <c r="Z423" s="17">
        <f>IF($N423="","",COUNT($N423:$S423))</f>
        <v/>
      </c>
      <c r="AA423" s="19">
        <f>IF($Z423="","",INT(INDEX($N423:$S423,$Z423)))</f>
        <v/>
      </c>
      <c r="AB423" s="19">
        <f>IF(OR($Z423="",$Z423=6),"",WORKDAY($AA423,CHOOSE($Z423,3,3,2,2,3),Holidays))</f>
        <v/>
      </c>
      <c r="AC423" s="17">
        <f>IF(OR($Z423="",$Z423=6),"",CHOOSE($Z423,"1st Email Follow-up","2nd Email Follow-up","Escalate Local Office","Escalate to CBE","Escalate to Roxanne"))</f>
        <v/>
      </c>
    </row>
    <row r="424" spans="13:29">
      <c r="M424" s="14"/>
      <c r="T424" s="16"/>
      <c r="U424" s="17">
        <f>IF(AND(COUNTA($A424:$L424)=0,$N424=""),"",IF($T424="Paid","PAID",IF($T424="Closed","CLOSED",IF($Z424="","",IF($Z424=6,"ESCALATED TO ROXANNE",IF(TODAY()&gt;$AB424,"OVERDUE",IF($AB424&lt;=WORKDAY(TODAY(),1,Holidays),"DUE TOMORROW",IF($Z424=4,"ESCALATED TO LOCAL OFFICE",IF($Z424=5,"ESCALATED TO CBE",IF($AA424=TODAY(),"EMAIL SENT","MONITORING"))))))))))</f>
        <v/>
      </c>
      <c r="V424" s="17">
        <f>IF($U424="",IF(AND(COUNTA($A424:$L424)&gt;0,$N424=""),"Awaiting Collection Email time stamp.",""),IF(OR($U424="PAID",$U424="CLOSED"),IF($U424="PAID","Account paid. Action completed.","Account closed. No further action required."),CHOOSE($Z424,"Collection Email","1st Email Follow-up","2nd Email Follow-up","Escalation to Local Office","Escalation to CBE","Escalation to Roxanne")&amp;" sent "&amp;TEXT($AA424,"dd-mmm")&amp;". "&amp;IF($Z424=6,"Final escalation completed.",IF($U424="OVERDUE","Next: "&amp;$AC424&amp;" was due "&amp;TEXT($AB424,"dd-mmm")&amp;" - "&amp;(NETWORKDAYS($AB424,TODAY(),Holidays)-1)&amp;" business day(s) late. Send now.",IF($U424="DUE TOMORROW","Next: "&amp;$AC424&amp;IF($AB424&lt;=TODAY()," is due TODAY ("," is due next business day (")&amp;TEXT($AB424,"dd-mmm")&amp;").","Next: "&amp;$AC424&amp;" due "&amp;TEXT($AB424,"dd-mmm")&amp;" ("&amp;(NETWORKDAYS(TODAY(),$AB424,Holidays)-1)&amp;" business day(s) left).")))))</f>
        <v/>
      </c>
      <c r="W424" s="17">
        <f>IF($Z424="","",CHOOSE($Z424,"Collection Email","1st Follow-up","2nd Follow-up","Local Office","CBE","Roxanne")&amp;IF($Z424=6," - Final"," - Day "&amp;MAX(0,NETWORKDAYS($AA424,TODAY(),Holidays)-1)&amp;" of "&amp;CHOOSE($Z424,3,3,2,2,3))&amp;" | Total Day "&amp;MAX(0,NETWORKDAYS($N424,TODAY(),Holidays)-1))</f>
        <v/>
      </c>
      <c r="X424" s="18"/>
      <c r="Y424" s="18"/>
      <c r="Z424" s="17">
        <f>IF($N424="","",COUNT($N424:$S424))</f>
        <v/>
      </c>
      <c r="AA424" s="19">
        <f>IF($Z424="","",INT(INDEX($N424:$S424,$Z424)))</f>
        <v/>
      </c>
      <c r="AB424" s="19">
        <f>IF(OR($Z424="",$Z424=6),"",WORKDAY($AA424,CHOOSE($Z424,3,3,2,2,3),Holidays))</f>
        <v/>
      </c>
      <c r="AC424" s="17">
        <f>IF(OR($Z424="",$Z424=6),"",CHOOSE($Z424,"1st Email Follow-up","2nd Email Follow-up","Escalate Local Office","Escalate to CBE","Escalate to Roxanne"))</f>
        <v/>
      </c>
    </row>
    <row r="425" spans="13:29">
      <c r="M425" s="14"/>
      <c r="T425" s="16"/>
      <c r="U425" s="17">
        <f>IF(AND(COUNTA($A425:$L425)=0,$N425=""),"",IF($T425="Paid","PAID",IF($T425="Closed","CLOSED",IF($Z425="","",IF($Z425=6,"ESCALATED TO ROXANNE",IF(TODAY()&gt;$AB425,"OVERDUE",IF($AB425&lt;=WORKDAY(TODAY(),1,Holidays),"DUE TOMORROW",IF($Z425=4,"ESCALATED TO LOCAL OFFICE",IF($Z425=5,"ESCALATED TO CBE",IF($AA425=TODAY(),"EMAIL SENT","MONITORING"))))))))))</f>
        <v/>
      </c>
      <c r="V425" s="17">
        <f>IF($U425="",IF(AND(COUNTA($A425:$L425)&gt;0,$N425=""),"Awaiting Collection Email time stamp.",""),IF(OR($U425="PAID",$U425="CLOSED"),IF($U425="PAID","Account paid. Action completed.","Account closed. No further action required."),CHOOSE($Z425,"Collection Email","1st Email Follow-up","2nd Email Follow-up","Escalation to Local Office","Escalation to CBE","Escalation to Roxanne")&amp;" sent "&amp;TEXT($AA425,"dd-mmm")&amp;". "&amp;IF($Z425=6,"Final escalation completed.",IF($U425="OVERDUE","Next: "&amp;$AC425&amp;" was due "&amp;TEXT($AB425,"dd-mmm")&amp;" - "&amp;(NETWORKDAYS($AB425,TODAY(),Holidays)-1)&amp;" business day(s) late. Send now.",IF($U425="DUE TOMORROW","Next: "&amp;$AC425&amp;IF($AB425&lt;=TODAY()," is due TODAY ("," is due next business day (")&amp;TEXT($AB425,"dd-mmm")&amp;").","Next: "&amp;$AC425&amp;" due "&amp;TEXT($AB425,"dd-mmm")&amp;" ("&amp;(NETWORKDAYS(TODAY(),$AB425,Holidays)-1)&amp;" business day(s) left).")))))</f>
        <v/>
      </c>
      <c r="W425" s="17">
        <f>IF($Z425="","",CHOOSE($Z425,"Collection Email","1st Follow-up","2nd Follow-up","Local Office","CBE","Roxanne")&amp;IF($Z425=6," - Final"," - Day "&amp;MAX(0,NETWORKDAYS($AA425,TODAY(),Holidays)-1)&amp;" of "&amp;CHOOSE($Z425,3,3,2,2,3))&amp;" | Total Day "&amp;MAX(0,NETWORKDAYS($N425,TODAY(),Holidays)-1))</f>
        <v/>
      </c>
      <c r="X425" s="18"/>
      <c r="Y425" s="18"/>
      <c r="Z425" s="17">
        <f>IF($N425="","",COUNT($N425:$S425))</f>
        <v/>
      </c>
      <c r="AA425" s="19">
        <f>IF($Z425="","",INT(INDEX($N425:$S425,$Z425)))</f>
        <v/>
      </c>
      <c r="AB425" s="19">
        <f>IF(OR($Z425="",$Z425=6),"",WORKDAY($AA425,CHOOSE($Z425,3,3,2,2,3),Holidays))</f>
        <v/>
      </c>
      <c r="AC425" s="17">
        <f>IF(OR($Z425="",$Z425=6),"",CHOOSE($Z425,"1st Email Follow-up","2nd Email Follow-up","Escalate Local Office","Escalate to CBE","Escalate to Roxanne"))</f>
        <v/>
      </c>
    </row>
    <row r="426" spans="13:29">
      <c r="M426" s="14"/>
      <c r="T426" s="16"/>
      <c r="U426" s="17">
        <f>IF(AND(COUNTA($A426:$L426)=0,$N426=""),"",IF($T426="Paid","PAID",IF($T426="Closed","CLOSED",IF($Z426="","",IF($Z426=6,"ESCALATED TO ROXANNE",IF(TODAY()&gt;$AB426,"OVERDUE",IF($AB426&lt;=WORKDAY(TODAY(),1,Holidays),"DUE TOMORROW",IF($Z426=4,"ESCALATED TO LOCAL OFFICE",IF($Z426=5,"ESCALATED TO CBE",IF($AA426=TODAY(),"EMAIL SENT","MONITORING"))))))))))</f>
        <v/>
      </c>
      <c r="V426" s="17">
        <f>IF($U426="",IF(AND(COUNTA($A426:$L426)&gt;0,$N426=""),"Awaiting Collection Email time stamp.",""),IF(OR($U426="PAID",$U426="CLOSED"),IF($U426="PAID","Account paid. Action completed.","Account closed. No further action required."),CHOOSE($Z426,"Collection Email","1st Email Follow-up","2nd Email Follow-up","Escalation to Local Office","Escalation to CBE","Escalation to Roxanne")&amp;" sent "&amp;TEXT($AA426,"dd-mmm")&amp;". "&amp;IF($Z426=6,"Final escalation completed.",IF($U426="OVERDUE","Next: "&amp;$AC426&amp;" was due "&amp;TEXT($AB426,"dd-mmm")&amp;" - "&amp;(NETWORKDAYS($AB426,TODAY(),Holidays)-1)&amp;" business day(s) late. Send now.",IF($U426="DUE TOMORROW","Next: "&amp;$AC426&amp;IF($AB426&lt;=TODAY()," is due TODAY ("," is due next business day (")&amp;TEXT($AB426,"dd-mmm")&amp;").","Next: "&amp;$AC426&amp;" due "&amp;TEXT($AB426,"dd-mmm")&amp;" ("&amp;(NETWORKDAYS(TODAY(),$AB426,Holidays)-1)&amp;" business day(s) left).")))))</f>
        <v/>
      </c>
      <c r="W426" s="17">
        <f>IF($Z426="","",CHOOSE($Z426,"Collection Email","1st Follow-up","2nd Follow-up","Local Office","CBE","Roxanne")&amp;IF($Z426=6," - Final"," - Day "&amp;MAX(0,NETWORKDAYS($AA426,TODAY(),Holidays)-1)&amp;" of "&amp;CHOOSE($Z426,3,3,2,2,3))&amp;" | Total Day "&amp;MAX(0,NETWORKDAYS($N426,TODAY(),Holidays)-1))</f>
        <v/>
      </c>
      <c r="X426" s="18"/>
      <c r="Y426" s="18"/>
      <c r="Z426" s="17">
        <f>IF($N426="","",COUNT($N426:$S426))</f>
        <v/>
      </c>
      <c r="AA426" s="19">
        <f>IF($Z426="","",INT(INDEX($N426:$S426,$Z426)))</f>
        <v/>
      </c>
      <c r="AB426" s="19">
        <f>IF(OR($Z426="",$Z426=6),"",WORKDAY($AA426,CHOOSE($Z426,3,3,2,2,3),Holidays))</f>
        <v/>
      </c>
      <c r="AC426" s="17">
        <f>IF(OR($Z426="",$Z426=6),"",CHOOSE($Z426,"1st Email Follow-up","2nd Email Follow-up","Escalate Local Office","Escalate to CBE","Escalate to Roxanne"))</f>
        <v/>
      </c>
    </row>
    <row r="427" spans="13:29">
      <c r="M427" s="14"/>
      <c r="T427" s="16"/>
      <c r="U427" s="17">
        <f>IF(AND(COUNTA($A427:$L427)=0,$N427=""),"",IF($T427="Paid","PAID",IF($T427="Closed","CLOSED",IF($Z427="","",IF($Z427=6,"ESCALATED TO ROXANNE",IF(TODAY()&gt;$AB427,"OVERDUE",IF($AB427&lt;=WORKDAY(TODAY(),1,Holidays),"DUE TOMORROW",IF($Z427=4,"ESCALATED TO LOCAL OFFICE",IF($Z427=5,"ESCALATED TO CBE",IF($AA427=TODAY(),"EMAIL SENT","MONITORING"))))))))))</f>
        <v/>
      </c>
      <c r="V427" s="17">
        <f>IF($U427="",IF(AND(COUNTA($A427:$L427)&gt;0,$N427=""),"Awaiting Collection Email time stamp.",""),IF(OR($U427="PAID",$U427="CLOSED"),IF($U427="PAID","Account paid. Action completed.","Account closed. No further action required."),CHOOSE($Z427,"Collection Email","1st Email Follow-up","2nd Email Follow-up","Escalation to Local Office","Escalation to CBE","Escalation to Roxanne")&amp;" sent "&amp;TEXT($AA427,"dd-mmm")&amp;". "&amp;IF($Z427=6,"Final escalation completed.",IF($U427="OVERDUE","Next: "&amp;$AC427&amp;" was due "&amp;TEXT($AB427,"dd-mmm")&amp;" - "&amp;(NETWORKDAYS($AB427,TODAY(),Holidays)-1)&amp;" business day(s) late. Send now.",IF($U427="DUE TOMORROW","Next: "&amp;$AC427&amp;IF($AB427&lt;=TODAY()," is due TODAY ("," is due next business day (")&amp;TEXT($AB427,"dd-mmm")&amp;").","Next: "&amp;$AC427&amp;" due "&amp;TEXT($AB427,"dd-mmm")&amp;" ("&amp;(NETWORKDAYS(TODAY(),$AB427,Holidays)-1)&amp;" business day(s) left).")))))</f>
        <v/>
      </c>
      <c r="W427" s="17">
        <f>IF($Z427="","",CHOOSE($Z427,"Collection Email","1st Follow-up","2nd Follow-up","Local Office","CBE","Roxanne")&amp;IF($Z427=6," - Final"," - Day "&amp;MAX(0,NETWORKDAYS($AA427,TODAY(),Holidays)-1)&amp;" of "&amp;CHOOSE($Z427,3,3,2,2,3))&amp;" | Total Day "&amp;MAX(0,NETWORKDAYS($N427,TODAY(),Holidays)-1))</f>
        <v/>
      </c>
      <c r="X427" s="18"/>
      <c r="Y427" s="18"/>
      <c r="Z427" s="17">
        <f>IF($N427="","",COUNT($N427:$S427))</f>
        <v/>
      </c>
      <c r="AA427" s="19">
        <f>IF($Z427="","",INT(INDEX($N427:$S427,$Z427)))</f>
        <v/>
      </c>
      <c r="AB427" s="19">
        <f>IF(OR($Z427="",$Z427=6),"",WORKDAY($AA427,CHOOSE($Z427,3,3,2,2,3),Holidays))</f>
        <v/>
      </c>
      <c r="AC427" s="17">
        <f>IF(OR($Z427="",$Z427=6),"",CHOOSE($Z427,"1st Email Follow-up","2nd Email Follow-up","Escalate Local Office","Escalate to CBE","Escalate to Roxanne"))</f>
        <v/>
      </c>
    </row>
    <row r="428" spans="13:29">
      <c r="M428" s="14"/>
      <c r="T428" s="16"/>
      <c r="U428" s="17">
        <f>IF(AND(COUNTA($A428:$L428)=0,$N428=""),"",IF($T428="Paid","PAID",IF($T428="Closed","CLOSED",IF($Z428="","",IF($Z428=6,"ESCALATED TO ROXANNE",IF(TODAY()&gt;$AB428,"OVERDUE",IF($AB428&lt;=WORKDAY(TODAY(),1,Holidays),"DUE TOMORROW",IF($Z428=4,"ESCALATED TO LOCAL OFFICE",IF($Z428=5,"ESCALATED TO CBE",IF($AA428=TODAY(),"EMAIL SENT","MONITORING"))))))))))</f>
        <v/>
      </c>
      <c r="V428" s="17">
        <f>IF($U428="",IF(AND(COUNTA($A428:$L428)&gt;0,$N428=""),"Awaiting Collection Email time stamp.",""),IF(OR($U428="PAID",$U428="CLOSED"),IF($U428="PAID","Account paid. Action completed.","Account closed. No further action required."),CHOOSE($Z428,"Collection Email","1st Email Follow-up","2nd Email Follow-up","Escalation to Local Office","Escalation to CBE","Escalation to Roxanne")&amp;" sent "&amp;TEXT($AA428,"dd-mmm")&amp;". "&amp;IF($Z428=6,"Final escalation completed.",IF($U428="OVERDUE","Next: "&amp;$AC428&amp;" was due "&amp;TEXT($AB428,"dd-mmm")&amp;" - "&amp;(NETWORKDAYS($AB428,TODAY(),Holidays)-1)&amp;" business day(s) late. Send now.",IF($U428="DUE TOMORROW","Next: "&amp;$AC428&amp;IF($AB428&lt;=TODAY()," is due TODAY ("," is due next business day (")&amp;TEXT($AB428,"dd-mmm")&amp;").","Next: "&amp;$AC428&amp;" due "&amp;TEXT($AB428,"dd-mmm")&amp;" ("&amp;(NETWORKDAYS(TODAY(),$AB428,Holidays)-1)&amp;" business day(s) left).")))))</f>
        <v/>
      </c>
      <c r="W428" s="17">
        <f>IF($Z428="","",CHOOSE($Z428,"Collection Email","1st Follow-up","2nd Follow-up","Local Office","CBE","Roxanne")&amp;IF($Z428=6," - Final"," - Day "&amp;MAX(0,NETWORKDAYS($AA428,TODAY(),Holidays)-1)&amp;" of "&amp;CHOOSE($Z428,3,3,2,2,3))&amp;" | Total Day "&amp;MAX(0,NETWORKDAYS($N428,TODAY(),Holidays)-1))</f>
        <v/>
      </c>
      <c r="X428" s="18"/>
      <c r="Y428" s="18"/>
      <c r="Z428" s="17">
        <f>IF($N428="","",COUNT($N428:$S428))</f>
        <v/>
      </c>
      <c r="AA428" s="19">
        <f>IF($Z428="","",INT(INDEX($N428:$S428,$Z428)))</f>
        <v/>
      </c>
      <c r="AB428" s="19">
        <f>IF(OR($Z428="",$Z428=6),"",WORKDAY($AA428,CHOOSE($Z428,3,3,2,2,3),Holidays))</f>
        <v/>
      </c>
      <c r="AC428" s="17">
        <f>IF(OR($Z428="",$Z428=6),"",CHOOSE($Z428,"1st Email Follow-up","2nd Email Follow-up","Escalate Local Office","Escalate to CBE","Escalate to Roxanne"))</f>
        <v/>
      </c>
    </row>
    <row r="429" spans="13:29">
      <c r="M429" s="14"/>
      <c r="T429" s="16"/>
      <c r="U429" s="17">
        <f>IF(AND(COUNTA($A429:$L429)=0,$N429=""),"",IF($T429="Paid","PAID",IF($T429="Closed","CLOSED",IF($Z429="","",IF($Z429=6,"ESCALATED TO ROXANNE",IF(TODAY()&gt;$AB429,"OVERDUE",IF($AB429&lt;=WORKDAY(TODAY(),1,Holidays),"DUE TOMORROW",IF($Z429=4,"ESCALATED TO LOCAL OFFICE",IF($Z429=5,"ESCALATED TO CBE",IF($AA429=TODAY(),"EMAIL SENT","MONITORING"))))))))))</f>
        <v/>
      </c>
      <c r="V429" s="17">
        <f>IF($U429="",IF(AND(COUNTA($A429:$L429)&gt;0,$N429=""),"Awaiting Collection Email time stamp.",""),IF(OR($U429="PAID",$U429="CLOSED"),IF($U429="PAID","Account paid. Action completed.","Account closed. No further action required."),CHOOSE($Z429,"Collection Email","1st Email Follow-up","2nd Email Follow-up","Escalation to Local Office","Escalation to CBE","Escalation to Roxanne")&amp;" sent "&amp;TEXT($AA429,"dd-mmm")&amp;". "&amp;IF($Z429=6,"Final escalation completed.",IF($U429="OVERDUE","Next: "&amp;$AC429&amp;" was due "&amp;TEXT($AB429,"dd-mmm")&amp;" - "&amp;(NETWORKDAYS($AB429,TODAY(),Holidays)-1)&amp;" business day(s) late. Send now.",IF($U429="DUE TOMORROW","Next: "&amp;$AC429&amp;IF($AB429&lt;=TODAY()," is due TODAY ("," is due next business day (")&amp;TEXT($AB429,"dd-mmm")&amp;").","Next: "&amp;$AC429&amp;" due "&amp;TEXT($AB429,"dd-mmm")&amp;" ("&amp;(NETWORKDAYS(TODAY(),$AB429,Holidays)-1)&amp;" business day(s) left).")))))</f>
        <v/>
      </c>
      <c r="W429" s="17">
        <f>IF($Z429="","",CHOOSE($Z429,"Collection Email","1st Follow-up","2nd Follow-up","Local Office","CBE","Roxanne")&amp;IF($Z429=6," - Final"," - Day "&amp;MAX(0,NETWORKDAYS($AA429,TODAY(),Holidays)-1)&amp;" of "&amp;CHOOSE($Z429,3,3,2,2,3))&amp;" | Total Day "&amp;MAX(0,NETWORKDAYS($N429,TODAY(),Holidays)-1))</f>
        <v/>
      </c>
      <c r="X429" s="18"/>
      <c r="Y429" s="18"/>
      <c r="Z429" s="17">
        <f>IF($N429="","",COUNT($N429:$S429))</f>
        <v/>
      </c>
      <c r="AA429" s="19">
        <f>IF($Z429="","",INT(INDEX($N429:$S429,$Z429)))</f>
        <v/>
      </c>
      <c r="AB429" s="19">
        <f>IF(OR($Z429="",$Z429=6),"",WORKDAY($AA429,CHOOSE($Z429,3,3,2,2,3),Holidays))</f>
        <v/>
      </c>
      <c r="AC429" s="17">
        <f>IF(OR($Z429="",$Z429=6),"",CHOOSE($Z429,"1st Email Follow-up","2nd Email Follow-up","Escalate Local Office","Escalate to CBE","Escalate to Roxanne"))</f>
        <v/>
      </c>
    </row>
    <row r="430" spans="13:29">
      <c r="M430" s="14"/>
      <c r="T430" s="16"/>
      <c r="U430" s="17">
        <f>IF(AND(COUNTA($A430:$L430)=0,$N430=""),"",IF($T430="Paid","PAID",IF($T430="Closed","CLOSED",IF($Z430="","",IF($Z430=6,"ESCALATED TO ROXANNE",IF(TODAY()&gt;$AB430,"OVERDUE",IF($AB430&lt;=WORKDAY(TODAY(),1,Holidays),"DUE TOMORROW",IF($Z430=4,"ESCALATED TO LOCAL OFFICE",IF($Z430=5,"ESCALATED TO CBE",IF($AA430=TODAY(),"EMAIL SENT","MONITORING"))))))))))</f>
        <v/>
      </c>
      <c r="V430" s="17">
        <f>IF($U430="",IF(AND(COUNTA($A430:$L430)&gt;0,$N430=""),"Awaiting Collection Email time stamp.",""),IF(OR($U430="PAID",$U430="CLOSED"),IF($U430="PAID","Account paid. Action completed.","Account closed. No further action required."),CHOOSE($Z430,"Collection Email","1st Email Follow-up","2nd Email Follow-up","Escalation to Local Office","Escalation to CBE","Escalation to Roxanne")&amp;" sent "&amp;TEXT($AA430,"dd-mmm")&amp;". "&amp;IF($Z430=6,"Final escalation completed.",IF($U430="OVERDUE","Next: "&amp;$AC430&amp;" was due "&amp;TEXT($AB430,"dd-mmm")&amp;" - "&amp;(NETWORKDAYS($AB430,TODAY(),Holidays)-1)&amp;" business day(s) late. Send now.",IF($U430="DUE TOMORROW","Next: "&amp;$AC430&amp;IF($AB430&lt;=TODAY()," is due TODAY ("," is due next business day (")&amp;TEXT($AB430,"dd-mmm")&amp;").","Next: "&amp;$AC430&amp;" due "&amp;TEXT($AB430,"dd-mmm")&amp;" ("&amp;(NETWORKDAYS(TODAY(),$AB430,Holidays)-1)&amp;" business day(s) left).")))))</f>
        <v/>
      </c>
      <c r="W430" s="17">
        <f>IF($Z430="","",CHOOSE($Z430,"Collection Email","1st Follow-up","2nd Follow-up","Local Office","CBE","Roxanne")&amp;IF($Z430=6," - Final"," - Day "&amp;MAX(0,NETWORKDAYS($AA430,TODAY(),Holidays)-1)&amp;" of "&amp;CHOOSE($Z430,3,3,2,2,3))&amp;" | Total Day "&amp;MAX(0,NETWORKDAYS($N430,TODAY(),Holidays)-1))</f>
        <v/>
      </c>
      <c r="X430" s="18"/>
      <c r="Y430" s="18"/>
      <c r="Z430" s="17">
        <f>IF($N430="","",COUNT($N430:$S430))</f>
        <v/>
      </c>
      <c r="AA430" s="19">
        <f>IF($Z430="","",INT(INDEX($N430:$S430,$Z430)))</f>
        <v/>
      </c>
      <c r="AB430" s="19">
        <f>IF(OR($Z430="",$Z430=6),"",WORKDAY($AA430,CHOOSE($Z430,3,3,2,2,3),Holidays))</f>
        <v/>
      </c>
      <c r="AC430" s="17">
        <f>IF(OR($Z430="",$Z430=6),"",CHOOSE($Z430,"1st Email Follow-up","2nd Email Follow-up","Escalate Local Office","Escalate to CBE","Escalate to Roxanne"))</f>
        <v/>
      </c>
    </row>
    <row r="431" spans="13:29">
      <c r="M431" s="14"/>
      <c r="T431" s="16"/>
      <c r="U431" s="17">
        <f>IF(AND(COUNTA($A431:$L431)=0,$N431=""),"",IF($T431="Paid","PAID",IF($T431="Closed","CLOSED",IF($Z431="","",IF($Z431=6,"ESCALATED TO ROXANNE",IF(TODAY()&gt;$AB431,"OVERDUE",IF($AB431&lt;=WORKDAY(TODAY(),1,Holidays),"DUE TOMORROW",IF($Z431=4,"ESCALATED TO LOCAL OFFICE",IF($Z431=5,"ESCALATED TO CBE",IF($AA431=TODAY(),"EMAIL SENT","MONITORING"))))))))))</f>
        <v/>
      </c>
      <c r="V431" s="17">
        <f>IF($U431="",IF(AND(COUNTA($A431:$L431)&gt;0,$N431=""),"Awaiting Collection Email time stamp.",""),IF(OR($U431="PAID",$U431="CLOSED"),IF($U431="PAID","Account paid. Action completed.","Account closed. No further action required."),CHOOSE($Z431,"Collection Email","1st Email Follow-up","2nd Email Follow-up","Escalation to Local Office","Escalation to CBE","Escalation to Roxanne")&amp;" sent "&amp;TEXT($AA431,"dd-mmm")&amp;". "&amp;IF($Z431=6,"Final escalation completed.",IF($U431="OVERDUE","Next: "&amp;$AC431&amp;" was due "&amp;TEXT($AB431,"dd-mmm")&amp;" - "&amp;(NETWORKDAYS($AB431,TODAY(),Holidays)-1)&amp;" business day(s) late. Send now.",IF($U431="DUE TOMORROW","Next: "&amp;$AC431&amp;IF($AB431&lt;=TODAY()," is due TODAY ("," is due next business day (")&amp;TEXT($AB431,"dd-mmm")&amp;").","Next: "&amp;$AC431&amp;" due "&amp;TEXT($AB431,"dd-mmm")&amp;" ("&amp;(NETWORKDAYS(TODAY(),$AB431,Holidays)-1)&amp;" business day(s) left).")))))</f>
        <v/>
      </c>
      <c r="W431" s="17">
        <f>IF($Z431="","",CHOOSE($Z431,"Collection Email","1st Follow-up","2nd Follow-up","Local Office","CBE","Roxanne")&amp;IF($Z431=6," - Final"," - Day "&amp;MAX(0,NETWORKDAYS($AA431,TODAY(),Holidays)-1)&amp;" of "&amp;CHOOSE($Z431,3,3,2,2,3))&amp;" | Total Day "&amp;MAX(0,NETWORKDAYS($N431,TODAY(),Holidays)-1))</f>
        <v/>
      </c>
      <c r="X431" s="18"/>
      <c r="Y431" s="18"/>
      <c r="Z431" s="17">
        <f>IF($N431="","",COUNT($N431:$S431))</f>
        <v/>
      </c>
      <c r="AA431" s="19">
        <f>IF($Z431="","",INT(INDEX($N431:$S431,$Z431)))</f>
        <v/>
      </c>
      <c r="AB431" s="19">
        <f>IF(OR($Z431="",$Z431=6),"",WORKDAY($AA431,CHOOSE($Z431,3,3,2,2,3),Holidays))</f>
        <v/>
      </c>
      <c r="AC431" s="17">
        <f>IF(OR($Z431="",$Z431=6),"",CHOOSE($Z431,"1st Email Follow-up","2nd Email Follow-up","Escalate Local Office","Escalate to CBE","Escalate to Roxanne"))</f>
        <v/>
      </c>
    </row>
    <row r="432" spans="13:29">
      <c r="M432" s="14"/>
      <c r="T432" s="16"/>
      <c r="U432" s="17">
        <f>IF(AND(COUNTA($A432:$L432)=0,$N432=""),"",IF($T432="Paid","PAID",IF($T432="Closed","CLOSED",IF($Z432="","",IF($Z432=6,"ESCALATED TO ROXANNE",IF(TODAY()&gt;$AB432,"OVERDUE",IF($AB432&lt;=WORKDAY(TODAY(),1,Holidays),"DUE TOMORROW",IF($Z432=4,"ESCALATED TO LOCAL OFFICE",IF($Z432=5,"ESCALATED TO CBE",IF($AA432=TODAY(),"EMAIL SENT","MONITORING"))))))))))</f>
        <v/>
      </c>
      <c r="V432" s="17">
        <f>IF($U432="",IF(AND(COUNTA($A432:$L432)&gt;0,$N432=""),"Awaiting Collection Email time stamp.",""),IF(OR($U432="PAID",$U432="CLOSED"),IF($U432="PAID","Account paid. Action completed.","Account closed. No further action required."),CHOOSE($Z432,"Collection Email","1st Email Follow-up","2nd Email Follow-up","Escalation to Local Office","Escalation to CBE","Escalation to Roxanne")&amp;" sent "&amp;TEXT($AA432,"dd-mmm")&amp;". "&amp;IF($Z432=6,"Final escalation completed.",IF($U432="OVERDUE","Next: "&amp;$AC432&amp;" was due "&amp;TEXT($AB432,"dd-mmm")&amp;" - "&amp;(NETWORKDAYS($AB432,TODAY(),Holidays)-1)&amp;" business day(s) late. Send now.",IF($U432="DUE TOMORROW","Next: "&amp;$AC432&amp;IF($AB432&lt;=TODAY()," is due TODAY ("," is due next business day (")&amp;TEXT($AB432,"dd-mmm")&amp;").","Next: "&amp;$AC432&amp;" due "&amp;TEXT($AB432,"dd-mmm")&amp;" ("&amp;(NETWORKDAYS(TODAY(),$AB432,Holidays)-1)&amp;" business day(s) left).")))))</f>
        <v/>
      </c>
      <c r="W432" s="17">
        <f>IF($Z432="","",CHOOSE($Z432,"Collection Email","1st Follow-up","2nd Follow-up","Local Office","CBE","Roxanne")&amp;IF($Z432=6," - Final"," - Day "&amp;MAX(0,NETWORKDAYS($AA432,TODAY(),Holidays)-1)&amp;" of "&amp;CHOOSE($Z432,3,3,2,2,3))&amp;" | Total Day "&amp;MAX(0,NETWORKDAYS($N432,TODAY(),Holidays)-1))</f>
        <v/>
      </c>
      <c r="X432" s="18"/>
      <c r="Y432" s="18"/>
      <c r="Z432" s="17">
        <f>IF($N432="","",COUNT($N432:$S432))</f>
        <v/>
      </c>
      <c r="AA432" s="19">
        <f>IF($Z432="","",INT(INDEX($N432:$S432,$Z432)))</f>
        <v/>
      </c>
      <c r="AB432" s="19">
        <f>IF(OR($Z432="",$Z432=6),"",WORKDAY($AA432,CHOOSE($Z432,3,3,2,2,3),Holidays))</f>
        <v/>
      </c>
      <c r="AC432" s="17">
        <f>IF(OR($Z432="",$Z432=6),"",CHOOSE($Z432,"1st Email Follow-up","2nd Email Follow-up","Escalate Local Office","Escalate to CBE","Escalate to Roxanne"))</f>
        <v/>
      </c>
    </row>
    <row r="433" spans="13:29">
      <c r="M433" s="14"/>
      <c r="T433" s="16"/>
      <c r="U433" s="17">
        <f>IF(AND(COUNTA($A433:$L433)=0,$N433=""),"",IF($T433="Paid","PAID",IF($T433="Closed","CLOSED",IF($Z433="","",IF($Z433=6,"ESCALATED TO ROXANNE",IF(TODAY()&gt;$AB433,"OVERDUE",IF($AB433&lt;=WORKDAY(TODAY(),1,Holidays),"DUE TOMORROW",IF($Z433=4,"ESCALATED TO LOCAL OFFICE",IF($Z433=5,"ESCALATED TO CBE",IF($AA433=TODAY(),"EMAIL SENT","MONITORING"))))))))))</f>
        <v/>
      </c>
      <c r="V433" s="17">
        <f>IF($U433="",IF(AND(COUNTA($A433:$L433)&gt;0,$N433=""),"Awaiting Collection Email time stamp.",""),IF(OR($U433="PAID",$U433="CLOSED"),IF($U433="PAID","Account paid. Action completed.","Account closed. No further action required."),CHOOSE($Z433,"Collection Email","1st Email Follow-up","2nd Email Follow-up","Escalation to Local Office","Escalation to CBE","Escalation to Roxanne")&amp;" sent "&amp;TEXT($AA433,"dd-mmm")&amp;". "&amp;IF($Z433=6,"Final escalation completed.",IF($U433="OVERDUE","Next: "&amp;$AC433&amp;" was due "&amp;TEXT($AB433,"dd-mmm")&amp;" - "&amp;(NETWORKDAYS($AB433,TODAY(),Holidays)-1)&amp;" business day(s) late. Send now.",IF($U433="DUE TOMORROW","Next: "&amp;$AC433&amp;IF($AB433&lt;=TODAY()," is due TODAY ("," is due next business day (")&amp;TEXT($AB433,"dd-mmm")&amp;").","Next: "&amp;$AC433&amp;" due "&amp;TEXT($AB433,"dd-mmm")&amp;" ("&amp;(NETWORKDAYS(TODAY(),$AB433,Holidays)-1)&amp;" business day(s) left).")))))</f>
        <v/>
      </c>
      <c r="W433" s="17">
        <f>IF($Z433="","",CHOOSE($Z433,"Collection Email","1st Follow-up","2nd Follow-up","Local Office","CBE","Roxanne")&amp;IF($Z433=6," - Final"," - Day "&amp;MAX(0,NETWORKDAYS($AA433,TODAY(),Holidays)-1)&amp;" of "&amp;CHOOSE($Z433,3,3,2,2,3))&amp;" | Total Day "&amp;MAX(0,NETWORKDAYS($N433,TODAY(),Holidays)-1))</f>
        <v/>
      </c>
      <c r="X433" s="18"/>
      <c r="Y433" s="18"/>
      <c r="Z433" s="17">
        <f>IF($N433="","",COUNT($N433:$S433))</f>
        <v/>
      </c>
      <c r="AA433" s="19">
        <f>IF($Z433="","",INT(INDEX($N433:$S433,$Z433)))</f>
        <v/>
      </c>
      <c r="AB433" s="19">
        <f>IF(OR($Z433="",$Z433=6),"",WORKDAY($AA433,CHOOSE($Z433,3,3,2,2,3),Holidays))</f>
        <v/>
      </c>
      <c r="AC433" s="17">
        <f>IF(OR($Z433="",$Z433=6),"",CHOOSE($Z433,"1st Email Follow-up","2nd Email Follow-up","Escalate Local Office","Escalate to CBE","Escalate to Roxanne"))</f>
        <v/>
      </c>
    </row>
    <row r="434" spans="13:29">
      <c r="M434" s="14"/>
      <c r="T434" s="16"/>
      <c r="U434" s="17">
        <f>IF(AND(COUNTA($A434:$L434)=0,$N434=""),"",IF($T434="Paid","PAID",IF($T434="Closed","CLOSED",IF($Z434="","",IF($Z434=6,"ESCALATED TO ROXANNE",IF(TODAY()&gt;$AB434,"OVERDUE",IF($AB434&lt;=WORKDAY(TODAY(),1,Holidays),"DUE TOMORROW",IF($Z434=4,"ESCALATED TO LOCAL OFFICE",IF($Z434=5,"ESCALATED TO CBE",IF($AA434=TODAY(),"EMAIL SENT","MONITORING"))))))))))</f>
        <v/>
      </c>
      <c r="V434" s="17">
        <f>IF($U434="",IF(AND(COUNTA($A434:$L434)&gt;0,$N434=""),"Awaiting Collection Email time stamp.",""),IF(OR($U434="PAID",$U434="CLOSED"),IF($U434="PAID","Account paid. Action completed.","Account closed. No further action required."),CHOOSE($Z434,"Collection Email","1st Email Follow-up","2nd Email Follow-up","Escalation to Local Office","Escalation to CBE","Escalation to Roxanne")&amp;" sent "&amp;TEXT($AA434,"dd-mmm")&amp;". "&amp;IF($Z434=6,"Final escalation completed.",IF($U434="OVERDUE","Next: "&amp;$AC434&amp;" was due "&amp;TEXT($AB434,"dd-mmm")&amp;" - "&amp;(NETWORKDAYS($AB434,TODAY(),Holidays)-1)&amp;" business day(s) late. Send now.",IF($U434="DUE TOMORROW","Next: "&amp;$AC434&amp;IF($AB434&lt;=TODAY()," is due TODAY ("," is due next business day (")&amp;TEXT($AB434,"dd-mmm")&amp;").","Next: "&amp;$AC434&amp;" due "&amp;TEXT($AB434,"dd-mmm")&amp;" ("&amp;(NETWORKDAYS(TODAY(),$AB434,Holidays)-1)&amp;" business day(s) left).")))))</f>
        <v/>
      </c>
      <c r="W434" s="17">
        <f>IF($Z434="","",CHOOSE($Z434,"Collection Email","1st Follow-up","2nd Follow-up","Local Office","CBE","Roxanne")&amp;IF($Z434=6," - Final"," - Day "&amp;MAX(0,NETWORKDAYS($AA434,TODAY(),Holidays)-1)&amp;" of "&amp;CHOOSE($Z434,3,3,2,2,3))&amp;" | Total Day "&amp;MAX(0,NETWORKDAYS($N434,TODAY(),Holidays)-1))</f>
        <v/>
      </c>
      <c r="X434" s="18"/>
      <c r="Y434" s="18"/>
      <c r="Z434" s="17">
        <f>IF($N434="","",COUNT($N434:$S434))</f>
        <v/>
      </c>
      <c r="AA434" s="19">
        <f>IF($Z434="","",INT(INDEX($N434:$S434,$Z434)))</f>
        <v/>
      </c>
      <c r="AB434" s="19">
        <f>IF(OR($Z434="",$Z434=6),"",WORKDAY($AA434,CHOOSE($Z434,3,3,2,2,3),Holidays))</f>
        <v/>
      </c>
      <c r="AC434" s="17">
        <f>IF(OR($Z434="",$Z434=6),"",CHOOSE($Z434,"1st Email Follow-up","2nd Email Follow-up","Escalate Local Office","Escalate to CBE","Escalate to Roxanne"))</f>
        <v/>
      </c>
    </row>
    <row r="435" spans="13:29">
      <c r="M435" s="14"/>
      <c r="T435" s="16"/>
      <c r="U435" s="17">
        <f>IF(AND(COUNTA($A435:$L435)=0,$N435=""),"",IF($T435="Paid","PAID",IF($T435="Closed","CLOSED",IF($Z435="","",IF($Z435=6,"ESCALATED TO ROXANNE",IF(TODAY()&gt;$AB435,"OVERDUE",IF($AB435&lt;=WORKDAY(TODAY(),1,Holidays),"DUE TOMORROW",IF($Z435=4,"ESCALATED TO LOCAL OFFICE",IF($Z435=5,"ESCALATED TO CBE",IF($AA435=TODAY(),"EMAIL SENT","MONITORING"))))))))))</f>
        <v/>
      </c>
      <c r="V435" s="17">
        <f>IF($U435="",IF(AND(COUNTA($A435:$L435)&gt;0,$N435=""),"Awaiting Collection Email time stamp.",""),IF(OR($U435="PAID",$U435="CLOSED"),IF($U435="PAID","Account paid. Action completed.","Account closed. No further action required."),CHOOSE($Z435,"Collection Email","1st Email Follow-up","2nd Email Follow-up","Escalation to Local Office","Escalation to CBE","Escalation to Roxanne")&amp;" sent "&amp;TEXT($AA435,"dd-mmm")&amp;". "&amp;IF($Z435=6,"Final escalation completed.",IF($U435="OVERDUE","Next: "&amp;$AC435&amp;" was due "&amp;TEXT($AB435,"dd-mmm")&amp;" - "&amp;(NETWORKDAYS($AB435,TODAY(),Holidays)-1)&amp;" business day(s) late. Send now.",IF($U435="DUE TOMORROW","Next: "&amp;$AC435&amp;IF($AB435&lt;=TODAY()," is due TODAY ("," is due next business day (")&amp;TEXT($AB435,"dd-mmm")&amp;").","Next: "&amp;$AC435&amp;" due "&amp;TEXT($AB435,"dd-mmm")&amp;" ("&amp;(NETWORKDAYS(TODAY(),$AB435,Holidays)-1)&amp;" business day(s) left).")))))</f>
        <v/>
      </c>
      <c r="W435" s="17">
        <f>IF($Z435="","",CHOOSE($Z435,"Collection Email","1st Follow-up","2nd Follow-up","Local Office","CBE","Roxanne")&amp;IF($Z435=6," - Final"," - Day "&amp;MAX(0,NETWORKDAYS($AA435,TODAY(),Holidays)-1)&amp;" of "&amp;CHOOSE($Z435,3,3,2,2,3))&amp;" | Total Day "&amp;MAX(0,NETWORKDAYS($N435,TODAY(),Holidays)-1))</f>
        <v/>
      </c>
      <c r="X435" s="18"/>
      <c r="Y435" s="18"/>
      <c r="Z435" s="17">
        <f>IF($N435="","",COUNT($N435:$S435))</f>
        <v/>
      </c>
      <c r="AA435" s="19">
        <f>IF($Z435="","",INT(INDEX($N435:$S435,$Z435)))</f>
        <v/>
      </c>
      <c r="AB435" s="19">
        <f>IF(OR($Z435="",$Z435=6),"",WORKDAY($AA435,CHOOSE($Z435,3,3,2,2,3),Holidays))</f>
        <v/>
      </c>
      <c r="AC435" s="17">
        <f>IF(OR($Z435="",$Z435=6),"",CHOOSE($Z435,"1st Email Follow-up","2nd Email Follow-up","Escalate Local Office","Escalate to CBE","Escalate to Roxanne"))</f>
        <v/>
      </c>
    </row>
    <row r="436" spans="13:29">
      <c r="M436" s="14"/>
      <c r="T436" s="16"/>
      <c r="U436" s="17">
        <f>IF(AND(COUNTA($A436:$L436)=0,$N436=""),"",IF($T436="Paid","PAID",IF($T436="Closed","CLOSED",IF($Z436="","",IF($Z436=6,"ESCALATED TO ROXANNE",IF(TODAY()&gt;$AB436,"OVERDUE",IF($AB436&lt;=WORKDAY(TODAY(),1,Holidays),"DUE TOMORROW",IF($Z436=4,"ESCALATED TO LOCAL OFFICE",IF($Z436=5,"ESCALATED TO CBE",IF($AA436=TODAY(),"EMAIL SENT","MONITORING"))))))))))</f>
        <v/>
      </c>
      <c r="V436" s="17">
        <f>IF($U436="",IF(AND(COUNTA($A436:$L436)&gt;0,$N436=""),"Awaiting Collection Email time stamp.",""),IF(OR($U436="PAID",$U436="CLOSED"),IF($U436="PAID","Account paid. Action completed.","Account closed. No further action required."),CHOOSE($Z436,"Collection Email","1st Email Follow-up","2nd Email Follow-up","Escalation to Local Office","Escalation to CBE","Escalation to Roxanne")&amp;" sent "&amp;TEXT($AA436,"dd-mmm")&amp;". "&amp;IF($Z436=6,"Final escalation completed.",IF($U436="OVERDUE","Next: "&amp;$AC436&amp;" was due "&amp;TEXT($AB436,"dd-mmm")&amp;" - "&amp;(NETWORKDAYS($AB436,TODAY(),Holidays)-1)&amp;" business day(s) late. Send now.",IF($U436="DUE TOMORROW","Next: "&amp;$AC436&amp;IF($AB436&lt;=TODAY()," is due TODAY ("," is due next business day (")&amp;TEXT($AB436,"dd-mmm")&amp;").","Next: "&amp;$AC436&amp;" due "&amp;TEXT($AB436,"dd-mmm")&amp;" ("&amp;(NETWORKDAYS(TODAY(),$AB436,Holidays)-1)&amp;" business day(s) left).")))))</f>
        <v/>
      </c>
      <c r="W436" s="17">
        <f>IF($Z436="","",CHOOSE($Z436,"Collection Email","1st Follow-up","2nd Follow-up","Local Office","CBE","Roxanne")&amp;IF($Z436=6," - Final"," - Day "&amp;MAX(0,NETWORKDAYS($AA436,TODAY(),Holidays)-1)&amp;" of "&amp;CHOOSE($Z436,3,3,2,2,3))&amp;" | Total Day "&amp;MAX(0,NETWORKDAYS($N436,TODAY(),Holidays)-1))</f>
        <v/>
      </c>
      <c r="X436" s="18"/>
      <c r="Y436" s="18"/>
      <c r="Z436" s="17">
        <f>IF($N436="","",COUNT($N436:$S436))</f>
        <v/>
      </c>
      <c r="AA436" s="19">
        <f>IF($Z436="","",INT(INDEX($N436:$S436,$Z436)))</f>
        <v/>
      </c>
      <c r="AB436" s="19">
        <f>IF(OR($Z436="",$Z436=6),"",WORKDAY($AA436,CHOOSE($Z436,3,3,2,2,3),Holidays))</f>
        <v/>
      </c>
      <c r="AC436" s="17">
        <f>IF(OR($Z436="",$Z436=6),"",CHOOSE($Z436,"1st Email Follow-up","2nd Email Follow-up","Escalate Local Office","Escalate to CBE","Escalate to Roxanne"))</f>
        <v/>
      </c>
    </row>
    <row r="437" spans="13:29">
      <c r="M437" s="14"/>
      <c r="T437" s="16"/>
      <c r="U437" s="17">
        <f>IF(AND(COUNTA($A437:$L437)=0,$N437=""),"",IF($T437="Paid","PAID",IF($T437="Closed","CLOSED",IF($Z437="","",IF($Z437=6,"ESCALATED TO ROXANNE",IF(TODAY()&gt;$AB437,"OVERDUE",IF($AB437&lt;=WORKDAY(TODAY(),1,Holidays),"DUE TOMORROW",IF($Z437=4,"ESCALATED TO LOCAL OFFICE",IF($Z437=5,"ESCALATED TO CBE",IF($AA437=TODAY(),"EMAIL SENT","MONITORING"))))))))))</f>
        <v/>
      </c>
      <c r="V437" s="17">
        <f>IF($U437="",IF(AND(COUNTA($A437:$L437)&gt;0,$N437=""),"Awaiting Collection Email time stamp.",""),IF(OR($U437="PAID",$U437="CLOSED"),IF($U437="PAID","Account paid. Action completed.","Account closed. No further action required."),CHOOSE($Z437,"Collection Email","1st Email Follow-up","2nd Email Follow-up","Escalation to Local Office","Escalation to CBE","Escalation to Roxanne")&amp;" sent "&amp;TEXT($AA437,"dd-mmm")&amp;". "&amp;IF($Z437=6,"Final escalation completed.",IF($U437="OVERDUE","Next: "&amp;$AC437&amp;" was due "&amp;TEXT($AB437,"dd-mmm")&amp;" - "&amp;(NETWORKDAYS($AB437,TODAY(),Holidays)-1)&amp;" business day(s) late. Send now.",IF($U437="DUE TOMORROW","Next: "&amp;$AC437&amp;IF($AB437&lt;=TODAY()," is due TODAY ("," is due next business day (")&amp;TEXT($AB437,"dd-mmm")&amp;").","Next: "&amp;$AC437&amp;" due "&amp;TEXT($AB437,"dd-mmm")&amp;" ("&amp;(NETWORKDAYS(TODAY(),$AB437,Holidays)-1)&amp;" business day(s) left).")))))</f>
        <v/>
      </c>
      <c r="W437" s="17">
        <f>IF($Z437="","",CHOOSE($Z437,"Collection Email","1st Follow-up","2nd Follow-up","Local Office","CBE","Roxanne")&amp;IF($Z437=6," - Final"," - Day "&amp;MAX(0,NETWORKDAYS($AA437,TODAY(),Holidays)-1)&amp;" of "&amp;CHOOSE($Z437,3,3,2,2,3))&amp;" | Total Day "&amp;MAX(0,NETWORKDAYS($N437,TODAY(),Holidays)-1))</f>
        <v/>
      </c>
      <c r="X437" s="18"/>
      <c r="Y437" s="18"/>
      <c r="Z437" s="17">
        <f>IF($N437="","",COUNT($N437:$S437))</f>
        <v/>
      </c>
      <c r="AA437" s="19">
        <f>IF($Z437="","",INT(INDEX($N437:$S437,$Z437)))</f>
        <v/>
      </c>
      <c r="AB437" s="19">
        <f>IF(OR($Z437="",$Z437=6),"",WORKDAY($AA437,CHOOSE($Z437,3,3,2,2,3),Holidays))</f>
        <v/>
      </c>
      <c r="AC437" s="17">
        <f>IF(OR($Z437="",$Z437=6),"",CHOOSE($Z437,"1st Email Follow-up","2nd Email Follow-up","Escalate Local Office","Escalate to CBE","Escalate to Roxanne"))</f>
        <v/>
      </c>
    </row>
    <row r="438" spans="13:29">
      <c r="M438" s="14"/>
      <c r="T438" s="16"/>
      <c r="U438" s="17">
        <f>IF(AND(COUNTA($A438:$L438)=0,$N438=""),"",IF($T438="Paid","PAID",IF($T438="Closed","CLOSED",IF($Z438="","",IF($Z438=6,"ESCALATED TO ROXANNE",IF(TODAY()&gt;$AB438,"OVERDUE",IF($AB438&lt;=WORKDAY(TODAY(),1,Holidays),"DUE TOMORROW",IF($Z438=4,"ESCALATED TO LOCAL OFFICE",IF($Z438=5,"ESCALATED TO CBE",IF($AA438=TODAY(),"EMAIL SENT","MONITORING"))))))))))</f>
        <v/>
      </c>
      <c r="V438" s="17">
        <f>IF($U438="",IF(AND(COUNTA($A438:$L438)&gt;0,$N438=""),"Awaiting Collection Email time stamp.",""),IF(OR($U438="PAID",$U438="CLOSED"),IF($U438="PAID","Account paid. Action completed.","Account closed. No further action required."),CHOOSE($Z438,"Collection Email","1st Email Follow-up","2nd Email Follow-up","Escalation to Local Office","Escalation to CBE","Escalation to Roxanne")&amp;" sent "&amp;TEXT($AA438,"dd-mmm")&amp;". "&amp;IF($Z438=6,"Final escalation completed.",IF($U438="OVERDUE","Next: "&amp;$AC438&amp;" was due "&amp;TEXT($AB438,"dd-mmm")&amp;" - "&amp;(NETWORKDAYS($AB438,TODAY(),Holidays)-1)&amp;" business day(s) late. Send now.",IF($U438="DUE TOMORROW","Next: "&amp;$AC438&amp;IF($AB438&lt;=TODAY()," is due TODAY ("," is due next business day (")&amp;TEXT($AB438,"dd-mmm")&amp;").","Next: "&amp;$AC438&amp;" due "&amp;TEXT($AB438,"dd-mmm")&amp;" ("&amp;(NETWORKDAYS(TODAY(),$AB438,Holidays)-1)&amp;" business day(s) left).")))))</f>
        <v/>
      </c>
      <c r="W438" s="17">
        <f>IF($Z438="","",CHOOSE($Z438,"Collection Email","1st Follow-up","2nd Follow-up","Local Office","CBE","Roxanne")&amp;IF($Z438=6," - Final"," - Day "&amp;MAX(0,NETWORKDAYS($AA438,TODAY(),Holidays)-1)&amp;" of "&amp;CHOOSE($Z438,3,3,2,2,3))&amp;" | Total Day "&amp;MAX(0,NETWORKDAYS($N438,TODAY(),Holidays)-1))</f>
        <v/>
      </c>
      <c r="X438" s="18"/>
      <c r="Y438" s="18"/>
      <c r="Z438" s="17">
        <f>IF($N438="","",COUNT($N438:$S438))</f>
        <v/>
      </c>
      <c r="AA438" s="19">
        <f>IF($Z438="","",INT(INDEX($N438:$S438,$Z438)))</f>
        <v/>
      </c>
      <c r="AB438" s="19">
        <f>IF(OR($Z438="",$Z438=6),"",WORKDAY($AA438,CHOOSE($Z438,3,3,2,2,3),Holidays))</f>
        <v/>
      </c>
      <c r="AC438" s="17">
        <f>IF(OR($Z438="",$Z438=6),"",CHOOSE($Z438,"1st Email Follow-up","2nd Email Follow-up","Escalate Local Office","Escalate to CBE","Escalate to Roxanne"))</f>
        <v/>
      </c>
    </row>
    <row r="439" spans="13:29">
      <c r="M439" s="14"/>
      <c r="T439" s="16"/>
      <c r="U439" s="17">
        <f>IF(AND(COUNTA($A439:$L439)=0,$N439=""),"",IF($T439="Paid","PAID",IF($T439="Closed","CLOSED",IF($Z439="","",IF($Z439=6,"ESCALATED TO ROXANNE",IF(TODAY()&gt;$AB439,"OVERDUE",IF($AB439&lt;=WORKDAY(TODAY(),1,Holidays),"DUE TOMORROW",IF($Z439=4,"ESCALATED TO LOCAL OFFICE",IF($Z439=5,"ESCALATED TO CBE",IF($AA439=TODAY(),"EMAIL SENT","MONITORING"))))))))))</f>
        <v/>
      </c>
      <c r="V439" s="17">
        <f>IF($U439="",IF(AND(COUNTA($A439:$L439)&gt;0,$N439=""),"Awaiting Collection Email time stamp.",""),IF(OR($U439="PAID",$U439="CLOSED"),IF($U439="PAID","Account paid. Action completed.","Account closed. No further action required."),CHOOSE($Z439,"Collection Email","1st Email Follow-up","2nd Email Follow-up","Escalation to Local Office","Escalation to CBE","Escalation to Roxanne")&amp;" sent "&amp;TEXT($AA439,"dd-mmm")&amp;". "&amp;IF($Z439=6,"Final escalation completed.",IF($U439="OVERDUE","Next: "&amp;$AC439&amp;" was due "&amp;TEXT($AB439,"dd-mmm")&amp;" - "&amp;(NETWORKDAYS($AB439,TODAY(),Holidays)-1)&amp;" business day(s) late. Send now.",IF($U439="DUE TOMORROW","Next: "&amp;$AC439&amp;IF($AB439&lt;=TODAY()," is due TODAY ("," is due next business day (")&amp;TEXT($AB439,"dd-mmm")&amp;").","Next: "&amp;$AC439&amp;" due "&amp;TEXT($AB439,"dd-mmm")&amp;" ("&amp;(NETWORKDAYS(TODAY(),$AB439,Holidays)-1)&amp;" business day(s) left).")))))</f>
        <v/>
      </c>
      <c r="W439" s="17">
        <f>IF($Z439="","",CHOOSE($Z439,"Collection Email","1st Follow-up","2nd Follow-up","Local Office","CBE","Roxanne")&amp;IF($Z439=6," - Final"," - Day "&amp;MAX(0,NETWORKDAYS($AA439,TODAY(),Holidays)-1)&amp;" of "&amp;CHOOSE($Z439,3,3,2,2,3))&amp;" | Total Day "&amp;MAX(0,NETWORKDAYS($N439,TODAY(),Holidays)-1))</f>
        <v/>
      </c>
      <c r="X439" s="18"/>
      <c r="Y439" s="18"/>
      <c r="Z439" s="17">
        <f>IF($N439="","",COUNT($N439:$S439))</f>
        <v/>
      </c>
      <c r="AA439" s="19">
        <f>IF($Z439="","",INT(INDEX($N439:$S439,$Z439)))</f>
        <v/>
      </c>
      <c r="AB439" s="19">
        <f>IF(OR($Z439="",$Z439=6),"",WORKDAY($AA439,CHOOSE($Z439,3,3,2,2,3),Holidays))</f>
        <v/>
      </c>
      <c r="AC439" s="17">
        <f>IF(OR($Z439="",$Z439=6),"",CHOOSE($Z439,"1st Email Follow-up","2nd Email Follow-up","Escalate Local Office","Escalate to CBE","Escalate to Roxanne"))</f>
        <v/>
      </c>
    </row>
    <row r="440" spans="13:29">
      <c r="M440" s="14"/>
      <c r="T440" s="16"/>
      <c r="U440" s="17">
        <f>IF(AND(COUNTA($A440:$L440)=0,$N440=""),"",IF($T440="Paid","PAID",IF($T440="Closed","CLOSED",IF($Z440="","",IF($Z440=6,"ESCALATED TO ROXANNE",IF(TODAY()&gt;$AB440,"OVERDUE",IF($AB440&lt;=WORKDAY(TODAY(),1,Holidays),"DUE TOMORROW",IF($Z440=4,"ESCALATED TO LOCAL OFFICE",IF($Z440=5,"ESCALATED TO CBE",IF($AA440=TODAY(),"EMAIL SENT","MONITORING"))))))))))</f>
        <v/>
      </c>
      <c r="V440" s="17">
        <f>IF($U440="",IF(AND(COUNTA($A440:$L440)&gt;0,$N440=""),"Awaiting Collection Email time stamp.",""),IF(OR($U440="PAID",$U440="CLOSED"),IF($U440="PAID","Account paid. Action completed.","Account closed. No further action required."),CHOOSE($Z440,"Collection Email","1st Email Follow-up","2nd Email Follow-up","Escalation to Local Office","Escalation to CBE","Escalation to Roxanne")&amp;" sent "&amp;TEXT($AA440,"dd-mmm")&amp;". "&amp;IF($Z440=6,"Final escalation completed.",IF($U440="OVERDUE","Next: "&amp;$AC440&amp;" was due "&amp;TEXT($AB440,"dd-mmm")&amp;" - "&amp;(NETWORKDAYS($AB440,TODAY(),Holidays)-1)&amp;" business day(s) late. Send now.",IF($U440="DUE TOMORROW","Next: "&amp;$AC440&amp;IF($AB440&lt;=TODAY()," is due TODAY ("," is due next business day (")&amp;TEXT($AB440,"dd-mmm")&amp;").","Next: "&amp;$AC440&amp;" due "&amp;TEXT($AB440,"dd-mmm")&amp;" ("&amp;(NETWORKDAYS(TODAY(),$AB440,Holidays)-1)&amp;" business day(s) left).")))))</f>
        <v/>
      </c>
      <c r="W440" s="17">
        <f>IF($Z440="","",CHOOSE($Z440,"Collection Email","1st Follow-up","2nd Follow-up","Local Office","CBE","Roxanne")&amp;IF($Z440=6," - Final"," - Day "&amp;MAX(0,NETWORKDAYS($AA440,TODAY(),Holidays)-1)&amp;" of "&amp;CHOOSE($Z440,3,3,2,2,3))&amp;" | Total Day "&amp;MAX(0,NETWORKDAYS($N440,TODAY(),Holidays)-1))</f>
        <v/>
      </c>
      <c r="X440" s="18"/>
      <c r="Y440" s="18"/>
      <c r="Z440" s="17">
        <f>IF($N440="","",COUNT($N440:$S440))</f>
        <v/>
      </c>
      <c r="AA440" s="19">
        <f>IF($Z440="","",INT(INDEX($N440:$S440,$Z440)))</f>
        <v/>
      </c>
      <c r="AB440" s="19">
        <f>IF(OR($Z440="",$Z440=6),"",WORKDAY($AA440,CHOOSE($Z440,3,3,2,2,3),Holidays))</f>
        <v/>
      </c>
      <c r="AC440" s="17">
        <f>IF(OR($Z440="",$Z440=6),"",CHOOSE($Z440,"1st Email Follow-up","2nd Email Follow-up","Escalate Local Office","Escalate to CBE","Escalate to Roxanne"))</f>
        <v/>
      </c>
    </row>
    <row r="441" spans="13:29">
      <c r="M441" s="14"/>
      <c r="T441" s="16"/>
      <c r="U441" s="17">
        <f>IF(AND(COUNTA($A441:$L441)=0,$N441=""),"",IF($T441="Paid","PAID",IF($T441="Closed","CLOSED",IF($Z441="","",IF($Z441=6,"ESCALATED TO ROXANNE",IF(TODAY()&gt;$AB441,"OVERDUE",IF($AB441&lt;=WORKDAY(TODAY(),1,Holidays),"DUE TOMORROW",IF($Z441=4,"ESCALATED TO LOCAL OFFICE",IF($Z441=5,"ESCALATED TO CBE",IF($AA441=TODAY(),"EMAIL SENT","MONITORING"))))))))))</f>
        <v/>
      </c>
      <c r="V441" s="17">
        <f>IF($U441="",IF(AND(COUNTA($A441:$L441)&gt;0,$N441=""),"Awaiting Collection Email time stamp.",""),IF(OR($U441="PAID",$U441="CLOSED"),IF($U441="PAID","Account paid. Action completed.","Account closed. No further action required."),CHOOSE($Z441,"Collection Email","1st Email Follow-up","2nd Email Follow-up","Escalation to Local Office","Escalation to CBE","Escalation to Roxanne")&amp;" sent "&amp;TEXT($AA441,"dd-mmm")&amp;". "&amp;IF($Z441=6,"Final escalation completed.",IF($U441="OVERDUE","Next: "&amp;$AC441&amp;" was due "&amp;TEXT($AB441,"dd-mmm")&amp;" - "&amp;(NETWORKDAYS($AB441,TODAY(),Holidays)-1)&amp;" business day(s) late. Send now.",IF($U441="DUE TOMORROW","Next: "&amp;$AC441&amp;IF($AB441&lt;=TODAY()," is due TODAY ("," is due next business day (")&amp;TEXT($AB441,"dd-mmm")&amp;").","Next: "&amp;$AC441&amp;" due "&amp;TEXT($AB441,"dd-mmm")&amp;" ("&amp;(NETWORKDAYS(TODAY(),$AB441,Holidays)-1)&amp;" business day(s) left).")))))</f>
        <v/>
      </c>
      <c r="W441" s="17">
        <f>IF($Z441="","",CHOOSE($Z441,"Collection Email","1st Follow-up","2nd Follow-up","Local Office","CBE","Roxanne")&amp;IF($Z441=6," - Final"," - Day "&amp;MAX(0,NETWORKDAYS($AA441,TODAY(),Holidays)-1)&amp;" of "&amp;CHOOSE($Z441,3,3,2,2,3))&amp;" | Total Day "&amp;MAX(0,NETWORKDAYS($N441,TODAY(),Holidays)-1))</f>
        <v/>
      </c>
      <c r="X441" s="18"/>
      <c r="Y441" s="18"/>
      <c r="Z441" s="17">
        <f>IF($N441="","",COUNT($N441:$S441))</f>
        <v/>
      </c>
      <c r="AA441" s="19">
        <f>IF($Z441="","",INT(INDEX($N441:$S441,$Z441)))</f>
        <v/>
      </c>
      <c r="AB441" s="19">
        <f>IF(OR($Z441="",$Z441=6),"",WORKDAY($AA441,CHOOSE($Z441,3,3,2,2,3),Holidays))</f>
        <v/>
      </c>
      <c r="AC441" s="17">
        <f>IF(OR($Z441="",$Z441=6),"",CHOOSE($Z441,"1st Email Follow-up","2nd Email Follow-up","Escalate Local Office","Escalate to CBE","Escalate to Roxanne"))</f>
        <v/>
      </c>
    </row>
    <row r="442" spans="13:29">
      <c r="M442" s="14"/>
      <c r="T442" s="16"/>
      <c r="U442" s="17">
        <f>IF(AND(COUNTA($A442:$L442)=0,$N442=""),"",IF($T442="Paid","PAID",IF($T442="Closed","CLOSED",IF($Z442="","",IF($Z442=6,"ESCALATED TO ROXANNE",IF(TODAY()&gt;$AB442,"OVERDUE",IF($AB442&lt;=WORKDAY(TODAY(),1,Holidays),"DUE TOMORROW",IF($Z442=4,"ESCALATED TO LOCAL OFFICE",IF($Z442=5,"ESCALATED TO CBE",IF($AA442=TODAY(),"EMAIL SENT","MONITORING"))))))))))</f>
        <v/>
      </c>
      <c r="V442" s="17">
        <f>IF($U442="",IF(AND(COUNTA($A442:$L442)&gt;0,$N442=""),"Awaiting Collection Email time stamp.",""),IF(OR($U442="PAID",$U442="CLOSED"),IF($U442="PAID","Account paid. Action completed.","Account closed. No further action required."),CHOOSE($Z442,"Collection Email","1st Email Follow-up","2nd Email Follow-up","Escalation to Local Office","Escalation to CBE","Escalation to Roxanne")&amp;" sent "&amp;TEXT($AA442,"dd-mmm")&amp;". "&amp;IF($Z442=6,"Final escalation completed.",IF($U442="OVERDUE","Next: "&amp;$AC442&amp;" was due "&amp;TEXT($AB442,"dd-mmm")&amp;" - "&amp;(NETWORKDAYS($AB442,TODAY(),Holidays)-1)&amp;" business day(s) late. Send now.",IF($U442="DUE TOMORROW","Next: "&amp;$AC442&amp;IF($AB442&lt;=TODAY()," is due TODAY ("," is due next business day (")&amp;TEXT($AB442,"dd-mmm")&amp;").","Next: "&amp;$AC442&amp;" due "&amp;TEXT($AB442,"dd-mmm")&amp;" ("&amp;(NETWORKDAYS(TODAY(),$AB442,Holidays)-1)&amp;" business day(s) left).")))))</f>
        <v/>
      </c>
      <c r="W442" s="17">
        <f>IF($Z442="","",CHOOSE($Z442,"Collection Email","1st Follow-up","2nd Follow-up","Local Office","CBE","Roxanne")&amp;IF($Z442=6," - Final"," - Day "&amp;MAX(0,NETWORKDAYS($AA442,TODAY(),Holidays)-1)&amp;" of "&amp;CHOOSE($Z442,3,3,2,2,3))&amp;" | Total Day "&amp;MAX(0,NETWORKDAYS($N442,TODAY(),Holidays)-1))</f>
        <v/>
      </c>
      <c r="X442" s="18"/>
      <c r="Y442" s="18"/>
      <c r="Z442" s="17">
        <f>IF($N442="","",COUNT($N442:$S442))</f>
        <v/>
      </c>
      <c r="AA442" s="19">
        <f>IF($Z442="","",INT(INDEX($N442:$S442,$Z442)))</f>
        <v/>
      </c>
      <c r="AB442" s="19">
        <f>IF(OR($Z442="",$Z442=6),"",WORKDAY($AA442,CHOOSE($Z442,3,3,2,2,3),Holidays))</f>
        <v/>
      </c>
      <c r="AC442" s="17">
        <f>IF(OR($Z442="",$Z442=6),"",CHOOSE($Z442,"1st Email Follow-up","2nd Email Follow-up","Escalate Local Office","Escalate to CBE","Escalate to Roxanne"))</f>
        <v/>
      </c>
    </row>
    <row r="443" spans="13:29">
      <c r="M443" s="14"/>
      <c r="T443" s="16"/>
      <c r="U443" s="17">
        <f>IF(AND(COUNTA($A443:$L443)=0,$N443=""),"",IF($T443="Paid","PAID",IF($T443="Closed","CLOSED",IF($Z443="","",IF($Z443=6,"ESCALATED TO ROXANNE",IF(TODAY()&gt;$AB443,"OVERDUE",IF($AB443&lt;=WORKDAY(TODAY(),1,Holidays),"DUE TOMORROW",IF($Z443=4,"ESCALATED TO LOCAL OFFICE",IF($Z443=5,"ESCALATED TO CBE",IF($AA443=TODAY(),"EMAIL SENT","MONITORING"))))))))))</f>
        <v/>
      </c>
      <c r="V443" s="17">
        <f>IF($U443="",IF(AND(COUNTA($A443:$L443)&gt;0,$N443=""),"Awaiting Collection Email time stamp.",""),IF(OR($U443="PAID",$U443="CLOSED"),IF($U443="PAID","Account paid. Action completed.","Account closed. No further action required."),CHOOSE($Z443,"Collection Email","1st Email Follow-up","2nd Email Follow-up","Escalation to Local Office","Escalation to CBE","Escalation to Roxanne")&amp;" sent "&amp;TEXT($AA443,"dd-mmm")&amp;". "&amp;IF($Z443=6,"Final escalation completed.",IF($U443="OVERDUE","Next: "&amp;$AC443&amp;" was due "&amp;TEXT($AB443,"dd-mmm")&amp;" - "&amp;(NETWORKDAYS($AB443,TODAY(),Holidays)-1)&amp;" business day(s) late. Send now.",IF($U443="DUE TOMORROW","Next: "&amp;$AC443&amp;IF($AB443&lt;=TODAY()," is due TODAY ("," is due next business day (")&amp;TEXT($AB443,"dd-mmm")&amp;").","Next: "&amp;$AC443&amp;" due "&amp;TEXT($AB443,"dd-mmm")&amp;" ("&amp;(NETWORKDAYS(TODAY(),$AB443,Holidays)-1)&amp;" business day(s) left).")))))</f>
        <v/>
      </c>
      <c r="W443" s="17">
        <f>IF($Z443="","",CHOOSE($Z443,"Collection Email","1st Follow-up","2nd Follow-up","Local Office","CBE","Roxanne")&amp;IF($Z443=6," - Final"," - Day "&amp;MAX(0,NETWORKDAYS($AA443,TODAY(),Holidays)-1)&amp;" of "&amp;CHOOSE($Z443,3,3,2,2,3))&amp;" | Total Day "&amp;MAX(0,NETWORKDAYS($N443,TODAY(),Holidays)-1))</f>
        <v/>
      </c>
      <c r="X443" s="18"/>
      <c r="Y443" s="18"/>
      <c r="Z443" s="17">
        <f>IF($N443="","",COUNT($N443:$S443))</f>
        <v/>
      </c>
      <c r="AA443" s="19">
        <f>IF($Z443="","",INT(INDEX($N443:$S443,$Z443)))</f>
        <v/>
      </c>
      <c r="AB443" s="19">
        <f>IF(OR($Z443="",$Z443=6),"",WORKDAY($AA443,CHOOSE($Z443,3,3,2,2,3),Holidays))</f>
        <v/>
      </c>
      <c r="AC443" s="17">
        <f>IF(OR($Z443="",$Z443=6),"",CHOOSE($Z443,"1st Email Follow-up","2nd Email Follow-up","Escalate Local Office","Escalate to CBE","Escalate to Roxanne"))</f>
        <v/>
      </c>
    </row>
    <row r="444" spans="13:29">
      <c r="M444" s="14"/>
      <c r="T444" s="16"/>
      <c r="U444" s="17">
        <f>IF(AND(COUNTA($A444:$L444)=0,$N444=""),"",IF($T444="Paid","PAID",IF($T444="Closed","CLOSED",IF($Z444="","",IF($Z444=6,"ESCALATED TO ROXANNE",IF(TODAY()&gt;$AB444,"OVERDUE",IF($AB444&lt;=WORKDAY(TODAY(),1,Holidays),"DUE TOMORROW",IF($Z444=4,"ESCALATED TO LOCAL OFFICE",IF($Z444=5,"ESCALATED TO CBE",IF($AA444=TODAY(),"EMAIL SENT","MONITORING"))))))))))</f>
        <v/>
      </c>
      <c r="V444" s="17">
        <f>IF($U444="",IF(AND(COUNTA($A444:$L444)&gt;0,$N444=""),"Awaiting Collection Email time stamp.",""),IF(OR($U444="PAID",$U444="CLOSED"),IF($U444="PAID","Account paid. Action completed.","Account closed. No further action required."),CHOOSE($Z444,"Collection Email","1st Email Follow-up","2nd Email Follow-up","Escalation to Local Office","Escalation to CBE","Escalation to Roxanne")&amp;" sent "&amp;TEXT($AA444,"dd-mmm")&amp;". "&amp;IF($Z444=6,"Final escalation completed.",IF($U444="OVERDUE","Next: "&amp;$AC444&amp;" was due "&amp;TEXT($AB444,"dd-mmm")&amp;" - "&amp;(NETWORKDAYS($AB444,TODAY(),Holidays)-1)&amp;" business day(s) late. Send now.",IF($U444="DUE TOMORROW","Next: "&amp;$AC444&amp;IF($AB444&lt;=TODAY()," is due TODAY ("," is due next business day (")&amp;TEXT($AB444,"dd-mmm")&amp;").","Next: "&amp;$AC444&amp;" due "&amp;TEXT($AB444,"dd-mmm")&amp;" ("&amp;(NETWORKDAYS(TODAY(),$AB444,Holidays)-1)&amp;" business day(s) left).")))))</f>
        <v/>
      </c>
      <c r="W444" s="17">
        <f>IF($Z444="","",CHOOSE($Z444,"Collection Email","1st Follow-up","2nd Follow-up","Local Office","CBE","Roxanne")&amp;IF($Z444=6," - Final"," - Day "&amp;MAX(0,NETWORKDAYS($AA444,TODAY(),Holidays)-1)&amp;" of "&amp;CHOOSE($Z444,3,3,2,2,3))&amp;" | Total Day "&amp;MAX(0,NETWORKDAYS($N444,TODAY(),Holidays)-1))</f>
        <v/>
      </c>
      <c r="X444" s="18"/>
      <c r="Y444" s="18"/>
      <c r="Z444" s="17">
        <f>IF($N444="","",COUNT($N444:$S444))</f>
        <v/>
      </c>
      <c r="AA444" s="19">
        <f>IF($Z444="","",INT(INDEX($N444:$S444,$Z444)))</f>
        <v/>
      </c>
      <c r="AB444" s="19">
        <f>IF(OR($Z444="",$Z444=6),"",WORKDAY($AA444,CHOOSE($Z444,3,3,2,2,3),Holidays))</f>
        <v/>
      </c>
      <c r="AC444" s="17">
        <f>IF(OR($Z444="",$Z444=6),"",CHOOSE($Z444,"1st Email Follow-up","2nd Email Follow-up","Escalate Local Office","Escalate to CBE","Escalate to Roxanne"))</f>
        <v/>
      </c>
    </row>
    <row r="445" spans="13:29">
      <c r="M445" s="14"/>
      <c r="T445" s="16"/>
      <c r="U445" s="17">
        <f>IF(AND(COUNTA($A445:$L445)=0,$N445=""),"",IF($T445="Paid","PAID",IF($T445="Closed","CLOSED",IF($Z445="","",IF($Z445=6,"ESCALATED TO ROXANNE",IF(TODAY()&gt;$AB445,"OVERDUE",IF($AB445&lt;=WORKDAY(TODAY(),1,Holidays),"DUE TOMORROW",IF($Z445=4,"ESCALATED TO LOCAL OFFICE",IF($Z445=5,"ESCALATED TO CBE",IF($AA445=TODAY(),"EMAIL SENT","MONITORING"))))))))))</f>
        <v/>
      </c>
      <c r="V445" s="17">
        <f>IF($U445="",IF(AND(COUNTA($A445:$L445)&gt;0,$N445=""),"Awaiting Collection Email time stamp.",""),IF(OR($U445="PAID",$U445="CLOSED"),IF($U445="PAID","Account paid. Action completed.","Account closed. No further action required."),CHOOSE($Z445,"Collection Email","1st Email Follow-up","2nd Email Follow-up","Escalation to Local Office","Escalation to CBE","Escalation to Roxanne")&amp;" sent "&amp;TEXT($AA445,"dd-mmm")&amp;". "&amp;IF($Z445=6,"Final escalation completed.",IF($U445="OVERDUE","Next: "&amp;$AC445&amp;" was due "&amp;TEXT($AB445,"dd-mmm")&amp;" - "&amp;(NETWORKDAYS($AB445,TODAY(),Holidays)-1)&amp;" business day(s) late. Send now.",IF($U445="DUE TOMORROW","Next: "&amp;$AC445&amp;IF($AB445&lt;=TODAY()," is due TODAY ("," is due next business day (")&amp;TEXT($AB445,"dd-mmm")&amp;").","Next: "&amp;$AC445&amp;" due "&amp;TEXT($AB445,"dd-mmm")&amp;" ("&amp;(NETWORKDAYS(TODAY(),$AB445,Holidays)-1)&amp;" business day(s) left).")))))</f>
        <v/>
      </c>
      <c r="W445" s="17">
        <f>IF($Z445="","",CHOOSE($Z445,"Collection Email","1st Follow-up","2nd Follow-up","Local Office","CBE","Roxanne")&amp;IF($Z445=6," - Final"," - Day "&amp;MAX(0,NETWORKDAYS($AA445,TODAY(),Holidays)-1)&amp;" of "&amp;CHOOSE($Z445,3,3,2,2,3))&amp;" | Total Day "&amp;MAX(0,NETWORKDAYS($N445,TODAY(),Holidays)-1))</f>
        <v/>
      </c>
      <c r="X445" s="18"/>
      <c r="Y445" s="18"/>
      <c r="Z445" s="17">
        <f>IF($N445="","",COUNT($N445:$S445))</f>
        <v/>
      </c>
      <c r="AA445" s="19">
        <f>IF($Z445="","",INT(INDEX($N445:$S445,$Z445)))</f>
        <v/>
      </c>
      <c r="AB445" s="19">
        <f>IF(OR($Z445="",$Z445=6),"",WORKDAY($AA445,CHOOSE($Z445,3,3,2,2,3),Holidays))</f>
        <v/>
      </c>
      <c r="AC445" s="17">
        <f>IF(OR($Z445="",$Z445=6),"",CHOOSE($Z445,"1st Email Follow-up","2nd Email Follow-up","Escalate Local Office","Escalate to CBE","Escalate to Roxanne"))</f>
        <v/>
      </c>
    </row>
    <row r="446" spans="13:29">
      <c r="M446" s="14"/>
      <c r="T446" s="16"/>
      <c r="U446" s="17">
        <f>IF(AND(COUNTA($A446:$L446)=0,$N446=""),"",IF($T446="Paid","PAID",IF($T446="Closed","CLOSED",IF($Z446="","",IF($Z446=6,"ESCALATED TO ROXANNE",IF(TODAY()&gt;$AB446,"OVERDUE",IF($AB446&lt;=WORKDAY(TODAY(),1,Holidays),"DUE TOMORROW",IF($Z446=4,"ESCALATED TO LOCAL OFFICE",IF($Z446=5,"ESCALATED TO CBE",IF($AA446=TODAY(),"EMAIL SENT","MONITORING"))))))))))</f>
        <v/>
      </c>
      <c r="V446" s="17">
        <f>IF($U446="",IF(AND(COUNTA($A446:$L446)&gt;0,$N446=""),"Awaiting Collection Email time stamp.",""),IF(OR($U446="PAID",$U446="CLOSED"),IF($U446="PAID","Account paid. Action completed.","Account closed. No further action required."),CHOOSE($Z446,"Collection Email","1st Email Follow-up","2nd Email Follow-up","Escalation to Local Office","Escalation to CBE","Escalation to Roxanne")&amp;" sent "&amp;TEXT($AA446,"dd-mmm")&amp;". "&amp;IF($Z446=6,"Final escalation completed.",IF($U446="OVERDUE","Next: "&amp;$AC446&amp;" was due "&amp;TEXT($AB446,"dd-mmm")&amp;" - "&amp;(NETWORKDAYS($AB446,TODAY(),Holidays)-1)&amp;" business day(s) late. Send now.",IF($U446="DUE TOMORROW","Next: "&amp;$AC446&amp;IF($AB446&lt;=TODAY()," is due TODAY ("," is due next business day (")&amp;TEXT($AB446,"dd-mmm")&amp;").","Next: "&amp;$AC446&amp;" due "&amp;TEXT($AB446,"dd-mmm")&amp;" ("&amp;(NETWORKDAYS(TODAY(),$AB446,Holidays)-1)&amp;" business day(s) left).")))))</f>
        <v/>
      </c>
      <c r="W446" s="17">
        <f>IF($Z446="","",CHOOSE($Z446,"Collection Email","1st Follow-up","2nd Follow-up","Local Office","CBE","Roxanne")&amp;IF($Z446=6," - Final"," - Day "&amp;MAX(0,NETWORKDAYS($AA446,TODAY(),Holidays)-1)&amp;" of "&amp;CHOOSE($Z446,3,3,2,2,3))&amp;" | Total Day "&amp;MAX(0,NETWORKDAYS($N446,TODAY(),Holidays)-1))</f>
        <v/>
      </c>
      <c r="X446" s="18"/>
      <c r="Y446" s="18"/>
      <c r="Z446" s="17">
        <f>IF($N446="","",COUNT($N446:$S446))</f>
        <v/>
      </c>
      <c r="AA446" s="19">
        <f>IF($Z446="","",INT(INDEX($N446:$S446,$Z446)))</f>
        <v/>
      </c>
      <c r="AB446" s="19">
        <f>IF(OR($Z446="",$Z446=6),"",WORKDAY($AA446,CHOOSE($Z446,3,3,2,2,3),Holidays))</f>
        <v/>
      </c>
      <c r="AC446" s="17">
        <f>IF(OR($Z446="",$Z446=6),"",CHOOSE($Z446,"1st Email Follow-up","2nd Email Follow-up","Escalate Local Office","Escalate to CBE","Escalate to Roxanne"))</f>
        <v/>
      </c>
    </row>
    <row r="447" spans="13:29">
      <c r="M447" s="14"/>
      <c r="T447" s="16"/>
      <c r="U447" s="17">
        <f>IF(AND(COUNTA($A447:$L447)=0,$N447=""),"",IF($T447="Paid","PAID",IF($T447="Closed","CLOSED",IF($Z447="","",IF($Z447=6,"ESCALATED TO ROXANNE",IF(TODAY()&gt;$AB447,"OVERDUE",IF($AB447&lt;=WORKDAY(TODAY(),1,Holidays),"DUE TOMORROW",IF($Z447=4,"ESCALATED TO LOCAL OFFICE",IF($Z447=5,"ESCALATED TO CBE",IF($AA447=TODAY(),"EMAIL SENT","MONITORING"))))))))))</f>
        <v/>
      </c>
      <c r="V447" s="17">
        <f>IF($U447="",IF(AND(COUNTA($A447:$L447)&gt;0,$N447=""),"Awaiting Collection Email time stamp.",""),IF(OR($U447="PAID",$U447="CLOSED"),IF($U447="PAID","Account paid. Action completed.","Account closed. No further action required."),CHOOSE($Z447,"Collection Email","1st Email Follow-up","2nd Email Follow-up","Escalation to Local Office","Escalation to CBE","Escalation to Roxanne")&amp;" sent "&amp;TEXT($AA447,"dd-mmm")&amp;". "&amp;IF($Z447=6,"Final escalation completed.",IF($U447="OVERDUE","Next: "&amp;$AC447&amp;" was due "&amp;TEXT($AB447,"dd-mmm")&amp;" - "&amp;(NETWORKDAYS($AB447,TODAY(),Holidays)-1)&amp;" business day(s) late. Send now.",IF($U447="DUE TOMORROW","Next: "&amp;$AC447&amp;IF($AB447&lt;=TODAY()," is due TODAY ("," is due next business day (")&amp;TEXT($AB447,"dd-mmm")&amp;").","Next: "&amp;$AC447&amp;" due "&amp;TEXT($AB447,"dd-mmm")&amp;" ("&amp;(NETWORKDAYS(TODAY(),$AB447,Holidays)-1)&amp;" business day(s) left).")))))</f>
        <v/>
      </c>
      <c r="W447" s="17">
        <f>IF($Z447="","",CHOOSE($Z447,"Collection Email","1st Follow-up","2nd Follow-up","Local Office","CBE","Roxanne")&amp;IF($Z447=6," - Final"," - Day "&amp;MAX(0,NETWORKDAYS($AA447,TODAY(),Holidays)-1)&amp;" of "&amp;CHOOSE($Z447,3,3,2,2,3))&amp;" | Total Day "&amp;MAX(0,NETWORKDAYS($N447,TODAY(),Holidays)-1))</f>
        <v/>
      </c>
      <c r="X447" s="18"/>
      <c r="Y447" s="18"/>
      <c r="Z447" s="17">
        <f>IF($N447="","",COUNT($N447:$S447))</f>
        <v/>
      </c>
      <c r="AA447" s="19">
        <f>IF($Z447="","",INT(INDEX($N447:$S447,$Z447)))</f>
        <v/>
      </c>
      <c r="AB447" s="19">
        <f>IF(OR($Z447="",$Z447=6),"",WORKDAY($AA447,CHOOSE($Z447,3,3,2,2,3),Holidays))</f>
        <v/>
      </c>
      <c r="AC447" s="17">
        <f>IF(OR($Z447="",$Z447=6),"",CHOOSE($Z447,"1st Email Follow-up","2nd Email Follow-up","Escalate Local Office","Escalate to CBE","Escalate to Roxanne"))</f>
        <v/>
      </c>
    </row>
    <row r="448" spans="13:29">
      <c r="M448" s="14"/>
      <c r="T448" s="16"/>
      <c r="U448" s="17">
        <f>IF(AND(COUNTA($A448:$L448)=0,$N448=""),"",IF($T448="Paid","PAID",IF($T448="Closed","CLOSED",IF($Z448="","",IF($Z448=6,"ESCALATED TO ROXANNE",IF(TODAY()&gt;$AB448,"OVERDUE",IF($AB448&lt;=WORKDAY(TODAY(),1,Holidays),"DUE TOMORROW",IF($Z448=4,"ESCALATED TO LOCAL OFFICE",IF($Z448=5,"ESCALATED TO CBE",IF($AA448=TODAY(),"EMAIL SENT","MONITORING"))))))))))</f>
        <v/>
      </c>
      <c r="V448" s="17">
        <f>IF($U448="",IF(AND(COUNTA($A448:$L448)&gt;0,$N448=""),"Awaiting Collection Email time stamp.",""),IF(OR($U448="PAID",$U448="CLOSED"),IF($U448="PAID","Account paid. Action completed.","Account closed. No further action required."),CHOOSE($Z448,"Collection Email","1st Email Follow-up","2nd Email Follow-up","Escalation to Local Office","Escalation to CBE","Escalation to Roxanne")&amp;" sent "&amp;TEXT($AA448,"dd-mmm")&amp;". "&amp;IF($Z448=6,"Final escalation completed.",IF($U448="OVERDUE","Next: "&amp;$AC448&amp;" was due "&amp;TEXT($AB448,"dd-mmm")&amp;" - "&amp;(NETWORKDAYS($AB448,TODAY(),Holidays)-1)&amp;" business day(s) late. Send now.",IF($U448="DUE TOMORROW","Next: "&amp;$AC448&amp;IF($AB448&lt;=TODAY()," is due TODAY ("," is due next business day (")&amp;TEXT($AB448,"dd-mmm")&amp;").","Next: "&amp;$AC448&amp;" due "&amp;TEXT($AB448,"dd-mmm")&amp;" ("&amp;(NETWORKDAYS(TODAY(),$AB448,Holidays)-1)&amp;" business day(s) left).")))))</f>
        <v/>
      </c>
      <c r="W448" s="17">
        <f>IF($Z448="","",CHOOSE($Z448,"Collection Email","1st Follow-up","2nd Follow-up","Local Office","CBE","Roxanne")&amp;IF($Z448=6," - Final"," - Day "&amp;MAX(0,NETWORKDAYS($AA448,TODAY(),Holidays)-1)&amp;" of "&amp;CHOOSE($Z448,3,3,2,2,3))&amp;" | Total Day "&amp;MAX(0,NETWORKDAYS($N448,TODAY(),Holidays)-1))</f>
        <v/>
      </c>
      <c r="X448" s="18"/>
      <c r="Y448" s="18"/>
      <c r="Z448" s="17">
        <f>IF($N448="","",COUNT($N448:$S448))</f>
        <v/>
      </c>
      <c r="AA448" s="19">
        <f>IF($Z448="","",INT(INDEX($N448:$S448,$Z448)))</f>
        <v/>
      </c>
      <c r="AB448" s="19">
        <f>IF(OR($Z448="",$Z448=6),"",WORKDAY($AA448,CHOOSE($Z448,3,3,2,2,3),Holidays))</f>
        <v/>
      </c>
      <c r="AC448" s="17">
        <f>IF(OR($Z448="",$Z448=6),"",CHOOSE($Z448,"1st Email Follow-up","2nd Email Follow-up","Escalate Local Office","Escalate to CBE","Escalate to Roxanne"))</f>
        <v/>
      </c>
    </row>
    <row r="449" spans="13:29">
      <c r="M449" s="14"/>
      <c r="T449" s="16"/>
      <c r="U449" s="17">
        <f>IF(AND(COUNTA($A449:$L449)=0,$N449=""),"",IF($T449="Paid","PAID",IF($T449="Closed","CLOSED",IF($Z449="","",IF($Z449=6,"ESCALATED TO ROXANNE",IF(TODAY()&gt;$AB449,"OVERDUE",IF($AB449&lt;=WORKDAY(TODAY(),1,Holidays),"DUE TOMORROW",IF($Z449=4,"ESCALATED TO LOCAL OFFICE",IF($Z449=5,"ESCALATED TO CBE",IF($AA449=TODAY(),"EMAIL SENT","MONITORING"))))))))))</f>
        <v/>
      </c>
      <c r="V449" s="17">
        <f>IF($U449="",IF(AND(COUNTA($A449:$L449)&gt;0,$N449=""),"Awaiting Collection Email time stamp.",""),IF(OR($U449="PAID",$U449="CLOSED"),IF($U449="PAID","Account paid. Action completed.","Account closed. No further action required."),CHOOSE($Z449,"Collection Email","1st Email Follow-up","2nd Email Follow-up","Escalation to Local Office","Escalation to CBE","Escalation to Roxanne")&amp;" sent "&amp;TEXT($AA449,"dd-mmm")&amp;". "&amp;IF($Z449=6,"Final escalation completed.",IF($U449="OVERDUE","Next: "&amp;$AC449&amp;" was due "&amp;TEXT($AB449,"dd-mmm")&amp;" - "&amp;(NETWORKDAYS($AB449,TODAY(),Holidays)-1)&amp;" business day(s) late. Send now.",IF($U449="DUE TOMORROW","Next: "&amp;$AC449&amp;IF($AB449&lt;=TODAY()," is due TODAY ("," is due next business day (")&amp;TEXT($AB449,"dd-mmm")&amp;").","Next: "&amp;$AC449&amp;" due "&amp;TEXT($AB449,"dd-mmm")&amp;" ("&amp;(NETWORKDAYS(TODAY(),$AB449,Holidays)-1)&amp;" business day(s) left).")))))</f>
        <v/>
      </c>
      <c r="W449" s="17">
        <f>IF($Z449="","",CHOOSE($Z449,"Collection Email","1st Follow-up","2nd Follow-up","Local Office","CBE","Roxanne")&amp;IF($Z449=6," - Final"," - Day "&amp;MAX(0,NETWORKDAYS($AA449,TODAY(),Holidays)-1)&amp;" of "&amp;CHOOSE($Z449,3,3,2,2,3))&amp;" | Total Day "&amp;MAX(0,NETWORKDAYS($N449,TODAY(),Holidays)-1))</f>
        <v/>
      </c>
      <c r="X449" s="18"/>
      <c r="Y449" s="18"/>
      <c r="Z449" s="17">
        <f>IF($N449="","",COUNT($N449:$S449))</f>
        <v/>
      </c>
      <c r="AA449" s="19">
        <f>IF($Z449="","",INT(INDEX($N449:$S449,$Z449)))</f>
        <v/>
      </c>
      <c r="AB449" s="19">
        <f>IF(OR($Z449="",$Z449=6),"",WORKDAY($AA449,CHOOSE($Z449,3,3,2,2,3),Holidays))</f>
        <v/>
      </c>
      <c r="AC449" s="17">
        <f>IF(OR($Z449="",$Z449=6),"",CHOOSE($Z449,"1st Email Follow-up","2nd Email Follow-up","Escalate Local Office","Escalate to CBE","Escalate to Roxanne"))</f>
        <v/>
      </c>
    </row>
    <row r="450" spans="13:29">
      <c r="M450" s="14"/>
      <c r="T450" s="16"/>
      <c r="U450" s="17">
        <f>IF(AND(COUNTA($A450:$L450)=0,$N450=""),"",IF($T450="Paid","PAID",IF($T450="Closed","CLOSED",IF($Z450="","",IF($Z450=6,"ESCALATED TO ROXANNE",IF(TODAY()&gt;$AB450,"OVERDUE",IF($AB450&lt;=WORKDAY(TODAY(),1,Holidays),"DUE TOMORROW",IF($Z450=4,"ESCALATED TO LOCAL OFFICE",IF($Z450=5,"ESCALATED TO CBE",IF($AA450=TODAY(),"EMAIL SENT","MONITORING"))))))))))</f>
        <v/>
      </c>
      <c r="V450" s="17">
        <f>IF($U450="",IF(AND(COUNTA($A450:$L450)&gt;0,$N450=""),"Awaiting Collection Email time stamp.",""),IF(OR($U450="PAID",$U450="CLOSED"),IF($U450="PAID","Account paid. Action completed.","Account closed. No further action required."),CHOOSE($Z450,"Collection Email","1st Email Follow-up","2nd Email Follow-up","Escalation to Local Office","Escalation to CBE","Escalation to Roxanne")&amp;" sent "&amp;TEXT($AA450,"dd-mmm")&amp;". "&amp;IF($Z450=6,"Final escalation completed.",IF($U450="OVERDUE","Next: "&amp;$AC450&amp;" was due "&amp;TEXT($AB450,"dd-mmm")&amp;" - "&amp;(NETWORKDAYS($AB450,TODAY(),Holidays)-1)&amp;" business day(s) late. Send now.",IF($U450="DUE TOMORROW","Next: "&amp;$AC450&amp;IF($AB450&lt;=TODAY()," is due TODAY ("," is due next business day (")&amp;TEXT($AB450,"dd-mmm")&amp;").","Next: "&amp;$AC450&amp;" due "&amp;TEXT($AB450,"dd-mmm")&amp;" ("&amp;(NETWORKDAYS(TODAY(),$AB450,Holidays)-1)&amp;" business day(s) left).")))))</f>
        <v/>
      </c>
      <c r="W450" s="17">
        <f>IF($Z450="","",CHOOSE($Z450,"Collection Email","1st Follow-up","2nd Follow-up","Local Office","CBE","Roxanne")&amp;IF($Z450=6," - Final"," - Day "&amp;MAX(0,NETWORKDAYS($AA450,TODAY(),Holidays)-1)&amp;" of "&amp;CHOOSE($Z450,3,3,2,2,3))&amp;" | Total Day "&amp;MAX(0,NETWORKDAYS($N450,TODAY(),Holidays)-1))</f>
        <v/>
      </c>
      <c r="X450" s="18"/>
      <c r="Y450" s="18"/>
      <c r="Z450" s="17">
        <f>IF($N450="","",COUNT($N450:$S450))</f>
        <v/>
      </c>
      <c r="AA450" s="19">
        <f>IF($Z450="","",INT(INDEX($N450:$S450,$Z450)))</f>
        <v/>
      </c>
      <c r="AB450" s="19">
        <f>IF(OR($Z450="",$Z450=6),"",WORKDAY($AA450,CHOOSE($Z450,3,3,2,2,3),Holidays))</f>
        <v/>
      </c>
      <c r="AC450" s="17">
        <f>IF(OR($Z450="",$Z450=6),"",CHOOSE($Z450,"1st Email Follow-up","2nd Email Follow-up","Escalate Local Office","Escalate to CBE","Escalate to Roxanne"))</f>
        <v/>
      </c>
    </row>
    <row r="451" spans="13:29">
      <c r="M451" s="14"/>
      <c r="T451" s="16"/>
      <c r="U451" s="17">
        <f>IF(AND(COUNTA($A451:$L451)=0,$N451=""),"",IF($T451="Paid","PAID",IF($T451="Closed","CLOSED",IF($Z451="","",IF($Z451=6,"ESCALATED TO ROXANNE",IF(TODAY()&gt;$AB451,"OVERDUE",IF($AB451&lt;=WORKDAY(TODAY(),1,Holidays),"DUE TOMORROW",IF($Z451=4,"ESCALATED TO LOCAL OFFICE",IF($Z451=5,"ESCALATED TO CBE",IF($AA451=TODAY(),"EMAIL SENT","MONITORING"))))))))))</f>
        <v/>
      </c>
      <c r="V451" s="17">
        <f>IF($U451="",IF(AND(COUNTA($A451:$L451)&gt;0,$N451=""),"Awaiting Collection Email time stamp.",""),IF(OR($U451="PAID",$U451="CLOSED"),IF($U451="PAID","Account paid. Action completed.","Account closed. No further action required."),CHOOSE($Z451,"Collection Email","1st Email Follow-up","2nd Email Follow-up","Escalation to Local Office","Escalation to CBE","Escalation to Roxanne")&amp;" sent "&amp;TEXT($AA451,"dd-mmm")&amp;". "&amp;IF($Z451=6,"Final escalation completed.",IF($U451="OVERDUE","Next: "&amp;$AC451&amp;" was due "&amp;TEXT($AB451,"dd-mmm")&amp;" - "&amp;(NETWORKDAYS($AB451,TODAY(),Holidays)-1)&amp;" business day(s) late. Send now.",IF($U451="DUE TOMORROW","Next: "&amp;$AC451&amp;IF($AB451&lt;=TODAY()," is due TODAY ("," is due next business day (")&amp;TEXT($AB451,"dd-mmm")&amp;").","Next: "&amp;$AC451&amp;" due "&amp;TEXT($AB451,"dd-mmm")&amp;" ("&amp;(NETWORKDAYS(TODAY(),$AB451,Holidays)-1)&amp;" business day(s) left).")))))</f>
        <v/>
      </c>
      <c r="W451" s="17">
        <f>IF($Z451="","",CHOOSE($Z451,"Collection Email","1st Follow-up","2nd Follow-up","Local Office","CBE","Roxanne")&amp;IF($Z451=6," - Final"," - Day "&amp;MAX(0,NETWORKDAYS($AA451,TODAY(),Holidays)-1)&amp;" of "&amp;CHOOSE($Z451,3,3,2,2,3))&amp;" | Total Day "&amp;MAX(0,NETWORKDAYS($N451,TODAY(),Holidays)-1))</f>
        <v/>
      </c>
      <c r="X451" s="18"/>
      <c r="Y451" s="18"/>
      <c r="Z451" s="17">
        <f>IF($N451="","",COUNT($N451:$S451))</f>
        <v/>
      </c>
      <c r="AA451" s="19">
        <f>IF($Z451="","",INT(INDEX($N451:$S451,$Z451)))</f>
        <v/>
      </c>
      <c r="AB451" s="19">
        <f>IF(OR($Z451="",$Z451=6),"",WORKDAY($AA451,CHOOSE($Z451,3,3,2,2,3),Holidays))</f>
        <v/>
      </c>
      <c r="AC451" s="17">
        <f>IF(OR($Z451="",$Z451=6),"",CHOOSE($Z451,"1st Email Follow-up","2nd Email Follow-up","Escalate Local Office","Escalate to CBE","Escalate to Roxanne"))</f>
        <v/>
      </c>
    </row>
    <row r="452" spans="13:29">
      <c r="M452" s="14"/>
      <c r="T452" s="16"/>
      <c r="U452" s="17">
        <f>IF(AND(COUNTA($A452:$L452)=0,$N452=""),"",IF($T452="Paid","PAID",IF($T452="Closed","CLOSED",IF($Z452="","",IF($Z452=6,"ESCALATED TO ROXANNE",IF(TODAY()&gt;$AB452,"OVERDUE",IF($AB452&lt;=WORKDAY(TODAY(),1,Holidays),"DUE TOMORROW",IF($Z452=4,"ESCALATED TO LOCAL OFFICE",IF($Z452=5,"ESCALATED TO CBE",IF($AA452=TODAY(),"EMAIL SENT","MONITORING"))))))))))</f>
        <v/>
      </c>
      <c r="V452" s="17">
        <f>IF($U452="",IF(AND(COUNTA($A452:$L452)&gt;0,$N452=""),"Awaiting Collection Email time stamp.",""),IF(OR($U452="PAID",$U452="CLOSED"),IF($U452="PAID","Account paid. Action completed.","Account closed. No further action required."),CHOOSE($Z452,"Collection Email","1st Email Follow-up","2nd Email Follow-up","Escalation to Local Office","Escalation to CBE","Escalation to Roxanne")&amp;" sent "&amp;TEXT($AA452,"dd-mmm")&amp;". "&amp;IF($Z452=6,"Final escalation completed.",IF($U452="OVERDUE","Next: "&amp;$AC452&amp;" was due "&amp;TEXT($AB452,"dd-mmm")&amp;" - "&amp;(NETWORKDAYS($AB452,TODAY(),Holidays)-1)&amp;" business day(s) late. Send now.",IF($U452="DUE TOMORROW","Next: "&amp;$AC452&amp;IF($AB452&lt;=TODAY()," is due TODAY ("," is due next business day (")&amp;TEXT($AB452,"dd-mmm")&amp;").","Next: "&amp;$AC452&amp;" due "&amp;TEXT($AB452,"dd-mmm")&amp;" ("&amp;(NETWORKDAYS(TODAY(),$AB452,Holidays)-1)&amp;" business day(s) left).")))))</f>
        <v/>
      </c>
      <c r="W452" s="17">
        <f>IF($Z452="","",CHOOSE($Z452,"Collection Email","1st Follow-up","2nd Follow-up","Local Office","CBE","Roxanne")&amp;IF($Z452=6," - Final"," - Day "&amp;MAX(0,NETWORKDAYS($AA452,TODAY(),Holidays)-1)&amp;" of "&amp;CHOOSE($Z452,3,3,2,2,3))&amp;" | Total Day "&amp;MAX(0,NETWORKDAYS($N452,TODAY(),Holidays)-1))</f>
        <v/>
      </c>
      <c r="X452" s="18"/>
      <c r="Y452" s="18"/>
      <c r="Z452" s="17">
        <f>IF($N452="","",COUNT($N452:$S452))</f>
        <v/>
      </c>
      <c r="AA452" s="19">
        <f>IF($Z452="","",INT(INDEX($N452:$S452,$Z452)))</f>
        <v/>
      </c>
      <c r="AB452" s="19">
        <f>IF(OR($Z452="",$Z452=6),"",WORKDAY($AA452,CHOOSE($Z452,3,3,2,2,3),Holidays))</f>
        <v/>
      </c>
      <c r="AC452" s="17">
        <f>IF(OR($Z452="",$Z452=6),"",CHOOSE($Z452,"1st Email Follow-up","2nd Email Follow-up","Escalate Local Office","Escalate to CBE","Escalate to Roxanne"))</f>
        <v/>
      </c>
    </row>
    <row r="453" spans="13:29">
      <c r="M453" s="14"/>
      <c r="T453" s="16"/>
      <c r="U453" s="17">
        <f>IF(AND(COUNTA($A453:$L453)=0,$N453=""),"",IF($T453="Paid","PAID",IF($T453="Closed","CLOSED",IF($Z453="","",IF($Z453=6,"ESCALATED TO ROXANNE",IF(TODAY()&gt;$AB453,"OVERDUE",IF($AB453&lt;=WORKDAY(TODAY(),1,Holidays),"DUE TOMORROW",IF($Z453=4,"ESCALATED TO LOCAL OFFICE",IF($Z453=5,"ESCALATED TO CBE",IF($AA453=TODAY(),"EMAIL SENT","MONITORING"))))))))))</f>
        <v/>
      </c>
      <c r="V453" s="17">
        <f>IF($U453="",IF(AND(COUNTA($A453:$L453)&gt;0,$N453=""),"Awaiting Collection Email time stamp.",""),IF(OR($U453="PAID",$U453="CLOSED"),IF($U453="PAID","Account paid. Action completed.","Account closed. No further action required."),CHOOSE($Z453,"Collection Email","1st Email Follow-up","2nd Email Follow-up","Escalation to Local Office","Escalation to CBE","Escalation to Roxanne")&amp;" sent "&amp;TEXT($AA453,"dd-mmm")&amp;". "&amp;IF($Z453=6,"Final escalation completed.",IF($U453="OVERDUE","Next: "&amp;$AC453&amp;" was due "&amp;TEXT($AB453,"dd-mmm")&amp;" - "&amp;(NETWORKDAYS($AB453,TODAY(),Holidays)-1)&amp;" business day(s) late. Send now.",IF($U453="DUE TOMORROW","Next: "&amp;$AC453&amp;IF($AB453&lt;=TODAY()," is due TODAY ("," is due next business day (")&amp;TEXT($AB453,"dd-mmm")&amp;").","Next: "&amp;$AC453&amp;" due "&amp;TEXT($AB453,"dd-mmm")&amp;" ("&amp;(NETWORKDAYS(TODAY(),$AB453,Holidays)-1)&amp;" business day(s) left).")))))</f>
        <v/>
      </c>
      <c r="W453" s="17">
        <f>IF($Z453="","",CHOOSE($Z453,"Collection Email","1st Follow-up","2nd Follow-up","Local Office","CBE","Roxanne")&amp;IF($Z453=6," - Final"," - Day "&amp;MAX(0,NETWORKDAYS($AA453,TODAY(),Holidays)-1)&amp;" of "&amp;CHOOSE($Z453,3,3,2,2,3))&amp;" | Total Day "&amp;MAX(0,NETWORKDAYS($N453,TODAY(),Holidays)-1))</f>
        <v/>
      </c>
      <c r="X453" s="18"/>
      <c r="Y453" s="18"/>
      <c r="Z453" s="17">
        <f>IF($N453="","",COUNT($N453:$S453))</f>
        <v/>
      </c>
      <c r="AA453" s="19">
        <f>IF($Z453="","",INT(INDEX($N453:$S453,$Z453)))</f>
        <v/>
      </c>
      <c r="AB453" s="19">
        <f>IF(OR($Z453="",$Z453=6),"",WORKDAY($AA453,CHOOSE($Z453,3,3,2,2,3),Holidays))</f>
        <v/>
      </c>
      <c r="AC453" s="17">
        <f>IF(OR($Z453="",$Z453=6),"",CHOOSE($Z453,"1st Email Follow-up","2nd Email Follow-up","Escalate Local Office","Escalate to CBE","Escalate to Roxanne"))</f>
        <v/>
      </c>
    </row>
    <row r="454" spans="13:29">
      <c r="M454" s="14"/>
      <c r="T454" s="16"/>
      <c r="U454" s="17">
        <f>IF(AND(COUNTA($A454:$L454)=0,$N454=""),"",IF($T454="Paid","PAID",IF($T454="Closed","CLOSED",IF($Z454="","",IF($Z454=6,"ESCALATED TO ROXANNE",IF(TODAY()&gt;$AB454,"OVERDUE",IF($AB454&lt;=WORKDAY(TODAY(),1,Holidays),"DUE TOMORROW",IF($Z454=4,"ESCALATED TO LOCAL OFFICE",IF($Z454=5,"ESCALATED TO CBE",IF($AA454=TODAY(),"EMAIL SENT","MONITORING"))))))))))</f>
        <v/>
      </c>
      <c r="V454" s="17">
        <f>IF($U454="",IF(AND(COUNTA($A454:$L454)&gt;0,$N454=""),"Awaiting Collection Email time stamp.",""),IF(OR($U454="PAID",$U454="CLOSED"),IF($U454="PAID","Account paid. Action completed.","Account closed. No further action required."),CHOOSE($Z454,"Collection Email","1st Email Follow-up","2nd Email Follow-up","Escalation to Local Office","Escalation to CBE","Escalation to Roxanne")&amp;" sent "&amp;TEXT($AA454,"dd-mmm")&amp;". "&amp;IF($Z454=6,"Final escalation completed.",IF($U454="OVERDUE","Next: "&amp;$AC454&amp;" was due "&amp;TEXT($AB454,"dd-mmm")&amp;" - "&amp;(NETWORKDAYS($AB454,TODAY(),Holidays)-1)&amp;" business day(s) late. Send now.",IF($U454="DUE TOMORROW","Next: "&amp;$AC454&amp;IF($AB454&lt;=TODAY()," is due TODAY ("," is due next business day (")&amp;TEXT($AB454,"dd-mmm")&amp;").","Next: "&amp;$AC454&amp;" due "&amp;TEXT($AB454,"dd-mmm")&amp;" ("&amp;(NETWORKDAYS(TODAY(),$AB454,Holidays)-1)&amp;" business day(s) left).")))))</f>
        <v/>
      </c>
      <c r="W454" s="17">
        <f>IF($Z454="","",CHOOSE($Z454,"Collection Email","1st Follow-up","2nd Follow-up","Local Office","CBE","Roxanne")&amp;IF($Z454=6," - Final"," - Day "&amp;MAX(0,NETWORKDAYS($AA454,TODAY(),Holidays)-1)&amp;" of "&amp;CHOOSE($Z454,3,3,2,2,3))&amp;" | Total Day "&amp;MAX(0,NETWORKDAYS($N454,TODAY(),Holidays)-1))</f>
        <v/>
      </c>
      <c r="X454" s="18"/>
      <c r="Y454" s="18"/>
      <c r="Z454" s="17">
        <f>IF($N454="","",COUNT($N454:$S454))</f>
        <v/>
      </c>
      <c r="AA454" s="19">
        <f>IF($Z454="","",INT(INDEX($N454:$S454,$Z454)))</f>
        <v/>
      </c>
      <c r="AB454" s="19">
        <f>IF(OR($Z454="",$Z454=6),"",WORKDAY($AA454,CHOOSE($Z454,3,3,2,2,3),Holidays))</f>
        <v/>
      </c>
      <c r="AC454" s="17">
        <f>IF(OR($Z454="",$Z454=6),"",CHOOSE($Z454,"1st Email Follow-up","2nd Email Follow-up","Escalate Local Office","Escalate to CBE","Escalate to Roxanne"))</f>
        <v/>
      </c>
    </row>
    <row r="455" spans="13:29">
      <c r="M455" s="14"/>
      <c r="T455" s="16"/>
      <c r="U455" s="17">
        <f>IF(AND(COUNTA($A455:$L455)=0,$N455=""),"",IF($T455="Paid","PAID",IF($T455="Closed","CLOSED",IF($Z455="","",IF($Z455=6,"ESCALATED TO ROXANNE",IF(TODAY()&gt;$AB455,"OVERDUE",IF($AB455&lt;=WORKDAY(TODAY(),1,Holidays),"DUE TOMORROW",IF($Z455=4,"ESCALATED TO LOCAL OFFICE",IF($Z455=5,"ESCALATED TO CBE",IF($AA455=TODAY(),"EMAIL SENT","MONITORING"))))))))))</f>
        <v/>
      </c>
      <c r="V455" s="17">
        <f>IF($U455="",IF(AND(COUNTA($A455:$L455)&gt;0,$N455=""),"Awaiting Collection Email time stamp.",""),IF(OR($U455="PAID",$U455="CLOSED"),IF($U455="PAID","Account paid. Action completed.","Account closed. No further action required."),CHOOSE($Z455,"Collection Email","1st Email Follow-up","2nd Email Follow-up","Escalation to Local Office","Escalation to CBE","Escalation to Roxanne")&amp;" sent "&amp;TEXT($AA455,"dd-mmm")&amp;". "&amp;IF($Z455=6,"Final escalation completed.",IF($U455="OVERDUE","Next: "&amp;$AC455&amp;" was due "&amp;TEXT($AB455,"dd-mmm")&amp;" - "&amp;(NETWORKDAYS($AB455,TODAY(),Holidays)-1)&amp;" business day(s) late. Send now.",IF($U455="DUE TOMORROW","Next: "&amp;$AC455&amp;IF($AB455&lt;=TODAY()," is due TODAY ("," is due next business day (")&amp;TEXT($AB455,"dd-mmm")&amp;").","Next: "&amp;$AC455&amp;" due "&amp;TEXT($AB455,"dd-mmm")&amp;" ("&amp;(NETWORKDAYS(TODAY(),$AB455,Holidays)-1)&amp;" business day(s) left).")))))</f>
        <v/>
      </c>
      <c r="W455" s="17">
        <f>IF($Z455="","",CHOOSE($Z455,"Collection Email","1st Follow-up","2nd Follow-up","Local Office","CBE","Roxanne")&amp;IF($Z455=6," - Final"," - Day "&amp;MAX(0,NETWORKDAYS($AA455,TODAY(),Holidays)-1)&amp;" of "&amp;CHOOSE($Z455,3,3,2,2,3))&amp;" | Total Day "&amp;MAX(0,NETWORKDAYS($N455,TODAY(),Holidays)-1))</f>
        <v/>
      </c>
      <c r="X455" s="18"/>
      <c r="Y455" s="18"/>
      <c r="Z455" s="17">
        <f>IF($N455="","",COUNT($N455:$S455))</f>
        <v/>
      </c>
      <c r="AA455" s="19">
        <f>IF($Z455="","",INT(INDEX($N455:$S455,$Z455)))</f>
        <v/>
      </c>
      <c r="AB455" s="19">
        <f>IF(OR($Z455="",$Z455=6),"",WORKDAY($AA455,CHOOSE($Z455,3,3,2,2,3),Holidays))</f>
        <v/>
      </c>
      <c r="AC455" s="17">
        <f>IF(OR($Z455="",$Z455=6),"",CHOOSE($Z455,"1st Email Follow-up","2nd Email Follow-up","Escalate Local Office","Escalate to CBE","Escalate to Roxanne"))</f>
        <v/>
      </c>
    </row>
    <row r="456" spans="13:29">
      <c r="M456" s="14"/>
      <c r="T456" s="16"/>
      <c r="U456" s="17">
        <f>IF(AND(COUNTA($A456:$L456)=0,$N456=""),"",IF($T456="Paid","PAID",IF($T456="Closed","CLOSED",IF($Z456="","",IF($Z456=6,"ESCALATED TO ROXANNE",IF(TODAY()&gt;$AB456,"OVERDUE",IF($AB456&lt;=WORKDAY(TODAY(),1,Holidays),"DUE TOMORROW",IF($Z456=4,"ESCALATED TO LOCAL OFFICE",IF($Z456=5,"ESCALATED TO CBE",IF($AA456=TODAY(),"EMAIL SENT","MONITORING"))))))))))</f>
        <v/>
      </c>
      <c r="V456" s="17">
        <f>IF($U456="",IF(AND(COUNTA($A456:$L456)&gt;0,$N456=""),"Awaiting Collection Email time stamp.",""),IF(OR($U456="PAID",$U456="CLOSED"),IF($U456="PAID","Account paid. Action completed.","Account closed. No further action required."),CHOOSE($Z456,"Collection Email","1st Email Follow-up","2nd Email Follow-up","Escalation to Local Office","Escalation to CBE","Escalation to Roxanne")&amp;" sent "&amp;TEXT($AA456,"dd-mmm")&amp;". "&amp;IF($Z456=6,"Final escalation completed.",IF($U456="OVERDUE","Next: "&amp;$AC456&amp;" was due "&amp;TEXT($AB456,"dd-mmm")&amp;" - "&amp;(NETWORKDAYS($AB456,TODAY(),Holidays)-1)&amp;" business day(s) late. Send now.",IF($U456="DUE TOMORROW","Next: "&amp;$AC456&amp;IF($AB456&lt;=TODAY()," is due TODAY ("," is due next business day (")&amp;TEXT($AB456,"dd-mmm")&amp;").","Next: "&amp;$AC456&amp;" due "&amp;TEXT($AB456,"dd-mmm")&amp;" ("&amp;(NETWORKDAYS(TODAY(),$AB456,Holidays)-1)&amp;" business day(s) left).")))))</f>
        <v/>
      </c>
      <c r="W456" s="17">
        <f>IF($Z456="","",CHOOSE($Z456,"Collection Email","1st Follow-up","2nd Follow-up","Local Office","CBE","Roxanne")&amp;IF($Z456=6," - Final"," - Day "&amp;MAX(0,NETWORKDAYS($AA456,TODAY(),Holidays)-1)&amp;" of "&amp;CHOOSE($Z456,3,3,2,2,3))&amp;" | Total Day "&amp;MAX(0,NETWORKDAYS($N456,TODAY(),Holidays)-1))</f>
        <v/>
      </c>
      <c r="X456" s="18"/>
      <c r="Y456" s="18"/>
      <c r="Z456" s="17">
        <f>IF($N456="","",COUNT($N456:$S456))</f>
        <v/>
      </c>
      <c r="AA456" s="19">
        <f>IF($Z456="","",INT(INDEX($N456:$S456,$Z456)))</f>
        <v/>
      </c>
      <c r="AB456" s="19">
        <f>IF(OR($Z456="",$Z456=6),"",WORKDAY($AA456,CHOOSE($Z456,3,3,2,2,3),Holidays))</f>
        <v/>
      </c>
      <c r="AC456" s="17">
        <f>IF(OR($Z456="",$Z456=6),"",CHOOSE($Z456,"1st Email Follow-up","2nd Email Follow-up","Escalate Local Office","Escalate to CBE","Escalate to Roxanne"))</f>
        <v/>
      </c>
    </row>
    <row r="457" spans="13:29">
      <c r="M457" s="14"/>
      <c r="T457" s="16"/>
      <c r="U457" s="17">
        <f>IF(AND(COUNTA($A457:$L457)=0,$N457=""),"",IF($T457="Paid","PAID",IF($T457="Closed","CLOSED",IF($Z457="","",IF($Z457=6,"ESCALATED TO ROXANNE",IF(TODAY()&gt;$AB457,"OVERDUE",IF($AB457&lt;=WORKDAY(TODAY(),1,Holidays),"DUE TOMORROW",IF($Z457=4,"ESCALATED TO LOCAL OFFICE",IF($Z457=5,"ESCALATED TO CBE",IF($AA457=TODAY(),"EMAIL SENT","MONITORING"))))))))))</f>
        <v/>
      </c>
      <c r="V457" s="17">
        <f>IF($U457="",IF(AND(COUNTA($A457:$L457)&gt;0,$N457=""),"Awaiting Collection Email time stamp.",""),IF(OR($U457="PAID",$U457="CLOSED"),IF($U457="PAID","Account paid. Action completed.","Account closed. No further action required."),CHOOSE($Z457,"Collection Email","1st Email Follow-up","2nd Email Follow-up","Escalation to Local Office","Escalation to CBE","Escalation to Roxanne")&amp;" sent "&amp;TEXT($AA457,"dd-mmm")&amp;". "&amp;IF($Z457=6,"Final escalation completed.",IF($U457="OVERDUE","Next: "&amp;$AC457&amp;" was due "&amp;TEXT($AB457,"dd-mmm")&amp;" - "&amp;(NETWORKDAYS($AB457,TODAY(),Holidays)-1)&amp;" business day(s) late. Send now.",IF($U457="DUE TOMORROW","Next: "&amp;$AC457&amp;IF($AB457&lt;=TODAY()," is due TODAY ("," is due next business day (")&amp;TEXT($AB457,"dd-mmm")&amp;").","Next: "&amp;$AC457&amp;" due "&amp;TEXT($AB457,"dd-mmm")&amp;" ("&amp;(NETWORKDAYS(TODAY(),$AB457,Holidays)-1)&amp;" business day(s) left).")))))</f>
        <v/>
      </c>
      <c r="W457" s="17">
        <f>IF($Z457="","",CHOOSE($Z457,"Collection Email","1st Follow-up","2nd Follow-up","Local Office","CBE","Roxanne")&amp;IF($Z457=6," - Final"," - Day "&amp;MAX(0,NETWORKDAYS($AA457,TODAY(),Holidays)-1)&amp;" of "&amp;CHOOSE($Z457,3,3,2,2,3))&amp;" | Total Day "&amp;MAX(0,NETWORKDAYS($N457,TODAY(),Holidays)-1))</f>
        <v/>
      </c>
      <c r="X457" s="18"/>
      <c r="Y457" s="18"/>
      <c r="Z457" s="17">
        <f>IF($N457="","",COUNT($N457:$S457))</f>
        <v/>
      </c>
      <c r="AA457" s="19">
        <f>IF($Z457="","",INT(INDEX($N457:$S457,$Z457)))</f>
        <v/>
      </c>
      <c r="AB457" s="19">
        <f>IF(OR($Z457="",$Z457=6),"",WORKDAY($AA457,CHOOSE($Z457,3,3,2,2,3),Holidays))</f>
        <v/>
      </c>
      <c r="AC457" s="17">
        <f>IF(OR($Z457="",$Z457=6),"",CHOOSE($Z457,"1st Email Follow-up","2nd Email Follow-up","Escalate Local Office","Escalate to CBE","Escalate to Roxanne"))</f>
        <v/>
      </c>
    </row>
    <row r="458" spans="13:29">
      <c r="M458" s="14"/>
      <c r="T458" s="16"/>
      <c r="U458" s="17">
        <f>IF(AND(COUNTA($A458:$L458)=0,$N458=""),"",IF($T458="Paid","PAID",IF($T458="Closed","CLOSED",IF($Z458="","",IF($Z458=6,"ESCALATED TO ROXANNE",IF(TODAY()&gt;$AB458,"OVERDUE",IF($AB458&lt;=WORKDAY(TODAY(),1,Holidays),"DUE TOMORROW",IF($Z458=4,"ESCALATED TO LOCAL OFFICE",IF($Z458=5,"ESCALATED TO CBE",IF($AA458=TODAY(),"EMAIL SENT","MONITORING"))))))))))</f>
        <v/>
      </c>
      <c r="V458" s="17">
        <f>IF($U458="",IF(AND(COUNTA($A458:$L458)&gt;0,$N458=""),"Awaiting Collection Email time stamp.",""),IF(OR($U458="PAID",$U458="CLOSED"),IF($U458="PAID","Account paid. Action completed.","Account closed. No further action required."),CHOOSE($Z458,"Collection Email","1st Email Follow-up","2nd Email Follow-up","Escalation to Local Office","Escalation to CBE","Escalation to Roxanne")&amp;" sent "&amp;TEXT($AA458,"dd-mmm")&amp;". "&amp;IF($Z458=6,"Final escalation completed.",IF($U458="OVERDUE","Next: "&amp;$AC458&amp;" was due "&amp;TEXT($AB458,"dd-mmm")&amp;" - "&amp;(NETWORKDAYS($AB458,TODAY(),Holidays)-1)&amp;" business day(s) late. Send now.",IF($U458="DUE TOMORROW","Next: "&amp;$AC458&amp;IF($AB458&lt;=TODAY()," is due TODAY ("," is due next business day (")&amp;TEXT($AB458,"dd-mmm")&amp;").","Next: "&amp;$AC458&amp;" due "&amp;TEXT($AB458,"dd-mmm")&amp;" ("&amp;(NETWORKDAYS(TODAY(),$AB458,Holidays)-1)&amp;" business day(s) left).")))))</f>
        <v/>
      </c>
      <c r="W458" s="17">
        <f>IF($Z458="","",CHOOSE($Z458,"Collection Email","1st Follow-up","2nd Follow-up","Local Office","CBE","Roxanne")&amp;IF($Z458=6," - Final"," - Day "&amp;MAX(0,NETWORKDAYS($AA458,TODAY(),Holidays)-1)&amp;" of "&amp;CHOOSE($Z458,3,3,2,2,3))&amp;" | Total Day "&amp;MAX(0,NETWORKDAYS($N458,TODAY(),Holidays)-1))</f>
        <v/>
      </c>
      <c r="X458" s="18"/>
      <c r="Y458" s="18"/>
      <c r="Z458" s="17">
        <f>IF($N458="","",COUNT($N458:$S458))</f>
        <v/>
      </c>
      <c r="AA458" s="19">
        <f>IF($Z458="","",INT(INDEX($N458:$S458,$Z458)))</f>
        <v/>
      </c>
      <c r="AB458" s="19">
        <f>IF(OR($Z458="",$Z458=6),"",WORKDAY($AA458,CHOOSE($Z458,3,3,2,2,3),Holidays))</f>
        <v/>
      </c>
      <c r="AC458" s="17">
        <f>IF(OR($Z458="",$Z458=6),"",CHOOSE($Z458,"1st Email Follow-up","2nd Email Follow-up","Escalate Local Office","Escalate to CBE","Escalate to Roxanne"))</f>
        <v/>
      </c>
    </row>
    <row r="459" spans="13:29">
      <c r="M459" s="14"/>
      <c r="T459" s="16"/>
      <c r="U459" s="17">
        <f>IF(AND(COUNTA($A459:$L459)=0,$N459=""),"",IF($T459="Paid","PAID",IF($T459="Closed","CLOSED",IF($Z459="","",IF($Z459=6,"ESCALATED TO ROXANNE",IF(TODAY()&gt;$AB459,"OVERDUE",IF($AB459&lt;=WORKDAY(TODAY(),1,Holidays),"DUE TOMORROW",IF($Z459=4,"ESCALATED TO LOCAL OFFICE",IF($Z459=5,"ESCALATED TO CBE",IF($AA459=TODAY(),"EMAIL SENT","MONITORING"))))))))))</f>
        <v/>
      </c>
      <c r="V459" s="17">
        <f>IF($U459="",IF(AND(COUNTA($A459:$L459)&gt;0,$N459=""),"Awaiting Collection Email time stamp.",""),IF(OR($U459="PAID",$U459="CLOSED"),IF($U459="PAID","Account paid. Action completed.","Account closed. No further action required."),CHOOSE($Z459,"Collection Email","1st Email Follow-up","2nd Email Follow-up","Escalation to Local Office","Escalation to CBE","Escalation to Roxanne")&amp;" sent "&amp;TEXT($AA459,"dd-mmm")&amp;". "&amp;IF($Z459=6,"Final escalation completed.",IF($U459="OVERDUE","Next: "&amp;$AC459&amp;" was due "&amp;TEXT($AB459,"dd-mmm")&amp;" - "&amp;(NETWORKDAYS($AB459,TODAY(),Holidays)-1)&amp;" business day(s) late. Send now.",IF($U459="DUE TOMORROW","Next: "&amp;$AC459&amp;IF($AB459&lt;=TODAY()," is due TODAY ("," is due next business day (")&amp;TEXT($AB459,"dd-mmm")&amp;").","Next: "&amp;$AC459&amp;" due "&amp;TEXT($AB459,"dd-mmm")&amp;" ("&amp;(NETWORKDAYS(TODAY(),$AB459,Holidays)-1)&amp;" business day(s) left).")))))</f>
        <v/>
      </c>
      <c r="W459" s="17">
        <f>IF($Z459="","",CHOOSE($Z459,"Collection Email","1st Follow-up","2nd Follow-up","Local Office","CBE","Roxanne")&amp;IF($Z459=6," - Final"," - Day "&amp;MAX(0,NETWORKDAYS($AA459,TODAY(),Holidays)-1)&amp;" of "&amp;CHOOSE($Z459,3,3,2,2,3))&amp;" | Total Day "&amp;MAX(0,NETWORKDAYS($N459,TODAY(),Holidays)-1))</f>
        <v/>
      </c>
      <c r="X459" s="18"/>
      <c r="Y459" s="18"/>
      <c r="Z459" s="17">
        <f>IF($N459="","",COUNT($N459:$S459))</f>
        <v/>
      </c>
      <c r="AA459" s="19">
        <f>IF($Z459="","",INT(INDEX($N459:$S459,$Z459)))</f>
        <v/>
      </c>
      <c r="AB459" s="19">
        <f>IF(OR($Z459="",$Z459=6),"",WORKDAY($AA459,CHOOSE($Z459,3,3,2,2,3),Holidays))</f>
        <v/>
      </c>
      <c r="AC459" s="17">
        <f>IF(OR($Z459="",$Z459=6),"",CHOOSE($Z459,"1st Email Follow-up","2nd Email Follow-up","Escalate Local Office","Escalate to CBE","Escalate to Roxanne"))</f>
        <v/>
      </c>
    </row>
    <row r="460" spans="13:29">
      <c r="M460" s="14"/>
      <c r="T460" s="16"/>
      <c r="U460" s="17">
        <f>IF(AND(COUNTA($A460:$L460)=0,$N460=""),"",IF($T460="Paid","PAID",IF($T460="Closed","CLOSED",IF($Z460="","",IF($Z460=6,"ESCALATED TO ROXANNE",IF(TODAY()&gt;$AB460,"OVERDUE",IF($AB460&lt;=WORKDAY(TODAY(),1,Holidays),"DUE TOMORROW",IF($Z460=4,"ESCALATED TO LOCAL OFFICE",IF($Z460=5,"ESCALATED TO CBE",IF($AA460=TODAY(),"EMAIL SENT","MONITORING"))))))))))</f>
        <v/>
      </c>
      <c r="V460" s="17">
        <f>IF($U460="",IF(AND(COUNTA($A460:$L460)&gt;0,$N460=""),"Awaiting Collection Email time stamp.",""),IF(OR($U460="PAID",$U460="CLOSED"),IF($U460="PAID","Account paid. Action completed.","Account closed. No further action required."),CHOOSE($Z460,"Collection Email","1st Email Follow-up","2nd Email Follow-up","Escalation to Local Office","Escalation to CBE","Escalation to Roxanne")&amp;" sent "&amp;TEXT($AA460,"dd-mmm")&amp;". "&amp;IF($Z460=6,"Final escalation completed.",IF($U460="OVERDUE","Next: "&amp;$AC460&amp;" was due "&amp;TEXT($AB460,"dd-mmm")&amp;" - "&amp;(NETWORKDAYS($AB460,TODAY(),Holidays)-1)&amp;" business day(s) late. Send now.",IF($U460="DUE TOMORROW","Next: "&amp;$AC460&amp;IF($AB460&lt;=TODAY()," is due TODAY ("," is due next business day (")&amp;TEXT($AB460,"dd-mmm")&amp;").","Next: "&amp;$AC460&amp;" due "&amp;TEXT($AB460,"dd-mmm")&amp;" ("&amp;(NETWORKDAYS(TODAY(),$AB460,Holidays)-1)&amp;" business day(s) left).")))))</f>
        <v/>
      </c>
      <c r="W460" s="17">
        <f>IF($Z460="","",CHOOSE($Z460,"Collection Email","1st Follow-up","2nd Follow-up","Local Office","CBE","Roxanne")&amp;IF($Z460=6," - Final"," - Day "&amp;MAX(0,NETWORKDAYS($AA460,TODAY(),Holidays)-1)&amp;" of "&amp;CHOOSE($Z460,3,3,2,2,3))&amp;" | Total Day "&amp;MAX(0,NETWORKDAYS($N460,TODAY(),Holidays)-1))</f>
        <v/>
      </c>
      <c r="X460" s="18"/>
      <c r="Y460" s="18"/>
      <c r="Z460" s="17">
        <f>IF($N460="","",COUNT($N460:$S460))</f>
        <v/>
      </c>
      <c r="AA460" s="19">
        <f>IF($Z460="","",INT(INDEX($N460:$S460,$Z460)))</f>
        <v/>
      </c>
      <c r="AB460" s="19">
        <f>IF(OR($Z460="",$Z460=6),"",WORKDAY($AA460,CHOOSE($Z460,3,3,2,2,3),Holidays))</f>
        <v/>
      </c>
      <c r="AC460" s="17">
        <f>IF(OR($Z460="",$Z460=6),"",CHOOSE($Z460,"1st Email Follow-up","2nd Email Follow-up","Escalate Local Office","Escalate to CBE","Escalate to Roxanne"))</f>
        <v/>
      </c>
    </row>
    <row r="461" spans="13:29">
      <c r="M461" s="14"/>
      <c r="T461" s="16"/>
      <c r="U461" s="17">
        <f>IF(AND(COUNTA($A461:$L461)=0,$N461=""),"",IF($T461="Paid","PAID",IF($T461="Closed","CLOSED",IF($Z461="","",IF($Z461=6,"ESCALATED TO ROXANNE",IF(TODAY()&gt;$AB461,"OVERDUE",IF($AB461&lt;=WORKDAY(TODAY(),1,Holidays),"DUE TOMORROW",IF($Z461=4,"ESCALATED TO LOCAL OFFICE",IF($Z461=5,"ESCALATED TO CBE",IF($AA461=TODAY(),"EMAIL SENT","MONITORING"))))))))))</f>
        <v/>
      </c>
      <c r="V461" s="17">
        <f>IF($U461="",IF(AND(COUNTA($A461:$L461)&gt;0,$N461=""),"Awaiting Collection Email time stamp.",""),IF(OR($U461="PAID",$U461="CLOSED"),IF($U461="PAID","Account paid. Action completed.","Account closed. No further action required."),CHOOSE($Z461,"Collection Email","1st Email Follow-up","2nd Email Follow-up","Escalation to Local Office","Escalation to CBE","Escalation to Roxanne")&amp;" sent "&amp;TEXT($AA461,"dd-mmm")&amp;". "&amp;IF($Z461=6,"Final escalation completed.",IF($U461="OVERDUE","Next: "&amp;$AC461&amp;" was due "&amp;TEXT($AB461,"dd-mmm")&amp;" - "&amp;(NETWORKDAYS($AB461,TODAY(),Holidays)-1)&amp;" business day(s) late. Send now.",IF($U461="DUE TOMORROW","Next: "&amp;$AC461&amp;IF($AB461&lt;=TODAY()," is due TODAY ("," is due next business day (")&amp;TEXT($AB461,"dd-mmm")&amp;").","Next: "&amp;$AC461&amp;" due "&amp;TEXT($AB461,"dd-mmm")&amp;" ("&amp;(NETWORKDAYS(TODAY(),$AB461,Holidays)-1)&amp;" business day(s) left).")))))</f>
        <v/>
      </c>
      <c r="W461" s="17">
        <f>IF($Z461="","",CHOOSE($Z461,"Collection Email","1st Follow-up","2nd Follow-up","Local Office","CBE","Roxanne")&amp;IF($Z461=6," - Final"," - Day "&amp;MAX(0,NETWORKDAYS($AA461,TODAY(),Holidays)-1)&amp;" of "&amp;CHOOSE($Z461,3,3,2,2,3))&amp;" | Total Day "&amp;MAX(0,NETWORKDAYS($N461,TODAY(),Holidays)-1))</f>
        <v/>
      </c>
      <c r="X461" s="18"/>
      <c r="Y461" s="18"/>
      <c r="Z461" s="17">
        <f>IF($N461="","",COUNT($N461:$S461))</f>
        <v/>
      </c>
      <c r="AA461" s="19">
        <f>IF($Z461="","",INT(INDEX($N461:$S461,$Z461)))</f>
        <v/>
      </c>
      <c r="AB461" s="19">
        <f>IF(OR($Z461="",$Z461=6),"",WORKDAY($AA461,CHOOSE($Z461,3,3,2,2,3),Holidays))</f>
        <v/>
      </c>
      <c r="AC461" s="17">
        <f>IF(OR($Z461="",$Z461=6),"",CHOOSE($Z461,"1st Email Follow-up","2nd Email Follow-up","Escalate Local Office","Escalate to CBE","Escalate to Roxanne"))</f>
        <v/>
      </c>
    </row>
    <row r="462" spans="13:29">
      <c r="M462" s="14"/>
      <c r="T462" s="16"/>
      <c r="U462" s="17">
        <f>IF(AND(COUNTA($A462:$L462)=0,$N462=""),"",IF($T462="Paid","PAID",IF($T462="Closed","CLOSED",IF($Z462="","",IF($Z462=6,"ESCALATED TO ROXANNE",IF(TODAY()&gt;$AB462,"OVERDUE",IF($AB462&lt;=WORKDAY(TODAY(),1,Holidays),"DUE TOMORROW",IF($Z462=4,"ESCALATED TO LOCAL OFFICE",IF($Z462=5,"ESCALATED TO CBE",IF($AA462=TODAY(),"EMAIL SENT","MONITORING"))))))))))</f>
        <v/>
      </c>
      <c r="V462" s="17">
        <f>IF($U462="",IF(AND(COUNTA($A462:$L462)&gt;0,$N462=""),"Awaiting Collection Email time stamp.",""),IF(OR($U462="PAID",$U462="CLOSED"),IF($U462="PAID","Account paid. Action completed.","Account closed. No further action required."),CHOOSE($Z462,"Collection Email","1st Email Follow-up","2nd Email Follow-up","Escalation to Local Office","Escalation to CBE","Escalation to Roxanne")&amp;" sent "&amp;TEXT($AA462,"dd-mmm")&amp;". "&amp;IF($Z462=6,"Final escalation completed.",IF($U462="OVERDUE","Next: "&amp;$AC462&amp;" was due "&amp;TEXT($AB462,"dd-mmm")&amp;" - "&amp;(NETWORKDAYS($AB462,TODAY(),Holidays)-1)&amp;" business day(s) late. Send now.",IF($U462="DUE TOMORROW","Next: "&amp;$AC462&amp;IF($AB462&lt;=TODAY()," is due TODAY ("," is due next business day (")&amp;TEXT($AB462,"dd-mmm")&amp;").","Next: "&amp;$AC462&amp;" due "&amp;TEXT($AB462,"dd-mmm")&amp;" ("&amp;(NETWORKDAYS(TODAY(),$AB462,Holidays)-1)&amp;" business day(s) left).")))))</f>
        <v/>
      </c>
      <c r="W462" s="17">
        <f>IF($Z462="","",CHOOSE($Z462,"Collection Email","1st Follow-up","2nd Follow-up","Local Office","CBE","Roxanne")&amp;IF($Z462=6," - Final"," - Day "&amp;MAX(0,NETWORKDAYS($AA462,TODAY(),Holidays)-1)&amp;" of "&amp;CHOOSE($Z462,3,3,2,2,3))&amp;" | Total Day "&amp;MAX(0,NETWORKDAYS($N462,TODAY(),Holidays)-1))</f>
        <v/>
      </c>
      <c r="X462" s="18"/>
      <c r="Y462" s="18"/>
      <c r="Z462" s="17">
        <f>IF($N462="","",COUNT($N462:$S462))</f>
        <v/>
      </c>
      <c r="AA462" s="19">
        <f>IF($Z462="","",INT(INDEX($N462:$S462,$Z462)))</f>
        <v/>
      </c>
      <c r="AB462" s="19">
        <f>IF(OR($Z462="",$Z462=6),"",WORKDAY($AA462,CHOOSE($Z462,3,3,2,2,3),Holidays))</f>
        <v/>
      </c>
      <c r="AC462" s="17">
        <f>IF(OR($Z462="",$Z462=6),"",CHOOSE($Z462,"1st Email Follow-up","2nd Email Follow-up","Escalate Local Office","Escalate to CBE","Escalate to Roxanne"))</f>
        <v/>
      </c>
    </row>
    <row r="463" spans="13:29">
      <c r="M463" s="14"/>
      <c r="T463" s="16"/>
      <c r="U463" s="17">
        <f>IF(AND(COUNTA($A463:$L463)=0,$N463=""),"",IF($T463="Paid","PAID",IF($T463="Closed","CLOSED",IF($Z463="","",IF($Z463=6,"ESCALATED TO ROXANNE",IF(TODAY()&gt;$AB463,"OVERDUE",IF($AB463&lt;=WORKDAY(TODAY(),1,Holidays),"DUE TOMORROW",IF($Z463=4,"ESCALATED TO LOCAL OFFICE",IF($Z463=5,"ESCALATED TO CBE",IF($AA463=TODAY(),"EMAIL SENT","MONITORING"))))))))))</f>
        <v/>
      </c>
      <c r="V463" s="17">
        <f>IF($U463="",IF(AND(COUNTA($A463:$L463)&gt;0,$N463=""),"Awaiting Collection Email time stamp.",""),IF(OR($U463="PAID",$U463="CLOSED"),IF($U463="PAID","Account paid. Action completed.","Account closed. No further action required."),CHOOSE($Z463,"Collection Email","1st Email Follow-up","2nd Email Follow-up","Escalation to Local Office","Escalation to CBE","Escalation to Roxanne")&amp;" sent "&amp;TEXT($AA463,"dd-mmm")&amp;". "&amp;IF($Z463=6,"Final escalation completed.",IF($U463="OVERDUE","Next: "&amp;$AC463&amp;" was due "&amp;TEXT($AB463,"dd-mmm")&amp;" - "&amp;(NETWORKDAYS($AB463,TODAY(),Holidays)-1)&amp;" business day(s) late. Send now.",IF($U463="DUE TOMORROW","Next: "&amp;$AC463&amp;IF($AB463&lt;=TODAY()," is due TODAY ("," is due next business day (")&amp;TEXT($AB463,"dd-mmm")&amp;").","Next: "&amp;$AC463&amp;" due "&amp;TEXT($AB463,"dd-mmm")&amp;" ("&amp;(NETWORKDAYS(TODAY(),$AB463,Holidays)-1)&amp;" business day(s) left).")))))</f>
        <v/>
      </c>
      <c r="W463" s="17">
        <f>IF($Z463="","",CHOOSE($Z463,"Collection Email","1st Follow-up","2nd Follow-up","Local Office","CBE","Roxanne")&amp;IF($Z463=6," - Final"," - Day "&amp;MAX(0,NETWORKDAYS($AA463,TODAY(),Holidays)-1)&amp;" of "&amp;CHOOSE($Z463,3,3,2,2,3))&amp;" | Total Day "&amp;MAX(0,NETWORKDAYS($N463,TODAY(),Holidays)-1))</f>
        <v/>
      </c>
      <c r="X463" s="18"/>
      <c r="Y463" s="18"/>
      <c r="Z463" s="17">
        <f>IF($N463="","",COUNT($N463:$S463))</f>
        <v/>
      </c>
      <c r="AA463" s="19">
        <f>IF($Z463="","",INT(INDEX($N463:$S463,$Z463)))</f>
        <v/>
      </c>
      <c r="AB463" s="19">
        <f>IF(OR($Z463="",$Z463=6),"",WORKDAY($AA463,CHOOSE($Z463,3,3,2,2,3),Holidays))</f>
        <v/>
      </c>
      <c r="AC463" s="17">
        <f>IF(OR($Z463="",$Z463=6),"",CHOOSE($Z463,"1st Email Follow-up","2nd Email Follow-up","Escalate Local Office","Escalate to CBE","Escalate to Roxanne"))</f>
        <v/>
      </c>
    </row>
    <row r="464" spans="13:29">
      <c r="M464" s="14"/>
      <c r="T464" s="16"/>
      <c r="U464" s="17">
        <f>IF(AND(COUNTA($A464:$L464)=0,$N464=""),"",IF($T464="Paid","PAID",IF($T464="Closed","CLOSED",IF($Z464="","",IF($Z464=6,"ESCALATED TO ROXANNE",IF(TODAY()&gt;$AB464,"OVERDUE",IF($AB464&lt;=WORKDAY(TODAY(),1,Holidays),"DUE TOMORROW",IF($Z464=4,"ESCALATED TO LOCAL OFFICE",IF($Z464=5,"ESCALATED TO CBE",IF($AA464=TODAY(),"EMAIL SENT","MONITORING"))))))))))</f>
        <v/>
      </c>
      <c r="V464" s="17">
        <f>IF($U464="",IF(AND(COUNTA($A464:$L464)&gt;0,$N464=""),"Awaiting Collection Email time stamp.",""),IF(OR($U464="PAID",$U464="CLOSED"),IF($U464="PAID","Account paid. Action completed.","Account closed. No further action required."),CHOOSE($Z464,"Collection Email","1st Email Follow-up","2nd Email Follow-up","Escalation to Local Office","Escalation to CBE","Escalation to Roxanne")&amp;" sent "&amp;TEXT($AA464,"dd-mmm")&amp;". "&amp;IF($Z464=6,"Final escalation completed.",IF($U464="OVERDUE","Next: "&amp;$AC464&amp;" was due "&amp;TEXT($AB464,"dd-mmm")&amp;" - "&amp;(NETWORKDAYS($AB464,TODAY(),Holidays)-1)&amp;" business day(s) late. Send now.",IF($U464="DUE TOMORROW","Next: "&amp;$AC464&amp;IF($AB464&lt;=TODAY()," is due TODAY ("," is due next business day (")&amp;TEXT($AB464,"dd-mmm")&amp;").","Next: "&amp;$AC464&amp;" due "&amp;TEXT($AB464,"dd-mmm")&amp;" ("&amp;(NETWORKDAYS(TODAY(),$AB464,Holidays)-1)&amp;" business day(s) left).")))))</f>
        <v/>
      </c>
      <c r="W464" s="17">
        <f>IF($Z464="","",CHOOSE($Z464,"Collection Email","1st Follow-up","2nd Follow-up","Local Office","CBE","Roxanne")&amp;IF($Z464=6," - Final"," - Day "&amp;MAX(0,NETWORKDAYS($AA464,TODAY(),Holidays)-1)&amp;" of "&amp;CHOOSE($Z464,3,3,2,2,3))&amp;" | Total Day "&amp;MAX(0,NETWORKDAYS($N464,TODAY(),Holidays)-1))</f>
        <v/>
      </c>
      <c r="X464" s="18"/>
      <c r="Y464" s="18"/>
      <c r="Z464" s="17">
        <f>IF($N464="","",COUNT($N464:$S464))</f>
        <v/>
      </c>
      <c r="AA464" s="19">
        <f>IF($Z464="","",INT(INDEX($N464:$S464,$Z464)))</f>
        <v/>
      </c>
      <c r="AB464" s="19">
        <f>IF(OR($Z464="",$Z464=6),"",WORKDAY($AA464,CHOOSE($Z464,3,3,2,2,3),Holidays))</f>
        <v/>
      </c>
      <c r="AC464" s="17">
        <f>IF(OR($Z464="",$Z464=6),"",CHOOSE($Z464,"1st Email Follow-up","2nd Email Follow-up","Escalate Local Office","Escalate to CBE","Escalate to Roxanne"))</f>
        <v/>
      </c>
    </row>
    <row r="465" spans="13:29">
      <c r="M465" s="14"/>
      <c r="T465" s="16"/>
      <c r="U465" s="17">
        <f>IF(AND(COUNTA($A465:$L465)=0,$N465=""),"",IF($T465="Paid","PAID",IF($T465="Closed","CLOSED",IF($Z465="","",IF($Z465=6,"ESCALATED TO ROXANNE",IF(TODAY()&gt;$AB465,"OVERDUE",IF($AB465&lt;=WORKDAY(TODAY(),1,Holidays),"DUE TOMORROW",IF($Z465=4,"ESCALATED TO LOCAL OFFICE",IF($Z465=5,"ESCALATED TO CBE",IF($AA465=TODAY(),"EMAIL SENT","MONITORING"))))))))))</f>
        <v/>
      </c>
      <c r="V465" s="17">
        <f>IF($U465="",IF(AND(COUNTA($A465:$L465)&gt;0,$N465=""),"Awaiting Collection Email time stamp.",""),IF(OR($U465="PAID",$U465="CLOSED"),IF($U465="PAID","Account paid. Action completed.","Account closed. No further action required."),CHOOSE($Z465,"Collection Email","1st Email Follow-up","2nd Email Follow-up","Escalation to Local Office","Escalation to CBE","Escalation to Roxanne")&amp;" sent "&amp;TEXT($AA465,"dd-mmm")&amp;". "&amp;IF($Z465=6,"Final escalation completed.",IF($U465="OVERDUE","Next: "&amp;$AC465&amp;" was due "&amp;TEXT($AB465,"dd-mmm")&amp;" - "&amp;(NETWORKDAYS($AB465,TODAY(),Holidays)-1)&amp;" business day(s) late. Send now.",IF($U465="DUE TOMORROW","Next: "&amp;$AC465&amp;IF($AB465&lt;=TODAY()," is due TODAY ("," is due next business day (")&amp;TEXT($AB465,"dd-mmm")&amp;").","Next: "&amp;$AC465&amp;" due "&amp;TEXT($AB465,"dd-mmm")&amp;" ("&amp;(NETWORKDAYS(TODAY(),$AB465,Holidays)-1)&amp;" business day(s) left).")))))</f>
        <v/>
      </c>
      <c r="W465" s="17">
        <f>IF($Z465="","",CHOOSE($Z465,"Collection Email","1st Follow-up","2nd Follow-up","Local Office","CBE","Roxanne")&amp;IF($Z465=6," - Final"," - Day "&amp;MAX(0,NETWORKDAYS($AA465,TODAY(),Holidays)-1)&amp;" of "&amp;CHOOSE($Z465,3,3,2,2,3))&amp;" | Total Day "&amp;MAX(0,NETWORKDAYS($N465,TODAY(),Holidays)-1))</f>
        <v/>
      </c>
      <c r="X465" s="18"/>
      <c r="Y465" s="18"/>
      <c r="Z465" s="17">
        <f>IF($N465="","",COUNT($N465:$S465))</f>
        <v/>
      </c>
      <c r="AA465" s="19">
        <f>IF($Z465="","",INT(INDEX($N465:$S465,$Z465)))</f>
        <v/>
      </c>
      <c r="AB465" s="19">
        <f>IF(OR($Z465="",$Z465=6),"",WORKDAY($AA465,CHOOSE($Z465,3,3,2,2,3),Holidays))</f>
        <v/>
      </c>
      <c r="AC465" s="17">
        <f>IF(OR($Z465="",$Z465=6),"",CHOOSE($Z465,"1st Email Follow-up","2nd Email Follow-up","Escalate Local Office","Escalate to CBE","Escalate to Roxanne"))</f>
        <v/>
      </c>
    </row>
    <row r="466" spans="13:29">
      <c r="M466" s="14"/>
      <c r="T466" s="16"/>
      <c r="U466" s="17">
        <f>IF(AND(COUNTA($A466:$L466)=0,$N466=""),"",IF($T466="Paid","PAID",IF($T466="Closed","CLOSED",IF($Z466="","",IF($Z466=6,"ESCALATED TO ROXANNE",IF(TODAY()&gt;$AB466,"OVERDUE",IF($AB466&lt;=WORKDAY(TODAY(),1,Holidays),"DUE TOMORROW",IF($Z466=4,"ESCALATED TO LOCAL OFFICE",IF($Z466=5,"ESCALATED TO CBE",IF($AA466=TODAY(),"EMAIL SENT","MONITORING"))))))))))</f>
        <v/>
      </c>
      <c r="V466" s="17">
        <f>IF($U466="",IF(AND(COUNTA($A466:$L466)&gt;0,$N466=""),"Awaiting Collection Email time stamp.",""),IF(OR($U466="PAID",$U466="CLOSED"),IF($U466="PAID","Account paid. Action completed.","Account closed. No further action required."),CHOOSE($Z466,"Collection Email","1st Email Follow-up","2nd Email Follow-up","Escalation to Local Office","Escalation to CBE","Escalation to Roxanne")&amp;" sent "&amp;TEXT($AA466,"dd-mmm")&amp;". "&amp;IF($Z466=6,"Final escalation completed.",IF($U466="OVERDUE","Next: "&amp;$AC466&amp;" was due "&amp;TEXT($AB466,"dd-mmm")&amp;" - "&amp;(NETWORKDAYS($AB466,TODAY(),Holidays)-1)&amp;" business day(s) late. Send now.",IF($U466="DUE TOMORROW","Next: "&amp;$AC466&amp;IF($AB466&lt;=TODAY()," is due TODAY ("," is due next business day (")&amp;TEXT($AB466,"dd-mmm")&amp;").","Next: "&amp;$AC466&amp;" due "&amp;TEXT($AB466,"dd-mmm")&amp;" ("&amp;(NETWORKDAYS(TODAY(),$AB466,Holidays)-1)&amp;" business day(s) left).")))))</f>
        <v/>
      </c>
      <c r="W466" s="17">
        <f>IF($Z466="","",CHOOSE($Z466,"Collection Email","1st Follow-up","2nd Follow-up","Local Office","CBE","Roxanne")&amp;IF($Z466=6," - Final"," - Day "&amp;MAX(0,NETWORKDAYS($AA466,TODAY(),Holidays)-1)&amp;" of "&amp;CHOOSE($Z466,3,3,2,2,3))&amp;" | Total Day "&amp;MAX(0,NETWORKDAYS($N466,TODAY(),Holidays)-1))</f>
        <v/>
      </c>
      <c r="X466" s="18"/>
      <c r="Y466" s="18"/>
      <c r="Z466" s="17">
        <f>IF($N466="","",COUNT($N466:$S466))</f>
        <v/>
      </c>
      <c r="AA466" s="19">
        <f>IF($Z466="","",INT(INDEX($N466:$S466,$Z466)))</f>
        <v/>
      </c>
      <c r="AB466" s="19">
        <f>IF(OR($Z466="",$Z466=6),"",WORKDAY($AA466,CHOOSE($Z466,3,3,2,2,3),Holidays))</f>
        <v/>
      </c>
      <c r="AC466" s="17">
        <f>IF(OR($Z466="",$Z466=6),"",CHOOSE($Z466,"1st Email Follow-up","2nd Email Follow-up","Escalate Local Office","Escalate to CBE","Escalate to Roxanne"))</f>
        <v/>
      </c>
    </row>
    <row r="467" spans="13:29">
      <c r="M467" s="14"/>
      <c r="T467" s="16"/>
      <c r="U467" s="17">
        <f>IF(AND(COUNTA($A467:$L467)=0,$N467=""),"",IF($T467="Paid","PAID",IF($T467="Closed","CLOSED",IF($Z467="","",IF($Z467=6,"ESCALATED TO ROXANNE",IF(TODAY()&gt;$AB467,"OVERDUE",IF($AB467&lt;=WORKDAY(TODAY(),1,Holidays),"DUE TOMORROW",IF($Z467=4,"ESCALATED TO LOCAL OFFICE",IF($Z467=5,"ESCALATED TO CBE",IF($AA467=TODAY(),"EMAIL SENT","MONITORING"))))))))))</f>
        <v/>
      </c>
      <c r="V467" s="17">
        <f>IF($U467="",IF(AND(COUNTA($A467:$L467)&gt;0,$N467=""),"Awaiting Collection Email time stamp.",""),IF(OR($U467="PAID",$U467="CLOSED"),IF($U467="PAID","Account paid. Action completed.","Account closed. No further action required."),CHOOSE($Z467,"Collection Email","1st Email Follow-up","2nd Email Follow-up","Escalation to Local Office","Escalation to CBE","Escalation to Roxanne")&amp;" sent "&amp;TEXT($AA467,"dd-mmm")&amp;". "&amp;IF($Z467=6,"Final escalation completed.",IF($U467="OVERDUE","Next: "&amp;$AC467&amp;" was due "&amp;TEXT($AB467,"dd-mmm")&amp;" - "&amp;(NETWORKDAYS($AB467,TODAY(),Holidays)-1)&amp;" business day(s) late. Send now.",IF($U467="DUE TOMORROW","Next: "&amp;$AC467&amp;IF($AB467&lt;=TODAY()," is due TODAY ("," is due next business day (")&amp;TEXT($AB467,"dd-mmm")&amp;").","Next: "&amp;$AC467&amp;" due "&amp;TEXT($AB467,"dd-mmm")&amp;" ("&amp;(NETWORKDAYS(TODAY(),$AB467,Holidays)-1)&amp;" business day(s) left).")))))</f>
        <v/>
      </c>
      <c r="W467" s="17">
        <f>IF($Z467="","",CHOOSE($Z467,"Collection Email","1st Follow-up","2nd Follow-up","Local Office","CBE","Roxanne")&amp;IF($Z467=6," - Final"," - Day "&amp;MAX(0,NETWORKDAYS($AA467,TODAY(),Holidays)-1)&amp;" of "&amp;CHOOSE($Z467,3,3,2,2,3))&amp;" | Total Day "&amp;MAX(0,NETWORKDAYS($N467,TODAY(),Holidays)-1))</f>
        <v/>
      </c>
      <c r="X467" s="18"/>
      <c r="Y467" s="18"/>
      <c r="Z467" s="17">
        <f>IF($N467="","",COUNT($N467:$S467))</f>
        <v/>
      </c>
      <c r="AA467" s="19">
        <f>IF($Z467="","",INT(INDEX($N467:$S467,$Z467)))</f>
        <v/>
      </c>
      <c r="AB467" s="19">
        <f>IF(OR($Z467="",$Z467=6),"",WORKDAY($AA467,CHOOSE($Z467,3,3,2,2,3),Holidays))</f>
        <v/>
      </c>
      <c r="AC467" s="17">
        <f>IF(OR($Z467="",$Z467=6),"",CHOOSE($Z467,"1st Email Follow-up","2nd Email Follow-up","Escalate Local Office","Escalate to CBE","Escalate to Roxanne"))</f>
        <v/>
      </c>
    </row>
    <row r="468" spans="13:29">
      <c r="M468" s="14"/>
      <c r="T468" s="16"/>
      <c r="U468" s="17">
        <f>IF(AND(COUNTA($A468:$L468)=0,$N468=""),"",IF($T468="Paid","PAID",IF($T468="Closed","CLOSED",IF($Z468="","",IF($Z468=6,"ESCALATED TO ROXANNE",IF(TODAY()&gt;$AB468,"OVERDUE",IF($AB468&lt;=WORKDAY(TODAY(),1,Holidays),"DUE TOMORROW",IF($Z468=4,"ESCALATED TO LOCAL OFFICE",IF($Z468=5,"ESCALATED TO CBE",IF($AA468=TODAY(),"EMAIL SENT","MONITORING"))))))))))</f>
        <v/>
      </c>
      <c r="V468" s="17">
        <f>IF($U468="",IF(AND(COUNTA($A468:$L468)&gt;0,$N468=""),"Awaiting Collection Email time stamp.",""),IF(OR($U468="PAID",$U468="CLOSED"),IF($U468="PAID","Account paid. Action completed.","Account closed. No further action required."),CHOOSE($Z468,"Collection Email","1st Email Follow-up","2nd Email Follow-up","Escalation to Local Office","Escalation to CBE","Escalation to Roxanne")&amp;" sent "&amp;TEXT($AA468,"dd-mmm")&amp;". "&amp;IF($Z468=6,"Final escalation completed.",IF($U468="OVERDUE","Next: "&amp;$AC468&amp;" was due "&amp;TEXT($AB468,"dd-mmm")&amp;" - "&amp;(NETWORKDAYS($AB468,TODAY(),Holidays)-1)&amp;" business day(s) late. Send now.",IF($U468="DUE TOMORROW","Next: "&amp;$AC468&amp;IF($AB468&lt;=TODAY()," is due TODAY ("," is due next business day (")&amp;TEXT($AB468,"dd-mmm")&amp;").","Next: "&amp;$AC468&amp;" due "&amp;TEXT($AB468,"dd-mmm")&amp;" ("&amp;(NETWORKDAYS(TODAY(),$AB468,Holidays)-1)&amp;" business day(s) left).")))))</f>
        <v/>
      </c>
      <c r="W468" s="17">
        <f>IF($Z468="","",CHOOSE($Z468,"Collection Email","1st Follow-up","2nd Follow-up","Local Office","CBE","Roxanne")&amp;IF($Z468=6," - Final"," - Day "&amp;MAX(0,NETWORKDAYS($AA468,TODAY(),Holidays)-1)&amp;" of "&amp;CHOOSE($Z468,3,3,2,2,3))&amp;" | Total Day "&amp;MAX(0,NETWORKDAYS($N468,TODAY(),Holidays)-1))</f>
        <v/>
      </c>
      <c r="X468" s="18"/>
      <c r="Y468" s="18"/>
      <c r="Z468" s="17">
        <f>IF($N468="","",COUNT($N468:$S468))</f>
        <v/>
      </c>
      <c r="AA468" s="19">
        <f>IF($Z468="","",INT(INDEX($N468:$S468,$Z468)))</f>
        <v/>
      </c>
      <c r="AB468" s="19">
        <f>IF(OR($Z468="",$Z468=6),"",WORKDAY($AA468,CHOOSE($Z468,3,3,2,2,3),Holidays))</f>
        <v/>
      </c>
      <c r="AC468" s="17">
        <f>IF(OR($Z468="",$Z468=6),"",CHOOSE($Z468,"1st Email Follow-up","2nd Email Follow-up","Escalate Local Office","Escalate to CBE","Escalate to Roxanne"))</f>
        <v/>
      </c>
    </row>
    <row r="469" spans="13:29">
      <c r="M469" s="14"/>
      <c r="T469" s="16"/>
      <c r="U469" s="17">
        <f>IF(AND(COUNTA($A469:$L469)=0,$N469=""),"",IF($T469="Paid","PAID",IF($T469="Closed","CLOSED",IF($Z469="","",IF($Z469=6,"ESCALATED TO ROXANNE",IF(TODAY()&gt;$AB469,"OVERDUE",IF($AB469&lt;=WORKDAY(TODAY(),1,Holidays),"DUE TOMORROW",IF($Z469=4,"ESCALATED TO LOCAL OFFICE",IF($Z469=5,"ESCALATED TO CBE",IF($AA469=TODAY(),"EMAIL SENT","MONITORING"))))))))))</f>
        <v/>
      </c>
      <c r="V469" s="17">
        <f>IF($U469="",IF(AND(COUNTA($A469:$L469)&gt;0,$N469=""),"Awaiting Collection Email time stamp.",""),IF(OR($U469="PAID",$U469="CLOSED"),IF($U469="PAID","Account paid. Action completed.","Account closed. No further action required."),CHOOSE($Z469,"Collection Email","1st Email Follow-up","2nd Email Follow-up","Escalation to Local Office","Escalation to CBE","Escalation to Roxanne")&amp;" sent "&amp;TEXT($AA469,"dd-mmm")&amp;". "&amp;IF($Z469=6,"Final escalation completed.",IF($U469="OVERDUE","Next: "&amp;$AC469&amp;" was due "&amp;TEXT($AB469,"dd-mmm")&amp;" - "&amp;(NETWORKDAYS($AB469,TODAY(),Holidays)-1)&amp;" business day(s) late. Send now.",IF($U469="DUE TOMORROW","Next: "&amp;$AC469&amp;IF($AB469&lt;=TODAY()," is due TODAY ("," is due next business day (")&amp;TEXT($AB469,"dd-mmm")&amp;").","Next: "&amp;$AC469&amp;" due "&amp;TEXT($AB469,"dd-mmm")&amp;" ("&amp;(NETWORKDAYS(TODAY(),$AB469,Holidays)-1)&amp;" business day(s) left).")))))</f>
        <v/>
      </c>
      <c r="W469" s="17">
        <f>IF($Z469="","",CHOOSE($Z469,"Collection Email","1st Follow-up","2nd Follow-up","Local Office","CBE","Roxanne")&amp;IF($Z469=6," - Final"," - Day "&amp;MAX(0,NETWORKDAYS($AA469,TODAY(),Holidays)-1)&amp;" of "&amp;CHOOSE($Z469,3,3,2,2,3))&amp;" | Total Day "&amp;MAX(0,NETWORKDAYS($N469,TODAY(),Holidays)-1))</f>
        <v/>
      </c>
      <c r="X469" s="18"/>
      <c r="Y469" s="18"/>
      <c r="Z469" s="17">
        <f>IF($N469="","",COUNT($N469:$S469))</f>
        <v/>
      </c>
      <c r="AA469" s="19">
        <f>IF($Z469="","",INT(INDEX($N469:$S469,$Z469)))</f>
        <v/>
      </c>
      <c r="AB469" s="19">
        <f>IF(OR($Z469="",$Z469=6),"",WORKDAY($AA469,CHOOSE($Z469,3,3,2,2,3),Holidays))</f>
        <v/>
      </c>
      <c r="AC469" s="17">
        <f>IF(OR($Z469="",$Z469=6),"",CHOOSE($Z469,"1st Email Follow-up","2nd Email Follow-up","Escalate Local Office","Escalate to CBE","Escalate to Roxanne"))</f>
        <v/>
      </c>
    </row>
    <row r="470" spans="13:29">
      <c r="M470" s="14"/>
      <c r="T470" s="16"/>
      <c r="U470" s="17">
        <f>IF(AND(COUNTA($A470:$L470)=0,$N470=""),"",IF($T470="Paid","PAID",IF($T470="Closed","CLOSED",IF($Z470="","",IF($Z470=6,"ESCALATED TO ROXANNE",IF(TODAY()&gt;$AB470,"OVERDUE",IF($AB470&lt;=WORKDAY(TODAY(),1,Holidays),"DUE TOMORROW",IF($Z470=4,"ESCALATED TO LOCAL OFFICE",IF($Z470=5,"ESCALATED TO CBE",IF($AA470=TODAY(),"EMAIL SENT","MONITORING"))))))))))</f>
        <v/>
      </c>
      <c r="V470" s="17">
        <f>IF($U470="",IF(AND(COUNTA($A470:$L470)&gt;0,$N470=""),"Awaiting Collection Email time stamp.",""),IF(OR($U470="PAID",$U470="CLOSED"),IF($U470="PAID","Account paid. Action completed.","Account closed. No further action required."),CHOOSE($Z470,"Collection Email","1st Email Follow-up","2nd Email Follow-up","Escalation to Local Office","Escalation to CBE","Escalation to Roxanne")&amp;" sent "&amp;TEXT($AA470,"dd-mmm")&amp;". "&amp;IF($Z470=6,"Final escalation completed.",IF($U470="OVERDUE","Next: "&amp;$AC470&amp;" was due "&amp;TEXT($AB470,"dd-mmm")&amp;" - "&amp;(NETWORKDAYS($AB470,TODAY(),Holidays)-1)&amp;" business day(s) late. Send now.",IF($U470="DUE TOMORROW","Next: "&amp;$AC470&amp;IF($AB470&lt;=TODAY()," is due TODAY ("," is due next business day (")&amp;TEXT($AB470,"dd-mmm")&amp;").","Next: "&amp;$AC470&amp;" due "&amp;TEXT($AB470,"dd-mmm")&amp;" ("&amp;(NETWORKDAYS(TODAY(),$AB470,Holidays)-1)&amp;" business day(s) left).")))))</f>
        <v/>
      </c>
      <c r="W470" s="17">
        <f>IF($Z470="","",CHOOSE($Z470,"Collection Email","1st Follow-up","2nd Follow-up","Local Office","CBE","Roxanne")&amp;IF($Z470=6," - Final"," - Day "&amp;MAX(0,NETWORKDAYS($AA470,TODAY(),Holidays)-1)&amp;" of "&amp;CHOOSE($Z470,3,3,2,2,3))&amp;" | Total Day "&amp;MAX(0,NETWORKDAYS($N470,TODAY(),Holidays)-1))</f>
        <v/>
      </c>
      <c r="X470" s="18"/>
      <c r="Y470" s="18"/>
      <c r="Z470" s="17">
        <f>IF($N470="","",COUNT($N470:$S470))</f>
        <v/>
      </c>
      <c r="AA470" s="19">
        <f>IF($Z470="","",INT(INDEX($N470:$S470,$Z470)))</f>
        <v/>
      </c>
      <c r="AB470" s="19">
        <f>IF(OR($Z470="",$Z470=6),"",WORKDAY($AA470,CHOOSE($Z470,3,3,2,2,3),Holidays))</f>
        <v/>
      </c>
      <c r="AC470" s="17">
        <f>IF(OR($Z470="",$Z470=6),"",CHOOSE($Z470,"1st Email Follow-up","2nd Email Follow-up","Escalate Local Office","Escalate to CBE","Escalate to Roxanne"))</f>
        <v/>
      </c>
    </row>
    <row r="471" spans="13:29">
      <c r="M471" s="14"/>
      <c r="T471" s="16"/>
      <c r="U471" s="17">
        <f>IF(AND(COUNTA($A471:$L471)=0,$N471=""),"",IF($T471="Paid","PAID",IF($T471="Closed","CLOSED",IF($Z471="","",IF($Z471=6,"ESCALATED TO ROXANNE",IF(TODAY()&gt;$AB471,"OVERDUE",IF($AB471&lt;=WORKDAY(TODAY(),1,Holidays),"DUE TOMORROW",IF($Z471=4,"ESCALATED TO LOCAL OFFICE",IF($Z471=5,"ESCALATED TO CBE",IF($AA471=TODAY(),"EMAIL SENT","MONITORING"))))))))))</f>
        <v/>
      </c>
      <c r="V471" s="17">
        <f>IF($U471="",IF(AND(COUNTA($A471:$L471)&gt;0,$N471=""),"Awaiting Collection Email time stamp.",""),IF(OR($U471="PAID",$U471="CLOSED"),IF($U471="PAID","Account paid. Action completed.","Account closed. No further action required."),CHOOSE($Z471,"Collection Email","1st Email Follow-up","2nd Email Follow-up","Escalation to Local Office","Escalation to CBE","Escalation to Roxanne")&amp;" sent "&amp;TEXT($AA471,"dd-mmm")&amp;". "&amp;IF($Z471=6,"Final escalation completed.",IF($U471="OVERDUE","Next: "&amp;$AC471&amp;" was due "&amp;TEXT($AB471,"dd-mmm")&amp;" - "&amp;(NETWORKDAYS($AB471,TODAY(),Holidays)-1)&amp;" business day(s) late. Send now.",IF($U471="DUE TOMORROW","Next: "&amp;$AC471&amp;IF($AB471&lt;=TODAY()," is due TODAY ("," is due next business day (")&amp;TEXT($AB471,"dd-mmm")&amp;").","Next: "&amp;$AC471&amp;" due "&amp;TEXT($AB471,"dd-mmm")&amp;" ("&amp;(NETWORKDAYS(TODAY(),$AB471,Holidays)-1)&amp;" business day(s) left).")))))</f>
        <v/>
      </c>
      <c r="W471" s="17">
        <f>IF($Z471="","",CHOOSE($Z471,"Collection Email","1st Follow-up","2nd Follow-up","Local Office","CBE","Roxanne")&amp;IF($Z471=6," - Final"," - Day "&amp;MAX(0,NETWORKDAYS($AA471,TODAY(),Holidays)-1)&amp;" of "&amp;CHOOSE($Z471,3,3,2,2,3))&amp;" | Total Day "&amp;MAX(0,NETWORKDAYS($N471,TODAY(),Holidays)-1))</f>
        <v/>
      </c>
      <c r="X471" s="18"/>
      <c r="Y471" s="18"/>
      <c r="Z471" s="17">
        <f>IF($N471="","",COUNT($N471:$S471))</f>
        <v/>
      </c>
      <c r="AA471" s="19">
        <f>IF($Z471="","",INT(INDEX($N471:$S471,$Z471)))</f>
        <v/>
      </c>
      <c r="AB471" s="19">
        <f>IF(OR($Z471="",$Z471=6),"",WORKDAY($AA471,CHOOSE($Z471,3,3,2,2,3),Holidays))</f>
        <v/>
      </c>
      <c r="AC471" s="17">
        <f>IF(OR($Z471="",$Z471=6),"",CHOOSE($Z471,"1st Email Follow-up","2nd Email Follow-up","Escalate Local Office","Escalate to CBE","Escalate to Roxanne"))</f>
        <v/>
      </c>
    </row>
    <row r="472" spans="13:29">
      <c r="M472" s="14"/>
      <c r="T472" s="16"/>
      <c r="U472" s="17">
        <f>IF(AND(COUNTA($A472:$L472)=0,$N472=""),"",IF($T472="Paid","PAID",IF($T472="Closed","CLOSED",IF($Z472="","",IF($Z472=6,"ESCALATED TO ROXANNE",IF(TODAY()&gt;$AB472,"OVERDUE",IF($AB472&lt;=WORKDAY(TODAY(),1,Holidays),"DUE TOMORROW",IF($Z472=4,"ESCALATED TO LOCAL OFFICE",IF($Z472=5,"ESCALATED TO CBE",IF($AA472=TODAY(),"EMAIL SENT","MONITORING"))))))))))</f>
        <v/>
      </c>
      <c r="V472" s="17">
        <f>IF($U472="",IF(AND(COUNTA($A472:$L472)&gt;0,$N472=""),"Awaiting Collection Email time stamp.",""),IF(OR($U472="PAID",$U472="CLOSED"),IF($U472="PAID","Account paid. Action completed.","Account closed. No further action required."),CHOOSE($Z472,"Collection Email","1st Email Follow-up","2nd Email Follow-up","Escalation to Local Office","Escalation to CBE","Escalation to Roxanne")&amp;" sent "&amp;TEXT($AA472,"dd-mmm")&amp;". "&amp;IF($Z472=6,"Final escalation completed.",IF($U472="OVERDUE","Next: "&amp;$AC472&amp;" was due "&amp;TEXT($AB472,"dd-mmm")&amp;" - "&amp;(NETWORKDAYS($AB472,TODAY(),Holidays)-1)&amp;" business day(s) late. Send now.",IF($U472="DUE TOMORROW","Next: "&amp;$AC472&amp;IF($AB472&lt;=TODAY()," is due TODAY ("," is due next business day (")&amp;TEXT($AB472,"dd-mmm")&amp;").","Next: "&amp;$AC472&amp;" due "&amp;TEXT($AB472,"dd-mmm")&amp;" ("&amp;(NETWORKDAYS(TODAY(),$AB472,Holidays)-1)&amp;" business day(s) left).")))))</f>
        <v/>
      </c>
      <c r="W472" s="17">
        <f>IF($Z472="","",CHOOSE($Z472,"Collection Email","1st Follow-up","2nd Follow-up","Local Office","CBE","Roxanne")&amp;IF($Z472=6," - Final"," - Day "&amp;MAX(0,NETWORKDAYS($AA472,TODAY(),Holidays)-1)&amp;" of "&amp;CHOOSE($Z472,3,3,2,2,3))&amp;" | Total Day "&amp;MAX(0,NETWORKDAYS($N472,TODAY(),Holidays)-1))</f>
        <v/>
      </c>
      <c r="X472" s="18"/>
      <c r="Y472" s="18"/>
      <c r="Z472" s="17">
        <f>IF($N472="","",COUNT($N472:$S472))</f>
        <v/>
      </c>
      <c r="AA472" s="19">
        <f>IF($Z472="","",INT(INDEX($N472:$S472,$Z472)))</f>
        <v/>
      </c>
      <c r="AB472" s="19">
        <f>IF(OR($Z472="",$Z472=6),"",WORKDAY($AA472,CHOOSE($Z472,3,3,2,2,3),Holidays))</f>
        <v/>
      </c>
      <c r="AC472" s="17">
        <f>IF(OR($Z472="",$Z472=6),"",CHOOSE($Z472,"1st Email Follow-up","2nd Email Follow-up","Escalate Local Office","Escalate to CBE","Escalate to Roxanne"))</f>
        <v/>
      </c>
    </row>
    <row r="473" spans="13:29">
      <c r="M473" s="14"/>
      <c r="T473" s="16"/>
      <c r="U473" s="17">
        <f>IF(AND(COUNTA($A473:$L473)=0,$N473=""),"",IF($T473="Paid","PAID",IF($T473="Closed","CLOSED",IF($Z473="","",IF($Z473=6,"ESCALATED TO ROXANNE",IF(TODAY()&gt;$AB473,"OVERDUE",IF($AB473&lt;=WORKDAY(TODAY(),1,Holidays),"DUE TOMORROW",IF($Z473=4,"ESCALATED TO LOCAL OFFICE",IF($Z473=5,"ESCALATED TO CBE",IF($AA473=TODAY(),"EMAIL SENT","MONITORING"))))))))))</f>
        <v/>
      </c>
      <c r="V473" s="17">
        <f>IF($U473="",IF(AND(COUNTA($A473:$L473)&gt;0,$N473=""),"Awaiting Collection Email time stamp.",""),IF(OR($U473="PAID",$U473="CLOSED"),IF($U473="PAID","Account paid. Action completed.","Account closed. No further action required."),CHOOSE($Z473,"Collection Email","1st Email Follow-up","2nd Email Follow-up","Escalation to Local Office","Escalation to CBE","Escalation to Roxanne")&amp;" sent "&amp;TEXT($AA473,"dd-mmm")&amp;". "&amp;IF($Z473=6,"Final escalation completed.",IF($U473="OVERDUE","Next: "&amp;$AC473&amp;" was due "&amp;TEXT($AB473,"dd-mmm")&amp;" - "&amp;(NETWORKDAYS($AB473,TODAY(),Holidays)-1)&amp;" business day(s) late. Send now.",IF($U473="DUE TOMORROW","Next: "&amp;$AC473&amp;IF($AB473&lt;=TODAY()," is due TODAY ("," is due next business day (")&amp;TEXT($AB473,"dd-mmm")&amp;").","Next: "&amp;$AC473&amp;" due "&amp;TEXT($AB473,"dd-mmm")&amp;" ("&amp;(NETWORKDAYS(TODAY(),$AB473,Holidays)-1)&amp;" business day(s) left).")))))</f>
        <v/>
      </c>
      <c r="W473" s="17">
        <f>IF($Z473="","",CHOOSE($Z473,"Collection Email","1st Follow-up","2nd Follow-up","Local Office","CBE","Roxanne")&amp;IF($Z473=6," - Final"," - Day "&amp;MAX(0,NETWORKDAYS($AA473,TODAY(),Holidays)-1)&amp;" of "&amp;CHOOSE($Z473,3,3,2,2,3))&amp;" | Total Day "&amp;MAX(0,NETWORKDAYS($N473,TODAY(),Holidays)-1))</f>
        <v/>
      </c>
      <c r="X473" s="18"/>
      <c r="Y473" s="18"/>
      <c r="Z473" s="17">
        <f>IF($N473="","",COUNT($N473:$S473))</f>
        <v/>
      </c>
      <c r="AA473" s="19">
        <f>IF($Z473="","",INT(INDEX($N473:$S473,$Z473)))</f>
        <v/>
      </c>
      <c r="AB473" s="19">
        <f>IF(OR($Z473="",$Z473=6),"",WORKDAY($AA473,CHOOSE($Z473,3,3,2,2,3),Holidays))</f>
        <v/>
      </c>
      <c r="AC473" s="17">
        <f>IF(OR($Z473="",$Z473=6),"",CHOOSE($Z473,"1st Email Follow-up","2nd Email Follow-up","Escalate Local Office","Escalate to CBE","Escalate to Roxanne"))</f>
        <v/>
      </c>
    </row>
    <row r="474" spans="13:29">
      <c r="M474" s="14"/>
      <c r="T474" s="16"/>
      <c r="U474" s="17">
        <f>IF(AND(COUNTA($A474:$L474)=0,$N474=""),"",IF($T474="Paid","PAID",IF($T474="Closed","CLOSED",IF($Z474="","",IF($Z474=6,"ESCALATED TO ROXANNE",IF(TODAY()&gt;$AB474,"OVERDUE",IF($AB474&lt;=WORKDAY(TODAY(),1,Holidays),"DUE TOMORROW",IF($Z474=4,"ESCALATED TO LOCAL OFFICE",IF($Z474=5,"ESCALATED TO CBE",IF($AA474=TODAY(),"EMAIL SENT","MONITORING"))))))))))</f>
        <v/>
      </c>
      <c r="V474" s="17">
        <f>IF($U474="",IF(AND(COUNTA($A474:$L474)&gt;0,$N474=""),"Awaiting Collection Email time stamp.",""),IF(OR($U474="PAID",$U474="CLOSED"),IF($U474="PAID","Account paid. Action completed.","Account closed. No further action required."),CHOOSE($Z474,"Collection Email","1st Email Follow-up","2nd Email Follow-up","Escalation to Local Office","Escalation to CBE","Escalation to Roxanne")&amp;" sent "&amp;TEXT($AA474,"dd-mmm")&amp;". "&amp;IF($Z474=6,"Final escalation completed.",IF($U474="OVERDUE","Next: "&amp;$AC474&amp;" was due "&amp;TEXT($AB474,"dd-mmm")&amp;" - "&amp;(NETWORKDAYS($AB474,TODAY(),Holidays)-1)&amp;" business day(s) late. Send now.",IF($U474="DUE TOMORROW","Next: "&amp;$AC474&amp;IF($AB474&lt;=TODAY()," is due TODAY ("," is due next business day (")&amp;TEXT($AB474,"dd-mmm")&amp;").","Next: "&amp;$AC474&amp;" due "&amp;TEXT($AB474,"dd-mmm")&amp;" ("&amp;(NETWORKDAYS(TODAY(),$AB474,Holidays)-1)&amp;" business day(s) left).")))))</f>
        <v/>
      </c>
      <c r="W474" s="17">
        <f>IF($Z474="","",CHOOSE($Z474,"Collection Email","1st Follow-up","2nd Follow-up","Local Office","CBE","Roxanne")&amp;IF($Z474=6," - Final"," - Day "&amp;MAX(0,NETWORKDAYS($AA474,TODAY(),Holidays)-1)&amp;" of "&amp;CHOOSE($Z474,3,3,2,2,3))&amp;" | Total Day "&amp;MAX(0,NETWORKDAYS($N474,TODAY(),Holidays)-1))</f>
        <v/>
      </c>
      <c r="X474" s="18"/>
      <c r="Y474" s="18"/>
      <c r="Z474" s="17">
        <f>IF($N474="","",COUNT($N474:$S474))</f>
        <v/>
      </c>
      <c r="AA474" s="19">
        <f>IF($Z474="","",INT(INDEX($N474:$S474,$Z474)))</f>
        <v/>
      </c>
      <c r="AB474" s="19">
        <f>IF(OR($Z474="",$Z474=6),"",WORKDAY($AA474,CHOOSE($Z474,3,3,2,2,3),Holidays))</f>
        <v/>
      </c>
      <c r="AC474" s="17">
        <f>IF(OR($Z474="",$Z474=6),"",CHOOSE($Z474,"1st Email Follow-up","2nd Email Follow-up","Escalate Local Office","Escalate to CBE","Escalate to Roxanne"))</f>
        <v/>
      </c>
    </row>
    <row r="475" spans="13:29">
      <c r="M475" s="14"/>
      <c r="T475" s="16"/>
      <c r="U475" s="17">
        <f>IF(AND(COUNTA($A475:$L475)=0,$N475=""),"",IF($T475="Paid","PAID",IF($T475="Closed","CLOSED",IF($Z475="","",IF($Z475=6,"ESCALATED TO ROXANNE",IF(TODAY()&gt;$AB475,"OVERDUE",IF($AB475&lt;=WORKDAY(TODAY(),1,Holidays),"DUE TOMORROW",IF($Z475=4,"ESCALATED TO LOCAL OFFICE",IF($Z475=5,"ESCALATED TO CBE",IF($AA475=TODAY(),"EMAIL SENT","MONITORING"))))))))))</f>
        <v/>
      </c>
      <c r="V475" s="17">
        <f>IF($U475="",IF(AND(COUNTA($A475:$L475)&gt;0,$N475=""),"Awaiting Collection Email time stamp.",""),IF(OR($U475="PAID",$U475="CLOSED"),IF($U475="PAID","Account paid. Action completed.","Account closed. No further action required."),CHOOSE($Z475,"Collection Email","1st Email Follow-up","2nd Email Follow-up","Escalation to Local Office","Escalation to CBE","Escalation to Roxanne")&amp;" sent "&amp;TEXT($AA475,"dd-mmm")&amp;". "&amp;IF($Z475=6,"Final escalation completed.",IF($U475="OVERDUE","Next: "&amp;$AC475&amp;" was due "&amp;TEXT($AB475,"dd-mmm")&amp;" - "&amp;(NETWORKDAYS($AB475,TODAY(),Holidays)-1)&amp;" business day(s) late. Send now.",IF($U475="DUE TOMORROW","Next: "&amp;$AC475&amp;IF($AB475&lt;=TODAY()," is due TODAY ("," is due next business day (")&amp;TEXT($AB475,"dd-mmm")&amp;").","Next: "&amp;$AC475&amp;" due "&amp;TEXT($AB475,"dd-mmm")&amp;" ("&amp;(NETWORKDAYS(TODAY(),$AB475,Holidays)-1)&amp;" business day(s) left).")))))</f>
        <v/>
      </c>
      <c r="W475" s="17">
        <f>IF($Z475="","",CHOOSE($Z475,"Collection Email","1st Follow-up","2nd Follow-up","Local Office","CBE","Roxanne")&amp;IF($Z475=6," - Final"," - Day "&amp;MAX(0,NETWORKDAYS($AA475,TODAY(),Holidays)-1)&amp;" of "&amp;CHOOSE($Z475,3,3,2,2,3))&amp;" | Total Day "&amp;MAX(0,NETWORKDAYS($N475,TODAY(),Holidays)-1))</f>
        <v/>
      </c>
      <c r="X475" s="18"/>
      <c r="Y475" s="18"/>
      <c r="Z475" s="17">
        <f>IF($N475="","",COUNT($N475:$S475))</f>
        <v/>
      </c>
      <c r="AA475" s="19">
        <f>IF($Z475="","",INT(INDEX($N475:$S475,$Z475)))</f>
        <v/>
      </c>
      <c r="AB475" s="19">
        <f>IF(OR($Z475="",$Z475=6),"",WORKDAY($AA475,CHOOSE($Z475,3,3,2,2,3),Holidays))</f>
        <v/>
      </c>
      <c r="AC475" s="17">
        <f>IF(OR($Z475="",$Z475=6),"",CHOOSE($Z475,"1st Email Follow-up","2nd Email Follow-up","Escalate Local Office","Escalate to CBE","Escalate to Roxanne"))</f>
        <v/>
      </c>
    </row>
    <row r="476" spans="13:29">
      <c r="M476" s="14"/>
      <c r="T476" s="16"/>
      <c r="U476" s="17">
        <f>IF(AND(COUNTA($A476:$L476)=0,$N476=""),"",IF($T476="Paid","PAID",IF($T476="Closed","CLOSED",IF($Z476="","",IF($Z476=6,"ESCALATED TO ROXANNE",IF(TODAY()&gt;$AB476,"OVERDUE",IF($AB476&lt;=WORKDAY(TODAY(),1,Holidays),"DUE TOMORROW",IF($Z476=4,"ESCALATED TO LOCAL OFFICE",IF($Z476=5,"ESCALATED TO CBE",IF($AA476=TODAY(),"EMAIL SENT","MONITORING"))))))))))</f>
        <v/>
      </c>
      <c r="V476" s="17">
        <f>IF($U476="",IF(AND(COUNTA($A476:$L476)&gt;0,$N476=""),"Awaiting Collection Email time stamp.",""),IF(OR($U476="PAID",$U476="CLOSED"),IF($U476="PAID","Account paid. Action completed.","Account closed. No further action required."),CHOOSE($Z476,"Collection Email","1st Email Follow-up","2nd Email Follow-up","Escalation to Local Office","Escalation to CBE","Escalation to Roxanne")&amp;" sent "&amp;TEXT($AA476,"dd-mmm")&amp;". "&amp;IF($Z476=6,"Final escalation completed.",IF($U476="OVERDUE","Next: "&amp;$AC476&amp;" was due "&amp;TEXT($AB476,"dd-mmm")&amp;" - "&amp;(NETWORKDAYS($AB476,TODAY(),Holidays)-1)&amp;" business day(s) late. Send now.",IF($U476="DUE TOMORROW","Next: "&amp;$AC476&amp;IF($AB476&lt;=TODAY()," is due TODAY ("," is due next business day (")&amp;TEXT($AB476,"dd-mmm")&amp;").","Next: "&amp;$AC476&amp;" due "&amp;TEXT($AB476,"dd-mmm")&amp;" ("&amp;(NETWORKDAYS(TODAY(),$AB476,Holidays)-1)&amp;" business day(s) left).")))))</f>
        <v/>
      </c>
      <c r="W476" s="17">
        <f>IF($Z476="","",CHOOSE($Z476,"Collection Email","1st Follow-up","2nd Follow-up","Local Office","CBE","Roxanne")&amp;IF($Z476=6," - Final"," - Day "&amp;MAX(0,NETWORKDAYS($AA476,TODAY(),Holidays)-1)&amp;" of "&amp;CHOOSE($Z476,3,3,2,2,3))&amp;" | Total Day "&amp;MAX(0,NETWORKDAYS($N476,TODAY(),Holidays)-1))</f>
        <v/>
      </c>
      <c r="X476" s="18"/>
      <c r="Y476" s="18"/>
      <c r="Z476" s="17">
        <f>IF($N476="","",COUNT($N476:$S476))</f>
        <v/>
      </c>
      <c r="AA476" s="19">
        <f>IF($Z476="","",INT(INDEX($N476:$S476,$Z476)))</f>
        <v/>
      </c>
      <c r="AB476" s="19">
        <f>IF(OR($Z476="",$Z476=6),"",WORKDAY($AA476,CHOOSE($Z476,3,3,2,2,3),Holidays))</f>
        <v/>
      </c>
      <c r="AC476" s="17">
        <f>IF(OR($Z476="",$Z476=6),"",CHOOSE($Z476,"1st Email Follow-up","2nd Email Follow-up","Escalate Local Office","Escalate to CBE","Escalate to Roxanne"))</f>
        <v/>
      </c>
    </row>
    <row r="477" spans="13:29">
      <c r="M477" s="14"/>
      <c r="T477" s="16"/>
      <c r="U477" s="17">
        <f>IF(AND(COUNTA($A477:$L477)=0,$N477=""),"",IF($T477="Paid","PAID",IF($T477="Closed","CLOSED",IF($Z477="","",IF($Z477=6,"ESCALATED TO ROXANNE",IF(TODAY()&gt;$AB477,"OVERDUE",IF($AB477&lt;=WORKDAY(TODAY(),1,Holidays),"DUE TOMORROW",IF($Z477=4,"ESCALATED TO LOCAL OFFICE",IF($Z477=5,"ESCALATED TO CBE",IF($AA477=TODAY(),"EMAIL SENT","MONITORING"))))))))))</f>
        <v/>
      </c>
      <c r="V477" s="17">
        <f>IF($U477="",IF(AND(COUNTA($A477:$L477)&gt;0,$N477=""),"Awaiting Collection Email time stamp.",""),IF(OR($U477="PAID",$U477="CLOSED"),IF($U477="PAID","Account paid. Action completed.","Account closed. No further action required."),CHOOSE($Z477,"Collection Email","1st Email Follow-up","2nd Email Follow-up","Escalation to Local Office","Escalation to CBE","Escalation to Roxanne")&amp;" sent "&amp;TEXT($AA477,"dd-mmm")&amp;". "&amp;IF($Z477=6,"Final escalation completed.",IF($U477="OVERDUE","Next: "&amp;$AC477&amp;" was due "&amp;TEXT($AB477,"dd-mmm")&amp;" - "&amp;(NETWORKDAYS($AB477,TODAY(),Holidays)-1)&amp;" business day(s) late. Send now.",IF($U477="DUE TOMORROW","Next: "&amp;$AC477&amp;IF($AB477&lt;=TODAY()," is due TODAY ("," is due next business day (")&amp;TEXT($AB477,"dd-mmm")&amp;").","Next: "&amp;$AC477&amp;" due "&amp;TEXT($AB477,"dd-mmm")&amp;" ("&amp;(NETWORKDAYS(TODAY(),$AB477,Holidays)-1)&amp;" business day(s) left).")))))</f>
        <v/>
      </c>
      <c r="W477" s="17">
        <f>IF($Z477="","",CHOOSE($Z477,"Collection Email","1st Follow-up","2nd Follow-up","Local Office","CBE","Roxanne")&amp;IF($Z477=6," - Final"," - Day "&amp;MAX(0,NETWORKDAYS($AA477,TODAY(),Holidays)-1)&amp;" of "&amp;CHOOSE($Z477,3,3,2,2,3))&amp;" | Total Day "&amp;MAX(0,NETWORKDAYS($N477,TODAY(),Holidays)-1))</f>
        <v/>
      </c>
      <c r="X477" s="18"/>
      <c r="Y477" s="18"/>
      <c r="Z477" s="17">
        <f>IF($N477="","",COUNT($N477:$S477))</f>
        <v/>
      </c>
      <c r="AA477" s="19">
        <f>IF($Z477="","",INT(INDEX($N477:$S477,$Z477)))</f>
        <v/>
      </c>
      <c r="AB477" s="19">
        <f>IF(OR($Z477="",$Z477=6),"",WORKDAY($AA477,CHOOSE($Z477,3,3,2,2,3),Holidays))</f>
        <v/>
      </c>
      <c r="AC477" s="17">
        <f>IF(OR($Z477="",$Z477=6),"",CHOOSE($Z477,"1st Email Follow-up","2nd Email Follow-up","Escalate Local Office","Escalate to CBE","Escalate to Roxanne"))</f>
        <v/>
      </c>
    </row>
    <row r="478" spans="13:29">
      <c r="M478" s="14"/>
      <c r="T478" s="16"/>
      <c r="U478" s="17">
        <f>IF(AND(COUNTA($A478:$L478)=0,$N478=""),"",IF($T478="Paid","PAID",IF($T478="Closed","CLOSED",IF($Z478="","",IF($Z478=6,"ESCALATED TO ROXANNE",IF(TODAY()&gt;$AB478,"OVERDUE",IF($AB478&lt;=WORKDAY(TODAY(),1,Holidays),"DUE TOMORROW",IF($Z478=4,"ESCALATED TO LOCAL OFFICE",IF($Z478=5,"ESCALATED TO CBE",IF($AA478=TODAY(),"EMAIL SENT","MONITORING"))))))))))</f>
        <v/>
      </c>
      <c r="V478" s="17">
        <f>IF($U478="",IF(AND(COUNTA($A478:$L478)&gt;0,$N478=""),"Awaiting Collection Email time stamp.",""),IF(OR($U478="PAID",$U478="CLOSED"),IF($U478="PAID","Account paid. Action completed.","Account closed. No further action required."),CHOOSE($Z478,"Collection Email","1st Email Follow-up","2nd Email Follow-up","Escalation to Local Office","Escalation to CBE","Escalation to Roxanne")&amp;" sent "&amp;TEXT($AA478,"dd-mmm")&amp;". "&amp;IF($Z478=6,"Final escalation completed.",IF($U478="OVERDUE","Next: "&amp;$AC478&amp;" was due "&amp;TEXT($AB478,"dd-mmm")&amp;" - "&amp;(NETWORKDAYS($AB478,TODAY(),Holidays)-1)&amp;" business day(s) late. Send now.",IF($U478="DUE TOMORROW","Next: "&amp;$AC478&amp;IF($AB478&lt;=TODAY()," is due TODAY ("," is due next business day (")&amp;TEXT($AB478,"dd-mmm")&amp;").","Next: "&amp;$AC478&amp;" due "&amp;TEXT($AB478,"dd-mmm")&amp;" ("&amp;(NETWORKDAYS(TODAY(),$AB478,Holidays)-1)&amp;" business day(s) left).")))))</f>
        <v/>
      </c>
      <c r="W478" s="17">
        <f>IF($Z478="","",CHOOSE($Z478,"Collection Email","1st Follow-up","2nd Follow-up","Local Office","CBE","Roxanne")&amp;IF($Z478=6," - Final"," - Day "&amp;MAX(0,NETWORKDAYS($AA478,TODAY(),Holidays)-1)&amp;" of "&amp;CHOOSE($Z478,3,3,2,2,3))&amp;" | Total Day "&amp;MAX(0,NETWORKDAYS($N478,TODAY(),Holidays)-1))</f>
        <v/>
      </c>
      <c r="X478" s="18"/>
      <c r="Y478" s="18"/>
      <c r="Z478" s="17">
        <f>IF($N478="","",COUNT($N478:$S478))</f>
        <v/>
      </c>
      <c r="AA478" s="19">
        <f>IF($Z478="","",INT(INDEX($N478:$S478,$Z478)))</f>
        <v/>
      </c>
      <c r="AB478" s="19">
        <f>IF(OR($Z478="",$Z478=6),"",WORKDAY($AA478,CHOOSE($Z478,3,3,2,2,3),Holidays))</f>
        <v/>
      </c>
      <c r="AC478" s="17">
        <f>IF(OR($Z478="",$Z478=6),"",CHOOSE($Z478,"1st Email Follow-up","2nd Email Follow-up","Escalate Local Office","Escalate to CBE","Escalate to Roxanne"))</f>
        <v/>
      </c>
    </row>
    <row r="479" spans="13:29">
      <c r="M479" s="14"/>
      <c r="T479" s="16"/>
      <c r="U479" s="17">
        <f>IF(AND(COUNTA($A479:$L479)=0,$N479=""),"",IF($T479="Paid","PAID",IF($T479="Closed","CLOSED",IF($Z479="","",IF($Z479=6,"ESCALATED TO ROXANNE",IF(TODAY()&gt;$AB479,"OVERDUE",IF($AB479&lt;=WORKDAY(TODAY(),1,Holidays),"DUE TOMORROW",IF($Z479=4,"ESCALATED TO LOCAL OFFICE",IF($Z479=5,"ESCALATED TO CBE",IF($AA479=TODAY(),"EMAIL SENT","MONITORING"))))))))))</f>
        <v/>
      </c>
      <c r="V479" s="17">
        <f>IF($U479="",IF(AND(COUNTA($A479:$L479)&gt;0,$N479=""),"Awaiting Collection Email time stamp.",""),IF(OR($U479="PAID",$U479="CLOSED"),IF($U479="PAID","Account paid. Action completed.","Account closed. No further action required."),CHOOSE($Z479,"Collection Email","1st Email Follow-up","2nd Email Follow-up","Escalation to Local Office","Escalation to CBE","Escalation to Roxanne")&amp;" sent "&amp;TEXT($AA479,"dd-mmm")&amp;". "&amp;IF($Z479=6,"Final escalation completed.",IF($U479="OVERDUE","Next: "&amp;$AC479&amp;" was due "&amp;TEXT($AB479,"dd-mmm")&amp;" - "&amp;(NETWORKDAYS($AB479,TODAY(),Holidays)-1)&amp;" business day(s) late. Send now.",IF($U479="DUE TOMORROW","Next: "&amp;$AC479&amp;IF($AB479&lt;=TODAY()," is due TODAY ("," is due next business day (")&amp;TEXT($AB479,"dd-mmm")&amp;").","Next: "&amp;$AC479&amp;" due "&amp;TEXT($AB479,"dd-mmm")&amp;" ("&amp;(NETWORKDAYS(TODAY(),$AB479,Holidays)-1)&amp;" business day(s) left).")))))</f>
        <v/>
      </c>
      <c r="W479" s="17">
        <f>IF($Z479="","",CHOOSE($Z479,"Collection Email","1st Follow-up","2nd Follow-up","Local Office","CBE","Roxanne")&amp;IF($Z479=6," - Final"," - Day "&amp;MAX(0,NETWORKDAYS($AA479,TODAY(),Holidays)-1)&amp;" of "&amp;CHOOSE($Z479,3,3,2,2,3))&amp;" | Total Day "&amp;MAX(0,NETWORKDAYS($N479,TODAY(),Holidays)-1))</f>
        <v/>
      </c>
      <c r="X479" s="18"/>
      <c r="Y479" s="18"/>
      <c r="Z479" s="17">
        <f>IF($N479="","",COUNT($N479:$S479))</f>
        <v/>
      </c>
      <c r="AA479" s="19">
        <f>IF($Z479="","",INT(INDEX($N479:$S479,$Z479)))</f>
        <v/>
      </c>
      <c r="AB479" s="19">
        <f>IF(OR($Z479="",$Z479=6),"",WORKDAY($AA479,CHOOSE($Z479,3,3,2,2,3),Holidays))</f>
        <v/>
      </c>
      <c r="AC479" s="17">
        <f>IF(OR($Z479="",$Z479=6),"",CHOOSE($Z479,"1st Email Follow-up","2nd Email Follow-up","Escalate Local Office","Escalate to CBE","Escalate to Roxanne"))</f>
        <v/>
      </c>
    </row>
    <row r="480" spans="13:29">
      <c r="M480" s="14"/>
      <c r="T480" s="16"/>
      <c r="U480" s="17">
        <f>IF(AND(COUNTA($A480:$L480)=0,$N480=""),"",IF($T480="Paid","PAID",IF($T480="Closed","CLOSED",IF($Z480="","",IF($Z480=6,"ESCALATED TO ROXANNE",IF(TODAY()&gt;$AB480,"OVERDUE",IF($AB480&lt;=WORKDAY(TODAY(),1,Holidays),"DUE TOMORROW",IF($Z480=4,"ESCALATED TO LOCAL OFFICE",IF($Z480=5,"ESCALATED TO CBE",IF($AA480=TODAY(),"EMAIL SENT","MONITORING"))))))))))</f>
        <v/>
      </c>
      <c r="V480" s="17">
        <f>IF($U480="",IF(AND(COUNTA($A480:$L480)&gt;0,$N480=""),"Awaiting Collection Email time stamp.",""),IF(OR($U480="PAID",$U480="CLOSED"),IF($U480="PAID","Account paid. Action completed.","Account closed. No further action required."),CHOOSE($Z480,"Collection Email","1st Email Follow-up","2nd Email Follow-up","Escalation to Local Office","Escalation to CBE","Escalation to Roxanne")&amp;" sent "&amp;TEXT($AA480,"dd-mmm")&amp;". "&amp;IF($Z480=6,"Final escalation completed.",IF($U480="OVERDUE","Next: "&amp;$AC480&amp;" was due "&amp;TEXT($AB480,"dd-mmm")&amp;" - "&amp;(NETWORKDAYS($AB480,TODAY(),Holidays)-1)&amp;" business day(s) late. Send now.",IF($U480="DUE TOMORROW","Next: "&amp;$AC480&amp;IF($AB480&lt;=TODAY()," is due TODAY ("," is due next business day (")&amp;TEXT($AB480,"dd-mmm")&amp;").","Next: "&amp;$AC480&amp;" due "&amp;TEXT($AB480,"dd-mmm")&amp;" ("&amp;(NETWORKDAYS(TODAY(),$AB480,Holidays)-1)&amp;" business day(s) left).")))))</f>
        <v/>
      </c>
      <c r="W480" s="17">
        <f>IF($Z480="","",CHOOSE($Z480,"Collection Email","1st Follow-up","2nd Follow-up","Local Office","CBE","Roxanne")&amp;IF($Z480=6," - Final"," - Day "&amp;MAX(0,NETWORKDAYS($AA480,TODAY(),Holidays)-1)&amp;" of "&amp;CHOOSE($Z480,3,3,2,2,3))&amp;" | Total Day "&amp;MAX(0,NETWORKDAYS($N480,TODAY(),Holidays)-1))</f>
        <v/>
      </c>
      <c r="X480" s="18"/>
      <c r="Y480" s="18"/>
      <c r="Z480" s="17">
        <f>IF($N480="","",COUNT($N480:$S480))</f>
        <v/>
      </c>
      <c r="AA480" s="19">
        <f>IF($Z480="","",INT(INDEX($N480:$S480,$Z480)))</f>
        <v/>
      </c>
      <c r="AB480" s="19">
        <f>IF(OR($Z480="",$Z480=6),"",WORKDAY($AA480,CHOOSE($Z480,3,3,2,2,3),Holidays))</f>
        <v/>
      </c>
      <c r="AC480" s="17">
        <f>IF(OR($Z480="",$Z480=6),"",CHOOSE($Z480,"1st Email Follow-up","2nd Email Follow-up","Escalate Local Office","Escalate to CBE","Escalate to Roxanne"))</f>
        <v/>
      </c>
    </row>
    <row r="481" spans="13:29">
      <c r="M481" s="14"/>
      <c r="T481" s="16"/>
      <c r="U481" s="17">
        <f>IF(AND(COUNTA($A481:$L481)=0,$N481=""),"",IF($T481="Paid","PAID",IF($T481="Closed","CLOSED",IF($Z481="","",IF($Z481=6,"ESCALATED TO ROXANNE",IF(TODAY()&gt;$AB481,"OVERDUE",IF($AB481&lt;=WORKDAY(TODAY(),1,Holidays),"DUE TOMORROW",IF($Z481=4,"ESCALATED TO LOCAL OFFICE",IF($Z481=5,"ESCALATED TO CBE",IF($AA481=TODAY(),"EMAIL SENT","MONITORING"))))))))))</f>
        <v/>
      </c>
      <c r="V481" s="17">
        <f>IF($U481="",IF(AND(COUNTA($A481:$L481)&gt;0,$N481=""),"Awaiting Collection Email time stamp.",""),IF(OR($U481="PAID",$U481="CLOSED"),IF($U481="PAID","Account paid. Action completed.","Account closed. No further action required."),CHOOSE($Z481,"Collection Email","1st Email Follow-up","2nd Email Follow-up","Escalation to Local Office","Escalation to CBE","Escalation to Roxanne")&amp;" sent "&amp;TEXT($AA481,"dd-mmm")&amp;". "&amp;IF($Z481=6,"Final escalation completed.",IF($U481="OVERDUE","Next: "&amp;$AC481&amp;" was due "&amp;TEXT($AB481,"dd-mmm")&amp;" - "&amp;(NETWORKDAYS($AB481,TODAY(),Holidays)-1)&amp;" business day(s) late. Send now.",IF($U481="DUE TOMORROW","Next: "&amp;$AC481&amp;IF($AB481&lt;=TODAY()," is due TODAY ("," is due next business day (")&amp;TEXT($AB481,"dd-mmm")&amp;").","Next: "&amp;$AC481&amp;" due "&amp;TEXT($AB481,"dd-mmm")&amp;" ("&amp;(NETWORKDAYS(TODAY(),$AB481,Holidays)-1)&amp;" business day(s) left).")))))</f>
        <v/>
      </c>
      <c r="W481" s="17">
        <f>IF($Z481="","",CHOOSE($Z481,"Collection Email","1st Follow-up","2nd Follow-up","Local Office","CBE","Roxanne")&amp;IF($Z481=6," - Final"," - Day "&amp;MAX(0,NETWORKDAYS($AA481,TODAY(),Holidays)-1)&amp;" of "&amp;CHOOSE($Z481,3,3,2,2,3))&amp;" | Total Day "&amp;MAX(0,NETWORKDAYS($N481,TODAY(),Holidays)-1))</f>
        <v/>
      </c>
      <c r="X481" s="18"/>
      <c r="Y481" s="18"/>
      <c r="Z481" s="17">
        <f>IF($N481="","",COUNT($N481:$S481))</f>
        <v/>
      </c>
      <c r="AA481" s="19">
        <f>IF($Z481="","",INT(INDEX($N481:$S481,$Z481)))</f>
        <v/>
      </c>
      <c r="AB481" s="19">
        <f>IF(OR($Z481="",$Z481=6),"",WORKDAY($AA481,CHOOSE($Z481,3,3,2,2,3),Holidays))</f>
        <v/>
      </c>
      <c r="AC481" s="17">
        <f>IF(OR($Z481="",$Z481=6),"",CHOOSE($Z481,"1st Email Follow-up","2nd Email Follow-up","Escalate Local Office","Escalate to CBE","Escalate to Roxanne"))</f>
        <v/>
      </c>
    </row>
    <row r="482" spans="13:29">
      <c r="M482" s="14"/>
      <c r="T482" s="16"/>
      <c r="U482" s="17">
        <f>IF(AND(COUNTA($A482:$L482)=0,$N482=""),"",IF($T482="Paid","PAID",IF($T482="Closed","CLOSED",IF($Z482="","",IF($Z482=6,"ESCALATED TO ROXANNE",IF(TODAY()&gt;$AB482,"OVERDUE",IF($AB482&lt;=WORKDAY(TODAY(),1,Holidays),"DUE TOMORROW",IF($Z482=4,"ESCALATED TO LOCAL OFFICE",IF($Z482=5,"ESCALATED TO CBE",IF($AA482=TODAY(),"EMAIL SENT","MONITORING"))))))))))</f>
        <v/>
      </c>
      <c r="V482" s="17">
        <f>IF($U482="",IF(AND(COUNTA($A482:$L482)&gt;0,$N482=""),"Awaiting Collection Email time stamp.",""),IF(OR($U482="PAID",$U482="CLOSED"),IF($U482="PAID","Account paid. Action completed.","Account closed. No further action required."),CHOOSE($Z482,"Collection Email","1st Email Follow-up","2nd Email Follow-up","Escalation to Local Office","Escalation to CBE","Escalation to Roxanne")&amp;" sent "&amp;TEXT($AA482,"dd-mmm")&amp;". "&amp;IF($Z482=6,"Final escalation completed.",IF($U482="OVERDUE","Next: "&amp;$AC482&amp;" was due "&amp;TEXT($AB482,"dd-mmm")&amp;" - "&amp;(NETWORKDAYS($AB482,TODAY(),Holidays)-1)&amp;" business day(s) late. Send now.",IF($U482="DUE TOMORROW","Next: "&amp;$AC482&amp;IF($AB482&lt;=TODAY()," is due TODAY ("," is due next business day (")&amp;TEXT($AB482,"dd-mmm")&amp;").","Next: "&amp;$AC482&amp;" due "&amp;TEXT($AB482,"dd-mmm")&amp;" ("&amp;(NETWORKDAYS(TODAY(),$AB482,Holidays)-1)&amp;" business day(s) left).")))))</f>
        <v/>
      </c>
      <c r="W482" s="17">
        <f>IF($Z482="","",CHOOSE($Z482,"Collection Email","1st Follow-up","2nd Follow-up","Local Office","CBE","Roxanne")&amp;IF($Z482=6," - Final"," - Day "&amp;MAX(0,NETWORKDAYS($AA482,TODAY(),Holidays)-1)&amp;" of "&amp;CHOOSE($Z482,3,3,2,2,3))&amp;" | Total Day "&amp;MAX(0,NETWORKDAYS($N482,TODAY(),Holidays)-1))</f>
        <v/>
      </c>
      <c r="X482" s="18"/>
      <c r="Y482" s="18"/>
      <c r="Z482" s="17">
        <f>IF($N482="","",COUNT($N482:$S482))</f>
        <v/>
      </c>
      <c r="AA482" s="19">
        <f>IF($Z482="","",INT(INDEX($N482:$S482,$Z482)))</f>
        <v/>
      </c>
      <c r="AB482" s="19">
        <f>IF(OR($Z482="",$Z482=6),"",WORKDAY($AA482,CHOOSE($Z482,3,3,2,2,3),Holidays))</f>
        <v/>
      </c>
      <c r="AC482" s="17">
        <f>IF(OR($Z482="",$Z482=6),"",CHOOSE($Z482,"1st Email Follow-up","2nd Email Follow-up","Escalate Local Office","Escalate to CBE","Escalate to Roxanne"))</f>
        <v/>
      </c>
    </row>
    <row r="483" spans="13:29">
      <c r="M483" s="14"/>
      <c r="T483" s="16"/>
      <c r="U483" s="17">
        <f>IF(AND(COUNTA($A483:$L483)=0,$N483=""),"",IF($T483="Paid","PAID",IF($T483="Closed","CLOSED",IF($Z483="","",IF($Z483=6,"ESCALATED TO ROXANNE",IF(TODAY()&gt;$AB483,"OVERDUE",IF($AB483&lt;=WORKDAY(TODAY(),1,Holidays),"DUE TOMORROW",IF($Z483=4,"ESCALATED TO LOCAL OFFICE",IF($Z483=5,"ESCALATED TO CBE",IF($AA483=TODAY(),"EMAIL SENT","MONITORING"))))))))))</f>
        <v/>
      </c>
      <c r="V483" s="17">
        <f>IF($U483="",IF(AND(COUNTA($A483:$L483)&gt;0,$N483=""),"Awaiting Collection Email time stamp.",""),IF(OR($U483="PAID",$U483="CLOSED"),IF($U483="PAID","Account paid. Action completed.","Account closed. No further action required."),CHOOSE($Z483,"Collection Email","1st Email Follow-up","2nd Email Follow-up","Escalation to Local Office","Escalation to CBE","Escalation to Roxanne")&amp;" sent "&amp;TEXT($AA483,"dd-mmm")&amp;". "&amp;IF($Z483=6,"Final escalation completed.",IF($U483="OVERDUE","Next: "&amp;$AC483&amp;" was due "&amp;TEXT($AB483,"dd-mmm")&amp;" - "&amp;(NETWORKDAYS($AB483,TODAY(),Holidays)-1)&amp;" business day(s) late. Send now.",IF($U483="DUE TOMORROW","Next: "&amp;$AC483&amp;IF($AB483&lt;=TODAY()," is due TODAY ("," is due next business day (")&amp;TEXT($AB483,"dd-mmm")&amp;").","Next: "&amp;$AC483&amp;" due "&amp;TEXT($AB483,"dd-mmm")&amp;" ("&amp;(NETWORKDAYS(TODAY(),$AB483,Holidays)-1)&amp;" business day(s) left).")))))</f>
        <v/>
      </c>
      <c r="W483" s="17">
        <f>IF($Z483="","",CHOOSE($Z483,"Collection Email","1st Follow-up","2nd Follow-up","Local Office","CBE","Roxanne")&amp;IF($Z483=6," - Final"," - Day "&amp;MAX(0,NETWORKDAYS($AA483,TODAY(),Holidays)-1)&amp;" of "&amp;CHOOSE($Z483,3,3,2,2,3))&amp;" | Total Day "&amp;MAX(0,NETWORKDAYS($N483,TODAY(),Holidays)-1))</f>
        <v/>
      </c>
      <c r="X483" s="18"/>
      <c r="Y483" s="18"/>
      <c r="Z483" s="17">
        <f>IF($N483="","",COUNT($N483:$S483))</f>
        <v/>
      </c>
      <c r="AA483" s="19">
        <f>IF($Z483="","",INT(INDEX($N483:$S483,$Z483)))</f>
        <v/>
      </c>
      <c r="AB483" s="19">
        <f>IF(OR($Z483="",$Z483=6),"",WORKDAY($AA483,CHOOSE($Z483,3,3,2,2,3),Holidays))</f>
        <v/>
      </c>
      <c r="AC483" s="17">
        <f>IF(OR($Z483="",$Z483=6),"",CHOOSE($Z483,"1st Email Follow-up","2nd Email Follow-up","Escalate Local Office","Escalate to CBE","Escalate to Roxanne"))</f>
        <v/>
      </c>
    </row>
    <row r="484" spans="13:29">
      <c r="M484" s="14"/>
      <c r="T484" s="16"/>
      <c r="U484" s="17">
        <f>IF(AND(COUNTA($A484:$L484)=0,$N484=""),"",IF($T484="Paid","PAID",IF($T484="Closed","CLOSED",IF($Z484="","",IF($Z484=6,"ESCALATED TO ROXANNE",IF(TODAY()&gt;$AB484,"OVERDUE",IF($AB484&lt;=WORKDAY(TODAY(),1,Holidays),"DUE TOMORROW",IF($Z484=4,"ESCALATED TO LOCAL OFFICE",IF($Z484=5,"ESCALATED TO CBE",IF($AA484=TODAY(),"EMAIL SENT","MONITORING"))))))))))</f>
        <v/>
      </c>
      <c r="V484" s="17">
        <f>IF($U484="",IF(AND(COUNTA($A484:$L484)&gt;0,$N484=""),"Awaiting Collection Email time stamp.",""),IF(OR($U484="PAID",$U484="CLOSED"),IF($U484="PAID","Account paid. Action completed.","Account closed. No further action required."),CHOOSE($Z484,"Collection Email","1st Email Follow-up","2nd Email Follow-up","Escalation to Local Office","Escalation to CBE","Escalation to Roxanne")&amp;" sent "&amp;TEXT($AA484,"dd-mmm")&amp;". "&amp;IF($Z484=6,"Final escalation completed.",IF($U484="OVERDUE","Next: "&amp;$AC484&amp;" was due "&amp;TEXT($AB484,"dd-mmm")&amp;" - "&amp;(NETWORKDAYS($AB484,TODAY(),Holidays)-1)&amp;" business day(s) late. Send now.",IF($U484="DUE TOMORROW","Next: "&amp;$AC484&amp;IF($AB484&lt;=TODAY()," is due TODAY ("," is due next business day (")&amp;TEXT($AB484,"dd-mmm")&amp;").","Next: "&amp;$AC484&amp;" due "&amp;TEXT($AB484,"dd-mmm")&amp;" ("&amp;(NETWORKDAYS(TODAY(),$AB484,Holidays)-1)&amp;" business day(s) left).")))))</f>
        <v/>
      </c>
      <c r="W484" s="17">
        <f>IF($Z484="","",CHOOSE($Z484,"Collection Email","1st Follow-up","2nd Follow-up","Local Office","CBE","Roxanne")&amp;IF($Z484=6," - Final"," - Day "&amp;MAX(0,NETWORKDAYS($AA484,TODAY(),Holidays)-1)&amp;" of "&amp;CHOOSE($Z484,3,3,2,2,3))&amp;" | Total Day "&amp;MAX(0,NETWORKDAYS($N484,TODAY(),Holidays)-1))</f>
        <v/>
      </c>
      <c r="X484" s="18"/>
      <c r="Y484" s="18"/>
      <c r="Z484" s="17">
        <f>IF($N484="","",COUNT($N484:$S484))</f>
        <v/>
      </c>
      <c r="AA484" s="19">
        <f>IF($Z484="","",INT(INDEX($N484:$S484,$Z484)))</f>
        <v/>
      </c>
      <c r="AB484" s="19">
        <f>IF(OR($Z484="",$Z484=6),"",WORKDAY($AA484,CHOOSE($Z484,3,3,2,2,3),Holidays))</f>
        <v/>
      </c>
      <c r="AC484" s="17">
        <f>IF(OR($Z484="",$Z484=6),"",CHOOSE($Z484,"1st Email Follow-up","2nd Email Follow-up","Escalate Local Office","Escalate to CBE","Escalate to Roxanne"))</f>
        <v/>
      </c>
    </row>
    <row r="485" spans="13:29">
      <c r="M485" s="14"/>
      <c r="T485" s="16"/>
      <c r="U485" s="17">
        <f>IF(AND(COUNTA($A485:$L485)=0,$N485=""),"",IF($T485="Paid","PAID",IF($T485="Closed","CLOSED",IF($Z485="","",IF($Z485=6,"ESCALATED TO ROXANNE",IF(TODAY()&gt;$AB485,"OVERDUE",IF($AB485&lt;=WORKDAY(TODAY(),1,Holidays),"DUE TOMORROW",IF($Z485=4,"ESCALATED TO LOCAL OFFICE",IF($Z485=5,"ESCALATED TO CBE",IF($AA485=TODAY(),"EMAIL SENT","MONITORING"))))))))))</f>
        <v/>
      </c>
      <c r="V485" s="17">
        <f>IF($U485="",IF(AND(COUNTA($A485:$L485)&gt;0,$N485=""),"Awaiting Collection Email time stamp.",""),IF(OR($U485="PAID",$U485="CLOSED"),IF($U485="PAID","Account paid. Action completed.","Account closed. No further action required."),CHOOSE($Z485,"Collection Email","1st Email Follow-up","2nd Email Follow-up","Escalation to Local Office","Escalation to CBE","Escalation to Roxanne")&amp;" sent "&amp;TEXT($AA485,"dd-mmm")&amp;". "&amp;IF($Z485=6,"Final escalation completed.",IF($U485="OVERDUE","Next: "&amp;$AC485&amp;" was due "&amp;TEXT($AB485,"dd-mmm")&amp;" - "&amp;(NETWORKDAYS($AB485,TODAY(),Holidays)-1)&amp;" business day(s) late. Send now.",IF($U485="DUE TOMORROW","Next: "&amp;$AC485&amp;IF($AB485&lt;=TODAY()," is due TODAY ("," is due next business day (")&amp;TEXT($AB485,"dd-mmm")&amp;").","Next: "&amp;$AC485&amp;" due "&amp;TEXT($AB485,"dd-mmm")&amp;" ("&amp;(NETWORKDAYS(TODAY(),$AB485,Holidays)-1)&amp;" business day(s) left).")))))</f>
        <v/>
      </c>
      <c r="W485" s="17">
        <f>IF($Z485="","",CHOOSE($Z485,"Collection Email","1st Follow-up","2nd Follow-up","Local Office","CBE","Roxanne")&amp;IF($Z485=6," - Final"," - Day "&amp;MAX(0,NETWORKDAYS($AA485,TODAY(),Holidays)-1)&amp;" of "&amp;CHOOSE($Z485,3,3,2,2,3))&amp;" | Total Day "&amp;MAX(0,NETWORKDAYS($N485,TODAY(),Holidays)-1))</f>
        <v/>
      </c>
      <c r="X485" s="18"/>
      <c r="Y485" s="18"/>
      <c r="Z485" s="17">
        <f>IF($N485="","",COUNT($N485:$S485))</f>
        <v/>
      </c>
      <c r="AA485" s="19">
        <f>IF($Z485="","",INT(INDEX($N485:$S485,$Z485)))</f>
        <v/>
      </c>
      <c r="AB485" s="19">
        <f>IF(OR($Z485="",$Z485=6),"",WORKDAY($AA485,CHOOSE($Z485,3,3,2,2,3),Holidays))</f>
        <v/>
      </c>
      <c r="AC485" s="17">
        <f>IF(OR($Z485="",$Z485=6),"",CHOOSE($Z485,"1st Email Follow-up","2nd Email Follow-up","Escalate Local Office","Escalate to CBE","Escalate to Roxanne"))</f>
        <v/>
      </c>
    </row>
    <row r="486" spans="13:29">
      <c r="M486" s="14"/>
      <c r="T486" s="16"/>
      <c r="U486" s="17">
        <f>IF(AND(COUNTA($A486:$L486)=0,$N486=""),"",IF($T486="Paid","PAID",IF($T486="Closed","CLOSED",IF($Z486="","",IF($Z486=6,"ESCALATED TO ROXANNE",IF(TODAY()&gt;$AB486,"OVERDUE",IF($AB486&lt;=WORKDAY(TODAY(),1,Holidays),"DUE TOMORROW",IF($Z486=4,"ESCALATED TO LOCAL OFFICE",IF($Z486=5,"ESCALATED TO CBE",IF($AA486=TODAY(),"EMAIL SENT","MONITORING"))))))))))</f>
        <v/>
      </c>
      <c r="V486" s="17">
        <f>IF($U486="",IF(AND(COUNTA($A486:$L486)&gt;0,$N486=""),"Awaiting Collection Email time stamp.",""),IF(OR($U486="PAID",$U486="CLOSED"),IF($U486="PAID","Account paid. Action completed.","Account closed. No further action required."),CHOOSE($Z486,"Collection Email","1st Email Follow-up","2nd Email Follow-up","Escalation to Local Office","Escalation to CBE","Escalation to Roxanne")&amp;" sent "&amp;TEXT($AA486,"dd-mmm")&amp;". "&amp;IF($Z486=6,"Final escalation completed.",IF($U486="OVERDUE","Next: "&amp;$AC486&amp;" was due "&amp;TEXT($AB486,"dd-mmm")&amp;" - "&amp;(NETWORKDAYS($AB486,TODAY(),Holidays)-1)&amp;" business day(s) late. Send now.",IF($U486="DUE TOMORROW","Next: "&amp;$AC486&amp;IF($AB486&lt;=TODAY()," is due TODAY ("," is due next business day (")&amp;TEXT($AB486,"dd-mmm")&amp;").","Next: "&amp;$AC486&amp;" due "&amp;TEXT($AB486,"dd-mmm")&amp;" ("&amp;(NETWORKDAYS(TODAY(),$AB486,Holidays)-1)&amp;" business day(s) left).")))))</f>
        <v/>
      </c>
      <c r="W486" s="17">
        <f>IF($Z486="","",CHOOSE($Z486,"Collection Email","1st Follow-up","2nd Follow-up","Local Office","CBE","Roxanne")&amp;IF($Z486=6," - Final"," - Day "&amp;MAX(0,NETWORKDAYS($AA486,TODAY(),Holidays)-1)&amp;" of "&amp;CHOOSE($Z486,3,3,2,2,3))&amp;" | Total Day "&amp;MAX(0,NETWORKDAYS($N486,TODAY(),Holidays)-1))</f>
        <v/>
      </c>
      <c r="X486" s="18"/>
      <c r="Y486" s="18"/>
      <c r="Z486" s="17">
        <f>IF($N486="","",COUNT($N486:$S486))</f>
        <v/>
      </c>
      <c r="AA486" s="19">
        <f>IF($Z486="","",INT(INDEX($N486:$S486,$Z486)))</f>
        <v/>
      </c>
      <c r="AB486" s="19">
        <f>IF(OR($Z486="",$Z486=6),"",WORKDAY($AA486,CHOOSE($Z486,3,3,2,2,3),Holidays))</f>
        <v/>
      </c>
      <c r="AC486" s="17">
        <f>IF(OR($Z486="",$Z486=6),"",CHOOSE($Z486,"1st Email Follow-up","2nd Email Follow-up","Escalate Local Office","Escalate to CBE","Escalate to Roxanne"))</f>
        <v/>
      </c>
    </row>
    <row r="487" spans="13:29">
      <c r="M487" s="14"/>
      <c r="T487" s="16"/>
      <c r="U487" s="17">
        <f>IF(AND(COUNTA($A487:$L487)=0,$N487=""),"",IF($T487="Paid","PAID",IF($T487="Closed","CLOSED",IF($Z487="","",IF($Z487=6,"ESCALATED TO ROXANNE",IF(TODAY()&gt;$AB487,"OVERDUE",IF($AB487&lt;=WORKDAY(TODAY(),1,Holidays),"DUE TOMORROW",IF($Z487=4,"ESCALATED TO LOCAL OFFICE",IF($Z487=5,"ESCALATED TO CBE",IF($AA487=TODAY(),"EMAIL SENT","MONITORING"))))))))))</f>
        <v/>
      </c>
      <c r="V487" s="17">
        <f>IF($U487="",IF(AND(COUNTA($A487:$L487)&gt;0,$N487=""),"Awaiting Collection Email time stamp.",""),IF(OR($U487="PAID",$U487="CLOSED"),IF($U487="PAID","Account paid. Action completed.","Account closed. No further action required."),CHOOSE($Z487,"Collection Email","1st Email Follow-up","2nd Email Follow-up","Escalation to Local Office","Escalation to CBE","Escalation to Roxanne")&amp;" sent "&amp;TEXT($AA487,"dd-mmm")&amp;". "&amp;IF($Z487=6,"Final escalation completed.",IF($U487="OVERDUE","Next: "&amp;$AC487&amp;" was due "&amp;TEXT($AB487,"dd-mmm")&amp;" - "&amp;(NETWORKDAYS($AB487,TODAY(),Holidays)-1)&amp;" business day(s) late. Send now.",IF($U487="DUE TOMORROW","Next: "&amp;$AC487&amp;IF($AB487&lt;=TODAY()," is due TODAY ("," is due next business day (")&amp;TEXT($AB487,"dd-mmm")&amp;").","Next: "&amp;$AC487&amp;" due "&amp;TEXT($AB487,"dd-mmm")&amp;" ("&amp;(NETWORKDAYS(TODAY(),$AB487,Holidays)-1)&amp;" business day(s) left).")))))</f>
        <v/>
      </c>
      <c r="W487" s="17">
        <f>IF($Z487="","",CHOOSE($Z487,"Collection Email","1st Follow-up","2nd Follow-up","Local Office","CBE","Roxanne")&amp;IF($Z487=6," - Final"," - Day "&amp;MAX(0,NETWORKDAYS($AA487,TODAY(),Holidays)-1)&amp;" of "&amp;CHOOSE($Z487,3,3,2,2,3))&amp;" | Total Day "&amp;MAX(0,NETWORKDAYS($N487,TODAY(),Holidays)-1))</f>
        <v/>
      </c>
      <c r="X487" s="18"/>
      <c r="Y487" s="18"/>
      <c r="Z487" s="17">
        <f>IF($N487="","",COUNT($N487:$S487))</f>
        <v/>
      </c>
      <c r="AA487" s="19">
        <f>IF($Z487="","",INT(INDEX($N487:$S487,$Z487)))</f>
        <v/>
      </c>
      <c r="AB487" s="19">
        <f>IF(OR($Z487="",$Z487=6),"",WORKDAY($AA487,CHOOSE($Z487,3,3,2,2,3),Holidays))</f>
        <v/>
      </c>
      <c r="AC487" s="17">
        <f>IF(OR($Z487="",$Z487=6),"",CHOOSE($Z487,"1st Email Follow-up","2nd Email Follow-up","Escalate Local Office","Escalate to CBE","Escalate to Roxanne"))</f>
        <v/>
      </c>
    </row>
    <row r="488" spans="13:29">
      <c r="M488" s="14"/>
      <c r="T488" s="16"/>
      <c r="U488" s="17">
        <f>IF(AND(COUNTA($A488:$L488)=0,$N488=""),"",IF($T488="Paid","PAID",IF($T488="Closed","CLOSED",IF($Z488="","",IF($Z488=6,"ESCALATED TO ROXANNE",IF(TODAY()&gt;$AB488,"OVERDUE",IF($AB488&lt;=WORKDAY(TODAY(),1,Holidays),"DUE TOMORROW",IF($Z488=4,"ESCALATED TO LOCAL OFFICE",IF($Z488=5,"ESCALATED TO CBE",IF($AA488=TODAY(),"EMAIL SENT","MONITORING"))))))))))</f>
        <v/>
      </c>
      <c r="V488" s="17">
        <f>IF($U488="",IF(AND(COUNTA($A488:$L488)&gt;0,$N488=""),"Awaiting Collection Email time stamp.",""),IF(OR($U488="PAID",$U488="CLOSED"),IF($U488="PAID","Account paid. Action completed.","Account closed. No further action required."),CHOOSE($Z488,"Collection Email","1st Email Follow-up","2nd Email Follow-up","Escalation to Local Office","Escalation to CBE","Escalation to Roxanne")&amp;" sent "&amp;TEXT($AA488,"dd-mmm")&amp;". "&amp;IF($Z488=6,"Final escalation completed.",IF($U488="OVERDUE","Next: "&amp;$AC488&amp;" was due "&amp;TEXT($AB488,"dd-mmm")&amp;" - "&amp;(NETWORKDAYS($AB488,TODAY(),Holidays)-1)&amp;" business day(s) late. Send now.",IF($U488="DUE TOMORROW","Next: "&amp;$AC488&amp;IF($AB488&lt;=TODAY()," is due TODAY ("," is due next business day (")&amp;TEXT($AB488,"dd-mmm")&amp;").","Next: "&amp;$AC488&amp;" due "&amp;TEXT($AB488,"dd-mmm")&amp;" ("&amp;(NETWORKDAYS(TODAY(),$AB488,Holidays)-1)&amp;" business day(s) left).")))))</f>
        <v/>
      </c>
      <c r="W488" s="17">
        <f>IF($Z488="","",CHOOSE($Z488,"Collection Email","1st Follow-up","2nd Follow-up","Local Office","CBE","Roxanne")&amp;IF($Z488=6," - Final"," - Day "&amp;MAX(0,NETWORKDAYS($AA488,TODAY(),Holidays)-1)&amp;" of "&amp;CHOOSE($Z488,3,3,2,2,3))&amp;" | Total Day "&amp;MAX(0,NETWORKDAYS($N488,TODAY(),Holidays)-1))</f>
        <v/>
      </c>
      <c r="X488" s="18"/>
      <c r="Y488" s="18"/>
      <c r="Z488" s="17">
        <f>IF($N488="","",COUNT($N488:$S488))</f>
        <v/>
      </c>
      <c r="AA488" s="19">
        <f>IF($Z488="","",INT(INDEX($N488:$S488,$Z488)))</f>
        <v/>
      </c>
      <c r="AB488" s="19">
        <f>IF(OR($Z488="",$Z488=6),"",WORKDAY($AA488,CHOOSE($Z488,3,3,2,2,3),Holidays))</f>
        <v/>
      </c>
      <c r="AC488" s="17">
        <f>IF(OR($Z488="",$Z488=6),"",CHOOSE($Z488,"1st Email Follow-up","2nd Email Follow-up","Escalate Local Office","Escalate to CBE","Escalate to Roxanne"))</f>
        <v/>
      </c>
    </row>
    <row r="489" spans="13:29">
      <c r="M489" s="14"/>
      <c r="T489" s="16"/>
      <c r="U489" s="17">
        <f>IF(AND(COUNTA($A489:$L489)=0,$N489=""),"",IF($T489="Paid","PAID",IF($T489="Closed","CLOSED",IF($Z489="","",IF($Z489=6,"ESCALATED TO ROXANNE",IF(TODAY()&gt;$AB489,"OVERDUE",IF($AB489&lt;=WORKDAY(TODAY(),1,Holidays),"DUE TOMORROW",IF($Z489=4,"ESCALATED TO LOCAL OFFICE",IF($Z489=5,"ESCALATED TO CBE",IF($AA489=TODAY(),"EMAIL SENT","MONITORING"))))))))))</f>
        <v/>
      </c>
      <c r="V489" s="17">
        <f>IF($U489="",IF(AND(COUNTA($A489:$L489)&gt;0,$N489=""),"Awaiting Collection Email time stamp.",""),IF(OR($U489="PAID",$U489="CLOSED"),IF($U489="PAID","Account paid. Action completed.","Account closed. No further action required."),CHOOSE($Z489,"Collection Email","1st Email Follow-up","2nd Email Follow-up","Escalation to Local Office","Escalation to CBE","Escalation to Roxanne")&amp;" sent "&amp;TEXT($AA489,"dd-mmm")&amp;". "&amp;IF($Z489=6,"Final escalation completed.",IF($U489="OVERDUE","Next: "&amp;$AC489&amp;" was due "&amp;TEXT($AB489,"dd-mmm")&amp;" - "&amp;(NETWORKDAYS($AB489,TODAY(),Holidays)-1)&amp;" business day(s) late. Send now.",IF($U489="DUE TOMORROW","Next: "&amp;$AC489&amp;IF($AB489&lt;=TODAY()," is due TODAY ("," is due next business day (")&amp;TEXT($AB489,"dd-mmm")&amp;").","Next: "&amp;$AC489&amp;" due "&amp;TEXT($AB489,"dd-mmm")&amp;" ("&amp;(NETWORKDAYS(TODAY(),$AB489,Holidays)-1)&amp;" business day(s) left).")))))</f>
        <v/>
      </c>
      <c r="W489" s="17">
        <f>IF($Z489="","",CHOOSE($Z489,"Collection Email","1st Follow-up","2nd Follow-up","Local Office","CBE","Roxanne")&amp;IF($Z489=6," - Final"," - Day "&amp;MAX(0,NETWORKDAYS($AA489,TODAY(),Holidays)-1)&amp;" of "&amp;CHOOSE($Z489,3,3,2,2,3))&amp;" | Total Day "&amp;MAX(0,NETWORKDAYS($N489,TODAY(),Holidays)-1))</f>
        <v/>
      </c>
      <c r="X489" s="18"/>
      <c r="Y489" s="18"/>
      <c r="Z489" s="17">
        <f>IF($N489="","",COUNT($N489:$S489))</f>
        <v/>
      </c>
      <c r="AA489" s="19">
        <f>IF($Z489="","",INT(INDEX($N489:$S489,$Z489)))</f>
        <v/>
      </c>
      <c r="AB489" s="19">
        <f>IF(OR($Z489="",$Z489=6),"",WORKDAY($AA489,CHOOSE($Z489,3,3,2,2,3),Holidays))</f>
        <v/>
      </c>
      <c r="AC489" s="17">
        <f>IF(OR($Z489="",$Z489=6),"",CHOOSE($Z489,"1st Email Follow-up","2nd Email Follow-up","Escalate Local Office","Escalate to CBE","Escalate to Roxanne"))</f>
        <v/>
      </c>
    </row>
    <row r="490" spans="13:29">
      <c r="M490" s="14"/>
      <c r="T490" s="16"/>
      <c r="U490" s="17">
        <f>IF(AND(COUNTA($A490:$L490)=0,$N490=""),"",IF($T490="Paid","PAID",IF($T490="Closed","CLOSED",IF($Z490="","",IF($Z490=6,"ESCALATED TO ROXANNE",IF(TODAY()&gt;$AB490,"OVERDUE",IF($AB490&lt;=WORKDAY(TODAY(),1,Holidays),"DUE TOMORROW",IF($Z490=4,"ESCALATED TO LOCAL OFFICE",IF($Z490=5,"ESCALATED TO CBE",IF($AA490=TODAY(),"EMAIL SENT","MONITORING"))))))))))</f>
        <v/>
      </c>
      <c r="V490" s="17">
        <f>IF($U490="",IF(AND(COUNTA($A490:$L490)&gt;0,$N490=""),"Awaiting Collection Email time stamp.",""),IF(OR($U490="PAID",$U490="CLOSED"),IF($U490="PAID","Account paid. Action completed.","Account closed. No further action required."),CHOOSE($Z490,"Collection Email","1st Email Follow-up","2nd Email Follow-up","Escalation to Local Office","Escalation to CBE","Escalation to Roxanne")&amp;" sent "&amp;TEXT($AA490,"dd-mmm")&amp;". "&amp;IF($Z490=6,"Final escalation completed.",IF($U490="OVERDUE","Next: "&amp;$AC490&amp;" was due "&amp;TEXT($AB490,"dd-mmm")&amp;" - "&amp;(NETWORKDAYS($AB490,TODAY(),Holidays)-1)&amp;" business day(s) late. Send now.",IF($U490="DUE TOMORROW","Next: "&amp;$AC490&amp;IF($AB490&lt;=TODAY()," is due TODAY ("," is due next business day (")&amp;TEXT($AB490,"dd-mmm")&amp;").","Next: "&amp;$AC490&amp;" due "&amp;TEXT($AB490,"dd-mmm")&amp;" ("&amp;(NETWORKDAYS(TODAY(),$AB490,Holidays)-1)&amp;" business day(s) left).")))))</f>
        <v/>
      </c>
      <c r="W490" s="17">
        <f>IF($Z490="","",CHOOSE($Z490,"Collection Email","1st Follow-up","2nd Follow-up","Local Office","CBE","Roxanne")&amp;IF($Z490=6," - Final"," - Day "&amp;MAX(0,NETWORKDAYS($AA490,TODAY(),Holidays)-1)&amp;" of "&amp;CHOOSE($Z490,3,3,2,2,3))&amp;" | Total Day "&amp;MAX(0,NETWORKDAYS($N490,TODAY(),Holidays)-1))</f>
        <v/>
      </c>
      <c r="X490" s="18"/>
      <c r="Y490" s="18"/>
      <c r="Z490" s="17">
        <f>IF($N490="","",COUNT($N490:$S490))</f>
        <v/>
      </c>
      <c r="AA490" s="19">
        <f>IF($Z490="","",INT(INDEX($N490:$S490,$Z490)))</f>
        <v/>
      </c>
      <c r="AB490" s="19">
        <f>IF(OR($Z490="",$Z490=6),"",WORKDAY($AA490,CHOOSE($Z490,3,3,2,2,3),Holidays))</f>
        <v/>
      </c>
      <c r="AC490" s="17">
        <f>IF(OR($Z490="",$Z490=6),"",CHOOSE($Z490,"1st Email Follow-up","2nd Email Follow-up","Escalate Local Office","Escalate to CBE","Escalate to Roxanne"))</f>
        <v/>
      </c>
    </row>
    <row r="491" spans="13:29">
      <c r="M491" s="14"/>
      <c r="T491" s="16"/>
      <c r="U491" s="17">
        <f>IF(AND(COUNTA($A491:$L491)=0,$N491=""),"",IF($T491="Paid","PAID",IF($T491="Closed","CLOSED",IF($Z491="","",IF($Z491=6,"ESCALATED TO ROXANNE",IF(TODAY()&gt;$AB491,"OVERDUE",IF($AB491&lt;=WORKDAY(TODAY(),1,Holidays),"DUE TOMORROW",IF($Z491=4,"ESCALATED TO LOCAL OFFICE",IF($Z491=5,"ESCALATED TO CBE",IF($AA491=TODAY(),"EMAIL SENT","MONITORING"))))))))))</f>
        <v/>
      </c>
      <c r="V491" s="17">
        <f>IF($U491="",IF(AND(COUNTA($A491:$L491)&gt;0,$N491=""),"Awaiting Collection Email time stamp.",""),IF(OR($U491="PAID",$U491="CLOSED"),IF($U491="PAID","Account paid. Action completed.","Account closed. No further action required."),CHOOSE($Z491,"Collection Email","1st Email Follow-up","2nd Email Follow-up","Escalation to Local Office","Escalation to CBE","Escalation to Roxanne")&amp;" sent "&amp;TEXT($AA491,"dd-mmm")&amp;". "&amp;IF($Z491=6,"Final escalation completed.",IF($U491="OVERDUE","Next: "&amp;$AC491&amp;" was due "&amp;TEXT($AB491,"dd-mmm")&amp;" - "&amp;(NETWORKDAYS($AB491,TODAY(),Holidays)-1)&amp;" business day(s) late. Send now.",IF($U491="DUE TOMORROW","Next: "&amp;$AC491&amp;IF($AB491&lt;=TODAY()," is due TODAY ("," is due next business day (")&amp;TEXT($AB491,"dd-mmm")&amp;").","Next: "&amp;$AC491&amp;" due "&amp;TEXT($AB491,"dd-mmm")&amp;" ("&amp;(NETWORKDAYS(TODAY(),$AB491,Holidays)-1)&amp;" business day(s) left).")))))</f>
        <v/>
      </c>
      <c r="W491" s="17">
        <f>IF($Z491="","",CHOOSE($Z491,"Collection Email","1st Follow-up","2nd Follow-up","Local Office","CBE","Roxanne")&amp;IF($Z491=6," - Final"," - Day "&amp;MAX(0,NETWORKDAYS($AA491,TODAY(),Holidays)-1)&amp;" of "&amp;CHOOSE($Z491,3,3,2,2,3))&amp;" | Total Day "&amp;MAX(0,NETWORKDAYS($N491,TODAY(),Holidays)-1))</f>
        <v/>
      </c>
      <c r="X491" s="18"/>
      <c r="Y491" s="18"/>
      <c r="Z491" s="17">
        <f>IF($N491="","",COUNT($N491:$S491))</f>
        <v/>
      </c>
      <c r="AA491" s="19">
        <f>IF($Z491="","",INT(INDEX($N491:$S491,$Z491)))</f>
        <v/>
      </c>
      <c r="AB491" s="19">
        <f>IF(OR($Z491="",$Z491=6),"",WORKDAY($AA491,CHOOSE($Z491,3,3,2,2,3),Holidays))</f>
        <v/>
      </c>
      <c r="AC491" s="17">
        <f>IF(OR($Z491="",$Z491=6),"",CHOOSE($Z491,"1st Email Follow-up","2nd Email Follow-up","Escalate Local Office","Escalate to CBE","Escalate to Roxanne"))</f>
        <v/>
      </c>
    </row>
    <row r="492" spans="13:29">
      <c r="M492" s="14"/>
      <c r="T492" s="16"/>
      <c r="U492" s="17">
        <f>IF(AND(COUNTA($A492:$L492)=0,$N492=""),"",IF($T492="Paid","PAID",IF($T492="Closed","CLOSED",IF($Z492="","",IF($Z492=6,"ESCALATED TO ROXANNE",IF(TODAY()&gt;$AB492,"OVERDUE",IF($AB492&lt;=WORKDAY(TODAY(),1,Holidays),"DUE TOMORROW",IF($Z492=4,"ESCALATED TO LOCAL OFFICE",IF($Z492=5,"ESCALATED TO CBE",IF($AA492=TODAY(),"EMAIL SENT","MONITORING"))))))))))</f>
        <v/>
      </c>
      <c r="V492" s="17">
        <f>IF($U492="",IF(AND(COUNTA($A492:$L492)&gt;0,$N492=""),"Awaiting Collection Email time stamp.",""),IF(OR($U492="PAID",$U492="CLOSED"),IF($U492="PAID","Account paid. Action completed.","Account closed. No further action required."),CHOOSE($Z492,"Collection Email","1st Email Follow-up","2nd Email Follow-up","Escalation to Local Office","Escalation to CBE","Escalation to Roxanne")&amp;" sent "&amp;TEXT($AA492,"dd-mmm")&amp;". "&amp;IF($Z492=6,"Final escalation completed.",IF($U492="OVERDUE","Next: "&amp;$AC492&amp;" was due "&amp;TEXT($AB492,"dd-mmm")&amp;" - "&amp;(NETWORKDAYS($AB492,TODAY(),Holidays)-1)&amp;" business day(s) late. Send now.",IF($U492="DUE TOMORROW","Next: "&amp;$AC492&amp;IF($AB492&lt;=TODAY()," is due TODAY ("," is due next business day (")&amp;TEXT($AB492,"dd-mmm")&amp;").","Next: "&amp;$AC492&amp;" due "&amp;TEXT($AB492,"dd-mmm")&amp;" ("&amp;(NETWORKDAYS(TODAY(),$AB492,Holidays)-1)&amp;" business day(s) left).")))))</f>
        <v/>
      </c>
      <c r="W492" s="17">
        <f>IF($Z492="","",CHOOSE($Z492,"Collection Email","1st Follow-up","2nd Follow-up","Local Office","CBE","Roxanne")&amp;IF($Z492=6," - Final"," - Day "&amp;MAX(0,NETWORKDAYS($AA492,TODAY(),Holidays)-1)&amp;" of "&amp;CHOOSE($Z492,3,3,2,2,3))&amp;" | Total Day "&amp;MAX(0,NETWORKDAYS($N492,TODAY(),Holidays)-1))</f>
        <v/>
      </c>
      <c r="X492" s="18"/>
      <c r="Y492" s="18"/>
      <c r="Z492" s="17">
        <f>IF($N492="","",COUNT($N492:$S492))</f>
        <v/>
      </c>
      <c r="AA492" s="19">
        <f>IF($Z492="","",INT(INDEX($N492:$S492,$Z492)))</f>
        <v/>
      </c>
      <c r="AB492" s="19">
        <f>IF(OR($Z492="",$Z492=6),"",WORKDAY($AA492,CHOOSE($Z492,3,3,2,2,3),Holidays))</f>
        <v/>
      </c>
      <c r="AC492" s="17">
        <f>IF(OR($Z492="",$Z492=6),"",CHOOSE($Z492,"1st Email Follow-up","2nd Email Follow-up","Escalate Local Office","Escalate to CBE","Escalate to Roxanne"))</f>
        <v/>
      </c>
    </row>
    <row r="493" spans="13:29">
      <c r="M493" s="14"/>
      <c r="T493" s="16"/>
      <c r="U493" s="17">
        <f>IF(AND(COUNTA($A493:$L493)=0,$N493=""),"",IF($T493="Paid","PAID",IF($T493="Closed","CLOSED",IF($Z493="","",IF($Z493=6,"ESCALATED TO ROXANNE",IF(TODAY()&gt;$AB493,"OVERDUE",IF($AB493&lt;=WORKDAY(TODAY(),1,Holidays),"DUE TOMORROW",IF($Z493=4,"ESCALATED TO LOCAL OFFICE",IF($Z493=5,"ESCALATED TO CBE",IF($AA493=TODAY(),"EMAIL SENT","MONITORING"))))))))))</f>
        <v/>
      </c>
      <c r="V493" s="17">
        <f>IF($U493="",IF(AND(COUNTA($A493:$L493)&gt;0,$N493=""),"Awaiting Collection Email time stamp.",""),IF(OR($U493="PAID",$U493="CLOSED"),IF($U493="PAID","Account paid. Action completed.","Account closed. No further action required."),CHOOSE($Z493,"Collection Email","1st Email Follow-up","2nd Email Follow-up","Escalation to Local Office","Escalation to CBE","Escalation to Roxanne")&amp;" sent "&amp;TEXT($AA493,"dd-mmm")&amp;". "&amp;IF($Z493=6,"Final escalation completed.",IF($U493="OVERDUE","Next: "&amp;$AC493&amp;" was due "&amp;TEXT($AB493,"dd-mmm")&amp;" - "&amp;(NETWORKDAYS($AB493,TODAY(),Holidays)-1)&amp;" business day(s) late. Send now.",IF($U493="DUE TOMORROW","Next: "&amp;$AC493&amp;IF($AB493&lt;=TODAY()," is due TODAY ("," is due next business day (")&amp;TEXT($AB493,"dd-mmm")&amp;").","Next: "&amp;$AC493&amp;" due "&amp;TEXT($AB493,"dd-mmm")&amp;" ("&amp;(NETWORKDAYS(TODAY(),$AB493,Holidays)-1)&amp;" business day(s) left).")))))</f>
        <v/>
      </c>
      <c r="W493" s="17">
        <f>IF($Z493="","",CHOOSE($Z493,"Collection Email","1st Follow-up","2nd Follow-up","Local Office","CBE","Roxanne")&amp;IF($Z493=6," - Final"," - Day "&amp;MAX(0,NETWORKDAYS($AA493,TODAY(),Holidays)-1)&amp;" of "&amp;CHOOSE($Z493,3,3,2,2,3))&amp;" | Total Day "&amp;MAX(0,NETWORKDAYS($N493,TODAY(),Holidays)-1))</f>
        <v/>
      </c>
      <c r="X493" s="18"/>
      <c r="Y493" s="18"/>
      <c r="Z493" s="17">
        <f>IF($N493="","",COUNT($N493:$S493))</f>
        <v/>
      </c>
      <c r="AA493" s="19">
        <f>IF($Z493="","",INT(INDEX($N493:$S493,$Z493)))</f>
        <v/>
      </c>
      <c r="AB493" s="19">
        <f>IF(OR($Z493="",$Z493=6),"",WORKDAY($AA493,CHOOSE($Z493,3,3,2,2,3),Holidays))</f>
        <v/>
      </c>
      <c r="AC493" s="17">
        <f>IF(OR($Z493="",$Z493=6),"",CHOOSE($Z493,"1st Email Follow-up","2nd Email Follow-up","Escalate Local Office","Escalate to CBE","Escalate to Roxanne"))</f>
        <v/>
      </c>
    </row>
    <row r="494" spans="13:29">
      <c r="M494" s="14"/>
      <c r="T494" s="16"/>
      <c r="U494" s="17">
        <f>IF(AND(COUNTA($A494:$L494)=0,$N494=""),"",IF($T494="Paid","PAID",IF($T494="Closed","CLOSED",IF($Z494="","",IF($Z494=6,"ESCALATED TO ROXANNE",IF(TODAY()&gt;$AB494,"OVERDUE",IF($AB494&lt;=WORKDAY(TODAY(),1,Holidays),"DUE TOMORROW",IF($Z494=4,"ESCALATED TO LOCAL OFFICE",IF($Z494=5,"ESCALATED TO CBE",IF($AA494=TODAY(),"EMAIL SENT","MONITORING"))))))))))</f>
        <v/>
      </c>
      <c r="V494" s="17">
        <f>IF($U494="",IF(AND(COUNTA($A494:$L494)&gt;0,$N494=""),"Awaiting Collection Email time stamp.",""),IF(OR($U494="PAID",$U494="CLOSED"),IF($U494="PAID","Account paid. Action completed.","Account closed. No further action required."),CHOOSE($Z494,"Collection Email","1st Email Follow-up","2nd Email Follow-up","Escalation to Local Office","Escalation to CBE","Escalation to Roxanne")&amp;" sent "&amp;TEXT($AA494,"dd-mmm")&amp;". "&amp;IF($Z494=6,"Final escalation completed.",IF($U494="OVERDUE","Next: "&amp;$AC494&amp;" was due "&amp;TEXT($AB494,"dd-mmm")&amp;" - "&amp;(NETWORKDAYS($AB494,TODAY(),Holidays)-1)&amp;" business day(s) late. Send now.",IF($U494="DUE TOMORROW","Next: "&amp;$AC494&amp;IF($AB494&lt;=TODAY()," is due TODAY ("," is due next business day (")&amp;TEXT($AB494,"dd-mmm")&amp;").","Next: "&amp;$AC494&amp;" due "&amp;TEXT($AB494,"dd-mmm")&amp;" ("&amp;(NETWORKDAYS(TODAY(),$AB494,Holidays)-1)&amp;" business day(s) left).")))))</f>
        <v/>
      </c>
      <c r="W494" s="17">
        <f>IF($Z494="","",CHOOSE($Z494,"Collection Email","1st Follow-up","2nd Follow-up","Local Office","CBE","Roxanne")&amp;IF($Z494=6," - Final"," - Day "&amp;MAX(0,NETWORKDAYS($AA494,TODAY(),Holidays)-1)&amp;" of "&amp;CHOOSE($Z494,3,3,2,2,3))&amp;" | Total Day "&amp;MAX(0,NETWORKDAYS($N494,TODAY(),Holidays)-1))</f>
        <v/>
      </c>
      <c r="X494" s="18"/>
      <c r="Y494" s="18"/>
      <c r="Z494" s="17">
        <f>IF($N494="","",COUNT($N494:$S494))</f>
        <v/>
      </c>
      <c r="AA494" s="19">
        <f>IF($Z494="","",INT(INDEX($N494:$S494,$Z494)))</f>
        <v/>
      </c>
      <c r="AB494" s="19">
        <f>IF(OR($Z494="",$Z494=6),"",WORKDAY($AA494,CHOOSE($Z494,3,3,2,2,3),Holidays))</f>
        <v/>
      </c>
      <c r="AC494" s="17">
        <f>IF(OR($Z494="",$Z494=6),"",CHOOSE($Z494,"1st Email Follow-up","2nd Email Follow-up","Escalate Local Office","Escalate to CBE","Escalate to Roxanne"))</f>
        <v/>
      </c>
    </row>
    <row r="495" spans="13:29">
      <c r="M495" s="14"/>
      <c r="T495" s="16"/>
      <c r="U495" s="17">
        <f>IF(AND(COUNTA($A495:$L495)=0,$N495=""),"",IF($T495="Paid","PAID",IF($T495="Closed","CLOSED",IF($Z495="","",IF($Z495=6,"ESCALATED TO ROXANNE",IF(TODAY()&gt;$AB495,"OVERDUE",IF($AB495&lt;=WORKDAY(TODAY(),1,Holidays),"DUE TOMORROW",IF($Z495=4,"ESCALATED TO LOCAL OFFICE",IF($Z495=5,"ESCALATED TO CBE",IF($AA495=TODAY(),"EMAIL SENT","MONITORING"))))))))))</f>
        <v/>
      </c>
      <c r="V495" s="17">
        <f>IF($U495="",IF(AND(COUNTA($A495:$L495)&gt;0,$N495=""),"Awaiting Collection Email time stamp.",""),IF(OR($U495="PAID",$U495="CLOSED"),IF($U495="PAID","Account paid. Action completed.","Account closed. No further action required."),CHOOSE($Z495,"Collection Email","1st Email Follow-up","2nd Email Follow-up","Escalation to Local Office","Escalation to CBE","Escalation to Roxanne")&amp;" sent "&amp;TEXT($AA495,"dd-mmm")&amp;". "&amp;IF($Z495=6,"Final escalation completed.",IF($U495="OVERDUE","Next: "&amp;$AC495&amp;" was due "&amp;TEXT($AB495,"dd-mmm")&amp;" - "&amp;(NETWORKDAYS($AB495,TODAY(),Holidays)-1)&amp;" business day(s) late. Send now.",IF($U495="DUE TOMORROW","Next: "&amp;$AC495&amp;IF($AB495&lt;=TODAY()," is due TODAY ("," is due next business day (")&amp;TEXT($AB495,"dd-mmm")&amp;").","Next: "&amp;$AC495&amp;" due "&amp;TEXT($AB495,"dd-mmm")&amp;" ("&amp;(NETWORKDAYS(TODAY(),$AB495,Holidays)-1)&amp;" business day(s) left).")))))</f>
        <v/>
      </c>
      <c r="W495" s="17">
        <f>IF($Z495="","",CHOOSE($Z495,"Collection Email","1st Follow-up","2nd Follow-up","Local Office","CBE","Roxanne")&amp;IF($Z495=6," - Final"," - Day "&amp;MAX(0,NETWORKDAYS($AA495,TODAY(),Holidays)-1)&amp;" of "&amp;CHOOSE($Z495,3,3,2,2,3))&amp;" | Total Day "&amp;MAX(0,NETWORKDAYS($N495,TODAY(),Holidays)-1))</f>
        <v/>
      </c>
      <c r="X495" s="18"/>
      <c r="Y495" s="18"/>
      <c r="Z495" s="17">
        <f>IF($N495="","",COUNT($N495:$S495))</f>
        <v/>
      </c>
      <c r="AA495" s="19">
        <f>IF($Z495="","",INT(INDEX($N495:$S495,$Z495)))</f>
        <v/>
      </c>
      <c r="AB495" s="19">
        <f>IF(OR($Z495="",$Z495=6),"",WORKDAY($AA495,CHOOSE($Z495,3,3,2,2,3),Holidays))</f>
        <v/>
      </c>
      <c r="AC495" s="17">
        <f>IF(OR($Z495="",$Z495=6),"",CHOOSE($Z495,"1st Email Follow-up","2nd Email Follow-up","Escalate Local Office","Escalate to CBE","Escalate to Roxanne"))</f>
        <v/>
      </c>
    </row>
    <row r="496" spans="13:29">
      <c r="M496" s="14"/>
      <c r="T496" s="16"/>
      <c r="U496" s="17">
        <f>IF(AND(COUNTA($A496:$L496)=0,$N496=""),"",IF($T496="Paid","PAID",IF($T496="Closed","CLOSED",IF($Z496="","",IF($Z496=6,"ESCALATED TO ROXANNE",IF(TODAY()&gt;$AB496,"OVERDUE",IF($AB496&lt;=WORKDAY(TODAY(),1,Holidays),"DUE TOMORROW",IF($Z496=4,"ESCALATED TO LOCAL OFFICE",IF($Z496=5,"ESCALATED TO CBE",IF($AA496=TODAY(),"EMAIL SENT","MONITORING"))))))))))</f>
        <v/>
      </c>
      <c r="V496" s="17">
        <f>IF($U496="",IF(AND(COUNTA($A496:$L496)&gt;0,$N496=""),"Awaiting Collection Email time stamp.",""),IF(OR($U496="PAID",$U496="CLOSED"),IF($U496="PAID","Account paid. Action completed.","Account closed. No further action required."),CHOOSE($Z496,"Collection Email","1st Email Follow-up","2nd Email Follow-up","Escalation to Local Office","Escalation to CBE","Escalation to Roxanne")&amp;" sent "&amp;TEXT($AA496,"dd-mmm")&amp;". "&amp;IF($Z496=6,"Final escalation completed.",IF($U496="OVERDUE","Next: "&amp;$AC496&amp;" was due "&amp;TEXT($AB496,"dd-mmm")&amp;" - "&amp;(NETWORKDAYS($AB496,TODAY(),Holidays)-1)&amp;" business day(s) late. Send now.",IF($U496="DUE TOMORROW","Next: "&amp;$AC496&amp;IF($AB496&lt;=TODAY()," is due TODAY ("," is due next business day (")&amp;TEXT($AB496,"dd-mmm")&amp;").","Next: "&amp;$AC496&amp;" due "&amp;TEXT($AB496,"dd-mmm")&amp;" ("&amp;(NETWORKDAYS(TODAY(),$AB496,Holidays)-1)&amp;" business day(s) left).")))))</f>
        <v/>
      </c>
      <c r="W496" s="17">
        <f>IF($Z496="","",CHOOSE($Z496,"Collection Email","1st Follow-up","2nd Follow-up","Local Office","CBE","Roxanne")&amp;IF($Z496=6," - Final"," - Day "&amp;MAX(0,NETWORKDAYS($AA496,TODAY(),Holidays)-1)&amp;" of "&amp;CHOOSE($Z496,3,3,2,2,3))&amp;" | Total Day "&amp;MAX(0,NETWORKDAYS($N496,TODAY(),Holidays)-1))</f>
        <v/>
      </c>
      <c r="X496" s="18"/>
      <c r="Y496" s="18"/>
      <c r="Z496" s="17">
        <f>IF($N496="","",COUNT($N496:$S496))</f>
        <v/>
      </c>
      <c r="AA496" s="19">
        <f>IF($Z496="","",INT(INDEX($N496:$S496,$Z496)))</f>
        <v/>
      </c>
      <c r="AB496" s="19">
        <f>IF(OR($Z496="",$Z496=6),"",WORKDAY($AA496,CHOOSE($Z496,3,3,2,2,3),Holidays))</f>
        <v/>
      </c>
      <c r="AC496" s="17">
        <f>IF(OR($Z496="",$Z496=6),"",CHOOSE($Z496,"1st Email Follow-up","2nd Email Follow-up","Escalate Local Office","Escalate to CBE","Escalate to Roxanne"))</f>
        <v/>
      </c>
    </row>
    <row r="497" spans="13:29">
      <c r="M497" s="14"/>
      <c r="T497" s="16"/>
      <c r="U497" s="17">
        <f>IF(AND(COUNTA($A497:$L497)=0,$N497=""),"",IF($T497="Paid","PAID",IF($T497="Closed","CLOSED",IF($Z497="","",IF($Z497=6,"ESCALATED TO ROXANNE",IF(TODAY()&gt;$AB497,"OVERDUE",IF($AB497&lt;=WORKDAY(TODAY(),1,Holidays),"DUE TOMORROW",IF($Z497=4,"ESCALATED TO LOCAL OFFICE",IF($Z497=5,"ESCALATED TO CBE",IF($AA497=TODAY(),"EMAIL SENT","MONITORING"))))))))))</f>
        <v/>
      </c>
      <c r="V497" s="17">
        <f>IF($U497="",IF(AND(COUNTA($A497:$L497)&gt;0,$N497=""),"Awaiting Collection Email time stamp.",""),IF(OR($U497="PAID",$U497="CLOSED"),IF($U497="PAID","Account paid. Action completed.","Account closed. No further action required."),CHOOSE($Z497,"Collection Email","1st Email Follow-up","2nd Email Follow-up","Escalation to Local Office","Escalation to CBE","Escalation to Roxanne")&amp;" sent "&amp;TEXT($AA497,"dd-mmm")&amp;". "&amp;IF($Z497=6,"Final escalation completed.",IF($U497="OVERDUE","Next: "&amp;$AC497&amp;" was due "&amp;TEXT($AB497,"dd-mmm")&amp;" - "&amp;(NETWORKDAYS($AB497,TODAY(),Holidays)-1)&amp;" business day(s) late. Send now.",IF($U497="DUE TOMORROW","Next: "&amp;$AC497&amp;IF($AB497&lt;=TODAY()," is due TODAY ("," is due next business day (")&amp;TEXT($AB497,"dd-mmm")&amp;").","Next: "&amp;$AC497&amp;" due "&amp;TEXT($AB497,"dd-mmm")&amp;" ("&amp;(NETWORKDAYS(TODAY(),$AB497,Holidays)-1)&amp;" business day(s) left).")))))</f>
        <v/>
      </c>
      <c r="W497" s="17">
        <f>IF($Z497="","",CHOOSE($Z497,"Collection Email","1st Follow-up","2nd Follow-up","Local Office","CBE","Roxanne")&amp;IF($Z497=6," - Final"," - Day "&amp;MAX(0,NETWORKDAYS($AA497,TODAY(),Holidays)-1)&amp;" of "&amp;CHOOSE($Z497,3,3,2,2,3))&amp;" | Total Day "&amp;MAX(0,NETWORKDAYS($N497,TODAY(),Holidays)-1))</f>
        <v/>
      </c>
      <c r="X497" s="18"/>
      <c r="Y497" s="18"/>
      <c r="Z497" s="17">
        <f>IF($N497="","",COUNT($N497:$S497))</f>
        <v/>
      </c>
      <c r="AA497" s="19">
        <f>IF($Z497="","",INT(INDEX($N497:$S497,$Z497)))</f>
        <v/>
      </c>
      <c r="AB497" s="19">
        <f>IF(OR($Z497="",$Z497=6),"",WORKDAY($AA497,CHOOSE($Z497,3,3,2,2,3),Holidays))</f>
        <v/>
      </c>
      <c r="AC497" s="17">
        <f>IF(OR($Z497="",$Z497=6),"",CHOOSE($Z497,"1st Email Follow-up","2nd Email Follow-up","Escalate Local Office","Escalate to CBE","Escalate to Roxanne"))</f>
        <v/>
      </c>
    </row>
    <row r="498" spans="13:29">
      <c r="M498" s="14"/>
      <c r="T498" s="16"/>
      <c r="U498" s="17">
        <f>IF(AND(COUNTA($A498:$L498)=0,$N498=""),"",IF($T498="Paid","PAID",IF($T498="Closed","CLOSED",IF($Z498="","",IF($Z498=6,"ESCALATED TO ROXANNE",IF(TODAY()&gt;$AB498,"OVERDUE",IF($AB498&lt;=WORKDAY(TODAY(),1,Holidays),"DUE TOMORROW",IF($Z498=4,"ESCALATED TO LOCAL OFFICE",IF($Z498=5,"ESCALATED TO CBE",IF($AA498=TODAY(),"EMAIL SENT","MONITORING"))))))))))</f>
        <v/>
      </c>
      <c r="V498" s="17">
        <f>IF($U498="",IF(AND(COUNTA($A498:$L498)&gt;0,$N498=""),"Awaiting Collection Email time stamp.",""),IF(OR($U498="PAID",$U498="CLOSED"),IF($U498="PAID","Account paid. Action completed.","Account closed. No further action required."),CHOOSE($Z498,"Collection Email","1st Email Follow-up","2nd Email Follow-up","Escalation to Local Office","Escalation to CBE","Escalation to Roxanne")&amp;" sent "&amp;TEXT($AA498,"dd-mmm")&amp;". "&amp;IF($Z498=6,"Final escalation completed.",IF($U498="OVERDUE","Next: "&amp;$AC498&amp;" was due "&amp;TEXT($AB498,"dd-mmm")&amp;" - "&amp;(NETWORKDAYS($AB498,TODAY(),Holidays)-1)&amp;" business day(s) late. Send now.",IF($U498="DUE TOMORROW","Next: "&amp;$AC498&amp;IF($AB498&lt;=TODAY()," is due TODAY ("," is due next business day (")&amp;TEXT($AB498,"dd-mmm")&amp;").","Next: "&amp;$AC498&amp;" due "&amp;TEXT($AB498,"dd-mmm")&amp;" ("&amp;(NETWORKDAYS(TODAY(),$AB498,Holidays)-1)&amp;" business day(s) left).")))))</f>
        <v/>
      </c>
      <c r="W498" s="17">
        <f>IF($Z498="","",CHOOSE($Z498,"Collection Email","1st Follow-up","2nd Follow-up","Local Office","CBE","Roxanne")&amp;IF($Z498=6," - Final"," - Day "&amp;MAX(0,NETWORKDAYS($AA498,TODAY(),Holidays)-1)&amp;" of "&amp;CHOOSE($Z498,3,3,2,2,3))&amp;" | Total Day "&amp;MAX(0,NETWORKDAYS($N498,TODAY(),Holidays)-1))</f>
        <v/>
      </c>
      <c r="X498" s="18"/>
      <c r="Y498" s="18"/>
      <c r="Z498" s="17">
        <f>IF($N498="","",COUNT($N498:$S498))</f>
        <v/>
      </c>
      <c r="AA498" s="19">
        <f>IF($Z498="","",INT(INDEX($N498:$S498,$Z498)))</f>
        <v/>
      </c>
      <c r="AB498" s="19">
        <f>IF(OR($Z498="",$Z498=6),"",WORKDAY($AA498,CHOOSE($Z498,3,3,2,2,3),Holidays))</f>
        <v/>
      </c>
      <c r="AC498" s="17">
        <f>IF(OR($Z498="",$Z498=6),"",CHOOSE($Z498,"1st Email Follow-up","2nd Email Follow-up","Escalate Local Office","Escalate to CBE","Escalate to Roxanne"))</f>
        <v/>
      </c>
    </row>
    <row r="499" spans="13:29">
      <c r="M499" s="14"/>
      <c r="T499" s="16"/>
      <c r="U499" s="17">
        <f>IF(AND(COUNTA($A499:$L499)=0,$N499=""),"",IF($T499="Paid","PAID",IF($T499="Closed","CLOSED",IF($Z499="","",IF($Z499=6,"ESCALATED TO ROXANNE",IF(TODAY()&gt;$AB499,"OVERDUE",IF($AB499&lt;=WORKDAY(TODAY(),1,Holidays),"DUE TOMORROW",IF($Z499=4,"ESCALATED TO LOCAL OFFICE",IF($Z499=5,"ESCALATED TO CBE",IF($AA499=TODAY(),"EMAIL SENT","MONITORING"))))))))))</f>
        <v/>
      </c>
      <c r="V499" s="17">
        <f>IF($U499="",IF(AND(COUNTA($A499:$L499)&gt;0,$N499=""),"Awaiting Collection Email time stamp.",""),IF(OR($U499="PAID",$U499="CLOSED"),IF($U499="PAID","Account paid. Action completed.","Account closed. No further action required."),CHOOSE($Z499,"Collection Email","1st Email Follow-up","2nd Email Follow-up","Escalation to Local Office","Escalation to CBE","Escalation to Roxanne")&amp;" sent "&amp;TEXT($AA499,"dd-mmm")&amp;". "&amp;IF($Z499=6,"Final escalation completed.",IF($U499="OVERDUE","Next: "&amp;$AC499&amp;" was due "&amp;TEXT($AB499,"dd-mmm")&amp;" - "&amp;(NETWORKDAYS($AB499,TODAY(),Holidays)-1)&amp;" business day(s) late. Send now.",IF($U499="DUE TOMORROW","Next: "&amp;$AC499&amp;IF($AB499&lt;=TODAY()," is due TODAY ("," is due next business day (")&amp;TEXT($AB499,"dd-mmm")&amp;").","Next: "&amp;$AC499&amp;" due "&amp;TEXT($AB499,"dd-mmm")&amp;" ("&amp;(NETWORKDAYS(TODAY(),$AB499,Holidays)-1)&amp;" business day(s) left).")))))</f>
        <v/>
      </c>
      <c r="W499" s="17">
        <f>IF($Z499="","",CHOOSE($Z499,"Collection Email","1st Follow-up","2nd Follow-up","Local Office","CBE","Roxanne")&amp;IF($Z499=6," - Final"," - Day "&amp;MAX(0,NETWORKDAYS($AA499,TODAY(),Holidays)-1)&amp;" of "&amp;CHOOSE($Z499,3,3,2,2,3))&amp;" | Total Day "&amp;MAX(0,NETWORKDAYS($N499,TODAY(),Holidays)-1))</f>
        <v/>
      </c>
      <c r="X499" s="18"/>
      <c r="Y499" s="18"/>
      <c r="Z499" s="17">
        <f>IF($N499="","",COUNT($N499:$S499))</f>
        <v/>
      </c>
      <c r="AA499" s="19">
        <f>IF($Z499="","",INT(INDEX($N499:$S499,$Z499)))</f>
        <v/>
      </c>
      <c r="AB499" s="19">
        <f>IF(OR($Z499="",$Z499=6),"",WORKDAY($AA499,CHOOSE($Z499,3,3,2,2,3),Holidays))</f>
        <v/>
      </c>
      <c r="AC499" s="17">
        <f>IF(OR($Z499="",$Z499=6),"",CHOOSE($Z499,"1st Email Follow-up","2nd Email Follow-up","Escalate Local Office","Escalate to CBE","Escalate to Roxanne"))</f>
        <v/>
      </c>
    </row>
    <row r="500" spans="13:29">
      <c r="M500" s="14"/>
      <c r="T500" s="16"/>
      <c r="U500" s="17">
        <f>IF(AND(COUNTA($A500:$L500)=0,$N500=""),"",IF($T500="Paid","PAID",IF($T500="Closed","CLOSED",IF($Z500="","",IF($Z500=6,"ESCALATED TO ROXANNE",IF(TODAY()&gt;$AB500,"OVERDUE",IF($AB500&lt;=WORKDAY(TODAY(),1,Holidays),"DUE TOMORROW",IF($Z500=4,"ESCALATED TO LOCAL OFFICE",IF($Z500=5,"ESCALATED TO CBE",IF($AA500=TODAY(),"EMAIL SENT","MONITORING"))))))))))</f>
        <v/>
      </c>
      <c r="V500" s="17">
        <f>IF($U500="",IF(AND(COUNTA($A500:$L500)&gt;0,$N500=""),"Awaiting Collection Email time stamp.",""),IF(OR($U500="PAID",$U500="CLOSED"),IF($U500="PAID","Account paid. Action completed.","Account closed. No further action required."),CHOOSE($Z500,"Collection Email","1st Email Follow-up","2nd Email Follow-up","Escalation to Local Office","Escalation to CBE","Escalation to Roxanne")&amp;" sent "&amp;TEXT($AA500,"dd-mmm")&amp;". "&amp;IF($Z500=6,"Final escalation completed.",IF($U500="OVERDUE","Next: "&amp;$AC500&amp;" was due "&amp;TEXT($AB500,"dd-mmm")&amp;" - "&amp;(NETWORKDAYS($AB500,TODAY(),Holidays)-1)&amp;" business day(s) late. Send now.",IF($U500="DUE TOMORROW","Next: "&amp;$AC500&amp;IF($AB500&lt;=TODAY()," is due TODAY ("," is due next business day (")&amp;TEXT($AB500,"dd-mmm")&amp;").","Next: "&amp;$AC500&amp;" due "&amp;TEXT($AB500,"dd-mmm")&amp;" ("&amp;(NETWORKDAYS(TODAY(),$AB500,Holidays)-1)&amp;" business day(s) left).")))))</f>
        <v/>
      </c>
      <c r="W500" s="17">
        <f>IF($Z500="","",CHOOSE($Z500,"Collection Email","1st Follow-up","2nd Follow-up","Local Office","CBE","Roxanne")&amp;IF($Z500=6," - Final"," - Day "&amp;MAX(0,NETWORKDAYS($AA500,TODAY(),Holidays)-1)&amp;" of "&amp;CHOOSE($Z500,3,3,2,2,3))&amp;" | Total Day "&amp;MAX(0,NETWORKDAYS($N500,TODAY(),Holidays)-1))</f>
        <v/>
      </c>
      <c r="X500" s="18"/>
      <c r="Y500" s="18"/>
      <c r="Z500" s="17">
        <f>IF($N500="","",COUNT($N500:$S500))</f>
        <v/>
      </c>
      <c r="AA500" s="19">
        <f>IF($Z500="","",INT(INDEX($N500:$S500,$Z500)))</f>
        <v/>
      </c>
      <c r="AB500" s="19">
        <f>IF(OR($Z500="",$Z500=6),"",WORKDAY($AA500,CHOOSE($Z500,3,3,2,2,3),Holidays))</f>
        <v/>
      </c>
      <c r="AC500" s="17">
        <f>IF(OR($Z500="",$Z500=6),"",CHOOSE($Z500,"1st Email Follow-up","2nd Email Follow-up","Escalate Local Office","Escalate to CBE","Escalate to Roxanne"))</f>
        <v/>
      </c>
    </row>
    <row r="501" spans="13:29">
      <c r="M501" s="14"/>
      <c r="T501" s="16"/>
      <c r="U501" s="17">
        <f>IF(AND(COUNTA($A501:$L501)=0,$N501=""),"",IF($T501="Paid","PAID",IF($T501="Closed","CLOSED",IF($Z501="","",IF($Z501=6,"ESCALATED TO ROXANNE",IF(TODAY()&gt;$AB501,"OVERDUE",IF($AB501&lt;=WORKDAY(TODAY(),1,Holidays),"DUE TOMORROW",IF($Z501=4,"ESCALATED TO LOCAL OFFICE",IF($Z501=5,"ESCALATED TO CBE",IF($AA501=TODAY(),"EMAIL SENT","MONITORING"))))))))))</f>
        <v/>
      </c>
      <c r="V501" s="17">
        <f>IF($U501="",IF(AND(COUNTA($A501:$L501)&gt;0,$N501=""),"Awaiting Collection Email time stamp.",""),IF(OR($U501="PAID",$U501="CLOSED"),IF($U501="PAID","Account paid. Action completed.","Account closed. No further action required."),CHOOSE($Z501,"Collection Email","1st Email Follow-up","2nd Email Follow-up","Escalation to Local Office","Escalation to CBE","Escalation to Roxanne")&amp;" sent "&amp;TEXT($AA501,"dd-mmm")&amp;". "&amp;IF($Z501=6,"Final escalation completed.",IF($U501="OVERDUE","Next: "&amp;$AC501&amp;" was due "&amp;TEXT($AB501,"dd-mmm")&amp;" - "&amp;(NETWORKDAYS($AB501,TODAY(),Holidays)-1)&amp;" business day(s) late. Send now.",IF($U501="DUE TOMORROW","Next: "&amp;$AC501&amp;IF($AB501&lt;=TODAY()," is due TODAY ("," is due next business day (")&amp;TEXT($AB501,"dd-mmm")&amp;").","Next: "&amp;$AC501&amp;" due "&amp;TEXT($AB501,"dd-mmm")&amp;" ("&amp;(NETWORKDAYS(TODAY(),$AB501,Holidays)-1)&amp;" business day(s) left).")))))</f>
        <v/>
      </c>
      <c r="W501" s="17">
        <f>IF($Z501="","",CHOOSE($Z501,"Collection Email","1st Follow-up","2nd Follow-up","Local Office","CBE","Roxanne")&amp;IF($Z501=6," - Final"," - Day "&amp;MAX(0,NETWORKDAYS($AA501,TODAY(),Holidays)-1)&amp;" of "&amp;CHOOSE($Z501,3,3,2,2,3))&amp;" | Total Day "&amp;MAX(0,NETWORKDAYS($N501,TODAY(),Holidays)-1))</f>
        <v/>
      </c>
      <c r="X501" s="18"/>
      <c r="Y501" s="18"/>
      <c r="Z501" s="17">
        <f>IF($N501="","",COUNT($N501:$S501))</f>
        <v/>
      </c>
      <c r="AA501" s="19">
        <f>IF($Z501="","",INT(INDEX($N501:$S501,$Z501)))</f>
        <v/>
      </c>
      <c r="AB501" s="19">
        <f>IF(OR($Z501="",$Z501=6),"",WORKDAY($AA501,CHOOSE($Z501,3,3,2,2,3),Holidays))</f>
        <v/>
      </c>
      <c r="AC501" s="17">
        <f>IF(OR($Z501="",$Z501=6),"",CHOOSE($Z501,"1st Email Follow-up","2nd Email Follow-up","Escalate Local Office","Escalate to CBE","Escalate to Roxanne"))</f>
        <v/>
      </c>
    </row>
    <row r="502" spans="13:29">
      <c r="M502" s="14"/>
      <c r="T502" s="16"/>
      <c r="U502" s="17">
        <f>IF(AND(COUNTA($A502:$L502)=0,$N502=""),"",IF($T502="Paid","PAID",IF($T502="Closed","CLOSED",IF($Z502="","",IF($Z502=6,"ESCALATED TO ROXANNE",IF(TODAY()&gt;$AB502,"OVERDUE",IF($AB502&lt;=WORKDAY(TODAY(),1,Holidays),"DUE TOMORROW",IF($Z502=4,"ESCALATED TO LOCAL OFFICE",IF($Z502=5,"ESCALATED TO CBE",IF($AA502=TODAY(),"EMAIL SENT","MONITORING"))))))))))</f>
        <v/>
      </c>
      <c r="V502" s="17">
        <f>IF($U502="",IF(AND(COUNTA($A502:$L502)&gt;0,$N502=""),"Awaiting Collection Email time stamp.",""),IF(OR($U502="PAID",$U502="CLOSED"),IF($U502="PAID","Account paid. Action completed.","Account closed. No further action required."),CHOOSE($Z502,"Collection Email","1st Email Follow-up","2nd Email Follow-up","Escalation to Local Office","Escalation to CBE","Escalation to Roxanne")&amp;" sent "&amp;TEXT($AA502,"dd-mmm")&amp;". "&amp;IF($Z502=6,"Final escalation completed.",IF($U502="OVERDUE","Next: "&amp;$AC502&amp;" was due "&amp;TEXT($AB502,"dd-mmm")&amp;" - "&amp;(NETWORKDAYS($AB502,TODAY(),Holidays)-1)&amp;" business day(s) late. Send now.",IF($U502="DUE TOMORROW","Next: "&amp;$AC502&amp;IF($AB502&lt;=TODAY()," is due TODAY ("," is due next business day (")&amp;TEXT($AB502,"dd-mmm")&amp;").","Next: "&amp;$AC502&amp;" due "&amp;TEXT($AB502,"dd-mmm")&amp;" ("&amp;(NETWORKDAYS(TODAY(),$AB502,Holidays)-1)&amp;" business day(s) left).")))))</f>
        <v/>
      </c>
      <c r="W502" s="17">
        <f>IF($Z502="","",CHOOSE($Z502,"Collection Email","1st Follow-up","2nd Follow-up","Local Office","CBE","Roxanne")&amp;IF($Z502=6," - Final"," - Day "&amp;MAX(0,NETWORKDAYS($AA502,TODAY(),Holidays)-1)&amp;" of "&amp;CHOOSE($Z502,3,3,2,2,3))&amp;" | Total Day "&amp;MAX(0,NETWORKDAYS($N502,TODAY(),Holidays)-1))</f>
        <v/>
      </c>
      <c r="X502" s="18"/>
      <c r="Y502" s="18"/>
      <c r="Z502" s="17">
        <f>IF($N502="","",COUNT($N502:$S502))</f>
        <v/>
      </c>
      <c r="AA502" s="19">
        <f>IF($Z502="","",INT(INDEX($N502:$S502,$Z502)))</f>
        <v/>
      </c>
      <c r="AB502" s="19">
        <f>IF(OR($Z502="",$Z502=6),"",WORKDAY($AA502,CHOOSE($Z502,3,3,2,2,3),Holidays))</f>
        <v/>
      </c>
      <c r="AC502" s="17">
        <f>IF(OR($Z502="",$Z502=6),"",CHOOSE($Z502,"1st Email Follow-up","2nd Email Follow-up","Escalate Local Office","Escalate to CBE","Escalate to Roxanne"))</f>
        <v/>
      </c>
    </row>
    <row r="503" spans="13:29">
      <c r="M503" s="14"/>
      <c r="T503" s="16"/>
      <c r="U503" s="17">
        <f>IF(AND(COUNTA($A503:$L503)=0,$N503=""),"",IF($T503="Paid","PAID",IF($T503="Closed","CLOSED",IF($Z503="","",IF($Z503=6,"ESCALATED TO ROXANNE",IF(TODAY()&gt;$AB503,"OVERDUE",IF($AB503&lt;=WORKDAY(TODAY(),1,Holidays),"DUE TOMORROW",IF($Z503=4,"ESCALATED TO LOCAL OFFICE",IF($Z503=5,"ESCALATED TO CBE",IF($AA503=TODAY(),"EMAIL SENT","MONITORING"))))))))))</f>
        <v/>
      </c>
      <c r="V503" s="17">
        <f>IF($U503="",IF(AND(COUNTA($A503:$L503)&gt;0,$N503=""),"Awaiting Collection Email time stamp.",""),IF(OR($U503="PAID",$U503="CLOSED"),IF($U503="PAID","Account paid. Action completed.","Account closed. No further action required."),CHOOSE($Z503,"Collection Email","1st Email Follow-up","2nd Email Follow-up","Escalation to Local Office","Escalation to CBE","Escalation to Roxanne")&amp;" sent "&amp;TEXT($AA503,"dd-mmm")&amp;". "&amp;IF($Z503=6,"Final escalation completed.",IF($U503="OVERDUE","Next: "&amp;$AC503&amp;" was due "&amp;TEXT($AB503,"dd-mmm")&amp;" - "&amp;(NETWORKDAYS($AB503,TODAY(),Holidays)-1)&amp;" business day(s) late. Send now.",IF($U503="DUE TOMORROW","Next: "&amp;$AC503&amp;IF($AB503&lt;=TODAY()," is due TODAY ("," is due next business day (")&amp;TEXT($AB503,"dd-mmm")&amp;").","Next: "&amp;$AC503&amp;" due "&amp;TEXT($AB503,"dd-mmm")&amp;" ("&amp;(NETWORKDAYS(TODAY(),$AB503,Holidays)-1)&amp;" business day(s) left).")))))</f>
        <v/>
      </c>
      <c r="W503" s="17">
        <f>IF($Z503="","",CHOOSE($Z503,"Collection Email","1st Follow-up","2nd Follow-up","Local Office","CBE","Roxanne")&amp;IF($Z503=6," - Final"," - Day "&amp;MAX(0,NETWORKDAYS($AA503,TODAY(),Holidays)-1)&amp;" of "&amp;CHOOSE($Z503,3,3,2,2,3))&amp;" | Total Day "&amp;MAX(0,NETWORKDAYS($N503,TODAY(),Holidays)-1))</f>
        <v/>
      </c>
      <c r="X503" s="18"/>
      <c r="Y503" s="18"/>
      <c r="Z503" s="17">
        <f>IF($N503="","",COUNT($N503:$S503))</f>
        <v/>
      </c>
      <c r="AA503" s="19">
        <f>IF($Z503="","",INT(INDEX($N503:$S503,$Z503)))</f>
        <v/>
      </c>
      <c r="AB503" s="19">
        <f>IF(OR($Z503="",$Z503=6),"",WORKDAY($AA503,CHOOSE($Z503,3,3,2,2,3),Holidays))</f>
        <v/>
      </c>
      <c r="AC503" s="17">
        <f>IF(OR($Z503="",$Z503=6),"",CHOOSE($Z503,"1st Email Follow-up","2nd Email Follow-up","Escalate Local Office","Escalate to CBE","Escalate to Roxanne"))</f>
        <v/>
      </c>
    </row>
    <row r="504" spans="13:29">
      <c r="M504" s="14"/>
      <c r="T504" s="16"/>
      <c r="U504" s="17">
        <f>IF(AND(COUNTA($A504:$L504)=0,$N504=""),"",IF($T504="Paid","PAID",IF($T504="Closed","CLOSED",IF($Z504="","",IF($Z504=6,"ESCALATED TO ROXANNE",IF(TODAY()&gt;$AB504,"OVERDUE",IF($AB504&lt;=WORKDAY(TODAY(),1,Holidays),"DUE TOMORROW",IF($Z504=4,"ESCALATED TO LOCAL OFFICE",IF($Z504=5,"ESCALATED TO CBE",IF($AA504=TODAY(),"EMAIL SENT","MONITORING"))))))))))</f>
        <v/>
      </c>
      <c r="V504" s="17">
        <f>IF($U504="",IF(AND(COUNTA($A504:$L504)&gt;0,$N504=""),"Awaiting Collection Email time stamp.",""),IF(OR($U504="PAID",$U504="CLOSED"),IF($U504="PAID","Account paid. Action completed.","Account closed. No further action required."),CHOOSE($Z504,"Collection Email","1st Email Follow-up","2nd Email Follow-up","Escalation to Local Office","Escalation to CBE","Escalation to Roxanne")&amp;" sent "&amp;TEXT($AA504,"dd-mmm")&amp;". "&amp;IF($Z504=6,"Final escalation completed.",IF($U504="OVERDUE","Next: "&amp;$AC504&amp;" was due "&amp;TEXT($AB504,"dd-mmm")&amp;" - "&amp;(NETWORKDAYS($AB504,TODAY(),Holidays)-1)&amp;" business day(s) late. Send now.",IF($U504="DUE TOMORROW","Next: "&amp;$AC504&amp;IF($AB504&lt;=TODAY()," is due TODAY ("," is due next business day (")&amp;TEXT($AB504,"dd-mmm")&amp;").","Next: "&amp;$AC504&amp;" due "&amp;TEXT($AB504,"dd-mmm")&amp;" ("&amp;(NETWORKDAYS(TODAY(),$AB504,Holidays)-1)&amp;" business day(s) left).")))))</f>
        <v/>
      </c>
      <c r="W504" s="17">
        <f>IF($Z504="","",CHOOSE($Z504,"Collection Email","1st Follow-up","2nd Follow-up","Local Office","CBE","Roxanne")&amp;IF($Z504=6," - Final"," - Day "&amp;MAX(0,NETWORKDAYS($AA504,TODAY(),Holidays)-1)&amp;" of "&amp;CHOOSE($Z504,3,3,2,2,3))&amp;" | Total Day "&amp;MAX(0,NETWORKDAYS($N504,TODAY(),Holidays)-1))</f>
        <v/>
      </c>
      <c r="X504" s="18"/>
      <c r="Y504" s="18"/>
      <c r="Z504" s="17">
        <f>IF($N504="","",COUNT($N504:$S504))</f>
        <v/>
      </c>
      <c r="AA504" s="19">
        <f>IF($Z504="","",INT(INDEX($N504:$S504,$Z504)))</f>
        <v/>
      </c>
      <c r="AB504" s="19">
        <f>IF(OR($Z504="",$Z504=6),"",WORKDAY($AA504,CHOOSE($Z504,3,3,2,2,3),Holidays))</f>
        <v/>
      </c>
      <c r="AC504" s="17">
        <f>IF(OR($Z504="",$Z504=6),"",CHOOSE($Z504,"1st Email Follow-up","2nd Email Follow-up","Escalate Local Office","Escalate to CBE","Escalate to Roxanne"))</f>
        <v/>
      </c>
    </row>
    <row r="505" spans="13:29">
      <c r="M505" s="14"/>
      <c r="T505" s="16"/>
      <c r="U505" s="17">
        <f>IF(AND(COUNTA($A505:$L505)=0,$N505=""),"",IF($T505="Paid","PAID",IF($T505="Closed","CLOSED",IF($Z505="","",IF($Z505=6,"ESCALATED TO ROXANNE",IF(TODAY()&gt;$AB505,"OVERDUE",IF($AB505&lt;=WORKDAY(TODAY(),1,Holidays),"DUE TOMORROW",IF($Z505=4,"ESCALATED TO LOCAL OFFICE",IF($Z505=5,"ESCALATED TO CBE",IF($AA505=TODAY(),"EMAIL SENT","MONITORING"))))))))))</f>
        <v/>
      </c>
      <c r="V505" s="17">
        <f>IF($U505="",IF(AND(COUNTA($A505:$L505)&gt;0,$N505=""),"Awaiting Collection Email time stamp.",""),IF(OR($U505="PAID",$U505="CLOSED"),IF($U505="PAID","Account paid. Action completed.","Account closed. No further action required."),CHOOSE($Z505,"Collection Email","1st Email Follow-up","2nd Email Follow-up","Escalation to Local Office","Escalation to CBE","Escalation to Roxanne")&amp;" sent "&amp;TEXT($AA505,"dd-mmm")&amp;". "&amp;IF($Z505=6,"Final escalation completed.",IF($U505="OVERDUE","Next: "&amp;$AC505&amp;" was due "&amp;TEXT($AB505,"dd-mmm")&amp;" - "&amp;(NETWORKDAYS($AB505,TODAY(),Holidays)-1)&amp;" business day(s) late. Send now.",IF($U505="DUE TOMORROW","Next: "&amp;$AC505&amp;IF($AB505&lt;=TODAY()," is due TODAY ("," is due next business day (")&amp;TEXT($AB505,"dd-mmm")&amp;").","Next: "&amp;$AC505&amp;" due "&amp;TEXT($AB505,"dd-mmm")&amp;" ("&amp;(NETWORKDAYS(TODAY(),$AB505,Holidays)-1)&amp;" business day(s) left).")))))</f>
        <v/>
      </c>
      <c r="W505" s="17">
        <f>IF($Z505="","",CHOOSE($Z505,"Collection Email","1st Follow-up","2nd Follow-up","Local Office","CBE","Roxanne")&amp;IF($Z505=6," - Final"," - Day "&amp;MAX(0,NETWORKDAYS($AA505,TODAY(),Holidays)-1)&amp;" of "&amp;CHOOSE($Z505,3,3,2,2,3))&amp;" | Total Day "&amp;MAX(0,NETWORKDAYS($N505,TODAY(),Holidays)-1))</f>
        <v/>
      </c>
      <c r="X505" s="18"/>
      <c r="Y505" s="18"/>
      <c r="Z505" s="17">
        <f>IF($N505="","",COUNT($N505:$S505))</f>
        <v/>
      </c>
      <c r="AA505" s="19">
        <f>IF($Z505="","",INT(INDEX($N505:$S505,$Z505)))</f>
        <v/>
      </c>
      <c r="AB505" s="19">
        <f>IF(OR($Z505="",$Z505=6),"",WORKDAY($AA505,CHOOSE($Z505,3,3,2,2,3),Holidays))</f>
        <v/>
      </c>
      <c r="AC505" s="17">
        <f>IF(OR($Z505="",$Z505=6),"",CHOOSE($Z505,"1st Email Follow-up","2nd Email Follow-up","Escalate Local Office","Escalate to CBE","Escalate to Roxanne"))</f>
        <v/>
      </c>
    </row>
    <row r="506" spans="13:29">
      <c r="M506" s="14"/>
      <c r="T506" s="16"/>
      <c r="U506" s="17">
        <f>IF(AND(COUNTA($A506:$L506)=0,$N506=""),"",IF($T506="Paid","PAID",IF($T506="Closed","CLOSED",IF($Z506="","",IF($Z506=6,"ESCALATED TO ROXANNE",IF(TODAY()&gt;$AB506,"OVERDUE",IF($AB506&lt;=WORKDAY(TODAY(),1,Holidays),"DUE TOMORROW",IF($Z506=4,"ESCALATED TO LOCAL OFFICE",IF($Z506=5,"ESCALATED TO CBE",IF($AA506=TODAY(),"EMAIL SENT","MONITORING"))))))))))</f>
        <v/>
      </c>
      <c r="V506" s="17">
        <f>IF($U506="",IF(AND(COUNTA($A506:$L506)&gt;0,$N506=""),"Awaiting Collection Email time stamp.",""),IF(OR($U506="PAID",$U506="CLOSED"),IF($U506="PAID","Account paid. Action completed.","Account closed. No further action required."),CHOOSE($Z506,"Collection Email","1st Email Follow-up","2nd Email Follow-up","Escalation to Local Office","Escalation to CBE","Escalation to Roxanne")&amp;" sent "&amp;TEXT($AA506,"dd-mmm")&amp;". "&amp;IF($Z506=6,"Final escalation completed.",IF($U506="OVERDUE","Next: "&amp;$AC506&amp;" was due "&amp;TEXT($AB506,"dd-mmm")&amp;" - "&amp;(NETWORKDAYS($AB506,TODAY(),Holidays)-1)&amp;" business day(s) late. Send now.",IF($U506="DUE TOMORROW","Next: "&amp;$AC506&amp;IF($AB506&lt;=TODAY()," is due TODAY ("," is due next business day (")&amp;TEXT($AB506,"dd-mmm")&amp;").","Next: "&amp;$AC506&amp;" due "&amp;TEXT($AB506,"dd-mmm")&amp;" ("&amp;(NETWORKDAYS(TODAY(),$AB506,Holidays)-1)&amp;" business day(s) left).")))))</f>
        <v/>
      </c>
      <c r="W506" s="17">
        <f>IF($Z506="","",CHOOSE($Z506,"Collection Email","1st Follow-up","2nd Follow-up","Local Office","CBE","Roxanne")&amp;IF($Z506=6," - Final"," - Day "&amp;MAX(0,NETWORKDAYS($AA506,TODAY(),Holidays)-1)&amp;" of "&amp;CHOOSE($Z506,3,3,2,2,3))&amp;" | Total Day "&amp;MAX(0,NETWORKDAYS($N506,TODAY(),Holidays)-1))</f>
        <v/>
      </c>
      <c r="X506" s="18"/>
      <c r="Y506" s="18"/>
      <c r="Z506" s="17">
        <f>IF($N506="","",COUNT($N506:$S506))</f>
        <v/>
      </c>
      <c r="AA506" s="19">
        <f>IF($Z506="","",INT(INDEX($N506:$S506,$Z506)))</f>
        <v/>
      </c>
      <c r="AB506" s="19">
        <f>IF(OR($Z506="",$Z506=6),"",WORKDAY($AA506,CHOOSE($Z506,3,3,2,2,3),Holidays))</f>
        <v/>
      </c>
      <c r="AC506" s="17">
        <f>IF(OR($Z506="",$Z506=6),"",CHOOSE($Z506,"1st Email Follow-up","2nd Email Follow-up","Escalate Local Office","Escalate to CBE","Escalate to Roxanne"))</f>
        <v/>
      </c>
    </row>
    <row r="507" spans="13:29">
      <c r="M507" s="14"/>
      <c r="T507" s="16"/>
      <c r="U507" s="17">
        <f>IF(AND(COUNTA($A507:$L507)=0,$N507=""),"",IF($T507="Paid","PAID",IF($T507="Closed","CLOSED",IF($Z507="","",IF($Z507=6,"ESCALATED TO ROXANNE",IF(TODAY()&gt;$AB507,"OVERDUE",IF($AB507&lt;=WORKDAY(TODAY(),1,Holidays),"DUE TOMORROW",IF($Z507=4,"ESCALATED TO LOCAL OFFICE",IF($Z507=5,"ESCALATED TO CBE",IF($AA507=TODAY(),"EMAIL SENT","MONITORING"))))))))))</f>
        <v/>
      </c>
      <c r="V507" s="17">
        <f>IF($U507="",IF(AND(COUNTA($A507:$L507)&gt;0,$N507=""),"Awaiting Collection Email time stamp.",""),IF(OR($U507="PAID",$U507="CLOSED"),IF($U507="PAID","Account paid. Action completed.","Account closed. No further action required."),CHOOSE($Z507,"Collection Email","1st Email Follow-up","2nd Email Follow-up","Escalation to Local Office","Escalation to CBE","Escalation to Roxanne")&amp;" sent "&amp;TEXT($AA507,"dd-mmm")&amp;". "&amp;IF($Z507=6,"Final escalation completed.",IF($U507="OVERDUE","Next: "&amp;$AC507&amp;" was due "&amp;TEXT($AB507,"dd-mmm")&amp;" - "&amp;(NETWORKDAYS($AB507,TODAY(),Holidays)-1)&amp;" business day(s) late. Send now.",IF($U507="DUE TOMORROW","Next: "&amp;$AC507&amp;IF($AB507&lt;=TODAY()," is due TODAY ("," is due next business day (")&amp;TEXT($AB507,"dd-mmm")&amp;").","Next: "&amp;$AC507&amp;" due "&amp;TEXT($AB507,"dd-mmm")&amp;" ("&amp;(NETWORKDAYS(TODAY(),$AB507,Holidays)-1)&amp;" business day(s) left).")))))</f>
        <v/>
      </c>
      <c r="W507" s="17">
        <f>IF($Z507="","",CHOOSE($Z507,"Collection Email","1st Follow-up","2nd Follow-up","Local Office","CBE","Roxanne")&amp;IF($Z507=6," - Final"," - Day "&amp;MAX(0,NETWORKDAYS($AA507,TODAY(),Holidays)-1)&amp;" of "&amp;CHOOSE($Z507,3,3,2,2,3))&amp;" | Total Day "&amp;MAX(0,NETWORKDAYS($N507,TODAY(),Holidays)-1))</f>
        <v/>
      </c>
      <c r="X507" s="18"/>
      <c r="Y507" s="18"/>
      <c r="Z507" s="17">
        <f>IF($N507="","",COUNT($N507:$S507))</f>
        <v/>
      </c>
      <c r="AA507" s="19">
        <f>IF($Z507="","",INT(INDEX($N507:$S507,$Z507)))</f>
        <v/>
      </c>
      <c r="AB507" s="19">
        <f>IF(OR($Z507="",$Z507=6),"",WORKDAY($AA507,CHOOSE($Z507,3,3,2,2,3),Holidays))</f>
        <v/>
      </c>
      <c r="AC507" s="17">
        <f>IF(OR($Z507="",$Z507=6),"",CHOOSE($Z507,"1st Email Follow-up","2nd Email Follow-up","Escalate Local Office","Escalate to CBE","Escalate to Roxanne"))</f>
        <v/>
      </c>
    </row>
    <row r="508" spans="13:29">
      <c r="M508" s="14"/>
      <c r="T508" s="16"/>
      <c r="U508" s="17">
        <f>IF(AND(COUNTA($A508:$L508)=0,$N508=""),"",IF($T508="Paid","PAID",IF($T508="Closed","CLOSED",IF($Z508="","",IF($Z508=6,"ESCALATED TO ROXANNE",IF(TODAY()&gt;$AB508,"OVERDUE",IF($AB508&lt;=WORKDAY(TODAY(),1,Holidays),"DUE TOMORROW",IF($Z508=4,"ESCALATED TO LOCAL OFFICE",IF($Z508=5,"ESCALATED TO CBE",IF($AA508=TODAY(),"EMAIL SENT","MONITORING"))))))))))</f>
        <v/>
      </c>
      <c r="V508" s="17">
        <f>IF($U508="",IF(AND(COUNTA($A508:$L508)&gt;0,$N508=""),"Awaiting Collection Email time stamp.",""),IF(OR($U508="PAID",$U508="CLOSED"),IF($U508="PAID","Account paid. Action completed.","Account closed. No further action required."),CHOOSE($Z508,"Collection Email","1st Email Follow-up","2nd Email Follow-up","Escalation to Local Office","Escalation to CBE","Escalation to Roxanne")&amp;" sent "&amp;TEXT($AA508,"dd-mmm")&amp;". "&amp;IF($Z508=6,"Final escalation completed.",IF($U508="OVERDUE","Next: "&amp;$AC508&amp;" was due "&amp;TEXT($AB508,"dd-mmm")&amp;" - "&amp;(NETWORKDAYS($AB508,TODAY(),Holidays)-1)&amp;" business day(s) late. Send now.",IF($U508="DUE TOMORROW","Next: "&amp;$AC508&amp;IF($AB508&lt;=TODAY()," is due TODAY ("," is due next business day (")&amp;TEXT($AB508,"dd-mmm")&amp;").","Next: "&amp;$AC508&amp;" due "&amp;TEXT($AB508,"dd-mmm")&amp;" ("&amp;(NETWORKDAYS(TODAY(),$AB508,Holidays)-1)&amp;" business day(s) left).")))))</f>
        <v/>
      </c>
      <c r="W508" s="17">
        <f>IF($Z508="","",CHOOSE($Z508,"Collection Email","1st Follow-up","2nd Follow-up","Local Office","CBE","Roxanne")&amp;IF($Z508=6," - Final"," - Day "&amp;MAX(0,NETWORKDAYS($AA508,TODAY(),Holidays)-1)&amp;" of "&amp;CHOOSE($Z508,3,3,2,2,3))&amp;" | Total Day "&amp;MAX(0,NETWORKDAYS($N508,TODAY(),Holidays)-1))</f>
        <v/>
      </c>
      <c r="X508" s="18"/>
      <c r="Y508" s="18"/>
      <c r="Z508" s="17">
        <f>IF($N508="","",COUNT($N508:$S508))</f>
        <v/>
      </c>
      <c r="AA508" s="19">
        <f>IF($Z508="","",INT(INDEX($N508:$S508,$Z508)))</f>
        <v/>
      </c>
      <c r="AB508" s="19">
        <f>IF(OR($Z508="",$Z508=6),"",WORKDAY($AA508,CHOOSE($Z508,3,3,2,2,3),Holidays))</f>
        <v/>
      </c>
      <c r="AC508" s="17">
        <f>IF(OR($Z508="",$Z508=6),"",CHOOSE($Z508,"1st Email Follow-up","2nd Email Follow-up","Escalate Local Office","Escalate to CBE","Escalate to Roxanne"))</f>
        <v/>
      </c>
    </row>
    <row r="509" spans="13:29">
      <c r="M509" s="14"/>
      <c r="T509" s="16"/>
      <c r="U509" s="17">
        <f>IF(AND(COUNTA($A509:$L509)=0,$N509=""),"",IF($T509="Paid","PAID",IF($T509="Closed","CLOSED",IF($Z509="","",IF($Z509=6,"ESCALATED TO ROXANNE",IF(TODAY()&gt;$AB509,"OVERDUE",IF($AB509&lt;=WORKDAY(TODAY(),1,Holidays),"DUE TOMORROW",IF($Z509=4,"ESCALATED TO LOCAL OFFICE",IF($Z509=5,"ESCALATED TO CBE",IF($AA509=TODAY(),"EMAIL SENT","MONITORING"))))))))))</f>
        <v/>
      </c>
      <c r="V509" s="17">
        <f>IF($U509="",IF(AND(COUNTA($A509:$L509)&gt;0,$N509=""),"Awaiting Collection Email time stamp.",""),IF(OR($U509="PAID",$U509="CLOSED"),IF($U509="PAID","Account paid. Action completed.","Account closed. No further action required."),CHOOSE($Z509,"Collection Email","1st Email Follow-up","2nd Email Follow-up","Escalation to Local Office","Escalation to CBE","Escalation to Roxanne")&amp;" sent "&amp;TEXT($AA509,"dd-mmm")&amp;". "&amp;IF($Z509=6,"Final escalation completed.",IF($U509="OVERDUE","Next: "&amp;$AC509&amp;" was due "&amp;TEXT($AB509,"dd-mmm")&amp;" - "&amp;(NETWORKDAYS($AB509,TODAY(),Holidays)-1)&amp;" business day(s) late. Send now.",IF($U509="DUE TOMORROW","Next: "&amp;$AC509&amp;IF($AB509&lt;=TODAY()," is due TODAY ("," is due next business day (")&amp;TEXT($AB509,"dd-mmm")&amp;").","Next: "&amp;$AC509&amp;" due "&amp;TEXT($AB509,"dd-mmm")&amp;" ("&amp;(NETWORKDAYS(TODAY(),$AB509,Holidays)-1)&amp;" business day(s) left).")))))</f>
        <v/>
      </c>
      <c r="W509" s="17">
        <f>IF($Z509="","",CHOOSE($Z509,"Collection Email","1st Follow-up","2nd Follow-up","Local Office","CBE","Roxanne")&amp;IF($Z509=6," - Final"," - Day "&amp;MAX(0,NETWORKDAYS($AA509,TODAY(),Holidays)-1)&amp;" of "&amp;CHOOSE($Z509,3,3,2,2,3))&amp;" | Total Day "&amp;MAX(0,NETWORKDAYS($N509,TODAY(),Holidays)-1))</f>
        <v/>
      </c>
      <c r="X509" s="18"/>
      <c r="Y509" s="18"/>
      <c r="Z509" s="17">
        <f>IF($N509="","",COUNT($N509:$S509))</f>
        <v/>
      </c>
      <c r="AA509" s="19">
        <f>IF($Z509="","",INT(INDEX($N509:$S509,$Z509)))</f>
        <v/>
      </c>
      <c r="AB509" s="19">
        <f>IF(OR($Z509="",$Z509=6),"",WORKDAY($AA509,CHOOSE($Z509,3,3,2,2,3),Holidays))</f>
        <v/>
      </c>
      <c r="AC509" s="17">
        <f>IF(OR($Z509="",$Z509=6),"",CHOOSE($Z509,"1st Email Follow-up","2nd Email Follow-up","Escalate Local Office","Escalate to CBE","Escalate to Roxanne"))</f>
        <v/>
      </c>
    </row>
    <row r="510" spans="13:29">
      <c r="M510" s="14"/>
      <c r="T510" s="16"/>
      <c r="U510" s="17">
        <f>IF(AND(COUNTA($A510:$L510)=0,$N510=""),"",IF($T510="Paid","PAID",IF($T510="Closed","CLOSED",IF($Z510="","",IF($Z510=6,"ESCALATED TO ROXANNE",IF(TODAY()&gt;$AB510,"OVERDUE",IF($AB510&lt;=WORKDAY(TODAY(),1,Holidays),"DUE TOMORROW",IF($Z510=4,"ESCALATED TO LOCAL OFFICE",IF($Z510=5,"ESCALATED TO CBE",IF($AA510=TODAY(),"EMAIL SENT","MONITORING"))))))))))</f>
        <v/>
      </c>
      <c r="V510" s="17">
        <f>IF($U510="",IF(AND(COUNTA($A510:$L510)&gt;0,$N510=""),"Awaiting Collection Email time stamp.",""),IF(OR($U510="PAID",$U510="CLOSED"),IF($U510="PAID","Account paid. Action completed.","Account closed. No further action required."),CHOOSE($Z510,"Collection Email","1st Email Follow-up","2nd Email Follow-up","Escalation to Local Office","Escalation to CBE","Escalation to Roxanne")&amp;" sent "&amp;TEXT($AA510,"dd-mmm")&amp;". "&amp;IF($Z510=6,"Final escalation completed.",IF($U510="OVERDUE","Next: "&amp;$AC510&amp;" was due "&amp;TEXT($AB510,"dd-mmm")&amp;" - "&amp;(NETWORKDAYS($AB510,TODAY(),Holidays)-1)&amp;" business day(s) late. Send now.",IF($U510="DUE TOMORROW","Next: "&amp;$AC510&amp;IF($AB510&lt;=TODAY()," is due TODAY ("," is due next business day (")&amp;TEXT($AB510,"dd-mmm")&amp;").","Next: "&amp;$AC510&amp;" due "&amp;TEXT($AB510,"dd-mmm")&amp;" ("&amp;(NETWORKDAYS(TODAY(),$AB510,Holidays)-1)&amp;" business day(s) left).")))))</f>
        <v/>
      </c>
      <c r="W510" s="17">
        <f>IF($Z510="","",CHOOSE($Z510,"Collection Email","1st Follow-up","2nd Follow-up","Local Office","CBE","Roxanne")&amp;IF($Z510=6," - Final"," - Day "&amp;MAX(0,NETWORKDAYS($AA510,TODAY(),Holidays)-1)&amp;" of "&amp;CHOOSE($Z510,3,3,2,2,3))&amp;" | Total Day "&amp;MAX(0,NETWORKDAYS($N510,TODAY(),Holidays)-1))</f>
        <v/>
      </c>
      <c r="X510" s="18"/>
      <c r="Y510" s="18"/>
      <c r="Z510" s="17">
        <f>IF($N510="","",COUNT($N510:$S510))</f>
        <v/>
      </c>
      <c r="AA510" s="19">
        <f>IF($Z510="","",INT(INDEX($N510:$S510,$Z510)))</f>
        <v/>
      </c>
      <c r="AB510" s="19">
        <f>IF(OR($Z510="",$Z510=6),"",WORKDAY($AA510,CHOOSE($Z510,3,3,2,2,3),Holidays))</f>
        <v/>
      </c>
      <c r="AC510" s="17">
        <f>IF(OR($Z510="",$Z510=6),"",CHOOSE($Z510,"1st Email Follow-up","2nd Email Follow-up","Escalate Local Office","Escalate to CBE","Escalate to Roxanne"))</f>
        <v/>
      </c>
    </row>
    <row r="511" spans="13:29">
      <c r="M511" s="14"/>
      <c r="T511" s="16"/>
      <c r="U511" s="17">
        <f>IF(AND(COUNTA($A511:$L511)=0,$N511=""),"",IF($T511="Paid","PAID",IF($T511="Closed","CLOSED",IF($Z511="","",IF($Z511=6,"ESCALATED TO ROXANNE",IF(TODAY()&gt;$AB511,"OVERDUE",IF($AB511&lt;=WORKDAY(TODAY(),1,Holidays),"DUE TOMORROW",IF($Z511=4,"ESCALATED TO LOCAL OFFICE",IF($Z511=5,"ESCALATED TO CBE",IF($AA511=TODAY(),"EMAIL SENT","MONITORING"))))))))))</f>
        <v/>
      </c>
      <c r="V511" s="17">
        <f>IF($U511="",IF(AND(COUNTA($A511:$L511)&gt;0,$N511=""),"Awaiting Collection Email time stamp.",""),IF(OR($U511="PAID",$U511="CLOSED"),IF($U511="PAID","Account paid. Action completed.","Account closed. No further action required."),CHOOSE($Z511,"Collection Email","1st Email Follow-up","2nd Email Follow-up","Escalation to Local Office","Escalation to CBE","Escalation to Roxanne")&amp;" sent "&amp;TEXT($AA511,"dd-mmm")&amp;". "&amp;IF($Z511=6,"Final escalation completed.",IF($U511="OVERDUE","Next: "&amp;$AC511&amp;" was due "&amp;TEXT($AB511,"dd-mmm")&amp;" - "&amp;(NETWORKDAYS($AB511,TODAY(),Holidays)-1)&amp;" business day(s) late. Send now.",IF($U511="DUE TOMORROW","Next: "&amp;$AC511&amp;IF($AB511&lt;=TODAY()," is due TODAY ("," is due next business day (")&amp;TEXT($AB511,"dd-mmm")&amp;").","Next: "&amp;$AC511&amp;" due "&amp;TEXT($AB511,"dd-mmm")&amp;" ("&amp;(NETWORKDAYS(TODAY(),$AB511,Holidays)-1)&amp;" business day(s) left).")))))</f>
        <v/>
      </c>
      <c r="W511" s="17">
        <f>IF($Z511="","",CHOOSE($Z511,"Collection Email","1st Follow-up","2nd Follow-up","Local Office","CBE","Roxanne")&amp;IF($Z511=6," - Final"," - Day "&amp;MAX(0,NETWORKDAYS($AA511,TODAY(),Holidays)-1)&amp;" of "&amp;CHOOSE($Z511,3,3,2,2,3))&amp;" | Total Day "&amp;MAX(0,NETWORKDAYS($N511,TODAY(),Holidays)-1))</f>
        <v/>
      </c>
      <c r="X511" s="18"/>
      <c r="Y511" s="18"/>
      <c r="Z511" s="17">
        <f>IF($N511="","",COUNT($N511:$S511))</f>
        <v/>
      </c>
      <c r="AA511" s="19">
        <f>IF($Z511="","",INT(INDEX($N511:$S511,$Z511)))</f>
        <v/>
      </c>
      <c r="AB511" s="19">
        <f>IF(OR($Z511="",$Z511=6),"",WORKDAY($AA511,CHOOSE($Z511,3,3,2,2,3),Holidays))</f>
        <v/>
      </c>
      <c r="AC511" s="17">
        <f>IF(OR($Z511="",$Z511=6),"",CHOOSE($Z511,"1st Email Follow-up","2nd Email Follow-up","Escalate Local Office","Escalate to CBE","Escalate to Roxanne"))</f>
        <v/>
      </c>
    </row>
    <row r="512" spans="13:29">
      <c r="M512" s="14"/>
      <c r="T512" s="16"/>
      <c r="U512" s="17">
        <f>IF(AND(COUNTA($A512:$L512)=0,$N512=""),"",IF($T512="Paid","PAID",IF($T512="Closed","CLOSED",IF($Z512="","",IF($Z512=6,"ESCALATED TO ROXANNE",IF(TODAY()&gt;$AB512,"OVERDUE",IF($AB512&lt;=WORKDAY(TODAY(),1,Holidays),"DUE TOMORROW",IF($Z512=4,"ESCALATED TO LOCAL OFFICE",IF($Z512=5,"ESCALATED TO CBE",IF($AA512=TODAY(),"EMAIL SENT","MONITORING"))))))))))</f>
        <v/>
      </c>
      <c r="V512" s="17">
        <f>IF($U512="",IF(AND(COUNTA($A512:$L512)&gt;0,$N512=""),"Awaiting Collection Email time stamp.",""),IF(OR($U512="PAID",$U512="CLOSED"),IF($U512="PAID","Account paid. Action completed.","Account closed. No further action required."),CHOOSE($Z512,"Collection Email","1st Email Follow-up","2nd Email Follow-up","Escalation to Local Office","Escalation to CBE","Escalation to Roxanne")&amp;" sent "&amp;TEXT($AA512,"dd-mmm")&amp;". "&amp;IF($Z512=6,"Final escalation completed.",IF($U512="OVERDUE","Next: "&amp;$AC512&amp;" was due "&amp;TEXT($AB512,"dd-mmm")&amp;" - "&amp;(NETWORKDAYS($AB512,TODAY(),Holidays)-1)&amp;" business day(s) late. Send now.",IF($U512="DUE TOMORROW","Next: "&amp;$AC512&amp;IF($AB512&lt;=TODAY()," is due TODAY ("," is due next business day (")&amp;TEXT($AB512,"dd-mmm")&amp;").","Next: "&amp;$AC512&amp;" due "&amp;TEXT($AB512,"dd-mmm")&amp;" ("&amp;(NETWORKDAYS(TODAY(),$AB512,Holidays)-1)&amp;" business day(s) left).")))))</f>
        <v/>
      </c>
      <c r="W512" s="17">
        <f>IF($Z512="","",CHOOSE($Z512,"Collection Email","1st Follow-up","2nd Follow-up","Local Office","CBE","Roxanne")&amp;IF($Z512=6," - Final"," - Day "&amp;MAX(0,NETWORKDAYS($AA512,TODAY(),Holidays)-1)&amp;" of "&amp;CHOOSE($Z512,3,3,2,2,3))&amp;" | Total Day "&amp;MAX(0,NETWORKDAYS($N512,TODAY(),Holidays)-1))</f>
        <v/>
      </c>
      <c r="X512" s="18"/>
      <c r="Y512" s="18"/>
      <c r="Z512" s="17">
        <f>IF($N512="","",COUNT($N512:$S512))</f>
        <v/>
      </c>
      <c r="AA512" s="19">
        <f>IF($Z512="","",INT(INDEX($N512:$S512,$Z512)))</f>
        <v/>
      </c>
      <c r="AB512" s="19">
        <f>IF(OR($Z512="",$Z512=6),"",WORKDAY($AA512,CHOOSE($Z512,3,3,2,2,3),Holidays))</f>
        <v/>
      </c>
      <c r="AC512" s="17">
        <f>IF(OR($Z512="",$Z512=6),"",CHOOSE($Z512,"1st Email Follow-up","2nd Email Follow-up","Escalate Local Office","Escalate to CBE","Escalate to Roxanne"))</f>
        <v/>
      </c>
    </row>
    <row r="513" spans="13:29">
      <c r="M513" s="14"/>
      <c r="T513" s="16"/>
      <c r="U513" s="17">
        <f>IF(AND(COUNTA($A513:$L513)=0,$N513=""),"",IF($T513="Paid","PAID",IF($T513="Closed","CLOSED",IF($Z513="","",IF($Z513=6,"ESCALATED TO ROXANNE",IF(TODAY()&gt;$AB513,"OVERDUE",IF($AB513&lt;=WORKDAY(TODAY(),1,Holidays),"DUE TOMORROW",IF($Z513=4,"ESCALATED TO LOCAL OFFICE",IF($Z513=5,"ESCALATED TO CBE",IF($AA513=TODAY(),"EMAIL SENT","MONITORING"))))))))))</f>
        <v/>
      </c>
      <c r="V513" s="17">
        <f>IF($U513="",IF(AND(COUNTA($A513:$L513)&gt;0,$N513=""),"Awaiting Collection Email time stamp.",""),IF(OR($U513="PAID",$U513="CLOSED"),IF($U513="PAID","Account paid. Action completed.","Account closed. No further action required."),CHOOSE($Z513,"Collection Email","1st Email Follow-up","2nd Email Follow-up","Escalation to Local Office","Escalation to CBE","Escalation to Roxanne")&amp;" sent "&amp;TEXT($AA513,"dd-mmm")&amp;". "&amp;IF($Z513=6,"Final escalation completed.",IF($U513="OVERDUE","Next: "&amp;$AC513&amp;" was due "&amp;TEXT($AB513,"dd-mmm")&amp;" - "&amp;(NETWORKDAYS($AB513,TODAY(),Holidays)-1)&amp;" business day(s) late. Send now.",IF($U513="DUE TOMORROW","Next: "&amp;$AC513&amp;IF($AB513&lt;=TODAY()," is due TODAY ("," is due next business day (")&amp;TEXT($AB513,"dd-mmm")&amp;").","Next: "&amp;$AC513&amp;" due "&amp;TEXT($AB513,"dd-mmm")&amp;" ("&amp;(NETWORKDAYS(TODAY(),$AB513,Holidays)-1)&amp;" business day(s) left).")))))</f>
        <v/>
      </c>
      <c r="W513" s="17">
        <f>IF($Z513="","",CHOOSE($Z513,"Collection Email","1st Follow-up","2nd Follow-up","Local Office","CBE","Roxanne")&amp;IF($Z513=6," - Final"," - Day "&amp;MAX(0,NETWORKDAYS($AA513,TODAY(),Holidays)-1)&amp;" of "&amp;CHOOSE($Z513,3,3,2,2,3))&amp;" | Total Day "&amp;MAX(0,NETWORKDAYS($N513,TODAY(),Holidays)-1))</f>
        <v/>
      </c>
      <c r="X513" s="18"/>
      <c r="Y513" s="18"/>
      <c r="Z513" s="17">
        <f>IF($N513="","",COUNT($N513:$S513))</f>
        <v/>
      </c>
      <c r="AA513" s="19">
        <f>IF($Z513="","",INT(INDEX($N513:$S513,$Z513)))</f>
        <v/>
      </c>
      <c r="AB513" s="19">
        <f>IF(OR($Z513="",$Z513=6),"",WORKDAY($AA513,CHOOSE($Z513,3,3,2,2,3),Holidays))</f>
        <v/>
      </c>
      <c r="AC513" s="17">
        <f>IF(OR($Z513="",$Z513=6),"",CHOOSE($Z513,"1st Email Follow-up","2nd Email Follow-up","Escalate Local Office","Escalate to CBE","Escalate to Roxanne"))</f>
        <v/>
      </c>
    </row>
    <row r="514" spans="13:29">
      <c r="M514" s="14"/>
      <c r="T514" s="16"/>
      <c r="U514" s="17">
        <f>IF(AND(COUNTA($A514:$L514)=0,$N514=""),"",IF($T514="Paid","PAID",IF($T514="Closed","CLOSED",IF($Z514="","",IF($Z514=6,"ESCALATED TO ROXANNE",IF(TODAY()&gt;$AB514,"OVERDUE",IF($AB514&lt;=WORKDAY(TODAY(),1,Holidays),"DUE TOMORROW",IF($Z514=4,"ESCALATED TO LOCAL OFFICE",IF($Z514=5,"ESCALATED TO CBE",IF($AA514=TODAY(),"EMAIL SENT","MONITORING"))))))))))</f>
        <v/>
      </c>
      <c r="V514" s="17">
        <f>IF($U514="",IF(AND(COUNTA($A514:$L514)&gt;0,$N514=""),"Awaiting Collection Email time stamp.",""),IF(OR($U514="PAID",$U514="CLOSED"),IF($U514="PAID","Account paid. Action completed.","Account closed. No further action required."),CHOOSE($Z514,"Collection Email","1st Email Follow-up","2nd Email Follow-up","Escalation to Local Office","Escalation to CBE","Escalation to Roxanne")&amp;" sent "&amp;TEXT($AA514,"dd-mmm")&amp;". "&amp;IF($Z514=6,"Final escalation completed.",IF($U514="OVERDUE","Next: "&amp;$AC514&amp;" was due "&amp;TEXT($AB514,"dd-mmm")&amp;" - "&amp;(NETWORKDAYS($AB514,TODAY(),Holidays)-1)&amp;" business day(s) late. Send now.",IF($U514="DUE TOMORROW","Next: "&amp;$AC514&amp;IF($AB514&lt;=TODAY()," is due TODAY ("," is due next business day (")&amp;TEXT($AB514,"dd-mmm")&amp;").","Next: "&amp;$AC514&amp;" due "&amp;TEXT($AB514,"dd-mmm")&amp;" ("&amp;(NETWORKDAYS(TODAY(),$AB514,Holidays)-1)&amp;" business day(s) left).")))))</f>
        <v/>
      </c>
      <c r="W514" s="17">
        <f>IF($Z514="","",CHOOSE($Z514,"Collection Email","1st Follow-up","2nd Follow-up","Local Office","CBE","Roxanne")&amp;IF($Z514=6," - Final"," - Day "&amp;MAX(0,NETWORKDAYS($AA514,TODAY(),Holidays)-1)&amp;" of "&amp;CHOOSE($Z514,3,3,2,2,3))&amp;" | Total Day "&amp;MAX(0,NETWORKDAYS($N514,TODAY(),Holidays)-1))</f>
        <v/>
      </c>
      <c r="X514" s="18"/>
      <c r="Y514" s="18"/>
      <c r="Z514" s="17">
        <f>IF($N514="","",COUNT($N514:$S514))</f>
        <v/>
      </c>
      <c r="AA514" s="19">
        <f>IF($Z514="","",INT(INDEX($N514:$S514,$Z514)))</f>
        <v/>
      </c>
      <c r="AB514" s="19">
        <f>IF(OR($Z514="",$Z514=6),"",WORKDAY($AA514,CHOOSE($Z514,3,3,2,2,3),Holidays))</f>
        <v/>
      </c>
      <c r="AC514" s="17">
        <f>IF(OR($Z514="",$Z514=6),"",CHOOSE($Z514,"1st Email Follow-up","2nd Email Follow-up","Escalate Local Office","Escalate to CBE","Escalate to Roxanne"))</f>
        <v/>
      </c>
    </row>
    <row r="515" spans="13:29">
      <c r="M515" s="14"/>
      <c r="T515" s="16"/>
      <c r="U515" s="17">
        <f>IF(AND(COUNTA($A515:$L515)=0,$N515=""),"",IF($T515="Paid","PAID",IF($T515="Closed","CLOSED",IF($Z515="","",IF($Z515=6,"ESCALATED TO ROXANNE",IF(TODAY()&gt;$AB515,"OVERDUE",IF($AB515&lt;=WORKDAY(TODAY(),1,Holidays),"DUE TOMORROW",IF($Z515=4,"ESCALATED TO LOCAL OFFICE",IF($Z515=5,"ESCALATED TO CBE",IF($AA515=TODAY(),"EMAIL SENT","MONITORING"))))))))))</f>
        <v/>
      </c>
      <c r="V515" s="17">
        <f>IF($U515="",IF(AND(COUNTA($A515:$L515)&gt;0,$N515=""),"Awaiting Collection Email time stamp.",""),IF(OR($U515="PAID",$U515="CLOSED"),IF($U515="PAID","Account paid. Action completed.","Account closed. No further action required."),CHOOSE($Z515,"Collection Email","1st Email Follow-up","2nd Email Follow-up","Escalation to Local Office","Escalation to CBE","Escalation to Roxanne")&amp;" sent "&amp;TEXT($AA515,"dd-mmm")&amp;". "&amp;IF($Z515=6,"Final escalation completed.",IF($U515="OVERDUE","Next: "&amp;$AC515&amp;" was due "&amp;TEXT($AB515,"dd-mmm")&amp;" - "&amp;(NETWORKDAYS($AB515,TODAY(),Holidays)-1)&amp;" business day(s) late. Send now.",IF($U515="DUE TOMORROW","Next: "&amp;$AC515&amp;IF($AB515&lt;=TODAY()," is due TODAY ("," is due next business day (")&amp;TEXT($AB515,"dd-mmm")&amp;").","Next: "&amp;$AC515&amp;" due "&amp;TEXT($AB515,"dd-mmm")&amp;" ("&amp;(NETWORKDAYS(TODAY(),$AB515,Holidays)-1)&amp;" business day(s) left).")))))</f>
        <v/>
      </c>
      <c r="W515" s="17">
        <f>IF($Z515="","",CHOOSE($Z515,"Collection Email","1st Follow-up","2nd Follow-up","Local Office","CBE","Roxanne")&amp;IF($Z515=6," - Final"," - Day "&amp;MAX(0,NETWORKDAYS($AA515,TODAY(),Holidays)-1)&amp;" of "&amp;CHOOSE($Z515,3,3,2,2,3))&amp;" | Total Day "&amp;MAX(0,NETWORKDAYS($N515,TODAY(),Holidays)-1))</f>
        <v/>
      </c>
      <c r="X515" s="18"/>
      <c r="Y515" s="18"/>
      <c r="Z515" s="17">
        <f>IF($N515="","",COUNT($N515:$S515))</f>
        <v/>
      </c>
      <c r="AA515" s="19">
        <f>IF($Z515="","",INT(INDEX($N515:$S515,$Z515)))</f>
        <v/>
      </c>
      <c r="AB515" s="19">
        <f>IF(OR($Z515="",$Z515=6),"",WORKDAY($AA515,CHOOSE($Z515,3,3,2,2,3),Holidays))</f>
        <v/>
      </c>
      <c r="AC515" s="17">
        <f>IF(OR($Z515="",$Z515=6),"",CHOOSE($Z515,"1st Email Follow-up","2nd Email Follow-up","Escalate Local Office","Escalate to CBE","Escalate to Roxanne"))</f>
        <v/>
      </c>
    </row>
    <row r="516" spans="13:29">
      <c r="M516" s="14"/>
      <c r="T516" s="16"/>
      <c r="U516" s="17">
        <f>IF(AND(COUNTA($A516:$L516)=0,$N516=""),"",IF($T516="Paid","PAID",IF($T516="Closed","CLOSED",IF($Z516="","",IF($Z516=6,"ESCALATED TO ROXANNE",IF(TODAY()&gt;$AB516,"OVERDUE",IF($AB516&lt;=WORKDAY(TODAY(),1,Holidays),"DUE TOMORROW",IF($Z516=4,"ESCALATED TO LOCAL OFFICE",IF($Z516=5,"ESCALATED TO CBE",IF($AA516=TODAY(),"EMAIL SENT","MONITORING"))))))))))</f>
        <v/>
      </c>
      <c r="V516" s="17">
        <f>IF($U516="",IF(AND(COUNTA($A516:$L516)&gt;0,$N516=""),"Awaiting Collection Email time stamp.",""),IF(OR($U516="PAID",$U516="CLOSED"),IF($U516="PAID","Account paid. Action completed.","Account closed. No further action required."),CHOOSE($Z516,"Collection Email","1st Email Follow-up","2nd Email Follow-up","Escalation to Local Office","Escalation to CBE","Escalation to Roxanne")&amp;" sent "&amp;TEXT($AA516,"dd-mmm")&amp;". "&amp;IF($Z516=6,"Final escalation completed.",IF($U516="OVERDUE","Next: "&amp;$AC516&amp;" was due "&amp;TEXT($AB516,"dd-mmm")&amp;" - "&amp;(NETWORKDAYS($AB516,TODAY(),Holidays)-1)&amp;" business day(s) late. Send now.",IF($U516="DUE TOMORROW","Next: "&amp;$AC516&amp;IF($AB516&lt;=TODAY()," is due TODAY ("," is due next business day (")&amp;TEXT($AB516,"dd-mmm")&amp;").","Next: "&amp;$AC516&amp;" due "&amp;TEXT($AB516,"dd-mmm")&amp;" ("&amp;(NETWORKDAYS(TODAY(),$AB516,Holidays)-1)&amp;" business day(s) left).")))))</f>
        <v/>
      </c>
      <c r="W516" s="17">
        <f>IF($Z516="","",CHOOSE($Z516,"Collection Email","1st Follow-up","2nd Follow-up","Local Office","CBE","Roxanne")&amp;IF($Z516=6," - Final"," - Day "&amp;MAX(0,NETWORKDAYS($AA516,TODAY(),Holidays)-1)&amp;" of "&amp;CHOOSE($Z516,3,3,2,2,3))&amp;" | Total Day "&amp;MAX(0,NETWORKDAYS($N516,TODAY(),Holidays)-1))</f>
        <v/>
      </c>
      <c r="X516" s="18"/>
      <c r="Y516" s="18"/>
      <c r="Z516" s="17">
        <f>IF($N516="","",COUNT($N516:$S516))</f>
        <v/>
      </c>
      <c r="AA516" s="19">
        <f>IF($Z516="","",INT(INDEX($N516:$S516,$Z516)))</f>
        <v/>
      </c>
      <c r="AB516" s="19">
        <f>IF(OR($Z516="",$Z516=6),"",WORKDAY($AA516,CHOOSE($Z516,3,3,2,2,3),Holidays))</f>
        <v/>
      </c>
      <c r="AC516" s="17">
        <f>IF(OR($Z516="",$Z516=6),"",CHOOSE($Z516,"1st Email Follow-up","2nd Email Follow-up","Escalate Local Office","Escalate to CBE","Escalate to Roxanne"))</f>
        <v/>
      </c>
    </row>
    <row r="517" spans="13:29">
      <c r="M517" s="14"/>
      <c r="T517" s="16"/>
      <c r="U517" s="17">
        <f>IF(AND(COUNTA($A517:$L517)=0,$N517=""),"",IF($T517="Paid","PAID",IF($T517="Closed","CLOSED",IF($Z517="","",IF($Z517=6,"ESCALATED TO ROXANNE",IF(TODAY()&gt;$AB517,"OVERDUE",IF($AB517&lt;=WORKDAY(TODAY(),1,Holidays),"DUE TOMORROW",IF($Z517=4,"ESCALATED TO LOCAL OFFICE",IF($Z517=5,"ESCALATED TO CBE",IF($AA517=TODAY(),"EMAIL SENT","MONITORING"))))))))))</f>
        <v/>
      </c>
      <c r="V517" s="17">
        <f>IF($U517="",IF(AND(COUNTA($A517:$L517)&gt;0,$N517=""),"Awaiting Collection Email time stamp.",""),IF(OR($U517="PAID",$U517="CLOSED"),IF($U517="PAID","Account paid. Action completed.","Account closed. No further action required."),CHOOSE($Z517,"Collection Email","1st Email Follow-up","2nd Email Follow-up","Escalation to Local Office","Escalation to CBE","Escalation to Roxanne")&amp;" sent "&amp;TEXT($AA517,"dd-mmm")&amp;". "&amp;IF($Z517=6,"Final escalation completed.",IF($U517="OVERDUE","Next: "&amp;$AC517&amp;" was due "&amp;TEXT($AB517,"dd-mmm")&amp;" - "&amp;(NETWORKDAYS($AB517,TODAY(),Holidays)-1)&amp;" business day(s) late. Send now.",IF($U517="DUE TOMORROW","Next: "&amp;$AC517&amp;IF($AB517&lt;=TODAY()," is due TODAY ("," is due next business day (")&amp;TEXT($AB517,"dd-mmm")&amp;").","Next: "&amp;$AC517&amp;" due "&amp;TEXT($AB517,"dd-mmm")&amp;" ("&amp;(NETWORKDAYS(TODAY(),$AB517,Holidays)-1)&amp;" business day(s) left).")))))</f>
        <v/>
      </c>
      <c r="W517" s="17">
        <f>IF($Z517="","",CHOOSE($Z517,"Collection Email","1st Follow-up","2nd Follow-up","Local Office","CBE","Roxanne")&amp;IF($Z517=6," - Final"," - Day "&amp;MAX(0,NETWORKDAYS($AA517,TODAY(),Holidays)-1)&amp;" of "&amp;CHOOSE($Z517,3,3,2,2,3))&amp;" | Total Day "&amp;MAX(0,NETWORKDAYS($N517,TODAY(),Holidays)-1))</f>
        <v/>
      </c>
      <c r="X517" s="18"/>
      <c r="Y517" s="18"/>
      <c r="Z517" s="17">
        <f>IF($N517="","",COUNT($N517:$S517))</f>
        <v/>
      </c>
      <c r="AA517" s="19">
        <f>IF($Z517="","",INT(INDEX($N517:$S517,$Z517)))</f>
        <v/>
      </c>
      <c r="AB517" s="19">
        <f>IF(OR($Z517="",$Z517=6),"",WORKDAY($AA517,CHOOSE($Z517,3,3,2,2,3),Holidays))</f>
        <v/>
      </c>
      <c r="AC517" s="17">
        <f>IF(OR($Z517="",$Z517=6),"",CHOOSE($Z517,"1st Email Follow-up","2nd Email Follow-up","Escalate Local Office","Escalate to CBE","Escalate to Roxanne"))</f>
        <v/>
      </c>
    </row>
    <row r="518" spans="13:29">
      <c r="M518" s="14"/>
      <c r="T518" s="16"/>
      <c r="U518" s="17">
        <f>IF(AND(COUNTA($A518:$L518)=0,$N518=""),"",IF($T518="Paid","PAID",IF($T518="Closed","CLOSED",IF($Z518="","",IF($Z518=6,"ESCALATED TO ROXANNE",IF(TODAY()&gt;$AB518,"OVERDUE",IF($AB518&lt;=WORKDAY(TODAY(),1,Holidays),"DUE TOMORROW",IF($Z518=4,"ESCALATED TO LOCAL OFFICE",IF($Z518=5,"ESCALATED TO CBE",IF($AA518=TODAY(),"EMAIL SENT","MONITORING"))))))))))</f>
        <v/>
      </c>
      <c r="V518" s="17">
        <f>IF($U518="",IF(AND(COUNTA($A518:$L518)&gt;0,$N518=""),"Awaiting Collection Email time stamp.",""),IF(OR($U518="PAID",$U518="CLOSED"),IF($U518="PAID","Account paid. Action completed.","Account closed. No further action required."),CHOOSE($Z518,"Collection Email","1st Email Follow-up","2nd Email Follow-up","Escalation to Local Office","Escalation to CBE","Escalation to Roxanne")&amp;" sent "&amp;TEXT($AA518,"dd-mmm")&amp;". "&amp;IF($Z518=6,"Final escalation completed.",IF($U518="OVERDUE","Next: "&amp;$AC518&amp;" was due "&amp;TEXT($AB518,"dd-mmm")&amp;" - "&amp;(NETWORKDAYS($AB518,TODAY(),Holidays)-1)&amp;" business day(s) late. Send now.",IF($U518="DUE TOMORROW","Next: "&amp;$AC518&amp;IF($AB518&lt;=TODAY()," is due TODAY ("," is due next business day (")&amp;TEXT($AB518,"dd-mmm")&amp;").","Next: "&amp;$AC518&amp;" due "&amp;TEXT($AB518,"dd-mmm")&amp;" ("&amp;(NETWORKDAYS(TODAY(),$AB518,Holidays)-1)&amp;" business day(s) left).")))))</f>
        <v/>
      </c>
      <c r="W518" s="17">
        <f>IF($Z518="","",CHOOSE($Z518,"Collection Email","1st Follow-up","2nd Follow-up","Local Office","CBE","Roxanne")&amp;IF($Z518=6," - Final"," - Day "&amp;MAX(0,NETWORKDAYS($AA518,TODAY(),Holidays)-1)&amp;" of "&amp;CHOOSE($Z518,3,3,2,2,3))&amp;" | Total Day "&amp;MAX(0,NETWORKDAYS($N518,TODAY(),Holidays)-1))</f>
        <v/>
      </c>
      <c r="X518" s="18"/>
      <c r="Y518" s="18"/>
      <c r="Z518" s="17">
        <f>IF($N518="","",COUNT($N518:$S518))</f>
        <v/>
      </c>
      <c r="AA518" s="19">
        <f>IF($Z518="","",INT(INDEX($N518:$S518,$Z518)))</f>
        <v/>
      </c>
      <c r="AB518" s="19">
        <f>IF(OR($Z518="",$Z518=6),"",WORKDAY($AA518,CHOOSE($Z518,3,3,2,2,3),Holidays))</f>
        <v/>
      </c>
      <c r="AC518" s="17">
        <f>IF(OR($Z518="",$Z518=6),"",CHOOSE($Z518,"1st Email Follow-up","2nd Email Follow-up","Escalate Local Office","Escalate to CBE","Escalate to Roxanne"))</f>
        <v/>
      </c>
    </row>
    <row r="519" spans="13:29">
      <c r="M519" s="14"/>
      <c r="T519" s="16"/>
      <c r="U519" s="17">
        <f>IF(AND(COUNTA($A519:$L519)=0,$N519=""),"",IF($T519="Paid","PAID",IF($T519="Closed","CLOSED",IF($Z519="","",IF($Z519=6,"ESCALATED TO ROXANNE",IF(TODAY()&gt;$AB519,"OVERDUE",IF($AB519&lt;=WORKDAY(TODAY(),1,Holidays),"DUE TOMORROW",IF($Z519=4,"ESCALATED TO LOCAL OFFICE",IF($Z519=5,"ESCALATED TO CBE",IF($AA519=TODAY(),"EMAIL SENT","MONITORING"))))))))))</f>
        <v/>
      </c>
      <c r="V519" s="17">
        <f>IF($U519="",IF(AND(COUNTA($A519:$L519)&gt;0,$N519=""),"Awaiting Collection Email time stamp.",""),IF(OR($U519="PAID",$U519="CLOSED"),IF($U519="PAID","Account paid. Action completed.","Account closed. No further action required."),CHOOSE($Z519,"Collection Email","1st Email Follow-up","2nd Email Follow-up","Escalation to Local Office","Escalation to CBE","Escalation to Roxanne")&amp;" sent "&amp;TEXT($AA519,"dd-mmm")&amp;". "&amp;IF($Z519=6,"Final escalation completed.",IF($U519="OVERDUE","Next: "&amp;$AC519&amp;" was due "&amp;TEXT($AB519,"dd-mmm")&amp;" - "&amp;(NETWORKDAYS($AB519,TODAY(),Holidays)-1)&amp;" business day(s) late. Send now.",IF($U519="DUE TOMORROW","Next: "&amp;$AC519&amp;IF($AB519&lt;=TODAY()," is due TODAY ("," is due next business day (")&amp;TEXT($AB519,"dd-mmm")&amp;").","Next: "&amp;$AC519&amp;" due "&amp;TEXT($AB519,"dd-mmm")&amp;" ("&amp;(NETWORKDAYS(TODAY(),$AB519,Holidays)-1)&amp;" business day(s) left).")))))</f>
        <v/>
      </c>
      <c r="W519" s="17">
        <f>IF($Z519="","",CHOOSE($Z519,"Collection Email","1st Follow-up","2nd Follow-up","Local Office","CBE","Roxanne")&amp;IF($Z519=6," - Final"," - Day "&amp;MAX(0,NETWORKDAYS($AA519,TODAY(),Holidays)-1)&amp;" of "&amp;CHOOSE($Z519,3,3,2,2,3))&amp;" | Total Day "&amp;MAX(0,NETWORKDAYS($N519,TODAY(),Holidays)-1))</f>
        <v/>
      </c>
      <c r="X519" s="18"/>
      <c r="Y519" s="18"/>
      <c r="Z519" s="17">
        <f>IF($N519="","",COUNT($N519:$S519))</f>
        <v/>
      </c>
      <c r="AA519" s="19">
        <f>IF($Z519="","",INT(INDEX($N519:$S519,$Z519)))</f>
        <v/>
      </c>
      <c r="AB519" s="19">
        <f>IF(OR($Z519="",$Z519=6),"",WORKDAY($AA519,CHOOSE($Z519,3,3,2,2,3),Holidays))</f>
        <v/>
      </c>
      <c r="AC519" s="17">
        <f>IF(OR($Z519="",$Z519=6),"",CHOOSE($Z519,"1st Email Follow-up","2nd Email Follow-up","Escalate Local Office","Escalate to CBE","Escalate to Roxanne"))</f>
        <v/>
      </c>
    </row>
    <row r="520" spans="13:29">
      <c r="M520" s="14"/>
      <c r="T520" s="16"/>
      <c r="U520" s="17">
        <f>IF(AND(COUNTA($A520:$L520)=0,$N520=""),"",IF($T520="Paid","PAID",IF($T520="Closed","CLOSED",IF($Z520="","",IF($Z520=6,"ESCALATED TO ROXANNE",IF(TODAY()&gt;$AB520,"OVERDUE",IF($AB520&lt;=WORKDAY(TODAY(),1,Holidays),"DUE TOMORROW",IF($Z520=4,"ESCALATED TO LOCAL OFFICE",IF($Z520=5,"ESCALATED TO CBE",IF($AA520=TODAY(),"EMAIL SENT","MONITORING"))))))))))</f>
        <v/>
      </c>
      <c r="V520" s="17">
        <f>IF($U520="",IF(AND(COUNTA($A520:$L520)&gt;0,$N520=""),"Awaiting Collection Email time stamp.",""),IF(OR($U520="PAID",$U520="CLOSED"),IF($U520="PAID","Account paid. Action completed.","Account closed. No further action required."),CHOOSE($Z520,"Collection Email","1st Email Follow-up","2nd Email Follow-up","Escalation to Local Office","Escalation to CBE","Escalation to Roxanne")&amp;" sent "&amp;TEXT($AA520,"dd-mmm")&amp;". "&amp;IF($Z520=6,"Final escalation completed.",IF($U520="OVERDUE","Next: "&amp;$AC520&amp;" was due "&amp;TEXT($AB520,"dd-mmm")&amp;" - "&amp;(NETWORKDAYS($AB520,TODAY(),Holidays)-1)&amp;" business day(s) late. Send now.",IF($U520="DUE TOMORROW","Next: "&amp;$AC520&amp;IF($AB520&lt;=TODAY()," is due TODAY ("," is due next business day (")&amp;TEXT($AB520,"dd-mmm")&amp;").","Next: "&amp;$AC520&amp;" due "&amp;TEXT($AB520,"dd-mmm")&amp;" ("&amp;(NETWORKDAYS(TODAY(),$AB520,Holidays)-1)&amp;" business day(s) left).")))))</f>
        <v/>
      </c>
      <c r="W520" s="17">
        <f>IF($Z520="","",CHOOSE($Z520,"Collection Email","1st Follow-up","2nd Follow-up","Local Office","CBE","Roxanne")&amp;IF($Z520=6," - Final"," - Day "&amp;MAX(0,NETWORKDAYS($AA520,TODAY(),Holidays)-1)&amp;" of "&amp;CHOOSE($Z520,3,3,2,2,3))&amp;" | Total Day "&amp;MAX(0,NETWORKDAYS($N520,TODAY(),Holidays)-1))</f>
        <v/>
      </c>
      <c r="X520" s="18"/>
      <c r="Y520" s="18"/>
      <c r="Z520" s="17">
        <f>IF($N520="","",COUNT($N520:$S520))</f>
        <v/>
      </c>
      <c r="AA520" s="19">
        <f>IF($Z520="","",INT(INDEX($N520:$S520,$Z520)))</f>
        <v/>
      </c>
      <c r="AB520" s="19">
        <f>IF(OR($Z520="",$Z520=6),"",WORKDAY($AA520,CHOOSE($Z520,3,3,2,2,3),Holidays))</f>
        <v/>
      </c>
      <c r="AC520" s="17">
        <f>IF(OR($Z520="",$Z520=6),"",CHOOSE($Z520,"1st Email Follow-up","2nd Email Follow-up","Escalate Local Office","Escalate to CBE","Escalate to Roxanne"))</f>
        <v/>
      </c>
    </row>
    <row r="521" spans="13:29">
      <c r="M521" s="14"/>
      <c r="T521" s="16"/>
      <c r="U521" s="17">
        <f>IF(AND(COUNTA($A521:$L521)=0,$N521=""),"",IF($T521="Paid","PAID",IF($T521="Closed","CLOSED",IF($Z521="","",IF($Z521=6,"ESCALATED TO ROXANNE",IF(TODAY()&gt;$AB521,"OVERDUE",IF($AB521&lt;=WORKDAY(TODAY(),1,Holidays),"DUE TOMORROW",IF($Z521=4,"ESCALATED TO LOCAL OFFICE",IF($Z521=5,"ESCALATED TO CBE",IF($AA521=TODAY(),"EMAIL SENT","MONITORING"))))))))))</f>
        <v/>
      </c>
      <c r="V521" s="17">
        <f>IF($U521="",IF(AND(COUNTA($A521:$L521)&gt;0,$N521=""),"Awaiting Collection Email time stamp.",""),IF(OR($U521="PAID",$U521="CLOSED"),IF($U521="PAID","Account paid. Action completed.","Account closed. No further action required."),CHOOSE($Z521,"Collection Email","1st Email Follow-up","2nd Email Follow-up","Escalation to Local Office","Escalation to CBE","Escalation to Roxanne")&amp;" sent "&amp;TEXT($AA521,"dd-mmm")&amp;". "&amp;IF($Z521=6,"Final escalation completed.",IF($U521="OVERDUE","Next: "&amp;$AC521&amp;" was due "&amp;TEXT($AB521,"dd-mmm")&amp;" - "&amp;(NETWORKDAYS($AB521,TODAY(),Holidays)-1)&amp;" business day(s) late. Send now.",IF($U521="DUE TOMORROW","Next: "&amp;$AC521&amp;IF($AB521&lt;=TODAY()," is due TODAY ("," is due next business day (")&amp;TEXT($AB521,"dd-mmm")&amp;").","Next: "&amp;$AC521&amp;" due "&amp;TEXT($AB521,"dd-mmm")&amp;" ("&amp;(NETWORKDAYS(TODAY(),$AB521,Holidays)-1)&amp;" business day(s) left).")))))</f>
        <v/>
      </c>
      <c r="W521" s="17">
        <f>IF($Z521="","",CHOOSE($Z521,"Collection Email","1st Follow-up","2nd Follow-up","Local Office","CBE","Roxanne")&amp;IF($Z521=6," - Final"," - Day "&amp;MAX(0,NETWORKDAYS($AA521,TODAY(),Holidays)-1)&amp;" of "&amp;CHOOSE($Z521,3,3,2,2,3))&amp;" | Total Day "&amp;MAX(0,NETWORKDAYS($N521,TODAY(),Holidays)-1))</f>
        <v/>
      </c>
      <c r="X521" s="18"/>
      <c r="Y521" s="18"/>
      <c r="Z521" s="17">
        <f>IF($N521="","",COUNT($N521:$S521))</f>
        <v/>
      </c>
      <c r="AA521" s="19">
        <f>IF($Z521="","",INT(INDEX($N521:$S521,$Z521)))</f>
        <v/>
      </c>
      <c r="AB521" s="19">
        <f>IF(OR($Z521="",$Z521=6),"",WORKDAY($AA521,CHOOSE($Z521,3,3,2,2,3),Holidays))</f>
        <v/>
      </c>
      <c r="AC521" s="17">
        <f>IF(OR($Z521="",$Z521=6),"",CHOOSE($Z521,"1st Email Follow-up","2nd Email Follow-up","Escalate Local Office","Escalate to CBE","Escalate to Roxanne"))</f>
        <v/>
      </c>
    </row>
    <row r="522" spans="13:29">
      <c r="M522" s="14"/>
      <c r="T522" s="16"/>
      <c r="U522" s="17">
        <f>IF(AND(COUNTA($A522:$L522)=0,$N522=""),"",IF($T522="Paid","PAID",IF($T522="Closed","CLOSED",IF($Z522="","",IF($Z522=6,"ESCALATED TO ROXANNE",IF(TODAY()&gt;$AB522,"OVERDUE",IF($AB522&lt;=WORKDAY(TODAY(),1,Holidays),"DUE TOMORROW",IF($Z522=4,"ESCALATED TO LOCAL OFFICE",IF($Z522=5,"ESCALATED TO CBE",IF($AA522=TODAY(),"EMAIL SENT","MONITORING"))))))))))</f>
        <v/>
      </c>
      <c r="V522" s="17">
        <f>IF($U522="",IF(AND(COUNTA($A522:$L522)&gt;0,$N522=""),"Awaiting Collection Email time stamp.",""),IF(OR($U522="PAID",$U522="CLOSED"),IF($U522="PAID","Account paid. Action completed.","Account closed. No further action required."),CHOOSE($Z522,"Collection Email","1st Email Follow-up","2nd Email Follow-up","Escalation to Local Office","Escalation to CBE","Escalation to Roxanne")&amp;" sent "&amp;TEXT($AA522,"dd-mmm")&amp;". "&amp;IF($Z522=6,"Final escalation completed.",IF($U522="OVERDUE","Next: "&amp;$AC522&amp;" was due "&amp;TEXT($AB522,"dd-mmm")&amp;" - "&amp;(NETWORKDAYS($AB522,TODAY(),Holidays)-1)&amp;" business day(s) late. Send now.",IF($U522="DUE TOMORROW","Next: "&amp;$AC522&amp;IF($AB522&lt;=TODAY()," is due TODAY ("," is due next business day (")&amp;TEXT($AB522,"dd-mmm")&amp;").","Next: "&amp;$AC522&amp;" due "&amp;TEXT($AB522,"dd-mmm")&amp;" ("&amp;(NETWORKDAYS(TODAY(),$AB522,Holidays)-1)&amp;" business day(s) left).")))))</f>
        <v/>
      </c>
      <c r="W522" s="17">
        <f>IF($Z522="","",CHOOSE($Z522,"Collection Email","1st Follow-up","2nd Follow-up","Local Office","CBE","Roxanne")&amp;IF($Z522=6," - Final"," - Day "&amp;MAX(0,NETWORKDAYS($AA522,TODAY(),Holidays)-1)&amp;" of "&amp;CHOOSE($Z522,3,3,2,2,3))&amp;" | Total Day "&amp;MAX(0,NETWORKDAYS($N522,TODAY(),Holidays)-1))</f>
        <v/>
      </c>
      <c r="X522" s="18"/>
      <c r="Y522" s="18"/>
      <c r="Z522" s="17">
        <f>IF($N522="","",COUNT($N522:$S522))</f>
        <v/>
      </c>
      <c r="AA522" s="19">
        <f>IF($Z522="","",INT(INDEX($N522:$S522,$Z522)))</f>
        <v/>
      </c>
      <c r="AB522" s="19">
        <f>IF(OR($Z522="",$Z522=6),"",WORKDAY($AA522,CHOOSE($Z522,3,3,2,2,3),Holidays))</f>
        <v/>
      </c>
      <c r="AC522" s="17">
        <f>IF(OR($Z522="",$Z522=6),"",CHOOSE($Z522,"1st Email Follow-up","2nd Email Follow-up","Escalate Local Office","Escalate to CBE","Escalate to Roxanne"))</f>
        <v/>
      </c>
    </row>
    <row r="523" spans="13:29">
      <c r="M523" s="14"/>
      <c r="T523" s="16"/>
      <c r="U523" s="17">
        <f>IF(AND(COUNTA($A523:$L523)=0,$N523=""),"",IF($T523="Paid","PAID",IF($T523="Closed","CLOSED",IF($Z523="","",IF($Z523=6,"ESCALATED TO ROXANNE",IF(TODAY()&gt;$AB523,"OVERDUE",IF($AB523&lt;=WORKDAY(TODAY(),1,Holidays),"DUE TOMORROW",IF($Z523=4,"ESCALATED TO LOCAL OFFICE",IF($Z523=5,"ESCALATED TO CBE",IF($AA523=TODAY(),"EMAIL SENT","MONITORING"))))))))))</f>
        <v/>
      </c>
      <c r="V523" s="17">
        <f>IF($U523="",IF(AND(COUNTA($A523:$L523)&gt;0,$N523=""),"Awaiting Collection Email time stamp.",""),IF(OR($U523="PAID",$U523="CLOSED"),IF($U523="PAID","Account paid. Action completed.","Account closed. No further action required."),CHOOSE($Z523,"Collection Email","1st Email Follow-up","2nd Email Follow-up","Escalation to Local Office","Escalation to CBE","Escalation to Roxanne")&amp;" sent "&amp;TEXT($AA523,"dd-mmm")&amp;". "&amp;IF($Z523=6,"Final escalation completed.",IF($U523="OVERDUE","Next: "&amp;$AC523&amp;" was due "&amp;TEXT($AB523,"dd-mmm")&amp;" - "&amp;(NETWORKDAYS($AB523,TODAY(),Holidays)-1)&amp;" business day(s) late. Send now.",IF($U523="DUE TOMORROW","Next: "&amp;$AC523&amp;IF($AB523&lt;=TODAY()," is due TODAY ("," is due next business day (")&amp;TEXT($AB523,"dd-mmm")&amp;").","Next: "&amp;$AC523&amp;" due "&amp;TEXT($AB523,"dd-mmm")&amp;" ("&amp;(NETWORKDAYS(TODAY(),$AB523,Holidays)-1)&amp;" business day(s) left).")))))</f>
        <v/>
      </c>
      <c r="W523" s="17">
        <f>IF($Z523="","",CHOOSE($Z523,"Collection Email","1st Follow-up","2nd Follow-up","Local Office","CBE","Roxanne")&amp;IF($Z523=6," - Final"," - Day "&amp;MAX(0,NETWORKDAYS($AA523,TODAY(),Holidays)-1)&amp;" of "&amp;CHOOSE($Z523,3,3,2,2,3))&amp;" | Total Day "&amp;MAX(0,NETWORKDAYS($N523,TODAY(),Holidays)-1))</f>
        <v/>
      </c>
      <c r="X523" s="18"/>
      <c r="Y523" s="18"/>
      <c r="Z523" s="17">
        <f>IF($N523="","",COUNT($N523:$S523))</f>
        <v/>
      </c>
      <c r="AA523" s="19">
        <f>IF($Z523="","",INT(INDEX($N523:$S523,$Z523)))</f>
        <v/>
      </c>
      <c r="AB523" s="19">
        <f>IF(OR($Z523="",$Z523=6),"",WORKDAY($AA523,CHOOSE($Z523,3,3,2,2,3),Holidays))</f>
        <v/>
      </c>
      <c r="AC523" s="17">
        <f>IF(OR($Z523="",$Z523=6),"",CHOOSE($Z523,"1st Email Follow-up","2nd Email Follow-up","Escalate Local Office","Escalate to CBE","Escalate to Roxanne"))</f>
        <v/>
      </c>
    </row>
    <row r="524" spans="13:29">
      <c r="M524" s="14"/>
      <c r="T524" s="16"/>
      <c r="U524" s="17">
        <f>IF(AND(COUNTA($A524:$L524)=0,$N524=""),"",IF($T524="Paid","PAID",IF($T524="Closed","CLOSED",IF($Z524="","",IF($Z524=6,"ESCALATED TO ROXANNE",IF(TODAY()&gt;$AB524,"OVERDUE",IF($AB524&lt;=WORKDAY(TODAY(),1,Holidays),"DUE TOMORROW",IF($Z524=4,"ESCALATED TO LOCAL OFFICE",IF($Z524=5,"ESCALATED TO CBE",IF($AA524=TODAY(),"EMAIL SENT","MONITORING"))))))))))</f>
        <v/>
      </c>
      <c r="V524" s="17">
        <f>IF($U524="",IF(AND(COUNTA($A524:$L524)&gt;0,$N524=""),"Awaiting Collection Email time stamp.",""),IF(OR($U524="PAID",$U524="CLOSED"),IF($U524="PAID","Account paid. Action completed.","Account closed. No further action required."),CHOOSE($Z524,"Collection Email","1st Email Follow-up","2nd Email Follow-up","Escalation to Local Office","Escalation to CBE","Escalation to Roxanne")&amp;" sent "&amp;TEXT($AA524,"dd-mmm")&amp;". "&amp;IF($Z524=6,"Final escalation completed.",IF($U524="OVERDUE","Next: "&amp;$AC524&amp;" was due "&amp;TEXT($AB524,"dd-mmm")&amp;" - "&amp;(NETWORKDAYS($AB524,TODAY(),Holidays)-1)&amp;" business day(s) late. Send now.",IF($U524="DUE TOMORROW","Next: "&amp;$AC524&amp;IF($AB524&lt;=TODAY()," is due TODAY ("," is due next business day (")&amp;TEXT($AB524,"dd-mmm")&amp;").","Next: "&amp;$AC524&amp;" due "&amp;TEXT($AB524,"dd-mmm")&amp;" ("&amp;(NETWORKDAYS(TODAY(),$AB524,Holidays)-1)&amp;" business day(s) left).")))))</f>
        <v/>
      </c>
      <c r="W524" s="17">
        <f>IF($Z524="","",CHOOSE($Z524,"Collection Email","1st Follow-up","2nd Follow-up","Local Office","CBE","Roxanne")&amp;IF($Z524=6," - Final"," - Day "&amp;MAX(0,NETWORKDAYS($AA524,TODAY(),Holidays)-1)&amp;" of "&amp;CHOOSE($Z524,3,3,2,2,3))&amp;" | Total Day "&amp;MAX(0,NETWORKDAYS($N524,TODAY(),Holidays)-1))</f>
        <v/>
      </c>
      <c r="X524" s="18"/>
      <c r="Y524" s="18"/>
      <c r="Z524" s="17">
        <f>IF($N524="","",COUNT($N524:$S524))</f>
        <v/>
      </c>
      <c r="AA524" s="19">
        <f>IF($Z524="","",INT(INDEX($N524:$S524,$Z524)))</f>
        <v/>
      </c>
      <c r="AB524" s="19">
        <f>IF(OR($Z524="",$Z524=6),"",WORKDAY($AA524,CHOOSE($Z524,3,3,2,2,3),Holidays))</f>
        <v/>
      </c>
      <c r="AC524" s="17">
        <f>IF(OR($Z524="",$Z524=6),"",CHOOSE($Z524,"1st Email Follow-up","2nd Email Follow-up","Escalate Local Office","Escalate to CBE","Escalate to Roxanne"))</f>
        <v/>
      </c>
    </row>
    <row r="525" spans="13:29">
      <c r="M525" s="14"/>
      <c r="T525" s="16"/>
      <c r="U525" s="17">
        <f>IF(AND(COUNTA($A525:$L525)=0,$N525=""),"",IF($T525="Paid","PAID",IF($T525="Closed","CLOSED",IF($Z525="","",IF($Z525=6,"ESCALATED TO ROXANNE",IF(TODAY()&gt;$AB525,"OVERDUE",IF($AB525&lt;=WORKDAY(TODAY(),1,Holidays),"DUE TOMORROW",IF($Z525=4,"ESCALATED TO LOCAL OFFICE",IF($Z525=5,"ESCALATED TO CBE",IF($AA525=TODAY(),"EMAIL SENT","MONITORING"))))))))))</f>
        <v/>
      </c>
      <c r="V525" s="17">
        <f>IF($U525="",IF(AND(COUNTA($A525:$L525)&gt;0,$N525=""),"Awaiting Collection Email time stamp.",""),IF(OR($U525="PAID",$U525="CLOSED"),IF($U525="PAID","Account paid. Action completed.","Account closed. No further action required."),CHOOSE($Z525,"Collection Email","1st Email Follow-up","2nd Email Follow-up","Escalation to Local Office","Escalation to CBE","Escalation to Roxanne")&amp;" sent "&amp;TEXT($AA525,"dd-mmm")&amp;". "&amp;IF($Z525=6,"Final escalation completed.",IF($U525="OVERDUE","Next: "&amp;$AC525&amp;" was due "&amp;TEXT($AB525,"dd-mmm")&amp;" - "&amp;(NETWORKDAYS($AB525,TODAY(),Holidays)-1)&amp;" business day(s) late. Send now.",IF($U525="DUE TOMORROW","Next: "&amp;$AC525&amp;IF($AB525&lt;=TODAY()," is due TODAY ("," is due next business day (")&amp;TEXT($AB525,"dd-mmm")&amp;").","Next: "&amp;$AC525&amp;" due "&amp;TEXT($AB525,"dd-mmm")&amp;" ("&amp;(NETWORKDAYS(TODAY(),$AB525,Holidays)-1)&amp;" business day(s) left).")))))</f>
        <v/>
      </c>
      <c r="W525" s="17">
        <f>IF($Z525="","",CHOOSE($Z525,"Collection Email","1st Follow-up","2nd Follow-up","Local Office","CBE","Roxanne")&amp;IF($Z525=6," - Final"," - Day "&amp;MAX(0,NETWORKDAYS($AA525,TODAY(),Holidays)-1)&amp;" of "&amp;CHOOSE($Z525,3,3,2,2,3))&amp;" | Total Day "&amp;MAX(0,NETWORKDAYS($N525,TODAY(),Holidays)-1))</f>
        <v/>
      </c>
      <c r="X525" s="18"/>
      <c r="Y525" s="18"/>
      <c r="Z525" s="17">
        <f>IF($N525="","",COUNT($N525:$S525))</f>
        <v/>
      </c>
      <c r="AA525" s="19">
        <f>IF($Z525="","",INT(INDEX($N525:$S525,$Z525)))</f>
        <v/>
      </c>
      <c r="AB525" s="19">
        <f>IF(OR($Z525="",$Z525=6),"",WORKDAY($AA525,CHOOSE($Z525,3,3,2,2,3),Holidays))</f>
        <v/>
      </c>
      <c r="AC525" s="17">
        <f>IF(OR($Z525="",$Z525=6),"",CHOOSE($Z525,"1st Email Follow-up","2nd Email Follow-up","Escalate Local Office","Escalate to CBE","Escalate to Roxanne"))</f>
        <v/>
      </c>
    </row>
    <row r="526" spans="13:29">
      <c r="M526" s="14"/>
      <c r="T526" s="16"/>
      <c r="U526" s="17">
        <f>IF(AND(COUNTA($A526:$L526)=0,$N526=""),"",IF($T526="Paid","PAID",IF($T526="Closed","CLOSED",IF($Z526="","",IF($Z526=6,"ESCALATED TO ROXANNE",IF(TODAY()&gt;$AB526,"OVERDUE",IF($AB526&lt;=WORKDAY(TODAY(),1,Holidays),"DUE TOMORROW",IF($Z526=4,"ESCALATED TO LOCAL OFFICE",IF($Z526=5,"ESCALATED TO CBE",IF($AA526=TODAY(),"EMAIL SENT","MONITORING"))))))))))</f>
        <v/>
      </c>
      <c r="V526" s="17">
        <f>IF($U526="",IF(AND(COUNTA($A526:$L526)&gt;0,$N526=""),"Awaiting Collection Email time stamp.",""),IF(OR($U526="PAID",$U526="CLOSED"),IF($U526="PAID","Account paid. Action completed.","Account closed. No further action required."),CHOOSE($Z526,"Collection Email","1st Email Follow-up","2nd Email Follow-up","Escalation to Local Office","Escalation to CBE","Escalation to Roxanne")&amp;" sent "&amp;TEXT($AA526,"dd-mmm")&amp;". "&amp;IF($Z526=6,"Final escalation completed.",IF($U526="OVERDUE","Next: "&amp;$AC526&amp;" was due "&amp;TEXT($AB526,"dd-mmm")&amp;" - "&amp;(NETWORKDAYS($AB526,TODAY(),Holidays)-1)&amp;" business day(s) late. Send now.",IF($U526="DUE TOMORROW","Next: "&amp;$AC526&amp;IF($AB526&lt;=TODAY()," is due TODAY ("," is due next business day (")&amp;TEXT($AB526,"dd-mmm")&amp;").","Next: "&amp;$AC526&amp;" due "&amp;TEXT($AB526,"dd-mmm")&amp;" ("&amp;(NETWORKDAYS(TODAY(),$AB526,Holidays)-1)&amp;" business day(s) left).")))))</f>
        <v/>
      </c>
      <c r="W526" s="17">
        <f>IF($Z526="","",CHOOSE($Z526,"Collection Email","1st Follow-up","2nd Follow-up","Local Office","CBE","Roxanne")&amp;IF($Z526=6," - Final"," - Day "&amp;MAX(0,NETWORKDAYS($AA526,TODAY(),Holidays)-1)&amp;" of "&amp;CHOOSE($Z526,3,3,2,2,3))&amp;" | Total Day "&amp;MAX(0,NETWORKDAYS($N526,TODAY(),Holidays)-1))</f>
        <v/>
      </c>
      <c r="X526" s="18"/>
      <c r="Y526" s="18"/>
      <c r="Z526" s="17">
        <f>IF($N526="","",COUNT($N526:$S526))</f>
        <v/>
      </c>
      <c r="AA526" s="19">
        <f>IF($Z526="","",INT(INDEX($N526:$S526,$Z526)))</f>
        <v/>
      </c>
      <c r="AB526" s="19">
        <f>IF(OR($Z526="",$Z526=6),"",WORKDAY($AA526,CHOOSE($Z526,3,3,2,2,3),Holidays))</f>
        <v/>
      </c>
      <c r="AC526" s="17">
        <f>IF(OR($Z526="",$Z526=6),"",CHOOSE($Z526,"1st Email Follow-up","2nd Email Follow-up","Escalate Local Office","Escalate to CBE","Escalate to Roxanne"))</f>
        <v/>
      </c>
    </row>
    <row r="527" spans="13:29">
      <c r="M527" s="14"/>
      <c r="T527" s="16"/>
      <c r="U527" s="17">
        <f>IF(AND(COUNTA($A527:$L527)=0,$N527=""),"",IF($T527="Paid","PAID",IF($T527="Closed","CLOSED",IF($Z527="","",IF($Z527=6,"ESCALATED TO ROXANNE",IF(TODAY()&gt;$AB527,"OVERDUE",IF($AB527&lt;=WORKDAY(TODAY(),1,Holidays),"DUE TOMORROW",IF($Z527=4,"ESCALATED TO LOCAL OFFICE",IF($Z527=5,"ESCALATED TO CBE",IF($AA527=TODAY(),"EMAIL SENT","MONITORING"))))))))))</f>
        <v/>
      </c>
      <c r="V527" s="17">
        <f>IF($U527="",IF(AND(COUNTA($A527:$L527)&gt;0,$N527=""),"Awaiting Collection Email time stamp.",""),IF(OR($U527="PAID",$U527="CLOSED"),IF($U527="PAID","Account paid. Action completed.","Account closed. No further action required."),CHOOSE($Z527,"Collection Email","1st Email Follow-up","2nd Email Follow-up","Escalation to Local Office","Escalation to CBE","Escalation to Roxanne")&amp;" sent "&amp;TEXT($AA527,"dd-mmm")&amp;". "&amp;IF($Z527=6,"Final escalation completed.",IF($U527="OVERDUE","Next: "&amp;$AC527&amp;" was due "&amp;TEXT($AB527,"dd-mmm")&amp;" - "&amp;(NETWORKDAYS($AB527,TODAY(),Holidays)-1)&amp;" business day(s) late. Send now.",IF($U527="DUE TOMORROW","Next: "&amp;$AC527&amp;IF($AB527&lt;=TODAY()," is due TODAY ("," is due next business day (")&amp;TEXT($AB527,"dd-mmm")&amp;").","Next: "&amp;$AC527&amp;" due "&amp;TEXT($AB527,"dd-mmm")&amp;" ("&amp;(NETWORKDAYS(TODAY(),$AB527,Holidays)-1)&amp;" business day(s) left).")))))</f>
        <v/>
      </c>
      <c r="W527" s="17">
        <f>IF($Z527="","",CHOOSE($Z527,"Collection Email","1st Follow-up","2nd Follow-up","Local Office","CBE","Roxanne")&amp;IF($Z527=6," - Final"," - Day "&amp;MAX(0,NETWORKDAYS($AA527,TODAY(),Holidays)-1)&amp;" of "&amp;CHOOSE($Z527,3,3,2,2,3))&amp;" | Total Day "&amp;MAX(0,NETWORKDAYS($N527,TODAY(),Holidays)-1))</f>
        <v/>
      </c>
      <c r="X527" s="18"/>
      <c r="Y527" s="18"/>
      <c r="Z527" s="17">
        <f>IF($N527="","",COUNT($N527:$S527))</f>
        <v/>
      </c>
      <c r="AA527" s="19">
        <f>IF($Z527="","",INT(INDEX($N527:$S527,$Z527)))</f>
        <v/>
      </c>
      <c r="AB527" s="19">
        <f>IF(OR($Z527="",$Z527=6),"",WORKDAY($AA527,CHOOSE($Z527,3,3,2,2,3),Holidays))</f>
        <v/>
      </c>
      <c r="AC527" s="17">
        <f>IF(OR($Z527="",$Z527=6),"",CHOOSE($Z527,"1st Email Follow-up","2nd Email Follow-up","Escalate Local Office","Escalate to CBE","Escalate to Roxanne"))</f>
        <v/>
      </c>
    </row>
    <row r="528" spans="13:29">
      <c r="M528" s="14"/>
      <c r="T528" s="16"/>
      <c r="U528" s="17">
        <f>IF(AND(COUNTA($A528:$L528)=0,$N528=""),"",IF($T528="Paid","PAID",IF($T528="Closed","CLOSED",IF($Z528="","",IF($Z528=6,"ESCALATED TO ROXANNE",IF(TODAY()&gt;$AB528,"OVERDUE",IF($AB528&lt;=WORKDAY(TODAY(),1,Holidays),"DUE TOMORROW",IF($Z528=4,"ESCALATED TO LOCAL OFFICE",IF($Z528=5,"ESCALATED TO CBE",IF($AA528=TODAY(),"EMAIL SENT","MONITORING"))))))))))</f>
        <v/>
      </c>
      <c r="V528" s="17">
        <f>IF($U528="",IF(AND(COUNTA($A528:$L528)&gt;0,$N528=""),"Awaiting Collection Email time stamp.",""),IF(OR($U528="PAID",$U528="CLOSED"),IF($U528="PAID","Account paid. Action completed.","Account closed. No further action required."),CHOOSE($Z528,"Collection Email","1st Email Follow-up","2nd Email Follow-up","Escalation to Local Office","Escalation to CBE","Escalation to Roxanne")&amp;" sent "&amp;TEXT($AA528,"dd-mmm")&amp;". "&amp;IF($Z528=6,"Final escalation completed.",IF($U528="OVERDUE","Next: "&amp;$AC528&amp;" was due "&amp;TEXT($AB528,"dd-mmm")&amp;" - "&amp;(NETWORKDAYS($AB528,TODAY(),Holidays)-1)&amp;" business day(s) late. Send now.",IF($U528="DUE TOMORROW","Next: "&amp;$AC528&amp;IF($AB528&lt;=TODAY()," is due TODAY ("," is due next business day (")&amp;TEXT($AB528,"dd-mmm")&amp;").","Next: "&amp;$AC528&amp;" due "&amp;TEXT($AB528,"dd-mmm")&amp;" ("&amp;(NETWORKDAYS(TODAY(),$AB528,Holidays)-1)&amp;" business day(s) left).")))))</f>
        <v/>
      </c>
      <c r="W528" s="17">
        <f>IF($Z528="","",CHOOSE($Z528,"Collection Email","1st Follow-up","2nd Follow-up","Local Office","CBE","Roxanne")&amp;IF($Z528=6," - Final"," - Day "&amp;MAX(0,NETWORKDAYS($AA528,TODAY(),Holidays)-1)&amp;" of "&amp;CHOOSE($Z528,3,3,2,2,3))&amp;" | Total Day "&amp;MAX(0,NETWORKDAYS($N528,TODAY(),Holidays)-1))</f>
        <v/>
      </c>
      <c r="X528" s="18"/>
      <c r="Y528" s="18"/>
      <c r="Z528" s="17">
        <f>IF($N528="","",COUNT($N528:$S528))</f>
        <v/>
      </c>
      <c r="AA528" s="19">
        <f>IF($Z528="","",INT(INDEX($N528:$S528,$Z528)))</f>
        <v/>
      </c>
      <c r="AB528" s="19">
        <f>IF(OR($Z528="",$Z528=6),"",WORKDAY($AA528,CHOOSE($Z528,3,3,2,2,3),Holidays))</f>
        <v/>
      </c>
      <c r="AC528" s="17">
        <f>IF(OR($Z528="",$Z528=6),"",CHOOSE($Z528,"1st Email Follow-up","2nd Email Follow-up","Escalate Local Office","Escalate to CBE","Escalate to Roxanne"))</f>
        <v/>
      </c>
    </row>
    <row r="529" spans="13:29">
      <c r="M529" s="14"/>
      <c r="T529" s="16"/>
      <c r="U529" s="17">
        <f>IF(AND(COUNTA($A529:$L529)=0,$N529=""),"",IF($T529="Paid","PAID",IF($T529="Closed","CLOSED",IF($Z529="","",IF($Z529=6,"ESCALATED TO ROXANNE",IF(TODAY()&gt;$AB529,"OVERDUE",IF($AB529&lt;=WORKDAY(TODAY(),1,Holidays),"DUE TOMORROW",IF($Z529=4,"ESCALATED TO LOCAL OFFICE",IF($Z529=5,"ESCALATED TO CBE",IF($AA529=TODAY(),"EMAIL SENT","MONITORING"))))))))))</f>
        <v/>
      </c>
      <c r="V529" s="17">
        <f>IF($U529="",IF(AND(COUNTA($A529:$L529)&gt;0,$N529=""),"Awaiting Collection Email time stamp.",""),IF(OR($U529="PAID",$U529="CLOSED"),IF($U529="PAID","Account paid. Action completed.","Account closed. No further action required."),CHOOSE($Z529,"Collection Email","1st Email Follow-up","2nd Email Follow-up","Escalation to Local Office","Escalation to CBE","Escalation to Roxanne")&amp;" sent "&amp;TEXT($AA529,"dd-mmm")&amp;". "&amp;IF($Z529=6,"Final escalation completed.",IF($U529="OVERDUE","Next: "&amp;$AC529&amp;" was due "&amp;TEXT($AB529,"dd-mmm")&amp;" - "&amp;(NETWORKDAYS($AB529,TODAY(),Holidays)-1)&amp;" business day(s) late. Send now.",IF($U529="DUE TOMORROW","Next: "&amp;$AC529&amp;IF($AB529&lt;=TODAY()," is due TODAY ("," is due next business day (")&amp;TEXT($AB529,"dd-mmm")&amp;").","Next: "&amp;$AC529&amp;" due "&amp;TEXT($AB529,"dd-mmm")&amp;" ("&amp;(NETWORKDAYS(TODAY(),$AB529,Holidays)-1)&amp;" business day(s) left).")))))</f>
        <v/>
      </c>
      <c r="W529" s="17">
        <f>IF($Z529="","",CHOOSE($Z529,"Collection Email","1st Follow-up","2nd Follow-up","Local Office","CBE","Roxanne")&amp;IF($Z529=6," - Final"," - Day "&amp;MAX(0,NETWORKDAYS($AA529,TODAY(),Holidays)-1)&amp;" of "&amp;CHOOSE($Z529,3,3,2,2,3))&amp;" | Total Day "&amp;MAX(0,NETWORKDAYS($N529,TODAY(),Holidays)-1))</f>
        <v/>
      </c>
      <c r="X529" s="18"/>
      <c r="Y529" s="18"/>
      <c r="Z529" s="17">
        <f>IF($N529="","",COUNT($N529:$S529))</f>
        <v/>
      </c>
      <c r="AA529" s="19">
        <f>IF($Z529="","",INT(INDEX($N529:$S529,$Z529)))</f>
        <v/>
      </c>
      <c r="AB529" s="19">
        <f>IF(OR($Z529="",$Z529=6),"",WORKDAY($AA529,CHOOSE($Z529,3,3,2,2,3),Holidays))</f>
        <v/>
      </c>
      <c r="AC529" s="17">
        <f>IF(OR($Z529="",$Z529=6),"",CHOOSE($Z529,"1st Email Follow-up","2nd Email Follow-up","Escalate Local Office","Escalate to CBE","Escalate to Roxanne"))</f>
        <v/>
      </c>
    </row>
    <row r="530" spans="13:29">
      <c r="M530" s="14"/>
      <c r="T530" s="16"/>
      <c r="U530" s="17">
        <f>IF(AND(COUNTA($A530:$L530)=0,$N530=""),"",IF($T530="Paid","PAID",IF($T530="Closed","CLOSED",IF($Z530="","",IF($Z530=6,"ESCALATED TO ROXANNE",IF(TODAY()&gt;$AB530,"OVERDUE",IF($AB530&lt;=WORKDAY(TODAY(),1,Holidays),"DUE TOMORROW",IF($Z530=4,"ESCALATED TO LOCAL OFFICE",IF($Z530=5,"ESCALATED TO CBE",IF($AA530=TODAY(),"EMAIL SENT","MONITORING"))))))))))</f>
        <v/>
      </c>
      <c r="V530" s="17">
        <f>IF($U530="",IF(AND(COUNTA($A530:$L530)&gt;0,$N530=""),"Awaiting Collection Email time stamp.",""),IF(OR($U530="PAID",$U530="CLOSED"),IF($U530="PAID","Account paid. Action completed.","Account closed. No further action required."),CHOOSE($Z530,"Collection Email","1st Email Follow-up","2nd Email Follow-up","Escalation to Local Office","Escalation to CBE","Escalation to Roxanne")&amp;" sent "&amp;TEXT($AA530,"dd-mmm")&amp;". "&amp;IF($Z530=6,"Final escalation completed.",IF($U530="OVERDUE","Next: "&amp;$AC530&amp;" was due "&amp;TEXT($AB530,"dd-mmm")&amp;" - "&amp;(NETWORKDAYS($AB530,TODAY(),Holidays)-1)&amp;" business day(s) late. Send now.",IF($U530="DUE TOMORROW","Next: "&amp;$AC530&amp;IF($AB530&lt;=TODAY()," is due TODAY ("," is due next business day (")&amp;TEXT($AB530,"dd-mmm")&amp;").","Next: "&amp;$AC530&amp;" due "&amp;TEXT($AB530,"dd-mmm")&amp;" ("&amp;(NETWORKDAYS(TODAY(),$AB530,Holidays)-1)&amp;" business day(s) left).")))))</f>
        <v/>
      </c>
      <c r="W530" s="17">
        <f>IF($Z530="","",CHOOSE($Z530,"Collection Email","1st Follow-up","2nd Follow-up","Local Office","CBE","Roxanne")&amp;IF($Z530=6," - Final"," - Day "&amp;MAX(0,NETWORKDAYS($AA530,TODAY(),Holidays)-1)&amp;" of "&amp;CHOOSE($Z530,3,3,2,2,3))&amp;" | Total Day "&amp;MAX(0,NETWORKDAYS($N530,TODAY(),Holidays)-1))</f>
        <v/>
      </c>
      <c r="X530" s="18"/>
      <c r="Y530" s="18"/>
      <c r="Z530" s="17">
        <f>IF($N530="","",COUNT($N530:$S530))</f>
        <v/>
      </c>
      <c r="AA530" s="19">
        <f>IF($Z530="","",INT(INDEX($N530:$S530,$Z530)))</f>
        <v/>
      </c>
      <c r="AB530" s="19">
        <f>IF(OR($Z530="",$Z530=6),"",WORKDAY($AA530,CHOOSE($Z530,3,3,2,2,3),Holidays))</f>
        <v/>
      </c>
      <c r="AC530" s="17">
        <f>IF(OR($Z530="",$Z530=6),"",CHOOSE($Z530,"1st Email Follow-up","2nd Email Follow-up","Escalate Local Office","Escalate to CBE","Escalate to Roxanne"))</f>
        <v/>
      </c>
    </row>
    <row r="531" spans="13:29">
      <c r="M531" s="14"/>
      <c r="T531" s="16"/>
      <c r="U531" s="17">
        <f>IF(AND(COUNTA($A531:$L531)=0,$N531=""),"",IF($T531="Paid","PAID",IF($T531="Closed","CLOSED",IF($Z531="","",IF($Z531=6,"ESCALATED TO ROXANNE",IF(TODAY()&gt;$AB531,"OVERDUE",IF($AB531&lt;=WORKDAY(TODAY(),1,Holidays),"DUE TOMORROW",IF($Z531=4,"ESCALATED TO LOCAL OFFICE",IF($Z531=5,"ESCALATED TO CBE",IF($AA531=TODAY(),"EMAIL SENT","MONITORING"))))))))))</f>
        <v/>
      </c>
      <c r="V531" s="17">
        <f>IF($U531="",IF(AND(COUNTA($A531:$L531)&gt;0,$N531=""),"Awaiting Collection Email time stamp.",""),IF(OR($U531="PAID",$U531="CLOSED"),IF($U531="PAID","Account paid. Action completed.","Account closed. No further action required."),CHOOSE($Z531,"Collection Email","1st Email Follow-up","2nd Email Follow-up","Escalation to Local Office","Escalation to CBE","Escalation to Roxanne")&amp;" sent "&amp;TEXT($AA531,"dd-mmm")&amp;". "&amp;IF($Z531=6,"Final escalation completed.",IF($U531="OVERDUE","Next: "&amp;$AC531&amp;" was due "&amp;TEXT($AB531,"dd-mmm")&amp;" - "&amp;(NETWORKDAYS($AB531,TODAY(),Holidays)-1)&amp;" business day(s) late. Send now.",IF($U531="DUE TOMORROW","Next: "&amp;$AC531&amp;IF($AB531&lt;=TODAY()," is due TODAY ("," is due next business day (")&amp;TEXT($AB531,"dd-mmm")&amp;").","Next: "&amp;$AC531&amp;" due "&amp;TEXT($AB531,"dd-mmm")&amp;" ("&amp;(NETWORKDAYS(TODAY(),$AB531,Holidays)-1)&amp;" business day(s) left).")))))</f>
        <v/>
      </c>
      <c r="W531" s="17">
        <f>IF($Z531="","",CHOOSE($Z531,"Collection Email","1st Follow-up","2nd Follow-up","Local Office","CBE","Roxanne")&amp;IF($Z531=6," - Final"," - Day "&amp;MAX(0,NETWORKDAYS($AA531,TODAY(),Holidays)-1)&amp;" of "&amp;CHOOSE($Z531,3,3,2,2,3))&amp;" | Total Day "&amp;MAX(0,NETWORKDAYS($N531,TODAY(),Holidays)-1))</f>
        <v/>
      </c>
      <c r="X531" s="18"/>
      <c r="Y531" s="18"/>
      <c r="Z531" s="17">
        <f>IF($N531="","",COUNT($N531:$S531))</f>
        <v/>
      </c>
      <c r="AA531" s="19">
        <f>IF($Z531="","",INT(INDEX($N531:$S531,$Z531)))</f>
        <v/>
      </c>
      <c r="AB531" s="19">
        <f>IF(OR($Z531="",$Z531=6),"",WORKDAY($AA531,CHOOSE($Z531,3,3,2,2,3),Holidays))</f>
        <v/>
      </c>
      <c r="AC531" s="17">
        <f>IF(OR($Z531="",$Z531=6),"",CHOOSE($Z531,"1st Email Follow-up","2nd Email Follow-up","Escalate Local Office","Escalate to CBE","Escalate to Roxanne"))</f>
        <v/>
      </c>
    </row>
    <row r="532" spans="13:29">
      <c r="M532" s="14"/>
      <c r="T532" s="16"/>
      <c r="U532" s="17">
        <f>IF(AND(COUNTA($A532:$L532)=0,$N532=""),"",IF($T532="Paid","PAID",IF($T532="Closed","CLOSED",IF($Z532="","",IF($Z532=6,"ESCALATED TO ROXANNE",IF(TODAY()&gt;$AB532,"OVERDUE",IF($AB532&lt;=WORKDAY(TODAY(),1,Holidays),"DUE TOMORROW",IF($Z532=4,"ESCALATED TO LOCAL OFFICE",IF($Z532=5,"ESCALATED TO CBE",IF($AA532=TODAY(),"EMAIL SENT","MONITORING"))))))))))</f>
        <v/>
      </c>
      <c r="V532" s="17">
        <f>IF($U532="",IF(AND(COUNTA($A532:$L532)&gt;0,$N532=""),"Awaiting Collection Email time stamp.",""),IF(OR($U532="PAID",$U532="CLOSED"),IF($U532="PAID","Account paid. Action completed.","Account closed. No further action required."),CHOOSE($Z532,"Collection Email","1st Email Follow-up","2nd Email Follow-up","Escalation to Local Office","Escalation to CBE","Escalation to Roxanne")&amp;" sent "&amp;TEXT($AA532,"dd-mmm")&amp;". "&amp;IF($Z532=6,"Final escalation completed.",IF($U532="OVERDUE","Next: "&amp;$AC532&amp;" was due "&amp;TEXT($AB532,"dd-mmm")&amp;" - "&amp;(NETWORKDAYS($AB532,TODAY(),Holidays)-1)&amp;" business day(s) late. Send now.",IF($U532="DUE TOMORROW","Next: "&amp;$AC532&amp;IF($AB532&lt;=TODAY()," is due TODAY ("," is due next business day (")&amp;TEXT($AB532,"dd-mmm")&amp;").","Next: "&amp;$AC532&amp;" due "&amp;TEXT($AB532,"dd-mmm")&amp;" ("&amp;(NETWORKDAYS(TODAY(),$AB532,Holidays)-1)&amp;" business day(s) left).")))))</f>
        <v/>
      </c>
      <c r="W532" s="17">
        <f>IF($Z532="","",CHOOSE($Z532,"Collection Email","1st Follow-up","2nd Follow-up","Local Office","CBE","Roxanne")&amp;IF($Z532=6," - Final"," - Day "&amp;MAX(0,NETWORKDAYS($AA532,TODAY(),Holidays)-1)&amp;" of "&amp;CHOOSE($Z532,3,3,2,2,3))&amp;" | Total Day "&amp;MAX(0,NETWORKDAYS($N532,TODAY(),Holidays)-1))</f>
        <v/>
      </c>
      <c r="X532" s="18"/>
      <c r="Y532" s="18"/>
      <c r="Z532" s="17">
        <f>IF($N532="","",COUNT($N532:$S532))</f>
        <v/>
      </c>
      <c r="AA532" s="19">
        <f>IF($Z532="","",INT(INDEX($N532:$S532,$Z532)))</f>
        <v/>
      </c>
      <c r="AB532" s="19">
        <f>IF(OR($Z532="",$Z532=6),"",WORKDAY($AA532,CHOOSE($Z532,3,3,2,2,3),Holidays))</f>
        <v/>
      </c>
      <c r="AC532" s="17">
        <f>IF(OR($Z532="",$Z532=6),"",CHOOSE($Z532,"1st Email Follow-up","2nd Email Follow-up","Escalate Local Office","Escalate to CBE","Escalate to Roxanne"))</f>
        <v/>
      </c>
    </row>
    <row r="533" spans="13:29">
      <c r="M533" s="14"/>
      <c r="T533" s="16"/>
      <c r="U533" s="17">
        <f>IF(AND(COUNTA($A533:$L533)=0,$N533=""),"",IF($T533="Paid","PAID",IF($T533="Closed","CLOSED",IF($Z533="","",IF($Z533=6,"ESCALATED TO ROXANNE",IF(TODAY()&gt;$AB533,"OVERDUE",IF($AB533&lt;=WORKDAY(TODAY(),1,Holidays),"DUE TOMORROW",IF($Z533=4,"ESCALATED TO LOCAL OFFICE",IF($Z533=5,"ESCALATED TO CBE",IF($AA533=TODAY(),"EMAIL SENT","MONITORING"))))))))))</f>
        <v/>
      </c>
      <c r="V533" s="17">
        <f>IF($U533="",IF(AND(COUNTA($A533:$L533)&gt;0,$N533=""),"Awaiting Collection Email time stamp.",""),IF(OR($U533="PAID",$U533="CLOSED"),IF($U533="PAID","Account paid. Action completed.","Account closed. No further action required."),CHOOSE($Z533,"Collection Email","1st Email Follow-up","2nd Email Follow-up","Escalation to Local Office","Escalation to CBE","Escalation to Roxanne")&amp;" sent "&amp;TEXT($AA533,"dd-mmm")&amp;". "&amp;IF($Z533=6,"Final escalation completed.",IF($U533="OVERDUE","Next: "&amp;$AC533&amp;" was due "&amp;TEXT($AB533,"dd-mmm")&amp;" - "&amp;(NETWORKDAYS($AB533,TODAY(),Holidays)-1)&amp;" business day(s) late. Send now.",IF($U533="DUE TOMORROW","Next: "&amp;$AC533&amp;IF($AB533&lt;=TODAY()," is due TODAY ("," is due next business day (")&amp;TEXT($AB533,"dd-mmm")&amp;").","Next: "&amp;$AC533&amp;" due "&amp;TEXT($AB533,"dd-mmm")&amp;" ("&amp;(NETWORKDAYS(TODAY(),$AB533,Holidays)-1)&amp;" business day(s) left).")))))</f>
        <v/>
      </c>
      <c r="W533" s="17">
        <f>IF($Z533="","",CHOOSE($Z533,"Collection Email","1st Follow-up","2nd Follow-up","Local Office","CBE","Roxanne")&amp;IF($Z533=6," - Final"," - Day "&amp;MAX(0,NETWORKDAYS($AA533,TODAY(),Holidays)-1)&amp;" of "&amp;CHOOSE($Z533,3,3,2,2,3))&amp;" | Total Day "&amp;MAX(0,NETWORKDAYS($N533,TODAY(),Holidays)-1))</f>
        <v/>
      </c>
      <c r="X533" s="18"/>
      <c r="Y533" s="18"/>
      <c r="Z533" s="17">
        <f>IF($N533="","",COUNT($N533:$S533))</f>
        <v/>
      </c>
      <c r="AA533" s="19">
        <f>IF($Z533="","",INT(INDEX($N533:$S533,$Z533)))</f>
        <v/>
      </c>
      <c r="AB533" s="19">
        <f>IF(OR($Z533="",$Z533=6),"",WORKDAY($AA533,CHOOSE($Z533,3,3,2,2,3),Holidays))</f>
        <v/>
      </c>
      <c r="AC533" s="17">
        <f>IF(OR($Z533="",$Z533=6),"",CHOOSE($Z533,"1st Email Follow-up","2nd Email Follow-up","Escalate Local Office","Escalate to CBE","Escalate to Roxanne"))</f>
        <v/>
      </c>
    </row>
    <row r="534" spans="13:29">
      <c r="M534" s="14"/>
      <c r="T534" s="16"/>
      <c r="U534" s="17">
        <f>IF(AND(COUNTA($A534:$L534)=0,$N534=""),"",IF($T534="Paid","PAID",IF($T534="Closed","CLOSED",IF($Z534="","",IF($Z534=6,"ESCALATED TO ROXANNE",IF(TODAY()&gt;$AB534,"OVERDUE",IF($AB534&lt;=WORKDAY(TODAY(),1,Holidays),"DUE TOMORROW",IF($Z534=4,"ESCALATED TO LOCAL OFFICE",IF($Z534=5,"ESCALATED TO CBE",IF($AA534=TODAY(),"EMAIL SENT","MONITORING"))))))))))</f>
        <v/>
      </c>
      <c r="V534" s="17">
        <f>IF($U534="",IF(AND(COUNTA($A534:$L534)&gt;0,$N534=""),"Awaiting Collection Email time stamp.",""),IF(OR($U534="PAID",$U534="CLOSED"),IF($U534="PAID","Account paid. Action completed.","Account closed. No further action required."),CHOOSE($Z534,"Collection Email","1st Email Follow-up","2nd Email Follow-up","Escalation to Local Office","Escalation to CBE","Escalation to Roxanne")&amp;" sent "&amp;TEXT($AA534,"dd-mmm")&amp;". "&amp;IF($Z534=6,"Final escalation completed.",IF($U534="OVERDUE","Next: "&amp;$AC534&amp;" was due "&amp;TEXT($AB534,"dd-mmm")&amp;" - "&amp;(NETWORKDAYS($AB534,TODAY(),Holidays)-1)&amp;" business day(s) late. Send now.",IF($U534="DUE TOMORROW","Next: "&amp;$AC534&amp;IF($AB534&lt;=TODAY()," is due TODAY ("," is due next business day (")&amp;TEXT($AB534,"dd-mmm")&amp;").","Next: "&amp;$AC534&amp;" due "&amp;TEXT($AB534,"dd-mmm")&amp;" ("&amp;(NETWORKDAYS(TODAY(),$AB534,Holidays)-1)&amp;" business day(s) left).")))))</f>
        <v/>
      </c>
      <c r="W534" s="17">
        <f>IF($Z534="","",CHOOSE($Z534,"Collection Email","1st Follow-up","2nd Follow-up","Local Office","CBE","Roxanne")&amp;IF($Z534=6," - Final"," - Day "&amp;MAX(0,NETWORKDAYS($AA534,TODAY(),Holidays)-1)&amp;" of "&amp;CHOOSE($Z534,3,3,2,2,3))&amp;" | Total Day "&amp;MAX(0,NETWORKDAYS($N534,TODAY(),Holidays)-1))</f>
        <v/>
      </c>
      <c r="X534" s="18"/>
      <c r="Y534" s="18"/>
      <c r="Z534" s="17">
        <f>IF($N534="","",COUNT($N534:$S534))</f>
        <v/>
      </c>
      <c r="AA534" s="19">
        <f>IF($Z534="","",INT(INDEX($N534:$S534,$Z534)))</f>
        <v/>
      </c>
      <c r="AB534" s="19">
        <f>IF(OR($Z534="",$Z534=6),"",WORKDAY($AA534,CHOOSE($Z534,3,3,2,2,3),Holidays))</f>
        <v/>
      </c>
      <c r="AC534" s="17">
        <f>IF(OR($Z534="",$Z534=6),"",CHOOSE($Z534,"1st Email Follow-up","2nd Email Follow-up","Escalate Local Office","Escalate to CBE","Escalate to Roxanne"))</f>
        <v/>
      </c>
    </row>
    <row r="535" spans="13:29">
      <c r="M535" s="14"/>
      <c r="T535" s="16"/>
      <c r="U535" s="17">
        <f>IF(AND(COUNTA($A535:$L535)=0,$N535=""),"",IF($T535="Paid","PAID",IF($T535="Closed","CLOSED",IF($Z535="","",IF($Z535=6,"ESCALATED TO ROXANNE",IF(TODAY()&gt;$AB535,"OVERDUE",IF($AB535&lt;=WORKDAY(TODAY(),1,Holidays),"DUE TOMORROW",IF($Z535=4,"ESCALATED TO LOCAL OFFICE",IF($Z535=5,"ESCALATED TO CBE",IF($AA535=TODAY(),"EMAIL SENT","MONITORING"))))))))))</f>
        <v/>
      </c>
      <c r="V535" s="17">
        <f>IF($U535="",IF(AND(COUNTA($A535:$L535)&gt;0,$N535=""),"Awaiting Collection Email time stamp.",""),IF(OR($U535="PAID",$U535="CLOSED"),IF($U535="PAID","Account paid. Action completed.","Account closed. No further action required."),CHOOSE($Z535,"Collection Email","1st Email Follow-up","2nd Email Follow-up","Escalation to Local Office","Escalation to CBE","Escalation to Roxanne")&amp;" sent "&amp;TEXT($AA535,"dd-mmm")&amp;". "&amp;IF($Z535=6,"Final escalation completed.",IF($U535="OVERDUE","Next: "&amp;$AC535&amp;" was due "&amp;TEXT($AB535,"dd-mmm")&amp;" - "&amp;(NETWORKDAYS($AB535,TODAY(),Holidays)-1)&amp;" business day(s) late. Send now.",IF($U535="DUE TOMORROW","Next: "&amp;$AC535&amp;IF($AB535&lt;=TODAY()," is due TODAY ("," is due next business day (")&amp;TEXT($AB535,"dd-mmm")&amp;").","Next: "&amp;$AC535&amp;" due "&amp;TEXT($AB535,"dd-mmm")&amp;" ("&amp;(NETWORKDAYS(TODAY(),$AB535,Holidays)-1)&amp;" business day(s) left).")))))</f>
        <v/>
      </c>
      <c r="W535" s="17">
        <f>IF($Z535="","",CHOOSE($Z535,"Collection Email","1st Follow-up","2nd Follow-up","Local Office","CBE","Roxanne")&amp;IF($Z535=6," - Final"," - Day "&amp;MAX(0,NETWORKDAYS($AA535,TODAY(),Holidays)-1)&amp;" of "&amp;CHOOSE($Z535,3,3,2,2,3))&amp;" | Total Day "&amp;MAX(0,NETWORKDAYS($N535,TODAY(),Holidays)-1))</f>
        <v/>
      </c>
      <c r="X535" s="18"/>
      <c r="Y535" s="18"/>
      <c r="Z535" s="17">
        <f>IF($N535="","",COUNT($N535:$S535))</f>
        <v/>
      </c>
      <c r="AA535" s="19">
        <f>IF($Z535="","",INT(INDEX($N535:$S535,$Z535)))</f>
        <v/>
      </c>
      <c r="AB535" s="19">
        <f>IF(OR($Z535="",$Z535=6),"",WORKDAY($AA535,CHOOSE($Z535,3,3,2,2,3),Holidays))</f>
        <v/>
      </c>
      <c r="AC535" s="17">
        <f>IF(OR($Z535="",$Z535=6),"",CHOOSE($Z535,"1st Email Follow-up","2nd Email Follow-up","Escalate Local Office","Escalate to CBE","Escalate to Roxanne"))</f>
        <v/>
      </c>
    </row>
    <row r="536" spans="13:29">
      <c r="M536" s="14"/>
      <c r="T536" s="16"/>
      <c r="U536" s="17">
        <f>IF(AND(COUNTA($A536:$L536)=0,$N536=""),"",IF($T536="Paid","PAID",IF($T536="Closed","CLOSED",IF($Z536="","",IF($Z536=6,"ESCALATED TO ROXANNE",IF(TODAY()&gt;$AB536,"OVERDUE",IF($AB536&lt;=WORKDAY(TODAY(),1,Holidays),"DUE TOMORROW",IF($Z536=4,"ESCALATED TO LOCAL OFFICE",IF($Z536=5,"ESCALATED TO CBE",IF($AA536=TODAY(),"EMAIL SENT","MONITORING"))))))))))</f>
        <v/>
      </c>
      <c r="V536" s="17">
        <f>IF($U536="",IF(AND(COUNTA($A536:$L536)&gt;0,$N536=""),"Awaiting Collection Email time stamp.",""),IF(OR($U536="PAID",$U536="CLOSED"),IF($U536="PAID","Account paid. Action completed.","Account closed. No further action required."),CHOOSE($Z536,"Collection Email","1st Email Follow-up","2nd Email Follow-up","Escalation to Local Office","Escalation to CBE","Escalation to Roxanne")&amp;" sent "&amp;TEXT($AA536,"dd-mmm")&amp;". "&amp;IF($Z536=6,"Final escalation completed.",IF($U536="OVERDUE","Next: "&amp;$AC536&amp;" was due "&amp;TEXT($AB536,"dd-mmm")&amp;" - "&amp;(NETWORKDAYS($AB536,TODAY(),Holidays)-1)&amp;" business day(s) late. Send now.",IF($U536="DUE TOMORROW","Next: "&amp;$AC536&amp;IF($AB536&lt;=TODAY()," is due TODAY ("," is due next business day (")&amp;TEXT($AB536,"dd-mmm")&amp;").","Next: "&amp;$AC536&amp;" due "&amp;TEXT($AB536,"dd-mmm")&amp;" ("&amp;(NETWORKDAYS(TODAY(),$AB536,Holidays)-1)&amp;" business day(s) left).")))))</f>
        <v/>
      </c>
      <c r="W536" s="17">
        <f>IF($Z536="","",CHOOSE($Z536,"Collection Email","1st Follow-up","2nd Follow-up","Local Office","CBE","Roxanne")&amp;IF($Z536=6," - Final"," - Day "&amp;MAX(0,NETWORKDAYS($AA536,TODAY(),Holidays)-1)&amp;" of "&amp;CHOOSE($Z536,3,3,2,2,3))&amp;" | Total Day "&amp;MAX(0,NETWORKDAYS($N536,TODAY(),Holidays)-1))</f>
        <v/>
      </c>
      <c r="X536" s="18"/>
      <c r="Y536" s="18"/>
      <c r="Z536" s="17">
        <f>IF($N536="","",COUNT($N536:$S536))</f>
        <v/>
      </c>
      <c r="AA536" s="19">
        <f>IF($Z536="","",INT(INDEX($N536:$S536,$Z536)))</f>
        <v/>
      </c>
      <c r="AB536" s="19">
        <f>IF(OR($Z536="",$Z536=6),"",WORKDAY($AA536,CHOOSE($Z536,3,3,2,2,3),Holidays))</f>
        <v/>
      </c>
      <c r="AC536" s="17">
        <f>IF(OR($Z536="",$Z536=6),"",CHOOSE($Z536,"1st Email Follow-up","2nd Email Follow-up","Escalate Local Office","Escalate to CBE","Escalate to Roxanne"))</f>
        <v/>
      </c>
    </row>
    <row r="537" spans="13:29">
      <c r="M537" s="14"/>
      <c r="T537" s="16"/>
      <c r="U537" s="17">
        <f>IF(AND(COUNTA($A537:$L537)=0,$N537=""),"",IF($T537="Paid","PAID",IF($T537="Closed","CLOSED",IF($Z537="","",IF($Z537=6,"ESCALATED TO ROXANNE",IF(TODAY()&gt;$AB537,"OVERDUE",IF($AB537&lt;=WORKDAY(TODAY(),1,Holidays),"DUE TOMORROW",IF($Z537=4,"ESCALATED TO LOCAL OFFICE",IF($Z537=5,"ESCALATED TO CBE",IF($AA537=TODAY(),"EMAIL SENT","MONITORING"))))))))))</f>
        <v/>
      </c>
      <c r="V537" s="17">
        <f>IF($U537="",IF(AND(COUNTA($A537:$L537)&gt;0,$N537=""),"Awaiting Collection Email time stamp.",""),IF(OR($U537="PAID",$U537="CLOSED"),IF($U537="PAID","Account paid. Action completed.","Account closed. No further action required."),CHOOSE($Z537,"Collection Email","1st Email Follow-up","2nd Email Follow-up","Escalation to Local Office","Escalation to CBE","Escalation to Roxanne")&amp;" sent "&amp;TEXT($AA537,"dd-mmm")&amp;". "&amp;IF($Z537=6,"Final escalation completed.",IF($U537="OVERDUE","Next: "&amp;$AC537&amp;" was due "&amp;TEXT($AB537,"dd-mmm")&amp;" - "&amp;(NETWORKDAYS($AB537,TODAY(),Holidays)-1)&amp;" business day(s) late. Send now.",IF($U537="DUE TOMORROW","Next: "&amp;$AC537&amp;IF($AB537&lt;=TODAY()," is due TODAY ("," is due next business day (")&amp;TEXT($AB537,"dd-mmm")&amp;").","Next: "&amp;$AC537&amp;" due "&amp;TEXT($AB537,"dd-mmm")&amp;" ("&amp;(NETWORKDAYS(TODAY(),$AB537,Holidays)-1)&amp;" business day(s) left).")))))</f>
        <v/>
      </c>
      <c r="W537" s="17">
        <f>IF($Z537="","",CHOOSE($Z537,"Collection Email","1st Follow-up","2nd Follow-up","Local Office","CBE","Roxanne")&amp;IF($Z537=6," - Final"," - Day "&amp;MAX(0,NETWORKDAYS($AA537,TODAY(),Holidays)-1)&amp;" of "&amp;CHOOSE($Z537,3,3,2,2,3))&amp;" | Total Day "&amp;MAX(0,NETWORKDAYS($N537,TODAY(),Holidays)-1))</f>
        <v/>
      </c>
      <c r="X537" s="18"/>
      <c r="Y537" s="18"/>
      <c r="Z537" s="17">
        <f>IF($N537="","",COUNT($N537:$S537))</f>
        <v/>
      </c>
      <c r="AA537" s="19">
        <f>IF($Z537="","",INT(INDEX($N537:$S537,$Z537)))</f>
        <v/>
      </c>
      <c r="AB537" s="19">
        <f>IF(OR($Z537="",$Z537=6),"",WORKDAY($AA537,CHOOSE($Z537,3,3,2,2,3),Holidays))</f>
        <v/>
      </c>
      <c r="AC537" s="17">
        <f>IF(OR($Z537="",$Z537=6),"",CHOOSE($Z537,"1st Email Follow-up","2nd Email Follow-up","Escalate Local Office","Escalate to CBE","Escalate to Roxanne"))</f>
        <v/>
      </c>
    </row>
    <row r="538" spans="13:29">
      <c r="M538" s="14"/>
      <c r="T538" s="16"/>
      <c r="U538" s="17">
        <f>IF(AND(COUNTA($A538:$L538)=0,$N538=""),"",IF($T538="Paid","PAID",IF($T538="Closed","CLOSED",IF($Z538="","",IF($Z538=6,"ESCALATED TO ROXANNE",IF(TODAY()&gt;$AB538,"OVERDUE",IF($AB538&lt;=WORKDAY(TODAY(),1,Holidays),"DUE TOMORROW",IF($Z538=4,"ESCALATED TO LOCAL OFFICE",IF($Z538=5,"ESCALATED TO CBE",IF($AA538=TODAY(),"EMAIL SENT","MONITORING"))))))))))</f>
        <v/>
      </c>
      <c r="V538" s="17">
        <f>IF($U538="",IF(AND(COUNTA($A538:$L538)&gt;0,$N538=""),"Awaiting Collection Email time stamp.",""),IF(OR($U538="PAID",$U538="CLOSED"),IF($U538="PAID","Account paid. Action completed.","Account closed. No further action required."),CHOOSE($Z538,"Collection Email","1st Email Follow-up","2nd Email Follow-up","Escalation to Local Office","Escalation to CBE","Escalation to Roxanne")&amp;" sent "&amp;TEXT($AA538,"dd-mmm")&amp;". "&amp;IF($Z538=6,"Final escalation completed.",IF($U538="OVERDUE","Next: "&amp;$AC538&amp;" was due "&amp;TEXT($AB538,"dd-mmm")&amp;" - "&amp;(NETWORKDAYS($AB538,TODAY(),Holidays)-1)&amp;" business day(s) late. Send now.",IF($U538="DUE TOMORROW","Next: "&amp;$AC538&amp;IF($AB538&lt;=TODAY()," is due TODAY ("," is due next business day (")&amp;TEXT($AB538,"dd-mmm")&amp;").","Next: "&amp;$AC538&amp;" due "&amp;TEXT($AB538,"dd-mmm")&amp;" ("&amp;(NETWORKDAYS(TODAY(),$AB538,Holidays)-1)&amp;" business day(s) left).")))))</f>
        <v/>
      </c>
      <c r="W538" s="17">
        <f>IF($Z538="","",CHOOSE($Z538,"Collection Email","1st Follow-up","2nd Follow-up","Local Office","CBE","Roxanne")&amp;IF($Z538=6," - Final"," - Day "&amp;MAX(0,NETWORKDAYS($AA538,TODAY(),Holidays)-1)&amp;" of "&amp;CHOOSE($Z538,3,3,2,2,3))&amp;" | Total Day "&amp;MAX(0,NETWORKDAYS($N538,TODAY(),Holidays)-1))</f>
        <v/>
      </c>
      <c r="X538" s="18"/>
      <c r="Y538" s="18"/>
      <c r="Z538" s="17">
        <f>IF($N538="","",COUNT($N538:$S538))</f>
        <v/>
      </c>
      <c r="AA538" s="19">
        <f>IF($Z538="","",INT(INDEX($N538:$S538,$Z538)))</f>
        <v/>
      </c>
      <c r="AB538" s="19">
        <f>IF(OR($Z538="",$Z538=6),"",WORKDAY($AA538,CHOOSE($Z538,3,3,2,2,3),Holidays))</f>
        <v/>
      </c>
      <c r="AC538" s="17">
        <f>IF(OR($Z538="",$Z538=6),"",CHOOSE($Z538,"1st Email Follow-up","2nd Email Follow-up","Escalate Local Office","Escalate to CBE","Escalate to Roxanne"))</f>
        <v/>
      </c>
    </row>
    <row r="539" spans="13:29">
      <c r="M539" s="14"/>
      <c r="T539" s="16"/>
      <c r="U539" s="17">
        <f>IF(AND(COUNTA($A539:$L539)=0,$N539=""),"",IF($T539="Paid","PAID",IF($T539="Closed","CLOSED",IF($Z539="","",IF($Z539=6,"ESCALATED TO ROXANNE",IF(TODAY()&gt;$AB539,"OVERDUE",IF($AB539&lt;=WORKDAY(TODAY(),1,Holidays),"DUE TOMORROW",IF($Z539=4,"ESCALATED TO LOCAL OFFICE",IF($Z539=5,"ESCALATED TO CBE",IF($AA539=TODAY(),"EMAIL SENT","MONITORING"))))))))))</f>
        <v/>
      </c>
      <c r="V539" s="17">
        <f>IF($U539="",IF(AND(COUNTA($A539:$L539)&gt;0,$N539=""),"Awaiting Collection Email time stamp.",""),IF(OR($U539="PAID",$U539="CLOSED"),IF($U539="PAID","Account paid. Action completed.","Account closed. No further action required."),CHOOSE($Z539,"Collection Email","1st Email Follow-up","2nd Email Follow-up","Escalation to Local Office","Escalation to CBE","Escalation to Roxanne")&amp;" sent "&amp;TEXT($AA539,"dd-mmm")&amp;". "&amp;IF($Z539=6,"Final escalation completed.",IF($U539="OVERDUE","Next: "&amp;$AC539&amp;" was due "&amp;TEXT($AB539,"dd-mmm")&amp;" - "&amp;(NETWORKDAYS($AB539,TODAY(),Holidays)-1)&amp;" business day(s) late. Send now.",IF($U539="DUE TOMORROW","Next: "&amp;$AC539&amp;IF($AB539&lt;=TODAY()," is due TODAY ("," is due next business day (")&amp;TEXT($AB539,"dd-mmm")&amp;").","Next: "&amp;$AC539&amp;" due "&amp;TEXT($AB539,"dd-mmm")&amp;" ("&amp;(NETWORKDAYS(TODAY(),$AB539,Holidays)-1)&amp;" business day(s) left).")))))</f>
        <v/>
      </c>
      <c r="W539" s="17">
        <f>IF($Z539="","",CHOOSE($Z539,"Collection Email","1st Follow-up","2nd Follow-up","Local Office","CBE","Roxanne")&amp;IF($Z539=6," - Final"," - Day "&amp;MAX(0,NETWORKDAYS($AA539,TODAY(),Holidays)-1)&amp;" of "&amp;CHOOSE($Z539,3,3,2,2,3))&amp;" | Total Day "&amp;MAX(0,NETWORKDAYS($N539,TODAY(),Holidays)-1))</f>
        <v/>
      </c>
      <c r="X539" s="18"/>
      <c r="Y539" s="18"/>
      <c r="Z539" s="17">
        <f>IF($N539="","",COUNT($N539:$S539))</f>
        <v/>
      </c>
      <c r="AA539" s="19">
        <f>IF($Z539="","",INT(INDEX($N539:$S539,$Z539)))</f>
        <v/>
      </c>
      <c r="AB539" s="19">
        <f>IF(OR($Z539="",$Z539=6),"",WORKDAY($AA539,CHOOSE($Z539,3,3,2,2,3),Holidays))</f>
        <v/>
      </c>
      <c r="AC539" s="17">
        <f>IF(OR($Z539="",$Z539=6),"",CHOOSE($Z539,"1st Email Follow-up","2nd Email Follow-up","Escalate Local Office","Escalate to CBE","Escalate to Roxanne"))</f>
        <v/>
      </c>
    </row>
    <row r="540" spans="13:29">
      <c r="M540" s="14"/>
      <c r="T540" s="16"/>
      <c r="U540" s="17">
        <f>IF(AND(COUNTA($A540:$L540)=0,$N540=""),"",IF($T540="Paid","PAID",IF($T540="Closed","CLOSED",IF($Z540="","",IF($Z540=6,"ESCALATED TO ROXANNE",IF(TODAY()&gt;$AB540,"OVERDUE",IF($AB540&lt;=WORKDAY(TODAY(),1,Holidays),"DUE TOMORROW",IF($Z540=4,"ESCALATED TO LOCAL OFFICE",IF($Z540=5,"ESCALATED TO CBE",IF($AA540=TODAY(),"EMAIL SENT","MONITORING"))))))))))</f>
        <v/>
      </c>
      <c r="V540" s="17">
        <f>IF($U540="",IF(AND(COUNTA($A540:$L540)&gt;0,$N540=""),"Awaiting Collection Email time stamp.",""),IF(OR($U540="PAID",$U540="CLOSED"),IF($U540="PAID","Account paid. Action completed.","Account closed. No further action required."),CHOOSE($Z540,"Collection Email","1st Email Follow-up","2nd Email Follow-up","Escalation to Local Office","Escalation to CBE","Escalation to Roxanne")&amp;" sent "&amp;TEXT($AA540,"dd-mmm")&amp;". "&amp;IF($Z540=6,"Final escalation completed.",IF($U540="OVERDUE","Next: "&amp;$AC540&amp;" was due "&amp;TEXT($AB540,"dd-mmm")&amp;" - "&amp;(NETWORKDAYS($AB540,TODAY(),Holidays)-1)&amp;" business day(s) late. Send now.",IF($U540="DUE TOMORROW","Next: "&amp;$AC540&amp;IF($AB540&lt;=TODAY()," is due TODAY ("," is due next business day (")&amp;TEXT($AB540,"dd-mmm")&amp;").","Next: "&amp;$AC540&amp;" due "&amp;TEXT($AB540,"dd-mmm")&amp;" ("&amp;(NETWORKDAYS(TODAY(),$AB540,Holidays)-1)&amp;" business day(s) left).")))))</f>
        <v/>
      </c>
      <c r="W540" s="17">
        <f>IF($Z540="","",CHOOSE($Z540,"Collection Email","1st Follow-up","2nd Follow-up","Local Office","CBE","Roxanne")&amp;IF($Z540=6," - Final"," - Day "&amp;MAX(0,NETWORKDAYS($AA540,TODAY(),Holidays)-1)&amp;" of "&amp;CHOOSE($Z540,3,3,2,2,3))&amp;" | Total Day "&amp;MAX(0,NETWORKDAYS($N540,TODAY(),Holidays)-1))</f>
        <v/>
      </c>
      <c r="X540" s="18"/>
      <c r="Y540" s="18"/>
      <c r="Z540" s="17">
        <f>IF($N540="","",COUNT($N540:$S540))</f>
        <v/>
      </c>
      <c r="AA540" s="19">
        <f>IF($Z540="","",INT(INDEX($N540:$S540,$Z540)))</f>
        <v/>
      </c>
      <c r="AB540" s="19">
        <f>IF(OR($Z540="",$Z540=6),"",WORKDAY($AA540,CHOOSE($Z540,3,3,2,2,3),Holidays))</f>
        <v/>
      </c>
      <c r="AC540" s="17">
        <f>IF(OR($Z540="",$Z540=6),"",CHOOSE($Z540,"1st Email Follow-up","2nd Email Follow-up","Escalate Local Office","Escalate to CBE","Escalate to Roxanne"))</f>
        <v/>
      </c>
    </row>
    <row r="541" spans="13:29">
      <c r="M541" s="14"/>
      <c r="T541" s="16"/>
      <c r="U541" s="17">
        <f>IF(AND(COUNTA($A541:$L541)=0,$N541=""),"",IF($T541="Paid","PAID",IF($T541="Closed","CLOSED",IF($Z541="","",IF($Z541=6,"ESCALATED TO ROXANNE",IF(TODAY()&gt;$AB541,"OVERDUE",IF($AB541&lt;=WORKDAY(TODAY(),1,Holidays),"DUE TOMORROW",IF($Z541=4,"ESCALATED TO LOCAL OFFICE",IF($Z541=5,"ESCALATED TO CBE",IF($AA541=TODAY(),"EMAIL SENT","MONITORING"))))))))))</f>
        <v/>
      </c>
      <c r="V541" s="17">
        <f>IF($U541="",IF(AND(COUNTA($A541:$L541)&gt;0,$N541=""),"Awaiting Collection Email time stamp.",""),IF(OR($U541="PAID",$U541="CLOSED"),IF($U541="PAID","Account paid. Action completed.","Account closed. No further action required."),CHOOSE($Z541,"Collection Email","1st Email Follow-up","2nd Email Follow-up","Escalation to Local Office","Escalation to CBE","Escalation to Roxanne")&amp;" sent "&amp;TEXT($AA541,"dd-mmm")&amp;". "&amp;IF($Z541=6,"Final escalation completed.",IF($U541="OVERDUE","Next: "&amp;$AC541&amp;" was due "&amp;TEXT($AB541,"dd-mmm")&amp;" - "&amp;(NETWORKDAYS($AB541,TODAY(),Holidays)-1)&amp;" business day(s) late. Send now.",IF($U541="DUE TOMORROW","Next: "&amp;$AC541&amp;IF($AB541&lt;=TODAY()," is due TODAY ("," is due next business day (")&amp;TEXT($AB541,"dd-mmm")&amp;").","Next: "&amp;$AC541&amp;" due "&amp;TEXT($AB541,"dd-mmm")&amp;" ("&amp;(NETWORKDAYS(TODAY(),$AB541,Holidays)-1)&amp;" business day(s) left).")))))</f>
        <v/>
      </c>
      <c r="W541" s="17">
        <f>IF($Z541="","",CHOOSE($Z541,"Collection Email","1st Follow-up","2nd Follow-up","Local Office","CBE","Roxanne")&amp;IF($Z541=6," - Final"," - Day "&amp;MAX(0,NETWORKDAYS($AA541,TODAY(),Holidays)-1)&amp;" of "&amp;CHOOSE($Z541,3,3,2,2,3))&amp;" | Total Day "&amp;MAX(0,NETWORKDAYS($N541,TODAY(),Holidays)-1))</f>
        <v/>
      </c>
      <c r="X541" s="18"/>
      <c r="Y541" s="18"/>
      <c r="Z541" s="17">
        <f>IF($N541="","",COUNT($N541:$S541))</f>
        <v/>
      </c>
      <c r="AA541" s="19">
        <f>IF($Z541="","",INT(INDEX($N541:$S541,$Z541)))</f>
        <v/>
      </c>
      <c r="AB541" s="19">
        <f>IF(OR($Z541="",$Z541=6),"",WORKDAY($AA541,CHOOSE($Z541,3,3,2,2,3),Holidays))</f>
        <v/>
      </c>
      <c r="AC541" s="17">
        <f>IF(OR($Z541="",$Z541=6),"",CHOOSE($Z541,"1st Email Follow-up","2nd Email Follow-up","Escalate Local Office","Escalate to CBE","Escalate to Roxanne"))</f>
        <v/>
      </c>
    </row>
    <row r="542" spans="13:29">
      <c r="M542" s="14"/>
      <c r="T542" s="16"/>
      <c r="U542" s="17">
        <f>IF(AND(COUNTA($A542:$L542)=0,$N542=""),"",IF($T542="Paid","PAID",IF($T542="Closed","CLOSED",IF($Z542="","",IF($Z542=6,"ESCALATED TO ROXANNE",IF(TODAY()&gt;$AB542,"OVERDUE",IF($AB542&lt;=WORKDAY(TODAY(),1,Holidays),"DUE TOMORROW",IF($Z542=4,"ESCALATED TO LOCAL OFFICE",IF($Z542=5,"ESCALATED TO CBE",IF($AA542=TODAY(),"EMAIL SENT","MONITORING"))))))))))</f>
        <v/>
      </c>
      <c r="V542" s="17">
        <f>IF($U542="",IF(AND(COUNTA($A542:$L542)&gt;0,$N542=""),"Awaiting Collection Email time stamp.",""),IF(OR($U542="PAID",$U542="CLOSED"),IF($U542="PAID","Account paid. Action completed.","Account closed. No further action required."),CHOOSE($Z542,"Collection Email","1st Email Follow-up","2nd Email Follow-up","Escalation to Local Office","Escalation to CBE","Escalation to Roxanne")&amp;" sent "&amp;TEXT($AA542,"dd-mmm")&amp;". "&amp;IF($Z542=6,"Final escalation completed.",IF($U542="OVERDUE","Next: "&amp;$AC542&amp;" was due "&amp;TEXT($AB542,"dd-mmm")&amp;" - "&amp;(NETWORKDAYS($AB542,TODAY(),Holidays)-1)&amp;" business day(s) late. Send now.",IF($U542="DUE TOMORROW","Next: "&amp;$AC542&amp;IF($AB542&lt;=TODAY()," is due TODAY ("," is due next business day (")&amp;TEXT($AB542,"dd-mmm")&amp;").","Next: "&amp;$AC542&amp;" due "&amp;TEXT($AB542,"dd-mmm")&amp;" ("&amp;(NETWORKDAYS(TODAY(),$AB542,Holidays)-1)&amp;" business day(s) left).")))))</f>
        <v/>
      </c>
      <c r="W542" s="17">
        <f>IF($Z542="","",CHOOSE($Z542,"Collection Email","1st Follow-up","2nd Follow-up","Local Office","CBE","Roxanne")&amp;IF($Z542=6," - Final"," - Day "&amp;MAX(0,NETWORKDAYS($AA542,TODAY(),Holidays)-1)&amp;" of "&amp;CHOOSE($Z542,3,3,2,2,3))&amp;" | Total Day "&amp;MAX(0,NETWORKDAYS($N542,TODAY(),Holidays)-1))</f>
        <v/>
      </c>
      <c r="X542" s="18"/>
      <c r="Y542" s="18"/>
      <c r="Z542" s="17">
        <f>IF($N542="","",COUNT($N542:$S542))</f>
        <v/>
      </c>
      <c r="AA542" s="19">
        <f>IF($Z542="","",INT(INDEX($N542:$S542,$Z542)))</f>
        <v/>
      </c>
      <c r="AB542" s="19">
        <f>IF(OR($Z542="",$Z542=6),"",WORKDAY($AA542,CHOOSE($Z542,3,3,2,2,3),Holidays))</f>
        <v/>
      </c>
      <c r="AC542" s="17">
        <f>IF(OR($Z542="",$Z542=6),"",CHOOSE($Z542,"1st Email Follow-up","2nd Email Follow-up","Escalate Local Office","Escalate to CBE","Escalate to Roxanne"))</f>
        <v/>
      </c>
    </row>
    <row r="543" spans="13:29">
      <c r="M543" s="14"/>
      <c r="T543" s="16"/>
      <c r="U543" s="17">
        <f>IF(AND(COUNTA($A543:$L543)=0,$N543=""),"",IF($T543="Paid","PAID",IF($T543="Closed","CLOSED",IF($Z543="","",IF($Z543=6,"ESCALATED TO ROXANNE",IF(TODAY()&gt;$AB543,"OVERDUE",IF($AB543&lt;=WORKDAY(TODAY(),1,Holidays),"DUE TOMORROW",IF($Z543=4,"ESCALATED TO LOCAL OFFICE",IF($Z543=5,"ESCALATED TO CBE",IF($AA543=TODAY(),"EMAIL SENT","MONITORING"))))))))))</f>
        <v/>
      </c>
      <c r="V543" s="17">
        <f>IF($U543="",IF(AND(COUNTA($A543:$L543)&gt;0,$N543=""),"Awaiting Collection Email time stamp.",""),IF(OR($U543="PAID",$U543="CLOSED"),IF($U543="PAID","Account paid. Action completed.","Account closed. No further action required."),CHOOSE($Z543,"Collection Email","1st Email Follow-up","2nd Email Follow-up","Escalation to Local Office","Escalation to CBE","Escalation to Roxanne")&amp;" sent "&amp;TEXT($AA543,"dd-mmm")&amp;". "&amp;IF($Z543=6,"Final escalation completed.",IF($U543="OVERDUE","Next: "&amp;$AC543&amp;" was due "&amp;TEXT($AB543,"dd-mmm")&amp;" - "&amp;(NETWORKDAYS($AB543,TODAY(),Holidays)-1)&amp;" business day(s) late. Send now.",IF($U543="DUE TOMORROW","Next: "&amp;$AC543&amp;IF($AB543&lt;=TODAY()," is due TODAY ("," is due next business day (")&amp;TEXT($AB543,"dd-mmm")&amp;").","Next: "&amp;$AC543&amp;" due "&amp;TEXT($AB543,"dd-mmm")&amp;" ("&amp;(NETWORKDAYS(TODAY(),$AB543,Holidays)-1)&amp;" business day(s) left).")))))</f>
        <v/>
      </c>
      <c r="W543" s="17">
        <f>IF($Z543="","",CHOOSE($Z543,"Collection Email","1st Follow-up","2nd Follow-up","Local Office","CBE","Roxanne")&amp;IF($Z543=6," - Final"," - Day "&amp;MAX(0,NETWORKDAYS($AA543,TODAY(),Holidays)-1)&amp;" of "&amp;CHOOSE($Z543,3,3,2,2,3))&amp;" | Total Day "&amp;MAX(0,NETWORKDAYS($N543,TODAY(),Holidays)-1))</f>
        <v/>
      </c>
      <c r="X543" s="18"/>
      <c r="Y543" s="18"/>
      <c r="Z543" s="17">
        <f>IF($N543="","",COUNT($N543:$S543))</f>
        <v/>
      </c>
      <c r="AA543" s="19">
        <f>IF($Z543="","",INT(INDEX($N543:$S543,$Z543)))</f>
        <v/>
      </c>
      <c r="AB543" s="19">
        <f>IF(OR($Z543="",$Z543=6),"",WORKDAY($AA543,CHOOSE($Z543,3,3,2,2,3),Holidays))</f>
        <v/>
      </c>
      <c r="AC543" s="17">
        <f>IF(OR($Z543="",$Z543=6),"",CHOOSE($Z543,"1st Email Follow-up","2nd Email Follow-up","Escalate Local Office","Escalate to CBE","Escalate to Roxanne"))</f>
        <v/>
      </c>
    </row>
    <row r="544" spans="13:29">
      <c r="M544" s="14"/>
      <c r="T544" s="16"/>
      <c r="U544" s="17">
        <f>IF(AND(COUNTA($A544:$L544)=0,$N544=""),"",IF($T544="Paid","PAID",IF($T544="Closed","CLOSED",IF($Z544="","",IF($Z544=6,"ESCALATED TO ROXANNE",IF(TODAY()&gt;$AB544,"OVERDUE",IF($AB544&lt;=WORKDAY(TODAY(),1,Holidays),"DUE TOMORROW",IF($Z544=4,"ESCALATED TO LOCAL OFFICE",IF($Z544=5,"ESCALATED TO CBE",IF($AA544=TODAY(),"EMAIL SENT","MONITORING"))))))))))</f>
        <v/>
      </c>
      <c r="V544" s="17">
        <f>IF($U544="",IF(AND(COUNTA($A544:$L544)&gt;0,$N544=""),"Awaiting Collection Email time stamp.",""),IF(OR($U544="PAID",$U544="CLOSED"),IF($U544="PAID","Account paid. Action completed.","Account closed. No further action required."),CHOOSE($Z544,"Collection Email","1st Email Follow-up","2nd Email Follow-up","Escalation to Local Office","Escalation to CBE","Escalation to Roxanne")&amp;" sent "&amp;TEXT($AA544,"dd-mmm")&amp;". "&amp;IF($Z544=6,"Final escalation completed.",IF($U544="OVERDUE","Next: "&amp;$AC544&amp;" was due "&amp;TEXT($AB544,"dd-mmm")&amp;" - "&amp;(NETWORKDAYS($AB544,TODAY(),Holidays)-1)&amp;" business day(s) late. Send now.",IF($U544="DUE TOMORROW","Next: "&amp;$AC544&amp;IF($AB544&lt;=TODAY()," is due TODAY ("," is due next business day (")&amp;TEXT($AB544,"dd-mmm")&amp;").","Next: "&amp;$AC544&amp;" due "&amp;TEXT($AB544,"dd-mmm")&amp;" ("&amp;(NETWORKDAYS(TODAY(),$AB544,Holidays)-1)&amp;" business day(s) left).")))))</f>
        <v/>
      </c>
      <c r="W544" s="17">
        <f>IF($Z544="","",CHOOSE($Z544,"Collection Email","1st Follow-up","2nd Follow-up","Local Office","CBE","Roxanne")&amp;IF($Z544=6," - Final"," - Day "&amp;MAX(0,NETWORKDAYS($AA544,TODAY(),Holidays)-1)&amp;" of "&amp;CHOOSE($Z544,3,3,2,2,3))&amp;" | Total Day "&amp;MAX(0,NETWORKDAYS($N544,TODAY(),Holidays)-1))</f>
        <v/>
      </c>
      <c r="X544" s="18"/>
      <c r="Y544" s="18"/>
      <c r="Z544" s="17">
        <f>IF($N544="","",COUNT($N544:$S544))</f>
        <v/>
      </c>
      <c r="AA544" s="19">
        <f>IF($Z544="","",INT(INDEX($N544:$S544,$Z544)))</f>
        <v/>
      </c>
      <c r="AB544" s="19">
        <f>IF(OR($Z544="",$Z544=6),"",WORKDAY($AA544,CHOOSE($Z544,3,3,2,2,3),Holidays))</f>
        <v/>
      </c>
      <c r="AC544" s="17">
        <f>IF(OR($Z544="",$Z544=6),"",CHOOSE($Z544,"1st Email Follow-up","2nd Email Follow-up","Escalate Local Office","Escalate to CBE","Escalate to Roxanne"))</f>
        <v/>
      </c>
    </row>
    <row r="545" spans="13:29">
      <c r="M545" s="14"/>
      <c r="T545" s="16"/>
      <c r="U545" s="17">
        <f>IF(AND(COUNTA($A545:$L545)=0,$N545=""),"",IF($T545="Paid","PAID",IF($T545="Closed","CLOSED",IF($Z545="","",IF($Z545=6,"ESCALATED TO ROXANNE",IF(TODAY()&gt;$AB545,"OVERDUE",IF($AB545&lt;=WORKDAY(TODAY(),1,Holidays),"DUE TOMORROW",IF($Z545=4,"ESCALATED TO LOCAL OFFICE",IF($Z545=5,"ESCALATED TO CBE",IF($AA545=TODAY(),"EMAIL SENT","MONITORING"))))))))))</f>
        <v/>
      </c>
      <c r="V545" s="17">
        <f>IF($U545="",IF(AND(COUNTA($A545:$L545)&gt;0,$N545=""),"Awaiting Collection Email time stamp.",""),IF(OR($U545="PAID",$U545="CLOSED"),IF($U545="PAID","Account paid. Action completed.","Account closed. No further action required."),CHOOSE($Z545,"Collection Email","1st Email Follow-up","2nd Email Follow-up","Escalation to Local Office","Escalation to CBE","Escalation to Roxanne")&amp;" sent "&amp;TEXT($AA545,"dd-mmm")&amp;". "&amp;IF($Z545=6,"Final escalation completed.",IF($U545="OVERDUE","Next: "&amp;$AC545&amp;" was due "&amp;TEXT($AB545,"dd-mmm")&amp;" - "&amp;(NETWORKDAYS($AB545,TODAY(),Holidays)-1)&amp;" business day(s) late. Send now.",IF($U545="DUE TOMORROW","Next: "&amp;$AC545&amp;IF($AB545&lt;=TODAY()," is due TODAY ("," is due next business day (")&amp;TEXT($AB545,"dd-mmm")&amp;").","Next: "&amp;$AC545&amp;" due "&amp;TEXT($AB545,"dd-mmm")&amp;" ("&amp;(NETWORKDAYS(TODAY(),$AB545,Holidays)-1)&amp;" business day(s) left).")))))</f>
        <v/>
      </c>
      <c r="W545" s="17">
        <f>IF($Z545="","",CHOOSE($Z545,"Collection Email","1st Follow-up","2nd Follow-up","Local Office","CBE","Roxanne")&amp;IF($Z545=6," - Final"," - Day "&amp;MAX(0,NETWORKDAYS($AA545,TODAY(),Holidays)-1)&amp;" of "&amp;CHOOSE($Z545,3,3,2,2,3))&amp;" | Total Day "&amp;MAX(0,NETWORKDAYS($N545,TODAY(),Holidays)-1))</f>
        <v/>
      </c>
      <c r="X545" s="18"/>
      <c r="Y545" s="18"/>
      <c r="Z545" s="17">
        <f>IF($N545="","",COUNT($N545:$S545))</f>
        <v/>
      </c>
      <c r="AA545" s="19">
        <f>IF($Z545="","",INT(INDEX($N545:$S545,$Z545)))</f>
        <v/>
      </c>
      <c r="AB545" s="19">
        <f>IF(OR($Z545="",$Z545=6),"",WORKDAY($AA545,CHOOSE($Z545,3,3,2,2,3),Holidays))</f>
        <v/>
      </c>
      <c r="AC545" s="17">
        <f>IF(OR($Z545="",$Z545=6),"",CHOOSE($Z545,"1st Email Follow-up","2nd Email Follow-up","Escalate Local Office","Escalate to CBE","Escalate to Roxanne"))</f>
        <v/>
      </c>
    </row>
    <row r="546" spans="13:29">
      <c r="M546" s="14"/>
      <c r="T546" s="16"/>
      <c r="U546" s="17">
        <f>IF(AND(COUNTA($A546:$L546)=0,$N546=""),"",IF($T546="Paid","PAID",IF($T546="Closed","CLOSED",IF($Z546="","",IF($Z546=6,"ESCALATED TO ROXANNE",IF(TODAY()&gt;$AB546,"OVERDUE",IF($AB546&lt;=WORKDAY(TODAY(),1,Holidays),"DUE TOMORROW",IF($Z546=4,"ESCALATED TO LOCAL OFFICE",IF($Z546=5,"ESCALATED TO CBE",IF($AA546=TODAY(),"EMAIL SENT","MONITORING"))))))))))</f>
        <v/>
      </c>
      <c r="V546" s="17">
        <f>IF($U546="",IF(AND(COUNTA($A546:$L546)&gt;0,$N546=""),"Awaiting Collection Email time stamp.",""),IF(OR($U546="PAID",$U546="CLOSED"),IF($U546="PAID","Account paid. Action completed.","Account closed. No further action required."),CHOOSE($Z546,"Collection Email","1st Email Follow-up","2nd Email Follow-up","Escalation to Local Office","Escalation to CBE","Escalation to Roxanne")&amp;" sent "&amp;TEXT($AA546,"dd-mmm")&amp;". "&amp;IF($Z546=6,"Final escalation completed.",IF($U546="OVERDUE","Next: "&amp;$AC546&amp;" was due "&amp;TEXT($AB546,"dd-mmm")&amp;" - "&amp;(NETWORKDAYS($AB546,TODAY(),Holidays)-1)&amp;" business day(s) late. Send now.",IF($U546="DUE TOMORROW","Next: "&amp;$AC546&amp;IF($AB546&lt;=TODAY()," is due TODAY ("," is due next business day (")&amp;TEXT($AB546,"dd-mmm")&amp;").","Next: "&amp;$AC546&amp;" due "&amp;TEXT($AB546,"dd-mmm")&amp;" ("&amp;(NETWORKDAYS(TODAY(),$AB546,Holidays)-1)&amp;" business day(s) left).")))))</f>
        <v/>
      </c>
      <c r="W546" s="17">
        <f>IF($Z546="","",CHOOSE($Z546,"Collection Email","1st Follow-up","2nd Follow-up","Local Office","CBE","Roxanne")&amp;IF($Z546=6," - Final"," - Day "&amp;MAX(0,NETWORKDAYS($AA546,TODAY(),Holidays)-1)&amp;" of "&amp;CHOOSE($Z546,3,3,2,2,3))&amp;" | Total Day "&amp;MAX(0,NETWORKDAYS($N546,TODAY(),Holidays)-1))</f>
        <v/>
      </c>
      <c r="X546" s="18"/>
      <c r="Y546" s="18"/>
      <c r="Z546" s="17">
        <f>IF($N546="","",COUNT($N546:$S546))</f>
        <v/>
      </c>
      <c r="AA546" s="19">
        <f>IF($Z546="","",INT(INDEX($N546:$S546,$Z546)))</f>
        <v/>
      </c>
      <c r="AB546" s="19">
        <f>IF(OR($Z546="",$Z546=6),"",WORKDAY($AA546,CHOOSE($Z546,3,3,2,2,3),Holidays))</f>
        <v/>
      </c>
      <c r="AC546" s="17">
        <f>IF(OR($Z546="",$Z546=6),"",CHOOSE($Z546,"1st Email Follow-up","2nd Email Follow-up","Escalate Local Office","Escalate to CBE","Escalate to Roxanne"))</f>
        <v/>
      </c>
    </row>
    <row r="547" spans="13:29">
      <c r="M547" s="14"/>
      <c r="T547" s="16"/>
      <c r="U547" s="17">
        <f>IF(AND(COUNTA($A547:$L547)=0,$N547=""),"",IF($T547="Paid","PAID",IF($T547="Closed","CLOSED",IF($Z547="","",IF($Z547=6,"ESCALATED TO ROXANNE",IF(TODAY()&gt;$AB547,"OVERDUE",IF($AB547&lt;=WORKDAY(TODAY(),1,Holidays),"DUE TOMORROW",IF($Z547=4,"ESCALATED TO LOCAL OFFICE",IF($Z547=5,"ESCALATED TO CBE",IF($AA547=TODAY(),"EMAIL SENT","MONITORING"))))))))))</f>
        <v/>
      </c>
      <c r="V547" s="17">
        <f>IF($U547="",IF(AND(COUNTA($A547:$L547)&gt;0,$N547=""),"Awaiting Collection Email time stamp.",""),IF(OR($U547="PAID",$U547="CLOSED"),IF($U547="PAID","Account paid. Action completed.","Account closed. No further action required."),CHOOSE($Z547,"Collection Email","1st Email Follow-up","2nd Email Follow-up","Escalation to Local Office","Escalation to CBE","Escalation to Roxanne")&amp;" sent "&amp;TEXT($AA547,"dd-mmm")&amp;". "&amp;IF($Z547=6,"Final escalation completed.",IF($U547="OVERDUE","Next: "&amp;$AC547&amp;" was due "&amp;TEXT($AB547,"dd-mmm")&amp;" - "&amp;(NETWORKDAYS($AB547,TODAY(),Holidays)-1)&amp;" business day(s) late. Send now.",IF($U547="DUE TOMORROW","Next: "&amp;$AC547&amp;IF($AB547&lt;=TODAY()," is due TODAY ("," is due next business day (")&amp;TEXT($AB547,"dd-mmm")&amp;").","Next: "&amp;$AC547&amp;" due "&amp;TEXT($AB547,"dd-mmm")&amp;" ("&amp;(NETWORKDAYS(TODAY(),$AB547,Holidays)-1)&amp;" business day(s) left).")))))</f>
        <v/>
      </c>
      <c r="W547" s="17">
        <f>IF($Z547="","",CHOOSE($Z547,"Collection Email","1st Follow-up","2nd Follow-up","Local Office","CBE","Roxanne")&amp;IF($Z547=6," - Final"," - Day "&amp;MAX(0,NETWORKDAYS($AA547,TODAY(),Holidays)-1)&amp;" of "&amp;CHOOSE($Z547,3,3,2,2,3))&amp;" | Total Day "&amp;MAX(0,NETWORKDAYS($N547,TODAY(),Holidays)-1))</f>
        <v/>
      </c>
      <c r="X547" s="18"/>
      <c r="Y547" s="18"/>
      <c r="Z547" s="17">
        <f>IF($N547="","",COUNT($N547:$S547))</f>
        <v/>
      </c>
      <c r="AA547" s="19">
        <f>IF($Z547="","",INT(INDEX($N547:$S547,$Z547)))</f>
        <v/>
      </c>
      <c r="AB547" s="19">
        <f>IF(OR($Z547="",$Z547=6),"",WORKDAY($AA547,CHOOSE($Z547,3,3,2,2,3),Holidays))</f>
        <v/>
      </c>
      <c r="AC547" s="17">
        <f>IF(OR($Z547="",$Z547=6),"",CHOOSE($Z547,"1st Email Follow-up","2nd Email Follow-up","Escalate Local Office","Escalate to CBE","Escalate to Roxanne"))</f>
        <v/>
      </c>
    </row>
    <row r="548" spans="13:29">
      <c r="M548" s="14"/>
      <c r="T548" s="16"/>
      <c r="U548" s="17">
        <f>IF(AND(COUNTA($A548:$L548)=0,$N548=""),"",IF($T548="Paid","PAID",IF($T548="Closed","CLOSED",IF($Z548="","",IF($Z548=6,"ESCALATED TO ROXANNE",IF(TODAY()&gt;$AB548,"OVERDUE",IF($AB548&lt;=WORKDAY(TODAY(),1,Holidays),"DUE TOMORROW",IF($Z548=4,"ESCALATED TO LOCAL OFFICE",IF($Z548=5,"ESCALATED TO CBE",IF($AA548=TODAY(),"EMAIL SENT","MONITORING"))))))))))</f>
        <v/>
      </c>
      <c r="V548" s="17">
        <f>IF($U548="",IF(AND(COUNTA($A548:$L548)&gt;0,$N548=""),"Awaiting Collection Email time stamp.",""),IF(OR($U548="PAID",$U548="CLOSED"),IF($U548="PAID","Account paid. Action completed.","Account closed. No further action required."),CHOOSE($Z548,"Collection Email","1st Email Follow-up","2nd Email Follow-up","Escalation to Local Office","Escalation to CBE","Escalation to Roxanne")&amp;" sent "&amp;TEXT($AA548,"dd-mmm")&amp;". "&amp;IF($Z548=6,"Final escalation completed.",IF($U548="OVERDUE","Next: "&amp;$AC548&amp;" was due "&amp;TEXT($AB548,"dd-mmm")&amp;" - "&amp;(NETWORKDAYS($AB548,TODAY(),Holidays)-1)&amp;" business day(s) late. Send now.",IF($U548="DUE TOMORROW","Next: "&amp;$AC548&amp;IF($AB548&lt;=TODAY()," is due TODAY ("," is due next business day (")&amp;TEXT($AB548,"dd-mmm")&amp;").","Next: "&amp;$AC548&amp;" due "&amp;TEXT($AB548,"dd-mmm")&amp;" ("&amp;(NETWORKDAYS(TODAY(),$AB548,Holidays)-1)&amp;" business day(s) left).")))))</f>
        <v/>
      </c>
      <c r="W548" s="17">
        <f>IF($Z548="","",CHOOSE($Z548,"Collection Email","1st Follow-up","2nd Follow-up","Local Office","CBE","Roxanne")&amp;IF($Z548=6," - Final"," - Day "&amp;MAX(0,NETWORKDAYS($AA548,TODAY(),Holidays)-1)&amp;" of "&amp;CHOOSE($Z548,3,3,2,2,3))&amp;" | Total Day "&amp;MAX(0,NETWORKDAYS($N548,TODAY(),Holidays)-1))</f>
        <v/>
      </c>
      <c r="X548" s="18"/>
      <c r="Y548" s="18"/>
      <c r="Z548" s="17">
        <f>IF($N548="","",COUNT($N548:$S548))</f>
        <v/>
      </c>
      <c r="AA548" s="19">
        <f>IF($Z548="","",INT(INDEX($N548:$S548,$Z548)))</f>
        <v/>
      </c>
      <c r="AB548" s="19">
        <f>IF(OR($Z548="",$Z548=6),"",WORKDAY($AA548,CHOOSE($Z548,3,3,2,2,3),Holidays))</f>
        <v/>
      </c>
      <c r="AC548" s="17">
        <f>IF(OR($Z548="",$Z548=6),"",CHOOSE($Z548,"1st Email Follow-up","2nd Email Follow-up","Escalate Local Office","Escalate to CBE","Escalate to Roxanne"))</f>
        <v/>
      </c>
    </row>
    <row r="549" spans="13:29">
      <c r="M549" s="14"/>
      <c r="T549" s="16"/>
      <c r="U549" s="17">
        <f>IF(AND(COUNTA($A549:$L549)=0,$N549=""),"",IF($T549="Paid","PAID",IF($T549="Closed","CLOSED",IF($Z549="","",IF($Z549=6,"ESCALATED TO ROXANNE",IF(TODAY()&gt;$AB549,"OVERDUE",IF($AB549&lt;=WORKDAY(TODAY(),1,Holidays),"DUE TOMORROW",IF($Z549=4,"ESCALATED TO LOCAL OFFICE",IF($Z549=5,"ESCALATED TO CBE",IF($AA549=TODAY(),"EMAIL SENT","MONITORING"))))))))))</f>
        <v/>
      </c>
      <c r="V549" s="17">
        <f>IF($U549="",IF(AND(COUNTA($A549:$L549)&gt;0,$N549=""),"Awaiting Collection Email time stamp.",""),IF(OR($U549="PAID",$U549="CLOSED"),IF($U549="PAID","Account paid. Action completed.","Account closed. No further action required."),CHOOSE($Z549,"Collection Email","1st Email Follow-up","2nd Email Follow-up","Escalation to Local Office","Escalation to CBE","Escalation to Roxanne")&amp;" sent "&amp;TEXT($AA549,"dd-mmm")&amp;". "&amp;IF($Z549=6,"Final escalation completed.",IF($U549="OVERDUE","Next: "&amp;$AC549&amp;" was due "&amp;TEXT($AB549,"dd-mmm")&amp;" - "&amp;(NETWORKDAYS($AB549,TODAY(),Holidays)-1)&amp;" business day(s) late. Send now.",IF($U549="DUE TOMORROW","Next: "&amp;$AC549&amp;IF($AB549&lt;=TODAY()," is due TODAY ("," is due next business day (")&amp;TEXT($AB549,"dd-mmm")&amp;").","Next: "&amp;$AC549&amp;" due "&amp;TEXT($AB549,"dd-mmm")&amp;" ("&amp;(NETWORKDAYS(TODAY(),$AB549,Holidays)-1)&amp;" business day(s) left).")))))</f>
        <v/>
      </c>
      <c r="W549" s="17">
        <f>IF($Z549="","",CHOOSE($Z549,"Collection Email","1st Follow-up","2nd Follow-up","Local Office","CBE","Roxanne")&amp;IF($Z549=6," - Final"," - Day "&amp;MAX(0,NETWORKDAYS($AA549,TODAY(),Holidays)-1)&amp;" of "&amp;CHOOSE($Z549,3,3,2,2,3))&amp;" | Total Day "&amp;MAX(0,NETWORKDAYS($N549,TODAY(),Holidays)-1))</f>
        <v/>
      </c>
      <c r="X549" s="18"/>
      <c r="Y549" s="18"/>
      <c r="Z549" s="17">
        <f>IF($N549="","",COUNT($N549:$S549))</f>
        <v/>
      </c>
      <c r="AA549" s="19">
        <f>IF($Z549="","",INT(INDEX($N549:$S549,$Z549)))</f>
        <v/>
      </c>
      <c r="AB549" s="19">
        <f>IF(OR($Z549="",$Z549=6),"",WORKDAY($AA549,CHOOSE($Z549,3,3,2,2,3),Holidays))</f>
        <v/>
      </c>
      <c r="AC549" s="17">
        <f>IF(OR($Z549="",$Z549=6),"",CHOOSE($Z549,"1st Email Follow-up","2nd Email Follow-up","Escalate Local Office","Escalate to CBE","Escalate to Roxanne"))</f>
        <v/>
      </c>
    </row>
    <row r="550" spans="13:29">
      <c r="M550" s="14"/>
      <c r="T550" s="16"/>
      <c r="U550" s="17">
        <f>IF(AND(COUNTA($A550:$L550)=0,$N550=""),"",IF($T550="Paid","PAID",IF($T550="Closed","CLOSED",IF($Z550="","",IF($Z550=6,"ESCALATED TO ROXANNE",IF(TODAY()&gt;$AB550,"OVERDUE",IF($AB550&lt;=WORKDAY(TODAY(),1,Holidays),"DUE TOMORROW",IF($Z550=4,"ESCALATED TO LOCAL OFFICE",IF($Z550=5,"ESCALATED TO CBE",IF($AA550=TODAY(),"EMAIL SENT","MONITORING"))))))))))</f>
        <v/>
      </c>
      <c r="V550" s="17">
        <f>IF($U550="",IF(AND(COUNTA($A550:$L550)&gt;0,$N550=""),"Awaiting Collection Email time stamp.",""),IF(OR($U550="PAID",$U550="CLOSED"),IF($U550="PAID","Account paid. Action completed.","Account closed. No further action required."),CHOOSE($Z550,"Collection Email","1st Email Follow-up","2nd Email Follow-up","Escalation to Local Office","Escalation to CBE","Escalation to Roxanne")&amp;" sent "&amp;TEXT($AA550,"dd-mmm")&amp;". "&amp;IF($Z550=6,"Final escalation completed.",IF($U550="OVERDUE","Next: "&amp;$AC550&amp;" was due "&amp;TEXT($AB550,"dd-mmm")&amp;" - "&amp;(NETWORKDAYS($AB550,TODAY(),Holidays)-1)&amp;" business day(s) late. Send now.",IF($U550="DUE TOMORROW","Next: "&amp;$AC550&amp;IF($AB550&lt;=TODAY()," is due TODAY ("," is due next business day (")&amp;TEXT($AB550,"dd-mmm")&amp;").","Next: "&amp;$AC550&amp;" due "&amp;TEXT($AB550,"dd-mmm")&amp;" ("&amp;(NETWORKDAYS(TODAY(),$AB550,Holidays)-1)&amp;" business day(s) left).")))))</f>
        <v/>
      </c>
      <c r="W550" s="17">
        <f>IF($Z550="","",CHOOSE($Z550,"Collection Email","1st Follow-up","2nd Follow-up","Local Office","CBE","Roxanne")&amp;IF($Z550=6," - Final"," - Day "&amp;MAX(0,NETWORKDAYS($AA550,TODAY(),Holidays)-1)&amp;" of "&amp;CHOOSE($Z550,3,3,2,2,3))&amp;" | Total Day "&amp;MAX(0,NETWORKDAYS($N550,TODAY(),Holidays)-1))</f>
        <v/>
      </c>
      <c r="X550" s="18"/>
      <c r="Y550" s="18"/>
      <c r="Z550" s="17">
        <f>IF($N550="","",COUNT($N550:$S550))</f>
        <v/>
      </c>
      <c r="AA550" s="19">
        <f>IF($Z550="","",INT(INDEX($N550:$S550,$Z550)))</f>
        <v/>
      </c>
      <c r="AB550" s="19">
        <f>IF(OR($Z550="",$Z550=6),"",WORKDAY($AA550,CHOOSE($Z550,3,3,2,2,3),Holidays))</f>
        <v/>
      </c>
      <c r="AC550" s="17">
        <f>IF(OR($Z550="",$Z550=6),"",CHOOSE($Z550,"1st Email Follow-up","2nd Email Follow-up","Escalate Local Office","Escalate to CBE","Escalate to Roxanne"))</f>
        <v/>
      </c>
    </row>
    <row r="551" spans="13:29">
      <c r="M551" s="14"/>
      <c r="T551" s="16"/>
      <c r="U551" s="17">
        <f>IF(AND(COUNTA($A551:$L551)=0,$N551=""),"",IF($T551="Paid","PAID",IF($T551="Closed","CLOSED",IF($Z551="","",IF($Z551=6,"ESCALATED TO ROXANNE",IF(TODAY()&gt;$AB551,"OVERDUE",IF($AB551&lt;=WORKDAY(TODAY(),1,Holidays),"DUE TOMORROW",IF($Z551=4,"ESCALATED TO LOCAL OFFICE",IF($Z551=5,"ESCALATED TO CBE",IF($AA551=TODAY(),"EMAIL SENT","MONITORING"))))))))))</f>
        <v/>
      </c>
      <c r="V551" s="17">
        <f>IF($U551="",IF(AND(COUNTA($A551:$L551)&gt;0,$N551=""),"Awaiting Collection Email time stamp.",""),IF(OR($U551="PAID",$U551="CLOSED"),IF($U551="PAID","Account paid. Action completed.","Account closed. No further action required."),CHOOSE($Z551,"Collection Email","1st Email Follow-up","2nd Email Follow-up","Escalation to Local Office","Escalation to CBE","Escalation to Roxanne")&amp;" sent "&amp;TEXT($AA551,"dd-mmm")&amp;". "&amp;IF($Z551=6,"Final escalation completed.",IF($U551="OVERDUE","Next: "&amp;$AC551&amp;" was due "&amp;TEXT($AB551,"dd-mmm")&amp;" - "&amp;(NETWORKDAYS($AB551,TODAY(),Holidays)-1)&amp;" business day(s) late. Send now.",IF($U551="DUE TOMORROW","Next: "&amp;$AC551&amp;IF($AB551&lt;=TODAY()," is due TODAY ("," is due next business day (")&amp;TEXT($AB551,"dd-mmm")&amp;").","Next: "&amp;$AC551&amp;" due "&amp;TEXT($AB551,"dd-mmm")&amp;" ("&amp;(NETWORKDAYS(TODAY(),$AB551,Holidays)-1)&amp;" business day(s) left).")))))</f>
        <v/>
      </c>
      <c r="W551" s="17">
        <f>IF($Z551="","",CHOOSE($Z551,"Collection Email","1st Follow-up","2nd Follow-up","Local Office","CBE","Roxanne")&amp;IF($Z551=6," - Final"," - Day "&amp;MAX(0,NETWORKDAYS($AA551,TODAY(),Holidays)-1)&amp;" of "&amp;CHOOSE($Z551,3,3,2,2,3))&amp;" | Total Day "&amp;MAX(0,NETWORKDAYS($N551,TODAY(),Holidays)-1))</f>
        <v/>
      </c>
      <c r="X551" s="18"/>
      <c r="Y551" s="18"/>
      <c r="Z551" s="17">
        <f>IF($N551="","",COUNT($N551:$S551))</f>
        <v/>
      </c>
      <c r="AA551" s="19">
        <f>IF($Z551="","",INT(INDEX($N551:$S551,$Z551)))</f>
        <v/>
      </c>
      <c r="AB551" s="19">
        <f>IF(OR($Z551="",$Z551=6),"",WORKDAY($AA551,CHOOSE($Z551,3,3,2,2,3),Holidays))</f>
        <v/>
      </c>
      <c r="AC551" s="17">
        <f>IF(OR($Z551="",$Z551=6),"",CHOOSE($Z551,"1st Email Follow-up","2nd Email Follow-up","Escalate Local Office","Escalate to CBE","Escalate to Roxanne"))</f>
        <v/>
      </c>
    </row>
    <row r="552" spans="13:29">
      <c r="M552" s="14"/>
      <c r="T552" s="16"/>
      <c r="U552" s="17">
        <f>IF(AND(COUNTA($A552:$L552)=0,$N552=""),"",IF($T552="Paid","PAID",IF($T552="Closed","CLOSED",IF($Z552="","",IF($Z552=6,"ESCALATED TO ROXANNE",IF(TODAY()&gt;$AB552,"OVERDUE",IF($AB552&lt;=WORKDAY(TODAY(),1,Holidays),"DUE TOMORROW",IF($Z552=4,"ESCALATED TO LOCAL OFFICE",IF($Z552=5,"ESCALATED TO CBE",IF($AA552=TODAY(),"EMAIL SENT","MONITORING"))))))))))</f>
        <v/>
      </c>
      <c r="V552" s="17">
        <f>IF($U552="",IF(AND(COUNTA($A552:$L552)&gt;0,$N552=""),"Awaiting Collection Email time stamp.",""),IF(OR($U552="PAID",$U552="CLOSED"),IF($U552="PAID","Account paid. Action completed.","Account closed. No further action required."),CHOOSE($Z552,"Collection Email","1st Email Follow-up","2nd Email Follow-up","Escalation to Local Office","Escalation to CBE","Escalation to Roxanne")&amp;" sent "&amp;TEXT($AA552,"dd-mmm")&amp;". "&amp;IF($Z552=6,"Final escalation completed.",IF($U552="OVERDUE","Next: "&amp;$AC552&amp;" was due "&amp;TEXT($AB552,"dd-mmm")&amp;" - "&amp;(NETWORKDAYS($AB552,TODAY(),Holidays)-1)&amp;" business day(s) late. Send now.",IF($U552="DUE TOMORROW","Next: "&amp;$AC552&amp;IF($AB552&lt;=TODAY()," is due TODAY ("," is due next business day (")&amp;TEXT($AB552,"dd-mmm")&amp;").","Next: "&amp;$AC552&amp;" due "&amp;TEXT($AB552,"dd-mmm")&amp;" ("&amp;(NETWORKDAYS(TODAY(),$AB552,Holidays)-1)&amp;" business day(s) left).")))))</f>
        <v/>
      </c>
      <c r="W552" s="17">
        <f>IF($Z552="","",CHOOSE($Z552,"Collection Email","1st Follow-up","2nd Follow-up","Local Office","CBE","Roxanne")&amp;IF($Z552=6," - Final"," - Day "&amp;MAX(0,NETWORKDAYS($AA552,TODAY(),Holidays)-1)&amp;" of "&amp;CHOOSE($Z552,3,3,2,2,3))&amp;" | Total Day "&amp;MAX(0,NETWORKDAYS($N552,TODAY(),Holidays)-1))</f>
        <v/>
      </c>
      <c r="X552" s="18"/>
      <c r="Y552" s="18"/>
      <c r="Z552" s="17">
        <f>IF($N552="","",COUNT($N552:$S552))</f>
        <v/>
      </c>
      <c r="AA552" s="19">
        <f>IF($Z552="","",INT(INDEX($N552:$S552,$Z552)))</f>
        <v/>
      </c>
      <c r="AB552" s="19">
        <f>IF(OR($Z552="",$Z552=6),"",WORKDAY($AA552,CHOOSE($Z552,3,3,2,2,3),Holidays))</f>
        <v/>
      </c>
      <c r="AC552" s="17">
        <f>IF(OR($Z552="",$Z552=6),"",CHOOSE($Z552,"1st Email Follow-up","2nd Email Follow-up","Escalate Local Office","Escalate to CBE","Escalate to Roxanne"))</f>
        <v/>
      </c>
    </row>
    <row r="553" spans="13:29">
      <c r="M553" s="14"/>
      <c r="T553" s="16"/>
      <c r="U553" s="17">
        <f>IF(AND(COUNTA($A553:$L553)=0,$N553=""),"",IF($T553="Paid","PAID",IF($T553="Closed","CLOSED",IF($Z553="","",IF($Z553=6,"ESCALATED TO ROXANNE",IF(TODAY()&gt;$AB553,"OVERDUE",IF($AB553&lt;=WORKDAY(TODAY(),1,Holidays),"DUE TOMORROW",IF($Z553=4,"ESCALATED TO LOCAL OFFICE",IF($Z553=5,"ESCALATED TO CBE",IF($AA553=TODAY(),"EMAIL SENT","MONITORING"))))))))))</f>
        <v/>
      </c>
      <c r="V553" s="17">
        <f>IF($U553="",IF(AND(COUNTA($A553:$L553)&gt;0,$N553=""),"Awaiting Collection Email time stamp.",""),IF(OR($U553="PAID",$U553="CLOSED"),IF($U553="PAID","Account paid. Action completed.","Account closed. No further action required."),CHOOSE($Z553,"Collection Email","1st Email Follow-up","2nd Email Follow-up","Escalation to Local Office","Escalation to CBE","Escalation to Roxanne")&amp;" sent "&amp;TEXT($AA553,"dd-mmm")&amp;". "&amp;IF($Z553=6,"Final escalation completed.",IF($U553="OVERDUE","Next: "&amp;$AC553&amp;" was due "&amp;TEXT($AB553,"dd-mmm")&amp;" - "&amp;(NETWORKDAYS($AB553,TODAY(),Holidays)-1)&amp;" business day(s) late. Send now.",IF($U553="DUE TOMORROW","Next: "&amp;$AC553&amp;IF($AB553&lt;=TODAY()," is due TODAY ("," is due next business day (")&amp;TEXT($AB553,"dd-mmm")&amp;").","Next: "&amp;$AC553&amp;" due "&amp;TEXT($AB553,"dd-mmm")&amp;" ("&amp;(NETWORKDAYS(TODAY(),$AB553,Holidays)-1)&amp;" business day(s) left).")))))</f>
        <v/>
      </c>
      <c r="W553" s="17">
        <f>IF($Z553="","",CHOOSE($Z553,"Collection Email","1st Follow-up","2nd Follow-up","Local Office","CBE","Roxanne")&amp;IF($Z553=6," - Final"," - Day "&amp;MAX(0,NETWORKDAYS($AA553,TODAY(),Holidays)-1)&amp;" of "&amp;CHOOSE($Z553,3,3,2,2,3))&amp;" | Total Day "&amp;MAX(0,NETWORKDAYS($N553,TODAY(),Holidays)-1))</f>
        <v/>
      </c>
      <c r="X553" s="18"/>
      <c r="Y553" s="18"/>
      <c r="Z553" s="17">
        <f>IF($N553="","",COUNT($N553:$S553))</f>
        <v/>
      </c>
      <c r="AA553" s="19">
        <f>IF($Z553="","",INT(INDEX($N553:$S553,$Z553)))</f>
        <v/>
      </c>
      <c r="AB553" s="19">
        <f>IF(OR($Z553="",$Z553=6),"",WORKDAY($AA553,CHOOSE($Z553,3,3,2,2,3),Holidays))</f>
        <v/>
      </c>
      <c r="AC553" s="17">
        <f>IF(OR($Z553="",$Z553=6),"",CHOOSE($Z553,"1st Email Follow-up","2nd Email Follow-up","Escalate Local Office","Escalate to CBE","Escalate to Roxanne"))</f>
        <v/>
      </c>
    </row>
    <row r="554" spans="13:29">
      <c r="M554" s="14"/>
      <c r="T554" s="16"/>
      <c r="U554" s="17">
        <f>IF(AND(COUNTA($A554:$L554)=0,$N554=""),"",IF($T554="Paid","PAID",IF($T554="Closed","CLOSED",IF($Z554="","",IF($Z554=6,"ESCALATED TO ROXANNE",IF(TODAY()&gt;$AB554,"OVERDUE",IF($AB554&lt;=WORKDAY(TODAY(),1,Holidays),"DUE TOMORROW",IF($Z554=4,"ESCALATED TO LOCAL OFFICE",IF($Z554=5,"ESCALATED TO CBE",IF($AA554=TODAY(),"EMAIL SENT","MONITORING"))))))))))</f>
        <v/>
      </c>
      <c r="V554" s="17">
        <f>IF($U554="",IF(AND(COUNTA($A554:$L554)&gt;0,$N554=""),"Awaiting Collection Email time stamp.",""),IF(OR($U554="PAID",$U554="CLOSED"),IF($U554="PAID","Account paid. Action completed.","Account closed. No further action required."),CHOOSE($Z554,"Collection Email","1st Email Follow-up","2nd Email Follow-up","Escalation to Local Office","Escalation to CBE","Escalation to Roxanne")&amp;" sent "&amp;TEXT($AA554,"dd-mmm")&amp;". "&amp;IF($Z554=6,"Final escalation completed.",IF($U554="OVERDUE","Next: "&amp;$AC554&amp;" was due "&amp;TEXT($AB554,"dd-mmm")&amp;" - "&amp;(NETWORKDAYS($AB554,TODAY(),Holidays)-1)&amp;" business day(s) late. Send now.",IF($U554="DUE TOMORROW","Next: "&amp;$AC554&amp;IF($AB554&lt;=TODAY()," is due TODAY ("," is due next business day (")&amp;TEXT($AB554,"dd-mmm")&amp;").","Next: "&amp;$AC554&amp;" due "&amp;TEXT($AB554,"dd-mmm")&amp;" ("&amp;(NETWORKDAYS(TODAY(),$AB554,Holidays)-1)&amp;" business day(s) left).")))))</f>
        <v/>
      </c>
      <c r="W554" s="17">
        <f>IF($Z554="","",CHOOSE($Z554,"Collection Email","1st Follow-up","2nd Follow-up","Local Office","CBE","Roxanne")&amp;IF($Z554=6," - Final"," - Day "&amp;MAX(0,NETWORKDAYS($AA554,TODAY(),Holidays)-1)&amp;" of "&amp;CHOOSE($Z554,3,3,2,2,3))&amp;" | Total Day "&amp;MAX(0,NETWORKDAYS($N554,TODAY(),Holidays)-1))</f>
        <v/>
      </c>
      <c r="X554" s="18"/>
      <c r="Y554" s="18"/>
      <c r="Z554" s="17">
        <f>IF($N554="","",COUNT($N554:$S554))</f>
        <v/>
      </c>
      <c r="AA554" s="19">
        <f>IF($Z554="","",INT(INDEX($N554:$S554,$Z554)))</f>
        <v/>
      </c>
      <c r="AB554" s="19">
        <f>IF(OR($Z554="",$Z554=6),"",WORKDAY($AA554,CHOOSE($Z554,3,3,2,2,3),Holidays))</f>
        <v/>
      </c>
      <c r="AC554" s="17">
        <f>IF(OR($Z554="",$Z554=6),"",CHOOSE($Z554,"1st Email Follow-up","2nd Email Follow-up","Escalate Local Office","Escalate to CBE","Escalate to Roxanne"))</f>
        <v/>
      </c>
    </row>
    <row r="555" spans="13:29">
      <c r="M555" s="14"/>
      <c r="T555" s="16"/>
      <c r="U555" s="17">
        <f>IF(AND(COUNTA($A555:$L555)=0,$N555=""),"",IF($T555="Paid","PAID",IF($T555="Closed","CLOSED",IF($Z555="","",IF($Z555=6,"ESCALATED TO ROXANNE",IF(TODAY()&gt;$AB555,"OVERDUE",IF($AB555&lt;=WORKDAY(TODAY(),1,Holidays),"DUE TOMORROW",IF($Z555=4,"ESCALATED TO LOCAL OFFICE",IF($Z555=5,"ESCALATED TO CBE",IF($AA555=TODAY(),"EMAIL SENT","MONITORING"))))))))))</f>
        <v/>
      </c>
      <c r="V555" s="17">
        <f>IF($U555="",IF(AND(COUNTA($A555:$L555)&gt;0,$N555=""),"Awaiting Collection Email time stamp.",""),IF(OR($U555="PAID",$U555="CLOSED"),IF($U555="PAID","Account paid. Action completed.","Account closed. No further action required."),CHOOSE($Z555,"Collection Email","1st Email Follow-up","2nd Email Follow-up","Escalation to Local Office","Escalation to CBE","Escalation to Roxanne")&amp;" sent "&amp;TEXT($AA555,"dd-mmm")&amp;". "&amp;IF($Z555=6,"Final escalation completed.",IF($U555="OVERDUE","Next: "&amp;$AC555&amp;" was due "&amp;TEXT($AB555,"dd-mmm")&amp;" - "&amp;(NETWORKDAYS($AB555,TODAY(),Holidays)-1)&amp;" business day(s) late. Send now.",IF($U555="DUE TOMORROW","Next: "&amp;$AC555&amp;IF($AB555&lt;=TODAY()," is due TODAY ("," is due next business day (")&amp;TEXT($AB555,"dd-mmm")&amp;").","Next: "&amp;$AC555&amp;" due "&amp;TEXT($AB555,"dd-mmm")&amp;" ("&amp;(NETWORKDAYS(TODAY(),$AB555,Holidays)-1)&amp;" business day(s) left).")))))</f>
        <v/>
      </c>
      <c r="W555" s="17">
        <f>IF($Z555="","",CHOOSE($Z555,"Collection Email","1st Follow-up","2nd Follow-up","Local Office","CBE","Roxanne")&amp;IF($Z555=6," - Final"," - Day "&amp;MAX(0,NETWORKDAYS($AA555,TODAY(),Holidays)-1)&amp;" of "&amp;CHOOSE($Z555,3,3,2,2,3))&amp;" | Total Day "&amp;MAX(0,NETWORKDAYS($N555,TODAY(),Holidays)-1))</f>
        <v/>
      </c>
      <c r="X555" s="18"/>
      <c r="Y555" s="18"/>
      <c r="Z555" s="17">
        <f>IF($N555="","",COUNT($N555:$S555))</f>
        <v/>
      </c>
      <c r="AA555" s="19">
        <f>IF($Z555="","",INT(INDEX($N555:$S555,$Z555)))</f>
        <v/>
      </c>
      <c r="AB555" s="19">
        <f>IF(OR($Z555="",$Z555=6),"",WORKDAY($AA555,CHOOSE($Z555,3,3,2,2,3),Holidays))</f>
        <v/>
      </c>
      <c r="AC555" s="17">
        <f>IF(OR($Z555="",$Z555=6),"",CHOOSE($Z555,"1st Email Follow-up","2nd Email Follow-up","Escalate Local Office","Escalate to CBE","Escalate to Roxanne"))</f>
        <v/>
      </c>
    </row>
    <row r="556" spans="13:29">
      <c r="M556" s="14"/>
      <c r="T556" s="16"/>
      <c r="U556" s="17">
        <f>IF(AND(COUNTA($A556:$L556)=0,$N556=""),"",IF($T556="Paid","PAID",IF($T556="Closed","CLOSED",IF($Z556="","",IF($Z556=6,"ESCALATED TO ROXANNE",IF(TODAY()&gt;$AB556,"OVERDUE",IF($AB556&lt;=WORKDAY(TODAY(),1,Holidays),"DUE TOMORROW",IF($Z556=4,"ESCALATED TO LOCAL OFFICE",IF($Z556=5,"ESCALATED TO CBE",IF($AA556=TODAY(),"EMAIL SENT","MONITORING"))))))))))</f>
        <v/>
      </c>
      <c r="V556" s="17">
        <f>IF($U556="",IF(AND(COUNTA($A556:$L556)&gt;0,$N556=""),"Awaiting Collection Email time stamp.",""),IF(OR($U556="PAID",$U556="CLOSED"),IF($U556="PAID","Account paid. Action completed.","Account closed. No further action required."),CHOOSE($Z556,"Collection Email","1st Email Follow-up","2nd Email Follow-up","Escalation to Local Office","Escalation to CBE","Escalation to Roxanne")&amp;" sent "&amp;TEXT($AA556,"dd-mmm")&amp;". "&amp;IF($Z556=6,"Final escalation completed.",IF($U556="OVERDUE","Next: "&amp;$AC556&amp;" was due "&amp;TEXT($AB556,"dd-mmm")&amp;" - "&amp;(NETWORKDAYS($AB556,TODAY(),Holidays)-1)&amp;" business day(s) late. Send now.",IF($U556="DUE TOMORROW","Next: "&amp;$AC556&amp;IF($AB556&lt;=TODAY()," is due TODAY ("," is due next business day (")&amp;TEXT($AB556,"dd-mmm")&amp;").","Next: "&amp;$AC556&amp;" due "&amp;TEXT($AB556,"dd-mmm")&amp;" ("&amp;(NETWORKDAYS(TODAY(),$AB556,Holidays)-1)&amp;" business day(s) left).")))))</f>
        <v/>
      </c>
      <c r="W556" s="17">
        <f>IF($Z556="","",CHOOSE($Z556,"Collection Email","1st Follow-up","2nd Follow-up","Local Office","CBE","Roxanne")&amp;IF($Z556=6," - Final"," - Day "&amp;MAX(0,NETWORKDAYS($AA556,TODAY(),Holidays)-1)&amp;" of "&amp;CHOOSE($Z556,3,3,2,2,3))&amp;" | Total Day "&amp;MAX(0,NETWORKDAYS($N556,TODAY(),Holidays)-1))</f>
        <v/>
      </c>
      <c r="X556" s="18"/>
      <c r="Y556" s="18"/>
      <c r="Z556" s="17">
        <f>IF($N556="","",COUNT($N556:$S556))</f>
        <v/>
      </c>
      <c r="AA556" s="19">
        <f>IF($Z556="","",INT(INDEX($N556:$S556,$Z556)))</f>
        <v/>
      </c>
      <c r="AB556" s="19">
        <f>IF(OR($Z556="",$Z556=6),"",WORKDAY($AA556,CHOOSE($Z556,3,3,2,2,3),Holidays))</f>
        <v/>
      </c>
      <c r="AC556" s="17">
        <f>IF(OR($Z556="",$Z556=6),"",CHOOSE($Z556,"1st Email Follow-up","2nd Email Follow-up","Escalate Local Office","Escalate to CBE","Escalate to Roxanne"))</f>
        <v/>
      </c>
    </row>
    <row r="557" spans="13:29">
      <c r="M557" s="14"/>
      <c r="T557" s="16"/>
      <c r="U557" s="17">
        <f>IF(AND(COUNTA($A557:$L557)=0,$N557=""),"",IF($T557="Paid","PAID",IF($T557="Closed","CLOSED",IF($Z557="","",IF($Z557=6,"ESCALATED TO ROXANNE",IF(TODAY()&gt;$AB557,"OVERDUE",IF($AB557&lt;=WORKDAY(TODAY(),1,Holidays),"DUE TOMORROW",IF($Z557=4,"ESCALATED TO LOCAL OFFICE",IF($Z557=5,"ESCALATED TO CBE",IF($AA557=TODAY(),"EMAIL SENT","MONITORING"))))))))))</f>
        <v/>
      </c>
      <c r="V557" s="17">
        <f>IF($U557="",IF(AND(COUNTA($A557:$L557)&gt;0,$N557=""),"Awaiting Collection Email time stamp.",""),IF(OR($U557="PAID",$U557="CLOSED"),IF($U557="PAID","Account paid. Action completed.","Account closed. No further action required."),CHOOSE($Z557,"Collection Email","1st Email Follow-up","2nd Email Follow-up","Escalation to Local Office","Escalation to CBE","Escalation to Roxanne")&amp;" sent "&amp;TEXT($AA557,"dd-mmm")&amp;". "&amp;IF($Z557=6,"Final escalation completed.",IF($U557="OVERDUE","Next: "&amp;$AC557&amp;" was due "&amp;TEXT($AB557,"dd-mmm")&amp;" - "&amp;(NETWORKDAYS($AB557,TODAY(),Holidays)-1)&amp;" business day(s) late. Send now.",IF($U557="DUE TOMORROW","Next: "&amp;$AC557&amp;IF($AB557&lt;=TODAY()," is due TODAY ("," is due next business day (")&amp;TEXT($AB557,"dd-mmm")&amp;").","Next: "&amp;$AC557&amp;" due "&amp;TEXT($AB557,"dd-mmm")&amp;" ("&amp;(NETWORKDAYS(TODAY(),$AB557,Holidays)-1)&amp;" business day(s) left).")))))</f>
        <v/>
      </c>
      <c r="W557" s="17">
        <f>IF($Z557="","",CHOOSE($Z557,"Collection Email","1st Follow-up","2nd Follow-up","Local Office","CBE","Roxanne")&amp;IF($Z557=6," - Final"," - Day "&amp;MAX(0,NETWORKDAYS($AA557,TODAY(),Holidays)-1)&amp;" of "&amp;CHOOSE($Z557,3,3,2,2,3))&amp;" | Total Day "&amp;MAX(0,NETWORKDAYS($N557,TODAY(),Holidays)-1))</f>
        <v/>
      </c>
      <c r="X557" s="18"/>
      <c r="Y557" s="18"/>
      <c r="Z557" s="17">
        <f>IF($N557="","",COUNT($N557:$S557))</f>
        <v/>
      </c>
      <c r="AA557" s="19">
        <f>IF($Z557="","",INT(INDEX($N557:$S557,$Z557)))</f>
        <v/>
      </c>
      <c r="AB557" s="19">
        <f>IF(OR($Z557="",$Z557=6),"",WORKDAY($AA557,CHOOSE($Z557,3,3,2,2,3),Holidays))</f>
        <v/>
      </c>
      <c r="AC557" s="17">
        <f>IF(OR($Z557="",$Z557=6),"",CHOOSE($Z557,"1st Email Follow-up","2nd Email Follow-up","Escalate Local Office","Escalate to CBE","Escalate to Roxanne"))</f>
        <v/>
      </c>
    </row>
    <row r="558" spans="13:29">
      <c r="M558" s="14"/>
      <c r="T558" s="16"/>
      <c r="U558" s="17">
        <f>IF(AND(COUNTA($A558:$L558)=0,$N558=""),"",IF($T558="Paid","PAID",IF($T558="Closed","CLOSED",IF($Z558="","",IF($Z558=6,"ESCALATED TO ROXANNE",IF(TODAY()&gt;$AB558,"OVERDUE",IF($AB558&lt;=WORKDAY(TODAY(),1,Holidays),"DUE TOMORROW",IF($Z558=4,"ESCALATED TO LOCAL OFFICE",IF($Z558=5,"ESCALATED TO CBE",IF($AA558=TODAY(),"EMAIL SENT","MONITORING"))))))))))</f>
        <v/>
      </c>
      <c r="V558" s="17">
        <f>IF($U558="",IF(AND(COUNTA($A558:$L558)&gt;0,$N558=""),"Awaiting Collection Email time stamp.",""),IF(OR($U558="PAID",$U558="CLOSED"),IF($U558="PAID","Account paid. Action completed.","Account closed. No further action required."),CHOOSE($Z558,"Collection Email","1st Email Follow-up","2nd Email Follow-up","Escalation to Local Office","Escalation to CBE","Escalation to Roxanne")&amp;" sent "&amp;TEXT($AA558,"dd-mmm")&amp;". "&amp;IF($Z558=6,"Final escalation completed.",IF($U558="OVERDUE","Next: "&amp;$AC558&amp;" was due "&amp;TEXT($AB558,"dd-mmm")&amp;" - "&amp;(NETWORKDAYS($AB558,TODAY(),Holidays)-1)&amp;" business day(s) late. Send now.",IF($U558="DUE TOMORROW","Next: "&amp;$AC558&amp;IF($AB558&lt;=TODAY()," is due TODAY ("," is due next business day (")&amp;TEXT($AB558,"dd-mmm")&amp;").","Next: "&amp;$AC558&amp;" due "&amp;TEXT($AB558,"dd-mmm")&amp;" ("&amp;(NETWORKDAYS(TODAY(),$AB558,Holidays)-1)&amp;" business day(s) left).")))))</f>
        <v/>
      </c>
      <c r="W558" s="17">
        <f>IF($Z558="","",CHOOSE($Z558,"Collection Email","1st Follow-up","2nd Follow-up","Local Office","CBE","Roxanne")&amp;IF($Z558=6," - Final"," - Day "&amp;MAX(0,NETWORKDAYS($AA558,TODAY(),Holidays)-1)&amp;" of "&amp;CHOOSE($Z558,3,3,2,2,3))&amp;" | Total Day "&amp;MAX(0,NETWORKDAYS($N558,TODAY(),Holidays)-1))</f>
        <v/>
      </c>
      <c r="X558" s="18"/>
      <c r="Y558" s="18"/>
      <c r="Z558" s="17">
        <f>IF($N558="","",COUNT($N558:$S558))</f>
        <v/>
      </c>
      <c r="AA558" s="19">
        <f>IF($Z558="","",INT(INDEX($N558:$S558,$Z558)))</f>
        <v/>
      </c>
      <c r="AB558" s="19">
        <f>IF(OR($Z558="",$Z558=6),"",WORKDAY($AA558,CHOOSE($Z558,3,3,2,2,3),Holidays))</f>
        <v/>
      </c>
      <c r="AC558" s="17">
        <f>IF(OR($Z558="",$Z558=6),"",CHOOSE($Z558,"1st Email Follow-up","2nd Email Follow-up","Escalate Local Office","Escalate to CBE","Escalate to Roxanne"))</f>
        <v/>
      </c>
    </row>
    <row r="559" spans="13:29">
      <c r="M559" s="14"/>
      <c r="T559" s="16"/>
      <c r="U559" s="17">
        <f>IF(AND(COUNTA($A559:$L559)=0,$N559=""),"",IF($T559="Paid","PAID",IF($T559="Closed","CLOSED",IF($Z559="","",IF($Z559=6,"ESCALATED TO ROXANNE",IF(TODAY()&gt;$AB559,"OVERDUE",IF($AB559&lt;=WORKDAY(TODAY(),1,Holidays),"DUE TOMORROW",IF($Z559=4,"ESCALATED TO LOCAL OFFICE",IF($Z559=5,"ESCALATED TO CBE",IF($AA559=TODAY(),"EMAIL SENT","MONITORING"))))))))))</f>
        <v/>
      </c>
      <c r="V559" s="17">
        <f>IF($U559="",IF(AND(COUNTA($A559:$L559)&gt;0,$N559=""),"Awaiting Collection Email time stamp.",""),IF(OR($U559="PAID",$U559="CLOSED"),IF($U559="PAID","Account paid. Action completed.","Account closed. No further action required."),CHOOSE($Z559,"Collection Email","1st Email Follow-up","2nd Email Follow-up","Escalation to Local Office","Escalation to CBE","Escalation to Roxanne")&amp;" sent "&amp;TEXT($AA559,"dd-mmm")&amp;". "&amp;IF($Z559=6,"Final escalation completed.",IF($U559="OVERDUE","Next: "&amp;$AC559&amp;" was due "&amp;TEXT($AB559,"dd-mmm")&amp;" - "&amp;(NETWORKDAYS($AB559,TODAY(),Holidays)-1)&amp;" business day(s) late. Send now.",IF($U559="DUE TOMORROW","Next: "&amp;$AC559&amp;IF($AB559&lt;=TODAY()," is due TODAY ("," is due next business day (")&amp;TEXT($AB559,"dd-mmm")&amp;").","Next: "&amp;$AC559&amp;" due "&amp;TEXT($AB559,"dd-mmm")&amp;" ("&amp;(NETWORKDAYS(TODAY(),$AB559,Holidays)-1)&amp;" business day(s) left).")))))</f>
        <v/>
      </c>
      <c r="W559" s="17">
        <f>IF($Z559="","",CHOOSE($Z559,"Collection Email","1st Follow-up","2nd Follow-up","Local Office","CBE","Roxanne")&amp;IF($Z559=6," - Final"," - Day "&amp;MAX(0,NETWORKDAYS($AA559,TODAY(),Holidays)-1)&amp;" of "&amp;CHOOSE($Z559,3,3,2,2,3))&amp;" | Total Day "&amp;MAX(0,NETWORKDAYS($N559,TODAY(),Holidays)-1))</f>
        <v/>
      </c>
      <c r="X559" s="18"/>
      <c r="Y559" s="18"/>
      <c r="Z559" s="17">
        <f>IF($N559="","",COUNT($N559:$S559))</f>
        <v/>
      </c>
      <c r="AA559" s="19">
        <f>IF($Z559="","",INT(INDEX($N559:$S559,$Z559)))</f>
        <v/>
      </c>
      <c r="AB559" s="19">
        <f>IF(OR($Z559="",$Z559=6),"",WORKDAY($AA559,CHOOSE($Z559,3,3,2,2,3),Holidays))</f>
        <v/>
      </c>
      <c r="AC559" s="17">
        <f>IF(OR($Z559="",$Z559=6),"",CHOOSE($Z559,"1st Email Follow-up","2nd Email Follow-up","Escalate Local Office","Escalate to CBE","Escalate to Roxanne"))</f>
        <v/>
      </c>
    </row>
    <row r="560" spans="13:29">
      <c r="M560" s="14"/>
      <c r="T560" s="16"/>
      <c r="U560" s="17">
        <f>IF(AND(COUNTA($A560:$L560)=0,$N560=""),"",IF($T560="Paid","PAID",IF($T560="Closed","CLOSED",IF($Z560="","",IF($Z560=6,"ESCALATED TO ROXANNE",IF(TODAY()&gt;$AB560,"OVERDUE",IF($AB560&lt;=WORKDAY(TODAY(),1,Holidays),"DUE TOMORROW",IF($Z560=4,"ESCALATED TO LOCAL OFFICE",IF($Z560=5,"ESCALATED TO CBE",IF($AA560=TODAY(),"EMAIL SENT","MONITORING"))))))))))</f>
        <v/>
      </c>
      <c r="V560" s="17">
        <f>IF($U560="",IF(AND(COUNTA($A560:$L560)&gt;0,$N560=""),"Awaiting Collection Email time stamp.",""),IF(OR($U560="PAID",$U560="CLOSED"),IF($U560="PAID","Account paid. Action completed.","Account closed. No further action required."),CHOOSE($Z560,"Collection Email","1st Email Follow-up","2nd Email Follow-up","Escalation to Local Office","Escalation to CBE","Escalation to Roxanne")&amp;" sent "&amp;TEXT($AA560,"dd-mmm")&amp;". "&amp;IF($Z560=6,"Final escalation completed.",IF($U560="OVERDUE","Next: "&amp;$AC560&amp;" was due "&amp;TEXT($AB560,"dd-mmm")&amp;" - "&amp;(NETWORKDAYS($AB560,TODAY(),Holidays)-1)&amp;" business day(s) late. Send now.",IF($U560="DUE TOMORROW","Next: "&amp;$AC560&amp;IF($AB560&lt;=TODAY()," is due TODAY ("," is due next business day (")&amp;TEXT($AB560,"dd-mmm")&amp;").","Next: "&amp;$AC560&amp;" due "&amp;TEXT($AB560,"dd-mmm")&amp;" ("&amp;(NETWORKDAYS(TODAY(),$AB560,Holidays)-1)&amp;" business day(s) left).")))))</f>
        <v/>
      </c>
      <c r="W560" s="17">
        <f>IF($Z560="","",CHOOSE($Z560,"Collection Email","1st Follow-up","2nd Follow-up","Local Office","CBE","Roxanne")&amp;IF($Z560=6," - Final"," - Day "&amp;MAX(0,NETWORKDAYS($AA560,TODAY(),Holidays)-1)&amp;" of "&amp;CHOOSE($Z560,3,3,2,2,3))&amp;" | Total Day "&amp;MAX(0,NETWORKDAYS($N560,TODAY(),Holidays)-1))</f>
        <v/>
      </c>
      <c r="X560" s="18"/>
      <c r="Y560" s="18"/>
      <c r="Z560" s="17">
        <f>IF($N560="","",COUNT($N560:$S560))</f>
        <v/>
      </c>
      <c r="AA560" s="19">
        <f>IF($Z560="","",INT(INDEX($N560:$S560,$Z560)))</f>
        <v/>
      </c>
      <c r="AB560" s="19">
        <f>IF(OR($Z560="",$Z560=6),"",WORKDAY($AA560,CHOOSE($Z560,3,3,2,2,3),Holidays))</f>
        <v/>
      </c>
      <c r="AC560" s="17">
        <f>IF(OR($Z560="",$Z560=6),"",CHOOSE($Z560,"1st Email Follow-up","2nd Email Follow-up","Escalate Local Office","Escalate to CBE","Escalate to Roxanne"))</f>
        <v/>
      </c>
    </row>
    <row r="561" spans="13:29">
      <c r="M561" s="14"/>
      <c r="T561" s="16"/>
      <c r="U561" s="17">
        <f>IF(AND(COUNTA($A561:$L561)=0,$N561=""),"",IF($T561="Paid","PAID",IF($T561="Closed","CLOSED",IF($Z561="","",IF($Z561=6,"ESCALATED TO ROXANNE",IF(TODAY()&gt;$AB561,"OVERDUE",IF($AB561&lt;=WORKDAY(TODAY(),1,Holidays),"DUE TOMORROW",IF($Z561=4,"ESCALATED TO LOCAL OFFICE",IF($Z561=5,"ESCALATED TO CBE",IF($AA561=TODAY(),"EMAIL SENT","MONITORING"))))))))))</f>
        <v/>
      </c>
      <c r="V561" s="17">
        <f>IF($U561="",IF(AND(COUNTA($A561:$L561)&gt;0,$N561=""),"Awaiting Collection Email time stamp.",""),IF(OR($U561="PAID",$U561="CLOSED"),IF($U561="PAID","Account paid. Action completed.","Account closed. No further action required."),CHOOSE($Z561,"Collection Email","1st Email Follow-up","2nd Email Follow-up","Escalation to Local Office","Escalation to CBE","Escalation to Roxanne")&amp;" sent "&amp;TEXT($AA561,"dd-mmm")&amp;". "&amp;IF($Z561=6,"Final escalation completed.",IF($U561="OVERDUE","Next: "&amp;$AC561&amp;" was due "&amp;TEXT($AB561,"dd-mmm")&amp;" - "&amp;(NETWORKDAYS($AB561,TODAY(),Holidays)-1)&amp;" business day(s) late. Send now.",IF($U561="DUE TOMORROW","Next: "&amp;$AC561&amp;IF($AB561&lt;=TODAY()," is due TODAY ("," is due next business day (")&amp;TEXT($AB561,"dd-mmm")&amp;").","Next: "&amp;$AC561&amp;" due "&amp;TEXT($AB561,"dd-mmm")&amp;" ("&amp;(NETWORKDAYS(TODAY(),$AB561,Holidays)-1)&amp;" business day(s) left).")))))</f>
        <v/>
      </c>
      <c r="W561" s="17">
        <f>IF($Z561="","",CHOOSE($Z561,"Collection Email","1st Follow-up","2nd Follow-up","Local Office","CBE","Roxanne")&amp;IF($Z561=6," - Final"," - Day "&amp;MAX(0,NETWORKDAYS($AA561,TODAY(),Holidays)-1)&amp;" of "&amp;CHOOSE($Z561,3,3,2,2,3))&amp;" | Total Day "&amp;MAX(0,NETWORKDAYS($N561,TODAY(),Holidays)-1))</f>
        <v/>
      </c>
      <c r="X561" s="18"/>
      <c r="Y561" s="18"/>
      <c r="Z561" s="17">
        <f>IF($N561="","",COUNT($N561:$S561))</f>
        <v/>
      </c>
      <c r="AA561" s="19">
        <f>IF($Z561="","",INT(INDEX($N561:$S561,$Z561)))</f>
        <v/>
      </c>
      <c r="AB561" s="19">
        <f>IF(OR($Z561="",$Z561=6),"",WORKDAY($AA561,CHOOSE($Z561,3,3,2,2,3),Holidays))</f>
        <v/>
      </c>
      <c r="AC561" s="17">
        <f>IF(OR($Z561="",$Z561=6),"",CHOOSE($Z561,"1st Email Follow-up","2nd Email Follow-up","Escalate Local Office","Escalate to CBE","Escalate to Roxanne"))</f>
        <v/>
      </c>
    </row>
    <row r="562" spans="13:29">
      <c r="M562" s="14"/>
      <c r="T562" s="16"/>
      <c r="U562" s="17">
        <f>IF(AND(COUNTA($A562:$L562)=0,$N562=""),"",IF($T562="Paid","PAID",IF($T562="Closed","CLOSED",IF($Z562="","",IF($Z562=6,"ESCALATED TO ROXANNE",IF(TODAY()&gt;$AB562,"OVERDUE",IF($AB562&lt;=WORKDAY(TODAY(),1,Holidays),"DUE TOMORROW",IF($Z562=4,"ESCALATED TO LOCAL OFFICE",IF($Z562=5,"ESCALATED TO CBE",IF($AA562=TODAY(),"EMAIL SENT","MONITORING"))))))))))</f>
        <v/>
      </c>
      <c r="V562" s="17">
        <f>IF($U562="",IF(AND(COUNTA($A562:$L562)&gt;0,$N562=""),"Awaiting Collection Email time stamp.",""),IF(OR($U562="PAID",$U562="CLOSED"),IF($U562="PAID","Account paid. Action completed.","Account closed. No further action required."),CHOOSE($Z562,"Collection Email","1st Email Follow-up","2nd Email Follow-up","Escalation to Local Office","Escalation to CBE","Escalation to Roxanne")&amp;" sent "&amp;TEXT($AA562,"dd-mmm")&amp;". "&amp;IF($Z562=6,"Final escalation completed.",IF($U562="OVERDUE","Next: "&amp;$AC562&amp;" was due "&amp;TEXT($AB562,"dd-mmm")&amp;" - "&amp;(NETWORKDAYS($AB562,TODAY(),Holidays)-1)&amp;" business day(s) late. Send now.",IF($U562="DUE TOMORROW","Next: "&amp;$AC562&amp;IF($AB562&lt;=TODAY()," is due TODAY ("," is due next business day (")&amp;TEXT($AB562,"dd-mmm")&amp;").","Next: "&amp;$AC562&amp;" due "&amp;TEXT($AB562,"dd-mmm")&amp;" ("&amp;(NETWORKDAYS(TODAY(),$AB562,Holidays)-1)&amp;" business day(s) left).")))))</f>
        <v/>
      </c>
      <c r="W562" s="17">
        <f>IF($Z562="","",CHOOSE($Z562,"Collection Email","1st Follow-up","2nd Follow-up","Local Office","CBE","Roxanne")&amp;IF($Z562=6," - Final"," - Day "&amp;MAX(0,NETWORKDAYS($AA562,TODAY(),Holidays)-1)&amp;" of "&amp;CHOOSE($Z562,3,3,2,2,3))&amp;" | Total Day "&amp;MAX(0,NETWORKDAYS($N562,TODAY(),Holidays)-1))</f>
        <v/>
      </c>
      <c r="X562" s="18"/>
      <c r="Y562" s="18"/>
      <c r="Z562" s="17">
        <f>IF($N562="","",COUNT($N562:$S562))</f>
        <v/>
      </c>
      <c r="AA562" s="19">
        <f>IF($Z562="","",INT(INDEX($N562:$S562,$Z562)))</f>
        <v/>
      </c>
      <c r="AB562" s="19">
        <f>IF(OR($Z562="",$Z562=6),"",WORKDAY($AA562,CHOOSE($Z562,3,3,2,2,3),Holidays))</f>
        <v/>
      </c>
      <c r="AC562" s="17">
        <f>IF(OR($Z562="",$Z562=6),"",CHOOSE($Z562,"1st Email Follow-up","2nd Email Follow-up","Escalate Local Office","Escalate to CBE","Escalate to Roxanne"))</f>
        <v/>
      </c>
    </row>
    <row r="563" spans="13:29">
      <c r="M563" s="14"/>
      <c r="T563" s="16"/>
      <c r="U563" s="17">
        <f>IF(AND(COUNTA($A563:$L563)=0,$N563=""),"",IF($T563="Paid","PAID",IF($T563="Closed","CLOSED",IF($Z563="","",IF($Z563=6,"ESCALATED TO ROXANNE",IF(TODAY()&gt;$AB563,"OVERDUE",IF($AB563&lt;=WORKDAY(TODAY(),1,Holidays),"DUE TOMORROW",IF($Z563=4,"ESCALATED TO LOCAL OFFICE",IF($Z563=5,"ESCALATED TO CBE",IF($AA563=TODAY(),"EMAIL SENT","MONITORING"))))))))))</f>
        <v/>
      </c>
      <c r="V563" s="17">
        <f>IF($U563="",IF(AND(COUNTA($A563:$L563)&gt;0,$N563=""),"Awaiting Collection Email time stamp.",""),IF(OR($U563="PAID",$U563="CLOSED"),IF($U563="PAID","Account paid. Action completed.","Account closed. No further action required."),CHOOSE($Z563,"Collection Email","1st Email Follow-up","2nd Email Follow-up","Escalation to Local Office","Escalation to CBE","Escalation to Roxanne")&amp;" sent "&amp;TEXT($AA563,"dd-mmm")&amp;". "&amp;IF($Z563=6,"Final escalation completed.",IF($U563="OVERDUE","Next: "&amp;$AC563&amp;" was due "&amp;TEXT($AB563,"dd-mmm")&amp;" - "&amp;(NETWORKDAYS($AB563,TODAY(),Holidays)-1)&amp;" business day(s) late. Send now.",IF($U563="DUE TOMORROW","Next: "&amp;$AC563&amp;IF($AB563&lt;=TODAY()," is due TODAY ("," is due next business day (")&amp;TEXT($AB563,"dd-mmm")&amp;").","Next: "&amp;$AC563&amp;" due "&amp;TEXT($AB563,"dd-mmm")&amp;" ("&amp;(NETWORKDAYS(TODAY(),$AB563,Holidays)-1)&amp;" business day(s) left).")))))</f>
        <v/>
      </c>
      <c r="W563" s="17">
        <f>IF($Z563="","",CHOOSE($Z563,"Collection Email","1st Follow-up","2nd Follow-up","Local Office","CBE","Roxanne")&amp;IF($Z563=6," - Final"," - Day "&amp;MAX(0,NETWORKDAYS($AA563,TODAY(),Holidays)-1)&amp;" of "&amp;CHOOSE($Z563,3,3,2,2,3))&amp;" | Total Day "&amp;MAX(0,NETWORKDAYS($N563,TODAY(),Holidays)-1))</f>
        <v/>
      </c>
      <c r="X563" s="18"/>
      <c r="Y563" s="18"/>
      <c r="Z563" s="17">
        <f>IF($N563="","",COUNT($N563:$S563))</f>
        <v/>
      </c>
      <c r="AA563" s="19">
        <f>IF($Z563="","",INT(INDEX($N563:$S563,$Z563)))</f>
        <v/>
      </c>
      <c r="AB563" s="19">
        <f>IF(OR($Z563="",$Z563=6),"",WORKDAY($AA563,CHOOSE($Z563,3,3,2,2,3),Holidays))</f>
        <v/>
      </c>
      <c r="AC563" s="17">
        <f>IF(OR($Z563="",$Z563=6),"",CHOOSE($Z563,"1st Email Follow-up","2nd Email Follow-up","Escalate Local Office","Escalate to CBE","Escalate to Roxanne"))</f>
        <v/>
      </c>
    </row>
    <row r="564" spans="13:29">
      <c r="M564" s="14"/>
      <c r="T564" s="16"/>
      <c r="U564" s="17">
        <f>IF(AND(COUNTA($A564:$L564)=0,$N564=""),"",IF($T564="Paid","PAID",IF($T564="Closed","CLOSED",IF($Z564="","",IF($Z564=6,"ESCALATED TO ROXANNE",IF(TODAY()&gt;$AB564,"OVERDUE",IF($AB564&lt;=WORKDAY(TODAY(),1,Holidays),"DUE TOMORROW",IF($Z564=4,"ESCALATED TO LOCAL OFFICE",IF($Z564=5,"ESCALATED TO CBE",IF($AA564=TODAY(),"EMAIL SENT","MONITORING"))))))))))</f>
        <v/>
      </c>
      <c r="V564" s="17">
        <f>IF($U564="",IF(AND(COUNTA($A564:$L564)&gt;0,$N564=""),"Awaiting Collection Email time stamp.",""),IF(OR($U564="PAID",$U564="CLOSED"),IF($U564="PAID","Account paid. Action completed.","Account closed. No further action required."),CHOOSE($Z564,"Collection Email","1st Email Follow-up","2nd Email Follow-up","Escalation to Local Office","Escalation to CBE","Escalation to Roxanne")&amp;" sent "&amp;TEXT($AA564,"dd-mmm")&amp;". "&amp;IF($Z564=6,"Final escalation completed.",IF($U564="OVERDUE","Next: "&amp;$AC564&amp;" was due "&amp;TEXT($AB564,"dd-mmm")&amp;" - "&amp;(NETWORKDAYS($AB564,TODAY(),Holidays)-1)&amp;" business day(s) late. Send now.",IF($U564="DUE TOMORROW","Next: "&amp;$AC564&amp;IF($AB564&lt;=TODAY()," is due TODAY ("," is due next business day (")&amp;TEXT($AB564,"dd-mmm")&amp;").","Next: "&amp;$AC564&amp;" due "&amp;TEXT($AB564,"dd-mmm")&amp;" ("&amp;(NETWORKDAYS(TODAY(),$AB564,Holidays)-1)&amp;" business day(s) left).")))))</f>
        <v/>
      </c>
      <c r="W564" s="17">
        <f>IF($Z564="","",CHOOSE($Z564,"Collection Email","1st Follow-up","2nd Follow-up","Local Office","CBE","Roxanne")&amp;IF($Z564=6," - Final"," - Day "&amp;MAX(0,NETWORKDAYS($AA564,TODAY(),Holidays)-1)&amp;" of "&amp;CHOOSE($Z564,3,3,2,2,3))&amp;" | Total Day "&amp;MAX(0,NETWORKDAYS($N564,TODAY(),Holidays)-1))</f>
        <v/>
      </c>
      <c r="X564" s="18"/>
      <c r="Y564" s="18"/>
      <c r="Z564" s="17">
        <f>IF($N564="","",COUNT($N564:$S564))</f>
        <v/>
      </c>
      <c r="AA564" s="19">
        <f>IF($Z564="","",INT(INDEX($N564:$S564,$Z564)))</f>
        <v/>
      </c>
      <c r="AB564" s="19">
        <f>IF(OR($Z564="",$Z564=6),"",WORKDAY($AA564,CHOOSE($Z564,3,3,2,2,3),Holidays))</f>
        <v/>
      </c>
      <c r="AC564" s="17">
        <f>IF(OR($Z564="",$Z564=6),"",CHOOSE($Z564,"1st Email Follow-up","2nd Email Follow-up","Escalate Local Office","Escalate to CBE","Escalate to Roxanne"))</f>
        <v/>
      </c>
    </row>
    <row r="565" spans="13:29">
      <c r="M565" s="14"/>
      <c r="T565" s="16"/>
      <c r="U565" s="17">
        <f>IF(AND(COUNTA($A565:$L565)=0,$N565=""),"",IF($T565="Paid","PAID",IF($T565="Closed","CLOSED",IF($Z565="","",IF($Z565=6,"ESCALATED TO ROXANNE",IF(TODAY()&gt;$AB565,"OVERDUE",IF($AB565&lt;=WORKDAY(TODAY(),1,Holidays),"DUE TOMORROW",IF($Z565=4,"ESCALATED TO LOCAL OFFICE",IF($Z565=5,"ESCALATED TO CBE",IF($AA565=TODAY(),"EMAIL SENT","MONITORING"))))))))))</f>
        <v/>
      </c>
      <c r="V565" s="17">
        <f>IF($U565="",IF(AND(COUNTA($A565:$L565)&gt;0,$N565=""),"Awaiting Collection Email time stamp.",""),IF(OR($U565="PAID",$U565="CLOSED"),IF($U565="PAID","Account paid. Action completed.","Account closed. No further action required."),CHOOSE($Z565,"Collection Email","1st Email Follow-up","2nd Email Follow-up","Escalation to Local Office","Escalation to CBE","Escalation to Roxanne")&amp;" sent "&amp;TEXT($AA565,"dd-mmm")&amp;". "&amp;IF($Z565=6,"Final escalation completed.",IF($U565="OVERDUE","Next: "&amp;$AC565&amp;" was due "&amp;TEXT($AB565,"dd-mmm")&amp;" - "&amp;(NETWORKDAYS($AB565,TODAY(),Holidays)-1)&amp;" business day(s) late. Send now.",IF($U565="DUE TOMORROW","Next: "&amp;$AC565&amp;IF($AB565&lt;=TODAY()," is due TODAY ("," is due next business day (")&amp;TEXT($AB565,"dd-mmm")&amp;").","Next: "&amp;$AC565&amp;" due "&amp;TEXT($AB565,"dd-mmm")&amp;" ("&amp;(NETWORKDAYS(TODAY(),$AB565,Holidays)-1)&amp;" business day(s) left).")))))</f>
        <v/>
      </c>
      <c r="W565" s="17">
        <f>IF($Z565="","",CHOOSE($Z565,"Collection Email","1st Follow-up","2nd Follow-up","Local Office","CBE","Roxanne")&amp;IF($Z565=6," - Final"," - Day "&amp;MAX(0,NETWORKDAYS($AA565,TODAY(),Holidays)-1)&amp;" of "&amp;CHOOSE($Z565,3,3,2,2,3))&amp;" | Total Day "&amp;MAX(0,NETWORKDAYS($N565,TODAY(),Holidays)-1))</f>
        <v/>
      </c>
      <c r="X565" s="18"/>
      <c r="Y565" s="18"/>
      <c r="Z565" s="17">
        <f>IF($N565="","",COUNT($N565:$S565))</f>
        <v/>
      </c>
      <c r="AA565" s="19">
        <f>IF($Z565="","",INT(INDEX($N565:$S565,$Z565)))</f>
        <v/>
      </c>
      <c r="AB565" s="19">
        <f>IF(OR($Z565="",$Z565=6),"",WORKDAY($AA565,CHOOSE($Z565,3,3,2,2,3),Holidays))</f>
        <v/>
      </c>
      <c r="AC565" s="17">
        <f>IF(OR($Z565="",$Z565=6),"",CHOOSE($Z565,"1st Email Follow-up","2nd Email Follow-up","Escalate Local Office","Escalate to CBE","Escalate to Roxanne"))</f>
        <v/>
      </c>
    </row>
    <row r="566" spans="13:29">
      <c r="M566" s="14"/>
      <c r="T566" s="16"/>
      <c r="U566" s="17">
        <f>IF(AND(COUNTA($A566:$L566)=0,$N566=""),"",IF($T566="Paid","PAID",IF($T566="Closed","CLOSED",IF($Z566="","",IF($Z566=6,"ESCALATED TO ROXANNE",IF(TODAY()&gt;$AB566,"OVERDUE",IF($AB566&lt;=WORKDAY(TODAY(),1,Holidays),"DUE TOMORROW",IF($Z566=4,"ESCALATED TO LOCAL OFFICE",IF($Z566=5,"ESCALATED TO CBE",IF($AA566=TODAY(),"EMAIL SENT","MONITORING"))))))))))</f>
        <v/>
      </c>
      <c r="V566" s="17">
        <f>IF($U566="",IF(AND(COUNTA($A566:$L566)&gt;0,$N566=""),"Awaiting Collection Email time stamp.",""),IF(OR($U566="PAID",$U566="CLOSED"),IF($U566="PAID","Account paid. Action completed.","Account closed. No further action required."),CHOOSE($Z566,"Collection Email","1st Email Follow-up","2nd Email Follow-up","Escalation to Local Office","Escalation to CBE","Escalation to Roxanne")&amp;" sent "&amp;TEXT($AA566,"dd-mmm")&amp;". "&amp;IF($Z566=6,"Final escalation completed.",IF($U566="OVERDUE","Next: "&amp;$AC566&amp;" was due "&amp;TEXT($AB566,"dd-mmm")&amp;" - "&amp;(NETWORKDAYS($AB566,TODAY(),Holidays)-1)&amp;" business day(s) late. Send now.",IF($U566="DUE TOMORROW","Next: "&amp;$AC566&amp;IF($AB566&lt;=TODAY()," is due TODAY ("," is due next business day (")&amp;TEXT($AB566,"dd-mmm")&amp;").","Next: "&amp;$AC566&amp;" due "&amp;TEXT($AB566,"dd-mmm")&amp;" ("&amp;(NETWORKDAYS(TODAY(),$AB566,Holidays)-1)&amp;" business day(s) left).")))))</f>
        <v/>
      </c>
      <c r="W566" s="17">
        <f>IF($Z566="","",CHOOSE($Z566,"Collection Email","1st Follow-up","2nd Follow-up","Local Office","CBE","Roxanne")&amp;IF($Z566=6," - Final"," - Day "&amp;MAX(0,NETWORKDAYS($AA566,TODAY(),Holidays)-1)&amp;" of "&amp;CHOOSE($Z566,3,3,2,2,3))&amp;" | Total Day "&amp;MAX(0,NETWORKDAYS($N566,TODAY(),Holidays)-1))</f>
        <v/>
      </c>
      <c r="X566" s="18"/>
      <c r="Y566" s="18"/>
      <c r="Z566" s="17">
        <f>IF($N566="","",COUNT($N566:$S566))</f>
        <v/>
      </c>
      <c r="AA566" s="19">
        <f>IF($Z566="","",INT(INDEX($N566:$S566,$Z566)))</f>
        <v/>
      </c>
      <c r="AB566" s="19">
        <f>IF(OR($Z566="",$Z566=6),"",WORKDAY($AA566,CHOOSE($Z566,3,3,2,2,3),Holidays))</f>
        <v/>
      </c>
      <c r="AC566" s="17">
        <f>IF(OR($Z566="",$Z566=6),"",CHOOSE($Z566,"1st Email Follow-up","2nd Email Follow-up","Escalate Local Office","Escalate to CBE","Escalate to Roxanne"))</f>
        <v/>
      </c>
    </row>
    <row r="567" spans="13:29">
      <c r="M567" s="14"/>
      <c r="T567" s="16"/>
      <c r="U567" s="17">
        <f>IF(AND(COUNTA($A567:$L567)=0,$N567=""),"",IF($T567="Paid","PAID",IF($T567="Closed","CLOSED",IF($Z567="","",IF($Z567=6,"ESCALATED TO ROXANNE",IF(TODAY()&gt;$AB567,"OVERDUE",IF($AB567&lt;=WORKDAY(TODAY(),1,Holidays),"DUE TOMORROW",IF($Z567=4,"ESCALATED TO LOCAL OFFICE",IF($Z567=5,"ESCALATED TO CBE",IF($AA567=TODAY(),"EMAIL SENT","MONITORING"))))))))))</f>
        <v/>
      </c>
      <c r="V567" s="17">
        <f>IF($U567="",IF(AND(COUNTA($A567:$L567)&gt;0,$N567=""),"Awaiting Collection Email time stamp.",""),IF(OR($U567="PAID",$U567="CLOSED"),IF($U567="PAID","Account paid. Action completed.","Account closed. No further action required."),CHOOSE($Z567,"Collection Email","1st Email Follow-up","2nd Email Follow-up","Escalation to Local Office","Escalation to CBE","Escalation to Roxanne")&amp;" sent "&amp;TEXT($AA567,"dd-mmm")&amp;". "&amp;IF($Z567=6,"Final escalation completed.",IF($U567="OVERDUE","Next: "&amp;$AC567&amp;" was due "&amp;TEXT($AB567,"dd-mmm")&amp;" - "&amp;(NETWORKDAYS($AB567,TODAY(),Holidays)-1)&amp;" business day(s) late. Send now.",IF($U567="DUE TOMORROW","Next: "&amp;$AC567&amp;IF($AB567&lt;=TODAY()," is due TODAY ("," is due next business day (")&amp;TEXT($AB567,"dd-mmm")&amp;").","Next: "&amp;$AC567&amp;" due "&amp;TEXT($AB567,"dd-mmm")&amp;" ("&amp;(NETWORKDAYS(TODAY(),$AB567,Holidays)-1)&amp;" business day(s) left).")))))</f>
        <v/>
      </c>
      <c r="W567" s="17">
        <f>IF($Z567="","",CHOOSE($Z567,"Collection Email","1st Follow-up","2nd Follow-up","Local Office","CBE","Roxanne")&amp;IF($Z567=6," - Final"," - Day "&amp;MAX(0,NETWORKDAYS($AA567,TODAY(),Holidays)-1)&amp;" of "&amp;CHOOSE($Z567,3,3,2,2,3))&amp;" | Total Day "&amp;MAX(0,NETWORKDAYS($N567,TODAY(),Holidays)-1))</f>
        <v/>
      </c>
      <c r="X567" s="18"/>
      <c r="Y567" s="18"/>
      <c r="Z567" s="17">
        <f>IF($N567="","",COUNT($N567:$S567))</f>
        <v/>
      </c>
      <c r="AA567" s="19">
        <f>IF($Z567="","",INT(INDEX($N567:$S567,$Z567)))</f>
        <v/>
      </c>
      <c r="AB567" s="19">
        <f>IF(OR($Z567="",$Z567=6),"",WORKDAY($AA567,CHOOSE($Z567,3,3,2,2,3),Holidays))</f>
        <v/>
      </c>
      <c r="AC567" s="17">
        <f>IF(OR($Z567="",$Z567=6),"",CHOOSE($Z567,"1st Email Follow-up","2nd Email Follow-up","Escalate Local Office","Escalate to CBE","Escalate to Roxanne"))</f>
        <v/>
      </c>
    </row>
    <row r="568" spans="13:29">
      <c r="M568" s="14"/>
      <c r="T568" s="16"/>
      <c r="U568" s="17">
        <f>IF(AND(COUNTA($A568:$L568)=0,$N568=""),"",IF($T568="Paid","PAID",IF($T568="Closed","CLOSED",IF($Z568="","",IF($Z568=6,"ESCALATED TO ROXANNE",IF(TODAY()&gt;$AB568,"OVERDUE",IF($AB568&lt;=WORKDAY(TODAY(),1,Holidays),"DUE TOMORROW",IF($Z568=4,"ESCALATED TO LOCAL OFFICE",IF($Z568=5,"ESCALATED TO CBE",IF($AA568=TODAY(),"EMAIL SENT","MONITORING"))))))))))</f>
        <v/>
      </c>
      <c r="V568" s="17">
        <f>IF($U568="",IF(AND(COUNTA($A568:$L568)&gt;0,$N568=""),"Awaiting Collection Email time stamp.",""),IF(OR($U568="PAID",$U568="CLOSED"),IF($U568="PAID","Account paid. Action completed.","Account closed. No further action required."),CHOOSE($Z568,"Collection Email","1st Email Follow-up","2nd Email Follow-up","Escalation to Local Office","Escalation to CBE","Escalation to Roxanne")&amp;" sent "&amp;TEXT($AA568,"dd-mmm")&amp;". "&amp;IF($Z568=6,"Final escalation completed.",IF($U568="OVERDUE","Next: "&amp;$AC568&amp;" was due "&amp;TEXT($AB568,"dd-mmm")&amp;" - "&amp;(NETWORKDAYS($AB568,TODAY(),Holidays)-1)&amp;" business day(s) late. Send now.",IF($U568="DUE TOMORROW","Next: "&amp;$AC568&amp;IF($AB568&lt;=TODAY()," is due TODAY ("," is due next business day (")&amp;TEXT($AB568,"dd-mmm")&amp;").","Next: "&amp;$AC568&amp;" due "&amp;TEXT($AB568,"dd-mmm")&amp;" ("&amp;(NETWORKDAYS(TODAY(),$AB568,Holidays)-1)&amp;" business day(s) left).")))))</f>
        <v/>
      </c>
      <c r="W568" s="17">
        <f>IF($Z568="","",CHOOSE($Z568,"Collection Email","1st Follow-up","2nd Follow-up","Local Office","CBE","Roxanne")&amp;IF($Z568=6," - Final"," - Day "&amp;MAX(0,NETWORKDAYS($AA568,TODAY(),Holidays)-1)&amp;" of "&amp;CHOOSE($Z568,3,3,2,2,3))&amp;" | Total Day "&amp;MAX(0,NETWORKDAYS($N568,TODAY(),Holidays)-1))</f>
        <v/>
      </c>
      <c r="X568" s="18"/>
      <c r="Y568" s="18"/>
      <c r="Z568" s="17">
        <f>IF($N568="","",COUNT($N568:$S568))</f>
        <v/>
      </c>
      <c r="AA568" s="19">
        <f>IF($Z568="","",INT(INDEX($N568:$S568,$Z568)))</f>
        <v/>
      </c>
      <c r="AB568" s="19">
        <f>IF(OR($Z568="",$Z568=6),"",WORKDAY($AA568,CHOOSE($Z568,3,3,2,2,3),Holidays))</f>
        <v/>
      </c>
      <c r="AC568" s="17">
        <f>IF(OR($Z568="",$Z568=6),"",CHOOSE($Z568,"1st Email Follow-up","2nd Email Follow-up","Escalate Local Office","Escalate to CBE","Escalate to Roxanne"))</f>
        <v/>
      </c>
    </row>
    <row r="569" spans="13:29">
      <c r="M569" s="14"/>
      <c r="T569" s="16"/>
      <c r="U569" s="17">
        <f>IF(AND(COUNTA($A569:$L569)=0,$N569=""),"",IF($T569="Paid","PAID",IF($T569="Closed","CLOSED",IF($Z569="","",IF($Z569=6,"ESCALATED TO ROXANNE",IF(TODAY()&gt;$AB569,"OVERDUE",IF($AB569&lt;=WORKDAY(TODAY(),1,Holidays),"DUE TOMORROW",IF($Z569=4,"ESCALATED TO LOCAL OFFICE",IF($Z569=5,"ESCALATED TO CBE",IF($AA569=TODAY(),"EMAIL SENT","MONITORING"))))))))))</f>
        <v/>
      </c>
      <c r="V569" s="17">
        <f>IF($U569="",IF(AND(COUNTA($A569:$L569)&gt;0,$N569=""),"Awaiting Collection Email time stamp.",""),IF(OR($U569="PAID",$U569="CLOSED"),IF($U569="PAID","Account paid. Action completed.","Account closed. No further action required."),CHOOSE($Z569,"Collection Email","1st Email Follow-up","2nd Email Follow-up","Escalation to Local Office","Escalation to CBE","Escalation to Roxanne")&amp;" sent "&amp;TEXT($AA569,"dd-mmm")&amp;". "&amp;IF($Z569=6,"Final escalation completed.",IF($U569="OVERDUE","Next: "&amp;$AC569&amp;" was due "&amp;TEXT($AB569,"dd-mmm")&amp;" - "&amp;(NETWORKDAYS($AB569,TODAY(),Holidays)-1)&amp;" business day(s) late. Send now.",IF($U569="DUE TOMORROW","Next: "&amp;$AC569&amp;IF($AB569&lt;=TODAY()," is due TODAY ("," is due next business day (")&amp;TEXT($AB569,"dd-mmm")&amp;").","Next: "&amp;$AC569&amp;" due "&amp;TEXT($AB569,"dd-mmm")&amp;" ("&amp;(NETWORKDAYS(TODAY(),$AB569,Holidays)-1)&amp;" business day(s) left).")))))</f>
        <v/>
      </c>
      <c r="W569" s="17">
        <f>IF($Z569="","",CHOOSE($Z569,"Collection Email","1st Follow-up","2nd Follow-up","Local Office","CBE","Roxanne")&amp;IF($Z569=6," - Final"," - Day "&amp;MAX(0,NETWORKDAYS($AA569,TODAY(),Holidays)-1)&amp;" of "&amp;CHOOSE($Z569,3,3,2,2,3))&amp;" | Total Day "&amp;MAX(0,NETWORKDAYS($N569,TODAY(),Holidays)-1))</f>
        <v/>
      </c>
      <c r="X569" s="18"/>
      <c r="Y569" s="18"/>
      <c r="Z569" s="17">
        <f>IF($N569="","",COUNT($N569:$S569))</f>
        <v/>
      </c>
      <c r="AA569" s="19">
        <f>IF($Z569="","",INT(INDEX($N569:$S569,$Z569)))</f>
        <v/>
      </c>
      <c r="AB569" s="19">
        <f>IF(OR($Z569="",$Z569=6),"",WORKDAY($AA569,CHOOSE($Z569,3,3,2,2,3),Holidays))</f>
        <v/>
      </c>
      <c r="AC569" s="17">
        <f>IF(OR($Z569="",$Z569=6),"",CHOOSE($Z569,"1st Email Follow-up","2nd Email Follow-up","Escalate Local Office","Escalate to CBE","Escalate to Roxanne"))</f>
        <v/>
      </c>
    </row>
    <row r="570" spans="13:29">
      <c r="M570" s="14"/>
      <c r="T570" s="16"/>
      <c r="U570" s="17">
        <f>IF(AND(COUNTA($A570:$L570)=0,$N570=""),"",IF($T570="Paid","PAID",IF($T570="Closed","CLOSED",IF($Z570="","",IF($Z570=6,"ESCALATED TO ROXANNE",IF(TODAY()&gt;$AB570,"OVERDUE",IF($AB570&lt;=WORKDAY(TODAY(),1,Holidays),"DUE TOMORROW",IF($Z570=4,"ESCALATED TO LOCAL OFFICE",IF($Z570=5,"ESCALATED TO CBE",IF($AA570=TODAY(),"EMAIL SENT","MONITORING"))))))))))</f>
        <v/>
      </c>
      <c r="V570" s="17">
        <f>IF($U570="",IF(AND(COUNTA($A570:$L570)&gt;0,$N570=""),"Awaiting Collection Email time stamp.",""),IF(OR($U570="PAID",$U570="CLOSED"),IF($U570="PAID","Account paid. Action completed.","Account closed. No further action required."),CHOOSE($Z570,"Collection Email","1st Email Follow-up","2nd Email Follow-up","Escalation to Local Office","Escalation to CBE","Escalation to Roxanne")&amp;" sent "&amp;TEXT($AA570,"dd-mmm")&amp;". "&amp;IF($Z570=6,"Final escalation completed.",IF($U570="OVERDUE","Next: "&amp;$AC570&amp;" was due "&amp;TEXT($AB570,"dd-mmm")&amp;" - "&amp;(NETWORKDAYS($AB570,TODAY(),Holidays)-1)&amp;" business day(s) late. Send now.",IF($U570="DUE TOMORROW","Next: "&amp;$AC570&amp;IF($AB570&lt;=TODAY()," is due TODAY ("," is due next business day (")&amp;TEXT($AB570,"dd-mmm")&amp;").","Next: "&amp;$AC570&amp;" due "&amp;TEXT($AB570,"dd-mmm")&amp;" ("&amp;(NETWORKDAYS(TODAY(),$AB570,Holidays)-1)&amp;" business day(s) left).")))))</f>
        <v/>
      </c>
      <c r="W570" s="17">
        <f>IF($Z570="","",CHOOSE($Z570,"Collection Email","1st Follow-up","2nd Follow-up","Local Office","CBE","Roxanne")&amp;IF($Z570=6," - Final"," - Day "&amp;MAX(0,NETWORKDAYS($AA570,TODAY(),Holidays)-1)&amp;" of "&amp;CHOOSE($Z570,3,3,2,2,3))&amp;" | Total Day "&amp;MAX(0,NETWORKDAYS($N570,TODAY(),Holidays)-1))</f>
        <v/>
      </c>
      <c r="X570" s="18"/>
      <c r="Y570" s="18"/>
      <c r="Z570" s="17">
        <f>IF($N570="","",COUNT($N570:$S570))</f>
        <v/>
      </c>
      <c r="AA570" s="19">
        <f>IF($Z570="","",INT(INDEX($N570:$S570,$Z570)))</f>
        <v/>
      </c>
      <c r="AB570" s="19">
        <f>IF(OR($Z570="",$Z570=6),"",WORKDAY($AA570,CHOOSE($Z570,3,3,2,2,3),Holidays))</f>
        <v/>
      </c>
      <c r="AC570" s="17">
        <f>IF(OR($Z570="",$Z570=6),"",CHOOSE($Z570,"1st Email Follow-up","2nd Email Follow-up","Escalate Local Office","Escalate to CBE","Escalate to Roxanne"))</f>
        <v/>
      </c>
    </row>
    <row r="571" spans="13:29">
      <c r="M571" s="14"/>
      <c r="T571" s="16"/>
      <c r="U571" s="17">
        <f>IF(AND(COUNTA($A571:$L571)=0,$N571=""),"",IF($T571="Paid","PAID",IF($T571="Closed","CLOSED",IF($Z571="","",IF($Z571=6,"ESCALATED TO ROXANNE",IF(TODAY()&gt;$AB571,"OVERDUE",IF($AB571&lt;=WORKDAY(TODAY(),1,Holidays),"DUE TOMORROW",IF($Z571=4,"ESCALATED TO LOCAL OFFICE",IF($Z571=5,"ESCALATED TO CBE",IF($AA571=TODAY(),"EMAIL SENT","MONITORING"))))))))))</f>
        <v/>
      </c>
      <c r="V571" s="17">
        <f>IF($U571="",IF(AND(COUNTA($A571:$L571)&gt;0,$N571=""),"Awaiting Collection Email time stamp.",""),IF(OR($U571="PAID",$U571="CLOSED"),IF($U571="PAID","Account paid. Action completed.","Account closed. No further action required."),CHOOSE($Z571,"Collection Email","1st Email Follow-up","2nd Email Follow-up","Escalation to Local Office","Escalation to CBE","Escalation to Roxanne")&amp;" sent "&amp;TEXT($AA571,"dd-mmm")&amp;". "&amp;IF($Z571=6,"Final escalation completed.",IF($U571="OVERDUE","Next: "&amp;$AC571&amp;" was due "&amp;TEXT($AB571,"dd-mmm")&amp;" - "&amp;(NETWORKDAYS($AB571,TODAY(),Holidays)-1)&amp;" business day(s) late. Send now.",IF($U571="DUE TOMORROW","Next: "&amp;$AC571&amp;IF($AB571&lt;=TODAY()," is due TODAY ("," is due next business day (")&amp;TEXT($AB571,"dd-mmm")&amp;").","Next: "&amp;$AC571&amp;" due "&amp;TEXT($AB571,"dd-mmm")&amp;" ("&amp;(NETWORKDAYS(TODAY(),$AB571,Holidays)-1)&amp;" business day(s) left).")))))</f>
        <v/>
      </c>
      <c r="W571" s="17">
        <f>IF($Z571="","",CHOOSE($Z571,"Collection Email","1st Follow-up","2nd Follow-up","Local Office","CBE","Roxanne")&amp;IF($Z571=6," - Final"," - Day "&amp;MAX(0,NETWORKDAYS($AA571,TODAY(),Holidays)-1)&amp;" of "&amp;CHOOSE($Z571,3,3,2,2,3))&amp;" | Total Day "&amp;MAX(0,NETWORKDAYS($N571,TODAY(),Holidays)-1))</f>
        <v/>
      </c>
      <c r="X571" s="18"/>
      <c r="Y571" s="18"/>
      <c r="Z571" s="17">
        <f>IF($N571="","",COUNT($N571:$S571))</f>
        <v/>
      </c>
      <c r="AA571" s="19">
        <f>IF($Z571="","",INT(INDEX($N571:$S571,$Z571)))</f>
        <v/>
      </c>
      <c r="AB571" s="19">
        <f>IF(OR($Z571="",$Z571=6),"",WORKDAY($AA571,CHOOSE($Z571,3,3,2,2,3),Holidays))</f>
        <v/>
      </c>
      <c r="AC571" s="17">
        <f>IF(OR($Z571="",$Z571=6),"",CHOOSE($Z571,"1st Email Follow-up","2nd Email Follow-up","Escalate Local Office","Escalate to CBE","Escalate to Roxanne"))</f>
        <v/>
      </c>
    </row>
    <row r="572" spans="13:29">
      <c r="M572" s="14"/>
      <c r="T572" s="16"/>
      <c r="U572" s="17">
        <f>IF(AND(COUNTA($A572:$L572)=0,$N572=""),"",IF($T572="Paid","PAID",IF($T572="Closed","CLOSED",IF($Z572="","",IF($Z572=6,"ESCALATED TO ROXANNE",IF(TODAY()&gt;$AB572,"OVERDUE",IF($AB572&lt;=WORKDAY(TODAY(),1,Holidays),"DUE TOMORROW",IF($Z572=4,"ESCALATED TO LOCAL OFFICE",IF($Z572=5,"ESCALATED TO CBE",IF($AA572=TODAY(),"EMAIL SENT","MONITORING"))))))))))</f>
        <v/>
      </c>
      <c r="V572" s="17">
        <f>IF($U572="",IF(AND(COUNTA($A572:$L572)&gt;0,$N572=""),"Awaiting Collection Email time stamp.",""),IF(OR($U572="PAID",$U572="CLOSED"),IF($U572="PAID","Account paid. Action completed.","Account closed. No further action required."),CHOOSE($Z572,"Collection Email","1st Email Follow-up","2nd Email Follow-up","Escalation to Local Office","Escalation to CBE","Escalation to Roxanne")&amp;" sent "&amp;TEXT($AA572,"dd-mmm")&amp;". "&amp;IF($Z572=6,"Final escalation completed.",IF($U572="OVERDUE","Next: "&amp;$AC572&amp;" was due "&amp;TEXT($AB572,"dd-mmm")&amp;" - "&amp;(NETWORKDAYS($AB572,TODAY(),Holidays)-1)&amp;" business day(s) late. Send now.",IF($U572="DUE TOMORROW","Next: "&amp;$AC572&amp;IF($AB572&lt;=TODAY()," is due TODAY ("," is due next business day (")&amp;TEXT($AB572,"dd-mmm")&amp;").","Next: "&amp;$AC572&amp;" due "&amp;TEXT($AB572,"dd-mmm")&amp;" ("&amp;(NETWORKDAYS(TODAY(),$AB572,Holidays)-1)&amp;" business day(s) left).")))))</f>
        <v/>
      </c>
      <c r="W572" s="17">
        <f>IF($Z572="","",CHOOSE($Z572,"Collection Email","1st Follow-up","2nd Follow-up","Local Office","CBE","Roxanne")&amp;IF($Z572=6," - Final"," - Day "&amp;MAX(0,NETWORKDAYS($AA572,TODAY(),Holidays)-1)&amp;" of "&amp;CHOOSE($Z572,3,3,2,2,3))&amp;" | Total Day "&amp;MAX(0,NETWORKDAYS($N572,TODAY(),Holidays)-1))</f>
        <v/>
      </c>
      <c r="X572" s="18"/>
      <c r="Y572" s="18"/>
      <c r="Z572" s="17">
        <f>IF($N572="","",COUNT($N572:$S572))</f>
        <v/>
      </c>
      <c r="AA572" s="19">
        <f>IF($Z572="","",INT(INDEX($N572:$S572,$Z572)))</f>
        <v/>
      </c>
      <c r="AB572" s="19">
        <f>IF(OR($Z572="",$Z572=6),"",WORKDAY($AA572,CHOOSE($Z572,3,3,2,2,3),Holidays))</f>
        <v/>
      </c>
      <c r="AC572" s="17">
        <f>IF(OR($Z572="",$Z572=6),"",CHOOSE($Z572,"1st Email Follow-up","2nd Email Follow-up","Escalate Local Office","Escalate to CBE","Escalate to Roxanne"))</f>
        <v/>
      </c>
    </row>
    <row r="573" spans="13:29">
      <c r="M573" s="14"/>
      <c r="T573" s="16"/>
      <c r="U573" s="17">
        <f>IF(AND(COUNTA($A573:$L573)=0,$N573=""),"",IF($T573="Paid","PAID",IF($T573="Closed","CLOSED",IF($Z573="","",IF($Z573=6,"ESCALATED TO ROXANNE",IF(TODAY()&gt;$AB573,"OVERDUE",IF($AB573&lt;=WORKDAY(TODAY(),1,Holidays),"DUE TOMORROW",IF($Z573=4,"ESCALATED TO LOCAL OFFICE",IF($Z573=5,"ESCALATED TO CBE",IF($AA573=TODAY(),"EMAIL SENT","MONITORING"))))))))))</f>
        <v/>
      </c>
      <c r="V573" s="17">
        <f>IF($U573="",IF(AND(COUNTA($A573:$L573)&gt;0,$N573=""),"Awaiting Collection Email time stamp.",""),IF(OR($U573="PAID",$U573="CLOSED"),IF($U573="PAID","Account paid. Action completed.","Account closed. No further action required."),CHOOSE($Z573,"Collection Email","1st Email Follow-up","2nd Email Follow-up","Escalation to Local Office","Escalation to CBE","Escalation to Roxanne")&amp;" sent "&amp;TEXT($AA573,"dd-mmm")&amp;". "&amp;IF($Z573=6,"Final escalation completed.",IF($U573="OVERDUE","Next: "&amp;$AC573&amp;" was due "&amp;TEXT($AB573,"dd-mmm")&amp;" - "&amp;(NETWORKDAYS($AB573,TODAY(),Holidays)-1)&amp;" business day(s) late. Send now.",IF($U573="DUE TOMORROW","Next: "&amp;$AC573&amp;IF($AB573&lt;=TODAY()," is due TODAY ("," is due next business day (")&amp;TEXT($AB573,"dd-mmm")&amp;").","Next: "&amp;$AC573&amp;" due "&amp;TEXT($AB573,"dd-mmm")&amp;" ("&amp;(NETWORKDAYS(TODAY(),$AB573,Holidays)-1)&amp;" business day(s) left).")))))</f>
        <v/>
      </c>
      <c r="W573" s="17">
        <f>IF($Z573="","",CHOOSE($Z573,"Collection Email","1st Follow-up","2nd Follow-up","Local Office","CBE","Roxanne")&amp;IF($Z573=6," - Final"," - Day "&amp;MAX(0,NETWORKDAYS($AA573,TODAY(),Holidays)-1)&amp;" of "&amp;CHOOSE($Z573,3,3,2,2,3))&amp;" | Total Day "&amp;MAX(0,NETWORKDAYS($N573,TODAY(),Holidays)-1))</f>
        <v/>
      </c>
      <c r="X573" s="18"/>
      <c r="Y573" s="18"/>
      <c r="Z573" s="17">
        <f>IF($N573="","",COUNT($N573:$S573))</f>
        <v/>
      </c>
      <c r="AA573" s="19">
        <f>IF($Z573="","",INT(INDEX($N573:$S573,$Z573)))</f>
        <v/>
      </c>
      <c r="AB573" s="19">
        <f>IF(OR($Z573="",$Z573=6),"",WORKDAY($AA573,CHOOSE($Z573,3,3,2,2,3),Holidays))</f>
        <v/>
      </c>
      <c r="AC573" s="17">
        <f>IF(OR($Z573="",$Z573=6),"",CHOOSE($Z573,"1st Email Follow-up","2nd Email Follow-up","Escalate Local Office","Escalate to CBE","Escalate to Roxanne"))</f>
        <v/>
      </c>
    </row>
    <row r="574" spans="13:29">
      <c r="M574" s="14"/>
      <c r="T574" s="16"/>
      <c r="U574" s="17">
        <f>IF(AND(COUNTA($A574:$L574)=0,$N574=""),"",IF($T574="Paid","PAID",IF($T574="Closed","CLOSED",IF($Z574="","",IF($Z574=6,"ESCALATED TO ROXANNE",IF(TODAY()&gt;$AB574,"OVERDUE",IF($AB574&lt;=WORKDAY(TODAY(),1,Holidays),"DUE TOMORROW",IF($Z574=4,"ESCALATED TO LOCAL OFFICE",IF($Z574=5,"ESCALATED TO CBE",IF($AA574=TODAY(),"EMAIL SENT","MONITORING"))))))))))</f>
        <v/>
      </c>
      <c r="V574" s="17">
        <f>IF($U574="",IF(AND(COUNTA($A574:$L574)&gt;0,$N574=""),"Awaiting Collection Email time stamp.",""),IF(OR($U574="PAID",$U574="CLOSED"),IF($U574="PAID","Account paid. Action completed.","Account closed. No further action required."),CHOOSE($Z574,"Collection Email","1st Email Follow-up","2nd Email Follow-up","Escalation to Local Office","Escalation to CBE","Escalation to Roxanne")&amp;" sent "&amp;TEXT($AA574,"dd-mmm")&amp;". "&amp;IF($Z574=6,"Final escalation completed.",IF($U574="OVERDUE","Next: "&amp;$AC574&amp;" was due "&amp;TEXT($AB574,"dd-mmm")&amp;" - "&amp;(NETWORKDAYS($AB574,TODAY(),Holidays)-1)&amp;" business day(s) late. Send now.",IF($U574="DUE TOMORROW","Next: "&amp;$AC574&amp;IF($AB574&lt;=TODAY()," is due TODAY ("," is due next business day (")&amp;TEXT($AB574,"dd-mmm")&amp;").","Next: "&amp;$AC574&amp;" due "&amp;TEXT($AB574,"dd-mmm")&amp;" ("&amp;(NETWORKDAYS(TODAY(),$AB574,Holidays)-1)&amp;" business day(s) left).")))))</f>
        <v/>
      </c>
      <c r="W574" s="17">
        <f>IF($Z574="","",CHOOSE($Z574,"Collection Email","1st Follow-up","2nd Follow-up","Local Office","CBE","Roxanne")&amp;IF($Z574=6," - Final"," - Day "&amp;MAX(0,NETWORKDAYS($AA574,TODAY(),Holidays)-1)&amp;" of "&amp;CHOOSE($Z574,3,3,2,2,3))&amp;" | Total Day "&amp;MAX(0,NETWORKDAYS($N574,TODAY(),Holidays)-1))</f>
        <v/>
      </c>
      <c r="X574" s="18"/>
      <c r="Y574" s="18"/>
      <c r="Z574" s="17">
        <f>IF($N574="","",COUNT($N574:$S574))</f>
        <v/>
      </c>
      <c r="AA574" s="19">
        <f>IF($Z574="","",INT(INDEX($N574:$S574,$Z574)))</f>
        <v/>
      </c>
      <c r="AB574" s="19">
        <f>IF(OR($Z574="",$Z574=6),"",WORKDAY($AA574,CHOOSE($Z574,3,3,2,2,3),Holidays))</f>
        <v/>
      </c>
      <c r="AC574" s="17">
        <f>IF(OR($Z574="",$Z574=6),"",CHOOSE($Z574,"1st Email Follow-up","2nd Email Follow-up","Escalate Local Office","Escalate to CBE","Escalate to Roxanne"))</f>
        <v/>
      </c>
    </row>
    <row r="575" spans="13:29">
      <c r="M575" s="14"/>
      <c r="T575" s="16"/>
      <c r="U575" s="17">
        <f>IF(AND(COUNTA($A575:$L575)=0,$N575=""),"",IF($T575="Paid","PAID",IF($T575="Closed","CLOSED",IF($Z575="","",IF($Z575=6,"ESCALATED TO ROXANNE",IF(TODAY()&gt;$AB575,"OVERDUE",IF($AB575&lt;=WORKDAY(TODAY(),1,Holidays),"DUE TOMORROW",IF($Z575=4,"ESCALATED TO LOCAL OFFICE",IF($Z575=5,"ESCALATED TO CBE",IF($AA575=TODAY(),"EMAIL SENT","MONITORING"))))))))))</f>
        <v/>
      </c>
      <c r="V575" s="17">
        <f>IF($U575="",IF(AND(COUNTA($A575:$L575)&gt;0,$N575=""),"Awaiting Collection Email time stamp.",""),IF(OR($U575="PAID",$U575="CLOSED"),IF($U575="PAID","Account paid. Action completed.","Account closed. No further action required."),CHOOSE($Z575,"Collection Email","1st Email Follow-up","2nd Email Follow-up","Escalation to Local Office","Escalation to CBE","Escalation to Roxanne")&amp;" sent "&amp;TEXT($AA575,"dd-mmm")&amp;". "&amp;IF($Z575=6,"Final escalation completed.",IF($U575="OVERDUE","Next: "&amp;$AC575&amp;" was due "&amp;TEXT($AB575,"dd-mmm")&amp;" - "&amp;(NETWORKDAYS($AB575,TODAY(),Holidays)-1)&amp;" business day(s) late. Send now.",IF($U575="DUE TOMORROW","Next: "&amp;$AC575&amp;IF($AB575&lt;=TODAY()," is due TODAY ("," is due next business day (")&amp;TEXT($AB575,"dd-mmm")&amp;").","Next: "&amp;$AC575&amp;" due "&amp;TEXT($AB575,"dd-mmm")&amp;" ("&amp;(NETWORKDAYS(TODAY(),$AB575,Holidays)-1)&amp;" business day(s) left).")))))</f>
        <v/>
      </c>
      <c r="W575" s="17">
        <f>IF($Z575="","",CHOOSE($Z575,"Collection Email","1st Follow-up","2nd Follow-up","Local Office","CBE","Roxanne")&amp;IF($Z575=6," - Final"," - Day "&amp;MAX(0,NETWORKDAYS($AA575,TODAY(),Holidays)-1)&amp;" of "&amp;CHOOSE($Z575,3,3,2,2,3))&amp;" | Total Day "&amp;MAX(0,NETWORKDAYS($N575,TODAY(),Holidays)-1))</f>
        <v/>
      </c>
      <c r="X575" s="18"/>
      <c r="Y575" s="18"/>
      <c r="Z575" s="17">
        <f>IF($N575="","",COUNT($N575:$S575))</f>
        <v/>
      </c>
      <c r="AA575" s="19">
        <f>IF($Z575="","",INT(INDEX($N575:$S575,$Z575)))</f>
        <v/>
      </c>
      <c r="AB575" s="19">
        <f>IF(OR($Z575="",$Z575=6),"",WORKDAY($AA575,CHOOSE($Z575,3,3,2,2,3),Holidays))</f>
        <v/>
      </c>
      <c r="AC575" s="17">
        <f>IF(OR($Z575="",$Z575=6),"",CHOOSE($Z575,"1st Email Follow-up","2nd Email Follow-up","Escalate Local Office","Escalate to CBE","Escalate to Roxanne"))</f>
        <v/>
      </c>
    </row>
    <row r="576" spans="13:29">
      <c r="M576" s="14"/>
      <c r="T576" s="16"/>
      <c r="U576" s="17">
        <f>IF(AND(COUNTA($A576:$L576)=0,$N576=""),"",IF($T576="Paid","PAID",IF($T576="Closed","CLOSED",IF($Z576="","",IF($Z576=6,"ESCALATED TO ROXANNE",IF(TODAY()&gt;$AB576,"OVERDUE",IF($AB576&lt;=WORKDAY(TODAY(),1,Holidays),"DUE TOMORROW",IF($Z576=4,"ESCALATED TO LOCAL OFFICE",IF($Z576=5,"ESCALATED TO CBE",IF($AA576=TODAY(),"EMAIL SENT","MONITORING"))))))))))</f>
        <v/>
      </c>
      <c r="V576" s="17">
        <f>IF($U576="",IF(AND(COUNTA($A576:$L576)&gt;0,$N576=""),"Awaiting Collection Email time stamp.",""),IF(OR($U576="PAID",$U576="CLOSED"),IF($U576="PAID","Account paid. Action completed.","Account closed. No further action required."),CHOOSE($Z576,"Collection Email","1st Email Follow-up","2nd Email Follow-up","Escalation to Local Office","Escalation to CBE","Escalation to Roxanne")&amp;" sent "&amp;TEXT($AA576,"dd-mmm")&amp;". "&amp;IF($Z576=6,"Final escalation completed.",IF($U576="OVERDUE","Next: "&amp;$AC576&amp;" was due "&amp;TEXT($AB576,"dd-mmm")&amp;" - "&amp;(NETWORKDAYS($AB576,TODAY(),Holidays)-1)&amp;" business day(s) late. Send now.",IF($U576="DUE TOMORROW","Next: "&amp;$AC576&amp;IF($AB576&lt;=TODAY()," is due TODAY ("," is due next business day (")&amp;TEXT($AB576,"dd-mmm")&amp;").","Next: "&amp;$AC576&amp;" due "&amp;TEXT($AB576,"dd-mmm")&amp;" ("&amp;(NETWORKDAYS(TODAY(),$AB576,Holidays)-1)&amp;" business day(s) left).")))))</f>
        <v/>
      </c>
      <c r="W576" s="17">
        <f>IF($Z576="","",CHOOSE($Z576,"Collection Email","1st Follow-up","2nd Follow-up","Local Office","CBE","Roxanne")&amp;IF($Z576=6," - Final"," - Day "&amp;MAX(0,NETWORKDAYS($AA576,TODAY(),Holidays)-1)&amp;" of "&amp;CHOOSE($Z576,3,3,2,2,3))&amp;" | Total Day "&amp;MAX(0,NETWORKDAYS($N576,TODAY(),Holidays)-1))</f>
        <v/>
      </c>
      <c r="X576" s="18"/>
      <c r="Y576" s="18"/>
      <c r="Z576" s="17">
        <f>IF($N576="","",COUNT($N576:$S576))</f>
        <v/>
      </c>
      <c r="AA576" s="19">
        <f>IF($Z576="","",INT(INDEX($N576:$S576,$Z576)))</f>
        <v/>
      </c>
      <c r="AB576" s="19">
        <f>IF(OR($Z576="",$Z576=6),"",WORKDAY($AA576,CHOOSE($Z576,3,3,2,2,3),Holidays))</f>
        <v/>
      </c>
      <c r="AC576" s="17">
        <f>IF(OR($Z576="",$Z576=6),"",CHOOSE($Z576,"1st Email Follow-up","2nd Email Follow-up","Escalate Local Office","Escalate to CBE","Escalate to Roxanne"))</f>
        <v/>
      </c>
    </row>
    <row r="577" spans="13:29">
      <c r="M577" s="14"/>
      <c r="T577" s="16"/>
      <c r="U577" s="17">
        <f>IF(AND(COUNTA($A577:$L577)=0,$N577=""),"",IF($T577="Paid","PAID",IF($T577="Closed","CLOSED",IF($Z577="","",IF($Z577=6,"ESCALATED TO ROXANNE",IF(TODAY()&gt;$AB577,"OVERDUE",IF($AB577&lt;=WORKDAY(TODAY(),1,Holidays),"DUE TOMORROW",IF($Z577=4,"ESCALATED TO LOCAL OFFICE",IF($Z577=5,"ESCALATED TO CBE",IF($AA577=TODAY(),"EMAIL SENT","MONITORING"))))))))))</f>
        <v/>
      </c>
      <c r="V577" s="17">
        <f>IF($U577="",IF(AND(COUNTA($A577:$L577)&gt;0,$N577=""),"Awaiting Collection Email time stamp.",""),IF(OR($U577="PAID",$U577="CLOSED"),IF($U577="PAID","Account paid. Action completed.","Account closed. No further action required."),CHOOSE($Z577,"Collection Email","1st Email Follow-up","2nd Email Follow-up","Escalation to Local Office","Escalation to CBE","Escalation to Roxanne")&amp;" sent "&amp;TEXT($AA577,"dd-mmm")&amp;". "&amp;IF($Z577=6,"Final escalation completed.",IF($U577="OVERDUE","Next: "&amp;$AC577&amp;" was due "&amp;TEXT($AB577,"dd-mmm")&amp;" - "&amp;(NETWORKDAYS($AB577,TODAY(),Holidays)-1)&amp;" business day(s) late. Send now.",IF($U577="DUE TOMORROW","Next: "&amp;$AC577&amp;IF($AB577&lt;=TODAY()," is due TODAY ("," is due next business day (")&amp;TEXT($AB577,"dd-mmm")&amp;").","Next: "&amp;$AC577&amp;" due "&amp;TEXT($AB577,"dd-mmm")&amp;" ("&amp;(NETWORKDAYS(TODAY(),$AB577,Holidays)-1)&amp;" business day(s) left).")))))</f>
        <v/>
      </c>
      <c r="W577" s="17">
        <f>IF($Z577="","",CHOOSE($Z577,"Collection Email","1st Follow-up","2nd Follow-up","Local Office","CBE","Roxanne")&amp;IF($Z577=6," - Final"," - Day "&amp;MAX(0,NETWORKDAYS($AA577,TODAY(),Holidays)-1)&amp;" of "&amp;CHOOSE($Z577,3,3,2,2,3))&amp;" | Total Day "&amp;MAX(0,NETWORKDAYS($N577,TODAY(),Holidays)-1))</f>
        <v/>
      </c>
      <c r="X577" s="18"/>
      <c r="Y577" s="18"/>
      <c r="Z577" s="17">
        <f>IF($N577="","",COUNT($N577:$S577))</f>
        <v/>
      </c>
      <c r="AA577" s="19">
        <f>IF($Z577="","",INT(INDEX($N577:$S577,$Z577)))</f>
        <v/>
      </c>
      <c r="AB577" s="19">
        <f>IF(OR($Z577="",$Z577=6),"",WORKDAY($AA577,CHOOSE($Z577,3,3,2,2,3),Holidays))</f>
        <v/>
      </c>
      <c r="AC577" s="17">
        <f>IF(OR($Z577="",$Z577=6),"",CHOOSE($Z577,"1st Email Follow-up","2nd Email Follow-up","Escalate Local Office","Escalate to CBE","Escalate to Roxanne"))</f>
        <v/>
      </c>
    </row>
    <row r="578" spans="13:29">
      <c r="M578" s="14"/>
      <c r="T578" s="16"/>
      <c r="U578" s="17">
        <f>IF(AND(COUNTA($A578:$L578)=0,$N578=""),"",IF($T578="Paid","PAID",IF($T578="Closed","CLOSED",IF($Z578="","",IF($Z578=6,"ESCALATED TO ROXANNE",IF(TODAY()&gt;$AB578,"OVERDUE",IF($AB578&lt;=WORKDAY(TODAY(),1,Holidays),"DUE TOMORROW",IF($Z578=4,"ESCALATED TO LOCAL OFFICE",IF($Z578=5,"ESCALATED TO CBE",IF($AA578=TODAY(),"EMAIL SENT","MONITORING"))))))))))</f>
        <v/>
      </c>
      <c r="V578" s="17">
        <f>IF($U578="",IF(AND(COUNTA($A578:$L578)&gt;0,$N578=""),"Awaiting Collection Email time stamp.",""),IF(OR($U578="PAID",$U578="CLOSED"),IF($U578="PAID","Account paid. Action completed.","Account closed. No further action required."),CHOOSE($Z578,"Collection Email","1st Email Follow-up","2nd Email Follow-up","Escalation to Local Office","Escalation to CBE","Escalation to Roxanne")&amp;" sent "&amp;TEXT($AA578,"dd-mmm")&amp;". "&amp;IF($Z578=6,"Final escalation completed.",IF($U578="OVERDUE","Next: "&amp;$AC578&amp;" was due "&amp;TEXT($AB578,"dd-mmm")&amp;" - "&amp;(NETWORKDAYS($AB578,TODAY(),Holidays)-1)&amp;" business day(s) late. Send now.",IF($U578="DUE TOMORROW","Next: "&amp;$AC578&amp;IF($AB578&lt;=TODAY()," is due TODAY ("," is due next business day (")&amp;TEXT($AB578,"dd-mmm")&amp;").","Next: "&amp;$AC578&amp;" due "&amp;TEXT($AB578,"dd-mmm")&amp;" ("&amp;(NETWORKDAYS(TODAY(),$AB578,Holidays)-1)&amp;" business day(s) left).")))))</f>
        <v/>
      </c>
      <c r="W578" s="17">
        <f>IF($Z578="","",CHOOSE($Z578,"Collection Email","1st Follow-up","2nd Follow-up","Local Office","CBE","Roxanne")&amp;IF($Z578=6," - Final"," - Day "&amp;MAX(0,NETWORKDAYS($AA578,TODAY(),Holidays)-1)&amp;" of "&amp;CHOOSE($Z578,3,3,2,2,3))&amp;" | Total Day "&amp;MAX(0,NETWORKDAYS($N578,TODAY(),Holidays)-1))</f>
        <v/>
      </c>
      <c r="X578" s="18"/>
      <c r="Y578" s="18"/>
      <c r="Z578" s="17">
        <f>IF($N578="","",COUNT($N578:$S578))</f>
        <v/>
      </c>
      <c r="AA578" s="19">
        <f>IF($Z578="","",INT(INDEX($N578:$S578,$Z578)))</f>
        <v/>
      </c>
      <c r="AB578" s="19">
        <f>IF(OR($Z578="",$Z578=6),"",WORKDAY($AA578,CHOOSE($Z578,3,3,2,2,3),Holidays))</f>
        <v/>
      </c>
      <c r="AC578" s="17">
        <f>IF(OR($Z578="",$Z578=6),"",CHOOSE($Z578,"1st Email Follow-up","2nd Email Follow-up","Escalate Local Office","Escalate to CBE","Escalate to Roxanne"))</f>
        <v/>
      </c>
    </row>
    <row r="579" spans="13:29">
      <c r="M579" s="14"/>
      <c r="T579" s="16"/>
      <c r="U579" s="17">
        <f>IF(AND(COUNTA($A579:$L579)=0,$N579=""),"",IF($T579="Paid","PAID",IF($T579="Closed","CLOSED",IF($Z579="","",IF($Z579=6,"ESCALATED TO ROXANNE",IF(TODAY()&gt;$AB579,"OVERDUE",IF($AB579&lt;=WORKDAY(TODAY(),1,Holidays),"DUE TOMORROW",IF($Z579=4,"ESCALATED TO LOCAL OFFICE",IF($Z579=5,"ESCALATED TO CBE",IF($AA579=TODAY(),"EMAIL SENT","MONITORING"))))))))))</f>
        <v/>
      </c>
      <c r="V579" s="17">
        <f>IF($U579="",IF(AND(COUNTA($A579:$L579)&gt;0,$N579=""),"Awaiting Collection Email time stamp.",""),IF(OR($U579="PAID",$U579="CLOSED"),IF($U579="PAID","Account paid. Action completed.","Account closed. No further action required."),CHOOSE($Z579,"Collection Email","1st Email Follow-up","2nd Email Follow-up","Escalation to Local Office","Escalation to CBE","Escalation to Roxanne")&amp;" sent "&amp;TEXT($AA579,"dd-mmm")&amp;". "&amp;IF($Z579=6,"Final escalation completed.",IF($U579="OVERDUE","Next: "&amp;$AC579&amp;" was due "&amp;TEXT($AB579,"dd-mmm")&amp;" - "&amp;(NETWORKDAYS($AB579,TODAY(),Holidays)-1)&amp;" business day(s) late. Send now.",IF($U579="DUE TOMORROW","Next: "&amp;$AC579&amp;IF($AB579&lt;=TODAY()," is due TODAY ("," is due next business day (")&amp;TEXT($AB579,"dd-mmm")&amp;").","Next: "&amp;$AC579&amp;" due "&amp;TEXT($AB579,"dd-mmm")&amp;" ("&amp;(NETWORKDAYS(TODAY(),$AB579,Holidays)-1)&amp;" business day(s) left).")))))</f>
        <v/>
      </c>
      <c r="W579" s="17">
        <f>IF($Z579="","",CHOOSE($Z579,"Collection Email","1st Follow-up","2nd Follow-up","Local Office","CBE","Roxanne")&amp;IF($Z579=6," - Final"," - Day "&amp;MAX(0,NETWORKDAYS($AA579,TODAY(),Holidays)-1)&amp;" of "&amp;CHOOSE($Z579,3,3,2,2,3))&amp;" | Total Day "&amp;MAX(0,NETWORKDAYS($N579,TODAY(),Holidays)-1))</f>
        <v/>
      </c>
      <c r="X579" s="18"/>
      <c r="Y579" s="18"/>
      <c r="Z579" s="17">
        <f>IF($N579="","",COUNT($N579:$S579))</f>
        <v/>
      </c>
      <c r="AA579" s="19">
        <f>IF($Z579="","",INT(INDEX($N579:$S579,$Z579)))</f>
        <v/>
      </c>
      <c r="AB579" s="19">
        <f>IF(OR($Z579="",$Z579=6),"",WORKDAY($AA579,CHOOSE($Z579,3,3,2,2,3),Holidays))</f>
        <v/>
      </c>
      <c r="AC579" s="17">
        <f>IF(OR($Z579="",$Z579=6),"",CHOOSE($Z579,"1st Email Follow-up","2nd Email Follow-up","Escalate Local Office","Escalate to CBE","Escalate to Roxanne"))</f>
        <v/>
      </c>
    </row>
    <row r="580" spans="13:29">
      <c r="M580" s="14"/>
      <c r="T580" s="16"/>
      <c r="U580" s="17">
        <f>IF(AND(COUNTA($A580:$L580)=0,$N580=""),"",IF($T580="Paid","PAID",IF($T580="Closed","CLOSED",IF($Z580="","",IF($Z580=6,"ESCALATED TO ROXANNE",IF(TODAY()&gt;$AB580,"OVERDUE",IF($AB580&lt;=WORKDAY(TODAY(),1,Holidays),"DUE TOMORROW",IF($Z580=4,"ESCALATED TO LOCAL OFFICE",IF($Z580=5,"ESCALATED TO CBE",IF($AA580=TODAY(),"EMAIL SENT","MONITORING"))))))))))</f>
        <v/>
      </c>
      <c r="V580" s="17">
        <f>IF($U580="",IF(AND(COUNTA($A580:$L580)&gt;0,$N580=""),"Awaiting Collection Email time stamp.",""),IF(OR($U580="PAID",$U580="CLOSED"),IF($U580="PAID","Account paid. Action completed.","Account closed. No further action required."),CHOOSE($Z580,"Collection Email","1st Email Follow-up","2nd Email Follow-up","Escalation to Local Office","Escalation to CBE","Escalation to Roxanne")&amp;" sent "&amp;TEXT($AA580,"dd-mmm")&amp;". "&amp;IF($Z580=6,"Final escalation completed.",IF($U580="OVERDUE","Next: "&amp;$AC580&amp;" was due "&amp;TEXT($AB580,"dd-mmm")&amp;" - "&amp;(NETWORKDAYS($AB580,TODAY(),Holidays)-1)&amp;" business day(s) late. Send now.",IF($U580="DUE TOMORROW","Next: "&amp;$AC580&amp;IF($AB580&lt;=TODAY()," is due TODAY ("," is due next business day (")&amp;TEXT($AB580,"dd-mmm")&amp;").","Next: "&amp;$AC580&amp;" due "&amp;TEXT($AB580,"dd-mmm")&amp;" ("&amp;(NETWORKDAYS(TODAY(),$AB580,Holidays)-1)&amp;" business day(s) left).")))))</f>
        <v/>
      </c>
      <c r="W580" s="17">
        <f>IF($Z580="","",CHOOSE($Z580,"Collection Email","1st Follow-up","2nd Follow-up","Local Office","CBE","Roxanne")&amp;IF($Z580=6," - Final"," - Day "&amp;MAX(0,NETWORKDAYS($AA580,TODAY(),Holidays)-1)&amp;" of "&amp;CHOOSE($Z580,3,3,2,2,3))&amp;" | Total Day "&amp;MAX(0,NETWORKDAYS($N580,TODAY(),Holidays)-1))</f>
        <v/>
      </c>
      <c r="X580" s="18"/>
      <c r="Y580" s="18"/>
      <c r="Z580" s="17">
        <f>IF($N580="","",COUNT($N580:$S580))</f>
        <v/>
      </c>
      <c r="AA580" s="19">
        <f>IF($Z580="","",INT(INDEX($N580:$S580,$Z580)))</f>
        <v/>
      </c>
      <c r="AB580" s="19">
        <f>IF(OR($Z580="",$Z580=6),"",WORKDAY($AA580,CHOOSE($Z580,3,3,2,2,3),Holidays))</f>
        <v/>
      </c>
      <c r="AC580" s="17">
        <f>IF(OR($Z580="",$Z580=6),"",CHOOSE($Z580,"1st Email Follow-up","2nd Email Follow-up","Escalate Local Office","Escalate to CBE","Escalate to Roxanne"))</f>
        <v/>
      </c>
    </row>
    <row r="581" spans="13:29">
      <c r="M581" s="14"/>
      <c r="T581" s="16"/>
      <c r="U581" s="17">
        <f>IF(AND(COUNTA($A581:$L581)=0,$N581=""),"",IF($T581="Paid","PAID",IF($T581="Closed","CLOSED",IF($Z581="","",IF($Z581=6,"ESCALATED TO ROXANNE",IF(TODAY()&gt;$AB581,"OVERDUE",IF($AB581&lt;=WORKDAY(TODAY(),1,Holidays),"DUE TOMORROW",IF($Z581=4,"ESCALATED TO LOCAL OFFICE",IF($Z581=5,"ESCALATED TO CBE",IF($AA581=TODAY(),"EMAIL SENT","MONITORING"))))))))))</f>
        <v/>
      </c>
      <c r="V581" s="17">
        <f>IF($U581="",IF(AND(COUNTA($A581:$L581)&gt;0,$N581=""),"Awaiting Collection Email time stamp.",""),IF(OR($U581="PAID",$U581="CLOSED"),IF($U581="PAID","Account paid. Action completed.","Account closed. No further action required."),CHOOSE($Z581,"Collection Email","1st Email Follow-up","2nd Email Follow-up","Escalation to Local Office","Escalation to CBE","Escalation to Roxanne")&amp;" sent "&amp;TEXT($AA581,"dd-mmm")&amp;". "&amp;IF($Z581=6,"Final escalation completed.",IF($U581="OVERDUE","Next: "&amp;$AC581&amp;" was due "&amp;TEXT($AB581,"dd-mmm")&amp;" - "&amp;(NETWORKDAYS($AB581,TODAY(),Holidays)-1)&amp;" business day(s) late. Send now.",IF($U581="DUE TOMORROW","Next: "&amp;$AC581&amp;IF($AB581&lt;=TODAY()," is due TODAY ("," is due next business day (")&amp;TEXT($AB581,"dd-mmm")&amp;").","Next: "&amp;$AC581&amp;" due "&amp;TEXT($AB581,"dd-mmm")&amp;" ("&amp;(NETWORKDAYS(TODAY(),$AB581,Holidays)-1)&amp;" business day(s) left).")))))</f>
        <v/>
      </c>
      <c r="W581" s="17">
        <f>IF($Z581="","",CHOOSE($Z581,"Collection Email","1st Follow-up","2nd Follow-up","Local Office","CBE","Roxanne")&amp;IF($Z581=6," - Final"," - Day "&amp;MAX(0,NETWORKDAYS($AA581,TODAY(),Holidays)-1)&amp;" of "&amp;CHOOSE($Z581,3,3,2,2,3))&amp;" | Total Day "&amp;MAX(0,NETWORKDAYS($N581,TODAY(),Holidays)-1))</f>
        <v/>
      </c>
      <c r="X581" s="18"/>
      <c r="Y581" s="18"/>
      <c r="Z581" s="17">
        <f>IF($N581="","",COUNT($N581:$S581))</f>
        <v/>
      </c>
      <c r="AA581" s="19">
        <f>IF($Z581="","",INT(INDEX($N581:$S581,$Z581)))</f>
        <v/>
      </c>
      <c r="AB581" s="19">
        <f>IF(OR($Z581="",$Z581=6),"",WORKDAY($AA581,CHOOSE($Z581,3,3,2,2,3),Holidays))</f>
        <v/>
      </c>
      <c r="AC581" s="17">
        <f>IF(OR($Z581="",$Z581=6),"",CHOOSE($Z581,"1st Email Follow-up","2nd Email Follow-up","Escalate Local Office","Escalate to CBE","Escalate to Roxanne"))</f>
        <v/>
      </c>
    </row>
    <row r="582" spans="13:29">
      <c r="M582" s="14"/>
      <c r="T582" s="16"/>
      <c r="U582" s="17">
        <f>IF(AND(COUNTA($A582:$L582)=0,$N582=""),"",IF($T582="Paid","PAID",IF($T582="Closed","CLOSED",IF($Z582="","",IF($Z582=6,"ESCALATED TO ROXANNE",IF(TODAY()&gt;$AB582,"OVERDUE",IF($AB582&lt;=WORKDAY(TODAY(),1,Holidays),"DUE TOMORROW",IF($Z582=4,"ESCALATED TO LOCAL OFFICE",IF($Z582=5,"ESCALATED TO CBE",IF($AA582=TODAY(),"EMAIL SENT","MONITORING"))))))))))</f>
        <v/>
      </c>
      <c r="V582" s="17">
        <f>IF($U582="",IF(AND(COUNTA($A582:$L582)&gt;0,$N582=""),"Awaiting Collection Email time stamp.",""),IF(OR($U582="PAID",$U582="CLOSED"),IF($U582="PAID","Account paid. Action completed.","Account closed. No further action required."),CHOOSE($Z582,"Collection Email","1st Email Follow-up","2nd Email Follow-up","Escalation to Local Office","Escalation to CBE","Escalation to Roxanne")&amp;" sent "&amp;TEXT($AA582,"dd-mmm")&amp;". "&amp;IF($Z582=6,"Final escalation completed.",IF($U582="OVERDUE","Next: "&amp;$AC582&amp;" was due "&amp;TEXT($AB582,"dd-mmm")&amp;" - "&amp;(NETWORKDAYS($AB582,TODAY(),Holidays)-1)&amp;" business day(s) late. Send now.",IF($U582="DUE TOMORROW","Next: "&amp;$AC582&amp;IF($AB582&lt;=TODAY()," is due TODAY ("," is due next business day (")&amp;TEXT($AB582,"dd-mmm")&amp;").","Next: "&amp;$AC582&amp;" due "&amp;TEXT($AB582,"dd-mmm")&amp;" ("&amp;(NETWORKDAYS(TODAY(),$AB582,Holidays)-1)&amp;" business day(s) left).")))))</f>
        <v/>
      </c>
      <c r="W582" s="17">
        <f>IF($Z582="","",CHOOSE($Z582,"Collection Email","1st Follow-up","2nd Follow-up","Local Office","CBE","Roxanne")&amp;IF($Z582=6," - Final"," - Day "&amp;MAX(0,NETWORKDAYS($AA582,TODAY(),Holidays)-1)&amp;" of "&amp;CHOOSE($Z582,3,3,2,2,3))&amp;" | Total Day "&amp;MAX(0,NETWORKDAYS($N582,TODAY(),Holidays)-1))</f>
        <v/>
      </c>
      <c r="X582" s="18"/>
      <c r="Y582" s="18"/>
      <c r="Z582" s="17">
        <f>IF($N582="","",COUNT($N582:$S582))</f>
        <v/>
      </c>
      <c r="AA582" s="19">
        <f>IF($Z582="","",INT(INDEX($N582:$S582,$Z582)))</f>
        <v/>
      </c>
      <c r="AB582" s="19">
        <f>IF(OR($Z582="",$Z582=6),"",WORKDAY($AA582,CHOOSE($Z582,3,3,2,2,3),Holidays))</f>
        <v/>
      </c>
      <c r="AC582" s="17">
        <f>IF(OR($Z582="",$Z582=6),"",CHOOSE($Z582,"1st Email Follow-up","2nd Email Follow-up","Escalate Local Office","Escalate to CBE","Escalate to Roxanne"))</f>
        <v/>
      </c>
    </row>
    <row r="583" spans="13:29">
      <c r="M583" s="14"/>
      <c r="T583" s="16"/>
      <c r="U583" s="17">
        <f>IF(AND(COUNTA($A583:$L583)=0,$N583=""),"",IF($T583="Paid","PAID",IF($T583="Closed","CLOSED",IF($Z583="","",IF($Z583=6,"ESCALATED TO ROXANNE",IF(TODAY()&gt;$AB583,"OVERDUE",IF($AB583&lt;=WORKDAY(TODAY(),1,Holidays),"DUE TOMORROW",IF($Z583=4,"ESCALATED TO LOCAL OFFICE",IF($Z583=5,"ESCALATED TO CBE",IF($AA583=TODAY(),"EMAIL SENT","MONITORING"))))))))))</f>
        <v/>
      </c>
      <c r="V583" s="17">
        <f>IF($U583="",IF(AND(COUNTA($A583:$L583)&gt;0,$N583=""),"Awaiting Collection Email time stamp.",""),IF(OR($U583="PAID",$U583="CLOSED"),IF($U583="PAID","Account paid. Action completed.","Account closed. No further action required."),CHOOSE($Z583,"Collection Email","1st Email Follow-up","2nd Email Follow-up","Escalation to Local Office","Escalation to CBE","Escalation to Roxanne")&amp;" sent "&amp;TEXT($AA583,"dd-mmm")&amp;". "&amp;IF($Z583=6,"Final escalation completed.",IF($U583="OVERDUE","Next: "&amp;$AC583&amp;" was due "&amp;TEXT($AB583,"dd-mmm")&amp;" - "&amp;(NETWORKDAYS($AB583,TODAY(),Holidays)-1)&amp;" business day(s) late. Send now.",IF($U583="DUE TOMORROW","Next: "&amp;$AC583&amp;IF($AB583&lt;=TODAY()," is due TODAY ("," is due next business day (")&amp;TEXT($AB583,"dd-mmm")&amp;").","Next: "&amp;$AC583&amp;" due "&amp;TEXT($AB583,"dd-mmm")&amp;" ("&amp;(NETWORKDAYS(TODAY(),$AB583,Holidays)-1)&amp;" business day(s) left).")))))</f>
        <v/>
      </c>
      <c r="W583" s="17">
        <f>IF($Z583="","",CHOOSE($Z583,"Collection Email","1st Follow-up","2nd Follow-up","Local Office","CBE","Roxanne")&amp;IF($Z583=6," - Final"," - Day "&amp;MAX(0,NETWORKDAYS($AA583,TODAY(),Holidays)-1)&amp;" of "&amp;CHOOSE($Z583,3,3,2,2,3))&amp;" | Total Day "&amp;MAX(0,NETWORKDAYS($N583,TODAY(),Holidays)-1))</f>
        <v/>
      </c>
      <c r="X583" s="18"/>
      <c r="Y583" s="18"/>
      <c r="Z583" s="17">
        <f>IF($N583="","",COUNT($N583:$S583))</f>
        <v/>
      </c>
      <c r="AA583" s="19">
        <f>IF($Z583="","",INT(INDEX($N583:$S583,$Z583)))</f>
        <v/>
      </c>
      <c r="AB583" s="19">
        <f>IF(OR($Z583="",$Z583=6),"",WORKDAY($AA583,CHOOSE($Z583,3,3,2,2,3),Holidays))</f>
        <v/>
      </c>
      <c r="AC583" s="17">
        <f>IF(OR($Z583="",$Z583=6),"",CHOOSE($Z583,"1st Email Follow-up","2nd Email Follow-up","Escalate Local Office","Escalate to CBE","Escalate to Roxanne"))</f>
        <v/>
      </c>
    </row>
    <row r="584" spans="13:29">
      <c r="M584" s="14"/>
      <c r="T584" s="16"/>
      <c r="U584" s="17">
        <f>IF(AND(COUNTA($A584:$L584)=0,$N584=""),"",IF($T584="Paid","PAID",IF($T584="Closed","CLOSED",IF($Z584="","",IF($Z584=6,"ESCALATED TO ROXANNE",IF(TODAY()&gt;$AB584,"OVERDUE",IF($AB584&lt;=WORKDAY(TODAY(),1,Holidays),"DUE TOMORROW",IF($Z584=4,"ESCALATED TO LOCAL OFFICE",IF($Z584=5,"ESCALATED TO CBE",IF($AA584=TODAY(),"EMAIL SENT","MONITORING"))))))))))</f>
        <v/>
      </c>
      <c r="V584" s="17">
        <f>IF($U584="",IF(AND(COUNTA($A584:$L584)&gt;0,$N584=""),"Awaiting Collection Email time stamp.",""),IF(OR($U584="PAID",$U584="CLOSED"),IF($U584="PAID","Account paid. Action completed.","Account closed. No further action required."),CHOOSE($Z584,"Collection Email","1st Email Follow-up","2nd Email Follow-up","Escalation to Local Office","Escalation to CBE","Escalation to Roxanne")&amp;" sent "&amp;TEXT($AA584,"dd-mmm")&amp;". "&amp;IF($Z584=6,"Final escalation completed.",IF($U584="OVERDUE","Next: "&amp;$AC584&amp;" was due "&amp;TEXT($AB584,"dd-mmm")&amp;" - "&amp;(NETWORKDAYS($AB584,TODAY(),Holidays)-1)&amp;" business day(s) late. Send now.",IF($U584="DUE TOMORROW","Next: "&amp;$AC584&amp;IF($AB584&lt;=TODAY()," is due TODAY ("," is due next business day (")&amp;TEXT($AB584,"dd-mmm")&amp;").","Next: "&amp;$AC584&amp;" due "&amp;TEXT($AB584,"dd-mmm")&amp;" ("&amp;(NETWORKDAYS(TODAY(),$AB584,Holidays)-1)&amp;" business day(s) left).")))))</f>
        <v/>
      </c>
      <c r="W584" s="17">
        <f>IF($Z584="","",CHOOSE($Z584,"Collection Email","1st Follow-up","2nd Follow-up","Local Office","CBE","Roxanne")&amp;IF($Z584=6," - Final"," - Day "&amp;MAX(0,NETWORKDAYS($AA584,TODAY(),Holidays)-1)&amp;" of "&amp;CHOOSE($Z584,3,3,2,2,3))&amp;" | Total Day "&amp;MAX(0,NETWORKDAYS($N584,TODAY(),Holidays)-1))</f>
        <v/>
      </c>
      <c r="X584" s="18"/>
      <c r="Y584" s="18"/>
      <c r="Z584" s="17">
        <f>IF($N584="","",COUNT($N584:$S584))</f>
        <v/>
      </c>
      <c r="AA584" s="19">
        <f>IF($Z584="","",INT(INDEX($N584:$S584,$Z584)))</f>
        <v/>
      </c>
      <c r="AB584" s="19">
        <f>IF(OR($Z584="",$Z584=6),"",WORKDAY($AA584,CHOOSE($Z584,3,3,2,2,3),Holidays))</f>
        <v/>
      </c>
      <c r="AC584" s="17">
        <f>IF(OR($Z584="",$Z584=6),"",CHOOSE($Z584,"1st Email Follow-up","2nd Email Follow-up","Escalate Local Office","Escalate to CBE","Escalate to Roxanne"))</f>
        <v/>
      </c>
    </row>
    <row r="585" spans="13:29">
      <c r="M585" s="14"/>
      <c r="T585" s="16"/>
      <c r="U585" s="17">
        <f>IF(AND(COUNTA($A585:$L585)=0,$N585=""),"",IF($T585="Paid","PAID",IF($T585="Closed","CLOSED",IF($Z585="","",IF($Z585=6,"ESCALATED TO ROXANNE",IF(TODAY()&gt;$AB585,"OVERDUE",IF($AB585&lt;=WORKDAY(TODAY(),1,Holidays),"DUE TOMORROW",IF($Z585=4,"ESCALATED TO LOCAL OFFICE",IF($Z585=5,"ESCALATED TO CBE",IF($AA585=TODAY(),"EMAIL SENT","MONITORING"))))))))))</f>
        <v/>
      </c>
      <c r="V585" s="17">
        <f>IF($U585="",IF(AND(COUNTA($A585:$L585)&gt;0,$N585=""),"Awaiting Collection Email time stamp.",""),IF(OR($U585="PAID",$U585="CLOSED"),IF($U585="PAID","Account paid. Action completed.","Account closed. No further action required."),CHOOSE($Z585,"Collection Email","1st Email Follow-up","2nd Email Follow-up","Escalation to Local Office","Escalation to CBE","Escalation to Roxanne")&amp;" sent "&amp;TEXT($AA585,"dd-mmm")&amp;". "&amp;IF($Z585=6,"Final escalation completed.",IF($U585="OVERDUE","Next: "&amp;$AC585&amp;" was due "&amp;TEXT($AB585,"dd-mmm")&amp;" - "&amp;(NETWORKDAYS($AB585,TODAY(),Holidays)-1)&amp;" business day(s) late. Send now.",IF($U585="DUE TOMORROW","Next: "&amp;$AC585&amp;IF($AB585&lt;=TODAY()," is due TODAY ("," is due next business day (")&amp;TEXT($AB585,"dd-mmm")&amp;").","Next: "&amp;$AC585&amp;" due "&amp;TEXT($AB585,"dd-mmm")&amp;" ("&amp;(NETWORKDAYS(TODAY(),$AB585,Holidays)-1)&amp;" business day(s) left).")))))</f>
        <v/>
      </c>
      <c r="W585" s="17">
        <f>IF($Z585="","",CHOOSE($Z585,"Collection Email","1st Follow-up","2nd Follow-up","Local Office","CBE","Roxanne")&amp;IF($Z585=6," - Final"," - Day "&amp;MAX(0,NETWORKDAYS($AA585,TODAY(),Holidays)-1)&amp;" of "&amp;CHOOSE($Z585,3,3,2,2,3))&amp;" | Total Day "&amp;MAX(0,NETWORKDAYS($N585,TODAY(),Holidays)-1))</f>
        <v/>
      </c>
      <c r="X585" s="18"/>
      <c r="Y585" s="18"/>
      <c r="Z585" s="17">
        <f>IF($N585="","",COUNT($N585:$S585))</f>
        <v/>
      </c>
      <c r="AA585" s="19">
        <f>IF($Z585="","",INT(INDEX($N585:$S585,$Z585)))</f>
        <v/>
      </c>
      <c r="AB585" s="19">
        <f>IF(OR($Z585="",$Z585=6),"",WORKDAY($AA585,CHOOSE($Z585,3,3,2,2,3),Holidays))</f>
        <v/>
      </c>
      <c r="AC585" s="17">
        <f>IF(OR($Z585="",$Z585=6),"",CHOOSE($Z585,"1st Email Follow-up","2nd Email Follow-up","Escalate Local Office","Escalate to CBE","Escalate to Roxanne"))</f>
        <v/>
      </c>
    </row>
    <row r="586" spans="13:29">
      <c r="M586" s="14"/>
      <c r="T586" s="16"/>
      <c r="U586" s="17">
        <f>IF(AND(COUNTA($A586:$L586)=0,$N586=""),"",IF($T586="Paid","PAID",IF($T586="Closed","CLOSED",IF($Z586="","",IF($Z586=6,"ESCALATED TO ROXANNE",IF(TODAY()&gt;$AB586,"OVERDUE",IF($AB586&lt;=WORKDAY(TODAY(),1,Holidays),"DUE TOMORROW",IF($Z586=4,"ESCALATED TO LOCAL OFFICE",IF($Z586=5,"ESCALATED TO CBE",IF($AA586=TODAY(),"EMAIL SENT","MONITORING"))))))))))</f>
        <v/>
      </c>
      <c r="V586" s="17">
        <f>IF($U586="",IF(AND(COUNTA($A586:$L586)&gt;0,$N586=""),"Awaiting Collection Email time stamp.",""),IF(OR($U586="PAID",$U586="CLOSED"),IF($U586="PAID","Account paid. Action completed.","Account closed. No further action required."),CHOOSE($Z586,"Collection Email","1st Email Follow-up","2nd Email Follow-up","Escalation to Local Office","Escalation to CBE","Escalation to Roxanne")&amp;" sent "&amp;TEXT($AA586,"dd-mmm")&amp;". "&amp;IF($Z586=6,"Final escalation completed.",IF($U586="OVERDUE","Next: "&amp;$AC586&amp;" was due "&amp;TEXT($AB586,"dd-mmm")&amp;" - "&amp;(NETWORKDAYS($AB586,TODAY(),Holidays)-1)&amp;" business day(s) late. Send now.",IF($U586="DUE TOMORROW","Next: "&amp;$AC586&amp;IF($AB586&lt;=TODAY()," is due TODAY ("," is due next business day (")&amp;TEXT($AB586,"dd-mmm")&amp;").","Next: "&amp;$AC586&amp;" due "&amp;TEXT($AB586,"dd-mmm")&amp;" ("&amp;(NETWORKDAYS(TODAY(),$AB586,Holidays)-1)&amp;" business day(s) left).")))))</f>
        <v/>
      </c>
      <c r="W586" s="17">
        <f>IF($Z586="","",CHOOSE($Z586,"Collection Email","1st Follow-up","2nd Follow-up","Local Office","CBE","Roxanne")&amp;IF($Z586=6," - Final"," - Day "&amp;MAX(0,NETWORKDAYS($AA586,TODAY(),Holidays)-1)&amp;" of "&amp;CHOOSE($Z586,3,3,2,2,3))&amp;" | Total Day "&amp;MAX(0,NETWORKDAYS($N586,TODAY(),Holidays)-1))</f>
        <v/>
      </c>
      <c r="X586" s="18"/>
      <c r="Y586" s="18"/>
      <c r="Z586" s="17">
        <f>IF($N586="","",COUNT($N586:$S586))</f>
        <v/>
      </c>
      <c r="AA586" s="19">
        <f>IF($Z586="","",INT(INDEX($N586:$S586,$Z586)))</f>
        <v/>
      </c>
      <c r="AB586" s="19">
        <f>IF(OR($Z586="",$Z586=6),"",WORKDAY($AA586,CHOOSE($Z586,3,3,2,2,3),Holidays))</f>
        <v/>
      </c>
      <c r="AC586" s="17">
        <f>IF(OR($Z586="",$Z586=6),"",CHOOSE($Z586,"1st Email Follow-up","2nd Email Follow-up","Escalate Local Office","Escalate to CBE","Escalate to Roxanne"))</f>
        <v/>
      </c>
    </row>
    <row r="587" spans="13:29">
      <c r="M587" s="14"/>
      <c r="T587" s="16"/>
      <c r="U587" s="17">
        <f>IF(AND(COUNTA($A587:$L587)=0,$N587=""),"",IF($T587="Paid","PAID",IF($T587="Closed","CLOSED",IF($Z587="","",IF($Z587=6,"ESCALATED TO ROXANNE",IF(TODAY()&gt;$AB587,"OVERDUE",IF($AB587&lt;=WORKDAY(TODAY(),1,Holidays),"DUE TOMORROW",IF($Z587=4,"ESCALATED TO LOCAL OFFICE",IF($Z587=5,"ESCALATED TO CBE",IF($AA587=TODAY(),"EMAIL SENT","MONITORING"))))))))))</f>
        <v/>
      </c>
      <c r="V587" s="17">
        <f>IF($U587="",IF(AND(COUNTA($A587:$L587)&gt;0,$N587=""),"Awaiting Collection Email time stamp.",""),IF(OR($U587="PAID",$U587="CLOSED"),IF($U587="PAID","Account paid. Action completed.","Account closed. No further action required."),CHOOSE($Z587,"Collection Email","1st Email Follow-up","2nd Email Follow-up","Escalation to Local Office","Escalation to CBE","Escalation to Roxanne")&amp;" sent "&amp;TEXT($AA587,"dd-mmm")&amp;". "&amp;IF($Z587=6,"Final escalation completed.",IF($U587="OVERDUE","Next: "&amp;$AC587&amp;" was due "&amp;TEXT($AB587,"dd-mmm")&amp;" - "&amp;(NETWORKDAYS($AB587,TODAY(),Holidays)-1)&amp;" business day(s) late. Send now.",IF($U587="DUE TOMORROW","Next: "&amp;$AC587&amp;IF($AB587&lt;=TODAY()," is due TODAY ("," is due next business day (")&amp;TEXT($AB587,"dd-mmm")&amp;").","Next: "&amp;$AC587&amp;" due "&amp;TEXT($AB587,"dd-mmm")&amp;" ("&amp;(NETWORKDAYS(TODAY(),$AB587,Holidays)-1)&amp;" business day(s) left).")))))</f>
        <v/>
      </c>
      <c r="W587" s="17">
        <f>IF($Z587="","",CHOOSE($Z587,"Collection Email","1st Follow-up","2nd Follow-up","Local Office","CBE","Roxanne")&amp;IF($Z587=6," - Final"," - Day "&amp;MAX(0,NETWORKDAYS($AA587,TODAY(),Holidays)-1)&amp;" of "&amp;CHOOSE($Z587,3,3,2,2,3))&amp;" | Total Day "&amp;MAX(0,NETWORKDAYS($N587,TODAY(),Holidays)-1))</f>
        <v/>
      </c>
      <c r="X587" s="18"/>
      <c r="Y587" s="18"/>
      <c r="Z587" s="17">
        <f>IF($N587="","",COUNT($N587:$S587))</f>
        <v/>
      </c>
      <c r="AA587" s="19">
        <f>IF($Z587="","",INT(INDEX($N587:$S587,$Z587)))</f>
        <v/>
      </c>
      <c r="AB587" s="19">
        <f>IF(OR($Z587="",$Z587=6),"",WORKDAY($AA587,CHOOSE($Z587,3,3,2,2,3),Holidays))</f>
        <v/>
      </c>
      <c r="AC587" s="17">
        <f>IF(OR($Z587="",$Z587=6),"",CHOOSE($Z587,"1st Email Follow-up","2nd Email Follow-up","Escalate Local Office","Escalate to CBE","Escalate to Roxanne"))</f>
        <v/>
      </c>
    </row>
    <row r="588" spans="13:29">
      <c r="M588" s="14"/>
      <c r="T588" s="16"/>
      <c r="U588" s="17">
        <f>IF(AND(COUNTA($A588:$L588)=0,$N588=""),"",IF($T588="Paid","PAID",IF($T588="Closed","CLOSED",IF($Z588="","",IF($Z588=6,"ESCALATED TO ROXANNE",IF(TODAY()&gt;$AB588,"OVERDUE",IF($AB588&lt;=WORKDAY(TODAY(),1,Holidays),"DUE TOMORROW",IF($Z588=4,"ESCALATED TO LOCAL OFFICE",IF($Z588=5,"ESCALATED TO CBE",IF($AA588=TODAY(),"EMAIL SENT","MONITORING"))))))))))</f>
        <v/>
      </c>
      <c r="V588" s="17">
        <f>IF($U588="",IF(AND(COUNTA($A588:$L588)&gt;0,$N588=""),"Awaiting Collection Email time stamp.",""),IF(OR($U588="PAID",$U588="CLOSED"),IF($U588="PAID","Account paid. Action completed.","Account closed. No further action required."),CHOOSE($Z588,"Collection Email","1st Email Follow-up","2nd Email Follow-up","Escalation to Local Office","Escalation to CBE","Escalation to Roxanne")&amp;" sent "&amp;TEXT($AA588,"dd-mmm")&amp;". "&amp;IF($Z588=6,"Final escalation completed.",IF($U588="OVERDUE","Next: "&amp;$AC588&amp;" was due "&amp;TEXT($AB588,"dd-mmm")&amp;" - "&amp;(NETWORKDAYS($AB588,TODAY(),Holidays)-1)&amp;" business day(s) late. Send now.",IF($U588="DUE TOMORROW","Next: "&amp;$AC588&amp;IF($AB588&lt;=TODAY()," is due TODAY ("," is due next business day (")&amp;TEXT($AB588,"dd-mmm")&amp;").","Next: "&amp;$AC588&amp;" due "&amp;TEXT($AB588,"dd-mmm")&amp;" ("&amp;(NETWORKDAYS(TODAY(),$AB588,Holidays)-1)&amp;" business day(s) left).")))))</f>
        <v/>
      </c>
      <c r="W588" s="17">
        <f>IF($Z588="","",CHOOSE($Z588,"Collection Email","1st Follow-up","2nd Follow-up","Local Office","CBE","Roxanne")&amp;IF($Z588=6," - Final"," - Day "&amp;MAX(0,NETWORKDAYS($AA588,TODAY(),Holidays)-1)&amp;" of "&amp;CHOOSE($Z588,3,3,2,2,3))&amp;" | Total Day "&amp;MAX(0,NETWORKDAYS($N588,TODAY(),Holidays)-1))</f>
        <v/>
      </c>
      <c r="X588" s="18"/>
      <c r="Y588" s="18"/>
      <c r="Z588" s="17">
        <f>IF($N588="","",COUNT($N588:$S588))</f>
        <v/>
      </c>
      <c r="AA588" s="19">
        <f>IF($Z588="","",INT(INDEX($N588:$S588,$Z588)))</f>
        <v/>
      </c>
      <c r="AB588" s="19">
        <f>IF(OR($Z588="",$Z588=6),"",WORKDAY($AA588,CHOOSE($Z588,3,3,2,2,3),Holidays))</f>
        <v/>
      </c>
      <c r="AC588" s="17">
        <f>IF(OR($Z588="",$Z588=6),"",CHOOSE($Z588,"1st Email Follow-up","2nd Email Follow-up","Escalate Local Office","Escalate to CBE","Escalate to Roxanne"))</f>
        <v/>
      </c>
    </row>
    <row r="589" spans="13:29">
      <c r="M589" s="14"/>
      <c r="T589" s="16"/>
      <c r="U589" s="17">
        <f>IF(AND(COUNTA($A589:$L589)=0,$N589=""),"",IF($T589="Paid","PAID",IF($T589="Closed","CLOSED",IF($Z589="","",IF($Z589=6,"ESCALATED TO ROXANNE",IF(TODAY()&gt;$AB589,"OVERDUE",IF($AB589&lt;=WORKDAY(TODAY(),1,Holidays),"DUE TOMORROW",IF($Z589=4,"ESCALATED TO LOCAL OFFICE",IF($Z589=5,"ESCALATED TO CBE",IF($AA589=TODAY(),"EMAIL SENT","MONITORING"))))))))))</f>
        <v/>
      </c>
      <c r="V589" s="17">
        <f>IF($U589="",IF(AND(COUNTA($A589:$L589)&gt;0,$N589=""),"Awaiting Collection Email time stamp.",""),IF(OR($U589="PAID",$U589="CLOSED"),IF($U589="PAID","Account paid. Action completed.","Account closed. No further action required."),CHOOSE($Z589,"Collection Email","1st Email Follow-up","2nd Email Follow-up","Escalation to Local Office","Escalation to CBE","Escalation to Roxanne")&amp;" sent "&amp;TEXT($AA589,"dd-mmm")&amp;". "&amp;IF($Z589=6,"Final escalation completed.",IF($U589="OVERDUE","Next: "&amp;$AC589&amp;" was due "&amp;TEXT($AB589,"dd-mmm")&amp;" - "&amp;(NETWORKDAYS($AB589,TODAY(),Holidays)-1)&amp;" business day(s) late. Send now.",IF($U589="DUE TOMORROW","Next: "&amp;$AC589&amp;IF($AB589&lt;=TODAY()," is due TODAY ("," is due next business day (")&amp;TEXT($AB589,"dd-mmm")&amp;").","Next: "&amp;$AC589&amp;" due "&amp;TEXT($AB589,"dd-mmm")&amp;" ("&amp;(NETWORKDAYS(TODAY(),$AB589,Holidays)-1)&amp;" business day(s) left).")))))</f>
        <v/>
      </c>
      <c r="W589" s="17">
        <f>IF($Z589="","",CHOOSE($Z589,"Collection Email","1st Follow-up","2nd Follow-up","Local Office","CBE","Roxanne")&amp;IF($Z589=6," - Final"," - Day "&amp;MAX(0,NETWORKDAYS($AA589,TODAY(),Holidays)-1)&amp;" of "&amp;CHOOSE($Z589,3,3,2,2,3))&amp;" | Total Day "&amp;MAX(0,NETWORKDAYS($N589,TODAY(),Holidays)-1))</f>
        <v/>
      </c>
      <c r="X589" s="18"/>
      <c r="Y589" s="18"/>
      <c r="Z589" s="17">
        <f>IF($N589="","",COUNT($N589:$S589))</f>
        <v/>
      </c>
      <c r="AA589" s="19">
        <f>IF($Z589="","",INT(INDEX($N589:$S589,$Z589)))</f>
        <v/>
      </c>
      <c r="AB589" s="19">
        <f>IF(OR($Z589="",$Z589=6),"",WORKDAY($AA589,CHOOSE($Z589,3,3,2,2,3),Holidays))</f>
        <v/>
      </c>
      <c r="AC589" s="17">
        <f>IF(OR($Z589="",$Z589=6),"",CHOOSE($Z589,"1st Email Follow-up","2nd Email Follow-up","Escalate Local Office","Escalate to CBE","Escalate to Roxanne"))</f>
        <v/>
      </c>
    </row>
    <row r="590" spans="13:29">
      <c r="M590" s="14"/>
      <c r="T590" s="16"/>
      <c r="U590" s="17">
        <f>IF(AND(COUNTA($A590:$L590)=0,$N590=""),"",IF($T590="Paid","PAID",IF($T590="Closed","CLOSED",IF($Z590="","",IF($Z590=6,"ESCALATED TO ROXANNE",IF(TODAY()&gt;$AB590,"OVERDUE",IF($AB590&lt;=WORKDAY(TODAY(),1,Holidays),"DUE TOMORROW",IF($Z590=4,"ESCALATED TO LOCAL OFFICE",IF($Z590=5,"ESCALATED TO CBE",IF($AA590=TODAY(),"EMAIL SENT","MONITORING"))))))))))</f>
        <v/>
      </c>
      <c r="V590" s="17">
        <f>IF($U590="",IF(AND(COUNTA($A590:$L590)&gt;0,$N590=""),"Awaiting Collection Email time stamp.",""),IF(OR($U590="PAID",$U590="CLOSED"),IF($U590="PAID","Account paid. Action completed.","Account closed. No further action required."),CHOOSE($Z590,"Collection Email","1st Email Follow-up","2nd Email Follow-up","Escalation to Local Office","Escalation to CBE","Escalation to Roxanne")&amp;" sent "&amp;TEXT($AA590,"dd-mmm")&amp;". "&amp;IF($Z590=6,"Final escalation completed.",IF($U590="OVERDUE","Next: "&amp;$AC590&amp;" was due "&amp;TEXT($AB590,"dd-mmm")&amp;" - "&amp;(NETWORKDAYS($AB590,TODAY(),Holidays)-1)&amp;" business day(s) late. Send now.",IF($U590="DUE TOMORROW","Next: "&amp;$AC590&amp;IF($AB590&lt;=TODAY()," is due TODAY ("," is due next business day (")&amp;TEXT($AB590,"dd-mmm")&amp;").","Next: "&amp;$AC590&amp;" due "&amp;TEXT($AB590,"dd-mmm")&amp;" ("&amp;(NETWORKDAYS(TODAY(),$AB590,Holidays)-1)&amp;" business day(s) left).")))))</f>
        <v/>
      </c>
      <c r="W590" s="17">
        <f>IF($Z590="","",CHOOSE($Z590,"Collection Email","1st Follow-up","2nd Follow-up","Local Office","CBE","Roxanne")&amp;IF($Z590=6," - Final"," - Day "&amp;MAX(0,NETWORKDAYS($AA590,TODAY(),Holidays)-1)&amp;" of "&amp;CHOOSE($Z590,3,3,2,2,3))&amp;" | Total Day "&amp;MAX(0,NETWORKDAYS($N590,TODAY(),Holidays)-1))</f>
        <v/>
      </c>
      <c r="X590" s="18"/>
      <c r="Y590" s="18"/>
      <c r="Z590" s="17">
        <f>IF($N590="","",COUNT($N590:$S590))</f>
        <v/>
      </c>
      <c r="AA590" s="19">
        <f>IF($Z590="","",INT(INDEX($N590:$S590,$Z590)))</f>
        <v/>
      </c>
      <c r="AB590" s="19">
        <f>IF(OR($Z590="",$Z590=6),"",WORKDAY($AA590,CHOOSE($Z590,3,3,2,2,3),Holidays))</f>
        <v/>
      </c>
      <c r="AC590" s="17">
        <f>IF(OR($Z590="",$Z590=6),"",CHOOSE($Z590,"1st Email Follow-up","2nd Email Follow-up","Escalate Local Office","Escalate to CBE","Escalate to Roxanne"))</f>
        <v/>
      </c>
    </row>
    <row r="591" spans="13:29">
      <c r="M591" s="14"/>
      <c r="T591" s="16"/>
      <c r="U591" s="17">
        <f>IF(AND(COUNTA($A591:$L591)=0,$N591=""),"",IF($T591="Paid","PAID",IF($T591="Closed","CLOSED",IF($Z591="","",IF($Z591=6,"ESCALATED TO ROXANNE",IF(TODAY()&gt;$AB591,"OVERDUE",IF($AB591&lt;=WORKDAY(TODAY(),1,Holidays),"DUE TOMORROW",IF($Z591=4,"ESCALATED TO LOCAL OFFICE",IF($Z591=5,"ESCALATED TO CBE",IF($AA591=TODAY(),"EMAIL SENT","MONITORING"))))))))))</f>
        <v/>
      </c>
      <c r="V591" s="17">
        <f>IF($U591="",IF(AND(COUNTA($A591:$L591)&gt;0,$N591=""),"Awaiting Collection Email time stamp.",""),IF(OR($U591="PAID",$U591="CLOSED"),IF($U591="PAID","Account paid. Action completed.","Account closed. No further action required."),CHOOSE($Z591,"Collection Email","1st Email Follow-up","2nd Email Follow-up","Escalation to Local Office","Escalation to CBE","Escalation to Roxanne")&amp;" sent "&amp;TEXT($AA591,"dd-mmm")&amp;". "&amp;IF($Z591=6,"Final escalation completed.",IF($U591="OVERDUE","Next: "&amp;$AC591&amp;" was due "&amp;TEXT($AB591,"dd-mmm")&amp;" - "&amp;(NETWORKDAYS($AB591,TODAY(),Holidays)-1)&amp;" business day(s) late. Send now.",IF($U591="DUE TOMORROW","Next: "&amp;$AC591&amp;IF($AB591&lt;=TODAY()," is due TODAY ("," is due next business day (")&amp;TEXT($AB591,"dd-mmm")&amp;").","Next: "&amp;$AC591&amp;" due "&amp;TEXT($AB591,"dd-mmm")&amp;" ("&amp;(NETWORKDAYS(TODAY(),$AB591,Holidays)-1)&amp;" business day(s) left).")))))</f>
        <v/>
      </c>
      <c r="W591" s="17">
        <f>IF($Z591="","",CHOOSE($Z591,"Collection Email","1st Follow-up","2nd Follow-up","Local Office","CBE","Roxanne")&amp;IF($Z591=6," - Final"," - Day "&amp;MAX(0,NETWORKDAYS($AA591,TODAY(),Holidays)-1)&amp;" of "&amp;CHOOSE($Z591,3,3,2,2,3))&amp;" | Total Day "&amp;MAX(0,NETWORKDAYS($N591,TODAY(),Holidays)-1))</f>
        <v/>
      </c>
      <c r="X591" s="18"/>
      <c r="Y591" s="18"/>
      <c r="Z591" s="17">
        <f>IF($N591="","",COUNT($N591:$S591))</f>
        <v/>
      </c>
      <c r="AA591" s="19">
        <f>IF($Z591="","",INT(INDEX($N591:$S591,$Z591)))</f>
        <v/>
      </c>
      <c r="AB591" s="19">
        <f>IF(OR($Z591="",$Z591=6),"",WORKDAY($AA591,CHOOSE($Z591,3,3,2,2,3),Holidays))</f>
        <v/>
      </c>
      <c r="AC591" s="17">
        <f>IF(OR($Z591="",$Z591=6),"",CHOOSE($Z591,"1st Email Follow-up","2nd Email Follow-up","Escalate Local Office","Escalate to CBE","Escalate to Roxanne"))</f>
        <v/>
      </c>
    </row>
    <row r="592" spans="13:29">
      <c r="M592" s="14"/>
      <c r="T592" s="16"/>
      <c r="U592" s="17">
        <f>IF(AND(COUNTA($A592:$L592)=0,$N592=""),"",IF($T592="Paid","PAID",IF($T592="Closed","CLOSED",IF($Z592="","",IF($Z592=6,"ESCALATED TO ROXANNE",IF(TODAY()&gt;$AB592,"OVERDUE",IF($AB592&lt;=WORKDAY(TODAY(),1,Holidays),"DUE TOMORROW",IF($Z592=4,"ESCALATED TO LOCAL OFFICE",IF($Z592=5,"ESCALATED TO CBE",IF($AA592=TODAY(),"EMAIL SENT","MONITORING"))))))))))</f>
        <v/>
      </c>
      <c r="V592" s="17">
        <f>IF($U592="",IF(AND(COUNTA($A592:$L592)&gt;0,$N592=""),"Awaiting Collection Email time stamp.",""),IF(OR($U592="PAID",$U592="CLOSED"),IF($U592="PAID","Account paid. Action completed.","Account closed. No further action required."),CHOOSE($Z592,"Collection Email","1st Email Follow-up","2nd Email Follow-up","Escalation to Local Office","Escalation to CBE","Escalation to Roxanne")&amp;" sent "&amp;TEXT($AA592,"dd-mmm")&amp;". "&amp;IF($Z592=6,"Final escalation completed.",IF($U592="OVERDUE","Next: "&amp;$AC592&amp;" was due "&amp;TEXT($AB592,"dd-mmm")&amp;" - "&amp;(NETWORKDAYS($AB592,TODAY(),Holidays)-1)&amp;" business day(s) late. Send now.",IF($U592="DUE TOMORROW","Next: "&amp;$AC592&amp;IF($AB592&lt;=TODAY()," is due TODAY ("," is due next business day (")&amp;TEXT($AB592,"dd-mmm")&amp;").","Next: "&amp;$AC592&amp;" due "&amp;TEXT($AB592,"dd-mmm")&amp;" ("&amp;(NETWORKDAYS(TODAY(),$AB592,Holidays)-1)&amp;" business day(s) left).")))))</f>
        <v/>
      </c>
      <c r="W592" s="17">
        <f>IF($Z592="","",CHOOSE($Z592,"Collection Email","1st Follow-up","2nd Follow-up","Local Office","CBE","Roxanne")&amp;IF($Z592=6," - Final"," - Day "&amp;MAX(0,NETWORKDAYS($AA592,TODAY(),Holidays)-1)&amp;" of "&amp;CHOOSE($Z592,3,3,2,2,3))&amp;" | Total Day "&amp;MAX(0,NETWORKDAYS($N592,TODAY(),Holidays)-1))</f>
        <v/>
      </c>
      <c r="X592" s="18"/>
      <c r="Y592" s="18"/>
      <c r="Z592" s="17">
        <f>IF($N592="","",COUNT($N592:$S592))</f>
        <v/>
      </c>
      <c r="AA592" s="19">
        <f>IF($Z592="","",INT(INDEX($N592:$S592,$Z592)))</f>
        <v/>
      </c>
      <c r="AB592" s="19">
        <f>IF(OR($Z592="",$Z592=6),"",WORKDAY($AA592,CHOOSE($Z592,3,3,2,2,3),Holidays))</f>
        <v/>
      </c>
      <c r="AC592" s="17">
        <f>IF(OR($Z592="",$Z592=6),"",CHOOSE($Z592,"1st Email Follow-up","2nd Email Follow-up","Escalate Local Office","Escalate to CBE","Escalate to Roxanne"))</f>
        <v/>
      </c>
    </row>
    <row r="593" spans="13:29">
      <c r="M593" s="14"/>
      <c r="T593" s="16"/>
      <c r="U593" s="17">
        <f>IF(AND(COUNTA($A593:$L593)=0,$N593=""),"",IF($T593="Paid","PAID",IF($T593="Closed","CLOSED",IF($Z593="","",IF($Z593=6,"ESCALATED TO ROXANNE",IF(TODAY()&gt;$AB593,"OVERDUE",IF($AB593&lt;=WORKDAY(TODAY(),1,Holidays),"DUE TOMORROW",IF($Z593=4,"ESCALATED TO LOCAL OFFICE",IF($Z593=5,"ESCALATED TO CBE",IF($AA593=TODAY(),"EMAIL SENT","MONITORING"))))))))))</f>
        <v/>
      </c>
      <c r="V593" s="17">
        <f>IF($U593="",IF(AND(COUNTA($A593:$L593)&gt;0,$N593=""),"Awaiting Collection Email time stamp.",""),IF(OR($U593="PAID",$U593="CLOSED"),IF($U593="PAID","Account paid. Action completed.","Account closed. No further action required."),CHOOSE($Z593,"Collection Email","1st Email Follow-up","2nd Email Follow-up","Escalation to Local Office","Escalation to CBE","Escalation to Roxanne")&amp;" sent "&amp;TEXT($AA593,"dd-mmm")&amp;". "&amp;IF($Z593=6,"Final escalation completed.",IF($U593="OVERDUE","Next: "&amp;$AC593&amp;" was due "&amp;TEXT($AB593,"dd-mmm")&amp;" - "&amp;(NETWORKDAYS($AB593,TODAY(),Holidays)-1)&amp;" business day(s) late. Send now.",IF($U593="DUE TOMORROW","Next: "&amp;$AC593&amp;IF($AB593&lt;=TODAY()," is due TODAY ("," is due next business day (")&amp;TEXT($AB593,"dd-mmm")&amp;").","Next: "&amp;$AC593&amp;" due "&amp;TEXT($AB593,"dd-mmm")&amp;" ("&amp;(NETWORKDAYS(TODAY(),$AB593,Holidays)-1)&amp;" business day(s) left).")))))</f>
        <v/>
      </c>
      <c r="W593" s="17">
        <f>IF($Z593="","",CHOOSE($Z593,"Collection Email","1st Follow-up","2nd Follow-up","Local Office","CBE","Roxanne")&amp;IF($Z593=6," - Final"," - Day "&amp;MAX(0,NETWORKDAYS($AA593,TODAY(),Holidays)-1)&amp;" of "&amp;CHOOSE($Z593,3,3,2,2,3))&amp;" | Total Day "&amp;MAX(0,NETWORKDAYS($N593,TODAY(),Holidays)-1))</f>
        <v/>
      </c>
      <c r="X593" s="18"/>
      <c r="Y593" s="18"/>
      <c r="Z593" s="17">
        <f>IF($N593="","",COUNT($N593:$S593))</f>
        <v/>
      </c>
      <c r="AA593" s="19">
        <f>IF($Z593="","",INT(INDEX($N593:$S593,$Z593)))</f>
        <v/>
      </c>
      <c r="AB593" s="19">
        <f>IF(OR($Z593="",$Z593=6),"",WORKDAY($AA593,CHOOSE($Z593,3,3,2,2,3),Holidays))</f>
        <v/>
      </c>
      <c r="AC593" s="17">
        <f>IF(OR($Z593="",$Z593=6),"",CHOOSE($Z593,"1st Email Follow-up","2nd Email Follow-up","Escalate Local Office","Escalate to CBE","Escalate to Roxanne"))</f>
        <v/>
      </c>
    </row>
    <row r="594" spans="13:29">
      <c r="M594" s="14"/>
      <c r="T594" s="16"/>
      <c r="U594" s="17">
        <f>IF(AND(COUNTA($A594:$L594)=0,$N594=""),"",IF($T594="Paid","PAID",IF($T594="Closed","CLOSED",IF($Z594="","",IF($Z594=6,"ESCALATED TO ROXANNE",IF(TODAY()&gt;$AB594,"OVERDUE",IF($AB594&lt;=WORKDAY(TODAY(),1,Holidays),"DUE TOMORROW",IF($Z594=4,"ESCALATED TO LOCAL OFFICE",IF($Z594=5,"ESCALATED TO CBE",IF($AA594=TODAY(),"EMAIL SENT","MONITORING"))))))))))</f>
        <v/>
      </c>
      <c r="V594" s="17">
        <f>IF($U594="",IF(AND(COUNTA($A594:$L594)&gt;0,$N594=""),"Awaiting Collection Email time stamp.",""),IF(OR($U594="PAID",$U594="CLOSED"),IF($U594="PAID","Account paid. Action completed.","Account closed. No further action required."),CHOOSE($Z594,"Collection Email","1st Email Follow-up","2nd Email Follow-up","Escalation to Local Office","Escalation to CBE","Escalation to Roxanne")&amp;" sent "&amp;TEXT($AA594,"dd-mmm")&amp;". "&amp;IF($Z594=6,"Final escalation completed.",IF($U594="OVERDUE","Next: "&amp;$AC594&amp;" was due "&amp;TEXT($AB594,"dd-mmm")&amp;" - "&amp;(NETWORKDAYS($AB594,TODAY(),Holidays)-1)&amp;" business day(s) late. Send now.",IF($U594="DUE TOMORROW","Next: "&amp;$AC594&amp;IF($AB594&lt;=TODAY()," is due TODAY ("," is due next business day (")&amp;TEXT($AB594,"dd-mmm")&amp;").","Next: "&amp;$AC594&amp;" due "&amp;TEXT($AB594,"dd-mmm")&amp;" ("&amp;(NETWORKDAYS(TODAY(),$AB594,Holidays)-1)&amp;" business day(s) left).")))))</f>
        <v/>
      </c>
      <c r="W594" s="17">
        <f>IF($Z594="","",CHOOSE($Z594,"Collection Email","1st Follow-up","2nd Follow-up","Local Office","CBE","Roxanne")&amp;IF($Z594=6," - Final"," - Day "&amp;MAX(0,NETWORKDAYS($AA594,TODAY(),Holidays)-1)&amp;" of "&amp;CHOOSE($Z594,3,3,2,2,3))&amp;" | Total Day "&amp;MAX(0,NETWORKDAYS($N594,TODAY(),Holidays)-1))</f>
        <v/>
      </c>
      <c r="X594" s="18"/>
      <c r="Y594" s="18"/>
      <c r="Z594" s="17">
        <f>IF($N594="","",COUNT($N594:$S594))</f>
        <v/>
      </c>
      <c r="AA594" s="19">
        <f>IF($Z594="","",INT(INDEX($N594:$S594,$Z594)))</f>
        <v/>
      </c>
      <c r="AB594" s="19">
        <f>IF(OR($Z594="",$Z594=6),"",WORKDAY($AA594,CHOOSE($Z594,3,3,2,2,3),Holidays))</f>
        <v/>
      </c>
      <c r="AC594" s="17">
        <f>IF(OR($Z594="",$Z594=6),"",CHOOSE($Z594,"1st Email Follow-up","2nd Email Follow-up","Escalate Local Office","Escalate to CBE","Escalate to Roxanne"))</f>
        <v/>
      </c>
    </row>
    <row r="595" spans="13:29">
      <c r="M595" s="14"/>
      <c r="T595" s="16"/>
      <c r="U595" s="17">
        <f>IF(AND(COUNTA($A595:$L595)=0,$N595=""),"",IF($T595="Paid","PAID",IF($T595="Closed","CLOSED",IF($Z595="","",IF($Z595=6,"ESCALATED TO ROXANNE",IF(TODAY()&gt;$AB595,"OVERDUE",IF($AB595&lt;=WORKDAY(TODAY(),1,Holidays),"DUE TOMORROW",IF($Z595=4,"ESCALATED TO LOCAL OFFICE",IF($Z595=5,"ESCALATED TO CBE",IF($AA595=TODAY(),"EMAIL SENT","MONITORING"))))))))))</f>
        <v/>
      </c>
      <c r="V595" s="17">
        <f>IF($U595="",IF(AND(COUNTA($A595:$L595)&gt;0,$N595=""),"Awaiting Collection Email time stamp.",""),IF(OR($U595="PAID",$U595="CLOSED"),IF($U595="PAID","Account paid. Action completed.","Account closed. No further action required."),CHOOSE($Z595,"Collection Email","1st Email Follow-up","2nd Email Follow-up","Escalation to Local Office","Escalation to CBE","Escalation to Roxanne")&amp;" sent "&amp;TEXT($AA595,"dd-mmm")&amp;". "&amp;IF($Z595=6,"Final escalation completed.",IF($U595="OVERDUE","Next: "&amp;$AC595&amp;" was due "&amp;TEXT($AB595,"dd-mmm")&amp;" - "&amp;(NETWORKDAYS($AB595,TODAY(),Holidays)-1)&amp;" business day(s) late. Send now.",IF($U595="DUE TOMORROW","Next: "&amp;$AC595&amp;IF($AB595&lt;=TODAY()," is due TODAY ("," is due next business day (")&amp;TEXT($AB595,"dd-mmm")&amp;").","Next: "&amp;$AC595&amp;" due "&amp;TEXT($AB595,"dd-mmm")&amp;" ("&amp;(NETWORKDAYS(TODAY(),$AB595,Holidays)-1)&amp;" business day(s) left).")))))</f>
        <v/>
      </c>
      <c r="W595" s="17">
        <f>IF($Z595="","",CHOOSE($Z595,"Collection Email","1st Follow-up","2nd Follow-up","Local Office","CBE","Roxanne")&amp;IF($Z595=6," - Final"," - Day "&amp;MAX(0,NETWORKDAYS($AA595,TODAY(),Holidays)-1)&amp;" of "&amp;CHOOSE($Z595,3,3,2,2,3))&amp;" | Total Day "&amp;MAX(0,NETWORKDAYS($N595,TODAY(),Holidays)-1))</f>
        <v/>
      </c>
      <c r="X595" s="18"/>
      <c r="Y595" s="18"/>
      <c r="Z595" s="17">
        <f>IF($N595="","",COUNT($N595:$S595))</f>
        <v/>
      </c>
      <c r="AA595" s="19">
        <f>IF($Z595="","",INT(INDEX($N595:$S595,$Z595)))</f>
        <v/>
      </c>
      <c r="AB595" s="19">
        <f>IF(OR($Z595="",$Z595=6),"",WORKDAY($AA595,CHOOSE($Z595,3,3,2,2,3),Holidays))</f>
        <v/>
      </c>
      <c r="AC595" s="17">
        <f>IF(OR($Z595="",$Z595=6),"",CHOOSE($Z595,"1st Email Follow-up","2nd Email Follow-up","Escalate Local Office","Escalate to CBE","Escalate to Roxanne"))</f>
        <v/>
      </c>
    </row>
    <row r="596" spans="13:29">
      <c r="M596" s="14"/>
      <c r="T596" s="16"/>
      <c r="U596" s="17">
        <f>IF(AND(COUNTA($A596:$L596)=0,$N596=""),"",IF($T596="Paid","PAID",IF($T596="Closed","CLOSED",IF($Z596="","",IF($Z596=6,"ESCALATED TO ROXANNE",IF(TODAY()&gt;$AB596,"OVERDUE",IF($AB596&lt;=WORKDAY(TODAY(),1,Holidays),"DUE TOMORROW",IF($Z596=4,"ESCALATED TO LOCAL OFFICE",IF($Z596=5,"ESCALATED TO CBE",IF($AA596=TODAY(),"EMAIL SENT","MONITORING"))))))))))</f>
        <v/>
      </c>
      <c r="V596" s="17">
        <f>IF($U596="",IF(AND(COUNTA($A596:$L596)&gt;0,$N596=""),"Awaiting Collection Email time stamp.",""),IF(OR($U596="PAID",$U596="CLOSED"),IF($U596="PAID","Account paid. Action completed.","Account closed. No further action required."),CHOOSE($Z596,"Collection Email","1st Email Follow-up","2nd Email Follow-up","Escalation to Local Office","Escalation to CBE","Escalation to Roxanne")&amp;" sent "&amp;TEXT($AA596,"dd-mmm")&amp;". "&amp;IF($Z596=6,"Final escalation completed.",IF($U596="OVERDUE","Next: "&amp;$AC596&amp;" was due "&amp;TEXT($AB596,"dd-mmm")&amp;" - "&amp;(NETWORKDAYS($AB596,TODAY(),Holidays)-1)&amp;" business day(s) late. Send now.",IF($U596="DUE TOMORROW","Next: "&amp;$AC596&amp;IF($AB596&lt;=TODAY()," is due TODAY ("," is due next business day (")&amp;TEXT($AB596,"dd-mmm")&amp;").","Next: "&amp;$AC596&amp;" due "&amp;TEXT($AB596,"dd-mmm")&amp;" ("&amp;(NETWORKDAYS(TODAY(),$AB596,Holidays)-1)&amp;" business day(s) left).")))))</f>
        <v/>
      </c>
      <c r="W596" s="17">
        <f>IF($Z596="","",CHOOSE($Z596,"Collection Email","1st Follow-up","2nd Follow-up","Local Office","CBE","Roxanne")&amp;IF($Z596=6," - Final"," - Day "&amp;MAX(0,NETWORKDAYS($AA596,TODAY(),Holidays)-1)&amp;" of "&amp;CHOOSE($Z596,3,3,2,2,3))&amp;" | Total Day "&amp;MAX(0,NETWORKDAYS($N596,TODAY(),Holidays)-1))</f>
        <v/>
      </c>
      <c r="X596" s="18"/>
      <c r="Y596" s="18"/>
      <c r="Z596" s="17">
        <f>IF($N596="","",COUNT($N596:$S596))</f>
        <v/>
      </c>
      <c r="AA596" s="19">
        <f>IF($Z596="","",INT(INDEX($N596:$S596,$Z596)))</f>
        <v/>
      </c>
      <c r="AB596" s="19">
        <f>IF(OR($Z596="",$Z596=6),"",WORKDAY($AA596,CHOOSE($Z596,3,3,2,2,3),Holidays))</f>
        <v/>
      </c>
      <c r="AC596" s="17">
        <f>IF(OR($Z596="",$Z596=6),"",CHOOSE($Z596,"1st Email Follow-up","2nd Email Follow-up","Escalate Local Office","Escalate to CBE","Escalate to Roxanne"))</f>
        <v/>
      </c>
    </row>
    <row r="597" spans="13:29">
      <c r="M597" s="14"/>
      <c r="T597" s="16"/>
      <c r="U597" s="17">
        <f>IF(AND(COUNTA($A597:$L597)=0,$N597=""),"",IF($T597="Paid","PAID",IF($T597="Closed","CLOSED",IF($Z597="","",IF($Z597=6,"ESCALATED TO ROXANNE",IF(TODAY()&gt;$AB597,"OVERDUE",IF($AB597&lt;=WORKDAY(TODAY(),1,Holidays),"DUE TOMORROW",IF($Z597=4,"ESCALATED TO LOCAL OFFICE",IF($Z597=5,"ESCALATED TO CBE",IF($AA597=TODAY(),"EMAIL SENT","MONITORING"))))))))))</f>
        <v/>
      </c>
      <c r="V597" s="17">
        <f>IF($U597="",IF(AND(COUNTA($A597:$L597)&gt;0,$N597=""),"Awaiting Collection Email time stamp.",""),IF(OR($U597="PAID",$U597="CLOSED"),IF($U597="PAID","Account paid. Action completed.","Account closed. No further action required."),CHOOSE($Z597,"Collection Email","1st Email Follow-up","2nd Email Follow-up","Escalation to Local Office","Escalation to CBE","Escalation to Roxanne")&amp;" sent "&amp;TEXT($AA597,"dd-mmm")&amp;". "&amp;IF($Z597=6,"Final escalation completed.",IF($U597="OVERDUE","Next: "&amp;$AC597&amp;" was due "&amp;TEXT($AB597,"dd-mmm")&amp;" - "&amp;(NETWORKDAYS($AB597,TODAY(),Holidays)-1)&amp;" business day(s) late. Send now.",IF($U597="DUE TOMORROW","Next: "&amp;$AC597&amp;IF($AB597&lt;=TODAY()," is due TODAY ("," is due next business day (")&amp;TEXT($AB597,"dd-mmm")&amp;").","Next: "&amp;$AC597&amp;" due "&amp;TEXT($AB597,"dd-mmm")&amp;" ("&amp;(NETWORKDAYS(TODAY(),$AB597,Holidays)-1)&amp;" business day(s) left).")))))</f>
        <v/>
      </c>
      <c r="W597" s="17">
        <f>IF($Z597="","",CHOOSE($Z597,"Collection Email","1st Follow-up","2nd Follow-up","Local Office","CBE","Roxanne")&amp;IF($Z597=6," - Final"," - Day "&amp;MAX(0,NETWORKDAYS($AA597,TODAY(),Holidays)-1)&amp;" of "&amp;CHOOSE($Z597,3,3,2,2,3))&amp;" | Total Day "&amp;MAX(0,NETWORKDAYS($N597,TODAY(),Holidays)-1))</f>
        <v/>
      </c>
      <c r="X597" s="18"/>
      <c r="Y597" s="18"/>
      <c r="Z597" s="17">
        <f>IF($N597="","",COUNT($N597:$S597))</f>
        <v/>
      </c>
      <c r="AA597" s="19">
        <f>IF($Z597="","",INT(INDEX($N597:$S597,$Z597)))</f>
        <v/>
      </c>
      <c r="AB597" s="19">
        <f>IF(OR($Z597="",$Z597=6),"",WORKDAY($AA597,CHOOSE($Z597,3,3,2,2,3),Holidays))</f>
        <v/>
      </c>
      <c r="AC597" s="17">
        <f>IF(OR($Z597="",$Z597=6),"",CHOOSE($Z597,"1st Email Follow-up","2nd Email Follow-up","Escalate Local Office","Escalate to CBE","Escalate to Roxanne"))</f>
        <v/>
      </c>
    </row>
    <row r="598" spans="13:29">
      <c r="M598" s="14"/>
      <c r="T598" s="16"/>
      <c r="U598" s="17">
        <f>IF(AND(COUNTA($A598:$L598)=0,$N598=""),"",IF($T598="Paid","PAID",IF($T598="Closed","CLOSED",IF($Z598="","",IF($Z598=6,"ESCALATED TO ROXANNE",IF(TODAY()&gt;$AB598,"OVERDUE",IF($AB598&lt;=WORKDAY(TODAY(),1,Holidays),"DUE TOMORROW",IF($Z598=4,"ESCALATED TO LOCAL OFFICE",IF($Z598=5,"ESCALATED TO CBE",IF($AA598=TODAY(),"EMAIL SENT","MONITORING"))))))))))</f>
        <v/>
      </c>
      <c r="V598" s="17">
        <f>IF($U598="",IF(AND(COUNTA($A598:$L598)&gt;0,$N598=""),"Awaiting Collection Email time stamp.",""),IF(OR($U598="PAID",$U598="CLOSED"),IF($U598="PAID","Account paid. Action completed.","Account closed. No further action required."),CHOOSE($Z598,"Collection Email","1st Email Follow-up","2nd Email Follow-up","Escalation to Local Office","Escalation to CBE","Escalation to Roxanne")&amp;" sent "&amp;TEXT($AA598,"dd-mmm")&amp;". "&amp;IF($Z598=6,"Final escalation completed.",IF($U598="OVERDUE","Next: "&amp;$AC598&amp;" was due "&amp;TEXT($AB598,"dd-mmm")&amp;" - "&amp;(NETWORKDAYS($AB598,TODAY(),Holidays)-1)&amp;" business day(s) late. Send now.",IF($U598="DUE TOMORROW","Next: "&amp;$AC598&amp;IF($AB598&lt;=TODAY()," is due TODAY ("," is due next business day (")&amp;TEXT($AB598,"dd-mmm")&amp;").","Next: "&amp;$AC598&amp;" due "&amp;TEXT($AB598,"dd-mmm")&amp;" ("&amp;(NETWORKDAYS(TODAY(),$AB598,Holidays)-1)&amp;" business day(s) left).")))))</f>
        <v/>
      </c>
      <c r="W598" s="17">
        <f>IF($Z598="","",CHOOSE($Z598,"Collection Email","1st Follow-up","2nd Follow-up","Local Office","CBE","Roxanne")&amp;IF($Z598=6," - Final"," - Day "&amp;MAX(0,NETWORKDAYS($AA598,TODAY(),Holidays)-1)&amp;" of "&amp;CHOOSE($Z598,3,3,2,2,3))&amp;" | Total Day "&amp;MAX(0,NETWORKDAYS($N598,TODAY(),Holidays)-1))</f>
        <v/>
      </c>
      <c r="X598" s="18"/>
      <c r="Y598" s="18"/>
      <c r="Z598" s="17">
        <f>IF($N598="","",COUNT($N598:$S598))</f>
        <v/>
      </c>
      <c r="AA598" s="19">
        <f>IF($Z598="","",INT(INDEX($N598:$S598,$Z598)))</f>
        <v/>
      </c>
      <c r="AB598" s="19">
        <f>IF(OR($Z598="",$Z598=6),"",WORKDAY($AA598,CHOOSE($Z598,3,3,2,2,3),Holidays))</f>
        <v/>
      </c>
      <c r="AC598" s="17">
        <f>IF(OR($Z598="",$Z598=6),"",CHOOSE($Z598,"1st Email Follow-up","2nd Email Follow-up","Escalate Local Office","Escalate to CBE","Escalate to Roxanne"))</f>
        <v/>
      </c>
    </row>
    <row r="599" spans="13:29">
      <c r="M599" s="14"/>
      <c r="T599" s="16"/>
      <c r="U599" s="17">
        <f>IF(AND(COUNTA($A599:$L599)=0,$N599=""),"",IF($T599="Paid","PAID",IF($T599="Closed","CLOSED",IF($Z599="","",IF($Z599=6,"ESCALATED TO ROXANNE",IF(TODAY()&gt;$AB599,"OVERDUE",IF($AB599&lt;=WORKDAY(TODAY(),1,Holidays),"DUE TOMORROW",IF($Z599=4,"ESCALATED TO LOCAL OFFICE",IF($Z599=5,"ESCALATED TO CBE",IF($AA599=TODAY(),"EMAIL SENT","MONITORING"))))))))))</f>
        <v/>
      </c>
      <c r="V599" s="17">
        <f>IF($U599="",IF(AND(COUNTA($A599:$L599)&gt;0,$N599=""),"Awaiting Collection Email time stamp.",""),IF(OR($U599="PAID",$U599="CLOSED"),IF($U599="PAID","Account paid. Action completed.","Account closed. No further action required."),CHOOSE($Z599,"Collection Email","1st Email Follow-up","2nd Email Follow-up","Escalation to Local Office","Escalation to CBE","Escalation to Roxanne")&amp;" sent "&amp;TEXT($AA599,"dd-mmm")&amp;". "&amp;IF($Z599=6,"Final escalation completed.",IF($U599="OVERDUE","Next: "&amp;$AC599&amp;" was due "&amp;TEXT($AB599,"dd-mmm")&amp;" - "&amp;(NETWORKDAYS($AB599,TODAY(),Holidays)-1)&amp;" business day(s) late. Send now.",IF($U599="DUE TOMORROW","Next: "&amp;$AC599&amp;IF($AB599&lt;=TODAY()," is due TODAY ("," is due next business day (")&amp;TEXT($AB599,"dd-mmm")&amp;").","Next: "&amp;$AC599&amp;" due "&amp;TEXT($AB599,"dd-mmm")&amp;" ("&amp;(NETWORKDAYS(TODAY(),$AB599,Holidays)-1)&amp;" business day(s) left).")))))</f>
        <v/>
      </c>
      <c r="W599" s="17">
        <f>IF($Z599="","",CHOOSE($Z599,"Collection Email","1st Follow-up","2nd Follow-up","Local Office","CBE","Roxanne")&amp;IF($Z599=6," - Final"," - Day "&amp;MAX(0,NETWORKDAYS($AA599,TODAY(),Holidays)-1)&amp;" of "&amp;CHOOSE($Z599,3,3,2,2,3))&amp;" | Total Day "&amp;MAX(0,NETWORKDAYS($N599,TODAY(),Holidays)-1))</f>
        <v/>
      </c>
      <c r="X599" s="18"/>
      <c r="Y599" s="18"/>
      <c r="Z599" s="17">
        <f>IF($N599="","",COUNT($N599:$S599))</f>
        <v/>
      </c>
      <c r="AA599" s="19">
        <f>IF($Z599="","",INT(INDEX($N599:$S599,$Z599)))</f>
        <v/>
      </c>
      <c r="AB599" s="19">
        <f>IF(OR($Z599="",$Z599=6),"",WORKDAY($AA599,CHOOSE($Z599,3,3,2,2,3),Holidays))</f>
        <v/>
      </c>
      <c r="AC599" s="17">
        <f>IF(OR($Z599="",$Z599=6),"",CHOOSE($Z599,"1st Email Follow-up","2nd Email Follow-up","Escalate Local Office","Escalate to CBE","Escalate to Roxanne"))</f>
        <v/>
      </c>
    </row>
    <row r="600" spans="13:29">
      <c r="M600" s="14"/>
      <c r="T600" s="16"/>
      <c r="U600" s="17">
        <f>IF(AND(COUNTA($A600:$L600)=0,$N600=""),"",IF($T600="Paid","PAID",IF($T600="Closed","CLOSED",IF($Z600="","",IF($Z600=6,"ESCALATED TO ROXANNE",IF(TODAY()&gt;$AB600,"OVERDUE",IF($AB600&lt;=WORKDAY(TODAY(),1,Holidays),"DUE TOMORROW",IF($Z600=4,"ESCALATED TO LOCAL OFFICE",IF($Z600=5,"ESCALATED TO CBE",IF($AA600=TODAY(),"EMAIL SENT","MONITORING"))))))))))</f>
        <v/>
      </c>
      <c r="V600" s="17">
        <f>IF($U600="",IF(AND(COUNTA($A600:$L600)&gt;0,$N600=""),"Awaiting Collection Email time stamp.",""),IF(OR($U600="PAID",$U600="CLOSED"),IF($U600="PAID","Account paid. Action completed.","Account closed. No further action required."),CHOOSE($Z600,"Collection Email","1st Email Follow-up","2nd Email Follow-up","Escalation to Local Office","Escalation to CBE","Escalation to Roxanne")&amp;" sent "&amp;TEXT($AA600,"dd-mmm")&amp;". "&amp;IF($Z600=6,"Final escalation completed.",IF($U600="OVERDUE","Next: "&amp;$AC600&amp;" was due "&amp;TEXT($AB600,"dd-mmm")&amp;" - "&amp;(NETWORKDAYS($AB600,TODAY(),Holidays)-1)&amp;" business day(s) late. Send now.",IF($U600="DUE TOMORROW","Next: "&amp;$AC600&amp;IF($AB600&lt;=TODAY()," is due TODAY ("," is due next business day (")&amp;TEXT($AB600,"dd-mmm")&amp;").","Next: "&amp;$AC600&amp;" due "&amp;TEXT($AB600,"dd-mmm")&amp;" ("&amp;(NETWORKDAYS(TODAY(),$AB600,Holidays)-1)&amp;" business day(s) left).")))))</f>
        <v/>
      </c>
      <c r="W600" s="17">
        <f>IF($Z600="","",CHOOSE($Z600,"Collection Email","1st Follow-up","2nd Follow-up","Local Office","CBE","Roxanne")&amp;IF($Z600=6," - Final"," - Day "&amp;MAX(0,NETWORKDAYS($AA600,TODAY(),Holidays)-1)&amp;" of "&amp;CHOOSE($Z600,3,3,2,2,3))&amp;" | Total Day "&amp;MAX(0,NETWORKDAYS($N600,TODAY(),Holidays)-1))</f>
        <v/>
      </c>
      <c r="X600" s="18"/>
      <c r="Y600" s="18"/>
      <c r="Z600" s="17">
        <f>IF($N600="","",COUNT($N600:$S600))</f>
        <v/>
      </c>
      <c r="AA600" s="19">
        <f>IF($Z600="","",INT(INDEX($N600:$S600,$Z600)))</f>
        <v/>
      </c>
      <c r="AB600" s="19">
        <f>IF(OR($Z600="",$Z600=6),"",WORKDAY($AA600,CHOOSE($Z600,3,3,2,2,3),Holidays))</f>
        <v/>
      </c>
      <c r="AC600" s="17">
        <f>IF(OR($Z600="",$Z600=6),"",CHOOSE($Z600,"1st Email Follow-up","2nd Email Follow-up","Escalate Local Office","Escalate to CBE","Escalate to Roxanne"))</f>
        <v/>
      </c>
    </row>
    <row r="601" spans="13:29">
      <c r="M601" s="14"/>
      <c r="T601" s="16"/>
      <c r="U601" s="17">
        <f>IF(AND(COUNTA($A601:$L601)=0,$N601=""),"",IF($T601="Paid","PAID",IF($T601="Closed","CLOSED",IF($Z601="","",IF($Z601=6,"ESCALATED TO ROXANNE",IF(TODAY()&gt;$AB601,"OVERDUE",IF($AB601&lt;=WORKDAY(TODAY(),1,Holidays),"DUE TOMORROW",IF($Z601=4,"ESCALATED TO LOCAL OFFICE",IF($Z601=5,"ESCALATED TO CBE",IF($AA601=TODAY(),"EMAIL SENT","MONITORING"))))))))))</f>
        <v/>
      </c>
      <c r="V601" s="17">
        <f>IF($U601="",IF(AND(COUNTA($A601:$L601)&gt;0,$N601=""),"Awaiting Collection Email time stamp.",""),IF(OR($U601="PAID",$U601="CLOSED"),IF($U601="PAID","Account paid. Action completed.","Account closed. No further action required."),CHOOSE($Z601,"Collection Email","1st Email Follow-up","2nd Email Follow-up","Escalation to Local Office","Escalation to CBE","Escalation to Roxanne")&amp;" sent "&amp;TEXT($AA601,"dd-mmm")&amp;". "&amp;IF($Z601=6,"Final escalation completed.",IF($U601="OVERDUE","Next: "&amp;$AC601&amp;" was due "&amp;TEXT($AB601,"dd-mmm")&amp;" - "&amp;(NETWORKDAYS($AB601,TODAY(),Holidays)-1)&amp;" business day(s) late. Send now.",IF($U601="DUE TOMORROW","Next: "&amp;$AC601&amp;IF($AB601&lt;=TODAY()," is due TODAY ("," is due next business day (")&amp;TEXT($AB601,"dd-mmm")&amp;").","Next: "&amp;$AC601&amp;" due "&amp;TEXT($AB601,"dd-mmm")&amp;" ("&amp;(NETWORKDAYS(TODAY(),$AB601,Holidays)-1)&amp;" business day(s) left).")))))</f>
        <v/>
      </c>
      <c r="W601" s="17">
        <f>IF($Z601="","",CHOOSE($Z601,"Collection Email","1st Follow-up","2nd Follow-up","Local Office","CBE","Roxanne")&amp;IF($Z601=6," - Final"," - Day "&amp;MAX(0,NETWORKDAYS($AA601,TODAY(),Holidays)-1)&amp;" of "&amp;CHOOSE($Z601,3,3,2,2,3))&amp;" | Total Day "&amp;MAX(0,NETWORKDAYS($N601,TODAY(),Holidays)-1))</f>
        <v/>
      </c>
      <c r="X601" s="18"/>
      <c r="Y601" s="18"/>
      <c r="Z601" s="17">
        <f>IF($N601="","",COUNT($N601:$S601))</f>
        <v/>
      </c>
      <c r="AA601" s="19">
        <f>IF($Z601="","",INT(INDEX($N601:$S601,$Z601)))</f>
        <v/>
      </c>
      <c r="AB601" s="19">
        <f>IF(OR($Z601="",$Z601=6),"",WORKDAY($AA601,CHOOSE($Z601,3,3,2,2,3),Holidays))</f>
        <v/>
      </c>
      <c r="AC601" s="17">
        <f>IF(OR($Z601="",$Z601=6),"",CHOOSE($Z601,"1st Email Follow-up","2nd Email Follow-up","Escalate Local Office","Escalate to CBE","Escalate to Roxanne"))</f>
        <v/>
      </c>
    </row>
    <row r="602" spans="13:29">
      <c r="M602" s="14"/>
      <c r="T602" s="16"/>
      <c r="U602" s="17">
        <f>IF(AND(COUNTA($A602:$L602)=0,$N602=""),"",IF($T602="Paid","PAID",IF($T602="Closed","CLOSED",IF($Z602="","",IF($Z602=6,"ESCALATED TO ROXANNE",IF(TODAY()&gt;$AB602,"OVERDUE",IF($AB602&lt;=WORKDAY(TODAY(),1,Holidays),"DUE TOMORROW",IF($Z602=4,"ESCALATED TO LOCAL OFFICE",IF($Z602=5,"ESCALATED TO CBE",IF($AA602=TODAY(),"EMAIL SENT","MONITORING"))))))))))</f>
        <v/>
      </c>
      <c r="V602" s="17">
        <f>IF($U602="",IF(AND(COUNTA($A602:$L602)&gt;0,$N602=""),"Awaiting Collection Email time stamp.",""),IF(OR($U602="PAID",$U602="CLOSED"),IF($U602="PAID","Account paid. Action completed.","Account closed. No further action required."),CHOOSE($Z602,"Collection Email","1st Email Follow-up","2nd Email Follow-up","Escalation to Local Office","Escalation to CBE","Escalation to Roxanne")&amp;" sent "&amp;TEXT($AA602,"dd-mmm")&amp;". "&amp;IF($Z602=6,"Final escalation completed.",IF($U602="OVERDUE","Next: "&amp;$AC602&amp;" was due "&amp;TEXT($AB602,"dd-mmm")&amp;" - "&amp;(NETWORKDAYS($AB602,TODAY(),Holidays)-1)&amp;" business day(s) late. Send now.",IF($U602="DUE TOMORROW","Next: "&amp;$AC602&amp;IF($AB602&lt;=TODAY()," is due TODAY ("," is due next business day (")&amp;TEXT($AB602,"dd-mmm")&amp;").","Next: "&amp;$AC602&amp;" due "&amp;TEXT($AB602,"dd-mmm")&amp;" ("&amp;(NETWORKDAYS(TODAY(),$AB602,Holidays)-1)&amp;" business day(s) left).")))))</f>
        <v/>
      </c>
      <c r="W602" s="17">
        <f>IF($Z602="","",CHOOSE($Z602,"Collection Email","1st Follow-up","2nd Follow-up","Local Office","CBE","Roxanne")&amp;IF($Z602=6," - Final"," - Day "&amp;MAX(0,NETWORKDAYS($AA602,TODAY(),Holidays)-1)&amp;" of "&amp;CHOOSE($Z602,3,3,2,2,3))&amp;" | Total Day "&amp;MAX(0,NETWORKDAYS($N602,TODAY(),Holidays)-1))</f>
        <v/>
      </c>
      <c r="X602" s="18"/>
      <c r="Y602" s="18"/>
      <c r="Z602" s="17">
        <f>IF($N602="","",COUNT($N602:$S602))</f>
        <v/>
      </c>
      <c r="AA602" s="19">
        <f>IF($Z602="","",INT(INDEX($N602:$S602,$Z602)))</f>
        <v/>
      </c>
      <c r="AB602" s="19">
        <f>IF(OR($Z602="",$Z602=6),"",WORKDAY($AA602,CHOOSE($Z602,3,3,2,2,3),Holidays))</f>
        <v/>
      </c>
      <c r="AC602" s="17">
        <f>IF(OR($Z602="",$Z602=6),"",CHOOSE($Z602,"1st Email Follow-up","2nd Email Follow-up","Escalate Local Office","Escalate to CBE","Escalate to Roxanne"))</f>
        <v/>
      </c>
    </row>
    <row r="603" spans="13:29">
      <c r="M603" s="14"/>
      <c r="T603" s="16"/>
      <c r="U603" s="17">
        <f>IF(AND(COUNTA($A603:$L603)=0,$N603=""),"",IF($T603="Paid","PAID",IF($T603="Closed","CLOSED",IF($Z603="","",IF($Z603=6,"ESCALATED TO ROXANNE",IF(TODAY()&gt;$AB603,"OVERDUE",IF($AB603&lt;=WORKDAY(TODAY(),1,Holidays),"DUE TOMORROW",IF($Z603=4,"ESCALATED TO LOCAL OFFICE",IF($Z603=5,"ESCALATED TO CBE",IF($AA603=TODAY(),"EMAIL SENT","MONITORING"))))))))))</f>
        <v/>
      </c>
      <c r="V603" s="17">
        <f>IF($U603="",IF(AND(COUNTA($A603:$L603)&gt;0,$N603=""),"Awaiting Collection Email time stamp.",""),IF(OR($U603="PAID",$U603="CLOSED"),IF($U603="PAID","Account paid. Action completed.","Account closed. No further action required."),CHOOSE($Z603,"Collection Email","1st Email Follow-up","2nd Email Follow-up","Escalation to Local Office","Escalation to CBE","Escalation to Roxanne")&amp;" sent "&amp;TEXT($AA603,"dd-mmm")&amp;". "&amp;IF($Z603=6,"Final escalation completed.",IF($U603="OVERDUE","Next: "&amp;$AC603&amp;" was due "&amp;TEXT($AB603,"dd-mmm")&amp;" - "&amp;(NETWORKDAYS($AB603,TODAY(),Holidays)-1)&amp;" business day(s) late. Send now.",IF($U603="DUE TOMORROW","Next: "&amp;$AC603&amp;IF($AB603&lt;=TODAY()," is due TODAY ("," is due next business day (")&amp;TEXT($AB603,"dd-mmm")&amp;").","Next: "&amp;$AC603&amp;" due "&amp;TEXT($AB603,"dd-mmm")&amp;" ("&amp;(NETWORKDAYS(TODAY(),$AB603,Holidays)-1)&amp;" business day(s) left).")))))</f>
        <v/>
      </c>
      <c r="W603" s="17">
        <f>IF($Z603="","",CHOOSE($Z603,"Collection Email","1st Follow-up","2nd Follow-up","Local Office","CBE","Roxanne")&amp;IF($Z603=6," - Final"," - Day "&amp;MAX(0,NETWORKDAYS($AA603,TODAY(),Holidays)-1)&amp;" of "&amp;CHOOSE($Z603,3,3,2,2,3))&amp;" | Total Day "&amp;MAX(0,NETWORKDAYS($N603,TODAY(),Holidays)-1))</f>
        <v/>
      </c>
      <c r="X603" s="18"/>
      <c r="Y603" s="18"/>
      <c r="Z603" s="17">
        <f>IF($N603="","",COUNT($N603:$S603))</f>
        <v/>
      </c>
      <c r="AA603" s="19">
        <f>IF($Z603="","",INT(INDEX($N603:$S603,$Z603)))</f>
        <v/>
      </c>
      <c r="AB603" s="19">
        <f>IF(OR($Z603="",$Z603=6),"",WORKDAY($AA603,CHOOSE($Z603,3,3,2,2,3),Holidays))</f>
        <v/>
      </c>
      <c r="AC603" s="17">
        <f>IF(OR($Z603="",$Z603=6),"",CHOOSE($Z603,"1st Email Follow-up","2nd Email Follow-up","Escalate Local Office","Escalate to CBE","Escalate to Roxanne"))</f>
        <v/>
      </c>
    </row>
    <row r="604" spans="13:29">
      <c r="M604" s="14"/>
      <c r="T604" s="16"/>
      <c r="U604" s="17">
        <f>IF(AND(COUNTA($A604:$L604)=0,$N604=""),"",IF($T604="Paid","PAID",IF($T604="Closed","CLOSED",IF($Z604="","",IF($Z604=6,"ESCALATED TO ROXANNE",IF(TODAY()&gt;$AB604,"OVERDUE",IF($AB604&lt;=WORKDAY(TODAY(),1,Holidays),"DUE TOMORROW",IF($Z604=4,"ESCALATED TO LOCAL OFFICE",IF($Z604=5,"ESCALATED TO CBE",IF($AA604=TODAY(),"EMAIL SENT","MONITORING"))))))))))</f>
        <v/>
      </c>
      <c r="V604" s="17">
        <f>IF($U604="",IF(AND(COUNTA($A604:$L604)&gt;0,$N604=""),"Awaiting Collection Email time stamp.",""),IF(OR($U604="PAID",$U604="CLOSED"),IF($U604="PAID","Account paid. Action completed.","Account closed. No further action required."),CHOOSE($Z604,"Collection Email","1st Email Follow-up","2nd Email Follow-up","Escalation to Local Office","Escalation to CBE","Escalation to Roxanne")&amp;" sent "&amp;TEXT($AA604,"dd-mmm")&amp;". "&amp;IF($Z604=6,"Final escalation completed.",IF($U604="OVERDUE","Next: "&amp;$AC604&amp;" was due "&amp;TEXT($AB604,"dd-mmm")&amp;" - "&amp;(NETWORKDAYS($AB604,TODAY(),Holidays)-1)&amp;" business day(s) late. Send now.",IF($U604="DUE TOMORROW","Next: "&amp;$AC604&amp;IF($AB604&lt;=TODAY()," is due TODAY ("," is due next business day (")&amp;TEXT($AB604,"dd-mmm")&amp;").","Next: "&amp;$AC604&amp;" due "&amp;TEXT($AB604,"dd-mmm")&amp;" ("&amp;(NETWORKDAYS(TODAY(),$AB604,Holidays)-1)&amp;" business day(s) left).")))))</f>
        <v/>
      </c>
      <c r="W604" s="17">
        <f>IF($Z604="","",CHOOSE($Z604,"Collection Email","1st Follow-up","2nd Follow-up","Local Office","CBE","Roxanne")&amp;IF($Z604=6," - Final"," - Day "&amp;MAX(0,NETWORKDAYS($AA604,TODAY(),Holidays)-1)&amp;" of "&amp;CHOOSE($Z604,3,3,2,2,3))&amp;" | Total Day "&amp;MAX(0,NETWORKDAYS($N604,TODAY(),Holidays)-1))</f>
        <v/>
      </c>
      <c r="X604" s="18"/>
      <c r="Y604" s="18"/>
      <c r="Z604" s="17">
        <f>IF($N604="","",COUNT($N604:$S604))</f>
        <v/>
      </c>
      <c r="AA604" s="19">
        <f>IF($Z604="","",INT(INDEX($N604:$S604,$Z604)))</f>
        <v/>
      </c>
      <c r="AB604" s="19">
        <f>IF(OR($Z604="",$Z604=6),"",WORKDAY($AA604,CHOOSE($Z604,3,3,2,2,3),Holidays))</f>
        <v/>
      </c>
      <c r="AC604" s="17">
        <f>IF(OR($Z604="",$Z604=6),"",CHOOSE($Z604,"1st Email Follow-up","2nd Email Follow-up","Escalate Local Office","Escalate to CBE","Escalate to Roxanne"))</f>
        <v/>
      </c>
    </row>
    <row r="605" spans="13:29">
      <c r="M605" s="14"/>
      <c r="T605" s="16"/>
      <c r="U605" s="17">
        <f>IF(AND(COUNTA($A605:$L605)=0,$N605=""),"",IF($T605="Paid","PAID",IF($T605="Closed","CLOSED",IF($Z605="","",IF($Z605=6,"ESCALATED TO ROXANNE",IF(TODAY()&gt;$AB605,"OVERDUE",IF($AB605&lt;=WORKDAY(TODAY(),1,Holidays),"DUE TOMORROW",IF($Z605=4,"ESCALATED TO LOCAL OFFICE",IF($Z605=5,"ESCALATED TO CBE",IF($AA605=TODAY(),"EMAIL SENT","MONITORING"))))))))))</f>
        <v/>
      </c>
      <c r="V605" s="17">
        <f>IF($U605="",IF(AND(COUNTA($A605:$L605)&gt;0,$N605=""),"Awaiting Collection Email time stamp.",""),IF(OR($U605="PAID",$U605="CLOSED"),IF($U605="PAID","Account paid. Action completed.","Account closed. No further action required."),CHOOSE($Z605,"Collection Email","1st Email Follow-up","2nd Email Follow-up","Escalation to Local Office","Escalation to CBE","Escalation to Roxanne")&amp;" sent "&amp;TEXT($AA605,"dd-mmm")&amp;". "&amp;IF($Z605=6,"Final escalation completed.",IF($U605="OVERDUE","Next: "&amp;$AC605&amp;" was due "&amp;TEXT($AB605,"dd-mmm")&amp;" - "&amp;(NETWORKDAYS($AB605,TODAY(),Holidays)-1)&amp;" business day(s) late. Send now.",IF($U605="DUE TOMORROW","Next: "&amp;$AC605&amp;IF($AB605&lt;=TODAY()," is due TODAY ("," is due next business day (")&amp;TEXT($AB605,"dd-mmm")&amp;").","Next: "&amp;$AC605&amp;" due "&amp;TEXT($AB605,"dd-mmm")&amp;" ("&amp;(NETWORKDAYS(TODAY(),$AB605,Holidays)-1)&amp;" business day(s) left).")))))</f>
        <v/>
      </c>
      <c r="W605" s="17">
        <f>IF($Z605="","",CHOOSE($Z605,"Collection Email","1st Follow-up","2nd Follow-up","Local Office","CBE","Roxanne")&amp;IF($Z605=6," - Final"," - Day "&amp;MAX(0,NETWORKDAYS($AA605,TODAY(),Holidays)-1)&amp;" of "&amp;CHOOSE($Z605,3,3,2,2,3))&amp;" | Total Day "&amp;MAX(0,NETWORKDAYS($N605,TODAY(),Holidays)-1))</f>
        <v/>
      </c>
      <c r="X605" s="18"/>
      <c r="Y605" s="18"/>
      <c r="Z605" s="17">
        <f>IF($N605="","",COUNT($N605:$S605))</f>
        <v/>
      </c>
      <c r="AA605" s="19">
        <f>IF($Z605="","",INT(INDEX($N605:$S605,$Z605)))</f>
        <v/>
      </c>
      <c r="AB605" s="19">
        <f>IF(OR($Z605="",$Z605=6),"",WORKDAY($AA605,CHOOSE($Z605,3,3,2,2,3),Holidays))</f>
        <v/>
      </c>
      <c r="AC605" s="17">
        <f>IF(OR($Z605="",$Z605=6),"",CHOOSE($Z605,"1st Email Follow-up","2nd Email Follow-up","Escalate Local Office","Escalate to CBE","Escalate to Roxanne"))</f>
        <v/>
      </c>
    </row>
    <row r="606" spans="13:29">
      <c r="M606" s="14"/>
      <c r="T606" s="16"/>
      <c r="U606" s="17">
        <f>IF(AND(COUNTA($A606:$L606)=0,$N606=""),"",IF($T606="Paid","PAID",IF($T606="Closed","CLOSED",IF($Z606="","",IF($Z606=6,"ESCALATED TO ROXANNE",IF(TODAY()&gt;$AB606,"OVERDUE",IF($AB606&lt;=WORKDAY(TODAY(),1,Holidays),"DUE TOMORROW",IF($Z606=4,"ESCALATED TO LOCAL OFFICE",IF($Z606=5,"ESCALATED TO CBE",IF($AA606=TODAY(),"EMAIL SENT","MONITORING"))))))))))</f>
        <v/>
      </c>
      <c r="V606" s="17">
        <f>IF($U606="",IF(AND(COUNTA($A606:$L606)&gt;0,$N606=""),"Awaiting Collection Email time stamp.",""),IF(OR($U606="PAID",$U606="CLOSED"),IF($U606="PAID","Account paid. Action completed.","Account closed. No further action required."),CHOOSE($Z606,"Collection Email","1st Email Follow-up","2nd Email Follow-up","Escalation to Local Office","Escalation to CBE","Escalation to Roxanne")&amp;" sent "&amp;TEXT($AA606,"dd-mmm")&amp;". "&amp;IF($Z606=6,"Final escalation completed.",IF($U606="OVERDUE","Next: "&amp;$AC606&amp;" was due "&amp;TEXT($AB606,"dd-mmm")&amp;" - "&amp;(NETWORKDAYS($AB606,TODAY(),Holidays)-1)&amp;" business day(s) late. Send now.",IF($U606="DUE TOMORROW","Next: "&amp;$AC606&amp;IF($AB606&lt;=TODAY()," is due TODAY ("," is due next business day (")&amp;TEXT($AB606,"dd-mmm")&amp;").","Next: "&amp;$AC606&amp;" due "&amp;TEXT($AB606,"dd-mmm")&amp;" ("&amp;(NETWORKDAYS(TODAY(),$AB606,Holidays)-1)&amp;" business day(s) left).")))))</f>
        <v/>
      </c>
      <c r="W606" s="17">
        <f>IF($Z606="","",CHOOSE($Z606,"Collection Email","1st Follow-up","2nd Follow-up","Local Office","CBE","Roxanne")&amp;IF($Z606=6," - Final"," - Day "&amp;MAX(0,NETWORKDAYS($AA606,TODAY(),Holidays)-1)&amp;" of "&amp;CHOOSE($Z606,3,3,2,2,3))&amp;" | Total Day "&amp;MAX(0,NETWORKDAYS($N606,TODAY(),Holidays)-1))</f>
        <v/>
      </c>
      <c r="X606" s="18"/>
      <c r="Y606" s="18"/>
      <c r="Z606" s="17">
        <f>IF($N606="","",COUNT($N606:$S606))</f>
        <v/>
      </c>
      <c r="AA606" s="19">
        <f>IF($Z606="","",INT(INDEX($N606:$S606,$Z606)))</f>
        <v/>
      </c>
      <c r="AB606" s="19">
        <f>IF(OR($Z606="",$Z606=6),"",WORKDAY($AA606,CHOOSE($Z606,3,3,2,2,3),Holidays))</f>
        <v/>
      </c>
      <c r="AC606" s="17">
        <f>IF(OR($Z606="",$Z606=6),"",CHOOSE($Z606,"1st Email Follow-up","2nd Email Follow-up","Escalate Local Office","Escalate to CBE","Escalate to Roxanne"))</f>
        <v/>
      </c>
    </row>
    <row r="607" spans="13:29">
      <c r="M607" s="14"/>
      <c r="T607" s="16"/>
      <c r="U607" s="17">
        <f>IF(AND(COUNTA($A607:$L607)=0,$N607=""),"",IF($T607="Paid","PAID",IF($T607="Closed","CLOSED",IF($Z607="","",IF($Z607=6,"ESCALATED TO ROXANNE",IF(TODAY()&gt;$AB607,"OVERDUE",IF($AB607&lt;=WORKDAY(TODAY(),1,Holidays),"DUE TOMORROW",IF($Z607=4,"ESCALATED TO LOCAL OFFICE",IF($Z607=5,"ESCALATED TO CBE",IF($AA607=TODAY(),"EMAIL SENT","MONITORING"))))))))))</f>
        <v/>
      </c>
      <c r="V607" s="17">
        <f>IF($U607="",IF(AND(COUNTA($A607:$L607)&gt;0,$N607=""),"Awaiting Collection Email time stamp.",""),IF(OR($U607="PAID",$U607="CLOSED"),IF($U607="PAID","Account paid. Action completed.","Account closed. No further action required."),CHOOSE($Z607,"Collection Email","1st Email Follow-up","2nd Email Follow-up","Escalation to Local Office","Escalation to CBE","Escalation to Roxanne")&amp;" sent "&amp;TEXT($AA607,"dd-mmm")&amp;". "&amp;IF($Z607=6,"Final escalation completed.",IF($U607="OVERDUE","Next: "&amp;$AC607&amp;" was due "&amp;TEXT($AB607,"dd-mmm")&amp;" - "&amp;(NETWORKDAYS($AB607,TODAY(),Holidays)-1)&amp;" business day(s) late. Send now.",IF($U607="DUE TOMORROW","Next: "&amp;$AC607&amp;IF($AB607&lt;=TODAY()," is due TODAY ("," is due next business day (")&amp;TEXT($AB607,"dd-mmm")&amp;").","Next: "&amp;$AC607&amp;" due "&amp;TEXT($AB607,"dd-mmm")&amp;" ("&amp;(NETWORKDAYS(TODAY(),$AB607,Holidays)-1)&amp;" business day(s) left).")))))</f>
        <v/>
      </c>
      <c r="W607" s="17">
        <f>IF($Z607="","",CHOOSE($Z607,"Collection Email","1st Follow-up","2nd Follow-up","Local Office","CBE","Roxanne")&amp;IF($Z607=6," - Final"," - Day "&amp;MAX(0,NETWORKDAYS($AA607,TODAY(),Holidays)-1)&amp;" of "&amp;CHOOSE($Z607,3,3,2,2,3))&amp;" | Total Day "&amp;MAX(0,NETWORKDAYS($N607,TODAY(),Holidays)-1))</f>
        <v/>
      </c>
      <c r="X607" s="18"/>
      <c r="Y607" s="18"/>
      <c r="Z607" s="17">
        <f>IF($N607="","",COUNT($N607:$S607))</f>
        <v/>
      </c>
      <c r="AA607" s="19">
        <f>IF($Z607="","",INT(INDEX($N607:$S607,$Z607)))</f>
        <v/>
      </c>
      <c r="AB607" s="19">
        <f>IF(OR($Z607="",$Z607=6),"",WORKDAY($AA607,CHOOSE($Z607,3,3,2,2,3),Holidays))</f>
        <v/>
      </c>
      <c r="AC607" s="17">
        <f>IF(OR($Z607="",$Z607=6),"",CHOOSE($Z607,"1st Email Follow-up","2nd Email Follow-up","Escalate Local Office","Escalate to CBE","Escalate to Roxanne"))</f>
        <v/>
      </c>
    </row>
    <row r="608" spans="13:29">
      <c r="M608" s="14"/>
      <c r="T608" s="16"/>
      <c r="U608" s="17">
        <f>IF(AND(COUNTA($A608:$L608)=0,$N608=""),"",IF($T608="Paid","PAID",IF($T608="Closed","CLOSED",IF($Z608="","",IF($Z608=6,"ESCALATED TO ROXANNE",IF(TODAY()&gt;$AB608,"OVERDUE",IF($AB608&lt;=WORKDAY(TODAY(),1,Holidays),"DUE TOMORROW",IF($Z608=4,"ESCALATED TO LOCAL OFFICE",IF($Z608=5,"ESCALATED TO CBE",IF($AA608=TODAY(),"EMAIL SENT","MONITORING"))))))))))</f>
        <v/>
      </c>
      <c r="V608" s="17">
        <f>IF($U608="",IF(AND(COUNTA($A608:$L608)&gt;0,$N608=""),"Awaiting Collection Email time stamp.",""),IF(OR($U608="PAID",$U608="CLOSED"),IF($U608="PAID","Account paid. Action completed.","Account closed. No further action required."),CHOOSE($Z608,"Collection Email","1st Email Follow-up","2nd Email Follow-up","Escalation to Local Office","Escalation to CBE","Escalation to Roxanne")&amp;" sent "&amp;TEXT($AA608,"dd-mmm")&amp;". "&amp;IF($Z608=6,"Final escalation completed.",IF($U608="OVERDUE","Next: "&amp;$AC608&amp;" was due "&amp;TEXT($AB608,"dd-mmm")&amp;" - "&amp;(NETWORKDAYS($AB608,TODAY(),Holidays)-1)&amp;" business day(s) late. Send now.",IF($U608="DUE TOMORROW","Next: "&amp;$AC608&amp;IF($AB608&lt;=TODAY()," is due TODAY ("," is due next business day (")&amp;TEXT($AB608,"dd-mmm")&amp;").","Next: "&amp;$AC608&amp;" due "&amp;TEXT($AB608,"dd-mmm")&amp;" ("&amp;(NETWORKDAYS(TODAY(),$AB608,Holidays)-1)&amp;" business day(s) left).")))))</f>
        <v/>
      </c>
      <c r="W608" s="17">
        <f>IF($Z608="","",CHOOSE($Z608,"Collection Email","1st Follow-up","2nd Follow-up","Local Office","CBE","Roxanne")&amp;IF($Z608=6," - Final"," - Day "&amp;MAX(0,NETWORKDAYS($AA608,TODAY(),Holidays)-1)&amp;" of "&amp;CHOOSE($Z608,3,3,2,2,3))&amp;" | Total Day "&amp;MAX(0,NETWORKDAYS($N608,TODAY(),Holidays)-1))</f>
        <v/>
      </c>
      <c r="X608" s="18"/>
      <c r="Y608" s="18"/>
      <c r="Z608" s="17">
        <f>IF($N608="","",COUNT($N608:$S608))</f>
        <v/>
      </c>
      <c r="AA608" s="19">
        <f>IF($Z608="","",INT(INDEX($N608:$S608,$Z608)))</f>
        <v/>
      </c>
      <c r="AB608" s="19">
        <f>IF(OR($Z608="",$Z608=6),"",WORKDAY($AA608,CHOOSE($Z608,3,3,2,2,3),Holidays))</f>
        <v/>
      </c>
      <c r="AC608" s="17">
        <f>IF(OR($Z608="",$Z608=6),"",CHOOSE($Z608,"1st Email Follow-up","2nd Email Follow-up","Escalate Local Office","Escalate to CBE","Escalate to Roxanne"))</f>
        <v/>
      </c>
    </row>
    <row r="609" spans="13:29">
      <c r="M609" s="14"/>
      <c r="T609" s="16"/>
      <c r="U609" s="17">
        <f>IF(AND(COUNTA($A609:$L609)=0,$N609=""),"",IF($T609="Paid","PAID",IF($T609="Closed","CLOSED",IF($Z609="","",IF($Z609=6,"ESCALATED TO ROXANNE",IF(TODAY()&gt;$AB609,"OVERDUE",IF($AB609&lt;=WORKDAY(TODAY(),1,Holidays),"DUE TOMORROW",IF($Z609=4,"ESCALATED TO LOCAL OFFICE",IF($Z609=5,"ESCALATED TO CBE",IF($AA609=TODAY(),"EMAIL SENT","MONITORING"))))))))))</f>
        <v/>
      </c>
      <c r="V609" s="17">
        <f>IF($U609="",IF(AND(COUNTA($A609:$L609)&gt;0,$N609=""),"Awaiting Collection Email time stamp.",""),IF(OR($U609="PAID",$U609="CLOSED"),IF($U609="PAID","Account paid. Action completed.","Account closed. No further action required."),CHOOSE($Z609,"Collection Email","1st Email Follow-up","2nd Email Follow-up","Escalation to Local Office","Escalation to CBE","Escalation to Roxanne")&amp;" sent "&amp;TEXT($AA609,"dd-mmm")&amp;". "&amp;IF($Z609=6,"Final escalation completed.",IF($U609="OVERDUE","Next: "&amp;$AC609&amp;" was due "&amp;TEXT($AB609,"dd-mmm")&amp;" - "&amp;(NETWORKDAYS($AB609,TODAY(),Holidays)-1)&amp;" business day(s) late. Send now.",IF($U609="DUE TOMORROW","Next: "&amp;$AC609&amp;IF($AB609&lt;=TODAY()," is due TODAY ("," is due next business day (")&amp;TEXT($AB609,"dd-mmm")&amp;").","Next: "&amp;$AC609&amp;" due "&amp;TEXT($AB609,"dd-mmm")&amp;" ("&amp;(NETWORKDAYS(TODAY(),$AB609,Holidays)-1)&amp;" business day(s) left).")))))</f>
        <v/>
      </c>
      <c r="W609" s="17">
        <f>IF($Z609="","",CHOOSE($Z609,"Collection Email","1st Follow-up","2nd Follow-up","Local Office","CBE","Roxanne")&amp;IF($Z609=6," - Final"," - Day "&amp;MAX(0,NETWORKDAYS($AA609,TODAY(),Holidays)-1)&amp;" of "&amp;CHOOSE($Z609,3,3,2,2,3))&amp;" | Total Day "&amp;MAX(0,NETWORKDAYS($N609,TODAY(),Holidays)-1))</f>
        <v/>
      </c>
      <c r="X609" s="18"/>
      <c r="Y609" s="18"/>
      <c r="Z609" s="17">
        <f>IF($N609="","",COUNT($N609:$S609))</f>
        <v/>
      </c>
      <c r="AA609" s="19">
        <f>IF($Z609="","",INT(INDEX($N609:$S609,$Z609)))</f>
        <v/>
      </c>
      <c r="AB609" s="19">
        <f>IF(OR($Z609="",$Z609=6),"",WORKDAY($AA609,CHOOSE($Z609,3,3,2,2,3),Holidays))</f>
        <v/>
      </c>
      <c r="AC609" s="17">
        <f>IF(OR($Z609="",$Z609=6),"",CHOOSE($Z609,"1st Email Follow-up","2nd Email Follow-up","Escalate Local Office","Escalate to CBE","Escalate to Roxanne"))</f>
        <v/>
      </c>
    </row>
    <row r="610" spans="13:29">
      <c r="M610" s="14"/>
      <c r="T610" s="16"/>
      <c r="U610" s="17">
        <f>IF(AND(COUNTA($A610:$L610)=0,$N610=""),"",IF($T610="Paid","PAID",IF($T610="Closed","CLOSED",IF($Z610="","",IF($Z610=6,"ESCALATED TO ROXANNE",IF(TODAY()&gt;$AB610,"OVERDUE",IF($AB610&lt;=WORKDAY(TODAY(),1,Holidays),"DUE TOMORROW",IF($Z610=4,"ESCALATED TO LOCAL OFFICE",IF($Z610=5,"ESCALATED TO CBE",IF($AA610=TODAY(),"EMAIL SENT","MONITORING"))))))))))</f>
        <v/>
      </c>
      <c r="V610" s="17">
        <f>IF($U610="",IF(AND(COUNTA($A610:$L610)&gt;0,$N610=""),"Awaiting Collection Email time stamp.",""),IF(OR($U610="PAID",$U610="CLOSED"),IF($U610="PAID","Account paid. Action completed.","Account closed. No further action required."),CHOOSE($Z610,"Collection Email","1st Email Follow-up","2nd Email Follow-up","Escalation to Local Office","Escalation to CBE","Escalation to Roxanne")&amp;" sent "&amp;TEXT($AA610,"dd-mmm")&amp;". "&amp;IF($Z610=6,"Final escalation completed.",IF($U610="OVERDUE","Next: "&amp;$AC610&amp;" was due "&amp;TEXT($AB610,"dd-mmm")&amp;" - "&amp;(NETWORKDAYS($AB610,TODAY(),Holidays)-1)&amp;" business day(s) late. Send now.",IF($U610="DUE TOMORROW","Next: "&amp;$AC610&amp;IF($AB610&lt;=TODAY()," is due TODAY ("," is due next business day (")&amp;TEXT($AB610,"dd-mmm")&amp;").","Next: "&amp;$AC610&amp;" due "&amp;TEXT($AB610,"dd-mmm")&amp;" ("&amp;(NETWORKDAYS(TODAY(),$AB610,Holidays)-1)&amp;" business day(s) left).")))))</f>
        <v/>
      </c>
      <c r="W610" s="17">
        <f>IF($Z610="","",CHOOSE($Z610,"Collection Email","1st Follow-up","2nd Follow-up","Local Office","CBE","Roxanne")&amp;IF($Z610=6," - Final"," - Day "&amp;MAX(0,NETWORKDAYS($AA610,TODAY(),Holidays)-1)&amp;" of "&amp;CHOOSE($Z610,3,3,2,2,3))&amp;" | Total Day "&amp;MAX(0,NETWORKDAYS($N610,TODAY(),Holidays)-1))</f>
        <v/>
      </c>
      <c r="X610" s="18"/>
      <c r="Y610" s="18"/>
      <c r="Z610" s="17">
        <f>IF($N610="","",COUNT($N610:$S610))</f>
        <v/>
      </c>
      <c r="AA610" s="19">
        <f>IF($Z610="","",INT(INDEX($N610:$S610,$Z610)))</f>
        <v/>
      </c>
      <c r="AB610" s="19">
        <f>IF(OR($Z610="",$Z610=6),"",WORKDAY($AA610,CHOOSE($Z610,3,3,2,2,3),Holidays))</f>
        <v/>
      </c>
      <c r="AC610" s="17">
        <f>IF(OR($Z610="",$Z610=6),"",CHOOSE($Z610,"1st Email Follow-up","2nd Email Follow-up","Escalate Local Office","Escalate to CBE","Escalate to Roxanne"))</f>
        <v/>
      </c>
    </row>
    <row r="611" spans="13:29">
      <c r="M611" s="14"/>
      <c r="T611" s="16"/>
      <c r="U611" s="17">
        <f>IF(AND(COUNTA($A611:$L611)=0,$N611=""),"",IF($T611="Paid","PAID",IF($T611="Closed","CLOSED",IF($Z611="","",IF($Z611=6,"ESCALATED TO ROXANNE",IF(TODAY()&gt;$AB611,"OVERDUE",IF($AB611&lt;=WORKDAY(TODAY(),1,Holidays),"DUE TOMORROW",IF($Z611=4,"ESCALATED TO LOCAL OFFICE",IF($Z611=5,"ESCALATED TO CBE",IF($AA611=TODAY(),"EMAIL SENT","MONITORING"))))))))))</f>
        <v/>
      </c>
      <c r="V611" s="17">
        <f>IF($U611="",IF(AND(COUNTA($A611:$L611)&gt;0,$N611=""),"Awaiting Collection Email time stamp.",""),IF(OR($U611="PAID",$U611="CLOSED"),IF($U611="PAID","Account paid. Action completed.","Account closed. No further action required."),CHOOSE($Z611,"Collection Email","1st Email Follow-up","2nd Email Follow-up","Escalation to Local Office","Escalation to CBE","Escalation to Roxanne")&amp;" sent "&amp;TEXT($AA611,"dd-mmm")&amp;". "&amp;IF($Z611=6,"Final escalation completed.",IF($U611="OVERDUE","Next: "&amp;$AC611&amp;" was due "&amp;TEXT($AB611,"dd-mmm")&amp;" - "&amp;(NETWORKDAYS($AB611,TODAY(),Holidays)-1)&amp;" business day(s) late. Send now.",IF($U611="DUE TOMORROW","Next: "&amp;$AC611&amp;IF($AB611&lt;=TODAY()," is due TODAY ("," is due next business day (")&amp;TEXT($AB611,"dd-mmm")&amp;").","Next: "&amp;$AC611&amp;" due "&amp;TEXT($AB611,"dd-mmm")&amp;" ("&amp;(NETWORKDAYS(TODAY(),$AB611,Holidays)-1)&amp;" business day(s) left).")))))</f>
        <v/>
      </c>
      <c r="W611" s="17">
        <f>IF($Z611="","",CHOOSE($Z611,"Collection Email","1st Follow-up","2nd Follow-up","Local Office","CBE","Roxanne")&amp;IF($Z611=6," - Final"," - Day "&amp;MAX(0,NETWORKDAYS($AA611,TODAY(),Holidays)-1)&amp;" of "&amp;CHOOSE($Z611,3,3,2,2,3))&amp;" | Total Day "&amp;MAX(0,NETWORKDAYS($N611,TODAY(),Holidays)-1))</f>
        <v/>
      </c>
      <c r="X611" s="18"/>
      <c r="Y611" s="18"/>
      <c r="Z611" s="17">
        <f>IF($N611="","",COUNT($N611:$S611))</f>
        <v/>
      </c>
      <c r="AA611" s="19">
        <f>IF($Z611="","",INT(INDEX($N611:$S611,$Z611)))</f>
        <v/>
      </c>
      <c r="AB611" s="19">
        <f>IF(OR($Z611="",$Z611=6),"",WORKDAY($AA611,CHOOSE($Z611,3,3,2,2,3),Holidays))</f>
        <v/>
      </c>
      <c r="AC611" s="17">
        <f>IF(OR($Z611="",$Z611=6),"",CHOOSE($Z611,"1st Email Follow-up","2nd Email Follow-up","Escalate Local Office","Escalate to CBE","Escalate to Roxanne"))</f>
        <v/>
      </c>
    </row>
    <row r="612" spans="13:29">
      <c r="M612" s="14"/>
      <c r="T612" s="16"/>
      <c r="U612" s="17">
        <f>IF(AND(COUNTA($A612:$L612)=0,$N612=""),"",IF($T612="Paid","PAID",IF($T612="Closed","CLOSED",IF($Z612="","",IF($Z612=6,"ESCALATED TO ROXANNE",IF(TODAY()&gt;$AB612,"OVERDUE",IF($AB612&lt;=WORKDAY(TODAY(),1,Holidays),"DUE TOMORROW",IF($Z612=4,"ESCALATED TO LOCAL OFFICE",IF($Z612=5,"ESCALATED TO CBE",IF($AA612=TODAY(),"EMAIL SENT","MONITORING"))))))))))</f>
        <v/>
      </c>
      <c r="V612" s="17">
        <f>IF($U612="",IF(AND(COUNTA($A612:$L612)&gt;0,$N612=""),"Awaiting Collection Email time stamp.",""),IF(OR($U612="PAID",$U612="CLOSED"),IF($U612="PAID","Account paid. Action completed.","Account closed. No further action required."),CHOOSE($Z612,"Collection Email","1st Email Follow-up","2nd Email Follow-up","Escalation to Local Office","Escalation to CBE","Escalation to Roxanne")&amp;" sent "&amp;TEXT($AA612,"dd-mmm")&amp;". "&amp;IF($Z612=6,"Final escalation completed.",IF($U612="OVERDUE","Next: "&amp;$AC612&amp;" was due "&amp;TEXT($AB612,"dd-mmm")&amp;" - "&amp;(NETWORKDAYS($AB612,TODAY(),Holidays)-1)&amp;" business day(s) late. Send now.",IF($U612="DUE TOMORROW","Next: "&amp;$AC612&amp;IF($AB612&lt;=TODAY()," is due TODAY ("," is due next business day (")&amp;TEXT($AB612,"dd-mmm")&amp;").","Next: "&amp;$AC612&amp;" due "&amp;TEXT($AB612,"dd-mmm")&amp;" ("&amp;(NETWORKDAYS(TODAY(),$AB612,Holidays)-1)&amp;" business day(s) left).")))))</f>
        <v/>
      </c>
      <c r="W612" s="17">
        <f>IF($Z612="","",CHOOSE($Z612,"Collection Email","1st Follow-up","2nd Follow-up","Local Office","CBE","Roxanne")&amp;IF($Z612=6," - Final"," - Day "&amp;MAX(0,NETWORKDAYS($AA612,TODAY(),Holidays)-1)&amp;" of "&amp;CHOOSE($Z612,3,3,2,2,3))&amp;" | Total Day "&amp;MAX(0,NETWORKDAYS($N612,TODAY(),Holidays)-1))</f>
        <v/>
      </c>
      <c r="X612" s="18"/>
      <c r="Y612" s="18"/>
      <c r="Z612" s="17">
        <f>IF($N612="","",COUNT($N612:$S612))</f>
        <v/>
      </c>
      <c r="AA612" s="19">
        <f>IF($Z612="","",INT(INDEX($N612:$S612,$Z612)))</f>
        <v/>
      </c>
      <c r="AB612" s="19">
        <f>IF(OR($Z612="",$Z612=6),"",WORKDAY($AA612,CHOOSE($Z612,3,3,2,2,3),Holidays))</f>
        <v/>
      </c>
      <c r="AC612" s="17">
        <f>IF(OR($Z612="",$Z612=6),"",CHOOSE($Z612,"1st Email Follow-up","2nd Email Follow-up","Escalate Local Office","Escalate to CBE","Escalate to Roxanne"))</f>
        <v/>
      </c>
    </row>
    <row r="613" spans="13:29">
      <c r="M613" s="14"/>
      <c r="T613" s="16"/>
      <c r="U613" s="17">
        <f>IF(AND(COUNTA($A613:$L613)=0,$N613=""),"",IF($T613="Paid","PAID",IF($T613="Closed","CLOSED",IF($Z613="","",IF($Z613=6,"ESCALATED TO ROXANNE",IF(TODAY()&gt;$AB613,"OVERDUE",IF($AB613&lt;=WORKDAY(TODAY(),1,Holidays),"DUE TOMORROW",IF($Z613=4,"ESCALATED TO LOCAL OFFICE",IF($Z613=5,"ESCALATED TO CBE",IF($AA613=TODAY(),"EMAIL SENT","MONITORING"))))))))))</f>
        <v/>
      </c>
      <c r="V613" s="17">
        <f>IF($U613="",IF(AND(COUNTA($A613:$L613)&gt;0,$N613=""),"Awaiting Collection Email time stamp.",""),IF(OR($U613="PAID",$U613="CLOSED"),IF($U613="PAID","Account paid. Action completed.","Account closed. No further action required."),CHOOSE($Z613,"Collection Email","1st Email Follow-up","2nd Email Follow-up","Escalation to Local Office","Escalation to CBE","Escalation to Roxanne")&amp;" sent "&amp;TEXT($AA613,"dd-mmm")&amp;". "&amp;IF($Z613=6,"Final escalation completed.",IF($U613="OVERDUE","Next: "&amp;$AC613&amp;" was due "&amp;TEXT($AB613,"dd-mmm")&amp;" - "&amp;(NETWORKDAYS($AB613,TODAY(),Holidays)-1)&amp;" business day(s) late. Send now.",IF($U613="DUE TOMORROW","Next: "&amp;$AC613&amp;IF($AB613&lt;=TODAY()," is due TODAY ("," is due next business day (")&amp;TEXT($AB613,"dd-mmm")&amp;").","Next: "&amp;$AC613&amp;" due "&amp;TEXT($AB613,"dd-mmm")&amp;" ("&amp;(NETWORKDAYS(TODAY(),$AB613,Holidays)-1)&amp;" business day(s) left).")))))</f>
        <v/>
      </c>
      <c r="W613" s="17">
        <f>IF($Z613="","",CHOOSE($Z613,"Collection Email","1st Follow-up","2nd Follow-up","Local Office","CBE","Roxanne")&amp;IF($Z613=6," - Final"," - Day "&amp;MAX(0,NETWORKDAYS($AA613,TODAY(),Holidays)-1)&amp;" of "&amp;CHOOSE($Z613,3,3,2,2,3))&amp;" | Total Day "&amp;MAX(0,NETWORKDAYS($N613,TODAY(),Holidays)-1))</f>
        <v/>
      </c>
      <c r="X613" s="18"/>
      <c r="Y613" s="18"/>
      <c r="Z613" s="17">
        <f>IF($N613="","",COUNT($N613:$S613))</f>
        <v/>
      </c>
      <c r="AA613" s="19">
        <f>IF($Z613="","",INT(INDEX($N613:$S613,$Z613)))</f>
        <v/>
      </c>
      <c r="AB613" s="19">
        <f>IF(OR($Z613="",$Z613=6),"",WORKDAY($AA613,CHOOSE($Z613,3,3,2,2,3),Holidays))</f>
        <v/>
      </c>
      <c r="AC613" s="17">
        <f>IF(OR($Z613="",$Z613=6),"",CHOOSE($Z613,"1st Email Follow-up","2nd Email Follow-up","Escalate Local Office","Escalate to CBE","Escalate to Roxanne"))</f>
        <v/>
      </c>
    </row>
    <row r="614" spans="13:29">
      <c r="M614" s="14"/>
      <c r="T614" s="16"/>
      <c r="U614" s="17">
        <f>IF(AND(COUNTA($A614:$L614)=0,$N614=""),"",IF($T614="Paid","PAID",IF($T614="Closed","CLOSED",IF($Z614="","",IF($Z614=6,"ESCALATED TO ROXANNE",IF(TODAY()&gt;$AB614,"OVERDUE",IF($AB614&lt;=WORKDAY(TODAY(),1,Holidays),"DUE TOMORROW",IF($Z614=4,"ESCALATED TO LOCAL OFFICE",IF($Z614=5,"ESCALATED TO CBE",IF($AA614=TODAY(),"EMAIL SENT","MONITORING"))))))))))</f>
        <v/>
      </c>
      <c r="V614" s="17">
        <f>IF($U614="",IF(AND(COUNTA($A614:$L614)&gt;0,$N614=""),"Awaiting Collection Email time stamp.",""),IF(OR($U614="PAID",$U614="CLOSED"),IF($U614="PAID","Account paid. Action completed.","Account closed. No further action required."),CHOOSE($Z614,"Collection Email","1st Email Follow-up","2nd Email Follow-up","Escalation to Local Office","Escalation to CBE","Escalation to Roxanne")&amp;" sent "&amp;TEXT($AA614,"dd-mmm")&amp;". "&amp;IF($Z614=6,"Final escalation completed.",IF($U614="OVERDUE","Next: "&amp;$AC614&amp;" was due "&amp;TEXT($AB614,"dd-mmm")&amp;" - "&amp;(NETWORKDAYS($AB614,TODAY(),Holidays)-1)&amp;" business day(s) late. Send now.",IF($U614="DUE TOMORROW","Next: "&amp;$AC614&amp;IF($AB614&lt;=TODAY()," is due TODAY ("," is due next business day (")&amp;TEXT($AB614,"dd-mmm")&amp;").","Next: "&amp;$AC614&amp;" due "&amp;TEXT($AB614,"dd-mmm")&amp;" ("&amp;(NETWORKDAYS(TODAY(),$AB614,Holidays)-1)&amp;" business day(s) left).")))))</f>
        <v/>
      </c>
      <c r="W614" s="17">
        <f>IF($Z614="","",CHOOSE($Z614,"Collection Email","1st Follow-up","2nd Follow-up","Local Office","CBE","Roxanne")&amp;IF($Z614=6," - Final"," - Day "&amp;MAX(0,NETWORKDAYS($AA614,TODAY(),Holidays)-1)&amp;" of "&amp;CHOOSE($Z614,3,3,2,2,3))&amp;" | Total Day "&amp;MAX(0,NETWORKDAYS($N614,TODAY(),Holidays)-1))</f>
        <v/>
      </c>
      <c r="X614" s="18"/>
      <c r="Y614" s="18"/>
      <c r="Z614" s="17">
        <f>IF($N614="","",COUNT($N614:$S614))</f>
        <v/>
      </c>
      <c r="AA614" s="19">
        <f>IF($Z614="","",INT(INDEX($N614:$S614,$Z614)))</f>
        <v/>
      </c>
      <c r="AB614" s="19">
        <f>IF(OR($Z614="",$Z614=6),"",WORKDAY($AA614,CHOOSE($Z614,3,3,2,2,3),Holidays))</f>
        <v/>
      </c>
      <c r="AC614" s="17">
        <f>IF(OR($Z614="",$Z614=6),"",CHOOSE($Z614,"1st Email Follow-up","2nd Email Follow-up","Escalate Local Office","Escalate to CBE","Escalate to Roxanne"))</f>
        <v/>
      </c>
    </row>
    <row r="615" spans="13:29">
      <c r="M615" s="14"/>
      <c r="T615" s="16"/>
      <c r="U615" s="17">
        <f>IF(AND(COUNTA($A615:$L615)=0,$N615=""),"",IF($T615="Paid","PAID",IF($T615="Closed","CLOSED",IF($Z615="","",IF($Z615=6,"ESCALATED TO ROXANNE",IF(TODAY()&gt;$AB615,"OVERDUE",IF($AB615&lt;=WORKDAY(TODAY(),1,Holidays),"DUE TOMORROW",IF($Z615=4,"ESCALATED TO LOCAL OFFICE",IF($Z615=5,"ESCALATED TO CBE",IF($AA615=TODAY(),"EMAIL SENT","MONITORING"))))))))))</f>
        <v/>
      </c>
      <c r="V615" s="17">
        <f>IF($U615="",IF(AND(COUNTA($A615:$L615)&gt;0,$N615=""),"Awaiting Collection Email time stamp.",""),IF(OR($U615="PAID",$U615="CLOSED"),IF($U615="PAID","Account paid. Action completed.","Account closed. No further action required."),CHOOSE($Z615,"Collection Email","1st Email Follow-up","2nd Email Follow-up","Escalation to Local Office","Escalation to CBE","Escalation to Roxanne")&amp;" sent "&amp;TEXT($AA615,"dd-mmm")&amp;". "&amp;IF($Z615=6,"Final escalation completed.",IF($U615="OVERDUE","Next: "&amp;$AC615&amp;" was due "&amp;TEXT($AB615,"dd-mmm")&amp;" - "&amp;(NETWORKDAYS($AB615,TODAY(),Holidays)-1)&amp;" business day(s) late. Send now.",IF($U615="DUE TOMORROW","Next: "&amp;$AC615&amp;IF($AB615&lt;=TODAY()," is due TODAY ("," is due next business day (")&amp;TEXT($AB615,"dd-mmm")&amp;").","Next: "&amp;$AC615&amp;" due "&amp;TEXT($AB615,"dd-mmm")&amp;" ("&amp;(NETWORKDAYS(TODAY(),$AB615,Holidays)-1)&amp;" business day(s) left).")))))</f>
        <v/>
      </c>
      <c r="W615" s="17">
        <f>IF($Z615="","",CHOOSE($Z615,"Collection Email","1st Follow-up","2nd Follow-up","Local Office","CBE","Roxanne")&amp;IF($Z615=6," - Final"," - Day "&amp;MAX(0,NETWORKDAYS($AA615,TODAY(),Holidays)-1)&amp;" of "&amp;CHOOSE($Z615,3,3,2,2,3))&amp;" | Total Day "&amp;MAX(0,NETWORKDAYS($N615,TODAY(),Holidays)-1))</f>
        <v/>
      </c>
      <c r="X615" s="18"/>
      <c r="Y615" s="18"/>
      <c r="Z615" s="17">
        <f>IF($N615="","",COUNT($N615:$S615))</f>
        <v/>
      </c>
      <c r="AA615" s="19">
        <f>IF($Z615="","",INT(INDEX($N615:$S615,$Z615)))</f>
        <v/>
      </c>
      <c r="AB615" s="19">
        <f>IF(OR($Z615="",$Z615=6),"",WORKDAY($AA615,CHOOSE($Z615,3,3,2,2,3),Holidays))</f>
        <v/>
      </c>
      <c r="AC615" s="17">
        <f>IF(OR($Z615="",$Z615=6),"",CHOOSE($Z615,"1st Email Follow-up","2nd Email Follow-up","Escalate Local Office","Escalate to CBE","Escalate to Roxanne"))</f>
        <v/>
      </c>
    </row>
    <row r="616" spans="13:29">
      <c r="M616" s="14"/>
      <c r="T616" s="16"/>
      <c r="U616" s="17">
        <f>IF(AND(COUNTA($A616:$L616)=0,$N616=""),"",IF($T616="Paid","PAID",IF($T616="Closed","CLOSED",IF($Z616="","",IF($Z616=6,"ESCALATED TO ROXANNE",IF(TODAY()&gt;$AB616,"OVERDUE",IF($AB616&lt;=WORKDAY(TODAY(),1,Holidays),"DUE TOMORROW",IF($Z616=4,"ESCALATED TO LOCAL OFFICE",IF($Z616=5,"ESCALATED TO CBE",IF($AA616=TODAY(),"EMAIL SENT","MONITORING"))))))))))</f>
        <v/>
      </c>
      <c r="V616" s="17">
        <f>IF($U616="",IF(AND(COUNTA($A616:$L616)&gt;0,$N616=""),"Awaiting Collection Email time stamp.",""),IF(OR($U616="PAID",$U616="CLOSED"),IF($U616="PAID","Account paid. Action completed.","Account closed. No further action required."),CHOOSE($Z616,"Collection Email","1st Email Follow-up","2nd Email Follow-up","Escalation to Local Office","Escalation to CBE","Escalation to Roxanne")&amp;" sent "&amp;TEXT($AA616,"dd-mmm")&amp;". "&amp;IF($Z616=6,"Final escalation completed.",IF($U616="OVERDUE","Next: "&amp;$AC616&amp;" was due "&amp;TEXT($AB616,"dd-mmm")&amp;" - "&amp;(NETWORKDAYS($AB616,TODAY(),Holidays)-1)&amp;" business day(s) late. Send now.",IF($U616="DUE TOMORROW","Next: "&amp;$AC616&amp;IF($AB616&lt;=TODAY()," is due TODAY ("," is due next business day (")&amp;TEXT($AB616,"dd-mmm")&amp;").","Next: "&amp;$AC616&amp;" due "&amp;TEXT($AB616,"dd-mmm")&amp;" ("&amp;(NETWORKDAYS(TODAY(),$AB616,Holidays)-1)&amp;" business day(s) left).")))))</f>
        <v/>
      </c>
      <c r="W616" s="17">
        <f>IF($Z616="","",CHOOSE($Z616,"Collection Email","1st Follow-up","2nd Follow-up","Local Office","CBE","Roxanne")&amp;IF($Z616=6," - Final"," - Day "&amp;MAX(0,NETWORKDAYS($AA616,TODAY(),Holidays)-1)&amp;" of "&amp;CHOOSE($Z616,3,3,2,2,3))&amp;" | Total Day "&amp;MAX(0,NETWORKDAYS($N616,TODAY(),Holidays)-1))</f>
        <v/>
      </c>
      <c r="X616" s="18"/>
      <c r="Y616" s="18"/>
      <c r="Z616" s="17">
        <f>IF($N616="","",COUNT($N616:$S616))</f>
        <v/>
      </c>
      <c r="AA616" s="19">
        <f>IF($Z616="","",INT(INDEX($N616:$S616,$Z616)))</f>
        <v/>
      </c>
      <c r="AB616" s="19">
        <f>IF(OR($Z616="",$Z616=6),"",WORKDAY($AA616,CHOOSE($Z616,3,3,2,2,3),Holidays))</f>
        <v/>
      </c>
      <c r="AC616" s="17">
        <f>IF(OR($Z616="",$Z616=6),"",CHOOSE($Z616,"1st Email Follow-up","2nd Email Follow-up","Escalate Local Office","Escalate to CBE","Escalate to Roxanne"))</f>
        <v/>
      </c>
    </row>
    <row r="617" spans="13:29">
      <c r="M617" s="14"/>
      <c r="T617" s="16"/>
      <c r="U617" s="17">
        <f>IF(AND(COUNTA($A617:$L617)=0,$N617=""),"",IF($T617="Paid","PAID",IF($T617="Closed","CLOSED",IF($Z617="","",IF($Z617=6,"ESCALATED TO ROXANNE",IF(TODAY()&gt;$AB617,"OVERDUE",IF($AB617&lt;=WORKDAY(TODAY(),1,Holidays),"DUE TOMORROW",IF($Z617=4,"ESCALATED TO LOCAL OFFICE",IF($Z617=5,"ESCALATED TO CBE",IF($AA617=TODAY(),"EMAIL SENT","MONITORING"))))))))))</f>
        <v/>
      </c>
      <c r="V617" s="17">
        <f>IF($U617="",IF(AND(COUNTA($A617:$L617)&gt;0,$N617=""),"Awaiting Collection Email time stamp.",""),IF(OR($U617="PAID",$U617="CLOSED"),IF($U617="PAID","Account paid. Action completed.","Account closed. No further action required."),CHOOSE($Z617,"Collection Email","1st Email Follow-up","2nd Email Follow-up","Escalation to Local Office","Escalation to CBE","Escalation to Roxanne")&amp;" sent "&amp;TEXT($AA617,"dd-mmm")&amp;". "&amp;IF($Z617=6,"Final escalation completed.",IF($U617="OVERDUE","Next: "&amp;$AC617&amp;" was due "&amp;TEXT($AB617,"dd-mmm")&amp;" - "&amp;(NETWORKDAYS($AB617,TODAY(),Holidays)-1)&amp;" business day(s) late. Send now.",IF($U617="DUE TOMORROW","Next: "&amp;$AC617&amp;IF($AB617&lt;=TODAY()," is due TODAY ("," is due next business day (")&amp;TEXT($AB617,"dd-mmm")&amp;").","Next: "&amp;$AC617&amp;" due "&amp;TEXT($AB617,"dd-mmm")&amp;" ("&amp;(NETWORKDAYS(TODAY(),$AB617,Holidays)-1)&amp;" business day(s) left).")))))</f>
        <v/>
      </c>
      <c r="W617" s="17">
        <f>IF($Z617="","",CHOOSE($Z617,"Collection Email","1st Follow-up","2nd Follow-up","Local Office","CBE","Roxanne")&amp;IF($Z617=6," - Final"," - Day "&amp;MAX(0,NETWORKDAYS($AA617,TODAY(),Holidays)-1)&amp;" of "&amp;CHOOSE($Z617,3,3,2,2,3))&amp;" | Total Day "&amp;MAX(0,NETWORKDAYS($N617,TODAY(),Holidays)-1))</f>
        <v/>
      </c>
      <c r="X617" s="18"/>
      <c r="Y617" s="18"/>
      <c r="Z617" s="17">
        <f>IF($N617="","",COUNT($N617:$S617))</f>
        <v/>
      </c>
      <c r="AA617" s="19">
        <f>IF($Z617="","",INT(INDEX($N617:$S617,$Z617)))</f>
        <v/>
      </c>
      <c r="AB617" s="19">
        <f>IF(OR($Z617="",$Z617=6),"",WORKDAY($AA617,CHOOSE($Z617,3,3,2,2,3),Holidays))</f>
        <v/>
      </c>
      <c r="AC617" s="17">
        <f>IF(OR($Z617="",$Z617=6),"",CHOOSE($Z617,"1st Email Follow-up","2nd Email Follow-up","Escalate Local Office","Escalate to CBE","Escalate to Roxanne"))</f>
        <v/>
      </c>
    </row>
    <row r="618" spans="13:29">
      <c r="M618" s="14"/>
      <c r="T618" s="16"/>
      <c r="U618" s="17">
        <f>IF(AND(COUNTA($A618:$L618)=0,$N618=""),"",IF($T618="Paid","PAID",IF($T618="Closed","CLOSED",IF($Z618="","",IF($Z618=6,"ESCALATED TO ROXANNE",IF(TODAY()&gt;$AB618,"OVERDUE",IF($AB618&lt;=WORKDAY(TODAY(),1,Holidays),"DUE TOMORROW",IF($Z618=4,"ESCALATED TO LOCAL OFFICE",IF($Z618=5,"ESCALATED TO CBE",IF($AA618=TODAY(),"EMAIL SENT","MONITORING"))))))))))</f>
        <v/>
      </c>
      <c r="V618" s="17">
        <f>IF($U618="",IF(AND(COUNTA($A618:$L618)&gt;0,$N618=""),"Awaiting Collection Email time stamp.",""),IF(OR($U618="PAID",$U618="CLOSED"),IF($U618="PAID","Account paid. Action completed.","Account closed. No further action required."),CHOOSE($Z618,"Collection Email","1st Email Follow-up","2nd Email Follow-up","Escalation to Local Office","Escalation to CBE","Escalation to Roxanne")&amp;" sent "&amp;TEXT($AA618,"dd-mmm")&amp;". "&amp;IF($Z618=6,"Final escalation completed.",IF($U618="OVERDUE","Next: "&amp;$AC618&amp;" was due "&amp;TEXT($AB618,"dd-mmm")&amp;" - "&amp;(NETWORKDAYS($AB618,TODAY(),Holidays)-1)&amp;" business day(s) late. Send now.",IF($U618="DUE TOMORROW","Next: "&amp;$AC618&amp;IF($AB618&lt;=TODAY()," is due TODAY ("," is due next business day (")&amp;TEXT($AB618,"dd-mmm")&amp;").","Next: "&amp;$AC618&amp;" due "&amp;TEXT($AB618,"dd-mmm")&amp;" ("&amp;(NETWORKDAYS(TODAY(),$AB618,Holidays)-1)&amp;" business day(s) left).")))))</f>
        <v/>
      </c>
      <c r="W618" s="17">
        <f>IF($Z618="","",CHOOSE($Z618,"Collection Email","1st Follow-up","2nd Follow-up","Local Office","CBE","Roxanne")&amp;IF($Z618=6," - Final"," - Day "&amp;MAX(0,NETWORKDAYS($AA618,TODAY(),Holidays)-1)&amp;" of "&amp;CHOOSE($Z618,3,3,2,2,3))&amp;" | Total Day "&amp;MAX(0,NETWORKDAYS($N618,TODAY(),Holidays)-1))</f>
        <v/>
      </c>
      <c r="X618" s="18"/>
      <c r="Y618" s="18"/>
      <c r="Z618" s="17">
        <f>IF($N618="","",COUNT($N618:$S618))</f>
        <v/>
      </c>
      <c r="AA618" s="19">
        <f>IF($Z618="","",INT(INDEX($N618:$S618,$Z618)))</f>
        <v/>
      </c>
      <c r="AB618" s="19">
        <f>IF(OR($Z618="",$Z618=6),"",WORKDAY($AA618,CHOOSE($Z618,3,3,2,2,3),Holidays))</f>
        <v/>
      </c>
      <c r="AC618" s="17">
        <f>IF(OR($Z618="",$Z618=6),"",CHOOSE($Z618,"1st Email Follow-up","2nd Email Follow-up","Escalate Local Office","Escalate to CBE","Escalate to Roxanne"))</f>
        <v/>
      </c>
    </row>
    <row r="619" spans="13:29">
      <c r="M619" s="14"/>
      <c r="T619" s="16"/>
      <c r="U619" s="17">
        <f>IF(AND(COUNTA($A619:$L619)=0,$N619=""),"",IF($T619="Paid","PAID",IF($T619="Closed","CLOSED",IF($Z619="","",IF($Z619=6,"ESCALATED TO ROXANNE",IF(TODAY()&gt;$AB619,"OVERDUE",IF($AB619&lt;=WORKDAY(TODAY(),1,Holidays),"DUE TOMORROW",IF($Z619=4,"ESCALATED TO LOCAL OFFICE",IF($Z619=5,"ESCALATED TO CBE",IF($AA619=TODAY(),"EMAIL SENT","MONITORING"))))))))))</f>
        <v/>
      </c>
      <c r="V619" s="17">
        <f>IF($U619="",IF(AND(COUNTA($A619:$L619)&gt;0,$N619=""),"Awaiting Collection Email time stamp.",""),IF(OR($U619="PAID",$U619="CLOSED"),IF($U619="PAID","Account paid. Action completed.","Account closed. No further action required."),CHOOSE($Z619,"Collection Email","1st Email Follow-up","2nd Email Follow-up","Escalation to Local Office","Escalation to CBE","Escalation to Roxanne")&amp;" sent "&amp;TEXT($AA619,"dd-mmm")&amp;". "&amp;IF($Z619=6,"Final escalation completed.",IF($U619="OVERDUE","Next: "&amp;$AC619&amp;" was due "&amp;TEXT($AB619,"dd-mmm")&amp;" - "&amp;(NETWORKDAYS($AB619,TODAY(),Holidays)-1)&amp;" business day(s) late. Send now.",IF($U619="DUE TOMORROW","Next: "&amp;$AC619&amp;IF($AB619&lt;=TODAY()," is due TODAY ("," is due next business day (")&amp;TEXT($AB619,"dd-mmm")&amp;").","Next: "&amp;$AC619&amp;" due "&amp;TEXT($AB619,"dd-mmm")&amp;" ("&amp;(NETWORKDAYS(TODAY(),$AB619,Holidays)-1)&amp;" business day(s) left).")))))</f>
        <v/>
      </c>
      <c r="W619" s="17">
        <f>IF($Z619="","",CHOOSE($Z619,"Collection Email","1st Follow-up","2nd Follow-up","Local Office","CBE","Roxanne")&amp;IF($Z619=6," - Final"," - Day "&amp;MAX(0,NETWORKDAYS($AA619,TODAY(),Holidays)-1)&amp;" of "&amp;CHOOSE($Z619,3,3,2,2,3))&amp;" | Total Day "&amp;MAX(0,NETWORKDAYS($N619,TODAY(),Holidays)-1))</f>
        <v/>
      </c>
      <c r="X619" s="18"/>
      <c r="Y619" s="18"/>
      <c r="Z619" s="17">
        <f>IF($N619="","",COUNT($N619:$S619))</f>
        <v/>
      </c>
      <c r="AA619" s="19">
        <f>IF($Z619="","",INT(INDEX($N619:$S619,$Z619)))</f>
        <v/>
      </c>
      <c r="AB619" s="19">
        <f>IF(OR($Z619="",$Z619=6),"",WORKDAY($AA619,CHOOSE($Z619,3,3,2,2,3),Holidays))</f>
        <v/>
      </c>
      <c r="AC619" s="17">
        <f>IF(OR($Z619="",$Z619=6),"",CHOOSE($Z619,"1st Email Follow-up","2nd Email Follow-up","Escalate Local Office","Escalate to CBE","Escalate to Roxanne"))</f>
        <v/>
      </c>
    </row>
    <row r="620" spans="13:29">
      <c r="M620" s="14"/>
      <c r="T620" s="16"/>
      <c r="U620" s="17">
        <f>IF(AND(COUNTA($A620:$L620)=0,$N620=""),"",IF($T620="Paid","PAID",IF($T620="Closed","CLOSED",IF($Z620="","",IF($Z620=6,"ESCALATED TO ROXANNE",IF(TODAY()&gt;$AB620,"OVERDUE",IF($AB620&lt;=WORKDAY(TODAY(),1,Holidays),"DUE TOMORROW",IF($Z620=4,"ESCALATED TO LOCAL OFFICE",IF($Z620=5,"ESCALATED TO CBE",IF($AA620=TODAY(),"EMAIL SENT","MONITORING"))))))))))</f>
        <v/>
      </c>
      <c r="V620" s="17">
        <f>IF($U620="",IF(AND(COUNTA($A620:$L620)&gt;0,$N620=""),"Awaiting Collection Email time stamp.",""),IF(OR($U620="PAID",$U620="CLOSED"),IF($U620="PAID","Account paid. Action completed.","Account closed. No further action required."),CHOOSE($Z620,"Collection Email","1st Email Follow-up","2nd Email Follow-up","Escalation to Local Office","Escalation to CBE","Escalation to Roxanne")&amp;" sent "&amp;TEXT($AA620,"dd-mmm")&amp;". "&amp;IF($Z620=6,"Final escalation completed.",IF($U620="OVERDUE","Next: "&amp;$AC620&amp;" was due "&amp;TEXT($AB620,"dd-mmm")&amp;" - "&amp;(NETWORKDAYS($AB620,TODAY(),Holidays)-1)&amp;" business day(s) late. Send now.",IF($U620="DUE TOMORROW","Next: "&amp;$AC620&amp;IF($AB620&lt;=TODAY()," is due TODAY ("," is due next business day (")&amp;TEXT($AB620,"dd-mmm")&amp;").","Next: "&amp;$AC620&amp;" due "&amp;TEXT($AB620,"dd-mmm")&amp;" ("&amp;(NETWORKDAYS(TODAY(),$AB620,Holidays)-1)&amp;" business day(s) left).")))))</f>
        <v/>
      </c>
      <c r="W620" s="17">
        <f>IF($Z620="","",CHOOSE($Z620,"Collection Email","1st Follow-up","2nd Follow-up","Local Office","CBE","Roxanne")&amp;IF($Z620=6," - Final"," - Day "&amp;MAX(0,NETWORKDAYS($AA620,TODAY(),Holidays)-1)&amp;" of "&amp;CHOOSE($Z620,3,3,2,2,3))&amp;" | Total Day "&amp;MAX(0,NETWORKDAYS($N620,TODAY(),Holidays)-1))</f>
        <v/>
      </c>
      <c r="X620" s="18"/>
      <c r="Y620" s="18"/>
      <c r="Z620" s="17">
        <f>IF($N620="","",COUNT($N620:$S620))</f>
        <v/>
      </c>
      <c r="AA620" s="19">
        <f>IF($Z620="","",INT(INDEX($N620:$S620,$Z620)))</f>
        <v/>
      </c>
      <c r="AB620" s="19">
        <f>IF(OR($Z620="",$Z620=6),"",WORKDAY($AA620,CHOOSE($Z620,3,3,2,2,3),Holidays))</f>
        <v/>
      </c>
      <c r="AC620" s="17">
        <f>IF(OR($Z620="",$Z620=6),"",CHOOSE($Z620,"1st Email Follow-up","2nd Email Follow-up","Escalate Local Office","Escalate to CBE","Escalate to Roxanne"))</f>
        <v/>
      </c>
    </row>
    <row r="621" spans="13:29">
      <c r="M621" s="14"/>
      <c r="T621" s="16"/>
      <c r="U621" s="17">
        <f>IF(AND(COUNTA($A621:$L621)=0,$N621=""),"",IF($T621="Paid","PAID",IF($T621="Closed","CLOSED",IF($Z621="","",IF($Z621=6,"ESCALATED TO ROXANNE",IF(TODAY()&gt;$AB621,"OVERDUE",IF($AB621&lt;=WORKDAY(TODAY(),1,Holidays),"DUE TOMORROW",IF($Z621=4,"ESCALATED TO LOCAL OFFICE",IF($Z621=5,"ESCALATED TO CBE",IF($AA621=TODAY(),"EMAIL SENT","MONITORING"))))))))))</f>
        <v/>
      </c>
      <c r="V621" s="17">
        <f>IF($U621="",IF(AND(COUNTA($A621:$L621)&gt;0,$N621=""),"Awaiting Collection Email time stamp.",""),IF(OR($U621="PAID",$U621="CLOSED"),IF($U621="PAID","Account paid. Action completed.","Account closed. No further action required."),CHOOSE($Z621,"Collection Email","1st Email Follow-up","2nd Email Follow-up","Escalation to Local Office","Escalation to CBE","Escalation to Roxanne")&amp;" sent "&amp;TEXT($AA621,"dd-mmm")&amp;". "&amp;IF($Z621=6,"Final escalation completed.",IF($U621="OVERDUE","Next: "&amp;$AC621&amp;" was due "&amp;TEXT($AB621,"dd-mmm")&amp;" - "&amp;(NETWORKDAYS($AB621,TODAY(),Holidays)-1)&amp;" business day(s) late. Send now.",IF($U621="DUE TOMORROW","Next: "&amp;$AC621&amp;IF($AB621&lt;=TODAY()," is due TODAY ("," is due next business day (")&amp;TEXT($AB621,"dd-mmm")&amp;").","Next: "&amp;$AC621&amp;" due "&amp;TEXT($AB621,"dd-mmm")&amp;" ("&amp;(NETWORKDAYS(TODAY(),$AB621,Holidays)-1)&amp;" business day(s) left).")))))</f>
        <v/>
      </c>
      <c r="W621" s="17">
        <f>IF($Z621="","",CHOOSE($Z621,"Collection Email","1st Follow-up","2nd Follow-up","Local Office","CBE","Roxanne")&amp;IF($Z621=6," - Final"," - Day "&amp;MAX(0,NETWORKDAYS($AA621,TODAY(),Holidays)-1)&amp;" of "&amp;CHOOSE($Z621,3,3,2,2,3))&amp;" | Total Day "&amp;MAX(0,NETWORKDAYS($N621,TODAY(),Holidays)-1))</f>
        <v/>
      </c>
      <c r="X621" s="18"/>
      <c r="Y621" s="18"/>
      <c r="Z621" s="17">
        <f>IF($N621="","",COUNT($N621:$S621))</f>
        <v/>
      </c>
      <c r="AA621" s="19">
        <f>IF($Z621="","",INT(INDEX($N621:$S621,$Z621)))</f>
        <v/>
      </c>
      <c r="AB621" s="19">
        <f>IF(OR($Z621="",$Z621=6),"",WORKDAY($AA621,CHOOSE($Z621,3,3,2,2,3),Holidays))</f>
        <v/>
      </c>
      <c r="AC621" s="17">
        <f>IF(OR($Z621="",$Z621=6),"",CHOOSE($Z621,"1st Email Follow-up","2nd Email Follow-up","Escalate Local Office","Escalate to CBE","Escalate to Roxanne"))</f>
        <v/>
      </c>
    </row>
    <row r="622" spans="13:29">
      <c r="M622" s="14"/>
      <c r="T622" s="16"/>
      <c r="U622" s="17">
        <f>IF(AND(COUNTA($A622:$L622)=0,$N622=""),"",IF($T622="Paid","PAID",IF($T622="Closed","CLOSED",IF($Z622="","",IF($Z622=6,"ESCALATED TO ROXANNE",IF(TODAY()&gt;$AB622,"OVERDUE",IF($AB622&lt;=WORKDAY(TODAY(),1,Holidays),"DUE TOMORROW",IF($Z622=4,"ESCALATED TO LOCAL OFFICE",IF($Z622=5,"ESCALATED TO CBE",IF($AA622=TODAY(),"EMAIL SENT","MONITORING"))))))))))</f>
        <v/>
      </c>
      <c r="V622" s="17">
        <f>IF($U622="",IF(AND(COUNTA($A622:$L622)&gt;0,$N622=""),"Awaiting Collection Email time stamp.",""),IF(OR($U622="PAID",$U622="CLOSED"),IF($U622="PAID","Account paid. Action completed.","Account closed. No further action required."),CHOOSE($Z622,"Collection Email","1st Email Follow-up","2nd Email Follow-up","Escalation to Local Office","Escalation to CBE","Escalation to Roxanne")&amp;" sent "&amp;TEXT($AA622,"dd-mmm")&amp;". "&amp;IF($Z622=6,"Final escalation completed.",IF($U622="OVERDUE","Next: "&amp;$AC622&amp;" was due "&amp;TEXT($AB622,"dd-mmm")&amp;" - "&amp;(NETWORKDAYS($AB622,TODAY(),Holidays)-1)&amp;" business day(s) late. Send now.",IF($U622="DUE TOMORROW","Next: "&amp;$AC622&amp;IF($AB622&lt;=TODAY()," is due TODAY ("," is due next business day (")&amp;TEXT($AB622,"dd-mmm")&amp;").","Next: "&amp;$AC622&amp;" due "&amp;TEXT($AB622,"dd-mmm")&amp;" ("&amp;(NETWORKDAYS(TODAY(),$AB622,Holidays)-1)&amp;" business day(s) left).")))))</f>
        <v/>
      </c>
      <c r="W622" s="17">
        <f>IF($Z622="","",CHOOSE($Z622,"Collection Email","1st Follow-up","2nd Follow-up","Local Office","CBE","Roxanne")&amp;IF($Z622=6," - Final"," - Day "&amp;MAX(0,NETWORKDAYS($AA622,TODAY(),Holidays)-1)&amp;" of "&amp;CHOOSE($Z622,3,3,2,2,3))&amp;" | Total Day "&amp;MAX(0,NETWORKDAYS($N622,TODAY(),Holidays)-1))</f>
        <v/>
      </c>
      <c r="X622" s="18"/>
      <c r="Y622" s="18"/>
      <c r="Z622" s="17">
        <f>IF($N622="","",COUNT($N622:$S622))</f>
        <v/>
      </c>
      <c r="AA622" s="19">
        <f>IF($Z622="","",INT(INDEX($N622:$S622,$Z622)))</f>
        <v/>
      </c>
      <c r="AB622" s="19">
        <f>IF(OR($Z622="",$Z622=6),"",WORKDAY($AA622,CHOOSE($Z622,3,3,2,2,3),Holidays))</f>
        <v/>
      </c>
      <c r="AC622" s="17">
        <f>IF(OR($Z622="",$Z622=6),"",CHOOSE($Z622,"1st Email Follow-up","2nd Email Follow-up","Escalate Local Office","Escalate to CBE","Escalate to Roxanne"))</f>
        <v/>
      </c>
    </row>
    <row r="623" spans="13:29">
      <c r="M623" s="14"/>
      <c r="T623" s="16"/>
      <c r="U623" s="17">
        <f>IF(AND(COUNTA($A623:$L623)=0,$N623=""),"",IF($T623="Paid","PAID",IF($T623="Closed","CLOSED",IF($Z623="","",IF($Z623=6,"ESCALATED TO ROXANNE",IF(TODAY()&gt;$AB623,"OVERDUE",IF($AB623&lt;=WORKDAY(TODAY(),1,Holidays),"DUE TOMORROW",IF($Z623=4,"ESCALATED TO LOCAL OFFICE",IF($Z623=5,"ESCALATED TO CBE",IF($AA623=TODAY(),"EMAIL SENT","MONITORING"))))))))))</f>
        <v/>
      </c>
      <c r="V623" s="17">
        <f>IF($U623="",IF(AND(COUNTA($A623:$L623)&gt;0,$N623=""),"Awaiting Collection Email time stamp.",""),IF(OR($U623="PAID",$U623="CLOSED"),IF($U623="PAID","Account paid. Action completed.","Account closed. No further action required."),CHOOSE($Z623,"Collection Email","1st Email Follow-up","2nd Email Follow-up","Escalation to Local Office","Escalation to CBE","Escalation to Roxanne")&amp;" sent "&amp;TEXT($AA623,"dd-mmm")&amp;". "&amp;IF($Z623=6,"Final escalation completed.",IF($U623="OVERDUE","Next: "&amp;$AC623&amp;" was due "&amp;TEXT($AB623,"dd-mmm")&amp;" - "&amp;(NETWORKDAYS($AB623,TODAY(),Holidays)-1)&amp;" business day(s) late. Send now.",IF($U623="DUE TOMORROW","Next: "&amp;$AC623&amp;IF($AB623&lt;=TODAY()," is due TODAY ("," is due next business day (")&amp;TEXT($AB623,"dd-mmm")&amp;").","Next: "&amp;$AC623&amp;" due "&amp;TEXT($AB623,"dd-mmm")&amp;" ("&amp;(NETWORKDAYS(TODAY(),$AB623,Holidays)-1)&amp;" business day(s) left).")))))</f>
        <v/>
      </c>
      <c r="W623" s="17">
        <f>IF($Z623="","",CHOOSE($Z623,"Collection Email","1st Follow-up","2nd Follow-up","Local Office","CBE","Roxanne")&amp;IF($Z623=6," - Final"," - Day "&amp;MAX(0,NETWORKDAYS($AA623,TODAY(),Holidays)-1)&amp;" of "&amp;CHOOSE($Z623,3,3,2,2,3))&amp;" | Total Day "&amp;MAX(0,NETWORKDAYS($N623,TODAY(),Holidays)-1))</f>
        <v/>
      </c>
      <c r="X623" s="18"/>
      <c r="Y623" s="18"/>
      <c r="Z623" s="17">
        <f>IF($N623="","",COUNT($N623:$S623))</f>
        <v/>
      </c>
      <c r="AA623" s="19">
        <f>IF($Z623="","",INT(INDEX($N623:$S623,$Z623)))</f>
        <v/>
      </c>
      <c r="AB623" s="19">
        <f>IF(OR($Z623="",$Z623=6),"",WORKDAY($AA623,CHOOSE($Z623,3,3,2,2,3),Holidays))</f>
        <v/>
      </c>
      <c r="AC623" s="17">
        <f>IF(OR($Z623="",$Z623=6),"",CHOOSE($Z623,"1st Email Follow-up","2nd Email Follow-up","Escalate Local Office","Escalate to CBE","Escalate to Roxanne"))</f>
        <v/>
      </c>
    </row>
    <row r="624" spans="13:29">
      <c r="M624" s="14"/>
      <c r="T624" s="16"/>
      <c r="U624" s="17">
        <f>IF(AND(COUNTA($A624:$L624)=0,$N624=""),"",IF($T624="Paid","PAID",IF($T624="Closed","CLOSED",IF($Z624="","",IF($Z624=6,"ESCALATED TO ROXANNE",IF(TODAY()&gt;$AB624,"OVERDUE",IF($AB624&lt;=WORKDAY(TODAY(),1,Holidays),"DUE TOMORROW",IF($Z624=4,"ESCALATED TO LOCAL OFFICE",IF($Z624=5,"ESCALATED TO CBE",IF($AA624=TODAY(),"EMAIL SENT","MONITORING"))))))))))</f>
        <v/>
      </c>
      <c r="V624" s="17">
        <f>IF($U624="",IF(AND(COUNTA($A624:$L624)&gt;0,$N624=""),"Awaiting Collection Email time stamp.",""),IF(OR($U624="PAID",$U624="CLOSED"),IF($U624="PAID","Account paid. Action completed.","Account closed. No further action required."),CHOOSE($Z624,"Collection Email","1st Email Follow-up","2nd Email Follow-up","Escalation to Local Office","Escalation to CBE","Escalation to Roxanne")&amp;" sent "&amp;TEXT($AA624,"dd-mmm")&amp;". "&amp;IF($Z624=6,"Final escalation completed.",IF($U624="OVERDUE","Next: "&amp;$AC624&amp;" was due "&amp;TEXT($AB624,"dd-mmm")&amp;" - "&amp;(NETWORKDAYS($AB624,TODAY(),Holidays)-1)&amp;" business day(s) late. Send now.",IF($U624="DUE TOMORROW","Next: "&amp;$AC624&amp;IF($AB624&lt;=TODAY()," is due TODAY ("," is due next business day (")&amp;TEXT($AB624,"dd-mmm")&amp;").","Next: "&amp;$AC624&amp;" due "&amp;TEXT($AB624,"dd-mmm")&amp;" ("&amp;(NETWORKDAYS(TODAY(),$AB624,Holidays)-1)&amp;" business day(s) left).")))))</f>
        <v/>
      </c>
      <c r="W624" s="17">
        <f>IF($Z624="","",CHOOSE($Z624,"Collection Email","1st Follow-up","2nd Follow-up","Local Office","CBE","Roxanne")&amp;IF($Z624=6," - Final"," - Day "&amp;MAX(0,NETWORKDAYS($AA624,TODAY(),Holidays)-1)&amp;" of "&amp;CHOOSE($Z624,3,3,2,2,3))&amp;" | Total Day "&amp;MAX(0,NETWORKDAYS($N624,TODAY(),Holidays)-1))</f>
        <v/>
      </c>
      <c r="X624" s="18"/>
      <c r="Y624" s="18"/>
      <c r="Z624" s="17">
        <f>IF($N624="","",COUNT($N624:$S624))</f>
        <v/>
      </c>
      <c r="AA624" s="19">
        <f>IF($Z624="","",INT(INDEX($N624:$S624,$Z624)))</f>
        <v/>
      </c>
      <c r="AB624" s="19">
        <f>IF(OR($Z624="",$Z624=6),"",WORKDAY($AA624,CHOOSE($Z624,3,3,2,2,3),Holidays))</f>
        <v/>
      </c>
      <c r="AC624" s="17">
        <f>IF(OR($Z624="",$Z624=6),"",CHOOSE($Z624,"1st Email Follow-up","2nd Email Follow-up","Escalate Local Office","Escalate to CBE","Escalate to Roxanne"))</f>
        <v/>
      </c>
    </row>
    <row r="625" spans="13:29">
      <c r="M625" s="14"/>
      <c r="T625" s="16"/>
      <c r="U625" s="17">
        <f>IF(AND(COUNTA($A625:$L625)=0,$N625=""),"",IF($T625="Paid","PAID",IF($T625="Closed","CLOSED",IF($Z625="","",IF($Z625=6,"ESCALATED TO ROXANNE",IF(TODAY()&gt;$AB625,"OVERDUE",IF($AB625&lt;=WORKDAY(TODAY(),1,Holidays),"DUE TOMORROW",IF($Z625=4,"ESCALATED TO LOCAL OFFICE",IF($Z625=5,"ESCALATED TO CBE",IF($AA625=TODAY(),"EMAIL SENT","MONITORING"))))))))))</f>
        <v/>
      </c>
      <c r="V625" s="17">
        <f>IF($U625="",IF(AND(COUNTA($A625:$L625)&gt;0,$N625=""),"Awaiting Collection Email time stamp.",""),IF(OR($U625="PAID",$U625="CLOSED"),IF($U625="PAID","Account paid. Action completed.","Account closed. No further action required."),CHOOSE($Z625,"Collection Email","1st Email Follow-up","2nd Email Follow-up","Escalation to Local Office","Escalation to CBE","Escalation to Roxanne")&amp;" sent "&amp;TEXT($AA625,"dd-mmm")&amp;". "&amp;IF($Z625=6,"Final escalation completed.",IF($U625="OVERDUE","Next: "&amp;$AC625&amp;" was due "&amp;TEXT($AB625,"dd-mmm")&amp;" - "&amp;(NETWORKDAYS($AB625,TODAY(),Holidays)-1)&amp;" business day(s) late. Send now.",IF($U625="DUE TOMORROW","Next: "&amp;$AC625&amp;IF($AB625&lt;=TODAY()," is due TODAY ("," is due next business day (")&amp;TEXT($AB625,"dd-mmm")&amp;").","Next: "&amp;$AC625&amp;" due "&amp;TEXT($AB625,"dd-mmm")&amp;" ("&amp;(NETWORKDAYS(TODAY(),$AB625,Holidays)-1)&amp;" business day(s) left).")))))</f>
        <v/>
      </c>
      <c r="W625" s="17">
        <f>IF($Z625="","",CHOOSE($Z625,"Collection Email","1st Follow-up","2nd Follow-up","Local Office","CBE","Roxanne")&amp;IF($Z625=6," - Final"," - Day "&amp;MAX(0,NETWORKDAYS($AA625,TODAY(),Holidays)-1)&amp;" of "&amp;CHOOSE($Z625,3,3,2,2,3))&amp;" | Total Day "&amp;MAX(0,NETWORKDAYS($N625,TODAY(),Holidays)-1))</f>
        <v/>
      </c>
      <c r="X625" s="18"/>
      <c r="Y625" s="18"/>
      <c r="Z625" s="17">
        <f>IF($N625="","",COUNT($N625:$S625))</f>
        <v/>
      </c>
      <c r="AA625" s="19">
        <f>IF($Z625="","",INT(INDEX($N625:$S625,$Z625)))</f>
        <v/>
      </c>
      <c r="AB625" s="19">
        <f>IF(OR($Z625="",$Z625=6),"",WORKDAY($AA625,CHOOSE($Z625,3,3,2,2,3),Holidays))</f>
        <v/>
      </c>
      <c r="AC625" s="17">
        <f>IF(OR($Z625="",$Z625=6),"",CHOOSE($Z625,"1st Email Follow-up","2nd Email Follow-up","Escalate Local Office","Escalate to CBE","Escalate to Roxanne"))</f>
        <v/>
      </c>
    </row>
    <row r="626" spans="13:29">
      <c r="M626" s="14"/>
      <c r="T626" s="16"/>
      <c r="U626" s="17">
        <f>IF(AND(COUNTA($A626:$L626)=0,$N626=""),"",IF($T626="Paid","PAID",IF($T626="Closed","CLOSED",IF($Z626="","",IF($Z626=6,"ESCALATED TO ROXANNE",IF(TODAY()&gt;$AB626,"OVERDUE",IF($AB626&lt;=WORKDAY(TODAY(),1,Holidays),"DUE TOMORROW",IF($Z626=4,"ESCALATED TO LOCAL OFFICE",IF($Z626=5,"ESCALATED TO CBE",IF($AA626=TODAY(),"EMAIL SENT","MONITORING"))))))))))</f>
        <v/>
      </c>
      <c r="V626" s="17">
        <f>IF($U626="",IF(AND(COUNTA($A626:$L626)&gt;0,$N626=""),"Awaiting Collection Email time stamp.",""),IF(OR($U626="PAID",$U626="CLOSED"),IF($U626="PAID","Account paid. Action completed.","Account closed. No further action required."),CHOOSE($Z626,"Collection Email","1st Email Follow-up","2nd Email Follow-up","Escalation to Local Office","Escalation to CBE","Escalation to Roxanne")&amp;" sent "&amp;TEXT($AA626,"dd-mmm")&amp;". "&amp;IF($Z626=6,"Final escalation completed.",IF($U626="OVERDUE","Next: "&amp;$AC626&amp;" was due "&amp;TEXT($AB626,"dd-mmm")&amp;" - "&amp;(NETWORKDAYS($AB626,TODAY(),Holidays)-1)&amp;" business day(s) late. Send now.",IF($U626="DUE TOMORROW","Next: "&amp;$AC626&amp;IF($AB626&lt;=TODAY()," is due TODAY ("," is due next business day (")&amp;TEXT($AB626,"dd-mmm")&amp;").","Next: "&amp;$AC626&amp;" due "&amp;TEXT($AB626,"dd-mmm")&amp;" ("&amp;(NETWORKDAYS(TODAY(),$AB626,Holidays)-1)&amp;" business day(s) left).")))))</f>
        <v/>
      </c>
      <c r="W626" s="17">
        <f>IF($Z626="","",CHOOSE($Z626,"Collection Email","1st Follow-up","2nd Follow-up","Local Office","CBE","Roxanne")&amp;IF($Z626=6," - Final"," - Day "&amp;MAX(0,NETWORKDAYS($AA626,TODAY(),Holidays)-1)&amp;" of "&amp;CHOOSE($Z626,3,3,2,2,3))&amp;" | Total Day "&amp;MAX(0,NETWORKDAYS($N626,TODAY(),Holidays)-1))</f>
        <v/>
      </c>
      <c r="X626" s="18"/>
      <c r="Y626" s="18"/>
      <c r="Z626" s="17">
        <f>IF($N626="","",COUNT($N626:$S626))</f>
        <v/>
      </c>
      <c r="AA626" s="19">
        <f>IF($Z626="","",INT(INDEX($N626:$S626,$Z626)))</f>
        <v/>
      </c>
      <c r="AB626" s="19">
        <f>IF(OR($Z626="",$Z626=6),"",WORKDAY($AA626,CHOOSE($Z626,3,3,2,2,3),Holidays))</f>
        <v/>
      </c>
      <c r="AC626" s="17">
        <f>IF(OR($Z626="",$Z626=6),"",CHOOSE($Z626,"1st Email Follow-up","2nd Email Follow-up","Escalate Local Office","Escalate to CBE","Escalate to Roxanne"))</f>
        <v/>
      </c>
    </row>
    <row r="627" spans="13:29">
      <c r="M627" s="14"/>
      <c r="T627" s="16"/>
      <c r="U627" s="17">
        <f>IF(AND(COUNTA($A627:$L627)=0,$N627=""),"",IF($T627="Paid","PAID",IF($T627="Closed","CLOSED",IF($Z627="","",IF($Z627=6,"ESCALATED TO ROXANNE",IF(TODAY()&gt;$AB627,"OVERDUE",IF($AB627&lt;=WORKDAY(TODAY(),1,Holidays),"DUE TOMORROW",IF($Z627=4,"ESCALATED TO LOCAL OFFICE",IF($Z627=5,"ESCALATED TO CBE",IF($AA627=TODAY(),"EMAIL SENT","MONITORING"))))))))))</f>
        <v/>
      </c>
      <c r="V627" s="17">
        <f>IF($U627="",IF(AND(COUNTA($A627:$L627)&gt;0,$N627=""),"Awaiting Collection Email time stamp.",""),IF(OR($U627="PAID",$U627="CLOSED"),IF($U627="PAID","Account paid. Action completed.","Account closed. No further action required."),CHOOSE($Z627,"Collection Email","1st Email Follow-up","2nd Email Follow-up","Escalation to Local Office","Escalation to CBE","Escalation to Roxanne")&amp;" sent "&amp;TEXT($AA627,"dd-mmm")&amp;". "&amp;IF($Z627=6,"Final escalation completed.",IF($U627="OVERDUE","Next: "&amp;$AC627&amp;" was due "&amp;TEXT($AB627,"dd-mmm")&amp;" - "&amp;(NETWORKDAYS($AB627,TODAY(),Holidays)-1)&amp;" business day(s) late. Send now.",IF($U627="DUE TOMORROW","Next: "&amp;$AC627&amp;IF($AB627&lt;=TODAY()," is due TODAY ("," is due next business day (")&amp;TEXT($AB627,"dd-mmm")&amp;").","Next: "&amp;$AC627&amp;" due "&amp;TEXT($AB627,"dd-mmm")&amp;" ("&amp;(NETWORKDAYS(TODAY(),$AB627,Holidays)-1)&amp;" business day(s) left).")))))</f>
        <v/>
      </c>
      <c r="W627" s="17">
        <f>IF($Z627="","",CHOOSE($Z627,"Collection Email","1st Follow-up","2nd Follow-up","Local Office","CBE","Roxanne")&amp;IF($Z627=6," - Final"," - Day "&amp;MAX(0,NETWORKDAYS($AA627,TODAY(),Holidays)-1)&amp;" of "&amp;CHOOSE($Z627,3,3,2,2,3))&amp;" | Total Day "&amp;MAX(0,NETWORKDAYS($N627,TODAY(),Holidays)-1))</f>
        <v/>
      </c>
      <c r="X627" s="18"/>
      <c r="Y627" s="18"/>
      <c r="Z627" s="17">
        <f>IF($N627="","",COUNT($N627:$S627))</f>
        <v/>
      </c>
      <c r="AA627" s="19">
        <f>IF($Z627="","",INT(INDEX($N627:$S627,$Z627)))</f>
        <v/>
      </c>
      <c r="AB627" s="19">
        <f>IF(OR($Z627="",$Z627=6),"",WORKDAY($AA627,CHOOSE($Z627,3,3,2,2,3),Holidays))</f>
        <v/>
      </c>
      <c r="AC627" s="17">
        <f>IF(OR($Z627="",$Z627=6),"",CHOOSE($Z627,"1st Email Follow-up","2nd Email Follow-up","Escalate Local Office","Escalate to CBE","Escalate to Roxanne"))</f>
        <v/>
      </c>
    </row>
    <row r="628" spans="13:29">
      <c r="M628" s="14"/>
      <c r="T628" s="16"/>
      <c r="U628" s="17">
        <f>IF(AND(COUNTA($A628:$L628)=0,$N628=""),"",IF($T628="Paid","PAID",IF($T628="Closed","CLOSED",IF($Z628="","",IF($Z628=6,"ESCALATED TO ROXANNE",IF(TODAY()&gt;$AB628,"OVERDUE",IF($AB628&lt;=WORKDAY(TODAY(),1,Holidays),"DUE TOMORROW",IF($Z628=4,"ESCALATED TO LOCAL OFFICE",IF($Z628=5,"ESCALATED TO CBE",IF($AA628=TODAY(),"EMAIL SENT","MONITORING"))))))))))</f>
        <v/>
      </c>
      <c r="V628" s="17">
        <f>IF($U628="",IF(AND(COUNTA($A628:$L628)&gt;0,$N628=""),"Awaiting Collection Email time stamp.",""),IF(OR($U628="PAID",$U628="CLOSED"),IF($U628="PAID","Account paid. Action completed.","Account closed. No further action required."),CHOOSE($Z628,"Collection Email","1st Email Follow-up","2nd Email Follow-up","Escalation to Local Office","Escalation to CBE","Escalation to Roxanne")&amp;" sent "&amp;TEXT($AA628,"dd-mmm")&amp;". "&amp;IF($Z628=6,"Final escalation completed.",IF($U628="OVERDUE","Next: "&amp;$AC628&amp;" was due "&amp;TEXT($AB628,"dd-mmm")&amp;" - "&amp;(NETWORKDAYS($AB628,TODAY(),Holidays)-1)&amp;" business day(s) late. Send now.",IF($U628="DUE TOMORROW","Next: "&amp;$AC628&amp;IF($AB628&lt;=TODAY()," is due TODAY ("," is due next business day (")&amp;TEXT($AB628,"dd-mmm")&amp;").","Next: "&amp;$AC628&amp;" due "&amp;TEXT($AB628,"dd-mmm")&amp;" ("&amp;(NETWORKDAYS(TODAY(),$AB628,Holidays)-1)&amp;" business day(s) left).")))))</f>
        <v/>
      </c>
      <c r="W628" s="17">
        <f>IF($Z628="","",CHOOSE($Z628,"Collection Email","1st Follow-up","2nd Follow-up","Local Office","CBE","Roxanne")&amp;IF($Z628=6," - Final"," - Day "&amp;MAX(0,NETWORKDAYS($AA628,TODAY(),Holidays)-1)&amp;" of "&amp;CHOOSE($Z628,3,3,2,2,3))&amp;" | Total Day "&amp;MAX(0,NETWORKDAYS($N628,TODAY(),Holidays)-1))</f>
        <v/>
      </c>
      <c r="X628" s="18"/>
      <c r="Y628" s="18"/>
      <c r="Z628" s="17">
        <f>IF($N628="","",COUNT($N628:$S628))</f>
        <v/>
      </c>
      <c r="AA628" s="19">
        <f>IF($Z628="","",INT(INDEX($N628:$S628,$Z628)))</f>
        <v/>
      </c>
      <c r="AB628" s="19">
        <f>IF(OR($Z628="",$Z628=6),"",WORKDAY($AA628,CHOOSE($Z628,3,3,2,2,3),Holidays))</f>
        <v/>
      </c>
      <c r="AC628" s="17">
        <f>IF(OR($Z628="",$Z628=6),"",CHOOSE($Z628,"1st Email Follow-up","2nd Email Follow-up","Escalate Local Office","Escalate to CBE","Escalate to Roxanne"))</f>
        <v/>
      </c>
    </row>
    <row r="629" spans="13:29">
      <c r="M629" s="14"/>
      <c r="T629" s="16"/>
      <c r="U629" s="17">
        <f>IF(AND(COUNTA($A629:$L629)=0,$N629=""),"",IF($T629="Paid","PAID",IF($T629="Closed","CLOSED",IF($Z629="","",IF($Z629=6,"ESCALATED TO ROXANNE",IF(TODAY()&gt;$AB629,"OVERDUE",IF($AB629&lt;=WORKDAY(TODAY(),1,Holidays),"DUE TOMORROW",IF($Z629=4,"ESCALATED TO LOCAL OFFICE",IF($Z629=5,"ESCALATED TO CBE",IF($AA629=TODAY(),"EMAIL SENT","MONITORING"))))))))))</f>
        <v/>
      </c>
      <c r="V629" s="17">
        <f>IF($U629="",IF(AND(COUNTA($A629:$L629)&gt;0,$N629=""),"Awaiting Collection Email time stamp.",""),IF(OR($U629="PAID",$U629="CLOSED"),IF($U629="PAID","Account paid. Action completed.","Account closed. No further action required."),CHOOSE($Z629,"Collection Email","1st Email Follow-up","2nd Email Follow-up","Escalation to Local Office","Escalation to CBE","Escalation to Roxanne")&amp;" sent "&amp;TEXT($AA629,"dd-mmm")&amp;". "&amp;IF($Z629=6,"Final escalation completed.",IF($U629="OVERDUE","Next: "&amp;$AC629&amp;" was due "&amp;TEXT($AB629,"dd-mmm")&amp;" - "&amp;(NETWORKDAYS($AB629,TODAY(),Holidays)-1)&amp;" business day(s) late. Send now.",IF($U629="DUE TOMORROW","Next: "&amp;$AC629&amp;IF($AB629&lt;=TODAY()," is due TODAY ("," is due next business day (")&amp;TEXT($AB629,"dd-mmm")&amp;").","Next: "&amp;$AC629&amp;" due "&amp;TEXT($AB629,"dd-mmm")&amp;" ("&amp;(NETWORKDAYS(TODAY(),$AB629,Holidays)-1)&amp;" business day(s) left).")))))</f>
        <v/>
      </c>
      <c r="W629" s="17">
        <f>IF($Z629="","",CHOOSE($Z629,"Collection Email","1st Follow-up","2nd Follow-up","Local Office","CBE","Roxanne")&amp;IF($Z629=6," - Final"," - Day "&amp;MAX(0,NETWORKDAYS($AA629,TODAY(),Holidays)-1)&amp;" of "&amp;CHOOSE($Z629,3,3,2,2,3))&amp;" | Total Day "&amp;MAX(0,NETWORKDAYS($N629,TODAY(),Holidays)-1))</f>
        <v/>
      </c>
      <c r="X629" s="18"/>
      <c r="Y629" s="18"/>
      <c r="Z629" s="17">
        <f>IF($N629="","",COUNT($N629:$S629))</f>
        <v/>
      </c>
      <c r="AA629" s="19">
        <f>IF($Z629="","",INT(INDEX($N629:$S629,$Z629)))</f>
        <v/>
      </c>
      <c r="AB629" s="19">
        <f>IF(OR($Z629="",$Z629=6),"",WORKDAY($AA629,CHOOSE($Z629,3,3,2,2,3),Holidays))</f>
        <v/>
      </c>
      <c r="AC629" s="17">
        <f>IF(OR($Z629="",$Z629=6),"",CHOOSE($Z629,"1st Email Follow-up","2nd Email Follow-up","Escalate Local Office","Escalate to CBE","Escalate to Roxanne"))</f>
        <v/>
      </c>
    </row>
    <row r="630" spans="13:29">
      <c r="M630" s="14"/>
      <c r="T630" s="16"/>
      <c r="U630" s="17">
        <f>IF(AND(COUNTA($A630:$L630)=0,$N630=""),"",IF($T630="Paid","PAID",IF($T630="Closed","CLOSED",IF($Z630="","",IF($Z630=6,"ESCALATED TO ROXANNE",IF(TODAY()&gt;$AB630,"OVERDUE",IF($AB630&lt;=WORKDAY(TODAY(),1,Holidays),"DUE TOMORROW",IF($Z630=4,"ESCALATED TO LOCAL OFFICE",IF($Z630=5,"ESCALATED TO CBE",IF($AA630=TODAY(),"EMAIL SENT","MONITORING"))))))))))</f>
        <v/>
      </c>
      <c r="V630" s="17">
        <f>IF($U630="",IF(AND(COUNTA($A630:$L630)&gt;0,$N630=""),"Awaiting Collection Email time stamp.",""),IF(OR($U630="PAID",$U630="CLOSED"),IF($U630="PAID","Account paid. Action completed.","Account closed. No further action required."),CHOOSE($Z630,"Collection Email","1st Email Follow-up","2nd Email Follow-up","Escalation to Local Office","Escalation to CBE","Escalation to Roxanne")&amp;" sent "&amp;TEXT($AA630,"dd-mmm")&amp;". "&amp;IF($Z630=6,"Final escalation completed.",IF($U630="OVERDUE","Next: "&amp;$AC630&amp;" was due "&amp;TEXT($AB630,"dd-mmm")&amp;" - "&amp;(NETWORKDAYS($AB630,TODAY(),Holidays)-1)&amp;" business day(s) late. Send now.",IF($U630="DUE TOMORROW","Next: "&amp;$AC630&amp;IF($AB630&lt;=TODAY()," is due TODAY ("," is due next business day (")&amp;TEXT($AB630,"dd-mmm")&amp;").","Next: "&amp;$AC630&amp;" due "&amp;TEXT($AB630,"dd-mmm")&amp;" ("&amp;(NETWORKDAYS(TODAY(),$AB630,Holidays)-1)&amp;" business day(s) left).")))))</f>
        <v/>
      </c>
      <c r="W630" s="17">
        <f>IF($Z630="","",CHOOSE($Z630,"Collection Email","1st Follow-up","2nd Follow-up","Local Office","CBE","Roxanne")&amp;IF($Z630=6," - Final"," - Day "&amp;MAX(0,NETWORKDAYS($AA630,TODAY(),Holidays)-1)&amp;" of "&amp;CHOOSE($Z630,3,3,2,2,3))&amp;" | Total Day "&amp;MAX(0,NETWORKDAYS($N630,TODAY(),Holidays)-1))</f>
        <v/>
      </c>
      <c r="X630" s="18"/>
      <c r="Y630" s="18"/>
      <c r="Z630" s="17">
        <f>IF($N630="","",COUNT($N630:$S630))</f>
        <v/>
      </c>
      <c r="AA630" s="19">
        <f>IF($Z630="","",INT(INDEX($N630:$S630,$Z630)))</f>
        <v/>
      </c>
      <c r="AB630" s="19">
        <f>IF(OR($Z630="",$Z630=6),"",WORKDAY($AA630,CHOOSE($Z630,3,3,2,2,3),Holidays))</f>
        <v/>
      </c>
      <c r="AC630" s="17">
        <f>IF(OR($Z630="",$Z630=6),"",CHOOSE($Z630,"1st Email Follow-up","2nd Email Follow-up","Escalate Local Office","Escalate to CBE","Escalate to Roxanne"))</f>
        <v/>
      </c>
    </row>
    <row r="631" spans="13:29">
      <c r="M631" s="14"/>
      <c r="T631" s="16"/>
      <c r="U631" s="17">
        <f>IF(AND(COUNTA($A631:$L631)=0,$N631=""),"",IF($T631="Paid","PAID",IF($T631="Closed","CLOSED",IF($Z631="","",IF($Z631=6,"ESCALATED TO ROXANNE",IF(TODAY()&gt;$AB631,"OVERDUE",IF($AB631&lt;=WORKDAY(TODAY(),1,Holidays),"DUE TOMORROW",IF($Z631=4,"ESCALATED TO LOCAL OFFICE",IF($Z631=5,"ESCALATED TO CBE",IF($AA631=TODAY(),"EMAIL SENT","MONITORING"))))))))))</f>
        <v/>
      </c>
      <c r="V631" s="17">
        <f>IF($U631="",IF(AND(COUNTA($A631:$L631)&gt;0,$N631=""),"Awaiting Collection Email time stamp.",""),IF(OR($U631="PAID",$U631="CLOSED"),IF($U631="PAID","Account paid. Action completed.","Account closed. No further action required."),CHOOSE($Z631,"Collection Email","1st Email Follow-up","2nd Email Follow-up","Escalation to Local Office","Escalation to CBE","Escalation to Roxanne")&amp;" sent "&amp;TEXT($AA631,"dd-mmm")&amp;". "&amp;IF($Z631=6,"Final escalation completed.",IF($U631="OVERDUE","Next: "&amp;$AC631&amp;" was due "&amp;TEXT($AB631,"dd-mmm")&amp;" - "&amp;(NETWORKDAYS($AB631,TODAY(),Holidays)-1)&amp;" business day(s) late. Send now.",IF($U631="DUE TOMORROW","Next: "&amp;$AC631&amp;IF($AB631&lt;=TODAY()," is due TODAY ("," is due next business day (")&amp;TEXT($AB631,"dd-mmm")&amp;").","Next: "&amp;$AC631&amp;" due "&amp;TEXT($AB631,"dd-mmm")&amp;" ("&amp;(NETWORKDAYS(TODAY(),$AB631,Holidays)-1)&amp;" business day(s) left).")))))</f>
        <v/>
      </c>
      <c r="W631" s="17">
        <f>IF($Z631="","",CHOOSE($Z631,"Collection Email","1st Follow-up","2nd Follow-up","Local Office","CBE","Roxanne")&amp;IF($Z631=6," - Final"," - Day "&amp;MAX(0,NETWORKDAYS($AA631,TODAY(),Holidays)-1)&amp;" of "&amp;CHOOSE($Z631,3,3,2,2,3))&amp;" | Total Day "&amp;MAX(0,NETWORKDAYS($N631,TODAY(),Holidays)-1))</f>
        <v/>
      </c>
      <c r="X631" s="18"/>
      <c r="Y631" s="18"/>
      <c r="Z631" s="17">
        <f>IF($N631="","",COUNT($N631:$S631))</f>
        <v/>
      </c>
      <c r="AA631" s="19">
        <f>IF($Z631="","",INT(INDEX($N631:$S631,$Z631)))</f>
        <v/>
      </c>
      <c r="AB631" s="19">
        <f>IF(OR($Z631="",$Z631=6),"",WORKDAY($AA631,CHOOSE($Z631,3,3,2,2,3),Holidays))</f>
        <v/>
      </c>
      <c r="AC631" s="17">
        <f>IF(OR($Z631="",$Z631=6),"",CHOOSE($Z631,"1st Email Follow-up","2nd Email Follow-up","Escalate Local Office","Escalate to CBE","Escalate to Roxanne"))</f>
        <v/>
      </c>
    </row>
    <row r="632" spans="13:29">
      <c r="M632" s="14"/>
      <c r="T632" s="16"/>
      <c r="U632" s="17">
        <f>IF(AND(COUNTA($A632:$L632)=0,$N632=""),"",IF($T632="Paid","PAID",IF($T632="Closed","CLOSED",IF($Z632="","",IF($Z632=6,"ESCALATED TO ROXANNE",IF(TODAY()&gt;$AB632,"OVERDUE",IF($AB632&lt;=WORKDAY(TODAY(),1,Holidays),"DUE TOMORROW",IF($Z632=4,"ESCALATED TO LOCAL OFFICE",IF($Z632=5,"ESCALATED TO CBE",IF($AA632=TODAY(),"EMAIL SENT","MONITORING"))))))))))</f>
        <v/>
      </c>
      <c r="V632" s="17">
        <f>IF($U632="",IF(AND(COUNTA($A632:$L632)&gt;0,$N632=""),"Awaiting Collection Email time stamp.",""),IF(OR($U632="PAID",$U632="CLOSED"),IF($U632="PAID","Account paid. Action completed.","Account closed. No further action required."),CHOOSE($Z632,"Collection Email","1st Email Follow-up","2nd Email Follow-up","Escalation to Local Office","Escalation to CBE","Escalation to Roxanne")&amp;" sent "&amp;TEXT($AA632,"dd-mmm")&amp;". "&amp;IF($Z632=6,"Final escalation completed.",IF($U632="OVERDUE","Next: "&amp;$AC632&amp;" was due "&amp;TEXT($AB632,"dd-mmm")&amp;" - "&amp;(NETWORKDAYS($AB632,TODAY(),Holidays)-1)&amp;" business day(s) late. Send now.",IF($U632="DUE TOMORROW","Next: "&amp;$AC632&amp;IF($AB632&lt;=TODAY()," is due TODAY ("," is due next business day (")&amp;TEXT($AB632,"dd-mmm")&amp;").","Next: "&amp;$AC632&amp;" due "&amp;TEXT($AB632,"dd-mmm")&amp;" ("&amp;(NETWORKDAYS(TODAY(),$AB632,Holidays)-1)&amp;" business day(s) left).")))))</f>
        <v/>
      </c>
      <c r="W632" s="17">
        <f>IF($Z632="","",CHOOSE($Z632,"Collection Email","1st Follow-up","2nd Follow-up","Local Office","CBE","Roxanne")&amp;IF($Z632=6," - Final"," - Day "&amp;MAX(0,NETWORKDAYS($AA632,TODAY(),Holidays)-1)&amp;" of "&amp;CHOOSE($Z632,3,3,2,2,3))&amp;" | Total Day "&amp;MAX(0,NETWORKDAYS($N632,TODAY(),Holidays)-1))</f>
        <v/>
      </c>
      <c r="X632" s="18"/>
      <c r="Y632" s="18"/>
      <c r="Z632" s="17">
        <f>IF($N632="","",COUNT($N632:$S632))</f>
        <v/>
      </c>
      <c r="AA632" s="19">
        <f>IF($Z632="","",INT(INDEX($N632:$S632,$Z632)))</f>
        <v/>
      </c>
      <c r="AB632" s="19">
        <f>IF(OR($Z632="",$Z632=6),"",WORKDAY($AA632,CHOOSE($Z632,3,3,2,2,3),Holidays))</f>
        <v/>
      </c>
      <c r="AC632" s="17">
        <f>IF(OR($Z632="",$Z632=6),"",CHOOSE($Z632,"1st Email Follow-up","2nd Email Follow-up","Escalate Local Office","Escalate to CBE","Escalate to Roxanne"))</f>
        <v/>
      </c>
    </row>
    <row r="633" spans="13:29">
      <c r="M633" s="14"/>
      <c r="T633" s="16"/>
      <c r="U633" s="17">
        <f>IF(AND(COUNTA($A633:$L633)=0,$N633=""),"",IF($T633="Paid","PAID",IF($T633="Closed","CLOSED",IF($Z633="","",IF($Z633=6,"ESCALATED TO ROXANNE",IF(TODAY()&gt;$AB633,"OVERDUE",IF($AB633&lt;=WORKDAY(TODAY(),1,Holidays),"DUE TOMORROW",IF($Z633=4,"ESCALATED TO LOCAL OFFICE",IF($Z633=5,"ESCALATED TO CBE",IF($AA633=TODAY(),"EMAIL SENT","MONITORING"))))))))))</f>
        <v/>
      </c>
      <c r="V633" s="17">
        <f>IF($U633="",IF(AND(COUNTA($A633:$L633)&gt;0,$N633=""),"Awaiting Collection Email time stamp.",""),IF(OR($U633="PAID",$U633="CLOSED"),IF($U633="PAID","Account paid. Action completed.","Account closed. No further action required."),CHOOSE($Z633,"Collection Email","1st Email Follow-up","2nd Email Follow-up","Escalation to Local Office","Escalation to CBE","Escalation to Roxanne")&amp;" sent "&amp;TEXT($AA633,"dd-mmm")&amp;". "&amp;IF($Z633=6,"Final escalation completed.",IF($U633="OVERDUE","Next: "&amp;$AC633&amp;" was due "&amp;TEXT($AB633,"dd-mmm")&amp;" - "&amp;(NETWORKDAYS($AB633,TODAY(),Holidays)-1)&amp;" business day(s) late. Send now.",IF($U633="DUE TOMORROW","Next: "&amp;$AC633&amp;IF($AB633&lt;=TODAY()," is due TODAY ("," is due next business day (")&amp;TEXT($AB633,"dd-mmm")&amp;").","Next: "&amp;$AC633&amp;" due "&amp;TEXT($AB633,"dd-mmm")&amp;" ("&amp;(NETWORKDAYS(TODAY(),$AB633,Holidays)-1)&amp;" business day(s) left).")))))</f>
        <v/>
      </c>
      <c r="W633" s="17">
        <f>IF($Z633="","",CHOOSE($Z633,"Collection Email","1st Follow-up","2nd Follow-up","Local Office","CBE","Roxanne")&amp;IF($Z633=6," - Final"," - Day "&amp;MAX(0,NETWORKDAYS($AA633,TODAY(),Holidays)-1)&amp;" of "&amp;CHOOSE($Z633,3,3,2,2,3))&amp;" | Total Day "&amp;MAX(0,NETWORKDAYS($N633,TODAY(),Holidays)-1))</f>
        <v/>
      </c>
      <c r="X633" s="18"/>
      <c r="Y633" s="18"/>
      <c r="Z633" s="17">
        <f>IF($N633="","",COUNT($N633:$S633))</f>
        <v/>
      </c>
      <c r="AA633" s="19">
        <f>IF($Z633="","",INT(INDEX($N633:$S633,$Z633)))</f>
        <v/>
      </c>
      <c r="AB633" s="19">
        <f>IF(OR($Z633="",$Z633=6),"",WORKDAY($AA633,CHOOSE($Z633,3,3,2,2,3),Holidays))</f>
        <v/>
      </c>
      <c r="AC633" s="17">
        <f>IF(OR($Z633="",$Z633=6),"",CHOOSE($Z633,"1st Email Follow-up","2nd Email Follow-up","Escalate Local Office","Escalate to CBE","Escalate to Roxanne"))</f>
        <v/>
      </c>
    </row>
    <row r="634" spans="13:29">
      <c r="M634" s="14"/>
      <c r="T634" s="16"/>
      <c r="U634" s="17">
        <f>IF(AND(COUNTA($A634:$L634)=0,$N634=""),"",IF($T634="Paid","PAID",IF($T634="Closed","CLOSED",IF($Z634="","",IF($Z634=6,"ESCALATED TO ROXANNE",IF(TODAY()&gt;$AB634,"OVERDUE",IF($AB634&lt;=WORKDAY(TODAY(),1,Holidays),"DUE TOMORROW",IF($Z634=4,"ESCALATED TO LOCAL OFFICE",IF($Z634=5,"ESCALATED TO CBE",IF($AA634=TODAY(),"EMAIL SENT","MONITORING"))))))))))</f>
        <v/>
      </c>
      <c r="V634" s="17">
        <f>IF($U634="",IF(AND(COUNTA($A634:$L634)&gt;0,$N634=""),"Awaiting Collection Email time stamp.",""),IF(OR($U634="PAID",$U634="CLOSED"),IF($U634="PAID","Account paid. Action completed.","Account closed. No further action required."),CHOOSE($Z634,"Collection Email","1st Email Follow-up","2nd Email Follow-up","Escalation to Local Office","Escalation to CBE","Escalation to Roxanne")&amp;" sent "&amp;TEXT($AA634,"dd-mmm")&amp;". "&amp;IF($Z634=6,"Final escalation completed.",IF($U634="OVERDUE","Next: "&amp;$AC634&amp;" was due "&amp;TEXT($AB634,"dd-mmm")&amp;" - "&amp;(NETWORKDAYS($AB634,TODAY(),Holidays)-1)&amp;" business day(s) late. Send now.",IF($U634="DUE TOMORROW","Next: "&amp;$AC634&amp;IF($AB634&lt;=TODAY()," is due TODAY ("," is due next business day (")&amp;TEXT($AB634,"dd-mmm")&amp;").","Next: "&amp;$AC634&amp;" due "&amp;TEXT($AB634,"dd-mmm")&amp;" ("&amp;(NETWORKDAYS(TODAY(),$AB634,Holidays)-1)&amp;" business day(s) left).")))))</f>
        <v/>
      </c>
      <c r="W634" s="17">
        <f>IF($Z634="","",CHOOSE($Z634,"Collection Email","1st Follow-up","2nd Follow-up","Local Office","CBE","Roxanne")&amp;IF($Z634=6," - Final"," - Day "&amp;MAX(0,NETWORKDAYS($AA634,TODAY(),Holidays)-1)&amp;" of "&amp;CHOOSE($Z634,3,3,2,2,3))&amp;" | Total Day "&amp;MAX(0,NETWORKDAYS($N634,TODAY(),Holidays)-1))</f>
        <v/>
      </c>
      <c r="X634" s="18"/>
      <c r="Y634" s="18"/>
      <c r="Z634" s="17">
        <f>IF($N634="","",COUNT($N634:$S634))</f>
        <v/>
      </c>
      <c r="AA634" s="19">
        <f>IF($Z634="","",INT(INDEX($N634:$S634,$Z634)))</f>
        <v/>
      </c>
      <c r="AB634" s="19">
        <f>IF(OR($Z634="",$Z634=6),"",WORKDAY($AA634,CHOOSE($Z634,3,3,2,2,3),Holidays))</f>
        <v/>
      </c>
      <c r="AC634" s="17">
        <f>IF(OR($Z634="",$Z634=6),"",CHOOSE($Z634,"1st Email Follow-up","2nd Email Follow-up","Escalate Local Office","Escalate to CBE","Escalate to Roxanne"))</f>
        <v/>
      </c>
    </row>
    <row r="635" spans="13:29">
      <c r="M635" s="14"/>
      <c r="T635" s="16"/>
      <c r="U635" s="17">
        <f>IF(AND(COUNTA($A635:$L635)=0,$N635=""),"",IF($T635="Paid","PAID",IF($T635="Closed","CLOSED",IF($Z635="","",IF($Z635=6,"ESCALATED TO ROXANNE",IF(TODAY()&gt;$AB635,"OVERDUE",IF($AB635&lt;=WORKDAY(TODAY(),1,Holidays),"DUE TOMORROW",IF($Z635=4,"ESCALATED TO LOCAL OFFICE",IF($Z635=5,"ESCALATED TO CBE",IF($AA635=TODAY(),"EMAIL SENT","MONITORING"))))))))))</f>
        <v/>
      </c>
      <c r="V635" s="17">
        <f>IF($U635="",IF(AND(COUNTA($A635:$L635)&gt;0,$N635=""),"Awaiting Collection Email time stamp.",""),IF(OR($U635="PAID",$U635="CLOSED"),IF($U635="PAID","Account paid. Action completed.","Account closed. No further action required."),CHOOSE($Z635,"Collection Email","1st Email Follow-up","2nd Email Follow-up","Escalation to Local Office","Escalation to CBE","Escalation to Roxanne")&amp;" sent "&amp;TEXT($AA635,"dd-mmm")&amp;". "&amp;IF($Z635=6,"Final escalation completed.",IF($U635="OVERDUE","Next: "&amp;$AC635&amp;" was due "&amp;TEXT($AB635,"dd-mmm")&amp;" - "&amp;(NETWORKDAYS($AB635,TODAY(),Holidays)-1)&amp;" business day(s) late. Send now.",IF($U635="DUE TOMORROW","Next: "&amp;$AC635&amp;IF($AB635&lt;=TODAY()," is due TODAY ("," is due next business day (")&amp;TEXT($AB635,"dd-mmm")&amp;").","Next: "&amp;$AC635&amp;" due "&amp;TEXT($AB635,"dd-mmm")&amp;" ("&amp;(NETWORKDAYS(TODAY(),$AB635,Holidays)-1)&amp;" business day(s) left).")))))</f>
        <v/>
      </c>
      <c r="W635" s="17">
        <f>IF($Z635="","",CHOOSE($Z635,"Collection Email","1st Follow-up","2nd Follow-up","Local Office","CBE","Roxanne")&amp;IF($Z635=6," - Final"," - Day "&amp;MAX(0,NETWORKDAYS($AA635,TODAY(),Holidays)-1)&amp;" of "&amp;CHOOSE($Z635,3,3,2,2,3))&amp;" | Total Day "&amp;MAX(0,NETWORKDAYS($N635,TODAY(),Holidays)-1))</f>
        <v/>
      </c>
      <c r="X635" s="18"/>
      <c r="Y635" s="18"/>
      <c r="Z635" s="17">
        <f>IF($N635="","",COUNT($N635:$S635))</f>
        <v/>
      </c>
      <c r="AA635" s="19">
        <f>IF($Z635="","",INT(INDEX($N635:$S635,$Z635)))</f>
        <v/>
      </c>
      <c r="AB635" s="19">
        <f>IF(OR($Z635="",$Z635=6),"",WORKDAY($AA635,CHOOSE($Z635,3,3,2,2,3),Holidays))</f>
        <v/>
      </c>
      <c r="AC635" s="17">
        <f>IF(OR($Z635="",$Z635=6),"",CHOOSE($Z635,"1st Email Follow-up","2nd Email Follow-up","Escalate Local Office","Escalate to CBE","Escalate to Roxanne"))</f>
        <v/>
      </c>
    </row>
    <row r="636" spans="13:29">
      <c r="M636" s="14"/>
      <c r="T636" s="16"/>
      <c r="U636" s="17">
        <f>IF(AND(COUNTA($A636:$L636)=0,$N636=""),"",IF($T636="Paid","PAID",IF($T636="Closed","CLOSED",IF($Z636="","",IF($Z636=6,"ESCALATED TO ROXANNE",IF(TODAY()&gt;$AB636,"OVERDUE",IF($AB636&lt;=WORKDAY(TODAY(),1,Holidays),"DUE TOMORROW",IF($Z636=4,"ESCALATED TO LOCAL OFFICE",IF($Z636=5,"ESCALATED TO CBE",IF($AA636=TODAY(),"EMAIL SENT","MONITORING"))))))))))</f>
        <v/>
      </c>
      <c r="V636" s="17">
        <f>IF($U636="",IF(AND(COUNTA($A636:$L636)&gt;0,$N636=""),"Awaiting Collection Email time stamp.",""),IF(OR($U636="PAID",$U636="CLOSED"),IF($U636="PAID","Account paid. Action completed.","Account closed. No further action required."),CHOOSE($Z636,"Collection Email","1st Email Follow-up","2nd Email Follow-up","Escalation to Local Office","Escalation to CBE","Escalation to Roxanne")&amp;" sent "&amp;TEXT($AA636,"dd-mmm")&amp;". "&amp;IF($Z636=6,"Final escalation completed.",IF($U636="OVERDUE","Next: "&amp;$AC636&amp;" was due "&amp;TEXT($AB636,"dd-mmm")&amp;" - "&amp;(NETWORKDAYS($AB636,TODAY(),Holidays)-1)&amp;" business day(s) late. Send now.",IF($U636="DUE TOMORROW","Next: "&amp;$AC636&amp;IF($AB636&lt;=TODAY()," is due TODAY ("," is due next business day (")&amp;TEXT($AB636,"dd-mmm")&amp;").","Next: "&amp;$AC636&amp;" due "&amp;TEXT($AB636,"dd-mmm")&amp;" ("&amp;(NETWORKDAYS(TODAY(),$AB636,Holidays)-1)&amp;" business day(s) left).")))))</f>
        <v/>
      </c>
      <c r="W636" s="17">
        <f>IF($Z636="","",CHOOSE($Z636,"Collection Email","1st Follow-up","2nd Follow-up","Local Office","CBE","Roxanne")&amp;IF($Z636=6," - Final"," - Day "&amp;MAX(0,NETWORKDAYS($AA636,TODAY(),Holidays)-1)&amp;" of "&amp;CHOOSE($Z636,3,3,2,2,3))&amp;" | Total Day "&amp;MAX(0,NETWORKDAYS($N636,TODAY(),Holidays)-1))</f>
        <v/>
      </c>
      <c r="X636" s="18"/>
      <c r="Y636" s="18"/>
      <c r="Z636" s="17">
        <f>IF($N636="","",COUNT($N636:$S636))</f>
        <v/>
      </c>
      <c r="AA636" s="19">
        <f>IF($Z636="","",INT(INDEX($N636:$S636,$Z636)))</f>
        <v/>
      </c>
      <c r="AB636" s="19">
        <f>IF(OR($Z636="",$Z636=6),"",WORKDAY($AA636,CHOOSE($Z636,3,3,2,2,3),Holidays))</f>
        <v/>
      </c>
      <c r="AC636" s="17">
        <f>IF(OR($Z636="",$Z636=6),"",CHOOSE($Z636,"1st Email Follow-up","2nd Email Follow-up","Escalate Local Office","Escalate to CBE","Escalate to Roxanne"))</f>
        <v/>
      </c>
    </row>
    <row r="637" spans="13:29">
      <c r="M637" s="14"/>
      <c r="T637" s="16"/>
      <c r="U637" s="17">
        <f>IF(AND(COUNTA($A637:$L637)=0,$N637=""),"",IF($T637="Paid","PAID",IF($T637="Closed","CLOSED",IF($Z637="","",IF($Z637=6,"ESCALATED TO ROXANNE",IF(TODAY()&gt;$AB637,"OVERDUE",IF($AB637&lt;=WORKDAY(TODAY(),1,Holidays),"DUE TOMORROW",IF($Z637=4,"ESCALATED TO LOCAL OFFICE",IF($Z637=5,"ESCALATED TO CBE",IF($AA637=TODAY(),"EMAIL SENT","MONITORING"))))))))))</f>
        <v/>
      </c>
      <c r="V637" s="17">
        <f>IF($U637="",IF(AND(COUNTA($A637:$L637)&gt;0,$N637=""),"Awaiting Collection Email time stamp.",""),IF(OR($U637="PAID",$U637="CLOSED"),IF($U637="PAID","Account paid. Action completed.","Account closed. No further action required."),CHOOSE($Z637,"Collection Email","1st Email Follow-up","2nd Email Follow-up","Escalation to Local Office","Escalation to CBE","Escalation to Roxanne")&amp;" sent "&amp;TEXT($AA637,"dd-mmm")&amp;". "&amp;IF($Z637=6,"Final escalation completed.",IF($U637="OVERDUE","Next: "&amp;$AC637&amp;" was due "&amp;TEXT($AB637,"dd-mmm")&amp;" - "&amp;(NETWORKDAYS($AB637,TODAY(),Holidays)-1)&amp;" business day(s) late. Send now.",IF($U637="DUE TOMORROW","Next: "&amp;$AC637&amp;IF($AB637&lt;=TODAY()," is due TODAY ("," is due next business day (")&amp;TEXT($AB637,"dd-mmm")&amp;").","Next: "&amp;$AC637&amp;" due "&amp;TEXT($AB637,"dd-mmm")&amp;" ("&amp;(NETWORKDAYS(TODAY(),$AB637,Holidays)-1)&amp;" business day(s) left).")))))</f>
        <v/>
      </c>
      <c r="W637" s="17">
        <f>IF($Z637="","",CHOOSE($Z637,"Collection Email","1st Follow-up","2nd Follow-up","Local Office","CBE","Roxanne")&amp;IF($Z637=6," - Final"," - Day "&amp;MAX(0,NETWORKDAYS($AA637,TODAY(),Holidays)-1)&amp;" of "&amp;CHOOSE($Z637,3,3,2,2,3))&amp;" | Total Day "&amp;MAX(0,NETWORKDAYS($N637,TODAY(),Holidays)-1))</f>
        <v/>
      </c>
      <c r="X637" s="18"/>
      <c r="Y637" s="18"/>
      <c r="Z637" s="17">
        <f>IF($N637="","",COUNT($N637:$S637))</f>
        <v/>
      </c>
      <c r="AA637" s="19">
        <f>IF($Z637="","",INT(INDEX($N637:$S637,$Z637)))</f>
        <v/>
      </c>
      <c r="AB637" s="19">
        <f>IF(OR($Z637="",$Z637=6),"",WORKDAY($AA637,CHOOSE($Z637,3,3,2,2,3),Holidays))</f>
        <v/>
      </c>
      <c r="AC637" s="17">
        <f>IF(OR($Z637="",$Z637=6),"",CHOOSE($Z637,"1st Email Follow-up","2nd Email Follow-up","Escalate Local Office","Escalate to CBE","Escalate to Roxanne"))</f>
        <v/>
      </c>
    </row>
    <row r="638" spans="13:29">
      <c r="M638" s="14"/>
      <c r="T638" s="16"/>
      <c r="U638" s="17">
        <f>IF(AND(COUNTA($A638:$L638)=0,$N638=""),"",IF($T638="Paid","PAID",IF($T638="Closed","CLOSED",IF($Z638="","",IF($Z638=6,"ESCALATED TO ROXANNE",IF(TODAY()&gt;$AB638,"OVERDUE",IF($AB638&lt;=WORKDAY(TODAY(),1,Holidays),"DUE TOMORROW",IF($Z638=4,"ESCALATED TO LOCAL OFFICE",IF($Z638=5,"ESCALATED TO CBE",IF($AA638=TODAY(),"EMAIL SENT","MONITORING"))))))))))</f>
        <v/>
      </c>
      <c r="V638" s="17">
        <f>IF($U638="",IF(AND(COUNTA($A638:$L638)&gt;0,$N638=""),"Awaiting Collection Email time stamp.",""),IF(OR($U638="PAID",$U638="CLOSED"),IF($U638="PAID","Account paid. Action completed.","Account closed. No further action required."),CHOOSE($Z638,"Collection Email","1st Email Follow-up","2nd Email Follow-up","Escalation to Local Office","Escalation to CBE","Escalation to Roxanne")&amp;" sent "&amp;TEXT($AA638,"dd-mmm")&amp;". "&amp;IF($Z638=6,"Final escalation completed.",IF($U638="OVERDUE","Next: "&amp;$AC638&amp;" was due "&amp;TEXT($AB638,"dd-mmm")&amp;" - "&amp;(NETWORKDAYS($AB638,TODAY(),Holidays)-1)&amp;" business day(s) late. Send now.",IF($U638="DUE TOMORROW","Next: "&amp;$AC638&amp;IF($AB638&lt;=TODAY()," is due TODAY ("," is due next business day (")&amp;TEXT($AB638,"dd-mmm")&amp;").","Next: "&amp;$AC638&amp;" due "&amp;TEXT($AB638,"dd-mmm")&amp;" ("&amp;(NETWORKDAYS(TODAY(),$AB638,Holidays)-1)&amp;" business day(s) left).")))))</f>
        <v/>
      </c>
      <c r="W638" s="17">
        <f>IF($Z638="","",CHOOSE($Z638,"Collection Email","1st Follow-up","2nd Follow-up","Local Office","CBE","Roxanne")&amp;IF($Z638=6," - Final"," - Day "&amp;MAX(0,NETWORKDAYS($AA638,TODAY(),Holidays)-1)&amp;" of "&amp;CHOOSE($Z638,3,3,2,2,3))&amp;" | Total Day "&amp;MAX(0,NETWORKDAYS($N638,TODAY(),Holidays)-1))</f>
        <v/>
      </c>
      <c r="X638" s="18"/>
      <c r="Y638" s="18"/>
      <c r="Z638" s="17">
        <f>IF($N638="","",COUNT($N638:$S638))</f>
        <v/>
      </c>
      <c r="AA638" s="19">
        <f>IF($Z638="","",INT(INDEX($N638:$S638,$Z638)))</f>
        <v/>
      </c>
      <c r="AB638" s="19">
        <f>IF(OR($Z638="",$Z638=6),"",WORKDAY($AA638,CHOOSE($Z638,3,3,2,2,3),Holidays))</f>
        <v/>
      </c>
      <c r="AC638" s="17">
        <f>IF(OR($Z638="",$Z638=6),"",CHOOSE($Z638,"1st Email Follow-up","2nd Email Follow-up","Escalate Local Office","Escalate to CBE","Escalate to Roxanne"))</f>
        <v/>
      </c>
    </row>
    <row r="639" spans="13:29">
      <c r="M639" s="14"/>
      <c r="T639" s="16"/>
      <c r="U639" s="17">
        <f>IF(AND(COUNTA($A639:$L639)=0,$N639=""),"",IF($T639="Paid","PAID",IF($T639="Closed","CLOSED",IF($Z639="","",IF($Z639=6,"ESCALATED TO ROXANNE",IF(TODAY()&gt;$AB639,"OVERDUE",IF($AB639&lt;=WORKDAY(TODAY(),1,Holidays),"DUE TOMORROW",IF($Z639=4,"ESCALATED TO LOCAL OFFICE",IF($Z639=5,"ESCALATED TO CBE",IF($AA639=TODAY(),"EMAIL SENT","MONITORING"))))))))))</f>
        <v/>
      </c>
      <c r="V639" s="17">
        <f>IF($U639="",IF(AND(COUNTA($A639:$L639)&gt;0,$N639=""),"Awaiting Collection Email time stamp.",""),IF(OR($U639="PAID",$U639="CLOSED"),IF($U639="PAID","Account paid. Action completed.","Account closed. No further action required."),CHOOSE($Z639,"Collection Email","1st Email Follow-up","2nd Email Follow-up","Escalation to Local Office","Escalation to CBE","Escalation to Roxanne")&amp;" sent "&amp;TEXT($AA639,"dd-mmm")&amp;". "&amp;IF($Z639=6,"Final escalation completed.",IF($U639="OVERDUE","Next: "&amp;$AC639&amp;" was due "&amp;TEXT($AB639,"dd-mmm")&amp;" - "&amp;(NETWORKDAYS($AB639,TODAY(),Holidays)-1)&amp;" business day(s) late. Send now.",IF($U639="DUE TOMORROW","Next: "&amp;$AC639&amp;IF($AB639&lt;=TODAY()," is due TODAY ("," is due next business day (")&amp;TEXT($AB639,"dd-mmm")&amp;").","Next: "&amp;$AC639&amp;" due "&amp;TEXT($AB639,"dd-mmm")&amp;" ("&amp;(NETWORKDAYS(TODAY(),$AB639,Holidays)-1)&amp;" business day(s) left).")))))</f>
        <v/>
      </c>
      <c r="W639" s="17">
        <f>IF($Z639="","",CHOOSE($Z639,"Collection Email","1st Follow-up","2nd Follow-up","Local Office","CBE","Roxanne")&amp;IF($Z639=6," - Final"," - Day "&amp;MAX(0,NETWORKDAYS($AA639,TODAY(),Holidays)-1)&amp;" of "&amp;CHOOSE($Z639,3,3,2,2,3))&amp;" | Total Day "&amp;MAX(0,NETWORKDAYS($N639,TODAY(),Holidays)-1))</f>
        <v/>
      </c>
      <c r="X639" s="18"/>
      <c r="Y639" s="18"/>
      <c r="Z639" s="17">
        <f>IF($N639="","",COUNT($N639:$S639))</f>
        <v/>
      </c>
      <c r="AA639" s="19">
        <f>IF($Z639="","",INT(INDEX($N639:$S639,$Z639)))</f>
        <v/>
      </c>
      <c r="AB639" s="19">
        <f>IF(OR($Z639="",$Z639=6),"",WORKDAY($AA639,CHOOSE($Z639,3,3,2,2,3),Holidays))</f>
        <v/>
      </c>
      <c r="AC639" s="17">
        <f>IF(OR($Z639="",$Z639=6),"",CHOOSE($Z639,"1st Email Follow-up","2nd Email Follow-up","Escalate Local Office","Escalate to CBE","Escalate to Roxanne"))</f>
        <v/>
      </c>
    </row>
    <row r="640" spans="13:29">
      <c r="M640" s="14"/>
      <c r="T640" s="16"/>
      <c r="U640" s="17">
        <f>IF(AND(COUNTA($A640:$L640)=0,$N640=""),"",IF($T640="Paid","PAID",IF($T640="Closed","CLOSED",IF($Z640="","",IF($Z640=6,"ESCALATED TO ROXANNE",IF(TODAY()&gt;$AB640,"OVERDUE",IF($AB640&lt;=WORKDAY(TODAY(),1,Holidays),"DUE TOMORROW",IF($Z640=4,"ESCALATED TO LOCAL OFFICE",IF($Z640=5,"ESCALATED TO CBE",IF($AA640=TODAY(),"EMAIL SENT","MONITORING"))))))))))</f>
        <v/>
      </c>
      <c r="V640" s="17">
        <f>IF($U640="",IF(AND(COUNTA($A640:$L640)&gt;0,$N640=""),"Awaiting Collection Email time stamp.",""),IF(OR($U640="PAID",$U640="CLOSED"),IF($U640="PAID","Account paid. Action completed.","Account closed. No further action required."),CHOOSE($Z640,"Collection Email","1st Email Follow-up","2nd Email Follow-up","Escalation to Local Office","Escalation to CBE","Escalation to Roxanne")&amp;" sent "&amp;TEXT($AA640,"dd-mmm")&amp;". "&amp;IF($Z640=6,"Final escalation completed.",IF($U640="OVERDUE","Next: "&amp;$AC640&amp;" was due "&amp;TEXT($AB640,"dd-mmm")&amp;" - "&amp;(NETWORKDAYS($AB640,TODAY(),Holidays)-1)&amp;" business day(s) late. Send now.",IF($U640="DUE TOMORROW","Next: "&amp;$AC640&amp;IF($AB640&lt;=TODAY()," is due TODAY ("," is due next business day (")&amp;TEXT($AB640,"dd-mmm")&amp;").","Next: "&amp;$AC640&amp;" due "&amp;TEXT($AB640,"dd-mmm")&amp;" ("&amp;(NETWORKDAYS(TODAY(),$AB640,Holidays)-1)&amp;" business day(s) left).")))))</f>
        <v/>
      </c>
      <c r="W640" s="17">
        <f>IF($Z640="","",CHOOSE($Z640,"Collection Email","1st Follow-up","2nd Follow-up","Local Office","CBE","Roxanne")&amp;IF($Z640=6," - Final"," - Day "&amp;MAX(0,NETWORKDAYS($AA640,TODAY(),Holidays)-1)&amp;" of "&amp;CHOOSE($Z640,3,3,2,2,3))&amp;" | Total Day "&amp;MAX(0,NETWORKDAYS($N640,TODAY(),Holidays)-1))</f>
        <v/>
      </c>
      <c r="X640" s="18"/>
      <c r="Y640" s="18"/>
      <c r="Z640" s="17">
        <f>IF($N640="","",COUNT($N640:$S640))</f>
        <v/>
      </c>
      <c r="AA640" s="19">
        <f>IF($Z640="","",INT(INDEX($N640:$S640,$Z640)))</f>
        <v/>
      </c>
      <c r="AB640" s="19">
        <f>IF(OR($Z640="",$Z640=6),"",WORKDAY($AA640,CHOOSE($Z640,3,3,2,2,3),Holidays))</f>
        <v/>
      </c>
      <c r="AC640" s="17">
        <f>IF(OR($Z640="",$Z640=6),"",CHOOSE($Z640,"1st Email Follow-up","2nd Email Follow-up","Escalate Local Office","Escalate to CBE","Escalate to Roxanne"))</f>
        <v/>
      </c>
    </row>
    <row r="641" spans="13:29">
      <c r="M641" s="14"/>
      <c r="T641" s="16"/>
      <c r="U641" s="17">
        <f>IF(AND(COUNTA($A641:$L641)=0,$N641=""),"",IF($T641="Paid","PAID",IF($T641="Closed","CLOSED",IF($Z641="","",IF($Z641=6,"ESCALATED TO ROXANNE",IF(TODAY()&gt;$AB641,"OVERDUE",IF($AB641&lt;=WORKDAY(TODAY(),1,Holidays),"DUE TOMORROW",IF($Z641=4,"ESCALATED TO LOCAL OFFICE",IF($Z641=5,"ESCALATED TO CBE",IF($AA641=TODAY(),"EMAIL SENT","MONITORING"))))))))))</f>
        <v/>
      </c>
      <c r="V641" s="17">
        <f>IF($U641="",IF(AND(COUNTA($A641:$L641)&gt;0,$N641=""),"Awaiting Collection Email time stamp.",""),IF(OR($U641="PAID",$U641="CLOSED"),IF($U641="PAID","Account paid. Action completed.","Account closed. No further action required."),CHOOSE($Z641,"Collection Email","1st Email Follow-up","2nd Email Follow-up","Escalation to Local Office","Escalation to CBE","Escalation to Roxanne")&amp;" sent "&amp;TEXT($AA641,"dd-mmm")&amp;". "&amp;IF($Z641=6,"Final escalation completed.",IF($U641="OVERDUE","Next: "&amp;$AC641&amp;" was due "&amp;TEXT($AB641,"dd-mmm")&amp;" - "&amp;(NETWORKDAYS($AB641,TODAY(),Holidays)-1)&amp;" business day(s) late. Send now.",IF($U641="DUE TOMORROW","Next: "&amp;$AC641&amp;IF($AB641&lt;=TODAY()," is due TODAY ("," is due next business day (")&amp;TEXT($AB641,"dd-mmm")&amp;").","Next: "&amp;$AC641&amp;" due "&amp;TEXT($AB641,"dd-mmm")&amp;" ("&amp;(NETWORKDAYS(TODAY(),$AB641,Holidays)-1)&amp;" business day(s) left).")))))</f>
        <v/>
      </c>
      <c r="W641" s="17">
        <f>IF($Z641="","",CHOOSE($Z641,"Collection Email","1st Follow-up","2nd Follow-up","Local Office","CBE","Roxanne")&amp;IF($Z641=6," - Final"," - Day "&amp;MAX(0,NETWORKDAYS($AA641,TODAY(),Holidays)-1)&amp;" of "&amp;CHOOSE($Z641,3,3,2,2,3))&amp;" | Total Day "&amp;MAX(0,NETWORKDAYS($N641,TODAY(),Holidays)-1))</f>
        <v/>
      </c>
      <c r="X641" s="18"/>
      <c r="Y641" s="18"/>
      <c r="Z641" s="17">
        <f>IF($N641="","",COUNT($N641:$S641))</f>
        <v/>
      </c>
      <c r="AA641" s="19">
        <f>IF($Z641="","",INT(INDEX($N641:$S641,$Z641)))</f>
        <v/>
      </c>
      <c r="AB641" s="19">
        <f>IF(OR($Z641="",$Z641=6),"",WORKDAY($AA641,CHOOSE($Z641,3,3,2,2,3),Holidays))</f>
        <v/>
      </c>
      <c r="AC641" s="17">
        <f>IF(OR($Z641="",$Z641=6),"",CHOOSE($Z641,"1st Email Follow-up","2nd Email Follow-up","Escalate Local Office","Escalate to CBE","Escalate to Roxanne"))</f>
        <v/>
      </c>
    </row>
    <row r="642" spans="13:29">
      <c r="M642" s="14"/>
      <c r="T642" s="16"/>
      <c r="U642" s="17">
        <f>IF(AND(COUNTA($A642:$L642)=0,$N642=""),"",IF($T642="Paid","PAID",IF($T642="Closed","CLOSED",IF($Z642="","",IF($Z642=6,"ESCALATED TO ROXANNE",IF(TODAY()&gt;$AB642,"OVERDUE",IF($AB642&lt;=WORKDAY(TODAY(),1,Holidays),"DUE TOMORROW",IF($Z642=4,"ESCALATED TO LOCAL OFFICE",IF($Z642=5,"ESCALATED TO CBE",IF($AA642=TODAY(),"EMAIL SENT","MONITORING"))))))))))</f>
        <v/>
      </c>
      <c r="V642" s="17">
        <f>IF($U642="",IF(AND(COUNTA($A642:$L642)&gt;0,$N642=""),"Awaiting Collection Email time stamp.",""),IF(OR($U642="PAID",$U642="CLOSED"),IF($U642="PAID","Account paid. Action completed.","Account closed. No further action required."),CHOOSE($Z642,"Collection Email","1st Email Follow-up","2nd Email Follow-up","Escalation to Local Office","Escalation to CBE","Escalation to Roxanne")&amp;" sent "&amp;TEXT($AA642,"dd-mmm")&amp;". "&amp;IF($Z642=6,"Final escalation completed.",IF($U642="OVERDUE","Next: "&amp;$AC642&amp;" was due "&amp;TEXT($AB642,"dd-mmm")&amp;" - "&amp;(NETWORKDAYS($AB642,TODAY(),Holidays)-1)&amp;" business day(s) late. Send now.",IF($U642="DUE TOMORROW","Next: "&amp;$AC642&amp;IF($AB642&lt;=TODAY()," is due TODAY ("," is due next business day (")&amp;TEXT($AB642,"dd-mmm")&amp;").","Next: "&amp;$AC642&amp;" due "&amp;TEXT($AB642,"dd-mmm")&amp;" ("&amp;(NETWORKDAYS(TODAY(),$AB642,Holidays)-1)&amp;" business day(s) left).")))))</f>
        <v/>
      </c>
      <c r="W642" s="17">
        <f>IF($Z642="","",CHOOSE($Z642,"Collection Email","1st Follow-up","2nd Follow-up","Local Office","CBE","Roxanne")&amp;IF($Z642=6," - Final"," - Day "&amp;MAX(0,NETWORKDAYS($AA642,TODAY(),Holidays)-1)&amp;" of "&amp;CHOOSE($Z642,3,3,2,2,3))&amp;" | Total Day "&amp;MAX(0,NETWORKDAYS($N642,TODAY(),Holidays)-1))</f>
        <v/>
      </c>
      <c r="X642" s="18"/>
      <c r="Y642" s="18"/>
      <c r="Z642" s="17">
        <f>IF($N642="","",COUNT($N642:$S642))</f>
        <v/>
      </c>
      <c r="AA642" s="19">
        <f>IF($Z642="","",INT(INDEX($N642:$S642,$Z642)))</f>
        <v/>
      </c>
      <c r="AB642" s="19">
        <f>IF(OR($Z642="",$Z642=6),"",WORKDAY($AA642,CHOOSE($Z642,3,3,2,2,3),Holidays))</f>
        <v/>
      </c>
      <c r="AC642" s="17">
        <f>IF(OR($Z642="",$Z642=6),"",CHOOSE($Z642,"1st Email Follow-up","2nd Email Follow-up","Escalate Local Office","Escalate to CBE","Escalate to Roxanne"))</f>
        <v/>
      </c>
    </row>
    <row r="643" spans="13:29">
      <c r="M643" s="14"/>
      <c r="T643" s="16"/>
      <c r="U643" s="17">
        <f>IF(AND(COUNTA($A643:$L643)=0,$N643=""),"",IF($T643="Paid","PAID",IF($T643="Closed","CLOSED",IF($Z643="","",IF($Z643=6,"ESCALATED TO ROXANNE",IF(TODAY()&gt;$AB643,"OVERDUE",IF($AB643&lt;=WORKDAY(TODAY(),1,Holidays),"DUE TOMORROW",IF($Z643=4,"ESCALATED TO LOCAL OFFICE",IF($Z643=5,"ESCALATED TO CBE",IF($AA643=TODAY(),"EMAIL SENT","MONITORING"))))))))))</f>
        <v/>
      </c>
      <c r="V643" s="17">
        <f>IF($U643="",IF(AND(COUNTA($A643:$L643)&gt;0,$N643=""),"Awaiting Collection Email time stamp.",""),IF(OR($U643="PAID",$U643="CLOSED"),IF($U643="PAID","Account paid. Action completed.","Account closed. No further action required."),CHOOSE($Z643,"Collection Email","1st Email Follow-up","2nd Email Follow-up","Escalation to Local Office","Escalation to CBE","Escalation to Roxanne")&amp;" sent "&amp;TEXT($AA643,"dd-mmm")&amp;". "&amp;IF($Z643=6,"Final escalation completed.",IF($U643="OVERDUE","Next: "&amp;$AC643&amp;" was due "&amp;TEXT($AB643,"dd-mmm")&amp;" - "&amp;(NETWORKDAYS($AB643,TODAY(),Holidays)-1)&amp;" business day(s) late. Send now.",IF($U643="DUE TOMORROW","Next: "&amp;$AC643&amp;IF($AB643&lt;=TODAY()," is due TODAY ("," is due next business day (")&amp;TEXT($AB643,"dd-mmm")&amp;").","Next: "&amp;$AC643&amp;" due "&amp;TEXT($AB643,"dd-mmm")&amp;" ("&amp;(NETWORKDAYS(TODAY(),$AB643,Holidays)-1)&amp;" business day(s) left).")))))</f>
        <v/>
      </c>
      <c r="W643" s="17">
        <f>IF($Z643="","",CHOOSE($Z643,"Collection Email","1st Follow-up","2nd Follow-up","Local Office","CBE","Roxanne")&amp;IF($Z643=6," - Final"," - Day "&amp;MAX(0,NETWORKDAYS($AA643,TODAY(),Holidays)-1)&amp;" of "&amp;CHOOSE($Z643,3,3,2,2,3))&amp;" | Total Day "&amp;MAX(0,NETWORKDAYS($N643,TODAY(),Holidays)-1))</f>
        <v/>
      </c>
      <c r="X643" s="18"/>
      <c r="Y643" s="18"/>
      <c r="Z643" s="17">
        <f>IF($N643="","",COUNT($N643:$S643))</f>
        <v/>
      </c>
      <c r="AA643" s="19">
        <f>IF($Z643="","",INT(INDEX($N643:$S643,$Z643)))</f>
        <v/>
      </c>
      <c r="AB643" s="19">
        <f>IF(OR($Z643="",$Z643=6),"",WORKDAY($AA643,CHOOSE($Z643,3,3,2,2,3),Holidays))</f>
        <v/>
      </c>
      <c r="AC643" s="17">
        <f>IF(OR($Z643="",$Z643=6),"",CHOOSE($Z643,"1st Email Follow-up","2nd Email Follow-up","Escalate Local Office","Escalate to CBE","Escalate to Roxanne"))</f>
        <v/>
      </c>
    </row>
    <row r="644" spans="13:29">
      <c r="M644" s="14"/>
      <c r="T644" s="16"/>
      <c r="U644" s="17">
        <f>IF(AND(COUNTA($A644:$L644)=0,$N644=""),"",IF($T644="Paid","PAID",IF($T644="Closed","CLOSED",IF($Z644="","",IF($Z644=6,"ESCALATED TO ROXANNE",IF(TODAY()&gt;$AB644,"OVERDUE",IF($AB644&lt;=WORKDAY(TODAY(),1,Holidays),"DUE TOMORROW",IF($Z644=4,"ESCALATED TO LOCAL OFFICE",IF($Z644=5,"ESCALATED TO CBE",IF($AA644=TODAY(),"EMAIL SENT","MONITORING"))))))))))</f>
        <v/>
      </c>
      <c r="V644" s="17">
        <f>IF($U644="",IF(AND(COUNTA($A644:$L644)&gt;0,$N644=""),"Awaiting Collection Email time stamp.",""),IF(OR($U644="PAID",$U644="CLOSED"),IF($U644="PAID","Account paid. Action completed.","Account closed. No further action required."),CHOOSE($Z644,"Collection Email","1st Email Follow-up","2nd Email Follow-up","Escalation to Local Office","Escalation to CBE","Escalation to Roxanne")&amp;" sent "&amp;TEXT($AA644,"dd-mmm")&amp;". "&amp;IF($Z644=6,"Final escalation completed.",IF($U644="OVERDUE","Next: "&amp;$AC644&amp;" was due "&amp;TEXT($AB644,"dd-mmm")&amp;" - "&amp;(NETWORKDAYS($AB644,TODAY(),Holidays)-1)&amp;" business day(s) late. Send now.",IF($U644="DUE TOMORROW","Next: "&amp;$AC644&amp;IF($AB644&lt;=TODAY()," is due TODAY ("," is due next business day (")&amp;TEXT($AB644,"dd-mmm")&amp;").","Next: "&amp;$AC644&amp;" due "&amp;TEXT($AB644,"dd-mmm")&amp;" ("&amp;(NETWORKDAYS(TODAY(),$AB644,Holidays)-1)&amp;" business day(s) left).")))))</f>
        <v/>
      </c>
      <c r="W644" s="17">
        <f>IF($Z644="","",CHOOSE($Z644,"Collection Email","1st Follow-up","2nd Follow-up","Local Office","CBE","Roxanne")&amp;IF($Z644=6," - Final"," - Day "&amp;MAX(0,NETWORKDAYS($AA644,TODAY(),Holidays)-1)&amp;" of "&amp;CHOOSE($Z644,3,3,2,2,3))&amp;" | Total Day "&amp;MAX(0,NETWORKDAYS($N644,TODAY(),Holidays)-1))</f>
        <v/>
      </c>
      <c r="X644" s="18"/>
      <c r="Y644" s="18"/>
      <c r="Z644" s="17">
        <f>IF($N644="","",COUNT($N644:$S644))</f>
        <v/>
      </c>
      <c r="AA644" s="19">
        <f>IF($Z644="","",INT(INDEX($N644:$S644,$Z644)))</f>
        <v/>
      </c>
      <c r="AB644" s="19">
        <f>IF(OR($Z644="",$Z644=6),"",WORKDAY($AA644,CHOOSE($Z644,3,3,2,2,3),Holidays))</f>
        <v/>
      </c>
      <c r="AC644" s="17">
        <f>IF(OR($Z644="",$Z644=6),"",CHOOSE($Z644,"1st Email Follow-up","2nd Email Follow-up","Escalate Local Office","Escalate to CBE","Escalate to Roxanne"))</f>
        <v/>
      </c>
    </row>
    <row r="645" spans="13:29">
      <c r="M645" s="14"/>
      <c r="T645" s="16"/>
      <c r="U645" s="17">
        <f>IF(AND(COUNTA($A645:$L645)=0,$N645=""),"",IF($T645="Paid","PAID",IF($T645="Closed","CLOSED",IF($Z645="","",IF($Z645=6,"ESCALATED TO ROXANNE",IF(TODAY()&gt;$AB645,"OVERDUE",IF($AB645&lt;=WORKDAY(TODAY(),1,Holidays),"DUE TOMORROW",IF($Z645=4,"ESCALATED TO LOCAL OFFICE",IF($Z645=5,"ESCALATED TO CBE",IF($AA645=TODAY(),"EMAIL SENT","MONITORING"))))))))))</f>
        <v/>
      </c>
      <c r="V645" s="17">
        <f>IF($U645="",IF(AND(COUNTA($A645:$L645)&gt;0,$N645=""),"Awaiting Collection Email time stamp.",""),IF(OR($U645="PAID",$U645="CLOSED"),IF($U645="PAID","Account paid. Action completed.","Account closed. No further action required."),CHOOSE($Z645,"Collection Email","1st Email Follow-up","2nd Email Follow-up","Escalation to Local Office","Escalation to CBE","Escalation to Roxanne")&amp;" sent "&amp;TEXT($AA645,"dd-mmm")&amp;". "&amp;IF($Z645=6,"Final escalation completed.",IF($U645="OVERDUE","Next: "&amp;$AC645&amp;" was due "&amp;TEXT($AB645,"dd-mmm")&amp;" - "&amp;(NETWORKDAYS($AB645,TODAY(),Holidays)-1)&amp;" business day(s) late. Send now.",IF($U645="DUE TOMORROW","Next: "&amp;$AC645&amp;IF($AB645&lt;=TODAY()," is due TODAY ("," is due next business day (")&amp;TEXT($AB645,"dd-mmm")&amp;").","Next: "&amp;$AC645&amp;" due "&amp;TEXT($AB645,"dd-mmm")&amp;" ("&amp;(NETWORKDAYS(TODAY(),$AB645,Holidays)-1)&amp;" business day(s) left).")))))</f>
        <v/>
      </c>
      <c r="W645" s="17">
        <f>IF($Z645="","",CHOOSE($Z645,"Collection Email","1st Follow-up","2nd Follow-up","Local Office","CBE","Roxanne")&amp;IF($Z645=6," - Final"," - Day "&amp;MAX(0,NETWORKDAYS($AA645,TODAY(),Holidays)-1)&amp;" of "&amp;CHOOSE($Z645,3,3,2,2,3))&amp;" | Total Day "&amp;MAX(0,NETWORKDAYS($N645,TODAY(),Holidays)-1))</f>
        <v/>
      </c>
      <c r="X645" s="18"/>
      <c r="Y645" s="18"/>
      <c r="Z645" s="17">
        <f>IF($N645="","",COUNT($N645:$S645))</f>
        <v/>
      </c>
      <c r="AA645" s="19">
        <f>IF($Z645="","",INT(INDEX($N645:$S645,$Z645)))</f>
        <v/>
      </c>
      <c r="AB645" s="19">
        <f>IF(OR($Z645="",$Z645=6),"",WORKDAY($AA645,CHOOSE($Z645,3,3,2,2,3),Holidays))</f>
        <v/>
      </c>
      <c r="AC645" s="17">
        <f>IF(OR($Z645="",$Z645=6),"",CHOOSE($Z645,"1st Email Follow-up","2nd Email Follow-up","Escalate Local Office","Escalate to CBE","Escalate to Roxanne"))</f>
        <v/>
      </c>
    </row>
    <row r="646" spans="13:29">
      <c r="M646" s="14"/>
      <c r="T646" s="16"/>
      <c r="U646" s="17">
        <f>IF(AND(COUNTA($A646:$L646)=0,$N646=""),"",IF($T646="Paid","PAID",IF($T646="Closed","CLOSED",IF($Z646="","",IF($Z646=6,"ESCALATED TO ROXANNE",IF(TODAY()&gt;$AB646,"OVERDUE",IF($AB646&lt;=WORKDAY(TODAY(),1,Holidays),"DUE TOMORROW",IF($Z646=4,"ESCALATED TO LOCAL OFFICE",IF($Z646=5,"ESCALATED TO CBE",IF($AA646=TODAY(),"EMAIL SENT","MONITORING"))))))))))</f>
        <v/>
      </c>
      <c r="V646" s="17">
        <f>IF($U646="",IF(AND(COUNTA($A646:$L646)&gt;0,$N646=""),"Awaiting Collection Email time stamp.",""),IF(OR($U646="PAID",$U646="CLOSED"),IF($U646="PAID","Account paid. Action completed.","Account closed. No further action required."),CHOOSE($Z646,"Collection Email","1st Email Follow-up","2nd Email Follow-up","Escalation to Local Office","Escalation to CBE","Escalation to Roxanne")&amp;" sent "&amp;TEXT($AA646,"dd-mmm")&amp;". "&amp;IF($Z646=6,"Final escalation completed.",IF($U646="OVERDUE","Next: "&amp;$AC646&amp;" was due "&amp;TEXT($AB646,"dd-mmm")&amp;" - "&amp;(NETWORKDAYS($AB646,TODAY(),Holidays)-1)&amp;" business day(s) late. Send now.",IF($U646="DUE TOMORROW","Next: "&amp;$AC646&amp;IF($AB646&lt;=TODAY()," is due TODAY ("," is due next business day (")&amp;TEXT($AB646,"dd-mmm")&amp;").","Next: "&amp;$AC646&amp;" due "&amp;TEXT($AB646,"dd-mmm")&amp;" ("&amp;(NETWORKDAYS(TODAY(),$AB646,Holidays)-1)&amp;" business day(s) left).")))))</f>
        <v/>
      </c>
      <c r="W646" s="17">
        <f>IF($Z646="","",CHOOSE($Z646,"Collection Email","1st Follow-up","2nd Follow-up","Local Office","CBE","Roxanne")&amp;IF($Z646=6," - Final"," - Day "&amp;MAX(0,NETWORKDAYS($AA646,TODAY(),Holidays)-1)&amp;" of "&amp;CHOOSE($Z646,3,3,2,2,3))&amp;" | Total Day "&amp;MAX(0,NETWORKDAYS($N646,TODAY(),Holidays)-1))</f>
        <v/>
      </c>
      <c r="X646" s="18"/>
      <c r="Y646" s="18"/>
      <c r="Z646" s="17">
        <f>IF($N646="","",COUNT($N646:$S646))</f>
        <v/>
      </c>
      <c r="AA646" s="19">
        <f>IF($Z646="","",INT(INDEX($N646:$S646,$Z646)))</f>
        <v/>
      </c>
      <c r="AB646" s="19">
        <f>IF(OR($Z646="",$Z646=6),"",WORKDAY($AA646,CHOOSE($Z646,3,3,2,2,3),Holidays))</f>
        <v/>
      </c>
      <c r="AC646" s="17">
        <f>IF(OR($Z646="",$Z646=6),"",CHOOSE($Z646,"1st Email Follow-up","2nd Email Follow-up","Escalate Local Office","Escalate to CBE","Escalate to Roxanne"))</f>
        <v/>
      </c>
    </row>
    <row r="647" spans="13:29">
      <c r="M647" s="14"/>
      <c r="T647" s="16"/>
      <c r="U647" s="17">
        <f>IF(AND(COUNTA($A647:$L647)=0,$N647=""),"",IF($T647="Paid","PAID",IF($T647="Closed","CLOSED",IF($Z647="","",IF($Z647=6,"ESCALATED TO ROXANNE",IF(TODAY()&gt;$AB647,"OVERDUE",IF($AB647&lt;=WORKDAY(TODAY(),1,Holidays),"DUE TOMORROW",IF($Z647=4,"ESCALATED TO LOCAL OFFICE",IF($Z647=5,"ESCALATED TO CBE",IF($AA647=TODAY(),"EMAIL SENT","MONITORING"))))))))))</f>
        <v/>
      </c>
      <c r="V647" s="17">
        <f>IF($U647="",IF(AND(COUNTA($A647:$L647)&gt;0,$N647=""),"Awaiting Collection Email time stamp.",""),IF(OR($U647="PAID",$U647="CLOSED"),IF($U647="PAID","Account paid. Action completed.","Account closed. No further action required."),CHOOSE($Z647,"Collection Email","1st Email Follow-up","2nd Email Follow-up","Escalation to Local Office","Escalation to CBE","Escalation to Roxanne")&amp;" sent "&amp;TEXT($AA647,"dd-mmm")&amp;". "&amp;IF($Z647=6,"Final escalation completed.",IF($U647="OVERDUE","Next: "&amp;$AC647&amp;" was due "&amp;TEXT($AB647,"dd-mmm")&amp;" - "&amp;(NETWORKDAYS($AB647,TODAY(),Holidays)-1)&amp;" business day(s) late. Send now.",IF($U647="DUE TOMORROW","Next: "&amp;$AC647&amp;IF($AB647&lt;=TODAY()," is due TODAY ("," is due next business day (")&amp;TEXT($AB647,"dd-mmm")&amp;").","Next: "&amp;$AC647&amp;" due "&amp;TEXT($AB647,"dd-mmm")&amp;" ("&amp;(NETWORKDAYS(TODAY(),$AB647,Holidays)-1)&amp;" business day(s) left).")))))</f>
        <v/>
      </c>
      <c r="W647" s="17">
        <f>IF($Z647="","",CHOOSE($Z647,"Collection Email","1st Follow-up","2nd Follow-up","Local Office","CBE","Roxanne")&amp;IF($Z647=6," - Final"," - Day "&amp;MAX(0,NETWORKDAYS($AA647,TODAY(),Holidays)-1)&amp;" of "&amp;CHOOSE($Z647,3,3,2,2,3))&amp;" | Total Day "&amp;MAX(0,NETWORKDAYS($N647,TODAY(),Holidays)-1))</f>
        <v/>
      </c>
      <c r="X647" s="18"/>
      <c r="Y647" s="18"/>
      <c r="Z647" s="17">
        <f>IF($N647="","",COUNT($N647:$S647))</f>
        <v/>
      </c>
      <c r="AA647" s="19">
        <f>IF($Z647="","",INT(INDEX($N647:$S647,$Z647)))</f>
        <v/>
      </c>
      <c r="AB647" s="19">
        <f>IF(OR($Z647="",$Z647=6),"",WORKDAY($AA647,CHOOSE($Z647,3,3,2,2,3),Holidays))</f>
        <v/>
      </c>
      <c r="AC647" s="17">
        <f>IF(OR($Z647="",$Z647=6),"",CHOOSE($Z647,"1st Email Follow-up","2nd Email Follow-up","Escalate Local Office","Escalate to CBE","Escalate to Roxanne"))</f>
        <v/>
      </c>
    </row>
    <row r="648" spans="13:29">
      <c r="M648" s="14"/>
      <c r="T648" s="16"/>
      <c r="U648" s="17">
        <f>IF(AND(COUNTA($A648:$L648)=0,$N648=""),"",IF($T648="Paid","PAID",IF($T648="Closed","CLOSED",IF($Z648="","",IF($Z648=6,"ESCALATED TO ROXANNE",IF(TODAY()&gt;$AB648,"OVERDUE",IF($AB648&lt;=WORKDAY(TODAY(),1,Holidays),"DUE TOMORROW",IF($Z648=4,"ESCALATED TO LOCAL OFFICE",IF($Z648=5,"ESCALATED TO CBE",IF($AA648=TODAY(),"EMAIL SENT","MONITORING"))))))))))</f>
        <v/>
      </c>
      <c r="V648" s="17">
        <f>IF($U648="",IF(AND(COUNTA($A648:$L648)&gt;0,$N648=""),"Awaiting Collection Email time stamp.",""),IF(OR($U648="PAID",$U648="CLOSED"),IF($U648="PAID","Account paid. Action completed.","Account closed. No further action required."),CHOOSE($Z648,"Collection Email","1st Email Follow-up","2nd Email Follow-up","Escalation to Local Office","Escalation to CBE","Escalation to Roxanne")&amp;" sent "&amp;TEXT($AA648,"dd-mmm")&amp;". "&amp;IF($Z648=6,"Final escalation completed.",IF($U648="OVERDUE","Next: "&amp;$AC648&amp;" was due "&amp;TEXT($AB648,"dd-mmm")&amp;" - "&amp;(NETWORKDAYS($AB648,TODAY(),Holidays)-1)&amp;" business day(s) late. Send now.",IF($U648="DUE TOMORROW","Next: "&amp;$AC648&amp;IF($AB648&lt;=TODAY()," is due TODAY ("," is due next business day (")&amp;TEXT($AB648,"dd-mmm")&amp;").","Next: "&amp;$AC648&amp;" due "&amp;TEXT($AB648,"dd-mmm")&amp;" ("&amp;(NETWORKDAYS(TODAY(),$AB648,Holidays)-1)&amp;" business day(s) left).")))))</f>
        <v/>
      </c>
      <c r="W648" s="17">
        <f>IF($Z648="","",CHOOSE($Z648,"Collection Email","1st Follow-up","2nd Follow-up","Local Office","CBE","Roxanne")&amp;IF($Z648=6," - Final"," - Day "&amp;MAX(0,NETWORKDAYS($AA648,TODAY(),Holidays)-1)&amp;" of "&amp;CHOOSE($Z648,3,3,2,2,3))&amp;" | Total Day "&amp;MAX(0,NETWORKDAYS($N648,TODAY(),Holidays)-1))</f>
        <v/>
      </c>
      <c r="X648" s="18"/>
      <c r="Y648" s="18"/>
      <c r="Z648" s="17">
        <f>IF($N648="","",COUNT($N648:$S648))</f>
        <v/>
      </c>
      <c r="AA648" s="19">
        <f>IF($Z648="","",INT(INDEX($N648:$S648,$Z648)))</f>
        <v/>
      </c>
      <c r="AB648" s="19">
        <f>IF(OR($Z648="",$Z648=6),"",WORKDAY($AA648,CHOOSE($Z648,3,3,2,2,3),Holidays))</f>
        <v/>
      </c>
      <c r="AC648" s="17">
        <f>IF(OR($Z648="",$Z648=6),"",CHOOSE($Z648,"1st Email Follow-up","2nd Email Follow-up","Escalate Local Office","Escalate to CBE","Escalate to Roxanne"))</f>
        <v/>
      </c>
    </row>
    <row r="649" spans="13:29">
      <c r="M649" s="14"/>
      <c r="T649" s="16"/>
      <c r="U649" s="17">
        <f>IF(AND(COUNTA($A649:$L649)=0,$N649=""),"",IF($T649="Paid","PAID",IF($T649="Closed","CLOSED",IF($Z649="","",IF($Z649=6,"ESCALATED TO ROXANNE",IF(TODAY()&gt;$AB649,"OVERDUE",IF($AB649&lt;=WORKDAY(TODAY(),1,Holidays),"DUE TOMORROW",IF($Z649=4,"ESCALATED TO LOCAL OFFICE",IF($Z649=5,"ESCALATED TO CBE",IF($AA649=TODAY(),"EMAIL SENT","MONITORING"))))))))))</f>
        <v/>
      </c>
      <c r="V649" s="17">
        <f>IF($U649="",IF(AND(COUNTA($A649:$L649)&gt;0,$N649=""),"Awaiting Collection Email time stamp.",""),IF(OR($U649="PAID",$U649="CLOSED"),IF($U649="PAID","Account paid. Action completed.","Account closed. No further action required."),CHOOSE($Z649,"Collection Email","1st Email Follow-up","2nd Email Follow-up","Escalation to Local Office","Escalation to CBE","Escalation to Roxanne")&amp;" sent "&amp;TEXT($AA649,"dd-mmm")&amp;". "&amp;IF($Z649=6,"Final escalation completed.",IF($U649="OVERDUE","Next: "&amp;$AC649&amp;" was due "&amp;TEXT($AB649,"dd-mmm")&amp;" - "&amp;(NETWORKDAYS($AB649,TODAY(),Holidays)-1)&amp;" business day(s) late. Send now.",IF($U649="DUE TOMORROW","Next: "&amp;$AC649&amp;IF($AB649&lt;=TODAY()," is due TODAY ("," is due next business day (")&amp;TEXT($AB649,"dd-mmm")&amp;").","Next: "&amp;$AC649&amp;" due "&amp;TEXT($AB649,"dd-mmm")&amp;" ("&amp;(NETWORKDAYS(TODAY(),$AB649,Holidays)-1)&amp;" business day(s) left).")))))</f>
        <v/>
      </c>
      <c r="W649" s="17">
        <f>IF($Z649="","",CHOOSE($Z649,"Collection Email","1st Follow-up","2nd Follow-up","Local Office","CBE","Roxanne")&amp;IF($Z649=6," - Final"," - Day "&amp;MAX(0,NETWORKDAYS($AA649,TODAY(),Holidays)-1)&amp;" of "&amp;CHOOSE($Z649,3,3,2,2,3))&amp;" | Total Day "&amp;MAX(0,NETWORKDAYS($N649,TODAY(),Holidays)-1))</f>
        <v/>
      </c>
      <c r="X649" s="18"/>
      <c r="Y649" s="18"/>
      <c r="Z649" s="17">
        <f>IF($N649="","",COUNT($N649:$S649))</f>
        <v/>
      </c>
      <c r="AA649" s="19">
        <f>IF($Z649="","",INT(INDEX($N649:$S649,$Z649)))</f>
        <v/>
      </c>
      <c r="AB649" s="19">
        <f>IF(OR($Z649="",$Z649=6),"",WORKDAY($AA649,CHOOSE($Z649,3,3,2,2,3),Holidays))</f>
        <v/>
      </c>
      <c r="AC649" s="17">
        <f>IF(OR($Z649="",$Z649=6),"",CHOOSE($Z649,"1st Email Follow-up","2nd Email Follow-up","Escalate Local Office","Escalate to CBE","Escalate to Roxanne"))</f>
        <v/>
      </c>
    </row>
    <row r="650" spans="13:29">
      <c r="M650" s="14"/>
      <c r="T650" s="16"/>
      <c r="U650" s="17">
        <f>IF(AND(COUNTA($A650:$L650)=0,$N650=""),"",IF($T650="Paid","PAID",IF($T650="Closed","CLOSED",IF($Z650="","",IF($Z650=6,"ESCALATED TO ROXANNE",IF(TODAY()&gt;$AB650,"OVERDUE",IF($AB650&lt;=WORKDAY(TODAY(),1,Holidays),"DUE TOMORROW",IF($Z650=4,"ESCALATED TO LOCAL OFFICE",IF($Z650=5,"ESCALATED TO CBE",IF($AA650=TODAY(),"EMAIL SENT","MONITORING"))))))))))</f>
        <v/>
      </c>
      <c r="V650" s="17">
        <f>IF($U650="",IF(AND(COUNTA($A650:$L650)&gt;0,$N650=""),"Awaiting Collection Email time stamp.",""),IF(OR($U650="PAID",$U650="CLOSED"),IF($U650="PAID","Account paid. Action completed.","Account closed. No further action required."),CHOOSE($Z650,"Collection Email","1st Email Follow-up","2nd Email Follow-up","Escalation to Local Office","Escalation to CBE","Escalation to Roxanne")&amp;" sent "&amp;TEXT($AA650,"dd-mmm")&amp;". "&amp;IF($Z650=6,"Final escalation completed.",IF($U650="OVERDUE","Next: "&amp;$AC650&amp;" was due "&amp;TEXT($AB650,"dd-mmm")&amp;" - "&amp;(NETWORKDAYS($AB650,TODAY(),Holidays)-1)&amp;" business day(s) late. Send now.",IF($U650="DUE TOMORROW","Next: "&amp;$AC650&amp;IF($AB650&lt;=TODAY()," is due TODAY ("," is due next business day (")&amp;TEXT($AB650,"dd-mmm")&amp;").","Next: "&amp;$AC650&amp;" due "&amp;TEXT($AB650,"dd-mmm")&amp;" ("&amp;(NETWORKDAYS(TODAY(),$AB650,Holidays)-1)&amp;" business day(s) left).")))))</f>
        <v/>
      </c>
      <c r="W650" s="17">
        <f>IF($Z650="","",CHOOSE($Z650,"Collection Email","1st Follow-up","2nd Follow-up","Local Office","CBE","Roxanne")&amp;IF($Z650=6," - Final"," - Day "&amp;MAX(0,NETWORKDAYS($AA650,TODAY(),Holidays)-1)&amp;" of "&amp;CHOOSE($Z650,3,3,2,2,3))&amp;" | Total Day "&amp;MAX(0,NETWORKDAYS($N650,TODAY(),Holidays)-1))</f>
        <v/>
      </c>
      <c r="X650" s="18"/>
      <c r="Y650" s="18"/>
      <c r="Z650" s="17">
        <f>IF($N650="","",COUNT($N650:$S650))</f>
        <v/>
      </c>
      <c r="AA650" s="19">
        <f>IF($Z650="","",INT(INDEX($N650:$S650,$Z650)))</f>
        <v/>
      </c>
      <c r="AB650" s="19">
        <f>IF(OR($Z650="",$Z650=6),"",WORKDAY($AA650,CHOOSE($Z650,3,3,2,2,3),Holidays))</f>
        <v/>
      </c>
      <c r="AC650" s="17">
        <f>IF(OR($Z650="",$Z650=6),"",CHOOSE($Z650,"1st Email Follow-up","2nd Email Follow-up","Escalate Local Office","Escalate to CBE","Escalate to Roxanne"))</f>
        <v/>
      </c>
    </row>
    <row r="651" spans="13:29">
      <c r="M651" s="14"/>
      <c r="T651" s="16"/>
      <c r="U651" s="17">
        <f>IF(AND(COUNTA($A651:$L651)=0,$N651=""),"",IF($T651="Paid","PAID",IF($T651="Closed","CLOSED",IF($Z651="","",IF($Z651=6,"ESCALATED TO ROXANNE",IF(TODAY()&gt;$AB651,"OVERDUE",IF($AB651&lt;=WORKDAY(TODAY(),1,Holidays),"DUE TOMORROW",IF($Z651=4,"ESCALATED TO LOCAL OFFICE",IF($Z651=5,"ESCALATED TO CBE",IF($AA651=TODAY(),"EMAIL SENT","MONITORING"))))))))))</f>
        <v/>
      </c>
      <c r="V651" s="17">
        <f>IF($U651="",IF(AND(COUNTA($A651:$L651)&gt;0,$N651=""),"Awaiting Collection Email time stamp.",""),IF(OR($U651="PAID",$U651="CLOSED"),IF($U651="PAID","Account paid. Action completed.","Account closed. No further action required."),CHOOSE($Z651,"Collection Email","1st Email Follow-up","2nd Email Follow-up","Escalation to Local Office","Escalation to CBE","Escalation to Roxanne")&amp;" sent "&amp;TEXT($AA651,"dd-mmm")&amp;". "&amp;IF($Z651=6,"Final escalation completed.",IF($U651="OVERDUE","Next: "&amp;$AC651&amp;" was due "&amp;TEXT($AB651,"dd-mmm")&amp;" - "&amp;(NETWORKDAYS($AB651,TODAY(),Holidays)-1)&amp;" business day(s) late. Send now.",IF($U651="DUE TOMORROW","Next: "&amp;$AC651&amp;IF($AB651&lt;=TODAY()," is due TODAY ("," is due next business day (")&amp;TEXT($AB651,"dd-mmm")&amp;").","Next: "&amp;$AC651&amp;" due "&amp;TEXT($AB651,"dd-mmm")&amp;" ("&amp;(NETWORKDAYS(TODAY(),$AB651,Holidays)-1)&amp;" business day(s) left).")))))</f>
        <v/>
      </c>
      <c r="W651" s="17">
        <f>IF($Z651="","",CHOOSE($Z651,"Collection Email","1st Follow-up","2nd Follow-up","Local Office","CBE","Roxanne")&amp;IF($Z651=6," - Final"," - Day "&amp;MAX(0,NETWORKDAYS($AA651,TODAY(),Holidays)-1)&amp;" of "&amp;CHOOSE($Z651,3,3,2,2,3))&amp;" | Total Day "&amp;MAX(0,NETWORKDAYS($N651,TODAY(),Holidays)-1))</f>
        <v/>
      </c>
      <c r="X651" s="18"/>
      <c r="Y651" s="18"/>
      <c r="Z651" s="17">
        <f>IF($N651="","",COUNT($N651:$S651))</f>
        <v/>
      </c>
      <c r="AA651" s="19">
        <f>IF($Z651="","",INT(INDEX($N651:$S651,$Z651)))</f>
        <v/>
      </c>
      <c r="AB651" s="19">
        <f>IF(OR($Z651="",$Z651=6),"",WORKDAY($AA651,CHOOSE($Z651,3,3,2,2,3),Holidays))</f>
        <v/>
      </c>
      <c r="AC651" s="17">
        <f>IF(OR($Z651="",$Z651=6),"",CHOOSE($Z651,"1st Email Follow-up","2nd Email Follow-up","Escalate Local Office","Escalate to CBE","Escalate to Roxanne"))</f>
        <v/>
      </c>
    </row>
    <row r="652" spans="13:29">
      <c r="M652" s="14"/>
      <c r="T652" s="16"/>
      <c r="U652" s="17">
        <f>IF(AND(COUNTA($A652:$L652)=0,$N652=""),"",IF($T652="Paid","PAID",IF($T652="Closed","CLOSED",IF($Z652="","",IF($Z652=6,"ESCALATED TO ROXANNE",IF(TODAY()&gt;$AB652,"OVERDUE",IF($AB652&lt;=WORKDAY(TODAY(),1,Holidays),"DUE TOMORROW",IF($Z652=4,"ESCALATED TO LOCAL OFFICE",IF($Z652=5,"ESCALATED TO CBE",IF($AA652=TODAY(),"EMAIL SENT","MONITORING"))))))))))</f>
        <v/>
      </c>
      <c r="V652" s="17">
        <f>IF($U652="",IF(AND(COUNTA($A652:$L652)&gt;0,$N652=""),"Awaiting Collection Email time stamp.",""),IF(OR($U652="PAID",$U652="CLOSED"),IF($U652="PAID","Account paid. Action completed.","Account closed. No further action required."),CHOOSE($Z652,"Collection Email","1st Email Follow-up","2nd Email Follow-up","Escalation to Local Office","Escalation to CBE","Escalation to Roxanne")&amp;" sent "&amp;TEXT($AA652,"dd-mmm")&amp;". "&amp;IF($Z652=6,"Final escalation completed.",IF($U652="OVERDUE","Next: "&amp;$AC652&amp;" was due "&amp;TEXT($AB652,"dd-mmm")&amp;" - "&amp;(NETWORKDAYS($AB652,TODAY(),Holidays)-1)&amp;" business day(s) late. Send now.",IF($U652="DUE TOMORROW","Next: "&amp;$AC652&amp;IF($AB652&lt;=TODAY()," is due TODAY ("," is due next business day (")&amp;TEXT($AB652,"dd-mmm")&amp;").","Next: "&amp;$AC652&amp;" due "&amp;TEXT($AB652,"dd-mmm")&amp;" ("&amp;(NETWORKDAYS(TODAY(),$AB652,Holidays)-1)&amp;" business day(s) left).")))))</f>
        <v/>
      </c>
      <c r="W652" s="17">
        <f>IF($Z652="","",CHOOSE($Z652,"Collection Email","1st Follow-up","2nd Follow-up","Local Office","CBE","Roxanne")&amp;IF($Z652=6," - Final"," - Day "&amp;MAX(0,NETWORKDAYS($AA652,TODAY(),Holidays)-1)&amp;" of "&amp;CHOOSE($Z652,3,3,2,2,3))&amp;" | Total Day "&amp;MAX(0,NETWORKDAYS($N652,TODAY(),Holidays)-1))</f>
        <v/>
      </c>
      <c r="X652" s="18"/>
      <c r="Y652" s="18"/>
      <c r="Z652" s="17">
        <f>IF($N652="","",COUNT($N652:$S652))</f>
        <v/>
      </c>
      <c r="AA652" s="19">
        <f>IF($Z652="","",INT(INDEX($N652:$S652,$Z652)))</f>
        <v/>
      </c>
      <c r="AB652" s="19">
        <f>IF(OR($Z652="",$Z652=6),"",WORKDAY($AA652,CHOOSE($Z652,3,3,2,2,3),Holidays))</f>
        <v/>
      </c>
      <c r="AC652" s="17">
        <f>IF(OR($Z652="",$Z652=6),"",CHOOSE($Z652,"1st Email Follow-up","2nd Email Follow-up","Escalate Local Office","Escalate to CBE","Escalate to Roxanne"))</f>
        <v/>
      </c>
    </row>
    <row r="653" spans="13:29">
      <c r="M653" s="14"/>
      <c r="T653" s="16"/>
      <c r="U653" s="17">
        <f>IF(AND(COUNTA($A653:$L653)=0,$N653=""),"",IF($T653="Paid","PAID",IF($T653="Closed","CLOSED",IF($Z653="","",IF($Z653=6,"ESCALATED TO ROXANNE",IF(TODAY()&gt;$AB653,"OVERDUE",IF($AB653&lt;=WORKDAY(TODAY(),1,Holidays),"DUE TOMORROW",IF($Z653=4,"ESCALATED TO LOCAL OFFICE",IF($Z653=5,"ESCALATED TO CBE",IF($AA653=TODAY(),"EMAIL SENT","MONITORING"))))))))))</f>
        <v/>
      </c>
      <c r="V653" s="17">
        <f>IF($U653="",IF(AND(COUNTA($A653:$L653)&gt;0,$N653=""),"Awaiting Collection Email time stamp.",""),IF(OR($U653="PAID",$U653="CLOSED"),IF($U653="PAID","Account paid. Action completed.","Account closed. No further action required."),CHOOSE($Z653,"Collection Email","1st Email Follow-up","2nd Email Follow-up","Escalation to Local Office","Escalation to CBE","Escalation to Roxanne")&amp;" sent "&amp;TEXT($AA653,"dd-mmm")&amp;". "&amp;IF($Z653=6,"Final escalation completed.",IF($U653="OVERDUE","Next: "&amp;$AC653&amp;" was due "&amp;TEXT($AB653,"dd-mmm")&amp;" - "&amp;(NETWORKDAYS($AB653,TODAY(),Holidays)-1)&amp;" business day(s) late. Send now.",IF($U653="DUE TOMORROW","Next: "&amp;$AC653&amp;IF($AB653&lt;=TODAY()," is due TODAY ("," is due next business day (")&amp;TEXT($AB653,"dd-mmm")&amp;").","Next: "&amp;$AC653&amp;" due "&amp;TEXT($AB653,"dd-mmm")&amp;" ("&amp;(NETWORKDAYS(TODAY(),$AB653,Holidays)-1)&amp;" business day(s) left).")))))</f>
        <v/>
      </c>
      <c r="W653" s="17">
        <f>IF($Z653="","",CHOOSE($Z653,"Collection Email","1st Follow-up","2nd Follow-up","Local Office","CBE","Roxanne")&amp;IF($Z653=6," - Final"," - Day "&amp;MAX(0,NETWORKDAYS($AA653,TODAY(),Holidays)-1)&amp;" of "&amp;CHOOSE($Z653,3,3,2,2,3))&amp;" | Total Day "&amp;MAX(0,NETWORKDAYS($N653,TODAY(),Holidays)-1))</f>
        <v/>
      </c>
      <c r="X653" s="18"/>
      <c r="Y653" s="18"/>
      <c r="Z653" s="17">
        <f>IF($N653="","",COUNT($N653:$S653))</f>
        <v/>
      </c>
      <c r="AA653" s="19">
        <f>IF($Z653="","",INT(INDEX($N653:$S653,$Z653)))</f>
        <v/>
      </c>
      <c r="AB653" s="19">
        <f>IF(OR($Z653="",$Z653=6),"",WORKDAY($AA653,CHOOSE($Z653,3,3,2,2,3),Holidays))</f>
        <v/>
      </c>
      <c r="AC653" s="17">
        <f>IF(OR($Z653="",$Z653=6),"",CHOOSE($Z653,"1st Email Follow-up","2nd Email Follow-up","Escalate Local Office","Escalate to CBE","Escalate to Roxanne"))</f>
        <v/>
      </c>
    </row>
    <row r="654" spans="13:29">
      <c r="M654" s="14"/>
      <c r="T654" s="16"/>
      <c r="U654" s="17">
        <f>IF(AND(COUNTA($A654:$L654)=0,$N654=""),"",IF($T654="Paid","PAID",IF($T654="Closed","CLOSED",IF($Z654="","",IF($Z654=6,"ESCALATED TO ROXANNE",IF(TODAY()&gt;$AB654,"OVERDUE",IF($AB654&lt;=WORKDAY(TODAY(),1,Holidays),"DUE TOMORROW",IF($Z654=4,"ESCALATED TO LOCAL OFFICE",IF($Z654=5,"ESCALATED TO CBE",IF($AA654=TODAY(),"EMAIL SENT","MONITORING"))))))))))</f>
        <v/>
      </c>
      <c r="V654" s="17">
        <f>IF($U654="",IF(AND(COUNTA($A654:$L654)&gt;0,$N654=""),"Awaiting Collection Email time stamp.",""),IF(OR($U654="PAID",$U654="CLOSED"),IF($U654="PAID","Account paid. Action completed.","Account closed. No further action required."),CHOOSE($Z654,"Collection Email","1st Email Follow-up","2nd Email Follow-up","Escalation to Local Office","Escalation to CBE","Escalation to Roxanne")&amp;" sent "&amp;TEXT($AA654,"dd-mmm")&amp;". "&amp;IF($Z654=6,"Final escalation completed.",IF($U654="OVERDUE","Next: "&amp;$AC654&amp;" was due "&amp;TEXT($AB654,"dd-mmm")&amp;" - "&amp;(NETWORKDAYS($AB654,TODAY(),Holidays)-1)&amp;" business day(s) late. Send now.",IF($U654="DUE TOMORROW","Next: "&amp;$AC654&amp;IF($AB654&lt;=TODAY()," is due TODAY ("," is due next business day (")&amp;TEXT($AB654,"dd-mmm")&amp;").","Next: "&amp;$AC654&amp;" due "&amp;TEXT($AB654,"dd-mmm")&amp;" ("&amp;(NETWORKDAYS(TODAY(),$AB654,Holidays)-1)&amp;" business day(s) left).")))))</f>
        <v/>
      </c>
      <c r="W654" s="17">
        <f>IF($Z654="","",CHOOSE($Z654,"Collection Email","1st Follow-up","2nd Follow-up","Local Office","CBE","Roxanne")&amp;IF($Z654=6," - Final"," - Day "&amp;MAX(0,NETWORKDAYS($AA654,TODAY(),Holidays)-1)&amp;" of "&amp;CHOOSE($Z654,3,3,2,2,3))&amp;" | Total Day "&amp;MAX(0,NETWORKDAYS($N654,TODAY(),Holidays)-1))</f>
        <v/>
      </c>
      <c r="X654" s="18"/>
      <c r="Y654" s="18"/>
      <c r="Z654" s="17">
        <f>IF($N654="","",COUNT($N654:$S654))</f>
        <v/>
      </c>
      <c r="AA654" s="19">
        <f>IF($Z654="","",INT(INDEX($N654:$S654,$Z654)))</f>
        <v/>
      </c>
      <c r="AB654" s="19">
        <f>IF(OR($Z654="",$Z654=6),"",WORKDAY($AA654,CHOOSE($Z654,3,3,2,2,3),Holidays))</f>
        <v/>
      </c>
      <c r="AC654" s="17">
        <f>IF(OR($Z654="",$Z654=6),"",CHOOSE($Z654,"1st Email Follow-up","2nd Email Follow-up","Escalate Local Office","Escalate to CBE","Escalate to Roxanne"))</f>
        <v/>
      </c>
    </row>
    <row r="655" spans="13:29">
      <c r="M655" s="14"/>
      <c r="T655" s="16"/>
      <c r="U655" s="17">
        <f>IF(AND(COUNTA($A655:$L655)=0,$N655=""),"",IF($T655="Paid","PAID",IF($T655="Closed","CLOSED",IF($Z655="","",IF($Z655=6,"ESCALATED TO ROXANNE",IF(TODAY()&gt;$AB655,"OVERDUE",IF($AB655&lt;=WORKDAY(TODAY(),1,Holidays),"DUE TOMORROW",IF($Z655=4,"ESCALATED TO LOCAL OFFICE",IF($Z655=5,"ESCALATED TO CBE",IF($AA655=TODAY(),"EMAIL SENT","MONITORING"))))))))))</f>
        <v/>
      </c>
      <c r="V655" s="17">
        <f>IF($U655="",IF(AND(COUNTA($A655:$L655)&gt;0,$N655=""),"Awaiting Collection Email time stamp.",""),IF(OR($U655="PAID",$U655="CLOSED"),IF($U655="PAID","Account paid. Action completed.","Account closed. No further action required."),CHOOSE($Z655,"Collection Email","1st Email Follow-up","2nd Email Follow-up","Escalation to Local Office","Escalation to CBE","Escalation to Roxanne")&amp;" sent "&amp;TEXT($AA655,"dd-mmm")&amp;". "&amp;IF($Z655=6,"Final escalation completed.",IF($U655="OVERDUE","Next: "&amp;$AC655&amp;" was due "&amp;TEXT($AB655,"dd-mmm")&amp;" - "&amp;(NETWORKDAYS($AB655,TODAY(),Holidays)-1)&amp;" business day(s) late. Send now.",IF($U655="DUE TOMORROW","Next: "&amp;$AC655&amp;IF($AB655&lt;=TODAY()," is due TODAY ("," is due next business day (")&amp;TEXT($AB655,"dd-mmm")&amp;").","Next: "&amp;$AC655&amp;" due "&amp;TEXT($AB655,"dd-mmm")&amp;" ("&amp;(NETWORKDAYS(TODAY(),$AB655,Holidays)-1)&amp;" business day(s) left).")))))</f>
        <v/>
      </c>
      <c r="W655" s="17">
        <f>IF($Z655="","",CHOOSE($Z655,"Collection Email","1st Follow-up","2nd Follow-up","Local Office","CBE","Roxanne")&amp;IF($Z655=6," - Final"," - Day "&amp;MAX(0,NETWORKDAYS($AA655,TODAY(),Holidays)-1)&amp;" of "&amp;CHOOSE($Z655,3,3,2,2,3))&amp;" | Total Day "&amp;MAX(0,NETWORKDAYS($N655,TODAY(),Holidays)-1))</f>
        <v/>
      </c>
      <c r="X655" s="18"/>
      <c r="Y655" s="18"/>
      <c r="Z655" s="17">
        <f>IF($N655="","",COUNT($N655:$S655))</f>
        <v/>
      </c>
      <c r="AA655" s="19">
        <f>IF($Z655="","",INT(INDEX($N655:$S655,$Z655)))</f>
        <v/>
      </c>
      <c r="AB655" s="19">
        <f>IF(OR($Z655="",$Z655=6),"",WORKDAY($AA655,CHOOSE($Z655,3,3,2,2,3),Holidays))</f>
        <v/>
      </c>
      <c r="AC655" s="17">
        <f>IF(OR($Z655="",$Z655=6),"",CHOOSE($Z655,"1st Email Follow-up","2nd Email Follow-up","Escalate Local Office","Escalate to CBE","Escalate to Roxanne"))</f>
        <v/>
      </c>
    </row>
    <row r="656" spans="13:29">
      <c r="M656" s="14"/>
      <c r="T656" s="16"/>
      <c r="U656" s="17">
        <f>IF(AND(COUNTA($A656:$L656)=0,$N656=""),"",IF($T656="Paid","PAID",IF($T656="Closed","CLOSED",IF($Z656="","",IF($Z656=6,"ESCALATED TO ROXANNE",IF(TODAY()&gt;$AB656,"OVERDUE",IF($AB656&lt;=WORKDAY(TODAY(),1,Holidays),"DUE TOMORROW",IF($Z656=4,"ESCALATED TO LOCAL OFFICE",IF($Z656=5,"ESCALATED TO CBE",IF($AA656=TODAY(),"EMAIL SENT","MONITORING"))))))))))</f>
        <v/>
      </c>
      <c r="V656" s="17">
        <f>IF($U656="",IF(AND(COUNTA($A656:$L656)&gt;0,$N656=""),"Awaiting Collection Email time stamp.",""),IF(OR($U656="PAID",$U656="CLOSED"),IF($U656="PAID","Account paid. Action completed.","Account closed. No further action required."),CHOOSE($Z656,"Collection Email","1st Email Follow-up","2nd Email Follow-up","Escalation to Local Office","Escalation to CBE","Escalation to Roxanne")&amp;" sent "&amp;TEXT($AA656,"dd-mmm")&amp;". "&amp;IF($Z656=6,"Final escalation completed.",IF($U656="OVERDUE","Next: "&amp;$AC656&amp;" was due "&amp;TEXT($AB656,"dd-mmm")&amp;" - "&amp;(NETWORKDAYS($AB656,TODAY(),Holidays)-1)&amp;" business day(s) late. Send now.",IF($U656="DUE TOMORROW","Next: "&amp;$AC656&amp;IF($AB656&lt;=TODAY()," is due TODAY ("," is due next business day (")&amp;TEXT($AB656,"dd-mmm")&amp;").","Next: "&amp;$AC656&amp;" due "&amp;TEXT($AB656,"dd-mmm")&amp;" ("&amp;(NETWORKDAYS(TODAY(),$AB656,Holidays)-1)&amp;" business day(s) left).")))))</f>
        <v/>
      </c>
      <c r="W656" s="17">
        <f>IF($Z656="","",CHOOSE($Z656,"Collection Email","1st Follow-up","2nd Follow-up","Local Office","CBE","Roxanne")&amp;IF($Z656=6," - Final"," - Day "&amp;MAX(0,NETWORKDAYS($AA656,TODAY(),Holidays)-1)&amp;" of "&amp;CHOOSE($Z656,3,3,2,2,3))&amp;" | Total Day "&amp;MAX(0,NETWORKDAYS($N656,TODAY(),Holidays)-1))</f>
        <v/>
      </c>
      <c r="X656" s="18"/>
      <c r="Y656" s="18"/>
      <c r="Z656" s="17">
        <f>IF($N656="","",COUNT($N656:$S656))</f>
        <v/>
      </c>
      <c r="AA656" s="19">
        <f>IF($Z656="","",INT(INDEX($N656:$S656,$Z656)))</f>
        <v/>
      </c>
      <c r="AB656" s="19">
        <f>IF(OR($Z656="",$Z656=6),"",WORKDAY($AA656,CHOOSE($Z656,3,3,2,2,3),Holidays))</f>
        <v/>
      </c>
      <c r="AC656" s="17">
        <f>IF(OR($Z656="",$Z656=6),"",CHOOSE($Z656,"1st Email Follow-up","2nd Email Follow-up","Escalate Local Office","Escalate to CBE","Escalate to Roxanne"))</f>
        <v/>
      </c>
    </row>
    <row r="657" spans="13:29">
      <c r="M657" s="14"/>
      <c r="T657" s="16"/>
      <c r="U657" s="17">
        <f>IF(AND(COUNTA($A657:$L657)=0,$N657=""),"",IF($T657="Paid","PAID",IF($T657="Closed","CLOSED",IF($Z657="","",IF($Z657=6,"ESCALATED TO ROXANNE",IF(TODAY()&gt;$AB657,"OVERDUE",IF($AB657&lt;=WORKDAY(TODAY(),1,Holidays),"DUE TOMORROW",IF($Z657=4,"ESCALATED TO LOCAL OFFICE",IF($Z657=5,"ESCALATED TO CBE",IF($AA657=TODAY(),"EMAIL SENT","MONITORING"))))))))))</f>
        <v/>
      </c>
      <c r="V657" s="17">
        <f>IF($U657="",IF(AND(COUNTA($A657:$L657)&gt;0,$N657=""),"Awaiting Collection Email time stamp.",""),IF(OR($U657="PAID",$U657="CLOSED"),IF($U657="PAID","Account paid. Action completed.","Account closed. No further action required."),CHOOSE($Z657,"Collection Email","1st Email Follow-up","2nd Email Follow-up","Escalation to Local Office","Escalation to CBE","Escalation to Roxanne")&amp;" sent "&amp;TEXT($AA657,"dd-mmm")&amp;". "&amp;IF($Z657=6,"Final escalation completed.",IF($U657="OVERDUE","Next: "&amp;$AC657&amp;" was due "&amp;TEXT($AB657,"dd-mmm")&amp;" - "&amp;(NETWORKDAYS($AB657,TODAY(),Holidays)-1)&amp;" business day(s) late. Send now.",IF($U657="DUE TOMORROW","Next: "&amp;$AC657&amp;IF($AB657&lt;=TODAY()," is due TODAY ("," is due next business day (")&amp;TEXT($AB657,"dd-mmm")&amp;").","Next: "&amp;$AC657&amp;" due "&amp;TEXT($AB657,"dd-mmm")&amp;" ("&amp;(NETWORKDAYS(TODAY(),$AB657,Holidays)-1)&amp;" business day(s) left).")))))</f>
        <v/>
      </c>
      <c r="W657" s="17">
        <f>IF($Z657="","",CHOOSE($Z657,"Collection Email","1st Follow-up","2nd Follow-up","Local Office","CBE","Roxanne")&amp;IF($Z657=6," - Final"," - Day "&amp;MAX(0,NETWORKDAYS($AA657,TODAY(),Holidays)-1)&amp;" of "&amp;CHOOSE($Z657,3,3,2,2,3))&amp;" | Total Day "&amp;MAX(0,NETWORKDAYS($N657,TODAY(),Holidays)-1))</f>
        <v/>
      </c>
      <c r="X657" s="18"/>
      <c r="Y657" s="18"/>
      <c r="Z657" s="17">
        <f>IF($N657="","",COUNT($N657:$S657))</f>
        <v/>
      </c>
      <c r="AA657" s="19">
        <f>IF($Z657="","",INT(INDEX($N657:$S657,$Z657)))</f>
        <v/>
      </c>
      <c r="AB657" s="19">
        <f>IF(OR($Z657="",$Z657=6),"",WORKDAY($AA657,CHOOSE($Z657,3,3,2,2,3),Holidays))</f>
        <v/>
      </c>
      <c r="AC657" s="17">
        <f>IF(OR($Z657="",$Z657=6),"",CHOOSE($Z657,"1st Email Follow-up","2nd Email Follow-up","Escalate Local Office","Escalate to CBE","Escalate to Roxanne"))</f>
        <v/>
      </c>
    </row>
    <row r="658" spans="13:29">
      <c r="M658" s="14"/>
      <c r="T658" s="16"/>
      <c r="U658" s="17">
        <f>IF(AND(COUNTA($A658:$L658)=0,$N658=""),"",IF($T658="Paid","PAID",IF($T658="Closed","CLOSED",IF($Z658="","",IF($Z658=6,"ESCALATED TO ROXANNE",IF(TODAY()&gt;$AB658,"OVERDUE",IF($AB658&lt;=WORKDAY(TODAY(),1,Holidays),"DUE TOMORROW",IF($Z658=4,"ESCALATED TO LOCAL OFFICE",IF($Z658=5,"ESCALATED TO CBE",IF($AA658=TODAY(),"EMAIL SENT","MONITORING"))))))))))</f>
        <v/>
      </c>
      <c r="V658" s="17">
        <f>IF($U658="",IF(AND(COUNTA($A658:$L658)&gt;0,$N658=""),"Awaiting Collection Email time stamp.",""),IF(OR($U658="PAID",$U658="CLOSED"),IF($U658="PAID","Account paid. Action completed.","Account closed. No further action required."),CHOOSE($Z658,"Collection Email","1st Email Follow-up","2nd Email Follow-up","Escalation to Local Office","Escalation to CBE","Escalation to Roxanne")&amp;" sent "&amp;TEXT($AA658,"dd-mmm")&amp;". "&amp;IF($Z658=6,"Final escalation completed.",IF($U658="OVERDUE","Next: "&amp;$AC658&amp;" was due "&amp;TEXT($AB658,"dd-mmm")&amp;" - "&amp;(NETWORKDAYS($AB658,TODAY(),Holidays)-1)&amp;" business day(s) late. Send now.",IF($U658="DUE TOMORROW","Next: "&amp;$AC658&amp;IF($AB658&lt;=TODAY()," is due TODAY ("," is due next business day (")&amp;TEXT($AB658,"dd-mmm")&amp;").","Next: "&amp;$AC658&amp;" due "&amp;TEXT($AB658,"dd-mmm")&amp;" ("&amp;(NETWORKDAYS(TODAY(),$AB658,Holidays)-1)&amp;" business day(s) left).")))))</f>
        <v/>
      </c>
      <c r="W658" s="17">
        <f>IF($Z658="","",CHOOSE($Z658,"Collection Email","1st Follow-up","2nd Follow-up","Local Office","CBE","Roxanne")&amp;IF($Z658=6," - Final"," - Day "&amp;MAX(0,NETWORKDAYS($AA658,TODAY(),Holidays)-1)&amp;" of "&amp;CHOOSE($Z658,3,3,2,2,3))&amp;" | Total Day "&amp;MAX(0,NETWORKDAYS($N658,TODAY(),Holidays)-1))</f>
        <v/>
      </c>
      <c r="X658" s="18"/>
      <c r="Y658" s="18"/>
      <c r="Z658" s="17">
        <f>IF($N658="","",COUNT($N658:$S658))</f>
        <v/>
      </c>
      <c r="AA658" s="19">
        <f>IF($Z658="","",INT(INDEX($N658:$S658,$Z658)))</f>
        <v/>
      </c>
      <c r="AB658" s="19">
        <f>IF(OR($Z658="",$Z658=6),"",WORKDAY($AA658,CHOOSE($Z658,3,3,2,2,3),Holidays))</f>
        <v/>
      </c>
      <c r="AC658" s="17">
        <f>IF(OR($Z658="",$Z658=6),"",CHOOSE($Z658,"1st Email Follow-up","2nd Email Follow-up","Escalate Local Office","Escalate to CBE","Escalate to Roxanne"))</f>
        <v/>
      </c>
    </row>
    <row r="659" spans="13:29">
      <c r="M659" s="14"/>
      <c r="T659" s="16"/>
      <c r="U659" s="17">
        <f>IF(AND(COUNTA($A659:$L659)=0,$N659=""),"",IF($T659="Paid","PAID",IF($T659="Closed","CLOSED",IF($Z659="","",IF($Z659=6,"ESCALATED TO ROXANNE",IF(TODAY()&gt;$AB659,"OVERDUE",IF($AB659&lt;=WORKDAY(TODAY(),1,Holidays),"DUE TOMORROW",IF($Z659=4,"ESCALATED TO LOCAL OFFICE",IF($Z659=5,"ESCALATED TO CBE",IF($AA659=TODAY(),"EMAIL SENT","MONITORING"))))))))))</f>
        <v/>
      </c>
      <c r="V659" s="17">
        <f>IF($U659="",IF(AND(COUNTA($A659:$L659)&gt;0,$N659=""),"Awaiting Collection Email time stamp.",""),IF(OR($U659="PAID",$U659="CLOSED"),IF($U659="PAID","Account paid. Action completed.","Account closed. No further action required."),CHOOSE($Z659,"Collection Email","1st Email Follow-up","2nd Email Follow-up","Escalation to Local Office","Escalation to CBE","Escalation to Roxanne")&amp;" sent "&amp;TEXT($AA659,"dd-mmm")&amp;". "&amp;IF($Z659=6,"Final escalation completed.",IF($U659="OVERDUE","Next: "&amp;$AC659&amp;" was due "&amp;TEXT($AB659,"dd-mmm")&amp;" - "&amp;(NETWORKDAYS($AB659,TODAY(),Holidays)-1)&amp;" business day(s) late. Send now.",IF($U659="DUE TOMORROW","Next: "&amp;$AC659&amp;IF($AB659&lt;=TODAY()," is due TODAY ("," is due next business day (")&amp;TEXT($AB659,"dd-mmm")&amp;").","Next: "&amp;$AC659&amp;" due "&amp;TEXT($AB659,"dd-mmm")&amp;" ("&amp;(NETWORKDAYS(TODAY(),$AB659,Holidays)-1)&amp;" business day(s) left).")))))</f>
        <v/>
      </c>
      <c r="W659" s="17">
        <f>IF($Z659="","",CHOOSE($Z659,"Collection Email","1st Follow-up","2nd Follow-up","Local Office","CBE","Roxanne")&amp;IF($Z659=6," - Final"," - Day "&amp;MAX(0,NETWORKDAYS($AA659,TODAY(),Holidays)-1)&amp;" of "&amp;CHOOSE($Z659,3,3,2,2,3))&amp;" | Total Day "&amp;MAX(0,NETWORKDAYS($N659,TODAY(),Holidays)-1))</f>
        <v/>
      </c>
      <c r="X659" s="18"/>
      <c r="Y659" s="18"/>
      <c r="Z659" s="17">
        <f>IF($N659="","",COUNT($N659:$S659))</f>
        <v/>
      </c>
      <c r="AA659" s="19">
        <f>IF($Z659="","",INT(INDEX($N659:$S659,$Z659)))</f>
        <v/>
      </c>
      <c r="AB659" s="19">
        <f>IF(OR($Z659="",$Z659=6),"",WORKDAY($AA659,CHOOSE($Z659,3,3,2,2,3),Holidays))</f>
        <v/>
      </c>
      <c r="AC659" s="17">
        <f>IF(OR($Z659="",$Z659=6),"",CHOOSE($Z659,"1st Email Follow-up","2nd Email Follow-up","Escalate Local Office","Escalate to CBE","Escalate to Roxanne"))</f>
        <v/>
      </c>
    </row>
    <row r="660" spans="13:29">
      <c r="M660" s="14"/>
      <c r="T660" s="16"/>
      <c r="U660" s="17">
        <f>IF(AND(COUNTA($A660:$L660)=0,$N660=""),"",IF($T660="Paid","PAID",IF($T660="Closed","CLOSED",IF($Z660="","",IF($Z660=6,"ESCALATED TO ROXANNE",IF(TODAY()&gt;$AB660,"OVERDUE",IF($AB660&lt;=WORKDAY(TODAY(),1,Holidays),"DUE TOMORROW",IF($Z660=4,"ESCALATED TO LOCAL OFFICE",IF($Z660=5,"ESCALATED TO CBE",IF($AA660=TODAY(),"EMAIL SENT","MONITORING"))))))))))</f>
        <v/>
      </c>
      <c r="V660" s="17">
        <f>IF($U660="",IF(AND(COUNTA($A660:$L660)&gt;0,$N660=""),"Awaiting Collection Email time stamp.",""),IF(OR($U660="PAID",$U660="CLOSED"),IF($U660="PAID","Account paid. Action completed.","Account closed. No further action required."),CHOOSE($Z660,"Collection Email","1st Email Follow-up","2nd Email Follow-up","Escalation to Local Office","Escalation to CBE","Escalation to Roxanne")&amp;" sent "&amp;TEXT($AA660,"dd-mmm")&amp;". "&amp;IF($Z660=6,"Final escalation completed.",IF($U660="OVERDUE","Next: "&amp;$AC660&amp;" was due "&amp;TEXT($AB660,"dd-mmm")&amp;" - "&amp;(NETWORKDAYS($AB660,TODAY(),Holidays)-1)&amp;" business day(s) late. Send now.",IF($U660="DUE TOMORROW","Next: "&amp;$AC660&amp;IF($AB660&lt;=TODAY()," is due TODAY ("," is due next business day (")&amp;TEXT($AB660,"dd-mmm")&amp;").","Next: "&amp;$AC660&amp;" due "&amp;TEXT($AB660,"dd-mmm")&amp;" ("&amp;(NETWORKDAYS(TODAY(),$AB660,Holidays)-1)&amp;" business day(s) left).")))))</f>
        <v/>
      </c>
      <c r="W660" s="17">
        <f>IF($Z660="","",CHOOSE($Z660,"Collection Email","1st Follow-up","2nd Follow-up","Local Office","CBE","Roxanne")&amp;IF($Z660=6," - Final"," - Day "&amp;MAX(0,NETWORKDAYS($AA660,TODAY(),Holidays)-1)&amp;" of "&amp;CHOOSE($Z660,3,3,2,2,3))&amp;" | Total Day "&amp;MAX(0,NETWORKDAYS($N660,TODAY(),Holidays)-1))</f>
        <v/>
      </c>
      <c r="X660" s="18"/>
      <c r="Y660" s="18"/>
      <c r="Z660" s="17">
        <f>IF($N660="","",COUNT($N660:$S660))</f>
        <v/>
      </c>
      <c r="AA660" s="19">
        <f>IF($Z660="","",INT(INDEX($N660:$S660,$Z660)))</f>
        <v/>
      </c>
      <c r="AB660" s="19">
        <f>IF(OR($Z660="",$Z660=6),"",WORKDAY($AA660,CHOOSE($Z660,3,3,2,2,3),Holidays))</f>
        <v/>
      </c>
      <c r="AC660" s="17">
        <f>IF(OR($Z660="",$Z660=6),"",CHOOSE($Z660,"1st Email Follow-up","2nd Email Follow-up","Escalate Local Office","Escalate to CBE","Escalate to Roxanne"))</f>
        <v/>
      </c>
    </row>
    <row r="661" spans="13:29">
      <c r="M661" s="14"/>
      <c r="T661" s="16"/>
      <c r="U661" s="17">
        <f>IF(AND(COUNTA($A661:$L661)=0,$N661=""),"",IF($T661="Paid","PAID",IF($T661="Closed","CLOSED",IF($Z661="","",IF($Z661=6,"ESCALATED TO ROXANNE",IF(TODAY()&gt;$AB661,"OVERDUE",IF($AB661&lt;=WORKDAY(TODAY(),1,Holidays),"DUE TOMORROW",IF($Z661=4,"ESCALATED TO LOCAL OFFICE",IF($Z661=5,"ESCALATED TO CBE",IF($AA661=TODAY(),"EMAIL SENT","MONITORING"))))))))))</f>
        <v/>
      </c>
      <c r="V661" s="17">
        <f>IF($U661="",IF(AND(COUNTA($A661:$L661)&gt;0,$N661=""),"Awaiting Collection Email time stamp.",""),IF(OR($U661="PAID",$U661="CLOSED"),IF($U661="PAID","Account paid. Action completed.","Account closed. No further action required."),CHOOSE($Z661,"Collection Email","1st Email Follow-up","2nd Email Follow-up","Escalation to Local Office","Escalation to CBE","Escalation to Roxanne")&amp;" sent "&amp;TEXT($AA661,"dd-mmm")&amp;". "&amp;IF($Z661=6,"Final escalation completed.",IF($U661="OVERDUE","Next: "&amp;$AC661&amp;" was due "&amp;TEXT($AB661,"dd-mmm")&amp;" - "&amp;(NETWORKDAYS($AB661,TODAY(),Holidays)-1)&amp;" business day(s) late. Send now.",IF($U661="DUE TOMORROW","Next: "&amp;$AC661&amp;IF($AB661&lt;=TODAY()," is due TODAY ("," is due next business day (")&amp;TEXT($AB661,"dd-mmm")&amp;").","Next: "&amp;$AC661&amp;" due "&amp;TEXT($AB661,"dd-mmm")&amp;" ("&amp;(NETWORKDAYS(TODAY(),$AB661,Holidays)-1)&amp;" business day(s) left).")))))</f>
        <v/>
      </c>
      <c r="W661" s="17">
        <f>IF($Z661="","",CHOOSE($Z661,"Collection Email","1st Follow-up","2nd Follow-up","Local Office","CBE","Roxanne")&amp;IF($Z661=6," - Final"," - Day "&amp;MAX(0,NETWORKDAYS($AA661,TODAY(),Holidays)-1)&amp;" of "&amp;CHOOSE($Z661,3,3,2,2,3))&amp;" | Total Day "&amp;MAX(0,NETWORKDAYS($N661,TODAY(),Holidays)-1))</f>
        <v/>
      </c>
      <c r="X661" s="18"/>
      <c r="Y661" s="18"/>
      <c r="Z661" s="17">
        <f>IF($N661="","",COUNT($N661:$S661))</f>
        <v/>
      </c>
      <c r="AA661" s="19">
        <f>IF($Z661="","",INT(INDEX($N661:$S661,$Z661)))</f>
        <v/>
      </c>
      <c r="AB661" s="19">
        <f>IF(OR($Z661="",$Z661=6),"",WORKDAY($AA661,CHOOSE($Z661,3,3,2,2,3),Holidays))</f>
        <v/>
      </c>
      <c r="AC661" s="17">
        <f>IF(OR($Z661="",$Z661=6),"",CHOOSE($Z661,"1st Email Follow-up","2nd Email Follow-up","Escalate Local Office","Escalate to CBE","Escalate to Roxanne"))</f>
        <v/>
      </c>
    </row>
    <row r="662" spans="13:29">
      <c r="M662" s="14"/>
      <c r="T662" s="16"/>
      <c r="U662" s="17">
        <f>IF(AND(COUNTA($A662:$L662)=0,$N662=""),"",IF($T662="Paid","PAID",IF($T662="Closed","CLOSED",IF($Z662="","",IF($Z662=6,"ESCALATED TO ROXANNE",IF(TODAY()&gt;$AB662,"OVERDUE",IF($AB662&lt;=WORKDAY(TODAY(),1,Holidays),"DUE TOMORROW",IF($Z662=4,"ESCALATED TO LOCAL OFFICE",IF($Z662=5,"ESCALATED TO CBE",IF($AA662=TODAY(),"EMAIL SENT","MONITORING"))))))))))</f>
        <v/>
      </c>
      <c r="V662" s="17">
        <f>IF($U662="",IF(AND(COUNTA($A662:$L662)&gt;0,$N662=""),"Awaiting Collection Email time stamp.",""),IF(OR($U662="PAID",$U662="CLOSED"),IF($U662="PAID","Account paid. Action completed.","Account closed. No further action required."),CHOOSE($Z662,"Collection Email","1st Email Follow-up","2nd Email Follow-up","Escalation to Local Office","Escalation to CBE","Escalation to Roxanne")&amp;" sent "&amp;TEXT($AA662,"dd-mmm")&amp;". "&amp;IF($Z662=6,"Final escalation completed.",IF($U662="OVERDUE","Next: "&amp;$AC662&amp;" was due "&amp;TEXT($AB662,"dd-mmm")&amp;" - "&amp;(NETWORKDAYS($AB662,TODAY(),Holidays)-1)&amp;" business day(s) late. Send now.",IF($U662="DUE TOMORROW","Next: "&amp;$AC662&amp;IF($AB662&lt;=TODAY()," is due TODAY ("," is due next business day (")&amp;TEXT($AB662,"dd-mmm")&amp;").","Next: "&amp;$AC662&amp;" due "&amp;TEXT($AB662,"dd-mmm")&amp;" ("&amp;(NETWORKDAYS(TODAY(),$AB662,Holidays)-1)&amp;" business day(s) left).")))))</f>
        <v/>
      </c>
      <c r="W662" s="17">
        <f>IF($Z662="","",CHOOSE($Z662,"Collection Email","1st Follow-up","2nd Follow-up","Local Office","CBE","Roxanne")&amp;IF($Z662=6," - Final"," - Day "&amp;MAX(0,NETWORKDAYS($AA662,TODAY(),Holidays)-1)&amp;" of "&amp;CHOOSE($Z662,3,3,2,2,3))&amp;" | Total Day "&amp;MAX(0,NETWORKDAYS($N662,TODAY(),Holidays)-1))</f>
        <v/>
      </c>
      <c r="X662" s="18"/>
      <c r="Y662" s="18"/>
      <c r="Z662" s="17">
        <f>IF($N662="","",COUNT($N662:$S662))</f>
        <v/>
      </c>
      <c r="AA662" s="19">
        <f>IF($Z662="","",INT(INDEX($N662:$S662,$Z662)))</f>
        <v/>
      </c>
      <c r="AB662" s="19">
        <f>IF(OR($Z662="",$Z662=6),"",WORKDAY($AA662,CHOOSE($Z662,3,3,2,2,3),Holidays))</f>
        <v/>
      </c>
      <c r="AC662" s="17">
        <f>IF(OR($Z662="",$Z662=6),"",CHOOSE($Z662,"1st Email Follow-up","2nd Email Follow-up","Escalate Local Office","Escalate to CBE","Escalate to Roxanne"))</f>
        <v/>
      </c>
    </row>
    <row r="663" spans="13:29">
      <c r="M663" s="14"/>
      <c r="T663" s="16"/>
      <c r="U663" s="17">
        <f>IF(AND(COUNTA($A663:$L663)=0,$N663=""),"",IF($T663="Paid","PAID",IF($T663="Closed","CLOSED",IF($Z663="","",IF($Z663=6,"ESCALATED TO ROXANNE",IF(TODAY()&gt;$AB663,"OVERDUE",IF($AB663&lt;=WORKDAY(TODAY(),1,Holidays),"DUE TOMORROW",IF($Z663=4,"ESCALATED TO LOCAL OFFICE",IF($Z663=5,"ESCALATED TO CBE",IF($AA663=TODAY(),"EMAIL SENT","MONITORING"))))))))))</f>
        <v/>
      </c>
      <c r="V663" s="17">
        <f>IF($U663="",IF(AND(COUNTA($A663:$L663)&gt;0,$N663=""),"Awaiting Collection Email time stamp.",""),IF(OR($U663="PAID",$U663="CLOSED"),IF($U663="PAID","Account paid. Action completed.","Account closed. No further action required."),CHOOSE($Z663,"Collection Email","1st Email Follow-up","2nd Email Follow-up","Escalation to Local Office","Escalation to CBE","Escalation to Roxanne")&amp;" sent "&amp;TEXT($AA663,"dd-mmm")&amp;". "&amp;IF($Z663=6,"Final escalation completed.",IF($U663="OVERDUE","Next: "&amp;$AC663&amp;" was due "&amp;TEXT($AB663,"dd-mmm")&amp;" - "&amp;(NETWORKDAYS($AB663,TODAY(),Holidays)-1)&amp;" business day(s) late. Send now.",IF($U663="DUE TOMORROW","Next: "&amp;$AC663&amp;IF($AB663&lt;=TODAY()," is due TODAY ("," is due next business day (")&amp;TEXT($AB663,"dd-mmm")&amp;").","Next: "&amp;$AC663&amp;" due "&amp;TEXT($AB663,"dd-mmm")&amp;" ("&amp;(NETWORKDAYS(TODAY(),$AB663,Holidays)-1)&amp;" business day(s) left).")))))</f>
        <v/>
      </c>
      <c r="W663" s="17">
        <f>IF($Z663="","",CHOOSE($Z663,"Collection Email","1st Follow-up","2nd Follow-up","Local Office","CBE","Roxanne")&amp;IF($Z663=6," - Final"," - Day "&amp;MAX(0,NETWORKDAYS($AA663,TODAY(),Holidays)-1)&amp;" of "&amp;CHOOSE($Z663,3,3,2,2,3))&amp;" | Total Day "&amp;MAX(0,NETWORKDAYS($N663,TODAY(),Holidays)-1))</f>
        <v/>
      </c>
      <c r="X663" s="18"/>
      <c r="Y663" s="18"/>
      <c r="Z663" s="17">
        <f>IF($N663="","",COUNT($N663:$S663))</f>
        <v/>
      </c>
      <c r="AA663" s="19">
        <f>IF($Z663="","",INT(INDEX($N663:$S663,$Z663)))</f>
        <v/>
      </c>
      <c r="AB663" s="19">
        <f>IF(OR($Z663="",$Z663=6),"",WORKDAY($AA663,CHOOSE($Z663,3,3,2,2,3),Holidays))</f>
        <v/>
      </c>
      <c r="AC663" s="17">
        <f>IF(OR($Z663="",$Z663=6),"",CHOOSE($Z663,"1st Email Follow-up","2nd Email Follow-up","Escalate Local Office","Escalate to CBE","Escalate to Roxanne"))</f>
        <v/>
      </c>
    </row>
    <row r="664" spans="13:29">
      <c r="M664" s="14"/>
      <c r="T664" s="16"/>
      <c r="U664" s="17">
        <f>IF(AND(COUNTA($A664:$L664)=0,$N664=""),"",IF($T664="Paid","PAID",IF($T664="Closed","CLOSED",IF($Z664="","",IF($Z664=6,"ESCALATED TO ROXANNE",IF(TODAY()&gt;$AB664,"OVERDUE",IF($AB664&lt;=WORKDAY(TODAY(),1,Holidays),"DUE TOMORROW",IF($Z664=4,"ESCALATED TO LOCAL OFFICE",IF($Z664=5,"ESCALATED TO CBE",IF($AA664=TODAY(),"EMAIL SENT","MONITORING"))))))))))</f>
        <v/>
      </c>
      <c r="V664" s="17">
        <f>IF($U664="",IF(AND(COUNTA($A664:$L664)&gt;0,$N664=""),"Awaiting Collection Email time stamp.",""),IF(OR($U664="PAID",$U664="CLOSED"),IF($U664="PAID","Account paid. Action completed.","Account closed. No further action required."),CHOOSE($Z664,"Collection Email","1st Email Follow-up","2nd Email Follow-up","Escalation to Local Office","Escalation to CBE","Escalation to Roxanne")&amp;" sent "&amp;TEXT($AA664,"dd-mmm")&amp;". "&amp;IF($Z664=6,"Final escalation completed.",IF($U664="OVERDUE","Next: "&amp;$AC664&amp;" was due "&amp;TEXT($AB664,"dd-mmm")&amp;" - "&amp;(NETWORKDAYS($AB664,TODAY(),Holidays)-1)&amp;" business day(s) late. Send now.",IF($U664="DUE TOMORROW","Next: "&amp;$AC664&amp;IF($AB664&lt;=TODAY()," is due TODAY ("," is due next business day (")&amp;TEXT($AB664,"dd-mmm")&amp;").","Next: "&amp;$AC664&amp;" due "&amp;TEXT($AB664,"dd-mmm")&amp;" ("&amp;(NETWORKDAYS(TODAY(),$AB664,Holidays)-1)&amp;" business day(s) left).")))))</f>
        <v/>
      </c>
      <c r="W664" s="17">
        <f>IF($Z664="","",CHOOSE($Z664,"Collection Email","1st Follow-up","2nd Follow-up","Local Office","CBE","Roxanne")&amp;IF($Z664=6," - Final"," - Day "&amp;MAX(0,NETWORKDAYS($AA664,TODAY(),Holidays)-1)&amp;" of "&amp;CHOOSE($Z664,3,3,2,2,3))&amp;" | Total Day "&amp;MAX(0,NETWORKDAYS($N664,TODAY(),Holidays)-1))</f>
        <v/>
      </c>
      <c r="X664" s="18"/>
      <c r="Y664" s="18"/>
      <c r="Z664" s="17">
        <f>IF($N664="","",COUNT($N664:$S664))</f>
        <v/>
      </c>
      <c r="AA664" s="19">
        <f>IF($Z664="","",INT(INDEX($N664:$S664,$Z664)))</f>
        <v/>
      </c>
      <c r="AB664" s="19">
        <f>IF(OR($Z664="",$Z664=6),"",WORKDAY($AA664,CHOOSE($Z664,3,3,2,2,3),Holidays))</f>
        <v/>
      </c>
      <c r="AC664" s="17">
        <f>IF(OR($Z664="",$Z664=6),"",CHOOSE($Z664,"1st Email Follow-up","2nd Email Follow-up","Escalate Local Office","Escalate to CBE","Escalate to Roxanne"))</f>
        <v/>
      </c>
    </row>
    <row r="665" spans="13:29">
      <c r="M665" s="14"/>
      <c r="T665" s="16"/>
      <c r="U665" s="17">
        <f>IF(AND(COUNTA($A665:$L665)=0,$N665=""),"",IF($T665="Paid","PAID",IF($T665="Closed","CLOSED",IF($Z665="","",IF($Z665=6,"ESCALATED TO ROXANNE",IF(TODAY()&gt;$AB665,"OVERDUE",IF($AB665&lt;=WORKDAY(TODAY(),1,Holidays),"DUE TOMORROW",IF($Z665=4,"ESCALATED TO LOCAL OFFICE",IF($Z665=5,"ESCALATED TO CBE",IF($AA665=TODAY(),"EMAIL SENT","MONITORING"))))))))))</f>
        <v/>
      </c>
      <c r="V665" s="17">
        <f>IF($U665="",IF(AND(COUNTA($A665:$L665)&gt;0,$N665=""),"Awaiting Collection Email time stamp.",""),IF(OR($U665="PAID",$U665="CLOSED"),IF($U665="PAID","Account paid. Action completed.","Account closed. No further action required."),CHOOSE($Z665,"Collection Email","1st Email Follow-up","2nd Email Follow-up","Escalation to Local Office","Escalation to CBE","Escalation to Roxanne")&amp;" sent "&amp;TEXT($AA665,"dd-mmm")&amp;". "&amp;IF($Z665=6,"Final escalation completed.",IF($U665="OVERDUE","Next: "&amp;$AC665&amp;" was due "&amp;TEXT($AB665,"dd-mmm")&amp;" - "&amp;(NETWORKDAYS($AB665,TODAY(),Holidays)-1)&amp;" business day(s) late. Send now.",IF($U665="DUE TOMORROW","Next: "&amp;$AC665&amp;IF($AB665&lt;=TODAY()," is due TODAY ("," is due next business day (")&amp;TEXT($AB665,"dd-mmm")&amp;").","Next: "&amp;$AC665&amp;" due "&amp;TEXT($AB665,"dd-mmm")&amp;" ("&amp;(NETWORKDAYS(TODAY(),$AB665,Holidays)-1)&amp;" business day(s) left).")))))</f>
        <v/>
      </c>
      <c r="W665" s="17">
        <f>IF($Z665="","",CHOOSE($Z665,"Collection Email","1st Follow-up","2nd Follow-up","Local Office","CBE","Roxanne")&amp;IF($Z665=6," - Final"," - Day "&amp;MAX(0,NETWORKDAYS($AA665,TODAY(),Holidays)-1)&amp;" of "&amp;CHOOSE($Z665,3,3,2,2,3))&amp;" | Total Day "&amp;MAX(0,NETWORKDAYS($N665,TODAY(),Holidays)-1))</f>
        <v/>
      </c>
      <c r="X665" s="18"/>
      <c r="Y665" s="18"/>
      <c r="Z665" s="17">
        <f>IF($N665="","",COUNT($N665:$S665))</f>
        <v/>
      </c>
      <c r="AA665" s="19">
        <f>IF($Z665="","",INT(INDEX($N665:$S665,$Z665)))</f>
        <v/>
      </c>
      <c r="AB665" s="19">
        <f>IF(OR($Z665="",$Z665=6),"",WORKDAY($AA665,CHOOSE($Z665,3,3,2,2,3),Holidays))</f>
        <v/>
      </c>
      <c r="AC665" s="17">
        <f>IF(OR($Z665="",$Z665=6),"",CHOOSE($Z665,"1st Email Follow-up","2nd Email Follow-up","Escalate Local Office","Escalate to CBE","Escalate to Roxanne"))</f>
        <v/>
      </c>
    </row>
    <row r="666" spans="13:29">
      <c r="M666" s="14"/>
      <c r="T666" s="16"/>
      <c r="U666" s="17">
        <f>IF(AND(COUNTA($A666:$L666)=0,$N666=""),"",IF($T666="Paid","PAID",IF($T666="Closed","CLOSED",IF($Z666="","",IF($Z666=6,"ESCALATED TO ROXANNE",IF(TODAY()&gt;$AB666,"OVERDUE",IF($AB666&lt;=WORKDAY(TODAY(),1,Holidays),"DUE TOMORROW",IF($Z666=4,"ESCALATED TO LOCAL OFFICE",IF($Z666=5,"ESCALATED TO CBE",IF($AA666=TODAY(),"EMAIL SENT","MONITORING"))))))))))</f>
        <v/>
      </c>
      <c r="V666" s="17">
        <f>IF($U666="",IF(AND(COUNTA($A666:$L666)&gt;0,$N666=""),"Awaiting Collection Email time stamp.",""),IF(OR($U666="PAID",$U666="CLOSED"),IF($U666="PAID","Account paid. Action completed.","Account closed. No further action required."),CHOOSE($Z666,"Collection Email","1st Email Follow-up","2nd Email Follow-up","Escalation to Local Office","Escalation to CBE","Escalation to Roxanne")&amp;" sent "&amp;TEXT($AA666,"dd-mmm")&amp;". "&amp;IF($Z666=6,"Final escalation completed.",IF($U666="OVERDUE","Next: "&amp;$AC666&amp;" was due "&amp;TEXT($AB666,"dd-mmm")&amp;" - "&amp;(NETWORKDAYS($AB666,TODAY(),Holidays)-1)&amp;" business day(s) late. Send now.",IF($U666="DUE TOMORROW","Next: "&amp;$AC666&amp;IF($AB666&lt;=TODAY()," is due TODAY ("," is due next business day (")&amp;TEXT($AB666,"dd-mmm")&amp;").","Next: "&amp;$AC666&amp;" due "&amp;TEXT($AB666,"dd-mmm")&amp;" ("&amp;(NETWORKDAYS(TODAY(),$AB666,Holidays)-1)&amp;" business day(s) left).")))))</f>
        <v/>
      </c>
      <c r="W666" s="17">
        <f>IF($Z666="","",CHOOSE($Z666,"Collection Email","1st Follow-up","2nd Follow-up","Local Office","CBE","Roxanne")&amp;IF($Z666=6," - Final"," - Day "&amp;MAX(0,NETWORKDAYS($AA666,TODAY(),Holidays)-1)&amp;" of "&amp;CHOOSE($Z666,3,3,2,2,3))&amp;" | Total Day "&amp;MAX(0,NETWORKDAYS($N666,TODAY(),Holidays)-1))</f>
        <v/>
      </c>
      <c r="X666" s="18"/>
      <c r="Y666" s="18"/>
      <c r="Z666" s="17">
        <f>IF($N666="","",COUNT($N666:$S666))</f>
        <v/>
      </c>
      <c r="AA666" s="19">
        <f>IF($Z666="","",INT(INDEX($N666:$S666,$Z666)))</f>
        <v/>
      </c>
      <c r="AB666" s="19">
        <f>IF(OR($Z666="",$Z666=6),"",WORKDAY($AA666,CHOOSE($Z666,3,3,2,2,3),Holidays))</f>
        <v/>
      </c>
      <c r="AC666" s="17">
        <f>IF(OR($Z666="",$Z666=6),"",CHOOSE($Z666,"1st Email Follow-up","2nd Email Follow-up","Escalate Local Office","Escalate to CBE","Escalate to Roxanne"))</f>
        <v/>
      </c>
    </row>
    <row r="667" spans="13:29">
      <c r="M667" s="14"/>
      <c r="T667" s="16"/>
      <c r="U667" s="17">
        <f>IF(AND(COUNTA($A667:$L667)=0,$N667=""),"",IF($T667="Paid","PAID",IF($T667="Closed","CLOSED",IF($Z667="","",IF($Z667=6,"ESCALATED TO ROXANNE",IF(TODAY()&gt;$AB667,"OVERDUE",IF($AB667&lt;=WORKDAY(TODAY(),1,Holidays),"DUE TOMORROW",IF($Z667=4,"ESCALATED TO LOCAL OFFICE",IF($Z667=5,"ESCALATED TO CBE",IF($AA667=TODAY(),"EMAIL SENT","MONITORING"))))))))))</f>
        <v/>
      </c>
      <c r="V667" s="17">
        <f>IF($U667="",IF(AND(COUNTA($A667:$L667)&gt;0,$N667=""),"Awaiting Collection Email time stamp.",""),IF(OR($U667="PAID",$U667="CLOSED"),IF($U667="PAID","Account paid. Action completed.","Account closed. No further action required."),CHOOSE($Z667,"Collection Email","1st Email Follow-up","2nd Email Follow-up","Escalation to Local Office","Escalation to CBE","Escalation to Roxanne")&amp;" sent "&amp;TEXT($AA667,"dd-mmm")&amp;". "&amp;IF($Z667=6,"Final escalation completed.",IF($U667="OVERDUE","Next: "&amp;$AC667&amp;" was due "&amp;TEXT($AB667,"dd-mmm")&amp;" - "&amp;(NETWORKDAYS($AB667,TODAY(),Holidays)-1)&amp;" business day(s) late. Send now.",IF($U667="DUE TOMORROW","Next: "&amp;$AC667&amp;IF($AB667&lt;=TODAY()," is due TODAY ("," is due next business day (")&amp;TEXT($AB667,"dd-mmm")&amp;").","Next: "&amp;$AC667&amp;" due "&amp;TEXT($AB667,"dd-mmm")&amp;" ("&amp;(NETWORKDAYS(TODAY(),$AB667,Holidays)-1)&amp;" business day(s) left).")))))</f>
        <v/>
      </c>
      <c r="W667" s="17">
        <f>IF($Z667="","",CHOOSE($Z667,"Collection Email","1st Follow-up","2nd Follow-up","Local Office","CBE","Roxanne")&amp;IF($Z667=6," - Final"," - Day "&amp;MAX(0,NETWORKDAYS($AA667,TODAY(),Holidays)-1)&amp;" of "&amp;CHOOSE($Z667,3,3,2,2,3))&amp;" | Total Day "&amp;MAX(0,NETWORKDAYS($N667,TODAY(),Holidays)-1))</f>
        <v/>
      </c>
      <c r="X667" s="18"/>
      <c r="Y667" s="18"/>
      <c r="Z667" s="17">
        <f>IF($N667="","",COUNT($N667:$S667))</f>
        <v/>
      </c>
      <c r="AA667" s="19">
        <f>IF($Z667="","",INT(INDEX($N667:$S667,$Z667)))</f>
        <v/>
      </c>
      <c r="AB667" s="19">
        <f>IF(OR($Z667="",$Z667=6),"",WORKDAY($AA667,CHOOSE($Z667,3,3,2,2,3),Holidays))</f>
        <v/>
      </c>
      <c r="AC667" s="17">
        <f>IF(OR($Z667="",$Z667=6),"",CHOOSE($Z667,"1st Email Follow-up","2nd Email Follow-up","Escalate Local Office","Escalate to CBE","Escalate to Roxanne"))</f>
        <v/>
      </c>
    </row>
    <row r="668" spans="13:29">
      <c r="M668" s="14"/>
      <c r="T668" s="16"/>
      <c r="U668" s="17">
        <f>IF(AND(COUNTA($A668:$L668)=0,$N668=""),"",IF($T668="Paid","PAID",IF($T668="Closed","CLOSED",IF($Z668="","",IF($Z668=6,"ESCALATED TO ROXANNE",IF(TODAY()&gt;$AB668,"OVERDUE",IF($AB668&lt;=WORKDAY(TODAY(),1,Holidays),"DUE TOMORROW",IF($Z668=4,"ESCALATED TO LOCAL OFFICE",IF($Z668=5,"ESCALATED TO CBE",IF($AA668=TODAY(),"EMAIL SENT","MONITORING"))))))))))</f>
        <v/>
      </c>
      <c r="V668" s="17">
        <f>IF($U668="",IF(AND(COUNTA($A668:$L668)&gt;0,$N668=""),"Awaiting Collection Email time stamp.",""),IF(OR($U668="PAID",$U668="CLOSED"),IF($U668="PAID","Account paid. Action completed.","Account closed. No further action required."),CHOOSE($Z668,"Collection Email","1st Email Follow-up","2nd Email Follow-up","Escalation to Local Office","Escalation to CBE","Escalation to Roxanne")&amp;" sent "&amp;TEXT($AA668,"dd-mmm")&amp;". "&amp;IF($Z668=6,"Final escalation completed.",IF($U668="OVERDUE","Next: "&amp;$AC668&amp;" was due "&amp;TEXT($AB668,"dd-mmm")&amp;" - "&amp;(NETWORKDAYS($AB668,TODAY(),Holidays)-1)&amp;" business day(s) late. Send now.",IF($U668="DUE TOMORROW","Next: "&amp;$AC668&amp;IF($AB668&lt;=TODAY()," is due TODAY ("," is due next business day (")&amp;TEXT($AB668,"dd-mmm")&amp;").","Next: "&amp;$AC668&amp;" due "&amp;TEXT($AB668,"dd-mmm")&amp;" ("&amp;(NETWORKDAYS(TODAY(),$AB668,Holidays)-1)&amp;" business day(s) left).")))))</f>
        <v/>
      </c>
      <c r="W668" s="17">
        <f>IF($Z668="","",CHOOSE($Z668,"Collection Email","1st Follow-up","2nd Follow-up","Local Office","CBE","Roxanne")&amp;IF($Z668=6," - Final"," - Day "&amp;MAX(0,NETWORKDAYS($AA668,TODAY(),Holidays)-1)&amp;" of "&amp;CHOOSE($Z668,3,3,2,2,3))&amp;" | Total Day "&amp;MAX(0,NETWORKDAYS($N668,TODAY(),Holidays)-1))</f>
        <v/>
      </c>
      <c r="X668" s="18"/>
      <c r="Y668" s="18"/>
      <c r="Z668" s="17">
        <f>IF($N668="","",COUNT($N668:$S668))</f>
        <v/>
      </c>
      <c r="AA668" s="19">
        <f>IF($Z668="","",INT(INDEX($N668:$S668,$Z668)))</f>
        <v/>
      </c>
      <c r="AB668" s="19">
        <f>IF(OR($Z668="",$Z668=6),"",WORKDAY($AA668,CHOOSE($Z668,3,3,2,2,3),Holidays))</f>
        <v/>
      </c>
      <c r="AC668" s="17">
        <f>IF(OR($Z668="",$Z668=6),"",CHOOSE($Z668,"1st Email Follow-up","2nd Email Follow-up","Escalate Local Office","Escalate to CBE","Escalate to Roxanne"))</f>
        <v/>
      </c>
    </row>
    <row r="669" spans="13:29">
      <c r="M669" s="14"/>
      <c r="T669" s="16"/>
      <c r="U669" s="17">
        <f>IF(AND(COUNTA($A669:$L669)=0,$N669=""),"",IF($T669="Paid","PAID",IF($T669="Closed","CLOSED",IF($Z669="","",IF($Z669=6,"ESCALATED TO ROXANNE",IF(TODAY()&gt;$AB669,"OVERDUE",IF($AB669&lt;=WORKDAY(TODAY(),1,Holidays),"DUE TOMORROW",IF($Z669=4,"ESCALATED TO LOCAL OFFICE",IF($Z669=5,"ESCALATED TO CBE",IF($AA669=TODAY(),"EMAIL SENT","MONITORING"))))))))))</f>
        <v/>
      </c>
      <c r="V669" s="17">
        <f>IF($U669="",IF(AND(COUNTA($A669:$L669)&gt;0,$N669=""),"Awaiting Collection Email time stamp.",""),IF(OR($U669="PAID",$U669="CLOSED"),IF($U669="PAID","Account paid. Action completed.","Account closed. No further action required."),CHOOSE($Z669,"Collection Email","1st Email Follow-up","2nd Email Follow-up","Escalation to Local Office","Escalation to CBE","Escalation to Roxanne")&amp;" sent "&amp;TEXT($AA669,"dd-mmm")&amp;". "&amp;IF($Z669=6,"Final escalation completed.",IF($U669="OVERDUE","Next: "&amp;$AC669&amp;" was due "&amp;TEXT($AB669,"dd-mmm")&amp;" - "&amp;(NETWORKDAYS($AB669,TODAY(),Holidays)-1)&amp;" business day(s) late. Send now.",IF($U669="DUE TOMORROW","Next: "&amp;$AC669&amp;IF($AB669&lt;=TODAY()," is due TODAY ("," is due next business day (")&amp;TEXT($AB669,"dd-mmm")&amp;").","Next: "&amp;$AC669&amp;" due "&amp;TEXT($AB669,"dd-mmm")&amp;" ("&amp;(NETWORKDAYS(TODAY(),$AB669,Holidays)-1)&amp;" business day(s) left).")))))</f>
        <v/>
      </c>
      <c r="W669" s="17">
        <f>IF($Z669="","",CHOOSE($Z669,"Collection Email","1st Follow-up","2nd Follow-up","Local Office","CBE","Roxanne")&amp;IF($Z669=6," - Final"," - Day "&amp;MAX(0,NETWORKDAYS($AA669,TODAY(),Holidays)-1)&amp;" of "&amp;CHOOSE($Z669,3,3,2,2,3))&amp;" | Total Day "&amp;MAX(0,NETWORKDAYS($N669,TODAY(),Holidays)-1))</f>
        <v/>
      </c>
      <c r="X669" s="18"/>
      <c r="Y669" s="18"/>
      <c r="Z669" s="17">
        <f>IF($N669="","",COUNT($N669:$S669))</f>
        <v/>
      </c>
      <c r="AA669" s="19">
        <f>IF($Z669="","",INT(INDEX($N669:$S669,$Z669)))</f>
        <v/>
      </c>
      <c r="AB669" s="19">
        <f>IF(OR($Z669="",$Z669=6),"",WORKDAY($AA669,CHOOSE($Z669,3,3,2,2,3),Holidays))</f>
        <v/>
      </c>
      <c r="AC669" s="17">
        <f>IF(OR($Z669="",$Z669=6),"",CHOOSE($Z669,"1st Email Follow-up","2nd Email Follow-up","Escalate Local Office","Escalate to CBE","Escalate to Roxanne"))</f>
        <v/>
      </c>
    </row>
    <row r="670" spans="13:29">
      <c r="M670" s="14"/>
      <c r="T670" s="16"/>
      <c r="U670" s="17">
        <f>IF(AND(COUNTA($A670:$L670)=0,$N670=""),"",IF($T670="Paid","PAID",IF($T670="Closed","CLOSED",IF($Z670="","",IF($Z670=6,"ESCALATED TO ROXANNE",IF(TODAY()&gt;$AB670,"OVERDUE",IF($AB670&lt;=WORKDAY(TODAY(),1,Holidays),"DUE TOMORROW",IF($Z670=4,"ESCALATED TO LOCAL OFFICE",IF($Z670=5,"ESCALATED TO CBE",IF($AA670=TODAY(),"EMAIL SENT","MONITORING"))))))))))</f>
        <v/>
      </c>
      <c r="V670" s="17">
        <f>IF($U670="",IF(AND(COUNTA($A670:$L670)&gt;0,$N670=""),"Awaiting Collection Email time stamp.",""),IF(OR($U670="PAID",$U670="CLOSED"),IF($U670="PAID","Account paid. Action completed.","Account closed. No further action required."),CHOOSE($Z670,"Collection Email","1st Email Follow-up","2nd Email Follow-up","Escalation to Local Office","Escalation to CBE","Escalation to Roxanne")&amp;" sent "&amp;TEXT($AA670,"dd-mmm")&amp;". "&amp;IF($Z670=6,"Final escalation completed.",IF($U670="OVERDUE","Next: "&amp;$AC670&amp;" was due "&amp;TEXT($AB670,"dd-mmm")&amp;" - "&amp;(NETWORKDAYS($AB670,TODAY(),Holidays)-1)&amp;" business day(s) late. Send now.",IF($U670="DUE TOMORROW","Next: "&amp;$AC670&amp;IF($AB670&lt;=TODAY()," is due TODAY ("," is due next business day (")&amp;TEXT($AB670,"dd-mmm")&amp;").","Next: "&amp;$AC670&amp;" due "&amp;TEXT($AB670,"dd-mmm")&amp;" ("&amp;(NETWORKDAYS(TODAY(),$AB670,Holidays)-1)&amp;" business day(s) left).")))))</f>
        <v/>
      </c>
      <c r="W670" s="17">
        <f>IF($Z670="","",CHOOSE($Z670,"Collection Email","1st Follow-up","2nd Follow-up","Local Office","CBE","Roxanne")&amp;IF($Z670=6," - Final"," - Day "&amp;MAX(0,NETWORKDAYS($AA670,TODAY(),Holidays)-1)&amp;" of "&amp;CHOOSE($Z670,3,3,2,2,3))&amp;" | Total Day "&amp;MAX(0,NETWORKDAYS($N670,TODAY(),Holidays)-1))</f>
        <v/>
      </c>
      <c r="X670" s="18"/>
      <c r="Y670" s="18"/>
      <c r="Z670" s="17">
        <f>IF($N670="","",COUNT($N670:$S670))</f>
        <v/>
      </c>
      <c r="AA670" s="19">
        <f>IF($Z670="","",INT(INDEX($N670:$S670,$Z670)))</f>
        <v/>
      </c>
      <c r="AB670" s="19">
        <f>IF(OR($Z670="",$Z670=6),"",WORKDAY($AA670,CHOOSE($Z670,3,3,2,2,3),Holidays))</f>
        <v/>
      </c>
      <c r="AC670" s="17">
        <f>IF(OR($Z670="",$Z670=6),"",CHOOSE($Z670,"1st Email Follow-up","2nd Email Follow-up","Escalate Local Office","Escalate to CBE","Escalate to Roxanne"))</f>
        <v/>
      </c>
    </row>
    <row r="671" spans="13:29">
      <c r="M671" s="14"/>
      <c r="T671" s="16"/>
      <c r="U671" s="17">
        <f>IF(AND(COUNTA($A671:$L671)=0,$N671=""),"",IF($T671="Paid","PAID",IF($T671="Closed","CLOSED",IF($Z671="","",IF($Z671=6,"ESCALATED TO ROXANNE",IF(TODAY()&gt;$AB671,"OVERDUE",IF($AB671&lt;=WORKDAY(TODAY(),1,Holidays),"DUE TOMORROW",IF($Z671=4,"ESCALATED TO LOCAL OFFICE",IF($Z671=5,"ESCALATED TO CBE",IF($AA671=TODAY(),"EMAIL SENT","MONITORING"))))))))))</f>
        <v/>
      </c>
      <c r="V671" s="17">
        <f>IF($U671="",IF(AND(COUNTA($A671:$L671)&gt;0,$N671=""),"Awaiting Collection Email time stamp.",""),IF(OR($U671="PAID",$U671="CLOSED"),IF($U671="PAID","Account paid. Action completed.","Account closed. No further action required."),CHOOSE($Z671,"Collection Email","1st Email Follow-up","2nd Email Follow-up","Escalation to Local Office","Escalation to CBE","Escalation to Roxanne")&amp;" sent "&amp;TEXT($AA671,"dd-mmm")&amp;". "&amp;IF($Z671=6,"Final escalation completed.",IF($U671="OVERDUE","Next: "&amp;$AC671&amp;" was due "&amp;TEXT($AB671,"dd-mmm")&amp;" - "&amp;(NETWORKDAYS($AB671,TODAY(),Holidays)-1)&amp;" business day(s) late. Send now.",IF($U671="DUE TOMORROW","Next: "&amp;$AC671&amp;IF($AB671&lt;=TODAY()," is due TODAY ("," is due next business day (")&amp;TEXT($AB671,"dd-mmm")&amp;").","Next: "&amp;$AC671&amp;" due "&amp;TEXT($AB671,"dd-mmm")&amp;" ("&amp;(NETWORKDAYS(TODAY(),$AB671,Holidays)-1)&amp;" business day(s) left).")))))</f>
        <v/>
      </c>
      <c r="W671" s="17">
        <f>IF($Z671="","",CHOOSE($Z671,"Collection Email","1st Follow-up","2nd Follow-up","Local Office","CBE","Roxanne")&amp;IF($Z671=6," - Final"," - Day "&amp;MAX(0,NETWORKDAYS($AA671,TODAY(),Holidays)-1)&amp;" of "&amp;CHOOSE($Z671,3,3,2,2,3))&amp;" | Total Day "&amp;MAX(0,NETWORKDAYS($N671,TODAY(),Holidays)-1))</f>
        <v/>
      </c>
      <c r="X671" s="18"/>
      <c r="Y671" s="18"/>
      <c r="Z671" s="17">
        <f>IF($N671="","",COUNT($N671:$S671))</f>
        <v/>
      </c>
      <c r="AA671" s="19">
        <f>IF($Z671="","",INT(INDEX($N671:$S671,$Z671)))</f>
        <v/>
      </c>
      <c r="AB671" s="19">
        <f>IF(OR($Z671="",$Z671=6),"",WORKDAY($AA671,CHOOSE($Z671,3,3,2,2,3),Holidays))</f>
        <v/>
      </c>
      <c r="AC671" s="17">
        <f>IF(OR($Z671="",$Z671=6),"",CHOOSE($Z671,"1st Email Follow-up","2nd Email Follow-up","Escalate Local Office","Escalate to CBE","Escalate to Roxanne"))</f>
        <v/>
      </c>
    </row>
    <row r="672" spans="13:29">
      <c r="M672" s="14"/>
      <c r="T672" s="16"/>
      <c r="U672" s="17">
        <f>IF(AND(COUNTA($A672:$L672)=0,$N672=""),"",IF($T672="Paid","PAID",IF($T672="Closed","CLOSED",IF($Z672="","",IF($Z672=6,"ESCALATED TO ROXANNE",IF(TODAY()&gt;$AB672,"OVERDUE",IF($AB672&lt;=WORKDAY(TODAY(),1,Holidays),"DUE TOMORROW",IF($Z672=4,"ESCALATED TO LOCAL OFFICE",IF($Z672=5,"ESCALATED TO CBE",IF($AA672=TODAY(),"EMAIL SENT","MONITORING"))))))))))</f>
        <v/>
      </c>
      <c r="V672" s="17">
        <f>IF($U672="",IF(AND(COUNTA($A672:$L672)&gt;0,$N672=""),"Awaiting Collection Email time stamp.",""),IF(OR($U672="PAID",$U672="CLOSED"),IF($U672="PAID","Account paid. Action completed.","Account closed. No further action required."),CHOOSE($Z672,"Collection Email","1st Email Follow-up","2nd Email Follow-up","Escalation to Local Office","Escalation to CBE","Escalation to Roxanne")&amp;" sent "&amp;TEXT($AA672,"dd-mmm")&amp;". "&amp;IF($Z672=6,"Final escalation completed.",IF($U672="OVERDUE","Next: "&amp;$AC672&amp;" was due "&amp;TEXT($AB672,"dd-mmm")&amp;" - "&amp;(NETWORKDAYS($AB672,TODAY(),Holidays)-1)&amp;" business day(s) late. Send now.",IF($U672="DUE TOMORROW","Next: "&amp;$AC672&amp;IF($AB672&lt;=TODAY()," is due TODAY ("," is due next business day (")&amp;TEXT($AB672,"dd-mmm")&amp;").","Next: "&amp;$AC672&amp;" due "&amp;TEXT($AB672,"dd-mmm")&amp;" ("&amp;(NETWORKDAYS(TODAY(),$AB672,Holidays)-1)&amp;" business day(s) left).")))))</f>
        <v/>
      </c>
      <c r="W672" s="17">
        <f>IF($Z672="","",CHOOSE($Z672,"Collection Email","1st Follow-up","2nd Follow-up","Local Office","CBE","Roxanne")&amp;IF($Z672=6," - Final"," - Day "&amp;MAX(0,NETWORKDAYS($AA672,TODAY(),Holidays)-1)&amp;" of "&amp;CHOOSE($Z672,3,3,2,2,3))&amp;" | Total Day "&amp;MAX(0,NETWORKDAYS($N672,TODAY(),Holidays)-1))</f>
        <v/>
      </c>
      <c r="X672" s="18"/>
      <c r="Y672" s="18"/>
      <c r="Z672" s="17">
        <f>IF($N672="","",COUNT($N672:$S672))</f>
        <v/>
      </c>
      <c r="AA672" s="19">
        <f>IF($Z672="","",INT(INDEX($N672:$S672,$Z672)))</f>
        <v/>
      </c>
      <c r="AB672" s="19">
        <f>IF(OR($Z672="",$Z672=6),"",WORKDAY($AA672,CHOOSE($Z672,3,3,2,2,3),Holidays))</f>
        <v/>
      </c>
      <c r="AC672" s="17">
        <f>IF(OR($Z672="",$Z672=6),"",CHOOSE($Z672,"1st Email Follow-up","2nd Email Follow-up","Escalate Local Office","Escalate to CBE","Escalate to Roxanne"))</f>
        <v/>
      </c>
    </row>
    <row r="673" spans="13:29">
      <c r="M673" s="14"/>
      <c r="T673" s="16"/>
      <c r="U673" s="17">
        <f>IF(AND(COUNTA($A673:$L673)=0,$N673=""),"",IF($T673="Paid","PAID",IF($T673="Closed","CLOSED",IF($Z673="","",IF($Z673=6,"ESCALATED TO ROXANNE",IF(TODAY()&gt;$AB673,"OVERDUE",IF($AB673&lt;=WORKDAY(TODAY(),1,Holidays),"DUE TOMORROW",IF($Z673=4,"ESCALATED TO LOCAL OFFICE",IF($Z673=5,"ESCALATED TO CBE",IF($AA673=TODAY(),"EMAIL SENT","MONITORING"))))))))))</f>
        <v/>
      </c>
      <c r="V673" s="17">
        <f>IF($U673="",IF(AND(COUNTA($A673:$L673)&gt;0,$N673=""),"Awaiting Collection Email time stamp.",""),IF(OR($U673="PAID",$U673="CLOSED"),IF($U673="PAID","Account paid. Action completed.","Account closed. No further action required."),CHOOSE($Z673,"Collection Email","1st Email Follow-up","2nd Email Follow-up","Escalation to Local Office","Escalation to CBE","Escalation to Roxanne")&amp;" sent "&amp;TEXT($AA673,"dd-mmm")&amp;". "&amp;IF($Z673=6,"Final escalation completed.",IF($U673="OVERDUE","Next: "&amp;$AC673&amp;" was due "&amp;TEXT($AB673,"dd-mmm")&amp;" - "&amp;(NETWORKDAYS($AB673,TODAY(),Holidays)-1)&amp;" business day(s) late. Send now.",IF($U673="DUE TOMORROW","Next: "&amp;$AC673&amp;IF($AB673&lt;=TODAY()," is due TODAY ("," is due next business day (")&amp;TEXT($AB673,"dd-mmm")&amp;").","Next: "&amp;$AC673&amp;" due "&amp;TEXT($AB673,"dd-mmm")&amp;" ("&amp;(NETWORKDAYS(TODAY(),$AB673,Holidays)-1)&amp;" business day(s) left).")))))</f>
        <v/>
      </c>
      <c r="W673" s="17">
        <f>IF($Z673="","",CHOOSE($Z673,"Collection Email","1st Follow-up","2nd Follow-up","Local Office","CBE","Roxanne")&amp;IF($Z673=6," - Final"," - Day "&amp;MAX(0,NETWORKDAYS($AA673,TODAY(),Holidays)-1)&amp;" of "&amp;CHOOSE($Z673,3,3,2,2,3))&amp;" | Total Day "&amp;MAX(0,NETWORKDAYS($N673,TODAY(),Holidays)-1))</f>
        <v/>
      </c>
      <c r="X673" s="18"/>
      <c r="Y673" s="18"/>
      <c r="Z673" s="17">
        <f>IF($N673="","",COUNT($N673:$S673))</f>
        <v/>
      </c>
      <c r="AA673" s="19">
        <f>IF($Z673="","",INT(INDEX($N673:$S673,$Z673)))</f>
        <v/>
      </c>
      <c r="AB673" s="19">
        <f>IF(OR($Z673="",$Z673=6),"",WORKDAY($AA673,CHOOSE($Z673,3,3,2,2,3),Holidays))</f>
        <v/>
      </c>
      <c r="AC673" s="17">
        <f>IF(OR($Z673="",$Z673=6),"",CHOOSE($Z673,"1st Email Follow-up","2nd Email Follow-up","Escalate Local Office","Escalate to CBE","Escalate to Roxanne"))</f>
        <v/>
      </c>
    </row>
    <row r="674" spans="13:29">
      <c r="M674" s="14"/>
      <c r="T674" s="16"/>
      <c r="U674" s="17">
        <f>IF(AND(COUNTA($A674:$L674)=0,$N674=""),"",IF($T674="Paid","PAID",IF($T674="Closed","CLOSED",IF($Z674="","",IF($Z674=6,"ESCALATED TO ROXANNE",IF(TODAY()&gt;$AB674,"OVERDUE",IF($AB674&lt;=WORKDAY(TODAY(),1,Holidays),"DUE TOMORROW",IF($Z674=4,"ESCALATED TO LOCAL OFFICE",IF($Z674=5,"ESCALATED TO CBE",IF($AA674=TODAY(),"EMAIL SENT","MONITORING"))))))))))</f>
        <v/>
      </c>
      <c r="V674" s="17">
        <f>IF($U674="",IF(AND(COUNTA($A674:$L674)&gt;0,$N674=""),"Awaiting Collection Email time stamp.",""),IF(OR($U674="PAID",$U674="CLOSED"),IF($U674="PAID","Account paid. Action completed.","Account closed. No further action required."),CHOOSE($Z674,"Collection Email","1st Email Follow-up","2nd Email Follow-up","Escalation to Local Office","Escalation to CBE","Escalation to Roxanne")&amp;" sent "&amp;TEXT($AA674,"dd-mmm")&amp;". "&amp;IF($Z674=6,"Final escalation completed.",IF($U674="OVERDUE","Next: "&amp;$AC674&amp;" was due "&amp;TEXT($AB674,"dd-mmm")&amp;" - "&amp;(NETWORKDAYS($AB674,TODAY(),Holidays)-1)&amp;" business day(s) late. Send now.",IF($U674="DUE TOMORROW","Next: "&amp;$AC674&amp;IF($AB674&lt;=TODAY()," is due TODAY ("," is due next business day (")&amp;TEXT($AB674,"dd-mmm")&amp;").","Next: "&amp;$AC674&amp;" due "&amp;TEXT($AB674,"dd-mmm")&amp;" ("&amp;(NETWORKDAYS(TODAY(),$AB674,Holidays)-1)&amp;" business day(s) left).")))))</f>
        <v/>
      </c>
      <c r="W674" s="17">
        <f>IF($Z674="","",CHOOSE($Z674,"Collection Email","1st Follow-up","2nd Follow-up","Local Office","CBE","Roxanne")&amp;IF($Z674=6," - Final"," - Day "&amp;MAX(0,NETWORKDAYS($AA674,TODAY(),Holidays)-1)&amp;" of "&amp;CHOOSE($Z674,3,3,2,2,3))&amp;" | Total Day "&amp;MAX(0,NETWORKDAYS($N674,TODAY(),Holidays)-1))</f>
        <v/>
      </c>
      <c r="X674" s="18"/>
      <c r="Y674" s="18"/>
      <c r="Z674" s="17">
        <f>IF($N674="","",COUNT($N674:$S674))</f>
        <v/>
      </c>
      <c r="AA674" s="19">
        <f>IF($Z674="","",INT(INDEX($N674:$S674,$Z674)))</f>
        <v/>
      </c>
      <c r="AB674" s="19">
        <f>IF(OR($Z674="",$Z674=6),"",WORKDAY($AA674,CHOOSE($Z674,3,3,2,2,3),Holidays))</f>
        <v/>
      </c>
      <c r="AC674" s="17">
        <f>IF(OR($Z674="",$Z674=6),"",CHOOSE($Z674,"1st Email Follow-up","2nd Email Follow-up","Escalate Local Office","Escalate to CBE","Escalate to Roxanne"))</f>
        <v/>
      </c>
    </row>
    <row r="675" spans="13:29">
      <c r="M675" s="14"/>
      <c r="T675" s="16"/>
      <c r="U675" s="17">
        <f>IF(AND(COUNTA($A675:$L675)=0,$N675=""),"",IF($T675="Paid","PAID",IF($T675="Closed","CLOSED",IF($Z675="","",IF($Z675=6,"ESCALATED TO ROXANNE",IF(TODAY()&gt;$AB675,"OVERDUE",IF($AB675&lt;=WORKDAY(TODAY(),1,Holidays),"DUE TOMORROW",IF($Z675=4,"ESCALATED TO LOCAL OFFICE",IF($Z675=5,"ESCALATED TO CBE",IF($AA675=TODAY(),"EMAIL SENT","MONITORING"))))))))))</f>
        <v/>
      </c>
      <c r="V675" s="17">
        <f>IF($U675="",IF(AND(COUNTA($A675:$L675)&gt;0,$N675=""),"Awaiting Collection Email time stamp.",""),IF(OR($U675="PAID",$U675="CLOSED"),IF($U675="PAID","Account paid. Action completed.","Account closed. No further action required."),CHOOSE($Z675,"Collection Email","1st Email Follow-up","2nd Email Follow-up","Escalation to Local Office","Escalation to CBE","Escalation to Roxanne")&amp;" sent "&amp;TEXT($AA675,"dd-mmm")&amp;". "&amp;IF($Z675=6,"Final escalation completed.",IF($U675="OVERDUE","Next: "&amp;$AC675&amp;" was due "&amp;TEXT($AB675,"dd-mmm")&amp;" - "&amp;(NETWORKDAYS($AB675,TODAY(),Holidays)-1)&amp;" business day(s) late. Send now.",IF($U675="DUE TOMORROW","Next: "&amp;$AC675&amp;IF($AB675&lt;=TODAY()," is due TODAY ("," is due next business day (")&amp;TEXT($AB675,"dd-mmm")&amp;").","Next: "&amp;$AC675&amp;" due "&amp;TEXT($AB675,"dd-mmm")&amp;" ("&amp;(NETWORKDAYS(TODAY(),$AB675,Holidays)-1)&amp;" business day(s) left).")))))</f>
        <v/>
      </c>
      <c r="W675" s="17">
        <f>IF($Z675="","",CHOOSE($Z675,"Collection Email","1st Follow-up","2nd Follow-up","Local Office","CBE","Roxanne")&amp;IF($Z675=6," - Final"," - Day "&amp;MAX(0,NETWORKDAYS($AA675,TODAY(),Holidays)-1)&amp;" of "&amp;CHOOSE($Z675,3,3,2,2,3))&amp;" | Total Day "&amp;MAX(0,NETWORKDAYS($N675,TODAY(),Holidays)-1))</f>
        <v/>
      </c>
      <c r="X675" s="18"/>
      <c r="Y675" s="18"/>
      <c r="Z675" s="17">
        <f>IF($N675="","",COUNT($N675:$S675))</f>
        <v/>
      </c>
      <c r="AA675" s="19">
        <f>IF($Z675="","",INT(INDEX($N675:$S675,$Z675)))</f>
        <v/>
      </c>
      <c r="AB675" s="19">
        <f>IF(OR($Z675="",$Z675=6),"",WORKDAY($AA675,CHOOSE($Z675,3,3,2,2,3),Holidays))</f>
        <v/>
      </c>
      <c r="AC675" s="17">
        <f>IF(OR($Z675="",$Z675=6),"",CHOOSE($Z675,"1st Email Follow-up","2nd Email Follow-up","Escalate Local Office","Escalate to CBE","Escalate to Roxanne"))</f>
        <v/>
      </c>
    </row>
    <row r="676" spans="13:29">
      <c r="M676" s="14"/>
      <c r="T676" s="16"/>
      <c r="U676" s="17">
        <f>IF(AND(COUNTA($A676:$L676)=0,$N676=""),"",IF($T676="Paid","PAID",IF($T676="Closed","CLOSED",IF($Z676="","",IF($Z676=6,"ESCALATED TO ROXANNE",IF(TODAY()&gt;$AB676,"OVERDUE",IF($AB676&lt;=WORKDAY(TODAY(),1,Holidays),"DUE TOMORROW",IF($Z676=4,"ESCALATED TO LOCAL OFFICE",IF($Z676=5,"ESCALATED TO CBE",IF($AA676=TODAY(),"EMAIL SENT","MONITORING"))))))))))</f>
        <v/>
      </c>
      <c r="V676" s="17">
        <f>IF($U676="",IF(AND(COUNTA($A676:$L676)&gt;0,$N676=""),"Awaiting Collection Email time stamp.",""),IF(OR($U676="PAID",$U676="CLOSED"),IF($U676="PAID","Account paid. Action completed.","Account closed. No further action required."),CHOOSE($Z676,"Collection Email","1st Email Follow-up","2nd Email Follow-up","Escalation to Local Office","Escalation to CBE","Escalation to Roxanne")&amp;" sent "&amp;TEXT($AA676,"dd-mmm")&amp;". "&amp;IF($Z676=6,"Final escalation completed.",IF($U676="OVERDUE","Next: "&amp;$AC676&amp;" was due "&amp;TEXT($AB676,"dd-mmm")&amp;" - "&amp;(NETWORKDAYS($AB676,TODAY(),Holidays)-1)&amp;" business day(s) late. Send now.",IF($U676="DUE TOMORROW","Next: "&amp;$AC676&amp;IF($AB676&lt;=TODAY()," is due TODAY ("," is due next business day (")&amp;TEXT($AB676,"dd-mmm")&amp;").","Next: "&amp;$AC676&amp;" due "&amp;TEXT($AB676,"dd-mmm")&amp;" ("&amp;(NETWORKDAYS(TODAY(),$AB676,Holidays)-1)&amp;" business day(s) left).")))))</f>
        <v/>
      </c>
      <c r="W676" s="17">
        <f>IF($Z676="","",CHOOSE($Z676,"Collection Email","1st Follow-up","2nd Follow-up","Local Office","CBE","Roxanne")&amp;IF($Z676=6," - Final"," - Day "&amp;MAX(0,NETWORKDAYS($AA676,TODAY(),Holidays)-1)&amp;" of "&amp;CHOOSE($Z676,3,3,2,2,3))&amp;" | Total Day "&amp;MAX(0,NETWORKDAYS($N676,TODAY(),Holidays)-1))</f>
        <v/>
      </c>
      <c r="X676" s="18"/>
      <c r="Y676" s="18"/>
      <c r="Z676" s="17">
        <f>IF($N676="","",COUNT($N676:$S676))</f>
        <v/>
      </c>
      <c r="AA676" s="19">
        <f>IF($Z676="","",INT(INDEX($N676:$S676,$Z676)))</f>
        <v/>
      </c>
      <c r="AB676" s="19">
        <f>IF(OR($Z676="",$Z676=6),"",WORKDAY($AA676,CHOOSE($Z676,3,3,2,2,3),Holidays))</f>
        <v/>
      </c>
      <c r="AC676" s="17">
        <f>IF(OR($Z676="",$Z676=6),"",CHOOSE($Z676,"1st Email Follow-up","2nd Email Follow-up","Escalate Local Office","Escalate to CBE","Escalate to Roxanne"))</f>
        <v/>
      </c>
    </row>
    <row r="677" spans="13:29">
      <c r="M677" s="14"/>
      <c r="T677" s="16"/>
      <c r="U677" s="17">
        <f>IF(AND(COUNTA($A677:$L677)=0,$N677=""),"",IF($T677="Paid","PAID",IF($T677="Closed","CLOSED",IF($Z677="","",IF($Z677=6,"ESCALATED TO ROXANNE",IF(TODAY()&gt;$AB677,"OVERDUE",IF($AB677&lt;=WORKDAY(TODAY(),1,Holidays),"DUE TOMORROW",IF($Z677=4,"ESCALATED TO LOCAL OFFICE",IF($Z677=5,"ESCALATED TO CBE",IF($AA677=TODAY(),"EMAIL SENT","MONITORING"))))))))))</f>
        <v/>
      </c>
      <c r="V677" s="17">
        <f>IF($U677="",IF(AND(COUNTA($A677:$L677)&gt;0,$N677=""),"Awaiting Collection Email time stamp.",""),IF(OR($U677="PAID",$U677="CLOSED"),IF($U677="PAID","Account paid. Action completed.","Account closed. No further action required."),CHOOSE($Z677,"Collection Email","1st Email Follow-up","2nd Email Follow-up","Escalation to Local Office","Escalation to CBE","Escalation to Roxanne")&amp;" sent "&amp;TEXT($AA677,"dd-mmm")&amp;". "&amp;IF($Z677=6,"Final escalation completed.",IF($U677="OVERDUE","Next: "&amp;$AC677&amp;" was due "&amp;TEXT($AB677,"dd-mmm")&amp;" - "&amp;(NETWORKDAYS($AB677,TODAY(),Holidays)-1)&amp;" business day(s) late. Send now.",IF($U677="DUE TOMORROW","Next: "&amp;$AC677&amp;IF($AB677&lt;=TODAY()," is due TODAY ("," is due next business day (")&amp;TEXT($AB677,"dd-mmm")&amp;").","Next: "&amp;$AC677&amp;" due "&amp;TEXT($AB677,"dd-mmm")&amp;" ("&amp;(NETWORKDAYS(TODAY(),$AB677,Holidays)-1)&amp;" business day(s) left).")))))</f>
        <v/>
      </c>
      <c r="W677" s="17">
        <f>IF($Z677="","",CHOOSE($Z677,"Collection Email","1st Follow-up","2nd Follow-up","Local Office","CBE","Roxanne")&amp;IF($Z677=6," - Final"," - Day "&amp;MAX(0,NETWORKDAYS($AA677,TODAY(),Holidays)-1)&amp;" of "&amp;CHOOSE($Z677,3,3,2,2,3))&amp;" | Total Day "&amp;MAX(0,NETWORKDAYS($N677,TODAY(),Holidays)-1))</f>
        <v/>
      </c>
      <c r="X677" s="18"/>
      <c r="Y677" s="18"/>
      <c r="Z677" s="17">
        <f>IF($N677="","",COUNT($N677:$S677))</f>
        <v/>
      </c>
      <c r="AA677" s="19">
        <f>IF($Z677="","",INT(INDEX($N677:$S677,$Z677)))</f>
        <v/>
      </c>
      <c r="AB677" s="19">
        <f>IF(OR($Z677="",$Z677=6),"",WORKDAY($AA677,CHOOSE($Z677,3,3,2,2,3),Holidays))</f>
        <v/>
      </c>
      <c r="AC677" s="17">
        <f>IF(OR($Z677="",$Z677=6),"",CHOOSE($Z677,"1st Email Follow-up","2nd Email Follow-up","Escalate Local Office","Escalate to CBE","Escalate to Roxanne"))</f>
        <v/>
      </c>
    </row>
    <row r="678" spans="13:29">
      <c r="M678" s="14"/>
      <c r="T678" s="16"/>
      <c r="U678" s="17">
        <f>IF(AND(COUNTA($A678:$L678)=0,$N678=""),"",IF($T678="Paid","PAID",IF($T678="Closed","CLOSED",IF($Z678="","",IF($Z678=6,"ESCALATED TO ROXANNE",IF(TODAY()&gt;$AB678,"OVERDUE",IF($AB678&lt;=WORKDAY(TODAY(),1,Holidays),"DUE TOMORROW",IF($Z678=4,"ESCALATED TO LOCAL OFFICE",IF($Z678=5,"ESCALATED TO CBE",IF($AA678=TODAY(),"EMAIL SENT","MONITORING"))))))))))</f>
        <v/>
      </c>
      <c r="V678" s="17">
        <f>IF($U678="",IF(AND(COUNTA($A678:$L678)&gt;0,$N678=""),"Awaiting Collection Email time stamp.",""),IF(OR($U678="PAID",$U678="CLOSED"),IF($U678="PAID","Account paid. Action completed.","Account closed. No further action required."),CHOOSE($Z678,"Collection Email","1st Email Follow-up","2nd Email Follow-up","Escalation to Local Office","Escalation to CBE","Escalation to Roxanne")&amp;" sent "&amp;TEXT($AA678,"dd-mmm")&amp;". "&amp;IF($Z678=6,"Final escalation completed.",IF($U678="OVERDUE","Next: "&amp;$AC678&amp;" was due "&amp;TEXT($AB678,"dd-mmm")&amp;" - "&amp;(NETWORKDAYS($AB678,TODAY(),Holidays)-1)&amp;" business day(s) late. Send now.",IF($U678="DUE TOMORROW","Next: "&amp;$AC678&amp;IF($AB678&lt;=TODAY()," is due TODAY ("," is due next business day (")&amp;TEXT($AB678,"dd-mmm")&amp;").","Next: "&amp;$AC678&amp;" due "&amp;TEXT($AB678,"dd-mmm")&amp;" ("&amp;(NETWORKDAYS(TODAY(),$AB678,Holidays)-1)&amp;" business day(s) left).")))))</f>
        <v/>
      </c>
      <c r="W678" s="17">
        <f>IF($Z678="","",CHOOSE($Z678,"Collection Email","1st Follow-up","2nd Follow-up","Local Office","CBE","Roxanne")&amp;IF($Z678=6," - Final"," - Day "&amp;MAX(0,NETWORKDAYS($AA678,TODAY(),Holidays)-1)&amp;" of "&amp;CHOOSE($Z678,3,3,2,2,3))&amp;" | Total Day "&amp;MAX(0,NETWORKDAYS($N678,TODAY(),Holidays)-1))</f>
        <v/>
      </c>
      <c r="X678" s="18"/>
      <c r="Y678" s="18"/>
      <c r="Z678" s="17">
        <f>IF($N678="","",COUNT($N678:$S678))</f>
        <v/>
      </c>
      <c r="AA678" s="19">
        <f>IF($Z678="","",INT(INDEX($N678:$S678,$Z678)))</f>
        <v/>
      </c>
      <c r="AB678" s="19">
        <f>IF(OR($Z678="",$Z678=6),"",WORKDAY($AA678,CHOOSE($Z678,3,3,2,2,3),Holidays))</f>
        <v/>
      </c>
      <c r="AC678" s="17">
        <f>IF(OR($Z678="",$Z678=6),"",CHOOSE($Z678,"1st Email Follow-up","2nd Email Follow-up","Escalate Local Office","Escalate to CBE","Escalate to Roxanne"))</f>
        <v/>
      </c>
    </row>
    <row r="679" spans="13:29">
      <c r="M679" s="14"/>
      <c r="T679" s="16"/>
      <c r="U679" s="17">
        <f>IF(AND(COUNTA($A679:$L679)=0,$N679=""),"",IF($T679="Paid","PAID",IF($T679="Closed","CLOSED",IF($Z679="","",IF($Z679=6,"ESCALATED TO ROXANNE",IF(TODAY()&gt;$AB679,"OVERDUE",IF($AB679&lt;=WORKDAY(TODAY(),1,Holidays),"DUE TOMORROW",IF($Z679=4,"ESCALATED TO LOCAL OFFICE",IF($Z679=5,"ESCALATED TO CBE",IF($AA679=TODAY(),"EMAIL SENT","MONITORING"))))))))))</f>
        <v/>
      </c>
      <c r="V679" s="17">
        <f>IF($U679="",IF(AND(COUNTA($A679:$L679)&gt;0,$N679=""),"Awaiting Collection Email time stamp.",""),IF(OR($U679="PAID",$U679="CLOSED"),IF($U679="PAID","Account paid. Action completed.","Account closed. No further action required."),CHOOSE($Z679,"Collection Email","1st Email Follow-up","2nd Email Follow-up","Escalation to Local Office","Escalation to CBE","Escalation to Roxanne")&amp;" sent "&amp;TEXT($AA679,"dd-mmm")&amp;". "&amp;IF($Z679=6,"Final escalation completed.",IF($U679="OVERDUE","Next: "&amp;$AC679&amp;" was due "&amp;TEXT($AB679,"dd-mmm")&amp;" - "&amp;(NETWORKDAYS($AB679,TODAY(),Holidays)-1)&amp;" business day(s) late. Send now.",IF($U679="DUE TOMORROW","Next: "&amp;$AC679&amp;IF($AB679&lt;=TODAY()," is due TODAY ("," is due next business day (")&amp;TEXT($AB679,"dd-mmm")&amp;").","Next: "&amp;$AC679&amp;" due "&amp;TEXT($AB679,"dd-mmm")&amp;" ("&amp;(NETWORKDAYS(TODAY(),$AB679,Holidays)-1)&amp;" business day(s) left).")))))</f>
        <v/>
      </c>
      <c r="W679" s="17">
        <f>IF($Z679="","",CHOOSE($Z679,"Collection Email","1st Follow-up","2nd Follow-up","Local Office","CBE","Roxanne")&amp;IF($Z679=6," - Final"," - Day "&amp;MAX(0,NETWORKDAYS($AA679,TODAY(),Holidays)-1)&amp;" of "&amp;CHOOSE($Z679,3,3,2,2,3))&amp;" | Total Day "&amp;MAX(0,NETWORKDAYS($N679,TODAY(),Holidays)-1))</f>
        <v/>
      </c>
      <c r="X679" s="18"/>
      <c r="Y679" s="18"/>
      <c r="Z679" s="17">
        <f>IF($N679="","",COUNT($N679:$S679))</f>
        <v/>
      </c>
      <c r="AA679" s="19">
        <f>IF($Z679="","",INT(INDEX($N679:$S679,$Z679)))</f>
        <v/>
      </c>
      <c r="AB679" s="19">
        <f>IF(OR($Z679="",$Z679=6),"",WORKDAY($AA679,CHOOSE($Z679,3,3,2,2,3),Holidays))</f>
        <v/>
      </c>
      <c r="AC679" s="17">
        <f>IF(OR($Z679="",$Z679=6),"",CHOOSE($Z679,"1st Email Follow-up","2nd Email Follow-up","Escalate Local Office","Escalate to CBE","Escalate to Roxanne"))</f>
        <v/>
      </c>
    </row>
    <row r="680" spans="13:29">
      <c r="M680" s="14"/>
      <c r="T680" s="16"/>
      <c r="U680" s="17">
        <f>IF(AND(COUNTA($A680:$L680)=0,$N680=""),"",IF($T680="Paid","PAID",IF($T680="Closed","CLOSED",IF($Z680="","",IF($Z680=6,"ESCALATED TO ROXANNE",IF(TODAY()&gt;$AB680,"OVERDUE",IF($AB680&lt;=WORKDAY(TODAY(),1,Holidays),"DUE TOMORROW",IF($Z680=4,"ESCALATED TO LOCAL OFFICE",IF($Z680=5,"ESCALATED TO CBE",IF($AA680=TODAY(),"EMAIL SENT","MONITORING"))))))))))</f>
        <v/>
      </c>
      <c r="V680" s="17">
        <f>IF($U680="",IF(AND(COUNTA($A680:$L680)&gt;0,$N680=""),"Awaiting Collection Email time stamp.",""),IF(OR($U680="PAID",$U680="CLOSED"),IF($U680="PAID","Account paid. Action completed.","Account closed. No further action required."),CHOOSE($Z680,"Collection Email","1st Email Follow-up","2nd Email Follow-up","Escalation to Local Office","Escalation to CBE","Escalation to Roxanne")&amp;" sent "&amp;TEXT($AA680,"dd-mmm")&amp;". "&amp;IF($Z680=6,"Final escalation completed.",IF($U680="OVERDUE","Next: "&amp;$AC680&amp;" was due "&amp;TEXT($AB680,"dd-mmm")&amp;" - "&amp;(NETWORKDAYS($AB680,TODAY(),Holidays)-1)&amp;" business day(s) late. Send now.",IF($U680="DUE TOMORROW","Next: "&amp;$AC680&amp;IF($AB680&lt;=TODAY()," is due TODAY ("," is due next business day (")&amp;TEXT($AB680,"dd-mmm")&amp;").","Next: "&amp;$AC680&amp;" due "&amp;TEXT($AB680,"dd-mmm")&amp;" ("&amp;(NETWORKDAYS(TODAY(),$AB680,Holidays)-1)&amp;" business day(s) left).")))))</f>
        <v/>
      </c>
      <c r="W680" s="17">
        <f>IF($Z680="","",CHOOSE($Z680,"Collection Email","1st Follow-up","2nd Follow-up","Local Office","CBE","Roxanne")&amp;IF($Z680=6," - Final"," - Day "&amp;MAX(0,NETWORKDAYS($AA680,TODAY(),Holidays)-1)&amp;" of "&amp;CHOOSE($Z680,3,3,2,2,3))&amp;" | Total Day "&amp;MAX(0,NETWORKDAYS($N680,TODAY(),Holidays)-1))</f>
        <v/>
      </c>
      <c r="X680" s="18"/>
      <c r="Y680" s="18"/>
      <c r="Z680" s="17">
        <f>IF($N680="","",COUNT($N680:$S680))</f>
        <v/>
      </c>
      <c r="AA680" s="19">
        <f>IF($Z680="","",INT(INDEX($N680:$S680,$Z680)))</f>
        <v/>
      </c>
      <c r="AB680" s="19">
        <f>IF(OR($Z680="",$Z680=6),"",WORKDAY($AA680,CHOOSE($Z680,3,3,2,2,3),Holidays))</f>
        <v/>
      </c>
      <c r="AC680" s="17">
        <f>IF(OR($Z680="",$Z680=6),"",CHOOSE($Z680,"1st Email Follow-up","2nd Email Follow-up","Escalate Local Office","Escalate to CBE","Escalate to Roxanne"))</f>
        <v/>
      </c>
    </row>
    <row r="681" spans="13:29">
      <c r="M681" s="14"/>
      <c r="T681" s="16"/>
      <c r="U681" s="17">
        <f>IF(AND(COUNTA($A681:$L681)=0,$N681=""),"",IF($T681="Paid","PAID",IF($T681="Closed","CLOSED",IF($Z681="","",IF($Z681=6,"ESCALATED TO ROXANNE",IF(TODAY()&gt;$AB681,"OVERDUE",IF($AB681&lt;=WORKDAY(TODAY(),1,Holidays),"DUE TOMORROW",IF($Z681=4,"ESCALATED TO LOCAL OFFICE",IF($Z681=5,"ESCALATED TO CBE",IF($AA681=TODAY(),"EMAIL SENT","MONITORING"))))))))))</f>
        <v/>
      </c>
      <c r="V681" s="17">
        <f>IF($U681="",IF(AND(COUNTA($A681:$L681)&gt;0,$N681=""),"Awaiting Collection Email time stamp.",""),IF(OR($U681="PAID",$U681="CLOSED"),IF($U681="PAID","Account paid. Action completed.","Account closed. No further action required."),CHOOSE($Z681,"Collection Email","1st Email Follow-up","2nd Email Follow-up","Escalation to Local Office","Escalation to CBE","Escalation to Roxanne")&amp;" sent "&amp;TEXT($AA681,"dd-mmm")&amp;". "&amp;IF($Z681=6,"Final escalation completed.",IF($U681="OVERDUE","Next: "&amp;$AC681&amp;" was due "&amp;TEXT($AB681,"dd-mmm")&amp;" - "&amp;(NETWORKDAYS($AB681,TODAY(),Holidays)-1)&amp;" business day(s) late. Send now.",IF($U681="DUE TOMORROW","Next: "&amp;$AC681&amp;IF($AB681&lt;=TODAY()," is due TODAY ("," is due next business day (")&amp;TEXT($AB681,"dd-mmm")&amp;").","Next: "&amp;$AC681&amp;" due "&amp;TEXT($AB681,"dd-mmm")&amp;" ("&amp;(NETWORKDAYS(TODAY(),$AB681,Holidays)-1)&amp;" business day(s) left).")))))</f>
        <v/>
      </c>
      <c r="W681" s="17">
        <f>IF($Z681="","",CHOOSE($Z681,"Collection Email","1st Follow-up","2nd Follow-up","Local Office","CBE","Roxanne")&amp;IF($Z681=6," - Final"," - Day "&amp;MAX(0,NETWORKDAYS($AA681,TODAY(),Holidays)-1)&amp;" of "&amp;CHOOSE($Z681,3,3,2,2,3))&amp;" | Total Day "&amp;MAX(0,NETWORKDAYS($N681,TODAY(),Holidays)-1))</f>
        <v/>
      </c>
      <c r="X681" s="18"/>
      <c r="Y681" s="18"/>
      <c r="Z681" s="17">
        <f>IF($N681="","",COUNT($N681:$S681))</f>
        <v/>
      </c>
      <c r="AA681" s="19">
        <f>IF($Z681="","",INT(INDEX($N681:$S681,$Z681)))</f>
        <v/>
      </c>
      <c r="AB681" s="19">
        <f>IF(OR($Z681="",$Z681=6),"",WORKDAY($AA681,CHOOSE($Z681,3,3,2,2,3),Holidays))</f>
        <v/>
      </c>
      <c r="AC681" s="17">
        <f>IF(OR($Z681="",$Z681=6),"",CHOOSE($Z681,"1st Email Follow-up","2nd Email Follow-up","Escalate Local Office","Escalate to CBE","Escalate to Roxanne"))</f>
        <v/>
      </c>
    </row>
    <row r="682" spans="13:29">
      <c r="M682" s="14"/>
      <c r="T682" s="16"/>
      <c r="U682" s="17">
        <f>IF(AND(COUNTA($A682:$L682)=0,$N682=""),"",IF($T682="Paid","PAID",IF($T682="Closed","CLOSED",IF($Z682="","",IF($Z682=6,"ESCALATED TO ROXANNE",IF(TODAY()&gt;$AB682,"OVERDUE",IF($AB682&lt;=WORKDAY(TODAY(),1,Holidays),"DUE TOMORROW",IF($Z682=4,"ESCALATED TO LOCAL OFFICE",IF($Z682=5,"ESCALATED TO CBE",IF($AA682=TODAY(),"EMAIL SENT","MONITORING"))))))))))</f>
        <v/>
      </c>
      <c r="V682" s="17">
        <f>IF($U682="",IF(AND(COUNTA($A682:$L682)&gt;0,$N682=""),"Awaiting Collection Email time stamp.",""),IF(OR($U682="PAID",$U682="CLOSED"),IF($U682="PAID","Account paid. Action completed.","Account closed. No further action required."),CHOOSE($Z682,"Collection Email","1st Email Follow-up","2nd Email Follow-up","Escalation to Local Office","Escalation to CBE","Escalation to Roxanne")&amp;" sent "&amp;TEXT($AA682,"dd-mmm")&amp;". "&amp;IF($Z682=6,"Final escalation completed.",IF($U682="OVERDUE","Next: "&amp;$AC682&amp;" was due "&amp;TEXT($AB682,"dd-mmm")&amp;" - "&amp;(NETWORKDAYS($AB682,TODAY(),Holidays)-1)&amp;" business day(s) late. Send now.",IF($U682="DUE TOMORROW","Next: "&amp;$AC682&amp;IF($AB682&lt;=TODAY()," is due TODAY ("," is due next business day (")&amp;TEXT($AB682,"dd-mmm")&amp;").","Next: "&amp;$AC682&amp;" due "&amp;TEXT($AB682,"dd-mmm")&amp;" ("&amp;(NETWORKDAYS(TODAY(),$AB682,Holidays)-1)&amp;" business day(s) left).")))))</f>
        <v/>
      </c>
      <c r="W682" s="17">
        <f>IF($Z682="","",CHOOSE($Z682,"Collection Email","1st Follow-up","2nd Follow-up","Local Office","CBE","Roxanne")&amp;IF($Z682=6," - Final"," - Day "&amp;MAX(0,NETWORKDAYS($AA682,TODAY(),Holidays)-1)&amp;" of "&amp;CHOOSE($Z682,3,3,2,2,3))&amp;" | Total Day "&amp;MAX(0,NETWORKDAYS($N682,TODAY(),Holidays)-1))</f>
        <v/>
      </c>
      <c r="X682" s="18"/>
      <c r="Y682" s="18"/>
      <c r="Z682" s="17">
        <f>IF($N682="","",COUNT($N682:$S682))</f>
        <v/>
      </c>
      <c r="AA682" s="19">
        <f>IF($Z682="","",INT(INDEX($N682:$S682,$Z682)))</f>
        <v/>
      </c>
      <c r="AB682" s="19">
        <f>IF(OR($Z682="",$Z682=6),"",WORKDAY($AA682,CHOOSE($Z682,3,3,2,2,3),Holidays))</f>
        <v/>
      </c>
      <c r="AC682" s="17">
        <f>IF(OR($Z682="",$Z682=6),"",CHOOSE($Z682,"1st Email Follow-up","2nd Email Follow-up","Escalate Local Office","Escalate to CBE","Escalate to Roxanne"))</f>
        <v/>
      </c>
    </row>
    <row r="683" spans="13:29">
      <c r="M683" s="14"/>
      <c r="T683" s="16"/>
      <c r="U683" s="17">
        <f>IF(AND(COUNTA($A683:$L683)=0,$N683=""),"",IF($T683="Paid","PAID",IF($T683="Closed","CLOSED",IF($Z683="","",IF($Z683=6,"ESCALATED TO ROXANNE",IF(TODAY()&gt;$AB683,"OVERDUE",IF($AB683&lt;=WORKDAY(TODAY(),1,Holidays),"DUE TOMORROW",IF($Z683=4,"ESCALATED TO LOCAL OFFICE",IF($Z683=5,"ESCALATED TO CBE",IF($AA683=TODAY(),"EMAIL SENT","MONITORING"))))))))))</f>
        <v/>
      </c>
      <c r="V683" s="17">
        <f>IF($U683="",IF(AND(COUNTA($A683:$L683)&gt;0,$N683=""),"Awaiting Collection Email time stamp.",""),IF(OR($U683="PAID",$U683="CLOSED"),IF($U683="PAID","Account paid. Action completed.","Account closed. No further action required."),CHOOSE($Z683,"Collection Email","1st Email Follow-up","2nd Email Follow-up","Escalation to Local Office","Escalation to CBE","Escalation to Roxanne")&amp;" sent "&amp;TEXT($AA683,"dd-mmm")&amp;". "&amp;IF($Z683=6,"Final escalation completed.",IF($U683="OVERDUE","Next: "&amp;$AC683&amp;" was due "&amp;TEXT($AB683,"dd-mmm")&amp;" - "&amp;(NETWORKDAYS($AB683,TODAY(),Holidays)-1)&amp;" business day(s) late. Send now.",IF($U683="DUE TOMORROW","Next: "&amp;$AC683&amp;IF($AB683&lt;=TODAY()," is due TODAY ("," is due next business day (")&amp;TEXT($AB683,"dd-mmm")&amp;").","Next: "&amp;$AC683&amp;" due "&amp;TEXT($AB683,"dd-mmm")&amp;" ("&amp;(NETWORKDAYS(TODAY(),$AB683,Holidays)-1)&amp;" business day(s) left).")))))</f>
        <v/>
      </c>
      <c r="W683" s="17">
        <f>IF($Z683="","",CHOOSE($Z683,"Collection Email","1st Follow-up","2nd Follow-up","Local Office","CBE","Roxanne")&amp;IF($Z683=6," - Final"," - Day "&amp;MAX(0,NETWORKDAYS($AA683,TODAY(),Holidays)-1)&amp;" of "&amp;CHOOSE($Z683,3,3,2,2,3))&amp;" | Total Day "&amp;MAX(0,NETWORKDAYS($N683,TODAY(),Holidays)-1))</f>
        <v/>
      </c>
      <c r="X683" s="18"/>
      <c r="Y683" s="18"/>
      <c r="Z683" s="17">
        <f>IF($N683="","",COUNT($N683:$S683))</f>
        <v/>
      </c>
      <c r="AA683" s="19">
        <f>IF($Z683="","",INT(INDEX($N683:$S683,$Z683)))</f>
        <v/>
      </c>
      <c r="AB683" s="19">
        <f>IF(OR($Z683="",$Z683=6),"",WORKDAY($AA683,CHOOSE($Z683,3,3,2,2,3),Holidays))</f>
        <v/>
      </c>
      <c r="AC683" s="17">
        <f>IF(OR($Z683="",$Z683=6),"",CHOOSE($Z683,"1st Email Follow-up","2nd Email Follow-up","Escalate Local Office","Escalate to CBE","Escalate to Roxanne"))</f>
        <v/>
      </c>
    </row>
    <row r="684" spans="13:29">
      <c r="M684" s="14"/>
      <c r="T684" s="16"/>
      <c r="U684" s="17">
        <f>IF(AND(COUNTA($A684:$L684)=0,$N684=""),"",IF($T684="Paid","PAID",IF($T684="Closed","CLOSED",IF($Z684="","",IF($Z684=6,"ESCALATED TO ROXANNE",IF(TODAY()&gt;$AB684,"OVERDUE",IF($AB684&lt;=WORKDAY(TODAY(),1,Holidays),"DUE TOMORROW",IF($Z684=4,"ESCALATED TO LOCAL OFFICE",IF($Z684=5,"ESCALATED TO CBE",IF($AA684=TODAY(),"EMAIL SENT","MONITORING"))))))))))</f>
        <v/>
      </c>
      <c r="V684" s="17">
        <f>IF($U684="",IF(AND(COUNTA($A684:$L684)&gt;0,$N684=""),"Awaiting Collection Email time stamp.",""),IF(OR($U684="PAID",$U684="CLOSED"),IF($U684="PAID","Account paid. Action completed.","Account closed. No further action required."),CHOOSE($Z684,"Collection Email","1st Email Follow-up","2nd Email Follow-up","Escalation to Local Office","Escalation to CBE","Escalation to Roxanne")&amp;" sent "&amp;TEXT($AA684,"dd-mmm")&amp;". "&amp;IF($Z684=6,"Final escalation completed.",IF($U684="OVERDUE","Next: "&amp;$AC684&amp;" was due "&amp;TEXT($AB684,"dd-mmm")&amp;" - "&amp;(NETWORKDAYS($AB684,TODAY(),Holidays)-1)&amp;" business day(s) late. Send now.",IF($U684="DUE TOMORROW","Next: "&amp;$AC684&amp;IF($AB684&lt;=TODAY()," is due TODAY ("," is due next business day (")&amp;TEXT($AB684,"dd-mmm")&amp;").","Next: "&amp;$AC684&amp;" due "&amp;TEXT($AB684,"dd-mmm")&amp;" ("&amp;(NETWORKDAYS(TODAY(),$AB684,Holidays)-1)&amp;" business day(s) left).")))))</f>
        <v/>
      </c>
      <c r="W684" s="17">
        <f>IF($Z684="","",CHOOSE($Z684,"Collection Email","1st Follow-up","2nd Follow-up","Local Office","CBE","Roxanne")&amp;IF($Z684=6," - Final"," - Day "&amp;MAX(0,NETWORKDAYS($AA684,TODAY(),Holidays)-1)&amp;" of "&amp;CHOOSE($Z684,3,3,2,2,3))&amp;" | Total Day "&amp;MAX(0,NETWORKDAYS($N684,TODAY(),Holidays)-1))</f>
        <v/>
      </c>
      <c r="X684" s="18"/>
      <c r="Y684" s="18"/>
      <c r="Z684" s="17">
        <f>IF($N684="","",COUNT($N684:$S684))</f>
        <v/>
      </c>
      <c r="AA684" s="19">
        <f>IF($Z684="","",INT(INDEX($N684:$S684,$Z684)))</f>
        <v/>
      </c>
      <c r="AB684" s="19">
        <f>IF(OR($Z684="",$Z684=6),"",WORKDAY($AA684,CHOOSE($Z684,3,3,2,2,3),Holidays))</f>
        <v/>
      </c>
      <c r="AC684" s="17">
        <f>IF(OR($Z684="",$Z684=6),"",CHOOSE($Z684,"1st Email Follow-up","2nd Email Follow-up","Escalate Local Office","Escalate to CBE","Escalate to Roxanne"))</f>
        <v/>
      </c>
    </row>
    <row r="685" spans="13:29">
      <c r="M685" s="14"/>
      <c r="T685" s="16"/>
      <c r="U685" s="17">
        <f>IF(AND(COUNTA($A685:$L685)=0,$N685=""),"",IF($T685="Paid","PAID",IF($T685="Closed","CLOSED",IF($Z685="","",IF($Z685=6,"ESCALATED TO ROXANNE",IF(TODAY()&gt;$AB685,"OVERDUE",IF($AB685&lt;=WORKDAY(TODAY(),1,Holidays),"DUE TOMORROW",IF($Z685=4,"ESCALATED TO LOCAL OFFICE",IF($Z685=5,"ESCALATED TO CBE",IF($AA685=TODAY(),"EMAIL SENT","MONITORING"))))))))))</f>
        <v/>
      </c>
      <c r="V685" s="17">
        <f>IF($U685="",IF(AND(COUNTA($A685:$L685)&gt;0,$N685=""),"Awaiting Collection Email time stamp.",""),IF(OR($U685="PAID",$U685="CLOSED"),IF($U685="PAID","Account paid. Action completed.","Account closed. No further action required."),CHOOSE($Z685,"Collection Email","1st Email Follow-up","2nd Email Follow-up","Escalation to Local Office","Escalation to CBE","Escalation to Roxanne")&amp;" sent "&amp;TEXT($AA685,"dd-mmm")&amp;". "&amp;IF($Z685=6,"Final escalation completed.",IF($U685="OVERDUE","Next: "&amp;$AC685&amp;" was due "&amp;TEXT($AB685,"dd-mmm")&amp;" - "&amp;(NETWORKDAYS($AB685,TODAY(),Holidays)-1)&amp;" business day(s) late. Send now.",IF($U685="DUE TOMORROW","Next: "&amp;$AC685&amp;IF($AB685&lt;=TODAY()," is due TODAY ("," is due next business day (")&amp;TEXT($AB685,"dd-mmm")&amp;").","Next: "&amp;$AC685&amp;" due "&amp;TEXT($AB685,"dd-mmm")&amp;" ("&amp;(NETWORKDAYS(TODAY(),$AB685,Holidays)-1)&amp;" business day(s) left).")))))</f>
        <v/>
      </c>
      <c r="W685" s="17">
        <f>IF($Z685="","",CHOOSE($Z685,"Collection Email","1st Follow-up","2nd Follow-up","Local Office","CBE","Roxanne")&amp;IF($Z685=6," - Final"," - Day "&amp;MAX(0,NETWORKDAYS($AA685,TODAY(),Holidays)-1)&amp;" of "&amp;CHOOSE($Z685,3,3,2,2,3))&amp;" | Total Day "&amp;MAX(0,NETWORKDAYS($N685,TODAY(),Holidays)-1))</f>
        <v/>
      </c>
      <c r="X685" s="18"/>
      <c r="Y685" s="18"/>
      <c r="Z685" s="17">
        <f>IF($N685="","",COUNT($N685:$S685))</f>
        <v/>
      </c>
      <c r="AA685" s="19">
        <f>IF($Z685="","",INT(INDEX($N685:$S685,$Z685)))</f>
        <v/>
      </c>
      <c r="AB685" s="19">
        <f>IF(OR($Z685="",$Z685=6),"",WORKDAY($AA685,CHOOSE($Z685,3,3,2,2,3),Holidays))</f>
        <v/>
      </c>
      <c r="AC685" s="17">
        <f>IF(OR($Z685="",$Z685=6),"",CHOOSE($Z685,"1st Email Follow-up","2nd Email Follow-up","Escalate Local Office","Escalate to CBE","Escalate to Roxanne"))</f>
        <v/>
      </c>
    </row>
    <row r="686" spans="13:29">
      <c r="M686" s="14"/>
      <c r="T686" s="16"/>
      <c r="U686" s="17">
        <f>IF(AND(COUNTA($A686:$L686)=0,$N686=""),"",IF($T686="Paid","PAID",IF($T686="Closed","CLOSED",IF($Z686="","",IF($Z686=6,"ESCALATED TO ROXANNE",IF(TODAY()&gt;$AB686,"OVERDUE",IF($AB686&lt;=WORKDAY(TODAY(),1,Holidays),"DUE TOMORROW",IF($Z686=4,"ESCALATED TO LOCAL OFFICE",IF($Z686=5,"ESCALATED TO CBE",IF($AA686=TODAY(),"EMAIL SENT","MONITORING"))))))))))</f>
        <v/>
      </c>
      <c r="V686" s="17">
        <f>IF($U686="",IF(AND(COUNTA($A686:$L686)&gt;0,$N686=""),"Awaiting Collection Email time stamp.",""),IF(OR($U686="PAID",$U686="CLOSED"),IF($U686="PAID","Account paid. Action completed.","Account closed. No further action required."),CHOOSE($Z686,"Collection Email","1st Email Follow-up","2nd Email Follow-up","Escalation to Local Office","Escalation to CBE","Escalation to Roxanne")&amp;" sent "&amp;TEXT($AA686,"dd-mmm")&amp;". "&amp;IF($Z686=6,"Final escalation completed.",IF($U686="OVERDUE","Next: "&amp;$AC686&amp;" was due "&amp;TEXT($AB686,"dd-mmm")&amp;" - "&amp;(NETWORKDAYS($AB686,TODAY(),Holidays)-1)&amp;" business day(s) late. Send now.",IF($U686="DUE TOMORROW","Next: "&amp;$AC686&amp;IF($AB686&lt;=TODAY()," is due TODAY ("," is due next business day (")&amp;TEXT($AB686,"dd-mmm")&amp;").","Next: "&amp;$AC686&amp;" due "&amp;TEXT($AB686,"dd-mmm")&amp;" ("&amp;(NETWORKDAYS(TODAY(),$AB686,Holidays)-1)&amp;" business day(s) left).")))))</f>
        <v/>
      </c>
      <c r="W686" s="17">
        <f>IF($Z686="","",CHOOSE($Z686,"Collection Email","1st Follow-up","2nd Follow-up","Local Office","CBE","Roxanne")&amp;IF($Z686=6," - Final"," - Day "&amp;MAX(0,NETWORKDAYS($AA686,TODAY(),Holidays)-1)&amp;" of "&amp;CHOOSE($Z686,3,3,2,2,3))&amp;" | Total Day "&amp;MAX(0,NETWORKDAYS($N686,TODAY(),Holidays)-1))</f>
        <v/>
      </c>
      <c r="X686" s="18"/>
      <c r="Y686" s="18"/>
      <c r="Z686" s="17">
        <f>IF($N686="","",COUNT($N686:$S686))</f>
        <v/>
      </c>
      <c r="AA686" s="19">
        <f>IF($Z686="","",INT(INDEX($N686:$S686,$Z686)))</f>
        <v/>
      </c>
      <c r="AB686" s="19">
        <f>IF(OR($Z686="",$Z686=6),"",WORKDAY($AA686,CHOOSE($Z686,3,3,2,2,3),Holidays))</f>
        <v/>
      </c>
      <c r="AC686" s="17">
        <f>IF(OR($Z686="",$Z686=6),"",CHOOSE($Z686,"1st Email Follow-up","2nd Email Follow-up","Escalate Local Office","Escalate to CBE","Escalate to Roxanne"))</f>
        <v/>
      </c>
    </row>
    <row r="687" spans="13:29">
      <c r="M687" s="14"/>
      <c r="T687" s="16"/>
      <c r="U687" s="17">
        <f>IF(AND(COUNTA($A687:$L687)=0,$N687=""),"",IF($T687="Paid","PAID",IF($T687="Closed","CLOSED",IF($Z687="","",IF($Z687=6,"ESCALATED TO ROXANNE",IF(TODAY()&gt;$AB687,"OVERDUE",IF($AB687&lt;=WORKDAY(TODAY(),1,Holidays),"DUE TOMORROW",IF($Z687=4,"ESCALATED TO LOCAL OFFICE",IF($Z687=5,"ESCALATED TO CBE",IF($AA687=TODAY(),"EMAIL SENT","MONITORING"))))))))))</f>
        <v/>
      </c>
      <c r="V687" s="17">
        <f>IF($U687="",IF(AND(COUNTA($A687:$L687)&gt;0,$N687=""),"Awaiting Collection Email time stamp.",""),IF(OR($U687="PAID",$U687="CLOSED"),IF($U687="PAID","Account paid. Action completed.","Account closed. No further action required."),CHOOSE($Z687,"Collection Email","1st Email Follow-up","2nd Email Follow-up","Escalation to Local Office","Escalation to CBE","Escalation to Roxanne")&amp;" sent "&amp;TEXT($AA687,"dd-mmm")&amp;". "&amp;IF($Z687=6,"Final escalation completed.",IF($U687="OVERDUE","Next: "&amp;$AC687&amp;" was due "&amp;TEXT($AB687,"dd-mmm")&amp;" - "&amp;(NETWORKDAYS($AB687,TODAY(),Holidays)-1)&amp;" business day(s) late. Send now.",IF($U687="DUE TOMORROW","Next: "&amp;$AC687&amp;IF($AB687&lt;=TODAY()," is due TODAY ("," is due next business day (")&amp;TEXT($AB687,"dd-mmm")&amp;").","Next: "&amp;$AC687&amp;" due "&amp;TEXT($AB687,"dd-mmm")&amp;" ("&amp;(NETWORKDAYS(TODAY(),$AB687,Holidays)-1)&amp;" business day(s) left).")))))</f>
        <v/>
      </c>
      <c r="W687" s="17">
        <f>IF($Z687="","",CHOOSE($Z687,"Collection Email","1st Follow-up","2nd Follow-up","Local Office","CBE","Roxanne")&amp;IF($Z687=6," - Final"," - Day "&amp;MAX(0,NETWORKDAYS($AA687,TODAY(),Holidays)-1)&amp;" of "&amp;CHOOSE($Z687,3,3,2,2,3))&amp;" | Total Day "&amp;MAX(0,NETWORKDAYS($N687,TODAY(),Holidays)-1))</f>
        <v/>
      </c>
      <c r="X687" s="18"/>
      <c r="Y687" s="18"/>
      <c r="Z687" s="17">
        <f>IF($N687="","",COUNT($N687:$S687))</f>
        <v/>
      </c>
      <c r="AA687" s="19">
        <f>IF($Z687="","",INT(INDEX($N687:$S687,$Z687)))</f>
        <v/>
      </c>
      <c r="AB687" s="19">
        <f>IF(OR($Z687="",$Z687=6),"",WORKDAY($AA687,CHOOSE($Z687,3,3,2,2,3),Holidays))</f>
        <v/>
      </c>
      <c r="AC687" s="17">
        <f>IF(OR($Z687="",$Z687=6),"",CHOOSE($Z687,"1st Email Follow-up","2nd Email Follow-up","Escalate Local Office","Escalate to CBE","Escalate to Roxanne"))</f>
        <v/>
      </c>
    </row>
    <row r="688" spans="13:29">
      <c r="M688" s="14"/>
      <c r="T688" s="16"/>
      <c r="U688" s="17">
        <f>IF(AND(COUNTA($A688:$L688)=0,$N688=""),"",IF($T688="Paid","PAID",IF($T688="Closed","CLOSED",IF($Z688="","",IF($Z688=6,"ESCALATED TO ROXANNE",IF(TODAY()&gt;$AB688,"OVERDUE",IF($AB688&lt;=WORKDAY(TODAY(),1,Holidays),"DUE TOMORROW",IF($Z688=4,"ESCALATED TO LOCAL OFFICE",IF($Z688=5,"ESCALATED TO CBE",IF($AA688=TODAY(),"EMAIL SENT","MONITORING"))))))))))</f>
        <v/>
      </c>
      <c r="V688" s="17">
        <f>IF($U688="",IF(AND(COUNTA($A688:$L688)&gt;0,$N688=""),"Awaiting Collection Email time stamp.",""),IF(OR($U688="PAID",$U688="CLOSED"),IF($U688="PAID","Account paid. Action completed.","Account closed. No further action required."),CHOOSE($Z688,"Collection Email","1st Email Follow-up","2nd Email Follow-up","Escalation to Local Office","Escalation to CBE","Escalation to Roxanne")&amp;" sent "&amp;TEXT($AA688,"dd-mmm")&amp;". "&amp;IF($Z688=6,"Final escalation completed.",IF($U688="OVERDUE","Next: "&amp;$AC688&amp;" was due "&amp;TEXT($AB688,"dd-mmm")&amp;" - "&amp;(NETWORKDAYS($AB688,TODAY(),Holidays)-1)&amp;" business day(s) late. Send now.",IF($U688="DUE TOMORROW","Next: "&amp;$AC688&amp;IF($AB688&lt;=TODAY()," is due TODAY ("," is due next business day (")&amp;TEXT($AB688,"dd-mmm")&amp;").","Next: "&amp;$AC688&amp;" due "&amp;TEXT($AB688,"dd-mmm")&amp;" ("&amp;(NETWORKDAYS(TODAY(),$AB688,Holidays)-1)&amp;" business day(s) left).")))))</f>
        <v/>
      </c>
      <c r="W688" s="17">
        <f>IF($Z688="","",CHOOSE($Z688,"Collection Email","1st Follow-up","2nd Follow-up","Local Office","CBE","Roxanne")&amp;IF($Z688=6," - Final"," - Day "&amp;MAX(0,NETWORKDAYS($AA688,TODAY(),Holidays)-1)&amp;" of "&amp;CHOOSE($Z688,3,3,2,2,3))&amp;" | Total Day "&amp;MAX(0,NETWORKDAYS($N688,TODAY(),Holidays)-1))</f>
        <v/>
      </c>
      <c r="X688" s="18"/>
      <c r="Y688" s="18"/>
      <c r="Z688" s="17">
        <f>IF($N688="","",COUNT($N688:$S688))</f>
        <v/>
      </c>
      <c r="AA688" s="19">
        <f>IF($Z688="","",INT(INDEX($N688:$S688,$Z688)))</f>
        <v/>
      </c>
      <c r="AB688" s="19">
        <f>IF(OR($Z688="",$Z688=6),"",WORKDAY($AA688,CHOOSE($Z688,3,3,2,2,3),Holidays))</f>
        <v/>
      </c>
      <c r="AC688" s="17">
        <f>IF(OR($Z688="",$Z688=6),"",CHOOSE($Z688,"1st Email Follow-up","2nd Email Follow-up","Escalate Local Office","Escalate to CBE","Escalate to Roxanne"))</f>
        <v/>
      </c>
    </row>
    <row r="689" spans="13:29">
      <c r="M689" s="14"/>
      <c r="T689" s="16"/>
      <c r="U689" s="17">
        <f>IF(AND(COUNTA($A689:$L689)=0,$N689=""),"",IF($T689="Paid","PAID",IF($T689="Closed","CLOSED",IF($Z689="","",IF($Z689=6,"ESCALATED TO ROXANNE",IF(TODAY()&gt;$AB689,"OVERDUE",IF($AB689&lt;=WORKDAY(TODAY(),1,Holidays),"DUE TOMORROW",IF($Z689=4,"ESCALATED TO LOCAL OFFICE",IF($Z689=5,"ESCALATED TO CBE",IF($AA689=TODAY(),"EMAIL SENT","MONITORING"))))))))))</f>
        <v/>
      </c>
      <c r="V689" s="17">
        <f>IF($U689="",IF(AND(COUNTA($A689:$L689)&gt;0,$N689=""),"Awaiting Collection Email time stamp.",""),IF(OR($U689="PAID",$U689="CLOSED"),IF($U689="PAID","Account paid. Action completed.","Account closed. No further action required."),CHOOSE($Z689,"Collection Email","1st Email Follow-up","2nd Email Follow-up","Escalation to Local Office","Escalation to CBE","Escalation to Roxanne")&amp;" sent "&amp;TEXT($AA689,"dd-mmm")&amp;". "&amp;IF($Z689=6,"Final escalation completed.",IF($U689="OVERDUE","Next: "&amp;$AC689&amp;" was due "&amp;TEXT($AB689,"dd-mmm")&amp;" - "&amp;(NETWORKDAYS($AB689,TODAY(),Holidays)-1)&amp;" business day(s) late. Send now.",IF($U689="DUE TOMORROW","Next: "&amp;$AC689&amp;IF($AB689&lt;=TODAY()," is due TODAY ("," is due next business day (")&amp;TEXT($AB689,"dd-mmm")&amp;").","Next: "&amp;$AC689&amp;" due "&amp;TEXT($AB689,"dd-mmm")&amp;" ("&amp;(NETWORKDAYS(TODAY(),$AB689,Holidays)-1)&amp;" business day(s) left).")))))</f>
        <v/>
      </c>
      <c r="W689" s="17">
        <f>IF($Z689="","",CHOOSE($Z689,"Collection Email","1st Follow-up","2nd Follow-up","Local Office","CBE","Roxanne")&amp;IF($Z689=6," - Final"," - Day "&amp;MAX(0,NETWORKDAYS($AA689,TODAY(),Holidays)-1)&amp;" of "&amp;CHOOSE($Z689,3,3,2,2,3))&amp;" | Total Day "&amp;MAX(0,NETWORKDAYS($N689,TODAY(),Holidays)-1))</f>
        <v/>
      </c>
      <c r="X689" s="18"/>
      <c r="Y689" s="18"/>
      <c r="Z689" s="17">
        <f>IF($N689="","",COUNT($N689:$S689))</f>
        <v/>
      </c>
      <c r="AA689" s="19">
        <f>IF($Z689="","",INT(INDEX($N689:$S689,$Z689)))</f>
        <v/>
      </c>
      <c r="AB689" s="19">
        <f>IF(OR($Z689="",$Z689=6),"",WORKDAY($AA689,CHOOSE($Z689,3,3,2,2,3),Holidays))</f>
        <v/>
      </c>
      <c r="AC689" s="17">
        <f>IF(OR($Z689="",$Z689=6),"",CHOOSE($Z689,"1st Email Follow-up","2nd Email Follow-up","Escalate Local Office","Escalate to CBE","Escalate to Roxanne"))</f>
        <v/>
      </c>
    </row>
    <row r="690" spans="13:29">
      <c r="M690" s="14"/>
      <c r="T690" s="16"/>
      <c r="U690" s="17">
        <f>IF(AND(COUNTA($A690:$L690)=0,$N690=""),"",IF($T690="Paid","PAID",IF($T690="Closed","CLOSED",IF($Z690="","",IF($Z690=6,"ESCALATED TO ROXANNE",IF(TODAY()&gt;$AB690,"OVERDUE",IF($AB690&lt;=WORKDAY(TODAY(),1,Holidays),"DUE TOMORROW",IF($Z690=4,"ESCALATED TO LOCAL OFFICE",IF($Z690=5,"ESCALATED TO CBE",IF($AA690=TODAY(),"EMAIL SENT","MONITORING"))))))))))</f>
        <v/>
      </c>
      <c r="V690" s="17">
        <f>IF($U690="",IF(AND(COUNTA($A690:$L690)&gt;0,$N690=""),"Awaiting Collection Email time stamp.",""),IF(OR($U690="PAID",$U690="CLOSED"),IF($U690="PAID","Account paid. Action completed.","Account closed. No further action required."),CHOOSE($Z690,"Collection Email","1st Email Follow-up","2nd Email Follow-up","Escalation to Local Office","Escalation to CBE","Escalation to Roxanne")&amp;" sent "&amp;TEXT($AA690,"dd-mmm")&amp;". "&amp;IF($Z690=6,"Final escalation completed.",IF($U690="OVERDUE","Next: "&amp;$AC690&amp;" was due "&amp;TEXT($AB690,"dd-mmm")&amp;" - "&amp;(NETWORKDAYS($AB690,TODAY(),Holidays)-1)&amp;" business day(s) late. Send now.",IF($U690="DUE TOMORROW","Next: "&amp;$AC690&amp;IF($AB690&lt;=TODAY()," is due TODAY ("," is due next business day (")&amp;TEXT($AB690,"dd-mmm")&amp;").","Next: "&amp;$AC690&amp;" due "&amp;TEXT($AB690,"dd-mmm")&amp;" ("&amp;(NETWORKDAYS(TODAY(),$AB690,Holidays)-1)&amp;" business day(s) left).")))))</f>
        <v/>
      </c>
      <c r="W690" s="17">
        <f>IF($Z690="","",CHOOSE($Z690,"Collection Email","1st Follow-up","2nd Follow-up","Local Office","CBE","Roxanne")&amp;IF($Z690=6," - Final"," - Day "&amp;MAX(0,NETWORKDAYS($AA690,TODAY(),Holidays)-1)&amp;" of "&amp;CHOOSE($Z690,3,3,2,2,3))&amp;" | Total Day "&amp;MAX(0,NETWORKDAYS($N690,TODAY(),Holidays)-1))</f>
        <v/>
      </c>
      <c r="X690" s="18"/>
      <c r="Y690" s="18"/>
      <c r="Z690" s="17">
        <f>IF($N690="","",COUNT($N690:$S690))</f>
        <v/>
      </c>
      <c r="AA690" s="19">
        <f>IF($Z690="","",INT(INDEX($N690:$S690,$Z690)))</f>
        <v/>
      </c>
      <c r="AB690" s="19">
        <f>IF(OR($Z690="",$Z690=6),"",WORKDAY($AA690,CHOOSE($Z690,3,3,2,2,3),Holidays))</f>
        <v/>
      </c>
      <c r="AC690" s="17">
        <f>IF(OR($Z690="",$Z690=6),"",CHOOSE($Z690,"1st Email Follow-up","2nd Email Follow-up","Escalate Local Office","Escalate to CBE","Escalate to Roxanne"))</f>
        <v/>
      </c>
    </row>
    <row r="691" spans="13:29">
      <c r="M691" s="14"/>
      <c r="T691" s="16"/>
      <c r="U691" s="17">
        <f>IF(AND(COUNTA($A691:$L691)=0,$N691=""),"",IF($T691="Paid","PAID",IF($T691="Closed","CLOSED",IF($Z691="","",IF($Z691=6,"ESCALATED TO ROXANNE",IF(TODAY()&gt;$AB691,"OVERDUE",IF($AB691&lt;=WORKDAY(TODAY(),1,Holidays),"DUE TOMORROW",IF($Z691=4,"ESCALATED TO LOCAL OFFICE",IF($Z691=5,"ESCALATED TO CBE",IF($AA691=TODAY(),"EMAIL SENT","MONITORING"))))))))))</f>
        <v/>
      </c>
      <c r="V691" s="17">
        <f>IF($U691="",IF(AND(COUNTA($A691:$L691)&gt;0,$N691=""),"Awaiting Collection Email time stamp.",""),IF(OR($U691="PAID",$U691="CLOSED"),IF($U691="PAID","Account paid. Action completed.","Account closed. No further action required."),CHOOSE($Z691,"Collection Email","1st Email Follow-up","2nd Email Follow-up","Escalation to Local Office","Escalation to CBE","Escalation to Roxanne")&amp;" sent "&amp;TEXT($AA691,"dd-mmm")&amp;". "&amp;IF($Z691=6,"Final escalation completed.",IF($U691="OVERDUE","Next: "&amp;$AC691&amp;" was due "&amp;TEXT($AB691,"dd-mmm")&amp;" - "&amp;(NETWORKDAYS($AB691,TODAY(),Holidays)-1)&amp;" business day(s) late. Send now.",IF($U691="DUE TOMORROW","Next: "&amp;$AC691&amp;IF($AB691&lt;=TODAY()," is due TODAY ("," is due next business day (")&amp;TEXT($AB691,"dd-mmm")&amp;").","Next: "&amp;$AC691&amp;" due "&amp;TEXT($AB691,"dd-mmm")&amp;" ("&amp;(NETWORKDAYS(TODAY(),$AB691,Holidays)-1)&amp;" business day(s) left).")))))</f>
        <v/>
      </c>
      <c r="W691" s="17">
        <f>IF($Z691="","",CHOOSE($Z691,"Collection Email","1st Follow-up","2nd Follow-up","Local Office","CBE","Roxanne")&amp;IF($Z691=6," - Final"," - Day "&amp;MAX(0,NETWORKDAYS($AA691,TODAY(),Holidays)-1)&amp;" of "&amp;CHOOSE($Z691,3,3,2,2,3))&amp;" | Total Day "&amp;MAX(0,NETWORKDAYS($N691,TODAY(),Holidays)-1))</f>
        <v/>
      </c>
      <c r="X691" s="18"/>
      <c r="Y691" s="18"/>
      <c r="Z691" s="17">
        <f>IF($N691="","",COUNT($N691:$S691))</f>
        <v/>
      </c>
      <c r="AA691" s="19">
        <f>IF($Z691="","",INT(INDEX($N691:$S691,$Z691)))</f>
        <v/>
      </c>
      <c r="AB691" s="19">
        <f>IF(OR($Z691="",$Z691=6),"",WORKDAY($AA691,CHOOSE($Z691,3,3,2,2,3),Holidays))</f>
        <v/>
      </c>
      <c r="AC691" s="17">
        <f>IF(OR($Z691="",$Z691=6),"",CHOOSE($Z691,"1st Email Follow-up","2nd Email Follow-up","Escalate Local Office","Escalate to CBE","Escalate to Roxanne"))</f>
        <v/>
      </c>
    </row>
    <row r="692" spans="13:29">
      <c r="M692" s="14"/>
      <c r="T692" s="16"/>
      <c r="U692" s="17">
        <f>IF(AND(COUNTA($A692:$L692)=0,$N692=""),"",IF($T692="Paid","PAID",IF($T692="Closed","CLOSED",IF($Z692="","",IF($Z692=6,"ESCALATED TO ROXANNE",IF(TODAY()&gt;$AB692,"OVERDUE",IF($AB692&lt;=WORKDAY(TODAY(),1,Holidays),"DUE TOMORROW",IF($Z692=4,"ESCALATED TO LOCAL OFFICE",IF($Z692=5,"ESCALATED TO CBE",IF($AA692=TODAY(),"EMAIL SENT","MONITORING"))))))))))</f>
        <v/>
      </c>
      <c r="V692" s="17">
        <f>IF($U692="",IF(AND(COUNTA($A692:$L692)&gt;0,$N692=""),"Awaiting Collection Email time stamp.",""),IF(OR($U692="PAID",$U692="CLOSED"),IF($U692="PAID","Account paid. Action completed.","Account closed. No further action required."),CHOOSE($Z692,"Collection Email","1st Email Follow-up","2nd Email Follow-up","Escalation to Local Office","Escalation to CBE","Escalation to Roxanne")&amp;" sent "&amp;TEXT($AA692,"dd-mmm")&amp;". "&amp;IF($Z692=6,"Final escalation completed.",IF($U692="OVERDUE","Next: "&amp;$AC692&amp;" was due "&amp;TEXT($AB692,"dd-mmm")&amp;" - "&amp;(NETWORKDAYS($AB692,TODAY(),Holidays)-1)&amp;" business day(s) late. Send now.",IF($U692="DUE TOMORROW","Next: "&amp;$AC692&amp;IF($AB692&lt;=TODAY()," is due TODAY ("," is due next business day (")&amp;TEXT($AB692,"dd-mmm")&amp;").","Next: "&amp;$AC692&amp;" due "&amp;TEXT($AB692,"dd-mmm")&amp;" ("&amp;(NETWORKDAYS(TODAY(),$AB692,Holidays)-1)&amp;" business day(s) left).")))))</f>
        <v/>
      </c>
      <c r="W692" s="17">
        <f>IF($Z692="","",CHOOSE($Z692,"Collection Email","1st Follow-up","2nd Follow-up","Local Office","CBE","Roxanne")&amp;IF($Z692=6," - Final"," - Day "&amp;MAX(0,NETWORKDAYS($AA692,TODAY(),Holidays)-1)&amp;" of "&amp;CHOOSE($Z692,3,3,2,2,3))&amp;" | Total Day "&amp;MAX(0,NETWORKDAYS($N692,TODAY(),Holidays)-1))</f>
        <v/>
      </c>
      <c r="X692" s="18"/>
      <c r="Y692" s="18"/>
      <c r="Z692" s="17">
        <f>IF($N692="","",COUNT($N692:$S692))</f>
        <v/>
      </c>
      <c r="AA692" s="19">
        <f>IF($Z692="","",INT(INDEX($N692:$S692,$Z692)))</f>
        <v/>
      </c>
      <c r="AB692" s="19">
        <f>IF(OR($Z692="",$Z692=6),"",WORKDAY($AA692,CHOOSE($Z692,3,3,2,2,3),Holidays))</f>
        <v/>
      </c>
      <c r="AC692" s="17">
        <f>IF(OR($Z692="",$Z692=6),"",CHOOSE($Z692,"1st Email Follow-up","2nd Email Follow-up","Escalate Local Office","Escalate to CBE","Escalate to Roxanne"))</f>
        <v/>
      </c>
    </row>
    <row r="693" spans="13:29">
      <c r="M693" s="14"/>
      <c r="T693" s="16"/>
      <c r="U693" s="17">
        <f>IF(AND(COUNTA($A693:$L693)=0,$N693=""),"",IF($T693="Paid","PAID",IF($T693="Closed","CLOSED",IF($Z693="","",IF($Z693=6,"ESCALATED TO ROXANNE",IF(TODAY()&gt;$AB693,"OVERDUE",IF($AB693&lt;=WORKDAY(TODAY(),1,Holidays),"DUE TOMORROW",IF($Z693=4,"ESCALATED TO LOCAL OFFICE",IF($Z693=5,"ESCALATED TO CBE",IF($AA693=TODAY(),"EMAIL SENT","MONITORING"))))))))))</f>
        <v/>
      </c>
      <c r="V693" s="17">
        <f>IF($U693="",IF(AND(COUNTA($A693:$L693)&gt;0,$N693=""),"Awaiting Collection Email time stamp.",""),IF(OR($U693="PAID",$U693="CLOSED"),IF($U693="PAID","Account paid. Action completed.","Account closed. No further action required."),CHOOSE($Z693,"Collection Email","1st Email Follow-up","2nd Email Follow-up","Escalation to Local Office","Escalation to CBE","Escalation to Roxanne")&amp;" sent "&amp;TEXT($AA693,"dd-mmm")&amp;". "&amp;IF($Z693=6,"Final escalation completed.",IF($U693="OVERDUE","Next: "&amp;$AC693&amp;" was due "&amp;TEXT($AB693,"dd-mmm")&amp;" - "&amp;(NETWORKDAYS($AB693,TODAY(),Holidays)-1)&amp;" business day(s) late. Send now.",IF($U693="DUE TOMORROW","Next: "&amp;$AC693&amp;IF($AB693&lt;=TODAY()," is due TODAY ("," is due next business day (")&amp;TEXT($AB693,"dd-mmm")&amp;").","Next: "&amp;$AC693&amp;" due "&amp;TEXT($AB693,"dd-mmm")&amp;" ("&amp;(NETWORKDAYS(TODAY(),$AB693,Holidays)-1)&amp;" business day(s) left).")))))</f>
        <v/>
      </c>
      <c r="W693" s="17">
        <f>IF($Z693="","",CHOOSE($Z693,"Collection Email","1st Follow-up","2nd Follow-up","Local Office","CBE","Roxanne")&amp;IF($Z693=6," - Final"," - Day "&amp;MAX(0,NETWORKDAYS($AA693,TODAY(),Holidays)-1)&amp;" of "&amp;CHOOSE($Z693,3,3,2,2,3))&amp;" | Total Day "&amp;MAX(0,NETWORKDAYS($N693,TODAY(),Holidays)-1))</f>
        <v/>
      </c>
      <c r="X693" s="18"/>
      <c r="Y693" s="18"/>
      <c r="Z693" s="17">
        <f>IF($N693="","",COUNT($N693:$S693))</f>
        <v/>
      </c>
      <c r="AA693" s="19">
        <f>IF($Z693="","",INT(INDEX($N693:$S693,$Z693)))</f>
        <v/>
      </c>
      <c r="AB693" s="19">
        <f>IF(OR($Z693="",$Z693=6),"",WORKDAY($AA693,CHOOSE($Z693,3,3,2,2,3),Holidays))</f>
        <v/>
      </c>
      <c r="AC693" s="17">
        <f>IF(OR($Z693="",$Z693=6),"",CHOOSE($Z693,"1st Email Follow-up","2nd Email Follow-up","Escalate Local Office","Escalate to CBE","Escalate to Roxanne"))</f>
        <v/>
      </c>
    </row>
    <row r="694" spans="13:29">
      <c r="M694" s="14"/>
      <c r="T694" s="16"/>
      <c r="U694" s="17">
        <f>IF(AND(COUNTA($A694:$L694)=0,$N694=""),"",IF($T694="Paid","PAID",IF($T694="Closed","CLOSED",IF($Z694="","",IF($Z694=6,"ESCALATED TO ROXANNE",IF(TODAY()&gt;$AB694,"OVERDUE",IF($AB694&lt;=WORKDAY(TODAY(),1,Holidays),"DUE TOMORROW",IF($Z694=4,"ESCALATED TO LOCAL OFFICE",IF($Z694=5,"ESCALATED TO CBE",IF($AA694=TODAY(),"EMAIL SENT","MONITORING"))))))))))</f>
        <v/>
      </c>
      <c r="V694" s="17">
        <f>IF($U694="",IF(AND(COUNTA($A694:$L694)&gt;0,$N694=""),"Awaiting Collection Email time stamp.",""),IF(OR($U694="PAID",$U694="CLOSED"),IF($U694="PAID","Account paid. Action completed.","Account closed. No further action required."),CHOOSE($Z694,"Collection Email","1st Email Follow-up","2nd Email Follow-up","Escalation to Local Office","Escalation to CBE","Escalation to Roxanne")&amp;" sent "&amp;TEXT($AA694,"dd-mmm")&amp;". "&amp;IF($Z694=6,"Final escalation completed.",IF($U694="OVERDUE","Next: "&amp;$AC694&amp;" was due "&amp;TEXT($AB694,"dd-mmm")&amp;" - "&amp;(NETWORKDAYS($AB694,TODAY(),Holidays)-1)&amp;" business day(s) late. Send now.",IF($U694="DUE TOMORROW","Next: "&amp;$AC694&amp;IF($AB694&lt;=TODAY()," is due TODAY ("," is due next business day (")&amp;TEXT($AB694,"dd-mmm")&amp;").","Next: "&amp;$AC694&amp;" due "&amp;TEXT($AB694,"dd-mmm")&amp;" ("&amp;(NETWORKDAYS(TODAY(),$AB694,Holidays)-1)&amp;" business day(s) left).")))))</f>
        <v/>
      </c>
      <c r="W694" s="17">
        <f>IF($Z694="","",CHOOSE($Z694,"Collection Email","1st Follow-up","2nd Follow-up","Local Office","CBE","Roxanne")&amp;IF($Z694=6," - Final"," - Day "&amp;MAX(0,NETWORKDAYS($AA694,TODAY(),Holidays)-1)&amp;" of "&amp;CHOOSE($Z694,3,3,2,2,3))&amp;" | Total Day "&amp;MAX(0,NETWORKDAYS($N694,TODAY(),Holidays)-1))</f>
        <v/>
      </c>
      <c r="X694" s="18"/>
      <c r="Y694" s="18"/>
      <c r="Z694" s="17">
        <f>IF($N694="","",COUNT($N694:$S694))</f>
        <v/>
      </c>
      <c r="AA694" s="19">
        <f>IF($Z694="","",INT(INDEX($N694:$S694,$Z694)))</f>
        <v/>
      </c>
      <c r="AB694" s="19">
        <f>IF(OR($Z694="",$Z694=6),"",WORKDAY($AA694,CHOOSE($Z694,3,3,2,2,3),Holidays))</f>
        <v/>
      </c>
      <c r="AC694" s="17">
        <f>IF(OR($Z694="",$Z694=6),"",CHOOSE($Z694,"1st Email Follow-up","2nd Email Follow-up","Escalate Local Office","Escalate to CBE","Escalate to Roxanne"))</f>
        <v/>
      </c>
    </row>
    <row r="695" spans="13:29">
      <c r="M695" s="14"/>
      <c r="T695" s="16"/>
      <c r="U695" s="17">
        <f>IF(AND(COUNTA($A695:$L695)=0,$N695=""),"",IF($T695="Paid","PAID",IF($T695="Closed","CLOSED",IF($Z695="","",IF($Z695=6,"ESCALATED TO ROXANNE",IF(TODAY()&gt;$AB695,"OVERDUE",IF($AB695&lt;=WORKDAY(TODAY(),1,Holidays),"DUE TOMORROW",IF($Z695=4,"ESCALATED TO LOCAL OFFICE",IF($Z695=5,"ESCALATED TO CBE",IF($AA695=TODAY(),"EMAIL SENT","MONITORING"))))))))))</f>
        <v/>
      </c>
      <c r="V695" s="17">
        <f>IF($U695="",IF(AND(COUNTA($A695:$L695)&gt;0,$N695=""),"Awaiting Collection Email time stamp.",""),IF(OR($U695="PAID",$U695="CLOSED"),IF($U695="PAID","Account paid. Action completed.","Account closed. No further action required."),CHOOSE($Z695,"Collection Email","1st Email Follow-up","2nd Email Follow-up","Escalation to Local Office","Escalation to CBE","Escalation to Roxanne")&amp;" sent "&amp;TEXT($AA695,"dd-mmm")&amp;". "&amp;IF($Z695=6,"Final escalation completed.",IF($U695="OVERDUE","Next: "&amp;$AC695&amp;" was due "&amp;TEXT($AB695,"dd-mmm")&amp;" - "&amp;(NETWORKDAYS($AB695,TODAY(),Holidays)-1)&amp;" business day(s) late. Send now.",IF($U695="DUE TOMORROW","Next: "&amp;$AC695&amp;IF($AB695&lt;=TODAY()," is due TODAY ("," is due next business day (")&amp;TEXT($AB695,"dd-mmm")&amp;").","Next: "&amp;$AC695&amp;" due "&amp;TEXT($AB695,"dd-mmm")&amp;" ("&amp;(NETWORKDAYS(TODAY(),$AB695,Holidays)-1)&amp;" business day(s) left).")))))</f>
        <v/>
      </c>
      <c r="W695" s="17">
        <f>IF($Z695="","",CHOOSE($Z695,"Collection Email","1st Follow-up","2nd Follow-up","Local Office","CBE","Roxanne")&amp;IF($Z695=6," - Final"," - Day "&amp;MAX(0,NETWORKDAYS($AA695,TODAY(),Holidays)-1)&amp;" of "&amp;CHOOSE($Z695,3,3,2,2,3))&amp;" | Total Day "&amp;MAX(0,NETWORKDAYS($N695,TODAY(),Holidays)-1))</f>
        <v/>
      </c>
      <c r="X695" s="18"/>
      <c r="Y695" s="18"/>
      <c r="Z695" s="17">
        <f>IF($N695="","",COUNT($N695:$S695))</f>
        <v/>
      </c>
      <c r="AA695" s="19">
        <f>IF($Z695="","",INT(INDEX($N695:$S695,$Z695)))</f>
        <v/>
      </c>
      <c r="AB695" s="19">
        <f>IF(OR($Z695="",$Z695=6),"",WORKDAY($AA695,CHOOSE($Z695,3,3,2,2,3),Holidays))</f>
        <v/>
      </c>
      <c r="AC695" s="17">
        <f>IF(OR($Z695="",$Z695=6),"",CHOOSE($Z695,"1st Email Follow-up","2nd Email Follow-up","Escalate Local Office","Escalate to CBE","Escalate to Roxanne"))</f>
        <v/>
      </c>
    </row>
    <row r="696" spans="13:29">
      <c r="M696" s="14"/>
      <c r="T696" s="16"/>
      <c r="U696" s="17">
        <f>IF(AND(COUNTA($A696:$L696)=0,$N696=""),"",IF($T696="Paid","PAID",IF($T696="Closed","CLOSED",IF($Z696="","",IF($Z696=6,"ESCALATED TO ROXANNE",IF(TODAY()&gt;$AB696,"OVERDUE",IF($AB696&lt;=WORKDAY(TODAY(),1,Holidays),"DUE TOMORROW",IF($Z696=4,"ESCALATED TO LOCAL OFFICE",IF($Z696=5,"ESCALATED TO CBE",IF($AA696=TODAY(),"EMAIL SENT","MONITORING"))))))))))</f>
        <v/>
      </c>
      <c r="V696" s="17">
        <f>IF($U696="",IF(AND(COUNTA($A696:$L696)&gt;0,$N696=""),"Awaiting Collection Email time stamp.",""),IF(OR($U696="PAID",$U696="CLOSED"),IF($U696="PAID","Account paid. Action completed.","Account closed. No further action required."),CHOOSE($Z696,"Collection Email","1st Email Follow-up","2nd Email Follow-up","Escalation to Local Office","Escalation to CBE","Escalation to Roxanne")&amp;" sent "&amp;TEXT($AA696,"dd-mmm")&amp;". "&amp;IF($Z696=6,"Final escalation completed.",IF($U696="OVERDUE","Next: "&amp;$AC696&amp;" was due "&amp;TEXT($AB696,"dd-mmm")&amp;" - "&amp;(NETWORKDAYS($AB696,TODAY(),Holidays)-1)&amp;" business day(s) late. Send now.",IF($U696="DUE TOMORROW","Next: "&amp;$AC696&amp;IF($AB696&lt;=TODAY()," is due TODAY ("," is due next business day (")&amp;TEXT($AB696,"dd-mmm")&amp;").","Next: "&amp;$AC696&amp;" due "&amp;TEXT($AB696,"dd-mmm")&amp;" ("&amp;(NETWORKDAYS(TODAY(),$AB696,Holidays)-1)&amp;" business day(s) left).")))))</f>
        <v/>
      </c>
      <c r="W696" s="17">
        <f>IF($Z696="","",CHOOSE($Z696,"Collection Email","1st Follow-up","2nd Follow-up","Local Office","CBE","Roxanne")&amp;IF($Z696=6," - Final"," - Day "&amp;MAX(0,NETWORKDAYS($AA696,TODAY(),Holidays)-1)&amp;" of "&amp;CHOOSE($Z696,3,3,2,2,3))&amp;" | Total Day "&amp;MAX(0,NETWORKDAYS($N696,TODAY(),Holidays)-1))</f>
        <v/>
      </c>
      <c r="X696" s="18"/>
      <c r="Y696" s="18"/>
      <c r="Z696" s="17">
        <f>IF($N696="","",COUNT($N696:$S696))</f>
        <v/>
      </c>
      <c r="AA696" s="19">
        <f>IF($Z696="","",INT(INDEX($N696:$S696,$Z696)))</f>
        <v/>
      </c>
      <c r="AB696" s="19">
        <f>IF(OR($Z696="",$Z696=6),"",WORKDAY($AA696,CHOOSE($Z696,3,3,2,2,3),Holidays))</f>
        <v/>
      </c>
      <c r="AC696" s="17">
        <f>IF(OR($Z696="",$Z696=6),"",CHOOSE($Z696,"1st Email Follow-up","2nd Email Follow-up","Escalate Local Office","Escalate to CBE","Escalate to Roxanne"))</f>
        <v/>
      </c>
    </row>
    <row r="697" spans="13:29">
      <c r="M697" s="14"/>
      <c r="T697" s="16"/>
      <c r="U697" s="17">
        <f>IF(AND(COUNTA($A697:$L697)=0,$N697=""),"",IF($T697="Paid","PAID",IF($T697="Closed","CLOSED",IF($Z697="","",IF($Z697=6,"ESCALATED TO ROXANNE",IF(TODAY()&gt;$AB697,"OVERDUE",IF($AB697&lt;=WORKDAY(TODAY(),1,Holidays),"DUE TOMORROW",IF($Z697=4,"ESCALATED TO LOCAL OFFICE",IF($Z697=5,"ESCALATED TO CBE",IF($AA697=TODAY(),"EMAIL SENT","MONITORING"))))))))))</f>
        <v/>
      </c>
      <c r="V697" s="17">
        <f>IF($U697="",IF(AND(COUNTA($A697:$L697)&gt;0,$N697=""),"Awaiting Collection Email time stamp.",""),IF(OR($U697="PAID",$U697="CLOSED"),IF($U697="PAID","Account paid. Action completed.","Account closed. No further action required."),CHOOSE($Z697,"Collection Email","1st Email Follow-up","2nd Email Follow-up","Escalation to Local Office","Escalation to CBE","Escalation to Roxanne")&amp;" sent "&amp;TEXT($AA697,"dd-mmm")&amp;". "&amp;IF($Z697=6,"Final escalation completed.",IF($U697="OVERDUE","Next: "&amp;$AC697&amp;" was due "&amp;TEXT($AB697,"dd-mmm")&amp;" - "&amp;(NETWORKDAYS($AB697,TODAY(),Holidays)-1)&amp;" business day(s) late. Send now.",IF($U697="DUE TOMORROW","Next: "&amp;$AC697&amp;IF($AB697&lt;=TODAY()," is due TODAY ("," is due next business day (")&amp;TEXT($AB697,"dd-mmm")&amp;").","Next: "&amp;$AC697&amp;" due "&amp;TEXT($AB697,"dd-mmm")&amp;" ("&amp;(NETWORKDAYS(TODAY(),$AB697,Holidays)-1)&amp;" business day(s) left).")))))</f>
        <v/>
      </c>
      <c r="W697" s="17">
        <f>IF($Z697="","",CHOOSE($Z697,"Collection Email","1st Follow-up","2nd Follow-up","Local Office","CBE","Roxanne")&amp;IF($Z697=6," - Final"," - Day "&amp;MAX(0,NETWORKDAYS($AA697,TODAY(),Holidays)-1)&amp;" of "&amp;CHOOSE($Z697,3,3,2,2,3))&amp;" | Total Day "&amp;MAX(0,NETWORKDAYS($N697,TODAY(),Holidays)-1))</f>
        <v/>
      </c>
      <c r="X697" s="18"/>
      <c r="Y697" s="18"/>
      <c r="Z697" s="17">
        <f>IF($N697="","",COUNT($N697:$S697))</f>
        <v/>
      </c>
      <c r="AA697" s="19">
        <f>IF($Z697="","",INT(INDEX($N697:$S697,$Z697)))</f>
        <v/>
      </c>
      <c r="AB697" s="19">
        <f>IF(OR($Z697="",$Z697=6),"",WORKDAY($AA697,CHOOSE($Z697,3,3,2,2,3),Holidays))</f>
        <v/>
      </c>
      <c r="AC697" s="17">
        <f>IF(OR($Z697="",$Z697=6),"",CHOOSE($Z697,"1st Email Follow-up","2nd Email Follow-up","Escalate Local Office","Escalate to CBE","Escalate to Roxanne"))</f>
        <v/>
      </c>
    </row>
    <row r="698" spans="13:29">
      <c r="M698" s="14"/>
      <c r="T698" s="16"/>
      <c r="U698" s="17">
        <f>IF(AND(COUNTA($A698:$L698)=0,$N698=""),"",IF($T698="Paid","PAID",IF($T698="Closed","CLOSED",IF($Z698="","",IF($Z698=6,"ESCALATED TO ROXANNE",IF(TODAY()&gt;$AB698,"OVERDUE",IF($AB698&lt;=WORKDAY(TODAY(),1,Holidays),"DUE TOMORROW",IF($Z698=4,"ESCALATED TO LOCAL OFFICE",IF($Z698=5,"ESCALATED TO CBE",IF($AA698=TODAY(),"EMAIL SENT","MONITORING"))))))))))</f>
        <v/>
      </c>
      <c r="V698" s="17">
        <f>IF($U698="",IF(AND(COUNTA($A698:$L698)&gt;0,$N698=""),"Awaiting Collection Email time stamp.",""),IF(OR($U698="PAID",$U698="CLOSED"),IF($U698="PAID","Account paid. Action completed.","Account closed. No further action required."),CHOOSE($Z698,"Collection Email","1st Email Follow-up","2nd Email Follow-up","Escalation to Local Office","Escalation to CBE","Escalation to Roxanne")&amp;" sent "&amp;TEXT($AA698,"dd-mmm")&amp;". "&amp;IF($Z698=6,"Final escalation completed.",IF($U698="OVERDUE","Next: "&amp;$AC698&amp;" was due "&amp;TEXT($AB698,"dd-mmm")&amp;" - "&amp;(NETWORKDAYS($AB698,TODAY(),Holidays)-1)&amp;" business day(s) late. Send now.",IF($U698="DUE TOMORROW","Next: "&amp;$AC698&amp;IF($AB698&lt;=TODAY()," is due TODAY ("," is due next business day (")&amp;TEXT($AB698,"dd-mmm")&amp;").","Next: "&amp;$AC698&amp;" due "&amp;TEXT($AB698,"dd-mmm")&amp;" ("&amp;(NETWORKDAYS(TODAY(),$AB698,Holidays)-1)&amp;" business day(s) left).")))))</f>
        <v/>
      </c>
      <c r="W698" s="17">
        <f>IF($Z698="","",CHOOSE($Z698,"Collection Email","1st Follow-up","2nd Follow-up","Local Office","CBE","Roxanne")&amp;IF($Z698=6," - Final"," - Day "&amp;MAX(0,NETWORKDAYS($AA698,TODAY(),Holidays)-1)&amp;" of "&amp;CHOOSE($Z698,3,3,2,2,3))&amp;" | Total Day "&amp;MAX(0,NETWORKDAYS($N698,TODAY(),Holidays)-1))</f>
        <v/>
      </c>
      <c r="X698" s="18"/>
      <c r="Y698" s="18"/>
      <c r="Z698" s="17">
        <f>IF($N698="","",COUNT($N698:$S698))</f>
        <v/>
      </c>
      <c r="AA698" s="19">
        <f>IF($Z698="","",INT(INDEX($N698:$S698,$Z698)))</f>
        <v/>
      </c>
      <c r="AB698" s="19">
        <f>IF(OR($Z698="",$Z698=6),"",WORKDAY($AA698,CHOOSE($Z698,3,3,2,2,3),Holidays))</f>
        <v/>
      </c>
      <c r="AC698" s="17">
        <f>IF(OR($Z698="",$Z698=6),"",CHOOSE($Z698,"1st Email Follow-up","2nd Email Follow-up","Escalate Local Office","Escalate to CBE","Escalate to Roxanne"))</f>
        <v/>
      </c>
    </row>
    <row r="699" spans="13:29">
      <c r="M699" s="14"/>
      <c r="T699" s="16"/>
      <c r="U699" s="17">
        <f>IF(AND(COUNTA($A699:$L699)=0,$N699=""),"",IF($T699="Paid","PAID",IF($T699="Closed","CLOSED",IF($Z699="","",IF($Z699=6,"ESCALATED TO ROXANNE",IF(TODAY()&gt;$AB699,"OVERDUE",IF($AB699&lt;=WORKDAY(TODAY(),1,Holidays),"DUE TOMORROW",IF($Z699=4,"ESCALATED TO LOCAL OFFICE",IF($Z699=5,"ESCALATED TO CBE",IF($AA699=TODAY(),"EMAIL SENT","MONITORING"))))))))))</f>
        <v/>
      </c>
      <c r="V699" s="17">
        <f>IF($U699="",IF(AND(COUNTA($A699:$L699)&gt;0,$N699=""),"Awaiting Collection Email time stamp.",""),IF(OR($U699="PAID",$U699="CLOSED"),IF($U699="PAID","Account paid. Action completed.","Account closed. No further action required."),CHOOSE($Z699,"Collection Email","1st Email Follow-up","2nd Email Follow-up","Escalation to Local Office","Escalation to CBE","Escalation to Roxanne")&amp;" sent "&amp;TEXT($AA699,"dd-mmm")&amp;". "&amp;IF($Z699=6,"Final escalation completed.",IF($U699="OVERDUE","Next: "&amp;$AC699&amp;" was due "&amp;TEXT($AB699,"dd-mmm")&amp;" - "&amp;(NETWORKDAYS($AB699,TODAY(),Holidays)-1)&amp;" business day(s) late. Send now.",IF($U699="DUE TOMORROW","Next: "&amp;$AC699&amp;IF($AB699&lt;=TODAY()," is due TODAY ("," is due next business day (")&amp;TEXT($AB699,"dd-mmm")&amp;").","Next: "&amp;$AC699&amp;" due "&amp;TEXT($AB699,"dd-mmm")&amp;" ("&amp;(NETWORKDAYS(TODAY(),$AB699,Holidays)-1)&amp;" business day(s) left).")))))</f>
        <v/>
      </c>
      <c r="W699" s="17">
        <f>IF($Z699="","",CHOOSE($Z699,"Collection Email","1st Follow-up","2nd Follow-up","Local Office","CBE","Roxanne")&amp;IF($Z699=6," - Final"," - Day "&amp;MAX(0,NETWORKDAYS($AA699,TODAY(),Holidays)-1)&amp;" of "&amp;CHOOSE($Z699,3,3,2,2,3))&amp;" | Total Day "&amp;MAX(0,NETWORKDAYS($N699,TODAY(),Holidays)-1))</f>
        <v/>
      </c>
      <c r="X699" s="18"/>
      <c r="Y699" s="18"/>
      <c r="Z699" s="17">
        <f>IF($N699="","",COUNT($N699:$S699))</f>
        <v/>
      </c>
      <c r="AA699" s="19">
        <f>IF($Z699="","",INT(INDEX($N699:$S699,$Z699)))</f>
        <v/>
      </c>
      <c r="AB699" s="19">
        <f>IF(OR($Z699="",$Z699=6),"",WORKDAY($AA699,CHOOSE($Z699,3,3,2,2,3),Holidays))</f>
        <v/>
      </c>
      <c r="AC699" s="17">
        <f>IF(OR($Z699="",$Z699=6),"",CHOOSE($Z699,"1st Email Follow-up","2nd Email Follow-up","Escalate Local Office","Escalate to CBE","Escalate to Roxanne"))</f>
        <v/>
      </c>
    </row>
    <row r="700" spans="13:29">
      <c r="M700" s="14"/>
      <c r="T700" s="16"/>
      <c r="U700" s="17">
        <f>IF(AND(COUNTA($A700:$L700)=0,$N700=""),"",IF($T700="Paid","PAID",IF($T700="Closed","CLOSED",IF($Z700="","",IF($Z700=6,"ESCALATED TO ROXANNE",IF(TODAY()&gt;$AB700,"OVERDUE",IF($AB700&lt;=WORKDAY(TODAY(),1,Holidays),"DUE TOMORROW",IF($Z700=4,"ESCALATED TO LOCAL OFFICE",IF($Z700=5,"ESCALATED TO CBE",IF($AA700=TODAY(),"EMAIL SENT","MONITORING"))))))))))</f>
        <v/>
      </c>
      <c r="V700" s="17">
        <f>IF($U700="",IF(AND(COUNTA($A700:$L700)&gt;0,$N700=""),"Awaiting Collection Email time stamp.",""),IF(OR($U700="PAID",$U700="CLOSED"),IF($U700="PAID","Account paid. Action completed.","Account closed. No further action required."),CHOOSE($Z700,"Collection Email","1st Email Follow-up","2nd Email Follow-up","Escalation to Local Office","Escalation to CBE","Escalation to Roxanne")&amp;" sent "&amp;TEXT($AA700,"dd-mmm")&amp;". "&amp;IF($Z700=6,"Final escalation completed.",IF($U700="OVERDUE","Next: "&amp;$AC700&amp;" was due "&amp;TEXT($AB700,"dd-mmm")&amp;" - "&amp;(NETWORKDAYS($AB700,TODAY(),Holidays)-1)&amp;" business day(s) late. Send now.",IF($U700="DUE TOMORROW","Next: "&amp;$AC700&amp;IF($AB700&lt;=TODAY()," is due TODAY ("," is due next business day (")&amp;TEXT($AB700,"dd-mmm")&amp;").","Next: "&amp;$AC700&amp;" due "&amp;TEXT($AB700,"dd-mmm")&amp;" ("&amp;(NETWORKDAYS(TODAY(),$AB700,Holidays)-1)&amp;" business day(s) left).")))))</f>
        <v/>
      </c>
      <c r="W700" s="17">
        <f>IF($Z700="","",CHOOSE($Z700,"Collection Email","1st Follow-up","2nd Follow-up","Local Office","CBE","Roxanne")&amp;IF($Z700=6," - Final"," - Day "&amp;MAX(0,NETWORKDAYS($AA700,TODAY(),Holidays)-1)&amp;" of "&amp;CHOOSE($Z700,3,3,2,2,3))&amp;" | Total Day "&amp;MAX(0,NETWORKDAYS($N700,TODAY(),Holidays)-1))</f>
        <v/>
      </c>
      <c r="X700" s="18"/>
      <c r="Y700" s="18"/>
      <c r="Z700" s="17">
        <f>IF($N700="","",COUNT($N700:$S700))</f>
        <v/>
      </c>
      <c r="AA700" s="19">
        <f>IF($Z700="","",INT(INDEX($N700:$S700,$Z700)))</f>
        <v/>
      </c>
      <c r="AB700" s="19">
        <f>IF(OR($Z700="",$Z700=6),"",WORKDAY($AA700,CHOOSE($Z700,3,3,2,2,3),Holidays))</f>
        <v/>
      </c>
      <c r="AC700" s="17">
        <f>IF(OR($Z700="",$Z700=6),"",CHOOSE($Z700,"1st Email Follow-up","2nd Email Follow-up","Escalate Local Office","Escalate to CBE","Escalate to Roxanne"))</f>
        <v/>
      </c>
    </row>
    <row r="701" spans="13:29">
      <c r="M701" s="14"/>
      <c r="T701" s="16"/>
      <c r="U701" s="17">
        <f>IF(AND(COUNTA($A701:$L701)=0,$N701=""),"",IF($T701="Paid","PAID",IF($T701="Closed","CLOSED",IF($Z701="","",IF($Z701=6,"ESCALATED TO ROXANNE",IF(TODAY()&gt;$AB701,"OVERDUE",IF($AB701&lt;=WORKDAY(TODAY(),1,Holidays),"DUE TOMORROW",IF($Z701=4,"ESCALATED TO LOCAL OFFICE",IF($Z701=5,"ESCALATED TO CBE",IF($AA701=TODAY(),"EMAIL SENT","MONITORING"))))))))))</f>
        <v/>
      </c>
      <c r="V701" s="17">
        <f>IF($U701="",IF(AND(COUNTA($A701:$L701)&gt;0,$N701=""),"Awaiting Collection Email time stamp.",""),IF(OR($U701="PAID",$U701="CLOSED"),IF($U701="PAID","Account paid. Action completed.","Account closed. No further action required."),CHOOSE($Z701,"Collection Email","1st Email Follow-up","2nd Email Follow-up","Escalation to Local Office","Escalation to CBE","Escalation to Roxanne")&amp;" sent "&amp;TEXT($AA701,"dd-mmm")&amp;". "&amp;IF($Z701=6,"Final escalation completed.",IF($U701="OVERDUE","Next: "&amp;$AC701&amp;" was due "&amp;TEXT($AB701,"dd-mmm")&amp;" - "&amp;(NETWORKDAYS($AB701,TODAY(),Holidays)-1)&amp;" business day(s) late. Send now.",IF($U701="DUE TOMORROW","Next: "&amp;$AC701&amp;IF($AB701&lt;=TODAY()," is due TODAY ("," is due next business day (")&amp;TEXT($AB701,"dd-mmm")&amp;").","Next: "&amp;$AC701&amp;" due "&amp;TEXT($AB701,"dd-mmm")&amp;" ("&amp;(NETWORKDAYS(TODAY(),$AB701,Holidays)-1)&amp;" business day(s) left).")))))</f>
        <v/>
      </c>
      <c r="W701" s="17">
        <f>IF($Z701="","",CHOOSE($Z701,"Collection Email","1st Follow-up","2nd Follow-up","Local Office","CBE","Roxanne")&amp;IF($Z701=6," - Final"," - Day "&amp;MAX(0,NETWORKDAYS($AA701,TODAY(),Holidays)-1)&amp;" of "&amp;CHOOSE($Z701,3,3,2,2,3))&amp;" | Total Day "&amp;MAX(0,NETWORKDAYS($N701,TODAY(),Holidays)-1))</f>
        <v/>
      </c>
      <c r="X701" s="18"/>
      <c r="Y701" s="18"/>
      <c r="Z701" s="17">
        <f>IF($N701="","",COUNT($N701:$S701))</f>
        <v/>
      </c>
      <c r="AA701" s="19">
        <f>IF($Z701="","",INT(INDEX($N701:$S701,$Z701)))</f>
        <v/>
      </c>
      <c r="AB701" s="19">
        <f>IF(OR($Z701="",$Z701=6),"",WORKDAY($AA701,CHOOSE($Z701,3,3,2,2,3),Holidays))</f>
        <v/>
      </c>
      <c r="AC701" s="17">
        <f>IF(OR($Z701="",$Z701=6),"",CHOOSE($Z701,"1st Email Follow-up","2nd Email Follow-up","Escalate Local Office","Escalate to CBE","Escalate to Roxanne"))</f>
        <v/>
      </c>
    </row>
    <row r="702" spans="13:29">
      <c r="M702" s="14"/>
      <c r="T702" s="16"/>
      <c r="U702" s="17">
        <f>IF(AND(COUNTA($A702:$L702)=0,$N702=""),"",IF($T702="Paid","PAID",IF($T702="Closed","CLOSED",IF($Z702="","",IF($Z702=6,"ESCALATED TO ROXANNE",IF(TODAY()&gt;$AB702,"OVERDUE",IF($AB702&lt;=WORKDAY(TODAY(),1,Holidays),"DUE TOMORROW",IF($Z702=4,"ESCALATED TO LOCAL OFFICE",IF($Z702=5,"ESCALATED TO CBE",IF($AA702=TODAY(),"EMAIL SENT","MONITORING"))))))))))</f>
        <v/>
      </c>
      <c r="V702" s="17">
        <f>IF($U702="",IF(AND(COUNTA($A702:$L702)&gt;0,$N702=""),"Awaiting Collection Email time stamp.",""),IF(OR($U702="PAID",$U702="CLOSED"),IF($U702="PAID","Account paid. Action completed.","Account closed. No further action required."),CHOOSE($Z702,"Collection Email","1st Email Follow-up","2nd Email Follow-up","Escalation to Local Office","Escalation to CBE","Escalation to Roxanne")&amp;" sent "&amp;TEXT($AA702,"dd-mmm")&amp;". "&amp;IF($Z702=6,"Final escalation completed.",IF($U702="OVERDUE","Next: "&amp;$AC702&amp;" was due "&amp;TEXT($AB702,"dd-mmm")&amp;" - "&amp;(NETWORKDAYS($AB702,TODAY(),Holidays)-1)&amp;" business day(s) late. Send now.",IF($U702="DUE TOMORROW","Next: "&amp;$AC702&amp;IF($AB702&lt;=TODAY()," is due TODAY ("," is due next business day (")&amp;TEXT($AB702,"dd-mmm")&amp;").","Next: "&amp;$AC702&amp;" due "&amp;TEXT($AB702,"dd-mmm")&amp;" ("&amp;(NETWORKDAYS(TODAY(),$AB702,Holidays)-1)&amp;" business day(s) left).")))))</f>
        <v/>
      </c>
      <c r="W702" s="17">
        <f>IF($Z702="","",CHOOSE($Z702,"Collection Email","1st Follow-up","2nd Follow-up","Local Office","CBE","Roxanne")&amp;IF($Z702=6," - Final"," - Day "&amp;MAX(0,NETWORKDAYS($AA702,TODAY(),Holidays)-1)&amp;" of "&amp;CHOOSE($Z702,3,3,2,2,3))&amp;" | Total Day "&amp;MAX(0,NETWORKDAYS($N702,TODAY(),Holidays)-1))</f>
        <v/>
      </c>
      <c r="X702" s="18"/>
      <c r="Y702" s="18"/>
      <c r="Z702" s="17">
        <f>IF($N702="","",COUNT($N702:$S702))</f>
        <v/>
      </c>
      <c r="AA702" s="19">
        <f>IF($Z702="","",INT(INDEX($N702:$S702,$Z702)))</f>
        <v/>
      </c>
      <c r="AB702" s="19">
        <f>IF(OR($Z702="",$Z702=6),"",WORKDAY($AA702,CHOOSE($Z702,3,3,2,2,3),Holidays))</f>
        <v/>
      </c>
      <c r="AC702" s="17">
        <f>IF(OR($Z702="",$Z702=6),"",CHOOSE($Z702,"1st Email Follow-up","2nd Email Follow-up","Escalate Local Office","Escalate to CBE","Escalate to Roxanne"))</f>
        <v/>
      </c>
    </row>
    <row r="703" spans="13:29">
      <c r="M703" s="14"/>
      <c r="T703" s="16"/>
      <c r="U703" s="17">
        <f>IF(AND(COUNTA($A703:$L703)=0,$N703=""),"",IF($T703="Paid","PAID",IF($T703="Closed","CLOSED",IF($Z703="","",IF($Z703=6,"ESCALATED TO ROXANNE",IF(TODAY()&gt;$AB703,"OVERDUE",IF($AB703&lt;=WORKDAY(TODAY(),1,Holidays),"DUE TOMORROW",IF($Z703=4,"ESCALATED TO LOCAL OFFICE",IF($Z703=5,"ESCALATED TO CBE",IF($AA703=TODAY(),"EMAIL SENT","MONITORING"))))))))))</f>
        <v/>
      </c>
      <c r="V703" s="17">
        <f>IF($U703="",IF(AND(COUNTA($A703:$L703)&gt;0,$N703=""),"Awaiting Collection Email time stamp.",""),IF(OR($U703="PAID",$U703="CLOSED"),IF($U703="PAID","Account paid. Action completed.","Account closed. No further action required."),CHOOSE($Z703,"Collection Email","1st Email Follow-up","2nd Email Follow-up","Escalation to Local Office","Escalation to CBE","Escalation to Roxanne")&amp;" sent "&amp;TEXT($AA703,"dd-mmm")&amp;". "&amp;IF($Z703=6,"Final escalation completed.",IF($U703="OVERDUE","Next: "&amp;$AC703&amp;" was due "&amp;TEXT($AB703,"dd-mmm")&amp;" - "&amp;(NETWORKDAYS($AB703,TODAY(),Holidays)-1)&amp;" business day(s) late. Send now.",IF($U703="DUE TOMORROW","Next: "&amp;$AC703&amp;IF($AB703&lt;=TODAY()," is due TODAY ("," is due next business day (")&amp;TEXT($AB703,"dd-mmm")&amp;").","Next: "&amp;$AC703&amp;" due "&amp;TEXT($AB703,"dd-mmm")&amp;" ("&amp;(NETWORKDAYS(TODAY(),$AB703,Holidays)-1)&amp;" business day(s) left).")))))</f>
        <v/>
      </c>
      <c r="W703" s="17">
        <f>IF($Z703="","",CHOOSE($Z703,"Collection Email","1st Follow-up","2nd Follow-up","Local Office","CBE","Roxanne")&amp;IF($Z703=6," - Final"," - Day "&amp;MAX(0,NETWORKDAYS($AA703,TODAY(),Holidays)-1)&amp;" of "&amp;CHOOSE($Z703,3,3,2,2,3))&amp;" | Total Day "&amp;MAX(0,NETWORKDAYS($N703,TODAY(),Holidays)-1))</f>
        <v/>
      </c>
      <c r="X703" s="18"/>
      <c r="Y703" s="18"/>
      <c r="Z703" s="17">
        <f>IF($N703="","",COUNT($N703:$S703))</f>
        <v/>
      </c>
      <c r="AA703" s="19">
        <f>IF($Z703="","",INT(INDEX($N703:$S703,$Z703)))</f>
        <v/>
      </c>
      <c r="AB703" s="19">
        <f>IF(OR($Z703="",$Z703=6),"",WORKDAY($AA703,CHOOSE($Z703,3,3,2,2,3),Holidays))</f>
        <v/>
      </c>
      <c r="AC703" s="17">
        <f>IF(OR($Z703="",$Z703=6),"",CHOOSE($Z703,"1st Email Follow-up","2nd Email Follow-up","Escalate Local Office","Escalate to CBE","Escalate to Roxanne"))</f>
        <v/>
      </c>
    </row>
    <row r="704" spans="13:29">
      <c r="M704" s="14"/>
      <c r="T704" s="16"/>
      <c r="U704" s="17">
        <f>IF(AND(COUNTA($A704:$L704)=0,$N704=""),"",IF($T704="Paid","PAID",IF($T704="Closed","CLOSED",IF($Z704="","",IF($Z704=6,"ESCALATED TO ROXANNE",IF(TODAY()&gt;$AB704,"OVERDUE",IF($AB704&lt;=WORKDAY(TODAY(),1,Holidays),"DUE TOMORROW",IF($Z704=4,"ESCALATED TO LOCAL OFFICE",IF($Z704=5,"ESCALATED TO CBE",IF($AA704=TODAY(),"EMAIL SENT","MONITORING"))))))))))</f>
        <v/>
      </c>
      <c r="V704" s="17">
        <f>IF($U704="",IF(AND(COUNTA($A704:$L704)&gt;0,$N704=""),"Awaiting Collection Email time stamp.",""),IF(OR($U704="PAID",$U704="CLOSED"),IF($U704="PAID","Account paid. Action completed.","Account closed. No further action required."),CHOOSE($Z704,"Collection Email","1st Email Follow-up","2nd Email Follow-up","Escalation to Local Office","Escalation to CBE","Escalation to Roxanne")&amp;" sent "&amp;TEXT($AA704,"dd-mmm")&amp;". "&amp;IF($Z704=6,"Final escalation completed.",IF($U704="OVERDUE","Next: "&amp;$AC704&amp;" was due "&amp;TEXT($AB704,"dd-mmm")&amp;" - "&amp;(NETWORKDAYS($AB704,TODAY(),Holidays)-1)&amp;" business day(s) late. Send now.",IF($U704="DUE TOMORROW","Next: "&amp;$AC704&amp;IF($AB704&lt;=TODAY()," is due TODAY ("," is due next business day (")&amp;TEXT($AB704,"dd-mmm")&amp;").","Next: "&amp;$AC704&amp;" due "&amp;TEXT($AB704,"dd-mmm")&amp;" ("&amp;(NETWORKDAYS(TODAY(),$AB704,Holidays)-1)&amp;" business day(s) left).")))))</f>
        <v/>
      </c>
      <c r="W704" s="17">
        <f>IF($Z704="","",CHOOSE($Z704,"Collection Email","1st Follow-up","2nd Follow-up","Local Office","CBE","Roxanne")&amp;IF($Z704=6," - Final"," - Day "&amp;MAX(0,NETWORKDAYS($AA704,TODAY(),Holidays)-1)&amp;" of "&amp;CHOOSE($Z704,3,3,2,2,3))&amp;" | Total Day "&amp;MAX(0,NETWORKDAYS($N704,TODAY(),Holidays)-1))</f>
        <v/>
      </c>
      <c r="X704" s="18"/>
      <c r="Y704" s="18"/>
      <c r="Z704" s="17">
        <f>IF($N704="","",COUNT($N704:$S704))</f>
        <v/>
      </c>
      <c r="AA704" s="19">
        <f>IF($Z704="","",INT(INDEX($N704:$S704,$Z704)))</f>
        <v/>
      </c>
      <c r="AB704" s="19">
        <f>IF(OR($Z704="",$Z704=6),"",WORKDAY($AA704,CHOOSE($Z704,3,3,2,2,3),Holidays))</f>
        <v/>
      </c>
      <c r="AC704" s="17">
        <f>IF(OR($Z704="",$Z704=6),"",CHOOSE($Z704,"1st Email Follow-up","2nd Email Follow-up","Escalate Local Office","Escalate to CBE","Escalate to Roxanne"))</f>
        <v/>
      </c>
    </row>
    <row r="705" spans="13:29">
      <c r="M705" s="14"/>
      <c r="T705" s="16"/>
      <c r="U705" s="17">
        <f>IF(AND(COUNTA($A705:$L705)=0,$N705=""),"",IF($T705="Paid","PAID",IF($T705="Closed","CLOSED",IF($Z705="","",IF($Z705=6,"ESCALATED TO ROXANNE",IF(TODAY()&gt;$AB705,"OVERDUE",IF($AB705&lt;=WORKDAY(TODAY(),1,Holidays),"DUE TOMORROW",IF($Z705=4,"ESCALATED TO LOCAL OFFICE",IF($Z705=5,"ESCALATED TO CBE",IF($AA705=TODAY(),"EMAIL SENT","MONITORING"))))))))))</f>
        <v/>
      </c>
      <c r="V705" s="17">
        <f>IF($U705="",IF(AND(COUNTA($A705:$L705)&gt;0,$N705=""),"Awaiting Collection Email time stamp.",""),IF(OR($U705="PAID",$U705="CLOSED"),IF($U705="PAID","Account paid. Action completed.","Account closed. No further action required."),CHOOSE($Z705,"Collection Email","1st Email Follow-up","2nd Email Follow-up","Escalation to Local Office","Escalation to CBE","Escalation to Roxanne")&amp;" sent "&amp;TEXT($AA705,"dd-mmm")&amp;". "&amp;IF($Z705=6,"Final escalation completed.",IF($U705="OVERDUE","Next: "&amp;$AC705&amp;" was due "&amp;TEXT($AB705,"dd-mmm")&amp;" - "&amp;(NETWORKDAYS($AB705,TODAY(),Holidays)-1)&amp;" business day(s) late. Send now.",IF($U705="DUE TOMORROW","Next: "&amp;$AC705&amp;IF($AB705&lt;=TODAY()," is due TODAY ("," is due next business day (")&amp;TEXT($AB705,"dd-mmm")&amp;").","Next: "&amp;$AC705&amp;" due "&amp;TEXT($AB705,"dd-mmm")&amp;" ("&amp;(NETWORKDAYS(TODAY(),$AB705,Holidays)-1)&amp;" business day(s) left).")))))</f>
        <v/>
      </c>
      <c r="W705" s="17">
        <f>IF($Z705="","",CHOOSE($Z705,"Collection Email","1st Follow-up","2nd Follow-up","Local Office","CBE","Roxanne")&amp;IF($Z705=6," - Final"," - Day "&amp;MAX(0,NETWORKDAYS($AA705,TODAY(),Holidays)-1)&amp;" of "&amp;CHOOSE($Z705,3,3,2,2,3))&amp;" | Total Day "&amp;MAX(0,NETWORKDAYS($N705,TODAY(),Holidays)-1))</f>
        <v/>
      </c>
      <c r="X705" s="18"/>
      <c r="Y705" s="18"/>
      <c r="Z705" s="17">
        <f>IF($N705="","",COUNT($N705:$S705))</f>
        <v/>
      </c>
      <c r="AA705" s="19">
        <f>IF($Z705="","",INT(INDEX($N705:$S705,$Z705)))</f>
        <v/>
      </c>
      <c r="AB705" s="19">
        <f>IF(OR($Z705="",$Z705=6),"",WORKDAY($AA705,CHOOSE($Z705,3,3,2,2,3),Holidays))</f>
        <v/>
      </c>
      <c r="AC705" s="17">
        <f>IF(OR($Z705="",$Z705=6),"",CHOOSE($Z705,"1st Email Follow-up","2nd Email Follow-up","Escalate Local Office","Escalate to CBE","Escalate to Roxanne"))</f>
        <v/>
      </c>
    </row>
    <row r="706" spans="13:29">
      <c r="M706" s="14"/>
      <c r="T706" s="16"/>
      <c r="U706" s="17">
        <f>IF(AND(COUNTA($A706:$L706)=0,$N706=""),"",IF($T706="Paid","PAID",IF($T706="Closed","CLOSED",IF($Z706="","",IF($Z706=6,"ESCALATED TO ROXANNE",IF(TODAY()&gt;$AB706,"OVERDUE",IF($AB706&lt;=WORKDAY(TODAY(),1,Holidays),"DUE TOMORROW",IF($Z706=4,"ESCALATED TO LOCAL OFFICE",IF($Z706=5,"ESCALATED TO CBE",IF($AA706=TODAY(),"EMAIL SENT","MONITORING"))))))))))</f>
        <v/>
      </c>
      <c r="V706" s="17">
        <f>IF($U706="",IF(AND(COUNTA($A706:$L706)&gt;0,$N706=""),"Awaiting Collection Email time stamp.",""),IF(OR($U706="PAID",$U706="CLOSED"),IF($U706="PAID","Account paid. Action completed.","Account closed. No further action required."),CHOOSE($Z706,"Collection Email","1st Email Follow-up","2nd Email Follow-up","Escalation to Local Office","Escalation to CBE","Escalation to Roxanne")&amp;" sent "&amp;TEXT($AA706,"dd-mmm")&amp;". "&amp;IF($Z706=6,"Final escalation completed.",IF($U706="OVERDUE","Next: "&amp;$AC706&amp;" was due "&amp;TEXT($AB706,"dd-mmm")&amp;" - "&amp;(NETWORKDAYS($AB706,TODAY(),Holidays)-1)&amp;" business day(s) late. Send now.",IF($U706="DUE TOMORROW","Next: "&amp;$AC706&amp;IF($AB706&lt;=TODAY()," is due TODAY ("," is due next business day (")&amp;TEXT($AB706,"dd-mmm")&amp;").","Next: "&amp;$AC706&amp;" due "&amp;TEXT($AB706,"dd-mmm")&amp;" ("&amp;(NETWORKDAYS(TODAY(),$AB706,Holidays)-1)&amp;" business day(s) left).")))))</f>
        <v/>
      </c>
      <c r="W706" s="17">
        <f>IF($Z706="","",CHOOSE($Z706,"Collection Email","1st Follow-up","2nd Follow-up","Local Office","CBE","Roxanne")&amp;IF($Z706=6," - Final"," - Day "&amp;MAX(0,NETWORKDAYS($AA706,TODAY(),Holidays)-1)&amp;" of "&amp;CHOOSE($Z706,3,3,2,2,3))&amp;" | Total Day "&amp;MAX(0,NETWORKDAYS($N706,TODAY(),Holidays)-1))</f>
        <v/>
      </c>
      <c r="X706" s="18"/>
      <c r="Y706" s="18"/>
      <c r="Z706" s="17">
        <f>IF($N706="","",COUNT($N706:$S706))</f>
        <v/>
      </c>
      <c r="AA706" s="19">
        <f>IF($Z706="","",INT(INDEX($N706:$S706,$Z706)))</f>
        <v/>
      </c>
      <c r="AB706" s="19">
        <f>IF(OR($Z706="",$Z706=6),"",WORKDAY($AA706,CHOOSE($Z706,3,3,2,2,3),Holidays))</f>
        <v/>
      </c>
      <c r="AC706" s="17">
        <f>IF(OR($Z706="",$Z706=6),"",CHOOSE($Z706,"1st Email Follow-up","2nd Email Follow-up","Escalate Local Office","Escalate to CBE","Escalate to Roxanne"))</f>
        <v/>
      </c>
    </row>
    <row r="707" spans="13:29">
      <c r="M707" s="14"/>
      <c r="T707" s="16"/>
      <c r="U707" s="17">
        <f>IF(AND(COUNTA($A707:$L707)=0,$N707=""),"",IF($T707="Paid","PAID",IF($T707="Closed","CLOSED",IF($Z707="","",IF($Z707=6,"ESCALATED TO ROXANNE",IF(TODAY()&gt;$AB707,"OVERDUE",IF($AB707&lt;=WORKDAY(TODAY(),1,Holidays),"DUE TOMORROW",IF($Z707=4,"ESCALATED TO LOCAL OFFICE",IF($Z707=5,"ESCALATED TO CBE",IF($AA707=TODAY(),"EMAIL SENT","MONITORING"))))))))))</f>
        <v/>
      </c>
      <c r="V707" s="17">
        <f>IF($U707="",IF(AND(COUNTA($A707:$L707)&gt;0,$N707=""),"Awaiting Collection Email time stamp.",""),IF(OR($U707="PAID",$U707="CLOSED"),IF($U707="PAID","Account paid. Action completed.","Account closed. No further action required."),CHOOSE($Z707,"Collection Email","1st Email Follow-up","2nd Email Follow-up","Escalation to Local Office","Escalation to CBE","Escalation to Roxanne")&amp;" sent "&amp;TEXT($AA707,"dd-mmm")&amp;". "&amp;IF($Z707=6,"Final escalation completed.",IF($U707="OVERDUE","Next: "&amp;$AC707&amp;" was due "&amp;TEXT($AB707,"dd-mmm")&amp;" - "&amp;(NETWORKDAYS($AB707,TODAY(),Holidays)-1)&amp;" business day(s) late. Send now.",IF($U707="DUE TOMORROW","Next: "&amp;$AC707&amp;IF($AB707&lt;=TODAY()," is due TODAY ("," is due next business day (")&amp;TEXT($AB707,"dd-mmm")&amp;").","Next: "&amp;$AC707&amp;" due "&amp;TEXT($AB707,"dd-mmm")&amp;" ("&amp;(NETWORKDAYS(TODAY(),$AB707,Holidays)-1)&amp;" business day(s) left).")))))</f>
        <v/>
      </c>
      <c r="W707" s="17">
        <f>IF($Z707="","",CHOOSE($Z707,"Collection Email","1st Follow-up","2nd Follow-up","Local Office","CBE","Roxanne")&amp;IF($Z707=6," - Final"," - Day "&amp;MAX(0,NETWORKDAYS($AA707,TODAY(),Holidays)-1)&amp;" of "&amp;CHOOSE($Z707,3,3,2,2,3))&amp;" | Total Day "&amp;MAX(0,NETWORKDAYS($N707,TODAY(),Holidays)-1))</f>
        <v/>
      </c>
      <c r="X707" s="18"/>
      <c r="Y707" s="18"/>
      <c r="Z707" s="17">
        <f>IF($N707="","",COUNT($N707:$S707))</f>
        <v/>
      </c>
      <c r="AA707" s="19">
        <f>IF($Z707="","",INT(INDEX($N707:$S707,$Z707)))</f>
        <v/>
      </c>
      <c r="AB707" s="19">
        <f>IF(OR($Z707="",$Z707=6),"",WORKDAY($AA707,CHOOSE($Z707,3,3,2,2,3),Holidays))</f>
        <v/>
      </c>
      <c r="AC707" s="17">
        <f>IF(OR($Z707="",$Z707=6),"",CHOOSE($Z707,"1st Email Follow-up","2nd Email Follow-up","Escalate Local Office","Escalate to CBE","Escalate to Roxanne"))</f>
        <v/>
      </c>
    </row>
    <row r="708" spans="13:29">
      <c r="M708" s="14"/>
      <c r="T708" s="16"/>
      <c r="U708" s="17">
        <f>IF(AND(COUNTA($A708:$L708)=0,$N708=""),"",IF($T708="Paid","PAID",IF($T708="Closed","CLOSED",IF($Z708="","",IF($Z708=6,"ESCALATED TO ROXANNE",IF(TODAY()&gt;$AB708,"OVERDUE",IF($AB708&lt;=WORKDAY(TODAY(),1,Holidays),"DUE TOMORROW",IF($Z708=4,"ESCALATED TO LOCAL OFFICE",IF($Z708=5,"ESCALATED TO CBE",IF($AA708=TODAY(),"EMAIL SENT","MONITORING"))))))))))</f>
        <v/>
      </c>
      <c r="V708" s="17">
        <f>IF($U708="",IF(AND(COUNTA($A708:$L708)&gt;0,$N708=""),"Awaiting Collection Email time stamp.",""),IF(OR($U708="PAID",$U708="CLOSED"),IF($U708="PAID","Account paid. Action completed.","Account closed. No further action required."),CHOOSE($Z708,"Collection Email","1st Email Follow-up","2nd Email Follow-up","Escalation to Local Office","Escalation to CBE","Escalation to Roxanne")&amp;" sent "&amp;TEXT($AA708,"dd-mmm")&amp;". "&amp;IF($Z708=6,"Final escalation completed.",IF($U708="OVERDUE","Next: "&amp;$AC708&amp;" was due "&amp;TEXT($AB708,"dd-mmm")&amp;" - "&amp;(NETWORKDAYS($AB708,TODAY(),Holidays)-1)&amp;" business day(s) late. Send now.",IF($U708="DUE TOMORROW","Next: "&amp;$AC708&amp;IF($AB708&lt;=TODAY()," is due TODAY ("," is due next business day (")&amp;TEXT($AB708,"dd-mmm")&amp;").","Next: "&amp;$AC708&amp;" due "&amp;TEXT($AB708,"dd-mmm")&amp;" ("&amp;(NETWORKDAYS(TODAY(),$AB708,Holidays)-1)&amp;" business day(s) left).")))))</f>
        <v/>
      </c>
      <c r="W708" s="17">
        <f>IF($Z708="","",CHOOSE($Z708,"Collection Email","1st Follow-up","2nd Follow-up","Local Office","CBE","Roxanne")&amp;IF($Z708=6," - Final"," - Day "&amp;MAX(0,NETWORKDAYS($AA708,TODAY(),Holidays)-1)&amp;" of "&amp;CHOOSE($Z708,3,3,2,2,3))&amp;" | Total Day "&amp;MAX(0,NETWORKDAYS($N708,TODAY(),Holidays)-1))</f>
        <v/>
      </c>
      <c r="X708" s="18"/>
      <c r="Y708" s="18"/>
      <c r="Z708" s="17">
        <f>IF($N708="","",COUNT($N708:$S708))</f>
        <v/>
      </c>
      <c r="AA708" s="19">
        <f>IF($Z708="","",INT(INDEX($N708:$S708,$Z708)))</f>
        <v/>
      </c>
      <c r="AB708" s="19">
        <f>IF(OR($Z708="",$Z708=6),"",WORKDAY($AA708,CHOOSE($Z708,3,3,2,2,3),Holidays))</f>
        <v/>
      </c>
      <c r="AC708" s="17">
        <f>IF(OR($Z708="",$Z708=6),"",CHOOSE($Z708,"1st Email Follow-up","2nd Email Follow-up","Escalate Local Office","Escalate to CBE","Escalate to Roxanne"))</f>
        <v/>
      </c>
    </row>
    <row r="709" spans="13:29">
      <c r="M709" s="14"/>
      <c r="T709" s="16"/>
      <c r="U709" s="17">
        <f>IF(AND(COUNTA($A709:$L709)=0,$N709=""),"",IF($T709="Paid","PAID",IF($T709="Closed","CLOSED",IF($Z709="","",IF($Z709=6,"ESCALATED TO ROXANNE",IF(TODAY()&gt;$AB709,"OVERDUE",IF($AB709&lt;=WORKDAY(TODAY(),1,Holidays),"DUE TOMORROW",IF($Z709=4,"ESCALATED TO LOCAL OFFICE",IF($Z709=5,"ESCALATED TO CBE",IF($AA709=TODAY(),"EMAIL SENT","MONITORING"))))))))))</f>
        <v/>
      </c>
      <c r="V709" s="17">
        <f>IF($U709="",IF(AND(COUNTA($A709:$L709)&gt;0,$N709=""),"Awaiting Collection Email time stamp.",""),IF(OR($U709="PAID",$U709="CLOSED"),IF($U709="PAID","Account paid. Action completed.","Account closed. No further action required."),CHOOSE($Z709,"Collection Email","1st Email Follow-up","2nd Email Follow-up","Escalation to Local Office","Escalation to CBE","Escalation to Roxanne")&amp;" sent "&amp;TEXT($AA709,"dd-mmm")&amp;". "&amp;IF($Z709=6,"Final escalation completed.",IF($U709="OVERDUE","Next: "&amp;$AC709&amp;" was due "&amp;TEXT($AB709,"dd-mmm")&amp;" - "&amp;(NETWORKDAYS($AB709,TODAY(),Holidays)-1)&amp;" business day(s) late. Send now.",IF($U709="DUE TOMORROW","Next: "&amp;$AC709&amp;IF($AB709&lt;=TODAY()," is due TODAY ("," is due next business day (")&amp;TEXT($AB709,"dd-mmm")&amp;").","Next: "&amp;$AC709&amp;" due "&amp;TEXT($AB709,"dd-mmm")&amp;" ("&amp;(NETWORKDAYS(TODAY(),$AB709,Holidays)-1)&amp;" business day(s) left).")))))</f>
        <v/>
      </c>
      <c r="W709" s="17">
        <f>IF($Z709="","",CHOOSE($Z709,"Collection Email","1st Follow-up","2nd Follow-up","Local Office","CBE","Roxanne")&amp;IF($Z709=6," - Final"," - Day "&amp;MAX(0,NETWORKDAYS($AA709,TODAY(),Holidays)-1)&amp;" of "&amp;CHOOSE($Z709,3,3,2,2,3))&amp;" | Total Day "&amp;MAX(0,NETWORKDAYS($N709,TODAY(),Holidays)-1))</f>
        <v/>
      </c>
      <c r="X709" s="18"/>
      <c r="Y709" s="18"/>
      <c r="Z709" s="17">
        <f>IF($N709="","",COUNT($N709:$S709))</f>
        <v/>
      </c>
      <c r="AA709" s="19">
        <f>IF($Z709="","",INT(INDEX($N709:$S709,$Z709)))</f>
        <v/>
      </c>
      <c r="AB709" s="19">
        <f>IF(OR($Z709="",$Z709=6),"",WORKDAY($AA709,CHOOSE($Z709,3,3,2,2,3),Holidays))</f>
        <v/>
      </c>
      <c r="AC709" s="17">
        <f>IF(OR($Z709="",$Z709=6),"",CHOOSE($Z709,"1st Email Follow-up","2nd Email Follow-up","Escalate Local Office","Escalate to CBE","Escalate to Roxanne"))</f>
        <v/>
      </c>
    </row>
    <row r="710" spans="13:29">
      <c r="M710" s="14"/>
      <c r="T710" s="16"/>
      <c r="U710" s="17">
        <f>IF(AND(COUNTA($A710:$L710)=0,$N710=""),"",IF($T710="Paid","PAID",IF($T710="Closed","CLOSED",IF($Z710="","",IF($Z710=6,"ESCALATED TO ROXANNE",IF(TODAY()&gt;$AB710,"OVERDUE",IF($AB710&lt;=WORKDAY(TODAY(),1,Holidays),"DUE TOMORROW",IF($Z710=4,"ESCALATED TO LOCAL OFFICE",IF($Z710=5,"ESCALATED TO CBE",IF($AA710=TODAY(),"EMAIL SENT","MONITORING"))))))))))</f>
        <v/>
      </c>
      <c r="V710" s="17">
        <f>IF($U710="",IF(AND(COUNTA($A710:$L710)&gt;0,$N710=""),"Awaiting Collection Email time stamp.",""),IF(OR($U710="PAID",$U710="CLOSED"),IF($U710="PAID","Account paid. Action completed.","Account closed. No further action required."),CHOOSE($Z710,"Collection Email","1st Email Follow-up","2nd Email Follow-up","Escalation to Local Office","Escalation to CBE","Escalation to Roxanne")&amp;" sent "&amp;TEXT($AA710,"dd-mmm")&amp;". "&amp;IF($Z710=6,"Final escalation completed.",IF($U710="OVERDUE","Next: "&amp;$AC710&amp;" was due "&amp;TEXT($AB710,"dd-mmm")&amp;" - "&amp;(NETWORKDAYS($AB710,TODAY(),Holidays)-1)&amp;" business day(s) late. Send now.",IF($U710="DUE TOMORROW","Next: "&amp;$AC710&amp;IF($AB710&lt;=TODAY()," is due TODAY ("," is due next business day (")&amp;TEXT($AB710,"dd-mmm")&amp;").","Next: "&amp;$AC710&amp;" due "&amp;TEXT($AB710,"dd-mmm")&amp;" ("&amp;(NETWORKDAYS(TODAY(),$AB710,Holidays)-1)&amp;" business day(s) left).")))))</f>
        <v/>
      </c>
      <c r="W710" s="17">
        <f>IF($Z710="","",CHOOSE($Z710,"Collection Email","1st Follow-up","2nd Follow-up","Local Office","CBE","Roxanne")&amp;IF($Z710=6," - Final"," - Day "&amp;MAX(0,NETWORKDAYS($AA710,TODAY(),Holidays)-1)&amp;" of "&amp;CHOOSE($Z710,3,3,2,2,3))&amp;" | Total Day "&amp;MAX(0,NETWORKDAYS($N710,TODAY(),Holidays)-1))</f>
        <v/>
      </c>
      <c r="X710" s="18"/>
      <c r="Y710" s="18"/>
      <c r="Z710" s="17">
        <f>IF($N710="","",COUNT($N710:$S710))</f>
        <v/>
      </c>
      <c r="AA710" s="19">
        <f>IF($Z710="","",INT(INDEX($N710:$S710,$Z710)))</f>
        <v/>
      </c>
      <c r="AB710" s="19">
        <f>IF(OR($Z710="",$Z710=6),"",WORKDAY($AA710,CHOOSE($Z710,3,3,2,2,3),Holidays))</f>
        <v/>
      </c>
      <c r="AC710" s="17">
        <f>IF(OR($Z710="",$Z710=6),"",CHOOSE($Z710,"1st Email Follow-up","2nd Email Follow-up","Escalate Local Office","Escalate to CBE","Escalate to Roxanne"))</f>
        <v/>
      </c>
    </row>
    <row r="711" spans="13:29">
      <c r="M711" s="14"/>
      <c r="T711" s="16"/>
      <c r="U711" s="17">
        <f>IF(AND(COUNTA($A711:$L711)=0,$N711=""),"",IF($T711="Paid","PAID",IF($T711="Closed","CLOSED",IF($Z711="","",IF($Z711=6,"ESCALATED TO ROXANNE",IF(TODAY()&gt;$AB711,"OVERDUE",IF($AB711&lt;=WORKDAY(TODAY(),1,Holidays),"DUE TOMORROW",IF($Z711=4,"ESCALATED TO LOCAL OFFICE",IF($Z711=5,"ESCALATED TO CBE",IF($AA711=TODAY(),"EMAIL SENT","MONITORING"))))))))))</f>
        <v/>
      </c>
      <c r="V711" s="17">
        <f>IF($U711="",IF(AND(COUNTA($A711:$L711)&gt;0,$N711=""),"Awaiting Collection Email time stamp.",""),IF(OR($U711="PAID",$U711="CLOSED"),IF($U711="PAID","Account paid. Action completed.","Account closed. No further action required."),CHOOSE($Z711,"Collection Email","1st Email Follow-up","2nd Email Follow-up","Escalation to Local Office","Escalation to CBE","Escalation to Roxanne")&amp;" sent "&amp;TEXT($AA711,"dd-mmm")&amp;". "&amp;IF($Z711=6,"Final escalation completed.",IF($U711="OVERDUE","Next: "&amp;$AC711&amp;" was due "&amp;TEXT($AB711,"dd-mmm")&amp;" - "&amp;(NETWORKDAYS($AB711,TODAY(),Holidays)-1)&amp;" business day(s) late. Send now.",IF($U711="DUE TOMORROW","Next: "&amp;$AC711&amp;IF($AB711&lt;=TODAY()," is due TODAY ("," is due next business day (")&amp;TEXT($AB711,"dd-mmm")&amp;").","Next: "&amp;$AC711&amp;" due "&amp;TEXT($AB711,"dd-mmm")&amp;" ("&amp;(NETWORKDAYS(TODAY(),$AB711,Holidays)-1)&amp;" business day(s) left).")))))</f>
        <v/>
      </c>
      <c r="W711" s="17">
        <f>IF($Z711="","",CHOOSE($Z711,"Collection Email","1st Follow-up","2nd Follow-up","Local Office","CBE","Roxanne")&amp;IF($Z711=6," - Final"," - Day "&amp;MAX(0,NETWORKDAYS($AA711,TODAY(),Holidays)-1)&amp;" of "&amp;CHOOSE($Z711,3,3,2,2,3))&amp;" | Total Day "&amp;MAX(0,NETWORKDAYS($N711,TODAY(),Holidays)-1))</f>
        <v/>
      </c>
      <c r="X711" s="18"/>
      <c r="Y711" s="18"/>
      <c r="Z711" s="17">
        <f>IF($N711="","",COUNT($N711:$S711))</f>
        <v/>
      </c>
      <c r="AA711" s="19">
        <f>IF($Z711="","",INT(INDEX($N711:$S711,$Z711)))</f>
        <v/>
      </c>
      <c r="AB711" s="19">
        <f>IF(OR($Z711="",$Z711=6),"",WORKDAY($AA711,CHOOSE($Z711,3,3,2,2,3),Holidays))</f>
        <v/>
      </c>
      <c r="AC711" s="17">
        <f>IF(OR($Z711="",$Z711=6),"",CHOOSE($Z711,"1st Email Follow-up","2nd Email Follow-up","Escalate Local Office","Escalate to CBE","Escalate to Roxanne"))</f>
        <v/>
      </c>
    </row>
    <row r="712" spans="13:29">
      <c r="M712" s="14"/>
      <c r="T712" s="16"/>
      <c r="U712" s="17">
        <f>IF(AND(COUNTA($A712:$L712)=0,$N712=""),"",IF($T712="Paid","PAID",IF($T712="Closed","CLOSED",IF($Z712="","",IF($Z712=6,"ESCALATED TO ROXANNE",IF(TODAY()&gt;$AB712,"OVERDUE",IF($AB712&lt;=WORKDAY(TODAY(),1,Holidays),"DUE TOMORROW",IF($Z712=4,"ESCALATED TO LOCAL OFFICE",IF($Z712=5,"ESCALATED TO CBE",IF($AA712=TODAY(),"EMAIL SENT","MONITORING"))))))))))</f>
        <v/>
      </c>
      <c r="V712" s="17">
        <f>IF($U712="",IF(AND(COUNTA($A712:$L712)&gt;0,$N712=""),"Awaiting Collection Email time stamp.",""),IF(OR($U712="PAID",$U712="CLOSED"),IF($U712="PAID","Account paid. Action completed.","Account closed. No further action required."),CHOOSE($Z712,"Collection Email","1st Email Follow-up","2nd Email Follow-up","Escalation to Local Office","Escalation to CBE","Escalation to Roxanne")&amp;" sent "&amp;TEXT($AA712,"dd-mmm")&amp;". "&amp;IF($Z712=6,"Final escalation completed.",IF($U712="OVERDUE","Next: "&amp;$AC712&amp;" was due "&amp;TEXT($AB712,"dd-mmm")&amp;" - "&amp;(NETWORKDAYS($AB712,TODAY(),Holidays)-1)&amp;" business day(s) late. Send now.",IF($U712="DUE TOMORROW","Next: "&amp;$AC712&amp;IF($AB712&lt;=TODAY()," is due TODAY ("," is due next business day (")&amp;TEXT($AB712,"dd-mmm")&amp;").","Next: "&amp;$AC712&amp;" due "&amp;TEXT($AB712,"dd-mmm")&amp;" ("&amp;(NETWORKDAYS(TODAY(),$AB712,Holidays)-1)&amp;" business day(s) left).")))))</f>
        <v/>
      </c>
      <c r="W712" s="17">
        <f>IF($Z712="","",CHOOSE($Z712,"Collection Email","1st Follow-up","2nd Follow-up","Local Office","CBE","Roxanne")&amp;IF($Z712=6," - Final"," - Day "&amp;MAX(0,NETWORKDAYS($AA712,TODAY(),Holidays)-1)&amp;" of "&amp;CHOOSE($Z712,3,3,2,2,3))&amp;" | Total Day "&amp;MAX(0,NETWORKDAYS($N712,TODAY(),Holidays)-1))</f>
        <v/>
      </c>
      <c r="X712" s="18"/>
      <c r="Y712" s="18"/>
      <c r="Z712" s="17">
        <f>IF($N712="","",COUNT($N712:$S712))</f>
        <v/>
      </c>
      <c r="AA712" s="19">
        <f>IF($Z712="","",INT(INDEX($N712:$S712,$Z712)))</f>
        <v/>
      </c>
      <c r="AB712" s="19">
        <f>IF(OR($Z712="",$Z712=6),"",WORKDAY($AA712,CHOOSE($Z712,3,3,2,2,3),Holidays))</f>
        <v/>
      </c>
      <c r="AC712" s="17">
        <f>IF(OR($Z712="",$Z712=6),"",CHOOSE($Z712,"1st Email Follow-up","2nd Email Follow-up","Escalate Local Office","Escalate to CBE","Escalate to Roxanne"))</f>
        <v/>
      </c>
    </row>
    <row r="713" spans="13:29">
      <c r="M713" s="14"/>
      <c r="T713" s="16"/>
      <c r="U713" s="17">
        <f>IF(AND(COUNTA($A713:$L713)=0,$N713=""),"",IF($T713="Paid","PAID",IF($T713="Closed","CLOSED",IF($Z713="","",IF($Z713=6,"ESCALATED TO ROXANNE",IF(TODAY()&gt;$AB713,"OVERDUE",IF($AB713&lt;=WORKDAY(TODAY(),1,Holidays),"DUE TOMORROW",IF($Z713=4,"ESCALATED TO LOCAL OFFICE",IF($Z713=5,"ESCALATED TO CBE",IF($AA713=TODAY(),"EMAIL SENT","MONITORING"))))))))))</f>
        <v/>
      </c>
      <c r="V713" s="17">
        <f>IF($U713="",IF(AND(COUNTA($A713:$L713)&gt;0,$N713=""),"Awaiting Collection Email time stamp.",""),IF(OR($U713="PAID",$U713="CLOSED"),IF($U713="PAID","Account paid. Action completed.","Account closed. No further action required."),CHOOSE($Z713,"Collection Email","1st Email Follow-up","2nd Email Follow-up","Escalation to Local Office","Escalation to CBE","Escalation to Roxanne")&amp;" sent "&amp;TEXT($AA713,"dd-mmm")&amp;". "&amp;IF($Z713=6,"Final escalation completed.",IF($U713="OVERDUE","Next: "&amp;$AC713&amp;" was due "&amp;TEXT($AB713,"dd-mmm")&amp;" - "&amp;(NETWORKDAYS($AB713,TODAY(),Holidays)-1)&amp;" business day(s) late. Send now.",IF($U713="DUE TOMORROW","Next: "&amp;$AC713&amp;IF($AB713&lt;=TODAY()," is due TODAY ("," is due next business day (")&amp;TEXT($AB713,"dd-mmm")&amp;").","Next: "&amp;$AC713&amp;" due "&amp;TEXT($AB713,"dd-mmm")&amp;" ("&amp;(NETWORKDAYS(TODAY(),$AB713,Holidays)-1)&amp;" business day(s) left).")))))</f>
        <v/>
      </c>
      <c r="W713" s="17">
        <f>IF($Z713="","",CHOOSE($Z713,"Collection Email","1st Follow-up","2nd Follow-up","Local Office","CBE","Roxanne")&amp;IF($Z713=6," - Final"," - Day "&amp;MAX(0,NETWORKDAYS($AA713,TODAY(),Holidays)-1)&amp;" of "&amp;CHOOSE($Z713,3,3,2,2,3))&amp;" | Total Day "&amp;MAX(0,NETWORKDAYS($N713,TODAY(),Holidays)-1))</f>
        <v/>
      </c>
      <c r="X713" s="18"/>
      <c r="Y713" s="18"/>
      <c r="Z713" s="17">
        <f>IF($N713="","",COUNT($N713:$S713))</f>
        <v/>
      </c>
      <c r="AA713" s="19">
        <f>IF($Z713="","",INT(INDEX($N713:$S713,$Z713)))</f>
        <v/>
      </c>
      <c r="AB713" s="19">
        <f>IF(OR($Z713="",$Z713=6),"",WORKDAY($AA713,CHOOSE($Z713,3,3,2,2,3),Holidays))</f>
        <v/>
      </c>
      <c r="AC713" s="17">
        <f>IF(OR($Z713="",$Z713=6),"",CHOOSE($Z713,"1st Email Follow-up","2nd Email Follow-up","Escalate Local Office","Escalate to CBE","Escalate to Roxanne"))</f>
        <v/>
      </c>
    </row>
    <row r="714" spans="13:29">
      <c r="M714" s="14"/>
      <c r="T714" s="16"/>
      <c r="U714" s="17">
        <f>IF(AND(COUNTA($A714:$L714)=0,$N714=""),"",IF($T714="Paid","PAID",IF($T714="Closed","CLOSED",IF($Z714="","",IF($Z714=6,"ESCALATED TO ROXANNE",IF(TODAY()&gt;$AB714,"OVERDUE",IF($AB714&lt;=WORKDAY(TODAY(),1,Holidays),"DUE TOMORROW",IF($Z714=4,"ESCALATED TO LOCAL OFFICE",IF($Z714=5,"ESCALATED TO CBE",IF($AA714=TODAY(),"EMAIL SENT","MONITORING"))))))))))</f>
        <v/>
      </c>
      <c r="V714" s="17">
        <f>IF($U714="",IF(AND(COUNTA($A714:$L714)&gt;0,$N714=""),"Awaiting Collection Email time stamp.",""),IF(OR($U714="PAID",$U714="CLOSED"),IF($U714="PAID","Account paid. Action completed.","Account closed. No further action required."),CHOOSE($Z714,"Collection Email","1st Email Follow-up","2nd Email Follow-up","Escalation to Local Office","Escalation to CBE","Escalation to Roxanne")&amp;" sent "&amp;TEXT($AA714,"dd-mmm")&amp;". "&amp;IF($Z714=6,"Final escalation completed.",IF($U714="OVERDUE","Next: "&amp;$AC714&amp;" was due "&amp;TEXT($AB714,"dd-mmm")&amp;" - "&amp;(NETWORKDAYS($AB714,TODAY(),Holidays)-1)&amp;" business day(s) late. Send now.",IF($U714="DUE TOMORROW","Next: "&amp;$AC714&amp;IF($AB714&lt;=TODAY()," is due TODAY ("," is due next business day (")&amp;TEXT($AB714,"dd-mmm")&amp;").","Next: "&amp;$AC714&amp;" due "&amp;TEXT($AB714,"dd-mmm")&amp;" ("&amp;(NETWORKDAYS(TODAY(),$AB714,Holidays)-1)&amp;" business day(s) left).")))))</f>
        <v/>
      </c>
      <c r="W714" s="17">
        <f>IF($Z714="","",CHOOSE($Z714,"Collection Email","1st Follow-up","2nd Follow-up","Local Office","CBE","Roxanne")&amp;IF($Z714=6," - Final"," - Day "&amp;MAX(0,NETWORKDAYS($AA714,TODAY(),Holidays)-1)&amp;" of "&amp;CHOOSE($Z714,3,3,2,2,3))&amp;" | Total Day "&amp;MAX(0,NETWORKDAYS($N714,TODAY(),Holidays)-1))</f>
        <v/>
      </c>
      <c r="X714" s="18"/>
      <c r="Y714" s="18"/>
      <c r="Z714" s="17">
        <f>IF($N714="","",COUNT($N714:$S714))</f>
        <v/>
      </c>
      <c r="AA714" s="19">
        <f>IF($Z714="","",INT(INDEX($N714:$S714,$Z714)))</f>
        <v/>
      </c>
      <c r="AB714" s="19">
        <f>IF(OR($Z714="",$Z714=6),"",WORKDAY($AA714,CHOOSE($Z714,3,3,2,2,3),Holidays))</f>
        <v/>
      </c>
      <c r="AC714" s="17">
        <f>IF(OR($Z714="",$Z714=6),"",CHOOSE($Z714,"1st Email Follow-up","2nd Email Follow-up","Escalate Local Office","Escalate to CBE","Escalate to Roxanne"))</f>
        <v/>
      </c>
    </row>
    <row r="715" spans="13:29">
      <c r="M715" s="14"/>
      <c r="T715" s="16"/>
      <c r="U715" s="17">
        <f>IF(AND(COUNTA($A715:$L715)=0,$N715=""),"",IF($T715="Paid","PAID",IF($T715="Closed","CLOSED",IF($Z715="","",IF($Z715=6,"ESCALATED TO ROXANNE",IF(TODAY()&gt;$AB715,"OVERDUE",IF($AB715&lt;=WORKDAY(TODAY(),1,Holidays),"DUE TOMORROW",IF($Z715=4,"ESCALATED TO LOCAL OFFICE",IF($Z715=5,"ESCALATED TO CBE",IF($AA715=TODAY(),"EMAIL SENT","MONITORING"))))))))))</f>
        <v/>
      </c>
      <c r="V715" s="17">
        <f>IF($U715="",IF(AND(COUNTA($A715:$L715)&gt;0,$N715=""),"Awaiting Collection Email time stamp.",""),IF(OR($U715="PAID",$U715="CLOSED"),IF($U715="PAID","Account paid. Action completed.","Account closed. No further action required."),CHOOSE($Z715,"Collection Email","1st Email Follow-up","2nd Email Follow-up","Escalation to Local Office","Escalation to CBE","Escalation to Roxanne")&amp;" sent "&amp;TEXT($AA715,"dd-mmm")&amp;". "&amp;IF($Z715=6,"Final escalation completed.",IF($U715="OVERDUE","Next: "&amp;$AC715&amp;" was due "&amp;TEXT($AB715,"dd-mmm")&amp;" - "&amp;(NETWORKDAYS($AB715,TODAY(),Holidays)-1)&amp;" business day(s) late. Send now.",IF($U715="DUE TOMORROW","Next: "&amp;$AC715&amp;IF($AB715&lt;=TODAY()," is due TODAY ("," is due next business day (")&amp;TEXT($AB715,"dd-mmm")&amp;").","Next: "&amp;$AC715&amp;" due "&amp;TEXT($AB715,"dd-mmm")&amp;" ("&amp;(NETWORKDAYS(TODAY(),$AB715,Holidays)-1)&amp;" business day(s) left).")))))</f>
        <v/>
      </c>
      <c r="W715" s="17">
        <f>IF($Z715="","",CHOOSE($Z715,"Collection Email","1st Follow-up","2nd Follow-up","Local Office","CBE","Roxanne")&amp;IF($Z715=6," - Final"," - Day "&amp;MAX(0,NETWORKDAYS($AA715,TODAY(),Holidays)-1)&amp;" of "&amp;CHOOSE($Z715,3,3,2,2,3))&amp;" | Total Day "&amp;MAX(0,NETWORKDAYS($N715,TODAY(),Holidays)-1))</f>
        <v/>
      </c>
      <c r="X715" s="18"/>
      <c r="Y715" s="18"/>
      <c r="Z715" s="17">
        <f>IF($N715="","",COUNT($N715:$S715))</f>
        <v/>
      </c>
      <c r="AA715" s="19">
        <f>IF($Z715="","",INT(INDEX($N715:$S715,$Z715)))</f>
        <v/>
      </c>
      <c r="AB715" s="19">
        <f>IF(OR($Z715="",$Z715=6),"",WORKDAY($AA715,CHOOSE($Z715,3,3,2,2,3),Holidays))</f>
        <v/>
      </c>
      <c r="AC715" s="17">
        <f>IF(OR($Z715="",$Z715=6),"",CHOOSE($Z715,"1st Email Follow-up","2nd Email Follow-up","Escalate Local Office","Escalate to CBE","Escalate to Roxanne"))</f>
        <v/>
      </c>
    </row>
    <row r="716" spans="13:29">
      <c r="M716" s="14"/>
      <c r="T716" s="16"/>
      <c r="U716" s="17">
        <f>IF(AND(COUNTA($A716:$L716)=0,$N716=""),"",IF($T716="Paid","PAID",IF($T716="Closed","CLOSED",IF($Z716="","",IF($Z716=6,"ESCALATED TO ROXANNE",IF(TODAY()&gt;$AB716,"OVERDUE",IF($AB716&lt;=WORKDAY(TODAY(),1,Holidays),"DUE TOMORROW",IF($Z716=4,"ESCALATED TO LOCAL OFFICE",IF($Z716=5,"ESCALATED TO CBE",IF($AA716=TODAY(),"EMAIL SENT","MONITORING"))))))))))</f>
        <v/>
      </c>
      <c r="V716" s="17">
        <f>IF($U716="",IF(AND(COUNTA($A716:$L716)&gt;0,$N716=""),"Awaiting Collection Email time stamp.",""),IF(OR($U716="PAID",$U716="CLOSED"),IF($U716="PAID","Account paid. Action completed.","Account closed. No further action required."),CHOOSE($Z716,"Collection Email","1st Email Follow-up","2nd Email Follow-up","Escalation to Local Office","Escalation to CBE","Escalation to Roxanne")&amp;" sent "&amp;TEXT($AA716,"dd-mmm")&amp;". "&amp;IF($Z716=6,"Final escalation completed.",IF($U716="OVERDUE","Next: "&amp;$AC716&amp;" was due "&amp;TEXT($AB716,"dd-mmm")&amp;" - "&amp;(NETWORKDAYS($AB716,TODAY(),Holidays)-1)&amp;" business day(s) late. Send now.",IF($U716="DUE TOMORROW","Next: "&amp;$AC716&amp;IF($AB716&lt;=TODAY()," is due TODAY ("," is due next business day (")&amp;TEXT($AB716,"dd-mmm")&amp;").","Next: "&amp;$AC716&amp;" due "&amp;TEXT($AB716,"dd-mmm")&amp;" ("&amp;(NETWORKDAYS(TODAY(),$AB716,Holidays)-1)&amp;" business day(s) left).")))))</f>
        <v/>
      </c>
      <c r="W716" s="17">
        <f>IF($Z716="","",CHOOSE($Z716,"Collection Email","1st Follow-up","2nd Follow-up","Local Office","CBE","Roxanne")&amp;IF($Z716=6," - Final"," - Day "&amp;MAX(0,NETWORKDAYS($AA716,TODAY(),Holidays)-1)&amp;" of "&amp;CHOOSE($Z716,3,3,2,2,3))&amp;" | Total Day "&amp;MAX(0,NETWORKDAYS($N716,TODAY(),Holidays)-1))</f>
        <v/>
      </c>
      <c r="X716" s="18"/>
      <c r="Y716" s="18"/>
      <c r="Z716" s="17">
        <f>IF($N716="","",COUNT($N716:$S716))</f>
        <v/>
      </c>
      <c r="AA716" s="19">
        <f>IF($Z716="","",INT(INDEX($N716:$S716,$Z716)))</f>
        <v/>
      </c>
      <c r="AB716" s="19">
        <f>IF(OR($Z716="",$Z716=6),"",WORKDAY($AA716,CHOOSE($Z716,3,3,2,2,3),Holidays))</f>
        <v/>
      </c>
      <c r="AC716" s="17">
        <f>IF(OR($Z716="",$Z716=6),"",CHOOSE($Z716,"1st Email Follow-up","2nd Email Follow-up","Escalate Local Office","Escalate to CBE","Escalate to Roxanne"))</f>
        <v/>
      </c>
    </row>
    <row r="717" spans="13:29">
      <c r="M717" s="14"/>
      <c r="T717" s="16"/>
      <c r="U717" s="17">
        <f>IF(AND(COUNTA($A717:$L717)=0,$N717=""),"",IF($T717="Paid","PAID",IF($T717="Closed","CLOSED",IF($Z717="","",IF($Z717=6,"ESCALATED TO ROXANNE",IF(TODAY()&gt;$AB717,"OVERDUE",IF($AB717&lt;=WORKDAY(TODAY(),1,Holidays),"DUE TOMORROW",IF($Z717=4,"ESCALATED TO LOCAL OFFICE",IF($Z717=5,"ESCALATED TO CBE",IF($AA717=TODAY(),"EMAIL SENT","MONITORING"))))))))))</f>
        <v/>
      </c>
      <c r="V717" s="17">
        <f>IF($U717="",IF(AND(COUNTA($A717:$L717)&gt;0,$N717=""),"Awaiting Collection Email time stamp.",""),IF(OR($U717="PAID",$U717="CLOSED"),IF($U717="PAID","Account paid. Action completed.","Account closed. No further action required."),CHOOSE($Z717,"Collection Email","1st Email Follow-up","2nd Email Follow-up","Escalation to Local Office","Escalation to CBE","Escalation to Roxanne")&amp;" sent "&amp;TEXT($AA717,"dd-mmm")&amp;". "&amp;IF($Z717=6,"Final escalation completed.",IF($U717="OVERDUE","Next: "&amp;$AC717&amp;" was due "&amp;TEXT($AB717,"dd-mmm")&amp;" - "&amp;(NETWORKDAYS($AB717,TODAY(),Holidays)-1)&amp;" business day(s) late. Send now.",IF($U717="DUE TOMORROW","Next: "&amp;$AC717&amp;IF($AB717&lt;=TODAY()," is due TODAY ("," is due next business day (")&amp;TEXT($AB717,"dd-mmm")&amp;").","Next: "&amp;$AC717&amp;" due "&amp;TEXT($AB717,"dd-mmm")&amp;" ("&amp;(NETWORKDAYS(TODAY(),$AB717,Holidays)-1)&amp;" business day(s) left).")))))</f>
        <v/>
      </c>
      <c r="W717" s="17">
        <f>IF($Z717="","",CHOOSE($Z717,"Collection Email","1st Follow-up","2nd Follow-up","Local Office","CBE","Roxanne")&amp;IF($Z717=6," - Final"," - Day "&amp;MAX(0,NETWORKDAYS($AA717,TODAY(),Holidays)-1)&amp;" of "&amp;CHOOSE($Z717,3,3,2,2,3))&amp;" | Total Day "&amp;MAX(0,NETWORKDAYS($N717,TODAY(),Holidays)-1))</f>
        <v/>
      </c>
      <c r="X717" s="18"/>
      <c r="Y717" s="18"/>
      <c r="Z717" s="17">
        <f>IF($N717="","",COUNT($N717:$S717))</f>
        <v/>
      </c>
      <c r="AA717" s="19">
        <f>IF($Z717="","",INT(INDEX($N717:$S717,$Z717)))</f>
        <v/>
      </c>
      <c r="AB717" s="19">
        <f>IF(OR($Z717="",$Z717=6),"",WORKDAY($AA717,CHOOSE($Z717,3,3,2,2,3),Holidays))</f>
        <v/>
      </c>
      <c r="AC717" s="17">
        <f>IF(OR($Z717="",$Z717=6),"",CHOOSE($Z717,"1st Email Follow-up","2nd Email Follow-up","Escalate Local Office","Escalate to CBE","Escalate to Roxanne"))</f>
        <v/>
      </c>
    </row>
    <row r="718" spans="13:29">
      <c r="M718" s="14"/>
      <c r="T718" s="16"/>
      <c r="U718" s="17">
        <f>IF(AND(COUNTA($A718:$L718)=0,$N718=""),"",IF($T718="Paid","PAID",IF($T718="Closed","CLOSED",IF($Z718="","",IF($Z718=6,"ESCALATED TO ROXANNE",IF(TODAY()&gt;$AB718,"OVERDUE",IF($AB718&lt;=WORKDAY(TODAY(),1,Holidays),"DUE TOMORROW",IF($Z718=4,"ESCALATED TO LOCAL OFFICE",IF($Z718=5,"ESCALATED TO CBE",IF($AA718=TODAY(),"EMAIL SENT","MONITORING"))))))))))</f>
        <v/>
      </c>
      <c r="V718" s="17">
        <f>IF($U718="",IF(AND(COUNTA($A718:$L718)&gt;0,$N718=""),"Awaiting Collection Email time stamp.",""),IF(OR($U718="PAID",$U718="CLOSED"),IF($U718="PAID","Account paid. Action completed.","Account closed. No further action required."),CHOOSE($Z718,"Collection Email","1st Email Follow-up","2nd Email Follow-up","Escalation to Local Office","Escalation to CBE","Escalation to Roxanne")&amp;" sent "&amp;TEXT($AA718,"dd-mmm")&amp;". "&amp;IF($Z718=6,"Final escalation completed.",IF($U718="OVERDUE","Next: "&amp;$AC718&amp;" was due "&amp;TEXT($AB718,"dd-mmm")&amp;" - "&amp;(NETWORKDAYS($AB718,TODAY(),Holidays)-1)&amp;" business day(s) late. Send now.",IF($U718="DUE TOMORROW","Next: "&amp;$AC718&amp;IF($AB718&lt;=TODAY()," is due TODAY ("," is due next business day (")&amp;TEXT($AB718,"dd-mmm")&amp;").","Next: "&amp;$AC718&amp;" due "&amp;TEXT($AB718,"dd-mmm")&amp;" ("&amp;(NETWORKDAYS(TODAY(),$AB718,Holidays)-1)&amp;" business day(s) left).")))))</f>
        <v/>
      </c>
      <c r="W718" s="17">
        <f>IF($Z718="","",CHOOSE($Z718,"Collection Email","1st Follow-up","2nd Follow-up","Local Office","CBE","Roxanne")&amp;IF($Z718=6," - Final"," - Day "&amp;MAX(0,NETWORKDAYS($AA718,TODAY(),Holidays)-1)&amp;" of "&amp;CHOOSE($Z718,3,3,2,2,3))&amp;" | Total Day "&amp;MAX(0,NETWORKDAYS($N718,TODAY(),Holidays)-1))</f>
        <v/>
      </c>
      <c r="X718" s="18"/>
      <c r="Y718" s="18"/>
      <c r="Z718" s="17">
        <f>IF($N718="","",COUNT($N718:$S718))</f>
        <v/>
      </c>
      <c r="AA718" s="19">
        <f>IF($Z718="","",INT(INDEX($N718:$S718,$Z718)))</f>
        <v/>
      </c>
      <c r="AB718" s="19">
        <f>IF(OR($Z718="",$Z718=6),"",WORKDAY($AA718,CHOOSE($Z718,3,3,2,2,3),Holidays))</f>
        <v/>
      </c>
      <c r="AC718" s="17">
        <f>IF(OR($Z718="",$Z718=6),"",CHOOSE($Z718,"1st Email Follow-up","2nd Email Follow-up","Escalate Local Office","Escalate to CBE","Escalate to Roxanne"))</f>
        <v/>
      </c>
    </row>
    <row r="719" spans="13:29">
      <c r="M719" s="14"/>
      <c r="T719" s="16"/>
      <c r="U719" s="17">
        <f>IF(AND(COUNTA($A719:$L719)=0,$N719=""),"",IF($T719="Paid","PAID",IF($T719="Closed","CLOSED",IF($Z719="","",IF($Z719=6,"ESCALATED TO ROXANNE",IF(TODAY()&gt;$AB719,"OVERDUE",IF($AB719&lt;=WORKDAY(TODAY(),1,Holidays),"DUE TOMORROW",IF($Z719=4,"ESCALATED TO LOCAL OFFICE",IF($Z719=5,"ESCALATED TO CBE",IF($AA719=TODAY(),"EMAIL SENT","MONITORING"))))))))))</f>
        <v/>
      </c>
      <c r="V719" s="17">
        <f>IF($U719="",IF(AND(COUNTA($A719:$L719)&gt;0,$N719=""),"Awaiting Collection Email time stamp.",""),IF(OR($U719="PAID",$U719="CLOSED"),IF($U719="PAID","Account paid. Action completed.","Account closed. No further action required."),CHOOSE($Z719,"Collection Email","1st Email Follow-up","2nd Email Follow-up","Escalation to Local Office","Escalation to CBE","Escalation to Roxanne")&amp;" sent "&amp;TEXT($AA719,"dd-mmm")&amp;". "&amp;IF($Z719=6,"Final escalation completed.",IF($U719="OVERDUE","Next: "&amp;$AC719&amp;" was due "&amp;TEXT($AB719,"dd-mmm")&amp;" - "&amp;(NETWORKDAYS($AB719,TODAY(),Holidays)-1)&amp;" business day(s) late. Send now.",IF($U719="DUE TOMORROW","Next: "&amp;$AC719&amp;IF($AB719&lt;=TODAY()," is due TODAY ("," is due next business day (")&amp;TEXT($AB719,"dd-mmm")&amp;").","Next: "&amp;$AC719&amp;" due "&amp;TEXT($AB719,"dd-mmm")&amp;" ("&amp;(NETWORKDAYS(TODAY(),$AB719,Holidays)-1)&amp;" business day(s) left).")))))</f>
        <v/>
      </c>
      <c r="W719" s="17">
        <f>IF($Z719="","",CHOOSE($Z719,"Collection Email","1st Follow-up","2nd Follow-up","Local Office","CBE","Roxanne")&amp;IF($Z719=6," - Final"," - Day "&amp;MAX(0,NETWORKDAYS($AA719,TODAY(),Holidays)-1)&amp;" of "&amp;CHOOSE($Z719,3,3,2,2,3))&amp;" | Total Day "&amp;MAX(0,NETWORKDAYS($N719,TODAY(),Holidays)-1))</f>
        <v/>
      </c>
      <c r="X719" s="18"/>
      <c r="Y719" s="18"/>
      <c r="Z719" s="17">
        <f>IF($N719="","",COUNT($N719:$S719))</f>
        <v/>
      </c>
      <c r="AA719" s="19">
        <f>IF($Z719="","",INT(INDEX($N719:$S719,$Z719)))</f>
        <v/>
      </c>
      <c r="AB719" s="19">
        <f>IF(OR($Z719="",$Z719=6),"",WORKDAY($AA719,CHOOSE($Z719,3,3,2,2,3),Holidays))</f>
        <v/>
      </c>
      <c r="AC719" s="17">
        <f>IF(OR($Z719="",$Z719=6),"",CHOOSE($Z719,"1st Email Follow-up","2nd Email Follow-up","Escalate Local Office","Escalate to CBE","Escalate to Roxanne"))</f>
        <v/>
      </c>
    </row>
    <row r="720" spans="13:29">
      <c r="M720" s="14"/>
      <c r="T720" s="16"/>
      <c r="U720" s="17">
        <f>IF(AND(COUNTA($A720:$L720)=0,$N720=""),"",IF($T720="Paid","PAID",IF($T720="Closed","CLOSED",IF($Z720="","",IF($Z720=6,"ESCALATED TO ROXANNE",IF(TODAY()&gt;$AB720,"OVERDUE",IF($AB720&lt;=WORKDAY(TODAY(),1,Holidays),"DUE TOMORROW",IF($Z720=4,"ESCALATED TO LOCAL OFFICE",IF($Z720=5,"ESCALATED TO CBE",IF($AA720=TODAY(),"EMAIL SENT","MONITORING"))))))))))</f>
        <v/>
      </c>
      <c r="V720" s="17">
        <f>IF($U720="",IF(AND(COUNTA($A720:$L720)&gt;0,$N720=""),"Awaiting Collection Email time stamp.",""),IF(OR($U720="PAID",$U720="CLOSED"),IF($U720="PAID","Account paid. Action completed.","Account closed. No further action required."),CHOOSE($Z720,"Collection Email","1st Email Follow-up","2nd Email Follow-up","Escalation to Local Office","Escalation to CBE","Escalation to Roxanne")&amp;" sent "&amp;TEXT($AA720,"dd-mmm")&amp;". "&amp;IF($Z720=6,"Final escalation completed.",IF($U720="OVERDUE","Next: "&amp;$AC720&amp;" was due "&amp;TEXT($AB720,"dd-mmm")&amp;" - "&amp;(NETWORKDAYS($AB720,TODAY(),Holidays)-1)&amp;" business day(s) late. Send now.",IF($U720="DUE TOMORROW","Next: "&amp;$AC720&amp;IF($AB720&lt;=TODAY()," is due TODAY ("," is due next business day (")&amp;TEXT($AB720,"dd-mmm")&amp;").","Next: "&amp;$AC720&amp;" due "&amp;TEXT($AB720,"dd-mmm")&amp;" ("&amp;(NETWORKDAYS(TODAY(),$AB720,Holidays)-1)&amp;" business day(s) left).")))))</f>
        <v/>
      </c>
      <c r="W720" s="17">
        <f>IF($Z720="","",CHOOSE($Z720,"Collection Email","1st Follow-up","2nd Follow-up","Local Office","CBE","Roxanne")&amp;IF($Z720=6," - Final"," - Day "&amp;MAX(0,NETWORKDAYS($AA720,TODAY(),Holidays)-1)&amp;" of "&amp;CHOOSE($Z720,3,3,2,2,3))&amp;" | Total Day "&amp;MAX(0,NETWORKDAYS($N720,TODAY(),Holidays)-1))</f>
        <v/>
      </c>
      <c r="X720" s="18"/>
      <c r="Y720" s="18"/>
      <c r="Z720" s="17">
        <f>IF($N720="","",COUNT($N720:$S720))</f>
        <v/>
      </c>
      <c r="AA720" s="19">
        <f>IF($Z720="","",INT(INDEX($N720:$S720,$Z720)))</f>
        <v/>
      </c>
      <c r="AB720" s="19">
        <f>IF(OR($Z720="",$Z720=6),"",WORKDAY($AA720,CHOOSE($Z720,3,3,2,2,3),Holidays))</f>
        <v/>
      </c>
      <c r="AC720" s="17">
        <f>IF(OR($Z720="",$Z720=6),"",CHOOSE($Z720,"1st Email Follow-up","2nd Email Follow-up","Escalate Local Office","Escalate to CBE","Escalate to Roxanne"))</f>
        <v/>
      </c>
    </row>
    <row r="721" spans="13:29">
      <c r="M721" s="14"/>
      <c r="T721" s="16"/>
      <c r="U721" s="17">
        <f>IF(AND(COUNTA($A721:$L721)=0,$N721=""),"",IF($T721="Paid","PAID",IF($T721="Closed","CLOSED",IF($Z721="","",IF($Z721=6,"ESCALATED TO ROXANNE",IF(TODAY()&gt;$AB721,"OVERDUE",IF($AB721&lt;=WORKDAY(TODAY(),1,Holidays),"DUE TOMORROW",IF($Z721=4,"ESCALATED TO LOCAL OFFICE",IF($Z721=5,"ESCALATED TO CBE",IF($AA721=TODAY(),"EMAIL SENT","MONITORING"))))))))))</f>
        <v/>
      </c>
      <c r="V721" s="17">
        <f>IF($U721="",IF(AND(COUNTA($A721:$L721)&gt;0,$N721=""),"Awaiting Collection Email time stamp.",""),IF(OR($U721="PAID",$U721="CLOSED"),IF($U721="PAID","Account paid. Action completed.","Account closed. No further action required."),CHOOSE($Z721,"Collection Email","1st Email Follow-up","2nd Email Follow-up","Escalation to Local Office","Escalation to CBE","Escalation to Roxanne")&amp;" sent "&amp;TEXT($AA721,"dd-mmm")&amp;". "&amp;IF($Z721=6,"Final escalation completed.",IF($U721="OVERDUE","Next: "&amp;$AC721&amp;" was due "&amp;TEXT($AB721,"dd-mmm")&amp;" - "&amp;(NETWORKDAYS($AB721,TODAY(),Holidays)-1)&amp;" business day(s) late. Send now.",IF($U721="DUE TOMORROW","Next: "&amp;$AC721&amp;IF($AB721&lt;=TODAY()," is due TODAY ("," is due next business day (")&amp;TEXT($AB721,"dd-mmm")&amp;").","Next: "&amp;$AC721&amp;" due "&amp;TEXT($AB721,"dd-mmm")&amp;" ("&amp;(NETWORKDAYS(TODAY(),$AB721,Holidays)-1)&amp;" business day(s) left).")))))</f>
        <v/>
      </c>
      <c r="W721" s="17">
        <f>IF($Z721="","",CHOOSE($Z721,"Collection Email","1st Follow-up","2nd Follow-up","Local Office","CBE","Roxanne")&amp;IF($Z721=6," - Final"," - Day "&amp;MAX(0,NETWORKDAYS($AA721,TODAY(),Holidays)-1)&amp;" of "&amp;CHOOSE($Z721,3,3,2,2,3))&amp;" | Total Day "&amp;MAX(0,NETWORKDAYS($N721,TODAY(),Holidays)-1))</f>
        <v/>
      </c>
      <c r="X721" s="18"/>
      <c r="Y721" s="18"/>
      <c r="Z721" s="17">
        <f>IF($N721="","",COUNT($N721:$S721))</f>
        <v/>
      </c>
      <c r="AA721" s="19">
        <f>IF($Z721="","",INT(INDEX($N721:$S721,$Z721)))</f>
        <v/>
      </c>
      <c r="AB721" s="19">
        <f>IF(OR($Z721="",$Z721=6),"",WORKDAY($AA721,CHOOSE($Z721,3,3,2,2,3),Holidays))</f>
        <v/>
      </c>
      <c r="AC721" s="17">
        <f>IF(OR($Z721="",$Z721=6),"",CHOOSE($Z721,"1st Email Follow-up","2nd Email Follow-up","Escalate Local Office","Escalate to CBE","Escalate to Roxanne"))</f>
        <v/>
      </c>
    </row>
    <row r="722" spans="13:29">
      <c r="M722" s="14"/>
      <c r="T722" s="16"/>
      <c r="U722" s="17">
        <f>IF(AND(COUNTA($A722:$L722)=0,$N722=""),"",IF($T722="Paid","PAID",IF($T722="Closed","CLOSED",IF($Z722="","",IF($Z722=6,"ESCALATED TO ROXANNE",IF(TODAY()&gt;$AB722,"OVERDUE",IF($AB722&lt;=WORKDAY(TODAY(),1,Holidays),"DUE TOMORROW",IF($Z722=4,"ESCALATED TO LOCAL OFFICE",IF($Z722=5,"ESCALATED TO CBE",IF($AA722=TODAY(),"EMAIL SENT","MONITORING"))))))))))</f>
        <v/>
      </c>
      <c r="V722" s="17">
        <f>IF($U722="",IF(AND(COUNTA($A722:$L722)&gt;0,$N722=""),"Awaiting Collection Email time stamp.",""),IF(OR($U722="PAID",$U722="CLOSED"),IF($U722="PAID","Account paid. Action completed.","Account closed. No further action required."),CHOOSE($Z722,"Collection Email","1st Email Follow-up","2nd Email Follow-up","Escalation to Local Office","Escalation to CBE","Escalation to Roxanne")&amp;" sent "&amp;TEXT($AA722,"dd-mmm")&amp;". "&amp;IF($Z722=6,"Final escalation completed.",IF($U722="OVERDUE","Next: "&amp;$AC722&amp;" was due "&amp;TEXT($AB722,"dd-mmm")&amp;" - "&amp;(NETWORKDAYS($AB722,TODAY(),Holidays)-1)&amp;" business day(s) late. Send now.",IF($U722="DUE TOMORROW","Next: "&amp;$AC722&amp;IF($AB722&lt;=TODAY()," is due TODAY ("," is due next business day (")&amp;TEXT($AB722,"dd-mmm")&amp;").","Next: "&amp;$AC722&amp;" due "&amp;TEXT($AB722,"dd-mmm")&amp;" ("&amp;(NETWORKDAYS(TODAY(),$AB722,Holidays)-1)&amp;" business day(s) left).")))))</f>
        <v/>
      </c>
      <c r="W722" s="17">
        <f>IF($Z722="","",CHOOSE($Z722,"Collection Email","1st Follow-up","2nd Follow-up","Local Office","CBE","Roxanne")&amp;IF($Z722=6," - Final"," - Day "&amp;MAX(0,NETWORKDAYS($AA722,TODAY(),Holidays)-1)&amp;" of "&amp;CHOOSE($Z722,3,3,2,2,3))&amp;" | Total Day "&amp;MAX(0,NETWORKDAYS($N722,TODAY(),Holidays)-1))</f>
        <v/>
      </c>
      <c r="X722" s="18"/>
      <c r="Y722" s="18"/>
      <c r="Z722" s="17">
        <f>IF($N722="","",COUNT($N722:$S722))</f>
        <v/>
      </c>
      <c r="AA722" s="19">
        <f>IF($Z722="","",INT(INDEX($N722:$S722,$Z722)))</f>
        <v/>
      </c>
      <c r="AB722" s="19">
        <f>IF(OR($Z722="",$Z722=6),"",WORKDAY($AA722,CHOOSE($Z722,3,3,2,2,3),Holidays))</f>
        <v/>
      </c>
      <c r="AC722" s="17">
        <f>IF(OR($Z722="",$Z722=6),"",CHOOSE($Z722,"1st Email Follow-up","2nd Email Follow-up","Escalate Local Office","Escalate to CBE","Escalate to Roxanne"))</f>
        <v/>
      </c>
    </row>
    <row r="723" spans="13:29">
      <c r="M723" s="14"/>
      <c r="T723" s="16"/>
      <c r="U723" s="17">
        <f>IF(AND(COUNTA($A723:$L723)=0,$N723=""),"",IF($T723="Paid","PAID",IF($T723="Closed","CLOSED",IF($Z723="","",IF($Z723=6,"ESCALATED TO ROXANNE",IF(TODAY()&gt;$AB723,"OVERDUE",IF($AB723&lt;=WORKDAY(TODAY(),1,Holidays),"DUE TOMORROW",IF($Z723=4,"ESCALATED TO LOCAL OFFICE",IF($Z723=5,"ESCALATED TO CBE",IF($AA723=TODAY(),"EMAIL SENT","MONITORING"))))))))))</f>
        <v/>
      </c>
      <c r="V723" s="17">
        <f>IF($U723="",IF(AND(COUNTA($A723:$L723)&gt;0,$N723=""),"Awaiting Collection Email time stamp.",""),IF(OR($U723="PAID",$U723="CLOSED"),IF($U723="PAID","Account paid. Action completed.","Account closed. No further action required."),CHOOSE($Z723,"Collection Email","1st Email Follow-up","2nd Email Follow-up","Escalation to Local Office","Escalation to CBE","Escalation to Roxanne")&amp;" sent "&amp;TEXT($AA723,"dd-mmm")&amp;". "&amp;IF($Z723=6,"Final escalation completed.",IF($U723="OVERDUE","Next: "&amp;$AC723&amp;" was due "&amp;TEXT($AB723,"dd-mmm")&amp;" - "&amp;(NETWORKDAYS($AB723,TODAY(),Holidays)-1)&amp;" business day(s) late. Send now.",IF($U723="DUE TOMORROW","Next: "&amp;$AC723&amp;IF($AB723&lt;=TODAY()," is due TODAY ("," is due next business day (")&amp;TEXT($AB723,"dd-mmm")&amp;").","Next: "&amp;$AC723&amp;" due "&amp;TEXT($AB723,"dd-mmm")&amp;" ("&amp;(NETWORKDAYS(TODAY(),$AB723,Holidays)-1)&amp;" business day(s) left).")))))</f>
        <v/>
      </c>
      <c r="W723" s="17">
        <f>IF($Z723="","",CHOOSE($Z723,"Collection Email","1st Follow-up","2nd Follow-up","Local Office","CBE","Roxanne")&amp;IF($Z723=6," - Final"," - Day "&amp;MAX(0,NETWORKDAYS($AA723,TODAY(),Holidays)-1)&amp;" of "&amp;CHOOSE($Z723,3,3,2,2,3))&amp;" | Total Day "&amp;MAX(0,NETWORKDAYS($N723,TODAY(),Holidays)-1))</f>
        <v/>
      </c>
      <c r="X723" s="18"/>
      <c r="Y723" s="18"/>
      <c r="Z723" s="17">
        <f>IF($N723="","",COUNT($N723:$S723))</f>
        <v/>
      </c>
      <c r="AA723" s="19">
        <f>IF($Z723="","",INT(INDEX($N723:$S723,$Z723)))</f>
        <v/>
      </c>
      <c r="AB723" s="19">
        <f>IF(OR($Z723="",$Z723=6),"",WORKDAY($AA723,CHOOSE($Z723,3,3,2,2,3),Holidays))</f>
        <v/>
      </c>
      <c r="AC723" s="17">
        <f>IF(OR($Z723="",$Z723=6),"",CHOOSE($Z723,"1st Email Follow-up","2nd Email Follow-up","Escalate Local Office","Escalate to CBE","Escalate to Roxanne"))</f>
        <v/>
      </c>
    </row>
    <row r="724" spans="13:29">
      <c r="M724" s="14"/>
      <c r="T724" s="16"/>
      <c r="U724" s="17">
        <f>IF(AND(COUNTA($A724:$L724)=0,$N724=""),"",IF($T724="Paid","PAID",IF($T724="Closed","CLOSED",IF($Z724="","",IF($Z724=6,"ESCALATED TO ROXANNE",IF(TODAY()&gt;$AB724,"OVERDUE",IF($AB724&lt;=WORKDAY(TODAY(),1,Holidays),"DUE TOMORROW",IF($Z724=4,"ESCALATED TO LOCAL OFFICE",IF($Z724=5,"ESCALATED TO CBE",IF($AA724=TODAY(),"EMAIL SENT","MONITORING"))))))))))</f>
        <v/>
      </c>
      <c r="V724" s="17">
        <f>IF($U724="",IF(AND(COUNTA($A724:$L724)&gt;0,$N724=""),"Awaiting Collection Email time stamp.",""),IF(OR($U724="PAID",$U724="CLOSED"),IF($U724="PAID","Account paid. Action completed.","Account closed. No further action required."),CHOOSE($Z724,"Collection Email","1st Email Follow-up","2nd Email Follow-up","Escalation to Local Office","Escalation to CBE","Escalation to Roxanne")&amp;" sent "&amp;TEXT($AA724,"dd-mmm")&amp;". "&amp;IF($Z724=6,"Final escalation completed.",IF($U724="OVERDUE","Next: "&amp;$AC724&amp;" was due "&amp;TEXT($AB724,"dd-mmm")&amp;" - "&amp;(NETWORKDAYS($AB724,TODAY(),Holidays)-1)&amp;" business day(s) late. Send now.",IF($U724="DUE TOMORROW","Next: "&amp;$AC724&amp;IF($AB724&lt;=TODAY()," is due TODAY ("," is due next business day (")&amp;TEXT($AB724,"dd-mmm")&amp;").","Next: "&amp;$AC724&amp;" due "&amp;TEXT($AB724,"dd-mmm")&amp;" ("&amp;(NETWORKDAYS(TODAY(),$AB724,Holidays)-1)&amp;" business day(s) left).")))))</f>
        <v/>
      </c>
      <c r="W724" s="17">
        <f>IF($Z724="","",CHOOSE($Z724,"Collection Email","1st Follow-up","2nd Follow-up","Local Office","CBE","Roxanne")&amp;IF($Z724=6," - Final"," - Day "&amp;MAX(0,NETWORKDAYS($AA724,TODAY(),Holidays)-1)&amp;" of "&amp;CHOOSE($Z724,3,3,2,2,3))&amp;" | Total Day "&amp;MAX(0,NETWORKDAYS($N724,TODAY(),Holidays)-1))</f>
        <v/>
      </c>
      <c r="X724" s="18"/>
      <c r="Y724" s="18"/>
      <c r="Z724" s="17">
        <f>IF($N724="","",COUNT($N724:$S724))</f>
        <v/>
      </c>
      <c r="AA724" s="19">
        <f>IF($Z724="","",INT(INDEX($N724:$S724,$Z724)))</f>
        <v/>
      </c>
      <c r="AB724" s="19">
        <f>IF(OR($Z724="",$Z724=6),"",WORKDAY($AA724,CHOOSE($Z724,3,3,2,2,3),Holidays))</f>
        <v/>
      </c>
      <c r="AC724" s="17">
        <f>IF(OR($Z724="",$Z724=6),"",CHOOSE($Z724,"1st Email Follow-up","2nd Email Follow-up","Escalate Local Office","Escalate to CBE","Escalate to Roxanne"))</f>
        <v/>
      </c>
    </row>
    <row r="725" spans="13:29">
      <c r="M725" s="14"/>
      <c r="T725" s="16"/>
      <c r="U725" s="17">
        <f>IF(AND(COUNTA($A725:$L725)=0,$N725=""),"",IF($T725="Paid","PAID",IF($T725="Closed","CLOSED",IF($Z725="","",IF($Z725=6,"ESCALATED TO ROXANNE",IF(TODAY()&gt;$AB725,"OVERDUE",IF($AB725&lt;=WORKDAY(TODAY(),1,Holidays),"DUE TOMORROW",IF($Z725=4,"ESCALATED TO LOCAL OFFICE",IF($Z725=5,"ESCALATED TO CBE",IF($AA725=TODAY(),"EMAIL SENT","MONITORING"))))))))))</f>
        <v/>
      </c>
      <c r="V725" s="17">
        <f>IF($U725="",IF(AND(COUNTA($A725:$L725)&gt;0,$N725=""),"Awaiting Collection Email time stamp.",""),IF(OR($U725="PAID",$U725="CLOSED"),IF($U725="PAID","Account paid. Action completed.","Account closed. No further action required."),CHOOSE($Z725,"Collection Email","1st Email Follow-up","2nd Email Follow-up","Escalation to Local Office","Escalation to CBE","Escalation to Roxanne")&amp;" sent "&amp;TEXT($AA725,"dd-mmm")&amp;". "&amp;IF($Z725=6,"Final escalation completed.",IF($U725="OVERDUE","Next: "&amp;$AC725&amp;" was due "&amp;TEXT($AB725,"dd-mmm")&amp;" - "&amp;(NETWORKDAYS($AB725,TODAY(),Holidays)-1)&amp;" business day(s) late. Send now.",IF($U725="DUE TOMORROW","Next: "&amp;$AC725&amp;IF($AB725&lt;=TODAY()," is due TODAY ("," is due next business day (")&amp;TEXT($AB725,"dd-mmm")&amp;").","Next: "&amp;$AC725&amp;" due "&amp;TEXT($AB725,"dd-mmm")&amp;" ("&amp;(NETWORKDAYS(TODAY(),$AB725,Holidays)-1)&amp;" business day(s) left).")))))</f>
        <v/>
      </c>
      <c r="W725" s="17">
        <f>IF($Z725="","",CHOOSE($Z725,"Collection Email","1st Follow-up","2nd Follow-up","Local Office","CBE","Roxanne")&amp;IF($Z725=6," - Final"," - Day "&amp;MAX(0,NETWORKDAYS($AA725,TODAY(),Holidays)-1)&amp;" of "&amp;CHOOSE($Z725,3,3,2,2,3))&amp;" | Total Day "&amp;MAX(0,NETWORKDAYS($N725,TODAY(),Holidays)-1))</f>
        <v/>
      </c>
      <c r="X725" s="18"/>
      <c r="Y725" s="18"/>
      <c r="Z725" s="17">
        <f>IF($N725="","",COUNT($N725:$S725))</f>
        <v/>
      </c>
      <c r="AA725" s="19">
        <f>IF($Z725="","",INT(INDEX($N725:$S725,$Z725)))</f>
        <v/>
      </c>
      <c r="AB725" s="19">
        <f>IF(OR($Z725="",$Z725=6),"",WORKDAY($AA725,CHOOSE($Z725,3,3,2,2,3),Holidays))</f>
        <v/>
      </c>
      <c r="AC725" s="17">
        <f>IF(OR($Z725="",$Z725=6),"",CHOOSE($Z725,"1st Email Follow-up","2nd Email Follow-up","Escalate Local Office","Escalate to CBE","Escalate to Roxanne"))</f>
        <v/>
      </c>
    </row>
    <row r="726" spans="13:29">
      <c r="M726" s="14"/>
      <c r="T726" s="16"/>
      <c r="U726" s="17">
        <f>IF(AND(COUNTA($A726:$L726)=0,$N726=""),"",IF($T726="Paid","PAID",IF($T726="Closed","CLOSED",IF($Z726="","",IF($Z726=6,"ESCALATED TO ROXANNE",IF(TODAY()&gt;$AB726,"OVERDUE",IF($AB726&lt;=WORKDAY(TODAY(),1,Holidays),"DUE TOMORROW",IF($Z726=4,"ESCALATED TO LOCAL OFFICE",IF($Z726=5,"ESCALATED TO CBE",IF($AA726=TODAY(),"EMAIL SENT","MONITORING"))))))))))</f>
        <v/>
      </c>
      <c r="V726" s="17">
        <f>IF($U726="",IF(AND(COUNTA($A726:$L726)&gt;0,$N726=""),"Awaiting Collection Email time stamp.",""),IF(OR($U726="PAID",$U726="CLOSED"),IF($U726="PAID","Account paid. Action completed.","Account closed. No further action required."),CHOOSE($Z726,"Collection Email","1st Email Follow-up","2nd Email Follow-up","Escalation to Local Office","Escalation to CBE","Escalation to Roxanne")&amp;" sent "&amp;TEXT($AA726,"dd-mmm")&amp;". "&amp;IF($Z726=6,"Final escalation completed.",IF($U726="OVERDUE","Next: "&amp;$AC726&amp;" was due "&amp;TEXT($AB726,"dd-mmm")&amp;" - "&amp;(NETWORKDAYS($AB726,TODAY(),Holidays)-1)&amp;" business day(s) late. Send now.",IF($U726="DUE TOMORROW","Next: "&amp;$AC726&amp;IF($AB726&lt;=TODAY()," is due TODAY ("," is due next business day (")&amp;TEXT($AB726,"dd-mmm")&amp;").","Next: "&amp;$AC726&amp;" due "&amp;TEXT($AB726,"dd-mmm")&amp;" ("&amp;(NETWORKDAYS(TODAY(),$AB726,Holidays)-1)&amp;" business day(s) left).")))))</f>
        <v/>
      </c>
      <c r="W726" s="17">
        <f>IF($Z726="","",CHOOSE($Z726,"Collection Email","1st Follow-up","2nd Follow-up","Local Office","CBE","Roxanne")&amp;IF($Z726=6," - Final"," - Day "&amp;MAX(0,NETWORKDAYS($AA726,TODAY(),Holidays)-1)&amp;" of "&amp;CHOOSE($Z726,3,3,2,2,3))&amp;" | Total Day "&amp;MAX(0,NETWORKDAYS($N726,TODAY(),Holidays)-1))</f>
        <v/>
      </c>
      <c r="X726" s="18"/>
      <c r="Y726" s="18"/>
      <c r="Z726" s="17">
        <f>IF($N726="","",COUNT($N726:$S726))</f>
        <v/>
      </c>
      <c r="AA726" s="19">
        <f>IF($Z726="","",INT(INDEX($N726:$S726,$Z726)))</f>
        <v/>
      </c>
      <c r="AB726" s="19">
        <f>IF(OR($Z726="",$Z726=6),"",WORKDAY($AA726,CHOOSE($Z726,3,3,2,2,3),Holidays))</f>
        <v/>
      </c>
      <c r="AC726" s="17">
        <f>IF(OR($Z726="",$Z726=6),"",CHOOSE($Z726,"1st Email Follow-up","2nd Email Follow-up","Escalate Local Office","Escalate to CBE","Escalate to Roxanne"))</f>
        <v/>
      </c>
    </row>
    <row r="727" spans="13:29">
      <c r="M727" s="14"/>
      <c r="T727" s="16"/>
      <c r="U727" s="17">
        <f>IF(AND(COUNTA($A727:$L727)=0,$N727=""),"",IF($T727="Paid","PAID",IF($T727="Closed","CLOSED",IF($Z727="","",IF($Z727=6,"ESCALATED TO ROXANNE",IF(TODAY()&gt;$AB727,"OVERDUE",IF($AB727&lt;=WORKDAY(TODAY(),1,Holidays),"DUE TOMORROW",IF($Z727=4,"ESCALATED TO LOCAL OFFICE",IF($Z727=5,"ESCALATED TO CBE",IF($AA727=TODAY(),"EMAIL SENT","MONITORING"))))))))))</f>
        <v/>
      </c>
      <c r="V727" s="17">
        <f>IF($U727="",IF(AND(COUNTA($A727:$L727)&gt;0,$N727=""),"Awaiting Collection Email time stamp.",""),IF(OR($U727="PAID",$U727="CLOSED"),IF($U727="PAID","Account paid. Action completed.","Account closed. No further action required."),CHOOSE($Z727,"Collection Email","1st Email Follow-up","2nd Email Follow-up","Escalation to Local Office","Escalation to CBE","Escalation to Roxanne")&amp;" sent "&amp;TEXT($AA727,"dd-mmm")&amp;". "&amp;IF($Z727=6,"Final escalation completed.",IF($U727="OVERDUE","Next: "&amp;$AC727&amp;" was due "&amp;TEXT($AB727,"dd-mmm")&amp;" - "&amp;(NETWORKDAYS($AB727,TODAY(),Holidays)-1)&amp;" business day(s) late. Send now.",IF($U727="DUE TOMORROW","Next: "&amp;$AC727&amp;IF($AB727&lt;=TODAY()," is due TODAY ("," is due next business day (")&amp;TEXT($AB727,"dd-mmm")&amp;").","Next: "&amp;$AC727&amp;" due "&amp;TEXT($AB727,"dd-mmm")&amp;" ("&amp;(NETWORKDAYS(TODAY(),$AB727,Holidays)-1)&amp;" business day(s) left).")))))</f>
        <v/>
      </c>
      <c r="W727" s="17">
        <f>IF($Z727="","",CHOOSE($Z727,"Collection Email","1st Follow-up","2nd Follow-up","Local Office","CBE","Roxanne")&amp;IF($Z727=6," - Final"," - Day "&amp;MAX(0,NETWORKDAYS($AA727,TODAY(),Holidays)-1)&amp;" of "&amp;CHOOSE($Z727,3,3,2,2,3))&amp;" | Total Day "&amp;MAX(0,NETWORKDAYS($N727,TODAY(),Holidays)-1))</f>
        <v/>
      </c>
      <c r="X727" s="18"/>
      <c r="Y727" s="18"/>
      <c r="Z727" s="17">
        <f>IF($N727="","",COUNT($N727:$S727))</f>
        <v/>
      </c>
      <c r="AA727" s="19">
        <f>IF($Z727="","",INT(INDEX($N727:$S727,$Z727)))</f>
        <v/>
      </c>
      <c r="AB727" s="19">
        <f>IF(OR($Z727="",$Z727=6),"",WORKDAY($AA727,CHOOSE($Z727,3,3,2,2,3),Holidays))</f>
        <v/>
      </c>
      <c r="AC727" s="17">
        <f>IF(OR($Z727="",$Z727=6),"",CHOOSE($Z727,"1st Email Follow-up","2nd Email Follow-up","Escalate Local Office","Escalate to CBE","Escalate to Roxanne"))</f>
        <v/>
      </c>
    </row>
    <row r="728" spans="13:29">
      <c r="M728" s="14"/>
      <c r="T728" s="16"/>
      <c r="U728" s="17">
        <f>IF(AND(COUNTA($A728:$L728)=0,$N728=""),"",IF($T728="Paid","PAID",IF($T728="Closed","CLOSED",IF($Z728="","",IF($Z728=6,"ESCALATED TO ROXANNE",IF(TODAY()&gt;$AB728,"OVERDUE",IF($AB728&lt;=WORKDAY(TODAY(),1,Holidays),"DUE TOMORROW",IF($Z728=4,"ESCALATED TO LOCAL OFFICE",IF($Z728=5,"ESCALATED TO CBE",IF($AA728=TODAY(),"EMAIL SENT","MONITORING"))))))))))</f>
        <v/>
      </c>
      <c r="V728" s="17">
        <f>IF($U728="",IF(AND(COUNTA($A728:$L728)&gt;0,$N728=""),"Awaiting Collection Email time stamp.",""),IF(OR($U728="PAID",$U728="CLOSED"),IF($U728="PAID","Account paid. Action completed.","Account closed. No further action required."),CHOOSE($Z728,"Collection Email","1st Email Follow-up","2nd Email Follow-up","Escalation to Local Office","Escalation to CBE","Escalation to Roxanne")&amp;" sent "&amp;TEXT($AA728,"dd-mmm")&amp;". "&amp;IF($Z728=6,"Final escalation completed.",IF($U728="OVERDUE","Next: "&amp;$AC728&amp;" was due "&amp;TEXT($AB728,"dd-mmm")&amp;" - "&amp;(NETWORKDAYS($AB728,TODAY(),Holidays)-1)&amp;" business day(s) late. Send now.",IF($U728="DUE TOMORROW","Next: "&amp;$AC728&amp;IF($AB728&lt;=TODAY()," is due TODAY ("," is due next business day (")&amp;TEXT($AB728,"dd-mmm")&amp;").","Next: "&amp;$AC728&amp;" due "&amp;TEXT($AB728,"dd-mmm")&amp;" ("&amp;(NETWORKDAYS(TODAY(),$AB728,Holidays)-1)&amp;" business day(s) left).")))))</f>
        <v/>
      </c>
      <c r="W728" s="17">
        <f>IF($Z728="","",CHOOSE($Z728,"Collection Email","1st Follow-up","2nd Follow-up","Local Office","CBE","Roxanne")&amp;IF($Z728=6," - Final"," - Day "&amp;MAX(0,NETWORKDAYS($AA728,TODAY(),Holidays)-1)&amp;" of "&amp;CHOOSE($Z728,3,3,2,2,3))&amp;" | Total Day "&amp;MAX(0,NETWORKDAYS($N728,TODAY(),Holidays)-1))</f>
        <v/>
      </c>
      <c r="X728" s="18"/>
      <c r="Y728" s="18"/>
      <c r="Z728" s="17">
        <f>IF($N728="","",COUNT($N728:$S728))</f>
        <v/>
      </c>
      <c r="AA728" s="19">
        <f>IF($Z728="","",INT(INDEX($N728:$S728,$Z728)))</f>
        <v/>
      </c>
      <c r="AB728" s="19">
        <f>IF(OR($Z728="",$Z728=6),"",WORKDAY($AA728,CHOOSE($Z728,3,3,2,2,3),Holidays))</f>
        <v/>
      </c>
      <c r="AC728" s="17">
        <f>IF(OR($Z728="",$Z728=6),"",CHOOSE($Z728,"1st Email Follow-up","2nd Email Follow-up","Escalate Local Office","Escalate to CBE","Escalate to Roxanne"))</f>
        <v/>
      </c>
    </row>
    <row r="729" spans="13:29">
      <c r="M729" s="14"/>
      <c r="T729" s="16"/>
      <c r="U729" s="17">
        <f>IF(AND(COUNTA($A729:$L729)=0,$N729=""),"",IF($T729="Paid","PAID",IF($T729="Closed","CLOSED",IF($Z729="","",IF($Z729=6,"ESCALATED TO ROXANNE",IF(TODAY()&gt;$AB729,"OVERDUE",IF($AB729&lt;=WORKDAY(TODAY(),1,Holidays),"DUE TOMORROW",IF($Z729=4,"ESCALATED TO LOCAL OFFICE",IF($Z729=5,"ESCALATED TO CBE",IF($AA729=TODAY(),"EMAIL SENT","MONITORING"))))))))))</f>
        <v/>
      </c>
      <c r="V729" s="17">
        <f>IF($U729="",IF(AND(COUNTA($A729:$L729)&gt;0,$N729=""),"Awaiting Collection Email time stamp.",""),IF(OR($U729="PAID",$U729="CLOSED"),IF($U729="PAID","Account paid. Action completed.","Account closed. No further action required."),CHOOSE($Z729,"Collection Email","1st Email Follow-up","2nd Email Follow-up","Escalation to Local Office","Escalation to CBE","Escalation to Roxanne")&amp;" sent "&amp;TEXT($AA729,"dd-mmm")&amp;". "&amp;IF($Z729=6,"Final escalation completed.",IF($U729="OVERDUE","Next: "&amp;$AC729&amp;" was due "&amp;TEXT($AB729,"dd-mmm")&amp;" - "&amp;(NETWORKDAYS($AB729,TODAY(),Holidays)-1)&amp;" business day(s) late. Send now.",IF($U729="DUE TOMORROW","Next: "&amp;$AC729&amp;IF($AB729&lt;=TODAY()," is due TODAY ("," is due next business day (")&amp;TEXT($AB729,"dd-mmm")&amp;").","Next: "&amp;$AC729&amp;" due "&amp;TEXT($AB729,"dd-mmm")&amp;" ("&amp;(NETWORKDAYS(TODAY(),$AB729,Holidays)-1)&amp;" business day(s) left).")))))</f>
        <v/>
      </c>
      <c r="W729" s="17">
        <f>IF($Z729="","",CHOOSE($Z729,"Collection Email","1st Follow-up","2nd Follow-up","Local Office","CBE","Roxanne")&amp;IF($Z729=6," - Final"," - Day "&amp;MAX(0,NETWORKDAYS($AA729,TODAY(),Holidays)-1)&amp;" of "&amp;CHOOSE($Z729,3,3,2,2,3))&amp;" | Total Day "&amp;MAX(0,NETWORKDAYS($N729,TODAY(),Holidays)-1))</f>
        <v/>
      </c>
      <c r="X729" s="18"/>
      <c r="Y729" s="18"/>
      <c r="Z729" s="17">
        <f>IF($N729="","",COUNT($N729:$S729))</f>
        <v/>
      </c>
      <c r="AA729" s="19">
        <f>IF($Z729="","",INT(INDEX($N729:$S729,$Z729)))</f>
        <v/>
      </c>
      <c r="AB729" s="19">
        <f>IF(OR($Z729="",$Z729=6),"",WORKDAY($AA729,CHOOSE($Z729,3,3,2,2,3),Holidays))</f>
        <v/>
      </c>
      <c r="AC729" s="17">
        <f>IF(OR($Z729="",$Z729=6),"",CHOOSE($Z729,"1st Email Follow-up","2nd Email Follow-up","Escalate Local Office","Escalate to CBE","Escalate to Roxanne"))</f>
        <v/>
      </c>
    </row>
    <row r="730" spans="13:29">
      <c r="M730" s="14"/>
      <c r="T730" s="16"/>
      <c r="U730" s="17">
        <f>IF(AND(COUNTA($A730:$L730)=0,$N730=""),"",IF($T730="Paid","PAID",IF($T730="Closed","CLOSED",IF($Z730="","",IF($Z730=6,"ESCALATED TO ROXANNE",IF(TODAY()&gt;$AB730,"OVERDUE",IF($AB730&lt;=WORKDAY(TODAY(),1,Holidays),"DUE TOMORROW",IF($Z730=4,"ESCALATED TO LOCAL OFFICE",IF($Z730=5,"ESCALATED TO CBE",IF($AA730=TODAY(),"EMAIL SENT","MONITORING"))))))))))</f>
        <v/>
      </c>
      <c r="V730" s="17">
        <f>IF($U730="",IF(AND(COUNTA($A730:$L730)&gt;0,$N730=""),"Awaiting Collection Email time stamp.",""),IF(OR($U730="PAID",$U730="CLOSED"),IF($U730="PAID","Account paid. Action completed.","Account closed. No further action required."),CHOOSE($Z730,"Collection Email","1st Email Follow-up","2nd Email Follow-up","Escalation to Local Office","Escalation to CBE","Escalation to Roxanne")&amp;" sent "&amp;TEXT($AA730,"dd-mmm")&amp;". "&amp;IF($Z730=6,"Final escalation completed.",IF($U730="OVERDUE","Next: "&amp;$AC730&amp;" was due "&amp;TEXT($AB730,"dd-mmm")&amp;" - "&amp;(NETWORKDAYS($AB730,TODAY(),Holidays)-1)&amp;" business day(s) late. Send now.",IF($U730="DUE TOMORROW","Next: "&amp;$AC730&amp;IF($AB730&lt;=TODAY()," is due TODAY ("," is due next business day (")&amp;TEXT($AB730,"dd-mmm")&amp;").","Next: "&amp;$AC730&amp;" due "&amp;TEXT($AB730,"dd-mmm")&amp;" ("&amp;(NETWORKDAYS(TODAY(),$AB730,Holidays)-1)&amp;" business day(s) left).")))))</f>
        <v/>
      </c>
      <c r="W730" s="17">
        <f>IF($Z730="","",CHOOSE($Z730,"Collection Email","1st Follow-up","2nd Follow-up","Local Office","CBE","Roxanne")&amp;IF($Z730=6," - Final"," - Day "&amp;MAX(0,NETWORKDAYS($AA730,TODAY(),Holidays)-1)&amp;" of "&amp;CHOOSE($Z730,3,3,2,2,3))&amp;" | Total Day "&amp;MAX(0,NETWORKDAYS($N730,TODAY(),Holidays)-1))</f>
        <v/>
      </c>
      <c r="X730" s="18"/>
      <c r="Y730" s="18"/>
      <c r="Z730" s="17">
        <f>IF($N730="","",COUNT($N730:$S730))</f>
        <v/>
      </c>
      <c r="AA730" s="19">
        <f>IF($Z730="","",INT(INDEX($N730:$S730,$Z730)))</f>
        <v/>
      </c>
      <c r="AB730" s="19">
        <f>IF(OR($Z730="",$Z730=6),"",WORKDAY($AA730,CHOOSE($Z730,3,3,2,2,3),Holidays))</f>
        <v/>
      </c>
      <c r="AC730" s="17">
        <f>IF(OR($Z730="",$Z730=6),"",CHOOSE($Z730,"1st Email Follow-up","2nd Email Follow-up","Escalate Local Office","Escalate to CBE","Escalate to Roxanne"))</f>
        <v/>
      </c>
    </row>
    <row r="731" spans="13:29">
      <c r="M731" s="14"/>
      <c r="T731" s="16"/>
      <c r="U731" s="17">
        <f>IF(AND(COUNTA($A731:$L731)=0,$N731=""),"",IF($T731="Paid","PAID",IF($T731="Closed","CLOSED",IF($Z731="","",IF($Z731=6,"ESCALATED TO ROXANNE",IF(TODAY()&gt;$AB731,"OVERDUE",IF($AB731&lt;=WORKDAY(TODAY(),1,Holidays),"DUE TOMORROW",IF($Z731=4,"ESCALATED TO LOCAL OFFICE",IF($Z731=5,"ESCALATED TO CBE",IF($AA731=TODAY(),"EMAIL SENT","MONITORING"))))))))))</f>
        <v/>
      </c>
      <c r="V731" s="17">
        <f>IF($U731="",IF(AND(COUNTA($A731:$L731)&gt;0,$N731=""),"Awaiting Collection Email time stamp.",""),IF(OR($U731="PAID",$U731="CLOSED"),IF($U731="PAID","Account paid. Action completed.","Account closed. No further action required."),CHOOSE($Z731,"Collection Email","1st Email Follow-up","2nd Email Follow-up","Escalation to Local Office","Escalation to CBE","Escalation to Roxanne")&amp;" sent "&amp;TEXT($AA731,"dd-mmm")&amp;". "&amp;IF($Z731=6,"Final escalation completed.",IF($U731="OVERDUE","Next: "&amp;$AC731&amp;" was due "&amp;TEXT($AB731,"dd-mmm")&amp;" - "&amp;(NETWORKDAYS($AB731,TODAY(),Holidays)-1)&amp;" business day(s) late. Send now.",IF($U731="DUE TOMORROW","Next: "&amp;$AC731&amp;IF($AB731&lt;=TODAY()," is due TODAY ("," is due next business day (")&amp;TEXT($AB731,"dd-mmm")&amp;").","Next: "&amp;$AC731&amp;" due "&amp;TEXT($AB731,"dd-mmm")&amp;" ("&amp;(NETWORKDAYS(TODAY(),$AB731,Holidays)-1)&amp;" business day(s) left).")))))</f>
        <v/>
      </c>
      <c r="W731" s="17">
        <f>IF($Z731="","",CHOOSE($Z731,"Collection Email","1st Follow-up","2nd Follow-up","Local Office","CBE","Roxanne")&amp;IF($Z731=6," - Final"," - Day "&amp;MAX(0,NETWORKDAYS($AA731,TODAY(),Holidays)-1)&amp;" of "&amp;CHOOSE($Z731,3,3,2,2,3))&amp;" | Total Day "&amp;MAX(0,NETWORKDAYS($N731,TODAY(),Holidays)-1))</f>
        <v/>
      </c>
      <c r="X731" s="18"/>
      <c r="Y731" s="18"/>
      <c r="Z731" s="17">
        <f>IF($N731="","",COUNT($N731:$S731))</f>
        <v/>
      </c>
      <c r="AA731" s="19">
        <f>IF($Z731="","",INT(INDEX($N731:$S731,$Z731)))</f>
        <v/>
      </c>
      <c r="AB731" s="19">
        <f>IF(OR($Z731="",$Z731=6),"",WORKDAY($AA731,CHOOSE($Z731,3,3,2,2,3),Holidays))</f>
        <v/>
      </c>
      <c r="AC731" s="17">
        <f>IF(OR($Z731="",$Z731=6),"",CHOOSE($Z731,"1st Email Follow-up","2nd Email Follow-up","Escalate Local Office","Escalate to CBE","Escalate to Roxanne"))</f>
        <v/>
      </c>
    </row>
    <row r="732" spans="13:29">
      <c r="M732" s="14"/>
      <c r="T732" s="16"/>
      <c r="U732" s="17">
        <f>IF(AND(COUNTA($A732:$L732)=0,$N732=""),"",IF($T732="Paid","PAID",IF($T732="Closed","CLOSED",IF($Z732="","",IF($Z732=6,"ESCALATED TO ROXANNE",IF(TODAY()&gt;$AB732,"OVERDUE",IF($AB732&lt;=WORKDAY(TODAY(),1,Holidays),"DUE TOMORROW",IF($Z732=4,"ESCALATED TO LOCAL OFFICE",IF($Z732=5,"ESCALATED TO CBE",IF($AA732=TODAY(),"EMAIL SENT","MONITORING"))))))))))</f>
        <v/>
      </c>
      <c r="V732" s="17">
        <f>IF($U732="",IF(AND(COUNTA($A732:$L732)&gt;0,$N732=""),"Awaiting Collection Email time stamp.",""),IF(OR($U732="PAID",$U732="CLOSED"),IF($U732="PAID","Account paid. Action completed.","Account closed. No further action required."),CHOOSE($Z732,"Collection Email","1st Email Follow-up","2nd Email Follow-up","Escalation to Local Office","Escalation to CBE","Escalation to Roxanne")&amp;" sent "&amp;TEXT($AA732,"dd-mmm")&amp;". "&amp;IF($Z732=6,"Final escalation completed.",IF($U732="OVERDUE","Next: "&amp;$AC732&amp;" was due "&amp;TEXT($AB732,"dd-mmm")&amp;" - "&amp;(NETWORKDAYS($AB732,TODAY(),Holidays)-1)&amp;" business day(s) late. Send now.",IF($U732="DUE TOMORROW","Next: "&amp;$AC732&amp;IF($AB732&lt;=TODAY()," is due TODAY ("," is due next business day (")&amp;TEXT($AB732,"dd-mmm")&amp;").","Next: "&amp;$AC732&amp;" due "&amp;TEXT($AB732,"dd-mmm")&amp;" ("&amp;(NETWORKDAYS(TODAY(),$AB732,Holidays)-1)&amp;" business day(s) left).")))))</f>
        <v/>
      </c>
      <c r="W732" s="17">
        <f>IF($Z732="","",CHOOSE($Z732,"Collection Email","1st Follow-up","2nd Follow-up","Local Office","CBE","Roxanne")&amp;IF($Z732=6," - Final"," - Day "&amp;MAX(0,NETWORKDAYS($AA732,TODAY(),Holidays)-1)&amp;" of "&amp;CHOOSE($Z732,3,3,2,2,3))&amp;" | Total Day "&amp;MAX(0,NETWORKDAYS($N732,TODAY(),Holidays)-1))</f>
        <v/>
      </c>
      <c r="X732" s="18"/>
      <c r="Y732" s="18"/>
      <c r="Z732" s="17">
        <f>IF($N732="","",COUNT($N732:$S732))</f>
        <v/>
      </c>
      <c r="AA732" s="19">
        <f>IF($Z732="","",INT(INDEX($N732:$S732,$Z732)))</f>
        <v/>
      </c>
      <c r="AB732" s="19">
        <f>IF(OR($Z732="",$Z732=6),"",WORKDAY($AA732,CHOOSE($Z732,3,3,2,2,3),Holidays))</f>
        <v/>
      </c>
      <c r="AC732" s="17">
        <f>IF(OR($Z732="",$Z732=6),"",CHOOSE($Z732,"1st Email Follow-up","2nd Email Follow-up","Escalate Local Office","Escalate to CBE","Escalate to Roxanne"))</f>
        <v/>
      </c>
    </row>
    <row r="733" spans="13:29">
      <c r="M733" s="14"/>
      <c r="T733" s="16"/>
      <c r="U733" s="17">
        <f>IF(AND(COUNTA($A733:$L733)=0,$N733=""),"",IF($T733="Paid","PAID",IF($T733="Closed","CLOSED",IF($Z733="","",IF($Z733=6,"ESCALATED TO ROXANNE",IF(TODAY()&gt;$AB733,"OVERDUE",IF($AB733&lt;=WORKDAY(TODAY(),1,Holidays),"DUE TOMORROW",IF($Z733=4,"ESCALATED TO LOCAL OFFICE",IF($Z733=5,"ESCALATED TO CBE",IF($AA733=TODAY(),"EMAIL SENT","MONITORING"))))))))))</f>
        <v/>
      </c>
      <c r="V733" s="17">
        <f>IF($U733="",IF(AND(COUNTA($A733:$L733)&gt;0,$N733=""),"Awaiting Collection Email time stamp.",""),IF(OR($U733="PAID",$U733="CLOSED"),IF($U733="PAID","Account paid. Action completed.","Account closed. No further action required."),CHOOSE($Z733,"Collection Email","1st Email Follow-up","2nd Email Follow-up","Escalation to Local Office","Escalation to CBE","Escalation to Roxanne")&amp;" sent "&amp;TEXT($AA733,"dd-mmm")&amp;". "&amp;IF($Z733=6,"Final escalation completed.",IF($U733="OVERDUE","Next: "&amp;$AC733&amp;" was due "&amp;TEXT($AB733,"dd-mmm")&amp;" - "&amp;(NETWORKDAYS($AB733,TODAY(),Holidays)-1)&amp;" business day(s) late. Send now.",IF($U733="DUE TOMORROW","Next: "&amp;$AC733&amp;IF($AB733&lt;=TODAY()," is due TODAY ("," is due next business day (")&amp;TEXT($AB733,"dd-mmm")&amp;").","Next: "&amp;$AC733&amp;" due "&amp;TEXT($AB733,"dd-mmm")&amp;" ("&amp;(NETWORKDAYS(TODAY(),$AB733,Holidays)-1)&amp;" business day(s) left).")))))</f>
        <v/>
      </c>
      <c r="W733" s="17">
        <f>IF($Z733="","",CHOOSE($Z733,"Collection Email","1st Follow-up","2nd Follow-up","Local Office","CBE","Roxanne")&amp;IF($Z733=6," - Final"," - Day "&amp;MAX(0,NETWORKDAYS($AA733,TODAY(),Holidays)-1)&amp;" of "&amp;CHOOSE($Z733,3,3,2,2,3))&amp;" | Total Day "&amp;MAX(0,NETWORKDAYS($N733,TODAY(),Holidays)-1))</f>
        <v/>
      </c>
      <c r="X733" s="18"/>
      <c r="Y733" s="18"/>
      <c r="Z733" s="17">
        <f>IF($N733="","",COUNT($N733:$S733))</f>
        <v/>
      </c>
      <c r="AA733" s="19">
        <f>IF($Z733="","",INT(INDEX($N733:$S733,$Z733)))</f>
        <v/>
      </c>
      <c r="AB733" s="19">
        <f>IF(OR($Z733="",$Z733=6),"",WORKDAY($AA733,CHOOSE($Z733,3,3,2,2,3),Holidays))</f>
        <v/>
      </c>
      <c r="AC733" s="17">
        <f>IF(OR($Z733="",$Z733=6),"",CHOOSE($Z733,"1st Email Follow-up","2nd Email Follow-up","Escalate Local Office","Escalate to CBE","Escalate to Roxanne"))</f>
        <v/>
      </c>
    </row>
    <row r="734" spans="13:29">
      <c r="M734" s="14"/>
      <c r="T734" s="16"/>
      <c r="U734" s="17">
        <f>IF(AND(COUNTA($A734:$L734)=0,$N734=""),"",IF($T734="Paid","PAID",IF($T734="Closed","CLOSED",IF($Z734="","",IF($Z734=6,"ESCALATED TO ROXANNE",IF(TODAY()&gt;$AB734,"OVERDUE",IF($AB734&lt;=WORKDAY(TODAY(),1,Holidays),"DUE TOMORROW",IF($Z734=4,"ESCALATED TO LOCAL OFFICE",IF($Z734=5,"ESCALATED TO CBE",IF($AA734=TODAY(),"EMAIL SENT","MONITORING"))))))))))</f>
        <v/>
      </c>
      <c r="V734" s="17">
        <f>IF($U734="",IF(AND(COUNTA($A734:$L734)&gt;0,$N734=""),"Awaiting Collection Email time stamp.",""),IF(OR($U734="PAID",$U734="CLOSED"),IF($U734="PAID","Account paid. Action completed.","Account closed. No further action required."),CHOOSE($Z734,"Collection Email","1st Email Follow-up","2nd Email Follow-up","Escalation to Local Office","Escalation to CBE","Escalation to Roxanne")&amp;" sent "&amp;TEXT($AA734,"dd-mmm")&amp;". "&amp;IF($Z734=6,"Final escalation completed.",IF($U734="OVERDUE","Next: "&amp;$AC734&amp;" was due "&amp;TEXT($AB734,"dd-mmm")&amp;" - "&amp;(NETWORKDAYS($AB734,TODAY(),Holidays)-1)&amp;" business day(s) late. Send now.",IF($U734="DUE TOMORROW","Next: "&amp;$AC734&amp;IF($AB734&lt;=TODAY()," is due TODAY ("," is due next business day (")&amp;TEXT($AB734,"dd-mmm")&amp;").","Next: "&amp;$AC734&amp;" due "&amp;TEXT($AB734,"dd-mmm")&amp;" ("&amp;(NETWORKDAYS(TODAY(),$AB734,Holidays)-1)&amp;" business day(s) left).")))))</f>
        <v/>
      </c>
      <c r="W734" s="17">
        <f>IF($Z734="","",CHOOSE($Z734,"Collection Email","1st Follow-up","2nd Follow-up","Local Office","CBE","Roxanne")&amp;IF($Z734=6," - Final"," - Day "&amp;MAX(0,NETWORKDAYS($AA734,TODAY(),Holidays)-1)&amp;" of "&amp;CHOOSE($Z734,3,3,2,2,3))&amp;" | Total Day "&amp;MAX(0,NETWORKDAYS($N734,TODAY(),Holidays)-1))</f>
        <v/>
      </c>
      <c r="X734" s="18"/>
      <c r="Y734" s="18"/>
      <c r="Z734" s="17">
        <f>IF($N734="","",COUNT($N734:$S734))</f>
        <v/>
      </c>
      <c r="AA734" s="19">
        <f>IF($Z734="","",INT(INDEX($N734:$S734,$Z734)))</f>
        <v/>
      </c>
      <c r="AB734" s="19">
        <f>IF(OR($Z734="",$Z734=6),"",WORKDAY($AA734,CHOOSE($Z734,3,3,2,2,3),Holidays))</f>
        <v/>
      </c>
      <c r="AC734" s="17">
        <f>IF(OR($Z734="",$Z734=6),"",CHOOSE($Z734,"1st Email Follow-up","2nd Email Follow-up","Escalate Local Office","Escalate to CBE","Escalate to Roxanne"))</f>
        <v/>
      </c>
    </row>
    <row r="735" spans="13:29">
      <c r="M735" s="14"/>
      <c r="T735" s="16"/>
      <c r="U735" s="17">
        <f>IF(AND(COUNTA($A735:$L735)=0,$N735=""),"",IF($T735="Paid","PAID",IF($T735="Closed","CLOSED",IF($Z735="","",IF($Z735=6,"ESCALATED TO ROXANNE",IF(TODAY()&gt;$AB735,"OVERDUE",IF($AB735&lt;=WORKDAY(TODAY(),1,Holidays),"DUE TOMORROW",IF($Z735=4,"ESCALATED TO LOCAL OFFICE",IF($Z735=5,"ESCALATED TO CBE",IF($AA735=TODAY(),"EMAIL SENT","MONITORING"))))))))))</f>
        <v/>
      </c>
      <c r="V735" s="17">
        <f>IF($U735="",IF(AND(COUNTA($A735:$L735)&gt;0,$N735=""),"Awaiting Collection Email time stamp.",""),IF(OR($U735="PAID",$U735="CLOSED"),IF($U735="PAID","Account paid. Action completed.","Account closed. No further action required."),CHOOSE($Z735,"Collection Email","1st Email Follow-up","2nd Email Follow-up","Escalation to Local Office","Escalation to CBE","Escalation to Roxanne")&amp;" sent "&amp;TEXT($AA735,"dd-mmm")&amp;". "&amp;IF($Z735=6,"Final escalation completed.",IF($U735="OVERDUE","Next: "&amp;$AC735&amp;" was due "&amp;TEXT($AB735,"dd-mmm")&amp;" - "&amp;(NETWORKDAYS($AB735,TODAY(),Holidays)-1)&amp;" business day(s) late. Send now.",IF($U735="DUE TOMORROW","Next: "&amp;$AC735&amp;IF($AB735&lt;=TODAY()," is due TODAY ("," is due next business day (")&amp;TEXT($AB735,"dd-mmm")&amp;").","Next: "&amp;$AC735&amp;" due "&amp;TEXT($AB735,"dd-mmm")&amp;" ("&amp;(NETWORKDAYS(TODAY(),$AB735,Holidays)-1)&amp;" business day(s) left).")))))</f>
        <v/>
      </c>
      <c r="W735" s="17">
        <f>IF($Z735="","",CHOOSE($Z735,"Collection Email","1st Follow-up","2nd Follow-up","Local Office","CBE","Roxanne")&amp;IF($Z735=6," - Final"," - Day "&amp;MAX(0,NETWORKDAYS($AA735,TODAY(),Holidays)-1)&amp;" of "&amp;CHOOSE($Z735,3,3,2,2,3))&amp;" | Total Day "&amp;MAX(0,NETWORKDAYS($N735,TODAY(),Holidays)-1))</f>
        <v/>
      </c>
      <c r="X735" s="18"/>
      <c r="Y735" s="18"/>
      <c r="Z735" s="17">
        <f>IF($N735="","",COUNT($N735:$S735))</f>
        <v/>
      </c>
      <c r="AA735" s="19">
        <f>IF($Z735="","",INT(INDEX($N735:$S735,$Z735)))</f>
        <v/>
      </c>
      <c r="AB735" s="19">
        <f>IF(OR($Z735="",$Z735=6),"",WORKDAY($AA735,CHOOSE($Z735,3,3,2,2,3),Holidays))</f>
        <v/>
      </c>
      <c r="AC735" s="17">
        <f>IF(OR($Z735="",$Z735=6),"",CHOOSE($Z735,"1st Email Follow-up","2nd Email Follow-up","Escalate Local Office","Escalate to CBE","Escalate to Roxanne"))</f>
        <v/>
      </c>
    </row>
    <row r="736" spans="13:29">
      <c r="M736" s="14"/>
      <c r="T736" s="16"/>
      <c r="U736" s="17">
        <f>IF(AND(COUNTA($A736:$L736)=0,$N736=""),"",IF($T736="Paid","PAID",IF($T736="Closed","CLOSED",IF($Z736="","",IF($Z736=6,"ESCALATED TO ROXANNE",IF(TODAY()&gt;$AB736,"OVERDUE",IF($AB736&lt;=WORKDAY(TODAY(),1,Holidays),"DUE TOMORROW",IF($Z736=4,"ESCALATED TO LOCAL OFFICE",IF($Z736=5,"ESCALATED TO CBE",IF($AA736=TODAY(),"EMAIL SENT","MONITORING"))))))))))</f>
        <v/>
      </c>
      <c r="V736" s="17">
        <f>IF($U736="",IF(AND(COUNTA($A736:$L736)&gt;0,$N736=""),"Awaiting Collection Email time stamp.",""),IF(OR($U736="PAID",$U736="CLOSED"),IF($U736="PAID","Account paid. Action completed.","Account closed. No further action required."),CHOOSE($Z736,"Collection Email","1st Email Follow-up","2nd Email Follow-up","Escalation to Local Office","Escalation to CBE","Escalation to Roxanne")&amp;" sent "&amp;TEXT($AA736,"dd-mmm")&amp;". "&amp;IF($Z736=6,"Final escalation completed.",IF($U736="OVERDUE","Next: "&amp;$AC736&amp;" was due "&amp;TEXT($AB736,"dd-mmm")&amp;" - "&amp;(NETWORKDAYS($AB736,TODAY(),Holidays)-1)&amp;" business day(s) late. Send now.",IF($U736="DUE TOMORROW","Next: "&amp;$AC736&amp;IF($AB736&lt;=TODAY()," is due TODAY ("," is due next business day (")&amp;TEXT($AB736,"dd-mmm")&amp;").","Next: "&amp;$AC736&amp;" due "&amp;TEXT($AB736,"dd-mmm")&amp;" ("&amp;(NETWORKDAYS(TODAY(),$AB736,Holidays)-1)&amp;" business day(s) left).")))))</f>
        <v/>
      </c>
      <c r="W736" s="17">
        <f>IF($Z736="","",CHOOSE($Z736,"Collection Email","1st Follow-up","2nd Follow-up","Local Office","CBE","Roxanne")&amp;IF($Z736=6," - Final"," - Day "&amp;MAX(0,NETWORKDAYS($AA736,TODAY(),Holidays)-1)&amp;" of "&amp;CHOOSE($Z736,3,3,2,2,3))&amp;" | Total Day "&amp;MAX(0,NETWORKDAYS($N736,TODAY(),Holidays)-1))</f>
        <v/>
      </c>
      <c r="X736" s="18"/>
      <c r="Y736" s="18"/>
      <c r="Z736" s="17">
        <f>IF($N736="","",COUNT($N736:$S736))</f>
        <v/>
      </c>
      <c r="AA736" s="19">
        <f>IF($Z736="","",INT(INDEX($N736:$S736,$Z736)))</f>
        <v/>
      </c>
      <c r="AB736" s="19">
        <f>IF(OR($Z736="",$Z736=6),"",WORKDAY($AA736,CHOOSE($Z736,3,3,2,2,3),Holidays))</f>
        <v/>
      </c>
      <c r="AC736" s="17">
        <f>IF(OR($Z736="",$Z736=6),"",CHOOSE($Z736,"1st Email Follow-up","2nd Email Follow-up","Escalate Local Office","Escalate to CBE","Escalate to Roxanne"))</f>
        <v/>
      </c>
    </row>
    <row r="737" spans="13:29">
      <c r="M737" s="14"/>
      <c r="T737" s="16"/>
      <c r="U737" s="17">
        <f>IF(AND(COUNTA($A737:$L737)=0,$N737=""),"",IF($T737="Paid","PAID",IF($T737="Closed","CLOSED",IF($Z737="","",IF($Z737=6,"ESCALATED TO ROXANNE",IF(TODAY()&gt;$AB737,"OVERDUE",IF($AB737&lt;=WORKDAY(TODAY(),1,Holidays),"DUE TOMORROW",IF($Z737=4,"ESCALATED TO LOCAL OFFICE",IF($Z737=5,"ESCALATED TO CBE",IF($AA737=TODAY(),"EMAIL SENT","MONITORING"))))))))))</f>
        <v/>
      </c>
      <c r="V737" s="17">
        <f>IF($U737="",IF(AND(COUNTA($A737:$L737)&gt;0,$N737=""),"Awaiting Collection Email time stamp.",""),IF(OR($U737="PAID",$U737="CLOSED"),IF($U737="PAID","Account paid. Action completed.","Account closed. No further action required."),CHOOSE($Z737,"Collection Email","1st Email Follow-up","2nd Email Follow-up","Escalation to Local Office","Escalation to CBE","Escalation to Roxanne")&amp;" sent "&amp;TEXT($AA737,"dd-mmm")&amp;". "&amp;IF($Z737=6,"Final escalation completed.",IF($U737="OVERDUE","Next: "&amp;$AC737&amp;" was due "&amp;TEXT($AB737,"dd-mmm")&amp;" - "&amp;(NETWORKDAYS($AB737,TODAY(),Holidays)-1)&amp;" business day(s) late. Send now.",IF($U737="DUE TOMORROW","Next: "&amp;$AC737&amp;IF($AB737&lt;=TODAY()," is due TODAY ("," is due next business day (")&amp;TEXT($AB737,"dd-mmm")&amp;").","Next: "&amp;$AC737&amp;" due "&amp;TEXT($AB737,"dd-mmm")&amp;" ("&amp;(NETWORKDAYS(TODAY(),$AB737,Holidays)-1)&amp;" business day(s) left).")))))</f>
        <v/>
      </c>
      <c r="W737" s="17">
        <f>IF($Z737="","",CHOOSE($Z737,"Collection Email","1st Follow-up","2nd Follow-up","Local Office","CBE","Roxanne")&amp;IF($Z737=6," - Final"," - Day "&amp;MAX(0,NETWORKDAYS($AA737,TODAY(),Holidays)-1)&amp;" of "&amp;CHOOSE($Z737,3,3,2,2,3))&amp;" | Total Day "&amp;MAX(0,NETWORKDAYS($N737,TODAY(),Holidays)-1))</f>
        <v/>
      </c>
      <c r="X737" s="18"/>
      <c r="Y737" s="18"/>
      <c r="Z737" s="17">
        <f>IF($N737="","",COUNT($N737:$S737))</f>
        <v/>
      </c>
      <c r="AA737" s="19">
        <f>IF($Z737="","",INT(INDEX($N737:$S737,$Z737)))</f>
        <v/>
      </c>
      <c r="AB737" s="19">
        <f>IF(OR($Z737="",$Z737=6),"",WORKDAY($AA737,CHOOSE($Z737,3,3,2,2,3),Holidays))</f>
        <v/>
      </c>
      <c r="AC737" s="17">
        <f>IF(OR($Z737="",$Z737=6),"",CHOOSE($Z737,"1st Email Follow-up","2nd Email Follow-up","Escalate Local Office","Escalate to CBE","Escalate to Roxanne"))</f>
        <v/>
      </c>
    </row>
    <row r="738" spans="13:29">
      <c r="M738" s="14"/>
      <c r="T738" s="16"/>
      <c r="U738" s="17">
        <f>IF(AND(COUNTA($A738:$L738)=0,$N738=""),"",IF($T738="Paid","PAID",IF($T738="Closed","CLOSED",IF($Z738="","",IF($Z738=6,"ESCALATED TO ROXANNE",IF(TODAY()&gt;$AB738,"OVERDUE",IF($AB738&lt;=WORKDAY(TODAY(),1,Holidays),"DUE TOMORROW",IF($Z738=4,"ESCALATED TO LOCAL OFFICE",IF($Z738=5,"ESCALATED TO CBE",IF($AA738=TODAY(),"EMAIL SENT","MONITORING"))))))))))</f>
        <v/>
      </c>
      <c r="V738" s="17">
        <f>IF($U738="",IF(AND(COUNTA($A738:$L738)&gt;0,$N738=""),"Awaiting Collection Email time stamp.",""),IF(OR($U738="PAID",$U738="CLOSED"),IF($U738="PAID","Account paid. Action completed.","Account closed. No further action required."),CHOOSE($Z738,"Collection Email","1st Email Follow-up","2nd Email Follow-up","Escalation to Local Office","Escalation to CBE","Escalation to Roxanne")&amp;" sent "&amp;TEXT($AA738,"dd-mmm")&amp;". "&amp;IF($Z738=6,"Final escalation completed.",IF($U738="OVERDUE","Next: "&amp;$AC738&amp;" was due "&amp;TEXT($AB738,"dd-mmm")&amp;" - "&amp;(NETWORKDAYS($AB738,TODAY(),Holidays)-1)&amp;" business day(s) late. Send now.",IF($U738="DUE TOMORROW","Next: "&amp;$AC738&amp;IF($AB738&lt;=TODAY()," is due TODAY ("," is due next business day (")&amp;TEXT($AB738,"dd-mmm")&amp;").","Next: "&amp;$AC738&amp;" due "&amp;TEXT($AB738,"dd-mmm")&amp;" ("&amp;(NETWORKDAYS(TODAY(),$AB738,Holidays)-1)&amp;" business day(s) left).")))))</f>
        <v/>
      </c>
      <c r="W738" s="17">
        <f>IF($Z738="","",CHOOSE($Z738,"Collection Email","1st Follow-up","2nd Follow-up","Local Office","CBE","Roxanne")&amp;IF($Z738=6," - Final"," - Day "&amp;MAX(0,NETWORKDAYS($AA738,TODAY(),Holidays)-1)&amp;" of "&amp;CHOOSE($Z738,3,3,2,2,3))&amp;" | Total Day "&amp;MAX(0,NETWORKDAYS($N738,TODAY(),Holidays)-1))</f>
        <v/>
      </c>
      <c r="X738" s="18"/>
      <c r="Y738" s="18"/>
      <c r="Z738" s="17">
        <f>IF($N738="","",COUNT($N738:$S738))</f>
        <v/>
      </c>
      <c r="AA738" s="19">
        <f>IF($Z738="","",INT(INDEX($N738:$S738,$Z738)))</f>
        <v/>
      </c>
      <c r="AB738" s="19">
        <f>IF(OR($Z738="",$Z738=6),"",WORKDAY($AA738,CHOOSE($Z738,3,3,2,2,3),Holidays))</f>
        <v/>
      </c>
      <c r="AC738" s="17">
        <f>IF(OR($Z738="",$Z738=6),"",CHOOSE($Z738,"1st Email Follow-up","2nd Email Follow-up","Escalate Local Office","Escalate to CBE","Escalate to Roxanne"))</f>
        <v/>
      </c>
    </row>
    <row r="739" spans="13:29">
      <c r="M739" s="14"/>
      <c r="T739" s="16"/>
      <c r="U739" s="17">
        <f>IF(AND(COUNTA($A739:$L739)=0,$N739=""),"",IF($T739="Paid","PAID",IF($T739="Closed","CLOSED",IF($Z739="","",IF($Z739=6,"ESCALATED TO ROXANNE",IF(TODAY()&gt;$AB739,"OVERDUE",IF($AB739&lt;=WORKDAY(TODAY(),1,Holidays),"DUE TOMORROW",IF($Z739=4,"ESCALATED TO LOCAL OFFICE",IF($Z739=5,"ESCALATED TO CBE",IF($AA739=TODAY(),"EMAIL SENT","MONITORING"))))))))))</f>
        <v/>
      </c>
      <c r="V739" s="17">
        <f>IF($U739="",IF(AND(COUNTA($A739:$L739)&gt;0,$N739=""),"Awaiting Collection Email time stamp.",""),IF(OR($U739="PAID",$U739="CLOSED"),IF($U739="PAID","Account paid. Action completed.","Account closed. No further action required."),CHOOSE($Z739,"Collection Email","1st Email Follow-up","2nd Email Follow-up","Escalation to Local Office","Escalation to CBE","Escalation to Roxanne")&amp;" sent "&amp;TEXT($AA739,"dd-mmm")&amp;". "&amp;IF($Z739=6,"Final escalation completed.",IF($U739="OVERDUE","Next: "&amp;$AC739&amp;" was due "&amp;TEXT($AB739,"dd-mmm")&amp;" - "&amp;(NETWORKDAYS($AB739,TODAY(),Holidays)-1)&amp;" business day(s) late. Send now.",IF($U739="DUE TOMORROW","Next: "&amp;$AC739&amp;IF($AB739&lt;=TODAY()," is due TODAY ("," is due next business day (")&amp;TEXT($AB739,"dd-mmm")&amp;").","Next: "&amp;$AC739&amp;" due "&amp;TEXT($AB739,"dd-mmm")&amp;" ("&amp;(NETWORKDAYS(TODAY(),$AB739,Holidays)-1)&amp;" business day(s) left).")))))</f>
        <v/>
      </c>
      <c r="W739" s="17">
        <f>IF($Z739="","",CHOOSE($Z739,"Collection Email","1st Follow-up","2nd Follow-up","Local Office","CBE","Roxanne")&amp;IF($Z739=6," - Final"," - Day "&amp;MAX(0,NETWORKDAYS($AA739,TODAY(),Holidays)-1)&amp;" of "&amp;CHOOSE($Z739,3,3,2,2,3))&amp;" | Total Day "&amp;MAX(0,NETWORKDAYS($N739,TODAY(),Holidays)-1))</f>
        <v/>
      </c>
      <c r="X739" s="18"/>
      <c r="Y739" s="18"/>
      <c r="Z739" s="17">
        <f>IF($N739="","",COUNT($N739:$S739))</f>
        <v/>
      </c>
      <c r="AA739" s="19">
        <f>IF($Z739="","",INT(INDEX($N739:$S739,$Z739)))</f>
        <v/>
      </c>
      <c r="AB739" s="19">
        <f>IF(OR($Z739="",$Z739=6),"",WORKDAY($AA739,CHOOSE($Z739,3,3,2,2,3),Holidays))</f>
        <v/>
      </c>
      <c r="AC739" s="17">
        <f>IF(OR($Z739="",$Z739=6),"",CHOOSE($Z739,"1st Email Follow-up","2nd Email Follow-up","Escalate Local Office","Escalate to CBE","Escalate to Roxanne"))</f>
        <v/>
      </c>
    </row>
    <row r="740" spans="13:29">
      <c r="M740" s="14"/>
      <c r="T740" s="16"/>
      <c r="U740" s="17">
        <f>IF(AND(COUNTA($A740:$L740)=0,$N740=""),"",IF($T740="Paid","PAID",IF($T740="Closed","CLOSED",IF($Z740="","",IF($Z740=6,"ESCALATED TO ROXANNE",IF(TODAY()&gt;$AB740,"OVERDUE",IF($AB740&lt;=WORKDAY(TODAY(),1,Holidays),"DUE TOMORROW",IF($Z740=4,"ESCALATED TO LOCAL OFFICE",IF($Z740=5,"ESCALATED TO CBE",IF($AA740=TODAY(),"EMAIL SENT","MONITORING"))))))))))</f>
        <v/>
      </c>
      <c r="V740" s="17">
        <f>IF($U740="",IF(AND(COUNTA($A740:$L740)&gt;0,$N740=""),"Awaiting Collection Email time stamp.",""),IF(OR($U740="PAID",$U740="CLOSED"),IF($U740="PAID","Account paid. Action completed.","Account closed. No further action required."),CHOOSE($Z740,"Collection Email","1st Email Follow-up","2nd Email Follow-up","Escalation to Local Office","Escalation to CBE","Escalation to Roxanne")&amp;" sent "&amp;TEXT($AA740,"dd-mmm")&amp;". "&amp;IF($Z740=6,"Final escalation completed.",IF($U740="OVERDUE","Next: "&amp;$AC740&amp;" was due "&amp;TEXT($AB740,"dd-mmm")&amp;" - "&amp;(NETWORKDAYS($AB740,TODAY(),Holidays)-1)&amp;" business day(s) late. Send now.",IF($U740="DUE TOMORROW","Next: "&amp;$AC740&amp;IF($AB740&lt;=TODAY()," is due TODAY ("," is due next business day (")&amp;TEXT($AB740,"dd-mmm")&amp;").","Next: "&amp;$AC740&amp;" due "&amp;TEXT($AB740,"dd-mmm")&amp;" ("&amp;(NETWORKDAYS(TODAY(),$AB740,Holidays)-1)&amp;" business day(s) left).")))))</f>
        <v/>
      </c>
      <c r="W740" s="17">
        <f>IF($Z740="","",CHOOSE($Z740,"Collection Email","1st Follow-up","2nd Follow-up","Local Office","CBE","Roxanne")&amp;IF($Z740=6," - Final"," - Day "&amp;MAX(0,NETWORKDAYS($AA740,TODAY(),Holidays)-1)&amp;" of "&amp;CHOOSE($Z740,3,3,2,2,3))&amp;" | Total Day "&amp;MAX(0,NETWORKDAYS($N740,TODAY(),Holidays)-1))</f>
        <v/>
      </c>
      <c r="X740" s="18"/>
      <c r="Y740" s="18"/>
      <c r="Z740" s="17">
        <f>IF($N740="","",COUNT($N740:$S740))</f>
        <v/>
      </c>
      <c r="AA740" s="19">
        <f>IF($Z740="","",INT(INDEX($N740:$S740,$Z740)))</f>
        <v/>
      </c>
      <c r="AB740" s="19">
        <f>IF(OR($Z740="",$Z740=6),"",WORKDAY($AA740,CHOOSE($Z740,3,3,2,2,3),Holidays))</f>
        <v/>
      </c>
      <c r="AC740" s="17">
        <f>IF(OR($Z740="",$Z740=6),"",CHOOSE($Z740,"1st Email Follow-up","2nd Email Follow-up","Escalate Local Office","Escalate to CBE","Escalate to Roxanne"))</f>
        <v/>
      </c>
    </row>
    <row r="741" spans="13:29">
      <c r="M741" s="14"/>
      <c r="T741" s="16"/>
      <c r="U741" s="17">
        <f>IF(AND(COUNTA($A741:$L741)=0,$N741=""),"",IF($T741="Paid","PAID",IF($T741="Closed","CLOSED",IF($Z741="","",IF($Z741=6,"ESCALATED TO ROXANNE",IF(TODAY()&gt;$AB741,"OVERDUE",IF($AB741&lt;=WORKDAY(TODAY(),1,Holidays),"DUE TOMORROW",IF($Z741=4,"ESCALATED TO LOCAL OFFICE",IF($Z741=5,"ESCALATED TO CBE",IF($AA741=TODAY(),"EMAIL SENT","MONITORING"))))))))))</f>
        <v/>
      </c>
      <c r="V741" s="17">
        <f>IF($U741="",IF(AND(COUNTA($A741:$L741)&gt;0,$N741=""),"Awaiting Collection Email time stamp.",""),IF(OR($U741="PAID",$U741="CLOSED"),IF($U741="PAID","Account paid. Action completed.","Account closed. No further action required."),CHOOSE($Z741,"Collection Email","1st Email Follow-up","2nd Email Follow-up","Escalation to Local Office","Escalation to CBE","Escalation to Roxanne")&amp;" sent "&amp;TEXT($AA741,"dd-mmm")&amp;". "&amp;IF($Z741=6,"Final escalation completed.",IF($U741="OVERDUE","Next: "&amp;$AC741&amp;" was due "&amp;TEXT($AB741,"dd-mmm")&amp;" - "&amp;(NETWORKDAYS($AB741,TODAY(),Holidays)-1)&amp;" business day(s) late. Send now.",IF($U741="DUE TOMORROW","Next: "&amp;$AC741&amp;IF($AB741&lt;=TODAY()," is due TODAY ("," is due next business day (")&amp;TEXT($AB741,"dd-mmm")&amp;").","Next: "&amp;$AC741&amp;" due "&amp;TEXT($AB741,"dd-mmm")&amp;" ("&amp;(NETWORKDAYS(TODAY(),$AB741,Holidays)-1)&amp;" business day(s) left).")))))</f>
        <v/>
      </c>
      <c r="W741" s="17">
        <f>IF($Z741="","",CHOOSE($Z741,"Collection Email","1st Follow-up","2nd Follow-up","Local Office","CBE","Roxanne")&amp;IF($Z741=6," - Final"," - Day "&amp;MAX(0,NETWORKDAYS($AA741,TODAY(),Holidays)-1)&amp;" of "&amp;CHOOSE($Z741,3,3,2,2,3))&amp;" | Total Day "&amp;MAX(0,NETWORKDAYS($N741,TODAY(),Holidays)-1))</f>
        <v/>
      </c>
      <c r="X741" s="18"/>
      <c r="Y741" s="18"/>
      <c r="Z741" s="17">
        <f>IF($N741="","",COUNT($N741:$S741))</f>
        <v/>
      </c>
      <c r="AA741" s="19">
        <f>IF($Z741="","",INT(INDEX($N741:$S741,$Z741)))</f>
        <v/>
      </c>
      <c r="AB741" s="19">
        <f>IF(OR($Z741="",$Z741=6),"",WORKDAY($AA741,CHOOSE($Z741,3,3,2,2,3),Holidays))</f>
        <v/>
      </c>
      <c r="AC741" s="17">
        <f>IF(OR($Z741="",$Z741=6),"",CHOOSE($Z741,"1st Email Follow-up","2nd Email Follow-up","Escalate Local Office","Escalate to CBE","Escalate to Roxanne"))</f>
        <v/>
      </c>
    </row>
    <row r="742" spans="13:29">
      <c r="M742" s="14"/>
      <c r="T742" s="16"/>
      <c r="U742" s="17">
        <f>IF(AND(COUNTA($A742:$L742)=0,$N742=""),"",IF($T742="Paid","PAID",IF($T742="Closed","CLOSED",IF($Z742="","",IF($Z742=6,"ESCALATED TO ROXANNE",IF(TODAY()&gt;$AB742,"OVERDUE",IF($AB742&lt;=WORKDAY(TODAY(),1,Holidays),"DUE TOMORROW",IF($Z742=4,"ESCALATED TO LOCAL OFFICE",IF($Z742=5,"ESCALATED TO CBE",IF($AA742=TODAY(),"EMAIL SENT","MONITORING"))))))))))</f>
        <v/>
      </c>
      <c r="V742" s="17">
        <f>IF($U742="",IF(AND(COUNTA($A742:$L742)&gt;0,$N742=""),"Awaiting Collection Email time stamp.",""),IF(OR($U742="PAID",$U742="CLOSED"),IF($U742="PAID","Account paid. Action completed.","Account closed. No further action required."),CHOOSE($Z742,"Collection Email","1st Email Follow-up","2nd Email Follow-up","Escalation to Local Office","Escalation to CBE","Escalation to Roxanne")&amp;" sent "&amp;TEXT($AA742,"dd-mmm")&amp;". "&amp;IF($Z742=6,"Final escalation completed.",IF($U742="OVERDUE","Next: "&amp;$AC742&amp;" was due "&amp;TEXT($AB742,"dd-mmm")&amp;" - "&amp;(NETWORKDAYS($AB742,TODAY(),Holidays)-1)&amp;" business day(s) late. Send now.",IF($U742="DUE TOMORROW","Next: "&amp;$AC742&amp;IF($AB742&lt;=TODAY()," is due TODAY ("," is due next business day (")&amp;TEXT($AB742,"dd-mmm")&amp;").","Next: "&amp;$AC742&amp;" due "&amp;TEXT($AB742,"dd-mmm")&amp;" ("&amp;(NETWORKDAYS(TODAY(),$AB742,Holidays)-1)&amp;" business day(s) left).")))))</f>
        <v/>
      </c>
      <c r="W742" s="17">
        <f>IF($Z742="","",CHOOSE($Z742,"Collection Email","1st Follow-up","2nd Follow-up","Local Office","CBE","Roxanne")&amp;IF($Z742=6," - Final"," - Day "&amp;MAX(0,NETWORKDAYS($AA742,TODAY(),Holidays)-1)&amp;" of "&amp;CHOOSE($Z742,3,3,2,2,3))&amp;" | Total Day "&amp;MAX(0,NETWORKDAYS($N742,TODAY(),Holidays)-1))</f>
        <v/>
      </c>
      <c r="X742" s="18"/>
      <c r="Y742" s="18"/>
      <c r="Z742" s="17">
        <f>IF($N742="","",COUNT($N742:$S742))</f>
        <v/>
      </c>
      <c r="AA742" s="19">
        <f>IF($Z742="","",INT(INDEX($N742:$S742,$Z742)))</f>
        <v/>
      </c>
      <c r="AB742" s="19">
        <f>IF(OR($Z742="",$Z742=6),"",WORKDAY($AA742,CHOOSE($Z742,3,3,2,2,3),Holidays))</f>
        <v/>
      </c>
      <c r="AC742" s="17">
        <f>IF(OR($Z742="",$Z742=6),"",CHOOSE($Z742,"1st Email Follow-up","2nd Email Follow-up","Escalate Local Office","Escalate to CBE","Escalate to Roxanne"))</f>
        <v/>
      </c>
    </row>
    <row r="743" spans="13:29">
      <c r="M743" s="14"/>
      <c r="T743" s="16"/>
      <c r="U743" s="17">
        <f>IF(AND(COUNTA($A743:$L743)=0,$N743=""),"",IF($T743="Paid","PAID",IF($T743="Closed","CLOSED",IF($Z743="","",IF($Z743=6,"ESCALATED TO ROXANNE",IF(TODAY()&gt;$AB743,"OVERDUE",IF($AB743&lt;=WORKDAY(TODAY(),1,Holidays),"DUE TOMORROW",IF($Z743=4,"ESCALATED TO LOCAL OFFICE",IF($Z743=5,"ESCALATED TO CBE",IF($AA743=TODAY(),"EMAIL SENT","MONITORING"))))))))))</f>
        <v/>
      </c>
      <c r="V743" s="17">
        <f>IF($U743="",IF(AND(COUNTA($A743:$L743)&gt;0,$N743=""),"Awaiting Collection Email time stamp.",""),IF(OR($U743="PAID",$U743="CLOSED"),IF($U743="PAID","Account paid. Action completed.","Account closed. No further action required."),CHOOSE($Z743,"Collection Email","1st Email Follow-up","2nd Email Follow-up","Escalation to Local Office","Escalation to CBE","Escalation to Roxanne")&amp;" sent "&amp;TEXT($AA743,"dd-mmm")&amp;". "&amp;IF($Z743=6,"Final escalation completed.",IF($U743="OVERDUE","Next: "&amp;$AC743&amp;" was due "&amp;TEXT($AB743,"dd-mmm")&amp;" - "&amp;(NETWORKDAYS($AB743,TODAY(),Holidays)-1)&amp;" business day(s) late. Send now.",IF($U743="DUE TOMORROW","Next: "&amp;$AC743&amp;IF($AB743&lt;=TODAY()," is due TODAY ("," is due next business day (")&amp;TEXT($AB743,"dd-mmm")&amp;").","Next: "&amp;$AC743&amp;" due "&amp;TEXT($AB743,"dd-mmm")&amp;" ("&amp;(NETWORKDAYS(TODAY(),$AB743,Holidays)-1)&amp;" business day(s) left).")))))</f>
        <v/>
      </c>
      <c r="W743" s="17">
        <f>IF($Z743="","",CHOOSE($Z743,"Collection Email","1st Follow-up","2nd Follow-up","Local Office","CBE","Roxanne")&amp;IF($Z743=6," - Final"," - Day "&amp;MAX(0,NETWORKDAYS($AA743,TODAY(),Holidays)-1)&amp;" of "&amp;CHOOSE($Z743,3,3,2,2,3))&amp;" | Total Day "&amp;MAX(0,NETWORKDAYS($N743,TODAY(),Holidays)-1))</f>
        <v/>
      </c>
      <c r="X743" s="18"/>
      <c r="Y743" s="18"/>
      <c r="Z743" s="17">
        <f>IF($N743="","",COUNT($N743:$S743))</f>
        <v/>
      </c>
      <c r="AA743" s="19">
        <f>IF($Z743="","",INT(INDEX($N743:$S743,$Z743)))</f>
        <v/>
      </c>
      <c r="AB743" s="19">
        <f>IF(OR($Z743="",$Z743=6),"",WORKDAY($AA743,CHOOSE($Z743,3,3,2,2,3),Holidays))</f>
        <v/>
      </c>
      <c r="AC743" s="17">
        <f>IF(OR($Z743="",$Z743=6),"",CHOOSE($Z743,"1st Email Follow-up","2nd Email Follow-up","Escalate Local Office","Escalate to CBE","Escalate to Roxanne"))</f>
        <v/>
      </c>
    </row>
    <row r="744" spans="13:29">
      <c r="M744" s="14"/>
      <c r="T744" s="16"/>
      <c r="U744" s="17">
        <f>IF(AND(COUNTA($A744:$L744)=0,$N744=""),"",IF($T744="Paid","PAID",IF($T744="Closed","CLOSED",IF($Z744="","",IF($Z744=6,"ESCALATED TO ROXANNE",IF(TODAY()&gt;$AB744,"OVERDUE",IF($AB744&lt;=WORKDAY(TODAY(),1,Holidays),"DUE TOMORROW",IF($Z744=4,"ESCALATED TO LOCAL OFFICE",IF($Z744=5,"ESCALATED TO CBE",IF($AA744=TODAY(),"EMAIL SENT","MONITORING"))))))))))</f>
        <v/>
      </c>
      <c r="V744" s="17">
        <f>IF($U744="",IF(AND(COUNTA($A744:$L744)&gt;0,$N744=""),"Awaiting Collection Email time stamp.",""),IF(OR($U744="PAID",$U744="CLOSED"),IF($U744="PAID","Account paid. Action completed.","Account closed. No further action required."),CHOOSE($Z744,"Collection Email","1st Email Follow-up","2nd Email Follow-up","Escalation to Local Office","Escalation to CBE","Escalation to Roxanne")&amp;" sent "&amp;TEXT($AA744,"dd-mmm")&amp;". "&amp;IF($Z744=6,"Final escalation completed.",IF($U744="OVERDUE","Next: "&amp;$AC744&amp;" was due "&amp;TEXT($AB744,"dd-mmm")&amp;" - "&amp;(NETWORKDAYS($AB744,TODAY(),Holidays)-1)&amp;" business day(s) late. Send now.",IF($U744="DUE TOMORROW","Next: "&amp;$AC744&amp;IF($AB744&lt;=TODAY()," is due TODAY ("," is due next business day (")&amp;TEXT($AB744,"dd-mmm")&amp;").","Next: "&amp;$AC744&amp;" due "&amp;TEXT($AB744,"dd-mmm")&amp;" ("&amp;(NETWORKDAYS(TODAY(),$AB744,Holidays)-1)&amp;" business day(s) left).")))))</f>
        <v/>
      </c>
      <c r="W744" s="17">
        <f>IF($Z744="","",CHOOSE($Z744,"Collection Email","1st Follow-up","2nd Follow-up","Local Office","CBE","Roxanne")&amp;IF($Z744=6," - Final"," - Day "&amp;MAX(0,NETWORKDAYS($AA744,TODAY(),Holidays)-1)&amp;" of "&amp;CHOOSE($Z744,3,3,2,2,3))&amp;" | Total Day "&amp;MAX(0,NETWORKDAYS($N744,TODAY(),Holidays)-1))</f>
        <v/>
      </c>
      <c r="X744" s="18"/>
      <c r="Y744" s="18"/>
      <c r="Z744" s="17">
        <f>IF($N744="","",COUNT($N744:$S744))</f>
        <v/>
      </c>
      <c r="AA744" s="19">
        <f>IF($Z744="","",INT(INDEX($N744:$S744,$Z744)))</f>
        <v/>
      </c>
      <c r="AB744" s="19">
        <f>IF(OR($Z744="",$Z744=6),"",WORKDAY($AA744,CHOOSE($Z744,3,3,2,2,3),Holidays))</f>
        <v/>
      </c>
      <c r="AC744" s="17">
        <f>IF(OR($Z744="",$Z744=6),"",CHOOSE($Z744,"1st Email Follow-up","2nd Email Follow-up","Escalate Local Office","Escalate to CBE","Escalate to Roxanne"))</f>
        <v/>
      </c>
    </row>
    <row r="745" spans="13:29">
      <c r="M745" s="14"/>
      <c r="T745" s="16"/>
      <c r="U745" s="17">
        <f>IF(AND(COUNTA($A745:$L745)=0,$N745=""),"",IF($T745="Paid","PAID",IF($T745="Closed","CLOSED",IF($Z745="","",IF($Z745=6,"ESCALATED TO ROXANNE",IF(TODAY()&gt;$AB745,"OVERDUE",IF($AB745&lt;=WORKDAY(TODAY(),1,Holidays),"DUE TOMORROW",IF($Z745=4,"ESCALATED TO LOCAL OFFICE",IF($Z745=5,"ESCALATED TO CBE",IF($AA745=TODAY(),"EMAIL SENT","MONITORING"))))))))))</f>
        <v/>
      </c>
      <c r="V745" s="17">
        <f>IF($U745="",IF(AND(COUNTA($A745:$L745)&gt;0,$N745=""),"Awaiting Collection Email time stamp.",""),IF(OR($U745="PAID",$U745="CLOSED"),IF($U745="PAID","Account paid. Action completed.","Account closed. No further action required."),CHOOSE($Z745,"Collection Email","1st Email Follow-up","2nd Email Follow-up","Escalation to Local Office","Escalation to CBE","Escalation to Roxanne")&amp;" sent "&amp;TEXT($AA745,"dd-mmm")&amp;". "&amp;IF($Z745=6,"Final escalation completed.",IF($U745="OVERDUE","Next: "&amp;$AC745&amp;" was due "&amp;TEXT($AB745,"dd-mmm")&amp;" - "&amp;(NETWORKDAYS($AB745,TODAY(),Holidays)-1)&amp;" business day(s) late. Send now.",IF($U745="DUE TOMORROW","Next: "&amp;$AC745&amp;IF($AB745&lt;=TODAY()," is due TODAY ("," is due next business day (")&amp;TEXT($AB745,"dd-mmm")&amp;").","Next: "&amp;$AC745&amp;" due "&amp;TEXT($AB745,"dd-mmm")&amp;" ("&amp;(NETWORKDAYS(TODAY(),$AB745,Holidays)-1)&amp;" business day(s) left).")))))</f>
        <v/>
      </c>
      <c r="W745" s="17">
        <f>IF($Z745="","",CHOOSE($Z745,"Collection Email","1st Follow-up","2nd Follow-up","Local Office","CBE","Roxanne")&amp;IF($Z745=6," - Final"," - Day "&amp;MAX(0,NETWORKDAYS($AA745,TODAY(),Holidays)-1)&amp;" of "&amp;CHOOSE($Z745,3,3,2,2,3))&amp;" | Total Day "&amp;MAX(0,NETWORKDAYS($N745,TODAY(),Holidays)-1))</f>
        <v/>
      </c>
      <c r="X745" s="18"/>
      <c r="Y745" s="18"/>
      <c r="Z745" s="17">
        <f>IF($N745="","",COUNT($N745:$S745))</f>
        <v/>
      </c>
      <c r="AA745" s="19">
        <f>IF($Z745="","",INT(INDEX($N745:$S745,$Z745)))</f>
        <v/>
      </c>
      <c r="AB745" s="19">
        <f>IF(OR($Z745="",$Z745=6),"",WORKDAY($AA745,CHOOSE($Z745,3,3,2,2,3),Holidays))</f>
        <v/>
      </c>
      <c r="AC745" s="17">
        <f>IF(OR($Z745="",$Z745=6),"",CHOOSE($Z745,"1st Email Follow-up","2nd Email Follow-up","Escalate Local Office","Escalate to CBE","Escalate to Roxanne"))</f>
        <v/>
      </c>
    </row>
    <row r="746" spans="13:29">
      <c r="M746" s="14"/>
      <c r="T746" s="16"/>
      <c r="U746" s="17">
        <f>IF(AND(COUNTA($A746:$L746)=0,$N746=""),"",IF($T746="Paid","PAID",IF($T746="Closed","CLOSED",IF($Z746="","",IF($Z746=6,"ESCALATED TO ROXANNE",IF(TODAY()&gt;$AB746,"OVERDUE",IF($AB746&lt;=WORKDAY(TODAY(),1,Holidays),"DUE TOMORROW",IF($Z746=4,"ESCALATED TO LOCAL OFFICE",IF($Z746=5,"ESCALATED TO CBE",IF($AA746=TODAY(),"EMAIL SENT","MONITORING"))))))))))</f>
        <v/>
      </c>
      <c r="V746" s="17">
        <f>IF($U746="",IF(AND(COUNTA($A746:$L746)&gt;0,$N746=""),"Awaiting Collection Email time stamp.",""),IF(OR($U746="PAID",$U746="CLOSED"),IF($U746="PAID","Account paid. Action completed.","Account closed. No further action required."),CHOOSE($Z746,"Collection Email","1st Email Follow-up","2nd Email Follow-up","Escalation to Local Office","Escalation to CBE","Escalation to Roxanne")&amp;" sent "&amp;TEXT($AA746,"dd-mmm")&amp;". "&amp;IF($Z746=6,"Final escalation completed.",IF($U746="OVERDUE","Next: "&amp;$AC746&amp;" was due "&amp;TEXT($AB746,"dd-mmm")&amp;" - "&amp;(NETWORKDAYS($AB746,TODAY(),Holidays)-1)&amp;" business day(s) late. Send now.",IF($U746="DUE TOMORROW","Next: "&amp;$AC746&amp;IF($AB746&lt;=TODAY()," is due TODAY ("," is due next business day (")&amp;TEXT($AB746,"dd-mmm")&amp;").","Next: "&amp;$AC746&amp;" due "&amp;TEXT($AB746,"dd-mmm")&amp;" ("&amp;(NETWORKDAYS(TODAY(),$AB746,Holidays)-1)&amp;" business day(s) left).")))))</f>
        <v/>
      </c>
      <c r="W746" s="17">
        <f>IF($Z746="","",CHOOSE($Z746,"Collection Email","1st Follow-up","2nd Follow-up","Local Office","CBE","Roxanne")&amp;IF($Z746=6," - Final"," - Day "&amp;MAX(0,NETWORKDAYS($AA746,TODAY(),Holidays)-1)&amp;" of "&amp;CHOOSE($Z746,3,3,2,2,3))&amp;" | Total Day "&amp;MAX(0,NETWORKDAYS($N746,TODAY(),Holidays)-1))</f>
        <v/>
      </c>
      <c r="X746" s="18"/>
      <c r="Y746" s="18"/>
      <c r="Z746" s="17">
        <f>IF($N746="","",COUNT($N746:$S746))</f>
        <v/>
      </c>
      <c r="AA746" s="19">
        <f>IF($Z746="","",INT(INDEX($N746:$S746,$Z746)))</f>
        <v/>
      </c>
      <c r="AB746" s="19">
        <f>IF(OR($Z746="",$Z746=6),"",WORKDAY($AA746,CHOOSE($Z746,3,3,2,2,3),Holidays))</f>
        <v/>
      </c>
      <c r="AC746" s="17">
        <f>IF(OR($Z746="",$Z746=6),"",CHOOSE($Z746,"1st Email Follow-up","2nd Email Follow-up","Escalate Local Office","Escalate to CBE","Escalate to Roxanne"))</f>
        <v/>
      </c>
    </row>
    <row r="747" spans="13:29">
      <c r="M747" s="14"/>
      <c r="T747" s="16"/>
      <c r="U747" s="17">
        <f>IF(AND(COUNTA($A747:$L747)=0,$N747=""),"",IF($T747="Paid","PAID",IF($T747="Closed","CLOSED",IF($Z747="","",IF($Z747=6,"ESCALATED TO ROXANNE",IF(TODAY()&gt;$AB747,"OVERDUE",IF($AB747&lt;=WORKDAY(TODAY(),1,Holidays),"DUE TOMORROW",IF($Z747=4,"ESCALATED TO LOCAL OFFICE",IF($Z747=5,"ESCALATED TO CBE",IF($AA747=TODAY(),"EMAIL SENT","MONITORING"))))))))))</f>
        <v/>
      </c>
      <c r="V747" s="17">
        <f>IF($U747="",IF(AND(COUNTA($A747:$L747)&gt;0,$N747=""),"Awaiting Collection Email time stamp.",""),IF(OR($U747="PAID",$U747="CLOSED"),IF($U747="PAID","Account paid. Action completed.","Account closed. No further action required."),CHOOSE($Z747,"Collection Email","1st Email Follow-up","2nd Email Follow-up","Escalation to Local Office","Escalation to CBE","Escalation to Roxanne")&amp;" sent "&amp;TEXT($AA747,"dd-mmm")&amp;". "&amp;IF($Z747=6,"Final escalation completed.",IF($U747="OVERDUE","Next: "&amp;$AC747&amp;" was due "&amp;TEXT($AB747,"dd-mmm")&amp;" - "&amp;(NETWORKDAYS($AB747,TODAY(),Holidays)-1)&amp;" business day(s) late. Send now.",IF($U747="DUE TOMORROW","Next: "&amp;$AC747&amp;IF($AB747&lt;=TODAY()," is due TODAY ("," is due next business day (")&amp;TEXT($AB747,"dd-mmm")&amp;").","Next: "&amp;$AC747&amp;" due "&amp;TEXT($AB747,"dd-mmm")&amp;" ("&amp;(NETWORKDAYS(TODAY(),$AB747,Holidays)-1)&amp;" business day(s) left).")))))</f>
        <v/>
      </c>
      <c r="W747" s="17">
        <f>IF($Z747="","",CHOOSE($Z747,"Collection Email","1st Follow-up","2nd Follow-up","Local Office","CBE","Roxanne")&amp;IF($Z747=6," - Final"," - Day "&amp;MAX(0,NETWORKDAYS($AA747,TODAY(),Holidays)-1)&amp;" of "&amp;CHOOSE($Z747,3,3,2,2,3))&amp;" | Total Day "&amp;MAX(0,NETWORKDAYS($N747,TODAY(),Holidays)-1))</f>
        <v/>
      </c>
      <c r="X747" s="18"/>
      <c r="Y747" s="18"/>
      <c r="Z747" s="17">
        <f>IF($N747="","",COUNT($N747:$S747))</f>
        <v/>
      </c>
      <c r="AA747" s="19">
        <f>IF($Z747="","",INT(INDEX($N747:$S747,$Z747)))</f>
        <v/>
      </c>
      <c r="AB747" s="19">
        <f>IF(OR($Z747="",$Z747=6),"",WORKDAY($AA747,CHOOSE($Z747,3,3,2,2,3),Holidays))</f>
        <v/>
      </c>
      <c r="AC747" s="17">
        <f>IF(OR($Z747="",$Z747=6),"",CHOOSE($Z747,"1st Email Follow-up","2nd Email Follow-up","Escalate Local Office","Escalate to CBE","Escalate to Roxanne"))</f>
        <v/>
      </c>
    </row>
    <row r="748" spans="13:29">
      <c r="M748" s="14"/>
      <c r="T748" s="16"/>
      <c r="U748" s="17">
        <f>IF(AND(COUNTA($A748:$L748)=0,$N748=""),"",IF($T748="Paid","PAID",IF($T748="Closed","CLOSED",IF($Z748="","",IF($Z748=6,"ESCALATED TO ROXANNE",IF(TODAY()&gt;$AB748,"OVERDUE",IF($AB748&lt;=WORKDAY(TODAY(),1,Holidays),"DUE TOMORROW",IF($Z748=4,"ESCALATED TO LOCAL OFFICE",IF($Z748=5,"ESCALATED TO CBE",IF($AA748=TODAY(),"EMAIL SENT","MONITORING"))))))))))</f>
        <v/>
      </c>
      <c r="V748" s="17">
        <f>IF($U748="",IF(AND(COUNTA($A748:$L748)&gt;0,$N748=""),"Awaiting Collection Email time stamp.",""),IF(OR($U748="PAID",$U748="CLOSED"),IF($U748="PAID","Account paid. Action completed.","Account closed. No further action required."),CHOOSE($Z748,"Collection Email","1st Email Follow-up","2nd Email Follow-up","Escalation to Local Office","Escalation to CBE","Escalation to Roxanne")&amp;" sent "&amp;TEXT($AA748,"dd-mmm")&amp;". "&amp;IF($Z748=6,"Final escalation completed.",IF($U748="OVERDUE","Next: "&amp;$AC748&amp;" was due "&amp;TEXT($AB748,"dd-mmm")&amp;" - "&amp;(NETWORKDAYS($AB748,TODAY(),Holidays)-1)&amp;" business day(s) late. Send now.",IF($U748="DUE TOMORROW","Next: "&amp;$AC748&amp;IF($AB748&lt;=TODAY()," is due TODAY ("," is due next business day (")&amp;TEXT($AB748,"dd-mmm")&amp;").","Next: "&amp;$AC748&amp;" due "&amp;TEXT($AB748,"dd-mmm")&amp;" ("&amp;(NETWORKDAYS(TODAY(),$AB748,Holidays)-1)&amp;" business day(s) left).")))))</f>
        <v/>
      </c>
      <c r="W748" s="17">
        <f>IF($Z748="","",CHOOSE($Z748,"Collection Email","1st Follow-up","2nd Follow-up","Local Office","CBE","Roxanne")&amp;IF($Z748=6," - Final"," - Day "&amp;MAX(0,NETWORKDAYS($AA748,TODAY(),Holidays)-1)&amp;" of "&amp;CHOOSE($Z748,3,3,2,2,3))&amp;" | Total Day "&amp;MAX(0,NETWORKDAYS($N748,TODAY(),Holidays)-1))</f>
        <v/>
      </c>
      <c r="X748" s="18"/>
      <c r="Y748" s="18"/>
      <c r="Z748" s="17">
        <f>IF($N748="","",COUNT($N748:$S748))</f>
        <v/>
      </c>
      <c r="AA748" s="19">
        <f>IF($Z748="","",INT(INDEX($N748:$S748,$Z748)))</f>
        <v/>
      </c>
      <c r="AB748" s="19">
        <f>IF(OR($Z748="",$Z748=6),"",WORKDAY($AA748,CHOOSE($Z748,3,3,2,2,3),Holidays))</f>
        <v/>
      </c>
      <c r="AC748" s="17">
        <f>IF(OR($Z748="",$Z748=6),"",CHOOSE($Z748,"1st Email Follow-up","2nd Email Follow-up","Escalate Local Office","Escalate to CBE","Escalate to Roxanne"))</f>
        <v/>
      </c>
    </row>
    <row r="749" spans="13:29">
      <c r="M749" s="14"/>
      <c r="T749" s="16"/>
      <c r="U749" s="17">
        <f>IF(AND(COUNTA($A749:$L749)=0,$N749=""),"",IF($T749="Paid","PAID",IF($T749="Closed","CLOSED",IF($Z749="","",IF($Z749=6,"ESCALATED TO ROXANNE",IF(TODAY()&gt;$AB749,"OVERDUE",IF($AB749&lt;=WORKDAY(TODAY(),1,Holidays),"DUE TOMORROW",IF($Z749=4,"ESCALATED TO LOCAL OFFICE",IF($Z749=5,"ESCALATED TO CBE",IF($AA749=TODAY(),"EMAIL SENT","MONITORING"))))))))))</f>
        <v/>
      </c>
      <c r="V749" s="17">
        <f>IF($U749="",IF(AND(COUNTA($A749:$L749)&gt;0,$N749=""),"Awaiting Collection Email time stamp.",""),IF(OR($U749="PAID",$U749="CLOSED"),IF($U749="PAID","Account paid. Action completed.","Account closed. No further action required."),CHOOSE($Z749,"Collection Email","1st Email Follow-up","2nd Email Follow-up","Escalation to Local Office","Escalation to CBE","Escalation to Roxanne")&amp;" sent "&amp;TEXT($AA749,"dd-mmm")&amp;". "&amp;IF($Z749=6,"Final escalation completed.",IF($U749="OVERDUE","Next: "&amp;$AC749&amp;" was due "&amp;TEXT($AB749,"dd-mmm")&amp;" - "&amp;(NETWORKDAYS($AB749,TODAY(),Holidays)-1)&amp;" business day(s) late. Send now.",IF($U749="DUE TOMORROW","Next: "&amp;$AC749&amp;IF($AB749&lt;=TODAY()," is due TODAY ("," is due next business day (")&amp;TEXT($AB749,"dd-mmm")&amp;").","Next: "&amp;$AC749&amp;" due "&amp;TEXT($AB749,"dd-mmm")&amp;" ("&amp;(NETWORKDAYS(TODAY(),$AB749,Holidays)-1)&amp;" business day(s) left).")))))</f>
        <v/>
      </c>
      <c r="W749" s="17">
        <f>IF($Z749="","",CHOOSE($Z749,"Collection Email","1st Follow-up","2nd Follow-up","Local Office","CBE","Roxanne")&amp;IF($Z749=6," - Final"," - Day "&amp;MAX(0,NETWORKDAYS($AA749,TODAY(),Holidays)-1)&amp;" of "&amp;CHOOSE($Z749,3,3,2,2,3))&amp;" | Total Day "&amp;MAX(0,NETWORKDAYS($N749,TODAY(),Holidays)-1))</f>
        <v/>
      </c>
      <c r="X749" s="18"/>
      <c r="Y749" s="18"/>
      <c r="Z749" s="17">
        <f>IF($N749="","",COUNT($N749:$S749))</f>
        <v/>
      </c>
      <c r="AA749" s="19">
        <f>IF($Z749="","",INT(INDEX($N749:$S749,$Z749)))</f>
        <v/>
      </c>
      <c r="AB749" s="19">
        <f>IF(OR($Z749="",$Z749=6),"",WORKDAY($AA749,CHOOSE($Z749,3,3,2,2,3),Holidays))</f>
        <v/>
      </c>
      <c r="AC749" s="17">
        <f>IF(OR($Z749="",$Z749=6),"",CHOOSE($Z749,"1st Email Follow-up","2nd Email Follow-up","Escalate Local Office","Escalate to CBE","Escalate to Roxanne"))</f>
        <v/>
      </c>
    </row>
    <row r="750" spans="13:29">
      <c r="M750" s="14"/>
      <c r="T750" s="16"/>
      <c r="U750" s="17">
        <f>IF(AND(COUNTA($A750:$L750)=0,$N750=""),"",IF($T750="Paid","PAID",IF($T750="Closed","CLOSED",IF($Z750="","",IF($Z750=6,"ESCALATED TO ROXANNE",IF(TODAY()&gt;$AB750,"OVERDUE",IF($AB750&lt;=WORKDAY(TODAY(),1,Holidays),"DUE TOMORROW",IF($Z750=4,"ESCALATED TO LOCAL OFFICE",IF($Z750=5,"ESCALATED TO CBE",IF($AA750=TODAY(),"EMAIL SENT","MONITORING"))))))))))</f>
        <v/>
      </c>
      <c r="V750" s="17">
        <f>IF($U750="",IF(AND(COUNTA($A750:$L750)&gt;0,$N750=""),"Awaiting Collection Email time stamp.",""),IF(OR($U750="PAID",$U750="CLOSED"),IF($U750="PAID","Account paid. Action completed.","Account closed. No further action required."),CHOOSE($Z750,"Collection Email","1st Email Follow-up","2nd Email Follow-up","Escalation to Local Office","Escalation to CBE","Escalation to Roxanne")&amp;" sent "&amp;TEXT($AA750,"dd-mmm")&amp;". "&amp;IF($Z750=6,"Final escalation completed.",IF($U750="OVERDUE","Next: "&amp;$AC750&amp;" was due "&amp;TEXT($AB750,"dd-mmm")&amp;" - "&amp;(NETWORKDAYS($AB750,TODAY(),Holidays)-1)&amp;" business day(s) late. Send now.",IF($U750="DUE TOMORROW","Next: "&amp;$AC750&amp;IF($AB750&lt;=TODAY()," is due TODAY ("," is due next business day (")&amp;TEXT($AB750,"dd-mmm")&amp;").","Next: "&amp;$AC750&amp;" due "&amp;TEXT($AB750,"dd-mmm")&amp;" ("&amp;(NETWORKDAYS(TODAY(),$AB750,Holidays)-1)&amp;" business day(s) left).")))))</f>
        <v/>
      </c>
      <c r="W750" s="17">
        <f>IF($Z750="","",CHOOSE($Z750,"Collection Email","1st Follow-up","2nd Follow-up","Local Office","CBE","Roxanne")&amp;IF($Z750=6," - Final"," - Day "&amp;MAX(0,NETWORKDAYS($AA750,TODAY(),Holidays)-1)&amp;" of "&amp;CHOOSE($Z750,3,3,2,2,3))&amp;" | Total Day "&amp;MAX(0,NETWORKDAYS($N750,TODAY(),Holidays)-1))</f>
        <v/>
      </c>
      <c r="X750" s="18"/>
      <c r="Y750" s="18"/>
      <c r="Z750" s="17">
        <f>IF($N750="","",COUNT($N750:$S750))</f>
        <v/>
      </c>
      <c r="AA750" s="19">
        <f>IF($Z750="","",INT(INDEX($N750:$S750,$Z750)))</f>
        <v/>
      </c>
      <c r="AB750" s="19">
        <f>IF(OR($Z750="",$Z750=6),"",WORKDAY($AA750,CHOOSE($Z750,3,3,2,2,3),Holidays))</f>
        <v/>
      </c>
      <c r="AC750" s="17">
        <f>IF(OR($Z750="",$Z750=6),"",CHOOSE($Z750,"1st Email Follow-up","2nd Email Follow-up","Escalate Local Office","Escalate to CBE","Escalate to Roxanne"))</f>
        <v/>
      </c>
    </row>
    <row r="751" spans="13:29">
      <c r="M751" s="14"/>
      <c r="T751" s="16"/>
      <c r="U751" s="17">
        <f>IF(AND(COUNTA($A751:$L751)=0,$N751=""),"",IF($T751="Paid","PAID",IF($T751="Closed","CLOSED",IF($Z751="","",IF($Z751=6,"ESCALATED TO ROXANNE",IF(TODAY()&gt;$AB751,"OVERDUE",IF($AB751&lt;=WORKDAY(TODAY(),1,Holidays),"DUE TOMORROW",IF($Z751=4,"ESCALATED TO LOCAL OFFICE",IF($Z751=5,"ESCALATED TO CBE",IF($AA751=TODAY(),"EMAIL SENT","MONITORING"))))))))))</f>
        <v/>
      </c>
      <c r="V751" s="17">
        <f>IF($U751="",IF(AND(COUNTA($A751:$L751)&gt;0,$N751=""),"Awaiting Collection Email time stamp.",""),IF(OR($U751="PAID",$U751="CLOSED"),IF($U751="PAID","Account paid. Action completed.","Account closed. No further action required."),CHOOSE($Z751,"Collection Email","1st Email Follow-up","2nd Email Follow-up","Escalation to Local Office","Escalation to CBE","Escalation to Roxanne")&amp;" sent "&amp;TEXT($AA751,"dd-mmm")&amp;". "&amp;IF($Z751=6,"Final escalation completed.",IF($U751="OVERDUE","Next: "&amp;$AC751&amp;" was due "&amp;TEXT($AB751,"dd-mmm")&amp;" - "&amp;(NETWORKDAYS($AB751,TODAY(),Holidays)-1)&amp;" business day(s) late. Send now.",IF($U751="DUE TOMORROW","Next: "&amp;$AC751&amp;IF($AB751&lt;=TODAY()," is due TODAY ("," is due next business day (")&amp;TEXT($AB751,"dd-mmm")&amp;").","Next: "&amp;$AC751&amp;" due "&amp;TEXT($AB751,"dd-mmm")&amp;" ("&amp;(NETWORKDAYS(TODAY(),$AB751,Holidays)-1)&amp;" business day(s) left).")))))</f>
        <v/>
      </c>
      <c r="W751" s="17">
        <f>IF($Z751="","",CHOOSE($Z751,"Collection Email","1st Follow-up","2nd Follow-up","Local Office","CBE","Roxanne")&amp;IF($Z751=6," - Final"," - Day "&amp;MAX(0,NETWORKDAYS($AA751,TODAY(),Holidays)-1)&amp;" of "&amp;CHOOSE($Z751,3,3,2,2,3))&amp;" | Total Day "&amp;MAX(0,NETWORKDAYS($N751,TODAY(),Holidays)-1))</f>
        <v/>
      </c>
      <c r="X751" s="18"/>
      <c r="Y751" s="18"/>
      <c r="Z751" s="17">
        <f>IF($N751="","",COUNT($N751:$S751))</f>
        <v/>
      </c>
      <c r="AA751" s="19">
        <f>IF($Z751="","",INT(INDEX($N751:$S751,$Z751)))</f>
        <v/>
      </c>
      <c r="AB751" s="19">
        <f>IF(OR($Z751="",$Z751=6),"",WORKDAY($AA751,CHOOSE($Z751,3,3,2,2,3),Holidays))</f>
        <v/>
      </c>
      <c r="AC751" s="17">
        <f>IF(OR($Z751="",$Z751=6),"",CHOOSE($Z751,"1st Email Follow-up","2nd Email Follow-up","Escalate Local Office","Escalate to CBE","Escalate to Roxanne"))</f>
        <v/>
      </c>
    </row>
    <row r="752" spans="13:29">
      <c r="M752" s="14"/>
      <c r="T752" s="16"/>
      <c r="U752" s="17">
        <f>IF(AND(COUNTA($A752:$L752)=0,$N752=""),"",IF($T752="Paid","PAID",IF($T752="Closed","CLOSED",IF($Z752="","",IF($Z752=6,"ESCALATED TO ROXANNE",IF(TODAY()&gt;$AB752,"OVERDUE",IF($AB752&lt;=WORKDAY(TODAY(),1,Holidays),"DUE TOMORROW",IF($Z752=4,"ESCALATED TO LOCAL OFFICE",IF($Z752=5,"ESCALATED TO CBE",IF($AA752=TODAY(),"EMAIL SENT","MONITORING"))))))))))</f>
        <v/>
      </c>
      <c r="V752" s="17">
        <f>IF($U752="",IF(AND(COUNTA($A752:$L752)&gt;0,$N752=""),"Awaiting Collection Email time stamp.",""),IF(OR($U752="PAID",$U752="CLOSED"),IF($U752="PAID","Account paid. Action completed.","Account closed. No further action required."),CHOOSE($Z752,"Collection Email","1st Email Follow-up","2nd Email Follow-up","Escalation to Local Office","Escalation to CBE","Escalation to Roxanne")&amp;" sent "&amp;TEXT($AA752,"dd-mmm")&amp;". "&amp;IF($Z752=6,"Final escalation completed.",IF($U752="OVERDUE","Next: "&amp;$AC752&amp;" was due "&amp;TEXT($AB752,"dd-mmm")&amp;" - "&amp;(NETWORKDAYS($AB752,TODAY(),Holidays)-1)&amp;" business day(s) late. Send now.",IF($U752="DUE TOMORROW","Next: "&amp;$AC752&amp;IF($AB752&lt;=TODAY()," is due TODAY ("," is due next business day (")&amp;TEXT($AB752,"dd-mmm")&amp;").","Next: "&amp;$AC752&amp;" due "&amp;TEXT($AB752,"dd-mmm")&amp;" ("&amp;(NETWORKDAYS(TODAY(),$AB752,Holidays)-1)&amp;" business day(s) left).")))))</f>
        <v/>
      </c>
      <c r="W752" s="17">
        <f>IF($Z752="","",CHOOSE($Z752,"Collection Email","1st Follow-up","2nd Follow-up","Local Office","CBE","Roxanne")&amp;IF($Z752=6," - Final"," - Day "&amp;MAX(0,NETWORKDAYS($AA752,TODAY(),Holidays)-1)&amp;" of "&amp;CHOOSE($Z752,3,3,2,2,3))&amp;" | Total Day "&amp;MAX(0,NETWORKDAYS($N752,TODAY(),Holidays)-1))</f>
        <v/>
      </c>
      <c r="X752" s="18"/>
      <c r="Y752" s="18"/>
      <c r="Z752" s="17">
        <f>IF($N752="","",COUNT($N752:$S752))</f>
        <v/>
      </c>
      <c r="AA752" s="19">
        <f>IF($Z752="","",INT(INDEX($N752:$S752,$Z752)))</f>
        <v/>
      </c>
      <c r="AB752" s="19">
        <f>IF(OR($Z752="",$Z752=6),"",WORKDAY($AA752,CHOOSE($Z752,3,3,2,2,3),Holidays))</f>
        <v/>
      </c>
      <c r="AC752" s="17">
        <f>IF(OR($Z752="",$Z752=6),"",CHOOSE($Z752,"1st Email Follow-up","2nd Email Follow-up","Escalate Local Office","Escalate to CBE","Escalate to Roxanne"))</f>
        <v/>
      </c>
    </row>
    <row r="753" spans="13:29">
      <c r="M753" s="14"/>
      <c r="T753" s="16"/>
      <c r="U753" s="17">
        <f>IF(AND(COUNTA($A753:$L753)=0,$N753=""),"",IF($T753="Paid","PAID",IF($T753="Closed","CLOSED",IF($Z753="","",IF($Z753=6,"ESCALATED TO ROXANNE",IF(TODAY()&gt;$AB753,"OVERDUE",IF($AB753&lt;=WORKDAY(TODAY(),1,Holidays),"DUE TOMORROW",IF($Z753=4,"ESCALATED TO LOCAL OFFICE",IF($Z753=5,"ESCALATED TO CBE",IF($AA753=TODAY(),"EMAIL SENT","MONITORING"))))))))))</f>
        <v/>
      </c>
      <c r="V753" s="17">
        <f>IF($U753="",IF(AND(COUNTA($A753:$L753)&gt;0,$N753=""),"Awaiting Collection Email time stamp.",""),IF(OR($U753="PAID",$U753="CLOSED"),IF($U753="PAID","Account paid. Action completed.","Account closed. No further action required."),CHOOSE($Z753,"Collection Email","1st Email Follow-up","2nd Email Follow-up","Escalation to Local Office","Escalation to CBE","Escalation to Roxanne")&amp;" sent "&amp;TEXT($AA753,"dd-mmm")&amp;". "&amp;IF($Z753=6,"Final escalation completed.",IF($U753="OVERDUE","Next: "&amp;$AC753&amp;" was due "&amp;TEXT($AB753,"dd-mmm")&amp;" - "&amp;(NETWORKDAYS($AB753,TODAY(),Holidays)-1)&amp;" business day(s) late. Send now.",IF($U753="DUE TOMORROW","Next: "&amp;$AC753&amp;IF($AB753&lt;=TODAY()," is due TODAY ("," is due next business day (")&amp;TEXT($AB753,"dd-mmm")&amp;").","Next: "&amp;$AC753&amp;" due "&amp;TEXT($AB753,"dd-mmm")&amp;" ("&amp;(NETWORKDAYS(TODAY(),$AB753,Holidays)-1)&amp;" business day(s) left).")))))</f>
        <v/>
      </c>
      <c r="W753" s="17">
        <f>IF($Z753="","",CHOOSE($Z753,"Collection Email","1st Follow-up","2nd Follow-up","Local Office","CBE","Roxanne")&amp;IF($Z753=6," - Final"," - Day "&amp;MAX(0,NETWORKDAYS($AA753,TODAY(),Holidays)-1)&amp;" of "&amp;CHOOSE($Z753,3,3,2,2,3))&amp;" | Total Day "&amp;MAX(0,NETWORKDAYS($N753,TODAY(),Holidays)-1))</f>
        <v/>
      </c>
      <c r="X753" s="18"/>
      <c r="Y753" s="18"/>
      <c r="Z753" s="17">
        <f>IF($N753="","",COUNT($N753:$S753))</f>
        <v/>
      </c>
      <c r="AA753" s="19">
        <f>IF($Z753="","",INT(INDEX($N753:$S753,$Z753)))</f>
        <v/>
      </c>
      <c r="AB753" s="19">
        <f>IF(OR($Z753="",$Z753=6),"",WORKDAY($AA753,CHOOSE($Z753,3,3,2,2,3),Holidays))</f>
        <v/>
      </c>
      <c r="AC753" s="17">
        <f>IF(OR($Z753="",$Z753=6),"",CHOOSE($Z753,"1st Email Follow-up","2nd Email Follow-up","Escalate Local Office","Escalate to CBE","Escalate to Roxanne"))</f>
        <v/>
      </c>
    </row>
    <row r="754" spans="13:29">
      <c r="M754" s="14"/>
      <c r="T754" s="16"/>
      <c r="U754" s="17">
        <f>IF(AND(COUNTA($A754:$L754)=0,$N754=""),"",IF($T754="Paid","PAID",IF($T754="Closed","CLOSED",IF($Z754="","",IF($Z754=6,"ESCALATED TO ROXANNE",IF(TODAY()&gt;$AB754,"OVERDUE",IF($AB754&lt;=WORKDAY(TODAY(),1,Holidays),"DUE TOMORROW",IF($Z754=4,"ESCALATED TO LOCAL OFFICE",IF($Z754=5,"ESCALATED TO CBE",IF($AA754=TODAY(),"EMAIL SENT","MONITORING"))))))))))</f>
        <v/>
      </c>
      <c r="V754" s="17">
        <f>IF($U754="",IF(AND(COUNTA($A754:$L754)&gt;0,$N754=""),"Awaiting Collection Email time stamp.",""),IF(OR($U754="PAID",$U754="CLOSED"),IF($U754="PAID","Account paid. Action completed.","Account closed. No further action required."),CHOOSE($Z754,"Collection Email","1st Email Follow-up","2nd Email Follow-up","Escalation to Local Office","Escalation to CBE","Escalation to Roxanne")&amp;" sent "&amp;TEXT($AA754,"dd-mmm")&amp;". "&amp;IF($Z754=6,"Final escalation completed.",IF($U754="OVERDUE","Next: "&amp;$AC754&amp;" was due "&amp;TEXT($AB754,"dd-mmm")&amp;" - "&amp;(NETWORKDAYS($AB754,TODAY(),Holidays)-1)&amp;" business day(s) late. Send now.",IF($U754="DUE TOMORROW","Next: "&amp;$AC754&amp;IF($AB754&lt;=TODAY()," is due TODAY ("," is due next business day (")&amp;TEXT($AB754,"dd-mmm")&amp;").","Next: "&amp;$AC754&amp;" due "&amp;TEXT($AB754,"dd-mmm")&amp;" ("&amp;(NETWORKDAYS(TODAY(),$AB754,Holidays)-1)&amp;" business day(s) left).")))))</f>
        <v/>
      </c>
      <c r="W754" s="17">
        <f>IF($Z754="","",CHOOSE($Z754,"Collection Email","1st Follow-up","2nd Follow-up","Local Office","CBE","Roxanne")&amp;IF($Z754=6," - Final"," - Day "&amp;MAX(0,NETWORKDAYS($AA754,TODAY(),Holidays)-1)&amp;" of "&amp;CHOOSE($Z754,3,3,2,2,3))&amp;" | Total Day "&amp;MAX(0,NETWORKDAYS($N754,TODAY(),Holidays)-1))</f>
        <v/>
      </c>
      <c r="X754" s="18"/>
      <c r="Y754" s="18"/>
      <c r="Z754" s="17">
        <f>IF($N754="","",COUNT($N754:$S754))</f>
        <v/>
      </c>
      <c r="AA754" s="19">
        <f>IF($Z754="","",INT(INDEX($N754:$S754,$Z754)))</f>
        <v/>
      </c>
      <c r="AB754" s="19">
        <f>IF(OR($Z754="",$Z754=6),"",WORKDAY($AA754,CHOOSE($Z754,3,3,2,2,3),Holidays))</f>
        <v/>
      </c>
      <c r="AC754" s="17">
        <f>IF(OR($Z754="",$Z754=6),"",CHOOSE($Z754,"1st Email Follow-up","2nd Email Follow-up","Escalate Local Office","Escalate to CBE","Escalate to Roxanne"))</f>
        <v/>
      </c>
    </row>
    <row r="755" spans="13:29">
      <c r="M755" s="14"/>
      <c r="T755" s="16"/>
      <c r="U755" s="17">
        <f>IF(AND(COUNTA($A755:$L755)=0,$N755=""),"",IF($T755="Paid","PAID",IF($T755="Closed","CLOSED",IF($Z755="","",IF($Z755=6,"ESCALATED TO ROXANNE",IF(TODAY()&gt;$AB755,"OVERDUE",IF($AB755&lt;=WORKDAY(TODAY(),1,Holidays),"DUE TOMORROW",IF($Z755=4,"ESCALATED TO LOCAL OFFICE",IF($Z755=5,"ESCALATED TO CBE",IF($AA755=TODAY(),"EMAIL SENT","MONITORING"))))))))))</f>
        <v/>
      </c>
      <c r="V755" s="17">
        <f>IF($U755="",IF(AND(COUNTA($A755:$L755)&gt;0,$N755=""),"Awaiting Collection Email time stamp.",""),IF(OR($U755="PAID",$U755="CLOSED"),IF($U755="PAID","Account paid. Action completed.","Account closed. No further action required."),CHOOSE($Z755,"Collection Email","1st Email Follow-up","2nd Email Follow-up","Escalation to Local Office","Escalation to CBE","Escalation to Roxanne")&amp;" sent "&amp;TEXT($AA755,"dd-mmm")&amp;". "&amp;IF($Z755=6,"Final escalation completed.",IF($U755="OVERDUE","Next: "&amp;$AC755&amp;" was due "&amp;TEXT($AB755,"dd-mmm")&amp;" - "&amp;(NETWORKDAYS($AB755,TODAY(),Holidays)-1)&amp;" business day(s) late. Send now.",IF($U755="DUE TOMORROW","Next: "&amp;$AC755&amp;IF($AB755&lt;=TODAY()," is due TODAY ("," is due next business day (")&amp;TEXT($AB755,"dd-mmm")&amp;").","Next: "&amp;$AC755&amp;" due "&amp;TEXT($AB755,"dd-mmm")&amp;" ("&amp;(NETWORKDAYS(TODAY(),$AB755,Holidays)-1)&amp;" business day(s) left).")))))</f>
        <v/>
      </c>
      <c r="W755" s="17">
        <f>IF($Z755="","",CHOOSE($Z755,"Collection Email","1st Follow-up","2nd Follow-up","Local Office","CBE","Roxanne")&amp;IF($Z755=6," - Final"," - Day "&amp;MAX(0,NETWORKDAYS($AA755,TODAY(),Holidays)-1)&amp;" of "&amp;CHOOSE($Z755,3,3,2,2,3))&amp;" | Total Day "&amp;MAX(0,NETWORKDAYS($N755,TODAY(),Holidays)-1))</f>
        <v/>
      </c>
      <c r="X755" s="18"/>
      <c r="Y755" s="18"/>
      <c r="Z755" s="17">
        <f>IF($N755="","",COUNT($N755:$S755))</f>
        <v/>
      </c>
      <c r="AA755" s="19">
        <f>IF($Z755="","",INT(INDEX($N755:$S755,$Z755)))</f>
        <v/>
      </c>
      <c r="AB755" s="19">
        <f>IF(OR($Z755="",$Z755=6),"",WORKDAY($AA755,CHOOSE($Z755,3,3,2,2,3),Holidays))</f>
        <v/>
      </c>
      <c r="AC755" s="17">
        <f>IF(OR($Z755="",$Z755=6),"",CHOOSE($Z755,"1st Email Follow-up","2nd Email Follow-up","Escalate Local Office","Escalate to CBE","Escalate to Roxanne"))</f>
        <v/>
      </c>
    </row>
    <row r="756" spans="13:29">
      <c r="M756" s="14"/>
      <c r="T756" s="16"/>
      <c r="U756" s="17">
        <f>IF(AND(COUNTA($A756:$L756)=0,$N756=""),"",IF($T756="Paid","PAID",IF($T756="Closed","CLOSED",IF($Z756="","",IF($Z756=6,"ESCALATED TO ROXANNE",IF(TODAY()&gt;$AB756,"OVERDUE",IF($AB756&lt;=WORKDAY(TODAY(),1,Holidays),"DUE TOMORROW",IF($Z756=4,"ESCALATED TO LOCAL OFFICE",IF($Z756=5,"ESCALATED TO CBE",IF($AA756=TODAY(),"EMAIL SENT","MONITORING"))))))))))</f>
        <v/>
      </c>
      <c r="V756" s="17">
        <f>IF($U756="",IF(AND(COUNTA($A756:$L756)&gt;0,$N756=""),"Awaiting Collection Email time stamp.",""),IF(OR($U756="PAID",$U756="CLOSED"),IF($U756="PAID","Account paid. Action completed.","Account closed. No further action required."),CHOOSE($Z756,"Collection Email","1st Email Follow-up","2nd Email Follow-up","Escalation to Local Office","Escalation to CBE","Escalation to Roxanne")&amp;" sent "&amp;TEXT($AA756,"dd-mmm")&amp;". "&amp;IF($Z756=6,"Final escalation completed.",IF($U756="OVERDUE","Next: "&amp;$AC756&amp;" was due "&amp;TEXT($AB756,"dd-mmm")&amp;" - "&amp;(NETWORKDAYS($AB756,TODAY(),Holidays)-1)&amp;" business day(s) late. Send now.",IF($U756="DUE TOMORROW","Next: "&amp;$AC756&amp;IF($AB756&lt;=TODAY()," is due TODAY ("," is due next business day (")&amp;TEXT($AB756,"dd-mmm")&amp;").","Next: "&amp;$AC756&amp;" due "&amp;TEXT($AB756,"dd-mmm")&amp;" ("&amp;(NETWORKDAYS(TODAY(),$AB756,Holidays)-1)&amp;" business day(s) left).")))))</f>
        <v/>
      </c>
      <c r="W756" s="17">
        <f>IF($Z756="","",CHOOSE($Z756,"Collection Email","1st Follow-up","2nd Follow-up","Local Office","CBE","Roxanne")&amp;IF($Z756=6," - Final"," - Day "&amp;MAX(0,NETWORKDAYS($AA756,TODAY(),Holidays)-1)&amp;" of "&amp;CHOOSE($Z756,3,3,2,2,3))&amp;" | Total Day "&amp;MAX(0,NETWORKDAYS($N756,TODAY(),Holidays)-1))</f>
        <v/>
      </c>
      <c r="X756" s="18"/>
      <c r="Y756" s="18"/>
      <c r="Z756" s="17">
        <f>IF($N756="","",COUNT($N756:$S756))</f>
        <v/>
      </c>
      <c r="AA756" s="19">
        <f>IF($Z756="","",INT(INDEX($N756:$S756,$Z756)))</f>
        <v/>
      </c>
      <c r="AB756" s="19">
        <f>IF(OR($Z756="",$Z756=6),"",WORKDAY($AA756,CHOOSE($Z756,3,3,2,2,3),Holidays))</f>
        <v/>
      </c>
      <c r="AC756" s="17">
        <f>IF(OR($Z756="",$Z756=6),"",CHOOSE($Z756,"1st Email Follow-up","2nd Email Follow-up","Escalate Local Office","Escalate to CBE","Escalate to Roxanne"))</f>
        <v/>
      </c>
    </row>
    <row r="757" spans="13:29">
      <c r="M757" s="14"/>
      <c r="T757" s="16"/>
      <c r="U757" s="17">
        <f>IF(AND(COUNTA($A757:$L757)=0,$N757=""),"",IF($T757="Paid","PAID",IF($T757="Closed","CLOSED",IF($Z757="","",IF($Z757=6,"ESCALATED TO ROXANNE",IF(TODAY()&gt;$AB757,"OVERDUE",IF($AB757&lt;=WORKDAY(TODAY(),1,Holidays),"DUE TOMORROW",IF($Z757=4,"ESCALATED TO LOCAL OFFICE",IF($Z757=5,"ESCALATED TO CBE",IF($AA757=TODAY(),"EMAIL SENT","MONITORING"))))))))))</f>
        <v/>
      </c>
      <c r="V757" s="17">
        <f>IF($U757="",IF(AND(COUNTA($A757:$L757)&gt;0,$N757=""),"Awaiting Collection Email time stamp.",""),IF(OR($U757="PAID",$U757="CLOSED"),IF($U757="PAID","Account paid. Action completed.","Account closed. No further action required."),CHOOSE($Z757,"Collection Email","1st Email Follow-up","2nd Email Follow-up","Escalation to Local Office","Escalation to CBE","Escalation to Roxanne")&amp;" sent "&amp;TEXT($AA757,"dd-mmm")&amp;". "&amp;IF($Z757=6,"Final escalation completed.",IF($U757="OVERDUE","Next: "&amp;$AC757&amp;" was due "&amp;TEXT($AB757,"dd-mmm")&amp;" - "&amp;(NETWORKDAYS($AB757,TODAY(),Holidays)-1)&amp;" business day(s) late. Send now.",IF($U757="DUE TOMORROW","Next: "&amp;$AC757&amp;IF($AB757&lt;=TODAY()," is due TODAY ("," is due next business day (")&amp;TEXT($AB757,"dd-mmm")&amp;").","Next: "&amp;$AC757&amp;" due "&amp;TEXT($AB757,"dd-mmm")&amp;" ("&amp;(NETWORKDAYS(TODAY(),$AB757,Holidays)-1)&amp;" business day(s) left).")))))</f>
        <v/>
      </c>
      <c r="W757" s="17">
        <f>IF($Z757="","",CHOOSE($Z757,"Collection Email","1st Follow-up","2nd Follow-up","Local Office","CBE","Roxanne")&amp;IF($Z757=6," - Final"," - Day "&amp;MAX(0,NETWORKDAYS($AA757,TODAY(),Holidays)-1)&amp;" of "&amp;CHOOSE($Z757,3,3,2,2,3))&amp;" | Total Day "&amp;MAX(0,NETWORKDAYS($N757,TODAY(),Holidays)-1))</f>
        <v/>
      </c>
      <c r="X757" s="18"/>
      <c r="Y757" s="18"/>
      <c r="Z757" s="17">
        <f>IF($N757="","",COUNT($N757:$S757))</f>
        <v/>
      </c>
      <c r="AA757" s="19">
        <f>IF($Z757="","",INT(INDEX($N757:$S757,$Z757)))</f>
        <v/>
      </c>
      <c r="AB757" s="19">
        <f>IF(OR($Z757="",$Z757=6),"",WORKDAY($AA757,CHOOSE($Z757,3,3,2,2,3),Holidays))</f>
        <v/>
      </c>
      <c r="AC757" s="17">
        <f>IF(OR($Z757="",$Z757=6),"",CHOOSE($Z757,"1st Email Follow-up","2nd Email Follow-up","Escalate Local Office","Escalate to CBE","Escalate to Roxanne"))</f>
        <v/>
      </c>
    </row>
    <row r="758" spans="13:29">
      <c r="M758" s="14"/>
      <c r="T758" s="16"/>
      <c r="U758" s="17">
        <f>IF(AND(COUNTA($A758:$L758)=0,$N758=""),"",IF($T758="Paid","PAID",IF($T758="Closed","CLOSED",IF($Z758="","",IF($Z758=6,"ESCALATED TO ROXANNE",IF(TODAY()&gt;$AB758,"OVERDUE",IF($AB758&lt;=WORKDAY(TODAY(),1,Holidays),"DUE TOMORROW",IF($Z758=4,"ESCALATED TO LOCAL OFFICE",IF($Z758=5,"ESCALATED TO CBE",IF($AA758=TODAY(),"EMAIL SENT","MONITORING"))))))))))</f>
        <v/>
      </c>
      <c r="V758" s="17">
        <f>IF($U758="",IF(AND(COUNTA($A758:$L758)&gt;0,$N758=""),"Awaiting Collection Email time stamp.",""),IF(OR($U758="PAID",$U758="CLOSED"),IF($U758="PAID","Account paid. Action completed.","Account closed. No further action required."),CHOOSE($Z758,"Collection Email","1st Email Follow-up","2nd Email Follow-up","Escalation to Local Office","Escalation to CBE","Escalation to Roxanne")&amp;" sent "&amp;TEXT($AA758,"dd-mmm")&amp;". "&amp;IF($Z758=6,"Final escalation completed.",IF($U758="OVERDUE","Next: "&amp;$AC758&amp;" was due "&amp;TEXT($AB758,"dd-mmm")&amp;" - "&amp;(NETWORKDAYS($AB758,TODAY(),Holidays)-1)&amp;" business day(s) late. Send now.",IF($U758="DUE TOMORROW","Next: "&amp;$AC758&amp;IF($AB758&lt;=TODAY()," is due TODAY ("," is due next business day (")&amp;TEXT($AB758,"dd-mmm")&amp;").","Next: "&amp;$AC758&amp;" due "&amp;TEXT($AB758,"dd-mmm")&amp;" ("&amp;(NETWORKDAYS(TODAY(),$AB758,Holidays)-1)&amp;" business day(s) left).")))))</f>
        <v/>
      </c>
      <c r="W758" s="17">
        <f>IF($Z758="","",CHOOSE($Z758,"Collection Email","1st Follow-up","2nd Follow-up","Local Office","CBE","Roxanne")&amp;IF($Z758=6," - Final"," - Day "&amp;MAX(0,NETWORKDAYS($AA758,TODAY(),Holidays)-1)&amp;" of "&amp;CHOOSE($Z758,3,3,2,2,3))&amp;" | Total Day "&amp;MAX(0,NETWORKDAYS($N758,TODAY(),Holidays)-1))</f>
        <v/>
      </c>
      <c r="X758" s="18"/>
      <c r="Y758" s="18"/>
      <c r="Z758" s="17">
        <f>IF($N758="","",COUNT($N758:$S758))</f>
        <v/>
      </c>
      <c r="AA758" s="19">
        <f>IF($Z758="","",INT(INDEX($N758:$S758,$Z758)))</f>
        <v/>
      </c>
      <c r="AB758" s="19">
        <f>IF(OR($Z758="",$Z758=6),"",WORKDAY($AA758,CHOOSE($Z758,3,3,2,2,3),Holidays))</f>
        <v/>
      </c>
      <c r="AC758" s="17">
        <f>IF(OR($Z758="",$Z758=6),"",CHOOSE($Z758,"1st Email Follow-up","2nd Email Follow-up","Escalate Local Office","Escalate to CBE","Escalate to Roxanne"))</f>
        <v/>
      </c>
    </row>
    <row r="759" spans="13:29">
      <c r="M759" s="14"/>
      <c r="T759" s="16"/>
      <c r="U759" s="17">
        <f>IF(AND(COUNTA($A759:$L759)=0,$N759=""),"",IF($T759="Paid","PAID",IF($T759="Closed","CLOSED",IF($Z759="","",IF($Z759=6,"ESCALATED TO ROXANNE",IF(TODAY()&gt;$AB759,"OVERDUE",IF($AB759&lt;=WORKDAY(TODAY(),1,Holidays),"DUE TOMORROW",IF($Z759=4,"ESCALATED TO LOCAL OFFICE",IF($Z759=5,"ESCALATED TO CBE",IF($AA759=TODAY(),"EMAIL SENT","MONITORING"))))))))))</f>
        <v/>
      </c>
      <c r="V759" s="17">
        <f>IF($U759="",IF(AND(COUNTA($A759:$L759)&gt;0,$N759=""),"Awaiting Collection Email time stamp.",""),IF(OR($U759="PAID",$U759="CLOSED"),IF($U759="PAID","Account paid. Action completed.","Account closed. No further action required."),CHOOSE($Z759,"Collection Email","1st Email Follow-up","2nd Email Follow-up","Escalation to Local Office","Escalation to CBE","Escalation to Roxanne")&amp;" sent "&amp;TEXT($AA759,"dd-mmm")&amp;". "&amp;IF($Z759=6,"Final escalation completed.",IF($U759="OVERDUE","Next: "&amp;$AC759&amp;" was due "&amp;TEXT($AB759,"dd-mmm")&amp;" - "&amp;(NETWORKDAYS($AB759,TODAY(),Holidays)-1)&amp;" business day(s) late. Send now.",IF($U759="DUE TOMORROW","Next: "&amp;$AC759&amp;IF($AB759&lt;=TODAY()," is due TODAY ("," is due next business day (")&amp;TEXT($AB759,"dd-mmm")&amp;").","Next: "&amp;$AC759&amp;" due "&amp;TEXT($AB759,"dd-mmm")&amp;" ("&amp;(NETWORKDAYS(TODAY(),$AB759,Holidays)-1)&amp;" business day(s) left).")))))</f>
        <v/>
      </c>
      <c r="W759" s="17">
        <f>IF($Z759="","",CHOOSE($Z759,"Collection Email","1st Follow-up","2nd Follow-up","Local Office","CBE","Roxanne")&amp;IF($Z759=6," - Final"," - Day "&amp;MAX(0,NETWORKDAYS($AA759,TODAY(),Holidays)-1)&amp;" of "&amp;CHOOSE($Z759,3,3,2,2,3))&amp;" | Total Day "&amp;MAX(0,NETWORKDAYS($N759,TODAY(),Holidays)-1))</f>
        <v/>
      </c>
      <c r="X759" s="18"/>
      <c r="Y759" s="18"/>
      <c r="Z759" s="17">
        <f>IF($N759="","",COUNT($N759:$S759))</f>
        <v/>
      </c>
      <c r="AA759" s="19">
        <f>IF($Z759="","",INT(INDEX($N759:$S759,$Z759)))</f>
        <v/>
      </c>
      <c r="AB759" s="19">
        <f>IF(OR($Z759="",$Z759=6),"",WORKDAY($AA759,CHOOSE($Z759,3,3,2,2,3),Holidays))</f>
        <v/>
      </c>
      <c r="AC759" s="17">
        <f>IF(OR($Z759="",$Z759=6),"",CHOOSE($Z759,"1st Email Follow-up","2nd Email Follow-up","Escalate Local Office","Escalate to CBE","Escalate to Roxanne"))</f>
        <v/>
      </c>
    </row>
    <row r="760" spans="13:29">
      <c r="M760" s="14"/>
      <c r="T760" s="16"/>
      <c r="U760" s="17">
        <f>IF(AND(COUNTA($A760:$L760)=0,$N760=""),"",IF($T760="Paid","PAID",IF($T760="Closed","CLOSED",IF($Z760="","",IF($Z760=6,"ESCALATED TO ROXANNE",IF(TODAY()&gt;$AB760,"OVERDUE",IF($AB760&lt;=WORKDAY(TODAY(),1,Holidays),"DUE TOMORROW",IF($Z760=4,"ESCALATED TO LOCAL OFFICE",IF($Z760=5,"ESCALATED TO CBE",IF($AA760=TODAY(),"EMAIL SENT","MONITORING"))))))))))</f>
        <v/>
      </c>
      <c r="V760" s="17">
        <f>IF($U760="",IF(AND(COUNTA($A760:$L760)&gt;0,$N760=""),"Awaiting Collection Email time stamp.",""),IF(OR($U760="PAID",$U760="CLOSED"),IF($U760="PAID","Account paid. Action completed.","Account closed. No further action required."),CHOOSE($Z760,"Collection Email","1st Email Follow-up","2nd Email Follow-up","Escalation to Local Office","Escalation to CBE","Escalation to Roxanne")&amp;" sent "&amp;TEXT($AA760,"dd-mmm")&amp;". "&amp;IF($Z760=6,"Final escalation completed.",IF($U760="OVERDUE","Next: "&amp;$AC760&amp;" was due "&amp;TEXT($AB760,"dd-mmm")&amp;" - "&amp;(NETWORKDAYS($AB760,TODAY(),Holidays)-1)&amp;" business day(s) late. Send now.",IF($U760="DUE TOMORROW","Next: "&amp;$AC760&amp;IF($AB760&lt;=TODAY()," is due TODAY ("," is due next business day (")&amp;TEXT($AB760,"dd-mmm")&amp;").","Next: "&amp;$AC760&amp;" due "&amp;TEXT($AB760,"dd-mmm")&amp;" ("&amp;(NETWORKDAYS(TODAY(),$AB760,Holidays)-1)&amp;" business day(s) left).")))))</f>
        <v/>
      </c>
      <c r="W760" s="17">
        <f>IF($Z760="","",CHOOSE($Z760,"Collection Email","1st Follow-up","2nd Follow-up","Local Office","CBE","Roxanne")&amp;IF($Z760=6," - Final"," - Day "&amp;MAX(0,NETWORKDAYS($AA760,TODAY(),Holidays)-1)&amp;" of "&amp;CHOOSE($Z760,3,3,2,2,3))&amp;" | Total Day "&amp;MAX(0,NETWORKDAYS($N760,TODAY(),Holidays)-1))</f>
        <v/>
      </c>
      <c r="X760" s="18"/>
      <c r="Y760" s="18"/>
      <c r="Z760" s="17">
        <f>IF($N760="","",COUNT($N760:$S760))</f>
        <v/>
      </c>
      <c r="AA760" s="19">
        <f>IF($Z760="","",INT(INDEX($N760:$S760,$Z760)))</f>
        <v/>
      </c>
      <c r="AB760" s="19">
        <f>IF(OR($Z760="",$Z760=6),"",WORKDAY($AA760,CHOOSE($Z760,3,3,2,2,3),Holidays))</f>
        <v/>
      </c>
      <c r="AC760" s="17">
        <f>IF(OR($Z760="",$Z760=6),"",CHOOSE($Z760,"1st Email Follow-up","2nd Email Follow-up","Escalate Local Office","Escalate to CBE","Escalate to Roxanne"))</f>
        <v/>
      </c>
    </row>
    <row r="761" spans="13:29">
      <c r="M761" s="14"/>
      <c r="T761" s="16"/>
      <c r="U761" s="17">
        <f>IF(AND(COUNTA($A761:$L761)=0,$N761=""),"",IF($T761="Paid","PAID",IF($T761="Closed","CLOSED",IF($Z761="","",IF($Z761=6,"ESCALATED TO ROXANNE",IF(TODAY()&gt;$AB761,"OVERDUE",IF($AB761&lt;=WORKDAY(TODAY(),1,Holidays),"DUE TOMORROW",IF($Z761=4,"ESCALATED TO LOCAL OFFICE",IF($Z761=5,"ESCALATED TO CBE",IF($AA761=TODAY(),"EMAIL SENT","MONITORING"))))))))))</f>
        <v/>
      </c>
      <c r="V761" s="17">
        <f>IF($U761="",IF(AND(COUNTA($A761:$L761)&gt;0,$N761=""),"Awaiting Collection Email time stamp.",""),IF(OR($U761="PAID",$U761="CLOSED"),IF($U761="PAID","Account paid. Action completed.","Account closed. No further action required."),CHOOSE($Z761,"Collection Email","1st Email Follow-up","2nd Email Follow-up","Escalation to Local Office","Escalation to CBE","Escalation to Roxanne")&amp;" sent "&amp;TEXT($AA761,"dd-mmm")&amp;". "&amp;IF($Z761=6,"Final escalation completed.",IF($U761="OVERDUE","Next: "&amp;$AC761&amp;" was due "&amp;TEXT($AB761,"dd-mmm")&amp;" - "&amp;(NETWORKDAYS($AB761,TODAY(),Holidays)-1)&amp;" business day(s) late. Send now.",IF($U761="DUE TOMORROW","Next: "&amp;$AC761&amp;IF($AB761&lt;=TODAY()," is due TODAY ("," is due next business day (")&amp;TEXT($AB761,"dd-mmm")&amp;").","Next: "&amp;$AC761&amp;" due "&amp;TEXT($AB761,"dd-mmm")&amp;" ("&amp;(NETWORKDAYS(TODAY(),$AB761,Holidays)-1)&amp;" business day(s) left).")))))</f>
        <v/>
      </c>
      <c r="W761" s="17">
        <f>IF($Z761="","",CHOOSE($Z761,"Collection Email","1st Follow-up","2nd Follow-up","Local Office","CBE","Roxanne")&amp;IF($Z761=6," - Final"," - Day "&amp;MAX(0,NETWORKDAYS($AA761,TODAY(),Holidays)-1)&amp;" of "&amp;CHOOSE($Z761,3,3,2,2,3))&amp;" | Total Day "&amp;MAX(0,NETWORKDAYS($N761,TODAY(),Holidays)-1))</f>
        <v/>
      </c>
      <c r="X761" s="18"/>
      <c r="Y761" s="18"/>
      <c r="Z761" s="17">
        <f>IF($N761="","",COUNT($N761:$S761))</f>
        <v/>
      </c>
      <c r="AA761" s="19">
        <f>IF($Z761="","",INT(INDEX($N761:$S761,$Z761)))</f>
        <v/>
      </c>
      <c r="AB761" s="19">
        <f>IF(OR($Z761="",$Z761=6),"",WORKDAY($AA761,CHOOSE($Z761,3,3,2,2,3),Holidays))</f>
        <v/>
      </c>
      <c r="AC761" s="17">
        <f>IF(OR($Z761="",$Z761=6),"",CHOOSE($Z761,"1st Email Follow-up","2nd Email Follow-up","Escalate Local Office","Escalate to CBE","Escalate to Roxanne"))</f>
        <v/>
      </c>
    </row>
    <row r="762" spans="13:29">
      <c r="M762" s="14"/>
      <c r="T762" s="16"/>
      <c r="U762" s="17">
        <f>IF(AND(COUNTA($A762:$L762)=0,$N762=""),"",IF($T762="Paid","PAID",IF($T762="Closed","CLOSED",IF($Z762="","",IF($Z762=6,"ESCALATED TO ROXANNE",IF(TODAY()&gt;$AB762,"OVERDUE",IF($AB762&lt;=WORKDAY(TODAY(),1,Holidays),"DUE TOMORROW",IF($Z762=4,"ESCALATED TO LOCAL OFFICE",IF($Z762=5,"ESCALATED TO CBE",IF($AA762=TODAY(),"EMAIL SENT","MONITORING"))))))))))</f>
        <v/>
      </c>
      <c r="V762" s="17">
        <f>IF($U762="",IF(AND(COUNTA($A762:$L762)&gt;0,$N762=""),"Awaiting Collection Email time stamp.",""),IF(OR($U762="PAID",$U762="CLOSED"),IF($U762="PAID","Account paid. Action completed.","Account closed. No further action required."),CHOOSE($Z762,"Collection Email","1st Email Follow-up","2nd Email Follow-up","Escalation to Local Office","Escalation to CBE","Escalation to Roxanne")&amp;" sent "&amp;TEXT($AA762,"dd-mmm")&amp;". "&amp;IF($Z762=6,"Final escalation completed.",IF($U762="OVERDUE","Next: "&amp;$AC762&amp;" was due "&amp;TEXT($AB762,"dd-mmm")&amp;" - "&amp;(NETWORKDAYS($AB762,TODAY(),Holidays)-1)&amp;" business day(s) late. Send now.",IF($U762="DUE TOMORROW","Next: "&amp;$AC762&amp;IF($AB762&lt;=TODAY()," is due TODAY ("," is due next business day (")&amp;TEXT($AB762,"dd-mmm")&amp;").","Next: "&amp;$AC762&amp;" due "&amp;TEXT($AB762,"dd-mmm")&amp;" ("&amp;(NETWORKDAYS(TODAY(),$AB762,Holidays)-1)&amp;" business day(s) left).")))))</f>
        <v/>
      </c>
      <c r="W762" s="17">
        <f>IF($Z762="","",CHOOSE($Z762,"Collection Email","1st Follow-up","2nd Follow-up","Local Office","CBE","Roxanne")&amp;IF($Z762=6," - Final"," - Day "&amp;MAX(0,NETWORKDAYS($AA762,TODAY(),Holidays)-1)&amp;" of "&amp;CHOOSE($Z762,3,3,2,2,3))&amp;" | Total Day "&amp;MAX(0,NETWORKDAYS($N762,TODAY(),Holidays)-1))</f>
        <v/>
      </c>
      <c r="X762" s="18"/>
      <c r="Y762" s="18"/>
      <c r="Z762" s="17">
        <f>IF($N762="","",COUNT($N762:$S762))</f>
        <v/>
      </c>
      <c r="AA762" s="19">
        <f>IF($Z762="","",INT(INDEX($N762:$S762,$Z762)))</f>
        <v/>
      </c>
      <c r="AB762" s="19">
        <f>IF(OR($Z762="",$Z762=6),"",WORKDAY($AA762,CHOOSE($Z762,3,3,2,2,3),Holidays))</f>
        <v/>
      </c>
      <c r="AC762" s="17">
        <f>IF(OR($Z762="",$Z762=6),"",CHOOSE($Z762,"1st Email Follow-up","2nd Email Follow-up","Escalate Local Office","Escalate to CBE","Escalate to Roxanne"))</f>
        <v/>
      </c>
    </row>
    <row r="763" spans="13:29">
      <c r="M763" s="14"/>
      <c r="T763" s="16"/>
      <c r="U763" s="17">
        <f>IF(AND(COUNTA($A763:$L763)=0,$N763=""),"",IF($T763="Paid","PAID",IF($T763="Closed","CLOSED",IF($Z763="","",IF($Z763=6,"ESCALATED TO ROXANNE",IF(TODAY()&gt;$AB763,"OVERDUE",IF($AB763&lt;=WORKDAY(TODAY(),1,Holidays),"DUE TOMORROW",IF($Z763=4,"ESCALATED TO LOCAL OFFICE",IF($Z763=5,"ESCALATED TO CBE",IF($AA763=TODAY(),"EMAIL SENT","MONITORING"))))))))))</f>
        <v/>
      </c>
      <c r="V763" s="17">
        <f>IF($U763="",IF(AND(COUNTA($A763:$L763)&gt;0,$N763=""),"Awaiting Collection Email time stamp.",""),IF(OR($U763="PAID",$U763="CLOSED"),IF($U763="PAID","Account paid. Action completed.","Account closed. No further action required."),CHOOSE($Z763,"Collection Email","1st Email Follow-up","2nd Email Follow-up","Escalation to Local Office","Escalation to CBE","Escalation to Roxanne")&amp;" sent "&amp;TEXT($AA763,"dd-mmm")&amp;". "&amp;IF($Z763=6,"Final escalation completed.",IF($U763="OVERDUE","Next: "&amp;$AC763&amp;" was due "&amp;TEXT($AB763,"dd-mmm")&amp;" - "&amp;(NETWORKDAYS($AB763,TODAY(),Holidays)-1)&amp;" business day(s) late. Send now.",IF($U763="DUE TOMORROW","Next: "&amp;$AC763&amp;IF($AB763&lt;=TODAY()," is due TODAY ("," is due next business day (")&amp;TEXT($AB763,"dd-mmm")&amp;").","Next: "&amp;$AC763&amp;" due "&amp;TEXT($AB763,"dd-mmm")&amp;" ("&amp;(NETWORKDAYS(TODAY(),$AB763,Holidays)-1)&amp;" business day(s) left).")))))</f>
        <v/>
      </c>
      <c r="W763" s="17">
        <f>IF($Z763="","",CHOOSE($Z763,"Collection Email","1st Follow-up","2nd Follow-up","Local Office","CBE","Roxanne")&amp;IF($Z763=6," - Final"," - Day "&amp;MAX(0,NETWORKDAYS($AA763,TODAY(),Holidays)-1)&amp;" of "&amp;CHOOSE($Z763,3,3,2,2,3))&amp;" | Total Day "&amp;MAX(0,NETWORKDAYS($N763,TODAY(),Holidays)-1))</f>
        <v/>
      </c>
      <c r="X763" s="18"/>
      <c r="Y763" s="18"/>
      <c r="Z763" s="17">
        <f>IF($N763="","",COUNT($N763:$S763))</f>
        <v/>
      </c>
      <c r="AA763" s="19">
        <f>IF($Z763="","",INT(INDEX($N763:$S763,$Z763)))</f>
        <v/>
      </c>
      <c r="AB763" s="19">
        <f>IF(OR($Z763="",$Z763=6),"",WORKDAY($AA763,CHOOSE($Z763,3,3,2,2,3),Holidays))</f>
        <v/>
      </c>
      <c r="AC763" s="17">
        <f>IF(OR($Z763="",$Z763=6),"",CHOOSE($Z763,"1st Email Follow-up","2nd Email Follow-up","Escalate Local Office","Escalate to CBE","Escalate to Roxanne"))</f>
        <v/>
      </c>
    </row>
    <row r="764" spans="13:29">
      <c r="M764" s="14"/>
      <c r="T764" s="16"/>
      <c r="U764" s="17">
        <f>IF(AND(COUNTA($A764:$L764)=0,$N764=""),"",IF($T764="Paid","PAID",IF($T764="Closed","CLOSED",IF($Z764="","",IF($Z764=6,"ESCALATED TO ROXANNE",IF(TODAY()&gt;$AB764,"OVERDUE",IF($AB764&lt;=WORKDAY(TODAY(),1,Holidays),"DUE TOMORROW",IF($Z764=4,"ESCALATED TO LOCAL OFFICE",IF($Z764=5,"ESCALATED TO CBE",IF($AA764=TODAY(),"EMAIL SENT","MONITORING"))))))))))</f>
        <v/>
      </c>
      <c r="V764" s="17">
        <f>IF($U764="",IF(AND(COUNTA($A764:$L764)&gt;0,$N764=""),"Awaiting Collection Email time stamp.",""),IF(OR($U764="PAID",$U764="CLOSED"),IF($U764="PAID","Account paid. Action completed.","Account closed. No further action required."),CHOOSE($Z764,"Collection Email","1st Email Follow-up","2nd Email Follow-up","Escalation to Local Office","Escalation to CBE","Escalation to Roxanne")&amp;" sent "&amp;TEXT($AA764,"dd-mmm")&amp;". "&amp;IF($Z764=6,"Final escalation completed.",IF($U764="OVERDUE","Next: "&amp;$AC764&amp;" was due "&amp;TEXT($AB764,"dd-mmm")&amp;" - "&amp;(NETWORKDAYS($AB764,TODAY(),Holidays)-1)&amp;" business day(s) late. Send now.",IF($U764="DUE TOMORROW","Next: "&amp;$AC764&amp;IF($AB764&lt;=TODAY()," is due TODAY ("," is due next business day (")&amp;TEXT($AB764,"dd-mmm")&amp;").","Next: "&amp;$AC764&amp;" due "&amp;TEXT($AB764,"dd-mmm")&amp;" ("&amp;(NETWORKDAYS(TODAY(),$AB764,Holidays)-1)&amp;" business day(s) left).")))))</f>
        <v/>
      </c>
      <c r="W764" s="17">
        <f>IF($Z764="","",CHOOSE($Z764,"Collection Email","1st Follow-up","2nd Follow-up","Local Office","CBE","Roxanne")&amp;IF($Z764=6," - Final"," - Day "&amp;MAX(0,NETWORKDAYS($AA764,TODAY(),Holidays)-1)&amp;" of "&amp;CHOOSE($Z764,3,3,2,2,3))&amp;" | Total Day "&amp;MAX(0,NETWORKDAYS($N764,TODAY(),Holidays)-1))</f>
        <v/>
      </c>
      <c r="X764" s="18"/>
      <c r="Y764" s="18"/>
      <c r="Z764" s="17">
        <f>IF($N764="","",COUNT($N764:$S764))</f>
        <v/>
      </c>
      <c r="AA764" s="19">
        <f>IF($Z764="","",INT(INDEX($N764:$S764,$Z764)))</f>
        <v/>
      </c>
      <c r="AB764" s="19">
        <f>IF(OR($Z764="",$Z764=6),"",WORKDAY($AA764,CHOOSE($Z764,3,3,2,2,3),Holidays))</f>
        <v/>
      </c>
      <c r="AC764" s="17">
        <f>IF(OR($Z764="",$Z764=6),"",CHOOSE($Z764,"1st Email Follow-up","2nd Email Follow-up","Escalate Local Office","Escalate to CBE","Escalate to Roxanne"))</f>
        <v/>
      </c>
    </row>
    <row r="765" spans="13:29">
      <c r="M765" s="14"/>
      <c r="T765" s="16"/>
      <c r="U765" s="17">
        <f>IF(AND(COUNTA($A765:$L765)=0,$N765=""),"",IF($T765="Paid","PAID",IF($T765="Closed","CLOSED",IF($Z765="","",IF($Z765=6,"ESCALATED TO ROXANNE",IF(TODAY()&gt;$AB765,"OVERDUE",IF($AB765&lt;=WORKDAY(TODAY(),1,Holidays),"DUE TOMORROW",IF($Z765=4,"ESCALATED TO LOCAL OFFICE",IF($Z765=5,"ESCALATED TO CBE",IF($AA765=TODAY(),"EMAIL SENT","MONITORING"))))))))))</f>
        <v/>
      </c>
      <c r="V765" s="17">
        <f>IF($U765="",IF(AND(COUNTA($A765:$L765)&gt;0,$N765=""),"Awaiting Collection Email time stamp.",""),IF(OR($U765="PAID",$U765="CLOSED"),IF($U765="PAID","Account paid. Action completed.","Account closed. No further action required."),CHOOSE($Z765,"Collection Email","1st Email Follow-up","2nd Email Follow-up","Escalation to Local Office","Escalation to CBE","Escalation to Roxanne")&amp;" sent "&amp;TEXT($AA765,"dd-mmm")&amp;". "&amp;IF($Z765=6,"Final escalation completed.",IF($U765="OVERDUE","Next: "&amp;$AC765&amp;" was due "&amp;TEXT($AB765,"dd-mmm")&amp;" - "&amp;(NETWORKDAYS($AB765,TODAY(),Holidays)-1)&amp;" business day(s) late. Send now.",IF($U765="DUE TOMORROW","Next: "&amp;$AC765&amp;IF($AB765&lt;=TODAY()," is due TODAY ("," is due next business day (")&amp;TEXT($AB765,"dd-mmm")&amp;").","Next: "&amp;$AC765&amp;" due "&amp;TEXT($AB765,"dd-mmm")&amp;" ("&amp;(NETWORKDAYS(TODAY(),$AB765,Holidays)-1)&amp;" business day(s) left).")))))</f>
        <v/>
      </c>
      <c r="W765" s="17">
        <f>IF($Z765="","",CHOOSE($Z765,"Collection Email","1st Follow-up","2nd Follow-up","Local Office","CBE","Roxanne")&amp;IF($Z765=6," - Final"," - Day "&amp;MAX(0,NETWORKDAYS($AA765,TODAY(),Holidays)-1)&amp;" of "&amp;CHOOSE($Z765,3,3,2,2,3))&amp;" | Total Day "&amp;MAX(0,NETWORKDAYS($N765,TODAY(),Holidays)-1))</f>
        <v/>
      </c>
      <c r="X765" s="18"/>
      <c r="Y765" s="18"/>
      <c r="Z765" s="17">
        <f>IF($N765="","",COUNT($N765:$S765))</f>
        <v/>
      </c>
      <c r="AA765" s="19">
        <f>IF($Z765="","",INT(INDEX($N765:$S765,$Z765)))</f>
        <v/>
      </c>
      <c r="AB765" s="19">
        <f>IF(OR($Z765="",$Z765=6),"",WORKDAY($AA765,CHOOSE($Z765,3,3,2,2,3),Holidays))</f>
        <v/>
      </c>
      <c r="AC765" s="17">
        <f>IF(OR($Z765="",$Z765=6),"",CHOOSE($Z765,"1st Email Follow-up","2nd Email Follow-up","Escalate Local Office","Escalate to CBE","Escalate to Roxanne"))</f>
        <v/>
      </c>
    </row>
    <row r="766" spans="13:29">
      <c r="M766" s="14"/>
      <c r="T766" s="16"/>
      <c r="U766" s="17">
        <f>IF(AND(COUNTA($A766:$L766)=0,$N766=""),"",IF($T766="Paid","PAID",IF($T766="Closed","CLOSED",IF($Z766="","",IF($Z766=6,"ESCALATED TO ROXANNE",IF(TODAY()&gt;$AB766,"OVERDUE",IF($AB766&lt;=WORKDAY(TODAY(),1,Holidays),"DUE TOMORROW",IF($Z766=4,"ESCALATED TO LOCAL OFFICE",IF($Z766=5,"ESCALATED TO CBE",IF($AA766=TODAY(),"EMAIL SENT","MONITORING"))))))))))</f>
        <v/>
      </c>
      <c r="V766" s="17">
        <f>IF($U766="",IF(AND(COUNTA($A766:$L766)&gt;0,$N766=""),"Awaiting Collection Email time stamp.",""),IF(OR($U766="PAID",$U766="CLOSED"),IF($U766="PAID","Account paid. Action completed.","Account closed. No further action required."),CHOOSE($Z766,"Collection Email","1st Email Follow-up","2nd Email Follow-up","Escalation to Local Office","Escalation to CBE","Escalation to Roxanne")&amp;" sent "&amp;TEXT($AA766,"dd-mmm")&amp;". "&amp;IF($Z766=6,"Final escalation completed.",IF($U766="OVERDUE","Next: "&amp;$AC766&amp;" was due "&amp;TEXT($AB766,"dd-mmm")&amp;" - "&amp;(NETWORKDAYS($AB766,TODAY(),Holidays)-1)&amp;" business day(s) late. Send now.",IF($U766="DUE TOMORROW","Next: "&amp;$AC766&amp;IF($AB766&lt;=TODAY()," is due TODAY ("," is due next business day (")&amp;TEXT($AB766,"dd-mmm")&amp;").","Next: "&amp;$AC766&amp;" due "&amp;TEXT($AB766,"dd-mmm")&amp;" ("&amp;(NETWORKDAYS(TODAY(),$AB766,Holidays)-1)&amp;" business day(s) left).")))))</f>
        <v/>
      </c>
      <c r="W766" s="17">
        <f>IF($Z766="","",CHOOSE($Z766,"Collection Email","1st Follow-up","2nd Follow-up","Local Office","CBE","Roxanne")&amp;IF($Z766=6," - Final"," - Day "&amp;MAX(0,NETWORKDAYS($AA766,TODAY(),Holidays)-1)&amp;" of "&amp;CHOOSE($Z766,3,3,2,2,3))&amp;" | Total Day "&amp;MAX(0,NETWORKDAYS($N766,TODAY(),Holidays)-1))</f>
        <v/>
      </c>
      <c r="X766" s="18"/>
      <c r="Y766" s="18"/>
      <c r="Z766" s="17">
        <f>IF($N766="","",COUNT($N766:$S766))</f>
        <v/>
      </c>
      <c r="AA766" s="19">
        <f>IF($Z766="","",INT(INDEX($N766:$S766,$Z766)))</f>
        <v/>
      </c>
      <c r="AB766" s="19">
        <f>IF(OR($Z766="",$Z766=6),"",WORKDAY($AA766,CHOOSE($Z766,3,3,2,2,3),Holidays))</f>
        <v/>
      </c>
      <c r="AC766" s="17">
        <f>IF(OR($Z766="",$Z766=6),"",CHOOSE($Z766,"1st Email Follow-up","2nd Email Follow-up","Escalate Local Office","Escalate to CBE","Escalate to Roxanne"))</f>
        <v/>
      </c>
    </row>
    <row r="767" spans="13:29">
      <c r="M767" s="14"/>
      <c r="T767" s="16"/>
      <c r="U767" s="17">
        <f>IF(AND(COUNTA($A767:$L767)=0,$N767=""),"",IF($T767="Paid","PAID",IF($T767="Closed","CLOSED",IF($Z767="","",IF($Z767=6,"ESCALATED TO ROXANNE",IF(TODAY()&gt;$AB767,"OVERDUE",IF($AB767&lt;=WORKDAY(TODAY(),1,Holidays),"DUE TOMORROW",IF($Z767=4,"ESCALATED TO LOCAL OFFICE",IF($Z767=5,"ESCALATED TO CBE",IF($AA767=TODAY(),"EMAIL SENT","MONITORING"))))))))))</f>
        <v/>
      </c>
      <c r="V767" s="17">
        <f>IF($U767="",IF(AND(COUNTA($A767:$L767)&gt;0,$N767=""),"Awaiting Collection Email time stamp.",""),IF(OR($U767="PAID",$U767="CLOSED"),IF($U767="PAID","Account paid. Action completed.","Account closed. No further action required."),CHOOSE($Z767,"Collection Email","1st Email Follow-up","2nd Email Follow-up","Escalation to Local Office","Escalation to CBE","Escalation to Roxanne")&amp;" sent "&amp;TEXT($AA767,"dd-mmm")&amp;". "&amp;IF($Z767=6,"Final escalation completed.",IF($U767="OVERDUE","Next: "&amp;$AC767&amp;" was due "&amp;TEXT($AB767,"dd-mmm")&amp;" - "&amp;(NETWORKDAYS($AB767,TODAY(),Holidays)-1)&amp;" business day(s) late. Send now.",IF($U767="DUE TOMORROW","Next: "&amp;$AC767&amp;IF($AB767&lt;=TODAY()," is due TODAY ("," is due next business day (")&amp;TEXT($AB767,"dd-mmm")&amp;").","Next: "&amp;$AC767&amp;" due "&amp;TEXT($AB767,"dd-mmm")&amp;" ("&amp;(NETWORKDAYS(TODAY(),$AB767,Holidays)-1)&amp;" business day(s) left).")))))</f>
        <v/>
      </c>
      <c r="W767" s="17">
        <f>IF($Z767="","",CHOOSE($Z767,"Collection Email","1st Follow-up","2nd Follow-up","Local Office","CBE","Roxanne")&amp;IF($Z767=6," - Final"," - Day "&amp;MAX(0,NETWORKDAYS($AA767,TODAY(),Holidays)-1)&amp;" of "&amp;CHOOSE($Z767,3,3,2,2,3))&amp;" | Total Day "&amp;MAX(0,NETWORKDAYS($N767,TODAY(),Holidays)-1))</f>
        <v/>
      </c>
      <c r="X767" s="18"/>
      <c r="Y767" s="18"/>
      <c r="Z767" s="17">
        <f>IF($N767="","",COUNT($N767:$S767))</f>
        <v/>
      </c>
      <c r="AA767" s="19">
        <f>IF($Z767="","",INT(INDEX($N767:$S767,$Z767)))</f>
        <v/>
      </c>
      <c r="AB767" s="19">
        <f>IF(OR($Z767="",$Z767=6),"",WORKDAY($AA767,CHOOSE($Z767,3,3,2,2,3),Holidays))</f>
        <v/>
      </c>
      <c r="AC767" s="17">
        <f>IF(OR($Z767="",$Z767=6),"",CHOOSE($Z767,"1st Email Follow-up","2nd Email Follow-up","Escalate Local Office","Escalate to CBE","Escalate to Roxanne"))</f>
        <v/>
      </c>
    </row>
    <row r="768" spans="13:29">
      <c r="M768" s="14"/>
      <c r="T768" s="16"/>
      <c r="U768" s="17">
        <f>IF(AND(COUNTA($A768:$L768)=0,$N768=""),"",IF($T768="Paid","PAID",IF($T768="Closed","CLOSED",IF($Z768="","",IF($Z768=6,"ESCALATED TO ROXANNE",IF(TODAY()&gt;$AB768,"OVERDUE",IF($AB768&lt;=WORKDAY(TODAY(),1,Holidays),"DUE TOMORROW",IF($Z768=4,"ESCALATED TO LOCAL OFFICE",IF($Z768=5,"ESCALATED TO CBE",IF($AA768=TODAY(),"EMAIL SENT","MONITORING"))))))))))</f>
        <v/>
      </c>
      <c r="V768" s="17">
        <f>IF($U768="",IF(AND(COUNTA($A768:$L768)&gt;0,$N768=""),"Awaiting Collection Email time stamp.",""),IF(OR($U768="PAID",$U768="CLOSED"),IF($U768="PAID","Account paid. Action completed.","Account closed. No further action required."),CHOOSE($Z768,"Collection Email","1st Email Follow-up","2nd Email Follow-up","Escalation to Local Office","Escalation to CBE","Escalation to Roxanne")&amp;" sent "&amp;TEXT($AA768,"dd-mmm")&amp;". "&amp;IF($Z768=6,"Final escalation completed.",IF($U768="OVERDUE","Next: "&amp;$AC768&amp;" was due "&amp;TEXT($AB768,"dd-mmm")&amp;" - "&amp;(NETWORKDAYS($AB768,TODAY(),Holidays)-1)&amp;" business day(s) late. Send now.",IF($U768="DUE TOMORROW","Next: "&amp;$AC768&amp;IF($AB768&lt;=TODAY()," is due TODAY ("," is due next business day (")&amp;TEXT($AB768,"dd-mmm")&amp;").","Next: "&amp;$AC768&amp;" due "&amp;TEXT($AB768,"dd-mmm")&amp;" ("&amp;(NETWORKDAYS(TODAY(),$AB768,Holidays)-1)&amp;" business day(s) left).")))))</f>
        <v/>
      </c>
      <c r="W768" s="17">
        <f>IF($Z768="","",CHOOSE($Z768,"Collection Email","1st Follow-up","2nd Follow-up","Local Office","CBE","Roxanne")&amp;IF($Z768=6," - Final"," - Day "&amp;MAX(0,NETWORKDAYS($AA768,TODAY(),Holidays)-1)&amp;" of "&amp;CHOOSE($Z768,3,3,2,2,3))&amp;" | Total Day "&amp;MAX(0,NETWORKDAYS($N768,TODAY(),Holidays)-1))</f>
        <v/>
      </c>
      <c r="X768" s="18"/>
      <c r="Y768" s="18"/>
      <c r="Z768" s="17">
        <f>IF($N768="","",COUNT($N768:$S768))</f>
        <v/>
      </c>
      <c r="AA768" s="19">
        <f>IF($Z768="","",INT(INDEX($N768:$S768,$Z768)))</f>
        <v/>
      </c>
      <c r="AB768" s="19">
        <f>IF(OR($Z768="",$Z768=6),"",WORKDAY($AA768,CHOOSE($Z768,3,3,2,2,3),Holidays))</f>
        <v/>
      </c>
      <c r="AC768" s="17">
        <f>IF(OR($Z768="",$Z768=6),"",CHOOSE($Z768,"1st Email Follow-up","2nd Email Follow-up","Escalate Local Office","Escalate to CBE","Escalate to Roxanne"))</f>
        <v/>
      </c>
    </row>
    <row r="769" spans="13:29">
      <c r="M769" s="14"/>
      <c r="T769" s="16"/>
      <c r="U769" s="17">
        <f>IF(AND(COUNTA($A769:$L769)=0,$N769=""),"",IF($T769="Paid","PAID",IF($T769="Closed","CLOSED",IF($Z769="","",IF($Z769=6,"ESCALATED TO ROXANNE",IF(TODAY()&gt;$AB769,"OVERDUE",IF($AB769&lt;=WORKDAY(TODAY(),1,Holidays),"DUE TOMORROW",IF($Z769=4,"ESCALATED TO LOCAL OFFICE",IF($Z769=5,"ESCALATED TO CBE",IF($AA769=TODAY(),"EMAIL SENT","MONITORING"))))))))))</f>
        <v/>
      </c>
      <c r="V769" s="17">
        <f>IF($U769="",IF(AND(COUNTA($A769:$L769)&gt;0,$N769=""),"Awaiting Collection Email time stamp.",""),IF(OR($U769="PAID",$U769="CLOSED"),IF($U769="PAID","Account paid. Action completed.","Account closed. No further action required."),CHOOSE($Z769,"Collection Email","1st Email Follow-up","2nd Email Follow-up","Escalation to Local Office","Escalation to CBE","Escalation to Roxanne")&amp;" sent "&amp;TEXT($AA769,"dd-mmm")&amp;". "&amp;IF($Z769=6,"Final escalation completed.",IF($U769="OVERDUE","Next: "&amp;$AC769&amp;" was due "&amp;TEXT($AB769,"dd-mmm")&amp;" - "&amp;(NETWORKDAYS($AB769,TODAY(),Holidays)-1)&amp;" business day(s) late. Send now.",IF($U769="DUE TOMORROW","Next: "&amp;$AC769&amp;IF($AB769&lt;=TODAY()," is due TODAY ("," is due next business day (")&amp;TEXT($AB769,"dd-mmm")&amp;").","Next: "&amp;$AC769&amp;" due "&amp;TEXT($AB769,"dd-mmm")&amp;" ("&amp;(NETWORKDAYS(TODAY(),$AB769,Holidays)-1)&amp;" business day(s) left).")))))</f>
        <v/>
      </c>
      <c r="W769" s="17">
        <f>IF($Z769="","",CHOOSE($Z769,"Collection Email","1st Follow-up","2nd Follow-up","Local Office","CBE","Roxanne")&amp;IF($Z769=6," - Final"," - Day "&amp;MAX(0,NETWORKDAYS($AA769,TODAY(),Holidays)-1)&amp;" of "&amp;CHOOSE($Z769,3,3,2,2,3))&amp;" | Total Day "&amp;MAX(0,NETWORKDAYS($N769,TODAY(),Holidays)-1))</f>
        <v/>
      </c>
      <c r="X769" s="18"/>
      <c r="Y769" s="18"/>
      <c r="Z769" s="17">
        <f>IF($N769="","",COUNT($N769:$S769))</f>
        <v/>
      </c>
      <c r="AA769" s="19">
        <f>IF($Z769="","",INT(INDEX($N769:$S769,$Z769)))</f>
        <v/>
      </c>
      <c r="AB769" s="19">
        <f>IF(OR($Z769="",$Z769=6),"",WORKDAY($AA769,CHOOSE($Z769,3,3,2,2,3),Holidays))</f>
        <v/>
      </c>
      <c r="AC769" s="17">
        <f>IF(OR($Z769="",$Z769=6),"",CHOOSE($Z769,"1st Email Follow-up","2nd Email Follow-up","Escalate Local Office","Escalate to CBE","Escalate to Roxanne"))</f>
        <v/>
      </c>
    </row>
    <row r="770" spans="13:29">
      <c r="M770" s="14"/>
      <c r="T770" s="16"/>
      <c r="U770" s="17">
        <f>IF(AND(COUNTA($A770:$L770)=0,$N770=""),"",IF($T770="Paid","PAID",IF($T770="Closed","CLOSED",IF($Z770="","",IF($Z770=6,"ESCALATED TO ROXANNE",IF(TODAY()&gt;$AB770,"OVERDUE",IF($AB770&lt;=WORKDAY(TODAY(),1,Holidays),"DUE TOMORROW",IF($Z770=4,"ESCALATED TO LOCAL OFFICE",IF($Z770=5,"ESCALATED TO CBE",IF($AA770=TODAY(),"EMAIL SENT","MONITORING"))))))))))</f>
        <v/>
      </c>
      <c r="V770" s="17">
        <f>IF($U770="",IF(AND(COUNTA($A770:$L770)&gt;0,$N770=""),"Awaiting Collection Email time stamp.",""),IF(OR($U770="PAID",$U770="CLOSED"),IF($U770="PAID","Account paid. Action completed.","Account closed. No further action required."),CHOOSE($Z770,"Collection Email","1st Email Follow-up","2nd Email Follow-up","Escalation to Local Office","Escalation to CBE","Escalation to Roxanne")&amp;" sent "&amp;TEXT($AA770,"dd-mmm")&amp;". "&amp;IF($Z770=6,"Final escalation completed.",IF($U770="OVERDUE","Next: "&amp;$AC770&amp;" was due "&amp;TEXT($AB770,"dd-mmm")&amp;" - "&amp;(NETWORKDAYS($AB770,TODAY(),Holidays)-1)&amp;" business day(s) late. Send now.",IF($U770="DUE TOMORROW","Next: "&amp;$AC770&amp;IF($AB770&lt;=TODAY()," is due TODAY ("," is due next business day (")&amp;TEXT($AB770,"dd-mmm")&amp;").","Next: "&amp;$AC770&amp;" due "&amp;TEXT($AB770,"dd-mmm")&amp;" ("&amp;(NETWORKDAYS(TODAY(),$AB770,Holidays)-1)&amp;" business day(s) left).")))))</f>
        <v/>
      </c>
      <c r="W770" s="17">
        <f>IF($Z770="","",CHOOSE($Z770,"Collection Email","1st Follow-up","2nd Follow-up","Local Office","CBE","Roxanne")&amp;IF($Z770=6," - Final"," - Day "&amp;MAX(0,NETWORKDAYS($AA770,TODAY(),Holidays)-1)&amp;" of "&amp;CHOOSE($Z770,3,3,2,2,3))&amp;" | Total Day "&amp;MAX(0,NETWORKDAYS($N770,TODAY(),Holidays)-1))</f>
        <v/>
      </c>
      <c r="X770" s="18"/>
      <c r="Y770" s="18"/>
      <c r="Z770" s="17">
        <f>IF($N770="","",COUNT($N770:$S770))</f>
        <v/>
      </c>
      <c r="AA770" s="19">
        <f>IF($Z770="","",INT(INDEX($N770:$S770,$Z770)))</f>
        <v/>
      </c>
      <c r="AB770" s="19">
        <f>IF(OR($Z770="",$Z770=6),"",WORKDAY($AA770,CHOOSE($Z770,3,3,2,2,3),Holidays))</f>
        <v/>
      </c>
      <c r="AC770" s="17">
        <f>IF(OR($Z770="",$Z770=6),"",CHOOSE($Z770,"1st Email Follow-up","2nd Email Follow-up","Escalate Local Office","Escalate to CBE","Escalate to Roxanne"))</f>
        <v/>
      </c>
    </row>
    <row r="771" spans="13:29">
      <c r="M771" s="14"/>
      <c r="T771" s="16"/>
      <c r="U771" s="17">
        <f>IF(AND(COUNTA($A771:$L771)=0,$N771=""),"",IF($T771="Paid","PAID",IF($T771="Closed","CLOSED",IF($Z771="","",IF($Z771=6,"ESCALATED TO ROXANNE",IF(TODAY()&gt;$AB771,"OVERDUE",IF($AB771&lt;=WORKDAY(TODAY(),1,Holidays),"DUE TOMORROW",IF($Z771=4,"ESCALATED TO LOCAL OFFICE",IF($Z771=5,"ESCALATED TO CBE",IF($AA771=TODAY(),"EMAIL SENT","MONITORING"))))))))))</f>
        <v/>
      </c>
      <c r="V771" s="17">
        <f>IF($U771="",IF(AND(COUNTA($A771:$L771)&gt;0,$N771=""),"Awaiting Collection Email time stamp.",""),IF(OR($U771="PAID",$U771="CLOSED"),IF($U771="PAID","Account paid. Action completed.","Account closed. No further action required."),CHOOSE($Z771,"Collection Email","1st Email Follow-up","2nd Email Follow-up","Escalation to Local Office","Escalation to CBE","Escalation to Roxanne")&amp;" sent "&amp;TEXT($AA771,"dd-mmm")&amp;". "&amp;IF($Z771=6,"Final escalation completed.",IF($U771="OVERDUE","Next: "&amp;$AC771&amp;" was due "&amp;TEXT($AB771,"dd-mmm")&amp;" - "&amp;(NETWORKDAYS($AB771,TODAY(),Holidays)-1)&amp;" business day(s) late. Send now.",IF($U771="DUE TOMORROW","Next: "&amp;$AC771&amp;IF($AB771&lt;=TODAY()," is due TODAY ("," is due next business day (")&amp;TEXT($AB771,"dd-mmm")&amp;").","Next: "&amp;$AC771&amp;" due "&amp;TEXT($AB771,"dd-mmm")&amp;" ("&amp;(NETWORKDAYS(TODAY(),$AB771,Holidays)-1)&amp;" business day(s) left).")))))</f>
        <v/>
      </c>
      <c r="W771" s="17">
        <f>IF($Z771="","",CHOOSE($Z771,"Collection Email","1st Follow-up","2nd Follow-up","Local Office","CBE","Roxanne")&amp;IF($Z771=6," - Final"," - Day "&amp;MAX(0,NETWORKDAYS($AA771,TODAY(),Holidays)-1)&amp;" of "&amp;CHOOSE($Z771,3,3,2,2,3))&amp;" | Total Day "&amp;MAX(0,NETWORKDAYS($N771,TODAY(),Holidays)-1))</f>
        <v/>
      </c>
      <c r="X771" s="18"/>
      <c r="Y771" s="18"/>
      <c r="Z771" s="17">
        <f>IF($N771="","",COUNT($N771:$S771))</f>
        <v/>
      </c>
      <c r="AA771" s="19">
        <f>IF($Z771="","",INT(INDEX($N771:$S771,$Z771)))</f>
        <v/>
      </c>
      <c r="AB771" s="19">
        <f>IF(OR($Z771="",$Z771=6),"",WORKDAY($AA771,CHOOSE($Z771,3,3,2,2,3),Holidays))</f>
        <v/>
      </c>
      <c r="AC771" s="17">
        <f>IF(OR($Z771="",$Z771=6),"",CHOOSE($Z771,"1st Email Follow-up","2nd Email Follow-up","Escalate Local Office","Escalate to CBE","Escalate to Roxanne"))</f>
        <v/>
      </c>
    </row>
    <row r="772" spans="13:29">
      <c r="M772" s="14"/>
      <c r="T772" s="16"/>
      <c r="U772" s="17">
        <f>IF(AND(COUNTA($A772:$L772)=0,$N772=""),"",IF($T772="Paid","PAID",IF($T772="Closed","CLOSED",IF($Z772="","",IF($Z772=6,"ESCALATED TO ROXANNE",IF(TODAY()&gt;$AB772,"OVERDUE",IF($AB772&lt;=WORKDAY(TODAY(),1,Holidays),"DUE TOMORROW",IF($Z772=4,"ESCALATED TO LOCAL OFFICE",IF($Z772=5,"ESCALATED TO CBE",IF($AA772=TODAY(),"EMAIL SENT","MONITORING"))))))))))</f>
        <v/>
      </c>
      <c r="V772" s="17">
        <f>IF($U772="",IF(AND(COUNTA($A772:$L772)&gt;0,$N772=""),"Awaiting Collection Email time stamp.",""),IF(OR($U772="PAID",$U772="CLOSED"),IF($U772="PAID","Account paid. Action completed.","Account closed. No further action required."),CHOOSE($Z772,"Collection Email","1st Email Follow-up","2nd Email Follow-up","Escalation to Local Office","Escalation to CBE","Escalation to Roxanne")&amp;" sent "&amp;TEXT($AA772,"dd-mmm")&amp;". "&amp;IF($Z772=6,"Final escalation completed.",IF($U772="OVERDUE","Next: "&amp;$AC772&amp;" was due "&amp;TEXT($AB772,"dd-mmm")&amp;" - "&amp;(NETWORKDAYS($AB772,TODAY(),Holidays)-1)&amp;" business day(s) late. Send now.",IF($U772="DUE TOMORROW","Next: "&amp;$AC772&amp;IF($AB772&lt;=TODAY()," is due TODAY ("," is due next business day (")&amp;TEXT($AB772,"dd-mmm")&amp;").","Next: "&amp;$AC772&amp;" due "&amp;TEXT($AB772,"dd-mmm")&amp;" ("&amp;(NETWORKDAYS(TODAY(),$AB772,Holidays)-1)&amp;" business day(s) left).")))))</f>
        <v/>
      </c>
      <c r="W772" s="17">
        <f>IF($Z772="","",CHOOSE($Z772,"Collection Email","1st Follow-up","2nd Follow-up","Local Office","CBE","Roxanne")&amp;IF($Z772=6," - Final"," - Day "&amp;MAX(0,NETWORKDAYS($AA772,TODAY(),Holidays)-1)&amp;" of "&amp;CHOOSE($Z772,3,3,2,2,3))&amp;" | Total Day "&amp;MAX(0,NETWORKDAYS($N772,TODAY(),Holidays)-1))</f>
        <v/>
      </c>
      <c r="X772" s="18"/>
      <c r="Y772" s="18"/>
      <c r="Z772" s="17">
        <f>IF($N772="","",COUNT($N772:$S772))</f>
        <v/>
      </c>
      <c r="AA772" s="19">
        <f>IF($Z772="","",INT(INDEX($N772:$S772,$Z772)))</f>
        <v/>
      </c>
      <c r="AB772" s="19">
        <f>IF(OR($Z772="",$Z772=6),"",WORKDAY($AA772,CHOOSE($Z772,3,3,2,2,3),Holidays))</f>
        <v/>
      </c>
      <c r="AC772" s="17">
        <f>IF(OR($Z772="",$Z772=6),"",CHOOSE($Z772,"1st Email Follow-up","2nd Email Follow-up","Escalate Local Office","Escalate to CBE","Escalate to Roxanne"))</f>
        <v/>
      </c>
    </row>
    <row r="773" spans="13:29">
      <c r="M773" s="14"/>
      <c r="T773" s="16"/>
      <c r="U773" s="17">
        <f>IF(AND(COUNTA($A773:$L773)=0,$N773=""),"",IF($T773="Paid","PAID",IF($T773="Closed","CLOSED",IF($Z773="","",IF($Z773=6,"ESCALATED TO ROXANNE",IF(TODAY()&gt;$AB773,"OVERDUE",IF($AB773&lt;=WORKDAY(TODAY(),1,Holidays),"DUE TOMORROW",IF($Z773=4,"ESCALATED TO LOCAL OFFICE",IF($Z773=5,"ESCALATED TO CBE",IF($AA773=TODAY(),"EMAIL SENT","MONITORING"))))))))))</f>
        <v/>
      </c>
      <c r="V773" s="17">
        <f>IF($U773="",IF(AND(COUNTA($A773:$L773)&gt;0,$N773=""),"Awaiting Collection Email time stamp.",""),IF(OR($U773="PAID",$U773="CLOSED"),IF($U773="PAID","Account paid. Action completed.","Account closed. No further action required."),CHOOSE($Z773,"Collection Email","1st Email Follow-up","2nd Email Follow-up","Escalation to Local Office","Escalation to CBE","Escalation to Roxanne")&amp;" sent "&amp;TEXT($AA773,"dd-mmm")&amp;". "&amp;IF($Z773=6,"Final escalation completed.",IF($U773="OVERDUE","Next: "&amp;$AC773&amp;" was due "&amp;TEXT($AB773,"dd-mmm")&amp;" - "&amp;(NETWORKDAYS($AB773,TODAY(),Holidays)-1)&amp;" business day(s) late. Send now.",IF($U773="DUE TOMORROW","Next: "&amp;$AC773&amp;IF($AB773&lt;=TODAY()," is due TODAY ("," is due next business day (")&amp;TEXT($AB773,"dd-mmm")&amp;").","Next: "&amp;$AC773&amp;" due "&amp;TEXT($AB773,"dd-mmm")&amp;" ("&amp;(NETWORKDAYS(TODAY(),$AB773,Holidays)-1)&amp;" business day(s) left).")))))</f>
        <v/>
      </c>
      <c r="W773" s="17">
        <f>IF($Z773="","",CHOOSE($Z773,"Collection Email","1st Follow-up","2nd Follow-up","Local Office","CBE","Roxanne")&amp;IF($Z773=6," - Final"," - Day "&amp;MAX(0,NETWORKDAYS($AA773,TODAY(),Holidays)-1)&amp;" of "&amp;CHOOSE($Z773,3,3,2,2,3))&amp;" | Total Day "&amp;MAX(0,NETWORKDAYS($N773,TODAY(),Holidays)-1))</f>
        <v/>
      </c>
      <c r="X773" s="18"/>
      <c r="Y773" s="18"/>
      <c r="Z773" s="17">
        <f>IF($N773="","",COUNT($N773:$S773))</f>
        <v/>
      </c>
      <c r="AA773" s="19">
        <f>IF($Z773="","",INT(INDEX($N773:$S773,$Z773)))</f>
        <v/>
      </c>
      <c r="AB773" s="19">
        <f>IF(OR($Z773="",$Z773=6),"",WORKDAY($AA773,CHOOSE($Z773,3,3,2,2,3),Holidays))</f>
        <v/>
      </c>
      <c r="AC773" s="17">
        <f>IF(OR($Z773="",$Z773=6),"",CHOOSE($Z773,"1st Email Follow-up","2nd Email Follow-up","Escalate Local Office","Escalate to CBE","Escalate to Roxanne"))</f>
        <v/>
      </c>
    </row>
    <row r="774" spans="13:29">
      <c r="M774" s="14"/>
      <c r="T774" s="16"/>
      <c r="U774" s="17">
        <f>IF(AND(COUNTA($A774:$L774)=0,$N774=""),"",IF($T774="Paid","PAID",IF($T774="Closed","CLOSED",IF($Z774="","",IF($Z774=6,"ESCALATED TO ROXANNE",IF(TODAY()&gt;$AB774,"OVERDUE",IF($AB774&lt;=WORKDAY(TODAY(),1,Holidays),"DUE TOMORROW",IF($Z774=4,"ESCALATED TO LOCAL OFFICE",IF($Z774=5,"ESCALATED TO CBE",IF($AA774=TODAY(),"EMAIL SENT","MONITORING"))))))))))</f>
        <v/>
      </c>
      <c r="V774" s="17">
        <f>IF($U774="",IF(AND(COUNTA($A774:$L774)&gt;0,$N774=""),"Awaiting Collection Email time stamp.",""),IF(OR($U774="PAID",$U774="CLOSED"),IF($U774="PAID","Account paid. Action completed.","Account closed. No further action required."),CHOOSE($Z774,"Collection Email","1st Email Follow-up","2nd Email Follow-up","Escalation to Local Office","Escalation to CBE","Escalation to Roxanne")&amp;" sent "&amp;TEXT($AA774,"dd-mmm")&amp;". "&amp;IF($Z774=6,"Final escalation completed.",IF($U774="OVERDUE","Next: "&amp;$AC774&amp;" was due "&amp;TEXT($AB774,"dd-mmm")&amp;" - "&amp;(NETWORKDAYS($AB774,TODAY(),Holidays)-1)&amp;" business day(s) late. Send now.",IF($U774="DUE TOMORROW","Next: "&amp;$AC774&amp;IF($AB774&lt;=TODAY()," is due TODAY ("," is due next business day (")&amp;TEXT($AB774,"dd-mmm")&amp;").","Next: "&amp;$AC774&amp;" due "&amp;TEXT($AB774,"dd-mmm")&amp;" ("&amp;(NETWORKDAYS(TODAY(),$AB774,Holidays)-1)&amp;" business day(s) left).")))))</f>
        <v/>
      </c>
      <c r="W774" s="17">
        <f>IF($Z774="","",CHOOSE($Z774,"Collection Email","1st Follow-up","2nd Follow-up","Local Office","CBE","Roxanne")&amp;IF($Z774=6," - Final"," - Day "&amp;MAX(0,NETWORKDAYS($AA774,TODAY(),Holidays)-1)&amp;" of "&amp;CHOOSE($Z774,3,3,2,2,3))&amp;" | Total Day "&amp;MAX(0,NETWORKDAYS($N774,TODAY(),Holidays)-1))</f>
        <v/>
      </c>
      <c r="X774" s="18"/>
      <c r="Y774" s="18"/>
      <c r="Z774" s="17">
        <f>IF($N774="","",COUNT($N774:$S774))</f>
        <v/>
      </c>
      <c r="AA774" s="19">
        <f>IF($Z774="","",INT(INDEX($N774:$S774,$Z774)))</f>
        <v/>
      </c>
      <c r="AB774" s="19">
        <f>IF(OR($Z774="",$Z774=6),"",WORKDAY($AA774,CHOOSE($Z774,3,3,2,2,3),Holidays))</f>
        <v/>
      </c>
      <c r="AC774" s="17">
        <f>IF(OR($Z774="",$Z774=6),"",CHOOSE($Z774,"1st Email Follow-up","2nd Email Follow-up","Escalate Local Office","Escalate to CBE","Escalate to Roxanne"))</f>
        <v/>
      </c>
    </row>
    <row r="775" spans="13:29">
      <c r="M775" s="14"/>
      <c r="T775" s="16"/>
      <c r="U775" s="17">
        <f>IF(AND(COUNTA($A775:$L775)=0,$N775=""),"",IF($T775="Paid","PAID",IF($T775="Closed","CLOSED",IF($Z775="","",IF($Z775=6,"ESCALATED TO ROXANNE",IF(TODAY()&gt;$AB775,"OVERDUE",IF($AB775&lt;=WORKDAY(TODAY(),1,Holidays),"DUE TOMORROW",IF($Z775=4,"ESCALATED TO LOCAL OFFICE",IF($Z775=5,"ESCALATED TO CBE",IF($AA775=TODAY(),"EMAIL SENT","MONITORING"))))))))))</f>
        <v/>
      </c>
      <c r="V775" s="17">
        <f>IF($U775="",IF(AND(COUNTA($A775:$L775)&gt;0,$N775=""),"Awaiting Collection Email time stamp.",""),IF(OR($U775="PAID",$U775="CLOSED"),IF($U775="PAID","Account paid. Action completed.","Account closed. No further action required."),CHOOSE($Z775,"Collection Email","1st Email Follow-up","2nd Email Follow-up","Escalation to Local Office","Escalation to CBE","Escalation to Roxanne")&amp;" sent "&amp;TEXT($AA775,"dd-mmm")&amp;". "&amp;IF($Z775=6,"Final escalation completed.",IF($U775="OVERDUE","Next: "&amp;$AC775&amp;" was due "&amp;TEXT($AB775,"dd-mmm")&amp;" - "&amp;(NETWORKDAYS($AB775,TODAY(),Holidays)-1)&amp;" business day(s) late. Send now.",IF($U775="DUE TOMORROW","Next: "&amp;$AC775&amp;IF($AB775&lt;=TODAY()," is due TODAY ("," is due next business day (")&amp;TEXT($AB775,"dd-mmm")&amp;").","Next: "&amp;$AC775&amp;" due "&amp;TEXT($AB775,"dd-mmm")&amp;" ("&amp;(NETWORKDAYS(TODAY(),$AB775,Holidays)-1)&amp;" business day(s) left).")))))</f>
        <v/>
      </c>
      <c r="W775" s="17">
        <f>IF($Z775="","",CHOOSE($Z775,"Collection Email","1st Follow-up","2nd Follow-up","Local Office","CBE","Roxanne")&amp;IF($Z775=6," - Final"," - Day "&amp;MAX(0,NETWORKDAYS($AA775,TODAY(),Holidays)-1)&amp;" of "&amp;CHOOSE($Z775,3,3,2,2,3))&amp;" | Total Day "&amp;MAX(0,NETWORKDAYS($N775,TODAY(),Holidays)-1))</f>
        <v/>
      </c>
      <c r="X775" s="18"/>
      <c r="Y775" s="18"/>
      <c r="Z775" s="17">
        <f>IF($N775="","",COUNT($N775:$S775))</f>
        <v/>
      </c>
      <c r="AA775" s="19">
        <f>IF($Z775="","",INT(INDEX($N775:$S775,$Z775)))</f>
        <v/>
      </c>
      <c r="AB775" s="19">
        <f>IF(OR($Z775="",$Z775=6),"",WORKDAY($AA775,CHOOSE($Z775,3,3,2,2,3),Holidays))</f>
        <v/>
      </c>
      <c r="AC775" s="17">
        <f>IF(OR($Z775="",$Z775=6),"",CHOOSE($Z775,"1st Email Follow-up","2nd Email Follow-up","Escalate Local Office","Escalate to CBE","Escalate to Roxanne"))</f>
        <v/>
      </c>
    </row>
    <row r="776" spans="13:29">
      <c r="M776" s="14"/>
      <c r="T776" s="16"/>
      <c r="U776" s="17">
        <f>IF(AND(COUNTA($A776:$L776)=0,$N776=""),"",IF($T776="Paid","PAID",IF($T776="Closed","CLOSED",IF($Z776="","",IF($Z776=6,"ESCALATED TO ROXANNE",IF(TODAY()&gt;$AB776,"OVERDUE",IF($AB776&lt;=WORKDAY(TODAY(),1,Holidays),"DUE TOMORROW",IF($Z776=4,"ESCALATED TO LOCAL OFFICE",IF($Z776=5,"ESCALATED TO CBE",IF($AA776=TODAY(),"EMAIL SENT","MONITORING"))))))))))</f>
        <v/>
      </c>
      <c r="V776" s="17">
        <f>IF($U776="",IF(AND(COUNTA($A776:$L776)&gt;0,$N776=""),"Awaiting Collection Email time stamp.",""),IF(OR($U776="PAID",$U776="CLOSED"),IF($U776="PAID","Account paid. Action completed.","Account closed. No further action required."),CHOOSE($Z776,"Collection Email","1st Email Follow-up","2nd Email Follow-up","Escalation to Local Office","Escalation to CBE","Escalation to Roxanne")&amp;" sent "&amp;TEXT($AA776,"dd-mmm")&amp;". "&amp;IF($Z776=6,"Final escalation completed.",IF($U776="OVERDUE","Next: "&amp;$AC776&amp;" was due "&amp;TEXT($AB776,"dd-mmm")&amp;" - "&amp;(NETWORKDAYS($AB776,TODAY(),Holidays)-1)&amp;" business day(s) late. Send now.",IF($U776="DUE TOMORROW","Next: "&amp;$AC776&amp;IF($AB776&lt;=TODAY()," is due TODAY ("," is due next business day (")&amp;TEXT($AB776,"dd-mmm")&amp;").","Next: "&amp;$AC776&amp;" due "&amp;TEXT($AB776,"dd-mmm")&amp;" ("&amp;(NETWORKDAYS(TODAY(),$AB776,Holidays)-1)&amp;" business day(s) left).")))))</f>
        <v/>
      </c>
      <c r="W776" s="17">
        <f>IF($Z776="","",CHOOSE($Z776,"Collection Email","1st Follow-up","2nd Follow-up","Local Office","CBE","Roxanne")&amp;IF($Z776=6," - Final"," - Day "&amp;MAX(0,NETWORKDAYS($AA776,TODAY(),Holidays)-1)&amp;" of "&amp;CHOOSE($Z776,3,3,2,2,3))&amp;" | Total Day "&amp;MAX(0,NETWORKDAYS($N776,TODAY(),Holidays)-1))</f>
        <v/>
      </c>
      <c r="X776" s="18"/>
      <c r="Y776" s="18"/>
      <c r="Z776" s="17">
        <f>IF($N776="","",COUNT($N776:$S776))</f>
        <v/>
      </c>
      <c r="AA776" s="19">
        <f>IF($Z776="","",INT(INDEX($N776:$S776,$Z776)))</f>
        <v/>
      </c>
      <c r="AB776" s="19">
        <f>IF(OR($Z776="",$Z776=6),"",WORKDAY($AA776,CHOOSE($Z776,3,3,2,2,3),Holidays))</f>
        <v/>
      </c>
      <c r="AC776" s="17">
        <f>IF(OR($Z776="",$Z776=6),"",CHOOSE($Z776,"1st Email Follow-up","2nd Email Follow-up","Escalate Local Office","Escalate to CBE","Escalate to Roxanne"))</f>
        <v/>
      </c>
    </row>
    <row r="777" spans="13:29">
      <c r="M777" s="14"/>
      <c r="T777" s="16"/>
      <c r="U777" s="17">
        <f>IF(AND(COUNTA($A777:$L777)=0,$N777=""),"",IF($T777="Paid","PAID",IF($T777="Closed","CLOSED",IF($Z777="","",IF($Z777=6,"ESCALATED TO ROXANNE",IF(TODAY()&gt;$AB777,"OVERDUE",IF($AB777&lt;=WORKDAY(TODAY(),1,Holidays),"DUE TOMORROW",IF($Z777=4,"ESCALATED TO LOCAL OFFICE",IF($Z777=5,"ESCALATED TO CBE",IF($AA777=TODAY(),"EMAIL SENT","MONITORING"))))))))))</f>
        <v/>
      </c>
      <c r="V777" s="17">
        <f>IF($U777="",IF(AND(COUNTA($A777:$L777)&gt;0,$N777=""),"Awaiting Collection Email time stamp.",""),IF(OR($U777="PAID",$U777="CLOSED"),IF($U777="PAID","Account paid. Action completed.","Account closed. No further action required."),CHOOSE($Z777,"Collection Email","1st Email Follow-up","2nd Email Follow-up","Escalation to Local Office","Escalation to CBE","Escalation to Roxanne")&amp;" sent "&amp;TEXT($AA777,"dd-mmm")&amp;". "&amp;IF($Z777=6,"Final escalation completed.",IF($U777="OVERDUE","Next: "&amp;$AC777&amp;" was due "&amp;TEXT($AB777,"dd-mmm")&amp;" - "&amp;(NETWORKDAYS($AB777,TODAY(),Holidays)-1)&amp;" business day(s) late. Send now.",IF($U777="DUE TOMORROW","Next: "&amp;$AC777&amp;IF($AB777&lt;=TODAY()," is due TODAY ("," is due next business day (")&amp;TEXT($AB777,"dd-mmm")&amp;").","Next: "&amp;$AC777&amp;" due "&amp;TEXT($AB777,"dd-mmm")&amp;" ("&amp;(NETWORKDAYS(TODAY(),$AB777,Holidays)-1)&amp;" business day(s) left).")))))</f>
        <v/>
      </c>
      <c r="W777" s="17">
        <f>IF($Z777="","",CHOOSE($Z777,"Collection Email","1st Follow-up","2nd Follow-up","Local Office","CBE","Roxanne")&amp;IF($Z777=6," - Final"," - Day "&amp;MAX(0,NETWORKDAYS($AA777,TODAY(),Holidays)-1)&amp;" of "&amp;CHOOSE($Z777,3,3,2,2,3))&amp;" | Total Day "&amp;MAX(0,NETWORKDAYS($N777,TODAY(),Holidays)-1))</f>
        <v/>
      </c>
      <c r="X777" s="18"/>
      <c r="Y777" s="18"/>
      <c r="Z777" s="17">
        <f>IF($N777="","",COUNT($N777:$S777))</f>
        <v/>
      </c>
      <c r="AA777" s="19">
        <f>IF($Z777="","",INT(INDEX($N777:$S777,$Z777)))</f>
        <v/>
      </c>
      <c r="AB777" s="19">
        <f>IF(OR($Z777="",$Z777=6),"",WORKDAY($AA777,CHOOSE($Z777,3,3,2,2,3),Holidays))</f>
        <v/>
      </c>
      <c r="AC777" s="17">
        <f>IF(OR($Z777="",$Z777=6),"",CHOOSE($Z777,"1st Email Follow-up","2nd Email Follow-up","Escalate Local Office","Escalate to CBE","Escalate to Roxanne"))</f>
        <v/>
      </c>
    </row>
    <row r="778" spans="13:29">
      <c r="M778" s="14"/>
      <c r="T778" s="16"/>
      <c r="U778" s="17">
        <f>IF(AND(COUNTA($A778:$L778)=0,$N778=""),"",IF($T778="Paid","PAID",IF($T778="Closed","CLOSED",IF($Z778="","",IF($Z778=6,"ESCALATED TO ROXANNE",IF(TODAY()&gt;$AB778,"OVERDUE",IF($AB778&lt;=WORKDAY(TODAY(),1,Holidays),"DUE TOMORROW",IF($Z778=4,"ESCALATED TO LOCAL OFFICE",IF($Z778=5,"ESCALATED TO CBE",IF($AA778=TODAY(),"EMAIL SENT","MONITORING"))))))))))</f>
        <v/>
      </c>
      <c r="V778" s="17">
        <f>IF($U778="",IF(AND(COUNTA($A778:$L778)&gt;0,$N778=""),"Awaiting Collection Email time stamp.",""),IF(OR($U778="PAID",$U778="CLOSED"),IF($U778="PAID","Account paid. Action completed.","Account closed. No further action required."),CHOOSE($Z778,"Collection Email","1st Email Follow-up","2nd Email Follow-up","Escalation to Local Office","Escalation to CBE","Escalation to Roxanne")&amp;" sent "&amp;TEXT($AA778,"dd-mmm")&amp;". "&amp;IF($Z778=6,"Final escalation completed.",IF($U778="OVERDUE","Next: "&amp;$AC778&amp;" was due "&amp;TEXT($AB778,"dd-mmm")&amp;" - "&amp;(NETWORKDAYS($AB778,TODAY(),Holidays)-1)&amp;" business day(s) late. Send now.",IF($U778="DUE TOMORROW","Next: "&amp;$AC778&amp;IF($AB778&lt;=TODAY()," is due TODAY ("," is due next business day (")&amp;TEXT($AB778,"dd-mmm")&amp;").","Next: "&amp;$AC778&amp;" due "&amp;TEXT($AB778,"dd-mmm")&amp;" ("&amp;(NETWORKDAYS(TODAY(),$AB778,Holidays)-1)&amp;" business day(s) left).")))))</f>
        <v/>
      </c>
      <c r="W778" s="17">
        <f>IF($Z778="","",CHOOSE($Z778,"Collection Email","1st Follow-up","2nd Follow-up","Local Office","CBE","Roxanne")&amp;IF($Z778=6," - Final"," - Day "&amp;MAX(0,NETWORKDAYS($AA778,TODAY(),Holidays)-1)&amp;" of "&amp;CHOOSE($Z778,3,3,2,2,3))&amp;" | Total Day "&amp;MAX(0,NETWORKDAYS($N778,TODAY(),Holidays)-1))</f>
        <v/>
      </c>
      <c r="X778" s="18"/>
      <c r="Y778" s="18"/>
      <c r="Z778" s="17">
        <f>IF($N778="","",COUNT($N778:$S778))</f>
        <v/>
      </c>
      <c r="AA778" s="19">
        <f>IF($Z778="","",INT(INDEX($N778:$S778,$Z778)))</f>
        <v/>
      </c>
      <c r="AB778" s="19">
        <f>IF(OR($Z778="",$Z778=6),"",WORKDAY($AA778,CHOOSE($Z778,3,3,2,2,3),Holidays))</f>
        <v/>
      </c>
      <c r="AC778" s="17">
        <f>IF(OR($Z778="",$Z778=6),"",CHOOSE($Z778,"1st Email Follow-up","2nd Email Follow-up","Escalate Local Office","Escalate to CBE","Escalate to Roxanne"))</f>
        <v/>
      </c>
    </row>
    <row r="779" spans="13:29">
      <c r="M779" s="14"/>
      <c r="T779" s="16"/>
      <c r="U779" s="17">
        <f>IF(AND(COUNTA($A779:$L779)=0,$N779=""),"",IF($T779="Paid","PAID",IF($T779="Closed","CLOSED",IF($Z779="","",IF($Z779=6,"ESCALATED TO ROXANNE",IF(TODAY()&gt;$AB779,"OVERDUE",IF($AB779&lt;=WORKDAY(TODAY(),1,Holidays),"DUE TOMORROW",IF($Z779=4,"ESCALATED TO LOCAL OFFICE",IF($Z779=5,"ESCALATED TO CBE",IF($AA779=TODAY(),"EMAIL SENT","MONITORING"))))))))))</f>
        <v/>
      </c>
      <c r="V779" s="17">
        <f>IF($U779="",IF(AND(COUNTA($A779:$L779)&gt;0,$N779=""),"Awaiting Collection Email time stamp.",""),IF(OR($U779="PAID",$U779="CLOSED"),IF($U779="PAID","Account paid. Action completed.","Account closed. No further action required."),CHOOSE($Z779,"Collection Email","1st Email Follow-up","2nd Email Follow-up","Escalation to Local Office","Escalation to CBE","Escalation to Roxanne")&amp;" sent "&amp;TEXT($AA779,"dd-mmm")&amp;". "&amp;IF($Z779=6,"Final escalation completed.",IF($U779="OVERDUE","Next: "&amp;$AC779&amp;" was due "&amp;TEXT($AB779,"dd-mmm")&amp;" - "&amp;(NETWORKDAYS($AB779,TODAY(),Holidays)-1)&amp;" business day(s) late. Send now.",IF($U779="DUE TOMORROW","Next: "&amp;$AC779&amp;IF($AB779&lt;=TODAY()," is due TODAY ("," is due next business day (")&amp;TEXT($AB779,"dd-mmm")&amp;").","Next: "&amp;$AC779&amp;" due "&amp;TEXT($AB779,"dd-mmm")&amp;" ("&amp;(NETWORKDAYS(TODAY(),$AB779,Holidays)-1)&amp;" business day(s) left).")))))</f>
        <v/>
      </c>
      <c r="W779" s="17">
        <f>IF($Z779="","",CHOOSE($Z779,"Collection Email","1st Follow-up","2nd Follow-up","Local Office","CBE","Roxanne")&amp;IF($Z779=6," - Final"," - Day "&amp;MAX(0,NETWORKDAYS($AA779,TODAY(),Holidays)-1)&amp;" of "&amp;CHOOSE($Z779,3,3,2,2,3))&amp;" | Total Day "&amp;MAX(0,NETWORKDAYS($N779,TODAY(),Holidays)-1))</f>
        <v/>
      </c>
      <c r="X779" s="18"/>
      <c r="Y779" s="18"/>
      <c r="Z779" s="17">
        <f>IF($N779="","",COUNT($N779:$S779))</f>
        <v/>
      </c>
      <c r="AA779" s="19">
        <f>IF($Z779="","",INT(INDEX($N779:$S779,$Z779)))</f>
        <v/>
      </c>
      <c r="AB779" s="19">
        <f>IF(OR($Z779="",$Z779=6),"",WORKDAY($AA779,CHOOSE($Z779,3,3,2,2,3),Holidays))</f>
        <v/>
      </c>
      <c r="AC779" s="17">
        <f>IF(OR($Z779="",$Z779=6),"",CHOOSE($Z779,"1st Email Follow-up","2nd Email Follow-up","Escalate Local Office","Escalate to CBE","Escalate to Roxanne"))</f>
        <v/>
      </c>
    </row>
    <row r="780" spans="13:29">
      <c r="M780" s="14"/>
      <c r="T780" s="16"/>
      <c r="U780" s="17">
        <f>IF(AND(COUNTA($A780:$L780)=0,$N780=""),"",IF($T780="Paid","PAID",IF($T780="Closed","CLOSED",IF($Z780="","",IF($Z780=6,"ESCALATED TO ROXANNE",IF(TODAY()&gt;$AB780,"OVERDUE",IF($AB780&lt;=WORKDAY(TODAY(),1,Holidays),"DUE TOMORROW",IF($Z780=4,"ESCALATED TO LOCAL OFFICE",IF($Z780=5,"ESCALATED TO CBE",IF($AA780=TODAY(),"EMAIL SENT","MONITORING"))))))))))</f>
        <v/>
      </c>
      <c r="V780" s="17">
        <f>IF($U780="",IF(AND(COUNTA($A780:$L780)&gt;0,$N780=""),"Awaiting Collection Email time stamp.",""),IF(OR($U780="PAID",$U780="CLOSED"),IF($U780="PAID","Account paid. Action completed.","Account closed. No further action required."),CHOOSE($Z780,"Collection Email","1st Email Follow-up","2nd Email Follow-up","Escalation to Local Office","Escalation to CBE","Escalation to Roxanne")&amp;" sent "&amp;TEXT($AA780,"dd-mmm")&amp;". "&amp;IF($Z780=6,"Final escalation completed.",IF($U780="OVERDUE","Next: "&amp;$AC780&amp;" was due "&amp;TEXT($AB780,"dd-mmm")&amp;" - "&amp;(NETWORKDAYS($AB780,TODAY(),Holidays)-1)&amp;" business day(s) late. Send now.",IF($U780="DUE TOMORROW","Next: "&amp;$AC780&amp;IF($AB780&lt;=TODAY()," is due TODAY ("," is due next business day (")&amp;TEXT($AB780,"dd-mmm")&amp;").","Next: "&amp;$AC780&amp;" due "&amp;TEXT($AB780,"dd-mmm")&amp;" ("&amp;(NETWORKDAYS(TODAY(),$AB780,Holidays)-1)&amp;" business day(s) left).")))))</f>
        <v/>
      </c>
      <c r="W780" s="17">
        <f>IF($Z780="","",CHOOSE($Z780,"Collection Email","1st Follow-up","2nd Follow-up","Local Office","CBE","Roxanne")&amp;IF($Z780=6," - Final"," - Day "&amp;MAX(0,NETWORKDAYS($AA780,TODAY(),Holidays)-1)&amp;" of "&amp;CHOOSE($Z780,3,3,2,2,3))&amp;" | Total Day "&amp;MAX(0,NETWORKDAYS($N780,TODAY(),Holidays)-1))</f>
        <v/>
      </c>
      <c r="X780" s="18"/>
      <c r="Y780" s="18"/>
      <c r="Z780" s="17">
        <f>IF($N780="","",COUNT($N780:$S780))</f>
        <v/>
      </c>
      <c r="AA780" s="19">
        <f>IF($Z780="","",INT(INDEX($N780:$S780,$Z780)))</f>
        <v/>
      </c>
      <c r="AB780" s="19">
        <f>IF(OR($Z780="",$Z780=6),"",WORKDAY($AA780,CHOOSE($Z780,3,3,2,2,3),Holidays))</f>
        <v/>
      </c>
      <c r="AC780" s="17">
        <f>IF(OR($Z780="",$Z780=6),"",CHOOSE($Z780,"1st Email Follow-up","2nd Email Follow-up","Escalate Local Office","Escalate to CBE","Escalate to Roxanne"))</f>
        <v/>
      </c>
    </row>
    <row r="781" spans="13:29">
      <c r="M781" s="14"/>
      <c r="T781" s="16"/>
      <c r="U781" s="17">
        <f>IF(AND(COUNTA($A781:$L781)=0,$N781=""),"",IF($T781="Paid","PAID",IF($T781="Closed","CLOSED",IF($Z781="","",IF($Z781=6,"ESCALATED TO ROXANNE",IF(TODAY()&gt;$AB781,"OVERDUE",IF($AB781&lt;=WORKDAY(TODAY(),1,Holidays),"DUE TOMORROW",IF($Z781=4,"ESCALATED TO LOCAL OFFICE",IF($Z781=5,"ESCALATED TO CBE",IF($AA781=TODAY(),"EMAIL SENT","MONITORING"))))))))))</f>
        <v/>
      </c>
      <c r="V781" s="17">
        <f>IF($U781="",IF(AND(COUNTA($A781:$L781)&gt;0,$N781=""),"Awaiting Collection Email time stamp.",""),IF(OR($U781="PAID",$U781="CLOSED"),IF($U781="PAID","Account paid. Action completed.","Account closed. No further action required."),CHOOSE($Z781,"Collection Email","1st Email Follow-up","2nd Email Follow-up","Escalation to Local Office","Escalation to CBE","Escalation to Roxanne")&amp;" sent "&amp;TEXT($AA781,"dd-mmm")&amp;". "&amp;IF($Z781=6,"Final escalation completed.",IF($U781="OVERDUE","Next: "&amp;$AC781&amp;" was due "&amp;TEXT($AB781,"dd-mmm")&amp;" - "&amp;(NETWORKDAYS($AB781,TODAY(),Holidays)-1)&amp;" business day(s) late. Send now.",IF($U781="DUE TOMORROW","Next: "&amp;$AC781&amp;IF($AB781&lt;=TODAY()," is due TODAY ("," is due next business day (")&amp;TEXT($AB781,"dd-mmm")&amp;").","Next: "&amp;$AC781&amp;" due "&amp;TEXT($AB781,"dd-mmm")&amp;" ("&amp;(NETWORKDAYS(TODAY(),$AB781,Holidays)-1)&amp;" business day(s) left).")))))</f>
        <v/>
      </c>
      <c r="W781" s="17">
        <f>IF($Z781="","",CHOOSE($Z781,"Collection Email","1st Follow-up","2nd Follow-up","Local Office","CBE","Roxanne")&amp;IF($Z781=6," - Final"," - Day "&amp;MAX(0,NETWORKDAYS($AA781,TODAY(),Holidays)-1)&amp;" of "&amp;CHOOSE($Z781,3,3,2,2,3))&amp;" | Total Day "&amp;MAX(0,NETWORKDAYS($N781,TODAY(),Holidays)-1))</f>
        <v/>
      </c>
      <c r="X781" s="18"/>
      <c r="Y781" s="18"/>
      <c r="Z781" s="17">
        <f>IF($N781="","",COUNT($N781:$S781))</f>
        <v/>
      </c>
      <c r="AA781" s="19">
        <f>IF($Z781="","",INT(INDEX($N781:$S781,$Z781)))</f>
        <v/>
      </c>
      <c r="AB781" s="19">
        <f>IF(OR($Z781="",$Z781=6),"",WORKDAY($AA781,CHOOSE($Z781,3,3,2,2,3),Holidays))</f>
        <v/>
      </c>
      <c r="AC781" s="17">
        <f>IF(OR($Z781="",$Z781=6),"",CHOOSE($Z781,"1st Email Follow-up","2nd Email Follow-up","Escalate Local Office","Escalate to CBE","Escalate to Roxanne"))</f>
        <v/>
      </c>
    </row>
    <row r="782" spans="13:29">
      <c r="M782" s="14"/>
      <c r="T782" s="16"/>
      <c r="U782" s="17">
        <f>IF(AND(COUNTA($A782:$L782)=0,$N782=""),"",IF($T782="Paid","PAID",IF($T782="Closed","CLOSED",IF($Z782="","",IF($Z782=6,"ESCALATED TO ROXANNE",IF(TODAY()&gt;$AB782,"OVERDUE",IF($AB782&lt;=WORKDAY(TODAY(),1,Holidays),"DUE TOMORROW",IF($Z782=4,"ESCALATED TO LOCAL OFFICE",IF($Z782=5,"ESCALATED TO CBE",IF($AA782=TODAY(),"EMAIL SENT","MONITORING"))))))))))</f>
        <v/>
      </c>
      <c r="V782" s="17">
        <f>IF($U782="",IF(AND(COUNTA($A782:$L782)&gt;0,$N782=""),"Awaiting Collection Email time stamp.",""),IF(OR($U782="PAID",$U782="CLOSED"),IF($U782="PAID","Account paid. Action completed.","Account closed. No further action required."),CHOOSE($Z782,"Collection Email","1st Email Follow-up","2nd Email Follow-up","Escalation to Local Office","Escalation to CBE","Escalation to Roxanne")&amp;" sent "&amp;TEXT($AA782,"dd-mmm")&amp;". "&amp;IF($Z782=6,"Final escalation completed.",IF($U782="OVERDUE","Next: "&amp;$AC782&amp;" was due "&amp;TEXT($AB782,"dd-mmm")&amp;" - "&amp;(NETWORKDAYS($AB782,TODAY(),Holidays)-1)&amp;" business day(s) late. Send now.",IF($U782="DUE TOMORROW","Next: "&amp;$AC782&amp;IF($AB782&lt;=TODAY()," is due TODAY ("," is due next business day (")&amp;TEXT($AB782,"dd-mmm")&amp;").","Next: "&amp;$AC782&amp;" due "&amp;TEXT($AB782,"dd-mmm")&amp;" ("&amp;(NETWORKDAYS(TODAY(),$AB782,Holidays)-1)&amp;" business day(s) left).")))))</f>
        <v/>
      </c>
      <c r="W782" s="17">
        <f>IF($Z782="","",CHOOSE($Z782,"Collection Email","1st Follow-up","2nd Follow-up","Local Office","CBE","Roxanne")&amp;IF($Z782=6," - Final"," - Day "&amp;MAX(0,NETWORKDAYS($AA782,TODAY(),Holidays)-1)&amp;" of "&amp;CHOOSE($Z782,3,3,2,2,3))&amp;" | Total Day "&amp;MAX(0,NETWORKDAYS($N782,TODAY(),Holidays)-1))</f>
        <v/>
      </c>
      <c r="X782" s="18"/>
      <c r="Y782" s="18"/>
      <c r="Z782" s="17">
        <f>IF($N782="","",COUNT($N782:$S782))</f>
        <v/>
      </c>
      <c r="AA782" s="19">
        <f>IF($Z782="","",INT(INDEX($N782:$S782,$Z782)))</f>
        <v/>
      </c>
      <c r="AB782" s="19">
        <f>IF(OR($Z782="",$Z782=6),"",WORKDAY($AA782,CHOOSE($Z782,3,3,2,2,3),Holidays))</f>
        <v/>
      </c>
      <c r="AC782" s="17">
        <f>IF(OR($Z782="",$Z782=6),"",CHOOSE($Z782,"1st Email Follow-up","2nd Email Follow-up","Escalate Local Office","Escalate to CBE","Escalate to Roxanne"))</f>
        <v/>
      </c>
    </row>
    <row r="783" spans="13:29">
      <c r="M783" s="14"/>
      <c r="T783" s="16"/>
      <c r="U783" s="17">
        <f>IF(AND(COUNTA($A783:$L783)=0,$N783=""),"",IF($T783="Paid","PAID",IF($T783="Closed","CLOSED",IF($Z783="","",IF($Z783=6,"ESCALATED TO ROXANNE",IF(TODAY()&gt;$AB783,"OVERDUE",IF($AB783&lt;=WORKDAY(TODAY(),1,Holidays),"DUE TOMORROW",IF($Z783=4,"ESCALATED TO LOCAL OFFICE",IF($Z783=5,"ESCALATED TO CBE",IF($AA783=TODAY(),"EMAIL SENT","MONITORING"))))))))))</f>
        <v/>
      </c>
      <c r="V783" s="17">
        <f>IF($U783="",IF(AND(COUNTA($A783:$L783)&gt;0,$N783=""),"Awaiting Collection Email time stamp.",""),IF(OR($U783="PAID",$U783="CLOSED"),IF($U783="PAID","Account paid. Action completed.","Account closed. No further action required."),CHOOSE($Z783,"Collection Email","1st Email Follow-up","2nd Email Follow-up","Escalation to Local Office","Escalation to CBE","Escalation to Roxanne")&amp;" sent "&amp;TEXT($AA783,"dd-mmm")&amp;". "&amp;IF($Z783=6,"Final escalation completed.",IF($U783="OVERDUE","Next: "&amp;$AC783&amp;" was due "&amp;TEXT($AB783,"dd-mmm")&amp;" - "&amp;(NETWORKDAYS($AB783,TODAY(),Holidays)-1)&amp;" business day(s) late. Send now.",IF($U783="DUE TOMORROW","Next: "&amp;$AC783&amp;IF($AB783&lt;=TODAY()," is due TODAY ("," is due next business day (")&amp;TEXT($AB783,"dd-mmm")&amp;").","Next: "&amp;$AC783&amp;" due "&amp;TEXT($AB783,"dd-mmm")&amp;" ("&amp;(NETWORKDAYS(TODAY(),$AB783,Holidays)-1)&amp;" business day(s) left).")))))</f>
        <v/>
      </c>
      <c r="W783" s="17">
        <f>IF($Z783="","",CHOOSE($Z783,"Collection Email","1st Follow-up","2nd Follow-up","Local Office","CBE","Roxanne")&amp;IF($Z783=6," - Final"," - Day "&amp;MAX(0,NETWORKDAYS($AA783,TODAY(),Holidays)-1)&amp;" of "&amp;CHOOSE($Z783,3,3,2,2,3))&amp;" | Total Day "&amp;MAX(0,NETWORKDAYS($N783,TODAY(),Holidays)-1))</f>
        <v/>
      </c>
      <c r="X783" s="18"/>
      <c r="Y783" s="18"/>
      <c r="Z783" s="17">
        <f>IF($N783="","",COUNT($N783:$S783))</f>
        <v/>
      </c>
      <c r="AA783" s="19">
        <f>IF($Z783="","",INT(INDEX($N783:$S783,$Z783)))</f>
        <v/>
      </c>
      <c r="AB783" s="19">
        <f>IF(OR($Z783="",$Z783=6),"",WORKDAY($AA783,CHOOSE($Z783,3,3,2,2,3),Holidays))</f>
        <v/>
      </c>
      <c r="AC783" s="17">
        <f>IF(OR($Z783="",$Z783=6),"",CHOOSE($Z783,"1st Email Follow-up","2nd Email Follow-up","Escalate Local Office","Escalate to CBE","Escalate to Roxanne"))</f>
        <v/>
      </c>
    </row>
    <row r="784" spans="13:29">
      <c r="M784" s="14"/>
      <c r="T784" s="16"/>
      <c r="U784" s="17">
        <f>IF(AND(COUNTA($A784:$L784)=0,$N784=""),"",IF($T784="Paid","PAID",IF($T784="Closed","CLOSED",IF($Z784="","",IF($Z784=6,"ESCALATED TO ROXANNE",IF(TODAY()&gt;$AB784,"OVERDUE",IF($AB784&lt;=WORKDAY(TODAY(),1,Holidays),"DUE TOMORROW",IF($Z784=4,"ESCALATED TO LOCAL OFFICE",IF($Z784=5,"ESCALATED TO CBE",IF($AA784=TODAY(),"EMAIL SENT","MONITORING"))))))))))</f>
        <v/>
      </c>
      <c r="V784" s="17">
        <f>IF($U784="",IF(AND(COUNTA($A784:$L784)&gt;0,$N784=""),"Awaiting Collection Email time stamp.",""),IF(OR($U784="PAID",$U784="CLOSED"),IF($U784="PAID","Account paid. Action completed.","Account closed. No further action required."),CHOOSE($Z784,"Collection Email","1st Email Follow-up","2nd Email Follow-up","Escalation to Local Office","Escalation to CBE","Escalation to Roxanne")&amp;" sent "&amp;TEXT($AA784,"dd-mmm")&amp;". "&amp;IF($Z784=6,"Final escalation completed.",IF($U784="OVERDUE","Next: "&amp;$AC784&amp;" was due "&amp;TEXT($AB784,"dd-mmm")&amp;" - "&amp;(NETWORKDAYS($AB784,TODAY(),Holidays)-1)&amp;" business day(s) late. Send now.",IF($U784="DUE TOMORROW","Next: "&amp;$AC784&amp;IF($AB784&lt;=TODAY()," is due TODAY ("," is due next business day (")&amp;TEXT($AB784,"dd-mmm")&amp;").","Next: "&amp;$AC784&amp;" due "&amp;TEXT($AB784,"dd-mmm")&amp;" ("&amp;(NETWORKDAYS(TODAY(),$AB784,Holidays)-1)&amp;" business day(s) left).")))))</f>
        <v/>
      </c>
      <c r="W784" s="17">
        <f>IF($Z784="","",CHOOSE($Z784,"Collection Email","1st Follow-up","2nd Follow-up","Local Office","CBE","Roxanne")&amp;IF($Z784=6," - Final"," - Day "&amp;MAX(0,NETWORKDAYS($AA784,TODAY(),Holidays)-1)&amp;" of "&amp;CHOOSE($Z784,3,3,2,2,3))&amp;" | Total Day "&amp;MAX(0,NETWORKDAYS($N784,TODAY(),Holidays)-1))</f>
        <v/>
      </c>
      <c r="X784" s="18"/>
      <c r="Y784" s="18"/>
      <c r="Z784" s="17">
        <f>IF($N784="","",COUNT($N784:$S784))</f>
        <v/>
      </c>
      <c r="AA784" s="19">
        <f>IF($Z784="","",INT(INDEX($N784:$S784,$Z784)))</f>
        <v/>
      </c>
      <c r="AB784" s="19">
        <f>IF(OR($Z784="",$Z784=6),"",WORKDAY($AA784,CHOOSE($Z784,3,3,2,2,3),Holidays))</f>
        <v/>
      </c>
      <c r="AC784" s="17">
        <f>IF(OR($Z784="",$Z784=6),"",CHOOSE($Z784,"1st Email Follow-up","2nd Email Follow-up","Escalate Local Office","Escalate to CBE","Escalate to Roxanne"))</f>
        <v/>
      </c>
    </row>
    <row r="785" spans="13:29">
      <c r="M785" s="14"/>
      <c r="T785" s="16"/>
      <c r="U785" s="17">
        <f>IF(AND(COUNTA($A785:$L785)=0,$N785=""),"",IF($T785="Paid","PAID",IF($T785="Closed","CLOSED",IF($Z785="","",IF($Z785=6,"ESCALATED TO ROXANNE",IF(TODAY()&gt;$AB785,"OVERDUE",IF($AB785&lt;=WORKDAY(TODAY(),1,Holidays),"DUE TOMORROW",IF($Z785=4,"ESCALATED TO LOCAL OFFICE",IF($Z785=5,"ESCALATED TO CBE",IF($AA785=TODAY(),"EMAIL SENT","MONITORING"))))))))))</f>
        <v/>
      </c>
      <c r="V785" s="17">
        <f>IF($U785="",IF(AND(COUNTA($A785:$L785)&gt;0,$N785=""),"Awaiting Collection Email time stamp.",""),IF(OR($U785="PAID",$U785="CLOSED"),IF($U785="PAID","Account paid. Action completed.","Account closed. No further action required."),CHOOSE($Z785,"Collection Email","1st Email Follow-up","2nd Email Follow-up","Escalation to Local Office","Escalation to CBE","Escalation to Roxanne")&amp;" sent "&amp;TEXT($AA785,"dd-mmm")&amp;". "&amp;IF($Z785=6,"Final escalation completed.",IF($U785="OVERDUE","Next: "&amp;$AC785&amp;" was due "&amp;TEXT($AB785,"dd-mmm")&amp;" - "&amp;(NETWORKDAYS($AB785,TODAY(),Holidays)-1)&amp;" business day(s) late. Send now.",IF($U785="DUE TOMORROW","Next: "&amp;$AC785&amp;IF($AB785&lt;=TODAY()," is due TODAY ("," is due next business day (")&amp;TEXT($AB785,"dd-mmm")&amp;").","Next: "&amp;$AC785&amp;" due "&amp;TEXT($AB785,"dd-mmm")&amp;" ("&amp;(NETWORKDAYS(TODAY(),$AB785,Holidays)-1)&amp;" business day(s) left).")))))</f>
        <v/>
      </c>
      <c r="W785" s="17">
        <f>IF($Z785="","",CHOOSE($Z785,"Collection Email","1st Follow-up","2nd Follow-up","Local Office","CBE","Roxanne")&amp;IF($Z785=6," - Final"," - Day "&amp;MAX(0,NETWORKDAYS($AA785,TODAY(),Holidays)-1)&amp;" of "&amp;CHOOSE($Z785,3,3,2,2,3))&amp;" | Total Day "&amp;MAX(0,NETWORKDAYS($N785,TODAY(),Holidays)-1))</f>
        <v/>
      </c>
      <c r="X785" s="18"/>
      <c r="Y785" s="18"/>
      <c r="Z785" s="17">
        <f>IF($N785="","",COUNT($N785:$S785))</f>
        <v/>
      </c>
      <c r="AA785" s="19">
        <f>IF($Z785="","",INT(INDEX($N785:$S785,$Z785)))</f>
        <v/>
      </c>
      <c r="AB785" s="19">
        <f>IF(OR($Z785="",$Z785=6),"",WORKDAY($AA785,CHOOSE($Z785,3,3,2,2,3),Holidays))</f>
        <v/>
      </c>
      <c r="AC785" s="17">
        <f>IF(OR($Z785="",$Z785=6),"",CHOOSE($Z785,"1st Email Follow-up","2nd Email Follow-up","Escalate Local Office","Escalate to CBE","Escalate to Roxanne"))</f>
        <v/>
      </c>
    </row>
    <row r="786" spans="13:29">
      <c r="M786" s="14"/>
      <c r="T786" s="16"/>
      <c r="U786" s="17">
        <f>IF(AND(COUNTA($A786:$L786)=0,$N786=""),"",IF($T786="Paid","PAID",IF($T786="Closed","CLOSED",IF($Z786="","",IF($Z786=6,"ESCALATED TO ROXANNE",IF(TODAY()&gt;$AB786,"OVERDUE",IF($AB786&lt;=WORKDAY(TODAY(),1,Holidays),"DUE TOMORROW",IF($Z786=4,"ESCALATED TO LOCAL OFFICE",IF($Z786=5,"ESCALATED TO CBE",IF($AA786=TODAY(),"EMAIL SENT","MONITORING"))))))))))</f>
        <v/>
      </c>
      <c r="V786" s="17">
        <f>IF($U786="",IF(AND(COUNTA($A786:$L786)&gt;0,$N786=""),"Awaiting Collection Email time stamp.",""),IF(OR($U786="PAID",$U786="CLOSED"),IF($U786="PAID","Account paid. Action completed.","Account closed. No further action required."),CHOOSE($Z786,"Collection Email","1st Email Follow-up","2nd Email Follow-up","Escalation to Local Office","Escalation to CBE","Escalation to Roxanne")&amp;" sent "&amp;TEXT($AA786,"dd-mmm")&amp;". "&amp;IF($Z786=6,"Final escalation completed.",IF($U786="OVERDUE","Next: "&amp;$AC786&amp;" was due "&amp;TEXT($AB786,"dd-mmm")&amp;" - "&amp;(NETWORKDAYS($AB786,TODAY(),Holidays)-1)&amp;" business day(s) late. Send now.",IF($U786="DUE TOMORROW","Next: "&amp;$AC786&amp;IF($AB786&lt;=TODAY()," is due TODAY ("," is due next business day (")&amp;TEXT($AB786,"dd-mmm")&amp;").","Next: "&amp;$AC786&amp;" due "&amp;TEXT($AB786,"dd-mmm")&amp;" ("&amp;(NETWORKDAYS(TODAY(),$AB786,Holidays)-1)&amp;" business day(s) left).")))))</f>
        <v/>
      </c>
      <c r="W786" s="17">
        <f>IF($Z786="","",CHOOSE($Z786,"Collection Email","1st Follow-up","2nd Follow-up","Local Office","CBE","Roxanne")&amp;IF($Z786=6," - Final"," - Day "&amp;MAX(0,NETWORKDAYS($AA786,TODAY(),Holidays)-1)&amp;" of "&amp;CHOOSE($Z786,3,3,2,2,3))&amp;" | Total Day "&amp;MAX(0,NETWORKDAYS($N786,TODAY(),Holidays)-1))</f>
        <v/>
      </c>
      <c r="X786" s="18"/>
      <c r="Y786" s="18"/>
      <c r="Z786" s="17">
        <f>IF($N786="","",COUNT($N786:$S786))</f>
        <v/>
      </c>
      <c r="AA786" s="19">
        <f>IF($Z786="","",INT(INDEX($N786:$S786,$Z786)))</f>
        <v/>
      </c>
      <c r="AB786" s="19">
        <f>IF(OR($Z786="",$Z786=6),"",WORKDAY($AA786,CHOOSE($Z786,3,3,2,2,3),Holidays))</f>
        <v/>
      </c>
      <c r="AC786" s="17">
        <f>IF(OR($Z786="",$Z786=6),"",CHOOSE($Z786,"1st Email Follow-up","2nd Email Follow-up","Escalate Local Office","Escalate to CBE","Escalate to Roxanne"))</f>
        <v/>
      </c>
    </row>
    <row r="787" spans="13:29">
      <c r="M787" s="14"/>
      <c r="T787" s="16"/>
      <c r="U787" s="17">
        <f>IF(AND(COUNTA($A787:$L787)=0,$N787=""),"",IF($T787="Paid","PAID",IF($T787="Closed","CLOSED",IF($Z787="","",IF($Z787=6,"ESCALATED TO ROXANNE",IF(TODAY()&gt;$AB787,"OVERDUE",IF($AB787&lt;=WORKDAY(TODAY(),1,Holidays),"DUE TOMORROW",IF($Z787=4,"ESCALATED TO LOCAL OFFICE",IF($Z787=5,"ESCALATED TO CBE",IF($AA787=TODAY(),"EMAIL SENT","MONITORING"))))))))))</f>
        <v/>
      </c>
      <c r="V787" s="17">
        <f>IF($U787="",IF(AND(COUNTA($A787:$L787)&gt;0,$N787=""),"Awaiting Collection Email time stamp.",""),IF(OR($U787="PAID",$U787="CLOSED"),IF($U787="PAID","Account paid. Action completed.","Account closed. No further action required."),CHOOSE($Z787,"Collection Email","1st Email Follow-up","2nd Email Follow-up","Escalation to Local Office","Escalation to CBE","Escalation to Roxanne")&amp;" sent "&amp;TEXT($AA787,"dd-mmm")&amp;". "&amp;IF($Z787=6,"Final escalation completed.",IF($U787="OVERDUE","Next: "&amp;$AC787&amp;" was due "&amp;TEXT($AB787,"dd-mmm")&amp;" - "&amp;(NETWORKDAYS($AB787,TODAY(),Holidays)-1)&amp;" business day(s) late. Send now.",IF($U787="DUE TOMORROW","Next: "&amp;$AC787&amp;IF($AB787&lt;=TODAY()," is due TODAY ("," is due next business day (")&amp;TEXT($AB787,"dd-mmm")&amp;").","Next: "&amp;$AC787&amp;" due "&amp;TEXT($AB787,"dd-mmm")&amp;" ("&amp;(NETWORKDAYS(TODAY(),$AB787,Holidays)-1)&amp;" business day(s) left).")))))</f>
        <v/>
      </c>
      <c r="W787" s="17">
        <f>IF($Z787="","",CHOOSE($Z787,"Collection Email","1st Follow-up","2nd Follow-up","Local Office","CBE","Roxanne")&amp;IF($Z787=6," - Final"," - Day "&amp;MAX(0,NETWORKDAYS($AA787,TODAY(),Holidays)-1)&amp;" of "&amp;CHOOSE($Z787,3,3,2,2,3))&amp;" | Total Day "&amp;MAX(0,NETWORKDAYS($N787,TODAY(),Holidays)-1))</f>
        <v/>
      </c>
      <c r="X787" s="18"/>
      <c r="Y787" s="18"/>
      <c r="Z787" s="17">
        <f>IF($N787="","",COUNT($N787:$S787))</f>
        <v/>
      </c>
      <c r="AA787" s="19">
        <f>IF($Z787="","",INT(INDEX($N787:$S787,$Z787)))</f>
        <v/>
      </c>
      <c r="AB787" s="19">
        <f>IF(OR($Z787="",$Z787=6),"",WORKDAY($AA787,CHOOSE($Z787,3,3,2,2,3),Holidays))</f>
        <v/>
      </c>
      <c r="AC787" s="17">
        <f>IF(OR($Z787="",$Z787=6),"",CHOOSE($Z787,"1st Email Follow-up","2nd Email Follow-up","Escalate Local Office","Escalate to CBE","Escalate to Roxanne"))</f>
        <v/>
      </c>
    </row>
    <row r="788" spans="13:29">
      <c r="M788" s="14"/>
      <c r="T788" s="16"/>
      <c r="U788" s="17">
        <f>IF(AND(COUNTA($A788:$L788)=0,$N788=""),"",IF($T788="Paid","PAID",IF($T788="Closed","CLOSED",IF($Z788="","",IF($Z788=6,"ESCALATED TO ROXANNE",IF(TODAY()&gt;$AB788,"OVERDUE",IF($AB788&lt;=WORKDAY(TODAY(),1,Holidays),"DUE TOMORROW",IF($Z788=4,"ESCALATED TO LOCAL OFFICE",IF($Z788=5,"ESCALATED TO CBE",IF($AA788=TODAY(),"EMAIL SENT","MONITORING"))))))))))</f>
        <v/>
      </c>
      <c r="V788" s="17">
        <f>IF($U788="",IF(AND(COUNTA($A788:$L788)&gt;0,$N788=""),"Awaiting Collection Email time stamp.",""),IF(OR($U788="PAID",$U788="CLOSED"),IF($U788="PAID","Account paid. Action completed.","Account closed. No further action required."),CHOOSE($Z788,"Collection Email","1st Email Follow-up","2nd Email Follow-up","Escalation to Local Office","Escalation to CBE","Escalation to Roxanne")&amp;" sent "&amp;TEXT($AA788,"dd-mmm")&amp;". "&amp;IF($Z788=6,"Final escalation completed.",IF($U788="OVERDUE","Next: "&amp;$AC788&amp;" was due "&amp;TEXT($AB788,"dd-mmm")&amp;" - "&amp;(NETWORKDAYS($AB788,TODAY(),Holidays)-1)&amp;" business day(s) late. Send now.",IF($U788="DUE TOMORROW","Next: "&amp;$AC788&amp;IF($AB788&lt;=TODAY()," is due TODAY ("," is due next business day (")&amp;TEXT($AB788,"dd-mmm")&amp;").","Next: "&amp;$AC788&amp;" due "&amp;TEXT($AB788,"dd-mmm")&amp;" ("&amp;(NETWORKDAYS(TODAY(),$AB788,Holidays)-1)&amp;" business day(s) left).")))))</f>
        <v/>
      </c>
      <c r="W788" s="17">
        <f>IF($Z788="","",CHOOSE($Z788,"Collection Email","1st Follow-up","2nd Follow-up","Local Office","CBE","Roxanne")&amp;IF($Z788=6," - Final"," - Day "&amp;MAX(0,NETWORKDAYS($AA788,TODAY(),Holidays)-1)&amp;" of "&amp;CHOOSE($Z788,3,3,2,2,3))&amp;" | Total Day "&amp;MAX(0,NETWORKDAYS($N788,TODAY(),Holidays)-1))</f>
        <v/>
      </c>
      <c r="X788" s="18"/>
      <c r="Y788" s="18"/>
      <c r="Z788" s="17">
        <f>IF($N788="","",COUNT($N788:$S788))</f>
        <v/>
      </c>
      <c r="AA788" s="19">
        <f>IF($Z788="","",INT(INDEX($N788:$S788,$Z788)))</f>
        <v/>
      </c>
      <c r="AB788" s="19">
        <f>IF(OR($Z788="",$Z788=6),"",WORKDAY($AA788,CHOOSE($Z788,3,3,2,2,3),Holidays))</f>
        <v/>
      </c>
      <c r="AC788" s="17">
        <f>IF(OR($Z788="",$Z788=6),"",CHOOSE($Z788,"1st Email Follow-up","2nd Email Follow-up","Escalate Local Office","Escalate to CBE","Escalate to Roxanne"))</f>
        <v/>
      </c>
    </row>
    <row r="789" spans="13:29">
      <c r="M789" s="14"/>
      <c r="T789" s="16"/>
      <c r="U789" s="17">
        <f>IF(AND(COUNTA($A789:$L789)=0,$N789=""),"",IF($T789="Paid","PAID",IF($T789="Closed","CLOSED",IF($Z789="","",IF($Z789=6,"ESCALATED TO ROXANNE",IF(TODAY()&gt;$AB789,"OVERDUE",IF($AB789&lt;=WORKDAY(TODAY(),1,Holidays),"DUE TOMORROW",IF($Z789=4,"ESCALATED TO LOCAL OFFICE",IF($Z789=5,"ESCALATED TO CBE",IF($AA789=TODAY(),"EMAIL SENT","MONITORING"))))))))))</f>
        <v/>
      </c>
      <c r="V789" s="17">
        <f>IF($U789="",IF(AND(COUNTA($A789:$L789)&gt;0,$N789=""),"Awaiting Collection Email time stamp.",""),IF(OR($U789="PAID",$U789="CLOSED"),IF($U789="PAID","Account paid. Action completed.","Account closed. No further action required."),CHOOSE($Z789,"Collection Email","1st Email Follow-up","2nd Email Follow-up","Escalation to Local Office","Escalation to CBE","Escalation to Roxanne")&amp;" sent "&amp;TEXT($AA789,"dd-mmm")&amp;". "&amp;IF($Z789=6,"Final escalation completed.",IF($U789="OVERDUE","Next: "&amp;$AC789&amp;" was due "&amp;TEXT($AB789,"dd-mmm")&amp;" - "&amp;(NETWORKDAYS($AB789,TODAY(),Holidays)-1)&amp;" business day(s) late. Send now.",IF($U789="DUE TOMORROW","Next: "&amp;$AC789&amp;IF($AB789&lt;=TODAY()," is due TODAY ("," is due next business day (")&amp;TEXT($AB789,"dd-mmm")&amp;").","Next: "&amp;$AC789&amp;" due "&amp;TEXT($AB789,"dd-mmm")&amp;" ("&amp;(NETWORKDAYS(TODAY(),$AB789,Holidays)-1)&amp;" business day(s) left).")))))</f>
        <v/>
      </c>
      <c r="W789" s="17">
        <f>IF($Z789="","",CHOOSE($Z789,"Collection Email","1st Follow-up","2nd Follow-up","Local Office","CBE","Roxanne")&amp;IF($Z789=6," - Final"," - Day "&amp;MAX(0,NETWORKDAYS($AA789,TODAY(),Holidays)-1)&amp;" of "&amp;CHOOSE($Z789,3,3,2,2,3))&amp;" | Total Day "&amp;MAX(0,NETWORKDAYS($N789,TODAY(),Holidays)-1))</f>
        <v/>
      </c>
      <c r="X789" s="18"/>
      <c r="Y789" s="18"/>
      <c r="Z789" s="17">
        <f>IF($N789="","",COUNT($N789:$S789))</f>
        <v/>
      </c>
      <c r="AA789" s="19">
        <f>IF($Z789="","",INT(INDEX($N789:$S789,$Z789)))</f>
        <v/>
      </c>
      <c r="AB789" s="19">
        <f>IF(OR($Z789="",$Z789=6),"",WORKDAY($AA789,CHOOSE($Z789,3,3,2,2,3),Holidays))</f>
        <v/>
      </c>
      <c r="AC789" s="17">
        <f>IF(OR($Z789="",$Z789=6),"",CHOOSE($Z789,"1st Email Follow-up","2nd Email Follow-up","Escalate Local Office","Escalate to CBE","Escalate to Roxanne"))</f>
        <v/>
      </c>
    </row>
    <row r="790" spans="13:29">
      <c r="M790" s="14"/>
      <c r="T790" s="16"/>
      <c r="U790" s="17">
        <f>IF(AND(COUNTA($A790:$L790)=0,$N790=""),"",IF($T790="Paid","PAID",IF($T790="Closed","CLOSED",IF($Z790="","",IF($Z790=6,"ESCALATED TO ROXANNE",IF(TODAY()&gt;$AB790,"OVERDUE",IF($AB790&lt;=WORKDAY(TODAY(),1,Holidays),"DUE TOMORROW",IF($Z790=4,"ESCALATED TO LOCAL OFFICE",IF($Z790=5,"ESCALATED TO CBE",IF($AA790=TODAY(),"EMAIL SENT","MONITORING"))))))))))</f>
        <v/>
      </c>
      <c r="V790" s="17">
        <f>IF($U790="",IF(AND(COUNTA($A790:$L790)&gt;0,$N790=""),"Awaiting Collection Email time stamp.",""),IF(OR($U790="PAID",$U790="CLOSED"),IF($U790="PAID","Account paid. Action completed.","Account closed. No further action required."),CHOOSE($Z790,"Collection Email","1st Email Follow-up","2nd Email Follow-up","Escalation to Local Office","Escalation to CBE","Escalation to Roxanne")&amp;" sent "&amp;TEXT($AA790,"dd-mmm")&amp;". "&amp;IF($Z790=6,"Final escalation completed.",IF($U790="OVERDUE","Next: "&amp;$AC790&amp;" was due "&amp;TEXT($AB790,"dd-mmm")&amp;" - "&amp;(NETWORKDAYS($AB790,TODAY(),Holidays)-1)&amp;" business day(s) late. Send now.",IF($U790="DUE TOMORROW","Next: "&amp;$AC790&amp;IF($AB790&lt;=TODAY()," is due TODAY ("," is due next business day (")&amp;TEXT($AB790,"dd-mmm")&amp;").","Next: "&amp;$AC790&amp;" due "&amp;TEXT($AB790,"dd-mmm")&amp;" ("&amp;(NETWORKDAYS(TODAY(),$AB790,Holidays)-1)&amp;" business day(s) left).")))))</f>
        <v/>
      </c>
      <c r="W790" s="17">
        <f>IF($Z790="","",CHOOSE($Z790,"Collection Email","1st Follow-up","2nd Follow-up","Local Office","CBE","Roxanne")&amp;IF($Z790=6," - Final"," - Day "&amp;MAX(0,NETWORKDAYS($AA790,TODAY(),Holidays)-1)&amp;" of "&amp;CHOOSE($Z790,3,3,2,2,3))&amp;" | Total Day "&amp;MAX(0,NETWORKDAYS($N790,TODAY(),Holidays)-1))</f>
        <v/>
      </c>
      <c r="X790" s="18"/>
      <c r="Y790" s="18"/>
      <c r="Z790" s="17">
        <f>IF($N790="","",COUNT($N790:$S790))</f>
        <v/>
      </c>
      <c r="AA790" s="19">
        <f>IF($Z790="","",INT(INDEX($N790:$S790,$Z790)))</f>
        <v/>
      </c>
      <c r="AB790" s="19">
        <f>IF(OR($Z790="",$Z790=6),"",WORKDAY($AA790,CHOOSE($Z790,3,3,2,2,3),Holidays))</f>
        <v/>
      </c>
      <c r="AC790" s="17">
        <f>IF(OR($Z790="",$Z790=6),"",CHOOSE($Z790,"1st Email Follow-up","2nd Email Follow-up","Escalate Local Office","Escalate to CBE","Escalate to Roxanne"))</f>
        <v/>
      </c>
    </row>
    <row r="791" spans="13:29">
      <c r="M791" s="14"/>
      <c r="T791" s="16"/>
      <c r="U791" s="17">
        <f>IF(AND(COUNTA($A791:$L791)=0,$N791=""),"",IF($T791="Paid","PAID",IF($T791="Closed","CLOSED",IF($Z791="","",IF($Z791=6,"ESCALATED TO ROXANNE",IF(TODAY()&gt;$AB791,"OVERDUE",IF($AB791&lt;=WORKDAY(TODAY(),1,Holidays),"DUE TOMORROW",IF($Z791=4,"ESCALATED TO LOCAL OFFICE",IF($Z791=5,"ESCALATED TO CBE",IF($AA791=TODAY(),"EMAIL SENT","MONITORING"))))))))))</f>
        <v/>
      </c>
      <c r="V791" s="17">
        <f>IF($U791="",IF(AND(COUNTA($A791:$L791)&gt;0,$N791=""),"Awaiting Collection Email time stamp.",""),IF(OR($U791="PAID",$U791="CLOSED"),IF($U791="PAID","Account paid. Action completed.","Account closed. No further action required."),CHOOSE($Z791,"Collection Email","1st Email Follow-up","2nd Email Follow-up","Escalation to Local Office","Escalation to CBE","Escalation to Roxanne")&amp;" sent "&amp;TEXT($AA791,"dd-mmm")&amp;". "&amp;IF($Z791=6,"Final escalation completed.",IF($U791="OVERDUE","Next: "&amp;$AC791&amp;" was due "&amp;TEXT($AB791,"dd-mmm")&amp;" - "&amp;(NETWORKDAYS($AB791,TODAY(),Holidays)-1)&amp;" business day(s) late. Send now.",IF($U791="DUE TOMORROW","Next: "&amp;$AC791&amp;IF($AB791&lt;=TODAY()," is due TODAY ("," is due next business day (")&amp;TEXT($AB791,"dd-mmm")&amp;").","Next: "&amp;$AC791&amp;" due "&amp;TEXT($AB791,"dd-mmm")&amp;" ("&amp;(NETWORKDAYS(TODAY(),$AB791,Holidays)-1)&amp;" business day(s) left).")))))</f>
        <v/>
      </c>
      <c r="W791" s="17">
        <f>IF($Z791="","",CHOOSE($Z791,"Collection Email","1st Follow-up","2nd Follow-up","Local Office","CBE","Roxanne")&amp;IF($Z791=6," - Final"," - Day "&amp;MAX(0,NETWORKDAYS($AA791,TODAY(),Holidays)-1)&amp;" of "&amp;CHOOSE($Z791,3,3,2,2,3))&amp;" | Total Day "&amp;MAX(0,NETWORKDAYS($N791,TODAY(),Holidays)-1))</f>
        <v/>
      </c>
      <c r="X791" s="18"/>
      <c r="Y791" s="18"/>
      <c r="Z791" s="17">
        <f>IF($N791="","",COUNT($N791:$S791))</f>
        <v/>
      </c>
      <c r="AA791" s="19">
        <f>IF($Z791="","",INT(INDEX($N791:$S791,$Z791)))</f>
        <v/>
      </c>
      <c r="AB791" s="19">
        <f>IF(OR($Z791="",$Z791=6),"",WORKDAY($AA791,CHOOSE($Z791,3,3,2,2,3),Holidays))</f>
        <v/>
      </c>
      <c r="AC791" s="17">
        <f>IF(OR($Z791="",$Z791=6),"",CHOOSE($Z791,"1st Email Follow-up","2nd Email Follow-up","Escalate Local Office","Escalate to CBE","Escalate to Roxanne"))</f>
        <v/>
      </c>
    </row>
    <row r="792" spans="13:29">
      <c r="M792" s="14"/>
      <c r="T792" s="16"/>
      <c r="U792" s="17">
        <f>IF(AND(COUNTA($A792:$L792)=0,$N792=""),"",IF($T792="Paid","PAID",IF($T792="Closed","CLOSED",IF($Z792="","",IF($Z792=6,"ESCALATED TO ROXANNE",IF(TODAY()&gt;$AB792,"OVERDUE",IF($AB792&lt;=WORKDAY(TODAY(),1,Holidays),"DUE TOMORROW",IF($Z792=4,"ESCALATED TO LOCAL OFFICE",IF($Z792=5,"ESCALATED TO CBE",IF($AA792=TODAY(),"EMAIL SENT","MONITORING"))))))))))</f>
        <v/>
      </c>
      <c r="V792" s="17">
        <f>IF($U792="",IF(AND(COUNTA($A792:$L792)&gt;0,$N792=""),"Awaiting Collection Email time stamp.",""),IF(OR($U792="PAID",$U792="CLOSED"),IF($U792="PAID","Account paid. Action completed.","Account closed. No further action required."),CHOOSE($Z792,"Collection Email","1st Email Follow-up","2nd Email Follow-up","Escalation to Local Office","Escalation to CBE","Escalation to Roxanne")&amp;" sent "&amp;TEXT($AA792,"dd-mmm")&amp;". "&amp;IF($Z792=6,"Final escalation completed.",IF($U792="OVERDUE","Next: "&amp;$AC792&amp;" was due "&amp;TEXT($AB792,"dd-mmm")&amp;" - "&amp;(NETWORKDAYS($AB792,TODAY(),Holidays)-1)&amp;" business day(s) late. Send now.",IF($U792="DUE TOMORROW","Next: "&amp;$AC792&amp;IF($AB792&lt;=TODAY()," is due TODAY ("," is due next business day (")&amp;TEXT($AB792,"dd-mmm")&amp;").","Next: "&amp;$AC792&amp;" due "&amp;TEXT($AB792,"dd-mmm")&amp;" ("&amp;(NETWORKDAYS(TODAY(),$AB792,Holidays)-1)&amp;" business day(s) left).")))))</f>
        <v/>
      </c>
      <c r="W792" s="17">
        <f>IF($Z792="","",CHOOSE($Z792,"Collection Email","1st Follow-up","2nd Follow-up","Local Office","CBE","Roxanne")&amp;IF($Z792=6," - Final"," - Day "&amp;MAX(0,NETWORKDAYS($AA792,TODAY(),Holidays)-1)&amp;" of "&amp;CHOOSE($Z792,3,3,2,2,3))&amp;" | Total Day "&amp;MAX(0,NETWORKDAYS($N792,TODAY(),Holidays)-1))</f>
        <v/>
      </c>
      <c r="X792" s="18"/>
      <c r="Y792" s="18"/>
      <c r="Z792" s="17">
        <f>IF($N792="","",COUNT($N792:$S792))</f>
        <v/>
      </c>
      <c r="AA792" s="19">
        <f>IF($Z792="","",INT(INDEX($N792:$S792,$Z792)))</f>
        <v/>
      </c>
      <c r="AB792" s="19">
        <f>IF(OR($Z792="",$Z792=6),"",WORKDAY($AA792,CHOOSE($Z792,3,3,2,2,3),Holidays))</f>
        <v/>
      </c>
      <c r="AC792" s="17">
        <f>IF(OR($Z792="",$Z792=6),"",CHOOSE($Z792,"1st Email Follow-up","2nd Email Follow-up","Escalate Local Office","Escalate to CBE","Escalate to Roxanne"))</f>
        <v/>
      </c>
    </row>
    <row r="793" spans="13:29">
      <c r="M793" s="14"/>
      <c r="T793" s="16"/>
      <c r="U793" s="17">
        <f>IF(AND(COUNTA($A793:$L793)=0,$N793=""),"",IF($T793="Paid","PAID",IF($T793="Closed","CLOSED",IF($Z793="","",IF($Z793=6,"ESCALATED TO ROXANNE",IF(TODAY()&gt;$AB793,"OVERDUE",IF($AB793&lt;=WORKDAY(TODAY(),1,Holidays),"DUE TOMORROW",IF($Z793=4,"ESCALATED TO LOCAL OFFICE",IF($Z793=5,"ESCALATED TO CBE",IF($AA793=TODAY(),"EMAIL SENT","MONITORING"))))))))))</f>
        <v/>
      </c>
      <c r="V793" s="17">
        <f>IF($U793="",IF(AND(COUNTA($A793:$L793)&gt;0,$N793=""),"Awaiting Collection Email time stamp.",""),IF(OR($U793="PAID",$U793="CLOSED"),IF($U793="PAID","Account paid. Action completed.","Account closed. No further action required."),CHOOSE($Z793,"Collection Email","1st Email Follow-up","2nd Email Follow-up","Escalation to Local Office","Escalation to CBE","Escalation to Roxanne")&amp;" sent "&amp;TEXT($AA793,"dd-mmm")&amp;". "&amp;IF($Z793=6,"Final escalation completed.",IF($U793="OVERDUE","Next: "&amp;$AC793&amp;" was due "&amp;TEXT($AB793,"dd-mmm")&amp;" - "&amp;(NETWORKDAYS($AB793,TODAY(),Holidays)-1)&amp;" business day(s) late. Send now.",IF($U793="DUE TOMORROW","Next: "&amp;$AC793&amp;IF($AB793&lt;=TODAY()," is due TODAY ("," is due next business day (")&amp;TEXT($AB793,"dd-mmm")&amp;").","Next: "&amp;$AC793&amp;" due "&amp;TEXT($AB793,"dd-mmm")&amp;" ("&amp;(NETWORKDAYS(TODAY(),$AB793,Holidays)-1)&amp;" business day(s) left).")))))</f>
        <v/>
      </c>
      <c r="W793" s="17">
        <f>IF($Z793="","",CHOOSE($Z793,"Collection Email","1st Follow-up","2nd Follow-up","Local Office","CBE","Roxanne")&amp;IF($Z793=6," - Final"," - Day "&amp;MAX(0,NETWORKDAYS($AA793,TODAY(),Holidays)-1)&amp;" of "&amp;CHOOSE($Z793,3,3,2,2,3))&amp;" | Total Day "&amp;MAX(0,NETWORKDAYS($N793,TODAY(),Holidays)-1))</f>
        <v/>
      </c>
      <c r="X793" s="18"/>
      <c r="Y793" s="18"/>
      <c r="Z793" s="17">
        <f>IF($N793="","",COUNT($N793:$S793))</f>
        <v/>
      </c>
      <c r="AA793" s="19">
        <f>IF($Z793="","",INT(INDEX($N793:$S793,$Z793)))</f>
        <v/>
      </c>
      <c r="AB793" s="19">
        <f>IF(OR($Z793="",$Z793=6),"",WORKDAY($AA793,CHOOSE($Z793,3,3,2,2,3),Holidays))</f>
        <v/>
      </c>
      <c r="AC793" s="17">
        <f>IF(OR($Z793="",$Z793=6),"",CHOOSE($Z793,"1st Email Follow-up","2nd Email Follow-up","Escalate Local Office","Escalate to CBE","Escalate to Roxanne"))</f>
        <v/>
      </c>
    </row>
    <row r="794" spans="13:29">
      <c r="M794" s="14"/>
      <c r="T794" s="16"/>
      <c r="U794" s="17">
        <f>IF(AND(COUNTA($A794:$L794)=0,$N794=""),"",IF($T794="Paid","PAID",IF($T794="Closed","CLOSED",IF($Z794="","",IF($Z794=6,"ESCALATED TO ROXANNE",IF(TODAY()&gt;$AB794,"OVERDUE",IF($AB794&lt;=WORKDAY(TODAY(),1,Holidays),"DUE TOMORROW",IF($Z794=4,"ESCALATED TO LOCAL OFFICE",IF($Z794=5,"ESCALATED TO CBE",IF($AA794=TODAY(),"EMAIL SENT","MONITORING"))))))))))</f>
        <v/>
      </c>
      <c r="V794" s="17">
        <f>IF($U794="",IF(AND(COUNTA($A794:$L794)&gt;0,$N794=""),"Awaiting Collection Email time stamp.",""),IF(OR($U794="PAID",$U794="CLOSED"),IF($U794="PAID","Account paid. Action completed.","Account closed. No further action required."),CHOOSE($Z794,"Collection Email","1st Email Follow-up","2nd Email Follow-up","Escalation to Local Office","Escalation to CBE","Escalation to Roxanne")&amp;" sent "&amp;TEXT($AA794,"dd-mmm")&amp;". "&amp;IF($Z794=6,"Final escalation completed.",IF($U794="OVERDUE","Next: "&amp;$AC794&amp;" was due "&amp;TEXT($AB794,"dd-mmm")&amp;" - "&amp;(NETWORKDAYS($AB794,TODAY(),Holidays)-1)&amp;" business day(s) late. Send now.",IF($U794="DUE TOMORROW","Next: "&amp;$AC794&amp;IF($AB794&lt;=TODAY()," is due TODAY ("," is due next business day (")&amp;TEXT($AB794,"dd-mmm")&amp;").","Next: "&amp;$AC794&amp;" due "&amp;TEXT($AB794,"dd-mmm")&amp;" ("&amp;(NETWORKDAYS(TODAY(),$AB794,Holidays)-1)&amp;" business day(s) left).")))))</f>
        <v/>
      </c>
      <c r="W794" s="17">
        <f>IF($Z794="","",CHOOSE($Z794,"Collection Email","1st Follow-up","2nd Follow-up","Local Office","CBE","Roxanne")&amp;IF($Z794=6," - Final"," - Day "&amp;MAX(0,NETWORKDAYS($AA794,TODAY(),Holidays)-1)&amp;" of "&amp;CHOOSE($Z794,3,3,2,2,3))&amp;" | Total Day "&amp;MAX(0,NETWORKDAYS($N794,TODAY(),Holidays)-1))</f>
        <v/>
      </c>
      <c r="X794" s="18"/>
      <c r="Y794" s="18"/>
      <c r="Z794" s="17">
        <f>IF($N794="","",COUNT($N794:$S794))</f>
        <v/>
      </c>
      <c r="AA794" s="19">
        <f>IF($Z794="","",INT(INDEX($N794:$S794,$Z794)))</f>
        <v/>
      </c>
      <c r="AB794" s="19">
        <f>IF(OR($Z794="",$Z794=6),"",WORKDAY($AA794,CHOOSE($Z794,3,3,2,2,3),Holidays))</f>
        <v/>
      </c>
      <c r="AC794" s="17">
        <f>IF(OR($Z794="",$Z794=6),"",CHOOSE($Z794,"1st Email Follow-up","2nd Email Follow-up","Escalate Local Office","Escalate to CBE","Escalate to Roxanne"))</f>
        <v/>
      </c>
    </row>
    <row r="795" spans="13:29">
      <c r="M795" s="14"/>
      <c r="T795" s="16"/>
      <c r="U795" s="17">
        <f>IF(AND(COUNTA($A795:$L795)=0,$N795=""),"",IF($T795="Paid","PAID",IF($T795="Closed","CLOSED",IF($Z795="","",IF($Z795=6,"ESCALATED TO ROXANNE",IF(TODAY()&gt;$AB795,"OVERDUE",IF($AB795&lt;=WORKDAY(TODAY(),1,Holidays),"DUE TOMORROW",IF($Z795=4,"ESCALATED TO LOCAL OFFICE",IF($Z795=5,"ESCALATED TO CBE",IF($AA795=TODAY(),"EMAIL SENT","MONITORING"))))))))))</f>
        <v/>
      </c>
      <c r="V795" s="17">
        <f>IF($U795="",IF(AND(COUNTA($A795:$L795)&gt;0,$N795=""),"Awaiting Collection Email time stamp.",""),IF(OR($U795="PAID",$U795="CLOSED"),IF($U795="PAID","Account paid. Action completed.","Account closed. No further action required."),CHOOSE($Z795,"Collection Email","1st Email Follow-up","2nd Email Follow-up","Escalation to Local Office","Escalation to CBE","Escalation to Roxanne")&amp;" sent "&amp;TEXT($AA795,"dd-mmm")&amp;". "&amp;IF($Z795=6,"Final escalation completed.",IF($U795="OVERDUE","Next: "&amp;$AC795&amp;" was due "&amp;TEXT($AB795,"dd-mmm")&amp;" - "&amp;(NETWORKDAYS($AB795,TODAY(),Holidays)-1)&amp;" business day(s) late. Send now.",IF($U795="DUE TOMORROW","Next: "&amp;$AC795&amp;IF($AB795&lt;=TODAY()," is due TODAY ("," is due next business day (")&amp;TEXT($AB795,"dd-mmm")&amp;").","Next: "&amp;$AC795&amp;" due "&amp;TEXT($AB795,"dd-mmm")&amp;" ("&amp;(NETWORKDAYS(TODAY(),$AB795,Holidays)-1)&amp;" business day(s) left).")))))</f>
        <v/>
      </c>
      <c r="W795" s="17">
        <f>IF($Z795="","",CHOOSE($Z795,"Collection Email","1st Follow-up","2nd Follow-up","Local Office","CBE","Roxanne")&amp;IF($Z795=6," - Final"," - Day "&amp;MAX(0,NETWORKDAYS($AA795,TODAY(),Holidays)-1)&amp;" of "&amp;CHOOSE($Z795,3,3,2,2,3))&amp;" | Total Day "&amp;MAX(0,NETWORKDAYS($N795,TODAY(),Holidays)-1))</f>
        <v/>
      </c>
      <c r="X795" s="18"/>
      <c r="Y795" s="18"/>
      <c r="Z795" s="17">
        <f>IF($N795="","",COUNT($N795:$S795))</f>
        <v/>
      </c>
      <c r="AA795" s="19">
        <f>IF($Z795="","",INT(INDEX($N795:$S795,$Z795)))</f>
        <v/>
      </c>
      <c r="AB795" s="19">
        <f>IF(OR($Z795="",$Z795=6),"",WORKDAY($AA795,CHOOSE($Z795,3,3,2,2,3),Holidays))</f>
        <v/>
      </c>
      <c r="AC795" s="17">
        <f>IF(OR($Z795="",$Z795=6),"",CHOOSE($Z795,"1st Email Follow-up","2nd Email Follow-up","Escalate Local Office","Escalate to CBE","Escalate to Roxanne"))</f>
        <v/>
      </c>
    </row>
    <row r="796" spans="13:29">
      <c r="M796" s="14"/>
      <c r="T796" s="16"/>
      <c r="U796" s="17">
        <f>IF(AND(COUNTA($A796:$L796)=0,$N796=""),"",IF($T796="Paid","PAID",IF($T796="Closed","CLOSED",IF($Z796="","",IF($Z796=6,"ESCALATED TO ROXANNE",IF(TODAY()&gt;$AB796,"OVERDUE",IF($AB796&lt;=WORKDAY(TODAY(),1,Holidays),"DUE TOMORROW",IF($Z796=4,"ESCALATED TO LOCAL OFFICE",IF($Z796=5,"ESCALATED TO CBE",IF($AA796=TODAY(),"EMAIL SENT","MONITORING"))))))))))</f>
        <v/>
      </c>
      <c r="V796" s="17">
        <f>IF($U796="",IF(AND(COUNTA($A796:$L796)&gt;0,$N796=""),"Awaiting Collection Email time stamp.",""),IF(OR($U796="PAID",$U796="CLOSED"),IF($U796="PAID","Account paid. Action completed.","Account closed. No further action required."),CHOOSE($Z796,"Collection Email","1st Email Follow-up","2nd Email Follow-up","Escalation to Local Office","Escalation to CBE","Escalation to Roxanne")&amp;" sent "&amp;TEXT($AA796,"dd-mmm")&amp;". "&amp;IF($Z796=6,"Final escalation completed.",IF($U796="OVERDUE","Next: "&amp;$AC796&amp;" was due "&amp;TEXT($AB796,"dd-mmm")&amp;" - "&amp;(NETWORKDAYS($AB796,TODAY(),Holidays)-1)&amp;" business day(s) late. Send now.",IF($U796="DUE TOMORROW","Next: "&amp;$AC796&amp;IF($AB796&lt;=TODAY()," is due TODAY ("," is due next business day (")&amp;TEXT($AB796,"dd-mmm")&amp;").","Next: "&amp;$AC796&amp;" due "&amp;TEXT($AB796,"dd-mmm")&amp;" ("&amp;(NETWORKDAYS(TODAY(),$AB796,Holidays)-1)&amp;" business day(s) left).")))))</f>
        <v/>
      </c>
      <c r="W796" s="17">
        <f>IF($Z796="","",CHOOSE($Z796,"Collection Email","1st Follow-up","2nd Follow-up","Local Office","CBE","Roxanne")&amp;IF($Z796=6," - Final"," - Day "&amp;MAX(0,NETWORKDAYS($AA796,TODAY(),Holidays)-1)&amp;" of "&amp;CHOOSE($Z796,3,3,2,2,3))&amp;" | Total Day "&amp;MAX(0,NETWORKDAYS($N796,TODAY(),Holidays)-1))</f>
        <v/>
      </c>
      <c r="X796" s="18"/>
      <c r="Y796" s="18"/>
      <c r="Z796" s="17">
        <f>IF($N796="","",COUNT($N796:$S796))</f>
        <v/>
      </c>
      <c r="AA796" s="19">
        <f>IF($Z796="","",INT(INDEX($N796:$S796,$Z796)))</f>
        <v/>
      </c>
      <c r="AB796" s="19">
        <f>IF(OR($Z796="",$Z796=6),"",WORKDAY($AA796,CHOOSE($Z796,3,3,2,2,3),Holidays))</f>
        <v/>
      </c>
      <c r="AC796" s="17">
        <f>IF(OR($Z796="",$Z796=6),"",CHOOSE($Z796,"1st Email Follow-up","2nd Email Follow-up","Escalate Local Office","Escalate to CBE","Escalate to Roxanne"))</f>
        <v/>
      </c>
    </row>
    <row r="797" spans="13:29">
      <c r="M797" s="14"/>
      <c r="T797" s="16"/>
      <c r="U797" s="17">
        <f>IF(AND(COUNTA($A797:$L797)=0,$N797=""),"",IF($T797="Paid","PAID",IF($T797="Closed","CLOSED",IF($Z797="","",IF($Z797=6,"ESCALATED TO ROXANNE",IF(TODAY()&gt;$AB797,"OVERDUE",IF($AB797&lt;=WORKDAY(TODAY(),1,Holidays),"DUE TOMORROW",IF($Z797=4,"ESCALATED TO LOCAL OFFICE",IF($Z797=5,"ESCALATED TO CBE",IF($AA797=TODAY(),"EMAIL SENT","MONITORING"))))))))))</f>
        <v/>
      </c>
      <c r="V797" s="17">
        <f>IF($U797="",IF(AND(COUNTA($A797:$L797)&gt;0,$N797=""),"Awaiting Collection Email time stamp.",""),IF(OR($U797="PAID",$U797="CLOSED"),IF($U797="PAID","Account paid. Action completed.","Account closed. No further action required."),CHOOSE($Z797,"Collection Email","1st Email Follow-up","2nd Email Follow-up","Escalation to Local Office","Escalation to CBE","Escalation to Roxanne")&amp;" sent "&amp;TEXT($AA797,"dd-mmm")&amp;". "&amp;IF($Z797=6,"Final escalation completed.",IF($U797="OVERDUE","Next: "&amp;$AC797&amp;" was due "&amp;TEXT($AB797,"dd-mmm")&amp;" - "&amp;(NETWORKDAYS($AB797,TODAY(),Holidays)-1)&amp;" business day(s) late. Send now.",IF($U797="DUE TOMORROW","Next: "&amp;$AC797&amp;IF($AB797&lt;=TODAY()," is due TODAY ("," is due next business day (")&amp;TEXT($AB797,"dd-mmm")&amp;").","Next: "&amp;$AC797&amp;" due "&amp;TEXT($AB797,"dd-mmm")&amp;" ("&amp;(NETWORKDAYS(TODAY(),$AB797,Holidays)-1)&amp;" business day(s) left).")))))</f>
        <v/>
      </c>
      <c r="W797" s="17">
        <f>IF($Z797="","",CHOOSE($Z797,"Collection Email","1st Follow-up","2nd Follow-up","Local Office","CBE","Roxanne")&amp;IF($Z797=6," - Final"," - Day "&amp;MAX(0,NETWORKDAYS($AA797,TODAY(),Holidays)-1)&amp;" of "&amp;CHOOSE($Z797,3,3,2,2,3))&amp;" | Total Day "&amp;MAX(0,NETWORKDAYS($N797,TODAY(),Holidays)-1))</f>
        <v/>
      </c>
      <c r="X797" s="18"/>
      <c r="Y797" s="18"/>
      <c r="Z797" s="17">
        <f>IF($N797="","",COUNT($N797:$S797))</f>
        <v/>
      </c>
      <c r="AA797" s="19">
        <f>IF($Z797="","",INT(INDEX($N797:$S797,$Z797)))</f>
        <v/>
      </c>
      <c r="AB797" s="19">
        <f>IF(OR($Z797="",$Z797=6),"",WORKDAY($AA797,CHOOSE($Z797,3,3,2,2,3),Holidays))</f>
        <v/>
      </c>
      <c r="AC797" s="17">
        <f>IF(OR($Z797="",$Z797=6),"",CHOOSE($Z797,"1st Email Follow-up","2nd Email Follow-up","Escalate Local Office","Escalate to CBE","Escalate to Roxanne"))</f>
        <v/>
      </c>
    </row>
    <row r="798" spans="13:29">
      <c r="M798" s="14"/>
      <c r="T798" s="16"/>
      <c r="U798" s="17">
        <f>IF(AND(COUNTA($A798:$L798)=0,$N798=""),"",IF($T798="Paid","PAID",IF($T798="Closed","CLOSED",IF($Z798="","",IF($Z798=6,"ESCALATED TO ROXANNE",IF(TODAY()&gt;$AB798,"OVERDUE",IF($AB798&lt;=WORKDAY(TODAY(),1,Holidays),"DUE TOMORROW",IF($Z798=4,"ESCALATED TO LOCAL OFFICE",IF($Z798=5,"ESCALATED TO CBE",IF($AA798=TODAY(),"EMAIL SENT","MONITORING"))))))))))</f>
        <v/>
      </c>
      <c r="V798" s="17">
        <f>IF($U798="",IF(AND(COUNTA($A798:$L798)&gt;0,$N798=""),"Awaiting Collection Email time stamp.",""),IF(OR($U798="PAID",$U798="CLOSED"),IF($U798="PAID","Account paid. Action completed.","Account closed. No further action required."),CHOOSE($Z798,"Collection Email","1st Email Follow-up","2nd Email Follow-up","Escalation to Local Office","Escalation to CBE","Escalation to Roxanne")&amp;" sent "&amp;TEXT($AA798,"dd-mmm")&amp;". "&amp;IF($Z798=6,"Final escalation completed.",IF($U798="OVERDUE","Next: "&amp;$AC798&amp;" was due "&amp;TEXT($AB798,"dd-mmm")&amp;" - "&amp;(NETWORKDAYS($AB798,TODAY(),Holidays)-1)&amp;" business day(s) late. Send now.",IF($U798="DUE TOMORROW","Next: "&amp;$AC798&amp;IF($AB798&lt;=TODAY()," is due TODAY ("," is due next business day (")&amp;TEXT($AB798,"dd-mmm")&amp;").","Next: "&amp;$AC798&amp;" due "&amp;TEXT($AB798,"dd-mmm")&amp;" ("&amp;(NETWORKDAYS(TODAY(),$AB798,Holidays)-1)&amp;" business day(s) left).")))))</f>
        <v/>
      </c>
      <c r="W798" s="17">
        <f>IF($Z798="","",CHOOSE($Z798,"Collection Email","1st Follow-up","2nd Follow-up","Local Office","CBE","Roxanne")&amp;IF($Z798=6," - Final"," - Day "&amp;MAX(0,NETWORKDAYS($AA798,TODAY(),Holidays)-1)&amp;" of "&amp;CHOOSE($Z798,3,3,2,2,3))&amp;" | Total Day "&amp;MAX(0,NETWORKDAYS($N798,TODAY(),Holidays)-1))</f>
        <v/>
      </c>
      <c r="X798" s="18"/>
      <c r="Y798" s="18"/>
      <c r="Z798" s="17">
        <f>IF($N798="","",COUNT($N798:$S798))</f>
        <v/>
      </c>
      <c r="AA798" s="19">
        <f>IF($Z798="","",INT(INDEX($N798:$S798,$Z798)))</f>
        <v/>
      </c>
      <c r="AB798" s="19">
        <f>IF(OR($Z798="",$Z798=6),"",WORKDAY($AA798,CHOOSE($Z798,3,3,2,2,3),Holidays))</f>
        <v/>
      </c>
      <c r="AC798" s="17">
        <f>IF(OR($Z798="",$Z798=6),"",CHOOSE($Z798,"1st Email Follow-up","2nd Email Follow-up","Escalate Local Office","Escalate to CBE","Escalate to Roxanne"))</f>
        <v/>
      </c>
    </row>
    <row r="799" spans="13:29">
      <c r="M799" s="14"/>
      <c r="T799" s="16"/>
      <c r="U799" s="17">
        <f>IF(AND(COUNTA($A799:$L799)=0,$N799=""),"",IF($T799="Paid","PAID",IF($T799="Closed","CLOSED",IF($Z799="","",IF($Z799=6,"ESCALATED TO ROXANNE",IF(TODAY()&gt;$AB799,"OVERDUE",IF($AB799&lt;=WORKDAY(TODAY(),1,Holidays),"DUE TOMORROW",IF($Z799=4,"ESCALATED TO LOCAL OFFICE",IF($Z799=5,"ESCALATED TO CBE",IF($AA799=TODAY(),"EMAIL SENT","MONITORING"))))))))))</f>
        <v/>
      </c>
      <c r="V799" s="17">
        <f>IF($U799="",IF(AND(COUNTA($A799:$L799)&gt;0,$N799=""),"Awaiting Collection Email time stamp.",""),IF(OR($U799="PAID",$U799="CLOSED"),IF($U799="PAID","Account paid. Action completed.","Account closed. No further action required."),CHOOSE($Z799,"Collection Email","1st Email Follow-up","2nd Email Follow-up","Escalation to Local Office","Escalation to CBE","Escalation to Roxanne")&amp;" sent "&amp;TEXT($AA799,"dd-mmm")&amp;". "&amp;IF($Z799=6,"Final escalation completed.",IF($U799="OVERDUE","Next: "&amp;$AC799&amp;" was due "&amp;TEXT($AB799,"dd-mmm")&amp;" - "&amp;(NETWORKDAYS($AB799,TODAY(),Holidays)-1)&amp;" business day(s) late. Send now.",IF($U799="DUE TOMORROW","Next: "&amp;$AC799&amp;IF($AB799&lt;=TODAY()," is due TODAY ("," is due next business day (")&amp;TEXT($AB799,"dd-mmm")&amp;").","Next: "&amp;$AC799&amp;" due "&amp;TEXT($AB799,"dd-mmm")&amp;" ("&amp;(NETWORKDAYS(TODAY(),$AB799,Holidays)-1)&amp;" business day(s) left).")))))</f>
        <v/>
      </c>
      <c r="W799" s="17">
        <f>IF($Z799="","",CHOOSE($Z799,"Collection Email","1st Follow-up","2nd Follow-up","Local Office","CBE","Roxanne")&amp;IF($Z799=6," - Final"," - Day "&amp;MAX(0,NETWORKDAYS($AA799,TODAY(),Holidays)-1)&amp;" of "&amp;CHOOSE($Z799,3,3,2,2,3))&amp;" | Total Day "&amp;MAX(0,NETWORKDAYS($N799,TODAY(),Holidays)-1))</f>
        <v/>
      </c>
      <c r="X799" s="18"/>
      <c r="Y799" s="18"/>
      <c r="Z799" s="17">
        <f>IF($N799="","",COUNT($N799:$S799))</f>
        <v/>
      </c>
      <c r="AA799" s="19">
        <f>IF($Z799="","",INT(INDEX($N799:$S799,$Z799)))</f>
        <v/>
      </c>
      <c r="AB799" s="19">
        <f>IF(OR($Z799="",$Z799=6),"",WORKDAY($AA799,CHOOSE($Z799,3,3,2,2,3),Holidays))</f>
        <v/>
      </c>
      <c r="AC799" s="17">
        <f>IF(OR($Z799="",$Z799=6),"",CHOOSE($Z799,"1st Email Follow-up","2nd Email Follow-up","Escalate Local Office","Escalate to CBE","Escalate to Roxanne"))</f>
        <v/>
      </c>
    </row>
    <row r="800" spans="13:29">
      <c r="M800" s="14"/>
      <c r="T800" s="16"/>
      <c r="U800" s="17">
        <f>IF(AND(COUNTA($A800:$L800)=0,$N800=""),"",IF($T800="Paid","PAID",IF($T800="Closed","CLOSED",IF($Z800="","",IF($Z800=6,"ESCALATED TO ROXANNE",IF(TODAY()&gt;$AB800,"OVERDUE",IF($AB800&lt;=WORKDAY(TODAY(),1,Holidays),"DUE TOMORROW",IF($Z800=4,"ESCALATED TO LOCAL OFFICE",IF($Z800=5,"ESCALATED TO CBE",IF($AA800=TODAY(),"EMAIL SENT","MONITORING"))))))))))</f>
        <v/>
      </c>
      <c r="V800" s="17">
        <f>IF($U800="",IF(AND(COUNTA($A800:$L800)&gt;0,$N800=""),"Awaiting Collection Email time stamp.",""),IF(OR($U800="PAID",$U800="CLOSED"),IF($U800="PAID","Account paid. Action completed.","Account closed. No further action required."),CHOOSE($Z800,"Collection Email","1st Email Follow-up","2nd Email Follow-up","Escalation to Local Office","Escalation to CBE","Escalation to Roxanne")&amp;" sent "&amp;TEXT($AA800,"dd-mmm")&amp;". "&amp;IF($Z800=6,"Final escalation completed.",IF($U800="OVERDUE","Next: "&amp;$AC800&amp;" was due "&amp;TEXT($AB800,"dd-mmm")&amp;" - "&amp;(NETWORKDAYS($AB800,TODAY(),Holidays)-1)&amp;" business day(s) late. Send now.",IF($U800="DUE TOMORROW","Next: "&amp;$AC800&amp;IF($AB800&lt;=TODAY()," is due TODAY ("," is due next business day (")&amp;TEXT($AB800,"dd-mmm")&amp;").","Next: "&amp;$AC800&amp;" due "&amp;TEXT($AB800,"dd-mmm")&amp;" ("&amp;(NETWORKDAYS(TODAY(),$AB800,Holidays)-1)&amp;" business day(s) left).")))))</f>
        <v/>
      </c>
      <c r="W800" s="17">
        <f>IF($Z800="","",CHOOSE($Z800,"Collection Email","1st Follow-up","2nd Follow-up","Local Office","CBE","Roxanne")&amp;IF($Z800=6," - Final"," - Day "&amp;MAX(0,NETWORKDAYS($AA800,TODAY(),Holidays)-1)&amp;" of "&amp;CHOOSE($Z800,3,3,2,2,3))&amp;" | Total Day "&amp;MAX(0,NETWORKDAYS($N800,TODAY(),Holidays)-1))</f>
        <v/>
      </c>
      <c r="X800" s="18"/>
      <c r="Y800" s="18"/>
      <c r="Z800" s="17">
        <f>IF($N800="","",COUNT($N800:$S800))</f>
        <v/>
      </c>
      <c r="AA800" s="19">
        <f>IF($Z800="","",INT(INDEX($N800:$S800,$Z800)))</f>
        <v/>
      </c>
      <c r="AB800" s="19">
        <f>IF(OR($Z800="",$Z800=6),"",WORKDAY($AA800,CHOOSE($Z800,3,3,2,2,3),Holidays))</f>
        <v/>
      </c>
      <c r="AC800" s="17">
        <f>IF(OR($Z800="",$Z800=6),"",CHOOSE($Z800,"1st Email Follow-up","2nd Email Follow-up","Escalate Local Office","Escalate to CBE","Escalate to Roxanne"))</f>
        <v/>
      </c>
    </row>
    <row r="801" spans="13:29">
      <c r="M801" s="14"/>
      <c r="T801" s="16"/>
      <c r="U801" s="17">
        <f>IF(AND(COUNTA($A801:$L801)=0,$N801=""),"",IF($T801="Paid","PAID",IF($T801="Closed","CLOSED",IF($Z801="","",IF($Z801=6,"ESCALATED TO ROXANNE",IF(TODAY()&gt;$AB801,"OVERDUE",IF($AB801&lt;=WORKDAY(TODAY(),1,Holidays),"DUE TOMORROW",IF($Z801=4,"ESCALATED TO LOCAL OFFICE",IF($Z801=5,"ESCALATED TO CBE",IF($AA801=TODAY(),"EMAIL SENT","MONITORING"))))))))))</f>
        <v/>
      </c>
      <c r="V801" s="17">
        <f>IF($U801="",IF(AND(COUNTA($A801:$L801)&gt;0,$N801=""),"Awaiting Collection Email time stamp.",""),IF(OR($U801="PAID",$U801="CLOSED"),IF($U801="PAID","Account paid. Action completed.","Account closed. No further action required."),CHOOSE($Z801,"Collection Email","1st Email Follow-up","2nd Email Follow-up","Escalation to Local Office","Escalation to CBE","Escalation to Roxanne")&amp;" sent "&amp;TEXT($AA801,"dd-mmm")&amp;". "&amp;IF($Z801=6,"Final escalation completed.",IF($U801="OVERDUE","Next: "&amp;$AC801&amp;" was due "&amp;TEXT($AB801,"dd-mmm")&amp;" - "&amp;(NETWORKDAYS($AB801,TODAY(),Holidays)-1)&amp;" business day(s) late. Send now.",IF($U801="DUE TOMORROW","Next: "&amp;$AC801&amp;IF($AB801&lt;=TODAY()," is due TODAY ("," is due next business day (")&amp;TEXT($AB801,"dd-mmm")&amp;").","Next: "&amp;$AC801&amp;" due "&amp;TEXT($AB801,"dd-mmm")&amp;" ("&amp;(NETWORKDAYS(TODAY(),$AB801,Holidays)-1)&amp;" business day(s) left).")))))</f>
        <v/>
      </c>
      <c r="W801" s="17">
        <f>IF($Z801="","",CHOOSE($Z801,"Collection Email","1st Follow-up","2nd Follow-up","Local Office","CBE","Roxanne")&amp;IF($Z801=6," - Final"," - Day "&amp;MAX(0,NETWORKDAYS($AA801,TODAY(),Holidays)-1)&amp;" of "&amp;CHOOSE($Z801,3,3,2,2,3))&amp;" | Total Day "&amp;MAX(0,NETWORKDAYS($N801,TODAY(),Holidays)-1))</f>
        <v/>
      </c>
      <c r="X801" s="18"/>
      <c r="Y801" s="18"/>
      <c r="Z801" s="17">
        <f>IF($N801="","",COUNT($N801:$S801))</f>
        <v/>
      </c>
      <c r="AA801" s="19">
        <f>IF($Z801="","",INT(INDEX($N801:$S801,$Z801)))</f>
        <v/>
      </c>
      <c r="AB801" s="19">
        <f>IF(OR($Z801="",$Z801=6),"",WORKDAY($AA801,CHOOSE($Z801,3,3,2,2,3),Holidays))</f>
        <v/>
      </c>
      <c r="AC801" s="17">
        <f>IF(OR($Z801="",$Z801=6),"",CHOOSE($Z801,"1st Email Follow-up","2nd Email Follow-up","Escalate Local Office","Escalate to CBE","Escalate to Roxanne"))</f>
        <v/>
      </c>
    </row>
    <row r="802" spans="13:29">
      <c r="M802" s="14"/>
      <c r="T802" s="16"/>
      <c r="U802" s="17">
        <f>IF(AND(COUNTA($A802:$L802)=0,$N802=""),"",IF($T802="Paid","PAID",IF($T802="Closed","CLOSED",IF($Z802="","",IF($Z802=6,"ESCALATED TO ROXANNE",IF(TODAY()&gt;$AB802,"OVERDUE",IF($AB802&lt;=WORKDAY(TODAY(),1,Holidays),"DUE TOMORROW",IF($Z802=4,"ESCALATED TO LOCAL OFFICE",IF($Z802=5,"ESCALATED TO CBE",IF($AA802=TODAY(),"EMAIL SENT","MONITORING"))))))))))</f>
        <v/>
      </c>
      <c r="V802" s="17">
        <f>IF($U802="",IF(AND(COUNTA($A802:$L802)&gt;0,$N802=""),"Awaiting Collection Email time stamp.",""),IF(OR($U802="PAID",$U802="CLOSED"),IF($U802="PAID","Account paid. Action completed.","Account closed. No further action required."),CHOOSE($Z802,"Collection Email","1st Email Follow-up","2nd Email Follow-up","Escalation to Local Office","Escalation to CBE","Escalation to Roxanne")&amp;" sent "&amp;TEXT($AA802,"dd-mmm")&amp;". "&amp;IF($Z802=6,"Final escalation completed.",IF($U802="OVERDUE","Next: "&amp;$AC802&amp;" was due "&amp;TEXT($AB802,"dd-mmm")&amp;" - "&amp;(NETWORKDAYS($AB802,TODAY(),Holidays)-1)&amp;" business day(s) late. Send now.",IF($U802="DUE TOMORROW","Next: "&amp;$AC802&amp;IF($AB802&lt;=TODAY()," is due TODAY ("," is due next business day (")&amp;TEXT($AB802,"dd-mmm")&amp;").","Next: "&amp;$AC802&amp;" due "&amp;TEXT($AB802,"dd-mmm")&amp;" ("&amp;(NETWORKDAYS(TODAY(),$AB802,Holidays)-1)&amp;" business day(s) left).")))))</f>
        <v/>
      </c>
      <c r="W802" s="17">
        <f>IF($Z802="","",CHOOSE($Z802,"Collection Email","1st Follow-up","2nd Follow-up","Local Office","CBE","Roxanne")&amp;IF($Z802=6," - Final"," - Day "&amp;MAX(0,NETWORKDAYS($AA802,TODAY(),Holidays)-1)&amp;" of "&amp;CHOOSE($Z802,3,3,2,2,3))&amp;" | Total Day "&amp;MAX(0,NETWORKDAYS($N802,TODAY(),Holidays)-1))</f>
        <v/>
      </c>
      <c r="X802" s="18"/>
      <c r="Y802" s="18"/>
      <c r="Z802" s="17">
        <f>IF($N802="","",COUNT($N802:$S802))</f>
        <v/>
      </c>
      <c r="AA802" s="19">
        <f>IF($Z802="","",INT(INDEX($N802:$S802,$Z802)))</f>
        <v/>
      </c>
      <c r="AB802" s="19">
        <f>IF(OR($Z802="",$Z802=6),"",WORKDAY($AA802,CHOOSE($Z802,3,3,2,2,3),Holidays))</f>
        <v/>
      </c>
      <c r="AC802" s="17">
        <f>IF(OR($Z802="",$Z802=6),"",CHOOSE($Z802,"1st Email Follow-up","2nd Email Follow-up","Escalate Local Office","Escalate to CBE","Escalate to Roxanne"))</f>
        <v/>
      </c>
    </row>
    <row r="803" spans="13:29">
      <c r="M803" s="14"/>
      <c r="T803" s="16"/>
      <c r="U803" s="17">
        <f>IF(AND(COUNTA($A803:$L803)=0,$N803=""),"",IF($T803="Paid","PAID",IF($T803="Closed","CLOSED",IF($Z803="","",IF($Z803=6,"ESCALATED TO ROXANNE",IF(TODAY()&gt;$AB803,"OVERDUE",IF($AB803&lt;=WORKDAY(TODAY(),1,Holidays),"DUE TOMORROW",IF($Z803=4,"ESCALATED TO LOCAL OFFICE",IF($Z803=5,"ESCALATED TO CBE",IF($AA803=TODAY(),"EMAIL SENT","MONITORING"))))))))))</f>
        <v/>
      </c>
      <c r="V803" s="17">
        <f>IF($U803="",IF(AND(COUNTA($A803:$L803)&gt;0,$N803=""),"Awaiting Collection Email time stamp.",""),IF(OR($U803="PAID",$U803="CLOSED"),IF($U803="PAID","Account paid. Action completed.","Account closed. No further action required."),CHOOSE($Z803,"Collection Email","1st Email Follow-up","2nd Email Follow-up","Escalation to Local Office","Escalation to CBE","Escalation to Roxanne")&amp;" sent "&amp;TEXT($AA803,"dd-mmm")&amp;". "&amp;IF($Z803=6,"Final escalation completed.",IF($U803="OVERDUE","Next: "&amp;$AC803&amp;" was due "&amp;TEXT($AB803,"dd-mmm")&amp;" - "&amp;(NETWORKDAYS($AB803,TODAY(),Holidays)-1)&amp;" business day(s) late. Send now.",IF($U803="DUE TOMORROW","Next: "&amp;$AC803&amp;IF($AB803&lt;=TODAY()," is due TODAY ("," is due next business day (")&amp;TEXT($AB803,"dd-mmm")&amp;").","Next: "&amp;$AC803&amp;" due "&amp;TEXT($AB803,"dd-mmm")&amp;" ("&amp;(NETWORKDAYS(TODAY(),$AB803,Holidays)-1)&amp;" business day(s) left).")))))</f>
        <v/>
      </c>
      <c r="W803" s="17">
        <f>IF($Z803="","",CHOOSE($Z803,"Collection Email","1st Follow-up","2nd Follow-up","Local Office","CBE","Roxanne")&amp;IF($Z803=6," - Final"," - Day "&amp;MAX(0,NETWORKDAYS($AA803,TODAY(),Holidays)-1)&amp;" of "&amp;CHOOSE($Z803,3,3,2,2,3))&amp;" | Total Day "&amp;MAX(0,NETWORKDAYS($N803,TODAY(),Holidays)-1))</f>
        <v/>
      </c>
      <c r="X803" s="18"/>
      <c r="Y803" s="18"/>
      <c r="Z803" s="17">
        <f>IF($N803="","",COUNT($N803:$S803))</f>
        <v/>
      </c>
      <c r="AA803" s="19">
        <f>IF($Z803="","",INT(INDEX($N803:$S803,$Z803)))</f>
        <v/>
      </c>
      <c r="AB803" s="19">
        <f>IF(OR($Z803="",$Z803=6),"",WORKDAY($AA803,CHOOSE($Z803,3,3,2,2,3),Holidays))</f>
        <v/>
      </c>
      <c r="AC803" s="17">
        <f>IF(OR($Z803="",$Z803=6),"",CHOOSE($Z803,"1st Email Follow-up","2nd Email Follow-up","Escalate Local Office","Escalate to CBE","Escalate to Roxanne"))</f>
        <v/>
      </c>
    </row>
    <row r="804" spans="13:29">
      <c r="M804" s="14"/>
      <c r="T804" s="16"/>
      <c r="U804" s="17">
        <f>IF(AND(COUNTA($A804:$L804)=0,$N804=""),"",IF($T804="Paid","PAID",IF($T804="Closed","CLOSED",IF($Z804="","",IF($Z804=6,"ESCALATED TO ROXANNE",IF(TODAY()&gt;$AB804,"OVERDUE",IF($AB804&lt;=WORKDAY(TODAY(),1,Holidays),"DUE TOMORROW",IF($Z804=4,"ESCALATED TO LOCAL OFFICE",IF($Z804=5,"ESCALATED TO CBE",IF($AA804=TODAY(),"EMAIL SENT","MONITORING"))))))))))</f>
        <v/>
      </c>
      <c r="V804" s="17">
        <f>IF($U804="",IF(AND(COUNTA($A804:$L804)&gt;0,$N804=""),"Awaiting Collection Email time stamp.",""),IF(OR($U804="PAID",$U804="CLOSED"),IF($U804="PAID","Account paid. Action completed.","Account closed. No further action required."),CHOOSE($Z804,"Collection Email","1st Email Follow-up","2nd Email Follow-up","Escalation to Local Office","Escalation to CBE","Escalation to Roxanne")&amp;" sent "&amp;TEXT($AA804,"dd-mmm")&amp;". "&amp;IF($Z804=6,"Final escalation completed.",IF($U804="OVERDUE","Next: "&amp;$AC804&amp;" was due "&amp;TEXT($AB804,"dd-mmm")&amp;" - "&amp;(NETWORKDAYS($AB804,TODAY(),Holidays)-1)&amp;" business day(s) late. Send now.",IF($U804="DUE TOMORROW","Next: "&amp;$AC804&amp;IF($AB804&lt;=TODAY()," is due TODAY ("," is due next business day (")&amp;TEXT($AB804,"dd-mmm")&amp;").","Next: "&amp;$AC804&amp;" due "&amp;TEXT($AB804,"dd-mmm")&amp;" ("&amp;(NETWORKDAYS(TODAY(),$AB804,Holidays)-1)&amp;" business day(s) left).")))))</f>
        <v/>
      </c>
      <c r="W804" s="17">
        <f>IF($Z804="","",CHOOSE($Z804,"Collection Email","1st Follow-up","2nd Follow-up","Local Office","CBE","Roxanne")&amp;IF($Z804=6," - Final"," - Day "&amp;MAX(0,NETWORKDAYS($AA804,TODAY(),Holidays)-1)&amp;" of "&amp;CHOOSE($Z804,3,3,2,2,3))&amp;" | Total Day "&amp;MAX(0,NETWORKDAYS($N804,TODAY(),Holidays)-1))</f>
        <v/>
      </c>
      <c r="X804" s="18"/>
      <c r="Y804" s="18"/>
      <c r="Z804" s="17">
        <f>IF($N804="","",COUNT($N804:$S804))</f>
        <v/>
      </c>
      <c r="AA804" s="19">
        <f>IF($Z804="","",INT(INDEX($N804:$S804,$Z804)))</f>
        <v/>
      </c>
      <c r="AB804" s="19">
        <f>IF(OR($Z804="",$Z804=6),"",WORKDAY($AA804,CHOOSE($Z804,3,3,2,2,3),Holidays))</f>
        <v/>
      </c>
      <c r="AC804" s="17">
        <f>IF(OR($Z804="",$Z804=6),"",CHOOSE($Z804,"1st Email Follow-up","2nd Email Follow-up","Escalate Local Office","Escalate to CBE","Escalate to Roxanne"))</f>
        <v/>
      </c>
    </row>
    <row r="805" spans="13:29">
      <c r="M805" s="14"/>
      <c r="T805" s="16"/>
      <c r="U805" s="17">
        <f>IF(AND(COUNTA($A805:$L805)=0,$N805=""),"",IF($T805="Paid","PAID",IF($T805="Closed","CLOSED",IF($Z805="","",IF($Z805=6,"ESCALATED TO ROXANNE",IF(TODAY()&gt;$AB805,"OVERDUE",IF($AB805&lt;=WORKDAY(TODAY(),1,Holidays),"DUE TOMORROW",IF($Z805=4,"ESCALATED TO LOCAL OFFICE",IF($Z805=5,"ESCALATED TO CBE",IF($AA805=TODAY(),"EMAIL SENT","MONITORING"))))))))))</f>
        <v/>
      </c>
      <c r="V805" s="17">
        <f>IF($U805="",IF(AND(COUNTA($A805:$L805)&gt;0,$N805=""),"Awaiting Collection Email time stamp.",""),IF(OR($U805="PAID",$U805="CLOSED"),IF($U805="PAID","Account paid. Action completed.","Account closed. No further action required."),CHOOSE($Z805,"Collection Email","1st Email Follow-up","2nd Email Follow-up","Escalation to Local Office","Escalation to CBE","Escalation to Roxanne")&amp;" sent "&amp;TEXT($AA805,"dd-mmm")&amp;". "&amp;IF($Z805=6,"Final escalation completed.",IF($U805="OVERDUE","Next: "&amp;$AC805&amp;" was due "&amp;TEXT($AB805,"dd-mmm")&amp;" - "&amp;(NETWORKDAYS($AB805,TODAY(),Holidays)-1)&amp;" business day(s) late. Send now.",IF($U805="DUE TOMORROW","Next: "&amp;$AC805&amp;IF($AB805&lt;=TODAY()," is due TODAY ("," is due next business day (")&amp;TEXT($AB805,"dd-mmm")&amp;").","Next: "&amp;$AC805&amp;" due "&amp;TEXT($AB805,"dd-mmm")&amp;" ("&amp;(NETWORKDAYS(TODAY(),$AB805,Holidays)-1)&amp;" business day(s) left).")))))</f>
        <v/>
      </c>
      <c r="W805" s="17">
        <f>IF($Z805="","",CHOOSE($Z805,"Collection Email","1st Follow-up","2nd Follow-up","Local Office","CBE","Roxanne")&amp;IF($Z805=6," - Final"," - Day "&amp;MAX(0,NETWORKDAYS($AA805,TODAY(),Holidays)-1)&amp;" of "&amp;CHOOSE($Z805,3,3,2,2,3))&amp;" | Total Day "&amp;MAX(0,NETWORKDAYS($N805,TODAY(),Holidays)-1))</f>
        <v/>
      </c>
      <c r="X805" s="18"/>
      <c r="Y805" s="18"/>
      <c r="Z805" s="17">
        <f>IF($N805="","",COUNT($N805:$S805))</f>
        <v/>
      </c>
      <c r="AA805" s="19">
        <f>IF($Z805="","",INT(INDEX($N805:$S805,$Z805)))</f>
        <v/>
      </c>
      <c r="AB805" s="19">
        <f>IF(OR($Z805="",$Z805=6),"",WORKDAY($AA805,CHOOSE($Z805,3,3,2,2,3),Holidays))</f>
        <v/>
      </c>
      <c r="AC805" s="17">
        <f>IF(OR($Z805="",$Z805=6),"",CHOOSE($Z805,"1st Email Follow-up","2nd Email Follow-up","Escalate Local Office","Escalate to CBE","Escalate to Roxanne"))</f>
        <v/>
      </c>
    </row>
    <row r="806" spans="13:29">
      <c r="M806" s="14"/>
      <c r="T806" s="16"/>
      <c r="U806" s="17">
        <f>IF(AND(COUNTA($A806:$L806)=0,$N806=""),"",IF($T806="Paid","PAID",IF($T806="Closed","CLOSED",IF($Z806="","",IF($Z806=6,"ESCALATED TO ROXANNE",IF(TODAY()&gt;$AB806,"OVERDUE",IF($AB806&lt;=WORKDAY(TODAY(),1,Holidays),"DUE TOMORROW",IF($Z806=4,"ESCALATED TO LOCAL OFFICE",IF($Z806=5,"ESCALATED TO CBE",IF($AA806=TODAY(),"EMAIL SENT","MONITORING"))))))))))</f>
        <v/>
      </c>
      <c r="V806" s="17">
        <f>IF($U806="",IF(AND(COUNTA($A806:$L806)&gt;0,$N806=""),"Awaiting Collection Email time stamp.",""),IF(OR($U806="PAID",$U806="CLOSED"),IF($U806="PAID","Account paid. Action completed.","Account closed. No further action required."),CHOOSE($Z806,"Collection Email","1st Email Follow-up","2nd Email Follow-up","Escalation to Local Office","Escalation to CBE","Escalation to Roxanne")&amp;" sent "&amp;TEXT($AA806,"dd-mmm")&amp;". "&amp;IF($Z806=6,"Final escalation completed.",IF($U806="OVERDUE","Next: "&amp;$AC806&amp;" was due "&amp;TEXT($AB806,"dd-mmm")&amp;" - "&amp;(NETWORKDAYS($AB806,TODAY(),Holidays)-1)&amp;" business day(s) late. Send now.",IF($U806="DUE TOMORROW","Next: "&amp;$AC806&amp;IF($AB806&lt;=TODAY()," is due TODAY ("," is due next business day (")&amp;TEXT($AB806,"dd-mmm")&amp;").","Next: "&amp;$AC806&amp;" due "&amp;TEXT($AB806,"dd-mmm")&amp;" ("&amp;(NETWORKDAYS(TODAY(),$AB806,Holidays)-1)&amp;" business day(s) left).")))))</f>
        <v/>
      </c>
      <c r="W806" s="17">
        <f>IF($Z806="","",CHOOSE($Z806,"Collection Email","1st Follow-up","2nd Follow-up","Local Office","CBE","Roxanne")&amp;IF($Z806=6," - Final"," - Day "&amp;MAX(0,NETWORKDAYS($AA806,TODAY(),Holidays)-1)&amp;" of "&amp;CHOOSE($Z806,3,3,2,2,3))&amp;" | Total Day "&amp;MAX(0,NETWORKDAYS($N806,TODAY(),Holidays)-1))</f>
        <v/>
      </c>
      <c r="X806" s="18"/>
      <c r="Y806" s="18"/>
      <c r="Z806" s="17">
        <f>IF($N806="","",COUNT($N806:$S806))</f>
        <v/>
      </c>
      <c r="AA806" s="19">
        <f>IF($Z806="","",INT(INDEX($N806:$S806,$Z806)))</f>
        <v/>
      </c>
      <c r="AB806" s="19">
        <f>IF(OR($Z806="",$Z806=6),"",WORKDAY($AA806,CHOOSE($Z806,3,3,2,2,3),Holidays))</f>
        <v/>
      </c>
      <c r="AC806" s="17">
        <f>IF(OR($Z806="",$Z806=6),"",CHOOSE($Z806,"1st Email Follow-up","2nd Email Follow-up","Escalate Local Office","Escalate to CBE","Escalate to Roxanne"))</f>
        <v/>
      </c>
    </row>
    <row r="807" spans="13:29">
      <c r="M807" s="14"/>
      <c r="T807" s="16"/>
      <c r="U807" s="17">
        <f>IF(AND(COUNTA($A807:$L807)=0,$N807=""),"",IF($T807="Paid","PAID",IF($T807="Closed","CLOSED",IF($Z807="","",IF($Z807=6,"ESCALATED TO ROXANNE",IF(TODAY()&gt;$AB807,"OVERDUE",IF($AB807&lt;=WORKDAY(TODAY(),1,Holidays),"DUE TOMORROW",IF($Z807=4,"ESCALATED TO LOCAL OFFICE",IF($Z807=5,"ESCALATED TO CBE",IF($AA807=TODAY(),"EMAIL SENT","MONITORING"))))))))))</f>
        <v/>
      </c>
      <c r="V807" s="17">
        <f>IF($U807="",IF(AND(COUNTA($A807:$L807)&gt;0,$N807=""),"Awaiting Collection Email time stamp.",""),IF(OR($U807="PAID",$U807="CLOSED"),IF($U807="PAID","Account paid. Action completed.","Account closed. No further action required."),CHOOSE($Z807,"Collection Email","1st Email Follow-up","2nd Email Follow-up","Escalation to Local Office","Escalation to CBE","Escalation to Roxanne")&amp;" sent "&amp;TEXT($AA807,"dd-mmm")&amp;". "&amp;IF($Z807=6,"Final escalation completed.",IF($U807="OVERDUE","Next: "&amp;$AC807&amp;" was due "&amp;TEXT($AB807,"dd-mmm")&amp;" - "&amp;(NETWORKDAYS($AB807,TODAY(),Holidays)-1)&amp;" business day(s) late. Send now.",IF($U807="DUE TOMORROW","Next: "&amp;$AC807&amp;IF($AB807&lt;=TODAY()," is due TODAY ("," is due next business day (")&amp;TEXT($AB807,"dd-mmm")&amp;").","Next: "&amp;$AC807&amp;" due "&amp;TEXT($AB807,"dd-mmm")&amp;" ("&amp;(NETWORKDAYS(TODAY(),$AB807,Holidays)-1)&amp;" business day(s) left).")))))</f>
        <v/>
      </c>
      <c r="W807" s="17">
        <f>IF($Z807="","",CHOOSE($Z807,"Collection Email","1st Follow-up","2nd Follow-up","Local Office","CBE","Roxanne")&amp;IF($Z807=6," - Final"," - Day "&amp;MAX(0,NETWORKDAYS($AA807,TODAY(),Holidays)-1)&amp;" of "&amp;CHOOSE($Z807,3,3,2,2,3))&amp;" | Total Day "&amp;MAX(0,NETWORKDAYS($N807,TODAY(),Holidays)-1))</f>
        <v/>
      </c>
      <c r="X807" s="18"/>
      <c r="Y807" s="18"/>
      <c r="Z807" s="17">
        <f>IF($N807="","",COUNT($N807:$S807))</f>
        <v/>
      </c>
      <c r="AA807" s="19">
        <f>IF($Z807="","",INT(INDEX($N807:$S807,$Z807)))</f>
        <v/>
      </c>
      <c r="AB807" s="19">
        <f>IF(OR($Z807="",$Z807=6),"",WORKDAY($AA807,CHOOSE($Z807,3,3,2,2,3),Holidays))</f>
        <v/>
      </c>
      <c r="AC807" s="17">
        <f>IF(OR($Z807="",$Z807=6),"",CHOOSE($Z807,"1st Email Follow-up","2nd Email Follow-up","Escalate Local Office","Escalate to CBE","Escalate to Roxanne"))</f>
        <v/>
      </c>
    </row>
    <row r="808" spans="13:29">
      <c r="M808" s="14"/>
      <c r="T808" s="16"/>
      <c r="U808" s="17">
        <f>IF(AND(COUNTA($A808:$L808)=0,$N808=""),"",IF($T808="Paid","PAID",IF($T808="Closed","CLOSED",IF($Z808="","",IF($Z808=6,"ESCALATED TO ROXANNE",IF(TODAY()&gt;$AB808,"OVERDUE",IF($AB808&lt;=WORKDAY(TODAY(),1,Holidays),"DUE TOMORROW",IF($Z808=4,"ESCALATED TO LOCAL OFFICE",IF($Z808=5,"ESCALATED TO CBE",IF($AA808=TODAY(),"EMAIL SENT","MONITORING"))))))))))</f>
        <v/>
      </c>
      <c r="V808" s="17">
        <f>IF($U808="",IF(AND(COUNTA($A808:$L808)&gt;0,$N808=""),"Awaiting Collection Email time stamp.",""),IF(OR($U808="PAID",$U808="CLOSED"),IF($U808="PAID","Account paid. Action completed.","Account closed. No further action required."),CHOOSE($Z808,"Collection Email","1st Email Follow-up","2nd Email Follow-up","Escalation to Local Office","Escalation to CBE","Escalation to Roxanne")&amp;" sent "&amp;TEXT($AA808,"dd-mmm")&amp;". "&amp;IF($Z808=6,"Final escalation completed.",IF($U808="OVERDUE","Next: "&amp;$AC808&amp;" was due "&amp;TEXT($AB808,"dd-mmm")&amp;" - "&amp;(NETWORKDAYS($AB808,TODAY(),Holidays)-1)&amp;" business day(s) late. Send now.",IF($U808="DUE TOMORROW","Next: "&amp;$AC808&amp;IF($AB808&lt;=TODAY()," is due TODAY ("," is due next business day (")&amp;TEXT($AB808,"dd-mmm")&amp;").","Next: "&amp;$AC808&amp;" due "&amp;TEXT($AB808,"dd-mmm")&amp;" ("&amp;(NETWORKDAYS(TODAY(),$AB808,Holidays)-1)&amp;" business day(s) left).")))))</f>
        <v/>
      </c>
      <c r="W808" s="17">
        <f>IF($Z808="","",CHOOSE($Z808,"Collection Email","1st Follow-up","2nd Follow-up","Local Office","CBE","Roxanne")&amp;IF($Z808=6," - Final"," - Day "&amp;MAX(0,NETWORKDAYS($AA808,TODAY(),Holidays)-1)&amp;" of "&amp;CHOOSE($Z808,3,3,2,2,3))&amp;" | Total Day "&amp;MAX(0,NETWORKDAYS($N808,TODAY(),Holidays)-1))</f>
        <v/>
      </c>
      <c r="X808" s="18"/>
      <c r="Y808" s="18"/>
      <c r="Z808" s="17">
        <f>IF($N808="","",COUNT($N808:$S808))</f>
        <v/>
      </c>
      <c r="AA808" s="19">
        <f>IF($Z808="","",INT(INDEX($N808:$S808,$Z808)))</f>
        <v/>
      </c>
      <c r="AB808" s="19">
        <f>IF(OR($Z808="",$Z808=6),"",WORKDAY($AA808,CHOOSE($Z808,3,3,2,2,3),Holidays))</f>
        <v/>
      </c>
      <c r="AC808" s="17">
        <f>IF(OR($Z808="",$Z808=6),"",CHOOSE($Z808,"1st Email Follow-up","2nd Email Follow-up","Escalate Local Office","Escalate to CBE","Escalate to Roxanne"))</f>
        <v/>
      </c>
    </row>
    <row r="809" spans="13:29">
      <c r="M809" s="14"/>
      <c r="T809" s="16"/>
      <c r="U809" s="17">
        <f>IF(AND(COUNTA($A809:$L809)=0,$N809=""),"",IF($T809="Paid","PAID",IF($T809="Closed","CLOSED",IF($Z809="","",IF($Z809=6,"ESCALATED TO ROXANNE",IF(TODAY()&gt;$AB809,"OVERDUE",IF($AB809&lt;=WORKDAY(TODAY(),1,Holidays),"DUE TOMORROW",IF($Z809=4,"ESCALATED TO LOCAL OFFICE",IF($Z809=5,"ESCALATED TO CBE",IF($AA809=TODAY(),"EMAIL SENT","MONITORING"))))))))))</f>
        <v/>
      </c>
      <c r="V809" s="17">
        <f>IF($U809="",IF(AND(COUNTA($A809:$L809)&gt;0,$N809=""),"Awaiting Collection Email time stamp.",""),IF(OR($U809="PAID",$U809="CLOSED"),IF($U809="PAID","Account paid. Action completed.","Account closed. No further action required."),CHOOSE($Z809,"Collection Email","1st Email Follow-up","2nd Email Follow-up","Escalation to Local Office","Escalation to CBE","Escalation to Roxanne")&amp;" sent "&amp;TEXT($AA809,"dd-mmm")&amp;". "&amp;IF($Z809=6,"Final escalation completed.",IF($U809="OVERDUE","Next: "&amp;$AC809&amp;" was due "&amp;TEXT($AB809,"dd-mmm")&amp;" - "&amp;(NETWORKDAYS($AB809,TODAY(),Holidays)-1)&amp;" business day(s) late. Send now.",IF($U809="DUE TOMORROW","Next: "&amp;$AC809&amp;IF($AB809&lt;=TODAY()," is due TODAY ("," is due next business day (")&amp;TEXT($AB809,"dd-mmm")&amp;").","Next: "&amp;$AC809&amp;" due "&amp;TEXT($AB809,"dd-mmm")&amp;" ("&amp;(NETWORKDAYS(TODAY(),$AB809,Holidays)-1)&amp;" business day(s) left).")))))</f>
        <v/>
      </c>
      <c r="W809" s="17">
        <f>IF($Z809="","",CHOOSE($Z809,"Collection Email","1st Follow-up","2nd Follow-up","Local Office","CBE","Roxanne")&amp;IF($Z809=6," - Final"," - Day "&amp;MAX(0,NETWORKDAYS($AA809,TODAY(),Holidays)-1)&amp;" of "&amp;CHOOSE($Z809,3,3,2,2,3))&amp;" | Total Day "&amp;MAX(0,NETWORKDAYS($N809,TODAY(),Holidays)-1))</f>
        <v/>
      </c>
      <c r="X809" s="18"/>
      <c r="Y809" s="18"/>
      <c r="Z809" s="17">
        <f>IF($N809="","",COUNT($N809:$S809))</f>
        <v/>
      </c>
      <c r="AA809" s="19">
        <f>IF($Z809="","",INT(INDEX($N809:$S809,$Z809)))</f>
        <v/>
      </c>
      <c r="AB809" s="19">
        <f>IF(OR($Z809="",$Z809=6),"",WORKDAY($AA809,CHOOSE($Z809,3,3,2,2,3),Holidays))</f>
        <v/>
      </c>
      <c r="AC809" s="17">
        <f>IF(OR($Z809="",$Z809=6),"",CHOOSE($Z809,"1st Email Follow-up","2nd Email Follow-up","Escalate Local Office","Escalate to CBE","Escalate to Roxanne"))</f>
        <v/>
      </c>
    </row>
    <row r="810" spans="13:29">
      <c r="M810" s="14"/>
      <c r="T810" s="16"/>
      <c r="U810" s="17">
        <f>IF(AND(COUNTA($A810:$L810)=0,$N810=""),"",IF($T810="Paid","PAID",IF($T810="Closed","CLOSED",IF($Z810="","",IF($Z810=6,"ESCALATED TO ROXANNE",IF(TODAY()&gt;$AB810,"OVERDUE",IF($AB810&lt;=WORKDAY(TODAY(),1,Holidays),"DUE TOMORROW",IF($Z810=4,"ESCALATED TO LOCAL OFFICE",IF($Z810=5,"ESCALATED TO CBE",IF($AA810=TODAY(),"EMAIL SENT","MONITORING"))))))))))</f>
        <v/>
      </c>
      <c r="V810" s="17">
        <f>IF($U810="",IF(AND(COUNTA($A810:$L810)&gt;0,$N810=""),"Awaiting Collection Email time stamp.",""),IF(OR($U810="PAID",$U810="CLOSED"),IF($U810="PAID","Account paid. Action completed.","Account closed. No further action required."),CHOOSE($Z810,"Collection Email","1st Email Follow-up","2nd Email Follow-up","Escalation to Local Office","Escalation to CBE","Escalation to Roxanne")&amp;" sent "&amp;TEXT($AA810,"dd-mmm")&amp;". "&amp;IF($Z810=6,"Final escalation completed.",IF($U810="OVERDUE","Next: "&amp;$AC810&amp;" was due "&amp;TEXT($AB810,"dd-mmm")&amp;" - "&amp;(NETWORKDAYS($AB810,TODAY(),Holidays)-1)&amp;" business day(s) late. Send now.",IF($U810="DUE TOMORROW","Next: "&amp;$AC810&amp;IF($AB810&lt;=TODAY()," is due TODAY ("," is due next business day (")&amp;TEXT($AB810,"dd-mmm")&amp;").","Next: "&amp;$AC810&amp;" due "&amp;TEXT($AB810,"dd-mmm")&amp;" ("&amp;(NETWORKDAYS(TODAY(),$AB810,Holidays)-1)&amp;" business day(s) left).")))))</f>
        <v/>
      </c>
      <c r="W810" s="17">
        <f>IF($Z810="","",CHOOSE($Z810,"Collection Email","1st Follow-up","2nd Follow-up","Local Office","CBE","Roxanne")&amp;IF($Z810=6," - Final"," - Day "&amp;MAX(0,NETWORKDAYS($AA810,TODAY(),Holidays)-1)&amp;" of "&amp;CHOOSE($Z810,3,3,2,2,3))&amp;" | Total Day "&amp;MAX(0,NETWORKDAYS($N810,TODAY(),Holidays)-1))</f>
        <v/>
      </c>
      <c r="X810" s="18"/>
      <c r="Y810" s="18"/>
      <c r="Z810" s="17">
        <f>IF($N810="","",COUNT($N810:$S810))</f>
        <v/>
      </c>
      <c r="AA810" s="19">
        <f>IF($Z810="","",INT(INDEX($N810:$S810,$Z810)))</f>
        <v/>
      </c>
      <c r="AB810" s="19">
        <f>IF(OR($Z810="",$Z810=6),"",WORKDAY($AA810,CHOOSE($Z810,3,3,2,2,3),Holidays))</f>
        <v/>
      </c>
      <c r="AC810" s="17">
        <f>IF(OR($Z810="",$Z810=6),"",CHOOSE($Z810,"1st Email Follow-up","2nd Email Follow-up","Escalate Local Office","Escalate to CBE","Escalate to Roxanne"))</f>
        <v/>
      </c>
    </row>
    <row r="811" spans="13:29">
      <c r="M811" s="14"/>
      <c r="T811" s="16"/>
      <c r="U811" s="17">
        <f>IF(AND(COUNTA($A811:$L811)=0,$N811=""),"",IF($T811="Paid","PAID",IF($T811="Closed","CLOSED",IF($Z811="","",IF($Z811=6,"ESCALATED TO ROXANNE",IF(TODAY()&gt;$AB811,"OVERDUE",IF($AB811&lt;=WORKDAY(TODAY(),1,Holidays),"DUE TOMORROW",IF($Z811=4,"ESCALATED TO LOCAL OFFICE",IF($Z811=5,"ESCALATED TO CBE",IF($AA811=TODAY(),"EMAIL SENT","MONITORING"))))))))))</f>
        <v/>
      </c>
      <c r="V811" s="17">
        <f>IF($U811="",IF(AND(COUNTA($A811:$L811)&gt;0,$N811=""),"Awaiting Collection Email time stamp.",""),IF(OR($U811="PAID",$U811="CLOSED"),IF($U811="PAID","Account paid. Action completed.","Account closed. No further action required."),CHOOSE($Z811,"Collection Email","1st Email Follow-up","2nd Email Follow-up","Escalation to Local Office","Escalation to CBE","Escalation to Roxanne")&amp;" sent "&amp;TEXT($AA811,"dd-mmm")&amp;". "&amp;IF($Z811=6,"Final escalation completed.",IF($U811="OVERDUE","Next: "&amp;$AC811&amp;" was due "&amp;TEXT($AB811,"dd-mmm")&amp;" - "&amp;(NETWORKDAYS($AB811,TODAY(),Holidays)-1)&amp;" business day(s) late. Send now.",IF($U811="DUE TOMORROW","Next: "&amp;$AC811&amp;IF($AB811&lt;=TODAY()," is due TODAY ("," is due next business day (")&amp;TEXT($AB811,"dd-mmm")&amp;").","Next: "&amp;$AC811&amp;" due "&amp;TEXT($AB811,"dd-mmm")&amp;" ("&amp;(NETWORKDAYS(TODAY(),$AB811,Holidays)-1)&amp;" business day(s) left).")))))</f>
        <v/>
      </c>
      <c r="W811" s="17">
        <f>IF($Z811="","",CHOOSE($Z811,"Collection Email","1st Follow-up","2nd Follow-up","Local Office","CBE","Roxanne")&amp;IF($Z811=6," - Final"," - Day "&amp;MAX(0,NETWORKDAYS($AA811,TODAY(),Holidays)-1)&amp;" of "&amp;CHOOSE($Z811,3,3,2,2,3))&amp;" | Total Day "&amp;MAX(0,NETWORKDAYS($N811,TODAY(),Holidays)-1))</f>
        <v/>
      </c>
      <c r="X811" s="18"/>
      <c r="Y811" s="18"/>
      <c r="Z811" s="17">
        <f>IF($N811="","",COUNT($N811:$S811))</f>
        <v/>
      </c>
      <c r="AA811" s="19">
        <f>IF($Z811="","",INT(INDEX($N811:$S811,$Z811)))</f>
        <v/>
      </c>
      <c r="AB811" s="19">
        <f>IF(OR($Z811="",$Z811=6),"",WORKDAY($AA811,CHOOSE($Z811,3,3,2,2,3),Holidays))</f>
        <v/>
      </c>
      <c r="AC811" s="17">
        <f>IF(OR($Z811="",$Z811=6),"",CHOOSE($Z811,"1st Email Follow-up","2nd Email Follow-up","Escalate Local Office","Escalate to CBE","Escalate to Roxanne"))</f>
        <v/>
      </c>
    </row>
    <row r="812" spans="13:29">
      <c r="M812" s="14"/>
      <c r="T812" s="16"/>
      <c r="U812" s="17">
        <f>IF(AND(COUNTA($A812:$L812)=0,$N812=""),"",IF($T812="Paid","PAID",IF($T812="Closed","CLOSED",IF($Z812="","",IF($Z812=6,"ESCALATED TO ROXANNE",IF(TODAY()&gt;$AB812,"OVERDUE",IF($AB812&lt;=WORKDAY(TODAY(),1,Holidays),"DUE TOMORROW",IF($Z812=4,"ESCALATED TO LOCAL OFFICE",IF($Z812=5,"ESCALATED TO CBE",IF($AA812=TODAY(),"EMAIL SENT","MONITORING"))))))))))</f>
        <v/>
      </c>
      <c r="V812" s="17">
        <f>IF($U812="",IF(AND(COUNTA($A812:$L812)&gt;0,$N812=""),"Awaiting Collection Email time stamp.",""),IF(OR($U812="PAID",$U812="CLOSED"),IF($U812="PAID","Account paid. Action completed.","Account closed. No further action required."),CHOOSE($Z812,"Collection Email","1st Email Follow-up","2nd Email Follow-up","Escalation to Local Office","Escalation to CBE","Escalation to Roxanne")&amp;" sent "&amp;TEXT($AA812,"dd-mmm")&amp;". "&amp;IF($Z812=6,"Final escalation completed.",IF($U812="OVERDUE","Next: "&amp;$AC812&amp;" was due "&amp;TEXT($AB812,"dd-mmm")&amp;" - "&amp;(NETWORKDAYS($AB812,TODAY(),Holidays)-1)&amp;" business day(s) late. Send now.",IF($U812="DUE TOMORROW","Next: "&amp;$AC812&amp;IF($AB812&lt;=TODAY()," is due TODAY ("," is due next business day (")&amp;TEXT($AB812,"dd-mmm")&amp;").","Next: "&amp;$AC812&amp;" due "&amp;TEXT($AB812,"dd-mmm")&amp;" ("&amp;(NETWORKDAYS(TODAY(),$AB812,Holidays)-1)&amp;" business day(s) left).")))))</f>
        <v/>
      </c>
      <c r="W812" s="17">
        <f>IF($Z812="","",CHOOSE($Z812,"Collection Email","1st Follow-up","2nd Follow-up","Local Office","CBE","Roxanne")&amp;IF($Z812=6," - Final"," - Day "&amp;MAX(0,NETWORKDAYS($AA812,TODAY(),Holidays)-1)&amp;" of "&amp;CHOOSE($Z812,3,3,2,2,3))&amp;" | Total Day "&amp;MAX(0,NETWORKDAYS($N812,TODAY(),Holidays)-1))</f>
        <v/>
      </c>
      <c r="X812" s="18"/>
      <c r="Y812" s="18"/>
      <c r="Z812" s="17">
        <f>IF($N812="","",COUNT($N812:$S812))</f>
        <v/>
      </c>
      <c r="AA812" s="19">
        <f>IF($Z812="","",INT(INDEX($N812:$S812,$Z812)))</f>
        <v/>
      </c>
      <c r="AB812" s="19">
        <f>IF(OR($Z812="",$Z812=6),"",WORKDAY($AA812,CHOOSE($Z812,3,3,2,2,3),Holidays))</f>
        <v/>
      </c>
      <c r="AC812" s="17">
        <f>IF(OR($Z812="",$Z812=6),"",CHOOSE($Z812,"1st Email Follow-up","2nd Email Follow-up","Escalate Local Office","Escalate to CBE","Escalate to Roxanne"))</f>
        <v/>
      </c>
    </row>
    <row r="813" spans="13:29">
      <c r="M813" s="14"/>
      <c r="T813" s="16"/>
      <c r="U813" s="17">
        <f>IF(AND(COUNTA($A813:$L813)=0,$N813=""),"",IF($T813="Paid","PAID",IF($T813="Closed","CLOSED",IF($Z813="","",IF($Z813=6,"ESCALATED TO ROXANNE",IF(TODAY()&gt;$AB813,"OVERDUE",IF($AB813&lt;=WORKDAY(TODAY(),1,Holidays),"DUE TOMORROW",IF($Z813=4,"ESCALATED TO LOCAL OFFICE",IF($Z813=5,"ESCALATED TO CBE",IF($AA813=TODAY(),"EMAIL SENT","MONITORING"))))))))))</f>
        <v/>
      </c>
      <c r="V813" s="17">
        <f>IF($U813="",IF(AND(COUNTA($A813:$L813)&gt;0,$N813=""),"Awaiting Collection Email time stamp.",""),IF(OR($U813="PAID",$U813="CLOSED"),IF($U813="PAID","Account paid. Action completed.","Account closed. No further action required."),CHOOSE($Z813,"Collection Email","1st Email Follow-up","2nd Email Follow-up","Escalation to Local Office","Escalation to CBE","Escalation to Roxanne")&amp;" sent "&amp;TEXT($AA813,"dd-mmm")&amp;". "&amp;IF($Z813=6,"Final escalation completed.",IF($U813="OVERDUE","Next: "&amp;$AC813&amp;" was due "&amp;TEXT($AB813,"dd-mmm")&amp;" - "&amp;(NETWORKDAYS($AB813,TODAY(),Holidays)-1)&amp;" business day(s) late. Send now.",IF($U813="DUE TOMORROW","Next: "&amp;$AC813&amp;IF($AB813&lt;=TODAY()," is due TODAY ("," is due next business day (")&amp;TEXT($AB813,"dd-mmm")&amp;").","Next: "&amp;$AC813&amp;" due "&amp;TEXT($AB813,"dd-mmm")&amp;" ("&amp;(NETWORKDAYS(TODAY(),$AB813,Holidays)-1)&amp;" business day(s) left).")))))</f>
        <v/>
      </c>
      <c r="W813" s="17">
        <f>IF($Z813="","",CHOOSE($Z813,"Collection Email","1st Follow-up","2nd Follow-up","Local Office","CBE","Roxanne")&amp;IF($Z813=6," - Final"," - Day "&amp;MAX(0,NETWORKDAYS($AA813,TODAY(),Holidays)-1)&amp;" of "&amp;CHOOSE($Z813,3,3,2,2,3))&amp;" | Total Day "&amp;MAX(0,NETWORKDAYS($N813,TODAY(),Holidays)-1))</f>
        <v/>
      </c>
      <c r="X813" s="18"/>
      <c r="Y813" s="18"/>
      <c r="Z813" s="17">
        <f>IF($N813="","",COUNT($N813:$S813))</f>
        <v/>
      </c>
      <c r="AA813" s="19">
        <f>IF($Z813="","",INT(INDEX($N813:$S813,$Z813)))</f>
        <v/>
      </c>
      <c r="AB813" s="19">
        <f>IF(OR($Z813="",$Z813=6),"",WORKDAY($AA813,CHOOSE($Z813,3,3,2,2,3),Holidays))</f>
        <v/>
      </c>
      <c r="AC813" s="17">
        <f>IF(OR($Z813="",$Z813=6),"",CHOOSE($Z813,"1st Email Follow-up","2nd Email Follow-up","Escalate Local Office","Escalate to CBE","Escalate to Roxanne"))</f>
        <v/>
      </c>
    </row>
    <row r="814" spans="13:29">
      <c r="M814" s="14"/>
      <c r="T814" s="16"/>
      <c r="U814" s="17">
        <f>IF(AND(COUNTA($A814:$L814)=0,$N814=""),"",IF($T814="Paid","PAID",IF($T814="Closed","CLOSED",IF($Z814="","",IF($Z814=6,"ESCALATED TO ROXANNE",IF(TODAY()&gt;$AB814,"OVERDUE",IF($AB814&lt;=WORKDAY(TODAY(),1,Holidays),"DUE TOMORROW",IF($Z814=4,"ESCALATED TO LOCAL OFFICE",IF($Z814=5,"ESCALATED TO CBE",IF($AA814=TODAY(),"EMAIL SENT","MONITORING"))))))))))</f>
        <v/>
      </c>
      <c r="V814" s="17">
        <f>IF($U814="",IF(AND(COUNTA($A814:$L814)&gt;0,$N814=""),"Awaiting Collection Email time stamp.",""),IF(OR($U814="PAID",$U814="CLOSED"),IF($U814="PAID","Account paid. Action completed.","Account closed. No further action required."),CHOOSE($Z814,"Collection Email","1st Email Follow-up","2nd Email Follow-up","Escalation to Local Office","Escalation to CBE","Escalation to Roxanne")&amp;" sent "&amp;TEXT($AA814,"dd-mmm")&amp;". "&amp;IF($Z814=6,"Final escalation completed.",IF($U814="OVERDUE","Next: "&amp;$AC814&amp;" was due "&amp;TEXT($AB814,"dd-mmm")&amp;" - "&amp;(NETWORKDAYS($AB814,TODAY(),Holidays)-1)&amp;" business day(s) late. Send now.",IF($U814="DUE TOMORROW","Next: "&amp;$AC814&amp;IF($AB814&lt;=TODAY()," is due TODAY ("," is due next business day (")&amp;TEXT($AB814,"dd-mmm")&amp;").","Next: "&amp;$AC814&amp;" due "&amp;TEXT($AB814,"dd-mmm")&amp;" ("&amp;(NETWORKDAYS(TODAY(),$AB814,Holidays)-1)&amp;" business day(s) left).")))))</f>
        <v/>
      </c>
      <c r="W814" s="17">
        <f>IF($Z814="","",CHOOSE($Z814,"Collection Email","1st Follow-up","2nd Follow-up","Local Office","CBE","Roxanne")&amp;IF($Z814=6," - Final"," - Day "&amp;MAX(0,NETWORKDAYS($AA814,TODAY(),Holidays)-1)&amp;" of "&amp;CHOOSE($Z814,3,3,2,2,3))&amp;" | Total Day "&amp;MAX(0,NETWORKDAYS($N814,TODAY(),Holidays)-1))</f>
        <v/>
      </c>
      <c r="X814" s="18"/>
      <c r="Y814" s="18"/>
      <c r="Z814" s="17">
        <f>IF($N814="","",COUNT($N814:$S814))</f>
        <v/>
      </c>
      <c r="AA814" s="19">
        <f>IF($Z814="","",INT(INDEX($N814:$S814,$Z814)))</f>
        <v/>
      </c>
      <c r="AB814" s="19">
        <f>IF(OR($Z814="",$Z814=6),"",WORKDAY($AA814,CHOOSE($Z814,3,3,2,2,3),Holidays))</f>
        <v/>
      </c>
      <c r="AC814" s="17">
        <f>IF(OR($Z814="",$Z814=6),"",CHOOSE($Z814,"1st Email Follow-up","2nd Email Follow-up","Escalate Local Office","Escalate to CBE","Escalate to Roxanne"))</f>
        <v/>
      </c>
    </row>
    <row r="815" spans="13:29">
      <c r="M815" s="14"/>
      <c r="T815" s="16"/>
      <c r="U815" s="17">
        <f>IF(AND(COUNTA($A815:$L815)=0,$N815=""),"",IF($T815="Paid","PAID",IF($T815="Closed","CLOSED",IF($Z815="","",IF($Z815=6,"ESCALATED TO ROXANNE",IF(TODAY()&gt;$AB815,"OVERDUE",IF($AB815&lt;=WORKDAY(TODAY(),1,Holidays),"DUE TOMORROW",IF($Z815=4,"ESCALATED TO LOCAL OFFICE",IF($Z815=5,"ESCALATED TO CBE",IF($AA815=TODAY(),"EMAIL SENT","MONITORING"))))))))))</f>
        <v/>
      </c>
      <c r="V815" s="17">
        <f>IF($U815="",IF(AND(COUNTA($A815:$L815)&gt;0,$N815=""),"Awaiting Collection Email time stamp.",""),IF(OR($U815="PAID",$U815="CLOSED"),IF($U815="PAID","Account paid. Action completed.","Account closed. No further action required."),CHOOSE($Z815,"Collection Email","1st Email Follow-up","2nd Email Follow-up","Escalation to Local Office","Escalation to CBE","Escalation to Roxanne")&amp;" sent "&amp;TEXT($AA815,"dd-mmm")&amp;". "&amp;IF($Z815=6,"Final escalation completed.",IF($U815="OVERDUE","Next: "&amp;$AC815&amp;" was due "&amp;TEXT($AB815,"dd-mmm")&amp;" - "&amp;(NETWORKDAYS($AB815,TODAY(),Holidays)-1)&amp;" business day(s) late. Send now.",IF($U815="DUE TOMORROW","Next: "&amp;$AC815&amp;IF($AB815&lt;=TODAY()," is due TODAY ("," is due next business day (")&amp;TEXT($AB815,"dd-mmm")&amp;").","Next: "&amp;$AC815&amp;" due "&amp;TEXT($AB815,"dd-mmm")&amp;" ("&amp;(NETWORKDAYS(TODAY(),$AB815,Holidays)-1)&amp;" business day(s) left).")))))</f>
        <v/>
      </c>
      <c r="W815" s="17">
        <f>IF($Z815="","",CHOOSE($Z815,"Collection Email","1st Follow-up","2nd Follow-up","Local Office","CBE","Roxanne")&amp;IF($Z815=6," - Final"," - Day "&amp;MAX(0,NETWORKDAYS($AA815,TODAY(),Holidays)-1)&amp;" of "&amp;CHOOSE($Z815,3,3,2,2,3))&amp;" | Total Day "&amp;MAX(0,NETWORKDAYS($N815,TODAY(),Holidays)-1))</f>
        <v/>
      </c>
      <c r="X815" s="18"/>
      <c r="Y815" s="18"/>
      <c r="Z815" s="17">
        <f>IF($N815="","",COUNT($N815:$S815))</f>
        <v/>
      </c>
      <c r="AA815" s="19">
        <f>IF($Z815="","",INT(INDEX($N815:$S815,$Z815)))</f>
        <v/>
      </c>
      <c r="AB815" s="19">
        <f>IF(OR($Z815="",$Z815=6),"",WORKDAY($AA815,CHOOSE($Z815,3,3,2,2,3),Holidays))</f>
        <v/>
      </c>
      <c r="AC815" s="17">
        <f>IF(OR($Z815="",$Z815=6),"",CHOOSE($Z815,"1st Email Follow-up","2nd Email Follow-up","Escalate Local Office","Escalate to CBE","Escalate to Roxanne"))</f>
        <v/>
      </c>
    </row>
    <row r="816" spans="13:29">
      <c r="M816" s="14"/>
      <c r="T816" s="16"/>
      <c r="U816" s="17">
        <f>IF(AND(COUNTA($A816:$L816)=0,$N816=""),"",IF($T816="Paid","PAID",IF($T816="Closed","CLOSED",IF($Z816="","",IF($Z816=6,"ESCALATED TO ROXANNE",IF(TODAY()&gt;$AB816,"OVERDUE",IF($AB816&lt;=WORKDAY(TODAY(),1,Holidays),"DUE TOMORROW",IF($Z816=4,"ESCALATED TO LOCAL OFFICE",IF($Z816=5,"ESCALATED TO CBE",IF($AA816=TODAY(),"EMAIL SENT","MONITORING"))))))))))</f>
        <v/>
      </c>
      <c r="V816" s="17">
        <f>IF($U816="",IF(AND(COUNTA($A816:$L816)&gt;0,$N816=""),"Awaiting Collection Email time stamp.",""),IF(OR($U816="PAID",$U816="CLOSED"),IF($U816="PAID","Account paid. Action completed.","Account closed. No further action required."),CHOOSE($Z816,"Collection Email","1st Email Follow-up","2nd Email Follow-up","Escalation to Local Office","Escalation to CBE","Escalation to Roxanne")&amp;" sent "&amp;TEXT($AA816,"dd-mmm")&amp;". "&amp;IF($Z816=6,"Final escalation completed.",IF($U816="OVERDUE","Next: "&amp;$AC816&amp;" was due "&amp;TEXT($AB816,"dd-mmm")&amp;" - "&amp;(NETWORKDAYS($AB816,TODAY(),Holidays)-1)&amp;" business day(s) late. Send now.",IF($U816="DUE TOMORROW","Next: "&amp;$AC816&amp;IF($AB816&lt;=TODAY()," is due TODAY ("," is due next business day (")&amp;TEXT($AB816,"dd-mmm")&amp;").","Next: "&amp;$AC816&amp;" due "&amp;TEXT($AB816,"dd-mmm")&amp;" ("&amp;(NETWORKDAYS(TODAY(),$AB816,Holidays)-1)&amp;" business day(s) left).")))))</f>
        <v/>
      </c>
      <c r="W816" s="17">
        <f>IF($Z816="","",CHOOSE($Z816,"Collection Email","1st Follow-up","2nd Follow-up","Local Office","CBE","Roxanne")&amp;IF($Z816=6," - Final"," - Day "&amp;MAX(0,NETWORKDAYS($AA816,TODAY(),Holidays)-1)&amp;" of "&amp;CHOOSE($Z816,3,3,2,2,3))&amp;" | Total Day "&amp;MAX(0,NETWORKDAYS($N816,TODAY(),Holidays)-1))</f>
        <v/>
      </c>
      <c r="X816" s="18"/>
      <c r="Y816" s="18"/>
      <c r="Z816" s="17">
        <f>IF($N816="","",COUNT($N816:$S816))</f>
        <v/>
      </c>
      <c r="AA816" s="19">
        <f>IF($Z816="","",INT(INDEX($N816:$S816,$Z816)))</f>
        <v/>
      </c>
      <c r="AB816" s="19">
        <f>IF(OR($Z816="",$Z816=6),"",WORKDAY($AA816,CHOOSE($Z816,3,3,2,2,3),Holidays))</f>
        <v/>
      </c>
      <c r="AC816" s="17">
        <f>IF(OR($Z816="",$Z816=6),"",CHOOSE($Z816,"1st Email Follow-up","2nd Email Follow-up","Escalate Local Office","Escalate to CBE","Escalate to Roxanne"))</f>
        <v/>
      </c>
    </row>
    <row r="817" spans="13:29">
      <c r="M817" s="14"/>
      <c r="T817" s="16"/>
      <c r="U817" s="17">
        <f>IF(AND(COUNTA($A817:$L817)=0,$N817=""),"",IF($T817="Paid","PAID",IF($T817="Closed","CLOSED",IF($Z817="","",IF($Z817=6,"ESCALATED TO ROXANNE",IF(TODAY()&gt;$AB817,"OVERDUE",IF($AB817&lt;=WORKDAY(TODAY(),1,Holidays),"DUE TOMORROW",IF($Z817=4,"ESCALATED TO LOCAL OFFICE",IF($Z817=5,"ESCALATED TO CBE",IF($AA817=TODAY(),"EMAIL SENT","MONITORING"))))))))))</f>
        <v/>
      </c>
      <c r="V817" s="17">
        <f>IF($U817="",IF(AND(COUNTA($A817:$L817)&gt;0,$N817=""),"Awaiting Collection Email time stamp.",""),IF(OR($U817="PAID",$U817="CLOSED"),IF($U817="PAID","Account paid. Action completed.","Account closed. No further action required."),CHOOSE($Z817,"Collection Email","1st Email Follow-up","2nd Email Follow-up","Escalation to Local Office","Escalation to CBE","Escalation to Roxanne")&amp;" sent "&amp;TEXT($AA817,"dd-mmm")&amp;". "&amp;IF($Z817=6,"Final escalation completed.",IF($U817="OVERDUE","Next: "&amp;$AC817&amp;" was due "&amp;TEXT($AB817,"dd-mmm")&amp;" - "&amp;(NETWORKDAYS($AB817,TODAY(),Holidays)-1)&amp;" business day(s) late. Send now.",IF($U817="DUE TOMORROW","Next: "&amp;$AC817&amp;IF($AB817&lt;=TODAY()," is due TODAY ("," is due next business day (")&amp;TEXT($AB817,"dd-mmm")&amp;").","Next: "&amp;$AC817&amp;" due "&amp;TEXT($AB817,"dd-mmm")&amp;" ("&amp;(NETWORKDAYS(TODAY(),$AB817,Holidays)-1)&amp;" business day(s) left).")))))</f>
        <v/>
      </c>
      <c r="W817" s="17">
        <f>IF($Z817="","",CHOOSE($Z817,"Collection Email","1st Follow-up","2nd Follow-up","Local Office","CBE","Roxanne")&amp;IF($Z817=6," - Final"," - Day "&amp;MAX(0,NETWORKDAYS($AA817,TODAY(),Holidays)-1)&amp;" of "&amp;CHOOSE($Z817,3,3,2,2,3))&amp;" | Total Day "&amp;MAX(0,NETWORKDAYS($N817,TODAY(),Holidays)-1))</f>
        <v/>
      </c>
      <c r="X817" s="18"/>
      <c r="Y817" s="18"/>
      <c r="Z817" s="17">
        <f>IF($N817="","",COUNT($N817:$S817))</f>
        <v/>
      </c>
      <c r="AA817" s="19">
        <f>IF($Z817="","",INT(INDEX($N817:$S817,$Z817)))</f>
        <v/>
      </c>
      <c r="AB817" s="19">
        <f>IF(OR($Z817="",$Z817=6),"",WORKDAY($AA817,CHOOSE($Z817,3,3,2,2,3),Holidays))</f>
        <v/>
      </c>
      <c r="AC817" s="17">
        <f>IF(OR($Z817="",$Z817=6),"",CHOOSE($Z817,"1st Email Follow-up","2nd Email Follow-up","Escalate Local Office","Escalate to CBE","Escalate to Roxanne"))</f>
        <v/>
      </c>
    </row>
    <row r="818" spans="13:29">
      <c r="M818" s="14"/>
      <c r="T818" s="16"/>
      <c r="U818" s="17">
        <f>IF(AND(COUNTA($A818:$L818)=0,$N818=""),"",IF($T818="Paid","PAID",IF($T818="Closed","CLOSED",IF($Z818="","",IF($Z818=6,"ESCALATED TO ROXANNE",IF(TODAY()&gt;$AB818,"OVERDUE",IF($AB818&lt;=WORKDAY(TODAY(),1,Holidays),"DUE TOMORROW",IF($Z818=4,"ESCALATED TO LOCAL OFFICE",IF($Z818=5,"ESCALATED TO CBE",IF($AA818=TODAY(),"EMAIL SENT","MONITORING"))))))))))</f>
        <v/>
      </c>
      <c r="V818" s="17">
        <f>IF($U818="",IF(AND(COUNTA($A818:$L818)&gt;0,$N818=""),"Awaiting Collection Email time stamp.",""),IF(OR($U818="PAID",$U818="CLOSED"),IF($U818="PAID","Account paid. Action completed.","Account closed. No further action required."),CHOOSE($Z818,"Collection Email","1st Email Follow-up","2nd Email Follow-up","Escalation to Local Office","Escalation to CBE","Escalation to Roxanne")&amp;" sent "&amp;TEXT($AA818,"dd-mmm")&amp;". "&amp;IF($Z818=6,"Final escalation completed.",IF($U818="OVERDUE","Next: "&amp;$AC818&amp;" was due "&amp;TEXT($AB818,"dd-mmm")&amp;" - "&amp;(NETWORKDAYS($AB818,TODAY(),Holidays)-1)&amp;" business day(s) late. Send now.",IF($U818="DUE TOMORROW","Next: "&amp;$AC818&amp;IF($AB818&lt;=TODAY()," is due TODAY ("," is due next business day (")&amp;TEXT($AB818,"dd-mmm")&amp;").","Next: "&amp;$AC818&amp;" due "&amp;TEXT($AB818,"dd-mmm")&amp;" ("&amp;(NETWORKDAYS(TODAY(),$AB818,Holidays)-1)&amp;" business day(s) left).")))))</f>
        <v/>
      </c>
      <c r="W818" s="17">
        <f>IF($Z818="","",CHOOSE($Z818,"Collection Email","1st Follow-up","2nd Follow-up","Local Office","CBE","Roxanne")&amp;IF($Z818=6," - Final"," - Day "&amp;MAX(0,NETWORKDAYS($AA818,TODAY(),Holidays)-1)&amp;" of "&amp;CHOOSE($Z818,3,3,2,2,3))&amp;" | Total Day "&amp;MAX(0,NETWORKDAYS($N818,TODAY(),Holidays)-1))</f>
        <v/>
      </c>
      <c r="X818" s="18"/>
      <c r="Y818" s="18"/>
      <c r="Z818" s="17">
        <f>IF($N818="","",COUNT($N818:$S818))</f>
        <v/>
      </c>
      <c r="AA818" s="19">
        <f>IF($Z818="","",INT(INDEX($N818:$S818,$Z818)))</f>
        <v/>
      </c>
      <c r="AB818" s="19">
        <f>IF(OR($Z818="",$Z818=6),"",WORKDAY($AA818,CHOOSE($Z818,3,3,2,2,3),Holidays))</f>
        <v/>
      </c>
      <c r="AC818" s="17">
        <f>IF(OR($Z818="",$Z818=6),"",CHOOSE($Z818,"1st Email Follow-up","2nd Email Follow-up","Escalate Local Office","Escalate to CBE","Escalate to Roxanne"))</f>
        <v/>
      </c>
    </row>
    <row r="819" spans="13:29">
      <c r="M819" s="14"/>
      <c r="T819" s="16"/>
      <c r="U819" s="17">
        <f>IF(AND(COUNTA($A819:$L819)=0,$N819=""),"",IF($T819="Paid","PAID",IF($T819="Closed","CLOSED",IF($Z819="","",IF($Z819=6,"ESCALATED TO ROXANNE",IF(TODAY()&gt;$AB819,"OVERDUE",IF($AB819&lt;=WORKDAY(TODAY(),1,Holidays),"DUE TOMORROW",IF($Z819=4,"ESCALATED TO LOCAL OFFICE",IF($Z819=5,"ESCALATED TO CBE",IF($AA819=TODAY(),"EMAIL SENT","MONITORING"))))))))))</f>
        <v/>
      </c>
      <c r="V819" s="17">
        <f>IF($U819="",IF(AND(COUNTA($A819:$L819)&gt;0,$N819=""),"Awaiting Collection Email time stamp.",""),IF(OR($U819="PAID",$U819="CLOSED"),IF($U819="PAID","Account paid. Action completed.","Account closed. No further action required."),CHOOSE($Z819,"Collection Email","1st Email Follow-up","2nd Email Follow-up","Escalation to Local Office","Escalation to CBE","Escalation to Roxanne")&amp;" sent "&amp;TEXT($AA819,"dd-mmm")&amp;". "&amp;IF($Z819=6,"Final escalation completed.",IF($U819="OVERDUE","Next: "&amp;$AC819&amp;" was due "&amp;TEXT($AB819,"dd-mmm")&amp;" - "&amp;(NETWORKDAYS($AB819,TODAY(),Holidays)-1)&amp;" business day(s) late. Send now.",IF($U819="DUE TOMORROW","Next: "&amp;$AC819&amp;IF($AB819&lt;=TODAY()," is due TODAY ("," is due next business day (")&amp;TEXT($AB819,"dd-mmm")&amp;").","Next: "&amp;$AC819&amp;" due "&amp;TEXT($AB819,"dd-mmm")&amp;" ("&amp;(NETWORKDAYS(TODAY(),$AB819,Holidays)-1)&amp;" business day(s) left).")))))</f>
        <v/>
      </c>
      <c r="W819" s="17">
        <f>IF($Z819="","",CHOOSE($Z819,"Collection Email","1st Follow-up","2nd Follow-up","Local Office","CBE","Roxanne")&amp;IF($Z819=6," - Final"," - Day "&amp;MAX(0,NETWORKDAYS($AA819,TODAY(),Holidays)-1)&amp;" of "&amp;CHOOSE($Z819,3,3,2,2,3))&amp;" | Total Day "&amp;MAX(0,NETWORKDAYS($N819,TODAY(),Holidays)-1))</f>
        <v/>
      </c>
      <c r="X819" s="18"/>
      <c r="Y819" s="18"/>
      <c r="Z819" s="17">
        <f>IF($N819="","",COUNT($N819:$S819))</f>
        <v/>
      </c>
      <c r="AA819" s="19">
        <f>IF($Z819="","",INT(INDEX($N819:$S819,$Z819)))</f>
        <v/>
      </c>
      <c r="AB819" s="19">
        <f>IF(OR($Z819="",$Z819=6),"",WORKDAY($AA819,CHOOSE($Z819,3,3,2,2,3),Holidays))</f>
        <v/>
      </c>
      <c r="AC819" s="17">
        <f>IF(OR($Z819="",$Z819=6),"",CHOOSE($Z819,"1st Email Follow-up","2nd Email Follow-up","Escalate Local Office","Escalate to CBE","Escalate to Roxanne"))</f>
        <v/>
      </c>
    </row>
    <row r="820" spans="13:29">
      <c r="M820" s="14"/>
      <c r="T820" s="16"/>
      <c r="U820" s="17">
        <f>IF(AND(COUNTA($A820:$L820)=0,$N820=""),"",IF($T820="Paid","PAID",IF($T820="Closed","CLOSED",IF($Z820="","",IF($Z820=6,"ESCALATED TO ROXANNE",IF(TODAY()&gt;$AB820,"OVERDUE",IF($AB820&lt;=WORKDAY(TODAY(),1,Holidays),"DUE TOMORROW",IF($Z820=4,"ESCALATED TO LOCAL OFFICE",IF($Z820=5,"ESCALATED TO CBE",IF($AA820=TODAY(),"EMAIL SENT","MONITORING"))))))))))</f>
        <v/>
      </c>
      <c r="V820" s="17">
        <f>IF($U820="",IF(AND(COUNTA($A820:$L820)&gt;0,$N820=""),"Awaiting Collection Email time stamp.",""),IF(OR($U820="PAID",$U820="CLOSED"),IF($U820="PAID","Account paid. Action completed.","Account closed. No further action required."),CHOOSE($Z820,"Collection Email","1st Email Follow-up","2nd Email Follow-up","Escalation to Local Office","Escalation to CBE","Escalation to Roxanne")&amp;" sent "&amp;TEXT($AA820,"dd-mmm")&amp;". "&amp;IF($Z820=6,"Final escalation completed.",IF($U820="OVERDUE","Next: "&amp;$AC820&amp;" was due "&amp;TEXT($AB820,"dd-mmm")&amp;" - "&amp;(NETWORKDAYS($AB820,TODAY(),Holidays)-1)&amp;" business day(s) late. Send now.",IF($U820="DUE TOMORROW","Next: "&amp;$AC820&amp;IF($AB820&lt;=TODAY()," is due TODAY ("," is due next business day (")&amp;TEXT($AB820,"dd-mmm")&amp;").","Next: "&amp;$AC820&amp;" due "&amp;TEXT($AB820,"dd-mmm")&amp;" ("&amp;(NETWORKDAYS(TODAY(),$AB820,Holidays)-1)&amp;" business day(s) left).")))))</f>
        <v/>
      </c>
      <c r="W820" s="17">
        <f>IF($Z820="","",CHOOSE($Z820,"Collection Email","1st Follow-up","2nd Follow-up","Local Office","CBE","Roxanne")&amp;IF($Z820=6," - Final"," - Day "&amp;MAX(0,NETWORKDAYS($AA820,TODAY(),Holidays)-1)&amp;" of "&amp;CHOOSE($Z820,3,3,2,2,3))&amp;" | Total Day "&amp;MAX(0,NETWORKDAYS($N820,TODAY(),Holidays)-1))</f>
        <v/>
      </c>
      <c r="X820" s="18"/>
      <c r="Y820" s="18"/>
      <c r="Z820" s="17">
        <f>IF($N820="","",COUNT($N820:$S820))</f>
        <v/>
      </c>
      <c r="AA820" s="19">
        <f>IF($Z820="","",INT(INDEX($N820:$S820,$Z820)))</f>
        <v/>
      </c>
      <c r="AB820" s="19">
        <f>IF(OR($Z820="",$Z820=6),"",WORKDAY($AA820,CHOOSE($Z820,3,3,2,2,3),Holidays))</f>
        <v/>
      </c>
      <c r="AC820" s="17">
        <f>IF(OR($Z820="",$Z820=6),"",CHOOSE($Z820,"1st Email Follow-up","2nd Email Follow-up","Escalate Local Office","Escalate to CBE","Escalate to Roxanne"))</f>
        <v/>
      </c>
    </row>
    <row r="821" spans="13:29">
      <c r="M821" s="14"/>
      <c r="T821" s="16"/>
      <c r="U821" s="17">
        <f>IF(AND(COUNTA($A821:$L821)=0,$N821=""),"",IF($T821="Paid","PAID",IF($T821="Closed","CLOSED",IF($Z821="","",IF($Z821=6,"ESCALATED TO ROXANNE",IF(TODAY()&gt;$AB821,"OVERDUE",IF($AB821&lt;=WORKDAY(TODAY(),1,Holidays),"DUE TOMORROW",IF($Z821=4,"ESCALATED TO LOCAL OFFICE",IF($Z821=5,"ESCALATED TO CBE",IF($AA821=TODAY(),"EMAIL SENT","MONITORING"))))))))))</f>
        <v/>
      </c>
      <c r="V821" s="17">
        <f>IF($U821="",IF(AND(COUNTA($A821:$L821)&gt;0,$N821=""),"Awaiting Collection Email time stamp.",""),IF(OR($U821="PAID",$U821="CLOSED"),IF($U821="PAID","Account paid. Action completed.","Account closed. No further action required."),CHOOSE($Z821,"Collection Email","1st Email Follow-up","2nd Email Follow-up","Escalation to Local Office","Escalation to CBE","Escalation to Roxanne")&amp;" sent "&amp;TEXT($AA821,"dd-mmm")&amp;". "&amp;IF($Z821=6,"Final escalation completed.",IF($U821="OVERDUE","Next: "&amp;$AC821&amp;" was due "&amp;TEXT($AB821,"dd-mmm")&amp;" - "&amp;(NETWORKDAYS($AB821,TODAY(),Holidays)-1)&amp;" business day(s) late. Send now.",IF($U821="DUE TOMORROW","Next: "&amp;$AC821&amp;IF($AB821&lt;=TODAY()," is due TODAY ("," is due next business day (")&amp;TEXT($AB821,"dd-mmm")&amp;").","Next: "&amp;$AC821&amp;" due "&amp;TEXT($AB821,"dd-mmm")&amp;" ("&amp;(NETWORKDAYS(TODAY(),$AB821,Holidays)-1)&amp;" business day(s) left).")))))</f>
        <v/>
      </c>
      <c r="W821" s="17">
        <f>IF($Z821="","",CHOOSE($Z821,"Collection Email","1st Follow-up","2nd Follow-up","Local Office","CBE","Roxanne")&amp;IF($Z821=6," - Final"," - Day "&amp;MAX(0,NETWORKDAYS($AA821,TODAY(),Holidays)-1)&amp;" of "&amp;CHOOSE($Z821,3,3,2,2,3))&amp;" | Total Day "&amp;MAX(0,NETWORKDAYS($N821,TODAY(),Holidays)-1))</f>
        <v/>
      </c>
      <c r="X821" s="18"/>
      <c r="Y821" s="18"/>
      <c r="Z821" s="17">
        <f>IF($N821="","",COUNT($N821:$S821))</f>
        <v/>
      </c>
      <c r="AA821" s="19">
        <f>IF($Z821="","",INT(INDEX($N821:$S821,$Z821)))</f>
        <v/>
      </c>
      <c r="AB821" s="19">
        <f>IF(OR($Z821="",$Z821=6),"",WORKDAY($AA821,CHOOSE($Z821,3,3,2,2,3),Holidays))</f>
        <v/>
      </c>
      <c r="AC821" s="17">
        <f>IF(OR($Z821="",$Z821=6),"",CHOOSE($Z821,"1st Email Follow-up","2nd Email Follow-up","Escalate Local Office","Escalate to CBE","Escalate to Roxanne"))</f>
        <v/>
      </c>
    </row>
    <row r="822" spans="13:29">
      <c r="M822" s="14"/>
      <c r="T822" s="16"/>
      <c r="U822" s="17">
        <f>IF(AND(COUNTA($A822:$L822)=0,$N822=""),"",IF($T822="Paid","PAID",IF($T822="Closed","CLOSED",IF($Z822="","",IF($Z822=6,"ESCALATED TO ROXANNE",IF(TODAY()&gt;$AB822,"OVERDUE",IF($AB822&lt;=WORKDAY(TODAY(),1,Holidays),"DUE TOMORROW",IF($Z822=4,"ESCALATED TO LOCAL OFFICE",IF($Z822=5,"ESCALATED TO CBE",IF($AA822=TODAY(),"EMAIL SENT","MONITORING"))))))))))</f>
        <v/>
      </c>
      <c r="V822" s="17">
        <f>IF($U822="",IF(AND(COUNTA($A822:$L822)&gt;0,$N822=""),"Awaiting Collection Email time stamp.",""),IF(OR($U822="PAID",$U822="CLOSED"),IF($U822="PAID","Account paid. Action completed.","Account closed. No further action required."),CHOOSE($Z822,"Collection Email","1st Email Follow-up","2nd Email Follow-up","Escalation to Local Office","Escalation to CBE","Escalation to Roxanne")&amp;" sent "&amp;TEXT($AA822,"dd-mmm")&amp;". "&amp;IF($Z822=6,"Final escalation completed.",IF($U822="OVERDUE","Next: "&amp;$AC822&amp;" was due "&amp;TEXT($AB822,"dd-mmm")&amp;" - "&amp;(NETWORKDAYS($AB822,TODAY(),Holidays)-1)&amp;" business day(s) late. Send now.",IF($U822="DUE TOMORROW","Next: "&amp;$AC822&amp;IF($AB822&lt;=TODAY()," is due TODAY ("," is due next business day (")&amp;TEXT($AB822,"dd-mmm")&amp;").","Next: "&amp;$AC822&amp;" due "&amp;TEXT($AB822,"dd-mmm")&amp;" ("&amp;(NETWORKDAYS(TODAY(),$AB822,Holidays)-1)&amp;" business day(s) left).")))))</f>
        <v/>
      </c>
      <c r="W822" s="17">
        <f>IF($Z822="","",CHOOSE($Z822,"Collection Email","1st Follow-up","2nd Follow-up","Local Office","CBE","Roxanne")&amp;IF($Z822=6," - Final"," - Day "&amp;MAX(0,NETWORKDAYS($AA822,TODAY(),Holidays)-1)&amp;" of "&amp;CHOOSE($Z822,3,3,2,2,3))&amp;" | Total Day "&amp;MAX(0,NETWORKDAYS($N822,TODAY(),Holidays)-1))</f>
        <v/>
      </c>
      <c r="X822" s="18"/>
      <c r="Y822" s="18"/>
      <c r="Z822" s="17">
        <f>IF($N822="","",COUNT($N822:$S822))</f>
        <v/>
      </c>
      <c r="AA822" s="19">
        <f>IF($Z822="","",INT(INDEX($N822:$S822,$Z822)))</f>
        <v/>
      </c>
      <c r="AB822" s="19">
        <f>IF(OR($Z822="",$Z822=6),"",WORKDAY($AA822,CHOOSE($Z822,3,3,2,2,3),Holidays))</f>
        <v/>
      </c>
      <c r="AC822" s="17">
        <f>IF(OR($Z822="",$Z822=6),"",CHOOSE($Z822,"1st Email Follow-up","2nd Email Follow-up","Escalate Local Office","Escalate to CBE","Escalate to Roxanne"))</f>
        <v/>
      </c>
    </row>
    <row r="823" spans="13:29">
      <c r="M823" s="14"/>
      <c r="T823" s="16"/>
      <c r="U823" s="17">
        <f>IF(AND(COUNTA($A823:$L823)=0,$N823=""),"",IF($T823="Paid","PAID",IF($T823="Closed","CLOSED",IF($Z823="","",IF($Z823=6,"ESCALATED TO ROXANNE",IF(TODAY()&gt;$AB823,"OVERDUE",IF($AB823&lt;=WORKDAY(TODAY(),1,Holidays),"DUE TOMORROW",IF($Z823=4,"ESCALATED TO LOCAL OFFICE",IF($Z823=5,"ESCALATED TO CBE",IF($AA823=TODAY(),"EMAIL SENT","MONITORING"))))))))))</f>
        <v/>
      </c>
      <c r="V823" s="17">
        <f>IF($U823="",IF(AND(COUNTA($A823:$L823)&gt;0,$N823=""),"Awaiting Collection Email time stamp.",""),IF(OR($U823="PAID",$U823="CLOSED"),IF($U823="PAID","Account paid. Action completed.","Account closed. No further action required."),CHOOSE($Z823,"Collection Email","1st Email Follow-up","2nd Email Follow-up","Escalation to Local Office","Escalation to CBE","Escalation to Roxanne")&amp;" sent "&amp;TEXT($AA823,"dd-mmm")&amp;". "&amp;IF($Z823=6,"Final escalation completed.",IF($U823="OVERDUE","Next: "&amp;$AC823&amp;" was due "&amp;TEXT($AB823,"dd-mmm")&amp;" - "&amp;(NETWORKDAYS($AB823,TODAY(),Holidays)-1)&amp;" business day(s) late. Send now.",IF($U823="DUE TOMORROW","Next: "&amp;$AC823&amp;IF($AB823&lt;=TODAY()," is due TODAY ("," is due next business day (")&amp;TEXT($AB823,"dd-mmm")&amp;").","Next: "&amp;$AC823&amp;" due "&amp;TEXT($AB823,"dd-mmm")&amp;" ("&amp;(NETWORKDAYS(TODAY(),$AB823,Holidays)-1)&amp;" business day(s) left).")))))</f>
        <v/>
      </c>
      <c r="W823" s="17">
        <f>IF($Z823="","",CHOOSE($Z823,"Collection Email","1st Follow-up","2nd Follow-up","Local Office","CBE","Roxanne")&amp;IF($Z823=6," - Final"," - Day "&amp;MAX(0,NETWORKDAYS($AA823,TODAY(),Holidays)-1)&amp;" of "&amp;CHOOSE($Z823,3,3,2,2,3))&amp;" | Total Day "&amp;MAX(0,NETWORKDAYS($N823,TODAY(),Holidays)-1))</f>
        <v/>
      </c>
      <c r="X823" s="18"/>
      <c r="Y823" s="18"/>
      <c r="Z823" s="17">
        <f>IF($N823="","",COUNT($N823:$S823))</f>
        <v/>
      </c>
      <c r="AA823" s="19">
        <f>IF($Z823="","",INT(INDEX($N823:$S823,$Z823)))</f>
        <v/>
      </c>
      <c r="AB823" s="19">
        <f>IF(OR($Z823="",$Z823=6),"",WORKDAY($AA823,CHOOSE($Z823,3,3,2,2,3),Holidays))</f>
        <v/>
      </c>
      <c r="AC823" s="17">
        <f>IF(OR($Z823="",$Z823=6),"",CHOOSE($Z823,"1st Email Follow-up","2nd Email Follow-up","Escalate Local Office","Escalate to CBE","Escalate to Roxanne"))</f>
        <v/>
      </c>
    </row>
    <row r="824" spans="13:29">
      <c r="M824" s="14"/>
      <c r="T824" s="16"/>
      <c r="U824" s="17">
        <f>IF(AND(COUNTA($A824:$L824)=0,$N824=""),"",IF($T824="Paid","PAID",IF($T824="Closed","CLOSED",IF($Z824="","",IF($Z824=6,"ESCALATED TO ROXANNE",IF(TODAY()&gt;$AB824,"OVERDUE",IF($AB824&lt;=WORKDAY(TODAY(),1,Holidays),"DUE TOMORROW",IF($Z824=4,"ESCALATED TO LOCAL OFFICE",IF($Z824=5,"ESCALATED TO CBE",IF($AA824=TODAY(),"EMAIL SENT","MONITORING"))))))))))</f>
        <v/>
      </c>
      <c r="V824" s="17">
        <f>IF($U824="",IF(AND(COUNTA($A824:$L824)&gt;0,$N824=""),"Awaiting Collection Email time stamp.",""),IF(OR($U824="PAID",$U824="CLOSED"),IF($U824="PAID","Account paid. Action completed.","Account closed. No further action required."),CHOOSE($Z824,"Collection Email","1st Email Follow-up","2nd Email Follow-up","Escalation to Local Office","Escalation to CBE","Escalation to Roxanne")&amp;" sent "&amp;TEXT($AA824,"dd-mmm")&amp;". "&amp;IF($Z824=6,"Final escalation completed.",IF($U824="OVERDUE","Next: "&amp;$AC824&amp;" was due "&amp;TEXT($AB824,"dd-mmm")&amp;" - "&amp;(NETWORKDAYS($AB824,TODAY(),Holidays)-1)&amp;" business day(s) late. Send now.",IF($U824="DUE TOMORROW","Next: "&amp;$AC824&amp;IF($AB824&lt;=TODAY()," is due TODAY ("," is due next business day (")&amp;TEXT($AB824,"dd-mmm")&amp;").","Next: "&amp;$AC824&amp;" due "&amp;TEXT($AB824,"dd-mmm")&amp;" ("&amp;(NETWORKDAYS(TODAY(),$AB824,Holidays)-1)&amp;" business day(s) left).")))))</f>
        <v/>
      </c>
      <c r="W824" s="17">
        <f>IF($Z824="","",CHOOSE($Z824,"Collection Email","1st Follow-up","2nd Follow-up","Local Office","CBE","Roxanne")&amp;IF($Z824=6," - Final"," - Day "&amp;MAX(0,NETWORKDAYS($AA824,TODAY(),Holidays)-1)&amp;" of "&amp;CHOOSE($Z824,3,3,2,2,3))&amp;" | Total Day "&amp;MAX(0,NETWORKDAYS($N824,TODAY(),Holidays)-1))</f>
        <v/>
      </c>
      <c r="X824" s="18"/>
      <c r="Y824" s="18"/>
      <c r="Z824" s="17">
        <f>IF($N824="","",COUNT($N824:$S824))</f>
        <v/>
      </c>
      <c r="AA824" s="19">
        <f>IF($Z824="","",INT(INDEX($N824:$S824,$Z824)))</f>
        <v/>
      </c>
      <c r="AB824" s="19">
        <f>IF(OR($Z824="",$Z824=6),"",WORKDAY($AA824,CHOOSE($Z824,3,3,2,2,3),Holidays))</f>
        <v/>
      </c>
      <c r="AC824" s="17">
        <f>IF(OR($Z824="",$Z824=6),"",CHOOSE($Z824,"1st Email Follow-up","2nd Email Follow-up","Escalate Local Office","Escalate to CBE","Escalate to Roxanne"))</f>
        <v/>
      </c>
    </row>
    <row r="825" spans="13:29">
      <c r="M825" s="14"/>
      <c r="T825" s="16"/>
      <c r="U825" s="17">
        <f>IF(AND(COUNTA($A825:$L825)=0,$N825=""),"",IF($T825="Paid","PAID",IF($T825="Closed","CLOSED",IF($Z825="","",IF($Z825=6,"ESCALATED TO ROXANNE",IF(TODAY()&gt;$AB825,"OVERDUE",IF($AB825&lt;=WORKDAY(TODAY(),1,Holidays),"DUE TOMORROW",IF($Z825=4,"ESCALATED TO LOCAL OFFICE",IF($Z825=5,"ESCALATED TO CBE",IF($AA825=TODAY(),"EMAIL SENT","MONITORING"))))))))))</f>
        <v/>
      </c>
      <c r="V825" s="17">
        <f>IF($U825="",IF(AND(COUNTA($A825:$L825)&gt;0,$N825=""),"Awaiting Collection Email time stamp.",""),IF(OR($U825="PAID",$U825="CLOSED"),IF($U825="PAID","Account paid. Action completed.","Account closed. No further action required."),CHOOSE($Z825,"Collection Email","1st Email Follow-up","2nd Email Follow-up","Escalation to Local Office","Escalation to CBE","Escalation to Roxanne")&amp;" sent "&amp;TEXT($AA825,"dd-mmm")&amp;". "&amp;IF($Z825=6,"Final escalation completed.",IF($U825="OVERDUE","Next: "&amp;$AC825&amp;" was due "&amp;TEXT($AB825,"dd-mmm")&amp;" - "&amp;(NETWORKDAYS($AB825,TODAY(),Holidays)-1)&amp;" business day(s) late. Send now.",IF($U825="DUE TOMORROW","Next: "&amp;$AC825&amp;IF($AB825&lt;=TODAY()," is due TODAY ("," is due next business day (")&amp;TEXT($AB825,"dd-mmm")&amp;").","Next: "&amp;$AC825&amp;" due "&amp;TEXT($AB825,"dd-mmm")&amp;" ("&amp;(NETWORKDAYS(TODAY(),$AB825,Holidays)-1)&amp;" business day(s) left).")))))</f>
        <v/>
      </c>
      <c r="W825" s="17">
        <f>IF($Z825="","",CHOOSE($Z825,"Collection Email","1st Follow-up","2nd Follow-up","Local Office","CBE","Roxanne")&amp;IF($Z825=6," - Final"," - Day "&amp;MAX(0,NETWORKDAYS($AA825,TODAY(),Holidays)-1)&amp;" of "&amp;CHOOSE($Z825,3,3,2,2,3))&amp;" | Total Day "&amp;MAX(0,NETWORKDAYS($N825,TODAY(),Holidays)-1))</f>
        <v/>
      </c>
      <c r="X825" s="18"/>
      <c r="Y825" s="18"/>
      <c r="Z825" s="17">
        <f>IF($N825="","",COUNT($N825:$S825))</f>
        <v/>
      </c>
      <c r="AA825" s="19">
        <f>IF($Z825="","",INT(INDEX($N825:$S825,$Z825)))</f>
        <v/>
      </c>
      <c r="AB825" s="19">
        <f>IF(OR($Z825="",$Z825=6),"",WORKDAY($AA825,CHOOSE($Z825,3,3,2,2,3),Holidays))</f>
        <v/>
      </c>
      <c r="AC825" s="17">
        <f>IF(OR($Z825="",$Z825=6),"",CHOOSE($Z825,"1st Email Follow-up","2nd Email Follow-up","Escalate Local Office","Escalate to CBE","Escalate to Roxanne"))</f>
        <v/>
      </c>
    </row>
    <row r="826" spans="13:29">
      <c r="M826" s="14"/>
      <c r="T826" s="16"/>
      <c r="U826" s="17">
        <f>IF(AND(COUNTA($A826:$L826)=0,$N826=""),"",IF($T826="Paid","PAID",IF($T826="Closed","CLOSED",IF($Z826="","",IF($Z826=6,"ESCALATED TO ROXANNE",IF(TODAY()&gt;$AB826,"OVERDUE",IF($AB826&lt;=WORKDAY(TODAY(),1,Holidays),"DUE TOMORROW",IF($Z826=4,"ESCALATED TO LOCAL OFFICE",IF($Z826=5,"ESCALATED TO CBE",IF($AA826=TODAY(),"EMAIL SENT","MONITORING"))))))))))</f>
        <v/>
      </c>
      <c r="V826" s="17">
        <f>IF($U826="",IF(AND(COUNTA($A826:$L826)&gt;0,$N826=""),"Awaiting Collection Email time stamp.",""),IF(OR($U826="PAID",$U826="CLOSED"),IF($U826="PAID","Account paid. Action completed.","Account closed. No further action required."),CHOOSE($Z826,"Collection Email","1st Email Follow-up","2nd Email Follow-up","Escalation to Local Office","Escalation to CBE","Escalation to Roxanne")&amp;" sent "&amp;TEXT($AA826,"dd-mmm")&amp;". "&amp;IF($Z826=6,"Final escalation completed.",IF($U826="OVERDUE","Next: "&amp;$AC826&amp;" was due "&amp;TEXT($AB826,"dd-mmm")&amp;" - "&amp;(NETWORKDAYS($AB826,TODAY(),Holidays)-1)&amp;" business day(s) late. Send now.",IF($U826="DUE TOMORROW","Next: "&amp;$AC826&amp;IF($AB826&lt;=TODAY()," is due TODAY ("," is due next business day (")&amp;TEXT($AB826,"dd-mmm")&amp;").","Next: "&amp;$AC826&amp;" due "&amp;TEXT($AB826,"dd-mmm")&amp;" ("&amp;(NETWORKDAYS(TODAY(),$AB826,Holidays)-1)&amp;" business day(s) left).")))))</f>
        <v/>
      </c>
      <c r="W826" s="17">
        <f>IF($Z826="","",CHOOSE($Z826,"Collection Email","1st Follow-up","2nd Follow-up","Local Office","CBE","Roxanne")&amp;IF($Z826=6," - Final"," - Day "&amp;MAX(0,NETWORKDAYS($AA826,TODAY(),Holidays)-1)&amp;" of "&amp;CHOOSE($Z826,3,3,2,2,3))&amp;" | Total Day "&amp;MAX(0,NETWORKDAYS($N826,TODAY(),Holidays)-1))</f>
        <v/>
      </c>
      <c r="X826" s="18"/>
      <c r="Y826" s="18"/>
      <c r="Z826" s="17">
        <f>IF($N826="","",COUNT($N826:$S826))</f>
        <v/>
      </c>
      <c r="AA826" s="19">
        <f>IF($Z826="","",INT(INDEX($N826:$S826,$Z826)))</f>
        <v/>
      </c>
      <c r="AB826" s="19">
        <f>IF(OR($Z826="",$Z826=6),"",WORKDAY($AA826,CHOOSE($Z826,3,3,2,2,3),Holidays))</f>
        <v/>
      </c>
      <c r="AC826" s="17">
        <f>IF(OR($Z826="",$Z826=6),"",CHOOSE($Z826,"1st Email Follow-up","2nd Email Follow-up","Escalate Local Office","Escalate to CBE","Escalate to Roxanne"))</f>
        <v/>
      </c>
    </row>
    <row r="827" spans="13:29">
      <c r="M827" s="14"/>
      <c r="T827" s="16"/>
      <c r="U827" s="17">
        <f>IF(AND(COUNTA($A827:$L827)=0,$N827=""),"",IF($T827="Paid","PAID",IF($T827="Closed","CLOSED",IF($Z827="","",IF($Z827=6,"ESCALATED TO ROXANNE",IF(TODAY()&gt;$AB827,"OVERDUE",IF($AB827&lt;=WORKDAY(TODAY(),1,Holidays),"DUE TOMORROW",IF($Z827=4,"ESCALATED TO LOCAL OFFICE",IF($Z827=5,"ESCALATED TO CBE",IF($AA827=TODAY(),"EMAIL SENT","MONITORING"))))))))))</f>
        <v/>
      </c>
      <c r="V827" s="17">
        <f>IF($U827="",IF(AND(COUNTA($A827:$L827)&gt;0,$N827=""),"Awaiting Collection Email time stamp.",""),IF(OR($U827="PAID",$U827="CLOSED"),IF($U827="PAID","Account paid. Action completed.","Account closed. No further action required."),CHOOSE($Z827,"Collection Email","1st Email Follow-up","2nd Email Follow-up","Escalation to Local Office","Escalation to CBE","Escalation to Roxanne")&amp;" sent "&amp;TEXT($AA827,"dd-mmm")&amp;". "&amp;IF($Z827=6,"Final escalation completed.",IF($U827="OVERDUE","Next: "&amp;$AC827&amp;" was due "&amp;TEXT($AB827,"dd-mmm")&amp;" - "&amp;(NETWORKDAYS($AB827,TODAY(),Holidays)-1)&amp;" business day(s) late. Send now.",IF($U827="DUE TOMORROW","Next: "&amp;$AC827&amp;IF($AB827&lt;=TODAY()," is due TODAY ("," is due next business day (")&amp;TEXT($AB827,"dd-mmm")&amp;").","Next: "&amp;$AC827&amp;" due "&amp;TEXT($AB827,"dd-mmm")&amp;" ("&amp;(NETWORKDAYS(TODAY(),$AB827,Holidays)-1)&amp;" business day(s) left).")))))</f>
        <v/>
      </c>
      <c r="W827" s="17">
        <f>IF($Z827="","",CHOOSE($Z827,"Collection Email","1st Follow-up","2nd Follow-up","Local Office","CBE","Roxanne")&amp;IF($Z827=6," - Final"," - Day "&amp;MAX(0,NETWORKDAYS($AA827,TODAY(),Holidays)-1)&amp;" of "&amp;CHOOSE($Z827,3,3,2,2,3))&amp;" | Total Day "&amp;MAX(0,NETWORKDAYS($N827,TODAY(),Holidays)-1))</f>
        <v/>
      </c>
      <c r="X827" s="18"/>
      <c r="Y827" s="18"/>
      <c r="Z827" s="17">
        <f>IF($N827="","",COUNT($N827:$S827))</f>
        <v/>
      </c>
      <c r="AA827" s="19">
        <f>IF($Z827="","",INT(INDEX($N827:$S827,$Z827)))</f>
        <v/>
      </c>
      <c r="AB827" s="19">
        <f>IF(OR($Z827="",$Z827=6),"",WORKDAY($AA827,CHOOSE($Z827,3,3,2,2,3),Holidays))</f>
        <v/>
      </c>
      <c r="AC827" s="17">
        <f>IF(OR($Z827="",$Z827=6),"",CHOOSE($Z827,"1st Email Follow-up","2nd Email Follow-up","Escalate Local Office","Escalate to CBE","Escalate to Roxanne"))</f>
        <v/>
      </c>
    </row>
    <row r="828" spans="13:29">
      <c r="M828" s="14"/>
      <c r="T828" s="16"/>
      <c r="U828" s="17">
        <f>IF(AND(COUNTA($A828:$L828)=0,$N828=""),"",IF($T828="Paid","PAID",IF($T828="Closed","CLOSED",IF($Z828="","",IF($Z828=6,"ESCALATED TO ROXANNE",IF(TODAY()&gt;$AB828,"OVERDUE",IF($AB828&lt;=WORKDAY(TODAY(),1,Holidays),"DUE TOMORROW",IF($Z828=4,"ESCALATED TO LOCAL OFFICE",IF($Z828=5,"ESCALATED TO CBE",IF($AA828=TODAY(),"EMAIL SENT","MONITORING"))))))))))</f>
        <v/>
      </c>
      <c r="V828" s="17">
        <f>IF($U828="",IF(AND(COUNTA($A828:$L828)&gt;0,$N828=""),"Awaiting Collection Email time stamp.",""),IF(OR($U828="PAID",$U828="CLOSED"),IF($U828="PAID","Account paid. Action completed.","Account closed. No further action required."),CHOOSE($Z828,"Collection Email","1st Email Follow-up","2nd Email Follow-up","Escalation to Local Office","Escalation to CBE","Escalation to Roxanne")&amp;" sent "&amp;TEXT($AA828,"dd-mmm")&amp;". "&amp;IF($Z828=6,"Final escalation completed.",IF($U828="OVERDUE","Next: "&amp;$AC828&amp;" was due "&amp;TEXT($AB828,"dd-mmm")&amp;" - "&amp;(NETWORKDAYS($AB828,TODAY(),Holidays)-1)&amp;" business day(s) late. Send now.",IF($U828="DUE TOMORROW","Next: "&amp;$AC828&amp;IF($AB828&lt;=TODAY()," is due TODAY ("," is due next business day (")&amp;TEXT($AB828,"dd-mmm")&amp;").","Next: "&amp;$AC828&amp;" due "&amp;TEXT($AB828,"dd-mmm")&amp;" ("&amp;(NETWORKDAYS(TODAY(),$AB828,Holidays)-1)&amp;" business day(s) left).")))))</f>
        <v/>
      </c>
      <c r="W828" s="17">
        <f>IF($Z828="","",CHOOSE($Z828,"Collection Email","1st Follow-up","2nd Follow-up","Local Office","CBE","Roxanne")&amp;IF($Z828=6," - Final"," - Day "&amp;MAX(0,NETWORKDAYS($AA828,TODAY(),Holidays)-1)&amp;" of "&amp;CHOOSE($Z828,3,3,2,2,3))&amp;" | Total Day "&amp;MAX(0,NETWORKDAYS($N828,TODAY(),Holidays)-1))</f>
        <v/>
      </c>
      <c r="X828" s="18"/>
      <c r="Y828" s="18"/>
      <c r="Z828" s="17">
        <f>IF($N828="","",COUNT($N828:$S828))</f>
        <v/>
      </c>
      <c r="AA828" s="19">
        <f>IF($Z828="","",INT(INDEX($N828:$S828,$Z828)))</f>
        <v/>
      </c>
      <c r="AB828" s="19">
        <f>IF(OR($Z828="",$Z828=6),"",WORKDAY($AA828,CHOOSE($Z828,3,3,2,2,3),Holidays))</f>
        <v/>
      </c>
      <c r="AC828" s="17">
        <f>IF(OR($Z828="",$Z828=6),"",CHOOSE($Z828,"1st Email Follow-up","2nd Email Follow-up","Escalate Local Office","Escalate to CBE","Escalate to Roxanne"))</f>
        <v/>
      </c>
    </row>
    <row r="829" spans="13:29">
      <c r="M829" s="14"/>
      <c r="T829" s="16"/>
      <c r="U829" s="17">
        <f>IF(AND(COUNTA($A829:$L829)=0,$N829=""),"",IF($T829="Paid","PAID",IF($T829="Closed","CLOSED",IF($Z829="","",IF($Z829=6,"ESCALATED TO ROXANNE",IF(TODAY()&gt;$AB829,"OVERDUE",IF($AB829&lt;=WORKDAY(TODAY(),1,Holidays),"DUE TOMORROW",IF($Z829=4,"ESCALATED TO LOCAL OFFICE",IF($Z829=5,"ESCALATED TO CBE",IF($AA829=TODAY(),"EMAIL SENT","MONITORING"))))))))))</f>
        <v/>
      </c>
      <c r="V829" s="17">
        <f>IF($U829="",IF(AND(COUNTA($A829:$L829)&gt;0,$N829=""),"Awaiting Collection Email time stamp.",""),IF(OR($U829="PAID",$U829="CLOSED"),IF($U829="PAID","Account paid. Action completed.","Account closed. No further action required."),CHOOSE($Z829,"Collection Email","1st Email Follow-up","2nd Email Follow-up","Escalation to Local Office","Escalation to CBE","Escalation to Roxanne")&amp;" sent "&amp;TEXT($AA829,"dd-mmm")&amp;". "&amp;IF($Z829=6,"Final escalation completed.",IF($U829="OVERDUE","Next: "&amp;$AC829&amp;" was due "&amp;TEXT($AB829,"dd-mmm")&amp;" - "&amp;(NETWORKDAYS($AB829,TODAY(),Holidays)-1)&amp;" business day(s) late. Send now.",IF($U829="DUE TOMORROW","Next: "&amp;$AC829&amp;IF($AB829&lt;=TODAY()," is due TODAY ("," is due next business day (")&amp;TEXT($AB829,"dd-mmm")&amp;").","Next: "&amp;$AC829&amp;" due "&amp;TEXT($AB829,"dd-mmm")&amp;" ("&amp;(NETWORKDAYS(TODAY(),$AB829,Holidays)-1)&amp;" business day(s) left).")))))</f>
        <v/>
      </c>
      <c r="W829" s="17">
        <f>IF($Z829="","",CHOOSE($Z829,"Collection Email","1st Follow-up","2nd Follow-up","Local Office","CBE","Roxanne")&amp;IF($Z829=6," - Final"," - Day "&amp;MAX(0,NETWORKDAYS($AA829,TODAY(),Holidays)-1)&amp;" of "&amp;CHOOSE($Z829,3,3,2,2,3))&amp;" | Total Day "&amp;MAX(0,NETWORKDAYS($N829,TODAY(),Holidays)-1))</f>
        <v/>
      </c>
      <c r="X829" s="18"/>
      <c r="Y829" s="18"/>
      <c r="Z829" s="17">
        <f>IF($N829="","",COUNT($N829:$S829))</f>
        <v/>
      </c>
      <c r="AA829" s="19">
        <f>IF($Z829="","",INT(INDEX($N829:$S829,$Z829)))</f>
        <v/>
      </c>
      <c r="AB829" s="19">
        <f>IF(OR($Z829="",$Z829=6),"",WORKDAY($AA829,CHOOSE($Z829,3,3,2,2,3),Holidays))</f>
        <v/>
      </c>
      <c r="AC829" s="17">
        <f>IF(OR($Z829="",$Z829=6),"",CHOOSE($Z829,"1st Email Follow-up","2nd Email Follow-up","Escalate Local Office","Escalate to CBE","Escalate to Roxanne"))</f>
        <v/>
      </c>
    </row>
    <row r="830" spans="13:29">
      <c r="M830" s="14"/>
      <c r="T830" s="16"/>
      <c r="U830" s="17">
        <f>IF(AND(COUNTA($A830:$L830)=0,$N830=""),"",IF($T830="Paid","PAID",IF($T830="Closed","CLOSED",IF($Z830="","",IF($Z830=6,"ESCALATED TO ROXANNE",IF(TODAY()&gt;$AB830,"OVERDUE",IF($AB830&lt;=WORKDAY(TODAY(),1,Holidays),"DUE TOMORROW",IF($Z830=4,"ESCALATED TO LOCAL OFFICE",IF($Z830=5,"ESCALATED TO CBE",IF($AA830=TODAY(),"EMAIL SENT","MONITORING"))))))))))</f>
        <v/>
      </c>
      <c r="V830" s="17">
        <f>IF($U830="",IF(AND(COUNTA($A830:$L830)&gt;0,$N830=""),"Awaiting Collection Email time stamp.",""),IF(OR($U830="PAID",$U830="CLOSED"),IF($U830="PAID","Account paid. Action completed.","Account closed. No further action required."),CHOOSE($Z830,"Collection Email","1st Email Follow-up","2nd Email Follow-up","Escalation to Local Office","Escalation to CBE","Escalation to Roxanne")&amp;" sent "&amp;TEXT($AA830,"dd-mmm")&amp;". "&amp;IF($Z830=6,"Final escalation completed.",IF($U830="OVERDUE","Next: "&amp;$AC830&amp;" was due "&amp;TEXT($AB830,"dd-mmm")&amp;" - "&amp;(NETWORKDAYS($AB830,TODAY(),Holidays)-1)&amp;" business day(s) late. Send now.",IF($U830="DUE TOMORROW","Next: "&amp;$AC830&amp;IF($AB830&lt;=TODAY()," is due TODAY ("," is due next business day (")&amp;TEXT($AB830,"dd-mmm")&amp;").","Next: "&amp;$AC830&amp;" due "&amp;TEXT($AB830,"dd-mmm")&amp;" ("&amp;(NETWORKDAYS(TODAY(),$AB830,Holidays)-1)&amp;" business day(s) left).")))))</f>
        <v/>
      </c>
      <c r="W830" s="17">
        <f>IF($Z830="","",CHOOSE($Z830,"Collection Email","1st Follow-up","2nd Follow-up","Local Office","CBE","Roxanne")&amp;IF($Z830=6," - Final"," - Day "&amp;MAX(0,NETWORKDAYS($AA830,TODAY(),Holidays)-1)&amp;" of "&amp;CHOOSE($Z830,3,3,2,2,3))&amp;" | Total Day "&amp;MAX(0,NETWORKDAYS($N830,TODAY(),Holidays)-1))</f>
        <v/>
      </c>
      <c r="X830" s="18"/>
      <c r="Y830" s="18"/>
      <c r="Z830" s="17">
        <f>IF($N830="","",COUNT($N830:$S830))</f>
        <v/>
      </c>
      <c r="AA830" s="19">
        <f>IF($Z830="","",INT(INDEX($N830:$S830,$Z830)))</f>
        <v/>
      </c>
      <c r="AB830" s="19">
        <f>IF(OR($Z830="",$Z830=6),"",WORKDAY($AA830,CHOOSE($Z830,3,3,2,2,3),Holidays))</f>
        <v/>
      </c>
      <c r="AC830" s="17">
        <f>IF(OR($Z830="",$Z830=6),"",CHOOSE($Z830,"1st Email Follow-up","2nd Email Follow-up","Escalate Local Office","Escalate to CBE","Escalate to Roxanne"))</f>
        <v/>
      </c>
    </row>
    <row r="831" spans="13:29">
      <c r="M831" s="14"/>
      <c r="T831" s="16"/>
      <c r="U831" s="17">
        <f>IF(AND(COUNTA($A831:$L831)=0,$N831=""),"",IF($T831="Paid","PAID",IF($T831="Closed","CLOSED",IF($Z831="","",IF($Z831=6,"ESCALATED TO ROXANNE",IF(TODAY()&gt;$AB831,"OVERDUE",IF($AB831&lt;=WORKDAY(TODAY(),1,Holidays),"DUE TOMORROW",IF($Z831=4,"ESCALATED TO LOCAL OFFICE",IF($Z831=5,"ESCALATED TO CBE",IF($AA831=TODAY(),"EMAIL SENT","MONITORING"))))))))))</f>
        <v/>
      </c>
      <c r="V831" s="17">
        <f>IF($U831="",IF(AND(COUNTA($A831:$L831)&gt;0,$N831=""),"Awaiting Collection Email time stamp.",""),IF(OR($U831="PAID",$U831="CLOSED"),IF($U831="PAID","Account paid. Action completed.","Account closed. No further action required."),CHOOSE($Z831,"Collection Email","1st Email Follow-up","2nd Email Follow-up","Escalation to Local Office","Escalation to CBE","Escalation to Roxanne")&amp;" sent "&amp;TEXT($AA831,"dd-mmm")&amp;". "&amp;IF($Z831=6,"Final escalation completed.",IF($U831="OVERDUE","Next: "&amp;$AC831&amp;" was due "&amp;TEXT($AB831,"dd-mmm")&amp;" - "&amp;(NETWORKDAYS($AB831,TODAY(),Holidays)-1)&amp;" business day(s) late. Send now.",IF($U831="DUE TOMORROW","Next: "&amp;$AC831&amp;IF($AB831&lt;=TODAY()," is due TODAY ("," is due next business day (")&amp;TEXT($AB831,"dd-mmm")&amp;").","Next: "&amp;$AC831&amp;" due "&amp;TEXT($AB831,"dd-mmm")&amp;" ("&amp;(NETWORKDAYS(TODAY(),$AB831,Holidays)-1)&amp;" business day(s) left).")))))</f>
        <v/>
      </c>
      <c r="W831" s="17">
        <f>IF($Z831="","",CHOOSE($Z831,"Collection Email","1st Follow-up","2nd Follow-up","Local Office","CBE","Roxanne")&amp;IF($Z831=6," - Final"," - Day "&amp;MAX(0,NETWORKDAYS($AA831,TODAY(),Holidays)-1)&amp;" of "&amp;CHOOSE($Z831,3,3,2,2,3))&amp;" | Total Day "&amp;MAX(0,NETWORKDAYS($N831,TODAY(),Holidays)-1))</f>
        <v/>
      </c>
      <c r="X831" s="18"/>
      <c r="Y831" s="18"/>
      <c r="Z831" s="17">
        <f>IF($N831="","",COUNT($N831:$S831))</f>
        <v/>
      </c>
      <c r="AA831" s="19">
        <f>IF($Z831="","",INT(INDEX($N831:$S831,$Z831)))</f>
        <v/>
      </c>
      <c r="AB831" s="19">
        <f>IF(OR($Z831="",$Z831=6),"",WORKDAY($AA831,CHOOSE($Z831,3,3,2,2,3),Holidays))</f>
        <v/>
      </c>
      <c r="AC831" s="17">
        <f>IF(OR($Z831="",$Z831=6),"",CHOOSE($Z831,"1st Email Follow-up","2nd Email Follow-up","Escalate Local Office","Escalate to CBE","Escalate to Roxanne"))</f>
        <v/>
      </c>
    </row>
    <row r="832" spans="13:29">
      <c r="M832" s="14"/>
      <c r="T832" s="16"/>
      <c r="U832" s="17">
        <f>IF(AND(COUNTA($A832:$L832)=0,$N832=""),"",IF($T832="Paid","PAID",IF($T832="Closed","CLOSED",IF($Z832="","",IF($Z832=6,"ESCALATED TO ROXANNE",IF(TODAY()&gt;$AB832,"OVERDUE",IF($AB832&lt;=WORKDAY(TODAY(),1,Holidays),"DUE TOMORROW",IF($Z832=4,"ESCALATED TO LOCAL OFFICE",IF($Z832=5,"ESCALATED TO CBE",IF($AA832=TODAY(),"EMAIL SENT","MONITORING"))))))))))</f>
        <v/>
      </c>
      <c r="V832" s="17">
        <f>IF($U832="",IF(AND(COUNTA($A832:$L832)&gt;0,$N832=""),"Awaiting Collection Email time stamp.",""),IF(OR($U832="PAID",$U832="CLOSED"),IF($U832="PAID","Account paid. Action completed.","Account closed. No further action required."),CHOOSE($Z832,"Collection Email","1st Email Follow-up","2nd Email Follow-up","Escalation to Local Office","Escalation to CBE","Escalation to Roxanne")&amp;" sent "&amp;TEXT($AA832,"dd-mmm")&amp;". "&amp;IF($Z832=6,"Final escalation completed.",IF($U832="OVERDUE","Next: "&amp;$AC832&amp;" was due "&amp;TEXT($AB832,"dd-mmm")&amp;" - "&amp;(NETWORKDAYS($AB832,TODAY(),Holidays)-1)&amp;" business day(s) late. Send now.",IF($U832="DUE TOMORROW","Next: "&amp;$AC832&amp;IF($AB832&lt;=TODAY()," is due TODAY ("," is due next business day (")&amp;TEXT($AB832,"dd-mmm")&amp;").","Next: "&amp;$AC832&amp;" due "&amp;TEXT($AB832,"dd-mmm")&amp;" ("&amp;(NETWORKDAYS(TODAY(),$AB832,Holidays)-1)&amp;" business day(s) left).")))))</f>
        <v/>
      </c>
      <c r="W832" s="17">
        <f>IF($Z832="","",CHOOSE($Z832,"Collection Email","1st Follow-up","2nd Follow-up","Local Office","CBE","Roxanne")&amp;IF($Z832=6," - Final"," - Day "&amp;MAX(0,NETWORKDAYS($AA832,TODAY(),Holidays)-1)&amp;" of "&amp;CHOOSE($Z832,3,3,2,2,3))&amp;" | Total Day "&amp;MAX(0,NETWORKDAYS($N832,TODAY(),Holidays)-1))</f>
        <v/>
      </c>
      <c r="X832" s="18"/>
      <c r="Y832" s="18"/>
      <c r="Z832" s="17">
        <f>IF($N832="","",COUNT($N832:$S832))</f>
        <v/>
      </c>
      <c r="AA832" s="19">
        <f>IF($Z832="","",INT(INDEX($N832:$S832,$Z832)))</f>
        <v/>
      </c>
      <c r="AB832" s="19">
        <f>IF(OR($Z832="",$Z832=6),"",WORKDAY($AA832,CHOOSE($Z832,3,3,2,2,3),Holidays))</f>
        <v/>
      </c>
      <c r="AC832" s="17">
        <f>IF(OR($Z832="",$Z832=6),"",CHOOSE($Z832,"1st Email Follow-up","2nd Email Follow-up","Escalate Local Office","Escalate to CBE","Escalate to Roxanne"))</f>
        <v/>
      </c>
    </row>
    <row r="833" spans="13:29">
      <c r="M833" s="14"/>
      <c r="T833" s="16"/>
      <c r="U833" s="17">
        <f>IF(AND(COUNTA($A833:$L833)=0,$N833=""),"",IF($T833="Paid","PAID",IF($T833="Closed","CLOSED",IF($Z833="","",IF($Z833=6,"ESCALATED TO ROXANNE",IF(TODAY()&gt;$AB833,"OVERDUE",IF($AB833&lt;=WORKDAY(TODAY(),1,Holidays),"DUE TOMORROW",IF($Z833=4,"ESCALATED TO LOCAL OFFICE",IF($Z833=5,"ESCALATED TO CBE",IF($AA833=TODAY(),"EMAIL SENT","MONITORING"))))))))))</f>
        <v/>
      </c>
      <c r="V833" s="17">
        <f>IF($U833="",IF(AND(COUNTA($A833:$L833)&gt;0,$N833=""),"Awaiting Collection Email time stamp.",""),IF(OR($U833="PAID",$U833="CLOSED"),IF($U833="PAID","Account paid. Action completed.","Account closed. No further action required."),CHOOSE($Z833,"Collection Email","1st Email Follow-up","2nd Email Follow-up","Escalation to Local Office","Escalation to CBE","Escalation to Roxanne")&amp;" sent "&amp;TEXT($AA833,"dd-mmm")&amp;". "&amp;IF($Z833=6,"Final escalation completed.",IF($U833="OVERDUE","Next: "&amp;$AC833&amp;" was due "&amp;TEXT($AB833,"dd-mmm")&amp;" - "&amp;(NETWORKDAYS($AB833,TODAY(),Holidays)-1)&amp;" business day(s) late. Send now.",IF($U833="DUE TOMORROW","Next: "&amp;$AC833&amp;IF($AB833&lt;=TODAY()," is due TODAY ("," is due next business day (")&amp;TEXT($AB833,"dd-mmm")&amp;").","Next: "&amp;$AC833&amp;" due "&amp;TEXT($AB833,"dd-mmm")&amp;" ("&amp;(NETWORKDAYS(TODAY(),$AB833,Holidays)-1)&amp;" business day(s) left).")))))</f>
        <v/>
      </c>
      <c r="W833" s="17">
        <f>IF($Z833="","",CHOOSE($Z833,"Collection Email","1st Follow-up","2nd Follow-up","Local Office","CBE","Roxanne")&amp;IF($Z833=6," - Final"," - Day "&amp;MAX(0,NETWORKDAYS($AA833,TODAY(),Holidays)-1)&amp;" of "&amp;CHOOSE($Z833,3,3,2,2,3))&amp;" | Total Day "&amp;MAX(0,NETWORKDAYS($N833,TODAY(),Holidays)-1))</f>
        <v/>
      </c>
      <c r="X833" s="18"/>
      <c r="Y833" s="18"/>
      <c r="Z833" s="17">
        <f>IF($N833="","",COUNT($N833:$S833))</f>
        <v/>
      </c>
      <c r="AA833" s="19">
        <f>IF($Z833="","",INT(INDEX($N833:$S833,$Z833)))</f>
        <v/>
      </c>
      <c r="AB833" s="19">
        <f>IF(OR($Z833="",$Z833=6),"",WORKDAY($AA833,CHOOSE($Z833,3,3,2,2,3),Holidays))</f>
        <v/>
      </c>
      <c r="AC833" s="17">
        <f>IF(OR($Z833="",$Z833=6),"",CHOOSE($Z833,"1st Email Follow-up","2nd Email Follow-up","Escalate Local Office","Escalate to CBE","Escalate to Roxanne"))</f>
        <v/>
      </c>
    </row>
    <row r="834" spans="13:29">
      <c r="M834" s="14"/>
      <c r="T834" s="16"/>
      <c r="U834" s="17">
        <f>IF(AND(COUNTA($A834:$L834)=0,$N834=""),"",IF($T834="Paid","PAID",IF($T834="Closed","CLOSED",IF($Z834="","",IF($Z834=6,"ESCALATED TO ROXANNE",IF(TODAY()&gt;$AB834,"OVERDUE",IF($AB834&lt;=WORKDAY(TODAY(),1,Holidays),"DUE TOMORROW",IF($Z834=4,"ESCALATED TO LOCAL OFFICE",IF($Z834=5,"ESCALATED TO CBE",IF($AA834=TODAY(),"EMAIL SENT","MONITORING"))))))))))</f>
        <v/>
      </c>
      <c r="V834" s="17">
        <f>IF($U834="",IF(AND(COUNTA($A834:$L834)&gt;0,$N834=""),"Awaiting Collection Email time stamp.",""),IF(OR($U834="PAID",$U834="CLOSED"),IF($U834="PAID","Account paid. Action completed.","Account closed. No further action required."),CHOOSE($Z834,"Collection Email","1st Email Follow-up","2nd Email Follow-up","Escalation to Local Office","Escalation to CBE","Escalation to Roxanne")&amp;" sent "&amp;TEXT($AA834,"dd-mmm")&amp;". "&amp;IF($Z834=6,"Final escalation completed.",IF($U834="OVERDUE","Next: "&amp;$AC834&amp;" was due "&amp;TEXT($AB834,"dd-mmm")&amp;" - "&amp;(NETWORKDAYS($AB834,TODAY(),Holidays)-1)&amp;" business day(s) late. Send now.",IF($U834="DUE TOMORROW","Next: "&amp;$AC834&amp;IF($AB834&lt;=TODAY()," is due TODAY ("," is due next business day (")&amp;TEXT($AB834,"dd-mmm")&amp;").","Next: "&amp;$AC834&amp;" due "&amp;TEXT($AB834,"dd-mmm")&amp;" ("&amp;(NETWORKDAYS(TODAY(),$AB834,Holidays)-1)&amp;" business day(s) left).")))))</f>
        <v/>
      </c>
      <c r="W834" s="17">
        <f>IF($Z834="","",CHOOSE($Z834,"Collection Email","1st Follow-up","2nd Follow-up","Local Office","CBE","Roxanne")&amp;IF($Z834=6," - Final"," - Day "&amp;MAX(0,NETWORKDAYS($AA834,TODAY(),Holidays)-1)&amp;" of "&amp;CHOOSE($Z834,3,3,2,2,3))&amp;" | Total Day "&amp;MAX(0,NETWORKDAYS($N834,TODAY(),Holidays)-1))</f>
        <v/>
      </c>
      <c r="X834" s="18"/>
      <c r="Y834" s="18"/>
      <c r="Z834" s="17">
        <f>IF($N834="","",COUNT($N834:$S834))</f>
        <v/>
      </c>
      <c r="AA834" s="19">
        <f>IF($Z834="","",INT(INDEX($N834:$S834,$Z834)))</f>
        <v/>
      </c>
      <c r="AB834" s="19">
        <f>IF(OR($Z834="",$Z834=6),"",WORKDAY($AA834,CHOOSE($Z834,3,3,2,2,3),Holidays))</f>
        <v/>
      </c>
      <c r="AC834" s="17">
        <f>IF(OR($Z834="",$Z834=6),"",CHOOSE($Z834,"1st Email Follow-up","2nd Email Follow-up","Escalate Local Office","Escalate to CBE","Escalate to Roxanne"))</f>
        <v/>
      </c>
    </row>
    <row r="835" spans="13:29">
      <c r="M835" s="14"/>
      <c r="T835" s="16"/>
      <c r="U835" s="17">
        <f>IF(AND(COUNTA($A835:$L835)=0,$N835=""),"",IF($T835="Paid","PAID",IF($T835="Closed","CLOSED",IF($Z835="","",IF($Z835=6,"ESCALATED TO ROXANNE",IF(TODAY()&gt;$AB835,"OVERDUE",IF($AB835&lt;=WORKDAY(TODAY(),1,Holidays),"DUE TOMORROW",IF($Z835=4,"ESCALATED TO LOCAL OFFICE",IF($Z835=5,"ESCALATED TO CBE",IF($AA835=TODAY(),"EMAIL SENT","MONITORING"))))))))))</f>
        <v/>
      </c>
      <c r="V835" s="17">
        <f>IF($U835="",IF(AND(COUNTA($A835:$L835)&gt;0,$N835=""),"Awaiting Collection Email time stamp.",""),IF(OR($U835="PAID",$U835="CLOSED"),IF($U835="PAID","Account paid. Action completed.","Account closed. No further action required."),CHOOSE($Z835,"Collection Email","1st Email Follow-up","2nd Email Follow-up","Escalation to Local Office","Escalation to CBE","Escalation to Roxanne")&amp;" sent "&amp;TEXT($AA835,"dd-mmm")&amp;". "&amp;IF($Z835=6,"Final escalation completed.",IF($U835="OVERDUE","Next: "&amp;$AC835&amp;" was due "&amp;TEXT($AB835,"dd-mmm")&amp;" - "&amp;(NETWORKDAYS($AB835,TODAY(),Holidays)-1)&amp;" business day(s) late. Send now.",IF($U835="DUE TOMORROW","Next: "&amp;$AC835&amp;IF($AB835&lt;=TODAY()," is due TODAY ("," is due next business day (")&amp;TEXT($AB835,"dd-mmm")&amp;").","Next: "&amp;$AC835&amp;" due "&amp;TEXT($AB835,"dd-mmm")&amp;" ("&amp;(NETWORKDAYS(TODAY(),$AB835,Holidays)-1)&amp;" business day(s) left).")))))</f>
        <v/>
      </c>
      <c r="W835" s="17">
        <f>IF($Z835="","",CHOOSE($Z835,"Collection Email","1st Follow-up","2nd Follow-up","Local Office","CBE","Roxanne")&amp;IF($Z835=6," - Final"," - Day "&amp;MAX(0,NETWORKDAYS($AA835,TODAY(),Holidays)-1)&amp;" of "&amp;CHOOSE($Z835,3,3,2,2,3))&amp;" | Total Day "&amp;MAX(0,NETWORKDAYS($N835,TODAY(),Holidays)-1))</f>
        <v/>
      </c>
      <c r="X835" s="18"/>
      <c r="Y835" s="18"/>
      <c r="Z835" s="17">
        <f>IF($N835="","",COUNT($N835:$S835))</f>
        <v/>
      </c>
      <c r="AA835" s="19">
        <f>IF($Z835="","",INT(INDEX($N835:$S835,$Z835)))</f>
        <v/>
      </c>
      <c r="AB835" s="19">
        <f>IF(OR($Z835="",$Z835=6),"",WORKDAY($AA835,CHOOSE($Z835,3,3,2,2,3),Holidays))</f>
        <v/>
      </c>
      <c r="AC835" s="17">
        <f>IF(OR($Z835="",$Z835=6),"",CHOOSE($Z835,"1st Email Follow-up","2nd Email Follow-up","Escalate Local Office","Escalate to CBE","Escalate to Roxanne"))</f>
        <v/>
      </c>
    </row>
    <row r="836" spans="13:29">
      <c r="M836" s="14"/>
      <c r="T836" s="16"/>
      <c r="U836" s="17">
        <f>IF(AND(COUNTA($A836:$L836)=0,$N836=""),"",IF($T836="Paid","PAID",IF($T836="Closed","CLOSED",IF($Z836="","",IF($Z836=6,"ESCALATED TO ROXANNE",IF(TODAY()&gt;$AB836,"OVERDUE",IF($AB836&lt;=WORKDAY(TODAY(),1,Holidays),"DUE TOMORROW",IF($Z836=4,"ESCALATED TO LOCAL OFFICE",IF($Z836=5,"ESCALATED TO CBE",IF($AA836=TODAY(),"EMAIL SENT","MONITORING"))))))))))</f>
        <v/>
      </c>
      <c r="V836" s="17">
        <f>IF($U836="",IF(AND(COUNTA($A836:$L836)&gt;0,$N836=""),"Awaiting Collection Email time stamp.",""),IF(OR($U836="PAID",$U836="CLOSED"),IF($U836="PAID","Account paid. Action completed.","Account closed. No further action required."),CHOOSE($Z836,"Collection Email","1st Email Follow-up","2nd Email Follow-up","Escalation to Local Office","Escalation to CBE","Escalation to Roxanne")&amp;" sent "&amp;TEXT($AA836,"dd-mmm")&amp;". "&amp;IF($Z836=6,"Final escalation completed.",IF($U836="OVERDUE","Next: "&amp;$AC836&amp;" was due "&amp;TEXT($AB836,"dd-mmm")&amp;" - "&amp;(NETWORKDAYS($AB836,TODAY(),Holidays)-1)&amp;" business day(s) late. Send now.",IF($U836="DUE TOMORROW","Next: "&amp;$AC836&amp;IF($AB836&lt;=TODAY()," is due TODAY ("," is due next business day (")&amp;TEXT($AB836,"dd-mmm")&amp;").","Next: "&amp;$AC836&amp;" due "&amp;TEXT($AB836,"dd-mmm")&amp;" ("&amp;(NETWORKDAYS(TODAY(),$AB836,Holidays)-1)&amp;" business day(s) left).")))))</f>
        <v/>
      </c>
      <c r="W836" s="17">
        <f>IF($Z836="","",CHOOSE($Z836,"Collection Email","1st Follow-up","2nd Follow-up","Local Office","CBE","Roxanne")&amp;IF($Z836=6," - Final"," - Day "&amp;MAX(0,NETWORKDAYS($AA836,TODAY(),Holidays)-1)&amp;" of "&amp;CHOOSE($Z836,3,3,2,2,3))&amp;" | Total Day "&amp;MAX(0,NETWORKDAYS($N836,TODAY(),Holidays)-1))</f>
        <v/>
      </c>
      <c r="X836" s="18"/>
      <c r="Y836" s="18"/>
      <c r="Z836" s="17">
        <f>IF($N836="","",COUNT($N836:$S836))</f>
        <v/>
      </c>
      <c r="AA836" s="19">
        <f>IF($Z836="","",INT(INDEX($N836:$S836,$Z836)))</f>
        <v/>
      </c>
      <c r="AB836" s="19">
        <f>IF(OR($Z836="",$Z836=6),"",WORKDAY($AA836,CHOOSE($Z836,3,3,2,2,3),Holidays))</f>
        <v/>
      </c>
      <c r="AC836" s="17">
        <f>IF(OR($Z836="",$Z836=6),"",CHOOSE($Z836,"1st Email Follow-up","2nd Email Follow-up","Escalate Local Office","Escalate to CBE","Escalate to Roxanne"))</f>
        <v/>
      </c>
    </row>
    <row r="837" spans="13:29">
      <c r="M837" s="14"/>
      <c r="T837" s="16"/>
      <c r="U837" s="17">
        <f>IF(AND(COUNTA($A837:$L837)=0,$N837=""),"",IF($T837="Paid","PAID",IF($T837="Closed","CLOSED",IF($Z837="","",IF($Z837=6,"ESCALATED TO ROXANNE",IF(TODAY()&gt;$AB837,"OVERDUE",IF($AB837&lt;=WORKDAY(TODAY(),1,Holidays),"DUE TOMORROW",IF($Z837=4,"ESCALATED TO LOCAL OFFICE",IF($Z837=5,"ESCALATED TO CBE",IF($AA837=TODAY(),"EMAIL SENT","MONITORING"))))))))))</f>
        <v/>
      </c>
      <c r="V837" s="17">
        <f>IF($U837="",IF(AND(COUNTA($A837:$L837)&gt;0,$N837=""),"Awaiting Collection Email time stamp.",""),IF(OR($U837="PAID",$U837="CLOSED"),IF($U837="PAID","Account paid. Action completed.","Account closed. No further action required."),CHOOSE($Z837,"Collection Email","1st Email Follow-up","2nd Email Follow-up","Escalation to Local Office","Escalation to CBE","Escalation to Roxanne")&amp;" sent "&amp;TEXT($AA837,"dd-mmm")&amp;". "&amp;IF($Z837=6,"Final escalation completed.",IF($U837="OVERDUE","Next: "&amp;$AC837&amp;" was due "&amp;TEXT($AB837,"dd-mmm")&amp;" - "&amp;(NETWORKDAYS($AB837,TODAY(),Holidays)-1)&amp;" business day(s) late. Send now.",IF($U837="DUE TOMORROW","Next: "&amp;$AC837&amp;IF($AB837&lt;=TODAY()," is due TODAY ("," is due next business day (")&amp;TEXT($AB837,"dd-mmm")&amp;").","Next: "&amp;$AC837&amp;" due "&amp;TEXT($AB837,"dd-mmm")&amp;" ("&amp;(NETWORKDAYS(TODAY(),$AB837,Holidays)-1)&amp;" business day(s) left).")))))</f>
        <v/>
      </c>
      <c r="W837" s="17">
        <f>IF($Z837="","",CHOOSE($Z837,"Collection Email","1st Follow-up","2nd Follow-up","Local Office","CBE","Roxanne")&amp;IF($Z837=6," - Final"," - Day "&amp;MAX(0,NETWORKDAYS($AA837,TODAY(),Holidays)-1)&amp;" of "&amp;CHOOSE($Z837,3,3,2,2,3))&amp;" | Total Day "&amp;MAX(0,NETWORKDAYS($N837,TODAY(),Holidays)-1))</f>
        <v/>
      </c>
      <c r="X837" s="18"/>
      <c r="Y837" s="18"/>
      <c r="Z837" s="17">
        <f>IF($N837="","",COUNT($N837:$S837))</f>
        <v/>
      </c>
      <c r="AA837" s="19">
        <f>IF($Z837="","",INT(INDEX($N837:$S837,$Z837)))</f>
        <v/>
      </c>
      <c r="AB837" s="19">
        <f>IF(OR($Z837="",$Z837=6),"",WORKDAY($AA837,CHOOSE($Z837,3,3,2,2,3),Holidays))</f>
        <v/>
      </c>
      <c r="AC837" s="17">
        <f>IF(OR($Z837="",$Z837=6),"",CHOOSE($Z837,"1st Email Follow-up","2nd Email Follow-up","Escalate Local Office","Escalate to CBE","Escalate to Roxanne"))</f>
        <v/>
      </c>
    </row>
    <row r="838" spans="13:29">
      <c r="M838" s="14"/>
      <c r="T838" s="16"/>
      <c r="U838" s="17">
        <f>IF(AND(COUNTA($A838:$L838)=0,$N838=""),"",IF($T838="Paid","PAID",IF($T838="Closed","CLOSED",IF($Z838="","",IF($Z838=6,"ESCALATED TO ROXANNE",IF(TODAY()&gt;$AB838,"OVERDUE",IF($AB838&lt;=WORKDAY(TODAY(),1,Holidays),"DUE TOMORROW",IF($Z838=4,"ESCALATED TO LOCAL OFFICE",IF($Z838=5,"ESCALATED TO CBE",IF($AA838=TODAY(),"EMAIL SENT","MONITORING"))))))))))</f>
        <v/>
      </c>
      <c r="V838" s="17">
        <f>IF($U838="",IF(AND(COUNTA($A838:$L838)&gt;0,$N838=""),"Awaiting Collection Email time stamp.",""),IF(OR($U838="PAID",$U838="CLOSED"),IF($U838="PAID","Account paid. Action completed.","Account closed. No further action required."),CHOOSE($Z838,"Collection Email","1st Email Follow-up","2nd Email Follow-up","Escalation to Local Office","Escalation to CBE","Escalation to Roxanne")&amp;" sent "&amp;TEXT($AA838,"dd-mmm")&amp;". "&amp;IF($Z838=6,"Final escalation completed.",IF($U838="OVERDUE","Next: "&amp;$AC838&amp;" was due "&amp;TEXT($AB838,"dd-mmm")&amp;" - "&amp;(NETWORKDAYS($AB838,TODAY(),Holidays)-1)&amp;" business day(s) late. Send now.",IF($U838="DUE TOMORROW","Next: "&amp;$AC838&amp;IF($AB838&lt;=TODAY()," is due TODAY ("," is due next business day (")&amp;TEXT($AB838,"dd-mmm")&amp;").","Next: "&amp;$AC838&amp;" due "&amp;TEXT($AB838,"dd-mmm")&amp;" ("&amp;(NETWORKDAYS(TODAY(),$AB838,Holidays)-1)&amp;" business day(s) left).")))))</f>
        <v/>
      </c>
      <c r="W838" s="17">
        <f>IF($Z838="","",CHOOSE($Z838,"Collection Email","1st Follow-up","2nd Follow-up","Local Office","CBE","Roxanne")&amp;IF($Z838=6," - Final"," - Day "&amp;MAX(0,NETWORKDAYS($AA838,TODAY(),Holidays)-1)&amp;" of "&amp;CHOOSE($Z838,3,3,2,2,3))&amp;" | Total Day "&amp;MAX(0,NETWORKDAYS($N838,TODAY(),Holidays)-1))</f>
        <v/>
      </c>
      <c r="X838" s="18"/>
      <c r="Y838" s="18"/>
      <c r="Z838" s="17">
        <f>IF($N838="","",COUNT($N838:$S838))</f>
        <v/>
      </c>
      <c r="AA838" s="19">
        <f>IF($Z838="","",INT(INDEX($N838:$S838,$Z838)))</f>
        <v/>
      </c>
      <c r="AB838" s="19">
        <f>IF(OR($Z838="",$Z838=6),"",WORKDAY($AA838,CHOOSE($Z838,3,3,2,2,3),Holidays))</f>
        <v/>
      </c>
      <c r="AC838" s="17">
        <f>IF(OR($Z838="",$Z838=6),"",CHOOSE($Z838,"1st Email Follow-up","2nd Email Follow-up","Escalate Local Office","Escalate to CBE","Escalate to Roxanne"))</f>
        <v/>
      </c>
    </row>
    <row r="839" spans="13:29">
      <c r="M839" s="14"/>
      <c r="T839" s="16"/>
      <c r="U839" s="17">
        <f>IF(AND(COUNTA($A839:$L839)=0,$N839=""),"",IF($T839="Paid","PAID",IF($T839="Closed","CLOSED",IF($Z839="","",IF($Z839=6,"ESCALATED TO ROXANNE",IF(TODAY()&gt;$AB839,"OVERDUE",IF($AB839&lt;=WORKDAY(TODAY(),1,Holidays),"DUE TOMORROW",IF($Z839=4,"ESCALATED TO LOCAL OFFICE",IF($Z839=5,"ESCALATED TO CBE",IF($AA839=TODAY(),"EMAIL SENT","MONITORING"))))))))))</f>
        <v/>
      </c>
      <c r="V839" s="17">
        <f>IF($U839="",IF(AND(COUNTA($A839:$L839)&gt;0,$N839=""),"Awaiting Collection Email time stamp.",""),IF(OR($U839="PAID",$U839="CLOSED"),IF($U839="PAID","Account paid. Action completed.","Account closed. No further action required."),CHOOSE($Z839,"Collection Email","1st Email Follow-up","2nd Email Follow-up","Escalation to Local Office","Escalation to CBE","Escalation to Roxanne")&amp;" sent "&amp;TEXT($AA839,"dd-mmm")&amp;". "&amp;IF($Z839=6,"Final escalation completed.",IF($U839="OVERDUE","Next: "&amp;$AC839&amp;" was due "&amp;TEXT($AB839,"dd-mmm")&amp;" - "&amp;(NETWORKDAYS($AB839,TODAY(),Holidays)-1)&amp;" business day(s) late. Send now.",IF($U839="DUE TOMORROW","Next: "&amp;$AC839&amp;IF($AB839&lt;=TODAY()," is due TODAY ("," is due next business day (")&amp;TEXT($AB839,"dd-mmm")&amp;").","Next: "&amp;$AC839&amp;" due "&amp;TEXT($AB839,"dd-mmm")&amp;" ("&amp;(NETWORKDAYS(TODAY(),$AB839,Holidays)-1)&amp;" business day(s) left).")))))</f>
        <v/>
      </c>
      <c r="W839" s="17">
        <f>IF($Z839="","",CHOOSE($Z839,"Collection Email","1st Follow-up","2nd Follow-up","Local Office","CBE","Roxanne")&amp;IF($Z839=6," - Final"," - Day "&amp;MAX(0,NETWORKDAYS($AA839,TODAY(),Holidays)-1)&amp;" of "&amp;CHOOSE($Z839,3,3,2,2,3))&amp;" | Total Day "&amp;MAX(0,NETWORKDAYS($N839,TODAY(),Holidays)-1))</f>
        <v/>
      </c>
      <c r="X839" s="18"/>
      <c r="Y839" s="18"/>
      <c r="Z839" s="17">
        <f>IF($N839="","",COUNT($N839:$S839))</f>
        <v/>
      </c>
      <c r="AA839" s="19">
        <f>IF($Z839="","",INT(INDEX($N839:$S839,$Z839)))</f>
        <v/>
      </c>
      <c r="AB839" s="19">
        <f>IF(OR($Z839="",$Z839=6),"",WORKDAY($AA839,CHOOSE($Z839,3,3,2,2,3),Holidays))</f>
        <v/>
      </c>
      <c r="AC839" s="17">
        <f>IF(OR($Z839="",$Z839=6),"",CHOOSE($Z839,"1st Email Follow-up","2nd Email Follow-up","Escalate Local Office","Escalate to CBE","Escalate to Roxanne"))</f>
        <v/>
      </c>
    </row>
    <row r="840" spans="13:29">
      <c r="M840" s="14"/>
      <c r="T840" s="16"/>
      <c r="U840" s="17">
        <f>IF(AND(COUNTA($A840:$L840)=0,$N840=""),"",IF($T840="Paid","PAID",IF($T840="Closed","CLOSED",IF($Z840="","",IF($Z840=6,"ESCALATED TO ROXANNE",IF(TODAY()&gt;$AB840,"OVERDUE",IF($AB840&lt;=WORKDAY(TODAY(),1,Holidays),"DUE TOMORROW",IF($Z840=4,"ESCALATED TO LOCAL OFFICE",IF($Z840=5,"ESCALATED TO CBE",IF($AA840=TODAY(),"EMAIL SENT","MONITORING"))))))))))</f>
        <v/>
      </c>
      <c r="V840" s="17">
        <f>IF($U840="",IF(AND(COUNTA($A840:$L840)&gt;0,$N840=""),"Awaiting Collection Email time stamp.",""),IF(OR($U840="PAID",$U840="CLOSED"),IF($U840="PAID","Account paid. Action completed.","Account closed. No further action required."),CHOOSE($Z840,"Collection Email","1st Email Follow-up","2nd Email Follow-up","Escalation to Local Office","Escalation to CBE","Escalation to Roxanne")&amp;" sent "&amp;TEXT($AA840,"dd-mmm")&amp;". "&amp;IF($Z840=6,"Final escalation completed.",IF($U840="OVERDUE","Next: "&amp;$AC840&amp;" was due "&amp;TEXT($AB840,"dd-mmm")&amp;" - "&amp;(NETWORKDAYS($AB840,TODAY(),Holidays)-1)&amp;" business day(s) late. Send now.",IF($U840="DUE TOMORROW","Next: "&amp;$AC840&amp;IF($AB840&lt;=TODAY()," is due TODAY ("," is due next business day (")&amp;TEXT($AB840,"dd-mmm")&amp;").","Next: "&amp;$AC840&amp;" due "&amp;TEXT($AB840,"dd-mmm")&amp;" ("&amp;(NETWORKDAYS(TODAY(),$AB840,Holidays)-1)&amp;" business day(s) left).")))))</f>
        <v/>
      </c>
      <c r="W840" s="17">
        <f>IF($Z840="","",CHOOSE($Z840,"Collection Email","1st Follow-up","2nd Follow-up","Local Office","CBE","Roxanne")&amp;IF($Z840=6," - Final"," - Day "&amp;MAX(0,NETWORKDAYS($AA840,TODAY(),Holidays)-1)&amp;" of "&amp;CHOOSE($Z840,3,3,2,2,3))&amp;" | Total Day "&amp;MAX(0,NETWORKDAYS($N840,TODAY(),Holidays)-1))</f>
        <v/>
      </c>
      <c r="X840" s="18"/>
      <c r="Y840" s="18"/>
      <c r="Z840" s="17">
        <f>IF($N840="","",COUNT($N840:$S840))</f>
        <v/>
      </c>
      <c r="AA840" s="19">
        <f>IF($Z840="","",INT(INDEX($N840:$S840,$Z840)))</f>
        <v/>
      </c>
      <c r="AB840" s="19">
        <f>IF(OR($Z840="",$Z840=6),"",WORKDAY($AA840,CHOOSE($Z840,3,3,2,2,3),Holidays))</f>
        <v/>
      </c>
      <c r="AC840" s="17">
        <f>IF(OR($Z840="",$Z840=6),"",CHOOSE($Z840,"1st Email Follow-up","2nd Email Follow-up","Escalate Local Office","Escalate to CBE","Escalate to Roxanne"))</f>
        <v/>
      </c>
    </row>
    <row r="841" spans="13:29">
      <c r="M841" s="14"/>
      <c r="T841" s="16"/>
      <c r="U841" s="17">
        <f>IF(AND(COUNTA($A841:$L841)=0,$N841=""),"",IF($T841="Paid","PAID",IF($T841="Closed","CLOSED",IF($Z841="","",IF($Z841=6,"ESCALATED TO ROXANNE",IF(TODAY()&gt;$AB841,"OVERDUE",IF($AB841&lt;=WORKDAY(TODAY(),1,Holidays),"DUE TOMORROW",IF($Z841=4,"ESCALATED TO LOCAL OFFICE",IF($Z841=5,"ESCALATED TO CBE",IF($AA841=TODAY(),"EMAIL SENT","MONITORING"))))))))))</f>
        <v/>
      </c>
      <c r="V841" s="17">
        <f>IF($U841="",IF(AND(COUNTA($A841:$L841)&gt;0,$N841=""),"Awaiting Collection Email time stamp.",""),IF(OR($U841="PAID",$U841="CLOSED"),IF($U841="PAID","Account paid. Action completed.","Account closed. No further action required."),CHOOSE($Z841,"Collection Email","1st Email Follow-up","2nd Email Follow-up","Escalation to Local Office","Escalation to CBE","Escalation to Roxanne")&amp;" sent "&amp;TEXT($AA841,"dd-mmm")&amp;". "&amp;IF($Z841=6,"Final escalation completed.",IF($U841="OVERDUE","Next: "&amp;$AC841&amp;" was due "&amp;TEXT($AB841,"dd-mmm")&amp;" - "&amp;(NETWORKDAYS($AB841,TODAY(),Holidays)-1)&amp;" business day(s) late. Send now.",IF($U841="DUE TOMORROW","Next: "&amp;$AC841&amp;IF($AB841&lt;=TODAY()," is due TODAY ("," is due next business day (")&amp;TEXT($AB841,"dd-mmm")&amp;").","Next: "&amp;$AC841&amp;" due "&amp;TEXT($AB841,"dd-mmm")&amp;" ("&amp;(NETWORKDAYS(TODAY(),$AB841,Holidays)-1)&amp;" business day(s) left).")))))</f>
        <v/>
      </c>
      <c r="W841" s="17">
        <f>IF($Z841="","",CHOOSE($Z841,"Collection Email","1st Follow-up","2nd Follow-up","Local Office","CBE","Roxanne")&amp;IF($Z841=6," - Final"," - Day "&amp;MAX(0,NETWORKDAYS($AA841,TODAY(),Holidays)-1)&amp;" of "&amp;CHOOSE($Z841,3,3,2,2,3))&amp;" | Total Day "&amp;MAX(0,NETWORKDAYS($N841,TODAY(),Holidays)-1))</f>
        <v/>
      </c>
      <c r="X841" s="18"/>
      <c r="Y841" s="18"/>
      <c r="Z841" s="17">
        <f>IF($N841="","",COUNT($N841:$S841))</f>
        <v/>
      </c>
      <c r="AA841" s="19">
        <f>IF($Z841="","",INT(INDEX($N841:$S841,$Z841)))</f>
        <v/>
      </c>
      <c r="AB841" s="19">
        <f>IF(OR($Z841="",$Z841=6),"",WORKDAY($AA841,CHOOSE($Z841,3,3,2,2,3),Holidays))</f>
        <v/>
      </c>
      <c r="AC841" s="17">
        <f>IF(OR($Z841="",$Z841=6),"",CHOOSE($Z841,"1st Email Follow-up","2nd Email Follow-up","Escalate Local Office","Escalate to CBE","Escalate to Roxanne"))</f>
        <v/>
      </c>
    </row>
    <row r="842" spans="13:29">
      <c r="M842" s="14"/>
      <c r="T842" s="16"/>
      <c r="U842" s="17">
        <f>IF(AND(COUNTA($A842:$L842)=0,$N842=""),"",IF($T842="Paid","PAID",IF($T842="Closed","CLOSED",IF($Z842="","",IF($Z842=6,"ESCALATED TO ROXANNE",IF(TODAY()&gt;$AB842,"OVERDUE",IF($AB842&lt;=WORKDAY(TODAY(),1,Holidays),"DUE TOMORROW",IF($Z842=4,"ESCALATED TO LOCAL OFFICE",IF($Z842=5,"ESCALATED TO CBE",IF($AA842=TODAY(),"EMAIL SENT","MONITORING"))))))))))</f>
        <v/>
      </c>
      <c r="V842" s="17">
        <f>IF($U842="",IF(AND(COUNTA($A842:$L842)&gt;0,$N842=""),"Awaiting Collection Email time stamp.",""),IF(OR($U842="PAID",$U842="CLOSED"),IF($U842="PAID","Account paid. Action completed.","Account closed. No further action required."),CHOOSE($Z842,"Collection Email","1st Email Follow-up","2nd Email Follow-up","Escalation to Local Office","Escalation to CBE","Escalation to Roxanne")&amp;" sent "&amp;TEXT($AA842,"dd-mmm")&amp;". "&amp;IF($Z842=6,"Final escalation completed.",IF($U842="OVERDUE","Next: "&amp;$AC842&amp;" was due "&amp;TEXT($AB842,"dd-mmm")&amp;" - "&amp;(NETWORKDAYS($AB842,TODAY(),Holidays)-1)&amp;" business day(s) late. Send now.",IF($U842="DUE TOMORROW","Next: "&amp;$AC842&amp;IF($AB842&lt;=TODAY()," is due TODAY ("," is due next business day (")&amp;TEXT($AB842,"dd-mmm")&amp;").","Next: "&amp;$AC842&amp;" due "&amp;TEXT($AB842,"dd-mmm")&amp;" ("&amp;(NETWORKDAYS(TODAY(),$AB842,Holidays)-1)&amp;" business day(s) left).")))))</f>
        <v/>
      </c>
      <c r="W842" s="17">
        <f>IF($Z842="","",CHOOSE($Z842,"Collection Email","1st Follow-up","2nd Follow-up","Local Office","CBE","Roxanne")&amp;IF($Z842=6," - Final"," - Day "&amp;MAX(0,NETWORKDAYS($AA842,TODAY(),Holidays)-1)&amp;" of "&amp;CHOOSE($Z842,3,3,2,2,3))&amp;" | Total Day "&amp;MAX(0,NETWORKDAYS($N842,TODAY(),Holidays)-1))</f>
        <v/>
      </c>
      <c r="X842" s="18"/>
      <c r="Y842" s="18"/>
      <c r="Z842" s="17">
        <f>IF($N842="","",COUNT($N842:$S842))</f>
        <v/>
      </c>
      <c r="AA842" s="19">
        <f>IF($Z842="","",INT(INDEX($N842:$S842,$Z842)))</f>
        <v/>
      </c>
      <c r="AB842" s="19">
        <f>IF(OR($Z842="",$Z842=6),"",WORKDAY($AA842,CHOOSE($Z842,3,3,2,2,3),Holidays))</f>
        <v/>
      </c>
      <c r="AC842" s="17">
        <f>IF(OR($Z842="",$Z842=6),"",CHOOSE($Z842,"1st Email Follow-up","2nd Email Follow-up","Escalate Local Office","Escalate to CBE","Escalate to Roxanne"))</f>
        <v/>
      </c>
    </row>
    <row r="843" spans="13:29">
      <c r="M843" s="14"/>
      <c r="T843" s="16"/>
      <c r="U843" s="17">
        <f>IF(AND(COUNTA($A843:$L843)=0,$N843=""),"",IF($T843="Paid","PAID",IF($T843="Closed","CLOSED",IF($Z843="","",IF($Z843=6,"ESCALATED TO ROXANNE",IF(TODAY()&gt;$AB843,"OVERDUE",IF($AB843&lt;=WORKDAY(TODAY(),1,Holidays),"DUE TOMORROW",IF($Z843=4,"ESCALATED TO LOCAL OFFICE",IF($Z843=5,"ESCALATED TO CBE",IF($AA843=TODAY(),"EMAIL SENT","MONITORING"))))))))))</f>
        <v/>
      </c>
      <c r="V843" s="17">
        <f>IF($U843="",IF(AND(COUNTA($A843:$L843)&gt;0,$N843=""),"Awaiting Collection Email time stamp.",""),IF(OR($U843="PAID",$U843="CLOSED"),IF($U843="PAID","Account paid. Action completed.","Account closed. No further action required."),CHOOSE($Z843,"Collection Email","1st Email Follow-up","2nd Email Follow-up","Escalation to Local Office","Escalation to CBE","Escalation to Roxanne")&amp;" sent "&amp;TEXT($AA843,"dd-mmm")&amp;". "&amp;IF($Z843=6,"Final escalation completed.",IF($U843="OVERDUE","Next: "&amp;$AC843&amp;" was due "&amp;TEXT($AB843,"dd-mmm")&amp;" - "&amp;(NETWORKDAYS($AB843,TODAY(),Holidays)-1)&amp;" business day(s) late. Send now.",IF($U843="DUE TOMORROW","Next: "&amp;$AC843&amp;IF($AB843&lt;=TODAY()," is due TODAY ("," is due next business day (")&amp;TEXT($AB843,"dd-mmm")&amp;").","Next: "&amp;$AC843&amp;" due "&amp;TEXT($AB843,"dd-mmm")&amp;" ("&amp;(NETWORKDAYS(TODAY(),$AB843,Holidays)-1)&amp;" business day(s) left).")))))</f>
        <v/>
      </c>
      <c r="W843" s="17">
        <f>IF($Z843="","",CHOOSE($Z843,"Collection Email","1st Follow-up","2nd Follow-up","Local Office","CBE","Roxanne")&amp;IF($Z843=6," - Final"," - Day "&amp;MAX(0,NETWORKDAYS($AA843,TODAY(),Holidays)-1)&amp;" of "&amp;CHOOSE($Z843,3,3,2,2,3))&amp;" | Total Day "&amp;MAX(0,NETWORKDAYS($N843,TODAY(),Holidays)-1))</f>
        <v/>
      </c>
      <c r="X843" s="18"/>
      <c r="Y843" s="18"/>
      <c r="Z843" s="17">
        <f>IF($N843="","",COUNT($N843:$S843))</f>
        <v/>
      </c>
      <c r="AA843" s="19">
        <f>IF($Z843="","",INT(INDEX($N843:$S843,$Z843)))</f>
        <v/>
      </c>
      <c r="AB843" s="19">
        <f>IF(OR($Z843="",$Z843=6),"",WORKDAY($AA843,CHOOSE($Z843,3,3,2,2,3),Holidays))</f>
        <v/>
      </c>
      <c r="AC843" s="17">
        <f>IF(OR($Z843="",$Z843=6),"",CHOOSE($Z843,"1st Email Follow-up","2nd Email Follow-up","Escalate Local Office","Escalate to CBE","Escalate to Roxanne"))</f>
        <v/>
      </c>
    </row>
    <row r="844" spans="13:29">
      <c r="M844" s="14"/>
      <c r="T844" s="16"/>
      <c r="U844" s="17">
        <f>IF(AND(COUNTA($A844:$L844)=0,$N844=""),"",IF($T844="Paid","PAID",IF($T844="Closed","CLOSED",IF($Z844="","",IF($Z844=6,"ESCALATED TO ROXANNE",IF(TODAY()&gt;$AB844,"OVERDUE",IF($AB844&lt;=WORKDAY(TODAY(),1,Holidays),"DUE TOMORROW",IF($Z844=4,"ESCALATED TO LOCAL OFFICE",IF($Z844=5,"ESCALATED TO CBE",IF($AA844=TODAY(),"EMAIL SENT","MONITORING"))))))))))</f>
        <v/>
      </c>
      <c r="V844" s="17">
        <f>IF($U844="",IF(AND(COUNTA($A844:$L844)&gt;0,$N844=""),"Awaiting Collection Email time stamp.",""),IF(OR($U844="PAID",$U844="CLOSED"),IF($U844="PAID","Account paid. Action completed.","Account closed. No further action required."),CHOOSE($Z844,"Collection Email","1st Email Follow-up","2nd Email Follow-up","Escalation to Local Office","Escalation to CBE","Escalation to Roxanne")&amp;" sent "&amp;TEXT($AA844,"dd-mmm")&amp;". "&amp;IF($Z844=6,"Final escalation completed.",IF($U844="OVERDUE","Next: "&amp;$AC844&amp;" was due "&amp;TEXT($AB844,"dd-mmm")&amp;" - "&amp;(NETWORKDAYS($AB844,TODAY(),Holidays)-1)&amp;" business day(s) late. Send now.",IF($U844="DUE TOMORROW","Next: "&amp;$AC844&amp;IF($AB844&lt;=TODAY()," is due TODAY ("," is due next business day (")&amp;TEXT($AB844,"dd-mmm")&amp;").","Next: "&amp;$AC844&amp;" due "&amp;TEXT($AB844,"dd-mmm")&amp;" ("&amp;(NETWORKDAYS(TODAY(),$AB844,Holidays)-1)&amp;" business day(s) left).")))))</f>
        <v/>
      </c>
      <c r="W844" s="17">
        <f>IF($Z844="","",CHOOSE($Z844,"Collection Email","1st Follow-up","2nd Follow-up","Local Office","CBE","Roxanne")&amp;IF($Z844=6," - Final"," - Day "&amp;MAX(0,NETWORKDAYS($AA844,TODAY(),Holidays)-1)&amp;" of "&amp;CHOOSE($Z844,3,3,2,2,3))&amp;" | Total Day "&amp;MAX(0,NETWORKDAYS($N844,TODAY(),Holidays)-1))</f>
        <v/>
      </c>
      <c r="X844" s="18"/>
      <c r="Y844" s="18"/>
      <c r="Z844" s="17">
        <f>IF($N844="","",COUNT($N844:$S844))</f>
        <v/>
      </c>
      <c r="AA844" s="19">
        <f>IF($Z844="","",INT(INDEX($N844:$S844,$Z844)))</f>
        <v/>
      </c>
      <c r="AB844" s="19">
        <f>IF(OR($Z844="",$Z844=6),"",WORKDAY($AA844,CHOOSE($Z844,3,3,2,2,3),Holidays))</f>
        <v/>
      </c>
      <c r="AC844" s="17">
        <f>IF(OR($Z844="",$Z844=6),"",CHOOSE($Z844,"1st Email Follow-up","2nd Email Follow-up","Escalate Local Office","Escalate to CBE","Escalate to Roxanne"))</f>
        <v/>
      </c>
    </row>
    <row r="845" spans="13:29">
      <c r="M845" s="14"/>
      <c r="T845" s="16"/>
      <c r="U845" s="17">
        <f>IF(AND(COUNTA($A845:$L845)=0,$N845=""),"",IF($T845="Paid","PAID",IF($T845="Closed","CLOSED",IF($Z845="","",IF($Z845=6,"ESCALATED TO ROXANNE",IF(TODAY()&gt;$AB845,"OVERDUE",IF($AB845&lt;=WORKDAY(TODAY(),1,Holidays),"DUE TOMORROW",IF($Z845=4,"ESCALATED TO LOCAL OFFICE",IF($Z845=5,"ESCALATED TO CBE",IF($AA845=TODAY(),"EMAIL SENT","MONITORING"))))))))))</f>
        <v/>
      </c>
      <c r="V845" s="17">
        <f>IF($U845="",IF(AND(COUNTA($A845:$L845)&gt;0,$N845=""),"Awaiting Collection Email time stamp.",""),IF(OR($U845="PAID",$U845="CLOSED"),IF($U845="PAID","Account paid. Action completed.","Account closed. No further action required."),CHOOSE($Z845,"Collection Email","1st Email Follow-up","2nd Email Follow-up","Escalation to Local Office","Escalation to CBE","Escalation to Roxanne")&amp;" sent "&amp;TEXT($AA845,"dd-mmm")&amp;". "&amp;IF($Z845=6,"Final escalation completed.",IF($U845="OVERDUE","Next: "&amp;$AC845&amp;" was due "&amp;TEXT($AB845,"dd-mmm")&amp;" - "&amp;(NETWORKDAYS($AB845,TODAY(),Holidays)-1)&amp;" business day(s) late. Send now.",IF($U845="DUE TOMORROW","Next: "&amp;$AC845&amp;IF($AB845&lt;=TODAY()," is due TODAY ("," is due next business day (")&amp;TEXT($AB845,"dd-mmm")&amp;").","Next: "&amp;$AC845&amp;" due "&amp;TEXT($AB845,"dd-mmm")&amp;" ("&amp;(NETWORKDAYS(TODAY(),$AB845,Holidays)-1)&amp;" business day(s) left).")))))</f>
        <v/>
      </c>
      <c r="W845" s="17">
        <f>IF($Z845="","",CHOOSE($Z845,"Collection Email","1st Follow-up","2nd Follow-up","Local Office","CBE","Roxanne")&amp;IF($Z845=6," - Final"," - Day "&amp;MAX(0,NETWORKDAYS($AA845,TODAY(),Holidays)-1)&amp;" of "&amp;CHOOSE($Z845,3,3,2,2,3))&amp;" | Total Day "&amp;MAX(0,NETWORKDAYS($N845,TODAY(),Holidays)-1))</f>
        <v/>
      </c>
      <c r="X845" s="18"/>
      <c r="Y845" s="18"/>
      <c r="Z845" s="17">
        <f>IF($N845="","",COUNT($N845:$S845))</f>
        <v/>
      </c>
      <c r="AA845" s="19">
        <f>IF($Z845="","",INT(INDEX($N845:$S845,$Z845)))</f>
        <v/>
      </c>
      <c r="AB845" s="19">
        <f>IF(OR($Z845="",$Z845=6),"",WORKDAY($AA845,CHOOSE($Z845,3,3,2,2,3),Holidays))</f>
        <v/>
      </c>
      <c r="AC845" s="17">
        <f>IF(OR($Z845="",$Z845=6),"",CHOOSE($Z845,"1st Email Follow-up","2nd Email Follow-up","Escalate Local Office","Escalate to CBE","Escalate to Roxanne"))</f>
        <v/>
      </c>
    </row>
    <row r="846" spans="13:29">
      <c r="M846" s="14"/>
      <c r="T846" s="16"/>
      <c r="U846" s="17">
        <f>IF(AND(COUNTA($A846:$L846)=0,$N846=""),"",IF($T846="Paid","PAID",IF($T846="Closed","CLOSED",IF($Z846="","",IF($Z846=6,"ESCALATED TO ROXANNE",IF(TODAY()&gt;$AB846,"OVERDUE",IF($AB846&lt;=WORKDAY(TODAY(),1,Holidays),"DUE TOMORROW",IF($Z846=4,"ESCALATED TO LOCAL OFFICE",IF($Z846=5,"ESCALATED TO CBE",IF($AA846=TODAY(),"EMAIL SENT","MONITORING"))))))))))</f>
        <v/>
      </c>
      <c r="V846" s="17">
        <f>IF($U846="",IF(AND(COUNTA($A846:$L846)&gt;0,$N846=""),"Awaiting Collection Email time stamp.",""),IF(OR($U846="PAID",$U846="CLOSED"),IF($U846="PAID","Account paid. Action completed.","Account closed. No further action required."),CHOOSE($Z846,"Collection Email","1st Email Follow-up","2nd Email Follow-up","Escalation to Local Office","Escalation to CBE","Escalation to Roxanne")&amp;" sent "&amp;TEXT($AA846,"dd-mmm")&amp;". "&amp;IF($Z846=6,"Final escalation completed.",IF($U846="OVERDUE","Next: "&amp;$AC846&amp;" was due "&amp;TEXT($AB846,"dd-mmm")&amp;" - "&amp;(NETWORKDAYS($AB846,TODAY(),Holidays)-1)&amp;" business day(s) late. Send now.",IF($U846="DUE TOMORROW","Next: "&amp;$AC846&amp;IF($AB846&lt;=TODAY()," is due TODAY ("," is due next business day (")&amp;TEXT($AB846,"dd-mmm")&amp;").","Next: "&amp;$AC846&amp;" due "&amp;TEXT($AB846,"dd-mmm")&amp;" ("&amp;(NETWORKDAYS(TODAY(),$AB846,Holidays)-1)&amp;" business day(s) left).")))))</f>
        <v/>
      </c>
      <c r="W846" s="17">
        <f>IF($Z846="","",CHOOSE($Z846,"Collection Email","1st Follow-up","2nd Follow-up","Local Office","CBE","Roxanne")&amp;IF($Z846=6," - Final"," - Day "&amp;MAX(0,NETWORKDAYS($AA846,TODAY(),Holidays)-1)&amp;" of "&amp;CHOOSE($Z846,3,3,2,2,3))&amp;" | Total Day "&amp;MAX(0,NETWORKDAYS($N846,TODAY(),Holidays)-1))</f>
        <v/>
      </c>
      <c r="X846" s="18"/>
      <c r="Y846" s="18"/>
      <c r="Z846" s="17">
        <f>IF($N846="","",COUNT($N846:$S846))</f>
        <v/>
      </c>
      <c r="AA846" s="19">
        <f>IF($Z846="","",INT(INDEX($N846:$S846,$Z846)))</f>
        <v/>
      </c>
      <c r="AB846" s="19">
        <f>IF(OR($Z846="",$Z846=6),"",WORKDAY($AA846,CHOOSE($Z846,3,3,2,2,3),Holidays))</f>
        <v/>
      </c>
      <c r="AC846" s="17">
        <f>IF(OR($Z846="",$Z846=6),"",CHOOSE($Z846,"1st Email Follow-up","2nd Email Follow-up","Escalate Local Office","Escalate to CBE","Escalate to Roxanne"))</f>
        <v/>
      </c>
    </row>
    <row r="847" spans="13:29">
      <c r="M847" s="14"/>
      <c r="T847" s="16"/>
      <c r="U847" s="17">
        <f>IF(AND(COUNTA($A847:$L847)=0,$N847=""),"",IF($T847="Paid","PAID",IF($T847="Closed","CLOSED",IF($Z847="","",IF($Z847=6,"ESCALATED TO ROXANNE",IF(TODAY()&gt;$AB847,"OVERDUE",IF($AB847&lt;=WORKDAY(TODAY(),1,Holidays),"DUE TOMORROW",IF($Z847=4,"ESCALATED TO LOCAL OFFICE",IF($Z847=5,"ESCALATED TO CBE",IF($AA847=TODAY(),"EMAIL SENT","MONITORING"))))))))))</f>
        <v/>
      </c>
      <c r="V847" s="17">
        <f>IF($U847="",IF(AND(COUNTA($A847:$L847)&gt;0,$N847=""),"Awaiting Collection Email time stamp.",""),IF(OR($U847="PAID",$U847="CLOSED"),IF($U847="PAID","Account paid. Action completed.","Account closed. No further action required."),CHOOSE($Z847,"Collection Email","1st Email Follow-up","2nd Email Follow-up","Escalation to Local Office","Escalation to CBE","Escalation to Roxanne")&amp;" sent "&amp;TEXT($AA847,"dd-mmm")&amp;". "&amp;IF($Z847=6,"Final escalation completed.",IF($U847="OVERDUE","Next: "&amp;$AC847&amp;" was due "&amp;TEXT($AB847,"dd-mmm")&amp;" - "&amp;(NETWORKDAYS($AB847,TODAY(),Holidays)-1)&amp;" business day(s) late. Send now.",IF($U847="DUE TOMORROW","Next: "&amp;$AC847&amp;IF($AB847&lt;=TODAY()," is due TODAY ("," is due next business day (")&amp;TEXT($AB847,"dd-mmm")&amp;").","Next: "&amp;$AC847&amp;" due "&amp;TEXT($AB847,"dd-mmm")&amp;" ("&amp;(NETWORKDAYS(TODAY(),$AB847,Holidays)-1)&amp;" business day(s) left).")))))</f>
        <v/>
      </c>
      <c r="W847" s="17">
        <f>IF($Z847="","",CHOOSE($Z847,"Collection Email","1st Follow-up","2nd Follow-up","Local Office","CBE","Roxanne")&amp;IF($Z847=6," - Final"," - Day "&amp;MAX(0,NETWORKDAYS($AA847,TODAY(),Holidays)-1)&amp;" of "&amp;CHOOSE($Z847,3,3,2,2,3))&amp;" | Total Day "&amp;MAX(0,NETWORKDAYS($N847,TODAY(),Holidays)-1))</f>
        <v/>
      </c>
      <c r="X847" s="18"/>
      <c r="Y847" s="18"/>
      <c r="Z847" s="17">
        <f>IF($N847="","",COUNT($N847:$S847))</f>
        <v/>
      </c>
      <c r="AA847" s="19">
        <f>IF($Z847="","",INT(INDEX($N847:$S847,$Z847)))</f>
        <v/>
      </c>
      <c r="AB847" s="19">
        <f>IF(OR($Z847="",$Z847=6),"",WORKDAY($AA847,CHOOSE($Z847,3,3,2,2,3),Holidays))</f>
        <v/>
      </c>
      <c r="AC847" s="17">
        <f>IF(OR($Z847="",$Z847=6),"",CHOOSE($Z847,"1st Email Follow-up","2nd Email Follow-up","Escalate Local Office","Escalate to CBE","Escalate to Roxanne"))</f>
        <v/>
      </c>
    </row>
    <row r="848" spans="13:29">
      <c r="M848" s="14"/>
      <c r="T848" s="16"/>
      <c r="U848" s="17">
        <f>IF(AND(COUNTA($A848:$L848)=0,$N848=""),"",IF($T848="Paid","PAID",IF($T848="Closed","CLOSED",IF($Z848="","",IF($Z848=6,"ESCALATED TO ROXANNE",IF(TODAY()&gt;$AB848,"OVERDUE",IF($AB848&lt;=WORKDAY(TODAY(),1,Holidays),"DUE TOMORROW",IF($Z848=4,"ESCALATED TO LOCAL OFFICE",IF($Z848=5,"ESCALATED TO CBE",IF($AA848=TODAY(),"EMAIL SENT","MONITORING"))))))))))</f>
        <v/>
      </c>
      <c r="V848" s="17">
        <f>IF($U848="",IF(AND(COUNTA($A848:$L848)&gt;0,$N848=""),"Awaiting Collection Email time stamp.",""),IF(OR($U848="PAID",$U848="CLOSED"),IF($U848="PAID","Account paid. Action completed.","Account closed. No further action required."),CHOOSE($Z848,"Collection Email","1st Email Follow-up","2nd Email Follow-up","Escalation to Local Office","Escalation to CBE","Escalation to Roxanne")&amp;" sent "&amp;TEXT($AA848,"dd-mmm")&amp;". "&amp;IF($Z848=6,"Final escalation completed.",IF($U848="OVERDUE","Next: "&amp;$AC848&amp;" was due "&amp;TEXT($AB848,"dd-mmm")&amp;" - "&amp;(NETWORKDAYS($AB848,TODAY(),Holidays)-1)&amp;" business day(s) late. Send now.",IF($U848="DUE TOMORROW","Next: "&amp;$AC848&amp;IF($AB848&lt;=TODAY()," is due TODAY ("," is due next business day (")&amp;TEXT($AB848,"dd-mmm")&amp;").","Next: "&amp;$AC848&amp;" due "&amp;TEXT($AB848,"dd-mmm")&amp;" ("&amp;(NETWORKDAYS(TODAY(),$AB848,Holidays)-1)&amp;" business day(s) left).")))))</f>
        <v/>
      </c>
      <c r="W848" s="17">
        <f>IF($Z848="","",CHOOSE($Z848,"Collection Email","1st Follow-up","2nd Follow-up","Local Office","CBE","Roxanne")&amp;IF($Z848=6," - Final"," - Day "&amp;MAX(0,NETWORKDAYS($AA848,TODAY(),Holidays)-1)&amp;" of "&amp;CHOOSE($Z848,3,3,2,2,3))&amp;" | Total Day "&amp;MAX(0,NETWORKDAYS($N848,TODAY(),Holidays)-1))</f>
        <v/>
      </c>
      <c r="X848" s="18"/>
      <c r="Y848" s="18"/>
      <c r="Z848" s="17">
        <f>IF($N848="","",COUNT($N848:$S848))</f>
        <v/>
      </c>
      <c r="AA848" s="19">
        <f>IF($Z848="","",INT(INDEX($N848:$S848,$Z848)))</f>
        <v/>
      </c>
      <c r="AB848" s="19">
        <f>IF(OR($Z848="",$Z848=6),"",WORKDAY($AA848,CHOOSE($Z848,3,3,2,2,3),Holidays))</f>
        <v/>
      </c>
      <c r="AC848" s="17">
        <f>IF(OR($Z848="",$Z848=6),"",CHOOSE($Z848,"1st Email Follow-up","2nd Email Follow-up","Escalate Local Office","Escalate to CBE","Escalate to Roxanne"))</f>
        <v/>
      </c>
    </row>
    <row r="849" spans="13:29">
      <c r="M849" s="14"/>
      <c r="T849" s="16"/>
      <c r="U849" s="17">
        <f>IF(AND(COUNTA($A849:$L849)=0,$N849=""),"",IF($T849="Paid","PAID",IF($T849="Closed","CLOSED",IF($Z849="","",IF($Z849=6,"ESCALATED TO ROXANNE",IF(TODAY()&gt;$AB849,"OVERDUE",IF($AB849&lt;=WORKDAY(TODAY(),1,Holidays),"DUE TOMORROW",IF($Z849=4,"ESCALATED TO LOCAL OFFICE",IF($Z849=5,"ESCALATED TO CBE",IF($AA849=TODAY(),"EMAIL SENT","MONITORING"))))))))))</f>
        <v/>
      </c>
      <c r="V849" s="17">
        <f>IF($U849="",IF(AND(COUNTA($A849:$L849)&gt;0,$N849=""),"Awaiting Collection Email time stamp.",""),IF(OR($U849="PAID",$U849="CLOSED"),IF($U849="PAID","Account paid. Action completed.","Account closed. No further action required."),CHOOSE($Z849,"Collection Email","1st Email Follow-up","2nd Email Follow-up","Escalation to Local Office","Escalation to CBE","Escalation to Roxanne")&amp;" sent "&amp;TEXT($AA849,"dd-mmm")&amp;". "&amp;IF($Z849=6,"Final escalation completed.",IF($U849="OVERDUE","Next: "&amp;$AC849&amp;" was due "&amp;TEXT($AB849,"dd-mmm")&amp;" - "&amp;(NETWORKDAYS($AB849,TODAY(),Holidays)-1)&amp;" business day(s) late. Send now.",IF($U849="DUE TOMORROW","Next: "&amp;$AC849&amp;IF($AB849&lt;=TODAY()," is due TODAY ("," is due next business day (")&amp;TEXT($AB849,"dd-mmm")&amp;").","Next: "&amp;$AC849&amp;" due "&amp;TEXT($AB849,"dd-mmm")&amp;" ("&amp;(NETWORKDAYS(TODAY(),$AB849,Holidays)-1)&amp;" business day(s) left).")))))</f>
        <v/>
      </c>
      <c r="W849" s="17">
        <f>IF($Z849="","",CHOOSE($Z849,"Collection Email","1st Follow-up","2nd Follow-up","Local Office","CBE","Roxanne")&amp;IF($Z849=6," - Final"," - Day "&amp;MAX(0,NETWORKDAYS($AA849,TODAY(),Holidays)-1)&amp;" of "&amp;CHOOSE($Z849,3,3,2,2,3))&amp;" | Total Day "&amp;MAX(0,NETWORKDAYS($N849,TODAY(),Holidays)-1))</f>
        <v/>
      </c>
      <c r="X849" s="18"/>
      <c r="Y849" s="18"/>
      <c r="Z849" s="17">
        <f>IF($N849="","",COUNT($N849:$S849))</f>
        <v/>
      </c>
      <c r="AA849" s="19">
        <f>IF($Z849="","",INT(INDEX($N849:$S849,$Z849)))</f>
        <v/>
      </c>
      <c r="AB849" s="19">
        <f>IF(OR($Z849="",$Z849=6),"",WORKDAY($AA849,CHOOSE($Z849,3,3,2,2,3),Holidays))</f>
        <v/>
      </c>
      <c r="AC849" s="17">
        <f>IF(OR($Z849="",$Z849=6),"",CHOOSE($Z849,"1st Email Follow-up","2nd Email Follow-up","Escalate Local Office","Escalate to CBE","Escalate to Roxanne"))</f>
        <v/>
      </c>
    </row>
    <row r="850" spans="13:29">
      <c r="M850" s="14"/>
      <c r="T850" s="16"/>
      <c r="U850" s="17">
        <f>IF(AND(COUNTA($A850:$L850)=0,$N850=""),"",IF($T850="Paid","PAID",IF($T850="Closed","CLOSED",IF($Z850="","",IF($Z850=6,"ESCALATED TO ROXANNE",IF(TODAY()&gt;$AB850,"OVERDUE",IF($AB850&lt;=WORKDAY(TODAY(),1,Holidays),"DUE TOMORROW",IF($Z850=4,"ESCALATED TO LOCAL OFFICE",IF($Z850=5,"ESCALATED TO CBE",IF($AA850=TODAY(),"EMAIL SENT","MONITORING"))))))))))</f>
        <v/>
      </c>
      <c r="V850" s="17">
        <f>IF($U850="",IF(AND(COUNTA($A850:$L850)&gt;0,$N850=""),"Awaiting Collection Email time stamp.",""),IF(OR($U850="PAID",$U850="CLOSED"),IF($U850="PAID","Account paid. Action completed.","Account closed. No further action required."),CHOOSE($Z850,"Collection Email","1st Email Follow-up","2nd Email Follow-up","Escalation to Local Office","Escalation to CBE","Escalation to Roxanne")&amp;" sent "&amp;TEXT($AA850,"dd-mmm")&amp;". "&amp;IF($Z850=6,"Final escalation completed.",IF($U850="OVERDUE","Next: "&amp;$AC850&amp;" was due "&amp;TEXT($AB850,"dd-mmm")&amp;" - "&amp;(NETWORKDAYS($AB850,TODAY(),Holidays)-1)&amp;" business day(s) late. Send now.",IF($U850="DUE TOMORROW","Next: "&amp;$AC850&amp;IF($AB850&lt;=TODAY()," is due TODAY ("," is due next business day (")&amp;TEXT($AB850,"dd-mmm")&amp;").","Next: "&amp;$AC850&amp;" due "&amp;TEXT($AB850,"dd-mmm")&amp;" ("&amp;(NETWORKDAYS(TODAY(),$AB850,Holidays)-1)&amp;" business day(s) left).")))))</f>
        <v/>
      </c>
      <c r="W850" s="17">
        <f>IF($Z850="","",CHOOSE($Z850,"Collection Email","1st Follow-up","2nd Follow-up","Local Office","CBE","Roxanne")&amp;IF($Z850=6," - Final"," - Day "&amp;MAX(0,NETWORKDAYS($AA850,TODAY(),Holidays)-1)&amp;" of "&amp;CHOOSE($Z850,3,3,2,2,3))&amp;" | Total Day "&amp;MAX(0,NETWORKDAYS($N850,TODAY(),Holidays)-1))</f>
        <v/>
      </c>
      <c r="X850" s="18"/>
      <c r="Y850" s="18"/>
      <c r="Z850" s="17">
        <f>IF($N850="","",COUNT($N850:$S850))</f>
        <v/>
      </c>
      <c r="AA850" s="19">
        <f>IF($Z850="","",INT(INDEX($N850:$S850,$Z850)))</f>
        <v/>
      </c>
      <c r="AB850" s="19">
        <f>IF(OR($Z850="",$Z850=6),"",WORKDAY($AA850,CHOOSE($Z850,3,3,2,2,3),Holidays))</f>
        <v/>
      </c>
      <c r="AC850" s="17">
        <f>IF(OR($Z850="",$Z850=6),"",CHOOSE($Z850,"1st Email Follow-up","2nd Email Follow-up","Escalate Local Office","Escalate to CBE","Escalate to Roxanne"))</f>
        <v/>
      </c>
    </row>
    <row r="851" spans="13:29">
      <c r="M851" s="14"/>
      <c r="T851" s="16"/>
      <c r="U851" s="17">
        <f>IF(AND(COUNTA($A851:$L851)=0,$N851=""),"",IF($T851="Paid","PAID",IF($T851="Closed","CLOSED",IF($Z851="","",IF($Z851=6,"ESCALATED TO ROXANNE",IF(TODAY()&gt;$AB851,"OVERDUE",IF($AB851&lt;=WORKDAY(TODAY(),1,Holidays),"DUE TOMORROW",IF($Z851=4,"ESCALATED TO LOCAL OFFICE",IF($Z851=5,"ESCALATED TO CBE",IF($AA851=TODAY(),"EMAIL SENT","MONITORING"))))))))))</f>
        <v/>
      </c>
      <c r="V851" s="17">
        <f>IF($U851="",IF(AND(COUNTA($A851:$L851)&gt;0,$N851=""),"Awaiting Collection Email time stamp.",""),IF(OR($U851="PAID",$U851="CLOSED"),IF($U851="PAID","Account paid. Action completed.","Account closed. No further action required."),CHOOSE($Z851,"Collection Email","1st Email Follow-up","2nd Email Follow-up","Escalation to Local Office","Escalation to CBE","Escalation to Roxanne")&amp;" sent "&amp;TEXT($AA851,"dd-mmm")&amp;". "&amp;IF($Z851=6,"Final escalation completed.",IF($U851="OVERDUE","Next: "&amp;$AC851&amp;" was due "&amp;TEXT($AB851,"dd-mmm")&amp;" - "&amp;(NETWORKDAYS($AB851,TODAY(),Holidays)-1)&amp;" business day(s) late. Send now.",IF($U851="DUE TOMORROW","Next: "&amp;$AC851&amp;IF($AB851&lt;=TODAY()," is due TODAY ("," is due next business day (")&amp;TEXT($AB851,"dd-mmm")&amp;").","Next: "&amp;$AC851&amp;" due "&amp;TEXT($AB851,"dd-mmm")&amp;" ("&amp;(NETWORKDAYS(TODAY(),$AB851,Holidays)-1)&amp;" business day(s) left).")))))</f>
        <v/>
      </c>
      <c r="W851" s="17">
        <f>IF($Z851="","",CHOOSE($Z851,"Collection Email","1st Follow-up","2nd Follow-up","Local Office","CBE","Roxanne")&amp;IF($Z851=6," - Final"," - Day "&amp;MAX(0,NETWORKDAYS($AA851,TODAY(),Holidays)-1)&amp;" of "&amp;CHOOSE($Z851,3,3,2,2,3))&amp;" | Total Day "&amp;MAX(0,NETWORKDAYS($N851,TODAY(),Holidays)-1))</f>
        <v/>
      </c>
      <c r="X851" s="18"/>
      <c r="Y851" s="18"/>
      <c r="Z851" s="17">
        <f>IF($N851="","",COUNT($N851:$S851))</f>
        <v/>
      </c>
      <c r="AA851" s="19">
        <f>IF($Z851="","",INT(INDEX($N851:$S851,$Z851)))</f>
        <v/>
      </c>
      <c r="AB851" s="19">
        <f>IF(OR($Z851="",$Z851=6),"",WORKDAY($AA851,CHOOSE($Z851,3,3,2,2,3),Holidays))</f>
        <v/>
      </c>
      <c r="AC851" s="17">
        <f>IF(OR($Z851="",$Z851=6),"",CHOOSE($Z851,"1st Email Follow-up","2nd Email Follow-up","Escalate Local Office","Escalate to CBE","Escalate to Roxanne"))</f>
        <v/>
      </c>
    </row>
    <row r="852" spans="13:29">
      <c r="M852" s="14"/>
      <c r="T852" s="16"/>
      <c r="U852" s="17">
        <f>IF(AND(COUNTA($A852:$L852)=0,$N852=""),"",IF($T852="Paid","PAID",IF($T852="Closed","CLOSED",IF($Z852="","",IF($Z852=6,"ESCALATED TO ROXANNE",IF(TODAY()&gt;$AB852,"OVERDUE",IF($AB852&lt;=WORKDAY(TODAY(),1,Holidays),"DUE TOMORROW",IF($Z852=4,"ESCALATED TO LOCAL OFFICE",IF($Z852=5,"ESCALATED TO CBE",IF($AA852=TODAY(),"EMAIL SENT","MONITORING"))))))))))</f>
        <v/>
      </c>
      <c r="V852" s="17">
        <f>IF($U852="",IF(AND(COUNTA($A852:$L852)&gt;0,$N852=""),"Awaiting Collection Email time stamp.",""),IF(OR($U852="PAID",$U852="CLOSED"),IF($U852="PAID","Account paid. Action completed.","Account closed. No further action required."),CHOOSE($Z852,"Collection Email","1st Email Follow-up","2nd Email Follow-up","Escalation to Local Office","Escalation to CBE","Escalation to Roxanne")&amp;" sent "&amp;TEXT($AA852,"dd-mmm")&amp;". "&amp;IF($Z852=6,"Final escalation completed.",IF($U852="OVERDUE","Next: "&amp;$AC852&amp;" was due "&amp;TEXT($AB852,"dd-mmm")&amp;" - "&amp;(NETWORKDAYS($AB852,TODAY(),Holidays)-1)&amp;" business day(s) late. Send now.",IF($U852="DUE TOMORROW","Next: "&amp;$AC852&amp;IF($AB852&lt;=TODAY()," is due TODAY ("," is due next business day (")&amp;TEXT($AB852,"dd-mmm")&amp;").","Next: "&amp;$AC852&amp;" due "&amp;TEXT($AB852,"dd-mmm")&amp;" ("&amp;(NETWORKDAYS(TODAY(),$AB852,Holidays)-1)&amp;" business day(s) left).")))))</f>
        <v/>
      </c>
      <c r="W852" s="17">
        <f>IF($Z852="","",CHOOSE($Z852,"Collection Email","1st Follow-up","2nd Follow-up","Local Office","CBE","Roxanne")&amp;IF($Z852=6," - Final"," - Day "&amp;MAX(0,NETWORKDAYS($AA852,TODAY(),Holidays)-1)&amp;" of "&amp;CHOOSE($Z852,3,3,2,2,3))&amp;" | Total Day "&amp;MAX(0,NETWORKDAYS($N852,TODAY(),Holidays)-1))</f>
        <v/>
      </c>
      <c r="X852" s="18"/>
      <c r="Y852" s="18"/>
      <c r="Z852" s="17">
        <f>IF($N852="","",COUNT($N852:$S852))</f>
        <v/>
      </c>
      <c r="AA852" s="19">
        <f>IF($Z852="","",INT(INDEX($N852:$S852,$Z852)))</f>
        <v/>
      </c>
      <c r="AB852" s="19">
        <f>IF(OR($Z852="",$Z852=6),"",WORKDAY($AA852,CHOOSE($Z852,3,3,2,2,3),Holidays))</f>
        <v/>
      </c>
      <c r="AC852" s="17">
        <f>IF(OR($Z852="",$Z852=6),"",CHOOSE($Z852,"1st Email Follow-up","2nd Email Follow-up","Escalate Local Office","Escalate to CBE","Escalate to Roxanne"))</f>
        <v/>
      </c>
    </row>
    <row r="853" spans="13:29">
      <c r="M853" s="14"/>
      <c r="T853" s="16"/>
      <c r="U853" s="17">
        <f>IF(AND(COUNTA($A853:$L853)=0,$N853=""),"",IF($T853="Paid","PAID",IF($T853="Closed","CLOSED",IF($Z853="","",IF($Z853=6,"ESCALATED TO ROXANNE",IF(TODAY()&gt;$AB853,"OVERDUE",IF($AB853&lt;=WORKDAY(TODAY(),1,Holidays),"DUE TOMORROW",IF($Z853=4,"ESCALATED TO LOCAL OFFICE",IF($Z853=5,"ESCALATED TO CBE",IF($AA853=TODAY(),"EMAIL SENT","MONITORING"))))))))))</f>
        <v/>
      </c>
      <c r="V853" s="17">
        <f>IF($U853="",IF(AND(COUNTA($A853:$L853)&gt;0,$N853=""),"Awaiting Collection Email time stamp.",""),IF(OR($U853="PAID",$U853="CLOSED"),IF($U853="PAID","Account paid. Action completed.","Account closed. No further action required."),CHOOSE($Z853,"Collection Email","1st Email Follow-up","2nd Email Follow-up","Escalation to Local Office","Escalation to CBE","Escalation to Roxanne")&amp;" sent "&amp;TEXT($AA853,"dd-mmm")&amp;". "&amp;IF($Z853=6,"Final escalation completed.",IF($U853="OVERDUE","Next: "&amp;$AC853&amp;" was due "&amp;TEXT($AB853,"dd-mmm")&amp;" - "&amp;(NETWORKDAYS($AB853,TODAY(),Holidays)-1)&amp;" business day(s) late. Send now.",IF($U853="DUE TOMORROW","Next: "&amp;$AC853&amp;IF($AB853&lt;=TODAY()," is due TODAY ("," is due next business day (")&amp;TEXT($AB853,"dd-mmm")&amp;").","Next: "&amp;$AC853&amp;" due "&amp;TEXT($AB853,"dd-mmm")&amp;" ("&amp;(NETWORKDAYS(TODAY(),$AB853,Holidays)-1)&amp;" business day(s) left).")))))</f>
        <v/>
      </c>
      <c r="W853" s="17">
        <f>IF($Z853="","",CHOOSE($Z853,"Collection Email","1st Follow-up","2nd Follow-up","Local Office","CBE","Roxanne")&amp;IF($Z853=6," - Final"," - Day "&amp;MAX(0,NETWORKDAYS($AA853,TODAY(),Holidays)-1)&amp;" of "&amp;CHOOSE($Z853,3,3,2,2,3))&amp;" | Total Day "&amp;MAX(0,NETWORKDAYS($N853,TODAY(),Holidays)-1))</f>
        <v/>
      </c>
      <c r="X853" s="18"/>
      <c r="Y853" s="18"/>
      <c r="Z853" s="17">
        <f>IF($N853="","",COUNT($N853:$S853))</f>
        <v/>
      </c>
      <c r="AA853" s="19">
        <f>IF($Z853="","",INT(INDEX($N853:$S853,$Z853)))</f>
        <v/>
      </c>
      <c r="AB853" s="19">
        <f>IF(OR($Z853="",$Z853=6),"",WORKDAY($AA853,CHOOSE($Z853,3,3,2,2,3),Holidays))</f>
        <v/>
      </c>
      <c r="AC853" s="17">
        <f>IF(OR($Z853="",$Z853=6),"",CHOOSE($Z853,"1st Email Follow-up","2nd Email Follow-up","Escalate Local Office","Escalate to CBE","Escalate to Roxanne"))</f>
        <v/>
      </c>
    </row>
    <row r="854" spans="13:29">
      <c r="M854" s="14"/>
      <c r="T854" s="16"/>
      <c r="U854" s="17">
        <f>IF(AND(COUNTA($A854:$L854)=0,$N854=""),"",IF($T854="Paid","PAID",IF($T854="Closed","CLOSED",IF($Z854="","",IF($Z854=6,"ESCALATED TO ROXANNE",IF(TODAY()&gt;$AB854,"OVERDUE",IF($AB854&lt;=WORKDAY(TODAY(),1,Holidays),"DUE TOMORROW",IF($Z854=4,"ESCALATED TO LOCAL OFFICE",IF($Z854=5,"ESCALATED TO CBE",IF($AA854=TODAY(),"EMAIL SENT","MONITORING"))))))))))</f>
        <v/>
      </c>
      <c r="V854" s="17">
        <f>IF($U854="",IF(AND(COUNTA($A854:$L854)&gt;0,$N854=""),"Awaiting Collection Email time stamp.",""),IF(OR($U854="PAID",$U854="CLOSED"),IF($U854="PAID","Account paid. Action completed.","Account closed. No further action required."),CHOOSE($Z854,"Collection Email","1st Email Follow-up","2nd Email Follow-up","Escalation to Local Office","Escalation to CBE","Escalation to Roxanne")&amp;" sent "&amp;TEXT($AA854,"dd-mmm")&amp;". "&amp;IF($Z854=6,"Final escalation completed.",IF($U854="OVERDUE","Next: "&amp;$AC854&amp;" was due "&amp;TEXT($AB854,"dd-mmm")&amp;" - "&amp;(NETWORKDAYS($AB854,TODAY(),Holidays)-1)&amp;" business day(s) late. Send now.",IF($U854="DUE TOMORROW","Next: "&amp;$AC854&amp;IF($AB854&lt;=TODAY()," is due TODAY ("," is due next business day (")&amp;TEXT($AB854,"dd-mmm")&amp;").","Next: "&amp;$AC854&amp;" due "&amp;TEXT($AB854,"dd-mmm")&amp;" ("&amp;(NETWORKDAYS(TODAY(),$AB854,Holidays)-1)&amp;" business day(s) left).")))))</f>
        <v/>
      </c>
      <c r="W854" s="17">
        <f>IF($Z854="","",CHOOSE($Z854,"Collection Email","1st Follow-up","2nd Follow-up","Local Office","CBE","Roxanne")&amp;IF($Z854=6," - Final"," - Day "&amp;MAX(0,NETWORKDAYS($AA854,TODAY(),Holidays)-1)&amp;" of "&amp;CHOOSE($Z854,3,3,2,2,3))&amp;" | Total Day "&amp;MAX(0,NETWORKDAYS($N854,TODAY(),Holidays)-1))</f>
        <v/>
      </c>
      <c r="X854" s="18"/>
      <c r="Y854" s="18"/>
      <c r="Z854" s="17">
        <f>IF($N854="","",COUNT($N854:$S854))</f>
        <v/>
      </c>
      <c r="AA854" s="19">
        <f>IF($Z854="","",INT(INDEX($N854:$S854,$Z854)))</f>
        <v/>
      </c>
      <c r="AB854" s="19">
        <f>IF(OR($Z854="",$Z854=6),"",WORKDAY($AA854,CHOOSE($Z854,3,3,2,2,3),Holidays))</f>
        <v/>
      </c>
      <c r="AC854" s="17">
        <f>IF(OR($Z854="",$Z854=6),"",CHOOSE($Z854,"1st Email Follow-up","2nd Email Follow-up","Escalate Local Office","Escalate to CBE","Escalate to Roxanne"))</f>
        <v/>
      </c>
    </row>
    <row r="855" spans="13:29">
      <c r="M855" s="14"/>
      <c r="T855" s="16"/>
      <c r="U855" s="17">
        <f>IF(AND(COUNTA($A855:$L855)=0,$N855=""),"",IF($T855="Paid","PAID",IF($T855="Closed","CLOSED",IF($Z855="","",IF($Z855=6,"ESCALATED TO ROXANNE",IF(TODAY()&gt;$AB855,"OVERDUE",IF($AB855&lt;=WORKDAY(TODAY(),1,Holidays),"DUE TOMORROW",IF($Z855=4,"ESCALATED TO LOCAL OFFICE",IF($Z855=5,"ESCALATED TO CBE",IF($AA855=TODAY(),"EMAIL SENT","MONITORING"))))))))))</f>
        <v/>
      </c>
      <c r="V855" s="17">
        <f>IF($U855="",IF(AND(COUNTA($A855:$L855)&gt;0,$N855=""),"Awaiting Collection Email time stamp.",""),IF(OR($U855="PAID",$U855="CLOSED"),IF($U855="PAID","Account paid. Action completed.","Account closed. No further action required."),CHOOSE($Z855,"Collection Email","1st Email Follow-up","2nd Email Follow-up","Escalation to Local Office","Escalation to CBE","Escalation to Roxanne")&amp;" sent "&amp;TEXT($AA855,"dd-mmm")&amp;". "&amp;IF($Z855=6,"Final escalation completed.",IF($U855="OVERDUE","Next: "&amp;$AC855&amp;" was due "&amp;TEXT($AB855,"dd-mmm")&amp;" - "&amp;(NETWORKDAYS($AB855,TODAY(),Holidays)-1)&amp;" business day(s) late. Send now.",IF($U855="DUE TOMORROW","Next: "&amp;$AC855&amp;IF($AB855&lt;=TODAY()," is due TODAY ("," is due next business day (")&amp;TEXT($AB855,"dd-mmm")&amp;").","Next: "&amp;$AC855&amp;" due "&amp;TEXT($AB855,"dd-mmm")&amp;" ("&amp;(NETWORKDAYS(TODAY(),$AB855,Holidays)-1)&amp;" business day(s) left).")))))</f>
        <v/>
      </c>
      <c r="W855" s="17">
        <f>IF($Z855="","",CHOOSE($Z855,"Collection Email","1st Follow-up","2nd Follow-up","Local Office","CBE","Roxanne")&amp;IF($Z855=6," - Final"," - Day "&amp;MAX(0,NETWORKDAYS($AA855,TODAY(),Holidays)-1)&amp;" of "&amp;CHOOSE($Z855,3,3,2,2,3))&amp;" | Total Day "&amp;MAX(0,NETWORKDAYS($N855,TODAY(),Holidays)-1))</f>
        <v/>
      </c>
      <c r="X855" s="18"/>
      <c r="Y855" s="18"/>
      <c r="Z855" s="17">
        <f>IF($N855="","",COUNT($N855:$S855))</f>
        <v/>
      </c>
      <c r="AA855" s="19">
        <f>IF($Z855="","",INT(INDEX($N855:$S855,$Z855)))</f>
        <v/>
      </c>
      <c r="AB855" s="19">
        <f>IF(OR($Z855="",$Z855=6),"",WORKDAY($AA855,CHOOSE($Z855,3,3,2,2,3),Holidays))</f>
        <v/>
      </c>
      <c r="AC855" s="17">
        <f>IF(OR($Z855="",$Z855=6),"",CHOOSE($Z855,"1st Email Follow-up","2nd Email Follow-up","Escalate Local Office","Escalate to CBE","Escalate to Roxanne"))</f>
        <v/>
      </c>
    </row>
    <row r="856" spans="13:29">
      <c r="M856" s="14"/>
      <c r="T856" s="16"/>
      <c r="U856" s="17">
        <f>IF(AND(COUNTA($A856:$L856)=0,$N856=""),"",IF($T856="Paid","PAID",IF($T856="Closed","CLOSED",IF($Z856="","",IF($Z856=6,"ESCALATED TO ROXANNE",IF(TODAY()&gt;$AB856,"OVERDUE",IF($AB856&lt;=WORKDAY(TODAY(),1,Holidays),"DUE TOMORROW",IF($Z856=4,"ESCALATED TO LOCAL OFFICE",IF($Z856=5,"ESCALATED TO CBE",IF($AA856=TODAY(),"EMAIL SENT","MONITORING"))))))))))</f>
        <v/>
      </c>
      <c r="V856" s="17">
        <f>IF($U856="",IF(AND(COUNTA($A856:$L856)&gt;0,$N856=""),"Awaiting Collection Email time stamp.",""),IF(OR($U856="PAID",$U856="CLOSED"),IF($U856="PAID","Account paid. Action completed.","Account closed. No further action required."),CHOOSE($Z856,"Collection Email","1st Email Follow-up","2nd Email Follow-up","Escalation to Local Office","Escalation to CBE","Escalation to Roxanne")&amp;" sent "&amp;TEXT($AA856,"dd-mmm")&amp;". "&amp;IF($Z856=6,"Final escalation completed.",IF($U856="OVERDUE","Next: "&amp;$AC856&amp;" was due "&amp;TEXT($AB856,"dd-mmm")&amp;" - "&amp;(NETWORKDAYS($AB856,TODAY(),Holidays)-1)&amp;" business day(s) late. Send now.",IF($U856="DUE TOMORROW","Next: "&amp;$AC856&amp;IF($AB856&lt;=TODAY()," is due TODAY ("," is due next business day (")&amp;TEXT($AB856,"dd-mmm")&amp;").","Next: "&amp;$AC856&amp;" due "&amp;TEXT($AB856,"dd-mmm")&amp;" ("&amp;(NETWORKDAYS(TODAY(),$AB856,Holidays)-1)&amp;" business day(s) left).")))))</f>
        <v/>
      </c>
      <c r="W856" s="17">
        <f>IF($Z856="","",CHOOSE($Z856,"Collection Email","1st Follow-up","2nd Follow-up","Local Office","CBE","Roxanne")&amp;IF($Z856=6," - Final"," - Day "&amp;MAX(0,NETWORKDAYS($AA856,TODAY(),Holidays)-1)&amp;" of "&amp;CHOOSE($Z856,3,3,2,2,3))&amp;" | Total Day "&amp;MAX(0,NETWORKDAYS($N856,TODAY(),Holidays)-1))</f>
        <v/>
      </c>
      <c r="X856" s="18"/>
      <c r="Y856" s="18"/>
      <c r="Z856" s="17">
        <f>IF($N856="","",COUNT($N856:$S856))</f>
        <v/>
      </c>
      <c r="AA856" s="19">
        <f>IF($Z856="","",INT(INDEX($N856:$S856,$Z856)))</f>
        <v/>
      </c>
      <c r="AB856" s="19">
        <f>IF(OR($Z856="",$Z856=6),"",WORKDAY($AA856,CHOOSE($Z856,3,3,2,2,3),Holidays))</f>
        <v/>
      </c>
      <c r="AC856" s="17">
        <f>IF(OR($Z856="",$Z856=6),"",CHOOSE($Z856,"1st Email Follow-up","2nd Email Follow-up","Escalate Local Office","Escalate to CBE","Escalate to Roxanne"))</f>
        <v/>
      </c>
    </row>
    <row r="857" spans="13:29">
      <c r="M857" s="14"/>
      <c r="T857" s="16"/>
      <c r="U857" s="17">
        <f>IF(AND(COUNTA($A857:$L857)=0,$N857=""),"",IF($T857="Paid","PAID",IF($T857="Closed","CLOSED",IF($Z857="","",IF($Z857=6,"ESCALATED TO ROXANNE",IF(TODAY()&gt;$AB857,"OVERDUE",IF($AB857&lt;=WORKDAY(TODAY(),1,Holidays),"DUE TOMORROW",IF($Z857=4,"ESCALATED TO LOCAL OFFICE",IF($Z857=5,"ESCALATED TO CBE",IF($AA857=TODAY(),"EMAIL SENT","MONITORING"))))))))))</f>
        <v/>
      </c>
      <c r="V857" s="17">
        <f>IF($U857="",IF(AND(COUNTA($A857:$L857)&gt;0,$N857=""),"Awaiting Collection Email time stamp.",""),IF(OR($U857="PAID",$U857="CLOSED"),IF($U857="PAID","Account paid. Action completed.","Account closed. No further action required."),CHOOSE($Z857,"Collection Email","1st Email Follow-up","2nd Email Follow-up","Escalation to Local Office","Escalation to CBE","Escalation to Roxanne")&amp;" sent "&amp;TEXT($AA857,"dd-mmm")&amp;". "&amp;IF($Z857=6,"Final escalation completed.",IF($U857="OVERDUE","Next: "&amp;$AC857&amp;" was due "&amp;TEXT($AB857,"dd-mmm")&amp;" - "&amp;(NETWORKDAYS($AB857,TODAY(),Holidays)-1)&amp;" business day(s) late. Send now.",IF($U857="DUE TOMORROW","Next: "&amp;$AC857&amp;IF($AB857&lt;=TODAY()," is due TODAY ("," is due next business day (")&amp;TEXT($AB857,"dd-mmm")&amp;").","Next: "&amp;$AC857&amp;" due "&amp;TEXT($AB857,"dd-mmm")&amp;" ("&amp;(NETWORKDAYS(TODAY(),$AB857,Holidays)-1)&amp;" business day(s) left).")))))</f>
        <v/>
      </c>
      <c r="W857" s="17">
        <f>IF($Z857="","",CHOOSE($Z857,"Collection Email","1st Follow-up","2nd Follow-up","Local Office","CBE","Roxanne")&amp;IF($Z857=6," - Final"," - Day "&amp;MAX(0,NETWORKDAYS($AA857,TODAY(),Holidays)-1)&amp;" of "&amp;CHOOSE($Z857,3,3,2,2,3))&amp;" | Total Day "&amp;MAX(0,NETWORKDAYS($N857,TODAY(),Holidays)-1))</f>
        <v/>
      </c>
      <c r="X857" s="18"/>
      <c r="Y857" s="18"/>
      <c r="Z857" s="17">
        <f>IF($N857="","",COUNT($N857:$S857))</f>
        <v/>
      </c>
      <c r="AA857" s="19">
        <f>IF($Z857="","",INT(INDEX($N857:$S857,$Z857)))</f>
        <v/>
      </c>
      <c r="AB857" s="19">
        <f>IF(OR($Z857="",$Z857=6),"",WORKDAY($AA857,CHOOSE($Z857,3,3,2,2,3),Holidays))</f>
        <v/>
      </c>
      <c r="AC857" s="17">
        <f>IF(OR($Z857="",$Z857=6),"",CHOOSE($Z857,"1st Email Follow-up","2nd Email Follow-up","Escalate Local Office","Escalate to CBE","Escalate to Roxanne"))</f>
        <v/>
      </c>
    </row>
    <row r="858" spans="13:29">
      <c r="M858" s="14"/>
      <c r="T858" s="16"/>
      <c r="U858" s="17">
        <f>IF(AND(COUNTA($A858:$L858)=0,$N858=""),"",IF($T858="Paid","PAID",IF($T858="Closed","CLOSED",IF($Z858="","",IF($Z858=6,"ESCALATED TO ROXANNE",IF(TODAY()&gt;$AB858,"OVERDUE",IF($AB858&lt;=WORKDAY(TODAY(),1,Holidays),"DUE TOMORROW",IF($Z858=4,"ESCALATED TO LOCAL OFFICE",IF($Z858=5,"ESCALATED TO CBE",IF($AA858=TODAY(),"EMAIL SENT","MONITORING"))))))))))</f>
        <v/>
      </c>
      <c r="V858" s="17">
        <f>IF($U858="",IF(AND(COUNTA($A858:$L858)&gt;0,$N858=""),"Awaiting Collection Email time stamp.",""),IF(OR($U858="PAID",$U858="CLOSED"),IF($U858="PAID","Account paid. Action completed.","Account closed. No further action required."),CHOOSE($Z858,"Collection Email","1st Email Follow-up","2nd Email Follow-up","Escalation to Local Office","Escalation to CBE","Escalation to Roxanne")&amp;" sent "&amp;TEXT($AA858,"dd-mmm")&amp;". "&amp;IF($Z858=6,"Final escalation completed.",IF($U858="OVERDUE","Next: "&amp;$AC858&amp;" was due "&amp;TEXT($AB858,"dd-mmm")&amp;" - "&amp;(NETWORKDAYS($AB858,TODAY(),Holidays)-1)&amp;" business day(s) late. Send now.",IF($U858="DUE TOMORROW","Next: "&amp;$AC858&amp;IF($AB858&lt;=TODAY()," is due TODAY ("," is due next business day (")&amp;TEXT($AB858,"dd-mmm")&amp;").","Next: "&amp;$AC858&amp;" due "&amp;TEXT($AB858,"dd-mmm")&amp;" ("&amp;(NETWORKDAYS(TODAY(),$AB858,Holidays)-1)&amp;" business day(s) left).")))))</f>
        <v/>
      </c>
      <c r="W858" s="17">
        <f>IF($Z858="","",CHOOSE($Z858,"Collection Email","1st Follow-up","2nd Follow-up","Local Office","CBE","Roxanne")&amp;IF($Z858=6," - Final"," - Day "&amp;MAX(0,NETWORKDAYS($AA858,TODAY(),Holidays)-1)&amp;" of "&amp;CHOOSE($Z858,3,3,2,2,3))&amp;" | Total Day "&amp;MAX(0,NETWORKDAYS($N858,TODAY(),Holidays)-1))</f>
        <v/>
      </c>
      <c r="X858" s="18"/>
      <c r="Y858" s="18"/>
      <c r="Z858" s="17">
        <f>IF($N858="","",COUNT($N858:$S858))</f>
        <v/>
      </c>
      <c r="AA858" s="19">
        <f>IF($Z858="","",INT(INDEX($N858:$S858,$Z858)))</f>
        <v/>
      </c>
      <c r="AB858" s="19">
        <f>IF(OR($Z858="",$Z858=6),"",WORKDAY($AA858,CHOOSE($Z858,3,3,2,2,3),Holidays))</f>
        <v/>
      </c>
      <c r="AC858" s="17">
        <f>IF(OR($Z858="",$Z858=6),"",CHOOSE($Z858,"1st Email Follow-up","2nd Email Follow-up","Escalate Local Office","Escalate to CBE","Escalate to Roxanne"))</f>
        <v/>
      </c>
    </row>
    <row r="859" spans="13:29">
      <c r="M859" s="14"/>
      <c r="T859" s="16"/>
      <c r="U859" s="17">
        <f>IF(AND(COUNTA($A859:$L859)=0,$N859=""),"",IF($T859="Paid","PAID",IF($T859="Closed","CLOSED",IF($Z859="","",IF($Z859=6,"ESCALATED TO ROXANNE",IF(TODAY()&gt;$AB859,"OVERDUE",IF($AB859&lt;=WORKDAY(TODAY(),1,Holidays),"DUE TOMORROW",IF($Z859=4,"ESCALATED TO LOCAL OFFICE",IF($Z859=5,"ESCALATED TO CBE",IF($AA859=TODAY(),"EMAIL SENT","MONITORING"))))))))))</f>
        <v/>
      </c>
      <c r="V859" s="17">
        <f>IF($U859="",IF(AND(COUNTA($A859:$L859)&gt;0,$N859=""),"Awaiting Collection Email time stamp.",""),IF(OR($U859="PAID",$U859="CLOSED"),IF($U859="PAID","Account paid. Action completed.","Account closed. No further action required."),CHOOSE($Z859,"Collection Email","1st Email Follow-up","2nd Email Follow-up","Escalation to Local Office","Escalation to CBE","Escalation to Roxanne")&amp;" sent "&amp;TEXT($AA859,"dd-mmm")&amp;". "&amp;IF($Z859=6,"Final escalation completed.",IF($U859="OVERDUE","Next: "&amp;$AC859&amp;" was due "&amp;TEXT($AB859,"dd-mmm")&amp;" - "&amp;(NETWORKDAYS($AB859,TODAY(),Holidays)-1)&amp;" business day(s) late. Send now.",IF($U859="DUE TOMORROW","Next: "&amp;$AC859&amp;IF($AB859&lt;=TODAY()," is due TODAY ("," is due next business day (")&amp;TEXT($AB859,"dd-mmm")&amp;").","Next: "&amp;$AC859&amp;" due "&amp;TEXT($AB859,"dd-mmm")&amp;" ("&amp;(NETWORKDAYS(TODAY(),$AB859,Holidays)-1)&amp;" business day(s) left).")))))</f>
        <v/>
      </c>
      <c r="W859" s="17">
        <f>IF($Z859="","",CHOOSE($Z859,"Collection Email","1st Follow-up","2nd Follow-up","Local Office","CBE","Roxanne")&amp;IF($Z859=6," - Final"," - Day "&amp;MAX(0,NETWORKDAYS($AA859,TODAY(),Holidays)-1)&amp;" of "&amp;CHOOSE($Z859,3,3,2,2,3))&amp;" | Total Day "&amp;MAX(0,NETWORKDAYS($N859,TODAY(),Holidays)-1))</f>
        <v/>
      </c>
      <c r="X859" s="18"/>
      <c r="Y859" s="18"/>
      <c r="Z859" s="17">
        <f>IF($N859="","",COUNT($N859:$S859))</f>
        <v/>
      </c>
      <c r="AA859" s="19">
        <f>IF($Z859="","",INT(INDEX($N859:$S859,$Z859)))</f>
        <v/>
      </c>
      <c r="AB859" s="19">
        <f>IF(OR($Z859="",$Z859=6),"",WORKDAY($AA859,CHOOSE($Z859,3,3,2,2,3),Holidays))</f>
        <v/>
      </c>
      <c r="AC859" s="17">
        <f>IF(OR($Z859="",$Z859=6),"",CHOOSE($Z859,"1st Email Follow-up","2nd Email Follow-up","Escalate Local Office","Escalate to CBE","Escalate to Roxanne"))</f>
        <v/>
      </c>
    </row>
    <row r="860" spans="13:29">
      <c r="M860" s="14"/>
      <c r="T860" s="16"/>
      <c r="U860" s="17">
        <f>IF(AND(COUNTA($A860:$L860)=0,$N860=""),"",IF($T860="Paid","PAID",IF($T860="Closed","CLOSED",IF($Z860="","",IF($Z860=6,"ESCALATED TO ROXANNE",IF(TODAY()&gt;$AB860,"OVERDUE",IF($AB860&lt;=WORKDAY(TODAY(),1,Holidays),"DUE TOMORROW",IF($Z860=4,"ESCALATED TO LOCAL OFFICE",IF($Z860=5,"ESCALATED TO CBE",IF($AA860=TODAY(),"EMAIL SENT","MONITORING"))))))))))</f>
        <v/>
      </c>
      <c r="V860" s="17">
        <f>IF($U860="",IF(AND(COUNTA($A860:$L860)&gt;0,$N860=""),"Awaiting Collection Email time stamp.",""),IF(OR($U860="PAID",$U860="CLOSED"),IF($U860="PAID","Account paid. Action completed.","Account closed. No further action required."),CHOOSE($Z860,"Collection Email","1st Email Follow-up","2nd Email Follow-up","Escalation to Local Office","Escalation to CBE","Escalation to Roxanne")&amp;" sent "&amp;TEXT($AA860,"dd-mmm")&amp;". "&amp;IF($Z860=6,"Final escalation completed.",IF($U860="OVERDUE","Next: "&amp;$AC860&amp;" was due "&amp;TEXT($AB860,"dd-mmm")&amp;" - "&amp;(NETWORKDAYS($AB860,TODAY(),Holidays)-1)&amp;" business day(s) late. Send now.",IF($U860="DUE TOMORROW","Next: "&amp;$AC860&amp;IF($AB860&lt;=TODAY()," is due TODAY ("," is due next business day (")&amp;TEXT($AB860,"dd-mmm")&amp;").","Next: "&amp;$AC860&amp;" due "&amp;TEXT($AB860,"dd-mmm")&amp;" ("&amp;(NETWORKDAYS(TODAY(),$AB860,Holidays)-1)&amp;" business day(s) left).")))))</f>
        <v/>
      </c>
      <c r="W860" s="17">
        <f>IF($Z860="","",CHOOSE($Z860,"Collection Email","1st Follow-up","2nd Follow-up","Local Office","CBE","Roxanne")&amp;IF($Z860=6," - Final"," - Day "&amp;MAX(0,NETWORKDAYS($AA860,TODAY(),Holidays)-1)&amp;" of "&amp;CHOOSE($Z860,3,3,2,2,3))&amp;" | Total Day "&amp;MAX(0,NETWORKDAYS($N860,TODAY(),Holidays)-1))</f>
        <v/>
      </c>
      <c r="X860" s="18"/>
      <c r="Y860" s="18"/>
      <c r="Z860" s="17">
        <f>IF($N860="","",COUNT($N860:$S860))</f>
        <v/>
      </c>
      <c r="AA860" s="19">
        <f>IF($Z860="","",INT(INDEX($N860:$S860,$Z860)))</f>
        <v/>
      </c>
      <c r="AB860" s="19">
        <f>IF(OR($Z860="",$Z860=6),"",WORKDAY($AA860,CHOOSE($Z860,3,3,2,2,3),Holidays))</f>
        <v/>
      </c>
      <c r="AC860" s="17">
        <f>IF(OR($Z860="",$Z860=6),"",CHOOSE($Z860,"1st Email Follow-up","2nd Email Follow-up","Escalate Local Office","Escalate to CBE","Escalate to Roxanne"))</f>
        <v/>
      </c>
    </row>
    <row r="861" spans="13:29">
      <c r="M861" s="14"/>
      <c r="T861" s="16"/>
      <c r="U861" s="17">
        <f>IF(AND(COUNTA($A861:$L861)=0,$N861=""),"",IF($T861="Paid","PAID",IF($T861="Closed","CLOSED",IF($Z861="","",IF($Z861=6,"ESCALATED TO ROXANNE",IF(TODAY()&gt;$AB861,"OVERDUE",IF($AB861&lt;=WORKDAY(TODAY(),1,Holidays),"DUE TOMORROW",IF($Z861=4,"ESCALATED TO LOCAL OFFICE",IF($Z861=5,"ESCALATED TO CBE",IF($AA861=TODAY(),"EMAIL SENT","MONITORING"))))))))))</f>
        <v/>
      </c>
      <c r="V861" s="17">
        <f>IF($U861="",IF(AND(COUNTA($A861:$L861)&gt;0,$N861=""),"Awaiting Collection Email time stamp.",""),IF(OR($U861="PAID",$U861="CLOSED"),IF($U861="PAID","Account paid. Action completed.","Account closed. No further action required."),CHOOSE($Z861,"Collection Email","1st Email Follow-up","2nd Email Follow-up","Escalation to Local Office","Escalation to CBE","Escalation to Roxanne")&amp;" sent "&amp;TEXT($AA861,"dd-mmm")&amp;". "&amp;IF($Z861=6,"Final escalation completed.",IF($U861="OVERDUE","Next: "&amp;$AC861&amp;" was due "&amp;TEXT($AB861,"dd-mmm")&amp;" - "&amp;(NETWORKDAYS($AB861,TODAY(),Holidays)-1)&amp;" business day(s) late. Send now.",IF($U861="DUE TOMORROW","Next: "&amp;$AC861&amp;IF($AB861&lt;=TODAY()," is due TODAY ("," is due next business day (")&amp;TEXT($AB861,"dd-mmm")&amp;").","Next: "&amp;$AC861&amp;" due "&amp;TEXT($AB861,"dd-mmm")&amp;" ("&amp;(NETWORKDAYS(TODAY(),$AB861,Holidays)-1)&amp;" business day(s) left).")))))</f>
        <v/>
      </c>
      <c r="W861" s="17">
        <f>IF($Z861="","",CHOOSE($Z861,"Collection Email","1st Follow-up","2nd Follow-up","Local Office","CBE","Roxanne")&amp;IF($Z861=6," - Final"," - Day "&amp;MAX(0,NETWORKDAYS($AA861,TODAY(),Holidays)-1)&amp;" of "&amp;CHOOSE($Z861,3,3,2,2,3))&amp;" | Total Day "&amp;MAX(0,NETWORKDAYS($N861,TODAY(),Holidays)-1))</f>
        <v/>
      </c>
      <c r="X861" s="18"/>
      <c r="Y861" s="18"/>
      <c r="Z861" s="17">
        <f>IF($N861="","",COUNT($N861:$S861))</f>
        <v/>
      </c>
      <c r="AA861" s="19">
        <f>IF($Z861="","",INT(INDEX($N861:$S861,$Z861)))</f>
        <v/>
      </c>
      <c r="AB861" s="19">
        <f>IF(OR($Z861="",$Z861=6),"",WORKDAY($AA861,CHOOSE($Z861,3,3,2,2,3),Holidays))</f>
        <v/>
      </c>
      <c r="AC861" s="17">
        <f>IF(OR($Z861="",$Z861=6),"",CHOOSE($Z861,"1st Email Follow-up","2nd Email Follow-up","Escalate Local Office","Escalate to CBE","Escalate to Roxanne"))</f>
        <v/>
      </c>
    </row>
    <row r="862" spans="13:29">
      <c r="M862" s="14"/>
      <c r="T862" s="16"/>
      <c r="U862" s="17">
        <f>IF(AND(COUNTA($A862:$L862)=0,$N862=""),"",IF($T862="Paid","PAID",IF($T862="Closed","CLOSED",IF($Z862="","",IF($Z862=6,"ESCALATED TO ROXANNE",IF(TODAY()&gt;$AB862,"OVERDUE",IF($AB862&lt;=WORKDAY(TODAY(),1,Holidays),"DUE TOMORROW",IF($Z862=4,"ESCALATED TO LOCAL OFFICE",IF($Z862=5,"ESCALATED TO CBE",IF($AA862=TODAY(),"EMAIL SENT","MONITORING"))))))))))</f>
        <v/>
      </c>
      <c r="V862" s="17">
        <f>IF($U862="",IF(AND(COUNTA($A862:$L862)&gt;0,$N862=""),"Awaiting Collection Email time stamp.",""),IF(OR($U862="PAID",$U862="CLOSED"),IF($U862="PAID","Account paid. Action completed.","Account closed. No further action required."),CHOOSE($Z862,"Collection Email","1st Email Follow-up","2nd Email Follow-up","Escalation to Local Office","Escalation to CBE","Escalation to Roxanne")&amp;" sent "&amp;TEXT($AA862,"dd-mmm")&amp;". "&amp;IF($Z862=6,"Final escalation completed.",IF($U862="OVERDUE","Next: "&amp;$AC862&amp;" was due "&amp;TEXT($AB862,"dd-mmm")&amp;" - "&amp;(NETWORKDAYS($AB862,TODAY(),Holidays)-1)&amp;" business day(s) late. Send now.",IF($U862="DUE TOMORROW","Next: "&amp;$AC862&amp;IF($AB862&lt;=TODAY()," is due TODAY ("," is due next business day (")&amp;TEXT($AB862,"dd-mmm")&amp;").","Next: "&amp;$AC862&amp;" due "&amp;TEXT($AB862,"dd-mmm")&amp;" ("&amp;(NETWORKDAYS(TODAY(),$AB862,Holidays)-1)&amp;" business day(s) left).")))))</f>
        <v/>
      </c>
      <c r="W862" s="17">
        <f>IF($Z862="","",CHOOSE($Z862,"Collection Email","1st Follow-up","2nd Follow-up","Local Office","CBE","Roxanne")&amp;IF($Z862=6," - Final"," - Day "&amp;MAX(0,NETWORKDAYS($AA862,TODAY(),Holidays)-1)&amp;" of "&amp;CHOOSE($Z862,3,3,2,2,3))&amp;" | Total Day "&amp;MAX(0,NETWORKDAYS($N862,TODAY(),Holidays)-1))</f>
        <v/>
      </c>
      <c r="X862" s="18"/>
      <c r="Y862" s="18"/>
      <c r="Z862" s="17">
        <f>IF($N862="","",COUNT($N862:$S862))</f>
        <v/>
      </c>
      <c r="AA862" s="19">
        <f>IF($Z862="","",INT(INDEX($N862:$S862,$Z862)))</f>
        <v/>
      </c>
      <c r="AB862" s="19">
        <f>IF(OR($Z862="",$Z862=6),"",WORKDAY($AA862,CHOOSE($Z862,3,3,2,2,3),Holidays))</f>
        <v/>
      </c>
      <c r="AC862" s="17">
        <f>IF(OR($Z862="",$Z862=6),"",CHOOSE($Z862,"1st Email Follow-up","2nd Email Follow-up","Escalate Local Office","Escalate to CBE","Escalate to Roxanne"))</f>
        <v/>
      </c>
    </row>
    <row r="863" spans="13:29">
      <c r="M863" s="14"/>
      <c r="T863" s="16"/>
      <c r="U863" s="17">
        <f>IF(AND(COUNTA($A863:$L863)=0,$N863=""),"",IF($T863="Paid","PAID",IF($T863="Closed","CLOSED",IF($Z863="","",IF($Z863=6,"ESCALATED TO ROXANNE",IF(TODAY()&gt;$AB863,"OVERDUE",IF($AB863&lt;=WORKDAY(TODAY(),1,Holidays),"DUE TOMORROW",IF($Z863=4,"ESCALATED TO LOCAL OFFICE",IF($Z863=5,"ESCALATED TO CBE",IF($AA863=TODAY(),"EMAIL SENT","MONITORING"))))))))))</f>
        <v/>
      </c>
      <c r="V863" s="17">
        <f>IF($U863="",IF(AND(COUNTA($A863:$L863)&gt;0,$N863=""),"Awaiting Collection Email time stamp.",""),IF(OR($U863="PAID",$U863="CLOSED"),IF($U863="PAID","Account paid. Action completed.","Account closed. No further action required."),CHOOSE($Z863,"Collection Email","1st Email Follow-up","2nd Email Follow-up","Escalation to Local Office","Escalation to CBE","Escalation to Roxanne")&amp;" sent "&amp;TEXT($AA863,"dd-mmm")&amp;". "&amp;IF($Z863=6,"Final escalation completed.",IF($U863="OVERDUE","Next: "&amp;$AC863&amp;" was due "&amp;TEXT($AB863,"dd-mmm")&amp;" - "&amp;(NETWORKDAYS($AB863,TODAY(),Holidays)-1)&amp;" business day(s) late. Send now.",IF($U863="DUE TOMORROW","Next: "&amp;$AC863&amp;IF($AB863&lt;=TODAY()," is due TODAY ("," is due next business day (")&amp;TEXT($AB863,"dd-mmm")&amp;").","Next: "&amp;$AC863&amp;" due "&amp;TEXT($AB863,"dd-mmm")&amp;" ("&amp;(NETWORKDAYS(TODAY(),$AB863,Holidays)-1)&amp;" business day(s) left).")))))</f>
        <v/>
      </c>
      <c r="W863" s="17">
        <f>IF($Z863="","",CHOOSE($Z863,"Collection Email","1st Follow-up","2nd Follow-up","Local Office","CBE","Roxanne")&amp;IF($Z863=6," - Final"," - Day "&amp;MAX(0,NETWORKDAYS($AA863,TODAY(),Holidays)-1)&amp;" of "&amp;CHOOSE($Z863,3,3,2,2,3))&amp;" | Total Day "&amp;MAX(0,NETWORKDAYS($N863,TODAY(),Holidays)-1))</f>
        <v/>
      </c>
      <c r="X863" s="18"/>
      <c r="Y863" s="18"/>
      <c r="Z863" s="17">
        <f>IF($N863="","",COUNT($N863:$S863))</f>
        <v/>
      </c>
      <c r="AA863" s="19">
        <f>IF($Z863="","",INT(INDEX($N863:$S863,$Z863)))</f>
        <v/>
      </c>
      <c r="AB863" s="19">
        <f>IF(OR($Z863="",$Z863=6),"",WORKDAY($AA863,CHOOSE($Z863,3,3,2,2,3),Holidays))</f>
        <v/>
      </c>
      <c r="AC863" s="17">
        <f>IF(OR($Z863="",$Z863=6),"",CHOOSE($Z863,"1st Email Follow-up","2nd Email Follow-up","Escalate Local Office","Escalate to CBE","Escalate to Roxanne"))</f>
        <v/>
      </c>
    </row>
    <row r="864" spans="13:29">
      <c r="M864" s="14"/>
      <c r="T864" s="16"/>
      <c r="U864" s="17">
        <f>IF(AND(COUNTA($A864:$L864)=0,$N864=""),"",IF($T864="Paid","PAID",IF($T864="Closed","CLOSED",IF($Z864="","",IF($Z864=6,"ESCALATED TO ROXANNE",IF(TODAY()&gt;$AB864,"OVERDUE",IF($AB864&lt;=WORKDAY(TODAY(),1,Holidays),"DUE TOMORROW",IF($Z864=4,"ESCALATED TO LOCAL OFFICE",IF($Z864=5,"ESCALATED TO CBE",IF($AA864=TODAY(),"EMAIL SENT","MONITORING"))))))))))</f>
        <v/>
      </c>
      <c r="V864" s="17">
        <f>IF($U864="",IF(AND(COUNTA($A864:$L864)&gt;0,$N864=""),"Awaiting Collection Email time stamp.",""),IF(OR($U864="PAID",$U864="CLOSED"),IF($U864="PAID","Account paid. Action completed.","Account closed. No further action required."),CHOOSE($Z864,"Collection Email","1st Email Follow-up","2nd Email Follow-up","Escalation to Local Office","Escalation to CBE","Escalation to Roxanne")&amp;" sent "&amp;TEXT($AA864,"dd-mmm")&amp;". "&amp;IF($Z864=6,"Final escalation completed.",IF($U864="OVERDUE","Next: "&amp;$AC864&amp;" was due "&amp;TEXT($AB864,"dd-mmm")&amp;" - "&amp;(NETWORKDAYS($AB864,TODAY(),Holidays)-1)&amp;" business day(s) late. Send now.",IF($U864="DUE TOMORROW","Next: "&amp;$AC864&amp;IF($AB864&lt;=TODAY()," is due TODAY ("," is due next business day (")&amp;TEXT($AB864,"dd-mmm")&amp;").","Next: "&amp;$AC864&amp;" due "&amp;TEXT($AB864,"dd-mmm")&amp;" ("&amp;(NETWORKDAYS(TODAY(),$AB864,Holidays)-1)&amp;" business day(s) left).")))))</f>
        <v/>
      </c>
      <c r="W864" s="17">
        <f>IF($Z864="","",CHOOSE($Z864,"Collection Email","1st Follow-up","2nd Follow-up","Local Office","CBE","Roxanne")&amp;IF($Z864=6," - Final"," - Day "&amp;MAX(0,NETWORKDAYS($AA864,TODAY(),Holidays)-1)&amp;" of "&amp;CHOOSE($Z864,3,3,2,2,3))&amp;" | Total Day "&amp;MAX(0,NETWORKDAYS($N864,TODAY(),Holidays)-1))</f>
        <v/>
      </c>
      <c r="X864" s="18"/>
      <c r="Y864" s="18"/>
      <c r="Z864" s="17">
        <f>IF($N864="","",COUNT($N864:$S864))</f>
        <v/>
      </c>
      <c r="AA864" s="19">
        <f>IF($Z864="","",INT(INDEX($N864:$S864,$Z864)))</f>
        <v/>
      </c>
      <c r="AB864" s="19">
        <f>IF(OR($Z864="",$Z864=6),"",WORKDAY($AA864,CHOOSE($Z864,3,3,2,2,3),Holidays))</f>
        <v/>
      </c>
      <c r="AC864" s="17">
        <f>IF(OR($Z864="",$Z864=6),"",CHOOSE($Z864,"1st Email Follow-up","2nd Email Follow-up","Escalate Local Office","Escalate to CBE","Escalate to Roxanne"))</f>
        <v/>
      </c>
    </row>
    <row r="865" spans="13:29">
      <c r="M865" s="14"/>
      <c r="T865" s="16"/>
      <c r="U865" s="17">
        <f>IF(AND(COUNTA($A865:$L865)=0,$N865=""),"",IF($T865="Paid","PAID",IF($T865="Closed","CLOSED",IF($Z865="","",IF($Z865=6,"ESCALATED TO ROXANNE",IF(TODAY()&gt;$AB865,"OVERDUE",IF($AB865&lt;=WORKDAY(TODAY(),1,Holidays),"DUE TOMORROW",IF($Z865=4,"ESCALATED TO LOCAL OFFICE",IF($Z865=5,"ESCALATED TO CBE",IF($AA865=TODAY(),"EMAIL SENT","MONITORING"))))))))))</f>
        <v/>
      </c>
      <c r="V865" s="17">
        <f>IF($U865="",IF(AND(COUNTA($A865:$L865)&gt;0,$N865=""),"Awaiting Collection Email time stamp.",""),IF(OR($U865="PAID",$U865="CLOSED"),IF($U865="PAID","Account paid. Action completed.","Account closed. No further action required."),CHOOSE($Z865,"Collection Email","1st Email Follow-up","2nd Email Follow-up","Escalation to Local Office","Escalation to CBE","Escalation to Roxanne")&amp;" sent "&amp;TEXT($AA865,"dd-mmm")&amp;". "&amp;IF($Z865=6,"Final escalation completed.",IF($U865="OVERDUE","Next: "&amp;$AC865&amp;" was due "&amp;TEXT($AB865,"dd-mmm")&amp;" - "&amp;(NETWORKDAYS($AB865,TODAY(),Holidays)-1)&amp;" business day(s) late. Send now.",IF($U865="DUE TOMORROW","Next: "&amp;$AC865&amp;IF($AB865&lt;=TODAY()," is due TODAY ("," is due next business day (")&amp;TEXT($AB865,"dd-mmm")&amp;").","Next: "&amp;$AC865&amp;" due "&amp;TEXT($AB865,"dd-mmm")&amp;" ("&amp;(NETWORKDAYS(TODAY(),$AB865,Holidays)-1)&amp;" business day(s) left).")))))</f>
        <v/>
      </c>
      <c r="W865" s="17">
        <f>IF($Z865="","",CHOOSE($Z865,"Collection Email","1st Follow-up","2nd Follow-up","Local Office","CBE","Roxanne")&amp;IF($Z865=6," - Final"," - Day "&amp;MAX(0,NETWORKDAYS($AA865,TODAY(),Holidays)-1)&amp;" of "&amp;CHOOSE($Z865,3,3,2,2,3))&amp;" | Total Day "&amp;MAX(0,NETWORKDAYS($N865,TODAY(),Holidays)-1))</f>
        <v/>
      </c>
      <c r="X865" s="18"/>
      <c r="Y865" s="18"/>
      <c r="Z865" s="17">
        <f>IF($N865="","",COUNT($N865:$S865))</f>
        <v/>
      </c>
      <c r="AA865" s="19">
        <f>IF($Z865="","",INT(INDEX($N865:$S865,$Z865)))</f>
        <v/>
      </c>
      <c r="AB865" s="19">
        <f>IF(OR($Z865="",$Z865=6),"",WORKDAY($AA865,CHOOSE($Z865,3,3,2,2,3),Holidays))</f>
        <v/>
      </c>
      <c r="AC865" s="17">
        <f>IF(OR($Z865="",$Z865=6),"",CHOOSE($Z865,"1st Email Follow-up","2nd Email Follow-up","Escalate Local Office","Escalate to CBE","Escalate to Roxanne"))</f>
        <v/>
      </c>
    </row>
    <row r="866" spans="13:29">
      <c r="M866" s="14"/>
      <c r="T866" s="16"/>
      <c r="U866" s="17">
        <f>IF(AND(COUNTA($A866:$L866)=0,$N866=""),"",IF($T866="Paid","PAID",IF($T866="Closed","CLOSED",IF($Z866="","",IF($Z866=6,"ESCALATED TO ROXANNE",IF(TODAY()&gt;$AB866,"OVERDUE",IF($AB866&lt;=WORKDAY(TODAY(),1,Holidays),"DUE TOMORROW",IF($Z866=4,"ESCALATED TO LOCAL OFFICE",IF($Z866=5,"ESCALATED TO CBE",IF($AA866=TODAY(),"EMAIL SENT","MONITORING"))))))))))</f>
        <v/>
      </c>
      <c r="V866" s="17">
        <f>IF($U866="",IF(AND(COUNTA($A866:$L866)&gt;0,$N866=""),"Awaiting Collection Email time stamp.",""),IF(OR($U866="PAID",$U866="CLOSED"),IF($U866="PAID","Account paid. Action completed.","Account closed. No further action required."),CHOOSE($Z866,"Collection Email","1st Email Follow-up","2nd Email Follow-up","Escalation to Local Office","Escalation to CBE","Escalation to Roxanne")&amp;" sent "&amp;TEXT($AA866,"dd-mmm")&amp;". "&amp;IF($Z866=6,"Final escalation completed.",IF($U866="OVERDUE","Next: "&amp;$AC866&amp;" was due "&amp;TEXT($AB866,"dd-mmm")&amp;" - "&amp;(NETWORKDAYS($AB866,TODAY(),Holidays)-1)&amp;" business day(s) late. Send now.",IF($U866="DUE TOMORROW","Next: "&amp;$AC866&amp;IF($AB866&lt;=TODAY()," is due TODAY ("," is due next business day (")&amp;TEXT($AB866,"dd-mmm")&amp;").","Next: "&amp;$AC866&amp;" due "&amp;TEXT($AB866,"dd-mmm")&amp;" ("&amp;(NETWORKDAYS(TODAY(),$AB866,Holidays)-1)&amp;" business day(s) left).")))))</f>
        <v/>
      </c>
      <c r="W866" s="17">
        <f>IF($Z866="","",CHOOSE($Z866,"Collection Email","1st Follow-up","2nd Follow-up","Local Office","CBE","Roxanne")&amp;IF($Z866=6," - Final"," - Day "&amp;MAX(0,NETWORKDAYS($AA866,TODAY(),Holidays)-1)&amp;" of "&amp;CHOOSE($Z866,3,3,2,2,3))&amp;" | Total Day "&amp;MAX(0,NETWORKDAYS($N866,TODAY(),Holidays)-1))</f>
        <v/>
      </c>
      <c r="X866" s="18"/>
      <c r="Y866" s="18"/>
      <c r="Z866" s="17">
        <f>IF($N866="","",COUNT($N866:$S866))</f>
        <v/>
      </c>
      <c r="AA866" s="19">
        <f>IF($Z866="","",INT(INDEX($N866:$S866,$Z866)))</f>
        <v/>
      </c>
      <c r="AB866" s="19">
        <f>IF(OR($Z866="",$Z866=6),"",WORKDAY($AA866,CHOOSE($Z866,3,3,2,2,3),Holidays))</f>
        <v/>
      </c>
      <c r="AC866" s="17">
        <f>IF(OR($Z866="",$Z866=6),"",CHOOSE($Z866,"1st Email Follow-up","2nd Email Follow-up","Escalate Local Office","Escalate to CBE","Escalate to Roxanne"))</f>
        <v/>
      </c>
    </row>
    <row r="867" spans="13:29">
      <c r="M867" s="14"/>
      <c r="T867" s="16"/>
      <c r="U867" s="17">
        <f>IF(AND(COUNTA($A867:$L867)=0,$N867=""),"",IF($T867="Paid","PAID",IF($T867="Closed","CLOSED",IF($Z867="","",IF($Z867=6,"ESCALATED TO ROXANNE",IF(TODAY()&gt;$AB867,"OVERDUE",IF($AB867&lt;=WORKDAY(TODAY(),1,Holidays),"DUE TOMORROW",IF($Z867=4,"ESCALATED TO LOCAL OFFICE",IF($Z867=5,"ESCALATED TO CBE",IF($AA867=TODAY(),"EMAIL SENT","MONITORING"))))))))))</f>
        <v/>
      </c>
      <c r="V867" s="17">
        <f>IF($U867="",IF(AND(COUNTA($A867:$L867)&gt;0,$N867=""),"Awaiting Collection Email time stamp.",""),IF(OR($U867="PAID",$U867="CLOSED"),IF($U867="PAID","Account paid. Action completed.","Account closed. No further action required."),CHOOSE($Z867,"Collection Email","1st Email Follow-up","2nd Email Follow-up","Escalation to Local Office","Escalation to CBE","Escalation to Roxanne")&amp;" sent "&amp;TEXT($AA867,"dd-mmm")&amp;". "&amp;IF($Z867=6,"Final escalation completed.",IF($U867="OVERDUE","Next: "&amp;$AC867&amp;" was due "&amp;TEXT($AB867,"dd-mmm")&amp;" - "&amp;(NETWORKDAYS($AB867,TODAY(),Holidays)-1)&amp;" business day(s) late. Send now.",IF($U867="DUE TOMORROW","Next: "&amp;$AC867&amp;IF($AB867&lt;=TODAY()," is due TODAY ("," is due next business day (")&amp;TEXT($AB867,"dd-mmm")&amp;").","Next: "&amp;$AC867&amp;" due "&amp;TEXT($AB867,"dd-mmm")&amp;" ("&amp;(NETWORKDAYS(TODAY(),$AB867,Holidays)-1)&amp;" business day(s) left).")))))</f>
        <v/>
      </c>
      <c r="W867" s="17">
        <f>IF($Z867="","",CHOOSE($Z867,"Collection Email","1st Follow-up","2nd Follow-up","Local Office","CBE","Roxanne")&amp;IF($Z867=6," - Final"," - Day "&amp;MAX(0,NETWORKDAYS($AA867,TODAY(),Holidays)-1)&amp;" of "&amp;CHOOSE($Z867,3,3,2,2,3))&amp;" | Total Day "&amp;MAX(0,NETWORKDAYS($N867,TODAY(),Holidays)-1))</f>
        <v/>
      </c>
      <c r="X867" s="18"/>
      <c r="Y867" s="18"/>
      <c r="Z867" s="17">
        <f>IF($N867="","",COUNT($N867:$S867))</f>
        <v/>
      </c>
      <c r="AA867" s="19">
        <f>IF($Z867="","",INT(INDEX($N867:$S867,$Z867)))</f>
        <v/>
      </c>
      <c r="AB867" s="19">
        <f>IF(OR($Z867="",$Z867=6),"",WORKDAY($AA867,CHOOSE($Z867,3,3,2,2,3),Holidays))</f>
        <v/>
      </c>
      <c r="AC867" s="17">
        <f>IF(OR($Z867="",$Z867=6),"",CHOOSE($Z867,"1st Email Follow-up","2nd Email Follow-up","Escalate Local Office","Escalate to CBE","Escalate to Roxanne"))</f>
        <v/>
      </c>
    </row>
    <row r="868" spans="13:29">
      <c r="M868" s="14"/>
      <c r="T868" s="16"/>
      <c r="U868" s="17">
        <f>IF(AND(COUNTA($A868:$L868)=0,$N868=""),"",IF($T868="Paid","PAID",IF($T868="Closed","CLOSED",IF($Z868="","",IF($Z868=6,"ESCALATED TO ROXANNE",IF(TODAY()&gt;$AB868,"OVERDUE",IF($AB868&lt;=WORKDAY(TODAY(),1,Holidays),"DUE TOMORROW",IF($Z868=4,"ESCALATED TO LOCAL OFFICE",IF($Z868=5,"ESCALATED TO CBE",IF($AA868=TODAY(),"EMAIL SENT","MONITORING"))))))))))</f>
        <v/>
      </c>
      <c r="V868" s="17">
        <f>IF($U868="",IF(AND(COUNTA($A868:$L868)&gt;0,$N868=""),"Awaiting Collection Email time stamp.",""),IF(OR($U868="PAID",$U868="CLOSED"),IF($U868="PAID","Account paid. Action completed.","Account closed. No further action required."),CHOOSE($Z868,"Collection Email","1st Email Follow-up","2nd Email Follow-up","Escalation to Local Office","Escalation to CBE","Escalation to Roxanne")&amp;" sent "&amp;TEXT($AA868,"dd-mmm")&amp;". "&amp;IF($Z868=6,"Final escalation completed.",IF($U868="OVERDUE","Next: "&amp;$AC868&amp;" was due "&amp;TEXT($AB868,"dd-mmm")&amp;" - "&amp;(NETWORKDAYS($AB868,TODAY(),Holidays)-1)&amp;" business day(s) late. Send now.",IF($U868="DUE TOMORROW","Next: "&amp;$AC868&amp;IF($AB868&lt;=TODAY()," is due TODAY ("," is due next business day (")&amp;TEXT($AB868,"dd-mmm")&amp;").","Next: "&amp;$AC868&amp;" due "&amp;TEXT($AB868,"dd-mmm")&amp;" ("&amp;(NETWORKDAYS(TODAY(),$AB868,Holidays)-1)&amp;" business day(s) left).")))))</f>
        <v/>
      </c>
      <c r="W868" s="17">
        <f>IF($Z868="","",CHOOSE($Z868,"Collection Email","1st Follow-up","2nd Follow-up","Local Office","CBE","Roxanne")&amp;IF($Z868=6," - Final"," - Day "&amp;MAX(0,NETWORKDAYS($AA868,TODAY(),Holidays)-1)&amp;" of "&amp;CHOOSE($Z868,3,3,2,2,3))&amp;" | Total Day "&amp;MAX(0,NETWORKDAYS($N868,TODAY(),Holidays)-1))</f>
        <v/>
      </c>
      <c r="X868" s="18"/>
      <c r="Y868" s="18"/>
      <c r="Z868" s="17">
        <f>IF($N868="","",COUNT($N868:$S868))</f>
        <v/>
      </c>
      <c r="AA868" s="19">
        <f>IF($Z868="","",INT(INDEX($N868:$S868,$Z868)))</f>
        <v/>
      </c>
      <c r="AB868" s="19">
        <f>IF(OR($Z868="",$Z868=6),"",WORKDAY($AA868,CHOOSE($Z868,3,3,2,2,3),Holidays))</f>
        <v/>
      </c>
      <c r="AC868" s="17">
        <f>IF(OR($Z868="",$Z868=6),"",CHOOSE($Z868,"1st Email Follow-up","2nd Email Follow-up","Escalate Local Office","Escalate to CBE","Escalate to Roxanne"))</f>
        <v/>
      </c>
    </row>
    <row r="869" spans="13:29">
      <c r="M869" s="14"/>
      <c r="T869" s="16"/>
      <c r="U869" s="17">
        <f>IF(AND(COUNTA($A869:$L869)=0,$N869=""),"",IF($T869="Paid","PAID",IF($T869="Closed","CLOSED",IF($Z869="","",IF($Z869=6,"ESCALATED TO ROXANNE",IF(TODAY()&gt;$AB869,"OVERDUE",IF($AB869&lt;=WORKDAY(TODAY(),1,Holidays),"DUE TOMORROW",IF($Z869=4,"ESCALATED TO LOCAL OFFICE",IF($Z869=5,"ESCALATED TO CBE",IF($AA869=TODAY(),"EMAIL SENT","MONITORING"))))))))))</f>
        <v/>
      </c>
      <c r="V869" s="17">
        <f>IF($U869="",IF(AND(COUNTA($A869:$L869)&gt;0,$N869=""),"Awaiting Collection Email time stamp.",""),IF(OR($U869="PAID",$U869="CLOSED"),IF($U869="PAID","Account paid. Action completed.","Account closed. No further action required."),CHOOSE($Z869,"Collection Email","1st Email Follow-up","2nd Email Follow-up","Escalation to Local Office","Escalation to CBE","Escalation to Roxanne")&amp;" sent "&amp;TEXT($AA869,"dd-mmm")&amp;". "&amp;IF($Z869=6,"Final escalation completed.",IF($U869="OVERDUE","Next: "&amp;$AC869&amp;" was due "&amp;TEXT($AB869,"dd-mmm")&amp;" - "&amp;(NETWORKDAYS($AB869,TODAY(),Holidays)-1)&amp;" business day(s) late. Send now.",IF($U869="DUE TOMORROW","Next: "&amp;$AC869&amp;IF($AB869&lt;=TODAY()," is due TODAY ("," is due next business day (")&amp;TEXT($AB869,"dd-mmm")&amp;").","Next: "&amp;$AC869&amp;" due "&amp;TEXT($AB869,"dd-mmm")&amp;" ("&amp;(NETWORKDAYS(TODAY(),$AB869,Holidays)-1)&amp;" business day(s) left).")))))</f>
        <v/>
      </c>
      <c r="W869" s="17">
        <f>IF($Z869="","",CHOOSE($Z869,"Collection Email","1st Follow-up","2nd Follow-up","Local Office","CBE","Roxanne")&amp;IF($Z869=6," - Final"," - Day "&amp;MAX(0,NETWORKDAYS($AA869,TODAY(),Holidays)-1)&amp;" of "&amp;CHOOSE($Z869,3,3,2,2,3))&amp;" | Total Day "&amp;MAX(0,NETWORKDAYS($N869,TODAY(),Holidays)-1))</f>
        <v/>
      </c>
      <c r="X869" s="18"/>
      <c r="Y869" s="18"/>
      <c r="Z869" s="17">
        <f>IF($N869="","",COUNT($N869:$S869))</f>
        <v/>
      </c>
      <c r="AA869" s="19">
        <f>IF($Z869="","",INT(INDEX($N869:$S869,$Z869)))</f>
        <v/>
      </c>
      <c r="AB869" s="19">
        <f>IF(OR($Z869="",$Z869=6),"",WORKDAY($AA869,CHOOSE($Z869,3,3,2,2,3),Holidays))</f>
        <v/>
      </c>
      <c r="AC869" s="17">
        <f>IF(OR($Z869="",$Z869=6),"",CHOOSE($Z869,"1st Email Follow-up","2nd Email Follow-up","Escalate Local Office","Escalate to CBE","Escalate to Roxanne"))</f>
        <v/>
      </c>
    </row>
    <row r="870" spans="13:29">
      <c r="M870" s="14"/>
      <c r="T870" s="16"/>
      <c r="U870" s="17">
        <f>IF(AND(COUNTA($A870:$L870)=0,$N870=""),"",IF($T870="Paid","PAID",IF($T870="Closed","CLOSED",IF($Z870="","",IF($Z870=6,"ESCALATED TO ROXANNE",IF(TODAY()&gt;$AB870,"OVERDUE",IF($AB870&lt;=WORKDAY(TODAY(),1,Holidays),"DUE TOMORROW",IF($Z870=4,"ESCALATED TO LOCAL OFFICE",IF($Z870=5,"ESCALATED TO CBE",IF($AA870=TODAY(),"EMAIL SENT","MONITORING"))))))))))</f>
        <v/>
      </c>
      <c r="V870" s="17">
        <f>IF($U870="",IF(AND(COUNTA($A870:$L870)&gt;0,$N870=""),"Awaiting Collection Email time stamp.",""),IF(OR($U870="PAID",$U870="CLOSED"),IF($U870="PAID","Account paid. Action completed.","Account closed. No further action required."),CHOOSE($Z870,"Collection Email","1st Email Follow-up","2nd Email Follow-up","Escalation to Local Office","Escalation to CBE","Escalation to Roxanne")&amp;" sent "&amp;TEXT($AA870,"dd-mmm")&amp;". "&amp;IF($Z870=6,"Final escalation completed.",IF($U870="OVERDUE","Next: "&amp;$AC870&amp;" was due "&amp;TEXT($AB870,"dd-mmm")&amp;" - "&amp;(NETWORKDAYS($AB870,TODAY(),Holidays)-1)&amp;" business day(s) late. Send now.",IF($U870="DUE TOMORROW","Next: "&amp;$AC870&amp;IF($AB870&lt;=TODAY()," is due TODAY ("," is due next business day (")&amp;TEXT($AB870,"dd-mmm")&amp;").","Next: "&amp;$AC870&amp;" due "&amp;TEXT($AB870,"dd-mmm")&amp;" ("&amp;(NETWORKDAYS(TODAY(),$AB870,Holidays)-1)&amp;" business day(s) left).")))))</f>
        <v/>
      </c>
      <c r="W870" s="17">
        <f>IF($Z870="","",CHOOSE($Z870,"Collection Email","1st Follow-up","2nd Follow-up","Local Office","CBE","Roxanne")&amp;IF($Z870=6," - Final"," - Day "&amp;MAX(0,NETWORKDAYS($AA870,TODAY(),Holidays)-1)&amp;" of "&amp;CHOOSE($Z870,3,3,2,2,3))&amp;" | Total Day "&amp;MAX(0,NETWORKDAYS($N870,TODAY(),Holidays)-1))</f>
        <v/>
      </c>
      <c r="X870" s="18"/>
      <c r="Y870" s="18"/>
      <c r="Z870" s="17">
        <f>IF($N870="","",COUNT($N870:$S870))</f>
        <v/>
      </c>
      <c r="AA870" s="19">
        <f>IF($Z870="","",INT(INDEX($N870:$S870,$Z870)))</f>
        <v/>
      </c>
      <c r="AB870" s="19">
        <f>IF(OR($Z870="",$Z870=6),"",WORKDAY($AA870,CHOOSE($Z870,3,3,2,2,3),Holidays))</f>
        <v/>
      </c>
      <c r="AC870" s="17">
        <f>IF(OR($Z870="",$Z870=6),"",CHOOSE($Z870,"1st Email Follow-up","2nd Email Follow-up","Escalate Local Office","Escalate to CBE","Escalate to Roxanne"))</f>
        <v/>
      </c>
    </row>
    <row r="871" spans="13:29">
      <c r="M871" s="14"/>
      <c r="T871" s="16"/>
      <c r="U871" s="17">
        <f>IF(AND(COUNTA($A871:$L871)=0,$N871=""),"",IF($T871="Paid","PAID",IF($T871="Closed","CLOSED",IF($Z871="","",IF($Z871=6,"ESCALATED TO ROXANNE",IF(TODAY()&gt;$AB871,"OVERDUE",IF($AB871&lt;=WORKDAY(TODAY(),1,Holidays),"DUE TOMORROW",IF($Z871=4,"ESCALATED TO LOCAL OFFICE",IF($Z871=5,"ESCALATED TO CBE",IF($AA871=TODAY(),"EMAIL SENT","MONITORING"))))))))))</f>
        <v/>
      </c>
      <c r="V871" s="17">
        <f>IF($U871="",IF(AND(COUNTA($A871:$L871)&gt;0,$N871=""),"Awaiting Collection Email time stamp.",""),IF(OR($U871="PAID",$U871="CLOSED"),IF($U871="PAID","Account paid. Action completed.","Account closed. No further action required."),CHOOSE($Z871,"Collection Email","1st Email Follow-up","2nd Email Follow-up","Escalation to Local Office","Escalation to CBE","Escalation to Roxanne")&amp;" sent "&amp;TEXT($AA871,"dd-mmm")&amp;". "&amp;IF($Z871=6,"Final escalation completed.",IF($U871="OVERDUE","Next: "&amp;$AC871&amp;" was due "&amp;TEXT($AB871,"dd-mmm")&amp;" - "&amp;(NETWORKDAYS($AB871,TODAY(),Holidays)-1)&amp;" business day(s) late. Send now.",IF($U871="DUE TOMORROW","Next: "&amp;$AC871&amp;IF($AB871&lt;=TODAY()," is due TODAY ("," is due next business day (")&amp;TEXT($AB871,"dd-mmm")&amp;").","Next: "&amp;$AC871&amp;" due "&amp;TEXT($AB871,"dd-mmm")&amp;" ("&amp;(NETWORKDAYS(TODAY(),$AB871,Holidays)-1)&amp;" business day(s) left).")))))</f>
        <v/>
      </c>
      <c r="W871" s="17">
        <f>IF($Z871="","",CHOOSE($Z871,"Collection Email","1st Follow-up","2nd Follow-up","Local Office","CBE","Roxanne")&amp;IF($Z871=6," - Final"," - Day "&amp;MAX(0,NETWORKDAYS($AA871,TODAY(),Holidays)-1)&amp;" of "&amp;CHOOSE($Z871,3,3,2,2,3))&amp;" | Total Day "&amp;MAX(0,NETWORKDAYS($N871,TODAY(),Holidays)-1))</f>
        <v/>
      </c>
      <c r="X871" s="18"/>
      <c r="Y871" s="18"/>
      <c r="Z871" s="17">
        <f>IF($N871="","",COUNT($N871:$S871))</f>
        <v/>
      </c>
      <c r="AA871" s="19">
        <f>IF($Z871="","",INT(INDEX($N871:$S871,$Z871)))</f>
        <v/>
      </c>
      <c r="AB871" s="19">
        <f>IF(OR($Z871="",$Z871=6),"",WORKDAY($AA871,CHOOSE($Z871,3,3,2,2,3),Holidays))</f>
        <v/>
      </c>
      <c r="AC871" s="17">
        <f>IF(OR($Z871="",$Z871=6),"",CHOOSE($Z871,"1st Email Follow-up","2nd Email Follow-up","Escalate Local Office","Escalate to CBE","Escalate to Roxanne"))</f>
        <v/>
      </c>
    </row>
    <row r="872" spans="13:29">
      <c r="M872" s="14"/>
      <c r="T872" s="16"/>
      <c r="U872" s="17">
        <f>IF(AND(COUNTA($A872:$L872)=0,$N872=""),"",IF($T872="Paid","PAID",IF($T872="Closed","CLOSED",IF($Z872="","",IF($Z872=6,"ESCALATED TO ROXANNE",IF(TODAY()&gt;$AB872,"OVERDUE",IF($AB872&lt;=WORKDAY(TODAY(),1,Holidays),"DUE TOMORROW",IF($Z872=4,"ESCALATED TO LOCAL OFFICE",IF($Z872=5,"ESCALATED TO CBE",IF($AA872=TODAY(),"EMAIL SENT","MONITORING"))))))))))</f>
        <v/>
      </c>
      <c r="V872" s="17">
        <f>IF($U872="",IF(AND(COUNTA($A872:$L872)&gt;0,$N872=""),"Awaiting Collection Email time stamp.",""),IF(OR($U872="PAID",$U872="CLOSED"),IF($U872="PAID","Account paid. Action completed.","Account closed. No further action required."),CHOOSE($Z872,"Collection Email","1st Email Follow-up","2nd Email Follow-up","Escalation to Local Office","Escalation to CBE","Escalation to Roxanne")&amp;" sent "&amp;TEXT($AA872,"dd-mmm")&amp;". "&amp;IF($Z872=6,"Final escalation completed.",IF($U872="OVERDUE","Next: "&amp;$AC872&amp;" was due "&amp;TEXT($AB872,"dd-mmm")&amp;" - "&amp;(NETWORKDAYS($AB872,TODAY(),Holidays)-1)&amp;" business day(s) late. Send now.",IF($U872="DUE TOMORROW","Next: "&amp;$AC872&amp;IF($AB872&lt;=TODAY()," is due TODAY ("," is due next business day (")&amp;TEXT($AB872,"dd-mmm")&amp;").","Next: "&amp;$AC872&amp;" due "&amp;TEXT($AB872,"dd-mmm")&amp;" ("&amp;(NETWORKDAYS(TODAY(),$AB872,Holidays)-1)&amp;" business day(s) left).")))))</f>
        <v/>
      </c>
      <c r="W872" s="17">
        <f>IF($Z872="","",CHOOSE($Z872,"Collection Email","1st Follow-up","2nd Follow-up","Local Office","CBE","Roxanne")&amp;IF($Z872=6," - Final"," - Day "&amp;MAX(0,NETWORKDAYS($AA872,TODAY(),Holidays)-1)&amp;" of "&amp;CHOOSE($Z872,3,3,2,2,3))&amp;" | Total Day "&amp;MAX(0,NETWORKDAYS($N872,TODAY(),Holidays)-1))</f>
        <v/>
      </c>
      <c r="X872" s="18"/>
      <c r="Y872" s="18"/>
      <c r="Z872" s="17">
        <f>IF($N872="","",COUNT($N872:$S872))</f>
        <v/>
      </c>
      <c r="AA872" s="19">
        <f>IF($Z872="","",INT(INDEX($N872:$S872,$Z872)))</f>
        <v/>
      </c>
      <c r="AB872" s="19">
        <f>IF(OR($Z872="",$Z872=6),"",WORKDAY($AA872,CHOOSE($Z872,3,3,2,2,3),Holidays))</f>
        <v/>
      </c>
      <c r="AC872" s="17">
        <f>IF(OR($Z872="",$Z872=6),"",CHOOSE($Z872,"1st Email Follow-up","2nd Email Follow-up","Escalate Local Office","Escalate to CBE","Escalate to Roxanne"))</f>
        <v/>
      </c>
    </row>
    <row r="873" spans="13:29">
      <c r="M873" s="14"/>
      <c r="T873" s="16"/>
      <c r="U873" s="17">
        <f>IF(AND(COUNTA($A873:$L873)=0,$N873=""),"",IF($T873="Paid","PAID",IF($T873="Closed","CLOSED",IF($Z873="","",IF($Z873=6,"ESCALATED TO ROXANNE",IF(TODAY()&gt;$AB873,"OVERDUE",IF($AB873&lt;=WORKDAY(TODAY(),1,Holidays),"DUE TOMORROW",IF($Z873=4,"ESCALATED TO LOCAL OFFICE",IF($Z873=5,"ESCALATED TO CBE",IF($AA873=TODAY(),"EMAIL SENT","MONITORING"))))))))))</f>
        <v/>
      </c>
      <c r="V873" s="17">
        <f>IF($U873="",IF(AND(COUNTA($A873:$L873)&gt;0,$N873=""),"Awaiting Collection Email time stamp.",""),IF(OR($U873="PAID",$U873="CLOSED"),IF($U873="PAID","Account paid. Action completed.","Account closed. No further action required."),CHOOSE($Z873,"Collection Email","1st Email Follow-up","2nd Email Follow-up","Escalation to Local Office","Escalation to CBE","Escalation to Roxanne")&amp;" sent "&amp;TEXT($AA873,"dd-mmm")&amp;". "&amp;IF($Z873=6,"Final escalation completed.",IF($U873="OVERDUE","Next: "&amp;$AC873&amp;" was due "&amp;TEXT($AB873,"dd-mmm")&amp;" - "&amp;(NETWORKDAYS($AB873,TODAY(),Holidays)-1)&amp;" business day(s) late. Send now.",IF($U873="DUE TOMORROW","Next: "&amp;$AC873&amp;IF($AB873&lt;=TODAY()," is due TODAY ("," is due next business day (")&amp;TEXT($AB873,"dd-mmm")&amp;").","Next: "&amp;$AC873&amp;" due "&amp;TEXT($AB873,"dd-mmm")&amp;" ("&amp;(NETWORKDAYS(TODAY(),$AB873,Holidays)-1)&amp;" business day(s) left).")))))</f>
        <v/>
      </c>
      <c r="W873" s="17">
        <f>IF($Z873="","",CHOOSE($Z873,"Collection Email","1st Follow-up","2nd Follow-up","Local Office","CBE","Roxanne")&amp;IF($Z873=6," - Final"," - Day "&amp;MAX(0,NETWORKDAYS($AA873,TODAY(),Holidays)-1)&amp;" of "&amp;CHOOSE($Z873,3,3,2,2,3))&amp;" | Total Day "&amp;MAX(0,NETWORKDAYS($N873,TODAY(),Holidays)-1))</f>
        <v/>
      </c>
      <c r="X873" s="18"/>
      <c r="Y873" s="18"/>
      <c r="Z873" s="17">
        <f>IF($N873="","",COUNT($N873:$S873))</f>
        <v/>
      </c>
      <c r="AA873" s="19">
        <f>IF($Z873="","",INT(INDEX($N873:$S873,$Z873)))</f>
        <v/>
      </c>
      <c r="AB873" s="19">
        <f>IF(OR($Z873="",$Z873=6),"",WORKDAY($AA873,CHOOSE($Z873,3,3,2,2,3),Holidays))</f>
        <v/>
      </c>
      <c r="AC873" s="17">
        <f>IF(OR($Z873="",$Z873=6),"",CHOOSE($Z873,"1st Email Follow-up","2nd Email Follow-up","Escalate Local Office","Escalate to CBE","Escalate to Roxanne"))</f>
        <v/>
      </c>
    </row>
    <row r="874" spans="13:29">
      <c r="M874" s="14"/>
      <c r="T874" s="16"/>
      <c r="U874" s="17">
        <f>IF(AND(COUNTA($A874:$L874)=0,$N874=""),"",IF($T874="Paid","PAID",IF($T874="Closed","CLOSED",IF($Z874="","",IF($Z874=6,"ESCALATED TO ROXANNE",IF(TODAY()&gt;$AB874,"OVERDUE",IF($AB874&lt;=WORKDAY(TODAY(),1,Holidays),"DUE TOMORROW",IF($Z874=4,"ESCALATED TO LOCAL OFFICE",IF($Z874=5,"ESCALATED TO CBE",IF($AA874=TODAY(),"EMAIL SENT","MONITORING"))))))))))</f>
        <v/>
      </c>
      <c r="V874" s="17">
        <f>IF($U874="",IF(AND(COUNTA($A874:$L874)&gt;0,$N874=""),"Awaiting Collection Email time stamp.",""),IF(OR($U874="PAID",$U874="CLOSED"),IF($U874="PAID","Account paid. Action completed.","Account closed. No further action required."),CHOOSE($Z874,"Collection Email","1st Email Follow-up","2nd Email Follow-up","Escalation to Local Office","Escalation to CBE","Escalation to Roxanne")&amp;" sent "&amp;TEXT($AA874,"dd-mmm")&amp;". "&amp;IF($Z874=6,"Final escalation completed.",IF($U874="OVERDUE","Next: "&amp;$AC874&amp;" was due "&amp;TEXT($AB874,"dd-mmm")&amp;" - "&amp;(NETWORKDAYS($AB874,TODAY(),Holidays)-1)&amp;" business day(s) late. Send now.",IF($U874="DUE TOMORROW","Next: "&amp;$AC874&amp;IF($AB874&lt;=TODAY()," is due TODAY ("," is due next business day (")&amp;TEXT($AB874,"dd-mmm")&amp;").","Next: "&amp;$AC874&amp;" due "&amp;TEXT($AB874,"dd-mmm")&amp;" ("&amp;(NETWORKDAYS(TODAY(),$AB874,Holidays)-1)&amp;" business day(s) left).")))))</f>
        <v/>
      </c>
      <c r="W874" s="17">
        <f>IF($Z874="","",CHOOSE($Z874,"Collection Email","1st Follow-up","2nd Follow-up","Local Office","CBE","Roxanne")&amp;IF($Z874=6," - Final"," - Day "&amp;MAX(0,NETWORKDAYS($AA874,TODAY(),Holidays)-1)&amp;" of "&amp;CHOOSE($Z874,3,3,2,2,3))&amp;" | Total Day "&amp;MAX(0,NETWORKDAYS($N874,TODAY(),Holidays)-1))</f>
        <v/>
      </c>
      <c r="X874" s="18"/>
      <c r="Y874" s="18"/>
      <c r="Z874" s="17">
        <f>IF($N874="","",COUNT($N874:$S874))</f>
        <v/>
      </c>
      <c r="AA874" s="19">
        <f>IF($Z874="","",INT(INDEX($N874:$S874,$Z874)))</f>
        <v/>
      </c>
      <c r="AB874" s="19">
        <f>IF(OR($Z874="",$Z874=6),"",WORKDAY($AA874,CHOOSE($Z874,3,3,2,2,3),Holidays))</f>
        <v/>
      </c>
      <c r="AC874" s="17">
        <f>IF(OR($Z874="",$Z874=6),"",CHOOSE($Z874,"1st Email Follow-up","2nd Email Follow-up","Escalate Local Office","Escalate to CBE","Escalate to Roxanne"))</f>
        <v/>
      </c>
    </row>
    <row r="875" spans="13:29">
      <c r="M875" s="14"/>
      <c r="T875" s="16"/>
      <c r="U875" s="17">
        <f>IF(AND(COUNTA($A875:$L875)=0,$N875=""),"",IF($T875="Paid","PAID",IF($T875="Closed","CLOSED",IF($Z875="","",IF($Z875=6,"ESCALATED TO ROXANNE",IF(TODAY()&gt;$AB875,"OVERDUE",IF($AB875&lt;=WORKDAY(TODAY(),1,Holidays),"DUE TOMORROW",IF($Z875=4,"ESCALATED TO LOCAL OFFICE",IF($Z875=5,"ESCALATED TO CBE",IF($AA875=TODAY(),"EMAIL SENT","MONITORING"))))))))))</f>
        <v/>
      </c>
      <c r="V875" s="17">
        <f>IF($U875="",IF(AND(COUNTA($A875:$L875)&gt;0,$N875=""),"Awaiting Collection Email time stamp.",""),IF(OR($U875="PAID",$U875="CLOSED"),IF($U875="PAID","Account paid. Action completed.","Account closed. No further action required."),CHOOSE($Z875,"Collection Email","1st Email Follow-up","2nd Email Follow-up","Escalation to Local Office","Escalation to CBE","Escalation to Roxanne")&amp;" sent "&amp;TEXT($AA875,"dd-mmm")&amp;". "&amp;IF($Z875=6,"Final escalation completed.",IF($U875="OVERDUE","Next: "&amp;$AC875&amp;" was due "&amp;TEXT($AB875,"dd-mmm")&amp;" - "&amp;(NETWORKDAYS($AB875,TODAY(),Holidays)-1)&amp;" business day(s) late. Send now.",IF($U875="DUE TOMORROW","Next: "&amp;$AC875&amp;IF($AB875&lt;=TODAY()," is due TODAY ("," is due next business day (")&amp;TEXT($AB875,"dd-mmm")&amp;").","Next: "&amp;$AC875&amp;" due "&amp;TEXT($AB875,"dd-mmm")&amp;" ("&amp;(NETWORKDAYS(TODAY(),$AB875,Holidays)-1)&amp;" business day(s) left).")))))</f>
        <v/>
      </c>
      <c r="W875" s="17">
        <f>IF($Z875="","",CHOOSE($Z875,"Collection Email","1st Follow-up","2nd Follow-up","Local Office","CBE","Roxanne")&amp;IF($Z875=6," - Final"," - Day "&amp;MAX(0,NETWORKDAYS($AA875,TODAY(),Holidays)-1)&amp;" of "&amp;CHOOSE($Z875,3,3,2,2,3))&amp;" | Total Day "&amp;MAX(0,NETWORKDAYS($N875,TODAY(),Holidays)-1))</f>
        <v/>
      </c>
      <c r="X875" s="18"/>
      <c r="Y875" s="18"/>
      <c r="Z875" s="17">
        <f>IF($N875="","",COUNT($N875:$S875))</f>
        <v/>
      </c>
      <c r="AA875" s="19">
        <f>IF($Z875="","",INT(INDEX($N875:$S875,$Z875)))</f>
        <v/>
      </c>
      <c r="AB875" s="19">
        <f>IF(OR($Z875="",$Z875=6),"",WORKDAY($AA875,CHOOSE($Z875,3,3,2,2,3),Holidays))</f>
        <v/>
      </c>
      <c r="AC875" s="17">
        <f>IF(OR($Z875="",$Z875=6),"",CHOOSE($Z875,"1st Email Follow-up","2nd Email Follow-up","Escalate Local Office","Escalate to CBE","Escalate to Roxanne"))</f>
        <v/>
      </c>
    </row>
    <row r="876" spans="13:29">
      <c r="M876" s="14"/>
      <c r="T876" s="16"/>
      <c r="U876" s="17">
        <f>IF(AND(COUNTA($A876:$L876)=0,$N876=""),"",IF($T876="Paid","PAID",IF($T876="Closed","CLOSED",IF($Z876="","",IF($Z876=6,"ESCALATED TO ROXANNE",IF(TODAY()&gt;$AB876,"OVERDUE",IF($AB876&lt;=WORKDAY(TODAY(),1,Holidays),"DUE TOMORROW",IF($Z876=4,"ESCALATED TO LOCAL OFFICE",IF($Z876=5,"ESCALATED TO CBE",IF($AA876=TODAY(),"EMAIL SENT","MONITORING"))))))))))</f>
        <v/>
      </c>
      <c r="V876" s="17">
        <f>IF($U876="",IF(AND(COUNTA($A876:$L876)&gt;0,$N876=""),"Awaiting Collection Email time stamp.",""),IF(OR($U876="PAID",$U876="CLOSED"),IF($U876="PAID","Account paid. Action completed.","Account closed. No further action required."),CHOOSE($Z876,"Collection Email","1st Email Follow-up","2nd Email Follow-up","Escalation to Local Office","Escalation to CBE","Escalation to Roxanne")&amp;" sent "&amp;TEXT($AA876,"dd-mmm")&amp;". "&amp;IF($Z876=6,"Final escalation completed.",IF($U876="OVERDUE","Next: "&amp;$AC876&amp;" was due "&amp;TEXT($AB876,"dd-mmm")&amp;" - "&amp;(NETWORKDAYS($AB876,TODAY(),Holidays)-1)&amp;" business day(s) late. Send now.",IF($U876="DUE TOMORROW","Next: "&amp;$AC876&amp;IF($AB876&lt;=TODAY()," is due TODAY ("," is due next business day (")&amp;TEXT($AB876,"dd-mmm")&amp;").","Next: "&amp;$AC876&amp;" due "&amp;TEXT($AB876,"dd-mmm")&amp;" ("&amp;(NETWORKDAYS(TODAY(),$AB876,Holidays)-1)&amp;" business day(s) left).")))))</f>
        <v/>
      </c>
      <c r="W876" s="17">
        <f>IF($Z876="","",CHOOSE($Z876,"Collection Email","1st Follow-up","2nd Follow-up","Local Office","CBE","Roxanne")&amp;IF($Z876=6," - Final"," - Day "&amp;MAX(0,NETWORKDAYS($AA876,TODAY(),Holidays)-1)&amp;" of "&amp;CHOOSE($Z876,3,3,2,2,3))&amp;" | Total Day "&amp;MAX(0,NETWORKDAYS($N876,TODAY(),Holidays)-1))</f>
        <v/>
      </c>
      <c r="X876" s="18"/>
      <c r="Y876" s="18"/>
      <c r="Z876" s="17">
        <f>IF($N876="","",COUNT($N876:$S876))</f>
        <v/>
      </c>
      <c r="AA876" s="19">
        <f>IF($Z876="","",INT(INDEX($N876:$S876,$Z876)))</f>
        <v/>
      </c>
      <c r="AB876" s="19">
        <f>IF(OR($Z876="",$Z876=6),"",WORKDAY($AA876,CHOOSE($Z876,3,3,2,2,3),Holidays))</f>
        <v/>
      </c>
      <c r="AC876" s="17">
        <f>IF(OR($Z876="",$Z876=6),"",CHOOSE($Z876,"1st Email Follow-up","2nd Email Follow-up","Escalate Local Office","Escalate to CBE","Escalate to Roxanne"))</f>
        <v/>
      </c>
    </row>
    <row r="877" spans="13:29">
      <c r="M877" s="14"/>
      <c r="T877" s="16"/>
      <c r="U877" s="17">
        <f>IF(AND(COUNTA($A877:$L877)=0,$N877=""),"",IF($T877="Paid","PAID",IF($T877="Closed","CLOSED",IF($Z877="","",IF($Z877=6,"ESCALATED TO ROXANNE",IF(TODAY()&gt;$AB877,"OVERDUE",IF($AB877&lt;=WORKDAY(TODAY(),1,Holidays),"DUE TOMORROW",IF($Z877=4,"ESCALATED TO LOCAL OFFICE",IF($Z877=5,"ESCALATED TO CBE",IF($AA877=TODAY(),"EMAIL SENT","MONITORING"))))))))))</f>
        <v/>
      </c>
      <c r="V877" s="17">
        <f>IF($U877="",IF(AND(COUNTA($A877:$L877)&gt;0,$N877=""),"Awaiting Collection Email time stamp.",""),IF(OR($U877="PAID",$U877="CLOSED"),IF($U877="PAID","Account paid. Action completed.","Account closed. No further action required."),CHOOSE($Z877,"Collection Email","1st Email Follow-up","2nd Email Follow-up","Escalation to Local Office","Escalation to CBE","Escalation to Roxanne")&amp;" sent "&amp;TEXT($AA877,"dd-mmm")&amp;". "&amp;IF($Z877=6,"Final escalation completed.",IF($U877="OVERDUE","Next: "&amp;$AC877&amp;" was due "&amp;TEXT($AB877,"dd-mmm")&amp;" - "&amp;(NETWORKDAYS($AB877,TODAY(),Holidays)-1)&amp;" business day(s) late. Send now.",IF($U877="DUE TOMORROW","Next: "&amp;$AC877&amp;IF($AB877&lt;=TODAY()," is due TODAY ("," is due next business day (")&amp;TEXT($AB877,"dd-mmm")&amp;").","Next: "&amp;$AC877&amp;" due "&amp;TEXT($AB877,"dd-mmm")&amp;" ("&amp;(NETWORKDAYS(TODAY(),$AB877,Holidays)-1)&amp;" business day(s) left).")))))</f>
        <v/>
      </c>
      <c r="W877" s="17">
        <f>IF($Z877="","",CHOOSE($Z877,"Collection Email","1st Follow-up","2nd Follow-up","Local Office","CBE","Roxanne")&amp;IF($Z877=6," - Final"," - Day "&amp;MAX(0,NETWORKDAYS($AA877,TODAY(),Holidays)-1)&amp;" of "&amp;CHOOSE($Z877,3,3,2,2,3))&amp;" | Total Day "&amp;MAX(0,NETWORKDAYS($N877,TODAY(),Holidays)-1))</f>
        <v/>
      </c>
      <c r="X877" s="18"/>
      <c r="Y877" s="18"/>
      <c r="Z877" s="17">
        <f>IF($N877="","",COUNT($N877:$S877))</f>
        <v/>
      </c>
      <c r="AA877" s="19">
        <f>IF($Z877="","",INT(INDEX($N877:$S877,$Z877)))</f>
        <v/>
      </c>
      <c r="AB877" s="19">
        <f>IF(OR($Z877="",$Z877=6),"",WORKDAY($AA877,CHOOSE($Z877,3,3,2,2,3),Holidays))</f>
        <v/>
      </c>
      <c r="AC877" s="17">
        <f>IF(OR($Z877="",$Z877=6),"",CHOOSE($Z877,"1st Email Follow-up","2nd Email Follow-up","Escalate Local Office","Escalate to CBE","Escalate to Roxanne"))</f>
        <v/>
      </c>
    </row>
    <row r="878" spans="13:29">
      <c r="M878" s="14"/>
      <c r="T878" s="16"/>
      <c r="U878" s="17">
        <f>IF(AND(COUNTA($A878:$L878)=0,$N878=""),"",IF($T878="Paid","PAID",IF($T878="Closed","CLOSED",IF($Z878="","",IF($Z878=6,"ESCALATED TO ROXANNE",IF(TODAY()&gt;$AB878,"OVERDUE",IF($AB878&lt;=WORKDAY(TODAY(),1,Holidays),"DUE TOMORROW",IF($Z878=4,"ESCALATED TO LOCAL OFFICE",IF($Z878=5,"ESCALATED TO CBE",IF($AA878=TODAY(),"EMAIL SENT","MONITORING"))))))))))</f>
        <v/>
      </c>
      <c r="V878" s="17">
        <f>IF($U878="",IF(AND(COUNTA($A878:$L878)&gt;0,$N878=""),"Awaiting Collection Email time stamp.",""),IF(OR($U878="PAID",$U878="CLOSED"),IF($U878="PAID","Account paid. Action completed.","Account closed. No further action required."),CHOOSE($Z878,"Collection Email","1st Email Follow-up","2nd Email Follow-up","Escalation to Local Office","Escalation to CBE","Escalation to Roxanne")&amp;" sent "&amp;TEXT($AA878,"dd-mmm")&amp;". "&amp;IF($Z878=6,"Final escalation completed.",IF($U878="OVERDUE","Next: "&amp;$AC878&amp;" was due "&amp;TEXT($AB878,"dd-mmm")&amp;" - "&amp;(NETWORKDAYS($AB878,TODAY(),Holidays)-1)&amp;" business day(s) late. Send now.",IF($U878="DUE TOMORROW","Next: "&amp;$AC878&amp;IF($AB878&lt;=TODAY()," is due TODAY ("," is due next business day (")&amp;TEXT($AB878,"dd-mmm")&amp;").","Next: "&amp;$AC878&amp;" due "&amp;TEXT($AB878,"dd-mmm")&amp;" ("&amp;(NETWORKDAYS(TODAY(),$AB878,Holidays)-1)&amp;" business day(s) left).")))))</f>
        <v/>
      </c>
      <c r="W878" s="17">
        <f>IF($Z878="","",CHOOSE($Z878,"Collection Email","1st Follow-up","2nd Follow-up","Local Office","CBE","Roxanne")&amp;IF($Z878=6," - Final"," - Day "&amp;MAX(0,NETWORKDAYS($AA878,TODAY(),Holidays)-1)&amp;" of "&amp;CHOOSE($Z878,3,3,2,2,3))&amp;" | Total Day "&amp;MAX(0,NETWORKDAYS($N878,TODAY(),Holidays)-1))</f>
        <v/>
      </c>
      <c r="X878" s="18"/>
      <c r="Y878" s="18"/>
      <c r="Z878" s="17">
        <f>IF($N878="","",COUNT($N878:$S878))</f>
        <v/>
      </c>
      <c r="AA878" s="19">
        <f>IF($Z878="","",INT(INDEX($N878:$S878,$Z878)))</f>
        <v/>
      </c>
      <c r="AB878" s="19">
        <f>IF(OR($Z878="",$Z878=6),"",WORKDAY($AA878,CHOOSE($Z878,3,3,2,2,3),Holidays))</f>
        <v/>
      </c>
      <c r="AC878" s="17">
        <f>IF(OR($Z878="",$Z878=6),"",CHOOSE($Z878,"1st Email Follow-up","2nd Email Follow-up","Escalate Local Office","Escalate to CBE","Escalate to Roxanne"))</f>
        <v/>
      </c>
    </row>
    <row r="879" spans="13:29">
      <c r="M879" s="14"/>
      <c r="T879" s="16"/>
      <c r="U879" s="17">
        <f>IF(AND(COUNTA($A879:$L879)=0,$N879=""),"",IF($T879="Paid","PAID",IF($T879="Closed","CLOSED",IF($Z879="","",IF($Z879=6,"ESCALATED TO ROXANNE",IF(TODAY()&gt;$AB879,"OVERDUE",IF($AB879&lt;=WORKDAY(TODAY(),1,Holidays),"DUE TOMORROW",IF($Z879=4,"ESCALATED TO LOCAL OFFICE",IF($Z879=5,"ESCALATED TO CBE",IF($AA879=TODAY(),"EMAIL SENT","MONITORING"))))))))))</f>
        <v/>
      </c>
      <c r="V879" s="17">
        <f>IF($U879="",IF(AND(COUNTA($A879:$L879)&gt;0,$N879=""),"Awaiting Collection Email time stamp.",""),IF(OR($U879="PAID",$U879="CLOSED"),IF($U879="PAID","Account paid. Action completed.","Account closed. No further action required."),CHOOSE($Z879,"Collection Email","1st Email Follow-up","2nd Email Follow-up","Escalation to Local Office","Escalation to CBE","Escalation to Roxanne")&amp;" sent "&amp;TEXT($AA879,"dd-mmm")&amp;". "&amp;IF($Z879=6,"Final escalation completed.",IF($U879="OVERDUE","Next: "&amp;$AC879&amp;" was due "&amp;TEXT($AB879,"dd-mmm")&amp;" - "&amp;(NETWORKDAYS($AB879,TODAY(),Holidays)-1)&amp;" business day(s) late. Send now.",IF($U879="DUE TOMORROW","Next: "&amp;$AC879&amp;IF($AB879&lt;=TODAY()," is due TODAY ("," is due next business day (")&amp;TEXT($AB879,"dd-mmm")&amp;").","Next: "&amp;$AC879&amp;" due "&amp;TEXT($AB879,"dd-mmm")&amp;" ("&amp;(NETWORKDAYS(TODAY(),$AB879,Holidays)-1)&amp;" business day(s) left).")))))</f>
        <v/>
      </c>
      <c r="W879" s="17">
        <f>IF($Z879="","",CHOOSE($Z879,"Collection Email","1st Follow-up","2nd Follow-up","Local Office","CBE","Roxanne")&amp;IF($Z879=6," - Final"," - Day "&amp;MAX(0,NETWORKDAYS($AA879,TODAY(),Holidays)-1)&amp;" of "&amp;CHOOSE($Z879,3,3,2,2,3))&amp;" | Total Day "&amp;MAX(0,NETWORKDAYS($N879,TODAY(),Holidays)-1))</f>
        <v/>
      </c>
      <c r="X879" s="18"/>
      <c r="Y879" s="18"/>
      <c r="Z879" s="17">
        <f>IF($N879="","",COUNT($N879:$S879))</f>
        <v/>
      </c>
      <c r="AA879" s="19">
        <f>IF($Z879="","",INT(INDEX($N879:$S879,$Z879)))</f>
        <v/>
      </c>
      <c r="AB879" s="19">
        <f>IF(OR($Z879="",$Z879=6),"",WORKDAY($AA879,CHOOSE($Z879,3,3,2,2,3),Holidays))</f>
        <v/>
      </c>
      <c r="AC879" s="17">
        <f>IF(OR($Z879="",$Z879=6),"",CHOOSE($Z879,"1st Email Follow-up","2nd Email Follow-up","Escalate Local Office","Escalate to CBE","Escalate to Roxanne"))</f>
        <v/>
      </c>
    </row>
    <row r="880" spans="13:29">
      <c r="M880" s="14"/>
      <c r="T880" s="16"/>
      <c r="U880" s="17">
        <f>IF(AND(COUNTA($A880:$L880)=0,$N880=""),"",IF($T880="Paid","PAID",IF($T880="Closed","CLOSED",IF($Z880="","",IF($Z880=6,"ESCALATED TO ROXANNE",IF(TODAY()&gt;$AB880,"OVERDUE",IF($AB880&lt;=WORKDAY(TODAY(),1,Holidays),"DUE TOMORROW",IF($Z880=4,"ESCALATED TO LOCAL OFFICE",IF($Z880=5,"ESCALATED TO CBE",IF($AA880=TODAY(),"EMAIL SENT","MONITORING"))))))))))</f>
        <v/>
      </c>
      <c r="V880" s="17">
        <f>IF($U880="",IF(AND(COUNTA($A880:$L880)&gt;0,$N880=""),"Awaiting Collection Email time stamp.",""),IF(OR($U880="PAID",$U880="CLOSED"),IF($U880="PAID","Account paid. Action completed.","Account closed. No further action required."),CHOOSE($Z880,"Collection Email","1st Email Follow-up","2nd Email Follow-up","Escalation to Local Office","Escalation to CBE","Escalation to Roxanne")&amp;" sent "&amp;TEXT($AA880,"dd-mmm")&amp;". "&amp;IF($Z880=6,"Final escalation completed.",IF($U880="OVERDUE","Next: "&amp;$AC880&amp;" was due "&amp;TEXT($AB880,"dd-mmm")&amp;" - "&amp;(NETWORKDAYS($AB880,TODAY(),Holidays)-1)&amp;" business day(s) late. Send now.",IF($U880="DUE TOMORROW","Next: "&amp;$AC880&amp;IF($AB880&lt;=TODAY()," is due TODAY ("," is due next business day (")&amp;TEXT($AB880,"dd-mmm")&amp;").","Next: "&amp;$AC880&amp;" due "&amp;TEXT($AB880,"dd-mmm")&amp;" ("&amp;(NETWORKDAYS(TODAY(),$AB880,Holidays)-1)&amp;" business day(s) left).")))))</f>
        <v/>
      </c>
      <c r="W880" s="17">
        <f>IF($Z880="","",CHOOSE($Z880,"Collection Email","1st Follow-up","2nd Follow-up","Local Office","CBE","Roxanne")&amp;IF($Z880=6," - Final"," - Day "&amp;MAX(0,NETWORKDAYS($AA880,TODAY(),Holidays)-1)&amp;" of "&amp;CHOOSE($Z880,3,3,2,2,3))&amp;" | Total Day "&amp;MAX(0,NETWORKDAYS($N880,TODAY(),Holidays)-1))</f>
        <v/>
      </c>
      <c r="X880" s="18"/>
      <c r="Y880" s="18"/>
      <c r="Z880" s="17">
        <f>IF($N880="","",COUNT($N880:$S880))</f>
        <v/>
      </c>
      <c r="AA880" s="19">
        <f>IF($Z880="","",INT(INDEX($N880:$S880,$Z880)))</f>
        <v/>
      </c>
      <c r="AB880" s="19">
        <f>IF(OR($Z880="",$Z880=6),"",WORKDAY($AA880,CHOOSE($Z880,3,3,2,2,3),Holidays))</f>
        <v/>
      </c>
      <c r="AC880" s="17">
        <f>IF(OR($Z880="",$Z880=6),"",CHOOSE($Z880,"1st Email Follow-up","2nd Email Follow-up","Escalate Local Office","Escalate to CBE","Escalate to Roxanne"))</f>
        <v/>
      </c>
    </row>
    <row r="881" spans="13:29">
      <c r="M881" s="14"/>
      <c r="T881" s="16"/>
      <c r="U881" s="17">
        <f>IF(AND(COUNTA($A881:$L881)=0,$N881=""),"",IF($T881="Paid","PAID",IF($T881="Closed","CLOSED",IF($Z881="","",IF($Z881=6,"ESCALATED TO ROXANNE",IF(TODAY()&gt;$AB881,"OVERDUE",IF($AB881&lt;=WORKDAY(TODAY(),1,Holidays),"DUE TOMORROW",IF($Z881=4,"ESCALATED TO LOCAL OFFICE",IF($Z881=5,"ESCALATED TO CBE",IF($AA881=TODAY(),"EMAIL SENT","MONITORING"))))))))))</f>
        <v/>
      </c>
      <c r="V881" s="17">
        <f>IF($U881="",IF(AND(COUNTA($A881:$L881)&gt;0,$N881=""),"Awaiting Collection Email time stamp.",""),IF(OR($U881="PAID",$U881="CLOSED"),IF($U881="PAID","Account paid. Action completed.","Account closed. No further action required."),CHOOSE($Z881,"Collection Email","1st Email Follow-up","2nd Email Follow-up","Escalation to Local Office","Escalation to CBE","Escalation to Roxanne")&amp;" sent "&amp;TEXT($AA881,"dd-mmm")&amp;". "&amp;IF($Z881=6,"Final escalation completed.",IF($U881="OVERDUE","Next: "&amp;$AC881&amp;" was due "&amp;TEXT($AB881,"dd-mmm")&amp;" - "&amp;(NETWORKDAYS($AB881,TODAY(),Holidays)-1)&amp;" business day(s) late. Send now.",IF($U881="DUE TOMORROW","Next: "&amp;$AC881&amp;IF($AB881&lt;=TODAY()," is due TODAY ("," is due next business day (")&amp;TEXT($AB881,"dd-mmm")&amp;").","Next: "&amp;$AC881&amp;" due "&amp;TEXT($AB881,"dd-mmm")&amp;" ("&amp;(NETWORKDAYS(TODAY(),$AB881,Holidays)-1)&amp;" business day(s) left).")))))</f>
        <v/>
      </c>
      <c r="W881" s="17">
        <f>IF($Z881="","",CHOOSE($Z881,"Collection Email","1st Follow-up","2nd Follow-up","Local Office","CBE","Roxanne")&amp;IF($Z881=6," - Final"," - Day "&amp;MAX(0,NETWORKDAYS($AA881,TODAY(),Holidays)-1)&amp;" of "&amp;CHOOSE($Z881,3,3,2,2,3))&amp;" | Total Day "&amp;MAX(0,NETWORKDAYS($N881,TODAY(),Holidays)-1))</f>
        <v/>
      </c>
      <c r="X881" s="18"/>
      <c r="Y881" s="18"/>
      <c r="Z881" s="17">
        <f>IF($N881="","",COUNT($N881:$S881))</f>
        <v/>
      </c>
      <c r="AA881" s="19">
        <f>IF($Z881="","",INT(INDEX($N881:$S881,$Z881)))</f>
        <v/>
      </c>
      <c r="AB881" s="19">
        <f>IF(OR($Z881="",$Z881=6),"",WORKDAY($AA881,CHOOSE($Z881,3,3,2,2,3),Holidays))</f>
        <v/>
      </c>
      <c r="AC881" s="17">
        <f>IF(OR($Z881="",$Z881=6),"",CHOOSE($Z881,"1st Email Follow-up","2nd Email Follow-up","Escalate Local Office","Escalate to CBE","Escalate to Roxanne"))</f>
        <v/>
      </c>
    </row>
    <row r="882" spans="13:29">
      <c r="M882" s="14"/>
      <c r="T882" s="16"/>
      <c r="U882" s="17">
        <f>IF(AND(COUNTA($A882:$L882)=0,$N882=""),"",IF($T882="Paid","PAID",IF($T882="Closed","CLOSED",IF($Z882="","",IF($Z882=6,"ESCALATED TO ROXANNE",IF(TODAY()&gt;$AB882,"OVERDUE",IF($AB882&lt;=WORKDAY(TODAY(),1,Holidays),"DUE TOMORROW",IF($Z882=4,"ESCALATED TO LOCAL OFFICE",IF($Z882=5,"ESCALATED TO CBE",IF($AA882=TODAY(),"EMAIL SENT","MONITORING"))))))))))</f>
        <v/>
      </c>
      <c r="V882" s="17">
        <f>IF($U882="",IF(AND(COUNTA($A882:$L882)&gt;0,$N882=""),"Awaiting Collection Email time stamp.",""),IF(OR($U882="PAID",$U882="CLOSED"),IF($U882="PAID","Account paid. Action completed.","Account closed. No further action required."),CHOOSE($Z882,"Collection Email","1st Email Follow-up","2nd Email Follow-up","Escalation to Local Office","Escalation to CBE","Escalation to Roxanne")&amp;" sent "&amp;TEXT($AA882,"dd-mmm")&amp;". "&amp;IF($Z882=6,"Final escalation completed.",IF($U882="OVERDUE","Next: "&amp;$AC882&amp;" was due "&amp;TEXT($AB882,"dd-mmm")&amp;" - "&amp;(NETWORKDAYS($AB882,TODAY(),Holidays)-1)&amp;" business day(s) late. Send now.",IF($U882="DUE TOMORROW","Next: "&amp;$AC882&amp;IF($AB882&lt;=TODAY()," is due TODAY ("," is due next business day (")&amp;TEXT($AB882,"dd-mmm")&amp;").","Next: "&amp;$AC882&amp;" due "&amp;TEXT($AB882,"dd-mmm")&amp;" ("&amp;(NETWORKDAYS(TODAY(),$AB882,Holidays)-1)&amp;" business day(s) left).")))))</f>
        <v/>
      </c>
      <c r="W882" s="17">
        <f>IF($Z882="","",CHOOSE($Z882,"Collection Email","1st Follow-up","2nd Follow-up","Local Office","CBE","Roxanne")&amp;IF($Z882=6," - Final"," - Day "&amp;MAX(0,NETWORKDAYS($AA882,TODAY(),Holidays)-1)&amp;" of "&amp;CHOOSE($Z882,3,3,2,2,3))&amp;" | Total Day "&amp;MAX(0,NETWORKDAYS($N882,TODAY(),Holidays)-1))</f>
        <v/>
      </c>
      <c r="X882" s="18"/>
      <c r="Y882" s="18"/>
      <c r="Z882" s="17">
        <f>IF($N882="","",COUNT($N882:$S882))</f>
        <v/>
      </c>
      <c r="AA882" s="19">
        <f>IF($Z882="","",INT(INDEX($N882:$S882,$Z882)))</f>
        <v/>
      </c>
      <c r="AB882" s="19">
        <f>IF(OR($Z882="",$Z882=6),"",WORKDAY($AA882,CHOOSE($Z882,3,3,2,2,3),Holidays))</f>
        <v/>
      </c>
      <c r="AC882" s="17">
        <f>IF(OR($Z882="",$Z882=6),"",CHOOSE($Z882,"1st Email Follow-up","2nd Email Follow-up","Escalate Local Office","Escalate to CBE","Escalate to Roxanne"))</f>
        <v/>
      </c>
    </row>
    <row r="883" spans="13:29">
      <c r="M883" s="14"/>
      <c r="T883" s="16"/>
      <c r="U883" s="17">
        <f>IF(AND(COUNTA($A883:$L883)=0,$N883=""),"",IF($T883="Paid","PAID",IF($T883="Closed","CLOSED",IF($Z883="","",IF($Z883=6,"ESCALATED TO ROXANNE",IF(TODAY()&gt;$AB883,"OVERDUE",IF($AB883&lt;=WORKDAY(TODAY(),1,Holidays),"DUE TOMORROW",IF($Z883=4,"ESCALATED TO LOCAL OFFICE",IF($Z883=5,"ESCALATED TO CBE",IF($AA883=TODAY(),"EMAIL SENT","MONITORING"))))))))))</f>
        <v/>
      </c>
      <c r="V883" s="17">
        <f>IF($U883="",IF(AND(COUNTA($A883:$L883)&gt;0,$N883=""),"Awaiting Collection Email time stamp.",""),IF(OR($U883="PAID",$U883="CLOSED"),IF($U883="PAID","Account paid. Action completed.","Account closed. No further action required."),CHOOSE($Z883,"Collection Email","1st Email Follow-up","2nd Email Follow-up","Escalation to Local Office","Escalation to CBE","Escalation to Roxanne")&amp;" sent "&amp;TEXT($AA883,"dd-mmm")&amp;". "&amp;IF($Z883=6,"Final escalation completed.",IF($U883="OVERDUE","Next: "&amp;$AC883&amp;" was due "&amp;TEXT($AB883,"dd-mmm")&amp;" - "&amp;(NETWORKDAYS($AB883,TODAY(),Holidays)-1)&amp;" business day(s) late. Send now.",IF($U883="DUE TOMORROW","Next: "&amp;$AC883&amp;IF($AB883&lt;=TODAY()," is due TODAY ("," is due next business day (")&amp;TEXT($AB883,"dd-mmm")&amp;").","Next: "&amp;$AC883&amp;" due "&amp;TEXT($AB883,"dd-mmm")&amp;" ("&amp;(NETWORKDAYS(TODAY(),$AB883,Holidays)-1)&amp;" business day(s) left).")))))</f>
        <v/>
      </c>
      <c r="W883" s="17">
        <f>IF($Z883="","",CHOOSE($Z883,"Collection Email","1st Follow-up","2nd Follow-up","Local Office","CBE","Roxanne")&amp;IF($Z883=6," - Final"," - Day "&amp;MAX(0,NETWORKDAYS($AA883,TODAY(),Holidays)-1)&amp;" of "&amp;CHOOSE($Z883,3,3,2,2,3))&amp;" | Total Day "&amp;MAX(0,NETWORKDAYS($N883,TODAY(),Holidays)-1))</f>
        <v/>
      </c>
      <c r="X883" s="18"/>
      <c r="Y883" s="18"/>
      <c r="Z883" s="17">
        <f>IF($N883="","",COUNT($N883:$S883))</f>
        <v/>
      </c>
      <c r="AA883" s="19">
        <f>IF($Z883="","",INT(INDEX($N883:$S883,$Z883)))</f>
        <v/>
      </c>
      <c r="AB883" s="19">
        <f>IF(OR($Z883="",$Z883=6),"",WORKDAY($AA883,CHOOSE($Z883,3,3,2,2,3),Holidays))</f>
        <v/>
      </c>
      <c r="AC883" s="17">
        <f>IF(OR($Z883="",$Z883=6),"",CHOOSE($Z883,"1st Email Follow-up","2nd Email Follow-up","Escalate Local Office","Escalate to CBE","Escalate to Roxanne"))</f>
        <v/>
      </c>
    </row>
    <row r="884" spans="13:29">
      <c r="M884" s="14"/>
      <c r="T884" s="16"/>
      <c r="U884" s="17">
        <f>IF(AND(COUNTA($A884:$L884)=0,$N884=""),"",IF($T884="Paid","PAID",IF($T884="Closed","CLOSED",IF($Z884="","",IF($Z884=6,"ESCALATED TO ROXANNE",IF(TODAY()&gt;$AB884,"OVERDUE",IF($AB884&lt;=WORKDAY(TODAY(),1,Holidays),"DUE TOMORROW",IF($Z884=4,"ESCALATED TO LOCAL OFFICE",IF($Z884=5,"ESCALATED TO CBE",IF($AA884=TODAY(),"EMAIL SENT","MONITORING"))))))))))</f>
        <v/>
      </c>
      <c r="V884" s="17">
        <f>IF($U884="",IF(AND(COUNTA($A884:$L884)&gt;0,$N884=""),"Awaiting Collection Email time stamp.",""),IF(OR($U884="PAID",$U884="CLOSED"),IF($U884="PAID","Account paid. Action completed.","Account closed. No further action required."),CHOOSE($Z884,"Collection Email","1st Email Follow-up","2nd Email Follow-up","Escalation to Local Office","Escalation to CBE","Escalation to Roxanne")&amp;" sent "&amp;TEXT($AA884,"dd-mmm")&amp;". "&amp;IF($Z884=6,"Final escalation completed.",IF($U884="OVERDUE","Next: "&amp;$AC884&amp;" was due "&amp;TEXT($AB884,"dd-mmm")&amp;" - "&amp;(NETWORKDAYS($AB884,TODAY(),Holidays)-1)&amp;" business day(s) late. Send now.",IF($U884="DUE TOMORROW","Next: "&amp;$AC884&amp;IF($AB884&lt;=TODAY()," is due TODAY ("," is due next business day (")&amp;TEXT($AB884,"dd-mmm")&amp;").","Next: "&amp;$AC884&amp;" due "&amp;TEXT($AB884,"dd-mmm")&amp;" ("&amp;(NETWORKDAYS(TODAY(),$AB884,Holidays)-1)&amp;" business day(s) left).")))))</f>
        <v/>
      </c>
      <c r="W884" s="17">
        <f>IF($Z884="","",CHOOSE($Z884,"Collection Email","1st Follow-up","2nd Follow-up","Local Office","CBE","Roxanne")&amp;IF($Z884=6," - Final"," - Day "&amp;MAX(0,NETWORKDAYS($AA884,TODAY(),Holidays)-1)&amp;" of "&amp;CHOOSE($Z884,3,3,2,2,3))&amp;" | Total Day "&amp;MAX(0,NETWORKDAYS($N884,TODAY(),Holidays)-1))</f>
        <v/>
      </c>
      <c r="X884" s="18"/>
      <c r="Y884" s="18"/>
      <c r="Z884" s="17">
        <f>IF($N884="","",COUNT($N884:$S884))</f>
        <v/>
      </c>
      <c r="AA884" s="19">
        <f>IF($Z884="","",INT(INDEX($N884:$S884,$Z884)))</f>
        <v/>
      </c>
      <c r="AB884" s="19">
        <f>IF(OR($Z884="",$Z884=6),"",WORKDAY($AA884,CHOOSE($Z884,3,3,2,2,3),Holidays))</f>
        <v/>
      </c>
      <c r="AC884" s="17">
        <f>IF(OR($Z884="",$Z884=6),"",CHOOSE($Z884,"1st Email Follow-up","2nd Email Follow-up","Escalate Local Office","Escalate to CBE","Escalate to Roxanne"))</f>
        <v/>
      </c>
    </row>
    <row r="885" spans="13:29">
      <c r="M885" s="14"/>
      <c r="T885" s="16"/>
      <c r="U885" s="17">
        <f>IF(AND(COUNTA($A885:$L885)=0,$N885=""),"",IF($T885="Paid","PAID",IF($T885="Closed","CLOSED",IF($Z885="","",IF($Z885=6,"ESCALATED TO ROXANNE",IF(TODAY()&gt;$AB885,"OVERDUE",IF($AB885&lt;=WORKDAY(TODAY(),1,Holidays),"DUE TOMORROW",IF($Z885=4,"ESCALATED TO LOCAL OFFICE",IF($Z885=5,"ESCALATED TO CBE",IF($AA885=TODAY(),"EMAIL SENT","MONITORING"))))))))))</f>
        <v/>
      </c>
      <c r="V885" s="17">
        <f>IF($U885="",IF(AND(COUNTA($A885:$L885)&gt;0,$N885=""),"Awaiting Collection Email time stamp.",""),IF(OR($U885="PAID",$U885="CLOSED"),IF($U885="PAID","Account paid. Action completed.","Account closed. No further action required."),CHOOSE($Z885,"Collection Email","1st Email Follow-up","2nd Email Follow-up","Escalation to Local Office","Escalation to CBE","Escalation to Roxanne")&amp;" sent "&amp;TEXT($AA885,"dd-mmm")&amp;". "&amp;IF($Z885=6,"Final escalation completed.",IF($U885="OVERDUE","Next: "&amp;$AC885&amp;" was due "&amp;TEXT($AB885,"dd-mmm")&amp;" - "&amp;(NETWORKDAYS($AB885,TODAY(),Holidays)-1)&amp;" business day(s) late. Send now.",IF($U885="DUE TOMORROW","Next: "&amp;$AC885&amp;IF($AB885&lt;=TODAY()," is due TODAY ("," is due next business day (")&amp;TEXT($AB885,"dd-mmm")&amp;").","Next: "&amp;$AC885&amp;" due "&amp;TEXT($AB885,"dd-mmm")&amp;" ("&amp;(NETWORKDAYS(TODAY(),$AB885,Holidays)-1)&amp;" business day(s) left).")))))</f>
        <v/>
      </c>
      <c r="W885" s="17">
        <f>IF($Z885="","",CHOOSE($Z885,"Collection Email","1st Follow-up","2nd Follow-up","Local Office","CBE","Roxanne")&amp;IF($Z885=6," - Final"," - Day "&amp;MAX(0,NETWORKDAYS($AA885,TODAY(),Holidays)-1)&amp;" of "&amp;CHOOSE($Z885,3,3,2,2,3))&amp;" | Total Day "&amp;MAX(0,NETWORKDAYS($N885,TODAY(),Holidays)-1))</f>
        <v/>
      </c>
      <c r="X885" s="18"/>
      <c r="Y885" s="18"/>
      <c r="Z885" s="17">
        <f>IF($N885="","",COUNT($N885:$S885))</f>
        <v/>
      </c>
      <c r="AA885" s="19">
        <f>IF($Z885="","",INT(INDEX($N885:$S885,$Z885)))</f>
        <v/>
      </c>
      <c r="AB885" s="19">
        <f>IF(OR($Z885="",$Z885=6),"",WORKDAY($AA885,CHOOSE($Z885,3,3,2,2,3),Holidays))</f>
        <v/>
      </c>
      <c r="AC885" s="17">
        <f>IF(OR($Z885="",$Z885=6),"",CHOOSE($Z885,"1st Email Follow-up","2nd Email Follow-up","Escalate Local Office","Escalate to CBE","Escalate to Roxanne"))</f>
        <v/>
      </c>
    </row>
    <row r="886" spans="13:29">
      <c r="M886" s="14"/>
      <c r="T886" s="16"/>
      <c r="U886" s="17">
        <f>IF(AND(COUNTA($A886:$L886)=0,$N886=""),"",IF($T886="Paid","PAID",IF($T886="Closed","CLOSED",IF($Z886="","",IF($Z886=6,"ESCALATED TO ROXANNE",IF(TODAY()&gt;$AB886,"OVERDUE",IF($AB886&lt;=WORKDAY(TODAY(),1,Holidays),"DUE TOMORROW",IF($Z886=4,"ESCALATED TO LOCAL OFFICE",IF($Z886=5,"ESCALATED TO CBE",IF($AA886=TODAY(),"EMAIL SENT","MONITORING"))))))))))</f>
        <v/>
      </c>
      <c r="V886" s="17">
        <f>IF($U886="",IF(AND(COUNTA($A886:$L886)&gt;0,$N886=""),"Awaiting Collection Email time stamp.",""),IF(OR($U886="PAID",$U886="CLOSED"),IF($U886="PAID","Account paid. Action completed.","Account closed. No further action required."),CHOOSE($Z886,"Collection Email","1st Email Follow-up","2nd Email Follow-up","Escalation to Local Office","Escalation to CBE","Escalation to Roxanne")&amp;" sent "&amp;TEXT($AA886,"dd-mmm")&amp;". "&amp;IF($Z886=6,"Final escalation completed.",IF($U886="OVERDUE","Next: "&amp;$AC886&amp;" was due "&amp;TEXT($AB886,"dd-mmm")&amp;" - "&amp;(NETWORKDAYS($AB886,TODAY(),Holidays)-1)&amp;" business day(s) late. Send now.",IF($U886="DUE TOMORROW","Next: "&amp;$AC886&amp;IF($AB886&lt;=TODAY()," is due TODAY ("," is due next business day (")&amp;TEXT($AB886,"dd-mmm")&amp;").","Next: "&amp;$AC886&amp;" due "&amp;TEXT($AB886,"dd-mmm")&amp;" ("&amp;(NETWORKDAYS(TODAY(),$AB886,Holidays)-1)&amp;" business day(s) left).")))))</f>
        <v/>
      </c>
      <c r="W886" s="17">
        <f>IF($Z886="","",CHOOSE($Z886,"Collection Email","1st Follow-up","2nd Follow-up","Local Office","CBE","Roxanne")&amp;IF($Z886=6," - Final"," - Day "&amp;MAX(0,NETWORKDAYS($AA886,TODAY(),Holidays)-1)&amp;" of "&amp;CHOOSE($Z886,3,3,2,2,3))&amp;" | Total Day "&amp;MAX(0,NETWORKDAYS($N886,TODAY(),Holidays)-1))</f>
        <v/>
      </c>
      <c r="X886" s="18"/>
      <c r="Y886" s="18"/>
      <c r="Z886" s="17">
        <f>IF($N886="","",COUNT($N886:$S886))</f>
        <v/>
      </c>
      <c r="AA886" s="19">
        <f>IF($Z886="","",INT(INDEX($N886:$S886,$Z886)))</f>
        <v/>
      </c>
      <c r="AB886" s="19">
        <f>IF(OR($Z886="",$Z886=6),"",WORKDAY($AA886,CHOOSE($Z886,3,3,2,2,3),Holidays))</f>
        <v/>
      </c>
      <c r="AC886" s="17">
        <f>IF(OR($Z886="",$Z886=6),"",CHOOSE($Z886,"1st Email Follow-up","2nd Email Follow-up","Escalate Local Office","Escalate to CBE","Escalate to Roxanne"))</f>
        <v/>
      </c>
    </row>
    <row r="887" spans="13:29">
      <c r="M887" s="14"/>
      <c r="T887" s="16"/>
      <c r="U887" s="17">
        <f>IF(AND(COUNTA($A887:$L887)=0,$N887=""),"",IF($T887="Paid","PAID",IF($T887="Closed","CLOSED",IF($Z887="","",IF($Z887=6,"ESCALATED TO ROXANNE",IF(TODAY()&gt;$AB887,"OVERDUE",IF($AB887&lt;=WORKDAY(TODAY(),1,Holidays),"DUE TOMORROW",IF($Z887=4,"ESCALATED TO LOCAL OFFICE",IF($Z887=5,"ESCALATED TO CBE",IF($AA887=TODAY(),"EMAIL SENT","MONITORING"))))))))))</f>
        <v/>
      </c>
      <c r="V887" s="17">
        <f>IF($U887="",IF(AND(COUNTA($A887:$L887)&gt;0,$N887=""),"Awaiting Collection Email time stamp.",""),IF(OR($U887="PAID",$U887="CLOSED"),IF($U887="PAID","Account paid. Action completed.","Account closed. No further action required."),CHOOSE($Z887,"Collection Email","1st Email Follow-up","2nd Email Follow-up","Escalation to Local Office","Escalation to CBE","Escalation to Roxanne")&amp;" sent "&amp;TEXT($AA887,"dd-mmm")&amp;". "&amp;IF($Z887=6,"Final escalation completed.",IF($U887="OVERDUE","Next: "&amp;$AC887&amp;" was due "&amp;TEXT($AB887,"dd-mmm")&amp;" - "&amp;(NETWORKDAYS($AB887,TODAY(),Holidays)-1)&amp;" business day(s) late. Send now.",IF($U887="DUE TOMORROW","Next: "&amp;$AC887&amp;IF($AB887&lt;=TODAY()," is due TODAY ("," is due next business day (")&amp;TEXT($AB887,"dd-mmm")&amp;").","Next: "&amp;$AC887&amp;" due "&amp;TEXT($AB887,"dd-mmm")&amp;" ("&amp;(NETWORKDAYS(TODAY(),$AB887,Holidays)-1)&amp;" business day(s) left).")))))</f>
        <v/>
      </c>
      <c r="W887" s="17">
        <f>IF($Z887="","",CHOOSE($Z887,"Collection Email","1st Follow-up","2nd Follow-up","Local Office","CBE","Roxanne")&amp;IF($Z887=6," - Final"," - Day "&amp;MAX(0,NETWORKDAYS($AA887,TODAY(),Holidays)-1)&amp;" of "&amp;CHOOSE($Z887,3,3,2,2,3))&amp;" | Total Day "&amp;MAX(0,NETWORKDAYS($N887,TODAY(),Holidays)-1))</f>
        <v/>
      </c>
      <c r="X887" s="18"/>
      <c r="Y887" s="18"/>
      <c r="Z887" s="17">
        <f>IF($N887="","",COUNT($N887:$S887))</f>
        <v/>
      </c>
      <c r="AA887" s="19">
        <f>IF($Z887="","",INT(INDEX($N887:$S887,$Z887)))</f>
        <v/>
      </c>
      <c r="AB887" s="19">
        <f>IF(OR($Z887="",$Z887=6),"",WORKDAY($AA887,CHOOSE($Z887,3,3,2,2,3),Holidays))</f>
        <v/>
      </c>
      <c r="AC887" s="17">
        <f>IF(OR($Z887="",$Z887=6),"",CHOOSE($Z887,"1st Email Follow-up","2nd Email Follow-up","Escalate Local Office","Escalate to CBE","Escalate to Roxanne"))</f>
        <v/>
      </c>
    </row>
    <row r="888" spans="13:29">
      <c r="M888" s="14"/>
      <c r="T888" s="16"/>
      <c r="U888" s="17">
        <f>IF(AND(COUNTA($A888:$L888)=0,$N888=""),"",IF($T888="Paid","PAID",IF($T888="Closed","CLOSED",IF($Z888="","",IF($Z888=6,"ESCALATED TO ROXANNE",IF(TODAY()&gt;$AB888,"OVERDUE",IF($AB888&lt;=WORKDAY(TODAY(),1,Holidays),"DUE TOMORROW",IF($Z888=4,"ESCALATED TO LOCAL OFFICE",IF($Z888=5,"ESCALATED TO CBE",IF($AA888=TODAY(),"EMAIL SENT","MONITORING"))))))))))</f>
        <v/>
      </c>
      <c r="V888" s="17">
        <f>IF($U888="",IF(AND(COUNTA($A888:$L888)&gt;0,$N888=""),"Awaiting Collection Email time stamp.",""),IF(OR($U888="PAID",$U888="CLOSED"),IF($U888="PAID","Account paid. Action completed.","Account closed. No further action required."),CHOOSE($Z888,"Collection Email","1st Email Follow-up","2nd Email Follow-up","Escalation to Local Office","Escalation to CBE","Escalation to Roxanne")&amp;" sent "&amp;TEXT($AA888,"dd-mmm")&amp;". "&amp;IF($Z888=6,"Final escalation completed.",IF($U888="OVERDUE","Next: "&amp;$AC888&amp;" was due "&amp;TEXT($AB888,"dd-mmm")&amp;" - "&amp;(NETWORKDAYS($AB888,TODAY(),Holidays)-1)&amp;" business day(s) late. Send now.",IF($U888="DUE TOMORROW","Next: "&amp;$AC888&amp;IF($AB888&lt;=TODAY()," is due TODAY ("," is due next business day (")&amp;TEXT($AB888,"dd-mmm")&amp;").","Next: "&amp;$AC888&amp;" due "&amp;TEXT($AB888,"dd-mmm")&amp;" ("&amp;(NETWORKDAYS(TODAY(),$AB888,Holidays)-1)&amp;" business day(s) left).")))))</f>
        <v/>
      </c>
      <c r="W888" s="17">
        <f>IF($Z888="","",CHOOSE($Z888,"Collection Email","1st Follow-up","2nd Follow-up","Local Office","CBE","Roxanne")&amp;IF($Z888=6," - Final"," - Day "&amp;MAX(0,NETWORKDAYS($AA888,TODAY(),Holidays)-1)&amp;" of "&amp;CHOOSE($Z888,3,3,2,2,3))&amp;" | Total Day "&amp;MAX(0,NETWORKDAYS($N888,TODAY(),Holidays)-1))</f>
        <v/>
      </c>
      <c r="X888" s="18"/>
      <c r="Y888" s="18"/>
      <c r="Z888" s="17">
        <f>IF($N888="","",COUNT($N888:$S888))</f>
        <v/>
      </c>
      <c r="AA888" s="19">
        <f>IF($Z888="","",INT(INDEX($N888:$S888,$Z888)))</f>
        <v/>
      </c>
      <c r="AB888" s="19">
        <f>IF(OR($Z888="",$Z888=6),"",WORKDAY($AA888,CHOOSE($Z888,3,3,2,2,3),Holidays))</f>
        <v/>
      </c>
      <c r="AC888" s="17">
        <f>IF(OR($Z888="",$Z888=6),"",CHOOSE($Z888,"1st Email Follow-up","2nd Email Follow-up","Escalate Local Office","Escalate to CBE","Escalate to Roxanne"))</f>
        <v/>
      </c>
    </row>
    <row r="889" spans="13:29">
      <c r="M889" s="14"/>
      <c r="T889" s="16"/>
      <c r="U889" s="17">
        <f>IF(AND(COUNTA($A889:$L889)=0,$N889=""),"",IF($T889="Paid","PAID",IF($T889="Closed","CLOSED",IF($Z889="","",IF($Z889=6,"ESCALATED TO ROXANNE",IF(TODAY()&gt;$AB889,"OVERDUE",IF($AB889&lt;=WORKDAY(TODAY(),1,Holidays),"DUE TOMORROW",IF($Z889=4,"ESCALATED TO LOCAL OFFICE",IF($Z889=5,"ESCALATED TO CBE",IF($AA889=TODAY(),"EMAIL SENT","MONITORING"))))))))))</f>
        <v/>
      </c>
      <c r="V889" s="17">
        <f>IF($U889="",IF(AND(COUNTA($A889:$L889)&gt;0,$N889=""),"Awaiting Collection Email time stamp.",""),IF(OR($U889="PAID",$U889="CLOSED"),IF($U889="PAID","Account paid. Action completed.","Account closed. No further action required."),CHOOSE($Z889,"Collection Email","1st Email Follow-up","2nd Email Follow-up","Escalation to Local Office","Escalation to CBE","Escalation to Roxanne")&amp;" sent "&amp;TEXT($AA889,"dd-mmm")&amp;". "&amp;IF($Z889=6,"Final escalation completed.",IF($U889="OVERDUE","Next: "&amp;$AC889&amp;" was due "&amp;TEXT($AB889,"dd-mmm")&amp;" - "&amp;(NETWORKDAYS($AB889,TODAY(),Holidays)-1)&amp;" business day(s) late. Send now.",IF($U889="DUE TOMORROW","Next: "&amp;$AC889&amp;IF($AB889&lt;=TODAY()," is due TODAY ("," is due next business day (")&amp;TEXT($AB889,"dd-mmm")&amp;").","Next: "&amp;$AC889&amp;" due "&amp;TEXT($AB889,"dd-mmm")&amp;" ("&amp;(NETWORKDAYS(TODAY(),$AB889,Holidays)-1)&amp;" business day(s) left).")))))</f>
        <v/>
      </c>
      <c r="W889" s="17">
        <f>IF($Z889="","",CHOOSE($Z889,"Collection Email","1st Follow-up","2nd Follow-up","Local Office","CBE","Roxanne")&amp;IF($Z889=6," - Final"," - Day "&amp;MAX(0,NETWORKDAYS($AA889,TODAY(),Holidays)-1)&amp;" of "&amp;CHOOSE($Z889,3,3,2,2,3))&amp;" | Total Day "&amp;MAX(0,NETWORKDAYS($N889,TODAY(),Holidays)-1))</f>
        <v/>
      </c>
      <c r="X889" s="18"/>
      <c r="Y889" s="18"/>
      <c r="Z889" s="17">
        <f>IF($N889="","",COUNT($N889:$S889))</f>
        <v/>
      </c>
      <c r="AA889" s="19">
        <f>IF($Z889="","",INT(INDEX($N889:$S889,$Z889)))</f>
        <v/>
      </c>
      <c r="AB889" s="19">
        <f>IF(OR($Z889="",$Z889=6),"",WORKDAY($AA889,CHOOSE($Z889,3,3,2,2,3),Holidays))</f>
        <v/>
      </c>
      <c r="AC889" s="17">
        <f>IF(OR($Z889="",$Z889=6),"",CHOOSE($Z889,"1st Email Follow-up","2nd Email Follow-up","Escalate Local Office","Escalate to CBE","Escalate to Roxanne"))</f>
        <v/>
      </c>
    </row>
    <row r="890" spans="13:29">
      <c r="M890" s="14"/>
      <c r="T890" s="16"/>
      <c r="U890" s="17">
        <f>IF(AND(COUNTA($A890:$L890)=0,$N890=""),"",IF($T890="Paid","PAID",IF($T890="Closed","CLOSED",IF($Z890="","",IF($Z890=6,"ESCALATED TO ROXANNE",IF(TODAY()&gt;$AB890,"OVERDUE",IF($AB890&lt;=WORKDAY(TODAY(),1,Holidays),"DUE TOMORROW",IF($Z890=4,"ESCALATED TO LOCAL OFFICE",IF($Z890=5,"ESCALATED TO CBE",IF($AA890=TODAY(),"EMAIL SENT","MONITORING"))))))))))</f>
        <v/>
      </c>
      <c r="V890" s="17">
        <f>IF($U890="",IF(AND(COUNTA($A890:$L890)&gt;0,$N890=""),"Awaiting Collection Email time stamp.",""),IF(OR($U890="PAID",$U890="CLOSED"),IF($U890="PAID","Account paid. Action completed.","Account closed. No further action required."),CHOOSE($Z890,"Collection Email","1st Email Follow-up","2nd Email Follow-up","Escalation to Local Office","Escalation to CBE","Escalation to Roxanne")&amp;" sent "&amp;TEXT($AA890,"dd-mmm")&amp;". "&amp;IF($Z890=6,"Final escalation completed.",IF($U890="OVERDUE","Next: "&amp;$AC890&amp;" was due "&amp;TEXT($AB890,"dd-mmm")&amp;" - "&amp;(NETWORKDAYS($AB890,TODAY(),Holidays)-1)&amp;" business day(s) late. Send now.",IF($U890="DUE TOMORROW","Next: "&amp;$AC890&amp;IF($AB890&lt;=TODAY()," is due TODAY ("," is due next business day (")&amp;TEXT($AB890,"dd-mmm")&amp;").","Next: "&amp;$AC890&amp;" due "&amp;TEXT($AB890,"dd-mmm")&amp;" ("&amp;(NETWORKDAYS(TODAY(),$AB890,Holidays)-1)&amp;" business day(s) left).")))))</f>
        <v/>
      </c>
      <c r="W890" s="17">
        <f>IF($Z890="","",CHOOSE($Z890,"Collection Email","1st Follow-up","2nd Follow-up","Local Office","CBE","Roxanne")&amp;IF($Z890=6," - Final"," - Day "&amp;MAX(0,NETWORKDAYS($AA890,TODAY(),Holidays)-1)&amp;" of "&amp;CHOOSE($Z890,3,3,2,2,3))&amp;" | Total Day "&amp;MAX(0,NETWORKDAYS($N890,TODAY(),Holidays)-1))</f>
        <v/>
      </c>
      <c r="X890" s="18"/>
      <c r="Y890" s="18"/>
      <c r="Z890" s="17">
        <f>IF($N890="","",COUNT($N890:$S890))</f>
        <v/>
      </c>
      <c r="AA890" s="19">
        <f>IF($Z890="","",INT(INDEX($N890:$S890,$Z890)))</f>
        <v/>
      </c>
      <c r="AB890" s="19">
        <f>IF(OR($Z890="",$Z890=6),"",WORKDAY($AA890,CHOOSE($Z890,3,3,2,2,3),Holidays))</f>
        <v/>
      </c>
      <c r="AC890" s="17">
        <f>IF(OR($Z890="",$Z890=6),"",CHOOSE($Z890,"1st Email Follow-up","2nd Email Follow-up","Escalate Local Office","Escalate to CBE","Escalate to Roxanne"))</f>
        <v/>
      </c>
    </row>
    <row r="891" spans="13:29">
      <c r="M891" s="14"/>
      <c r="T891" s="16"/>
      <c r="U891" s="17">
        <f>IF(AND(COUNTA($A891:$L891)=0,$N891=""),"",IF($T891="Paid","PAID",IF($T891="Closed","CLOSED",IF($Z891="","",IF($Z891=6,"ESCALATED TO ROXANNE",IF(TODAY()&gt;$AB891,"OVERDUE",IF($AB891&lt;=WORKDAY(TODAY(),1,Holidays),"DUE TOMORROW",IF($Z891=4,"ESCALATED TO LOCAL OFFICE",IF($Z891=5,"ESCALATED TO CBE",IF($AA891=TODAY(),"EMAIL SENT","MONITORING"))))))))))</f>
        <v/>
      </c>
      <c r="V891" s="17">
        <f>IF($U891="",IF(AND(COUNTA($A891:$L891)&gt;0,$N891=""),"Awaiting Collection Email time stamp.",""),IF(OR($U891="PAID",$U891="CLOSED"),IF($U891="PAID","Account paid. Action completed.","Account closed. No further action required."),CHOOSE($Z891,"Collection Email","1st Email Follow-up","2nd Email Follow-up","Escalation to Local Office","Escalation to CBE","Escalation to Roxanne")&amp;" sent "&amp;TEXT($AA891,"dd-mmm")&amp;". "&amp;IF($Z891=6,"Final escalation completed.",IF($U891="OVERDUE","Next: "&amp;$AC891&amp;" was due "&amp;TEXT($AB891,"dd-mmm")&amp;" - "&amp;(NETWORKDAYS($AB891,TODAY(),Holidays)-1)&amp;" business day(s) late. Send now.",IF($U891="DUE TOMORROW","Next: "&amp;$AC891&amp;IF($AB891&lt;=TODAY()," is due TODAY ("," is due next business day (")&amp;TEXT($AB891,"dd-mmm")&amp;").","Next: "&amp;$AC891&amp;" due "&amp;TEXT($AB891,"dd-mmm")&amp;" ("&amp;(NETWORKDAYS(TODAY(),$AB891,Holidays)-1)&amp;" business day(s) left).")))))</f>
        <v/>
      </c>
      <c r="W891" s="17">
        <f>IF($Z891="","",CHOOSE($Z891,"Collection Email","1st Follow-up","2nd Follow-up","Local Office","CBE","Roxanne")&amp;IF($Z891=6," - Final"," - Day "&amp;MAX(0,NETWORKDAYS($AA891,TODAY(),Holidays)-1)&amp;" of "&amp;CHOOSE($Z891,3,3,2,2,3))&amp;" | Total Day "&amp;MAX(0,NETWORKDAYS($N891,TODAY(),Holidays)-1))</f>
        <v/>
      </c>
      <c r="X891" s="18"/>
      <c r="Y891" s="18"/>
      <c r="Z891" s="17">
        <f>IF($N891="","",COUNT($N891:$S891))</f>
        <v/>
      </c>
      <c r="AA891" s="19">
        <f>IF($Z891="","",INT(INDEX($N891:$S891,$Z891)))</f>
        <v/>
      </c>
      <c r="AB891" s="19">
        <f>IF(OR($Z891="",$Z891=6),"",WORKDAY($AA891,CHOOSE($Z891,3,3,2,2,3),Holidays))</f>
        <v/>
      </c>
      <c r="AC891" s="17">
        <f>IF(OR($Z891="",$Z891=6),"",CHOOSE($Z891,"1st Email Follow-up","2nd Email Follow-up","Escalate Local Office","Escalate to CBE","Escalate to Roxanne"))</f>
        <v/>
      </c>
    </row>
    <row r="892" spans="13:29">
      <c r="M892" s="14"/>
      <c r="T892" s="16"/>
      <c r="U892" s="17">
        <f>IF(AND(COUNTA($A892:$L892)=0,$N892=""),"",IF($T892="Paid","PAID",IF($T892="Closed","CLOSED",IF($Z892="","",IF($Z892=6,"ESCALATED TO ROXANNE",IF(TODAY()&gt;$AB892,"OVERDUE",IF($AB892&lt;=WORKDAY(TODAY(),1,Holidays),"DUE TOMORROW",IF($Z892=4,"ESCALATED TO LOCAL OFFICE",IF($Z892=5,"ESCALATED TO CBE",IF($AA892=TODAY(),"EMAIL SENT","MONITORING"))))))))))</f>
        <v/>
      </c>
      <c r="V892" s="17">
        <f>IF($U892="",IF(AND(COUNTA($A892:$L892)&gt;0,$N892=""),"Awaiting Collection Email time stamp.",""),IF(OR($U892="PAID",$U892="CLOSED"),IF($U892="PAID","Account paid. Action completed.","Account closed. No further action required."),CHOOSE($Z892,"Collection Email","1st Email Follow-up","2nd Email Follow-up","Escalation to Local Office","Escalation to CBE","Escalation to Roxanne")&amp;" sent "&amp;TEXT($AA892,"dd-mmm")&amp;". "&amp;IF($Z892=6,"Final escalation completed.",IF($U892="OVERDUE","Next: "&amp;$AC892&amp;" was due "&amp;TEXT($AB892,"dd-mmm")&amp;" - "&amp;(NETWORKDAYS($AB892,TODAY(),Holidays)-1)&amp;" business day(s) late. Send now.",IF($U892="DUE TOMORROW","Next: "&amp;$AC892&amp;IF($AB892&lt;=TODAY()," is due TODAY ("," is due next business day (")&amp;TEXT($AB892,"dd-mmm")&amp;").","Next: "&amp;$AC892&amp;" due "&amp;TEXT($AB892,"dd-mmm")&amp;" ("&amp;(NETWORKDAYS(TODAY(),$AB892,Holidays)-1)&amp;" business day(s) left).")))))</f>
        <v/>
      </c>
      <c r="W892" s="17">
        <f>IF($Z892="","",CHOOSE($Z892,"Collection Email","1st Follow-up","2nd Follow-up","Local Office","CBE","Roxanne")&amp;IF($Z892=6," - Final"," - Day "&amp;MAX(0,NETWORKDAYS($AA892,TODAY(),Holidays)-1)&amp;" of "&amp;CHOOSE($Z892,3,3,2,2,3))&amp;" | Total Day "&amp;MAX(0,NETWORKDAYS($N892,TODAY(),Holidays)-1))</f>
        <v/>
      </c>
      <c r="X892" s="18"/>
      <c r="Y892" s="18"/>
      <c r="Z892" s="17">
        <f>IF($N892="","",COUNT($N892:$S892))</f>
        <v/>
      </c>
      <c r="AA892" s="19">
        <f>IF($Z892="","",INT(INDEX($N892:$S892,$Z892)))</f>
        <v/>
      </c>
      <c r="AB892" s="19">
        <f>IF(OR($Z892="",$Z892=6),"",WORKDAY($AA892,CHOOSE($Z892,3,3,2,2,3),Holidays))</f>
        <v/>
      </c>
      <c r="AC892" s="17">
        <f>IF(OR($Z892="",$Z892=6),"",CHOOSE($Z892,"1st Email Follow-up","2nd Email Follow-up","Escalate Local Office","Escalate to CBE","Escalate to Roxanne"))</f>
        <v/>
      </c>
    </row>
    <row r="893" spans="13:29">
      <c r="M893" s="14"/>
      <c r="T893" s="16"/>
      <c r="U893" s="17">
        <f>IF(AND(COUNTA($A893:$L893)=0,$N893=""),"",IF($T893="Paid","PAID",IF($T893="Closed","CLOSED",IF($Z893="","",IF($Z893=6,"ESCALATED TO ROXANNE",IF(TODAY()&gt;$AB893,"OVERDUE",IF($AB893&lt;=WORKDAY(TODAY(),1,Holidays),"DUE TOMORROW",IF($Z893=4,"ESCALATED TO LOCAL OFFICE",IF($Z893=5,"ESCALATED TO CBE",IF($AA893=TODAY(),"EMAIL SENT","MONITORING"))))))))))</f>
        <v/>
      </c>
      <c r="V893" s="17">
        <f>IF($U893="",IF(AND(COUNTA($A893:$L893)&gt;0,$N893=""),"Awaiting Collection Email time stamp.",""),IF(OR($U893="PAID",$U893="CLOSED"),IF($U893="PAID","Account paid. Action completed.","Account closed. No further action required."),CHOOSE($Z893,"Collection Email","1st Email Follow-up","2nd Email Follow-up","Escalation to Local Office","Escalation to CBE","Escalation to Roxanne")&amp;" sent "&amp;TEXT($AA893,"dd-mmm")&amp;". "&amp;IF($Z893=6,"Final escalation completed.",IF($U893="OVERDUE","Next: "&amp;$AC893&amp;" was due "&amp;TEXT($AB893,"dd-mmm")&amp;" - "&amp;(NETWORKDAYS($AB893,TODAY(),Holidays)-1)&amp;" business day(s) late. Send now.",IF($U893="DUE TOMORROW","Next: "&amp;$AC893&amp;IF($AB893&lt;=TODAY()," is due TODAY ("," is due next business day (")&amp;TEXT($AB893,"dd-mmm")&amp;").","Next: "&amp;$AC893&amp;" due "&amp;TEXT($AB893,"dd-mmm")&amp;" ("&amp;(NETWORKDAYS(TODAY(),$AB893,Holidays)-1)&amp;" business day(s) left).")))))</f>
        <v/>
      </c>
      <c r="W893" s="17">
        <f>IF($Z893="","",CHOOSE($Z893,"Collection Email","1st Follow-up","2nd Follow-up","Local Office","CBE","Roxanne")&amp;IF($Z893=6," - Final"," - Day "&amp;MAX(0,NETWORKDAYS($AA893,TODAY(),Holidays)-1)&amp;" of "&amp;CHOOSE($Z893,3,3,2,2,3))&amp;" | Total Day "&amp;MAX(0,NETWORKDAYS($N893,TODAY(),Holidays)-1))</f>
        <v/>
      </c>
      <c r="X893" s="18"/>
      <c r="Y893" s="18"/>
      <c r="Z893" s="17">
        <f>IF($N893="","",COUNT($N893:$S893))</f>
        <v/>
      </c>
      <c r="AA893" s="19">
        <f>IF($Z893="","",INT(INDEX($N893:$S893,$Z893)))</f>
        <v/>
      </c>
      <c r="AB893" s="19">
        <f>IF(OR($Z893="",$Z893=6),"",WORKDAY($AA893,CHOOSE($Z893,3,3,2,2,3),Holidays))</f>
        <v/>
      </c>
      <c r="AC893" s="17">
        <f>IF(OR($Z893="",$Z893=6),"",CHOOSE($Z893,"1st Email Follow-up","2nd Email Follow-up","Escalate Local Office","Escalate to CBE","Escalate to Roxanne"))</f>
        <v/>
      </c>
    </row>
    <row r="894" spans="13:29">
      <c r="M894" s="14"/>
      <c r="T894" s="16"/>
      <c r="U894" s="17">
        <f>IF(AND(COUNTA($A894:$L894)=0,$N894=""),"",IF($T894="Paid","PAID",IF($T894="Closed","CLOSED",IF($Z894="","",IF($Z894=6,"ESCALATED TO ROXANNE",IF(TODAY()&gt;$AB894,"OVERDUE",IF($AB894&lt;=WORKDAY(TODAY(),1,Holidays),"DUE TOMORROW",IF($Z894=4,"ESCALATED TO LOCAL OFFICE",IF($Z894=5,"ESCALATED TO CBE",IF($AA894=TODAY(),"EMAIL SENT","MONITORING"))))))))))</f>
        <v/>
      </c>
      <c r="V894" s="17">
        <f>IF($U894="",IF(AND(COUNTA($A894:$L894)&gt;0,$N894=""),"Awaiting Collection Email time stamp.",""),IF(OR($U894="PAID",$U894="CLOSED"),IF($U894="PAID","Account paid. Action completed.","Account closed. No further action required."),CHOOSE($Z894,"Collection Email","1st Email Follow-up","2nd Email Follow-up","Escalation to Local Office","Escalation to CBE","Escalation to Roxanne")&amp;" sent "&amp;TEXT($AA894,"dd-mmm")&amp;". "&amp;IF($Z894=6,"Final escalation completed.",IF($U894="OVERDUE","Next: "&amp;$AC894&amp;" was due "&amp;TEXT($AB894,"dd-mmm")&amp;" - "&amp;(NETWORKDAYS($AB894,TODAY(),Holidays)-1)&amp;" business day(s) late. Send now.",IF($U894="DUE TOMORROW","Next: "&amp;$AC894&amp;IF($AB894&lt;=TODAY()," is due TODAY ("," is due next business day (")&amp;TEXT($AB894,"dd-mmm")&amp;").","Next: "&amp;$AC894&amp;" due "&amp;TEXT($AB894,"dd-mmm")&amp;" ("&amp;(NETWORKDAYS(TODAY(),$AB894,Holidays)-1)&amp;" business day(s) left).")))))</f>
        <v/>
      </c>
      <c r="W894" s="17">
        <f>IF($Z894="","",CHOOSE($Z894,"Collection Email","1st Follow-up","2nd Follow-up","Local Office","CBE","Roxanne")&amp;IF($Z894=6," - Final"," - Day "&amp;MAX(0,NETWORKDAYS($AA894,TODAY(),Holidays)-1)&amp;" of "&amp;CHOOSE($Z894,3,3,2,2,3))&amp;" | Total Day "&amp;MAX(0,NETWORKDAYS($N894,TODAY(),Holidays)-1))</f>
        <v/>
      </c>
      <c r="X894" s="18"/>
      <c r="Y894" s="18"/>
      <c r="Z894" s="17">
        <f>IF($N894="","",COUNT($N894:$S894))</f>
        <v/>
      </c>
      <c r="AA894" s="19">
        <f>IF($Z894="","",INT(INDEX($N894:$S894,$Z894)))</f>
        <v/>
      </c>
      <c r="AB894" s="19">
        <f>IF(OR($Z894="",$Z894=6),"",WORKDAY($AA894,CHOOSE($Z894,3,3,2,2,3),Holidays))</f>
        <v/>
      </c>
      <c r="AC894" s="17">
        <f>IF(OR($Z894="",$Z894=6),"",CHOOSE($Z894,"1st Email Follow-up","2nd Email Follow-up","Escalate Local Office","Escalate to CBE","Escalate to Roxanne"))</f>
        <v/>
      </c>
    </row>
    <row r="895" spans="13:29">
      <c r="M895" s="14"/>
      <c r="T895" s="16"/>
      <c r="U895" s="17">
        <f>IF(AND(COUNTA($A895:$L895)=0,$N895=""),"",IF($T895="Paid","PAID",IF($T895="Closed","CLOSED",IF($Z895="","",IF($Z895=6,"ESCALATED TO ROXANNE",IF(TODAY()&gt;$AB895,"OVERDUE",IF($AB895&lt;=WORKDAY(TODAY(),1,Holidays),"DUE TOMORROW",IF($Z895=4,"ESCALATED TO LOCAL OFFICE",IF($Z895=5,"ESCALATED TO CBE",IF($AA895=TODAY(),"EMAIL SENT","MONITORING"))))))))))</f>
        <v/>
      </c>
      <c r="V895" s="17">
        <f>IF($U895="",IF(AND(COUNTA($A895:$L895)&gt;0,$N895=""),"Awaiting Collection Email time stamp.",""),IF(OR($U895="PAID",$U895="CLOSED"),IF($U895="PAID","Account paid. Action completed.","Account closed. No further action required."),CHOOSE($Z895,"Collection Email","1st Email Follow-up","2nd Email Follow-up","Escalation to Local Office","Escalation to CBE","Escalation to Roxanne")&amp;" sent "&amp;TEXT($AA895,"dd-mmm")&amp;". "&amp;IF($Z895=6,"Final escalation completed.",IF($U895="OVERDUE","Next: "&amp;$AC895&amp;" was due "&amp;TEXT($AB895,"dd-mmm")&amp;" - "&amp;(NETWORKDAYS($AB895,TODAY(),Holidays)-1)&amp;" business day(s) late. Send now.",IF($U895="DUE TOMORROW","Next: "&amp;$AC895&amp;IF($AB895&lt;=TODAY()," is due TODAY ("," is due next business day (")&amp;TEXT($AB895,"dd-mmm")&amp;").","Next: "&amp;$AC895&amp;" due "&amp;TEXT($AB895,"dd-mmm")&amp;" ("&amp;(NETWORKDAYS(TODAY(),$AB895,Holidays)-1)&amp;" business day(s) left).")))))</f>
        <v/>
      </c>
      <c r="W895" s="17">
        <f>IF($Z895="","",CHOOSE($Z895,"Collection Email","1st Follow-up","2nd Follow-up","Local Office","CBE","Roxanne")&amp;IF($Z895=6," - Final"," - Day "&amp;MAX(0,NETWORKDAYS($AA895,TODAY(),Holidays)-1)&amp;" of "&amp;CHOOSE($Z895,3,3,2,2,3))&amp;" | Total Day "&amp;MAX(0,NETWORKDAYS($N895,TODAY(),Holidays)-1))</f>
        <v/>
      </c>
      <c r="X895" s="18"/>
      <c r="Y895" s="18"/>
      <c r="Z895" s="17">
        <f>IF($N895="","",COUNT($N895:$S895))</f>
        <v/>
      </c>
      <c r="AA895" s="19">
        <f>IF($Z895="","",INT(INDEX($N895:$S895,$Z895)))</f>
        <v/>
      </c>
      <c r="AB895" s="19">
        <f>IF(OR($Z895="",$Z895=6),"",WORKDAY($AA895,CHOOSE($Z895,3,3,2,2,3),Holidays))</f>
        <v/>
      </c>
      <c r="AC895" s="17">
        <f>IF(OR($Z895="",$Z895=6),"",CHOOSE($Z895,"1st Email Follow-up","2nd Email Follow-up","Escalate Local Office","Escalate to CBE","Escalate to Roxanne"))</f>
        <v/>
      </c>
    </row>
    <row r="896" spans="13:29">
      <c r="M896" s="14"/>
      <c r="T896" s="16"/>
      <c r="U896" s="17">
        <f>IF(AND(COUNTA($A896:$L896)=0,$N896=""),"",IF($T896="Paid","PAID",IF($T896="Closed","CLOSED",IF($Z896="","",IF($Z896=6,"ESCALATED TO ROXANNE",IF(TODAY()&gt;$AB896,"OVERDUE",IF($AB896&lt;=WORKDAY(TODAY(),1,Holidays),"DUE TOMORROW",IF($Z896=4,"ESCALATED TO LOCAL OFFICE",IF($Z896=5,"ESCALATED TO CBE",IF($AA896=TODAY(),"EMAIL SENT","MONITORING"))))))))))</f>
        <v/>
      </c>
      <c r="V896" s="17">
        <f>IF($U896="",IF(AND(COUNTA($A896:$L896)&gt;0,$N896=""),"Awaiting Collection Email time stamp.",""),IF(OR($U896="PAID",$U896="CLOSED"),IF($U896="PAID","Account paid. Action completed.","Account closed. No further action required."),CHOOSE($Z896,"Collection Email","1st Email Follow-up","2nd Email Follow-up","Escalation to Local Office","Escalation to CBE","Escalation to Roxanne")&amp;" sent "&amp;TEXT($AA896,"dd-mmm")&amp;". "&amp;IF($Z896=6,"Final escalation completed.",IF($U896="OVERDUE","Next: "&amp;$AC896&amp;" was due "&amp;TEXT($AB896,"dd-mmm")&amp;" - "&amp;(NETWORKDAYS($AB896,TODAY(),Holidays)-1)&amp;" business day(s) late. Send now.",IF($U896="DUE TOMORROW","Next: "&amp;$AC896&amp;IF($AB896&lt;=TODAY()," is due TODAY ("," is due next business day (")&amp;TEXT($AB896,"dd-mmm")&amp;").","Next: "&amp;$AC896&amp;" due "&amp;TEXT($AB896,"dd-mmm")&amp;" ("&amp;(NETWORKDAYS(TODAY(),$AB896,Holidays)-1)&amp;" business day(s) left).")))))</f>
        <v/>
      </c>
      <c r="W896" s="17">
        <f>IF($Z896="","",CHOOSE($Z896,"Collection Email","1st Follow-up","2nd Follow-up","Local Office","CBE","Roxanne")&amp;IF($Z896=6," - Final"," - Day "&amp;MAX(0,NETWORKDAYS($AA896,TODAY(),Holidays)-1)&amp;" of "&amp;CHOOSE($Z896,3,3,2,2,3))&amp;" | Total Day "&amp;MAX(0,NETWORKDAYS($N896,TODAY(),Holidays)-1))</f>
        <v/>
      </c>
      <c r="X896" s="18"/>
      <c r="Y896" s="18"/>
      <c r="Z896" s="17">
        <f>IF($N896="","",COUNT($N896:$S896))</f>
        <v/>
      </c>
      <c r="AA896" s="19">
        <f>IF($Z896="","",INT(INDEX($N896:$S896,$Z896)))</f>
        <v/>
      </c>
      <c r="AB896" s="19">
        <f>IF(OR($Z896="",$Z896=6),"",WORKDAY($AA896,CHOOSE($Z896,3,3,2,2,3),Holidays))</f>
        <v/>
      </c>
      <c r="AC896" s="17">
        <f>IF(OR($Z896="",$Z896=6),"",CHOOSE($Z896,"1st Email Follow-up","2nd Email Follow-up","Escalate Local Office","Escalate to CBE","Escalate to Roxanne"))</f>
        <v/>
      </c>
    </row>
    <row r="897" spans="13:29">
      <c r="M897" s="14"/>
      <c r="T897" s="16"/>
      <c r="U897" s="17">
        <f>IF(AND(COUNTA($A897:$L897)=0,$N897=""),"",IF($T897="Paid","PAID",IF($T897="Closed","CLOSED",IF($Z897="","",IF($Z897=6,"ESCALATED TO ROXANNE",IF(TODAY()&gt;$AB897,"OVERDUE",IF($AB897&lt;=WORKDAY(TODAY(),1,Holidays),"DUE TOMORROW",IF($Z897=4,"ESCALATED TO LOCAL OFFICE",IF($Z897=5,"ESCALATED TO CBE",IF($AA897=TODAY(),"EMAIL SENT","MONITORING"))))))))))</f>
        <v/>
      </c>
      <c r="V897" s="17">
        <f>IF($U897="",IF(AND(COUNTA($A897:$L897)&gt;0,$N897=""),"Awaiting Collection Email time stamp.",""),IF(OR($U897="PAID",$U897="CLOSED"),IF($U897="PAID","Account paid. Action completed.","Account closed. No further action required."),CHOOSE($Z897,"Collection Email","1st Email Follow-up","2nd Email Follow-up","Escalation to Local Office","Escalation to CBE","Escalation to Roxanne")&amp;" sent "&amp;TEXT($AA897,"dd-mmm")&amp;". "&amp;IF($Z897=6,"Final escalation completed.",IF($U897="OVERDUE","Next: "&amp;$AC897&amp;" was due "&amp;TEXT($AB897,"dd-mmm")&amp;" - "&amp;(NETWORKDAYS($AB897,TODAY(),Holidays)-1)&amp;" business day(s) late. Send now.",IF($U897="DUE TOMORROW","Next: "&amp;$AC897&amp;IF($AB897&lt;=TODAY()," is due TODAY ("," is due next business day (")&amp;TEXT($AB897,"dd-mmm")&amp;").","Next: "&amp;$AC897&amp;" due "&amp;TEXT($AB897,"dd-mmm")&amp;" ("&amp;(NETWORKDAYS(TODAY(),$AB897,Holidays)-1)&amp;" business day(s) left).")))))</f>
        <v/>
      </c>
      <c r="W897" s="17">
        <f>IF($Z897="","",CHOOSE($Z897,"Collection Email","1st Follow-up","2nd Follow-up","Local Office","CBE","Roxanne")&amp;IF($Z897=6," - Final"," - Day "&amp;MAX(0,NETWORKDAYS($AA897,TODAY(),Holidays)-1)&amp;" of "&amp;CHOOSE($Z897,3,3,2,2,3))&amp;" | Total Day "&amp;MAX(0,NETWORKDAYS($N897,TODAY(),Holidays)-1))</f>
        <v/>
      </c>
      <c r="X897" s="18"/>
      <c r="Y897" s="18"/>
      <c r="Z897" s="17">
        <f>IF($N897="","",COUNT($N897:$S897))</f>
        <v/>
      </c>
      <c r="AA897" s="19">
        <f>IF($Z897="","",INT(INDEX($N897:$S897,$Z897)))</f>
        <v/>
      </c>
      <c r="AB897" s="19">
        <f>IF(OR($Z897="",$Z897=6),"",WORKDAY($AA897,CHOOSE($Z897,3,3,2,2,3),Holidays))</f>
        <v/>
      </c>
      <c r="AC897" s="17">
        <f>IF(OR($Z897="",$Z897=6),"",CHOOSE($Z897,"1st Email Follow-up","2nd Email Follow-up","Escalate Local Office","Escalate to CBE","Escalate to Roxanne"))</f>
        <v/>
      </c>
    </row>
    <row r="898" spans="13:29">
      <c r="M898" s="14"/>
      <c r="T898" s="16"/>
      <c r="U898" s="17">
        <f>IF(AND(COUNTA($A898:$L898)=0,$N898=""),"",IF($T898="Paid","PAID",IF($T898="Closed","CLOSED",IF($Z898="","",IF($Z898=6,"ESCALATED TO ROXANNE",IF(TODAY()&gt;$AB898,"OVERDUE",IF($AB898&lt;=WORKDAY(TODAY(),1,Holidays),"DUE TOMORROW",IF($Z898=4,"ESCALATED TO LOCAL OFFICE",IF($Z898=5,"ESCALATED TO CBE",IF($AA898=TODAY(),"EMAIL SENT","MONITORING"))))))))))</f>
        <v/>
      </c>
      <c r="V898" s="17">
        <f>IF($U898="",IF(AND(COUNTA($A898:$L898)&gt;0,$N898=""),"Awaiting Collection Email time stamp.",""),IF(OR($U898="PAID",$U898="CLOSED"),IF($U898="PAID","Account paid. Action completed.","Account closed. No further action required."),CHOOSE($Z898,"Collection Email","1st Email Follow-up","2nd Email Follow-up","Escalation to Local Office","Escalation to CBE","Escalation to Roxanne")&amp;" sent "&amp;TEXT($AA898,"dd-mmm")&amp;". "&amp;IF($Z898=6,"Final escalation completed.",IF($U898="OVERDUE","Next: "&amp;$AC898&amp;" was due "&amp;TEXT($AB898,"dd-mmm")&amp;" - "&amp;(NETWORKDAYS($AB898,TODAY(),Holidays)-1)&amp;" business day(s) late. Send now.",IF($U898="DUE TOMORROW","Next: "&amp;$AC898&amp;IF($AB898&lt;=TODAY()," is due TODAY ("," is due next business day (")&amp;TEXT($AB898,"dd-mmm")&amp;").","Next: "&amp;$AC898&amp;" due "&amp;TEXT($AB898,"dd-mmm")&amp;" ("&amp;(NETWORKDAYS(TODAY(),$AB898,Holidays)-1)&amp;" business day(s) left).")))))</f>
        <v/>
      </c>
      <c r="W898" s="17">
        <f>IF($Z898="","",CHOOSE($Z898,"Collection Email","1st Follow-up","2nd Follow-up","Local Office","CBE","Roxanne")&amp;IF($Z898=6," - Final"," - Day "&amp;MAX(0,NETWORKDAYS($AA898,TODAY(),Holidays)-1)&amp;" of "&amp;CHOOSE($Z898,3,3,2,2,3))&amp;" | Total Day "&amp;MAX(0,NETWORKDAYS($N898,TODAY(),Holidays)-1))</f>
        <v/>
      </c>
      <c r="X898" s="18"/>
      <c r="Y898" s="18"/>
      <c r="Z898" s="17">
        <f>IF($N898="","",COUNT($N898:$S898))</f>
        <v/>
      </c>
      <c r="AA898" s="19">
        <f>IF($Z898="","",INT(INDEX($N898:$S898,$Z898)))</f>
        <v/>
      </c>
      <c r="AB898" s="19">
        <f>IF(OR($Z898="",$Z898=6),"",WORKDAY($AA898,CHOOSE($Z898,3,3,2,2,3),Holidays))</f>
        <v/>
      </c>
      <c r="AC898" s="17">
        <f>IF(OR($Z898="",$Z898=6),"",CHOOSE($Z898,"1st Email Follow-up","2nd Email Follow-up","Escalate Local Office","Escalate to CBE","Escalate to Roxanne"))</f>
        <v/>
      </c>
    </row>
    <row r="899" spans="13:29">
      <c r="M899" s="14"/>
      <c r="T899" s="16"/>
      <c r="U899" s="17">
        <f>IF(AND(COUNTA($A899:$L899)=0,$N899=""),"",IF($T899="Paid","PAID",IF($T899="Closed","CLOSED",IF($Z899="","",IF($Z899=6,"ESCALATED TO ROXANNE",IF(TODAY()&gt;$AB899,"OVERDUE",IF($AB899&lt;=WORKDAY(TODAY(),1,Holidays),"DUE TOMORROW",IF($Z899=4,"ESCALATED TO LOCAL OFFICE",IF($Z899=5,"ESCALATED TO CBE",IF($AA899=TODAY(),"EMAIL SENT","MONITORING"))))))))))</f>
        <v/>
      </c>
      <c r="V899" s="17">
        <f>IF($U899="",IF(AND(COUNTA($A899:$L899)&gt;0,$N899=""),"Awaiting Collection Email time stamp.",""),IF(OR($U899="PAID",$U899="CLOSED"),IF($U899="PAID","Account paid. Action completed.","Account closed. No further action required."),CHOOSE($Z899,"Collection Email","1st Email Follow-up","2nd Email Follow-up","Escalation to Local Office","Escalation to CBE","Escalation to Roxanne")&amp;" sent "&amp;TEXT($AA899,"dd-mmm")&amp;". "&amp;IF($Z899=6,"Final escalation completed.",IF($U899="OVERDUE","Next: "&amp;$AC899&amp;" was due "&amp;TEXT($AB899,"dd-mmm")&amp;" - "&amp;(NETWORKDAYS($AB899,TODAY(),Holidays)-1)&amp;" business day(s) late. Send now.",IF($U899="DUE TOMORROW","Next: "&amp;$AC899&amp;IF($AB899&lt;=TODAY()," is due TODAY ("," is due next business day (")&amp;TEXT($AB899,"dd-mmm")&amp;").","Next: "&amp;$AC899&amp;" due "&amp;TEXT($AB899,"dd-mmm")&amp;" ("&amp;(NETWORKDAYS(TODAY(),$AB899,Holidays)-1)&amp;" business day(s) left).")))))</f>
        <v/>
      </c>
      <c r="W899" s="17">
        <f>IF($Z899="","",CHOOSE($Z899,"Collection Email","1st Follow-up","2nd Follow-up","Local Office","CBE","Roxanne")&amp;IF($Z899=6," - Final"," - Day "&amp;MAX(0,NETWORKDAYS($AA899,TODAY(),Holidays)-1)&amp;" of "&amp;CHOOSE($Z899,3,3,2,2,3))&amp;" | Total Day "&amp;MAX(0,NETWORKDAYS($N899,TODAY(),Holidays)-1))</f>
        <v/>
      </c>
      <c r="X899" s="18"/>
      <c r="Y899" s="18"/>
      <c r="Z899" s="17">
        <f>IF($N899="","",COUNT($N899:$S899))</f>
        <v/>
      </c>
      <c r="AA899" s="19">
        <f>IF($Z899="","",INT(INDEX($N899:$S899,$Z899)))</f>
        <v/>
      </c>
      <c r="AB899" s="19">
        <f>IF(OR($Z899="",$Z899=6),"",WORKDAY($AA899,CHOOSE($Z899,3,3,2,2,3),Holidays))</f>
        <v/>
      </c>
      <c r="AC899" s="17">
        <f>IF(OR($Z899="",$Z899=6),"",CHOOSE($Z899,"1st Email Follow-up","2nd Email Follow-up","Escalate Local Office","Escalate to CBE","Escalate to Roxanne"))</f>
        <v/>
      </c>
    </row>
    <row r="900" spans="13:29">
      <c r="M900" s="14"/>
      <c r="T900" s="16"/>
      <c r="U900" s="17">
        <f>IF(AND(COUNTA($A900:$L900)=0,$N900=""),"",IF($T900="Paid","PAID",IF($T900="Closed","CLOSED",IF($Z900="","",IF($Z900=6,"ESCALATED TO ROXANNE",IF(TODAY()&gt;$AB900,"OVERDUE",IF($AB900&lt;=WORKDAY(TODAY(),1,Holidays),"DUE TOMORROW",IF($Z900=4,"ESCALATED TO LOCAL OFFICE",IF($Z900=5,"ESCALATED TO CBE",IF($AA900=TODAY(),"EMAIL SENT","MONITORING"))))))))))</f>
        <v/>
      </c>
      <c r="V900" s="17">
        <f>IF($U900="",IF(AND(COUNTA($A900:$L900)&gt;0,$N900=""),"Awaiting Collection Email time stamp.",""),IF(OR($U900="PAID",$U900="CLOSED"),IF($U900="PAID","Account paid. Action completed.","Account closed. No further action required."),CHOOSE($Z900,"Collection Email","1st Email Follow-up","2nd Email Follow-up","Escalation to Local Office","Escalation to CBE","Escalation to Roxanne")&amp;" sent "&amp;TEXT($AA900,"dd-mmm")&amp;". "&amp;IF($Z900=6,"Final escalation completed.",IF($U900="OVERDUE","Next: "&amp;$AC900&amp;" was due "&amp;TEXT($AB900,"dd-mmm")&amp;" - "&amp;(NETWORKDAYS($AB900,TODAY(),Holidays)-1)&amp;" business day(s) late. Send now.",IF($U900="DUE TOMORROW","Next: "&amp;$AC900&amp;IF($AB900&lt;=TODAY()," is due TODAY ("," is due next business day (")&amp;TEXT($AB900,"dd-mmm")&amp;").","Next: "&amp;$AC900&amp;" due "&amp;TEXT($AB900,"dd-mmm")&amp;" ("&amp;(NETWORKDAYS(TODAY(),$AB900,Holidays)-1)&amp;" business day(s) left).")))))</f>
        <v/>
      </c>
      <c r="W900" s="17">
        <f>IF($Z900="","",CHOOSE($Z900,"Collection Email","1st Follow-up","2nd Follow-up","Local Office","CBE","Roxanne")&amp;IF($Z900=6," - Final"," - Day "&amp;MAX(0,NETWORKDAYS($AA900,TODAY(),Holidays)-1)&amp;" of "&amp;CHOOSE($Z900,3,3,2,2,3))&amp;" | Total Day "&amp;MAX(0,NETWORKDAYS($N900,TODAY(),Holidays)-1))</f>
        <v/>
      </c>
      <c r="X900" s="18"/>
      <c r="Y900" s="18"/>
      <c r="Z900" s="17">
        <f>IF($N900="","",COUNT($N900:$S900))</f>
        <v/>
      </c>
      <c r="AA900" s="19">
        <f>IF($Z900="","",INT(INDEX($N900:$S900,$Z900)))</f>
        <v/>
      </c>
      <c r="AB900" s="19">
        <f>IF(OR($Z900="",$Z900=6),"",WORKDAY($AA900,CHOOSE($Z900,3,3,2,2,3),Holidays))</f>
        <v/>
      </c>
      <c r="AC900" s="17">
        <f>IF(OR($Z900="",$Z900=6),"",CHOOSE($Z900,"1st Email Follow-up","2nd Email Follow-up","Escalate Local Office","Escalate to CBE","Escalate to Roxanne"))</f>
        <v/>
      </c>
    </row>
    <row r="901" spans="13:29">
      <c r="M901" s="14"/>
      <c r="T901" s="16"/>
      <c r="U901" s="17">
        <f>IF(AND(COUNTA($A901:$L901)=0,$N901=""),"",IF($T901="Paid","PAID",IF($T901="Closed","CLOSED",IF($Z901="","",IF($Z901=6,"ESCALATED TO ROXANNE",IF(TODAY()&gt;$AB901,"OVERDUE",IF($AB901&lt;=WORKDAY(TODAY(),1,Holidays),"DUE TOMORROW",IF($Z901=4,"ESCALATED TO LOCAL OFFICE",IF($Z901=5,"ESCALATED TO CBE",IF($AA901=TODAY(),"EMAIL SENT","MONITORING"))))))))))</f>
        <v/>
      </c>
      <c r="V901" s="17">
        <f>IF($U901="",IF(AND(COUNTA($A901:$L901)&gt;0,$N901=""),"Awaiting Collection Email time stamp.",""),IF(OR($U901="PAID",$U901="CLOSED"),IF($U901="PAID","Account paid. Action completed.","Account closed. No further action required."),CHOOSE($Z901,"Collection Email","1st Email Follow-up","2nd Email Follow-up","Escalation to Local Office","Escalation to CBE","Escalation to Roxanne")&amp;" sent "&amp;TEXT($AA901,"dd-mmm")&amp;". "&amp;IF($Z901=6,"Final escalation completed.",IF($U901="OVERDUE","Next: "&amp;$AC901&amp;" was due "&amp;TEXT($AB901,"dd-mmm")&amp;" - "&amp;(NETWORKDAYS($AB901,TODAY(),Holidays)-1)&amp;" business day(s) late. Send now.",IF($U901="DUE TOMORROW","Next: "&amp;$AC901&amp;IF($AB901&lt;=TODAY()," is due TODAY ("," is due next business day (")&amp;TEXT($AB901,"dd-mmm")&amp;").","Next: "&amp;$AC901&amp;" due "&amp;TEXT($AB901,"dd-mmm")&amp;" ("&amp;(NETWORKDAYS(TODAY(),$AB901,Holidays)-1)&amp;" business day(s) left).")))))</f>
        <v/>
      </c>
      <c r="W901" s="17">
        <f>IF($Z901="","",CHOOSE($Z901,"Collection Email","1st Follow-up","2nd Follow-up","Local Office","CBE","Roxanne")&amp;IF($Z901=6," - Final"," - Day "&amp;MAX(0,NETWORKDAYS($AA901,TODAY(),Holidays)-1)&amp;" of "&amp;CHOOSE($Z901,3,3,2,2,3))&amp;" | Total Day "&amp;MAX(0,NETWORKDAYS($N901,TODAY(),Holidays)-1))</f>
        <v/>
      </c>
      <c r="X901" s="18"/>
      <c r="Y901" s="18"/>
      <c r="Z901" s="17">
        <f>IF($N901="","",COUNT($N901:$S901))</f>
        <v/>
      </c>
      <c r="AA901" s="19">
        <f>IF($Z901="","",INT(INDEX($N901:$S901,$Z901)))</f>
        <v/>
      </c>
      <c r="AB901" s="19">
        <f>IF(OR($Z901="",$Z901=6),"",WORKDAY($AA901,CHOOSE($Z901,3,3,2,2,3),Holidays))</f>
        <v/>
      </c>
      <c r="AC901" s="17">
        <f>IF(OR($Z901="",$Z901=6),"",CHOOSE($Z901,"1st Email Follow-up","2nd Email Follow-up","Escalate Local Office","Escalate to CBE","Escalate to Roxanne"))</f>
        <v/>
      </c>
    </row>
    <row r="902" spans="13:29">
      <c r="M902" s="14"/>
      <c r="T902" s="16"/>
      <c r="U902" s="17">
        <f>IF(AND(COUNTA($A902:$L902)=0,$N902=""),"",IF($T902="Paid","PAID",IF($T902="Closed","CLOSED",IF($Z902="","",IF($Z902=6,"ESCALATED TO ROXANNE",IF(TODAY()&gt;$AB902,"OVERDUE",IF($AB902&lt;=WORKDAY(TODAY(),1,Holidays),"DUE TOMORROW",IF($Z902=4,"ESCALATED TO LOCAL OFFICE",IF($Z902=5,"ESCALATED TO CBE",IF($AA902=TODAY(),"EMAIL SENT","MONITORING"))))))))))</f>
        <v/>
      </c>
      <c r="V902" s="17">
        <f>IF($U902="",IF(AND(COUNTA($A902:$L902)&gt;0,$N902=""),"Awaiting Collection Email time stamp.",""),IF(OR($U902="PAID",$U902="CLOSED"),IF($U902="PAID","Account paid. Action completed.","Account closed. No further action required."),CHOOSE($Z902,"Collection Email","1st Email Follow-up","2nd Email Follow-up","Escalation to Local Office","Escalation to CBE","Escalation to Roxanne")&amp;" sent "&amp;TEXT($AA902,"dd-mmm")&amp;". "&amp;IF($Z902=6,"Final escalation completed.",IF($U902="OVERDUE","Next: "&amp;$AC902&amp;" was due "&amp;TEXT($AB902,"dd-mmm")&amp;" - "&amp;(NETWORKDAYS($AB902,TODAY(),Holidays)-1)&amp;" business day(s) late. Send now.",IF($U902="DUE TOMORROW","Next: "&amp;$AC902&amp;IF($AB902&lt;=TODAY()," is due TODAY ("," is due next business day (")&amp;TEXT($AB902,"dd-mmm")&amp;").","Next: "&amp;$AC902&amp;" due "&amp;TEXT($AB902,"dd-mmm")&amp;" ("&amp;(NETWORKDAYS(TODAY(),$AB902,Holidays)-1)&amp;" business day(s) left).")))))</f>
        <v/>
      </c>
      <c r="W902" s="17">
        <f>IF($Z902="","",CHOOSE($Z902,"Collection Email","1st Follow-up","2nd Follow-up","Local Office","CBE","Roxanne")&amp;IF($Z902=6," - Final"," - Day "&amp;MAX(0,NETWORKDAYS($AA902,TODAY(),Holidays)-1)&amp;" of "&amp;CHOOSE($Z902,3,3,2,2,3))&amp;" | Total Day "&amp;MAX(0,NETWORKDAYS($N902,TODAY(),Holidays)-1))</f>
        <v/>
      </c>
      <c r="X902" s="18"/>
      <c r="Y902" s="18"/>
      <c r="Z902" s="17">
        <f>IF($N902="","",COUNT($N902:$S902))</f>
        <v/>
      </c>
      <c r="AA902" s="19">
        <f>IF($Z902="","",INT(INDEX($N902:$S902,$Z902)))</f>
        <v/>
      </c>
      <c r="AB902" s="19">
        <f>IF(OR($Z902="",$Z902=6),"",WORKDAY($AA902,CHOOSE($Z902,3,3,2,2,3),Holidays))</f>
        <v/>
      </c>
      <c r="AC902" s="17">
        <f>IF(OR($Z902="",$Z902=6),"",CHOOSE($Z902,"1st Email Follow-up","2nd Email Follow-up","Escalate Local Office","Escalate to CBE","Escalate to Roxanne"))</f>
        <v/>
      </c>
    </row>
    <row r="903" spans="13:29">
      <c r="M903" s="14"/>
      <c r="T903" s="16"/>
      <c r="U903" s="17">
        <f>IF(AND(COUNTA($A903:$L903)=0,$N903=""),"",IF($T903="Paid","PAID",IF($T903="Closed","CLOSED",IF($Z903="","",IF($Z903=6,"ESCALATED TO ROXANNE",IF(TODAY()&gt;$AB903,"OVERDUE",IF($AB903&lt;=WORKDAY(TODAY(),1,Holidays),"DUE TOMORROW",IF($Z903=4,"ESCALATED TO LOCAL OFFICE",IF($Z903=5,"ESCALATED TO CBE",IF($AA903=TODAY(),"EMAIL SENT","MONITORING"))))))))))</f>
        <v/>
      </c>
      <c r="V903" s="17">
        <f>IF($U903="",IF(AND(COUNTA($A903:$L903)&gt;0,$N903=""),"Awaiting Collection Email time stamp.",""),IF(OR($U903="PAID",$U903="CLOSED"),IF($U903="PAID","Account paid. Action completed.","Account closed. No further action required."),CHOOSE($Z903,"Collection Email","1st Email Follow-up","2nd Email Follow-up","Escalation to Local Office","Escalation to CBE","Escalation to Roxanne")&amp;" sent "&amp;TEXT($AA903,"dd-mmm")&amp;". "&amp;IF($Z903=6,"Final escalation completed.",IF($U903="OVERDUE","Next: "&amp;$AC903&amp;" was due "&amp;TEXT($AB903,"dd-mmm")&amp;" - "&amp;(NETWORKDAYS($AB903,TODAY(),Holidays)-1)&amp;" business day(s) late. Send now.",IF($U903="DUE TOMORROW","Next: "&amp;$AC903&amp;IF($AB903&lt;=TODAY()," is due TODAY ("," is due next business day (")&amp;TEXT($AB903,"dd-mmm")&amp;").","Next: "&amp;$AC903&amp;" due "&amp;TEXT($AB903,"dd-mmm")&amp;" ("&amp;(NETWORKDAYS(TODAY(),$AB903,Holidays)-1)&amp;" business day(s) left).")))))</f>
        <v/>
      </c>
      <c r="W903" s="17">
        <f>IF($Z903="","",CHOOSE($Z903,"Collection Email","1st Follow-up","2nd Follow-up","Local Office","CBE","Roxanne")&amp;IF($Z903=6," - Final"," - Day "&amp;MAX(0,NETWORKDAYS($AA903,TODAY(),Holidays)-1)&amp;" of "&amp;CHOOSE($Z903,3,3,2,2,3))&amp;" | Total Day "&amp;MAX(0,NETWORKDAYS($N903,TODAY(),Holidays)-1))</f>
        <v/>
      </c>
      <c r="X903" s="18"/>
      <c r="Y903" s="18"/>
      <c r="Z903" s="17">
        <f>IF($N903="","",COUNT($N903:$S903))</f>
        <v/>
      </c>
      <c r="AA903" s="19">
        <f>IF($Z903="","",INT(INDEX($N903:$S903,$Z903)))</f>
        <v/>
      </c>
      <c r="AB903" s="19">
        <f>IF(OR($Z903="",$Z903=6),"",WORKDAY($AA903,CHOOSE($Z903,3,3,2,2,3),Holidays))</f>
        <v/>
      </c>
      <c r="AC903" s="17">
        <f>IF(OR($Z903="",$Z903=6),"",CHOOSE($Z903,"1st Email Follow-up","2nd Email Follow-up","Escalate Local Office","Escalate to CBE","Escalate to Roxanne"))</f>
        <v/>
      </c>
    </row>
    <row r="904" spans="13:29">
      <c r="M904" s="14"/>
      <c r="T904" s="16"/>
      <c r="U904" s="17">
        <f>IF(AND(COUNTA($A904:$L904)=0,$N904=""),"",IF($T904="Paid","PAID",IF($T904="Closed","CLOSED",IF($Z904="","",IF($Z904=6,"ESCALATED TO ROXANNE",IF(TODAY()&gt;$AB904,"OVERDUE",IF($AB904&lt;=WORKDAY(TODAY(),1,Holidays),"DUE TOMORROW",IF($Z904=4,"ESCALATED TO LOCAL OFFICE",IF($Z904=5,"ESCALATED TO CBE",IF($AA904=TODAY(),"EMAIL SENT","MONITORING"))))))))))</f>
        <v/>
      </c>
      <c r="V904" s="17">
        <f>IF($U904="",IF(AND(COUNTA($A904:$L904)&gt;0,$N904=""),"Awaiting Collection Email time stamp.",""),IF(OR($U904="PAID",$U904="CLOSED"),IF($U904="PAID","Account paid. Action completed.","Account closed. No further action required."),CHOOSE($Z904,"Collection Email","1st Email Follow-up","2nd Email Follow-up","Escalation to Local Office","Escalation to CBE","Escalation to Roxanne")&amp;" sent "&amp;TEXT($AA904,"dd-mmm")&amp;". "&amp;IF($Z904=6,"Final escalation completed.",IF($U904="OVERDUE","Next: "&amp;$AC904&amp;" was due "&amp;TEXT($AB904,"dd-mmm")&amp;" - "&amp;(NETWORKDAYS($AB904,TODAY(),Holidays)-1)&amp;" business day(s) late. Send now.",IF($U904="DUE TOMORROW","Next: "&amp;$AC904&amp;IF($AB904&lt;=TODAY()," is due TODAY ("," is due next business day (")&amp;TEXT($AB904,"dd-mmm")&amp;").","Next: "&amp;$AC904&amp;" due "&amp;TEXT($AB904,"dd-mmm")&amp;" ("&amp;(NETWORKDAYS(TODAY(),$AB904,Holidays)-1)&amp;" business day(s) left).")))))</f>
        <v/>
      </c>
      <c r="W904" s="17">
        <f>IF($Z904="","",CHOOSE($Z904,"Collection Email","1st Follow-up","2nd Follow-up","Local Office","CBE","Roxanne")&amp;IF($Z904=6," - Final"," - Day "&amp;MAX(0,NETWORKDAYS($AA904,TODAY(),Holidays)-1)&amp;" of "&amp;CHOOSE($Z904,3,3,2,2,3))&amp;" | Total Day "&amp;MAX(0,NETWORKDAYS($N904,TODAY(),Holidays)-1))</f>
        <v/>
      </c>
      <c r="X904" s="18"/>
      <c r="Y904" s="18"/>
      <c r="Z904" s="17">
        <f>IF($N904="","",COUNT($N904:$S904))</f>
        <v/>
      </c>
      <c r="AA904" s="19">
        <f>IF($Z904="","",INT(INDEX($N904:$S904,$Z904)))</f>
        <v/>
      </c>
      <c r="AB904" s="19">
        <f>IF(OR($Z904="",$Z904=6),"",WORKDAY($AA904,CHOOSE($Z904,3,3,2,2,3),Holidays))</f>
        <v/>
      </c>
      <c r="AC904" s="17">
        <f>IF(OR($Z904="",$Z904=6),"",CHOOSE($Z904,"1st Email Follow-up","2nd Email Follow-up","Escalate Local Office","Escalate to CBE","Escalate to Roxanne"))</f>
        <v/>
      </c>
    </row>
    <row r="905" spans="13:29">
      <c r="M905" s="14"/>
      <c r="T905" s="16"/>
      <c r="U905" s="17">
        <f>IF(AND(COUNTA($A905:$L905)=0,$N905=""),"",IF($T905="Paid","PAID",IF($T905="Closed","CLOSED",IF($Z905="","",IF($Z905=6,"ESCALATED TO ROXANNE",IF(TODAY()&gt;$AB905,"OVERDUE",IF($AB905&lt;=WORKDAY(TODAY(),1,Holidays),"DUE TOMORROW",IF($Z905=4,"ESCALATED TO LOCAL OFFICE",IF($Z905=5,"ESCALATED TO CBE",IF($AA905=TODAY(),"EMAIL SENT","MONITORING"))))))))))</f>
        <v/>
      </c>
      <c r="V905" s="17">
        <f>IF($U905="",IF(AND(COUNTA($A905:$L905)&gt;0,$N905=""),"Awaiting Collection Email time stamp.",""),IF(OR($U905="PAID",$U905="CLOSED"),IF($U905="PAID","Account paid. Action completed.","Account closed. No further action required."),CHOOSE($Z905,"Collection Email","1st Email Follow-up","2nd Email Follow-up","Escalation to Local Office","Escalation to CBE","Escalation to Roxanne")&amp;" sent "&amp;TEXT($AA905,"dd-mmm")&amp;". "&amp;IF($Z905=6,"Final escalation completed.",IF($U905="OVERDUE","Next: "&amp;$AC905&amp;" was due "&amp;TEXT($AB905,"dd-mmm")&amp;" - "&amp;(NETWORKDAYS($AB905,TODAY(),Holidays)-1)&amp;" business day(s) late. Send now.",IF($U905="DUE TOMORROW","Next: "&amp;$AC905&amp;IF($AB905&lt;=TODAY()," is due TODAY ("," is due next business day (")&amp;TEXT($AB905,"dd-mmm")&amp;").","Next: "&amp;$AC905&amp;" due "&amp;TEXT($AB905,"dd-mmm")&amp;" ("&amp;(NETWORKDAYS(TODAY(),$AB905,Holidays)-1)&amp;" business day(s) left).")))))</f>
        <v/>
      </c>
      <c r="W905" s="17">
        <f>IF($Z905="","",CHOOSE($Z905,"Collection Email","1st Follow-up","2nd Follow-up","Local Office","CBE","Roxanne")&amp;IF($Z905=6," - Final"," - Day "&amp;MAX(0,NETWORKDAYS($AA905,TODAY(),Holidays)-1)&amp;" of "&amp;CHOOSE($Z905,3,3,2,2,3))&amp;" | Total Day "&amp;MAX(0,NETWORKDAYS($N905,TODAY(),Holidays)-1))</f>
        <v/>
      </c>
      <c r="X905" s="18"/>
      <c r="Y905" s="18"/>
      <c r="Z905" s="17">
        <f>IF($N905="","",COUNT($N905:$S905))</f>
        <v/>
      </c>
      <c r="AA905" s="19">
        <f>IF($Z905="","",INT(INDEX($N905:$S905,$Z905)))</f>
        <v/>
      </c>
      <c r="AB905" s="19">
        <f>IF(OR($Z905="",$Z905=6),"",WORKDAY($AA905,CHOOSE($Z905,3,3,2,2,3),Holidays))</f>
        <v/>
      </c>
      <c r="AC905" s="17">
        <f>IF(OR($Z905="",$Z905=6),"",CHOOSE($Z905,"1st Email Follow-up","2nd Email Follow-up","Escalate Local Office","Escalate to CBE","Escalate to Roxanne"))</f>
        <v/>
      </c>
    </row>
    <row r="906" spans="13:29">
      <c r="M906" s="14"/>
      <c r="T906" s="16"/>
      <c r="U906" s="17">
        <f>IF(AND(COUNTA($A906:$L906)=0,$N906=""),"",IF($T906="Paid","PAID",IF($T906="Closed","CLOSED",IF($Z906="","",IF($Z906=6,"ESCALATED TO ROXANNE",IF(TODAY()&gt;$AB906,"OVERDUE",IF($AB906&lt;=WORKDAY(TODAY(),1,Holidays),"DUE TOMORROW",IF($Z906=4,"ESCALATED TO LOCAL OFFICE",IF($Z906=5,"ESCALATED TO CBE",IF($AA906=TODAY(),"EMAIL SENT","MONITORING"))))))))))</f>
        <v/>
      </c>
      <c r="V906" s="17">
        <f>IF($U906="",IF(AND(COUNTA($A906:$L906)&gt;0,$N906=""),"Awaiting Collection Email time stamp.",""),IF(OR($U906="PAID",$U906="CLOSED"),IF($U906="PAID","Account paid. Action completed.","Account closed. No further action required."),CHOOSE($Z906,"Collection Email","1st Email Follow-up","2nd Email Follow-up","Escalation to Local Office","Escalation to CBE","Escalation to Roxanne")&amp;" sent "&amp;TEXT($AA906,"dd-mmm")&amp;". "&amp;IF($Z906=6,"Final escalation completed.",IF($U906="OVERDUE","Next: "&amp;$AC906&amp;" was due "&amp;TEXT($AB906,"dd-mmm")&amp;" - "&amp;(NETWORKDAYS($AB906,TODAY(),Holidays)-1)&amp;" business day(s) late. Send now.",IF($U906="DUE TOMORROW","Next: "&amp;$AC906&amp;IF($AB906&lt;=TODAY()," is due TODAY ("," is due next business day (")&amp;TEXT($AB906,"dd-mmm")&amp;").","Next: "&amp;$AC906&amp;" due "&amp;TEXT($AB906,"dd-mmm")&amp;" ("&amp;(NETWORKDAYS(TODAY(),$AB906,Holidays)-1)&amp;" business day(s) left).")))))</f>
        <v/>
      </c>
      <c r="W906" s="17">
        <f>IF($Z906="","",CHOOSE($Z906,"Collection Email","1st Follow-up","2nd Follow-up","Local Office","CBE","Roxanne")&amp;IF($Z906=6," - Final"," - Day "&amp;MAX(0,NETWORKDAYS($AA906,TODAY(),Holidays)-1)&amp;" of "&amp;CHOOSE($Z906,3,3,2,2,3))&amp;" | Total Day "&amp;MAX(0,NETWORKDAYS($N906,TODAY(),Holidays)-1))</f>
        <v/>
      </c>
      <c r="X906" s="18"/>
      <c r="Y906" s="18"/>
      <c r="Z906" s="17">
        <f>IF($N906="","",COUNT($N906:$S906))</f>
        <v/>
      </c>
      <c r="AA906" s="19">
        <f>IF($Z906="","",INT(INDEX($N906:$S906,$Z906)))</f>
        <v/>
      </c>
      <c r="AB906" s="19">
        <f>IF(OR($Z906="",$Z906=6),"",WORKDAY($AA906,CHOOSE($Z906,3,3,2,2,3),Holidays))</f>
        <v/>
      </c>
      <c r="AC906" s="17">
        <f>IF(OR($Z906="",$Z906=6),"",CHOOSE($Z906,"1st Email Follow-up","2nd Email Follow-up","Escalate Local Office","Escalate to CBE","Escalate to Roxanne"))</f>
        <v/>
      </c>
    </row>
    <row r="907" spans="13:29">
      <c r="M907" s="14"/>
      <c r="T907" s="16"/>
      <c r="U907" s="17">
        <f>IF(AND(COUNTA($A907:$L907)=0,$N907=""),"",IF($T907="Paid","PAID",IF($T907="Closed","CLOSED",IF($Z907="","",IF($Z907=6,"ESCALATED TO ROXANNE",IF(TODAY()&gt;$AB907,"OVERDUE",IF($AB907&lt;=WORKDAY(TODAY(),1,Holidays),"DUE TOMORROW",IF($Z907=4,"ESCALATED TO LOCAL OFFICE",IF($Z907=5,"ESCALATED TO CBE",IF($AA907=TODAY(),"EMAIL SENT","MONITORING"))))))))))</f>
        <v/>
      </c>
      <c r="V907" s="17">
        <f>IF($U907="",IF(AND(COUNTA($A907:$L907)&gt;0,$N907=""),"Awaiting Collection Email time stamp.",""),IF(OR($U907="PAID",$U907="CLOSED"),IF($U907="PAID","Account paid. Action completed.","Account closed. No further action required."),CHOOSE($Z907,"Collection Email","1st Email Follow-up","2nd Email Follow-up","Escalation to Local Office","Escalation to CBE","Escalation to Roxanne")&amp;" sent "&amp;TEXT($AA907,"dd-mmm")&amp;". "&amp;IF($Z907=6,"Final escalation completed.",IF($U907="OVERDUE","Next: "&amp;$AC907&amp;" was due "&amp;TEXT($AB907,"dd-mmm")&amp;" - "&amp;(NETWORKDAYS($AB907,TODAY(),Holidays)-1)&amp;" business day(s) late. Send now.",IF($U907="DUE TOMORROW","Next: "&amp;$AC907&amp;IF($AB907&lt;=TODAY()," is due TODAY ("," is due next business day (")&amp;TEXT($AB907,"dd-mmm")&amp;").","Next: "&amp;$AC907&amp;" due "&amp;TEXT($AB907,"dd-mmm")&amp;" ("&amp;(NETWORKDAYS(TODAY(),$AB907,Holidays)-1)&amp;" business day(s) left).")))))</f>
        <v/>
      </c>
      <c r="W907" s="17">
        <f>IF($Z907="","",CHOOSE($Z907,"Collection Email","1st Follow-up","2nd Follow-up","Local Office","CBE","Roxanne")&amp;IF($Z907=6," - Final"," - Day "&amp;MAX(0,NETWORKDAYS($AA907,TODAY(),Holidays)-1)&amp;" of "&amp;CHOOSE($Z907,3,3,2,2,3))&amp;" | Total Day "&amp;MAX(0,NETWORKDAYS($N907,TODAY(),Holidays)-1))</f>
        <v/>
      </c>
      <c r="X907" s="18"/>
      <c r="Y907" s="18"/>
      <c r="Z907" s="17">
        <f>IF($N907="","",COUNT($N907:$S907))</f>
        <v/>
      </c>
      <c r="AA907" s="19">
        <f>IF($Z907="","",INT(INDEX($N907:$S907,$Z907)))</f>
        <v/>
      </c>
      <c r="AB907" s="19">
        <f>IF(OR($Z907="",$Z907=6),"",WORKDAY($AA907,CHOOSE($Z907,3,3,2,2,3),Holidays))</f>
        <v/>
      </c>
      <c r="AC907" s="17">
        <f>IF(OR($Z907="",$Z907=6),"",CHOOSE($Z907,"1st Email Follow-up","2nd Email Follow-up","Escalate Local Office","Escalate to CBE","Escalate to Roxanne"))</f>
        <v/>
      </c>
    </row>
    <row r="908" spans="13:29">
      <c r="M908" s="14"/>
      <c r="T908" s="16"/>
      <c r="U908" s="17">
        <f>IF(AND(COUNTA($A908:$L908)=0,$N908=""),"",IF($T908="Paid","PAID",IF($T908="Closed","CLOSED",IF($Z908="","",IF($Z908=6,"ESCALATED TO ROXANNE",IF(TODAY()&gt;$AB908,"OVERDUE",IF($AB908&lt;=WORKDAY(TODAY(),1,Holidays),"DUE TOMORROW",IF($Z908=4,"ESCALATED TO LOCAL OFFICE",IF($Z908=5,"ESCALATED TO CBE",IF($AA908=TODAY(),"EMAIL SENT","MONITORING"))))))))))</f>
        <v/>
      </c>
      <c r="V908" s="17">
        <f>IF($U908="",IF(AND(COUNTA($A908:$L908)&gt;0,$N908=""),"Awaiting Collection Email time stamp.",""),IF(OR($U908="PAID",$U908="CLOSED"),IF($U908="PAID","Account paid. Action completed.","Account closed. No further action required."),CHOOSE($Z908,"Collection Email","1st Email Follow-up","2nd Email Follow-up","Escalation to Local Office","Escalation to CBE","Escalation to Roxanne")&amp;" sent "&amp;TEXT($AA908,"dd-mmm")&amp;". "&amp;IF($Z908=6,"Final escalation completed.",IF($U908="OVERDUE","Next: "&amp;$AC908&amp;" was due "&amp;TEXT($AB908,"dd-mmm")&amp;" - "&amp;(NETWORKDAYS($AB908,TODAY(),Holidays)-1)&amp;" business day(s) late. Send now.",IF($U908="DUE TOMORROW","Next: "&amp;$AC908&amp;IF($AB908&lt;=TODAY()," is due TODAY ("," is due next business day (")&amp;TEXT($AB908,"dd-mmm")&amp;").","Next: "&amp;$AC908&amp;" due "&amp;TEXT($AB908,"dd-mmm")&amp;" ("&amp;(NETWORKDAYS(TODAY(),$AB908,Holidays)-1)&amp;" business day(s) left).")))))</f>
        <v/>
      </c>
      <c r="W908" s="17">
        <f>IF($Z908="","",CHOOSE($Z908,"Collection Email","1st Follow-up","2nd Follow-up","Local Office","CBE","Roxanne")&amp;IF($Z908=6," - Final"," - Day "&amp;MAX(0,NETWORKDAYS($AA908,TODAY(),Holidays)-1)&amp;" of "&amp;CHOOSE($Z908,3,3,2,2,3))&amp;" | Total Day "&amp;MAX(0,NETWORKDAYS($N908,TODAY(),Holidays)-1))</f>
        <v/>
      </c>
      <c r="X908" s="18"/>
      <c r="Y908" s="18"/>
      <c r="Z908" s="17">
        <f>IF($N908="","",COUNT($N908:$S908))</f>
        <v/>
      </c>
      <c r="AA908" s="19">
        <f>IF($Z908="","",INT(INDEX($N908:$S908,$Z908)))</f>
        <v/>
      </c>
      <c r="AB908" s="19">
        <f>IF(OR($Z908="",$Z908=6),"",WORKDAY($AA908,CHOOSE($Z908,3,3,2,2,3),Holidays))</f>
        <v/>
      </c>
      <c r="AC908" s="17">
        <f>IF(OR($Z908="",$Z908=6),"",CHOOSE($Z908,"1st Email Follow-up","2nd Email Follow-up","Escalate Local Office","Escalate to CBE","Escalate to Roxanne"))</f>
        <v/>
      </c>
    </row>
    <row r="909" spans="13:29">
      <c r="M909" s="14"/>
      <c r="T909" s="16"/>
      <c r="U909" s="17">
        <f>IF(AND(COUNTA($A909:$L909)=0,$N909=""),"",IF($T909="Paid","PAID",IF($T909="Closed","CLOSED",IF($Z909="","",IF($Z909=6,"ESCALATED TO ROXANNE",IF(TODAY()&gt;$AB909,"OVERDUE",IF($AB909&lt;=WORKDAY(TODAY(),1,Holidays),"DUE TOMORROW",IF($Z909=4,"ESCALATED TO LOCAL OFFICE",IF($Z909=5,"ESCALATED TO CBE",IF($AA909=TODAY(),"EMAIL SENT","MONITORING"))))))))))</f>
        <v/>
      </c>
      <c r="V909" s="17">
        <f>IF($U909="",IF(AND(COUNTA($A909:$L909)&gt;0,$N909=""),"Awaiting Collection Email time stamp.",""),IF(OR($U909="PAID",$U909="CLOSED"),IF($U909="PAID","Account paid. Action completed.","Account closed. No further action required."),CHOOSE($Z909,"Collection Email","1st Email Follow-up","2nd Email Follow-up","Escalation to Local Office","Escalation to CBE","Escalation to Roxanne")&amp;" sent "&amp;TEXT($AA909,"dd-mmm")&amp;". "&amp;IF($Z909=6,"Final escalation completed.",IF($U909="OVERDUE","Next: "&amp;$AC909&amp;" was due "&amp;TEXT($AB909,"dd-mmm")&amp;" - "&amp;(NETWORKDAYS($AB909,TODAY(),Holidays)-1)&amp;" business day(s) late. Send now.",IF($U909="DUE TOMORROW","Next: "&amp;$AC909&amp;IF($AB909&lt;=TODAY()," is due TODAY ("," is due next business day (")&amp;TEXT($AB909,"dd-mmm")&amp;").","Next: "&amp;$AC909&amp;" due "&amp;TEXT($AB909,"dd-mmm")&amp;" ("&amp;(NETWORKDAYS(TODAY(),$AB909,Holidays)-1)&amp;" business day(s) left).")))))</f>
        <v/>
      </c>
      <c r="W909" s="17">
        <f>IF($Z909="","",CHOOSE($Z909,"Collection Email","1st Follow-up","2nd Follow-up","Local Office","CBE","Roxanne")&amp;IF($Z909=6," - Final"," - Day "&amp;MAX(0,NETWORKDAYS($AA909,TODAY(),Holidays)-1)&amp;" of "&amp;CHOOSE($Z909,3,3,2,2,3))&amp;" | Total Day "&amp;MAX(0,NETWORKDAYS($N909,TODAY(),Holidays)-1))</f>
        <v/>
      </c>
      <c r="X909" s="18"/>
      <c r="Y909" s="18"/>
      <c r="Z909" s="17">
        <f>IF($N909="","",COUNT($N909:$S909))</f>
        <v/>
      </c>
      <c r="AA909" s="19">
        <f>IF($Z909="","",INT(INDEX($N909:$S909,$Z909)))</f>
        <v/>
      </c>
      <c r="AB909" s="19">
        <f>IF(OR($Z909="",$Z909=6),"",WORKDAY($AA909,CHOOSE($Z909,3,3,2,2,3),Holidays))</f>
        <v/>
      </c>
      <c r="AC909" s="17">
        <f>IF(OR($Z909="",$Z909=6),"",CHOOSE($Z909,"1st Email Follow-up","2nd Email Follow-up","Escalate Local Office","Escalate to CBE","Escalate to Roxanne"))</f>
        <v/>
      </c>
    </row>
    <row r="910" spans="13:29">
      <c r="M910" s="14"/>
      <c r="T910" s="16"/>
      <c r="U910" s="17">
        <f>IF(AND(COUNTA($A910:$L910)=0,$N910=""),"",IF($T910="Paid","PAID",IF($T910="Closed","CLOSED",IF($Z910="","",IF($Z910=6,"ESCALATED TO ROXANNE",IF(TODAY()&gt;$AB910,"OVERDUE",IF($AB910&lt;=WORKDAY(TODAY(),1,Holidays),"DUE TOMORROW",IF($Z910=4,"ESCALATED TO LOCAL OFFICE",IF($Z910=5,"ESCALATED TO CBE",IF($AA910=TODAY(),"EMAIL SENT","MONITORING"))))))))))</f>
        <v/>
      </c>
      <c r="V910" s="17">
        <f>IF($U910="",IF(AND(COUNTA($A910:$L910)&gt;0,$N910=""),"Awaiting Collection Email time stamp.",""),IF(OR($U910="PAID",$U910="CLOSED"),IF($U910="PAID","Account paid. Action completed.","Account closed. No further action required."),CHOOSE($Z910,"Collection Email","1st Email Follow-up","2nd Email Follow-up","Escalation to Local Office","Escalation to CBE","Escalation to Roxanne")&amp;" sent "&amp;TEXT($AA910,"dd-mmm")&amp;". "&amp;IF($Z910=6,"Final escalation completed.",IF($U910="OVERDUE","Next: "&amp;$AC910&amp;" was due "&amp;TEXT($AB910,"dd-mmm")&amp;" - "&amp;(NETWORKDAYS($AB910,TODAY(),Holidays)-1)&amp;" business day(s) late. Send now.",IF($U910="DUE TOMORROW","Next: "&amp;$AC910&amp;IF($AB910&lt;=TODAY()," is due TODAY ("," is due next business day (")&amp;TEXT($AB910,"dd-mmm")&amp;").","Next: "&amp;$AC910&amp;" due "&amp;TEXT($AB910,"dd-mmm")&amp;" ("&amp;(NETWORKDAYS(TODAY(),$AB910,Holidays)-1)&amp;" business day(s) left).")))))</f>
        <v/>
      </c>
      <c r="W910" s="17">
        <f>IF($Z910="","",CHOOSE($Z910,"Collection Email","1st Follow-up","2nd Follow-up","Local Office","CBE","Roxanne")&amp;IF($Z910=6," - Final"," - Day "&amp;MAX(0,NETWORKDAYS($AA910,TODAY(),Holidays)-1)&amp;" of "&amp;CHOOSE($Z910,3,3,2,2,3))&amp;" | Total Day "&amp;MAX(0,NETWORKDAYS($N910,TODAY(),Holidays)-1))</f>
        <v/>
      </c>
      <c r="X910" s="18"/>
      <c r="Y910" s="18"/>
      <c r="Z910" s="17">
        <f>IF($N910="","",COUNT($N910:$S910))</f>
        <v/>
      </c>
      <c r="AA910" s="19">
        <f>IF($Z910="","",INT(INDEX($N910:$S910,$Z910)))</f>
        <v/>
      </c>
      <c r="AB910" s="19">
        <f>IF(OR($Z910="",$Z910=6),"",WORKDAY($AA910,CHOOSE($Z910,3,3,2,2,3),Holidays))</f>
        <v/>
      </c>
      <c r="AC910" s="17">
        <f>IF(OR($Z910="",$Z910=6),"",CHOOSE($Z910,"1st Email Follow-up","2nd Email Follow-up","Escalate Local Office","Escalate to CBE","Escalate to Roxanne"))</f>
        <v/>
      </c>
    </row>
    <row r="911" spans="13:29">
      <c r="M911" s="14"/>
      <c r="T911" s="16"/>
      <c r="U911" s="17">
        <f>IF(AND(COUNTA($A911:$L911)=0,$N911=""),"",IF($T911="Paid","PAID",IF($T911="Closed","CLOSED",IF($Z911="","",IF($Z911=6,"ESCALATED TO ROXANNE",IF(TODAY()&gt;$AB911,"OVERDUE",IF($AB911&lt;=WORKDAY(TODAY(),1,Holidays),"DUE TOMORROW",IF($Z911=4,"ESCALATED TO LOCAL OFFICE",IF($Z911=5,"ESCALATED TO CBE",IF($AA911=TODAY(),"EMAIL SENT","MONITORING"))))))))))</f>
        <v/>
      </c>
      <c r="V911" s="17">
        <f>IF($U911="",IF(AND(COUNTA($A911:$L911)&gt;0,$N911=""),"Awaiting Collection Email time stamp.",""),IF(OR($U911="PAID",$U911="CLOSED"),IF($U911="PAID","Account paid. Action completed.","Account closed. No further action required."),CHOOSE($Z911,"Collection Email","1st Email Follow-up","2nd Email Follow-up","Escalation to Local Office","Escalation to CBE","Escalation to Roxanne")&amp;" sent "&amp;TEXT($AA911,"dd-mmm")&amp;". "&amp;IF($Z911=6,"Final escalation completed.",IF($U911="OVERDUE","Next: "&amp;$AC911&amp;" was due "&amp;TEXT($AB911,"dd-mmm")&amp;" - "&amp;(NETWORKDAYS($AB911,TODAY(),Holidays)-1)&amp;" business day(s) late. Send now.",IF($U911="DUE TOMORROW","Next: "&amp;$AC911&amp;IF($AB911&lt;=TODAY()," is due TODAY ("," is due next business day (")&amp;TEXT($AB911,"dd-mmm")&amp;").","Next: "&amp;$AC911&amp;" due "&amp;TEXT($AB911,"dd-mmm")&amp;" ("&amp;(NETWORKDAYS(TODAY(),$AB911,Holidays)-1)&amp;" business day(s) left).")))))</f>
        <v/>
      </c>
      <c r="W911" s="17">
        <f>IF($Z911="","",CHOOSE($Z911,"Collection Email","1st Follow-up","2nd Follow-up","Local Office","CBE","Roxanne")&amp;IF($Z911=6," - Final"," - Day "&amp;MAX(0,NETWORKDAYS($AA911,TODAY(),Holidays)-1)&amp;" of "&amp;CHOOSE($Z911,3,3,2,2,3))&amp;" | Total Day "&amp;MAX(0,NETWORKDAYS($N911,TODAY(),Holidays)-1))</f>
        <v/>
      </c>
      <c r="X911" s="18"/>
      <c r="Y911" s="18"/>
      <c r="Z911" s="17">
        <f>IF($N911="","",COUNT($N911:$S911))</f>
        <v/>
      </c>
      <c r="AA911" s="19">
        <f>IF($Z911="","",INT(INDEX($N911:$S911,$Z911)))</f>
        <v/>
      </c>
      <c r="AB911" s="19">
        <f>IF(OR($Z911="",$Z911=6),"",WORKDAY($AA911,CHOOSE($Z911,3,3,2,2,3),Holidays))</f>
        <v/>
      </c>
      <c r="AC911" s="17">
        <f>IF(OR($Z911="",$Z911=6),"",CHOOSE($Z911,"1st Email Follow-up","2nd Email Follow-up","Escalate Local Office","Escalate to CBE","Escalate to Roxanne"))</f>
        <v/>
      </c>
    </row>
    <row r="912" spans="13:29">
      <c r="M912" s="14"/>
      <c r="T912" s="16"/>
      <c r="U912" s="17">
        <f>IF(AND(COUNTA($A912:$L912)=0,$N912=""),"",IF($T912="Paid","PAID",IF($T912="Closed","CLOSED",IF($Z912="","",IF($Z912=6,"ESCALATED TO ROXANNE",IF(TODAY()&gt;$AB912,"OVERDUE",IF($AB912&lt;=WORKDAY(TODAY(),1,Holidays),"DUE TOMORROW",IF($Z912=4,"ESCALATED TO LOCAL OFFICE",IF($Z912=5,"ESCALATED TO CBE",IF($AA912=TODAY(),"EMAIL SENT","MONITORING"))))))))))</f>
        <v/>
      </c>
      <c r="V912" s="17">
        <f>IF($U912="",IF(AND(COUNTA($A912:$L912)&gt;0,$N912=""),"Awaiting Collection Email time stamp.",""),IF(OR($U912="PAID",$U912="CLOSED"),IF($U912="PAID","Account paid. Action completed.","Account closed. No further action required."),CHOOSE($Z912,"Collection Email","1st Email Follow-up","2nd Email Follow-up","Escalation to Local Office","Escalation to CBE","Escalation to Roxanne")&amp;" sent "&amp;TEXT($AA912,"dd-mmm")&amp;". "&amp;IF($Z912=6,"Final escalation completed.",IF($U912="OVERDUE","Next: "&amp;$AC912&amp;" was due "&amp;TEXT($AB912,"dd-mmm")&amp;" - "&amp;(NETWORKDAYS($AB912,TODAY(),Holidays)-1)&amp;" business day(s) late. Send now.",IF($U912="DUE TOMORROW","Next: "&amp;$AC912&amp;IF($AB912&lt;=TODAY()," is due TODAY ("," is due next business day (")&amp;TEXT($AB912,"dd-mmm")&amp;").","Next: "&amp;$AC912&amp;" due "&amp;TEXT($AB912,"dd-mmm")&amp;" ("&amp;(NETWORKDAYS(TODAY(),$AB912,Holidays)-1)&amp;" business day(s) left).")))))</f>
        <v/>
      </c>
      <c r="W912" s="17">
        <f>IF($Z912="","",CHOOSE($Z912,"Collection Email","1st Follow-up","2nd Follow-up","Local Office","CBE","Roxanne")&amp;IF($Z912=6," - Final"," - Day "&amp;MAX(0,NETWORKDAYS($AA912,TODAY(),Holidays)-1)&amp;" of "&amp;CHOOSE($Z912,3,3,2,2,3))&amp;" | Total Day "&amp;MAX(0,NETWORKDAYS($N912,TODAY(),Holidays)-1))</f>
        <v/>
      </c>
      <c r="X912" s="18"/>
      <c r="Y912" s="18"/>
      <c r="Z912" s="17">
        <f>IF($N912="","",COUNT($N912:$S912))</f>
        <v/>
      </c>
      <c r="AA912" s="19">
        <f>IF($Z912="","",INT(INDEX($N912:$S912,$Z912)))</f>
        <v/>
      </c>
      <c r="AB912" s="19">
        <f>IF(OR($Z912="",$Z912=6),"",WORKDAY($AA912,CHOOSE($Z912,3,3,2,2,3),Holidays))</f>
        <v/>
      </c>
      <c r="AC912" s="17">
        <f>IF(OR($Z912="",$Z912=6),"",CHOOSE($Z912,"1st Email Follow-up","2nd Email Follow-up","Escalate Local Office","Escalate to CBE","Escalate to Roxanne"))</f>
        <v/>
      </c>
    </row>
    <row r="913" spans="13:29">
      <c r="M913" s="14"/>
      <c r="T913" s="16"/>
      <c r="U913" s="17">
        <f>IF(AND(COUNTA($A913:$L913)=0,$N913=""),"",IF($T913="Paid","PAID",IF($T913="Closed","CLOSED",IF($Z913="","",IF($Z913=6,"ESCALATED TO ROXANNE",IF(TODAY()&gt;$AB913,"OVERDUE",IF($AB913&lt;=WORKDAY(TODAY(),1,Holidays),"DUE TOMORROW",IF($Z913=4,"ESCALATED TO LOCAL OFFICE",IF($Z913=5,"ESCALATED TO CBE",IF($AA913=TODAY(),"EMAIL SENT","MONITORING"))))))))))</f>
        <v/>
      </c>
      <c r="V913" s="17">
        <f>IF($U913="",IF(AND(COUNTA($A913:$L913)&gt;0,$N913=""),"Awaiting Collection Email time stamp.",""),IF(OR($U913="PAID",$U913="CLOSED"),IF($U913="PAID","Account paid. Action completed.","Account closed. No further action required."),CHOOSE($Z913,"Collection Email","1st Email Follow-up","2nd Email Follow-up","Escalation to Local Office","Escalation to CBE","Escalation to Roxanne")&amp;" sent "&amp;TEXT($AA913,"dd-mmm")&amp;". "&amp;IF($Z913=6,"Final escalation completed.",IF($U913="OVERDUE","Next: "&amp;$AC913&amp;" was due "&amp;TEXT($AB913,"dd-mmm")&amp;" - "&amp;(NETWORKDAYS($AB913,TODAY(),Holidays)-1)&amp;" business day(s) late. Send now.",IF($U913="DUE TOMORROW","Next: "&amp;$AC913&amp;IF($AB913&lt;=TODAY()," is due TODAY ("," is due next business day (")&amp;TEXT($AB913,"dd-mmm")&amp;").","Next: "&amp;$AC913&amp;" due "&amp;TEXT($AB913,"dd-mmm")&amp;" ("&amp;(NETWORKDAYS(TODAY(),$AB913,Holidays)-1)&amp;" business day(s) left).")))))</f>
        <v/>
      </c>
      <c r="W913" s="17">
        <f>IF($Z913="","",CHOOSE($Z913,"Collection Email","1st Follow-up","2nd Follow-up","Local Office","CBE","Roxanne")&amp;IF($Z913=6," - Final"," - Day "&amp;MAX(0,NETWORKDAYS($AA913,TODAY(),Holidays)-1)&amp;" of "&amp;CHOOSE($Z913,3,3,2,2,3))&amp;" | Total Day "&amp;MAX(0,NETWORKDAYS($N913,TODAY(),Holidays)-1))</f>
        <v/>
      </c>
      <c r="X913" s="18"/>
      <c r="Y913" s="18"/>
      <c r="Z913" s="17">
        <f>IF($N913="","",COUNT($N913:$S913))</f>
        <v/>
      </c>
      <c r="AA913" s="19">
        <f>IF($Z913="","",INT(INDEX($N913:$S913,$Z913)))</f>
        <v/>
      </c>
      <c r="AB913" s="19">
        <f>IF(OR($Z913="",$Z913=6),"",WORKDAY($AA913,CHOOSE($Z913,3,3,2,2,3),Holidays))</f>
        <v/>
      </c>
      <c r="AC913" s="17">
        <f>IF(OR($Z913="",$Z913=6),"",CHOOSE($Z913,"1st Email Follow-up","2nd Email Follow-up","Escalate Local Office","Escalate to CBE","Escalate to Roxanne"))</f>
        <v/>
      </c>
    </row>
    <row r="914" spans="13:29">
      <c r="M914" s="14"/>
      <c r="T914" s="16"/>
      <c r="U914" s="17">
        <f>IF(AND(COUNTA($A914:$L914)=0,$N914=""),"",IF($T914="Paid","PAID",IF($T914="Closed","CLOSED",IF($Z914="","",IF($Z914=6,"ESCALATED TO ROXANNE",IF(TODAY()&gt;$AB914,"OVERDUE",IF($AB914&lt;=WORKDAY(TODAY(),1,Holidays),"DUE TOMORROW",IF($Z914=4,"ESCALATED TO LOCAL OFFICE",IF($Z914=5,"ESCALATED TO CBE",IF($AA914=TODAY(),"EMAIL SENT","MONITORING"))))))))))</f>
        <v/>
      </c>
      <c r="V914" s="17">
        <f>IF($U914="",IF(AND(COUNTA($A914:$L914)&gt;0,$N914=""),"Awaiting Collection Email time stamp.",""),IF(OR($U914="PAID",$U914="CLOSED"),IF($U914="PAID","Account paid. Action completed.","Account closed. No further action required."),CHOOSE($Z914,"Collection Email","1st Email Follow-up","2nd Email Follow-up","Escalation to Local Office","Escalation to CBE","Escalation to Roxanne")&amp;" sent "&amp;TEXT($AA914,"dd-mmm")&amp;". "&amp;IF($Z914=6,"Final escalation completed.",IF($U914="OVERDUE","Next: "&amp;$AC914&amp;" was due "&amp;TEXT($AB914,"dd-mmm")&amp;" - "&amp;(NETWORKDAYS($AB914,TODAY(),Holidays)-1)&amp;" business day(s) late. Send now.",IF($U914="DUE TOMORROW","Next: "&amp;$AC914&amp;IF($AB914&lt;=TODAY()," is due TODAY ("," is due next business day (")&amp;TEXT($AB914,"dd-mmm")&amp;").","Next: "&amp;$AC914&amp;" due "&amp;TEXT($AB914,"dd-mmm")&amp;" ("&amp;(NETWORKDAYS(TODAY(),$AB914,Holidays)-1)&amp;" business day(s) left).")))))</f>
        <v/>
      </c>
      <c r="W914" s="17">
        <f>IF($Z914="","",CHOOSE($Z914,"Collection Email","1st Follow-up","2nd Follow-up","Local Office","CBE","Roxanne")&amp;IF($Z914=6," - Final"," - Day "&amp;MAX(0,NETWORKDAYS($AA914,TODAY(),Holidays)-1)&amp;" of "&amp;CHOOSE($Z914,3,3,2,2,3))&amp;" | Total Day "&amp;MAX(0,NETWORKDAYS($N914,TODAY(),Holidays)-1))</f>
        <v/>
      </c>
      <c r="X914" s="18"/>
      <c r="Y914" s="18"/>
      <c r="Z914" s="17">
        <f>IF($N914="","",COUNT($N914:$S914))</f>
        <v/>
      </c>
      <c r="AA914" s="19">
        <f>IF($Z914="","",INT(INDEX($N914:$S914,$Z914)))</f>
        <v/>
      </c>
      <c r="AB914" s="19">
        <f>IF(OR($Z914="",$Z914=6),"",WORKDAY($AA914,CHOOSE($Z914,3,3,2,2,3),Holidays))</f>
        <v/>
      </c>
      <c r="AC914" s="17">
        <f>IF(OR($Z914="",$Z914=6),"",CHOOSE($Z914,"1st Email Follow-up","2nd Email Follow-up","Escalate Local Office","Escalate to CBE","Escalate to Roxanne"))</f>
        <v/>
      </c>
    </row>
    <row r="915" spans="13:29">
      <c r="M915" s="14"/>
      <c r="T915" s="16"/>
      <c r="U915" s="17">
        <f>IF(AND(COUNTA($A915:$L915)=0,$N915=""),"",IF($T915="Paid","PAID",IF($T915="Closed","CLOSED",IF($Z915="","",IF($Z915=6,"ESCALATED TO ROXANNE",IF(TODAY()&gt;$AB915,"OVERDUE",IF($AB915&lt;=WORKDAY(TODAY(),1,Holidays),"DUE TOMORROW",IF($Z915=4,"ESCALATED TO LOCAL OFFICE",IF($Z915=5,"ESCALATED TO CBE",IF($AA915=TODAY(),"EMAIL SENT","MONITORING"))))))))))</f>
        <v/>
      </c>
      <c r="V915" s="17">
        <f>IF($U915="",IF(AND(COUNTA($A915:$L915)&gt;0,$N915=""),"Awaiting Collection Email time stamp.",""),IF(OR($U915="PAID",$U915="CLOSED"),IF($U915="PAID","Account paid. Action completed.","Account closed. No further action required."),CHOOSE($Z915,"Collection Email","1st Email Follow-up","2nd Email Follow-up","Escalation to Local Office","Escalation to CBE","Escalation to Roxanne")&amp;" sent "&amp;TEXT($AA915,"dd-mmm")&amp;". "&amp;IF($Z915=6,"Final escalation completed.",IF($U915="OVERDUE","Next: "&amp;$AC915&amp;" was due "&amp;TEXT($AB915,"dd-mmm")&amp;" - "&amp;(NETWORKDAYS($AB915,TODAY(),Holidays)-1)&amp;" business day(s) late. Send now.",IF($U915="DUE TOMORROW","Next: "&amp;$AC915&amp;IF($AB915&lt;=TODAY()," is due TODAY ("," is due next business day (")&amp;TEXT($AB915,"dd-mmm")&amp;").","Next: "&amp;$AC915&amp;" due "&amp;TEXT($AB915,"dd-mmm")&amp;" ("&amp;(NETWORKDAYS(TODAY(),$AB915,Holidays)-1)&amp;" business day(s) left).")))))</f>
        <v/>
      </c>
      <c r="W915" s="17">
        <f>IF($Z915="","",CHOOSE($Z915,"Collection Email","1st Follow-up","2nd Follow-up","Local Office","CBE","Roxanne")&amp;IF($Z915=6," - Final"," - Day "&amp;MAX(0,NETWORKDAYS($AA915,TODAY(),Holidays)-1)&amp;" of "&amp;CHOOSE($Z915,3,3,2,2,3))&amp;" | Total Day "&amp;MAX(0,NETWORKDAYS($N915,TODAY(),Holidays)-1))</f>
        <v/>
      </c>
      <c r="X915" s="18"/>
      <c r="Y915" s="18"/>
      <c r="Z915" s="17">
        <f>IF($N915="","",COUNT($N915:$S915))</f>
        <v/>
      </c>
      <c r="AA915" s="19">
        <f>IF($Z915="","",INT(INDEX($N915:$S915,$Z915)))</f>
        <v/>
      </c>
      <c r="AB915" s="19">
        <f>IF(OR($Z915="",$Z915=6),"",WORKDAY($AA915,CHOOSE($Z915,3,3,2,2,3),Holidays))</f>
        <v/>
      </c>
      <c r="AC915" s="17">
        <f>IF(OR($Z915="",$Z915=6),"",CHOOSE($Z915,"1st Email Follow-up","2nd Email Follow-up","Escalate Local Office","Escalate to CBE","Escalate to Roxanne"))</f>
        <v/>
      </c>
    </row>
    <row r="916" spans="13:29">
      <c r="M916" s="14"/>
      <c r="T916" s="16"/>
      <c r="U916" s="17">
        <f>IF(AND(COUNTA($A916:$L916)=0,$N916=""),"",IF($T916="Paid","PAID",IF($T916="Closed","CLOSED",IF($Z916="","",IF($Z916=6,"ESCALATED TO ROXANNE",IF(TODAY()&gt;$AB916,"OVERDUE",IF($AB916&lt;=WORKDAY(TODAY(),1,Holidays),"DUE TOMORROW",IF($Z916=4,"ESCALATED TO LOCAL OFFICE",IF($Z916=5,"ESCALATED TO CBE",IF($AA916=TODAY(),"EMAIL SENT","MONITORING"))))))))))</f>
        <v/>
      </c>
      <c r="V916" s="17">
        <f>IF($U916="",IF(AND(COUNTA($A916:$L916)&gt;0,$N916=""),"Awaiting Collection Email time stamp.",""),IF(OR($U916="PAID",$U916="CLOSED"),IF($U916="PAID","Account paid. Action completed.","Account closed. No further action required."),CHOOSE($Z916,"Collection Email","1st Email Follow-up","2nd Email Follow-up","Escalation to Local Office","Escalation to CBE","Escalation to Roxanne")&amp;" sent "&amp;TEXT($AA916,"dd-mmm")&amp;". "&amp;IF($Z916=6,"Final escalation completed.",IF($U916="OVERDUE","Next: "&amp;$AC916&amp;" was due "&amp;TEXT($AB916,"dd-mmm")&amp;" - "&amp;(NETWORKDAYS($AB916,TODAY(),Holidays)-1)&amp;" business day(s) late. Send now.",IF($U916="DUE TOMORROW","Next: "&amp;$AC916&amp;IF($AB916&lt;=TODAY()," is due TODAY ("," is due next business day (")&amp;TEXT($AB916,"dd-mmm")&amp;").","Next: "&amp;$AC916&amp;" due "&amp;TEXT($AB916,"dd-mmm")&amp;" ("&amp;(NETWORKDAYS(TODAY(),$AB916,Holidays)-1)&amp;" business day(s) left).")))))</f>
        <v/>
      </c>
      <c r="W916" s="17">
        <f>IF($Z916="","",CHOOSE($Z916,"Collection Email","1st Follow-up","2nd Follow-up","Local Office","CBE","Roxanne")&amp;IF($Z916=6," - Final"," - Day "&amp;MAX(0,NETWORKDAYS($AA916,TODAY(),Holidays)-1)&amp;" of "&amp;CHOOSE($Z916,3,3,2,2,3))&amp;" | Total Day "&amp;MAX(0,NETWORKDAYS($N916,TODAY(),Holidays)-1))</f>
        <v/>
      </c>
      <c r="X916" s="18"/>
      <c r="Y916" s="18"/>
      <c r="Z916" s="17">
        <f>IF($N916="","",COUNT($N916:$S916))</f>
        <v/>
      </c>
      <c r="AA916" s="19">
        <f>IF($Z916="","",INT(INDEX($N916:$S916,$Z916)))</f>
        <v/>
      </c>
      <c r="AB916" s="19">
        <f>IF(OR($Z916="",$Z916=6),"",WORKDAY($AA916,CHOOSE($Z916,3,3,2,2,3),Holidays))</f>
        <v/>
      </c>
      <c r="AC916" s="17">
        <f>IF(OR($Z916="",$Z916=6),"",CHOOSE($Z916,"1st Email Follow-up","2nd Email Follow-up","Escalate Local Office","Escalate to CBE","Escalate to Roxanne"))</f>
        <v/>
      </c>
    </row>
    <row r="917" spans="13:29">
      <c r="M917" s="14"/>
      <c r="T917" s="16"/>
      <c r="U917" s="17">
        <f>IF(AND(COUNTA($A917:$L917)=0,$N917=""),"",IF($T917="Paid","PAID",IF($T917="Closed","CLOSED",IF($Z917="","",IF($Z917=6,"ESCALATED TO ROXANNE",IF(TODAY()&gt;$AB917,"OVERDUE",IF($AB917&lt;=WORKDAY(TODAY(),1,Holidays),"DUE TOMORROW",IF($Z917=4,"ESCALATED TO LOCAL OFFICE",IF($Z917=5,"ESCALATED TO CBE",IF($AA917=TODAY(),"EMAIL SENT","MONITORING"))))))))))</f>
        <v/>
      </c>
      <c r="V917" s="17">
        <f>IF($U917="",IF(AND(COUNTA($A917:$L917)&gt;0,$N917=""),"Awaiting Collection Email time stamp.",""),IF(OR($U917="PAID",$U917="CLOSED"),IF($U917="PAID","Account paid. Action completed.","Account closed. No further action required."),CHOOSE($Z917,"Collection Email","1st Email Follow-up","2nd Email Follow-up","Escalation to Local Office","Escalation to CBE","Escalation to Roxanne")&amp;" sent "&amp;TEXT($AA917,"dd-mmm")&amp;". "&amp;IF($Z917=6,"Final escalation completed.",IF($U917="OVERDUE","Next: "&amp;$AC917&amp;" was due "&amp;TEXT($AB917,"dd-mmm")&amp;" - "&amp;(NETWORKDAYS($AB917,TODAY(),Holidays)-1)&amp;" business day(s) late. Send now.",IF($U917="DUE TOMORROW","Next: "&amp;$AC917&amp;IF($AB917&lt;=TODAY()," is due TODAY ("," is due next business day (")&amp;TEXT($AB917,"dd-mmm")&amp;").","Next: "&amp;$AC917&amp;" due "&amp;TEXT($AB917,"dd-mmm")&amp;" ("&amp;(NETWORKDAYS(TODAY(),$AB917,Holidays)-1)&amp;" business day(s) left).")))))</f>
        <v/>
      </c>
      <c r="W917" s="17">
        <f>IF($Z917="","",CHOOSE($Z917,"Collection Email","1st Follow-up","2nd Follow-up","Local Office","CBE","Roxanne")&amp;IF($Z917=6," - Final"," - Day "&amp;MAX(0,NETWORKDAYS($AA917,TODAY(),Holidays)-1)&amp;" of "&amp;CHOOSE($Z917,3,3,2,2,3))&amp;" | Total Day "&amp;MAX(0,NETWORKDAYS($N917,TODAY(),Holidays)-1))</f>
        <v/>
      </c>
      <c r="X917" s="18"/>
      <c r="Y917" s="18"/>
      <c r="Z917" s="17">
        <f>IF($N917="","",COUNT($N917:$S917))</f>
        <v/>
      </c>
      <c r="AA917" s="19">
        <f>IF($Z917="","",INT(INDEX($N917:$S917,$Z917)))</f>
        <v/>
      </c>
      <c r="AB917" s="19">
        <f>IF(OR($Z917="",$Z917=6),"",WORKDAY($AA917,CHOOSE($Z917,3,3,2,2,3),Holidays))</f>
        <v/>
      </c>
      <c r="AC917" s="17">
        <f>IF(OR($Z917="",$Z917=6),"",CHOOSE($Z917,"1st Email Follow-up","2nd Email Follow-up","Escalate Local Office","Escalate to CBE","Escalate to Roxanne"))</f>
        <v/>
      </c>
    </row>
    <row r="918" spans="13:29">
      <c r="M918" s="14"/>
      <c r="T918" s="16"/>
      <c r="U918" s="17">
        <f>IF(AND(COUNTA($A918:$L918)=0,$N918=""),"",IF($T918="Paid","PAID",IF($T918="Closed","CLOSED",IF($Z918="","",IF($Z918=6,"ESCALATED TO ROXANNE",IF(TODAY()&gt;$AB918,"OVERDUE",IF($AB918&lt;=WORKDAY(TODAY(),1,Holidays),"DUE TOMORROW",IF($Z918=4,"ESCALATED TO LOCAL OFFICE",IF($Z918=5,"ESCALATED TO CBE",IF($AA918=TODAY(),"EMAIL SENT","MONITORING"))))))))))</f>
        <v/>
      </c>
      <c r="V918" s="17">
        <f>IF($U918="",IF(AND(COUNTA($A918:$L918)&gt;0,$N918=""),"Awaiting Collection Email time stamp.",""),IF(OR($U918="PAID",$U918="CLOSED"),IF($U918="PAID","Account paid. Action completed.","Account closed. No further action required."),CHOOSE($Z918,"Collection Email","1st Email Follow-up","2nd Email Follow-up","Escalation to Local Office","Escalation to CBE","Escalation to Roxanne")&amp;" sent "&amp;TEXT($AA918,"dd-mmm")&amp;". "&amp;IF($Z918=6,"Final escalation completed.",IF($U918="OVERDUE","Next: "&amp;$AC918&amp;" was due "&amp;TEXT($AB918,"dd-mmm")&amp;" - "&amp;(NETWORKDAYS($AB918,TODAY(),Holidays)-1)&amp;" business day(s) late. Send now.",IF($U918="DUE TOMORROW","Next: "&amp;$AC918&amp;IF($AB918&lt;=TODAY()," is due TODAY ("," is due next business day (")&amp;TEXT($AB918,"dd-mmm")&amp;").","Next: "&amp;$AC918&amp;" due "&amp;TEXT($AB918,"dd-mmm")&amp;" ("&amp;(NETWORKDAYS(TODAY(),$AB918,Holidays)-1)&amp;" business day(s) left).")))))</f>
        <v/>
      </c>
      <c r="W918" s="17">
        <f>IF($Z918="","",CHOOSE($Z918,"Collection Email","1st Follow-up","2nd Follow-up","Local Office","CBE","Roxanne")&amp;IF($Z918=6," - Final"," - Day "&amp;MAX(0,NETWORKDAYS($AA918,TODAY(),Holidays)-1)&amp;" of "&amp;CHOOSE($Z918,3,3,2,2,3))&amp;" | Total Day "&amp;MAX(0,NETWORKDAYS($N918,TODAY(),Holidays)-1))</f>
        <v/>
      </c>
      <c r="X918" s="18"/>
      <c r="Y918" s="18"/>
      <c r="Z918" s="17">
        <f>IF($N918="","",COUNT($N918:$S918))</f>
        <v/>
      </c>
      <c r="AA918" s="19">
        <f>IF($Z918="","",INT(INDEX($N918:$S918,$Z918)))</f>
        <v/>
      </c>
      <c r="AB918" s="19">
        <f>IF(OR($Z918="",$Z918=6),"",WORKDAY($AA918,CHOOSE($Z918,3,3,2,2,3),Holidays))</f>
        <v/>
      </c>
      <c r="AC918" s="17">
        <f>IF(OR($Z918="",$Z918=6),"",CHOOSE($Z918,"1st Email Follow-up","2nd Email Follow-up","Escalate Local Office","Escalate to CBE","Escalate to Roxanne"))</f>
        <v/>
      </c>
    </row>
    <row r="919" spans="13:29">
      <c r="M919" s="14"/>
      <c r="T919" s="16"/>
      <c r="U919" s="17">
        <f>IF(AND(COUNTA($A919:$L919)=0,$N919=""),"",IF($T919="Paid","PAID",IF($T919="Closed","CLOSED",IF($Z919="","",IF($Z919=6,"ESCALATED TO ROXANNE",IF(TODAY()&gt;$AB919,"OVERDUE",IF($AB919&lt;=WORKDAY(TODAY(),1,Holidays),"DUE TOMORROW",IF($Z919=4,"ESCALATED TO LOCAL OFFICE",IF($Z919=5,"ESCALATED TO CBE",IF($AA919=TODAY(),"EMAIL SENT","MONITORING"))))))))))</f>
        <v/>
      </c>
      <c r="V919" s="17">
        <f>IF($U919="",IF(AND(COUNTA($A919:$L919)&gt;0,$N919=""),"Awaiting Collection Email time stamp.",""),IF(OR($U919="PAID",$U919="CLOSED"),IF($U919="PAID","Account paid. Action completed.","Account closed. No further action required."),CHOOSE($Z919,"Collection Email","1st Email Follow-up","2nd Email Follow-up","Escalation to Local Office","Escalation to CBE","Escalation to Roxanne")&amp;" sent "&amp;TEXT($AA919,"dd-mmm")&amp;". "&amp;IF($Z919=6,"Final escalation completed.",IF($U919="OVERDUE","Next: "&amp;$AC919&amp;" was due "&amp;TEXT($AB919,"dd-mmm")&amp;" - "&amp;(NETWORKDAYS($AB919,TODAY(),Holidays)-1)&amp;" business day(s) late. Send now.",IF($U919="DUE TOMORROW","Next: "&amp;$AC919&amp;IF($AB919&lt;=TODAY()," is due TODAY ("," is due next business day (")&amp;TEXT($AB919,"dd-mmm")&amp;").","Next: "&amp;$AC919&amp;" due "&amp;TEXT($AB919,"dd-mmm")&amp;" ("&amp;(NETWORKDAYS(TODAY(),$AB919,Holidays)-1)&amp;" business day(s) left).")))))</f>
        <v/>
      </c>
      <c r="W919" s="17">
        <f>IF($Z919="","",CHOOSE($Z919,"Collection Email","1st Follow-up","2nd Follow-up","Local Office","CBE","Roxanne")&amp;IF($Z919=6," - Final"," - Day "&amp;MAX(0,NETWORKDAYS($AA919,TODAY(),Holidays)-1)&amp;" of "&amp;CHOOSE($Z919,3,3,2,2,3))&amp;" | Total Day "&amp;MAX(0,NETWORKDAYS($N919,TODAY(),Holidays)-1))</f>
        <v/>
      </c>
      <c r="X919" s="18"/>
      <c r="Y919" s="18"/>
      <c r="Z919" s="17">
        <f>IF($N919="","",COUNT($N919:$S919))</f>
        <v/>
      </c>
      <c r="AA919" s="19">
        <f>IF($Z919="","",INT(INDEX($N919:$S919,$Z919)))</f>
        <v/>
      </c>
      <c r="AB919" s="19">
        <f>IF(OR($Z919="",$Z919=6),"",WORKDAY($AA919,CHOOSE($Z919,3,3,2,2,3),Holidays))</f>
        <v/>
      </c>
      <c r="AC919" s="17">
        <f>IF(OR($Z919="",$Z919=6),"",CHOOSE($Z919,"1st Email Follow-up","2nd Email Follow-up","Escalate Local Office","Escalate to CBE","Escalate to Roxanne"))</f>
        <v/>
      </c>
    </row>
    <row r="920" spans="13:29">
      <c r="M920" s="14"/>
      <c r="T920" s="16"/>
      <c r="U920" s="17">
        <f>IF(AND(COUNTA($A920:$L920)=0,$N920=""),"",IF($T920="Paid","PAID",IF($T920="Closed","CLOSED",IF($Z920="","",IF($Z920=6,"ESCALATED TO ROXANNE",IF(TODAY()&gt;$AB920,"OVERDUE",IF($AB920&lt;=WORKDAY(TODAY(),1,Holidays),"DUE TOMORROW",IF($Z920=4,"ESCALATED TO LOCAL OFFICE",IF($Z920=5,"ESCALATED TO CBE",IF($AA920=TODAY(),"EMAIL SENT","MONITORING"))))))))))</f>
        <v/>
      </c>
      <c r="V920" s="17">
        <f>IF($U920="",IF(AND(COUNTA($A920:$L920)&gt;0,$N920=""),"Awaiting Collection Email time stamp.",""),IF(OR($U920="PAID",$U920="CLOSED"),IF($U920="PAID","Account paid. Action completed.","Account closed. No further action required."),CHOOSE($Z920,"Collection Email","1st Email Follow-up","2nd Email Follow-up","Escalation to Local Office","Escalation to CBE","Escalation to Roxanne")&amp;" sent "&amp;TEXT($AA920,"dd-mmm")&amp;". "&amp;IF($Z920=6,"Final escalation completed.",IF($U920="OVERDUE","Next: "&amp;$AC920&amp;" was due "&amp;TEXT($AB920,"dd-mmm")&amp;" - "&amp;(NETWORKDAYS($AB920,TODAY(),Holidays)-1)&amp;" business day(s) late. Send now.",IF($U920="DUE TOMORROW","Next: "&amp;$AC920&amp;IF($AB920&lt;=TODAY()," is due TODAY ("," is due next business day (")&amp;TEXT($AB920,"dd-mmm")&amp;").","Next: "&amp;$AC920&amp;" due "&amp;TEXT($AB920,"dd-mmm")&amp;" ("&amp;(NETWORKDAYS(TODAY(),$AB920,Holidays)-1)&amp;" business day(s) left).")))))</f>
        <v/>
      </c>
      <c r="W920" s="17">
        <f>IF($Z920="","",CHOOSE($Z920,"Collection Email","1st Follow-up","2nd Follow-up","Local Office","CBE","Roxanne")&amp;IF($Z920=6," - Final"," - Day "&amp;MAX(0,NETWORKDAYS($AA920,TODAY(),Holidays)-1)&amp;" of "&amp;CHOOSE($Z920,3,3,2,2,3))&amp;" | Total Day "&amp;MAX(0,NETWORKDAYS($N920,TODAY(),Holidays)-1))</f>
        <v/>
      </c>
      <c r="X920" s="18"/>
      <c r="Y920" s="18"/>
      <c r="Z920" s="17">
        <f>IF($N920="","",COUNT($N920:$S920))</f>
        <v/>
      </c>
      <c r="AA920" s="19">
        <f>IF($Z920="","",INT(INDEX($N920:$S920,$Z920)))</f>
        <v/>
      </c>
      <c r="AB920" s="19">
        <f>IF(OR($Z920="",$Z920=6),"",WORKDAY($AA920,CHOOSE($Z920,3,3,2,2,3),Holidays))</f>
        <v/>
      </c>
      <c r="AC920" s="17">
        <f>IF(OR($Z920="",$Z920=6),"",CHOOSE($Z920,"1st Email Follow-up","2nd Email Follow-up","Escalate Local Office","Escalate to CBE","Escalate to Roxanne"))</f>
        <v/>
      </c>
    </row>
    <row r="921" spans="13:29">
      <c r="M921" s="14"/>
      <c r="T921" s="16"/>
      <c r="U921" s="17">
        <f>IF(AND(COUNTA($A921:$L921)=0,$N921=""),"",IF($T921="Paid","PAID",IF($T921="Closed","CLOSED",IF($Z921="","",IF($Z921=6,"ESCALATED TO ROXANNE",IF(TODAY()&gt;$AB921,"OVERDUE",IF($AB921&lt;=WORKDAY(TODAY(),1,Holidays),"DUE TOMORROW",IF($Z921=4,"ESCALATED TO LOCAL OFFICE",IF($Z921=5,"ESCALATED TO CBE",IF($AA921=TODAY(),"EMAIL SENT","MONITORING"))))))))))</f>
        <v/>
      </c>
      <c r="V921" s="17">
        <f>IF($U921="",IF(AND(COUNTA($A921:$L921)&gt;0,$N921=""),"Awaiting Collection Email time stamp.",""),IF(OR($U921="PAID",$U921="CLOSED"),IF($U921="PAID","Account paid. Action completed.","Account closed. No further action required."),CHOOSE($Z921,"Collection Email","1st Email Follow-up","2nd Email Follow-up","Escalation to Local Office","Escalation to CBE","Escalation to Roxanne")&amp;" sent "&amp;TEXT($AA921,"dd-mmm")&amp;". "&amp;IF($Z921=6,"Final escalation completed.",IF($U921="OVERDUE","Next: "&amp;$AC921&amp;" was due "&amp;TEXT($AB921,"dd-mmm")&amp;" - "&amp;(NETWORKDAYS($AB921,TODAY(),Holidays)-1)&amp;" business day(s) late. Send now.",IF($U921="DUE TOMORROW","Next: "&amp;$AC921&amp;IF($AB921&lt;=TODAY()," is due TODAY ("," is due next business day (")&amp;TEXT($AB921,"dd-mmm")&amp;").","Next: "&amp;$AC921&amp;" due "&amp;TEXT($AB921,"dd-mmm")&amp;" ("&amp;(NETWORKDAYS(TODAY(),$AB921,Holidays)-1)&amp;" business day(s) left).")))))</f>
        <v/>
      </c>
      <c r="W921" s="17">
        <f>IF($Z921="","",CHOOSE($Z921,"Collection Email","1st Follow-up","2nd Follow-up","Local Office","CBE","Roxanne")&amp;IF($Z921=6," - Final"," - Day "&amp;MAX(0,NETWORKDAYS($AA921,TODAY(),Holidays)-1)&amp;" of "&amp;CHOOSE($Z921,3,3,2,2,3))&amp;" | Total Day "&amp;MAX(0,NETWORKDAYS($N921,TODAY(),Holidays)-1))</f>
        <v/>
      </c>
      <c r="X921" s="18"/>
      <c r="Y921" s="18"/>
      <c r="Z921" s="17">
        <f>IF($N921="","",COUNT($N921:$S921))</f>
        <v/>
      </c>
      <c r="AA921" s="19">
        <f>IF($Z921="","",INT(INDEX($N921:$S921,$Z921)))</f>
        <v/>
      </c>
      <c r="AB921" s="19">
        <f>IF(OR($Z921="",$Z921=6),"",WORKDAY($AA921,CHOOSE($Z921,3,3,2,2,3),Holidays))</f>
        <v/>
      </c>
      <c r="AC921" s="17">
        <f>IF(OR($Z921="",$Z921=6),"",CHOOSE($Z921,"1st Email Follow-up","2nd Email Follow-up","Escalate Local Office","Escalate to CBE","Escalate to Roxanne"))</f>
        <v/>
      </c>
    </row>
    <row r="922" spans="13:29">
      <c r="M922" s="14"/>
      <c r="T922" s="16"/>
      <c r="U922" s="17">
        <f>IF(AND(COUNTA($A922:$L922)=0,$N922=""),"",IF($T922="Paid","PAID",IF($T922="Closed","CLOSED",IF($Z922="","",IF($Z922=6,"ESCALATED TO ROXANNE",IF(TODAY()&gt;$AB922,"OVERDUE",IF($AB922&lt;=WORKDAY(TODAY(),1,Holidays),"DUE TOMORROW",IF($Z922=4,"ESCALATED TO LOCAL OFFICE",IF($Z922=5,"ESCALATED TO CBE",IF($AA922=TODAY(),"EMAIL SENT","MONITORING"))))))))))</f>
        <v/>
      </c>
      <c r="V922" s="17">
        <f>IF($U922="",IF(AND(COUNTA($A922:$L922)&gt;0,$N922=""),"Awaiting Collection Email time stamp.",""),IF(OR($U922="PAID",$U922="CLOSED"),IF($U922="PAID","Account paid. Action completed.","Account closed. No further action required."),CHOOSE($Z922,"Collection Email","1st Email Follow-up","2nd Email Follow-up","Escalation to Local Office","Escalation to CBE","Escalation to Roxanne")&amp;" sent "&amp;TEXT($AA922,"dd-mmm")&amp;". "&amp;IF($Z922=6,"Final escalation completed.",IF($U922="OVERDUE","Next: "&amp;$AC922&amp;" was due "&amp;TEXT($AB922,"dd-mmm")&amp;" - "&amp;(NETWORKDAYS($AB922,TODAY(),Holidays)-1)&amp;" business day(s) late. Send now.",IF($U922="DUE TOMORROW","Next: "&amp;$AC922&amp;IF($AB922&lt;=TODAY()," is due TODAY ("," is due next business day (")&amp;TEXT($AB922,"dd-mmm")&amp;").","Next: "&amp;$AC922&amp;" due "&amp;TEXT($AB922,"dd-mmm")&amp;" ("&amp;(NETWORKDAYS(TODAY(),$AB922,Holidays)-1)&amp;" business day(s) left).")))))</f>
        <v/>
      </c>
      <c r="W922" s="17">
        <f>IF($Z922="","",CHOOSE($Z922,"Collection Email","1st Follow-up","2nd Follow-up","Local Office","CBE","Roxanne")&amp;IF($Z922=6," - Final"," - Day "&amp;MAX(0,NETWORKDAYS($AA922,TODAY(),Holidays)-1)&amp;" of "&amp;CHOOSE($Z922,3,3,2,2,3))&amp;" | Total Day "&amp;MAX(0,NETWORKDAYS($N922,TODAY(),Holidays)-1))</f>
        <v/>
      </c>
      <c r="X922" s="18"/>
      <c r="Y922" s="18"/>
      <c r="Z922" s="17">
        <f>IF($N922="","",COUNT($N922:$S922))</f>
        <v/>
      </c>
      <c r="AA922" s="19">
        <f>IF($Z922="","",INT(INDEX($N922:$S922,$Z922)))</f>
        <v/>
      </c>
      <c r="AB922" s="19">
        <f>IF(OR($Z922="",$Z922=6),"",WORKDAY($AA922,CHOOSE($Z922,3,3,2,2,3),Holidays))</f>
        <v/>
      </c>
      <c r="AC922" s="17">
        <f>IF(OR($Z922="",$Z922=6),"",CHOOSE($Z922,"1st Email Follow-up","2nd Email Follow-up","Escalate Local Office","Escalate to CBE","Escalate to Roxanne"))</f>
        <v/>
      </c>
    </row>
    <row r="923" spans="13:29">
      <c r="M923" s="14"/>
      <c r="T923" s="16"/>
      <c r="U923" s="17">
        <f>IF(AND(COUNTA($A923:$L923)=0,$N923=""),"",IF($T923="Paid","PAID",IF($T923="Closed","CLOSED",IF($Z923="","",IF($Z923=6,"ESCALATED TO ROXANNE",IF(TODAY()&gt;$AB923,"OVERDUE",IF($AB923&lt;=WORKDAY(TODAY(),1,Holidays),"DUE TOMORROW",IF($Z923=4,"ESCALATED TO LOCAL OFFICE",IF($Z923=5,"ESCALATED TO CBE",IF($AA923=TODAY(),"EMAIL SENT","MONITORING"))))))))))</f>
        <v/>
      </c>
      <c r="V923" s="17">
        <f>IF($U923="",IF(AND(COUNTA($A923:$L923)&gt;0,$N923=""),"Awaiting Collection Email time stamp.",""),IF(OR($U923="PAID",$U923="CLOSED"),IF($U923="PAID","Account paid. Action completed.","Account closed. No further action required."),CHOOSE($Z923,"Collection Email","1st Email Follow-up","2nd Email Follow-up","Escalation to Local Office","Escalation to CBE","Escalation to Roxanne")&amp;" sent "&amp;TEXT($AA923,"dd-mmm")&amp;". "&amp;IF($Z923=6,"Final escalation completed.",IF($U923="OVERDUE","Next: "&amp;$AC923&amp;" was due "&amp;TEXT($AB923,"dd-mmm")&amp;" - "&amp;(NETWORKDAYS($AB923,TODAY(),Holidays)-1)&amp;" business day(s) late. Send now.",IF($U923="DUE TOMORROW","Next: "&amp;$AC923&amp;IF($AB923&lt;=TODAY()," is due TODAY ("," is due next business day (")&amp;TEXT($AB923,"dd-mmm")&amp;").","Next: "&amp;$AC923&amp;" due "&amp;TEXT($AB923,"dd-mmm")&amp;" ("&amp;(NETWORKDAYS(TODAY(),$AB923,Holidays)-1)&amp;" business day(s) left).")))))</f>
        <v/>
      </c>
      <c r="W923" s="17">
        <f>IF($Z923="","",CHOOSE($Z923,"Collection Email","1st Follow-up","2nd Follow-up","Local Office","CBE","Roxanne")&amp;IF($Z923=6," - Final"," - Day "&amp;MAX(0,NETWORKDAYS($AA923,TODAY(),Holidays)-1)&amp;" of "&amp;CHOOSE($Z923,3,3,2,2,3))&amp;" | Total Day "&amp;MAX(0,NETWORKDAYS($N923,TODAY(),Holidays)-1))</f>
        <v/>
      </c>
      <c r="X923" s="18"/>
      <c r="Y923" s="18"/>
      <c r="Z923" s="17">
        <f>IF($N923="","",COUNT($N923:$S923))</f>
        <v/>
      </c>
      <c r="AA923" s="19">
        <f>IF($Z923="","",INT(INDEX($N923:$S923,$Z923)))</f>
        <v/>
      </c>
      <c r="AB923" s="19">
        <f>IF(OR($Z923="",$Z923=6),"",WORKDAY($AA923,CHOOSE($Z923,3,3,2,2,3),Holidays))</f>
        <v/>
      </c>
      <c r="AC923" s="17">
        <f>IF(OR($Z923="",$Z923=6),"",CHOOSE($Z923,"1st Email Follow-up","2nd Email Follow-up","Escalate Local Office","Escalate to CBE","Escalate to Roxanne"))</f>
        <v/>
      </c>
    </row>
    <row r="924" spans="13:29">
      <c r="M924" s="14"/>
      <c r="T924" s="16"/>
      <c r="U924" s="17">
        <f>IF(AND(COUNTA($A924:$L924)=0,$N924=""),"",IF($T924="Paid","PAID",IF($T924="Closed","CLOSED",IF($Z924="","",IF($Z924=6,"ESCALATED TO ROXANNE",IF(TODAY()&gt;$AB924,"OVERDUE",IF($AB924&lt;=WORKDAY(TODAY(),1,Holidays),"DUE TOMORROW",IF($Z924=4,"ESCALATED TO LOCAL OFFICE",IF($Z924=5,"ESCALATED TO CBE",IF($AA924=TODAY(),"EMAIL SENT","MONITORING"))))))))))</f>
        <v/>
      </c>
      <c r="V924" s="17">
        <f>IF($U924="",IF(AND(COUNTA($A924:$L924)&gt;0,$N924=""),"Awaiting Collection Email time stamp.",""),IF(OR($U924="PAID",$U924="CLOSED"),IF($U924="PAID","Account paid. Action completed.","Account closed. No further action required."),CHOOSE($Z924,"Collection Email","1st Email Follow-up","2nd Email Follow-up","Escalation to Local Office","Escalation to CBE","Escalation to Roxanne")&amp;" sent "&amp;TEXT($AA924,"dd-mmm")&amp;". "&amp;IF($Z924=6,"Final escalation completed.",IF($U924="OVERDUE","Next: "&amp;$AC924&amp;" was due "&amp;TEXT($AB924,"dd-mmm")&amp;" - "&amp;(NETWORKDAYS($AB924,TODAY(),Holidays)-1)&amp;" business day(s) late. Send now.",IF($U924="DUE TOMORROW","Next: "&amp;$AC924&amp;IF($AB924&lt;=TODAY()," is due TODAY ("," is due next business day (")&amp;TEXT($AB924,"dd-mmm")&amp;").","Next: "&amp;$AC924&amp;" due "&amp;TEXT($AB924,"dd-mmm")&amp;" ("&amp;(NETWORKDAYS(TODAY(),$AB924,Holidays)-1)&amp;" business day(s) left).")))))</f>
        <v/>
      </c>
      <c r="W924" s="17">
        <f>IF($Z924="","",CHOOSE($Z924,"Collection Email","1st Follow-up","2nd Follow-up","Local Office","CBE","Roxanne")&amp;IF($Z924=6," - Final"," - Day "&amp;MAX(0,NETWORKDAYS($AA924,TODAY(),Holidays)-1)&amp;" of "&amp;CHOOSE($Z924,3,3,2,2,3))&amp;" | Total Day "&amp;MAX(0,NETWORKDAYS($N924,TODAY(),Holidays)-1))</f>
        <v/>
      </c>
      <c r="X924" s="18"/>
      <c r="Y924" s="18"/>
      <c r="Z924" s="17">
        <f>IF($N924="","",COUNT($N924:$S924))</f>
        <v/>
      </c>
      <c r="AA924" s="19">
        <f>IF($Z924="","",INT(INDEX($N924:$S924,$Z924)))</f>
        <v/>
      </c>
      <c r="AB924" s="19">
        <f>IF(OR($Z924="",$Z924=6),"",WORKDAY($AA924,CHOOSE($Z924,3,3,2,2,3),Holidays))</f>
        <v/>
      </c>
      <c r="AC924" s="17">
        <f>IF(OR($Z924="",$Z924=6),"",CHOOSE($Z924,"1st Email Follow-up","2nd Email Follow-up","Escalate Local Office","Escalate to CBE","Escalate to Roxanne"))</f>
        <v/>
      </c>
    </row>
    <row r="925" spans="13:29">
      <c r="M925" s="14"/>
      <c r="T925" s="16"/>
      <c r="U925" s="17">
        <f>IF(AND(COUNTA($A925:$L925)=0,$N925=""),"",IF($T925="Paid","PAID",IF($T925="Closed","CLOSED",IF($Z925="","",IF($Z925=6,"ESCALATED TO ROXANNE",IF(TODAY()&gt;$AB925,"OVERDUE",IF($AB925&lt;=WORKDAY(TODAY(),1,Holidays),"DUE TOMORROW",IF($Z925=4,"ESCALATED TO LOCAL OFFICE",IF($Z925=5,"ESCALATED TO CBE",IF($AA925=TODAY(),"EMAIL SENT","MONITORING"))))))))))</f>
        <v/>
      </c>
      <c r="V925" s="17">
        <f>IF($U925="",IF(AND(COUNTA($A925:$L925)&gt;0,$N925=""),"Awaiting Collection Email time stamp.",""),IF(OR($U925="PAID",$U925="CLOSED"),IF($U925="PAID","Account paid. Action completed.","Account closed. No further action required."),CHOOSE($Z925,"Collection Email","1st Email Follow-up","2nd Email Follow-up","Escalation to Local Office","Escalation to CBE","Escalation to Roxanne")&amp;" sent "&amp;TEXT($AA925,"dd-mmm")&amp;". "&amp;IF($Z925=6,"Final escalation completed.",IF($U925="OVERDUE","Next: "&amp;$AC925&amp;" was due "&amp;TEXT($AB925,"dd-mmm")&amp;" - "&amp;(NETWORKDAYS($AB925,TODAY(),Holidays)-1)&amp;" business day(s) late. Send now.",IF($U925="DUE TOMORROW","Next: "&amp;$AC925&amp;IF($AB925&lt;=TODAY()," is due TODAY ("," is due next business day (")&amp;TEXT($AB925,"dd-mmm")&amp;").","Next: "&amp;$AC925&amp;" due "&amp;TEXT($AB925,"dd-mmm")&amp;" ("&amp;(NETWORKDAYS(TODAY(),$AB925,Holidays)-1)&amp;" business day(s) left).")))))</f>
        <v/>
      </c>
      <c r="W925" s="17">
        <f>IF($Z925="","",CHOOSE($Z925,"Collection Email","1st Follow-up","2nd Follow-up","Local Office","CBE","Roxanne")&amp;IF($Z925=6," - Final"," - Day "&amp;MAX(0,NETWORKDAYS($AA925,TODAY(),Holidays)-1)&amp;" of "&amp;CHOOSE($Z925,3,3,2,2,3))&amp;" | Total Day "&amp;MAX(0,NETWORKDAYS($N925,TODAY(),Holidays)-1))</f>
        <v/>
      </c>
      <c r="X925" s="18"/>
      <c r="Y925" s="18"/>
      <c r="Z925" s="17">
        <f>IF($N925="","",COUNT($N925:$S925))</f>
        <v/>
      </c>
      <c r="AA925" s="19">
        <f>IF($Z925="","",INT(INDEX($N925:$S925,$Z925)))</f>
        <v/>
      </c>
      <c r="AB925" s="19">
        <f>IF(OR($Z925="",$Z925=6),"",WORKDAY($AA925,CHOOSE($Z925,3,3,2,2,3),Holidays))</f>
        <v/>
      </c>
      <c r="AC925" s="17">
        <f>IF(OR($Z925="",$Z925=6),"",CHOOSE($Z925,"1st Email Follow-up","2nd Email Follow-up","Escalate Local Office","Escalate to CBE","Escalate to Roxanne"))</f>
        <v/>
      </c>
    </row>
    <row r="926" spans="13:29">
      <c r="M926" s="14"/>
      <c r="T926" s="16"/>
      <c r="U926" s="17">
        <f>IF(AND(COUNTA($A926:$L926)=0,$N926=""),"",IF($T926="Paid","PAID",IF($T926="Closed","CLOSED",IF($Z926="","",IF($Z926=6,"ESCALATED TO ROXANNE",IF(TODAY()&gt;$AB926,"OVERDUE",IF($AB926&lt;=WORKDAY(TODAY(),1,Holidays),"DUE TOMORROW",IF($Z926=4,"ESCALATED TO LOCAL OFFICE",IF($Z926=5,"ESCALATED TO CBE",IF($AA926=TODAY(),"EMAIL SENT","MONITORING"))))))))))</f>
        <v/>
      </c>
      <c r="V926" s="17">
        <f>IF($U926="",IF(AND(COUNTA($A926:$L926)&gt;0,$N926=""),"Awaiting Collection Email time stamp.",""),IF(OR($U926="PAID",$U926="CLOSED"),IF($U926="PAID","Account paid. Action completed.","Account closed. No further action required."),CHOOSE($Z926,"Collection Email","1st Email Follow-up","2nd Email Follow-up","Escalation to Local Office","Escalation to CBE","Escalation to Roxanne")&amp;" sent "&amp;TEXT($AA926,"dd-mmm")&amp;". "&amp;IF($Z926=6,"Final escalation completed.",IF($U926="OVERDUE","Next: "&amp;$AC926&amp;" was due "&amp;TEXT($AB926,"dd-mmm")&amp;" - "&amp;(NETWORKDAYS($AB926,TODAY(),Holidays)-1)&amp;" business day(s) late. Send now.",IF($U926="DUE TOMORROW","Next: "&amp;$AC926&amp;IF($AB926&lt;=TODAY()," is due TODAY ("," is due next business day (")&amp;TEXT($AB926,"dd-mmm")&amp;").","Next: "&amp;$AC926&amp;" due "&amp;TEXT($AB926,"dd-mmm")&amp;" ("&amp;(NETWORKDAYS(TODAY(),$AB926,Holidays)-1)&amp;" business day(s) left).")))))</f>
        <v/>
      </c>
      <c r="W926" s="17">
        <f>IF($Z926="","",CHOOSE($Z926,"Collection Email","1st Follow-up","2nd Follow-up","Local Office","CBE","Roxanne")&amp;IF($Z926=6," - Final"," - Day "&amp;MAX(0,NETWORKDAYS($AA926,TODAY(),Holidays)-1)&amp;" of "&amp;CHOOSE($Z926,3,3,2,2,3))&amp;" | Total Day "&amp;MAX(0,NETWORKDAYS($N926,TODAY(),Holidays)-1))</f>
        <v/>
      </c>
      <c r="X926" s="18"/>
      <c r="Y926" s="18"/>
      <c r="Z926" s="17">
        <f>IF($N926="","",COUNT($N926:$S926))</f>
        <v/>
      </c>
      <c r="AA926" s="19">
        <f>IF($Z926="","",INT(INDEX($N926:$S926,$Z926)))</f>
        <v/>
      </c>
      <c r="AB926" s="19">
        <f>IF(OR($Z926="",$Z926=6),"",WORKDAY($AA926,CHOOSE($Z926,3,3,2,2,3),Holidays))</f>
        <v/>
      </c>
      <c r="AC926" s="17">
        <f>IF(OR($Z926="",$Z926=6),"",CHOOSE($Z926,"1st Email Follow-up","2nd Email Follow-up","Escalate Local Office","Escalate to CBE","Escalate to Roxanne"))</f>
        <v/>
      </c>
    </row>
    <row r="927" spans="13:29">
      <c r="M927" s="14"/>
      <c r="T927" s="16"/>
      <c r="U927" s="17">
        <f>IF(AND(COUNTA($A927:$L927)=0,$N927=""),"",IF($T927="Paid","PAID",IF($T927="Closed","CLOSED",IF($Z927="","",IF($Z927=6,"ESCALATED TO ROXANNE",IF(TODAY()&gt;$AB927,"OVERDUE",IF($AB927&lt;=WORKDAY(TODAY(),1,Holidays),"DUE TOMORROW",IF($Z927=4,"ESCALATED TO LOCAL OFFICE",IF($Z927=5,"ESCALATED TO CBE",IF($AA927=TODAY(),"EMAIL SENT","MONITORING"))))))))))</f>
        <v/>
      </c>
      <c r="V927" s="17">
        <f>IF($U927="",IF(AND(COUNTA($A927:$L927)&gt;0,$N927=""),"Awaiting Collection Email time stamp.",""),IF(OR($U927="PAID",$U927="CLOSED"),IF($U927="PAID","Account paid. Action completed.","Account closed. No further action required."),CHOOSE($Z927,"Collection Email","1st Email Follow-up","2nd Email Follow-up","Escalation to Local Office","Escalation to CBE","Escalation to Roxanne")&amp;" sent "&amp;TEXT($AA927,"dd-mmm")&amp;". "&amp;IF($Z927=6,"Final escalation completed.",IF($U927="OVERDUE","Next: "&amp;$AC927&amp;" was due "&amp;TEXT($AB927,"dd-mmm")&amp;" - "&amp;(NETWORKDAYS($AB927,TODAY(),Holidays)-1)&amp;" business day(s) late. Send now.",IF($U927="DUE TOMORROW","Next: "&amp;$AC927&amp;IF($AB927&lt;=TODAY()," is due TODAY ("," is due next business day (")&amp;TEXT($AB927,"dd-mmm")&amp;").","Next: "&amp;$AC927&amp;" due "&amp;TEXT($AB927,"dd-mmm")&amp;" ("&amp;(NETWORKDAYS(TODAY(),$AB927,Holidays)-1)&amp;" business day(s) left).")))))</f>
        <v/>
      </c>
      <c r="W927" s="17">
        <f>IF($Z927="","",CHOOSE($Z927,"Collection Email","1st Follow-up","2nd Follow-up","Local Office","CBE","Roxanne")&amp;IF($Z927=6," - Final"," - Day "&amp;MAX(0,NETWORKDAYS($AA927,TODAY(),Holidays)-1)&amp;" of "&amp;CHOOSE($Z927,3,3,2,2,3))&amp;" | Total Day "&amp;MAX(0,NETWORKDAYS($N927,TODAY(),Holidays)-1))</f>
        <v/>
      </c>
      <c r="X927" s="18"/>
      <c r="Y927" s="18"/>
      <c r="Z927" s="17">
        <f>IF($N927="","",COUNT($N927:$S927))</f>
        <v/>
      </c>
      <c r="AA927" s="19">
        <f>IF($Z927="","",INT(INDEX($N927:$S927,$Z927)))</f>
        <v/>
      </c>
      <c r="AB927" s="19">
        <f>IF(OR($Z927="",$Z927=6),"",WORKDAY($AA927,CHOOSE($Z927,3,3,2,2,3),Holidays))</f>
        <v/>
      </c>
      <c r="AC927" s="17">
        <f>IF(OR($Z927="",$Z927=6),"",CHOOSE($Z927,"1st Email Follow-up","2nd Email Follow-up","Escalate Local Office","Escalate to CBE","Escalate to Roxanne"))</f>
        <v/>
      </c>
    </row>
    <row r="928" spans="13:29">
      <c r="M928" s="14"/>
      <c r="T928" s="16"/>
      <c r="U928" s="17">
        <f>IF(AND(COUNTA($A928:$L928)=0,$N928=""),"",IF($T928="Paid","PAID",IF($T928="Closed","CLOSED",IF($Z928="","",IF($Z928=6,"ESCALATED TO ROXANNE",IF(TODAY()&gt;$AB928,"OVERDUE",IF($AB928&lt;=WORKDAY(TODAY(),1,Holidays),"DUE TOMORROW",IF($Z928=4,"ESCALATED TO LOCAL OFFICE",IF($Z928=5,"ESCALATED TO CBE",IF($AA928=TODAY(),"EMAIL SENT","MONITORING"))))))))))</f>
        <v/>
      </c>
      <c r="V928" s="17">
        <f>IF($U928="",IF(AND(COUNTA($A928:$L928)&gt;0,$N928=""),"Awaiting Collection Email time stamp.",""),IF(OR($U928="PAID",$U928="CLOSED"),IF($U928="PAID","Account paid. Action completed.","Account closed. No further action required."),CHOOSE($Z928,"Collection Email","1st Email Follow-up","2nd Email Follow-up","Escalation to Local Office","Escalation to CBE","Escalation to Roxanne")&amp;" sent "&amp;TEXT($AA928,"dd-mmm")&amp;". "&amp;IF($Z928=6,"Final escalation completed.",IF($U928="OVERDUE","Next: "&amp;$AC928&amp;" was due "&amp;TEXT($AB928,"dd-mmm")&amp;" - "&amp;(NETWORKDAYS($AB928,TODAY(),Holidays)-1)&amp;" business day(s) late. Send now.",IF($U928="DUE TOMORROW","Next: "&amp;$AC928&amp;IF($AB928&lt;=TODAY()," is due TODAY ("," is due next business day (")&amp;TEXT($AB928,"dd-mmm")&amp;").","Next: "&amp;$AC928&amp;" due "&amp;TEXT($AB928,"dd-mmm")&amp;" ("&amp;(NETWORKDAYS(TODAY(),$AB928,Holidays)-1)&amp;" business day(s) left).")))))</f>
        <v/>
      </c>
      <c r="W928" s="17">
        <f>IF($Z928="","",CHOOSE($Z928,"Collection Email","1st Follow-up","2nd Follow-up","Local Office","CBE","Roxanne")&amp;IF($Z928=6," - Final"," - Day "&amp;MAX(0,NETWORKDAYS($AA928,TODAY(),Holidays)-1)&amp;" of "&amp;CHOOSE($Z928,3,3,2,2,3))&amp;" | Total Day "&amp;MAX(0,NETWORKDAYS($N928,TODAY(),Holidays)-1))</f>
        <v/>
      </c>
      <c r="X928" s="18"/>
      <c r="Y928" s="18"/>
      <c r="Z928" s="17">
        <f>IF($N928="","",COUNT($N928:$S928))</f>
        <v/>
      </c>
      <c r="AA928" s="19">
        <f>IF($Z928="","",INT(INDEX($N928:$S928,$Z928)))</f>
        <v/>
      </c>
      <c r="AB928" s="19">
        <f>IF(OR($Z928="",$Z928=6),"",WORKDAY($AA928,CHOOSE($Z928,3,3,2,2,3),Holidays))</f>
        <v/>
      </c>
      <c r="AC928" s="17">
        <f>IF(OR($Z928="",$Z928=6),"",CHOOSE($Z928,"1st Email Follow-up","2nd Email Follow-up","Escalate Local Office","Escalate to CBE","Escalate to Roxanne"))</f>
        <v/>
      </c>
    </row>
    <row r="929" spans="13:29">
      <c r="M929" s="14"/>
      <c r="T929" s="16"/>
      <c r="U929" s="17">
        <f>IF(AND(COUNTA($A929:$L929)=0,$N929=""),"",IF($T929="Paid","PAID",IF($T929="Closed","CLOSED",IF($Z929="","",IF($Z929=6,"ESCALATED TO ROXANNE",IF(TODAY()&gt;$AB929,"OVERDUE",IF($AB929&lt;=WORKDAY(TODAY(),1,Holidays),"DUE TOMORROW",IF($Z929=4,"ESCALATED TO LOCAL OFFICE",IF($Z929=5,"ESCALATED TO CBE",IF($AA929=TODAY(),"EMAIL SENT","MONITORING"))))))))))</f>
        <v/>
      </c>
      <c r="V929" s="17">
        <f>IF($U929="",IF(AND(COUNTA($A929:$L929)&gt;0,$N929=""),"Awaiting Collection Email time stamp.",""),IF(OR($U929="PAID",$U929="CLOSED"),IF($U929="PAID","Account paid. Action completed.","Account closed. No further action required."),CHOOSE($Z929,"Collection Email","1st Email Follow-up","2nd Email Follow-up","Escalation to Local Office","Escalation to CBE","Escalation to Roxanne")&amp;" sent "&amp;TEXT($AA929,"dd-mmm")&amp;". "&amp;IF($Z929=6,"Final escalation completed.",IF($U929="OVERDUE","Next: "&amp;$AC929&amp;" was due "&amp;TEXT($AB929,"dd-mmm")&amp;" - "&amp;(NETWORKDAYS($AB929,TODAY(),Holidays)-1)&amp;" business day(s) late. Send now.",IF($U929="DUE TOMORROW","Next: "&amp;$AC929&amp;IF($AB929&lt;=TODAY()," is due TODAY ("," is due next business day (")&amp;TEXT($AB929,"dd-mmm")&amp;").","Next: "&amp;$AC929&amp;" due "&amp;TEXT($AB929,"dd-mmm")&amp;" ("&amp;(NETWORKDAYS(TODAY(),$AB929,Holidays)-1)&amp;" business day(s) left).")))))</f>
        <v/>
      </c>
      <c r="W929" s="17">
        <f>IF($Z929="","",CHOOSE($Z929,"Collection Email","1st Follow-up","2nd Follow-up","Local Office","CBE","Roxanne")&amp;IF($Z929=6," - Final"," - Day "&amp;MAX(0,NETWORKDAYS($AA929,TODAY(),Holidays)-1)&amp;" of "&amp;CHOOSE($Z929,3,3,2,2,3))&amp;" | Total Day "&amp;MAX(0,NETWORKDAYS($N929,TODAY(),Holidays)-1))</f>
        <v/>
      </c>
      <c r="X929" s="18"/>
      <c r="Y929" s="18"/>
      <c r="Z929" s="17">
        <f>IF($N929="","",COUNT($N929:$S929))</f>
        <v/>
      </c>
      <c r="AA929" s="19">
        <f>IF($Z929="","",INT(INDEX($N929:$S929,$Z929)))</f>
        <v/>
      </c>
      <c r="AB929" s="19">
        <f>IF(OR($Z929="",$Z929=6),"",WORKDAY($AA929,CHOOSE($Z929,3,3,2,2,3),Holidays))</f>
        <v/>
      </c>
      <c r="AC929" s="17">
        <f>IF(OR($Z929="",$Z929=6),"",CHOOSE($Z929,"1st Email Follow-up","2nd Email Follow-up","Escalate Local Office","Escalate to CBE","Escalate to Roxanne"))</f>
        <v/>
      </c>
    </row>
    <row r="930" spans="13:29">
      <c r="M930" s="14"/>
      <c r="T930" s="16"/>
      <c r="U930" s="17">
        <f>IF(AND(COUNTA($A930:$L930)=0,$N930=""),"",IF($T930="Paid","PAID",IF($T930="Closed","CLOSED",IF($Z930="","",IF($Z930=6,"ESCALATED TO ROXANNE",IF(TODAY()&gt;$AB930,"OVERDUE",IF($AB930&lt;=WORKDAY(TODAY(),1,Holidays),"DUE TOMORROW",IF($Z930=4,"ESCALATED TO LOCAL OFFICE",IF($Z930=5,"ESCALATED TO CBE",IF($AA930=TODAY(),"EMAIL SENT","MONITORING"))))))))))</f>
        <v/>
      </c>
      <c r="V930" s="17">
        <f>IF($U930="",IF(AND(COUNTA($A930:$L930)&gt;0,$N930=""),"Awaiting Collection Email time stamp.",""),IF(OR($U930="PAID",$U930="CLOSED"),IF($U930="PAID","Account paid. Action completed.","Account closed. No further action required."),CHOOSE($Z930,"Collection Email","1st Email Follow-up","2nd Email Follow-up","Escalation to Local Office","Escalation to CBE","Escalation to Roxanne")&amp;" sent "&amp;TEXT($AA930,"dd-mmm")&amp;". "&amp;IF($Z930=6,"Final escalation completed.",IF($U930="OVERDUE","Next: "&amp;$AC930&amp;" was due "&amp;TEXT($AB930,"dd-mmm")&amp;" - "&amp;(NETWORKDAYS($AB930,TODAY(),Holidays)-1)&amp;" business day(s) late. Send now.",IF($U930="DUE TOMORROW","Next: "&amp;$AC930&amp;IF($AB930&lt;=TODAY()," is due TODAY ("," is due next business day (")&amp;TEXT($AB930,"dd-mmm")&amp;").","Next: "&amp;$AC930&amp;" due "&amp;TEXT($AB930,"dd-mmm")&amp;" ("&amp;(NETWORKDAYS(TODAY(),$AB930,Holidays)-1)&amp;" business day(s) left).")))))</f>
        <v/>
      </c>
      <c r="W930" s="17">
        <f>IF($Z930="","",CHOOSE($Z930,"Collection Email","1st Follow-up","2nd Follow-up","Local Office","CBE","Roxanne")&amp;IF($Z930=6," - Final"," - Day "&amp;MAX(0,NETWORKDAYS($AA930,TODAY(),Holidays)-1)&amp;" of "&amp;CHOOSE($Z930,3,3,2,2,3))&amp;" | Total Day "&amp;MAX(0,NETWORKDAYS($N930,TODAY(),Holidays)-1))</f>
        <v/>
      </c>
      <c r="X930" s="18"/>
      <c r="Y930" s="18"/>
      <c r="Z930" s="17">
        <f>IF($N930="","",COUNT($N930:$S930))</f>
        <v/>
      </c>
      <c r="AA930" s="19">
        <f>IF($Z930="","",INT(INDEX($N930:$S930,$Z930)))</f>
        <v/>
      </c>
      <c r="AB930" s="19">
        <f>IF(OR($Z930="",$Z930=6),"",WORKDAY($AA930,CHOOSE($Z930,3,3,2,2,3),Holidays))</f>
        <v/>
      </c>
      <c r="AC930" s="17">
        <f>IF(OR($Z930="",$Z930=6),"",CHOOSE($Z930,"1st Email Follow-up","2nd Email Follow-up","Escalate Local Office","Escalate to CBE","Escalate to Roxanne"))</f>
        <v/>
      </c>
    </row>
    <row r="931" spans="13:29">
      <c r="M931" s="14"/>
      <c r="T931" s="16"/>
      <c r="U931" s="17">
        <f>IF(AND(COUNTA($A931:$L931)=0,$N931=""),"",IF($T931="Paid","PAID",IF($T931="Closed","CLOSED",IF($Z931="","",IF($Z931=6,"ESCALATED TO ROXANNE",IF(TODAY()&gt;$AB931,"OVERDUE",IF($AB931&lt;=WORKDAY(TODAY(),1,Holidays),"DUE TOMORROW",IF($Z931=4,"ESCALATED TO LOCAL OFFICE",IF($Z931=5,"ESCALATED TO CBE",IF($AA931=TODAY(),"EMAIL SENT","MONITORING"))))))))))</f>
        <v/>
      </c>
      <c r="V931" s="17">
        <f>IF($U931="",IF(AND(COUNTA($A931:$L931)&gt;0,$N931=""),"Awaiting Collection Email time stamp.",""),IF(OR($U931="PAID",$U931="CLOSED"),IF($U931="PAID","Account paid. Action completed.","Account closed. No further action required."),CHOOSE($Z931,"Collection Email","1st Email Follow-up","2nd Email Follow-up","Escalation to Local Office","Escalation to CBE","Escalation to Roxanne")&amp;" sent "&amp;TEXT($AA931,"dd-mmm")&amp;". "&amp;IF($Z931=6,"Final escalation completed.",IF($U931="OVERDUE","Next: "&amp;$AC931&amp;" was due "&amp;TEXT($AB931,"dd-mmm")&amp;" - "&amp;(NETWORKDAYS($AB931,TODAY(),Holidays)-1)&amp;" business day(s) late. Send now.",IF($U931="DUE TOMORROW","Next: "&amp;$AC931&amp;IF($AB931&lt;=TODAY()," is due TODAY ("," is due next business day (")&amp;TEXT($AB931,"dd-mmm")&amp;").","Next: "&amp;$AC931&amp;" due "&amp;TEXT($AB931,"dd-mmm")&amp;" ("&amp;(NETWORKDAYS(TODAY(),$AB931,Holidays)-1)&amp;" business day(s) left).")))))</f>
        <v/>
      </c>
      <c r="W931" s="17">
        <f>IF($Z931="","",CHOOSE($Z931,"Collection Email","1st Follow-up","2nd Follow-up","Local Office","CBE","Roxanne")&amp;IF($Z931=6," - Final"," - Day "&amp;MAX(0,NETWORKDAYS($AA931,TODAY(),Holidays)-1)&amp;" of "&amp;CHOOSE($Z931,3,3,2,2,3))&amp;" | Total Day "&amp;MAX(0,NETWORKDAYS($N931,TODAY(),Holidays)-1))</f>
        <v/>
      </c>
      <c r="X931" s="18"/>
      <c r="Y931" s="18"/>
      <c r="Z931" s="17">
        <f>IF($N931="","",COUNT($N931:$S931))</f>
        <v/>
      </c>
      <c r="AA931" s="19">
        <f>IF($Z931="","",INT(INDEX($N931:$S931,$Z931)))</f>
        <v/>
      </c>
      <c r="AB931" s="19">
        <f>IF(OR($Z931="",$Z931=6),"",WORKDAY($AA931,CHOOSE($Z931,3,3,2,2,3),Holidays))</f>
        <v/>
      </c>
      <c r="AC931" s="17">
        <f>IF(OR($Z931="",$Z931=6),"",CHOOSE($Z931,"1st Email Follow-up","2nd Email Follow-up","Escalate Local Office","Escalate to CBE","Escalate to Roxanne"))</f>
        <v/>
      </c>
    </row>
    <row r="932" spans="13:29">
      <c r="M932" s="14"/>
      <c r="T932" s="16"/>
      <c r="U932" s="17">
        <f>IF(AND(COUNTA($A932:$L932)=0,$N932=""),"",IF($T932="Paid","PAID",IF($T932="Closed","CLOSED",IF($Z932="","",IF($Z932=6,"ESCALATED TO ROXANNE",IF(TODAY()&gt;$AB932,"OVERDUE",IF($AB932&lt;=WORKDAY(TODAY(),1,Holidays),"DUE TOMORROW",IF($Z932=4,"ESCALATED TO LOCAL OFFICE",IF($Z932=5,"ESCALATED TO CBE",IF($AA932=TODAY(),"EMAIL SENT","MONITORING"))))))))))</f>
        <v/>
      </c>
      <c r="V932" s="17">
        <f>IF($U932="",IF(AND(COUNTA($A932:$L932)&gt;0,$N932=""),"Awaiting Collection Email time stamp.",""),IF(OR($U932="PAID",$U932="CLOSED"),IF($U932="PAID","Account paid. Action completed.","Account closed. No further action required."),CHOOSE($Z932,"Collection Email","1st Email Follow-up","2nd Email Follow-up","Escalation to Local Office","Escalation to CBE","Escalation to Roxanne")&amp;" sent "&amp;TEXT($AA932,"dd-mmm")&amp;". "&amp;IF($Z932=6,"Final escalation completed.",IF($U932="OVERDUE","Next: "&amp;$AC932&amp;" was due "&amp;TEXT($AB932,"dd-mmm")&amp;" - "&amp;(NETWORKDAYS($AB932,TODAY(),Holidays)-1)&amp;" business day(s) late. Send now.",IF($U932="DUE TOMORROW","Next: "&amp;$AC932&amp;IF($AB932&lt;=TODAY()," is due TODAY ("," is due next business day (")&amp;TEXT($AB932,"dd-mmm")&amp;").","Next: "&amp;$AC932&amp;" due "&amp;TEXT($AB932,"dd-mmm")&amp;" ("&amp;(NETWORKDAYS(TODAY(),$AB932,Holidays)-1)&amp;" business day(s) left).")))))</f>
        <v/>
      </c>
      <c r="W932" s="17">
        <f>IF($Z932="","",CHOOSE($Z932,"Collection Email","1st Follow-up","2nd Follow-up","Local Office","CBE","Roxanne")&amp;IF($Z932=6," - Final"," - Day "&amp;MAX(0,NETWORKDAYS($AA932,TODAY(),Holidays)-1)&amp;" of "&amp;CHOOSE($Z932,3,3,2,2,3))&amp;" | Total Day "&amp;MAX(0,NETWORKDAYS($N932,TODAY(),Holidays)-1))</f>
        <v/>
      </c>
      <c r="X932" s="18"/>
      <c r="Y932" s="18"/>
      <c r="Z932" s="17">
        <f>IF($N932="","",COUNT($N932:$S932))</f>
        <v/>
      </c>
      <c r="AA932" s="19">
        <f>IF($Z932="","",INT(INDEX($N932:$S932,$Z932)))</f>
        <v/>
      </c>
      <c r="AB932" s="19">
        <f>IF(OR($Z932="",$Z932=6),"",WORKDAY($AA932,CHOOSE($Z932,3,3,2,2,3),Holidays))</f>
        <v/>
      </c>
      <c r="AC932" s="17">
        <f>IF(OR($Z932="",$Z932=6),"",CHOOSE($Z932,"1st Email Follow-up","2nd Email Follow-up","Escalate Local Office","Escalate to CBE","Escalate to Roxanne"))</f>
        <v/>
      </c>
    </row>
    <row r="933" spans="13:29">
      <c r="M933" s="14"/>
      <c r="T933" s="16"/>
      <c r="U933" s="17">
        <f>IF(AND(COUNTA($A933:$L933)=0,$N933=""),"",IF($T933="Paid","PAID",IF($T933="Closed","CLOSED",IF($Z933="","",IF($Z933=6,"ESCALATED TO ROXANNE",IF(TODAY()&gt;$AB933,"OVERDUE",IF($AB933&lt;=WORKDAY(TODAY(),1,Holidays),"DUE TOMORROW",IF($Z933=4,"ESCALATED TO LOCAL OFFICE",IF($Z933=5,"ESCALATED TO CBE",IF($AA933=TODAY(),"EMAIL SENT","MONITORING"))))))))))</f>
        <v/>
      </c>
      <c r="V933" s="17">
        <f>IF($U933="",IF(AND(COUNTA($A933:$L933)&gt;0,$N933=""),"Awaiting Collection Email time stamp.",""),IF(OR($U933="PAID",$U933="CLOSED"),IF($U933="PAID","Account paid. Action completed.","Account closed. No further action required."),CHOOSE($Z933,"Collection Email","1st Email Follow-up","2nd Email Follow-up","Escalation to Local Office","Escalation to CBE","Escalation to Roxanne")&amp;" sent "&amp;TEXT($AA933,"dd-mmm")&amp;". "&amp;IF($Z933=6,"Final escalation completed.",IF($U933="OVERDUE","Next: "&amp;$AC933&amp;" was due "&amp;TEXT($AB933,"dd-mmm")&amp;" - "&amp;(NETWORKDAYS($AB933,TODAY(),Holidays)-1)&amp;" business day(s) late. Send now.",IF($U933="DUE TOMORROW","Next: "&amp;$AC933&amp;IF($AB933&lt;=TODAY()," is due TODAY ("," is due next business day (")&amp;TEXT($AB933,"dd-mmm")&amp;").","Next: "&amp;$AC933&amp;" due "&amp;TEXT($AB933,"dd-mmm")&amp;" ("&amp;(NETWORKDAYS(TODAY(),$AB933,Holidays)-1)&amp;" business day(s) left).")))))</f>
        <v/>
      </c>
      <c r="W933" s="17">
        <f>IF($Z933="","",CHOOSE($Z933,"Collection Email","1st Follow-up","2nd Follow-up","Local Office","CBE","Roxanne")&amp;IF($Z933=6," - Final"," - Day "&amp;MAX(0,NETWORKDAYS($AA933,TODAY(),Holidays)-1)&amp;" of "&amp;CHOOSE($Z933,3,3,2,2,3))&amp;" | Total Day "&amp;MAX(0,NETWORKDAYS($N933,TODAY(),Holidays)-1))</f>
        <v/>
      </c>
      <c r="X933" s="18"/>
      <c r="Y933" s="18"/>
      <c r="Z933" s="17">
        <f>IF($N933="","",COUNT($N933:$S933))</f>
        <v/>
      </c>
      <c r="AA933" s="19">
        <f>IF($Z933="","",INT(INDEX($N933:$S933,$Z933)))</f>
        <v/>
      </c>
      <c r="AB933" s="19">
        <f>IF(OR($Z933="",$Z933=6),"",WORKDAY($AA933,CHOOSE($Z933,3,3,2,2,3),Holidays))</f>
        <v/>
      </c>
      <c r="AC933" s="17">
        <f>IF(OR($Z933="",$Z933=6),"",CHOOSE($Z933,"1st Email Follow-up","2nd Email Follow-up","Escalate Local Office","Escalate to CBE","Escalate to Roxanne"))</f>
        <v/>
      </c>
    </row>
    <row r="934" spans="13:29">
      <c r="M934" s="14"/>
      <c r="T934" s="16"/>
      <c r="U934" s="17">
        <f>IF(AND(COUNTA($A934:$L934)=0,$N934=""),"",IF($T934="Paid","PAID",IF($T934="Closed","CLOSED",IF($Z934="","",IF($Z934=6,"ESCALATED TO ROXANNE",IF(TODAY()&gt;$AB934,"OVERDUE",IF($AB934&lt;=WORKDAY(TODAY(),1,Holidays),"DUE TOMORROW",IF($Z934=4,"ESCALATED TO LOCAL OFFICE",IF($Z934=5,"ESCALATED TO CBE",IF($AA934=TODAY(),"EMAIL SENT","MONITORING"))))))))))</f>
        <v/>
      </c>
      <c r="V934" s="17">
        <f>IF($U934="",IF(AND(COUNTA($A934:$L934)&gt;0,$N934=""),"Awaiting Collection Email time stamp.",""),IF(OR($U934="PAID",$U934="CLOSED"),IF($U934="PAID","Account paid. Action completed.","Account closed. No further action required."),CHOOSE($Z934,"Collection Email","1st Email Follow-up","2nd Email Follow-up","Escalation to Local Office","Escalation to CBE","Escalation to Roxanne")&amp;" sent "&amp;TEXT($AA934,"dd-mmm")&amp;". "&amp;IF($Z934=6,"Final escalation completed.",IF($U934="OVERDUE","Next: "&amp;$AC934&amp;" was due "&amp;TEXT($AB934,"dd-mmm")&amp;" - "&amp;(NETWORKDAYS($AB934,TODAY(),Holidays)-1)&amp;" business day(s) late. Send now.",IF($U934="DUE TOMORROW","Next: "&amp;$AC934&amp;IF($AB934&lt;=TODAY()," is due TODAY ("," is due next business day (")&amp;TEXT($AB934,"dd-mmm")&amp;").","Next: "&amp;$AC934&amp;" due "&amp;TEXT($AB934,"dd-mmm")&amp;" ("&amp;(NETWORKDAYS(TODAY(),$AB934,Holidays)-1)&amp;" business day(s) left).")))))</f>
        <v/>
      </c>
      <c r="W934" s="17">
        <f>IF($Z934="","",CHOOSE($Z934,"Collection Email","1st Follow-up","2nd Follow-up","Local Office","CBE","Roxanne")&amp;IF($Z934=6," - Final"," - Day "&amp;MAX(0,NETWORKDAYS($AA934,TODAY(),Holidays)-1)&amp;" of "&amp;CHOOSE($Z934,3,3,2,2,3))&amp;" | Total Day "&amp;MAX(0,NETWORKDAYS($N934,TODAY(),Holidays)-1))</f>
        <v/>
      </c>
      <c r="X934" s="18"/>
      <c r="Y934" s="18"/>
      <c r="Z934" s="17">
        <f>IF($N934="","",COUNT($N934:$S934))</f>
        <v/>
      </c>
      <c r="AA934" s="19">
        <f>IF($Z934="","",INT(INDEX($N934:$S934,$Z934)))</f>
        <v/>
      </c>
      <c r="AB934" s="19">
        <f>IF(OR($Z934="",$Z934=6),"",WORKDAY($AA934,CHOOSE($Z934,3,3,2,2,3),Holidays))</f>
        <v/>
      </c>
      <c r="AC934" s="17">
        <f>IF(OR($Z934="",$Z934=6),"",CHOOSE($Z934,"1st Email Follow-up","2nd Email Follow-up","Escalate Local Office","Escalate to CBE","Escalate to Roxanne"))</f>
        <v/>
      </c>
    </row>
    <row r="935" spans="13:29">
      <c r="M935" s="14"/>
      <c r="T935" s="16"/>
      <c r="U935" s="17">
        <f>IF(AND(COUNTA($A935:$L935)=0,$N935=""),"",IF($T935="Paid","PAID",IF($T935="Closed","CLOSED",IF($Z935="","",IF($Z935=6,"ESCALATED TO ROXANNE",IF(TODAY()&gt;$AB935,"OVERDUE",IF($AB935&lt;=WORKDAY(TODAY(),1,Holidays),"DUE TOMORROW",IF($Z935=4,"ESCALATED TO LOCAL OFFICE",IF($Z935=5,"ESCALATED TO CBE",IF($AA935=TODAY(),"EMAIL SENT","MONITORING"))))))))))</f>
        <v/>
      </c>
      <c r="V935" s="17">
        <f>IF($U935="",IF(AND(COUNTA($A935:$L935)&gt;0,$N935=""),"Awaiting Collection Email time stamp.",""),IF(OR($U935="PAID",$U935="CLOSED"),IF($U935="PAID","Account paid. Action completed.","Account closed. No further action required."),CHOOSE($Z935,"Collection Email","1st Email Follow-up","2nd Email Follow-up","Escalation to Local Office","Escalation to CBE","Escalation to Roxanne")&amp;" sent "&amp;TEXT($AA935,"dd-mmm")&amp;". "&amp;IF($Z935=6,"Final escalation completed.",IF($U935="OVERDUE","Next: "&amp;$AC935&amp;" was due "&amp;TEXT($AB935,"dd-mmm")&amp;" - "&amp;(NETWORKDAYS($AB935,TODAY(),Holidays)-1)&amp;" business day(s) late. Send now.",IF($U935="DUE TOMORROW","Next: "&amp;$AC935&amp;IF($AB935&lt;=TODAY()," is due TODAY ("," is due next business day (")&amp;TEXT($AB935,"dd-mmm")&amp;").","Next: "&amp;$AC935&amp;" due "&amp;TEXT($AB935,"dd-mmm")&amp;" ("&amp;(NETWORKDAYS(TODAY(),$AB935,Holidays)-1)&amp;" business day(s) left).")))))</f>
        <v/>
      </c>
      <c r="W935" s="17">
        <f>IF($Z935="","",CHOOSE($Z935,"Collection Email","1st Follow-up","2nd Follow-up","Local Office","CBE","Roxanne")&amp;IF($Z935=6," - Final"," - Day "&amp;MAX(0,NETWORKDAYS($AA935,TODAY(),Holidays)-1)&amp;" of "&amp;CHOOSE($Z935,3,3,2,2,3))&amp;" | Total Day "&amp;MAX(0,NETWORKDAYS($N935,TODAY(),Holidays)-1))</f>
        <v/>
      </c>
      <c r="X935" s="18"/>
      <c r="Y935" s="18"/>
      <c r="Z935" s="17">
        <f>IF($N935="","",COUNT($N935:$S935))</f>
        <v/>
      </c>
      <c r="AA935" s="19">
        <f>IF($Z935="","",INT(INDEX($N935:$S935,$Z935)))</f>
        <v/>
      </c>
      <c r="AB935" s="19">
        <f>IF(OR($Z935="",$Z935=6),"",WORKDAY($AA935,CHOOSE($Z935,3,3,2,2,3),Holidays))</f>
        <v/>
      </c>
      <c r="AC935" s="17">
        <f>IF(OR($Z935="",$Z935=6),"",CHOOSE($Z935,"1st Email Follow-up","2nd Email Follow-up","Escalate Local Office","Escalate to CBE","Escalate to Roxanne"))</f>
        <v/>
      </c>
    </row>
    <row r="936" spans="13:29">
      <c r="M936" s="14"/>
      <c r="T936" s="16"/>
      <c r="U936" s="17">
        <f>IF(AND(COUNTA($A936:$L936)=0,$N936=""),"",IF($T936="Paid","PAID",IF($T936="Closed","CLOSED",IF($Z936="","",IF($Z936=6,"ESCALATED TO ROXANNE",IF(TODAY()&gt;$AB936,"OVERDUE",IF($AB936&lt;=WORKDAY(TODAY(),1,Holidays),"DUE TOMORROW",IF($Z936=4,"ESCALATED TO LOCAL OFFICE",IF($Z936=5,"ESCALATED TO CBE",IF($AA936=TODAY(),"EMAIL SENT","MONITORING"))))))))))</f>
        <v/>
      </c>
      <c r="V936" s="17">
        <f>IF($U936="",IF(AND(COUNTA($A936:$L936)&gt;0,$N936=""),"Awaiting Collection Email time stamp.",""),IF(OR($U936="PAID",$U936="CLOSED"),IF($U936="PAID","Account paid. Action completed.","Account closed. No further action required."),CHOOSE($Z936,"Collection Email","1st Email Follow-up","2nd Email Follow-up","Escalation to Local Office","Escalation to CBE","Escalation to Roxanne")&amp;" sent "&amp;TEXT($AA936,"dd-mmm")&amp;". "&amp;IF($Z936=6,"Final escalation completed.",IF($U936="OVERDUE","Next: "&amp;$AC936&amp;" was due "&amp;TEXT($AB936,"dd-mmm")&amp;" - "&amp;(NETWORKDAYS($AB936,TODAY(),Holidays)-1)&amp;" business day(s) late. Send now.",IF($U936="DUE TOMORROW","Next: "&amp;$AC936&amp;IF($AB936&lt;=TODAY()," is due TODAY ("," is due next business day (")&amp;TEXT($AB936,"dd-mmm")&amp;").","Next: "&amp;$AC936&amp;" due "&amp;TEXT($AB936,"dd-mmm")&amp;" ("&amp;(NETWORKDAYS(TODAY(),$AB936,Holidays)-1)&amp;" business day(s) left).")))))</f>
        <v/>
      </c>
      <c r="W936" s="17">
        <f>IF($Z936="","",CHOOSE($Z936,"Collection Email","1st Follow-up","2nd Follow-up","Local Office","CBE","Roxanne")&amp;IF($Z936=6," - Final"," - Day "&amp;MAX(0,NETWORKDAYS($AA936,TODAY(),Holidays)-1)&amp;" of "&amp;CHOOSE($Z936,3,3,2,2,3))&amp;" | Total Day "&amp;MAX(0,NETWORKDAYS($N936,TODAY(),Holidays)-1))</f>
        <v/>
      </c>
      <c r="X936" s="18"/>
      <c r="Y936" s="18"/>
      <c r="Z936" s="17">
        <f>IF($N936="","",COUNT($N936:$S936))</f>
        <v/>
      </c>
      <c r="AA936" s="19">
        <f>IF($Z936="","",INT(INDEX($N936:$S936,$Z936)))</f>
        <v/>
      </c>
      <c r="AB936" s="19">
        <f>IF(OR($Z936="",$Z936=6),"",WORKDAY($AA936,CHOOSE($Z936,3,3,2,2,3),Holidays))</f>
        <v/>
      </c>
      <c r="AC936" s="17">
        <f>IF(OR($Z936="",$Z936=6),"",CHOOSE($Z936,"1st Email Follow-up","2nd Email Follow-up","Escalate Local Office","Escalate to CBE","Escalate to Roxanne"))</f>
        <v/>
      </c>
    </row>
    <row r="937" spans="13:29">
      <c r="M937" s="14"/>
      <c r="T937" s="16"/>
      <c r="U937" s="17">
        <f>IF(AND(COUNTA($A937:$L937)=0,$N937=""),"",IF($T937="Paid","PAID",IF($T937="Closed","CLOSED",IF($Z937="","",IF($Z937=6,"ESCALATED TO ROXANNE",IF(TODAY()&gt;$AB937,"OVERDUE",IF($AB937&lt;=WORKDAY(TODAY(),1,Holidays),"DUE TOMORROW",IF($Z937=4,"ESCALATED TO LOCAL OFFICE",IF($Z937=5,"ESCALATED TO CBE",IF($AA937=TODAY(),"EMAIL SENT","MONITORING"))))))))))</f>
        <v/>
      </c>
      <c r="V937" s="17">
        <f>IF($U937="",IF(AND(COUNTA($A937:$L937)&gt;0,$N937=""),"Awaiting Collection Email time stamp.",""),IF(OR($U937="PAID",$U937="CLOSED"),IF($U937="PAID","Account paid. Action completed.","Account closed. No further action required."),CHOOSE($Z937,"Collection Email","1st Email Follow-up","2nd Email Follow-up","Escalation to Local Office","Escalation to CBE","Escalation to Roxanne")&amp;" sent "&amp;TEXT($AA937,"dd-mmm")&amp;". "&amp;IF($Z937=6,"Final escalation completed.",IF($U937="OVERDUE","Next: "&amp;$AC937&amp;" was due "&amp;TEXT($AB937,"dd-mmm")&amp;" - "&amp;(NETWORKDAYS($AB937,TODAY(),Holidays)-1)&amp;" business day(s) late. Send now.",IF($U937="DUE TOMORROW","Next: "&amp;$AC937&amp;IF($AB937&lt;=TODAY()," is due TODAY ("," is due next business day (")&amp;TEXT($AB937,"dd-mmm")&amp;").","Next: "&amp;$AC937&amp;" due "&amp;TEXT($AB937,"dd-mmm")&amp;" ("&amp;(NETWORKDAYS(TODAY(),$AB937,Holidays)-1)&amp;" business day(s) left).")))))</f>
        <v/>
      </c>
      <c r="W937" s="17">
        <f>IF($Z937="","",CHOOSE($Z937,"Collection Email","1st Follow-up","2nd Follow-up","Local Office","CBE","Roxanne")&amp;IF($Z937=6," - Final"," - Day "&amp;MAX(0,NETWORKDAYS($AA937,TODAY(),Holidays)-1)&amp;" of "&amp;CHOOSE($Z937,3,3,2,2,3))&amp;" | Total Day "&amp;MAX(0,NETWORKDAYS($N937,TODAY(),Holidays)-1))</f>
        <v/>
      </c>
      <c r="X937" s="18"/>
      <c r="Y937" s="18"/>
      <c r="Z937" s="17">
        <f>IF($N937="","",COUNT($N937:$S937))</f>
        <v/>
      </c>
      <c r="AA937" s="19">
        <f>IF($Z937="","",INT(INDEX($N937:$S937,$Z937)))</f>
        <v/>
      </c>
      <c r="AB937" s="19">
        <f>IF(OR($Z937="",$Z937=6),"",WORKDAY($AA937,CHOOSE($Z937,3,3,2,2,3),Holidays))</f>
        <v/>
      </c>
      <c r="AC937" s="17">
        <f>IF(OR($Z937="",$Z937=6),"",CHOOSE($Z937,"1st Email Follow-up","2nd Email Follow-up","Escalate Local Office","Escalate to CBE","Escalate to Roxanne"))</f>
        <v/>
      </c>
    </row>
    <row r="938" spans="13:29">
      <c r="M938" s="14"/>
      <c r="T938" s="16"/>
      <c r="U938" s="17">
        <f>IF(AND(COUNTA($A938:$L938)=0,$N938=""),"",IF($T938="Paid","PAID",IF($T938="Closed","CLOSED",IF($Z938="","",IF($Z938=6,"ESCALATED TO ROXANNE",IF(TODAY()&gt;$AB938,"OVERDUE",IF($AB938&lt;=WORKDAY(TODAY(),1,Holidays),"DUE TOMORROW",IF($Z938=4,"ESCALATED TO LOCAL OFFICE",IF($Z938=5,"ESCALATED TO CBE",IF($AA938=TODAY(),"EMAIL SENT","MONITORING"))))))))))</f>
        <v/>
      </c>
      <c r="V938" s="17">
        <f>IF($U938="",IF(AND(COUNTA($A938:$L938)&gt;0,$N938=""),"Awaiting Collection Email time stamp.",""),IF(OR($U938="PAID",$U938="CLOSED"),IF($U938="PAID","Account paid. Action completed.","Account closed. No further action required."),CHOOSE($Z938,"Collection Email","1st Email Follow-up","2nd Email Follow-up","Escalation to Local Office","Escalation to CBE","Escalation to Roxanne")&amp;" sent "&amp;TEXT($AA938,"dd-mmm")&amp;". "&amp;IF($Z938=6,"Final escalation completed.",IF($U938="OVERDUE","Next: "&amp;$AC938&amp;" was due "&amp;TEXT($AB938,"dd-mmm")&amp;" - "&amp;(NETWORKDAYS($AB938,TODAY(),Holidays)-1)&amp;" business day(s) late. Send now.",IF($U938="DUE TOMORROW","Next: "&amp;$AC938&amp;IF($AB938&lt;=TODAY()," is due TODAY ("," is due next business day (")&amp;TEXT($AB938,"dd-mmm")&amp;").","Next: "&amp;$AC938&amp;" due "&amp;TEXT($AB938,"dd-mmm")&amp;" ("&amp;(NETWORKDAYS(TODAY(),$AB938,Holidays)-1)&amp;" business day(s) left).")))))</f>
        <v/>
      </c>
      <c r="W938" s="17">
        <f>IF($Z938="","",CHOOSE($Z938,"Collection Email","1st Follow-up","2nd Follow-up","Local Office","CBE","Roxanne")&amp;IF($Z938=6," - Final"," - Day "&amp;MAX(0,NETWORKDAYS($AA938,TODAY(),Holidays)-1)&amp;" of "&amp;CHOOSE($Z938,3,3,2,2,3))&amp;" | Total Day "&amp;MAX(0,NETWORKDAYS($N938,TODAY(),Holidays)-1))</f>
        <v/>
      </c>
      <c r="X938" s="18"/>
      <c r="Y938" s="18"/>
      <c r="Z938" s="17">
        <f>IF($N938="","",COUNT($N938:$S938))</f>
        <v/>
      </c>
      <c r="AA938" s="19">
        <f>IF($Z938="","",INT(INDEX($N938:$S938,$Z938)))</f>
        <v/>
      </c>
      <c r="AB938" s="19">
        <f>IF(OR($Z938="",$Z938=6),"",WORKDAY($AA938,CHOOSE($Z938,3,3,2,2,3),Holidays))</f>
        <v/>
      </c>
      <c r="AC938" s="17">
        <f>IF(OR($Z938="",$Z938=6),"",CHOOSE($Z938,"1st Email Follow-up","2nd Email Follow-up","Escalate Local Office","Escalate to CBE","Escalate to Roxanne"))</f>
        <v/>
      </c>
    </row>
    <row r="939" spans="13:29">
      <c r="M939" s="14"/>
      <c r="T939" s="16"/>
      <c r="U939" s="17">
        <f>IF(AND(COUNTA($A939:$L939)=0,$N939=""),"",IF($T939="Paid","PAID",IF($T939="Closed","CLOSED",IF($Z939="","",IF($Z939=6,"ESCALATED TO ROXANNE",IF(TODAY()&gt;$AB939,"OVERDUE",IF($AB939&lt;=WORKDAY(TODAY(),1,Holidays),"DUE TOMORROW",IF($Z939=4,"ESCALATED TO LOCAL OFFICE",IF($Z939=5,"ESCALATED TO CBE",IF($AA939=TODAY(),"EMAIL SENT","MONITORING"))))))))))</f>
        <v/>
      </c>
      <c r="V939" s="17">
        <f>IF($U939="",IF(AND(COUNTA($A939:$L939)&gt;0,$N939=""),"Awaiting Collection Email time stamp.",""),IF(OR($U939="PAID",$U939="CLOSED"),IF($U939="PAID","Account paid. Action completed.","Account closed. No further action required."),CHOOSE($Z939,"Collection Email","1st Email Follow-up","2nd Email Follow-up","Escalation to Local Office","Escalation to CBE","Escalation to Roxanne")&amp;" sent "&amp;TEXT($AA939,"dd-mmm")&amp;". "&amp;IF($Z939=6,"Final escalation completed.",IF($U939="OVERDUE","Next: "&amp;$AC939&amp;" was due "&amp;TEXT($AB939,"dd-mmm")&amp;" - "&amp;(NETWORKDAYS($AB939,TODAY(),Holidays)-1)&amp;" business day(s) late. Send now.",IF($U939="DUE TOMORROW","Next: "&amp;$AC939&amp;IF($AB939&lt;=TODAY()," is due TODAY ("," is due next business day (")&amp;TEXT($AB939,"dd-mmm")&amp;").","Next: "&amp;$AC939&amp;" due "&amp;TEXT($AB939,"dd-mmm")&amp;" ("&amp;(NETWORKDAYS(TODAY(),$AB939,Holidays)-1)&amp;" business day(s) left).")))))</f>
        <v/>
      </c>
      <c r="W939" s="17">
        <f>IF($Z939="","",CHOOSE($Z939,"Collection Email","1st Follow-up","2nd Follow-up","Local Office","CBE","Roxanne")&amp;IF($Z939=6," - Final"," - Day "&amp;MAX(0,NETWORKDAYS($AA939,TODAY(),Holidays)-1)&amp;" of "&amp;CHOOSE($Z939,3,3,2,2,3))&amp;" | Total Day "&amp;MAX(0,NETWORKDAYS($N939,TODAY(),Holidays)-1))</f>
        <v/>
      </c>
      <c r="X939" s="18"/>
      <c r="Y939" s="18"/>
      <c r="Z939" s="17">
        <f>IF($N939="","",COUNT($N939:$S939))</f>
        <v/>
      </c>
      <c r="AA939" s="19">
        <f>IF($Z939="","",INT(INDEX($N939:$S939,$Z939)))</f>
        <v/>
      </c>
      <c r="AB939" s="19">
        <f>IF(OR($Z939="",$Z939=6),"",WORKDAY($AA939,CHOOSE($Z939,3,3,2,2,3),Holidays))</f>
        <v/>
      </c>
      <c r="AC939" s="17">
        <f>IF(OR($Z939="",$Z939=6),"",CHOOSE($Z939,"1st Email Follow-up","2nd Email Follow-up","Escalate Local Office","Escalate to CBE","Escalate to Roxanne"))</f>
        <v/>
      </c>
    </row>
    <row r="940" spans="13:29">
      <c r="M940" s="14"/>
      <c r="T940" s="16"/>
      <c r="U940" s="17">
        <f>IF(AND(COUNTA($A940:$L940)=0,$N940=""),"",IF($T940="Paid","PAID",IF($T940="Closed","CLOSED",IF($Z940="","",IF($Z940=6,"ESCALATED TO ROXANNE",IF(TODAY()&gt;$AB940,"OVERDUE",IF($AB940&lt;=WORKDAY(TODAY(),1,Holidays),"DUE TOMORROW",IF($Z940=4,"ESCALATED TO LOCAL OFFICE",IF($Z940=5,"ESCALATED TO CBE",IF($AA940=TODAY(),"EMAIL SENT","MONITORING"))))))))))</f>
        <v/>
      </c>
      <c r="V940" s="17">
        <f>IF($U940="",IF(AND(COUNTA($A940:$L940)&gt;0,$N940=""),"Awaiting Collection Email time stamp.",""),IF(OR($U940="PAID",$U940="CLOSED"),IF($U940="PAID","Account paid. Action completed.","Account closed. No further action required."),CHOOSE($Z940,"Collection Email","1st Email Follow-up","2nd Email Follow-up","Escalation to Local Office","Escalation to CBE","Escalation to Roxanne")&amp;" sent "&amp;TEXT($AA940,"dd-mmm")&amp;". "&amp;IF($Z940=6,"Final escalation completed.",IF($U940="OVERDUE","Next: "&amp;$AC940&amp;" was due "&amp;TEXT($AB940,"dd-mmm")&amp;" - "&amp;(NETWORKDAYS($AB940,TODAY(),Holidays)-1)&amp;" business day(s) late. Send now.",IF($U940="DUE TOMORROW","Next: "&amp;$AC940&amp;IF($AB940&lt;=TODAY()," is due TODAY ("," is due next business day (")&amp;TEXT($AB940,"dd-mmm")&amp;").","Next: "&amp;$AC940&amp;" due "&amp;TEXT($AB940,"dd-mmm")&amp;" ("&amp;(NETWORKDAYS(TODAY(),$AB940,Holidays)-1)&amp;" business day(s) left).")))))</f>
        <v/>
      </c>
      <c r="W940" s="17">
        <f>IF($Z940="","",CHOOSE($Z940,"Collection Email","1st Follow-up","2nd Follow-up","Local Office","CBE","Roxanne")&amp;IF($Z940=6," - Final"," - Day "&amp;MAX(0,NETWORKDAYS($AA940,TODAY(),Holidays)-1)&amp;" of "&amp;CHOOSE($Z940,3,3,2,2,3))&amp;" | Total Day "&amp;MAX(0,NETWORKDAYS($N940,TODAY(),Holidays)-1))</f>
        <v/>
      </c>
      <c r="X940" s="18"/>
      <c r="Y940" s="18"/>
      <c r="Z940" s="17">
        <f>IF($N940="","",COUNT($N940:$S940))</f>
        <v/>
      </c>
      <c r="AA940" s="19">
        <f>IF($Z940="","",INT(INDEX($N940:$S940,$Z940)))</f>
        <v/>
      </c>
      <c r="AB940" s="19">
        <f>IF(OR($Z940="",$Z940=6),"",WORKDAY($AA940,CHOOSE($Z940,3,3,2,2,3),Holidays))</f>
        <v/>
      </c>
      <c r="AC940" s="17">
        <f>IF(OR($Z940="",$Z940=6),"",CHOOSE($Z940,"1st Email Follow-up","2nd Email Follow-up","Escalate Local Office","Escalate to CBE","Escalate to Roxanne"))</f>
        <v/>
      </c>
    </row>
    <row r="941" spans="13:29">
      <c r="M941" s="14"/>
      <c r="T941" s="16"/>
      <c r="U941" s="17">
        <f>IF(AND(COUNTA($A941:$L941)=0,$N941=""),"",IF($T941="Paid","PAID",IF($T941="Closed","CLOSED",IF($Z941="","",IF($Z941=6,"ESCALATED TO ROXANNE",IF(TODAY()&gt;$AB941,"OVERDUE",IF($AB941&lt;=WORKDAY(TODAY(),1,Holidays),"DUE TOMORROW",IF($Z941=4,"ESCALATED TO LOCAL OFFICE",IF($Z941=5,"ESCALATED TO CBE",IF($AA941=TODAY(),"EMAIL SENT","MONITORING"))))))))))</f>
        <v/>
      </c>
      <c r="V941" s="17">
        <f>IF($U941="",IF(AND(COUNTA($A941:$L941)&gt;0,$N941=""),"Awaiting Collection Email time stamp.",""),IF(OR($U941="PAID",$U941="CLOSED"),IF($U941="PAID","Account paid. Action completed.","Account closed. No further action required."),CHOOSE($Z941,"Collection Email","1st Email Follow-up","2nd Email Follow-up","Escalation to Local Office","Escalation to CBE","Escalation to Roxanne")&amp;" sent "&amp;TEXT($AA941,"dd-mmm")&amp;". "&amp;IF($Z941=6,"Final escalation completed.",IF($U941="OVERDUE","Next: "&amp;$AC941&amp;" was due "&amp;TEXT($AB941,"dd-mmm")&amp;" - "&amp;(NETWORKDAYS($AB941,TODAY(),Holidays)-1)&amp;" business day(s) late. Send now.",IF($U941="DUE TOMORROW","Next: "&amp;$AC941&amp;IF($AB941&lt;=TODAY()," is due TODAY ("," is due next business day (")&amp;TEXT($AB941,"dd-mmm")&amp;").","Next: "&amp;$AC941&amp;" due "&amp;TEXT($AB941,"dd-mmm")&amp;" ("&amp;(NETWORKDAYS(TODAY(),$AB941,Holidays)-1)&amp;" business day(s) left).")))))</f>
        <v/>
      </c>
      <c r="W941" s="17">
        <f>IF($Z941="","",CHOOSE($Z941,"Collection Email","1st Follow-up","2nd Follow-up","Local Office","CBE","Roxanne")&amp;IF($Z941=6," - Final"," - Day "&amp;MAX(0,NETWORKDAYS($AA941,TODAY(),Holidays)-1)&amp;" of "&amp;CHOOSE($Z941,3,3,2,2,3))&amp;" | Total Day "&amp;MAX(0,NETWORKDAYS($N941,TODAY(),Holidays)-1))</f>
        <v/>
      </c>
      <c r="X941" s="18"/>
      <c r="Y941" s="18"/>
      <c r="Z941" s="17">
        <f>IF($N941="","",COUNT($N941:$S941))</f>
        <v/>
      </c>
      <c r="AA941" s="19">
        <f>IF($Z941="","",INT(INDEX($N941:$S941,$Z941)))</f>
        <v/>
      </c>
      <c r="AB941" s="19">
        <f>IF(OR($Z941="",$Z941=6),"",WORKDAY($AA941,CHOOSE($Z941,3,3,2,2,3),Holidays))</f>
        <v/>
      </c>
      <c r="AC941" s="17">
        <f>IF(OR($Z941="",$Z941=6),"",CHOOSE($Z941,"1st Email Follow-up","2nd Email Follow-up","Escalate Local Office","Escalate to CBE","Escalate to Roxanne"))</f>
        <v/>
      </c>
    </row>
    <row r="942" spans="13:29">
      <c r="M942" s="14"/>
      <c r="T942" s="16"/>
      <c r="U942" s="17">
        <f>IF(AND(COUNTA($A942:$L942)=0,$N942=""),"",IF($T942="Paid","PAID",IF($T942="Closed","CLOSED",IF($Z942="","",IF($Z942=6,"ESCALATED TO ROXANNE",IF(TODAY()&gt;$AB942,"OVERDUE",IF($AB942&lt;=WORKDAY(TODAY(),1,Holidays),"DUE TOMORROW",IF($Z942=4,"ESCALATED TO LOCAL OFFICE",IF($Z942=5,"ESCALATED TO CBE",IF($AA942=TODAY(),"EMAIL SENT","MONITORING"))))))))))</f>
        <v/>
      </c>
      <c r="V942" s="17">
        <f>IF($U942="",IF(AND(COUNTA($A942:$L942)&gt;0,$N942=""),"Awaiting Collection Email time stamp.",""),IF(OR($U942="PAID",$U942="CLOSED"),IF($U942="PAID","Account paid. Action completed.","Account closed. No further action required."),CHOOSE($Z942,"Collection Email","1st Email Follow-up","2nd Email Follow-up","Escalation to Local Office","Escalation to CBE","Escalation to Roxanne")&amp;" sent "&amp;TEXT($AA942,"dd-mmm")&amp;". "&amp;IF($Z942=6,"Final escalation completed.",IF($U942="OVERDUE","Next: "&amp;$AC942&amp;" was due "&amp;TEXT($AB942,"dd-mmm")&amp;" - "&amp;(NETWORKDAYS($AB942,TODAY(),Holidays)-1)&amp;" business day(s) late. Send now.",IF($U942="DUE TOMORROW","Next: "&amp;$AC942&amp;IF($AB942&lt;=TODAY()," is due TODAY ("," is due next business day (")&amp;TEXT($AB942,"dd-mmm")&amp;").","Next: "&amp;$AC942&amp;" due "&amp;TEXT($AB942,"dd-mmm")&amp;" ("&amp;(NETWORKDAYS(TODAY(),$AB942,Holidays)-1)&amp;" business day(s) left).")))))</f>
        <v/>
      </c>
      <c r="W942" s="17">
        <f>IF($Z942="","",CHOOSE($Z942,"Collection Email","1st Follow-up","2nd Follow-up","Local Office","CBE","Roxanne")&amp;IF($Z942=6," - Final"," - Day "&amp;MAX(0,NETWORKDAYS($AA942,TODAY(),Holidays)-1)&amp;" of "&amp;CHOOSE($Z942,3,3,2,2,3))&amp;" | Total Day "&amp;MAX(0,NETWORKDAYS($N942,TODAY(),Holidays)-1))</f>
        <v/>
      </c>
      <c r="X942" s="18"/>
      <c r="Y942" s="18"/>
      <c r="Z942" s="17">
        <f>IF($N942="","",COUNT($N942:$S942))</f>
        <v/>
      </c>
      <c r="AA942" s="19">
        <f>IF($Z942="","",INT(INDEX($N942:$S942,$Z942)))</f>
        <v/>
      </c>
      <c r="AB942" s="19">
        <f>IF(OR($Z942="",$Z942=6),"",WORKDAY($AA942,CHOOSE($Z942,3,3,2,2,3),Holidays))</f>
        <v/>
      </c>
      <c r="AC942" s="17">
        <f>IF(OR($Z942="",$Z942=6),"",CHOOSE($Z942,"1st Email Follow-up","2nd Email Follow-up","Escalate Local Office","Escalate to CBE","Escalate to Roxanne"))</f>
        <v/>
      </c>
    </row>
    <row r="943" spans="13:29">
      <c r="M943" s="14"/>
      <c r="T943" s="16"/>
      <c r="U943" s="17">
        <f>IF(AND(COUNTA($A943:$L943)=0,$N943=""),"",IF($T943="Paid","PAID",IF($T943="Closed","CLOSED",IF($Z943="","",IF($Z943=6,"ESCALATED TO ROXANNE",IF(TODAY()&gt;$AB943,"OVERDUE",IF($AB943&lt;=WORKDAY(TODAY(),1,Holidays),"DUE TOMORROW",IF($Z943=4,"ESCALATED TO LOCAL OFFICE",IF($Z943=5,"ESCALATED TO CBE",IF($AA943=TODAY(),"EMAIL SENT","MONITORING"))))))))))</f>
        <v/>
      </c>
      <c r="V943" s="17">
        <f>IF($U943="",IF(AND(COUNTA($A943:$L943)&gt;0,$N943=""),"Awaiting Collection Email time stamp.",""),IF(OR($U943="PAID",$U943="CLOSED"),IF($U943="PAID","Account paid. Action completed.","Account closed. No further action required."),CHOOSE($Z943,"Collection Email","1st Email Follow-up","2nd Email Follow-up","Escalation to Local Office","Escalation to CBE","Escalation to Roxanne")&amp;" sent "&amp;TEXT($AA943,"dd-mmm")&amp;". "&amp;IF($Z943=6,"Final escalation completed.",IF($U943="OVERDUE","Next: "&amp;$AC943&amp;" was due "&amp;TEXT($AB943,"dd-mmm")&amp;" - "&amp;(NETWORKDAYS($AB943,TODAY(),Holidays)-1)&amp;" business day(s) late. Send now.",IF($U943="DUE TOMORROW","Next: "&amp;$AC943&amp;IF($AB943&lt;=TODAY()," is due TODAY ("," is due next business day (")&amp;TEXT($AB943,"dd-mmm")&amp;").","Next: "&amp;$AC943&amp;" due "&amp;TEXT($AB943,"dd-mmm")&amp;" ("&amp;(NETWORKDAYS(TODAY(),$AB943,Holidays)-1)&amp;" business day(s) left).")))))</f>
        <v/>
      </c>
      <c r="W943" s="17">
        <f>IF($Z943="","",CHOOSE($Z943,"Collection Email","1st Follow-up","2nd Follow-up","Local Office","CBE","Roxanne")&amp;IF($Z943=6," - Final"," - Day "&amp;MAX(0,NETWORKDAYS($AA943,TODAY(),Holidays)-1)&amp;" of "&amp;CHOOSE($Z943,3,3,2,2,3))&amp;" | Total Day "&amp;MAX(0,NETWORKDAYS($N943,TODAY(),Holidays)-1))</f>
        <v/>
      </c>
      <c r="X943" s="18"/>
      <c r="Y943" s="18"/>
      <c r="Z943" s="17">
        <f>IF($N943="","",COUNT($N943:$S943))</f>
        <v/>
      </c>
      <c r="AA943" s="19">
        <f>IF($Z943="","",INT(INDEX($N943:$S943,$Z943)))</f>
        <v/>
      </c>
      <c r="AB943" s="19">
        <f>IF(OR($Z943="",$Z943=6),"",WORKDAY($AA943,CHOOSE($Z943,3,3,2,2,3),Holidays))</f>
        <v/>
      </c>
      <c r="AC943" s="17">
        <f>IF(OR($Z943="",$Z943=6),"",CHOOSE($Z943,"1st Email Follow-up","2nd Email Follow-up","Escalate Local Office","Escalate to CBE","Escalate to Roxanne"))</f>
        <v/>
      </c>
    </row>
    <row r="944" spans="13:29">
      <c r="M944" s="14"/>
      <c r="T944" s="16"/>
      <c r="U944" s="17">
        <f>IF(AND(COUNTA($A944:$L944)=0,$N944=""),"",IF($T944="Paid","PAID",IF($T944="Closed","CLOSED",IF($Z944="","",IF($Z944=6,"ESCALATED TO ROXANNE",IF(TODAY()&gt;$AB944,"OVERDUE",IF($AB944&lt;=WORKDAY(TODAY(),1,Holidays),"DUE TOMORROW",IF($Z944=4,"ESCALATED TO LOCAL OFFICE",IF($Z944=5,"ESCALATED TO CBE",IF($AA944=TODAY(),"EMAIL SENT","MONITORING"))))))))))</f>
        <v/>
      </c>
      <c r="V944" s="17">
        <f>IF($U944="",IF(AND(COUNTA($A944:$L944)&gt;0,$N944=""),"Awaiting Collection Email time stamp.",""),IF(OR($U944="PAID",$U944="CLOSED"),IF($U944="PAID","Account paid. Action completed.","Account closed. No further action required."),CHOOSE($Z944,"Collection Email","1st Email Follow-up","2nd Email Follow-up","Escalation to Local Office","Escalation to CBE","Escalation to Roxanne")&amp;" sent "&amp;TEXT($AA944,"dd-mmm")&amp;". "&amp;IF($Z944=6,"Final escalation completed.",IF($U944="OVERDUE","Next: "&amp;$AC944&amp;" was due "&amp;TEXT($AB944,"dd-mmm")&amp;" - "&amp;(NETWORKDAYS($AB944,TODAY(),Holidays)-1)&amp;" business day(s) late. Send now.",IF($U944="DUE TOMORROW","Next: "&amp;$AC944&amp;IF($AB944&lt;=TODAY()," is due TODAY ("," is due next business day (")&amp;TEXT($AB944,"dd-mmm")&amp;").","Next: "&amp;$AC944&amp;" due "&amp;TEXT($AB944,"dd-mmm")&amp;" ("&amp;(NETWORKDAYS(TODAY(),$AB944,Holidays)-1)&amp;" business day(s) left).")))))</f>
        <v/>
      </c>
      <c r="W944" s="17">
        <f>IF($Z944="","",CHOOSE($Z944,"Collection Email","1st Follow-up","2nd Follow-up","Local Office","CBE","Roxanne")&amp;IF($Z944=6," - Final"," - Day "&amp;MAX(0,NETWORKDAYS($AA944,TODAY(),Holidays)-1)&amp;" of "&amp;CHOOSE($Z944,3,3,2,2,3))&amp;" | Total Day "&amp;MAX(0,NETWORKDAYS($N944,TODAY(),Holidays)-1))</f>
        <v/>
      </c>
      <c r="X944" s="18"/>
      <c r="Y944" s="18"/>
      <c r="Z944" s="17">
        <f>IF($N944="","",COUNT($N944:$S944))</f>
        <v/>
      </c>
      <c r="AA944" s="19">
        <f>IF($Z944="","",INT(INDEX($N944:$S944,$Z944)))</f>
        <v/>
      </c>
      <c r="AB944" s="19">
        <f>IF(OR($Z944="",$Z944=6),"",WORKDAY($AA944,CHOOSE($Z944,3,3,2,2,3),Holidays))</f>
        <v/>
      </c>
      <c r="AC944" s="17">
        <f>IF(OR($Z944="",$Z944=6),"",CHOOSE($Z944,"1st Email Follow-up","2nd Email Follow-up","Escalate Local Office","Escalate to CBE","Escalate to Roxanne"))</f>
        <v/>
      </c>
    </row>
    <row r="945" spans="13:29">
      <c r="M945" s="14"/>
      <c r="T945" s="16"/>
      <c r="U945" s="17">
        <f>IF(AND(COUNTA($A945:$L945)=0,$N945=""),"",IF($T945="Paid","PAID",IF($T945="Closed","CLOSED",IF($Z945="","",IF($Z945=6,"ESCALATED TO ROXANNE",IF(TODAY()&gt;$AB945,"OVERDUE",IF($AB945&lt;=WORKDAY(TODAY(),1,Holidays),"DUE TOMORROW",IF($Z945=4,"ESCALATED TO LOCAL OFFICE",IF($Z945=5,"ESCALATED TO CBE",IF($AA945=TODAY(),"EMAIL SENT","MONITORING"))))))))))</f>
        <v/>
      </c>
      <c r="V945" s="17">
        <f>IF($U945="",IF(AND(COUNTA($A945:$L945)&gt;0,$N945=""),"Awaiting Collection Email time stamp.",""),IF(OR($U945="PAID",$U945="CLOSED"),IF($U945="PAID","Account paid. Action completed.","Account closed. No further action required."),CHOOSE($Z945,"Collection Email","1st Email Follow-up","2nd Email Follow-up","Escalation to Local Office","Escalation to CBE","Escalation to Roxanne")&amp;" sent "&amp;TEXT($AA945,"dd-mmm")&amp;". "&amp;IF($Z945=6,"Final escalation completed.",IF($U945="OVERDUE","Next: "&amp;$AC945&amp;" was due "&amp;TEXT($AB945,"dd-mmm")&amp;" - "&amp;(NETWORKDAYS($AB945,TODAY(),Holidays)-1)&amp;" business day(s) late. Send now.",IF($U945="DUE TOMORROW","Next: "&amp;$AC945&amp;IF($AB945&lt;=TODAY()," is due TODAY ("," is due next business day (")&amp;TEXT($AB945,"dd-mmm")&amp;").","Next: "&amp;$AC945&amp;" due "&amp;TEXT($AB945,"dd-mmm")&amp;" ("&amp;(NETWORKDAYS(TODAY(),$AB945,Holidays)-1)&amp;" business day(s) left).")))))</f>
        <v/>
      </c>
      <c r="W945" s="17">
        <f>IF($Z945="","",CHOOSE($Z945,"Collection Email","1st Follow-up","2nd Follow-up","Local Office","CBE","Roxanne")&amp;IF($Z945=6," - Final"," - Day "&amp;MAX(0,NETWORKDAYS($AA945,TODAY(),Holidays)-1)&amp;" of "&amp;CHOOSE($Z945,3,3,2,2,3))&amp;" | Total Day "&amp;MAX(0,NETWORKDAYS($N945,TODAY(),Holidays)-1))</f>
        <v/>
      </c>
      <c r="X945" s="18"/>
      <c r="Y945" s="18"/>
      <c r="Z945" s="17">
        <f>IF($N945="","",COUNT($N945:$S945))</f>
        <v/>
      </c>
      <c r="AA945" s="19">
        <f>IF($Z945="","",INT(INDEX($N945:$S945,$Z945)))</f>
        <v/>
      </c>
      <c r="AB945" s="19">
        <f>IF(OR($Z945="",$Z945=6),"",WORKDAY($AA945,CHOOSE($Z945,3,3,2,2,3),Holidays))</f>
        <v/>
      </c>
      <c r="AC945" s="17">
        <f>IF(OR($Z945="",$Z945=6),"",CHOOSE($Z945,"1st Email Follow-up","2nd Email Follow-up","Escalate Local Office","Escalate to CBE","Escalate to Roxanne"))</f>
        <v/>
      </c>
    </row>
    <row r="946" spans="13:29">
      <c r="M946" s="14"/>
      <c r="T946" s="16"/>
      <c r="U946" s="17">
        <f>IF(AND(COUNTA($A946:$L946)=0,$N946=""),"",IF($T946="Paid","PAID",IF($T946="Closed","CLOSED",IF($Z946="","",IF($Z946=6,"ESCALATED TO ROXANNE",IF(TODAY()&gt;$AB946,"OVERDUE",IF($AB946&lt;=WORKDAY(TODAY(),1,Holidays),"DUE TOMORROW",IF($Z946=4,"ESCALATED TO LOCAL OFFICE",IF($Z946=5,"ESCALATED TO CBE",IF($AA946=TODAY(),"EMAIL SENT","MONITORING"))))))))))</f>
        <v/>
      </c>
      <c r="V946" s="17">
        <f>IF($U946="",IF(AND(COUNTA($A946:$L946)&gt;0,$N946=""),"Awaiting Collection Email time stamp.",""),IF(OR($U946="PAID",$U946="CLOSED"),IF($U946="PAID","Account paid. Action completed.","Account closed. No further action required."),CHOOSE($Z946,"Collection Email","1st Email Follow-up","2nd Email Follow-up","Escalation to Local Office","Escalation to CBE","Escalation to Roxanne")&amp;" sent "&amp;TEXT($AA946,"dd-mmm")&amp;". "&amp;IF($Z946=6,"Final escalation completed.",IF($U946="OVERDUE","Next: "&amp;$AC946&amp;" was due "&amp;TEXT($AB946,"dd-mmm")&amp;" - "&amp;(NETWORKDAYS($AB946,TODAY(),Holidays)-1)&amp;" business day(s) late. Send now.",IF($U946="DUE TOMORROW","Next: "&amp;$AC946&amp;IF($AB946&lt;=TODAY()," is due TODAY ("," is due next business day (")&amp;TEXT($AB946,"dd-mmm")&amp;").","Next: "&amp;$AC946&amp;" due "&amp;TEXT($AB946,"dd-mmm")&amp;" ("&amp;(NETWORKDAYS(TODAY(),$AB946,Holidays)-1)&amp;" business day(s) left).")))))</f>
        <v/>
      </c>
      <c r="W946" s="17">
        <f>IF($Z946="","",CHOOSE($Z946,"Collection Email","1st Follow-up","2nd Follow-up","Local Office","CBE","Roxanne")&amp;IF($Z946=6," - Final"," - Day "&amp;MAX(0,NETWORKDAYS($AA946,TODAY(),Holidays)-1)&amp;" of "&amp;CHOOSE($Z946,3,3,2,2,3))&amp;" | Total Day "&amp;MAX(0,NETWORKDAYS($N946,TODAY(),Holidays)-1))</f>
        <v/>
      </c>
      <c r="X946" s="18"/>
      <c r="Y946" s="18"/>
      <c r="Z946" s="17">
        <f>IF($N946="","",COUNT($N946:$S946))</f>
        <v/>
      </c>
      <c r="AA946" s="19">
        <f>IF($Z946="","",INT(INDEX($N946:$S946,$Z946)))</f>
        <v/>
      </c>
      <c r="AB946" s="19">
        <f>IF(OR($Z946="",$Z946=6),"",WORKDAY($AA946,CHOOSE($Z946,3,3,2,2,3),Holidays))</f>
        <v/>
      </c>
      <c r="AC946" s="17">
        <f>IF(OR($Z946="",$Z946=6),"",CHOOSE($Z946,"1st Email Follow-up","2nd Email Follow-up","Escalate Local Office","Escalate to CBE","Escalate to Roxanne"))</f>
        <v/>
      </c>
    </row>
    <row r="947" spans="13:29">
      <c r="M947" s="14"/>
      <c r="T947" s="16"/>
      <c r="U947" s="17">
        <f>IF(AND(COUNTA($A947:$L947)=0,$N947=""),"",IF($T947="Paid","PAID",IF($T947="Closed","CLOSED",IF($Z947="","",IF($Z947=6,"ESCALATED TO ROXANNE",IF(TODAY()&gt;$AB947,"OVERDUE",IF($AB947&lt;=WORKDAY(TODAY(),1,Holidays),"DUE TOMORROW",IF($Z947=4,"ESCALATED TO LOCAL OFFICE",IF($Z947=5,"ESCALATED TO CBE",IF($AA947=TODAY(),"EMAIL SENT","MONITORING"))))))))))</f>
        <v/>
      </c>
      <c r="V947" s="17">
        <f>IF($U947="",IF(AND(COUNTA($A947:$L947)&gt;0,$N947=""),"Awaiting Collection Email time stamp.",""),IF(OR($U947="PAID",$U947="CLOSED"),IF($U947="PAID","Account paid. Action completed.","Account closed. No further action required."),CHOOSE($Z947,"Collection Email","1st Email Follow-up","2nd Email Follow-up","Escalation to Local Office","Escalation to CBE","Escalation to Roxanne")&amp;" sent "&amp;TEXT($AA947,"dd-mmm")&amp;". "&amp;IF($Z947=6,"Final escalation completed.",IF($U947="OVERDUE","Next: "&amp;$AC947&amp;" was due "&amp;TEXT($AB947,"dd-mmm")&amp;" - "&amp;(NETWORKDAYS($AB947,TODAY(),Holidays)-1)&amp;" business day(s) late. Send now.",IF($U947="DUE TOMORROW","Next: "&amp;$AC947&amp;IF($AB947&lt;=TODAY()," is due TODAY ("," is due next business day (")&amp;TEXT($AB947,"dd-mmm")&amp;").","Next: "&amp;$AC947&amp;" due "&amp;TEXT($AB947,"dd-mmm")&amp;" ("&amp;(NETWORKDAYS(TODAY(),$AB947,Holidays)-1)&amp;" business day(s) left).")))))</f>
        <v/>
      </c>
      <c r="W947" s="17">
        <f>IF($Z947="","",CHOOSE($Z947,"Collection Email","1st Follow-up","2nd Follow-up","Local Office","CBE","Roxanne")&amp;IF($Z947=6," - Final"," - Day "&amp;MAX(0,NETWORKDAYS($AA947,TODAY(),Holidays)-1)&amp;" of "&amp;CHOOSE($Z947,3,3,2,2,3))&amp;" | Total Day "&amp;MAX(0,NETWORKDAYS($N947,TODAY(),Holidays)-1))</f>
        <v/>
      </c>
      <c r="X947" s="18"/>
      <c r="Y947" s="18"/>
      <c r="Z947" s="17">
        <f>IF($N947="","",COUNT($N947:$S947))</f>
        <v/>
      </c>
      <c r="AA947" s="19">
        <f>IF($Z947="","",INT(INDEX($N947:$S947,$Z947)))</f>
        <v/>
      </c>
      <c r="AB947" s="19">
        <f>IF(OR($Z947="",$Z947=6),"",WORKDAY($AA947,CHOOSE($Z947,3,3,2,2,3),Holidays))</f>
        <v/>
      </c>
      <c r="AC947" s="17">
        <f>IF(OR($Z947="",$Z947=6),"",CHOOSE($Z947,"1st Email Follow-up","2nd Email Follow-up","Escalate Local Office","Escalate to CBE","Escalate to Roxanne"))</f>
        <v/>
      </c>
    </row>
    <row r="948" spans="13:29">
      <c r="M948" s="14"/>
      <c r="T948" s="16"/>
      <c r="U948" s="17">
        <f>IF(AND(COUNTA($A948:$L948)=0,$N948=""),"",IF($T948="Paid","PAID",IF($T948="Closed","CLOSED",IF($Z948="","",IF($Z948=6,"ESCALATED TO ROXANNE",IF(TODAY()&gt;$AB948,"OVERDUE",IF($AB948&lt;=WORKDAY(TODAY(),1,Holidays),"DUE TOMORROW",IF($Z948=4,"ESCALATED TO LOCAL OFFICE",IF($Z948=5,"ESCALATED TO CBE",IF($AA948=TODAY(),"EMAIL SENT","MONITORING"))))))))))</f>
        <v/>
      </c>
      <c r="V948" s="17">
        <f>IF($U948="",IF(AND(COUNTA($A948:$L948)&gt;0,$N948=""),"Awaiting Collection Email time stamp.",""),IF(OR($U948="PAID",$U948="CLOSED"),IF($U948="PAID","Account paid. Action completed.","Account closed. No further action required."),CHOOSE($Z948,"Collection Email","1st Email Follow-up","2nd Email Follow-up","Escalation to Local Office","Escalation to CBE","Escalation to Roxanne")&amp;" sent "&amp;TEXT($AA948,"dd-mmm")&amp;". "&amp;IF($Z948=6,"Final escalation completed.",IF($U948="OVERDUE","Next: "&amp;$AC948&amp;" was due "&amp;TEXT($AB948,"dd-mmm")&amp;" - "&amp;(NETWORKDAYS($AB948,TODAY(),Holidays)-1)&amp;" business day(s) late. Send now.",IF($U948="DUE TOMORROW","Next: "&amp;$AC948&amp;IF($AB948&lt;=TODAY()," is due TODAY ("," is due next business day (")&amp;TEXT($AB948,"dd-mmm")&amp;").","Next: "&amp;$AC948&amp;" due "&amp;TEXT($AB948,"dd-mmm")&amp;" ("&amp;(NETWORKDAYS(TODAY(),$AB948,Holidays)-1)&amp;" business day(s) left).")))))</f>
        <v/>
      </c>
      <c r="W948" s="17">
        <f>IF($Z948="","",CHOOSE($Z948,"Collection Email","1st Follow-up","2nd Follow-up","Local Office","CBE","Roxanne")&amp;IF($Z948=6," - Final"," - Day "&amp;MAX(0,NETWORKDAYS($AA948,TODAY(),Holidays)-1)&amp;" of "&amp;CHOOSE($Z948,3,3,2,2,3))&amp;" | Total Day "&amp;MAX(0,NETWORKDAYS($N948,TODAY(),Holidays)-1))</f>
        <v/>
      </c>
      <c r="X948" s="18"/>
      <c r="Y948" s="18"/>
      <c r="Z948" s="17">
        <f>IF($N948="","",COUNT($N948:$S948))</f>
        <v/>
      </c>
      <c r="AA948" s="19">
        <f>IF($Z948="","",INT(INDEX($N948:$S948,$Z948)))</f>
        <v/>
      </c>
      <c r="AB948" s="19">
        <f>IF(OR($Z948="",$Z948=6),"",WORKDAY($AA948,CHOOSE($Z948,3,3,2,2,3),Holidays))</f>
        <v/>
      </c>
      <c r="AC948" s="17">
        <f>IF(OR($Z948="",$Z948=6),"",CHOOSE($Z948,"1st Email Follow-up","2nd Email Follow-up","Escalate Local Office","Escalate to CBE","Escalate to Roxanne"))</f>
        <v/>
      </c>
    </row>
    <row r="949" spans="13:29">
      <c r="M949" s="14"/>
      <c r="T949" s="16"/>
      <c r="U949" s="17">
        <f>IF(AND(COUNTA($A949:$L949)=0,$N949=""),"",IF($T949="Paid","PAID",IF($T949="Closed","CLOSED",IF($Z949="","",IF($Z949=6,"ESCALATED TO ROXANNE",IF(TODAY()&gt;$AB949,"OVERDUE",IF($AB949&lt;=WORKDAY(TODAY(),1,Holidays),"DUE TOMORROW",IF($Z949=4,"ESCALATED TO LOCAL OFFICE",IF($Z949=5,"ESCALATED TO CBE",IF($AA949=TODAY(),"EMAIL SENT","MONITORING"))))))))))</f>
        <v/>
      </c>
      <c r="V949" s="17">
        <f>IF($U949="",IF(AND(COUNTA($A949:$L949)&gt;0,$N949=""),"Awaiting Collection Email time stamp.",""),IF(OR($U949="PAID",$U949="CLOSED"),IF($U949="PAID","Account paid. Action completed.","Account closed. No further action required."),CHOOSE($Z949,"Collection Email","1st Email Follow-up","2nd Email Follow-up","Escalation to Local Office","Escalation to CBE","Escalation to Roxanne")&amp;" sent "&amp;TEXT($AA949,"dd-mmm")&amp;". "&amp;IF($Z949=6,"Final escalation completed.",IF($U949="OVERDUE","Next: "&amp;$AC949&amp;" was due "&amp;TEXT($AB949,"dd-mmm")&amp;" - "&amp;(NETWORKDAYS($AB949,TODAY(),Holidays)-1)&amp;" business day(s) late. Send now.",IF($U949="DUE TOMORROW","Next: "&amp;$AC949&amp;IF($AB949&lt;=TODAY()," is due TODAY ("," is due next business day (")&amp;TEXT($AB949,"dd-mmm")&amp;").","Next: "&amp;$AC949&amp;" due "&amp;TEXT($AB949,"dd-mmm")&amp;" ("&amp;(NETWORKDAYS(TODAY(),$AB949,Holidays)-1)&amp;" business day(s) left).")))))</f>
        <v/>
      </c>
      <c r="W949" s="17">
        <f>IF($Z949="","",CHOOSE($Z949,"Collection Email","1st Follow-up","2nd Follow-up","Local Office","CBE","Roxanne")&amp;IF($Z949=6," - Final"," - Day "&amp;MAX(0,NETWORKDAYS($AA949,TODAY(),Holidays)-1)&amp;" of "&amp;CHOOSE($Z949,3,3,2,2,3))&amp;" | Total Day "&amp;MAX(0,NETWORKDAYS($N949,TODAY(),Holidays)-1))</f>
        <v/>
      </c>
      <c r="X949" s="18"/>
      <c r="Y949" s="18"/>
      <c r="Z949" s="17">
        <f>IF($N949="","",COUNT($N949:$S949))</f>
        <v/>
      </c>
      <c r="AA949" s="19">
        <f>IF($Z949="","",INT(INDEX($N949:$S949,$Z949)))</f>
        <v/>
      </c>
      <c r="AB949" s="19">
        <f>IF(OR($Z949="",$Z949=6),"",WORKDAY($AA949,CHOOSE($Z949,3,3,2,2,3),Holidays))</f>
        <v/>
      </c>
      <c r="AC949" s="17">
        <f>IF(OR($Z949="",$Z949=6),"",CHOOSE($Z949,"1st Email Follow-up","2nd Email Follow-up","Escalate Local Office","Escalate to CBE","Escalate to Roxanne"))</f>
        <v/>
      </c>
    </row>
    <row r="950" spans="13:29">
      <c r="M950" s="14"/>
      <c r="T950" s="16"/>
      <c r="U950" s="17">
        <f>IF(AND(COUNTA($A950:$L950)=0,$N950=""),"",IF($T950="Paid","PAID",IF($T950="Closed","CLOSED",IF($Z950="","",IF($Z950=6,"ESCALATED TO ROXANNE",IF(TODAY()&gt;$AB950,"OVERDUE",IF($AB950&lt;=WORKDAY(TODAY(),1,Holidays),"DUE TOMORROW",IF($Z950=4,"ESCALATED TO LOCAL OFFICE",IF($Z950=5,"ESCALATED TO CBE",IF($AA950=TODAY(),"EMAIL SENT","MONITORING"))))))))))</f>
        <v/>
      </c>
      <c r="V950" s="17">
        <f>IF($U950="",IF(AND(COUNTA($A950:$L950)&gt;0,$N950=""),"Awaiting Collection Email time stamp.",""),IF(OR($U950="PAID",$U950="CLOSED"),IF($U950="PAID","Account paid. Action completed.","Account closed. No further action required."),CHOOSE($Z950,"Collection Email","1st Email Follow-up","2nd Email Follow-up","Escalation to Local Office","Escalation to CBE","Escalation to Roxanne")&amp;" sent "&amp;TEXT($AA950,"dd-mmm")&amp;". "&amp;IF($Z950=6,"Final escalation completed.",IF($U950="OVERDUE","Next: "&amp;$AC950&amp;" was due "&amp;TEXT($AB950,"dd-mmm")&amp;" - "&amp;(NETWORKDAYS($AB950,TODAY(),Holidays)-1)&amp;" business day(s) late. Send now.",IF($U950="DUE TOMORROW","Next: "&amp;$AC950&amp;IF($AB950&lt;=TODAY()," is due TODAY ("," is due next business day (")&amp;TEXT($AB950,"dd-mmm")&amp;").","Next: "&amp;$AC950&amp;" due "&amp;TEXT($AB950,"dd-mmm")&amp;" ("&amp;(NETWORKDAYS(TODAY(),$AB950,Holidays)-1)&amp;" business day(s) left).")))))</f>
        <v/>
      </c>
      <c r="W950" s="17">
        <f>IF($Z950="","",CHOOSE($Z950,"Collection Email","1st Follow-up","2nd Follow-up","Local Office","CBE","Roxanne")&amp;IF($Z950=6," - Final"," - Day "&amp;MAX(0,NETWORKDAYS($AA950,TODAY(),Holidays)-1)&amp;" of "&amp;CHOOSE($Z950,3,3,2,2,3))&amp;" | Total Day "&amp;MAX(0,NETWORKDAYS($N950,TODAY(),Holidays)-1))</f>
        <v/>
      </c>
      <c r="X950" s="18"/>
      <c r="Y950" s="18"/>
      <c r="Z950" s="17">
        <f>IF($N950="","",COUNT($N950:$S950))</f>
        <v/>
      </c>
      <c r="AA950" s="19">
        <f>IF($Z950="","",INT(INDEX($N950:$S950,$Z950)))</f>
        <v/>
      </c>
      <c r="AB950" s="19">
        <f>IF(OR($Z950="",$Z950=6),"",WORKDAY($AA950,CHOOSE($Z950,3,3,2,2,3),Holidays))</f>
        <v/>
      </c>
      <c r="AC950" s="17">
        <f>IF(OR($Z950="",$Z950=6),"",CHOOSE($Z950,"1st Email Follow-up","2nd Email Follow-up","Escalate Local Office","Escalate to CBE","Escalate to Roxanne"))</f>
        <v/>
      </c>
    </row>
    <row r="951" spans="13:29">
      <c r="M951" s="14"/>
      <c r="T951" s="16"/>
      <c r="U951" s="17">
        <f>IF(AND(COUNTA($A951:$L951)=0,$N951=""),"",IF($T951="Paid","PAID",IF($T951="Closed","CLOSED",IF($Z951="","",IF($Z951=6,"ESCALATED TO ROXANNE",IF(TODAY()&gt;$AB951,"OVERDUE",IF($AB951&lt;=WORKDAY(TODAY(),1,Holidays),"DUE TOMORROW",IF($Z951=4,"ESCALATED TO LOCAL OFFICE",IF($Z951=5,"ESCALATED TO CBE",IF($AA951=TODAY(),"EMAIL SENT","MONITORING"))))))))))</f>
        <v/>
      </c>
      <c r="V951" s="17">
        <f>IF($U951="",IF(AND(COUNTA($A951:$L951)&gt;0,$N951=""),"Awaiting Collection Email time stamp.",""),IF(OR($U951="PAID",$U951="CLOSED"),IF($U951="PAID","Account paid. Action completed.","Account closed. No further action required."),CHOOSE($Z951,"Collection Email","1st Email Follow-up","2nd Email Follow-up","Escalation to Local Office","Escalation to CBE","Escalation to Roxanne")&amp;" sent "&amp;TEXT($AA951,"dd-mmm")&amp;". "&amp;IF($Z951=6,"Final escalation completed.",IF($U951="OVERDUE","Next: "&amp;$AC951&amp;" was due "&amp;TEXT($AB951,"dd-mmm")&amp;" - "&amp;(NETWORKDAYS($AB951,TODAY(),Holidays)-1)&amp;" business day(s) late. Send now.",IF($U951="DUE TOMORROW","Next: "&amp;$AC951&amp;IF($AB951&lt;=TODAY()," is due TODAY ("," is due next business day (")&amp;TEXT($AB951,"dd-mmm")&amp;").","Next: "&amp;$AC951&amp;" due "&amp;TEXT($AB951,"dd-mmm")&amp;" ("&amp;(NETWORKDAYS(TODAY(),$AB951,Holidays)-1)&amp;" business day(s) left).")))))</f>
        <v/>
      </c>
      <c r="W951" s="17">
        <f>IF($Z951="","",CHOOSE($Z951,"Collection Email","1st Follow-up","2nd Follow-up","Local Office","CBE","Roxanne")&amp;IF($Z951=6," - Final"," - Day "&amp;MAX(0,NETWORKDAYS($AA951,TODAY(),Holidays)-1)&amp;" of "&amp;CHOOSE($Z951,3,3,2,2,3))&amp;" | Total Day "&amp;MAX(0,NETWORKDAYS($N951,TODAY(),Holidays)-1))</f>
        <v/>
      </c>
      <c r="X951" s="18"/>
      <c r="Y951" s="18"/>
      <c r="Z951" s="17">
        <f>IF($N951="","",COUNT($N951:$S951))</f>
        <v/>
      </c>
      <c r="AA951" s="19">
        <f>IF($Z951="","",INT(INDEX($N951:$S951,$Z951)))</f>
        <v/>
      </c>
      <c r="AB951" s="19">
        <f>IF(OR($Z951="",$Z951=6),"",WORKDAY($AA951,CHOOSE($Z951,3,3,2,2,3),Holidays))</f>
        <v/>
      </c>
      <c r="AC951" s="17">
        <f>IF(OR($Z951="",$Z951=6),"",CHOOSE($Z951,"1st Email Follow-up","2nd Email Follow-up","Escalate Local Office","Escalate to CBE","Escalate to Roxanne"))</f>
        <v/>
      </c>
    </row>
    <row r="952" spans="13:29">
      <c r="M952" s="14"/>
      <c r="T952" s="16"/>
      <c r="U952" s="17">
        <f>IF(AND(COUNTA($A952:$L952)=0,$N952=""),"",IF($T952="Paid","PAID",IF($T952="Closed","CLOSED",IF($Z952="","",IF($Z952=6,"ESCALATED TO ROXANNE",IF(TODAY()&gt;$AB952,"OVERDUE",IF($AB952&lt;=WORKDAY(TODAY(),1,Holidays),"DUE TOMORROW",IF($Z952=4,"ESCALATED TO LOCAL OFFICE",IF($Z952=5,"ESCALATED TO CBE",IF($AA952=TODAY(),"EMAIL SENT","MONITORING"))))))))))</f>
        <v/>
      </c>
      <c r="V952" s="17">
        <f>IF($U952="",IF(AND(COUNTA($A952:$L952)&gt;0,$N952=""),"Awaiting Collection Email time stamp.",""),IF(OR($U952="PAID",$U952="CLOSED"),IF($U952="PAID","Account paid. Action completed.","Account closed. No further action required."),CHOOSE($Z952,"Collection Email","1st Email Follow-up","2nd Email Follow-up","Escalation to Local Office","Escalation to CBE","Escalation to Roxanne")&amp;" sent "&amp;TEXT($AA952,"dd-mmm")&amp;". "&amp;IF($Z952=6,"Final escalation completed.",IF($U952="OVERDUE","Next: "&amp;$AC952&amp;" was due "&amp;TEXT($AB952,"dd-mmm")&amp;" - "&amp;(NETWORKDAYS($AB952,TODAY(),Holidays)-1)&amp;" business day(s) late. Send now.",IF($U952="DUE TOMORROW","Next: "&amp;$AC952&amp;IF($AB952&lt;=TODAY()," is due TODAY ("," is due next business day (")&amp;TEXT($AB952,"dd-mmm")&amp;").","Next: "&amp;$AC952&amp;" due "&amp;TEXT($AB952,"dd-mmm")&amp;" ("&amp;(NETWORKDAYS(TODAY(),$AB952,Holidays)-1)&amp;" business day(s) left).")))))</f>
        <v/>
      </c>
      <c r="W952" s="17">
        <f>IF($Z952="","",CHOOSE($Z952,"Collection Email","1st Follow-up","2nd Follow-up","Local Office","CBE","Roxanne")&amp;IF($Z952=6," - Final"," - Day "&amp;MAX(0,NETWORKDAYS($AA952,TODAY(),Holidays)-1)&amp;" of "&amp;CHOOSE($Z952,3,3,2,2,3))&amp;" | Total Day "&amp;MAX(0,NETWORKDAYS($N952,TODAY(),Holidays)-1))</f>
        <v/>
      </c>
      <c r="X952" s="18"/>
      <c r="Y952" s="18"/>
      <c r="Z952" s="17">
        <f>IF($N952="","",COUNT($N952:$S952))</f>
        <v/>
      </c>
      <c r="AA952" s="19">
        <f>IF($Z952="","",INT(INDEX($N952:$S952,$Z952)))</f>
        <v/>
      </c>
      <c r="AB952" s="19">
        <f>IF(OR($Z952="",$Z952=6),"",WORKDAY($AA952,CHOOSE($Z952,3,3,2,2,3),Holidays))</f>
        <v/>
      </c>
      <c r="AC952" s="17">
        <f>IF(OR($Z952="",$Z952=6),"",CHOOSE($Z952,"1st Email Follow-up","2nd Email Follow-up","Escalate Local Office","Escalate to CBE","Escalate to Roxanne"))</f>
        <v/>
      </c>
    </row>
    <row r="953" spans="13:29">
      <c r="M953" s="14"/>
      <c r="T953" s="16"/>
      <c r="U953" s="17">
        <f>IF(AND(COUNTA($A953:$L953)=0,$N953=""),"",IF($T953="Paid","PAID",IF($T953="Closed","CLOSED",IF($Z953="","",IF($Z953=6,"ESCALATED TO ROXANNE",IF(TODAY()&gt;$AB953,"OVERDUE",IF($AB953&lt;=WORKDAY(TODAY(),1,Holidays),"DUE TOMORROW",IF($Z953=4,"ESCALATED TO LOCAL OFFICE",IF($Z953=5,"ESCALATED TO CBE",IF($AA953=TODAY(),"EMAIL SENT","MONITORING"))))))))))</f>
        <v/>
      </c>
      <c r="V953" s="17">
        <f>IF($U953="",IF(AND(COUNTA($A953:$L953)&gt;0,$N953=""),"Awaiting Collection Email time stamp.",""),IF(OR($U953="PAID",$U953="CLOSED"),IF($U953="PAID","Account paid. Action completed.","Account closed. No further action required."),CHOOSE($Z953,"Collection Email","1st Email Follow-up","2nd Email Follow-up","Escalation to Local Office","Escalation to CBE","Escalation to Roxanne")&amp;" sent "&amp;TEXT($AA953,"dd-mmm")&amp;". "&amp;IF($Z953=6,"Final escalation completed.",IF($U953="OVERDUE","Next: "&amp;$AC953&amp;" was due "&amp;TEXT($AB953,"dd-mmm")&amp;" - "&amp;(NETWORKDAYS($AB953,TODAY(),Holidays)-1)&amp;" business day(s) late. Send now.",IF($U953="DUE TOMORROW","Next: "&amp;$AC953&amp;IF($AB953&lt;=TODAY()," is due TODAY ("," is due next business day (")&amp;TEXT($AB953,"dd-mmm")&amp;").","Next: "&amp;$AC953&amp;" due "&amp;TEXT($AB953,"dd-mmm")&amp;" ("&amp;(NETWORKDAYS(TODAY(),$AB953,Holidays)-1)&amp;" business day(s) left).")))))</f>
        <v/>
      </c>
      <c r="W953" s="17">
        <f>IF($Z953="","",CHOOSE($Z953,"Collection Email","1st Follow-up","2nd Follow-up","Local Office","CBE","Roxanne")&amp;IF($Z953=6," - Final"," - Day "&amp;MAX(0,NETWORKDAYS($AA953,TODAY(),Holidays)-1)&amp;" of "&amp;CHOOSE($Z953,3,3,2,2,3))&amp;" | Total Day "&amp;MAX(0,NETWORKDAYS($N953,TODAY(),Holidays)-1))</f>
        <v/>
      </c>
      <c r="X953" s="18"/>
      <c r="Y953" s="18"/>
      <c r="Z953" s="17">
        <f>IF($N953="","",COUNT($N953:$S953))</f>
        <v/>
      </c>
      <c r="AA953" s="19">
        <f>IF($Z953="","",INT(INDEX($N953:$S953,$Z953)))</f>
        <v/>
      </c>
      <c r="AB953" s="19">
        <f>IF(OR($Z953="",$Z953=6),"",WORKDAY($AA953,CHOOSE($Z953,3,3,2,2,3),Holidays))</f>
        <v/>
      </c>
      <c r="AC953" s="17">
        <f>IF(OR($Z953="",$Z953=6),"",CHOOSE($Z953,"1st Email Follow-up","2nd Email Follow-up","Escalate Local Office","Escalate to CBE","Escalate to Roxanne"))</f>
        <v/>
      </c>
    </row>
    <row r="954" spans="13:29">
      <c r="M954" s="14"/>
      <c r="T954" s="16"/>
      <c r="U954" s="17">
        <f>IF(AND(COUNTA($A954:$L954)=0,$N954=""),"",IF($T954="Paid","PAID",IF($T954="Closed","CLOSED",IF($Z954="","",IF($Z954=6,"ESCALATED TO ROXANNE",IF(TODAY()&gt;$AB954,"OVERDUE",IF($AB954&lt;=WORKDAY(TODAY(),1,Holidays),"DUE TOMORROW",IF($Z954=4,"ESCALATED TO LOCAL OFFICE",IF($Z954=5,"ESCALATED TO CBE",IF($AA954=TODAY(),"EMAIL SENT","MONITORING"))))))))))</f>
        <v/>
      </c>
      <c r="V954" s="17">
        <f>IF($U954="",IF(AND(COUNTA($A954:$L954)&gt;0,$N954=""),"Awaiting Collection Email time stamp.",""),IF(OR($U954="PAID",$U954="CLOSED"),IF($U954="PAID","Account paid. Action completed.","Account closed. No further action required."),CHOOSE($Z954,"Collection Email","1st Email Follow-up","2nd Email Follow-up","Escalation to Local Office","Escalation to CBE","Escalation to Roxanne")&amp;" sent "&amp;TEXT($AA954,"dd-mmm")&amp;". "&amp;IF($Z954=6,"Final escalation completed.",IF($U954="OVERDUE","Next: "&amp;$AC954&amp;" was due "&amp;TEXT($AB954,"dd-mmm")&amp;" - "&amp;(NETWORKDAYS($AB954,TODAY(),Holidays)-1)&amp;" business day(s) late. Send now.",IF($U954="DUE TOMORROW","Next: "&amp;$AC954&amp;IF($AB954&lt;=TODAY()," is due TODAY ("," is due next business day (")&amp;TEXT($AB954,"dd-mmm")&amp;").","Next: "&amp;$AC954&amp;" due "&amp;TEXT($AB954,"dd-mmm")&amp;" ("&amp;(NETWORKDAYS(TODAY(),$AB954,Holidays)-1)&amp;" business day(s) left).")))))</f>
        <v/>
      </c>
      <c r="W954" s="17">
        <f>IF($Z954="","",CHOOSE($Z954,"Collection Email","1st Follow-up","2nd Follow-up","Local Office","CBE","Roxanne")&amp;IF($Z954=6," - Final"," - Day "&amp;MAX(0,NETWORKDAYS($AA954,TODAY(),Holidays)-1)&amp;" of "&amp;CHOOSE($Z954,3,3,2,2,3))&amp;" | Total Day "&amp;MAX(0,NETWORKDAYS($N954,TODAY(),Holidays)-1))</f>
        <v/>
      </c>
      <c r="X954" s="18"/>
      <c r="Y954" s="18"/>
      <c r="Z954" s="17">
        <f>IF($N954="","",COUNT($N954:$S954))</f>
        <v/>
      </c>
      <c r="AA954" s="19">
        <f>IF($Z954="","",INT(INDEX($N954:$S954,$Z954)))</f>
        <v/>
      </c>
      <c r="AB954" s="19">
        <f>IF(OR($Z954="",$Z954=6),"",WORKDAY($AA954,CHOOSE($Z954,3,3,2,2,3),Holidays))</f>
        <v/>
      </c>
      <c r="AC954" s="17">
        <f>IF(OR($Z954="",$Z954=6),"",CHOOSE($Z954,"1st Email Follow-up","2nd Email Follow-up","Escalate Local Office","Escalate to CBE","Escalate to Roxanne"))</f>
        <v/>
      </c>
    </row>
    <row r="955" spans="13:29">
      <c r="M955" s="14"/>
      <c r="T955" s="16"/>
      <c r="U955" s="17">
        <f>IF(AND(COUNTA($A955:$L955)=0,$N955=""),"",IF($T955="Paid","PAID",IF($T955="Closed","CLOSED",IF($Z955="","",IF($Z955=6,"ESCALATED TO ROXANNE",IF(TODAY()&gt;$AB955,"OVERDUE",IF($AB955&lt;=WORKDAY(TODAY(),1,Holidays),"DUE TOMORROW",IF($Z955=4,"ESCALATED TO LOCAL OFFICE",IF($Z955=5,"ESCALATED TO CBE",IF($AA955=TODAY(),"EMAIL SENT","MONITORING"))))))))))</f>
        <v/>
      </c>
      <c r="V955" s="17">
        <f>IF($U955="",IF(AND(COUNTA($A955:$L955)&gt;0,$N955=""),"Awaiting Collection Email time stamp.",""),IF(OR($U955="PAID",$U955="CLOSED"),IF($U955="PAID","Account paid. Action completed.","Account closed. No further action required."),CHOOSE($Z955,"Collection Email","1st Email Follow-up","2nd Email Follow-up","Escalation to Local Office","Escalation to CBE","Escalation to Roxanne")&amp;" sent "&amp;TEXT($AA955,"dd-mmm")&amp;". "&amp;IF($Z955=6,"Final escalation completed.",IF($U955="OVERDUE","Next: "&amp;$AC955&amp;" was due "&amp;TEXT($AB955,"dd-mmm")&amp;" - "&amp;(NETWORKDAYS($AB955,TODAY(),Holidays)-1)&amp;" business day(s) late. Send now.",IF($U955="DUE TOMORROW","Next: "&amp;$AC955&amp;IF($AB955&lt;=TODAY()," is due TODAY ("," is due next business day (")&amp;TEXT($AB955,"dd-mmm")&amp;").","Next: "&amp;$AC955&amp;" due "&amp;TEXT($AB955,"dd-mmm")&amp;" ("&amp;(NETWORKDAYS(TODAY(),$AB955,Holidays)-1)&amp;" business day(s) left).")))))</f>
        <v/>
      </c>
      <c r="W955" s="17">
        <f>IF($Z955="","",CHOOSE($Z955,"Collection Email","1st Follow-up","2nd Follow-up","Local Office","CBE","Roxanne")&amp;IF($Z955=6," - Final"," - Day "&amp;MAX(0,NETWORKDAYS($AA955,TODAY(),Holidays)-1)&amp;" of "&amp;CHOOSE($Z955,3,3,2,2,3))&amp;" | Total Day "&amp;MAX(0,NETWORKDAYS($N955,TODAY(),Holidays)-1))</f>
        <v/>
      </c>
      <c r="X955" s="18"/>
      <c r="Y955" s="18"/>
      <c r="Z955" s="17">
        <f>IF($N955="","",COUNT($N955:$S955))</f>
        <v/>
      </c>
      <c r="AA955" s="19">
        <f>IF($Z955="","",INT(INDEX($N955:$S955,$Z955)))</f>
        <v/>
      </c>
      <c r="AB955" s="19">
        <f>IF(OR($Z955="",$Z955=6),"",WORKDAY($AA955,CHOOSE($Z955,3,3,2,2,3),Holidays))</f>
        <v/>
      </c>
      <c r="AC955" s="17">
        <f>IF(OR($Z955="",$Z955=6),"",CHOOSE($Z955,"1st Email Follow-up","2nd Email Follow-up","Escalate Local Office","Escalate to CBE","Escalate to Roxanne"))</f>
        <v/>
      </c>
    </row>
    <row r="956" spans="13:29">
      <c r="M956" s="14"/>
      <c r="T956" s="16"/>
      <c r="U956" s="17">
        <f>IF(AND(COUNTA($A956:$L956)=0,$N956=""),"",IF($T956="Paid","PAID",IF($T956="Closed","CLOSED",IF($Z956="","",IF($Z956=6,"ESCALATED TO ROXANNE",IF(TODAY()&gt;$AB956,"OVERDUE",IF($AB956&lt;=WORKDAY(TODAY(),1,Holidays),"DUE TOMORROW",IF($Z956=4,"ESCALATED TO LOCAL OFFICE",IF($Z956=5,"ESCALATED TO CBE",IF($AA956=TODAY(),"EMAIL SENT","MONITORING"))))))))))</f>
        <v/>
      </c>
      <c r="V956" s="17">
        <f>IF($U956="",IF(AND(COUNTA($A956:$L956)&gt;0,$N956=""),"Awaiting Collection Email time stamp.",""),IF(OR($U956="PAID",$U956="CLOSED"),IF($U956="PAID","Account paid. Action completed.","Account closed. No further action required."),CHOOSE($Z956,"Collection Email","1st Email Follow-up","2nd Email Follow-up","Escalation to Local Office","Escalation to CBE","Escalation to Roxanne")&amp;" sent "&amp;TEXT($AA956,"dd-mmm")&amp;". "&amp;IF($Z956=6,"Final escalation completed.",IF($U956="OVERDUE","Next: "&amp;$AC956&amp;" was due "&amp;TEXT($AB956,"dd-mmm")&amp;" - "&amp;(NETWORKDAYS($AB956,TODAY(),Holidays)-1)&amp;" business day(s) late. Send now.",IF($U956="DUE TOMORROW","Next: "&amp;$AC956&amp;IF($AB956&lt;=TODAY()," is due TODAY ("," is due next business day (")&amp;TEXT($AB956,"dd-mmm")&amp;").","Next: "&amp;$AC956&amp;" due "&amp;TEXT($AB956,"dd-mmm")&amp;" ("&amp;(NETWORKDAYS(TODAY(),$AB956,Holidays)-1)&amp;" business day(s) left).")))))</f>
        <v/>
      </c>
      <c r="W956" s="17">
        <f>IF($Z956="","",CHOOSE($Z956,"Collection Email","1st Follow-up","2nd Follow-up","Local Office","CBE","Roxanne")&amp;IF($Z956=6," - Final"," - Day "&amp;MAX(0,NETWORKDAYS($AA956,TODAY(),Holidays)-1)&amp;" of "&amp;CHOOSE($Z956,3,3,2,2,3))&amp;" | Total Day "&amp;MAX(0,NETWORKDAYS($N956,TODAY(),Holidays)-1))</f>
        <v/>
      </c>
      <c r="X956" s="18"/>
      <c r="Y956" s="18"/>
      <c r="Z956" s="17">
        <f>IF($N956="","",COUNT($N956:$S956))</f>
        <v/>
      </c>
      <c r="AA956" s="19">
        <f>IF($Z956="","",INT(INDEX($N956:$S956,$Z956)))</f>
        <v/>
      </c>
      <c r="AB956" s="19">
        <f>IF(OR($Z956="",$Z956=6),"",WORKDAY($AA956,CHOOSE($Z956,3,3,2,2,3),Holidays))</f>
        <v/>
      </c>
      <c r="AC956" s="17">
        <f>IF(OR($Z956="",$Z956=6),"",CHOOSE($Z956,"1st Email Follow-up","2nd Email Follow-up","Escalate Local Office","Escalate to CBE","Escalate to Roxanne"))</f>
        <v/>
      </c>
    </row>
    <row r="957" spans="13:29">
      <c r="M957" s="14"/>
      <c r="T957" s="16"/>
      <c r="U957" s="17">
        <f>IF(AND(COUNTA($A957:$L957)=0,$N957=""),"",IF($T957="Paid","PAID",IF($T957="Closed","CLOSED",IF($Z957="","",IF($Z957=6,"ESCALATED TO ROXANNE",IF(TODAY()&gt;$AB957,"OVERDUE",IF($AB957&lt;=WORKDAY(TODAY(),1,Holidays),"DUE TOMORROW",IF($Z957=4,"ESCALATED TO LOCAL OFFICE",IF($Z957=5,"ESCALATED TO CBE",IF($AA957=TODAY(),"EMAIL SENT","MONITORING"))))))))))</f>
        <v/>
      </c>
      <c r="V957" s="17">
        <f>IF($U957="",IF(AND(COUNTA($A957:$L957)&gt;0,$N957=""),"Awaiting Collection Email time stamp.",""),IF(OR($U957="PAID",$U957="CLOSED"),IF($U957="PAID","Account paid. Action completed.","Account closed. No further action required."),CHOOSE($Z957,"Collection Email","1st Email Follow-up","2nd Email Follow-up","Escalation to Local Office","Escalation to CBE","Escalation to Roxanne")&amp;" sent "&amp;TEXT($AA957,"dd-mmm")&amp;". "&amp;IF($Z957=6,"Final escalation completed.",IF($U957="OVERDUE","Next: "&amp;$AC957&amp;" was due "&amp;TEXT($AB957,"dd-mmm")&amp;" - "&amp;(NETWORKDAYS($AB957,TODAY(),Holidays)-1)&amp;" business day(s) late. Send now.",IF($U957="DUE TOMORROW","Next: "&amp;$AC957&amp;IF($AB957&lt;=TODAY()," is due TODAY ("," is due next business day (")&amp;TEXT($AB957,"dd-mmm")&amp;").","Next: "&amp;$AC957&amp;" due "&amp;TEXT($AB957,"dd-mmm")&amp;" ("&amp;(NETWORKDAYS(TODAY(),$AB957,Holidays)-1)&amp;" business day(s) left).")))))</f>
        <v/>
      </c>
      <c r="W957" s="17">
        <f>IF($Z957="","",CHOOSE($Z957,"Collection Email","1st Follow-up","2nd Follow-up","Local Office","CBE","Roxanne")&amp;IF($Z957=6," - Final"," - Day "&amp;MAX(0,NETWORKDAYS($AA957,TODAY(),Holidays)-1)&amp;" of "&amp;CHOOSE($Z957,3,3,2,2,3))&amp;" | Total Day "&amp;MAX(0,NETWORKDAYS($N957,TODAY(),Holidays)-1))</f>
        <v/>
      </c>
      <c r="X957" s="18"/>
      <c r="Y957" s="18"/>
      <c r="Z957" s="17">
        <f>IF($N957="","",COUNT($N957:$S957))</f>
        <v/>
      </c>
      <c r="AA957" s="19">
        <f>IF($Z957="","",INT(INDEX($N957:$S957,$Z957)))</f>
        <v/>
      </c>
      <c r="AB957" s="19">
        <f>IF(OR($Z957="",$Z957=6),"",WORKDAY($AA957,CHOOSE($Z957,3,3,2,2,3),Holidays))</f>
        <v/>
      </c>
      <c r="AC957" s="17">
        <f>IF(OR($Z957="",$Z957=6),"",CHOOSE($Z957,"1st Email Follow-up","2nd Email Follow-up","Escalate Local Office","Escalate to CBE","Escalate to Roxanne"))</f>
        <v/>
      </c>
    </row>
    <row r="958" spans="13:29">
      <c r="M958" s="14"/>
      <c r="T958" s="16"/>
      <c r="U958" s="17">
        <f>IF(AND(COUNTA($A958:$L958)=0,$N958=""),"",IF($T958="Paid","PAID",IF($T958="Closed","CLOSED",IF($Z958="","",IF($Z958=6,"ESCALATED TO ROXANNE",IF(TODAY()&gt;$AB958,"OVERDUE",IF($AB958&lt;=WORKDAY(TODAY(),1,Holidays),"DUE TOMORROW",IF($Z958=4,"ESCALATED TO LOCAL OFFICE",IF($Z958=5,"ESCALATED TO CBE",IF($AA958=TODAY(),"EMAIL SENT","MONITORING"))))))))))</f>
        <v/>
      </c>
      <c r="V958" s="17">
        <f>IF($U958="",IF(AND(COUNTA($A958:$L958)&gt;0,$N958=""),"Awaiting Collection Email time stamp.",""),IF(OR($U958="PAID",$U958="CLOSED"),IF($U958="PAID","Account paid. Action completed.","Account closed. No further action required."),CHOOSE($Z958,"Collection Email","1st Email Follow-up","2nd Email Follow-up","Escalation to Local Office","Escalation to CBE","Escalation to Roxanne")&amp;" sent "&amp;TEXT($AA958,"dd-mmm")&amp;". "&amp;IF($Z958=6,"Final escalation completed.",IF($U958="OVERDUE","Next: "&amp;$AC958&amp;" was due "&amp;TEXT($AB958,"dd-mmm")&amp;" - "&amp;(NETWORKDAYS($AB958,TODAY(),Holidays)-1)&amp;" business day(s) late. Send now.",IF($U958="DUE TOMORROW","Next: "&amp;$AC958&amp;IF($AB958&lt;=TODAY()," is due TODAY ("," is due next business day (")&amp;TEXT($AB958,"dd-mmm")&amp;").","Next: "&amp;$AC958&amp;" due "&amp;TEXT($AB958,"dd-mmm")&amp;" ("&amp;(NETWORKDAYS(TODAY(),$AB958,Holidays)-1)&amp;" business day(s) left).")))))</f>
        <v/>
      </c>
      <c r="W958" s="17">
        <f>IF($Z958="","",CHOOSE($Z958,"Collection Email","1st Follow-up","2nd Follow-up","Local Office","CBE","Roxanne")&amp;IF($Z958=6," - Final"," - Day "&amp;MAX(0,NETWORKDAYS($AA958,TODAY(),Holidays)-1)&amp;" of "&amp;CHOOSE($Z958,3,3,2,2,3))&amp;" | Total Day "&amp;MAX(0,NETWORKDAYS($N958,TODAY(),Holidays)-1))</f>
        <v/>
      </c>
      <c r="X958" s="18"/>
      <c r="Y958" s="18"/>
      <c r="Z958" s="17">
        <f>IF($N958="","",COUNT($N958:$S958))</f>
        <v/>
      </c>
      <c r="AA958" s="19">
        <f>IF($Z958="","",INT(INDEX($N958:$S958,$Z958)))</f>
        <v/>
      </c>
      <c r="AB958" s="19">
        <f>IF(OR($Z958="",$Z958=6),"",WORKDAY($AA958,CHOOSE($Z958,3,3,2,2,3),Holidays))</f>
        <v/>
      </c>
      <c r="AC958" s="17">
        <f>IF(OR($Z958="",$Z958=6),"",CHOOSE($Z958,"1st Email Follow-up","2nd Email Follow-up","Escalate Local Office","Escalate to CBE","Escalate to Roxanne"))</f>
        <v/>
      </c>
    </row>
    <row r="959" spans="13:29">
      <c r="M959" s="14"/>
      <c r="T959" s="16"/>
      <c r="U959" s="17">
        <f>IF(AND(COUNTA($A959:$L959)=0,$N959=""),"",IF($T959="Paid","PAID",IF($T959="Closed","CLOSED",IF($Z959="","",IF($Z959=6,"ESCALATED TO ROXANNE",IF(TODAY()&gt;$AB959,"OVERDUE",IF($AB959&lt;=WORKDAY(TODAY(),1,Holidays),"DUE TOMORROW",IF($Z959=4,"ESCALATED TO LOCAL OFFICE",IF($Z959=5,"ESCALATED TO CBE",IF($AA959=TODAY(),"EMAIL SENT","MONITORING"))))))))))</f>
        <v/>
      </c>
      <c r="V959" s="17">
        <f>IF($U959="",IF(AND(COUNTA($A959:$L959)&gt;0,$N959=""),"Awaiting Collection Email time stamp.",""),IF(OR($U959="PAID",$U959="CLOSED"),IF($U959="PAID","Account paid. Action completed.","Account closed. No further action required."),CHOOSE($Z959,"Collection Email","1st Email Follow-up","2nd Email Follow-up","Escalation to Local Office","Escalation to CBE","Escalation to Roxanne")&amp;" sent "&amp;TEXT($AA959,"dd-mmm")&amp;". "&amp;IF($Z959=6,"Final escalation completed.",IF($U959="OVERDUE","Next: "&amp;$AC959&amp;" was due "&amp;TEXT($AB959,"dd-mmm")&amp;" - "&amp;(NETWORKDAYS($AB959,TODAY(),Holidays)-1)&amp;" business day(s) late. Send now.",IF($U959="DUE TOMORROW","Next: "&amp;$AC959&amp;IF($AB959&lt;=TODAY()," is due TODAY ("," is due next business day (")&amp;TEXT($AB959,"dd-mmm")&amp;").","Next: "&amp;$AC959&amp;" due "&amp;TEXT($AB959,"dd-mmm")&amp;" ("&amp;(NETWORKDAYS(TODAY(),$AB959,Holidays)-1)&amp;" business day(s) left).")))))</f>
        <v/>
      </c>
      <c r="W959" s="17">
        <f>IF($Z959="","",CHOOSE($Z959,"Collection Email","1st Follow-up","2nd Follow-up","Local Office","CBE","Roxanne")&amp;IF($Z959=6," - Final"," - Day "&amp;MAX(0,NETWORKDAYS($AA959,TODAY(),Holidays)-1)&amp;" of "&amp;CHOOSE($Z959,3,3,2,2,3))&amp;" | Total Day "&amp;MAX(0,NETWORKDAYS($N959,TODAY(),Holidays)-1))</f>
        <v/>
      </c>
      <c r="X959" s="18"/>
      <c r="Y959" s="18"/>
      <c r="Z959" s="17">
        <f>IF($N959="","",COUNT($N959:$S959))</f>
        <v/>
      </c>
      <c r="AA959" s="19">
        <f>IF($Z959="","",INT(INDEX($N959:$S959,$Z959)))</f>
        <v/>
      </c>
      <c r="AB959" s="19">
        <f>IF(OR($Z959="",$Z959=6),"",WORKDAY($AA959,CHOOSE($Z959,3,3,2,2,3),Holidays))</f>
        <v/>
      </c>
      <c r="AC959" s="17">
        <f>IF(OR($Z959="",$Z959=6),"",CHOOSE($Z959,"1st Email Follow-up","2nd Email Follow-up","Escalate Local Office","Escalate to CBE","Escalate to Roxanne"))</f>
        <v/>
      </c>
    </row>
    <row r="960" spans="13:29">
      <c r="M960" s="14"/>
      <c r="T960" s="16"/>
      <c r="U960" s="17">
        <f>IF(AND(COUNTA($A960:$L960)=0,$N960=""),"",IF($T960="Paid","PAID",IF($T960="Closed","CLOSED",IF($Z960="","",IF($Z960=6,"ESCALATED TO ROXANNE",IF(TODAY()&gt;$AB960,"OVERDUE",IF($AB960&lt;=WORKDAY(TODAY(),1,Holidays),"DUE TOMORROW",IF($Z960=4,"ESCALATED TO LOCAL OFFICE",IF($Z960=5,"ESCALATED TO CBE",IF($AA960=TODAY(),"EMAIL SENT","MONITORING"))))))))))</f>
        <v/>
      </c>
      <c r="V960" s="17">
        <f>IF($U960="",IF(AND(COUNTA($A960:$L960)&gt;0,$N960=""),"Awaiting Collection Email time stamp.",""),IF(OR($U960="PAID",$U960="CLOSED"),IF($U960="PAID","Account paid. Action completed.","Account closed. No further action required."),CHOOSE($Z960,"Collection Email","1st Email Follow-up","2nd Email Follow-up","Escalation to Local Office","Escalation to CBE","Escalation to Roxanne")&amp;" sent "&amp;TEXT($AA960,"dd-mmm")&amp;". "&amp;IF($Z960=6,"Final escalation completed.",IF($U960="OVERDUE","Next: "&amp;$AC960&amp;" was due "&amp;TEXT($AB960,"dd-mmm")&amp;" - "&amp;(NETWORKDAYS($AB960,TODAY(),Holidays)-1)&amp;" business day(s) late. Send now.",IF($U960="DUE TOMORROW","Next: "&amp;$AC960&amp;IF($AB960&lt;=TODAY()," is due TODAY ("," is due next business day (")&amp;TEXT($AB960,"dd-mmm")&amp;").","Next: "&amp;$AC960&amp;" due "&amp;TEXT($AB960,"dd-mmm")&amp;" ("&amp;(NETWORKDAYS(TODAY(),$AB960,Holidays)-1)&amp;" business day(s) left).")))))</f>
        <v/>
      </c>
      <c r="W960" s="17">
        <f>IF($Z960="","",CHOOSE($Z960,"Collection Email","1st Follow-up","2nd Follow-up","Local Office","CBE","Roxanne")&amp;IF($Z960=6," - Final"," - Day "&amp;MAX(0,NETWORKDAYS($AA960,TODAY(),Holidays)-1)&amp;" of "&amp;CHOOSE($Z960,3,3,2,2,3))&amp;" | Total Day "&amp;MAX(0,NETWORKDAYS($N960,TODAY(),Holidays)-1))</f>
        <v/>
      </c>
      <c r="X960" s="18"/>
      <c r="Y960" s="18"/>
      <c r="Z960" s="17">
        <f>IF($N960="","",COUNT($N960:$S960))</f>
        <v/>
      </c>
      <c r="AA960" s="19">
        <f>IF($Z960="","",INT(INDEX($N960:$S960,$Z960)))</f>
        <v/>
      </c>
      <c r="AB960" s="19">
        <f>IF(OR($Z960="",$Z960=6),"",WORKDAY($AA960,CHOOSE($Z960,3,3,2,2,3),Holidays))</f>
        <v/>
      </c>
      <c r="AC960" s="17">
        <f>IF(OR($Z960="",$Z960=6),"",CHOOSE($Z960,"1st Email Follow-up","2nd Email Follow-up","Escalate Local Office","Escalate to CBE","Escalate to Roxanne"))</f>
        <v/>
      </c>
    </row>
    <row r="961" spans="13:29">
      <c r="M961" s="14"/>
      <c r="T961" s="16"/>
      <c r="U961" s="17">
        <f>IF(AND(COUNTA($A961:$L961)=0,$N961=""),"",IF($T961="Paid","PAID",IF($T961="Closed","CLOSED",IF($Z961="","",IF($Z961=6,"ESCALATED TO ROXANNE",IF(TODAY()&gt;$AB961,"OVERDUE",IF($AB961&lt;=WORKDAY(TODAY(),1,Holidays),"DUE TOMORROW",IF($Z961=4,"ESCALATED TO LOCAL OFFICE",IF($Z961=5,"ESCALATED TO CBE",IF($AA961=TODAY(),"EMAIL SENT","MONITORING"))))))))))</f>
        <v/>
      </c>
      <c r="V961" s="17">
        <f>IF($U961="",IF(AND(COUNTA($A961:$L961)&gt;0,$N961=""),"Awaiting Collection Email time stamp.",""),IF(OR($U961="PAID",$U961="CLOSED"),IF($U961="PAID","Account paid. Action completed.","Account closed. No further action required."),CHOOSE($Z961,"Collection Email","1st Email Follow-up","2nd Email Follow-up","Escalation to Local Office","Escalation to CBE","Escalation to Roxanne")&amp;" sent "&amp;TEXT($AA961,"dd-mmm")&amp;". "&amp;IF($Z961=6,"Final escalation completed.",IF($U961="OVERDUE","Next: "&amp;$AC961&amp;" was due "&amp;TEXT($AB961,"dd-mmm")&amp;" - "&amp;(NETWORKDAYS($AB961,TODAY(),Holidays)-1)&amp;" business day(s) late. Send now.",IF($U961="DUE TOMORROW","Next: "&amp;$AC961&amp;IF($AB961&lt;=TODAY()," is due TODAY ("," is due next business day (")&amp;TEXT($AB961,"dd-mmm")&amp;").","Next: "&amp;$AC961&amp;" due "&amp;TEXT($AB961,"dd-mmm")&amp;" ("&amp;(NETWORKDAYS(TODAY(),$AB961,Holidays)-1)&amp;" business day(s) left).")))))</f>
        <v/>
      </c>
      <c r="W961" s="17">
        <f>IF($Z961="","",CHOOSE($Z961,"Collection Email","1st Follow-up","2nd Follow-up","Local Office","CBE","Roxanne")&amp;IF($Z961=6," - Final"," - Day "&amp;MAX(0,NETWORKDAYS($AA961,TODAY(),Holidays)-1)&amp;" of "&amp;CHOOSE($Z961,3,3,2,2,3))&amp;" | Total Day "&amp;MAX(0,NETWORKDAYS($N961,TODAY(),Holidays)-1))</f>
        <v/>
      </c>
      <c r="X961" s="18"/>
      <c r="Y961" s="18"/>
      <c r="Z961" s="17">
        <f>IF($N961="","",COUNT($N961:$S961))</f>
        <v/>
      </c>
      <c r="AA961" s="19">
        <f>IF($Z961="","",INT(INDEX($N961:$S961,$Z961)))</f>
        <v/>
      </c>
      <c r="AB961" s="19">
        <f>IF(OR($Z961="",$Z961=6),"",WORKDAY($AA961,CHOOSE($Z961,3,3,2,2,3),Holidays))</f>
        <v/>
      </c>
      <c r="AC961" s="17">
        <f>IF(OR($Z961="",$Z961=6),"",CHOOSE($Z961,"1st Email Follow-up","2nd Email Follow-up","Escalate Local Office","Escalate to CBE","Escalate to Roxanne"))</f>
        <v/>
      </c>
    </row>
    <row r="962" spans="13:29">
      <c r="M962" s="14"/>
      <c r="T962" s="16"/>
      <c r="U962" s="17">
        <f>IF(AND(COUNTA($A962:$L962)=0,$N962=""),"",IF($T962="Paid","PAID",IF($T962="Closed","CLOSED",IF($Z962="","",IF($Z962=6,"ESCALATED TO ROXANNE",IF(TODAY()&gt;$AB962,"OVERDUE",IF($AB962&lt;=WORKDAY(TODAY(),1,Holidays),"DUE TOMORROW",IF($Z962=4,"ESCALATED TO LOCAL OFFICE",IF($Z962=5,"ESCALATED TO CBE",IF($AA962=TODAY(),"EMAIL SENT","MONITORING"))))))))))</f>
        <v/>
      </c>
      <c r="V962" s="17">
        <f>IF($U962="",IF(AND(COUNTA($A962:$L962)&gt;0,$N962=""),"Awaiting Collection Email time stamp.",""),IF(OR($U962="PAID",$U962="CLOSED"),IF($U962="PAID","Account paid. Action completed.","Account closed. No further action required."),CHOOSE($Z962,"Collection Email","1st Email Follow-up","2nd Email Follow-up","Escalation to Local Office","Escalation to CBE","Escalation to Roxanne")&amp;" sent "&amp;TEXT($AA962,"dd-mmm")&amp;". "&amp;IF($Z962=6,"Final escalation completed.",IF($U962="OVERDUE","Next: "&amp;$AC962&amp;" was due "&amp;TEXT($AB962,"dd-mmm")&amp;" - "&amp;(NETWORKDAYS($AB962,TODAY(),Holidays)-1)&amp;" business day(s) late. Send now.",IF($U962="DUE TOMORROW","Next: "&amp;$AC962&amp;IF($AB962&lt;=TODAY()," is due TODAY ("," is due next business day (")&amp;TEXT($AB962,"dd-mmm")&amp;").","Next: "&amp;$AC962&amp;" due "&amp;TEXT($AB962,"dd-mmm")&amp;" ("&amp;(NETWORKDAYS(TODAY(),$AB962,Holidays)-1)&amp;" business day(s) left).")))))</f>
        <v/>
      </c>
      <c r="W962" s="17">
        <f>IF($Z962="","",CHOOSE($Z962,"Collection Email","1st Follow-up","2nd Follow-up","Local Office","CBE","Roxanne")&amp;IF($Z962=6," - Final"," - Day "&amp;MAX(0,NETWORKDAYS($AA962,TODAY(),Holidays)-1)&amp;" of "&amp;CHOOSE($Z962,3,3,2,2,3))&amp;" | Total Day "&amp;MAX(0,NETWORKDAYS($N962,TODAY(),Holidays)-1))</f>
        <v/>
      </c>
      <c r="X962" s="18"/>
      <c r="Y962" s="18"/>
      <c r="Z962" s="17">
        <f>IF($N962="","",COUNT($N962:$S962))</f>
        <v/>
      </c>
      <c r="AA962" s="19">
        <f>IF($Z962="","",INT(INDEX($N962:$S962,$Z962)))</f>
        <v/>
      </c>
      <c r="AB962" s="19">
        <f>IF(OR($Z962="",$Z962=6),"",WORKDAY($AA962,CHOOSE($Z962,3,3,2,2,3),Holidays))</f>
        <v/>
      </c>
      <c r="AC962" s="17">
        <f>IF(OR($Z962="",$Z962=6),"",CHOOSE($Z962,"1st Email Follow-up","2nd Email Follow-up","Escalate Local Office","Escalate to CBE","Escalate to Roxanne"))</f>
        <v/>
      </c>
    </row>
    <row r="963" spans="13:29">
      <c r="M963" s="14"/>
      <c r="T963" s="16"/>
      <c r="U963" s="17">
        <f>IF(AND(COUNTA($A963:$L963)=0,$N963=""),"",IF($T963="Paid","PAID",IF($T963="Closed","CLOSED",IF($Z963="","",IF($Z963=6,"ESCALATED TO ROXANNE",IF(TODAY()&gt;$AB963,"OVERDUE",IF($AB963&lt;=WORKDAY(TODAY(),1,Holidays),"DUE TOMORROW",IF($Z963=4,"ESCALATED TO LOCAL OFFICE",IF($Z963=5,"ESCALATED TO CBE",IF($AA963=TODAY(),"EMAIL SENT","MONITORING"))))))))))</f>
        <v/>
      </c>
      <c r="V963" s="17">
        <f>IF($U963="",IF(AND(COUNTA($A963:$L963)&gt;0,$N963=""),"Awaiting Collection Email time stamp.",""),IF(OR($U963="PAID",$U963="CLOSED"),IF($U963="PAID","Account paid. Action completed.","Account closed. No further action required."),CHOOSE($Z963,"Collection Email","1st Email Follow-up","2nd Email Follow-up","Escalation to Local Office","Escalation to CBE","Escalation to Roxanne")&amp;" sent "&amp;TEXT($AA963,"dd-mmm")&amp;". "&amp;IF($Z963=6,"Final escalation completed.",IF($U963="OVERDUE","Next: "&amp;$AC963&amp;" was due "&amp;TEXT($AB963,"dd-mmm")&amp;" - "&amp;(NETWORKDAYS($AB963,TODAY(),Holidays)-1)&amp;" business day(s) late. Send now.",IF($U963="DUE TOMORROW","Next: "&amp;$AC963&amp;IF($AB963&lt;=TODAY()," is due TODAY ("," is due next business day (")&amp;TEXT($AB963,"dd-mmm")&amp;").","Next: "&amp;$AC963&amp;" due "&amp;TEXT($AB963,"dd-mmm")&amp;" ("&amp;(NETWORKDAYS(TODAY(),$AB963,Holidays)-1)&amp;" business day(s) left).")))))</f>
        <v/>
      </c>
      <c r="W963" s="17">
        <f>IF($Z963="","",CHOOSE($Z963,"Collection Email","1st Follow-up","2nd Follow-up","Local Office","CBE","Roxanne")&amp;IF($Z963=6," - Final"," - Day "&amp;MAX(0,NETWORKDAYS($AA963,TODAY(),Holidays)-1)&amp;" of "&amp;CHOOSE($Z963,3,3,2,2,3))&amp;" | Total Day "&amp;MAX(0,NETWORKDAYS($N963,TODAY(),Holidays)-1))</f>
        <v/>
      </c>
      <c r="X963" s="18"/>
      <c r="Y963" s="18"/>
      <c r="Z963" s="17">
        <f>IF($N963="","",COUNT($N963:$S963))</f>
        <v/>
      </c>
      <c r="AA963" s="19">
        <f>IF($Z963="","",INT(INDEX($N963:$S963,$Z963)))</f>
        <v/>
      </c>
      <c r="AB963" s="19">
        <f>IF(OR($Z963="",$Z963=6),"",WORKDAY($AA963,CHOOSE($Z963,3,3,2,2,3),Holidays))</f>
        <v/>
      </c>
      <c r="AC963" s="17">
        <f>IF(OR($Z963="",$Z963=6),"",CHOOSE($Z963,"1st Email Follow-up","2nd Email Follow-up","Escalate Local Office","Escalate to CBE","Escalate to Roxanne"))</f>
        <v/>
      </c>
    </row>
    <row r="964" spans="13:29">
      <c r="M964" s="14"/>
      <c r="T964" s="16"/>
      <c r="U964" s="17">
        <f>IF(AND(COUNTA($A964:$L964)=0,$N964=""),"",IF($T964="Paid","PAID",IF($T964="Closed","CLOSED",IF($Z964="","",IF($Z964=6,"ESCALATED TO ROXANNE",IF(TODAY()&gt;$AB964,"OVERDUE",IF($AB964&lt;=WORKDAY(TODAY(),1,Holidays),"DUE TOMORROW",IF($Z964=4,"ESCALATED TO LOCAL OFFICE",IF($Z964=5,"ESCALATED TO CBE",IF($AA964=TODAY(),"EMAIL SENT","MONITORING"))))))))))</f>
        <v/>
      </c>
      <c r="V964" s="17">
        <f>IF($U964="",IF(AND(COUNTA($A964:$L964)&gt;0,$N964=""),"Awaiting Collection Email time stamp.",""),IF(OR($U964="PAID",$U964="CLOSED"),IF($U964="PAID","Account paid. Action completed.","Account closed. No further action required."),CHOOSE($Z964,"Collection Email","1st Email Follow-up","2nd Email Follow-up","Escalation to Local Office","Escalation to CBE","Escalation to Roxanne")&amp;" sent "&amp;TEXT($AA964,"dd-mmm")&amp;". "&amp;IF($Z964=6,"Final escalation completed.",IF($U964="OVERDUE","Next: "&amp;$AC964&amp;" was due "&amp;TEXT($AB964,"dd-mmm")&amp;" - "&amp;(NETWORKDAYS($AB964,TODAY(),Holidays)-1)&amp;" business day(s) late. Send now.",IF($U964="DUE TOMORROW","Next: "&amp;$AC964&amp;IF($AB964&lt;=TODAY()," is due TODAY ("," is due next business day (")&amp;TEXT($AB964,"dd-mmm")&amp;").","Next: "&amp;$AC964&amp;" due "&amp;TEXT($AB964,"dd-mmm")&amp;" ("&amp;(NETWORKDAYS(TODAY(),$AB964,Holidays)-1)&amp;" business day(s) left).")))))</f>
        <v/>
      </c>
      <c r="W964" s="17">
        <f>IF($Z964="","",CHOOSE($Z964,"Collection Email","1st Follow-up","2nd Follow-up","Local Office","CBE","Roxanne")&amp;IF($Z964=6," - Final"," - Day "&amp;MAX(0,NETWORKDAYS($AA964,TODAY(),Holidays)-1)&amp;" of "&amp;CHOOSE($Z964,3,3,2,2,3))&amp;" | Total Day "&amp;MAX(0,NETWORKDAYS($N964,TODAY(),Holidays)-1))</f>
        <v/>
      </c>
      <c r="X964" s="18"/>
      <c r="Y964" s="18"/>
      <c r="Z964" s="17">
        <f>IF($N964="","",COUNT($N964:$S964))</f>
        <v/>
      </c>
      <c r="AA964" s="19">
        <f>IF($Z964="","",INT(INDEX($N964:$S964,$Z964)))</f>
        <v/>
      </c>
      <c r="AB964" s="19">
        <f>IF(OR($Z964="",$Z964=6),"",WORKDAY($AA964,CHOOSE($Z964,3,3,2,2,3),Holidays))</f>
        <v/>
      </c>
      <c r="AC964" s="17">
        <f>IF(OR($Z964="",$Z964=6),"",CHOOSE($Z964,"1st Email Follow-up","2nd Email Follow-up","Escalate Local Office","Escalate to CBE","Escalate to Roxanne"))</f>
        <v/>
      </c>
    </row>
    <row r="965" spans="13:29">
      <c r="M965" s="14"/>
      <c r="T965" s="16"/>
      <c r="U965" s="17">
        <f>IF(AND(COUNTA($A965:$L965)=0,$N965=""),"",IF($T965="Paid","PAID",IF($T965="Closed","CLOSED",IF($Z965="","",IF($Z965=6,"ESCALATED TO ROXANNE",IF(TODAY()&gt;$AB965,"OVERDUE",IF($AB965&lt;=WORKDAY(TODAY(),1,Holidays),"DUE TOMORROW",IF($Z965=4,"ESCALATED TO LOCAL OFFICE",IF($Z965=5,"ESCALATED TO CBE",IF($AA965=TODAY(),"EMAIL SENT","MONITORING"))))))))))</f>
        <v/>
      </c>
      <c r="V965" s="17">
        <f>IF($U965="",IF(AND(COUNTA($A965:$L965)&gt;0,$N965=""),"Awaiting Collection Email time stamp.",""),IF(OR($U965="PAID",$U965="CLOSED"),IF($U965="PAID","Account paid. Action completed.","Account closed. No further action required."),CHOOSE($Z965,"Collection Email","1st Email Follow-up","2nd Email Follow-up","Escalation to Local Office","Escalation to CBE","Escalation to Roxanne")&amp;" sent "&amp;TEXT($AA965,"dd-mmm")&amp;". "&amp;IF($Z965=6,"Final escalation completed.",IF($U965="OVERDUE","Next: "&amp;$AC965&amp;" was due "&amp;TEXT($AB965,"dd-mmm")&amp;" - "&amp;(NETWORKDAYS($AB965,TODAY(),Holidays)-1)&amp;" business day(s) late. Send now.",IF($U965="DUE TOMORROW","Next: "&amp;$AC965&amp;IF($AB965&lt;=TODAY()," is due TODAY ("," is due next business day (")&amp;TEXT($AB965,"dd-mmm")&amp;").","Next: "&amp;$AC965&amp;" due "&amp;TEXT($AB965,"dd-mmm")&amp;" ("&amp;(NETWORKDAYS(TODAY(),$AB965,Holidays)-1)&amp;" business day(s) left).")))))</f>
        <v/>
      </c>
      <c r="W965" s="17">
        <f>IF($Z965="","",CHOOSE($Z965,"Collection Email","1st Follow-up","2nd Follow-up","Local Office","CBE","Roxanne")&amp;IF($Z965=6," - Final"," - Day "&amp;MAX(0,NETWORKDAYS($AA965,TODAY(),Holidays)-1)&amp;" of "&amp;CHOOSE($Z965,3,3,2,2,3))&amp;" | Total Day "&amp;MAX(0,NETWORKDAYS($N965,TODAY(),Holidays)-1))</f>
        <v/>
      </c>
      <c r="X965" s="18"/>
      <c r="Y965" s="18"/>
      <c r="Z965" s="17">
        <f>IF($N965="","",COUNT($N965:$S965))</f>
        <v/>
      </c>
      <c r="AA965" s="19">
        <f>IF($Z965="","",INT(INDEX($N965:$S965,$Z965)))</f>
        <v/>
      </c>
      <c r="AB965" s="19">
        <f>IF(OR($Z965="",$Z965=6),"",WORKDAY($AA965,CHOOSE($Z965,3,3,2,2,3),Holidays))</f>
        <v/>
      </c>
      <c r="AC965" s="17">
        <f>IF(OR($Z965="",$Z965=6),"",CHOOSE($Z965,"1st Email Follow-up","2nd Email Follow-up","Escalate Local Office","Escalate to CBE","Escalate to Roxanne"))</f>
        <v/>
      </c>
    </row>
    <row r="966" spans="13:29">
      <c r="M966" s="14"/>
      <c r="T966" s="16"/>
      <c r="U966" s="17">
        <f>IF(AND(COUNTA($A966:$L966)=0,$N966=""),"",IF($T966="Paid","PAID",IF($T966="Closed","CLOSED",IF($Z966="","",IF($Z966=6,"ESCALATED TO ROXANNE",IF(TODAY()&gt;$AB966,"OVERDUE",IF($AB966&lt;=WORKDAY(TODAY(),1,Holidays),"DUE TOMORROW",IF($Z966=4,"ESCALATED TO LOCAL OFFICE",IF($Z966=5,"ESCALATED TO CBE",IF($AA966=TODAY(),"EMAIL SENT","MONITORING"))))))))))</f>
        <v/>
      </c>
      <c r="V966" s="17">
        <f>IF($U966="",IF(AND(COUNTA($A966:$L966)&gt;0,$N966=""),"Awaiting Collection Email time stamp.",""),IF(OR($U966="PAID",$U966="CLOSED"),IF($U966="PAID","Account paid. Action completed.","Account closed. No further action required."),CHOOSE($Z966,"Collection Email","1st Email Follow-up","2nd Email Follow-up","Escalation to Local Office","Escalation to CBE","Escalation to Roxanne")&amp;" sent "&amp;TEXT($AA966,"dd-mmm")&amp;". "&amp;IF($Z966=6,"Final escalation completed.",IF($U966="OVERDUE","Next: "&amp;$AC966&amp;" was due "&amp;TEXT($AB966,"dd-mmm")&amp;" - "&amp;(NETWORKDAYS($AB966,TODAY(),Holidays)-1)&amp;" business day(s) late. Send now.",IF($U966="DUE TOMORROW","Next: "&amp;$AC966&amp;IF($AB966&lt;=TODAY()," is due TODAY ("," is due next business day (")&amp;TEXT($AB966,"dd-mmm")&amp;").","Next: "&amp;$AC966&amp;" due "&amp;TEXT($AB966,"dd-mmm")&amp;" ("&amp;(NETWORKDAYS(TODAY(),$AB966,Holidays)-1)&amp;" business day(s) left).")))))</f>
        <v/>
      </c>
      <c r="W966" s="17">
        <f>IF($Z966="","",CHOOSE($Z966,"Collection Email","1st Follow-up","2nd Follow-up","Local Office","CBE","Roxanne")&amp;IF($Z966=6," - Final"," - Day "&amp;MAX(0,NETWORKDAYS($AA966,TODAY(),Holidays)-1)&amp;" of "&amp;CHOOSE($Z966,3,3,2,2,3))&amp;" | Total Day "&amp;MAX(0,NETWORKDAYS($N966,TODAY(),Holidays)-1))</f>
        <v/>
      </c>
      <c r="X966" s="18"/>
      <c r="Y966" s="18"/>
      <c r="Z966" s="17">
        <f>IF($N966="","",COUNT($N966:$S966))</f>
        <v/>
      </c>
      <c r="AA966" s="19">
        <f>IF($Z966="","",INT(INDEX($N966:$S966,$Z966)))</f>
        <v/>
      </c>
      <c r="AB966" s="19">
        <f>IF(OR($Z966="",$Z966=6),"",WORKDAY($AA966,CHOOSE($Z966,3,3,2,2,3),Holidays))</f>
        <v/>
      </c>
      <c r="AC966" s="17">
        <f>IF(OR($Z966="",$Z966=6),"",CHOOSE($Z966,"1st Email Follow-up","2nd Email Follow-up","Escalate Local Office","Escalate to CBE","Escalate to Roxanne"))</f>
        <v/>
      </c>
    </row>
    <row r="967" spans="13:29">
      <c r="M967" s="14"/>
      <c r="T967" s="16"/>
      <c r="U967" s="17">
        <f>IF(AND(COUNTA($A967:$L967)=0,$N967=""),"",IF($T967="Paid","PAID",IF($T967="Closed","CLOSED",IF($Z967="","",IF($Z967=6,"ESCALATED TO ROXANNE",IF(TODAY()&gt;$AB967,"OVERDUE",IF($AB967&lt;=WORKDAY(TODAY(),1,Holidays),"DUE TOMORROW",IF($Z967=4,"ESCALATED TO LOCAL OFFICE",IF($Z967=5,"ESCALATED TO CBE",IF($AA967=TODAY(),"EMAIL SENT","MONITORING"))))))))))</f>
        <v/>
      </c>
      <c r="V967" s="17">
        <f>IF($U967="",IF(AND(COUNTA($A967:$L967)&gt;0,$N967=""),"Awaiting Collection Email time stamp.",""),IF(OR($U967="PAID",$U967="CLOSED"),IF($U967="PAID","Account paid. Action completed.","Account closed. No further action required."),CHOOSE($Z967,"Collection Email","1st Email Follow-up","2nd Email Follow-up","Escalation to Local Office","Escalation to CBE","Escalation to Roxanne")&amp;" sent "&amp;TEXT($AA967,"dd-mmm")&amp;". "&amp;IF($Z967=6,"Final escalation completed.",IF($U967="OVERDUE","Next: "&amp;$AC967&amp;" was due "&amp;TEXT($AB967,"dd-mmm")&amp;" - "&amp;(NETWORKDAYS($AB967,TODAY(),Holidays)-1)&amp;" business day(s) late. Send now.",IF($U967="DUE TOMORROW","Next: "&amp;$AC967&amp;IF($AB967&lt;=TODAY()," is due TODAY ("," is due next business day (")&amp;TEXT($AB967,"dd-mmm")&amp;").","Next: "&amp;$AC967&amp;" due "&amp;TEXT($AB967,"dd-mmm")&amp;" ("&amp;(NETWORKDAYS(TODAY(),$AB967,Holidays)-1)&amp;" business day(s) left).")))))</f>
        <v/>
      </c>
      <c r="W967" s="17">
        <f>IF($Z967="","",CHOOSE($Z967,"Collection Email","1st Follow-up","2nd Follow-up","Local Office","CBE","Roxanne")&amp;IF($Z967=6," - Final"," - Day "&amp;MAX(0,NETWORKDAYS($AA967,TODAY(),Holidays)-1)&amp;" of "&amp;CHOOSE($Z967,3,3,2,2,3))&amp;" | Total Day "&amp;MAX(0,NETWORKDAYS($N967,TODAY(),Holidays)-1))</f>
        <v/>
      </c>
      <c r="X967" s="18"/>
      <c r="Y967" s="18"/>
      <c r="Z967" s="17">
        <f>IF($N967="","",COUNT($N967:$S967))</f>
        <v/>
      </c>
      <c r="AA967" s="19">
        <f>IF($Z967="","",INT(INDEX($N967:$S967,$Z967)))</f>
        <v/>
      </c>
      <c r="AB967" s="19">
        <f>IF(OR($Z967="",$Z967=6),"",WORKDAY($AA967,CHOOSE($Z967,3,3,2,2,3),Holidays))</f>
        <v/>
      </c>
      <c r="AC967" s="17">
        <f>IF(OR($Z967="",$Z967=6),"",CHOOSE($Z967,"1st Email Follow-up","2nd Email Follow-up","Escalate Local Office","Escalate to CBE","Escalate to Roxanne"))</f>
        <v/>
      </c>
    </row>
    <row r="968" spans="13:29">
      <c r="M968" s="14"/>
      <c r="T968" s="16"/>
      <c r="U968" s="17">
        <f>IF(AND(COUNTA($A968:$L968)=0,$N968=""),"",IF($T968="Paid","PAID",IF($T968="Closed","CLOSED",IF($Z968="","",IF($Z968=6,"ESCALATED TO ROXANNE",IF(TODAY()&gt;$AB968,"OVERDUE",IF($AB968&lt;=WORKDAY(TODAY(),1,Holidays),"DUE TOMORROW",IF($Z968=4,"ESCALATED TO LOCAL OFFICE",IF($Z968=5,"ESCALATED TO CBE",IF($AA968=TODAY(),"EMAIL SENT","MONITORING"))))))))))</f>
        <v/>
      </c>
      <c r="V968" s="17">
        <f>IF($U968="",IF(AND(COUNTA($A968:$L968)&gt;0,$N968=""),"Awaiting Collection Email time stamp.",""),IF(OR($U968="PAID",$U968="CLOSED"),IF($U968="PAID","Account paid. Action completed.","Account closed. No further action required."),CHOOSE($Z968,"Collection Email","1st Email Follow-up","2nd Email Follow-up","Escalation to Local Office","Escalation to CBE","Escalation to Roxanne")&amp;" sent "&amp;TEXT($AA968,"dd-mmm")&amp;". "&amp;IF($Z968=6,"Final escalation completed.",IF($U968="OVERDUE","Next: "&amp;$AC968&amp;" was due "&amp;TEXT($AB968,"dd-mmm")&amp;" - "&amp;(NETWORKDAYS($AB968,TODAY(),Holidays)-1)&amp;" business day(s) late. Send now.",IF($U968="DUE TOMORROW","Next: "&amp;$AC968&amp;IF($AB968&lt;=TODAY()," is due TODAY ("," is due next business day (")&amp;TEXT($AB968,"dd-mmm")&amp;").","Next: "&amp;$AC968&amp;" due "&amp;TEXT($AB968,"dd-mmm")&amp;" ("&amp;(NETWORKDAYS(TODAY(),$AB968,Holidays)-1)&amp;" business day(s) left).")))))</f>
        <v/>
      </c>
      <c r="W968" s="17">
        <f>IF($Z968="","",CHOOSE($Z968,"Collection Email","1st Follow-up","2nd Follow-up","Local Office","CBE","Roxanne")&amp;IF($Z968=6," - Final"," - Day "&amp;MAX(0,NETWORKDAYS($AA968,TODAY(),Holidays)-1)&amp;" of "&amp;CHOOSE($Z968,3,3,2,2,3))&amp;" | Total Day "&amp;MAX(0,NETWORKDAYS($N968,TODAY(),Holidays)-1))</f>
        <v/>
      </c>
      <c r="X968" s="18"/>
      <c r="Y968" s="18"/>
      <c r="Z968" s="17">
        <f>IF($N968="","",COUNT($N968:$S968))</f>
        <v/>
      </c>
      <c r="AA968" s="19">
        <f>IF($Z968="","",INT(INDEX($N968:$S968,$Z968)))</f>
        <v/>
      </c>
      <c r="AB968" s="19">
        <f>IF(OR($Z968="",$Z968=6),"",WORKDAY($AA968,CHOOSE($Z968,3,3,2,2,3),Holidays))</f>
        <v/>
      </c>
      <c r="AC968" s="17">
        <f>IF(OR($Z968="",$Z968=6),"",CHOOSE($Z968,"1st Email Follow-up","2nd Email Follow-up","Escalate Local Office","Escalate to CBE","Escalate to Roxanne"))</f>
        <v/>
      </c>
    </row>
    <row r="969" spans="13:29">
      <c r="M969" s="14"/>
      <c r="T969" s="16"/>
      <c r="U969" s="17">
        <f>IF(AND(COUNTA($A969:$L969)=0,$N969=""),"",IF($T969="Paid","PAID",IF($T969="Closed","CLOSED",IF($Z969="","",IF($Z969=6,"ESCALATED TO ROXANNE",IF(TODAY()&gt;$AB969,"OVERDUE",IF($AB969&lt;=WORKDAY(TODAY(),1,Holidays),"DUE TOMORROW",IF($Z969=4,"ESCALATED TO LOCAL OFFICE",IF($Z969=5,"ESCALATED TO CBE",IF($AA969=TODAY(),"EMAIL SENT","MONITORING"))))))))))</f>
        <v/>
      </c>
      <c r="V969" s="17">
        <f>IF($U969="",IF(AND(COUNTA($A969:$L969)&gt;0,$N969=""),"Awaiting Collection Email time stamp.",""),IF(OR($U969="PAID",$U969="CLOSED"),IF($U969="PAID","Account paid. Action completed.","Account closed. No further action required."),CHOOSE($Z969,"Collection Email","1st Email Follow-up","2nd Email Follow-up","Escalation to Local Office","Escalation to CBE","Escalation to Roxanne")&amp;" sent "&amp;TEXT($AA969,"dd-mmm")&amp;". "&amp;IF($Z969=6,"Final escalation completed.",IF($U969="OVERDUE","Next: "&amp;$AC969&amp;" was due "&amp;TEXT($AB969,"dd-mmm")&amp;" - "&amp;(NETWORKDAYS($AB969,TODAY(),Holidays)-1)&amp;" business day(s) late. Send now.",IF($U969="DUE TOMORROW","Next: "&amp;$AC969&amp;IF($AB969&lt;=TODAY()," is due TODAY ("," is due next business day (")&amp;TEXT($AB969,"dd-mmm")&amp;").","Next: "&amp;$AC969&amp;" due "&amp;TEXT($AB969,"dd-mmm")&amp;" ("&amp;(NETWORKDAYS(TODAY(),$AB969,Holidays)-1)&amp;" business day(s) left).")))))</f>
        <v/>
      </c>
      <c r="W969" s="17">
        <f>IF($Z969="","",CHOOSE($Z969,"Collection Email","1st Follow-up","2nd Follow-up","Local Office","CBE","Roxanne")&amp;IF($Z969=6," - Final"," - Day "&amp;MAX(0,NETWORKDAYS($AA969,TODAY(),Holidays)-1)&amp;" of "&amp;CHOOSE($Z969,3,3,2,2,3))&amp;" | Total Day "&amp;MAX(0,NETWORKDAYS($N969,TODAY(),Holidays)-1))</f>
        <v/>
      </c>
      <c r="X969" s="18"/>
      <c r="Y969" s="18"/>
      <c r="Z969" s="17">
        <f>IF($N969="","",COUNT($N969:$S969))</f>
        <v/>
      </c>
      <c r="AA969" s="19">
        <f>IF($Z969="","",INT(INDEX($N969:$S969,$Z969)))</f>
        <v/>
      </c>
      <c r="AB969" s="19">
        <f>IF(OR($Z969="",$Z969=6),"",WORKDAY($AA969,CHOOSE($Z969,3,3,2,2,3),Holidays))</f>
        <v/>
      </c>
      <c r="AC969" s="17">
        <f>IF(OR($Z969="",$Z969=6),"",CHOOSE($Z969,"1st Email Follow-up","2nd Email Follow-up","Escalate Local Office","Escalate to CBE","Escalate to Roxanne"))</f>
        <v/>
      </c>
    </row>
    <row r="970" spans="13:29">
      <c r="M970" s="14"/>
      <c r="T970" s="16"/>
      <c r="U970" s="17">
        <f>IF(AND(COUNTA($A970:$L970)=0,$N970=""),"",IF($T970="Paid","PAID",IF($T970="Closed","CLOSED",IF($Z970="","",IF($Z970=6,"ESCALATED TO ROXANNE",IF(TODAY()&gt;$AB970,"OVERDUE",IF($AB970&lt;=WORKDAY(TODAY(),1,Holidays),"DUE TOMORROW",IF($Z970=4,"ESCALATED TO LOCAL OFFICE",IF($Z970=5,"ESCALATED TO CBE",IF($AA970=TODAY(),"EMAIL SENT","MONITORING"))))))))))</f>
        <v/>
      </c>
      <c r="V970" s="17">
        <f>IF($U970="",IF(AND(COUNTA($A970:$L970)&gt;0,$N970=""),"Awaiting Collection Email time stamp.",""),IF(OR($U970="PAID",$U970="CLOSED"),IF($U970="PAID","Account paid. Action completed.","Account closed. No further action required."),CHOOSE($Z970,"Collection Email","1st Email Follow-up","2nd Email Follow-up","Escalation to Local Office","Escalation to CBE","Escalation to Roxanne")&amp;" sent "&amp;TEXT($AA970,"dd-mmm")&amp;". "&amp;IF($Z970=6,"Final escalation completed.",IF($U970="OVERDUE","Next: "&amp;$AC970&amp;" was due "&amp;TEXT($AB970,"dd-mmm")&amp;" - "&amp;(NETWORKDAYS($AB970,TODAY(),Holidays)-1)&amp;" business day(s) late. Send now.",IF($U970="DUE TOMORROW","Next: "&amp;$AC970&amp;IF($AB970&lt;=TODAY()," is due TODAY ("," is due next business day (")&amp;TEXT($AB970,"dd-mmm")&amp;").","Next: "&amp;$AC970&amp;" due "&amp;TEXT($AB970,"dd-mmm")&amp;" ("&amp;(NETWORKDAYS(TODAY(),$AB970,Holidays)-1)&amp;" business day(s) left).")))))</f>
        <v/>
      </c>
      <c r="W970" s="17">
        <f>IF($Z970="","",CHOOSE($Z970,"Collection Email","1st Follow-up","2nd Follow-up","Local Office","CBE","Roxanne")&amp;IF($Z970=6," - Final"," - Day "&amp;MAX(0,NETWORKDAYS($AA970,TODAY(),Holidays)-1)&amp;" of "&amp;CHOOSE($Z970,3,3,2,2,3))&amp;" | Total Day "&amp;MAX(0,NETWORKDAYS($N970,TODAY(),Holidays)-1))</f>
        <v/>
      </c>
      <c r="X970" s="18"/>
      <c r="Y970" s="18"/>
      <c r="Z970" s="17">
        <f>IF($N970="","",COUNT($N970:$S970))</f>
        <v/>
      </c>
      <c r="AA970" s="19">
        <f>IF($Z970="","",INT(INDEX($N970:$S970,$Z970)))</f>
        <v/>
      </c>
      <c r="AB970" s="19">
        <f>IF(OR($Z970="",$Z970=6),"",WORKDAY($AA970,CHOOSE($Z970,3,3,2,2,3),Holidays))</f>
        <v/>
      </c>
      <c r="AC970" s="17">
        <f>IF(OR($Z970="",$Z970=6),"",CHOOSE($Z970,"1st Email Follow-up","2nd Email Follow-up","Escalate Local Office","Escalate to CBE","Escalate to Roxanne"))</f>
        <v/>
      </c>
    </row>
    <row r="971" spans="13:29">
      <c r="M971" s="14"/>
      <c r="T971" s="16"/>
      <c r="U971" s="17">
        <f>IF(AND(COUNTA($A971:$L971)=0,$N971=""),"",IF($T971="Paid","PAID",IF($T971="Closed","CLOSED",IF($Z971="","",IF($Z971=6,"ESCALATED TO ROXANNE",IF(TODAY()&gt;$AB971,"OVERDUE",IF($AB971&lt;=WORKDAY(TODAY(),1,Holidays),"DUE TOMORROW",IF($Z971=4,"ESCALATED TO LOCAL OFFICE",IF($Z971=5,"ESCALATED TO CBE",IF($AA971=TODAY(),"EMAIL SENT","MONITORING"))))))))))</f>
        <v/>
      </c>
      <c r="V971" s="17">
        <f>IF($U971="",IF(AND(COUNTA($A971:$L971)&gt;0,$N971=""),"Awaiting Collection Email time stamp.",""),IF(OR($U971="PAID",$U971="CLOSED"),IF($U971="PAID","Account paid. Action completed.","Account closed. No further action required."),CHOOSE($Z971,"Collection Email","1st Email Follow-up","2nd Email Follow-up","Escalation to Local Office","Escalation to CBE","Escalation to Roxanne")&amp;" sent "&amp;TEXT($AA971,"dd-mmm")&amp;". "&amp;IF($Z971=6,"Final escalation completed.",IF($U971="OVERDUE","Next: "&amp;$AC971&amp;" was due "&amp;TEXT($AB971,"dd-mmm")&amp;" - "&amp;(NETWORKDAYS($AB971,TODAY(),Holidays)-1)&amp;" business day(s) late. Send now.",IF($U971="DUE TOMORROW","Next: "&amp;$AC971&amp;IF($AB971&lt;=TODAY()," is due TODAY ("," is due next business day (")&amp;TEXT($AB971,"dd-mmm")&amp;").","Next: "&amp;$AC971&amp;" due "&amp;TEXT($AB971,"dd-mmm")&amp;" ("&amp;(NETWORKDAYS(TODAY(),$AB971,Holidays)-1)&amp;" business day(s) left).")))))</f>
        <v/>
      </c>
      <c r="W971" s="17">
        <f>IF($Z971="","",CHOOSE($Z971,"Collection Email","1st Follow-up","2nd Follow-up","Local Office","CBE","Roxanne")&amp;IF($Z971=6," - Final"," - Day "&amp;MAX(0,NETWORKDAYS($AA971,TODAY(),Holidays)-1)&amp;" of "&amp;CHOOSE($Z971,3,3,2,2,3))&amp;" | Total Day "&amp;MAX(0,NETWORKDAYS($N971,TODAY(),Holidays)-1))</f>
        <v/>
      </c>
      <c r="X971" s="18"/>
      <c r="Y971" s="18"/>
      <c r="Z971" s="17">
        <f>IF($N971="","",COUNT($N971:$S971))</f>
        <v/>
      </c>
      <c r="AA971" s="19">
        <f>IF($Z971="","",INT(INDEX($N971:$S971,$Z971)))</f>
        <v/>
      </c>
      <c r="AB971" s="19">
        <f>IF(OR($Z971="",$Z971=6),"",WORKDAY($AA971,CHOOSE($Z971,3,3,2,2,3),Holidays))</f>
        <v/>
      </c>
      <c r="AC971" s="17">
        <f>IF(OR($Z971="",$Z971=6),"",CHOOSE($Z971,"1st Email Follow-up","2nd Email Follow-up","Escalate Local Office","Escalate to CBE","Escalate to Roxanne"))</f>
        <v/>
      </c>
    </row>
    <row r="972" spans="13:29">
      <c r="M972" s="14"/>
      <c r="T972" s="16"/>
      <c r="U972" s="17">
        <f>IF(AND(COUNTA($A972:$L972)=0,$N972=""),"",IF($T972="Paid","PAID",IF($T972="Closed","CLOSED",IF($Z972="","",IF($Z972=6,"ESCALATED TO ROXANNE",IF(TODAY()&gt;$AB972,"OVERDUE",IF($AB972&lt;=WORKDAY(TODAY(),1,Holidays),"DUE TOMORROW",IF($Z972=4,"ESCALATED TO LOCAL OFFICE",IF($Z972=5,"ESCALATED TO CBE",IF($AA972=TODAY(),"EMAIL SENT","MONITORING"))))))))))</f>
        <v/>
      </c>
      <c r="V972" s="17">
        <f>IF($U972="",IF(AND(COUNTA($A972:$L972)&gt;0,$N972=""),"Awaiting Collection Email time stamp.",""),IF(OR($U972="PAID",$U972="CLOSED"),IF($U972="PAID","Account paid. Action completed.","Account closed. No further action required."),CHOOSE($Z972,"Collection Email","1st Email Follow-up","2nd Email Follow-up","Escalation to Local Office","Escalation to CBE","Escalation to Roxanne")&amp;" sent "&amp;TEXT($AA972,"dd-mmm")&amp;". "&amp;IF($Z972=6,"Final escalation completed.",IF($U972="OVERDUE","Next: "&amp;$AC972&amp;" was due "&amp;TEXT($AB972,"dd-mmm")&amp;" - "&amp;(NETWORKDAYS($AB972,TODAY(),Holidays)-1)&amp;" business day(s) late. Send now.",IF($U972="DUE TOMORROW","Next: "&amp;$AC972&amp;IF($AB972&lt;=TODAY()," is due TODAY ("," is due next business day (")&amp;TEXT($AB972,"dd-mmm")&amp;").","Next: "&amp;$AC972&amp;" due "&amp;TEXT($AB972,"dd-mmm")&amp;" ("&amp;(NETWORKDAYS(TODAY(),$AB972,Holidays)-1)&amp;" business day(s) left).")))))</f>
        <v/>
      </c>
      <c r="W972" s="17">
        <f>IF($Z972="","",CHOOSE($Z972,"Collection Email","1st Follow-up","2nd Follow-up","Local Office","CBE","Roxanne")&amp;IF($Z972=6," - Final"," - Day "&amp;MAX(0,NETWORKDAYS($AA972,TODAY(),Holidays)-1)&amp;" of "&amp;CHOOSE($Z972,3,3,2,2,3))&amp;" | Total Day "&amp;MAX(0,NETWORKDAYS($N972,TODAY(),Holidays)-1))</f>
        <v/>
      </c>
      <c r="X972" s="18"/>
      <c r="Y972" s="18"/>
      <c r="Z972" s="17">
        <f>IF($N972="","",COUNT($N972:$S972))</f>
        <v/>
      </c>
      <c r="AA972" s="19">
        <f>IF($Z972="","",INT(INDEX($N972:$S972,$Z972)))</f>
        <v/>
      </c>
      <c r="AB972" s="19">
        <f>IF(OR($Z972="",$Z972=6),"",WORKDAY($AA972,CHOOSE($Z972,3,3,2,2,3),Holidays))</f>
        <v/>
      </c>
      <c r="AC972" s="17">
        <f>IF(OR($Z972="",$Z972=6),"",CHOOSE($Z972,"1st Email Follow-up","2nd Email Follow-up","Escalate Local Office","Escalate to CBE","Escalate to Roxanne"))</f>
        <v/>
      </c>
    </row>
    <row r="973" spans="13:29">
      <c r="M973" s="14"/>
      <c r="T973" s="16"/>
      <c r="U973" s="17">
        <f>IF(AND(COUNTA($A973:$L973)=0,$N973=""),"",IF($T973="Paid","PAID",IF($T973="Closed","CLOSED",IF($Z973="","",IF($Z973=6,"ESCALATED TO ROXANNE",IF(TODAY()&gt;$AB973,"OVERDUE",IF($AB973&lt;=WORKDAY(TODAY(),1,Holidays),"DUE TOMORROW",IF($Z973=4,"ESCALATED TO LOCAL OFFICE",IF($Z973=5,"ESCALATED TO CBE",IF($AA973=TODAY(),"EMAIL SENT","MONITORING"))))))))))</f>
        <v/>
      </c>
      <c r="V973" s="17">
        <f>IF($U973="",IF(AND(COUNTA($A973:$L973)&gt;0,$N973=""),"Awaiting Collection Email time stamp.",""),IF(OR($U973="PAID",$U973="CLOSED"),IF($U973="PAID","Account paid. Action completed.","Account closed. No further action required."),CHOOSE($Z973,"Collection Email","1st Email Follow-up","2nd Email Follow-up","Escalation to Local Office","Escalation to CBE","Escalation to Roxanne")&amp;" sent "&amp;TEXT($AA973,"dd-mmm")&amp;". "&amp;IF($Z973=6,"Final escalation completed.",IF($U973="OVERDUE","Next: "&amp;$AC973&amp;" was due "&amp;TEXT($AB973,"dd-mmm")&amp;" - "&amp;(NETWORKDAYS($AB973,TODAY(),Holidays)-1)&amp;" business day(s) late. Send now.",IF($U973="DUE TOMORROW","Next: "&amp;$AC973&amp;IF($AB973&lt;=TODAY()," is due TODAY ("," is due next business day (")&amp;TEXT($AB973,"dd-mmm")&amp;").","Next: "&amp;$AC973&amp;" due "&amp;TEXT($AB973,"dd-mmm")&amp;" ("&amp;(NETWORKDAYS(TODAY(),$AB973,Holidays)-1)&amp;" business day(s) left).")))))</f>
        <v/>
      </c>
      <c r="W973" s="17">
        <f>IF($Z973="","",CHOOSE($Z973,"Collection Email","1st Follow-up","2nd Follow-up","Local Office","CBE","Roxanne")&amp;IF($Z973=6," - Final"," - Day "&amp;MAX(0,NETWORKDAYS($AA973,TODAY(),Holidays)-1)&amp;" of "&amp;CHOOSE($Z973,3,3,2,2,3))&amp;" | Total Day "&amp;MAX(0,NETWORKDAYS($N973,TODAY(),Holidays)-1))</f>
        <v/>
      </c>
      <c r="X973" s="18"/>
      <c r="Y973" s="18"/>
      <c r="Z973" s="17">
        <f>IF($N973="","",COUNT($N973:$S973))</f>
        <v/>
      </c>
      <c r="AA973" s="19">
        <f>IF($Z973="","",INT(INDEX($N973:$S973,$Z973)))</f>
        <v/>
      </c>
      <c r="AB973" s="19">
        <f>IF(OR($Z973="",$Z973=6),"",WORKDAY($AA973,CHOOSE($Z973,3,3,2,2,3),Holidays))</f>
        <v/>
      </c>
      <c r="AC973" s="17">
        <f>IF(OR($Z973="",$Z973=6),"",CHOOSE($Z973,"1st Email Follow-up","2nd Email Follow-up","Escalate Local Office","Escalate to CBE","Escalate to Roxanne"))</f>
        <v/>
      </c>
    </row>
    <row r="974" spans="13:29">
      <c r="M974" s="14"/>
      <c r="T974" s="16"/>
      <c r="U974" s="17">
        <f>IF(AND(COUNTA($A974:$L974)=0,$N974=""),"",IF($T974="Paid","PAID",IF($T974="Closed","CLOSED",IF($Z974="","",IF($Z974=6,"ESCALATED TO ROXANNE",IF(TODAY()&gt;$AB974,"OVERDUE",IF($AB974&lt;=WORKDAY(TODAY(),1,Holidays),"DUE TOMORROW",IF($Z974=4,"ESCALATED TO LOCAL OFFICE",IF($Z974=5,"ESCALATED TO CBE",IF($AA974=TODAY(),"EMAIL SENT","MONITORING"))))))))))</f>
        <v/>
      </c>
      <c r="V974" s="17">
        <f>IF($U974="",IF(AND(COUNTA($A974:$L974)&gt;0,$N974=""),"Awaiting Collection Email time stamp.",""),IF(OR($U974="PAID",$U974="CLOSED"),IF($U974="PAID","Account paid. Action completed.","Account closed. No further action required."),CHOOSE($Z974,"Collection Email","1st Email Follow-up","2nd Email Follow-up","Escalation to Local Office","Escalation to CBE","Escalation to Roxanne")&amp;" sent "&amp;TEXT($AA974,"dd-mmm")&amp;". "&amp;IF($Z974=6,"Final escalation completed.",IF($U974="OVERDUE","Next: "&amp;$AC974&amp;" was due "&amp;TEXT($AB974,"dd-mmm")&amp;" - "&amp;(NETWORKDAYS($AB974,TODAY(),Holidays)-1)&amp;" business day(s) late. Send now.",IF($U974="DUE TOMORROW","Next: "&amp;$AC974&amp;IF($AB974&lt;=TODAY()," is due TODAY ("," is due next business day (")&amp;TEXT($AB974,"dd-mmm")&amp;").","Next: "&amp;$AC974&amp;" due "&amp;TEXT($AB974,"dd-mmm")&amp;" ("&amp;(NETWORKDAYS(TODAY(),$AB974,Holidays)-1)&amp;" business day(s) left).")))))</f>
        <v/>
      </c>
      <c r="W974" s="17">
        <f>IF($Z974="","",CHOOSE($Z974,"Collection Email","1st Follow-up","2nd Follow-up","Local Office","CBE","Roxanne")&amp;IF($Z974=6," - Final"," - Day "&amp;MAX(0,NETWORKDAYS($AA974,TODAY(),Holidays)-1)&amp;" of "&amp;CHOOSE($Z974,3,3,2,2,3))&amp;" | Total Day "&amp;MAX(0,NETWORKDAYS($N974,TODAY(),Holidays)-1))</f>
        <v/>
      </c>
      <c r="X974" s="18"/>
      <c r="Y974" s="18"/>
      <c r="Z974" s="17">
        <f>IF($N974="","",COUNT($N974:$S974))</f>
        <v/>
      </c>
      <c r="AA974" s="19">
        <f>IF($Z974="","",INT(INDEX($N974:$S974,$Z974)))</f>
        <v/>
      </c>
      <c r="AB974" s="19">
        <f>IF(OR($Z974="",$Z974=6),"",WORKDAY($AA974,CHOOSE($Z974,3,3,2,2,3),Holidays))</f>
        <v/>
      </c>
      <c r="AC974" s="17">
        <f>IF(OR($Z974="",$Z974=6),"",CHOOSE($Z974,"1st Email Follow-up","2nd Email Follow-up","Escalate Local Office","Escalate to CBE","Escalate to Roxanne"))</f>
        <v/>
      </c>
    </row>
    <row r="975" spans="13:29">
      <c r="M975" s="14"/>
      <c r="T975" s="16"/>
      <c r="U975" s="17">
        <f>IF(AND(COUNTA($A975:$L975)=0,$N975=""),"",IF($T975="Paid","PAID",IF($T975="Closed","CLOSED",IF($Z975="","",IF($Z975=6,"ESCALATED TO ROXANNE",IF(TODAY()&gt;$AB975,"OVERDUE",IF($AB975&lt;=WORKDAY(TODAY(),1,Holidays),"DUE TOMORROW",IF($Z975=4,"ESCALATED TO LOCAL OFFICE",IF($Z975=5,"ESCALATED TO CBE",IF($AA975=TODAY(),"EMAIL SENT","MONITORING"))))))))))</f>
        <v/>
      </c>
      <c r="V975" s="17">
        <f>IF($U975="",IF(AND(COUNTA($A975:$L975)&gt;0,$N975=""),"Awaiting Collection Email time stamp.",""),IF(OR($U975="PAID",$U975="CLOSED"),IF($U975="PAID","Account paid. Action completed.","Account closed. No further action required."),CHOOSE($Z975,"Collection Email","1st Email Follow-up","2nd Email Follow-up","Escalation to Local Office","Escalation to CBE","Escalation to Roxanne")&amp;" sent "&amp;TEXT($AA975,"dd-mmm")&amp;". "&amp;IF($Z975=6,"Final escalation completed.",IF($U975="OVERDUE","Next: "&amp;$AC975&amp;" was due "&amp;TEXT($AB975,"dd-mmm")&amp;" - "&amp;(NETWORKDAYS($AB975,TODAY(),Holidays)-1)&amp;" business day(s) late. Send now.",IF($U975="DUE TOMORROW","Next: "&amp;$AC975&amp;IF($AB975&lt;=TODAY()," is due TODAY ("," is due next business day (")&amp;TEXT($AB975,"dd-mmm")&amp;").","Next: "&amp;$AC975&amp;" due "&amp;TEXT($AB975,"dd-mmm")&amp;" ("&amp;(NETWORKDAYS(TODAY(),$AB975,Holidays)-1)&amp;" business day(s) left).")))))</f>
        <v/>
      </c>
      <c r="W975" s="17">
        <f>IF($Z975="","",CHOOSE($Z975,"Collection Email","1st Follow-up","2nd Follow-up","Local Office","CBE","Roxanne")&amp;IF($Z975=6," - Final"," - Day "&amp;MAX(0,NETWORKDAYS($AA975,TODAY(),Holidays)-1)&amp;" of "&amp;CHOOSE($Z975,3,3,2,2,3))&amp;" | Total Day "&amp;MAX(0,NETWORKDAYS($N975,TODAY(),Holidays)-1))</f>
        <v/>
      </c>
      <c r="X975" s="18"/>
      <c r="Y975" s="18"/>
      <c r="Z975" s="17">
        <f>IF($N975="","",COUNT($N975:$S975))</f>
        <v/>
      </c>
      <c r="AA975" s="19">
        <f>IF($Z975="","",INT(INDEX($N975:$S975,$Z975)))</f>
        <v/>
      </c>
      <c r="AB975" s="19">
        <f>IF(OR($Z975="",$Z975=6),"",WORKDAY($AA975,CHOOSE($Z975,3,3,2,2,3),Holidays))</f>
        <v/>
      </c>
      <c r="AC975" s="17">
        <f>IF(OR($Z975="",$Z975=6),"",CHOOSE($Z975,"1st Email Follow-up","2nd Email Follow-up","Escalate Local Office","Escalate to CBE","Escalate to Roxanne"))</f>
        <v/>
      </c>
    </row>
    <row r="976" spans="13:29">
      <c r="M976" s="14"/>
      <c r="T976" s="16"/>
      <c r="U976" s="17">
        <f>IF(AND(COUNTA($A976:$L976)=0,$N976=""),"",IF($T976="Paid","PAID",IF($T976="Closed","CLOSED",IF($Z976="","",IF($Z976=6,"ESCALATED TO ROXANNE",IF(TODAY()&gt;$AB976,"OVERDUE",IF($AB976&lt;=WORKDAY(TODAY(),1,Holidays),"DUE TOMORROW",IF($Z976=4,"ESCALATED TO LOCAL OFFICE",IF($Z976=5,"ESCALATED TO CBE",IF($AA976=TODAY(),"EMAIL SENT","MONITORING"))))))))))</f>
        <v/>
      </c>
      <c r="V976" s="17">
        <f>IF($U976="",IF(AND(COUNTA($A976:$L976)&gt;0,$N976=""),"Awaiting Collection Email time stamp.",""),IF(OR($U976="PAID",$U976="CLOSED"),IF($U976="PAID","Account paid. Action completed.","Account closed. No further action required."),CHOOSE($Z976,"Collection Email","1st Email Follow-up","2nd Email Follow-up","Escalation to Local Office","Escalation to CBE","Escalation to Roxanne")&amp;" sent "&amp;TEXT($AA976,"dd-mmm")&amp;". "&amp;IF($Z976=6,"Final escalation completed.",IF($U976="OVERDUE","Next: "&amp;$AC976&amp;" was due "&amp;TEXT($AB976,"dd-mmm")&amp;" - "&amp;(NETWORKDAYS($AB976,TODAY(),Holidays)-1)&amp;" business day(s) late. Send now.",IF($U976="DUE TOMORROW","Next: "&amp;$AC976&amp;IF($AB976&lt;=TODAY()," is due TODAY ("," is due next business day (")&amp;TEXT($AB976,"dd-mmm")&amp;").","Next: "&amp;$AC976&amp;" due "&amp;TEXT($AB976,"dd-mmm")&amp;" ("&amp;(NETWORKDAYS(TODAY(),$AB976,Holidays)-1)&amp;" business day(s) left).")))))</f>
        <v/>
      </c>
      <c r="W976" s="17">
        <f>IF($Z976="","",CHOOSE($Z976,"Collection Email","1st Follow-up","2nd Follow-up","Local Office","CBE","Roxanne")&amp;IF($Z976=6," - Final"," - Day "&amp;MAX(0,NETWORKDAYS($AA976,TODAY(),Holidays)-1)&amp;" of "&amp;CHOOSE($Z976,3,3,2,2,3))&amp;" | Total Day "&amp;MAX(0,NETWORKDAYS($N976,TODAY(),Holidays)-1))</f>
        <v/>
      </c>
      <c r="X976" s="18"/>
      <c r="Y976" s="18"/>
      <c r="Z976" s="17">
        <f>IF($N976="","",COUNT($N976:$S976))</f>
        <v/>
      </c>
      <c r="AA976" s="19">
        <f>IF($Z976="","",INT(INDEX($N976:$S976,$Z976)))</f>
        <v/>
      </c>
      <c r="AB976" s="19">
        <f>IF(OR($Z976="",$Z976=6),"",WORKDAY($AA976,CHOOSE($Z976,3,3,2,2,3),Holidays))</f>
        <v/>
      </c>
      <c r="AC976" s="17">
        <f>IF(OR($Z976="",$Z976=6),"",CHOOSE($Z976,"1st Email Follow-up","2nd Email Follow-up","Escalate Local Office","Escalate to CBE","Escalate to Roxanne"))</f>
        <v/>
      </c>
    </row>
    <row r="977" spans="13:29">
      <c r="M977" s="14"/>
      <c r="T977" s="16"/>
      <c r="U977" s="17">
        <f>IF(AND(COUNTA($A977:$L977)=0,$N977=""),"",IF($T977="Paid","PAID",IF($T977="Closed","CLOSED",IF($Z977="","",IF($Z977=6,"ESCALATED TO ROXANNE",IF(TODAY()&gt;$AB977,"OVERDUE",IF($AB977&lt;=WORKDAY(TODAY(),1,Holidays),"DUE TOMORROW",IF($Z977=4,"ESCALATED TO LOCAL OFFICE",IF($Z977=5,"ESCALATED TO CBE",IF($AA977=TODAY(),"EMAIL SENT","MONITORING"))))))))))</f>
        <v/>
      </c>
      <c r="V977" s="17">
        <f>IF($U977="",IF(AND(COUNTA($A977:$L977)&gt;0,$N977=""),"Awaiting Collection Email time stamp.",""),IF(OR($U977="PAID",$U977="CLOSED"),IF($U977="PAID","Account paid. Action completed.","Account closed. No further action required."),CHOOSE($Z977,"Collection Email","1st Email Follow-up","2nd Email Follow-up","Escalation to Local Office","Escalation to CBE","Escalation to Roxanne")&amp;" sent "&amp;TEXT($AA977,"dd-mmm")&amp;". "&amp;IF($Z977=6,"Final escalation completed.",IF($U977="OVERDUE","Next: "&amp;$AC977&amp;" was due "&amp;TEXT($AB977,"dd-mmm")&amp;" - "&amp;(NETWORKDAYS($AB977,TODAY(),Holidays)-1)&amp;" business day(s) late. Send now.",IF($U977="DUE TOMORROW","Next: "&amp;$AC977&amp;IF($AB977&lt;=TODAY()," is due TODAY ("," is due next business day (")&amp;TEXT($AB977,"dd-mmm")&amp;").","Next: "&amp;$AC977&amp;" due "&amp;TEXT($AB977,"dd-mmm")&amp;" ("&amp;(NETWORKDAYS(TODAY(),$AB977,Holidays)-1)&amp;" business day(s) left).")))))</f>
        <v/>
      </c>
      <c r="W977" s="17">
        <f>IF($Z977="","",CHOOSE($Z977,"Collection Email","1st Follow-up","2nd Follow-up","Local Office","CBE","Roxanne")&amp;IF($Z977=6," - Final"," - Day "&amp;MAX(0,NETWORKDAYS($AA977,TODAY(),Holidays)-1)&amp;" of "&amp;CHOOSE($Z977,3,3,2,2,3))&amp;" | Total Day "&amp;MAX(0,NETWORKDAYS($N977,TODAY(),Holidays)-1))</f>
        <v/>
      </c>
      <c r="X977" s="18"/>
      <c r="Y977" s="18"/>
      <c r="Z977" s="17">
        <f>IF($N977="","",COUNT($N977:$S977))</f>
        <v/>
      </c>
      <c r="AA977" s="19">
        <f>IF($Z977="","",INT(INDEX($N977:$S977,$Z977)))</f>
        <v/>
      </c>
      <c r="AB977" s="19">
        <f>IF(OR($Z977="",$Z977=6),"",WORKDAY($AA977,CHOOSE($Z977,3,3,2,2,3),Holidays))</f>
        <v/>
      </c>
      <c r="AC977" s="17">
        <f>IF(OR($Z977="",$Z977=6),"",CHOOSE($Z977,"1st Email Follow-up","2nd Email Follow-up","Escalate Local Office","Escalate to CBE","Escalate to Roxanne"))</f>
        <v/>
      </c>
    </row>
    <row r="978" spans="13:29">
      <c r="M978" s="14"/>
      <c r="T978" s="16"/>
      <c r="U978" s="17">
        <f>IF(AND(COUNTA($A978:$L978)=0,$N978=""),"",IF($T978="Paid","PAID",IF($T978="Closed","CLOSED",IF($Z978="","",IF($Z978=6,"ESCALATED TO ROXANNE",IF(TODAY()&gt;$AB978,"OVERDUE",IF($AB978&lt;=WORKDAY(TODAY(),1,Holidays),"DUE TOMORROW",IF($Z978=4,"ESCALATED TO LOCAL OFFICE",IF($Z978=5,"ESCALATED TO CBE",IF($AA978=TODAY(),"EMAIL SENT","MONITORING"))))))))))</f>
        <v/>
      </c>
      <c r="V978" s="17">
        <f>IF($U978="",IF(AND(COUNTA($A978:$L978)&gt;0,$N978=""),"Awaiting Collection Email time stamp.",""),IF(OR($U978="PAID",$U978="CLOSED"),IF($U978="PAID","Account paid. Action completed.","Account closed. No further action required."),CHOOSE($Z978,"Collection Email","1st Email Follow-up","2nd Email Follow-up","Escalation to Local Office","Escalation to CBE","Escalation to Roxanne")&amp;" sent "&amp;TEXT($AA978,"dd-mmm")&amp;". "&amp;IF($Z978=6,"Final escalation completed.",IF($U978="OVERDUE","Next: "&amp;$AC978&amp;" was due "&amp;TEXT($AB978,"dd-mmm")&amp;" - "&amp;(NETWORKDAYS($AB978,TODAY(),Holidays)-1)&amp;" business day(s) late. Send now.",IF($U978="DUE TOMORROW","Next: "&amp;$AC978&amp;IF($AB978&lt;=TODAY()," is due TODAY ("," is due next business day (")&amp;TEXT($AB978,"dd-mmm")&amp;").","Next: "&amp;$AC978&amp;" due "&amp;TEXT($AB978,"dd-mmm")&amp;" ("&amp;(NETWORKDAYS(TODAY(),$AB978,Holidays)-1)&amp;" business day(s) left).")))))</f>
        <v/>
      </c>
      <c r="W978" s="17">
        <f>IF($Z978="","",CHOOSE($Z978,"Collection Email","1st Follow-up","2nd Follow-up","Local Office","CBE","Roxanne")&amp;IF($Z978=6," - Final"," - Day "&amp;MAX(0,NETWORKDAYS($AA978,TODAY(),Holidays)-1)&amp;" of "&amp;CHOOSE($Z978,3,3,2,2,3))&amp;" | Total Day "&amp;MAX(0,NETWORKDAYS($N978,TODAY(),Holidays)-1))</f>
        <v/>
      </c>
      <c r="X978" s="18"/>
      <c r="Y978" s="18"/>
      <c r="Z978" s="17">
        <f>IF($N978="","",COUNT($N978:$S978))</f>
        <v/>
      </c>
      <c r="AA978" s="19">
        <f>IF($Z978="","",INT(INDEX($N978:$S978,$Z978)))</f>
        <v/>
      </c>
      <c r="AB978" s="19">
        <f>IF(OR($Z978="",$Z978=6),"",WORKDAY($AA978,CHOOSE($Z978,3,3,2,2,3),Holidays))</f>
        <v/>
      </c>
      <c r="AC978" s="17">
        <f>IF(OR($Z978="",$Z978=6),"",CHOOSE($Z978,"1st Email Follow-up","2nd Email Follow-up","Escalate Local Office","Escalate to CBE","Escalate to Roxanne"))</f>
        <v/>
      </c>
    </row>
    <row r="979" spans="13:29">
      <c r="M979" s="14"/>
      <c r="T979" s="16"/>
      <c r="U979" s="17">
        <f>IF(AND(COUNTA($A979:$L979)=0,$N979=""),"",IF($T979="Paid","PAID",IF($T979="Closed","CLOSED",IF($Z979="","",IF($Z979=6,"ESCALATED TO ROXANNE",IF(TODAY()&gt;$AB979,"OVERDUE",IF($AB979&lt;=WORKDAY(TODAY(),1,Holidays),"DUE TOMORROW",IF($Z979=4,"ESCALATED TO LOCAL OFFICE",IF($Z979=5,"ESCALATED TO CBE",IF($AA979=TODAY(),"EMAIL SENT","MONITORING"))))))))))</f>
        <v/>
      </c>
      <c r="V979" s="17">
        <f>IF($U979="",IF(AND(COUNTA($A979:$L979)&gt;0,$N979=""),"Awaiting Collection Email time stamp.",""),IF(OR($U979="PAID",$U979="CLOSED"),IF($U979="PAID","Account paid. Action completed.","Account closed. No further action required."),CHOOSE($Z979,"Collection Email","1st Email Follow-up","2nd Email Follow-up","Escalation to Local Office","Escalation to CBE","Escalation to Roxanne")&amp;" sent "&amp;TEXT($AA979,"dd-mmm")&amp;". "&amp;IF($Z979=6,"Final escalation completed.",IF($U979="OVERDUE","Next: "&amp;$AC979&amp;" was due "&amp;TEXT($AB979,"dd-mmm")&amp;" - "&amp;(NETWORKDAYS($AB979,TODAY(),Holidays)-1)&amp;" business day(s) late. Send now.",IF($U979="DUE TOMORROW","Next: "&amp;$AC979&amp;IF($AB979&lt;=TODAY()," is due TODAY ("," is due next business day (")&amp;TEXT($AB979,"dd-mmm")&amp;").","Next: "&amp;$AC979&amp;" due "&amp;TEXT($AB979,"dd-mmm")&amp;" ("&amp;(NETWORKDAYS(TODAY(),$AB979,Holidays)-1)&amp;" business day(s) left).")))))</f>
        <v/>
      </c>
      <c r="W979" s="17">
        <f>IF($Z979="","",CHOOSE($Z979,"Collection Email","1st Follow-up","2nd Follow-up","Local Office","CBE","Roxanne")&amp;IF($Z979=6," - Final"," - Day "&amp;MAX(0,NETWORKDAYS($AA979,TODAY(),Holidays)-1)&amp;" of "&amp;CHOOSE($Z979,3,3,2,2,3))&amp;" | Total Day "&amp;MAX(0,NETWORKDAYS($N979,TODAY(),Holidays)-1))</f>
        <v/>
      </c>
      <c r="X979" s="18"/>
      <c r="Y979" s="18"/>
      <c r="Z979" s="17">
        <f>IF($N979="","",COUNT($N979:$S979))</f>
        <v/>
      </c>
      <c r="AA979" s="19">
        <f>IF($Z979="","",INT(INDEX($N979:$S979,$Z979)))</f>
        <v/>
      </c>
      <c r="AB979" s="19">
        <f>IF(OR($Z979="",$Z979=6),"",WORKDAY($AA979,CHOOSE($Z979,3,3,2,2,3),Holidays))</f>
        <v/>
      </c>
      <c r="AC979" s="17">
        <f>IF(OR($Z979="",$Z979=6),"",CHOOSE($Z979,"1st Email Follow-up","2nd Email Follow-up","Escalate Local Office","Escalate to CBE","Escalate to Roxanne"))</f>
        <v/>
      </c>
    </row>
    <row r="980" spans="13:29">
      <c r="M980" s="14"/>
      <c r="T980" s="16"/>
      <c r="U980" s="17">
        <f>IF(AND(COUNTA($A980:$L980)=0,$N980=""),"",IF($T980="Paid","PAID",IF($T980="Closed","CLOSED",IF($Z980="","",IF($Z980=6,"ESCALATED TO ROXANNE",IF(TODAY()&gt;$AB980,"OVERDUE",IF($AB980&lt;=WORKDAY(TODAY(),1,Holidays),"DUE TOMORROW",IF($Z980=4,"ESCALATED TO LOCAL OFFICE",IF($Z980=5,"ESCALATED TO CBE",IF($AA980=TODAY(),"EMAIL SENT","MONITORING"))))))))))</f>
        <v/>
      </c>
      <c r="V980" s="17">
        <f>IF($U980="",IF(AND(COUNTA($A980:$L980)&gt;0,$N980=""),"Awaiting Collection Email time stamp.",""),IF(OR($U980="PAID",$U980="CLOSED"),IF($U980="PAID","Account paid. Action completed.","Account closed. No further action required."),CHOOSE($Z980,"Collection Email","1st Email Follow-up","2nd Email Follow-up","Escalation to Local Office","Escalation to CBE","Escalation to Roxanne")&amp;" sent "&amp;TEXT($AA980,"dd-mmm")&amp;". "&amp;IF($Z980=6,"Final escalation completed.",IF($U980="OVERDUE","Next: "&amp;$AC980&amp;" was due "&amp;TEXT($AB980,"dd-mmm")&amp;" - "&amp;(NETWORKDAYS($AB980,TODAY(),Holidays)-1)&amp;" business day(s) late. Send now.",IF($U980="DUE TOMORROW","Next: "&amp;$AC980&amp;IF($AB980&lt;=TODAY()," is due TODAY ("," is due next business day (")&amp;TEXT($AB980,"dd-mmm")&amp;").","Next: "&amp;$AC980&amp;" due "&amp;TEXT($AB980,"dd-mmm")&amp;" ("&amp;(NETWORKDAYS(TODAY(),$AB980,Holidays)-1)&amp;" business day(s) left).")))))</f>
        <v/>
      </c>
      <c r="W980" s="17">
        <f>IF($Z980="","",CHOOSE($Z980,"Collection Email","1st Follow-up","2nd Follow-up","Local Office","CBE","Roxanne")&amp;IF($Z980=6," - Final"," - Day "&amp;MAX(0,NETWORKDAYS($AA980,TODAY(),Holidays)-1)&amp;" of "&amp;CHOOSE($Z980,3,3,2,2,3))&amp;" | Total Day "&amp;MAX(0,NETWORKDAYS($N980,TODAY(),Holidays)-1))</f>
        <v/>
      </c>
      <c r="X980" s="18"/>
      <c r="Y980" s="18"/>
      <c r="Z980" s="17">
        <f>IF($N980="","",COUNT($N980:$S980))</f>
        <v/>
      </c>
      <c r="AA980" s="19">
        <f>IF($Z980="","",INT(INDEX($N980:$S980,$Z980)))</f>
        <v/>
      </c>
      <c r="AB980" s="19">
        <f>IF(OR($Z980="",$Z980=6),"",WORKDAY($AA980,CHOOSE($Z980,3,3,2,2,3),Holidays))</f>
        <v/>
      </c>
      <c r="AC980" s="17">
        <f>IF(OR($Z980="",$Z980=6),"",CHOOSE($Z980,"1st Email Follow-up","2nd Email Follow-up","Escalate Local Office","Escalate to CBE","Escalate to Roxanne"))</f>
        <v/>
      </c>
    </row>
    <row r="981" spans="13:29">
      <c r="M981" s="14"/>
      <c r="T981" s="16"/>
      <c r="U981" s="17">
        <f>IF(AND(COUNTA($A981:$L981)=0,$N981=""),"",IF($T981="Paid","PAID",IF($T981="Closed","CLOSED",IF($Z981="","",IF($Z981=6,"ESCALATED TO ROXANNE",IF(TODAY()&gt;$AB981,"OVERDUE",IF($AB981&lt;=WORKDAY(TODAY(),1,Holidays),"DUE TOMORROW",IF($Z981=4,"ESCALATED TO LOCAL OFFICE",IF($Z981=5,"ESCALATED TO CBE",IF($AA981=TODAY(),"EMAIL SENT","MONITORING"))))))))))</f>
        <v/>
      </c>
      <c r="V981" s="17">
        <f>IF($U981="",IF(AND(COUNTA($A981:$L981)&gt;0,$N981=""),"Awaiting Collection Email time stamp.",""),IF(OR($U981="PAID",$U981="CLOSED"),IF($U981="PAID","Account paid. Action completed.","Account closed. No further action required."),CHOOSE($Z981,"Collection Email","1st Email Follow-up","2nd Email Follow-up","Escalation to Local Office","Escalation to CBE","Escalation to Roxanne")&amp;" sent "&amp;TEXT($AA981,"dd-mmm")&amp;". "&amp;IF($Z981=6,"Final escalation completed.",IF($U981="OVERDUE","Next: "&amp;$AC981&amp;" was due "&amp;TEXT($AB981,"dd-mmm")&amp;" - "&amp;(NETWORKDAYS($AB981,TODAY(),Holidays)-1)&amp;" business day(s) late. Send now.",IF($U981="DUE TOMORROW","Next: "&amp;$AC981&amp;IF($AB981&lt;=TODAY()," is due TODAY ("," is due next business day (")&amp;TEXT($AB981,"dd-mmm")&amp;").","Next: "&amp;$AC981&amp;" due "&amp;TEXT($AB981,"dd-mmm")&amp;" ("&amp;(NETWORKDAYS(TODAY(),$AB981,Holidays)-1)&amp;" business day(s) left).")))))</f>
        <v/>
      </c>
      <c r="W981" s="17">
        <f>IF($Z981="","",CHOOSE($Z981,"Collection Email","1st Follow-up","2nd Follow-up","Local Office","CBE","Roxanne")&amp;IF($Z981=6," - Final"," - Day "&amp;MAX(0,NETWORKDAYS($AA981,TODAY(),Holidays)-1)&amp;" of "&amp;CHOOSE($Z981,3,3,2,2,3))&amp;" | Total Day "&amp;MAX(0,NETWORKDAYS($N981,TODAY(),Holidays)-1))</f>
        <v/>
      </c>
      <c r="X981" s="18"/>
      <c r="Y981" s="18"/>
      <c r="Z981" s="17">
        <f>IF($N981="","",COUNT($N981:$S981))</f>
        <v/>
      </c>
      <c r="AA981" s="19">
        <f>IF($Z981="","",INT(INDEX($N981:$S981,$Z981)))</f>
        <v/>
      </c>
      <c r="AB981" s="19">
        <f>IF(OR($Z981="",$Z981=6),"",WORKDAY($AA981,CHOOSE($Z981,3,3,2,2,3),Holidays))</f>
        <v/>
      </c>
      <c r="AC981" s="17">
        <f>IF(OR($Z981="",$Z981=6),"",CHOOSE($Z981,"1st Email Follow-up","2nd Email Follow-up","Escalate Local Office","Escalate to CBE","Escalate to Roxanne"))</f>
        <v/>
      </c>
    </row>
    <row r="982" spans="13:29">
      <c r="M982" s="14"/>
      <c r="T982" s="16"/>
      <c r="U982" s="17">
        <f>IF(AND(COUNTA($A982:$L982)=0,$N982=""),"",IF($T982="Paid","PAID",IF($T982="Closed","CLOSED",IF($Z982="","",IF($Z982=6,"ESCALATED TO ROXANNE",IF(TODAY()&gt;$AB982,"OVERDUE",IF($AB982&lt;=WORKDAY(TODAY(),1,Holidays),"DUE TOMORROW",IF($Z982=4,"ESCALATED TO LOCAL OFFICE",IF($Z982=5,"ESCALATED TO CBE",IF($AA982=TODAY(),"EMAIL SENT","MONITORING"))))))))))</f>
        <v/>
      </c>
      <c r="V982" s="17">
        <f>IF($U982="",IF(AND(COUNTA($A982:$L982)&gt;0,$N982=""),"Awaiting Collection Email time stamp.",""),IF(OR($U982="PAID",$U982="CLOSED"),IF($U982="PAID","Account paid. Action completed.","Account closed. No further action required."),CHOOSE($Z982,"Collection Email","1st Email Follow-up","2nd Email Follow-up","Escalation to Local Office","Escalation to CBE","Escalation to Roxanne")&amp;" sent "&amp;TEXT($AA982,"dd-mmm")&amp;". "&amp;IF($Z982=6,"Final escalation completed.",IF($U982="OVERDUE","Next: "&amp;$AC982&amp;" was due "&amp;TEXT($AB982,"dd-mmm")&amp;" - "&amp;(NETWORKDAYS($AB982,TODAY(),Holidays)-1)&amp;" business day(s) late. Send now.",IF($U982="DUE TOMORROW","Next: "&amp;$AC982&amp;IF($AB982&lt;=TODAY()," is due TODAY ("," is due next business day (")&amp;TEXT($AB982,"dd-mmm")&amp;").","Next: "&amp;$AC982&amp;" due "&amp;TEXT($AB982,"dd-mmm")&amp;" ("&amp;(NETWORKDAYS(TODAY(),$AB982,Holidays)-1)&amp;" business day(s) left).")))))</f>
        <v/>
      </c>
      <c r="W982" s="17">
        <f>IF($Z982="","",CHOOSE($Z982,"Collection Email","1st Follow-up","2nd Follow-up","Local Office","CBE","Roxanne")&amp;IF($Z982=6," - Final"," - Day "&amp;MAX(0,NETWORKDAYS($AA982,TODAY(),Holidays)-1)&amp;" of "&amp;CHOOSE($Z982,3,3,2,2,3))&amp;" | Total Day "&amp;MAX(0,NETWORKDAYS($N982,TODAY(),Holidays)-1))</f>
        <v/>
      </c>
      <c r="X982" s="18"/>
      <c r="Y982" s="18"/>
      <c r="Z982" s="17">
        <f>IF($N982="","",COUNT($N982:$S982))</f>
        <v/>
      </c>
      <c r="AA982" s="19">
        <f>IF($Z982="","",INT(INDEX($N982:$S982,$Z982)))</f>
        <v/>
      </c>
      <c r="AB982" s="19">
        <f>IF(OR($Z982="",$Z982=6),"",WORKDAY($AA982,CHOOSE($Z982,3,3,2,2,3),Holidays))</f>
        <v/>
      </c>
      <c r="AC982" s="17">
        <f>IF(OR($Z982="",$Z982=6),"",CHOOSE($Z982,"1st Email Follow-up","2nd Email Follow-up","Escalate Local Office","Escalate to CBE","Escalate to Roxanne"))</f>
        <v/>
      </c>
    </row>
    <row r="983" spans="13:29">
      <c r="M983" s="14"/>
      <c r="T983" s="16"/>
      <c r="U983" s="17">
        <f>IF(AND(COUNTA($A983:$L983)=0,$N983=""),"",IF($T983="Paid","PAID",IF($T983="Closed","CLOSED",IF($Z983="","",IF($Z983=6,"ESCALATED TO ROXANNE",IF(TODAY()&gt;$AB983,"OVERDUE",IF($AB983&lt;=WORKDAY(TODAY(),1,Holidays),"DUE TOMORROW",IF($Z983=4,"ESCALATED TO LOCAL OFFICE",IF($Z983=5,"ESCALATED TO CBE",IF($AA983=TODAY(),"EMAIL SENT","MONITORING"))))))))))</f>
        <v/>
      </c>
      <c r="V983" s="17">
        <f>IF($U983="",IF(AND(COUNTA($A983:$L983)&gt;0,$N983=""),"Awaiting Collection Email time stamp.",""),IF(OR($U983="PAID",$U983="CLOSED"),IF($U983="PAID","Account paid. Action completed.","Account closed. No further action required."),CHOOSE($Z983,"Collection Email","1st Email Follow-up","2nd Email Follow-up","Escalation to Local Office","Escalation to CBE","Escalation to Roxanne")&amp;" sent "&amp;TEXT($AA983,"dd-mmm")&amp;". "&amp;IF($Z983=6,"Final escalation completed.",IF($U983="OVERDUE","Next: "&amp;$AC983&amp;" was due "&amp;TEXT($AB983,"dd-mmm")&amp;" - "&amp;(NETWORKDAYS($AB983,TODAY(),Holidays)-1)&amp;" business day(s) late. Send now.",IF($U983="DUE TOMORROW","Next: "&amp;$AC983&amp;IF($AB983&lt;=TODAY()," is due TODAY ("," is due next business day (")&amp;TEXT($AB983,"dd-mmm")&amp;").","Next: "&amp;$AC983&amp;" due "&amp;TEXT($AB983,"dd-mmm")&amp;" ("&amp;(NETWORKDAYS(TODAY(),$AB983,Holidays)-1)&amp;" business day(s) left).")))))</f>
        <v/>
      </c>
      <c r="W983" s="17">
        <f>IF($Z983="","",CHOOSE($Z983,"Collection Email","1st Follow-up","2nd Follow-up","Local Office","CBE","Roxanne")&amp;IF($Z983=6," - Final"," - Day "&amp;MAX(0,NETWORKDAYS($AA983,TODAY(),Holidays)-1)&amp;" of "&amp;CHOOSE($Z983,3,3,2,2,3))&amp;" | Total Day "&amp;MAX(0,NETWORKDAYS($N983,TODAY(),Holidays)-1))</f>
        <v/>
      </c>
      <c r="X983" s="18"/>
      <c r="Y983" s="18"/>
      <c r="Z983" s="17">
        <f>IF($N983="","",COUNT($N983:$S983))</f>
        <v/>
      </c>
      <c r="AA983" s="19">
        <f>IF($Z983="","",INT(INDEX($N983:$S983,$Z983)))</f>
        <v/>
      </c>
      <c r="AB983" s="19">
        <f>IF(OR($Z983="",$Z983=6),"",WORKDAY($AA983,CHOOSE($Z983,3,3,2,2,3),Holidays))</f>
        <v/>
      </c>
      <c r="AC983" s="17">
        <f>IF(OR($Z983="",$Z983=6),"",CHOOSE($Z983,"1st Email Follow-up","2nd Email Follow-up","Escalate Local Office","Escalate to CBE","Escalate to Roxanne"))</f>
        <v/>
      </c>
    </row>
    <row r="984" spans="13:29">
      <c r="M984" s="14"/>
      <c r="T984" s="16"/>
      <c r="U984" s="17">
        <f>IF(AND(COUNTA($A984:$L984)=0,$N984=""),"",IF($T984="Paid","PAID",IF($T984="Closed","CLOSED",IF($Z984="","",IF($Z984=6,"ESCALATED TO ROXANNE",IF(TODAY()&gt;$AB984,"OVERDUE",IF($AB984&lt;=WORKDAY(TODAY(),1,Holidays),"DUE TOMORROW",IF($Z984=4,"ESCALATED TO LOCAL OFFICE",IF($Z984=5,"ESCALATED TO CBE",IF($AA984=TODAY(),"EMAIL SENT","MONITORING"))))))))))</f>
        <v/>
      </c>
      <c r="V984" s="17">
        <f>IF($U984="",IF(AND(COUNTA($A984:$L984)&gt;0,$N984=""),"Awaiting Collection Email time stamp.",""),IF(OR($U984="PAID",$U984="CLOSED"),IF($U984="PAID","Account paid. Action completed.","Account closed. No further action required."),CHOOSE($Z984,"Collection Email","1st Email Follow-up","2nd Email Follow-up","Escalation to Local Office","Escalation to CBE","Escalation to Roxanne")&amp;" sent "&amp;TEXT($AA984,"dd-mmm")&amp;". "&amp;IF($Z984=6,"Final escalation completed.",IF($U984="OVERDUE","Next: "&amp;$AC984&amp;" was due "&amp;TEXT($AB984,"dd-mmm")&amp;" - "&amp;(NETWORKDAYS($AB984,TODAY(),Holidays)-1)&amp;" business day(s) late. Send now.",IF($U984="DUE TOMORROW","Next: "&amp;$AC984&amp;IF($AB984&lt;=TODAY()," is due TODAY ("," is due next business day (")&amp;TEXT($AB984,"dd-mmm")&amp;").","Next: "&amp;$AC984&amp;" due "&amp;TEXT($AB984,"dd-mmm")&amp;" ("&amp;(NETWORKDAYS(TODAY(),$AB984,Holidays)-1)&amp;" business day(s) left).")))))</f>
        <v/>
      </c>
      <c r="W984" s="17">
        <f>IF($Z984="","",CHOOSE($Z984,"Collection Email","1st Follow-up","2nd Follow-up","Local Office","CBE","Roxanne")&amp;IF($Z984=6," - Final"," - Day "&amp;MAX(0,NETWORKDAYS($AA984,TODAY(),Holidays)-1)&amp;" of "&amp;CHOOSE($Z984,3,3,2,2,3))&amp;" | Total Day "&amp;MAX(0,NETWORKDAYS($N984,TODAY(),Holidays)-1))</f>
        <v/>
      </c>
      <c r="X984" s="18"/>
      <c r="Y984" s="18"/>
      <c r="Z984" s="17">
        <f>IF($N984="","",COUNT($N984:$S984))</f>
        <v/>
      </c>
      <c r="AA984" s="19">
        <f>IF($Z984="","",INT(INDEX($N984:$S984,$Z984)))</f>
        <v/>
      </c>
      <c r="AB984" s="19">
        <f>IF(OR($Z984="",$Z984=6),"",WORKDAY($AA984,CHOOSE($Z984,3,3,2,2,3),Holidays))</f>
        <v/>
      </c>
      <c r="AC984" s="17">
        <f>IF(OR($Z984="",$Z984=6),"",CHOOSE($Z984,"1st Email Follow-up","2nd Email Follow-up","Escalate Local Office","Escalate to CBE","Escalate to Roxanne"))</f>
        <v/>
      </c>
    </row>
    <row r="985" spans="13:29">
      <c r="M985" s="14"/>
      <c r="T985" s="16"/>
      <c r="U985" s="17">
        <f>IF(AND(COUNTA($A985:$L985)=0,$N985=""),"",IF($T985="Paid","PAID",IF($T985="Closed","CLOSED",IF($Z985="","",IF($Z985=6,"ESCALATED TO ROXANNE",IF(TODAY()&gt;$AB985,"OVERDUE",IF($AB985&lt;=WORKDAY(TODAY(),1,Holidays),"DUE TOMORROW",IF($Z985=4,"ESCALATED TO LOCAL OFFICE",IF($Z985=5,"ESCALATED TO CBE",IF($AA985=TODAY(),"EMAIL SENT","MONITORING"))))))))))</f>
        <v/>
      </c>
      <c r="V985" s="17">
        <f>IF($U985="",IF(AND(COUNTA($A985:$L985)&gt;0,$N985=""),"Awaiting Collection Email time stamp.",""),IF(OR($U985="PAID",$U985="CLOSED"),IF($U985="PAID","Account paid. Action completed.","Account closed. No further action required."),CHOOSE($Z985,"Collection Email","1st Email Follow-up","2nd Email Follow-up","Escalation to Local Office","Escalation to CBE","Escalation to Roxanne")&amp;" sent "&amp;TEXT($AA985,"dd-mmm")&amp;". "&amp;IF($Z985=6,"Final escalation completed.",IF($U985="OVERDUE","Next: "&amp;$AC985&amp;" was due "&amp;TEXT($AB985,"dd-mmm")&amp;" - "&amp;(NETWORKDAYS($AB985,TODAY(),Holidays)-1)&amp;" business day(s) late. Send now.",IF($U985="DUE TOMORROW","Next: "&amp;$AC985&amp;IF($AB985&lt;=TODAY()," is due TODAY ("," is due next business day (")&amp;TEXT($AB985,"dd-mmm")&amp;").","Next: "&amp;$AC985&amp;" due "&amp;TEXT($AB985,"dd-mmm")&amp;" ("&amp;(NETWORKDAYS(TODAY(),$AB985,Holidays)-1)&amp;" business day(s) left).")))))</f>
        <v/>
      </c>
      <c r="W985" s="17">
        <f>IF($Z985="","",CHOOSE($Z985,"Collection Email","1st Follow-up","2nd Follow-up","Local Office","CBE","Roxanne")&amp;IF($Z985=6," - Final"," - Day "&amp;MAX(0,NETWORKDAYS($AA985,TODAY(),Holidays)-1)&amp;" of "&amp;CHOOSE($Z985,3,3,2,2,3))&amp;" | Total Day "&amp;MAX(0,NETWORKDAYS($N985,TODAY(),Holidays)-1))</f>
        <v/>
      </c>
      <c r="X985" s="18"/>
      <c r="Y985" s="18"/>
      <c r="Z985" s="17">
        <f>IF($N985="","",COUNT($N985:$S985))</f>
        <v/>
      </c>
      <c r="AA985" s="19">
        <f>IF($Z985="","",INT(INDEX($N985:$S985,$Z985)))</f>
        <v/>
      </c>
      <c r="AB985" s="19">
        <f>IF(OR($Z985="",$Z985=6),"",WORKDAY($AA985,CHOOSE($Z985,3,3,2,2,3),Holidays))</f>
        <v/>
      </c>
      <c r="AC985" s="17">
        <f>IF(OR($Z985="",$Z985=6),"",CHOOSE($Z985,"1st Email Follow-up","2nd Email Follow-up","Escalate Local Office","Escalate to CBE","Escalate to Roxanne"))</f>
        <v/>
      </c>
    </row>
    <row r="986" spans="13:29">
      <c r="M986" s="14"/>
      <c r="T986" s="16"/>
      <c r="U986" s="17">
        <f>IF(AND(COUNTA($A986:$L986)=0,$N986=""),"",IF($T986="Paid","PAID",IF($T986="Closed","CLOSED",IF($Z986="","",IF($Z986=6,"ESCALATED TO ROXANNE",IF(TODAY()&gt;$AB986,"OVERDUE",IF($AB986&lt;=WORKDAY(TODAY(),1,Holidays),"DUE TOMORROW",IF($Z986=4,"ESCALATED TO LOCAL OFFICE",IF($Z986=5,"ESCALATED TO CBE",IF($AA986=TODAY(),"EMAIL SENT","MONITORING"))))))))))</f>
        <v/>
      </c>
      <c r="V986" s="17">
        <f>IF($U986="",IF(AND(COUNTA($A986:$L986)&gt;0,$N986=""),"Awaiting Collection Email time stamp.",""),IF(OR($U986="PAID",$U986="CLOSED"),IF($U986="PAID","Account paid. Action completed.","Account closed. No further action required."),CHOOSE($Z986,"Collection Email","1st Email Follow-up","2nd Email Follow-up","Escalation to Local Office","Escalation to CBE","Escalation to Roxanne")&amp;" sent "&amp;TEXT($AA986,"dd-mmm")&amp;". "&amp;IF($Z986=6,"Final escalation completed.",IF($U986="OVERDUE","Next: "&amp;$AC986&amp;" was due "&amp;TEXT($AB986,"dd-mmm")&amp;" - "&amp;(NETWORKDAYS($AB986,TODAY(),Holidays)-1)&amp;" business day(s) late. Send now.",IF($U986="DUE TOMORROW","Next: "&amp;$AC986&amp;IF($AB986&lt;=TODAY()," is due TODAY ("," is due next business day (")&amp;TEXT($AB986,"dd-mmm")&amp;").","Next: "&amp;$AC986&amp;" due "&amp;TEXT($AB986,"dd-mmm")&amp;" ("&amp;(NETWORKDAYS(TODAY(),$AB986,Holidays)-1)&amp;" business day(s) left).")))))</f>
        <v/>
      </c>
      <c r="W986" s="17">
        <f>IF($Z986="","",CHOOSE($Z986,"Collection Email","1st Follow-up","2nd Follow-up","Local Office","CBE","Roxanne")&amp;IF($Z986=6," - Final"," - Day "&amp;MAX(0,NETWORKDAYS($AA986,TODAY(),Holidays)-1)&amp;" of "&amp;CHOOSE($Z986,3,3,2,2,3))&amp;" | Total Day "&amp;MAX(0,NETWORKDAYS($N986,TODAY(),Holidays)-1))</f>
        <v/>
      </c>
      <c r="X986" s="18"/>
      <c r="Y986" s="18"/>
      <c r="Z986" s="17">
        <f>IF($N986="","",COUNT($N986:$S986))</f>
        <v/>
      </c>
      <c r="AA986" s="19">
        <f>IF($Z986="","",INT(INDEX($N986:$S986,$Z986)))</f>
        <v/>
      </c>
      <c r="AB986" s="19">
        <f>IF(OR($Z986="",$Z986=6),"",WORKDAY($AA986,CHOOSE($Z986,3,3,2,2,3),Holidays))</f>
        <v/>
      </c>
      <c r="AC986" s="17">
        <f>IF(OR($Z986="",$Z986=6),"",CHOOSE($Z986,"1st Email Follow-up","2nd Email Follow-up","Escalate Local Office","Escalate to CBE","Escalate to Roxanne"))</f>
        <v/>
      </c>
    </row>
    <row r="987" spans="13:29">
      <c r="M987" s="14"/>
      <c r="T987" s="16"/>
      <c r="U987" s="17">
        <f>IF(AND(COUNTA($A987:$L987)=0,$N987=""),"",IF($T987="Paid","PAID",IF($T987="Closed","CLOSED",IF($Z987="","",IF($Z987=6,"ESCALATED TO ROXANNE",IF(TODAY()&gt;$AB987,"OVERDUE",IF($AB987&lt;=WORKDAY(TODAY(),1,Holidays),"DUE TOMORROW",IF($Z987=4,"ESCALATED TO LOCAL OFFICE",IF($Z987=5,"ESCALATED TO CBE",IF($AA987=TODAY(),"EMAIL SENT","MONITORING"))))))))))</f>
        <v/>
      </c>
      <c r="V987" s="17">
        <f>IF($U987="",IF(AND(COUNTA($A987:$L987)&gt;0,$N987=""),"Awaiting Collection Email time stamp.",""),IF(OR($U987="PAID",$U987="CLOSED"),IF($U987="PAID","Account paid. Action completed.","Account closed. No further action required."),CHOOSE($Z987,"Collection Email","1st Email Follow-up","2nd Email Follow-up","Escalation to Local Office","Escalation to CBE","Escalation to Roxanne")&amp;" sent "&amp;TEXT($AA987,"dd-mmm")&amp;". "&amp;IF($Z987=6,"Final escalation completed.",IF($U987="OVERDUE","Next: "&amp;$AC987&amp;" was due "&amp;TEXT($AB987,"dd-mmm")&amp;" - "&amp;(NETWORKDAYS($AB987,TODAY(),Holidays)-1)&amp;" business day(s) late. Send now.",IF($U987="DUE TOMORROW","Next: "&amp;$AC987&amp;IF($AB987&lt;=TODAY()," is due TODAY ("," is due next business day (")&amp;TEXT($AB987,"dd-mmm")&amp;").","Next: "&amp;$AC987&amp;" due "&amp;TEXT($AB987,"dd-mmm")&amp;" ("&amp;(NETWORKDAYS(TODAY(),$AB987,Holidays)-1)&amp;" business day(s) left).")))))</f>
        <v/>
      </c>
      <c r="W987" s="17">
        <f>IF($Z987="","",CHOOSE($Z987,"Collection Email","1st Follow-up","2nd Follow-up","Local Office","CBE","Roxanne")&amp;IF($Z987=6," - Final"," - Day "&amp;MAX(0,NETWORKDAYS($AA987,TODAY(),Holidays)-1)&amp;" of "&amp;CHOOSE($Z987,3,3,2,2,3))&amp;" | Total Day "&amp;MAX(0,NETWORKDAYS($N987,TODAY(),Holidays)-1))</f>
        <v/>
      </c>
      <c r="X987" s="18"/>
      <c r="Y987" s="18"/>
      <c r="Z987" s="17">
        <f>IF($N987="","",COUNT($N987:$S987))</f>
        <v/>
      </c>
      <c r="AA987" s="19">
        <f>IF($Z987="","",INT(INDEX($N987:$S987,$Z987)))</f>
        <v/>
      </c>
      <c r="AB987" s="19">
        <f>IF(OR($Z987="",$Z987=6),"",WORKDAY($AA987,CHOOSE($Z987,3,3,2,2,3),Holidays))</f>
        <v/>
      </c>
      <c r="AC987" s="17">
        <f>IF(OR($Z987="",$Z987=6),"",CHOOSE($Z987,"1st Email Follow-up","2nd Email Follow-up","Escalate Local Office","Escalate to CBE","Escalate to Roxanne"))</f>
        <v/>
      </c>
    </row>
    <row r="988" spans="13:29">
      <c r="M988" s="14"/>
      <c r="T988" s="16"/>
      <c r="U988" s="17">
        <f>IF(AND(COUNTA($A988:$L988)=0,$N988=""),"",IF($T988="Paid","PAID",IF($T988="Closed","CLOSED",IF($Z988="","",IF($Z988=6,"ESCALATED TO ROXANNE",IF(TODAY()&gt;$AB988,"OVERDUE",IF($AB988&lt;=WORKDAY(TODAY(),1,Holidays),"DUE TOMORROW",IF($Z988=4,"ESCALATED TO LOCAL OFFICE",IF($Z988=5,"ESCALATED TO CBE",IF($AA988=TODAY(),"EMAIL SENT","MONITORING"))))))))))</f>
        <v/>
      </c>
      <c r="V988" s="17">
        <f>IF($U988="",IF(AND(COUNTA($A988:$L988)&gt;0,$N988=""),"Awaiting Collection Email time stamp.",""),IF(OR($U988="PAID",$U988="CLOSED"),IF($U988="PAID","Account paid. Action completed.","Account closed. No further action required."),CHOOSE($Z988,"Collection Email","1st Email Follow-up","2nd Email Follow-up","Escalation to Local Office","Escalation to CBE","Escalation to Roxanne")&amp;" sent "&amp;TEXT($AA988,"dd-mmm")&amp;". "&amp;IF($Z988=6,"Final escalation completed.",IF($U988="OVERDUE","Next: "&amp;$AC988&amp;" was due "&amp;TEXT($AB988,"dd-mmm")&amp;" - "&amp;(NETWORKDAYS($AB988,TODAY(),Holidays)-1)&amp;" business day(s) late. Send now.",IF($U988="DUE TOMORROW","Next: "&amp;$AC988&amp;IF($AB988&lt;=TODAY()," is due TODAY ("," is due next business day (")&amp;TEXT($AB988,"dd-mmm")&amp;").","Next: "&amp;$AC988&amp;" due "&amp;TEXT($AB988,"dd-mmm")&amp;" ("&amp;(NETWORKDAYS(TODAY(),$AB988,Holidays)-1)&amp;" business day(s) left).")))))</f>
        <v/>
      </c>
      <c r="W988" s="17">
        <f>IF($Z988="","",CHOOSE($Z988,"Collection Email","1st Follow-up","2nd Follow-up","Local Office","CBE","Roxanne")&amp;IF($Z988=6," - Final"," - Day "&amp;MAX(0,NETWORKDAYS($AA988,TODAY(),Holidays)-1)&amp;" of "&amp;CHOOSE($Z988,3,3,2,2,3))&amp;" | Total Day "&amp;MAX(0,NETWORKDAYS($N988,TODAY(),Holidays)-1))</f>
        <v/>
      </c>
      <c r="X988" s="18"/>
      <c r="Y988" s="18"/>
      <c r="Z988" s="17">
        <f>IF($N988="","",COUNT($N988:$S988))</f>
        <v/>
      </c>
      <c r="AA988" s="19">
        <f>IF($Z988="","",INT(INDEX($N988:$S988,$Z988)))</f>
        <v/>
      </c>
      <c r="AB988" s="19">
        <f>IF(OR($Z988="",$Z988=6),"",WORKDAY($AA988,CHOOSE($Z988,3,3,2,2,3),Holidays))</f>
        <v/>
      </c>
      <c r="AC988" s="17">
        <f>IF(OR($Z988="",$Z988=6),"",CHOOSE($Z988,"1st Email Follow-up","2nd Email Follow-up","Escalate Local Office","Escalate to CBE","Escalate to Roxanne"))</f>
        <v/>
      </c>
    </row>
    <row r="989" spans="13:29">
      <c r="M989" s="14"/>
      <c r="T989" s="16"/>
      <c r="U989" s="17">
        <f>IF(AND(COUNTA($A989:$L989)=0,$N989=""),"",IF($T989="Paid","PAID",IF($T989="Closed","CLOSED",IF($Z989="","",IF($Z989=6,"ESCALATED TO ROXANNE",IF(TODAY()&gt;$AB989,"OVERDUE",IF($AB989&lt;=WORKDAY(TODAY(),1,Holidays),"DUE TOMORROW",IF($Z989=4,"ESCALATED TO LOCAL OFFICE",IF($Z989=5,"ESCALATED TO CBE",IF($AA989=TODAY(),"EMAIL SENT","MONITORING"))))))))))</f>
        <v/>
      </c>
      <c r="V989" s="17">
        <f>IF($U989="",IF(AND(COUNTA($A989:$L989)&gt;0,$N989=""),"Awaiting Collection Email time stamp.",""),IF(OR($U989="PAID",$U989="CLOSED"),IF($U989="PAID","Account paid. Action completed.","Account closed. No further action required."),CHOOSE($Z989,"Collection Email","1st Email Follow-up","2nd Email Follow-up","Escalation to Local Office","Escalation to CBE","Escalation to Roxanne")&amp;" sent "&amp;TEXT($AA989,"dd-mmm")&amp;". "&amp;IF($Z989=6,"Final escalation completed.",IF($U989="OVERDUE","Next: "&amp;$AC989&amp;" was due "&amp;TEXT($AB989,"dd-mmm")&amp;" - "&amp;(NETWORKDAYS($AB989,TODAY(),Holidays)-1)&amp;" business day(s) late. Send now.",IF($U989="DUE TOMORROW","Next: "&amp;$AC989&amp;IF($AB989&lt;=TODAY()," is due TODAY ("," is due next business day (")&amp;TEXT($AB989,"dd-mmm")&amp;").","Next: "&amp;$AC989&amp;" due "&amp;TEXT($AB989,"dd-mmm")&amp;" ("&amp;(NETWORKDAYS(TODAY(),$AB989,Holidays)-1)&amp;" business day(s) left).")))))</f>
        <v/>
      </c>
      <c r="W989" s="17">
        <f>IF($Z989="","",CHOOSE($Z989,"Collection Email","1st Follow-up","2nd Follow-up","Local Office","CBE","Roxanne")&amp;IF($Z989=6," - Final"," - Day "&amp;MAX(0,NETWORKDAYS($AA989,TODAY(),Holidays)-1)&amp;" of "&amp;CHOOSE($Z989,3,3,2,2,3))&amp;" | Total Day "&amp;MAX(0,NETWORKDAYS($N989,TODAY(),Holidays)-1))</f>
        <v/>
      </c>
      <c r="X989" s="18"/>
      <c r="Y989" s="18"/>
      <c r="Z989" s="17">
        <f>IF($N989="","",COUNT($N989:$S989))</f>
        <v/>
      </c>
      <c r="AA989" s="19">
        <f>IF($Z989="","",INT(INDEX($N989:$S989,$Z989)))</f>
        <v/>
      </c>
      <c r="AB989" s="19">
        <f>IF(OR($Z989="",$Z989=6),"",WORKDAY($AA989,CHOOSE($Z989,3,3,2,2,3),Holidays))</f>
        <v/>
      </c>
      <c r="AC989" s="17">
        <f>IF(OR($Z989="",$Z989=6),"",CHOOSE($Z989,"1st Email Follow-up","2nd Email Follow-up","Escalate Local Office","Escalate to CBE","Escalate to Roxanne"))</f>
        <v/>
      </c>
    </row>
    <row r="990" spans="13:29">
      <c r="M990" s="14"/>
      <c r="T990" s="16"/>
      <c r="U990" s="17">
        <f>IF(AND(COUNTA($A990:$L990)=0,$N990=""),"",IF($T990="Paid","PAID",IF($T990="Closed","CLOSED",IF($Z990="","",IF($Z990=6,"ESCALATED TO ROXANNE",IF(TODAY()&gt;$AB990,"OVERDUE",IF($AB990&lt;=WORKDAY(TODAY(),1,Holidays),"DUE TOMORROW",IF($Z990=4,"ESCALATED TO LOCAL OFFICE",IF($Z990=5,"ESCALATED TO CBE",IF($AA990=TODAY(),"EMAIL SENT","MONITORING"))))))))))</f>
        <v/>
      </c>
      <c r="V990" s="17">
        <f>IF($U990="",IF(AND(COUNTA($A990:$L990)&gt;0,$N990=""),"Awaiting Collection Email time stamp.",""),IF(OR($U990="PAID",$U990="CLOSED"),IF($U990="PAID","Account paid. Action completed.","Account closed. No further action required."),CHOOSE($Z990,"Collection Email","1st Email Follow-up","2nd Email Follow-up","Escalation to Local Office","Escalation to CBE","Escalation to Roxanne")&amp;" sent "&amp;TEXT($AA990,"dd-mmm")&amp;". "&amp;IF($Z990=6,"Final escalation completed.",IF($U990="OVERDUE","Next: "&amp;$AC990&amp;" was due "&amp;TEXT($AB990,"dd-mmm")&amp;" - "&amp;(NETWORKDAYS($AB990,TODAY(),Holidays)-1)&amp;" business day(s) late. Send now.",IF($U990="DUE TOMORROW","Next: "&amp;$AC990&amp;IF($AB990&lt;=TODAY()," is due TODAY ("," is due next business day (")&amp;TEXT($AB990,"dd-mmm")&amp;").","Next: "&amp;$AC990&amp;" due "&amp;TEXT($AB990,"dd-mmm")&amp;" ("&amp;(NETWORKDAYS(TODAY(),$AB990,Holidays)-1)&amp;" business day(s) left).")))))</f>
        <v/>
      </c>
      <c r="W990" s="17">
        <f>IF($Z990="","",CHOOSE($Z990,"Collection Email","1st Follow-up","2nd Follow-up","Local Office","CBE","Roxanne")&amp;IF($Z990=6," - Final"," - Day "&amp;MAX(0,NETWORKDAYS($AA990,TODAY(),Holidays)-1)&amp;" of "&amp;CHOOSE($Z990,3,3,2,2,3))&amp;" | Total Day "&amp;MAX(0,NETWORKDAYS($N990,TODAY(),Holidays)-1))</f>
        <v/>
      </c>
      <c r="X990" s="18"/>
      <c r="Y990" s="18"/>
      <c r="Z990" s="17">
        <f>IF($N990="","",COUNT($N990:$S990))</f>
        <v/>
      </c>
      <c r="AA990" s="19">
        <f>IF($Z990="","",INT(INDEX($N990:$S990,$Z990)))</f>
        <v/>
      </c>
      <c r="AB990" s="19">
        <f>IF(OR($Z990="",$Z990=6),"",WORKDAY($AA990,CHOOSE($Z990,3,3,2,2,3),Holidays))</f>
        <v/>
      </c>
      <c r="AC990" s="17">
        <f>IF(OR($Z990="",$Z990=6),"",CHOOSE($Z990,"1st Email Follow-up","2nd Email Follow-up","Escalate Local Office","Escalate to CBE","Escalate to Roxanne"))</f>
        <v/>
      </c>
    </row>
    <row r="991" spans="13:29">
      <c r="M991" s="14"/>
      <c r="T991" s="16"/>
      <c r="U991" s="17">
        <f>IF(AND(COUNTA($A991:$L991)=0,$N991=""),"",IF($T991="Paid","PAID",IF($T991="Closed","CLOSED",IF($Z991="","",IF($Z991=6,"ESCALATED TO ROXANNE",IF(TODAY()&gt;$AB991,"OVERDUE",IF($AB991&lt;=WORKDAY(TODAY(),1,Holidays),"DUE TOMORROW",IF($Z991=4,"ESCALATED TO LOCAL OFFICE",IF($Z991=5,"ESCALATED TO CBE",IF($AA991=TODAY(),"EMAIL SENT","MONITORING"))))))))))</f>
        <v/>
      </c>
      <c r="V991" s="17">
        <f>IF($U991="",IF(AND(COUNTA($A991:$L991)&gt;0,$N991=""),"Awaiting Collection Email time stamp.",""),IF(OR($U991="PAID",$U991="CLOSED"),IF($U991="PAID","Account paid. Action completed.","Account closed. No further action required."),CHOOSE($Z991,"Collection Email","1st Email Follow-up","2nd Email Follow-up","Escalation to Local Office","Escalation to CBE","Escalation to Roxanne")&amp;" sent "&amp;TEXT($AA991,"dd-mmm")&amp;". "&amp;IF($Z991=6,"Final escalation completed.",IF($U991="OVERDUE","Next: "&amp;$AC991&amp;" was due "&amp;TEXT($AB991,"dd-mmm")&amp;" - "&amp;(NETWORKDAYS($AB991,TODAY(),Holidays)-1)&amp;" business day(s) late. Send now.",IF($U991="DUE TOMORROW","Next: "&amp;$AC991&amp;IF($AB991&lt;=TODAY()," is due TODAY ("," is due next business day (")&amp;TEXT($AB991,"dd-mmm")&amp;").","Next: "&amp;$AC991&amp;" due "&amp;TEXT($AB991,"dd-mmm")&amp;" ("&amp;(NETWORKDAYS(TODAY(),$AB991,Holidays)-1)&amp;" business day(s) left).")))))</f>
        <v/>
      </c>
      <c r="W991" s="17">
        <f>IF($Z991="","",CHOOSE($Z991,"Collection Email","1st Follow-up","2nd Follow-up","Local Office","CBE","Roxanne")&amp;IF($Z991=6," - Final"," - Day "&amp;MAX(0,NETWORKDAYS($AA991,TODAY(),Holidays)-1)&amp;" of "&amp;CHOOSE($Z991,3,3,2,2,3))&amp;" | Total Day "&amp;MAX(0,NETWORKDAYS($N991,TODAY(),Holidays)-1))</f>
        <v/>
      </c>
      <c r="X991" s="18"/>
      <c r="Y991" s="18"/>
      <c r="Z991" s="17">
        <f>IF($N991="","",COUNT($N991:$S991))</f>
        <v/>
      </c>
      <c r="AA991" s="19">
        <f>IF($Z991="","",INT(INDEX($N991:$S991,$Z991)))</f>
        <v/>
      </c>
      <c r="AB991" s="19">
        <f>IF(OR($Z991="",$Z991=6),"",WORKDAY($AA991,CHOOSE($Z991,3,3,2,2,3),Holidays))</f>
        <v/>
      </c>
      <c r="AC991" s="17">
        <f>IF(OR($Z991="",$Z991=6),"",CHOOSE($Z991,"1st Email Follow-up","2nd Email Follow-up","Escalate Local Office","Escalate to CBE","Escalate to Roxanne"))</f>
        <v/>
      </c>
    </row>
    <row r="992" spans="13:29">
      <c r="M992" s="14"/>
      <c r="T992" s="16"/>
      <c r="U992" s="17">
        <f>IF(AND(COUNTA($A992:$L992)=0,$N992=""),"",IF($T992="Paid","PAID",IF($T992="Closed","CLOSED",IF($Z992="","",IF($Z992=6,"ESCALATED TO ROXANNE",IF(TODAY()&gt;$AB992,"OVERDUE",IF($AB992&lt;=WORKDAY(TODAY(),1,Holidays),"DUE TOMORROW",IF($Z992=4,"ESCALATED TO LOCAL OFFICE",IF($Z992=5,"ESCALATED TO CBE",IF($AA992=TODAY(),"EMAIL SENT","MONITORING"))))))))))</f>
        <v/>
      </c>
      <c r="V992" s="17">
        <f>IF($U992="",IF(AND(COUNTA($A992:$L992)&gt;0,$N992=""),"Awaiting Collection Email time stamp.",""),IF(OR($U992="PAID",$U992="CLOSED"),IF($U992="PAID","Account paid. Action completed.","Account closed. No further action required."),CHOOSE($Z992,"Collection Email","1st Email Follow-up","2nd Email Follow-up","Escalation to Local Office","Escalation to CBE","Escalation to Roxanne")&amp;" sent "&amp;TEXT($AA992,"dd-mmm")&amp;". "&amp;IF($Z992=6,"Final escalation completed.",IF($U992="OVERDUE","Next: "&amp;$AC992&amp;" was due "&amp;TEXT($AB992,"dd-mmm")&amp;" - "&amp;(NETWORKDAYS($AB992,TODAY(),Holidays)-1)&amp;" business day(s) late. Send now.",IF($U992="DUE TOMORROW","Next: "&amp;$AC992&amp;IF($AB992&lt;=TODAY()," is due TODAY ("," is due next business day (")&amp;TEXT($AB992,"dd-mmm")&amp;").","Next: "&amp;$AC992&amp;" due "&amp;TEXT($AB992,"dd-mmm")&amp;" ("&amp;(NETWORKDAYS(TODAY(),$AB992,Holidays)-1)&amp;" business day(s) left).")))))</f>
        <v/>
      </c>
      <c r="W992" s="17">
        <f>IF($Z992="","",CHOOSE($Z992,"Collection Email","1st Follow-up","2nd Follow-up","Local Office","CBE","Roxanne")&amp;IF($Z992=6," - Final"," - Day "&amp;MAX(0,NETWORKDAYS($AA992,TODAY(),Holidays)-1)&amp;" of "&amp;CHOOSE($Z992,3,3,2,2,3))&amp;" | Total Day "&amp;MAX(0,NETWORKDAYS($N992,TODAY(),Holidays)-1))</f>
        <v/>
      </c>
      <c r="X992" s="18"/>
      <c r="Y992" s="18"/>
      <c r="Z992" s="17">
        <f>IF($N992="","",COUNT($N992:$S992))</f>
        <v/>
      </c>
      <c r="AA992" s="19">
        <f>IF($Z992="","",INT(INDEX($N992:$S992,$Z992)))</f>
        <v/>
      </c>
      <c r="AB992" s="19">
        <f>IF(OR($Z992="",$Z992=6),"",WORKDAY($AA992,CHOOSE($Z992,3,3,2,2,3),Holidays))</f>
        <v/>
      </c>
      <c r="AC992" s="17">
        <f>IF(OR($Z992="",$Z992=6),"",CHOOSE($Z992,"1st Email Follow-up","2nd Email Follow-up","Escalate Local Office","Escalate to CBE","Escalate to Roxanne"))</f>
        <v/>
      </c>
    </row>
    <row r="993" spans="13:29">
      <c r="M993" s="14"/>
      <c r="T993" s="16"/>
      <c r="U993" s="17">
        <f>IF(AND(COUNTA($A993:$L993)=0,$N993=""),"",IF($T993="Paid","PAID",IF($T993="Closed","CLOSED",IF($Z993="","",IF($Z993=6,"ESCALATED TO ROXANNE",IF(TODAY()&gt;$AB993,"OVERDUE",IF($AB993&lt;=WORKDAY(TODAY(),1,Holidays),"DUE TOMORROW",IF($Z993=4,"ESCALATED TO LOCAL OFFICE",IF($Z993=5,"ESCALATED TO CBE",IF($AA993=TODAY(),"EMAIL SENT","MONITORING"))))))))))</f>
        <v/>
      </c>
      <c r="V993" s="17">
        <f>IF($U993="",IF(AND(COUNTA($A993:$L993)&gt;0,$N993=""),"Awaiting Collection Email time stamp.",""),IF(OR($U993="PAID",$U993="CLOSED"),IF($U993="PAID","Account paid. Action completed.","Account closed. No further action required."),CHOOSE($Z993,"Collection Email","1st Email Follow-up","2nd Email Follow-up","Escalation to Local Office","Escalation to CBE","Escalation to Roxanne")&amp;" sent "&amp;TEXT($AA993,"dd-mmm")&amp;". "&amp;IF($Z993=6,"Final escalation completed.",IF($U993="OVERDUE","Next: "&amp;$AC993&amp;" was due "&amp;TEXT($AB993,"dd-mmm")&amp;" - "&amp;(NETWORKDAYS($AB993,TODAY(),Holidays)-1)&amp;" business day(s) late. Send now.",IF($U993="DUE TOMORROW","Next: "&amp;$AC993&amp;IF($AB993&lt;=TODAY()," is due TODAY ("," is due next business day (")&amp;TEXT($AB993,"dd-mmm")&amp;").","Next: "&amp;$AC993&amp;" due "&amp;TEXT($AB993,"dd-mmm")&amp;" ("&amp;(NETWORKDAYS(TODAY(),$AB993,Holidays)-1)&amp;" business day(s) left).")))))</f>
        <v/>
      </c>
      <c r="W993" s="17">
        <f>IF($Z993="","",CHOOSE($Z993,"Collection Email","1st Follow-up","2nd Follow-up","Local Office","CBE","Roxanne")&amp;IF($Z993=6," - Final"," - Day "&amp;MAX(0,NETWORKDAYS($AA993,TODAY(),Holidays)-1)&amp;" of "&amp;CHOOSE($Z993,3,3,2,2,3))&amp;" | Total Day "&amp;MAX(0,NETWORKDAYS($N993,TODAY(),Holidays)-1))</f>
        <v/>
      </c>
      <c r="X993" s="18"/>
      <c r="Y993" s="18"/>
      <c r="Z993" s="17">
        <f>IF($N993="","",COUNT($N993:$S993))</f>
        <v/>
      </c>
      <c r="AA993" s="19">
        <f>IF($Z993="","",INT(INDEX($N993:$S993,$Z993)))</f>
        <v/>
      </c>
      <c r="AB993" s="19">
        <f>IF(OR($Z993="",$Z993=6),"",WORKDAY($AA993,CHOOSE($Z993,3,3,2,2,3),Holidays))</f>
        <v/>
      </c>
      <c r="AC993" s="17">
        <f>IF(OR($Z993="",$Z993=6),"",CHOOSE($Z993,"1st Email Follow-up","2nd Email Follow-up","Escalate Local Office","Escalate to CBE","Escalate to Roxanne"))</f>
        <v/>
      </c>
    </row>
    <row r="994" spans="13:29">
      <c r="M994" s="14"/>
      <c r="T994" s="16"/>
      <c r="U994" s="17">
        <f>IF(AND(COUNTA($A994:$L994)=0,$N994=""),"",IF($T994="Paid","PAID",IF($T994="Closed","CLOSED",IF($Z994="","",IF($Z994=6,"ESCALATED TO ROXANNE",IF(TODAY()&gt;$AB994,"OVERDUE",IF($AB994&lt;=WORKDAY(TODAY(),1,Holidays),"DUE TOMORROW",IF($Z994=4,"ESCALATED TO LOCAL OFFICE",IF($Z994=5,"ESCALATED TO CBE",IF($AA994=TODAY(),"EMAIL SENT","MONITORING"))))))))))</f>
        <v/>
      </c>
      <c r="V994" s="17">
        <f>IF($U994="",IF(AND(COUNTA($A994:$L994)&gt;0,$N994=""),"Awaiting Collection Email time stamp.",""),IF(OR($U994="PAID",$U994="CLOSED"),IF($U994="PAID","Account paid. Action completed.","Account closed. No further action required."),CHOOSE($Z994,"Collection Email","1st Email Follow-up","2nd Email Follow-up","Escalation to Local Office","Escalation to CBE","Escalation to Roxanne")&amp;" sent "&amp;TEXT($AA994,"dd-mmm")&amp;". "&amp;IF($Z994=6,"Final escalation completed.",IF($U994="OVERDUE","Next: "&amp;$AC994&amp;" was due "&amp;TEXT($AB994,"dd-mmm")&amp;" - "&amp;(NETWORKDAYS($AB994,TODAY(),Holidays)-1)&amp;" business day(s) late. Send now.",IF($U994="DUE TOMORROW","Next: "&amp;$AC994&amp;IF($AB994&lt;=TODAY()," is due TODAY ("," is due next business day (")&amp;TEXT($AB994,"dd-mmm")&amp;").","Next: "&amp;$AC994&amp;" due "&amp;TEXT($AB994,"dd-mmm")&amp;" ("&amp;(NETWORKDAYS(TODAY(),$AB994,Holidays)-1)&amp;" business day(s) left).")))))</f>
        <v/>
      </c>
      <c r="W994" s="17">
        <f>IF($Z994="","",CHOOSE($Z994,"Collection Email","1st Follow-up","2nd Follow-up","Local Office","CBE","Roxanne")&amp;IF($Z994=6," - Final"," - Day "&amp;MAX(0,NETWORKDAYS($AA994,TODAY(),Holidays)-1)&amp;" of "&amp;CHOOSE($Z994,3,3,2,2,3))&amp;" | Total Day "&amp;MAX(0,NETWORKDAYS($N994,TODAY(),Holidays)-1))</f>
        <v/>
      </c>
      <c r="X994" s="18"/>
      <c r="Y994" s="18"/>
      <c r="Z994" s="17">
        <f>IF($N994="","",COUNT($N994:$S994))</f>
        <v/>
      </c>
      <c r="AA994" s="19">
        <f>IF($Z994="","",INT(INDEX($N994:$S994,$Z994)))</f>
        <v/>
      </c>
      <c r="AB994" s="19">
        <f>IF(OR($Z994="",$Z994=6),"",WORKDAY($AA994,CHOOSE($Z994,3,3,2,2,3),Holidays))</f>
        <v/>
      </c>
      <c r="AC994" s="17">
        <f>IF(OR($Z994="",$Z994=6),"",CHOOSE($Z994,"1st Email Follow-up","2nd Email Follow-up","Escalate Local Office","Escalate to CBE","Escalate to Roxanne"))</f>
        <v/>
      </c>
    </row>
    <row r="995" spans="13:29">
      <c r="M995" s="14"/>
      <c r="T995" s="16"/>
      <c r="U995" s="17">
        <f>IF(AND(COUNTA($A995:$L995)=0,$N995=""),"",IF($T995="Paid","PAID",IF($T995="Closed","CLOSED",IF($Z995="","",IF($Z995=6,"ESCALATED TO ROXANNE",IF(TODAY()&gt;$AB995,"OVERDUE",IF($AB995&lt;=WORKDAY(TODAY(),1,Holidays),"DUE TOMORROW",IF($Z995=4,"ESCALATED TO LOCAL OFFICE",IF($Z995=5,"ESCALATED TO CBE",IF($AA995=TODAY(),"EMAIL SENT","MONITORING"))))))))))</f>
        <v/>
      </c>
      <c r="V995" s="17">
        <f>IF($U995="",IF(AND(COUNTA($A995:$L995)&gt;0,$N995=""),"Awaiting Collection Email time stamp.",""),IF(OR($U995="PAID",$U995="CLOSED"),IF($U995="PAID","Account paid. Action completed.","Account closed. No further action required."),CHOOSE($Z995,"Collection Email","1st Email Follow-up","2nd Email Follow-up","Escalation to Local Office","Escalation to CBE","Escalation to Roxanne")&amp;" sent "&amp;TEXT($AA995,"dd-mmm")&amp;". "&amp;IF($Z995=6,"Final escalation completed.",IF($U995="OVERDUE","Next: "&amp;$AC995&amp;" was due "&amp;TEXT($AB995,"dd-mmm")&amp;" - "&amp;(NETWORKDAYS($AB995,TODAY(),Holidays)-1)&amp;" business day(s) late. Send now.",IF($U995="DUE TOMORROW","Next: "&amp;$AC995&amp;IF($AB995&lt;=TODAY()," is due TODAY ("," is due next business day (")&amp;TEXT($AB995,"dd-mmm")&amp;").","Next: "&amp;$AC995&amp;" due "&amp;TEXT($AB995,"dd-mmm")&amp;" ("&amp;(NETWORKDAYS(TODAY(),$AB995,Holidays)-1)&amp;" business day(s) left).")))))</f>
        <v/>
      </c>
      <c r="W995" s="17">
        <f>IF($Z995="","",CHOOSE($Z995,"Collection Email","1st Follow-up","2nd Follow-up","Local Office","CBE","Roxanne")&amp;IF($Z995=6," - Final"," - Day "&amp;MAX(0,NETWORKDAYS($AA995,TODAY(),Holidays)-1)&amp;" of "&amp;CHOOSE($Z995,3,3,2,2,3))&amp;" | Total Day "&amp;MAX(0,NETWORKDAYS($N995,TODAY(),Holidays)-1))</f>
        <v/>
      </c>
      <c r="X995" s="18"/>
      <c r="Y995" s="18"/>
      <c r="Z995" s="17">
        <f>IF($N995="","",COUNT($N995:$S995))</f>
        <v/>
      </c>
      <c r="AA995" s="19">
        <f>IF($Z995="","",INT(INDEX($N995:$S995,$Z995)))</f>
        <v/>
      </c>
      <c r="AB995" s="19">
        <f>IF(OR($Z995="",$Z995=6),"",WORKDAY($AA995,CHOOSE($Z995,3,3,2,2,3),Holidays))</f>
        <v/>
      </c>
      <c r="AC995" s="17">
        <f>IF(OR($Z995="",$Z995=6),"",CHOOSE($Z995,"1st Email Follow-up","2nd Email Follow-up","Escalate Local Office","Escalate to CBE","Escalate to Roxanne"))</f>
        <v/>
      </c>
    </row>
    <row r="996" spans="13:29">
      <c r="M996" s="14"/>
      <c r="T996" s="16"/>
      <c r="U996" s="17">
        <f>IF(AND(COUNTA($A996:$L996)=0,$N996=""),"",IF($T996="Paid","PAID",IF($T996="Closed","CLOSED",IF($Z996="","",IF($Z996=6,"ESCALATED TO ROXANNE",IF(TODAY()&gt;$AB996,"OVERDUE",IF($AB996&lt;=WORKDAY(TODAY(),1,Holidays),"DUE TOMORROW",IF($Z996=4,"ESCALATED TO LOCAL OFFICE",IF($Z996=5,"ESCALATED TO CBE",IF($AA996=TODAY(),"EMAIL SENT","MONITORING"))))))))))</f>
        <v/>
      </c>
      <c r="V996" s="17">
        <f>IF($U996="",IF(AND(COUNTA($A996:$L996)&gt;0,$N996=""),"Awaiting Collection Email time stamp.",""),IF(OR($U996="PAID",$U996="CLOSED"),IF($U996="PAID","Account paid. Action completed.","Account closed. No further action required."),CHOOSE($Z996,"Collection Email","1st Email Follow-up","2nd Email Follow-up","Escalation to Local Office","Escalation to CBE","Escalation to Roxanne")&amp;" sent "&amp;TEXT($AA996,"dd-mmm")&amp;". "&amp;IF($Z996=6,"Final escalation completed.",IF($U996="OVERDUE","Next: "&amp;$AC996&amp;" was due "&amp;TEXT($AB996,"dd-mmm")&amp;" - "&amp;(NETWORKDAYS($AB996,TODAY(),Holidays)-1)&amp;" business day(s) late. Send now.",IF($U996="DUE TOMORROW","Next: "&amp;$AC996&amp;IF($AB996&lt;=TODAY()," is due TODAY ("," is due next business day (")&amp;TEXT($AB996,"dd-mmm")&amp;").","Next: "&amp;$AC996&amp;" due "&amp;TEXT($AB996,"dd-mmm")&amp;" ("&amp;(NETWORKDAYS(TODAY(),$AB996,Holidays)-1)&amp;" business day(s) left).")))))</f>
        <v/>
      </c>
      <c r="W996" s="17">
        <f>IF($Z996="","",CHOOSE($Z996,"Collection Email","1st Follow-up","2nd Follow-up","Local Office","CBE","Roxanne")&amp;IF($Z996=6," - Final"," - Day "&amp;MAX(0,NETWORKDAYS($AA996,TODAY(),Holidays)-1)&amp;" of "&amp;CHOOSE($Z996,3,3,2,2,3))&amp;" | Total Day "&amp;MAX(0,NETWORKDAYS($N996,TODAY(),Holidays)-1))</f>
        <v/>
      </c>
      <c r="X996" s="18"/>
      <c r="Y996" s="18"/>
      <c r="Z996" s="17">
        <f>IF($N996="","",COUNT($N996:$S996))</f>
        <v/>
      </c>
      <c r="AA996" s="19">
        <f>IF($Z996="","",INT(INDEX($N996:$S996,$Z996)))</f>
        <v/>
      </c>
      <c r="AB996" s="19">
        <f>IF(OR($Z996="",$Z996=6),"",WORKDAY($AA996,CHOOSE($Z996,3,3,2,2,3),Holidays))</f>
        <v/>
      </c>
      <c r="AC996" s="17">
        <f>IF(OR($Z996="",$Z996=6),"",CHOOSE($Z996,"1st Email Follow-up","2nd Email Follow-up","Escalate Local Office","Escalate to CBE","Escalate to Roxanne"))</f>
        <v/>
      </c>
    </row>
    <row r="997" spans="13:29">
      <c r="M997" s="14"/>
      <c r="T997" s="16"/>
      <c r="U997" s="17">
        <f>IF(AND(COUNTA($A997:$L997)=0,$N997=""),"",IF($T997="Paid","PAID",IF($T997="Closed","CLOSED",IF($Z997="","",IF($Z997=6,"ESCALATED TO ROXANNE",IF(TODAY()&gt;$AB997,"OVERDUE",IF($AB997&lt;=WORKDAY(TODAY(),1,Holidays),"DUE TOMORROW",IF($Z997=4,"ESCALATED TO LOCAL OFFICE",IF($Z997=5,"ESCALATED TO CBE",IF($AA997=TODAY(),"EMAIL SENT","MONITORING"))))))))))</f>
        <v/>
      </c>
      <c r="V997" s="17">
        <f>IF($U997="",IF(AND(COUNTA($A997:$L997)&gt;0,$N997=""),"Awaiting Collection Email time stamp.",""),IF(OR($U997="PAID",$U997="CLOSED"),IF($U997="PAID","Account paid. Action completed.","Account closed. No further action required."),CHOOSE($Z997,"Collection Email","1st Email Follow-up","2nd Email Follow-up","Escalation to Local Office","Escalation to CBE","Escalation to Roxanne")&amp;" sent "&amp;TEXT($AA997,"dd-mmm")&amp;". "&amp;IF($Z997=6,"Final escalation completed.",IF($U997="OVERDUE","Next: "&amp;$AC997&amp;" was due "&amp;TEXT($AB997,"dd-mmm")&amp;" - "&amp;(NETWORKDAYS($AB997,TODAY(),Holidays)-1)&amp;" business day(s) late. Send now.",IF($U997="DUE TOMORROW","Next: "&amp;$AC997&amp;IF($AB997&lt;=TODAY()," is due TODAY ("," is due next business day (")&amp;TEXT($AB997,"dd-mmm")&amp;").","Next: "&amp;$AC997&amp;" due "&amp;TEXT($AB997,"dd-mmm")&amp;" ("&amp;(NETWORKDAYS(TODAY(),$AB997,Holidays)-1)&amp;" business day(s) left).")))))</f>
        <v/>
      </c>
      <c r="W997" s="17">
        <f>IF($Z997="","",CHOOSE($Z997,"Collection Email","1st Follow-up","2nd Follow-up","Local Office","CBE","Roxanne")&amp;IF($Z997=6," - Final"," - Day "&amp;MAX(0,NETWORKDAYS($AA997,TODAY(),Holidays)-1)&amp;" of "&amp;CHOOSE($Z997,3,3,2,2,3))&amp;" | Total Day "&amp;MAX(0,NETWORKDAYS($N997,TODAY(),Holidays)-1))</f>
        <v/>
      </c>
      <c r="X997" s="18"/>
      <c r="Y997" s="18"/>
      <c r="Z997" s="17">
        <f>IF($N997="","",COUNT($N997:$S997))</f>
        <v/>
      </c>
      <c r="AA997" s="19">
        <f>IF($Z997="","",INT(INDEX($N997:$S997,$Z997)))</f>
        <v/>
      </c>
      <c r="AB997" s="19">
        <f>IF(OR($Z997="",$Z997=6),"",WORKDAY($AA997,CHOOSE($Z997,3,3,2,2,3),Holidays))</f>
        <v/>
      </c>
      <c r="AC997" s="17">
        <f>IF(OR($Z997="",$Z997=6),"",CHOOSE($Z997,"1st Email Follow-up","2nd Email Follow-up","Escalate Local Office","Escalate to CBE","Escalate to Roxanne"))</f>
        <v/>
      </c>
    </row>
    <row r="998" spans="13:29">
      <c r="M998" s="14"/>
      <c r="T998" s="16"/>
      <c r="U998" s="17">
        <f>IF(AND(COUNTA($A998:$L998)=0,$N998=""),"",IF($T998="Paid","PAID",IF($T998="Closed","CLOSED",IF($Z998="","",IF($Z998=6,"ESCALATED TO ROXANNE",IF(TODAY()&gt;$AB998,"OVERDUE",IF($AB998&lt;=WORKDAY(TODAY(),1,Holidays),"DUE TOMORROW",IF($Z998=4,"ESCALATED TO LOCAL OFFICE",IF($Z998=5,"ESCALATED TO CBE",IF($AA998=TODAY(),"EMAIL SENT","MONITORING"))))))))))</f>
        <v/>
      </c>
      <c r="V998" s="17">
        <f>IF($U998="",IF(AND(COUNTA($A998:$L998)&gt;0,$N998=""),"Awaiting Collection Email time stamp.",""),IF(OR($U998="PAID",$U998="CLOSED"),IF($U998="PAID","Account paid. Action completed.","Account closed. No further action required."),CHOOSE($Z998,"Collection Email","1st Email Follow-up","2nd Email Follow-up","Escalation to Local Office","Escalation to CBE","Escalation to Roxanne")&amp;" sent "&amp;TEXT($AA998,"dd-mmm")&amp;". "&amp;IF($Z998=6,"Final escalation completed.",IF($U998="OVERDUE","Next: "&amp;$AC998&amp;" was due "&amp;TEXT($AB998,"dd-mmm")&amp;" - "&amp;(NETWORKDAYS($AB998,TODAY(),Holidays)-1)&amp;" business day(s) late. Send now.",IF($U998="DUE TOMORROW","Next: "&amp;$AC998&amp;IF($AB998&lt;=TODAY()," is due TODAY ("," is due next business day (")&amp;TEXT($AB998,"dd-mmm")&amp;").","Next: "&amp;$AC998&amp;" due "&amp;TEXT($AB998,"dd-mmm")&amp;" ("&amp;(NETWORKDAYS(TODAY(),$AB998,Holidays)-1)&amp;" business day(s) left).")))))</f>
        <v/>
      </c>
      <c r="W998" s="17">
        <f>IF($Z998="","",CHOOSE($Z998,"Collection Email","1st Follow-up","2nd Follow-up","Local Office","CBE","Roxanne")&amp;IF($Z998=6," - Final"," - Day "&amp;MAX(0,NETWORKDAYS($AA998,TODAY(),Holidays)-1)&amp;" of "&amp;CHOOSE($Z998,3,3,2,2,3))&amp;" | Total Day "&amp;MAX(0,NETWORKDAYS($N998,TODAY(),Holidays)-1))</f>
        <v/>
      </c>
      <c r="X998" s="18"/>
      <c r="Y998" s="18"/>
      <c r="Z998" s="17">
        <f>IF($N998="","",COUNT($N998:$S998))</f>
        <v/>
      </c>
      <c r="AA998" s="19">
        <f>IF($Z998="","",INT(INDEX($N998:$S998,$Z998)))</f>
        <v/>
      </c>
      <c r="AB998" s="19">
        <f>IF(OR($Z998="",$Z998=6),"",WORKDAY($AA998,CHOOSE($Z998,3,3,2,2,3),Holidays))</f>
        <v/>
      </c>
      <c r="AC998" s="17">
        <f>IF(OR($Z998="",$Z998=6),"",CHOOSE($Z998,"1st Email Follow-up","2nd Email Follow-up","Escalate Local Office","Escalate to CBE","Escalate to Roxanne"))</f>
        <v/>
      </c>
    </row>
    <row r="999" spans="13:29">
      <c r="M999" s="14"/>
      <c r="T999" s="16"/>
      <c r="U999" s="17">
        <f>IF(AND(COUNTA($A999:$L999)=0,$N999=""),"",IF($T999="Paid","PAID",IF($T999="Closed","CLOSED",IF($Z999="","",IF($Z999=6,"ESCALATED TO ROXANNE",IF(TODAY()&gt;$AB999,"OVERDUE",IF($AB999&lt;=WORKDAY(TODAY(),1,Holidays),"DUE TOMORROW",IF($Z999=4,"ESCALATED TO LOCAL OFFICE",IF($Z999=5,"ESCALATED TO CBE",IF($AA999=TODAY(),"EMAIL SENT","MONITORING"))))))))))</f>
        <v/>
      </c>
      <c r="V999" s="17">
        <f>IF($U999="",IF(AND(COUNTA($A999:$L999)&gt;0,$N999=""),"Awaiting Collection Email time stamp.",""),IF(OR($U999="PAID",$U999="CLOSED"),IF($U999="PAID","Account paid. Action completed.","Account closed. No further action required."),CHOOSE($Z999,"Collection Email","1st Email Follow-up","2nd Email Follow-up","Escalation to Local Office","Escalation to CBE","Escalation to Roxanne")&amp;" sent "&amp;TEXT($AA999,"dd-mmm")&amp;". "&amp;IF($Z999=6,"Final escalation completed.",IF($U999="OVERDUE","Next: "&amp;$AC999&amp;" was due "&amp;TEXT($AB999,"dd-mmm")&amp;" - "&amp;(NETWORKDAYS($AB999,TODAY(),Holidays)-1)&amp;" business day(s) late. Send now.",IF($U999="DUE TOMORROW","Next: "&amp;$AC999&amp;IF($AB999&lt;=TODAY()," is due TODAY ("," is due next business day (")&amp;TEXT($AB999,"dd-mmm")&amp;").","Next: "&amp;$AC999&amp;" due "&amp;TEXT($AB999,"dd-mmm")&amp;" ("&amp;(NETWORKDAYS(TODAY(),$AB999,Holidays)-1)&amp;" business day(s) left).")))))</f>
        <v/>
      </c>
      <c r="W999" s="17">
        <f>IF($Z999="","",CHOOSE($Z999,"Collection Email","1st Follow-up","2nd Follow-up","Local Office","CBE","Roxanne")&amp;IF($Z999=6," - Final"," - Day "&amp;MAX(0,NETWORKDAYS($AA999,TODAY(),Holidays)-1)&amp;" of "&amp;CHOOSE($Z999,3,3,2,2,3))&amp;" | Total Day "&amp;MAX(0,NETWORKDAYS($N999,TODAY(),Holidays)-1))</f>
        <v/>
      </c>
      <c r="X999" s="18"/>
      <c r="Y999" s="18"/>
      <c r="Z999" s="17">
        <f>IF($N999="","",COUNT($N999:$S999))</f>
        <v/>
      </c>
      <c r="AA999" s="19">
        <f>IF($Z999="","",INT(INDEX($N999:$S999,$Z999)))</f>
        <v/>
      </c>
      <c r="AB999" s="19">
        <f>IF(OR($Z999="",$Z999=6),"",WORKDAY($AA999,CHOOSE($Z999,3,3,2,2,3),Holidays))</f>
        <v/>
      </c>
      <c r="AC999" s="17">
        <f>IF(OR($Z999="",$Z999=6),"",CHOOSE($Z999,"1st Email Follow-up","2nd Email Follow-up","Escalate Local Office","Escalate to CBE","Escalate to Roxanne"))</f>
        <v/>
      </c>
    </row>
    <row r="1000" spans="13:29">
      <c r="M1000" s="14"/>
      <c r="T1000" s="16"/>
      <c r="U1000" s="17">
        <f>IF(AND(COUNTA($A1000:$L1000)=0,$N1000=""),"",IF($T1000="Paid","PAID",IF($T1000="Closed","CLOSED",IF($Z1000="","",IF($Z1000=6,"ESCALATED TO ROXANNE",IF(TODAY()&gt;$AB1000,"OVERDUE",IF($AB1000&lt;=WORKDAY(TODAY(),1,Holidays),"DUE TOMORROW",IF($Z1000=4,"ESCALATED TO LOCAL OFFICE",IF($Z1000=5,"ESCALATED TO CBE",IF($AA1000=TODAY(),"EMAIL SENT","MONITORING"))))))))))</f>
        <v/>
      </c>
      <c r="V1000" s="17">
        <f>IF($U1000="",IF(AND(COUNTA($A1000:$L1000)&gt;0,$N1000=""),"Awaiting Collection Email time stamp.",""),IF(OR($U1000="PAID",$U1000="CLOSED"),IF($U1000="PAID","Account paid. Action completed.","Account closed. No further action required."),CHOOSE($Z1000,"Collection Email","1st Email Follow-up","2nd Email Follow-up","Escalation to Local Office","Escalation to CBE","Escalation to Roxanne")&amp;" sent "&amp;TEXT($AA1000,"dd-mmm")&amp;". "&amp;IF($Z1000=6,"Final escalation completed.",IF($U1000="OVERDUE","Next: "&amp;$AC1000&amp;" was due "&amp;TEXT($AB1000,"dd-mmm")&amp;" - "&amp;(NETWORKDAYS($AB1000,TODAY(),Holidays)-1)&amp;" business day(s) late. Send now.",IF($U1000="DUE TOMORROW","Next: "&amp;$AC1000&amp;IF($AB1000&lt;=TODAY()," is due TODAY ("," is due next business day (")&amp;TEXT($AB1000,"dd-mmm")&amp;").","Next: "&amp;$AC1000&amp;" due "&amp;TEXT($AB1000,"dd-mmm")&amp;" ("&amp;(NETWORKDAYS(TODAY(),$AB1000,Holidays)-1)&amp;" business day(s) left).")))))</f>
        <v/>
      </c>
      <c r="W1000" s="17">
        <f>IF($Z1000="","",CHOOSE($Z1000,"Collection Email","1st Follow-up","2nd Follow-up","Local Office","CBE","Roxanne")&amp;IF($Z1000=6," - Final"," - Day "&amp;MAX(0,NETWORKDAYS($AA1000,TODAY(),Holidays)-1)&amp;" of "&amp;CHOOSE($Z1000,3,3,2,2,3))&amp;" | Total Day "&amp;MAX(0,NETWORKDAYS($N1000,TODAY(),Holidays)-1))</f>
        <v/>
      </c>
      <c r="X1000" s="18"/>
      <c r="Y1000" s="18"/>
      <c r="Z1000" s="17">
        <f>IF($N1000="","",COUNT($N1000:$S1000))</f>
        <v/>
      </c>
      <c r="AA1000" s="19">
        <f>IF($Z1000="","",INT(INDEX($N1000:$S1000,$Z1000)))</f>
        <v/>
      </c>
      <c r="AB1000" s="19">
        <f>IF(OR($Z1000="",$Z1000=6),"",WORKDAY($AA1000,CHOOSE($Z1000,3,3,2,2,3),Holidays))</f>
        <v/>
      </c>
      <c r="AC1000" s="17">
        <f>IF(OR($Z1000="",$Z1000=6),"",CHOOSE($Z1000,"1st Email Follow-up","2nd Email Follow-up","Escalate Local Office","Escalate to CBE","Escalate to Roxanne"))</f>
        <v/>
      </c>
    </row>
    <row r="1001" spans="13:29">
      <c r="M1001" s="14"/>
      <c r="T1001" s="16"/>
      <c r="U1001" s="17">
        <f>IF(AND(COUNTA($A1001:$L1001)=0,$N1001=""),"",IF($T1001="Paid","PAID",IF($T1001="Closed","CLOSED",IF($Z1001="","",IF($Z1001=6,"ESCALATED TO ROXANNE",IF(TODAY()&gt;$AB1001,"OVERDUE",IF($AB1001&lt;=WORKDAY(TODAY(),1,Holidays),"DUE TOMORROW",IF($Z1001=4,"ESCALATED TO LOCAL OFFICE",IF($Z1001=5,"ESCALATED TO CBE",IF($AA1001=TODAY(),"EMAIL SENT","MONITORING"))))))))))</f>
        <v/>
      </c>
      <c r="V1001" s="17">
        <f>IF($U1001="",IF(AND(COUNTA($A1001:$L1001)&gt;0,$N1001=""),"Awaiting Collection Email time stamp.",""),IF(OR($U1001="PAID",$U1001="CLOSED"),IF($U1001="PAID","Account paid. Action completed.","Account closed. No further action required."),CHOOSE($Z1001,"Collection Email","1st Email Follow-up","2nd Email Follow-up","Escalation to Local Office","Escalation to CBE","Escalation to Roxanne")&amp;" sent "&amp;TEXT($AA1001,"dd-mmm")&amp;". "&amp;IF($Z1001=6,"Final escalation completed.",IF($U1001="OVERDUE","Next: "&amp;$AC1001&amp;" was due "&amp;TEXT($AB1001,"dd-mmm")&amp;" - "&amp;(NETWORKDAYS($AB1001,TODAY(),Holidays)-1)&amp;" business day(s) late. Send now.",IF($U1001="DUE TOMORROW","Next: "&amp;$AC1001&amp;IF($AB1001&lt;=TODAY()," is due TODAY ("," is due next business day (")&amp;TEXT($AB1001,"dd-mmm")&amp;").","Next: "&amp;$AC1001&amp;" due "&amp;TEXT($AB1001,"dd-mmm")&amp;" ("&amp;(NETWORKDAYS(TODAY(),$AB1001,Holidays)-1)&amp;" business day(s) left).")))))</f>
        <v/>
      </c>
      <c r="W1001" s="17">
        <f>IF($Z1001="","",CHOOSE($Z1001,"Collection Email","1st Follow-up","2nd Follow-up","Local Office","CBE","Roxanne")&amp;IF($Z1001=6," - Final"," - Day "&amp;MAX(0,NETWORKDAYS($AA1001,TODAY(),Holidays)-1)&amp;" of "&amp;CHOOSE($Z1001,3,3,2,2,3))&amp;" | Total Day "&amp;MAX(0,NETWORKDAYS($N1001,TODAY(),Holidays)-1))</f>
        <v/>
      </c>
      <c r="X1001" s="18"/>
      <c r="Y1001" s="18"/>
      <c r="Z1001" s="17">
        <f>IF($N1001="","",COUNT($N1001:$S1001))</f>
        <v/>
      </c>
      <c r="AA1001" s="19">
        <f>IF($Z1001="","",INT(INDEX($N1001:$S1001,$Z1001)))</f>
        <v/>
      </c>
      <c r="AB1001" s="19">
        <f>IF(OR($Z1001="",$Z1001=6),"",WORKDAY($AA1001,CHOOSE($Z1001,3,3,2,2,3),Holidays))</f>
        <v/>
      </c>
      <c r="AC1001" s="17">
        <f>IF(OR($Z1001="",$Z1001=6),"",CHOOSE($Z1001,"1st Email Follow-up","2nd Email Follow-up","Escalate Local Office","Escalate to CBE","Escalate to Roxanne"))</f>
        <v/>
      </c>
    </row>
    <row r="1002" spans="13:29">
      <c r="M1002" s="14"/>
      <c r="T1002" s="16"/>
      <c r="U1002" s="17">
        <f>IF(AND(COUNTA($A1002:$L1002)=0,$N1002=""),"",IF($T1002="Paid","PAID",IF($T1002="Closed","CLOSED",IF($Z1002="","",IF($Z1002=6,"ESCALATED TO ROXANNE",IF(TODAY()&gt;$AB1002,"OVERDUE",IF($AB1002&lt;=WORKDAY(TODAY(),1,Holidays),"DUE TOMORROW",IF($Z1002=4,"ESCALATED TO LOCAL OFFICE",IF($Z1002=5,"ESCALATED TO CBE",IF($AA1002=TODAY(),"EMAIL SENT","MONITORING"))))))))))</f>
        <v/>
      </c>
      <c r="V1002" s="17">
        <f>IF($U1002="",IF(AND(COUNTA($A1002:$L1002)&gt;0,$N1002=""),"Awaiting Collection Email time stamp.",""),IF(OR($U1002="PAID",$U1002="CLOSED"),IF($U1002="PAID","Account paid. Action completed.","Account closed. No further action required."),CHOOSE($Z1002,"Collection Email","1st Email Follow-up","2nd Email Follow-up","Escalation to Local Office","Escalation to CBE","Escalation to Roxanne")&amp;" sent "&amp;TEXT($AA1002,"dd-mmm")&amp;". "&amp;IF($Z1002=6,"Final escalation completed.",IF($U1002="OVERDUE","Next: "&amp;$AC1002&amp;" was due "&amp;TEXT($AB1002,"dd-mmm")&amp;" - "&amp;(NETWORKDAYS($AB1002,TODAY(),Holidays)-1)&amp;" business day(s) late. Send now.",IF($U1002="DUE TOMORROW","Next: "&amp;$AC1002&amp;IF($AB1002&lt;=TODAY()," is due TODAY ("," is due next business day (")&amp;TEXT($AB1002,"dd-mmm")&amp;").","Next: "&amp;$AC1002&amp;" due "&amp;TEXT($AB1002,"dd-mmm")&amp;" ("&amp;(NETWORKDAYS(TODAY(),$AB1002,Holidays)-1)&amp;" business day(s) left).")))))</f>
        <v/>
      </c>
      <c r="W1002" s="17">
        <f>IF($Z1002="","",CHOOSE($Z1002,"Collection Email","1st Follow-up","2nd Follow-up","Local Office","CBE","Roxanne")&amp;IF($Z1002=6," - Final"," - Day "&amp;MAX(0,NETWORKDAYS($AA1002,TODAY(),Holidays)-1)&amp;" of "&amp;CHOOSE($Z1002,3,3,2,2,3))&amp;" | Total Day "&amp;MAX(0,NETWORKDAYS($N1002,TODAY(),Holidays)-1))</f>
        <v/>
      </c>
      <c r="X1002" s="18"/>
      <c r="Y1002" s="18"/>
      <c r="Z1002" s="17">
        <f>IF($N1002="","",COUNT($N1002:$S1002))</f>
        <v/>
      </c>
      <c r="AA1002" s="19">
        <f>IF($Z1002="","",INT(INDEX($N1002:$S1002,$Z1002)))</f>
        <v/>
      </c>
      <c r="AB1002" s="19">
        <f>IF(OR($Z1002="",$Z1002=6),"",WORKDAY($AA1002,CHOOSE($Z1002,3,3,2,2,3),Holidays))</f>
        <v/>
      </c>
      <c r="AC1002" s="17">
        <f>IF(OR($Z1002="",$Z1002=6),"",CHOOSE($Z1002,"1st Email Follow-up","2nd Email Follow-up","Escalate Local Office","Escalate to CBE","Escalate to Roxanne"))</f>
        <v/>
      </c>
    </row>
    <row r="1003" spans="13:29">
      <c r="M1003" s="14"/>
      <c r="T1003" s="16"/>
      <c r="U1003" s="17">
        <f>IF(AND(COUNTA($A1003:$L1003)=0,$N1003=""),"",IF($T1003="Paid","PAID",IF($T1003="Closed","CLOSED",IF($Z1003="","",IF($Z1003=6,"ESCALATED TO ROXANNE",IF(TODAY()&gt;$AB1003,"OVERDUE",IF($AB1003&lt;=WORKDAY(TODAY(),1,Holidays),"DUE TOMORROW",IF($Z1003=4,"ESCALATED TO LOCAL OFFICE",IF($Z1003=5,"ESCALATED TO CBE",IF($AA1003=TODAY(),"EMAIL SENT","MONITORING"))))))))))</f>
        <v/>
      </c>
      <c r="V1003" s="17">
        <f>IF($U1003="",IF(AND(COUNTA($A1003:$L1003)&gt;0,$N1003=""),"Awaiting Collection Email time stamp.",""),IF(OR($U1003="PAID",$U1003="CLOSED"),IF($U1003="PAID","Account paid. Action completed.","Account closed. No further action required."),CHOOSE($Z1003,"Collection Email","1st Email Follow-up","2nd Email Follow-up","Escalation to Local Office","Escalation to CBE","Escalation to Roxanne")&amp;" sent "&amp;TEXT($AA1003,"dd-mmm")&amp;". "&amp;IF($Z1003=6,"Final escalation completed.",IF($U1003="OVERDUE","Next: "&amp;$AC1003&amp;" was due "&amp;TEXT($AB1003,"dd-mmm")&amp;" - "&amp;(NETWORKDAYS($AB1003,TODAY(),Holidays)-1)&amp;" business day(s) late. Send now.",IF($U1003="DUE TOMORROW","Next: "&amp;$AC1003&amp;IF($AB1003&lt;=TODAY()," is due TODAY ("," is due next business day (")&amp;TEXT($AB1003,"dd-mmm")&amp;").","Next: "&amp;$AC1003&amp;" due "&amp;TEXT($AB1003,"dd-mmm")&amp;" ("&amp;(NETWORKDAYS(TODAY(),$AB1003,Holidays)-1)&amp;" business day(s) left).")))))</f>
        <v/>
      </c>
      <c r="W1003" s="17">
        <f>IF($Z1003="","",CHOOSE($Z1003,"Collection Email","1st Follow-up","2nd Follow-up","Local Office","CBE","Roxanne")&amp;IF($Z1003=6," - Final"," - Day "&amp;MAX(0,NETWORKDAYS($AA1003,TODAY(),Holidays)-1)&amp;" of "&amp;CHOOSE($Z1003,3,3,2,2,3))&amp;" | Total Day "&amp;MAX(0,NETWORKDAYS($N1003,TODAY(),Holidays)-1))</f>
        <v/>
      </c>
      <c r="X1003" s="18"/>
      <c r="Y1003" s="18"/>
      <c r="Z1003" s="17">
        <f>IF($N1003="","",COUNT($N1003:$S1003))</f>
        <v/>
      </c>
      <c r="AA1003" s="19">
        <f>IF($Z1003="","",INT(INDEX($N1003:$S1003,$Z1003)))</f>
        <v/>
      </c>
      <c r="AB1003" s="19">
        <f>IF(OR($Z1003="",$Z1003=6),"",WORKDAY($AA1003,CHOOSE($Z1003,3,3,2,2,3),Holidays))</f>
        <v/>
      </c>
      <c r="AC1003" s="17">
        <f>IF(OR($Z1003="",$Z1003=6),"",CHOOSE($Z1003,"1st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U4:V1003">
    <cfRule type="expression" dxfId="0" priority="1" stopIfTrue="1">
      <formula>$U4="PAID"</formula>
    </cfRule>
    <cfRule type="expression" dxfId="0" priority="2" stopIfTrue="1">
      <formula>$U4="CLOSED"</formula>
    </cfRule>
    <cfRule type="expression" dxfId="0" priority="3" stopIfTrue="1">
      <formula>$U4="EMAIL SENT"</formula>
    </cfRule>
    <cfRule type="expression" dxfId="1" priority="4" stopIfTrue="1">
      <formula>$U4="DUE TOMORROW"</formula>
    </cfRule>
    <cfRule type="expression" dxfId="2" priority="5" stopIfTrue="1">
      <formula>$U4="OVERDUE"</formula>
    </cfRule>
    <cfRule type="expression" dxfId="3" priority="6" stopIfTrue="1">
      <formula>$U4="ESCALATED TO LOCAL OFFICE"</formula>
    </cfRule>
    <cfRule type="expression" dxfId="3" priority="7" stopIfTrue="1">
      <formula>$U4="ESCALATED TO CBE"</formula>
    </cfRule>
    <cfRule type="expression" dxfId="4" priority="8" stopIfTrue="1">
      <formula>$U4="ESCALATED TO ROXANNE"</formula>
    </cfRule>
    <cfRule type="expression" dxfId="5" priority="9" stopIfTrue="1">
      <formula>$U4="MONITORING"</formula>
    </cfRule>
  </conditionalFormatting>
  <dataValidations count="2">
    <dataValidation type="list" allowBlank="1" showInputMessage="1" showErrorMessage="1" errorTitle="Resolution" error="Choose Paid or Closed from the list, or leave blank." sqref="T4:T1003">
      <formula1>"Paid,Closed"</formula1>
    </dataValidation>
    <dataValidation type="list" allowBlank="1" showInputMessage="1" showErrorMessage="1" errorTitle="Invoice Receive" error="Choose Yes or No from the list, or leave blank." sqref="M4:M1003">
      <formula1>"Yes,No"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C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11" customWidth="1"/>
    <col min="2" max="2" width="14.7109375" style="11" customWidth="1"/>
    <col min="3" max="3" width="34.7109375" style="11" customWidth="1"/>
    <col min="4" max="4" width="18.7109375" style="11" customWidth="1"/>
    <col min="5" max="6" width="11.7109375" style="12" customWidth="1"/>
    <col min="7" max="7" width="7.7109375" style="11" customWidth="1"/>
    <col min="8" max="8" width="34.7109375" style="11" customWidth="1"/>
    <col min="9" max="9" width="6.7109375" style="11" customWidth="1"/>
    <col min="10" max="10" width="14.7109375" style="13" customWidth="1"/>
    <col min="11" max="11" width="16.7109375" style="13" customWidth="1"/>
    <col min="12" max="12" width="16.7109375" style="11" customWidth="1"/>
    <col min="13" max="13" width="12.7109375" style="14" customWidth="1"/>
    <col min="14" max="14" width="15.7109375" style="15" customWidth="1"/>
    <col min="15" max="16" width="16.7109375" style="15" customWidth="1"/>
    <col min="17" max="18" width="18.7109375" style="15" customWidth="1"/>
    <col min="19" max="19" width="20.7109375" style="15" customWidth="1"/>
    <col min="20" max="20" width="14.7109375" style="16" customWidth="1"/>
    <col min="21" max="21" width="26.7109375" style="17" customWidth="1"/>
    <col min="22" max="22" width="70.7109375" style="17" customWidth="1"/>
    <col min="23" max="23" width="34.7109375" style="17" customWidth="1"/>
    <col min="24" max="25" width="40.7109375" style="18" customWidth="1"/>
    <col min="26" max="26" width="8.7109375" style="17" hidden="1" customWidth="1"/>
    <col min="27" max="28" width="12.7109375" style="19" hidden="1" customWidth="1"/>
    <col min="29" max="29" width="22.7109375" style="17" hidden="1" customWidth="1"/>
  </cols>
  <sheetData>
    <row r="1" spans="1:29" ht="30" customHeight="1"/>
    <row r="2" spans="1:29">
      <c r="O2" s="20" t="s">
        <v>0</v>
      </c>
      <c r="P2" s="20" t="s">
        <v>0</v>
      </c>
      <c r="Q2" s="20" t="s">
        <v>1</v>
      </c>
      <c r="R2" s="20" t="s">
        <v>1</v>
      </c>
      <c r="S2" s="20" t="s">
        <v>0</v>
      </c>
    </row>
    <row r="3" spans="1:29" ht="32" customHeight="1">
      <c r="A3" s="21" t="s">
        <v>2</v>
      </c>
      <c r="B3" s="21" t="s">
        <v>3</v>
      </c>
      <c r="C3" s="21" t="s">
        <v>4</v>
      </c>
      <c r="D3" s="21" t="s">
        <v>5</v>
      </c>
      <c r="E3" s="21" t="s">
        <v>6</v>
      </c>
      <c r="F3" s="21" t="s">
        <v>7</v>
      </c>
      <c r="G3" s="21" t="s">
        <v>8</v>
      </c>
      <c r="H3" s="21" t="s">
        <v>9</v>
      </c>
      <c r="I3" s="21" t="s">
        <v>10</v>
      </c>
      <c r="J3" s="21" t="s">
        <v>11</v>
      </c>
      <c r="K3" s="21" t="s">
        <v>12</v>
      </c>
      <c r="L3" s="21" t="s">
        <v>13</v>
      </c>
      <c r="M3" s="22" t="s">
        <v>14</v>
      </c>
      <c r="N3" s="23" t="s">
        <v>15</v>
      </c>
      <c r="O3" s="23" t="s">
        <v>16</v>
      </c>
      <c r="P3" s="23" t="s">
        <v>17</v>
      </c>
      <c r="Q3" s="23" t="s">
        <v>18</v>
      </c>
      <c r="R3" s="23" t="s">
        <v>19</v>
      </c>
      <c r="S3" s="23" t="s">
        <v>20</v>
      </c>
      <c r="T3" s="22" t="s">
        <v>21</v>
      </c>
      <c r="U3" s="21" t="s">
        <v>22</v>
      </c>
      <c r="V3" s="21" t="s">
        <v>23</v>
      </c>
      <c r="W3" s="21" t="s">
        <v>24</v>
      </c>
      <c r="X3" s="22" t="s">
        <v>25</v>
      </c>
      <c r="Y3" s="22" t="s">
        <v>26</v>
      </c>
      <c r="Z3" s="21" t="s">
        <v>27</v>
      </c>
      <c r="AA3" s="21" t="s">
        <v>28</v>
      </c>
      <c r="AB3" s="21" t="s">
        <v>29</v>
      </c>
      <c r="AC3" s="21" t="s">
        <v>30</v>
      </c>
    </row>
    <row r="4" spans="1:29">
      <c r="M4" s="14"/>
      <c r="T4" s="16"/>
      <c r="U4" s="17">
        <f>IF(AND(COUNTA($A4:$L4)=0,$N4=""),"",IF($T4="Paid","PAID",IF($T4="Closed","CLOSED",IF($Z4="","",IF($Z4=6,"ESCALATED TO ROXANNE",IF(TODAY()&gt;$AB4,"OVERDUE",IF($AB4&lt;=WORKDAY(TODAY(),1,Holidays),"DUE TOMORROW",IF($Z4=4,"ESCALATED TO LOCAL OFFICE",IF($Z4=5,"ESCALATED TO CBE",IF($AA4=TODAY(),"EMAIL SENT","MONITORING"))))))))))</f>
        <v/>
      </c>
      <c r="V4" s="17">
        <f>IF($U4="",IF(AND(COUNTA($A4:$L4)&gt;0,$N4=""),"Awaiting Collection Email time stamp.",""),IF(OR($U4="PAID",$U4="CLOSED"),IF($U4="PAID","Account paid. Action completed.","Account closed. No further action required."),CHOOSE($Z4,"Collection Email","1st Email Follow-up","2nd Email Follow-up","Escalation to Local Office","Escalation to CBE","Escalation to Roxanne")&amp;" sent "&amp;TEXT($AA4,"dd-mmm")&amp;". "&amp;IF($Z4=6,"Final escalation completed.",IF($U4="OVERDUE","Next: "&amp;$AC4&amp;" was due "&amp;TEXT($AB4,"dd-mmm")&amp;" - "&amp;(NETWORKDAYS($AB4,TODAY(),Holidays)-1)&amp;" business day(s) late. Send now.",IF($U4="DUE TOMORROW","Next: "&amp;$AC4&amp;IF($AB4&lt;=TODAY()," is due TODAY ("," is due next business day (")&amp;TEXT($AB4,"dd-mmm")&amp;").","Next: "&amp;$AC4&amp;" due "&amp;TEXT($AB4,"dd-mmm")&amp;" ("&amp;(NETWORKDAYS(TODAY(),$AB4,Holidays)-1)&amp;" business day(s) left).")))))</f>
        <v/>
      </c>
      <c r="W4" s="17">
        <f>IF($Z4="","",CHOOSE($Z4,"Collection Email","1st Follow-up","2nd Follow-up","Local Office","CBE","Roxanne")&amp;IF($Z4=6," - Final"," - Day "&amp;MAX(0,NETWORKDAYS($AA4,TODAY(),Holidays)-1)&amp;" of "&amp;CHOOSE($Z4,3,3,2,2,3))&amp;" | Total Day "&amp;MAX(0,NETWORKDAYS($N4,TODAY(),Holidays)-1))</f>
        <v/>
      </c>
      <c r="X4" s="18"/>
      <c r="Y4" s="18"/>
      <c r="Z4" s="17">
        <f>IF($N4="","",COUNT($N4:$S4))</f>
        <v/>
      </c>
      <c r="AA4" s="19">
        <f>IF($Z4="","",INT(INDEX($N4:$S4,$Z4)))</f>
        <v/>
      </c>
      <c r="AB4" s="19">
        <f>IF(OR($Z4="",$Z4=6),"",WORKDAY($AA4,CHOOSE($Z4,3,3,2,2,3),Holidays))</f>
        <v/>
      </c>
      <c r="AC4" s="17">
        <f>IF(OR($Z4="",$Z4=6),"",CHOOSE($Z4,"1st Email Follow-up","2nd Email Follow-up","Escalate Local Office","Escalate to CBE","Escalate to Roxanne"))</f>
        <v/>
      </c>
    </row>
    <row r="5" spans="1:29">
      <c r="M5" s="14"/>
      <c r="T5" s="16"/>
      <c r="U5" s="17">
        <f>IF(AND(COUNTA($A5:$L5)=0,$N5=""),"",IF($T5="Paid","PAID",IF($T5="Closed","CLOSED",IF($Z5="","",IF($Z5=6,"ESCALATED TO ROXANNE",IF(TODAY()&gt;$AB5,"OVERDUE",IF($AB5&lt;=WORKDAY(TODAY(),1,Holidays),"DUE TOMORROW",IF($Z5=4,"ESCALATED TO LOCAL OFFICE",IF($Z5=5,"ESCALATED TO CBE",IF($AA5=TODAY(),"EMAIL SENT","MONITORING"))))))))))</f>
        <v/>
      </c>
      <c r="V5" s="17">
        <f>IF($U5="",IF(AND(COUNTA($A5:$L5)&gt;0,$N5=""),"Awaiting Collection Email time stamp.",""),IF(OR($U5="PAID",$U5="CLOSED"),IF($U5="PAID","Account paid. Action completed.","Account closed. No further action required."),CHOOSE($Z5,"Collection Email","1st Email Follow-up","2nd Email Follow-up","Escalation to Local Office","Escalation to CBE","Escalation to Roxanne")&amp;" sent "&amp;TEXT($AA5,"dd-mmm")&amp;". "&amp;IF($Z5=6,"Final escalation completed.",IF($U5="OVERDUE","Next: "&amp;$AC5&amp;" was due "&amp;TEXT($AB5,"dd-mmm")&amp;" - "&amp;(NETWORKDAYS($AB5,TODAY(),Holidays)-1)&amp;" business day(s) late. Send now.",IF($U5="DUE TOMORROW","Next: "&amp;$AC5&amp;IF($AB5&lt;=TODAY()," is due TODAY ("," is due next business day (")&amp;TEXT($AB5,"dd-mmm")&amp;").","Next: "&amp;$AC5&amp;" due "&amp;TEXT($AB5,"dd-mmm")&amp;" ("&amp;(NETWORKDAYS(TODAY(),$AB5,Holidays)-1)&amp;" business day(s) left).")))))</f>
        <v/>
      </c>
      <c r="W5" s="17">
        <f>IF($Z5="","",CHOOSE($Z5,"Collection Email","1st Follow-up","2nd Follow-up","Local Office","CBE","Roxanne")&amp;IF($Z5=6," - Final"," - Day "&amp;MAX(0,NETWORKDAYS($AA5,TODAY(),Holidays)-1)&amp;" of "&amp;CHOOSE($Z5,3,3,2,2,3))&amp;" | Total Day "&amp;MAX(0,NETWORKDAYS($N5,TODAY(),Holidays)-1))</f>
        <v/>
      </c>
      <c r="X5" s="18"/>
      <c r="Y5" s="18"/>
      <c r="Z5" s="17">
        <f>IF($N5="","",COUNT($N5:$S5))</f>
        <v/>
      </c>
      <c r="AA5" s="19">
        <f>IF($Z5="","",INT(INDEX($N5:$S5,$Z5)))</f>
        <v/>
      </c>
      <c r="AB5" s="19">
        <f>IF(OR($Z5="",$Z5=6),"",WORKDAY($AA5,CHOOSE($Z5,3,3,2,2,3),Holidays))</f>
        <v/>
      </c>
      <c r="AC5" s="17">
        <f>IF(OR($Z5="",$Z5=6),"",CHOOSE($Z5,"1st Email Follow-up","2nd Email Follow-up","Escalate Local Office","Escalate to CBE","Escalate to Roxanne"))</f>
        <v/>
      </c>
    </row>
    <row r="6" spans="1:29">
      <c r="M6" s="14"/>
      <c r="T6" s="16"/>
      <c r="U6" s="17">
        <f>IF(AND(COUNTA($A6:$L6)=0,$N6=""),"",IF($T6="Paid","PAID",IF($T6="Closed","CLOSED",IF($Z6="","",IF($Z6=6,"ESCALATED TO ROXANNE",IF(TODAY()&gt;$AB6,"OVERDUE",IF($AB6&lt;=WORKDAY(TODAY(),1,Holidays),"DUE TOMORROW",IF($Z6=4,"ESCALATED TO LOCAL OFFICE",IF($Z6=5,"ESCALATED TO CBE",IF($AA6=TODAY(),"EMAIL SENT","MONITORING"))))))))))</f>
        <v/>
      </c>
      <c r="V6" s="17">
        <f>IF($U6="",IF(AND(COUNTA($A6:$L6)&gt;0,$N6=""),"Awaiting Collection Email time stamp.",""),IF(OR($U6="PAID",$U6="CLOSED"),IF($U6="PAID","Account paid. Action completed.","Account closed. No further action required."),CHOOSE($Z6,"Collection Email","1st Email Follow-up","2nd Email Follow-up","Escalation to Local Office","Escalation to CBE","Escalation to Roxanne")&amp;" sent "&amp;TEXT($AA6,"dd-mmm")&amp;". "&amp;IF($Z6=6,"Final escalation completed.",IF($U6="OVERDUE","Next: "&amp;$AC6&amp;" was due "&amp;TEXT($AB6,"dd-mmm")&amp;" - "&amp;(NETWORKDAYS($AB6,TODAY(),Holidays)-1)&amp;" business day(s) late. Send now.",IF($U6="DUE TOMORROW","Next: "&amp;$AC6&amp;IF($AB6&lt;=TODAY()," is due TODAY ("," is due next business day (")&amp;TEXT($AB6,"dd-mmm")&amp;").","Next: "&amp;$AC6&amp;" due "&amp;TEXT($AB6,"dd-mmm")&amp;" ("&amp;(NETWORKDAYS(TODAY(),$AB6,Holidays)-1)&amp;" business day(s) left).")))))</f>
        <v/>
      </c>
      <c r="W6" s="17">
        <f>IF($Z6="","",CHOOSE($Z6,"Collection Email","1st Follow-up","2nd Follow-up","Local Office","CBE","Roxanne")&amp;IF($Z6=6," - Final"," - Day "&amp;MAX(0,NETWORKDAYS($AA6,TODAY(),Holidays)-1)&amp;" of "&amp;CHOOSE($Z6,3,3,2,2,3))&amp;" | Total Day "&amp;MAX(0,NETWORKDAYS($N6,TODAY(),Holidays)-1))</f>
        <v/>
      </c>
      <c r="X6" s="18"/>
      <c r="Y6" s="18"/>
      <c r="Z6" s="17">
        <f>IF($N6="","",COUNT($N6:$S6))</f>
        <v/>
      </c>
      <c r="AA6" s="19">
        <f>IF($Z6="","",INT(INDEX($N6:$S6,$Z6)))</f>
        <v/>
      </c>
      <c r="AB6" s="19">
        <f>IF(OR($Z6="",$Z6=6),"",WORKDAY($AA6,CHOOSE($Z6,3,3,2,2,3),Holidays))</f>
        <v/>
      </c>
      <c r="AC6" s="17">
        <f>IF(OR($Z6="",$Z6=6),"",CHOOSE($Z6,"1st Email Follow-up","2nd Email Follow-up","Escalate Local Office","Escalate to CBE","Escalate to Roxanne"))</f>
        <v/>
      </c>
    </row>
    <row r="7" spans="1:29">
      <c r="M7" s="14"/>
      <c r="T7" s="16"/>
      <c r="U7" s="17">
        <f>IF(AND(COUNTA($A7:$L7)=0,$N7=""),"",IF($T7="Paid","PAID",IF($T7="Closed","CLOSED",IF($Z7="","",IF($Z7=6,"ESCALATED TO ROXANNE",IF(TODAY()&gt;$AB7,"OVERDUE",IF($AB7&lt;=WORKDAY(TODAY(),1,Holidays),"DUE TOMORROW",IF($Z7=4,"ESCALATED TO LOCAL OFFICE",IF($Z7=5,"ESCALATED TO CBE",IF($AA7=TODAY(),"EMAIL SENT","MONITORING"))))))))))</f>
        <v/>
      </c>
      <c r="V7" s="17">
        <f>IF($U7="",IF(AND(COUNTA($A7:$L7)&gt;0,$N7=""),"Awaiting Collection Email time stamp.",""),IF(OR($U7="PAID",$U7="CLOSED"),IF($U7="PAID","Account paid. Action completed.","Account closed. No further action required."),CHOOSE($Z7,"Collection Email","1st Email Follow-up","2nd Email Follow-up","Escalation to Local Office","Escalation to CBE","Escalation to Roxanne")&amp;" sent "&amp;TEXT($AA7,"dd-mmm")&amp;". "&amp;IF($Z7=6,"Final escalation completed.",IF($U7="OVERDUE","Next: "&amp;$AC7&amp;" was due "&amp;TEXT($AB7,"dd-mmm")&amp;" - "&amp;(NETWORKDAYS($AB7,TODAY(),Holidays)-1)&amp;" business day(s) late. Send now.",IF($U7="DUE TOMORROW","Next: "&amp;$AC7&amp;IF($AB7&lt;=TODAY()," is due TODAY ("," is due next business day (")&amp;TEXT($AB7,"dd-mmm")&amp;").","Next: "&amp;$AC7&amp;" due "&amp;TEXT($AB7,"dd-mmm")&amp;" ("&amp;(NETWORKDAYS(TODAY(),$AB7,Holidays)-1)&amp;" business day(s) left).")))))</f>
        <v/>
      </c>
      <c r="W7" s="17">
        <f>IF($Z7="","",CHOOSE($Z7,"Collection Email","1st Follow-up","2nd Follow-up","Local Office","CBE","Roxanne")&amp;IF($Z7=6," - Final"," - Day "&amp;MAX(0,NETWORKDAYS($AA7,TODAY(),Holidays)-1)&amp;" of "&amp;CHOOSE($Z7,3,3,2,2,3))&amp;" | Total Day "&amp;MAX(0,NETWORKDAYS($N7,TODAY(),Holidays)-1))</f>
        <v/>
      </c>
      <c r="X7" s="18"/>
      <c r="Y7" s="18"/>
      <c r="Z7" s="17">
        <f>IF($N7="","",COUNT($N7:$S7))</f>
        <v/>
      </c>
      <c r="AA7" s="19">
        <f>IF($Z7="","",INT(INDEX($N7:$S7,$Z7)))</f>
        <v/>
      </c>
      <c r="AB7" s="19">
        <f>IF(OR($Z7="",$Z7=6),"",WORKDAY($AA7,CHOOSE($Z7,3,3,2,2,3),Holidays))</f>
        <v/>
      </c>
      <c r="AC7" s="17">
        <f>IF(OR($Z7="",$Z7=6),"",CHOOSE($Z7,"1st Email Follow-up","2nd Email Follow-up","Escalate Local Office","Escalate to CBE","Escalate to Roxanne"))</f>
        <v/>
      </c>
    </row>
    <row r="8" spans="1:29">
      <c r="M8" s="14"/>
      <c r="T8" s="16"/>
      <c r="U8" s="17">
        <f>IF(AND(COUNTA($A8:$L8)=0,$N8=""),"",IF($T8="Paid","PAID",IF($T8="Closed","CLOSED",IF($Z8="","",IF($Z8=6,"ESCALATED TO ROXANNE",IF(TODAY()&gt;$AB8,"OVERDUE",IF($AB8&lt;=WORKDAY(TODAY(),1,Holidays),"DUE TOMORROW",IF($Z8=4,"ESCALATED TO LOCAL OFFICE",IF($Z8=5,"ESCALATED TO CBE",IF($AA8=TODAY(),"EMAIL SENT","MONITORING"))))))))))</f>
        <v/>
      </c>
      <c r="V8" s="17">
        <f>IF($U8="",IF(AND(COUNTA($A8:$L8)&gt;0,$N8=""),"Awaiting Collection Email time stamp.",""),IF(OR($U8="PAID",$U8="CLOSED"),IF($U8="PAID","Account paid. Action completed.","Account closed. No further action required."),CHOOSE($Z8,"Collection Email","1st Email Follow-up","2nd Email Follow-up","Escalation to Local Office","Escalation to CBE","Escalation to Roxanne")&amp;" sent "&amp;TEXT($AA8,"dd-mmm")&amp;". "&amp;IF($Z8=6,"Final escalation completed.",IF($U8="OVERDUE","Next: "&amp;$AC8&amp;" was due "&amp;TEXT($AB8,"dd-mmm")&amp;" - "&amp;(NETWORKDAYS($AB8,TODAY(),Holidays)-1)&amp;" business day(s) late. Send now.",IF($U8="DUE TOMORROW","Next: "&amp;$AC8&amp;IF($AB8&lt;=TODAY()," is due TODAY ("," is due next business day (")&amp;TEXT($AB8,"dd-mmm")&amp;").","Next: "&amp;$AC8&amp;" due "&amp;TEXT($AB8,"dd-mmm")&amp;" ("&amp;(NETWORKDAYS(TODAY(),$AB8,Holidays)-1)&amp;" business day(s) left).")))))</f>
        <v/>
      </c>
      <c r="W8" s="17">
        <f>IF($Z8="","",CHOOSE($Z8,"Collection Email","1st Follow-up","2nd Follow-up","Local Office","CBE","Roxanne")&amp;IF($Z8=6," - Final"," - Day "&amp;MAX(0,NETWORKDAYS($AA8,TODAY(),Holidays)-1)&amp;" of "&amp;CHOOSE($Z8,3,3,2,2,3))&amp;" | Total Day "&amp;MAX(0,NETWORKDAYS($N8,TODAY(),Holidays)-1))</f>
        <v/>
      </c>
      <c r="X8" s="18"/>
      <c r="Y8" s="18"/>
      <c r="Z8" s="17">
        <f>IF($N8="","",COUNT($N8:$S8))</f>
        <v/>
      </c>
      <c r="AA8" s="19">
        <f>IF($Z8="","",INT(INDEX($N8:$S8,$Z8)))</f>
        <v/>
      </c>
      <c r="AB8" s="19">
        <f>IF(OR($Z8="",$Z8=6),"",WORKDAY($AA8,CHOOSE($Z8,3,3,2,2,3),Holidays))</f>
        <v/>
      </c>
      <c r="AC8" s="17">
        <f>IF(OR($Z8="",$Z8=6),"",CHOOSE($Z8,"1st Email Follow-up","2nd Email Follow-up","Escalate Local Office","Escalate to CBE","Escalate to Roxanne"))</f>
        <v/>
      </c>
    </row>
    <row r="9" spans="1:29">
      <c r="M9" s="14"/>
      <c r="T9" s="16"/>
      <c r="U9" s="17">
        <f>IF(AND(COUNTA($A9:$L9)=0,$N9=""),"",IF($T9="Paid","PAID",IF($T9="Closed","CLOSED",IF($Z9="","",IF($Z9=6,"ESCALATED TO ROXANNE",IF(TODAY()&gt;$AB9,"OVERDUE",IF($AB9&lt;=WORKDAY(TODAY(),1,Holidays),"DUE TOMORROW",IF($Z9=4,"ESCALATED TO LOCAL OFFICE",IF($Z9=5,"ESCALATED TO CBE",IF($AA9=TODAY(),"EMAIL SENT","MONITORING"))))))))))</f>
        <v/>
      </c>
      <c r="V9" s="17">
        <f>IF($U9="",IF(AND(COUNTA($A9:$L9)&gt;0,$N9=""),"Awaiting Collection Email time stamp.",""),IF(OR($U9="PAID",$U9="CLOSED"),IF($U9="PAID","Account paid. Action completed.","Account closed. No further action required."),CHOOSE($Z9,"Collection Email","1st Email Follow-up","2nd Email Follow-up","Escalation to Local Office","Escalation to CBE","Escalation to Roxanne")&amp;" sent "&amp;TEXT($AA9,"dd-mmm")&amp;". "&amp;IF($Z9=6,"Final escalation completed.",IF($U9="OVERDUE","Next: "&amp;$AC9&amp;" was due "&amp;TEXT($AB9,"dd-mmm")&amp;" - "&amp;(NETWORKDAYS($AB9,TODAY(),Holidays)-1)&amp;" business day(s) late. Send now.",IF($U9="DUE TOMORROW","Next: "&amp;$AC9&amp;IF($AB9&lt;=TODAY()," is due TODAY ("," is due next business day (")&amp;TEXT($AB9,"dd-mmm")&amp;").","Next: "&amp;$AC9&amp;" due "&amp;TEXT($AB9,"dd-mmm")&amp;" ("&amp;(NETWORKDAYS(TODAY(),$AB9,Holidays)-1)&amp;" business day(s) left).")))))</f>
        <v/>
      </c>
      <c r="W9" s="17">
        <f>IF($Z9="","",CHOOSE($Z9,"Collection Email","1st Follow-up","2nd Follow-up","Local Office","CBE","Roxanne")&amp;IF($Z9=6," - Final"," - Day "&amp;MAX(0,NETWORKDAYS($AA9,TODAY(),Holidays)-1)&amp;" of "&amp;CHOOSE($Z9,3,3,2,2,3))&amp;" | Total Day "&amp;MAX(0,NETWORKDAYS($N9,TODAY(),Holidays)-1))</f>
        <v/>
      </c>
      <c r="X9" s="18"/>
      <c r="Y9" s="18"/>
      <c r="Z9" s="17">
        <f>IF($N9="","",COUNT($N9:$S9))</f>
        <v/>
      </c>
      <c r="AA9" s="19">
        <f>IF($Z9="","",INT(INDEX($N9:$S9,$Z9)))</f>
        <v/>
      </c>
      <c r="AB9" s="19">
        <f>IF(OR($Z9="",$Z9=6),"",WORKDAY($AA9,CHOOSE($Z9,3,3,2,2,3),Holidays))</f>
        <v/>
      </c>
      <c r="AC9" s="17">
        <f>IF(OR($Z9="",$Z9=6),"",CHOOSE($Z9,"1st Email Follow-up","2nd Email Follow-up","Escalate Local Office","Escalate to CBE","Escalate to Roxanne"))</f>
        <v/>
      </c>
    </row>
    <row r="10" spans="1:29">
      <c r="M10" s="14"/>
      <c r="T10" s="16"/>
      <c r="U10" s="17">
        <f>IF(AND(COUNTA($A10:$L10)=0,$N10=""),"",IF($T10="Paid","PAID",IF($T10="Closed","CLOSED",IF($Z10="","",IF($Z10=6,"ESCALATED TO ROXANNE",IF(TODAY()&gt;$AB10,"OVERDUE",IF($AB10&lt;=WORKDAY(TODAY(),1,Holidays),"DUE TOMORROW",IF($Z10=4,"ESCALATED TO LOCAL OFFICE",IF($Z10=5,"ESCALATED TO CBE",IF($AA10=TODAY(),"EMAIL SENT","MONITORING"))))))))))</f>
        <v/>
      </c>
      <c r="V10" s="17">
        <f>IF($U10="",IF(AND(COUNTA($A10:$L10)&gt;0,$N10=""),"Awaiting Collection Email time stamp.",""),IF(OR($U10="PAID",$U10="CLOSED"),IF($U10="PAID","Account paid. Action completed.","Account closed. No further action required."),CHOOSE($Z10,"Collection Email","1st Email Follow-up","2nd Email Follow-up","Escalation to Local Office","Escalation to CBE","Escalation to Roxanne")&amp;" sent "&amp;TEXT($AA10,"dd-mmm")&amp;". "&amp;IF($Z10=6,"Final escalation completed.",IF($U10="OVERDUE","Next: "&amp;$AC10&amp;" was due "&amp;TEXT($AB10,"dd-mmm")&amp;" - "&amp;(NETWORKDAYS($AB10,TODAY(),Holidays)-1)&amp;" business day(s) late. Send now.",IF($U10="DUE TOMORROW","Next: "&amp;$AC10&amp;IF($AB10&lt;=TODAY()," is due TODAY ("," is due next business day (")&amp;TEXT($AB10,"dd-mmm")&amp;").","Next: "&amp;$AC10&amp;" due "&amp;TEXT($AB10,"dd-mmm")&amp;" ("&amp;(NETWORKDAYS(TODAY(),$AB10,Holidays)-1)&amp;" business day(s) left).")))))</f>
        <v/>
      </c>
      <c r="W10" s="17">
        <f>IF($Z10="","",CHOOSE($Z10,"Collection Email","1st Follow-up","2nd Follow-up","Local Office","CBE","Roxanne")&amp;IF($Z10=6," - Final"," - Day "&amp;MAX(0,NETWORKDAYS($AA10,TODAY(),Holidays)-1)&amp;" of "&amp;CHOOSE($Z10,3,3,2,2,3))&amp;" | Total Day "&amp;MAX(0,NETWORKDAYS($N10,TODAY(),Holidays)-1))</f>
        <v/>
      </c>
      <c r="X10" s="18"/>
      <c r="Y10" s="18"/>
      <c r="Z10" s="17">
        <f>IF($N10="","",COUNT($N10:$S10))</f>
        <v/>
      </c>
      <c r="AA10" s="19">
        <f>IF($Z10="","",INT(INDEX($N10:$S10,$Z10)))</f>
        <v/>
      </c>
      <c r="AB10" s="19">
        <f>IF(OR($Z10="",$Z10=6),"",WORKDAY($AA10,CHOOSE($Z10,3,3,2,2,3),Holidays))</f>
        <v/>
      </c>
      <c r="AC10" s="17">
        <f>IF(OR($Z10="",$Z10=6),"",CHOOSE($Z10,"1st Email Follow-up","2nd Email Follow-up","Escalate Local Office","Escalate to CBE","Escalate to Roxanne"))</f>
        <v/>
      </c>
    </row>
    <row r="11" spans="1:29">
      <c r="M11" s="14"/>
      <c r="T11" s="16"/>
      <c r="U11" s="17">
        <f>IF(AND(COUNTA($A11:$L11)=0,$N11=""),"",IF($T11="Paid","PAID",IF($T11="Closed","CLOSED",IF($Z11="","",IF($Z11=6,"ESCALATED TO ROXANNE",IF(TODAY()&gt;$AB11,"OVERDUE",IF($AB11&lt;=WORKDAY(TODAY(),1,Holidays),"DUE TOMORROW",IF($Z11=4,"ESCALATED TO LOCAL OFFICE",IF($Z11=5,"ESCALATED TO CBE",IF($AA11=TODAY(),"EMAIL SENT","MONITORING"))))))))))</f>
        <v/>
      </c>
      <c r="V11" s="17">
        <f>IF($U11="",IF(AND(COUNTA($A11:$L11)&gt;0,$N11=""),"Awaiting Collection Email time stamp.",""),IF(OR($U11="PAID",$U11="CLOSED"),IF($U11="PAID","Account paid. Action completed.","Account closed. No further action required."),CHOOSE($Z11,"Collection Email","1st Email Follow-up","2nd Email Follow-up","Escalation to Local Office","Escalation to CBE","Escalation to Roxanne")&amp;" sent "&amp;TEXT($AA11,"dd-mmm")&amp;". "&amp;IF($Z11=6,"Final escalation completed.",IF($U11="OVERDUE","Next: "&amp;$AC11&amp;" was due "&amp;TEXT($AB11,"dd-mmm")&amp;" - "&amp;(NETWORKDAYS($AB11,TODAY(),Holidays)-1)&amp;" business day(s) late. Send now.",IF($U11="DUE TOMORROW","Next: "&amp;$AC11&amp;IF($AB11&lt;=TODAY()," is due TODAY ("," is due next business day (")&amp;TEXT($AB11,"dd-mmm")&amp;").","Next: "&amp;$AC11&amp;" due "&amp;TEXT($AB11,"dd-mmm")&amp;" ("&amp;(NETWORKDAYS(TODAY(),$AB11,Holidays)-1)&amp;" business day(s) left).")))))</f>
        <v/>
      </c>
      <c r="W11" s="17">
        <f>IF($Z11="","",CHOOSE($Z11,"Collection Email","1st Follow-up","2nd Follow-up","Local Office","CBE","Roxanne")&amp;IF($Z11=6," - Final"," - Day "&amp;MAX(0,NETWORKDAYS($AA11,TODAY(),Holidays)-1)&amp;" of "&amp;CHOOSE($Z11,3,3,2,2,3))&amp;" | Total Day "&amp;MAX(0,NETWORKDAYS($N11,TODAY(),Holidays)-1))</f>
        <v/>
      </c>
      <c r="X11" s="18"/>
      <c r="Y11" s="18"/>
      <c r="Z11" s="17">
        <f>IF($N11="","",COUNT($N11:$S11))</f>
        <v/>
      </c>
      <c r="AA11" s="19">
        <f>IF($Z11="","",INT(INDEX($N11:$S11,$Z11)))</f>
        <v/>
      </c>
      <c r="AB11" s="19">
        <f>IF(OR($Z11="",$Z11=6),"",WORKDAY($AA11,CHOOSE($Z11,3,3,2,2,3),Holidays))</f>
        <v/>
      </c>
      <c r="AC11" s="17">
        <f>IF(OR($Z11="",$Z11=6),"",CHOOSE($Z11,"1st Email Follow-up","2nd Email Follow-up","Escalate Local Office","Escalate to CBE","Escalate to Roxanne"))</f>
        <v/>
      </c>
    </row>
    <row r="12" spans="1:29">
      <c r="M12" s="14"/>
      <c r="T12" s="16"/>
      <c r="U12" s="17">
        <f>IF(AND(COUNTA($A12:$L12)=0,$N12=""),"",IF($T12="Paid","PAID",IF($T12="Closed","CLOSED",IF($Z12="","",IF($Z12=6,"ESCALATED TO ROXANNE",IF(TODAY()&gt;$AB12,"OVERDUE",IF($AB12&lt;=WORKDAY(TODAY(),1,Holidays),"DUE TOMORROW",IF($Z12=4,"ESCALATED TO LOCAL OFFICE",IF($Z12=5,"ESCALATED TO CBE",IF($AA12=TODAY(),"EMAIL SENT","MONITORING"))))))))))</f>
        <v/>
      </c>
      <c r="V12" s="17">
        <f>IF($U12="",IF(AND(COUNTA($A12:$L12)&gt;0,$N12=""),"Awaiting Collection Email time stamp.",""),IF(OR($U12="PAID",$U12="CLOSED"),IF($U12="PAID","Account paid. Action completed.","Account closed. No further action required."),CHOOSE($Z12,"Collection Email","1st Email Follow-up","2nd Email Follow-up","Escalation to Local Office","Escalation to CBE","Escalation to Roxanne")&amp;" sent "&amp;TEXT($AA12,"dd-mmm")&amp;". "&amp;IF($Z12=6,"Final escalation completed.",IF($U12="OVERDUE","Next: "&amp;$AC12&amp;" was due "&amp;TEXT($AB12,"dd-mmm")&amp;" - "&amp;(NETWORKDAYS($AB12,TODAY(),Holidays)-1)&amp;" business day(s) late. Send now.",IF($U12="DUE TOMORROW","Next: "&amp;$AC12&amp;IF($AB12&lt;=TODAY()," is due TODAY ("," is due next business day (")&amp;TEXT($AB12,"dd-mmm")&amp;").","Next: "&amp;$AC12&amp;" due "&amp;TEXT($AB12,"dd-mmm")&amp;" ("&amp;(NETWORKDAYS(TODAY(),$AB12,Holidays)-1)&amp;" business day(s) left).")))))</f>
        <v/>
      </c>
      <c r="W12" s="17">
        <f>IF($Z12="","",CHOOSE($Z12,"Collection Email","1st Follow-up","2nd Follow-up","Local Office","CBE","Roxanne")&amp;IF($Z12=6," - Final"," - Day "&amp;MAX(0,NETWORKDAYS($AA12,TODAY(),Holidays)-1)&amp;" of "&amp;CHOOSE($Z12,3,3,2,2,3))&amp;" | Total Day "&amp;MAX(0,NETWORKDAYS($N12,TODAY(),Holidays)-1))</f>
        <v/>
      </c>
      <c r="X12" s="18"/>
      <c r="Y12" s="18"/>
      <c r="Z12" s="17">
        <f>IF($N12="","",COUNT($N12:$S12))</f>
        <v/>
      </c>
      <c r="AA12" s="19">
        <f>IF($Z12="","",INT(INDEX($N12:$S12,$Z12)))</f>
        <v/>
      </c>
      <c r="AB12" s="19">
        <f>IF(OR($Z12="",$Z12=6),"",WORKDAY($AA12,CHOOSE($Z12,3,3,2,2,3),Holidays))</f>
        <v/>
      </c>
      <c r="AC12" s="17">
        <f>IF(OR($Z12="",$Z12=6),"",CHOOSE($Z12,"1st Email Follow-up","2nd Email Follow-up","Escalate Local Office","Escalate to CBE","Escalate to Roxanne"))</f>
        <v/>
      </c>
    </row>
    <row r="13" spans="1:29">
      <c r="M13" s="14"/>
      <c r="T13" s="16"/>
      <c r="U13" s="17">
        <f>IF(AND(COUNTA($A13:$L13)=0,$N13=""),"",IF($T13="Paid","PAID",IF($T13="Closed","CLOSED",IF($Z13="","",IF($Z13=6,"ESCALATED TO ROXANNE",IF(TODAY()&gt;$AB13,"OVERDUE",IF($AB13&lt;=WORKDAY(TODAY(),1,Holidays),"DUE TOMORROW",IF($Z13=4,"ESCALATED TO LOCAL OFFICE",IF($Z13=5,"ESCALATED TO CBE",IF($AA13=TODAY(),"EMAIL SENT","MONITORING"))))))))))</f>
        <v/>
      </c>
      <c r="V13" s="17">
        <f>IF($U13="",IF(AND(COUNTA($A13:$L13)&gt;0,$N13=""),"Awaiting Collection Email time stamp.",""),IF(OR($U13="PAID",$U13="CLOSED"),IF($U13="PAID","Account paid. Action completed.","Account closed. No further action required."),CHOOSE($Z13,"Collection Email","1st Email Follow-up","2nd Email Follow-up","Escalation to Local Office","Escalation to CBE","Escalation to Roxanne")&amp;" sent "&amp;TEXT($AA13,"dd-mmm")&amp;". "&amp;IF($Z13=6,"Final escalation completed.",IF($U13="OVERDUE","Next: "&amp;$AC13&amp;" was due "&amp;TEXT($AB13,"dd-mmm")&amp;" - "&amp;(NETWORKDAYS($AB13,TODAY(),Holidays)-1)&amp;" business day(s) late. Send now.",IF($U13="DUE TOMORROW","Next: "&amp;$AC13&amp;IF($AB13&lt;=TODAY()," is due TODAY ("," is due next business day (")&amp;TEXT($AB13,"dd-mmm")&amp;").","Next: "&amp;$AC13&amp;" due "&amp;TEXT($AB13,"dd-mmm")&amp;" ("&amp;(NETWORKDAYS(TODAY(),$AB13,Holidays)-1)&amp;" business day(s) left).")))))</f>
        <v/>
      </c>
      <c r="W13" s="17">
        <f>IF($Z13="","",CHOOSE($Z13,"Collection Email","1st Follow-up","2nd Follow-up","Local Office","CBE","Roxanne")&amp;IF($Z13=6," - Final"," - Day "&amp;MAX(0,NETWORKDAYS($AA13,TODAY(),Holidays)-1)&amp;" of "&amp;CHOOSE($Z13,3,3,2,2,3))&amp;" | Total Day "&amp;MAX(0,NETWORKDAYS($N13,TODAY(),Holidays)-1))</f>
        <v/>
      </c>
      <c r="X13" s="18"/>
      <c r="Y13" s="18"/>
      <c r="Z13" s="17">
        <f>IF($N13="","",COUNT($N13:$S13))</f>
        <v/>
      </c>
      <c r="AA13" s="19">
        <f>IF($Z13="","",INT(INDEX($N13:$S13,$Z13)))</f>
        <v/>
      </c>
      <c r="AB13" s="19">
        <f>IF(OR($Z13="",$Z13=6),"",WORKDAY($AA13,CHOOSE($Z13,3,3,2,2,3),Holidays))</f>
        <v/>
      </c>
      <c r="AC13" s="17">
        <f>IF(OR($Z13="",$Z13=6),"",CHOOSE($Z13,"1st Email Follow-up","2nd Email Follow-up","Escalate Local Office","Escalate to CBE","Escalate to Roxanne"))</f>
        <v/>
      </c>
    </row>
    <row r="14" spans="1:29">
      <c r="M14" s="14"/>
      <c r="T14" s="16"/>
      <c r="U14" s="17">
        <f>IF(AND(COUNTA($A14:$L14)=0,$N14=""),"",IF($T14="Paid","PAID",IF($T14="Closed","CLOSED",IF($Z14="","",IF($Z14=6,"ESCALATED TO ROXANNE",IF(TODAY()&gt;$AB14,"OVERDUE",IF($AB14&lt;=WORKDAY(TODAY(),1,Holidays),"DUE TOMORROW",IF($Z14=4,"ESCALATED TO LOCAL OFFICE",IF($Z14=5,"ESCALATED TO CBE",IF($AA14=TODAY(),"EMAIL SENT","MONITORING"))))))))))</f>
        <v/>
      </c>
      <c r="V14" s="17">
        <f>IF($U14="",IF(AND(COUNTA($A14:$L14)&gt;0,$N14=""),"Awaiting Collection Email time stamp.",""),IF(OR($U14="PAID",$U14="CLOSED"),IF($U14="PAID","Account paid. Action completed.","Account closed. No further action required."),CHOOSE($Z14,"Collection Email","1st Email Follow-up","2nd Email Follow-up","Escalation to Local Office","Escalation to CBE","Escalation to Roxanne")&amp;" sent "&amp;TEXT($AA14,"dd-mmm")&amp;". "&amp;IF($Z14=6,"Final escalation completed.",IF($U14="OVERDUE","Next: "&amp;$AC14&amp;" was due "&amp;TEXT($AB14,"dd-mmm")&amp;" - "&amp;(NETWORKDAYS($AB14,TODAY(),Holidays)-1)&amp;" business day(s) late. Send now.",IF($U14="DUE TOMORROW","Next: "&amp;$AC14&amp;IF($AB14&lt;=TODAY()," is due TODAY ("," is due next business day (")&amp;TEXT($AB14,"dd-mmm")&amp;").","Next: "&amp;$AC14&amp;" due "&amp;TEXT($AB14,"dd-mmm")&amp;" ("&amp;(NETWORKDAYS(TODAY(),$AB14,Holidays)-1)&amp;" business day(s) left).")))))</f>
        <v/>
      </c>
      <c r="W14" s="17">
        <f>IF($Z14="","",CHOOSE($Z14,"Collection Email","1st Follow-up","2nd Follow-up","Local Office","CBE","Roxanne")&amp;IF($Z14=6," - Final"," - Day "&amp;MAX(0,NETWORKDAYS($AA14,TODAY(),Holidays)-1)&amp;" of "&amp;CHOOSE($Z14,3,3,2,2,3))&amp;" | Total Day "&amp;MAX(0,NETWORKDAYS($N14,TODAY(),Holidays)-1))</f>
        <v/>
      </c>
      <c r="X14" s="18"/>
      <c r="Y14" s="18"/>
      <c r="Z14" s="17">
        <f>IF($N14="","",COUNT($N14:$S14))</f>
        <v/>
      </c>
      <c r="AA14" s="19">
        <f>IF($Z14="","",INT(INDEX($N14:$S14,$Z14)))</f>
        <v/>
      </c>
      <c r="AB14" s="19">
        <f>IF(OR($Z14="",$Z14=6),"",WORKDAY($AA14,CHOOSE($Z14,3,3,2,2,3),Holidays))</f>
        <v/>
      </c>
      <c r="AC14" s="17">
        <f>IF(OR($Z14="",$Z14=6),"",CHOOSE($Z14,"1st Email Follow-up","2nd Email Follow-up","Escalate Local Office","Escalate to CBE","Escalate to Roxanne"))</f>
        <v/>
      </c>
    </row>
    <row r="15" spans="1:29">
      <c r="M15" s="14"/>
      <c r="T15" s="16"/>
      <c r="U15" s="17">
        <f>IF(AND(COUNTA($A15:$L15)=0,$N15=""),"",IF($T15="Paid","PAID",IF($T15="Closed","CLOSED",IF($Z15="","",IF($Z15=6,"ESCALATED TO ROXANNE",IF(TODAY()&gt;$AB15,"OVERDUE",IF($AB15&lt;=WORKDAY(TODAY(),1,Holidays),"DUE TOMORROW",IF($Z15=4,"ESCALATED TO LOCAL OFFICE",IF($Z15=5,"ESCALATED TO CBE",IF($AA15=TODAY(),"EMAIL SENT","MONITORING"))))))))))</f>
        <v/>
      </c>
      <c r="V15" s="17">
        <f>IF($U15="",IF(AND(COUNTA($A15:$L15)&gt;0,$N15=""),"Awaiting Collection Email time stamp.",""),IF(OR($U15="PAID",$U15="CLOSED"),IF($U15="PAID","Account paid. Action completed.","Account closed. No further action required."),CHOOSE($Z15,"Collection Email","1st Email Follow-up","2nd Email Follow-up","Escalation to Local Office","Escalation to CBE","Escalation to Roxanne")&amp;" sent "&amp;TEXT($AA15,"dd-mmm")&amp;". "&amp;IF($Z15=6,"Final escalation completed.",IF($U15="OVERDUE","Next: "&amp;$AC15&amp;" was due "&amp;TEXT($AB15,"dd-mmm")&amp;" - "&amp;(NETWORKDAYS($AB15,TODAY(),Holidays)-1)&amp;" business day(s) late. Send now.",IF($U15="DUE TOMORROW","Next: "&amp;$AC15&amp;IF($AB15&lt;=TODAY()," is due TODAY ("," is due next business day (")&amp;TEXT($AB15,"dd-mmm")&amp;").","Next: "&amp;$AC15&amp;" due "&amp;TEXT($AB15,"dd-mmm")&amp;" ("&amp;(NETWORKDAYS(TODAY(),$AB15,Holidays)-1)&amp;" business day(s) left).")))))</f>
        <v/>
      </c>
      <c r="W15" s="17">
        <f>IF($Z15="","",CHOOSE($Z15,"Collection Email","1st Follow-up","2nd Follow-up","Local Office","CBE","Roxanne")&amp;IF($Z15=6," - Final"," - Day "&amp;MAX(0,NETWORKDAYS($AA15,TODAY(),Holidays)-1)&amp;" of "&amp;CHOOSE($Z15,3,3,2,2,3))&amp;" | Total Day "&amp;MAX(0,NETWORKDAYS($N15,TODAY(),Holidays)-1))</f>
        <v/>
      </c>
      <c r="X15" s="18"/>
      <c r="Y15" s="18"/>
      <c r="Z15" s="17">
        <f>IF($N15="","",COUNT($N15:$S15))</f>
        <v/>
      </c>
      <c r="AA15" s="19">
        <f>IF($Z15="","",INT(INDEX($N15:$S15,$Z15)))</f>
        <v/>
      </c>
      <c r="AB15" s="19">
        <f>IF(OR($Z15="",$Z15=6),"",WORKDAY($AA15,CHOOSE($Z15,3,3,2,2,3),Holidays))</f>
        <v/>
      </c>
      <c r="AC15" s="17">
        <f>IF(OR($Z15="",$Z15=6),"",CHOOSE($Z15,"1st Email Follow-up","2nd Email Follow-up","Escalate Local Office","Escalate to CBE","Escalate to Roxanne"))</f>
        <v/>
      </c>
    </row>
    <row r="16" spans="1:29">
      <c r="M16" s="14"/>
      <c r="T16" s="16"/>
      <c r="U16" s="17">
        <f>IF(AND(COUNTA($A16:$L16)=0,$N16=""),"",IF($T16="Paid","PAID",IF($T16="Closed","CLOSED",IF($Z16="","",IF($Z16=6,"ESCALATED TO ROXANNE",IF(TODAY()&gt;$AB16,"OVERDUE",IF($AB16&lt;=WORKDAY(TODAY(),1,Holidays),"DUE TOMORROW",IF($Z16=4,"ESCALATED TO LOCAL OFFICE",IF($Z16=5,"ESCALATED TO CBE",IF($AA16=TODAY(),"EMAIL SENT","MONITORING"))))))))))</f>
        <v/>
      </c>
      <c r="V16" s="17">
        <f>IF($U16="",IF(AND(COUNTA($A16:$L16)&gt;0,$N16=""),"Awaiting Collection Email time stamp.",""),IF(OR($U16="PAID",$U16="CLOSED"),IF($U16="PAID","Account paid. Action completed.","Account closed. No further action required."),CHOOSE($Z16,"Collection Email","1st Email Follow-up","2nd Email Follow-up","Escalation to Local Office","Escalation to CBE","Escalation to Roxanne")&amp;" sent "&amp;TEXT($AA16,"dd-mmm")&amp;". "&amp;IF($Z16=6,"Final escalation completed.",IF($U16="OVERDUE","Next: "&amp;$AC16&amp;" was due "&amp;TEXT($AB16,"dd-mmm")&amp;" - "&amp;(NETWORKDAYS($AB16,TODAY(),Holidays)-1)&amp;" business day(s) late. Send now.",IF($U16="DUE TOMORROW","Next: "&amp;$AC16&amp;IF($AB16&lt;=TODAY()," is due TODAY ("," is due next business day (")&amp;TEXT($AB16,"dd-mmm")&amp;").","Next: "&amp;$AC16&amp;" due "&amp;TEXT($AB16,"dd-mmm")&amp;" ("&amp;(NETWORKDAYS(TODAY(),$AB16,Holidays)-1)&amp;" business day(s) left).")))))</f>
        <v/>
      </c>
      <c r="W16" s="17">
        <f>IF($Z16="","",CHOOSE($Z16,"Collection Email","1st Follow-up","2nd Follow-up","Local Office","CBE","Roxanne")&amp;IF($Z16=6," - Final"," - Day "&amp;MAX(0,NETWORKDAYS($AA16,TODAY(),Holidays)-1)&amp;" of "&amp;CHOOSE($Z16,3,3,2,2,3))&amp;" | Total Day "&amp;MAX(0,NETWORKDAYS($N16,TODAY(),Holidays)-1))</f>
        <v/>
      </c>
      <c r="X16" s="18"/>
      <c r="Y16" s="18"/>
      <c r="Z16" s="17">
        <f>IF($N16="","",COUNT($N16:$S16))</f>
        <v/>
      </c>
      <c r="AA16" s="19">
        <f>IF($Z16="","",INT(INDEX($N16:$S16,$Z16)))</f>
        <v/>
      </c>
      <c r="AB16" s="19">
        <f>IF(OR($Z16="",$Z16=6),"",WORKDAY($AA16,CHOOSE($Z16,3,3,2,2,3),Holidays))</f>
        <v/>
      </c>
      <c r="AC16" s="17">
        <f>IF(OR($Z16="",$Z16=6),"",CHOOSE($Z16,"1st Email Follow-up","2nd Email Follow-up","Escalate Local Office","Escalate to CBE","Escalate to Roxanne"))</f>
        <v/>
      </c>
    </row>
    <row r="17" spans="13:29">
      <c r="M17" s="14"/>
      <c r="T17" s="16"/>
      <c r="U17" s="17">
        <f>IF(AND(COUNTA($A17:$L17)=0,$N17=""),"",IF($T17="Paid","PAID",IF($T17="Closed","CLOSED",IF($Z17="","",IF($Z17=6,"ESCALATED TO ROXANNE",IF(TODAY()&gt;$AB17,"OVERDUE",IF($AB17&lt;=WORKDAY(TODAY(),1,Holidays),"DUE TOMORROW",IF($Z17=4,"ESCALATED TO LOCAL OFFICE",IF($Z17=5,"ESCALATED TO CBE",IF($AA17=TODAY(),"EMAIL SENT","MONITORING"))))))))))</f>
        <v/>
      </c>
      <c r="V17" s="17">
        <f>IF($U17="",IF(AND(COUNTA($A17:$L17)&gt;0,$N17=""),"Awaiting Collection Email time stamp.",""),IF(OR($U17="PAID",$U17="CLOSED"),IF($U17="PAID","Account paid. Action completed.","Account closed. No further action required."),CHOOSE($Z17,"Collection Email","1st Email Follow-up","2nd Email Follow-up","Escalation to Local Office","Escalation to CBE","Escalation to Roxanne")&amp;" sent "&amp;TEXT($AA17,"dd-mmm")&amp;". "&amp;IF($Z17=6,"Final escalation completed.",IF($U17="OVERDUE","Next: "&amp;$AC17&amp;" was due "&amp;TEXT($AB17,"dd-mmm")&amp;" - "&amp;(NETWORKDAYS($AB17,TODAY(),Holidays)-1)&amp;" business day(s) late. Send now.",IF($U17="DUE TOMORROW","Next: "&amp;$AC17&amp;IF($AB17&lt;=TODAY()," is due TODAY ("," is due next business day (")&amp;TEXT($AB17,"dd-mmm")&amp;").","Next: "&amp;$AC17&amp;" due "&amp;TEXT($AB17,"dd-mmm")&amp;" ("&amp;(NETWORKDAYS(TODAY(),$AB17,Holidays)-1)&amp;" business day(s) left).")))))</f>
        <v/>
      </c>
      <c r="W17" s="17">
        <f>IF($Z17="","",CHOOSE($Z17,"Collection Email","1st Follow-up","2nd Follow-up","Local Office","CBE","Roxanne")&amp;IF($Z17=6," - Final"," - Day "&amp;MAX(0,NETWORKDAYS($AA17,TODAY(),Holidays)-1)&amp;" of "&amp;CHOOSE($Z17,3,3,2,2,3))&amp;" | Total Day "&amp;MAX(0,NETWORKDAYS($N17,TODAY(),Holidays)-1))</f>
        <v/>
      </c>
      <c r="X17" s="18"/>
      <c r="Y17" s="18"/>
      <c r="Z17" s="17">
        <f>IF($N17="","",COUNT($N17:$S17))</f>
        <v/>
      </c>
      <c r="AA17" s="19">
        <f>IF($Z17="","",INT(INDEX($N17:$S17,$Z17)))</f>
        <v/>
      </c>
      <c r="AB17" s="19">
        <f>IF(OR($Z17="",$Z17=6),"",WORKDAY($AA17,CHOOSE($Z17,3,3,2,2,3),Holidays))</f>
        <v/>
      </c>
      <c r="AC17" s="17">
        <f>IF(OR($Z17="",$Z17=6),"",CHOOSE($Z17,"1st Email Follow-up","2nd Email Follow-up","Escalate Local Office","Escalate to CBE","Escalate to Roxanne"))</f>
        <v/>
      </c>
    </row>
    <row r="18" spans="13:29">
      <c r="M18" s="14"/>
      <c r="T18" s="16"/>
      <c r="U18" s="17">
        <f>IF(AND(COUNTA($A18:$L18)=0,$N18=""),"",IF($T18="Paid","PAID",IF($T18="Closed","CLOSED",IF($Z18="","",IF($Z18=6,"ESCALATED TO ROXANNE",IF(TODAY()&gt;$AB18,"OVERDUE",IF($AB18&lt;=WORKDAY(TODAY(),1,Holidays),"DUE TOMORROW",IF($Z18=4,"ESCALATED TO LOCAL OFFICE",IF($Z18=5,"ESCALATED TO CBE",IF($AA18=TODAY(),"EMAIL SENT","MONITORING"))))))))))</f>
        <v/>
      </c>
      <c r="V18" s="17">
        <f>IF($U18="",IF(AND(COUNTA($A18:$L18)&gt;0,$N18=""),"Awaiting Collection Email time stamp.",""),IF(OR($U18="PAID",$U18="CLOSED"),IF($U18="PAID","Account paid. Action completed.","Account closed. No further action required."),CHOOSE($Z18,"Collection Email","1st Email Follow-up","2nd Email Follow-up","Escalation to Local Office","Escalation to CBE","Escalation to Roxanne")&amp;" sent "&amp;TEXT($AA18,"dd-mmm")&amp;". "&amp;IF($Z18=6,"Final escalation completed.",IF($U18="OVERDUE","Next: "&amp;$AC18&amp;" was due "&amp;TEXT($AB18,"dd-mmm")&amp;" - "&amp;(NETWORKDAYS($AB18,TODAY(),Holidays)-1)&amp;" business day(s) late. Send now.",IF($U18="DUE TOMORROW","Next: "&amp;$AC18&amp;IF($AB18&lt;=TODAY()," is due TODAY ("," is due next business day (")&amp;TEXT($AB18,"dd-mmm")&amp;").","Next: "&amp;$AC18&amp;" due "&amp;TEXT($AB18,"dd-mmm")&amp;" ("&amp;(NETWORKDAYS(TODAY(),$AB18,Holidays)-1)&amp;" business day(s) left).")))))</f>
        <v/>
      </c>
      <c r="W18" s="17">
        <f>IF($Z18="","",CHOOSE($Z18,"Collection Email","1st Follow-up","2nd Follow-up","Local Office","CBE","Roxanne")&amp;IF($Z18=6," - Final"," - Day "&amp;MAX(0,NETWORKDAYS($AA18,TODAY(),Holidays)-1)&amp;" of "&amp;CHOOSE($Z18,3,3,2,2,3))&amp;" | Total Day "&amp;MAX(0,NETWORKDAYS($N18,TODAY(),Holidays)-1))</f>
        <v/>
      </c>
      <c r="X18" s="18"/>
      <c r="Y18" s="18"/>
      <c r="Z18" s="17">
        <f>IF($N18="","",COUNT($N18:$S18))</f>
        <v/>
      </c>
      <c r="AA18" s="19">
        <f>IF($Z18="","",INT(INDEX($N18:$S18,$Z18)))</f>
        <v/>
      </c>
      <c r="AB18" s="19">
        <f>IF(OR($Z18="",$Z18=6),"",WORKDAY($AA18,CHOOSE($Z18,3,3,2,2,3),Holidays))</f>
        <v/>
      </c>
      <c r="AC18" s="17">
        <f>IF(OR($Z18="",$Z18=6),"",CHOOSE($Z18,"1st Email Follow-up","2nd Email Follow-up","Escalate Local Office","Escalate to CBE","Escalate to Roxanne"))</f>
        <v/>
      </c>
    </row>
    <row r="19" spans="13:29">
      <c r="M19" s="14"/>
      <c r="T19" s="16"/>
      <c r="U19" s="17">
        <f>IF(AND(COUNTA($A19:$L19)=0,$N19=""),"",IF($T19="Paid","PAID",IF($T19="Closed","CLOSED",IF($Z19="","",IF($Z19=6,"ESCALATED TO ROXANNE",IF(TODAY()&gt;$AB19,"OVERDUE",IF($AB19&lt;=WORKDAY(TODAY(),1,Holidays),"DUE TOMORROW",IF($Z19=4,"ESCALATED TO LOCAL OFFICE",IF($Z19=5,"ESCALATED TO CBE",IF($AA19=TODAY(),"EMAIL SENT","MONITORING"))))))))))</f>
        <v/>
      </c>
      <c r="V19" s="17">
        <f>IF($U19="",IF(AND(COUNTA($A19:$L19)&gt;0,$N19=""),"Awaiting Collection Email time stamp.",""),IF(OR($U19="PAID",$U19="CLOSED"),IF($U19="PAID","Account paid. Action completed.","Account closed. No further action required."),CHOOSE($Z19,"Collection Email","1st Email Follow-up","2nd Email Follow-up","Escalation to Local Office","Escalation to CBE","Escalation to Roxanne")&amp;" sent "&amp;TEXT($AA19,"dd-mmm")&amp;". "&amp;IF($Z19=6,"Final escalation completed.",IF($U19="OVERDUE","Next: "&amp;$AC19&amp;" was due "&amp;TEXT($AB19,"dd-mmm")&amp;" - "&amp;(NETWORKDAYS($AB19,TODAY(),Holidays)-1)&amp;" business day(s) late. Send now.",IF($U19="DUE TOMORROW","Next: "&amp;$AC19&amp;IF($AB19&lt;=TODAY()," is due TODAY ("," is due next business day (")&amp;TEXT($AB19,"dd-mmm")&amp;").","Next: "&amp;$AC19&amp;" due "&amp;TEXT($AB19,"dd-mmm")&amp;" ("&amp;(NETWORKDAYS(TODAY(),$AB19,Holidays)-1)&amp;" business day(s) left).")))))</f>
        <v/>
      </c>
      <c r="W19" s="17">
        <f>IF($Z19="","",CHOOSE($Z19,"Collection Email","1st Follow-up","2nd Follow-up","Local Office","CBE","Roxanne")&amp;IF($Z19=6," - Final"," - Day "&amp;MAX(0,NETWORKDAYS($AA19,TODAY(),Holidays)-1)&amp;" of "&amp;CHOOSE($Z19,3,3,2,2,3))&amp;" | Total Day "&amp;MAX(0,NETWORKDAYS($N19,TODAY(),Holidays)-1))</f>
        <v/>
      </c>
      <c r="X19" s="18"/>
      <c r="Y19" s="18"/>
      <c r="Z19" s="17">
        <f>IF($N19="","",COUNT($N19:$S19))</f>
        <v/>
      </c>
      <c r="AA19" s="19">
        <f>IF($Z19="","",INT(INDEX($N19:$S19,$Z19)))</f>
        <v/>
      </c>
      <c r="AB19" s="19">
        <f>IF(OR($Z19="",$Z19=6),"",WORKDAY($AA19,CHOOSE($Z19,3,3,2,2,3),Holidays))</f>
        <v/>
      </c>
      <c r="AC19" s="17">
        <f>IF(OR($Z19="",$Z19=6),"",CHOOSE($Z19,"1st Email Follow-up","2nd Email Follow-up","Escalate Local Office","Escalate to CBE","Escalate to Roxanne"))</f>
        <v/>
      </c>
    </row>
    <row r="20" spans="13:29">
      <c r="M20" s="14"/>
      <c r="T20" s="16"/>
      <c r="U20" s="17">
        <f>IF(AND(COUNTA($A20:$L20)=0,$N20=""),"",IF($T20="Paid","PAID",IF($T20="Closed","CLOSED",IF($Z20="","",IF($Z20=6,"ESCALATED TO ROXANNE",IF(TODAY()&gt;$AB20,"OVERDUE",IF($AB20&lt;=WORKDAY(TODAY(),1,Holidays),"DUE TOMORROW",IF($Z20=4,"ESCALATED TO LOCAL OFFICE",IF($Z20=5,"ESCALATED TO CBE",IF($AA20=TODAY(),"EMAIL SENT","MONITORING"))))))))))</f>
        <v/>
      </c>
      <c r="V20" s="17">
        <f>IF($U20="",IF(AND(COUNTA($A20:$L20)&gt;0,$N20=""),"Awaiting Collection Email time stamp.",""),IF(OR($U20="PAID",$U20="CLOSED"),IF($U20="PAID","Account paid. Action completed.","Account closed. No further action required."),CHOOSE($Z20,"Collection Email","1st Email Follow-up","2nd Email Follow-up","Escalation to Local Office","Escalation to CBE","Escalation to Roxanne")&amp;" sent "&amp;TEXT($AA20,"dd-mmm")&amp;". "&amp;IF($Z20=6,"Final escalation completed.",IF($U20="OVERDUE","Next: "&amp;$AC20&amp;" was due "&amp;TEXT($AB20,"dd-mmm")&amp;" - "&amp;(NETWORKDAYS($AB20,TODAY(),Holidays)-1)&amp;" business day(s) late. Send now.",IF($U20="DUE TOMORROW","Next: "&amp;$AC20&amp;IF($AB20&lt;=TODAY()," is due TODAY ("," is due next business day (")&amp;TEXT($AB20,"dd-mmm")&amp;").","Next: "&amp;$AC20&amp;" due "&amp;TEXT($AB20,"dd-mmm")&amp;" ("&amp;(NETWORKDAYS(TODAY(),$AB20,Holidays)-1)&amp;" business day(s) left).")))))</f>
        <v/>
      </c>
      <c r="W20" s="17">
        <f>IF($Z20="","",CHOOSE($Z20,"Collection Email","1st Follow-up","2nd Follow-up","Local Office","CBE","Roxanne")&amp;IF($Z20=6," - Final"," - Day "&amp;MAX(0,NETWORKDAYS($AA20,TODAY(),Holidays)-1)&amp;" of "&amp;CHOOSE($Z20,3,3,2,2,3))&amp;" | Total Day "&amp;MAX(0,NETWORKDAYS($N20,TODAY(),Holidays)-1))</f>
        <v/>
      </c>
      <c r="X20" s="18"/>
      <c r="Y20" s="18"/>
      <c r="Z20" s="17">
        <f>IF($N20="","",COUNT($N20:$S20))</f>
        <v/>
      </c>
      <c r="AA20" s="19">
        <f>IF($Z20="","",INT(INDEX($N20:$S20,$Z20)))</f>
        <v/>
      </c>
      <c r="AB20" s="19">
        <f>IF(OR($Z20="",$Z20=6),"",WORKDAY($AA20,CHOOSE($Z20,3,3,2,2,3),Holidays))</f>
        <v/>
      </c>
      <c r="AC20" s="17">
        <f>IF(OR($Z20="",$Z20=6),"",CHOOSE($Z20,"1st Email Follow-up","2nd Email Follow-up","Escalate Local Office","Escalate to CBE","Escalate to Roxanne"))</f>
        <v/>
      </c>
    </row>
    <row r="21" spans="13:29">
      <c r="M21" s="14"/>
      <c r="T21" s="16"/>
      <c r="U21" s="17">
        <f>IF(AND(COUNTA($A21:$L21)=0,$N21=""),"",IF($T21="Paid","PAID",IF($T21="Closed","CLOSED",IF($Z21="","",IF($Z21=6,"ESCALATED TO ROXANNE",IF(TODAY()&gt;$AB21,"OVERDUE",IF($AB21&lt;=WORKDAY(TODAY(),1,Holidays),"DUE TOMORROW",IF($Z21=4,"ESCALATED TO LOCAL OFFICE",IF($Z21=5,"ESCALATED TO CBE",IF($AA21=TODAY(),"EMAIL SENT","MONITORING"))))))))))</f>
        <v/>
      </c>
      <c r="V21" s="17">
        <f>IF($U21="",IF(AND(COUNTA($A21:$L21)&gt;0,$N21=""),"Awaiting Collection Email time stamp.",""),IF(OR($U21="PAID",$U21="CLOSED"),IF($U21="PAID","Account paid. Action completed.","Account closed. No further action required."),CHOOSE($Z21,"Collection Email","1st Email Follow-up","2nd Email Follow-up","Escalation to Local Office","Escalation to CBE","Escalation to Roxanne")&amp;" sent "&amp;TEXT($AA21,"dd-mmm")&amp;". "&amp;IF($Z21=6,"Final escalation completed.",IF($U21="OVERDUE","Next: "&amp;$AC21&amp;" was due "&amp;TEXT($AB21,"dd-mmm")&amp;" - "&amp;(NETWORKDAYS($AB21,TODAY(),Holidays)-1)&amp;" business day(s) late. Send now.",IF($U21="DUE TOMORROW","Next: "&amp;$AC21&amp;IF($AB21&lt;=TODAY()," is due TODAY ("," is due next business day (")&amp;TEXT($AB21,"dd-mmm")&amp;").","Next: "&amp;$AC21&amp;" due "&amp;TEXT($AB21,"dd-mmm")&amp;" ("&amp;(NETWORKDAYS(TODAY(),$AB21,Holidays)-1)&amp;" business day(s) left).")))))</f>
        <v/>
      </c>
      <c r="W21" s="17">
        <f>IF($Z21="","",CHOOSE($Z21,"Collection Email","1st Follow-up","2nd Follow-up","Local Office","CBE","Roxanne")&amp;IF($Z21=6," - Final"," - Day "&amp;MAX(0,NETWORKDAYS($AA21,TODAY(),Holidays)-1)&amp;" of "&amp;CHOOSE($Z21,3,3,2,2,3))&amp;" | Total Day "&amp;MAX(0,NETWORKDAYS($N21,TODAY(),Holidays)-1))</f>
        <v/>
      </c>
      <c r="X21" s="18"/>
      <c r="Y21" s="18"/>
      <c r="Z21" s="17">
        <f>IF($N21="","",COUNT($N21:$S21))</f>
        <v/>
      </c>
      <c r="AA21" s="19">
        <f>IF($Z21="","",INT(INDEX($N21:$S21,$Z21)))</f>
        <v/>
      </c>
      <c r="AB21" s="19">
        <f>IF(OR($Z21="",$Z21=6),"",WORKDAY($AA21,CHOOSE($Z21,3,3,2,2,3),Holidays))</f>
        <v/>
      </c>
      <c r="AC21" s="17">
        <f>IF(OR($Z21="",$Z21=6),"",CHOOSE($Z21,"1st Email Follow-up","2nd Email Follow-up","Escalate Local Office","Escalate to CBE","Escalate to Roxanne"))</f>
        <v/>
      </c>
    </row>
    <row r="22" spans="13:29">
      <c r="M22" s="14"/>
      <c r="T22" s="16"/>
      <c r="U22" s="17">
        <f>IF(AND(COUNTA($A22:$L22)=0,$N22=""),"",IF($T22="Paid","PAID",IF($T22="Closed","CLOSED",IF($Z22="","",IF($Z22=6,"ESCALATED TO ROXANNE",IF(TODAY()&gt;$AB22,"OVERDUE",IF($AB22&lt;=WORKDAY(TODAY(),1,Holidays),"DUE TOMORROW",IF($Z22=4,"ESCALATED TO LOCAL OFFICE",IF($Z22=5,"ESCALATED TO CBE",IF($AA22=TODAY(),"EMAIL SENT","MONITORING"))))))))))</f>
        <v/>
      </c>
      <c r="V22" s="17">
        <f>IF($U22="",IF(AND(COUNTA($A22:$L22)&gt;0,$N22=""),"Awaiting Collection Email time stamp.",""),IF(OR($U22="PAID",$U22="CLOSED"),IF($U22="PAID","Account paid. Action completed.","Account closed. No further action required."),CHOOSE($Z22,"Collection Email","1st Email Follow-up","2nd Email Follow-up","Escalation to Local Office","Escalation to CBE","Escalation to Roxanne")&amp;" sent "&amp;TEXT($AA22,"dd-mmm")&amp;". "&amp;IF($Z22=6,"Final escalation completed.",IF($U22="OVERDUE","Next: "&amp;$AC22&amp;" was due "&amp;TEXT($AB22,"dd-mmm")&amp;" - "&amp;(NETWORKDAYS($AB22,TODAY(),Holidays)-1)&amp;" business day(s) late. Send now.",IF($U22="DUE TOMORROW","Next: "&amp;$AC22&amp;IF($AB22&lt;=TODAY()," is due TODAY ("," is due next business day (")&amp;TEXT($AB22,"dd-mmm")&amp;").","Next: "&amp;$AC22&amp;" due "&amp;TEXT($AB22,"dd-mmm")&amp;" ("&amp;(NETWORKDAYS(TODAY(),$AB22,Holidays)-1)&amp;" business day(s) left).")))))</f>
        <v/>
      </c>
      <c r="W22" s="17">
        <f>IF($Z22="","",CHOOSE($Z22,"Collection Email","1st Follow-up","2nd Follow-up","Local Office","CBE","Roxanne")&amp;IF($Z22=6," - Final"," - Day "&amp;MAX(0,NETWORKDAYS($AA22,TODAY(),Holidays)-1)&amp;" of "&amp;CHOOSE($Z22,3,3,2,2,3))&amp;" | Total Day "&amp;MAX(0,NETWORKDAYS($N22,TODAY(),Holidays)-1))</f>
        <v/>
      </c>
      <c r="X22" s="18"/>
      <c r="Y22" s="18"/>
      <c r="Z22" s="17">
        <f>IF($N22="","",COUNT($N22:$S22))</f>
        <v/>
      </c>
      <c r="AA22" s="19">
        <f>IF($Z22="","",INT(INDEX($N22:$S22,$Z22)))</f>
        <v/>
      </c>
      <c r="AB22" s="19">
        <f>IF(OR($Z22="",$Z22=6),"",WORKDAY($AA22,CHOOSE($Z22,3,3,2,2,3),Holidays))</f>
        <v/>
      </c>
      <c r="AC22" s="17">
        <f>IF(OR($Z22="",$Z22=6),"",CHOOSE($Z22,"1st Email Follow-up","2nd Email Follow-up","Escalate Local Office","Escalate to CBE","Escalate to Roxanne"))</f>
        <v/>
      </c>
    </row>
    <row r="23" spans="13:29">
      <c r="M23" s="14"/>
      <c r="T23" s="16"/>
      <c r="U23" s="17">
        <f>IF(AND(COUNTA($A23:$L23)=0,$N23=""),"",IF($T23="Paid","PAID",IF($T23="Closed","CLOSED",IF($Z23="","",IF($Z23=6,"ESCALATED TO ROXANNE",IF(TODAY()&gt;$AB23,"OVERDUE",IF($AB23&lt;=WORKDAY(TODAY(),1,Holidays),"DUE TOMORROW",IF($Z23=4,"ESCALATED TO LOCAL OFFICE",IF($Z23=5,"ESCALATED TO CBE",IF($AA23=TODAY(),"EMAIL SENT","MONITORING"))))))))))</f>
        <v/>
      </c>
      <c r="V23" s="17">
        <f>IF($U23="",IF(AND(COUNTA($A23:$L23)&gt;0,$N23=""),"Awaiting Collection Email time stamp.",""),IF(OR($U23="PAID",$U23="CLOSED"),IF($U23="PAID","Account paid. Action completed.","Account closed. No further action required."),CHOOSE($Z23,"Collection Email","1st Email Follow-up","2nd Email Follow-up","Escalation to Local Office","Escalation to CBE","Escalation to Roxanne")&amp;" sent "&amp;TEXT($AA23,"dd-mmm")&amp;". "&amp;IF($Z23=6,"Final escalation completed.",IF($U23="OVERDUE","Next: "&amp;$AC23&amp;" was due "&amp;TEXT($AB23,"dd-mmm")&amp;" - "&amp;(NETWORKDAYS($AB23,TODAY(),Holidays)-1)&amp;" business day(s) late. Send now.",IF($U23="DUE TOMORROW","Next: "&amp;$AC23&amp;IF($AB23&lt;=TODAY()," is due TODAY ("," is due next business day (")&amp;TEXT($AB23,"dd-mmm")&amp;").","Next: "&amp;$AC23&amp;" due "&amp;TEXT($AB23,"dd-mmm")&amp;" ("&amp;(NETWORKDAYS(TODAY(),$AB23,Holidays)-1)&amp;" business day(s) left).")))))</f>
        <v/>
      </c>
      <c r="W23" s="17">
        <f>IF($Z23="","",CHOOSE($Z23,"Collection Email","1st Follow-up","2nd Follow-up","Local Office","CBE","Roxanne")&amp;IF($Z23=6," - Final"," - Day "&amp;MAX(0,NETWORKDAYS($AA23,TODAY(),Holidays)-1)&amp;" of "&amp;CHOOSE($Z23,3,3,2,2,3))&amp;" | Total Day "&amp;MAX(0,NETWORKDAYS($N23,TODAY(),Holidays)-1))</f>
        <v/>
      </c>
      <c r="X23" s="18"/>
      <c r="Y23" s="18"/>
      <c r="Z23" s="17">
        <f>IF($N23="","",COUNT($N23:$S23))</f>
        <v/>
      </c>
      <c r="AA23" s="19">
        <f>IF($Z23="","",INT(INDEX($N23:$S23,$Z23)))</f>
        <v/>
      </c>
      <c r="AB23" s="19">
        <f>IF(OR($Z23="",$Z23=6),"",WORKDAY($AA23,CHOOSE($Z23,3,3,2,2,3),Holidays))</f>
        <v/>
      </c>
      <c r="AC23" s="17">
        <f>IF(OR($Z23="",$Z23=6),"",CHOOSE($Z23,"1st Email Follow-up","2nd Email Follow-up","Escalate Local Office","Escalate to CBE","Escalate to Roxanne"))</f>
        <v/>
      </c>
    </row>
    <row r="24" spans="13:29">
      <c r="M24" s="14"/>
      <c r="T24" s="16"/>
      <c r="U24" s="17">
        <f>IF(AND(COUNTA($A24:$L24)=0,$N24=""),"",IF($T24="Paid","PAID",IF($T24="Closed","CLOSED",IF($Z24="","",IF($Z24=6,"ESCALATED TO ROXANNE",IF(TODAY()&gt;$AB24,"OVERDUE",IF($AB24&lt;=WORKDAY(TODAY(),1,Holidays),"DUE TOMORROW",IF($Z24=4,"ESCALATED TO LOCAL OFFICE",IF($Z24=5,"ESCALATED TO CBE",IF($AA24=TODAY(),"EMAIL SENT","MONITORING"))))))))))</f>
        <v/>
      </c>
      <c r="V24" s="17">
        <f>IF($U24="",IF(AND(COUNTA($A24:$L24)&gt;0,$N24=""),"Awaiting Collection Email time stamp.",""),IF(OR($U24="PAID",$U24="CLOSED"),IF($U24="PAID","Account paid. Action completed.","Account closed. No further action required."),CHOOSE($Z24,"Collection Email","1st Email Follow-up","2nd Email Follow-up","Escalation to Local Office","Escalation to CBE","Escalation to Roxanne")&amp;" sent "&amp;TEXT($AA24,"dd-mmm")&amp;". "&amp;IF($Z24=6,"Final escalation completed.",IF($U24="OVERDUE","Next: "&amp;$AC24&amp;" was due "&amp;TEXT($AB24,"dd-mmm")&amp;" - "&amp;(NETWORKDAYS($AB24,TODAY(),Holidays)-1)&amp;" business day(s) late. Send now.",IF($U24="DUE TOMORROW","Next: "&amp;$AC24&amp;IF($AB24&lt;=TODAY()," is due TODAY ("," is due next business day (")&amp;TEXT($AB24,"dd-mmm")&amp;").","Next: "&amp;$AC24&amp;" due "&amp;TEXT($AB24,"dd-mmm")&amp;" ("&amp;(NETWORKDAYS(TODAY(),$AB24,Holidays)-1)&amp;" business day(s) left).")))))</f>
        <v/>
      </c>
      <c r="W24" s="17">
        <f>IF($Z24="","",CHOOSE($Z24,"Collection Email","1st Follow-up","2nd Follow-up","Local Office","CBE","Roxanne")&amp;IF($Z24=6," - Final"," - Day "&amp;MAX(0,NETWORKDAYS($AA24,TODAY(),Holidays)-1)&amp;" of "&amp;CHOOSE($Z24,3,3,2,2,3))&amp;" | Total Day "&amp;MAX(0,NETWORKDAYS($N24,TODAY(),Holidays)-1))</f>
        <v/>
      </c>
      <c r="X24" s="18"/>
      <c r="Y24" s="18"/>
      <c r="Z24" s="17">
        <f>IF($N24="","",COUNT($N24:$S24))</f>
        <v/>
      </c>
      <c r="AA24" s="19">
        <f>IF($Z24="","",INT(INDEX($N24:$S24,$Z24)))</f>
        <v/>
      </c>
      <c r="AB24" s="19">
        <f>IF(OR($Z24="",$Z24=6),"",WORKDAY($AA24,CHOOSE($Z24,3,3,2,2,3),Holidays))</f>
        <v/>
      </c>
      <c r="AC24" s="17">
        <f>IF(OR($Z24="",$Z24=6),"",CHOOSE($Z24,"1st Email Follow-up","2nd Email Follow-up","Escalate Local Office","Escalate to CBE","Escalate to Roxanne"))</f>
        <v/>
      </c>
    </row>
    <row r="25" spans="13:29">
      <c r="M25" s="14"/>
      <c r="T25" s="16"/>
      <c r="U25" s="17">
        <f>IF(AND(COUNTA($A25:$L25)=0,$N25=""),"",IF($T25="Paid","PAID",IF($T25="Closed","CLOSED",IF($Z25="","",IF($Z25=6,"ESCALATED TO ROXANNE",IF(TODAY()&gt;$AB25,"OVERDUE",IF($AB25&lt;=WORKDAY(TODAY(),1,Holidays),"DUE TOMORROW",IF($Z25=4,"ESCALATED TO LOCAL OFFICE",IF($Z25=5,"ESCALATED TO CBE",IF($AA25=TODAY(),"EMAIL SENT","MONITORING"))))))))))</f>
        <v/>
      </c>
      <c r="V25" s="17">
        <f>IF($U25="",IF(AND(COUNTA($A25:$L25)&gt;0,$N25=""),"Awaiting Collection Email time stamp.",""),IF(OR($U25="PAID",$U25="CLOSED"),IF($U25="PAID","Account paid. Action completed.","Account closed. No further action required."),CHOOSE($Z25,"Collection Email","1st Email Follow-up","2nd Email Follow-up","Escalation to Local Office","Escalation to CBE","Escalation to Roxanne")&amp;" sent "&amp;TEXT($AA25,"dd-mmm")&amp;". "&amp;IF($Z25=6,"Final escalation completed.",IF($U25="OVERDUE","Next: "&amp;$AC25&amp;" was due "&amp;TEXT($AB25,"dd-mmm")&amp;" - "&amp;(NETWORKDAYS($AB25,TODAY(),Holidays)-1)&amp;" business day(s) late. Send now.",IF($U25="DUE TOMORROW","Next: "&amp;$AC25&amp;IF($AB25&lt;=TODAY()," is due TODAY ("," is due next business day (")&amp;TEXT($AB25,"dd-mmm")&amp;").","Next: "&amp;$AC25&amp;" due "&amp;TEXT($AB25,"dd-mmm")&amp;" ("&amp;(NETWORKDAYS(TODAY(),$AB25,Holidays)-1)&amp;" business day(s) left).")))))</f>
        <v/>
      </c>
      <c r="W25" s="17">
        <f>IF($Z25="","",CHOOSE($Z25,"Collection Email","1st Follow-up","2nd Follow-up","Local Office","CBE","Roxanne")&amp;IF($Z25=6," - Final"," - Day "&amp;MAX(0,NETWORKDAYS($AA25,TODAY(),Holidays)-1)&amp;" of "&amp;CHOOSE($Z25,3,3,2,2,3))&amp;" | Total Day "&amp;MAX(0,NETWORKDAYS($N25,TODAY(),Holidays)-1))</f>
        <v/>
      </c>
      <c r="X25" s="18"/>
      <c r="Y25" s="18"/>
      <c r="Z25" s="17">
        <f>IF($N25="","",COUNT($N25:$S25))</f>
        <v/>
      </c>
      <c r="AA25" s="19">
        <f>IF($Z25="","",INT(INDEX($N25:$S25,$Z25)))</f>
        <v/>
      </c>
      <c r="AB25" s="19">
        <f>IF(OR($Z25="",$Z25=6),"",WORKDAY($AA25,CHOOSE($Z25,3,3,2,2,3),Holidays))</f>
        <v/>
      </c>
      <c r="AC25" s="17">
        <f>IF(OR($Z25="",$Z25=6),"",CHOOSE($Z25,"1st Email Follow-up","2nd Email Follow-up","Escalate Local Office","Escalate to CBE","Escalate to Roxanne"))</f>
        <v/>
      </c>
    </row>
    <row r="26" spans="13:29">
      <c r="M26" s="14"/>
      <c r="T26" s="16"/>
      <c r="U26" s="17">
        <f>IF(AND(COUNTA($A26:$L26)=0,$N26=""),"",IF($T26="Paid","PAID",IF($T26="Closed","CLOSED",IF($Z26="","",IF($Z26=6,"ESCALATED TO ROXANNE",IF(TODAY()&gt;$AB26,"OVERDUE",IF($AB26&lt;=WORKDAY(TODAY(),1,Holidays),"DUE TOMORROW",IF($Z26=4,"ESCALATED TO LOCAL OFFICE",IF($Z26=5,"ESCALATED TO CBE",IF($AA26=TODAY(),"EMAIL SENT","MONITORING"))))))))))</f>
        <v/>
      </c>
      <c r="V26" s="17">
        <f>IF($U26="",IF(AND(COUNTA($A26:$L26)&gt;0,$N26=""),"Awaiting Collection Email time stamp.",""),IF(OR($U26="PAID",$U26="CLOSED"),IF($U26="PAID","Account paid. Action completed.","Account closed. No further action required."),CHOOSE($Z26,"Collection Email","1st Email Follow-up","2nd Email Follow-up","Escalation to Local Office","Escalation to CBE","Escalation to Roxanne")&amp;" sent "&amp;TEXT($AA26,"dd-mmm")&amp;". "&amp;IF($Z26=6,"Final escalation completed.",IF($U26="OVERDUE","Next: "&amp;$AC26&amp;" was due "&amp;TEXT($AB26,"dd-mmm")&amp;" - "&amp;(NETWORKDAYS($AB26,TODAY(),Holidays)-1)&amp;" business day(s) late. Send now.",IF($U26="DUE TOMORROW","Next: "&amp;$AC26&amp;IF($AB26&lt;=TODAY()," is due TODAY ("," is due next business day (")&amp;TEXT($AB26,"dd-mmm")&amp;").","Next: "&amp;$AC26&amp;" due "&amp;TEXT($AB26,"dd-mmm")&amp;" ("&amp;(NETWORKDAYS(TODAY(),$AB26,Holidays)-1)&amp;" business day(s) left).")))))</f>
        <v/>
      </c>
      <c r="W26" s="17">
        <f>IF($Z26="","",CHOOSE($Z26,"Collection Email","1st Follow-up","2nd Follow-up","Local Office","CBE","Roxanne")&amp;IF($Z26=6," - Final"," - Day "&amp;MAX(0,NETWORKDAYS($AA26,TODAY(),Holidays)-1)&amp;" of "&amp;CHOOSE($Z26,3,3,2,2,3))&amp;" | Total Day "&amp;MAX(0,NETWORKDAYS($N26,TODAY(),Holidays)-1))</f>
        <v/>
      </c>
      <c r="X26" s="18"/>
      <c r="Y26" s="18"/>
      <c r="Z26" s="17">
        <f>IF($N26="","",COUNT($N26:$S26))</f>
        <v/>
      </c>
      <c r="AA26" s="19">
        <f>IF($Z26="","",INT(INDEX($N26:$S26,$Z26)))</f>
        <v/>
      </c>
      <c r="AB26" s="19">
        <f>IF(OR($Z26="",$Z26=6),"",WORKDAY($AA26,CHOOSE($Z26,3,3,2,2,3),Holidays))</f>
        <v/>
      </c>
      <c r="AC26" s="17">
        <f>IF(OR($Z26="",$Z26=6),"",CHOOSE($Z26,"1st Email Follow-up","2nd Email Follow-up","Escalate Local Office","Escalate to CBE","Escalate to Roxanne"))</f>
        <v/>
      </c>
    </row>
    <row r="27" spans="13:29">
      <c r="M27" s="14"/>
      <c r="T27" s="16"/>
      <c r="U27" s="17">
        <f>IF(AND(COUNTA($A27:$L27)=0,$N27=""),"",IF($T27="Paid","PAID",IF($T27="Closed","CLOSED",IF($Z27="","",IF($Z27=6,"ESCALATED TO ROXANNE",IF(TODAY()&gt;$AB27,"OVERDUE",IF($AB27&lt;=WORKDAY(TODAY(),1,Holidays),"DUE TOMORROW",IF($Z27=4,"ESCALATED TO LOCAL OFFICE",IF($Z27=5,"ESCALATED TO CBE",IF($AA27=TODAY(),"EMAIL SENT","MONITORING"))))))))))</f>
        <v/>
      </c>
      <c r="V27" s="17">
        <f>IF($U27="",IF(AND(COUNTA($A27:$L27)&gt;0,$N27=""),"Awaiting Collection Email time stamp.",""),IF(OR($U27="PAID",$U27="CLOSED"),IF($U27="PAID","Account paid. Action completed.","Account closed. No further action required."),CHOOSE($Z27,"Collection Email","1st Email Follow-up","2nd Email Follow-up","Escalation to Local Office","Escalation to CBE","Escalation to Roxanne")&amp;" sent "&amp;TEXT($AA27,"dd-mmm")&amp;". "&amp;IF($Z27=6,"Final escalation completed.",IF($U27="OVERDUE","Next: "&amp;$AC27&amp;" was due "&amp;TEXT($AB27,"dd-mmm")&amp;" - "&amp;(NETWORKDAYS($AB27,TODAY(),Holidays)-1)&amp;" business day(s) late. Send now.",IF($U27="DUE TOMORROW","Next: "&amp;$AC27&amp;IF($AB27&lt;=TODAY()," is due TODAY ("," is due next business day (")&amp;TEXT($AB27,"dd-mmm")&amp;").","Next: "&amp;$AC27&amp;" due "&amp;TEXT($AB27,"dd-mmm")&amp;" ("&amp;(NETWORKDAYS(TODAY(),$AB27,Holidays)-1)&amp;" business day(s) left).")))))</f>
        <v/>
      </c>
      <c r="W27" s="17">
        <f>IF($Z27="","",CHOOSE($Z27,"Collection Email","1st Follow-up","2nd Follow-up","Local Office","CBE","Roxanne")&amp;IF($Z27=6," - Final"," - Day "&amp;MAX(0,NETWORKDAYS($AA27,TODAY(),Holidays)-1)&amp;" of "&amp;CHOOSE($Z27,3,3,2,2,3))&amp;" | Total Day "&amp;MAX(0,NETWORKDAYS($N27,TODAY(),Holidays)-1))</f>
        <v/>
      </c>
      <c r="X27" s="18"/>
      <c r="Y27" s="18"/>
      <c r="Z27" s="17">
        <f>IF($N27="","",COUNT($N27:$S27))</f>
        <v/>
      </c>
      <c r="AA27" s="19">
        <f>IF($Z27="","",INT(INDEX($N27:$S27,$Z27)))</f>
        <v/>
      </c>
      <c r="AB27" s="19">
        <f>IF(OR($Z27="",$Z27=6),"",WORKDAY($AA27,CHOOSE($Z27,3,3,2,2,3),Holidays))</f>
        <v/>
      </c>
      <c r="AC27" s="17">
        <f>IF(OR($Z27="",$Z27=6),"",CHOOSE($Z27,"1st Email Follow-up","2nd Email Follow-up","Escalate Local Office","Escalate to CBE","Escalate to Roxanne"))</f>
        <v/>
      </c>
    </row>
    <row r="28" spans="13:29">
      <c r="M28" s="14"/>
      <c r="T28" s="16"/>
      <c r="U28" s="17">
        <f>IF(AND(COUNTA($A28:$L28)=0,$N28=""),"",IF($T28="Paid","PAID",IF($T28="Closed","CLOSED",IF($Z28="","",IF($Z28=6,"ESCALATED TO ROXANNE",IF(TODAY()&gt;$AB28,"OVERDUE",IF($AB28&lt;=WORKDAY(TODAY(),1,Holidays),"DUE TOMORROW",IF($Z28=4,"ESCALATED TO LOCAL OFFICE",IF($Z28=5,"ESCALATED TO CBE",IF($AA28=TODAY(),"EMAIL SENT","MONITORING"))))))))))</f>
        <v/>
      </c>
      <c r="V28" s="17">
        <f>IF($U28="",IF(AND(COUNTA($A28:$L28)&gt;0,$N28=""),"Awaiting Collection Email time stamp.",""),IF(OR($U28="PAID",$U28="CLOSED"),IF($U28="PAID","Account paid. Action completed.","Account closed. No further action required."),CHOOSE($Z28,"Collection Email","1st Email Follow-up","2nd Email Follow-up","Escalation to Local Office","Escalation to CBE","Escalation to Roxanne")&amp;" sent "&amp;TEXT($AA28,"dd-mmm")&amp;". "&amp;IF($Z28=6,"Final escalation completed.",IF($U28="OVERDUE","Next: "&amp;$AC28&amp;" was due "&amp;TEXT($AB28,"dd-mmm")&amp;" - "&amp;(NETWORKDAYS($AB28,TODAY(),Holidays)-1)&amp;" business day(s) late. Send now.",IF($U28="DUE TOMORROW","Next: "&amp;$AC28&amp;IF($AB28&lt;=TODAY()," is due TODAY ("," is due next business day (")&amp;TEXT($AB28,"dd-mmm")&amp;").","Next: "&amp;$AC28&amp;" due "&amp;TEXT($AB28,"dd-mmm")&amp;" ("&amp;(NETWORKDAYS(TODAY(),$AB28,Holidays)-1)&amp;" business day(s) left).")))))</f>
        <v/>
      </c>
      <c r="W28" s="17">
        <f>IF($Z28="","",CHOOSE($Z28,"Collection Email","1st Follow-up","2nd Follow-up","Local Office","CBE","Roxanne")&amp;IF($Z28=6," - Final"," - Day "&amp;MAX(0,NETWORKDAYS($AA28,TODAY(),Holidays)-1)&amp;" of "&amp;CHOOSE($Z28,3,3,2,2,3))&amp;" | Total Day "&amp;MAX(0,NETWORKDAYS($N28,TODAY(),Holidays)-1))</f>
        <v/>
      </c>
      <c r="X28" s="18"/>
      <c r="Y28" s="18"/>
      <c r="Z28" s="17">
        <f>IF($N28="","",COUNT($N28:$S28))</f>
        <v/>
      </c>
      <c r="AA28" s="19">
        <f>IF($Z28="","",INT(INDEX($N28:$S28,$Z28)))</f>
        <v/>
      </c>
      <c r="AB28" s="19">
        <f>IF(OR($Z28="",$Z28=6),"",WORKDAY($AA28,CHOOSE($Z28,3,3,2,2,3),Holidays))</f>
        <v/>
      </c>
      <c r="AC28" s="17">
        <f>IF(OR($Z28="",$Z28=6),"",CHOOSE($Z28,"1st Email Follow-up","2nd Email Follow-up","Escalate Local Office","Escalate to CBE","Escalate to Roxanne"))</f>
        <v/>
      </c>
    </row>
    <row r="29" spans="13:29">
      <c r="M29" s="14"/>
      <c r="T29" s="16"/>
      <c r="U29" s="17">
        <f>IF(AND(COUNTA($A29:$L29)=0,$N29=""),"",IF($T29="Paid","PAID",IF($T29="Closed","CLOSED",IF($Z29="","",IF($Z29=6,"ESCALATED TO ROXANNE",IF(TODAY()&gt;$AB29,"OVERDUE",IF($AB29&lt;=WORKDAY(TODAY(),1,Holidays),"DUE TOMORROW",IF($Z29=4,"ESCALATED TO LOCAL OFFICE",IF($Z29=5,"ESCALATED TO CBE",IF($AA29=TODAY(),"EMAIL SENT","MONITORING"))))))))))</f>
        <v/>
      </c>
      <c r="V29" s="17">
        <f>IF($U29="",IF(AND(COUNTA($A29:$L29)&gt;0,$N29=""),"Awaiting Collection Email time stamp.",""),IF(OR($U29="PAID",$U29="CLOSED"),IF($U29="PAID","Account paid. Action completed.","Account closed. No further action required."),CHOOSE($Z29,"Collection Email","1st Email Follow-up","2nd Email Follow-up","Escalation to Local Office","Escalation to CBE","Escalation to Roxanne")&amp;" sent "&amp;TEXT($AA29,"dd-mmm")&amp;". "&amp;IF($Z29=6,"Final escalation completed.",IF($U29="OVERDUE","Next: "&amp;$AC29&amp;" was due "&amp;TEXT($AB29,"dd-mmm")&amp;" - "&amp;(NETWORKDAYS($AB29,TODAY(),Holidays)-1)&amp;" business day(s) late. Send now.",IF($U29="DUE TOMORROW","Next: "&amp;$AC29&amp;IF($AB29&lt;=TODAY()," is due TODAY ("," is due next business day (")&amp;TEXT($AB29,"dd-mmm")&amp;").","Next: "&amp;$AC29&amp;" due "&amp;TEXT($AB29,"dd-mmm")&amp;" ("&amp;(NETWORKDAYS(TODAY(),$AB29,Holidays)-1)&amp;" business day(s) left).")))))</f>
        <v/>
      </c>
      <c r="W29" s="17">
        <f>IF($Z29="","",CHOOSE($Z29,"Collection Email","1st Follow-up","2nd Follow-up","Local Office","CBE","Roxanne")&amp;IF($Z29=6," - Final"," - Day "&amp;MAX(0,NETWORKDAYS($AA29,TODAY(),Holidays)-1)&amp;" of "&amp;CHOOSE($Z29,3,3,2,2,3))&amp;" | Total Day "&amp;MAX(0,NETWORKDAYS($N29,TODAY(),Holidays)-1))</f>
        <v/>
      </c>
      <c r="X29" s="18"/>
      <c r="Y29" s="18"/>
      <c r="Z29" s="17">
        <f>IF($N29="","",COUNT($N29:$S29))</f>
        <v/>
      </c>
      <c r="AA29" s="19">
        <f>IF($Z29="","",INT(INDEX($N29:$S29,$Z29)))</f>
        <v/>
      </c>
      <c r="AB29" s="19">
        <f>IF(OR($Z29="",$Z29=6),"",WORKDAY($AA29,CHOOSE($Z29,3,3,2,2,3),Holidays))</f>
        <v/>
      </c>
      <c r="AC29" s="17">
        <f>IF(OR($Z29="",$Z29=6),"",CHOOSE($Z29,"1st Email Follow-up","2nd Email Follow-up","Escalate Local Office","Escalate to CBE","Escalate to Roxanne"))</f>
        <v/>
      </c>
    </row>
    <row r="30" spans="13:29">
      <c r="M30" s="14"/>
      <c r="T30" s="16"/>
      <c r="U30" s="17">
        <f>IF(AND(COUNTA($A30:$L30)=0,$N30=""),"",IF($T30="Paid","PAID",IF($T30="Closed","CLOSED",IF($Z30="","",IF($Z30=6,"ESCALATED TO ROXANNE",IF(TODAY()&gt;$AB30,"OVERDUE",IF($AB30&lt;=WORKDAY(TODAY(),1,Holidays),"DUE TOMORROW",IF($Z30=4,"ESCALATED TO LOCAL OFFICE",IF($Z30=5,"ESCALATED TO CBE",IF($AA30=TODAY(),"EMAIL SENT","MONITORING"))))))))))</f>
        <v/>
      </c>
      <c r="V30" s="17">
        <f>IF($U30="",IF(AND(COUNTA($A30:$L30)&gt;0,$N30=""),"Awaiting Collection Email time stamp.",""),IF(OR($U30="PAID",$U30="CLOSED"),IF($U30="PAID","Account paid. Action completed.","Account closed. No further action required."),CHOOSE($Z30,"Collection Email","1st Email Follow-up","2nd Email Follow-up","Escalation to Local Office","Escalation to CBE","Escalation to Roxanne")&amp;" sent "&amp;TEXT($AA30,"dd-mmm")&amp;". "&amp;IF($Z30=6,"Final escalation completed.",IF($U30="OVERDUE","Next: "&amp;$AC30&amp;" was due "&amp;TEXT($AB30,"dd-mmm")&amp;" - "&amp;(NETWORKDAYS($AB30,TODAY(),Holidays)-1)&amp;" business day(s) late. Send now.",IF($U30="DUE TOMORROW","Next: "&amp;$AC30&amp;IF($AB30&lt;=TODAY()," is due TODAY ("," is due next business day (")&amp;TEXT($AB30,"dd-mmm")&amp;").","Next: "&amp;$AC30&amp;" due "&amp;TEXT($AB30,"dd-mmm")&amp;" ("&amp;(NETWORKDAYS(TODAY(),$AB30,Holidays)-1)&amp;" business day(s) left).")))))</f>
        <v/>
      </c>
      <c r="W30" s="17">
        <f>IF($Z30="","",CHOOSE($Z30,"Collection Email","1st Follow-up","2nd Follow-up","Local Office","CBE","Roxanne")&amp;IF($Z30=6," - Final"," - Day "&amp;MAX(0,NETWORKDAYS($AA30,TODAY(),Holidays)-1)&amp;" of "&amp;CHOOSE($Z30,3,3,2,2,3))&amp;" | Total Day "&amp;MAX(0,NETWORKDAYS($N30,TODAY(),Holidays)-1))</f>
        <v/>
      </c>
      <c r="X30" s="18"/>
      <c r="Y30" s="18"/>
      <c r="Z30" s="17">
        <f>IF($N30="","",COUNT($N30:$S30))</f>
        <v/>
      </c>
      <c r="AA30" s="19">
        <f>IF($Z30="","",INT(INDEX($N30:$S30,$Z30)))</f>
        <v/>
      </c>
      <c r="AB30" s="19">
        <f>IF(OR($Z30="",$Z30=6),"",WORKDAY($AA30,CHOOSE($Z30,3,3,2,2,3),Holidays))</f>
        <v/>
      </c>
      <c r="AC30" s="17">
        <f>IF(OR($Z30="",$Z30=6),"",CHOOSE($Z30,"1st Email Follow-up","2nd Email Follow-up","Escalate Local Office","Escalate to CBE","Escalate to Roxanne"))</f>
        <v/>
      </c>
    </row>
    <row r="31" spans="13:29">
      <c r="M31" s="14"/>
      <c r="T31" s="16"/>
      <c r="U31" s="17">
        <f>IF(AND(COUNTA($A31:$L31)=0,$N31=""),"",IF($T31="Paid","PAID",IF($T31="Closed","CLOSED",IF($Z31="","",IF($Z31=6,"ESCALATED TO ROXANNE",IF(TODAY()&gt;$AB31,"OVERDUE",IF($AB31&lt;=WORKDAY(TODAY(),1,Holidays),"DUE TOMORROW",IF($Z31=4,"ESCALATED TO LOCAL OFFICE",IF($Z31=5,"ESCALATED TO CBE",IF($AA31=TODAY(),"EMAIL SENT","MONITORING"))))))))))</f>
        <v/>
      </c>
      <c r="V31" s="17">
        <f>IF($U31="",IF(AND(COUNTA($A31:$L31)&gt;0,$N31=""),"Awaiting Collection Email time stamp.",""),IF(OR($U31="PAID",$U31="CLOSED"),IF($U31="PAID","Account paid. Action completed.","Account closed. No further action required."),CHOOSE($Z31,"Collection Email","1st Email Follow-up","2nd Email Follow-up","Escalation to Local Office","Escalation to CBE","Escalation to Roxanne")&amp;" sent "&amp;TEXT($AA31,"dd-mmm")&amp;". "&amp;IF($Z31=6,"Final escalation completed.",IF($U31="OVERDUE","Next: "&amp;$AC31&amp;" was due "&amp;TEXT($AB31,"dd-mmm")&amp;" - "&amp;(NETWORKDAYS($AB31,TODAY(),Holidays)-1)&amp;" business day(s) late. Send now.",IF($U31="DUE TOMORROW","Next: "&amp;$AC31&amp;IF($AB31&lt;=TODAY()," is due TODAY ("," is due next business day (")&amp;TEXT($AB31,"dd-mmm")&amp;").","Next: "&amp;$AC31&amp;" due "&amp;TEXT($AB31,"dd-mmm")&amp;" ("&amp;(NETWORKDAYS(TODAY(),$AB31,Holidays)-1)&amp;" business day(s) left).")))))</f>
        <v/>
      </c>
      <c r="W31" s="17">
        <f>IF($Z31="","",CHOOSE($Z31,"Collection Email","1st Follow-up","2nd Follow-up","Local Office","CBE","Roxanne")&amp;IF($Z31=6," - Final"," - Day "&amp;MAX(0,NETWORKDAYS($AA31,TODAY(),Holidays)-1)&amp;" of "&amp;CHOOSE($Z31,3,3,2,2,3))&amp;" | Total Day "&amp;MAX(0,NETWORKDAYS($N31,TODAY(),Holidays)-1))</f>
        <v/>
      </c>
      <c r="X31" s="18"/>
      <c r="Y31" s="18"/>
      <c r="Z31" s="17">
        <f>IF($N31="","",COUNT($N31:$S31))</f>
        <v/>
      </c>
      <c r="AA31" s="19">
        <f>IF($Z31="","",INT(INDEX($N31:$S31,$Z31)))</f>
        <v/>
      </c>
      <c r="AB31" s="19">
        <f>IF(OR($Z31="",$Z31=6),"",WORKDAY($AA31,CHOOSE($Z31,3,3,2,2,3),Holidays))</f>
        <v/>
      </c>
      <c r="AC31" s="17">
        <f>IF(OR($Z31="",$Z31=6),"",CHOOSE($Z31,"1st Email Follow-up","2nd Email Follow-up","Escalate Local Office","Escalate to CBE","Escalate to Roxanne"))</f>
        <v/>
      </c>
    </row>
    <row r="32" spans="13:29">
      <c r="M32" s="14"/>
      <c r="T32" s="16"/>
      <c r="U32" s="17">
        <f>IF(AND(COUNTA($A32:$L32)=0,$N32=""),"",IF($T32="Paid","PAID",IF($T32="Closed","CLOSED",IF($Z32="","",IF($Z32=6,"ESCALATED TO ROXANNE",IF(TODAY()&gt;$AB32,"OVERDUE",IF($AB32&lt;=WORKDAY(TODAY(),1,Holidays),"DUE TOMORROW",IF($Z32=4,"ESCALATED TO LOCAL OFFICE",IF($Z32=5,"ESCALATED TO CBE",IF($AA32=TODAY(),"EMAIL SENT","MONITORING"))))))))))</f>
        <v/>
      </c>
      <c r="V32" s="17">
        <f>IF($U32="",IF(AND(COUNTA($A32:$L32)&gt;0,$N32=""),"Awaiting Collection Email time stamp.",""),IF(OR($U32="PAID",$U32="CLOSED"),IF($U32="PAID","Account paid. Action completed.","Account closed. No further action required."),CHOOSE($Z32,"Collection Email","1st Email Follow-up","2nd Email Follow-up","Escalation to Local Office","Escalation to CBE","Escalation to Roxanne")&amp;" sent "&amp;TEXT($AA32,"dd-mmm")&amp;". "&amp;IF($Z32=6,"Final escalation completed.",IF($U32="OVERDUE","Next: "&amp;$AC32&amp;" was due "&amp;TEXT($AB32,"dd-mmm")&amp;" - "&amp;(NETWORKDAYS($AB32,TODAY(),Holidays)-1)&amp;" business day(s) late. Send now.",IF($U32="DUE TOMORROW","Next: "&amp;$AC32&amp;IF($AB32&lt;=TODAY()," is due TODAY ("," is due next business day (")&amp;TEXT($AB32,"dd-mmm")&amp;").","Next: "&amp;$AC32&amp;" due "&amp;TEXT($AB32,"dd-mmm")&amp;" ("&amp;(NETWORKDAYS(TODAY(),$AB32,Holidays)-1)&amp;" business day(s) left).")))))</f>
        <v/>
      </c>
      <c r="W32" s="17">
        <f>IF($Z32="","",CHOOSE($Z32,"Collection Email","1st Follow-up","2nd Follow-up","Local Office","CBE","Roxanne")&amp;IF($Z32=6," - Final"," - Day "&amp;MAX(0,NETWORKDAYS($AA32,TODAY(),Holidays)-1)&amp;" of "&amp;CHOOSE($Z32,3,3,2,2,3))&amp;" | Total Day "&amp;MAX(0,NETWORKDAYS($N32,TODAY(),Holidays)-1))</f>
        <v/>
      </c>
      <c r="X32" s="18"/>
      <c r="Y32" s="18"/>
      <c r="Z32" s="17">
        <f>IF($N32="","",COUNT($N32:$S32))</f>
        <v/>
      </c>
      <c r="AA32" s="19">
        <f>IF($Z32="","",INT(INDEX($N32:$S32,$Z32)))</f>
        <v/>
      </c>
      <c r="AB32" s="19">
        <f>IF(OR($Z32="",$Z32=6),"",WORKDAY($AA32,CHOOSE($Z32,3,3,2,2,3),Holidays))</f>
        <v/>
      </c>
      <c r="AC32" s="17">
        <f>IF(OR($Z32="",$Z32=6),"",CHOOSE($Z32,"1st Email Follow-up","2nd Email Follow-up","Escalate Local Office","Escalate to CBE","Escalate to Roxanne"))</f>
        <v/>
      </c>
    </row>
    <row r="33" spans="13:29">
      <c r="M33" s="14"/>
      <c r="T33" s="16"/>
      <c r="U33" s="17">
        <f>IF(AND(COUNTA($A33:$L33)=0,$N33=""),"",IF($T33="Paid","PAID",IF($T33="Closed","CLOSED",IF($Z33="","",IF($Z33=6,"ESCALATED TO ROXANNE",IF(TODAY()&gt;$AB33,"OVERDUE",IF($AB33&lt;=WORKDAY(TODAY(),1,Holidays),"DUE TOMORROW",IF($Z33=4,"ESCALATED TO LOCAL OFFICE",IF($Z33=5,"ESCALATED TO CBE",IF($AA33=TODAY(),"EMAIL SENT","MONITORING"))))))))))</f>
        <v/>
      </c>
      <c r="V33" s="17">
        <f>IF($U33="",IF(AND(COUNTA($A33:$L33)&gt;0,$N33=""),"Awaiting Collection Email time stamp.",""),IF(OR($U33="PAID",$U33="CLOSED"),IF($U33="PAID","Account paid. Action completed.","Account closed. No further action required."),CHOOSE($Z33,"Collection Email","1st Email Follow-up","2nd Email Follow-up","Escalation to Local Office","Escalation to CBE","Escalation to Roxanne")&amp;" sent "&amp;TEXT($AA33,"dd-mmm")&amp;". "&amp;IF($Z33=6,"Final escalation completed.",IF($U33="OVERDUE","Next: "&amp;$AC33&amp;" was due "&amp;TEXT($AB33,"dd-mmm")&amp;" - "&amp;(NETWORKDAYS($AB33,TODAY(),Holidays)-1)&amp;" business day(s) late. Send now.",IF($U33="DUE TOMORROW","Next: "&amp;$AC33&amp;IF($AB33&lt;=TODAY()," is due TODAY ("," is due next business day (")&amp;TEXT($AB33,"dd-mmm")&amp;").","Next: "&amp;$AC33&amp;" due "&amp;TEXT($AB33,"dd-mmm")&amp;" ("&amp;(NETWORKDAYS(TODAY(),$AB33,Holidays)-1)&amp;" business day(s) left).")))))</f>
        <v/>
      </c>
      <c r="W33" s="17">
        <f>IF($Z33="","",CHOOSE($Z33,"Collection Email","1st Follow-up","2nd Follow-up","Local Office","CBE","Roxanne")&amp;IF($Z33=6," - Final"," - Day "&amp;MAX(0,NETWORKDAYS($AA33,TODAY(),Holidays)-1)&amp;" of "&amp;CHOOSE($Z33,3,3,2,2,3))&amp;" | Total Day "&amp;MAX(0,NETWORKDAYS($N33,TODAY(),Holidays)-1))</f>
        <v/>
      </c>
      <c r="X33" s="18"/>
      <c r="Y33" s="18"/>
      <c r="Z33" s="17">
        <f>IF($N33="","",COUNT($N33:$S33))</f>
        <v/>
      </c>
      <c r="AA33" s="19">
        <f>IF($Z33="","",INT(INDEX($N33:$S33,$Z33)))</f>
        <v/>
      </c>
      <c r="AB33" s="19">
        <f>IF(OR($Z33="",$Z33=6),"",WORKDAY($AA33,CHOOSE($Z33,3,3,2,2,3),Holidays))</f>
        <v/>
      </c>
      <c r="AC33" s="17">
        <f>IF(OR($Z33="",$Z33=6),"",CHOOSE($Z33,"1st Email Follow-up","2nd Email Follow-up","Escalate Local Office","Escalate to CBE","Escalate to Roxanne"))</f>
        <v/>
      </c>
    </row>
    <row r="34" spans="13:29">
      <c r="M34" s="14"/>
      <c r="T34" s="16"/>
      <c r="U34" s="17">
        <f>IF(AND(COUNTA($A34:$L34)=0,$N34=""),"",IF($T34="Paid","PAID",IF($T34="Closed","CLOSED",IF($Z34="","",IF($Z34=6,"ESCALATED TO ROXANNE",IF(TODAY()&gt;$AB34,"OVERDUE",IF($AB34&lt;=WORKDAY(TODAY(),1,Holidays),"DUE TOMORROW",IF($Z34=4,"ESCALATED TO LOCAL OFFICE",IF($Z34=5,"ESCALATED TO CBE",IF($AA34=TODAY(),"EMAIL SENT","MONITORING"))))))))))</f>
        <v/>
      </c>
      <c r="V34" s="17">
        <f>IF($U34="",IF(AND(COUNTA($A34:$L34)&gt;0,$N34=""),"Awaiting Collection Email time stamp.",""),IF(OR($U34="PAID",$U34="CLOSED"),IF($U34="PAID","Account paid. Action completed.","Account closed. No further action required."),CHOOSE($Z34,"Collection Email","1st Email Follow-up","2nd Email Follow-up","Escalation to Local Office","Escalation to CBE","Escalation to Roxanne")&amp;" sent "&amp;TEXT($AA34,"dd-mmm")&amp;". "&amp;IF($Z34=6,"Final escalation completed.",IF($U34="OVERDUE","Next: "&amp;$AC34&amp;" was due "&amp;TEXT($AB34,"dd-mmm")&amp;" - "&amp;(NETWORKDAYS($AB34,TODAY(),Holidays)-1)&amp;" business day(s) late. Send now.",IF($U34="DUE TOMORROW","Next: "&amp;$AC34&amp;IF($AB34&lt;=TODAY()," is due TODAY ("," is due next business day (")&amp;TEXT($AB34,"dd-mmm")&amp;").","Next: "&amp;$AC34&amp;" due "&amp;TEXT($AB34,"dd-mmm")&amp;" ("&amp;(NETWORKDAYS(TODAY(),$AB34,Holidays)-1)&amp;" business day(s) left).")))))</f>
        <v/>
      </c>
      <c r="W34" s="17">
        <f>IF($Z34="","",CHOOSE($Z34,"Collection Email","1st Follow-up","2nd Follow-up","Local Office","CBE","Roxanne")&amp;IF($Z34=6," - Final"," - Day "&amp;MAX(0,NETWORKDAYS($AA34,TODAY(),Holidays)-1)&amp;" of "&amp;CHOOSE($Z34,3,3,2,2,3))&amp;" | Total Day "&amp;MAX(0,NETWORKDAYS($N34,TODAY(),Holidays)-1))</f>
        <v/>
      </c>
      <c r="X34" s="18"/>
      <c r="Y34" s="18"/>
      <c r="Z34" s="17">
        <f>IF($N34="","",COUNT($N34:$S34))</f>
        <v/>
      </c>
      <c r="AA34" s="19">
        <f>IF($Z34="","",INT(INDEX($N34:$S34,$Z34)))</f>
        <v/>
      </c>
      <c r="AB34" s="19">
        <f>IF(OR($Z34="",$Z34=6),"",WORKDAY($AA34,CHOOSE($Z34,3,3,2,2,3),Holidays))</f>
        <v/>
      </c>
      <c r="AC34" s="17">
        <f>IF(OR($Z34="",$Z34=6),"",CHOOSE($Z34,"1st Email Follow-up","2nd Email Follow-up","Escalate Local Office","Escalate to CBE","Escalate to Roxanne"))</f>
        <v/>
      </c>
    </row>
    <row r="35" spans="13:29">
      <c r="M35" s="14"/>
      <c r="T35" s="16"/>
      <c r="U35" s="17">
        <f>IF(AND(COUNTA($A35:$L35)=0,$N35=""),"",IF($T35="Paid","PAID",IF($T35="Closed","CLOSED",IF($Z35="","",IF($Z35=6,"ESCALATED TO ROXANNE",IF(TODAY()&gt;$AB35,"OVERDUE",IF($AB35&lt;=WORKDAY(TODAY(),1,Holidays),"DUE TOMORROW",IF($Z35=4,"ESCALATED TO LOCAL OFFICE",IF($Z35=5,"ESCALATED TO CBE",IF($AA35=TODAY(),"EMAIL SENT","MONITORING"))))))))))</f>
        <v/>
      </c>
      <c r="V35" s="17">
        <f>IF($U35="",IF(AND(COUNTA($A35:$L35)&gt;0,$N35=""),"Awaiting Collection Email time stamp.",""),IF(OR($U35="PAID",$U35="CLOSED"),IF($U35="PAID","Account paid. Action completed.","Account closed. No further action required."),CHOOSE($Z35,"Collection Email","1st Email Follow-up","2nd Email Follow-up","Escalation to Local Office","Escalation to CBE","Escalation to Roxanne")&amp;" sent "&amp;TEXT($AA35,"dd-mmm")&amp;". "&amp;IF($Z35=6,"Final escalation completed.",IF($U35="OVERDUE","Next: "&amp;$AC35&amp;" was due "&amp;TEXT($AB35,"dd-mmm")&amp;" - "&amp;(NETWORKDAYS($AB35,TODAY(),Holidays)-1)&amp;" business day(s) late. Send now.",IF($U35="DUE TOMORROW","Next: "&amp;$AC35&amp;IF($AB35&lt;=TODAY()," is due TODAY ("," is due next business day (")&amp;TEXT($AB35,"dd-mmm")&amp;").","Next: "&amp;$AC35&amp;" due "&amp;TEXT($AB35,"dd-mmm")&amp;" ("&amp;(NETWORKDAYS(TODAY(),$AB35,Holidays)-1)&amp;" business day(s) left).")))))</f>
        <v/>
      </c>
      <c r="W35" s="17">
        <f>IF($Z35="","",CHOOSE($Z35,"Collection Email","1st Follow-up","2nd Follow-up","Local Office","CBE","Roxanne")&amp;IF($Z35=6," - Final"," - Day "&amp;MAX(0,NETWORKDAYS($AA35,TODAY(),Holidays)-1)&amp;" of "&amp;CHOOSE($Z35,3,3,2,2,3))&amp;" | Total Day "&amp;MAX(0,NETWORKDAYS($N35,TODAY(),Holidays)-1))</f>
        <v/>
      </c>
      <c r="X35" s="18"/>
      <c r="Y35" s="18"/>
      <c r="Z35" s="17">
        <f>IF($N35="","",COUNT($N35:$S35))</f>
        <v/>
      </c>
      <c r="AA35" s="19">
        <f>IF($Z35="","",INT(INDEX($N35:$S35,$Z35)))</f>
        <v/>
      </c>
      <c r="AB35" s="19">
        <f>IF(OR($Z35="",$Z35=6),"",WORKDAY($AA35,CHOOSE($Z35,3,3,2,2,3),Holidays))</f>
        <v/>
      </c>
      <c r="AC35" s="17">
        <f>IF(OR($Z35="",$Z35=6),"",CHOOSE($Z35,"1st Email Follow-up","2nd Email Follow-up","Escalate Local Office","Escalate to CBE","Escalate to Roxanne"))</f>
        <v/>
      </c>
    </row>
    <row r="36" spans="13:29">
      <c r="M36" s="14"/>
      <c r="T36" s="16"/>
      <c r="U36" s="17">
        <f>IF(AND(COUNTA($A36:$L36)=0,$N36=""),"",IF($T36="Paid","PAID",IF($T36="Closed","CLOSED",IF($Z36="","",IF($Z36=6,"ESCALATED TO ROXANNE",IF(TODAY()&gt;$AB36,"OVERDUE",IF($AB36&lt;=WORKDAY(TODAY(),1,Holidays),"DUE TOMORROW",IF($Z36=4,"ESCALATED TO LOCAL OFFICE",IF($Z36=5,"ESCALATED TO CBE",IF($AA36=TODAY(),"EMAIL SENT","MONITORING"))))))))))</f>
        <v/>
      </c>
      <c r="V36" s="17">
        <f>IF($U36="",IF(AND(COUNTA($A36:$L36)&gt;0,$N36=""),"Awaiting Collection Email time stamp.",""),IF(OR($U36="PAID",$U36="CLOSED"),IF($U36="PAID","Account paid. Action completed.","Account closed. No further action required."),CHOOSE($Z36,"Collection Email","1st Email Follow-up","2nd Email Follow-up","Escalation to Local Office","Escalation to CBE","Escalation to Roxanne")&amp;" sent "&amp;TEXT($AA36,"dd-mmm")&amp;". "&amp;IF($Z36=6,"Final escalation completed.",IF($U36="OVERDUE","Next: "&amp;$AC36&amp;" was due "&amp;TEXT($AB36,"dd-mmm")&amp;" - "&amp;(NETWORKDAYS($AB36,TODAY(),Holidays)-1)&amp;" business day(s) late. Send now.",IF($U36="DUE TOMORROW","Next: "&amp;$AC36&amp;IF($AB36&lt;=TODAY()," is due TODAY ("," is due next business day (")&amp;TEXT($AB36,"dd-mmm")&amp;").","Next: "&amp;$AC36&amp;" due "&amp;TEXT($AB36,"dd-mmm")&amp;" ("&amp;(NETWORKDAYS(TODAY(),$AB36,Holidays)-1)&amp;" business day(s) left).")))))</f>
        <v/>
      </c>
      <c r="W36" s="17">
        <f>IF($Z36="","",CHOOSE($Z36,"Collection Email","1st Follow-up","2nd Follow-up","Local Office","CBE","Roxanne")&amp;IF($Z36=6," - Final"," - Day "&amp;MAX(0,NETWORKDAYS($AA36,TODAY(),Holidays)-1)&amp;" of "&amp;CHOOSE($Z36,3,3,2,2,3))&amp;" | Total Day "&amp;MAX(0,NETWORKDAYS($N36,TODAY(),Holidays)-1))</f>
        <v/>
      </c>
      <c r="X36" s="18"/>
      <c r="Y36" s="18"/>
      <c r="Z36" s="17">
        <f>IF($N36="","",COUNT($N36:$S36))</f>
        <v/>
      </c>
      <c r="AA36" s="19">
        <f>IF($Z36="","",INT(INDEX($N36:$S36,$Z36)))</f>
        <v/>
      </c>
      <c r="AB36" s="19">
        <f>IF(OR($Z36="",$Z36=6),"",WORKDAY($AA36,CHOOSE($Z36,3,3,2,2,3),Holidays))</f>
        <v/>
      </c>
      <c r="AC36" s="17">
        <f>IF(OR($Z36="",$Z36=6),"",CHOOSE($Z36,"1st Email Follow-up","2nd Email Follow-up","Escalate Local Office","Escalate to CBE","Escalate to Roxanne"))</f>
        <v/>
      </c>
    </row>
    <row r="37" spans="13:29">
      <c r="M37" s="14"/>
      <c r="T37" s="16"/>
      <c r="U37" s="17">
        <f>IF(AND(COUNTA($A37:$L37)=0,$N37=""),"",IF($T37="Paid","PAID",IF($T37="Closed","CLOSED",IF($Z37="","",IF($Z37=6,"ESCALATED TO ROXANNE",IF(TODAY()&gt;$AB37,"OVERDUE",IF($AB37&lt;=WORKDAY(TODAY(),1,Holidays),"DUE TOMORROW",IF($Z37=4,"ESCALATED TO LOCAL OFFICE",IF($Z37=5,"ESCALATED TO CBE",IF($AA37=TODAY(),"EMAIL SENT","MONITORING"))))))))))</f>
        <v/>
      </c>
      <c r="V37" s="17">
        <f>IF($U37="",IF(AND(COUNTA($A37:$L37)&gt;0,$N37=""),"Awaiting Collection Email time stamp.",""),IF(OR($U37="PAID",$U37="CLOSED"),IF($U37="PAID","Account paid. Action completed.","Account closed. No further action required."),CHOOSE($Z37,"Collection Email","1st Email Follow-up","2nd Email Follow-up","Escalation to Local Office","Escalation to CBE","Escalation to Roxanne")&amp;" sent "&amp;TEXT($AA37,"dd-mmm")&amp;". "&amp;IF($Z37=6,"Final escalation completed.",IF($U37="OVERDUE","Next: "&amp;$AC37&amp;" was due "&amp;TEXT($AB37,"dd-mmm")&amp;" - "&amp;(NETWORKDAYS($AB37,TODAY(),Holidays)-1)&amp;" business day(s) late. Send now.",IF($U37="DUE TOMORROW","Next: "&amp;$AC37&amp;IF($AB37&lt;=TODAY()," is due TODAY ("," is due next business day (")&amp;TEXT($AB37,"dd-mmm")&amp;").","Next: "&amp;$AC37&amp;" due "&amp;TEXT($AB37,"dd-mmm")&amp;" ("&amp;(NETWORKDAYS(TODAY(),$AB37,Holidays)-1)&amp;" business day(s) left).")))))</f>
        <v/>
      </c>
      <c r="W37" s="17">
        <f>IF($Z37="","",CHOOSE($Z37,"Collection Email","1st Follow-up","2nd Follow-up","Local Office","CBE","Roxanne")&amp;IF($Z37=6," - Final"," - Day "&amp;MAX(0,NETWORKDAYS($AA37,TODAY(),Holidays)-1)&amp;" of "&amp;CHOOSE($Z37,3,3,2,2,3))&amp;" | Total Day "&amp;MAX(0,NETWORKDAYS($N37,TODAY(),Holidays)-1))</f>
        <v/>
      </c>
      <c r="X37" s="18"/>
      <c r="Y37" s="18"/>
      <c r="Z37" s="17">
        <f>IF($N37="","",COUNT($N37:$S37))</f>
        <v/>
      </c>
      <c r="AA37" s="19">
        <f>IF($Z37="","",INT(INDEX($N37:$S37,$Z37)))</f>
        <v/>
      </c>
      <c r="AB37" s="19">
        <f>IF(OR($Z37="",$Z37=6),"",WORKDAY($AA37,CHOOSE($Z37,3,3,2,2,3),Holidays))</f>
        <v/>
      </c>
      <c r="AC37" s="17">
        <f>IF(OR($Z37="",$Z37=6),"",CHOOSE($Z37,"1st Email Follow-up","2nd Email Follow-up","Escalate Local Office","Escalate to CBE","Escalate to Roxanne"))</f>
        <v/>
      </c>
    </row>
    <row r="38" spans="13:29">
      <c r="M38" s="14"/>
      <c r="T38" s="16"/>
      <c r="U38" s="17">
        <f>IF(AND(COUNTA($A38:$L38)=0,$N38=""),"",IF($T38="Paid","PAID",IF($T38="Closed","CLOSED",IF($Z38="","",IF($Z38=6,"ESCALATED TO ROXANNE",IF(TODAY()&gt;$AB38,"OVERDUE",IF($AB38&lt;=WORKDAY(TODAY(),1,Holidays),"DUE TOMORROW",IF($Z38=4,"ESCALATED TO LOCAL OFFICE",IF($Z38=5,"ESCALATED TO CBE",IF($AA38=TODAY(),"EMAIL SENT","MONITORING"))))))))))</f>
        <v/>
      </c>
      <c r="V38" s="17">
        <f>IF($U38="",IF(AND(COUNTA($A38:$L38)&gt;0,$N38=""),"Awaiting Collection Email time stamp.",""),IF(OR($U38="PAID",$U38="CLOSED"),IF($U38="PAID","Account paid. Action completed.","Account closed. No further action required."),CHOOSE($Z38,"Collection Email","1st Email Follow-up","2nd Email Follow-up","Escalation to Local Office","Escalation to CBE","Escalation to Roxanne")&amp;" sent "&amp;TEXT($AA38,"dd-mmm")&amp;". "&amp;IF($Z38=6,"Final escalation completed.",IF($U38="OVERDUE","Next: "&amp;$AC38&amp;" was due "&amp;TEXT($AB38,"dd-mmm")&amp;" - "&amp;(NETWORKDAYS($AB38,TODAY(),Holidays)-1)&amp;" business day(s) late. Send now.",IF($U38="DUE TOMORROW","Next: "&amp;$AC38&amp;IF($AB38&lt;=TODAY()," is due TODAY ("," is due next business day (")&amp;TEXT($AB38,"dd-mmm")&amp;").","Next: "&amp;$AC38&amp;" due "&amp;TEXT($AB38,"dd-mmm")&amp;" ("&amp;(NETWORKDAYS(TODAY(),$AB38,Holidays)-1)&amp;" business day(s) left).")))))</f>
        <v/>
      </c>
      <c r="W38" s="17">
        <f>IF($Z38="","",CHOOSE($Z38,"Collection Email","1st Follow-up","2nd Follow-up","Local Office","CBE","Roxanne")&amp;IF($Z38=6," - Final"," - Day "&amp;MAX(0,NETWORKDAYS($AA38,TODAY(),Holidays)-1)&amp;" of "&amp;CHOOSE($Z38,3,3,2,2,3))&amp;" | Total Day "&amp;MAX(0,NETWORKDAYS($N38,TODAY(),Holidays)-1))</f>
        <v/>
      </c>
      <c r="X38" s="18"/>
      <c r="Y38" s="18"/>
      <c r="Z38" s="17">
        <f>IF($N38="","",COUNT($N38:$S38))</f>
        <v/>
      </c>
      <c r="AA38" s="19">
        <f>IF($Z38="","",INT(INDEX($N38:$S38,$Z38)))</f>
        <v/>
      </c>
      <c r="AB38" s="19">
        <f>IF(OR($Z38="",$Z38=6),"",WORKDAY($AA38,CHOOSE($Z38,3,3,2,2,3),Holidays))</f>
        <v/>
      </c>
      <c r="AC38" s="17">
        <f>IF(OR($Z38="",$Z38=6),"",CHOOSE($Z38,"1st Email Follow-up","2nd Email Follow-up","Escalate Local Office","Escalate to CBE","Escalate to Roxanne"))</f>
        <v/>
      </c>
    </row>
    <row r="39" spans="13:29">
      <c r="M39" s="14"/>
      <c r="T39" s="16"/>
      <c r="U39" s="17">
        <f>IF(AND(COUNTA($A39:$L39)=0,$N39=""),"",IF($T39="Paid","PAID",IF($T39="Closed","CLOSED",IF($Z39="","",IF($Z39=6,"ESCALATED TO ROXANNE",IF(TODAY()&gt;$AB39,"OVERDUE",IF($AB39&lt;=WORKDAY(TODAY(),1,Holidays),"DUE TOMORROW",IF($Z39=4,"ESCALATED TO LOCAL OFFICE",IF($Z39=5,"ESCALATED TO CBE",IF($AA39=TODAY(),"EMAIL SENT","MONITORING"))))))))))</f>
        <v/>
      </c>
      <c r="V39" s="17">
        <f>IF($U39="",IF(AND(COUNTA($A39:$L39)&gt;0,$N39=""),"Awaiting Collection Email time stamp.",""),IF(OR($U39="PAID",$U39="CLOSED"),IF($U39="PAID","Account paid. Action completed.","Account closed. No further action required."),CHOOSE($Z39,"Collection Email","1st Email Follow-up","2nd Email Follow-up","Escalation to Local Office","Escalation to CBE","Escalation to Roxanne")&amp;" sent "&amp;TEXT($AA39,"dd-mmm")&amp;". "&amp;IF($Z39=6,"Final escalation completed.",IF($U39="OVERDUE","Next: "&amp;$AC39&amp;" was due "&amp;TEXT($AB39,"dd-mmm")&amp;" - "&amp;(NETWORKDAYS($AB39,TODAY(),Holidays)-1)&amp;" business day(s) late. Send now.",IF($U39="DUE TOMORROW","Next: "&amp;$AC39&amp;IF($AB39&lt;=TODAY()," is due TODAY ("," is due next business day (")&amp;TEXT($AB39,"dd-mmm")&amp;").","Next: "&amp;$AC39&amp;" due "&amp;TEXT($AB39,"dd-mmm")&amp;" ("&amp;(NETWORKDAYS(TODAY(),$AB39,Holidays)-1)&amp;" business day(s) left).")))))</f>
        <v/>
      </c>
      <c r="W39" s="17">
        <f>IF($Z39="","",CHOOSE($Z39,"Collection Email","1st Follow-up","2nd Follow-up","Local Office","CBE","Roxanne")&amp;IF($Z39=6," - Final"," - Day "&amp;MAX(0,NETWORKDAYS($AA39,TODAY(),Holidays)-1)&amp;" of "&amp;CHOOSE($Z39,3,3,2,2,3))&amp;" | Total Day "&amp;MAX(0,NETWORKDAYS($N39,TODAY(),Holidays)-1))</f>
        <v/>
      </c>
      <c r="X39" s="18"/>
      <c r="Y39" s="18"/>
      <c r="Z39" s="17">
        <f>IF($N39="","",COUNT($N39:$S39))</f>
        <v/>
      </c>
      <c r="AA39" s="19">
        <f>IF($Z39="","",INT(INDEX($N39:$S39,$Z39)))</f>
        <v/>
      </c>
      <c r="AB39" s="19">
        <f>IF(OR($Z39="",$Z39=6),"",WORKDAY($AA39,CHOOSE($Z39,3,3,2,2,3),Holidays))</f>
        <v/>
      </c>
      <c r="AC39" s="17">
        <f>IF(OR($Z39="",$Z39=6),"",CHOOSE($Z39,"1st Email Follow-up","2nd Email Follow-up","Escalate Local Office","Escalate to CBE","Escalate to Roxanne"))</f>
        <v/>
      </c>
    </row>
    <row r="40" spans="13:29">
      <c r="M40" s="14"/>
      <c r="T40" s="16"/>
      <c r="U40" s="17">
        <f>IF(AND(COUNTA($A40:$L40)=0,$N40=""),"",IF($T40="Paid","PAID",IF($T40="Closed","CLOSED",IF($Z40="","",IF($Z40=6,"ESCALATED TO ROXANNE",IF(TODAY()&gt;$AB40,"OVERDUE",IF($AB40&lt;=WORKDAY(TODAY(),1,Holidays),"DUE TOMORROW",IF($Z40=4,"ESCALATED TO LOCAL OFFICE",IF($Z40=5,"ESCALATED TO CBE",IF($AA40=TODAY(),"EMAIL SENT","MONITORING"))))))))))</f>
        <v/>
      </c>
      <c r="V40" s="17">
        <f>IF($U40="",IF(AND(COUNTA($A40:$L40)&gt;0,$N40=""),"Awaiting Collection Email time stamp.",""),IF(OR($U40="PAID",$U40="CLOSED"),IF($U40="PAID","Account paid. Action completed.","Account closed. No further action required."),CHOOSE($Z40,"Collection Email","1st Email Follow-up","2nd Email Follow-up","Escalation to Local Office","Escalation to CBE","Escalation to Roxanne")&amp;" sent "&amp;TEXT($AA40,"dd-mmm")&amp;". "&amp;IF($Z40=6,"Final escalation completed.",IF($U40="OVERDUE","Next: "&amp;$AC40&amp;" was due "&amp;TEXT($AB40,"dd-mmm")&amp;" - "&amp;(NETWORKDAYS($AB40,TODAY(),Holidays)-1)&amp;" business day(s) late. Send now.",IF($U40="DUE TOMORROW","Next: "&amp;$AC40&amp;IF($AB40&lt;=TODAY()," is due TODAY ("," is due next business day (")&amp;TEXT($AB40,"dd-mmm")&amp;").","Next: "&amp;$AC40&amp;" due "&amp;TEXT($AB40,"dd-mmm")&amp;" ("&amp;(NETWORKDAYS(TODAY(),$AB40,Holidays)-1)&amp;" business day(s) left).")))))</f>
        <v/>
      </c>
      <c r="W40" s="17">
        <f>IF($Z40="","",CHOOSE($Z40,"Collection Email","1st Follow-up","2nd Follow-up","Local Office","CBE","Roxanne")&amp;IF($Z40=6," - Final"," - Day "&amp;MAX(0,NETWORKDAYS($AA40,TODAY(),Holidays)-1)&amp;" of "&amp;CHOOSE($Z40,3,3,2,2,3))&amp;" | Total Day "&amp;MAX(0,NETWORKDAYS($N40,TODAY(),Holidays)-1))</f>
        <v/>
      </c>
      <c r="X40" s="18"/>
      <c r="Y40" s="18"/>
      <c r="Z40" s="17">
        <f>IF($N40="","",COUNT($N40:$S40))</f>
        <v/>
      </c>
      <c r="AA40" s="19">
        <f>IF($Z40="","",INT(INDEX($N40:$S40,$Z40)))</f>
        <v/>
      </c>
      <c r="AB40" s="19">
        <f>IF(OR($Z40="",$Z40=6),"",WORKDAY($AA40,CHOOSE($Z40,3,3,2,2,3),Holidays))</f>
        <v/>
      </c>
      <c r="AC40" s="17">
        <f>IF(OR($Z40="",$Z40=6),"",CHOOSE($Z40,"1st Email Follow-up","2nd Email Follow-up","Escalate Local Office","Escalate to CBE","Escalate to Roxanne"))</f>
        <v/>
      </c>
    </row>
    <row r="41" spans="13:29">
      <c r="M41" s="14"/>
      <c r="T41" s="16"/>
      <c r="U41" s="17">
        <f>IF(AND(COUNTA($A41:$L41)=0,$N41=""),"",IF($T41="Paid","PAID",IF($T41="Closed","CLOSED",IF($Z41="","",IF($Z41=6,"ESCALATED TO ROXANNE",IF(TODAY()&gt;$AB41,"OVERDUE",IF($AB41&lt;=WORKDAY(TODAY(),1,Holidays),"DUE TOMORROW",IF($Z41=4,"ESCALATED TO LOCAL OFFICE",IF($Z41=5,"ESCALATED TO CBE",IF($AA41=TODAY(),"EMAIL SENT","MONITORING"))))))))))</f>
        <v/>
      </c>
      <c r="V41" s="17">
        <f>IF($U41="",IF(AND(COUNTA($A41:$L41)&gt;0,$N41=""),"Awaiting Collection Email time stamp.",""),IF(OR($U41="PAID",$U41="CLOSED"),IF($U41="PAID","Account paid. Action completed.","Account closed. No further action required."),CHOOSE($Z41,"Collection Email","1st Email Follow-up","2nd Email Follow-up","Escalation to Local Office","Escalation to CBE","Escalation to Roxanne")&amp;" sent "&amp;TEXT($AA41,"dd-mmm")&amp;". "&amp;IF($Z41=6,"Final escalation completed.",IF($U41="OVERDUE","Next: "&amp;$AC41&amp;" was due "&amp;TEXT($AB41,"dd-mmm")&amp;" - "&amp;(NETWORKDAYS($AB41,TODAY(),Holidays)-1)&amp;" business day(s) late. Send now.",IF($U41="DUE TOMORROW","Next: "&amp;$AC41&amp;IF($AB41&lt;=TODAY()," is due TODAY ("," is due next business day (")&amp;TEXT($AB41,"dd-mmm")&amp;").","Next: "&amp;$AC41&amp;" due "&amp;TEXT($AB41,"dd-mmm")&amp;" ("&amp;(NETWORKDAYS(TODAY(),$AB41,Holidays)-1)&amp;" business day(s) left).")))))</f>
        <v/>
      </c>
      <c r="W41" s="17">
        <f>IF($Z41="","",CHOOSE($Z41,"Collection Email","1st Follow-up","2nd Follow-up","Local Office","CBE","Roxanne")&amp;IF($Z41=6," - Final"," - Day "&amp;MAX(0,NETWORKDAYS($AA41,TODAY(),Holidays)-1)&amp;" of "&amp;CHOOSE($Z41,3,3,2,2,3))&amp;" | Total Day "&amp;MAX(0,NETWORKDAYS($N41,TODAY(),Holidays)-1))</f>
        <v/>
      </c>
      <c r="X41" s="18"/>
      <c r="Y41" s="18"/>
      <c r="Z41" s="17">
        <f>IF($N41="","",COUNT($N41:$S41))</f>
        <v/>
      </c>
      <c r="AA41" s="19">
        <f>IF($Z41="","",INT(INDEX($N41:$S41,$Z41)))</f>
        <v/>
      </c>
      <c r="AB41" s="19">
        <f>IF(OR($Z41="",$Z41=6),"",WORKDAY($AA41,CHOOSE($Z41,3,3,2,2,3),Holidays))</f>
        <v/>
      </c>
      <c r="AC41" s="17">
        <f>IF(OR($Z41="",$Z41=6),"",CHOOSE($Z41,"1st Email Follow-up","2nd Email Follow-up","Escalate Local Office","Escalate to CBE","Escalate to Roxanne"))</f>
        <v/>
      </c>
    </row>
    <row r="42" spans="13:29">
      <c r="M42" s="14"/>
      <c r="T42" s="16"/>
      <c r="U42" s="17">
        <f>IF(AND(COUNTA($A42:$L42)=0,$N42=""),"",IF($T42="Paid","PAID",IF($T42="Closed","CLOSED",IF($Z42="","",IF($Z42=6,"ESCALATED TO ROXANNE",IF(TODAY()&gt;$AB42,"OVERDUE",IF($AB42&lt;=WORKDAY(TODAY(),1,Holidays),"DUE TOMORROW",IF($Z42=4,"ESCALATED TO LOCAL OFFICE",IF($Z42=5,"ESCALATED TO CBE",IF($AA42=TODAY(),"EMAIL SENT","MONITORING"))))))))))</f>
        <v/>
      </c>
      <c r="V42" s="17">
        <f>IF($U42="",IF(AND(COUNTA($A42:$L42)&gt;0,$N42=""),"Awaiting Collection Email time stamp.",""),IF(OR($U42="PAID",$U42="CLOSED"),IF($U42="PAID","Account paid. Action completed.","Account closed. No further action required."),CHOOSE($Z42,"Collection Email","1st Email Follow-up","2nd Email Follow-up","Escalation to Local Office","Escalation to CBE","Escalation to Roxanne")&amp;" sent "&amp;TEXT($AA42,"dd-mmm")&amp;". "&amp;IF($Z42=6,"Final escalation completed.",IF($U42="OVERDUE","Next: "&amp;$AC42&amp;" was due "&amp;TEXT($AB42,"dd-mmm")&amp;" - "&amp;(NETWORKDAYS($AB42,TODAY(),Holidays)-1)&amp;" business day(s) late. Send now.",IF($U42="DUE TOMORROW","Next: "&amp;$AC42&amp;IF($AB42&lt;=TODAY()," is due TODAY ("," is due next business day (")&amp;TEXT($AB42,"dd-mmm")&amp;").","Next: "&amp;$AC42&amp;" due "&amp;TEXT($AB42,"dd-mmm")&amp;" ("&amp;(NETWORKDAYS(TODAY(),$AB42,Holidays)-1)&amp;" business day(s) left).")))))</f>
        <v/>
      </c>
      <c r="W42" s="17">
        <f>IF($Z42="","",CHOOSE($Z42,"Collection Email","1st Follow-up","2nd Follow-up","Local Office","CBE","Roxanne")&amp;IF($Z42=6," - Final"," - Day "&amp;MAX(0,NETWORKDAYS($AA42,TODAY(),Holidays)-1)&amp;" of "&amp;CHOOSE($Z42,3,3,2,2,3))&amp;" | Total Day "&amp;MAX(0,NETWORKDAYS($N42,TODAY(),Holidays)-1))</f>
        <v/>
      </c>
      <c r="X42" s="18"/>
      <c r="Y42" s="18"/>
      <c r="Z42" s="17">
        <f>IF($N42="","",COUNT($N42:$S42))</f>
        <v/>
      </c>
      <c r="AA42" s="19">
        <f>IF($Z42="","",INT(INDEX($N42:$S42,$Z42)))</f>
        <v/>
      </c>
      <c r="AB42" s="19">
        <f>IF(OR($Z42="",$Z42=6),"",WORKDAY($AA42,CHOOSE($Z42,3,3,2,2,3),Holidays))</f>
        <v/>
      </c>
      <c r="AC42" s="17">
        <f>IF(OR($Z42="",$Z42=6),"",CHOOSE($Z42,"1st Email Follow-up","2nd Email Follow-up","Escalate Local Office","Escalate to CBE","Escalate to Roxanne"))</f>
        <v/>
      </c>
    </row>
    <row r="43" spans="13:29">
      <c r="M43" s="14"/>
      <c r="T43" s="16"/>
      <c r="U43" s="17">
        <f>IF(AND(COUNTA($A43:$L43)=0,$N43=""),"",IF($T43="Paid","PAID",IF($T43="Closed","CLOSED",IF($Z43="","",IF($Z43=6,"ESCALATED TO ROXANNE",IF(TODAY()&gt;$AB43,"OVERDUE",IF($AB43&lt;=WORKDAY(TODAY(),1,Holidays),"DUE TOMORROW",IF($Z43=4,"ESCALATED TO LOCAL OFFICE",IF($Z43=5,"ESCALATED TO CBE",IF($AA43=TODAY(),"EMAIL SENT","MONITORING"))))))))))</f>
        <v/>
      </c>
      <c r="V43" s="17">
        <f>IF($U43="",IF(AND(COUNTA($A43:$L43)&gt;0,$N43=""),"Awaiting Collection Email time stamp.",""),IF(OR($U43="PAID",$U43="CLOSED"),IF($U43="PAID","Account paid. Action completed.","Account closed. No further action required."),CHOOSE($Z43,"Collection Email","1st Email Follow-up","2nd Email Follow-up","Escalation to Local Office","Escalation to CBE","Escalation to Roxanne")&amp;" sent "&amp;TEXT($AA43,"dd-mmm")&amp;". "&amp;IF($Z43=6,"Final escalation completed.",IF($U43="OVERDUE","Next: "&amp;$AC43&amp;" was due "&amp;TEXT($AB43,"dd-mmm")&amp;" - "&amp;(NETWORKDAYS($AB43,TODAY(),Holidays)-1)&amp;" business day(s) late. Send now.",IF($U43="DUE TOMORROW","Next: "&amp;$AC43&amp;IF($AB43&lt;=TODAY()," is due TODAY ("," is due next business day (")&amp;TEXT($AB43,"dd-mmm")&amp;").","Next: "&amp;$AC43&amp;" due "&amp;TEXT($AB43,"dd-mmm")&amp;" ("&amp;(NETWORKDAYS(TODAY(),$AB43,Holidays)-1)&amp;" business day(s) left).")))))</f>
        <v/>
      </c>
      <c r="W43" s="17">
        <f>IF($Z43="","",CHOOSE($Z43,"Collection Email","1st Follow-up","2nd Follow-up","Local Office","CBE","Roxanne")&amp;IF($Z43=6," - Final"," - Day "&amp;MAX(0,NETWORKDAYS($AA43,TODAY(),Holidays)-1)&amp;" of "&amp;CHOOSE($Z43,3,3,2,2,3))&amp;" | Total Day "&amp;MAX(0,NETWORKDAYS($N43,TODAY(),Holidays)-1))</f>
        <v/>
      </c>
      <c r="X43" s="18"/>
      <c r="Y43" s="18"/>
      <c r="Z43" s="17">
        <f>IF($N43="","",COUNT($N43:$S43))</f>
        <v/>
      </c>
      <c r="AA43" s="19">
        <f>IF($Z43="","",INT(INDEX($N43:$S43,$Z43)))</f>
        <v/>
      </c>
      <c r="AB43" s="19">
        <f>IF(OR($Z43="",$Z43=6),"",WORKDAY($AA43,CHOOSE($Z43,3,3,2,2,3),Holidays))</f>
        <v/>
      </c>
      <c r="AC43" s="17">
        <f>IF(OR($Z43="",$Z43=6),"",CHOOSE($Z43,"1st Email Follow-up","2nd Email Follow-up","Escalate Local Office","Escalate to CBE","Escalate to Roxanne"))</f>
        <v/>
      </c>
    </row>
    <row r="44" spans="13:29">
      <c r="M44" s="14"/>
      <c r="T44" s="16"/>
      <c r="U44" s="17">
        <f>IF(AND(COUNTA($A44:$L44)=0,$N44=""),"",IF($T44="Paid","PAID",IF($T44="Closed","CLOSED",IF($Z44="","",IF($Z44=6,"ESCALATED TO ROXANNE",IF(TODAY()&gt;$AB44,"OVERDUE",IF($AB44&lt;=WORKDAY(TODAY(),1,Holidays),"DUE TOMORROW",IF($Z44=4,"ESCALATED TO LOCAL OFFICE",IF($Z44=5,"ESCALATED TO CBE",IF($AA44=TODAY(),"EMAIL SENT","MONITORING"))))))))))</f>
        <v/>
      </c>
      <c r="V44" s="17">
        <f>IF($U44="",IF(AND(COUNTA($A44:$L44)&gt;0,$N44=""),"Awaiting Collection Email time stamp.",""),IF(OR($U44="PAID",$U44="CLOSED"),IF($U44="PAID","Account paid. Action completed.","Account closed. No further action required."),CHOOSE($Z44,"Collection Email","1st Email Follow-up","2nd Email Follow-up","Escalation to Local Office","Escalation to CBE","Escalation to Roxanne")&amp;" sent "&amp;TEXT($AA44,"dd-mmm")&amp;". "&amp;IF($Z44=6,"Final escalation completed.",IF($U44="OVERDUE","Next: "&amp;$AC44&amp;" was due "&amp;TEXT($AB44,"dd-mmm")&amp;" - "&amp;(NETWORKDAYS($AB44,TODAY(),Holidays)-1)&amp;" business day(s) late. Send now.",IF($U44="DUE TOMORROW","Next: "&amp;$AC44&amp;IF($AB44&lt;=TODAY()," is due TODAY ("," is due next business day (")&amp;TEXT($AB44,"dd-mmm")&amp;").","Next: "&amp;$AC44&amp;" due "&amp;TEXT($AB44,"dd-mmm")&amp;" ("&amp;(NETWORKDAYS(TODAY(),$AB44,Holidays)-1)&amp;" business day(s) left).")))))</f>
        <v/>
      </c>
      <c r="W44" s="17">
        <f>IF($Z44="","",CHOOSE($Z44,"Collection Email","1st Follow-up","2nd Follow-up","Local Office","CBE","Roxanne")&amp;IF($Z44=6," - Final"," - Day "&amp;MAX(0,NETWORKDAYS($AA44,TODAY(),Holidays)-1)&amp;" of "&amp;CHOOSE($Z44,3,3,2,2,3))&amp;" | Total Day "&amp;MAX(0,NETWORKDAYS($N44,TODAY(),Holidays)-1))</f>
        <v/>
      </c>
      <c r="X44" s="18"/>
      <c r="Y44" s="18"/>
      <c r="Z44" s="17">
        <f>IF($N44="","",COUNT($N44:$S44))</f>
        <v/>
      </c>
      <c r="AA44" s="19">
        <f>IF($Z44="","",INT(INDEX($N44:$S44,$Z44)))</f>
        <v/>
      </c>
      <c r="AB44" s="19">
        <f>IF(OR($Z44="",$Z44=6),"",WORKDAY($AA44,CHOOSE($Z44,3,3,2,2,3),Holidays))</f>
        <v/>
      </c>
      <c r="AC44" s="17">
        <f>IF(OR($Z44="",$Z44=6),"",CHOOSE($Z44,"1st Email Follow-up","2nd Email Follow-up","Escalate Local Office","Escalate to CBE","Escalate to Roxanne"))</f>
        <v/>
      </c>
    </row>
    <row r="45" spans="13:29">
      <c r="M45" s="14"/>
      <c r="T45" s="16"/>
      <c r="U45" s="17">
        <f>IF(AND(COUNTA($A45:$L45)=0,$N45=""),"",IF($T45="Paid","PAID",IF($T45="Closed","CLOSED",IF($Z45="","",IF($Z45=6,"ESCALATED TO ROXANNE",IF(TODAY()&gt;$AB45,"OVERDUE",IF($AB45&lt;=WORKDAY(TODAY(),1,Holidays),"DUE TOMORROW",IF($Z45=4,"ESCALATED TO LOCAL OFFICE",IF($Z45=5,"ESCALATED TO CBE",IF($AA45=TODAY(),"EMAIL SENT","MONITORING"))))))))))</f>
        <v/>
      </c>
      <c r="V45" s="17">
        <f>IF($U45="",IF(AND(COUNTA($A45:$L45)&gt;0,$N45=""),"Awaiting Collection Email time stamp.",""),IF(OR($U45="PAID",$U45="CLOSED"),IF($U45="PAID","Account paid. Action completed.","Account closed. No further action required."),CHOOSE($Z45,"Collection Email","1st Email Follow-up","2nd Email Follow-up","Escalation to Local Office","Escalation to CBE","Escalation to Roxanne")&amp;" sent "&amp;TEXT($AA45,"dd-mmm")&amp;". "&amp;IF($Z45=6,"Final escalation completed.",IF($U45="OVERDUE","Next: "&amp;$AC45&amp;" was due "&amp;TEXT($AB45,"dd-mmm")&amp;" - "&amp;(NETWORKDAYS($AB45,TODAY(),Holidays)-1)&amp;" business day(s) late. Send now.",IF($U45="DUE TOMORROW","Next: "&amp;$AC45&amp;IF($AB45&lt;=TODAY()," is due TODAY ("," is due next business day (")&amp;TEXT($AB45,"dd-mmm")&amp;").","Next: "&amp;$AC45&amp;" due "&amp;TEXT($AB45,"dd-mmm")&amp;" ("&amp;(NETWORKDAYS(TODAY(),$AB45,Holidays)-1)&amp;" business day(s) left).")))))</f>
        <v/>
      </c>
      <c r="W45" s="17">
        <f>IF($Z45="","",CHOOSE($Z45,"Collection Email","1st Follow-up","2nd Follow-up","Local Office","CBE","Roxanne")&amp;IF($Z45=6," - Final"," - Day "&amp;MAX(0,NETWORKDAYS($AA45,TODAY(),Holidays)-1)&amp;" of "&amp;CHOOSE($Z45,3,3,2,2,3))&amp;" | Total Day "&amp;MAX(0,NETWORKDAYS($N45,TODAY(),Holidays)-1))</f>
        <v/>
      </c>
      <c r="X45" s="18"/>
      <c r="Y45" s="18"/>
      <c r="Z45" s="17">
        <f>IF($N45="","",COUNT($N45:$S45))</f>
        <v/>
      </c>
      <c r="AA45" s="19">
        <f>IF($Z45="","",INT(INDEX($N45:$S45,$Z45)))</f>
        <v/>
      </c>
      <c r="AB45" s="19">
        <f>IF(OR($Z45="",$Z45=6),"",WORKDAY($AA45,CHOOSE($Z45,3,3,2,2,3),Holidays))</f>
        <v/>
      </c>
      <c r="AC45" s="17">
        <f>IF(OR($Z45="",$Z45=6),"",CHOOSE($Z45,"1st Email Follow-up","2nd Email Follow-up","Escalate Local Office","Escalate to CBE","Escalate to Roxanne"))</f>
        <v/>
      </c>
    </row>
    <row r="46" spans="13:29">
      <c r="M46" s="14"/>
      <c r="T46" s="16"/>
      <c r="U46" s="17">
        <f>IF(AND(COUNTA($A46:$L46)=0,$N46=""),"",IF($T46="Paid","PAID",IF($T46="Closed","CLOSED",IF($Z46="","",IF($Z46=6,"ESCALATED TO ROXANNE",IF(TODAY()&gt;$AB46,"OVERDUE",IF($AB46&lt;=WORKDAY(TODAY(),1,Holidays),"DUE TOMORROW",IF($Z46=4,"ESCALATED TO LOCAL OFFICE",IF($Z46=5,"ESCALATED TO CBE",IF($AA46=TODAY(),"EMAIL SENT","MONITORING"))))))))))</f>
        <v/>
      </c>
      <c r="V46" s="17">
        <f>IF($U46="",IF(AND(COUNTA($A46:$L46)&gt;0,$N46=""),"Awaiting Collection Email time stamp.",""),IF(OR($U46="PAID",$U46="CLOSED"),IF($U46="PAID","Account paid. Action completed.","Account closed. No further action required."),CHOOSE($Z46,"Collection Email","1st Email Follow-up","2nd Email Follow-up","Escalation to Local Office","Escalation to CBE","Escalation to Roxanne")&amp;" sent "&amp;TEXT($AA46,"dd-mmm")&amp;". "&amp;IF($Z46=6,"Final escalation completed.",IF($U46="OVERDUE","Next: "&amp;$AC46&amp;" was due "&amp;TEXT($AB46,"dd-mmm")&amp;" - "&amp;(NETWORKDAYS($AB46,TODAY(),Holidays)-1)&amp;" business day(s) late. Send now.",IF($U46="DUE TOMORROW","Next: "&amp;$AC46&amp;IF($AB46&lt;=TODAY()," is due TODAY ("," is due next business day (")&amp;TEXT($AB46,"dd-mmm")&amp;").","Next: "&amp;$AC46&amp;" due "&amp;TEXT($AB46,"dd-mmm")&amp;" ("&amp;(NETWORKDAYS(TODAY(),$AB46,Holidays)-1)&amp;" business day(s) left).")))))</f>
        <v/>
      </c>
      <c r="W46" s="17">
        <f>IF($Z46="","",CHOOSE($Z46,"Collection Email","1st Follow-up","2nd Follow-up","Local Office","CBE","Roxanne")&amp;IF($Z46=6," - Final"," - Day "&amp;MAX(0,NETWORKDAYS($AA46,TODAY(),Holidays)-1)&amp;" of "&amp;CHOOSE($Z46,3,3,2,2,3))&amp;" | Total Day "&amp;MAX(0,NETWORKDAYS($N46,TODAY(),Holidays)-1))</f>
        <v/>
      </c>
      <c r="X46" s="18"/>
      <c r="Y46" s="18"/>
      <c r="Z46" s="17">
        <f>IF($N46="","",COUNT($N46:$S46))</f>
        <v/>
      </c>
      <c r="AA46" s="19">
        <f>IF($Z46="","",INT(INDEX($N46:$S46,$Z46)))</f>
        <v/>
      </c>
      <c r="AB46" s="19">
        <f>IF(OR($Z46="",$Z46=6),"",WORKDAY($AA46,CHOOSE($Z46,3,3,2,2,3),Holidays))</f>
        <v/>
      </c>
      <c r="AC46" s="17">
        <f>IF(OR($Z46="",$Z46=6),"",CHOOSE($Z46,"1st Email Follow-up","2nd Email Follow-up","Escalate Local Office","Escalate to CBE","Escalate to Roxanne"))</f>
        <v/>
      </c>
    </row>
    <row r="47" spans="13:29">
      <c r="M47" s="14"/>
      <c r="T47" s="16"/>
      <c r="U47" s="17">
        <f>IF(AND(COUNTA($A47:$L47)=0,$N47=""),"",IF($T47="Paid","PAID",IF($T47="Closed","CLOSED",IF($Z47="","",IF($Z47=6,"ESCALATED TO ROXANNE",IF(TODAY()&gt;$AB47,"OVERDUE",IF($AB47&lt;=WORKDAY(TODAY(),1,Holidays),"DUE TOMORROW",IF($Z47=4,"ESCALATED TO LOCAL OFFICE",IF($Z47=5,"ESCALATED TO CBE",IF($AA47=TODAY(),"EMAIL SENT","MONITORING"))))))))))</f>
        <v/>
      </c>
      <c r="V47" s="17">
        <f>IF($U47="",IF(AND(COUNTA($A47:$L47)&gt;0,$N47=""),"Awaiting Collection Email time stamp.",""),IF(OR($U47="PAID",$U47="CLOSED"),IF($U47="PAID","Account paid. Action completed.","Account closed. No further action required."),CHOOSE($Z47,"Collection Email","1st Email Follow-up","2nd Email Follow-up","Escalation to Local Office","Escalation to CBE","Escalation to Roxanne")&amp;" sent "&amp;TEXT($AA47,"dd-mmm")&amp;". "&amp;IF($Z47=6,"Final escalation completed.",IF($U47="OVERDUE","Next: "&amp;$AC47&amp;" was due "&amp;TEXT($AB47,"dd-mmm")&amp;" - "&amp;(NETWORKDAYS($AB47,TODAY(),Holidays)-1)&amp;" business day(s) late. Send now.",IF($U47="DUE TOMORROW","Next: "&amp;$AC47&amp;IF($AB47&lt;=TODAY()," is due TODAY ("," is due next business day (")&amp;TEXT($AB47,"dd-mmm")&amp;").","Next: "&amp;$AC47&amp;" due "&amp;TEXT($AB47,"dd-mmm")&amp;" ("&amp;(NETWORKDAYS(TODAY(),$AB47,Holidays)-1)&amp;" business day(s) left).")))))</f>
        <v/>
      </c>
      <c r="W47" s="17">
        <f>IF($Z47="","",CHOOSE($Z47,"Collection Email","1st Follow-up","2nd Follow-up","Local Office","CBE","Roxanne")&amp;IF($Z47=6," - Final"," - Day "&amp;MAX(0,NETWORKDAYS($AA47,TODAY(),Holidays)-1)&amp;" of "&amp;CHOOSE($Z47,3,3,2,2,3))&amp;" | Total Day "&amp;MAX(0,NETWORKDAYS($N47,TODAY(),Holidays)-1))</f>
        <v/>
      </c>
      <c r="X47" s="18"/>
      <c r="Y47" s="18"/>
      <c r="Z47" s="17">
        <f>IF($N47="","",COUNT($N47:$S47))</f>
        <v/>
      </c>
      <c r="AA47" s="19">
        <f>IF($Z47="","",INT(INDEX($N47:$S47,$Z47)))</f>
        <v/>
      </c>
      <c r="AB47" s="19">
        <f>IF(OR($Z47="",$Z47=6),"",WORKDAY($AA47,CHOOSE($Z47,3,3,2,2,3),Holidays))</f>
        <v/>
      </c>
      <c r="AC47" s="17">
        <f>IF(OR($Z47="",$Z47=6),"",CHOOSE($Z47,"1st Email Follow-up","2nd Email Follow-up","Escalate Local Office","Escalate to CBE","Escalate to Roxanne"))</f>
        <v/>
      </c>
    </row>
    <row r="48" spans="13:29">
      <c r="M48" s="14"/>
      <c r="T48" s="16"/>
      <c r="U48" s="17">
        <f>IF(AND(COUNTA($A48:$L48)=0,$N48=""),"",IF($T48="Paid","PAID",IF($T48="Closed","CLOSED",IF($Z48="","",IF($Z48=6,"ESCALATED TO ROXANNE",IF(TODAY()&gt;$AB48,"OVERDUE",IF($AB48&lt;=WORKDAY(TODAY(),1,Holidays),"DUE TOMORROW",IF($Z48=4,"ESCALATED TO LOCAL OFFICE",IF($Z48=5,"ESCALATED TO CBE",IF($AA48=TODAY(),"EMAIL SENT","MONITORING"))))))))))</f>
        <v/>
      </c>
      <c r="V48" s="17">
        <f>IF($U48="",IF(AND(COUNTA($A48:$L48)&gt;0,$N48=""),"Awaiting Collection Email time stamp.",""),IF(OR($U48="PAID",$U48="CLOSED"),IF($U48="PAID","Account paid. Action completed.","Account closed. No further action required."),CHOOSE($Z48,"Collection Email","1st Email Follow-up","2nd Email Follow-up","Escalation to Local Office","Escalation to CBE","Escalation to Roxanne")&amp;" sent "&amp;TEXT($AA48,"dd-mmm")&amp;". "&amp;IF($Z48=6,"Final escalation completed.",IF($U48="OVERDUE","Next: "&amp;$AC48&amp;" was due "&amp;TEXT($AB48,"dd-mmm")&amp;" - "&amp;(NETWORKDAYS($AB48,TODAY(),Holidays)-1)&amp;" business day(s) late. Send now.",IF($U48="DUE TOMORROW","Next: "&amp;$AC48&amp;IF($AB48&lt;=TODAY()," is due TODAY ("," is due next business day (")&amp;TEXT($AB48,"dd-mmm")&amp;").","Next: "&amp;$AC48&amp;" due "&amp;TEXT($AB48,"dd-mmm")&amp;" ("&amp;(NETWORKDAYS(TODAY(),$AB48,Holidays)-1)&amp;" business day(s) left).")))))</f>
        <v/>
      </c>
      <c r="W48" s="17">
        <f>IF($Z48="","",CHOOSE($Z48,"Collection Email","1st Follow-up","2nd Follow-up","Local Office","CBE","Roxanne")&amp;IF($Z48=6," - Final"," - Day "&amp;MAX(0,NETWORKDAYS($AA48,TODAY(),Holidays)-1)&amp;" of "&amp;CHOOSE($Z48,3,3,2,2,3))&amp;" | Total Day "&amp;MAX(0,NETWORKDAYS($N48,TODAY(),Holidays)-1))</f>
        <v/>
      </c>
      <c r="X48" s="18"/>
      <c r="Y48" s="18"/>
      <c r="Z48" s="17">
        <f>IF($N48="","",COUNT($N48:$S48))</f>
        <v/>
      </c>
      <c r="AA48" s="19">
        <f>IF($Z48="","",INT(INDEX($N48:$S48,$Z48)))</f>
        <v/>
      </c>
      <c r="AB48" s="19">
        <f>IF(OR($Z48="",$Z48=6),"",WORKDAY($AA48,CHOOSE($Z48,3,3,2,2,3),Holidays))</f>
        <v/>
      </c>
      <c r="AC48" s="17">
        <f>IF(OR($Z48="",$Z48=6),"",CHOOSE($Z48,"1st Email Follow-up","2nd Email Follow-up","Escalate Local Office","Escalate to CBE","Escalate to Roxanne"))</f>
        <v/>
      </c>
    </row>
    <row r="49" spans="13:29">
      <c r="M49" s="14"/>
      <c r="T49" s="16"/>
      <c r="U49" s="17">
        <f>IF(AND(COUNTA($A49:$L49)=0,$N49=""),"",IF($T49="Paid","PAID",IF($T49="Closed","CLOSED",IF($Z49="","",IF($Z49=6,"ESCALATED TO ROXANNE",IF(TODAY()&gt;$AB49,"OVERDUE",IF($AB49&lt;=WORKDAY(TODAY(),1,Holidays),"DUE TOMORROW",IF($Z49=4,"ESCALATED TO LOCAL OFFICE",IF($Z49=5,"ESCALATED TO CBE",IF($AA49=TODAY(),"EMAIL SENT","MONITORING"))))))))))</f>
        <v/>
      </c>
      <c r="V49" s="17">
        <f>IF($U49="",IF(AND(COUNTA($A49:$L49)&gt;0,$N49=""),"Awaiting Collection Email time stamp.",""),IF(OR($U49="PAID",$U49="CLOSED"),IF($U49="PAID","Account paid. Action completed.","Account closed. No further action required."),CHOOSE($Z49,"Collection Email","1st Email Follow-up","2nd Email Follow-up","Escalation to Local Office","Escalation to CBE","Escalation to Roxanne")&amp;" sent "&amp;TEXT($AA49,"dd-mmm")&amp;". "&amp;IF($Z49=6,"Final escalation completed.",IF($U49="OVERDUE","Next: "&amp;$AC49&amp;" was due "&amp;TEXT($AB49,"dd-mmm")&amp;" - "&amp;(NETWORKDAYS($AB49,TODAY(),Holidays)-1)&amp;" business day(s) late. Send now.",IF($U49="DUE TOMORROW","Next: "&amp;$AC49&amp;IF($AB49&lt;=TODAY()," is due TODAY ("," is due next business day (")&amp;TEXT($AB49,"dd-mmm")&amp;").","Next: "&amp;$AC49&amp;" due "&amp;TEXT($AB49,"dd-mmm")&amp;" ("&amp;(NETWORKDAYS(TODAY(),$AB49,Holidays)-1)&amp;" business day(s) left).")))))</f>
        <v/>
      </c>
      <c r="W49" s="17">
        <f>IF($Z49="","",CHOOSE($Z49,"Collection Email","1st Follow-up","2nd Follow-up","Local Office","CBE","Roxanne")&amp;IF($Z49=6," - Final"," - Day "&amp;MAX(0,NETWORKDAYS($AA49,TODAY(),Holidays)-1)&amp;" of "&amp;CHOOSE($Z49,3,3,2,2,3))&amp;" | Total Day "&amp;MAX(0,NETWORKDAYS($N49,TODAY(),Holidays)-1))</f>
        <v/>
      </c>
      <c r="X49" s="18"/>
      <c r="Y49" s="18"/>
      <c r="Z49" s="17">
        <f>IF($N49="","",COUNT($N49:$S49))</f>
        <v/>
      </c>
      <c r="AA49" s="19">
        <f>IF($Z49="","",INT(INDEX($N49:$S49,$Z49)))</f>
        <v/>
      </c>
      <c r="AB49" s="19">
        <f>IF(OR($Z49="",$Z49=6),"",WORKDAY($AA49,CHOOSE($Z49,3,3,2,2,3),Holidays))</f>
        <v/>
      </c>
      <c r="AC49" s="17">
        <f>IF(OR($Z49="",$Z49=6),"",CHOOSE($Z49,"1st Email Follow-up","2nd Email Follow-up","Escalate Local Office","Escalate to CBE","Escalate to Roxanne"))</f>
        <v/>
      </c>
    </row>
    <row r="50" spans="13:29">
      <c r="M50" s="14"/>
      <c r="T50" s="16"/>
      <c r="U50" s="17">
        <f>IF(AND(COUNTA($A50:$L50)=0,$N50=""),"",IF($T50="Paid","PAID",IF($T50="Closed","CLOSED",IF($Z50="","",IF($Z50=6,"ESCALATED TO ROXANNE",IF(TODAY()&gt;$AB50,"OVERDUE",IF($AB50&lt;=WORKDAY(TODAY(),1,Holidays),"DUE TOMORROW",IF($Z50=4,"ESCALATED TO LOCAL OFFICE",IF($Z50=5,"ESCALATED TO CBE",IF($AA50=TODAY(),"EMAIL SENT","MONITORING"))))))))))</f>
        <v/>
      </c>
      <c r="V50" s="17">
        <f>IF($U50="",IF(AND(COUNTA($A50:$L50)&gt;0,$N50=""),"Awaiting Collection Email time stamp.",""),IF(OR($U50="PAID",$U50="CLOSED"),IF($U50="PAID","Account paid. Action completed.","Account closed. No further action required."),CHOOSE($Z50,"Collection Email","1st Email Follow-up","2nd Email Follow-up","Escalation to Local Office","Escalation to CBE","Escalation to Roxanne")&amp;" sent "&amp;TEXT($AA50,"dd-mmm")&amp;". "&amp;IF($Z50=6,"Final escalation completed.",IF($U50="OVERDUE","Next: "&amp;$AC50&amp;" was due "&amp;TEXT($AB50,"dd-mmm")&amp;" - "&amp;(NETWORKDAYS($AB50,TODAY(),Holidays)-1)&amp;" business day(s) late. Send now.",IF($U50="DUE TOMORROW","Next: "&amp;$AC50&amp;IF($AB50&lt;=TODAY()," is due TODAY ("," is due next business day (")&amp;TEXT($AB50,"dd-mmm")&amp;").","Next: "&amp;$AC50&amp;" due "&amp;TEXT($AB50,"dd-mmm")&amp;" ("&amp;(NETWORKDAYS(TODAY(),$AB50,Holidays)-1)&amp;" business day(s) left).")))))</f>
        <v/>
      </c>
      <c r="W50" s="17">
        <f>IF($Z50="","",CHOOSE($Z50,"Collection Email","1st Follow-up","2nd Follow-up","Local Office","CBE","Roxanne")&amp;IF($Z50=6," - Final"," - Day "&amp;MAX(0,NETWORKDAYS($AA50,TODAY(),Holidays)-1)&amp;" of "&amp;CHOOSE($Z50,3,3,2,2,3))&amp;" | Total Day "&amp;MAX(0,NETWORKDAYS($N50,TODAY(),Holidays)-1))</f>
        <v/>
      </c>
      <c r="X50" s="18"/>
      <c r="Y50" s="18"/>
      <c r="Z50" s="17">
        <f>IF($N50="","",COUNT($N50:$S50))</f>
        <v/>
      </c>
      <c r="AA50" s="19">
        <f>IF($Z50="","",INT(INDEX($N50:$S50,$Z50)))</f>
        <v/>
      </c>
      <c r="AB50" s="19">
        <f>IF(OR($Z50="",$Z50=6),"",WORKDAY($AA50,CHOOSE($Z50,3,3,2,2,3),Holidays))</f>
        <v/>
      </c>
      <c r="AC50" s="17">
        <f>IF(OR($Z50="",$Z50=6),"",CHOOSE($Z50,"1st Email Follow-up","2nd Email Follow-up","Escalate Local Office","Escalate to CBE","Escalate to Roxanne"))</f>
        <v/>
      </c>
    </row>
    <row r="51" spans="13:29">
      <c r="M51" s="14"/>
      <c r="T51" s="16"/>
      <c r="U51" s="17">
        <f>IF(AND(COUNTA($A51:$L51)=0,$N51=""),"",IF($T51="Paid","PAID",IF($T51="Closed","CLOSED",IF($Z51="","",IF($Z51=6,"ESCALATED TO ROXANNE",IF(TODAY()&gt;$AB51,"OVERDUE",IF($AB51&lt;=WORKDAY(TODAY(),1,Holidays),"DUE TOMORROW",IF($Z51=4,"ESCALATED TO LOCAL OFFICE",IF($Z51=5,"ESCALATED TO CBE",IF($AA51=TODAY(),"EMAIL SENT","MONITORING"))))))))))</f>
        <v/>
      </c>
      <c r="V51" s="17">
        <f>IF($U51="",IF(AND(COUNTA($A51:$L51)&gt;0,$N51=""),"Awaiting Collection Email time stamp.",""),IF(OR($U51="PAID",$U51="CLOSED"),IF($U51="PAID","Account paid. Action completed.","Account closed. No further action required."),CHOOSE($Z51,"Collection Email","1st Email Follow-up","2nd Email Follow-up","Escalation to Local Office","Escalation to CBE","Escalation to Roxanne")&amp;" sent "&amp;TEXT($AA51,"dd-mmm")&amp;". "&amp;IF($Z51=6,"Final escalation completed.",IF($U51="OVERDUE","Next: "&amp;$AC51&amp;" was due "&amp;TEXT($AB51,"dd-mmm")&amp;" - "&amp;(NETWORKDAYS($AB51,TODAY(),Holidays)-1)&amp;" business day(s) late. Send now.",IF($U51="DUE TOMORROW","Next: "&amp;$AC51&amp;IF($AB51&lt;=TODAY()," is due TODAY ("," is due next business day (")&amp;TEXT($AB51,"dd-mmm")&amp;").","Next: "&amp;$AC51&amp;" due "&amp;TEXT($AB51,"dd-mmm")&amp;" ("&amp;(NETWORKDAYS(TODAY(),$AB51,Holidays)-1)&amp;" business day(s) left).")))))</f>
        <v/>
      </c>
      <c r="W51" s="17">
        <f>IF($Z51="","",CHOOSE($Z51,"Collection Email","1st Follow-up","2nd Follow-up","Local Office","CBE","Roxanne")&amp;IF($Z51=6," - Final"," - Day "&amp;MAX(0,NETWORKDAYS($AA51,TODAY(),Holidays)-1)&amp;" of "&amp;CHOOSE($Z51,3,3,2,2,3))&amp;" | Total Day "&amp;MAX(0,NETWORKDAYS($N51,TODAY(),Holidays)-1))</f>
        <v/>
      </c>
      <c r="X51" s="18"/>
      <c r="Y51" s="18"/>
      <c r="Z51" s="17">
        <f>IF($N51="","",COUNT($N51:$S51))</f>
        <v/>
      </c>
      <c r="AA51" s="19">
        <f>IF($Z51="","",INT(INDEX($N51:$S51,$Z51)))</f>
        <v/>
      </c>
      <c r="AB51" s="19">
        <f>IF(OR($Z51="",$Z51=6),"",WORKDAY($AA51,CHOOSE($Z51,3,3,2,2,3),Holidays))</f>
        <v/>
      </c>
      <c r="AC51" s="17">
        <f>IF(OR($Z51="",$Z51=6),"",CHOOSE($Z51,"1st Email Follow-up","2nd Email Follow-up","Escalate Local Office","Escalate to CBE","Escalate to Roxanne"))</f>
        <v/>
      </c>
    </row>
    <row r="52" spans="13:29">
      <c r="M52" s="14"/>
      <c r="T52" s="16"/>
      <c r="U52" s="17">
        <f>IF(AND(COUNTA($A52:$L52)=0,$N52=""),"",IF($T52="Paid","PAID",IF($T52="Closed","CLOSED",IF($Z52="","",IF($Z52=6,"ESCALATED TO ROXANNE",IF(TODAY()&gt;$AB52,"OVERDUE",IF($AB52&lt;=WORKDAY(TODAY(),1,Holidays),"DUE TOMORROW",IF($Z52=4,"ESCALATED TO LOCAL OFFICE",IF($Z52=5,"ESCALATED TO CBE",IF($AA52=TODAY(),"EMAIL SENT","MONITORING"))))))))))</f>
        <v/>
      </c>
      <c r="V52" s="17">
        <f>IF($U52="",IF(AND(COUNTA($A52:$L52)&gt;0,$N52=""),"Awaiting Collection Email time stamp.",""),IF(OR($U52="PAID",$U52="CLOSED"),IF($U52="PAID","Account paid. Action completed.","Account closed. No further action required."),CHOOSE($Z52,"Collection Email","1st Email Follow-up","2nd Email Follow-up","Escalation to Local Office","Escalation to CBE","Escalation to Roxanne")&amp;" sent "&amp;TEXT($AA52,"dd-mmm")&amp;". "&amp;IF($Z52=6,"Final escalation completed.",IF($U52="OVERDUE","Next: "&amp;$AC52&amp;" was due "&amp;TEXT($AB52,"dd-mmm")&amp;" - "&amp;(NETWORKDAYS($AB52,TODAY(),Holidays)-1)&amp;" business day(s) late. Send now.",IF($U52="DUE TOMORROW","Next: "&amp;$AC52&amp;IF($AB52&lt;=TODAY()," is due TODAY ("," is due next business day (")&amp;TEXT($AB52,"dd-mmm")&amp;").","Next: "&amp;$AC52&amp;" due "&amp;TEXT($AB52,"dd-mmm")&amp;" ("&amp;(NETWORKDAYS(TODAY(),$AB52,Holidays)-1)&amp;" business day(s) left).")))))</f>
        <v/>
      </c>
      <c r="W52" s="17">
        <f>IF($Z52="","",CHOOSE($Z52,"Collection Email","1st Follow-up","2nd Follow-up","Local Office","CBE","Roxanne")&amp;IF($Z52=6," - Final"," - Day "&amp;MAX(0,NETWORKDAYS($AA52,TODAY(),Holidays)-1)&amp;" of "&amp;CHOOSE($Z52,3,3,2,2,3))&amp;" | Total Day "&amp;MAX(0,NETWORKDAYS($N52,TODAY(),Holidays)-1))</f>
        <v/>
      </c>
      <c r="X52" s="18"/>
      <c r="Y52" s="18"/>
      <c r="Z52" s="17">
        <f>IF($N52="","",COUNT($N52:$S52))</f>
        <v/>
      </c>
      <c r="AA52" s="19">
        <f>IF($Z52="","",INT(INDEX($N52:$S52,$Z52)))</f>
        <v/>
      </c>
      <c r="AB52" s="19">
        <f>IF(OR($Z52="",$Z52=6),"",WORKDAY($AA52,CHOOSE($Z52,3,3,2,2,3),Holidays))</f>
        <v/>
      </c>
      <c r="AC52" s="17">
        <f>IF(OR($Z52="",$Z52=6),"",CHOOSE($Z52,"1st Email Follow-up","2nd Email Follow-up","Escalate Local Office","Escalate to CBE","Escalate to Roxanne"))</f>
        <v/>
      </c>
    </row>
    <row r="53" spans="13:29">
      <c r="M53" s="14"/>
      <c r="T53" s="16"/>
      <c r="U53" s="17">
        <f>IF(AND(COUNTA($A53:$L53)=0,$N53=""),"",IF($T53="Paid","PAID",IF($T53="Closed","CLOSED",IF($Z53="","",IF($Z53=6,"ESCALATED TO ROXANNE",IF(TODAY()&gt;$AB53,"OVERDUE",IF($AB53&lt;=WORKDAY(TODAY(),1,Holidays),"DUE TOMORROW",IF($Z53=4,"ESCALATED TO LOCAL OFFICE",IF($Z53=5,"ESCALATED TO CBE",IF($AA53=TODAY(),"EMAIL SENT","MONITORING"))))))))))</f>
        <v/>
      </c>
      <c r="V53" s="17">
        <f>IF($U53="",IF(AND(COUNTA($A53:$L53)&gt;0,$N53=""),"Awaiting Collection Email time stamp.",""),IF(OR($U53="PAID",$U53="CLOSED"),IF($U53="PAID","Account paid. Action completed.","Account closed. No further action required."),CHOOSE($Z53,"Collection Email","1st Email Follow-up","2nd Email Follow-up","Escalation to Local Office","Escalation to CBE","Escalation to Roxanne")&amp;" sent "&amp;TEXT($AA53,"dd-mmm")&amp;". "&amp;IF($Z53=6,"Final escalation completed.",IF($U53="OVERDUE","Next: "&amp;$AC53&amp;" was due "&amp;TEXT($AB53,"dd-mmm")&amp;" - "&amp;(NETWORKDAYS($AB53,TODAY(),Holidays)-1)&amp;" business day(s) late. Send now.",IF($U53="DUE TOMORROW","Next: "&amp;$AC53&amp;IF($AB53&lt;=TODAY()," is due TODAY ("," is due next business day (")&amp;TEXT($AB53,"dd-mmm")&amp;").","Next: "&amp;$AC53&amp;" due "&amp;TEXT($AB53,"dd-mmm")&amp;" ("&amp;(NETWORKDAYS(TODAY(),$AB53,Holidays)-1)&amp;" business day(s) left).")))))</f>
        <v/>
      </c>
      <c r="W53" s="17">
        <f>IF($Z53="","",CHOOSE($Z53,"Collection Email","1st Follow-up","2nd Follow-up","Local Office","CBE","Roxanne")&amp;IF($Z53=6," - Final"," - Day "&amp;MAX(0,NETWORKDAYS($AA53,TODAY(),Holidays)-1)&amp;" of "&amp;CHOOSE($Z53,3,3,2,2,3))&amp;" | Total Day "&amp;MAX(0,NETWORKDAYS($N53,TODAY(),Holidays)-1))</f>
        <v/>
      </c>
      <c r="X53" s="18"/>
      <c r="Y53" s="18"/>
      <c r="Z53" s="17">
        <f>IF($N53="","",COUNT($N53:$S53))</f>
        <v/>
      </c>
      <c r="AA53" s="19">
        <f>IF($Z53="","",INT(INDEX($N53:$S53,$Z53)))</f>
        <v/>
      </c>
      <c r="AB53" s="19">
        <f>IF(OR($Z53="",$Z53=6),"",WORKDAY($AA53,CHOOSE($Z53,3,3,2,2,3),Holidays))</f>
        <v/>
      </c>
      <c r="AC53" s="17">
        <f>IF(OR($Z53="",$Z53=6),"",CHOOSE($Z53,"1st Email Follow-up","2nd Email Follow-up","Escalate Local Office","Escalate to CBE","Escalate to Roxanne"))</f>
        <v/>
      </c>
    </row>
    <row r="54" spans="13:29">
      <c r="M54" s="14"/>
      <c r="T54" s="16"/>
      <c r="U54" s="17">
        <f>IF(AND(COUNTA($A54:$L54)=0,$N54=""),"",IF($T54="Paid","PAID",IF($T54="Closed","CLOSED",IF($Z54="","",IF($Z54=6,"ESCALATED TO ROXANNE",IF(TODAY()&gt;$AB54,"OVERDUE",IF($AB54&lt;=WORKDAY(TODAY(),1,Holidays),"DUE TOMORROW",IF($Z54=4,"ESCALATED TO LOCAL OFFICE",IF($Z54=5,"ESCALATED TO CBE",IF($AA54=TODAY(),"EMAIL SENT","MONITORING"))))))))))</f>
        <v/>
      </c>
      <c r="V54" s="17">
        <f>IF($U54="",IF(AND(COUNTA($A54:$L54)&gt;0,$N54=""),"Awaiting Collection Email time stamp.",""),IF(OR($U54="PAID",$U54="CLOSED"),IF($U54="PAID","Account paid. Action completed.","Account closed. No further action required."),CHOOSE($Z54,"Collection Email","1st Email Follow-up","2nd Email Follow-up","Escalation to Local Office","Escalation to CBE","Escalation to Roxanne")&amp;" sent "&amp;TEXT($AA54,"dd-mmm")&amp;". "&amp;IF($Z54=6,"Final escalation completed.",IF($U54="OVERDUE","Next: "&amp;$AC54&amp;" was due "&amp;TEXT($AB54,"dd-mmm")&amp;" - "&amp;(NETWORKDAYS($AB54,TODAY(),Holidays)-1)&amp;" business day(s) late. Send now.",IF($U54="DUE TOMORROW","Next: "&amp;$AC54&amp;IF($AB54&lt;=TODAY()," is due TODAY ("," is due next business day (")&amp;TEXT($AB54,"dd-mmm")&amp;").","Next: "&amp;$AC54&amp;" due "&amp;TEXT($AB54,"dd-mmm")&amp;" ("&amp;(NETWORKDAYS(TODAY(),$AB54,Holidays)-1)&amp;" business day(s) left).")))))</f>
        <v/>
      </c>
      <c r="W54" s="17">
        <f>IF($Z54="","",CHOOSE($Z54,"Collection Email","1st Follow-up","2nd Follow-up","Local Office","CBE","Roxanne")&amp;IF($Z54=6," - Final"," - Day "&amp;MAX(0,NETWORKDAYS($AA54,TODAY(),Holidays)-1)&amp;" of "&amp;CHOOSE($Z54,3,3,2,2,3))&amp;" | Total Day "&amp;MAX(0,NETWORKDAYS($N54,TODAY(),Holidays)-1))</f>
        <v/>
      </c>
      <c r="X54" s="18"/>
      <c r="Y54" s="18"/>
      <c r="Z54" s="17">
        <f>IF($N54="","",COUNT($N54:$S54))</f>
        <v/>
      </c>
      <c r="AA54" s="19">
        <f>IF($Z54="","",INT(INDEX($N54:$S54,$Z54)))</f>
        <v/>
      </c>
      <c r="AB54" s="19">
        <f>IF(OR($Z54="",$Z54=6),"",WORKDAY($AA54,CHOOSE($Z54,3,3,2,2,3),Holidays))</f>
        <v/>
      </c>
      <c r="AC54" s="17">
        <f>IF(OR($Z54="",$Z54=6),"",CHOOSE($Z54,"1st Email Follow-up","2nd Email Follow-up","Escalate Local Office","Escalate to CBE","Escalate to Roxanne"))</f>
        <v/>
      </c>
    </row>
    <row r="55" spans="13:29">
      <c r="M55" s="14"/>
      <c r="T55" s="16"/>
      <c r="U55" s="17">
        <f>IF(AND(COUNTA($A55:$L55)=0,$N55=""),"",IF($T55="Paid","PAID",IF($T55="Closed","CLOSED",IF($Z55="","",IF($Z55=6,"ESCALATED TO ROXANNE",IF(TODAY()&gt;$AB55,"OVERDUE",IF($AB55&lt;=WORKDAY(TODAY(),1,Holidays),"DUE TOMORROW",IF($Z55=4,"ESCALATED TO LOCAL OFFICE",IF($Z55=5,"ESCALATED TO CBE",IF($AA55=TODAY(),"EMAIL SENT","MONITORING"))))))))))</f>
        <v/>
      </c>
      <c r="V55" s="17">
        <f>IF($U55="",IF(AND(COUNTA($A55:$L55)&gt;0,$N55=""),"Awaiting Collection Email time stamp.",""),IF(OR($U55="PAID",$U55="CLOSED"),IF($U55="PAID","Account paid. Action completed.","Account closed. No further action required."),CHOOSE($Z55,"Collection Email","1st Email Follow-up","2nd Email Follow-up","Escalation to Local Office","Escalation to CBE","Escalation to Roxanne")&amp;" sent "&amp;TEXT($AA55,"dd-mmm")&amp;". "&amp;IF($Z55=6,"Final escalation completed.",IF($U55="OVERDUE","Next: "&amp;$AC55&amp;" was due "&amp;TEXT($AB55,"dd-mmm")&amp;" - "&amp;(NETWORKDAYS($AB55,TODAY(),Holidays)-1)&amp;" business day(s) late. Send now.",IF($U55="DUE TOMORROW","Next: "&amp;$AC55&amp;IF($AB55&lt;=TODAY()," is due TODAY ("," is due next business day (")&amp;TEXT($AB55,"dd-mmm")&amp;").","Next: "&amp;$AC55&amp;" due "&amp;TEXT($AB55,"dd-mmm")&amp;" ("&amp;(NETWORKDAYS(TODAY(),$AB55,Holidays)-1)&amp;" business day(s) left).")))))</f>
        <v/>
      </c>
      <c r="W55" s="17">
        <f>IF($Z55="","",CHOOSE($Z55,"Collection Email","1st Follow-up","2nd Follow-up","Local Office","CBE","Roxanne")&amp;IF($Z55=6," - Final"," - Day "&amp;MAX(0,NETWORKDAYS($AA55,TODAY(),Holidays)-1)&amp;" of "&amp;CHOOSE($Z55,3,3,2,2,3))&amp;" | Total Day "&amp;MAX(0,NETWORKDAYS($N55,TODAY(),Holidays)-1))</f>
        <v/>
      </c>
      <c r="X55" s="18"/>
      <c r="Y55" s="18"/>
      <c r="Z55" s="17">
        <f>IF($N55="","",COUNT($N55:$S55))</f>
        <v/>
      </c>
      <c r="AA55" s="19">
        <f>IF($Z55="","",INT(INDEX($N55:$S55,$Z55)))</f>
        <v/>
      </c>
      <c r="AB55" s="19">
        <f>IF(OR($Z55="",$Z55=6),"",WORKDAY($AA55,CHOOSE($Z55,3,3,2,2,3),Holidays))</f>
        <v/>
      </c>
      <c r="AC55" s="17">
        <f>IF(OR($Z55="",$Z55=6),"",CHOOSE($Z55,"1st Email Follow-up","2nd Email Follow-up","Escalate Local Office","Escalate to CBE","Escalate to Roxanne"))</f>
        <v/>
      </c>
    </row>
    <row r="56" spans="13:29">
      <c r="M56" s="14"/>
      <c r="T56" s="16"/>
      <c r="U56" s="17">
        <f>IF(AND(COUNTA($A56:$L56)=0,$N56=""),"",IF($T56="Paid","PAID",IF($T56="Closed","CLOSED",IF($Z56="","",IF($Z56=6,"ESCALATED TO ROXANNE",IF(TODAY()&gt;$AB56,"OVERDUE",IF($AB56&lt;=WORKDAY(TODAY(),1,Holidays),"DUE TOMORROW",IF($Z56=4,"ESCALATED TO LOCAL OFFICE",IF($Z56=5,"ESCALATED TO CBE",IF($AA56=TODAY(),"EMAIL SENT","MONITORING"))))))))))</f>
        <v/>
      </c>
      <c r="V56" s="17">
        <f>IF($U56="",IF(AND(COUNTA($A56:$L56)&gt;0,$N56=""),"Awaiting Collection Email time stamp.",""),IF(OR($U56="PAID",$U56="CLOSED"),IF($U56="PAID","Account paid. Action completed.","Account closed. No further action required."),CHOOSE($Z56,"Collection Email","1st Email Follow-up","2nd Email Follow-up","Escalation to Local Office","Escalation to CBE","Escalation to Roxanne")&amp;" sent "&amp;TEXT($AA56,"dd-mmm")&amp;". "&amp;IF($Z56=6,"Final escalation completed.",IF($U56="OVERDUE","Next: "&amp;$AC56&amp;" was due "&amp;TEXT($AB56,"dd-mmm")&amp;" - "&amp;(NETWORKDAYS($AB56,TODAY(),Holidays)-1)&amp;" business day(s) late. Send now.",IF($U56="DUE TOMORROW","Next: "&amp;$AC56&amp;IF($AB56&lt;=TODAY()," is due TODAY ("," is due next business day (")&amp;TEXT($AB56,"dd-mmm")&amp;").","Next: "&amp;$AC56&amp;" due "&amp;TEXT($AB56,"dd-mmm")&amp;" ("&amp;(NETWORKDAYS(TODAY(),$AB56,Holidays)-1)&amp;" business day(s) left).")))))</f>
        <v/>
      </c>
      <c r="W56" s="17">
        <f>IF($Z56="","",CHOOSE($Z56,"Collection Email","1st Follow-up","2nd Follow-up","Local Office","CBE","Roxanne")&amp;IF($Z56=6," - Final"," - Day "&amp;MAX(0,NETWORKDAYS($AA56,TODAY(),Holidays)-1)&amp;" of "&amp;CHOOSE($Z56,3,3,2,2,3))&amp;" | Total Day "&amp;MAX(0,NETWORKDAYS($N56,TODAY(),Holidays)-1))</f>
        <v/>
      </c>
      <c r="X56" s="18"/>
      <c r="Y56" s="18"/>
      <c r="Z56" s="17">
        <f>IF($N56="","",COUNT($N56:$S56))</f>
        <v/>
      </c>
      <c r="AA56" s="19">
        <f>IF($Z56="","",INT(INDEX($N56:$S56,$Z56)))</f>
        <v/>
      </c>
      <c r="AB56" s="19">
        <f>IF(OR($Z56="",$Z56=6),"",WORKDAY($AA56,CHOOSE($Z56,3,3,2,2,3),Holidays))</f>
        <v/>
      </c>
      <c r="AC56" s="17">
        <f>IF(OR($Z56="",$Z56=6),"",CHOOSE($Z56,"1st Email Follow-up","2nd Email Follow-up","Escalate Local Office","Escalate to CBE","Escalate to Roxanne"))</f>
        <v/>
      </c>
    </row>
    <row r="57" spans="13:29">
      <c r="M57" s="14"/>
      <c r="T57" s="16"/>
      <c r="U57" s="17">
        <f>IF(AND(COUNTA($A57:$L57)=0,$N57=""),"",IF($T57="Paid","PAID",IF($T57="Closed","CLOSED",IF($Z57="","",IF($Z57=6,"ESCALATED TO ROXANNE",IF(TODAY()&gt;$AB57,"OVERDUE",IF($AB57&lt;=WORKDAY(TODAY(),1,Holidays),"DUE TOMORROW",IF($Z57=4,"ESCALATED TO LOCAL OFFICE",IF($Z57=5,"ESCALATED TO CBE",IF($AA57=TODAY(),"EMAIL SENT","MONITORING"))))))))))</f>
        <v/>
      </c>
      <c r="V57" s="17">
        <f>IF($U57="",IF(AND(COUNTA($A57:$L57)&gt;0,$N57=""),"Awaiting Collection Email time stamp.",""),IF(OR($U57="PAID",$U57="CLOSED"),IF($U57="PAID","Account paid. Action completed.","Account closed. No further action required."),CHOOSE($Z57,"Collection Email","1st Email Follow-up","2nd Email Follow-up","Escalation to Local Office","Escalation to CBE","Escalation to Roxanne")&amp;" sent "&amp;TEXT($AA57,"dd-mmm")&amp;". "&amp;IF($Z57=6,"Final escalation completed.",IF($U57="OVERDUE","Next: "&amp;$AC57&amp;" was due "&amp;TEXT($AB57,"dd-mmm")&amp;" - "&amp;(NETWORKDAYS($AB57,TODAY(),Holidays)-1)&amp;" business day(s) late. Send now.",IF($U57="DUE TOMORROW","Next: "&amp;$AC57&amp;IF($AB57&lt;=TODAY()," is due TODAY ("," is due next business day (")&amp;TEXT($AB57,"dd-mmm")&amp;").","Next: "&amp;$AC57&amp;" due "&amp;TEXT($AB57,"dd-mmm")&amp;" ("&amp;(NETWORKDAYS(TODAY(),$AB57,Holidays)-1)&amp;" business day(s) left).")))))</f>
        <v/>
      </c>
      <c r="W57" s="17">
        <f>IF($Z57="","",CHOOSE($Z57,"Collection Email","1st Follow-up","2nd Follow-up","Local Office","CBE","Roxanne")&amp;IF($Z57=6," - Final"," - Day "&amp;MAX(0,NETWORKDAYS($AA57,TODAY(),Holidays)-1)&amp;" of "&amp;CHOOSE($Z57,3,3,2,2,3))&amp;" | Total Day "&amp;MAX(0,NETWORKDAYS($N57,TODAY(),Holidays)-1))</f>
        <v/>
      </c>
      <c r="X57" s="18"/>
      <c r="Y57" s="18"/>
      <c r="Z57" s="17">
        <f>IF($N57="","",COUNT($N57:$S57))</f>
        <v/>
      </c>
      <c r="AA57" s="19">
        <f>IF($Z57="","",INT(INDEX($N57:$S57,$Z57)))</f>
        <v/>
      </c>
      <c r="AB57" s="19">
        <f>IF(OR($Z57="",$Z57=6),"",WORKDAY($AA57,CHOOSE($Z57,3,3,2,2,3),Holidays))</f>
        <v/>
      </c>
      <c r="AC57" s="17">
        <f>IF(OR($Z57="",$Z57=6),"",CHOOSE($Z57,"1st Email Follow-up","2nd Email Follow-up","Escalate Local Office","Escalate to CBE","Escalate to Roxanne"))</f>
        <v/>
      </c>
    </row>
    <row r="58" spans="13:29">
      <c r="M58" s="14"/>
      <c r="T58" s="16"/>
      <c r="U58" s="17">
        <f>IF(AND(COUNTA($A58:$L58)=0,$N58=""),"",IF($T58="Paid","PAID",IF($T58="Closed","CLOSED",IF($Z58="","",IF($Z58=6,"ESCALATED TO ROXANNE",IF(TODAY()&gt;$AB58,"OVERDUE",IF($AB58&lt;=WORKDAY(TODAY(),1,Holidays),"DUE TOMORROW",IF($Z58=4,"ESCALATED TO LOCAL OFFICE",IF($Z58=5,"ESCALATED TO CBE",IF($AA58=TODAY(),"EMAIL SENT","MONITORING"))))))))))</f>
        <v/>
      </c>
      <c r="V58" s="17">
        <f>IF($U58="",IF(AND(COUNTA($A58:$L58)&gt;0,$N58=""),"Awaiting Collection Email time stamp.",""),IF(OR($U58="PAID",$U58="CLOSED"),IF($U58="PAID","Account paid. Action completed.","Account closed. No further action required."),CHOOSE($Z58,"Collection Email","1st Email Follow-up","2nd Email Follow-up","Escalation to Local Office","Escalation to CBE","Escalation to Roxanne")&amp;" sent "&amp;TEXT($AA58,"dd-mmm")&amp;". "&amp;IF($Z58=6,"Final escalation completed.",IF($U58="OVERDUE","Next: "&amp;$AC58&amp;" was due "&amp;TEXT($AB58,"dd-mmm")&amp;" - "&amp;(NETWORKDAYS($AB58,TODAY(),Holidays)-1)&amp;" business day(s) late. Send now.",IF($U58="DUE TOMORROW","Next: "&amp;$AC58&amp;IF($AB58&lt;=TODAY()," is due TODAY ("," is due next business day (")&amp;TEXT($AB58,"dd-mmm")&amp;").","Next: "&amp;$AC58&amp;" due "&amp;TEXT($AB58,"dd-mmm")&amp;" ("&amp;(NETWORKDAYS(TODAY(),$AB58,Holidays)-1)&amp;" business day(s) left).")))))</f>
        <v/>
      </c>
      <c r="W58" s="17">
        <f>IF($Z58="","",CHOOSE($Z58,"Collection Email","1st Follow-up","2nd Follow-up","Local Office","CBE","Roxanne")&amp;IF($Z58=6," - Final"," - Day "&amp;MAX(0,NETWORKDAYS($AA58,TODAY(),Holidays)-1)&amp;" of "&amp;CHOOSE($Z58,3,3,2,2,3))&amp;" | Total Day "&amp;MAX(0,NETWORKDAYS($N58,TODAY(),Holidays)-1))</f>
        <v/>
      </c>
      <c r="X58" s="18"/>
      <c r="Y58" s="18"/>
      <c r="Z58" s="17">
        <f>IF($N58="","",COUNT($N58:$S58))</f>
        <v/>
      </c>
      <c r="AA58" s="19">
        <f>IF($Z58="","",INT(INDEX($N58:$S58,$Z58)))</f>
        <v/>
      </c>
      <c r="AB58" s="19">
        <f>IF(OR($Z58="",$Z58=6),"",WORKDAY($AA58,CHOOSE($Z58,3,3,2,2,3),Holidays))</f>
        <v/>
      </c>
      <c r="AC58" s="17">
        <f>IF(OR($Z58="",$Z58=6),"",CHOOSE($Z58,"1st Email Follow-up","2nd Email Follow-up","Escalate Local Office","Escalate to CBE","Escalate to Roxanne"))</f>
        <v/>
      </c>
    </row>
    <row r="59" spans="13:29">
      <c r="M59" s="14"/>
      <c r="T59" s="16"/>
      <c r="U59" s="17">
        <f>IF(AND(COUNTA($A59:$L59)=0,$N59=""),"",IF($T59="Paid","PAID",IF($T59="Closed","CLOSED",IF($Z59="","",IF($Z59=6,"ESCALATED TO ROXANNE",IF(TODAY()&gt;$AB59,"OVERDUE",IF($AB59&lt;=WORKDAY(TODAY(),1,Holidays),"DUE TOMORROW",IF($Z59=4,"ESCALATED TO LOCAL OFFICE",IF($Z59=5,"ESCALATED TO CBE",IF($AA59=TODAY(),"EMAIL SENT","MONITORING"))))))))))</f>
        <v/>
      </c>
      <c r="V59" s="17">
        <f>IF($U59="",IF(AND(COUNTA($A59:$L59)&gt;0,$N59=""),"Awaiting Collection Email time stamp.",""),IF(OR($U59="PAID",$U59="CLOSED"),IF($U59="PAID","Account paid. Action completed.","Account closed. No further action required."),CHOOSE($Z59,"Collection Email","1st Email Follow-up","2nd Email Follow-up","Escalation to Local Office","Escalation to CBE","Escalation to Roxanne")&amp;" sent "&amp;TEXT($AA59,"dd-mmm")&amp;". "&amp;IF($Z59=6,"Final escalation completed.",IF($U59="OVERDUE","Next: "&amp;$AC59&amp;" was due "&amp;TEXT($AB59,"dd-mmm")&amp;" - "&amp;(NETWORKDAYS($AB59,TODAY(),Holidays)-1)&amp;" business day(s) late. Send now.",IF($U59="DUE TOMORROW","Next: "&amp;$AC59&amp;IF($AB59&lt;=TODAY()," is due TODAY ("," is due next business day (")&amp;TEXT($AB59,"dd-mmm")&amp;").","Next: "&amp;$AC59&amp;" due "&amp;TEXT($AB59,"dd-mmm")&amp;" ("&amp;(NETWORKDAYS(TODAY(),$AB59,Holidays)-1)&amp;" business day(s) left).")))))</f>
        <v/>
      </c>
      <c r="W59" s="17">
        <f>IF($Z59="","",CHOOSE($Z59,"Collection Email","1st Follow-up","2nd Follow-up","Local Office","CBE","Roxanne")&amp;IF($Z59=6," - Final"," - Day "&amp;MAX(0,NETWORKDAYS($AA59,TODAY(),Holidays)-1)&amp;" of "&amp;CHOOSE($Z59,3,3,2,2,3))&amp;" | Total Day "&amp;MAX(0,NETWORKDAYS($N59,TODAY(),Holidays)-1))</f>
        <v/>
      </c>
      <c r="X59" s="18"/>
      <c r="Y59" s="18"/>
      <c r="Z59" s="17">
        <f>IF($N59="","",COUNT($N59:$S59))</f>
        <v/>
      </c>
      <c r="AA59" s="19">
        <f>IF($Z59="","",INT(INDEX($N59:$S59,$Z59)))</f>
        <v/>
      </c>
      <c r="AB59" s="19">
        <f>IF(OR($Z59="",$Z59=6),"",WORKDAY($AA59,CHOOSE($Z59,3,3,2,2,3),Holidays))</f>
        <v/>
      </c>
      <c r="AC59" s="17">
        <f>IF(OR($Z59="",$Z59=6),"",CHOOSE($Z59,"1st Email Follow-up","2nd Email Follow-up","Escalate Local Office","Escalate to CBE","Escalate to Roxanne"))</f>
        <v/>
      </c>
    </row>
    <row r="60" spans="13:29">
      <c r="M60" s="14"/>
      <c r="T60" s="16"/>
      <c r="U60" s="17">
        <f>IF(AND(COUNTA($A60:$L60)=0,$N60=""),"",IF($T60="Paid","PAID",IF($T60="Closed","CLOSED",IF($Z60="","",IF($Z60=6,"ESCALATED TO ROXANNE",IF(TODAY()&gt;$AB60,"OVERDUE",IF($AB60&lt;=WORKDAY(TODAY(),1,Holidays),"DUE TOMORROW",IF($Z60=4,"ESCALATED TO LOCAL OFFICE",IF($Z60=5,"ESCALATED TO CBE",IF($AA60=TODAY(),"EMAIL SENT","MONITORING"))))))))))</f>
        <v/>
      </c>
      <c r="V60" s="17">
        <f>IF($U60="",IF(AND(COUNTA($A60:$L60)&gt;0,$N60=""),"Awaiting Collection Email time stamp.",""),IF(OR($U60="PAID",$U60="CLOSED"),IF($U60="PAID","Account paid. Action completed.","Account closed. No further action required."),CHOOSE($Z60,"Collection Email","1st Email Follow-up","2nd Email Follow-up","Escalation to Local Office","Escalation to CBE","Escalation to Roxanne")&amp;" sent "&amp;TEXT($AA60,"dd-mmm")&amp;". "&amp;IF($Z60=6,"Final escalation completed.",IF($U60="OVERDUE","Next: "&amp;$AC60&amp;" was due "&amp;TEXT($AB60,"dd-mmm")&amp;" - "&amp;(NETWORKDAYS($AB60,TODAY(),Holidays)-1)&amp;" business day(s) late. Send now.",IF($U60="DUE TOMORROW","Next: "&amp;$AC60&amp;IF($AB60&lt;=TODAY()," is due TODAY ("," is due next business day (")&amp;TEXT($AB60,"dd-mmm")&amp;").","Next: "&amp;$AC60&amp;" due "&amp;TEXT($AB60,"dd-mmm")&amp;" ("&amp;(NETWORKDAYS(TODAY(),$AB60,Holidays)-1)&amp;" business day(s) left).")))))</f>
        <v/>
      </c>
      <c r="W60" s="17">
        <f>IF($Z60="","",CHOOSE($Z60,"Collection Email","1st Follow-up","2nd Follow-up","Local Office","CBE","Roxanne")&amp;IF($Z60=6," - Final"," - Day "&amp;MAX(0,NETWORKDAYS($AA60,TODAY(),Holidays)-1)&amp;" of "&amp;CHOOSE($Z60,3,3,2,2,3))&amp;" | Total Day "&amp;MAX(0,NETWORKDAYS($N60,TODAY(),Holidays)-1))</f>
        <v/>
      </c>
      <c r="X60" s="18"/>
      <c r="Y60" s="18"/>
      <c r="Z60" s="17">
        <f>IF($N60="","",COUNT($N60:$S60))</f>
        <v/>
      </c>
      <c r="AA60" s="19">
        <f>IF($Z60="","",INT(INDEX($N60:$S60,$Z60)))</f>
        <v/>
      </c>
      <c r="AB60" s="19">
        <f>IF(OR($Z60="",$Z60=6),"",WORKDAY($AA60,CHOOSE($Z60,3,3,2,2,3),Holidays))</f>
        <v/>
      </c>
      <c r="AC60" s="17">
        <f>IF(OR($Z60="",$Z60=6),"",CHOOSE($Z60,"1st Email Follow-up","2nd Email Follow-up","Escalate Local Office","Escalate to CBE","Escalate to Roxanne"))</f>
        <v/>
      </c>
    </row>
    <row r="61" spans="13:29">
      <c r="M61" s="14"/>
      <c r="T61" s="16"/>
      <c r="U61" s="17">
        <f>IF(AND(COUNTA($A61:$L61)=0,$N61=""),"",IF($T61="Paid","PAID",IF($T61="Closed","CLOSED",IF($Z61="","",IF($Z61=6,"ESCALATED TO ROXANNE",IF(TODAY()&gt;$AB61,"OVERDUE",IF($AB61&lt;=WORKDAY(TODAY(),1,Holidays),"DUE TOMORROW",IF($Z61=4,"ESCALATED TO LOCAL OFFICE",IF($Z61=5,"ESCALATED TO CBE",IF($AA61=TODAY(),"EMAIL SENT","MONITORING"))))))))))</f>
        <v/>
      </c>
      <c r="V61" s="17">
        <f>IF($U61="",IF(AND(COUNTA($A61:$L61)&gt;0,$N61=""),"Awaiting Collection Email time stamp.",""),IF(OR($U61="PAID",$U61="CLOSED"),IF($U61="PAID","Account paid. Action completed.","Account closed. No further action required."),CHOOSE($Z61,"Collection Email","1st Email Follow-up","2nd Email Follow-up","Escalation to Local Office","Escalation to CBE","Escalation to Roxanne")&amp;" sent "&amp;TEXT($AA61,"dd-mmm")&amp;". "&amp;IF($Z61=6,"Final escalation completed.",IF($U61="OVERDUE","Next: "&amp;$AC61&amp;" was due "&amp;TEXT($AB61,"dd-mmm")&amp;" - "&amp;(NETWORKDAYS($AB61,TODAY(),Holidays)-1)&amp;" business day(s) late. Send now.",IF($U61="DUE TOMORROW","Next: "&amp;$AC61&amp;IF($AB61&lt;=TODAY()," is due TODAY ("," is due next business day (")&amp;TEXT($AB61,"dd-mmm")&amp;").","Next: "&amp;$AC61&amp;" due "&amp;TEXT($AB61,"dd-mmm")&amp;" ("&amp;(NETWORKDAYS(TODAY(),$AB61,Holidays)-1)&amp;" business day(s) left).")))))</f>
        <v/>
      </c>
      <c r="W61" s="17">
        <f>IF($Z61="","",CHOOSE($Z61,"Collection Email","1st Follow-up","2nd Follow-up","Local Office","CBE","Roxanne")&amp;IF($Z61=6," - Final"," - Day "&amp;MAX(0,NETWORKDAYS($AA61,TODAY(),Holidays)-1)&amp;" of "&amp;CHOOSE($Z61,3,3,2,2,3))&amp;" | Total Day "&amp;MAX(0,NETWORKDAYS($N61,TODAY(),Holidays)-1))</f>
        <v/>
      </c>
      <c r="X61" s="18"/>
      <c r="Y61" s="18"/>
      <c r="Z61" s="17">
        <f>IF($N61="","",COUNT($N61:$S61))</f>
        <v/>
      </c>
      <c r="AA61" s="19">
        <f>IF($Z61="","",INT(INDEX($N61:$S61,$Z61)))</f>
        <v/>
      </c>
      <c r="AB61" s="19">
        <f>IF(OR($Z61="",$Z61=6),"",WORKDAY($AA61,CHOOSE($Z61,3,3,2,2,3),Holidays))</f>
        <v/>
      </c>
      <c r="AC61" s="17">
        <f>IF(OR($Z61="",$Z61=6),"",CHOOSE($Z61,"1st Email Follow-up","2nd Email Follow-up","Escalate Local Office","Escalate to CBE","Escalate to Roxanne"))</f>
        <v/>
      </c>
    </row>
    <row r="62" spans="13:29">
      <c r="M62" s="14"/>
      <c r="T62" s="16"/>
      <c r="U62" s="17">
        <f>IF(AND(COUNTA($A62:$L62)=0,$N62=""),"",IF($T62="Paid","PAID",IF($T62="Closed","CLOSED",IF($Z62="","",IF($Z62=6,"ESCALATED TO ROXANNE",IF(TODAY()&gt;$AB62,"OVERDUE",IF($AB62&lt;=WORKDAY(TODAY(),1,Holidays),"DUE TOMORROW",IF($Z62=4,"ESCALATED TO LOCAL OFFICE",IF($Z62=5,"ESCALATED TO CBE",IF($AA62=TODAY(),"EMAIL SENT","MONITORING"))))))))))</f>
        <v/>
      </c>
      <c r="V62" s="17">
        <f>IF($U62="",IF(AND(COUNTA($A62:$L62)&gt;0,$N62=""),"Awaiting Collection Email time stamp.",""),IF(OR($U62="PAID",$U62="CLOSED"),IF($U62="PAID","Account paid. Action completed.","Account closed. No further action required."),CHOOSE($Z62,"Collection Email","1st Email Follow-up","2nd Email Follow-up","Escalation to Local Office","Escalation to CBE","Escalation to Roxanne")&amp;" sent "&amp;TEXT($AA62,"dd-mmm")&amp;". "&amp;IF($Z62=6,"Final escalation completed.",IF($U62="OVERDUE","Next: "&amp;$AC62&amp;" was due "&amp;TEXT($AB62,"dd-mmm")&amp;" - "&amp;(NETWORKDAYS($AB62,TODAY(),Holidays)-1)&amp;" business day(s) late. Send now.",IF($U62="DUE TOMORROW","Next: "&amp;$AC62&amp;IF($AB62&lt;=TODAY()," is due TODAY ("," is due next business day (")&amp;TEXT($AB62,"dd-mmm")&amp;").","Next: "&amp;$AC62&amp;" due "&amp;TEXT($AB62,"dd-mmm")&amp;" ("&amp;(NETWORKDAYS(TODAY(),$AB62,Holidays)-1)&amp;" business day(s) left).")))))</f>
        <v/>
      </c>
      <c r="W62" s="17">
        <f>IF($Z62="","",CHOOSE($Z62,"Collection Email","1st Follow-up","2nd Follow-up","Local Office","CBE","Roxanne")&amp;IF($Z62=6," - Final"," - Day "&amp;MAX(0,NETWORKDAYS($AA62,TODAY(),Holidays)-1)&amp;" of "&amp;CHOOSE($Z62,3,3,2,2,3))&amp;" | Total Day "&amp;MAX(0,NETWORKDAYS($N62,TODAY(),Holidays)-1))</f>
        <v/>
      </c>
      <c r="X62" s="18"/>
      <c r="Y62" s="18"/>
      <c r="Z62" s="17">
        <f>IF($N62="","",COUNT($N62:$S62))</f>
        <v/>
      </c>
      <c r="AA62" s="19">
        <f>IF($Z62="","",INT(INDEX($N62:$S62,$Z62)))</f>
        <v/>
      </c>
      <c r="AB62" s="19">
        <f>IF(OR($Z62="",$Z62=6),"",WORKDAY($AA62,CHOOSE($Z62,3,3,2,2,3),Holidays))</f>
        <v/>
      </c>
      <c r="AC62" s="17">
        <f>IF(OR($Z62="",$Z62=6),"",CHOOSE($Z62,"1st Email Follow-up","2nd Email Follow-up","Escalate Local Office","Escalate to CBE","Escalate to Roxanne"))</f>
        <v/>
      </c>
    </row>
    <row r="63" spans="13:29">
      <c r="M63" s="14"/>
      <c r="T63" s="16"/>
      <c r="U63" s="17">
        <f>IF(AND(COUNTA($A63:$L63)=0,$N63=""),"",IF($T63="Paid","PAID",IF($T63="Closed","CLOSED",IF($Z63="","",IF($Z63=6,"ESCALATED TO ROXANNE",IF(TODAY()&gt;$AB63,"OVERDUE",IF($AB63&lt;=WORKDAY(TODAY(),1,Holidays),"DUE TOMORROW",IF($Z63=4,"ESCALATED TO LOCAL OFFICE",IF($Z63=5,"ESCALATED TO CBE",IF($AA63=TODAY(),"EMAIL SENT","MONITORING"))))))))))</f>
        <v/>
      </c>
      <c r="V63" s="17">
        <f>IF($U63="",IF(AND(COUNTA($A63:$L63)&gt;0,$N63=""),"Awaiting Collection Email time stamp.",""),IF(OR($U63="PAID",$U63="CLOSED"),IF($U63="PAID","Account paid. Action completed.","Account closed. No further action required."),CHOOSE($Z63,"Collection Email","1st Email Follow-up","2nd Email Follow-up","Escalation to Local Office","Escalation to CBE","Escalation to Roxanne")&amp;" sent "&amp;TEXT($AA63,"dd-mmm")&amp;". "&amp;IF($Z63=6,"Final escalation completed.",IF($U63="OVERDUE","Next: "&amp;$AC63&amp;" was due "&amp;TEXT($AB63,"dd-mmm")&amp;" - "&amp;(NETWORKDAYS($AB63,TODAY(),Holidays)-1)&amp;" business day(s) late. Send now.",IF($U63="DUE TOMORROW","Next: "&amp;$AC63&amp;IF($AB63&lt;=TODAY()," is due TODAY ("," is due next business day (")&amp;TEXT($AB63,"dd-mmm")&amp;").","Next: "&amp;$AC63&amp;" due "&amp;TEXT($AB63,"dd-mmm")&amp;" ("&amp;(NETWORKDAYS(TODAY(),$AB63,Holidays)-1)&amp;" business day(s) left).")))))</f>
        <v/>
      </c>
      <c r="W63" s="17">
        <f>IF($Z63="","",CHOOSE($Z63,"Collection Email","1st Follow-up","2nd Follow-up","Local Office","CBE","Roxanne")&amp;IF($Z63=6," - Final"," - Day "&amp;MAX(0,NETWORKDAYS($AA63,TODAY(),Holidays)-1)&amp;" of "&amp;CHOOSE($Z63,3,3,2,2,3))&amp;" | Total Day "&amp;MAX(0,NETWORKDAYS($N63,TODAY(),Holidays)-1))</f>
        <v/>
      </c>
      <c r="X63" s="18"/>
      <c r="Y63" s="18"/>
      <c r="Z63" s="17">
        <f>IF($N63="","",COUNT($N63:$S63))</f>
        <v/>
      </c>
      <c r="AA63" s="19">
        <f>IF($Z63="","",INT(INDEX($N63:$S63,$Z63)))</f>
        <v/>
      </c>
      <c r="AB63" s="19">
        <f>IF(OR($Z63="",$Z63=6),"",WORKDAY($AA63,CHOOSE($Z63,3,3,2,2,3),Holidays))</f>
        <v/>
      </c>
      <c r="AC63" s="17">
        <f>IF(OR($Z63="",$Z63=6),"",CHOOSE($Z63,"1st Email Follow-up","2nd Email Follow-up","Escalate Local Office","Escalate to CBE","Escalate to Roxanne"))</f>
        <v/>
      </c>
    </row>
    <row r="64" spans="13:29">
      <c r="M64" s="14"/>
      <c r="T64" s="16"/>
      <c r="U64" s="17">
        <f>IF(AND(COUNTA($A64:$L64)=0,$N64=""),"",IF($T64="Paid","PAID",IF($T64="Closed","CLOSED",IF($Z64="","",IF($Z64=6,"ESCALATED TO ROXANNE",IF(TODAY()&gt;$AB64,"OVERDUE",IF($AB64&lt;=WORKDAY(TODAY(),1,Holidays),"DUE TOMORROW",IF($Z64=4,"ESCALATED TO LOCAL OFFICE",IF($Z64=5,"ESCALATED TO CBE",IF($AA64=TODAY(),"EMAIL SENT","MONITORING"))))))))))</f>
        <v/>
      </c>
      <c r="V64" s="17">
        <f>IF($U64="",IF(AND(COUNTA($A64:$L64)&gt;0,$N64=""),"Awaiting Collection Email time stamp.",""),IF(OR($U64="PAID",$U64="CLOSED"),IF($U64="PAID","Account paid. Action completed.","Account closed. No further action required."),CHOOSE($Z64,"Collection Email","1st Email Follow-up","2nd Email Follow-up","Escalation to Local Office","Escalation to CBE","Escalation to Roxanne")&amp;" sent "&amp;TEXT($AA64,"dd-mmm")&amp;". "&amp;IF($Z64=6,"Final escalation completed.",IF($U64="OVERDUE","Next: "&amp;$AC64&amp;" was due "&amp;TEXT($AB64,"dd-mmm")&amp;" - "&amp;(NETWORKDAYS($AB64,TODAY(),Holidays)-1)&amp;" business day(s) late. Send now.",IF($U64="DUE TOMORROW","Next: "&amp;$AC64&amp;IF($AB64&lt;=TODAY()," is due TODAY ("," is due next business day (")&amp;TEXT($AB64,"dd-mmm")&amp;").","Next: "&amp;$AC64&amp;" due "&amp;TEXT($AB64,"dd-mmm")&amp;" ("&amp;(NETWORKDAYS(TODAY(),$AB64,Holidays)-1)&amp;" business day(s) left).")))))</f>
        <v/>
      </c>
      <c r="W64" s="17">
        <f>IF($Z64="","",CHOOSE($Z64,"Collection Email","1st Follow-up","2nd Follow-up","Local Office","CBE","Roxanne")&amp;IF($Z64=6," - Final"," - Day "&amp;MAX(0,NETWORKDAYS($AA64,TODAY(),Holidays)-1)&amp;" of "&amp;CHOOSE($Z64,3,3,2,2,3))&amp;" | Total Day "&amp;MAX(0,NETWORKDAYS($N64,TODAY(),Holidays)-1))</f>
        <v/>
      </c>
      <c r="X64" s="18"/>
      <c r="Y64" s="18"/>
      <c r="Z64" s="17">
        <f>IF($N64="","",COUNT($N64:$S64))</f>
        <v/>
      </c>
      <c r="AA64" s="19">
        <f>IF($Z64="","",INT(INDEX($N64:$S64,$Z64)))</f>
        <v/>
      </c>
      <c r="AB64" s="19">
        <f>IF(OR($Z64="",$Z64=6),"",WORKDAY($AA64,CHOOSE($Z64,3,3,2,2,3),Holidays))</f>
        <v/>
      </c>
      <c r="AC64" s="17">
        <f>IF(OR($Z64="",$Z64=6),"",CHOOSE($Z64,"1st Email Follow-up","2nd Email Follow-up","Escalate Local Office","Escalate to CBE","Escalate to Roxanne"))</f>
        <v/>
      </c>
    </row>
    <row r="65" spans="13:29">
      <c r="M65" s="14"/>
      <c r="T65" s="16"/>
      <c r="U65" s="17">
        <f>IF(AND(COUNTA($A65:$L65)=0,$N65=""),"",IF($T65="Paid","PAID",IF($T65="Closed","CLOSED",IF($Z65="","",IF($Z65=6,"ESCALATED TO ROXANNE",IF(TODAY()&gt;$AB65,"OVERDUE",IF($AB65&lt;=WORKDAY(TODAY(),1,Holidays),"DUE TOMORROW",IF($Z65=4,"ESCALATED TO LOCAL OFFICE",IF($Z65=5,"ESCALATED TO CBE",IF($AA65=TODAY(),"EMAIL SENT","MONITORING"))))))))))</f>
        <v/>
      </c>
      <c r="V65" s="17">
        <f>IF($U65="",IF(AND(COUNTA($A65:$L65)&gt;0,$N65=""),"Awaiting Collection Email time stamp.",""),IF(OR($U65="PAID",$U65="CLOSED"),IF($U65="PAID","Account paid. Action completed.","Account closed. No further action required."),CHOOSE($Z65,"Collection Email","1st Email Follow-up","2nd Email Follow-up","Escalation to Local Office","Escalation to CBE","Escalation to Roxanne")&amp;" sent "&amp;TEXT($AA65,"dd-mmm")&amp;". "&amp;IF($Z65=6,"Final escalation completed.",IF($U65="OVERDUE","Next: "&amp;$AC65&amp;" was due "&amp;TEXT($AB65,"dd-mmm")&amp;" - "&amp;(NETWORKDAYS($AB65,TODAY(),Holidays)-1)&amp;" business day(s) late. Send now.",IF($U65="DUE TOMORROW","Next: "&amp;$AC65&amp;IF($AB65&lt;=TODAY()," is due TODAY ("," is due next business day (")&amp;TEXT($AB65,"dd-mmm")&amp;").","Next: "&amp;$AC65&amp;" due "&amp;TEXT($AB65,"dd-mmm")&amp;" ("&amp;(NETWORKDAYS(TODAY(),$AB65,Holidays)-1)&amp;" business day(s) left).")))))</f>
        <v/>
      </c>
      <c r="W65" s="17">
        <f>IF($Z65="","",CHOOSE($Z65,"Collection Email","1st Follow-up","2nd Follow-up","Local Office","CBE","Roxanne")&amp;IF($Z65=6," - Final"," - Day "&amp;MAX(0,NETWORKDAYS($AA65,TODAY(),Holidays)-1)&amp;" of "&amp;CHOOSE($Z65,3,3,2,2,3))&amp;" | Total Day "&amp;MAX(0,NETWORKDAYS($N65,TODAY(),Holidays)-1))</f>
        <v/>
      </c>
      <c r="X65" s="18"/>
      <c r="Y65" s="18"/>
      <c r="Z65" s="17">
        <f>IF($N65="","",COUNT($N65:$S65))</f>
        <v/>
      </c>
      <c r="AA65" s="19">
        <f>IF($Z65="","",INT(INDEX($N65:$S65,$Z65)))</f>
        <v/>
      </c>
      <c r="AB65" s="19">
        <f>IF(OR($Z65="",$Z65=6),"",WORKDAY($AA65,CHOOSE($Z65,3,3,2,2,3),Holidays))</f>
        <v/>
      </c>
      <c r="AC65" s="17">
        <f>IF(OR($Z65="",$Z65=6),"",CHOOSE($Z65,"1st Email Follow-up","2nd Email Follow-up","Escalate Local Office","Escalate to CBE","Escalate to Roxanne"))</f>
        <v/>
      </c>
    </row>
    <row r="66" spans="13:29">
      <c r="M66" s="14"/>
      <c r="T66" s="16"/>
      <c r="U66" s="17">
        <f>IF(AND(COUNTA($A66:$L66)=0,$N66=""),"",IF($T66="Paid","PAID",IF($T66="Closed","CLOSED",IF($Z66="","",IF($Z66=6,"ESCALATED TO ROXANNE",IF(TODAY()&gt;$AB66,"OVERDUE",IF($AB66&lt;=WORKDAY(TODAY(),1,Holidays),"DUE TOMORROW",IF($Z66=4,"ESCALATED TO LOCAL OFFICE",IF($Z66=5,"ESCALATED TO CBE",IF($AA66=TODAY(),"EMAIL SENT","MONITORING"))))))))))</f>
        <v/>
      </c>
      <c r="V66" s="17">
        <f>IF($U66="",IF(AND(COUNTA($A66:$L66)&gt;0,$N66=""),"Awaiting Collection Email time stamp.",""),IF(OR($U66="PAID",$U66="CLOSED"),IF($U66="PAID","Account paid. Action completed.","Account closed. No further action required."),CHOOSE($Z66,"Collection Email","1st Email Follow-up","2nd Email Follow-up","Escalation to Local Office","Escalation to CBE","Escalation to Roxanne")&amp;" sent "&amp;TEXT($AA66,"dd-mmm")&amp;". "&amp;IF($Z66=6,"Final escalation completed.",IF($U66="OVERDUE","Next: "&amp;$AC66&amp;" was due "&amp;TEXT($AB66,"dd-mmm")&amp;" - "&amp;(NETWORKDAYS($AB66,TODAY(),Holidays)-1)&amp;" business day(s) late. Send now.",IF($U66="DUE TOMORROW","Next: "&amp;$AC66&amp;IF($AB66&lt;=TODAY()," is due TODAY ("," is due next business day (")&amp;TEXT($AB66,"dd-mmm")&amp;").","Next: "&amp;$AC66&amp;" due "&amp;TEXT($AB66,"dd-mmm")&amp;" ("&amp;(NETWORKDAYS(TODAY(),$AB66,Holidays)-1)&amp;" business day(s) left).")))))</f>
        <v/>
      </c>
      <c r="W66" s="17">
        <f>IF($Z66="","",CHOOSE($Z66,"Collection Email","1st Follow-up","2nd Follow-up","Local Office","CBE","Roxanne")&amp;IF($Z66=6," - Final"," - Day "&amp;MAX(0,NETWORKDAYS($AA66,TODAY(),Holidays)-1)&amp;" of "&amp;CHOOSE($Z66,3,3,2,2,3))&amp;" | Total Day "&amp;MAX(0,NETWORKDAYS($N66,TODAY(),Holidays)-1))</f>
        <v/>
      </c>
      <c r="X66" s="18"/>
      <c r="Y66" s="18"/>
      <c r="Z66" s="17">
        <f>IF($N66="","",COUNT($N66:$S66))</f>
        <v/>
      </c>
      <c r="AA66" s="19">
        <f>IF($Z66="","",INT(INDEX($N66:$S66,$Z66)))</f>
        <v/>
      </c>
      <c r="AB66" s="19">
        <f>IF(OR($Z66="",$Z66=6),"",WORKDAY($AA66,CHOOSE($Z66,3,3,2,2,3),Holidays))</f>
        <v/>
      </c>
      <c r="AC66" s="17">
        <f>IF(OR($Z66="",$Z66=6),"",CHOOSE($Z66,"1st Email Follow-up","2nd Email Follow-up","Escalate Local Office","Escalate to CBE","Escalate to Roxanne"))</f>
        <v/>
      </c>
    </row>
    <row r="67" spans="13:29">
      <c r="M67" s="14"/>
      <c r="T67" s="16"/>
      <c r="U67" s="17">
        <f>IF(AND(COUNTA($A67:$L67)=0,$N67=""),"",IF($T67="Paid","PAID",IF($T67="Closed","CLOSED",IF($Z67="","",IF($Z67=6,"ESCALATED TO ROXANNE",IF(TODAY()&gt;$AB67,"OVERDUE",IF($AB67&lt;=WORKDAY(TODAY(),1,Holidays),"DUE TOMORROW",IF($Z67=4,"ESCALATED TO LOCAL OFFICE",IF($Z67=5,"ESCALATED TO CBE",IF($AA67=TODAY(),"EMAIL SENT","MONITORING"))))))))))</f>
        <v/>
      </c>
      <c r="V67" s="17">
        <f>IF($U67="",IF(AND(COUNTA($A67:$L67)&gt;0,$N67=""),"Awaiting Collection Email time stamp.",""),IF(OR($U67="PAID",$U67="CLOSED"),IF($U67="PAID","Account paid. Action completed.","Account closed. No further action required."),CHOOSE($Z67,"Collection Email","1st Email Follow-up","2nd Email Follow-up","Escalation to Local Office","Escalation to CBE","Escalation to Roxanne")&amp;" sent "&amp;TEXT($AA67,"dd-mmm")&amp;". "&amp;IF($Z67=6,"Final escalation completed.",IF($U67="OVERDUE","Next: "&amp;$AC67&amp;" was due "&amp;TEXT($AB67,"dd-mmm")&amp;" - "&amp;(NETWORKDAYS($AB67,TODAY(),Holidays)-1)&amp;" business day(s) late. Send now.",IF($U67="DUE TOMORROW","Next: "&amp;$AC67&amp;IF($AB67&lt;=TODAY()," is due TODAY ("," is due next business day (")&amp;TEXT($AB67,"dd-mmm")&amp;").","Next: "&amp;$AC67&amp;" due "&amp;TEXT($AB67,"dd-mmm")&amp;" ("&amp;(NETWORKDAYS(TODAY(),$AB67,Holidays)-1)&amp;" business day(s) left).")))))</f>
        <v/>
      </c>
      <c r="W67" s="17">
        <f>IF($Z67="","",CHOOSE($Z67,"Collection Email","1st Follow-up","2nd Follow-up","Local Office","CBE","Roxanne")&amp;IF($Z67=6," - Final"," - Day "&amp;MAX(0,NETWORKDAYS($AA67,TODAY(),Holidays)-1)&amp;" of "&amp;CHOOSE($Z67,3,3,2,2,3))&amp;" | Total Day "&amp;MAX(0,NETWORKDAYS($N67,TODAY(),Holidays)-1))</f>
        <v/>
      </c>
      <c r="X67" s="18"/>
      <c r="Y67" s="18"/>
      <c r="Z67" s="17">
        <f>IF($N67="","",COUNT($N67:$S67))</f>
        <v/>
      </c>
      <c r="AA67" s="19">
        <f>IF($Z67="","",INT(INDEX($N67:$S67,$Z67)))</f>
        <v/>
      </c>
      <c r="AB67" s="19">
        <f>IF(OR($Z67="",$Z67=6),"",WORKDAY($AA67,CHOOSE($Z67,3,3,2,2,3),Holidays))</f>
        <v/>
      </c>
      <c r="AC67" s="17">
        <f>IF(OR($Z67="",$Z67=6),"",CHOOSE($Z67,"1st Email Follow-up","2nd Email Follow-up","Escalate Local Office","Escalate to CBE","Escalate to Roxanne"))</f>
        <v/>
      </c>
    </row>
    <row r="68" spans="13:29">
      <c r="M68" s="14"/>
      <c r="T68" s="16"/>
      <c r="U68" s="17">
        <f>IF(AND(COUNTA($A68:$L68)=0,$N68=""),"",IF($T68="Paid","PAID",IF($T68="Closed","CLOSED",IF($Z68="","",IF($Z68=6,"ESCALATED TO ROXANNE",IF(TODAY()&gt;$AB68,"OVERDUE",IF($AB68&lt;=WORKDAY(TODAY(),1,Holidays),"DUE TOMORROW",IF($Z68=4,"ESCALATED TO LOCAL OFFICE",IF($Z68=5,"ESCALATED TO CBE",IF($AA68=TODAY(),"EMAIL SENT","MONITORING"))))))))))</f>
        <v/>
      </c>
      <c r="V68" s="17">
        <f>IF($U68="",IF(AND(COUNTA($A68:$L68)&gt;0,$N68=""),"Awaiting Collection Email time stamp.",""),IF(OR($U68="PAID",$U68="CLOSED"),IF($U68="PAID","Account paid. Action completed.","Account closed. No further action required."),CHOOSE($Z68,"Collection Email","1st Email Follow-up","2nd Email Follow-up","Escalation to Local Office","Escalation to CBE","Escalation to Roxanne")&amp;" sent "&amp;TEXT($AA68,"dd-mmm")&amp;". "&amp;IF($Z68=6,"Final escalation completed.",IF($U68="OVERDUE","Next: "&amp;$AC68&amp;" was due "&amp;TEXT($AB68,"dd-mmm")&amp;" - "&amp;(NETWORKDAYS($AB68,TODAY(),Holidays)-1)&amp;" business day(s) late. Send now.",IF($U68="DUE TOMORROW","Next: "&amp;$AC68&amp;IF($AB68&lt;=TODAY()," is due TODAY ("," is due next business day (")&amp;TEXT($AB68,"dd-mmm")&amp;").","Next: "&amp;$AC68&amp;" due "&amp;TEXT($AB68,"dd-mmm")&amp;" ("&amp;(NETWORKDAYS(TODAY(),$AB68,Holidays)-1)&amp;" business day(s) left).")))))</f>
        <v/>
      </c>
      <c r="W68" s="17">
        <f>IF($Z68="","",CHOOSE($Z68,"Collection Email","1st Follow-up","2nd Follow-up","Local Office","CBE","Roxanne")&amp;IF($Z68=6," - Final"," - Day "&amp;MAX(0,NETWORKDAYS($AA68,TODAY(),Holidays)-1)&amp;" of "&amp;CHOOSE($Z68,3,3,2,2,3))&amp;" | Total Day "&amp;MAX(0,NETWORKDAYS($N68,TODAY(),Holidays)-1))</f>
        <v/>
      </c>
      <c r="X68" s="18"/>
      <c r="Y68" s="18"/>
      <c r="Z68" s="17">
        <f>IF($N68="","",COUNT($N68:$S68))</f>
        <v/>
      </c>
      <c r="AA68" s="19">
        <f>IF($Z68="","",INT(INDEX($N68:$S68,$Z68)))</f>
        <v/>
      </c>
      <c r="AB68" s="19">
        <f>IF(OR($Z68="",$Z68=6),"",WORKDAY($AA68,CHOOSE($Z68,3,3,2,2,3),Holidays))</f>
        <v/>
      </c>
      <c r="AC68" s="17">
        <f>IF(OR($Z68="",$Z68=6),"",CHOOSE($Z68,"1st Email Follow-up","2nd Email Follow-up","Escalate Local Office","Escalate to CBE","Escalate to Roxanne"))</f>
        <v/>
      </c>
    </row>
    <row r="69" spans="13:29">
      <c r="M69" s="14"/>
      <c r="T69" s="16"/>
      <c r="U69" s="17">
        <f>IF(AND(COUNTA($A69:$L69)=0,$N69=""),"",IF($T69="Paid","PAID",IF($T69="Closed","CLOSED",IF($Z69="","",IF($Z69=6,"ESCALATED TO ROXANNE",IF(TODAY()&gt;$AB69,"OVERDUE",IF($AB69&lt;=WORKDAY(TODAY(),1,Holidays),"DUE TOMORROW",IF($Z69=4,"ESCALATED TO LOCAL OFFICE",IF($Z69=5,"ESCALATED TO CBE",IF($AA69=TODAY(),"EMAIL SENT","MONITORING"))))))))))</f>
        <v/>
      </c>
      <c r="V69" s="17">
        <f>IF($U69="",IF(AND(COUNTA($A69:$L69)&gt;0,$N69=""),"Awaiting Collection Email time stamp.",""),IF(OR($U69="PAID",$U69="CLOSED"),IF($U69="PAID","Account paid. Action completed.","Account closed. No further action required."),CHOOSE($Z69,"Collection Email","1st Email Follow-up","2nd Email Follow-up","Escalation to Local Office","Escalation to CBE","Escalation to Roxanne")&amp;" sent "&amp;TEXT($AA69,"dd-mmm")&amp;". "&amp;IF($Z69=6,"Final escalation completed.",IF($U69="OVERDUE","Next: "&amp;$AC69&amp;" was due "&amp;TEXT($AB69,"dd-mmm")&amp;" - "&amp;(NETWORKDAYS($AB69,TODAY(),Holidays)-1)&amp;" business day(s) late. Send now.",IF($U69="DUE TOMORROW","Next: "&amp;$AC69&amp;IF($AB69&lt;=TODAY()," is due TODAY ("," is due next business day (")&amp;TEXT($AB69,"dd-mmm")&amp;").","Next: "&amp;$AC69&amp;" due "&amp;TEXT($AB69,"dd-mmm")&amp;" ("&amp;(NETWORKDAYS(TODAY(),$AB69,Holidays)-1)&amp;" business day(s) left).")))))</f>
        <v/>
      </c>
      <c r="W69" s="17">
        <f>IF($Z69="","",CHOOSE($Z69,"Collection Email","1st Follow-up","2nd Follow-up","Local Office","CBE","Roxanne")&amp;IF($Z69=6," - Final"," - Day "&amp;MAX(0,NETWORKDAYS($AA69,TODAY(),Holidays)-1)&amp;" of "&amp;CHOOSE($Z69,3,3,2,2,3))&amp;" | Total Day "&amp;MAX(0,NETWORKDAYS($N69,TODAY(),Holidays)-1))</f>
        <v/>
      </c>
      <c r="X69" s="18"/>
      <c r="Y69" s="18"/>
      <c r="Z69" s="17">
        <f>IF($N69="","",COUNT($N69:$S69))</f>
        <v/>
      </c>
      <c r="AA69" s="19">
        <f>IF($Z69="","",INT(INDEX($N69:$S69,$Z69)))</f>
        <v/>
      </c>
      <c r="AB69" s="19">
        <f>IF(OR($Z69="",$Z69=6),"",WORKDAY($AA69,CHOOSE($Z69,3,3,2,2,3),Holidays))</f>
        <v/>
      </c>
      <c r="AC69" s="17">
        <f>IF(OR($Z69="",$Z69=6),"",CHOOSE($Z69,"1st Email Follow-up","2nd Email Follow-up","Escalate Local Office","Escalate to CBE","Escalate to Roxanne"))</f>
        <v/>
      </c>
    </row>
    <row r="70" spans="13:29">
      <c r="M70" s="14"/>
      <c r="T70" s="16"/>
      <c r="U70" s="17">
        <f>IF(AND(COUNTA($A70:$L70)=0,$N70=""),"",IF($T70="Paid","PAID",IF($T70="Closed","CLOSED",IF($Z70="","",IF($Z70=6,"ESCALATED TO ROXANNE",IF(TODAY()&gt;$AB70,"OVERDUE",IF($AB70&lt;=WORKDAY(TODAY(),1,Holidays),"DUE TOMORROW",IF($Z70=4,"ESCALATED TO LOCAL OFFICE",IF($Z70=5,"ESCALATED TO CBE",IF($AA70=TODAY(),"EMAIL SENT","MONITORING"))))))))))</f>
        <v/>
      </c>
      <c r="V70" s="17">
        <f>IF($U70="",IF(AND(COUNTA($A70:$L70)&gt;0,$N70=""),"Awaiting Collection Email time stamp.",""),IF(OR($U70="PAID",$U70="CLOSED"),IF($U70="PAID","Account paid. Action completed.","Account closed. No further action required."),CHOOSE($Z70,"Collection Email","1st Email Follow-up","2nd Email Follow-up","Escalation to Local Office","Escalation to CBE","Escalation to Roxanne")&amp;" sent "&amp;TEXT($AA70,"dd-mmm")&amp;". "&amp;IF($Z70=6,"Final escalation completed.",IF($U70="OVERDUE","Next: "&amp;$AC70&amp;" was due "&amp;TEXT($AB70,"dd-mmm")&amp;" - "&amp;(NETWORKDAYS($AB70,TODAY(),Holidays)-1)&amp;" business day(s) late. Send now.",IF($U70="DUE TOMORROW","Next: "&amp;$AC70&amp;IF($AB70&lt;=TODAY()," is due TODAY ("," is due next business day (")&amp;TEXT($AB70,"dd-mmm")&amp;").","Next: "&amp;$AC70&amp;" due "&amp;TEXT($AB70,"dd-mmm")&amp;" ("&amp;(NETWORKDAYS(TODAY(),$AB70,Holidays)-1)&amp;" business day(s) left).")))))</f>
        <v/>
      </c>
      <c r="W70" s="17">
        <f>IF($Z70="","",CHOOSE($Z70,"Collection Email","1st Follow-up","2nd Follow-up","Local Office","CBE","Roxanne")&amp;IF($Z70=6," - Final"," - Day "&amp;MAX(0,NETWORKDAYS($AA70,TODAY(),Holidays)-1)&amp;" of "&amp;CHOOSE($Z70,3,3,2,2,3))&amp;" | Total Day "&amp;MAX(0,NETWORKDAYS($N70,TODAY(),Holidays)-1))</f>
        <v/>
      </c>
      <c r="X70" s="18"/>
      <c r="Y70" s="18"/>
      <c r="Z70" s="17">
        <f>IF($N70="","",COUNT($N70:$S70))</f>
        <v/>
      </c>
      <c r="AA70" s="19">
        <f>IF($Z70="","",INT(INDEX($N70:$S70,$Z70)))</f>
        <v/>
      </c>
      <c r="AB70" s="19">
        <f>IF(OR($Z70="",$Z70=6),"",WORKDAY($AA70,CHOOSE($Z70,3,3,2,2,3),Holidays))</f>
        <v/>
      </c>
      <c r="AC70" s="17">
        <f>IF(OR($Z70="",$Z70=6),"",CHOOSE($Z70,"1st Email Follow-up","2nd Email Follow-up","Escalate Local Office","Escalate to CBE","Escalate to Roxanne"))</f>
        <v/>
      </c>
    </row>
    <row r="71" spans="13:29">
      <c r="M71" s="14"/>
      <c r="T71" s="16"/>
      <c r="U71" s="17">
        <f>IF(AND(COUNTA($A71:$L71)=0,$N71=""),"",IF($T71="Paid","PAID",IF($T71="Closed","CLOSED",IF($Z71="","",IF($Z71=6,"ESCALATED TO ROXANNE",IF(TODAY()&gt;$AB71,"OVERDUE",IF($AB71&lt;=WORKDAY(TODAY(),1,Holidays),"DUE TOMORROW",IF($Z71=4,"ESCALATED TO LOCAL OFFICE",IF($Z71=5,"ESCALATED TO CBE",IF($AA71=TODAY(),"EMAIL SENT","MONITORING"))))))))))</f>
        <v/>
      </c>
      <c r="V71" s="17">
        <f>IF($U71="",IF(AND(COUNTA($A71:$L71)&gt;0,$N71=""),"Awaiting Collection Email time stamp.",""),IF(OR($U71="PAID",$U71="CLOSED"),IF($U71="PAID","Account paid. Action completed.","Account closed. No further action required."),CHOOSE($Z71,"Collection Email","1st Email Follow-up","2nd Email Follow-up","Escalation to Local Office","Escalation to CBE","Escalation to Roxanne")&amp;" sent "&amp;TEXT($AA71,"dd-mmm")&amp;". "&amp;IF($Z71=6,"Final escalation completed.",IF($U71="OVERDUE","Next: "&amp;$AC71&amp;" was due "&amp;TEXT($AB71,"dd-mmm")&amp;" - "&amp;(NETWORKDAYS($AB71,TODAY(),Holidays)-1)&amp;" business day(s) late. Send now.",IF($U71="DUE TOMORROW","Next: "&amp;$AC71&amp;IF($AB71&lt;=TODAY()," is due TODAY ("," is due next business day (")&amp;TEXT($AB71,"dd-mmm")&amp;").","Next: "&amp;$AC71&amp;" due "&amp;TEXT($AB71,"dd-mmm")&amp;" ("&amp;(NETWORKDAYS(TODAY(),$AB71,Holidays)-1)&amp;" business day(s) left).")))))</f>
        <v/>
      </c>
      <c r="W71" s="17">
        <f>IF($Z71="","",CHOOSE($Z71,"Collection Email","1st Follow-up","2nd Follow-up","Local Office","CBE","Roxanne")&amp;IF($Z71=6," - Final"," - Day "&amp;MAX(0,NETWORKDAYS($AA71,TODAY(),Holidays)-1)&amp;" of "&amp;CHOOSE($Z71,3,3,2,2,3))&amp;" | Total Day "&amp;MAX(0,NETWORKDAYS($N71,TODAY(),Holidays)-1))</f>
        <v/>
      </c>
      <c r="X71" s="18"/>
      <c r="Y71" s="18"/>
      <c r="Z71" s="17">
        <f>IF($N71="","",COUNT($N71:$S71))</f>
        <v/>
      </c>
      <c r="AA71" s="19">
        <f>IF($Z71="","",INT(INDEX($N71:$S71,$Z71)))</f>
        <v/>
      </c>
      <c r="AB71" s="19">
        <f>IF(OR($Z71="",$Z71=6),"",WORKDAY($AA71,CHOOSE($Z71,3,3,2,2,3),Holidays))</f>
        <v/>
      </c>
      <c r="AC71" s="17">
        <f>IF(OR($Z71="",$Z71=6),"",CHOOSE($Z71,"1st Email Follow-up","2nd Email Follow-up","Escalate Local Office","Escalate to CBE","Escalate to Roxanne"))</f>
        <v/>
      </c>
    </row>
    <row r="72" spans="13:29">
      <c r="M72" s="14"/>
      <c r="T72" s="16"/>
      <c r="U72" s="17">
        <f>IF(AND(COUNTA($A72:$L72)=0,$N72=""),"",IF($T72="Paid","PAID",IF($T72="Closed","CLOSED",IF($Z72="","",IF($Z72=6,"ESCALATED TO ROXANNE",IF(TODAY()&gt;$AB72,"OVERDUE",IF($AB72&lt;=WORKDAY(TODAY(),1,Holidays),"DUE TOMORROW",IF($Z72=4,"ESCALATED TO LOCAL OFFICE",IF($Z72=5,"ESCALATED TO CBE",IF($AA72=TODAY(),"EMAIL SENT","MONITORING"))))))))))</f>
        <v/>
      </c>
      <c r="V72" s="17">
        <f>IF($U72="",IF(AND(COUNTA($A72:$L72)&gt;0,$N72=""),"Awaiting Collection Email time stamp.",""),IF(OR($U72="PAID",$U72="CLOSED"),IF($U72="PAID","Account paid. Action completed.","Account closed. No further action required."),CHOOSE($Z72,"Collection Email","1st Email Follow-up","2nd Email Follow-up","Escalation to Local Office","Escalation to CBE","Escalation to Roxanne")&amp;" sent "&amp;TEXT($AA72,"dd-mmm")&amp;". "&amp;IF($Z72=6,"Final escalation completed.",IF($U72="OVERDUE","Next: "&amp;$AC72&amp;" was due "&amp;TEXT($AB72,"dd-mmm")&amp;" - "&amp;(NETWORKDAYS($AB72,TODAY(),Holidays)-1)&amp;" business day(s) late. Send now.",IF($U72="DUE TOMORROW","Next: "&amp;$AC72&amp;IF($AB72&lt;=TODAY()," is due TODAY ("," is due next business day (")&amp;TEXT($AB72,"dd-mmm")&amp;").","Next: "&amp;$AC72&amp;" due "&amp;TEXT($AB72,"dd-mmm")&amp;" ("&amp;(NETWORKDAYS(TODAY(),$AB72,Holidays)-1)&amp;" business day(s) left).")))))</f>
        <v/>
      </c>
      <c r="W72" s="17">
        <f>IF($Z72="","",CHOOSE($Z72,"Collection Email","1st Follow-up","2nd Follow-up","Local Office","CBE","Roxanne")&amp;IF($Z72=6," - Final"," - Day "&amp;MAX(0,NETWORKDAYS($AA72,TODAY(),Holidays)-1)&amp;" of "&amp;CHOOSE($Z72,3,3,2,2,3))&amp;" | Total Day "&amp;MAX(0,NETWORKDAYS($N72,TODAY(),Holidays)-1))</f>
        <v/>
      </c>
      <c r="X72" s="18"/>
      <c r="Y72" s="18"/>
      <c r="Z72" s="17">
        <f>IF($N72="","",COUNT($N72:$S72))</f>
        <v/>
      </c>
      <c r="AA72" s="19">
        <f>IF($Z72="","",INT(INDEX($N72:$S72,$Z72)))</f>
        <v/>
      </c>
      <c r="AB72" s="19">
        <f>IF(OR($Z72="",$Z72=6),"",WORKDAY($AA72,CHOOSE($Z72,3,3,2,2,3),Holidays))</f>
        <v/>
      </c>
      <c r="AC72" s="17">
        <f>IF(OR($Z72="",$Z72=6),"",CHOOSE($Z72,"1st Email Follow-up","2nd Email Follow-up","Escalate Local Office","Escalate to CBE","Escalate to Roxanne"))</f>
        <v/>
      </c>
    </row>
    <row r="73" spans="13:29">
      <c r="M73" s="14"/>
      <c r="T73" s="16"/>
      <c r="U73" s="17">
        <f>IF(AND(COUNTA($A73:$L73)=0,$N73=""),"",IF($T73="Paid","PAID",IF($T73="Closed","CLOSED",IF($Z73="","",IF($Z73=6,"ESCALATED TO ROXANNE",IF(TODAY()&gt;$AB73,"OVERDUE",IF($AB73&lt;=WORKDAY(TODAY(),1,Holidays),"DUE TOMORROW",IF($Z73=4,"ESCALATED TO LOCAL OFFICE",IF($Z73=5,"ESCALATED TO CBE",IF($AA73=TODAY(),"EMAIL SENT","MONITORING"))))))))))</f>
        <v/>
      </c>
      <c r="V73" s="17">
        <f>IF($U73="",IF(AND(COUNTA($A73:$L73)&gt;0,$N73=""),"Awaiting Collection Email time stamp.",""),IF(OR($U73="PAID",$U73="CLOSED"),IF($U73="PAID","Account paid. Action completed.","Account closed. No further action required."),CHOOSE($Z73,"Collection Email","1st Email Follow-up","2nd Email Follow-up","Escalation to Local Office","Escalation to CBE","Escalation to Roxanne")&amp;" sent "&amp;TEXT($AA73,"dd-mmm")&amp;". "&amp;IF($Z73=6,"Final escalation completed.",IF($U73="OVERDUE","Next: "&amp;$AC73&amp;" was due "&amp;TEXT($AB73,"dd-mmm")&amp;" - "&amp;(NETWORKDAYS($AB73,TODAY(),Holidays)-1)&amp;" business day(s) late. Send now.",IF($U73="DUE TOMORROW","Next: "&amp;$AC73&amp;IF($AB73&lt;=TODAY()," is due TODAY ("," is due next business day (")&amp;TEXT($AB73,"dd-mmm")&amp;").","Next: "&amp;$AC73&amp;" due "&amp;TEXT($AB73,"dd-mmm")&amp;" ("&amp;(NETWORKDAYS(TODAY(),$AB73,Holidays)-1)&amp;" business day(s) left).")))))</f>
        <v/>
      </c>
      <c r="W73" s="17">
        <f>IF($Z73="","",CHOOSE($Z73,"Collection Email","1st Follow-up","2nd Follow-up","Local Office","CBE","Roxanne")&amp;IF($Z73=6," - Final"," - Day "&amp;MAX(0,NETWORKDAYS($AA73,TODAY(),Holidays)-1)&amp;" of "&amp;CHOOSE($Z73,3,3,2,2,3))&amp;" | Total Day "&amp;MAX(0,NETWORKDAYS($N73,TODAY(),Holidays)-1))</f>
        <v/>
      </c>
      <c r="X73" s="18"/>
      <c r="Y73" s="18"/>
      <c r="Z73" s="17">
        <f>IF($N73="","",COUNT($N73:$S73))</f>
        <v/>
      </c>
      <c r="AA73" s="19">
        <f>IF($Z73="","",INT(INDEX($N73:$S73,$Z73)))</f>
        <v/>
      </c>
      <c r="AB73" s="19">
        <f>IF(OR($Z73="",$Z73=6),"",WORKDAY($AA73,CHOOSE($Z73,3,3,2,2,3),Holidays))</f>
        <v/>
      </c>
      <c r="AC73" s="17">
        <f>IF(OR($Z73="",$Z73=6),"",CHOOSE($Z73,"1st Email Follow-up","2nd Email Follow-up","Escalate Local Office","Escalate to CBE","Escalate to Roxanne"))</f>
        <v/>
      </c>
    </row>
    <row r="74" spans="13:29">
      <c r="M74" s="14"/>
      <c r="T74" s="16"/>
      <c r="U74" s="17">
        <f>IF(AND(COUNTA($A74:$L74)=0,$N74=""),"",IF($T74="Paid","PAID",IF($T74="Closed","CLOSED",IF($Z74="","",IF($Z74=6,"ESCALATED TO ROXANNE",IF(TODAY()&gt;$AB74,"OVERDUE",IF($AB74&lt;=WORKDAY(TODAY(),1,Holidays),"DUE TOMORROW",IF($Z74=4,"ESCALATED TO LOCAL OFFICE",IF($Z74=5,"ESCALATED TO CBE",IF($AA74=TODAY(),"EMAIL SENT","MONITORING"))))))))))</f>
        <v/>
      </c>
      <c r="V74" s="17">
        <f>IF($U74="",IF(AND(COUNTA($A74:$L74)&gt;0,$N74=""),"Awaiting Collection Email time stamp.",""),IF(OR($U74="PAID",$U74="CLOSED"),IF($U74="PAID","Account paid. Action completed.","Account closed. No further action required."),CHOOSE($Z74,"Collection Email","1st Email Follow-up","2nd Email Follow-up","Escalation to Local Office","Escalation to CBE","Escalation to Roxanne")&amp;" sent "&amp;TEXT($AA74,"dd-mmm")&amp;". "&amp;IF($Z74=6,"Final escalation completed.",IF($U74="OVERDUE","Next: "&amp;$AC74&amp;" was due "&amp;TEXT($AB74,"dd-mmm")&amp;" - "&amp;(NETWORKDAYS($AB74,TODAY(),Holidays)-1)&amp;" business day(s) late. Send now.",IF($U74="DUE TOMORROW","Next: "&amp;$AC74&amp;IF($AB74&lt;=TODAY()," is due TODAY ("," is due next business day (")&amp;TEXT($AB74,"dd-mmm")&amp;").","Next: "&amp;$AC74&amp;" due "&amp;TEXT($AB74,"dd-mmm")&amp;" ("&amp;(NETWORKDAYS(TODAY(),$AB74,Holidays)-1)&amp;" business day(s) left).")))))</f>
        <v/>
      </c>
      <c r="W74" s="17">
        <f>IF($Z74="","",CHOOSE($Z74,"Collection Email","1st Follow-up","2nd Follow-up","Local Office","CBE","Roxanne")&amp;IF($Z74=6," - Final"," - Day "&amp;MAX(0,NETWORKDAYS($AA74,TODAY(),Holidays)-1)&amp;" of "&amp;CHOOSE($Z74,3,3,2,2,3))&amp;" | Total Day "&amp;MAX(0,NETWORKDAYS($N74,TODAY(),Holidays)-1))</f>
        <v/>
      </c>
      <c r="X74" s="18"/>
      <c r="Y74" s="18"/>
      <c r="Z74" s="17">
        <f>IF($N74="","",COUNT($N74:$S74))</f>
        <v/>
      </c>
      <c r="AA74" s="19">
        <f>IF($Z74="","",INT(INDEX($N74:$S74,$Z74)))</f>
        <v/>
      </c>
      <c r="AB74" s="19">
        <f>IF(OR($Z74="",$Z74=6),"",WORKDAY($AA74,CHOOSE($Z74,3,3,2,2,3),Holidays))</f>
        <v/>
      </c>
      <c r="AC74" s="17">
        <f>IF(OR($Z74="",$Z74=6),"",CHOOSE($Z74,"1st Email Follow-up","2nd Email Follow-up","Escalate Local Office","Escalate to CBE","Escalate to Roxanne"))</f>
        <v/>
      </c>
    </row>
    <row r="75" spans="13:29">
      <c r="M75" s="14"/>
      <c r="T75" s="16"/>
      <c r="U75" s="17">
        <f>IF(AND(COUNTA($A75:$L75)=0,$N75=""),"",IF($T75="Paid","PAID",IF($T75="Closed","CLOSED",IF($Z75="","",IF($Z75=6,"ESCALATED TO ROXANNE",IF(TODAY()&gt;$AB75,"OVERDUE",IF($AB75&lt;=WORKDAY(TODAY(),1,Holidays),"DUE TOMORROW",IF($Z75=4,"ESCALATED TO LOCAL OFFICE",IF($Z75=5,"ESCALATED TO CBE",IF($AA75=TODAY(),"EMAIL SENT","MONITORING"))))))))))</f>
        <v/>
      </c>
      <c r="V75" s="17">
        <f>IF($U75="",IF(AND(COUNTA($A75:$L75)&gt;0,$N75=""),"Awaiting Collection Email time stamp.",""),IF(OR($U75="PAID",$U75="CLOSED"),IF($U75="PAID","Account paid. Action completed.","Account closed. No further action required."),CHOOSE($Z75,"Collection Email","1st Email Follow-up","2nd Email Follow-up","Escalation to Local Office","Escalation to CBE","Escalation to Roxanne")&amp;" sent "&amp;TEXT($AA75,"dd-mmm")&amp;". "&amp;IF($Z75=6,"Final escalation completed.",IF($U75="OVERDUE","Next: "&amp;$AC75&amp;" was due "&amp;TEXT($AB75,"dd-mmm")&amp;" - "&amp;(NETWORKDAYS($AB75,TODAY(),Holidays)-1)&amp;" business day(s) late. Send now.",IF($U75="DUE TOMORROW","Next: "&amp;$AC75&amp;IF($AB75&lt;=TODAY()," is due TODAY ("," is due next business day (")&amp;TEXT($AB75,"dd-mmm")&amp;").","Next: "&amp;$AC75&amp;" due "&amp;TEXT($AB75,"dd-mmm")&amp;" ("&amp;(NETWORKDAYS(TODAY(),$AB75,Holidays)-1)&amp;" business day(s) left).")))))</f>
        <v/>
      </c>
      <c r="W75" s="17">
        <f>IF($Z75="","",CHOOSE($Z75,"Collection Email","1st Follow-up","2nd Follow-up","Local Office","CBE","Roxanne")&amp;IF($Z75=6," - Final"," - Day "&amp;MAX(0,NETWORKDAYS($AA75,TODAY(),Holidays)-1)&amp;" of "&amp;CHOOSE($Z75,3,3,2,2,3))&amp;" | Total Day "&amp;MAX(0,NETWORKDAYS($N75,TODAY(),Holidays)-1))</f>
        <v/>
      </c>
      <c r="X75" s="18"/>
      <c r="Y75" s="18"/>
      <c r="Z75" s="17">
        <f>IF($N75="","",COUNT($N75:$S75))</f>
        <v/>
      </c>
      <c r="AA75" s="19">
        <f>IF($Z75="","",INT(INDEX($N75:$S75,$Z75)))</f>
        <v/>
      </c>
      <c r="AB75" s="19">
        <f>IF(OR($Z75="",$Z75=6),"",WORKDAY($AA75,CHOOSE($Z75,3,3,2,2,3),Holidays))</f>
        <v/>
      </c>
      <c r="AC75" s="17">
        <f>IF(OR($Z75="",$Z75=6),"",CHOOSE($Z75,"1st Email Follow-up","2nd Email Follow-up","Escalate Local Office","Escalate to CBE","Escalate to Roxanne"))</f>
        <v/>
      </c>
    </row>
    <row r="76" spans="13:29">
      <c r="M76" s="14"/>
      <c r="T76" s="16"/>
      <c r="U76" s="17">
        <f>IF(AND(COUNTA($A76:$L76)=0,$N76=""),"",IF($T76="Paid","PAID",IF($T76="Closed","CLOSED",IF($Z76="","",IF($Z76=6,"ESCALATED TO ROXANNE",IF(TODAY()&gt;$AB76,"OVERDUE",IF($AB76&lt;=WORKDAY(TODAY(),1,Holidays),"DUE TOMORROW",IF($Z76=4,"ESCALATED TO LOCAL OFFICE",IF($Z76=5,"ESCALATED TO CBE",IF($AA76=TODAY(),"EMAIL SENT","MONITORING"))))))))))</f>
        <v/>
      </c>
      <c r="V76" s="17">
        <f>IF($U76="",IF(AND(COUNTA($A76:$L76)&gt;0,$N76=""),"Awaiting Collection Email time stamp.",""),IF(OR($U76="PAID",$U76="CLOSED"),IF($U76="PAID","Account paid. Action completed.","Account closed. No further action required."),CHOOSE($Z76,"Collection Email","1st Email Follow-up","2nd Email Follow-up","Escalation to Local Office","Escalation to CBE","Escalation to Roxanne")&amp;" sent "&amp;TEXT($AA76,"dd-mmm")&amp;". "&amp;IF($Z76=6,"Final escalation completed.",IF($U76="OVERDUE","Next: "&amp;$AC76&amp;" was due "&amp;TEXT($AB76,"dd-mmm")&amp;" - "&amp;(NETWORKDAYS($AB76,TODAY(),Holidays)-1)&amp;" business day(s) late. Send now.",IF($U76="DUE TOMORROW","Next: "&amp;$AC76&amp;IF($AB76&lt;=TODAY()," is due TODAY ("," is due next business day (")&amp;TEXT($AB76,"dd-mmm")&amp;").","Next: "&amp;$AC76&amp;" due "&amp;TEXT($AB76,"dd-mmm")&amp;" ("&amp;(NETWORKDAYS(TODAY(),$AB76,Holidays)-1)&amp;" business day(s) left).")))))</f>
        <v/>
      </c>
      <c r="W76" s="17">
        <f>IF($Z76="","",CHOOSE($Z76,"Collection Email","1st Follow-up","2nd Follow-up","Local Office","CBE","Roxanne")&amp;IF($Z76=6," - Final"," - Day "&amp;MAX(0,NETWORKDAYS($AA76,TODAY(),Holidays)-1)&amp;" of "&amp;CHOOSE($Z76,3,3,2,2,3))&amp;" | Total Day "&amp;MAX(0,NETWORKDAYS($N76,TODAY(),Holidays)-1))</f>
        <v/>
      </c>
      <c r="X76" s="18"/>
      <c r="Y76" s="18"/>
      <c r="Z76" s="17">
        <f>IF($N76="","",COUNT($N76:$S76))</f>
        <v/>
      </c>
      <c r="AA76" s="19">
        <f>IF($Z76="","",INT(INDEX($N76:$S76,$Z76)))</f>
        <v/>
      </c>
      <c r="AB76" s="19">
        <f>IF(OR($Z76="",$Z76=6),"",WORKDAY($AA76,CHOOSE($Z76,3,3,2,2,3),Holidays))</f>
        <v/>
      </c>
      <c r="AC76" s="17">
        <f>IF(OR($Z76="",$Z76=6),"",CHOOSE($Z76,"1st Email Follow-up","2nd Email Follow-up","Escalate Local Office","Escalate to CBE","Escalate to Roxanne"))</f>
        <v/>
      </c>
    </row>
    <row r="77" spans="13:29">
      <c r="M77" s="14"/>
      <c r="T77" s="16"/>
      <c r="U77" s="17">
        <f>IF(AND(COUNTA($A77:$L77)=0,$N77=""),"",IF($T77="Paid","PAID",IF($T77="Closed","CLOSED",IF($Z77="","",IF($Z77=6,"ESCALATED TO ROXANNE",IF(TODAY()&gt;$AB77,"OVERDUE",IF($AB77&lt;=WORKDAY(TODAY(),1,Holidays),"DUE TOMORROW",IF($Z77=4,"ESCALATED TO LOCAL OFFICE",IF($Z77=5,"ESCALATED TO CBE",IF($AA77=TODAY(),"EMAIL SENT","MONITORING"))))))))))</f>
        <v/>
      </c>
      <c r="V77" s="17">
        <f>IF($U77="",IF(AND(COUNTA($A77:$L77)&gt;0,$N77=""),"Awaiting Collection Email time stamp.",""),IF(OR($U77="PAID",$U77="CLOSED"),IF($U77="PAID","Account paid. Action completed.","Account closed. No further action required."),CHOOSE($Z77,"Collection Email","1st Email Follow-up","2nd Email Follow-up","Escalation to Local Office","Escalation to CBE","Escalation to Roxanne")&amp;" sent "&amp;TEXT($AA77,"dd-mmm")&amp;". "&amp;IF($Z77=6,"Final escalation completed.",IF($U77="OVERDUE","Next: "&amp;$AC77&amp;" was due "&amp;TEXT($AB77,"dd-mmm")&amp;" - "&amp;(NETWORKDAYS($AB77,TODAY(),Holidays)-1)&amp;" business day(s) late. Send now.",IF($U77="DUE TOMORROW","Next: "&amp;$AC77&amp;IF($AB77&lt;=TODAY()," is due TODAY ("," is due next business day (")&amp;TEXT($AB77,"dd-mmm")&amp;").","Next: "&amp;$AC77&amp;" due "&amp;TEXT($AB77,"dd-mmm")&amp;" ("&amp;(NETWORKDAYS(TODAY(),$AB77,Holidays)-1)&amp;" business day(s) left).")))))</f>
        <v/>
      </c>
      <c r="W77" s="17">
        <f>IF($Z77="","",CHOOSE($Z77,"Collection Email","1st Follow-up","2nd Follow-up","Local Office","CBE","Roxanne")&amp;IF($Z77=6," - Final"," - Day "&amp;MAX(0,NETWORKDAYS($AA77,TODAY(),Holidays)-1)&amp;" of "&amp;CHOOSE($Z77,3,3,2,2,3))&amp;" | Total Day "&amp;MAX(0,NETWORKDAYS($N77,TODAY(),Holidays)-1))</f>
        <v/>
      </c>
      <c r="X77" s="18"/>
      <c r="Y77" s="18"/>
      <c r="Z77" s="17">
        <f>IF($N77="","",COUNT($N77:$S77))</f>
        <v/>
      </c>
      <c r="AA77" s="19">
        <f>IF($Z77="","",INT(INDEX($N77:$S77,$Z77)))</f>
        <v/>
      </c>
      <c r="AB77" s="19">
        <f>IF(OR($Z77="",$Z77=6),"",WORKDAY($AA77,CHOOSE($Z77,3,3,2,2,3),Holidays))</f>
        <v/>
      </c>
      <c r="AC77" s="17">
        <f>IF(OR($Z77="",$Z77=6),"",CHOOSE($Z77,"1st Email Follow-up","2nd Email Follow-up","Escalate Local Office","Escalate to CBE","Escalate to Roxanne"))</f>
        <v/>
      </c>
    </row>
    <row r="78" spans="13:29">
      <c r="M78" s="14"/>
      <c r="T78" s="16"/>
      <c r="U78" s="17">
        <f>IF(AND(COUNTA($A78:$L78)=0,$N78=""),"",IF($T78="Paid","PAID",IF($T78="Closed","CLOSED",IF($Z78="","",IF($Z78=6,"ESCALATED TO ROXANNE",IF(TODAY()&gt;$AB78,"OVERDUE",IF($AB78&lt;=WORKDAY(TODAY(),1,Holidays),"DUE TOMORROW",IF($Z78=4,"ESCALATED TO LOCAL OFFICE",IF($Z78=5,"ESCALATED TO CBE",IF($AA78=TODAY(),"EMAIL SENT","MONITORING"))))))))))</f>
        <v/>
      </c>
      <c r="V78" s="17">
        <f>IF($U78="",IF(AND(COUNTA($A78:$L78)&gt;0,$N78=""),"Awaiting Collection Email time stamp.",""),IF(OR($U78="PAID",$U78="CLOSED"),IF($U78="PAID","Account paid. Action completed.","Account closed. No further action required."),CHOOSE($Z78,"Collection Email","1st Email Follow-up","2nd Email Follow-up","Escalation to Local Office","Escalation to CBE","Escalation to Roxanne")&amp;" sent "&amp;TEXT($AA78,"dd-mmm")&amp;". "&amp;IF($Z78=6,"Final escalation completed.",IF($U78="OVERDUE","Next: "&amp;$AC78&amp;" was due "&amp;TEXT($AB78,"dd-mmm")&amp;" - "&amp;(NETWORKDAYS($AB78,TODAY(),Holidays)-1)&amp;" business day(s) late. Send now.",IF($U78="DUE TOMORROW","Next: "&amp;$AC78&amp;IF($AB78&lt;=TODAY()," is due TODAY ("," is due next business day (")&amp;TEXT($AB78,"dd-mmm")&amp;").","Next: "&amp;$AC78&amp;" due "&amp;TEXT($AB78,"dd-mmm")&amp;" ("&amp;(NETWORKDAYS(TODAY(),$AB78,Holidays)-1)&amp;" business day(s) left).")))))</f>
        <v/>
      </c>
      <c r="W78" s="17">
        <f>IF($Z78="","",CHOOSE($Z78,"Collection Email","1st Follow-up","2nd Follow-up","Local Office","CBE","Roxanne")&amp;IF($Z78=6," - Final"," - Day "&amp;MAX(0,NETWORKDAYS($AA78,TODAY(),Holidays)-1)&amp;" of "&amp;CHOOSE($Z78,3,3,2,2,3))&amp;" | Total Day "&amp;MAX(0,NETWORKDAYS($N78,TODAY(),Holidays)-1))</f>
        <v/>
      </c>
      <c r="X78" s="18"/>
      <c r="Y78" s="18"/>
      <c r="Z78" s="17">
        <f>IF($N78="","",COUNT($N78:$S78))</f>
        <v/>
      </c>
      <c r="AA78" s="19">
        <f>IF($Z78="","",INT(INDEX($N78:$S78,$Z78)))</f>
        <v/>
      </c>
      <c r="AB78" s="19">
        <f>IF(OR($Z78="",$Z78=6),"",WORKDAY($AA78,CHOOSE($Z78,3,3,2,2,3),Holidays))</f>
        <v/>
      </c>
      <c r="AC78" s="17">
        <f>IF(OR($Z78="",$Z78=6),"",CHOOSE($Z78,"1st Email Follow-up","2nd Email Follow-up","Escalate Local Office","Escalate to CBE","Escalate to Roxanne"))</f>
        <v/>
      </c>
    </row>
    <row r="79" spans="13:29">
      <c r="M79" s="14"/>
      <c r="T79" s="16"/>
      <c r="U79" s="17">
        <f>IF(AND(COUNTA($A79:$L79)=0,$N79=""),"",IF($T79="Paid","PAID",IF($T79="Closed","CLOSED",IF($Z79="","",IF($Z79=6,"ESCALATED TO ROXANNE",IF(TODAY()&gt;$AB79,"OVERDUE",IF($AB79&lt;=WORKDAY(TODAY(),1,Holidays),"DUE TOMORROW",IF($Z79=4,"ESCALATED TO LOCAL OFFICE",IF($Z79=5,"ESCALATED TO CBE",IF($AA79=TODAY(),"EMAIL SENT","MONITORING"))))))))))</f>
        <v/>
      </c>
      <c r="V79" s="17">
        <f>IF($U79="",IF(AND(COUNTA($A79:$L79)&gt;0,$N79=""),"Awaiting Collection Email time stamp.",""),IF(OR($U79="PAID",$U79="CLOSED"),IF($U79="PAID","Account paid. Action completed.","Account closed. No further action required."),CHOOSE($Z79,"Collection Email","1st Email Follow-up","2nd Email Follow-up","Escalation to Local Office","Escalation to CBE","Escalation to Roxanne")&amp;" sent "&amp;TEXT($AA79,"dd-mmm")&amp;". "&amp;IF($Z79=6,"Final escalation completed.",IF($U79="OVERDUE","Next: "&amp;$AC79&amp;" was due "&amp;TEXT($AB79,"dd-mmm")&amp;" - "&amp;(NETWORKDAYS($AB79,TODAY(),Holidays)-1)&amp;" business day(s) late. Send now.",IF($U79="DUE TOMORROW","Next: "&amp;$AC79&amp;IF($AB79&lt;=TODAY()," is due TODAY ("," is due next business day (")&amp;TEXT($AB79,"dd-mmm")&amp;").","Next: "&amp;$AC79&amp;" due "&amp;TEXT($AB79,"dd-mmm")&amp;" ("&amp;(NETWORKDAYS(TODAY(),$AB79,Holidays)-1)&amp;" business day(s) left).")))))</f>
        <v/>
      </c>
      <c r="W79" s="17">
        <f>IF($Z79="","",CHOOSE($Z79,"Collection Email","1st Follow-up","2nd Follow-up","Local Office","CBE","Roxanne")&amp;IF($Z79=6," - Final"," - Day "&amp;MAX(0,NETWORKDAYS($AA79,TODAY(),Holidays)-1)&amp;" of "&amp;CHOOSE($Z79,3,3,2,2,3))&amp;" | Total Day "&amp;MAX(0,NETWORKDAYS($N79,TODAY(),Holidays)-1))</f>
        <v/>
      </c>
      <c r="X79" s="18"/>
      <c r="Y79" s="18"/>
      <c r="Z79" s="17">
        <f>IF($N79="","",COUNT($N79:$S79))</f>
        <v/>
      </c>
      <c r="AA79" s="19">
        <f>IF($Z79="","",INT(INDEX($N79:$S79,$Z79)))</f>
        <v/>
      </c>
      <c r="AB79" s="19">
        <f>IF(OR($Z79="",$Z79=6),"",WORKDAY($AA79,CHOOSE($Z79,3,3,2,2,3),Holidays))</f>
        <v/>
      </c>
      <c r="AC79" s="17">
        <f>IF(OR($Z79="",$Z79=6),"",CHOOSE($Z79,"1st Email Follow-up","2nd Email Follow-up","Escalate Local Office","Escalate to CBE","Escalate to Roxanne"))</f>
        <v/>
      </c>
    </row>
    <row r="80" spans="13:29">
      <c r="M80" s="14"/>
      <c r="T80" s="16"/>
      <c r="U80" s="17">
        <f>IF(AND(COUNTA($A80:$L80)=0,$N80=""),"",IF($T80="Paid","PAID",IF($T80="Closed","CLOSED",IF($Z80="","",IF($Z80=6,"ESCALATED TO ROXANNE",IF(TODAY()&gt;$AB80,"OVERDUE",IF($AB80&lt;=WORKDAY(TODAY(),1,Holidays),"DUE TOMORROW",IF($Z80=4,"ESCALATED TO LOCAL OFFICE",IF($Z80=5,"ESCALATED TO CBE",IF($AA80=TODAY(),"EMAIL SENT","MONITORING"))))))))))</f>
        <v/>
      </c>
      <c r="V80" s="17">
        <f>IF($U80="",IF(AND(COUNTA($A80:$L80)&gt;0,$N80=""),"Awaiting Collection Email time stamp.",""),IF(OR($U80="PAID",$U80="CLOSED"),IF($U80="PAID","Account paid. Action completed.","Account closed. No further action required."),CHOOSE($Z80,"Collection Email","1st Email Follow-up","2nd Email Follow-up","Escalation to Local Office","Escalation to CBE","Escalation to Roxanne")&amp;" sent "&amp;TEXT($AA80,"dd-mmm")&amp;". "&amp;IF($Z80=6,"Final escalation completed.",IF($U80="OVERDUE","Next: "&amp;$AC80&amp;" was due "&amp;TEXT($AB80,"dd-mmm")&amp;" - "&amp;(NETWORKDAYS($AB80,TODAY(),Holidays)-1)&amp;" business day(s) late. Send now.",IF($U80="DUE TOMORROW","Next: "&amp;$AC80&amp;IF($AB80&lt;=TODAY()," is due TODAY ("," is due next business day (")&amp;TEXT($AB80,"dd-mmm")&amp;").","Next: "&amp;$AC80&amp;" due "&amp;TEXT($AB80,"dd-mmm")&amp;" ("&amp;(NETWORKDAYS(TODAY(),$AB80,Holidays)-1)&amp;" business day(s) left).")))))</f>
        <v/>
      </c>
      <c r="W80" s="17">
        <f>IF($Z80="","",CHOOSE($Z80,"Collection Email","1st Follow-up","2nd Follow-up","Local Office","CBE","Roxanne")&amp;IF($Z80=6," - Final"," - Day "&amp;MAX(0,NETWORKDAYS($AA80,TODAY(),Holidays)-1)&amp;" of "&amp;CHOOSE($Z80,3,3,2,2,3))&amp;" | Total Day "&amp;MAX(0,NETWORKDAYS($N80,TODAY(),Holidays)-1))</f>
        <v/>
      </c>
      <c r="X80" s="18"/>
      <c r="Y80" s="18"/>
      <c r="Z80" s="17">
        <f>IF($N80="","",COUNT($N80:$S80))</f>
        <v/>
      </c>
      <c r="AA80" s="19">
        <f>IF($Z80="","",INT(INDEX($N80:$S80,$Z80)))</f>
        <v/>
      </c>
      <c r="AB80" s="19">
        <f>IF(OR($Z80="",$Z80=6),"",WORKDAY($AA80,CHOOSE($Z80,3,3,2,2,3),Holidays))</f>
        <v/>
      </c>
      <c r="AC80" s="17">
        <f>IF(OR($Z80="",$Z80=6),"",CHOOSE($Z80,"1st Email Follow-up","2nd Email Follow-up","Escalate Local Office","Escalate to CBE","Escalate to Roxanne"))</f>
        <v/>
      </c>
    </row>
    <row r="81" spans="13:29">
      <c r="M81" s="14"/>
      <c r="T81" s="16"/>
      <c r="U81" s="17">
        <f>IF(AND(COUNTA($A81:$L81)=0,$N81=""),"",IF($T81="Paid","PAID",IF($T81="Closed","CLOSED",IF($Z81="","",IF($Z81=6,"ESCALATED TO ROXANNE",IF(TODAY()&gt;$AB81,"OVERDUE",IF($AB81&lt;=WORKDAY(TODAY(),1,Holidays),"DUE TOMORROW",IF($Z81=4,"ESCALATED TO LOCAL OFFICE",IF($Z81=5,"ESCALATED TO CBE",IF($AA81=TODAY(),"EMAIL SENT","MONITORING"))))))))))</f>
        <v/>
      </c>
      <c r="V81" s="17">
        <f>IF($U81="",IF(AND(COUNTA($A81:$L81)&gt;0,$N81=""),"Awaiting Collection Email time stamp.",""),IF(OR($U81="PAID",$U81="CLOSED"),IF($U81="PAID","Account paid. Action completed.","Account closed. No further action required."),CHOOSE($Z81,"Collection Email","1st Email Follow-up","2nd Email Follow-up","Escalation to Local Office","Escalation to CBE","Escalation to Roxanne")&amp;" sent "&amp;TEXT($AA81,"dd-mmm")&amp;". "&amp;IF($Z81=6,"Final escalation completed.",IF($U81="OVERDUE","Next: "&amp;$AC81&amp;" was due "&amp;TEXT($AB81,"dd-mmm")&amp;" - "&amp;(NETWORKDAYS($AB81,TODAY(),Holidays)-1)&amp;" business day(s) late. Send now.",IF($U81="DUE TOMORROW","Next: "&amp;$AC81&amp;IF($AB81&lt;=TODAY()," is due TODAY ("," is due next business day (")&amp;TEXT($AB81,"dd-mmm")&amp;").","Next: "&amp;$AC81&amp;" due "&amp;TEXT($AB81,"dd-mmm")&amp;" ("&amp;(NETWORKDAYS(TODAY(),$AB81,Holidays)-1)&amp;" business day(s) left).")))))</f>
        <v/>
      </c>
      <c r="W81" s="17">
        <f>IF($Z81="","",CHOOSE($Z81,"Collection Email","1st Follow-up","2nd Follow-up","Local Office","CBE","Roxanne")&amp;IF($Z81=6," - Final"," - Day "&amp;MAX(0,NETWORKDAYS($AA81,TODAY(),Holidays)-1)&amp;" of "&amp;CHOOSE($Z81,3,3,2,2,3))&amp;" | Total Day "&amp;MAX(0,NETWORKDAYS($N81,TODAY(),Holidays)-1))</f>
        <v/>
      </c>
      <c r="X81" s="18"/>
      <c r="Y81" s="18"/>
      <c r="Z81" s="17">
        <f>IF($N81="","",COUNT($N81:$S81))</f>
        <v/>
      </c>
      <c r="AA81" s="19">
        <f>IF($Z81="","",INT(INDEX($N81:$S81,$Z81)))</f>
        <v/>
      </c>
      <c r="AB81" s="19">
        <f>IF(OR($Z81="",$Z81=6),"",WORKDAY($AA81,CHOOSE($Z81,3,3,2,2,3),Holidays))</f>
        <v/>
      </c>
      <c r="AC81" s="17">
        <f>IF(OR($Z81="",$Z81=6),"",CHOOSE($Z81,"1st Email Follow-up","2nd Email Follow-up","Escalate Local Office","Escalate to CBE","Escalate to Roxanne"))</f>
        <v/>
      </c>
    </row>
    <row r="82" spans="13:29">
      <c r="M82" s="14"/>
      <c r="T82" s="16"/>
      <c r="U82" s="17">
        <f>IF(AND(COUNTA($A82:$L82)=0,$N82=""),"",IF($T82="Paid","PAID",IF($T82="Closed","CLOSED",IF($Z82="","",IF($Z82=6,"ESCALATED TO ROXANNE",IF(TODAY()&gt;$AB82,"OVERDUE",IF($AB82&lt;=WORKDAY(TODAY(),1,Holidays),"DUE TOMORROW",IF($Z82=4,"ESCALATED TO LOCAL OFFICE",IF($Z82=5,"ESCALATED TO CBE",IF($AA82=TODAY(),"EMAIL SENT","MONITORING"))))))))))</f>
        <v/>
      </c>
      <c r="V82" s="17">
        <f>IF($U82="",IF(AND(COUNTA($A82:$L82)&gt;0,$N82=""),"Awaiting Collection Email time stamp.",""),IF(OR($U82="PAID",$U82="CLOSED"),IF($U82="PAID","Account paid. Action completed.","Account closed. No further action required."),CHOOSE($Z82,"Collection Email","1st Email Follow-up","2nd Email Follow-up","Escalation to Local Office","Escalation to CBE","Escalation to Roxanne")&amp;" sent "&amp;TEXT($AA82,"dd-mmm")&amp;". "&amp;IF($Z82=6,"Final escalation completed.",IF($U82="OVERDUE","Next: "&amp;$AC82&amp;" was due "&amp;TEXT($AB82,"dd-mmm")&amp;" - "&amp;(NETWORKDAYS($AB82,TODAY(),Holidays)-1)&amp;" business day(s) late. Send now.",IF($U82="DUE TOMORROW","Next: "&amp;$AC82&amp;IF($AB82&lt;=TODAY()," is due TODAY ("," is due next business day (")&amp;TEXT($AB82,"dd-mmm")&amp;").","Next: "&amp;$AC82&amp;" due "&amp;TEXT($AB82,"dd-mmm")&amp;" ("&amp;(NETWORKDAYS(TODAY(),$AB82,Holidays)-1)&amp;" business day(s) left).")))))</f>
        <v/>
      </c>
      <c r="W82" s="17">
        <f>IF($Z82="","",CHOOSE($Z82,"Collection Email","1st Follow-up","2nd Follow-up","Local Office","CBE","Roxanne")&amp;IF($Z82=6," - Final"," - Day "&amp;MAX(0,NETWORKDAYS($AA82,TODAY(),Holidays)-1)&amp;" of "&amp;CHOOSE($Z82,3,3,2,2,3))&amp;" | Total Day "&amp;MAX(0,NETWORKDAYS($N82,TODAY(),Holidays)-1))</f>
        <v/>
      </c>
      <c r="X82" s="18"/>
      <c r="Y82" s="18"/>
      <c r="Z82" s="17">
        <f>IF($N82="","",COUNT($N82:$S82))</f>
        <v/>
      </c>
      <c r="AA82" s="19">
        <f>IF($Z82="","",INT(INDEX($N82:$S82,$Z82)))</f>
        <v/>
      </c>
      <c r="AB82" s="19">
        <f>IF(OR($Z82="",$Z82=6),"",WORKDAY($AA82,CHOOSE($Z82,3,3,2,2,3),Holidays))</f>
        <v/>
      </c>
      <c r="AC82" s="17">
        <f>IF(OR($Z82="",$Z82=6),"",CHOOSE($Z82,"1st Email Follow-up","2nd Email Follow-up","Escalate Local Office","Escalate to CBE","Escalate to Roxanne"))</f>
        <v/>
      </c>
    </row>
    <row r="83" spans="13:29">
      <c r="M83" s="14"/>
      <c r="T83" s="16"/>
      <c r="U83" s="17">
        <f>IF(AND(COUNTA($A83:$L83)=0,$N83=""),"",IF($T83="Paid","PAID",IF($T83="Closed","CLOSED",IF($Z83="","",IF($Z83=6,"ESCALATED TO ROXANNE",IF(TODAY()&gt;$AB83,"OVERDUE",IF($AB83&lt;=WORKDAY(TODAY(),1,Holidays),"DUE TOMORROW",IF($Z83=4,"ESCALATED TO LOCAL OFFICE",IF($Z83=5,"ESCALATED TO CBE",IF($AA83=TODAY(),"EMAIL SENT","MONITORING"))))))))))</f>
        <v/>
      </c>
      <c r="V83" s="17">
        <f>IF($U83="",IF(AND(COUNTA($A83:$L83)&gt;0,$N83=""),"Awaiting Collection Email time stamp.",""),IF(OR($U83="PAID",$U83="CLOSED"),IF($U83="PAID","Account paid. Action completed.","Account closed. No further action required."),CHOOSE($Z83,"Collection Email","1st Email Follow-up","2nd Email Follow-up","Escalation to Local Office","Escalation to CBE","Escalation to Roxanne")&amp;" sent "&amp;TEXT($AA83,"dd-mmm")&amp;". "&amp;IF($Z83=6,"Final escalation completed.",IF($U83="OVERDUE","Next: "&amp;$AC83&amp;" was due "&amp;TEXT($AB83,"dd-mmm")&amp;" - "&amp;(NETWORKDAYS($AB83,TODAY(),Holidays)-1)&amp;" business day(s) late. Send now.",IF($U83="DUE TOMORROW","Next: "&amp;$AC83&amp;IF($AB83&lt;=TODAY()," is due TODAY ("," is due next business day (")&amp;TEXT($AB83,"dd-mmm")&amp;").","Next: "&amp;$AC83&amp;" due "&amp;TEXT($AB83,"dd-mmm")&amp;" ("&amp;(NETWORKDAYS(TODAY(),$AB83,Holidays)-1)&amp;" business day(s) left).")))))</f>
        <v/>
      </c>
      <c r="W83" s="17">
        <f>IF($Z83="","",CHOOSE($Z83,"Collection Email","1st Follow-up","2nd Follow-up","Local Office","CBE","Roxanne")&amp;IF($Z83=6," - Final"," - Day "&amp;MAX(0,NETWORKDAYS($AA83,TODAY(),Holidays)-1)&amp;" of "&amp;CHOOSE($Z83,3,3,2,2,3))&amp;" | Total Day "&amp;MAX(0,NETWORKDAYS($N83,TODAY(),Holidays)-1))</f>
        <v/>
      </c>
      <c r="X83" s="18"/>
      <c r="Y83" s="18"/>
      <c r="Z83" s="17">
        <f>IF($N83="","",COUNT($N83:$S83))</f>
        <v/>
      </c>
      <c r="AA83" s="19">
        <f>IF($Z83="","",INT(INDEX($N83:$S83,$Z83)))</f>
        <v/>
      </c>
      <c r="AB83" s="19">
        <f>IF(OR($Z83="",$Z83=6),"",WORKDAY($AA83,CHOOSE($Z83,3,3,2,2,3),Holidays))</f>
        <v/>
      </c>
      <c r="AC83" s="17">
        <f>IF(OR($Z83="",$Z83=6),"",CHOOSE($Z83,"1st Email Follow-up","2nd Email Follow-up","Escalate Local Office","Escalate to CBE","Escalate to Roxanne"))</f>
        <v/>
      </c>
    </row>
    <row r="84" spans="13:29">
      <c r="M84" s="14"/>
      <c r="T84" s="16"/>
      <c r="U84" s="17">
        <f>IF(AND(COUNTA($A84:$L84)=0,$N84=""),"",IF($T84="Paid","PAID",IF($T84="Closed","CLOSED",IF($Z84="","",IF($Z84=6,"ESCALATED TO ROXANNE",IF(TODAY()&gt;$AB84,"OVERDUE",IF($AB84&lt;=WORKDAY(TODAY(),1,Holidays),"DUE TOMORROW",IF($Z84=4,"ESCALATED TO LOCAL OFFICE",IF($Z84=5,"ESCALATED TO CBE",IF($AA84=TODAY(),"EMAIL SENT","MONITORING"))))))))))</f>
        <v/>
      </c>
      <c r="V84" s="17">
        <f>IF($U84="",IF(AND(COUNTA($A84:$L84)&gt;0,$N84=""),"Awaiting Collection Email time stamp.",""),IF(OR($U84="PAID",$U84="CLOSED"),IF($U84="PAID","Account paid. Action completed.","Account closed. No further action required."),CHOOSE($Z84,"Collection Email","1st Email Follow-up","2nd Email Follow-up","Escalation to Local Office","Escalation to CBE","Escalation to Roxanne")&amp;" sent "&amp;TEXT($AA84,"dd-mmm")&amp;". "&amp;IF($Z84=6,"Final escalation completed.",IF($U84="OVERDUE","Next: "&amp;$AC84&amp;" was due "&amp;TEXT($AB84,"dd-mmm")&amp;" - "&amp;(NETWORKDAYS($AB84,TODAY(),Holidays)-1)&amp;" business day(s) late. Send now.",IF($U84="DUE TOMORROW","Next: "&amp;$AC84&amp;IF($AB84&lt;=TODAY()," is due TODAY ("," is due next business day (")&amp;TEXT($AB84,"dd-mmm")&amp;").","Next: "&amp;$AC84&amp;" due "&amp;TEXT($AB84,"dd-mmm")&amp;" ("&amp;(NETWORKDAYS(TODAY(),$AB84,Holidays)-1)&amp;" business day(s) left).")))))</f>
        <v/>
      </c>
      <c r="W84" s="17">
        <f>IF($Z84="","",CHOOSE($Z84,"Collection Email","1st Follow-up","2nd Follow-up","Local Office","CBE","Roxanne")&amp;IF($Z84=6," - Final"," - Day "&amp;MAX(0,NETWORKDAYS($AA84,TODAY(),Holidays)-1)&amp;" of "&amp;CHOOSE($Z84,3,3,2,2,3))&amp;" | Total Day "&amp;MAX(0,NETWORKDAYS($N84,TODAY(),Holidays)-1))</f>
        <v/>
      </c>
      <c r="X84" s="18"/>
      <c r="Y84" s="18"/>
      <c r="Z84" s="17">
        <f>IF($N84="","",COUNT($N84:$S84))</f>
        <v/>
      </c>
      <c r="AA84" s="19">
        <f>IF($Z84="","",INT(INDEX($N84:$S84,$Z84)))</f>
        <v/>
      </c>
      <c r="AB84" s="19">
        <f>IF(OR($Z84="",$Z84=6),"",WORKDAY($AA84,CHOOSE($Z84,3,3,2,2,3),Holidays))</f>
        <v/>
      </c>
      <c r="AC84" s="17">
        <f>IF(OR($Z84="",$Z84=6),"",CHOOSE($Z84,"1st Email Follow-up","2nd Email Follow-up","Escalate Local Office","Escalate to CBE","Escalate to Roxanne"))</f>
        <v/>
      </c>
    </row>
    <row r="85" spans="13:29">
      <c r="M85" s="14"/>
      <c r="T85" s="16"/>
      <c r="U85" s="17">
        <f>IF(AND(COUNTA($A85:$L85)=0,$N85=""),"",IF($T85="Paid","PAID",IF($T85="Closed","CLOSED",IF($Z85="","",IF($Z85=6,"ESCALATED TO ROXANNE",IF(TODAY()&gt;$AB85,"OVERDUE",IF($AB85&lt;=WORKDAY(TODAY(),1,Holidays),"DUE TOMORROW",IF($Z85=4,"ESCALATED TO LOCAL OFFICE",IF($Z85=5,"ESCALATED TO CBE",IF($AA85=TODAY(),"EMAIL SENT","MONITORING"))))))))))</f>
        <v/>
      </c>
      <c r="V85" s="17">
        <f>IF($U85="",IF(AND(COUNTA($A85:$L85)&gt;0,$N85=""),"Awaiting Collection Email time stamp.",""),IF(OR($U85="PAID",$U85="CLOSED"),IF($U85="PAID","Account paid. Action completed.","Account closed. No further action required."),CHOOSE($Z85,"Collection Email","1st Email Follow-up","2nd Email Follow-up","Escalation to Local Office","Escalation to CBE","Escalation to Roxanne")&amp;" sent "&amp;TEXT($AA85,"dd-mmm")&amp;". "&amp;IF($Z85=6,"Final escalation completed.",IF($U85="OVERDUE","Next: "&amp;$AC85&amp;" was due "&amp;TEXT($AB85,"dd-mmm")&amp;" - "&amp;(NETWORKDAYS($AB85,TODAY(),Holidays)-1)&amp;" business day(s) late. Send now.",IF($U85="DUE TOMORROW","Next: "&amp;$AC85&amp;IF($AB85&lt;=TODAY()," is due TODAY ("," is due next business day (")&amp;TEXT($AB85,"dd-mmm")&amp;").","Next: "&amp;$AC85&amp;" due "&amp;TEXT($AB85,"dd-mmm")&amp;" ("&amp;(NETWORKDAYS(TODAY(),$AB85,Holidays)-1)&amp;" business day(s) left).")))))</f>
        <v/>
      </c>
      <c r="W85" s="17">
        <f>IF($Z85="","",CHOOSE($Z85,"Collection Email","1st Follow-up","2nd Follow-up","Local Office","CBE","Roxanne")&amp;IF($Z85=6," - Final"," - Day "&amp;MAX(0,NETWORKDAYS($AA85,TODAY(),Holidays)-1)&amp;" of "&amp;CHOOSE($Z85,3,3,2,2,3))&amp;" | Total Day "&amp;MAX(0,NETWORKDAYS($N85,TODAY(),Holidays)-1))</f>
        <v/>
      </c>
      <c r="X85" s="18"/>
      <c r="Y85" s="18"/>
      <c r="Z85" s="17">
        <f>IF($N85="","",COUNT($N85:$S85))</f>
        <v/>
      </c>
      <c r="AA85" s="19">
        <f>IF($Z85="","",INT(INDEX($N85:$S85,$Z85)))</f>
        <v/>
      </c>
      <c r="AB85" s="19">
        <f>IF(OR($Z85="",$Z85=6),"",WORKDAY($AA85,CHOOSE($Z85,3,3,2,2,3),Holidays))</f>
        <v/>
      </c>
      <c r="AC85" s="17">
        <f>IF(OR($Z85="",$Z85=6),"",CHOOSE($Z85,"1st Email Follow-up","2nd Email Follow-up","Escalate Local Office","Escalate to CBE","Escalate to Roxanne"))</f>
        <v/>
      </c>
    </row>
    <row r="86" spans="13:29">
      <c r="M86" s="14"/>
      <c r="T86" s="16"/>
      <c r="U86" s="17">
        <f>IF(AND(COUNTA($A86:$L86)=0,$N86=""),"",IF($T86="Paid","PAID",IF($T86="Closed","CLOSED",IF($Z86="","",IF($Z86=6,"ESCALATED TO ROXANNE",IF(TODAY()&gt;$AB86,"OVERDUE",IF($AB86&lt;=WORKDAY(TODAY(),1,Holidays),"DUE TOMORROW",IF($Z86=4,"ESCALATED TO LOCAL OFFICE",IF($Z86=5,"ESCALATED TO CBE",IF($AA86=TODAY(),"EMAIL SENT","MONITORING"))))))))))</f>
        <v/>
      </c>
      <c r="V86" s="17">
        <f>IF($U86="",IF(AND(COUNTA($A86:$L86)&gt;0,$N86=""),"Awaiting Collection Email time stamp.",""),IF(OR($U86="PAID",$U86="CLOSED"),IF($U86="PAID","Account paid. Action completed.","Account closed. No further action required."),CHOOSE($Z86,"Collection Email","1st Email Follow-up","2nd Email Follow-up","Escalation to Local Office","Escalation to CBE","Escalation to Roxanne")&amp;" sent "&amp;TEXT($AA86,"dd-mmm")&amp;". "&amp;IF($Z86=6,"Final escalation completed.",IF($U86="OVERDUE","Next: "&amp;$AC86&amp;" was due "&amp;TEXT($AB86,"dd-mmm")&amp;" - "&amp;(NETWORKDAYS($AB86,TODAY(),Holidays)-1)&amp;" business day(s) late. Send now.",IF($U86="DUE TOMORROW","Next: "&amp;$AC86&amp;IF($AB86&lt;=TODAY()," is due TODAY ("," is due next business day (")&amp;TEXT($AB86,"dd-mmm")&amp;").","Next: "&amp;$AC86&amp;" due "&amp;TEXT($AB86,"dd-mmm")&amp;" ("&amp;(NETWORKDAYS(TODAY(),$AB86,Holidays)-1)&amp;" business day(s) left).")))))</f>
        <v/>
      </c>
      <c r="W86" s="17">
        <f>IF($Z86="","",CHOOSE($Z86,"Collection Email","1st Follow-up","2nd Follow-up","Local Office","CBE","Roxanne")&amp;IF($Z86=6," - Final"," - Day "&amp;MAX(0,NETWORKDAYS($AA86,TODAY(),Holidays)-1)&amp;" of "&amp;CHOOSE($Z86,3,3,2,2,3))&amp;" | Total Day "&amp;MAX(0,NETWORKDAYS($N86,TODAY(),Holidays)-1))</f>
        <v/>
      </c>
      <c r="X86" s="18"/>
      <c r="Y86" s="18"/>
      <c r="Z86" s="17">
        <f>IF($N86="","",COUNT($N86:$S86))</f>
        <v/>
      </c>
      <c r="AA86" s="19">
        <f>IF($Z86="","",INT(INDEX($N86:$S86,$Z86)))</f>
        <v/>
      </c>
      <c r="AB86" s="19">
        <f>IF(OR($Z86="",$Z86=6),"",WORKDAY($AA86,CHOOSE($Z86,3,3,2,2,3),Holidays))</f>
        <v/>
      </c>
      <c r="AC86" s="17">
        <f>IF(OR($Z86="",$Z86=6),"",CHOOSE($Z86,"1st Email Follow-up","2nd Email Follow-up","Escalate Local Office","Escalate to CBE","Escalate to Roxanne"))</f>
        <v/>
      </c>
    </row>
    <row r="87" spans="13:29">
      <c r="M87" s="14"/>
      <c r="T87" s="16"/>
      <c r="U87" s="17">
        <f>IF(AND(COUNTA($A87:$L87)=0,$N87=""),"",IF($T87="Paid","PAID",IF($T87="Closed","CLOSED",IF($Z87="","",IF($Z87=6,"ESCALATED TO ROXANNE",IF(TODAY()&gt;$AB87,"OVERDUE",IF($AB87&lt;=WORKDAY(TODAY(),1,Holidays),"DUE TOMORROW",IF($Z87=4,"ESCALATED TO LOCAL OFFICE",IF($Z87=5,"ESCALATED TO CBE",IF($AA87=TODAY(),"EMAIL SENT","MONITORING"))))))))))</f>
        <v/>
      </c>
      <c r="V87" s="17">
        <f>IF($U87="",IF(AND(COUNTA($A87:$L87)&gt;0,$N87=""),"Awaiting Collection Email time stamp.",""),IF(OR($U87="PAID",$U87="CLOSED"),IF($U87="PAID","Account paid. Action completed.","Account closed. No further action required."),CHOOSE($Z87,"Collection Email","1st Email Follow-up","2nd Email Follow-up","Escalation to Local Office","Escalation to CBE","Escalation to Roxanne")&amp;" sent "&amp;TEXT($AA87,"dd-mmm")&amp;". "&amp;IF($Z87=6,"Final escalation completed.",IF($U87="OVERDUE","Next: "&amp;$AC87&amp;" was due "&amp;TEXT($AB87,"dd-mmm")&amp;" - "&amp;(NETWORKDAYS($AB87,TODAY(),Holidays)-1)&amp;" business day(s) late. Send now.",IF($U87="DUE TOMORROW","Next: "&amp;$AC87&amp;IF($AB87&lt;=TODAY()," is due TODAY ("," is due next business day (")&amp;TEXT($AB87,"dd-mmm")&amp;").","Next: "&amp;$AC87&amp;" due "&amp;TEXT($AB87,"dd-mmm")&amp;" ("&amp;(NETWORKDAYS(TODAY(),$AB87,Holidays)-1)&amp;" business day(s) left).")))))</f>
        <v/>
      </c>
      <c r="W87" s="17">
        <f>IF($Z87="","",CHOOSE($Z87,"Collection Email","1st Follow-up","2nd Follow-up","Local Office","CBE","Roxanne")&amp;IF($Z87=6," - Final"," - Day "&amp;MAX(0,NETWORKDAYS($AA87,TODAY(),Holidays)-1)&amp;" of "&amp;CHOOSE($Z87,3,3,2,2,3))&amp;" | Total Day "&amp;MAX(0,NETWORKDAYS($N87,TODAY(),Holidays)-1))</f>
        <v/>
      </c>
      <c r="X87" s="18"/>
      <c r="Y87" s="18"/>
      <c r="Z87" s="17">
        <f>IF($N87="","",COUNT($N87:$S87))</f>
        <v/>
      </c>
      <c r="AA87" s="19">
        <f>IF($Z87="","",INT(INDEX($N87:$S87,$Z87)))</f>
        <v/>
      </c>
      <c r="AB87" s="19">
        <f>IF(OR($Z87="",$Z87=6),"",WORKDAY($AA87,CHOOSE($Z87,3,3,2,2,3),Holidays))</f>
        <v/>
      </c>
      <c r="AC87" s="17">
        <f>IF(OR($Z87="",$Z87=6),"",CHOOSE($Z87,"1st Email Follow-up","2nd Email Follow-up","Escalate Local Office","Escalate to CBE","Escalate to Roxanne"))</f>
        <v/>
      </c>
    </row>
    <row r="88" spans="13:29">
      <c r="M88" s="14"/>
      <c r="T88" s="16"/>
      <c r="U88" s="17">
        <f>IF(AND(COUNTA($A88:$L88)=0,$N88=""),"",IF($T88="Paid","PAID",IF($T88="Closed","CLOSED",IF($Z88="","",IF($Z88=6,"ESCALATED TO ROXANNE",IF(TODAY()&gt;$AB88,"OVERDUE",IF($AB88&lt;=WORKDAY(TODAY(),1,Holidays),"DUE TOMORROW",IF($Z88=4,"ESCALATED TO LOCAL OFFICE",IF($Z88=5,"ESCALATED TO CBE",IF($AA88=TODAY(),"EMAIL SENT","MONITORING"))))))))))</f>
        <v/>
      </c>
      <c r="V88" s="17">
        <f>IF($U88="",IF(AND(COUNTA($A88:$L88)&gt;0,$N88=""),"Awaiting Collection Email time stamp.",""),IF(OR($U88="PAID",$U88="CLOSED"),IF($U88="PAID","Account paid. Action completed.","Account closed. No further action required."),CHOOSE($Z88,"Collection Email","1st Email Follow-up","2nd Email Follow-up","Escalation to Local Office","Escalation to CBE","Escalation to Roxanne")&amp;" sent "&amp;TEXT($AA88,"dd-mmm")&amp;". "&amp;IF($Z88=6,"Final escalation completed.",IF($U88="OVERDUE","Next: "&amp;$AC88&amp;" was due "&amp;TEXT($AB88,"dd-mmm")&amp;" - "&amp;(NETWORKDAYS($AB88,TODAY(),Holidays)-1)&amp;" business day(s) late. Send now.",IF($U88="DUE TOMORROW","Next: "&amp;$AC88&amp;IF($AB88&lt;=TODAY()," is due TODAY ("," is due next business day (")&amp;TEXT($AB88,"dd-mmm")&amp;").","Next: "&amp;$AC88&amp;" due "&amp;TEXT($AB88,"dd-mmm")&amp;" ("&amp;(NETWORKDAYS(TODAY(),$AB88,Holidays)-1)&amp;" business day(s) left).")))))</f>
        <v/>
      </c>
      <c r="W88" s="17">
        <f>IF($Z88="","",CHOOSE($Z88,"Collection Email","1st Follow-up","2nd Follow-up","Local Office","CBE","Roxanne")&amp;IF($Z88=6," - Final"," - Day "&amp;MAX(0,NETWORKDAYS($AA88,TODAY(),Holidays)-1)&amp;" of "&amp;CHOOSE($Z88,3,3,2,2,3))&amp;" | Total Day "&amp;MAX(0,NETWORKDAYS($N88,TODAY(),Holidays)-1))</f>
        <v/>
      </c>
      <c r="X88" s="18"/>
      <c r="Y88" s="18"/>
      <c r="Z88" s="17">
        <f>IF($N88="","",COUNT($N88:$S88))</f>
        <v/>
      </c>
      <c r="AA88" s="19">
        <f>IF($Z88="","",INT(INDEX($N88:$S88,$Z88)))</f>
        <v/>
      </c>
      <c r="AB88" s="19">
        <f>IF(OR($Z88="",$Z88=6),"",WORKDAY($AA88,CHOOSE($Z88,3,3,2,2,3),Holidays))</f>
        <v/>
      </c>
      <c r="AC88" s="17">
        <f>IF(OR($Z88="",$Z88=6),"",CHOOSE($Z88,"1st Email Follow-up","2nd Email Follow-up","Escalate Local Office","Escalate to CBE","Escalate to Roxanne"))</f>
        <v/>
      </c>
    </row>
    <row r="89" spans="13:29">
      <c r="M89" s="14"/>
      <c r="T89" s="16"/>
      <c r="U89" s="17">
        <f>IF(AND(COUNTA($A89:$L89)=0,$N89=""),"",IF($T89="Paid","PAID",IF($T89="Closed","CLOSED",IF($Z89="","",IF($Z89=6,"ESCALATED TO ROXANNE",IF(TODAY()&gt;$AB89,"OVERDUE",IF($AB89&lt;=WORKDAY(TODAY(),1,Holidays),"DUE TOMORROW",IF($Z89=4,"ESCALATED TO LOCAL OFFICE",IF($Z89=5,"ESCALATED TO CBE",IF($AA89=TODAY(),"EMAIL SENT","MONITORING"))))))))))</f>
        <v/>
      </c>
      <c r="V89" s="17">
        <f>IF($U89="",IF(AND(COUNTA($A89:$L89)&gt;0,$N89=""),"Awaiting Collection Email time stamp.",""),IF(OR($U89="PAID",$U89="CLOSED"),IF($U89="PAID","Account paid. Action completed.","Account closed. No further action required."),CHOOSE($Z89,"Collection Email","1st Email Follow-up","2nd Email Follow-up","Escalation to Local Office","Escalation to CBE","Escalation to Roxanne")&amp;" sent "&amp;TEXT($AA89,"dd-mmm")&amp;". "&amp;IF($Z89=6,"Final escalation completed.",IF($U89="OVERDUE","Next: "&amp;$AC89&amp;" was due "&amp;TEXT($AB89,"dd-mmm")&amp;" - "&amp;(NETWORKDAYS($AB89,TODAY(),Holidays)-1)&amp;" business day(s) late. Send now.",IF($U89="DUE TOMORROW","Next: "&amp;$AC89&amp;IF($AB89&lt;=TODAY()," is due TODAY ("," is due next business day (")&amp;TEXT($AB89,"dd-mmm")&amp;").","Next: "&amp;$AC89&amp;" due "&amp;TEXT($AB89,"dd-mmm")&amp;" ("&amp;(NETWORKDAYS(TODAY(),$AB89,Holidays)-1)&amp;" business day(s) left).")))))</f>
        <v/>
      </c>
      <c r="W89" s="17">
        <f>IF($Z89="","",CHOOSE($Z89,"Collection Email","1st Follow-up","2nd Follow-up","Local Office","CBE","Roxanne")&amp;IF($Z89=6," - Final"," - Day "&amp;MAX(0,NETWORKDAYS($AA89,TODAY(),Holidays)-1)&amp;" of "&amp;CHOOSE($Z89,3,3,2,2,3))&amp;" | Total Day "&amp;MAX(0,NETWORKDAYS($N89,TODAY(),Holidays)-1))</f>
        <v/>
      </c>
      <c r="X89" s="18"/>
      <c r="Y89" s="18"/>
      <c r="Z89" s="17">
        <f>IF($N89="","",COUNT($N89:$S89))</f>
        <v/>
      </c>
      <c r="AA89" s="19">
        <f>IF($Z89="","",INT(INDEX($N89:$S89,$Z89)))</f>
        <v/>
      </c>
      <c r="AB89" s="19">
        <f>IF(OR($Z89="",$Z89=6),"",WORKDAY($AA89,CHOOSE($Z89,3,3,2,2,3),Holidays))</f>
        <v/>
      </c>
      <c r="AC89" s="17">
        <f>IF(OR($Z89="",$Z89=6),"",CHOOSE($Z89,"1st Email Follow-up","2nd Email Follow-up","Escalate Local Office","Escalate to CBE","Escalate to Roxanne"))</f>
        <v/>
      </c>
    </row>
    <row r="90" spans="13:29">
      <c r="M90" s="14"/>
      <c r="T90" s="16"/>
      <c r="U90" s="17">
        <f>IF(AND(COUNTA($A90:$L90)=0,$N90=""),"",IF($T90="Paid","PAID",IF($T90="Closed","CLOSED",IF($Z90="","",IF($Z90=6,"ESCALATED TO ROXANNE",IF(TODAY()&gt;$AB90,"OVERDUE",IF($AB90&lt;=WORKDAY(TODAY(),1,Holidays),"DUE TOMORROW",IF($Z90=4,"ESCALATED TO LOCAL OFFICE",IF($Z90=5,"ESCALATED TO CBE",IF($AA90=TODAY(),"EMAIL SENT","MONITORING"))))))))))</f>
        <v/>
      </c>
      <c r="V90" s="17">
        <f>IF($U90="",IF(AND(COUNTA($A90:$L90)&gt;0,$N90=""),"Awaiting Collection Email time stamp.",""),IF(OR($U90="PAID",$U90="CLOSED"),IF($U90="PAID","Account paid. Action completed.","Account closed. No further action required."),CHOOSE($Z90,"Collection Email","1st Email Follow-up","2nd Email Follow-up","Escalation to Local Office","Escalation to CBE","Escalation to Roxanne")&amp;" sent "&amp;TEXT($AA90,"dd-mmm")&amp;". "&amp;IF($Z90=6,"Final escalation completed.",IF($U90="OVERDUE","Next: "&amp;$AC90&amp;" was due "&amp;TEXT($AB90,"dd-mmm")&amp;" - "&amp;(NETWORKDAYS($AB90,TODAY(),Holidays)-1)&amp;" business day(s) late. Send now.",IF($U90="DUE TOMORROW","Next: "&amp;$AC90&amp;IF($AB90&lt;=TODAY()," is due TODAY ("," is due next business day (")&amp;TEXT($AB90,"dd-mmm")&amp;").","Next: "&amp;$AC90&amp;" due "&amp;TEXT($AB90,"dd-mmm")&amp;" ("&amp;(NETWORKDAYS(TODAY(),$AB90,Holidays)-1)&amp;" business day(s) left).")))))</f>
        <v/>
      </c>
      <c r="W90" s="17">
        <f>IF($Z90="","",CHOOSE($Z90,"Collection Email","1st Follow-up","2nd Follow-up","Local Office","CBE","Roxanne")&amp;IF($Z90=6," - Final"," - Day "&amp;MAX(0,NETWORKDAYS($AA90,TODAY(),Holidays)-1)&amp;" of "&amp;CHOOSE($Z90,3,3,2,2,3))&amp;" | Total Day "&amp;MAX(0,NETWORKDAYS($N90,TODAY(),Holidays)-1))</f>
        <v/>
      </c>
      <c r="X90" s="18"/>
      <c r="Y90" s="18"/>
      <c r="Z90" s="17">
        <f>IF($N90="","",COUNT($N90:$S90))</f>
        <v/>
      </c>
      <c r="AA90" s="19">
        <f>IF($Z90="","",INT(INDEX($N90:$S90,$Z90)))</f>
        <v/>
      </c>
      <c r="AB90" s="19">
        <f>IF(OR($Z90="",$Z90=6),"",WORKDAY($AA90,CHOOSE($Z90,3,3,2,2,3),Holidays))</f>
        <v/>
      </c>
      <c r="AC90" s="17">
        <f>IF(OR($Z90="",$Z90=6),"",CHOOSE($Z90,"1st Email Follow-up","2nd Email Follow-up","Escalate Local Office","Escalate to CBE","Escalate to Roxanne"))</f>
        <v/>
      </c>
    </row>
    <row r="91" spans="13:29">
      <c r="M91" s="14"/>
      <c r="T91" s="16"/>
      <c r="U91" s="17">
        <f>IF(AND(COUNTA($A91:$L91)=0,$N91=""),"",IF($T91="Paid","PAID",IF($T91="Closed","CLOSED",IF($Z91="","",IF($Z91=6,"ESCALATED TO ROXANNE",IF(TODAY()&gt;$AB91,"OVERDUE",IF($AB91&lt;=WORKDAY(TODAY(),1,Holidays),"DUE TOMORROW",IF($Z91=4,"ESCALATED TO LOCAL OFFICE",IF($Z91=5,"ESCALATED TO CBE",IF($AA91=TODAY(),"EMAIL SENT","MONITORING"))))))))))</f>
        <v/>
      </c>
      <c r="V91" s="17">
        <f>IF($U91="",IF(AND(COUNTA($A91:$L91)&gt;0,$N91=""),"Awaiting Collection Email time stamp.",""),IF(OR($U91="PAID",$U91="CLOSED"),IF($U91="PAID","Account paid. Action completed.","Account closed. No further action required."),CHOOSE($Z91,"Collection Email","1st Email Follow-up","2nd Email Follow-up","Escalation to Local Office","Escalation to CBE","Escalation to Roxanne")&amp;" sent "&amp;TEXT($AA91,"dd-mmm")&amp;". "&amp;IF($Z91=6,"Final escalation completed.",IF($U91="OVERDUE","Next: "&amp;$AC91&amp;" was due "&amp;TEXT($AB91,"dd-mmm")&amp;" - "&amp;(NETWORKDAYS($AB91,TODAY(),Holidays)-1)&amp;" business day(s) late. Send now.",IF($U91="DUE TOMORROW","Next: "&amp;$AC91&amp;IF($AB91&lt;=TODAY()," is due TODAY ("," is due next business day (")&amp;TEXT($AB91,"dd-mmm")&amp;").","Next: "&amp;$AC91&amp;" due "&amp;TEXT($AB91,"dd-mmm")&amp;" ("&amp;(NETWORKDAYS(TODAY(),$AB91,Holidays)-1)&amp;" business day(s) left).")))))</f>
        <v/>
      </c>
      <c r="W91" s="17">
        <f>IF($Z91="","",CHOOSE($Z91,"Collection Email","1st Follow-up","2nd Follow-up","Local Office","CBE","Roxanne")&amp;IF($Z91=6," - Final"," - Day "&amp;MAX(0,NETWORKDAYS($AA91,TODAY(),Holidays)-1)&amp;" of "&amp;CHOOSE($Z91,3,3,2,2,3))&amp;" | Total Day "&amp;MAX(0,NETWORKDAYS($N91,TODAY(),Holidays)-1))</f>
        <v/>
      </c>
      <c r="X91" s="18"/>
      <c r="Y91" s="18"/>
      <c r="Z91" s="17">
        <f>IF($N91="","",COUNT($N91:$S91))</f>
        <v/>
      </c>
      <c r="AA91" s="19">
        <f>IF($Z91="","",INT(INDEX($N91:$S91,$Z91)))</f>
        <v/>
      </c>
      <c r="AB91" s="19">
        <f>IF(OR($Z91="",$Z91=6),"",WORKDAY($AA91,CHOOSE($Z91,3,3,2,2,3),Holidays))</f>
        <v/>
      </c>
      <c r="AC91" s="17">
        <f>IF(OR($Z91="",$Z91=6),"",CHOOSE($Z91,"1st Email Follow-up","2nd Email Follow-up","Escalate Local Office","Escalate to CBE","Escalate to Roxanne"))</f>
        <v/>
      </c>
    </row>
    <row r="92" spans="13:29">
      <c r="M92" s="14"/>
      <c r="T92" s="16"/>
      <c r="U92" s="17">
        <f>IF(AND(COUNTA($A92:$L92)=0,$N92=""),"",IF($T92="Paid","PAID",IF($T92="Closed","CLOSED",IF($Z92="","",IF($Z92=6,"ESCALATED TO ROXANNE",IF(TODAY()&gt;$AB92,"OVERDUE",IF($AB92&lt;=WORKDAY(TODAY(),1,Holidays),"DUE TOMORROW",IF($Z92=4,"ESCALATED TO LOCAL OFFICE",IF($Z92=5,"ESCALATED TO CBE",IF($AA92=TODAY(),"EMAIL SENT","MONITORING"))))))))))</f>
        <v/>
      </c>
      <c r="V92" s="17">
        <f>IF($U92="",IF(AND(COUNTA($A92:$L92)&gt;0,$N92=""),"Awaiting Collection Email time stamp.",""),IF(OR($U92="PAID",$U92="CLOSED"),IF($U92="PAID","Account paid. Action completed.","Account closed. No further action required."),CHOOSE($Z92,"Collection Email","1st Email Follow-up","2nd Email Follow-up","Escalation to Local Office","Escalation to CBE","Escalation to Roxanne")&amp;" sent "&amp;TEXT($AA92,"dd-mmm")&amp;". "&amp;IF($Z92=6,"Final escalation completed.",IF($U92="OVERDUE","Next: "&amp;$AC92&amp;" was due "&amp;TEXT($AB92,"dd-mmm")&amp;" - "&amp;(NETWORKDAYS($AB92,TODAY(),Holidays)-1)&amp;" business day(s) late. Send now.",IF($U92="DUE TOMORROW","Next: "&amp;$AC92&amp;IF($AB92&lt;=TODAY()," is due TODAY ("," is due next business day (")&amp;TEXT($AB92,"dd-mmm")&amp;").","Next: "&amp;$AC92&amp;" due "&amp;TEXT($AB92,"dd-mmm")&amp;" ("&amp;(NETWORKDAYS(TODAY(),$AB92,Holidays)-1)&amp;" business day(s) left).")))))</f>
        <v/>
      </c>
      <c r="W92" s="17">
        <f>IF($Z92="","",CHOOSE($Z92,"Collection Email","1st Follow-up","2nd Follow-up","Local Office","CBE","Roxanne")&amp;IF($Z92=6," - Final"," - Day "&amp;MAX(0,NETWORKDAYS($AA92,TODAY(),Holidays)-1)&amp;" of "&amp;CHOOSE($Z92,3,3,2,2,3))&amp;" | Total Day "&amp;MAX(0,NETWORKDAYS($N92,TODAY(),Holidays)-1))</f>
        <v/>
      </c>
      <c r="X92" s="18"/>
      <c r="Y92" s="18"/>
      <c r="Z92" s="17">
        <f>IF($N92="","",COUNT($N92:$S92))</f>
        <v/>
      </c>
      <c r="AA92" s="19">
        <f>IF($Z92="","",INT(INDEX($N92:$S92,$Z92)))</f>
        <v/>
      </c>
      <c r="AB92" s="19">
        <f>IF(OR($Z92="",$Z92=6),"",WORKDAY($AA92,CHOOSE($Z92,3,3,2,2,3),Holidays))</f>
        <v/>
      </c>
      <c r="AC92" s="17">
        <f>IF(OR($Z92="",$Z92=6),"",CHOOSE($Z92,"1st Email Follow-up","2nd Email Follow-up","Escalate Local Office","Escalate to CBE","Escalate to Roxanne"))</f>
        <v/>
      </c>
    </row>
    <row r="93" spans="13:29">
      <c r="M93" s="14"/>
      <c r="T93" s="16"/>
      <c r="U93" s="17">
        <f>IF(AND(COUNTA($A93:$L93)=0,$N93=""),"",IF($T93="Paid","PAID",IF($T93="Closed","CLOSED",IF($Z93="","",IF($Z93=6,"ESCALATED TO ROXANNE",IF(TODAY()&gt;$AB93,"OVERDUE",IF($AB93&lt;=WORKDAY(TODAY(),1,Holidays),"DUE TOMORROW",IF($Z93=4,"ESCALATED TO LOCAL OFFICE",IF($Z93=5,"ESCALATED TO CBE",IF($AA93=TODAY(),"EMAIL SENT","MONITORING"))))))))))</f>
        <v/>
      </c>
      <c r="V93" s="17">
        <f>IF($U93="",IF(AND(COUNTA($A93:$L93)&gt;0,$N93=""),"Awaiting Collection Email time stamp.",""),IF(OR($U93="PAID",$U93="CLOSED"),IF($U93="PAID","Account paid. Action completed.","Account closed. No further action required."),CHOOSE($Z93,"Collection Email","1st Email Follow-up","2nd Email Follow-up","Escalation to Local Office","Escalation to CBE","Escalation to Roxanne")&amp;" sent "&amp;TEXT($AA93,"dd-mmm")&amp;". "&amp;IF($Z93=6,"Final escalation completed.",IF($U93="OVERDUE","Next: "&amp;$AC93&amp;" was due "&amp;TEXT($AB93,"dd-mmm")&amp;" - "&amp;(NETWORKDAYS($AB93,TODAY(),Holidays)-1)&amp;" business day(s) late. Send now.",IF($U93="DUE TOMORROW","Next: "&amp;$AC93&amp;IF($AB93&lt;=TODAY()," is due TODAY ("," is due next business day (")&amp;TEXT($AB93,"dd-mmm")&amp;").","Next: "&amp;$AC93&amp;" due "&amp;TEXT($AB93,"dd-mmm")&amp;" ("&amp;(NETWORKDAYS(TODAY(),$AB93,Holidays)-1)&amp;" business day(s) left).")))))</f>
        <v/>
      </c>
      <c r="W93" s="17">
        <f>IF($Z93="","",CHOOSE($Z93,"Collection Email","1st Follow-up","2nd Follow-up","Local Office","CBE","Roxanne")&amp;IF($Z93=6," - Final"," - Day "&amp;MAX(0,NETWORKDAYS($AA93,TODAY(),Holidays)-1)&amp;" of "&amp;CHOOSE($Z93,3,3,2,2,3))&amp;" | Total Day "&amp;MAX(0,NETWORKDAYS($N93,TODAY(),Holidays)-1))</f>
        <v/>
      </c>
      <c r="X93" s="18"/>
      <c r="Y93" s="18"/>
      <c r="Z93" s="17">
        <f>IF($N93="","",COUNT($N93:$S93))</f>
        <v/>
      </c>
      <c r="AA93" s="19">
        <f>IF($Z93="","",INT(INDEX($N93:$S93,$Z93)))</f>
        <v/>
      </c>
      <c r="AB93" s="19">
        <f>IF(OR($Z93="",$Z93=6),"",WORKDAY($AA93,CHOOSE($Z93,3,3,2,2,3),Holidays))</f>
        <v/>
      </c>
      <c r="AC93" s="17">
        <f>IF(OR($Z93="",$Z93=6),"",CHOOSE($Z93,"1st Email Follow-up","2nd Email Follow-up","Escalate Local Office","Escalate to CBE","Escalate to Roxanne"))</f>
        <v/>
      </c>
    </row>
    <row r="94" spans="13:29">
      <c r="M94" s="14"/>
      <c r="T94" s="16"/>
      <c r="U94" s="17">
        <f>IF(AND(COUNTA($A94:$L94)=0,$N94=""),"",IF($T94="Paid","PAID",IF($T94="Closed","CLOSED",IF($Z94="","",IF($Z94=6,"ESCALATED TO ROXANNE",IF(TODAY()&gt;$AB94,"OVERDUE",IF($AB94&lt;=WORKDAY(TODAY(),1,Holidays),"DUE TOMORROW",IF($Z94=4,"ESCALATED TO LOCAL OFFICE",IF($Z94=5,"ESCALATED TO CBE",IF($AA94=TODAY(),"EMAIL SENT","MONITORING"))))))))))</f>
        <v/>
      </c>
      <c r="V94" s="17">
        <f>IF($U94="",IF(AND(COUNTA($A94:$L94)&gt;0,$N94=""),"Awaiting Collection Email time stamp.",""),IF(OR($U94="PAID",$U94="CLOSED"),IF($U94="PAID","Account paid. Action completed.","Account closed. No further action required."),CHOOSE($Z94,"Collection Email","1st Email Follow-up","2nd Email Follow-up","Escalation to Local Office","Escalation to CBE","Escalation to Roxanne")&amp;" sent "&amp;TEXT($AA94,"dd-mmm")&amp;". "&amp;IF($Z94=6,"Final escalation completed.",IF($U94="OVERDUE","Next: "&amp;$AC94&amp;" was due "&amp;TEXT($AB94,"dd-mmm")&amp;" - "&amp;(NETWORKDAYS($AB94,TODAY(),Holidays)-1)&amp;" business day(s) late. Send now.",IF($U94="DUE TOMORROW","Next: "&amp;$AC94&amp;IF($AB94&lt;=TODAY()," is due TODAY ("," is due next business day (")&amp;TEXT($AB94,"dd-mmm")&amp;").","Next: "&amp;$AC94&amp;" due "&amp;TEXT($AB94,"dd-mmm")&amp;" ("&amp;(NETWORKDAYS(TODAY(),$AB94,Holidays)-1)&amp;" business day(s) left).")))))</f>
        <v/>
      </c>
      <c r="W94" s="17">
        <f>IF($Z94="","",CHOOSE($Z94,"Collection Email","1st Follow-up","2nd Follow-up","Local Office","CBE","Roxanne")&amp;IF($Z94=6," - Final"," - Day "&amp;MAX(0,NETWORKDAYS($AA94,TODAY(),Holidays)-1)&amp;" of "&amp;CHOOSE($Z94,3,3,2,2,3))&amp;" | Total Day "&amp;MAX(0,NETWORKDAYS($N94,TODAY(),Holidays)-1))</f>
        <v/>
      </c>
      <c r="X94" s="18"/>
      <c r="Y94" s="18"/>
      <c r="Z94" s="17">
        <f>IF($N94="","",COUNT($N94:$S94))</f>
        <v/>
      </c>
      <c r="AA94" s="19">
        <f>IF($Z94="","",INT(INDEX($N94:$S94,$Z94)))</f>
        <v/>
      </c>
      <c r="AB94" s="19">
        <f>IF(OR($Z94="",$Z94=6),"",WORKDAY($AA94,CHOOSE($Z94,3,3,2,2,3),Holidays))</f>
        <v/>
      </c>
      <c r="AC94" s="17">
        <f>IF(OR($Z94="",$Z94=6),"",CHOOSE($Z94,"1st Email Follow-up","2nd Email Follow-up","Escalate Local Office","Escalate to CBE","Escalate to Roxanne"))</f>
        <v/>
      </c>
    </row>
    <row r="95" spans="13:29">
      <c r="M95" s="14"/>
      <c r="T95" s="16"/>
      <c r="U95" s="17">
        <f>IF(AND(COUNTA($A95:$L95)=0,$N95=""),"",IF($T95="Paid","PAID",IF($T95="Closed","CLOSED",IF($Z95="","",IF($Z95=6,"ESCALATED TO ROXANNE",IF(TODAY()&gt;$AB95,"OVERDUE",IF($AB95&lt;=WORKDAY(TODAY(),1,Holidays),"DUE TOMORROW",IF($Z95=4,"ESCALATED TO LOCAL OFFICE",IF($Z95=5,"ESCALATED TO CBE",IF($AA95=TODAY(),"EMAIL SENT","MONITORING"))))))))))</f>
        <v/>
      </c>
      <c r="V95" s="17">
        <f>IF($U95="",IF(AND(COUNTA($A95:$L95)&gt;0,$N95=""),"Awaiting Collection Email time stamp.",""),IF(OR($U95="PAID",$U95="CLOSED"),IF($U95="PAID","Account paid. Action completed.","Account closed. No further action required."),CHOOSE($Z95,"Collection Email","1st Email Follow-up","2nd Email Follow-up","Escalation to Local Office","Escalation to CBE","Escalation to Roxanne")&amp;" sent "&amp;TEXT($AA95,"dd-mmm")&amp;". "&amp;IF($Z95=6,"Final escalation completed.",IF($U95="OVERDUE","Next: "&amp;$AC95&amp;" was due "&amp;TEXT($AB95,"dd-mmm")&amp;" - "&amp;(NETWORKDAYS($AB95,TODAY(),Holidays)-1)&amp;" business day(s) late. Send now.",IF($U95="DUE TOMORROW","Next: "&amp;$AC95&amp;IF($AB95&lt;=TODAY()," is due TODAY ("," is due next business day (")&amp;TEXT($AB95,"dd-mmm")&amp;").","Next: "&amp;$AC95&amp;" due "&amp;TEXT($AB95,"dd-mmm")&amp;" ("&amp;(NETWORKDAYS(TODAY(),$AB95,Holidays)-1)&amp;" business day(s) left).")))))</f>
        <v/>
      </c>
      <c r="W95" s="17">
        <f>IF($Z95="","",CHOOSE($Z95,"Collection Email","1st Follow-up","2nd Follow-up","Local Office","CBE","Roxanne")&amp;IF($Z95=6," - Final"," - Day "&amp;MAX(0,NETWORKDAYS($AA95,TODAY(),Holidays)-1)&amp;" of "&amp;CHOOSE($Z95,3,3,2,2,3))&amp;" | Total Day "&amp;MAX(0,NETWORKDAYS($N95,TODAY(),Holidays)-1))</f>
        <v/>
      </c>
      <c r="X95" s="18"/>
      <c r="Y95" s="18"/>
      <c r="Z95" s="17">
        <f>IF($N95="","",COUNT($N95:$S95))</f>
        <v/>
      </c>
      <c r="AA95" s="19">
        <f>IF($Z95="","",INT(INDEX($N95:$S95,$Z95)))</f>
        <v/>
      </c>
      <c r="AB95" s="19">
        <f>IF(OR($Z95="",$Z95=6),"",WORKDAY($AA95,CHOOSE($Z95,3,3,2,2,3),Holidays))</f>
        <v/>
      </c>
      <c r="AC95" s="17">
        <f>IF(OR($Z95="",$Z95=6),"",CHOOSE($Z95,"1st Email Follow-up","2nd Email Follow-up","Escalate Local Office","Escalate to CBE","Escalate to Roxanne"))</f>
        <v/>
      </c>
    </row>
    <row r="96" spans="13:29">
      <c r="M96" s="14"/>
      <c r="T96" s="16"/>
      <c r="U96" s="17">
        <f>IF(AND(COUNTA($A96:$L96)=0,$N96=""),"",IF($T96="Paid","PAID",IF($T96="Closed","CLOSED",IF($Z96="","",IF($Z96=6,"ESCALATED TO ROXANNE",IF(TODAY()&gt;$AB96,"OVERDUE",IF($AB96&lt;=WORKDAY(TODAY(),1,Holidays),"DUE TOMORROW",IF($Z96=4,"ESCALATED TO LOCAL OFFICE",IF($Z96=5,"ESCALATED TO CBE",IF($AA96=TODAY(),"EMAIL SENT","MONITORING"))))))))))</f>
        <v/>
      </c>
      <c r="V96" s="17">
        <f>IF($U96="",IF(AND(COUNTA($A96:$L96)&gt;0,$N96=""),"Awaiting Collection Email time stamp.",""),IF(OR($U96="PAID",$U96="CLOSED"),IF($U96="PAID","Account paid. Action completed.","Account closed. No further action required."),CHOOSE($Z96,"Collection Email","1st Email Follow-up","2nd Email Follow-up","Escalation to Local Office","Escalation to CBE","Escalation to Roxanne")&amp;" sent "&amp;TEXT($AA96,"dd-mmm")&amp;". "&amp;IF($Z96=6,"Final escalation completed.",IF($U96="OVERDUE","Next: "&amp;$AC96&amp;" was due "&amp;TEXT($AB96,"dd-mmm")&amp;" - "&amp;(NETWORKDAYS($AB96,TODAY(),Holidays)-1)&amp;" business day(s) late. Send now.",IF($U96="DUE TOMORROW","Next: "&amp;$AC96&amp;IF($AB96&lt;=TODAY()," is due TODAY ("," is due next business day (")&amp;TEXT($AB96,"dd-mmm")&amp;").","Next: "&amp;$AC96&amp;" due "&amp;TEXT($AB96,"dd-mmm")&amp;" ("&amp;(NETWORKDAYS(TODAY(),$AB96,Holidays)-1)&amp;" business day(s) left).")))))</f>
        <v/>
      </c>
      <c r="W96" s="17">
        <f>IF($Z96="","",CHOOSE($Z96,"Collection Email","1st Follow-up","2nd Follow-up","Local Office","CBE","Roxanne")&amp;IF($Z96=6," - Final"," - Day "&amp;MAX(0,NETWORKDAYS($AA96,TODAY(),Holidays)-1)&amp;" of "&amp;CHOOSE($Z96,3,3,2,2,3))&amp;" | Total Day "&amp;MAX(0,NETWORKDAYS($N96,TODAY(),Holidays)-1))</f>
        <v/>
      </c>
      <c r="X96" s="18"/>
      <c r="Y96" s="18"/>
      <c r="Z96" s="17">
        <f>IF($N96="","",COUNT($N96:$S96))</f>
        <v/>
      </c>
      <c r="AA96" s="19">
        <f>IF($Z96="","",INT(INDEX($N96:$S96,$Z96)))</f>
        <v/>
      </c>
      <c r="AB96" s="19">
        <f>IF(OR($Z96="",$Z96=6),"",WORKDAY($AA96,CHOOSE($Z96,3,3,2,2,3),Holidays))</f>
        <v/>
      </c>
      <c r="AC96" s="17">
        <f>IF(OR($Z96="",$Z96=6),"",CHOOSE($Z96,"1st Email Follow-up","2nd Email Follow-up","Escalate Local Office","Escalate to CBE","Escalate to Roxanne"))</f>
        <v/>
      </c>
    </row>
    <row r="97" spans="13:29">
      <c r="M97" s="14"/>
      <c r="T97" s="16"/>
      <c r="U97" s="17">
        <f>IF(AND(COUNTA($A97:$L97)=0,$N97=""),"",IF($T97="Paid","PAID",IF($T97="Closed","CLOSED",IF($Z97="","",IF($Z97=6,"ESCALATED TO ROXANNE",IF(TODAY()&gt;$AB97,"OVERDUE",IF($AB97&lt;=WORKDAY(TODAY(),1,Holidays),"DUE TOMORROW",IF($Z97=4,"ESCALATED TO LOCAL OFFICE",IF($Z97=5,"ESCALATED TO CBE",IF($AA97=TODAY(),"EMAIL SENT","MONITORING"))))))))))</f>
        <v/>
      </c>
      <c r="V97" s="17">
        <f>IF($U97="",IF(AND(COUNTA($A97:$L97)&gt;0,$N97=""),"Awaiting Collection Email time stamp.",""),IF(OR($U97="PAID",$U97="CLOSED"),IF($U97="PAID","Account paid. Action completed.","Account closed. No further action required."),CHOOSE($Z97,"Collection Email","1st Email Follow-up","2nd Email Follow-up","Escalation to Local Office","Escalation to CBE","Escalation to Roxanne")&amp;" sent "&amp;TEXT($AA97,"dd-mmm")&amp;". "&amp;IF($Z97=6,"Final escalation completed.",IF($U97="OVERDUE","Next: "&amp;$AC97&amp;" was due "&amp;TEXT($AB97,"dd-mmm")&amp;" - "&amp;(NETWORKDAYS($AB97,TODAY(),Holidays)-1)&amp;" business day(s) late. Send now.",IF($U97="DUE TOMORROW","Next: "&amp;$AC97&amp;IF($AB97&lt;=TODAY()," is due TODAY ("," is due next business day (")&amp;TEXT($AB97,"dd-mmm")&amp;").","Next: "&amp;$AC97&amp;" due "&amp;TEXT($AB97,"dd-mmm")&amp;" ("&amp;(NETWORKDAYS(TODAY(),$AB97,Holidays)-1)&amp;" business day(s) left).")))))</f>
        <v/>
      </c>
      <c r="W97" s="17">
        <f>IF($Z97="","",CHOOSE($Z97,"Collection Email","1st Follow-up","2nd Follow-up","Local Office","CBE","Roxanne")&amp;IF($Z97=6," - Final"," - Day "&amp;MAX(0,NETWORKDAYS($AA97,TODAY(),Holidays)-1)&amp;" of "&amp;CHOOSE($Z97,3,3,2,2,3))&amp;" | Total Day "&amp;MAX(0,NETWORKDAYS($N97,TODAY(),Holidays)-1))</f>
        <v/>
      </c>
      <c r="X97" s="18"/>
      <c r="Y97" s="18"/>
      <c r="Z97" s="17">
        <f>IF($N97="","",COUNT($N97:$S97))</f>
        <v/>
      </c>
      <c r="AA97" s="19">
        <f>IF($Z97="","",INT(INDEX($N97:$S97,$Z97)))</f>
        <v/>
      </c>
      <c r="AB97" s="19">
        <f>IF(OR($Z97="",$Z97=6),"",WORKDAY($AA97,CHOOSE($Z97,3,3,2,2,3),Holidays))</f>
        <v/>
      </c>
      <c r="AC97" s="17">
        <f>IF(OR($Z97="",$Z97=6),"",CHOOSE($Z97,"1st Email Follow-up","2nd Email Follow-up","Escalate Local Office","Escalate to CBE","Escalate to Roxanne"))</f>
        <v/>
      </c>
    </row>
    <row r="98" spans="13:29">
      <c r="M98" s="14"/>
      <c r="T98" s="16"/>
      <c r="U98" s="17">
        <f>IF(AND(COUNTA($A98:$L98)=0,$N98=""),"",IF($T98="Paid","PAID",IF($T98="Closed","CLOSED",IF($Z98="","",IF($Z98=6,"ESCALATED TO ROXANNE",IF(TODAY()&gt;$AB98,"OVERDUE",IF($AB98&lt;=WORKDAY(TODAY(),1,Holidays),"DUE TOMORROW",IF($Z98=4,"ESCALATED TO LOCAL OFFICE",IF($Z98=5,"ESCALATED TO CBE",IF($AA98=TODAY(),"EMAIL SENT","MONITORING"))))))))))</f>
        <v/>
      </c>
      <c r="V98" s="17">
        <f>IF($U98="",IF(AND(COUNTA($A98:$L98)&gt;0,$N98=""),"Awaiting Collection Email time stamp.",""),IF(OR($U98="PAID",$U98="CLOSED"),IF($U98="PAID","Account paid. Action completed.","Account closed. No further action required."),CHOOSE($Z98,"Collection Email","1st Email Follow-up","2nd Email Follow-up","Escalation to Local Office","Escalation to CBE","Escalation to Roxanne")&amp;" sent "&amp;TEXT($AA98,"dd-mmm")&amp;". "&amp;IF($Z98=6,"Final escalation completed.",IF($U98="OVERDUE","Next: "&amp;$AC98&amp;" was due "&amp;TEXT($AB98,"dd-mmm")&amp;" - "&amp;(NETWORKDAYS($AB98,TODAY(),Holidays)-1)&amp;" business day(s) late. Send now.",IF($U98="DUE TOMORROW","Next: "&amp;$AC98&amp;IF($AB98&lt;=TODAY()," is due TODAY ("," is due next business day (")&amp;TEXT($AB98,"dd-mmm")&amp;").","Next: "&amp;$AC98&amp;" due "&amp;TEXT($AB98,"dd-mmm")&amp;" ("&amp;(NETWORKDAYS(TODAY(),$AB98,Holidays)-1)&amp;" business day(s) left).")))))</f>
        <v/>
      </c>
      <c r="W98" s="17">
        <f>IF($Z98="","",CHOOSE($Z98,"Collection Email","1st Follow-up","2nd Follow-up","Local Office","CBE","Roxanne")&amp;IF($Z98=6," - Final"," - Day "&amp;MAX(0,NETWORKDAYS($AA98,TODAY(),Holidays)-1)&amp;" of "&amp;CHOOSE($Z98,3,3,2,2,3))&amp;" | Total Day "&amp;MAX(0,NETWORKDAYS($N98,TODAY(),Holidays)-1))</f>
        <v/>
      </c>
      <c r="X98" s="18"/>
      <c r="Y98" s="18"/>
      <c r="Z98" s="17">
        <f>IF($N98="","",COUNT($N98:$S98))</f>
        <v/>
      </c>
      <c r="AA98" s="19">
        <f>IF($Z98="","",INT(INDEX($N98:$S98,$Z98)))</f>
        <v/>
      </c>
      <c r="AB98" s="19">
        <f>IF(OR($Z98="",$Z98=6),"",WORKDAY($AA98,CHOOSE($Z98,3,3,2,2,3),Holidays))</f>
        <v/>
      </c>
      <c r="AC98" s="17">
        <f>IF(OR($Z98="",$Z98=6),"",CHOOSE($Z98,"1st Email Follow-up","2nd Email Follow-up","Escalate Local Office","Escalate to CBE","Escalate to Roxanne"))</f>
        <v/>
      </c>
    </row>
    <row r="99" spans="13:29">
      <c r="M99" s="14"/>
      <c r="T99" s="16"/>
      <c r="U99" s="17">
        <f>IF(AND(COUNTA($A99:$L99)=0,$N99=""),"",IF($T99="Paid","PAID",IF($T99="Closed","CLOSED",IF($Z99="","",IF($Z99=6,"ESCALATED TO ROXANNE",IF(TODAY()&gt;$AB99,"OVERDUE",IF($AB99&lt;=WORKDAY(TODAY(),1,Holidays),"DUE TOMORROW",IF($Z99=4,"ESCALATED TO LOCAL OFFICE",IF($Z99=5,"ESCALATED TO CBE",IF($AA99=TODAY(),"EMAIL SENT","MONITORING"))))))))))</f>
        <v/>
      </c>
      <c r="V99" s="17">
        <f>IF($U99="",IF(AND(COUNTA($A99:$L99)&gt;0,$N99=""),"Awaiting Collection Email time stamp.",""),IF(OR($U99="PAID",$U99="CLOSED"),IF($U99="PAID","Account paid. Action completed.","Account closed. No further action required."),CHOOSE($Z99,"Collection Email","1st Email Follow-up","2nd Email Follow-up","Escalation to Local Office","Escalation to CBE","Escalation to Roxanne")&amp;" sent "&amp;TEXT($AA99,"dd-mmm")&amp;". "&amp;IF($Z99=6,"Final escalation completed.",IF($U99="OVERDUE","Next: "&amp;$AC99&amp;" was due "&amp;TEXT($AB99,"dd-mmm")&amp;" - "&amp;(NETWORKDAYS($AB99,TODAY(),Holidays)-1)&amp;" business day(s) late. Send now.",IF($U99="DUE TOMORROW","Next: "&amp;$AC99&amp;IF($AB99&lt;=TODAY()," is due TODAY ("," is due next business day (")&amp;TEXT($AB99,"dd-mmm")&amp;").","Next: "&amp;$AC99&amp;" due "&amp;TEXT($AB99,"dd-mmm")&amp;" ("&amp;(NETWORKDAYS(TODAY(),$AB99,Holidays)-1)&amp;" business day(s) left).")))))</f>
        <v/>
      </c>
      <c r="W99" s="17">
        <f>IF($Z99="","",CHOOSE($Z99,"Collection Email","1st Follow-up","2nd Follow-up","Local Office","CBE","Roxanne")&amp;IF($Z99=6," - Final"," - Day "&amp;MAX(0,NETWORKDAYS($AA99,TODAY(),Holidays)-1)&amp;" of "&amp;CHOOSE($Z99,3,3,2,2,3))&amp;" | Total Day "&amp;MAX(0,NETWORKDAYS($N99,TODAY(),Holidays)-1))</f>
        <v/>
      </c>
      <c r="X99" s="18"/>
      <c r="Y99" s="18"/>
      <c r="Z99" s="17">
        <f>IF($N99="","",COUNT($N99:$S99))</f>
        <v/>
      </c>
      <c r="AA99" s="19">
        <f>IF($Z99="","",INT(INDEX($N99:$S99,$Z99)))</f>
        <v/>
      </c>
      <c r="AB99" s="19">
        <f>IF(OR($Z99="",$Z99=6),"",WORKDAY($AA99,CHOOSE($Z99,3,3,2,2,3),Holidays))</f>
        <v/>
      </c>
      <c r="AC99" s="17">
        <f>IF(OR($Z99="",$Z99=6),"",CHOOSE($Z99,"1st Email Follow-up","2nd Email Follow-up","Escalate Local Office","Escalate to CBE","Escalate to Roxanne"))</f>
        <v/>
      </c>
    </row>
    <row r="100" spans="13:29">
      <c r="M100" s="14"/>
      <c r="T100" s="16"/>
      <c r="U100" s="17">
        <f>IF(AND(COUNTA($A100:$L100)=0,$N100=""),"",IF($T100="Paid","PAID",IF($T100="Closed","CLOSED",IF($Z100="","",IF($Z100=6,"ESCALATED TO ROXANNE",IF(TODAY()&gt;$AB100,"OVERDUE",IF($AB100&lt;=WORKDAY(TODAY(),1,Holidays),"DUE TOMORROW",IF($Z100=4,"ESCALATED TO LOCAL OFFICE",IF($Z100=5,"ESCALATED TO CBE",IF($AA100=TODAY(),"EMAIL SENT","MONITORING"))))))))))</f>
        <v/>
      </c>
      <c r="V100" s="17">
        <f>IF($U100="",IF(AND(COUNTA($A100:$L100)&gt;0,$N100=""),"Awaiting Collection Email time stamp.",""),IF(OR($U100="PAID",$U100="CLOSED"),IF($U100="PAID","Account paid. Action completed.","Account closed. No further action required."),CHOOSE($Z100,"Collection Email","1st Email Follow-up","2nd Email Follow-up","Escalation to Local Office","Escalation to CBE","Escalation to Roxanne")&amp;" sent "&amp;TEXT($AA100,"dd-mmm")&amp;". "&amp;IF($Z100=6,"Final escalation completed.",IF($U100="OVERDUE","Next: "&amp;$AC100&amp;" was due "&amp;TEXT($AB100,"dd-mmm")&amp;" - "&amp;(NETWORKDAYS($AB100,TODAY(),Holidays)-1)&amp;" business day(s) late. Send now.",IF($U100="DUE TOMORROW","Next: "&amp;$AC100&amp;IF($AB100&lt;=TODAY()," is due TODAY ("," is due next business day (")&amp;TEXT($AB100,"dd-mmm")&amp;").","Next: "&amp;$AC100&amp;" due "&amp;TEXT($AB100,"dd-mmm")&amp;" ("&amp;(NETWORKDAYS(TODAY(),$AB100,Holidays)-1)&amp;" business day(s) left).")))))</f>
        <v/>
      </c>
      <c r="W100" s="17">
        <f>IF($Z100="","",CHOOSE($Z100,"Collection Email","1st Follow-up","2nd Follow-up","Local Office","CBE","Roxanne")&amp;IF($Z100=6," - Final"," - Day "&amp;MAX(0,NETWORKDAYS($AA100,TODAY(),Holidays)-1)&amp;" of "&amp;CHOOSE($Z100,3,3,2,2,3))&amp;" | Total Day "&amp;MAX(0,NETWORKDAYS($N100,TODAY(),Holidays)-1))</f>
        <v/>
      </c>
      <c r="X100" s="18"/>
      <c r="Y100" s="18"/>
      <c r="Z100" s="17">
        <f>IF($N100="","",COUNT($N100:$S100))</f>
        <v/>
      </c>
      <c r="AA100" s="19">
        <f>IF($Z100="","",INT(INDEX($N100:$S100,$Z100)))</f>
        <v/>
      </c>
      <c r="AB100" s="19">
        <f>IF(OR($Z100="",$Z100=6),"",WORKDAY($AA100,CHOOSE($Z100,3,3,2,2,3),Holidays))</f>
        <v/>
      </c>
      <c r="AC100" s="17">
        <f>IF(OR($Z100="",$Z100=6),"",CHOOSE($Z100,"1st Email Follow-up","2nd Email Follow-up","Escalate Local Office","Escalate to CBE","Escalate to Roxanne"))</f>
        <v/>
      </c>
    </row>
    <row r="101" spans="13:29">
      <c r="M101" s="14"/>
      <c r="T101" s="16"/>
      <c r="U101" s="17">
        <f>IF(AND(COUNTA($A101:$L101)=0,$N101=""),"",IF($T101="Paid","PAID",IF($T101="Closed","CLOSED",IF($Z101="","",IF($Z101=6,"ESCALATED TO ROXANNE",IF(TODAY()&gt;$AB101,"OVERDUE",IF($AB101&lt;=WORKDAY(TODAY(),1,Holidays),"DUE TOMORROW",IF($Z101=4,"ESCALATED TO LOCAL OFFICE",IF($Z101=5,"ESCALATED TO CBE",IF($AA101=TODAY(),"EMAIL SENT","MONITORING"))))))))))</f>
        <v/>
      </c>
      <c r="V101" s="17">
        <f>IF($U101="",IF(AND(COUNTA($A101:$L101)&gt;0,$N101=""),"Awaiting Collection Email time stamp.",""),IF(OR($U101="PAID",$U101="CLOSED"),IF($U101="PAID","Account paid. Action completed.","Account closed. No further action required."),CHOOSE($Z101,"Collection Email","1st Email Follow-up","2nd Email Follow-up","Escalation to Local Office","Escalation to CBE","Escalation to Roxanne")&amp;" sent "&amp;TEXT($AA101,"dd-mmm")&amp;". "&amp;IF($Z101=6,"Final escalation completed.",IF($U101="OVERDUE","Next: "&amp;$AC101&amp;" was due "&amp;TEXT($AB101,"dd-mmm")&amp;" - "&amp;(NETWORKDAYS($AB101,TODAY(),Holidays)-1)&amp;" business day(s) late. Send now.",IF($U101="DUE TOMORROW","Next: "&amp;$AC101&amp;IF($AB101&lt;=TODAY()," is due TODAY ("," is due next business day (")&amp;TEXT($AB101,"dd-mmm")&amp;").","Next: "&amp;$AC101&amp;" due "&amp;TEXT($AB101,"dd-mmm")&amp;" ("&amp;(NETWORKDAYS(TODAY(),$AB101,Holidays)-1)&amp;" business day(s) left).")))))</f>
        <v/>
      </c>
      <c r="W101" s="17">
        <f>IF($Z101="","",CHOOSE($Z101,"Collection Email","1st Follow-up","2nd Follow-up","Local Office","CBE","Roxanne")&amp;IF($Z101=6," - Final"," - Day "&amp;MAX(0,NETWORKDAYS($AA101,TODAY(),Holidays)-1)&amp;" of "&amp;CHOOSE($Z101,3,3,2,2,3))&amp;" | Total Day "&amp;MAX(0,NETWORKDAYS($N101,TODAY(),Holidays)-1))</f>
        <v/>
      </c>
      <c r="X101" s="18"/>
      <c r="Y101" s="18"/>
      <c r="Z101" s="17">
        <f>IF($N101="","",COUNT($N101:$S101))</f>
        <v/>
      </c>
      <c r="AA101" s="19">
        <f>IF($Z101="","",INT(INDEX($N101:$S101,$Z101)))</f>
        <v/>
      </c>
      <c r="AB101" s="19">
        <f>IF(OR($Z101="",$Z101=6),"",WORKDAY($AA101,CHOOSE($Z101,3,3,2,2,3),Holidays))</f>
        <v/>
      </c>
      <c r="AC101" s="17">
        <f>IF(OR($Z101="",$Z101=6),"",CHOOSE($Z101,"1st Email Follow-up","2nd Email Follow-up","Escalate Local Office","Escalate to CBE","Escalate to Roxanne"))</f>
        <v/>
      </c>
    </row>
    <row r="102" spans="13:29">
      <c r="M102" s="14"/>
      <c r="T102" s="16"/>
      <c r="U102" s="17">
        <f>IF(AND(COUNTA($A102:$L102)=0,$N102=""),"",IF($T102="Paid","PAID",IF($T102="Closed","CLOSED",IF($Z102="","",IF($Z102=6,"ESCALATED TO ROXANNE",IF(TODAY()&gt;$AB102,"OVERDUE",IF($AB102&lt;=WORKDAY(TODAY(),1,Holidays),"DUE TOMORROW",IF($Z102=4,"ESCALATED TO LOCAL OFFICE",IF($Z102=5,"ESCALATED TO CBE",IF($AA102=TODAY(),"EMAIL SENT","MONITORING"))))))))))</f>
        <v/>
      </c>
      <c r="V102" s="17">
        <f>IF($U102="",IF(AND(COUNTA($A102:$L102)&gt;0,$N102=""),"Awaiting Collection Email time stamp.",""),IF(OR($U102="PAID",$U102="CLOSED"),IF($U102="PAID","Account paid. Action completed.","Account closed. No further action required."),CHOOSE($Z102,"Collection Email","1st Email Follow-up","2nd Email Follow-up","Escalation to Local Office","Escalation to CBE","Escalation to Roxanne")&amp;" sent "&amp;TEXT($AA102,"dd-mmm")&amp;". "&amp;IF($Z102=6,"Final escalation completed.",IF($U102="OVERDUE","Next: "&amp;$AC102&amp;" was due "&amp;TEXT($AB102,"dd-mmm")&amp;" - "&amp;(NETWORKDAYS($AB102,TODAY(),Holidays)-1)&amp;" business day(s) late. Send now.",IF($U102="DUE TOMORROW","Next: "&amp;$AC102&amp;IF($AB102&lt;=TODAY()," is due TODAY ("," is due next business day (")&amp;TEXT($AB102,"dd-mmm")&amp;").","Next: "&amp;$AC102&amp;" due "&amp;TEXT($AB102,"dd-mmm")&amp;" ("&amp;(NETWORKDAYS(TODAY(),$AB102,Holidays)-1)&amp;" business day(s) left).")))))</f>
        <v/>
      </c>
      <c r="W102" s="17">
        <f>IF($Z102="","",CHOOSE($Z102,"Collection Email","1st Follow-up","2nd Follow-up","Local Office","CBE","Roxanne")&amp;IF($Z102=6," - Final"," - Day "&amp;MAX(0,NETWORKDAYS($AA102,TODAY(),Holidays)-1)&amp;" of "&amp;CHOOSE($Z102,3,3,2,2,3))&amp;" | Total Day "&amp;MAX(0,NETWORKDAYS($N102,TODAY(),Holidays)-1))</f>
        <v/>
      </c>
      <c r="X102" s="18"/>
      <c r="Y102" s="18"/>
      <c r="Z102" s="17">
        <f>IF($N102="","",COUNT($N102:$S102))</f>
        <v/>
      </c>
      <c r="AA102" s="19">
        <f>IF($Z102="","",INT(INDEX($N102:$S102,$Z102)))</f>
        <v/>
      </c>
      <c r="AB102" s="19">
        <f>IF(OR($Z102="",$Z102=6),"",WORKDAY($AA102,CHOOSE($Z102,3,3,2,2,3),Holidays))</f>
        <v/>
      </c>
      <c r="AC102" s="17">
        <f>IF(OR($Z102="",$Z102=6),"",CHOOSE($Z102,"1st Email Follow-up","2nd Email Follow-up","Escalate Local Office","Escalate to CBE","Escalate to Roxanne"))</f>
        <v/>
      </c>
    </row>
    <row r="103" spans="13:29">
      <c r="M103" s="14"/>
      <c r="T103" s="16"/>
      <c r="U103" s="17">
        <f>IF(AND(COUNTA($A103:$L103)=0,$N103=""),"",IF($T103="Paid","PAID",IF($T103="Closed","CLOSED",IF($Z103="","",IF($Z103=6,"ESCALATED TO ROXANNE",IF(TODAY()&gt;$AB103,"OVERDUE",IF($AB103&lt;=WORKDAY(TODAY(),1,Holidays),"DUE TOMORROW",IF($Z103=4,"ESCALATED TO LOCAL OFFICE",IF($Z103=5,"ESCALATED TO CBE",IF($AA103=TODAY(),"EMAIL SENT","MONITORING"))))))))))</f>
        <v/>
      </c>
      <c r="V103" s="17">
        <f>IF($U103="",IF(AND(COUNTA($A103:$L103)&gt;0,$N103=""),"Awaiting Collection Email time stamp.",""),IF(OR($U103="PAID",$U103="CLOSED"),IF($U103="PAID","Account paid. Action completed.","Account closed. No further action required."),CHOOSE($Z103,"Collection Email","1st Email Follow-up","2nd Email Follow-up","Escalation to Local Office","Escalation to CBE","Escalation to Roxanne")&amp;" sent "&amp;TEXT($AA103,"dd-mmm")&amp;". "&amp;IF($Z103=6,"Final escalation completed.",IF($U103="OVERDUE","Next: "&amp;$AC103&amp;" was due "&amp;TEXT($AB103,"dd-mmm")&amp;" - "&amp;(NETWORKDAYS($AB103,TODAY(),Holidays)-1)&amp;" business day(s) late. Send now.",IF($U103="DUE TOMORROW","Next: "&amp;$AC103&amp;IF($AB103&lt;=TODAY()," is due TODAY ("," is due next business day (")&amp;TEXT($AB103,"dd-mmm")&amp;").","Next: "&amp;$AC103&amp;" due "&amp;TEXT($AB103,"dd-mmm")&amp;" ("&amp;(NETWORKDAYS(TODAY(),$AB103,Holidays)-1)&amp;" business day(s) left).")))))</f>
        <v/>
      </c>
      <c r="W103" s="17">
        <f>IF($Z103="","",CHOOSE($Z103,"Collection Email","1st Follow-up","2nd Follow-up","Local Office","CBE","Roxanne")&amp;IF($Z103=6," - Final"," - Day "&amp;MAX(0,NETWORKDAYS($AA103,TODAY(),Holidays)-1)&amp;" of "&amp;CHOOSE($Z103,3,3,2,2,3))&amp;" | Total Day "&amp;MAX(0,NETWORKDAYS($N103,TODAY(),Holidays)-1))</f>
        <v/>
      </c>
      <c r="X103" s="18"/>
      <c r="Y103" s="18"/>
      <c r="Z103" s="17">
        <f>IF($N103="","",COUNT($N103:$S103))</f>
        <v/>
      </c>
      <c r="AA103" s="19">
        <f>IF($Z103="","",INT(INDEX($N103:$S103,$Z103)))</f>
        <v/>
      </c>
      <c r="AB103" s="19">
        <f>IF(OR($Z103="",$Z103=6),"",WORKDAY($AA103,CHOOSE($Z103,3,3,2,2,3),Holidays))</f>
        <v/>
      </c>
      <c r="AC103" s="17">
        <f>IF(OR($Z103="",$Z103=6),"",CHOOSE($Z103,"1st Email Follow-up","2nd Email Follow-up","Escalate Local Office","Escalate to CBE","Escalate to Roxanne"))</f>
        <v/>
      </c>
    </row>
    <row r="104" spans="13:29">
      <c r="M104" s="14"/>
      <c r="T104" s="16"/>
      <c r="U104" s="17">
        <f>IF(AND(COUNTA($A104:$L104)=0,$N104=""),"",IF($T104="Paid","PAID",IF($T104="Closed","CLOSED",IF($Z104="","",IF($Z104=6,"ESCALATED TO ROXANNE",IF(TODAY()&gt;$AB104,"OVERDUE",IF($AB104&lt;=WORKDAY(TODAY(),1,Holidays),"DUE TOMORROW",IF($Z104=4,"ESCALATED TO LOCAL OFFICE",IF($Z104=5,"ESCALATED TO CBE",IF($AA104=TODAY(),"EMAIL SENT","MONITORING"))))))))))</f>
        <v/>
      </c>
      <c r="V104" s="17">
        <f>IF($U104="",IF(AND(COUNTA($A104:$L104)&gt;0,$N104=""),"Awaiting Collection Email time stamp.",""),IF(OR($U104="PAID",$U104="CLOSED"),IF($U104="PAID","Account paid. Action completed.","Account closed. No further action required."),CHOOSE($Z104,"Collection Email","1st Email Follow-up","2nd Email Follow-up","Escalation to Local Office","Escalation to CBE","Escalation to Roxanne")&amp;" sent "&amp;TEXT($AA104,"dd-mmm")&amp;". "&amp;IF($Z104=6,"Final escalation completed.",IF($U104="OVERDUE","Next: "&amp;$AC104&amp;" was due "&amp;TEXT($AB104,"dd-mmm")&amp;" - "&amp;(NETWORKDAYS($AB104,TODAY(),Holidays)-1)&amp;" business day(s) late. Send now.",IF($U104="DUE TOMORROW","Next: "&amp;$AC104&amp;IF($AB104&lt;=TODAY()," is due TODAY ("," is due next business day (")&amp;TEXT($AB104,"dd-mmm")&amp;").","Next: "&amp;$AC104&amp;" due "&amp;TEXT($AB104,"dd-mmm")&amp;" ("&amp;(NETWORKDAYS(TODAY(),$AB104,Holidays)-1)&amp;" business day(s) left).")))))</f>
        <v/>
      </c>
      <c r="W104" s="17">
        <f>IF($Z104="","",CHOOSE($Z104,"Collection Email","1st Follow-up","2nd Follow-up","Local Office","CBE","Roxanne")&amp;IF($Z104=6," - Final"," - Day "&amp;MAX(0,NETWORKDAYS($AA104,TODAY(),Holidays)-1)&amp;" of "&amp;CHOOSE($Z104,3,3,2,2,3))&amp;" | Total Day "&amp;MAX(0,NETWORKDAYS($N104,TODAY(),Holidays)-1))</f>
        <v/>
      </c>
      <c r="X104" s="18"/>
      <c r="Y104" s="18"/>
      <c r="Z104" s="17">
        <f>IF($N104="","",COUNT($N104:$S104))</f>
        <v/>
      </c>
      <c r="AA104" s="19">
        <f>IF($Z104="","",INT(INDEX($N104:$S104,$Z104)))</f>
        <v/>
      </c>
      <c r="AB104" s="19">
        <f>IF(OR($Z104="",$Z104=6),"",WORKDAY($AA104,CHOOSE($Z104,3,3,2,2,3),Holidays))</f>
        <v/>
      </c>
      <c r="AC104" s="17">
        <f>IF(OR($Z104="",$Z104=6),"",CHOOSE($Z104,"1st Email Follow-up","2nd Email Follow-up","Escalate Local Office","Escalate to CBE","Escalate to Roxanne"))</f>
        <v/>
      </c>
    </row>
    <row r="105" spans="13:29">
      <c r="M105" s="14"/>
      <c r="T105" s="16"/>
      <c r="U105" s="17">
        <f>IF(AND(COUNTA($A105:$L105)=0,$N105=""),"",IF($T105="Paid","PAID",IF($T105="Closed","CLOSED",IF($Z105="","",IF($Z105=6,"ESCALATED TO ROXANNE",IF(TODAY()&gt;$AB105,"OVERDUE",IF($AB105&lt;=WORKDAY(TODAY(),1,Holidays),"DUE TOMORROW",IF($Z105=4,"ESCALATED TO LOCAL OFFICE",IF($Z105=5,"ESCALATED TO CBE",IF($AA105=TODAY(),"EMAIL SENT","MONITORING"))))))))))</f>
        <v/>
      </c>
      <c r="V105" s="17">
        <f>IF($U105="",IF(AND(COUNTA($A105:$L105)&gt;0,$N105=""),"Awaiting Collection Email time stamp.",""),IF(OR($U105="PAID",$U105="CLOSED"),IF($U105="PAID","Account paid. Action completed.","Account closed. No further action required."),CHOOSE($Z105,"Collection Email","1st Email Follow-up","2nd Email Follow-up","Escalation to Local Office","Escalation to CBE","Escalation to Roxanne")&amp;" sent "&amp;TEXT($AA105,"dd-mmm")&amp;". "&amp;IF($Z105=6,"Final escalation completed.",IF($U105="OVERDUE","Next: "&amp;$AC105&amp;" was due "&amp;TEXT($AB105,"dd-mmm")&amp;" - "&amp;(NETWORKDAYS($AB105,TODAY(),Holidays)-1)&amp;" business day(s) late. Send now.",IF($U105="DUE TOMORROW","Next: "&amp;$AC105&amp;IF($AB105&lt;=TODAY()," is due TODAY ("," is due next business day (")&amp;TEXT($AB105,"dd-mmm")&amp;").","Next: "&amp;$AC105&amp;" due "&amp;TEXT($AB105,"dd-mmm")&amp;" ("&amp;(NETWORKDAYS(TODAY(),$AB105,Holidays)-1)&amp;" business day(s) left).")))))</f>
        <v/>
      </c>
      <c r="W105" s="17">
        <f>IF($Z105="","",CHOOSE($Z105,"Collection Email","1st Follow-up","2nd Follow-up","Local Office","CBE","Roxanne")&amp;IF($Z105=6," - Final"," - Day "&amp;MAX(0,NETWORKDAYS($AA105,TODAY(),Holidays)-1)&amp;" of "&amp;CHOOSE($Z105,3,3,2,2,3))&amp;" | Total Day "&amp;MAX(0,NETWORKDAYS($N105,TODAY(),Holidays)-1))</f>
        <v/>
      </c>
      <c r="X105" s="18"/>
      <c r="Y105" s="18"/>
      <c r="Z105" s="17">
        <f>IF($N105="","",COUNT($N105:$S105))</f>
        <v/>
      </c>
      <c r="AA105" s="19">
        <f>IF($Z105="","",INT(INDEX($N105:$S105,$Z105)))</f>
        <v/>
      </c>
      <c r="AB105" s="19">
        <f>IF(OR($Z105="",$Z105=6),"",WORKDAY($AA105,CHOOSE($Z105,3,3,2,2,3),Holidays))</f>
        <v/>
      </c>
      <c r="AC105" s="17">
        <f>IF(OR($Z105="",$Z105=6),"",CHOOSE($Z105,"1st Email Follow-up","2nd Email Follow-up","Escalate Local Office","Escalate to CBE","Escalate to Roxanne"))</f>
        <v/>
      </c>
    </row>
    <row r="106" spans="13:29">
      <c r="M106" s="14"/>
      <c r="T106" s="16"/>
      <c r="U106" s="17">
        <f>IF(AND(COUNTA($A106:$L106)=0,$N106=""),"",IF($T106="Paid","PAID",IF($T106="Closed","CLOSED",IF($Z106="","",IF($Z106=6,"ESCALATED TO ROXANNE",IF(TODAY()&gt;$AB106,"OVERDUE",IF($AB106&lt;=WORKDAY(TODAY(),1,Holidays),"DUE TOMORROW",IF($Z106=4,"ESCALATED TO LOCAL OFFICE",IF($Z106=5,"ESCALATED TO CBE",IF($AA106=TODAY(),"EMAIL SENT","MONITORING"))))))))))</f>
        <v/>
      </c>
      <c r="V106" s="17">
        <f>IF($U106="",IF(AND(COUNTA($A106:$L106)&gt;0,$N106=""),"Awaiting Collection Email time stamp.",""),IF(OR($U106="PAID",$U106="CLOSED"),IF($U106="PAID","Account paid. Action completed.","Account closed. No further action required."),CHOOSE($Z106,"Collection Email","1st Email Follow-up","2nd Email Follow-up","Escalation to Local Office","Escalation to CBE","Escalation to Roxanne")&amp;" sent "&amp;TEXT($AA106,"dd-mmm")&amp;". "&amp;IF($Z106=6,"Final escalation completed.",IF($U106="OVERDUE","Next: "&amp;$AC106&amp;" was due "&amp;TEXT($AB106,"dd-mmm")&amp;" - "&amp;(NETWORKDAYS($AB106,TODAY(),Holidays)-1)&amp;" business day(s) late. Send now.",IF($U106="DUE TOMORROW","Next: "&amp;$AC106&amp;IF($AB106&lt;=TODAY()," is due TODAY ("," is due next business day (")&amp;TEXT($AB106,"dd-mmm")&amp;").","Next: "&amp;$AC106&amp;" due "&amp;TEXT($AB106,"dd-mmm")&amp;" ("&amp;(NETWORKDAYS(TODAY(),$AB106,Holidays)-1)&amp;" business day(s) left).")))))</f>
        <v/>
      </c>
      <c r="W106" s="17">
        <f>IF($Z106="","",CHOOSE($Z106,"Collection Email","1st Follow-up","2nd Follow-up","Local Office","CBE","Roxanne")&amp;IF($Z106=6," - Final"," - Day "&amp;MAX(0,NETWORKDAYS($AA106,TODAY(),Holidays)-1)&amp;" of "&amp;CHOOSE($Z106,3,3,2,2,3))&amp;" | Total Day "&amp;MAX(0,NETWORKDAYS($N106,TODAY(),Holidays)-1))</f>
        <v/>
      </c>
      <c r="X106" s="18"/>
      <c r="Y106" s="18"/>
      <c r="Z106" s="17">
        <f>IF($N106="","",COUNT($N106:$S106))</f>
        <v/>
      </c>
      <c r="AA106" s="19">
        <f>IF($Z106="","",INT(INDEX($N106:$S106,$Z106)))</f>
        <v/>
      </c>
      <c r="AB106" s="19">
        <f>IF(OR($Z106="",$Z106=6),"",WORKDAY($AA106,CHOOSE($Z106,3,3,2,2,3),Holidays))</f>
        <v/>
      </c>
      <c r="AC106" s="17">
        <f>IF(OR($Z106="",$Z106=6),"",CHOOSE($Z106,"1st Email Follow-up","2nd Email Follow-up","Escalate Local Office","Escalate to CBE","Escalate to Roxanne"))</f>
        <v/>
      </c>
    </row>
    <row r="107" spans="13:29">
      <c r="M107" s="14"/>
      <c r="T107" s="16"/>
      <c r="U107" s="17">
        <f>IF(AND(COUNTA($A107:$L107)=0,$N107=""),"",IF($T107="Paid","PAID",IF($T107="Closed","CLOSED",IF($Z107="","",IF($Z107=6,"ESCALATED TO ROXANNE",IF(TODAY()&gt;$AB107,"OVERDUE",IF($AB107&lt;=WORKDAY(TODAY(),1,Holidays),"DUE TOMORROW",IF($Z107=4,"ESCALATED TO LOCAL OFFICE",IF($Z107=5,"ESCALATED TO CBE",IF($AA107=TODAY(),"EMAIL SENT","MONITORING"))))))))))</f>
        <v/>
      </c>
      <c r="V107" s="17">
        <f>IF($U107="",IF(AND(COUNTA($A107:$L107)&gt;0,$N107=""),"Awaiting Collection Email time stamp.",""),IF(OR($U107="PAID",$U107="CLOSED"),IF($U107="PAID","Account paid. Action completed.","Account closed. No further action required."),CHOOSE($Z107,"Collection Email","1st Email Follow-up","2nd Email Follow-up","Escalation to Local Office","Escalation to CBE","Escalation to Roxanne")&amp;" sent "&amp;TEXT($AA107,"dd-mmm")&amp;". "&amp;IF($Z107=6,"Final escalation completed.",IF($U107="OVERDUE","Next: "&amp;$AC107&amp;" was due "&amp;TEXT($AB107,"dd-mmm")&amp;" - "&amp;(NETWORKDAYS($AB107,TODAY(),Holidays)-1)&amp;" business day(s) late. Send now.",IF($U107="DUE TOMORROW","Next: "&amp;$AC107&amp;IF($AB107&lt;=TODAY()," is due TODAY ("," is due next business day (")&amp;TEXT($AB107,"dd-mmm")&amp;").","Next: "&amp;$AC107&amp;" due "&amp;TEXT($AB107,"dd-mmm")&amp;" ("&amp;(NETWORKDAYS(TODAY(),$AB107,Holidays)-1)&amp;" business day(s) left).")))))</f>
        <v/>
      </c>
      <c r="W107" s="17">
        <f>IF($Z107="","",CHOOSE($Z107,"Collection Email","1st Follow-up","2nd Follow-up","Local Office","CBE","Roxanne")&amp;IF($Z107=6," - Final"," - Day "&amp;MAX(0,NETWORKDAYS($AA107,TODAY(),Holidays)-1)&amp;" of "&amp;CHOOSE($Z107,3,3,2,2,3))&amp;" | Total Day "&amp;MAX(0,NETWORKDAYS($N107,TODAY(),Holidays)-1))</f>
        <v/>
      </c>
      <c r="X107" s="18"/>
      <c r="Y107" s="18"/>
      <c r="Z107" s="17">
        <f>IF($N107="","",COUNT($N107:$S107))</f>
        <v/>
      </c>
      <c r="AA107" s="19">
        <f>IF($Z107="","",INT(INDEX($N107:$S107,$Z107)))</f>
        <v/>
      </c>
      <c r="AB107" s="19">
        <f>IF(OR($Z107="",$Z107=6),"",WORKDAY($AA107,CHOOSE($Z107,3,3,2,2,3),Holidays))</f>
        <v/>
      </c>
      <c r="AC107" s="17">
        <f>IF(OR($Z107="",$Z107=6),"",CHOOSE($Z107,"1st Email Follow-up","2nd Email Follow-up","Escalate Local Office","Escalate to CBE","Escalate to Roxanne"))</f>
        <v/>
      </c>
    </row>
    <row r="108" spans="13:29">
      <c r="M108" s="14"/>
      <c r="T108" s="16"/>
      <c r="U108" s="17">
        <f>IF(AND(COUNTA($A108:$L108)=0,$N108=""),"",IF($T108="Paid","PAID",IF($T108="Closed","CLOSED",IF($Z108="","",IF($Z108=6,"ESCALATED TO ROXANNE",IF(TODAY()&gt;$AB108,"OVERDUE",IF($AB108&lt;=WORKDAY(TODAY(),1,Holidays),"DUE TOMORROW",IF($Z108=4,"ESCALATED TO LOCAL OFFICE",IF($Z108=5,"ESCALATED TO CBE",IF($AA108=TODAY(),"EMAIL SENT","MONITORING"))))))))))</f>
        <v/>
      </c>
      <c r="V108" s="17">
        <f>IF($U108="",IF(AND(COUNTA($A108:$L108)&gt;0,$N108=""),"Awaiting Collection Email time stamp.",""),IF(OR($U108="PAID",$U108="CLOSED"),IF($U108="PAID","Account paid. Action completed.","Account closed. No further action required."),CHOOSE($Z108,"Collection Email","1st Email Follow-up","2nd Email Follow-up","Escalation to Local Office","Escalation to CBE","Escalation to Roxanne")&amp;" sent "&amp;TEXT($AA108,"dd-mmm")&amp;". "&amp;IF($Z108=6,"Final escalation completed.",IF($U108="OVERDUE","Next: "&amp;$AC108&amp;" was due "&amp;TEXT($AB108,"dd-mmm")&amp;" - "&amp;(NETWORKDAYS($AB108,TODAY(),Holidays)-1)&amp;" business day(s) late. Send now.",IF($U108="DUE TOMORROW","Next: "&amp;$AC108&amp;IF($AB108&lt;=TODAY()," is due TODAY ("," is due next business day (")&amp;TEXT($AB108,"dd-mmm")&amp;").","Next: "&amp;$AC108&amp;" due "&amp;TEXT($AB108,"dd-mmm")&amp;" ("&amp;(NETWORKDAYS(TODAY(),$AB108,Holidays)-1)&amp;" business day(s) left).")))))</f>
        <v/>
      </c>
      <c r="W108" s="17">
        <f>IF($Z108="","",CHOOSE($Z108,"Collection Email","1st Follow-up","2nd Follow-up","Local Office","CBE","Roxanne")&amp;IF($Z108=6," - Final"," - Day "&amp;MAX(0,NETWORKDAYS($AA108,TODAY(),Holidays)-1)&amp;" of "&amp;CHOOSE($Z108,3,3,2,2,3))&amp;" | Total Day "&amp;MAX(0,NETWORKDAYS($N108,TODAY(),Holidays)-1))</f>
        <v/>
      </c>
      <c r="X108" s="18"/>
      <c r="Y108" s="18"/>
      <c r="Z108" s="17">
        <f>IF($N108="","",COUNT($N108:$S108))</f>
        <v/>
      </c>
      <c r="AA108" s="19">
        <f>IF($Z108="","",INT(INDEX($N108:$S108,$Z108)))</f>
        <v/>
      </c>
      <c r="AB108" s="19">
        <f>IF(OR($Z108="",$Z108=6),"",WORKDAY($AA108,CHOOSE($Z108,3,3,2,2,3),Holidays))</f>
        <v/>
      </c>
      <c r="AC108" s="17">
        <f>IF(OR($Z108="",$Z108=6),"",CHOOSE($Z108,"1st Email Follow-up","2nd Email Follow-up","Escalate Local Office","Escalate to CBE","Escalate to Roxanne"))</f>
        <v/>
      </c>
    </row>
    <row r="109" spans="13:29">
      <c r="M109" s="14"/>
      <c r="T109" s="16"/>
      <c r="U109" s="17">
        <f>IF(AND(COUNTA($A109:$L109)=0,$N109=""),"",IF($T109="Paid","PAID",IF($T109="Closed","CLOSED",IF($Z109="","",IF($Z109=6,"ESCALATED TO ROXANNE",IF(TODAY()&gt;$AB109,"OVERDUE",IF($AB109&lt;=WORKDAY(TODAY(),1,Holidays),"DUE TOMORROW",IF($Z109=4,"ESCALATED TO LOCAL OFFICE",IF($Z109=5,"ESCALATED TO CBE",IF($AA109=TODAY(),"EMAIL SENT","MONITORING"))))))))))</f>
        <v/>
      </c>
      <c r="V109" s="17">
        <f>IF($U109="",IF(AND(COUNTA($A109:$L109)&gt;0,$N109=""),"Awaiting Collection Email time stamp.",""),IF(OR($U109="PAID",$U109="CLOSED"),IF($U109="PAID","Account paid. Action completed.","Account closed. No further action required."),CHOOSE($Z109,"Collection Email","1st Email Follow-up","2nd Email Follow-up","Escalation to Local Office","Escalation to CBE","Escalation to Roxanne")&amp;" sent "&amp;TEXT($AA109,"dd-mmm")&amp;". "&amp;IF($Z109=6,"Final escalation completed.",IF($U109="OVERDUE","Next: "&amp;$AC109&amp;" was due "&amp;TEXT($AB109,"dd-mmm")&amp;" - "&amp;(NETWORKDAYS($AB109,TODAY(),Holidays)-1)&amp;" business day(s) late. Send now.",IF($U109="DUE TOMORROW","Next: "&amp;$AC109&amp;IF($AB109&lt;=TODAY()," is due TODAY ("," is due next business day (")&amp;TEXT($AB109,"dd-mmm")&amp;").","Next: "&amp;$AC109&amp;" due "&amp;TEXT($AB109,"dd-mmm")&amp;" ("&amp;(NETWORKDAYS(TODAY(),$AB109,Holidays)-1)&amp;" business day(s) left).")))))</f>
        <v/>
      </c>
      <c r="W109" s="17">
        <f>IF($Z109="","",CHOOSE($Z109,"Collection Email","1st Follow-up","2nd Follow-up","Local Office","CBE","Roxanne")&amp;IF($Z109=6," - Final"," - Day "&amp;MAX(0,NETWORKDAYS($AA109,TODAY(),Holidays)-1)&amp;" of "&amp;CHOOSE($Z109,3,3,2,2,3))&amp;" | Total Day "&amp;MAX(0,NETWORKDAYS($N109,TODAY(),Holidays)-1))</f>
        <v/>
      </c>
      <c r="X109" s="18"/>
      <c r="Y109" s="18"/>
      <c r="Z109" s="17">
        <f>IF($N109="","",COUNT($N109:$S109))</f>
        <v/>
      </c>
      <c r="AA109" s="19">
        <f>IF($Z109="","",INT(INDEX($N109:$S109,$Z109)))</f>
        <v/>
      </c>
      <c r="AB109" s="19">
        <f>IF(OR($Z109="",$Z109=6),"",WORKDAY($AA109,CHOOSE($Z109,3,3,2,2,3),Holidays))</f>
        <v/>
      </c>
      <c r="AC109" s="17">
        <f>IF(OR($Z109="",$Z109=6),"",CHOOSE($Z109,"1st Email Follow-up","2nd Email Follow-up","Escalate Local Office","Escalate to CBE","Escalate to Roxanne"))</f>
        <v/>
      </c>
    </row>
    <row r="110" spans="13:29">
      <c r="M110" s="14"/>
      <c r="T110" s="16"/>
      <c r="U110" s="17">
        <f>IF(AND(COUNTA($A110:$L110)=0,$N110=""),"",IF($T110="Paid","PAID",IF($T110="Closed","CLOSED",IF($Z110="","",IF($Z110=6,"ESCALATED TO ROXANNE",IF(TODAY()&gt;$AB110,"OVERDUE",IF($AB110&lt;=WORKDAY(TODAY(),1,Holidays),"DUE TOMORROW",IF($Z110=4,"ESCALATED TO LOCAL OFFICE",IF($Z110=5,"ESCALATED TO CBE",IF($AA110=TODAY(),"EMAIL SENT","MONITORING"))))))))))</f>
        <v/>
      </c>
      <c r="V110" s="17">
        <f>IF($U110="",IF(AND(COUNTA($A110:$L110)&gt;0,$N110=""),"Awaiting Collection Email time stamp.",""),IF(OR($U110="PAID",$U110="CLOSED"),IF($U110="PAID","Account paid. Action completed.","Account closed. No further action required."),CHOOSE($Z110,"Collection Email","1st Email Follow-up","2nd Email Follow-up","Escalation to Local Office","Escalation to CBE","Escalation to Roxanne")&amp;" sent "&amp;TEXT($AA110,"dd-mmm")&amp;". "&amp;IF($Z110=6,"Final escalation completed.",IF($U110="OVERDUE","Next: "&amp;$AC110&amp;" was due "&amp;TEXT($AB110,"dd-mmm")&amp;" - "&amp;(NETWORKDAYS($AB110,TODAY(),Holidays)-1)&amp;" business day(s) late. Send now.",IF($U110="DUE TOMORROW","Next: "&amp;$AC110&amp;IF($AB110&lt;=TODAY()," is due TODAY ("," is due next business day (")&amp;TEXT($AB110,"dd-mmm")&amp;").","Next: "&amp;$AC110&amp;" due "&amp;TEXT($AB110,"dd-mmm")&amp;" ("&amp;(NETWORKDAYS(TODAY(),$AB110,Holidays)-1)&amp;" business day(s) left).")))))</f>
        <v/>
      </c>
      <c r="W110" s="17">
        <f>IF($Z110="","",CHOOSE($Z110,"Collection Email","1st Follow-up","2nd Follow-up","Local Office","CBE","Roxanne")&amp;IF($Z110=6," - Final"," - Day "&amp;MAX(0,NETWORKDAYS($AA110,TODAY(),Holidays)-1)&amp;" of "&amp;CHOOSE($Z110,3,3,2,2,3))&amp;" | Total Day "&amp;MAX(0,NETWORKDAYS($N110,TODAY(),Holidays)-1))</f>
        <v/>
      </c>
      <c r="X110" s="18"/>
      <c r="Y110" s="18"/>
      <c r="Z110" s="17">
        <f>IF($N110="","",COUNT($N110:$S110))</f>
        <v/>
      </c>
      <c r="AA110" s="19">
        <f>IF($Z110="","",INT(INDEX($N110:$S110,$Z110)))</f>
        <v/>
      </c>
      <c r="AB110" s="19">
        <f>IF(OR($Z110="",$Z110=6),"",WORKDAY($AA110,CHOOSE($Z110,3,3,2,2,3),Holidays))</f>
        <v/>
      </c>
      <c r="AC110" s="17">
        <f>IF(OR($Z110="",$Z110=6),"",CHOOSE($Z110,"1st Email Follow-up","2nd Email Follow-up","Escalate Local Office","Escalate to CBE","Escalate to Roxanne"))</f>
        <v/>
      </c>
    </row>
    <row r="111" spans="13:29">
      <c r="M111" s="14"/>
      <c r="T111" s="16"/>
      <c r="U111" s="17">
        <f>IF(AND(COUNTA($A111:$L111)=0,$N111=""),"",IF($T111="Paid","PAID",IF($T111="Closed","CLOSED",IF($Z111="","",IF($Z111=6,"ESCALATED TO ROXANNE",IF(TODAY()&gt;$AB111,"OVERDUE",IF($AB111&lt;=WORKDAY(TODAY(),1,Holidays),"DUE TOMORROW",IF($Z111=4,"ESCALATED TO LOCAL OFFICE",IF($Z111=5,"ESCALATED TO CBE",IF($AA111=TODAY(),"EMAIL SENT","MONITORING"))))))))))</f>
        <v/>
      </c>
      <c r="V111" s="17">
        <f>IF($U111="",IF(AND(COUNTA($A111:$L111)&gt;0,$N111=""),"Awaiting Collection Email time stamp.",""),IF(OR($U111="PAID",$U111="CLOSED"),IF($U111="PAID","Account paid. Action completed.","Account closed. No further action required."),CHOOSE($Z111,"Collection Email","1st Email Follow-up","2nd Email Follow-up","Escalation to Local Office","Escalation to CBE","Escalation to Roxanne")&amp;" sent "&amp;TEXT($AA111,"dd-mmm")&amp;". "&amp;IF($Z111=6,"Final escalation completed.",IF($U111="OVERDUE","Next: "&amp;$AC111&amp;" was due "&amp;TEXT($AB111,"dd-mmm")&amp;" - "&amp;(NETWORKDAYS($AB111,TODAY(),Holidays)-1)&amp;" business day(s) late. Send now.",IF($U111="DUE TOMORROW","Next: "&amp;$AC111&amp;IF($AB111&lt;=TODAY()," is due TODAY ("," is due next business day (")&amp;TEXT($AB111,"dd-mmm")&amp;").","Next: "&amp;$AC111&amp;" due "&amp;TEXT($AB111,"dd-mmm")&amp;" ("&amp;(NETWORKDAYS(TODAY(),$AB111,Holidays)-1)&amp;" business day(s) left).")))))</f>
        <v/>
      </c>
      <c r="W111" s="17">
        <f>IF($Z111="","",CHOOSE($Z111,"Collection Email","1st Follow-up","2nd Follow-up","Local Office","CBE","Roxanne")&amp;IF($Z111=6," - Final"," - Day "&amp;MAX(0,NETWORKDAYS($AA111,TODAY(),Holidays)-1)&amp;" of "&amp;CHOOSE($Z111,3,3,2,2,3))&amp;" | Total Day "&amp;MAX(0,NETWORKDAYS($N111,TODAY(),Holidays)-1))</f>
        <v/>
      </c>
      <c r="X111" s="18"/>
      <c r="Y111" s="18"/>
      <c r="Z111" s="17">
        <f>IF($N111="","",COUNT($N111:$S111))</f>
        <v/>
      </c>
      <c r="AA111" s="19">
        <f>IF($Z111="","",INT(INDEX($N111:$S111,$Z111)))</f>
        <v/>
      </c>
      <c r="AB111" s="19">
        <f>IF(OR($Z111="",$Z111=6),"",WORKDAY($AA111,CHOOSE($Z111,3,3,2,2,3),Holidays))</f>
        <v/>
      </c>
      <c r="AC111" s="17">
        <f>IF(OR($Z111="",$Z111=6),"",CHOOSE($Z111,"1st Email Follow-up","2nd Email Follow-up","Escalate Local Office","Escalate to CBE","Escalate to Roxanne"))</f>
        <v/>
      </c>
    </row>
    <row r="112" spans="13:29">
      <c r="M112" s="14"/>
      <c r="T112" s="16"/>
      <c r="U112" s="17">
        <f>IF(AND(COUNTA($A112:$L112)=0,$N112=""),"",IF($T112="Paid","PAID",IF($T112="Closed","CLOSED",IF($Z112="","",IF($Z112=6,"ESCALATED TO ROXANNE",IF(TODAY()&gt;$AB112,"OVERDUE",IF($AB112&lt;=WORKDAY(TODAY(),1,Holidays),"DUE TOMORROW",IF($Z112=4,"ESCALATED TO LOCAL OFFICE",IF($Z112=5,"ESCALATED TO CBE",IF($AA112=TODAY(),"EMAIL SENT","MONITORING"))))))))))</f>
        <v/>
      </c>
      <c r="V112" s="17">
        <f>IF($U112="",IF(AND(COUNTA($A112:$L112)&gt;0,$N112=""),"Awaiting Collection Email time stamp.",""),IF(OR($U112="PAID",$U112="CLOSED"),IF($U112="PAID","Account paid. Action completed.","Account closed. No further action required."),CHOOSE($Z112,"Collection Email","1st Email Follow-up","2nd Email Follow-up","Escalation to Local Office","Escalation to CBE","Escalation to Roxanne")&amp;" sent "&amp;TEXT($AA112,"dd-mmm")&amp;". "&amp;IF($Z112=6,"Final escalation completed.",IF($U112="OVERDUE","Next: "&amp;$AC112&amp;" was due "&amp;TEXT($AB112,"dd-mmm")&amp;" - "&amp;(NETWORKDAYS($AB112,TODAY(),Holidays)-1)&amp;" business day(s) late. Send now.",IF($U112="DUE TOMORROW","Next: "&amp;$AC112&amp;IF($AB112&lt;=TODAY()," is due TODAY ("," is due next business day (")&amp;TEXT($AB112,"dd-mmm")&amp;").","Next: "&amp;$AC112&amp;" due "&amp;TEXT($AB112,"dd-mmm")&amp;" ("&amp;(NETWORKDAYS(TODAY(),$AB112,Holidays)-1)&amp;" business day(s) left).")))))</f>
        <v/>
      </c>
      <c r="W112" s="17">
        <f>IF($Z112="","",CHOOSE($Z112,"Collection Email","1st Follow-up","2nd Follow-up","Local Office","CBE","Roxanne")&amp;IF($Z112=6," - Final"," - Day "&amp;MAX(0,NETWORKDAYS($AA112,TODAY(),Holidays)-1)&amp;" of "&amp;CHOOSE($Z112,3,3,2,2,3))&amp;" | Total Day "&amp;MAX(0,NETWORKDAYS($N112,TODAY(),Holidays)-1))</f>
        <v/>
      </c>
      <c r="X112" s="18"/>
      <c r="Y112" s="18"/>
      <c r="Z112" s="17">
        <f>IF($N112="","",COUNT($N112:$S112))</f>
        <v/>
      </c>
      <c r="AA112" s="19">
        <f>IF($Z112="","",INT(INDEX($N112:$S112,$Z112)))</f>
        <v/>
      </c>
      <c r="AB112" s="19">
        <f>IF(OR($Z112="",$Z112=6),"",WORKDAY($AA112,CHOOSE($Z112,3,3,2,2,3),Holidays))</f>
        <v/>
      </c>
      <c r="AC112" s="17">
        <f>IF(OR($Z112="",$Z112=6),"",CHOOSE($Z112,"1st Email Follow-up","2nd Email Follow-up","Escalate Local Office","Escalate to CBE","Escalate to Roxanne"))</f>
        <v/>
      </c>
    </row>
    <row r="113" spans="13:29">
      <c r="M113" s="14"/>
      <c r="T113" s="16"/>
      <c r="U113" s="17">
        <f>IF(AND(COUNTA($A113:$L113)=0,$N113=""),"",IF($T113="Paid","PAID",IF($T113="Closed","CLOSED",IF($Z113="","",IF($Z113=6,"ESCALATED TO ROXANNE",IF(TODAY()&gt;$AB113,"OVERDUE",IF($AB113&lt;=WORKDAY(TODAY(),1,Holidays),"DUE TOMORROW",IF($Z113=4,"ESCALATED TO LOCAL OFFICE",IF($Z113=5,"ESCALATED TO CBE",IF($AA113=TODAY(),"EMAIL SENT","MONITORING"))))))))))</f>
        <v/>
      </c>
      <c r="V113" s="17">
        <f>IF($U113="",IF(AND(COUNTA($A113:$L113)&gt;0,$N113=""),"Awaiting Collection Email time stamp.",""),IF(OR($U113="PAID",$U113="CLOSED"),IF($U113="PAID","Account paid. Action completed.","Account closed. No further action required."),CHOOSE($Z113,"Collection Email","1st Email Follow-up","2nd Email Follow-up","Escalation to Local Office","Escalation to CBE","Escalation to Roxanne")&amp;" sent "&amp;TEXT($AA113,"dd-mmm")&amp;". "&amp;IF($Z113=6,"Final escalation completed.",IF($U113="OVERDUE","Next: "&amp;$AC113&amp;" was due "&amp;TEXT($AB113,"dd-mmm")&amp;" - "&amp;(NETWORKDAYS($AB113,TODAY(),Holidays)-1)&amp;" business day(s) late. Send now.",IF($U113="DUE TOMORROW","Next: "&amp;$AC113&amp;IF($AB113&lt;=TODAY()," is due TODAY ("," is due next business day (")&amp;TEXT($AB113,"dd-mmm")&amp;").","Next: "&amp;$AC113&amp;" due "&amp;TEXT($AB113,"dd-mmm")&amp;" ("&amp;(NETWORKDAYS(TODAY(),$AB113,Holidays)-1)&amp;" business day(s) left).")))))</f>
        <v/>
      </c>
      <c r="W113" s="17">
        <f>IF($Z113="","",CHOOSE($Z113,"Collection Email","1st Follow-up","2nd Follow-up","Local Office","CBE","Roxanne")&amp;IF($Z113=6," - Final"," - Day "&amp;MAX(0,NETWORKDAYS($AA113,TODAY(),Holidays)-1)&amp;" of "&amp;CHOOSE($Z113,3,3,2,2,3))&amp;" | Total Day "&amp;MAX(0,NETWORKDAYS($N113,TODAY(),Holidays)-1))</f>
        <v/>
      </c>
      <c r="X113" s="18"/>
      <c r="Y113" s="18"/>
      <c r="Z113" s="17">
        <f>IF($N113="","",COUNT($N113:$S113))</f>
        <v/>
      </c>
      <c r="AA113" s="19">
        <f>IF($Z113="","",INT(INDEX($N113:$S113,$Z113)))</f>
        <v/>
      </c>
      <c r="AB113" s="19">
        <f>IF(OR($Z113="",$Z113=6),"",WORKDAY($AA113,CHOOSE($Z113,3,3,2,2,3),Holidays))</f>
        <v/>
      </c>
      <c r="AC113" s="17">
        <f>IF(OR($Z113="",$Z113=6),"",CHOOSE($Z113,"1st Email Follow-up","2nd Email Follow-up","Escalate Local Office","Escalate to CBE","Escalate to Roxanne"))</f>
        <v/>
      </c>
    </row>
    <row r="114" spans="13:29">
      <c r="M114" s="14"/>
      <c r="T114" s="16"/>
      <c r="U114" s="17">
        <f>IF(AND(COUNTA($A114:$L114)=0,$N114=""),"",IF($T114="Paid","PAID",IF($T114="Closed","CLOSED",IF($Z114="","",IF($Z114=6,"ESCALATED TO ROXANNE",IF(TODAY()&gt;$AB114,"OVERDUE",IF($AB114&lt;=WORKDAY(TODAY(),1,Holidays),"DUE TOMORROW",IF($Z114=4,"ESCALATED TO LOCAL OFFICE",IF($Z114=5,"ESCALATED TO CBE",IF($AA114=TODAY(),"EMAIL SENT","MONITORING"))))))))))</f>
        <v/>
      </c>
      <c r="V114" s="17">
        <f>IF($U114="",IF(AND(COUNTA($A114:$L114)&gt;0,$N114=""),"Awaiting Collection Email time stamp.",""),IF(OR($U114="PAID",$U114="CLOSED"),IF($U114="PAID","Account paid. Action completed.","Account closed. No further action required."),CHOOSE($Z114,"Collection Email","1st Email Follow-up","2nd Email Follow-up","Escalation to Local Office","Escalation to CBE","Escalation to Roxanne")&amp;" sent "&amp;TEXT($AA114,"dd-mmm")&amp;". "&amp;IF($Z114=6,"Final escalation completed.",IF($U114="OVERDUE","Next: "&amp;$AC114&amp;" was due "&amp;TEXT($AB114,"dd-mmm")&amp;" - "&amp;(NETWORKDAYS($AB114,TODAY(),Holidays)-1)&amp;" business day(s) late. Send now.",IF($U114="DUE TOMORROW","Next: "&amp;$AC114&amp;IF($AB114&lt;=TODAY()," is due TODAY ("," is due next business day (")&amp;TEXT($AB114,"dd-mmm")&amp;").","Next: "&amp;$AC114&amp;" due "&amp;TEXT($AB114,"dd-mmm")&amp;" ("&amp;(NETWORKDAYS(TODAY(),$AB114,Holidays)-1)&amp;" business day(s) left).")))))</f>
        <v/>
      </c>
      <c r="W114" s="17">
        <f>IF($Z114="","",CHOOSE($Z114,"Collection Email","1st Follow-up","2nd Follow-up","Local Office","CBE","Roxanne")&amp;IF($Z114=6," - Final"," - Day "&amp;MAX(0,NETWORKDAYS($AA114,TODAY(),Holidays)-1)&amp;" of "&amp;CHOOSE($Z114,3,3,2,2,3))&amp;" | Total Day "&amp;MAX(0,NETWORKDAYS($N114,TODAY(),Holidays)-1))</f>
        <v/>
      </c>
      <c r="X114" s="18"/>
      <c r="Y114" s="18"/>
      <c r="Z114" s="17">
        <f>IF($N114="","",COUNT($N114:$S114))</f>
        <v/>
      </c>
      <c r="AA114" s="19">
        <f>IF($Z114="","",INT(INDEX($N114:$S114,$Z114)))</f>
        <v/>
      </c>
      <c r="AB114" s="19">
        <f>IF(OR($Z114="",$Z114=6),"",WORKDAY($AA114,CHOOSE($Z114,3,3,2,2,3),Holidays))</f>
        <v/>
      </c>
      <c r="AC114" s="17">
        <f>IF(OR($Z114="",$Z114=6),"",CHOOSE($Z114,"1st Email Follow-up","2nd Email Follow-up","Escalate Local Office","Escalate to CBE","Escalate to Roxanne"))</f>
        <v/>
      </c>
    </row>
    <row r="115" spans="13:29">
      <c r="M115" s="14"/>
      <c r="T115" s="16"/>
      <c r="U115" s="17">
        <f>IF(AND(COUNTA($A115:$L115)=0,$N115=""),"",IF($T115="Paid","PAID",IF($T115="Closed","CLOSED",IF($Z115="","",IF($Z115=6,"ESCALATED TO ROXANNE",IF(TODAY()&gt;$AB115,"OVERDUE",IF($AB115&lt;=WORKDAY(TODAY(),1,Holidays),"DUE TOMORROW",IF($Z115=4,"ESCALATED TO LOCAL OFFICE",IF($Z115=5,"ESCALATED TO CBE",IF($AA115=TODAY(),"EMAIL SENT","MONITORING"))))))))))</f>
        <v/>
      </c>
      <c r="V115" s="17">
        <f>IF($U115="",IF(AND(COUNTA($A115:$L115)&gt;0,$N115=""),"Awaiting Collection Email time stamp.",""),IF(OR($U115="PAID",$U115="CLOSED"),IF($U115="PAID","Account paid. Action completed.","Account closed. No further action required."),CHOOSE($Z115,"Collection Email","1st Email Follow-up","2nd Email Follow-up","Escalation to Local Office","Escalation to CBE","Escalation to Roxanne")&amp;" sent "&amp;TEXT($AA115,"dd-mmm")&amp;". "&amp;IF($Z115=6,"Final escalation completed.",IF($U115="OVERDUE","Next: "&amp;$AC115&amp;" was due "&amp;TEXT($AB115,"dd-mmm")&amp;" - "&amp;(NETWORKDAYS($AB115,TODAY(),Holidays)-1)&amp;" business day(s) late. Send now.",IF($U115="DUE TOMORROW","Next: "&amp;$AC115&amp;IF($AB115&lt;=TODAY()," is due TODAY ("," is due next business day (")&amp;TEXT($AB115,"dd-mmm")&amp;").","Next: "&amp;$AC115&amp;" due "&amp;TEXT($AB115,"dd-mmm")&amp;" ("&amp;(NETWORKDAYS(TODAY(),$AB115,Holidays)-1)&amp;" business day(s) left).")))))</f>
        <v/>
      </c>
      <c r="W115" s="17">
        <f>IF($Z115="","",CHOOSE($Z115,"Collection Email","1st Follow-up","2nd Follow-up","Local Office","CBE","Roxanne")&amp;IF($Z115=6," - Final"," - Day "&amp;MAX(0,NETWORKDAYS($AA115,TODAY(),Holidays)-1)&amp;" of "&amp;CHOOSE($Z115,3,3,2,2,3))&amp;" | Total Day "&amp;MAX(0,NETWORKDAYS($N115,TODAY(),Holidays)-1))</f>
        <v/>
      </c>
      <c r="X115" s="18"/>
      <c r="Y115" s="18"/>
      <c r="Z115" s="17">
        <f>IF($N115="","",COUNT($N115:$S115))</f>
        <v/>
      </c>
      <c r="AA115" s="19">
        <f>IF($Z115="","",INT(INDEX($N115:$S115,$Z115)))</f>
        <v/>
      </c>
      <c r="AB115" s="19">
        <f>IF(OR($Z115="",$Z115=6),"",WORKDAY($AA115,CHOOSE($Z115,3,3,2,2,3),Holidays))</f>
        <v/>
      </c>
      <c r="AC115" s="17">
        <f>IF(OR($Z115="",$Z115=6),"",CHOOSE($Z115,"1st Email Follow-up","2nd Email Follow-up","Escalate Local Office","Escalate to CBE","Escalate to Roxanne"))</f>
        <v/>
      </c>
    </row>
    <row r="116" spans="13:29">
      <c r="M116" s="14"/>
      <c r="T116" s="16"/>
      <c r="U116" s="17">
        <f>IF(AND(COUNTA($A116:$L116)=0,$N116=""),"",IF($T116="Paid","PAID",IF($T116="Closed","CLOSED",IF($Z116="","",IF($Z116=6,"ESCALATED TO ROXANNE",IF(TODAY()&gt;$AB116,"OVERDUE",IF($AB116&lt;=WORKDAY(TODAY(),1,Holidays),"DUE TOMORROW",IF($Z116=4,"ESCALATED TO LOCAL OFFICE",IF($Z116=5,"ESCALATED TO CBE",IF($AA116=TODAY(),"EMAIL SENT","MONITORING"))))))))))</f>
        <v/>
      </c>
      <c r="V116" s="17">
        <f>IF($U116="",IF(AND(COUNTA($A116:$L116)&gt;0,$N116=""),"Awaiting Collection Email time stamp.",""),IF(OR($U116="PAID",$U116="CLOSED"),IF($U116="PAID","Account paid. Action completed.","Account closed. No further action required."),CHOOSE($Z116,"Collection Email","1st Email Follow-up","2nd Email Follow-up","Escalation to Local Office","Escalation to CBE","Escalation to Roxanne")&amp;" sent "&amp;TEXT($AA116,"dd-mmm")&amp;". "&amp;IF($Z116=6,"Final escalation completed.",IF($U116="OVERDUE","Next: "&amp;$AC116&amp;" was due "&amp;TEXT($AB116,"dd-mmm")&amp;" - "&amp;(NETWORKDAYS($AB116,TODAY(),Holidays)-1)&amp;" business day(s) late. Send now.",IF($U116="DUE TOMORROW","Next: "&amp;$AC116&amp;IF($AB116&lt;=TODAY()," is due TODAY ("," is due next business day (")&amp;TEXT($AB116,"dd-mmm")&amp;").","Next: "&amp;$AC116&amp;" due "&amp;TEXT($AB116,"dd-mmm")&amp;" ("&amp;(NETWORKDAYS(TODAY(),$AB116,Holidays)-1)&amp;" business day(s) left).")))))</f>
        <v/>
      </c>
      <c r="W116" s="17">
        <f>IF($Z116="","",CHOOSE($Z116,"Collection Email","1st Follow-up","2nd Follow-up","Local Office","CBE","Roxanne")&amp;IF($Z116=6," - Final"," - Day "&amp;MAX(0,NETWORKDAYS($AA116,TODAY(),Holidays)-1)&amp;" of "&amp;CHOOSE($Z116,3,3,2,2,3))&amp;" | Total Day "&amp;MAX(0,NETWORKDAYS($N116,TODAY(),Holidays)-1))</f>
        <v/>
      </c>
      <c r="X116" s="18"/>
      <c r="Y116" s="18"/>
      <c r="Z116" s="17">
        <f>IF($N116="","",COUNT($N116:$S116))</f>
        <v/>
      </c>
      <c r="AA116" s="19">
        <f>IF($Z116="","",INT(INDEX($N116:$S116,$Z116)))</f>
        <v/>
      </c>
      <c r="AB116" s="19">
        <f>IF(OR($Z116="",$Z116=6),"",WORKDAY($AA116,CHOOSE($Z116,3,3,2,2,3),Holidays))</f>
        <v/>
      </c>
      <c r="AC116" s="17">
        <f>IF(OR($Z116="",$Z116=6),"",CHOOSE($Z116,"1st Email Follow-up","2nd Email Follow-up","Escalate Local Office","Escalate to CBE","Escalate to Roxanne"))</f>
        <v/>
      </c>
    </row>
    <row r="117" spans="13:29">
      <c r="M117" s="14"/>
      <c r="T117" s="16"/>
      <c r="U117" s="17">
        <f>IF(AND(COUNTA($A117:$L117)=0,$N117=""),"",IF($T117="Paid","PAID",IF($T117="Closed","CLOSED",IF($Z117="","",IF($Z117=6,"ESCALATED TO ROXANNE",IF(TODAY()&gt;$AB117,"OVERDUE",IF($AB117&lt;=WORKDAY(TODAY(),1,Holidays),"DUE TOMORROW",IF($Z117=4,"ESCALATED TO LOCAL OFFICE",IF($Z117=5,"ESCALATED TO CBE",IF($AA117=TODAY(),"EMAIL SENT","MONITORING"))))))))))</f>
        <v/>
      </c>
      <c r="V117" s="17">
        <f>IF($U117="",IF(AND(COUNTA($A117:$L117)&gt;0,$N117=""),"Awaiting Collection Email time stamp.",""),IF(OR($U117="PAID",$U117="CLOSED"),IF($U117="PAID","Account paid. Action completed.","Account closed. No further action required."),CHOOSE($Z117,"Collection Email","1st Email Follow-up","2nd Email Follow-up","Escalation to Local Office","Escalation to CBE","Escalation to Roxanne")&amp;" sent "&amp;TEXT($AA117,"dd-mmm")&amp;". "&amp;IF($Z117=6,"Final escalation completed.",IF($U117="OVERDUE","Next: "&amp;$AC117&amp;" was due "&amp;TEXT($AB117,"dd-mmm")&amp;" - "&amp;(NETWORKDAYS($AB117,TODAY(),Holidays)-1)&amp;" business day(s) late. Send now.",IF($U117="DUE TOMORROW","Next: "&amp;$AC117&amp;IF($AB117&lt;=TODAY()," is due TODAY ("," is due next business day (")&amp;TEXT($AB117,"dd-mmm")&amp;").","Next: "&amp;$AC117&amp;" due "&amp;TEXT($AB117,"dd-mmm")&amp;" ("&amp;(NETWORKDAYS(TODAY(),$AB117,Holidays)-1)&amp;" business day(s) left).")))))</f>
        <v/>
      </c>
      <c r="W117" s="17">
        <f>IF($Z117="","",CHOOSE($Z117,"Collection Email","1st Follow-up","2nd Follow-up","Local Office","CBE","Roxanne")&amp;IF($Z117=6," - Final"," - Day "&amp;MAX(0,NETWORKDAYS($AA117,TODAY(),Holidays)-1)&amp;" of "&amp;CHOOSE($Z117,3,3,2,2,3))&amp;" | Total Day "&amp;MAX(0,NETWORKDAYS($N117,TODAY(),Holidays)-1))</f>
        <v/>
      </c>
      <c r="X117" s="18"/>
      <c r="Y117" s="18"/>
      <c r="Z117" s="17">
        <f>IF($N117="","",COUNT($N117:$S117))</f>
        <v/>
      </c>
      <c r="AA117" s="19">
        <f>IF($Z117="","",INT(INDEX($N117:$S117,$Z117)))</f>
        <v/>
      </c>
      <c r="AB117" s="19">
        <f>IF(OR($Z117="",$Z117=6),"",WORKDAY($AA117,CHOOSE($Z117,3,3,2,2,3),Holidays))</f>
        <v/>
      </c>
      <c r="AC117" s="17">
        <f>IF(OR($Z117="",$Z117=6),"",CHOOSE($Z117,"1st Email Follow-up","2nd Email Follow-up","Escalate Local Office","Escalate to CBE","Escalate to Roxanne"))</f>
        <v/>
      </c>
    </row>
    <row r="118" spans="13:29">
      <c r="M118" s="14"/>
      <c r="T118" s="16"/>
      <c r="U118" s="17">
        <f>IF(AND(COUNTA($A118:$L118)=0,$N118=""),"",IF($T118="Paid","PAID",IF($T118="Closed","CLOSED",IF($Z118="","",IF($Z118=6,"ESCALATED TO ROXANNE",IF(TODAY()&gt;$AB118,"OVERDUE",IF($AB118&lt;=WORKDAY(TODAY(),1,Holidays),"DUE TOMORROW",IF($Z118=4,"ESCALATED TO LOCAL OFFICE",IF($Z118=5,"ESCALATED TO CBE",IF($AA118=TODAY(),"EMAIL SENT","MONITORING"))))))))))</f>
        <v/>
      </c>
      <c r="V118" s="17">
        <f>IF($U118="",IF(AND(COUNTA($A118:$L118)&gt;0,$N118=""),"Awaiting Collection Email time stamp.",""),IF(OR($U118="PAID",$U118="CLOSED"),IF($U118="PAID","Account paid. Action completed.","Account closed. No further action required."),CHOOSE($Z118,"Collection Email","1st Email Follow-up","2nd Email Follow-up","Escalation to Local Office","Escalation to CBE","Escalation to Roxanne")&amp;" sent "&amp;TEXT($AA118,"dd-mmm")&amp;". "&amp;IF($Z118=6,"Final escalation completed.",IF($U118="OVERDUE","Next: "&amp;$AC118&amp;" was due "&amp;TEXT($AB118,"dd-mmm")&amp;" - "&amp;(NETWORKDAYS($AB118,TODAY(),Holidays)-1)&amp;" business day(s) late. Send now.",IF($U118="DUE TOMORROW","Next: "&amp;$AC118&amp;IF($AB118&lt;=TODAY()," is due TODAY ("," is due next business day (")&amp;TEXT($AB118,"dd-mmm")&amp;").","Next: "&amp;$AC118&amp;" due "&amp;TEXT($AB118,"dd-mmm")&amp;" ("&amp;(NETWORKDAYS(TODAY(),$AB118,Holidays)-1)&amp;" business day(s) left).")))))</f>
        <v/>
      </c>
      <c r="W118" s="17">
        <f>IF($Z118="","",CHOOSE($Z118,"Collection Email","1st Follow-up","2nd Follow-up","Local Office","CBE","Roxanne")&amp;IF($Z118=6," - Final"," - Day "&amp;MAX(0,NETWORKDAYS($AA118,TODAY(),Holidays)-1)&amp;" of "&amp;CHOOSE($Z118,3,3,2,2,3))&amp;" | Total Day "&amp;MAX(0,NETWORKDAYS($N118,TODAY(),Holidays)-1))</f>
        <v/>
      </c>
      <c r="X118" s="18"/>
      <c r="Y118" s="18"/>
      <c r="Z118" s="17">
        <f>IF($N118="","",COUNT($N118:$S118))</f>
        <v/>
      </c>
      <c r="AA118" s="19">
        <f>IF($Z118="","",INT(INDEX($N118:$S118,$Z118)))</f>
        <v/>
      </c>
      <c r="AB118" s="19">
        <f>IF(OR($Z118="",$Z118=6),"",WORKDAY($AA118,CHOOSE($Z118,3,3,2,2,3),Holidays))</f>
        <v/>
      </c>
      <c r="AC118" s="17">
        <f>IF(OR($Z118="",$Z118=6),"",CHOOSE($Z118,"1st Email Follow-up","2nd Email Follow-up","Escalate Local Office","Escalate to CBE","Escalate to Roxanne"))</f>
        <v/>
      </c>
    </row>
    <row r="119" spans="13:29">
      <c r="M119" s="14"/>
      <c r="T119" s="16"/>
      <c r="U119" s="17">
        <f>IF(AND(COUNTA($A119:$L119)=0,$N119=""),"",IF($T119="Paid","PAID",IF($T119="Closed","CLOSED",IF($Z119="","",IF($Z119=6,"ESCALATED TO ROXANNE",IF(TODAY()&gt;$AB119,"OVERDUE",IF($AB119&lt;=WORKDAY(TODAY(),1,Holidays),"DUE TOMORROW",IF($Z119=4,"ESCALATED TO LOCAL OFFICE",IF($Z119=5,"ESCALATED TO CBE",IF($AA119=TODAY(),"EMAIL SENT","MONITORING"))))))))))</f>
        <v/>
      </c>
      <c r="V119" s="17">
        <f>IF($U119="",IF(AND(COUNTA($A119:$L119)&gt;0,$N119=""),"Awaiting Collection Email time stamp.",""),IF(OR($U119="PAID",$U119="CLOSED"),IF($U119="PAID","Account paid. Action completed.","Account closed. No further action required."),CHOOSE($Z119,"Collection Email","1st Email Follow-up","2nd Email Follow-up","Escalation to Local Office","Escalation to CBE","Escalation to Roxanne")&amp;" sent "&amp;TEXT($AA119,"dd-mmm")&amp;". "&amp;IF($Z119=6,"Final escalation completed.",IF($U119="OVERDUE","Next: "&amp;$AC119&amp;" was due "&amp;TEXT($AB119,"dd-mmm")&amp;" - "&amp;(NETWORKDAYS($AB119,TODAY(),Holidays)-1)&amp;" business day(s) late. Send now.",IF($U119="DUE TOMORROW","Next: "&amp;$AC119&amp;IF($AB119&lt;=TODAY()," is due TODAY ("," is due next business day (")&amp;TEXT($AB119,"dd-mmm")&amp;").","Next: "&amp;$AC119&amp;" due "&amp;TEXT($AB119,"dd-mmm")&amp;" ("&amp;(NETWORKDAYS(TODAY(),$AB119,Holidays)-1)&amp;" business day(s) left).")))))</f>
        <v/>
      </c>
      <c r="W119" s="17">
        <f>IF($Z119="","",CHOOSE($Z119,"Collection Email","1st Follow-up","2nd Follow-up","Local Office","CBE","Roxanne")&amp;IF($Z119=6," - Final"," - Day "&amp;MAX(0,NETWORKDAYS($AA119,TODAY(),Holidays)-1)&amp;" of "&amp;CHOOSE($Z119,3,3,2,2,3))&amp;" | Total Day "&amp;MAX(0,NETWORKDAYS($N119,TODAY(),Holidays)-1))</f>
        <v/>
      </c>
      <c r="X119" s="18"/>
      <c r="Y119" s="18"/>
      <c r="Z119" s="17">
        <f>IF($N119="","",COUNT($N119:$S119))</f>
        <v/>
      </c>
      <c r="AA119" s="19">
        <f>IF($Z119="","",INT(INDEX($N119:$S119,$Z119)))</f>
        <v/>
      </c>
      <c r="AB119" s="19">
        <f>IF(OR($Z119="",$Z119=6),"",WORKDAY($AA119,CHOOSE($Z119,3,3,2,2,3),Holidays))</f>
        <v/>
      </c>
      <c r="AC119" s="17">
        <f>IF(OR($Z119="",$Z119=6),"",CHOOSE($Z119,"1st Email Follow-up","2nd Email Follow-up","Escalate Local Office","Escalate to CBE","Escalate to Roxanne"))</f>
        <v/>
      </c>
    </row>
    <row r="120" spans="13:29">
      <c r="M120" s="14"/>
      <c r="T120" s="16"/>
      <c r="U120" s="17">
        <f>IF(AND(COUNTA($A120:$L120)=0,$N120=""),"",IF($T120="Paid","PAID",IF($T120="Closed","CLOSED",IF($Z120="","",IF($Z120=6,"ESCALATED TO ROXANNE",IF(TODAY()&gt;$AB120,"OVERDUE",IF($AB120&lt;=WORKDAY(TODAY(),1,Holidays),"DUE TOMORROW",IF($Z120=4,"ESCALATED TO LOCAL OFFICE",IF($Z120=5,"ESCALATED TO CBE",IF($AA120=TODAY(),"EMAIL SENT","MONITORING"))))))))))</f>
        <v/>
      </c>
      <c r="V120" s="17">
        <f>IF($U120="",IF(AND(COUNTA($A120:$L120)&gt;0,$N120=""),"Awaiting Collection Email time stamp.",""),IF(OR($U120="PAID",$U120="CLOSED"),IF($U120="PAID","Account paid. Action completed.","Account closed. No further action required."),CHOOSE($Z120,"Collection Email","1st Email Follow-up","2nd Email Follow-up","Escalation to Local Office","Escalation to CBE","Escalation to Roxanne")&amp;" sent "&amp;TEXT($AA120,"dd-mmm")&amp;". "&amp;IF($Z120=6,"Final escalation completed.",IF($U120="OVERDUE","Next: "&amp;$AC120&amp;" was due "&amp;TEXT($AB120,"dd-mmm")&amp;" - "&amp;(NETWORKDAYS($AB120,TODAY(),Holidays)-1)&amp;" business day(s) late. Send now.",IF($U120="DUE TOMORROW","Next: "&amp;$AC120&amp;IF($AB120&lt;=TODAY()," is due TODAY ("," is due next business day (")&amp;TEXT($AB120,"dd-mmm")&amp;").","Next: "&amp;$AC120&amp;" due "&amp;TEXT($AB120,"dd-mmm")&amp;" ("&amp;(NETWORKDAYS(TODAY(),$AB120,Holidays)-1)&amp;" business day(s) left).")))))</f>
        <v/>
      </c>
      <c r="W120" s="17">
        <f>IF($Z120="","",CHOOSE($Z120,"Collection Email","1st Follow-up","2nd Follow-up","Local Office","CBE","Roxanne")&amp;IF($Z120=6," - Final"," - Day "&amp;MAX(0,NETWORKDAYS($AA120,TODAY(),Holidays)-1)&amp;" of "&amp;CHOOSE($Z120,3,3,2,2,3))&amp;" | Total Day "&amp;MAX(0,NETWORKDAYS($N120,TODAY(),Holidays)-1))</f>
        <v/>
      </c>
      <c r="X120" s="18"/>
      <c r="Y120" s="18"/>
      <c r="Z120" s="17">
        <f>IF($N120="","",COUNT($N120:$S120))</f>
        <v/>
      </c>
      <c r="AA120" s="19">
        <f>IF($Z120="","",INT(INDEX($N120:$S120,$Z120)))</f>
        <v/>
      </c>
      <c r="AB120" s="19">
        <f>IF(OR($Z120="",$Z120=6),"",WORKDAY($AA120,CHOOSE($Z120,3,3,2,2,3),Holidays))</f>
        <v/>
      </c>
      <c r="AC120" s="17">
        <f>IF(OR($Z120="",$Z120=6),"",CHOOSE($Z120,"1st Email Follow-up","2nd Email Follow-up","Escalate Local Office","Escalate to CBE","Escalate to Roxanne"))</f>
        <v/>
      </c>
    </row>
    <row r="121" spans="13:29">
      <c r="M121" s="14"/>
      <c r="T121" s="16"/>
      <c r="U121" s="17">
        <f>IF(AND(COUNTA($A121:$L121)=0,$N121=""),"",IF($T121="Paid","PAID",IF($T121="Closed","CLOSED",IF($Z121="","",IF($Z121=6,"ESCALATED TO ROXANNE",IF(TODAY()&gt;$AB121,"OVERDUE",IF($AB121&lt;=WORKDAY(TODAY(),1,Holidays),"DUE TOMORROW",IF($Z121=4,"ESCALATED TO LOCAL OFFICE",IF($Z121=5,"ESCALATED TO CBE",IF($AA121=TODAY(),"EMAIL SENT","MONITORING"))))))))))</f>
        <v/>
      </c>
      <c r="V121" s="17">
        <f>IF($U121="",IF(AND(COUNTA($A121:$L121)&gt;0,$N121=""),"Awaiting Collection Email time stamp.",""),IF(OR($U121="PAID",$U121="CLOSED"),IF($U121="PAID","Account paid. Action completed.","Account closed. No further action required."),CHOOSE($Z121,"Collection Email","1st Email Follow-up","2nd Email Follow-up","Escalation to Local Office","Escalation to CBE","Escalation to Roxanne")&amp;" sent "&amp;TEXT($AA121,"dd-mmm")&amp;". "&amp;IF($Z121=6,"Final escalation completed.",IF($U121="OVERDUE","Next: "&amp;$AC121&amp;" was due "&amp;TEXT($AB121,"dd-mmm")&amp;" - "&amp;(NETWORKDAYS($AB121,TODAY(),Holidays)-1)&amp;" business day(s) late. Send now.",IF($U121="DUE TOMORROW","Next: "&amp;$AC121&amp;IF($AB121&lt;=TODAY()," is due TODAY ("," is due next business day (")&amp;TEXT($AB121,"dd-mmm")&amp;").","Next: "&amp;$AC121&amp;" due "&amp;TEXT($AB121,"dd-mmm")&amp;" ("&amp;(NETWORKDAYS(TODAY(),$AB121,Holidays)-1)&amp;" business day(s) left).")))))</f>
        <v/>
      </c>
      <c r="W121" s="17">
        <f>IF($Z121="","",CHOOSE($Z121,"Collection Email","1st Follow-up","2nd Follow-up","Local Office","CBE","Roxanne")&amp;IF($Z121=6," - Final"," - Day "&amp;MAX(0,NETWORKDAYS($AA121,TODAY(),Holidays)-1)&amp;" of "&amp;CHOOSE($Z121,3,3,2,2,3))&amp;" | Total Day "&amp;MAX(0,NETWORKDAYS($N121,TODAY(),Holidays)-1))</f>
        <v/>
      </c>
      <c r="X121" s="18"/>
      <c r="Y121" s="18"/>
      <c r="Z121" s="17">
        <f>IF($N121="","",COUNT($N121:$S121))</f>
        <v/>
      </c>
      <c r="AA121" s="19">
        <f>IF($Z121="","",INT(INDEX($N121:$S121,$Z121)))</f>
        <v/>
      </c>
      <c r="AB121" s="19">
        <f>IF(OR($Z121="",$Z121=6),"",WORKDAY($AA121,CHOOSE($Z121,3,3,2,2,3),Holidays))</f>
        <v/>
      </c>
      <c r="AC121" s="17">
        <f>IF(OR($Z121="",$Z121=6),"",CHOOSE($Z121,"1st Email Follow-up","2nd Email Follow-up","Escalate Local Office","Escalate to CBE","Escalate to Roxanne"))</f>
        <v/>
      </c>
    </row>
    <row r="122" spans="13:29">
      <c r="M122" s="14"/>
      <c r="T122" s="16"/>
      <c r="U122" s="17">
        <f>IF(AND(COUNTA($A122:$L122)=0,$N122=""),"",IF($T122="Paid","PAID",IF($T122="Closed","CLOSED",IF($Z122="","",IF($Z122=6,"ESCALATED TO ROXANNE",IF(TODAY()&gt;$AB122,"OVERDUE",IF($AB122&lt;=WORKDAY(TODAY(),1,Holidays),"DUE TOMORROW",IF($Z122=4,"ESCALATED TO LOCAL OFFICE",IF($Z122=5,"ESCALATED TO CBE",IF($AA122=TODAY(),"EMAIL SENT","MONITORING"))))))))))</f>
        <v/>
      </c>
      <c r="V122" s="17">
        <f>IF($U122="",IF(AND(COUNTA($A122:$L122)&gt;0,$N122=""),"Awaiting Collection Email time stamp.",""),IF(OR($U122="PAID",$U122="CLOSED"),IF($U122="PAID","Account paid. Action completed.","Account closed. No further action required."),CHOOSE($Z122,"Collection Email","1st Email Follow-up","2nd Email Follow-up","Escalation to Local Office","Escalation to CBE","Escalation to Roxanne")&amp;" sent "&amp;TEXT($AA122,"dd-mmm")&amp;". "&amp;IF($Z122=6,"Final escalation completed.",IF($U122="OVERDUE","Next: "&amp;$AC122&amp;" was due "&amp;TEXT($AB122,"dd-mmm")&amp;" - "&amp;(NETWORKDAYS($AB122,TODAY(),Holidays)-1)&amp;" business day(s) late. Send now.",IF($U122="DUE TOMORROW","Next: "&amp;$AC122&amp;IF($AB122&lt;=TODAY()," is due TODAY ("," is due next business day (")&amp;TEXT($AB122,"dd-mmm")&amp;").","Next: "&amp;$AC122&amp;" due "&amp;TEXT($AB122,"dd-mmm")&amp;" ("&amp;(NETWORKDAYS(TODAY(),$AB122,Holidays)-1)&amp;" business day(s) left).")))))</f>
        <v/>
      </c>
      <c r="W122" s="17">
        <f>IF($Z122="","",CHOOSE($Z122,"Collection Email","1st Follow-up","2nd Follow-up","Local Office","CBE","Roxanne")&amp;IF($Z122=6," - Final"," - Day "&amp;MAX(0,NETWORKDAYS($AA122,TODAY(),Holidays)-1)&amp;" of "&amp;CHOOSE($Z122,3,3,2,2,3))&amp;" | Total Day "&amp;MAX(0,NETWORKDAYS($N122,TODAY(),Holidays)-1))</f>
        <v/>
      </c>
      <c r="X122" s="18"/>
      <c r="Y122" s="18"/>
      <c r="Z122" s="17">
        <f>IF($N122="","",COUNT($N122:$S122))</f>
        <v/>
      </c>
      <c r="AA122" s="19">
        <f>IF($Z122="","",INT(INDEX($N122:$S122,$Z122)))</f>
        <v/>
      </c>
      <c r="AB122" s="19">
        <f>IF(OR($Z122="",$Z122=6),"",WORKDAY($AA122,CHOOSE($Z122,3,3,2,2,3),Holidays))</f>
        <v/>
      </c>
      <c r="AC122" s="17">
        <f>IF(OR($Z122="",$Z122=6),"",CHOOSE($Z122,"1st Email Follow-up","2nd Email Follow-up","Escalate Local Office","Escalate to CBE","Escalate to Roxanne"))</f>
        <v/>
      </c>
    </row>
    <row r="123" spans="13:29">
      <c r="M123" s="14"/>
      <c r="T123" s="16"/>
      <c r="U123" s="17">
        <f>IF(AND(COUNTA($A123:$L123)=0,$N123=""),"",IF($T123="Paid","PAID",IF($T123="Closed","CLOSED",IF($Z123="","",IF($Z123=6,"ESCALATED TO ROXANNE",IF(TODAY()&gt;$AB123,"OVERDUE",IF($AB123&lt;=WORKDAY(TODAY(),1,Holidays),"DUE TOMORROW",IF($Z123=4,"ESCALATED TO LOCAL OFFICE",IF($Z123=5,"ESCALATED TO CBE",IF($AA123=TODAY(),"EMAIL SENT","MONITORING"))))))))))</f>
        <v/>
      </c>
      <c r="V123" s="17">
        <f>IF($U123="",IF(AND(COUNTA($A123:$L123)&gt;0,$N123=""),"Awaiting Collection Email time stamp.",""),IF(OR($U123="PAID",$U123="CLOSED"),IF($U123="PAID","Account paid. Action completed.","Account closed. No further action required."),CHOOSE($Z123,"Collection Email","1st Email Follow-up","2nd Email Follow-up","Escalation to Local Office","Escalation to CBE","Escalation to Roxanne")&amp;" sent "&amp;TEXT($AA123,"dd-mmm")&amp;". "&amp;IF($Z123=6,"Final escalation completed.",IF($U123="OVERDUE","Next: "&amp;$AC123&amp;" was due "&amp;TEXT($AB123,"dd-mmm")&amp;" - "&amp;(NETWORKDAYS($AB123,TODAY(),Holidays)-1)&amp;" business day(s) late. Send now.",IF($U123="DUE TOMORROW","Next: "&amp;$AC123&amp;IF($AB123&lt;=TODAY()," is due TODAY ("," is due next business day (")&amp;TEXT($AB123,"dd-mmm")&amp;").","Next: "&amp;$AC123&amp;" due "&amp;TEXT($AB123,"dd-mmm")&amp;" ("&amp;(NETWORKDAYS(TODAY(),$AB123,Holidays)-1)&amp;" business day(s) left).")))))</f>
        <v/>
      </c>
      <c r="W123" s="17">
        <f>IF($Z123="","",CHOOSE($Z123,"Collection Email","1st Follow-up","2nd Follow-up","Local Office","CBE","Roxanne")&amp;IF($Z123=6," - Final"," - Day "&amp;MAX(0,NETWORKDAYS($AA123,TODAY(),Holidays)-1)&amp;" of "&amp;CHOOSE($Z123,3,3,2,2,3))&amp;" | Total Day "&amp;MAX(0,NETWORKDAYS($N123,TODAY(),Holidays)-1))</f>
        <v/>
      </c>
      <c r="X123" s="18"/>
      <c r="Y123" s="18"/>
      <c r="Z123" s="17">
        <f>IF($N123="","",COUNT($N123:$S123))</f>
        <v/>
      </c>
      <c r="AA123" s="19">
        <f>IF($Z123="","",INT(INDEX($N123:$S123,$Z123)))</f>
        <v/>
      </c>
      <c r="AB123" s="19">
        <f>IF(OR($Z123="",$Z123=6),"",WORKDAY($AA123,CHOOSE($Z123,3,3,2,2,3),Holidays))</f>
        <v/>
      </c>
      <c r="AC123" s="17">
        <f>IF(OR($Z123="",$Z123=6),"",CHOOSE($Z123,"1st Email Follow-up","2nd Email Follow-up","Escalate Local Office","Escalate to CBE","Escalate to Roxanne"))</f>
        <v/>
      </c>
    </row>
    <row r="124" spans="13:29">
      <c r="M124" s="14"/>
      <c r="T124" s="16"/>
      <c r="U124" s="17">
        <f>IF(AND(COUNTA($A124:$L124)=0,$N124=""),"",IF($T124="Paid","PAID",IF($T124="Closed","CLOSED",IF($Z124="","",IF($Z124=6,"ESCALATED TO ROXANNE",IF(TODAY()&gt;$AB124,"OVERDUE",IF($AB124&lt;=WORKDAY(TODAY(),1,Holidays),"DUE TOMORROW",IF($Z124=4,"ESCALATED TO LOCAL OFFICE",IF($Z124=5,"ESCALATED TO CBE",IF($AA124=TODAY(),"EMAIL SENT","MONITORING"))))))))))</f>
        <v/>
      </c>
      <c r="V124" s="17">
        <f>IF($U124="",IF(AND(COUNTA($A124:$L124)&gt;0,$N124=""),"Awaiting Collection Email time stamp.",""),IF(OR($U124="PAID",$U124="CLOSED"),IF($U124="PAID","Account paid. Action completed.","Account closed. No further action required."),CHOOSE($Z124,"Collection Email","1st Email Follow-up","2nd Email Follow-up","Escalation to Local Office","Escalation to CBE","Escalation to Roxanne")&amp;" sent "&amp;TEXT($AA124,"dd-mmm")&amp;". "&amp;IF($Z124=6,"Final escalation completed.",IF($U124="OVERDUE","Next: "&amp;$AC124&amp;" was due "&amp;TEXT($AB124,"dd-mmm")&amp;" - "&amp;(NETWORKDAYS($AB124,TODAY(),Holidays)-1)&amp;" business day(s) late. Send now.",IF($U124="DUE TOMORROW","Next: "&amp;$AC124&amp;IF($AB124&lt;=TODAY()," is due TODAY ("," is due next business day (")&amp;TEXT($AB124,"dd-mmm")&amp;").","Next: "&amp;$AC124&amp;" due "&amp;TEXT($AB124,"dd-mmm")&amp;" ("&amp;(NETWORKDAYS(TODAY(),$AB124,Holidays)-1)&amp;" business day(s) left).")))))</f>
        <v/>
      </c>
      <c r="W124" s="17">
        <f>IF($Z124="","",CHOOSE($Z124,"Collection Email","1st Follow-up","2nd Follow-up","Local Office","CBE","Roxanne")&amp;IF($Z124=6," - Final"," - Day "&amp;MAX(0,NETWORKDAYS($AA124,TODAY(),Holidays)-1)&amp;" of "&amp;CHOOSE($Z124,3,3,2,2,3))&amp;" | Total Day "&amp;MAX(0,NETWORKDAYS($N124,TODAY(),Holidays)-1))</f>
        <v/>
      </c>
      <c r="X124" s="18"/>
      <c r="Y124" s="18"/>
      <c r="Z124" s="17">
        <f>IF($N124="","",COUNT($N124:$S124))</f>
        <v/>
      </c>
      <c r="AA124" s="19">
        <f>IF($Z124="","",INT(INDEX($N124:$S124,$Z124)))</f>
        <v/>
      </c>
      <c r="AB124" s="19">
        <f>IF(OR($Z124="",$Z124=6),"",WORKDAY($AA124,CHOOSE($Z124,3,3,2,2,3),Holidays))</f>
        <v/>
      </c>
      <c r="AC124" s="17">
        <f>IF(OR($Z124="",$Z124=6),"",CHOOSE($Z124,"1st Email Follow-up","2nd Email Follow-up","Escalate Local Office","Escalate to CBE","Escalate to Roxanne"))</f>
        <v/>
      </c>
    </row>
    <row r="125" spans="13:29">
      <c r="M125" s="14"/>
      <c r="T125" s="16"/>
      <c r="U125" s="17">
        <f>IF(AND(COUNTA($A125:$L125)=0,$N125=""),"",IF($T125="Paid","PAID",IF($T125="Closed","CLOSED",IF($Z125="","",IF($Z125=6,"ESCALATED TO ROXANNE",IF(TODAY()&gt;$AB125,"OVERDUE",IF($AB125&lt;=WORKDAY(TODAY(),1,Holidays),"DUE TOMORROW",IF($Z125=4,"ESCALATED TO LOCAL OFFICE",IF($Z125=5,"ESCALATED TO CBE",IF($AA125=TODAY(),"EMAIL SENT","MONITORING"))))))))))</f>
        <v/>
      </c>
      <c r="V125" s="17">
        <f>IF($U125="",IF(AND(COUNTA($A125:$L125)&gt;0,$N125=""),"Awaiting Collection Email time stamp.",""),IF(OR($U125="PAID",$U125="CLOSED"),IF($U125="PAID","Account paid. Action completed.","Account closed. No further action required."),CHOOSE($Z125,"Collection Email","1st Email Follow-up","2nd Email Follow-up","Escalation to Local Office","Escalation to CBE","Escalation to Roxanne")&amp;" sent "&amp;TEXT($AA125,"dd-mmm")&amp;". "&amp;IF($Z125=6,"Final escalation completed.",IF($U125="OVERDUE","Next: "&amp;$AC125&amp;" was due "&amp;TEXT($AB125,"dd-mmm")&amp;" - "&amp;(NETWORKDAYS($AB125,TODAY(),Holidays)-1)&amp;" business day(s) late. Send now.",IF($U125="DUE TOMORROW","Next: "&amp;$AC125&amp;IF($AB125&lt;=TODAY()," is due TODAY ("," is due next business day (")&amp;TEXT($AB125,"dd-mmm")&amp;").","Next: "&amp;$AC125&amp;" due "&amp;TEXT($AB125,"dd-mmm")&amp;" ("&amp;(NETWORKDAYS(TODAY(),$AB125,Holidays)-1)&amp;" business day(s) left).")))))</f>
        <v/>
      </c>
      <c r="W125" s="17">
        <f>IF($Z125="","",CHOOSE($Z125,"Collection Email","1st Follow-up","2nd Follow-up","Local Office","CBE","Roxanne")&amp;IF($Z125=6," - Final"," - Day "&amp;MAX(0,NETWORKDAYS($AA125,TODAY(),Holidays)-1)&amp;" of "&amp;CHOOSE($Z125,3,3,2,2,3))&amp;" | Total Day "&amp;MAX(0,NETWORKDAYS($N125,TODAY(),Holidays)-1))</f>
        <v/>
      </c>
      <c r="X125" s="18"/>
      <c r="Y125" s="18"/>
      <c r="Z125" s="17">
        <f>IF($N125="","",COUNT($N125:$S125))</f>
        <v/>
      </c>
      <c r="AA125" s="19">
        <f>IF($Z125="","",INT(INDEX($N125:$S125,$Z125)))</f>
        <v/>
      </c>
      <c r="AB125" s="19">
        <f>IF(OR($Z125="",$Z125=6),"",WORKDAY($AA125,CHOOSE($Z125,3,3,2,2,3),Holidays))</f>
        <v/>
      </c>
      <c r="AC125" s="17">
        <f>IF(OR($Z125="",$Z125=6),"",CHOOSE($Z125,"1st Email Follow-up","2nd Email Follow-up","Escalate Local Office","Escalate to CBE","Escalate to Roxanne"))</f>
        <v/>
      </c>
    </row>
    <row r="126" spans="13:29">
      <c r="M126" s="14"/>
      <c r="T126" s="16"/>
      <c r="U126" s="17">
        <f>IF(AND(COUNTA($A126:$L126)=0,$N126=""),"",IF($T126="Paid","PAID",IF($T126="Closed","CLOSED",IF($Z126="","",IF($Z126=6,"ESCALATED TO ROXANNE",IF(TODAY()&gt;$AB126,"OVERDUE",IF($AB126&lt;=WORKDAY(TODAY(),1,Holidays),"DUE TOMORROW",IF($Z126=4,"ESCALATED TO LOCAL OFFICE",IF($Z126=5,"ESCALATED TO CBE",IF($AA126=TODAY(),"EMAIL SENT","MONITORING"))))))))))</f>
        <v/>
      </c>
      <c r="V126" s="17">
        <f>IF($U126="",IF(AND(COUNTA($A126:$L126)&gt;0,$N126=""),"Awaiting Collection Email time stamp.",""),IF(OR($U126="PAID",$U126="CLOSED"),IF($U126="PAID","Account paid. Action completed.","Account closed. No further action required."),CHOOSE($Z126,"Collection Email","1st Email Follow-up","2nd Email Follow-up","Escalation to Local Office","Escalation to CBE","Escalation to Roxanne")&amp;" sent "&amp;TEXT($AA126,"dd-mmm")&amp;". "&amp;IF($Z126=6,"Final escalation completed.",IF($U126="OVERDUE","Next: "&amp;$AC126&amp;" was due "&amp;TEXT($AB126,"dd-mmm")&amp;" - "&amp;(NETWORKDAYS($AB126,TODAY(),Holidays)-1)&amp;" business day(s) late. Send now.",IF($U126="DUE TOMORROW","Next: "&amp;$AC126&amp;IF($AB126&lt;=TODAY()," is due TODAY ("," is due next business day (")&amp;TEXT($AB126,"dd-mmm")&amp;").","Next: "&amp;$AC126&amp;" due "&amp;TEXT($AB126,"dd-mmm")&amp;" ("&amp;(NETWORKDAYS(TODAY(),$AB126,Holidays)-1)&amp;" business day(s) left).")))))</f>
        <v/>
      </c>
      <c r="W126" s="17">
        <f>IF($Z126="","",CHOOSE($Z126,"Collection Email","1st Follow-up","2nd Follow-up","Local Office","CBE","Roxanne")&amp;IF($Z126=6," - Final"," - Day "&amp;MAX(0,NETWORKDAYS($AA126,TODAY(),Holidays)-1)&amp;" of "&amp;CHOOSE($Z126,3,3,2,2,3))&amp;" | Total Day "&amp;MAX(0,NETWORKDAYS($N126,TODAY(),Holidays)-1))</f>
        <v/>
      </c>
      <c r="X126" s="18"/>
      <c r="Y126" s="18"/>
      <c r="Z126" s="17">
        <f>IF($N126="","",COUNT($N126:$S126))</f>
        <v/>
      </c>
      <c r="AA126" s="19">
        <f>IF($Z126="","",INT(INDEX($N126:$S126,$Z126)))</f>
        <v/>
      </c>
      <c r="AB126" s="19">
        <f>IF(OR($Z126="",$Z126=6),"",WORKDAY($AA126,CHOOSE($Z126,3,3,2,2,3),Holidays))</f>
        <v/>
      </c>
      <c r="AC126" s="17">
        <f>IF(OR($Z126="",$Z126=6),"",CHOOSE($Z126,"1st Email Follow-up","2nd Email Follow-up","Escalate Local Office","Escalate to CBE","Escalate to Roxanne"))</f>
        <v/>
      </c>
    </row>
    <row r="127" spans="13:29">
      <c r="M127" s="14"/>
      <c r="T127" s="16"/>
      <c r="U127" s="17">
        <f>IF(AND(COUNTA($A127:$L127)=0,$N127=""),"",IF($T127="Paid","PAID",IF($T127="Closed","CLOSED",IF($Z127="","",IF($Z127=6,"ESCALATED TO ROXANNE",IF(TODAY()&gt;$AB127,"OVERDUE",IF($AB127&lt;=WORKDAY(TODAY(),1,Holidays),"DUE TOMORROW",IF($Z127=4,"ESCALATED TO LOCAL OFFICE",IF($Z127=5,"ESCALATED TO CBE",IF($AA127=TODAY(),"EMAIL SENT","MONITORING"))))))))))</f>
        <v/>
      </c>
      <c r="V127" s="17">
        <f>IF($U127="",IF(AND(COUNTA($A127:$L127)&gt;0,$N127=""),"Awaiting Collection Email time stamp.",""),IF(OR($U127="PAID",$U127="CLOSED"),IF($U127="PAID","Account paid. Action completed.","Account closed. No further action required."),CHOOSE($Z127,"Collection Email","1st Email Follow-up","2nd Email Follow-up","Escalation to Local Office","Escalation to CBE","Escalation to Roxanne")&amp;" sent "&amp;TEXT($AA127,"dd-mmm")&amp;". "&amp;IF($Z127=6,"Final escalation completed.",IF($U127="OVERDUE","Next: "&amp;$AC127&amp;" was due "&amp;TEXT($AB127,"dd-mmm")&amp;" - "&amp;(NETWORKDAYS($AB127,TODAY(),Holidays)-1)&amp;" business day(s) late. Send now.",IF($U127="DUE TOMORROW","Next: "&amp;$AC127&amp;IF($AB127&lt;=TODAY()," is due TODAY ("," is due next business day (")&amp;TEXT($AB127,"dd-mmm")&amp;").","Next: "&amp;$AC127&amp;" due "&amp;TEXT($AB127,"dd-mmm")&amp;" ("&amp;(NETWORKDAYS(TODAY(),$AB127,Holidays)-1)&amp;" business day(s) left).")))))</f>
        <v/>
      </c>
      <c r="W127" s="17">
        <f>IF($Z127="","",CHOOSE($Z127,"Collection Email","1st Follow-up","2nd Follow-up","Local Office","CBE","Roxanne")&amp;IF($Z127=6," - Final"," - Day "&amp;MAX(0,NETWORKDAYS($AA127,TODAY(),Holidays)-1)&amp;" of "&amp;CHOOSE($Z127,3,3,2,2,3))&amp;" | Total Day "&amp;MAX(0,NETWORKDAYS($N127,TODAY(),Holidays)-1))</f>
        <v/>
      </c>
      <c r="X127" s="18"/>
      <c r="Y127" s="18"/>
      <c r="Z127" s="17">
        <f>IF($N127="","",COUNT($N127:$S127))</f>
        <v/>
      </c>
      <c r="AA127" s="19">
        <f>IF($Z127="","",INT(INDEX($N127:$S127,$Z127)))</f>
        <v/>
      </c>
      <c r="AB127" s="19">
        <f>IF(OR($Z127="",$Z127=6),"",WORKDAY($AA127,CHOOSE($Z127,3,3,2,2,3),Holidays))</f>
        <v/>
      </c>
      <c r="AC127" s="17">
        <f>IF(OR($Z127="",$Z127=6),"",CHOOSE($Z127,"1st Email Follow-up","2nd Email Follow-up","Escalate Local Office","Escalate to CBE","Escalate to Roxanne"))</f>
        <v/>
      </c>
    </row>
    <row r="128" spans="13:29">
      <c r="M128" s="14"/>
      <c r="T128" s="16"/>
      <c r="U128" s="17">
        <f>IF(AND(COUNTA($A128:$L128)=0,$N128=""),"",IF($T128="Paid","PAID",IF($T128="Closed","CLOSED",IF($Z128="","",IF($Z128=6,"ESCALATED TO ROXANNE",IF(TODAY()&gt;$AB128,"OVERDUE",IF($AB128&lt;=WORKDAY(TODAY(),1,Holidays),"DUE TOMORROW",IF($Z128=4,"ESCALATED TO LOCAL OFFICE",IF($Z128=5,"ESCALATED TO CBE",IF($AA128=TODAY(),"EMAIL SENT","MONITORING"))))))))))</f>
        <v/>
      </c>
      <c r="V128" s="17">
        <f>IF($U128="",IF(AND(COUNTA($A128:$L128)&gt;0,$N128=""),"Awaiting Collection Email time stamp.",""),IF(OR($U128="PAID",$U128="CLOSED"),IF($U128="PAID","Account paid. Action completed.","Account closed. No further action required."),CHOOSE($Z128,"Collection Email","1st Email Follow-up","2nd Email Follow-up","Escalation to Local Office","Escalation to CBE","Escalation to Roxanne")&amp;" sent "&amp;TEXT($AA128,"dd-mmm")&amp;". "&amp;IF($Z128=6,"Final escalation completed.",IF($U128="OVERDUE","Next: "&amp;$AC128&amp;" was due "&amp;TEXT($AB128,"dd-mmm")&amp;" - "&amp;(NETWORKDAYS($AB128,TODAY(),Holidays)-1)&amp;" business day(s) late. Send now.",IF($U128="DUE TOMORROW","Next: "&amp;$AC128&amp;IF($AB128&lt;=TODAY()," is due TODAY ("," is due next business day (")&amp;TEXT($AB128,"dd-mmm")&amp;").","Next: "&amp;$AC128&amp;" due "&amp;TEXT($AB128,"dd-mmm")&amp;" ("&amp;(NETWORKDAYS(TODAY(),$AB128,Holidays)-1)&amp;" business day(s) left).")))))</f>
        <v/>
      </c>
      <c r="W128" s="17">
        <f>IF($Z128="","",CHOOSE($Z128,"Collection Email","1st Follow-up","2nd Follow-up","Local Office","CBE","Roxanne")&amp;IF($Z128=6," - Final"," - Day "&amp;MAX(0,NETWORKDAYS($AA128,TODAY(),Holidays)-1)&amp;" of "&amp;CHOOSE($Z128,3,3,2,2,3))&amp;" | Total Day "&amp;MAX(0,NETWORKDAYS($N128,TODAY(),Holidays)-1))</f>
        <v/>
      </c>
      <c r="X128" s="18"/>
      <c r="Y128" s="18"/>
      <c r="Z128" s="17">
        <f>IF($N128="","",COUNT($N128:$S128))</f>
        <v/>
      </c>
      <c r="AA128" s="19">
        <f>IF($Z128="","",INT(INDEX($N128:$S128,$Z128)))</f>
        <v/>
      </c>
      <c r="AB128" s="19">
        <f>IF(OR($Z128="",$Z128=6),"",WORKDAY($AA128,CHOOSE($Z128,3,3,2,2,3),Holidays))</f>
        <v/>
      </c>
      <c r="AC128" s="17">
        <f>IF(OR($Z128="",$Z128=6),"",CHOOSE($Z128,"1st Email Follow-up","2nd Email Follow-up","Escalate Local Office","Escalate to CBE","Escalate to Roxanne"))</f>
        <v/>
      </c>
    </row>
    <row r="129" spans="13:29">
      <c r="M129" s="14"/>
      <c r="T129" s="16"/>
      <c r="U129" s="17">
        <f>IF(AND(COUNTA($A129:$L129)=0,$N129=""),"",IF($T129="Paid","PAID",IF($T129="Closed","CLOSED",IF($Z129="","",IF($Z129=6,"ESCALATED TO ROXANNE",IF(TODAY()&gt;$AB129,"OVERDUE",IF($AB129&lt;=WORKDAY(TODAY(),1,Holidays),"DUE TOMORROW",IF($Z129=4,"ESCALATED TO LOCAL OFFICE",IF($Z129=5,"ESCALATED TO CBE",IF($AA129=TODAY(),"EMAIL SENT","MONITORING"))))))))))</f>
        <v/>
      </c>
      <c r="V129" s="17">
        <f>IF($U129="",IF(AND(COUNTA($A129:$L129)&gt;0,$N129=""),"Awaiting Collection Email time stamp.",""),IF(OR($U129="PAID",$U129="CLOSED"),IF($U129="PAID","Account paid. Action completed.","Account closed. No further action required."),CHOOSE($Z129,"Collection Email","1st Email Follow-up","2nd Email Follow-up","Escalation to Local Office","Escalation to CBE","Escalation to Roxanne")&amp;" sent "&amp;TEXT($AA129,"dd-mmm")&amp;". "&amp;IF($Z129=6,"Final escalation completed.",IF($U129="OVERDUE","Next: "&amp;$AC129&amp;" was due "&amp;TEXT($AB129,"dd-mmm")&amp;" - "&amp;(NETWORKDAYS($AB129,TODAY(),Holidays)-1)&amp;" business day(s) late. Send now.",IF($U129="DUE TOMORROW","Next: "&amp;$AC129&amp;IF($AB129&lt;=TODAY()," is due TODAY ("," is due next business day (")&amp;TEXT($AB129,"dd-mmm")&amp;").","Next: "&amp;$AC129&amp;" due "&amp;TEXT($AB129,"dd-mmm")&amp;" ("&amp;(NETWORKDAYS(TODAY(),$AB129,Holidays)-1)&amp;" business day(s) left).")))))</f>
        <v/>
      </c>
      <c r="W129" s="17">
        <f>IF($Z129="","",CHOOSE($Z129,"Collection Email","1st Follow-up","2nd Follow-up","Local Office","CBE","Roxanne")&amp;IF($Z129=6," - Final"," - Day "&amp;MAX(0,NETWORKDAYS($AA129,TODAY(),Holidays)-1)&amp;" of "&amp;CHOOSE($Z129,3,3,2,2,3))&amp;" | Total Day "&amp;MAX(0,NETWORKDAYS($N129,TODAY(),Holidays)-1))</f>
        <v/>
      </c>
      <c r="X129" s="18"/>
      <c r="Y129" s="18"/>
      <c r="Z129" s="17">
        <f>IF($N129="","",COUNT($N129:$S129))</f>
        <v/>
      </c>
      <c r="AA129" s="19">
        <f>IF($Z129="","",INT(INDEX($N129:$S129,$Z129)))</f>
        <v/>
      </c>
      <c r="AB129" s="19">
        <f>IF(OR($Z129="",$Z129=6),"",WORKDAY($AA129,CHOOSE($Z129,3,3,2,2,3),Holidays))</f>
        <v/>
      </c>
      <c r="AC129" s="17">
        <f>IF(OR($Z129="",$Z129=6),"",CHOOSE($Z129,"1st Email Follow-up","2nd Email Follow-up","Escalate Local Office","Escalate to CBE","Escalate to Roxanne"))</f>
        <v/>
      </c>
    </row>
    <row r="130" spans="13:29">
      <c r="M130" s="14"/>
      <c r="T130" s="16"/>
      <c r="U130" s="17">
        <f>IF(AND(COUNTA($A130:$L130)=0,$N130=""),"",IF($T130="Paid","PAID",IF($T130="Closed","CLOSED",IF($Z130="","",IF($Z130=6,"ESCALATED TO ROXANNE",IF(TODAY()&gt;$AB130,"OVERDUE",IF($AB130&lt;=WORKDAY(TODAY(),1,Holidays),"DUE TOMORROW",IF($Z130=4,"ESCALATED TO LOCAL OFFICE",IF($Z130=5,"ESCALATED TO CBE",IF($AA130=TODAY(),"EMAIL SENT","MONITORING"))))))))))</f>
        <v/>
      </c>
      <c r="V130" s="17">
        <f>IF($U130="",IF(AND(COUNTA($A130:$L130)&gt;0,$N130=""),"Awaiting Collection Email time stamp.",""),IF(OR($U130="PAID",$U130="CLOSED"),IF($U130="PAID","Account paid. Action completed.","Account closed. No further action required."),CHOOSE($Z130,"Collection Email","1st Email Follow-up","2nd Email Follow-up","Escalation to Local Office","Escalation to CBE","Escalation to Roxanne")&amp;" sent "&amp;TEXT($AA130,"dd-mmm")&amp;". "&amp;IF($Z130=6,"Final escalation completed.",IF($U130="OVERDUE","Next: "&amp;$AC130&amp;" was due "&amp;TEXT($AB130,"dd-mmm")&amp;" - "&amp;(NETWORKDAYS($AB130,TODAY(),Holidays)-1)&amp;" business day(s) late. Send now.",IF($U130="DUE TOMORROW","Next: "&amp;$AC130&amp;IF($AB130&lt;=TODAY()," is due TODAY ("," is due next business day (")&amp;TEXT($AB130,"dd-mmm")&amp;").","Next: "&amp;$AC130&amp;" due "&amp;TEXT($AB130,"dd-mmm")&amp;" ("&amp;(NETWORKDAYS(TODAY(),$AB130,Holidays)-1)&amp;" business day(s) left).")))))</f>
        <v/>
      </c>
      <c r="W130" s="17">
        <f>IF($Z130="","",CHOOSE($Z130,"Collection Email","1st Follow-up","2nd Follow-up","Local Office","CBE","Roxanne")&amp;IF($Z130=6," - Final"," - Day "&amp;MAX(0,NETWORKDAYS($AA130,TODAY(),Holidays)-1)&amp;" of "&amp;CHOOSE($Z130,3,3,2,2,3))&amp;" | Total Day "&amp;MAX(0,NETWORKDAYS($N130,TODAY(),Holidays)-1))</f>
        <v/>
      </c>
      <c r="X130" s="18"/>
      <c r="Y130" s="18"/>
      <c r="Z130" s="17">
        <f>IF($N130="","",COUNT($N130:$S130))</f>
        <v/>
      </c>
      <c r="AA130" s="19">
        <f>IF($Z130="","",INT(INDEX($N130:$S130,$Z130)))</f>
        <v/>
      </c>
      <c r="AB130" s="19">
        <f>IF(OR($Z130="",$Z130=6),"",WORKDAY($AA130,CHOOSE($Z130,3,3,2,2,3),Holidays))</f>
        <v/>
      </c>
      <c r="AC130" s="17">
        <f>IF(OR($Z130="",$Z130=6),"",CHOOSE($Z130,"1st Email Follow-up","2nd Email Follow-up","Escalate Local Office","Escalate to CBE","Escalate to Roxanne"))</f>
        <v/>
      </c>
    </row>
    <row r="131" spans="13:29">
      <c r="M131" s="14"/>
      <c r="T131" s="16"/>
      <c r="U131" s="17">
        <f>IF(AND(COUNTA($A131:$L131)=0,$N131=""),"",IF($T131="Paid","PAID",IF($T131="Closed","CLOSED",IF($Z131="","",IF($Z131=6,"ESCALATED TO ROXANNE",IF(TODAY()&gt;$AB131,"OVERDUE",IF($AB131&lt;=WORKDAY(TODAY(),1,Holidays),"DUE TOMORROW",IF($Z131=4,"ESCALATED TO LOCAL OFFICE",IF($Z131=5,"ESCALATED TO CBE",IF($AA131=TODAY(),"EMAIL SENT","MONITORING"))))))))))</f>
        <v/>
      </c>
      <c r="V131" s="17">
        <f>IF($U131="",IF(AND(COUNTA($A131:$L131)&gt;0,$N131=""),"Awaiting Collection Email time stamp.",""),IF(OR($U131="PAID",$U131="CLOSED"),IF($U131="PAID","Account paid. Action completed.","Account closed. No further action required."),CHOOSE($Z131,"Collection Email","1st Email Follow-up","2nd Email Follow-up","Escalation to Local Office","Escalation to CBE","Escalation to Roxanne")&amp;" sent "&amp;TEXT($AA131,"dd-mmm")&amp;". "&amp;IF($Z131=6,"Final escalation completed.",IF($U131="OVERDUE","Next: "&amp;$AC131&amp;" was due "&amp;TEXT($AB131,"dd-mmm")&amp;" - "&amp;(NETWORKDAYS($AB131,TODAY(),Holidays)-1)&amp;" business day(s) late. Send now.",IF($U131="DUE TOMORROW","Next: "&amp;$AC131&amp;IF($AB131&lt;=TODAY()," is due TODAY ("," is due next business day (")&amp;TEXT($AB131,"dd-mmm")&amp;").","Next: "&amp;$AC131&amp;" due "&amp;TEXT($AB131,"dd-mmm")&amp;" ("&amp;(NETWORKDAYS(TODAY(),$AB131,Holidays)-1)&amp;" business day(s) left).")))))</f>
        <v/>
      </c>
      <c r="W131" s="17">
        <f>IF($Z131="","",CHOOSE($Z131,"Collection Email","1st Follow-up","2nd Follow-up","Local Office","CBE","Roxanne")&amp;IF($Z131=6," - Final"," - Day "&amp;MAX(0,NETWORKDAYS($AA131,TODAY(),Holidays)-1)&amp;" of "&amp;CHOOSE($Z131,3,3,2,2,3))&amp;" | Total Day "&amp;MAX(0,NETWORKDAYS($N131,TODAY(),Holidays)-1))</f>
        <v/>
      </c>
      <c r="X131" s="18"/>
      <c r="Y131" s="18"/>
      <c r="Z131" s="17">
        <f>IF($N131="","",COUNT($N131:$S131))</f>
        <v/>
      </c>
      <c r="AA131" s="19">
        <f>IF($Z131="","",INT(INDEX($N131:$S131,$Z131)))</f>
        <v/>
      </c>
      <c r="AB131" s="19">
        <f>IF(OR($Z131="",$Z131=6),"",WORKDAY($AA131,CHOOSE($Z131,3,3,2,2,3),Holidays))</f>
        <v/>
      </c>
      <c r="AC131" s="17">
        <f>IF(OR($Z131="",$Z131=6),"",CHOOSE($Z131,"1st Email Follow-up","2nd Email Follow-up","Escalate Local Office","Escalate to CBE","Escalate to Roxanne"))</f>
        <v/>
      </c>
    </row>
    <row r="132" spans="13:29">
      <c r="M132" s="14"/>
      <c r="T132" s="16"/>
      <c r="U132" s="17">
        <f>IF(AND(COUNTA($A132:$L132)=0,$N132=""),"",IF($T132="Paid","PAID",IF($T132="Closed","CLOSED",IF($Z132="","",IF($Z132=6,"ESCALATED TO ROXANNE",IF(TODAY()&gt;$AB132,"OVERDUE",IF($AB132&lt;=WORKDAY(TODAY(),1,Holidays),"DUE TOMORROW",IF($Z132=4,"ESCALATED TO LOCAL OFFICE",IF($Z132=5,"ESCALATED TO CBE",IF($AA132=TODAY(),"EMAIL SENT","MONITORING"))))))))))</f>
        <v/>
      </c>
      <c r="V132" s="17">
        <f>IF($U132="",IF(AND(COUNTA($A132:$L132)&gt;0,$N132=""),"Awaiting Collection Email time stamp.",""),IF(OR($U132="PAID",$U132="CLOSED"),IF($U132="PAID","Account paid. Action completed.","Account closed. No further action required."),CHOOSE($Z132,"Collection Email","1st Email Follow-up","2nd Email Follow-up","Escalation to Local Office","Escalation to CBE","Escalation to Roxanne")&amp;" sent "&amp;TEXT($AA132,"dd-mmm")&amp;". "&amp;IF($Z132=6,"Final escalation completed.",IF($U132="OVERDUE","Next: "&amp;$AC132&amp;" was due "&amp;TEXT($AB132,"dd-mmm")&amp;" - "&amp;(NETWORKDAYS($AB132,TODAY(),Holidays)-1)&amp;" business day(s) late. Send now.",IF($U132="DUE TOMORROW","Next: "&amp;$AC132&amp;IF($AB132&lt;=TODAY()," is due TODAY ("," is due next business day (")&amp;TEXT($AB132,"dd-mmm")&amp;").","Next: "&amp;$AC132&amp;" due "&amp;TEXT($AB132,"dd-mmm")&amp;" ("&amp;(NETWORKDAYS(TODAY(),$AB132,Holidays)-1)&amp;" business day(s) left).")))))</f>
        <v/>
      </c>
      <c r="W132" s="17">
        <f>IF($Z132="","",CHOOSE($Z132,"Collection Email","1st Follow-up","2nd Follow-up","Local Office","CBE","Roxanne")&amp;IF($Z132=6," - Final"," - Day "&amp;MAX(0,NETWORKDAYS($AA132,TODAY(),Holidays)-1)&amp;" of "&amp;CHOOSE($Z132,3,3,2,2,3))&amp;" | Total Day "&amp;MAX(0,NETWORKDAYS($N132,TODAY(),Holidays)-1))</f>
        <v/>
      </c>
      <c r="X132" s="18"/>
      <c r="Y132" s="18"/>
      <c r="Z132" s="17">
        <f>IF($N132="","",COUNT($N132:$S132))</f>
        <v/>
      </c>
      <c r="AA132" s="19">
        <f>IF($Z132="","",INT(INDEX($N132:$S132,$Z132)))</f>
        <v/>
      </c>
      <c r="AB132" s="19">
        <f>IF(OR($Z132="",$Z132=6),"",WORKDAY($AA132,CHOOSE($Z132,3,3,2,2,3),Holidays))</f>
        <v/>
      </c>
      <c r="AC132" s="17">
        <f>IF(OR($Z132="",$Z132=6),"",CHOOSE($Z132,"1st Email Follow-up","2nd Email Follow-up","Escalate Local Office","Escalate to CBE","Escalate to Roxanne"))</f>
        <v/>
      </c>
    </row>
    <row r="133" spans="13:29">
      <c r="M133" s="14"/>
      <c r="T133" s="16"/>
      <c r="U133" s="17">
        <f>IF(AND(COUNTA($A133:$L133)=0,$N133=""),"",IF($T133="Paid","PAID",IF($T133="Closed","CLOSED",IF($Z133="","",IF($Z133=6,"ESCALATED TO ROXANNE",IF(TODAY()&gt;$AB133,"OVERDUE",IF($AB133&lt;=WORKDAY(TODAY(),1,Holidays),"DUE TOMORROW",IF($Z133=4,"ESCALATED TO LOCAL OFFICE",IF($Z133=5,"ESCALATED TO CBE",IF($AA133=TODAY(),"EMAIL SENT","MONITORING"))))))))))</f>
        <v/>
      </c>
      <c r="V133" s="17">
        <f>IF($U133="",IF(AND(COUNTA($A133:$L133)&gt;0,$N133=""),"Awaiting Collection Email time stamp.",""),IF(OR($U133="PAID",$U133="CLOSED"),IF($U133="PAID","Account paid. Action completed.","Account closed. No further action required."),CHOOSE($Z133,"Collection Email","1st Email Follow-up","2nd Email Follow-up","Escalation to Local Office","Escalation to CBE","Escalation to Roxanne")&amp;" sent "&amp;TEXT($AA133,"dd-mmm")&amp;". "&amp;IF($Z133=6,"Final escalation completed.",IF($U133="OVERDUE","Next: "&amp;$AC133&amp;" was due "&amp;TEXT($AB133,"dd-mmm")&amp;" - "&amp;(NETWORKDAYS($AB133,TODAY(),Holidays)-1)&amp;" business day(s) late. Send now.",IF($U133="DUE TOMORROW","Next: "&amp;$AC133&amp;IF($AB133&lt;=TODAY()," is due TODAY ("," is due next business day (")&amp;TEXT($AB133,"dd-mmm")&amp;").","Next: "&amp;$AC133&amp;" due "&amp;TEXT($AB133,"dd-mmm")&amp;" ("&amp;(NETWORKDAYS(TODAY(),$AB133,Holidays)-1)&amp;" business day(s) left).")))))</f>
        <v/>
      </c>
      <c r="W133" s="17">
        <f>IF($Z133="","",CHOOSE($Z133,"Collection Email","1st Follow-up","2nd Follow-up","Local Office","CBE","Roxanne")&amp;IF($Z133=6," - Final"," - Day "&amp;MAX(0,NETWORKDAYS($AA133,TODAY(),Holidays)-1)&amp;" of "&amp;CHOOSE($Z133,3,3,2,2,3))&amp;" | Total Day "&amp;MAX(0,NETWORKDAYS($N133,TODAY(),Holidays)-1))</f>
        <v/>
      </c>
      <c r="X133" s="18"/>
      <c r="Y133" s="18"/>
      <c r="Z133" s="17">
        <f>IF($N133="","",COUNT($N133:$S133))</f>
        <v/>
      </c>
      <c r="AA133" s="19">
        <f>IF($Z133="","",INT(INDEX($N133:$S133,$Z133)))</f>
        <v/>
      </c>
      <c r="AB133" s="19">
        <f>IF(OR($Z133="",$Z133=6),"",WORKDAY($AA133,CHOOSE($Z133,3,3,2,2,3),Holidays))</f>
        <v/>
      </c>
      <c r="AC133" s="17">
        <f>IF(OR($Z133="",$Z133=6),"",CHOOSE($Z133,"1st Email Follow-up","2nd Email Follow-up","Escalate Local Office","Escalate to CBE","Escalate to Roxanne"))</f>
        <v/>
      </c>
    </row>
    <row r="134" spans="13:29">
      <c r="M134" s="14"/>
      <c r="T134" s="16"/>
      <c r="U134" s="17">
        <f>IF(AND(COUNTA($A134:$L134)=0,$N134=""),"",IF($T134="Paid","PAID",IF($T134="Closed","CLOSED",IF($Z134="","",IF($Z134=6,"ESCALATED TO ROXANNE",IF(TODAY()&gt;$AB134,"OVERDUE",IF($AB134&lt;=WORKDAY(TODAY(),1,Holidays),"DUE TOMORROW",IF($Z134=4,"ESCALATED TO LOCAL OFFICE",IF($Z134=5,"ESCALATED TO CBE",IF($AA134=TODAY(),"EMAIL SENT","MONITORING"))))))))))</f>
        <v/>
      </c>
      <c r="V134" s="17">
        <f>IF($U134="",IF(AND(COUNTA($A134:$L134)&gt;0,$N134=""),"Awaiting Collection Email time stamp.",""),IF(OR($U134="PAID",$U134="CLOSED"),IF($U134="PAID","Account paid. Action completed.","Account closed. No further action required."),CHOOSE($Z134,"Collection Email","1st Email Follow-up","2nd Email Follow-up","Escalation to Local Office","Escalation to CBE","Escalation to Roxanne")&amp;" sent "&amp;TEXT($AA134,"dd-mmm")&amp;". "&amp;IF($Z134=6,"Final escalation completed.",IF($U134="OVERDUE","Next: "&amp;$AC134&amp;" was due "&amp;TEXT($AB134,"dd-mmm")&amp;" - "&amp;(NETWORKDAYS($AB134,TODAY(),Holidays)-1)&amp;" business day(s) late. Send now.",IF($U134="DUE TOMORROW","Next: "&amp;$AC134&amp;IF($AB134&lt;=TODAY()," is due TODAY ("," is due next business day (")&amp;TEXT($AB134,"dd-mmm")&amp;").","Next: "&amp;$AC134&amp;" due "&amp;TEXT($AB134,"dd-mmm")&amp;" ("&amp;(NETWORKDAYS(TODAY(),$AB134,Holidays)-1)&amp;" business day(s) left).")))))</f>
        <v/>
      </c>
      <c r="W134" s="17">
        <f>IF($Z134="","",CHOOSE($Z134,"Collection Email","1st Follow-up","2nd Follow-up","Local Office","CBE","Roxanne")&amp;IF($Z134=6," - Final"," - Day "&amp;MAX(0,NETWORKDAYS($AA134,TODAY(),Holidays)-1)&amp;" of "&amp;CHOOSE($Z134,3,3,2,2,3))&amp;" | Total Day "&amp;MAX(0,NETWORKDAYS($N134,TODAY(),Holidays)-1))</f>
        <v/>
      </c>
      <c r="X134" s="18"/>
      <c r="Y134" s="18"/>
      <c r="Z134" s="17">
        <f>IF($N134="","",COUNT($N134:$S134))</f>
        <v/>
      </c>
      <c r="AA134" s="19">
        <f>IF($Z134="","",INT(INDEX($N134:$S134,$Z134)))</f>
        <v/>
      </c>
      <c r="AB134" s="19">
        <f>IF(OR($Z134="",$Z134=6),"",WORKDAY($AA134,CHOOSE($Z134,3,3,2,2,3),Holidays))</f>
        <v/>
      </c>
      <c r="AC134" s="17">
        <f>IF(OR($Z134="",$Z134=6),"",CHOOSE($Z134,"1st Email Follow-up","2nd Email Follow-up","Escalate Local Office","Escalate to CBE","Escalate to Roxanne"))</f>
        <v/>
      </c>
    </row>
    <row r="135" spans="13:29">
      <c r="M135" s="14"/>
      <c r="T135" s="16"/>
      <c r="U135" s="17">
        <f>IF(AND(COUNTA($A135:$L135)=0,$N135=""),"",IF($T135="Paid","PAID",IF($T135="Closed","CLOSED",IF($Z135="","",IF($Z135=6,"ESCALATED TO ROXANNE",IF(TODAY()&gt;$AB135,"OVERDUE",IF($AB135&lt;=WORKDAY(TODAY(),1,Holidays),"DUE TOMORROW",IF($Z135=4,"ESCALATED TO LOCAL OFFICE",IF($Z135=5,"ESCALATED TO CBE",IF($AA135=TODAY(),"EMAIL SENT","MONITORING"))))))))))</f>
        <v/>
      </c>
      <c r="V135" s="17">
        <f>IF($U135="",IF(AND(COUNTA($A135:$L135)&gt;0,$N135=""),"Awaiting Collection Email time stamp.",""),IF(OR($U135="PAID",$U135="CLOSED"),IF($U135="PAID","Account paid. Action completed.","Account closed. No further action required."),CHOOSE($Z135,"Collection Email","1st Email Follow-up","2nd Email Follow-up","Escalation to Local Office","Escalation to CBE","Escalation to Roxanne")&amp;" sent "&amp;TEXT($AA135,"dd-mmm")&amp;". "&amp;IF($Z135=6,"Final escalation completed.",IF($U135="OVERDUE","Next: "&amp;$AC135&amp;" was due "&amp;TEXT($AB135,"dd-mmm")&amp;" - "&amp;(NETWORKDAYS($AB135,TODAY(),Holidays)-1)&amp;" business day(s) late. Send now.",IF($U135="DUE TOMORROW","Next: "&amp;$AC135&amp;IF($AB135&lt;=TODAY()," is due TODAY ("," is due next business day (")&amp;TEXT($AB135,"dd-mmm")&amp;").","Next: "&amp;$AC135&amp;" due "&amp;TEXT($AB135,"dd-mmm")&amp;" ("&amp;(NETWORKDAYS(TODAY(),$AB135,Holidays)-1)&amp;" business day(s) left).")))))</f>
        <v/>
      </c>
      <c r="W135" s="17">
        <f>IF($Z135="","",CHOOSE($Z135,"Collection Email","1st Follow-up","2nd Follow-up","Local Office","CBE","Roxanne")&amp;IF($Z135=6," - Final"," - Day "&amp;MAX(0,NETWORKDAYS($AA135,TODAY(),Holidays)-1)&amp;" of "&amp;CHOOSE($Z135,3,3,2,2,3))&amp;" | Total Day "&amp;MAX(0,NETWORKDAYS($N135,TODAY(),Holidays)-1))</f>
        <v/>
      </c>
      <c r="X135" s="18"/>
      <c r="Y135" s="18"/>
      <c r="Z135" s="17">
        <f>IF($N135="","",COUNT($N135:$S135))</f>
        <v/>
      </c>
      <c r="AA135" s="19">
        <f>IF($Z135="","",INT(INDEX($N135:$S135,$Z135)))</f>
        <v/>
      </c>
      <c r="AB135" s="19">
        <f>IF(OR($Z135="",$Z135=6),"",WORKDAY($AA135,CHOOSE($Z135,3,3,2,2,3),Holidays))</f>
        <v/>
      </c>
      <c r="AC135" s="17">
        <f>IF(OR($Z135="",$Z135=6),"",CHOOSE($Z135,"1st Email Follow-up","2nd Email Follow-up","Escalate Local Office","Escalate to CBE","Escalate to Roxanne"))</f>
        <v/>
      </c>
    </row>
    <row r="136" spans="13:29">
      <c r="M136" s="14"/>
      <c r="T136" s="16"/>
      <c r="U136" s="17">
        <f>IF(AND(COUNTA($A136:$L136)=0,$N136=""),"",IF($T136="Paid","PAID",IF($T136="Closed","CLOSED",IF($Z136="","",IF($Z136=6,"ESCALATED TO ROXANNE",IF(TODAY()&gt;$AB136,"OVERDUE",IF($AB136&lt;=WORKDAY(TODAY(),1,Holidays),"DUE TOMORROW",IF($Z136=4,"ESCALATED TO LOCAL OFFICE",IF($Z136=5,"ESCALATED TO CBE",IF($AA136=TODAY(),"EMAIL SENT","MONITORING"))))))))))</f>
        <v/>
      </c>
      <c r="V136" s="17">
        <f>IF($U136="",IF(AND(COUNTA($A136:$L136)&gt;0,$N136=""),"Awaiting Collection Email time stamp.",""),IF(OR($U136="PAID",$U136="CLOSED"),IF($U136="PAID","Account paid. Action completed.","Account closed. No further action required."),CHOOSE($Z136,"Collection Email","1st Email Follow-up","2nd Email Follow-up","Escalation to Local Office","Escalation to CBE","Escalation to Roxanne")&amp;" sent "&amp;TEXT($AA136,"dd-mmm")&amp;". "&amp;IF($Z136=6,"Final escalation completed.",IF($U136="OVERDUE","Next: "&amp;$AC136&amp;" was due "&amp;TEXT($AB136,"dd-mmm")&amp;" - "&amp;(NETWORKDAYS($AB136,TODAY(),Holidays)-1)&amp;" business day(s) late. Send now.",IF($U136="DUE TOMORROW","Next: "&amp;$AC136&amp;IF($AB136&lt;=TODAY()," is due TODAY ("," is due next business day (")&amp;TEXT($AB136,"dd-mmm")&amp;").","Next: "&amp;$AC136&amp;" due "&amp;TEXT($AB136,"dd-mmm")&amp;" ("&amp;(NETWORKDAYS(TODAY(),$AB136,Holidays)-1)&amp;" business day(s) left).")))))</f>
        <v/>
      </c>
      <c r="W136" s="17">
        <f>IF($Z136="","",CHOOSE($Z136,"Collection Email","1st Follow-up","2nd Follow-up","Local Office","CBE","Roxanne")&amp;IF($Z136=6," - Final"," - Day "&amp;MAX(0,NETWORKDAYS($AA136,TODAY(),Holidays)-1)&amp;" of "&amp;CHOOSE($Z136,3,3,2,2,3))&amp;" | Total Day "&amp;MAX(0,NETWORKDAYS($N136,TODAY(),Holidays)-1))</f>
        <v/>
      </c>
      <c r="X136" s="18"/>
      <c r="Y136" s="18"/>
      <c r="Z136" s="17">
        <f>IF($N136="","",COUNT($N136:$S136))</f>
        <v/>
      </c>
      <c r="AA136" s="19">
        <f>IF($Z136="","",INT(INDEX($N136:$S136,$Z136)))</f>
        <v/>
      </c>
      <c r="AB136" s="19">
        <f>IF(OR($Z136="",$Z136=6),"",WORKDAY($AA136,CHOOSE($Z136,3,3,2,2,3),Holidays))</f>
        <v/>
      </c>
      <c r="AC136" s="17">
        <f>IF(OR($Z136="",$Z136=6),"",CHOOSE($Z136,"1st Email Follow-up","2nd Email Follow-up","Escalate Local Office","Escalate to CBE","Escalate to Roxanne"))</f>
        <v/>
      </c>
    </row>
    <row r="137" spans="13:29">
      <c r="M137" s="14"/>
      <c r="T137" s="16"/>
      <c r="U137" s="17">
        <f>IF(AND(COUNTA($A137:$L137)=0,$N137=""),"",IF($T137="Paid","PAID",IF($T137="Closed","CLOSED",IF($Z137="","",IF($Z137=6,"ESCALATED TO ROXANNE",IF(TODAY()&gt;$AB137,"OVERDUE",IF($AB137&lt;=WORKDAY(TODAY(),1,Holidays),"DUE TOMORROW",IF($Z137=4,"ESCALATED TO LOCAL OFFICE",IF($Z137=5,"ESCALATED TO CBE",IF($AA137=TODAY(),"EMAIL SENT","MONITORING"))))))))))</f>
        <v/>
      </c>
      <c r="V137" s="17">
        <f>IF($U137="",IF(AND(COUNTA($A137:$L137)&gt;0,$N137=""),"Awaiting Collection Email time stamp.",""),IF(OR($U137="PAID",$U137="CLOSED"),IF($U137="PAID","Account paid. Action completed.","Account closed. No further action required."),CHOOSE($Z137,"Collection Email","1st Email Follow-up","2nd Email Follow-up","Escalation to Local Office","Escalation to CBE","Escalation to Roxanne")&amp;" sent "&amp;TEXT($AA137,"dd-mmm")&amp;". "&amp;IF($Z137=6,"Final escalation completed.",IF($U137="OVERDUE","Next: "&amp;$AC137&amp;" was due "&amp;TEXT($AB137,"dd-mmm")&amp;" - "&amp;(NETWORKDAYS($AB137,TODAY(),Holidays)-1)&amp;" business day(s) late. Send now.",IF($U137="DUE TOMORROW","Next: "&amp;$AC137&amp;IF($AB137&lt;=TODAY()," is due TODAY ("," is due next business day (")&amp;TEXT($AB137,"dd-mmm")&amp;").","Next: "&amp;$AC137&amp;" due "&amp;TEXT($AB137,"dd-mmm")&amp;" ("&amp;(NETWORKDAYS(TODAY(),$AB137,Holidays)-1)&amp;" business day(s) left).")))))</f>
        <v/>
      </c>
      <c r="W137" s="17">
        <f>IF($Z137="","",CHOOSE($Z137,"Collection Email","1st Follow-up","2nd Follow-up","Local Office","CBE","Roxanne")&amp;IF($Z137=6," - Final"," - Day "&amp;MAX(0,NETWORKDAYS($AA137,TODAY(),Holidays)-1)&amp;" of "&amp;CHOOSE($Z137,3,3,2,2,3))&amp;" | Total Day "&amp;MAX(0,NETWORKDAYS($N137,TODAY(),Holidays)-1))</f>
        <v/>
      </c>
      <c r="X137" s="18"/>
      <c r="Y137" s="18"/>
      <c r="Z137" s="17">
        <f>IF($N137="","",COUNT($N137:$S137))</f>
        <v/>
      </c>
      <c r="AA137" s="19">
        <f>IF($Z137="","",INT(INDEX($N137:$S137,$Z137)))</f>
        <v/>
      </c>
      <c r="AB137" s="19">
        <f>IF(OR($Z137="",$Z137=6),"",WORKDAY($AA137,CHOOSE($Z137,3,3,2,2,3),Holidays))</f>
        <v/>
      </c>
      <c r="AC137" s="17">
        <f>IF(OR($Z137="",$Z137=6),"",CHOOSE($Z137,"1st Email Follow-up","2nd Email Follow-up","Escalate Local Office","Escalate to CBE","Escalate to Roxanne"))</f>
        <v/>
      </c>
    </row>
    <row r="138" spans="13:29">
      <c r="M138" s="14"/>
      <c r="T138" s="16"/>
      <c r="U138" s="17">
        <f>IF(AND(COUNTA($A138:$L138)=0,$N138=""),"",IF($T138="Paid","PAID",IF($T138="Closed","CLOSED",IF($Z138="","",IF($Z138=6,"ESCALATED TO ROXANNE",IF(TODAY()&gt;$AB138,"OVERDUE",IF($AB138&lt;=WORKDAY(TODAY(),1,Holidays),"DUE TOMORROW",IF($Z138=4,"ESCALATED TO LOCAL OFFICE",IF($Z138=5,"ESCALATED TO CBE",IF($AA138=TODAY(),"EMAIL SENT","MONITORING"))))))))))</f>
        <v/>
      </c>
      <c r="V138" s="17">
        <f>IF($U138="",IF(AND(COUNTA($A138:$L138)&gt;0,$N138=""),"Awaiting Collection Email time stamp.",""),IF(OR($U138="PAID",$U138="CLOSED"),IF($U138="PAID","Account paid. Action completed.","Account closed. No further action required."),CHOOSE($Z138,"Collection Email","1st Email Follow-up","2nd Email Follow-up","Escalation to Local Office","Escalation to CBE","Escalation to Roxanne")&amp;" sent "&amp;TEXT($AA138,"dd-mmm")&amp;". "&amp;IF($Z138=6,"Final escalation completed.",IF($U138="OVERDUE","Next: "&amp;$AC138&amp;" was due "&amp;TEXT($AB138,"dd-mmm")&amp;" - "&amp;(NETWORKDAYS($AB138,TODAY(),Holidays)-1)&amp;" business day(s) late. Send now.",IF($U138="DUE TOMORROW","Next: "&amp;$AC138&amp;IF($AB138&lt;=TODAY()," is due TODAY ("," is due next business day (")&amp;TEXT($AB138,"dd-mmm")&amp;").","Next: "&amp;$AC138&amp;" due "&amp;TEXT($AB138,"dd-mmm")&amp;" ("&amp;(NETWORKDAYS(TODAY(),$AB138,Holidays)-1)&amp;" business day(s) left).")))))</f>
        <v/>
      </c>
      <c r="W138" s="17">
        <f>IF($Z138="","",CHOOSE($Z138,"Collection Email","1st Follow-up","2nd Follow-up","Local Office","CBE","Roxanne")&amp;IF($Z138=6," - Final"," - Day "&amp;MAX(0,NETWORKDAYS($AA138,TODAY(),Holidays)-1)&amp;" of "&amp;CHOOSE($Z138,3,3,2,2,3))&amp;" | Total Day "&amp;MAX(0,NETWORKDAYS($N138,TODAY(),Holidays)-1))</f>
        <v/>
      </c>
      <c r="X138" s="18"/>
      <c r="Y138" s="18"/>
      <c r="Z138" s="17">
        <f>IF($N138="","",COUNT($N138:$S138))</f>
        <v/>
      </c>
      <c r="AA138" s="19">
        <f>IF($Z138="","",INT(INDEX($N138:$S138,$Z138)))</f>
        <v/>
      </c>
      <c r="AB138" s="19">
        <f>IF(OR($Z138="",$Z138=6),"",WORKDAY($AA138,CHOOSE($Z138,3,3,2,2,3),Holidays))</f>
        <v/>
      </c>
      <c r="AC138" s="17">
        <f>IF(OR($Z138="",$Z138=6),"",CHOOSE($Z138,"1st Email Follow-up","2nd Email Follow-up","Escalate Local Office","Escalate to CBE","Escalate to Roxanne"))</f>
        <v/>
      </c>
    </row>
    <row r="139" spans="13:29">
      <c r="M139" s="14"/>
      <c r="T139" s="16"/>
      <c r="U139" s="17">
        <f>IF(AND(COUNTA($A139:$L139)=0,$N139=""),"",IF($T139="Paid","PAID",IF($T139="Closed","CLOSED",IF($Z139="","",IF($Z139=6,"ESCALATED TO ROXANNE",IF(TODAY()&gt;$AB139,"OVERDUE",IF($AB139&lt;=WORKDAY(TODAY(),1,Holidays),"DUE TOMORROW",IF($Z139=4,"ESCALATED TO LOCAL OFFICE",IF($Z139=5,"ESCALATED TO CBE",IF($AA139=TODAY(),"EMAIL SENT","MONITORING"))))))))))</f>
        <v/>
      </c>
      <c r="V139" s="17">
        <f>IF($U139="",IF(AND(COUNTA($A139:$L139)&gt;0,$N139=""),"Awaiting Collection Email time stamp.",""),IF(OR($U139="PAID",$U139="CLOSED"),IF($U139="PAID","Account paid. Action completed.","Account closed. No further action required."),CHOOSE($Z139,"Collection Email","1st Email Follow-up","2nd Email Follow-up","Escalation to Local Office","Escalation to CBE","Escalation to Roxanne")&amp;" sent "&amp;TEXT($AA139,"dd-mmm")&amp;". "&amp;IF($Z139=6,"Final escalation completed.",IF($U139="OVERDUE","Next: "&amp;$AC139&amp;" was due "&amp;TEXT($AB139,"dd-mmm")&amp;" - "&amp;(NETWORKDAYS($AB139,TODAY(),Holidays)-1)&amp;" business day(s) late. Send now.",IF($U139="DUE TOMORROW","Next: "&amp;$AC139&amp;IF($AB139&lt;=TODAY()," is due TODAY ("," is due next business day (")&amp;TEXT($AB139,"dd-mmm")&amp;").","Next: "&amp;$AC139&amp;" due "&amp;TEXT($AB139,"dd-mmm")&amp;" ("&amp;(NETWORKDAYS(TODAY(),$AB139,Holidays)-1)&amp;" business day(s) left).")))))</f>
        <v/>
      </c>
      <c r="W139" s="17">
        <f>IF($Z139="","",CHOOSE($Z139,"Collection Email","1st Follow-up","2nd Follow-up","Local Office","CBE","Roxanne")&amp;IF($Z139=6," - Final"," - Day "&amp;MAX(0,NETWORKDAYS($AA139,TODAY(),Holidays)-1)&amp;" of "&amp;CHOOSE($Z139,3,3,2,2,3))&amp;" | Total Day "&amp;MAX(0,NETWORKDAYS($N139,TODAY(),Holidays)-1))</f>
        <v/>
      </c>
      <c r="X139" s="18"/>
      <c r="Y139" s="18"/>
      <c r="Z139" s="17">
        <f>IF($N139="","",COUNT($N139:$S139))</f>
        <v/>
      </c>
      <c r="AA139" s="19">
        <f>IF($Z139="","",INT(INDEX($N139:$S139,$Z139)))</f>
        <v/>
      </c>
      <c r="AB139" s="19">
        <f>IF(OR($Z139="",$Z139=6),"",WORKDAY($AA139,CHOOSE($Z139,3,3,2,2,3),Holidays))</f>
        <v/>
      </c>
      <c r="AC139" s="17">
        <f>IF(OR($Z139="",$Z139=6),"",CHOOSE($Z139,"1st Email Follow-up","2nd Email Follow-up","Escalate Local Office","Escalate to CBE","Escalate to Roxanne"))</f>
        <v/>
      </c>
    </row>
    <row r="140" spans="13:29">
      <c r="M140" s="14"/>
      <c r="T140" s="16"/>
      <c r="U140" s="17">
        <f>IF(AND(COUNTA($A140:$L140)=0,$N140=""),"",IF($T140="Paid","PAID",IF($T140="Closed","CLOSED",IF($Z140="","",IF($Z140=6,"ESCALATED TO ROXANNE",IF(TODAY()&gt;$AB140,"OVERDUE",IF($AB140&lt;=WORKDAY(TODAY(),1,Holidays),"DUE TOMORROW",IF($Z140=4,"ESCALATED TO LOCAL OFFICE",IF($Z140=5,"ESCALATED TO CBE",IF($AA140=TODAY(),"EMAIL SENT","MONITORING"))))))))))</f>
        <v/>
      </c>
      <c r="V140" s="17">
        <f>IF($U140="",IF(AND(COUNTA($A140:$L140)&gt;0,$N140=""),"Awaiting Collection Email time stamp.",""),IF(OR($U140="PAID",$U140="CLOSED"),IF($U140="PAID","Account paid. Action completed.","Account closed. No further action required."),CHOOSE($Z140,"Collection Email","1st Email Follow-up","2nd Email Follow-up","Escalation to Local Office","Escalation to CBE","Escalation to Roxanne")&amp;" sent "&amp;TEXT($AA140,"dd-mmm")&amp;". "&amp;IF($Z140=6,"Final escalation completed.",IF($U140="OVERDUE","Next: "&amp;$AC140&amp;" was due "&amp;TEXT($AB140,"dd-mmm")&amp;" - "&amp;(NETWORKDAYS($AB140,TODAY(),Holidays)-1)&amp;" business day(s) late. Send now.",IF($U140="DUE TOMORROW","Next: "&amp;$AC140&amp;IF($AB140&lt;=TODAY()," is due TODAY ("," is due next business day (")&amp;TEXT($AB140,"dd-mmm")&amp;").","Next: "&amp;$AC140&amp;" due "&amp;TEXT($AB140,"dd-mmm")&amp;" ("&amp;(NETWORKDAYS(TODAY(),$AB140,Holidays)-1)&amp;" business day(s) left).")))))</f>
        <v/>
      </c>
      <c r="W140" s="17">
        <f>IF($Z140="","",CHOOSE($Z140,"Collection Email","1st Follow-up","2nd Follow-up","Local Office","CBE","Roxanne")&amp;IF($Z140=6," - Final"," - Day "&amp;MAX(0,NETWORKDAYS($AA140,TODAY(),Holidays)-1)&amp;" of "&amp;CHOOSE($Z140,3,3,2,2,3))&amp;" | Total Day "&amp;MAX(0,NETWORKDAYS($N140,TODAY(),Holidays)-1))</f>
        <v/>
      </c>
      <c r="X140" s="18"/>
      <c r="Y140" s="18"/>
      <c r="Z140" s="17">
        <f>IF($N140="","",COUNT($N140:$S140))</f>
        <v/>
      </c>
      <c r="AA140" s="19">
        <f>IF($Z140="","",INT(INDEX($N140:$S140,$Z140)))</f>
        <v/>
      </c>
      <c r="AB140" s="19">
        <f>IF(OR($Z140="",$Z140=6),"",WORKDAY($AA140,CHOOSE($Z140,3,3,2,2,3),Holidays))</f>
        <v/>
      </c>
      <c r="AC140" s="17">
        <f>IF(OR($Z140="",$Z140=6),"",CHOOSE($Z140,"1st Email Follow-up","2nd Email Follow-up","Escalate Local Office","Escalate to CBE","Escalate to Roxanne"))</f>
        <v/>
      </c>
    </row>
    <row r="141" spans="13:29">
      <c r="M141" s="14"/>
      <c r="T141" s="16"/>
      <c r="U141" s="17">
        <f>IF(AND(COUNTA($A141:$L141)=0,$N141=""),"",IF($T141="Paid","PAID",IF($T141="Closed","CLOSED",IF($Z141="","",IF($Z141=6,"ESCALATED TO ROXANNE",IF(TODAY()&gt;$AB141,"OVERDUE",IF($AB141&lt;=WORKDAY(TODAY(),1,Holidays),"DUE TOMORROW",IF($Z141=4,"ESCALATED TO LOCAL OFFICE",IF($Z141=5,"ESCALATED TO CBE",IF($AA141=TODAY(),"EMAIL SENT","MONITORING"))))))))))</f>
        <v/>
      </c>
      <c r="V141" s="17">
        <f>IF($U141="",IF(AND(COUNTA($A141:$L141)&gt;0,$N141=""),"Awaiting Collection Email time stamp.",""),IF(OR($U141="PAID",$U141="CLOSED"),IF($U141="PAID","Account paid. Action completed.","Account closed. No further action required."),CHOOSE($Z141,"Collection Email","1st Email Follow-up","2nd Email Follow-up","Escalation to Local Office","Escalation to CBE","Escalation to Roxanne")&amp;" sent "&amp;TEXT($AA141,"dd-mmm")&amp;". "&amp;IF($Z141=6,"Final escalation completed.",IF($U141="OVERDUE","Next: "&amp;$AC141&amp;" was due "&amp;TEXT($AB141,"dd-mmm")&amp;" - "&amp;(NETWORKDAYS($AB141,TODAY(),Holidays)-1)&amp;" business day(s) late. Send now.",IF($U141="DUE TOMORROW","Next: "&amp;$AC141&amp;IF($AB141&lt;=TODAY()," is due TODAY ("," is due next business day (")&amp;TEXT($AB141,"dd-mmm")&amp;").","Next: "&amp;$AC141&amp;" due "&amp;TEXT($AB141,"dd-mmm")&amp;" ("&amp;(NETWORKDAYS(TODAY(),$AB141,Holidays)-1)&amp;" business day(s) left).")))))</f>
        <v/>
      </c>
      <c r="W141" s="17">
        <f>IF($Z141="","",CHOOSE($Z141,"Collection Email","1st Follow-up","2nd Follow-up","Local Office","CBE","Roxanne")&amp;IF($Z141=6," - Final"," - Day "&amp;MAX(0,NETWORKDAYS($AA141,TODAY(),Holidays)-1)&amp;" of "&amp;CHOOSE($Z141,3,3,2,2,3))&amp;" | Total Day "&amp;MAX(0,NETWORKDAYS($N141,TODAY(),Holidays)-1))</f>
        <v/>
      </c>
      <c r="X141" s="18"/>
      <c r="Y141" s="18"/>
      <c r="Z141" s="17">
        <f>IF($N141="","",COUNT($N141:$S141))</f>
        <v/>
      </c>
      <c r="AA141" s="19">
        <f>IF($Z141="","",INT(INDEX($N141:$S141,$Z141)))</f>
        <v/>
      </c>
      <c r="AB141" s="19">
        <f>IF(OR($Z141="",$Z141=6),"",WORKDAY($AA141,CHOOSE($Z141,3,3,2,2,3),Holidays))</f>
        <v/>
      </c>
      <c r="AC141" s="17">
        <f>IF(OR($Z141="",$Z141=6),"",CHOOSE($Z141,"1st Email Follow-up","2nd Email Follow-up","Escalate Local Office","Escalate to CBE","Escalate to Roxanne"))</f>
        <v/>
      </c>
    </row>
    <row r="142" spans="13:29">
      <c r="M142" s="14"/>
      <c r="T142" s="16"/>
      <c r="U142" s="17">
        <f>IF(AND(COUNTA($A142:$L142)=0,$N142=""),"",IF($T142="Paid","PAID",IF($T142="Closed","CLOSED",IF($Z142="","",IF($Z142=6,"ESCALATED TO ROXANNE",IF(TODAY()&gt;$AB142,"OVERDUE",IF($AB142&lt;=WORKDAY(TODAY(),1,Holidays),"DUE TOMORROW",IF($Z142=4,"ESCALATED TO LOCAL OFFICE",IF($Z142=5,"ESCALATED TO CBE",IF($AA142=TODAY(),"EMAIL SENT","MONITORING"))))))))))</f>
        <v/>
      </c>
      <c r="V142" s="17">
        <f>IF($U142="",IF(AND(COUNTA($A142:$L142)&gt;0,$N142=""),"Awaiting Collection Email time stamp.",""),IF(OR($U142="PAID",$U142="CLOSED"),IF($U142="PAID","Account paid. Action completed.","Account closed. No further action required."),CHOOSE($Z142,"Collection Email","1st Email Follow-up","2nd Email Follow-up","Escalation to Local Office","Escalation to CBE","Escalation to Roxanne")&amp;" sent "&amp;TEXT($AA142,"dd-mmm")&amp;". "&amp;IF($Z142=6,"Final escalation completed.",IF($U142="OVERDUE","Next: "&amp;$AC142&amp;" was due "&amp;TEXT($AB142,"dd-mmm")&amp;" - "&amp;(NETWORKDAYS($AB142,TODAY(),Holidays)-1)&amp;" business day(s) late. Send now.",IF($U142="DUE TOMORROW","Next: "&amp;$AC142&amp;IF($AB142&lt;=TODAY()," is due TODAY ("," is due next business day (")&amp;TEXT($AB142,"dd-mmm")&amp;").","Next: "&amp;$AC142&amp;" due "&amp;TEXT($AB142,"dd-mmm")&amp;" ("&amp;(NETWORKDAYS(TODAY(),$AB142,Holidays)-1)&amp;" business day(s) left).")))))</f>
        <v/>
      </c>
      <c r="W142" s="17">
        <f>IF($Z142="","",CHOOSE($Z142,"Collection Email","1st Follow-up","2nd Follow-up","Local Office","CBE","Roxanne")&amp;IF($Z142=6," - Final"," - Day "&amp;MAX(0,NETWORKDAYS($AA142,TODAY(),Holidays)-1)&amp;" of "&amp;CHOOSE($Z142,3,3,2,2,3))&amp;" | Total Day "&amp;MAX(0,NETWORKDAYS($N142,TODAY(),Holidays)-1))</f>
        <v/>
      </c>
      <c r="X142" s="18"/>
      <c r="Y142" s="18"/>
      <c r="Z142" s="17">
        <f>IF($N142="","",COUNT($N142:$S142))</f>
        <v/>
      </c>
      <c r="AA142" s="19">
        <f>IF($Z142="","",INT(INDEX($N142:$S142,$Z142)))</f>
        <v/>
      </c>
      <c r="AB142" s="19">
        <f>IF(OR($Z142="",$Z142=6),"",WORKDAY($AA142,CHOOSE($Z142,3,3,2,2,3),Holidays))</f>
        <v/>
      </c>
      <c r="AC142" s="17">
        <f>IF(OR($Z142="",$Z142=6),"",CHOOSE($Z142,"1st Email Follow-up","2nd Email Follow-up","Escalate Local Office","Escalate to CBE","Escalate to Roxanne"))</f>
        <v/>
      </c>
    </row>
    <row r="143" spans="13:29">
      <c r="M143" s="14"/>
      <c r="T143" s="16"/>
      <c r="U143" s="17">
        <f>IF(AND(COUNTA($A143:$L143)=0,$N143=""),"",IF($T143="Paid","PAID",IF($T143="Closed","CLOSED",IF($Z143="","",IF($Z143=6,"ESCALATED TO ROXANNE",IF(TODAY()&gt;$AB143,"OVERDUE",IF($AB143&lt;=WORKDAY(TODAY(),1,Holidays),"DUE TOMORROW",IF($Z143=4,"ESCALATED TO LOCAL OFFICE",IF($Z143=5,"ESCALATED TO CBE",IF($AA143=TODAY(),"EMAIL SENT","MONITORING"))))))))))</f>
        <v/>
      </c>
      <c r="V143" s="17">
        <f>IF($U143="",IF(AND(COUNTA($A143:$L143)&gt;0,$N143=""),"Awaiting Collection Email time stamp.",""),IF(OR($U143="PAID",$U143="CLOSED"),IF($U143="PAID","Account paid. Action completed.","Account closed. No further action required."),CHOOSE($Z143,"Collection Email","1st Email Follow-up","2nd Email Follow-up","Escalation to Local Office","Escalation to CBE","Escalation to Roxanne")&amp;" sent "&amp;TEXT($AA143,"dd-mmm")&amp;". "&amp;IF($Z143=6,"Final escalation completed.",IF($U143="OVERDUE","Next: "&amp;$AC143&amp;" was due "&amp;TEXT($AB143,"dd-mmm")&amp;" - "&amp;(NETWORKDAYS($AB143,TODAY(),Holidays)-1)&amp;" business day(s) late. Send now.",IF($U143="DUE TOMORROW","Next: "&amp;$AC143&amp;IF($AB143&lt;=TODAY()," is due TODAY ("," is due next business day (")&amp;TEXT($AB143,"dd-mmm")&amp;").","Next: "&amp;$AC143&amp;" due "&amp;TEXT($AB143,"dd-mmm")&amp;" ("&amp;(NETWORKDAYS(TODAY(),$AB143,Holidays)-1)&amp;" business day(s) left).")))))</f>
        <v/>
      </c>
      <c r="W143" s="17">
        <f>IF($Z143="","",CHOOSE($Z143,"Collection Email","1st Follow-up","2nd Follow-up","Local Office","CBE","Roxanne")&amp;IF($Z143=6," - Final"," - Day "&amp;MAX(0,NETWORKDAYS($AA143,TODAY(),Holidays)-1)&amp;" of "&amp;CHOOSE($Z143,3,3,2,2,3))&amp;" | Total Day "&amp;MAX(0,NETWORKDAYS($N143,TODAY(),Holidays)-1))</f>
        <v/>
      </c>
      <c r="X143" s="18"/>
      <c r="Y143" s="18"/>
      <c r="Z143" s="17">
        <f>IF($N143="","",COUNT($N143:$S143))</f>
        <v/>
      </c>
      <c r="AA143" s="19">
        <f>IF($Z143="","",INT(INDEX($N143:$S143,$Z143)))</f>
        <v/>
      </c>
      <c r="AB143" s="19">
        <f>IF(OR($Z143="",$Z143=6),"",WORKDAY($AA143,CHOOSE($Z143,3,3,2,2,3),Holidays))</f>
        <v/>
      </c>
      <c r="AC143" s="17">
        <f>IF(OR($Z143="",$Z143=6),"",CHOOSE($Z143,"1st Email Follow-up","2nd Email Follow-up","Escalate Local Office","Escalate to CBE","Escalate to Roxanne"))</f>
        <v/>
      </c>
    </row>
    <row r="144" spans="13:29">
      <c r="M144" s="14"/>
      <c r="T144" s="16"/>
      <c r="U144" s="17">
        <f>IF(AND(COUNTA($A144:$L144)=0,$N144=""),"",IF($T144="Paid","PAID",IF($T144="Closed","CLOSED",IF($Z144="","",IF($Z144=6,"ESCALATED TO ROXANNE",IF(TODAY()&gt;$AB144,"OVERDUE",IF($AB144&lt;=WORKDAY(TODAY(),1,Holidays),"DUE TOMORROW",IF($Z144=4,"ESCALATED TO LOCAL OFFICE",IF($Z144=5,"ESCALATED TO CBE",IF($AA144=TODAY(),"EMAIL SENT","MONITORING"))))))))))</f>
        <v/>
      </c>
      <c r="V144" s="17">
        <f>IF($U144="",IF(AND(COUNTA($A144:$L144)&gt;0,$N144=""),"Awaiting Collection Email time stamp.",""),IF(OR($U144="PAID",$U144="CLOSED"),IF($U144="PAID","Account paid. Action completed.","Account closed. No further action required."),CHOOSE($Z144,"Collection Email","1st Email Follow-up","2nd Email Follow-up","Escalation to Local Office","Escalation to CBE","Escalation to Roxanne")&amp;" sent "&amp;TEXT($AA144,"dd-mmm")&amp;". "&amp;IF($Z144=6,"Final escalation completed.",IF($U144="OVERDUE","Next: "&amp;$AC144&amp;" was due "&amp;TEXT($AB144,"dd-mmm")&amp;" - "&amp;(NETWORKDAYS($AB144,TODAY(),Holidays)-1)&amp;" business day(s) late. Send now.",IF($U144="DUE TOMORROW","Next: "&amp;$AC144&amp;IF($AB144&lt;=TODAY()," is due TODAY ("," is due next business day (")&amp;TEXT($AB144,"dd-mmm")&amp;").","Next: "&amp;$AC144&amp;" due "&amp;TEXT($AB144,"dd-mmm")&amp;" ("&amp;(NETWORKDAYS(TODAY(),$AB144,Holidays)-1)&amp;" business day(s) left).")))))</f>
        <v/>
      </c>
      <c r="W144" s="17">
        <f>IF($Z144="","",CHOOSE($Z144,"Collection Email","1st Follow-up","2nd Follow-up","Local Office","CBE","Roxanne")&amp;IF($Z144=6," - Final"," - Day "&amp;MAX(0,NETWORKDAYS($AA144,TODAY(),Holidays)-1)&amp;" of "&amp;CHOOSE($Z144,3,3,2,2,3))&amp;" | Total Day "&amp;MAX(0,NETWORKDAYS($N144,TODAY(),Holidays)-1))</f>
        <v/>
      </c>
      <c r="X144" s="18"/>
      <c r="Y144" s="18"/>
      <c r="Z144" s="17">
        <f>IF($N144="","",COUNT($N144:$S144))</f>
        <v/>
      </c>
      <c r="AA144" s="19">
        <f>IF($Z144="","",INT(INDEX($N144:$S144,$Z144)))</f>
        <v/>
      </c>
      <c r="AB144" s="19">
        <f>IF(OR($Z144="",$Z144=6),"",WORKDAY($AA144,CHOOSE($Z144,3,3,2,2,3),Holidays))</f>
        <v/>
      </c>
      <c r="AC144" s="17">
        <f>IF(OR($Z144="",$Z144=6),"",CHOOSE($Z144,"1st Email Follow-up","2nd Email Follow-up","Escalate Local Office","Escalate to CBE","Escalate to Roxanne"))</f>
        <v/>
      </c>
    </row>
    <row r="145" spans="13:29">
      <c r="M145" s="14"/>
      <c r="T145" s="16"/>
      <c r="U145" s="17">
        <f>IF(AND(COUNTA($A145:$L145)=0,$N145=""),"",IF($T145="Paid","PAID",IF($T145="Closed","CLOSED",IF($Z145="","",IF($Z145=6,"ESCALATED TO ROXANNE",IF(TODAY()&gt;$AB145,"OVERDUE",IF($AB145&lt;=WORKDAY(TODAY(),1,Holidays),"DUE TOMORROW",IF($Z145=4,"ESCALATED TO LOCAL OFFICE",IF($Z145=5,"ESCALATED TO CBE",IF($AA145=TODAY(),"EMAIL SENT","MONITORING"))))))))))</f>
        <v/>
      </c>
      <c r="V145" s="17">
        <f>IF($U145="",IF(AND(COUNTA($A145:$L145)&gt;0,$N145=""),"Awaiting Collection Email time stamp.",""),IF(OR($U145="PAID",$U145="CLOSED"),IF($U145="PAID","Account paid. Action completed.","Account closed. No further action required."),CHOOSE($Z145,"Collection Email","1st Email Follow-up","2nd Email Follow-up","Escalation to Local Office","Escalation to CBE","Escalation to Roxanne")&amp;" sent "&amp;TEXT($AA145,"dd-mmm")&amp;". "&amp;IF($Z145=6,"Final escalation completed.",IF($U145="OVERDUE","Next: "&amp;$AC145&amp;" was due "&amp;TEXT($AB145,"dd-mmm")&amp;" - "&amp;(NETWORKDAYS($AB145,TODAY(),Holidays)-1)&amp;" business day(s) late. Send now.",IF($U145="DUE TOMORROW","Next: "&amp;$AC145&amp;IF($AB145&lt;=TODAY()," is due TODAY ("," is due next business day (")&amp;TEXT($AB145,"dd-mmm")&amp;").","Next: "&amp;$AC145&amp;" due "&amp;TEXT($AB145,"dd-mmm")&amp;" ("&amp;(NETWORKDAYS(TODAY(),$AB145,Holidays)-1)&amp;" business day(s) left).")))))</f>
        <v/>
      </c>
      <c r="W145" s="17">
        <f>IF($Z145="","",CHOOSE($Z145,"Collection Email","1st Follow-up","2nd Follow-up","Local Office","CBE","Roxanne")&amp;IF($Z145=6," - Final"," - Day "&amp;MAX(0,NETWORKDAYS($AA145,TODAY(),Holidays)-1)&amp;" of "&amp;CHOOSE($Z145,3,3,2,2,3))&amp;" | Total Day "&amp;MAX(0,NETWORKDAYS($N145,TODAY(),Holidays)-1))</f>
        <v/>
      </c>
      <c r="X145" s="18"/>
      <c r="Y145" s="18"/>
      <c r="Z145" s="17">
        <f>IF($N145="","",COUNT($N145:$S145))</f>
        <v/>
      </c>
      <c r="AA145" s="19">
        <f>IF($Z145="","",INT(INDEX($N145:$S145,$Z145)))</f>
        <v/>
      </c>
      <c r="AB145" s="19">
        <f>IF(OR($Z145="",$Z145=6),"",WORKDAY($AA145,CHOOSE($Z145,3,3,2,2,3),Holidays))</f>
        <v/>
      </c>
      <c r="AC145" s="17">
        <f>IF(OR($Z145="",$Z145=6),"",CHOOSE($Z145,"1st Email Follow-up","2nd Email Follow-up","Escalate Local Office","Escalate to CBE","Escalate to Roxanne"))</f>
        <v/>
      </c>
    </row>
    <row r="146" spans="13:29">
      <c r="M146" s="14"/>
      <c r="T146" s="16"/>
      <c r="U146" s="17">
        <f>IF(AND(COUNTA($A146:$L146)=0,$N146=""),"",IF($T146="Paid","PAID",IF($T146="Closed","CLOSED",IF($Z146="","",IF($Z146=6,"ESCALATED TO ROXANNE",IF(TODAY()&gt;$AB146,"OVERDUE",IF($AB146&lt;=WORKDAY(TODAY(),1,Holidays),"DUE TOMORROW",IF($Z146=4,"ESCALATED TO LOCAL OFFICE",IF($Z146=5,"ESCALATED TO CBE",IF($AA146=TODAY(),"EMAIL SENT","MONITORING"))))))))))</f>
        <v/>
      </c>
      <c r="V146" s="17">
        <f>IF($U146="",IF(AND(COUNTA($A146:$L146)&gt;0,$N146=""),"Awaiting Collection Email time stamp.",""),IF(OR($U146="PAID",$U146="CLOSED"),IF($U146="PAID","Account paid. Action completed.","Account closed. No further action required."),CHOOSE($Z146,"Collection Email","1st Email Follow-up","2nd Email Follow-up","Escalation to Local Office","Escalation to CBE","Escalation to Roxanne")&amp;" sent "&amp;TEXT($AA146,"dd-mmm")&amp;". "&amp;IF($Z146=6,"Final escalation completed.",IF($U146="OVERDUE","Next: "&amp;$AC146&amp;" was due "&amp;TEXT($AB146,"dd-mmm")&amp;" - "&amp;(NETWORKDAYS($AB146,TODAY(),Holidays)-1)&amp;" business day(s) late. Send now.",IF($U146="DUE TOMORROW","Next: "&amp;$AC146&amp;IF($AB146&lt;=TODAY()," is due TODAY ("," is due next business day (")&amp;TEXT($AB146,"dd-mmm")&amp;").","Next: "&amp;$AC146&amp;" due "&amp;TEXT($AB146,"dd-mmm")&amp;" ("&amp;(NETWORKDAYS(TODAY(),$AB146,Holidays)-1)&amp;" business day(s) left).")))))</f>
        <v/>
      </c>
      <c r="W146" s="17">
        <f>IF($Z146="","",CHOOSE($Z146,"Collection Email","1st Follow-up","2nd Follow-up","Local Office","CBE","Roxanne")&amp;IF($Z146=6," - Final"," - Day "&amp;MAX(0,NETWORKDAYS($AA146,TODAY(),Holidays)-1)&amp;" of "&amp;CHOOSE($Z146,3,3,2,2,3))&amp;" | Total Day "&amp;MAX(0,NETWORKDAYS($N146,TODAY(),Holidays)-1))</f>
        <v/>
      </c>
      <c r="X146" s="18"/>
      <c r="Y146" s="18"/>
      <c r="Z146" s="17">
        <f>IF($N146="","",COUNT($N146:$S146))</f>
        <v/>
      </c>
      <c r="AA146" s="19">
        <f>IF($Z146="","",INT(INDEX($N146:$S146,$Z146)))</f>
        <v/>
      </c>
      <c r="AB146" s="19">
        <f>IF(OR($Z146="",$Z146=6),"",WORKDAY($AA146,CHOOSE($Z146,3,3,2,2,3),Holidays))</f>
        <v/>
      </c>
      <c r="AC146" s="17">
        <f>IF(OR($Z146="",$Z146=6),"",CHOOSE($Z146,"1st Email Follow-up","2nd Email Follow-up","Escalate Local Office","Escalate to CBE","Escalate to Roxanne"))</f>
        <v/>
      </c>
    </row>
    <row r="147" spans="13:29">
      <c r="M147" s="14"/>
      <c r="T147" s="16"/>
      <c r="U147" s="17">
        <f>IF(AND(COUNTA($A147:$L147)=0,$N147=""),"",IF($T147="Paid","PAID",IF($T147="Closed","CLOSED",IF($Z147="","",IF($Z147=6,"ESCALATED TO ROXANNE",IF(TODAY()&gt;$AB147,"OVERDUE",IF($AB147&lt;=WORKDAY(TODAY(),1,Holidays),"DUE TOMORROW",IF($Z147=4,"ESCALATED TO LOCAL OFFICE",IF($Z147=5,"ESCALATED TO CBE",IF($AA147=TODAY(),"EMAIL SENT","MONITORING"))))))))))</f>
        <v/>
      </c>
      <c r="V147" s="17">
        <f>IF($U147="",IF(AND(COUNTA($A147:$L147)&gt;0,$N147=""),"Awaiting Collection Email time stamp.",""),IF(OR($U147="PAID",$U147="CLOSED"),IF($U147="PAID","Account paid. Action completed.","Account closed. No further action required."),CHOOSE($Z147,"Collection Email","1st Email Follow-up","2nd Email Follow-up","Escalation to Local Office","Escalation to CBE","Escalation to Roxanne")&amp;" sent "&amp;TEXT($AA147,"dd-mmm")&amp;". "&amp;IF($Z147=6,"Final escalation completed.",IF($U147="OVERDUE","Next: "&amp;$AC147&amp;" was due "&amp;TEXT($AB147,"dd-mmm")&amp;" - "&amp;(NETWORKDAYS($AB147,TODAY(),Holidays)-1)&amp;" business day(s) late. Send now.",IF($U147="DUE TOMORROW","Next: "&amp;$AC147&amp;IF($AB147&lt;=TODAY()," is due TODAY ("," is due next business day (")&amp;TEXT($AB147,"dd-mmm")&amp;").","Next: "&amp;$AC147&amp;" due "&amp;TEXT($AB147,"dd-mmm")&amp;" ("&amp;(NETWORKDAYS(TODAY(),$AB147,Holidays)-1)&amp;" business day(s) left).")))))</f>
        <v/>
      </c>
      <c r="W147" s="17">
        <f>IF($Z147="","",CHOOSE($Z147,"Collection Email","1st Follow-up","2nd Follow-up","Local Office","CBE","Roxanne")&amp;IF($Z147=6," - Final"," - Day "&amp;MAX(0,NETWORKDAYS($AA147,TODAY(),Holidays)-1)&amp;" of "&amp;CHOOSE($Z147,3,3,2,2,3))&amp;" | Total Day "&amp;MAX(0,NETWORKDAYS($N147,TODAY(),Holidays)-1))</f>
        <v/>
      </c>
      <c r="X147" s="18"/>
      <c r="Y147" s="18"/>
      <c r="Z147" s="17">
        <f>IF($N147="","",COUNT($N147:$S147))</f>
        <v/>
      </c>
      <c r="AA147" s="19">
        <f>IF($Z147="","",INT(INDEX($N147:$S147,$Z147)))</f>
        <v/>
      </c>
      <c r="AB147" s="19">
        <f>IF(OR($Z147="",$Z147=6),"",WORKDAY($AA147,CHOOSE($Z147,3,3,2,2,3),Holidays))</f>
        <v/>
      </c>
      <c r="AC147" s="17">
        <f>IF(OR($Z147="",$Z147=6),"",CHOOSE($Z147,"1st Email Follow-up","2nd Email Follow-up","Escalate Local Office","Escalate to CBE","Escalate to Roxanne"))</f>
        <v/>
      </c>
    </row>
    <row r="148" spans="13:29">
      <c r="M148" s="14"/>
      <c r="T148" s="16"/>
      <c r="U148" s="17">
        <f>IF(AND(COUNTA($A148:$L148)=0,$N148=""),"",IF($T148="Paid","PAID",IF($T148="Closed","CLOSED",IF($Z148="","",IF($Z148=6,"ESCALATED TO ROXANNE",IF(TODAY()&gt;$AB148,"OVERDUE",IF($AB148&lt;=WORKDAY(TODAY(),1,Holidays),"DUE TOMORROW",IF($Z148=4,"ESCALATED TO LOCAL OFFICE",IF($Z148=5,"ESCALATED TO CBE",IF($AA148=TODAY(),"EMAIL SENT","MONITORING"))))))))))</f>
        <v/>
      </c>
      <c r="V148" s="17">
        <f>IF($U148="",IF(AND(COUNTA($A148:$L148)&gt;0,$N148=""),"Awaiting Collection Email time stamp.",""),IF(OR($U148="PAID",$U148="CLOSED"),IF($U148="PAID","Account paid. Action completed.","Account closed. No further action required."),CHOOSE($Z148,"Collection Email","1st Email Follow-up","2nd Email Follow-up","Escalation to Local Office","Escalation to CBE","Escalation to Roxanne")&amp;" sent "&amp;TEXT($AA148,"dd-mmm")&amp;". "&amp;IF($Z148=6,"Final escalation completed.",IF($U148="OVERDUE","Next: "&amp;$AC148&amp;" was due "&amp;TEXT($AB148,"dd-mmm")&amp;" - "&amp;(NETWORKDAYS($AB148,TODAY(),Holidays)-1)&amp;" business day(s) late. Send now.",IF($U148="DUE TOMORROW","Next: "&amp;$AC148&amp;IF($AB148&lt;=TODAY()," is due TODAY ("," is due next business day (")&amp;TEXT($AB148,"dd-mmm")&amp;").","Next: "&amp;$AC148&amp;" due "&amp;TEXT($AB148,"dd-mmm")&amp;" ("&amp;(NETWORKDAYS(TODAY(),$AB148,Holidays)-1)&amp;" business day(s) left).")))))</f>
        <v/>
      </c>
      <c r="W148" s="17">
        <f>IF($Z148="","",CHOOSE($Z148,"Collection Email","1st Follow-up","2nd Follow-up","Local Office","CBE","Roxanne")&amp;IF($Z148=6," - Final"," - Day "&amp;MAX(0,NETWORKDAYS($AA148,TODAY(),Holidays)-1)&amp;" of "&amp;CHOOSE($Z148,3,3,2,2,3))&amp;" | Total Day "&amp;MAX(0,NETWORKDAYS($N148,TODAY(),Holidays)-1))</f>
        <v/>
      </c>
      <c r="X148" s="18"/>
      <c r="Y148" s="18"/>
      <c r="Z148" s="17">
        <f>IF($N148="","",COUNT($N148:$S148))</f>
        <v/>
      </c>
      <c r="AA148" s="19">
        <f>IF($Z148="","",INT(INDEX($N148:$S148,$Z148)))</f>
        <v/>
      </c>
      <c r="AB148" s="19">
        <f>IF(OR($Z148="",$Z148=6),"",WORKDAY($AA148,CHOOSE($Z148,3,3,2,2,3),Holidays))</f>
        <v/>
      </c>
      <c r="AC148" s="17">
        <f>IF(OR($Z148="",$Z148=6),"",CHOOSE($Z148,"1st Email Follow-up","2nd Email Follow-up","Escalate Local Office","Escalate to CBE","Escalate to Roxanne"))</f>
        <v/>
      </c>
    </row>
    <row r="149" spans="13:29">
      <c r="M149" s="14"/>
      <c r="T149" s="16"/>
      <c r="U149" s="17">
        <f>IF(AND(COUNTA($A149:$L149)=0,$N149=""),"",IF($T149="Paid","PAID",IF($T149="Closed","CLOSED",IF($Z149="","",IF($Z149=6,"ESCALATED TO ROXANNE",IF(TODAY()&gt;$AB149,"OVERDUE",IF($AB149&lt;=WORKDAY(TODAY(),1,Holidays),"DUE TOMORROW",IF($Z149=4,"ESCALATED TO LOCAL OFFICE",IF($Z149=5,"ESCALATED TO CBE",IF($AA149=TODAY(),"EMAIL SENT","MONITORING"))))))))))</f>
        <v/>
      </c>
      <c r="V149" s="17">
        <f>IF($U149="",IF(AND(COUNTA($A149:$L149)&gt;0,$N149=""),"Awaiting Collection Email time stamp.",""),IF(OR($U149="PAID",$U149="CLOSED"),IF($U149="PAID","Account paid. Action completed.","Account closed. No further action required."),CHOOSE($Z149,"Collection Email","1st Email Follow-up","2nd Email Follow-up","Escalation to Local Office","Escalation to CBE","Escalation to Roxanne")&amp;" sent "&amp;TEXT($AA149,"dd-mmm")&amp;". "&amp;IF($Z149=6,"Final escalation completed.",IF($U149="OVERDUE","Next: "&amp;$AC149&amp;" was due "&amp;TEXT($AB149,"dd-mmm")&amp;" - "&amp;(NETWORKDAYS($AB149,TODAY(),Holidays)-1)&amp;" business day(s) late. Send now.",IF($U149="DUE TOMORROW","Next: "&amp;$AC149&amp;IF($AB149&lt;=TODAY()," is due TODAY ("," is due next business day (")&amp;TEXT($AB149,"dd-mmm")&amp;").","Next: "&amp;$AC149&amp;" due "&amp;TEXT($AB149,"dd-mmm")&amp;" ("&amp;(NETWORKDAYS(TODAY(),$AB149,Holidays)-1)&amp;" business day(s) left).")))))</f>
        <v/>
      </c>
      <c r="W149" s="17">
        <f>IF($Z149="","",CHOOSE($Z149,"Collection Email","1st Follow-up","2nd Follow-up","Local Office","CBE","Roxanne")&amp;IF($Z149=6," - Final"," - Day "&amp;MAX(0,NETWORKDAYS($AA149,TODAY(),Holidays)-1)&amp;" of "&amp;CHOOSE($Z149,3,3,2,2,3))&amp;" | Total Day "&amp;MAX(0,NETWORKDAYS($N149,TODAY(),Holidays)-1))</f>
        <v/>
      </c>
      <c r="X149" s="18"/>
      <c r="Y149" s="18"/>
      <c r="Z149" s="17">
        <f>IF($N149="","",COUNT($N149:$S149))</f>
        <v/>
      </c>
      <c r="AA149" s="19">
        <f>IF($Z149="","",INT(INDEX($N149:$S149,$Z149)))</f>
        <v/>
      </c>
      <c r="AB149" s="19">
        <f>IF(OR($Z149="",$Z149=6),"",WORKDAY($AA149,CHOOSE($Z149,3,3,2,2,3),Holidays))</f>
        <v/>
      </c>
      <c r="AC149" s="17">
        <f>IF(OR($Z149="",$Z149=6),"",CHOOSE($Z149,"1st Email Follow-up","2nd Email Follow-up","Escalate Local Office","Escalate to CBE","Escalate to Roxanne"))</f>
        <v/>
      </c>
    </row>
    <row r="150" spans="13:29">
      <c r="M150" s="14"/>
      <c r="T150" s="16"/>
      <c r="U150" s="17">
        <f>IF(AND(COUNTA($A150:$L150)=0,$N150=""),"",IF($T150="Paid","PAID",IF($T150="Closed","CLOSED",IF($Z150="","",IF($Z150=6,"ESCALATED TO ROXANNE",IF(TODAY()&gt;$AB150,"OVERDUE",IF($AB150&lt;=WORKDAY(TODAY(),1,Holidays),"DUE TOMORROW",IF($Z150=4,"ESCALATED TO LOCAL OFFICE",IF($Z150=5,"ESCALATED TO CBE",IF($AA150=TODAY(),"EMAIL SENT","MONITORING"))))))))))</f>
        <v/>
      </c>
      <c r="V150" s="17">
        <f>IF($U150="",IF(AND(COUNTA($A150:$L150)&gt;0,$N150=""),"Awaiting Collection Email time stamp.",""),IF(OR($U150="PAID",$U150="CLOSED"),IF($U150="PAID","Account paid. Action completed.","Account closed. No further action required."),CHOOSE($Z150,"Collection Email","1st Email Follow-up","2nd Email Follow-up","Escalation to Local Office","Escalation to CBE","Escalation to Roxanne")&amp;" sent "&amp;TEXT($AA150,"dd-mmm")&amp;". "&amp;IF($Z150=6,"Final escalation completed.",IF($U150="OVERDUE","Next: "&amp;$AC150&amp;" was due "&amp;TEXT($AB150,"dd-mmm")&amp;" - "&amp;(NETWORKDAYS($AB150,TODAY(),Holidays)-1)&amp;" business day(s) late. Send now.",IF($U150="DUE TOMORROW","Next: "&amp;$AC150&amp;IF($AB150&lt;=TODAY()," is due TODAY ("," is due next business day (")&amp;TEXT($AB150,"dd-mmm")&amp;").","Next: "&amp;$AC150&amp;" due "&amp;TEXT($AB150,"dd-mmm")&amp;" ("&amp;(NETWORKDAYS(TODAY(),$AB150,Holidays)-1)&amp;" business day(s) left).")))))</f>
        <v/>
      </c>
      <c r="W150" s="17">
        <f>IF($Z150="","",CHOOSE($Z150,"Collection Email","1st Follow-up","2nd Follow-up","Local Office","CBE","Roxanne")&amp;IF($Z150=6," - Final"," - Day "&amp;MAX(0,NETWORKDAYS($AA150,TODAY(),Holidays)-1)&amp;" of "&amp;CHOOSE($Z150,3,3,2,2,3))&amp;" | Total Day "&amp;MAX(0,NETWORKDAYS($N150,TODAY(),Holidays)-1))</f>
        <v/>
      </c>
      <c r="X150" s="18"/>
      <c r="Y150" s="18"/>
      <c r="Z150" s="17">
        <f>IF($N150="","",COUNT($N150:$S150))</f>
        <v/>
      </c>
      <c r="AA150" s="19">
        <f>IF($Z150="","",INT(INDEX($N150:$S150,$Z150)))</f>
        <v/>
      </c>
      <c r="AB150" s="19">
        <f>IF(OR($Z150="",$Z150=6),"",WORKDAY($AA150,CHOOSE($Z150,3,3,2,2,3),Holidays))</f>
        <v/>
      </c>
      <c r="AC150" s="17">
        <f>IF(OR($Z150="",$Z150=6),"",CHOOSE($Z150,"1st Email Follow-up","2nd Email Follow-up","Escalate Local Office","Escalate to CBE","Escalate to Roxanne"))</f>
        <v/>
      </c>
    </row>
    <row r="151" spans="13:29">
      <c r="M151" s="14"/>
      <c r="T151" s="16"/>
      <c r="U151" s="17">
        <f>IF(AND(COUNTA($A151:$L151)=0,$N151=""),"",IF($T151="Paid","PAID",IF($T151="Closed","CLOSED",IF($Z151="","",IF($Z151=6,"ESCALATED TO ROXANNE",IF(TODAY()&gt;$AB151,"OVERDUE",IF($AB151&lt;=WORKDAY(TODAY(),1,Holidays),"DUE TOMORROW",IF($Z151=4,"ESCALATED TO LOCAL OFFICE",IF($Z151=5,"ESCALATED TO CBE",IF($AA151=TODAY(),"EMAIL SENT","MONITORING"))))))))))</f>
        <v/>
      </c>
      <c r="V151" s="17">
        <f>IF($U151="",IF(AND(COUNTA($A151:$L151)&gt;0,$N151=""),"Awaiting Collection Email time stamp.",""),IF(OR($U151="PAID",$U151="CLOSED"),IF($U151="PAID","Account paid. Action completed.","Account closed. No further action required."),CHOOSE($Z151,"Collection Email","1st Email Follow-up","2nd Email Follow-up","Escalation to Local Office","Escalation to CBE","Escalation to Roxanne")&amp;" sent "&amp;TEXT($AA151,"dd-mmm")&amp;". "&amp;IF($Z151=6,"Final escalation completed.",IF($U151="OVERDUE","Next: "&amp;$AC151&amp;" was due "&amp;TEXT($AB151,"dd-mmm")&amp;" - "&amp;(NETWORKDAYS($AB151,TODAY(),Holidays)-1)&amp;" business day(s) late. Send now.",IF($U151="DUE TOMORROW","Next: "&amp;$AC151&amp;IF($AB151&lt;=TODAY()," is due TODAY ("," is due next business day (")&amp;TEXT($AB151,"dd-mmm")&amp;").","Next: "&amp;$AC151&amp;" due "&amp;TEXT($AB151,"dd-mmm")&amp;" ("&amp;(NETWORKDAYS(TODAY(),$AB151,Holidays)-1)&amp;" business day(s) left).")))))</f>
        <v/>
      </c>
      <c r="W151" s="17">
        <f>IF($Z151="","",CHOOSE($Z151,"Collection Email","1st Follow-up","2nd Follow-up","Local Office","CBE","Roxanne")&amp;IF($Z151=6," - Final"," - Day "&amp;MAX(0,NETWORKDAYS($AA151,TODAY(),Holidays)-1)&amp;" of "&amp;CHOOSE($Z151,3,3,2,2,3))&amp;" | Total Day "&amp;MAX(0,NETWORKDAYS($N151,TODAY(),Holidays)-1))</f>
        <v/>
      </c>
      <c r="X151" s="18"/>
      <c r="Y151" s="18"/>
      <c r="Z151" s="17">
        <f>IF($N151="","",COUNT($N151:$S151))</f>
        <v/>
      </c>
      <c r="AA151" s="19">
        <f>IF($Z151="","",INT(INDEX($N151:$S151,$Z151)))</f>
        <v/>
      </c>
      <c r="AB151" s="19">
        <f>IF(OR($Z151="",$Z151=6),"",WORKDAY($AA151,CHOOSE($Z151,3,3,2,2,3),Holidays))</f>
        <v/>
      </c>
      <c r="AC151" s="17">
        <f>IF(OR($Z151="",$Z151=6),"",CHOOSE($Z151,"1st Email Follow-up","2nd Email Follow-up","Escalate Local Office","Escalate to CBE","Escalate to Roxanne"))</f>
        <v/>
      </c>
    </row>
    <row r="152" spans="13:29">
      <c r="M152" s="14"/>
      <c r="T152" s="16"/>
      <c r="U152" s="17">
        <f>IF(AND(COUNTA($A152:$L152)=0,$N152=""),"",IF($T152="Paid","PAID",IF($T152="Closed","CLOSED",IF($Z152="","",IF($Z152=6,"ESCALATED TO ROXANNE",IF(TODAY()&gt;$AB152,"OVERDUE",IF($AB152&lt;=WORKDAY(TODAY(),1,Holidays),"DUE TOMORROW",IF($Z152=4,"ESCALATED TO LOCAL OFFICE",IF($Z152=5,"ESCALATED TO CBE",IF($AA152=TODAY(),"EMAIL SENT","MONITORING"))))))))))</f>
        <v/>
      </c>
      <c r="V152" s="17">
        <f>IF($U152="",IF(AND(COUNTA($A152:$L152)&gt;0,$N152=""),"Awaiting Collection Email time stamp.",""),IF(OR($U152="PAID",$U152="CLOSED"),IF($U152="PAID","Account paid. Action completed.","Account closed. No further action required."),CHOOSE($Z152,"Collection Email","1st Email Follow-up","2nd Email Follow-up","Escalation to Local Office","Escalation to CBE","Escalation to Roxanne")&amp;" sent "&amp;TEXT($AA152,"dd-mmm")&amp;". "&amp;IF($Z152=6,"Final escalation completed.",IF($U152="OVERDUE","Next: "&amp;$AC152&amp;" was due "&amp;TEXT($AB152,"dd-mmm")&amp;" - "&amp;(NETWORKDAYS($AB152,TODAY(),Holidays)-1)&amp;" business day(s) late. Send now.",IF($U152="DUE TOMORROW","Next: "&amp;$AC152&amp;IF($AB152&lt;=TODAY()," is due TODAY ("," is due next business day (")&amp;TEXT($AB152,"dd-mmm")&amp;").","Next: "&amp;$AC152&amp;" due "&amp;TEXT($AB152,"dd-mmm")&amp;" ("&amp;(NETWORKDAYS(TODAY(),$AB152,Holidays)-1)&amp;" business day(s) left).")))))</f>
        <v/>
      </c>
      <c r="W152" s="17">
        <f>IF($Z152="","",CHOOSE($Z152,"Collection Email","1st Follow-up","2nd Follow-up","Local Office","CBE","Roxanne")&amp;IF($Z152=6," - Final"," - Day "&amp;MAX(0,NETWORKDAYS($AA152,TODAY(),Holidays)-1)&amp;" of "&amp;CHOOSE($Z152,3,3,2,2,3))&amp;" | Total Day "&amp;MAX(0,NETWORKDAYS($N152,TODAY(),Holidays)-1))</f>
        <v/>
      </c>
      <c r="X152" s="18"/>
      <c r="Y152" s="18"/>
      <c r="Z152" s="17">
        <f>IF($N152="","",COUNT($N152:$S152))</f>
        <v/>
      </c>
      <c r="AA152" s="19">
        <f>IF($Z152="","",INT(INDEX($N152:$S152,$Z152)))</f>
        <v/>
      </c>
      <c r="AB152" s="19">
        <f>IF(OR($Z152="",$Z152=6),"",WORKDAY($AA152,CHOOSE($Z152,3,3,2,2,3),Holidays))</f>
        <v/>
      </c>
      <c r="AC152" s="17">
        <f>IF(OR($Z152="",$Z152=6),"",CHOOSE($Z152,"1st Email Follow-up","2nd Email Follow-up","Escalate Local Office","Escalate to CBE","Escalate to Roxanne"))</f>
        <v/>
      </c>
    </row>
    <row r="153" spans="13:29">
      <c r="M153" s="14"/>
      <c r="T153" s="16"/>
      <c r="U153" s="17">
        <f>IF(AND(COUNTA($A153:$L153)=0,$N153=""),"",IF($T153="Paid","PAID",IF($T153="Closed","CLOSED",IF($Z153="","",IF($Z153=6,"ESCALATED TO ROXANNE",IF(TODAY()&gt;$AB153,"OVERDUE",IF($AB153&lt;=WORKDAY(TODAY(),1,Holidays),"DUE TOMORROW",IF($Z153=4,"ESCALATED TO LOCAL OFFICE",IF($Z153=5,"ESCALATED TO CBE",IF($AA153=TODAY(),"EMAIL SENT","MONITORING"))))))))))</f>
        <v/>
      </c>
      <c r="V153" s="17">
        <f>IF($U153="",IF(AND(COUNTA($A153:$L153)&gt;0,$N153=""),"Awaiting Collection Email time stamp.",""),IF(OR($U153="PAID",$U153="CLOSED"),IF($U153="PAID","Account paid. Action completed.","Account closed. No further action required."),CHOOSE($Z153,"Collection Email","1st Email Follow-up","2nd Email Follow-up","Escalation to Local Office","Escalation to CBE","Escalation to Roxanne")&amp;" sent "&amp;TEXT($AA153,"dd-mmm")&amp;". "&amp;IF($Z153=6,"Final escalation completed.",IF($U153="OVERDUE","Next: "&amp;$AC153&amp;" was due "&amp;TEXT($AB153,"dd-mmm")&amp;" - "&amp;(NETWORKDAYS($AB153,TODAY(),Holidays)-1)&amp;" business day(s) late. Send now.",IF($U153="DUE TOMORROW","Next: "&amp;$AC153&amp;IF($AB153&lt;=TODAY()," is due TODAY ("," is due next business day (")&amp;TEXT($AB153,"dd-mmm")&amp;").","Next: "&amp;$AC153&amp;" due "&amp;TEXT($AB153,"dd-mmm")&amp;" ("&amp;(NETWORKDAYS(TODAY(),$AB153,Holidays)-1)&amp;" business day(s) left).")))))</f>
        <v/>
      </c>
      <c r="W153" s="17">
        <f>IF($Z153="","",CHOOSE($Z153,"Collection Email","1st Follow-up","2nd Follow-up","Local Office","CBE","Roxanne")&amp;IF($Z153=6," - Final"," - Day "&amp;MAX(0,NETWORKDAYS($AA153,TODAY(),Holidays)-1)&amp;" of "&amp;CHOOSE($Z153,3,3,2,2,3))&amp;" | Total Day "&amp;MAX(0,NETWORKDAYS($N153,TODAY(),Holidays)-1))</f>
        <v/>
      </c>
      <c r="X153" s="18"/>
      <c r="Y153" s="18"/>
      <c r="Z153" s="17">
        <f>IF($N153="","",COUNT($N153:$S153))</f>
        <v/>
      </c>
      <c r="AA153" s="19">
        <f>IF($Z153="","",INT(INDEX($N153:$S153,$Z153)))</f>
        <v/>
      </c>
      <c r="AB153" s="19">
        <f>IF(OR($Z153="",$Z153=6),"",WORKDAY($AA153,CHOOSE($Z153,3,3,2,2,3),Holidays))</f>
        <v/>
      </c>
      <c r="AC153" s="17">
        <f>IF(OR($Z153="",$Z153=6),"",CHOOSE($Z153,"1st Email Follow-up","2nd Email Follow-up","Escalate Local Office","Escalate to CBE","Escalate to Roxanne"))</f>
        <v/>
      </c>
    </row>
    <row r="154" spans="13:29">
      <c r="M154" s="14"/>
      <c r="T154" s="16"/>
      <c r="U154" s="17">
        <f>IF(AND(COUNTA($A154:$L154)=0,$N154=""),"",IF($T154="Paid","PAID",IF($T154="Closed","CLOSED",IF($Z154="","",IF($Z154=6,"ESCALATED TO ROXANNE",IF(TODAY()&gt;$AB154,"OVERDUE",IF($AB154&lt;=WORKDAY(TODAY(),1,Holidays),"DUE TOMORROW",IF($Z154=4,"ESCALATED TO LOCAL OFFICE",IF($Z154=5,"ESCALATED TO CBE",IF($AA154=TODAY(),"EMAIL SENT","MONITORING"))))))))))</f>
        <v/>
      </c>
      <c r="V154" s="17">
        <f>IF($U154="",IF(AND(COUNTA($A154:$L154)&gt;0,$N154=""),"Awaiting Collection Email time stamp.",""),IF(OR($U154="PAID",$U154="CLOSED"),IF($U154="PAID","Account paid. Action completed.","Account closed. No further action required."),CHOOSE($Z154,"Collection Email","1st Email Follow-up","2nd Email Follow-up","Escalation to Local Office","Escalation to CBE","Escalation to Roxanne")&amp;" sent "&amp;TEXT($AA154,"dd-mmm")&amp;". "&amp;IF($Z154=6,"Final escalation completed.",IF($U154="OVERDUE","Next: "&amp;$AC154&amp;" was due "&amp;TEXT($AB154,"dd-mmm")&amp;" - "&amp;(NETWORKDAYS($AB154,TODAY(),Holidays)-1)&amp;" business day(s) late. Send now.",IF($U154="DUE TOMORROW","Next: "&amp;$AC154&amp;IF($AB154&lt;=TODAY()," is due TODAY ("," is due next business day (")&amp;TEXT($AB154,"dd-mmm")&amp;").","Next: "&amp;$AC154&amp;" due "&amp;TEXT($AB154,"dd-mmm")&amp;" ("&amp;(NETWORKDAYS(TODAY(),$AB154,Holidays)-1)&amp;" business day(s) left).")))))</f>
        <v/>
      </c>
      <c r="W154" s="17">
        <f>IF($Z154="","",CHOOSE($Z154,"Collection Email","1st Follow-up","2nd Follow-up","Local Office","CBE","Roxanne")&amp;IF($Z154=6," - Final"," - Day "&amp;MAX(0,NETWORKDAYS($AA154,TODAY(),Holidays)-1)&amp;" of "&amp;CHOOSE($Z154,3,3,2,2,3))&amp;" | Total Day "&amp;MAX(0,NETWORKDAYS($N154,TODAY(),Holidays)-1))</f>
        <v/>
      </c>
      <c r="X154" s="18"/>
      <c r="Y154" s="18"/>
      <c r="Z154" s="17">
        <f>IF($N154="","",COUNT($N154:$S154))</f>
        <v/>
      </c>
      <c r="AA154" s="19">
        <f>IF($Z154="","",INT(INDEX($N154:$S154,$Z154)))</f>
        <v/>
      </c>
      <c r="AB154" s="19">
        <f>IF(OR($Z154="",$Z154=6),"",WORKDAY($AA154,CHOOSE($Z154,3,3,2,2,3),Holidays))</f>
        <v/>
      </c>
      <c r="AC154" s="17">
        <f>IF(OR($Z154="",$Z154=6),"",CHOOSE($Z154,"1st Email Follow-up","2nd Email Follow-up","Escalate Local Office","Escalate to CBE","Escalate to Roxanne"))</f>
        <v/>
      </c>
    </row>
    <row r="155" spans="13:29">
      <c r="M155" s="14"/>
      <c r="T155" s="16"/>
      <c r="U155" s="17">
        <f>IF(AND(COUNTA($A155:$L155)=0,$N155=""),"",IF($T155="Paid","PAID",IF($T155="Closed","CLOSED",IF($Z155="","",IF($Z155=6,"ESCALATED TO ROXANNE",IF(TODAY()&gt;$AB155,"OVERDUE",IF($AB155&lt;=WORKDAY(TODAY(),1,Holidays),"DUE TOMORROW",IF($Z155=4,"ESCALATED TO LOCAL OFFICE",IF($Z155=5,"ESCALATED TO CBE",IF($AA155=TODAY(),"EMAIL SENT","MONITORING"))))))))))</f>
        <v/>
      </c>
      <c r="V155" s="17">
        <f>IF($U155="",IF(AND(COUNTA($A155:$L155)&gt;0,$N155=""),"Awaiting Collection Email time stamp.",""),IF(OR($U155="PAID",$U155="CLOSED"),IF($U155="PAID","Account paid. Action completed.","Account closed. No further action required."),CHOOSE($Z155,"Collection Email","1st Email Follow-up","2nd Email Follow-up","Escalation to Local Office","Escalation to CBE","Escalation to Roxanne")&amp;" sent "&amp;TEXT($AA155,"dd-mmm")&amp;". "&amp;IF($Z155=6,"Final escalation completed.",IF($U155="OVERDUE","Next: "&amp;$AC155&amp;" was due "&amp;TEXT($AB155,"dd-mmm")&amp;" - "&amp;(NETWORKDAYS($AB155,TODAY(),Holidays)-1)&amp;" business day(s) late. Send now.",IF($U155="DUE TOMORROW","Next: "&amp;$AC155&amp;IF($AB155&lt;=TODAY()," is due TODAY ("," is due next business day (")&amp;TEXT($AB155,"dd-mmm")&amp;").","Next: "&amp;$AC155&amp;" due "&amp;TEXT($AB155,"dd-mmm")&amp;" ("&amp;(NETWORKDAYS(TODAY(),$AB155,Holidays)-1)&amp;" business day(s) left).")))))</f>
        <v/>
      </c>
      <c r="W155" s="17">
        <f>IF($Z155="","",CHOOSE($Z155,"Collection Email","1st Follow-up","2nd Follow-up","Local Office","CBE","Roxanne")&amp;IF($Z155=6," - Final"," - Day "&amp;MAX(0,NETWORKDAYS($AA155,TODAY(),Holidays)-1)&amp;" of "&amp;CHOOSE($Z155,3,3,2,2,3))&amp;" | Total Day "&amp;MAX(0,NETWORKDAYS($N155,TODAY(),Holidays)-1))</f>
        <v/>
      </c>
      <c r="X155" s="18"/>
      <c r="Y155" s="18"/>
      <c r="Z155" s="17">
        <f>IF($N155="","",COUNT($N155:$S155))</f>
        <v/>
      </c>
      <c r="AA155" s="19">
        <f>IF($Z155="","",INT(INDEX($N155:$S155,$Z155)))</f>
        <v/>
      </c>
      <c r="AB155" s="19">
        <f>IF(OR($Z155="",$Z155=6),"",WORKDAY($AA155,CHOOSE($Z155,3,3,2,2,3),Holidays))</f>
        <v/>
      </c>
      <c r="AC155" s="17">
        <f>IF(OR($Z155="",$Z155=6),"",CHOOSE($Z155,"1st Email Follow-up","2nd Email Follow-up","Escalate Local Office","Escalate to CBE","Escalate to Roxanne"))</f>
        <v/>
      </c>
    </row>
    <row r="156" spans="13:29">
      <c r="M156" s="14"/>
      <c r="T156" s="16"/>
      <c r="U156" s="17">
        <f>IF(AND(COUNTA($A156:$L156)=0,$N156=""),"",IF($T156="Paid","PAID",IF($T156="Closed","CLOSED",IF($Z156="","",IF($Z156=6,"ESCALATED TO ROXANNE",IF(TODAY()&gt;$AB156,"OVERDUE",IF($AB156&lt;=WORKDAY(TODAY(),1,Holidays),"DUE TOMORROW",IF($Z156=4,"ESCALATED TO LOCAL OFFICE",IF($Z156=5,"ESCALATED TO CBE",IF($AA156=TODAY(),"EMAIL SENT","MONITORING"))))))))))</f>
        <v/>
      </c>
      <c r="V156" s="17">
        <f>IF($U156="",IF(AND(COUNTA($A156:$L156)&gt;0,$N156=""),"Awaiting Collection Email time stamp.",""),IF(OR($U156="PAID",$U156="CLOSED"),IF($U156="PAID","Account paid. Action completed.","Account closed. No further action required."),CHOOSE($Z156,"Collection Email","1st Email Follow-up","2nd Email Follow-up","Escalation to Local Office","Escalation to CBE","Escalation to Roxanne")&amp;" sent "&amp;TEXT($AA156,"dd-mmm")&amp;". "&amp;IF($Z156=6,"Final escalation completed.",IF($U156="OVERDUE","Next: "&amp;$AC156&amp;" was due "&amp;TEXT($AB156,"dd-mmm")&amp;" - "&amp;(NETWORKDAYS($AB156,TODAY(),Holidays)-1)&amp;" business day(s) late. Send now.",IF($U156="DUE TOMORROW","Next: "&amp;$AC156&amp;IF($AB156&lt;=TODAY()," is due TODAY ("," is due next business day (")&amp;TEXT($AB156,"dd-mmm")&amp;").","Next: "&amp;$AC156&amp;" due "&amp;TEXT($AB156,"dd-mmm")&amp;" ("&amp;(NETWORKDAYS(TODAY(),$AB156,Holidays)-1)&amp;" business day(s) left).")))))</f>
        <v/>
      </c>
      <c r="W156" s="17">
        <f>IF($Z156="","",CHOOSE($Z156,"Collection Email","1st Follow-up","2nd Follow-up","Local Office","CBE","Roxanne")&amp;IF($Z156=6," - Final"," - Day "&amp;MAX(0,NETWORKDAYS($AA156,TODAY(),Holidays)-1)&amp;" of "&amp;CHOOSE($Z156,3,3,2,2,3))&amp;" | Total Day "&amp;MAX(0,NETWORKDAYS($N156,TODAY(),Holidays)-1))</f>
        <v/>
      </c>
      <c r="X156" s="18"/>
      <c r="Y156" s="18"/>
      <c r="Z156" s="17">
        <f>IF($N156="","",COUNT($N156:$S156))</f>
        <v/>
      </c>
      <c r="AA156" s="19">
        <f>IF($Z156="","",INT(INDEX($N156:$S156,$Z156)))</f>
        <v/>
      </c>
      <c r="AB156" s="19">
        <f>IF(OR($Z156="",$Z156=6),"",WORKDAY($AA156,CHOOSE($Z156,3,3,2,2,3),Holidays))</f>
        <v/>
      </c>
      <c r="AC156" s="17">
        <f>IF(OR($Z156="",$Z156=6),"",CHOOSE($Z156,"1st Email Follow-up","2nd Email Follow-up","Escalate Local Office","Escalate to CBE","Escalate to Roxanne"))</f>
        <v/>
      </c>
    </row>
    <row r="157" spans="13:29">
      <c r="M157" s="14"/>
      <c r="T157" s="16"/>
      <c r="U157" s="17">
        <f>IF(AND(COUNTA($A157:$L157)=0,$N157=""),"",IF($T157="Paid","PAID",IF($T157="Closed","CLOSED",IF($Z157="","",IF($Z157=6,"ESCALATED TO ROXANNE",IF(TODAY()&gt;$AB157,"OVERDUE",IF($AB157&lt;=WORKDAY(TODAY(),1,Holidays),"DUE TOMORROW",IF($Z157=4,"ESCALATED TO LOCAL OFFICE",IF($Z157=5,"ESCALATED TO CBE",IF($AA157=TODAY(),"EMAIL SENT","MONITORING"))))))))))</f>
        <v/>
      </c>
      <c r="V157" s="17">
        <f>IF($U157="",IF(AND(COUNTA($A157:$L157)&gt;0,$N157=""),"Awaiting Collection Email time stamp.",""),IF(OR($U157="PAID",$U157="CLOSED"),IF($U157="PAID","Account paid. Action completed.","Account closed. No further action required."),CHOOSE($Z157,"Collection Email","1st Email Follow-up","2nd Email Follow-up","Escalation to Local Office","Escalation to CBE","Escalation to Roxanne")&amp;" sent "&amp;TEXT($AA157,"dd-mmm")&amp;". "&amp;IF($Z157=6,"Final escalation completed.",IF($U157="OVERDUE","Next: "&amp;$AC157&amp;" was due "&amp;TEXT($AB157,"dd-mmm")&amp;" - "&amp;(NETWORKDAYS($AB157,TODAY(),Holidays)-1)&amp;" business day(s) late. Send now.",IF($U157="DUE TOMORROW","Next: "&amp;$AC157&amp;IF($AB157&lt;=TODAY()," is due TODAY ("," is due next business day (")&amp;TEXT($AB157,"dd-mmm")&amp;").","Next: "&amp;$AC157&amp;" due "&amp;TEXT($AB157,"dd-mmm")&amp;" ("&amp;(NETWORKDAYS(TODAY(),$AB157,Holidays)-1)&amp;" business day(s) left).")))))</f>
        <v/>
      </c>
      <c r="W157" s="17">
        <f>IF($Z157="","",CHOOSE($Z157,"Collection Email","1st Follow-up","2nd Follow-up","Local Office","CBE","Roxanne")&amp;IF($Z157=6," - Final"," - Day "&amp;MAX(0,NETWORKDAYS($AA157,TODAY(),Holidays)-1)&amp;" of "&amp;CHOOSE($Z157,3,3,2,2,3))&amp;" | Total Day "&amp;MAX(0,NETWORKDAYS($N157,TODAY(),Holidays)-1))</f>
        <v/>
      </c>
      <c r="X157" s="18"/>
      <c r="Y157" s="18"/>
      <c r="Z157" s="17">
        <f>IF($N157="","",COUNT($N157:$S157))</f>
        <v/>
      </c>
      <c r="AA157" s="19">
        <f>IF($Z157="","",INT(INDEX($N157:$S157,$Z157)))</f>
        <v/>
      </c>
      <c r="AB157" s="19">
        <f>IF(OR($Z157="",$Z157=6),"",WORKDAY($AA157,CHOOSE($Z157,3,3,2,2,3),Holidays))</f>
        <v/>
      </c>
      <c r="AC157" s="17">
        <f>IF(OR($Z157="",$Z157=6),"",CHOOSE($Z157,"1st Email Follow-up","2nd Email Follow-up","Escalate Local Office","Escalate to CBE","Escalate to Roxanne"))</f>
        <v/>
      </c>
    </row>
    <row r="158" spans="13:29">
      <c r="M158" s="14"/>
      <c r="T158" s="16"/>
      <c r="U158" s="17">
        <f>IF(AND(COUNTA($A158:$L158)=0,$N158=""),"",IF($T158="Paid","PAID",IF($T158="Closed","CLOSED",IF($Z158="","",IF($Z158=6,"ESCALATED TO ROXANNE",IF(TODAY()&gt;$AB158,"OVERDUE",IF($AB158&lt;=WORKDAY(TODAY(),1,Holidays),"DUE TOMORROW",IF($Z158=4,"ESCALATED TO LOCAL OFFICE",IF($Z158=5,"ESCALATED TO CBE",IF($AA158=TODAY(),"EMAIL SENT","MONITORING"))))))))))</f>
        <v/>
      </c>
      <c r="V158" s="17">
        <f>IF($U158="",IF(AND(COUNTA($A158:$L158)&gt;0,$N158=""),"Awaiting Collection Email time stamp.",""),IF(OR($U158="PAID",$U158="CLOSED"),IF($U158="PAID","Account paid. Action completed.","Account closed. No further action required."),CHOOSE($Z158,"Collection Email","1st Email Follow-up","2nd Email Follow-up","Escalation to Local Office","Escalation to CBE","Escalation to Roxanne")&amp;" sent "&amp;TEXT($AA158,"dd-mmm")&amp;". "&amp;IF($Z158=6,"Final escalation completed.",IF($U158="OVERDUE","Next: "&amp;$AC158&amp;" was due "&amp;TEXT($AB158,"dd-mmm")&amp;" - "&amp;(NETWORKDAYS($AB158,TODAY(),Holidays)-1)&amp;" business day(s) late. Send now.",IF($U158="DUE TOMORROW","Next: "&amp;$AC158&amp;IF($AB158&lt;=TODAY()," is due TODAY ("," is due next business day (")&amp;TEXT($AB158,"dd-mmm")&amp;").","Next: "&amp;$AC158&amp;" due "&amp;TEXT($AB158,"dd-mmm")&amp;" ("&amp;(NETWORKDAYS(TODAY(),$AB158,Holidays)-1)&amp;" business day(s) left).")))))</f>
        <v/>
      </c>
      <c r="W158" s="17">
        <f>IF($Z158="","",CHOOSE($Z158,"Collection Email","1st Follow-up","2nd Follow-up","Local Office","CBE","Roxanne")&amp;IF($Z158=6," - Final"," - Day "&amp;MAX(0,NETWORKDAYS($AA158,TODAY(),Holidays)-1)&amp;" of "&amp;CHOOSE($Z158,3,3,2,2,3))&amp;" | Total Day "&amp;MAX(0,NETWORKDAYS($N158,TODAY(),Holidays)-1))</f>
        <v/>
      </c>
      <c r="X158" s="18"/>
      <c r="Y158" s="18"/>
      <c r="Z158" s="17">
        <f>IF($N158="","",COUNT($N158:$S158))</f>
        <v/>
      </c>
      <c r="AA158" s="19">
        <f>IF($Z158="","",INT(INDEX($N158:$S158,$Z158)))</f>
        <v/>
      </c>
      <c r="AB158" s="19">
        <f>IF(OR($Z158="",$Z158=6),"",WORKDAY($AA158,CHOOSE($Z158,3,3,2,2,3),Holidays))</f>
        <v/>
      </c>
      <c r="AC158" s="17">
        <f>IF(OR($Z158="",$Z158=6),"",CHOOSE($Z158,"1st Email Follow-up","2nd Email Follow-up","Escalate Local Office","Escalate to CBE","Escalate to Roxanne"))</f>
        <v/>
      </c>
    </row>
    <row r="159" spans="13:29">
      <c r="M159" s="14"/>
      <c r="T159" s="16"/>
      <c r="U159" s="17">
        <f>IF(AND(COUNTA($A159:$L159)=0,$N159=""),"",IF($T159="Paid","PAID",IF($T159="Closed","CLOSED",IF($Z159="","",IF($Z159=6,"ESCALATED TO ROXANNE",IF(TODAY()&gt;$AB159,"OVERDUE",IF($AB159&lt;=WORKDAY(TODAY(),1,Holidays),"DUE TOMORROW",IF($Z159=4,"ESCALATED TO LOCAL OFFICE",IF($Z159=5,"ESCALATED TO CBE",IF($AA159=TODAY(),"EMAIL SENT","MONITORING"))))))))))</f>
        <v/>
      </c>
      <c r="V159" s="17">
        <f>IF($U159="",IF(AND(COUNTA($A159:$L159)&gt;0,$N159=""),"Awaiting Collection Email time stamp.",""),IF(OR($U159="PAID",$U159="CLOSED"),IF($U159="PAID","Account paid. Action completed.","Account closed. No further action required."),CHOOSE($Z159,"Collection Email","1st Email Follow-up","2nd Email Follow-up","Escalation to Local Office","Escalation to CBE","Escalation to Roxanne")&amp;" sent "&amp;TEXT($AA159,"dd-mmm")&amp;". "&amp;IF($Z159=6,"Final escalation completed.",IF($U159="OVERDUE","Next: "&amp;$AC159&amp;" was due "&amp;TEXT($AB159,"dd-mmm")&amp;" - "&amp;(NETWORKDAYS($AB159,TODAY(),Holidays)-1)&amp;" business day(s) late. Send now.",IF($U159="DUE TOMORROW","Next: "&amp;$AC159&amp;IF($AB159&lt;=TODAY()," is due TODAY ("," is due next business day (")&amp;TEXT($AB159,"dd-mmm")&amp;").","Next: "&amp;$AC159&amp;" due "&amp;TEXT($AB159,"dd-mmm")&amp;" ("&amp;(NETWORKDAYS(TODAY(),$AB159,Holidays)-1)&amp;" business day(s) left).")))))</f>
        <v/>
      </c>
      <c r="W159" s="17">
        <f>IF($Z159="","",CHOOSE($Z159,"Collection Email","1st Follow-up","2nd Follow-up","Local Office","CBE","Roxanne")&amp;IF($Z159=6," - Final"," - Day "&amp;MAX(0,NETWORKDAYS($AA159,TODAY(),Holidays)-1)&amp;" of "&amp;CHOOSE($Z159,3,3,2,2,3))&amp;" | Total Day "&amp;MAX(0,NETWORKDAYS($N159,TODAY(),Holidays)-1))</f>
        <v/>
      </c>
      <c r="X159" s="18"/>
      <c r="Y159" s="18"/>
      <c r="Z159" s="17">
        <f>IF($N159="","",COUNT($N159:$S159))</f>
        <v/>
      </c>
      <c r="AA159" s="19">
        <f>IF($Z159="","",INT(INDEX($N159:$S159,$Z159)))</f>
        <v/>
      </c>
      <c r="AB159" s="19">
        <f>IF(OR($Z159="",$Z159=6),"",WORKDAY($AA159,CHOOSE($Z159,3,3,2,2,3),Holidays))</f>
        <v/>
      </c>
      <c r="AC159" s="17">
        <f>IF(OR($Z159="",$Z159=6),"",CHOOSE($Z159,"1st Email Follow-up","2nd Email Follow-up","Escalate Local Office","Escalate to CBE","Escalate to Roxanne"))</f>
        <v/>
      </c>
    </row>
    <row r="160" spans="13:29">
      <c r="M160" s="14"/>
      <c r="T160" s="16"/>
      <c r="U160" s="17">
        <f>IF(AND(COUNTA($A160:$L160)=0,$N160=""),"",IF($T160="Paid","PAID",IF($T160="Closed","CLOSED",IF($Z160="","",IF($Z160=6,"ESCALATED TO ROXANNE",IF(TODAY()&gt;$AB160,"OVERDUE",IF($AB160&lt;=WORKDAY(TODAY(),1,Holidays),"DUE TOMORROW",IF($Z160=4,"ESCALATED TO LOCAL OFFICE",IF($Z160=5,"ESCALATED TO CBE",IF($AA160=TODAY(),"EMAIL SENT","MONITORING"))))))))))</f>
        <v/>
      </c>
      <c r="V160" s="17">
        <f>IF($U160="",IF(AND(COUNTA($A160:$L160)&gt;0,$N160=""),"Awaiting Collection Email time stamp.",""),IF(OR($U160="PAID",$U160="CLOSED"),IF($U160="PAID","Account paid. Action completed.","Account closed. No further action required."),CHOOSE($Z160,"Collection Email","1st Email Follow-up","2nd Email Follow-up","Escalation to Local Office","Escalation to CBE","Escalation to Roxanne")&amp;" sent "&amp;TEXT($AA160,"dd-mmm")&amp;". "&amp;IF($Z160=6,"Final escalation completed.",IF($U160="OVERDUE","Next: "&amp;$AC160&amp;" was due "&amp;TEXT($AB160,"dd-mmm")&amp;" - "&amp;(NETWORKDAYS($AB160,TODAY(),Holidays)-1)&amp;" business day(s) late. Send now.",IF($U160="DUE TOMORROW","Next: "&amp;$AC160&amp;IF($AB160&lt;=TODAY()," is due TODAY ("," is due next business day (")&amp;TEXT($AB160,"dd-mmm")&amp;").","Next: "&amp;$AC160&amp;" due "&amp;TEXT($AB160,"dd-mmm")&amp;" ("&amp;(NETWORKDAYS(TODAY(),$AB160,Holidays)-1)&amp;" business day(s) left).")))))</f>
        <v/>
      </c>
      <c r="W160" s="17">
        <f>IF($Z160="","",CHOOSE($Z160,"Collection Email","1st Follow-up","2nd Follow-up","Local Office","CBE","Roxanne")&amp;IF($Z160=6," - Final"," - Day "&amp;MAX(0,NETWORKDAYS($AA160,TODAY(),Holidays)-1)&amp;" of "&amp;CHOOSE($Z160,3,3,2,2,3))&amp;" | Total Day "&amp;MAX(0,NETWORKDAYS($N160,TODAY(),Holidays)-1))</f>
        <v/>
      </c>
      <c r="X160" s="18"/>
      <c r="Y160" s="18"/>
      <c r="Z160" s="17">
        <f>IF($N160="","",COUNT($N160:$S160))</f>
        <v/>
      </c>
      <c r="AA160" s="19">
        <f>IF($Z160="","",INT(INDEX($N160:$S160,$Z160)))</f>
        <v/>
      </c>
      <c r="AB160" s="19">
        <f>IF(OR($Z160="",$Z160=6),"",WORKDAY($AA160,CHOOSE($Z160,3,3,2,2,3),Holidays))</f>
        <v/>
      </c>
      <c r="AC160" s="17">
        <f>IF(OR($Z160="",$Z160=6),"",CHOOSE($Z160,"1st Email Follow-up","2nd Email Follow-up","Escalate Local Office","Escalate to CBE","Escalate to Roxanne"))</f>
        <v/>
      </c>
    </row>
    <row r="161" spans="13:29">
      <c r="M161" s="14"/>
      <c r="T161" s="16"/>
      <c r="U161" s="17">
        <f>IF(AND(COUNTA($A161:$L161)=0,$N161=""),"",IF($T161="Paid","PAID",IF($T161="Closed","CLOSED",IF($Z161="","",IF($Z161=6,"ESCALATED TO ROXANNE",IF(TODAY()&gt;$AB161,"OVERDUE",IF($AB161&lt;=WORKDAY(TODAY(),1,Holidays),"DUE TOMORROW",IF($Z161=4,"ESCALATED TO LOCAL OFFICE",IF($Z161=5,"ESCALATED TO CBE",IF($AA161=TODAY(),"EMAIL SENT","MONITORING"))))))))))</f>
        <v/>
      </c>
      <c r="V161" s="17">
        <f>IF($U161="",IF(AND(COUNTA($A161:$L161)&gt;0,$N161=""),"Awaiting Collection Email time stamp.",""),IF(OR($U161="PAID",$U161="CLOSED"),IF($U161="PAID","Account paid. Action completed.","Account closed. No further action required."),CHOOSE($Z161,"Collection Email","1st Email Follow-up","2nd Email Follow-up","Escalation to Local Office","Escalation to CBE","Escalation to Roxanne")&amp;" sent "&amp;TEXT($AA161,"dd-mmm")&amp;". "&amp;IF($Z161=6,"Final escalation completed.",IF($U161="OVERDUE","Next: "&amp;$AC161&amp;" was due "&amp;TEXT($AB161,"dd-mmm")&amp;" - "&amp;(NETWORKDAYS($AB161,TODAY(),Holidays)-1)&amp;" business day(s) late. Send now.",IF($U161="DUE TOMORROW","Next: "&amp;$AC161&amp;IF($AB161&lt;=TODAY()," is due TODAY ("," is due next business day (")&amp;TEXT($AB161,"dd-mmm")&amp;").","Next: "&amp;$AC161&amp;" due "&amp;TEXT($AB161,"dd-mmm")&amp;" ("&amp;(NETWORKDAYS(TODAY(),$AB161,Holidays)-1)&amp;" business day(s) left).")))))</f>
        <v/>
      </c>
      <c r="W161" s="17">
        <f>IF($Z161="","",CHOOSE($Z161,"Collection Email","1st Follow-up","2nd Follow-up","Local Office","CBE","Roxanne")&amp;IF($Z161=6," - Final"," - Day "&amp;MAX(0,NETWORKDAYS($AA161,TODAY(),Holidays)-1)&amp;" of "&amp;CHOOSE($Z161,3,3,2,2,3))&amp;" | Total Day "&amp;MAX(0,NETWORKDAYS($N161,TODAY(),Holidays)-1))</f>
        <v/>
      </c>
      <c r="X161" s="18"/>
      <c r="Y161" s="18"/>
      <c r="Z161" s="17">
        <f>IF($N161="","",COUNT($N161:$S161))</f>
        <v/>
      </c>
      <c r="AA161" s="19">
        <f>IF($Z161="","",INT(INDEX($N161:$S161,$Z161)))</f>
        <v/>
      </c>
      <c r="AB161" s="19">
        <f>IF(OR($Z161="",$Z161=6),"",WORKDAY($AA161,CHOOSE($Z161,3,3,2,2,3),Holidays))</f>
        <v/>
      </c>
      <c r="AC161" s="17">
        <f>IF(OR($Z161="",$Z161=6),"",CHOOSE($Z161,"1st Email Follow-up","2nd Email Follow-up","Escalate Local Office","Escalate to CBE","Escalate to Roxanne"))</f>
        <v/>
      </c>
    </row>
    <row r="162" spans="13:29">
      <c r="M162" s="14"/>
      <c r="T162" s="16"/>
      <c r="U162" s="17">
        <f>IF(AND(COUNTA($A162:$L162)=0,$N162=""),"",IF($T162="Paid","PAID",IF($T162="Closed","CLOSED",IF($Z162="","",IF($Z162=6,"ESCALATED TO ROXANNE",IF(TODAY()&gt;$AB162,"OVERDUE",IF($AB162&lt;=WORKDAY(TODAY(),1,Holidays),"DUE TOMORROW",IF($Z162=4,"ESCALATED TO LOCAL OFFICE",IF($Z162=5,"ESCALATED TO CBE",IF($AA162=TODAY(),"EMAIL SENT","MONITORING"))))))))))</f>
        <v/>
      </c>
      <c r="V162" s="17">
        <f>IF($U162="",IF(AND(COUNTA($A162:$L162)&gt;0,$N162=""),"Awaiting Collection Email time stamp.",""),IF(OR($U162="PAID",$U162="CLOSED"),IF($U162="PAID","Account paid. Action completed.","Account closed. No further action required."),CHOOSE($Z162,"Collection Email","1st Email Follow-up","2nd Email Follow-up","Escalation to Local Office","Escalation to CBE","Escalation to Roxanne")&amp;" sent "&amp;TEXT($AA162,"dd-mmm")&amp;". "&amp;IF($Z162=6,"Final escalation completed.",IF($U162="OVERDUE","Next: "&amp;$AC162&amp;" was due "&amp;TEXT($AB162,"dd-mmm")&amp;" - "&amp;(NETWORKDAYS($AB162,TODAY(),Holidays)-1)&amp;" business day(s) late. Send now.",IF($U162="DUE TOMORROW","Next: "&amp;$AC162&amp;IF($AB162&lt;=TODAY()," is due TODAY ("," is due next business day (")&amp;TEXT($AB162,"dd-mmm")&amp;").","Next: "&amp;$AC162&amp;" due "&amp;TEXT($AB162,"dd-mmm")&amp;" ("&amp;(NETWORKDAYS(TODAY(),$AB162,Holidays)-1)&amp;" business day(s) left).")))))</f>
        <v/>
      </c>
      <c r="W162" s="17">
        <f>IF($Z162="","",CHOOSE($Z162,"Collection Email","1st Follow-up","2nd Follow-up","Local Office","CBE","Roxanne")&amp;IF($Z162=6," - Final"," - Day "&amp;MAX(0,NETWORKDAYS($AA162,TODAY(),Holidays)-1)&amp;" of "&amp;CHOOSE($Z162,3,3,2,2,3))&amp;" | Total Day "&amp;MAX(0,NETWORKDAYS($N162,TODAY(),Holidays)-1))</f>
        <v/>
      </c>
      <c r="X162" s="18"/>
      <c r="Y162" s="18"/>
      <c r="Z162" s="17">
        <f>IF($N162="","",COUNT($N162:$S162))</f>
        <v/>
      </c>
      <c r="AA162" s="19">
        <f>IF($Z162="","",INT(INDEX($N162:$S162,$Z162)))</f>
        <v/>
      </c>
      <c r="AB162" s="19">
        <f>IF(OR($Z162="",$Z162=6),"",WORKDAY($AA162,CHOOSE($Z162,3,3,2,2,3),Holidays))</f>
        <v/>
      </c>
      <c r="AC162" s="17">
        <f>IF(OR($Z162="",$Z162=6),"",CHOOSE($Z162,"1st Email Follow-up","2nd Email Follow-up","Escalate Local Office","Escalate to CBE","Escalate to Roxanne"))</f>
        <v/>
      </c>
    </row>
    <row r="163" spans="13:29">
      <c r="M163" s="14"/>
      <c r="T163" s="16"/>
      <c r="U163" s="17">
        <f>IF(AND(COUNTA($A163:$L163)=0,$N163=""),"",IF($T163="Paid","PAID",IF($T163="Closed","CLOSED",IF($Z163="","",IF($Z163=6,"ESCALATED TO ROXANNE",IF(TODAY()&gt;$AB163,"OVERDUE",IF($AB163&lt;=WORKDAY(TODAY(),1,Holidays),"DUE TOMORROW",IF($Z163=4,"ESCALATED TO LOCAL OFFICE",IF($Z163=5,"ESCALATED TO CBE",IF($AA163=TODAY(),"EMAIL SENT","MONITORING"))))))))))</f>
        <v/>
      </c>
      <c r="V163" s="17">
        <f>IF($U163="",IF(AND(COUNTA($A163:$L163)&gt;0,$N163=""),"Awaiting Collection Email time stamp.",""),IF(OR($U163="PAID",$U163="CLOSED"),IF($U163="PAID","Account paid. Action completed.","Account closed. No further action required."),CHOOSE($Z163,"Collection Email","1st Email Follow-up","2nd Email Follow-up","Escalation to Local Office","Escalation to CBE","Escalation to Roxanne")&amp;" sent "&amp;TEXT($AA163,"dd-mmm")&amp;". "&amp;IF($Z163=6,"Final escalation completed.",IF($U163="OVERDUE","Next: "&amp;$AC163&amp;" was due "&amp;TEXT($AB163,"dd-mmm")&amp;" - "&amp;(NETWORKDAYS($AB163,TODAY(),Holidays)-1)&amp;" business day(s) late. Send now.",IF($U163="DUE TOMORROW","Next: "&amp;$AC163&amp;IF($AB163&lt;=TODAY()," is due TODAY ("," is due next business day (")&amp;TEXT($AB163,"dd-mmm")&amp;").","Next: "&amp;$AC163&amp;" due "&amp;TEXT($AB163,"dd-mmm")&amp;" ("&amp;(NETWORKDAYS(TODAY(),$AB163,Holidays)-1)&amp;" business day(s) left).")))))</f>
        <v/>
      </c>
      <c r="W163" s="17">
        <f>IF($Z163="","",CHOOSE($Z163,"Collection Email","1st Follow-up","2nd Follow-up","Local Office","CBE","Roxanne")&amp;IF($Z163=6," - Final"," - Day "&amp;MAX(0,NETWORKDAYS($AA163,TODAY(),Holidays)-1)&amp;" of "&amp;CHOOSE($Z163,3,3,2,2,3))&amp;" | Total Day "&amp;MAX(0,NETWORKDAYS($N163,TODAY(),Holidays)-1))</f>
        <v/>
      </c>
      <c r="X163" s="18"/>
      <c r="Y163" s="18"/>
      <c r="Z163" s="17">
        <f>IF($N163="","",COUNT($N163:$S163))</f>
        <v/>
      </c>
      <c r="AA163" s="19">
        <f>IF($Z163="","",INT(INDEX($N163:$S163,$Z163)))</f>
        <v/>
      </c>
      <c r="AB163" s="19">
        <f>IF(OR($Z163="",$Z163=6),"",WORKDAY($AA163,CHOOSE($Z163,3,3,2,2,3),Holidays))</f>
        <v/>
      </c>
      <c r="AC163" s="17">
        <f>IF(OR($Z163="",$Z163=6),"",CHOOSE($Z163,"1st Email Follow-up","2nd Email Follow-up","Escalate Local Office","Escalate to CBE","Escalate to Roxanne"))</f>
        <v/>
      </c>
    </row>
    <row r="164" spans="13:29">
      <c r="M164" s="14"/>
      <c r="T164" s="16"/>
      <c r="U164" s="17">
        <f>IF(AND(COUNTA($A164:$L164)=0,$N164=""),"",IF($T164="Paid","PAID",IF($T164="Closed","CLOSED",IF($Z164="","",IF($Z164=6,"ESCALATED TO ROXANNE",IF(TODAY()&gt;$AB164,"OVERDUE",IF($AB164&lt;=WORKDAY(TODAY(),1,Holidays),"DUE TOMORROW",IF($Z164=4,"ESCALATED TO LOCAL OFFICE",IF($Z164=5,"ESCALATED TO CBE",IF($AA164=TODAY(),"EMAIL SENT","MONITORING"))))))))))</f>
        <v/>
      </c>
      <c r="V164" s="17">
        <f>IF($U164="",IF(AND(COUNTA($A164:$L164)&gt;0,$N164=""),"Awaiting Collection Email time stamp.",""),IF(OR($U164="PAID",$U164="CLOSED"),IF($U164="PAID","Account paid. Action completed.","Account closed. No further action required."),CHOOSE($Z164,"Collection Email","1st Email Follow-up","2nd Email Follow-up","Escalation to Local Office","Escalation to CBE","Escalation to Roxanne")&amp;" sent "&amp;TEXT($AA164,"dd-mmm")&amp;". "&amp;IF($Z164=6,"Final escalation completed.",IF($U164="OVERDUE","Next: "&amp;$AC164&amp;" was due "&amp;TEXT($AB164,"dd-mmm")&amp;" - "&amp;(NETWORKDAYS($AB164,TODAY(),Holidays)-1)&amp;" business day(s) late. Send now.",IF($U164="DUE TOMORROW","Next: "&amp;$AC164&amp;IF($AB164&lt;=TODAY()," is due TODAY ("," is due next business day (")&amp;TEXT($AB164,"dd-mmm")&amp;").","Next: "&amp;$AC164&amp;" due "&amp;TEXT($AB164,"dd-mmm")&amp;" ("&amp;(NETWORKDAYS(TODAY(),$AB164,Holidays)-1)&amp;" business day(s) left).")))))</f>
        <v/>
      </c>
      <c r="W164" s="17">
        <f>IF($Z164="","",CHOOSE($Z164,"Collection Email","1st Follow-up","2nd Follow-up","Local Office","CBE","Roxanne")&amp;IF($Z164=6," - Final"," - Day "&amp;MAX(0,NETWORKDAYS($AA164,TODAY(),Holidays)-1)&amp;" of "&amp;CHOOSE($Z164,3,3,2,2,3))&amp;" | Total Day "&amp;MAX(0,NETWORKDAYS($N164,TODAY(),Holidays)-1))</f>
        <v/>
      </c>
      <c r="X164" s="18"/>
      <c r="Y164" s="18"/>
      <c r="Z164" s="17">
        <f>IF($N164="","",COUNT($N164:$S164))</f>
        <v/>
      </c>
      <c r="AA164" s="19">
        <f>IF($Z164="","",INT(INDEX($N164:$S164,$Z164)))</f>
        <v/>
      </c>
      <c r="AB164" s="19">
        <f>IF(OR($Z164="",$Z164=6),"",WORKDAY($AA164,CHOOSE($Z164,3,3,2,2,3),Holidays))</f>
        <v/>
      </c>
      <c r="AC164" s="17">
        <f>IF(OR($Z164="",$Z164=6),"",CHOOSE($Z164,"1st Email Follow-up","2nd Email Follow-up","Escalate Local Office","Escalate to CBE","Escalate to Roxanne"))</f>
        <v/>
      </c>
    </row>
    <row r="165" spans="13:29">
      <c r="M165" s="14"/>
      <c r="T165" s="16"/>
      <c r="U165" s="17">
        <f>IF(AND(COUNTA($A165:$L165)=0,$N165=""),"",IF($T165="Paid","PAID",IF($T165="Closed","CLOSED",IF($Z165="","",IF($Z165=6,"ESCALATED TO ROXANNE",IF(TODAY()&gt;$AB165,"OVERDUE",IF($AB165&lt;=WORKDAY(TODAY(),1,Holidays),"DUE TOMORROW",IF($Z165=4,"ESCALATED TO LOCAL OFFICE",IF($Z165=5,"ESCALATED TO CBE",IF($AA165=TODAY(),"EMAIL SENT","MONITORING"))))))))))</f>
        <v/>
      </c>
      <c r="V165" s="17">
        <f>IF($U165="",IF(AND(COUNTA($A165:$L165)&gt;0,$N165=""),"Awaiting Collection Email time stamp.",""),IF(OR($U165="PAID",$U165="CLOSED"),IF($U165="PAID","Account paid. Action completed.","Account closed. No further action required."),CHOOSE($Z165,"Collection Email","1st Email Follow-up","2nd Email Follow-up","Escalation to Local Office","Escalation to CBE","Escalation to Roxanne")&amp;" sent "&amp;TEXT($AA165,"dd-mmm")&amp;". "&amp;IF($Z165=6,"Final escalation completed.",IF($U165="OVERDUE","Next: "&amp;$AC165&amp;" was due "&amp;TEXT($AB165,"dd-mmm")&amp;" - "&amp;(NETWORKDAYS($AB165,TODAY(),Holidays)-1)&amp;" business day(s) late. Send now.",IF($U165="DUE TOMORROW","Next: "&amp;$AC165&amp;IF($AB165&lt;=TODAY()," is due TODAY ("," is due next business day (")&amp;TEXT($AB165,"dd-mmm")&amp;").","Next: "&amp;$AC165&amp;" due "&amp;TEXT($AB165,"dd-mmm")&amp;" ("&amp;(NETWORKDAYS(TODAY(),$AB165,Holidays)-1)&amp;" business day(s) left).")))))</f>
        <v/>
      </c>
      <c r="W165" s="17">
        <f>IF($Z165="","",CHOOSE($Z165,"Collection Email","1st Follow-up","2nd Follow-up","Local Office","CBE","Roxanne")&amp;IF($Z165=6," - Final"," - Day "&amp;MAX(0,NETWORKDAYS($AA165,TODAY(),Holidays)-1)&amp;" of "&amp;CHOOSE($Z165,3,3,2,2,3))&amp;" | Total Day "&amp;MAX(0,NETWORKDAYS($N165,TODAY(),Holidays)-1))</f>
        <v/>
      </c>
      <c r="X165" s="18"/>
      <c r="Y165" s="18"/>
      <c r="Z165" s="17">
        <f>IF($N165="","",COUNT($N165:$S165))</f>
        <v/>
      </c>
      <c r="AA165" s="19">
        <f>IF($Z165="","",INT(INDEX($N165:$S165,$Z165)))</f>
        <v/>
      </c>
      <c r="AB165" s="19">
        <f>IF(OR($Z165="",$Z165=6),"",WORKDAY($AA165,CHOOSE($Z165,3,3,2,2,3),Holidays))</f>
        <v/>
      </c>
      <c r="AC165" s="17">
        <f>IF(OR($Z165="",$Z165=6),"",CHOOSE($Z165,"1st Email Follow-up","2nd Email Follow-up","Escalate Local Office","Escalate to CBE","Escalate to Roxanne"))</f>
        <v/>
      </c>
    </row>
    <row r="166" spans="13:29">
      <c r="M166" s="14"/>
      <c r="T166" s="16"/>
      <c r="U166" s="17">
        <f>IF(AND(COUNTA($A166:$L166)=0,$N166=""),"",IF($T166="Paid","PAID",IF($T166="Closed","CLOSED",IF($Z166="","",IF($Z166=6,"ESCALATED TO ROXANNE",IF(TODAY()&gt;$AB166,"OVERDUE",IF($AB166&lt;=WORKDAY(TODAY(),1,Holidays),"DUE TOMORROW",IF($Z166=4,"ESCALATED TO LOCAL OFFICE",IF($Z166=5,"ESCALATED TO CBE",IF($AA166=TODAY(),"EMAIL SENT","MONITORING"))))))))))</f>
        <v/>
      </c>
      <c r="V166" s="17">
        <f>IF($U166="",IF(AND(COUNTA($A166:$L166)&gt;0,$N166=""),"Awaiting Collection Email time stamp.",""),IF(OR($U166="PAID",$U166="CLOSED"),IF($U166="PAID","Account paid. Action completed.","Account closed. No further action required."),CHOOSE($Z166,"Collection Email","1st Email Follow-up","2nd Email Follow-up","Escalation to Local Office","Escalation to CBE","Escalation to Roxanne")&amp;" sent "&amp;TEXT($AA166,"dd-mmm")&amp;". "&amp;IF($Z166=6,"Final escalation completed.",IF($U166="OVERDUE","Next: "&amp;$AC166&amp;" was due "&amp;TEXT($AB166,"dd-mmm")&amp;" - "&amp;(NETWORKDAYS($AB166,TODAY(),Holidays)-1)&amp;" business day(s) late. Send now.",IF($U166="DUE TOMORROW","Next: "&amp;$AC166&amp;IF($AB166&lt;=TODAY()," is due TODAY ("," is due next business day (")&amp;TEXT($AB166,"dd-mmm")&amp;").","Next: "&amp;$AC166&amp;" due "&amp;TEXT($AB166,"dd-mmm")&amp;" ("&amp;(NETWORKDAYS(TODAY(),$AB166,Holidays)-1)&amp;" business day(s) left).")))))</f>
        <v/>
      </c>
      <c r="W166" s="17">
        <f>IF($Z166="","",CHOOSE($Z166,"Collection Email","1st Follow-up","2nd Follow-up","Local Office","CBE","Roxanne")&amp;IF($Z166=6," - Final"," - Day "&amp;MAX(0,NETWORKDAYS($AA166,TODAY(),Holidays)-1)&amp;" of "&amp;CHOOSE($Z166,3,3,2,2,3))&amp;" | Total Day "&amp;MAX(0,NETWORKDAYS($N166,TODAY(),Holidays)-1))</f>
        <v/>
      </c>
      <c r="X166" s="18"/>
      <c r="Y166" s="18"/>
      <c r="Z166" s="17">
        <f>IF($N166="","",COUNT($N166:$S166))</f>
        <v/>
      </c>
      <c r="AA166" s="19">
        <f>IF($Z166="","",INT(INDEX($N166:$S166,$Z166)))</f>
        <v/>
      </c>
      <c r="AB166" s="19">
        <f>IF(OR($Z166="",$Z166=6),"",WORKDAY($AA166,CHOOSE($Z166,3,3,2,2,3),Holidays))</f>
        <v/>
      </c>
      <c r="AC166" s="17">
        <f>IF(OR($Z166="",$Z166=6),"",CHOOSE($Z166,"1st Email Follow-up","2nd Email Follow-up","Escalate Local Office","Escalate to CBE","Escalate to Roxanne"))</f>
        <v/>
      </c>
    </row>
    <row r="167" spans="13:29">
      <c r="M167" s="14"/>
      <c r="T167" s="16"/>
      <c r="U167" s="17">
        <f>IF(AND(COUNTA($A167:$L167)=0,$N167=""),"",IF($T167="Paid","PAID",IF($T167="Closed","CLOSED",IF($Z167="","",IF($Z167=6,"ESCALATED TO ROXANNE",IF(TODAY()&gt;$AB167,"OVERDUE",IF($AB167&lt;=WORKDAY(TODAY(),1,Holidays),"DUE TOMORROW",IF($Z167=4,"ESCALATED TO LOCAL OFFICE",IF($Z167=5,"ESCALATED TO CBE",IF($AA167=TODAY(),"EMAIL SENT","MONITORING"))))))))))</f>
        <v/>
      </c>
      <c r="V167" s="17">
        <f>IF($U167="",IF(AND(COUNTA($A167:$L167)&gt;0,$N167=""),"Awaiting Collection Email time stamp.",""),IF(OR($U167="PAID",$U167="CLOSED"),IF($U167="PAID","Account paid. Action completed.","Account closed. No further action required."),CHOOSE($Z167,"Collection Email","1st Email Follow-up","2nd Email Follow-up","Escalation to Local Office","Escalation to CBE","Escalation to Roxanne")&amp;" sent "&amp;TEXT($AA167,"dd-mmm")&amp;". "&amp;IF($Z167=6,"Final escalation completed.",IF($U167="OVERDUE","Next: "&amp;$AC167&amp;" was due "&amp;TEXT($AB167,"dd-mmm")&amp;" - "&amp;(NETWORKDAYS($AB167,TODAY(),Holidays)-1)&amp;" business day(s) late. Send now.",IF($U167="DUE TOMORROW","Next: "&amp;$AC167&amp;IF($AB167&lt;=TODAY()," is due TODAY ("," is due next business day (")&amp;TEXT($AB167,"dd-mmm")&amp;").","Next: "&amp;$AC167&amp;" due "&amp;TEXT($AB167,"dd-mmm")&amp;" ("&amp;(NETWORKDAYS(TODAY(),$AB167,Holidays)-1)&amp;" business day(s) left).")))))</f>
        <v/>
      </c>
      <c r="W167" s="17">
        <f>IF($Z167="","",CHOOSE($Z167,"Collection Email","1st Follow-up","2nd Follow-up","Local Office","CBE","Roxanne")&amp;IF($Z167=6," - Final"," - Day "&amp;MAX(0,NETWORKDAYS($AA167,TODAY(),Holidays)-1)&amp;" of "&amp;CHOOSE($Z167,3,3,2,2,3))&amp;" | Total Day "&amp;MAX(0,NETWORKDAYS($N167,TODAY(),Holidays)-1))</f>
        <v/>
      </c>
      <c r="X167" s="18"/>
      <c r="Y167" s="18"/>
      <c r="Z167" s="17">
        <f>IF($N167="","",COUNT($N167:$S167))</f>
        <v/>
      </c>
      <c r="AA167" s="19">
        <f>IF($Z167="","",INT(INDEX($N167:$S167,$Z167)))</f>
        <v/>
      </c>
      <c r="AB167" s="19">
        <f>IF(OR($Z167="",$Z167=6),"",WORKDAY($AA167,CHOOSE($Z167,3,3,2,2,3),Holidays))</f>
        <v/>
      </c>
      <c r="AC167" s="17">
        <f>IF(OR($Z167="",$Z167=6),"",CHOOSE($Z167,"1st Email Follow-up","2nd Email Follow-up","Escalate Local Office","Escalate to CBE","Escalate to Roxanne"))</f>
        <v/>
      </c>
    </row>
    <row r="168" spans="13:29">
      <c r="M168" s="14"/>
      <c r="T168" s="16"/>
      <c r="U168" s="17">
        <f>IF(AND(COUNTA($A168:$L168)=0,$N168=""),"",IF($T168="Paid","PAID",IF($T168="Closed","CLOSED",IF($Z168="","",IF($Z168=6,"ESCALATED TO ROXANNE",IF(TODAY()&gt;$AB168,"OVERDUE",IF($AB168&lt;=WORKDAY(TODAY(),1,Holidays),"DUE TOMORROW",IF($Z168=4,"ESCALATED TO LOCAL OFFICE",IF($Z168=5,"ESCALATED TO CBE",IF($AA168=TODAY(),"EMAIL SENT","MONITORING"))))))))))</f>
        <v/>
      </c>
      <c r="V168" s="17">
        <f>IF($U168="",IF(AND(COUNTA($A168:$L168)&gt;0,$N168=""),"Awaiting Collection Email time stamp.",""),IF(OR($U168="PAID",$U168="CLOSED"),IF($U168="PAID","Account paid. Action completed.","Account closed. No further action required."),CHOOSE($Z168,"Collection Email","1st Email Follow-up","2nd Email Follow-up","Escalation to Local Office","Escalation to CBE","Escalation to Roxanne")&amp;" sent "&amp;TEXT($AA168,"dd-mmm")&amp;". "&amp;IF($Z168=6,"Final escalation completed.",IF($U168="OVERDUE","Next: "&amp;$AC168&amp;" was due "&amp;TEXT($AB168,"dd-mmm")&amp;" - "&amp;(NETWORKDAYS($AB168,TODAY(),Holidays)-1)&amp;" business day(s) late. Send now.",IF($U168="DUE TOMORROW","Next: "&amp;$AC168&amp;IF($AB168&lt;=TODAY()," is due TODAY ("," is due next business day (")&amp;TEXT($AB168,"dd-mmm")&amp;").","Next: "&amp;$AC168&amp;" due "&amp;TEXT($AB168,"dd-mmm")&amp;" ("&amp;(NETWORKDAYS(TODAY(),$AB168,Holidays)-1)&amp;" business day(s) left).")))))</f>
        <v/>
      </c>
      <c r="W168" s="17">
        <f>IF($Z168="","",CHOOSE($Z168,"Collection Email","1st Follow-up","2nd Follow-up","Local Office","CBE","Roxanne")&amp;IF($Z168=6," - Final"," - Day "&amp;MAX(0,NETWORKDAYS($AA168,TODAY(),Holidays)-1)&amp;" of "&amp;CHOOSE($Z168,3,3,2,2,3))&amp;" | Total Day "&amp;MAX(0,NETWORKDAYS($N168,TODAY(),Holidays)-1))</f>
        <v/>
      </c>
      <c r="X168" s="18"/>
      <c r="Y168" s="18"/>
      <c r="Z168" s="17">
        <f>IF($N168="","",COUNT($N168:$S168))</f>
        <v/>
      </c>
      <c r="AA168" s="19">
        <f>IF($Z168="","",INT(INDEX($N168:$S168,$Z168)))</f>
        <v/>
      </c>
      <c r="AB168" s="19">
        <f>IF(OR($Z168="",$Z168=6),"",WORKDAY($AA168,CHOOSE($Z168,3,3,2,2,3),Holidays))</f>
        <v/>
      </c>
      <c r="AC168" s="17">
        <f>IF(OR($Z168="",$Z168=6),"",CHOOSE($Z168,"1st Email Follow-up","2nd Email Follow-up","Escalate Local Office","Escalate to CBE","Escalate to Roxanne"))</f>
        <v/>
      </c>
    </row>
    <row r="169" spans="13:29">
      <c r="M169" s="14"/>
      <c r="T169" s="16"/>
      <c r="U169" s="17">
        <f>IF(AND(COUNTA($A169:$L169)=0,$N169=""),"",IF($T169="Paid","PAID",IF($T169="Closed","CLOSED",IF($Z169="","",IF($Z169=6,"ESCALATED TO ROXANNE",IF(TODAY()&gt;$AB169,"OVERDUE",IF($AB169&lt;=WORKDAY(TODAY(),1,Holidays),"DUE TOMORROW",IF($Z169=4,"ESCALATED TO LOCAL OFFICE",IF($Z169=5,"ESCALATED TO CBE",IF($AA169=TODAY(),"EMAIL SENT","MONITORING"))))))))))</f>
        <v/>
      </c>
      <c r="V169" s="17">
        <f>IF($U169="",IF(AND(COUNTA($A169:$L169)&gt;0,$N169=""),"Awaiting Collection Email time stamp.",""),IF(OR($U169="PAID",$U169="CLOSED"),IF($U169="PAID","Account paid. Action completed.","Account closed. No further action required."),CHOOSE($Z169,"Collection Email","1st Email Follow-up","2nd Email Follow-up","Escalation to Local Office","Escalation to CBE","Escalation to Roxanne")&amp;" sent "&amp;TEXT($AA169,"dd-mmm")&amp;". "&amp;IF($Z169=6,"Final escalation completed.",IF($U169="OVERDUE","Next: "&amp;$AC169&amp;" was due "&amp;TEXT($AB169,"dd-mmm")&amp;" - "&amp;(NETWORKDAYS($AB169,TODAY(),Holidays)-1)&amp;" business day(s) late. Send now.",IF($U169="DUE TOMORROW","Next: "&amp;$AC169&amp;IF($AB169&lt;=TODAY()," is due TODAY ("," is due next business day (")&amp;TEXT($AB169,"dd-mmm")&amp;").","Next: "&amp;$AC169&amp;" due "&amp;TEXT($AB169,"dd-mmm")&amp;" ("&amp;(NETWORKDAYS(TODAY(),$AB169,Holidays)-1)&amp;" business day(s) left).")))))</f>
        <v/>
      </c>
      <c r="W169" s="17">
        <f>IF($Z169="","",CHOOSE($Z169,"Collection Email","1st Follow-up","2nd Follow-up","Local Office","CBE","Roxanne")&amp;IF($Z169=6," - Final"," - Day "&amp;MAX(0,NETWORKDAYS($AA169,TODAY(),Holidays)-1)&amp;" of "&amp;CHOOSE($Z169,3,3,2,2,3))&amp;" | Total Day "&amp;MAX(0,NETWORKDAYS($N169,TODAY(),Holidays)-1))</f>
        <v/>
      </c>
      <c r="X169" s="18"/>
      <c r="Y169" s="18"/>
      <c r="Z169" s="17">
        <f>IF($N169="","",COUNT($N169:$S169))</f>
        <v/>
      </c>
      <c r="AA169" s="19">
        <f>IF($Z169="","",INT(INDEX($N169:$S169,$Z169)))</f>
        <v/>
      </c>
      <c r="AB169" s="19">
        <f>IF(OR($Z169="",$Z169=6),"",WORKDAY($AA169,CHOOSE($Z169,3,3,2,2,3),Holidays))</f>
        <v/>
      </c>
      <c r="AC169" s="17">
        <f>IF(OR($Z169="",$Z169=6),"",CHOOSE($Z169,"1st Email Follow-up","2nd Email Follow-up","Escalate Local Office","Escalate to CBE","Escalate to Roxanne"))</f>
        <v/>
      </c>
    </row>
    <row r="170" spans="13:29">
      <c r="M170" s="14"/>
      <c r="T170" s="16"/>
      <c r="U170" s="17">
        <f>IF(AND(COUNTA($A170:$L170)=0,$N170=""),"",IF($T170="Paid","PAID",IF($T170="Closed","CLOSED",IF($Z170="","",IF($Z170=6,"ESCALATED TO ROXANNE",IF(TODAY()&gt;$AB170,"OVERDUE",IF($AB170&lt;=WORKDAY(TODAY(),1,Holidays),"DUE TOMORROW",IF($Z170=4,"ESCALATED TO LOCAL OFFICE",IF($Z170=5,"ESCALATED TO CBE",IF($AA170=TODAY(),"EMAIL SENT","MONITORING"))))))))))</f>
        <v/>
      </c>
      <c r="V170" s="17">
        <f>IF($U170="",IF(AND(COUNTA($A170:$L170)&gt;0,$N170=""),"Awaiting Collection Email time stamp.",""),IF(OR($U170="PAID",$U170="CLOSED"),IF($U170="PAID","Account paid. Action completed.","Account closed. No further action required."),CHOOSE($Z170,"Collection Email","1st Email Follow-up","2nd Email Follow-up","Escalation to Local Office","Escalation to CBE","Escalation to Roxanne")&amp;" sent "&amp;TEXT($AA170,"dd-mmm")&amp;". "&amp;IF($Z170=6,"Final escalation completed.",IF($U170="OVERDUE","Next: "&amp;$AC170&amp;" was due "&amp;TEXT($AB170,"dd-mmm")&amp;" - "&amp;(NETWORKDAYS($AB170,TODAY(),Holidays)-1)&amp;" business day(s) late. Send now.",IF($U170="DUE TOMORROW","Next: "&amp;$AC170&amp;IF($AB170&lt;=TODAY()," is due TODAY ("," is due next business day (")&amp;TEXT($AB170,"dd-mmm")&amp;").","Next: "&amp;$AC170&amp;" due "&amp;TEXT($AB170,"dd-mmm")&amp;" ("&amp;(NETWORKDAYS(TODAY(),$AB170,Holidays)-1)&amp;" business day(s) left).")))))</f>
        <v/>
      </c>
      <c r="W170" s="17">
        <f>IF($Z170="","",CHOOSE($Z170,"Collection Email","1st Follow-up","2nd Follow-up","Local Office","CBE","Roxanne")&amp;IF($Z170=6," - Final"," - Day "&amp;MAX(0,NETWORKDAYS($AA170,TODAY(),Holidays)-1)&amp;" of "&amp;CHOOSE($Z170,3,3,2,2,3))&amp;" | Total Day "&amp;MAX(0,NETWORKDAYS($N170,TODAY(),Holidays)-1))</f>
        <v/>
      </c>
      <c r="X170" s="18"/>
      <c r="Y170" s="18"/>
      <c r="Z170" s="17">
        <f>IF($N170="","",COUNT($N170:$S170))</f>
        <v/>
      </c>
      <c r="AA170" s="19">
        <f>IF($Z170="","",INT(INDEX($N170:$S170,$Z170)))</f>
        <v/>
      </c>
      <c r="AB170" s="19">
        <f>IF(OR($Z170="",$Z170=6),"",WORKDAY($AA170,CHOOSE($Z170,3,3,2,2,3),Holidays))</f>
        <v/>
      </c>
      <c r="AC170" s="17">
        <f>IF(OR($Z170="",$Z170=6),"",CHOOSE($Z170,"1st Email Follow-up","2nd Email Follow-up","Escalate Local Office","Escalate to CBE","Escalate to Roxanne"))</f>
        <v/>
      </c>
    </row>
    <row r="171" spans="13:29">
      <c r="M171" s="14"/>
      <c r="T171" s="16"/>
      <c r="U171" s="17">
        <f>IF(AND(COUNTA($A171:$L171)=0,$N171=""),"",IF($T171="Paid","PAID",IF($T171="Closed","CLOSED",IF($Z171="","",IF($Z171=6,"ESCALATED TO ROXANNE",IF(TODAY()&gt;$AB171,"OVERDUE",IF($AB171&lt;=WORKDAY(TODAY(),1,Holidays),"DUE TOMORROW",IF($Z171=4,"ESCALATED TO LOCAL OFFICE",IF($Z171=5,"ESCALATED TO CBE",IF($AA171=TODAY(),"EMAIL SENT","MONITORING"))))))))))</f>
        <v/>
      </c>
      <c r="V171" s="17">
        <f>IF($U171="",IF(AND(COUNTA($A171:$L171)&gt;0,$N171=""),"Awaiting Collection Email time stamp.",""),IF(OR($U171="PAID",$U171="CLOSED"),IF($U171="PAID","Account paid. Action completed.","Account closed. No further action required."),CHOOSE($Z171,"Collection Email","1st Email Follow-up","2nd Email Follow-up","Escalation to Local Office","Escalation to CBE","Escalation to Roxanne")&amp;" sent "&amp;TEXT($AA171,"dd-mmm")&amp;". "&amp;IF($Z171=6,"Final escalation completed.",IF($U171="OVERDUE","Next: "&amp;$AC171&amp;" was due "&amp;TEXT($AB171,"dd-mmm")&amp;" - "&amp;(NETWORKDAYS($AB171,TODAY(),Holidays)-1)&amp;" business day(s) late. Send now.",IF($U171="DUE TOMORROW","Next: "&amp;$AC171&amp;IF($AB171&lt;=TODAY()," is due TODAY ("," is due next business day (")&amp;TEXT($AB171,"dd-mmm")&amp;").","Next: "&amp;$AC171&amp;" due "&amp;TEXT($AB171,"dd-mmm")&amp;" ("&amp;(NETWORKDAYS(TODAY(),$AB171,Holidays)-1)&amp;" business day(s) left).")))))</f>
        <v/>
      </c>
      <c r="W171" s="17">
        <f>IF($Z171="","",CHOOSE($Z171,"Collection Email","1st Follow-up","2nd Follow-up","Local Office","CBE","Roxanne")&amp;IF($Z171=6," - Final"," - Day "&amp;MAX(0,NETWORKDAYS($AA171,TODAY(),Holidays)-1)&amp;" of "&amp;CHOOSE($Z171,3,3,2,2,3))&amp;" | Total Day "&amp;MAX(0,NETWORKDAYS($N171,TODAY(),Holidays)-1))</f>
        <v/>
      </c>
      <c r="X171" s="18"/>
      <c r="Y171" s="18"/>
      <c r="Z171" s="17">
        <f>IF($N171="","",COUNT($N171:$S171))</f>
        <v/>
      </c>
      <c r="AA171" s="19">
        <f>IF($Z171="","",INT(INDEX($N171:$S171,$Z171)))</f>
        <v/>
      </c>
      <c r="AB171" s="19">
        <f>IF(OR($Z171="",$Z171=6),"",WORKDAY($AA171,CHOOSE($Z171,3,3,2,2,3),Holidays))</f>
        <v/>
      </c>
      <c r="AC171" s="17">
        <f>IF(OR($Z171="",$Z171=6),"",CHOOSE($Z171,"1st Email Follow-up","2nd Email Follow-up","Escalate Local Office","Escalate to CBE","Escalate to Roxanne"))</f>
        <v/>
      </c>
    </row>
    <row r="172" spans="13:29">
      <c r="M172" s="14"/>
      <c r="T172" s="16"/>
      <c r="U172" s="17">
        <f>IF(AND(COUNTA($A172:$L172)=0,$N172=""),"",IF($T172="Paid","PAID",IF($T172="Closed","CLOSED",IF($Z172="","",IF($Z172=6,"ESCALATED TO ROXANNE",IF(TODAY()&gt;$AB172,"OVERDUE",IF($AB172&lt;=WORKDAY(TODAY(),1,Holidays),"DUE TOMORROW",IF($Z172=4,"ESCALATED TO LOCAL OFFICE",IF($Z172=5,"ESCALATED TO CBE",IF($AA172=TODAY(),"EMAIL SENT","MONITORING"))))))))))</f>
        <v/>
      </c>
      <c r="V172" s="17">
        <f>IF($U172="",IF(AND(COUNTA($A172:$L172)&gt;0,$N172=""),"Awaiting Collection Email time stamp.",""),IF(OR($U172="PAID",$U172="CLOSED"),IF($U172="PAID","Account paid. Action completed.","Account closed. No further action required."),CHOOSE($Z172,"Collection Email","1st Email Follow-up","2nd Email Follow-up","Escalation to Local Office","Escalation to CBE","Escalation to Roxanne")&amp;" sent "&amp;TEXT($AA172,"dd-mmm")&amp;". "&amp;IF($Z172=6,"Final escalation completed.",IF($U172="OVERDUE","Next: "&amp;$AC172&amp;" was due "&amp;TEXT($AB172,"dd-mmm")&amp;" - "&amp;(NETWORKDAYS($AB172,TODAY(),Holidays)-1)&amp;" business day(s) late. Send now.",IF($U172="DUE TOMORROW","Next: "&amp;$AC172&amp;IF($AB172&lt;=TODAY()," is due TODAY ("," is due next business day (")&amp;TEXT($AB172,"dd-mmm")&amp;").","Next: "&amp;$AC172&amp;" due "&amp;TEXT($AB172,"dd-mmm")&amp;" ("&amp;(NETWORKDAYS(TODAY(),$AB172,Holidays)-1)&amp;" business day(s) left).")))))</f>
        <v/>
      </c>
      <c r="W172" s="17">
        <f>IF($Z172="","",CHOOSE($Z172,"Collection Email","1st Follow-up","2nd Follow-up","Local Office","CBE","Roxanne")&amp;IF($Z172=6," - Final"," - Day "&amp;MAX(0,NETWORKDAYS($AA172,TODAY(),Holidays)-1)&amp;" of "&amp;CHOOSE($Z172,3,3,2,2,3))&amp;" | Total Day "&amp;MAX(0,NETWORKDAYS($N172,TODAY(),Holidays)-1))</f>
        <v/>
      </c>
      <c r="X172" s="18"/>
      <c r="Y172" s="18"/>
      <c r="Z172" s="17">
        <f>IF($N172="","",COUNT($N172:$S172))</f>
        <v/>
      </c>
      <c r="AA172" s="19">
        <f>IF($Z172="","",INT(INDEX($N172:$S172,$Z172)))</f>
        <v/>
      </c>
      <c r="AB172" s="19">
        <f>IF(OR($Z172="",$Z172=6),"",WORKDAY($AA172,CHOOSE($Z172,3,3,2,2,3),Holidays))</f>
        <v/>
      </c>
      <c r="AC172" s="17">
        <f>IF(OR($Z172="",$Z172=6),"",CHOOSE($Z172,"1st Email Follow-up","2nd Email Follow-up","Escalate Local Office","Escalate to CBE","Escalate to Roxanne"))</f>
        <v/>
      </c>
    </row>
    <row r="173" spans="13:29">
      <c r="M173" s="14"/>
      <c r="T173" s="16"/>
      <c r="U173" s="17">
        <f>IF(AND(COUNTA($A173:$L173)=0,$N173=""),"",IF($T173="Paid","PAID",IF($T173="Closed","CLOSED",IF($Z173="","",IF($Z173=6,"ESCALATED TO ROXANNE",IF(TODAY()&gt;$AB173,"OVERDUE",IF($AB173&lt;=WORKDAY(TODAY(),1,Holidays),"DUE TOMORROW",IF($Z173=4,"ESCALATED TO LOCAL OFFICE",IF($Z173=5,"ESCALATED TO CBE",IF($AA173=TODAY(),"EMAIL SENT","MONITORING"))))))))))</f>
        <v/>
      </c>
      <c r="V173" s="17">
        <f>IF($U173="",IF(AND(COUNTA($A173:$L173)&gt;0,$N173=""),"Awaiting Collection Email time stamp.",""),IF(OR($U173="PAID",$U173="CLOSED"),IF($U173="PAID","Account paid. Action completed.","Account closed. No further action required."),CHOOSE($Z173,"Collection Email","1st Email Follow-up","2nd Email Follow-up","Escalation to Local Office","Escalation to CBE","Escalation to Roxanne")&amp;" sent "&amp;TEXT($AA173,"dd-mmm")&amp;". "&amp;IF($Z173=6,"Final escalation completed.",IF($U173="OVERDUE","Next: "&amp;$AC173&amp;" was due "&amp;TEXT($AB173,"dd-mmm")&amp;" - "&amp;(NETWORKDAYS($AB173,TODAY(),Holidays)-1)&amp;" business day(s) late. Send now.",IF($U173="DUE TOMORROW","Next: "&amp;$AC173&amp;IF($AB173&lt;=TODAY()," is due TODAY ("," is due next business day (")&amp;TEXT($AB173,"dd-mmm")&amp;").","Next: "&amp;$AC173&amp;" due "&amp;TEXT($AB173,"dd-mmm")&amp;" ("&amp;(NETWORKDAYS(TODAY(),$AB173,Holidays)-1)&amp;" business day(s) left).")))))</f>
        <v/>
      </c>
      <c r="W173" s="17">
        <f>IF($Z173="","",CHOOSE($Z173,"Collection Email","1st Follow-up","2nd Follow-up","Local Office","CBE","Roxanne")&amp;IF($Z173=6," - Final"," - Day "&amp;MAX(0,NETWORKDAYS($AA173,TODAY(),Holidays)-1)&amp;" of "&amp;CHOOSE($Z173,3,3,2,2,3))&amp;" | Total Day "&amp;MAX(0,NETWORKDAYS($N173,TODAY(),Holidays)-1))</f>
        <v/>
      </c>
      <c r="X173" s="18"/>
      <c r="Y173" s="18"/>
      <c r="Z173" s="17">
        <f>IF($N173="","",COUNT($N173:$S173))</f>
        <v/>
      </c>
      <c r="AA173" s="19">
        <f>IF($Z173="","",INT(INDEX($N173:$S173,$Z173)))</f>
        <v/>
      </c>
      <c r="AB173" s="19">
        <f>IF(OR($Z173="",$Z173=6),"",WORKDAY($AA173,CHOOSE($Z173,3,3,2,2,3),Holidays))</f>
        <v/>
      </c>
      <c r="AC173" s="17">
        <f>IF(OR($Z173="",$Z173=6),"",CHOOSE($Z173,"1st Email Follow-up","2nd Email Follow-up","Escalate Local Office","Escalate to CBE","Escalate to Roxanne"))</f>
        <v/>
      </c>
    </row>
    <row r="174" spans="13:29">
      <c r="M174" s="14"/>
      <c r="T174" s="16"/>
      <c r="U174" s="17">
        <f>IF(AND(COUNTA($A174:$L174)=0,$N174=""),"",IF($T174="Paid","PAID",IF($T174="Closed","CLOSED",IF($Z174="","",IF($Z174=6,"ESCALATED TO ROXANNE",IF(TODAY()&gt;$AB174,"OVERDUE",IF($AB174&lt;=WORKDAY(TODAY(),1,Holidays),"DUE TOMORROW",IF($Z174=4,"ESCALATED TO LOCAL OFFICE",IF($Z174=5,"ESCALATED TO CBE",IF($AA174=TODAY(),"EMAIL SENT","MONITORING"))))))))))</f>
        <v/>
      </c>
      <c r="V174" s="17">
        <f>IF($U174="",IF(AND(COUNTA($A174:$L174)&gt;0,$N174=""),"Awaiting Collection Email time stamp.",""),IF(OR($U174="PAID",$U174="CLOSED"),IF($U174="PAID","Account paid. Action completed.","Account closed. No further action required."),CHOOSE($Z174,"Collection Email","1st Email Follow-up","2nd Email Follow-up","Escalation to Local Office","Escalation to CBE","Escalation to Roxanne")&amp;" sent "&amp;TEXT($AA174,"dd-mmm")&amp;". "&amp;IF($Z174=6,"Final escalation completed.",IF($U174="OVERDUE","Next: "&amp;$AC174&amp;" was due "&amp;TEXT($AB174,"dd-mmm")&amp;" - "&amp;(NETWORKDAYS($AB174,TODAY(),Holidays)-1)&amp;" business day(s) late. Send now.",IF($U174="DUE TOMORROW","Next: "&amp;$AC174&amp;IF($AB174&lt;=TODAY()," is due TODAY ("," is due next business day (")&amp;TEXT($AB174,"dd-mmm")&amp;").","Next: "&amp;$AC174&amp;" due "&amp;TEXT($AB174,"dd-mmm")&amp;" ("&amp;(NETWORKDAYS(TODAY(),$AB174,Holidays)-1)&amp;" business day(s) left).")))))</f>
        <v/>
      </c>
      <c r="W174" s="17">
        <f>IF($Z174="","",CHOOSE($Z174,"Collection Email","1st Follow-up","2nd Follow-up","Local Office","CBE","Roxanne")&amp;IF($Z174=6," - Final"," - Day "&amp;MAX(0,NETWORKDAYS($AA174,TODAY(),Holidays)-1)&amp;" of "&amp;CHOOSE($Z174,3,3,2,2,3))&amp;" | Total Day "&amp;MAX(0,NETWORKDAYS($N174,TODAY(),Holidays)-1))</f>
        <v/>
      </c>
      <c r="X174" s="18"/>
      <c r="Y174" s="18"/>
      <c r="Z174" s="17">
        <f>IF($N174="","",COUNT($N174:$S174))</f>
        <v/>
      </c>
      <c r="AA174" s="19">
        <f>IF($Z174="","",INT(INDEX($N174:$S174,$Z174)))</f>
        <v/>
      </c>
      <c r="AB174" s="19">
        <f>IF(OR($Z174="",$Z174=6),"",WORKDAY($AA174,CHOOSE($Z174,3,3,2,2,3),Holidays))</f>
        <v/>
      </c>
      <c r="AC174" s="17">
        <f>IF(OR($Z174="",$Z174=6),"",CHOOSE($Z174,"1st Email Follow-up","2nd Email Follow-up","Escalate Local Office","Escalate to CBE","Escalate to Roxanne"))</f>
        <v/>
      </c>
    </row>
    <row r="175" spans="13:29">
      <c r="M175" s="14"/>
      <c r="T175" s="16"/>
      <c r="U175" s="17">
        <f>IF(AND(COUNTA($A175:$L175)=0,$N175=""),"",IF($T175="Paid","PAID",IF($T175="Closed","CLOSED",IF($Z175="","",IF($Z175=6,"ESCALATED TO ROXANNE",IF(TODAY()&gt;$AB175,"OVERDUE",IF($AB175&lt;=WORKDAY(TODAY(),1,Holidays),"DUE TOMORROW",IF($Z175=4,"ESCALATED TO LOCAL OFFICE",IF($Z175=5,"ESCALATED TO CBE",IF($AA175=TODAY(),"EMAIL SENT","MONITORING"))))))))))</f>
        <v/>
      </c>
      <c r="V175" s="17">
        <f>IF($U175="",IF(AND(COUNTA($A175:$L175)&gt;0,$N175=""),"Awaiting Collection Email time stamp.",""),IF(OR($U175="PAID",$U175="CLOSED"),IF($U175="PAID","Account paid. Action completed.","Account closed. No further action required."),CHOOSE($Z175,"Collection Email","1st Email Follow-up","2nd Email Follow-up","Escalation to Local Office","Escalation to CBE","Escalation to Roxanne")&amp;" sent "&amp;TEXT($AA175,"dd-mmm")&amp;". "&amp;IF($Z175=6,"Final escalation completed.",IF($U175="OVERDUE","Next: "&amp;$AC175&amp;" was due "&amp;TEXT($AB175,"dd-mmm")&amp;" - "&amp;(NETWORKDAYS($AB175,TODAY(),Holidays)-1)&amp;" business day(s) late. Send now.",IF($U175="DUE TOMORROW","Next: "&amp;$AC175&amp;IF($AB175&lt;=TODAY()," is due TODAY ("," is due next business day (")&amp;TEXT($AB175,"dd-mmm")&amp;").","Next: "&amp;$AC175&amp;" due "&amp;TEXT($AB175,"dd-mmm")&amp;" ("&amp;(NETWORKDAYS(TODAY(),$AB175,Holidays)-1)&amp;" business day(s) left).")))))</f>
        <v/>
      </c>
      <c r="W175" s="17">
        <f>IF($Z175="","",CHOOSE($Z175,"Collection Email","1st Follow-up","2nd Follow-up","Local Office","CBE","Roxanne")&amp;IF($Z175=6," - Final"," - Day "&amp;MAX(0,NETWORKDAYS($AA175,TODAY(),Holidays)-1)&amp;" of "&amp;CHOOSE($Z175,3,3,2,2,3))&amp;" | Total Day "&amp;MAX(0,NETWORKDAYS($N175,TODAY(),Holidays)-1))</f>
        <v/>
      </c>
      <c r="X175" s="18"/>
      <c r="Y175" s="18"/>
      <c r="Z175" s="17">
        <f>IF($N175="","",COUNT($N175:$S175))</f>
        <v/>
      </c>
      <c r="AA175" s="19">
        <f>IF($Z175="","",INT(INDEX($N175:$S175,$Z175)))</f>
        <v/>
      </c>
      <c r="AB175" s="19">
        <f>IF(OR($Z175="",$Z175=6),"",WORKDAY($AA175,CHOOSE($Z175,3,3,2,2,3),Holidays))</f>
        <v/>
      </c>
      <c r="AC175" s="17">
        <f>IF(OR($Z175="",$Z175=6),"",CHOOSE($Z175,"1st Email Follow-up","2nd Email Follow-up","Escalate Local Office","Escalate to CBE","Escalate to Roxanne"))</f>
        <v/>
      </c>
    </row>
    <row r="176" spans="13:29">
      <c r="M176" s="14"/>
      <c r="T176" s="16"/>
      <c r="U176" s="17">
        <f>IF(AND(COUNTA($A176:$L176)=0,$N176=""),"",IF($T176="Paid","PAID",IF($T176="Closed","CLOSED",IF($Z176="","",IF($Z176=6,"ESCALATED TO ROXANNE",IF(TODAY()&gt;$AB176,"OVERDUE",IF($AB176&lt;=WORKDAY(TODAY(),1,Holidays),"DUE TOMORROW",IF($Z176=4,"ESCALATED TO LOCAL OFFICE",IF($Z176=5,"ESCALATED TO CBE",IF($AA176=TODAY(),"EMAIL SENT","MONITORING"))))))))))</f>
        <v/>
      </c>
      <c r="V176" s="17">
        <f>IF($U176="",IF(AND(COUNTA($A176:$L176)&gt;0,$N176=""),"Awaiting Collection Email time stamp.",""),IF(OR($U176="PAID",$U176="CLOSED"),IF($U176="PAID","Account paid. Action completed.","Account closed. No further action required."),CHOOSE($Z176,"Collection Email","1st Email Follow-up","2nd Email Follow-up","Escalation to Local Office","Escalation to CBE","Escalation to Roxanne")&amp;" sent "&amp;TEXT($AA176,"dd-mmm")&amp;". "&amp;IF($Z176=6,"Final escalation completed.",IF($U176="OVERDUE","Next: "&amp;$AC176&amp;" was due "&amp;TEXT($AB176,"dd-mmm")&amp;" - "&amp;(NETWORKDAYS($AB176,TODAY(),Holidays)-1)&amp;" business day(s) late. Send now.",IF($U176="DUE TOMORROW","Next: "&amp;$AC176&amp;IF($AB176&lt;=TODAY()," is due TODAY ("," is due next business day (")&amp;TEXT($AB176,"dd-mmm")&amp;").","Next: "&amp;$AC176&amp;" due "&amp;TEXT($AB176,"dd-mmm")&amp;" ("&amp;(NETWORKDAYS(TODAY(),$AB176,Holidays)-1)&amp;" business day(s) left).")))))</f>
        <v/>
      </c>
      <c r="W176" s="17">
        <f>IF($Z176="","",CHOOSE($Z176,"Collection Email","1st Follow-up","2nd Follow-up","Local Office","CBE","Roxanne")&amp;IF($Z176=6," - Final"," - Day "&amp;MAX(0,NETWORKDAYS($AA176,TODAY(),Holidays)-1)&amp;" of "&amp;CHOOSE($Z176,3,3,2,2,3))&amp;" | Total Day "&amp;MAX(0,NETWORKDAYS($N176,TODAY(),Holidays)-1))</f>
        <v/>
      </c>
      <c r="X176" s="18"/>
      <c r="Y176" s="18"/>
      <c r="Z176" s="17">
        <f>IF($N176="","",COUNT($N176:$S176))</f>
        <v/>
      </c>
      <c r="AA176" s="19">
        <f>IF($Z176="","",INT(INDEX($N176:$S176,$Z176)))</f>
        <v/>
      </c>
      <c r="AB176" s="19">
        <f>IF(OR($Z176="",$Z176=6),"",WORKDAY($AA176,CHOOSE($Z176,3,3,2,2,3),Holidays))</f>
        <v/>
      </c>
      <c r="AC176" s="17">
        <f>IF(OR($Z176="",$Z176=6),"",CHOOSE($Z176,"1st Email Follow-up","2nd Email Follow-up","Escalate Local Office","Escalate to CBE","Escalate to Roxanne"))</f>
        <v/>
      </c>
    </row>
    <row r="177" spans="13:29">
      <c r="M177" s="14"/>
      <c r="T177" s="16"/>
      <c r="U177" s="17">
        <f>IF(AND(COUNTA($A177:$L177)=0,$N177=""),"",IF($T177="Paid","PAID",IF($T177="Closed","CLOSED",IF($Z177="","",IF($Z177=6,"ESCALATED TO ROXANNE",IF(TODAY()&gt;$AB177,"OVERDUE",IF($AB177&lt;=WORKDAY(TODAY(),1,Holidays),"DUE TOMORROW",IF($Z177=4,"ESCALATED TO LOCAL OFFICE",IF($Z177=5,"ESCALATED TO CBE",IF($AA177=TODAY(),"EMAIL SENT","MONITORING"))))))))))</f>
        <v/>
      </c>
      <c r="V177" s="17">
        <f>IF($U177="",IF(AND(COUNTA($A177:$L177)&gt;0,$N177=""),"Awaiting Collection Email time stamp.",""),IF(OR($U177="PAID",$U177="CLOSED"),IF($U177="PAID","Account paid. Action completed.","Account closed. No further action required."),CHOOSE($Z177,"Collection Email","1st Email Follow-up","2nd Email Follow-up","Escalation to Local Office","Escalation to CBE","Escalation to Roxanne")&amp;" sent "&amp;TEXT($AA177,"dd-mmm")&amp;". "&amp;IF($Z177=6,"Final escalation completed.",IF($U177="OVERDUE","Next: "&amp;$AC177&amp;" was due "&amp;TEXT($AB177,"dd-mmm")&amp;" - "&amp;(NETWORKDAYS($AB177,TODAY(),Holidays)-1)&amp;" business day(s) late. Send now.",IF($U177="DUE TOMORROW","Next: "&amp;$AC177&amp;IF($AB177&lt;=TODAY()," is due TODAY ("," is due next business day (")&amp;TEXT($AB177,"dd-mmm")&amp;").","Next: "&amp;$AC177&amp;" due "&amp;TEXT($AB177,"dd-mmm")&amp;" ("&amp;(NETWORKDAYS(TODAY(),$AB177,Holidays)-1)&amp;" business day(s) left).")))))</f>
        <v/>
      </c>
      <c r="W177" s="17">
        <f>IF($Z177="","",CHOOSE($Z177,"Collection Email","1st Follow-up","2nd Follow-up","Local Office","CBE","Roxanne")&amp;IF($Z177=6," - Final"," - Day "&amp;MAX(0,NETWORKDAYS($AA177,TODAY(),Holidays)-1)&amp;" of "&amp;CHOOSE($Z177,3,3,2,2,3))&amp;" | Total Day "&amp;MAX(0,NETWORKDAYS($N177,TODAY(),Holidays)-1))</f>
        <v/>
      </c>
      <c r="X177" s="18"/>
      <c r="Y177" s="18"/>
      <c r="Z177" s="17">
        <f>IF($N177="","",COUNT($N177:$S177))</f>
        <v/>
      </c>
      <c r="AA177" s="19">
        <f>IF($Z177="","",INT(INDEX($N177:$S177,$Z177)))</f>
        <v/>
      </c>
      <c r="AB177" s="19">
        <f>IF(OR($Z177="",$Z177=6),"",WORKDAY($AA177,CHOOSE($Z177,3,3,2,2,3),Holidays))</f>
        <v/>
      </c>
      <c r="AC177" s="17">
        <f>IF(OR($Z177="",$Z177=6),"",CHOOSE($Z177,"1st Email Follow-up","2nd Email Follow-up","Escalate Local Office","Escalate to CBE","Escalate to Roxanne"))</f>
        <v/>
      </c>
    </row>
    <row r="178" spans="13:29">
      <c r="M178" s="14"/>
      <c r="T178" s="16"/>
      <c r="U178" s="17">
        <f>IF(AND(COUNTA($A178:$L178)=0,$N178=""),"",IF($T178="Paid","PAID",IF($T178="Closed","CLOSED",IF($Z178="","",IF($Z178=6,"ESCALATED TO ROXANNE",IF(TODAY()&gt;$AB178,"OVERDUE",IF($AB178&lt;=WORKDAY(TODAY(),1,Holidays),"DUE TOMORROW",IF($Z178=4,"ESCALATED TO LOCAL OFFICE",IF($Z178=5,"ESCALATED TO CBE",IF($AA178=TODAY(),"EMAIL SENT","MONITORING"))))))))))</f>
        <v/>
      </c>
      <c r="V178" s="17">
        <f>IF($U178="",IF(AND(COUNTA($A178:$L178)&gt;0,$N178=""),"Awaiting Collection Email time stamp.",""),IF(OR($U178="PAID",$U178="CLOSED"),IF($U178="PAID","Account paid. Action completed.","Account closed. No further action required."),CHOOSE($Z178,"Collection Email","1st Email Follow-up","2nd Email Follow-up","Escalation to Local Office","Escalation to CBE","Escalation to Roxanne")&amp;" sent "&amp;TEXT($AA178,"dd-mmm")&amp;". "&amp;IF($Z178=6,"Final escalation completed.",IF($U178="OVERDUE","Next: "&amp;$AC178&amp;" was due "&amp;TEXT($AB178,"dd-mmm")&amp;" - "&amp;(NETWORKDAYS($AB178,TODAY(),Holidays)-1)&amp;" business day(s) late. Send now.",IF($U178="DUE TOMORROW","Next: "&amp;$AC178&amp;IF($AB178&lt;=TODAY()," is due TODAY ("," is due next business day (")&amp;TEXT($AB178,"dd-mmm")&amp;").","Next: "&amp;$AC178&amp;" due "&amp;TEXT($AB178,"dd-mmm")&amp;" ("&amp;(NETWORKDAYS(TODAY(),$AB178,Holidays)-1)&amp;" business day(s) left).")))))</f>
        <v/>
      </c>
      <c r="W178" s="17">
        <f>IF($Z178="","",CHOOSE($Z178,"Collection Email","1st Follow-up","2nd Follow-up","Local Office","CBE","Roxanne")&amp;IF($Z178=6," - Final"," - Day "&amp;MAX(0,NETWORKDAYS($AA178,TODAY(),Holidays)-1)&amp;" of "&amp;CHOOSE($Z178,3,3,2,2,3))&amp;" | Total Day "&amp;MAX(0,NETWORKDAYS($N178,TODAY(),Holidays)-1))</f>
        <v/>
      </c>
      <c r="X178" s="18"/>
      <c r="Y178" s="18"/>
      <c r="Z178" s="17">
        <f>IF($N178="","",COUNT($N178:$S178))</f>
        <v/>
      </c>
      <c r="AA178" s="19">
        <f>IF($Z178="","",INT(INDEX($N178:$S178,$Z178)))</f>
        <v/>
      </c>
      <c r="AB178" s="19">
        <f>IF(OR($Z178="",$Z178=6),"",WORKDAY($AA178,CHOOSE($Z178,3,3,2,2,3),Holidays))</f>
        <v/>
      </c>
      <c r="AC178" s="17">
        <f>IF(OR($Z178="",$Z178=6),"",CHOOSE($Z178,"1st Email Follow-up","2nd Email Follow-up","Escalate Local Office","Escalate to CBE","Escalate to Roxanne"))</f>
        <v/>
      </c>
    </row>
    <row r="179" spans="13:29">
      <c r="M179" s="14"/>
      <c r="T179" s="16"/>
      <c r="U179" s="17">
        <f>IF(AND(COUNTA($A179:$L179)=0,$N179=""),"",IF($T179="Paid","PAID",IF($T179="Closed","CLOSED",IF($Z179="","",IF($Z179=6,"ESCALATED TO ROXANNE",IF(TODAY()&gt;$AB179,"OVERDUE",IF($AB179&lt;=WORKDAY(TODAY(),1,Holidays),"DUE TOMORROW",IF($Z179=4,"ESCALATED TO LOCAL OFFICE",IF($Z179=5,"ESCALATED TO CBE",IF($AA179=TODAY(),"EMAIL SENT","MONITORING"))))))))))</f>
        <v/>
      </c>
      <c r="V179" s="17">
        <f>IF($U179="",IF(AND(COUNTA($A179:$L179)&gt;0,$N179=""),"Awaiting Collection Email time stamp.",""),IF(OR($U179="PAID",$U179="CLOSED"),IF($U179="PAID","Account paid. Action completed.","Account closed. No further action required."),CHOOSE($Z179,"Collection Email","1st Email Follow-up","2nd Email Follow-up","Escalation to Local Office","Escalation to CBE","Escalation to Roxanne")&amp;" sent "&amp;TEXT($AA179,"dd-mmm")&amp;". "&amp;IF($Z179=6,"Final escalation completed.",IF($U179="OVERDUE","Next: "&amp;$AC179&amp;" was due "&amp;TEXT($AB179,"dd-mmm")&amp;" - "&amp;(NETWORKDAYS($AB179,TODAY(),Holidays)-1)&amp;" business day(s) late. Send now.",IF($U179="DUE TOMORROW","Next: "&amp;$AC179&amp;IF($AB179&lt;=TODAY()," is due TODAY ("," is due next business day (")&amp;TEXT($AB179,"dd-mmm")&amp;").","Next: "&amp;$AC179&amp;" due "&amp;TEXT($AB179,"dd-mmm")&amp;" ("&amp;(NETWORKDAYS(TODAY(),$AB179,Holidays)-1)&amp;" business day(s) left).")))))</f>
        <v/>
      </c>
      <c r="W179" s="17">
        <f>IF($Z179="","",CHOOSE($Z179,"Collection Email","1st Follow-up","2nd Follow-up","Local Office","CBE","Roxanne")&amp;IF($Z179=6," - Final"," - Day "&amp;MAX(0,NETWORKDAYS($AA179,TODAY(),Holidays)-1)&amp;" of "&amp;CHOOSE($Z179,3,3,2,2,3))&amp;" | Total Day "&amp;MAX(0,NETWORKDAYS($N179,TODAY(),Holidays)-1))</f>
        <v/>
      </c>
      <c r="X179" s="18"/>
      <c r="Y179" s="18"/>
      <c r="Z179" s="17">
        <f>IF($N179="","",COUNT($N179:$S179))</f>
        <v/>
      </c>
      <c r="AA179" s="19">
        <f>IF($Z179="","",INT(INDEX($N179:$S179,$Z179)))</f>
        <v/>
      </c>
      <c r="AB179" s="19">
        <f>IF(OR($Z179="",$Z179=6),"",WORKDAY($AA179,CHOOSE($Z179,3,3,2,2,3),Holidays))</f>
        <v/>
      </c>
      <c r="AC179" s="17">
        <f>IF(OR($Z179="",$Z179=6),"",CHOOSE($Z179,"1st Email Follow-up","2nd Email Follow-up","Escalate Local Office","Escalate to CBE","Escalate to Roxanne"))</f>
        <v/>
      </c>
    </row>
    <row r="180" spans="13:29">
      <c r="M180" s="14"/>
      <c r="T180" s="16"/>
      <c r="U180" s="17">
        <f>IF(AND(COUNTA($A180:$L180)=0,$N180=""),"",IF($T180="Paid","PAID",IF($T180="Closed","CLOSED",IF($Z180="","",IF($Z180=6,"ESCALATED TO ROXANNE",IF(TODAY()&gt;$AB180,"OVERDUE",IF($AB180&lt;=WORKDAY(TODAY(),1,Holidays),"DUE TOMORROW",IF($Z180=4,"ESCALATED TO LOCAL OFFICE",IF($Z180=5,"ESCALATED TO CBE",IF($AA180=TODAY(),"EMAIL SENT","MONITORING"))))))))))</f>
        <v/>
      </c>
      <c r="V180" s="17">
        <f>IF($U180="",IF(AND(COUNTA($A180:$L180)&gt;0,$N180=""),"Awaiting Collection Email time stamp.",""),IF(OR($U180="PAID",$U180="CLOSED"),IF($U180="PAID","Account paid. Action completed.","Account closed. No further action required."),CHOOSE($Z180,"Collection Email","1st Email Follow-up","2nd Email Follow-up","Escalation to Local Office","Escalation to CBE","Escalation to Roxanne")&amp;" sent "&amp;TEXT($AA180,"dd-mmm")&amp;". "&amp;IF($Z180=6,"Final escalation completed.",IF($U180="OVERDUE","Next: "&amp;$AC180&amp;" was due "&amp;TEXT($AB180,"dd-mmm")&amp;" - "&amp;(NETWORKDAYS($AB180,TODAY(),Holidays)-1)&amp;" business day(s) late. Send now.",IF($U180="DUE TOMORROW","Next: "&amp;$AC180&amp;IF($AB180&lt;=TODAY()," is due TODAY ("," is due next business day (")&amp;TEXT($AB180,"dd-mmm")&amp;").","Next: "&amp;$AC180&amp;" due "&amp;TEXT($AB180,"dd-mmm")&amp;" ("&amp;(NETWORKDAYS(TODAY(),$AB180,Holidays)-1)&amp;" business day(s) left).")))))</f>
        <v/>
      </c>
      <c r="W180" s="17">
        <f>IF($Z180="","",CHOOSE($Z180,"Collection Email","1st Follow-up","2nd Follow-up","Local Office","CBE","Roxanne")&amp;IF($Z180=6," - Final"," - Day "&amp;MAX(0,NETWORKDAYS($AA180,TODAY(),Holidays)-1)&amp;" of "&amp;CHOOSE($Z180,3,3,2,2,3))&amp;" | Total Day "&amp;MAX(0,NETWORKDAYS($N180,TODAY(),Holidays)-1))</f>
        <v/>
      </c>
      <c r="X180" s="18"/>
      <c r="Y180" s="18"/>
      <c r="Z180" s="17">
        <f>IF($N180="","",COUNT($N180:$S180))</f>
        <v/>
      </c>
      <c r="AA180" s="19">
        <f>IF($Z180="","",INT(INDEX($N180:$S180,$Z180)))</f>
        <v/>
      </c>
      <c r="AB180" s="19">
        <f>IF(OR($Z180="",$Z180=6),"",WORKDAY($AA180,CHOOSE($Z180,3,3,2,2,3),Holidays))</f>
        <v/>
      </c>
      <c r="AC180" s="17">
        <f>IF(OR($Z180="",$Z180=6),"",CHOOSE($Z180,"1st Email Follow-up","2nd Email Follow-up","Escalate Local Office","Escalate to CBE","Escalate to Roxanne"))</f>
        <v/>
      </c>
    </row>
    <row r="181" spans="13:29">
      <c r="M181" s="14"/>
      <c r="T181" s="16"/>
      <c r="U181" s="17">
        <f>IF(AND(COUNTA($A181:$L181)=0,$N181=""),"",IF($T181="Paid","PAID",IF($T181="Closed","CLOSED",IF($Z181="","",IF($Z181=6,"ESCALATED TO ROXANNE",IF(TODAY()&gt;$AB181,"OVERDUE",IF($AB181&lt;=WORKDAY(TODAY(),1,Holidays),"DUE TOMORROW",IF($Z181=4,"ESCALATED TO LOCAL OFFICE",IF($Z181=5,"ESCALATED TO CBE",IF($AA181=TODAY(),"EMAIL SENT","MONITORING"))))))))))</f>
        <v/>
      </c>
      <c r="V181" s="17">
        <f>IF($U181="",IF(AND(COUNTA($A181:$L181)&gt;0,$N181=""),"Awaiting Collection Email time stamp.",""),IF(OR($U181="PAID",$U181="CLOSED"),IF($U181="PAID","Account paid. Action completed.","Account closed. No further action required."),CHOOSE($Z181,"Collection Email","1st Email Follow-up","2nd Email Follow-up","Escalation to Local Office","Escalation to CBE","Escalation to Roxanne")&amp;" sent "&amp;TEXT($AA181,"dd-mmm")&amp;". "&amp;IF($Z181=6,"Final escalation completed.",IF($U181="OVERDUE","Next: "&amp;$AC181&amp;" was due "&amp;TEXT($AB181,"dd-mmm")&amp;" - "&amp;(NETWORKDAYS($AB181,TODAY(),Holidays)-1)&amp;" business day(s) late. Send now.",IF($U181="DUE TOMORROW","Next: "&amp;$AC181&amp;IF($AB181&lt;=TODAY()," is due TODAY ("," is due next business day (")&amp;TEXT($AB181,"dd-mmm")&amp;").","Next: "&amp;$AC181&amp;" due "&amp;TEXT($AB181,"dd-mmm")&amp;" ("&amp;(NETWORKDAYS(TODAY(),$AB181,Holidays)-1)&amp;" business day(s) left).")))))</f>
        <v/>
      </c>
      <c r="W181" s="17">
        <f>IF($Z181="","",CHOOSE($Z181,"Collection Email","1st Follow-up","2nd Follow-up","Local Office","CBE","Roxanne")&amp;IF($Z181=6," - Final"," - Day "&amp;MAX(0,NETWORKDAYS($AA181,TODAY(),Holidays)-1)&amp;" of "&amp;CHOOSE($Z181,3,3,2,2,3))&amp;" | Total Day "&amp;MAX(0,NETWORKDAYS($N181,TODAY(),Holidays)-1))</f>
        <v/>
      </c>
      <c r="X181" s="18"/>
      <c r="Y181" s="18"/>
      <c r="Z181" s="17">
        <f>IF($N181="","",COUNT($N181:$S181))</f>
        <v/>
      </c>
      <c r="AA181" s="19">
        <f>IF($Z181="","",INT(INDEX($N181:$S181,$Z181)))</f>
        <v/>
      </c>
      <c r="AB181" s="19">
        <f>IF(OR($Z181="",$Z181=6),"",WORKDAY($AA181,CHOOSE($Z181,3,3,2,2,3),Holidays))</f>
        <v/>
      </c>
      <c r="AC181" s="17">
        <f>IF(OR($Z181="",$Z181=6),"",CHOOSE($Z181,"1st Email Follow-up","2nd Email Follow-up","Escalate Local Office","Escalate to CBE","Escalate to Roxanne"))</f>
        <v/>
      </c>
    </row>
    <row r="182" spans="13:29">
      <c r="M182" s="14"/>
      <c r="T182" s="16"/>
      <c r="U182" s="17">
        <f>IF(AND(COUNTA($A182:$L182)=0,$N182=""),"",IF($T182="Paid","PAID",IF($T182="Closed","CLOSED",IF($Z182="","",IF($Z182=6,"ESCALATED TO ROXANNE",IF(TODAY()&gt;$AB182,"OVERDUE",IF($AB182&lt;=WORKDAY(TODAY(),1,Holidays),"DUE TOMORROW",IF($Z182=4,"ESCALATED TO LOCAL OFFICE",IF($Z182=5,"ESCALATED TO CBE",IF($AA182=TODAY(),"EMAIL SENT","MONITORING"))))))))))</f>
        <v/>
      </c>
      <c r="V182" s="17">
        <f>IF($U182="",IF(AND(COUNTA($A182:$L182)&gt;0,$N182=""),"Awaiting Collection Email time stamp.",""),IF(OR($U182="PAID",$U182="CLOSED"),IF($U182="PAID","Account paid. Action completed.","Account closed. No further action required."),CHOOSE($Z182,"Collection Email","1st Email Follow-up","2nd Email Follow-up","Escalation to Local Office","Escalation to CBE","Escalation to Roxanne")&amp;" sent "&amp;TEXT($AA182,"dd-mmm")&amp;". "&amp;IF($Z182=6,"Final escalation completed.",IF($U182="OVERDUE","Next: "&amp;$AC182&amp;" was due "&amp;TEXT($AB182,"dd-mmm")&amp;" - "&amp;(NETWORKDAYS($AB182,TODAY(),Holidays)-1)&amp;" business day(s) late. Send now.",IF($U182="DUE TOMORROW","Next: "&amp;$AC182&amp;IF($AB182&lt;=TODAY()," is due TODAY ("," is due next business day (")&amp;TEXT($AB182,"dd-mmm")&amp;").","Next: "&amp;$AC182&amp;" due "&amp;TEXT($AB182,"dd-mmm")&amp;" ("&amp;(NETWORKDAYS(TODAY(),$AB182,Holidays)-1)&amp;" business day(s) left).")))))</f>
        <v/>
      </c>
      <c r="W182" s="17">
        <f>IF($Z182="","",CHOOSE($Z182,"Collection Email","1st Follow-up","2nd Follow-up","Local Office","CBE","Roxanne")&amp;IF($Z182=6," - Final"," - Day "&amp;MAX(0,NETWORKDAYS($AA182,TODAY(),Holidays)-1)&amp;" of "&amp;CHOOSE($Z182,3,3,2,2,3))&amp;" | Total Day "&amp;MAX(0,NETWORKDAYS($N182,TODAY(),Holidays)-1))</f>
        <v/>
      </c>
      <c r="X182" s="18"/>
      <c r="Y182" s="18"/>
      <c r="Z182" s="17">
        <f>IF($N182="","",COUNT($N182:$S182))</f>
        <v/>
      </c>
      <c r="AA182" s="19">
        <f>IF($Z182="","",INT(INDEX($N182:$S182,$Z182)))</f>
        <v/>
      </c>
      <c r="AB182" s="19">
        <f>IF(OR($Z182="",$Z182=6),"",WORKDAY($AA182,CHOOSE($Z182,3,3,2,2,3),Holidays))</f>
        <v/>
      </c>
      <c r="AC182" s="17">
        <f>IF(OR($Z182="",$Z182=6),"",CHOOSE($Z182,"1st Email Follow-up","2nd Email Follow-up","Escalate Local Office","Escalate to CBE","Escalate to Roxanne"))</f>
        <v/>
      </c>
    </row>
    <row r="183" spans="13:29">
      <c r="M183" s="14"/>
      <c r="T183" s="16"/>
      <c r="U183" s="17">
        <f>IF(AND(COUNTA($A183:$L183)=0,$N183=""),"",IF($T183="Paid","PAID",IF($T183="Closed","CLOSED",IF($Z183="","",IF($Z183=6,"ESCALATED TO ROXANNE",IF(TODAY()&gt;$AB183,"OVERDUE",IF($AB183&lt;=WORKDAY(TODAY(),1,Holidays),"DUE TOMORROW",IF($Z183=4,"ESCALATED TO LOCAL OFFICE",IF($Z183=5,"ESCALATED TO CBE",IF($AA183=TODAY(),"EMAIL SENT","MONITORING"))))))))))</f>
        <v/>
      </c>
      <c r="V183" s="17">
        <f>IF($U183="",IF(AND(COUNTA($A183:$L183)&gt;0,$N183=""),"Awaiting Collection Email time stamp.",""),IF(OR($U183="PAID",$U183="CLOSED"),IF($U183="PAID","Account paid. Action completed.","Account closed. No further action required."),CHOOSE($Z183,"Collection Email","1st Email Follow-up","2nd Email Follow-up","Escalation to Local Office","Escalation to CBE","Escalation to Roxanne")&amp;" sent "&amp;TEXT($AA183,"dd-mmm")&amp;". "&amp;IF($Z183=6,"Final escalation completed.",IF($U183="OVERDUE","Next: "&amp;$AC183&amp;" was due "&amp;TEXT($AB183,"dd-mmm")&amp;" - "&amp;(NETWORKDAYS($AB183,TODAY(),Holidays)-1)&amp;" business day(s) late. Send now.",IF($U183="DUE TOMORROW","Next: "&amp;$AC183&amp;IF($AB183&lt;=TODAY()," is due TODAY ("," is due next business day (")&amp;TEXT($AB183,"dd-mmm")&amp;").","Next: "&amp;$AC183&amp;" due "&amp;TEXT($AB183,"dd-mmm")&amp;" ("&amp;(NETWORKDAYS(TODAY(),$AB183,Holidays)-1)&amp;" business day(s) left).")))))</f>
        <v/>
      </c>
      <c r="W183" s="17">
        <f>IF($Z183="","",CHOOSE($Z183,"Collection Email","1st Follow-up","2nd Follow-up","Local Office","CBE","Roxanne")&amp;IF($Z183=6," - Final"," - Day "&amp;MAX(0,NETWORKDAYS($AA183,TODAY(),Holidays)-1)&amp;" of "&amp;CHOOSE($Z183,3,3,2,2,3))&amp;" | Total Day "&amp;MAX(0,NETWORKDAYS($N183,TODAY(),Holidays)-1))</f>
        <v/>
      </c>
      <c r="X183" s="18"/>
      <c r="Y183" s="18"/>
      <c r="Z183" s="17">
        <f>IF($N183="","",COUNT($N183:$S183))</f>
        <v/>
      </c>
      <c r="AA183" s="19">
        <f>IF($Z183="","",INT(INDEX($N183:$S183,$Z183)))</f>
        <v/>
      </c>
      <c r="AB183" s="19">
        <f>IF(OR($Z183="",$Z183=6),"",WORKDAY($AA183,CHOOSE($Z183,3,3,2,2,3),Holidays))</f>
        <v/>
      </c>
      <c r="AC183" s="17">
        <f>IF(OR($Z183="",$Z183=6),"",CHOOSE($Z183,"1st Email Follow-up","2nd Email Follow-up","Escalate Local Office","Escalate to CBE","Escalate to Roxanne"))</f>
        <v/>
      </c>
    </row>
    <row r="184" spans="13:29">
      <c r="M184" s="14"/>
      <c r="T184" s="16"/>
      <c r="U184" s="17">
        <f>IF(AND(COUNTA($A184:$L184)=0,$N184=""),"",IF($T184="Paid","PAID",IF($T184="Closed","CLOSED",IF($Z184="","",IF($Z184=6,"ESCALATED TO ROXANNE",IF(TODAY()&gt;$AB184,"OVERDUE",IF($AB184&lt;=WORKDAY(TODAY(),1,Holidays),"DUE TOMORROW",IF($Z184=4,"ESCALATED TO LOCAL OFFICE",IF($Z184=5,"ESCALATED TO CBE",IF($AA184=TODAY(),"EMAIL SENT","MONITORING"))))))))))</f>
        <v/>
      </c>
      <c r="V184" s="17">
        <f>IF($U184="",IF(AND(COUNTA($A184:$L184)&gt;0,$N184=""),"Awaiting Collection Email time stamp.",""),IF(OR($U184="PAID",$U184="CLOSED"),IF($U184="PAID","Account paid. Action completed.","Account closed. No further action required."),CHOOSE($Z184,"Collection Email","1st Email Follow-up","2nd Email Follow-up","Escalation to Local Office","Escalation to CBE","Escalation to Roxanne")&amp;" sent "&amp;TEXT($AA184,"dd-mmm")&amp;". "&amp;IF($Z184=6,"Final escalation completed.",IF($U184="OVERDUE","Next: "&amp;$AC184&amp;" was due "&amp;TEXT($AB184,"dd-mmm")&amp;" - "&amp;(NETWORKDAYS($AB184,TODAY(),Holidays)-1)&amp;" business day(s) late. Send now.",IF($U184="DUE TOMORROW","Next: "&amp;$AC184&amp;IF($AB184&lt;=TODAY()," is due TODAY ("," is due next business day (")&amp;TEXT($AB184,"dd-mmm")&amp;").","Next: "&amp;$AC184&amp;" due "&amp;TEXT($AB184,"dd-mmm")&amp;" ("&amp;(NETWORKDAYS(TODAY(),$AB184,Holidays)-1)&amp;" business day(s) left).")))))</f>
        <v/>
      </c>
      <c r="W184" s="17">
        <f>IF($Z184="","",CHOOSE($Z184,"Collection Email","1st Follow-up","2nd Follow-up","Local Office","CBE","Roxanne")&amp;IF($Z184=6," - Final"," - Day "&amp;MAX(0,NETWORKDAYS($AA184,TODAY(),Holidays)-1)&amp;" of "&amp;CHOOSE($Z184,3,3,2,2,3))&amp;" | Total Day "&amp;MAX(0,NETWORKDAYS($N184,TODAY(),Holidays)-1))</f>
        <v/>
      </c>
      <c r="X184" s="18"/>
      <c r="Y184" s="18"/>
      <c r="Z184" s="17">
        <f>IF($N184="","",COUNT($N184:$S184))</f>
        <v/>
      </c>
      <c r="AA184" s="19">
        <f>IF($Z184="","",INT(INDEX($N184:$S184,$Z184)))</f>
        <v/>
      </c>
      <c r="AB184" s="19">
        <f>IF(OR($Z184="",$Z184=6),"",WORKDAY($AA184,CHOOSE($Z184,3,3,2,2,3),Holidays))</f>
        <v/>
      </c>
      <c r="AC184" s="17">
        <f>IF(OR($Z184="",$Z184=6),"",CHOOSE($Z184,"1st Email Follow-up","2nd Email Follow-up","Escalate Local Office","Escalate to CBE","Escalate to Roxanne"))</f>
        <v/>
      </c>
    </row>
    <row r="185" spans="13:29">
      <c r="M185" s="14"/>
      <c r="T185" s="16"/>
      <c r="U185" s="17">
        <f>IF(AND(COUNTA($A185:$L185)=0,$N185=""),"",IF($T185="Paid","PAID",IF($T185="Closed","CLOSED",IF($Z185="","",IF($Z185=6,"ESCALATED TO ROXANNE",IF(TODAY()&gt;$AB185,"OVERDUE",IF($AB185&lt;=WORKDAY(TODAY(),1,Holidays),"DUE TOMORROW",IF($Z185=4,"ESCALATED TO LOCAL OFFICE",IF($Z185=5,"ESCALATED TO CBE",IF($AA185=TODAY(),"EMAIL SENT","MONITORING"))))))))))</f>
        <v/>
      </c>
      <c r="V185" s="17">
        <f>IF($U185="",IF(AND(COUNTA($A185:$L185)&gt;0,$N185=""),"Awaiting Collection Email time stamp.",""),IF(OR($U185="PAID",$U185="CLOSED"),IF($U185="PAID","Account paid. Action completed.","Account closed. No further action required."),CHOOSE($Z185,"Collection Email","1st Email Follow-up","2nd Email Follow-up","Escalation to Local Office","Escalation to CBE","Escalation to Roxanne")&amp;" sent "&amp;TEXT($AA185,"dd-mmm")&amp;". "&amp;IF($Z185=6,"Final escalation completed.",IF($U185="OVERDUE","Next: "&amp;$AC185&amp;" was due "&amp;TEXT($AB185,"dd-mmm")&amp;" - "&amp;(NETWORKDAYS($AB185,TODAY(),Holidays)-1)&amp;" business day(s) late. Send now.",IF($U185="DUE TOMORROW","Next: "&amp;$AC185&amp;IF($AB185&lt;=TODAY()," is due TODAY ("," is due next business day (")&amp;TEXT($AB185,"dd-mmm")&amp;").","Next: "&amp;$AC185&amp;" due "&amp;TEXT($AB185,"dd-mmm")&amp;" ("&amp;(NETWORKDAYS(TODAY(),$AB185,Holidays)-1)&amp;" business day(s) left).")))))</f>
        <v/>
      </c>
      <c r="W185" s="17">
        <f>IF($Z185="","",CHOOSE($Z185,"Collection Email","1st Follow-up","2nd Follow-up","Local Office","CBE","Roxanne")&amp;IF($Z185=6," - Final"," - Day "&amp;MAX(0,NETWORKDAYS($AA185,TODAY(),Holidays)-1)&amp;" of "&amp;CHOOSE($Z185,3,3,2,2,3))&amp;" | Total Day "&amp;MAX(0,NETWORKDAYS($N185,TODAY(),Holidays)-1))</f>
        <v/>
      </c>
      <c r="X185" s="18"/>
      <c r="Y185" s="18"/>
      <c r="Z185" s="17">
        <f>IF($N185="","",COUNT($N185:$S185))</f>
        <v/>
      </c>
      <c r="AA185" s="19">
        <f>IF($Z185="","",INT(INDEX($N185:$S185,$Z185)))</f>
        <v/>
      </c>
      <c r="AB185" s="19">
        <f>IF(OR($Z185="",$Z185=6),"",WORKDAY($AA185,CHOOSE($Z185,3,3,2,2,3),Holidays))</f>
        <v/>
      </c>
      <c r="AC185" s="17">
        <f>IF(OR($Z185="",$Z185=6),"",CHOOSE($Z185,"1st Email Follow-up","2nd Email Follow-up","Escalate Local Office","Escalate to CBE","Escalate to Roxanne"))</f>
        <v/>
      </c>
    </row>
    <row r="186" spans="13:29">
      <c r="M186" s="14"/>
      <c r="T186" s="16"/>
      <c r="U186" s="17">
        <f>IF(AND(COUNTA($A186:$L186)=0,$N186=""),"",IF($T186="Paid","PAID",IF($T186="Closed","CLOSED",IF($Z186="","",IF($Z186=6,"ESCALATED TO ROXANNE",IF(TODAY()&gt;$AB186,"OVERDUE",IF($AB186&lt;=WORKDAY(TODAY(),1,Holidays),"DUE TOMORROW",IF($Z186=4,"ESCALATED TO LOCAL OFFICE",IF($Z186=5,"ESCALATED TO CBE",IF($AA186=TODAY(),"EMAIL SENT","MONITORING"))))))))))</f>
        <v/>
      </c>
      <c r="V186" s="17">
        <f>IF($U186="",IF(AND(COUNTA($A186:$L186)&gt;0,$N186=""),"Awaiting Collection Email time stamp.",""),IF(OR($U186="PAID",$U186="CLOSED"),IF($U186="PAID","Account paid. Action completed.","Account closed. No further action required."),CHOOSE($Z186,"Collection Email","1st Email Follow-up","2nd Email Follow-up","Escalation to Local Office","Escalation to CBE","Escalation to Roxanne")&amp;" sent "&amp;TEXT($AA186,"dd-mmm")&amp;". "&amp;IF($Z186=6,"Final escalation completed.",IF($U186="OVERDUE","Next: "&amp;$AC186&amp;" was due "&amp;TEXT($AB186,"dd-mmm")&amp;" - "&amp;(NETWORKDAYS($AB186,TODAY(),Holidays)-1)&amp;" business day(s) late. Send now.",IF($U186="DUE TOMORROW","Next: "&amp;$AC186&amp;IF($AB186&lt;=TODAY()," is due TODAY ("," is due next business day (")&amp;TEXT($AB186,"dd-mmm")&amp;").","Next: "&amp;$AC186&amp;" due "&amp;TEXT($AB186,"dd-mmm")&amp;" ("&amp;(NETWORKDAYS(TODAY(),$AB186,Holidays)-1)&amp;" business day(s) left).")))))</f>
        <v/>
      </c>
      <c r="W186" s="17">
        <f>IF($Z186="","",CHOOSE($Z186,"Collection Email","1st Follow-up","2nd Follow-up","Local Office","CBE","Roxanne")&amp;IF($Z186=6," - Final"," - Day "&amp;MAX(0,NETWORKDAYS($AA186,TODAY(),Holidays)-1)&amp;" of "&amp;CHOOSE($Z186,3,3,2,2,3))&amp;" | Total Day "&amp;MAX(0,NETWORKDAYS($N186,TODAY(),Holidays)-1))</f>
        <v/>
      </c>
      <c r="X186" s="18"/>
      <c r="Y186" s="18"/>
      <c r="Z186" s="17">
        <f>IF($N186="","",COUNT($N186:$S186))</f>
        <v/>
      </c>
      <c r="AA186" s="19">
        <f>IF($Z186="","",INT(INDEX($N186:$S186,$Z186)))</f>
        <v/>
      </c>
      <c r="AB186" s="19">
        <f>IF(OR($Z186="",$Z186=6),"",WORKDAY($AA186,CHOOSE($Z186,3,3,2,2,3),Holidays))</f>
        <v/>
      </c>
      <c r="AC186" s="17">
        <f>IF(OR($Z186="",$Z186=6),"",CHOOSE($Z186,"1st Email Follow-up","2nd Email Follow-up","Escalate Local Office","Escalate to CBE","Escalate to Roxanne"))</f>
        <v/>
      </c>
    </row>
    <row r="187" spans="13:29">
      <c r="M187" s="14"/>
      <c r="T187" s="16"/>
      <c r="U187" s="17">
        <f>IF(AND(COUNTA($A187:$L187)=0,$N187=""),"",IF($T187="Paid","PAID",IF($T187="Closed","CLOSED",IF($Z187="","",IF($Z187=6,"ESCALATED TO ROXANNE",IF(TODAY()&gt;$AB187,"OVERDUE",IF($AB187&lt;=WORKDAY(TODAY(),1,Holidays),"DUE TOMORROW",IF($Z187=4,"ESCALATED TO LOCAL OFFICE",IF($Z187=5,"ESCALATED TO CBE",IF($AA187=TODAY(),"EMAIL SENT","MONITORING"))))))))))</f>
        <v/>
      </c>
      <c r="V187" s="17">
        <f>IF($U187="",IF(AND(COUNTA($A187:$L187)&gt;0,$N187=""),"Awaiting Collection Email time stamp.",""),IF(OR($U187="PAID",$U187="CLOSED"),IF($U187="PAID","Account paid. Action completed.","Account closed. No further action required."),CHOOSE($Z187,"Collection Email","1st Email Follow-up","2nd Email Follow-up","Escalation to Local Office","Escalation to CBE","Escalation to Roxanne")&amp;" sent "&amp;TEXT($AA187,"dd-mmm")&amp;". "&amp;IF($Z187=6,"Final escalation completed.",IF($U187="OVERDUE","Next: "&amp;$AC187&amp;" was due "&amp;TEXT($AB187,"dd-mmm")&amp;" - "&amp;(NETWORKDAYS($AB187,TODAY(),Holidays)-1)&amp;" business day(s) late. Send now.",IF($U187="DUE TOMORROW","Next: "&amp;$AC187&amp;IF($AB187&lt;=TODAY()," is due TODAY ("," is due next business day (")&amp;TEXT($AB187,"dd-mmm")&amp;").","Next: "&amp;$AC187&amp;" due "&amp;TEXT($AB187,"dd-mmm")&amp;" ("&amp;(NETWORKDAYS(TODAY(),$AB187,Holidays)-1)&amp;" business day(s) left).")))))</f>
        <v/>
      </c>
      <c r="W187" s="17">
        <f>IF($Z187="","",CHOOSE($Z187,"Collection Email","1st Follow-up","2nd Follow-up","Local Office","CBE","Roxanne")&amp;IF($Z187=6," - Final"," - Day "&amp;MAX(0,NETWORKDAYS($AA187,TODAY(),Holidays)-1)&amp;" of "&amp;CHOOSE($Z187,3,3,2,2,3))&amp;" | Total Day "&amp;MAX(0,NETWORKDAYS($N187,TODAY(),Holidays)-1))</f>
        <v/>
      </c>
      <c r="X187" s="18"/>
      <c r="Y187" s="18"/>
      <c r="Z187" s="17">
        <f>IF($N187="","",COUNT($N187:$S187))</f>
        <v/>
      </c>
      <c r="AA187" s="19">
        <f>IF($Z187="","",INT(INDEX($N187:$S187,$Z187)))</f>
        <v/>
      </c>
      <c r="AB187" s="19">
        <f>IF(OR($Z187="",$Z187=6),"",WORKDAY($AA187,CHOOSE($Z187,3,3,2,2,3),Holidays))</f>
        <v/>
      </c>
      <c r="AC187" s="17">
        <f>IF(OR($Z187="",$Z187=6),"",CHOOSE($Z187,"1st Email Follow-up","2nd Email Follow-up","Escalate Local Office","Escalate to CBE","Escalate to Roxanne"))</f>
        <v/>
      </c>
    </row>
    <row r="188" spans="13:29">
      <c r="M188" s="14"/>
      <c r="T188" s="16"/>
      <c r="U188" s="17">
        <f>IF(AND(COUNTA($A188:$L188)=0,$N188=""),"",IF($T188="Paid","PAID",IF($T188="Closed","CLOSED",IF($Z188="","",IF($Z188=6,"ESCALATED TO ROXANNE",IF(TODAY()&gt;$AB188,"OVERDUE",IF($AB188&lt;=WORKDAY(TODAY(),1,Holidays),"DUE TOMORROW",IF($Z188=4,"ESCALATED TO LOCAL OFFICE",IF($Z188=5,"ESCALATED TO CBE",IF($AA188=TODAY(),"EMAIL SENT","MONITORING"))))))))))</f>
        <v/>
      </c>
      <c r="V188" s="17">
        <f>IF($U188="",IF(AND(COUNTA($A188:$L188)&gt;0,$N188=""),"Awaiting Collection Email time stamp.",""),IF(OR($U188="PAID",$U188="CLOSED"),IF($U188="PAID","Account paid. Action completed.","Account closed. No further action required."),CHOOSE($Z188,"Collection Email","1st Email Follow-up","2nd Email Follow-up","Escalation to Local Office","Escalation to CBE","Escalation to Roxanne")&amp;" sent "&amp;TEXT($AA188,"dd-mmm")&amp;". "&amp;IF($Z188=6,"Final escalation completed.",IF($U188="OVERDUE","Next: "&amp;$AC188&amp;" was due "&amp;TEXT($AB188,"dd-mmm")&amp;" - "&amp;(NETWORKDAYS($AB188,TODAY(),Holidays)-1)&amp;" business day(s) late. Send now.",IF($U188="DUE TOMORROW","Next: "&amp;$AC188&amp;IF($AB188&lt;=TODAY()," is due TODAY ("," is due next business day (")&amp;TEXT($AB188,"dd-mmm")&amp;").","Next: "&amp;$AC188&amp;" due "&amp;TEXT($AB188,"dd-mmm")&amp;" ("&amp;(NETWORKDAYS(TODAY(),$AB188,Holidays)-1)&amp;" business day(s) left).")))))</f>
        <v/>
      </c>
      <c r="W188" s="17">
        <f>IF($Z188="","",CHOOSE($Z188,"Collection Email","1st Follow-up","2nd Follow-up","Local Office","CBE","Roxanne")&amp;IF($Z188=6," - Final"," - Day "&amp;MAX(0,NETWORKDAYS($AA188,TODAY(),Holidays)-1)&amp;" of "&amp;CHOOSE($Z188,3,3,2,2,3))&amp;" | Total Day "&amp;MAX(0,NETWORKDAYS($N188,TODAY(),Holidays)-1))</f>
        <v/>
      </c>
      <c r="X188" s="18"/>
      <c r="Y188" s="18"/>
      <c r="Z188" s="17">
        <f>IF($N188="","",COUNT($N188:$S188))</f>
        <v/>
      </c>
      <c r="AA188" s="19">
        <f>IF($Z188="","",INT(INDEX($N188:$S188,$Z188)))</f>
        <v/>
      </c>
      <c r="AB188" s="19">
        <f>IF(OR($Z188="",$Z188=6),"",WORKDAY($AA188,CHOOSE($Z188,3,3,2,2,3),Holidays))</f>
        <v/>
      </c>
      <c r="AC188" s="17">
        <f>IF(OR($Z188="",$Z188=6),"",CHOOSE($Z188,"1st Email Follow-up","2nd Email Follow-up","Escalate Local Office","Escalate to CBE","Escalate to Roxanne"))</f>
        <v/>
      </c>
    </row>
    <row r="189" spans="13:29">
      <c r="M189" s="14"/>
      <c r="T189" s="16"/>
      <c r="U189" s="17">
        <f>IF(AND(COUNTA($A189:$L189)=0,$N189=""),"",IF($T189="Paid","PAID",IF($T189="Closed","CLOSED",IF($Z189="","",IF($Z189=6,"ESCALATED TO ROXANNE",IF(TODAY()&gt;$AB189,"OVERDUE",IF($AB189&lt;=WORKDAY(TODAY(),1,Holidays),"DUE TOMORROW",IF($Z189=4,"ESCALATED TO LOCAL OFFICE",IF($Z189=5,"ESCALATED TO CBE",IF($AA189=TODAY(),"EMAIL SENT","MONITORING"))))))))))</f>
        <v/>
      </c>
      <c r="V189" s="17">
        <f>IF($U189="",IF(AND(COUNTA($A189:$L189)&gt;0,$N189=""),"Awaiting Collection Email time stamp.",""),IF(OR($U189="PAID",$U189="CLOSED"),IF($U189="PAID","Account paid. Action completed.","Account closed. No further action required."),CHOOSE($Z189,"Collection Email","1st Email Follow-up","2nd Email Follow-up","Escalation to Local Office","Escalation to CBE","Escalation to Roxanne")&amp;" sent "&amp;TEXT($AA189,"dd-mmm")&amp;". "&amp;IF($Z189=6,"Final escalation completed.",IF($U189="OVERDUE","Next: "&amp;$AC189&amp;" was due "&amp;TEXT($AB189,"dd-mmm")&amp;" - "&amp;(NETWORKDAYS($AB189,TODAY(),Holidays)-1)&amp;" business day(s) late. Send now.",IF($U189="DUE TOMORROW","Next: "&amp;$AC189&amp;IF($AB189&lt;=TODAY()," is due TODAY ("," is due next business day (")&amp;TEXT($AB189,"dd-mmm")&amp;").","Next: "&amp;$AC189&amp;" due "&amp;TEXT($AB189,"dd-mmm")&amp;" ("&amp;(NETWORKDAYS(TODAY(),$AB189,Holidays)-1)&amp;" business day(s) left).")))))</f>
        <v/>
      </c>
      <c r="W189" s="17">
        <f>IF($Z189="","",CHOOSE($Z189,"Collection Email","1st Follow-up","2nd Follow-up","Local Office","CBE","Roxanne")&amp;IF($Z189=6," - Final"," - Day "&amp;MAX(0,NETWORKDAYS($AA189,TODAY(),Holidays)-1)&amp;" of "&amp;CHOOSE($Z189,3,3,2,2,3))&amp;" | Total Day "&amp;MAX(0,NETWORKDAYS($N189,TODAY(),Holidays)-1))</f>
        <v/>
      </c>
      <c r="X189" s="18"/>
      <c r="Y189" s="18"/>
      <c r="Z189" s="17">
        <f>IF($N189="","",COUNT($N189:$S189))</f>
        <v/>
      </c>
      <c r="AA189" s="19">
        <f>IF($Z189="","",INT(INDEX($N189:$S189,$Z189)))</f>
        <v/>
      </c>
      <c r="AB189" s="19">
        <f>IF(OR($Z189="",$Z189=6),"",WORKDAY($AA189,CHOOSE($Z189,3,3,2,2,3),Holidays))</f>
        <v/>
      </c>
      <c r="AC189" s="17">
        <f>IF(OR($Z189="",$Z189=6),"",CHOOSE($Z189,"1st Email Follow-up","2nd Email Follow-up","Escalate Local Office","Escalate to CBE","Escalate to Roxanne"))</f>
        <v/>
      </c>
    </row>
    <row r="190" spans="13:29">
      <c r="M190" s="14"/>
      <c r="T190" s="16"/>
      <c r="U190" s="17">
        <f>IF(AND(COUNTA($A190:$L190)=0,$N190=""),"",IF($T190="Paid","PAID",IF($T190="Closed","CLOSED",IF($Z190="","",IF($Z190=6,"ESCALATED TO ROXANNE",IF(TODAY()&gt;$AB190,"OVERDUE",IF($AB190&lt;=WORKDAY(TODAY(),1,Holidays),"DUE TOMORROW",IF($Z190=4,"ESCALATED TO LOCAL OFFICE",IF($Z190=5,"ESCALATED TO CBE",IF($AA190=TODAY(),"EMAIL SENT","MONITORING"))))))))))</f>
        <v/>
      </c>
      <c r="V190" s="17">
        <f>IF($U190="",IF(AND(COUNTA($A190:$L190)&gt;0,$N190=""),"Awaiting Collection Email time stamp.",""),IF(OR($U190="PAID",$U190="CLOSED"),IF($U190="PAID","Account paid. Action completed.","Account closed. No further action required."),CHOOSE($Z190,"Collection Email","1st Email Follow-up","2nd Email Follow-up","Escalation to Local Office","Escalation to CBE","Escalation to Roxanne")&amp;" sent "&amp;TEXT($AA190,"dd-mmm")&amp;". "&amp;IF($Z190=6,"Final escalation completed.",IF($U190="OVERDUE","Next: "&amp;$AC190&amp;" was due "&amp;TEXT($AB190,"dd-mmm")&amp;" - "&amp;(NETWORKDAYS($AB190,TODAY(),Holidays)-1)&amp;" business day(s) late. Send now.",IF($U190="DUE TOMORROW","Next: "&amp;$AC190&amp;IF($AB190&lt;=TODAY()," is due TODAY ("," is due next business day (")&amp;TEXT($AB190,"dd-mmm")&amp;").","Next: "&amp;$AC190&amp;" due "&amp;TEXT($AB190,"dd-mmm")&amp;" ("&amp;(NETWORKDAYS(TODAY(),$AB190,Holidays)-1)&amp;" business day(s) left).")))))</f>
        <v/>
      </c>
      <c r="W190" s="17">
        <f>IF($Z190="","",CHOOSE($Z190,"Collection Email","1st Follow-up","2nd Follow-up","Local Office","CBE","Roxanne")&amp;IF($Z190=6," - Final"," - Day "&amp;MAX(0,NETWORKDAYS($AA190,TODAY(),Holidays)-1)&amp;" of "&amp;CHOOSE($Z190,3,3,2,2,3))&amp;" | Total Day "&amp;MAX(0,NETWORKDAYS($N190,TODAY(),Holidays)-1))</f>
        <v/>
      </c>
      <c r="X190" s="18"/>
      <c r="Y190" s="18"/>
      <c r="Z190" s="17">
        <f>IF($N190="","",COUNT($N190:$S190))</f>
        <v/>
      </c>
      <c r="AA190" s="19">
        <f>IF($Z190="","",INT(INDEX($N190:$S190,$Z190)))</f>
        <v/>
      </c>
      <c r="AB190" s="19">
        <f>IF(OR($Z190="",$Z190=6),"",WORKDAY($AA190,CHOOSE($Z190,3,3,2,2,3),Holidays))</f>
        <v/>
      </c>
      <c r="AC190" s="17">
        <f>IF(OR($Z190="",$Z190=6),"",CHOOSE($Z190,"1st Email Follow-up","2nd Email Follow-up","Escalate Local Office","Escalate to CBE","Escalate to Roxanne"))</f>
        <v/>
      </c>
    </row>
    <row r="191" spans="13:29">
      <c r="M191" s="14"/>
      <c r="T191" s="16"/>
      <c r="U191" s="17">
        <f>IF(AND(COUNTA($A191:$L191)=0,$N191=""),"",IF($T191="Paid","PAID",IF($T191="Closed","CLOSED",IF($Z191="","",IF($Z191=6,"ESCALATED TO ROXANNE",IF(TODAY()&gt;$AB191,"OVERDUE",IF($AB191&lt;=WORKDAY(TODAY(),1,Holidays),"DUE TOMORROW",IF($Z191=4,"ESCALATED TO LOCAL OFFICE",IF($Z191=5,"ESCALATED TO CBE",IF($AA191=TODAY(),"EMAIL SENT","MONITORING"))))))))))</f>
        <v/>
      </c>
      <c r="V191" s="17">
        <f>IF($U191="",IF(AND(COUNTA($A191:$L191)&gt;0,$N191=""),"Awaiting Collection Email time stamp.",""),IF(OR($U191="PAID",$U191="CLOSED"),IF($U191="PAID","Account paid. Action completed.","Account closed. No further action required."),CHOOSE($Z191,"Collection Email","1st Email Follow-up","2nd Email Follow-up","Escalation to Local Office","Escalation to CBE","Escalation to Roxanne")&amp;" sent "&amp;TEXT($AA191,"dd-mmm")&amp;". "&amp;IF($Z191=6,"Final escalation completed.",IF($U191="OVERDUE","Next: "&amp;$AC191&amp;" was due "&amp;TEXT($AB191,"dd-mmm")&amp;" - "&amp;(NETWORKDAYS($AB191,TODAY(),Holidays)-1)&amp;" business day(s) late. Send now.",IF($U191="DUE TOMORROW","Next: "&amp;$AC191&amp;IF($AB191&lt;=TODAY()," is due TODAY ("," is due next business day (")&amp;TEXT($AB191,"dd-mmm")&amp;").","Next: "&amp;$AC191&amp;" due "&amp;TEXT($AB191,"dd-mmm")&amp;" ("&amp;(NETWORKDAYS(TODAY(),$AB191,Holidays)-1)&amp;" business day(s) left).")))))</f>
        <v/>
      </c>
      <c r="W191" s="17">
        <f>IF($Z191="","",CHOOSE($Z191,"Collection Email","1st Follow-up","2nd Follow-up","Local Office","CBE","Roxanne")&amp;IF($Z191=6," - Final"," - Day "&amp;MAX(0,NETWORKDAYS($AA191,TODAY(),Holidays)-1)&amp;" of "&amp;CHOOSE($Z191,3,3,2,2,3))&amp;" | Total Day "&amp;MAX(0,NETWORKDAYS($N191,TODAY(),Holidays)-1))</f>
        <v/>
      </c>
      <c r="X191" s="18"/>
      <c r="Y191" s="18"/>
      <c r="Z191" s="17">
        <f>IF($N191="","",COUNT($N191:$S191))</f>
        <v/>
      </c>
      <c r="AA191" s="19">
        <f>IF($Z191="","",INT(INDEX($N191:$S191,$Z191)))</f>
        <v/>
      </c>
      <c r="AB191" s="19">
        <f>IF(OR($Z191="",$Z191=6),"",WORKDAY($AA191,CHOOSE($Z191,3,3,2,2,3),Holidays))</f>
        <v/>
      </c>
      <c r="AC191" s="17">
        <f>IF(OR($Z191="",$Z191=6),"",CHOOSE($Z191,"1st Email Follow-up","2nd Email Follow-up","Escalate Local Office","Escalate to CBE","Escalate to Roxanne"))</f>
        <v/>
      </c>
    </row>
    <row r="192" spans="13:29">
      <c r="M192" s="14"/>
      <c r="T192" s="16"/>
      <c r="U192" s="17">
        <f>IF(AND(COUNTA($A192:$L192)=0,$N192=""),"",IF($T192="Paid","PAID",IF($T192="Closed","CLOSED",IF($Z192="","",IF($Z192=6,"ESCALATED TO ROXANNE",IF(TODAY()&gt;$AB192,"OVERDUE",IF($AB192&lt;=WORKDAY(TODAY(),1,Holidays),"DUE TOMORROW",IF($Z192=4,"ESCALATED TO LOCAL OFFICE",IF($Z192=5,"ESCALATED TO CBE",IF($AA192=TODAY(),"EMAIL SENT","MONITORING"))))))))))</f>
        <v/>
      </c>
      <c r="V192" s="17">
        <f>IF($U192="",IF(AND(COUNTA($A192:$L192)&gt;0,$N192=""),"Awaiting Collection Email time stamp.",""),IF(OR($U192="PAID",$U192="CLOSED"),IF($U192="PAID","Account paid. Action completed.","Account closed. No further action required."),CHOOSE($Z192,"Collection Email","1st Email Follow-up","2nd Email Follow-up","Escalation to Local Office","Escalation to CBE","Escalation to Roxanne")&amp;" sent "&amp;TEXT($AA192,"dd-mmm")&amp;". "&amp;IF($Z192=6,"Final escalation completed.",IF($U192="OVERDUE","Next: "&amp;$AC192&amp;" was due "&amp;TEXT($AB192,"dd-mmm")&amp;" - "&amp;(NETWORKDAYS($AB192,TODAY(),Holidays)-1)&amp;" business day(s) late. Send now.",IF($U192="DUE TOMORROW","Next: "&amp;$AC192&amp;IF($AB192&lt;=TODAY()," is due TODAY ("," is due next business day (")&amp;TEXT($AB192,"dd-mmm")&amp;").","Next: "&amp;$AC192&amp;" due "&amp;TEXT($AB192,"dd-mmm")&amp;" ("&amp;(NETWORKDAYS(TODAY(),$AB192,Holidays)-1)&amp;" business day(s) left).")))))</f>
        <v/>
      </c>
      <c r="W192" s="17">
        <f>IF($Z192="","",CHOOSE($Z192,"Collection Email","1st Follow-up","2nd Follow-up","Local Office","CBE","Roxanne")&amp;IF($Z192=6," - Final"," - Day "&amp;MAX(0,NETWORKDAYS($AA192,TODAY(),Holidays)-1)&amp;" of "&amp;CHOOSE($Z192,3,3,2,2,3))&amp;" | Total Day "&amp;MAX(0,NETWORKDAYS($N192,TODAY(),Holidays)-1))</f>
        <v/>
      </c>
      <c r="X192" s="18"/>
      <c r="Y192" s="18"/>
      <c r="Z192" s="17">
        <f>IF($N192="","",COUNT($N192:$S192))</f>
        <v/>
      </c>
      <c r="AA192" s="19">
        <f>IF($Z192="","",INT(INDEX($N192:$S192,$Z192)))</f>
        <v/>
      </c>
      <c r="AB192" s="19">
        <f>IF(OR($Z192="",$Z192=6),"",WORKDAY($AA192,CHOOSE($Z192,3,3,2,2,3),Holidays))</f>
        <v/>
      </c>
      <c r="AC192" s="17">
        <f>IF(OR($Z192="",$Z192=6),"",CHOOSE($Z192,"1st Email Follow-up","2nd Email Follow-up","Escalate Local Office","Escalate to CBE","Escalate to Roxanne"))</f>
        <v/>
      </c>
    </row>
    <row r="193" spans="13:29">
      <c r="M193" s="14"/>
      <c r="T193" s="16"/>
      <c r="U193" s="17">
        <f>IF(AND(COUNTA($A193:$L193)=0,$N193=""),"",IF($T193="Paid","PAID",IF($T193="Closed","CLOSED",IF($Z193="","",IF($Z193=6,"ESCALATED TO ROXANNE",IF(TODAY()&gt;$AB193,"OVERDUE",IF($AB193&lt;=WORKDAY(TODAY(),1,Holidays),"DUE TOMORROW",IF($Z193=4,"ESCALATED TO LOCAL OFFICE",IF($Z193=5,"ESCALATED TO CBE",IF($AA193=TODAY(),"EMAIL SENT","MONITORING"))))))))))</f>
        <v/>
      </c>
      <c r="V193" s="17">
        <f>IF($U193="",IF(AND(COUNTA($A193:$L193)&gt;0,$N193=""),"Awaiting Collection Email time stamp.",""),IF(OR($U193="PAID",$U193="CLOSED"),IF($U193="PAID","Account paid. Action completed.","Account closed. No further action required."),CHOOSE($Z193,"Collection Email","1st Email Follow-up","2nd Email Follow-up","Escalation to Local Office","Escalation to CBE","Escalation to Roxanne")&amp;" sent "&amp;TEXT($AA193,"dd-mmm")&amp;". "&amp;IF($Z193=6,"Final escalation completed.",IF($U193="OVERDUE","Next: "&amp;$AC193&amp;" was due "&amp;TEXT($AB193,"dd-mmm")&amp;" - "&amp;(NETWORKDAYS($AB193,TODAY(),Holidays)-1)&amp;" business day(s) late. Send now.",IF($U193="DUE TOMORROW","Next: "&amp;$AC193&amp;IF($AB193&lt;=TODAY()," is due TODAY ("," is due next business day (")&amp;TEXT($AB193,"dd-mmm")&amp;").","Next: "&amp;$AC193&amp;" due "&amp;TEXT($AB193,"dd-mmm")&amp;" ("&amp;(NETWORKDAYS(TODAY(),$AB193,Holidays)-1)&amp;" business day(s) left).")))))</f>
        <v/>
      </c>
      <c r="W193" s="17">
        <f>IF($Z193="","",CHOOSE($Z193,"Collection Email","1st Follow-up","2nd Follow-up","Local Office","CBE","Roxanne")&amp;IF($Z193=6," - Final"," - Day "&amp;MAX(0,NETWORKDAYS($AA193,TODAY(),Holidays)-1)&amp;" of "&amp;CHOOSE($Z193,3,3,2,2,3))&amp;" | Total Day "&amp;MAX(0,NETWORKDAYS($N193,TODAY(),Holidays)-1))</f>
        <v/>
      </c>
      <c r="X193" s="18"/>
      <c r="Y193" s="18"/>
      <c r="Z193" s="17">
        <f>IF($N193="","",COUNT($N193:$S193))</f>
        <v/>
      </c>
      <c r="AA193" s="19">
        <f>IF($Z193="","",INT(INDEX($N193:$S193,$Z193)))</f>
        <v/>
      </c>
      <c r="AB193" s="19">
        <f>IF(OR($Z193="",$Z193=6),"",WORKDAY($AA193,CHOOSE($Z193,3,3,2,2,3),Holidays))</f>
        <v/>
      </c>
      <c r="AC193" s="17">
        <f>IF(OR($Z193="",$Z193=6),"",CHOOSE($Z193,"1st Email Follow-up","2nd Email Follow-up","Escalate Local Office","Escalate to CBE","Escalate to Roxanne"))</f>
        <v/>
      </c>
    </row>
    <row r="194" spans="13:29">
      <c r="M194" s="14"/>
      <c r="T194" s="16"/>
      <c r="U194" s="17">
        <f>IF(AND(COUNTA($A194:$L194)=0,$N194=""),"",IF($T194="Paid","PAID",IF($T194="Closed","CLOSED",IF($Z194="","",IF($Z194=6,"ESCALATED TO ROXANNE",IF(TODAY()&gt;$AB194,"OVERDUE",IF($AB194&lt;=WORKDAY(TODAY(),1,Holidays),"DUE TOMORROW",IF($Z194=4,"ESCALATED TO LOCAL OFFICE",IF($Z194=5,"ESCALATED TO CBE",IF($AA194=TODAY(),"EMAIL SENT","MONITORING"))))))))))</f>
        <v/>
      </c>
      <c r="V194" s="17">
        <f>IF($U194="",IF(AND(COUNTA($A194:$L194)&gt;0,$N194=""),"Awaiting Collection Email time stamp.",""),IF(OR($U194="PAID",$U194="CLOSED"),IF($U194="PAID","Account paid. Action completed.","Account closed. No further action required."),CHOOSE($Z194,"Collection Email","1st Email Follow-up","2nd Email Follow-up","Escalation to Local Office","Escalation to CBE","Escalation to Roxanne")&amp;" sent "&amp;TEXT($AA194,"dd-mmm")&amp;". "&amp;IF($Z194=6,"Final escalation completed.",IF($U194="OVERDUE","Next: "&amp;$AC194&amp;" was due "&amp;TEXT($AB194,"dd-mmm")&amp;" - "&amp;(NETWORKDAYS($AB194,TODAY(),Holidays)-1)&amp;" business day(s) late. Send now.",IF($U194="DUE TOMORROW","Next: "&amp;$AC194&amp;IF($AB194&lt;=TODAY()," is due TODAY ("," is due next business day (")&amp;TEXT($AB194,"dd-mmm")&amp;").","Next: "&amp;$AC194&amp;" due "&amp;TEXT($AB194,"dd-mmm")&amp;" ("&amp;(NETWORKDAYS(TODAY(),$AB194,Holidays)-1)&amp;" business day(s) left).")))))</f>
        <v/>
      </c>
      <c r="W194" s="17">
        <f>IF($Z194="","",CHOOSE($Z194,"Collection Email","1st Follow-up","2nd Follow-up","Local Office","CBE","Roxanne")&amp;IF($Z194=6," - Final"," - Day "&amp;MAX(0,NETWORKDAYS($AA194,TODAY(),Holidays)-1)&amp;" of "&amp;CHOOSE($Z194,3,3,2,2,3))&amp;" | Total Day "&amp;MAX(0,NETWORKDAYS($N194,TODAY(),Holidays)-1))</f>
        <v/>
      </c>
      <c r="X194" s="18"/>
      <c r="Y194" s="18"/>
      <c r="Z194" s="17">
        <f>IF($N194="","",COUNT($N194:$S194))</f>
        <v/>
      </c>
      <c r="AA194" s="19">
        <f>IF($Z194="","",INT(INDEX($N194:$S194,$Z194)))</f>
        <v/>
      </c>
      <c r="AB194" s="19">
        <f>IF(OR($Z194="",$Z194=6),"",WORKDAY($AA194,CHOOSE($Z194,3,3,2,2,3),Holidays))</f>
        <v/>
      </c>
      <c r="AC194" s="17">
        <f>IF(OR($Z194="",$Z194=6),"",CHOOSE($Z194,"1st Email Follow-up","2nd Email Follow-up","Escalate Local Office","Escalate to CBE","Escalate to Roxanne"))</f>
        <v/>
      </c>
    </row>
    <row r="195" spans="13:29">
      <c r="M195" s="14"/>
      <c r="T195" s="16"/>
      <c r="U195" s="17">
        <f>IF(AND(COUNTA($A195:$L195)=0,$N195=""),"",IF($T195="Paid","PAID",IF($T195="Closed","CLOSED",IF($Z195="","",IF($Z195=6,"ESCALATED TO ROXANNE",IF(TODAY()&gt;$AB195,"OVERDUE",IF($AB195&lt;=WORKDAY(TODAY(),1,Holidays),"DUE TOMORROW",IF($Z195=4,"ESCALATED TO LOCAL OFFICE",IF($Z195=5,"ESCALATED TO CBE",IF($AA195=TODAY(),"EMAIL SENT","MONITORING"))))))))))</f>
        <v/>
      </c>
      <c r="V195" s="17">
        <f>IF($U195="",IF(AND(COUNTA($A195:$L195)&gt;0,$N195=""),"Awaiting Collection Email time stamp.",""),IF(OR($U195="PAID",$U195="CLOSED"),IF($U195="PAID","Account paid. Action completed.","Account closed. No further action required."),CHOOSE($Z195,"Collection Email","1st Email Follow-up","2nd Email Follow-up","Escalation to Local Office","Escalation to CBE","Escalation to Roxanne")&amp;" sent "&amp;TEXT($AA195,"dd-mmm")&amp;". "&amp;IF($Z195=6,"Final escalation completed.",IF($U195="OVERDUE","Next: "&amp;$AC195&amp;" was due "&amp;TEXT($AB195,"dd-mmm")&amp;" - "&amp;(NETWORKDAYS($AB195,TODAY(),Holidays)-1)&amp;" business day(s) late. Send now.",IF($U195="DUE TOMORROW","Next: "&amp;$AC195&amp;IF($AB195&lt;=TODAY()," is due TODAY ("," is due next business day (")&amp;TEXT($AB195,"dd-mmm")&amp;").","Next: "&amp;$AC195&amp;" due "&amp;TEXT($AB195,"dd-mmm")&amp;" ("&amp;(NETWORKDAYS(TODAY(),$AB195,Holidays)-1)&amp;" business day(s) left).")))))</f>
        <v/>
      </c>
      <c r="W195" s="17">
        <f>IF($Z195="","",CHOOSE($Z195,"Collection Email","1st Follow-up","2nd Follow-up","Local Office","CBE","Roxanne")&amp;IF($Z195=6," - Final"," - Day "&amp;MAX(0,NETWORKDAYS($AA195,TODAY(),Holidays)-1)&amp;" of "&amp;CHOOSE($Z195,3,3,2,2,3))&amp;" | Total Day "&amp;MAX(0,NETWORKDAYS($N195,TODAY(),Holidays)-1))</f>
        <v/>
      </c>
      <c r="X195" s="18"/>
      <c r="Y195" s="18"/>
      <c r="Z195" s="17">
        <f>IF($N195="","",COUNT($N195:$S195))</f>
        <v/>
      </c>
      <c r="AA195" s="19">
        <f>IF($Z195="","",INT(INDEX($N195:$S195,$Z195)))</f>
        <v/>
      </c>
      <c r="AB195" s="19">
        <f>IF(OR($Z195="",$Z195=6),"",WORKDAY($AA195,CHOOSE($Z195,3,3,2,2,3),Holidays))</f>
        <v/>
      </c>
      <c r="AC195" s="17">
        <f>IF(OR($Z195="",$Z195=6),"",CHOOSE($Z195,"1st Email Follow-up","2nd Email Follow-up","Escalate Local Office","Escalate to CBE","Escalate to Roxanne"))</f>
        <v/>
      </c>
    </row>
    <row r="196" spans="13:29">
      <c r="M196" s="14"/>
      <c r="T196" s="16"/>
      <c r="U196" s="17">
        <f>IF(AND(COUNTA($A196:$L196)=0,$N196=""),"",IF($T196="Paid","PAID",IF($T196="Closed","CLOSED",IF($Z196="","",IF($Z196=6,"ESCALATED TO ROXANNE",IF(TODAY()&gt;$AB196,"OVERDUE",IF($AB196&lt;=WORKDAY(TODAY(),1,Holidays),"DUE TOMORROW",IF($Z196=4,"ESCALATED TO LOCAL OFFICE",IF($Z196=5,"ESCALATED TO CBE",IF($AA196=TODAY(),"EMAIL SENT","MONITORING"))))))))))</f>
        <v/>
      </c>
      <c r="V196" s="17">
        <f>IF($U196="",IF(AND(COUNTA($A196:$L196)&gt;0,$N196=""),"Awaiting Collection Email time stamp.",""),IF(OR($U196="PAID",$U196="CLOSED"),IF($U196="PAID","Account paid. Action completed.","Account closed. No further action required."),CHOOSE($Z196,"Collection Email","1st Email Follow-up","2nd Email Follow-up","Escalation to Local Office","Escalation to CBE","Escalation to Roxanne")&amp;" sent "&amp;TEXT($AA196,"dd-mmm")&amp;". "&amp;IF($Z196=6,"Final escalation completed.",IF($U196="OVERDUE","Next: "&amp;$AC196&amp;" was due "&amp;TEXT($AB196,"dd-mmm")&amp;" - "&amp;(NETWORKDAYS($AB196,TODAY(),Holidays)-1)&amp;" business day(s) late. Send now.",IF($U196="DUE TOMORROW","Next: "&amp;$AC196&amp;IF($AB196&lt;=TODAY()," is due TODAY ("," is due next business day (")&amp;TEXT($AB196,"dd-mmm")&amp;").","Next: "&amp;$AC196&amp;" due "&amp;TEXT($AB196,"dd-mmm")&amp;" ("&amp;(NETWORKDAYS(TODAY(),$AB196,Holidays)-1)&amp;" business day(s) left).")))))</f>
        <v/>
      </c>
      <c r="W196" s="17">
        <f>IF($Z196="","",CHOOSE($Z196,"Collection Email","1st Follow-up","2nd Follow-up","Local Office","CBE","Roxanne")&amp;IF($Z196=6," - Final"," - Day "&amp;MAX(0,NETWORKDAYS($AA196,TODAY(),Holidays)-1)&amp;" of "&amp;CHOOSE($Z196,3,3,2,2,3))&amp;" | Total Day "&amp;MAX(0,NETWORKDAYS($N196,TODAY(),Holidays)-1))</f>
        <v/>
      </c>
      <c r="X196" s="18"/>
      <c r="Y196" s="18"/>
      <c r="Z196" s="17">
        <f>IF($N196="","",COUNT($N196:$S196))</f>
        <v/>
      </c>
      <c r="AA196" s="19">
        <f>IF($Z196="","",INT(INDEX($N196:$S196,$Z196)))</f>
        <v/>
      </c>
      <c r="AB196" s="19">
        <f>IF(OR($Z196="",$Z196=6),"",WORKDAY($AA196,CHOOSE($Z196,3,3,2,2,3),Holidays))</f>
        <v/>
      </c>
      <c r="AC196" s="17">
        <f>IF(OR($Z196="",$Z196=6),"",CHOOSE($Z196,"1st Email Follow-up","2nd Email Follow-up","Escalate Local Office","Escalate to CBE","Escalate to Roxanne"))</f>
        <v/>
      </c>
    </row>
    <row r="197" spans="13:29">
      <c r="M197" s="14"/>
      <c r="T197" s="16"/>
      <c r="U197" s="17">
        <f>IF(AND(COUNTA($A197:$L197)=0,$N197=""),"",IF($T197="Paid","PAID",IF($T197="Closed","CLOSED",IF($Z197="","",IF($Z197=6,"ESCALATED TO ROXANNE",IF(TODAY()&gt;$AB197,"OVERDUE",IF($AB197&lt;=WORKDAY(TODAY(),1,Holidays),"DUE TOMORROW",IF($Z197=4,"ESCALATED TO LOCAL OFFICE",IF($Z197=5,"ESCALATED TO CBE",IF($AA197=TODAY(),"EMAIL SENT","MONITORING"))))))))))</f>
        <v/>
      </c>
      <c r="V197" s="17">
        <f>IF($U197="",IF(AND(COUNTA($A197:$L197)&gt;0,$N197=""),"Awaiting Collection Email time stamp.",""),IF(OR($U197="PAID",$U197="CLOSED"),IF($U197="PAID","Account paid. Action completed.","Account closed. No further action required."),CHOOSE($Z197,"Collection Email","1st Email Follow-up","2nd Email Follow-up","Escalation to Local Office","Escalation to CBE","Escalation to Roxanne")&amp;" sent "&amp;TEXT($AA197,"dd-mmm")&amp;". "&amp;IF($Z197=6,"Final escalation completed.",IF($U197="OVERDUE","Next: "&amp;$AC197&amp;" was due "&amp;TEXT($AB197,"dd-mmm")&amp;" - "&amp;(NETWORKDAYS($AB197,TODAY(),Holidays)-1)&amp;" business day(s) late. Send now.",IF($U197="DUE TOMORROW","Next: "&amp;$AC197&amp;IF($AB197&lt;=TODAY()," is due TODAY ("," is due next business day (")&amp;TEXT($AB197,"dd-mmm")&amp;").","Next: "&amp;$AC197&amp;" due "&amp;TEXT($AB197,"dd-mmm")&amp;" ("&amp;(NETWORKDAYS(TODAY(),$AB197,Holidays)-1)&amp;" business day(s) left).")))))</f>
        <v/>
      </c>
      <c r="W197" s="17">
        <f>IF($Z197="","",CHOOSE($Z197,"Collection Email","1st Follow-up","2nd Follow-up","Local Office","CBE","Roxanne")&amp;IF($Z197=6," - Final"," - Day "&amp;MAX(0,NETWORKDAYS($AA197,TODAY(),Holidays)-1)&amp;" of "&amp;CHOOSE($Z197,3,3,2,2,3))&amp;" | Total Day "&amp;MAX(0,NETWORKDAYS($N197,TODAY(),Holidays)-1))</f>
        <v/>
      </c>
      <c r="X197" s="18"/>
      <c r="Y197" s="18"/>
      <c r="Z197" s="17">
        <f>IF($N197="","",COUNT($N197:$S197))</f>
        <v/>
      </c>
      <c r="AA197" s="19">
        <f>IF($Z197="","",INT(INDEX($N197:$S197,$Z197)))</f>
        <v/>
      </c>
      <c r="AB197" s="19">
        <f>IF(OR($Z197="",$Z197=6),"",WORKDAY($AA197,CHOOSE($Z197,3,3,2,2,3),Holidays))</f>
        <v/>
      </c>
      <c r="AC197" s="17">
        <f>IF(OR($Z197="",$Z197=6),"",CHOOSE($Z197,"1st Email Follow-up","2nd Email Follow-up","Escalate Local Office","Escalate to CBE","Escalate to Roxanne"))</f>
        <v/>
      </c>
    </row>
    <row r="198" spans="13:29">
      <c r="M198" s="14"/>
      <c r="T198" s="16"/>
      <c r="U198" s="17">
        <f>IF(AND(COUNTA($A198:$L198)=0,$N198=""),"",IF($T198="Paid","PAID",IF($T198="Closed","CLOSED",IF($Z198="","",IF($Z198=6,"ESCALATED TO ROXANNE",IF(TODAY()&gt;$AB198,"OVERDUE",IF($AB198&lt;=WORKDAY(TODAY(),1,Holidays),"DUE TOMORROW",IF($Z198=4,"ESCALATED TO LOCAL OFFICE",IF($Z198=5,"ESCALATED TO CBE",IF($AA198=TODAY(),"EMAIL SENT","MONITORING"))))))))))</f>
        <v/>
      </c>
      <c r="V198" s="17">
        <f>IF($U198="",IF(AND(COUNTA($A198:$L198)&gt;0,$N198=""),"Awaiting Collection Email time stamp.",""),IF(OR($U198="PAID",$U198="CLOSED"),IF($U198="PAID","Account paid. Action completed.","Account closed. No further action required."),CHOOSE($Z198,"Collection Email","1st Email Follow-up","2nd Email Follow-up","Escalation to Local Office","Escalation to CBE","Escalation to Roxanne")&amp;" sent "&amp;TEXT($AA198,"dd-mmm")&amp;". "&amp;IF($Z198=6,"Final escalation completed.",IF($U198="OVERDUE","Next: "&amp;$AC198&amp;" was due "&amp;TEXT($AB198,"dd-mmm")&amp;" - "&amp;(NETWORKDAYS($AB198,TODAY(),Holidays)-1)&amp;" business day(s) late. Send now.",IF($U198="DUE TOMORROW","Next: "&amp;$AC198&amp;IF($AB198&lt;=TODAY()," is due TODAY ("," is due next business day (")&amp;TEXT($AB198,"dd-mmm")&amp;").","Next: "&amp;$AC198&amp;" due "&amp;TEXT($AB198,"dd-mmm")&amp;" ("&amp;(NETWORKDAYS(TODAY(),$AB198,Holidays)-1)&amp;" business day(s) left).")))))</f>
        <v/>
      </c>
      <c r="W198" s="17">
        <f>IF($Z198="","",CHOOSE($Z198,"Collection Email","1st Follow-up","2nd Follow-up","Local Office","CBE","Roxanne")&amp;IF($Z198=6," - Final"," - Day "&amp;MAX(0,NETWORKDAYS($AA198,TODAY(),Holidays)-1)&amp;" of "&amp;CHOOSE($Z198,3,3,2,2,3))&amp;" | Total Day "&amp;MAX(0,NETWORKDAYS($N198,TODAY(),Holidays)-1))</f>
        <v/>
      </c>
      <c r="X198" s="18"/>
      <c r="Y198" s="18"/>
      <c r="Z198" s="17">
        <f>IF($N198="","",COUNT($N198:$S198))</f>
        <v/>
      </c>
      <c r="AA198" s="19">
        <f>IF($Z198="","",INT(INDEX($N198:$S198,$Z198)))</f>
        <v/>
      </c>
      <c r="AB198" s="19">
        <f>IF(OR($Z198="",$Z198=6),"",WORKDAY($AA198,CHOOSE($Z198,3,3,2,2,3),Holidays))</f>
        <v/>
      </c>
      <c r="AC198" s="17">
        <f>IF(OR($Z198="",$Z198=6),"",CHOOSE($Z198,"1st Email Follow-up","2nd Email Follow-up","Escalate Local Office","Escalate to CBE","Escalate to Roxanne"))</f>
        <v/>
      </c>
    </row>
    <row r="199" spans="13:29">
      <c r="M199" s="14"/>
      <c r="T199" s="16"/>
      <c r="U199" s="17">
        <f>IF(AND(COUNTA($A199:$L199)=0,$N199=""),"",IF($T199="Paid","PAID",IF($T199="Closed","CLOSED",IF($Z199="","",IF($Z199=6,"ESCALATED TO ROXANNE",IF(TODAY()&gt;$AB199,"OVERDUE",IF($AB199&lt;=WORKDAY(TODAY(),1,Holidays),"DUE TOMORROW",IF($Z199=4,"ESCALATED TO LOCAL OFFICE",IF($Z199=5,"ESCALATED TO CBE",IF($AA199=TODAY(),"EMAIL SENT","MONITORING"))))))))))</f>
        <v/>
      </c>
      <c r="V199" s="17">
        <f>IF($U199="",IF(AND(COUNTA($A199:$L199)&gt;0,$N199=""),"Awaiting Collection Email time stamp.",""),IF(OR($U199="PAID",$U199="CLOSED"),IF($U199="PAID","Account paid. Action completed.","Account closed. No further action required."),CHOOSE($Z199,"Collection Email","1st Email Follow-up","2nd Email Follow-up","Escalation to Local Office","Escalation to CBE","Escalation to Roxanne")&amp;" sent "&amp;TEXT($AA199,"dd-mmm")&amp;". "&amp;IF($Z199=6,"Final escalation completed.",IF($U199="OVERDUE","Next: "&amp;$AC199&amp;" was due "&amp;TEXT($AB199,"dd-mmm")&amp;" - "&amp;(NETWORKDAYS($AB199,TODAY(),Holidays)-1)&amp;" business day(s) late. Send now.",IF($U199="DUE TOMORROW","Next: "&amp;$AC199&amp;IF($AB199&lt;=TODAY()," is due TODAY ("," is due next business day (")&amp;TEXT($AB199,"dd-mmm")&amp;").","Next: "&amp;$AC199&amp;" due "&amp;TEXT($AB199,"dd-mmm")&amp;" ("&amp;(NETWORKDAYS(TODAY(),$AB199,Holidays)-1)&amp;" business day(s) left).")))))</f>
        <v/>
      </c>
      <c r="W199" s="17">
        <f>IF($Z199="","",CHOOSE($Z199,"Collection Email","1st Follow-up","2nd Follow-up","Local Office","CBE","Roxanne")&amp;IF($Z199=6," - Final"," - Day "&amp;MAX(0,NETWORKDAYS($AA199,TODAY(),Holidays)-1)&amp;" of "&amp;CHOOSE($Z199,3,3,2,2,3))&amp;" | Total Day "&amp;MAX(0,NETWORKDAYS($N199,TODAY(),Holidays)-1))</f>
        <v/>
      </c>
      <c r="X199" s="18"/>
      <c r="Y199" s="18"/>
      <c r="Z199" s="17">
        <f>IF($N199="","",COUNT($N199:$S199))</f>
        <v/>
      </c>
      <c r="AA199" s="19">
        <f>IF($Z199="","",INT(INDEX($N199:$S199,$Z199)))</f>
        <v/>
      </c>
      <c r="AB199" s="19">
        <f>IF(OR($Z199="",$Z199=6),"",WORKDAY($AA199,CHOOSE($Z199,3,3,2,2,3),Holidays))</f>
        <v/>
      </c>
      <c r="AC199" s="17">
        <f>IF(OR($Z199="",$Z199=6),"",CHOOSE($Z199,"1st Email Follow-up","2nd Email Follow-up","Escalate Local Office","Escalate to CBE","Escalate to Roxanne"))</f>
        <v/>
      </c>
    </row>
    <row r="200" spans="13:29">
      <c r="M200" s="14"/>
      <c r="T200" s="16"/>
      <c r="U200" s="17">
        <f>IF(AND(COUNTA($A200:$L200)=0,$N200=""),"",IF($T200="Paid","PAID",IF($T200="Closed","CLOSED",IF($Z200="","",IF($Z200=6,"ESCALATED TO ROXANNE",IF(TODAY()&gt;$AB200,"OVERDUE",IF($AB200&lt;=WORKDAY(TODAY(),1,Holidays),"DUE TOMORROW",IF($Z200=4,"ESCALATED TO LOCAL OFFICE",IF($Z200=5,"ESCALATED TO CBE",IF($AA200=TODAY(),"EMAIL SENT","MONITORING"))))))))))</f>
        <v/>
      </c>
      <c r="V200" s="17">
        <f>IF($U200="",IF(AND(COUNTA($A200:$L200)&gt;0,$N200=""),"Awaiting Collection Email time stamp.",""),IF(OR($U200="PAID",$U200="CLOSED"),IF($U200="PAID","Account paid. Action completed.","Account closed. No further action required."),CHOOSE($Z200,"Collection Email","1st Email Follow-up","2nd Email Follow-up","Escalation to Local Office","Escalation to CBE","Escalation to Roxanne")&amp;" sent "&amp;TEXT($AA200,"dd-mmm")&amp;". "&amp;IF($Z200=6,"Final escalation completed.",IF($U200="OVERDUE","Next: "&amp;$AC200&amp;" was due "&amp;TEXT($AB200,"dd-mmm")&amp;" - "&amp;(NETWORKDAYS($AB200,TODAY(),Holidays)-1)&amp;" business day(s) late. Send now.",IF($U200="DUE TOMORROW","Next: "&amp;$AC200&amp;IF($AB200&lt;=TODAY()," is due TODAY ("," is due next business day (")&amp;TEXT($AB200,"dd-mmm")&amp;").","Next: "&amp;$AC200&amp;" due "&amp;TEXT($AB200,"dd-mmm")&amp;" ("&amp;(NETWORKDAYS(TODAY(),$AB200,Holidays)-1)&amp;" business day(s) left).")))))</f>
        <v/>
      </c>
      <c r="W200" s="17">
        <f>IF($Z200="","",CHOOSE($Z200,"Collection Email","1st Follow-up","2nd Follow-up","Local Office","CBE","Roxanne")&amp;IF($Z200=6," - Final"," - Day "&amp;MAX(0,NETWORKDAYS($AA200,TODAY(),Holidays)-1)&amp;" of "&amp;CHOOSE($Z200,3,3,2,2,3))&amp;" | Total Day "&amp;MAX(0,NETWORKDAYS($N200,TODAY(),Holidays)-1))</f>
        <v/>
      </c>
      <c r="X200" s="18"/>
      <c r="Y200" s="18"/>
      <c r="Z200" s="17">
        <f>IF($N200="","",COUNT($N200:$S200))</f>
        <v/>
      </c>
      <c r="AA200" s="19">
        <f>IF($Z200="","",INT(INDEX($N200:$S200,$Z200)))</f>
        <v/>
      </c>
      <c r="AB200" s="19">
        <f>IF(OR($Z200="",$Z200=6),"",WORKDAY($AA200,CHOOSE($Z200,3,3,2,2,3),Holidays))</f>
        <v/>
      </c>
      <c r="AC200" s="17">
        <f>IF(OR($Z200="",$Z200=6),"",CHOOSE($Z200,"1st Email Follow-up","2nd Email Follow-up","Escalate Local Office","Escalate to CBE","Escalate to Roxanne"))</f>
        <v/>
      </c>
    </row>
    <row r="201" spans="13:29">
      <c r="M201" s="14"/>
      <c r="T201" s="16"/>
      <c r="U201" s="17">
        <f>IF(AND(COUNTA($A201:$L201)=0,$N201=""),"",IF($T201="Paid","PAID",IF($T201="Closed","CLOSED",IF($Z201="","",IF($Z201=6,"ESCALATED TO ROXANNE",IF(TODAY()&gt;$AB201,"OVERDUE",IF($AB201&lt;=WORKDAY(TODAY(),1,Holidays),"DUE TOMORROW",IF($Z201=4,"ESCALATED TO LOCAL OFFICE",IF($Z201=5,"ESCALATED TO CBE",IF($AA201=TODAY(),"EMAIL SENT","MONITORING"))))))))))</f>
        <v/>
      </c>
      <c r="V201" s="17">
        <f>IF($U201="",IF(AND(COUNTA($A201:$L201)&gt;0,$N201=""),"Awaiting Collection Email time stamp.",""),IF(OR($U201="PAID",$U201="CLOSED"),IF($U201="PAID","Account paid. Action completed.","Account closed. No further action required."),CHOOSE($Z201,"Collection Email","1st Email Follow-up","2nd Email Follow-up","Escalation to Local Office","Escalation to CBE","Escalation to Roxanne")&amp;" sent "&amp;TEXT($AA201,"dd-mmm")&amp;". "&amp;IF($Z201=6,"Final escalation completed.",IF($U201="OVERDUE","Next: "&amp;$AC201&amp;" was due "&amp;TEXT($AB201,"dd-mmm")&amp;" - "&amp;(NETWORKDAYS($AB201,TODAY(),Holidays)-1)&amp;" business day(s) late. Send now.",IF($U201="DUE TOMORROW","Next: "&amp;$AC201&amp;IF($AB201&lt;=TODAY()," is due TODAY ("," is due next business day (")&amp;TEXT($AB201,"dd-mmm")&amp;").","Next: "&amp;$AC201&amp;" due "&amp;TEXT($AB201,"dd-mmm")&amp;" ("&amp;(NETWORKDAYS(TODAY(),$AB201,Holidays)-1)&amp;" business day(s) left).")))))</f>
        <v/>
      </c>
      <c r="W201" s="17">
        <f>IF($Z201="","",CHOOSE($Z201,"Collection Email","1st Follow-up","2nd Follow-up","Local Office","CBE","Roxanne")&amp;IF($Z201=6," - Final"," - Day "&amp;MAX(0,NETWORKDAYS($AA201,TODAY(),Holidays)-1)&amp;" of "&amp;CHOOSE($Z201,3,3,2,2,3))&amp;" | Total Day "&amp;MAX(0,NETWORKDAYS($N201,TODAY(),Holidays)-1))</f>
        <v/>
      </c>
      <c r="X201" s="18"/>
      <c r="Y201" s="18"/>
      <c r="Z201" s="17">
        <f>IF($N201="","",COUNT($N201:$S201))</f>
        <v/>
      </c>
      <c r="AA201" s="19">
        <f>IF($Z201="","",INT(INDEX($N201:$S201,$Z201)))</f>
        <v/>
      </c>
      <c r="AB201" s="19">
        <f>IF(OR($Z201="",$Z201=6),"",WORKDAY($AA201,CHOOSE($Z201,3,3,2,2,3),Holidays))</f>
        <v/>
      </c>
      <c r="AC201" s="17">
        <f>IF(OR($Z201="",$Z201=6),"",CHOOSE($Z201,"1st Email Follow-up","2nd Email Follow-up","Escalate Local Office","Escalate to CBE","Escalate to Roxanne"))</f>
        <v/>
      </c>
    </row>
    <row r="202" spans="13:29">
      <c r="M202" s="14"/>
      <c r="T202" s="16"/>
      <c r="U202" s="17">
        <f>IF(AND(COUNTA($A202:$L202)=0,$N202=""),"",IF($T202="Paid","PAID",IF($T202="Closed","CLOSED",IF($Z202="","",IF($Z202=6,"ESCALATED TO ROXANNE",IF(TODAY()&gt;$AB202,"OVERDUE",IF($AB202&lt;=WORKDAY(TODAY(),1,Holidays),"DUE TOMORROW",IF($Z202=4,"ESCALATED TO LOCAL OFFICE",IF($Z202=5,"ESCALATED TO CBE",IF($AA202=TODAY(),"EMAIL SENT","MONITORING"))))))))))</f>
        <v/>
      </c>
      <c r="V202" s="17">
        <f>IF($U202="",IF(AND(COUNTA($A202:$L202)&gt;0,$N202=""),"Awaiting Collection Email time stamp.",""),IF(OR($U202="PAID",$U202="CLOSED"),IF($U202="PAID","Account paid. Action completed.","Account closed. No further action required."),CHOOSE($Z202,"Collection Email","1st Email Follow-up","2nd Email Follow-up","Escalation to Local Office","Escalation to CBE","Escalation to Roxanne")&amp;" sent "&amp;TEXT($AA202,"dd-mmm")&amp;". "&amp;IF($Z202=6,"Final escalation completed.",IF($U202="OVERDUE","Next: "&amp;$AC202&amp;" was due "&amp;TEXT($AB202,"dd-mmm")&amp;" - "&amp;(NETWORKDAYS($AB202,TODAY(),Holidays)-1)&amp;" business day(s) late. Send now.",IF($U202="DUE TOMORROW","Next: "&amp;$AC202&amp;IF($AB202&lt;=TODAY()," is due TODAY ("," is due next business day (")&amp;TEXT($AB202,"dd-mmm")&amp;").","Next: "&amp;$AC202&amp;" due "&amp;TEXT($AB202,"dd-mmm")&amp;" ("&amp;(NETWORKDAYS(TODAY(),$AB202,Holidays)-1)&amp;" business day(s) left).")))))</f>
        <v/>
      </c>
      <c r="W202" s="17">
        <f>IF($Z202="","",CHOOSE($Z202,"Collection Email","1st Follow-up","2nd Follow-up","Local Office","CBE","Roxanne")&amp;IF($Z202=6," - Final"," - Day "&amp;MAX(0,NETWORKDAYS($AA202,TODAY(),Holidays)-1)&amp;" of "&amp;CHOOSE($Z202,3,3,2,2,3))&amp;" | Total Day "&amp;MAX(0,NETWORKDAYS($N202,TODAY(),Holidays)-1))</f>
        <v/>
      </c>
      <c r="X202" s="18"/>
      <c r="Y202" s="18"/>
      <c r="Z202" s="17">
        <f>IF($N202="","",COUNT($N202:$S202))</f>
        <v/>
      </c>
      <c r="AA202" s="19">
        <f>IF($Z202="","",INT(INDEX($N202:$S202,$Z202)))</f>
        <v/>
      </c>
      <c r="AB202" s="19">
        <f>IF(OR($Z202="",$Z202=6),"",WORKDAY($AA202,CHOOSE($Z202,3,3,2,2,3),Holidays))</f>
        <v/>
      </c>
      <c r="AC202" s="17">
        <f>IF(OR($Z202="",$Z202=6),"",CHOOSE($Z202,"1st Email Follow-up","2nd Email Follow-up","Escalate Local Office","Escalate to CBE","Escalate to Roxanne"))</f>
        <v/>
      </c>
    </row>
    <row r="203" spans="13:29">
      <c r="M203" s="14"/>
      <c r="T203" s="16"/>
      <c r="U203" s="17">
        <f>IF(AND(COUNTA($A203:$L203)=0,$N203=""),"",IF($T203="Paid","PAID",IF($T203="Closed","CLOSED",IF($Z203="","",IF($Z203=6,"ESCALATED TO ROXANNE",IF(TODAY()&gt;$AB203,"OVERDUE",IF($AB203&lt;=WORKDAY(TODAY(),1,Holidays),"DUE TOMORROW",IF($Z203=4,"ESCALATED TO LOCAL OFFICE",IF($Z203=5,"ESCALATED TO CBE",IF($AA203=TODAY(),"EMAIL SENT","MONITORING"))))))))))</f>
        <v/>
      </c>
      <c r="V203" s="17">
        <f>IF($U203="",IF(AND(COUNTA($A203:$L203)&gt;0,$N203=""),"Awaiting Collection Email time stamp.",""),IF(OR($U203="PAID",$U203="CLOSED"),IF($U203="PAID","Account paid. Action completed.","Account closed. No further action required."),CHOOSE($Z203,"Collection Email","1st Email Follow-up","2nd Email Follow-up","Escalation to Local Office","Escalation to CBE","Escalation to Roxanne")&amp;" sent "&amp;TEXT($AA203,"dd-mmm")&amp;". "&amp;IF($Z203=6,"Final escalation completed.",IF($U203="OVERDUE","Next: "&amp;$AC203&amp;" was due "&amp;TEXT($AB203,"dd-mmm")&amp;" - "&amp;(NETWORKDAYS($AB203,TODAY(),Holidays)-1)&amp;" business day(s) late. Send now.",IF($U203="DUE TOMORROW","Next: "&amp;$AC203&amp;IF($AB203&lt;=TODAY()," is due TODAY ("," is due next business day (")&amp;TEXT($AB203,"dd-mmm")&amp;").","Next: "&amp;$AC203&amp;" due "&amp;TEXT($AB203,"dd-mmm")&amp;" ("&amp;(NETWORKDAYS(TODAY(),$AB203,Holidays)-1)&amp;" business day(s) left).")))))</f>
        <v/>
      </c>
      <c r="W203" s="17">
        <f>IF($Z203="","",CHOOSE($Z203,"Collection Email","1st Follow-up","2nd Follow-up","Local Office","CBE","Roxanne")&amp;IF($Z203=6," - Final"," - Day "&amp;MAX(0,NETWORKDAYS($AA203,TODAY(),Holidays)-1)&amp;" of "&amp;CHOOSE($Z203,3,3,2,2,3))&amp;" | Total Day "&amp;MAX(0,NETWORKDAYS($N203,TODAY(),Holidays)-1))</f>
        <v/>
      </c>
      <c r="X203" s="18"/>
      <c r="Y203" s="18"/>
      <c r="Z203" s="17">
        <f>IF($N203="","",COUNT($N203:$S203))</f>
        <v/>
      </c>
      <c r="AA203" s="19">
        <f>IF($Z203="","",INT(INDEX($N203:$S203,$Z203)))</f>
        <v/>
      </c>
      <c r="AB203" s="19">
        <f>IF(OR($Z203="",$Z203=6),"",WORKDAY($AA203,CHOOSE($Z203,3,3,2,2,3),Holidays))</f>
        <v/>
      </c>
      <c r="AC203" s="17">
        <f>IF(OR($Z203="",$Z203=6),"",CHOOSE($Z203,"1st Email Follow-up","2nd Email Follow-up","Escalate Local Office","Escalate to CBE","Escalate to Roxanne"))</f>
        <v/>
      </c>
    </row>
    <row r="204" spans="13:29">
      <c r="M204" s="14"/>
      <c r="T204" s="16"/>
      <c r="U204" s="17">
        <f>IF(AND(COUNTA($A204:$L204)=0,$N204=""),"",IF($T204="Paid","PAID",IF($T204="Closed","CLOSED",IF($Z204="","",IF($Z204=6,"ESCALATED TO ROXANNE",IF(TODAY()&gt;$AB204,"OVERDUE",IF($AB204&lt;=WORKDAY(TODAY(),1,Holidays),"DUE TOMORROW",IF($Z204=4,"ESCALATED TO LOCAL OFFICE",IF($Z204=5,"ESCALATED TO CBE",IF($AA204=TODAY(),"EMAIL SENT","MONITORING"))))))))))</f>
        <v/>
      </c>
      <c r="V204" s="17">
        <f>IF($U204="",IF(AND(COUNTA($A204:$L204)&gt;0,$N204=""),"Awaiting Collection Email time stamp.",""),IF(OR($U204="PAID",$U204="CLOSED"),IF($U204="PAID","Account paid. Action completed.","Account closed. No further action required."),CHOOSE($Z204,"Collection Email","1st Email Follow-up","2nd Email Follow-up","Escalation to Local Office","Escalation to CBE","Escalation to Roxanne")&amp;" sent "&amp;TEXT($AA204,"dd-mmm")&amp;". "&amp;IF($Z204=6,"Final escalation completed.",IF($U204="OVERDUE","Next: "&amp;$AC204&amp;" was due "&amp;TEXT($AB204,"dd-mmm")&amp;" - "&amp;(NETWORKDAYS($AB204,TODAY(),Holidays)-1)&amp;" business day(s) late. Send now.",IF($U204="DUE TOMORROW","Next: "&amp;$AC204&amp;IF($AB204&lt;=TODAY()," is due TODAY ("," is due next business day (")&amp;TEXT($AB204,"dd-mmm")&amp;").","Next: "&amp;$AC204&amp;" due "&amp;TEXT($AB204,"dd-mmm")&amp;" ("&amp;(NETWORKDAYS(TODAY(),$AB204,Holidays)-1)&amp;" business day(s) left).")))))</f>
        <v/>
      </c>
      <c r="W204" s="17">
        <f>IF($Z204="","",CHOOSE($Z204,"Collection Email","1st Follow-up","2nd Follow-up","Local Office","CBE","Roxanne")&amp;IF($Z204=6," - Final"," - Day "&amp;MAX(0,NETWORKDAYS($AA204,TODAY(),Holidays)-1)&amp;" of "&amp;CHOOSE($Z204,3,3,2,2,3))&amp;" | Total Day "&amp;MAX(0,NETWORKDAYS($N204,TODAY(),Holidays)-1))</f>
        <v/>
      </c>
      <c r="X204" s="18"/>
      <c r="Y204" s="18"/>
      <c r="Z204" s="17">
        <f>IF($N204="","",COUNT($N204:$S204))</f>
        <v/>
      </c>
      <c r="AA204" s="19">
        <f>IF($Z204="","",INT(INDEX($N204:$S204,$Z204)))</f>
        <v/>
      </c>
      <c r="AB204" s="19">
        <f>IF(OR($Z204="",$Z204=6),"",WORKDAY($AA204,CHOOSE($Z204,3,3,2,2,3),Holidays))</f>
        <v/>
      </c>
      <c r="AC204" s="17">
        <f>IF(OR($Z204="",$Z204=6),"",CHOOSE($Z204,"1st Email Follow-up","2nd Email Follow-up","Escalate Local Office","Escalate to CBE","Escalate to Roxanne"))</f>
        <v/>
      </c>
    </row>
    <row r="205" spans="13:29">
      <c r="M205" s="14"/>
      <c r="T205" s="16"/>
      <c r="U205" s="17">
        <f>IF(AND(COUNTA($A205:$L205)=0,$N205=""),"",IF($T205="Paid","PAID",IF($T205="Closed","CLOSED",IF($Z205="","",IF($Z205=6,"ESCALATED TO ROXANNE",IF(TODAY()&gt;$AB205,"OVERDUE",IF($AB205&lt;=WORKDAY(TODAY(),1,Holidays),"DUE TOMORROW",IF($Z205=4,"ESCALATED TO LOCAL OFFICE",IF($Z205=5,"ESCALATED TO CBE",IF($AA205=TODAY(),"EMAIL SENT","MONITORING"))))))))))</f>
        <v/>
      </c>
      <c r="V205" s="17">
        <f>IF($U205="",IF(AND(COUNTA($A205:$L205)&gt;0,$N205=""),"Awaiting Collection Email time stamp.",""),IF(OR($U205="PAID",$U205="CLOSED"),IF($U205="PAID","Account paid. Action completed.","Account closed. No further action required."),CHOOSE($Z205,"Collection Email","1st Email Follow-up","2nd Email Follow-up","Escalation to Local Office","Escalation to CBE","Escalation to Roxanne")&amp;" sent "&amp;TEXT($AA205,"dd-mmm")&amp;". "&amp;IF($Z205=6,"Final escalation completed.",IF($U205="OVERDUE","Next: "&amp;$AC205&amp;" was due "&amp;TEXT($AB205,"dd-mmm")&amp;" - "&amp;(NETWORKDAYS($AB205,TODAY(),Holidays)-1)&amp;" business day(s) late. Send now.",IF($U205="DUE TOMORROW","Next: "&amp;$AC205&amp;IF($AB205&lt;=TODAY()," is due TODAY ("," is due next business day (")&amp;TEXT($AB205,"dd-mmm")&amp;").","Next: "&amp;$AC205&amp;" due "&amp;TEXT($AB205,"dd-mmm")&amp;" ("&amp;(NETWORKDAYS(TODAY(),$AB205,Holidays)-1)&amp;" business day(s) left).")))))</f>
        <v/>
      </c>
      <c r="W205" s="17">
        <f>IF($Z205="","",CHOOSE($Z205,"Collection Email","1st Follow-up","2nd Follow-up","Local Office","CBE","Roxanne")&amp;IF($Z205=6," - Final"," - Day "&amp;MAX(0,NETWORKDAYS($AA205,TODAY(),Holidays)-1)&amp;" of "&amp;CHOOSE($Z205,3,3,2,2,3))&amp;" | Total Day "&amp;MAX(0,NETWORKDAYS($N205,TODAY(),Holidays)-1))</f>
        <v/>
      </c>
      <c r="X205" s="18"/>
      <c r="Y205" s="18"/>
      <c r="Z205" s="17">
        <f>IF($N205="","",COUNT($N205:$S205))</f>
        <v/>
      </c>
      <c r="AA205" s="19">
        <f>IF($Z205="","",INT(INDEX($N205:$S205,$Z205)))</f>
        <v/>
      </c>
      <c r="AB205" s="19">
        <f>IF(OR($Z205="",$Z205=6),"",WORKDAY($AA205,CHOOSE($Z205,3,3,2,2,3),Holidays))</f>
        <v/>
      </c>
      <c r="AC205" s="17">
        <f>IF(OR($Z205="",$Z205=6),"",CHOOSE($Z205,"1st Email Follow-up","2nd Email Follow-up","Escalate Local Office","Escalate to CBE","Escalate to Roxanne"))</f>
        <v/>
      </c>
    </row>
    <row r="206" spans="13:29">
      <c r="M206" s="14"/>
      <c r="T206" s="16"/>
      <c r="U206" s="17">
        <f>IF(AND(COUNTA($A206:$L206)=0,$N206=""),"",IF($T206="Paid","PAID",IF($T206="Closed","CLOSED",IF($Z206="","",IF($Z206=6,"ESCALATED TO ROXANNE",IF(TODAY()&gt;$AB206,"OVERDUE",IF($AB206&lt;=WORKDAY(TODAY(),1,Holidays),"DUE TOMORROW",IF($Z206=4,"ESCALATED TO LOCAL OFFICE",IF($Z206=5,"ESCALATED TO CBE",IF($AA206=TODAY(),"EMAIL SENT","MONITORING"))))))))))</f>
        <v/>
      </c>
      <c r="V206" s="17">
        <f>IF($U206="",IF(AND(COUNTA($A206:$L206)&gt;0,$N206=""),"Awaiting Collection Email time stamp.",""),IF(OR($U206="PAID",$U206="CLOSED"),IF($U206="PAID","Account paid. Action completed.","Account closed. No further action required."),CHOOSE($Z206,"Collection Email","1st Email Follow-up","2nd Email Follow-up","Escalation to Local Office","Escalation to CBE","Escalation to Roxanne")&amp;" sent "&amp;TEXT($AA206,"dd-mmm")&amp;". "&amp;IF($Z206=6,"Final escalation completed.",IF($U206="OVERDUE","Next: "&amp;$AC206&amp;" was due "&amp;TEXT($AB206,"dd-mmm")&amp;" - "&amp;(NETWORKDAYS($AB206,TODAY(),Holidays)-1)&amp;" business day(s) late. Send now.",IF($U206="DUE TOMORROW","Next: "&amp;$AC206&amp;IF($AB206&lt;=TODAY()," is due TODAY ("," is due next business day (")&amp;TEXT($AB206,"dd-mmm")&amp;").","Next: "&amp;$AC206&amp;" due "&amp;TEXT($AB206,"dd-mmm")&amp;" ("&amp;(NETWORKDAYS(TODAY(),$AB206,Holidays)-1)&amp;" business day(s) left).")))))</f>
        <v/>
      </c>
      <c r="W206" s="17">
        <f>IF($Z206="","",CHOOSE($Z206,"Collection Email","1st Follow-up","2nd Follow-up","Local Office","CBE","Roxanne")&amp;IF($Z206=6," - Final"," - Day "&amp;MAX(0,NETWORKDAYS($AA206,TODAY(),Holidays)-1)&amp;" of "&amp;CHOOSE($Z206,3,3,2,2,3))&amp;" | Total Day "&amp;MAX(0,NETWORKDAYS($N206,TODAY(),Holidays)-1))</f>
        <v/>
      </c>
      <c r="X206" s="18"/>
      <c r="Y206" s="18"/>
      <c r="Z206" s="17">
        <f>IF($N206="","",COUNT($N206:$S206))</f>
        <v/>
      </c>
      <c r="AA206" s="19">
        <f>IF($Z206="","",INT(INDEX($N206:$S206,$Z206)))</f>
        <v/>
      </c>
      <c r="AB206" s="19">
        <f>IF(OR($Z206="",$Z206=6),"",WORKDAY($AA206,CHOOSE($Z206,3,3,2,2,3),Holidays))</f>
        <v/>
      </c>
      <c r="AC206" s="17">
        <f>IF(OR($Z206="",$Z206=6),"",CHOOSE($Z206,"1st Email Follow-up","2nd Email Follow-up","Escalate Local Office","Escalate to CBE","Escalate to Roxanne"))</f>
        <v/>
      </c>
    </row>
    <row r="207" spans="13:29">
      <c r="M207" s="14"/>
      <c r="T207" s="16"/>
      <c r="U207" s="17">
        <f>IF(AND(COUNTA($A207:$L207)=0,$N207=""),"",IF($T207="Paid","PAID",IF($T207="Closed","CLOSED",IF($Z207="","",IF($Z207=6,"ESCALATED TO ROXANNE",IF(TODAY()&gt;$AB207,"OVERDUE",IF($AB207&lt;=WORKDAY(TODAY(),1,Holidays),"DUE TOMORROW",IF($Z207=4,"ESCALATED TO LOCAL OFFICE",IF($Z207=5,"ESCALATED TO CBE",IF($AA207=TODAY(),"EMAIL SENT","MONITORING"))))))))))</f>
        <v/>
      </c>
      <c r="V207" s="17">
        <f>IF($U207="",IF(AND(COUNTA($A207:$L207)&gt;0,$N207=""),"Awaiting Collection Email time stamp.",""),IF(OR($U207="PAID",$U207="CLOSED"),IF($U207="PAID","Account paid. Action completed.","Account closed. No further action required."),CHOOSE($Z207,"Collection Email","1st Email Follow-up","2nd Email Follow-up","Escalation to Local Office","Escalation to CBE","Escalation to Roxanne")&amp;" sent "&amp;TEXT($AA207,"dd-mmm")&amp;". "&amp;IF($Z207=6,"Final escalation completed.",IF($U207="OVERDUE","Next: "&amp;$AC207&amp;" was due "&amp;TEXT($AB207,"dd-mmm")&amp;" - "&amp;(NETWORKDAYS($AB207,TODAY(),Holidays)-1)&amp;" business day(s) late. Send now.",IF($U207="DUE TOMORROW","Next: "&amp;$AC207&amp;IF($AB207&lt;=TODAY()," is due TODAY ("," is due next business day (")&amp;TEXT($AB207,"dd-mmm")&amp;").","Next: "&amp;$AC207&amp;" due "&amp;TEXT($AB207,"dd-mmm")&amp;" ("&amp;(NETWORKDAYS(TODAY(),$AB207,Holidays)-1)&amp;" business day(s) left).")))))</f>
        <v/>
      </c>
      <c r="W207" s="17">
        <f>IF($Z207="","",CHOOSE($Z207,"Collection Email","1st Follow-up","2nd Follow-up","Local Office","CBE","Roxanne")&amp;IF($Z207=6," - Final"," - Day "&amp;MAX(0,NETWORKDAYS($AA207,TODAY(),Holidays)-1)&amp;" of "&amp;CHOOSE($Z207,3,3,2,2,3))&amp;" | Total Day "&amp;MAX(0,NETWORKDAYS($N207,TODAY(),Holidays)-1))</f>
        <v/>
      </c>
      <c r="X207" s="18"/>
      <c r="Y207" s="18"/>
      <c r="Z207" s="17">
        <f>IF($N207="","",COUNT($N207:$S207))</f>
        <v/>
      </c>
      <c r="AA207" s="19">
        <f>IF($Z207="","",INT(INDEX($N207:$S207,$Z207)))</f>
        <v/>
      </c>
      <c r="AB207" s="19">
        <f>IF(OR($Z207="",$Z207=6),"",WORKDAY($AA207,CHOOSE($Z207,3,3,2,2,3),Holidays))</f>
        <v/>
      </c>
      <c r="AC207" s="17">
        <f>IF(OR($Z207="",$Z207=6),"",CHOOSE($Z207,"1st Email Follow-up","2nd Email Follow-up","Escalate Local Office","Escalate to CBE","Escalate to Roxanne"))</f>
        <v/>
      </c>
    </row>
    <row r="208" spans="13:29">
      <c r="M208" s="14"/>
      <c r="T208" s="16"/>
      <c r="U208" s="17">
        <f>IF(AND(COUNTA($A208:$L208)=0,$N208=""),"",IF($T208="Paid","PAID",IF($T208="Closed","CLOSED",IF($Z208="","",IF($Z208=6,"ESCALATED TO ROXANNE",IF(TODAY()&gt;$AB208,"OVERDUE",IF($AB208&lt;=WORKDAY(TODAY(),1,Holidays),"DUE TOMORROW",IF($Z208=4,"ESCALATED TO LOCAL OFFICE",IF($Z208=5,"ESCALATED TO CBE",IF($AA208=TODAY(),"EMAIL SENT","MONITORING"))))))))))</f>
        <v/>
      </c>
      <c r="V208" s="17">
        <f>IF($U208="",IF(AND(COUNTA($A208:$L208)&gt;0,$N208=""),"Awaiting Collection Email time stamp.",""),IF(OR($U208="PAID",$U208="CLOSED"),IF($U208="PAID","Account paid. Action completed.","Account closed. No further action required."),CHOOSE($Z208,"Collection Email","1st Email Follow-up","2nd Email Follow-up","Escalation to Local Office","Escalation to CBE","Escalation to Roxanne")&amp;" sent "&amp;TEXT($AA208,"dd-mmm")&amp;". "&amp;IF($Z208=6,"Final escalation completed.",IF($U208="OVERDUE","Next: "&amp;$AC208&amp;" was due "&amp;TEXT($AB208,"dd-mmm")&amp;" - "&amp;(NETWORKDAYS($AB208,TODAY(),Holidays)-1)&amp;" business day(s) late. Send now.",IF($U208="DUE TOMORROW","Next: "&amp;$AC208&amp;IF($AB208&lt;=TODAY()," is due TODAY ("," is due next business day (")&amp;TEXT($AB208,"dd-mmm")&amp;").","Next: "&amp;$AC208&amp;" due "&amp;TEXT($AB208,"dd-mmm")&amp;" ("&amp;(NETWORKDAYS(TODAY(),$AB208,Holidays)-1)&amp;" business day(s) left).")))))</f>
        <v/>
      </c>
      <c r="W208" s="17">
        <f>IF($Z208="","",CHOOSE($Z208,"Collection Email","1st Follow-up","2nd Follow-up","Local Office","CBE","Roxanne")&amp;IF($Z208=6," - Final"," - Day "&amp;MAX(0,NETWORKDAYS($AA208,TODAY(),Holidays)-1)&amp;" of "&amp;CHOOSE($Z208,3,3,2,2,3))&amp;" | Total Day "&amp;MAX(0,NETWORKDAYS($N208,TODAY(),Holidays)-1))</f>
        <v/>
      </c>
      <c r="X208" s="18"/>
      <c r="Y208" s="18"/>
      <c r="Z208" s="17">
        <f>IF($N208="","",COUNT($N208:$S208))</f>
        <v/>
      </c>
      <c r="AA208" s="19">
        <f>IF($Z208="","",INT(INDEX($N208:$S208,$Z208)))</f>
        <v/>
      </c>
      <c r="AB208" s="19">
        <f>IF(OR($Z208="",$Z208=6),"",WORKDAY($AA208,CHOOSE($Z208,3,3,2,2,3),Holidays))</f>
        <v/>
      </c>
      <c r="AC208" s="17">
        <f>IF(OR($Z208="",$Z208=6),"",CHOOSE($Z208,"1st Email Follow-up","2nd Email Follow-up","Escalate Local Office","Escalate to CBE","Escalate to Roxanne"))</f>
        <v/>
      </c>
    </row>
    <row r="209" spans="13:29">
      <c r="M209" s="14"/>
      <c r="T209" s="16"/>
      <c r="U209" s="17">
        <f>IF(AND(COUNTA($A209:$L209)=0,$N209=""),"",IF($T209="Paid","PAID",IF($T209="Closed","CLOSED",IF($Z209="","",IF($Z209=6,"ESCALATED TO ROXANNE",IF(TODAY()&gt;$AB209,"OVERDUE",IF($AB209&lt;=WORKDAY(TODAY(),1,Holidays),"DUE TOMORROW",IF($Z209=4,"ESCALATED TO LOCAL OFFICE",IF($Z209=5,"ESCALATED TO CBE",IF($AA209=TODAY(),"EMAIL SENT","MONITORING"))))))))))</f>
        <v/>
      </c>
      <c r="V209" s="17">
        <f>IF($U209="",IF(AND(COUNTA($A209:$L209)&gt;0,$N209=""),"Awaiting Collection Email time stamp.",""),IF(OR($U209="PAID",$U209="CLOSED"),IF($U209="PAID","Account paid. Action completed.","Account closed. No further action required."),CHOOSE($Z209,"Collection Email","1st Email Follow-up","2nd Email Follow-up","Escalation to Local Office","Escalation to CBE","Escalation to Roxanne")&amp;" sent "&amp;TEXT($AA209,"dd-mmm")&amp;". "&amp;IF($Z209=6,"Final escalation completed.",IF($U209="OVERDUE","Next: "&amp;$AC209&amp;" was due "&amp;TEXT($AB209,"dd-mmm")&amp;" - "&amp;(NETWORKDAYS($AB209,TODAY(),Holidays)-1)&amp;" business day(s) late. Send now.",IF($U209="DUE TOMORROW","Next: "&amp;$AC209&amp;IF($AB209&lt;=TODAY()," is due TODAY ("," is due next business day (")&amp;TEXT($AB209,"dd-mmm")&amp;").","Next: "&amp;$AC209&amp;" due "&amp;TEXT($AB209,"dd-mmm")&amp;" ("&amp;(NETWORKDAYS(TODAY(),$AB209,Holidays)-1)&amp;" business day(s) left).")))))</f>
        <v/>
      </c>
      <c r="W209" s="17">
        <f>IF($Z209="","",CHOOSE($Z209,"Collection Email","1st Follow-up","2nd Follow-up","Local Office","CBE","Roxanne")&amp;IF($Z209=6," - Final"," - Day "&amp;MAX(0,NETWORKDAYS($AA209,TODAY(),Holidays)-1)&amp;" of "&amp;CHOOSE($Z209,3,3,2,2,3))&amp;" | Total Day "&amp;MAX(0,NETWORKDAYS($N209,TODAY(),Holidays)-1))</f>
        <v/>
      </c>
      <c r="X209" s="18"/>
      <c r="Y209" s="18"/>
      <c r="Z209" s="17">
        <f>IF($N209="","",COUNT($N209:$S209))</f>
        <v/>
      </c>
      <c r="AA209" s="19">
        <f>IF($Z209="","",INT(INDEX($N209:$S209,$Z209)))</f>
        <v/>
      </c>
      <c r="AB209" s="19">
        <f>IF(OR($Z209="",$Z209=6),"",WORKDAY($AA209,CHOOSE($Z209,3,3,2,2,3),Holidays))</f>
        <v/>
      </c>
      <c r="AC209" s="17">
        <f>IF(OR($Z209="",$Z209=6),"",CHOOSE($Z209,"1st Email Follow-up","2nd Email Follow-up","Escalate Local Office","Escalate to CBE","Escalate to Roxanne"))</f>
        <v/>
      </c>
    </row>
    <row r="210" spans="13:29">
      <c r="M210" s="14"/>
      <c r="T210" s="16"/>
      <c r="U210" s="17">
        <f>IF(AND(COUNTA($A210:$L210)=0,$N210=""),"",IF($T210="Paid","PAID",IF($T210="Closed","CLOSED",IF($Z210="","",IF($Z210=6,"ESCALATED TO ROXANNE",IF(TODAY()&gt;$AB210,"OVERDUE",IF($AB210&lt;=WORKDAY(TODAY(),1,Holidays),"DUE TOMORROW",IF($Z210=4,"ESCALATED TO LOCAL OFFICE",IF($Z210=5,"ESCALATED TO CBE",IF($AA210=TODAY(),"EMAIL SENT","MONITORING"))))))))))</f>
        <v/>
      </c>
      <c r="V210" s="17">
        <f>IF($U210="",IF(AND(COUNTA($A210:$L210)&gt;0,$N210=""),"Awaiting Collection Email time stamp.",""),IF(OR($U210="PAID",$U210="CLOSED"),IF($U210="PAID","Account paid. Action completed.","Account closed. No further action required."),CHOOSE($Z210,"Collection Email","1st Email Follow-up","2nd Email Follow-up","Escalation to Local Office","Escalation to CBE","Escalation to Roxanne")&amp;" sent "&amp;TEXT($AA210,"dd-mmm")&amp;". "&amp;IF($Z210=6,"Final escalation completed.",IF($U210="OVERDUE","Next: "&amp;$AC210&amp;" was due "&amp;TEXT($AB210,"dd-mmm")&amp;" - "&amp;(NETWORKDAYS($AB210,TODAY(),Holidays)-1)&amp;" business day(s) late. Send now.",IF($U210="DUE TOMORROW","Next: "&amp;$AC210&amp;IF($AB210&lt;=TODAY()," is due TODAY ("," is due next business day (")&amp;TEXT($AB210,"dd-mmm")&amp;").","Next: "&amp;$AC210&amp;" due "&amp;TEXT($AB210,"dd-mmm")&amp;" ("&amp;(NETWORKDAYS(TODAY(),$AB210,Holidays)-1)&amp;" business day(s) left).")))))</f>
        <v/>
      </c>
      <c r="W210" s="17">
        <f>IF($Z210="","",CHOOSE($Z210,"Collection Email","1st Follow-up","2nd Follow-up","Local Office","CBE","Roxanne")&amp;IF($Z210=6," - Final"," - Day "&amp;MAX(0,NETWORKDAYS($AA210,TODAY(),Holidays)-1)&amp;" of "&amp;CHOOSE($Z210,3,3,2,2,3))&amp;" | Total Day "&amp;MAX(0,NETWORKDAYS($N210,TODAY(),Holidays)-1))</f>
        <v/>
      </c>
      <c r="X210" s="18"/>
      <c r="Y210" s="18"/>
      <c r="Z210" s="17">
        <f>IF($N210="","",COUNT($N210:$S210))</f>
        <v/>
      </c>
      <c r="AA210" s="19">
        <f>IF($Z210="","",INT(INDEX($N210:$S210,$Z210)))</f>
        <v/>
      </c>
      <c r="AB210" s="19">
        <f>IF(OR($Z210="",$Z210=6),"",WORKDAY($AA210,CHOOSE($Z210,3,3,2,2,3),Holidays))</f>
        <v/>
      </c>
      <c r="AC210" s="17">
        <f>IF(OR($Z210="",$Z210=6),"",CHOOSE($Z210,"1st Email Follow-up","2nd Email Follow-up","Escalate Local Office","Escalate to CBE","Escalate to Roxanne"))</f>
        <v/>
      </c>
    </row>
    <row r="211" spans="13:29">
      <c r="M211" s="14"/>
      <c r="T211" s="16"/>
      <c r="U211" s="17">
        <f>IF(AND(COUNTA($A211:$L211)=0,$N211=""),"",IF($T211="Paid","PAID",IF($T211="Closed","CLOSED",IF($Z211="","",IF($Z211=6,"ESCALATED TO ROXANNE",IF(TODAY()&gt;$AB211,"OVERDUE",IF($AB211&lt;=WORKDAY(TODAY(),1,Holidays),"DUE TOMORROW",IF($Z211=4,"ESCALATED TO LOCAL OFFICE",IF($Z211=5,"ESCALATED TO CBE",IF($AA211=TODAY(),"EMAIL SENT","MONITORING"))))))))))</f>
        <v/>
      </c>
      <c r="V211" s="17">
        <f>IF($U211="",IF(AND(COUNTA($A211:$L211)&gt;0,$N211=""),"Awaiting Collection Email time stamp.",""),IF(OR($U211="PAID",$U211="CLOSED"),IF($U211="PAID","Account paid. Action completed.","Account closed. No further action required."),CHOOSE($Z211,"Collection Email","1st Email Follow-up","2nd Email Follow-up","Escalation to Local Office","Escalation to CBE","Escalation to Roxanne")&amp;" sent "&amp;TEXT($AA211,"dd-mmm")&amp;". "&amp;IF($Z211=6,"Final escalation completed.",IF($U211="OVERDUE","Next: "&amp;$AC211&amp;" was due "&amp;TEXT($AB211,"dd-mmm")&amp;" - "&amp;(NETWORKDAYS($AB211,TODAY(),Holidays)-1)&amp;" business day(s) late. Send now.",IF($U211="DUE TOMORROW","Next: "&amp;$AC211&amp;IF($AB211&lt;=TODAY()," is due TODAY ("," is due next business day (")&amp;TEXT($AB211,"dd-mmm")&amp;").","Next: "&amp;$AC211&amp;" due "&amp;TEXT($AB211,"dd-mmm")&amp;" ("&amp;(NETWORKDAYS(TODAY(),$AB211,Holidays)-1)&amp;" business day(s) left).")))))</f>
        <v/>
      </c>
      <c r="W211" s="17">
        <f>IF($Z211="","",CHOOSE($Z211,"Collection Email","1st Follow-up","2nd Follow-up","Local Office","CBE","Roxanne")&amp;IF($Z211=6," - Final"," - Day "&amp;MAX(0,NETWORKDAYS($AA211,TODAY(),Holidays)-1)&amp;" of "&amp;CHOOSE($Z211,3,3,2,2,3))&amp;" | Total Day "&amp;MAX(0,NETWORKDAYS($N211,TODAY(),Holidays)-1))</f>
        <v/>
      </c>
      <c r="X211" s="18"/>
      <c r="Y211" s="18"/>
      <c r="Z211" s="17">
        <f>IF($N211="","",COUNT($N211:$S211))</f>
        <v/>
      </c>
      <c r="AA211" s="19">
        <f>IF($Z211="","",INT(INDEX($N211:$S211,$Z211)))</f>
        <v/>
      </c>
      <c r="AB211" s="19">
        <f>IF(OR($Z211="",$Z211=6),"",WORKDAY($AA211,CHOOSE($Z211,3,3,2,2,3),Holidays))</f>
        <v/>
      </c>
      <c r="AC211" s="17">
        <f>IF(OR($Z211="",$Z211=6),"",CHOOSE($Z211,"1st Email Follow-up","2nd Email Follow-up","Escalate Local Office","Escalate to CBE","Escalate to Roxanne"))</f>
        <v/>
      </c>
    </row>
    <row r="212" spans="13:29">
      <c r="M212" s="14"/>
      <c r="T212" s="16"/>
      <c r="U212" s="17">
        <f>IF(AND(COUNTA($A212:$L212)=0,$N212=""),"",IF($T212="Paid","PAID",IF($T212="Closed","CLOSED",IF($Z212="","",IF($Z212=6,"ESCALATED TO ROXANNE",IF(TODAY()&gt;$AB212,"OVERDUE",IF($AB212&lt;=WORKDAY(TODAY(),1,Holidays),"DUE TOMORROW",IF($Z212=4,"ESCALATED TO LOCAL OFFICE",IF($Z212=5,"ESCALATED TO CBE",IF($AA212=TODAY(),"EMAIL SENT","MONITORING"))))))))))</f>
        <v/>
      </c>
      <c r="V212" s="17">
        <f>IF($U212="",IF(AND(COUNTA($A212:$L212)&gt;0,$N212=""),"Awaiting Collection Email time stamp.",""),IF(OR($U212="PAID",$U212="CLOSED"),IF($U212="PAID","Account paid. Action completed.","Account closed. No further action required."),CHOOSE($Z212,"Collection Email","1st Email Follow-up","2nd Email Follow-up","Escalation to Local Office","Escalation to CBE","Escalation to Roxanne")&amp;" sent "&amp;TEXT($AA212,"dd-mmm")&amp;". "&amp;IF($Z212=6,"Final escalation completed.",IF($U212="OVERDUE","Next: "&amp;$AC212&amp;" was due "&amp;TEXT($AB212,"dd-mmm")&amp;" - "&amp;(NETWORKDAYS($AB212,TODAY(),Holidays)-1)&amp;" business day(s) late. Send now.",IF($U212="DUE TOMORROW","Next: "&amp;$AC212&amp;IF($AB212&lt;=TODAY()," is due TODAY ("," is due next business day (")&amp;TEXT($AB212,"dd-mmm")&amp;").","Next: "&amp;$AC212&amp;" due "&amp;TEXT($AB212,"dd-mmm")&amp;" ("&amp;(NETWORKDAYS(TODAY(),$AB212,Holidays)-1)&amp;" business day(s) left).")))))</f>
        <v/>
      </c>
      <c r="W212" s="17">
        <f>IF($Z212="","",CHOOSE($Z212,"Collection Email","1st Follow-up","2nd Follow-up","Local Office","CBE","Roxanne")&amp;IF($Z212=6," - Final"," - Day "&amp;MAX(0,NETWORKDAYS($AA212,TODAY(),Holidays)-1)&amp;" of "&amp;CHOOSE($Z212,3,3,2,2,3))&amp;" | Total Day "&amp;MAX(0,NETWORKDAYS($N212,TODAY(),Holidays)-1))</f>
        <v/>
      </c>
      <c r="X212" s="18"/>
      <c r="Y212" s="18"/>
      <c r="Z212" s="17">
        <f>IF($N212="","",COUNT($N212:$S212))</f>
        <v/>
      </c>
      <c r="AA212" s="19">
        <f>IF($Z212="","",INT(INDEX($N212:$S212,$Z212)))</f>
        <v/>
      </c>
      <c r="AB212" s="19">
        <f>IF(OR($Z212="",$Z212=6),"",WORKDAY($AA212,CHOOSE($Z212,3,3,2,2,3),Holidays))</f>
        <v/>
      </c>
      <c r="AC212" s="17">
        <f>IF(OR($Z212="",$Z212=6),"",CHOOSE($Z212,"1st Email Follow-up","2nd Email Follow-up","Escalate Local Office","Escalate to CBE","Escalate to Roxanne"))</f>
        <v/>
      </c>
    </row>
    <row r="213" spans="13:29">
      <c r="M213" s="14"/>
      <c r="T213" s="16"/>
      <c r="U213" s="17">
        <f>IF(AND(COUNTA($A213:$L213)=0,$N213=""),"",IF($T213="Paid","PAID",IF($T213="Closed","CLOSED",IF($Z213="","",IF($Z213=6,"ESCALATED TO ROXANNE",IF(TODAY()&gt;$AB213,"OVERDUE",IF($AB213&lt;=WORKDAY(TODAY(),1,Holidays),"DUE TOMORROW",IF($Z213=4,"ESCALATED TO LOCAL OFFICE",IF($Z213=5,"ESCALATED TO CBE",IF($AA213=TODAY(),"EMAIL SENT","MONITORING"))))))))))</f>
        <v/>
      </c>
      <c r="V213" s="17">
        <f>IF($U213="",IF(AND(COUNTA($A213:$L213)&gt;0,$N213=""),"Awaiting Collection Email time stamp.",""),IF(OR($U213="PAID",$U213="CLOSED"),IF($U213="PAID","Account paid. Action completed.","Account closed. No further action required."),CHOOSE($Z213,"Collection Email","1st Email Follow-up","2nd Email Follow-up","Escalation to Local Office","Escalation to CBE","Escalation to Roxanne")&amp;" sent "&amp;TEXT($AA213,"dd-mmm")&amp;". "&amp;IF($Z213=6,"Final escalation completed.",IF($U213="OVERDUE","Next: "&amp;$AC213&amp;" was due "&amp;TEXT($AB213,"dd-mmm")&amp;" - "&amp;(NETWORKDAYS($AB213,TODAY(),Holidays)-1)&amp;" business day(s) late. Send now.",IF($U213="DUE TOMORROW","Next: "&amp;$AC213&amp;IF($AB213&lt;=TODAY()," is due TODAY ("," is due next business day (")&amp;TEXT($AB213,"dd-mmm")&amp;").","Next: "&amp;$AC213&amp;" due "&amp;TEXT($AB213,"dd-mmm")&amp;" ("&amp;(NETWORKDAYS(TODAY(),$AB213,Holidays)-1)&amp;" business day(s) left).")))))</f>
        <v/>
      </c>
      <c r="W213" s="17">
        <f>IF($Z213="","",CHOOSE($Z213,"Collection Email","1st Follow-up","2nd Follow-up","Local Office","CBE","Roxanne")&amp;IF($Z213=6," - Final"," - Day "&amp;MAX(0,NETWORKDAYS($AA213,TODAY(),Holidays)-1)&amp;" of "&amp;CHOOSE($Z213,3,3,2,2,3))&amp;" | Total Day "&amp;MAX(0,NETWORKDAYS($N213,TODAY(),Holidays)-1))</f>
        <v/>
      </c>
      <c r="X213" s="18"/>
      <c r="Y213" s="18"/>
      <c r="Z213" s="17">
        <f>IF($N213="","",COUNT($N213:$S213))</f>
        <v/>
      </c>
      <c r="AA213" s="19">
        <f>IF($Z213="","",INT(INDEX($N213:$S213,$Z213)))</f>
        <v/>
      </c>
      <c r="AB213" s="19">
        <f>IF(OR($Z213="",$Z213=6),"",WORKDAY($AA213,CHOOSE($Z213,3,3,2,2,3),Holidays))</f>
        <v/>
      </c>
      <c r="AC213" s="17">
        <f>IF(OR($Z213="",$Z213=6),"",CHOOSE($Z213,"1st Email Follow-up","2nd Email Follow-up","Escalate Local Office","Escalate to CBE","Escalate to Roxanne"))</f>
        <v/>
      </c>
    </row>
    <row r="214" spans="13:29">
      <c r="M214" s="14"/>
      <c r="T214" s="16"/>
      <c r="U214" s="17">
        <f>IF(AND(COUNTA($A214:$L214)=0,$N214=""),"",IF($T214="Paid","PAID",IF($T214="Closed","CLOSED",IF($Z214="","",IF($Z214=6,"ESCALATED TO ROXANNE",IF(TODAY()&gt;$AB214,"OVERDUE",IF($AB214&lt;=WORKDAY(TODAY(),1,Holidays),"DUE TOMORROW",IF($Z214=4,"ESCALATED TO LOCAL OFFICE",IF($Z214=5,"ESCALATED TO CBE",IF($AA214=TODAY(),"EMAIL SENT","MONITORING"))))))))))</f>
        <v/>
      </c>
      <c r="V214" s="17">
        <f>IF($U214="",IF(AND(COUNTA($A214:$L214)&gt;0,$N214=""),"Awaiting Collection Email time stamp.",""),IF(OR($U214="PAID",$U214="CLOSED"),IF($U214="PAID","Account paid. Action completed.","Account closed. No further action required."),CHOOSE($Z214,"Collection Email","1st Email Follow-up","2nd Email Follow-up","Escalation to Local Office","Escalation to CBE","Escalation to Roxanne")&amp;" sent "&amp;TEXT($AA214,"dd-mmm")&amp;". "&amp;IF($Z214=6,"Final escalation completed.",IF($U214="OVERDUE","Next: "&amp;$AC214&amp;" was due "&amp;TEXT($AB214,"dd-mmm")&amp;" - "&amp;(NETWORKDAYS($AB214,TODAY(),Holidays)-1)&amp;" business day(s) late. Send now.",IF($U214="DUE TOMORROW","Next: "&amp;$AC214&amp;IF($AB214&lt;=TODAY()," is due TODAY ("," is due next business day (")&amp;TEXT($AB214,"dd-mmm")&amp;").","Next: "&amp;$AC214&amp;" due "&amp;TEXT($AB214,"dd-mmm")&amp;" ("&amp;(NETWORKDAYS(TODAY(),$AB214,Holidays)-1)&amp;" business day(s) left).")))))</f>
        <v/>
      </c>
      <c r="W214" s="17">
        <f>IF($Z214="","",CHOOSE($Z214,"Collection Email","1st Follow-up","2nd Follow-up","Local Office","CBE","Roxanne")&amp;IF($Z214=6," - Final"," - Day "&amp;MAX(0,NETWORKDAYS($AA214,TODAY(),Holidays)-1)&amp;" of "&amp;CHOOSE($Z214,3,3,2,2,3))&amp;" | Total Day "&amp;MAX(0,NETWORKDAYS($N214,TODAY(),Holidays)-1))</f>
        <v/>
      </c>
      <c r="X214" s="18"/>
      <c r="Y214" s="18"/>
      <c r="Z214" s="17">
        <f>IF($N214="","",COUNT($N214:$S214))</f>
        <v/>
      </c>
      <c r="AA214" s="19">
        <f>IF($Z214="","",INT(INDEX($N214:$S214,$Z214)))</f>
        <v/>
      </c>
      <c r="AB214" s="19">
        <f>IF(OR($Z214="",$Z214=6),"",WORKDAY($AA214,CHOOSE($Z214,3,3,2,2,3),Holidays))</f>
        <v/>
      </c>
      <c r="AC214" s="17">
        <f>IF(OR($Z214="",$Z214=6),"",CHOOSE($Z214,"1st Email Follow-up","2nd Email Follow-up","Escalate Local Office","Escalate to CBE","Escalate to Roxanne"))</f>
        <v/>
      </c>
    </row>
    <row r="215" spans="13:29">
      <c r="M215" s="14"/>
      <c r="T215" s="16"/>
      <c r="U215" s="17">
        <f>IF(AND(COUNTA($A215:$L215)=0,$N215=""),"",IF($T215="Paid","PAID",IF($T215="Closed","CLOSED",IF($Z215="","",IF($Z215=6,"ESCALATED TO ROXANNE",IF(TODAY()&gt;$AB215,"OVERDUE",IF($AB215&lt;=WORKDAY(TODAY(),1,Holidays),"DUE TOMORROW",IF($Z215=4,"ESCALATED TO LOCAL OFFICE",IF($Z215=5,"ESCALATED TO CBE",IF($AA215=TODAY(),"EMAIL SENT","MONITORING"))))))))))</f>
        <v/>
      </c>
      <c r="V215" s="17">
        <f>IF($U215="",IF(AND(COUNTA($A215:$L215)&gt;0,$N215=""),"Awaiting Collection Email time stamp.",""),IF(OR($U215="PAID",$U215="CLOSED"),IF($U215="PAID","Account paid. Action completed.","Account closed. No further action required."),CHOOSE($Z215,"Collection Email","1st Email Follow-up","2nd Email Follow-up","Escalation to Local Office","Escalation to CBE","Escalation to Roxanne")&amp;" sent "&amp;TEXT($AA215,"dd-mmm")&amp;". "&amp;IF($Z215=6,"Final escalation completed.",IF($U215="OVERDUE","Next: "&amp;$AC215&amp;" was due "&amp;TEXT($AB215,"dd-mmm")&amp;" - "&amp;(NETWORKDAYS($AB215,TODAY(),Holidays)-1)&amp;" business day(s) late. Send now.",IF($U215="DUE TOMORROW","Next: "&amp;$AC215&amp;IF($AB215&lt;=TODAY()," is due TODAY ("," is due next business day (")&amp;TEXT($AB215,"dd-mmm")&amp;").","Next: "&amp;$AC215&amp;" due "&amp;TEXT($AB215,"dd-mmm")&amp;" ("&amp;(NETWORKDAYS(TODAY(),$AB215,Holidays)-1)&amp;" business day(s) left).")))))</f>
        <v/>
      </c>
      <c r="W215" s="17">
        <f>IF($Z215="","",CHOOSE($Z215,"Collection Email","1st Follow-up","2nd Follow-up","Local Office","CBE","Roxanne")&amp;IF($Z215=6," - Final"," - Day "&amp;MAX(0,NETWORKDAYS($AA215,TODAY(),Holidays)-1)&amp;" of "&amp;CHOOSE($Z215,3,3,2,2,3))&amp;" | Total Day "&amp;MAX(0,NETWORKDAYS($N215,TODAY(),Holidays)-1))</f>
        <v/>
      </c>
      <c r="X215" s="18"/>
      <c r="Y215" s="18"/>
      <c r="Z215" s="17">
        <f>IF($N215="","",COUNT($N215:$S215))</f>
        <v/>
      </c>
      <c r="AA215" s="19">
        <f>IF($Z215="","",INT(INDEX($N215:$S215,$Z215)))</f>
        <v/>
      </c>
      <c r="AB215" s="19">
        <f>IF(OR($Z215="",$Z215=6),"",WORKDAY($AA215,CHOOSE($Z215,3,3,2,2,3),Holidays))</f>
        <v/>
      </c>
      <c r="AC215" s="17">
        <f>IF(OR($Z215="",$Z215=6),"",CHOOSE($Z215,"1st Email Follow-up","2nd Email Follow-up","Escalate Local Office","Escalate to CBE","Escalate to Roxanne"))</f>
        <v/>
      </c>
    </row>
    <row r="216" spans="13:29">
      <c r="M216" s="14"/>
      <c r="T216" s="16"/>
      <c r="U216" s="17">
        <f>IF(AND(COUNTA($A216:$L216)=0,$N216=""),"",IF($T216="Paid","PAID",IF($T216="Closed","CLOSED",IF($Z216="","",IF($Z216=6,"ESCALATED TO ROXANNE",IF(TODAY()&gt;$AB216,"OVERDUE",IF($AB216&lt;=WORKDAY(TODAY(),1,Holidays),"DUE TOMORROW",IF($Z216=4,"ESCALATED TO LOCAL OFFICE",IF($Z216=5,"ESCALATED TO CBE",IF($AA216=TODAY(),"EMAIL SENT","MONITORING"))))))))))</f>
        <v/>
      </c>
      <c r="V216" s="17">
        <f>IF($U216="",IF(AND(COUNTA($A216:$L216)&gt;0,$N216=""),"Awaiting Collection Email time stamp.",""),IF(OR($U216="PAID",$U216="CLOSED"),IF($U216="PAID","Account paid. Action completed.","Account closed. No further action required."),CHOOSE($Z216,"Collection Email","1st Email Follow-up","2nd Email Follow-up","Escalation to Local Office","Escalation to CBE","Escalation to Roxanne")&amp;" sent "&amp;TEXT($AA216,"dd-mmm")&amp;". "&amp;IF($Z216=6,"Final escalation completed.",IF($U216="OVERDUE","Next: "&amp;$AC216&amp;" was due "&amp;TEXT($AB216,"dd-mmm")&amp;" - "&amp;(NETWORKDAYS($AB216,TODAY(),Holidays)-1)&amp;" business day(s) late. Send now.",IF($U216="DUE TOMORROW","Next: "&amp;$AC216&amp;IF($AB216&lt;=TODAY()," is due TODAY ("," is due next business day (")&amp;TEXT($AB216,"dd-mmm")&amp;").","Next: "&amp;$AC216&amp;" due "&amp;TEXT($AB216,"dd-mmm")&amp;" ("&amp;(NETWORKDAYS(TODAY(),$AB216,Holidays)-1)&amp;" business day(s) left).")))))</f>
        <v/>
      </c>
      <c r="W216" s="17">
        <f>IF($Z216="","",CHOOSE($Z216,"Collection Email","1st Follow-up","2nd Follow-up","Local Office","CBE","Roxanne")&amp;IF($Z216=6," - Final"," - Day "&amp;MAX(0,NETWORKDAYS($AA216,TODAY(),Holidays)-1)&amp;" of "&amp;CHOOSE($Z216,3,3,2,2,3))&amp;" | Total Day "&amp;MAX(0,NETWORKDAYS($N216,TODAY(),Holidays)-1))</f>
        <v/>
      </c>
      <c r="X216" s="18"/>
      <c r="Y216" s="18"/>
      <c r="Z216" s="17">
        <f>IF($N216="","",COUNT($N216:$S216))</f>
        <v/>
      </c>
      <c r="AA216" s="19">
        <f>IF($Z216="","",INT(INDEX($N216:$S216,$Z216)))</f>
        <v/>
      </c>
      <c r="AB216" s="19">
        <f>IF(OR($Z216="",$Z216=6),"",WORKDAY($AA216,CHOOSE($Z216,3,3,2,2,3),Holidays))</f>
        <v/>
      </c>
      <c r="AC216" s="17">
        <f>IF(OR($Z216="",$Z216=6),"",CHOOSE($Z216,"1st Email Follow-up","2nd Email Follow-up","Escalate Local Office","Escalate to CBE","Escalate to Roxanne"))</f>
        <v/>
      </c>
    </row>
    <row r="217" spans="13:29">
      <c r="M217" s="14"/>
      <c r="T217" s="16"/>
      <c r="U217" s="17">
        <f>IF(AND(COUNTA($A217:$L217)=0,$N217=""),"",IF($T217="Paid","PAID",IF($T217="Closed","CLOSED",IF($Z217="","",IF($Z217=6,"ESCALATED TO ROXANNE",IF(TODAY()&gt;$AB217,"OVERDUE",IF($AB217&lt;=WORKDAY(TODAY(),1,Holidays),"DUE TOMORROW",IF($Z217=4,"ESCALATED TO LOCAL OFFICE",IF($Z217=5,"ESCALATED TO CBE",IF($AA217=TODAY(),"EMAIL SENT","MONITORING"))))))))))</f>
        <v/>
      </c>
      <c r="V217" s="17">
        <f>IF($U217="",IF(AND(COUNTA($A217:$L217)&gt;0,$N217=""),"Awaiting Collection Email time stamp.",""),IF(OR($U217="PAID",$U217="CLOSED"),IF($U217="PAID","Account paid. Action completed.","Account closed. No further action required."),CHOOSE($Z217,"Collection Email","1st Email Follow-up","2nd Email Follow-up","Escalation to Local Office","Escalation to CBE","Escalation to Roxanne")&amp;" sent "&amp;TEXT($AA217,"dd-mmm")&amp;". "&amp;IF($Z217=6,"Final escalation completed.",IF($U217="OVERDUE","Next: "&amp;$AC217&amp;" was due "&amp;TEXT($AB217,"dd-mmm")&amp;" - "&amp;(NETWORKDAYS($AB217,TODAY(),Holidays)-1)&amp;" business day(s) late. Send now.",IF($U217="DUE TOMORROW","Next: "&amp;$AC217&amp;IF($AB217&lt;=TODAY()," is due TODAY ("," is due next business day (")&amp;TEXT($AB217,"dd-mmm")&amp;").","Next: "&amp;$AC217&amp;" due "&amp;TEXT($AB217,"dd-mmm")&amp;" ("&amp;(NETWORKDAYS(TODAY(),$AB217,Holidays)-1)&amp;" business day(s) left).")))))</f>
        <v/>
      </c>
      <c r="W217" s="17">
        <f>IF($Z217="","",CHOOSE($Z217,"Collection Email","1st Follow-up","2nd Follow-up","Local Office","CBE","Roxanne")&amp;IF($Z217=6," - Final"," - Day "&amp;MAX(0,NETWORKDAYS($AA217,TODAY(),Holidays)-1)&amp;" of "&amp;CHOOSE($Z217,3,3,2,2,3))&amp;" | Total Day "&amp;MAX(0,NETWORKDAYS($N217,TODAY(),Holidays)-1))</f>
        <v/>
      </c>
      <c r="X217" s="18"/>
      <c r="Y217" s="18"/>
      <c r="Z217" s="17">
        <f>IF($N217="","",COUNT($N217:$S217))</f>
        <v/>
      </c>
      <c r="AA217" s="19">
        <f>IF($Z217="","",INT(INDEX($N217:$S217,$Z217)))</f>
        <v/>
      </c>
      <c r="AB217" s="19">
        <f>IF(OR($Z217="",$Z217=6),"",WORKDAY($AA217,CHOOSE($Z217,3,3,2,2,3),Holidays))</f>
        <v/>
      </c>
      <c r="AC217" s="17">
        <f>IF(OR($Z217="",$Z217=6),"",CHOOSE($Z217,"1st Email Follow-up","2nd Email Follow-up","Escalate Local Office","Escalate to CBE","Escalate to Roxanne"))</f>
        <v/>
      </c>
    </row>
    <row r="218" spans="13:29">
      <c r="M218" s="14"/>
      <c r="T218" s="16"/>
      <c r="U218" s="17">
        <f>IF(AND(COUNTA($A218:$L218)=0,$N218=""),"",IF($T218="Paid","PAID",IF($T218="Closed","CLOSED",IF($Z218="","",IF($Z218=6,"ESCALATED TO ROXANNE",IF(TODAY()&gt;$AB218,"OVERDUE",IF($AB218&lt;=WORKDAY(TODAY(),1,Holidays),"DUE TOMORROW",IF($Z218=4,"ESCALATED TO LOCAL OFFICE",IF($Z218=5,"ESCALATED TO CBE",IF($AA218=TODAY(),"EMAIL SENT","MONITORING"))))))))))</f>
        <v/>
      </c>
      <c r="V218" s="17">
        <f>IF($U218="",IF(AND(COUNTA($A218:$L218)&gt;0,$N218=""),"Awaiting Collection Email time stamp.",""),IF(OR($U218="PAID",$U218="CLOSED"),IF($U218="PAID","Account paid. Action completed.","Account closed. No further action required."),CHOOSE($Z218,"Collection Email","1st Email Follow-up","2nd Email Follow-up","Escalation to Local Office","Escalation to CBE","Escalation to Roxanne")&amp;" sent "&amp;TEXT($AA218,"dd-mmm")&amp;". "&amp;IF($Z218=6,"Final escalation completed.",IF($U218="OVERDUE","Next: "&amp;$AC218&amp;" was due "&amp;TEXT($AB218,"dd-mmm")&amp;" - "&amp;(NETWORKDAYS($AB218,TODAY(),Holidays)-1)&amp;" business day(s) late. Send now.",IF($U218="DUE TOMORROW","Next: "&amp;$AC218&amp;IF($AB218&lt;=TODAY()," is due TODAY ("," is due next business day (")&amp;TEXT($AB218,"dd-mmm")&amp;").","Next: "&amp;$AC218&amp;" due "&amp;TEXT($AB218,"dd-mmm")&amp;" ("&amp;(NETWORKDAYS(TODAY(),$AB218,Holidays)-1)&amp;" business day(s) left).")))))</f>
        <v/>
      </c>
      <c r="W218" s="17">
        <f>IF($Z218="","",CHOOSE($Z218,"Collection Email","1st Follow-up","2nd Follow-up","Local Office","CBE","Roxanne")&amp;IF($Z218=6," - Final"," - Day "&amp;MAX(0,NETWORKDAYS($AA218,TODAY(),Holidays)-1)&amp;" of "&amp;CHOOSE($Z218,3,3,2,2,3))&amp;" | Total Day "&amp;MAX(0,NETWORKDAYS($N218,TODAY(),Holidays)-1))</f>
        <v/>
      </c>
      <c r="X218" s="18"/>
      <c r="Y218" s="18"/>
      <c r="Z218" s="17">
        <f>IF($N218="","",COUNT($N218:$S218))</f>
        <v/>
      </c>
      <c r="AA218" s="19">
        <f>IF($Z218="","",INT(INDEX($N218:$S218,$Z218)))</f>
        <v/>
      </c>
      <c r="AB218" s="19">
        <f>IF(OR($Z218="",$Z218=6),"",WORKDAY($AA218,CHOOSE($Z218,3,3,2,2,3),Holidays))</f>
        <v/>
      </c>
      <c r="AC218" s="17">
        <f>IF(OR($Z218="",$Z218=6),"",CHOOSE($Z218,"1st Email Follow-up","2nd Email Follow-up","Escalate Local Office","Escalate to CBE","Escalate to Roxanne"))</f>
        <v/>
      </c>
    </row>
    <row r="219" spans="13:29">
      <c r="M219" s="14"/>
      <c r="T219" s="16"/>
      <c r="U219" s="17">
        <f>IF(AND(COUNTA($A219:$L219)=0,$N219=""),"",IF($T219="Paid","PAID",IF($T219="Closed","CLOSED",IF($Z219="","",IF($Z219=6,"ESCALATED TO ROXANNE",IF(TODAY()&gt;$AB219,"OVERDUE",IF($AB219&lt;=WORKDAY(TODAY(),1,Holidays),"DUE TOMORROW",IF($Z219=4,"ESCALATED TO LOCAL OFFICE",IF($Z219=5,"ESCALATED TO CBE",IF($AA219=TODAY(),"EMAIL SENT","MONITORING"))))))))))</f>
        <v/>
      </c>
      <c r="V219" s="17">
        <f>IF($U219="",IF(AND(COUNTA($A219:$L219)&gt;0,$N219=""),"Awaiting Collection Email time stamp.",""),IF(OR($U219="PAID",$U219="CLOSED"),IF($U219="PAID","Account paid. Action completed.","Account closed. No further action required."),CHOOSE($Z219,"Collection Email","1st Email Follow-up","2nd Email Follow-up","Escalation to Local Office","Escalation to CBE","Escalation to Roxanne")&amp;" sent "&amp;TEXT($AA219,"dd-mmm")&amp;". "&amp;IF($Z219=6,"Final escalation completed.",IF($U219="OVERDUE","Next: "&amp;$AC219&amp;" was due "&amp;TEXT($AB219,"dd-mmm")&amp;" - "&amp;(NETWORKDAYS($AB219,TODAY(),Holidays)-1)&amp;" business day(s) late. Send now.",IF($U219="DUE TOMORROW","Next: "&amp;$AC219&amp;IF($AB219&lt;=TODAY()," is due TODAY ("," is due next business day (")&amp;TEXT($AB219,"dd-mmm")&amp;").","Next: "&amp;$AC219&amp;" due "&amp;TEXT($AB219,"dd-mmm")&amp;" ("&amp;(NETWORKDAYS(TODAY(),$AB219,Holidays)-1)&amp;" business day(s) left).")))))</f>
        <v/>
      </c>
      <c r="W219" s="17">
        <f>IF($Z219="","",CHOOSE($Z219,"Collection Email","1st Follow-up","2nd Follow-up","Local Office","CBE","Roxanne")&amp;IF($Z219=6," - Final"," - Day "&amp;MAX(0,NETWORKDAYS($AA219,TODAY(),Holidays)-1)&amp;" of "&amp;CHOOSE($Z219,3,3,2,2,3))&amp;" | Total Day "&amp;MAX(0,NETWORKDAYS($N219,TODAY(),Holidays)-1))</f>
        <v/>
      </c>
      <c r="X219" s="18"/>
      <c r="Y219" s="18"/>
      <c r="Z219" s="17">
        <f>IF($N219="","",COUNT($N219:$S219))</f>
        <v/>
      </c>
      <c r="AA219" s="19">
        <f>IF($Z219="","",INT(INDEX($N219:$S219,$Z219)))</f>
        <v/>
      </c>
      <c r="AB219" s="19">
        <f>IF(OR($Z219="",$Z219=6),"",WORKDAY($AA219,CHOOSE($Z219,3,3,2,2,3),Holidays))</f>
        <v/>
      </c>
      <c r="AC219" s="17">
        <f>IF(OR($Z219="",$Z219=6),"",CHOOSE($Z219,"1st Email Follow-up","2nd Email Follow-up","Escalate Local Office","Escalate to CBE","Escalate to Roxanne"))</f>
        <v/>
      </c>
    </row>
    <row r="220" spans="13:29">
      <c r="M220" s="14"/>
      <c r="T220" s="16"/>
      <c r="U220" s="17">
        <f>IF(AND(COUNTA($A220:$L220)=0,$N220=""),"",IF($T220="Paid","PAID",IF($T220="Closed","CLOSED",IF($Z220="","",IF($Z220=6,"ESCALATED TO ROXANNE",IF(TODAY()&gt;$AB220,"OVERDUE",IF($AB220&lt;=WORKDAY(TODAY(),1,Holidays),"DUE TOMORROW",IF($Z220=4,"ESCALATED TO LOCAL OFFICE",IF($Z220=5,"ESCALATED TO CBE",IF($AA220=TODAY(),"EMAIL SENT","MONITORING"))))))))))</f>
        <v/>
      </c>
      <c r="V220" s="17">
        <f>IF($U220="",IF(AND(COUNTA($A220:$L220)&gt;0,$N220=""),"Awaiting Collection Email time stamp.",""),IF(OR($U220="PAID",$U220="CLOSED"),IF($U220="PAID","Account paid. Action completed.","Account closed. No further action required."),CHOOSE($Z220,"Collection Email","1st Email Follow-up","2nd Email Follow-up","Escalation to Local Office","Escalation to CBE","Escalation to Roxanne")&amp;" sent "&amp;TEXT($AA220,"dd-mmm")&amp;". "&amp;IF($Z220=6,"Final escalation completed.",IF($U220="OVERDUE","Next: "&amp;$AC220&amp;" was due "&amp;TEXT($AB220,"dd-mmm")&amp;" - "&amp;(NETWORKDAYS($AB220,TODAY(),Holidays)-1)&amp;" business day(s) late. Send now.",IF($U220="DUE TOMORROW","Next: "&amp;$AC220&amp;IF($AB220&lt;=TODAY()," is due TODAY ("," is due next business day (")&amp;TEXT($AB220,"dd-mmm")&amp;").","Next: "&amp;$AC220&amp;" due "&amp;TEXT($AB220,"dd-mmm")&amp;" ("&amp;(NETWORKDAYS(TODAY(),$AB220,Holidays)-1)&amp;" business day(s) left).")))))</f>
        <v/>
      </c>
      <c r="W220" s="17">
        <f>IF($Z220="","",CHOOSE($Z220,"Collection Email","1st Follow-up","2nd Follow-up","Local Office","CBE","Roxanne")&amp;IF($Z220=6," - Final"," - Day "&amp;MAX(0,NETWORKDAYS($AA220,TODAY(),Holidays)-1)&amp;" of "&amp;CHOOSE($Z220,3,3,2,2,3))&amp;" | Total Day "&amp;MAX(0,NETWORKDAYS($N220,TODAY(),Holidays)-1))</f>
        <v/>
      </c>
      <c r="X220" s="18"/>
      <c r="Y220" s="18"/>
      <c r="Z220" s="17">
        <f>IF($N220="","",COUNT($N220:$S220))</f>
        <v/>
      </c>
      <c r="AA220" s="19">
        <f>IF($Z220="","",INT(INDEX($N220:$S220,$Z220)))</f>
        <v/>
      </c>
      <c r="AB220" s="19">
        <f>IF(OR($Z220="",$Z220=6),"",WORKDAY($AA220,CHOOSE($Z220,3,3,2,2,3),Holidays))</f>
        <v/>
      </c>
      <c r="AC220" s="17">
        <f>IF(OR($Z220="",$Z220=6),"",CHOOSE($Z220,"1st Email Follow-up","2nd Email Follow-up","Escalate Local Office","Escalate to CBE","Escalate to Roxanne"))</f>
        <v/>
      </c>
    </row>
    <row r="221" spans="13:29">
      <c r="M221" s="14"/>
      <c r="T221" s="16"/>
      <c r="U221" s="17">
        <f>IF(AND(COUNTA($A221:$L221)=0,$N221=""),"",IF($T221="Paid","PAID",IF($T221="Closed","CLOSED",IF($Z221="","",IF($Z221=6,"ESCALATED TO ROXANNE",IF(TODAY()&gt;$AB221,"OVERDUE",IF($AB221&lt;=WORKDAY(TODAY(),1,Holidays),"DUE TOMORROW",IF($Z221=4,"ESCALATED TO LOCAL OFFICE",IF($Z221=5,"ESCALATED TO CBE",IF($AA221=TODAY(),"EMAIL SENT","MONITORING"))))))))))</f>
        <v/>
      </c>
      <c r="V221" s="17">
        <f>IF($U221="",IF(AND(COUNTA($A221:$L221)&gt;0,$N221=""),"Awaiting Collection Email time stamp.",""),IF(OR($U221="PAID",$U221="CLOSED"),IF($U221="PAID","Account paid. Action completed.","Account closed. No further action required."),CHOOSE($Z221,"Collection Email","1st Email Follow-up","2nd Email Follow-up","Escalation to Local Office","Escalation to CBE","Escalation to Roxanne")&amp;" sent "&amp;TEXT($AA221,"dd-mmm")&amp;". "&amp;IF($Z221=6,"Final escalation completed.",IF($U221="OVERDUE","Next: "&amp;$AC221&amp;" was due "&amp;TEXT($AB221,"dd-mmm")&amp;" - "&amp;(NETWORKDAYS($AB221,TODAY(),Holidays)-1)&amp;" business day(s) late. Send now.",IF($U221="DUE TOMORROW","Next: "&amp;$AC221&amp;IF($AB221&lt;=TODAY()," is due TODAY ("," is due next business day (")&amp;TEXT($AB221,"dd-mmm")&amp;").","Next: "&amp;$AC221&amp;" due "&amp;TEXT($AB221,"dd-mmm")&amp;" ("&amp;(NETWORKDAYS(TODAY(),$AB221,Holidays)-1)&amp;" business day(s) left).")))))</f>
        <v/>
      </c>
      <c r="W221" s="17">
        <f>IF($Z221="","",CHOOSE($Z221,"Collection Email","1st Follow-up","2nd Follow-up","Local Office","CBE","Roxanne")&amp;IF($Z221=6," - Final"," - Day "&amp;MAX(0,NETWORKDAYS($AA221,TODAY(),Holidays)-1)&amp;" of "&amp;CHOOSE($Z221,3,3,2,2,3))&amp;" | Total Day "&amp;MAX(0,NETWORKDAYS($N221,TODAY(),Holidays)-1))</f>
        <v/>
      </c>
      <c r="X221" s="18"/>
      <c r="Y221" s="18"/>
      <c r="Z221" s="17">
        <f>IF($N221="","",COUNT($N221:$S221))</f>
        <v/>
      </c>
      <c r="AA221" s="19">
        <f>IF($Z221="","",INT(INDEX($N221:$S221,$Z221)))</f>
        <v/>
      </c>
      <c r="AB221" s="19">
        <f>IF(OR($Z221="",$Z221=6),"",WORKDAY($AA221,CHOOSE($Z221,3,3,2,2,3),Holidays))</f>
        <v/>
      </c>
      <c r="AC221" s="17">
        <f>IF(OR($Z221="",$Z221=6),"",CHOOSE($Z221,"1st Email Follow-up","2nd Email Follow-up","Escalate Local Office","Escalate to CBE","Escalate to Roxanne"))</f>
        <v/>
      </c>
    </row>
    <row r="222" spans="13:29">
      <c r="M222" s="14"/>
      <c r="T222" s="16"/>
      <c r="U222" s="17">
        <f>IF(AND(COUNTA($A222:$L222)=0,$N222=""),"",IF($T222="Paid","PAID",IF($T222="Closed","CLOSED",IF($Z222="","",IF($Z222=6,"ESCALATED TO ROXANNE",IF(TODAY()&gt;$AB222,"OVERDUE",IF($AB222&lt;=WORKDAY(TODAY(),1,Holidays),"DUE TOMORROW",IF($Z222=4,"ESCALATED TO LOCAL OFFICE",IF($Z222=5,"ESCALATED TO CBE",IF($AA222=TODAY(),"EMAIL SENT","MONITORING"))))))))))</f>
        <v/>
      </c>
      <c r="V222" s="17">
        <f>IF($U222="",IF(AND(COUNTA($A222:$L222)&gt;0,$N222=""),"Awaiting Collection Email time stamp.",""),IF(OR($U222="PAID",$U222="CLOSED"),IF($U222="PAID","Account paid. Action completed.","Account closed. No further action required."),CHOOSE($Z222,"Collection Email","1st Email Follow-up","2nd Email Follow-up","Escalation to Local Office","Escalation to CBE","Escalation to Roxanne")&amp;" sent "&amp;TEXT($AA222,"dd-mmm")&amp;". "&amp;IF($Z222=6,"Final escalation completed.",IF($U222="OVERDUE","Next: "&amp;$AC222&amp;" was due "&amp;TEXT($AB222,"dd-mmm")&amp;" - "&amp;(NETWORKDAYS($AB222,TODAY(),Holidays)-1)&amp;" business day(s) late. Send now.",IF($U222="DUE TOMORROW","Next: "&amp;$AC222&amp;IF($AB222&lt;=TODAY()," is due TODAY ("," is due next business day (")&amp;TEXT($AB222,"dd-mmm")&amp;").","Next: "&amp;$AC222&amp;" due "&amp;TEXT($AB222,"dd-mmm")&amp;" ("&amp;(NETWORKDAYS(TODAY(),$AB222,Holidays)-1)&amp;" business day(s) left).")))))</f>
        <v/>
      </c>
      <c r="W222" s="17">
        <f>IF($Z222="","",CHOOSE($Z222,"Collection Email","1st Follow-up","2nd Follow-up","Local Office","CBE","Roxanne")&amp;IF($Z222=6," - Final"," - Day "&amp;MAX(0,NETWORKDAYS($AA222,TODAY(),Holidays)-1)&amp;" of "&amp;CHOOSE($Z222,3,3,2,2,3))&amp;" | Total Day "&amp;MAX(0,NETWORKDAYS($N222,TODAY(),Holidays)-1))</f>
        <v/>
      </c>
      <c r="X222" s="18"/>
      <c r="Y222" s="18"/>
      <c r="Z222" s="17">
        <f>IF($N222="","",COUNT($N222:$S222))</f>
        <v/>
      </c>
      <c r="AA222" s="19">
        <f>IF($Z222="","",INT(INDEX($N222:$S222,$Z222)))</f>
        <v/>
      </c>
      <c r="AB222" s="19">
        <f>IF(OR($Z222="",$Z222=6),"",WORKDAY($AA222,CHOOSE($Z222,3,3,2,2,3),Holidays))</f>
        <v/>
      </c>
      <c r="AC222" s="17">
        <f>IF(OR($Z222="",$Z222=6),"",CHOOSE($Z222,"1st Email Follow-up","2nd Email Follow-up","Escalate Local Office","Escalate to CBE","Escalate to Roxanne"))</f>
        <v/>
      </c>
    </row>
    <row r="223" spans="13:29">
      <c r="M223" s="14"/>
      <c r="T223" s="16"/>
      <c r="U223" s="17">
        <f>IF(AND(COUNTA($A223:$L223)=0,$N223=""),"",IF($T223="Paid","PAID",IF($T223="Closed","CLOSED",IF($Z223="","",IF($Z223=6,"ESCALATED TO ROXANNE",IF(TODAY()&gt;$AB223,"OVERDUE",IF($AB223&lt;=WORKDAY(TODAY(),1,Holidays),"DUE TOMORROW",IF($Z223=4,"ESCALATED TO LOCAL OFFICE",IF($Z223=5,"ESCALATED TO CBE",IF($AA223=TODAY(),"EMAIL SENT","MONITORING"))))))))))</f>
        <v/>
      </c>
      <c r="V223" s="17">
        <f>IF($U223="",IF(AND(COUNTA($A223:$L223)&gt;0,$N223=""),"Awaiting Collection Email time stamp.",""),IF(OR($U223="PAID",$U223="CLOSED"),IF($U223="PAID","Account paid. Action completed.","Account closed. No further action required."),CHOOSE($Z223,"Collection Email","1st Email Follow-up","2nd Email Follow-up","Escalation to Local Office","Escalation to CBE","Escalation to Roxanne")&amp;" sent "&amp;TEXT($AA223,"dd-mmm")&amp;". "&amp;IF($Z223=6,"Final escalation completed.",IF($U223="OVERDUE","Next: "&amp;$AC223&amp;" was due "&amp;TEXT($AB223,"dd-mmm")&amp;" - "&amp;(NETWORKDAYS($AB223,TODAY(),Holidays)-1)&amp;" business day(s) late. Send now.",IF($U223="DUE TOMORROW","Next: "&amp;$AC223&amp;IF($AB223&lt;=TODAY()," is due TODAY ("," is due next business day (")&amp;TEXT($AB223,"dd-mmm")&amp;").","Next: "&amp;$AC223&amp;" due "&amp;TEXT($AB223,"dd-mmm")&amp;" ("&amp;(NETWORKDAYS(TODAY(),$AB223,Holidays)-1)&amp;" business day(s) left).")))))</f>
        <v/>
      </c>
      <c r="W223" s="17">
        <f>IF($Z223="","",CHOOSE($Z223,"Collection Email","1st Follow-up","2nd Follow-up","Local Office","CBE","Roxanne")&amp;IF($Z223=6," - Final"," - Day "&amp;MAX(0,NETWORKDAYS($AA223,TODAY(),Holidays)-1)&amp;" of "&amp;CHOOSE($Z223,3,3,2,2,3))&amp;" | Total Day "&amp;MAX(0,NETWORKDAYS($N223,TODAY(),Holidays)-1))</f>
        <v/>
      </c>
      <c r="X223" s="18"/>
      <c r="Y223" s="18"/>
      <c r="Z223" s="17">
        <f>IF($N223="","",COUNT($N223:$S223))</f>
        <v/>
      </c>
      <c r="AA223" s="19">
        <f>IF($Z223="","",INT(INDEX($N223:$S223,$Z223)))</f>
        <v/>
      </c>
      <c r="AB223" s="19">
        <f>IF(OR($Z223="",$Z223=6),"",WORKDAY($AA223,CHOOSE($Z223,3,3,2,2,3),Holidays))</f>
        <v/>
      </c>
      <c r="AC223" s="17">
        <f>IF(OR($Z223="",$Z223=6),"",CHOOSE($Z223,"1st Email Follow-up","2nd Email Follow-up","Escalate Local Office","Escalate to CBE","Escalate to Roxanne"))</f>
        <v/>
      </c>
    </row>
    <row r="224" spans="13:29">
      <c r="M224" s="14"/>
      <c r="T224" s="16"/>
      <c r="U224" s="17">
        <f>IF(AND(COUNTA($A224:$L224)=0,$N224=""),"",IF($T224="Paid","PAID",IF($T224="Closed","CLOSED",IF($Z224="","",IF($Z224=6,"ESCALATED TO ROXANNE",IF(TODAY()&gt;$AB224,"OVERDUE",IF($AB224&lt;=WORKDAY(TODAY(),1,Holidays),"DUE TOMORROW",IF($Z224=4,"ESCALATED TO LOCAL OFFICE",IF($Z224=5,"ESCALATED TO CBE",IF($AA224=TODAY(),"EMAIL SENT","MONITORING"))))))))))</f>
        <v/>
      </c>
      <c r="V224" s="17">
        <f>IF($U224="",IF(AND(COUNTA($A224:$L224)&gt;0,$N224=""),"Awaiting Collection Email time stamp.",""),IF(OR($U224="PAID",$U224="CLOSED"),IF($U224="PAID","Account paid. Action completed.","Account closed. No further action required."),CHOOSE($Z224,"Collection Email","1st Email Follow-up","2nd Email Follow-up","Escalation to Local Office","Escalation to CBE","Escalation to Roxanne")&amp;" sent "&amp;TEXT($AA224,"dd-mmm")&amp;". "&amp;IF($Z224=6,"Final escalation completed.",IF($U224="OVERDUE","Next: "&amp;$AC224&amp;" was due "&amp;TEXT($AB224,"dd-mmm")&amp;" - "&amp;(NETWORKDAYS($AB224,TODAY(),Holidays)-1)&amp;" business day(s) late. Send now.",IF($U224="DUE TOMORROW","Next: "&amp;$AC224&amp;IF($AB224&lt;=TODAY()," is due TODAY ("," is due next business day (")&amp;TEXT($AB224,"dd-mmm")&amp;").","Next: "&amp;$AC224&amp;" due "&amp;TEXT($AB224,"dd-mmm")&amp;" ("&amp;(NETWORKDAYS(TODAY(),$AB224,Holidays)-1)&amp;" business day(s) left).")))))</f>
        <v/>
      </c>
      <c r="W224" s="17">
        <f>IF($Z224="","",CHOOSE($Z224,"Collection Email","1st Follow-up","2nd Follow-up","Local Office","CBE","Roxanne")&amp;IF($Z224=6," - Final"," - Day "&amp;MAX(0,NETWORKDAYS($AA224,TODAY(),Holidays)-1)&amp;" of "&amp;CHOOSE($Z224,3,3,2,2,3))&amp;" | Total Day "&amp;MAX(0,NETWORKDAYS($N224,TODAY(),Holidays)-1))</f>
        <v/>
      </c>
      <c r="X224" s="18"/>
      <c r="Y224" s="18"/>
      <c r="Z224" s="17">
        <f>IF($N224="","",COUNT($N224:$S224))</f>
        <v/>
      </c>
      <c r="AA224" s="19">
        <f>IF($Z224="","",INT(INDEX($N224:$S224,$Z224)))</f>
        <v/>
      </c>
      <c r="AB224" s="19">
        <f>IF(OR($Z224="",$Z224=6),"",WORKDAY($AA224,CHOOSE($Z224,3,3,2,2,3),Holidays))</f>
        <v/>
      </c>
      <c r="AC224" s="17">
        <f>IF(OR($Z224="",$Z224=6),"",CHOOSE($Z224,"1st Email Follow-up","2nd Email Follow-up","Escalate Local Office","Escalate to CBE","Escalate to Roxanne"))</f>
        <v/>
      </c>
    </row>
    <row r="225" spans="13:29">
      <c r="M225" s="14"/>
      <c r="T225" s="16"/>
      <c r="U225" s="17">
        <f>IF(AND(COUNTA($A225:$L225)=0,$N225=""),"",IF($T225="Paid","PAID",IF($T225="Closed","CLOSED",IF($Z225="","",IF($Z225=6,"ESCALATED TO ROXANNE",IF(TODAY()&gt;$AB225,"OVERDUE",IF($AB225&lt;=WORKDAY(TODAY(),1,Holidays),"DUE TOMORROW",IF($Z225=4,"ESCALATED TO LOCAL OFFICE",IF($Z225=5,"ESCALATED TO CBE",IF($AA225=TODAY(),"EMAIL SENT","MONITORING"))))))))))</f>
        <v/>
      </c>
      <c r="V225" s="17">
        <f>IF($U225="",IF(AND(COUNTA($A225:$L225)&gt;0,$N225=""),"Awaiting Collection Email time stamp.",""),IF(OR($U225="PAID",$U225="CLOSED"),IF($U225="PAID","Account paid. Action completed.","Account closed. No further action required."),CHOOSE($Z225,"Collection Email","1st Email Follow-up","2nd Email Follow-up","Escalation to Local Office","Escalation to CBE","Escalation to Roxanne")&amp;" sent "&amp;TEXT($AA225,"dd-mmm")&amp;". "&amp;IF($Z225=6,"Final escalation completed.",IF($U225="OVERDUE","Next: "&amp;$AC225&amp;" was due "&amp;TEXT($AB225,"dd-mmm")&amp;" - "&amp;(NETWORKDAYS($AB225,TODAY(),Holidays)-1)&amp;" business day(s) late. Send now.",IF($U225="DUE TOMORROW","Next: "&amp;$AC225&amp;IF($AB225&lt;=TODAY()," is due TODAY ("," is due next business day (")&amp;TEXT($AB225,"dd-mmm")&amp;").","Next: "&amp;$AC225&amp;" due "&amp;TEXT($AB225,"dd-mmm")&amp;" ("&amp;(NETWORKDAYS(TODAY(),$AB225,Holidays)-1)&amp;" business day(s) left).")))))</f>
        <v/>
      </c>
      <c r="W225" s="17">
        <f>IF($Z225="","",CHOOSE($Z225,"Collection Email","1st Follow-up","2nd Follow-up","Local Office","CBE","Roxanne")&amp;IF($Z225=6," - Final"," - Day "&amp;MAX(0,NETWORKDAYS($AA225,TODAY(),Holidays)-1)&amp;" of "&amp;CHOOSE($Z225,3,3,2,2,3))&amp;" | Total Day "&amp;MAX(0,NETWORKDAYS($N225,TODAY(),Holidays)-1))</f>
        <v/>
      </c>
      <c r="X225" s="18"/>
      <c r="Y225" s="18"/>
      <c r="Z225" s="17">
        <f>IF($N225="","",COUNT($N225:$S225))</f>
        <v/>
      </c>
      <c r="AA225" s="19">
        <f>IF($Z225="","",INT(INDEX($N225:$S225,$Z225)))</f>
        <v/>
      </c>
      <c r="AB225" s="19">
        <f>IF(OR($Z225="",$Z225=6),"",WORKDAY($AA225,CHOOSE($Z225,3,3,2,2,3),Holidays))</f>
        <v/>
      </c>
      <c r="AC225" s="17">
        <f>IF(OR($Z225="",$Z225=6),"",CHOOSE($Z225,"1st Email Follow-up","2nd Email Follow-up","Escalate Local Office","Escalate to CBE","Escalate to Roxanne"))</f>
        <v/>
      </c>
    </row>
    <row r="226" spans="13:29">
      <c r="M226" s="14"/>
      <c r="T226" s="16"/>
      <c r="U226" s="17">
        <f>IF(AND(COUNTA($A226:$L226)=0,$N226=""),"",IF($T226="Paid","PAID",IF($T226="Closed","CLOSED",IF($Z226="","",IF($Z226=6,"ESCALATED TO ROXANNE",IF(TODAY()&gt;$AB226,"OVERDUE",IF($AB226&lt;=WORKDAY(TODAY(),1,Holidays),"DUE TOMORROW",IF($Z226=4,"ESCALATED TO LOCAL OFFICE",IF($Z226=5,"ESCALATED TO CBE",IF($AA226=TODAY(),"EMAIL SENT","MONITORING"))))))))))</f>
        <v/>
      </c>
      <c r="V226" s="17">
        <f>IF($U226="",IF(AND(COUNTA($A226:$L226)&gt;0,$N226=""),"Awaiting Collection Email time stamp.",""),IF(OR($U226="PAID",$U226="CLOSED"),IF($U226="PAID","Account paid. Action completed.","Account closed. No further action required."),CHOOSE($Z226,"Collection Email","1st Email Follow-up","2nd Email Follow-up","Escalation to Local Office","Escalation to CBE","Escalation to Roxanne")&amp;" sent "&amp;TEXT($AA226,"dd-mmm")&amp;". "&amp;IF($Z226=6,"Final escalation completed.",IF($U226="OVERDUE","Next: "&amp;$AC226&amp;" was due "&amp;TEXT($AB226,"dd-mmm")&amp;" - "&amp;(NETWORKDAYS($AB226,TODAY(),Holidays)-1)&amp;" business day(s) late. Send now.",IF($U226="DUE TOMORROW","Next: "&amp;$AC226&amp;IF($AB226&lt;=TODAY()," is due TODAY ("," is due next business day (")&amp;TEXT($AB226,"dd-mmm")&amp;").","Next: "&amp;$AC226&amp;" due "&amp;TEXT($AB226,"dd-mmm")&amp;" ("&amp;(NETWORKDAYS(TODAY(),$AB226,Holidays)-1)&amp;" business day(s) left).")))))</f>
        <v/>
      </c>
      <c r="W226" s="17">
        <f>IF($Z226="","",CHOOSE($Z226,"Collection Email","1st Follow-up","2nd Follow-up","Local Office","CBE","Roxanne")&amp;IF($Z226=6," - Final"," - Day "&amp;MAX(0,NETWORKDAYS($AA226,TODAY(),Holidays)-1)&amp;" of "&amp;CHOOSE($Z226,3,3,2,2,3))&amp;" | Total Day "&amp;MAX(0,NETWORKDAYS($N226,TODAY(),Holidays)-1))</f>
        <v/>
      </c>
      <c r="X226" s="18"/>
      <c r="Y226" s="18"/>
      <c r="Z226" s="17">
        <f>IF($N226="","",COUNT($N226:$S226))</f>
        <v/>
      </c>
      <c r="AA226" s="19">
        <f>IF($Z226="","",INT(INDEX($N226:$S226,$Z226)))</f>
        <v/>
      </c>
      <c r="AB226" s="19">
        <f>IF(OR($Z226="",$Z226=6),"",WORKDAY($AA226,CHOOSE($Z226,3,3,2,2,3),Holidays))</f>
        <v/>
      </c>
      <c r="AC226" s="17">
        <f>IF(OR($Z226="",$Z226=6),"",CHOOSE($Z226,"1st Email Follow-up","2nd Email Follow-up","Escalate Local Office","Escalate to CBE","Escalate to Roxanne"))</f>
        <v/>
      </c>
    </row>
    <row r="227" spans="13:29">
      <c r="M227" s="14"/>
      <c r="T227" s="16"/>
      <c r="U227" s="17">
        <f>IF(AND(COUNTA($A227:$L227)=0,$N227=""),"",IF($T227="Paid","PAID",IF($T227="Closed","CLOSED",IF($Z227="","",IF($Z227=6,"ESCALATED TO ROXANNE",IF(TODAY()&gt;$AB227,"OVERDUE",IF($AB227&lt;=WORKDAY(TODAY(),1,Holidays),"DUE TOMORROW",IF($Z227=4,"ESCALATED TO LOCAL OFFICE",IF($Z227=5,"ESCALATED TO CBE",IF($AA227=TODAY(),"EMAIL SENT","MONITORING"))))))))))</f>
        <v/>
      </c>
      <c r="V227" s="17">
        <f>IF($U227="",IF(AND(COUNTA($A227:$L227)&gt;0,$N227=""),"Awaiting Collection Email time stamp.",""),IF(OR($U227="PAID",$U227="CLOSED"),IF($U227="PAID","Account paid. Action completed.","Account closed. No further action required."),CHOOSE($Z227,"Collection Email","1st Email Follow-up","2nd Email Follow-up","Escalation to Local Office","Escalation to CBE","Escalation to Roxanne")&amp;" sent "&amp;TEXT($AA227,"dd-mmm")&amp;". "&amp;IF($Z227=6,"Final escalation completed.",IF($U227="OVERDUE","Next: "&amp;$AC227&amp;" was due "&amp;TEXT($AB227,"dd-mmm")&amp;" - "&amp;(NETWORKDAYS($AB227,TODAY(),Holidays)-1)&amp;" business day(s) late. Send now.",IF($U227="DUE TOMORROW","Next: "&amp;$AC227&amp;IF($AB227&lt;=TODAY()," is due TODAY ("," is due next business day (")&amp;TEXT($AB227,"dd-mmm")&amp;").","Next: "&amp;$AC227&amp;" due "&amp;TEXT($AB227,"dd-mmm")&amp;" ("&amp;(NETWORKDAYS(TODAY(),$AB227,Holidays)-1)&amp;" business day(s) left).")))))</f>
        <v/>
      </c>
      <c r="W227" s="17">
        <f>IF($Z227="","",CHOOSE($Z227,"Collection Email","1st Follow-up","2nd Follow-up","Local Office","CBE","Roxanne")&amp;IF($Z227=6," - Final"," - Day "&amp;MAX(0,NETWORKDAYS($AA227,TODAY(),Holidays)-1)&amp;" of "&amp;CHOOSE($Z227,3,3,2,2,3))&amp;" | Total Day "&amp;MAX(0,NETWORKDAYS($N227,TODAY(),Holidays)-1))</f>
        <v/>
      </c>
      <c r="X227" s="18"/>
      <c r="Y227" s="18"/>
      <c r="Z227" s="17">
        <f>IF($N227="","",COUNT($N227:$S227))</f>
        <v/>
      </c>
      <c r="AA227" s="19">
        <f>IF($Z227="","",INT(INDEX($N227:$S227,$Z227)))</f>
        <v/>
      </c>
      <c r="AB227" s="19">
        <f>IF(OR($Z227="",$Z227=6),"",WORKDAY($AA227,CHOOSE($Z227,3,3,2,2,3),Holidays))</f>
        <v/>
      </c>
      <c r="AC227" s="17">
        <f>IF(OR($Z227="",$Z227=6),"",CHOOSE($Z227,"1st Email Follow-up","2nd Email Follow-up","Escalate Local Office","Escalate to CBE","Escalate to Roxanne"))</f>
        <v/>
      </c>
    </row>
    <row r="228" spans="13:29">
      <c r="M228" s="14"/>
      <c r="T228" s="16"/>
      <c r="U228" s="17">
        <f>IF(AND(COUNTA($A228:$L228)=0,$N228=""),"",IF($T228="Paid","PAID",IF($T228="Closed","CLOSED",IF($Z228="","",IF($Z228=6,"ESCALATED TO ROXANNE",IF(TODAY()&gt;$AB228,"OVERDUE",IF($AB228&lt;=WORKDAY(TODAY(),1,Holidays),"DUE TOMORROW",IF($Z228=4,"ESCALATED TO LOCAL OFFICE",IF($Z228=5,"ESCALATED TO CBE",IF($AA228=TODAY(),"EMAIL SENT","MONITORING"))))))))))</f>
        <v/>
      </c>
      <c r="V228" s="17">
        <f>IF($U228="",IF(AND(COUNTA($A228:$L228)&gt;0,$N228=""),"Awaiting Collection Email time stamp.",""),IF(OR($U228="PAID",$U228="CLOSED"),IF($U228="PAID","Account paid. Action completed.","Account closed. No further action required."),CHOOSE($Z228,"Collection Email","1st Email Follow-up","2nd Email Follow-up","Escalation to Local Office","Escalation to CBE","Escalation to Roxanne")&amp;" sent "&amp;TEXT($AA228,"dd-mmm")&amp;". "&amp;IF($Z228=6,"Final escalation completed.",IF($U228="OVERDUE","Next: "&amp;$AC228&amp;" was due "&amp;TEXT($AB228,"dd-mmm")&amp;" - "&amp;(NETWORKDAYS($AB228,TODAY(),Holidays)-1)&amp;" business day(s) late. Send now.",IF($U228="DUE TOMORROW","Next: "&amp;$AC228&amp;IF($AB228&lt;=TODAY()," is due TODAY ("," is due next business day (")&amp;TEXT($AB228,"dd-mmm")&amp;").","Next: "&amp;$AC228&amp;" due "&amp;TEXT($AB228,"dd-mmm")&amp;" ("&amp;(NETWORKDAYS(TODAY(),$AB228,Holidays)-1)&amp;" business day(s) left).")))))</f>
        <v/>
      </c>
      <c r="W228" s="17">
        <f>IF($Z228="","",CHOOSE($Z228,"Collection Email","1st Follow-up","2nd Follow-up","Local Office","CBE","Roxanne")&amp;IF($Z228=6," - Final"," - Day "&amp;MAX(0,NETWORKDAYS($AA228,TODAY(),Holidays)-1)&amp;" of "&amp;CHOOSE($Z228,3,3,2,2,3))&amp;" | Total Day "&amp;MAX(0,NETWORKDAYS($N228,TODAY(),Holidays)-1))</f>
        <v/>
      </c>
      <c r="X228" s="18"/>
      <c r="Y228" s="18"/>
      <c r="Z228" s="17">
        <f>IF($N228="","",COUNT($N228:$S228))</f>
        <v/>
      </c>
      <c r="AA228" s="19">
        <f>IF($Z228="","",INT(INDEX($N228:$S228,$Z228)))</f>
        <v/>
      </c>
      <c r="AB228" s="19">
        <f>IF(OR($Z228="",$Z228=6),"",WORKDAY($AA228,CHOOSE($Z228,3,3,2,2,3),Holidays))</f>
        <v/>
      </c>
      <c r="AC228" s="17">
        <f>IF(OR($Z228="",$Z228=6),"",CHOOSE($Z228,"1st Email Follow-up","2nd Email Follow-up","Escalate Local Office","Escalate to CBE","Escalate to Roxanne"))</f>
        <v/>
      </c>
    </row>
    <row r="229" spans="13:29">
      <c r="M229" s="14"/>
      <c r="T229" s="16"/>
      <c r="U229" s="17">
        <f>IF(AND(COUNTA($A229:$L229)=0,$N229=""),"",IF($T229="Paid","PAID",IF($T229="Closed","CLOSED",IF($Z229="","",IF($Z229=6,"ESCALATED TO ROXANNE",IF(TODAY()&gt;$AB229,"OVERDUE",IF($AB229&lt;=WORKDAY(TODAY(),1,Holidays),"DUE TOMORROW",IF($Z229=4,"ESCALATED TO LOCAL OFFICE",IF($Z229=5,"ESCALATED TO CBE",IF($AA229=TODAY(),"EMAIL SENT","MONITORING"))))))))))</f>
        <v/>
      </c>
      <c r="V229" s="17">
        <f>IF($U229="",IF(AND(COUNTA($A229:$L229)&gt;0,$N229=""),"Awaiting Collection Email time stamp.",""),IF(OR($U229="PAID",$U229="CLOSED"),IF($U229="PAID","Account paid. Action completed.","Account closed. No further action required."),CHOOSE($Z229,"Collection Email","1st Email Follow-up","2nd Email Follow-up","Escalation to Local Office","Escalation to CBE","Escalation to Roxanne")&amp;" sent "&amp;TEXT($AA229,"dd-mmm")&amp;". "&amp;IF($Z229=6,"Final escalation completed.",IF($U229="OVERDUE","Next: "&amp;$AC229&amp;" was due "&amp;TEXT($AB229,"dd-mmm")&amp;" - "&amp;(NETWORKDAYS($AB229,TODAY(),Holidays)-1)&amp;" business day(s) late. Send now.",IF($U229="DUE TOMORROW","Next: "&amp;$AC229&amp;IF($AB229&lt;=TODAY()," is due TODAY ("," is due next business day (")&amp;TEXT($AB229,"dd-mmm")&amp;").","Next: "&amp;$AC229&amp;" due "&amp;TEXT($AB229,"dd-mmm")&amp;" ("&amp;(NETWORKDAYS(TODAY(),$AB229,Holidays)-1)&amp;" business day(s) left).")))))</f>
        <v/>
      </c>
      <c r="W229" s="17">
        <f>IF($Z229="","",CHOOSE($Z229,"Collection Email","1st Follow-up","2nd Follow-up","Local Office","CBE","Roxanne")&amp;IF($Z229=6," - Final"," - Day "&amp;MAX(0,NETWORKDAYS($AA229,TODAY(),Holidays)-1)&amp;" of "&amp;CHOOSE($Z229,3,3,2,2,3))&amp;" | Total Day "&amp;MAX(0,NETWORKDAYS($N229,TODAY(),Holidays)-1))</f>
        <v/>
      </c>
      <c r="X229" s="18"/>
      <c r="Y229" s="18"/>
      <c r="Z229" s="17">
        <f>IF($N229="","",COUNT($N229:$S229))</f>
        <v/>
      </c>
      <c r="AA229" s="19">
        <f>IF($Z229="","",INT(INDEX($N229:$S229,$Z229)))</f>
        <v/>
      </c>
      <c r="AB229" s="19">
        <f>IF(OR($Z229="",$Z229=6),"",WORKDAY($AA229,CHOOSE($Z229,3,3,2,2,3),Holidays))</f>
        <v/>
      </c>
      <c r="AC229" s="17">
        <f>IF(OR($Z229="",$Z229=6),"",CHOOSE($Z229,"1st Email Follow-up","2nd Email Follow-up","Escalate Local Office","Escalate to CBE","Escalate to Roxanne"))</f>
        <v/>
      </c>
    </row>
    <row r="230" spans="13:29">
      <c r="M230" s="14"/>
      <c r="T230" s="16"/>
      <c r="U230" s="17">
        <f>IF(AND(COUNTA($A230:$L230)=0,$N230=""),"",IF($T230="Paid","PAID",IF($T230="Closed","CLOSED",IF($Z230="","",IF($Z230=6,"ESCALATED TO ROXANNE",IF(TODAY()&gt;$AB230,"OVERDUE",IF($AB230&lt;=WORKDAY(TODAY(),1,Holidays),"DUE TOMORROW",IF($Z230=4,"ESCALATED TO LOCAL OFFICE",IF($Z230=5,"ESCALATED TO CBE",IF($AA230=TODAY(),"EMAIL SENT","MONITORING"))))))))))</f>
        <v/>
      </c>
      <c r="V230" s="17">
        <f>IF($U230="",IF(AND(COUNTA($A230:$L230)&gt;0,$N230=""),"Awaiting Collection Email time stamp.",""),IF(OR($U230="PAID",$U230="CLOSED"),IF($U230="PAID","Account paid. Action completed.","Account closed. No further action required."),CHOOSE($Z230,"Collection Email","1st Email Follow-up","2nd Email Follow-up","Escalation to Local Office","Escalation to CBE","Escalation to Roxanne")&amp;" sent "&amp;TEXT($AA230,"dd-mmm")&amp;". "&amp;IF($Z230=6,"Final escalation completed.",IF($U230="OVERDUE","Next: "&amp;$AC230&amp;" was due "&amp;TEXT($AB230,"dd-mmm")&amp;" - "&amp;(NETWORKDAYS($AB230,TODAY(),Holidays)-1)&amp;" business day(s) late. Send now.",IF($U230="DUE TOMORROW","Next: "&amp;$AC230&amp;IF($AB230&lt;=TODAY()," is due TODAY ("," is due next business day (")&amp;TEXT($AB230,"dd-mmm")&amp;").","Next: "&amp;$AC230&amp;" due "&amp;TEXT($AB230,"dd-mmm")&amp;" ("&amp;(NETWORKDAYS(TODAY(),$AB230,Holidays)-1)&amp;" business day(s) left).")))))</f>
        <v/>
      </c>
      <c r="W230" s="17">
        <f>IF($Z230="","",CHOOSE($Z230,"Collection Email","1st Follow-up","2nd Follow-up","Local Office","CBE","Roxanne")&amp;IF($Z230=6," - Final"," - Day "&amp;MAX(0,NETWORKDAYS($AA230,TODAY(),Holidays)-1)&amp;" of "&amp;CHOOSE($Z230,3,3,2,2,3))&amp;" | Total Day "&amp;MAX(0,NETWORKDAYS($N230,TODAY(),Holidays)-1))</f>
        <v/>
      </c>
      <c r="X230" s="18"/>
      <c r="Y230" s="18"/>
      <c r="Z230" s="17">
        <f>IF($N230="","",COUNT($N230:$S230))</f>
        <v/>
      </c>
      <c r="AA230" s="19">
        <f>IF($Z230="","",INT(INDEX($N230:$S230,$Z230)))</f>
        <v/>
      </c>
      <c r="AB230" s="19">
        <f>IF(OR($Z230="",$Z230=6),"",WORKDAY($AA230,CHOOSE($Z230,3,3,2,2,3),Holidays))</f>
        <v/>
      </c>
      <c r="AC230" s="17">
        <f>IF(OR($Z230="",$Z230=6),"",CHOOSE($Z230,"1st Email Follow-up","2nd Email Follow-up","Escalate Local Office","Escalate to CBE","Escalate to Roxanne"))</f>
        <v/>
      </c>
    </row>
    <row r="231" spans="13:29">
      <c r="M231" s="14"/>
      <c r="T231" s="16"/>
      <c r="U231" s="17">
        <f>IF(AND(COUNTA($A231:$L231)=0,$N231=""),"",IF($T231="Paid","PAID",IF($T231="Closed","CLOSED",IF($Z231="","",IF($Z231=6,"ESCALATED TO ROXANNE",IF(TODAY()&gt;$AB231,"OVERDUE",IF($AB231&lt;=WORKDAY(TODAY(),1,Holidays),"DUE TOMORROW",IF($Z231=4,"ESCALATED TO LOCAL OFFICE",IF($Z231=5,"ESCALATED TO CBE",IF($AA231=TODAY(),"EMAIL SENT","MONITORING"))))))))))</f>
        <v/>
      </c>
      <c r="V231" s="17">
        <f>IF($U231="",IF(AND(COUNTA($A231:$L231)&gt;0,$N231=""),"Awaiting Collection Email time stamp.",""),IF(OR($U231="PAID",$U231="CLOSED"),IF($U231="PAID","Account paid. Action completed.","Account closed. No further action required."),CHOOSE($Z231,"Collection Email","1st Email Follow-up","2nd Email Follow-up","Escalation to Local Office","Escalation to CBE","Escalation to Roxanne")&amp;" sent "&amp;TEXT($AA231,"dd-mmm")&amp;". "&amp;IF($Z231=6,"Final escalation completed.",IF($U231="OVERDUE","Next: "&amp;$AC231&amp;" was due "&amp;TEXT($AB231,"dd-mmm")&amp;" - "&amp;(NETWORKDAYS($AB231,TODAY(),Holidays)-1)&amp;" business day(s) late. Send now.",IF($U231="DUE TOMORROW","Next: "&amp;$AC231&amp;IF($AB231&lt;=TODAY()," is due TODAY ("," is due next business day (")&amp;TEXT($AB231,"dd-mmm")&amp;").","Next: "&amp;$AC231&amp;" due "&amp;TEXT($AB231,"dd-mmm")&amp;" ("&amp;(NETWORKDAYS(TODAY(),$AB231,Holidays)-1)&amp;" business day(s) left).")))))</f>
        <v/>
      </c>
      <c r="W231" s="17">
        <f>IF($Z231="","",CHOOSE($Z231,"Collection Email","1st Follow-up","2nd Follow-up","Local Office","CBE","Roxanne")&amp;IF($Z231=6," - Final"," - Day "&amp;MAX(0,NETWORKDAYS($AA231,TODAY(),Holidays)-1)&amp;" of "&amp;CHOOSE($Z231,3,3,2,2,3))&amp;" | Total Day "&amp;MAX(0,NETWORKDAYS($N231,TODAY(),Holidays)-1))</f>
        <v/>
      </c>
      <c r="X231" s="18"/>
      <c r="Y231" s="18"/>
      <c r="Z231" s="17">
        <f>IF($N231="","",COUNT($N231:$S231))</f>
        <v/>
      </c>
      <c r="AA231" s="19">
        <f>IF($Z231="","",INT(INDEX($N231:$S231,$Z231)))</f>
        <v/>
      </c>
      <c r="AB231" s="19">
        <f>IF(OR($Z231="",$Z231=6),"",WORKDAY($AA231,CHOOSE($Z231,3,3,2,2,3),Holidays))</f>
        <v/>
      </c>
      <c r="AC231" s="17">
        <f>IF(OR($Z231="",$Z231=6),"",CHOOSE($Z231,"1st Email Follow-up","2nd Email Follow-up","Escalate Local Office","Escalate to CBE","Escalate to Roxanne"))</f>
        <v/>
      </c>
    </row>
    <row r="232" spans="13:29">
      <c r="M232" s="14"/>
      <c r="T232" s="16"/>
      <c r="U232" s="17">
        <f>IF(AND(COUNTA($A232:$L232)=0,$N232=""),"",IF($T232="Paid","PAID",IF($T232="Closed","CLOSED",IF($Z232="","",IF($Z232=6,"ESCALATED TO ROXANNE",IF(TODAY()&gt;$AB232,"OVERDUE",IF($AB232&lt;=WORKDAY(TODAY(),1,Holidays),"DUE TOMORROW",IF($Z232=4,"ESCALATED TO LOCAL OFFICE",IF($Z232=5,"ESCALATED TO CBE",IF($AA232=TODAY(),"EMAIL SENT","MONITORING"))))))))))</f>
        <v/>
      </c>
      <c r="V232" s="17">
        <f>IF($U232="",IF(AND(COUNTA($A232:$L232)&gt;0,$N232=""),"Awaiting Collection Email time stamp.",""),IF(OR($U232="PAID",$U232="CLOSED"),IF($U232="PAID","Account paid. Action completed.","Account closed. No further action required."),CHOOSE($Z232,"Collection Email","1st Email Follow-up","2nd Email Follow-up","Escalation to Local Office","Escalation to CBE","Escalation to Roxanne")&amp;" sent "&amp;TEXT($AA232,"dd-mmm")&amp;". "&amp;IF($Z232=6,"Final escalation completed.",IF($U232="OVERDUE","Next: "&amp;$AC232&amp;" was due "&amp;TEXT($AB232,"dd-mmm")&amp;" - "&amp;(NETWORKDAYS($AB232,TODAY(),Holidays)-1)&amp;" business day(s) late. Send now.",IF($U232="DUE TOMORROW","Next: "&amp;$AC232&amp;IF($AB232&lt;=TODAY()," is due TODAY ("," is due next business day (")&amp;TEXT($AB232,"dd-mmm")&amp;").","Next: "&amp;$AC232&amp;" due "&amp;TEXT($AB232,"dd-mmm")&amp;" ("&amp;(NETWORKDAYS(TODAY(),$AB232,Holidays)-1)&amp;" business day(s) left).")))))</f>
        <v/>
      </c>
      <c r="W232" s="17">
        <f>IF($Z232="","",CHOOSE($Z232,"Collection Email","1st Follow-up","2nd Follow-up","Local Office","CBE","Roxanne")&amp;IF($Z232=6," - Final"," - Day "&amp;MAX(0,NETWORKDAYS($AA232,TODAY(),Holidays)-1)&amp;" of "&amp;CHOOSE($Z232,3,3,2,2,3))&amp;" | Total Day "&amp;MAX(0,NETWORKDAYS($N232,TODAY(),Holidays)-1))</f>
        <v/>
      </c>
      <c r="X232" s="18"/>
      <c r="Y232" s="18"/>
      <c r="Z232" s="17">
        <f>IF($N232="","",COUNT($N232:$S232))</f>
        <v/>
      </c>
      <c r="AA232" s="19">
        <f>IF($Z232="","",INT(INDEX($N232:$S232,$Z232)))</f>
        <v/>
      </c>
      <c r="AB232" s="19">
        <f>IF(OR($Z232="",$Z232=6),"",WORKDAY($AA232,CHOOSE($Z232,3,3,2,2,3),Holidays))</f>
        <v/>
      </c>
      <c r="AC232" s="17">
        <f>IF(OR($Z232="",$Z232=6),"",CHOOSE($Z232,"1st Email Follow-up","2nd Email Follow-up","Escalate Local Office","Escalate to CBE","Escalate to Roxanne"))</f>
        <v/>
      </c>
    </row>
    <row r="233" spans="13:29">
      <c r="M233" s="14"/>
      <c r="T233" s="16"/>
      <c r="U233" s="17">
        <f>IF(AND(COUNTA($A233:$L233)=0,$N233=""),"",IF($T233="Paid","PAID",IF($T233="Closed","CLOSED",IF($Z233="","",IF($Z233=6,"ESCALATED TO ROXANNE",IF(TODAY()&gt;$AB233,"OVERDUE",IF($AB233&lt;=WORKDAY(TODAY(),1,Holidays),"DUE TOMORROW",IF($Z233=4,"ESCALATED TO LOCAL OFFICE",IF($Z233=5,"ESCALATED TO CBE",IF($AA233=TODAY(),"EMAIL SENT","MONITORING"))))))))))</f>
        <v/>
      </c>
      <c r="V233" s="17">
        <f>IF($U233="",IF(AND(COUNTA($A233:$L233)&gt;0,$N233=""),"Awaiting Collection Email time stamp.",""),IF(OR($U233="PAID",$U233="CLOSED"),IF($U233="PAID","Account paid. Action completed.","Account closed. No further action required."),CHOOSE($Z233,"Collection Email","1st Email Follow-up","2nd Email Follow-up","Escalation to Local Office","Escalation to CBE","Escalation to Roxanne")&amp;" sent "&amp;TEXT($AA233,"dd-mmm")&amp;". "&amp;IF($Z233=6,"Final escalation completed.",IF($U233="OVERDUE","Next: "&amp;$AC233&amp;" was due "&amp;TEXT($AB233,"dd-mmm")&amp;" - "&amp;(NETWORKDAYS($AB233,TODAY(),Holidays)-1)&amp;" business day(s) late. Send now.",IF($U233="DUE TOMORROW","Next: "&amp;$AC233&amp;IF($AB233&lt;=TODAY()," is due TODAY ("," is due next business day (")&amp;TEXT($AB233,"dd-mmm")&amp;").","Next: "&amp;$AC233&amp;" due "&amp;TEXT($AB233,"dd-mmm")&amp;" ("&amp;(NETWORKDAYS(TODAY(),$AB233,Holidays)-1)&amp;" business day(s) left).")))))</f>
        <v/>
      </c>
      <c r="W233" s="17">
        <f>IF($Z233="","",CHOOSE($Z233,"Collection Email","1st Follow-up","2nd Follow-up","Local Office","CBE","Roxanne")&amp;IF($Z233=6," - Final"," - Day "&amp;MAX(0,NETWORKDAYS($AA233,TODAY(),Holidays)-1)&amp;" of "&amp;CHOOSE($Z233,3,3,2,2,3))&amp;" | Total Day "&amp;MAX(0,NETWORKDAYS($N233,TODAY(),Holidays)-1))</f>
        <v/>
      </c>
      <c r="X233" s="18"/>
      <c r="Y233" s="18"/>
      <c r="Z233" s="17">
        <f>IF($N233="","",COUNT($N233:$S233))</f>
        <v/>
      </c>
      <c r="AA233" s="19">
        <f>IF($Z233="","",INT(INDEX($N233:$S233,$Z233)))</f>
        <v/>
      </c>
      <c r="AB233" s="19">
        <f>IF(OR($Z233="",$Z233=6),"",WORKDAY($AA233,CHOOSE($Z233,3,3,2,2,3),Holidays))</f>
        <v/>
      </c>
      <c r="AC233" s="17">
        <f>IF(OR($Z233="",$Z233=6),"",CHOOSE($Z233,"1st Email Follow-up","2nd Email Follow-up","Escalate Local Office","Escalate to CBE","Escalate to Roxanne"))</f>
        <v/>
      </c>
    </row>
    <row r="234" spans="13:29">
      <c r="M234" s="14"/>
      <c r="T234" s="16"/>
      <c r="U234" s="17">
        <f>IF(AND(COUNTA($A234:$L234)=0,$N234=""),"",IF($T234="Paid","PAID",IF($T234="Closed","CLOSED",IF($Z234="","",IF($Z234=6,"ESCALATED TO ROXANNE",IF(TODAY()&gt;$AB234,"OVERDUE",IF($AB234&lt;=WORKDAY(TODAY(),1,Holidays),"DUE TOMORROW",IF($Z234=4,"ESCALATED TO LOCAL OFFICE",IF($Z234=5,"ESCALATED TO CBE",IF($AA234=TODAY(),"EMAIL SENT","MONITORING"))))))))))</f>
        <v/>
      </c>
      <c r="V234" s="17">
        <f>IF($U234="",IF(AND(COUNTA($A234:$L234)&gt;0,$N234=""),"Awaiting Collection Email time stamp.",""),IF(OR($U234="PAID",$U234="CLOSED"),IF($U234="PAID","Account paid. Action completed.","Account closed. No further action required."),CHOOSE($Z234,"Collection Email","1st Email Follow-up","2nd Email Follow-up","Escalation to Local Office","Escalation to CBE","Escalation to Roxanne")&amp;" sent "&amp;TEXT($AA234,"dd-mmm")&amp;". "&amp;IF($Z234=6,"Final escalation completed.",IF($U234="OVERDUE","Next: "&amp;$AC234&amp;" was due "&amp;TEXT($AB234,"dd-mmm")&amp;" - "&amp;(NETWORKDAYS($AB234,TODAY(),Holidays)-1)&amp;" business day(s) late. Send now.",IF($U234="DUE TOMORROW","Next: "&amp;$AC234&amp;IF($AB234&lt;=TODAY()," is due TODAY ("," is due next business day (")&amp;TEXT($AB234,"dd-mmm")&amp;").","Next: "&amp;$AC234&amp;" due "&amp;TEXT($AB234,"dd-mmm")&amp;" ("&amp;(NETWORKDAYS(TODAY(),$AB234,Holidays)-1)&amp;" business day(s) left).")))))</f>
        <v/>
      </c>
      <c r="W234" s="17">
        <f>IF($Z234="","",CHOOSE($Z234,"Collection Email","1st Follow-up","2nd Follow-up","Local Office","CBE","Roxanne")&amp;IF($Z234=6," - Final"," - Day "&amp;MAX(0,NETWORKDAYS($AA234,TODAY(),Holidays)-1)&amp;" of "&amp;CHOOSE($Z234,3,3,2,2,3))&amp;" | Total Day "&amp;MAX(0,NETWORKDAYS($N234,TODAY(),Holidays)-1))</f>
        <v/>
      </c>
      <c r="X234" s="18"/>
      <c r="Y234" s="18"/>
      <c r="Z234" s="17">
        <f>IF($N234="","",COUNT($N234:$S234))</f>
        <v/>
      </c>
      <c r="AA234" s="19">
        <f>IF($Z234="","",INT(INDEX($N234:$S234,$Z234)))</f>
        <v/>
      </c>
      <c r="AB234" s="19">
        <f>IF(OR($Z234="",$Z234=6),"",WORKDAY($AA234,CHOOSE($Z234,3,3,2,2,3),Holidays))</f>
        <v/>
      </c>
      <c r="AC234" s="17">
        <f>IF(OR($Z234="",$Z234=6),"",CHOOSE($Z234,"1st Email Follow-up","2nd Email Follow-up","Escalate Local Office","Escalate to CBE","Escalate to Roxanne"))</f>
        <v/>
      </c>
    </row>
    <row r="235" spans="13:29">
      <c r="M235" s="14"/>
      <c r="T235" s="16"/>
      <c r="U235" s="17">
        <f>IF(AND(COUNTA($A235:$L235)=0,$N235=""),"",IF($T235="Paid","PAID",IF($T235="Closed","CLOSED",IF($Z235="","",IF($Z235=6,"ESCALATED TO ROXANNE",IF(TODAY()&gt;$AB235,"OVERDUE",IF($AB235&lt;=WORKDAY(TODAY(),1,Holidays),"DUE TOMORROW",IF($Z235=4,"ESCALATED TO LOCAL OFFICE",IF($Z235=5,"ESCALATED TO CBE",IF($AA235=TODAY(),"EMAIL SENT","MONITORING"))))))))))</f>
        <v/>
      </c>
      <c r="V235" s="17">
        <f>IF($U235="",IF(AND(COUNTA($A235:$L235)&gt;0,$N235=""),"Awaiting Collection Email time stamp.",""),IF(OR($U235="PAID",$U235="CLOSED"),IF($U235="PAID","Account paid. Action completed.","Account closed. No further action required."),CHOOSE($Z235,"Collection Email","1st Email Follow-up","2nd Email Follow-up","Escalation to Local Office","Escalation to CBE","Escalation to Roxanne")&amp;" sent "&amp;TEXT($AA235,"dd-mmm")&amp;". "&amp;IF($Z235=6,"Final escalation completed.",IF($U235="OVERDUE","Next: "&amp;$AC235&amp;" was due "&amp;TEXT($AB235,"dd-mmm")&amp;" - "&amp;(NETWORKDAYS($AB235,TODAY(),Holidays)-1)&amp;" business day(s) late. Send now.",IF($U235="DUE TOMORROW","Next: "&amp;$AC235&amp;IF($AB235&lt;=TODAY()," is due TODAY ("," is due next business day (")&amp;TEXT($AB235,"dd-mmm")&amp;").","Next: "&amp;$AC235&amp;" due "&amp;TEXT($AB235,"dd-mmm")&amp;" ("&amp;(NETWORKDAYS(TODAY(),$AB235,Holidays)-1)&amp;" business day(s) left).")))))</f>
        <v/>
      </c>
      <c r="W235" s="17">
        <f>IF($Z235="","",CHOOSE($Z235,"Collection Email","1st Follow-up","2nd Follow-up","Local Office","CBE","Roxanne")&amp;IF($Z235=6," - Final"," - Day "&amp;MAX(0,NETWORKDAYS($AA235,TODAY(),Holidays)-1)&amp;" of "&amp;CHOOSE($Z235,3,3,2,2,3))&amp;" | Total Day "&amp;MAX(0,NETWORKDAYS($N235,TODAY(),Holidays)-1))</f>
        <v/>
      </c>
      <c r="X235" s="18"/>
      <c r="Y235" s="18"/>
      <c r="Z235" s="17">
        <f>IF($N235="","",COUNT($N235:$S235))</f>
        <v/>
      </c>
      <c r="AA235" s="19">
        <f>IF($Z235="","",INT(INDEX($N235:$S235,$Z235)))</f>
        <v/>
      </c>
      <c r="AB235" s="19">
        <f>IF(OR($Z235="",$Z235=6),"",WORKDAY($AA235,CHOOSE($Z235,3,3,2,2,3),Holidays))</f>
        <v/>
      </c>
      <c r="AC235" s="17">
        <f>IF(OR($Z235="",$Z235=6),"",CHOOSE($Z235,"1st Email Follow-up","2nd Email Follow-up","Escalate Local Office","Escalate to CBE","Escalate to Roxanne"))</f>
        <v/>
      </c>
    </row>
    <row r="236" spans="13:29">
      <c r="M236" s="14"/>
      <c r="T236" s="16"/>
      <c r="U236" s="17">
        <f>IF(AND(COUNTA($A236:$L236)=0,$N236=""),"",IF($T236="Paid","PAID",IF($T236="Closed","CLOSED",IF($Z236="","",IF($Z236=6,"ESCALATED TO ROXANNE",IF(TODAY()&gt;$AB236,"OVERDUE",IF($AB236&lt;=WORKDAY(TODAY(),1,Holidays),"DUE TOMORROW",IF($Z236=4,"ESCALATED TO LOCAL OFFICE",IF($Z236=5,"ESCALATED TO CBE",IF($AA236=TODAY(),"EMAIL SENT","MONITORING"))))))))))</f>
        <v/>
      </c>
      <c r="V236" s="17">
        <f>IF($U236="",IF(AND(COUNTA($A236:$L236)&gt;0,$N236=""),"Awaiting Collection Email time stamp.",""),IF(OR($U236="PAID",$U236="CLOSED"),IF($U236="PAID","Account paid. Action completed.","Account closed. No further action required."),CHOOSE($Z236,"Collection Email","1st Email Follow-up","2nd Email Follow-up","Escalation to Local Office","Escalation to CBE","Escalation to Roxanne")&amp;" sent "&amp;TEXT($AA236,"dd-mmm")&amp;". "&amp;IF($Z236=6,"Final escalation completed.",IF($U236="OVERDUE","Next: "&amp;$AC236&amp;" was due "&amp;TEXT($AB236,"dd-mmm")&amp;" - "&amp;(NETWORKDAYS($AB236,TODAY(),Holidays)-1)&amp;" business day(s) late. Send now.",IF($U236="DUE TOMORROW","Next: "&amp;$AC236&amp;IF($AB236&lt;=TODAY()," is due TODAY ("," is due next business day (")&amp;TEXT($AB236,"dd-mmm")&amp;").","Next: "&amp;$AC236&amp;" due "&amp;TEXT($AB236,"dd-mmm")&amp;" ("&amp;(NETWORKDAYS(TODAY(),$AB236,Holidays)-1)&amp;" business day(s) left).")))))</f>
        <v/>
      </c>
      <c r="W236" s="17">
        <f>IF($Z236="","",CHOOSE($Z236,"Collection Email","1st Follow-up","2nd Follow-up","Local Office","CBE","Roxanne")&amp;IF($Z236=6," - Final"," - Day "&amp;MAX(0,NETWORKDAYS($AA236,TODAY(),Holidays)-1)&amp;" of "&amp;CHOOSE($Z236,3,3,2,2,3))&amp;" | Total Day "&amp;MAX(0,NETWORKDAYS($N236,TODAY(),Holidays)-1))</f>
        <v/>
      </c>
      <c r="X236" s="18"/>
      <c r="Y236" s="18"/>
      <c r="Z236" s="17">
        <f>IF($N236="","",COUNT($N236:$S236))</f>
        <v/>
      </c>
      <c r="AA236" s="19">
        <f>IF($Z236="","",INT(INDEX($N236:$S236,$Z236)))</f>
        <v/>
      </c>
      <c r="AB236" s="19">
        <f>IF(OR($Z236="",$Z236=6),"",WORKDAY($AA236,CHOOSE($Z236,3,3,2,2,3),Holidays))</f>
        <v/>
      </c>
      <c r="AC236" s="17">
        <f>IF(OR($Z236="",$Z236=6),"",CHOOSE($Z236,"1st Email Follow-up","2nd Email Follow-up","Escalate Local Office","Escalate to CBE","Escalate to Roxanne"))</f>
        <v/>
      </c>
    </row>
    <row r="237" spans="13:29">
      <c r="M237" s="14"/>
      <c r="T237" s="16"/>
      <c r="U237" s="17">
        <f>IF(AND(COUNTA($A237:$L237)=0,$N237=""),"",IF($T237="Paid","PAID",IF($T237="Closed","CLOSED",IF($Z237="","",IF($Z237=6,"ESCALATED TO ROXANNE",IF(TODAY()&gt;$AB237,"OVERDUE",IF($AB237&lt;=WORKDAY(TODAY(),1,Holidays),"DUE TOMORROW",IF($Z237=4,"ESCALATED TO LOCAL OFFICE",IF($Z237=5,"ESCALATED TO CBE",IF($AA237=TODAY(),"EMAIL SENT","MONITORING"))))))))))</f>
        <v/>
      </c>
      <c r="V237" s="17">
        <f>IF($U237="",IF(AND(COUNTA($A237:$L237)&gt;0,$N237=""),"Awaiting Collection Email time stamp.",""),IF(OR($U237="PAID",$U237="CLOSED"),IF($U237="PAID","Account paid. Action completed.","Account closed. No further action required."),CHOOSE($Z237,"Collection Email","1st Email Follow-up","2nd Email Follow-up","Escalation to Local Office","Escalation to CBE","Escalation to Roxanne")&amp;" sent "&amp;TEXT($AA237,"dd-mmm")&amp;". "&amp;IF($Z237=6,"Final escalation completed.",IF($U237="OVERDUE","Next: "&amp;$AC237&amp;" was due "&amp;TEXT($AB237,"dd-mmm")&amp;" - "&amp;(NETWORKDAYS($AB237,TODAY(),Holidays)-1)&amp;" business day(s) late. Send now.",IF($U237="DUE TOMORROW","Next: "&amp;$AC237&amp;IF($AB237&lt;=TODAY()," is due TODAY ("," is due next business day (")&amp;TEXT($AB237,"dd-mmm")&amp;").","Next: "&amp;$AC237&amp;" due "&amp;TEXT($AB237,"dd-mmm")&amp;" ("&amp;(NETWORKDAYS(TODAY(),$AB237,Holidays)-1)&amp;" business day(s) left).")))))</f>
        <v/>
      </c>
      <c r="W237" s="17">
        <f>IF($Z237="","",CHOOSE($Z237,"Collection Email","1st Follow-up","2nd Follow-up","Local Office","CBE","Roxanne")&amp;IF($Z237=6," - Final"," - Day "&amp;MAX(0,NETWORKDAYS($AA237,TODAY(),Holidays)-1)&amp;" of "&amp;CHOOSE($Z237,3,3,2,2,3))&amp;" | Total Day "&amp;MAX(0,NETWORKDAYS($N237,TODAY(),Holidays)-1))</f>
        <v/>
      </c>
      <c r="X237" s="18"/>
      <c r="Y237" s="18"/>
      <c r="Z237" s="17">
        <f>IF($N237="","",COUNT($N237:$S237))</f>
        <v/>
      </c>
      <c r="AA237" s="19">
        <f>IF($Z237="","",INT(INDEX($N237:$S237,$Z237)))</f>
        <v/>
      </c>
      <c r="AB237" s="19">
        <f>IF(OR($Z237="",$Z237=6),"",WORKDAY($AA237,CHOOSE($Z237,3,3,2,2,3),Holidays))</f>
        <v/>
      </c>
      <c r="AC237" s="17">
        <f>IF(OR($Z237="",$Z237=6),"",CHOOSE($Z237,"1st Email Follow-up","2nd Email Follow-up","Escalate Local Office","Escalate to CBE","Escalate to Roxanne"))</f>
        <v/>
      </c>
    </row>
    <row r="238" spans="13:29">
      <c r="M238" s="14"/>
      <c r="T238" s="16"/>
      <c r="U238" s="17">
        <f>IF(AND(COUNTA($A238:$L238)=0,$N238=""),"",IF($T238="Paid","PAID",IF($T238="Closed","CLOSED",IF($Z238="","",IF($Z238=6,"ESCALATED TO ROXANNE",IF(TODAY()&gt;$AB238,"OVERDUE",IF($AB238&lt;=WORKDAY(TODAY(),1,Holidays),"DUE TOMORROW",IF($Z238=4,"ESCALATED TO LOCAL OFFICE",IF($Z238=5,"ESCALATED TO CBE",IF($AA238=TODAY(),"EMAIL SENT","MONITORING"))))))))))</f>
        <v/>
      </c>
      <c r="V238" s="17">
        <f>IF($U238="",IF(AND(COUNTA($A238:$L238)&gt;0,$N238=""),"Awaiting Collection Email time stamp.",""),IF(OR($U238="PAID",$U238="CLOSED"),IF($U238="PAID","Account paid. Action completed.","Account closed. No further action required."),CHOOSE($Z238,"Collection Email","1st Email Follow-up","2nd Email Follow-up","Escalation to Local Office","Escalation to CBE","Escalation to Roxanne")&amp;" sent "&amp;TEXT($AA238,"dd-mmm")&amp;". "&amp;IF($Z238=6,"Final escalation completed.",IF($U238="OVERDUE","Next: "&amp;$AC238&amp;" was due "&amp;TEXT($AB238,"dd-mmm")&amp;" - "&amp;(NETWORKDAYS($AB238,TODAY(),Holidays)-1)&amp;" business day(s) late. Send now.",IF($U238="DUE TOMORROW","Next: "&amp;$AC238&amp;IF($AB238&lt;=TODAY()," is due TODAY ("," is due next business day (")&amp;TEXT($AB238,"dd-mmm")&amp;").","Next: "&amp;$AC238&amp;" due "&amp;TEXT($AB238,"dd-mmm")&amp;" ("&amp;(NETWORKDAYS(TODAY(),$AB238,Holidays)-1)&amp;" business day(s) left).")))))</f>
        <v/>
      </c>
      <c r="W238" s="17">
        <f>IF($Z238="","",CHOOSE($Z238,"Collection Email","1st Follow-up","2nd Follow-up","Local Office","CBE","Roxanne")&amp;IF($Z238=6," - Final"," - Day "&amp;MAX(0,NETWORKDAYS($AA238,TODAY(),Holidays)-1)&amp;" of "&amp;CHOOSE($Z238,3,3,2,2,3))&amp;" | Total Day "&amp;MAX(0,NETWORKDAYS($N238,TODAY(),Holidays)-1))</f>
        <v/>
      </c>
      <c r="X238" s="18"/>
      <c r="Y238" s="18"/>
      <c r="Z238" s="17">
        <f>IF($N238="","",COUNT($N238:$S238))</f>
        <v/>
      </c>
      <c r="AA238" s="19">
        <f>IF($Z238="","",INT(INDEX($N238:$S238,$Z238)))</f>
        <v/>
      </c>
      <c r="AB238" s="19">
        <f>IF(OR($Z238="",$Z238=6),"",WORKDAY($AA238,CHOOSE($Z238,3,3,2,2,3),Holidays))</f>
        <v/>
      </c>
      <c r="AC238" s="17">
        <f>IF(OR($Z238="",$Z238=6),"",CHOOSE($Z238,"1st Email Follow-up","2nd Email Follow-up","Escalate Local Office","Escalate to CBE","Escalate to Roxanne"))</f>
        <v/>
      </c>
    </row>
    <row r="239" spans="13:29">
      <c r="M239" s="14"/>
      <c r="T239" s="16"/>
      <c r="U239" s="17">
        <f>IF(AND(COUNTA($A239:$L239)=0,$N239=""),"",IF($T239="Paid","PAID",IF($T239="Closed","CLOSED",IF($Z239="","",IF($Z239=6,"ESCALATED TO ROXANNE",IF(TODAY()&gt;$AB239,"OVERDUE",IF($AB239&lt;=WORKDAY(TODAY(),1,Holidays),"DUE TOMORROW",IF($Z239=4,"ESCALATED TO LOCAL OFFICE",IF($Z239=5,"ESCALATED TO CBE",IF($AA239=TODAY(),"EMAIL SENT","MONITORING"))))))))))</f>
        <v/>
      </c>
      <c r="V239" s="17">
        <f>IF($U239="",IF(AND(COUNTA($A239:$L239)&gt;0,$N239=""),"Awaiting Collection Email time stamp.",""),IF(OR($U239="PAID",$U239="CLOSED"),IF($U239="PAID","Account paid. Action completed.","Account closed. No further action required."),CHOOSE($Z239,"Collection Email","1st Email Follow-up","2nd Email Follow-up","Escalation to Local Office","Escalation to CBE","Escalation to Roxanne")&amp;" sent "&amp;TEXT($AA239,"dd-mmm")&amp;". "&amp;IF($Z239=6,"Final escalation completed.",IF($U239="OVERDUE","Next: "&amp;$AC239&amp;" was due "&amp;TEXT($AB239,"dd-mmm")&amp;" - "&amp;(NETWORKDAYS($AB239,TODAY(),Holidays)-1)&amp;" business day(s) late. Send now.",IF($U239="DUE TOMORROW","Next: "&amp;$AC239&amp;IF($AB239&lt;=TODAY()," is due TODAY ("," is due next business day (")&amp;TEXT($AB239,"dd-mmm")&amp;").","Next: "&amp;$AC239&amp;" due "&amp;TEXT($AB239,"dd-mmm")&amp;" ("&amp;(NETWORKDAYS(TODAY(),$AB239,Holidays)-1)&amp;" business day(s) left).")))))</f>
        <v/>
      </c>
      <c r="W239" s="17">
        <f>IF($Z239="","",CHOOSE($Z239,"Collection Email","1st Follow-up","2nd Follow-up","Local Office","CBE","Roxanne")&amp;IF($Z239=6," - Final"," - Day "&amp;MAX(0,NETWORKDAYS($AA239,TODAY(),Holidays)-1)&amp;" of "&amp;CHOOSE($Z239,3,3,2,2,3))&amp;" | Total Day "&amp;MAX(0,NETWORKDAYS($N239,TODAY(),Holidays)-1))</f>
        <v/>
      </c>
      <c r="X239" s="18"/>
      <c r="Y239" s="18"/>
      <c r="Z239" s="17">
        <f>IF($N239="","",COUNT($N239:$S239))</f>
        <v/>
      </c>
      <c r="AA239" s="19">
        <f>IF($Z239="","",INT(INDEX($N239:$S239,$Z239)))</f>
        <v/>
      </c>
      <c r="AB239" s="19">
        <f>IF(OR($Z239="",$Z239=6),"",WORKDAY($AA239,CHOOSE($Z239,3,3,2,2,3),Holidays))</f>
        <v/>
      </c>
      <c r="AC239" s="17">
        <f>IF(OR($Z239="",$Z239=6),"",CHOOSE($Z239,"1st Email Follow-up","2nd Email Follow-up","Escalate Local Office","Escalate to CBE","Escalate to Roxanne"))</f>
        <v/>
      </c>
    </row>
    <row r="240" spans="13:29">
      <c r="M240" s="14"/>
      <c r="T240" s="16"/>
      <c r="U240" s="17">
        <f>IF(AND(COUNTA($A240:$L240)=0,$N240=""),"",IF($T240="Paid","PAID",IF($T240="Closed","CLOSED",IF($Z240="","",IF($Z240=6,"ESCALATED TO ROXANNE",IF(TODAY()&gt;$AB240,"OVERDUE",IF($AB240&lt;=WORKDAY(TODAY(),1,Holidays),"DUE TOMORROW",IF($Z240=4,"ESCALATED TO LOCAL OFFICE",IF($Z240=5,"ESCALATED TO CBE",IF($AA240=TODAY(),"EMAIL SENT","MONITORING"))))))))))</f>
        <v/>
      </c>
      <c r="V240" s="17">
        <f>IF($U240="",IF(AND(COUNTA($A240:$L240)&gt;0,$N240=""),"Awaiting Collection Email time stamp.",""),IF(OR($U240="PAID",$U240="CLOSED"),IF($U240="PAID","Account paid. Action completed.","Account closed. No further action required."),CHOOSE($Z240,"Collection Email","1st Email Follow-up","2nd Email Follow-up","Escalation to Local Office","Escalation to CBE","Escalation to Roxanne")&amp;" sent "&amp;TEXT($AA240,"dd-mmm")&amp;". "&amp;IF($Z240=6,"Final escalation completed.",IF($U240="OVERDUE","Next: "&amp;$AC240&amp;" was due "&amp;TEXT($AB240,"dd-mmm")&amp;" - "&amp;(NETWORKDAYS($AB240,TODAY(),Holidays)-1)&amp;" business day(s) late. Send now.",IF($U240="DUE TOMORROW","Next: "&amp;$AC240&amp;IF($AB240&lt;=TODAY()," is due TODAY ("," is due next business day (")&amp;TEXT($AB240,"dd-mmm")&amp;").","Next: "&amp;$AC240&amp;" due "&amp;TEXT($AB240,"dd-mmm")&amp;" ("&amp;(NETWORKDAYS(TODAY(),$AB240,Holidays)-1)&amp;" business day(s) left).")))))</f>
        <v/>
      </c>
      <c r="W240" s="17">
        <f>IF($Z240="","",CHOOSE($Z240,"Collection Email","1st Follow-up","2nd Follow-up","Local Office","CBE","Roxanne")&amp;IF($Z240=6," - Final"," - Day "&amp;MAX(0,NETWORKDAYS($AA240,TODAY(),Holidays)-1)&amp;" of "&amp;CHOOSE($Z240,3,3,2,2,3))&amp;" | Total Day "&amp;MAX(0,NETWORKDAYS($N240,TODAY(),Holidays)-1))</f>
        <v/>
      </c>
      <c r="X240" s="18"/>
      <c r="Y240" s="18"/>
      <c r="Z240" s="17">
        <f>IF($N240="","",COUNT($N240:$S240))</f>
        <v/>
      </c>
      <c r="AA240" s="19">
        <f>IF($Z240="","",INT(INDEX($N240:$S240,$Z240)))</f>
        <v/>
      </c>
      <c r="AB240" s="19">
        <f>IF(OR($Z240="",$Z240=6),"",WORKDAY($AA240,CHOOSE($Z240,3,3,2,2,3),Holidays))</f>
        <v/>
      </c>
      <c r="AC240" s="17">
        <f>IF(OR($Z240="",$Z240=6),"",CHOOSE($Z240,"1st Email Follow-up","2nd Email Follow-up","Escalate Local Office","Escalate to CBE","Escalate to Roxanne"))</f>
        <v/>
      </c>
    </row>
    <row r="241" spans="13:29">
      <c r="M241" s="14"/>
      <c r="T241" s="16"/>
      <c r="U241" s="17">
        <f>IF(AND(COUNTA($A241:$L241)=0,$N241=""),"",IF($T241="Paid","PAID",IF($T241="Closed","CLOSED",IF($Z241="","",IF($Z241=6,"ESCALATED TO ROXANNE",IF(TODAY()&gt;$AB241,"OVERDUE",IF($AB241&lt;=WORKDAY(TODAY(),1,Holidays),"DUE TOMORROW",IF($Z241=4,"ESCALATED TO LOCAL OFFICE",IF($Z241=5,"ESCALATED TO CBE",IF($AA241=TODAY(),"EMAIL SENT","MONITORING"))))))))))</f>
        <v/>
      </c>
      <c r="V241" s="17">
        <f>IF($U241="",IF(AND(COUNTA($A241:$L241)&gt;0,$N241=""),"Awaiting Collection Email time stamp.",""),IF(OR($U241="PAID",$U241="CLOSED"),IF($U241="PAID","Account paid. Action completed.","Account closed. No further action required."),CHOOSE($Z241,"Collection Email","1st Email Follow-up","2nd Email Follow-up","Escalation to Local Office","Escalation to CBE","Escalation to Roxanne")&amp;" sent "&amp;TEXT($AA241,"dd-mmm")&amp;". "&amp;IF($Z241=6,"Final escalation completed.",IF($U241="OVERDUE","Next: "&amp;$AC241&amp;" was due "&amp;TEXT($AB241,"dd-mmm")&amp;" - "&amp;(NETWORKDAYS($AB241,TODAY(),Holidays)-1)&amp;" business day(s) late. Send now.",IF($U241="DUE TOMORROW","Next: "&amp;$AC241&amp;IF($AB241&lt;=TODAY()," is due TODAY ("," is due next business day (")&amp;TEXT($AB241,"dd-mmm")&amp;").","Next: "&amp;$AC241&amp;" due "&amp;TEXT($AB241,"dd-mmm")&amp;" ("&amp;(NETWORKDAYS(TODAY(),$AB241,Holidays)-1)&amp;" business day(s) left).")))))</f>
        <v/>
      </c>
      <c r="W241" s="17">
        <f>IF($Z241="","",CHOOSE($Z241,"Collection Email","1st Follow-up","2nd Follow-up","Local Office","CBE","Roxanne")&amp;IF($Z241=6," - Final"," - Day "&amp;MAX(0,NETWORKDAYS($AA241,TODAY(),Holidays)-1)&amp;" of "&amp;CHOOSE($Z241,3,3,2,2,3))&amp;" | Total Day "&amp;MAX(0,NETWORKDAYS($N241,TODAY(),Holidays)-1))</f>
        <v/>
      </c>
      <c r="X241" s="18"/>
      <c r="Y241" s="18"/>
      <c r="Z241" s="17">
        <f>IF($N241="","",COUNT($N241:$S241))</f>
        <v/>
      </c>
      <c r="AA241" s="19">
        <f>IF($Z241="","",INT(INDEX($N241:$S241,$Z241)))</f>
        <v/>
      </c>
      <c r="AB241" s="19">
        <f>IF(OR($Z241="",$Z241=6),"",WORKDAY($AA241,CHOOSE($Z241,3,3,2,2,3),Holidays))</f>
        <v/>
      </c>
      <c r="AC241" s="17">
        <f>IF(OR($Z241="",$Z241=6),"",CHOOSE($Z241,"1st Email Follow-up","2nd Email Follow-up","Escalate Local Office","Escalate to CBE","Escalate to Roxanne"))</f>
        <v/>
      </c>
    </row>
    <row r="242" spans="13:29">
      <c r="M242" s="14"/>
      <c r="T242" s="16"/>
      <c r="U242" s="17">
        <f>IF(AND(COUNTA($A242:$L242)=0,$N242=""),"",IF($T242="Paid","PAID",IF($T242="Closed","CLOSED",IF($Z242="","",IF($Z242=6,"ESCALATED TO ROXANNE",IF(TODAY()&gt;$AB242,"OVERDUE",IF($AB242&lt;=WORKDAY(TODAY(),1,Holidays),"DUE TOMORROW",IF($Z242=4,"ESCALATED TO LOCAL OFFICE",IF($Z242=5,"ESCALATED TO CBE",IF($AA242=TODAY(),"EMAIL SENT","MONITORING"))))))))))</f>
        <v/>
      </c>
      <c r="V242" s="17">
        <f>IF($U242="",IF(AND(COUNTA($A242:$L242)&gt;0,$N242=""),"Awaiting Collection Email time stamp.",""),IF(OR($U242="PAID",$U242="CLOSED"),IF($U242="PAID","Account paid. Action completed.","Account closed. No further action required."),CHOOSE($Z242,"Collection Email","1st Email Follow-up","2nd Email Follow-up","Escalation to Local Office","Escalation to CBE","Escalation to Roxanne")&amp;" sent "&amp;TEXT($AA242,"dd-mmm")&amp;". "&amp;IF($Z242=6,"Final escalation completed.",IF($U242="OVERDUE","Next: "&amp;$AC242&amp;" was due "&amp;TEXT($AB242,"dd-mmm")&amp;" - "&amp;(NETWORKDAYS($AB242,TODAY(),Holidays)-1)&amp;" business day(s) late. Send now.",IF($U242="DUE TOMORROW","Next: "&amp;$AC242&amp;IF($AB242&lt;=TODAY()," is due TODAY ("," is due next business day (")&amp;TEXT($AB242,"dd-mmm")&amp;").","Next: "&amp;$AC242&amp;" due "&amp;TEXT($AB242,"dd-mmm")&amp;" ("&amp;(NETWORKDAYS(TODAY(),$AB242,Holidays)-1)&amp;" business day(s) left).")))))</f>
        <v/>
      </c>
      <c r="W242" s="17">
        <f>IF($Z242="","",CHOOSE($Z242,"Collection Email","1st Follow-up","2nd Follow-up","Local Office","CBE","Roxanne")&amp;IF($Z242=6," - Final"," - Day "&amp;MAX(0,NETWORKDAYS($AA242,TODAY(),Holidays)-1)&amp;" of "&amp;CHOOSE($Z242,3,3,2,2,3))&amp;" | Total Day "&amp;MAX(0,NETWORKDAYS($N242,TODAY(),Holidays)-1))</f>
        <v/>
      </c>
      <c r="X242" s="18"/>
      <c r="Y242" s="18"/>
      <c r="Z242" s="17">
        <f>IF($N242="","",COUNT($N242:$S242))</f>
        <v/>
      </c>
      <c r="AA242" s="19">
        <f>IF($Z242="","",INT(INDEX($N242:$S242,$Z242)))</f>
        <v/>
      </c>
      <c r="AB242" s="19">
        <f>IF(OR($Z242="",$Z242=6),"",WORKDAY($AA242,CHOOSE($Z242,3,3,2,2,3),Holidays))</f>
        <v/>
      </c>
      <c r="AC242" s="17">
        <f>IF(OR($Z242="",$Z242=6),"",CHOOSE($Z242,"1st Email Follow-up","2nd Email Follow-up","Escalate Local Office","Escalate to CBE","Escalate to Roxanne"))</f>
        <v/>
      </c>
    </row>
    <row r="243" spans="13:29">
      <c r="M243" s="14"/>
      <c r="T243" s="16"/>
      <c r="U243" s="17">
        <f>IF(AND(COUNTA($A243:$L243)=0,$N243=""),"",IF($T243="Paid","PAID",IF($T243="Closed","CLOSED",IF($Z243="","",IF($Z243=6,"ESCALATED TO ROXANNE",IF(TODAY()&gt;$AB243,"OVERDUE",IF($AB243&lt;=WORKDAY(TODAY(),1,Holidays),"DUE TOMORROW",IF($Z243=4,"ESCALATED TO LOCAL OFFICE",IF($Z243=5,"ESCALATED TO CBE",IF($AA243=TODAY(),"EMAIL SENT","MONITORING"))))))))))</f>
        <v/>
      </c>
      <c r="V243" s="17">
        <f>IF($U243="",IF(AND(COUNTA($A243:$L243)&gt;0,$N243=""),"Awaiting Collection Email time stamp.",""),IF(OR($U243="PAID",$U243="CLOSED"),IF($U243="PAID","Account paid. Action completed.","Account closed. No further action required."),CHOOSE($Z243,"Collection Email","1st Email Follow-up","2nd Email Follow-up","Escalation to Local Office","Escalation to CBE","Escalation to Roxanne")&amp;" sent "&amp;TEXT($AA243,"dd-mmm")&amp;". "&amp;IF($Z243=6,"Final escalation completed.",IF($U243="OVERDUE","Next: "&amp;$AC243&amp;" was due "&amp;TEXT($AB243,"dd-mmm")&amp;" - "&amp;(NETWORKDAYS($AB243,TODAY(),Holidays)-1)&amp;" business day(s) late. Send now.",IF($U243="DUE TOMORROW","Next: "&amp;$AC243&amp;IF($AB243&lt;=TODAY()," is due TODAY ("," is due next business day (")&amp;TEXT($AB243,"dd-mmm")&amp;").","Next: "&amp;$AC243&amp;" due "&amp;TEXT($AB243,"dd-mmm")&amp;" ("&amp;(NETWORKDAYS(TODAY(),$AB243,Holidays)-1)&amp;" business day(s) left).")))))</f>
        <v/>
      </c>
      <c r="W243" s="17">
        <f>IF($Z243="","",CHOOSE($Z243,"Collection Email","1st Follow-up","2nd Follow-up","Local Office","CBE","Roxanne")&amp;IF($Z243=6," - Final"," - Day "&amp;MAX(0,NETWORKDAYS($AA243,TODAY(),Holidays)-1)&amp;" of "&amp;CHOOSE($Z243,3,3,2,2,3))&amp;" | Total Day "&amp;MAX(0,NETWORKDAYS($N243,TODAY(),Holidays)-1))</f>
        <v/>
      </c>
      <c r="X243" s="18"/>
      <c r="Y243" s="18"/>
      <c r="Z243" s="17">
        <f>IF($N243="","",COUNT($N243:$S243))</f>
        <v/>
      </c>
      <c r="AA243" s="19">
        <f>IF($Z243="","",INT(INDEX($N243:$S243,$Z243)))</f>
        <v/>
      </c>
      <c r="AB243" s="19">
        <f>IF(OR($Z243="",$Z243=6),"",WORKDAY($AA243,CHOOSE($Z243,3,3,2,2,3),Holidays))</f>
        <v/>
      </c>
      <c r="AC243" s="17">
        <f>IF(OR($Z243="",$Z243=6),"",CHOOSE($Z243,"1st Email Follow-up","2nd Email Follow-up","Escalate Local Office","Escalate to CBE","Escalate to Roxanne"))</f>
        <v/>
      </c>
    </row>
    <row r="244" spans="13:29">
      <c r="M244" s="14"/>
      <c r="T244" s="16"/>
      <c r="U244" s="17">
        <f>IF(AND(COUNTA($A244:$L244)=0,$N244=""),"",IF($T244="Paid","PAID",IF($T244="Closed","CLOSED",IF($Z244="","",IF($Z244=6,"ESCALATED TO ROXANNE",IF(TODAY()&gt;$AB244,"OVERDUE",IF($AB244&lt;=WORKDAY(TODAY(),1,Holidays),"DUE TOMORROW",IF($Z244=4,"ESCALATED TO LOCAL OFFICE",IF($Z244=5,"ESCALATED TO CBE",IF($AA244=TODAY(),"EMAIL SENT","MONITORING"))))))))))</f>
        <v/>
      </c>
      <c r="V244" s="17">
        <f>IF($U244="",IF(AND(COUNTA($A244:$L244)&gt;0,$N244=""),"Awaiting Collection Email time stamp.",""),IF(OR($U244="PAID",$U244="CLOSED"),IF($U244="PAID","Account paid. Action completed.","Account closed. No further action required."),CHOOSE($Z244,"Collection Email","1st Email Follow-up","2nd Email Follow-up","Escalation to Local Office","Escalation to CBE","Escalation to Roxanne")&amp;" sent "&amp;TEXT($AA244,"dd-mmm")&amp;". "&amp;IF($Z244=6,"Final escalation completed.",IF($U244="OVERDUE","Next: "&amp;$AC244&amp;" was due "&amp;TEXT($AB244,"dd-mmm")&amp;" - "&amp;(NETWORKDAYS($AB244,TODAY(),Holidays)-1)&amp;" business day(s) late. Send now.",IF($U244="DUE TOMORROW","Next: "&amp;$AC244&amp;IF($AB244&lt;=TODAY()," is due TODAY ("," is due next business day (")&amp;TEXT($AB244,"dd-mmm")&amp;").","Next: "&amp;$AC244&amp;" due "&amp;TEXT($AB244,"dd-mmm")&amp;" ("&amp;(NETWORKDAYS(TODAY(),$AB244,Holidays)-1)&amp;" business day(s) left).")))))</f>
        <v/>
      </c>
      <c r="W244" s="17">
        <f>IF($Z244="","",CHOOSE($Z244,"Collection Email","1st Follow-up","2nd Follow-up","Local Office","CBE","Roxanne")&amp;IF($Z244=6," - Final"," - Day "&amp;MAX(0,NETWORKDAYS($AA244,TODAY(),Holidays)-1)&amp;" of "&amp;CHOOSE($Z244,3,3,2,2,3))&amp;" | Total Day "&amp;MAX(0,NETWORKDAYS($N244,TODAY(),Holidays)-1))</f>
        <v/>
      </c>
      <c r="X244" s="18"/>
      <c r="Y244" s="18"/>
      <c r="Z244" s="17">
        <f>IF($N244="","",COUNT($N244:$S244))</f>
        <v/>
      </c>
      <c r="AA244" s="19">
        <f>IF($Z244="","",INT(INDEX($N244:$S244,$Z244)))</f>
        <v/>
      </c>
      <c r="AB244" s="19">
        <f>IF(OR($Z244="",$Z244=6),"",WORKDAY($AA244,CHOOSE($Z244,3,3,2,2,3),Holidays))</f>
        <v/>
      </c>
      <c r="AC244" s="17">
        <f>IF(OR($Z244="",$Z244=6),"",CHOOSE($Z244,"1st Email Follow-up","2nd Email Follow-up","Escalate Local Office","Escalate to CBE","Escalate to Roxanne"))</f>
        <v/>
      </c>
    </row>
    <row r="245" spans="13:29">
      <c r="M245" s="14"/>
      <c r="T245" s="16"/>
      <c r="U245" s="17">
        <f>IF(AND(COUNTA($A245:$L245)=0,$N245=""),"",IF($T245="Paid","PAID",IF($T245="Closed","CLOSED",IF($Z245="","",IF($Z245=6,"ESCALATED TO ROXANNE",IF(TODAY()&gt;$AB245,"OVERDUE",IF($AB245&lt;=WORKDAY(TODAY(),1,Holidays),"DUE TOMORROW",IF($Z245=4,"ESCALATED TO LOCAL OFFICE",IF($Z245=5,"ESCALATED TO CBE",IF($AA245=TODAY(),"EMAIL SENT","MONITORING"))))))))))</f>
        <v/>
      </c>
      <c r="V245" s="17">
        <f>IF($U245="",IF(AND(COUNTA($A245:$L245)&gt;0,$N245=""),"Awaiting Collection Email time stamp.",""),IF(OR($U245="PAID",$U245="CLOSED"),IF($U245="PAID","Account paid. Action completed.","Account closed. No further action required."),CHOOSE($Z245,"Collection Email","1st Email Follow-up","2nd Email Follow-up","Escalation to Local Office","Escalation to CBE","Escalation to Roxanne")&amp;" sent "&amp;TEXT($AA245,"dd-mmm")&amp;". "&amp;IF($Z245=6,"Final escalation completed.",IF($U245="OVERDUE","Next: "&amp;$AC245&amp;" was due "&amp;TEXT($AB245,"dd-mmm")&amp;" - "&amp;(NETWORKDAYS($AB245,TODAY(),Holidays)-1)&amp;" business day(s) late. Send now.",IF($U245="DUE TOMORROW","Next: "&amp;$AC245&amp;IF($AB245&lt;=TODAY()," is due TODAY ("," is due next business day (")&amp;TEXT($AB245,"dd-mmm")&amp;").","Next: "&amp;$AC245&amp;" due "&amp;TEXT($AB245,"dd-mmm")&amp;" ("&amp;(NETWORKDAYS(TODAY(),$AB245,Holidays)-1)&amp;" business day(s) left).")))))</f>
        <v/>
      </c>
      <c r="W245" s="17">
        <f>IF($Z245="","",CHOOSE($Z245,"Collection Email","1st Follow-up","2nd Follow-up","Local Office","CBE","Roxanne")&amp;IF($Z245=6," - Final"," - Day "&amp;MAX(0,NETWORKDAYS($AA245,TODAY(),Holidays)-1)&amp;" of "&amp;CHOOSE($Z245,3,3,2,2,3))&amp;" | Total Day "&amp;MAX(0,NETWORKDAYS($N245,TODAY(),Holidays)-1))</f>
        <v/>
      </c>
      <c r="X245" s="18"/>
      <c r="Y245" s="18"/>
      <c r="Z245" s="17">
        <f>IF($N245="","",COUNT($N245:$S245))</f>
        <v/>
      </c>
      <c r="AA245" s="19">
        <f>IF($Z245="","",INT(INDEX($N245:$S245,$Z245)))</f>
        <v/>
      </c>
      <c r="AB245" s="19">
        <f>IF(OR($Z245="",$Z245=6),"",WORKDAY($AA245,CHOOSE($Z245,3,3,2,2,3),Holidays))</f>
        <v/>
      </c>
      <c r="AC245" s="17">
        <f>IF(OR($Z245="",$Z245=6),"",CHOOSE($Z245,"1st Email Follow-up","2nd Email Follow-up","Escalate Local Office","Escalate to CBE","Escalate to Roxanne"))</f>
        <v/>
      </c>
    </row>
    <row r="246" spans="13:29">
      <c r="M246" s="14"/>
      <c r="T246" s="16"/>
      <c r="U246" s="17">
        <f>IF(AND(COUNTA($A246:$L246)=0,$N246=""),"",IF($T246="Paid","PAID",IF($T246="Closed","CLOSED",IF($Z246="","",IF($Z246=6,"ESCALATED TO ROXANNE",IF(TODAY()&gt;$AB246,"OVERDUE",IF($AB246&lt;=WORKDAY(TODAY(),1,Holidays),"DUE TOMORROW",IF($Z246=4,"ESCALATED TO LOCAL OFFICE",IF($Z246=5,"ESCALATED TO CBE",IF($AA246=TODAY(),"EMAIL SENT","MONITORING"))))))))))</f>
        <v/>
      </c>
      <c r="V246" s="17">
        <f>IF($U246="",IF(AND(COUNTA($A246:$L246)&gt;0,$N246=""),"Awaiting Collection Email time stamp.",""),IF(OR($U246="PAID",$U246="CLOSED"),IF($U246="PAID","Account paid. Action completed.","Account closed. No further action required."),CHOOSE($Z246,"Collection Email","1st Email Follow-up","2nd Email Follow-up","Escalation to Local Office","Escalation to CBE","Escalation to Roxanne")&amp;" sent "&amp;TEXT($AA246,"dd-mmm")&amp;". "&amp;IF($Z246=6,"Final escalation completed.",IF($U246="OVERDUE","Next: "&amp;$AC246&amp;" was due "&amp;TEXT($AB246,"dd-mmm")&amp;" - "&amp;(NETWORKDAYS($AB246,TODAY(),Holidays)-1)&amp;" business day(s) late. Send now.",IF($U246="DUE TOMORROW","Next: "&amp;$AC246&amp;IF($AB246&lt;=TODAY()," is due TODAY ("," is due next business day (")&amp;TEXT($AB246,"dd-mmm")&amp;").","Next: "&amp;$AC246&amp;" due "&amp;TEXT($AB246,"dd-mmm")&amp;" ("&amp;(NETWORKDAYS(TODAY(),$AB246,Holidays)-1)&amp;" business day(s) left).")))))</f>
        <v/>
      </c>
      <c r="W246" s="17">
        <f>IF($Z246="","",CHOOSE($Z246,"Collection Email","1st Follow-up","2nd Follow-up","Local Office","CBE","Roxanne")&amp;IF($Z246=6," - Final"," - Day "&amp;MAX(0,NETWORKDAYS($AA246,TODAY(),Holidays)-1)&amp;" of "&amp;CHOOSE($Z246,3,3,2,2,3))&amp;" | Total Day "&amp;MAX(0,NETWORKDAYS($N246,TODAY(),Holidays)-1))</f>
        <v/>
      </c>
      <c r="X246" s="18"/>
      <c r="Y246" s="18"/>
      <c r="Z246" s="17">
        <f>IF($N246="","",COUNT($N246:$S246))</f>
        <v/>
      </c>
      <c r="AA246" s="19">
        <f>IF($Z246="","",INT(INDEX($N246:$S246,$Z246)))</f>
        <v/>
      </c>
      <c r="AB246" s="19">
        <f>IF(OR($Z246="",$Z246=6),"",WORKDAY($AA246,CHOOSE($Z246,3,3,2,2,3),Holidays))</f>
        <v/>
      </c>
      <c r="AC246" s="17">
        <f>IF(OR($Z246="",$Z246=6),"",CHOOSE($Z246,"1st Email Follow-up","2nd Email Follow-up","Escalate Local Office","Escalate to CBE","Escalate to Roxanne"))</f>
        <v/>
      </c>
    </row>
    <row r="247" spans="13:29">
      <c r="M247" s="14"/>
      <c r="T247" s="16"/>
      <c r="U247" s="17">
        <f>IF(AND(COUNTA($A247:$L247)=0,$N247=""),"",IF($T247="Paid","PAID",IF($T247="Closed","CLOSED",IF($Z247="","",IF($Z247=6,"ESCALATED TO ROXANNE",IF(TODAY()&gt;$AB247,"OVERDUE",IF($AB247&lt;=WORKDAY(TODAY(),1,Holidays),"DUE TOMORROW",IF($Z247=4,"ESCALATED TO LOCAL OFFICE",IF($Z247=5,"ESCALATED TO CBE",IF($AA247=TODAY(),"EMAIL SENT","MONITORING"))))))))))</f>
        <v/>
      </c>
      <c r="V247" s="17">
        <f>IF($U247="",IF(AND(COUNTA($A247:$L247)&gt;0,$N247=""),"Awaiting Collection Email time stamp.",""),IF(OR($U247="PAID",$U247="CLOSED"),IF($U247="PAID","Account paid. Action completed.","Account closed. No further action required."),CHOOSE($Z247,"Collection Email","1st Email Follow-up","2nd Email Follow-up","Escalation to Local Office","Escalation to CBE","Escalation to Roxanne")&amp;" sent "&amp;TEXT($AA247,"dd-mmm")&amp;". "&amp;IF($Z247=6,"Final escalation completed.",IF($U247="OVERDUE","Next: "&amp;$AC247&amp;" was due "&amp;TEXT($AB247,"dd-mmm")&amp;" - "&amp;(NETWORKDAYS($AB247,TODAY(),Holidays)-1)&amp;" business day(s) late. Send now.",IF($U247="DUE TOMORROW","Next: "&amp;$AC247&amp;IF($AB247&lt;=TODAY()," is due TODAY ("," is due next business day (")&amp;TEXT($AB247,"dd-mmm")&amp;").","Next: "&amp;$AC247&amp;" due "&amp;TEXT($AB247,"dd-mmm")&amp;" ("&amp;(NETWORKDAYS(TODAY(),$AB247,Holidays)-1)&amp;" business day(s) left).")))))</f>
        <v/>
      </c>
      <c r="W247" s="17">
        <f>IF($Z247="","",CHOOSE($Z247,"Collection Email","1st Follow-up","2nd Follow-up","Local Office","CBE","Roxanne")&amp;IF($Z247=6," - Final"," - Day "&amp;MAX(0,NETWORKDAYS($AA247,TODAY(),Holidays)-1)&amp;" of "&amp;CHOOSE($Z247,3,3,2,2,3))&amp;" | Total Day "&amp;MAX(0,NETWORKDAYS($N247,TODAY(),Holidays)-1))</f>
        <v/>
      </c>
      <c r="X247" s="18"/>
      <c r="Y247" s="18"/>
      <c r="Z247" s="17">
        <f>IF($N247="","",COUNT($N247:$S247))</f>
        <v/>
      </c>
      <c r="AA247" s="19">
        <f>IF($Z247="","",INT(INDEX($N247:$S247,$Z247)))</f>
        <v/>
      </c>
      <c r="AB247" s="19">
        <f>IF(OR($Z247="",$Z247=6),"",WORKDAY($AA247,CHOOSE($Z247,3,3,2,2,3),Holidays))</f>
        <v/>
      </c>
      <c r="AC247" s="17">
        <f>IF(OR($Z247="",$Z247=6),"",CHOOSE($Z247,"1st Email Follow-up","2nd Email Follow-up","Escalate Local Office","Escalate to CBE","Escalate to Roxanne"))</f>
        <v/>
      </c>
    </row>
    <row r="248" spans="13:29">
      <c r="M248" s="14"/>
      <c r="T248" s="16"/>
      <c r="U248" s="17">
        <f>IF(AND(COUNTA($A248:$L248)=0,$N248=""),"",IF($T248="Paid","PAID",IF($T248="Closed","CLOSED",IF($Z248="","",IF($Z248=6,"ESCALATED TO ROXANNE",IF(TODAY()&gt;$AB248,"OVERDUE",IF($AB248&lt;=WORKDAY(TODAY(),1,Holidays),"DUE TOMORROW",IF($Z248=4,"ESCALATED TO LOCAL OFFICE",IF($Z248=5,"ESCALATED TO CBE",IF($AA248=TODAY(),"EMAIL SENT","MONITORING"))))))))))</f>
        <v/>
      </c>
      <c r="V248" s="17">
        <f>IF($U248="",IF(AND(COUNTA($A248:$L248)&gt;0,$N248=""),"Awaiting Collection Email time stamp.",""),IF(OR($U248="PAID",$U248="CLOSED"),IF($U248="PAID","Account paid. Action completed.","Account closed. No further action required."),CHOOSE($Z248,"Collection Email","1st Email Follow-up","2nd Email Follow-up","Escalation to Local Office","Escalation to CBE","Escalation to Roxanne")&amp;" sent "&amp;TEXT($AA248,"dd-mmm")&amp;". "&amp;IF($Z248=6,"Final escalation completed.",IF($U248="OVERDUE","Next: "&amp;$AC248&amp;" was due "&amp;TEXT($AB248,"dd-mmm")&amp;" - "&amp;(NETWORKDAYS($AB248,TODAY(),Holidays)-1)&amp;" business day(s) late. Send now.",IF($U248="DUE TOMORROW","Next: "&amp;$AC248&amp;IF($AB248&lt;=TODAY()," is due TODAY ("," is due next business day (")&amp;TEXT($AB248,"dd-mmm")&amp;").","Next: "&amp;$AC248&amp;" due "&amp;TEXT($AB248,"dd-mmm")&amp;" ("&amp;(NETWORKDAYS(TODAY(),$AB248,Holidays)-1)&amp;" business day(s) left).")))))</f>
        <v/>
      </c>
      <c r="W248" s="17">
        <f>IF($Z248="","",CHOOSE($Z248,"Collection Email","1st Follow-up","2nd Follow-up","Local Office","CBE","Roxanne")&amp;IF($Z248=6," - Final"," - Day "&amp;MAX(0,NETWORKDAYS($AA248,TODAY(),Holidays)-1)&amp;" of "&amp;CHOOSE($Z248,3,3,2,2,3))&amp;" | Total Day "&amp;MAX(0,NETWORKDAYS($N248,TODAY(),Holidays)-1))</f>
        <v/>
      </c>
      <c r="X248" s="18"/>
      <c r="Y248" s="18"/>
      <c r="Z248" s="17">
        <f>IF($N248="","",COUNT($N248:$S248))</f>
        <v/>
      </c>
      <c r="AA248" s="19">
        <f>IF($Z248="","",INT(INDEX($N248:$S248,$Z248)))</f>
        <v/>
      </c>
      <c r="AB248" s="19">
        <f>IF(OR($Z248="",$Z248=6),"",WORKDAY($AA248,CHOOSE($Z248,3,3,2,2,3),Holidays))</f>
        <v/>
      </c>
      <c r="AC248" s="17">
        <f>IF(OR($Z248="",$Z248=6),"",CHOOSE($Z248,"1st Email Follow-up","2nd Email Follow-up","Escalate Local Office","Escalate to CBE","Escalate to Roxanne"))</f>
        <v/>
      </c>
    </row>
    <row r="249" spans="13:29">
      <c r="M249" s="14"/>
      <c r="T249" s="16"/>
      <c r="U249" s="17">
        <f>IF(AND(COUNTA($A249:$L249)=0,$N249=""),"",IF($T249="Paid","PAID",IF($T249="Closed","CLOSED",IF($Z249="","",IF($Z249=6,"ESCALATED TO ROXANNE",IF(TODAY()&gt;$AB249,"OVERDUE",IF($AB249&lt;=WORKDAY(TODAY(),1,Holidays),"DUE TOMORROW",IF($Z249=4,"ESCALATED TO LOCAL OFFICE",IF($Z249=5,"ESCALATED TO CBE",IF($AA249=TODAY(),"EMAIL SENT","MONITORING"))))))))))</f>
        <v/>
      </c>
      <c r="V249" s="17">
        <f>IF($U249="",IF(AND(COUNTA($A249:$L249)&gt;0,$N249=""),"Awaiting Collection Email time stamp.",""),IF(OR($U249="PAID",$U249="CLOSED"),IF($U249="PAID","Account paid. Action completed.","Account closed. No further action required."),CHOOSE($Z249,"Collection Email","1st Email Follow-up","2nd Email Follow-up","Escalation to Local Office","Escalation to CBE","Escalation to Roxanne")&amp;" sent "&amp;TEXT($AA249,"dd-mmm")&amp;". "&amp;IF($Z249=6,"Final escalation completed.",IF($U249="OVERDUE","Next: "&amp;$AC249&amp;" was due "&amp;TEXT($AB249,"dd-mmm")&amp;" - "&amp;(NETWORKDAYS($AB249,TODAY(),Holidays)-1)&amp;" business day(s) late. Send now.",IF($U249="DUE TOMORROW","Next: "&amp;$AC249&amp;IF($AB249&lt;=TODAY()," is due TODAY ("," is due next business day (")&amp;TEXT($AB249,"dd-mmm")&amp;").","Next: "&amp;$AC249&amp;" due "&amp;TEXT($AB249,"dd-mmm")&amp;" ("&amp;(NETWORKDAYS(TODAY(),$AB249,Holidays)-1)&amp;" business day(s) left).")))))</f>
        <v/>
      </c>
      <c r="W249" s="17">
        <f>IF($Z249="","",CHOOSE($Z249,"Collection Email","1st Follow-up","2nd Follow-up","Local Office","CBE","Roxanne")&amp;IF($Z249=6," - Final"," - Day "&amp;MAX(0,NETWORKDAYS($AA249,TODAY(),Holidays)-1)&amp;" of "&amp;CHOOSE($Z249,3,3,2,2,3))&amp;" | Total Day "&amp;MAX(0,NETWORKDAYS($N249,TODAY(),Holidays)-1))</f>
        <v/>
      </c>
      <c r="X249" s="18"/>
      <c r="Y249" s="18"/>
      <c r="Z249" s="17">
        <f>IF($N249="","",COUNT($N249:$S249))</f>
        <v/>
      </c>
      <c r="AA249" s="19">
        <f>IF($Z249="","",INT(INDEX($N249:$S249,$Z249)))</f>
        <v/>
      </c>
      <c r="AB249" s="19">
        <f>IF(OR($Z249="",$Z249=6),"",WORKDAY($AA249,CHOOSE($Z249,3,3,2,2,3),Holidays))</f>
        <v/>
      </c>
      <c r="AC249" s="17">
        <f>IF(OR($Z249="",$Z249=6),"",CHOOSE($Z249,"1st Email Follow-up","2nd Email Follow-up","Escalate Local Office","Escalate to CBE","Escalate to Roxanne"))</f>
        <v/>
      </c>
    </row>
    <row r="250" spans="13:29">
      <c r="M250" s="14"/>
      <c r="T250" s="16"/>
      <c r="U250" s="17">
        <f>IF(AND(COUNTA($A250:$L250)=0,$N250=""),"",IF($T250="Paid","PAID",IF($T250="Closed","CLOSED",IF($Z250="","",IF($Z250=6,"ESCALATED TO ROXANNE",IF(TODAY()&gt;$AB250,"OVERDUE",IF($AB250&lt;=WORKDAY(TODAY(),1,Holidays),"DUE TOMORROW",IF($Z250=4,"ESCALATED TO LOCAL OFFICE",IF($Z250=5,"ESCALATED TO CBE",IF($AA250=TODAY(),"EMAIL SENT","MONITORING"))))))))))</f>
        <v/>
      </c>
      <c r="V250" s="17">
        <f>IF($U250="",IF(AND(COUNTA($A250:$L250)&gt;0,$N250=""),"Awaiting Collection Email time stamp.",""),IF(OR($U250="PAID",$U250="CLOSED"),IF($U250="PAID","Account paid. Action completed.","Account closed. No further action required."),CHOOSE($Z250,"Collection Email","1st Email Follow-up","2nd Email Follow-up","Escalation to Local Office","Escalation to CBE","Escalation to Roxanne")&amp;" sent "&amp;TEXT($AA250,"dd-mmm")&amp;". "&amp;IF($Z250=6,"Final escalation completed.",IF($U250="OVERDUE","Next: "&amp;$AC250&amp;" was due "&amp;TEXT($AB250,"dd-mmm")&amp;" - "&amp;(NETWORKDAYS($AB250,TODAY(),Holidays)-1)&amp;" business day(s) late. Send now.",IF($U250="DUE TOMORROW","Next: "&amp;$AC250&amp;IF($AB250&lt;=TODAY()," is due TODAY ("," is due next business day (")&amp;TEXT($AB250,"dd-mmm")&amp;").","Next: "&amp;$AC250&amp;" due "&amp;TEXT($AB250,"dd-mmm")&amp;" ("&amp;(NETWORKDAYS(TODAY(),$AB250,Holidays)-1)&amp;" business day(s) left).")))))</f>
        <v/>
      </c>
      <c r="W250" s="17">
        <f>IF($Z250="","",CHOOSE($Z250,"Collection Email","1st Follow-up","2nd Follow-up","Local Office","CBE","Roxanne")&amp;IF($Z250=6," - Final"," - Day "&amp;MAX(0,NETWORKDAYS($AA250,TODAY(),Holidays)-1)&amp;" of "&amp;CHOOSE($Z250,3,3,2,2,3))&amp;" | Total Day "&amp;MAX(0,NETWORKDAYS($N250,TODAY(),Holidays)-1))</f>
        <v/>
      </c>
      <c r="X250" s="18"/>
      <c r="Y250" s="18"/>
      <c r="Z250" s="17">
        <f>IF($N250="","",COUNT($N250:$S250))</f>
        <v/>
      </c>
      <c r="AA250" s="19">
        <f>IF($Z250="","",INT(INDEX($N250:$S250,$Z250)))</f>
        <v/>
      </c>
      <c r="AB250" s="19">
        <f>IF(OR($Z250="",$Z250=6),"",WORKDAY($AA250,CHOOSE($Z250,3,3,2,2,3),Holidays))</f>
        <v/>
      </c>
      <c r="AC250" s="17">
        <f>IF(OR($Z250="",$Z250=6),"",CHOOSE($Z250,"1st Email Follow-up","2nd Email Follow-up","Escalate Local Office","Escalate to CBE","Escalate to Roxanne"))</f>
        <v/>
      </c>
    </row>
    <row r="251" spans="13:29">
      <c r="M251" s="14"/>
      <c r="T251" s="16"/>
      <c r="U251" s="17">
        <f>IF(AND(COUNTA($A251:$L251)=0,$N251=""),"",IF($T251="Paid","PAID",IF($T251="Closed","CLOSED",IF($Z251="","",IF($Z251=6,"ESCALATED TO ROXANNE",IF(TODAY()&gt;$AB251,"OVERDUE",IF($AB251&lt;=WORKDAY(TODAY(),1,Holidays),"DUE TOMORROW",IF($Z251=4,"ESCALATED TO LOCAL OFFICE",IF($Z251=5,"ESCALATED TO CBE",IF($AA251=TODAY(),"EMAIL SENT","MONITORING"))))))))))</f>
        <v/>
      </c>
      <c r="V251" s="17">
        <f>IF($U251="",IF(AND(COUNTA($A251:$L251)&gt;0,$N251=""),"Awaiting Collection Email time stamp.",""),IF(OR($U251="PAID",$U251="CLOSED"),IF($U251="PAID","Account paid. Action completed.","Account closed. No further action required."),CHOOSE($Z251,"Collection Email","1st Email Follow-up","2nd Email Follow-up","Escalation to Local Office","Escalation to CBE","Escalation to Roxanne")&amp;" sent "&amp;TEXT($AA251,"dd-mmm")&amp;". "&amp;IF($Z251=6,"Final escalation completed.",IF($U251="OVERDUE","Next: "&amp;$AC251&amp;" was due "&amp;TEXT($AB251,"dd-mmm")&amp;" - "&amp;(NETWORKDAYS($AB251,TODAY(),Holidays)-1)&amp;" business day(s) late. Send now.",IF($U251="DUE TOMORROW","Next: "&amp;$AC251&amp;IF($AB251&lt;=TODAY()," is due TODAY ("," is due next business day (")&amp;TEXT($AB251,"dd-mmm")&amp;").","Next: "&amp;$AC251&amp;" due "&amp;TEXT($AB251,"dd-mmm")&amp;" ("&amp;(NETWORKDAYS(TODAY(),$AB251,Holidays)-1)&amp;" business day(s) left).")))))</f>
        <v/>
      </c>
      <c r="W251" s="17">
        <f>IF($Z251="","",CHOOSE($Z251,"Collection Email","1st Follow-up","2nd Follow-up","Local Office","CBE","Roxanne")&amp;IF($Z251=6," - Final"," - Day "&amp;MAX(0,NETWORKDAYS($AA251,TODAY(),Holidays)-1)&amp;" of "&amp;CHOOSE($Z251,3,3,2,2,3))&amp;" | Total Day "&amp;MAX(0,NETWORKDAYS($N251,TODAY(),Holidays)-1))</f>
        <v/>
      </c>
      <c r="X251" s="18"/>
      <c r="Y251" s="18"/>
      <c r="Z251" s="17">
        <f>IF($N251="","",COUNT($N251:$S251))</f>
        <v/>
      </c>
      <c r="AA251" s="19">
        <f>IF($Z251="","",INT(INDEX($N251:$S251,$Z251)))</f>
        <v/>
      </c>
      <c r="AB251" s="19">
        <f>IF(OR($Z251="",$Z251=6),"",WORKDAY($AA251,CHOOSE($Z251,3,3,2,2,3),Holidays))</f>
        <v/>
      </c>
      <c r="AC251" s="17">
        <f>IF(OR($Z251="",$Z251=6),"",CHOOSE($Z251,"1st Email Follow-up","2nd Email Follow-up","Escalate Local Office","Escalate to CBE","Escalate to Roxanne"))</f>
        <v/>
      </c>
    </row>
    <row r="252" spans="13:29">
      <c r="M252" s="14"/>
      <c r="T252" s="16"/>
      <c r="U252" s="17">
        <f>IF(AND(COUNTA($A252:$L252)=0,$N252=""),"",IF($T252="Paid","PAID",IF($T252="Closed","CLOSED",IF($Z252="","",IF($Z252=6,"ESCALATED TO ROXANNE",IF(TODAY()&gt;$AB252,"OVERDUE",IF($AB252&lt;=WORKDAY(TODAY(),1,Holidays),"DUE TOMORROW",IF($Z252=4,"ESCALATED TO LOCAL OFFICE",IF($Z252=5,"ESCALATED TO CBE",IF($AA252=TODAY(),"EMAIL SENT","MONITORING"))))))))))</f>
        <v/>
      </c>
      <c r="V252" s="17">
        <f>IF($U252="",IF(AND(COUNTA($A252:$L252)&gt;0,$N252=""),"Awaiting Collection Email time stamp.",""),IF(OR($U252="PAID",$U252="CLOSED"),IF($U252="PAID","Account paid. Action completed.","Account closed. No further action required."),CHOOSE($Z252,"Collection Email","1st Email Follow-up","2nd Email Follow-up","Escalation to Local Office","Escalation to CBE","Escalation to Roxanne")&amp;" sent "&amp;TEXT($AA252,"dd-mmm")&amp;". "&amp;IF($Z252=6,"Final escalation completed.",IF($U252="OVERDUE","Next: "&amp;$AC252&amp;" was due "&amp;TEXT($AB252,"dd-mmm")&amp;" - "&amp;(NETWORKDAYS($AB252,TODAY(),Holidays)-1)&amp;" business day(s) late. Send now.",IF($U252="DUE TOMORROW","Next: "&amp;$AC252&amp;IF($AB252&lt;=TODAY()," is due TODAY ("," is due next business day (")&amp;TEXT($AB252,"dd-mmm")&amp;").","Next: "&amp;$AC252&amp;" due "&amp;TEXT($AB252,"dd-mmm")&amp;" ("&amp;(NETWORKDAYS(TODAY(),$AB252,Holidays)-1)&amp;" business day(s) left).")))))</f>
        <v/>
      </c>
      <c r="W252" s="17">
        <f>IF($Z252="","",CHOOSE($Z252,"Collection Email","1st Follow-up","2nd Follow-up","Local Office","CBE","Roxanne")&amp;IF($Z252=6," - Final"," - Day "&amp;MAX(0,NETWORKDAYS($AA252,TODAY(),Holidays)-1)&amp;" of "&amp;CHOOSE($Z252,3,3,2,2,3))&amp;" | Total Day "&amp;MAX(0,NETWORKDAYS($N252,TODAY(),Holidays)-1))</f>
        <v/>
      </c>
      <c r="X252" s="18"/>
      <c r="Y252" s="18"/>
      <c r="Z252" s="17">
        <f>IF($N252="","",COUNT($N252:$S252))</f>
        <v/>
      </c>
      <c r="AA252" s="19">
        <f>IF($Z252="","",INT(INDEX($N252:$S252,$Z252)))</f>
        <v/>
      </c>
      <c r="AB252" s="19">
        <f>IF(OR($Z252="",$Z252=6),"",WORKDAY($AA252,CHOOSE($Z252,3,3,2,2,3),Holidays))</f>
        <v/>
      </c>
      <c r="AC252" s="17">
        <f>IF(OR($Z252="",$Z252=6),"",CHOOSE($Z252,"1st Email Follow-up","2nd Email Follow-up","Escalate Local Office","Escalate to CBE","Escalate to Roxanne"))</f>
        <v/>
      </c>
    </row>
    <row r="253" spans="13:29">
      <c r="M253" s="14"/>
      <c r="T253" s="16"/>
      <c r="U253" s="17">
        <f>IF(AND(COUNTA($A253:$L253)=0,$N253=""),"",IF($T253="Paid","PAID",IF($T253="Closed","CLOSED",IF($Z253="","",IF($Z253=6,"ESCALATED TO ROXANNE",IF(TODAY()&gt;$AB253,"OVERDUE",IF($AB253&lt;=WORKDAY(TODAY(),1,Holidays),"DUE TOMORROW",IF($Z253=4,"ESCALATED TO LOCAL OFFICE",IF($Z253=5,"ESCALATED TO CBE",IF($AA253=TODAY(),"EMAIL SENT","MONITORING"))))))))))</f>
        <v/>
      </c>
      <c r="V253" s="17">
        <f>IF($U253="",IF(AND(COUNTA($A253:$L253)&gt;0,$N253=""),"Awaiting Collection Email time stamp.",""),IF(OR($U253="PAID",$U253="CLOSED"),IF($U253="PAID","Account paid. Action completed.","Account closed. No further action required."),CHOOSE($Z253,"Collection Email","1st Email Follow-up","2nd Email Follow-up","Escalation to Local Office","Escalation to CBE","Escalation to Roxanne")&amp;" sent "&amp;TEXT($AA253,"dd-mmm")&amp;". "&amp;IF($Z253=6,"Final escalation completed.",IF($U253="OVERDUE","Next: "&amp;$AC253&amp;" was due "&amp;TEXT($AB253,"dd-mmm")&amp;" - "&amp;(NETWORKDAYS($AB253,TODAY(),Holidays)-1)&amp;" business day(s) late. Send now.",IF($U253="DUE TOMORROW","Next: "&amp;$AC253&amp;IF($AB253&lt;=TODAY()," is due TODAY ("," is due next business day (")&amp;TEXT($AB253,"dd-mmm")&amp;").","Next: "&amp;$AC253&amp;" due "&amp;TEXT($AB253,"dd-mmm")&amp;" ("&amp;(NETWORKDAYS(TODAY(),$AB253,Holidays)-1)&amp;" business day(s) left).")))))</f>
        <v/>
      </c>
      <c r="W253" s="17">
        <f>IF($Z253="","",CHOOSE($Z253,"Collection Email","1st Follow-up","2nd Follow-up","Local Office","CBE","Roxanne")&amp;IF($Z253=6," - Final"," - Day "&amp;MAX(0,NETWORKDAYS($AA253,TODAY(),Holidays)-1)&amp;" of "&amp;CHOOSE($Z253,3,3,2,2,3))&amp;" | Total Day "&amp;MAX(0,NETWORKDAYS($N253,TODAY(),Holidays)-1))</f>
        <v/>
      </c>
      <c r="X253" s="18"/>
      <c r="Y253" s="18"/>
      <c r="Z253" s="17">
        <f>IF($N253="","",COUNT($N253:$S253))</f>
        <v/>
      </c>
      <c r="AA253" s="19">
        <f>IF($Z253="","",INT(INDEX($N253:$S253,$Z253)))</f>
        <v/>
      </c>
      <c r="AB253" s="19">
        <f>IF(OR($Z253="",$Z253=6),"",WORKDAY($AA253,CHOOSE($Z253,3,3,2,2,3),Holidays))</f>
        <v/>
      </c>
      <c r="AC253" s="17">
        <f>IF(OR($Z253="",$Z253=6),"",CHOOSE($Z253,"1st Email Follow-up","2nd Email Follow-up","Escalate Local Office","Escalate to CBE","Escalate to Roxanne"))</f>
        <v/>
      </c>
    </row>
    <row r="254" spans="13:29">
      <c r="M254" s="14"/>
      <c r="T254" s="16"/>
      <c r="U254" s="17">
        <f>IF(AND(COUNTA($A254:$L254)=0,$N254=""),"",IF($T254="Paid","PAID",IF($T254="Closed","CLOSED",IF($Z254="","",IF($Z254=6,"ESCALATED TO ROXANNE",IF(TODAY()&gt;$AB254,"OVERDUE",IF($AB254&lt;=WORKDAY(TODAY(),1,Holidays),"DUE TOMORROW",IF($Z254=4,"ESCALATED TO LOCAL OFFICE",IF($Z254=5,"ESCALATED TO CBE",IF($AA254=TODAY(),"EMAIL SENT","MONITORING"))))))))))</f>
        <v/>
      </c>
      <c r="V254" s="17">
        <f>IF($U254="",IF(AND(COUNTA($A254:$L254)&gt;0,$N254=""),"Awaiting Collection Email time stamp.",""),IF(OR($U254="PAID",$U254="CLOSED"),IF($U254="PAID","Account paid. Action completed.","Account closed. No further action required."),CHOOSE($Z254,"Collection Email","1st Email Follow-up","2nd Email Follow-up","Escalation to Local Office","Escalation to CBE","Escalation to Roxanne")&amp;" sent "&amp;TEXT($AA254,"dd-mmm")&amp;". "&amp;IF($Z254=6,"Final escalation completed.",IF($U254="OVERDUE","Next: "&amp;$AC254&amp;" was due "&amp;TEXT($AB254,"dd-mmm")&amp;" - "&amp;(NETWORKDAYS($AB254,TODAY(),Holidays)-1)&amp;" business day(s) late. Send now.",IF($U254="DUE TOMORROW","Next: "&amp;$AC254&amp;IF($AB254&lt;=TODAY()," is due TODAY ("," is due next business day (")&amp;TEXT($AB254,"dd-mmm")&amp;").","Next: "&amp;$AC254&amp;" due "&amp;TEXT($AB254,"dd-mmm")&amp;" ("&amp;(NETWORKDAYS(TODAY(),$AB254,Holidays)-1)&amp;" business day(s) left).")))))</f>
        <v/>
      </c>
      <c r="W254" s="17">
        <f>IF($Z254="","",CHOOSE($Z254,"Collection Email","1st Follow-up","2nd Follow-up","Local Office","CBE","Roxanne")&amp;IF($Z254=6," - Final"," - Day "&amp;MAX(0,NETWORKDAYS($AA254,TODAY(),Holidays)-1)&amp;" of "&amp;CHOOSE($Z254,3,3,2,2,3))&amp;" | Total Day "&amp;MAX(0,NETWORKDAYS($N254,TODAY(),Holidays)-1))</f>
        <v/>
      </c>
      <c r="X254" s="18"/>
      <c r="Y254" s="18"/>
      <c r="Z254" s="17">
        <f>IF($N254="","",COUNT($N254:$S254))</f>
        <v/>
      </c>
      <c r="AA254" s="19">
        <f>IF($Z254="","",INT(INDEX($N254:$S254,$Z254)))</f>
        <v/>
      </c>
      <c r="AB254" s="19">
        <f>IF(OR($Z254="",$Z254=6),"",WORKDAY($AA254,CHOOSE($Z254,3,3,2,2,3),Holidays))</f>
        <v/>
      </c>
      <c r="AC254" s="17">
        <f>IF(OR($Z254="",$Z254=6),"",CHOOSE($Z254,"1st Email Follow-up","2nd Email Follow-up","Escalate Local Office","Escalate to CBE","Escalate to Roxanne"))</f>
        <v/>
      </c>
    </row>
    <row r="255" spans="13:29">
      <c r="M255" s="14"/>
      <c r="T255" s="16"/>
      <c r="U255" s="17">
        <f>IF(AND(COUNTA($A255:$L255)=0,$N255=""),"",IF($T255="Paid","PAID",IF($T255="Closed","CLOSED",IF($Z255="","",IF($Z255=6,"ESCALATED TO ROXANNE",IF(TODAY()&gt;$AB255,"OVERDUE",IF($AB255&lt;=WORKDAY(TODAY(),1,Holidays),"DUE TOMORROW",IF($Z255=4,"ESCALATED TO LOCAL OFFICE",IF($Z255=5,"ESCALATED TO CBE",IF($AA255=TODAY(),"EMAIL SENT","MONITORING"))))))))))</f>
        <v/>
      </c>
      <c r="V255" s="17">
        <f>IF($U255="",IF(AND(COUNTA($A255:$L255)&gt;0,$N255=""),"Awaiting Collection Email time stamp.",""),IF(OR($U255="PAID",$U255="CLOSED"),IF($U255="PAID","Account paid. Action completed.","Account closed. No further action required."),CHOOSE($Z255,"Collection Email","1st Email Follow-up","2nd Email Follow-up","Escalation to Local Office","Escalation to CBE","Escalation to Roxanne")&amp;" sent "&amp;TEXT($AA255,"dd-mmm")&amp;". "&amp;IF($Z255=6,"Final escalation completed.",IF($U255="OVERDUE","Next: "&amp;$AC255&amp;" was due "&amp;TEXT($AB255,"dd-mmm")&amp;" - "&amp;(NETWORKDAYS($AB255,TODAY(),Holidays)-1)&amp;" business day(s) late. Send now.",IF($U255="DUE TOMORROW","Next: "&amp;$AC255&amp;IF($AB255&lt;=TODAY()," is due TODAY ("," is due next business day (")&amp;TEXT($AB255,"dd-mmm")&amp;").","Next: "&amp;$AC255&amp;" due "&amp;TEXT($AB255,"dd-mmm")&amp;" ("&amp;(NETWORKDAYS(TODAY(),$AB255,Holidays)-1)&amp;" business day(s) left).")))))</f>
        <v/>
      </c>
      <c r="W255" s="17">
        <f>IF($Z255="","",CHOOSE($Z255,"Collection Email","1st Follow-up","2nd Follow-up","Local Office","CBE","Roxanne")&amp;IF($Z255=6," - Final"," - Day "&amp;MAX(0,NETWORKDAYS($AA255,TODAY(),Holidays)-1)&amp;" of "&amp;CHOOSE($Z255,3,3,2,2,3))&amp;" | Total Day "&amp;MAX(0,NETWORKDAYS($N255,TODAY(),Holidays)-1))</f>
        <v/>
      </c>
      <c r="X255" s="18"/>
      <c r="Y255" s="18"/>
      <c r="Z255" s="17">
        <f>IF($N255="","",COUNT($N255:$S255))</f>
        <v/>
      </c>
      <c r="AA255" s="19">
        <f>IF($Z255="","",INT(INDEX($N255:$S255,$Z255)))</f>
        <v/>
      </c>
      <c r="AB255" s="19">
        <f>IF(OR($Z255="",$Z255=6),"",WORKDAY($AA255,CHOOSE($Z255,3,3,2,2,3),Holidays))</f>
        <v/>
      </c>
      <c r="AC255" s="17">
        <f>IF(OR($Z255="",$Z255=6),"",CHOOSE($Z255,"1st Email Follow-up","2nd Email Follow-up","Escalate Local Office","Escalate to CBE","Escalate to Roxanne"))</f>
        <v/>
      </c>
    </row>
    <row r="256" spans="13:29">
      <c r="M256" s="14"/>
      <c r="T256" s="16"/>
      <c r="U256" s="17">
        <f>IF(AND(COUNTA($A256:$L256)=0,$N256=""),"",IF($T256="Paid","PAID",IF($T256="Closed","CLOSED",IF($Z256="","",IF($Z256=6,"ESCALATED TO ROXANNE",IF(TODAY()&gt;$AB256,"OVERDUE",IF($AB256&lt;=WORKDAY(TODAY(),1,Holidays),"DUE TOMORROW",IF($Z256=4,"ESCALATED TO LOCAL OFFICE",IF($Z256=5,"ESCALATED TO CBE",IF($AA256=TODAY(),"EMAIL SENT","MONITORING"))))))))))</f>
        <v/>
      </c>
      <c r="V256" s="17">
        <f>IF($U256="",IF(AND(COUNTA($A256:$L256)&gt;0,$N256=""),"Awaiting Collection Email time stamp.",""),IF(OR($U256="PAID",$U256="CLOSED"),IF($U256="PAID","Account paid. Action completed.","Account closed. No further action required."),CHOOSE($Z256,"Collection Email","1st Email Follow-up","2nd Email Follow-up","Escalation to Local Office","Escalation to CBE","Escalation to Roxanne")&amp;" sent "&amp;TEXT($AA256,"dd-mmm")&amp;". "&amp;IF($Z256=6,"Final escalation completed.",IF($U256="OVERDUE","Next: "&amp;$AC256&amp;" was due "&amp;TEXT($AB256,"dd-mmm")&amp;" - "&amp;(NETWORKDAYS($AB256,TODAY(),Holidays)-1)&amp;" business day(s) late. Send now.",IF($U256="DUE TOMORROW","Next: "&amp;$AC256&amp;IF($AB256&lt;=TODAY()," is due TODAY ("," is due next business day (")&amp;TEXT($AB256,"dd-mmm")&amp;").","Next: "&amp;$AC256&amp;" due "&amp;TEXT($AB256,"dd-mmm")&amp;" ("&amp;(NETWORKDAYS(TODAY(),$AB256,Holidays)-1)&amp;" business day(s) left).")))))</f>
        <v/>
      </c>
      <c r="W256" s="17">
        <f>IF($Z256="","",CHOOSE($Z256,"Collection Email","1st Follow-up","2nd Follow-up","Local Office","CBE","Roxanne")&amp;IF($Z256=6," - Final"," - Day "&amp;MAX(0,NETWORKDAYS($AA256,TODAY(),Holidays)-1)&amp;" of "&amp;CHOOSE($Z256,3,3,2,2,3))&amp;" | Total Day "&amp;MAX(0,NETWORKDAYS($N256,TODAY(),Holidays)-1))</f>
        <v/>
      </c>
      <c r="X256" s="18"/>
      <c r="Y256" s="18"/>
      <c r="Z256" s="17">
        <f>IF($N256="","",COUNT($N256:$S256))</f>
        <v/>
      </c>
      <c r="AA256" s="19">
        <f>IF($Z256="","",INT(INDEX($N256:$S256,$Z256)))</f>
        <v/>
      </c>
      <c r="AB256" s="19">
        <f>IF(OR($Z256="",$Z256=6),"",WORKDAY($AA256,CHOOSE($Z256,3,3,2,2,3),Holidays))</f>
        <v/>
      </c>
      <c r="AC256" s="17">
        <f>IF(OR($Z256="",$Z256=6),"",CHOOSE($Z256,"1st Email Follow-up","2nd Email Follow-up","Escalate Local Office","Escalate to CBE","Escalate to Roxanne"))</f>
        <v/>
      </c>
    </row>
    <row r="257" spans="13:29">
      <c r="M257" s="14"/>
      <c r="T257" s="16"/>
      <c r="U257" s="17">
        <f>IF(AND(COUNTA($A257:$L257)=0,$N257=""),"",IF($T257="Paid","PAID",IF($T257="Closed","CLOSED",IF($Z257="","",IF($Z257=6,"ESCALATED TO ROXANNE",IF(TODAY()&gt;$AB257,"OVERDUE",IF($AB257&lt;=WORKDAY(TODAY(),1,Holidays),"DUE TOMORROW",IF($Z257=4,"ESCALATED TO LOCAL OFFICE",IF($Z257=5,"ESCALATED TO CBE",IF($AA257=TODAY(),"EMAIL SENT","MONITORING"))))))))))</f>
        <v/>
      </c>
      <c r="V257" s="17">
        <f>IF($U257="",IF(AND(COUNTA($A257:$L257)&gt;0,$N257=""),"Awaiting Collection Email time stamp.",""),IF(OR($U257="PAID",$U257="CLOSED"),IF($U257="PAID","Account paid. Action completed.","Account closed. No further action required."),CHOOSE($Z257,"Collection Email","1st Email Follow-up","2nd Email Follow-up","Escalation to Local Office","Escalation to CBE","Escalation to Roxanne")&amp;" sent "&amp;TEXT($AA257,"dd-mmm")&amp;". "&amp;IF($Z257=6,"Final escalation completed.",IF($U257="OVERDUE","Next: "&amp;$AC257&amp;" was due "&amp;TEXT($AB257,"dd-mmm")&amp;" - "&amp;(NETWORKDAYS($AB257,TODAY(),Holidays)-1)&amp;" business day(s) late. Send now.",IF($U257="DUE TOMORROW","Next: "&amp;$AC257&amp;IF($AB257&lt;=TODAY()," is due TODAY ("," is due next business day (")&amp;TEXT($AB257,"dd-mmm")&amp;").","Next: "&amp;$AC257&amp;" due "&amp;TEXT($AB257,"dd-mmm")&amp;" ("&amp;(NETWORKDAYS(TODAY(),$AB257,Holidays)-1)&amp;" business day(s) left).")))))</f>
        <v/>
      </c>
      <c r="W257" s="17">
        <f>IF($Z257="","",CHOOSE($Z257,"Collection Email","1st Follow-up","2nd Follow-up","Local Office","CBE","Roxanne")&amp;IF($Z257=6," - Final"," - Day "&amp;MAX(0,NETWORKDAYS($AA257,TODAY(),Holidays)-1)&amp;" of "&amp;CHOOSE($Z257,3,3,2,2,3))&amp;" | Total Day "&amp;MAX(0,NETWORKDAYS($N257,TODAY(),Holidays)-1))</f>
        <v/>
      </c>
      <c r="X257" s="18"/>
      <c r="Y257" s="18"/>
      <c r="Z257" s="17">
        <f>IF($N257="","",COUNT($N257:$S257))</f>
        <v/>
      </c>
      <c r="AA257" s="19">
        <f>IF($Z257="","",INT(INDEX($N257:$S257,$Z257)))</f>
        <v/>
      </c>
      <c r="AB257" s="19">
        <f>IF(OR($Z257="",$Z257=6),"",WORKDAY($AA257,CHOOSE($Z257,3,3,2,2,3),Holidays))</f>
        <v/>
      </c>
      <c r="AC257" s="17">
        <f>IF(OR($Z257="",$Z257=6),"",CHOOSE($Z257,"1st Email Follow-up","2nd Email Follow-up","Escalate Local Office","Escalate to CBE","Escalate to Roxanne"))</f>
        <v/>
      </c>
    </row>
    <row r="258" spans="13:29">
      <c r="M258" s="14"/>
      <c r="T258" s="16"/>
      <c r="U258" s="17">
        <f>IF(AND(COUNTA($A258:$L258)=0,$N258=""),"",IF($T258="Paid","PAID",IF($T258="Closed","CLOSED",IF($Z258="","",IF($Z258=6,"ESCALATED TO ROXANNE",IF(TODAY()&gt;$AB258,"OVERDUE",IF($AB258&lt;=WORKDAY(TODAY(),1,Holidays),"DUE TOMORROW",IF($Z258=4,"ESCALATED TO LOCAL OFFICE",IF($Z258=5,"ESCALATED TO CBE",IF($AA258=TODAY(),"EMAIL SENT","MONITORING"))))))))))</f>
        <v/>
      </c>
      <c r="V258" s="17">
        <f>IF($U258="",IF(AND(COUNTA($A258:$L258)&gt;0,$N258=""),"Awaiting Collection Email time stamp.",""),IF(OR($U258="PAID",$U258="CLOSED"),IF($U258="PAID","Account paid. Action completed.","Account closed. No further action required."),CHOOSE($Z258,"Collection Email","1st Email Follow-up","2nd Email Follow-up","Escalation to Local Office","Escalation to CBE","Escalation to Roxanne")&amp;" sent "&amp;TEXT($AA258,"dd-mmm")&amp;". "&amp;IF($Z258=6,"Final escalation completed.",IF($U258="OVERDUE","Next: "&amp;$AC258&amp;" was due "&amp;TEXT($AB258,"dd-mmm")&amp;" - "&amp;(NETWORKDAYS($AB258,TODAY(),Holidays)-1)&amp;" business day(s) late. Send now.",IF($U258="DUE TOMORROW","Next: "&amp;$AC258&amp;IF($AB258&lt;=TODAY()," is due TODAY ("," is due next business day (")&amp;TEXT($AB258,"dd-mmm")&amp;").","Next: "&amp;$AC258&amp;" due "&amp;TEXT($AB258,"dd-mmm")&amp;" ("&amp;(NETWORKDAYS(TODAY(),$AB258,Holidays)-1)&amp;" business day(s) left).")))))</f>
        <v/>
      </c>
      <c r="W258" s="17">
        <f>IF($Z258="","",CHOOSE($Z258,"Collection Email","1st Follow-up","2nd Follow-up","Local Office","CBE","Roxanne")&amp;IF($Z258=6," - Final"," - Day "&amp;MAX(0,NETWORKDAYS($AA258,TODAY(),Holidays)-1)&amp;" of "&amp;CHOOSE($Z258,3,3,2,2,3))&amp;" | Total Day "&amp;MAX(0,NETWORKDAYS($N258,TODAY(),Holidays)-1))</f>
        <v/>
      </c>
      <c r="X258" s="18"/>
      <c r="Y258" s="18"/>
      <c r="Z258" s="17">
        <f>IF($N258="","",COUNT($N258:$S258))</f>
        <v/>
      </c>
      <c r="AA258" s="19">
        <f>IF($Z258="","",INT(INDEX($N258:$S258,$Z258)))</f>
        <v/>
      </c>
      <c r="AB258" s="19">
        <f>IF(OR($Z258="",$Z258=6),"",WORKDAY($AA258,CHOOSE($Z258,3,3,2,2,3),Holidays))</f>
        <v/>
      </c>
      <c r="AC258" s="17">
        <f>IF(OR($Z258="",$Z258=6),"",CHOOSE($Z258,"1st Email Follow-up","2nd Email Follow-up","Escalate Local Office","Escalate to CBE","Escalate to Roxanne"))</f>
        <v/>
      </c>
    </row>
    <row r="259" spans="13:29">
      <c r="M259" s="14"/>
      <c r="T259" s="16"/>
      <c r="U259" s="17">
        <f>IF(AND(COUNTA($A259:$L259)=0,$N259=""),"",IF($T259="Paid","PAID",IF($T259="Closed","CLOSED",IF($Z259="","",IF($Z259=6,"ESCALATED TO ROXANNE",IF(TODAY()&gt;$AB259,"OVERDUE",IF($AB259&lt;=WORKDAY(TODAY(),1,Holidays),"DUE TOMORROW",IF($Z259=4,"ESCALATED TO LOCAL OFFICE",IF($Z259=5,"ESCALATED TO CBE",IF($AA259=TODAY(),"EMAIL SENT","MONITORING"))))))))))</f>
        <v/>
      </c>
      <c r="V259" s="17">
        <f>IF($U259="",IF(AND(COUNTA($A259:$L259)&gt;0,$N259=""),"Awaiting Collection Email time stamp.",""),IF(OR($U259="PAID",$U259="CLOSED"),IF($U259="PAID","Account paid. Action completed.","Account closed. No further action required."),CHOOSE($Z259,"Collection Email","1st Email Follow-up","2nd Email Follow-up","Escalation to Local Office","Escalation to CBE","Escalation to Roxanne")&amp;" sent "&amp;TEXT($AA259,"dd-mmm")&amp;". "&amp;IF($Z259=6,"Final escalation completed.",IF($U259="OVERDUE","Next: "&amp;$AC259&amp;" was due "&amp;TEXT($AB259,"dd-mmm")&amp;" - "&amp;(NETWORKDAYS($AB259,TODAY(),Holidays)-1)&amp;" business day(s) late. Send now.",IF($U259="DUE TOMORROW","Next: "&amp;$AC259&amp;IF($AB259&lt;=TODAY()," is due TODAY ("," is due next business day (")&amp;TEXT($AB259,"dd-mmm")&amp;").","Next: "&amp;$AC259&amp;" due "&amp;TEXT($AB259,"dd-mmm")&amp;" ("&amp;(NETWORKDAYS(TODAY(),$AB259,Holidays)-1)&amp;" business day(s) left).")))))</f>
        <v/>
      </c>
      <c r="W259" s="17">
        <f>IF($Z259="","",CHOOSE($Z259,"Collection Email","1st Follow-up","2nd Follow-up","Local Office","CBE","Roxanne")&amp;IF($Z259=6," - Final"," - Day "&amp;MAX(0,NETWORKDAYS($AA259,TODAY(),Holidays)-1)&amp;" of "&amp;CHOOSE($Z259,3,3,2,2,3))&amp;" | Total Day "&amp;MAX(0,NETWORKDAYS($N259,TODAY(),Holidays)-1))</f>
        <v/>
      </c>
      <c r="X259" s="18"/>
      <c r="Y259" s="18"/>
      <c r="Z259" s="17">
        <f>IF($N259="","",COUNT($N259:$S259))</f>
        <v/>
      </c>
      <c r="AA259" s="19">
        <f>IF($Z259="","",INT(INDEX($N259:$S259,$Z259)))</f>
        <v/>
      </c>
      <c r="AB259" s="19">
        <f>IF(OR($Z259="",$Z259=6),"",WORKDAY($AA259,CHOOSE($Z259,3,3,2,2,3),Holidays))</f>
        <v/>
      </c>
      <c r="AC259" s="17">
        <f>IF(OR($Z259="",$Z259=6),"",CHOOSE($Z259,"1st Email Follow-up","2nd Email Follow-up","Escalate Local Office","Escalate to CBE","Escalate to Roxanne"))</f>
        <v/>
      </c>
    </row>
    <row r="260" spans="13:29">
      <c r="M260" s="14"/>
      <c r="T260" s="16"/>
      <c r="U260" s="17">
        <f>IF(AND(COUNTA($A260:$L260)=0,$N260=""),"",IF($T260="Paid","PAID",IF($T260="Closed","CLOSED",IF($Z260="","",IF($Z260=6,"ESCALATED TO ROXANNE",IF(TODAY()&gt;$AB260,"OVERDUE",IF($AB260&lt;=WORKDAY(TODAY(),1,Holidays),"DUE TOMORROW",IF($Z260=4,"ESCALATED TO LOCAL OFFICE",IF($Z260=5,"ESCALATED TO CBE",IF($AA260=TODAY(),"EMAIL SENT","MONITORING"))))))))))</f>
        <v/>
      </c>
      <c r="V260" s="17">
        <f>IF($U260="",IF(AND(COUNTA($A260:$L260)&gt;0,$N260=""),"Awaiting Collection Email time stamp.",""),IF(OR($U260="PAID",$U260="CLOSED"),IF($U260="PAID","Account paid. Action completed.","Account closed. No further action required."),CHOOSE($Z260,"Collection Email","1st Email Follow-up","2nd Email Follow-up","Escalation to Local Office","Escalation to CBE","Escalation to Roxanne")&amp;" sent "&amp;TEXT($AA260,"dd-mmm")&amp;". "&amp;IF($Z260=6,"Final escalation completed.",IF($U260="OVERDUE","Next: "&amp;$AC260&amp;" was due "&amp;TEXT($AB260,"dd-mmm")&amp;" - "&amp;(NETWORKDAYS($AB260,TODAY(),Holidays)-1)&amp;" business day(s) late. Send now.",IF($U260="DUE TOMORROW","Next: "&amp;$AC260&amp;IF($AB260&lt;=TODAY()," is due TODAY ("," is due next business day (")&amp;TEXT($AB260,"dd-mmm")&amp;").","Next: "&amp;$AC260&amp;" due "&amp;TEXT($AB260,"dd-mmm")&amp;" ("&amp;(NETWORKDAYS(TODAY(),$AB260,Holidays)-1)&amp;" business day(s) left).")))))</f>
        <v/>
      </c>
      <c r="W260" s="17">
        <f>IF($Z260="","",CHOOSE($Z260,"Collection Email","1st Follow-up","2nd Follow-up","Local Office","CBE","Roxanne")&amp;IF($Z260=6," - Final"," - Day "&amp;MAX(0,NETWORKDAYS($AA260,TODAY(),Holidays)-1)&amp;" of "&amp;CHOOSE($Z260,3,3,2,2,3))&amp;" | Total Day "&amp;MAX(0,NETWORKDAYS($N260,TODAY(),Holidays)-1))</f>
        <v/>
      </c>
      <c r="X260" s="18"/>
      <c r="Y260" s="18"/>
      <c r="Z260" s="17">
        <f>IF($N260="","",COUNT($N260:$S260))</f>
        <v/>
      </c>
      <c r="AA260" s="19">
        <f>IF($Z260="","",INT(INDEX($N260:$S260,$Z260)))</f>
        <v/>
      </c>
      <c r="AB260" s="19">
        <f>IF(OR($Z260="",$Z260=6),"",WORKDAY($AA260,CHOOSE($Z260,3,3,2,2,3),Holidays))</f>
        <v/>
      </c>
      <c r="AC260" s="17">
        <f>IF(OR($Z260="",$Z260=6),"",CHOOSE($Z260,"1st Email Follow-up","2nd Email Follow-up","Escalate Local Office","Escalate to CBE","Escalate to Roxanne"))</f>
        <v/>
      </c>
    </row>
    <row r="261" spans="13:29">
      <c r="M261" s="14"/>
      <c r="T261" s="16"/>
      <c r="U261" s="17">
        <f>IF(AND(COUNTA($A261:$L261)=0,$N261=""),"",IF($T261="Paid","PAID",IF($T261="Closed","CLOSED",IF($Z261="","",IF($Z261=6,"ESCALATED TO ROXANNE",IF(TODAY()&gt;$AB261,"OVERDUE",IF($AB261&lt;=WORKDAY(TODAY(),1,Holidays),"DUE TOMORROW",IF($Z261=4,"ESCALATED TO LOCAL OFFICE",IF($Z261=5,"ESCALATED TO CBE",IF($AA261=TODAY(),"EMAIL SENT","MONITORING"))))))))))</f>
        <v/>
      </c>
      <c r="V261" s="17">
        <f>IF($U261="",IF(AND(COUNTA($A261:$L261)&gt;0,$N261=""),"Awaiting Collection Email time stamp.",""),IF(OR($U261="PAID",$U261="CLOSED"),IF($U261="PAID","Account paid. Action completed.","Account closed. No further action required."),CHOOSE($Z261,"Collection Email","1st Email Follow-up","2nd Email Follow-up","Escalation to Local Office","Escalation to CBE","Escalation to Roxanne")&amp;" sent "&amp;TEXT($AA261,"dd-mmm")&amp;". "&amp;IF($Z261=6,"Final escalation completed.",IF($U261="OVERDUE","Next: "&amp;$AC261&amp;" was due "&amp;TEXT($AB261,"dd-mmm")&amp;" - "&amp;(NETWORKDAYS($AB261,TODAY(),Holidays)-1)&amp;" business day(s) late. Send now.",IF($U261="DUE TOMORROW","Next: "&amp;$AC261&amp;IF($AB261&lt;=TODAY()," is due TODAY ("," is due next business day (")&amp;TEXT($AB261,"dd-mmm")&amp;").","Next: "&amp;$AC261&amp;" due "&amp;TEXT($AB261,"dd-mmm")&amp;" ("&amp;(NETWORKDAYS(TODAY(),$AB261,Holidays)-1)&amp;" business day(s) left).")))))</f>
        <v/>
      </c>
      <c r="W261" s="17">
        <f>IF($Z261="","",CHOOSE($Z261,"Collection Email","1st Follow-up","2nd Follow-up","Local Office","CBE","Roxanne")&amp;IF($Z261=6," - Final"," - Day "&amp;MAX(0,NETWORKDAYS($AA261,TODAY(),Holidays)-1)&amp;" of "&amp;CHOOSE($Z261,3,3,2,2,3))&amp;" | Total Day "&amp;MAX(0,NETWORKDAYS($N261,TODAY(),Holidays)-1))</f>
        <v/>
      </c>
      <c r="X261" s="18"/>
      <c r="Y261" s="18"/>
      <c r="Z261" s="17">
        <f>IF($N261="","",COUNT($N261:$S261))</f>
        <v/>
      </c>
      <c r="AA261" s="19">
        <f>IF($Z261="","",INT(INDEX($N261:$S261,$Z261)))</f>
        <v/>
      </c>
      <c r="AB261" s="19">
        <f>IF(OR($Z261="",$Z261=6),"",WORKDAY($AA261,CHOOSE($Z261,3,3,2,2,3),Holidays))</f>
        <v/>
      </c>
      <c r="AC261" s="17">
        <f>IF(OR($Z261="",$Z261=6),"",CHOOSE($Z261,"1st Email Follow-up","2nd Email Follow-up","Escalate Local Office","Escalate to CBE","Escalate to Roxanne"))</f>
        <v/>
      </c>
    </row>
    <row r="262" spans="13:29">
      <c r="M262" s="14"/>
      <c r="T262" s="16"/>
      <c r="U262" s="17">
        <f>IF(AND(COUNTA($A262:$L262)=0,$N262=""),"",IF($T262="Paid","PAID",IF($T262="Closed","CLOSED",IF($Z262="","",IF($Z262=6,"ESCALATED TO ROXANNE",IF(TODAY()&gt;$AB262,"OVERDUE",IF($AB262&lt;=WORKDAY(TODAY(),1,Holidays),"DUE TOMORROW",IF($Z262=4,"ESCALATED TO LOCAL OFFICE",IF($Z262=5,"ESCALATED TO CBE",IF($AA262=TODAY(),"EMAIL SENT","MONITORING"))))))))))</f>
        <v/>
      </c>
      <c r="V262" s="17">
        <f>IF($U262="",IF(AND(COUNTA($A262:$L262)&gt;0,$N262=""),"Awaiting Collection Email time stamp.",""),IF(OR($U262="PAID",$U262="CLOSED"),IF($U262="PAID","Account paid. Action completed.","Account closed. No further action required."),CHOOSE($Z262,"Collection Email","1st Email Follow-up","2nd Email Follow-up","Escalation to Local Office","Escalation to CBE","Escalation to Roxanne")&amp;" sent "&amp;TEXT($AA262,"dd-mmm")&amp;". "&amp;IF($Z262=6,"Final escalation completed.",IF($U262="OVERDUE","Next: "&amp;$AC262&amp;" was due "&amp;TEXT($AB262,"dd-mmm")&amp;" - "&amp;(NETWORKDAYS($AB262,TODAY(),Holidays)-1)&amp;" business day(s) late. Send now.",IF($U262="DUE TOMORROW","Next: "&amp;$AC262&amp;IF($AB262&lt;=TODAY()," is due TODAY ("," is due next business day (")&amp;TEXT($AB262,"dd-mmm")&amp;").","Next: "&amp;$AC262&amp;" due "&amp;TEXT($AB262,"dd-mmm")&amp;" ("&amp;(NETWORKDAYS(TODAY(),$AB262,Holidays)-1)&amp;" business day(s) left).")))))</f>
        <v/>
      </c>
      <c r="W262" s="17">
        <f>IF($Z262="","",CHOOSE($Z262,"Collection Email","1st Follow-up","2nd Follow-up","Local Office","CBE","Roxanne")&amp;IF($Z262=6," - Final"," - Day "&amp;MAX(0,NETWORKDAYS($AA262,TODAY(),Holidays)-1)&amp;" of "&amp;CHOOSE($Z262,3,3,2,2,3))&amp;" | Total Day "&amp;MAX(0,NETWORKDAYS($N262,TODAY(),Holidays)-1))</f>
        <v/>
      </c>
      <c r="X262" s="18"/>
      <c r="Y262" s="18"/>
      <c r="Z262" s="17">
        <f>IF($N262="","",COUNT($N262:$S262))</f>
        <v/>
      </c>
      <c r="AA262" s="19">
        <f>IF($Z262="","",INT(INDEX($N262:$S262,$Z262)))</f>
        <v/>
      </c>
      <c r="AB262" s="19">
        <f>IF(OR($Z262="",$Z262=6),"",WORKDAY($AA262,CHOOSE($Z262,3,3,2,2,3),Holidays))</f>
        <v/>
      </c>
      <c r="AC262" s="17">
        <f>IF(OR($Z262="",$Z262=6),"",CHOOSE($Z262,"1st Email Follow-up","2nd Email Follow-up","Escalate Local Office","Escalate to CBE","Escalate to Roxanne"))</f>
        <v/>
      </c>
    </row>
    <row r="263" spans="13:29">
      <c r="M263" s="14"/>
      <c r="T263" s="16"/>
      <c r="U263" s="17">
        <f>IF(AND(COUNTA($A263:$L263)=0,$N263=""),"",IF($T263="Paid","PAID",IF($T263="Closed","CLOSED",IF($Z263="","",IF($Z263=6,"ESCALATED TO ROXANNE",IF(TODAY()&gt;$AB263,"OVERDUE",IF($AB263&lt;=WORKDAY(TODAY(),1,Holidays),"DUE TOMORROW",IF($Z263=4,"ESCALATED TO LOCAL OFFICE",IF($Z263=5,"ESCALATED TO CBE",IF($AA263=TODAY(),"EMAIL SENT","MONITORING"))))))))))</f>
        <v/>
      </c>
      <c r="V263" s="17">
        <f>IF($U263="",IF(AND(COUNTA($A263:$L263)&gt;0,$N263=""),"Awaiting Collection Email time stamp.",""),IF(OR($U263="PAID",$U263="CLOSED"),IF($U263="PAID","Account paid. Action completed.","Account closed. No further action required."),CHOOSE($Z263,"Collection Email","1st Email Follow-up","2nd Email Follow-up","Escalation to Local Office","Escalation to CBE","Escalation to Roxanne")&amp;" sent "&amp;TEXT($AA263,"dd-mmm")&amp;". "&amp;IF($Z263=6,"Final escalation completed.",IF($U263="OVERDUE","Next: "&amp;$AC263&amp;" was due "&amp;TEXT($AB263,"dd-mmm")&amp;" - "&amp;(NETWORKDAYS($AB263,TODAY(),Holidays)-1)&amp;" business day(s) late. Send now.",IF($U263="DUE TOMORROW","Next: "&amp;$AC263&amp;IF($AB263&lt;=TODAY()," is due TODAY ("," is due next business day (")&amp;TEXT($AB263,"dd-mmm")&amp;").","Next: "&amp;$AC263&amp;" due "&amp;TEXT($AB263,"dd-mmm")&amp;" ("&amp;(NETWORKDAYS(TODAY(),$AB263,Holidays)-1)&amp;" business day(s) left).")))))</f>
        <v/>
      </c>
      <c r="W263" s="17">
        <f>IF($Z263="","",CHOOSE($Z263,"Collection Email","1st Follow-up","2nd Follow-up","Local Office","CBE","Roxanne")&amp;IF($Z263=6," - Final"," - Day "&amp;MAX(0,NETWORKDAYS($AA263,TODAY(),Holidays)-1)&amp;" of "&amp;CHOOSE($Z263,3,3,2,2,3))&amp;" | Total Day "&amp;MAX(0,NETWORKDAYS($N263,TODAY(),Holidays)-1))</f>
        <v/>
      </c>
      <c r="X263" s="18"/>
      <c r="Y263" s="18"/>
      <c r="Z263" s="17">
        <f>IF($N263="","",COUNT($N263:$S263))</f>
        <v/>
      </c>
      <c r="AA263" s="19">
        <f>IF($Z263="","",INT(INDEX($N263:$S263,$Z263)))</f>
        <v/>
      </c>
      <c r="AB263" s="19">
        <f>IF(OR($Z263="",$Z263=6),"",WORKDAY($AA263,CHOOSE($Z263,3,3,2,2,3),Holidays))</f>
        <v/>
      </c>
      <c r="AC263" s="17">
        <f>IF(OR($Z263="",$Z263=6),"",CHOOSE($Z263,"1st Email Follow-up","2nd Email Follow-up","Escalate Local Office","Escalate to CBE","Escalate to Roxanne"))</f>
        <v/>
      </c>
    </row>
    <row r="264" spans="13:29">
      <c r="M264" s="14"/>
      <c r="T264" s="16"/>
      <c r="U264" s="17">
        <f>IF(AND(COUNTA($A264:$L264)=0,$N264=""),"",IF($T264="Paid","PAID",IF($T264="Closed","CLOSED",IF($Z264="","",IF($Z264=6,"ESCALATED TO ROXANNE",IF(TODAY()&gt;$AB264,"OVERDUE",IF($AB264&lt;=WORKDAY(TODAY(),1,Holidays),"DUE TOMORROW",IF($Z264=4,"ESCALATED TO LOCAL OFFICE",IF($Z264=5,"ESCALATED TO CBE",IF($AA264=TODAY(),"EMAIL SENT","MONITORING"))))))))))</f>
        <v/>
      </c>
      <c r="V264" s="17">
        <f>IF($U264="",IF(AND(COUNTA($A264:$L264)&gt;0,$N264=""),"Awaiting Collection Email time stamp.",""),IF(OR($U264="PAID",$U264="CLOSED"),IF($U264="PAID","Account paid. Action completed.","Account closed. No further action required."),CHOOSE($Z264,"Collection Email","1st Email Follow-up","2nd Email Follow-up","Escalation to Local Office","Escalation to CBE","Escalation to Roxanne")&amp;" sent "&amp;TEXT($AA264,"dd-mmm")&amp;". "&amp;IF($Z264=6,"Final escalation completed.",IF($U264="OVERDUE","Next: "&amp;$AC264&amp;" was due "&amp;TEXT($AB264,"dd-mmm")&amp;" - "&amp;(NETWORKDAYS($AB264,TODAY(),Holidays)-1)&amp;" business day(s) late. Send now.",IF($U264="DUE TOMORROW","Next: "&amp;$AC264&amp;IF($AB264&lt;=TODAY()," is due TODAY ("," is due next business day (")&amp;TEXT($AB264,"dd-mmm")&amp;").","Next: "&amp;$AC264&amp;" due "&amp;TEXT($AB264,"dd-mmm")&amp;" ("&amp;(NETWORKDAYS(TODAY(),$AB264,Holidays)-1)&amp;" business day(s) left).")))))</f>
        <v/>
      </c>
      <c r="W264" s="17">
        <f>IF($Z264="","",CHOOSE($Z264,"Collection Email","1st Follow-up","2nd Follow-up","Local Office","CBE","Roxanne")&amp;IF($Z264=6," - Final"," - Day "&amp;MAX(0,NETWORKDAYS($AA264,TODAY(),Holidays)-1)&amp;" of "&amp;CHOOSE($Z264,3,3,2,2,3))&amp;" | Total Day "&amp;MAX(0,NETWORKDAYS($N264,TODAY(),Holidays)-1))</f>
        <v/>
      </c>
      <c r="X264" s="18"/>
      <c r="Y264" s="18"/>
      <c r="Z264" s="17">
        <f>IF($N264="","",COUNT($N264:$S264))</f>
        <v/>
      </c>
      <c r="AA264" s="19">
        <f>IF($Z264="","",INT(INDEX($N264:$S264,$Z264)))</f>
        <v/>
      </c>
      <c r="AB264" s="19">
        <f>IF(OR($Z264="",$Z264=6),"",WORKDAY($AA264,CHOOSE($Z264,3,3,2,2,3),Holidays))</f>
        <v/>
      </c>
      <c r="AC264" s="17">
        <f>IF(OR($Z264="",$Z264=6),"",CHOOSE($Z264,"1st Email Follow-up","2nd Email Follow-up","Escalate Local Office","Escalate to CBE","Escalate to Roxanne"))</f>
        <v/>
      </c>
    </row>
    <row r="265" spans="13:29">
      <c r="M265" s="14"/>
      <c r="T265" s="16"/>
      <c r="U265" s="17">
        <f>IF(AND(COUNTA($A265:$L265)=0,$N265=""),"",IF($T265="Paid","PAID",IF($T265="Closed","CLOSED",IF($Z265="","",IF($Z265=6,"ESCALATED TO ROXANNE",IF(TODAY()&gt;$AB265,"OVERDUE",IF($AB265&lt;=WORKDAY(TODAY(),1,Holidays),"DUE TOMORROW",IF($Z265=4,"ESCALATED TO LOCAL OFFICE",IF($Z265=5,"ESCALATED TO CBE",IF($AA265=TODAY(),"EMAIL SENT","MONITORING"))))))))))</f>
        <v/>
      </c>
      <c r="V265" s="17">
        <f>IF($U265="",IF(AND(COUNTA($A265:$L265)&gt;0,$N265=""),"Awaiting Collection Email time stamp.",""),IF(OR($U265="PAID",$U265="CLOSED"),IF($U265="PAID","Account paid. Action completed.","Account closed. No further action required."),CHOOSE($Z265,"Collection Email","1st Email Follow-up","2nd Email Follow-up","Escalation to Local Office","Escalation to CBE","Escalation to Roxanne")&amp;" sent "&amp;TEXT($AA265,"dd-mmm")&amp;". "&amp;IF($Z265=6,"Final escalation completed.",IF($U265="OVERDUE","Next: "&amp;$AC265&amp;" was due "&amp;TEXT($AB265,"dd-mmm")&amp;" - "&amp;(NETWORKDAYS($AB265,TODAY(),Holidays)-1)&amp;" business day(s) late. Send now.",IF($U265="DUE TOMORROW","Next: "&amp;$AC265&amp;IF($AB265&lt;=TODAY()," is due TODAY ("," is due next business day (")&amp;TEXT($AB265,"dd-mmm")&amp;").","Next: "&amp;$AC265&amp;" due "&amp;TEXT($AB265,"dd-mmm")&amp;" ("&amp;(NETWORKDAYS(TODAY(),$AB265,Holidays)-1)&amp;" business day(s) left).")))))</f>
        <v/>
      </c>
      <c r="W265" s="17">
        <f>IF($Z265="","",CHOOSE($Z265,"Collection Email","1st Follow-up","2nd Follow-up","Local Office","CBE","Roxanne")&amp;IF($Z265=6," - Final"," - Day "&amp;MAX(0,NETWORKDAYS($AA265,TODAY(),Holidays)-1)&amp;" of "&amp;CHOOSE($Z265,3,3,2,2,3))&amp;" | Total Day "&amp;MAX(0,NETWORKDAYS($N265,TODAY(),Holidays)-1))</f>
        <v/>
      </c>
      <c r="X265" s="18"/>
      <c r="Y265" s="18"/>
      <c r="Z265" s="17">
        <f>IF($N265="","",COUNT($N265:$S265))</f>
        <v/>
      </c>
      <c r="AA265" s="19">
        <f>IF($Z265="","",INT(INDEX($N265:$S265,$Z265)))</f>
        <v/>
      </c>
      <c r="AB265" s="19">
        <f>IF(OR($Z265="",$Z265=6),"",WORKDAY($AA265,CHOOSE($Z265,3,3,2,2,3),Holidays))</f>
        <v/>
      </c>
      <c r="AC265" s="17">
        <f>IF(OR($Z265="",$Z265=6),"",CHOOSE($Z265,"1st Email Follow-up","2nd Email Follow-up","Escalate Local Office","Escalate to CBE","Escalate to Roxanne"))</f>
        <v/>
      </c>
    </row>
    <row r="266" spans="13:29">
      <c r="M266" s="14"/>
      <c r="T266" s="16"/>
      <c r="U266" s="17">
        <f>IF(AND(COUNTA($A266:$L266)=0,$N266=""),"",IF($T266="Paid","PAID",IF($T266="Closed","CLOSED",IF($Z266="","",IF($Z266=6,"ESCALATED TO ROXANNE",IF(TODAY()&gt;$AB266,"OVERDUE",IF($AB266&lt;=WORKDAY(TODAY(),1,Holidays),"DUE TOMORROW",IF($Z266=4,"ESCALATED TO LOCAL OFFICE",IF($Z266=5,"ESCALATED TO CBE",IF($AA266=TODAY(),"EMAIL SENT","MONITORING"))))))))))</f>
        <v/>
      </c>
      <c r="V266" s="17">
        <f>IF($U266="",IF(AND(COUNTA($A266:$L266)&gt;0,$N266=""),"Awaiting Collection Email time stamp.",""),IF(OR($U266="PAID",$U266="CLOSED"),IF($U266="PAID","Account paid. Action completed.","Account closed. No further action required."),CHOOSE($Z266,"Collection Email","1st Email Follow-up","2nd Email Follow-up","Escalation to Local Office","Escalation to CBE","Escalation to Roxanne")&amp;" sent "&amp;TEXT($AA266,"dd-mmm")&amp;". "&amp;IF($Z266=6,"Final escalation completed.",IF($U266="OVERDUE","Next: "&amp;$AC266&amp;" was due "&amp;TEXT($AB266,"dd-mmm")&amp;" - "&amp;(NETWORKDAYS($AB266,TODAY(),Holidays)-1)&amp;" business day(s) late. Send now.",IF($U266="DUE TOMORROW","Next: "&amp;$AC266&amp;IF($AB266&lt;=TODAY()," is due TODAY ("," is due next business day (")&amp;TEXT($AB266,"dd-mmm")&amp;").","Next: "&amp;$AC266&amp;" due "&amp;TEXT($AB266,"dd-mmm")&amp;" ("&amp;(NETWORKDAYS(TODAY(),$AB266,Holidays)-1)&amp;" business day(s) left).")))))</f>
        <v/>
      </c>
      <c r="W266" s="17">
        <f>IF($Z266="","",CHOOSE($Z266,"Collection Email","1st Follow-up","2nd Follow-up","Local Office","CBE","Roxanne")&amp;IF($Z266=6," - Final"," - Day "&amp;MAX(0,NETWORKDAYS($AA266,TODAY(),Holidays)-1)&amp;" of "&amp;CHOOSE($Z266,3,3,2,2,3))&amp;" | Total Day "&amp;MAX(0,NETWORKDAYS($N266,TODAY(),Holidays)-1))</f>
        <v/>
      </c>
      <c r="X266" s="18"/>
      <c r="Y266" s="18"/>
      <c r="Z266" s="17">
        <f>IF($N266="","",COUNT($N266:$S266))</f>
        <v/>
      </c>
      <c r="AA266" s="19">
        <f>IF($Z266="","",INT(INDEX($N266:$S266,$Z266)))</f>
        <v/>
      </c>
      <c r="AB266" s="19">
        <f>IF(OR($Z266="",$Z266=6),"",WORKDAY($AA266,CHOOSE($Z266,3,3,2,2,3),Holidays))</f>
        <v/>
      </c>
      <c r="AC266" s="17">
        <f>IF(OR($Z266="",$Z266=6),"",CHOOSE($Z266,"1st Email Follow-up","2nd Email Follow-up","Escalate Local Office","Escalate to CBE","Escalate to Roxanne"))</f>
        <v/>
      </c>
    </row>
    <row r="267" spans="13:29">
      <c r="M267" s="14"/>
      <c r="T267" s="16"/>
      <c r="U267" s="17">
        <f>IF(AND(COUNTA($A267:$L267)=0,$N267=""),"",IF($T267="Paid","PAID",IF($T267="Closed","CLOSED",IF($Z267="","",IF($Z267=6,"ESCALATED TO ROXANNE",IF(TODAY()&gt;$AB267,"OVERDUE",IF($AB267&lt;=WORKDAY(TODAY(),1,Holidays),"DUE TOMORROW",IF($Z267=4,"ESCALATED TO LOCAL OFFICE",IF($Z267=5,"ESCALATED TO CBE",IF($AA267=TODAY(),"EMAIL SENT","MONITORING"))))))))))</f>
        <v/>
      </c>
      <c r="V267" s="17">
        <f>IF($U267="",IF(AND(COUNTA($A267:$L267)&gt;0,$N267=""),"Awaiting Collection Email time stamp.",""),IF(OR($U267="PAID",$U267="CLOSED"),IF($U267="PAID","Account paid. Action completed.","Account closed. No further action required."),CHOOSE($Z267,"Collection Email","1st Email Follow-up","2nd Email Follow-up","Escalation to Local Office","Escalation to CBE","Escalation to Roxanne")&amp;" sent "&amp;TEXT($AA267,"dd-mmm")&amp;". "&amp;IF($Z267=6,"Final escalation completed.",IF($U267="OVERDUE","Next: "&amp;$AC267&amp;" was due "&amp;TEXT($AB267,"dd-mmm")&amp;" - "&amp;(NETWORKDAYS($AB267,TODAY(),Holidays)-1)&amp;" business day(s) late. Send now.",IF($U267="DUE TOMORROW","Next: "&amp;$AC267&amp;IF($AB267&lt;=TODAY()," is due TODAY ("," is due next business day (")&amp;TEXT($AB267,"dd-mmm")&amp;").","Next: "&amp;$AC267&amp;" due "&amp;TEXT($AB267,"dd-mmm")&amp;" ("&amp;(NETWORKDAYS(TODAY(),$AB267,Holidays)-1)&amp;" business day(s) left).")))))</f>
        <v/>
      </c>
      <c r="W267" s="17">
        <f>IF($Z267="","",CHOOSE($Z267,"Collection Email","1st Follow-up","2nd Follow-up","Local Office","CBE","Roxanne")&amp;IF($Z267=6," - Final"," - Day "&amp;MAX(0,NETWORKDAYS($AA267,TODAY(),Holidays)-1)&amp;" of "&amp;CHOOSE($Z267,3,3,2,2,3))&amp;" | Total Day "&amp;MAX(0,NETWORKDAYS($N267,TODAY(),Holidays)-1))</f>
        <v/>
      </c>
      <c r="X267" s="18"/>
      <c r="Y267" s="18"/>
      <c r="Z267" s="17">
        <f>IF($N267="","",COUNT($N267:$S267))</f>
        <v/>
      </c>
      <c r="AA267" s="19">
        <f>IF($Z267="","",INT(INDEX($N267:$S267,$Z267)))</f>
        <v/>
      </c>
      <c r="AB267" s="19">
        <f>IF(OR($Z267="",$Z267=6),"",WORKDAY($AA267,CHOOSE($Z267,3,3,2,2,3),Holidays))</f>
        <v/>
      </c>
      <c r="AC267" s="17">
        <f>IF(OR($Z267="",$Z267=6),"",CHOOSE($Z267,"1st Email Follow-up","2nd Email Follow-up","Escalate Local Office","Escalate to CBE","Escalate to Roxanne"))</f>
        <v/>
      </c>
    </row>
    <row r="268" spans="13:29">
      <c r="M268" s="14"/>
      <c r="T268" s="16"/>
      <c r="U268" s="17">
        <f>IF(AND(COUNTA($A268:$L268)=0,$N268=""),"",IF($T268="Paid","PAID",IF($T268="Closed","CLOSED",IF($Z268="","",IF($Z268=6,"ESCALATED TO ROXANNE",IF(TODAY()&gt;$AB268,"OVERDUE",IF($AB268&lt;=WORKDAY(TODAY(),1,Holidays),"DUE TOMORROW",IF($Z268=4,"ESCALATED TO LOCAL OFFICE",IF($Z268=5,"ESCALATED TO CBE",IF($AA268=TODAY(),"EMAIL SENT","MONITORING"))))))))))</f>
        <v/>
      </c>
      <c r="V268" s="17">
        <f>IF($U268="",IF(AND(COUNTA($A268:$L268)&gt;0,$N268=""),"Awaiting Collection Email time stamp.",""),IF(OR($U268="PAID",$U268="CLOSED"),IF($U268="PAID","Account paid. Action completed.","Account closed. No further action required."),CHOOSE($Z268,"Collection Email","1st Email Follow-up","2nd Email Follow-up","Escalation to Local Office","Escalation to CBE","Escalation to Roxanne")&amp;" sent "&amp;TEXT($AA268,"dd-mmm")&amp;". "&amp;IF($Z268=6,"Final escalation completed.",IF($U268="OVERDUE","Next: "&amp;$AC268&amp;" was due "&amp;TEXT($AB268,"dd-mmm")&amp;" - "&amp;(NETWORKDAYS($AB268,TODAY(),Holidays)-1)&amp;" business day(s) late. Send now.",IF($U268="DUE TOMORROW","Next: "&amp;$AC268&amp;IF($AB268&lt;=TODAY()," is due TODAY ("," is due next business day (")&amp;TEXT($AB268,"dd-mmm")&amp;").","Next: "&amp;$AC268&amp;" due "&amp;TEXT($AB268,"dd-mmm")&amp;" ("&amp;(NETWORKDAYS(TODAY(),$AB268,Holidays)-1)&amp;" business day(s) left).")))))</f>
        <v/>
      </c>
      <c r="W268" s="17">
        <f>IF($Z268="","",CHOOSE($Z268,"Collection Email","1st Follow-up","2nd Follow-up","Local Office","CBE","Roxanne")&amp;IF($Z268=6," - Final"," - Day "&amp;MAX(0,NETWORKDAYS($AA268,TODAY(),Holidays)-1)&amp;" of "&amp;CHOOSE($Z268,3,3,2,2,3))&amp;" | Total Day "&amp;MAX(0,NETWORKDAYS($N268,TODAY(),Holidays)-1))</f>
        <v/>
      </c>
      <c r="X268" s="18"/>
      <c r="Y268" s="18"/>
      <c r="Z268" s="17">
        <f>IF($N268="","",COUNT($N268:$S268))</f>
        <v/>
      </c>
      <c r="AA268" s="19">
        <f>IF($Z268="","",INT(INDEX($N268:$S268,$Z268)))</f>
        <v/>
      </c>
      <c r="AB268" s="19">
        <f>IF(OR($Z268="",$Z268=6),"",WORKDAY($AA268,CHOOSE($Z268,3,3,2,2,3),Holidays))</f>
        <v/>
      </c>
      <c r="AC268" s="17">
        <f>IF(OR($Z268="",$Z268=6),"",CHOOSE($Z268,"1st Email Follow-up","2nd Email Follow-up","Escalate Local Office","Escalate to CBE","Escalate to Roxanne"))</f>
        <v/>
      </c>
    </row>
    <row r="269" spans="13:29">
      <c r="M269" s="14"/>
      <c r="T269" s="16"/>
      <c r="U269" s="17">
        <f>IF(AND(COUNTA($A269:$L269)=0,$N269=""),"",IF($T269="Paid","PAID",IF($T269="Closed","CLOSED",IF($Z269="","",IF($Z269=6,"ESCALATED TO ROXANNE",IF(TODAY()&gt;$AB269,"OVERDUE",IF($AB269&lt;=WORKDAY(TODAY(),1,Holidays),"DUE TOMORROW",IF($Z269=4,"ESCALATED TO LOCAL OFFICE",IF($Z269=5,"ESCALATED TO CBE",IF($AA269=TODAY(),"EMAIL SENT","MONITORING"))))))))))</f>
        <v/>
      </c>
      <c r="V269" s="17">
        <f>IF($U269="",IF(AND(COUNTA($A269:$L269)&gt;0,$N269=""),"Awaiting Collection Email time stamp.",""),IF(OR($U269="PAID",$U269="CLOSED"),IF($U269="PAID","Account paid. Action completed.","Account closed. No further action required."),CHOOSE($Z269,"Collection Email","1st Email Follow-up","2nd Email Follow-up","Escalation to Local Office","Escalation to CBE","Escalation to Roxanne")&amp;" sent "&amp;TEXT($AA269,"dd-mmm")&amp;". "&amp;IF($Z269=6,"Final escalation completed.",IF($U269="OVERDUE","Next: "&amp;$AC269&amp;" was due "&amp;TEXT($AB269,"dd-mmm")&amp;" - "&amp;(NETWORKDAYS($AB269,TODAY(),Holidays)-1)&amp;" business day(s) late. Send now.",IF($U269="DUE TOMORROW","Next: "&amp;$AC269&amp;IF($AB269&lt;=TODAY()," is due TODAY ("," is due next business day (")&amp;TEXT($AB269,"dd-mmm")&amp;").","Next: "&amp;$AC269&amp;" due "&amp;TEXT($AB269,"dd-mmm")&amp;" ("&amp;(NETWORKDAYS(TODAY(),$AB269,Holidays)-1)&amp;" business day(s) left).")))))</f>
        <v/>
      </c>
      <c r="W269" s="17">
        <f>IF($Z269="","",CHOOSE($Z269,"Collection Email","1st Follow-up","2nd Follow-up","Local Office","CBE","Roxanne")&amp;IF($Z269=6," - Final"," - Day "&amp;MAX(0,NETWORKDAYS($AA269,TODAY(),Holidays)-1)&amp;" of "&amp;CHOOSE($Z269,3,3,2,2,3))&amp;" | Total Day "&amp;MAX(0,NETWORKDAYS($N269,TODAY(),Holidays)-1))</f>
        <v/>
      </c>
      <c r="X269" s="18"/>
      <c r="Y269" s="18"/>
      <c r="Z269" s="17">
        <f>IF($N269="","",COUNT($N269:$S269))</f>
        <v/>
      </c>
      <c r="AA269" s="19">
        <f>IF($Z269="","",INT(INDEX($N269:$S269,$Z269)))</f>
        <v/>
      </c>
      <c r="AB269" s="19">
        <f>IF(OR($Z269="",$Z269=6),"",WORKDAY($AA269,CHOOSE($Z269,3,3,2,2,3),Holidays))</f>
        <v/>
      </c>
      <c r="AC269" s="17">
        <f>IF(OR($Z269="",$Z269=6),"",CHOOSE($Z269,"1st Email Follow-up","2nd Email Follow-up","Escalate Local Office","Escalate to CBE","Escalate to Roxanne"))</f>
        <v/>
      </c>
    </row>
    <row r="270" spans="13:29">
      <c r="M270" s="14"/>
      <c r="T270" s="16"/>
      <c r="U270" s="17">
        <f>IF(AND(COUNTA($A270:$L270)=0,$N270=""),"",IF($T270="Paid","PAID",IF($T270="Closed","CLOSED",IF($Z270="","",IF($Z270=6,"ESCALATED TO ROXANNE",IF(TODAY()&gt;$AB270,"OVERDUE",IF($AB270&lt;=WORKDAY(TODAY(),1,Holidays),"DUE TOMORROW",IF($Z270=4,"ESCALATED TO LOCAL OFFICE",IF($Z270=5,"ESCALATED TO CBE",IF($AA270=TODAY(),"EMAIL SENT","MONITORING"))))))))))</f>
        <v/>
      </c>
      <c r="V270" s="17">
        <f>IF($U270="",IF(AND(COUNTA($A270:$L270)&gt;0,$N270=""),"Awaiting Collection Email time stamp.",""),IF(OR($U270="PAID",$U270="CLOSED"),IF($U270="PAID","Account paid. Action completed.","Account closed. No further action required."),CHOOSE($Z270,"Collection Email","1st Email Follow-up","2nd Email Follow-up","Escalation to Local Office","Escalation to CBE","Escalation to Roxanne")&amp;" sent "&amp;TEXT($AA270,"dd-mmm")&amp;". "&amp;IF($Z270=6,"Final escalation completed.",IF($U270="OVERDUE","Next: "&amp;$AC270&amp;" was due "&amp;TEXT($AB270,"dd-mmm")&amp;" - "&amp;(NETWORKDAYS($AB270,TODAY(),Holidays)-1)&amp;" business day(s) late. Send now.",IF($U270="DUE TOMORROW","Next: "&amp;$AC270&amp;IF($AB270&lt;=TODAY()," is due TODAY ("," is due next business day (")&amp;TEXT($AB270,"dd-mmm")&amp;").","Next: "&amp;$AC270&amp;" due "&amp;TEXT($AB270,"dd-mmm")&amp;" ("&amp;(NETWORKDAYS(TODAY(),$AB270,Holidays)-1)&amp;" business day(s) left).")))))</f>
        <v/>
      </c>
      <c r="W270" s="17">
        <f>IF($Z270="","",CHOOSE($Z270,"Collection Email","1st Follow-up","2nd Follow-up","Local Office","CBE","Roxanne")&amp;IF($Z270=6," - Final"," - Day "&amp;MAX(0,NETWORKDAYS($AA270,TODAY(),Holidays)-1)&amp;" of "&amp;CHOOSE($Z270,3,3,2,2,3))&amp;" | Total Day "&amp;MAX(0,NETWORKDAYS($N270,TODAY(),Holidays)-1))</f>
        <v/>
      </c>
      <c r="X270" s="18"/>
      <c r="Y270" s="18"/>
      <c r="Z270" s="17">
        <f>IF($N270="","",COUNT($N270:$S270))</f>
        <v/>
      </c>
      <c r="AA270" s="19">
        <f>IF($Z270="","",INT(INDEX($N270:$S270,$Z270)))</f>
        <v/>
      </c>
      <c r="AB270" s="19">
        <f>IF(OR($Z270="",$Z270=6),"",WORKDAY($AA270,CHOOSE($Z270,3,3,2,2,3),Holidays))</f>
        <v/>
      </c>
      <c r="AC270" s="17">
        <f>IF(OR($Z270="",$Z270=6),"",CHOOSE($Z270,"1st Email Follow-up","2nd Email Follow-up","Escalate Local Office","Escalate to CBE","Escalate to Roxanne"))</f>
        <v/>
      </c>
    </row>
    <row r="271" spans="13:29">
      <c r="M271" s="14"/>
      <c r="T271" s="16"/>
      <c r="U271" s="17">
        <f>IF(AND(COUNTA($A271:$L271)=0,$N271=""),"",IF($T271="Paid","PAID",IF($T271="Closed","CLOSED",IF($Z271="","",IF($Z271=6,"ESCALATED TO ROXANNE",IF(TODAY()&gt;$AB271,"OVERDUE",IF($AB271&lt;=WORKDAY(TODAY(),1,Holidays),"DUE TOMORROW",IF($Z271=4,"ESCALATED TO LOCAL OFFICE",IF($Z271=5,"ESCALATED TO CBE",IF($AA271=TODAY(),"EMAIL SENT","MONITORING"))))))))))</f>
        <v/>
      </c>
      <c r="V271" s="17">
        <f>IF($U271="",IF(AND(COUNTA($A271:$L271)&gt;0,$N271=""),"Awaiting Collection Email time stamp.",""),IF(OR($U271="PAID",$U271="CLOSED"),IF($U271="PAID","Account paid. Action completed.","Account closed. No further action required."),CHOOSE($Z271,"Collection Email","1st Email Follow-up","2nd Email Follow-up","Escalation to Local Office","Escalation to CBE","Escalation to Roxanne")&amp;" sent "&amp;TEXT($AA271,"dd-mmm")&amp;". "&amp;IF($Z271=6,"Final escalation completed.",IF($U271="OVERDUE","Next: "&amp;$AC271&amp;" was due "&amp;TEXT($AB271,"dd-mmm")&amp;" - "&amp;(NETWORKDAYS($AB271,TODAY(),Holidays)-1)&amp;" business day(s) late. Send now.",IF($U271="DUE TOMORROW","Next: "&amp;$AC271&amp;IF($AB271&lt;=TODAY()," is due TODAY ("," is due next business day (")&amp;TEXT($AB271,"dd-mmm")&amp;").","Next: "&amp;$AC271&amp;" due "&amp;TEXT($AB271,"dd-mmm")&amp;" ("&amp;(NETWORKDAYS(TODAY(),$AB271,Holidays)-1)&amp;" business day(s) left).")))))</f>
        <v/>
      </c>
      <c r="W271" s="17">
        <f>IF($Z271="","",CHOOSE($Z271,"Collection Email","1st Follow-up","2nd Follow-up","Local Office","CBE","Roxanne")&amp;IF($Z271=6," - Final"," - Day "&amp;MAX(0,NETWORKDAYS($AA271,TODAY(),Holidays)-1)&amp;" of "&amp;CHOOSE($Z271,3,3,2,2,3))&amp;" | Total Day "&amp;MAX(0,NETWORKDAYS($N271,TODAY(),Holidays)-1))</f>
        <v/>
      </c>
      <c r="X271" s="18"/>
      <c r="Y271" s="18"/>
      <c r="Z271" s="17">
        <f>IF($N271="","",COUNT($N271:$S271))</f>
        <v/>
      </c>
      <c r="AA271" s="19">
        <f>IF($Z271="","",INT(INDEX($N271:$S271,$Z271)))</f>
        <v/>
      </c>
      <c r="AB271" s="19">
        <f>IF(OR($Z271="",$Z271=6),"",WORKDAY($AA271,CHOOSE($Z271,3,3,2,2,3),Holidays))</f>
        <v/>
      </c>
      <c r="AC271" s="17">
        <f>IF(OR($Z271="",$Z271=6),"",CHOOSE($Z271,"1st Email Follow-up","2nd Email Follow-up","Escalate Local Office","Escalate to CBE","Escalate to Roxanne"))</f>
        <v/>
      </c>
    </row>
    <row r="272" spans="13:29">
      <c r="M272" s="14"/>
      <c r="T272" s="16"/>
      <c r="U272" s="17">
        <f>IF(AND(COUNTA($A272:$L272)=0,$N272=""),"",IF($T272="Paid","PAID",IF($T272="Closed","CLOSED",IF($Z272="","",IF($Z272=6,"ESCALATED TO ROXANNE",IF(TODAY()&gt;$AB272,"OVERDUE",IF($AB272&lt;=WORKDAY(TODAY(),1,Holidays),"DUE TOMORROW",IF($Z272=4,"ESCALATED TO LOCAL OFFICE",IF($Z272=5,"ESCALATED TO CBE",IF($AA272=TODAY(),"EMAIL SENT","MONITORING"))))))))))</f>
        <v/>
      </c>
      <c r="V272" s="17">
        <f>IF($U272="",IF(AND(COUNTA($A272:$L272)&gt;0,$N272=""),"Awaiting Collection Email time stamp.",""),IF(OR($U272="PAID",$U272="CLOSED"),IF($U272="PAID","Account paid. Action completed.","Account closed. No further action required."),CHOOSE($Z272,"Collection Email","1st Email Follow-up","2nd Email Follow-up","Escalation to Local Office","Escalation to CBE","Escalation to Roxanne")&amp;" sent "&amp;TEXT($AA272,"dd-mmm")&amp;". "&amp;IF($Z272=6,"Final escalation completed.",IF($U272="OVERDUE","Next: "&amp;$AC272&amp;" was due "&amp;TEXT($AB272,"dd-mmm")&amp;" - "&amp;(NETWORKDAYS($AB272,TODAY(),Holidays)-1)&amp;" business day(s) late. Send now.",IF($U272="DUE TOMORROW","Next: "&amp;$AC272&amp;IF($AB272&lt;=TODAY()," is due TODAY ("," is due next business day (")&amp;TEXT($AB272,"dd-mmm")&amp;").","Next: "&amp;$AC272&amp;" due "&amp;TEXT($AB272,"dd-mmm")&amp;" ("&amp;(NETWORKDAYS(TODAY(),$AB272,Holidays)-1)&amp;" business day(s) left).")))))</f>
        <v/>
      </c>
      <c r="W272" s="17">
        <f>IF($Z272="","",CHOOSE($Z272,"Collection Email","1st Follow-up","2nd Follow-up","Local Office","CBE","Roxanne")&amp;IF($Z272=6," - Final"," - Day "&amp;MAX(0,NETWORKDAYS($AA272,TODAY(),Holidays)-1)&amp;" of "&amp;CHOOSE($Z272,3,3,2,2,3))&amp;" | Total Day "&amp;MAX(0,NETWORKDAYS($N272,TODAY(),Holidays)-1))</f>
        <v/>
      </c>
      <c r="X272" s="18"/>
      <c r="Y272" s="18"/>
      <c r="Z272" s="17">
        <f>IF($N272="","",COUNT($N272:$S272))</f>
        <v/>
      </c>
      <c r="AA272" s="19">
        <f>IF($Z272="","",INT(INDEX($N272:$S272,$Z272)))</f>
        <v/>
      </c>
      <c r="AB272" s="19">
        <f>IF(OR($Z272="",$Z272=6),"",WORKDAY($AA272,CHOOSE($Z272,3,3,2,2,3),Holidays))</f>
        <v/>
      </c>
      <c r="AC272" s="17">
        <f>IF(OR($Z272="",$Z272=6),"",CHOOSE($Z272,"1st Email Follow-up","2nd Email Follow-up","Escalate Local Office","Escalate to CBE","Escalate to Roxanne"))</f>
        <v/>
      </c>
    </row>
    <row r="273" spans="13:29">
      <c r="M273" s="14"/>
      <c r="T273" s="16"/>
      <c r="U273" s="17">
        <f>IF(AND(COUNTA($A273:$L273)=0,$N273=""),"",IF($T273="Paid","PAID",IF($T273="Closed","CLOSED",IF($Z273="","",IF($Z273=6,"ESCALATED TO ROXANNE",IF(TODAY()&gt;$AB273,"OVERDUE",IF($AB273&lt;=WORKDAY(TODAY(),1,Holidays),"DUE TOMORROW",IF($Z273=4,"ESCALATED TO LOCAL OFFICE",IF($Z273=5,"ESCALATED TO CBE",IF($AA273=TODAY(),"EMAIL SENT","MONITORING"))))))))))</f>
        <v/>
      </c>
      <c r="V273" s="17">
        <f>IF($U273="",IF(AND(COUNTA($A273:$L273)&gt;0,$N273=""),"Awaiting Collection Email time stamp.",""),IF(OR($U273="PAID",$U273="CLOSED"),IF($U273="PAID","Account paid. Action completed.","Account closed. No further action required."),CHOOSE($Z273,"Collection Email","1st Email Follow-up","2nd Email Follow-up","Escalation to Local Office","Escalation to CBE","Escalation to Roxanne")&amp;" sent "&amp;TEXT($AA273,"dd-mmm")&amp;". "&amp;IF($Z273=6,"Final escalation completed.",IF($U273="OVERDUE","Next: "&amp;$AC273&amp;" was due "&amp;TEXT($AB273,"dd-mmm")&amp;" - "&amp;(NETWORKDAYS($AB273,TODAY(),Holidays)-1)&amp;" business day(s) late. Send now.",IF($U273="DUE TOMORROW","Next: "&amp;$AC273&amp;IF($AB273&lt;=TODAY()," is due TODAY ("," is due next business day (")&amp;TEXT($AB273,"dd-mmm")&amp;").","Next: "&amp;$AC273&amp;" due "&amp;TEXT($AB273,"dd-mmm")&amp;" ("&amp;(NETWORKDAYS(TODAY(),$AB273,Holidays)-1)&amp;" business day(s) left).")))))</f>
        <v/>
      </c>
      <c r="W273" s="17">
        <f>IF($Z273="","",CHOOSE($Z273,"Collection Email","1st Follow-up","2nd Follow-up","Local Office","CBE","Roxanne")&amp;IF($Z273=6," - Final"," - Day "&amp;MAX(0,NETWORKDAYS($AA273,TODAY(),Holidays)-1)&amp;" of "&amp;CHOOSE($Z273,3,3,2,2,3))&amp;" | Total Day "&amp;MAX(0,NETWORKDAYS($N273,TODAY(),Holidays)-1))</f>
        <v/>
      </c>
      <c r="X273" s="18"/>
      <c r="Y273" s="18"/>
      <c r="Z273" s="17">
        <f>IF($N273="","",COUNT($N273:$S273))</f>
        <v/>
      </c>
      <c r="AA273" s="19">
        <f>IF($Z273="","",INT(INDEX($N273:$S273,$Z273)))</f>
        <v/>
      </c>
      <c r="AB273" s="19">
        <f>IF(OR($Z273="",$Z273=6),"",WORKDAY($AA273,CHOOSE($Z273,3,3,2,2,3),Holidays))</f>
        <v/>
      </c>
      <c r="AC273" s="17">
        <f>IF(OR($Z273="",$Z273=6),"",CHOOSE($Z273,"1st Email Follow-up","2nd Email Follow-up","Escalate Local Office","Escalate to CBE","Escalate to Roxanne"))</f>
        <v/>
      </c>
    </row>
    <row r="274" spans="13:29">
      <c r="M274" s="14"/>
      <c r="T274" s="16"/>
      <c r="U274" s="17">
        <f>IF(AND(COUNTA($A274:$L274)=0,$N274=""),"",IF($T274="Paid","PAID",IF($T274="Closed","CLOSED",IF($Z274="","",IF($Z274=6,"ESCALATED TO ROXANNE",IF(TODAY()&gt;$AB274,"OVERDUE",IF($AB274&lt;=WORKDAY(TODAY(),1,Holidays),"DUE TOMORROW",IF($Z274=4,"ESCALATED TO LOCAL OFFICE",IF($Z274=5,"ESCALATED TO CBE",IF($AA274=TODAY(),"EMAIL SENT","MONITORING"))))))))))</f>
        <v/>
      </c>
      <c r="V274" s="17">
        <f>IF($U274="",IF(AND(COUNTA($A274:$L274)&gt;0,$N274=""),"Awaiting Collection Email time stamp.",""),IF(OR($U274="PAID",$U274="CLOSED"),IF($U274="PAID","Account paid. Action completed.","Account closed. No further action required."),CHOOSE($Z274,"Collection Email","1st Email Follow-up","2nd Email Follow-up","Escalation to Local Office","Escalation to CBE","Escalation to Roxanne")&amp;" sent "&amp;TEXT($AA274,"dd-mmm")&amp;". "&amp;IF($Z274=6,"Final escalation completed.",IF($U274="OVERDUE","Next: "&amp;$AC274&amp;" was due "&amp;TEXT($AB274,"dd-mmm")&amp;" - "&amp;(NETWORKDAYS($AB274,TODAY(),Holidays)-1)&amp;" business day(s) late. Send now.",IF($U274="DUE TOMORROW","Next: "&amp;$AC274&amp;IF($AB274&lt;=TODAY()," is due TODAY ("," is due next business day (")&amp;TEXT($AB274,"dd-mmm")&amp;").","Next: "&amp;$AC274&amp;" due "&amp;TEXT($AB274,"dd-mmm")&amp;" ("&amp;(NETWORKDAYS(TODAY(),$AB274,Holidays)-1)&amp;" business day(s) left).")))))</f>
        <v/>
      </c>
      <c r="W274" s="17">
        <f>IF($Z274="","",CHOOSE($Z274,"Collection Email","1st Follow-up","2nd Follow-up","Local Office","CBE","Roxanne")&amp;IF($Z274=6," - Final"," - Day "&amp;MAX(0,NETWORKDAYS($AA274,TODAY(),Holidays)-1)&amp;" of "&amp;CHOOSE($Z274,3,3,2,2,3))&amp;" | Total Day "&amp;MAX(0,NETWORKDAYS($N274,TODAY(),Holidays)-1))</f>
        <v/>
      </c>
      <c r="X274" s="18"/>
      <c r="Y274" s="18"/>
      <c r="Z274" s="17">
        <f>IF($N274="","",COUNT($N274:$S274))</f>
        <v/>
      </c>
      <c r="AA274" s="19">
        <f>IF($Z274="","",INT(INDEX($N274:$S274,$Z274)))</f>
        <v/>
      </c>
      <c r="AB274" s="19">
        <f>IF(OR($Z274="",$Z274=6),"",WORKDAY($AA274,CHOOSE($Z274,3,3,2,2,3),Holidays))</f>
        <v/>
      </c>
      <c r="AC274" s="17">
        <f>IF(OR($Z274="",$Z274=6),"",CHOOSE($Z274,"1st Email Follow-up","2nd Email Follow-up","Escalate Local Office","Escalate to CBE","Escalate to Roxanne"))</f>
        <v/>
      </c>
    </row>
    <row r="275" spans="13:29">
      <c r="M275" s="14"/>
      <c r="T275" s="16"/>
      <c r="U275" s="17">
        <f>IF(AND(COUNTA($A275:$L275)=0,$N275=""),"",IF($T275="Paid","PAID",IF($T275="Closed","CLOSED",IF($Z275="","",IF($Z275=6,"ESCALATED TO ROXANNE",IF(TODAY()&gt;$AB275,"OVERDUE",IF($AB275&lt;=WORKDAY(TODAY(),1,Holidays),"DUE TOMORROW",IF($Z275=4,"ESCALATED TO LOCAL OFFICE",IF($Z275=5,"ESCALATED TO CBE",IF($AA275=TODAY(),"EMAIL SENT","MONITORING"))))))))))</f>
        <v/>
      </c>
      <c r="V275" s="17">
        <f>IF($U275="",IF(AND(COUNTA($A275:$L275)&gt;0,$N275=""),"Awaiting Collection Email time stamp.",""),IF(OR($U275="PAID",$U275="CLOSED"),IF($U275="PAID","Account paid. Action completed.","Account closed. No further action required."),CHOOSE($Z275,"Collection Email","1st Email Follow-up","2nd Email Follow-up","Escalation to Local Office","Escalation to CBE","Escalation to Roxanne")&amp;" sent "&amp;TEXT($AA275,"dd-mmm")&amp;". "&amp;IF($Z275=6,"Final escalation completed.",IF($U275="OVERDUE","Next: "&amp;$AC275&amp;" was due "&amp;TEXT($AB275,"dd-mmm")&amp;" - "&amp;(NETWORKDAYS($AB275,TODAY(),Holidays)-1)&amp;" business day(s) late. Send now.",IF($U275="DUE TOMORROW","Next: "&amp;$AC275&amp;IF($AB275&lt;=TODAY()," is due TODAY ("," is due next business day (")&amp;TEXT($AB275,"dd-mmm")&amp;").","Next: "&amp;$AC275&amp;" due "&amp;TEXT($AB275,"dd-mmm")&amp;" ("&amp;(NETWORKDAYS(TODAY(),$AB275,Holidays)-1)&amp;" business day(s) left).")))))</f>
        <v/>
      </c>
      <c r="W275" s="17">
        <f>IF($Z275="","",CHOOSE($Z275,"Collection Email","1st Follow-up","2nd Follow-up","Local Office","CBE","Roxanne")&amp;IF($Z275=6," - Final"," - Day "&amp;MAX(0,NETWORKDAYS($AA275,TODAY(),Holidays)-1)&amp;" of "&amp;CHOOSE($Z275,3,3,2,2,3))&amp;" | Total Day "&amp;MAX(0,NETWORKDAYS($N275,TODAY(),Holidays)-1))</f>
        <v/>
      </c>
      <c r="X275" s="18"/>
      <c r="Y275" s="18"/>
      <c r="Z275" s="17">
        <f>IF($N275="","",COUNT($N275:$S275))</f>
        <v/>
      </c>
      <c r="AA275" s="19">
        <f>IF($Z275="","",INT(INDEX($N275:$S275,$Z275)))</f>
        <v/>
      </c>
      <c r="AB275" s="19">
        <f>IF(OR($Z275="",$Z275=6),"",WORKDAY($AA275,CHOOSE($Z275,3,3,2,2,3),Holidays))</f>
        <v/>
      </c>
      <c r="AC275" s="17">
        <f>IF(OR($Z275="",$Z275=6),"",CHOOSE($Z275,"1st Email Follow-up","2nd Email Follow-up","Escalate Local Office","Escalate to CBE","Escalate to Roxanne"))</f>
        <v/>
      </c>
    </row>
    <row r="276" spans="13:29">
      <c r="M276" s="14"/>
      <c r="T276" s="16"/>
      <c r="U276" s="17">
        <f>IF(AND(COUNTA($A276:$L276)=0,$N276=""),"",IF($T276="Paid","PAID",IF($T276="Closed","CLOSED",IF($Z276="","",IF($Z276=6,"ESCALATED TO ROXANNE",IF(TODAY()&gt;$AB276,"OVERDUE",IF($AB276&lt;=WORKDAY(TODAY(),1,Holidays),"DUE TOMORROW",IF($Z276=4,"ESCALATED TO LOCAL OFFICE",IF($Z276=5,"ESCALATED TO CBE",IF($AA276=TODAY(),"EMAIL SENT","MONITORING"))))))))))</f>
        <v/>
      </c>
      <c r="V276" s="17">
        <f>IF($U276="",IF(AND(COUNTA($A276:$L276)&gt;0,$N276=""),"Awaiting Collection Email time stamp.",""),IF(OR($U276="PAID",$U276="CLOSED"),IF($U276="PAID","Account paid. Action completed.","Account closed. No further action required."),CHOOSE($Z276,"Collection Email","1st Email Follow-up","2nd Email Follow-up","Escalation to Local Office","Escalation to CBE","Escalation to Roxanne")&amp;" sent "&amp;TEXT($AA276,"dd-mmm")&amp;". "&amp;IF($Z276=6,"Final escalation completed.",IF($U276="OVERDUE","Next: "&amp;$AC276&amp;" was due "&amp;TEXT($AB276,"dd-mmm")&amp;" - "&amp;(NETWORKDAYS($AB276,TODAY(),Holidays)-1)&amp;" business day(s) late. Send now.",IF($U276="DUE TOMORROW","Next: "&amp;$AC276&amp;IF($AB276&lt;=TODAY()," is due TODAY ("," is due next business day (")&amp;TEXT($AB276,"dd-mmm")&amp;").","Next: "&amp;$AC276&amp;" due "&amp;TEXT($AB276,"dd-mmm")&amp;" ("&amp;(NETWORKDAYS(TODAY(),$AB276,Holidays)-1)&amp;" business day(s) left).")))))</f>
        <v/>
      </c>
      <c r="W276" s="17">
        <f>IF($Z276="","",CHOOSE($Z276,"Collection Email","1st Follow-up","2nd Follow-up","Local Office","CBE","Roxanne")&amp;IF($Z276=6," - Final"," - Day "&amp;MAX(0,NETWORKDAYS($AA276,TODAY(),Holidays)-1)&amp;" of "&amp;CHOOSE($Z276,3,3,2,2,3))&amp;" | Total Day "&amp;MAX(0,NETWORKDAYS($N276,TODAY(),Holidays)-1))</f>
        <v/>
      </c>
      <c r="X276" s="18"/>
      <c r="Y276" s="18"/>
      <c r="Z276" s="17">
        <f>IF($N276="","",COUNT($N276:$S276))</f>
        <v/>
      </c>
      <c r="AA276" s="19">
        <f>IF($Z276="","",INT(INDEX($N276:$S276,$Z276)))</f>
        <v/>
      </c>
      <c r="AB276" s="19">
        <f>IF(OR($Z276="",$Z276=6),"",WORKDAY($AA276,CHOOSE($Z276,3,3,2,2,3),Holidays))</f>
        <v/>
      </c>
      <c r="AC276" s="17">
        <f>IF(OR($Z276="",$Z276=6),"",CHOOSE($Z276,"1st Email Follow-up","2nd Email Follow-up","Escalate Local Office","Escalate to CBE","Escalate to Roxanne"))</f>
        <v/>
      </c>
    </row>
    <row r="277" spans="13:29">
      <c r="M277" s="14"/>
      <c r="T277" s="16"/>
      <c r="U277" s="17">
        <f>IF(AND(COUNTA($A277:$L277)=0,$N277=""),"",IF($T277="Paid","PAID",IF($T277="Closed","CLOSED",IF($Z277="","",IF($Z277=6,"ESCALATED TO ROXANNE",IF(TODAY()&gt;$AB277,"OVERDUE",IF($AB277&lt;=WORKDAY(TODAY(),1,Holidays),"DUE TOMORROW",IF($Z277=4,"ESCALATED TO LOCAL OFFICE",IF($Z277=5,"ESCALATED TO CBE",IF($AA277=TODAY(),"EMAIL SENT","MONITORING"))))))))))</f>
        <v/>
      </c>
      <c r="V277" s="17">
        <f>IF($U277="",IF(AND(COUNTA($A277:$L277)&gt;0,$N277=""),"Awaiting Collection Email time stamp.",""),IF(OR($U277="PAID",$U277="CLOSED"),IF($U277="PAID","Account paid. Action completed.","Account closed. No further action required."),CHOOSE($Z277,"Collection Email","1st Email Follow-up","2nd Email Follow-up","Escalation to Local Office","Escalation to CBE","Escalation to Roxanne")&amp;" sent "&amp;TEXT($AA277,"dd-mmm")&amp;". "&amp;IF($Z277=6,"Final escalation completed.",IF($U277="OVERDUE","Next: "&amp;$AC277&amp;" was due "&amp;TEXT($AB277,"dd-mmm")&amp;" - "&amp;(NETWORKDAYS($AB277,TODAY(),Holidays)-1)&amp;" business day(s) late. Send now.",IF($U277="DUE TOMORROW","Next: "&amp;$AC277&amp;IF($AB277&lt;=TODAY()," is due TODAY ("," is due next business day (")&amp;TEXT($AB277,"dd-mmm")&amp;").","Next: "&amp;$AC277&amp;" due "&amp;TEXT($AB277,"dd-mmm")&amp;" ("&amp;(NETWORKDAYS(TODAY(),$AB277,Holidays)-1)&amp;" business day(s) left).")))))</f>
        <v/>
      </c>
      <c r="W277" s="17">
        <f>IF($Z277="","",CHOOSE($Z277,"Collection Email","1st Follow-up","2nd Follow-up","Local Office","CBE","Roxanne")&amp;IF($Z277=6," - Final"," - Day "&amp;MAX(0,NETWORKDAYS($AA277,TODAY(),Holidays)-1)&amp;" of "&amp;CHOOSE($Z277,3,3,2,2,3))&amp;" | Total Day "&amp;MAX(0,NETWORKDAYS($N277,TODAY(),Holidays)-1))</f>
        <v/>
      </c>
      <c r="X277" s="18"/>
      <c r="Y277" s="18"/>
      <c r="Z277" s="17">
        <f>IF($N277="","",COUNT($N277:$S277))</f>
        <v/>
      </c>
      <c r="AA277" s="19">
        <f>IF($Z277="","",INT(INDEX($N277:$S277,$Z277)))</f>
        <v/>
      </c>
      <c r="AB277" s="19">
        <f>IF(OR($Z277="",$Z277=6),"",WORKDAY($AA277,CHOOSE($Z277,3,3,2,2,3),Holidays))</f>
        <v/>
      </c>
      <c r="AC277" s="17">
        <f>IF(OR($Z277="",$Z277=6),"",CHOOSE($Z277,"1st Email Follow-up","2nd Email Follow-up","Escalate Local Office","Escalate to CBE","Escalate to Roxanne"))</f>
        <v/>
      </c>
    </row>
    <row r="278" spans="13:29">
      <c r="M278" s="14"/>
      <c r="T278" s="16"/>
      <c r="U278" s="17">
        <f>IF(AND(COUNTA($A278:$L278)=0,$N278=""),"",IF($T278="Paid","PAID",IF($T278="Closed","CLOSED",IF($Z278="","",IF($Z278=6,"ESCALATED TO ROXANNE",IF(TODAY()&gt;$AB278,"OVERDUE",IF($AB278&lt;=WORKDAY(TODAY(),1,Holidays),"DUE TOMORROW",IF($Z278=4,"ESCALATED TO LOCAL OFFICE",IF($Z278=5,"ESCALATED TO CBE",IF($AA278=TODAY(),"EMAIL SENT","MONITORING"))))))))))</f>
        <v/>
      </c>
      <c r="V278" s="17">
        <f>IF($U278="",IF(AND(COUNTA($A278:$L278)&gt;0,$N278=""),"Awaiting Collection Email time stamp.",""),IF(OR($U278="PAID",$U278="CLOSED"),IF($U278="PAID","Account paid. Action completed.","Account closed. No further action required."),CHOOSE($Z278,"Collection Email","1st Email Follow-up","2nd Email Follow-up","Escalation to Local Office","Escalation to CBE","Escalation to Roxanne")&amp;" sent "&amp;TEXT($AA278,"dd-mmm")&amp;". "&amp;IF($Z278=6,"Final escalation completed.",IF($U278="OVERDUE","Next: "&amp;$AC278&amp;" was due "&amp;TEXT($AB278,"dd-mmm")&amp;" - "&amp;(NETWORKDAYS($AB278,TODAY(),Holidays)-1)&amp;" business day(s) late. Send now.",IF($U278="DUE TOMORROW","Next: "&amp;$AC278&amp;IF($AB278&lt;=TODAY()," is due TODAY ("," is due next business day (")&amp;TEXT($AB278,"dd-mmm")&amp;").","Next: "&amp;$AC278&amp;" due "&amp;TEXT($AB278,"dd-mmm")&amp;" ("&amp;(NETWORKDAYS(TODAY(),$AB278,Holidays)-1)&amp;" business day(s) left).")))))</f>
        <v/>
      </c>
      <c r="W278" s="17">
        <f>IF($Z278="","",CHOOSE($Z278,"Collection Email","1st Follow-up","2nd Follow-up","Local Office","CBE","Roxanne")&amp;IF($Z278=6," - Final"," - Day "&amp;MAX(0,NETWORKDAYS($AA278,TODAY(),Holidays)-1)&amp;" of "&amp;CHOOSE($Z278,3,3,2,2,3))&amp;" | Total Day "&amp;MAX(0,NETWORKDAYS($N278,TODAY(),Holidays)-1))</f>
        <v/>
      </c>
      <c r="X278" s="18"/>
      <c r="Y278" s="18"/>
      <c r="Z278" s="17">
        <f>IF($N278="","",COUNT($N278:$S278))</f>
        <v/>
      </c>
      <c r="AA278" s="19">
        <f>IF($Z278="","",INT(INDEX($N278:$S278,$Z278)))</f>
        <v/>
      </c>
      <c r="AB278" s="19">
        <f>IF(OR($Z278="",$Z278=6),"",WORKDAY($AA278,CHOOSE($Z278,3,3,2,2,3),Holidays))</f>
        <v/>
      </c>
      <c r="AC278" s="17">
        <f>IF(OR($Z278="",$Z278=6),"",CHOOSE($Z278,"1st Email Follow-up","2nd Email Follow-up","Escalate Local Office","Escalate to CBE","Escalate to Roxanne"))</f>
        <v/>
      </c>
    </row>
    <row r="279" spans="13:29">
      <c r="M279" s="14"/>
      <c r="T279" s="16"/>
      <c r="U279" s="17">
        <f>IF(AND(COUNTA($A279:$L279)=0,$N279=""),"",IF($T279="Paid","PAID",IF($T279="Closed","CLOSED",IF($Z279="","",IF($Z279=6,"ESCALATED TO ROXANNE",IF(TODAY()&gt;$AB279,"OVERDUE",IF($AB279&lt;=WORKDAY(TODAY(),1,Holidays),"DUE TOMORROW",IF($Z279=4,"ESCALATED TO LOCAL OFFICE",IF($Z279=5,"ESCALATED TO CBE",IF($AA279=TODAY(),"EMAIL SENT","MONITORING"))))))))))</f>
        <v/>
      </c>
      <c r="V279" s="17">
        <f>IF($U279="",IF(AND(COUNTA($A279:$L279)&gt;0,$N279=""),"Awaiting Collection Email time stamp.",""),IF(OR($U279="PAID",$U279="CLOSED"),IF($U279="PAID","Account paid. Action completed.","Account closed. No further action required."),CHOOSE($Z279,"Collection Email","1st Email Follow-up","2nd Email Follow-up","Escalation to Local Office","Escalation to CBE","Escalation to Roxanne")&amp;" sent "&amp;TEXT($AA279,"dd-mmm")&amp;". "&amp;IF($Z279=6,"Final escalation completed.",IF($U279="OVERDUE","Next: "&amp;$AC279&amp;" was due "&amp;TEXT($AB279,"dd-mmm")&amp;" - "&amp;(NETWORKDAYS($AB279,TODAY(),Holidays)-1)&amp;" business day(s) late. Send now.",IF($U279="DUE TOMORROW","Next: "&amp;$AC279&amp;IF($AB279&lt;=TODAY()," is due TODAY ("," is due next business day (")&amp;TEXT($AB279,"dd-mmm")&amp;").","Next: "&amp;$AC279&amp;" due "&amp;TEXT($AB279,"dd-mmm")&amp;" ("&amp;(NETWORKDAYS(TODAY(),$AB279,Holidays)-1)&amp;" business day(s) left).")))))</f>
        <v/>
      </c>
      <c r="W279" s="17">
        <f>IF($Z279="","",CHOOSE($Z279,"Collection Email","1st Follow-up","2nd Follow-up","Local Office","CBE","Roxanne")&amp;IF($Z279=6," - Final"," - Day "&amp;MAX(0,NETWORKDAYS($AA279,TODAY(),Holidays)-1)&amp;" of "&amp;CHOOSE($Z279,3,3,2,2,3))&amp;" | Total Day "&amp;MAX(0,NETWORKDAYS($N279,TODAY(),Holidays)-1))</f>
        <v/>
      </c>
      <c r="X279" s="18"/>
      <c r="Y279" s="18"/>
      <c r="Z279" s="17">
        <f>IF($N279="","",COUNT($N279:$S279))</f>
        <v/>
      </c>
      <c r="AA279" s="19">
        <f>IF($Z279="","",INT(INDEX($N279:$S279,$Z279)))</f>
        <v/>
      </c>
      <c r="AB279" s="19">
        <f>IF(OR($Z279="",$Z279=6),"",WORKDAY($AA279,CHOOSE($Z279,3,3,2,2,3),Holidays))</f>
        <v/>
      </c>
      <c r="AC279" s="17">
        <f>IF(OR($Z279="",$Z279=6),"",CHOOSE($Z279,"1st Email Follow-up","2nd Email Follow-up","Escalate Local Office","Escalate to CBE","Escalate to Roxanne"))</f>
        <v/>
      </c>
    </row>
    <row r="280" spans="13:29">
      <c r="M280" s="14"/>
      <c r="T280" s="16"/>
      <c r="U280" s="17">
        <f>IF(AND(COUNTA($A280:$L280)=0,$N280=""),"",IF($T280="Paid","PAID",IF($T280="Closed","CLOSED",IF($Z280="","",IF($Z280=6,"ESCALATED TO ROXANNE",IF(TODAY()&gt;$AB280,"OVERDUE",IF($AB280&lt;=WORKDAY(TODAY(),1,Holidays),"DUE TOMORROW",IF($Z280=4,"ESCALATED TO LOCAL OFFICE",IF($Z280=5,"ESCALATED TO CBE",IF($AA280=TODAY(),"EMAIL SENT","MONITORING"))))))))))</f>
        <v/>
      </c>
      <c r="V280" s="17">
        <f>IF($U280="",IF(AND(COUNTA($A280:$L280)&gt;0,$N280=""),"Awaiting Collection Email time stamp.",""),IF(OR($U280="PAID",$U280="CLOSED"),IF($U280="PAID","Account paid. Action completed.","Account closed. No further action required."),CHOOSE($Z280,"Collection Email","1st Email Follow-up","2nd Email Follow-up","Escalation to Local Office","Escalation to CBE","Escalation to Roxanne")&amp;" sent "&amp;TEXT($AA280,"dd-mmm")&amp;". "&amp;IF($Z280=6,"Final escalation completed.",IF($U280="OVERDUE","Next: "&amp;$AC280&amp;" was due "&amp;TEXT($AB280,"dd-mmm")&amp;" - "&amp;(NETWORKDAYS($AB280,TODAY(),Holidays)-1)&amp;" business day(s) late. Send now.",IF($U280="DUE TOMORROW","Next: "&amp;$AC280&amp;IF($AB280&lt;=TODAY()," is due TODAY ("," is due next business day (")&amp;TEXT($AB280,"dd-mmm")&amp;").","Next: "&amp;$AC280&amp;" due "&amp;TEXT($AB280,"dd-mmm")&amp;" ("&amp;(NETWORKDAYS(TODAY(),$AB280,Holidays)-1)&amp;" business day(s) left).")))))</f>
        <v/>
      </c>
      <c r="W280" s="17">
        <f>IF($Z280="","",CHOOSE($Z280,"Collection Email","1st Follow-up","2nd Follow-up","Local Office","CBE","Roxanne")&amp;IF($Z280=6," - Final"," - Day "&amp;MAX(0,NETWORKDAYS($AA280,TODAY(),Holidays)-1)&amp;" of "&amp;CHOOSE($Z280,3,3,2,2,3))&amp;" | Total Day "&amp;MAX(0,NETWORKDAYS($N280,TODAY(),Holidays)-1))</f>
        <v/>
      </c>
      <c r="X280" s="18"/>
      <c r="Y280" s="18"/>
      <c r="Z280" s="17">
        <f>IF($N280="","",COUNT($N280:$S280))</f>
        <v/>
      </c>
      <c r="AA280" s="19">
        <f>IF($Z280="","",INT(INDEX($N280:$S280,$Z280)))</f>
        <v/>
      </c>
      <c r="AB280" s="19">
        <f>IF(OR($Z280="",$Z280=6),"",WORKDAY($AA280,CHOOSE($Z280,3,3,2,2,3),Holidays))</f>
        <v/>
      </c>
      <c r="AC280" s="17">
        <f>IF(OR($Z280="",$Z280=6),"",CHOOSE($Z280,"1st Email Follow-up","2nd Email Follow-up","Escalate Local Office","Escalate to CBE","Escalate to Roxanne"))</f>
        <v/>
      </c>
    </row>
    <row r="281" spans="13:29">
      <c r="M281" s="14"/>
      <c r="T281" s="16"/>
      <c r="U281" s="17">
        <f>IF(AND(COUNTA($A281:$L281)=0,$N281=""),"",IF($T281="Paid","PAID",IF($T281="Closed","CLOSED",IF($Z281="","",IF($Z281=6,"ESCALATED TO ROXANNE",IF(TODAY()&gt;$AB281,"OVERDUE",IF($AB281&lt;=WORKDAY(TODAY(),1,Holidays),"DUE TOMORROW",IF($Z281=4,"ESCALATED TO LOCAL OFFICE",IF($Z281=5,"ESCALATED TO CBE",IF($AA281=TODAY(),"EMAIL SENT","MONITORING"))))))))))</f>
        <v/>
      </c>
      <c r="V281" s="17">
        <f>IF($U281="",IF(AND(COUNTA($A281:$L281)&gt;0,$N281=""),"Awaiting Collection Email time stamp.",""),IF(OR($U281="PAID",$U281="CLOSED"),IF($U281="PAID","Account paid. Action completed.","Account closed. No further action required."),CHOOSE($Z281,"Collection Email","1st Email Follow-up","2nd Email Follow-up","Escalation to Local Office","Escalation to CBE","Escalation to Roxanne")&amp;" sent "&amp;TEXT($AA281,"dd-mmm")&amp;". "&amp;IF($Z281=6,"Final escalation completed.",IF($U281="OVERDUE","Next: "&amp;$AC281&amp;" was due "&amp;TEXT($AB281,"dd-mmm")&amp;" - "&amp;(NETWORKDAYS($AB281,TODAY(),Holidays)-1)&amp;" business day(s) late. Send now.",IF($U281="DUE TOMORROW","Next: "&amp;$AC281&amp;IF($AB281&lt;=TODAY()," is due TODAY ("," is due next business day (")&amp;TEXT($AB281,"dd-mmm")&amp;").","Next: "&amp;$AC281&amp;" due "&amp;TEXT($AB281,"dd-mmm")&amp;" ("&amp;(NETWORKDAYS(TODAY(),$AB281,Holidays)-1)&amp;" business day(s) left).")))))</f>
        <v/>
      </c>
      <c r="W281" s="17">
        <f>IF($Z281="","",CHOOSE($Z281,"Collection Email","1st Follow-up","2nd Follow-up","Local Office","CBE","Roxanne")&amp;IF($Z281=6," - Final"," - Day "&amp;MAX(0,NETWORKDAYS($AA281,TODAY(),Holidays)-1)&amp;" of "&amp;CHOOSE($Z281,3,3,2,2,3))&amp;" | Total Day "&amp;MAX(0,NETWORKDAYS($N281,TODAY(),Holidays)-1))</f>
        <v/>
      </c>
      <c r="X281" s="18"/>
      <c r="Y281" s="18"/>
      <c r="Z281" s="17">
        <f>IF($N281="","",COUNT($N281:$S281))</f>
        <v/>
      </c>
      <c r="AA281" s="19">
        <f>IF($Z281="","",INT(INDEX($N281:$S281,$Z281)))</f>
        <v/>
      </c>
      <c r="AB281" s="19">
        <f>IF(OR($Z281="",$Z281=6),"",WORKDAY($AA281,CHOOSE($Z281,3,3,2,2,3),Holidays))</f>
        <v/>
      </c>
      <c r="AC281" s="17">
        <f>IF(OR($Z281="",$Z281=6),"",CHOOSE($Z281,"1st Email Follow-up","2nd Email Follow-up","Escalate Local Office","Escalate to CBE","Escalate to Roxanne"))</f>
        <v/>
      </c>
    </row>
    <row r="282" spans="13:29">
      <c r="M282" s="14"/>
      <c r="T282" s="16"/>
      <c r="U282" s="17">
        <f>IF(AND(COUNTA($A282:$L282)=0,$N282=""),"",IF($T282="Paid","PAID",IF($T282="Closed","CLOSED",IF($Z282="","",IF($Z282=6,"ESCALATED TO ROXANNE",IF(TODAY()&gt;$AB282,"OVERDUE",IF($AB282&lt;=WORKDAY(TODAY(),1,Holidays),"DUE TOMORROW",IF($Z282=4,"ESCALATED TO LOCAL OFFICE",IF($Z282=5,"ESCALATED TO CBE",IF($AA282=TODAY(),"EMAIL SENT","MONITORING"))))))))))</f>
        <v/>
      </c>
      <c r="V282" s="17">
        <f>IF($U282="",IF(AND(COUNTA($A282:$L282)&gt;0,$N282=""),"Awaiting Collection Email time stamp.",""),IF(OR($U282="PAID",$U282="CLOSED"),IF($U282="PAID","Account paid. Action completed.","Account closed. No further action required."),CHOOSE($Z282,"Collection Email","1st Email Follow-up","2nd Email Follow-up","Escalation to Local Office","Escalation to CBE","Escalation to Roxanne")&amp;" sent "&amp;TEXT($AA282,"dd-mmm")&amp;". "&amp;IF($Z282=6,"Final escalation completed.",IF($U282="OVERDUE","Next: "&amp;$AC282&amp;" was due "&amp;TEXT($AB282,"dd-mmm")&amp;" - "&amp;(NETWORKDAYS($AB282,TODAY(),Holidays)-1)&amp;" business day(s) late. Send now.",IF($U282="DUE TOMORROW","Next: "&amp;$AC282&amp;IF($AB282&lt;=TODAY()," is due TODAY ("," is due next business day (")&amp;TEXT($AB282,"dd-mmm")&amp;").","Next: "&amp;$AC282&amp;" due "&amp;TEXT($AB282,"dd-mmm")&amp;" ("&amp;(NETWORKDAYS(TODAY(),$AB282,Holidays)-1)&amp;" business day(s) left).")))))</f>
        <v/>
      </c>
      <c r="W282" s="17">
        <f>IF($Z282="","",CHOOSE($Z282,"Collection Email","1st Follow-up","2nd Follow-up","Local Office","CBE","Roxanne")&amp;IF($Z282=6," - Final"," - Day "&amp;MAX(0,NETWORKDAYS($AA282,TODAY(),Holidays)-1)&amp;" of "&amp;CHOOSE($Z282,3,3,2,2,3))&amp;" | Total Day "&amp;MAX(0,NETWORKDAYS($N282,TODAY(),Holidays)-1))</f>
        <v/>
      </c>
      <c r="X282" s="18"/>
      <c r="Y282" s="18"/>
      <c r="Z282" s="17">
        <f>IF($N282="","",COUNT($N282:$S282))</f>
        <v/>
      </c>
      <c r="AA282" s="19">
        <f>IF($Z282="","",INT(INDEX($N282:$S282,$Z282)))</f>
        <v/>
      </c>
      <c r="AB282" s="19">
        <f>IF(OR($Z282="",$Z282=6),"",WORKDAY($AA282,CHOOSE($Z282,3,3,2,2,3),Holidays))</f>
        <v/>
      </c>
      <c r="AC282" s="17">
        <f>IF(OR($Z282="",$Z282=6),"",CHOOSE($Z282,"1st Email Follow-up","2nd Email Follow-up","Escalate Local Office","Escalate to CBE","Escalate to Roxanne"))</f>
        <v/>
      </c>
    </row>
    <row r="283" spans="13:29">
      <c r="M283" s="14"/>
      <c r="T283" s="16"/>
      <c r="U283" s="17">
        <f>IF(AND(COUNTA($A283:$L283)=0,$N283=""),"",IF($T283="Paid","PAID",IF($T283="Closed","CLOSED",IF($Z283="","",IF($Z283=6,"ESCALATED TO ROXANNE",IF(TODAY()&gt;$AB283,"OVERDUE",IF($AB283&lt;=WORKDAY(TODAY(),1,Holidays),"DUE TOMORROW",IF($Z283=4,"ESCALATED TO LOCAL OFFICE",IF($Z283=5,"ESCALATED TO CBE",IF($AA283=TODAY(),"EMAIL SENT","MONITORING"))))))))))</f>
        <v/>
      </c>
      <c r="V283" s="17">
        <f>IF($U283="",IF(AND(COUNTA($A283:$L283)&gt;0,$N283=""),"Awaiting Collection Email time stamp.",""),IF(OR($U283="PAID",$U283="CLOSED"),IF($U283="PAID","Account paid. Action completed.","Account closed. No further action required."),CHOOSE($Z283,"Collection Email","1st Email Follow-up","2nd Email Follow-up","Escalation to Local Office","Escalation to CBE","Escalation to Roxanne")&amp;" sent "&amp;TEXT($AA283,"dd-mmm")&amp;". "&amp;IF($Z283=6,"Final escalation completed.",IF($U283="OVERDUE","Next: "&amp;$AC283&amp;" was due "&amp;TEXT($AB283,"dd-mmm")&amp;" - "&amp;(NETWORKDAYS($AB283,TODAY(),Holidays)-1)&amp;" business day(s) late. Send now.",IF($U283="DUE TOMORROW","Next: "&amp;$AC283&amp;IF($AB283&lt;=TODAY()," is due TODAY ("," is due next business day (")&amp;TEXT($AB283,"dd-mmm")&amp;").","Next: "&amp;$AC283&amp;" due "&amp;TEXT($AB283,"dd-mmm")&amp;" ("&amp;(NETWORKDAYS(TODAY(),$AB283,Holidays)-1)&amp;" business day(s) left).")))))</f>
        <v/>
      </c>
      <c r="W283" s="17">
        <f>IF($Z283="","",CHOOSE($Z283,"Collection Email","1st Follow-up","2nd Follow-up","Local Office","CBE","Roxanne")&amp;IF($Z283=6," - Final"," - Day "&amp;MAX(0,NETWORKDAYS($AA283,TODAY(),Holidays)-1)&amp;" of "&amp;CHOOSE($Z283,3,3,2,2,3))&amp;" | Total Day "&amp;MAX(0,NETWORKDAYS($N283,TODAY(),Holidays)-1))</f>
        <v/>
      </c>
      <c r="X283" s="18"/>
      <c r="Y283" s="18"/>
      <c r="Z283" s="17">
        <f>IF($N283="","",COUNT($N283:$S283))</f>
        <v/>
      </c>
      <c r="AA283" s="19">
        <f>IF($Z283="","",INT(INDEX($N283:$S283,$Z283)))</f>
        <v/>
      </c>
      <c r="AB283" s="19">
        <f>IF(OR($Z283="",$Z283=6),"",WORKDAY($AA283,CHOOSE($Z283,3,3,2,2,3),Holidays))</f>
        <v/>
      </c>
      <c r="AC283" s="17">
        <f>IF(OR($Z283="",$Z283=6),"",CHOOSE($Z283,"1st Email Follow-up","2nd Email Follow-up","Escalate Local Office","Escalate to CBE","Escalate to Roxanne"))</f>
        <v/>
      </c>
    </row>
    <row r="284" spans="13:29">
      <c r="M284" s="14"/>
      <c r="T284" s="16"/>
      <c r="U284" s="17">
        <f>IF(AND(COUNTA($A284:$L284)=0,$N284=""),"",IF($T284="Paid","PAID",IF($T284="Closed","CLOSED",IF($Z284="","",IF($Z284=6,"ESCALATED TO ROXANNE",IF(TODAY()&gt;$AB284,"OVERDUE",IF($AB284&lt;=WORKDAY(TODAY(),1,Holidays),"DUE TOMORROW",IF($Z284=4,"ESCALATED TO LOCAL OFFICE",IF($Z284=5,"ESCALATED TO CBE",IF($AA284=TODAY(),"EMAIL SENT","MONITORING"))))))))))</f>
        <v/>
      </c>
      <c r="V284" s="17">
        <f>IF($U284="",IF(AND(COUNTA($A284:$L284)&gt;0,$N284=""),"Awaiting Collection Email time stamp.",""),IF(OR($U284="PAID",$U284="CLOSED"),IF($U284="PAID","Account paid. Action completed.","Account closed. No further action required."),CHOOSE($Z284,"Collection Email","1st Email Follow-up","2nd Email Follow-up","Escalation to Local Office","Escalation to CBE","Escalation to Roxanne")&amp;" sent "&amp;TEXT($AA284,"dd-mmm")&amp;". "&amp;IF($Z284=6,"Final escalation completed.",IF($U284="OVERDUE","Next: "&amp;$AC284&amp;" was due "&amp;TEXT($AB284,"dd-mmm")&amp;" - "&amp;(NETWORKDAYS($AB284,TODAY(),Holidays)-1)&amp;" business day(s) late. Send now.",IF($U284="DUE TOMORROW","Next: "&amp;$AC284&amp;IF($AB284&lt;=TODAY()," is due TODAY ("," is due next business day (")&amp;TEXT($AB284,"dd-mmm")&amp;").","Next: "&amp;$AC284&amp;" due "&amp;TEXT($AB284,"dd-mmm")&amp;" ("&amp;(NETWORKDAYS(TODAY(),$AB284,Holidays)-1)&amp;" business day(s) left).")))))</f>
        <v/>
      </c>
      <c r="W284" s="17">
        <f>IF($Z284="","",CHOOSE($Z284,"Collection Email","1st Follow-up","2nd Follow-up","Local Office","CBE","Roxanne")&amp;IF($Z284=6," - Final"," - Day "&amp;MAX(0,NETWORKDAYS($AA284,TODAY(),Holidays)-1)&amp;" of "&amp;CHOOSE($Z284,3,3,2,2,3))&amp;" | Total Day "&amp;MAX(0,NETWORKDAYS($N284,TODAY(),Holidays)-1))</f>
        <v/>
      </c>
      <c r="X284" s="18"/>
      <c r="Y284" s="18"/>
      <c r="Z284" s="17">
        <f>IF($N284="","",COUNT($N284:$S284))</f>
        <v/>
      </c>
      <c r="AA284" s="19">
        <f>IF($Z284="","",INT(INDEX($N284:$S284,$Z284)))</f>
        <v/>
      </c>
      <c r="AB284" s="19">
        <f>IF(OR($Z284="",$Z284=6),"",WORKDAY($AA284,CHOOSE($Z284,3,3,2,2,3),Holidays))</f>
        <v/>
      </c>
      <c r="AC284" s="17">
        <f>IF(OR($Z284="",$Z284=6),"",CHOOSE($Z284,"1st Email Follow-up","2nd Email Follow-up","Escalate Local Office","Escalate to CBE","Escalate to Roxanne"))</f>
        <v/>
      </c>
    </row>
    <row r="285" spans="13:29">
      <c r="M285" s="14"/>
      <c r="T285" s="16"/>
      <c r="U285" s="17">
        <f>IF(AND(COUNTA($A285:$L285)=0,$N285=""),"",IF($T285="Paid","PAID",IF($T285="Closed","CLOSED",IF($Z285="","",IF($Z285=6,"ESCALATED TO ROXANNE",IF(TODAY()&gt;$AB285,"OVERDUE",IF($AB285&lt;=WORKDAY(TODAY(),1,Holidays),"DUE TOMORROW",IF($Z285=4,"ESCALATED TO LOCAL OFFICE",IF($Z285=5,"ESCALATED TO CBE",IF($AA285=TODAY(),"EMAIL SENT","MONITORING"))))))))))</f>
        <v/>
      </c>
      <c r="V285" s="17">
        <f>IF($U285="",IF(AND(COUNTA($A285:$L285)&gt;0,$N285=""),"Awaiting Collection Email time stamp.",""),IF(OR($U285="PAID",$U285="CLOSED"),IF($U285="PAID","Account paid. Action completed.","Account closed. No further action required."),CHOOSE($Z285,"Collection Email","1st Email Follow-up","2nd Email Follow-up","Escalation to Local Office","Escalation to CBE","Escalation to Roxanne")&amp;" sent "&amp;TEXT($AA285,"dd-mmm")&amp;". "&amp;IF($Z285=6,"Final escalation completed.",IF($U285="OVERDUE","Next: "&amp;$AC285&amp;" was due "&amp;TEXT($AB285,"dd-mmm")&amp;" - "&amp;(NETWORKDAYS($AB285,TODAY(),Holidays)-1)&amp;" business day(s) late. Send now.",IF($U285="DUE TOMORROW","Next: "&amp;$AC285&amp;IF($AB285&lt;=TODAY()," is due TODAY ("," is due next business day (")&amp;TEXT($AB285,"dd-mmm")&amp;").","Next: "&amp;$AC285&amp;" due "&amp;TEXT($AB285,"dd-mmm")&amp;" ("&amp;(NETWORKDAYS(TODAY(),$AB285,Holidays)-1)&amp;" business day(s) left).")))))</f>
        <v/>
      </c>
      <c r="W285" s="17">
        <f>IF($Z285="","",CHOOSE($Z285,"Collection Email","1st Follow-up","2nd Follow-up","Local Office","CBE","Roxanne")&amp;IF($Z285=6," - Final"," - Day "&amp;MAX(0,NETWORKDAYS($AA285,TODAY(),Holidays)-1)&amp;" of "&amp;CHOOSE($Z285,3,3,2,2,3))&amp;" | Total Day "&amp;MAX(0,NETWORKDAYS($N285,TODAY(),Holidays)-1))</f>
        <v/>
      </c>
      <c r="X285" s="18"/>
      <c r="Y285" s="18"/>
      <c r="Z285" s="17">
        <f>IF($N285="","",COUNT($N285:$S285))</f>
        <v/>
      </c>
      <c r="AA285" s="19">
        <f>IF($Z285="","",INT(INDEX($N285:$S285,$Z285)))</f>
        <v/>
      </c>
      <c r="AB285" s="19">
        <f>IF(OR($Z285="",$Z285=6),"",WORKDAY($AA285,CHOOSE($Z285,3,3,2,2,3),Holidays))</f>
        <v/>
      </c>
      <c r="AC285" s="17">
        <f>IF(OR($Z285="",$Z285=6),"",CHOOSE($Z285,"1st Email Follow-up","2nd Email Follow-up","Escalate Local Office","Escalate to CBE","Escalate to Roxanne"))</f>
        <v/>
      </c>
    </row>
    <row r="286" spans="13:29">
      <c r="M286" s="14"/>
      <c r="T286" s="16"/>
      <c r="U286" s="17">
        <f>IF(AND(COUNTA($A286:$L286)=0,$N286=""),"",IF($T286="Paid","PAID",IF($T286="Closed","CLOSED",IF($Z286="","",IF($Z286=6,"ESCALATED TO ROXANNE",IF(TODAY()&gt;$AB286,"OVERDUE",IF($AB286&lt;=WORKDAY(TODAY(),1,Holidays),"DUE TOMORROW",IF($Z286=4,"ESCALATED TO LOCAL OFFICE",IF($Z286=5,"ESCALATED TO CBE",IF($AA286=TODAY(),"EMAIL SENT","MONITORING"))))))))))</f>
        <v/>
      </c>
      <c r="V286" s="17">
        <f>IF($U286="",IF(AND(COUNTA($A286:$L286)&gt;0,$N286=""),"Awaiting Collection Email time stamp.",""),IF(OR($U286="PAID",$U286="CLOSED"),IF($U286="PAID","Account paid. Action completed.","Account closed. No further action required."),CHOOSE($Z286,"Collection Email","1st Email Follow-up","2nd Email Follow-up","Escalation to Local Office","Escalation to CBE","Escalation to Roxanne")&amp;" sent "&amp;TEXT($AA286,"dd-mmm")&amp;". "&amp;IF($Z286=6,"Final escalation completed.",IF($U286="OVERDUE","Next: "&amp;$AC286&amp;" was due "&amp;TEXT($AB286,"dd-mmm")&amp;" - "&amp;(NETWORKDAYS($AB286,TODAY(),Holidays)-1)&amp;" business day(s) late. Send now.",IF($U286="DUE TOMORROW","Next: "&amp;$AC286&amp;IF($AB286&lt;=TODAY()," is due TODAY ("," is due next business day (")&amp;TEXT($AB286,"dd-mmm")&amp;").","Next: "&amp;$AC286&amp;" due "&amp;TEXT($AB286,"dd-mmm")&amp;" ("&amp;(NETWORKDAYS(TODAY(),$AB286,Holidays)-1)&amp;" business day(s) left).")))))</f>
        <v/>
      </c>
      <c r="W286" s="17">
        <f>IF($Z286="","",CHOOSE($Z286,"Collection Email","1st Follow-up","2nd Follow-up","Local Office","CBE","Roxanne")&amp;IF($Z286=6," - Final"," - Day "&amp;MAX(0,NETWORKDAYS($AA286,TODAY(),Holidays)-1)&amp;" of "&amp;CHOOSE($Z286,3,3,2,2,3))&amp;" | Total Day "&amp;MAX(0,NETWORKDAYS($N286,TODAY(),Holidays)-1))</f>
        <v/>
      </c>
      <c r="X286" s="18"/>
      <c r="Y286" s="18"/>
      <c r="Z286" s="17">
        <f>IF($N286="","",COUNT($N286:$S286))</f>
        <v/>
      </c>
      <c r="AA286" s="19">
        <f>IF($Z286="","",INT(INDEX($N286:$S286,$Z286)))</f>
        <v/>
      </c>
      <c r="AB286" s="19">
        <f>IF(OR($Z286="",$Z286=6),"",WORKDAY($AA286,CHOOSE($Z286,3,3,2,2,3),Holidays))</f>
        <v/>
      </c>
      <c r="AC286" s="17">
        <f>IF(OR($Z286="",$Z286=6),"",CHOOSE($Z286,"1st Email Follow-up","2nd Email Follow-up","Escalate Local Office","Escalate to CBE","Escalate to Roxanne"))</f>
        <v/>
      </c>
    </row>
    <row r="287" spans="13:29">
      <c r="M287" s="14"/>
      <c r="T287" s="16"/>
      <c r="U287" s="17">
        <f>IF(AND(COUNTA($A287:$L287)=0,$N287=""),"",IF($T287="Paid","PAID",IF($T287="Closed","CLOSED",IF($Z287="","",IF($Z287=6,"ESCALATED TO ROXANNE",IF(TODAY()&gt;$AB287,"OVERDUE",IF($AB287&lt;=WORKDAY(TODAY(),1,Holidays),"DUE TOMORROW",IF($Z287=4,"ESCALATED TO LOCAL OFFICE",IF($Z287=5,"ESCALATED TO CBE",IF($AA287=TODAY(),"EMAIL SENT","MONITORING"))))))))))</f>
        <v/>
      </c>
      <c r="V287" s="17">
        <f>IF($U287="",IF(AND(COUNTA($A287:$L287)&gt;0,$N287=""),"Awaiting Collection Email time stamp.",""),IF(OR($U287="PAID",$U287="CLOSED"),IF($U287="PAID","Account paid. Action completed.","Account closed. No further action required."),CHOOSE($Z287,"Collection Email","1st Email Follow-up","2nd Email Follow-up","Escalation to Local Office","Escalation to CBE","Escalation to Roxanne")&amp;" sent "&amp;TEXT($AA287,"dd-mmm")&amp;". "&amp;IF($Z287=6,"Final escalation completed.",IF($U287="OVERDUE","Next: "&amp;$AC287&amp;" was due "&amp;TEXT($AB287,"dd-mmm")&amp;" - "&amp;(NETWORKDAYS($AB287,TODAY(),Holidays)-1)&amp;" business day(s) late. Send now.",IF($U287="DUE TOMORROW","Next: "&amp;$AC287&amp;IF($AB287&lt;=TODAY()," is due TODAY ("," is due next business day (")&amp;TEXT($AB287,"dd-mmm")&amp;").","Next: "&amp;$AC287&amp;" due "&amp;TEXT($AB287,"dd-mmm")&amp;" ("&amp;(NETWORKDAYS(TODAY(),$AB287,Holidays)-1)&amp;" business day(s) left).")))))</f>
        <v/>
      </c>
      <c r="W287" s="17">
        <f>IF($Z287="","",CHOOSE($Z287,"Collection Email","1st Follow-up","2nd Follow-up","Local Office","CBE","Roxanne")&amp;IF($Z287=6," - Final"," - Day "&amp;MAX(0,NETWORKDAYS($AA287,TODAY(),Holidays)-1)&amp;" of "&amp;CHOOSE($Z287,3,3,2,2,3))&amp;" | Total Day "&amp;MAX(0,NETWORKDAYS($N287,TODAY(),Holidays)-1))</f>
        <v/>
      </c>
      <c r="X287" s="18"/>
      <c r="Y287" s="18"/>
      <c r="Z287" s="17">
        <f>IF($N287="","",COUNT($N287:$S287))</f>
        <v/>
      </c>
      <c r="AA287" s="19">
        <f>IF($Z287="","",INT(INDEX($N287:$S287,$Z287)))</f>
        <v/>
      </c>
      <c r="AB287" s="19">
        <f>IF(OR($Z287="",$Z287=6),"",WORKDAY($AA287,CHOOSE($Z287,3,3,2,2,3),Holidays))</f>
        <v/>
      </c>
      <c r="AC287" s="17">
        <f>IF(OR($Z287="",$Z287=6),"",CHOOSE($Z287,"1st Email Follow-up","2nd Email Follow-up","Escalate Local Office","Escalate to CBE","Escalate to Roxanne"))</f>
        <v/>
      </c>
    </row>
    <row r="288" spans="13:29">
      <c r="M288" s="14"/>
      <c r="T288" s="16"/>
      <c r="U288" s="17">
        <f>IF(AND(COUNTA($A288:$L288)=0,$N288=""),"",IF($T288="Paid","PAID",IF($T288="Closed","CLOSED",IF($Z288="","",IF($Z288=6,"ESCALATED TO ROXANNE",IF(TODAY()&gt;$AB288,"OVERDUE",IF($AB288&lt;=WORKDAY(TODAY(),1,Holidays),"DUE TOMORROW",IF($Z288=4,"ESCALATED TO LOCAL OFFICE",IF($Z288=5,"ESCALATED TO CBE",IF($AA288=TODAY(),"EMAIL SENT","MONITORING"))))))))))</f>
        <v/>
      </c>
      <c r="V288" s="17">
        <f>IF($U288="",IF(AND(COUNTA($A288:$L288)&gt;0,$N288=""),"Awaiting Collection Email time stamp.",""),IF(OR($U288="PAID",$U288="CLOSED"),IF($U288="PAID","Account paid. Action completed.","Account closed. No further action required."),CHOOSE($Z288,"Collection Email","1st Email Follow-up","2nd Email Follow-up","Escalation to Local Office","Escalation to CBE","Escalation to Roxanne")&amp;" sent "&amp;TEXT($AA288,"dd-mmm")&amp;". "&amp;IF($Z288=6,"Final escalation completed.",IF($U288="OVERDUE","Next: "&amp;$AC288&amp;" was due "&amp;TEXT($AB288,"dd-mmm")&amp;" - "&amp;(NETWORKDAYS($AB288,TODAY(),Holidays)-1)&amp;" business day(s) late. Send now.",IF($U288="DUE TOMORROW","Next: "&amp;$AC288&amp;IF($AB288&lt;=TODAY()," is due TODAY ("," is due next business day (")&amp;TEXT($AB288,"dd-mmm")&amp;").","Next: "&amp;$AC288&amp;" due "&amp;TEXT($AB288,"dd-mmm")&amp;" ("&amp;(NETWORKDAYS(TODAY(),$AB288,Holidays)-1)&amp;" business day(s) left).")))))</f>
        <v/>
      </c>
      <c r="W288" s="17">
        <f>IF($Z288="","",CHOOSE($Z288,"Collection Email","1st Follow-up","2nd Follow-up","Local Office","CBE","Roxanne")&amp;IF($Z288=6," - Final"," - Day "&amp;MAX(0,NETWORKDAYS($AA288,TODAY(),Holidays)-1)&amp;" of "&amp;CHOOSE($Z288,3,3,2,2,3))&amp;" | Total Day "&amp;MAX(0,NETWORKDAYS($N288,TODAY(),Holidays)-1))</f>
        <v/>
      </c>
      <c r="X288" s="18"/>
      <c r="Y288" s="18"/>
      <c r="Z288" s="17">
        <f>IF($N288="","",COUNT($N288:$S288))</f>
        <v/>
      </c>
      <c r="AA288" s="19">
        <f>IF($Z288="","",INT(INDEX($N288:$S288,$Z288)))</f>
        <v/>
      </c>
      <c r="AB288" s="19">
        <f>IF(OR($Z288="",$Z288=6),"",WORKDAY($AA288,CHOOSE($Z288,3,3,2,2,3),Holidays))</f>
        <v/>
      </c>
      <c r="AC288" s="17">
        <f>IF(OR($Z288="",$Z288=6),"",CHOOSE($Z288,"1st Email Follow-up","2nd Email Follow-up","Escalate Local Office","Escalate to CBE","Escalate to Roxanne"))</f>
        <v/>
      </c>
    </row>
    <row r="289" spans="13:29">
      <c r="M289" s="14"/>
      <c r="T289" s="16"/>
      <c r="U289" s="17">
        <f>IF(AND(COUNTA($A289:$L289)=0,$N289=""),"",IF($T289="Paid","PAID",IF($T289="Closed","CLOSED",IF($Z289="","",IF($Z289=6,"ESCALATED TO ROXANNE",IF(TODAY()&gt;$AB289,"OVERDUE",IF($AB289&lt;=WORKDAY(TODAY(),1,Holidays),"DUE TOMORROW",IF($Z289=4,"ESCALATED TO LOCAL OFFICE",IF($Z289=5,"ESCALATED TO CBE",IF($AA289=TODAY(),"EMAIL SENT","MONITORING"))))))))))</f>
        <v/>
      </c>
      <c r="V289" s="17">
        <f>IF($U289="",IF(AND(COUNTA($A289:$L289)&gt;0,$N289=""),"Awaiting Collection Email time stamp.",""),IF(OR($U289="PAID",$U289="CLOSED"),IF($U289="PAID","Account paid. Action completed.","Account closed. No further action required."),CHOOSE($Z289,"Collection Email","1st Email Follow-up","2nd Email Follow-up","Escalation to Local Office","Escalation to CBE","Escalation to Roxanne")&amp;" sent "&amp;TEXT($AA289,"dd-mmm")&amp;". "&amp;IF($Z289=6,"Final escalation completed.",IF($U289="OVERDUE","Next: "&amp;$AC289&amp;" was due "&amp;TEXT($AB289,"dd-mmm")&amp;" - "&amp;(NETWORKDAYS($AB289,TODAY(),Holidays)-1)&amp;" business day(s) late. Send now.",IF($U289="DUE TOMORROW","Next: "&amp;$AC289&amp;IF($AB289&lt;=TODAY()," is due TODAY ("," is due next business day (")&amp;TEXT($AB289,"dd-mmm")&amp;").","Next: "&amp;$AC289&amp;" due "&amp;TEXT($AB289,"dd-mmm")&amp;" ("&amp;(NETWORKDAYS(TODAY(),$AB289,Holidays)-1)&amp;" business day(s) left).")))))</f>
        <v/>
      </c>
      <c r="W289" s="17">
        <f>IF($Z289="","",CHOOSE($Z289,"Collection Email","1st Follow-up","2nd Follow-up","Local Office","CBE","Roxanne")&amp;IF($Z289=6," - Final"," - Day "&amp;MAX(0,NETWORKDAYS($AA289,TODAY(),Holidays)-1)&amp;" of "&amp;CHOOSE($Z289,3,3,2,2,3))&amp;" | Total Day "&amp;MAX(0,NETWORKDAYS($N289,TODAY(),Holidays)-1))</f>
        <v/>
      </c>
      <c r="X289" s="18"/>
      <c r="Y289" s="18"/>
      <c r="Z289" s="17">
        <f>IF($N289="","",COUNT($N289:$S289))</f>
        <v/>
      </c>
      <c r="AA289" s="19">
        <f>IF($Z289="","",INT(INDEX($N289:$S289,$Z289)))</f>
        <v/>
      </c>
      <c r="AB289" s="19">
        <f>IF(OR($Z289="",$Z289=6),"",WORKDAY($AA289,CHOOSE($Z289,3,3,2,2,3),Holidays))</f>
        <v/>
      </c>
      <c r="AC289" s="17">
        <f>IF(OR($Z289="",$Z289=6),"",CHOOSE($Z289,"1st Email Follow-up","2nd Email Follow-up","Escalate Local Office","Escalate to CBE","Escalate to Roxanne"))</f>
        <v/>
      </c>
    </row>
    <row r="290" spans="13:29">
      <c r="M290" s="14"/>
      <c r="T290" s="16"/>
      <c r="U290" s="17">
        <f>IF(AND(COUNTA($A290:$L290)=0,$N290=""),"",IF($T290="Paid","PAID",IF($T290="Closed","CLOSED",IF($Z290="","",IF($Z290=6,"ESCALATED TO ROXANNE",IF(TODAY()&gt;$AB290,"OVERDUE",IF($AB290&lt;=WORKDAY(TODAY(),1,Holidays),"DUE TOMORROW",IF($Z290=4,"ESCALATED TO LOCAL OFFICE",IF($Z290=5,"ESCALATED TO CBE",IF($AA290=TODAY(),"EMAIL SENT","MONITORING"))))))))))</f>
        <v/>
      </c>
      <c r="V290" s="17">
        <f>IF($U290="",IF(AND(COUNTA($A290:$L290)&gt;0,$N290=""),"Awaiting Collection Email time stamp.",""),IF(OR($U290="PAID",$U290="CLOSED"),IF($U290="PAID","Account paid. Action completed.","Account closed. No further action required."),CHOOSE($Z290,"Collection Email","1st Email Follow-up","2nd Email Follow-up","Escalation to Local Office","Escalation to CBE","Escalation to Roxanne")&amp;" sent "&amp;TEXT($AA290,"dd-mmm")&amp;". "&amp;IF($Z290=6,"Final escalation completed.",IF($U290="OVERDUE","Next: "&amp;$AC290&amp;" was due "&amp;TEXT($AB290,"dd-mmm")&amp;" - "&amp;(NETWORKDAYS($AB290,TODAY(),Holidays)-1)&amp;" business day(s) late. Send now.",IF($U290="DUE TOMORROW","Next: "&amp;$AC290&amp;IF($AB290&lt;=TODAY()," is due TODAY ("," is due next business day (")&amp;TEXT($AB290,"dd-mmm")&amp;").","Next: "&amp;$AC290&amp;" due "&amp;TEXT($AB290,"dd-mmm")&amp;" ("&amp;(NETWORKDAYS(TODAY(),$AB290,Holidays)-1)&amp;" business day(s) left).")))))</f>
        <v/>
      </c>
      <c r="W290" s="17">
        <f>IF($Z290="","",CHOOSE($Z290,"Collection Email","1st Follow-up","2nd Follow-up","Local Office","CBE","Roxanne")&amp;IF($Z290=6," - Final"," - Day "&amp;MAX(0,NETWORKDAYS($AA290,TODAY(),Holidays)-1)&amp;" of "&amp;CHOOSE($Z290,3,3,2,2,3))&amp;" | Total Day "&amp;MAX(0,NETWORKDAYS($N290,TODAY(),Holidays)-1))</f>
        <v/>
      </c>
      <c r="X290" s="18"/>
      <c r="Y290" s="18"/>
      <c r="Z290" s="17">
        <f>IF($N290="","",COUNT($N290:$S290))</f>
        <v/>
      </c>
      <c r="AA290" s="19">
        <f>IF($Z290="","",INT(INDEX($N290:$S290,$Z290)))</f>
        <v/>
      </c>
      <c r="AB290" s="19">
        <f>IF(OR($Z290="",$Z290=6),"",WORKDAY($AA290,CHOOSE($Z290,3,3,2,2,3),Holidays))</f>
        <v/>
      </c>
      <c r="AC290" s="17">
        <f>IF(OR($Z290="",$Z290=6),"",CHOOSE($Z290,"1st Email Follow-up","2nd Email Follow-up","Escalate Local Office","Escalate to CBE","Escalate to Roxanne"))</f>
        <v/>
      </c>
    </row>
    <row r="291" spans="13:29">
      <c r="M291" s="14"/>
      <c r="T291" s="16"/>
      <c r="U291" s="17">
        <f>IF(AND(COUNTA($A291:$L291)=0,$N291=""),"",IF($T291="Paid","PAID",IF($T291="Closed","CLOSED",IF($Z291="","",IF($Z291=6,"ESCALATED TO ROXANNE",IF(TODAY()&gt;$AB291,"OVERDUE",IF($AB291&lt;=WORKDAY(TODAY(),1,Holidays),"DUE TOMORROW",IF($Z291=4,"ESCALATED TO LOCAL OFFICE",IF($Z291=5,"ESCALATED TO CBE",IF($AA291=TODAY(),"EMAIL SENT","MONITORING"))))))))))</f>
        <v/>
      </c>
      <c r="V291" s="17">
        <f>IF($U291="",IF(AND(COUNTA($A291:$L291)&gt;0,$N291=""),"Awaiting Collection Email time stamp.",""),IF(OR($U291="PAID",$U291="CLOSED"),IF($U291="PAID","Account paid. Action completed.","Account closed. No further action required."),CHOOSE($Z291,"Collection Email","1st Email Follow-up","2nd Email Follow-up","Escalation to Local Office","Escalation to CBE","Escalation to Roxanne")&amp;" sent "&amp;TEXT($AA291,"dd-mmm")&amp;". "&amp;IF($Z291=6,"Final escalation completed.",IF($U291="OVERDUE","Next: "&amp;$AC291&amp;" was due "&amp;TEXT($AB291,"dd-mmm")&amp;" - "&amp;(NETWORKDAYS($AB291,TODAY(),Holidays)-1)&amp;" business day(s) late. Send now.",IF($U291="DUE TOMORROW","Next: "&amp;$AC291&amp;IF($AB291&lt;=TODAY()," is due TODAY ("," is due next business day (")&amp;TEXT($AB291,"dd-mmm")&amp;").","Next: "&amp;$AC291&amp;" due "&amp;TEXT($AB291,"dd-mmm")&amp;" ("&amp;(NETWORKDAYS(TODAY(),$AB291,Holidays)-1)&amp;" business day(s) left).")))))</f>
        <v/>
      </c>
      <c r="W291" s="17">
        <f>IF($Z291="","",CHOOSE($Z291,"Collection Email","1st Follow-up","2nd Follow-up","Local Office","CBE","Roxanne")&amp;IF($Z291=6," - Final"," - Day "&amp;MAX(0,NETWORKDAYS($AA291,TODAY(),Holidays)-1)&amp;" of "&amp;CHOOSE($Z291,3,3,2,2,3))&amp;" | Total Day "&amp;MAX(0,NETWORKDAYS($N291,TODAY(),Holidays)-1))</f>
        <v/>
      </c>
      <c r="X291" s="18"/>
      <c r="Y291" s="18"/>
      <c r="Z291" s="17">
        <f>IF($N291="","",COUNT($N291:$S291))</f>
        <v/>
      </c>
      <c r="AA291" s="19">
        <f>IF($Z291="","",INT(INDEX($N291:$S291,$Z291)))</f>
        <v/>
      </c>
      <c r="AB291" s="19">
        <f>IF(OR($Z291="",$Z291=6),"",WORKDAY($AA291,CHOOSE($Z291,3,3,2,2,3),Holidays))</f>
        <v/>
      </c>
      <c r="AC291" s="17">
        <f>IF(OR($Z291="",$Z291=6),"",CHOOSE($Z291,"1st Email Follow-up","2nd Email Follow-up","Escalate Local Office","Escalate to CBE","Escalate to Roxanne"))</f>
        <v/>
      </c>
    </row>
    <row r="292" spans="13:29">
      <c r="M292" s="14"/>
      <c r="T292" s="16"/>
      <c r="U292" s="17">
        <f>IF(AND(COUNTA($A292:$L292)=0,$N292=""),"",IF($T292="Paid","PAID",IF($T292="Closed","CLOSED",IF($Z292="","",IF($Z292=6,"ESCALATED TO ROXANNE",IF(TODAY()&gt;$AB292,"OVERDUE",IF($AB292&lt;=WORKDAY(TODAY(),1,Holidays),"DUE TOMORROW",IF($Z292=4,"ESCALATED TO LOCAL OFFICE",IF($Z292=5,"ESCALATED TO CBE",IF($AA292=TODAY(),"EMAIL SENT","MONITORING"))))))))))</f>
        <v/>
      </c>
      <c r="V292" s="17">
        <f>IF($U292="",IF(AND(COUNTA($A292:$L292)&gt;0,$N292=""),"Awaiting Collection Email time stamp.",""),IF(OR($U292="PAID",$U292="CLOSED"),IF($U292="PAID","Account paid. Action completed.","Account closed. No further action required."),CHOOSE($Z292,"Collection Email","1st Email Follow-up","2nd Email Follow-up","Escalation to Local Office","Escalation to CBE","Escalation to Roxanne")&amp;" sent "&amp;TEXT($AA292,"dd-mmm")&amp;". "&amp;IF($Z292=6,"Final escalation completed.",IF($U292="OVERDUE","Next: "&amp;$AC292&amp;" was due "&amp;TEXT($AB292,"dd-mmm")&amp;" - "&amp;(NETWORKDAYS($AB292,TODAY(),Holidays)-1)&amp;" business day(s) late. Send now.",IF($U292="DUE TOMORROW","Next: "&amp;$AC292&amp;IF($AB292&lt;=TODAY()," is due TODAY ("," is due next business day (")&amp;TEXT($AB292,"dd-mmm")&amp;").","Next: "&amp;$AC292&amp;" due "&amp;TEXT($AB292,"dd-mmm")&amp;" ("&amp;(NETWORKDAYS(TODAY(),$AB292,Holidays)-1)&amp;" business day(s) left).")))))</f>
        <v/>
      </c>
      <c r="W292" s="17">
        <f>IF($Z292="","",CHOOSE($Z292,"Collection Email","1st Follow-up","2nd Follow-up","Local Office","CBE","Roxanne")&amp;IF($Z292=6," - Final"," - Day "&amp;MAX(0,NETWORKDAYS($AA292,TODAY(),Holidays)-1)&amp;" of "&amp;CHOOSE($Z292,3,3,2,2,3))&amp;" | Total Day "&amp;MAX(0,NETWORKDAYS($N292,TODAY(),Holidays)-1))</f>
        <v/>
      </c>
      <c r="X292" s="18"/>
      <c r="Y292" s="18"/>
      <c r="Z292" s="17">
        <f>IF($N292="","",COUNT($N292:$S292))</f>
        <v/>
      </c>
      <c r="AA292" s="19">
        <f>IF($Z292="","",INT(INDEX($N292:$S292,$Z292)))</f>
        <v/>
      </c>
      <c r="AB292" s="19">
        <f>IF(OR($Z292="",$Z292=6),"",WORKDAY($AA292,CHOOSE($Z292,3,3,2,2,3),Holidays))</f>
        <v/>
      </c>
      <c r="AC292" s="17">
        <f>IF(OR($Z292="",$Z292=6),"",CHOOSE($Z292,"1st Email Follow-up","2nd Email Follow-up","Escalate Local Office","Escalate to CBE","Escalate to Roxanne"))</f>
        <v/>
      </c>
    </row>
    <row r="293" spans="13:29">
      <c r="M293" s="14"/>
      <c r="T293" s="16"/>
      <c r="U293" s="17">
        <f>IF(AND(COUNTA($A293:$L293)=0,$N293=""),"",IF($T293="Paid","PAID",IF($T293="Closed","CLOSED",IF($Z293="","",IF($Z293=6,"ESCALATED TO ROXANNE",IF(TODAY()&gt;$AB293,"OVERDUE",IF($AB293&lt;=WORKDAY(TODAY(),1,Holidays),"DUE TOMORROW",IF($Z293=4,"ESCALATED TO LOCAL OFFICE",IF($Z293=5,"ESCALATED TO CBE",IF($AA293=TODAY(),"EMAIL SENT","MONITORING"))))))))))</f>
        <v/>
      </c>
      <c r="V293" s="17">
        <f>IF($U293="",IF(AND(COUNTA($A293:$L293)&gt;0,$N293=""),"Awaiting Collection Email time stamp.",""),IF(OR($U293="PAID",$U293="CLOSED"),IF($U293="PAID","Account paid. Action completed.","Account closed. No further action required."),CHOOSE($Z293,"Collection Email","1st Email Follow-up","2nd Email Follow-up","Escalation to Local Office","Escalation to CBE","Escalation to Roxanne")&amp;" sent "&amp;TEXT($AA293,"dd-mmm")&amp;". "&amp;IF($Z293=6,"Final escalation completed.",IF($U293="OVERDUE","Next: "&amp;$AC293&amp;" was due "&amp;TEXT($AB293,"dd-mmm")&amp;" - "&amp;(NETWORKDAYS($AB293,TODAY(),Holidays)-1)&amp;" business day(s) late. Send now.",IF($U293="DUE TOMORROW","Next: "&amp;$AC293&amp;IF($AB293&lt;=TODAY()," is due TODAY ("," is due next business day (")&amp;TEXT($AB293,"dd-mmm")&amp;").","Next: "&amp;$AC293&amp;" due "&amp;TEXT($AB293,"dd-mmm")&amp;" ("&amp;(NETWORKDAYS(TODAY(),$AB293,Holidays)-1)&amp;" business day(s) left).")))))</f>
        <v/>
      </c>
      <c r="W293" s="17">
        <f>IF($Z293="","",CHOOSE($Z293,"Collection Email","1st Follow-up","2nd Follow-up","Local Office","CBE","Roxanne")&amp;IF($Z293=6," - Final"," - Day "&amp;MAX(0,NETWORKDAYS($AA293,TODAY(),Holidays)-1)&amp;" of "&amp;CHOOSE($Z293,3,3,2,2,3))&amp;" | Total Day "&amp;MAX(0,NETWORKDAYS($N293,TODAY(),Holidays)-1))</f>
        <v/>
      </c>
      <c r="X293" s="18"/>
      <c r="Y293" s="18"/>
      <c r="Z293" s="17">
        <f>IF($N293="","",COUNT($N293:$S293))</f>
        <v/>
      </c>
      <c r="AA293" s="19">
        <f>IF($Z293="","",INT(INDEX($N293:$S293,$Z293)))</f>
        <v/>
      </c>
      <c r="AB293" s="19">
        <f>IF(OR($Z293="",$Z293=6),"",WORKDAY($AA293,CHOOSE($Z293,3,3,2,2,3),Holidays))</f>
        <v/>
      </c>
      <c r="AC293" s="17">
        <f>IF(OR($Z293="",$Z293=6),"",CHOOSE($Z293,"1st Email Follow-up","2nd Email Follow-up","Escalate Local Office","Escalate to CBE","Escalate to Roxanne"))</f>
        <v/>
      </c>
    </row>
    <row r="294" spans="13:29">
      <c r="M294" s="14"/>
      <c r="T294" s="16"/>
      <c r="U294" s="17">
        <f>IF(AND(COUNTA($A294:$L294)=0,$N294=""),"",IF($T294="Paid","PAID",IF($T294="Closed","CLOSED",IF($Z294="","",IF($Z294=6,"ESCALATED TO ROXANNE",IF(TODAY()&gt;$AB294,"OVERDUE",IF($AB294&lt;=WORKDAY(TODAY(),1,Holidays),"DUE TOMORROW",IF($Z294=4,"ESCALATED TO LOCAL OFFICE",IF($Z294=5,"ESCALATED TO CBE",IF($AA294=TODAY(),"EMAIL SENT","MONITORING"))))))))))</f>
        <v/>
      </c>
      <c r="V294" s="17">
        <f>IF($U294="",IF(AND(COUNTA($A294:$L294)&gt;0,$N294=""),"Awaiting Collection Email time stamp.",""),IF(OR($U294="PAID",$U294="CLOSED"),IF($U294="PAID","Account paid. Action completed.","Account closed. No further action required."),CHOOSE($Z294,"Collection Email","1st Email Follow-up","2nd Email Follow-up","Escalation to Local Office","Escalation to CBE","Escalation to Roxanne")&amp;" sent "&amp;TEXT($AA294,"dd-mmm")&amp;". "&amp;IF($Z294=6,"Final escalation completed.",IF($U294="OVERDUE","Next: "&amp;$AC294&amp;" was due "&amp;TEXT($AB294,"dd-mmm")&amp;" - "&amp;(NETWORKDAYS($AB294,TODAY(),Holidays)-1)&amp;" business day(s) late. Send now.",IF($U294="DUE TOMORROW","Next: "&amp;$AC294&amp;IF($AB294&lt;=TODAY()," is due TODAY ("," is due next business day (")&amp;TEXT($AB294,"dd-mmm")&amp;").","Next: "&amp;$AC294&amp;" due "&amp;TEXT($AB294,"dd-mmm")&amp;" ("&amp;(NETWORKDAYS(TODAY(),$AB294,Holidays)-1)&amp;" business day(s) left).")))))</f>
        <v/>
      </c>
      <c r="W294" s="17">
        <f>IF($Z294="","",CHOOSE($Z294,"Collection Email","1st Follow-up","2nd Follow-up","Local Office","CBE","Roxanne")&amp;IF($Z294=6," - Final"," - Day "&amp;MAX(0,NETWORKDAYS($AA294,TODAY(),Holidays)-1)&amp;" of "&amp;CHOOSE($Z294,3,3,2,2,3))&amp;" | Total Day "&amp;MAX(0,NETWORKDAYS($N294,TODAY(),Holidays)-1))</f>
        <v/>
      </c>
      <c r="X294" s="18"/>
      <c r="Y294" s="18"/>
      <c r="Z294" s="17">
        <f>IF($N294="","",COUNT($N294:$S294))</f>
        <v/>
      </c>
      <c r="AA294" s="19">
        <f>IF($Z294="","",INT(INDEX($N294:$S294,$Z294)))</f>
        <v/>
      </c>
      <c r="AB294" s="19">
        <f>IF(OR($Z294="",$Z294=6),"",WORKDAY($AA294,CHOOSE($Z294,3,3,2,2,3),Holidays))</f>
        <v/>
      </c>
      <c r="AC294" s="17">
        <f>IF(OR($Z294="",$Z294=6),"",CHOOSE($Z294,"1st Email Follow-up","2nd Email Follow-up","Escalate Local Office","Escalate to CBE","Escalate to Roxanne"))</f>
        <v/>
      </c>
    </row>
    <row r="295" spans="13:29">
      <c r="M295" s="14"/>
      <c r="T295" s="16"/>
      <c r="U295" s="17">
        <f>IF(AND(COUNTA($A295:$L295)=0,$N295=""),"",IF($T295="Paid","PAID",IF($T295="Closed","CLOSED",IF($Z295="","",IF($Z295=6,"ESCALATED TO ROXANNE",IF(TODAY()&gt;$AB295,"OVERDUE",IF($AB295&lt;=WORKDAY(TODAY(),1,Holidays),"DUE TOMORROW",IF($Z295=4,"ESCALATED TO LOCAL OFFICE",IF($Z295=5,"ESCALATED TO CBE",IF($AA295=TODAY(),"EMAIL SENT","MONITORING"))))))))))</f>
        <v/>
      </c>
      <c r="V295" s="17">
        <f>IF($U295="",IF(AND(COUNTA($A295:$L295)&gt;0,$N295=""),"Awaiting Collection Email time stamp.",""),IF(OR($U295="PAID",$U295="CLOSED"),IF($U295="PAID","Account paid. Action completed.","Account closed. No further action required."),CHOOSE($Z295,"Collection Email","1st Email Follow-up","2nd Email Follow-up","Escalation to Local Office","Escalation to CBE","Escalation to Roxanne")&amp;" sent "&amp;TEXT($AA295,"dd-mmm")&amp;". "&amp;IF($Z295=6,"Final escalation completed.",IF($U295="OVERDUE","Next: "&amp;$AC295&amp;" was due "&amp;TEXT($AB295,"dd-mmm")&amp;" - "&amp;(NETWORKDAYS($AB295,TODAY(),Holidays)-1)&amp;" business day(s) late. Send now.",IF($U295="DUE TOMORROW","Next: "&amp;$AC295&amp;IF($AB295&lt;=TODAY()," is due TODAY ("," is due next business day (")&amp;TEXT($AB295,"dd-mmm")&amp;").","Next: "&amp;$AC295&amp;" due "&amp;TEXT($AB295,"dd-mmm")&amp;" ("&amp;(NETWORKDAYS(TODAY(),$AB295,Holidays)-1)&amp;" business day(s) left).")))))</f>
        <v/>
      </c>
      <c r="W295" s="17">
        <f>IF($Z295="","",CHOOSE($Z295,"Collection Email","1st Follow-up","2nd Follow-up","Local Office","CBE","Roxanne")&amp;IF($Z295=6," - Final"," - Day "&amp;MAX(0,NETWORKDAYS($AA295,TODAY(),Holidays)-1)&amp;" of "&amp;CHOOSE($Z295,3,3,2,2,3))&amp;" | Total Day "&amp;MAX(0,NETWORKDAYS($N295,TODAY(),Holidays)-1))</f>
        <v/>
      </c>
      <c r="X295" s="18"/>
      <c r="Y295" s="18"/>
      <c r="Z295" s="17">
        <f>IF($N295="","",COUNT($N295:$S295))</f>
        <v/>
      </c>
      <c r="AA295" s="19">
        <f>IF($Z295="","",INT(INDEX($N295:$S295,$Z295)))</f>
        <v/>
      </c>
      <c r="AB295" s="19">
        <f>IF(OR($Z295="",$Z295=6),"",WORKDAY($AA295,CHOOSE($Z295,3,3,2,2,3),Holidays))</f>
        <v/>
      </c>
      <c r="AC295" s="17">
        <f>IF(OR($Z295="",$Z295=6),"",CHOOSE($Z295,"1st Email Follow-up","2nd Email Follow-up","Escalate Local Office","Escalate to CBE","Escalate to Roxanne"))</f>
        <v/>
      </c>
    </row>
    <row r="296" spans="13:29">
      <c r="M296" s="14"/>
      <c r="T296" s="16"/>
      <c r="U296" s="17">
        <f>IF(AND(COUNTA($A296:$L296)=0,$N296=""),"",IF($T296="Paid","PAID",IF($T296="Closed","CLOSED",IF($Z296="","",IF($Z296=6,"ESCALATED TO ROXANNE",IF(TODAY()&gt;$AB296,"OVERDUE",IF($AB296&lt;=WORKDAY(TODAY(),1,Holidays),"DUE TOMORROW",IF($Z296=4,"ESCALATED TO LOCAL OFFICE",IF($Z296=5,"ESCALATED TO CBE",IF($AA296=TODAY(),"EMAIL SENT","MONITORING"))))))))))</f>
        <v/>
      </c>
      <c r="V296" s="17">
        <f>IF($U296="",IF(AND(COUNTA($A296:$L296)&gt;0,$N296=""),"Awaiting Collection Email time stamp.",""),IF(OR($U296="PAID",$U296="CLOSED"),IF($U296="PAID","Account paid. Action completed.","Account closed. No further action required."),CHOOSE($Z296,"Collection Email","1st Email Follow-up","2nd Email Follow-up","Escalation to Local Office","Escalation to CBE","Escalation to Roxanne")&amp;" sent "&amp;TEXT($AA296,"dd-mmm")&amp;". "&amp;IF($Z296=6,"Final escalation completed.",IF($U296="OVERDUE","Next: "&amp;$AC296&amp;" was due "&amp;TEXT($AB296,"dd-mmm")&amp;" - "&amp;(NETWORKDAYS($AB296,TODAY(),Holidays)-1)&amp;" business day(s) late. Send now.",IF($U296="DUE TOMORROW","Next: "&amp;$AC296&amp;IF($AB296&lt;=TODAY()," is due TODAY ("," is due next business day (")&amp;TEXT($AB296,"dd-mmm")&amp;").","Next: "&amp;$AC296&amp;" due "&amp;TEXT($AB296,"dd-mmm")&amp;" ("&amp;(NETWORKDAYS(TODAY(),$AB296,Holidays)-1)&amp;" business day(s) left).")))))</f>
        <v/>
      </c>
      <c r="W296" s="17">
        <f>IF($Z296="","",CHOOSE($Z296,"Collection Email","1st Follow-up","2nd Follow-up","Local Office","CBE","Roxanne")&amp;IF($Z296=6," - Final"," - Day "&amp;MAX(0,NETWORKDAYS($AA296,TODAY(),Holidays)-1)&amp;" of "&amp;CHOOSE($Z296,3,3,2,2,3))&amp;" | Total Day "&amp;MAX(0,NETWORKDAYS($N296,TODAY(),Holidays)-1))</f>
        <v/>
      </c>
      <c r="X296" s="18"/>
      <c r="Y296" s="18"/>
      <c r="Z296" s="17">
        <f>IF($N296="","",COUNT($N296:$S296))</f>
        <v/>
      </c>
      <c r="AA296" s="19">
        <f>IF($Z296="","",INT(INDEX($N296:$S296,$Z296)))</f>
        <v/>
      </c>
      <c r="AB296" s="19">
        <f>IF(OR($Z296="",$Z296=6),"",WORKDAY($AA296,CHOOSE($Z296,3,3,2,2,3),Holidays))</f>
        <v/>
      </c>
      <c r="AC296" s="17">
        <f>IF(OR($Z296="",$Z296=6),"",CHOOSE($Z296,"1st Email Follow-up","2nd Email Follow-up","Escalate Local Office","Escalate to CBE","Escalate to Roxanne"))</f>
        <v/>
      </c>
    </row>
    <row r="297" spans="13:29">
      <c r="M297" s="14"/>
      <c r="T297" s="16"/>
      <c r="U297" s="17">
        <f>IF(AND(COUNTA($A297:$L297)=0,$N297=""),"",IF($T297="Paid","PAID",IF($T297="Closed","CLOSED",IF($Z297="","",IF($Z297=6,"ESCALATED TO ROXANNE",IF(TODAY()&gt;$AB297,"OVERDUE",IF($AB297&lt;=WORKDAY(TODAY(),1,Holidays),"DUE TOMORROW",IF($Z297=4,"ESCALATED TO LOCAL OFFICE",IF($Z297=5,"ESCALATED TO CBE",IF($AA297=TODAY(),"EMAIL SENT","MONITORING"))))))))))</f>
        <v/>
      </c>
      <c r="V297" s="17">
        <f>IF($U297="",IF(AND(COUNTA($A297:$L297)&gt;0,$N297=""),"Awaiting Collection Email time stamp.",""),IF(OR($U297="PAID",$U297="CLOSED"),IF($U297="PAID","Account paid. Action completed.","Account closed. No further action required."),CHOOSE($Z297,"Collection Email","1st Email Follow-up","2nd Email Follow-up","Escalation to Local Office","Escalation to CBE","Escalation to Roxanne")&amp;" sent "&amp;TEXT($AA297,"dd-mmm")&amp;". "&amp;IF($Z297=6,"Final escalation completed.",IF($U297="OVERDUE","Next: "&amp;$AC297&amp;" was due "&amp;TEXT($AB297,"dd-mmm")&amp;" - "&amp;(NETWORKDAYS($AB297,TODAY(),Holidays)-1)&amp;" business day(s) late. Send now.",IF($U297="DUE TOMORROW","Next: "&amp;$AC297&amp;IF($AB297&lt;=TODAY()," is due TODAY ("," is due next business day (")&amp;TEXT($AB297,"dd-mmm")&amp;").","Next: "&amp;$AC297&amp;" due "&amp;TEXT($AB297,"dd-mmm")&amp;" ("&amp;(NETWORKDAYS(TODAY(),$AB297,Holidays)-1)&amp;" business day(s) left).")))))</f>
        <v/>
      </c>
      <c r="W297" s="17">
        <f>IF($Z297="","",CHOOSE($Z297,"Collection Email","1st Follow-up","2nd Follow-up","Local Office","CBE","Roxanne")&amp;IF($Z297=6," - Final"," - Day "&amp;MAX(0,NETWORKDAYS($AA297,TODAY(),Holidays)-1)&amp;" of "&amp;CHOOSE($Z297,3,3,2,2,3))&amp;" | Total Day "&amp;MAX(0,NETWORKDAYS($N297,TODAY(),Holidays)-1))</f>
        <v/>
      </c>
      <c r="X297" s="18"/>
      <c r="Y297" s="18"/>
      <c r="Z297" s="17">
        <f>IF($N297="","",COUNT($N297:$S297))</f>
        <v/>
      </c>
      <c r="AA297" s="19">
        <f>IF($Z297="","",INT(INDEX($N297:$S297,$Z297)))</f>
        <v/>
      </c>
      <c r="AB297" s="19">
        <f>IF(OR($Z297="",$Z297=6),"",WORKDAY($AA297,CHOOSE($Z297,3,3,2,2,3),Holidays))</f>
        <v/>
      </c>
      <c r="AC297" s="17">
        <f>IF(OR($Z297="",$Z297=6),"",CHOOSE($Z297,"1st Email Follow-up","2nd Email Follow-up","Escalate Local Office","Escalate to CBE","Escalate to Roxanne"))</f>
        <v/>
      </c>
    </row>
    <row r="298" spans="13:29">
      <c r="M298" s="14"/>
      <c r="T298" s="16"/>
      <c r="U298" s="17">
        <f>IF(AND(COUNTA($A298:$L298)=0,$N298=""),"",IF($T298="Paid","PAID",IF($T298="Closed","CLOSED",IF($Z298="","",IF($Z298=6,"ESCALATED TO ROXANNE",IF(TODAY()&gt;$AB298,"OVERDUE",IF($AB298&lt;=WORKDAY(TODAY(),1,Holidays),"DUE TOMORROW",IF($Z298=4,"ESCALATED TO LOCAL OFFICE",IF($Z298=5,"ESCALATED TO CBE",IF($AA298=TODAY(),"EMAIL SENT","MONITORING"))))))))))</f>
        <v/>
      </c>
      <c r="V298" s="17">
        <f>IF($U298="",IF(AND(COUNTA($A298:$L298)&gt;0,$N298=""),"Awaiting Collection Email time stamp.",""),IF(OR($U298="PAID",$U298="CLOSED"),IF($U298="PAID","Account paid. Action completed.","Account closed. No further action required."),CHOOSE($Z298,"Collection Email","1st Email Follow-up","2nd Email Follow-up","Escalation to Local Office","Escalation to CBE","Escalation to Roxanne")&amp;" sent "&amp;TEXT($AA298,"dd-mmm")&amp;". "&amp;IF($Z298=6,"Final escalation completed.",IF($U298="OVERDUE","Next: "&amp;$AC298&amp;" was due "&amp;TEXT($AB298,"dd-mmm")&amp;" - "&amp;(NETWORKDAYS($AB298,TODAY(),Holidays)-1)&amp;" business day(s) late. Send now.",IF($U298="DUE TOMORROW","Next: "&amp;$AC298&amp;IF($AB298&lt;=TODAY()," is due TODAY ("," is due next business day (")&amp;TEXT($AB298,"dd-mmm")&amp;").","Next: "&amp;$AC298&amp;" due "&amp;TEXT($AB298,"dd-mmm")&amp;" ("&amp;(NETWORKDAYS(TODAY(),$AB298,Holidays)-1)&amp;" business day(s) left).")))))</f>
        <v/>
      </c>
      <c r="W298" s="17">
        <f>IF($Z298="","",CHOOSE($Z298,"Collection Email","1st Follow-up","2nd Follow-up","Local Office","CBE","Roxanne")&amp;IF($Z298=6," - Final"," - Day "&amp;MAX(0,NETWORKDAYS($AA298,TODAY(),Holidays)-1)&amp;" of "&amp;CHOOSE($Z298,3,3,2,2,3))&amp;" | Total Day "&amp;MAX(0,NETWORKDAYS($N298,TODAY(),Holidays)-1))</f>
        <v/>
      </c>
      <c r="X298" s="18"/>
      <c r="Y298" s="18"/>
      <c r="Z298" s="17">
        <f>IF($N298="","",COUNT($N298:$S298))</f>
        <v/>
      </c>
      <c r="AA298" s="19">
        <f>IF($Z298="","",INT(INDEX($N298:$S298,$Z298)))</f>
        <v/>
      </c>
      <c r="AB298" s="19">
        <f>IF(OR($Z298="",$Z298=6),"",WORKDAY($AA298,CHOOSE($Z298,3,3,2,2,3),Holidays))</f>
        <v/>
      </c>
      <c r="AC298" s="17">
        <f>IF(OR($Z298="",$Z298=6),"",CHOOSE($Z298,"1st Email Follow-up","2nd Email Follow-up","Escalate Local Office","Escalate to CBE","Escalate to Roxanne"))</f>
        <v/>
      </c>
    </row>
    <row r="299" spans="13:29">
      <c r="M299" s="14"/>
      <c r="T299" s="16"/>
      <c r="U299" s="17">
        <f>IF(AND(COUNTA($A299:$L299)=0,$N299=""),"",IF($T299="Paid","PAID",IF($T299="Closed","CLOSED",IF($Z299="","",IF($Z299=6,"ESCALATED TO ROXANNE",IF(TODAY()&gt;$AB299,"OVERDUE",IF($AB299&lt;=WORKDAY(TODAY(),1,Holidays),"DUE TOMORROW",IF($Z299=4,"ESCALATED TO LOCAL OFFICE",IF($Z299=5,"ESCALATED TO CBE",IF($AA299=TODAY(),"EMAIL SENT","MONITORING"))))))))))</f>
        <v/>
      </c>
      <c r="V299" s="17">
        <f>IF($U299="",IF(AND(COUNTA($A299:$L299)&gt;0,$N299=""),"Awaiting Collection Email time stamp.",""),IF(OR($U299="PAID",$U299="CLOSED"),IF($U299="PAID","Account paid. Action completed.","Account closed. No further action required."),CHOOSE($Z299,"Collection Email","1st Email Follow-up","2nd Email Follow-up","Escalation to Local Office","Escalation to CBE","Escalation to Roxanne")&amp;" sent "&amp;TEXT($AA299,"dd-mmm")&amp;". "&amp;IF($Z299=6,"Final escalation completed.",IF($U299="OVERDUE","Next: "&amp;$AC299&amp;" was due "&amp;TEXT($AB299,"dd-mmm")&amp;" - "&amp;(NETWORKDAYS($AB299,TODAY(),Holidays)-1)&amp;" business day(s) late. Send now.",IF($U299="DUE TOMORROW","Next: "&amp;$AC299&amp;IF($AB299&lt;=TODAY()," is due TODAY ("," is due next business day (")&amp;TEXT($AB299,"dd-mmm")&amp;").","Next: "&amp;$AC299&amp;" due "&amp;TEXT($AB299,"dd-mmm")&amp;" ("&amp;(NETWORKDAYS(TODAY(),$AB299,Holidays)-1)&amp;" business day(s) left).")))))</f>
        <v/>
      </c>
      <c r="W299" s="17">
        <f>IF($Z299="","",CHOOSE($Z299,"Collection Email","1st Follow-up","2nd Follow-up","Local Office","CBE","Roxanne")&amp;IF($Z299=6," - Final"," - Day "&amp;MAX(0,NETWORKDAYS($AA299,TODAY(),Holidays)-1)&amp;" of "&amp;CHOOSE($Z299,3,3,2,2,3))&amp;" | Total Day "&amp;MAX(0,NETWORKDAYS($N299,TODAY(),Holidays)-1))</f>
        <v/>
      </c>
      <c r="X299" s="18"/>
      <c r="Y299" s="18"/>
      <c r="Z299" s="17">
        <f>IF($N299="","",COUNT($N299:$S299))</f>
        <v/>
      </c>
      <c r="AA299" s="19">
        <f>IF($Z299="","",INT(INDEX($N299:$S299,$Z299)))</f>
        <v/>
      </c>
      <c r="AB299" s="19">
        <f>IF(OR($Z299="",$Z299=6),"",WORKDAY($AA299,CHOOSE($Z299,3,3,2,2,3),Holidays))</f>
        <v/>
      </c>
      <c r="AC299" s="17">
        <f>IF(OR($Z299="",$Z299=6),"",CHOOSE($Z299,"1st Email Follow-up","2nd Email Follow-up","Escalate Local Office","Escalate to CBE","Escalate to Roxanne"))</f>
        <v/>
      </c>
    </row>
    <row r="300" spans="13:29">
      <c r="M300" s="14"/>
      <c r="T300" s="16"/>
      <c r="U300" s="17">
        <f>IF(AND(COUNTA($A300:$L300)=0,$N300=""),"",IF($T300="Paid","PAID",IF($T300="Closed","CLOSED",IF($Z300="","",IF($Z300=6,"ESCALATED TO ROXANNE",IF(TODAY()&gt;$AB300,"OVERDUE",IF($AB300&lt;=WORKDAY(TODAY(),1,Holidays),"DUE TOMORROW",IF($Z300=4,"ESCALATED TO LOCAL OFFICE",IF($Z300=5,"ESCALATED TO CBE",IF($AA300=TODAY(),"EMAIL SENT","MONITORING"))))))))))</f>
        <v/>
      </c>
      <c r="V300" s="17">
        <f>IF($U300="",IF(AND(COUNTA($A300:$L300)&gt;0,$N300=""),"Awaiting Collection Email time stamp.",""),IF(OR($U300="PAID",$U300="CLOSED"),IF($U300="PAID","Account paid. Action completed.","Account closed. No further action required."),CHOOSE($Z300,"Collection Email","1st Email Follow-up","2nd Email Follow-up","Escalation to Local Office","Escalation to CBE","Escalation to Roxanne")&amp;" sent "&amp;TEXT($AA300,"dd-mmm")&amp;". "&amp;IF($Z300=6,"Final escalation completed.",IF($U300="OVERDUE","Next: "&amp;$AC300&amp;" was due "&amp;TEXT($AB300,"dd-mmm")&amp;" - "&amp;(NETWORKDAYS($AB300,TODAY(),Holidays)-1)&amp;" business day(s) late. Send now.",IF($U300="DUE TOMORROW","Next: "&amp;$AC300&amp;IF($AB300&lt;=TODAY()," is due TODAY ("," is due next business day (")&amp;TEXT($AB300,"dd-mmm")&amp;").","Next: "&amp;$AC300&amp;" due "&amp;TEXT($AB300,"dd-mmm")&amp;" ("&amp;(NETWORKDAYS(TODAY(),$AB300,Holidays)-1)&amp;" business day(s) left).")))))</f>
        <v/>
      </c>
      <c r="W300" s="17">
        <f>IF($Z300="","",CHOOSE($Z300,"Collection Email","1st Follow-up","2nd Follow-up","Local Office","CBE","Roxanne")&amp;IF($Z300=6," - Final"," - Day "&amp;MAX(0,NETWORKDAYS($AA300,TODAY(),Holidays)-1)&amp;" of "&amp;CHOOSE($Z300,3,3,2,2,3))&amp;" | Total Day "&amp;MAX(0,NETWORKDAYS($N300,TODAY(),Holidays)-1))</f>
        <v/>
      </c>
      <c r="X300" s="18"/>
      <c r="Y300" s="18"/>
      <c r="Z300" s="17">
        <f>IF($N300="","",COUNT($N300:$S300))</f>
        <v/>
      </c>
      <c r="AA300" s="19">
        <f>IF($Z300="","",INT(INDEX($N300:$S300,$Z300)))</f>
        <v/>
      </c>
      <c r="AB300" s="19">
        <f>IF(OR($Z300="",$Z300=6),"",WORKDAY($AA300,CHOOSE($Z300,3,3,2,2,3),Holidays))</f>
        <v/>
      </c>
      <c r="AC300" s="17">
        <f>IF(OR($Z300="",$Z300=6),"",CHOOSE($Z300,"1st Email Follow-up","2nd Email Follow-up","Escalate Local Office","Escalate to CBE","Escalate to Roxanne"))</f>
        <v/>
      </c>
    </row>
    <row r="301" spans="13:29">
      <c r="M301" s="14"/>
      <c r="T301" s="16"/>
      <c r="U301" s="17">
        <f>IF(AND(COUNTA($A301:$L301)=0,$N301=""),"",IF($T301="Paid","PAID",IF($T301="Closed","CLOSED",IF($Z301="","",IF($Z301=6,"ESCALATED TO ROXANNE",IF(TODAY()&gt;$AB301,"OVERDUE",IF($AB301&lt;=WORKDAY(TODAY(),1,Holidays),"DUE TOMORROW",IF($Z301=4,"ESCALATED TO LOCAL OFFICE",IF($Z301=5,"ESCALATED TO CBE",IF($AA301=TODAY(),"EMAIL SENT","MONITORING"))))))))))</f>
        <v/>
      </c>
      <c r="V301" s="17">
        <f>IF($U301="",IF(AND(COUNTA($A301:$L301)&gt;0,$N301=""),"Awaiting Collection Email time stamp.",""),IF(OR($U301="PAID",$U301="CLOSED"),IF($U301="PAID","Account paid. Action completed.","Account closed. No further action required."),CHOOSE($Z301,"Collection Email","1st Email Follow-up","2nd Email Follow-up","Escalation to Local Office","Escalation to CBE","Escalation to Roxanne")&amp;" sent "&amp;TEXT($AA301,"dd-mmm")&amp;". "&amp;IF($Z301=6,"Final escalation completed.",IF($U301="OVERDUE","Next: "&amp;$AC301&amp;" was due "&amp;TEXT($AB301,"dd-mmm")&amp;" - "&amp;(NETWORKDAYS($AB301,TODAY(),Holidays)-1)&amp;" business day(s) late. Send now.",IF($U301="DUE TOMORROW","Next: "&amp;$AC301&amp;IF($AB301&lt;=TODAY()," is due TODAY ("," is due next business day (")&amp;TEXT($AB301,"dd-mmm")&amp;").","Next: "&amp;$AC301&amp;" due "&amp;TEXT($AB301,"dd-mmm")&amp;" ("&amp;(NETWORKDAYS(TODAY(),$AB301,Holidays)-1)&amp;" business day(s) left).")))))</f>
        <v/>
      </c>
      <c r="W301" s="17">
        <f>IF($Z301="","",CHOOSE($Z301,"Collection Email","1st Follow-up","2nd Follow-up","Local Office","CBE","Roxanne")&amp;IF($Z301=6," - Final"," - Day "&amp;MAX(0,NETWORKDAYS($AA301,TODAY(),Holidays)-1)&amp;" of "&amp;CHOOSE($Z301,3,3,2,2,3))&amp;" | Total Day "&amp;MAX(0,NETWORKDAYS($N301,TODAY(),Holidays)-1))</f>
        <v/>
      </c>
      <c r="X301" s="18"/>
      <c r="Y301" s="18"/>
      <c r="Z301" s="17">
        <f>IF($N301="","",COUNT($N301:$S301))</f>
        <v/>
      </c>
      <c r="AA301" s="19">
        <f>IF($Z301="","",INT(INDEX($N301:$S301,$Z301)))</f>
        <v/>
      </c>
      <c r="AB301" s="19">
        <f>IF(OR($Z301="",$Z301=6),"",WORKDAY($AA301,CHOOSE($Z301,3,3,2,2,3),Holidays))</f>
        <v/>
      </c>
      <c r="AC301" s="17">
        <f>IF(OR($Z301="",$Z301=6),"",CHOOSE($Z301,"1st Email Follow-up","2nd Email Follow-up","Escalate Local Office","Escalate to CBE","Escalate to Roxanne"))</f>
        <v/>
      </c>
    </row>
    <row r="302" spans="13:29">
      <c r="M302" s="14"/>
      <c r="T302" s="16"/>
      <c r="U302" s="17">
        <f>IF(AND(COUNTA($A302:$L302)=0,$N302=""),"",IF($T302="Paid","PAID",IF($T302="Closed","CLOSED",IF($Z302="","",IF($Z302=6,"ESCALATED TO ROXANNE",IF(TODAY()&gt;$AB302,"OVERDUE",IF($AB302&lt;=WORKDAY(TODAY(),1,Holidays),"DUE TOMORROW",IF($Z302=4,"ESCALATED TO LOCAL OFFICE",IF($Z302=5,"ESCALATED TO CBE",IF($AA302=TODAY(),"EMAIL SENT","MONITORING"))))))))))</f>
        <v/>
      </c>
      <c r="V302" s="17">
        <f>IF($U302="",IF(AND(COUNTA($A302:$L302)&gt;0,$N302=""),"Awaiting Collection Email time stamp.",""),IF(OR($U302="PAID",$U302="CLOSED"),IF($U302="PAID","Account paid. Action completed.","Account closed. No further action required."),CHOOSE($Z302,"Collection Email","1st Email Follow-up","2nd Email Follow-up","Escalation to Local Office","Escalation to CBE","Escalation to Roxanne")&amp;" sent "&amp;TEXT($AA302,"dd-mmm")&amp;". "&amp;IF($Z302=6,"Final escalation completed.",IF($U302="OVERDUE","Next: "&amp;$AC302&amp;" was due "&amp;TEXT($AB302,"dd-mmm")&amp;" - "&amp;(NETWORKDAYS($AB302,TODAY(),Holidays)-1)&amp;" business day(s) late. Send now.",IF($U302="DUE TOMORROW","Next: "&amp;$AC302&amp;IF($AB302&lt;=TODAY()," is due TODAY ("," is due next business day (")&amp;TEXT($AB302,"dd-mmm")&amp;").","Next: "&amp;$AC302&amp;" due "&amp;TEXT($AB302,"dd-mmm")&amp;" ("&amp;(NETWORKDAYS(TODAY(),$AB302,Holidays)-1)&amp;" business day(s) left).")))))</f>
        <v/>
      </c>
      <c r="W302" s="17">
        <f>IF($Z302="","",CHOOSE($Z302,"Collection Email","1st Follow-up","2nd Follow-up","Local Office","CBE","Roxanne")&amp;IF($Z302=6," - Final"," - Day "&amp;MAX(0,NETWORKDAYS($AA302,TODAY(),Holidays)-1)&amp;" of "&amp;CHOOSE($Z302,3,3,2,2,3))&amp;" | Total Day "&amp;MAX(0,NETWORKDAYS($N302,TODAY(),Holidays)-1))</f>
        <v/>
      </c>
      <c r="X302" s="18"/>
      <c r="Y302" s="18"/>
      <c r="Z302" s="17">
        <f>IF($N302="","",COUNT($N302:$S302))</f>
        <v/>
      </c>
      <c r="AA302" s="19">
        <f>IF($Z302="","",INT(INDEX($N302:$S302,$Z302)))</f>
        <v/>
      </c>
      <c r="AB302" s="19">
        <f>IF(OR($Z302="",$Z302=6),"",WORKDAY($AA302,CHOOSE($Z302,3,3,2,2,3),Holidays))</f>
        <v/>
      </c>
      <c r="AC302" s="17">
        <f>IF(OR($Z302="",$Z302=6),"",CHOOSE($Z302,"1st Email Follow-up","2nd Email Follow-up","Escalate Local Office","Escalate to CBE","Escalate to Roxanne"))</f>
        <v/>
      </c>
    </row>
    <row r="303" spans="13:29">
      <c r="M303" s="14"/>
      <c r="T303" s="16"/>
      <c r="U303" s="17">
        <f>IF(AND(COUNTA($A303:$L303)=0,$N303=""),"",IF($T303="Paid","PAID",IF($T303="Closed","CLOSED",IF($Z303="","",IF($Z303=6,"ESCALATED TO ROXANNE",IF(TODAY()&gt;$AB303,"OVERDUE",IF($AB303&lt;=WORKDAY(TODAY(),1,Holidays),"DUE TOMORROW",IF($Z303=4,"ESCALATED TO LOCAL OFFICE",IF($Z303=5,"ESCALATED TO CBE",IF($AA303=TODAY(),"EMAIL SENT","MONITORING"))))))))))</f>
        <v/>
      </c>
      <c r="V303" s="17">
        <f>IF($U303="",IF(AND(COUNTA($A303:$L303)&gt;0,$N303=""),"Awaiting Collection Email time stamp.",""),IF(OR($U303="PAID",$U303="CLOSED"),IF($U303="PAID","Account paid. Action completed.","Account closed. No further action required."),CHOOSE($Z303,"Collection Email","1st Email Follow-up","2nd Email Follow-up","Escalation to Local Office","Escalation to CBE","Escalation to Roxanne")&amp;" sent "&amp;TEXT($AA303,"dd-mmm")&amp;". "&amp;IF($Z303=6,"Final escalation completed.",IF($U303="OVERDUE","Next: "&amp;$AC303&amp;" was due "&amp;TEXT($AB303,"dd-mmm")&amp;" - "&amp;(NETWORKDAYS($AB303,TODAY(),Holidays)-1)&amp;" business day(s) late. Send now.",IF($U303="DUE TOMORROW","Next: "&amp;$AC303&amp;IF($AB303&lt;=TODAY()," is due TODAY ("," is due next business day (")&amp;TEXT($AB303,"dd-mmm")&amp;").","Next: "&amp;$AC303&amp;" due "&amp;TEXT($AB303,"dd-mmm")&amp;" ("&amp;(NETWORKDAYS(TODAY(),$AB303,Holidays)-1)&amp;" business day(s) left).")))))</f>
        <v/>
      </c>
      <c r="W303" s="17">
        <f>IF($Z303="","",CHOOSE($Z303,"Collection Email","1st Follow-up","2nd Follow-up","Local Office","CBE","Roxanne")&amp;IF($Z303=6," - Final"," - Day "&amp;MAX(0,NETWORKDAYS($AA303,TODAY(),Holidays)-1)&amp;" of "&amp;CHOOSE($Z303,3,3,2,2,3))&amp;" | Total Day "&amp;MAX(0,NETWORKDAYS($N303,TODAY(),Holidays)-1))</f>
        <v/>
      </c>
      <c r="X303" s="18"/>
      <c r="Y303" s="18"/>
      <c r="Z303" s="17">
        <f>IF($N303="","",COUNT($N303:$S303))</f>
        <v/>
      </c>
      <c r="AA303" s="19">
        <f>IF($Z303="","",INT(INDEX($N303:$S303,$Z303)))</f>
        <v/>
      </c>
      <c r="AB303" s="19">
        <f>IF(OR($Z303="",$Z303=6),"",WORKDAY($AA303,CHOOSE($Z303,3,3,2,2,3),Holidays))</f>
        <v/>
      </c>
      <c r="AC303" s="17">
        <f>IF(OR($Z303="",$Z303=6),"",CHOOSE($Z303,"1st Email Follow-up","2nd Email Follow-up","Escalate Local Office","Escalate to CBE","Escalate to Roxanne"))</f>
        <v/>
      </c>
    </row>
    <row r="304" spans="13:29">
      <c r="M304" s="14"/>
      <c r="T304" s="16"/>
      <c r="U304" s="17">
        <f>IF(AND(COUNTA($A304:$L304)=0,$N304=""),"",IF($T304="Paid","PAID",IF($T304="Closed","CLOSED",IF($Z304="","",IF($Z304=6,"ESCALATED TO ROXANNE",IF(TODAY()&gt;$AB304,"OVERDUE",IF($AB304&lt;=WORKDAY(TODAY(),1,Holidays),"DUE TOMORROW",IF($Z304=4,"ESCALATED TO LOCAL OFFICE",IF($Z304=5,"ESCALATED TO CBE",IF($AA304=TODAY(),"EMAIL SENT","MONITORING"))))))))))</f>
        <v/>
      </c>
      <c r="V304" s="17">
        <f>IF($U304="",IF(AND(COUNTA($A304:$L304)&gt;0,$N304=""),"Awaiting Collection Email time stamp.",""),IF(OR($U304="PAID",$U304="CLOSED"),IF($U304="PAID","Account paid. Action completed.","Account closed. No further action required."),CHOOSE($Z304,"Collection Email","1st Email Follow-up","2nd Email Follow-up","Escalation to Local Office","Escalation to CBE","Escalation to Roxanne")&amp;" sent "&amp;TEXT($AA304,"dd-mmm")&amp;". "&amp;IF($Z304=6,"Final escalation completed.",IF($U304="OVERDUE","Next: "&amp;$AC304&amp;" was due "&amp;TEXT($AB304,"dd-mmm")&amp;" - "&amp;(NETWORKDAYS($AB304,TODAY(),Holidays)-1)&amp;" business day(s) late. Send now.",IF($U304="DUE TOMORROW","Next: "&amp;$AC304&amp;IF($AB304&lt;=TODAY()," is due TODAY ("," is due next business day (")&amp;TEXT($AB304,"dd-mmm")&amp;").","Next: "&amp;$AC304&amp;" due "&amp;TEXT($AB304,"dd-mmm")&amp;" ("&amp;(NETWORKDAYS(TODAY(),$AB304,Holidays)-1)&amp;" business day(s) left).")))))</f>
        <v/>
      </c>
      <c r="W304" s="17">
        <f>IF($Z304="","",CHOOSE($Z304,"Collection Email","1st Follow-up","2nd Follow-up","Local Office","CBE","Roxanne")&amp;IF($Z304=6," - Final"," - Day "&amp;MAX(0,NETWORKDAYS($AA304,TODAY(),Holidays)-1)&amp;" of "&amp;CHOOSE($Z304,3,3,2,2,3))&amp;" | Total Day "&amp;MAX(0,NETWORKDAYS($N304,TODAY(),Holidays)-1))</f>
        <v/>
      </c>
      <c r="X304" s="18"/>
      <c r="Y304" s="18"/>
      <c r="Z304" s="17">
        <f>IF($N304="","",COUNT($N304:$S304))</f>
        <v/>
      </c>
      <c r="AA304" s="19">
        <f>IF($Z304="","",INT(INDEX($N304:$S304,$Z304)))</f>
        <v/>
      </c>
      <c r="AB304" s="19">
        <f>IF(OR($Z304="",$Z304=6),"",WORKDAY($AA304,CHOOSE($Z304,3,3,2,2,3),Holidays))</f>
        <v/>
      </c>
      <c r="AC304" s="17">
        <f>IF(OR($Z304="",$Z304=6),"",CHOOSE($Z304,"1st Email Follow-up","2nd Email Follow-up","Escalate Local Office","Escalate to CBE","Escalate to Roxanne"))</f>
        <v/>
      </c>
    </row>
    <row r="305" spans="13:29">
      <c r="M305" s="14"/>
      <c r="T305" s="16"/>
      <c r="U305" s="17">
        <f>IF(AND(COUNTA($A305:$L305)=0,$N305=""),"",IF($T305="Paid","PAID",IF($T305="Closed","CLOSED",IF($Z305="","",IF($Z305=6,"ESCALATED TO ROXANNE",IF(TODAY()&gt;$AB305,"OVERDUE",IF($AB305&lt;=WORKDAY(TODAY(),1,Holidays),"DUE TOMORROW",IF($Z305=4,"ESCALATED TO LOCAL OFFICE",IF($Z305=5,"ESCALATED TO CBE",IF($AA305=TODAY(),"EMAIL SENT","MONITORING"))))))))))</f>
        <v/>
      </c>
      <c r="V305" s="17">
        <f>IF($U305="",IF(AND(COUNTA($A305:$L305)&gt;0,$N305=""),"Awaiting Collection Email time stamp.",""),IF(OR($U305="PAID",$U305="CLOSED"),IF($U305="PAID","Account paid. Action completed.","Account closed. No further action required."),CHOOSE($Z305,"Collection Email","1st Email Follow-up","2nd Email Follow-up","Escalation to Local Office","Escalation to CBE","Escalation to Roxanne")&amp;" sent "&amp;TEXT($AA305,"dd-mmm")&amp;". "&amp;IF($Z305=6,"Final escalation completed.",IF($U305="OVERDUE","Next: "&amp;$AC305&amp;" was due "&amp;TEXT($AB305,"dd-mmm")&amp;" - "&amp;(NETWORKDAYS($AB305,TODAY(),Holidays)-1)&amp;" business day(s) late. Send now.",IF($U305="DUE TOMORROW","Next: "&amp;$AC305&amp;IF($AB305&lt;=TODAY()," is due TODAY ("," is due next business day (")&amp;TEXT($AB305,"dd-mmm")&amp;").","Next: "&amp;$AC305&amp;" due "&amp;TEXT($AB305,"dd-mmm")&amp;" ("&amp;(NETWORKDAYS(TODAY(),$AB305,Holidays)-1)&amp;" business day(s) left).")))))</f>
        <v/>
      </c>
      <c r="W305" s="17">
        <f>IF($Z305="","",CHOOSE($Z305,"Collection Email","1st Follow-up","2nd Follow-up","Local Office","CBE","Roxanne")&amp;IF($Z305=6," - Final"," - Day "&amp;MAX(0,NETWORKDAYS($AA305,TODAY(),Holidays)-1)&amp;" of "&amp;CHOOSE($Z305,3,3,2,2,3))&amp;" | Total Day "&amp;MAX(0,NETWORKDAYS($N305,TODAY(),Holidays)-1))</f>
        <v/>
      </c>
      <c r="X305" s="18"/>
      <c r="Y305" s="18"/>
      <c r="Z305" s="17">
        <f>IF($N305="","",COUNT($N305:$S305))</f>
        <v/>
      </c>
      <c r="AA305" s="19">
        <f>IF($Z305="","",INT(INDEX($N305:$S305,$Z305)))</f>
        <v/>
      </c>
      <c r="AB305" s="19">
        <f>IF(OR($Z305="",$Z305=6),"",WORKDAY($AA305,CHOOSE($Z305,3,3,2,2,3),Holidays))</f>
        <v/>
      </c>
      <c r="AC305" s="17">
        <f>IF(OR($Z305="",$Z305=6),"",CHOOSE($Z305,"1st Email Follow-up","2nd Email Follow-up","Escalate Local Office","Escalate to CBE","Escalate to Roxanne"))</f>
        <v/>
      </c>
    </row>
    <row r="306" spans="13:29">
      <c r="M306" s="14"/>
      <c r="T306" s="16"/>
      <c r="U306" s="17">
        <f>IF(AND(COUNTA($A306:$L306)=0,$N306=""),"",IF($T306="Paid","PAID",IF($T306="Closed","CLOSED",IF($Z306="","",IF($Z306=6,"ESCALATED TO ROXANNE",IF(TODAY()&gt;$AB306,"OVERDUE",IF($AB306&lt;=WORKDAY(TODAY(),1,Holidays),"DUE TOMORROW",IF($Z306=4,"ESCALATED TO LOCAL OFFICE",IF($Z306=5,"ESCALATED TO CBE",IF($AA306=TODAY(),"EMAIL SENT","MONITORING"))))))))))</f>
        <v/>
      </c>
      <c r="V306" s="17">
        <f>IF($U306="",IF(AND(COUNTA($A306:$L306)&gt;0,$N306=""),"Awaiting Collection Email time stamp.",""),IF(OR($U306="PAID",$U306="CLOSED"),IF($U306="PAID","Account paid. Action completed.","Account closed. No further action required."),CHOOSE($Z306,"Collection Email","1st Email Follow-up","2nd Email Follow-up","Escalation to Local Office","Escalation to CBE","Escalation to Roxanne")&amp;" sent "&amp;TEXT($AA306,"dd-mmm")&amp;". "&amp;IF($Z306=6,"Final escalation completed.",IF($U306="OVERDUE","Next: "&amp;$AC306&amp;" was due "&amp;TEXT($AB306,"dd-mmm")&amp;" - "&amp;(NETWORKDAYS($AB306,TODAY(),Holidays)-1)&amp;" business day(s) late. Send now.",IF($U306="DUE TOMORROW","Next: "&amp;$AC306&amp;IF($AB306&lt;=TODAY()," is due TODAY ("," is due next business day (")&amp;TEXT($AB306,"dd-mmm")&amp;").","Next: "&amp;$AC306&amp;" due "&amp;TEXT($AB306,"dd-mmm")&amp;" ("&amp;(NETWORKDAYS(TODAY(),$AB306,Holidays)-1)&amp;" business day(s) left).")))))</f>
        <v/>
      </c>
      <c r="W306" s="17">
        <f>IF($Z306="","",CHOOSE($Z306,"Collection Email","1st Follow-up","2nd Follow-up","Local Office","CBE","Roxanne")&amp;IF($Z306=6," - Final"," - Day "&amp;MAX(0,NETWORKDAYS($AA306,TODAY(),Holidays)-1)&amp;" of "&amp;CHOOSE($Z306,3,3,2,2,3))&amp;" | Total Day "&amp;MAX(0,NETWORKDAYS($N306,TODAY(),Holidays)-1))</f>
        <v/>
      </c>
      <c r="X306" s="18"/>
      <c r="Y306" s="18"/>
      <c r="Z306" s="17">
        <f>IF($N306="","",COUNT($N306:$S306))</f>
        <v/>
      </c>
      <c r="AA306" s="19">
        <f>IF($Z306="","",INT(INDEX($N306:$S306,$Z306)))</f>
        <v/>
      </c>
      <c r="AB306" s="19">
        <f>IF(OR($Z306="",$Z306=6),"",WORKDAY($AA306,CHOOSE($Z306,3,3,2,2,3),Holidays))</f>
        <v/>
      </c>
      <c r="AC306" s="17">
        <f>IF(OR($Z306="",$Z306=6),"",CHOOSE($Z306,"1st Email Follow-up","2nd Email Follow-up","Escalate Local Office","Escalate to CBE","Escalate to Roxanne"))</f>
        <v/>
      </c>
    </row>
    <row r="307" spans="13:29">
      <c r="M307" s="14"/>
      <c r="T307" s="16"/>
      <c r="U307" s="17">
        <f>IF(AND(COUNTA($A307:$L307)=0,$N307=""),"",IF($T307="Paid","PAID",IF($T307="Closed","CLOSED",IF($Z307="","",IF($Z307=6,"ESCALATED TO ROXANNE",IF(TODAY()&gt;$AB307,"OVERDUE",IF($AB307&lt;=WORKDAY(TODAY(),1,Holidays),"DUE TOMORROW",IF($Z307=4,"ESCALATED TO LOCAL OFFICE",IF($Z307=5,"ESCALATED TO CBE",IF($AA307=TODAY(),"EMAIL SENT","MONITORING"))))))))))</f>
        <v/>
      </c>
      <c r="V307" s="17">
        <f>IF($U307="",IF(AND(COUNTA($A307:$L307)&gt;0,$N307=""),"Awaiting Collection Email time stamp.",""),IF(OR($U307="PAID",$U307="CLOSED"),IF($U307="PAID","Account paid. Action completed.","Account closed. No further action required."),CHOOSE($Z307,"Collection Email","1st Email Follow-up","2nd Email Follow-up","Escalation to Local Office","Escalation to CBE","Escalation to Roxanne")&amp;" sent "&amp;TEXT($AA307,"dd-mmm")&amp;". "&amp;IF($Z307=6,"Final escalation completed.",IF($U307="OVERDUE","Next: "&amp;$AC307&amp;" was due "&amp;TEXT($AB307,"dd-mmm")&amp;" - "&amp;(NETWORKDAYS($AB307,TODAY(),Holidays)-1)&amp;" business day(s) late. Send now.",IF($U307="DUE TOMORROW","Next: "&amp;$AC307&amp;IF($AB307&lt;=TODAY()," is due TODAY ("," is due next business day (")&amp;TEXT($AB307,"dd-mmm")&amp;").","Next: "&amp;$AC307&amp;" due "&amp;TEXT($AB307,"dd-mmm")&amp;" ("&amp;(NETWORKDAYS(TODAY(),$AB307,Holidays)-1)&amp;" business day(s) left).")))))</f>
        <v/>
      </c>
      <c r="W307" s="17">
        <f>IF($Z307="","",CHOOSE($Z307,"Collection Email","1st Follow-up","2nd Follow-up","Local Office","CBE","Roxanne")&amp;IF($Z307=6," - Final"," - Day "&amp;MAX(0,NETWORKDAYS($AA307,TODAY(),Holidays)-1)&amp;" of "&amp;CHOOSE($Z307,3,3,2,2,3))&amp;" | Total Day "&amp;MAX(0,NETWORKDAYS($N307,TODAY(),Holidays)-1))</f>
        <v/>
      </c>
      <c r="X307" s="18"/>
      <c r="Y307" s="18"/>
      <c r="Z307" s="17">
        <f>IF($N307="","",COUNT($N307:$S307))</f>
        <v/>
      </c>
      <c r="AA307" s="19">
        <f>IF($Z307="","",INT(INDEX($N307:$S307,$Z307)))</f>
        <v/>
      </c>
      <c r="AB307" s="19">
        <f>IF(OR($Z307="",$Z307=6),"",WORKDAY($AA307,CHOOSE($Z307,3,3,2,2,3),Holidays))</f>
        <v/>
      </c>
      <c r="AC307" s="17">
        <f>IF(OR($Z307="",$Z307=6),"",CHOOSE($Z307,"1st Email Follow-up","2nd Email Follow-up","Escalate Local Office","Escalate to CBE","Escalate to Roxanne"))</f>
        <v/>
      </c>
    </row>
    <row r="308" spans="13:29">
      <c r="M308" s="14"/>
      <c r="T308" s="16"/>
      <c r="U308" s="17">
        <f>IF(AND(COUNTA($A308:$L308)=0,$N308=""),"",IF($T308="Paid","PAID",IF($T308="Closed","CLOSED",IF($Z308="","",IF($Z308=6,"ESCALATED TO ROXANNE",IF(TODAY()&gt;$AB308,"OVERDUE",IF($AB308&lt;=WORKDAY(TODAY(),1,Holidays),"DUE TOMORROW",IF($Z308=4,"ESCALATED TO LOCAL OFFICE",IF($Z308=5,"ESCALATED TO CBE",IF($AA308=TODAY(),"EMAIL SENT","MONITORING"))))))))))</f>
        <v/>
      </c>
      <c r="V308" s="17">
        <f>IF($U308="",IF(AND(COUNTA($A308:$L308)&gt;0,$N308=""),"Awaiting Collection Email time stamp.",""),IF(OR($U308="PAID",$U308="CLOSED"),IF($U308="PAID","Account paid. Action completed.","Account closed. No further action required."),CHOOSE($Z308,"Collection Email","1st Email Follow-up","2nd Email Follow-up","Escalation to Local Office","Escalation to CBE","Escalation to Roxanne")&amp;" sent "&amp;TEXT($AA308,"dd-mmm")&amp;". "&amp;IF($Z308=6,"Final escalation completed.",IF($U308="OVERDUE","Next: "&amp;$AC308&amp;" was due "&amp;TEXT($AB308,"dd-mmm")&amp;" - "&amp;(NETWORKDAYS($AB308,TODAY(),Holidays)-1)&amp;" business day(s) late. Send now.",IF($U308="DUE TOMORROW","Next: "&amp;$AC308&amp;IF($AB308&lt;=TODAY()," is due TODAY ("," is due next business day (")&amp;TEXT($AB308,"dd-mmm")&amp;").","Next: "&amp;$AC308&amp;" due "&amp;TEXT($AB308,"dd-mmm")&amp;" ("&amp;(NETWORKDAYS(TODAY(),$AB308,Holidays)-1)&amp;" business day(s) left).")))))</f>
        <v/>
      </c>
      <c r="W308" s="17">
        <f>IF($Z308="","",CHOOSE($Z308,"Collection Email","1st Follow-up","2nd Follow-up","Local Office","CBE","Roxanne")&amp;IF($Z308=6," - Final"," - Day "&amp;MAX(0,NETWORKDAYS($AA308,TODAY(),Holidays)-1)&amp;" of "&amp;CHOOSE($Z308,3,3,2,2,3))&amp;" | Total Day "&amp;MAX(0,NETWORKDAYS($N308,TODAY(),Holidays)-1))</f>
        <v/>
      </c>
      <c r="X308" s="18"/>
      <c r="Y308" s="18"/>
      <c r="Z308" s="17">
        <f>IF($N308="","",COUNT($N308:$S308))</f>
        <v/>
      </c>
      <c r="AA308" s="19">
        <f>IF($Z308="","",INT(INDEX($N308:$S308,$Z308)))</f>
        <v/>
      </c>
      <c r="AB308" s="19">
        <f>IF(OR($Z308="",$Z308=6),"",WORKDAY($AA308,CHOOSE($Z308,3,3,2,2,3),Holidays))</f>
        <v/>
      </c>
      <c r="AC308" s="17">
        <f>IF(OR($Z308="",$Z308=6),"",CHOOSE($Z308,"1st Email Follow-up","2nd Email Follow-up","Escalate Local Office","Escalate to CBE","Escalate to Roxanne"))</f>
        <v/>
      </c>
    </row>
    <row r="309" spans="13:29">
      <c r="M309" s="14"/>
      <c r="T309" s="16"/>
      <c r="U309" s="17">
        <f>IF(AND(COUNTA($A309:$L309)=0,$N309=""),"",IF($T309="Paid","PAID",IF($T309="Closed","CLOSED",IF($Z309="","",IF($Z309=6,"ESCALATED TO ROXANNE",IF(TODAY()&gt;$AB309,"OVERDUE",IF($AB309&lt;=WORKDAY(TODAY(),1,Holidays),"DUE TOMORROW",IF($Z309=4,"ESCALATED TO LOCAL OFFICE",IF($Z309=5,"ESCALATED TO CBE",IF($AA309=TODAY(),"EMAIL SENT","MONITORING"))))))))))</f>
        <v/>
      </c>
      <c r="V309" s="17">
        <f>IF($U309="",IF(AND(COUNTA($A309:$L309)&gt;0,$N309=""),"Awaiting Collection Email time stamp.",""),IF(OR($U309="PAID",$U309="CLOSED"),IF($U309="PAID","Account paid. Action completed.","Account closed. No further action required."),CHOOSE($Z309,"Collection Email","1st Email Follow-up","2nd Email Follow-up","Escalation to Local Office","Escalation to CBE","Escalation to Roxanne")&amp;" sent "&amp;TEXT($AA309,"dd-mmm")&amp;". "&amp;IF($Z309=6,"Final escalation completed.",IF($U309="OVERDUE","Next: "&amp;$AC309&amp;" was due "&amp;TEXT($AB309,"dd-mmm")&amp;" - "&amp;(NETWORKDAYS($AB309,TODAY(),Holidays)-1)&amp;" business day(s) late. Send now.",IF($U309="DUE TOMORROW","Next: "&amp;$AC309&amp;IF($AB309&lt;=TODAY()," is due TODAY ("," is due next business day (")&amp;TEXT($AB309,"dd-mmm")&amp;").","Next: "&amp;$AC309&amp;" due "&amp;TEXT($AB309,"dd-mmm")&amp;" ("&amp;(NETWORKDAYS(TODAY(),$AB309,Holidays)-1)&amp;" business day(s) left).")))))</f>
        <v/>
      </c>
      <c r="W309" s="17">
        <f>IF($Z309="","",CHOOSE($Z309,"Collection Email","1st Follow-up","2nd Follow-up","Local Office","CBE","Roxanne")&amp;IF($Z309=6," - Final"," - Day "&amp;MAX(0,NETWORKDAYS($AA309,TODAY(),Holidays)-1)&amp;" of "&amp;CHOOSE($Z309,3,3,2,2,3))&amp;" | Total Day "&amp;MAX(0,NETWORKDAYS($N309,TODAY(),Holidays)-1))</f>
        <v/>
      </c>
      <c r="X309" s="18"/>
      <c r="Y309" s="18"/>
      <c r="Z309" s="17">
        <f>IF($N309="","",COUNT($N309:$S309))</f>
        <v/>
      </c>
      <c r="AA309" s="19">
        <f>IF($Z309="","",INT(INDEX($N309:$S309,$Z309)))</f>
        <v/>
      </c>
      <c r="AB309" s="19">
        <f>IF(OR($Z309="",$Z309=6),"",WORKDAY($AA309,CHOOSE($Z309,3,3,2,2,3),Holidays))</f>
        <v/>
      </c>
      <c r="AC309" s="17">
        <f>IF(OR($Z309="",$Z309=6),"",CHOOSE($Z309,"1st Email Follow-up","2nd Email Follow-up","Escalate Local Office","Escalate to CBE","Escalate to Roxanne"))</f>
        <v/>
      </c>
    </row>
    <row r="310" spans="13:29">
      <c r="M310" s="14"/>
      <c r="T310" s="16"/>
      <c r="U310" s="17">
        <f>IF(AND(COUNTA($A310:$L310)=0,$N310=""),"",IF($T310="Paid","PAID",IF($T310="Closed","CLOSED",IF($Z310="","",IF($Z310=6,"ESCALATED TO ROXANNE",IF(TODAY()&gt;$AB310,"OVERDUE",IF($AB310&lt;=WORKDAY(TODAY(),1,Holidays),"DUE TOMORROW",IF($Z310=4,"ESCALATED TO LOCAL OFFICE",IF($Z310=5,"ESCALATED TO CBE",IF($AA310=TODAY(),"EMAIL SENT","MONITORING"))))))))))</f>
        <v/>
      </c>
      <c r="V310" s="17">
        <f>IF($U310="",IF(AND(COUNTA($A310:$L310)&gt;0,$N310=""),"Awaiting Collection Email time stamp.",""),IF(OR($U310="PAID",$U310="CLOSED"),IF($U310="PAID","Account paid. Action completed.","Account closed. No further action required."),CHOOSE($Z310,"Collection Email","1st Email Follow-up","2nd Email Follow-up","Escalation to Local Office","Escalation to CBE","Escalation to Roxanne")&amp;" sent "&amp;TEXT($AA310,"dd-mmm")&amp;". "&amp;IF($Z310=6,"Final escalation completed.",IF($U310="OVERDUE","Next: "&amp;$AC310&amp;" was due "&amp;TEXT($AB310,"dd-mmm")&amp;" - "&amp;(NETWORKDAYS($AB310,TODAY(),Holidays)-1)&amp;" business day(s) late. Send now.",IF($U310="DUE TOMORROW","Next: "&amp;$AC310&amp;IF($AB310&lt;=TODAY()," is due TODAY ("," is due next business day (")&amp;TEXT($AB310,"dd-mmm")&amp;").","Next: "&amp;$AC310&amp;" due "&amp;TEXT($AB310,"dd-mmm")&amp;" ("&amp;(NETWORKDAYS(TODAY(),$AB310,Holidays)-1)&amp;" business day(s) left).")))))</f>
        <v/>
      </c>
      <c r="W310" s="17">
        <f>IF($Z310="","",CHOOSE($Z310,"Collection Email","1st Follow-up","2nd Follow-up","Local Office","CBE","Roxanne")&amp;IF($Z310=6," - Final"," - Day "&amp;MAX(0,NETWORKDAYS($AA310,TODAY(),Holidays)-1)&amp;" of "&amp;CHOOSE($Z310,3,3,2,2,3))&amp;" | Total Day "&amp;MAX(0,NETWORKDAYS($N310,TODAY(),Holidays)-1))</f>
        <v/>
      </c>
      <c r="X310" s="18"/>
      <c r="Y310" s="18"/>
      <c r="Z310" s="17">
        <f>IF($N310="","",COUNT($N310:$S310))</f>
        <v/>
      </c>
      <c r="AA310" s="19">
        <f>IF($Z310="","",INT(INDEX($N310:$S310,$Z310)))</f>
        <v/>
      </c>
      <c r="AB310" s="19">
        <f>IF(OR($Z310="",$Z310=6),"",WORKDAY($AA310,CHOOSE($Z310,3,3,2,2,3),Holidays))</f>
        <v/>
      </c>
      <c r="AC310" s="17">
        <f>IF(OR($Z310="",$Z310=6),"",CHOOSE($Z310,"1st Email Follow-up","2nd Email Follow-up","Escalate Local Office","Escalate to CBE","Escalate to Roxanne"))</f>
        <v/>
      </c>
    </row>
    <row r="311" spans="13:29">
      <c r="M311" s="14"/>
      <c r="T311" s="16"/>
      <c r="U311" s="17">
        <f>IF(AND(COUNTA($A311:$L311)=0,$N311=""),"",IF($T311="Paid","PAID",IF($T311="Closed","CLOSED",IF($Z311="","",IF($Z311=6,"ESCALATED TO ROXANNE",IF(TODAY()&gt;$AB311,"OVERDUE",IF($AB311&lt;=WORKDAY(TODAY(),1,Holidays),"DUE TOMORROW",IF($Z311=4,"ESCALATED TO LOCAL OFFICE",IF($Z311=5,"ESCALATED TO CBE",IF($AA311=TODAY(),"EMAIL SENT","MONITORING"))))))))))</f>
        <v/>
      </c>
      <c r="V311" s="17">
        <f>IF($U311="",IF(AND(COUNTA($A311:$L311)&gt;0,$N311=""),"Awaiting Collection Email time stamp.",""),IF(OR($U311="PAID",$U311="CLOSED"),IF($U311="PAID","Account paid. Action completed.","Account closed. No further action required."),CHOOSE($Z311,"Collection Email","1st Email Follow-up","2nd Email Follow-up","Escalation to Local Office","Escalation to CBE","Escalation to Roxanne")&amp;" sent "&amp;TEXT($AA311,"dd-mmm")&amp;". "&amp;IF($Z311=6,"Final escalation completed.",IF($U311="OVERDUE","Next: "&amp;$AC311&amp;" was due "&amp;TEXT($AB311,"dd-mmm")&amp;" - "&amp;(NETWORKDAYS($AB311,TODAY(),Holidays)-1)&amp;" business day(s) late. Send now.",IF($U311="DUE TOMORROW","Next: "&amp;$AC311&amp;IF($AB311&lt;=TODAY()," is due TODAY ("," is due next business day (")&amp;TEXT($AB311,"dd-mmm")&amp;").","Next: "&amp;$AC311&amp;" due "&amp;TEXT($AB311,"dd-mmm")&amp;" ("&amp;(NETWORKDAYS(TODAY(),$AB311,Holidays)-1)&amp;" business day(s) left).")))))</f>
        <v/>
      </c>
      <c r="W311" s="17">
        <f>IF($Z311="","",CHOOSE($Z311,"Collection Email","1st Follow-up","2nd Follow-up","Local Office","CBE","Roxanne")&amp;IF($Z311=6," - Final"," - Day "&amp;MAX(0,NETWORKDAYS($AA311,TODAY(),Holidays)-1)&amp;" of "&amp;CHOOSE($Z311,3,3,2,2,3))&amp;" | Total Day "&amp;MAX(0,NETWORKDAYS($N311,TODAY(),Holidays)-1))</f>
        <v/>
      </c>
      <c r="X311" s="18"/>
      <c r="Y311" s="18"/>
      <c r="Z311" s="17">
        <f>IF($N311="","",COUNT($N311:$S311))</f>
        <v/>
      </c>
      <c r="AA311" s="19">
        <f>IF($Z311="","",INT(INDEX($N311:$S311,$Z311)))</f>
        <v/>
      </c>
      <c r="AB311" s="19">
        <f>IF(OR($Z311="",$Z311=6),"",WORKDAY($AA311,CHOOSE($Z311,3,3,2,2,3),Holidays))</f>
        <v/>
      </c>
      <c r="AC311" s="17">
        <f>IF(OR($Z311="",$Z311=6),"",CHOOSE($Z311,"1st Email Follow-up","2nd Email Follow-up","Escalate Local Office","Escalate to CBE","Escalate to Roxanne"))</f>
        <v/>
      </c>
    </row>
    <row r="312" spans="13:29">
      <c r="M312" s="14"/>
      <c r="T312" s="16"/>
      <c r="U312" s="17">
        <f>IF(AND(COUNTA($A312:$L312)=0,$N312=""),"",IF($T312="Paid","PAID",IF($T312="Closed","CLOSED",IF($Z312="","",IF($Z312=6,"ESCALATED TO ROXANNE",IF(TODAY()&gt;$AB312,"OVERDUE",IF($AB312&lt;=WORKDAY(TODAY(),1,Holidays),"DUE TOMORROW",IF($Z312=4,"ESCALATED TO LOCAL OFFICE",IF($Z312=5,"ESCALATED TO CBE",IF($AA312=TODAY(),"EMAIL SENT","MONITORING"))))))))))</f>
        <v/>
      </c>
      <c r="V312" s="17">
        <f>IF($U312="",IF(AND(COUNTA($A312:$L312)&gt;0,$N312=""),"Awaiting Collection Email time stamp.",""),IF(OR($U312="PAID",$U312="CLOSED"),IF($U312="PAID","Account paid. Action completed.","Account closed. No further action required."),CHOOSE($Z312,"Collection Email","1st Email Follow-up","2nd Email Follow-up","Escalation to Local Office","Escalation to CBE","Escalation to Roxanne")&amp;" sent "&amp;TEXT($AA312,"dd-mmm")&amp;". "&amp;IF($Z312=6,"Final escalation completed.",IF($U312="OVERDUE","Next: "&amp;$AC312&amp;" was due "&amp;TEXT($AB312,"dd-mmm")&amp;" - "&amp;(NETWORKDAYS($AB312,TODAY(),Holidays)-1)&amp;" business day(s) late. Send now.",IF($U312="DUE TOMORROW","Next: "&amp;$AC312&amp;IF($AB312&lt;=TODAY()," is due TODAY ("," is due next business day (")&amp;TEXT($AB312,"dd-mmm")&amp;").","Next: "&amp;$AC312&amp;" due "&amp;TEXT($AB312,"dd-mmm")&amp;" ("&amp;(NETWORKDAYS(TODAY(),$AB312,Holidays)-1)&amp;" business day(s) left).")))))</f>
        <v/>
      </c>
      <c r="W312" s="17">
        <f>IF($Z312="","",CHOOSE($Z312,"Collection Email","1st Follow-up","2nd Follow-up","Local Office","CBE","Roxanne")&amp;IF($Z312=6," - Final"," - Day "&amp;MAX(0,NETWORKDAYS($AA312,TODAY(),Holidays)-1)&amp;" of "&amp;CHOOSE($Z312,3,3,2,2,3))&amp;" | Total Day "&amp;MAX(0,NETWORKDAYS($N312,TODAY(),Holidays)-1))</f>
        <v/>
      </c>
      <c r="X312" s="18"/>
      <c r="Y312" s="18"/>
      <c r="Z312" s="17">
        <f>IF($N312="","",COUNT($N312:$S312))</f>
        <v/>
      </c>
      <c r="AA312" s="19">
        <f>IF($Z312="","",INT(INDEX($N312:$S312,$Z312)))</f>
        <v/>
      </c>
      <c r="AB312" s="19">
        <f>IF(OR($Z312="",$Z312=6),"",WORKDAY($AA312,CHOOSE($Z312,3,3,2,2,3),Holidays))</f>
        <v/>
      </c>
      <c r="AC312" s="17">
        <f>IF(OR($Z312="",$Z312=6),"",CHOOSE($Z312,"1st Email Follow-up","2nd Email Follow-up","Escalate Local Office","Escalate to CBE","Escalate to Roxanne"))</f>
        <v/>
      </c>
    </row>
    <row r="313" spans="13:29">
      <c r="M313" s="14"/>
      <c r="T313" s="16"/>
      <c r="U313" s="17">
        <f>IF(AND(COUNTA($A313:$L313)=0,$N313=""),"",IF($T313="Paid","PAID",IF($T313="Closed","CLOSED",IF($Z313="","",IF($Z313=6,"ESCALATED TO ROXANNE",IF(TODAY()&gt;$AB313,"OVERDUE",IF($AB313&lt;=WORKDAY(TODAY(),1,Holidays),"DUE TOMORROW",IF($Z313=4,"ESCALATED TO LOCAL OFFICE",IF($Z313=5,"ESCALATED TO CBE",IF($AA313=TODAY(),"EMAIL SENT","MONITORING"))))))))))</f>
        <v/>
      </c>
      <c r="V313" s="17">
        <f>IF($U313="",IF(AND(COUNTA($A313:$L313)&gt;0,$N313=""),"Awaiting Collection Email time stamp.",""),IF(OR($U313="PAID",$U313="CLOSED"),IF($U313="PAID","Account paid. Action completed.","Account closed. No further action required."),CHOOSE($Z313,"Collection Email","1st Email Follow-up","2nd Email Follow-up","Escalation to Local Office","Escalation to CBE","Escalation to Roxanne")&amp;" sent "&amp;TEXT($AA313,"dd-mmm")&amp;". "&amp;IF($Z313=6,"Final escalation completed.",IF($U313="OVERDUE","Next: "&amp;$AC313&amp;" was due "&amp;TEXT($AB313,"dd-mmm")&amp;" - "&amp;(NETWORKDAYS($AB313,TODAY(),Holidays)-1)&amp;" business day(s) late. Send now.",IF($U313="DUE TOMORROW","Next: "&amp;$AC313&amp;IF($AB313&lt;=TODAY()," is due TODAY ("," is due next business day (")&amp;TEXT($AB313,"dd-mmm")&amp;").","Next: "&amp;$AC313&amp;" due "&amp;TEXT($AB313,"dd-mmm")&amp;" ("&amp;(NETWORKDAYS(TODAY(),$AB313,Holidays)-1)&amp;" business day(s) left).")))))</f>
        <v/>
      </c>
      <c r="W313" s="17">
        <f>IF($Z313="","",CHOOSE($Z313,"Collection Email","1st Follow-up","2nd Follow-up","Local Office","CBE","Roxanne")&amp;IF($Z313=6," - Final"," - Day "&amp;MAX(0,NETWORKDAYS($AA313,TODAY(),Holidays)-1)&amp;" of "&amp;CHOOSE($Z313,3,3,2,2,3))&amp;" | Total Day "&amp;MAX(0,NETWORKDAYS($N313,TODAY(),Holidays)-1))</f>
        <v/>
      </c>
      <c r="X313" s="18"/>
      <c r="Y313" s="18"/>
      <c r="Z313" s="17">
        <f>IF($N313="","",COUNT($N313:$S313))</f>
        <v/>
      </c>
      <c r="AA313" s="19">
        <f>IF($Z313="","",INT(INDEX($N313:$S313,$Z313)))</f>
        <v/>
      </c>
      <c r="AB313" s="19">
        <f>IF(OR($Z313="",$Z313=6),"",WORKDAY($AA313,CHOOSE($Z313,3,3,2,2,3),Holidays))</f>
        <v/>
      </c>
      <c r="AC313" s="17">
        <f>IF(OR($Z313="",$Z313=6),"",CHOOSE($Z313,"1st Email Follow-up","2nd Email Follow-up","Escalate Local Office","Escalate to CBE","Escalate to Roxanne"))</f>
        <v/>
      </c>
    </row>
    <row r="314" spans="13:29">
      <c r="M314" s="14"/>
      <c r="T314" s="16"/>
      <c r="U314" s="17">
        <f>IF(AND(COUNTA($A314:$L314)=0,$N314=""),"",IF($T314="Paid","PAID",IF($T314="Closed","CLOSED",IF($Z314="","",IF($Z314=6,"ESCALATED TO ROXANNE",IF(TODAY()&gt;$AB314,"OVERDUE",IF($AB314&lt;=WORKDAY(TODAY(),1,Holidays),"DUE TOMORROW",IF($Z314=4,"ESCALATED TO LOCAL OFFICE",IF($Z314=5,"ESCALATED TO CBE",IF($AA314=TODAY(),"EMAIL SENT","MONITORING"))))))))))</f>
        <v/>
      </c>
      <c r="V314" s="17">
        <f>IF($U314="",IF(AND(COUNTA($A314:$L314)&gt;0,$N314=""),"Awaiting Collection Email time stamp.",""),IF(OR($U314="PAID",$U314="CLOSED"),IF($U314="PAID","Account paid. Action completed.","Account closed. No further action required."),CHOOSE($Z314,"Collection Email","1st Email Follow-up","2nd Email Follow-up","Escalation to Local Office","Escalation to CBE","Escalation to Roxanne")&amp;" sent "&amp;TEXT($AA314,"dd-mmm")&amp;". "&amp;IF($Z314=6,"Final escalation completed.",IF($U314="OVERDUE","Next: "&amp;$AC314&amp;" was due "&amp;TEXT($AB314,"dd-mmm")&amp;" - "&amp;(NETWORKDAYS($AB314,TODAY(),Holidays)-1)&amp;" business day(s) late. Send now.",IF($U314="DUE TOMORROW","Next: "&amp;$AC314&amp;IF($AB314&lt;=TODAY()," is due TODAY ("," is due next business day (")&amp;TEXT($AB314,"dd-mmm")&amp;").","Next: "&amp;$AC314&amp;" due "&amp;TEXT($AB314,"dd-mmm")&amp;" ("&amp;(NETWORKDAYS(TODAY(),$AB314,Holidays)-1)&amp;" business day(s) left).")))))</f>
        <v/>
      </c>
      <c r="W314" s="17">
        <f>IF($Z314="","",CHOOSE($Z314,"Collection Email","1st Follow-up","2nd Follow-up","Local Office","CBE","Roxanne")&amp;IF($Z314=6," - Final"," - Day "&amp;MAX(0,NETWORKDAYS($AA314,TODAY(),Holidays)-1)&amp;" of "&amp;CHOOSE($Z314,3,3,2,2,3))&amp;" | Total Day "&amp;MAX(0,NETWORKDAYS($N314,TODAY(),Holidays)-1))</f>
        <v/>
      </c>
      <c r="X314" s="18"/>
      <c r="Y314" s="18"/>
      <c r="Z314" s="17">
        <f>IF($N314="","",COUNT($N314:$S314))</f>
        <v/>
      </c>
      <c r="AA314" s="19">
        <f>IF($Z314="","",INT(INDEX($N314:$S314,$Z314)))</f>
        <v/>
      </c>
      <c r="AB314" s="19">
        <f>IF(OR($Z314="",$Z314=6),"",WORKDAY($AA314,CHOOSE($Z314,3,3,2,2,3),Holidays))</f>
        <v/>
      </c>
      <c r="AC314" s="17">
        <f>IF(OR($Z314="",$Z314=6),"",CHOOSE($Z314,"1st Email Follow-up","2nd Email Follow-up","Escalate Local Office","Escalate to CBE","Escalate to Roxanne"))</f>
        <v/>
      </c>
    </row>
    <row r="315" spans="13:29">
      <c r="M315" s="14"/>
      <c r="T315" s="16"/>
      <c r="U315" s="17">
        <f>IF(AND(COUNTA($A315:$L315)=0,$N315=""),"",IF($T315="Paid","PAID",IF($T315="Closed","CLOSED",IF($Z315="","",IF($Z315=6,"ESCALATED TO ROXANNE",IF(TODAY()&gt;$AB315,"OVERDUE",IF($AB315&lt;=WORKDAY(TODAY(),1,Holidays),"DUE TOMORROW",IF($Z315=4,"ESCALATED TO LOCAL OFFICE",IF($Z315=5,"ESCALATED TO CBE",IF($AA315=TODAY(),"EMAIL SENT","MONITORING"))))))))))</f>
        <v/>
      </c>
      <c r="V315" s="17">
        <f>IF($U315="",IF(AND(COUNTA($A315:$L315)&gt;0,$N315=""),"Awaiting Collection Email time stamp.",""),IF(OR($U315="PAID",$U315="CLOSED"),IF($U315="PAID","Account paid. Action completed.","Account closed. No further action required."),CHOOSE($Z315,"Collection Email","1st Email Follow-up","2nd Email Follow-up","Escalation to Local Office","Escalation to CBE","Escalation to Roxanne")&amp;" sent "&amp;TEXT($AA315,"dd-mmm")&amp;". "&amp;IF($Z315=6,"Final escalation completed.",IF($U315="OVERDUE","Next: "&amp;$AC315&amp;" was due "&amp;TEXT($AB315,"dd-mmm")&amp;" - "&amp;(NETWORKDAYS($AB315,TODAY(),Holidays)-1)&amp;" business day(s) late. Send now.",IF($U315="DUE TOMORROW","Next: "&amp;$AC315&amp;IF($AB315&lt;=TODAY()," is due TODAY ("," is due next business day (")&amp;TEXT($AB315,"dd-mmm")&amp;").","Next: "&amp;$AC315&amp;" due "&amp;TEXT($AB315,"dd-mmm")&amp;" ("&amp;(NETWORKDAYS(TODAY(),$AB315,Holidays)-1)&amp;" business day(s) left).")))))</f>
        <v/>
      </c>
      <c r="W315" s="17">
        <f>IF($Z315="","",CHOOSE($Z315,"Collection Email","1st Follow-up","2nd Follow-up","Local Office","CBE","Roxanne")&amp;IF($Z315=6," - Final"," - Day "&amp;MAX(0,NETWORKDAYS($AA315,TODAY(),Holidays)-1)&amp;" of "&amp;CHOOSE($Z315,3,3,2,2,3))&amp;" | Total Day "&amp;MAX(0,NETWORKDAYS($N315,TODAY(),Holidays)-1))</f>
        <v/>
      </c>
      <c r="X315" s="18"/>
      <c r="Y315" s="18"/>
      <c r="Z315" s="17">
        <f>IF($N315="","",COUNT($N315:$S315))</f>
        <v/>
      </c>
      <c r="AA315" s="19">
        <f>IF($Z315="","",INT(INDEX($N315:$S315,$Z315)))</f>
        <v/>
      </c>
      <c r="AB315" s="19">
        <f>IF(OR($Z315="",$Z315=6),"",WORKDAY($AA315,CHOOSE($Z315,3,3,2,2,3),Holidays))</f>
        <v/>
      </c>
      <c r="AC315" s="17">
        <f>IF(OR($Z315="",$Z315=6),"",CHOOSE($Z315,"1st Email Follow-up","2nd Email Follow-up","Escalate Local Office","Escalate to CBE","Escalate to Roxanne"))</f>
        <v/>
      </c>
    </row>
    <row r="316" spans="13:29">
      <c r="M316" s="14"/>
      <c r="T316" s="16"/>
      <c r="U316" s="17">
        <f>IF(AND(COUNTA($A316:$L316)=0,$N316=""),"",IF($T316="Paid","PAID",IF($T316="Closed","CLOSED",IF($Z316="","",IF($Z316=6,"ESCALATED TO ROXANNE",IF(TODAY()&gt;$AB316,"OVERDUE",IF($AB316&lt;=WORKDAY(TODAY(),1,Holidays),"DUE TOMORROW",IF($Z316=4,"ESCALATED TO LOCAL OFFICE",IF($Z316=5,"ESCALATED TO CBE",IF($AA316=TODAY(),"EMAIL SENT","MONITORING"))))))))))</f>
        <v/>
      </c>
      <c r="V316" s="17">
        <f>IF($U316="",IF(AND(COUNTA($A316:$L316)&gt;0,$N316=""),"Awaiting Collection Email time stamp.",""),IF(OR($U316="PAID",$U316="CLOSED"),IF($U316="PAID","Account paid. Action completed.","Account closed. No further action required."),CHOOSE($Z316,"Collection Email","1st Email Follow-up","2nd Email Follow-up","Escalation to Local Office","Escalation to CBE","Escalation to Roxanne")&amp;" sent "&amp;TEXT($AA316,"dd-mmm")&amp;". "&amp;IF($Z316=6,"Final escalation completed.",IF($U316="OVERDUE","Next: "&amp;$AC316&amp;" was due "&amp;TEXT($AB316,"dd-mmm")&amp;" - "&amp;(NETWORKDAYS($AB316,TODAY(),Holidays)-1)&amp;" business day(s) late. Send now.",IF($U316="DUE TOMORROW","Next: "&amp;$AC316&amp;IF($AB316&lt;=TODAY()," is due TODAY ("," is due next business day (")&amp;TEXT($AB316,"dd-mmm")&amp;").","Next: "&amp;$AC316&amp;" due "&amp;TEXT($AB316,"dd-mmm")&amp;" ("&amp;(NETWORKDAYS(TODAY(),$AB316,Holidays)-1)&amp;" business day(s) left).")))))</f>
        <v/>
      </c>
      <c r="W316" s="17">
        <f>IF($Z316="","",CHOOSE($Z316,"Collection Email","1st Follow-up","2nd Follow-up","Local Office","CBE","Roxanne")&amp;IF($Z316=6," - Final"," - Day "&amp;MAX(0,NETWORKDAYS($AA316,TODAY(),Holidays)-1)&amp;" of "&amp;CHOOSE($Z316,3,3,2,2,3))&amp;" | Total Day "&amp;MAX(0,NETWORKDAYS($N316,TODAY(),Holidays)-1))</f>
        <v/>
      </c>
      <c r="X316" s="18"/>
      <c r="Y316" s="18"/>
      <c r="Z316" s="17">
        <f>IF($N316="","",COUNT($N316:$S316))</f>
        <v/>
      </c>
      <c r="AA316" s="19">
        <f>IF($Z316="","",INT(INDEX($N316:$S316,$Z316)))</f>
        <v/>
      </c>
      <c r="AB316" s="19">
        <f>IF(OR($Z316="",$Z316=6),"",WORKDAY($AA316,CHOOSE($Z316,3,3,2,2,3),Holidays))</f>
        <v/>
      </c>
      <c r="AC316" s="17">
        <f>IF(OR($Z316="",$Z316=6),"",CHOOSE($Z316,"1st Email Follow-up","2nd Email Follow-up","Escalate Local Office","Escalate to CBE","Escalate to Roxanne"))</f>
        <v/>
      </c>
    </row>
    <row r="317" spans="13:29">
      <c r="M317" s="14"/>
      <c r="T317" s="16"/>
      <c r="U317" s="17">
        <f>IF(AND(COUNTA($A317:$L317)=0,$N317=""),"",IF($T317="Paid","PAID",IF($T317="Closed","CLOSED",IF($Z317="","",IF($Z317=6,"ESCALATED TO ROXANNE",IF(TODAY()&gt;$AB317,"OVERDUE",IF($AB317&lt;=WORKDAY(TODAY(),1,Holidays),"DUE TOMORROW",IF($Z317=4,"ESCALATED TO LOCAL OFFICE",IF($Z317=5,"ESCALATED TO CBE",IF($AA317=TODAY(),"EMAIL SENT","MONITORING"))))))))))</f>
        <v/>
      </c>
      <c r="V317" s="17">
        <f>IF($U317="",IF(AND(COUNTA($A317:$L317)&gt;0,$N317=""),"Awaiting Collection Email time stamp.",""),IF(OR($U317="PAID",$U317="CLOSED"),IF($U317="PAID","Account paid. Action completed.","Account closed. No further action required."),CHOOSE($Z317,"Collection Email","1st Email Follow-up","2nd Email Follow-up","Escalation to Local Office","Escalation to CBE","Escalation to Roxanne")&amp;" sent "&amp;TEXT($AA317,"dd-mmm")&amp;". "&amp;IF($Z317=6,"Final escalation completed.",IF($U317="OVERDUE","Next: "&amp;$AC317&amp;" was due "&amp;TEXT($AB317,"dd-mmm")&amp;" - "&amp;(NETWORKDAYS($AB317,TODAY(),Holidays)-1)&amp;" business day(s) late. Send now.",IF($U317="DUE TOMORROW","Next: "&amp;$AC317&amp;IF($AB317&lt;=TODAY()," is due TODAY ("," is due next business day (")&amp;TEXT($AB317,"dd-mmm")&amp;").","Next: "&amp;$AC317&amp;" due "&amp;TEXT($AB317,"dd-mmm")&amp;" ("&amp;(NETWORKDAYS(TODAY(),$AB317,Holidays)-1)&amp;" business day(s) left).")))))</f>
        <v/>
      </c>
      <c r="W317" s="17">
        <f>IF($Z317="","",CHOOSE($Z317,"Collection Email","1st Follow-up","2nd Follow-up","Local Office","CBE","Roxanne")&amp;IF($Z317=6," - Final"," - Day "&amp;MAX(0,NETWORKDAYS($AA317,TODAY(),Holidays)-1)&amp;" of "&amp;CHOOSE($Z317,3,3,2,2,3))&amp;" | Total Day "&amp;MAX(0,NETWORKDAYS($N317,TODAY(),Holidays)-1))</f>
        <v/>
      </c>
      <c r="X317" s="18"/>
      <c r="Y317" s="18"/>
      <c r="Z317" s="17">
        <f>IF($N317="","",COUNT($N317:$S317))</f>
        <v/>
      </c>
      <c r="AA317" s="19">
        <f>IF($Z317="","",INT(INDEX($N317:$S317,$Z317)))</f>
        <v/>
      </c>
      <c r="AB317" s="19">
        <f>IF(OR($Z317="",$Z317=6),"",WORKDAY($AA317,CHOOSE($Z317,3,3,2,2,3),Holidays))</f>
        <v/>
      </c>
      <c r="AC317" s="17">
        <f>IF(OR($Z317="",$Z317=6),"",CHOOSE($Z317,"1st Email Follow-up","2nd Email Follow-up","Escalate Local Office","Escalate to CBE","Escalate to Roxanne"))</f>
        <v/>
      </c>
    </row>
    <row r="318" spans="13:29">
      <c r="M318" s="14"/>
      <c r="T318" s="16"/>
      <c r="U318" s="17">
        <f>IF(AND(COUNTA($A318:$L318)=0,$N318=""),"",IF($T318="Paid","PAID",IF($T318="Closed","CLOSED",IF($Z318="","",IF($Z318=6,"ESCALATED TO ROXANNE",IF(TODAY()&gt;$AB318,"OVERDUE",IF($AB318&lt;=WORKDAY(TODAY(),1,Holidays),"DUE TOMORROW",IF($Z318=4,"ESCALATED TO LOCAL OFFICE",IF($Z318=5,"ESCALATED TO CBE",IF($AA318=TODAY(),"EMAIL SENT","MONITORING"))))))))))</f>
        <v/>
      </c>
      <c r="V318" s="17">
        <f>IF($U318="",IF(AND(COUNTA($A318:$L318)&gt;0,$N318=""),"Awaiting Collection Email time stamp.",""),IF(OR($U318="PAID",$U318="CLOSED"),IF($U318="PAID","Account paid. Action completed.","Account closed. No further action required."),CHOOSE($Z318,"Collection Email","1st Email Follow-up","2nd Email Follow-up","Escalation to Local Office","Escalation to CBE","Escalation to Roxanne")&amp;" sent "&amp;TEXT($AA318,"dd-mmm")&amp;". "&amp;IF($Z318=6,"Final escalation completed.",IF($U318="OVERDUE","Next: "&amp;$AC318&amp;" was due "&amp;TEXT($AB318,"dd-mmm")&amp;" - "&amp;(NETWORKDAYS($AB318,TODAY(),Holidays)-1)&amp;" business day(s) late. Send now.",IF($U318="DUE TOMORROW","Next: "&amp;$AC318&amp;IF($AB318&lt;=TODAY()," is due TODAY ("," is due next business day (")&amp;TEXT($AB318,"dd-mmm")&amp;").","Next: "&amp;$AC318&amp;" due "&amp;TEXT($AB318,"dd-mmm")&amp;" ("&amp;(NETWORKDAYS(TODAY(),$AB318,Holidays)-1)&amp;" business day(s) left).")))))</f>
        <v/>
      </c>
      <c r="W318" s="17">
        <f>IF($Z318="","",CHOOSE($Z318,"Collection Email","1st Follow-up","2nd Follow-up","Local Office","CBE","Roxanne")&amp;IF($Z318=6," - Final"," - Day "&amp;MAX(0,NETWORKDAYS($AA318,TODAY(),Holidays)-1)&amp;" of "&amp;CHOOSE($Z318,3,3,2,2,3))&amp;" | Total Day "&amp;MAX(0,NETWORKDAYS($N318,TODAY(),Holidays)-1))</f>
        <v/>
      </c>
      <c r="X318" s="18"/>
      <c r="Y318" s="18"/>
      <c r="Z318" s="17">
        <f>IF($N318="","",COUNT($N318:$S318))</f>
        <v/>
      </c>
      <c r="AA318" s="19">
        <f>IF($Z318="","",INT(INDEX($N318:$S318,$Z318)))</f>
        <v/>
      </c>
      <c r="AB318" s="19">
        <f>IF(OR($Z318="",$Z318=6),"",WORKDAY($AA318,CHOOSE($Z318,3,3,2,2,3),Holidays))</f>
        <v/>
      </c>
      <c r="AC318" s="17">
        <f>IF(OR($Z318="",$Z318=6),"",CHOOSE($Z318,"1st Email Follow-up","2nd Email Follow-up","Escalate Local Office","Escalate to CBE","Escalate to Roxanne"))</f>
        <v/>
      </c>
    </row>
    <row r="319" spans="13:29">
      <c r="M319" s="14"/>
      <c r="T319" s="16"/>
      <c r="U319" s="17">
        <f>IF(AND(COUNTA($A319:$L319)=0,$N319=""),"",IF($T319="Paid","PAID",IF($T319="Closed","CLOSED",IF($Z319="","",IF($Z319=6,"ESCALATED TO ROXANNE",IF(TODAY()&gt;$AB319,"OVERDUE",IF($AB319&lt;=WORKDAY(TODAY(),1,Holidays),"DUE TOMORROW",IF($Z319=4,"ESCALATED TO LOCAL OFFICE",IF($Z319=5,"ESCALATED TO CBE",IF($AA319=TODAY(),"EMAIL SENT","MONITORING"))))))))))</f>
        <v/>
      </c>
      <c r="V319" s="17">
        <f>IF($U319="",IF(AND(COUNTA($A319:$L319)&gt;0,$N319=""),"Awaiting Collection Email time stamp.",""),IF(OR($U319="PAID",$U319="CLOSED"),IF($U319="PAID","Account paid. Action completed.","Account closed. No further action required."),CHOOSE($Z319,"Collection Email","1st Email Follow-up","2nd Email Follow-up","Escalation to Local Office","Escalation to CBE","Escalation to Roxanne")&amp;" sent "&amp;TEXT($AA319,"dd-mmm")&amp;". "&amp;IF($Z319=6,"Final escalation completed.",IF($U319="OVERDUE","Next: "&amp;$AC319&amp;" was due "&amp;TEXT($AB319,"dd-mmm")&amp;" - "&amp;(NETWORKDAYS($AB319,TODAY(),Holidays)-1)&amp;" business day(s) late. Send now.",IF($U319="DUE TOMORROW","Next: "&amp;$AC319&amp;IF($AB319&lt;=TODAY()," is due TODAY ("," is due next business day (")&amp;TEXT($AB319,"dd-mmm")&amp;").","Next: "&amp;$AC319&amp;" due "&amp;TEXT($AB319,"dd-mmm")&amp;" ("&amp;(NETWORKDAYS(TODAY(),$AB319,Holidays)-1)&amp;" business day(s) left).")))))</f>
        <v/>
      </c>
      <c r="W319" s="17">
        <f>IF($Z319="","",CHOOSE($Z319,"Collection Email","1st Follow-up","2nd Follow-up","Local Office","CBE","Roxanne")&amp;IF($Z319=6," - Final"," - Day "&amp;MAX(0,NETWORKDAYS($AA319,TODAY(),Holidays)-1)&amp;" of "&amp;CHOOSE($Z319,3,3,2,2,3))&amp;" | Total Day "&amp;MAX(0,NETWORKDAYS($N319,TODAY(),Holidays)-1))</f>
        <v/>
      </c>
      <c r="X319" s="18"/>
      <c r="Y319" s="18"/>
      <c r="Z319" s="17">
        <f>IF($N319="","",COUNT($N319:$S319))</f>
        <v/>
      </c>
      <c r="AA319" s="19">
        <f>IF($Z319="","",INT(INDEX($N319:$S319,$Z319)))</f>
        <v/>
      </c>
      <c r="AB319" s="19">
        <f>IF(OR($Z319="",$Z319=6),"",WORKDAY($AA319,CHOOSE($Z319,3,3,2,2,3),Holidays))</f>
        <v/>
      </c>
      <c r="AC319" s="17">
        <f>IF(OR($Z319="",$Z319=6),"",CHOOSE($Z319,"1st Email Follow-up","2nd Email Follow-up","Escalate Local Office","Escalate to CBE","Escalate to Roxanne"))</f>
        <v/>
      </c>
    </row>
    <row r="320" spans="13:29">
      <c r="M320" s="14"/>
      <c r="T320" s="16"/>
      <c r="U320" s="17">
        <f>IF(AND(COUNTA($A320:$L320)=0,$N320=""),"",IF($T320="Paid","PAID",IF($T320="Closed","CLOSED",IF($Z320="","",IF($Z320=6,"ESCALATED TO ROXANNE",IF(TODAY()&gt;$AB320,"OVERDUE",IF($AB320&lt;=WORKDAY(TODAY(),1,Holidays),"DUE TOMORROW",IF($Z320=4,"ESCALATED TO LOCAL OFFICE",IF($Z320=5,"ESCALATED TO CBE",IF($AA320=TODAY(),"EMAIL SENT","MONITORING"))))))))))</f>
        <v/>
      </c>
      <c r="V320" s="17">
        <f>IF($U320="",IF(AND(COUNTA($A320:$L320)&gt;0,$N320=""),"Awaiting Collection Email time stamp.",""),IF(OR($U320="PAID",$U320="CLOSED"),IF($U320="PAID","Account paid. Action completed.","Account closed. No further action required."),CHOOSE($Z320,"Collection Email","1st Email Follow-up","2nd Email Follow-up","Escalation to Local Office","Escalation to CBE","Escalation to Roxanne")&amp;" sent "&amp;TEXT($AA320,"dd-mmm")&amp;". "&amp;IF($Z320=6,"Final escalation completed.",IF($U320="OVERDUE","Next: "&amp;$AC320&amp;" was due "&amp;TEXT($AB320,"dd-mmm")&amp;" - "&amp;(NETWORKDAYS($AB320,TODAY(),Holidays)-1)&amp;" business day(s) late. Send now.",IF($U320="DUE TOMORROW","Next: "&amp;$AC320&amp;IF($AB320&lt;=TODAY()," is due TODAY ("," is due next business day (")&amp;TEXT($AB320,"dd-mmm")&amp;").","Next: "&amp;$AC320&amp;" due "&amp;TEXT($AB320,"dd-mmm")&amp;" ("&amp;(NETWORKDAYS(TODAY(),$AB320,Holidays)-1)&amp;" business day(s) left).")))))</f>
        <v/>
      </c>
      <c r="W320" s="17">
        <f>IF($Z320="","",CHOOSE($Z320,"Collection Email","1st Follow-up","2nd Follow-up","Local Office","CBE","Roxanne")&amp;IF($Z320=6," - Final"," - Day "&amp;MAX(0,NETWORKDAYS($AA320,TODAY(),Holidays)-1)&amp;" of "&amp;CHOOSE($Z320,3,3,2,2,3))&amp;" | Total Day "&amp;MAX(0,NETWORKDAYS($N320,TODAY(),Holidays)-1))</f>
        <v/>
      </c>
      <c r="X320" s="18"/>
      <c r="Y320" s="18"/>
      <c r="Z320" s="17">
        <f>IF($N320="","",COUNT($N320:$S320))</f>
        <v/>
      </c>
      <c r="AA320" s="19">
        <f>IF($Z320="","",INT(INDEX($N320:$S320,$Z320)))</f>
        <v/>
      </c>
      <c r="AB320" s="19">
        <f>IF(OR($Z320="",$Z320=6),"",WORKDAY($AA320,CHOOSE($Z320,3,3,2,2,3),Holidays))</f>
        <v/>
      </c>
      <c r="AC320" s="17">
        <f>IF(OR($Z320="",$Z320=6),"",CHOOSE($Z320,"1st Email Follow-up","2nd Email Follow-up","Escalate Local Office","Escalate to CBE","Escalate to Roxanne"))</f>
        <v/>
      </c>
    </row>
    <row r="321" spans="13:29">
      <c r="M321" s="14"/>
      <c r="T321" s="16"/>
      <c r="U321" s="17">
        <f>IF(AND(COUNTA($A321:$L321)=0,$N321=""),"",IF($T321="Paid","PAID",IF($T321="Closed","CLOSED",IF($Z321="","",IF($Z321=6,"ESCALATED TO ROXANNE",IF(TODAY()&gt;$AB321,"OVERDUE",IF($AB321&lt;=WORKDAY(TODAY(),1,Holidays),"DUE TOMORROW",IF($Z321=4,"ESCALATED TO LOCAL OFFICE",IF($Z321=5,"ESCALATED TO CBE",IF($AA321=TODAY(),"EMAIL SENT","MONITORING"))))))))))</f>
        <v/>
      </c>
      <c r="V321" s="17">
        <f>IF($U321="",IF(AND(COUNTA($A321:$L321)&gt;0,$N321=""),"Awaiting Collection Email time stamp.",""),IF(OR($U321="PAID",$U321="CLOSED"),IF($U321="PAID","Account paid. Action completed.","Account closed. No further action required."),CHOOSE($Z321,"Collection Email","1st Email Follow-up","2nd Email Follow-up","Escalation to Local Office","Escalation to CBE","Escalation to Roxanne")&amp;" sent "&amp;TEXT($AA321,"dd-mmm")&amp;". "&amp;IF($Z321=6,"Final escalation completed.",IF($U321="OVERDUE","Next: "&amp;$AC321&amp;" was due "&amp;TEXT($AB321,"dd-mmm")&amp;" - "&amp;(NETWORKDAYS($AB321,TODAY(),Holidays)-1)&amp;" business day(s) late. Send now.",IF($U321="DUE TOMORROW","Next: "&amp;$AC321&amp;IF($AB321&lt;=TODAY()," is due TODAY ("," is due next business day (")&amp;TEXT($AB321,"dd-mmm")&amp;").","Next: "&amp;$AC321&amp;" due "&amp;TEXT($AB321,"dd-mmm")&amp;" ("&amp;(NETWORKDAYS(TODAY(),$AB321,Holidays)-1)&amp;" business day(s) left).")))))</f>
        <v/>
      </c>
      <c r="W321" s="17">
        <f>IF($Z321="","",CHOOSE($Z321,"Collection Email","1st Follow-up","2nd Follow-up","Local Office","CBE","Roxanne")&amp;IF($Z321=6," - Final"," - Day "&amp;MAX(0,NETWORKDAYS($AA321,TODAY(),Holidays)-1)&amp;" of "&amp;CHOOSE($Z321,3,3,2,2,3))&amp;" | Total Day "&amp;MAX(0,NETWORKDAYS($N321,TODAY(),Holidays)-1))</f>
        <v/>
      </c>
      <c r="X321" s="18"/>
      <c r="Y321" s="18"/>
      <c r="Z321" s="17">
        <f>IF($N321="","",COUNT($N321:$S321))</f>
        <v/>
      </c>
      <c r="AA321" s="19">
        <f>IF($Z321="","",INT(INDEX($N321:$S321,$Z321)))</f>
        <v/>
      </c>
      <c r="AB321" s="19">
        <f>IF(OR($Z321="",$Z321=6),"",WORKDAY($AA321,CHOOSE($Z321,3,3,2,2,3),Holidays))</f>
        <v/>
      </c>
      <c r="AC321" s="17">
        <f>IF(OR($Z321="",$Z321=6),"",CHOOSE($Z321,"1st Email Follow-up","2nd Email Follow-up","Escalate Local Office","Escalate to CBE","Escalate to Roxanne"))</f>
        <v/>
      </c>
    </row>
    <row r="322" spans="13:29">
      <c r="M322" s="14"/>
      <c r="T322" s="16"/>
      <c r="U322" s="17">
        <f>IF(AND(COUNTA($A322:$L322)=0,$N322=""),"",IF($T322="Paid","PAID",IF($T322="Closed","CLOSED",IF($Z322="","",IF($Z322=6,"ESCALATED TO ROXANNE",IF(TODAY()&gt;$AB322,"OVERDUE",IF($AB322&lt;=WORKDAY(TODAY(),1,Holidays),"DUE TOMORROW",IF($Z322=4,"ESCALATED TO LOCAL OFFICE",IF($Z322=5,"ESCALATED TO CBE",IF($AA322=TODAY(),"EMAIL SENT","MONITORING"))))))))))</f>
        <v/>
      </c>
      <c r="V322" s="17">
        <f>IF($U322="",IF(AND(COUNTA($A322:$L322)&gt;0,$N322=""),"Awaiting Collection Email time stamp.",""),IF(OR($U322="PAID",$U322="CLOSED"),IF($U322="PAID","Account paid. Action completed.","Account closed. No further action required."),CHOOSE($Z322,"Collection Email","1st Email Follow-up","2nd Email Follow-up","Escalation to Local Office","Escalation to CBE","Escalation to Roxanne")&amp;" sent "&amp;TEXT($AA322,"dd-mmm")&amp;". "&amp;IF($Z322=6,"Final escalation completed.",IF($U322="OVERDUE","Next: "&amp;$AC322&amp;" was due "&amp;TEXT($AB322,"dd-mmm")&amp;" - "&amp;(NETWORKDAYS($AB322,TODAY(),Holidays)-1)&amp;" business day(s) late. Send now.",IF($U322="DUE TOMORROW","Next: "&amp;$AC322&amp;IF($AB322&lt;=TODAY()," is due TODAY ("," is due next business day (")&amp;TEXT($AB322,"dd-mmm")&amp;").","Next: "&amp;$AC322&amp;" due "&amp;TEXT($AB322,"dd-mmm")&amp;" ("&amp;(NETWORKDAYS(TODAY(),$AB322,Holidays)-1)&amp;" business day(s) left).")))))</f>
        <v/>
      </c>
      <c r="W322" s="17">
        <f>IF($Z322="","",CHOOSE($Z322,"Collection Email","1st Follow-up","2nd Follow-up","Local Office","CBE","Roxanne")&amp;IF($Z322=6," - Final"," - Day "&amp;MAX(0,NETWORKDAYS($AA322,TODAY(),Holidays)-1)&amp;" of "&amp;CHOOSE($Z322,3,3,2,2,3))&amp;" | Total Day "&amp;MAX(0,NETWORKDAYS($N322,TODAY(),Holidays)-1))</f>
        <v/>
      </c>
      <c r="X322" s="18"/>
      <c r="Y322" s="18"/>
      <c r="Z322" s="17">
        <f>IF($N322="","",COUNT($N322:$S322))</f>
        <v/>
      </c>
      <c r="AA322" s="19">
        <f>IF($Z322="","",INT(INDEX($N322:$S322,$Z322)))</f>
        <v/>
      </c>
      <c r="AB322" s="19">
        <f>IF(OR($Z322="",$Z322=6),"",WORKDAY($AA322,CHOOSE($Z322,3,3,2,2,3),Holidays))</f>
        <v/>
      </c>
      <c r="AC322" s="17">
        <f>IF(OR($Z322="",$Z322=6),"",CHOOSE($Z322,"1st Email Follow-up","2nd Email Follow-up","Escalate Local Office","Escalate to CBE","Escalate to Roxanne"))</f>
        <v/>
      </c>
    </row>
    <row r="323" spans="13:29">
      <c r="M323" s="14"/>
      <c r="T323" s="16"/>
      <c r="U323" s="17">
        <f>IF(AND(COUNTA($A323:$L323)=0,$N323=""),"",IF($T323="Paid","PAID",IF($T323="Closed","CLOSED",IF($Z323="","",IF($Z323=6,"ESCALATED TO ROXANNE",IF(TODAY()&gt;$AB323,"OVERDUE",IF($AB323&lt;=WORKDAY(TODAY(),1,Holidays),"DUE TOMORROW",IF($Z323=4,"ESCALATED TO LOCAL OFFICE",IF($Z323=5,"ESCALATED TO CBE",IF($AA323=TODAY(),"EMAIL SENT","MONITORING"))))))))))</f>
        <v/>
      </c>
      <c r="V323" s="17">
        <f>IF($U323="",IF(AND(COUNTA($A323:$L323)&gt;0,$N323=""),"Awaiting Collection Email time stamp.",""),IF(OR($U323="PAID",$U323="CLOSED"),IF($U323="PAID","Account paid. Action completed.","Account closed. No further action required."),CHOOSE($Z323,"Collection Email","1st Email Follow-up","2nd Email Follow-up","Escalation to Local Office","Escalation to CBE","Escalation to Roxanne")&amp;" sent "&amp;TEXT($AA323,"dd-mmm")&amp;". "&amp;IF($Z323=6,"Final escalation completed.",IF($U323="OVERDUE","Next: "&amp;$AC323&amp;" was due "&amp;TEXT($AB323,"dd-mmm")&amp;" - "&amp;(NETWORKDAYS($AB323,TODAY(),Holidays)-1)&amp;" business day(s) late. Send now.",IF($U323="DUE TOMORROW","Next: "&amp;$AC323&amp;IF($AB323&lt;=TODAY()," is due TODAY ("," is due next business day (")&amp;TEXT($AB323,"dd-mmm")&amp;").","Next: "&amp;$AC323&amp;" due "&amp;TEXT($AB323,"dd-mmm")&amp;" ("&amp;(NETWORKDAYS(TODAY(),$AB323,Holidays)-1)&amp;" business day(s) left).")))))</f>
        <v/>
      </c>
      <c r="W323" s="17">
        <f>IF($Z323="","",CHOOSE($Z323,"Collection Email","1st Follow-up","2nd Follow-up","Local Office","CBE","Roxanne")&amp;IF($Z323=6," - Final"," - Day "&amp;MAX(0,NETWORKDAYS($AA323,TODAY(),Holidays)-1)&amp;" of "&amp;CHOOSE($Z323,3,3,2,2,3))&amp;" | Total Day "&amp;MAX(0,NETWORKDAYS($N323,TODAY(),Holidays)-1))</f>
        <v/>
      </c>
      <c r="X323" s="18"/>
      <c r="Y323" s="18"/>
      <c r="Z323" s="17">
        <f>IF($N323="","",COUNT($N323:$S323))</f>
        <v/>
      </c>
      <c r="AA323" s="19">
        <f>IF($Z323="","",INT(INDEX($N323:$S323,$Z323)))</f>
        <v/>
      </c>
      <c r="AB323" s="19">
        <f>IF(OR($Z323="",$Z323=6),"",WORKDAY($AA323,CHOOSE($Z323,3,3,2,2,3),Holidays))</f>
        <v/>
      </c>
      <c r="AC323" s="17">
        <f>IF(OR($Z323="",$Z323=6),"",CHOOSE($Z323,"1st Email Follow-up","2nd Email Follow-up","Escalate Local Office","Escalate to CBE","Escalate to Roxanne"))</f>
        <v/>
      </c>
    </row>
    <row r="324" spans="13:29">
      <c r="M324" s="14"/>
      <c r="T324" s="16"/>
      <c r="U324" s="17">
        <f>IF(AND(COUNTA($A324:$L324)=0,$N324=""),"",IF($T324="Paid","PAID",IF($T324="Closed","CLOSED",IF($Z324="","",IF($Z324=6,"ESCALATED TO ROXANNE",IF(TODAY()&gt;$AB324,"OVERDUE",IF($AB324&lt;=WORKDAY(TODAY(),1,Holidays),"DUE TOMORROW",IF($Z324=4,"ESCALATED TO LOCAL OFFICE",IF($Z324=5,"ESCALATED TO CBE",IF($AA324=TODAY(),"EMAIL SENT","MONITORING"))))))))))</f>
        <v/>
      </c>
      <c r="V324" s="17">
        <f>IF($U324="",IF(AND(COUNTA($A324:$L324)&gt;0,$N324=""),"Awaiting Collection Email time stamp.",""),IF(OR($U324="PAID",$U324="CLOSED"),IF($U324="PAID","Account paid. Action completed.","Account closed. No further action required."),CHOOSE($Z324,"Collection Email","1st Email Follow-up","2nd Email Follow-up","Escalation to Local Office","Escalation to CBE","Escalation to Roxanne")&amp;" sent "&amp;TEXT($AA324,"dd-mmm")&amp;". "&amp;IF($Z324=6,"Final escalation completed.",IF($U324="OVERDUE","Next: "&amp;$AC324&amp;" was due "&amp;TEXT($AB324,"dd-mmm")&amp;" - "&amp;(NETWORKDAYS($AB324,TODAY(),Holidays)-1)&amp;" business day(s) late. Send now.",IF($U324="DUE TOMORROW","Next: "&amp;$AC324&amp;IF($AB324&lt;=TODAY()," is due TODAY ("," is due next business day (")&amp;TEXT($AB324,"dd-mmm")&amp;").","Next: "&amp;$AC324&amp;" due "&amp;TEXT($AB324,"dd-mmm")&amp;" ("&amp;(NETWORKDAYS(TODAY(),$AB324,Holidays)-1)&amp;" business day(s) left).")))))</f>
        <v/>
      </c>
      <c r="W324" s="17">
        <f>IF($Z324="","",CHOOSE($Z324,"Collection Email","1st Follow-up","2nd Follow-up","Local Office","CBE","Roxanne")&amp;IF($Z324=6," - Final"," - Day "&amp;MAX(0,NETWORKDAYS($AA324,TODAY(),Holidays)-1)&amp;" of "&amp;CHOOSE($Z324,3,3,2,2,3))&amp;" | Total Day "&amp;MAX(0,NETWORKDAYS($N324,TODAY(),Holidays)-1))</f>
        <v/>
      </c>
      <c r="X324" s="18"/>
      <c r="Y324" s="18"/>
      <c r="Z324" s="17">
        <f>IF($N324="","",COUNT($N324:$S324))</f>
        <v/>
      </c>
      <c r="AA324" s="19">
        <f>IF($Z324="","",INT(INDEX($N324:$S324,$Z324)))</f>
        <v/>
      </c>
      <c r="AB324" s="19">
        <f>IF(OR($Z324="",$Z324=6),"",WORKDAY($AA324,CHOOSE($Z324,3,3,2,2,3),Holidays))</f>
        <v/>
      </c>
      <c r="AC324" s="17">
        <f>IF(OR($Z324="",$Z324=6),"",CHOOSE($Z324,"1st Email Follow-up","2nd Email Follow-up","Escalate Local Office","Escalate to CBE","Escalate to Roxanne"))</f>
        <v/>
      </c>
    </row>
    <row r="325" spans="13:29">
      <c r="M325" s="14"/>
      <c r="T325" s="16"/>
      <c r="U325" s="17">
        <f>IF(AND(COUNTA($A325:$L325)=0,$N325=""),"",IF($T325="Paid","PAID",IF($T325="Closed","CLOSED",IF($Z325="","",IF($Z325=6,"ESCALATED TO ROXANNE",IF(TODAY()&gt;$AB325,"OVERDUE",IF($AB325&lt;=WORKDAY(TODAY(),1,Holidays),"DUE TOMORROW",IF($Z325=4,"ESCALATED TO LOCAL OFFICE",IF($Z325=5,"ESCALATED TO CBE",IF($AA325=TODAY(),"EMAIL SENT","MONITORING"))))))))))</f>
        <v/>
      </c>
      <c r="V325" s="17">
        <f>IF($U325="",IF(AND(COUNTA($A325:$L325)&gt;0,$N325=""),"Awaiting Collection Email time stamp.",""),IF(OR($U325="PAID",$U325="CLOSED"),IF($U325="PAID","Account paid. Action completed.","Account closed. No further action required."),CHOOSE($Z325,"Collection Email","1st Email Follow-up","2nd Email Follow-up","Escalation to Local Office","Escalation to CBE","Escalation to Roxanne")&amp;" sent "&amp;TEXT($AA325,"dd-mmm")&amp;". "&amp;IF($Z325=6,"Final escalation completed.",IF($U325="OVERDUE","Next: "&amp;$AC325&amp;" was due "&amp;TEXT($AB325,"dd-mmm")&amp;" - "&amp;(NETWORKDAYS($AB325,TODAY(),Holidays)-1)&amp;" business day(s) late. Send now.",IF($U325="DUE TOMORROW","Next: "&amp;$AC325&amp;IF($AB325&lt;=TODAY()," is due TODAY ("," is due next business day (")&amp;TEXT($AB325,"dd-mmm")&amp;").","Next: "&amp;$AC325&amp;" due "&amp;TEXT($AB325,"dd-mmm")&amp;" ("&amp;(NETWORKDAYS(TODAY(),$AB325,Holidays)-1)&amp;" business day(s) left).")))))</f>
        <v/>
      </c>
      <c r="W325" s="17">
        <f>IF($Z325="","",CHOOSE($Z325,"Collection Email","1st Follow-up","2nd Follow-up","Local Office","CBE","Roxanne")&amp;IF($Z325=6," - Final"," - Day "&amp;MAX(0,NETWORKDAYS($AA325,TODAY(),Holidays)-1)&amp;" of "&amp;CHOOSE($Z325,3,3,2,2,3))&amp;" | Total Day "&amp;MAX(0,NETWORKDAYS($N325,TODAY(),Holidays)-1))</f>
        <v/>
      </c>
      <c r="X325" s="18"/>
      <c r="Y325" s="18"/>
      <c r="Z325" s="17">
        <f>IF($N325="","",COUNT($N325:$S325))</f>
        <v/>
      </c>
      <c r="AA325" s="19">
        <f>IF($Z325="","",INT(INDEX($N325:$S325,$Z325)))</f>
        <v/>
      </c>
      <c r="AB325" s="19">
        <f>IF(OR($Z325="",$Z325=6),"",WORKDAY($AA325,CHOOSE($Z325,3,3,2,2,3),Holidays))</f>
        <v/>
      </c>
      <c r="AC325" s="17">
        <f>IF(OR($Z325="",$Z325=6),"",CHOOSE($Z325,"1st Email Follow-up","2nd Email Follow-up","Escalate Local Office","Escalate to CBE","Escalate to Roxanne"))</f>
        <v/>
      </c>
    </row>
    <row r="326" spans="13:29">
      <c r="M326" s="14"/>
      <c r="T326" s="16"/>
      <c r="U326" s="17">
        <f>IF(AND(COUNTA($A326:$L326)=0,$N326=""),"",IF($T326="Paid","PAID",IF($T326="Closed","CLOSED",IF($Z326="","",IF($Z326=6,"ESCALATED TO ROXANNE",IF(TODAY()&gt;$AB326,"OVERDUE",IF($AB326&lt;=WORKDAY(TODAY(),1,Holidays),"DUE TOMORROW",IF($Z326=4,"ESCALATED TO LOCAL OFFICE",IF($Z326=5,"ESCALATED TO CBE",IF($AA326=TODAY(),"EMAIL SENT","MONITORING"))))))))))</f>
        <v/>
      </c>
      <c r="V326" s="17">
        <f>IF($U326="",IF(AND(COUNTA($A326:$L326)&gt;0,$N326=""),"Awaiting Collection Email time stamp.",""),IF(OR($U326="PAID",$U326="CLOSED"),IF($U326="PAID","Account paid. Action completed.","Account closed. No further action required."),CHOOSE($Z326,"Collection Email","1st Email Follow-up","2nd Email Follow-up","Escalation to Local Office","Escalation to CBE","Escalation to Roxanne")&amp;" sent "&amp;TEXT($AA326,"dd-mmm")&amp;". "&amp;IF($Z326=6,"Final escalation completed.",IF($U326="OVERDUE","Next: "&amp;$AC326&amp;" was due "&amp;TEXT($AB326,"dd-mmm")&amp;" - "&amp;(NETWORKDAYS($AB326,TODAY(),Holidays)-1)&amp;" business day(s) late. Send now.",IF($U326="DUE TOMORROW","Next: "&amp;$AC326&amp;IF($AB326&lt;=TODAY()," is due TODAY ("," is due next business day (")&amp;TEXT($AB326,"dd-mmm")&amp;").","Next: "&amp;$AC326&amp;" due "&amp;TEXT($AB326,"dd-mmm")&amp;" ("&amp;(NETWORKDAYS(TODAY(),$AB326,Holidays)-1)&amp;" business day(s) left).")))))</f>
        <v/>
      </c>
      <c r="W326" s="17">
        <f>IF($Z326="","",CHOOSE($Z326,"Collection Email","1st Follow-up","2nd Follow-up","Local Office","CBE","Roxanne")&amp;IF($Z326=6," - Final"," - Day "&amp;MAX(0,NETWORKDAYS($AA326,TODAY(),Holidays)-1)&amp;" of "&amp;CHOOSE($Z326,3,3,2,2,3))&amp;" | Total Day "&amp;MAX(0,NETWORKDAYS($N326,TODAY(),Holidays)-1))</f>
        <v/>
      </c>
      <c r="X326" s="18"/>
      <c r="Y326" s="18"/>
      <c r="Z326" s="17">
        <f>IF($N326="","",COUNT($N326:$S326))</f>
        <v/>
      </c>
      <c r="AA326" s="19">
        <f>IF($Z326="","",INT(INDEX($N326:$S326,$Z326)))</f>
        <v/>
      </c>
      <c r="AB326" s="19">
        <f>IF(OR($Z326="",$Z326=6),"",WORKDAY($AA326,CHOOSE($Z326,3,3,2,2,3),Holidays))</f>
        <v/>
      </c>
      <c r="AC326" s="17">
        <f>IF(OR($Z326="",$Z326=6),"",CHOOSE($Z326,"1st Email Follow-up","2nd Email Follow-up","Escalate Local Office","Escalate to CBE","Escalate to Roxanne"))</f>
        <v/>
      </c>
    </row>
    <row r="327" spans="13:29">
      <c r="M327" s="14"/>
      <c r="T327" s="16"/>
      <c r="U327" s="17">
        <f>IF(AND(COUNTA($A327:$L327)=0,$N327=""),"",IF($T327="Paid","PAID",IF($T327="Closed","CLOSED",IF($Z327="","",IF($Z327=6,"ESCALATED TO ROXANNE",IF(TODAY()&gt;$AB327,"OVERDUE",IF($AB327&lt;=WORKDAY(TODAY(),1,Holidays),"DUE TOMORROW",IF($Z327=4,"ESCALATED TO LOCAL OFFICE",IF($Z327=5,"ESCALATED TO CBE",IF($AA327=TODAY(),"EMAIL SENT","MONITORING"))))))))))</f>
        <v/>
      </c>
      <c r="V327" s="17">
        <f>IF($U327="",IF(AND(COUNTA($A327:$L327)&gt;0,$N327=""),"Awaiting Collection Email time stamp.",""),IF(OR($U327="PAID",$U327="CLOSED"),IF($U327="PAID","Account paid. Action completed.","Account closed. No further action required."),CHOOSE($Z327,"Collection Email","1st Email Follow-up","2nd Email Follow-up","Escalation to Local Office","Escalation to CBE","Escalation to Roxanne")&amp;" sent "&amp;TEXT($AA327,"dd-mmm")&amp;". "&amp;IF($Z327=6,"Final escalation completed.",IF($U327="OVERDUE","Next: "&amp;$AC327&amp;" was due "&amp;TEXT($AB327,"dd-mmm")&amp;" - "&amp;(NETWORKDAYS($AB327,TODAY(),Holidays)-1)&amp;" business day(s) late. Send now.",IF($U327="DUE TOMORROW","Next: "&amp;$AC327&amp;IF($AB327&lt;=TODAY()," is due TODAY ("," is due next business day (")&amp;TEXT($AB327,"dd-mmm")&amp;").","Next: "&amp;$AC327&amp;" due "&amp;TEXT($AB327,"dd-mmm")&amp;" ("&amp;(NETWORKDAYS(TODAY(),$AB327,Holidays)-1)&amp;" business day(s) left).")))))</f>
        <v/>
      </c>
      <c r="W327" s="17">
        <f>IF($Z327="","",CHOOSE($Z327,"Collection Email","1st Follow-up","2nd Follow-up","Local Office","CBE","Roxanne")&amp;IF($Z327=6," - Final"," - Day "&amp;MAX(0,NETWORKDAYS($AA327,TODAY(),Holidays)-1)&amp;" of "&amp;CHOOSE($Z327,3,3,2,2,3))&amp;" | Total Day "&amp;MAX(0,NETWORKDAYS($N327,TODAY(),Holidays)-1))</f>
        <v/>
      </c>
      <c r="X327" s="18"/>
      <c r="Y327" s="18"/>
      <c r="Z327" s="17">
        <f>IF($N327="","",COUNT($N327:$S327))</f>
        <v/>
      </c>
      <c r="AA327" s="19">
        <f>IF($Z327="","",INT(INDEX($N327:$S327,$Z327)))</f>
        <v/>
      </c>
      <c r="AB327" s="19">
        <f>IF(OR($Z327="",$Z327=6),"",WORKDAY($AA327,CHOOSE($Z327,3,3,2,2,3),Holidays))</f>
        <v/>
      </c>
      <c r="AC327" s="17">
        <f>IF(OR($Z327="",$Z327=6),"",CHOOSE($Z327,"1st Email Follow-up","2nd Email Follow-up","Escalate Local Office","Escalate to CBE","Escalate to Roxanne"))</f>
        <v/>
      </c>
    </row>
    <row r="328" spans="13:29">
      <c r="M328" s="14"/>
      <c r="T328" s="16"/>
      <c r="U328" s="17">
        <f>IF(AND(COUNTA($A328:$L328)=0,$N328=""),"",IF($T328="Paid","PAID",IF($T328="Closed","CLOSED",IF($Z328="","",IF($Z328=6,"ESCALATED TO ROXANNE",IF(TODAY()&gt;$AB328,"OVERDUE",IF($AB328&lt;=WORKDAY(TODAY(),1,Holidays),"DUE TOMORROW",IF($Z328=4,"ESCALATED TO LOCAL OFFICE",IF($Z328=5,"ESCALATED TO CBE",IF($AA328=TODAY(),"EMAIL SENT","MONITORING"))))))))))</f>
        <v/>
      </c>
      <c r="V328" s="17">
        <f>IF($U328="",IF(AND(COUNTA($A328:$L328)&gt;0,$N328=""),"Awaiting Collection Email time stamp.",""),IF(OR($U328="PAID",$U328="CLOSED"),IF($U328="PAID","Account paid. Action completed.","Account closed. No further action required."),CHOOSE($Z328,"Collection Email","1st Email Follow-up","2nd Email Follow-up","Escalation to Local Office","Escalation to CBE","Escalation to Roxanne")&amp;" sent "&amp;TEXT($AA328,"dd-mmm")&amp;". "&amp;IF($Z328=6,"Final escalation completed.",IF($U328="OVERDUE","Next: "&amp;$AC328&amp;" was due "&amp;TEXT($AB328,"dd-mmm")&amp;" - "&amp;(NETWORKDAYS($AB328,TODAY(),Holidays)-1)&amp;" business day(s) late. Send now.",IF($U328="DUE TOMORROW","Next: "&amp;$AC328&amp;IF($AB328&lt;=TODAY()," is due TODAY ("," is due next business day (")&amp;TEXT($AB328,"dd-mmm")&amp;").","Next: "&amp;$AC328&amp;" due "&amp;TEXT($AB328,"dd-mmm")&amp;" ("&amp;(NETWORKDAYS(TODAY(),$AB328,Holidays)-1)&amp;" business day(s) left).")))))</f>
        <v/>
      </c>
      <c r="W328" s="17">
        <f>IF($Z328="","",CHOOSE($Z328,"Collection Email","1st Follow-up","2nd Follow-up","Local Office","CBE","Roxanne")&amp;IF($Z328=6," - Final"," - Day "&amp;MAX(0,NETWORKDAYS($AA328,TODAY(),Holidays)-1)&amp;" of "&amp;CHOOSE($Z328,3,3,2,2,3))&amp;" | Total Day "&amp;MAX(0,NETWORKDAYS($N328,TODAY(),Holidays)-1))</f>
        <v/>
      </c>
      <c r="X328" s="18"/>
      <c r="Y328" s="18"/>
      <c r="Z328" s="17">
        <f>IF($N328="","",COUNT($N328:$S328))</f>
        <v/>
      </c>
      <c r="AA328" s="19">
        <f>IF($Z328="","",INT(INDEX($N328:$S328,$Z328)))</f>
        <v/>
      </c>
      <c r="AB328" s="19">
        <f>IF(OR($Z328="",$Z328=6),"",WORKDAY($AA328,CHOOSE($Z328,3,3,2,2,3),Holidays))</f>
        <v/>
      </c>
      <c r="AC328" s="17">
        <f>IF(OR($Z328="",$Z328=6),"",CHOOSE($Z328,"1st Email Follow-up","2nd Email Follow-up","Escalate Local Office","Escalate to CBE","Escalate to Roxanne"))</f>
        <v/>
      </c>
    </row>
    <row r="329" spans="13:29">
      <c r="M329" s="14"/>
      <c r="T329" s="16"/>
      <c r="U329" s="17">
        <f>IF(AND(COUNTA($A329:$L329)=0,$N329=""),"",IF($T329="Paid","PAID",IF($T329="Closed","CLOSED",IF($Z329="","",IF($Z329=6,"ESCALATED TO ROXANNE",IF(TODAY()&gt;$AB329,"OVERDUE",IF($AB329&lt;=WORKDAY(TODAY(),1,Holidays),"DUE TOMORROW",IF($Z329=4,"ESCALATED TO LOCAL OFFICE",IF($Z329=5,"ESCALATED TO CBE",IF($AA329=TODAY(),"EMAIL SENT","MONITORING"))))))))))</f>
        <v/>
      </c>
      <c r="V329" s="17">
        <f>IF($U329="",IF(AND(COUNTA($A329:$L329)&gt;0,$N329=""),"Awaiting Collection Email time stamp.",""),IF(OR($U329="PAID",$U329="CLOSED"),IF($U329="PAID","Account paid. Action completed.","Account closed. No further action required."),CHOOSE($Z329,"Collection Email","1st Email Follow-up","2nd Email Follow-up","Escalation to Local Office","Escalation to CBE","Escalation to Roxanne")&amp;" sent "&amp;TEXT($AA329,"dd-mmm")&amp;". "&amp;IF($Z329=6,"Final escalation completed.",IF($U329="OVERDUE","Next: "&amp;$AC329&amp;" was due "&amp;TEXT($AB329,"dd-mmm")&amp;" - "&amp;(NETWORKDAYS($AB329,TODAY(),Holidays)-1)&amp;" business day(s) late. Send now.",IF($U329="DUE TOMORROW","Next: "&amp;$AC329&amp;IF($AB329&lt;=TODAY()," is due TODAY ("," is due next business day (")&amp;TEXT($AB329,"dd-mmm")&amp;").","Next: "&amp;$AC329&amp;" due "&amp;TEXT($AB329,"dd-mmm")&amp;" ("&amp;(NETWORKDAYS(TODAY(),$AB329,Holidays)-1)&amp;" business day(s) left).")))))</f>
        <v/>
      </c>
      <c r="W329" s="17">
        <f>IF($Z329="","",CHOOSE($Z329,"Collection Email","1st Follow-up","2nd Follow-up","Local Office","CBE","Roxanne")&amp;IF($Z329=6," - Final"," - Day "&amp;MAX(0,NETWORKDAYS($AA329,TODAY(),Holidays)-1)&amp;" of "&amp;CHOOSE($Z329,3,3,2,2,3))&amp;" | Total Day "&amp;MAX(0,NETWORKDAYS($N329,TODAY(),Holidays)-1))</f>
        <v/>
      </c>
      <c r="X329" s="18"/>
      <c r="Y329" s="18"/>
      <c r="Z329" s="17">
        <f>IF($N329="","",COUNT($N329:$S329))</f>
        <v/>
      </c>
      <c r="AA329" s="19">
        <f>IF($Z329="","",INT(INDEX($N329:$S329,$Z329)))</f>
        <v/>
      </c>
      <c r="AB329" s="19">
        <f>IF(OR($Z329="",$Z329=6),"",WORKDAY($AA329,CHOOSE($Z329,3,3,2,2,3),Holidays))</f>
        <v/>
      </c>
      <c r="AC329" s="17">
        <f>IF(OR($Z329="",$Z329=6),"",CHOOSE($Z329,"1st Email Follow-up","2nd Email Follow-up","Escalate Local Office","Escalate to CBE","Escalate to Roxanne"))</f>
        <v/>
      </c>
    </row>
    <row r="330" spans="13:29">
      <c r="M330" s="14"/>
      <c r="T330" s="16"/>
      <c r="U330" s="17">
        <f>IF(AND(COUNTA($A330:$L330)=0,$N330=""),"",IF($T330="Paid","PAID",IF($T330="Closed","CLOSED",IF($Z330="","",IF($Z330=6,"ESCALATED TO ROXANNE",IF(TODAY()&gt;$AB330,"OVERDUE",IF($AB330&lt;=WORKDAY(TODAY(),1,Holidays),"DUE TOMORROW",IF($Z330=4,"ESCALATED TO LOCAL OFFICE",IF($Z330=5,"ESCALATED TO CBE",IF($AA330=TODAY(),"EMAIL SENT","MONITORING"))))))))))</f>
        <v/>
      </c>
      <c r="V330" s="17">
        <f>IF($U330="",IF(AND(COUNTA($A330:$L330)&gt;0,$N330=""),"Awaiting Collection Email time stamp.",""),IF(OR($U330="PAID",$U330="CLOSED"),IF($U330="PAID","Account paid. Action completed.","Account closed. No further action required."),CHOOSE($Z330,"Collection Email","1st Email Follow-up","2nd Email Follow-up","Escalation to Local Office","Escalation to CBE","Escalation to Roxanne")&amp;" sent "&amp;TEXT($AA330,"dd-mmm")&amp;". "&amp;IF($Z330=6,"Final escalation completed.",IF($U330="OVERDUE","Next: "&amp;$AC330&amp;" was due "&amp;TEXT($AB330,"dd-mmm")&amp;" - "&amp;(NETWORKDAYS($AB330,TODAY(),Holidays)-1)&amp;" business day(s) late. Send now.",IF($U330="DUE TOMORROW","Next: "&amp;$AC330&amp;IF($AB330&lt;=TODAY()," is due TODAY ("," is due next business day (")&amp;TEXT($AB330,"dd-mmm")&amp;").","Next: "&amp;$AC330&amp;" due "&amp;TEXT($AB330,"dd-mmm")&amp;" ("&amp;(NETWORKDAYS(TODAY(),$AB330,Holidays)-1)&amp;" business day(s) left).")))))</f>
        <v/>
      </c>
      <c r="W330" s="17">
        <f>IF($Z330="","",CHOOSE($Z330,"Collection Email","1st Follow-up","2nd Follow-up","Local Office","CBE","Roxanne")&amp;IF($Z330=6," - Final"," - Day "&amp;MAX(0,NETWORKDAYS($AA330,TODAY(),Holidays)-1)&amp;" of "&amp;CHOOSE($Z330,3,3,2,2,3))&amp;" | Total Day "&amp;MAX(0,NETWORKDAYS($N330,TODAY(),Holidays)-1))</f>
        <v/>
      </c>
      <c r="X330" s="18"/>
      <c r="Y330" s="18"/>
      <c r="Z330" s="17">
        <f>IF($N330="","",COUNT($N330:$S330))</f>
        <v/>
      </c>
      <c r="AA330" s="19">
        <f>IF($Z330="","",INT(INDEX($N330:$S330,$Z330)))</f>
        <v/>
      </c>
      <c r="AB330" s="19">
        <f>IF(OR($Z330="",$Z330=6),"",WORKDAY($AA330,CHOOSE($Z330,3,3,2,2,3),Holidays))</f>
        <v/>
      </c>
      <c r="AC330" s="17">
        <f>IF(OR($Z330="",$Z330=6),"",CHOOSE($Z330,"1st Email Follow-up","2nd Email Follow-up","Escalate Local Office","Escalate to CBE","Escalate to Roxanne"))</f>
        <v/>
      </c>
    </row>
    <row r="331" spans="13:29">
      <c r="M331" s="14"/>
      <c r="T331" s="16"/>
      <c r="U331" s="17">
        <f>IF(AND(COUNTA($A331:$L331)=0,$N331=""),"",IF($T331="Paid","PAID",IF($T331="Closed","CLOSED",IF($Z331="","",IF($Z331=6,"ESCALATED TO ROXANNE",IF(TODAY()&gt;$AB331,"OVERDUE",IF($AB331&lt;=WORKDAY(TODAY(),1,Holidays),"DUE TOMORROW",IF($Z331=4,"ESCALATED TO LOCAL OFFICE",IF($Z331=5,"ESCALATED TO CBE",IF($AA331=TODAY(),"EMAIL SENT","MONITORING"))))))))))</f>
        <v/>
      </c>
      <c r="V331" s="17">
        <f>IF($U331="",IF(AND(COUNTA($A331:$L331)&gt;0,$N331=""),"Awaiting Collection Email time stamp.",""),IF(OR($U331="PAID",$U331="CLOSED"),IF($U331="PAID","Account paid. Action completed.","Account closed. No further action required."),CHOOSE($Z331,"Collection Email","1st Email Follow-up","2nd Email Follow-up","Escalation to Local Office","Escalation to CBE","Escalation to Roxanne")&amp;" sent "&amp;TEXT($AA331,"dd-mmm")&amp;". "&amp;IF($Z331=6,"Final escalation completed.",IF($U331="OVERDUE","Next: "&amp;$AC331&amp;" was due "&amp;TEXT($AB331,"dd-mmm")&amp;" - "&amp;(NETWORKDAYS($AB331,TODAY(),Holidays)-1)&amp;" business day(s) late. Send now.",IF($U331="DUE TOMORROW","Next: "&amp;$AC331&amp;IF($AB331&lt;=TODAY()," is due TODAY ("," is due next business day (")&amp;TEXT($AB331,"dd-mmm")&amp;").","Next: "&amp;$AC331&amp;" due "&amp;TEXT($AB331,"dd-mmm")&amp;" ("&amp;(NETWORKDAYS(TODAY(),$AB331,Holidays)-1)&amp;" business day(s) left).")))))</f>
        <v/>
      </c>
      <c r="W331" s="17">
        <f>IF($Z331="","",CHOOSE($Z331,"Collection Email","1st Follow-up","2nd Follow-up","Local Office","CBE","Roxanne")&amp;IF($Z331=6," - Final"," - Day "&amp;MAX(0,NETWORKDAYS($AA331,TODAY(),Holidays)-1)&amp;" of "&amp;CHOOSE($Z331,3,3,2,2,3))&amp;" | Total Day "&amp;MAX(0,NETWORKDAYS($N331,TODAY(),Holidays)-1))</f>
        <v/>
      </c>
      <c r="X331" s="18"/>
      <c r="Y331" s="18"/>
      <c r="Z331" s="17">
        <f>IF($N331="","",COUNT($N331:$S331))</f>
        <v/>
      </c>
      <c r="AA331" s="19">
        <f>IF($Z331="","",INT(INDEX($N331:$S331,$Z331)))</f>
        <v/>
      </c>
      <c r="AB331" s="19">
        <f>IF(OR($Z331="",$Z331=6),"",WORKDAY($AA331,CHOOSE($Z331,3,3,2,2,3),Holidays))</f>
        <v/>
      </c>
      <c r="AC331" s="17">
        <f>IF(OR($Z331="",$Z331=6),"",CHOOSE($Z331,"1st Email Follow-up","2nd Email Follow-up","Escalate Local Office","Escalate to CBE","Escalate to Roxanne"))</f>
        <v/>
      </c>
    </row>
    <row r="332" spans="13:29">
      <c r="M332" s="14"/>
      <c r="T332" s="16"/>
      <c r="U332" s="17">
        <f>IF(AND(COUNTA($A332:$L332)=0,$N332=""),"",IF($T332="Paid","PAID",IF($T332="Closed","CLOSED",IF($Z332="","",IF($Z332=6,"ESCALATED TO ROXANNE",IF(TODAY()&gt;$AB332,"OVERDUE",IF($AB332&lt;=WORKDAY(TODAY(),1,Holidays),"DUE TOMORROW",IF($Z332=4,"ESCALATED TO LOCAL OFFICE",IF($Z332=5,"ESCALATED TO CBE",IF($AA332=TODAY(),"EMAIL SENT","MONITORING"))))))))))</f>
        <v/>
      </c>
      <c r="V332" s="17">
        <f>IF($U332="",IF(AND(COUNTA($A332:$L332)&gt;0,$N332=""),"Awaiting Collection Email time stamp.",""),IF(OR($U332="PAID",$U332="CLOSED"),IF($U332="PAID","Account paid. Action completed.","Account closed. No further action required."),CHOOSE($Z332,"Collection Email","1st Email Follow-up","2nd Email Follow-up","Escalation to Local Office","Escalation to CBE","Escalation to Roxanne")&amp;" sent "&amp;TEXT($AA332,"dd-mmm")&amp;". "&amp;IF($Z332=6,"Final escalation completed.",IF($U332="OVERDUE","Next: "&amp;$AC332&amp;" was due "&amp;TEXT($AB332,"dd-mmm")&amp;" - "&amp;(NETWORKDAYS($AB332,TODAY(),Holidays)-1)&amp;" business day(s) late. Send now.",IF($U332="DUE TOMORROW","Next: "&amp;$AC332&amp;IF($AB332&lt;=TODAY()," is due TODAY ("," is due next business day (")&amp;TEXT($AB332,"dd-mmm")&amp;").","Next: "&amp;$AC332&amp;" due "&amp;TEXT($AB332,"dd-mmm")&amp;" ("&amp;(NETWORKDAYS(TODAY(),$AB332,Holidays)-1)&amp;" business day(s) left).")))))</f>
        <v/>
      </c>
      <c r="W332" s="17">
        <f>IF($Z332="","",CHOOSE($Z332,"Collection Email","1st Follow-up","2nd Follow-up","Local Office","CBE","Roxanne")&amp;IF($Z332=6," - Final"," - Day "&amp;MAX(0,NETWORKDAYS($AA332,TODAY(),Holidays)-1)&amp;" of "&amp;CHOOSE($Z332,3,3,2,2,3))&amp;" | Total Day "&amp;MAX(0,NETWORKDAYS($N332,TODAY(),Holidays)-1))</f>
        <v/>
      </c>
      <c r="X332" s="18"/>
      <c r="Y332" s="18"/>
      <c r="Z332" s="17">
        <f>IF($N332="","",COUNT($N332:$S332))</f>
        <v/>
      </c>
      <c r="AA332" s="19">
        <f>IF($Z332="","",INT(INDEX($N332:$S332,$Z332)))</f>
        <v/>
      </c>
      <c r="AB332" s="19">
        <f>IF(OR($Z332="",$Z332=6),"",WORKDAY($AA332,CHOOSE($Z332,3,3,2,2,3),Holidays))</f>
        <v/>
      </c>
      <c r="AC332" s="17">
        <f>IF(OR($Z332="",$Z332=6),"",CHOOSE($Z332,"1st Email Follow-up","2nd Email Follow-up","Escalate Local Office","Escalate to CBE","Escalate to Roxanne"))</f>
        <v/>
      </c>
    </row>
    <row r="333" spans="13:29">
      <c r="M333" s="14"/>
      <c r="T333" s="16"/>
      <c r="U333" s="17">
        <f>IF(AND(COUNTA($A333:$L333)=0,$N333=""),"",IF($T333="Paid","PAID",IF($T333="Closed","CLOSED",IF($Z333="","",IF($Z333=6,"ESCALATED TO ROXANNE",IF(TODAY()&gt;$AB333,"OVERDUE",IF($AB333&lt;=WORKDAY(TODAY(),1,Holidays),"DUE TOMORROW",IF($Z333=4,"ESCALATED TO LOCAL OFFICE",IF($Z333=5,"ESCALATED TO CBE",IF($AA333=TODAY(),"EMAIL SENT","MONITORING"))))))))))</f>
        <v/>
      </c>
      <c r="V333" s="17">
        <f>IF($U333="",IF(AND(COUNTA($A333:$L333)&gt;0,$N333=""),"Awaiting Collection Email time stamp.",""),IF(OR($U333="PAID",$U333="CLOSED"),IF($U333="PAID","Account paid. Action completed.","Account closed. No further action required."),CHOOSE($Z333,"Collection Email","1st Email Follow-up","2nd Email Follow-up","Escalation to Local Office","Escalation to CBE","Escalation to Roxanne")&amp;" sent "&amp;TEXT($AA333,"dd-mmm")&amp;". "&amp;IF($Z333=6,"Final escalation completed.",IF($U333="OVERDUE","Next: "&amp;$AC333&amp;" was due "&amp;TEXT($AB333,"dd-mmm")&amp;" - "&amp;(NETWORKDAYS($AB333,TODAY(),Holidays)-1)&amp;" business day(s) late. Send now.",IF($U333="DUE TOMORROW","Next: "&amp;$AC333&amp;IF($AB333&lt;=TODAY()," is due TODAY ("," is due next business day (")&amp;TEXT($AB333,"dd-mmm")&amp;").","Next: "&amp;$AC333&amp;" due "&amp;TEXT($AB333,"dd-mmm")&amp;" ("&amp;(NETWORKDAYS(TODAY(),$AB333,Holidays)-1)&amp;" business day(s) left).")))))</f>
        <v/>
      </c>
      <c r="W333" s="17">
        <f>IF($Z333="","",CHOOSE($Z333,"Collection Email","1st Follow-up","2nd Follow-up","Local Office","CBE","Roxanne")&amp;IF($Z333=6," - Final"," - Day "&amp;MAX(0,NETWORKDAYS($AA333,TODAY(),Holidays)-1)&amp;" of "&amp;CHOOSE($Z333,3,3,2,2,3))&amp;" | Total Day "&amp;MAX(0,NETWORKDAYS($N333,TODAY(),Holidays)-1))</f>
        <v/>
      </c>
      <c r="X333" s="18"/>
      <c r="Y333" s="18"/>
      <c r="Z333" s="17">
        <f>IF($N333="","",COUNT($N333:$S333))</f>
        <v/>
      </c>
      <c r="AA333" s="19">
        <f>IF($Z333="","",INT(INDEX($N333:$S333,$Z333)))</f>
        <v/>
      </c>
      <c r="AB333" s="19">
        <f>IF(OR($Z333="",$Z333=6),"",WORKDAY($AA333,CHOOSE($Z333,3,3,2,2,3),Holidays))</f>
        <v/>
      </c>
      <c r="AC333" s="17">
        <f>IF(OR($Z333="",$Z333=6),"",CHOOSE($Z333,"1st Email Follow-up","2nd Email Follow-up","Escalate Local Office","Escalate to CBE","Escalate to Roxanne"))</f>
        <v/>
      </c>
    </row>
    <row r="334" spans="13:29">
      <c r="M334" s="14"/>
      <c r="T334" s="16"/>
      <c r="U334" s="17">
        <f>IF(AND(COUNTA($A334:$L334)=0,$N334=""),"",IF($T334="Paid","PAID",IF($T334="Closed","CLOSED",IF($Z334="","",IF($Z334=6,"ESCALATED TO ROXANNE",IF(TODAY()&gt;$AB334,"OVERDUE",IF($AB334&lt;=WORKDAY(TODAY(),1,Holidays),"DUE TOMORROW",IF($Z334=4,"ESCALATED TO LOCAL OFFICE",IF($Z334=5,"ESCALATED TO CBE",IF($AA334=TODAY(),"EMAIL SENT","MONITORING"))))))))))</f>
        <v/>
      </c>
      <c r="V334" s="17">
        <f>IF($U334="",IF(AND(COUNTA($A334:$L334)&gt;0,$N334=""),"Awaiting Collection Email time stamp.",""),IF(OR($U334="PAID",$U334="CLOSED"),IF($U334="PAID","Account paid. Action completed.","Account closed. No further action required."),CHOOSE($Z334,"Collection Email","1st Email Follow-up","2nd Email Follow-up","Escalation to Local Office","Escalation to CBE","Escalation to Roxanne")&amp;" sent "&amp;TEXT($AA334,"dd-mmm")&amp;". "&amp;IF($Z334=6,"Final escalation completed.",IF($U334="OVERDUE","Next: "&amp;$AC334&amp;" was due "&amp;TEXT($AB334,"dd-mmm")&amp;" - "&amp;(NETWORKDAYS($AB334,TODAY(),Holidays)-1)&amp;" business day(s) late. Send now.",IF($U334="DUE TOMORROW","Next: "&amp;$AC334&amp;IF($AB334&lt;=TODAY()," is due TODAY ("," is due next business day (")&amp;TEXT($AB334,"dd-mmm")&amp;").","Next: "&amp;$AC334&amp;" due "&amp;TEXT($AB334,"dd-mmm")&amp;" ("&amp;(NETWORKDAYS(TODAY(),$AB334,Holidays)-1)&amp;" business day(s) left).")))))</f>
        <v/>
      </c>
      <c r="W334" s="17">
        <f>IF($Z334="","",CHOOSE($Z334,"Collection Email","1st Follow-up","2nd Follow-up","Local Office","CBE","Roxanne")&amp;IF($Z334=6," - Final"," - Day "&amp;MAX(0,NETWORKDAYS($AA334,TODAY(),Holidays)-1)&amp;" of "&amp;CHOOSE($Z334,3,3,2,2,3))&amp;" | Total Day "&amp;MAX(0,NETWORKDAYS($N334,TODAY(),Holidays)-1))</f>
        <v/>
      </c>
      <c r="X334" s="18"/>
      <c r="Y334" s="18"/>
      <c r="Z334" s="17">
        <f>IF($N334="","",COUNT($N334:$S334))</f>
        <v/>
      </c>
      <c r="AA334" s="19">
        <f>IF($Z334="","",INT(INDEX($N334:$S334,$Z334)))</f>
        <v/>
      </c>
      <c r="AB334" s="19">
        <f>IF(OR($Z334="",$Z334=6),"",WORKDAY($AA334,CHOOSE($Z334,3,3,2,2,3),Holidays))</f>
        <v/>
      </c>
      <c r="AC334" s="17">
        <f>IF(OR($Z334="",$Z334=6),"",CHOOSE($Z334,"1st Email Follow-up","2nd Email Follow-up","Escalate Local Office","Escalate to CBE","Escalate to Roxanne"))</f>
        <v/>
      </c>
    </row>
    <row r="335" spans="13:29">
      <c r="M335" s="14"/>
      <c r="T335" s="16"/>
      <c r="U335" s="17">
        <f>IF(AND(COUNTA($A335:$L335)=0,$N335=""),"",IF($T335="Paid","PAID",IF($T335="Closed","CLOSED",IF($Z335="","",IF($Z335=6,"ESCALATED TO ROXANNE",IF(TODAY()&gt;$AB335,"OVERDUE",IF($AB335&lt;=WORKDAY(TODAY(),1,Holidays),"DUE TOMORROW",IF($Z335=4,"ESCALATED TO LOCAL OFFICE",IF($Z335=5,"ESCALATED TO CBE",IF($AA335=TODAY(),"EMAIL SENT","MONITORING"))))))))))</f>
        <v/>
      </c>
      <c r="V335" s="17">
        <f>IF($U335="",IF(AND(COUNTA($A335:$L335)&gt;0,$N335=""),"Awaiting Collection Email time stamp.",""),IF(OR($U335="PAID",$U335="CLOSED"),IF($U335="PAID","Account paid. Action completed.","Account closed. No further action required."),CHOOSE($Z335,"Collection Email","1st Email Follow-up","2nd Email Follow-up","Escalation to Local Office","Escalation to CBE","Escalation to Roxanne")&amp;" sent "&amp;TEXT($AA335,"dd-mmm")&amp;". "&amp;IF($Z335=6,"Final escalation completed.",IF($U335="OVERDUE","Next: "&amp;$AC335&amp;" was due "&amp;TEXT($AB335,"dd-mmm")&amp;" - "&amp;(NETWORKDAYS($AB335,TODAY(),Holidays)-1)&amp;" business day(s) late. Send now.",IF($U335="DUE TOMORROW","Next: "&amp;$AC335&amp;IF($AB335&lt;=TODAY()," is due TODAY ("," is due next business day (")&amp;TEXT($AB335,"dd-mmm")&amp;").","Next: "&amp;$AC335&amp;" due "&amp;TEXT($AB335,"dd-mmm")&amp;" ("&amp;(NETWORKDAYS(TODAY(),$AB335,Holidays)-1)&amp;" business day(s) left).")))))</f>
        <v/>
      </c>
      <c r="W335" s="17">
        <f>IF($Z335="","",CHOOSE($Z335,"Collection Email","1st Follow-up","2nd Follow-up","Local Office","CBE","Roxanne")&amp;IF($Z335=6," - Final"," - Day "&amp;MAX(0,NETWORKDAYS($AA335,TODAY(),Holidays)-1)&amp;" of "&amp;CHOOSE($Z335,3,3,2,2,3))&amp;" | Total Day "&amp;MAX(0,NETWORKDAYS($N335,TODAY(),Holidays)-1))</f>
        <v/>
      </c>
      <c r="X335" s="18"/>
      <c r="Y335" s="18"/>
      <c r="Z335" s="17">
        <f>IF($N335="","",COUNT($N335:$S335))</f>
        <v/>
      </c>
      <c r="AA335" s="19">
        <f>IF($Z335="","",INT(INDEX($N335:$S335,$Z335)))</f>
        <v/>
      </c>
      <c r="AB335" s="19">
        <f>IF(OR($Z335="",$Z335=6),"",WORKDAY($AA335,CHOOSE($Z335,3,3,2,2,3),Holidays))</f>
        <v/>
      </c>
      <c r="AC335" s="17">
        <f>IF(OR($Z335="",$Z335=6),"",CHOOSE($Z335,"1st Email Follow-up","2nd Email Follow-up","Escalate Local Office","Escalate to CBE","Escalate to Roxanne"))</f>
        <v/>
      </c>
    </row>
    <row r="336" spans="13:29">
      <c r="M336" s="14"/>
      <c r="T336" s="16"/>
      <c r="U336" s="17">
        <f>IF(AND(COUNTA($A336:$L336)=0,$N336=""),"",IF($T336="Paid","PAID",IF($T336="Closed","CLOSED",IF($Z336="","",IF($Z336=6,"ESCALATED TO ROXANNE",IF(TODAY()&gt;$AB336,"OVERDUE",IF($AB336&lt;=WORKDAY(TODAY(),1,Holidays),"DUE TOMORROW",IF($Z336=4,"ESCALATED TO LOCAL OFFICE",IF($Z336=5,"ESCALATED TO CBE",IF($AA336=TODAY(),"EMAIL SENT","MONITORING"))))))))))</f>
        <v/>
      </c>
      <c r="V336" s="17">
        <f>IF($U336="",IF(AND(COUNTA($A336:$L336)&gt;0,$N336=""),"Awaiting Collection Email time stamp.",""),IF(OR($U336="PAID",$U336="CLOSED"),IF($U336="PAID","Account paid. Action completed.","Account closed. No further action required."),CHOOSE($Z336,"Collection Email","1st Email Follow-up","2nd Email Follow-up","Escalation to Local Office","Escalation to CBE","Escalation to Roxanne")&amp;" sent "&amp;TEXT($AA336,"dd-mmm")&amp;". "&amp;IF($Z336=6,"Final escalation completed.",IF($U336="OVERDUE","Next: "&amp;$AC336&amp;" was due "&amp;TEXT($AB336,"dd-mmm")&amp;" - "&amp;(NETWORKDAYS($AB336,TODAY(),Holidays)-1)&amp;" business day(s) late. Send now.",IF($U336="DUE TOMORROW","Next: "&amp;$AC336&amp;IF($AB336&lt;=TODAY()," is due TODAY ("," is due next business day (")&amp;TEXT($AB336,"dd-mmm")&amp;").","Next: "&amp;$AC336&amp;" due "&amp;TEXT($AB336,"dd-mmm")&amp;" ("&amp;(NETWORKDAYS(TODAY(),$AB336,Holidays)-1)&amp;" business day(s) left).")))))</f>
        <v/>
      </c>
      <c r="W336" s="17">
        <f>IF($Z336="","",CHOOSE($Z336,"Collection Email","1st Follow-up","2nd Follow-up","Local Office","CBE","Roxanne")&amp;IF($Z336=6," - Final"," - Day "&amp;MAX(0,NETWORKDAYS($AA336,TODAY(),Holidays)-1)&amp;" of "&amp;CHOOSE($Z336,3,3,2,2,3))&amp;" | Total Day "&amp;MAX(0,NETWORKDAYS($N336,TODAY(),Holidays)-1))</f>
        <v/>
      </c>
      <c r="X336" s="18"/>
      <c r="Y336" s="18"/>
      <c r="Z336" s="17">
        <f>IF($N336="","",COUNT($N336:$S336))</f>
        <v/>
      </c>
      <c r="AA336" s="19">
        <f>IF($Z336="","",INT(INDEX($N336:$S336,$Z336)))</f>
        <v/>
      </c>
      <c r="AB336" s="19">
        <f>IF(OR($Z336="",$Z336=6),"",WORKDAY($AA336,CHOOSE($Z336,3,3,2,2,3),Holidays))</f>
        <v/>
      </c>
      <c r="AC336" s="17">
        <f>IF(OR($Z336="",$Z336=6),"",CHOOSE($Z336,"1st Email Follow-up","2nd Email Follow-up","Escalate Local Office","Escalate to CBE","Escalate to Roxanne"))</f>
        <v/>
      </c>
    </row>
    <row r="337" spans="13:29">
      <c r="M337" s="14"/>
      <c r="T337" s="16"/>
      <c r="U337" s="17">
        <f>IF(AND(COUNTA($A337:$L337)=0,$N337=""),"",IF($T337="Paid","PAID",IF($T337="Closed","CLOSED",IF($Z337="","",IF($Z337=6,"ESCALATED TO ROXANNE",IF(TODAY()&gt;$AB337,"OVERDUE",IF($AB337&lt;=WORKDAY(TODAY(),1,Holidays),"DUE TOMORROW",IF($Z337=4,"ESCALATED TO LOCAL OFFICE",IF($Z337=5,"ESCALATED TO CBE",IF($AA337=TODAY(),"EMAIL SENT","MONITORING"))))))))))</f>
        <v/>
      </c>
      <c r="V337" s="17">
        <f>IF($U337="",IF(AND(COUNTA($A337:$L337)&gt;0,$N337=""),"Awaiting Collection Email time stamp.",""),IF(OR($U337="PAID",$U337="CLOSED"),IF($U337="PAID","Account paid. Action completed.","Account closed. No further action required."),CHOOSE($Z337,"Collection Email","1st Email Follow-up","2nd Email Follow-up","Escalation to Local Office","Escalation to CBE","Escalation to Roxanne")&amp;" sent "&amp;TEXT($AA337,"dd-mmm")&amp;". "&amp;IF($Z337=6,"Final escalation completed.",IF($U337="OVERDUE","Next: "&amp;$AC337&amp;" was due "&amp;TEXT($AB337,"dd-mmm")&amp;" - "&amp;(NETWORKDAYS($AB337,TODAY(),Holidays)-1)&amp;" business day(s) late. Send now.",IF($U337="DUE TOMORROW","Next: "&amp;$AC337&amp;IF($AB337&lt;=TODAY()," is due TODAY ("," is due next business day (")&amp;TEXT($AB337,"dd-mmm")&amp;").","Next: "&amp;$AC337&amp;" due "&amp;TEXT($AB337,"dd-mmm")&amp;" ("&amp;(NETWORKDAYS(TODAY(),$AB337,Holidays)-1)&amp;" business day(s) left).")))))</f>
        <v/>
      </c>
      <c r="W337" s="17">
        <f>IF($Z337="","",CHOOSE($Z337,"Collection Email","1st Follow-up","2nd Follow-up","Local Office","CBE","Roxanne")&amp;IF($Z337=6," - Final"," - Day "&amp;MAX(0,NETWORKDAYS($AA337,TODAY(),Holidays)-1)&amp;" of "&amp;CHOOSE($Z337,3,3,2,2,3))&amp;" | Total Day "&amp;MAX(0,NETWORKDAYS($N337,TODAY(),Holidays)-1))</f>
        <v/>
      </c>
      <c r="X337" s="18"/>
      <c r="Y337" s="18"/>
      <c r="Z337" s="17">
        <f>IF($N337="","",COUNT($N337:$S337))</f>
        <v/>
      </c>
      <c r="AA337" s="19">
        <f>IF($Z337="","",INT(INDEX($N337:$S337,$Z337)))</f>
        <v/>
      </c>
      <c r="AB337" s="19">
        <f>IF(OR($Z337="",$Z337=6),"",WORKDAY($AA337,CHOOSE($Z337,3,3,2,2,3),Holidays))</f>
        <v/>
      </c>
      <c r="AC337" s="17">
        <f>IF(OR($Z337="",$Z337=6),"",CHOOSE($Z337,"1st Email Follow-up","2nd Email Follow-up","Escalate Local Office","Escalate to CBE","Escalate to Roxanne"))</f>
        <v/>
      </c>
    </row>
    <row r="338" spans="13:29">
      <c r="M338" s="14"/>
      <c r="T338" s="16"/>
      <c r="U338" s="17">
        <f>IF(AND(COUNTA($A338:$L338)=0,$N338=""),"",IF($T338="Paid","PAID",IF($T338="Closed","CLOSED",IF($Z338="","",IF($Z338=6,"ESCALATED TO ROXANNE",IF(TODAY()&gt;$AB338,"OVERDUE",IF($AB338&lt;=WORKDAY(TODAY(),1,Holidays),"DUE TOMORROW",IF($Z338=4,"ESCALATED TO LOCAL OFFICE",IF($Z338=5,"ESCALATED TO CBE",IF($AA338=TODAY(),"EMAIL SENT","MONITORING"))))))))))</f>
        <v/>
      </c>
      <c r="V338" s="17">
        <f>IF($U338="",IF(AND(COUNTA($A338:$L338)&gt;0,$N338=""),"Awaiting Collection Email time stamp.",""),IF(OR($U338="PAID",$U338="CLOSED"),IF($U338="PAID","Account paid. Action completed.","Account closed. No further action required."),CHOOSE($Z338,"Collection Email","1st Email Follow-up","2nd Email Follow-up","Escalation to Local Office","Escalation to CBE","Escalation to Roxanne")&amp;" sent "&amp;TEXT($AA338,"dd-mmm")&amp;". "&amp;IF($Z338=6,"Final escalation completed.",IF($U338="OVERDUE","Next: "&amp;$AC338&amp;" was due "&amp;TEXT($AB338,"dd-mmm")&amp;" - "&amp;(NETWORKDAYS($AB338,TODAY(),Holidays)-1)&amp;" business day(s) late. Send now.",IF($U338="DUE TOMORROW","Next: "&amp;$AC338&amp;IF($AB338&lt;=TODAY()," is due TODAY ("," is due next business day (")&amp;TEXT($AB338,"dd-mmm")&amp;").","Next: "&amp;$AC338&amp;" due "&amp;TEXT($AB338,"dd-mmm")&amp;" ("&amp;(NETWORKDAYS(TODAY(),$AB338,Holidays)-1)&amp;" business day(s) left).")))))</f>
        <v/>
      </c>
      <c r="W338" s="17">
        <f>IF($Z338="","",CHOOSE($Z338,"Collection Email","1st Follow-up","2nd Follow-up","Local Office","CBE","Roxanne")&amp;IF($Z338=6," - Final"," - Day "&amp;MAX(0,NETWORKDAYS($AA338,TODAY(),Holidays)-1)&amp;" of "&amp;CHOOSE($Z338,3,3,2,2,3))&amp;" | Total Day "&amp;MAX(0,NETWORKDAYS($N338,TODAY(),Holidays)-1))</f>
        <v/>
      </c>
      <c r="X338" s="18"/>
      <c r="Y338" s="18"/>
      <c r="Z338" s="17">
        <f>IF($N338="","",COUNT($N338:$S338))</f>
        <v/>
      </c>
      <c r="AA338" s="19">
        <f>IF($Z338="","",INT(INDEX($N338:$S338,$Z338)))</f>
        <v/>
      </c>
      <c r="AB338" s="19">
        <f>IF(OR($Z338="",$Z338=6),"",WORKDAY($AA338,CHOOSE($Z338,3,3,2,2,3),Holidays))</f>
        <v/>
      </c>
      <c r="AC338" s="17">
        <f>IF(OR($Z338="",$Z338=6),"",CHOOSE($Z338,"1st Email Follow-up","2nd Email Follow-up","Escalate Local Office","Escalate to CBE","Escalate to Roxanne"))</f>
        <v/>
      </c>
    </row>
    <row r="339" spans="13:29">
      <c r="M339" s="14"/>
      <c r="T339" s="16"/>
      <c r="U339" s="17">
        <f>IF(AND(COUNTA($A339:$L339)=0,$N339=""),"",IF($T339="Paid","PAID",IF($T339="Closed","CLOSED",IF($Z339="","",IF($Z339=6,"ESCALATED TO ROXANNE",IF(TODAY()&gt;$AB339,"OVERDUE",IF($AB339&lt;=WORKDAY(TODAY(),1,Holidays),"DUE TOMORROW",IF($Z339=4,"ESCALATED TO LOCAL OFFICE",IF($Z339=5,"ESCALATED TO CBE",IF($AA339=TODAY(),"EMAIL SENT","MONITORING"))))))))))</f>
        <v/>
      </c>
      <c r="V339" s="17">
        <f>IF($U339="",IF(AND(COUNTA($A339:$L339)&gt;0,$N339=""),"Awaiting Collection Email time stamp.",""),IF(OR($U339="PAID",$U339="CLOSED"),IF($U339="PAID","Account paid. Action completed.","Account closed. No further action required."),CHOOSE($Z339,"Collection Email","1st Email Follow-up","2nd Email Follow-up","Escalation to Local Office","Escalation to CBE","Escalation to Roxanne")&amp;" sent "&amp;TEXT($AA339,"dd-mmm")&amp;". "&amp;IF($Z339=6,"Final escalation completed.",IF($U339="OVERDUE","Next: "&amp;$AC339&amp;" was due "&amp;TEXT($AB339,"dd-mmm")&amp;" - "&amp;(NETWORKDAYS($AB339,TODAY(),Holidays)-1)&amp;" business day(s) late. Send now.",IF($U339="DUE TOMORROW","Next: "&amp;$AC339&amp;IF($AB339&lt;=TODAY()," is due TODAY ("," is due next business day (")&amp;TEXT($AB339,"dd-mmm")&amp;").","Next: "&amp;$AC339&amp;" due "&amp;TEXT($AB339,"dd-mmm")&amp;" ("&amp;(NETWORKDAYS(TODAY(),$AB339,Holidays)-1)&amp;" business day(s) left).")))))</f>
        <v/>
      </c>
      <c r="W339" s="17">
        <f>IF($Z339="","",CHOOSE($Z339,"Collection Email","1st Follow-up","2nd Follow-up","Local Office","CBE","Roxanne")&amp;IF($Z339=6," - Final"," - Day "&amp;MAX(0,NETWORKDAYS($AA339,TODAY(),Holidays)-1)&amp;" of "&amp;CHOOSE($Z339,3,3,2,2,3))&amp;" | Total Day "&amp;MAX(0,NETWORKDAYS($N339,TODAY(),Holidays)-1))</f>
        <v/>
      </c>
      <c r="X339" s="18"/>
      <c r="Y339" s="18"/>
      <c r="Z339" s="17">
        <f>IF($N339="","",COUNT($N339:$S339))</f>
        <v/>
      </c>
      <c r="AA339" s="19">
        <f>IF($Z339="","",INT(INDEX($N339:$S339,$Z339)))</f>
        <v/>
      </c>
      <c r="AB339" s="19">
        <f>IF(OR($Z339="",$Z339=6),"",WORKDAY($AA339,CHOOSE($Z339,3,3,2,2,3),Holidays))</f>
        <v/>
      </c>
      <c r="AC339" s="17">
        <f>IF(OR($Z339="",$Z339=6),"",CHOOSE($Z339,"1st Email Follow-up","2nd Email Follow-up","Escalate Local Office","Escalate to CBE","Escalate to Roxanne"))</f>
        <v/>
      </c>
    </row>
    <row r="340" spans="13:29">
      <c r="M340" s="14"/>
      <c r="T340" s="16"/>
      <c r="U340" s="17">
        <f>IF(AND(COUNTA($A340:$L340)=0,$N340=""),"",IF($T340="Paid","PAID",IF($T340="Closed","CLOSED",IF($Z340="","",IF($Z340=6,"ESCALATED TO ROXANNE",IF(TODAY()&gt;$AB340,"OVERDUE",IF($AB340&lt;=WORKDAY(TODAY(),1,Holidays),"DUE TOMORROW",IF($Z340=4,"ESCALATED TO LOCAL OFFICE",IF($Z340=5,"ESCALATED TO CBE",IF($AA340=TODAY(),"EMAIL SENT","MONITORING"))))))))))</f>
        <v/>
      </c>
      <c r="V340" s="17">
        <f>IF($U340="",IF(AND(COUNTA($A340:$L340)&gt;0,$N340=""),"Awaiting Collection Email time stamp.",""),IF(OR($U340="PAID",$U340="CLOSED"),IF($U340="PAID","Account paid. Action completed.","Account closed. No further action required."),CHOOSE($Z340,"Collection Email","1st Email Follow-up","2nd Email Follow-up","Escalation to Local Office","Escalation to CBE","Escalation to Roxanne")&amp;" sent "&amp;TEXT($AA340,"dd-mmm")&amp;". "&amp;IF($Z340=6,"Final escalation completed.",IF($U340="OVERDUE","Next: "&amp;$AC340&amp;" was due "&amp;TEXT($AB340,"dd-mmm")&amp;" - "&amp;(NETWORKDAYS($AB340,TODAY(),Holidays)-1)&amp;" business day(s) late. Send now.",IF($U340="DUE TOMORROW","Next: "&amp;$AC340&amp;IF($AB340&lt;=TODAY()," is due TODAY ("," is due next business day (")&amp;TEXT($AB340,"dd-mmm")&amp;").","Next: "&amp;$AC340&amp;" due "&amp;TEXT($AB340,"dd-mmm")&amp;" ("&amp;(NETWORKDAYS(TODAY(),$AB340,Holidays)-1)&amp;" business day(s) left).")))))</f>
        <v/>
      </c>
      <c r="W340" s="17">
        <f>IF($Z340="","",CHOOSE($Z340,"Collection Email","1st Follow-up","2nd Follow-up","Local Office","CBE","Roxanne")&amp;IF($Z340=6," - Final"," - Day "&amp;MAX(0,NETWORKDAYS($AA340,TODAY(),Holidays)-1)&amp;" of "&amp;CHOOSE($Z340,3,3,2,2,3))&amp;" | Total Day "&amp;MAX(0,NETWORKDAYS($N340,TODAY(),Holidays)-1))</f>
        <v/>
      </c>
      <c r="X340" s="18"/>
      <c r="Y340" s="18"/>
      <c r="Z340" s="17">
        <f>IF($N340="","",COUNT($N340:$S340))</f>
        <v/>
      </c>
      <c r="AA340" s="19">
        <f>IF($Z340="","",INT(INDEX($N340:$S340,$Z340)))</f>
        <v/>
      </c>
      <c r="AB340" s="19">
        <f>IF(OR($Z340="",$Z340=6),"",WORKDAY($AA340,CHOOSE($Z340,3,3,2,2,3),Holidays))</f>
        <v/>
      </c>
      <c r="AC340" s="17">
        <f>IF(OR($Z340="",$Z340=6),"",CHOOSE($Z340,"1st Email Follow-up","2nd Email Follow-up","Escalate Local Office","Escalate to CBE","Escalate to Roxanne"))</f>
        <v/>
      </c>
    </row>
    <row r="341" spans="13:29">
      <c r="M341" s="14"/>
      <c r="T341" s="16"/>
      <c r="U341" s="17">
        <f>IF(AND(COUNTA($A341:$L341)=0,$N341=""),"",IF($T341="Paid","PAID",IF($T341="Closed","CLOSED",IF($Z341="","",IF($Z341=6,"ESCALATED TO ROXANNE",IF(TODAY()&gt;$AB341,"OVERDUE",IF($AB341&lt;=WORKDAY(TODAY(),1,Holidays),"DUE TOMORROW",IF($Z341=4,"ESCALATED TO LOCAL OFFICE",IF($Z341=5,"ESCALATED TO CBE",IF($AA341=TODAY(),"EMAIL SENT","MONITORING"))))))))))</f>
        <v/>
      </c>
      <c r="V341" s="17">
        <f>IF($U341="",IF(AND(COUNTA($A341:$L341)&gt;0,$N341=""),"Awaiting Collection Email time stamp.",""),IF(OR($U341="PAID",$U341="CLOSED"),IF($U341="PAID","Account paid. Action completed.","Account closed. No further action required."),CHOOSE($Z341,"Collection Email","1st Email Follow-up","2nd Email Follow-up","Escalation to Local Office","Escalation to CBE","Escalation to Roxanne")&amp;" sent "&amp;TEXT($AA341,"dd-mmm")&amp;". "&amp;IF($Z341=6,"Final escalation completed.",IF($U341="OVERDUE","Next: "&amp;$AC341&amp;" was due "&amp;TEXT($AB341,"dd-mmm")&amp;" - "&amp;(NETWORKDAYS($AB341,TODAY(),Holidays)-1)&amp;" business day(s) late. Send now.",IF($U341="DUE TOMORROW","Next: "&amp;$AC341&amp;IF($AB341&lt;=TODAY()," is due TODAY ("," is due next business day (")&amp;TEXT($AB341,"dd-mmm")&amp;").","Next: "&amp;$AC341&amp;" due "&amp;TEXT($AB341,"dd-mmm")&amp;" ("&amp;(NETWORKDAYS(TODAY(),$AB341,Holidays)-1)&amp;" business day(s) left).")))))</f>
        <v/>
      </c>
      <c r="W341" s="17">
        <f>IF($Z341="","",CHOOSE($Z341,"Collection Email","1st Follow-up","2nd Follow-up","Local Office","CBE","Roxanne")&amp;IF($Z341=6," - Final"," - Day "&amp;MAX(0,NETWORKDAYS($AA341,TODAY(),Holidays)-1)&amp;" of "&amp;CHOOSE($Z341,3,3,2,2,3))&amp;" | Total Day "&amp;MAX(0,NETWORKDAYS($N341,TODAY(),Holidays)-1))</f>
        <v/>
      </c>
      <c r="X341" s="18"/>
      <c r="Y341" s="18"/>
      <c r="Z341" s="17">
        <f>IF($N341="","",COUNT($N341:$S341))</f>
        <v/>
      </c>
      <c r="AA341" s="19">
        <f>IF($Z341="","",INT(INDEX($N341:$S341,$Z341)))</f>
        <v/>
      </c>
      <c r="AB341" s="19">
        <f>IF(OR($Z341="",$Z341=6),"",WORKDAY($AA341,CHOOSE($Z341,3,3,2,2,3),Holidays))</f>
        <v/>
      </c>
      <c r="AC341" s="17">
        <f>IF(OR($Z341="",$Z341=6),"",CHOOSE($Z341,"1st Email Follow-up","2nd Email Follow-up","Escalate Local Office","Escalate to CBE","Escalate to Roxanne"))</f>
        <v/>
      </c>
    </row>
    <row r="342" spans="13:29">
      <c r="M342" s="14"/>
      <c r="T342" s="16"/>
      <c r="U342" s="17">
        <f>IF(AND(COUNTA($A342:$L342)=0,$N342=""),"",IF($T342="Paid","PAID",IF($T342="Closed","CLOSED",IF($Z342="","",IF($Z342=6,"ESCALATED TO ROXANNE",IF(TODAY()&gt;$AB342,"OVERDUE",IF($AB342&lt;=WORKDAY(TODAY(),1,Holidays),"DUE TOMORROW",IF($Z342=4,"ESCALATED TO LOCAL OFFICE",IF($Z342=5,"ESCALATED TO CBE",IF($AA342=TODAY(),"EMAIL SENT","MONITORING"))))))))))</f>
        <v/>
      </c>
      <c r="V342" s="17">
        <f>IF($U342="",IF(AND(COUNTA($A342:$L342)&gt;0,$N342=""),"Awaiting Collection Email time stamp.",""),IF(OR($U342="PAID",$U342="CLOSED"),IF($U342="PAID","Account paid. Action completed.","Account closed. No further action required."),CHOOSE($Z342,"Collection Email","1st Email Follow-up","2nd Email Follow-up","Escalation to Local Office","Escalation to CBE","Escalation to Roxanne")&amp;" sent "&amp;TEXT($AA342,"dd-mmm")&amp;". "&amp;IF($Z342=6,"Final escalation completed.",IF($U342="OVERDUE","Next: "&amp;$AC342&amp;" was due "&amp;TEXT($AB342,"dd-mmm")&amp;" - "&amp;(NETWORKDAYS($AB342,TODAY(),Holidays)-1)&amp;" business day(s) late. Send now.",IF($U342="DUE TOMORROW","Next: "&amp;$AC342&amp;IF($AB342&lt;=TODAY()," is due TODAY ("," is due next business day (")&amp;TEXT($AB342,"dd-mmm")&amp;").","Next: "&amp;$AC342&amp;" due "&amp;TEXT($AB342,"dd-mmm")&amp;" ("&amp;(NETWORKDAYS(TODAY(),$AB342,Holidays)-1)&amp;" business day(s) left).")))))</f>
        <v/>
      </c>
      <c r="W342" s="17">
        <f>IF($Z342="","",CHOOSE($Z342,"Collection Email","1st Follow-up","2nd Follow-up","Local Office","CBE","Roxanne")&amp;IF($Z342=6," - Final"," - Day "&amp;MAX(0,NETWORKDAYS($AA342,TODAY(),Holidays)-1)&amp;" of "&amp;CHOOSE($Z342,3,3,2,2,3))&amp;" | Total Day "&amp;MAX(0,NETWORKDAYS($N342,TODAY(),Holidays)-1))</f>
        <v/>
      </c>
      <c r="X342" s="18"/>
      <c r="Y342" s="18"/>
      <c r="Z342" s="17">
        <f>IF($N342="","",COUNT($N342:$S342))</f>
        <v/>
      </c>
      <c r="AA342" s="19">
        <f>IF($Z342="","",INT(INDEX($N342:$S342,$Z342)))</f>
        <v/>
      </c>
      <c r="AB342" s="19">
        <f>IF(OR($Z342="",$Z342=6),"",WORKDAY($AA342,CHOOSE($Z342,3,3,2,2,3),Holidays))</f>
        <v/>
      </c>
      <c r="AC342" s="17">
        <f>IF(OR($Z342="",$Z342=6),"",CHOOSE($Z342,"1st Email Follow-up","2nd Email Follow-up","Escalate Local Office","Escalate to CBE","Escalate to Roxanne"))</f>
        <v/>
      </c>
    </row>
    <row r="343" spans="13:29">
      <c r="M343" s="14"/>
      <c r="T343" s="16"/>
      <c r="U343" s="17">
        <f>IF(AND(COUNTA($A343:$L343)=0,$N343=""),"",IF($T343="Paid","PAID",IF($T343="Closed","CLOSED",IF($Z343="","",IF($Z343=6,"ESCALATED TO ROXANNE",IF(TODAY()&gt;$AB343,"OVERDUE",IF($AB343&lt;=WORKDAY(TODAY(),1,Holidays),"DUE TOMORROW",IF($Z343=4,"ESCALATED TO LOCAL OFFICE",IF($Z343=5,"ESCALATED TO CBE",IF($AA343=TODAY(),"EMAIL SENT","MONITORING"))))))))))</f>
        <v/>
      </c>
      <c r="V343" s="17">
        <f>IF($U343="",IF(AND(COUNTA($A343:$L343)&gt;0,$N343=""),"Awaiting Collection Email time stamp.",""),IF(OR($U343="PAID",$U343="CLOSED"),IF($U343="PAID","Account paid. Action completed.","Account closed. No further action required."),CHOOSE($Z343,"Collection Email","1st Email Follow-up","2nd Email Follow-up","Escalation to Local Office","Escalation to CBE","Escalation to Roxanne")&amp;" sent "&amp;TEXT($AA343,"dd-mmm")&amp;". "&amp;IF($Z343=6,"Final escalation completed.",IF($U343="OVERDUE","Next: "&amp;$AC343&amp;" was due "&amp;TEXT($AB343,"dd-mmm")&amp;" - "&amp;(NETWORKDAYS($AB343,TODAY(),Holidays)-1)&amp;" business day(s) late. Send now.",IF($U343="DUE TOMORROW","Next: "&amp;$AC343&amp;IF($AB343&lt;=TODAY()," is due TODAY ("," is due next business day (")&amp;TEXT($AB343,"dd-mmm")&amp;").","Next: "&amp;$AC343&amp;" due "&amp;TEXT($AB343,"dd-mmm")&amp;" ("&amp;(NETWORKDAYS(TODAY(),$AB343,Holidays)-1)&amp;" business day(s) left).")))))</f>
        <v/>
      </c>
      <c r="W343" s="17">
        <f>IF($Z343="","",CHOOSE($Z343,"Collection Email","1st Follow-up","2nd Follow-up","Local Office","CBE","Roxanne")&amp;IF($Z343=6," - Final"," - Day "&amp;MAX(0,NETWORKDAYS($AA343,TODAY(),Holidays)-1)&amp;" of "&amp;CHOOSE($Z343,3,3,2,2,3))&amp;" | Total Day "&amp;MAX(0,NETWORKDAYS($N343,TODAY(),Holidays)-1))</f>
        <v/>
      </c>
      <c r="X343" s="18"/>
      <c r="Y343" s="18"/>
      <c r="Z343" s="17">
        <f>IF($N343="","",COUNT($N343:$S343))</f>
        <v/>
      </c>
      <c r="AA343" s="19">
        <f>IF($Z343="","",INT(INDEX($N343:$S343,$Z343)))</f>
        <v/>
      </c>
      <c r="AB343" s="19">
        <f>IF(OR($Z343="",$Z343=6),"",WORKDAY($AA343,CHOOSE($Z343,3,3,2,2,3),Holidays))</f>
        <v/>
      </c>
      <c r="AC343" s="17">
        <f>IF(OR($Z343="",$Z343=6),"",CHOOSE($Z343,"1st Email Follow-up","2nd Email Follow-up","Escalate Local Office","Escalate to CBE","Escalate to Roxanne"))</f>
        <v/>
      </c>
    </row>
    <row r="344" spans="13:29">
      <c r="M344" s="14"/>
      <c r="T344" s="16"/>
      <c r="U344" s="17">
        <f>IF(AND(COUNTA($A344:$L344)=0,$N344=""),"",IF($T344="Paid","PAID",IF($T344="Closed","CLOSED",IF($Z344="","",IF($Z344=6,"ESCALATED TO ROXANNE",IF(TODAY()&gt;$AB344,"OVERDUE",IF($AB344&lt;=WORKDAY(TODAY(),1,Holidays),"DUE TOMORROW",IF($Z344=4,"ESCALATED TO LOCAL OFFICE",IF($Z344=5,"ESCALATED TO CBE",IF($AA344=TODAY(),"EMAIL SENT","MONITORING"))))))))))</f>
        <v/>
      </c>
      <c r="V344" s="17">
        <f>IF($U344="",IF(AND(COUNTA($A344:$L344)&gt;0,$N344=""),"Awaiting Collection Email time stamp.",""),IF(OR($U344="PAID",$U344="CLOSED"),IF($U344="PAID","Account paid. Action completed.","Account closed. No further action required."),CHOOSE($Z344,"Collection Email","1st Email Follow-up","2nd Email Follow-up","Escalation to Local Office","Escalation to CBE","Escalation to Roxanne")&amp;" sent "&amp;TEXT($AA344,"dd-mmm")&amp;". "&amp;IF($Z344=6,"Final escalation completed.",IF($U344="OVERDUE","Next: "&amp;$AC344&amp;" was due "&amp;TEXT($AB344,"dd-mmm")&amp;" - "&amp;(NETWORKDAYS($AB344,TODAY(),Holidays)-1)&amp;" business day(s) late. Send now.",IF($U344="DUE TOMORROW","Next: "&amp;$AC344&amp;IF($AB344&lt;=TODAY()," is due TODAY ("," is due next business day (")&amp;TEXT($AB344,"dd-mmm")&amp;").","Next: "&amp;$AC344&amp;" due "&amp;TEXT($AB344,"dd-mmm")&amp;" ("&amp;(NETWORKDAYS(TODAY(),$AB344,Holidays)-1)&amp;" business day(s) left).")))))</f>
        <v/>
      </c>
      <c r="W344" s="17">
        <f>IF($Z344="","",CHOOSE($Z344,"Collection Email","1st Follow-up","2nd Follow-up","Local Office","CBE","Roxanne")&amp;IF($Z344=6," - Final"," - Day "&amp;MAX(0,NETWORKDAYS($AA344,TODAY(),Holidays)-1)&amp;" of "&amp;CHOOSE($Z344,3,3,2,2,3))&amp;" | Total Day "&amp;MAX(0,NETWORKDAYS($N344,TODAY(),Holidays)-1))</f>
        <v/>
      </c>
      <c r="X344" s="18"/>
      <c r="Y344" s="18"/>
      <c r="Z344" s="17">
        <f>IF($N344="","",COUNT($N344:$S344))</f>
        <v/>
      </c>
      <c r="AA344" s="19">
        <f>IF($Z344="","",INT(INDEX($N344:$S344,$Z344)))</f>
        <v/>
      </c>
      <c r="AB344" s="19">
        <f>IF(OR($Z344="",$Z344=6),"",WORKDAY($AA344,CHOOSE($Z344,3,3,2,2,3),Holidays))</f>
        <v/>
      </c>
      <c r="AC344" s="17">
        <f>IF(OR($Z344="",$Z344=6),"",CHOOSE($Z344,"1st Email Follow-up","2nd Email Follow-up","Escalate Local Office","Escalate to CBE","Escalate to Roxanne"))</f>
        <v/>
      </c>
    </row>
    <row r="345" spans="13:29">
      <c r="M345" s="14"/>
      <c r="T345" s="16"/>
      <c r="U345" s="17">
        <f>IF(AND(COUNTA($A345:$L345)=0,$N345=""),"",IF($T345="Paid","PAID",IF($T345="Closed","CLOSED",IF($Z345="","",IF($Z345=6,"ESCALATED TO ROXANNE",IF(TODAY()&gt;$AB345,"OVERDUE",IF($AB345&lt;=WORKDAY(TODAY(),1,Holidays),"DUE TOMORROW",IF($Z345=4,"ESCALATED TO LOCAL OFFICE",IF($Z345=5,"ESCALATED TO CBE",IF($AA345=TODAY(),"EMAIL SENT","MONITORING"))))))))))</f>
        <v/>
      </c>
      <c r="V345" s="17">
        <f>IF($U345="",IF(AND(COUNTA($A345:$L345)&gt;0,$N345=""),"Awaiting Collection Email time stamp.",""),IF(OR($U345="PAID",$U345="CLOSED"),IF($U345="PAID","Account paid. Action completed.","Account closed. No further action required."),CHOOSE($Z345,"Collection Email","1st Email Follow-up","2nd Email Follow-up","Escalation to Local Office","Escalation to CBE","Escalation to Roxanne")&amp;" sent "&amp;TEXT($AA345,"dd-mmm")&amp;". "&amp;IF($Z345=6,"Final escalation completed.",IF($U345="OVERDUE","Next: "&amp;$AC345&amp;" was due "&amp;TEXT($AB345,"dd-mmm")&amp;" - "&amp;(NETWORKDAYS($AB345,TODAY(),Holidays)-1)&amp;" business day(s) late. Send now.",IF($U345="DUE TOMORROW","Next: "&amp;$AC345&amp;IF($AB345&lt;=TODAY()," is due TODAY ("," is due next business day (")&amp;TEXT($AB345,"dd-mmm")&amp;").","Next: "&amp;$AC345&amp;" due "&amp;TEXT($AB345,"dd-mmm")&amp;" ("&amp;(NETWORKDAYS(TODAY(),$AB345,Holidays)-1)&amp;" business day(s) left).")))))</f>
        <v/>
      </c>
      <c r="W345" s="17">
        <f>IF($Z345="","",CHOOSE($Z345,"Collection Email","1st Follow-up","2nd Follow-up","Local Office","CBE","Roxanne")&amp;IF($Z345=6," - Final"," - Day "&amp;MAX(0,NETWORKDAYS($AA345,TODAY(),Holidays)-1)&amp;" of "&amp;CHOOSE($Z345,3,3,2,2,3))&amp;" | Total Day "&amp;MAX(0,NETWORKDAYS($N345,TODAY(),Holidays)-1))</f>
        <v/>
      </c>
      <c r="X345" s="18"/>
      <c r="Y345" s="18"/>
      <c r="Z345" s="17">
        <f>IF($N345="","",COUNT($N345:$S345))</f>
        <v/>
      </c>
      <c r="AA345" s="19">
        <f>IF($Z345="","",INT(INDEX($N345:$S345,$Z345)))</f>
        <v/>
      </c>
      <c r="AB345" s="19">
        <f>IF(OR($Z345="",$Z345=6),"",WORKDAY($AA345,CHOOSE($Z345,3,3,2,2,3),Holidays))</f>
        <v/>
      </c>
      <c r="AC345" s="17">
        <f>IF(OR($Z345="",$Z345=6),"",CHOOSE($Z345,"1st Email Follow-up","2nd Email Follow-up","Escalate Local Office","Escalate to CBE","Escalate to Roxanne"))</f>
        <v/>
      </c>
    </row>
    <row r="346" spans="13:29">
      <c r="M346" s="14"/>
      <c r="T346" s="16"/>
      <c r="U346" s="17">
        <f>IF(AND(COUNTA($A346:$L346)=0,$N346=""),"",IF($T346="Paid","PAID",IF($T346="Closed","CLOSED",IF($Z346="","",IF($Z346=6,"ESCALATED TO ROXANNE",IF(TODAY()&gt;$AB346,"OVERDUE",IF($AB346&lt;=WORKDAY(TODAY(),1,Holidays),"DUE TOMORROW",IF($Z346=4,"ESCALATED TO LOCAL OFFICE",IF($Z346=5,"ESCALATED TO CBE",IF($AA346=TODAY(),"EMAIL SENT","MONITORING"))))))))))</f>
        <v/>
      </c>
      <c r="V346" s="17">
        <f>IF($U346="",IF(AND(COUNTA($A346:$L346)&gt;0,$N346=""),"Awaiting Collection Email time stamp.",""),IF(OR($U346="PAID",$U346="CLOSED"),IF($U346="PAID","Account paid. Action completed.","Account closed. No further action required."),CHOOSE($Z346,"Collection Email","1st Email Follow-up","2nd Email Follow-up","Escalation to Local Office","Escalation to CBE","Escalation to Roxanne")&amp;" sent "&amp;TEXT($AA346,"dd-mmm")&amp;". "&amp;IF($Z346=6,"Final escalation completed.",IF($U346="OVERDUE","Next: "&amp;$AC346&amp;" was due "&amp;TEXT($AB346,"dd-mmm")&amp;" - "&amp;(NETWORKDAYS($AB346,TODAY(),Holidays)-1)&amp;" business day(s) late. Send now.",IF($U346="DUE TOMORROW","Next: "&amp;$AC346&amp;IF($AB346&lt;=TODAY()," is due TODAY ("," is due next business day (")&amp;TEXT($AB346,"dd-mmm")&amp;").","Next: "&amp;$AC346&amp;" due "&amp;TEXT($AB346,"dd-mmm")&amp;" ("&amp;(NETWORKDAYS(TODAY(),$AB346,Holidays)-1)&amp;" business day(s) left).")))))</f>
        <v/>
      </c>
      <c r="W346" s="17">
        <f>IF($Z346="","",CHOOSE($Z346,"Collection Email","1st Follow-up","2nd Follow-up","Local Office","CBE","Roxanne")&amp;IF($Z346=6," - Final"," - Day "&amp;MAX(0,NETWORKDAYS($AA346,TODAY(),Holidays)-1)&amp;" of "&amp;CHOOSE($Z346,3,3,2,2,3))&amp;" | Total Day "&amp;MAX(0,NETWORKDAYS($N346,TODAY(),Holidays)-1))</f>
        <v/>
      </c>
      <c r="X346" s="18"/>
      <c r="Y346" s="18"/>
      <c r="Z346" s="17">
        <f>IF($N346="","",COUNT($N346:$S346))</f>
        <v/>
      </c>
      <c r="AA346" s="19">
        <f>IF($Z346="","",INT(INDEX($N346:$S346,$Z346)))</f>
        <v/>
      </c>
      <c r="AB346" s="19">
        <f>IF(OR($Z346="",$Z346=6),"",WORKDAY($AA346,CHOOSE($Z346,3,3,2,2,3),Holidays))</f>
        <v/>
      </c>
      <c r="AC346" s="17">
        <f>IF(OR($Z346="",$Z346=6),"",CHOOSE($Z346,"1st Email Follow-up","2nd Email Follow-up","Escalate Local Office","Escalate to CBE","Escalate to Roxanne"))</f>
        <v/>
      </c>
    </row>
    <row r="347" spans="13:29">
      <c r="M347" s="14"/>
      <c r="T347" s="16"/>
      <c r="U347" s="17">
        <f>IF(AND(COUNTA($A347:$L347)=0,$N347=""),"",IF($T347="Paid","PAID",IF($T347="Closed","CLOSED",IF($Z347="","",IF($Z347=6,"ESCALATED TO ROXANNE",IF(TODAY()&gt;$AB347,"OVERDUE",IF($AB347&lt;=WORKDAY(TODAY(),1,Holidays),"DUE TOMORROW",IF($Z347=4,"ESCALATED TO LOCAL OFFICE",IF($Z347=5,"ESCALATED TO CBE",IF($AA347=TODAY(),"EMAIL SENT","MONITORING"))))))))))</f>
        <v/>
      </c>
      <c r="V347" s="17">
        <f>IF($U347="",IF(AND(COUNTA($A347:$L347)&gt;0,$N347=""),"Awaiting Collection Email time stamp.",""),IF(OR($U347="PAID",$U347="CLOSED"),IF($U347="PAID","Account paid. Action completed.","Account closed. No further action required."),CHOOSE($Z347,"Collection Email","1st Email Follow-up","2nd Email Follow-up","Escalation to Local Office","Escalation to CBE","Escalation to Roxanne")&amp;" sent "&amp;TEXT($AA347,"dd-mmm")&amp;". "&amp;IF($Z347=6,"Final escalation completed.",IF($U347="OVERDUE","Next: "&amp;$AC347&amp;" was due "&amp;TEXT($AB347,"dd-mmm")&amp;" - "&amp;(NETWORKDAYS($AB347,TODAY(),Holidays)-1)&amp;" business day(s) late. Send now.",IF($U347="DUE TOMORROW","Next: "&amp;$AC347&amp;IF($AB347&lt;=TODAY()," is due TODAY ("," is due next business day (")&amp;TEXT($AB347,"dd-mmm")&amp;").","Next: "&amp;$AC347&amp;" due "&amp;TEXT($AB347,"dd-mmm")&amp;" ("&amp;(NETWORKDAYS(TODAY(),$AB347,Holidays)-1)&amp;" business day(s) left).")))))</f>
        <v/>
      </c>
      <c r="W347" s="17">
        <f>IF($Z347="","",CHOOSE($Z347,"Collection Email","1st Follow-up","2nd Follow-up","Local Office","CBE","Roxanne")&amp;IF($Z347=6," - Final"," - Day "&amp;MAX(0,NETWORKDAYS($AA347,TODAY(),Holidays)-1)&amp;" of "&amp;CHOOSE($Z347,3,3,2,2,3))&amp;" | Total Day "&amp;MAX(0,NETWORKDAYS($N347,TODAY(),Holidays)-1))</f>
        <v/>
      </c>
      <c r="X347" s="18"/>
      <c r="Y347" s="18"/>
      <c r="Z347" s="17">
        <f>IF($N347="","",COUNT($N347:$S347))</f>
        <v/>
      </c>
      <c r="AA347" s="19">
        <f>IF($Z347="","",INT(INDEX($N347:$S347,$Z347)))</f>
        <v/>
      </c>
      <c r="AB347" s="19">
        <f>IF(OR($Z347="",$Z347=6),"",WORKDAY($AA347,CHOOSE($Z347,3,3,2,2,3),Holidays))</f>
        <v/>
      </c>
      <c r="AC347" s="17">
        <f>IF(OR($Z347="",$Z347=6),"",CHOOSE($Z347,"1st Email Follow-up","2nd Email Follow-up","Escalate Local Office","Escalate to CBE","Escalate to Roxanne"))</f>
        <v/>
      </c>
    </row>
    <row r="348" spans="13:29">
      <c r="M348" s="14"/>
      <c r="T348" s="16"/>
      <c r="U348" s="17">
        <f>IF(AND(COUNTA($A348:$L348)=0,$N348=""),"",IF($T348="Paid","PAID",IF($T348="Closed","CLOSED",IF($Z348="","",IF($Z348=6,"ESCALATED TO ROXANNE",IF(TODAY()&gt;$AB348,"OVERDUE",IF($AB348&lt;=WORKDAY(TODAY(),1,Holidays),"DUE TOMORROW",IF($Z348=4,"ESCALATED TO LOCAL OFFICE",IF($Z348=5,"ESCALATED TO CBE",IF($AA348=TODAY(),"EMAIL SENT","MONITORING"))))))))))</f>
        <v/>
      </c>
      <c r="V348" s="17">
        <f>IF($U348="",IF(AND(COUNTA($A348:$L348)&gt;0,$N348=""),"Awaiting Collection Email time stamp.",""),IF(OR($U348="PAID",$U348="CLOSED"),IF($U348="PAID","Account paid. Action completed.","Account closed. No further action required."),CHOOSE($Z348,"Collection Email","1st Email Follow-up","2nd Email Follow-up","Escalation to Local Office","Escalation to CBE","Escalation to Roxanne")&amp;" sent "&amp;TEXT($AA348,"dd-mmm")&amp;". "&amp;IF($Z348=6,"Final escalation completed.",IF($U348="OVERDUE","Next: "&amp;$AC348&amp;" was due "&amp;TEXT($AB348,"dd-mmm")&amp;" - "&amp;(NETWORKDAYS($AB348,TODAY(),Holidays)-1)&amp;" business day(s) late. Send now.",IF($U348="DUE TOMORROW","Next: "&amp;$AC348&amp;IF($AB348&lt;=TODAY()," is due TODAY ("," is due next business day (")&amp;TEXT($AB348,"dd-mmm")&amp;").","Next: "&amp;$AC348&amp;" due "&amp;TEXT($AB348,"dd-mmm")&amp;" ("&amp;(NETWORKDAYS(TODAY(),$AB348,Holidays)-1)&amp;" business day(s) left).")))))</f>
        <v/>
      </c>
      <c r="W348" s="17">
        <f>IF($Z348="","",CHOOSE($Z348,"Collection Email","1st Follow-up","2nd Follow-up","Local Office","CBE","Roxanne")&amp;IF($Z348=6," - Final"," - Day "&amp;MAX(0,NETWORKDAYS($AA348,TODAY(),Holidays)-1)&amp;" of "&amp;CHOOSE($Z348,3,3,2,2,3))&amp;" | Total Day "&amp;MAX(0,NETWORKDAYS($N348,TODAY(),Holidays)-1))</f>
        <v/>
      </c>
      <c r="X348" s="18"/>
      <c r="Y348" s="18"/>
      <c r="Z348" s="17">
        <f>IF($N348="","",COUNT($N348:$S348))</f>
        <v/>
      </c>
      <c r="AA348" s="19">
        <f>IF($Z348="","",INT(INDEX($N348:$S348,$Z348)))</f>
        <v/>
      </c>
      <c r="AB348" s="19">
        <f>IF(OR($Z348="",$Z348=6),"",WORKDAY($AA348,CHOOSE($Z348,3,3,2,2,3),Holidays))</f>
        <v/>
      </c>
      <c r="AC348" s="17">
        <f>IF(OR($Z348="",$Z348=6),"",CHOOSE($Z348,"1st Email Follow-up","2nd Email Follow-up","Escalate Local Office","Escalate to CBE","Escalate to Roxanne"))</f>
        <v/>
      </c>
    </row>
    <row r="349" spans="13:29">
      <c r="M349" s="14"/>
      <c r="T349" s="16"/>
      <c r="U349" s="17">
        <f>IF(AND(COUNTA($A349:$L349)=0,$N349=""),"",IF($T349="Paid","PAID",IF($T349="Closed","CLOSED",IF($Z349="","",IF($Z349=6,"ESCALATED TO ROXANNE",IF(TODAY()&gt;$AB349,"OVERDUE",IF($AB349&lt;=WORKDAY(TODAY(),1,Holidays),"DUE TOMORROW",IF($Z349=4,"ESCALATED TO LOCAL OFFICE",IF($Z349=5,"ESCALATED TO CBE",IF($AA349=TODAY(),"EMAIL SENT","MONITORING"))))))))))</f>
        <v/>
      </c>
      <c r="V349" s="17">
        <f>IF($U349="",IF(AND(COUNTA($A349:$L349)&gt;0,$N349=""),"Awaiting Collection Email time stamp.",""),IF(OR($U349="PAID",$U349="CLOSED"),IF($U349="PAID","Account paid. Action completed.","Account closed. No further action required."),CHOOSE($Z349,"Collection Email","1st Email Follow-up","2nd Email Follow-up","Escalation to Local Office","Escalation to CBE","Escalation to Roxanne")&amp;" sent "&amp;TEXT($AA349,"dd-mmm")&amp;". "&amp;IF($Z349=6,"Final escalation completed.",IF($U349="OVERDUE","Next: "&amp;$AC349&amp;" was due "&amp;TEXT($AB349,"dd-mmm")&amp;" - "&amp;(NETWORKDAYS($AB349,TODAY(),Holidays)-1)&amp;" business day(s) late. Send now.",IF($U349="DUE TOMORROW","Next: "&amp;$AC349&amp;IF($AB349&lt;=TODAY()," is due TODAY ("," is due next business day (")&amp;TEXT($AB349,"dd-mmm")&amp;").","Next: "&amp;$AC349&amp;" due "&amp;TEXT($AB349,"dd-mmm")&amp;" ("&amp;(NETWORKDAYS(TODAY(),$AB349,Holidays)-1)&amp;" business day(s) left).")))))</f>
        <v/>
      </c>
      <c r="W349" s="17">
        <f>IF($Z349="","",CHOOSE($Z349,"Collection Email","1st Follow-up","2nd Follow-up","Local Office","CBE","Roxanne")&amp;IF($Z349=6," - Final"," - Day "&amp;MAX(0,NETWORKDAYS($AA349,TODAY(),Holidays)-1)&amp;" of "&amp;CHOOSE($Z349,3,3,2,2,3))&amp;" | Total Day "&amp;MAX(0,NETWORKDAYS($N349,TODAY(),Holidays)-1))</f>
        <v/>
      </c>
      <c r="X349" s="18"/>
      <c r="Y349" s="18"/>
      <c r="Z349" s="17">
        <f>IF($N349="","",COUNT($N349:$S349))</f>
        <v/>
      </c>
      <c r="AA349" s="19">
        <f>IF($Z349="","",INT(INDEX($N349:$S349,$Z349)))</f>
        <v/>
      </c>
      <c r="AB349" s="19">
        <f>IF(OR($Z349="",$Z349=6),"",WORKDAY($AA349,CHOOSE($Z349,3,3,2,2,3),Holidays))</f>
        <v/>
      </c>
      <c r="AC349" s="17">
        <f>IF(OR($Z349="",$Z349=6),"",CHOOSE($Z349,"1st Email Follow-up","2nd Email Follow-up","Escalate Local Office","Escalate to CBE","Escalate to Roxanne"))</f>
        <v/>
      </c>
    </row>
    <row r="350" spans="13:29">
      <c r="M350" s="14"/>
      <c r="T350" s="16"/>
      <c r="U350" s="17">
        <f>IF(AND(COUNTA($A350:$L350)=0,$N350=""),"",IF($T350="Paid","PAID",IF($T350="Closed","CLOSED",IF($Z350="","",IF($Z350=6,"ESCALATED TO ROXANNE",IF(TODAY()&gt;$AB350,"OVERDUE",IF($AB350&lt;=WORKDAY(TODAY(),1,Holidays),"DUE TOMORROW",IF($Z350=4,"ESCALATED TO LOCAL OFFICE",IF($Z350=5,"ESCALATED TO CBE",IF($AA350=TODAY(),"EMAIL SENT","MONITORING"))))))))))</f>
        <v/>
      </c>
      <c r="V350" s="17">
        <f>IF($U350="",IF(AND(COUNTA($A350:$L350)&gt;0,$N350=""),"Awaiting Collection Email time stamp.",""),IF(OR($U350="PAID",$U350="CLOSED"),IF($U350="PAID","Account paid. Action completed.","Account closed. No further action required."),CHOOSE($Z350,"Collection Email","1st Email Follow-up","2nd Email Follow-up","Escalation to Local Office","Escalation to CBE","Escalation to Roxanne")&amp;" sent "&amp;TEXT($AA350,"dd-mmm")&amp;". "&amp;IF($Z350=6,"Final escalation completed.",IF($U350="OVERDUE","Next: "&amp;$AC350&amp;" was due "&amp;TEXT($AB350,"dd-mmm")&amp;" - "&amp;(NETWORKDAYS($AB350,TODAY(),Holidays)-1)&amp;" business day(s) late. Send now.",IF($U350="DUE TOMORROW","Next: "&amp;$AC350&amp;IF($AB350&lt;=TODAY()," is due TODAY ("," is due next business day (")&amp;TEXT($AB350,"dd-mmm")&amp;").","Next: "&amp;$AC350&amp;" due "&amp;TEXT($AB350,"dd-mmm")&amp;" ("&amp;(NETWORKDAYS(TODAY(),$AB350,Holidays)-1)&amp;" business day(s) left).")))))</f>
        <v/>
      </c>
      <c r="W350" s="17">
        <f>IF($Z350="","",CHOOSE($Z350,"Collection Email","1st Follow-up","2nd Follow-up","Local Office","CBE","Roxanne")&amp;IF($Z350=6," - Final"," - Day "&amp;MAX(0,NETWORKDAYS($AA350,TODAY(),Holidays)-1)&amp;" of "&amp;CHOOSE($Z350,3,3,2,2,3))&amp;" | Total Day "&amp;MAX(0,NETWORKDAYS($N350,TODAY(),Holidays)-1))</f>
        <v/>
      </c>
      <c r="X350" s="18"/>
      <c r="Y350" s="18"/>
      <c r="Z350" s="17">
        <f>IF($N350="","",COUNT($N350:$S350))</f>
        <v/>
      </c>
      <c r="AA350" s="19">
        <f>IF($Z350="","",INT(INDEX($N350:$S350,$Z350)))</f>
        <v/>
      </c>
      <c r="AB350" s="19">
        <f>IF(OR($Z350="",$Z350=6),"",WORKDAY($AA350,CHOOSE($Z350,3,3,2,2,3),Holidays))</f>
        <v/>
      </c>
      <c r="AC350" s="17">
        <f>IF(OR($Z350="",$Z350=6),"",CHOOSE($Z350,"1st Email Follow-up","2nd Email Follow-up","Escalate Local Office","Escalate to CBE","Escalate to Roxanne"))</f>
        <v/>
      </c>
    </row>
    <row r="351" spans="13:29">
      <c r="M351" s="14"/>
      <c r="T351" s="16"/>
      <c r="U351" s="17">
        <f>IF(AND(COUNTA($A351:$L351)=0,$N351=""),"",IF($T351="Paid","PAID",IF($T351="Closed","CLOSED",IF($Z351="","",IF($Z351=6,"ESCALATED TO ROXANNE",IF(TODAY()&gt;$AB351,"OVERDUE",IF($AB351&lt;=WORKDAY(TODAY(),1,Holidays),"DUE TOMORROW",IF($Z351=4,"ESCALATED TO LOCAL OFFICE",IF($Z351=5,"ESCALATED TO CBE",IF($AA351=TODAY(),"EMAIL SENT","MONITORING"))))))))))</f>
        <v/>
      </c>
      <c r="V351" s="17">
        <f>IF($U351="",IF(AND(COUNTA($A351:$L351)&gt;0,$N351=""),"Awaiting Collection Email time stamp.",""),IF(OR($U351="PAID",$U351="CLOSED"),IF($U351="PAID","Account paid. Action completed.","Account closed. No further action required."),CHOOSE($Z351,"Collection Email","1st Email Follow-up","2nd Email Follow-up","Escalation to Local Office","Escalation to CBE","Escalation to Roxanne")&amp;" sent "&amp;TEXT($AA351,"dd-mmm")&amp;". "&amp;IF($Z351=6,"Final escalation completed.",IF($U351="OVERDUE","Next: "&amp;$AC351&amp;" was due "&amp;TEXT($AB351,"dd-mmm")&amp;" - "&amp;(NETWORKDAYS($AB351,TODAY(),Holidays)-1)&amp;" business day(s) late. Send now.",IF($U351="DUE TOMORROW","Next: "&amp;$AC351&amp;IF($AB351&lt;=TODAY()," is due TODAY ("," is due next business day (")&amp;TEXT($AB351,"dd-mmm")&amp;").","Next: "&amp;$AC351&amp;" due "&amp;TEXT($AB351,"dd-mmm")&amp;" ("&amp;(NETWORKDAYS(TODAY(),$AB351,Holidays)-1)&amp;" business day(s) left).")))))</f>
        <v/>
      </c>
      <c r="W351" s="17">
        <f>IF($Z351="","",CHOOSE($Z351,"Collection Email","1st Follow-up","2nd Follow-up","Local Office","CBE","Roxanne")&amp;IF($Z351=6," - Final"," - Day "&amp;MAX(0,NETWORKDAYS($AA351,TODAY(),Holidays)-1)&amp;" of "&amp;CHOOSE($Z351,3,3,2,2,3))&amp;" | Total Day "&amp;MAX(0,NETWORKDAYS($N351,TODAY(),Holidays)-1))</f>
        <v/>
      </c>
      <c r="X351" s="18"/>
      <c r="Y351" s="18"/>
      <c r="Z351" s="17">
        <f>IF($N351="","",COUNT($N351:$S351))</f>
        <v/>
      </c>
      <c r="AA351" s="19">
        <f>IF($Z351="","",INT(INDEX($N351:$S351,$Z351)))</f>
        <v/>
      </c>
      <c r="AB351" s="19">
        <f>IF(OR($Z351="",$Z351=6),"",WORKDAY($AA351,CHOOSE($Z351,3,3,2,2,3),Holidays))</f>
        <v/>
      </c>
      <c r="AC351" s="17">
        <f>IF(OR($Z351="",$Z351=6),"",CHOOSE($Z351,"1st Email Follow-up","2nd Email Follow-up","Escalate Local Office","Escalate to CBE","Escalate to Roxanne"))</f>
        <v/>
      </c>
    </row>
    <row r="352" spans="13:29">
      <c r="M352" s="14"/>
      <c r="T352" s="16"/>
      <c r="U352" s="17">
        <f>IF(AND(COUNTA($A352:$L352)=0,$N352=""),"",IF($T352="Paid","PAID",IF($T352="Closed","CLOSED",IF($Z352="","",IF($Z352=6,"ESCALATED TO ROXANNE",IF(TODAY()&gt;$AB352,"OVERDUE",IF($AB352&lt;=WORKDAY(TODAY(),1,Holidays),"DUE TOMORROW",IF($Z352=4,"ESCALATED TO LOCAL OFFICE",IF($Z352=5,"ESCALATED TO CBE",IF($AA352=TODAY(),"EMAIL SENT","MONITORING"))))))))))</f>
        <v/>
      </c>
      <c r="V352" s="17">
        <f>IF($U352="",IF(AND(COUNTA($A352:$L352)&gt;0,$N352=""),"Awaiting Collection Email time stamp.",""),IF(OR($U352="PAID",$U352="CLOSED"),IF($U352="PAID","Account paid. Action completed.","Account closed. No further action required."),CHOOSE($Z352,"Collection Email","1st Email Follow-up","2nd Email Follow-up","Escalation to Local Office","Escalation to CBE","Escalation to Roxanne")&amp;" sent "&amp;TEXT($AA352,"dd-mmm")&amp;". "&amp;IF($Z352=6,"Final escalation completed.",IF($U352="OVERDUE","Next: "&amp;$AC352&amp;" was due "&amp;TEXT($AB352,"dd-mmm")&amp;" - "&amp;(NETWORKDAYS($AB352,TODAY(),Holidays)-1)&amp;" business day(s) late. Send now.",IF($U352="DUE TOMORROW","Next: "&amp;$AC352&amp;IF($AB352&lt;=TODAY()," is due TODAY ("," is due next business day (")&amp;TEXT($AB352,"dd-mmm")&amp;").","Next: "&amp;$AC352&amp;" due "&amp;TEXT($AB352,"dd-mmm")&amp;" ("&amp;(NETWORKDAYS(TODAY(),$AB352,Holidays)-1)&amp;" business day(s) left).")))))</f>
        <v/>
      </c>
      <c r="W352" s="17">
        <f>IF($Z352="","",CHOOSE($Z352,"Collection Email","1st Follow-up","2nd Follow-up","Local Office","CBE","Roxanne")&amp;IF($Z352=6," - Final"," - Day "&amp;MAX(0,NETWORKDAYS($AA352,TODAY(),Holidays)-1)&amp;" of "&amp;CHOOSE($Z352,3,3,2,2,3))&amp;" | Total Day "&amp;MAX(0,NETWORKDAYS($N352,TODAY(),Holidays)-1))</f>
        <v/>
      </c>
      <c r="X352" s="18"/>
      <c r="Y352" s="18"/>
      <c r="Z352" s="17">
        <f>IF($N352="","",COUNT($N352:$S352))</f>
        <v/>
      </c>
      <c r="AA352" s="19">
        <f>IF($Z352="","",INT(INDEX($N352:$S352,$Z352)))</f>
        <v/>
      </c>
      <c r="AB352" s="19">
        <f>IF(OR($Z352="",$Z352=6),"",WORKDAY($AA352,CHOOSE($Z352,3,3,2,2,3),Holidays))</f>
        <v/>
      </c>
      <c r="AC352" s="17">
        <f>IF(OR($Z352="",$Z352=6),"",CHOOSE($Z352,"1st Email Follow-up","2nd Email Follow-up","Escalate Local Office","Escalate to CBE","Escalate to Roxanne"))</f>
        <v/>
      </c>
    </row>
    <row r="353" spans="13:29">
      <c r="M353" s="14"/>
      <c r="T353" s="16"/>
      <c r="U353" s="17">
        <f>IF(AND(COUNTA($A353:$L353)=0,$N353=""),"",IF($T353="Paid","PAID",IF($T353="Closed","CLOSED",IF($Z353="","",IF($Z353=6,"ESCALATED TO ROXANNE",IF(TODAY()&gt;$AB353,"OVERDUE",IF($AB353&lt;=WORKDAY(TODAY(),1,Holidays),"DUE TOMORROW",IF($Z353=4,"ESCALATED TO LOCAL OFFICE",IF($Z353=5,"ESCALATED TO CBE",IF($AA353=TODAY(),"EMAIL SENT","MONITORING"))))))))))</f>
        <v/>
      </c>
      <c r="V353" s="17">
        <f>IF($U353="",IF(AND(COUNTA($A353:$L353)&gt;0,$N353=""),"Awaiting Collection Email time stamp.",""),IF(OR($U353="PAID",$U353="CLOSED"),IF($U353="PAID","Account paid. Action completed.","Account closed. No further action required."),CHOOSE($Z353,"Collection Email","1st Email Follow-up","2nd Email Follow-up","Escalation to Local Office","Escalation to CBE","Escalation to Roxanne")&amp;" sent "&amp;TEXT($AA353,"dd-mmm")&amp;". "&amp;IF($Z353=6,"Final escalation completed.",IF($U353="OVERDUE","Next: "&amp;$AC353&amp;" was due "&amp;TEXT($AB353,"dd-mmm")&amp;" - "&amp;(NETWORKDAYS($AB353,TODAY(),Holidays)-1)&amp;" business day(s) late. Send now.",IF($U353="DUE TOMORROW","Next: "&amp;$AC353&amp;IF($AB353&lt;=TODAY()," is due TODAY ("," is due next business day (")&amp;TEXT($AB353,"dd-mmm")&amp;").","Next: "&amp;$AC353&amp;" due "&amp;TEXT($AB353,"dd-mmm")&amp;" ("&amp;(NETWORKDAYS(TODAY(),$AB353,Holidays)-1)&amp;" business day(s) left).")))))</f>
        <v/>
      </c>
      <c r="W353" s="17">
        <f>IF($Z353="","",CHOOSE($Z353,"Collection Email","1st Follow-up","2nd Follow-up","Local Office","CBE","Roxanne")&amp;IF($Z353=6," - Final"," - Day "&amp;MAX(0,NETWORKDAYS($AA353,TODAY(),Holidays)-1)&amp;" of "&amp;CHOOSE($Z353,3,3,2,2,3))&amp;" | Total Day "&amp;MAX(0,NETWORKDAYS($N353,TODAY(),Holidays)-1))</f>
        <v/>
      </c>
      <c r="X353" s="18"/>
      <c r="Y353" s="18"/>
      <c r="Z353" s="17">
        <f>IF($N353="","",COUNT($N353:$S353))</f>
        <v/>
      </c>
      <c r="AA353" s="19">
        <f>IF($Z353="","",INT(INDEX($N353:$S353,$Z353)))</f>
        <v/>
      </c>
      <c r="AB353" s="19">
        <f>IF(OR($Z353="",$Z353=6),"",WORKDAY($AA353,CHOOSE($Z353,3,3,2,2,3),Holidays))</f>
        <v/>
      </c>
      <c r="AC353" s="17">
        <f>IF(OR($Z353="",$Z353=6),"",CHOOSE($Z353,"1st Email Follow-up","2nd Email Follow-up","Escalate Local Office","Escalate to CBE","Escalate to Roxanne"))</f>
        <v/>
      </c>
    </row>
    <row r="354" spans="13:29">
      <c r="M354" s="14"/>
      <c r="T354" s="16"/>
      <c r="U354" s="17">
        <f>IF(AND(COUNTA($A354:$L354)=0,$N354=""),"",IF($T354="Paid","PAID",IF($T354="Closed","CLOSED",IF($Z354="","",IF($Z354=6,"ESCALATED TO ROXANNE",IF(TODAY()&gt;$AB354,"OVERDUE",IF($AB354&lt;=WORKDAY(TODAY(),1,Holidays),"DUE TOMORROW",IF($Z354=4,"ESCALATED TO LOCAL OFFICE",IF($Z354=5,"ESCALATED TO CBE",IF($AA354=TODAY(),"EMAIL SENT","MONITORING"))))))))))</f>
        <v/>
      </c>
      <c r="V354" s="17">
        <f>IF($U354="",IF(AND(COUNTA($A354:$L354)&gt;0,$N354=""),"Awaiting Collection Email time stamp.",""),IF(OR($U354="PAID",$U354="CLOSED"),IF($U354="PAID","Account paid. Action completed.","Account closed. No further action required."),CHOOSE($Z354,"Collection Email","1st Email Follow-up","2nd Email Follow-up","Escalation to Local Office","Escalation to CBE","Escalation to Roxanne")&amp;" sent "&amp;TEXT($AA354,"dd-mmm")&amp;". "&amp;IF($Z354=6,"Final escalation completed.",IF($U354="OVERDUE","Next: "&amp;$AC354&amp;" was due "&amp;TEXT($AB354,"dd-mmm")&amp;" - "&amp;(NETWORKDAYS($AB354,TODAY(),Holidays)-1)&amp;" business day(s) late. Send now.",IF($U354="DUE TOMORROW","Next: "&amp;$AC354&amp;IF($AB354&lt;=TODAY()," is due TODAY ("," is due next business day (")&amp;TEXT($AB354,"dd-mmm")&amp;").","Next: "&amp;$AC354&amp;" due "&amp;TEXT($AB354,"dd-mmm")&amp;" ("&amp;(NETWORKDAYS(TODAY(),$AB354,Holidays)-1)&amp;" business day(s) left).")))))</f>
        <v/>
      </c>
      <c r="W354" s="17">
        <f>IF($Z354="","",CHOOSE($Z354,"Collection Email","1st Follow-up","2nd Follow-up","Local Office","CBE","Roxanne")&amp;IF($Z354=6," - Final"," - Day "&amp;MAX(0,NETWORKDAYS($AA354,TODAY(),Holidays)-1)&amp;" of "&amp;CHOOSE($Z354,3,3,2,2,3))&amp;" | Total Day "&amp;MAX(0,NETWORKDAYS($N354,TODAY(),Holidays)-1))</f>
        <v/>
      </c>
      <c r="X354" s="18"/>
      <c r="Y354" s="18"/>
      <c r="Z354" s="17">
        <f>IF($N354="","",COUNT($N354:$S354))</f>
        <v/>
      </c>
      <c r="AA354" s="19">
        <f>IF($Z354="","",INT(INDEX($N354:$S354,$Z354)))</f>
        <v/>
      </c>
      <c r="AB354" s="19">
        <f>IF(OR($Z354="",$Z354=6),"",WORKDAY($AA354,CHOOSE($Z354,3,3,2,2,3),Holidays))</f>
        <v/>
      </c>
      <c r="AC354" s="17">
        <f>IF(OR($Z354="",$Z354=6),"",CHOOSE($Z354,"1st Email Follow-up","2nd Email Follow-up","Escalate Local Office","Escalate to CBE","Escalate to Roxanne"))</f>
        <v/>
      </c>
    </row>
    <row r="355" spans="13:29">
      <c r="M355" s="14"/>
      <c r="T355" s="16"/>
      <c r="U355" s="17">
        <f>IF(AND(COUNTA($A355:$L355)=0,$N355=""),"",IF($T355="Paid","PAID",IF($T355="Closed","CLOSED",IF($Z355="","",IF($Z355=6,"ESCALATED TO ROXANNE",IF(TODAY()&gt;$AB355,"OVERDUE",IF($AB355&lt;=WORKDAY(TODAY(),1,Holidays),"DUE TOMORROW",IF($Z355=4,"ESCALATED TO LOCAL OFFICE",IF($Z355=5,"ESCALATED TO CBE",IF($AA355=TODAY(),"EMAIL SENT","MONITORING"))))))))))</f>
        <v/>
      </c>
      <c r="V355" s="17">
        <f>IF($U355="",IF(AND(COUNTA($A355:$L355)&gt;0,$N355=""),"Awaiting Collection Email time stamp.",""),IF(OR($U355="PAID",$U355="CLOSED"),IF($U355="PAID","Account paid. Action completed.","Account closed. No further action required."),CHOOSE($Z355,"Collection Email","1st Email Follow-up","2nd Email Follow-up","Escalation to Local Office","Escalation to CBE","Escalation to Roxanne")&amp;" sent "&amp;TEXT($AA355,"dd-mmm")&amp;". "&amp;IF($Z355=6,"Final escalation completed.",IF($U355="OVERDUE","Next: "&amp;$AC355&amp;" was due "&amp;TEXT($AB355,"dd-mmm")&amp;" - "&amp;(NETWORKDAYS($AB355,TODAY(),Holidays)-1)&amp;" business day(s) late. Send now.",IF($U355="DUE TOMORROW","Next: "&amp;$AC355&amp;IF($AB355&lt;=TODAY()," is due TODAY ("," is due next business day (")&amp;TEXT($AB355,"dd-mmm")&amp;").","Next: "&amp;$AC355&amp;" due "&amp;TEXT($AB355,"dd-mmm")&amp;" ("&amp;(NETWORKDAYS(TODAY(),$AB355,Holidays)-1)&amp;" business day(s) left).")))))</f>
        <v/>
      </c>
      <c r="W355" s="17">
        <f>IF($Z355="","",CHOOSE($Z355,"Collection Email","1st Follow-up","2nd Follow-up","Local Office","CBE","Roxanne")&amp;IF($Z355=6," - Final"," - Day "&amp;MAX(0,NETWORKDAYS($AA355,TODAY(),Holidays)-1)&amp;" of "&amp;CHOOSE($Z355,3,3,2,2,3))&amp;" | Total Day "&amp;MAX(0,NETWORKDAYS($N355,TODAY(),Holidays)-1))</f>
        <v/>
      </c>
      <c r="X355" s="18"/>
      <c r="Y355" s="18"/>
      <c r="Z355" s="17">
        <f>IF($N355="","",COUNT($N355:$S355))</f>
        <v/>
      </c>
      <c r="AA355" s="19">
        <f>IF($Z355="","",INT(INDEX($N355:$S355,$Z355)))</f>
        <v/>
      </c>
      <c r="AB355" s="19">
        <f>IF(OR($Z355="",$Z355=6),"",WORKDAY($AA355,CHOOSE($Z355,3,3,2,2,3),Holidays))</f>
        <v/>
      </c>
      <c r="AC355" s="17">
        <f>IF(OR($Z355="",$Z355=6),"",CHOOSE($Z355,"1st Email Follow-up","2nd Email Follow-up","Escalate Local Office","Escalate to CBE","Escalate to Roxanne"))</f>
        <v/>
      </c>
    </row>
    <row r="356" spans="13:29">
      <c r="M356" s="14"/>
      <c r="T356" s="16"/>
      <c r="U356" s="17">
        <f>IF(AND(COUNTA($A356:$L356)=0,$N356=""),"",IF($T356="Paid","PAID",IF($T356="Closed","CLOSED",IF($Z356="","",IF($Z356=6,"ESCALATED TO ROXANNE",IF(TODAY()&gt;$AB356,"OVERDUE",IF($AB356&lt;=WORKDAY(TODAY(),1,Holidays),"DUE TOMORROW",IF($Z356=4,"ESCALATED TO LOCAL OFFICE",IF($Z356=5,"ESCALATED TO CBE",IF($AA356=TODAY(),"EMAIL SENT","MONITORING"))))))))))</f>
        <v/>
      </c>
      <c r="V356" s="17">
        <f>IF($U356="",IF(AND(COUNTA($A356:$L356)&gt;0,$N356=""),"Awaiting Collection Email time stamp.",""),IF(OR($U356="PAID",$U356="CLOSED"),IF($U356="PAID","Account paid. Action completed.","Account closed. No further action required."),CHOOSE($Z356,"Collection Email","1st Email Follow-up","2nd Email Follow-up","Escalation to Local Office","Escalation to CBE","Escalation to Roxanne")&amp;" sent "&amp;TEXT($AA356,"dd-mmm")&amp;". "&amp;IF($Z356=6,"Final escalation completed.",IF($U356="OVERDUE","Next: "&amp;$AC356&amp;" was due "&amp;TEXT($AB356,"dd-mmm")&amp;" - "&amp;(NETWORKDAYS($AB356,TODAY(),Holidays)-1)&amp;" business day(s) late. Send now.",IF($U356="DUE TOMORROW","Next: "&amp;$AC356&amp;IF($AB356&lt;=TODAY()," is due TODAY ("," is due next business day (")&amp;TEXT($AB356,"dd-mmm")&amp;").","Next: "&amp;$AC356&amp;" due "&amp;TEXT($AB356,"dd-mmm")&amp;" ("&amp;(NETWORKDAYS(TODAY(),$AB356,Holidays)-1)&amp;" business day(s) left).")))))</f>
        <v/>
      </c>
      <c r="W356" s="17">
        <f>IF($Z356="","",CHOOSE($Z356,"Collection Email","1st Follow-up","2nd Follow-up","Local Office","CBE","Roxanne")&amp;IF($Z356=6," - Final"," - Day "&amp;MAX(0,NETWORKDAYS($AA356,TODAY(),Holidays)-1)&amp;" of "&amp;CHOOSE($Z356,3,3,2,2,3))&amp;" | Total Day "&amp;MAX(0,NETWORKDAYS($N356,TODAY(),Holidays)-1))</f>
        <v/>
      </c>
      <c r="X356" s="18"/>
      <c r="Y356" s="18"/>
      <c r="Z356" s="17">
        <f>IF($N356="","",COUNT($N356:$S356))</f>
        <v/>
      </c>
      <c r="AA356" s="19">
        <f>IF($Z356="","",INT(INDEX($N356:$S356,$Z356)))</f>
        <v/>
      </c>
      <c r="AB356" s="19">
        <f>IF(OR($Z356="",$Z356=6),"",WORKDAY($AA356,CHOOSE($Z356,3,3,2,2,3),Holidays))</f>
        <v/>
      </c>
      <c r="AC356" s="17">
        <f>IF(OR($Z356="",$Z356=6),"",CHOOSE($Z356,"1st Email Follow-up","2nd Email Follow-up","Escalate Local Office","Escalate to CBE","Escalate to Roxanne"))</f>
        <v/>
      </c>
    </row>
    <row r="357" spans="13:29">
      <c r="M357" s="14"/>
      <c r="T357" s="16"/>
      <c r="U357" s="17">
        <f>IF(AND(COUNTA($A357:$L357)=0,$N357=""),"",IF($T357="Paid","PAID",IF($T357="Closed","CLOSED",IF($Z357="","",IF($Z357=6,"ESCALATED TO ROXANNE",IF(TODAY()&gt;$AB357,"OVERDUE",IF($AB357&lt;=WORKDAY(TODAY(),1,Holidays),"DUE TOMORROW",IF($Z357=4,"ESCALATED TO LOCAL OFFICE",IF($Z357=5,"ESCALATED TO CBE",IF($AA357=TODAY(),"EMAIL SENT","MONITORING"))))))))))</f>
        <v/>
      </c>
      <c r="V357" s="17">
        <f>IF($U357="",IF(AND(COUNTA($A357:$L357)&gt;0,$N357=""),"Awaiting Collection Email time stamp.",""),IF(OR($U357="PAID",$U357="CLOSED"),IF($U357="PAID","Account paid. Action completed.","Account closed. No further action required."),CHOOSE($Z357,"Collection Email","1st Email Follow-up","2nd Email Follow-up","Escalation to Local Office","Escalation to CBE","Escalation to Roxanne")&amp;" sent "&amp;TEXT($AA357,"dd-mmm")&amp;". "&amp;IF($Z357=6,"Final escalation completed.",IF($U357="OVERDUE","Next: "&amp;$AC357&amp;" was due "&amp;TEXT($AB357,"dd-mmm")&amp;" - "&amp;(NETWORKDAYS($AB357,TODAY(),Holidays)-1)&amp;" business day(s) late. Send now.",IF($U357="DUE TOMORROW","Next: "&amp;$AC357&amp;IF($AB357&lt;=TODAY()," is due TODAY ("," is due next business day (")&amp;TEXT($AB357,"dd-mmm")&amp;").","Next: "&amp;$AC357&amp;" due "&amp;TEXT($AB357,"dd-mmm")&amp;" ("&amp;(NETWORKDAYS(TODAY(),$AB357,Holidays)-1)&amp;" business day(s) left).")))))</f>
        <v/>
      </c>
      <c r="W357" s="17">
        <f>IF($Z357="","",CHOOSE($Z357,"Collection Email","1st Follow-up","2nd Follow-up","Local Office","CBE","Roxanne")&amp;IF($Z357=6," - Final"," - Day "&amp;MAX(0,NETWORKDAYS($AA357,TODAY(),Holidays)-1)&amp;" of "&amp;CHOOSE($Z357,3,3,2,2,3))&amp;" | Total Day "&amp;MAX(0,NETWORKDAYS($N357,TODAY(),Holidays)-1))</f>
        <v/>
      </c>
      <c r="X357" s="18"/>
      <c r="Y357" s="18"/>
      <c r="Z357" s="17">
        <f>IF($N357="","",COUNT($N357:$S357))</f>
        <v/>
      </c>
      <c r="AA357" s="19">
        <f>IF($Z357="","",INT(INDEX($N357:$S357,$Z357)))</f>
        <v/>
      </c>
      <c r="AB357" s="19">
        <f>IF(OR($Z357="",$Z357=6),"",WORKDAY($AA357,CHOOSE($Z357,3,3,2,2,3),Holidays))</f>
        <v/>
      </c>
      <c r="AC357" s="17">
        <f>IF(OR($Z357="",$Z357=6),"",CHOOSE($Z357,"1st Email Follow-up","2nd Email Follow-up","Escalate Local Office","Escalate to CBE","Escalate to Roxanne"))</f>
        <v/>
      </c>
    </row>
    <row r="358" spans="13:29">
      <c r="M358" s="14"/>
      <c r="T358" s="16"/>
      <c r="U358" s="17">
        <f>IF(AND(COUNTA($A358:$L358)=0,$N358=""),"",IF($T358="Paid","PAID",IF($T358="Closed","CLOSED",IF($Z358="","",IF($Z358=6,"ESCALATED TO ROXANNE",IF(TODAY()&gt;$AB358,"OVERDUE",IF($AB358&lt;=WORKDAY(TODAY(),1,Holidays),"DUE TOMORROW",IF($Z358=4,"ESCALATED TO LOCAL OFFICE",IF($Z358=5,"ESCALATED TO CBE",IF($AA358=TODAY(),"EMAIL SENT","MONITORING"))))))))))</f>
        <v/>
      </c>
      <c r="V358" s="17">
        <f>IF($U358="",IF(AND(COUNTA($A358:$L358)&gt;0,$N358=""),"Awaiting Collection Email time stamp.",""),IF(OR($U358="PAID",$U358="CLOSED"),IF($U358="PAID","Account paid. Action completed.","Account closed. No further action required."),CHOOSE($Z358,"Collection Email","1st Email Follow-up","2nd Email Follow-up","Escalation to Local Office","Escalation to CBE","Escalation to Roxanne")&amp;" sent "&amp;TEXT($AA358,"dd-mmm")&amp;". "&amp;IF($Z358=6,"Final escalation completed.",IF($U358="OVERDUE","Next: "&amp;$AC358&amp;" was due "&amp;TEXT($AB358,"dd-mmm")&amp;" - "&amp;(NETWORKDAYS($AB358,TODAY(),Holidays)-1)&amp;" business day(s) late. Send now.",IF($U358="DUE TOMORROW","Next: "&amp;$AC358&amp;IF($AB358&lt;=TODAY()," is due TODAY ("," is due next business day (")&amp;TEXT($AB358,"dd-mmm")&amp;").","Next: "&amp;$AC358&amp;" due "&amp;TEXT($AB358,"dd-mmm")&amp;" ("&amp;(NETWORKDAYS(TODAY(),$AB358,Holidays)-1)&amp;" business day(s) left).")))))</f>
        <v/>
      </c>
      <c r="W358" s="17">
        <f>IF($Z358="","",CHOOSE($Z358,"Collection Email","1st Follow-up","2nd Follow-up","Local Office","CBE","Roxanne")&amp;IF($Z358=6," - Final"," - Day "&amp;MAX(0,NETWORKDAYS($AA358,TODAY(),Holidays)-1)&amp;" of "&amp;CHOOSE($Z358,3,3,2,2,3))&amp;" | Total Day "&amp;MAX(0,NETWORKDAYS($N358,TODAY(),Holidays)-1))</f>
        <v/>
      </c>
      <c r="X358" s="18"/>
      <c r="Y358" s="18"/>
      <c r="Z358" s="17">
        <f>IF($N358="","",COUNT($N358:$S358))</f>
        <v/>
      </c>
      <c r="AA358" s="19">
        <f>IF($Z358="","",INT(INDEX($N358:$S358,$Z358)))</f>
        <v/>
      </c>
      <c r="AB358" s="19">
        <f>IF(OR($Z358="",$Z358=6),"",WORKDAY($AA358,CHOOSE($Z358,3,3,2,2,3),Holidays))</f>
        <v/>
      </c>
      <c r="AC358" s="17">
        <f>IF(OR($Z358="",$Z358=6),"",CHOOSE($Z358,"1st Email Follow-up","2nd Email Follow-up","Escalate Local Office","Escalate to CBE","Escalate to Roxanne"))</f>
        <v/>
      </c>
    </row>
    <row r="359" spans="13:29">
      <c r="M359" s="14"/>
      <c r="T359" s="16"/>
      <c r="U359" s="17">
        <f>IF(AND(COUNTA($A359:$L359)=0,$N359=""),"",IF($T359="Paid","PAID",IF($T359="Closed","CLOSED",IF($Z359="","",IF($Z359=6,"ESCALATED TO ROXANNE",IF(TODAY()&gt;$AB359,"OVERDUE",IF($AB359&lt;=WORKDAY(TODAY(),1,Holidays),"DUE TOMORROW",IF($Z359=4,"ESCALATED TO LOCAL OFFICE",IF($Z359=5,"ESCALATED TO CBE",IF($AA359=TODAY(),"EMAIL SENT","MONITORING"))))))))))</f>
        <v/>
      </c>
      <c r="V359" s="17">
        <f>IF($U359="",IF(AND(COUNTA($A359:$L359)&gt;0,$N359=""),"Awaiting Collection Email time stamp.",""),IF(OR($U359="PAID",$U359="CLOSED"),IF($U359="PAID","Account paid. Action completed.","Account closed. No further action required."),CHOOSE($Z359,"Collection Email","1st Email Follow-up","2nd Email Follow-up","Escalation to Local Office","Escalation to CBE","Escalation to Roxanne")&amp;" sent "&amp;TEXT($AA359,"dd-mmm")&amp;". "&amp;IF($Z359=6,"Final escalation completed.",IF($U359="OVERDUE","Next: "&amp;$AC359&amp;" was due "&amp;TEXT($AB359,"dd-mmm")&amp;" - "&amp;(NETWORKDAYS($AB359,TODAY(),Holidays)-1)&amp;" business day(s) late. Send now.",IF($U359="DUE TOMORROW","Next: "&amp;$AC359&amp;IF($AB359&lt;=TODAY()," is due TODAY ("," is due next business day (")&amp;TEXT($AB359,"dd-mmm")&amp;").","Next: "&amp;$AC359&amp;" due "&amp;TEXT($AB359,"dd-mmm")&amp;" ("&amp;(NETWORKDAYS(TODAY(),$AB359,Holidays)-1)&amp;" business day(s) left).")))))</f>
        <v/>
      </c>
      <c r="W359" s="17">
        <f>IF($Z359="","",CHOOSE($Z359,"Collection Email","1st Follow-up","2nd Follow-up","Local Office","CBE","Roxanne")&amp;IF($Z359=6," - Final"," - Day "&amp;MAX(0,NETWORKDAYS($AA359,TODAY(),Holidays)-1)&amp;" of "&amp;CHOOSE($Z359,3,3,2,2,3))&amp;" | Total Day "&amp;MAX(0,NETWORKDAYS($N359,TODAY(),Holidays)-1))</f>
        <v/>
      </c>
      <c r="X359" s="18"/>
      <c r="Y359" s="18"/>
      <c r="Z359" s="17">
        <f>IF($N359="","",COUNT($N359:$S359))</f>
        <v/>
      </c>
      <c r="AA359" s="19">
        <f>IF($Z359="","",INT(INDEX($N359:$S359,$Z359)))</f>
        <v/>
      </c>
      <c r="AB359" s="19">
        <f>IF(OR($Z359="",$Z359=6),"",WORKDAY($AA359,CHOOSE($Z359,3,3,2,2,3),Holidays))</f>
        <v/>
      </c>
      <c r="AC359" s="17">
        <f>IF(OR($Z359="",$Z359=6),"",CHOOSE($Z359,"1st Email Follow-up","2nd Email Follow-up","Escalate Local Office","Escalate to CBE","Escalate to Roxanne"))</f>
        <v/>
      </c>
    </row>
    <row r="360" spans="13:29">
      <c r="M360" s="14"/>
      <c r="T360" s="16"/>
      <c r="U360" s="17">
        <f>IF(AND(COUNTA($A360:$L360)=0,$N360=""),"",IF($T360="Paid","PAID",IF($T360="Closed","CLOSED",IF($Z360="","",IF($Z360=6,"ESCALATED TO ROXANNE",IF(TODAY()&gt;$AB360,"OVERDUE",IF($AB360&lt;=WORKDAY(TODAY(),1,Holidays),"DUE TOMORROW",IF($Z360=4,"ESCALATED TO LOCAL OFFICE",IF($Z360=5,"ESCALATED TO CBE",IF($AA360=TODAY(),"EMAIL SENT","MONITORING"))))))))))</f>
        <v/>
      </c>
      <c r="V360" s="17">
        <f>IF($U360="",IF(AND(COUNTA($A360:$L360)&gt;0,$N360=""),"Awaiting Collection Email time stamp.",""),IF(OR($U360="PAID",$U360="CLOSED"),IF($U360="PAID","Account paid. Action completed.","Account closed. No further action required."),CHOOSE($Z360,"Collection Email","1st Email Follow-up","2nd Email Follow-up","Escalation to Local Office","Escalation to CBE","Escalation to Roxanne")&amp;" sent "&amp;TEXT($AA360,"dd-mmm")&amp;". "&amp;IF($Z360=6,"Final escalation completed.",IF($U360="OVERDUE","Next: "&amp;$AC360&amp;" was due "&amp;TEXT($AB360,"dd-mmm")&amp;" - "&amp;(NETWORKDAYS($AB360,TODAY(),Holidays)-1)&amp;" business day(s) late. Send now.",IF($U360="DUE TOMORROW","Next: "&amp;$AC360&amp;IF($AB360&lt;=TODAY()," is due TODAY ("," is due next business day (")&amp;TEXT($AB360,"dd-mmm")&amp;").","Next: "&amp;$AC360&amp;" due "&amp;TEXT($AB360,"dd-mmm")&amp;" ("&amp;(NETWORKDAYS(TODAY(),$AB360,Holidays)-1)&amp;" business day(s) left).")))))</f>
        <v/>
      </c>
      <c r="W360" s="17">
        <f>IF($Z360="","",CHOOSE($Z360,"Collection Email","1st Follow-up","2nd Follow-up","Local Office","CBE","Roxanne")&amp;IF($Z360=6," - Final"," - Day "&amp;MAX(0,NETWORKDAYS($AA360,TODAY(),Holidays)-1)&amp;" of "&amp;CHOOSE($Z360,3,3,2,2,3))&amp;" | Total Day "&amp;MAX(0,NETWORKDAYS($N360,TODAY(),Holidays)-1))</f>
        <v/>
      </c>
      <c r="X360" s="18"/>
      <c r="Y360" s="18"/>
      <c r="Z360" s="17">
        <f>IF($N360="","",COUNT($N360:$S360))</f>
        <v/>
      </c>
      <c r="AA360" s="19">
        <f>IF($Z360="","",INT(INDEX($N360:$S360,$Z360)))</f>
        <v/>
      </c>
      <c r="AB360" s="19">
        <f>IF(OR($Z360="",$Z360=6),"",WORKDAY($AA360,CHOOSE($Z360,3,3,2,2,3),Holidays))</f>
        <v/>
      </c>
      <c r="AC360" s="17">
        <f>IF(OR($Z360="",$Z360=6),"",CHOOSE($Z360,"1st Email Follow-up","2nd Email Follow-up","Escalate Local Office","Escalate to CBE","Escalate to Roxanne"))</f>
        <v/>
      </c>
    </row>
    <row r="361" spans="13:29">
      <c r="M361" s="14"/>
      <c r="T361" s="16"/>
      <c r="U361" s="17">
        <f>IF(AND(COUNTA($A361:$L361)=0,$N361=""),"",IF($T361="Paid","PAID",IF($T361="Closed","CLOSED",IF($Z361="","",IF($Z361=6,"ESCALATED TO ROXANNE",IF(TODAY()&gt;$AB361,"OVERDUE",IF($AB361&lt;=WORKDAY(TODAY(),1,Holidays),"DUE TOMORROW",IF($Z361=4,"ESCALATED TO LOCAL OFFICE",IF($Z361=5,"ESCALATED TO CBE",IF($AA361=TODAY(),"EMAIL SENT","MONITORING"))))))))))</f>
        <v/>
      </c>
      <c r="V361" s="17">
        <f>IF($U361="",IF(AND(COUNTA($A361:$L361)&gt;0,$N361=""),"Awaiting Collection Email time stamp.",""),IF(OR($U361="PAID",$U361="CLOSED"),IF($U361="PAID","Account paid. Action completed.","Account closed. No further action required."),CHOOSE($Z361,"Collection Email","1st Email Follow-up","2nd Email Follow-up","Escalation to Local Office","Escalation to CBE","Escalation to Roxanne")&amp;" sent "&amp;TEXT($AA361,"dd-mmm")&amp;". "&amp;IF($Z361=6,"Final escalation completed.",IF($U361="OVERDUE","Next: "&amp;$AC361&amp;" was due "&amp;TEXT($AB361,"dd-mmm")&amp;" - "&amp;(NETWORKDAYS($AB361,TODAY(),Holidays)-1)&amp;" business day(s) late. Send now.",IF($U361="DUE TOMORROW","Next: "&amp;$AC361&amp;IF($AB361&lt;=TODAY()," is due TODAY ("," is due next business day (")&amp;TEXT($AB361,"dd-mmm")&amp;").","Next: "&amp;$AC361&amp;" due "&amp;TEXT($AB361,"dd-mmm")&amp;" ("&amp;(NETWORKDAYS(TODAY(),$AB361,Holidays)-1)&amp;" business day(s) left).")))))</f>
        <v/>
      </c>
      <c r="W361" s="17">
        <f>IF($Z361="","",CHOOSE($Z361,"Collection Email","1st Follow-up","2nd Follow-up","Local Office","CBE","Roxanne")&amp;IF($Z361=6," - Final"," - Day "&amp;MAX(0,NETWORKDAYS($AA361,TODAY(),Holidays)-1)&amp;" of "&amp;CHOOSE($Z361,3,3,2,2,3))&amp;" | Total Day "&amp;MAX(0,NETWORKDAYS($N361,TODAY(),Holidays)-1))</f>
        <v/>
      </c>
      <c r="X361" s="18"/>
      <c r="Y361" s="18"/>
      <c r="Z361" s="17">
        <f>IF($N361="","",COUNT($N361:$S361))</f>
        <v/>
      </c>
      <c r="AA361" s="19">
        <f>IF($Z361="","",INT(INDEX($N361:$S361,$Z361)))</f>
        <v/>
      </c>
      <c r="AB361" s="19">
        <f>IF(OR($Z361="",$Z361=6),"",WORKDAY($AA361,CHOOSE($Z361,3,3,2,2,3),Holidays))</f>
        <v/>
      </c>
      <c r="AC361" s="17">
        <f>IF(OR($Z361="",$Z361=6),"",CHOOSE($Z361,"1st Email Follow-up","2nd Email Follow-up","Escalate Local Office","Escalate to CBE","Escalate to Roxanne"))</f>
        <v/>
      </c>
    </row>
    <row r="362" spans="13:29">
      <c r="M362" s="14"/>
      <c r="T362" s="16"/>
      <c r="U362" s="17">
        <f>IF(AND(COUNTA($A362:$L362)=0,$N362=""),"",IF($T362="Paid","PAID",IF($T362="Closed","CLOSED",IF($Z362="","",IF($Z362=6,"ESCALATED TO ROXANNE",IF(TODAY()&gt;$AB362,"OVERDUE",IF($AB362&lt;=WORKDAY(TODAY(),1,Holidays),"DUE TOMORROW",IF($Z362=4,"ESCALATED TO LOCAL OFFICE",IF($Z362=5,"ESCALATED TO CBE",IF($AA362=TODAY(),"EMAIL SENT","MONITORING"))))))))))</f>
        <v/>
      </c>
      <c r="V362" s="17">
        <f>IF($U362="",IF(AND(COUNTA($A362:$L362)&gt;0,$N362=""),"Awaiting Collection Email time stamp.",""),IF(OR($U362="PAID",$U362="CLOSED"),IF($U362="PAID","Account paid. Action completed.","Account closed. No further action required."),CHOOSE($Z362,"Collection Email","1st Email Follow-up","2nd Email Follow-up","Escalation to Local Office","Escalation to CBE","Escalation to Roxanne")&amp;" sent "&amp;TEXT($AA362,"dd-mmm")&amp;". "&amp;IF($Z362=6,"Final escalation completed.",IF($U362="OVERDUE","Next: "&amp;$AC362&amp;" was due "&amp;TEXT($AB362,"dd-mmm")&amp;" - "&amp;(NETWORKDAYS($AB362,TODAY(),Holidays)-1)&amp;" business day(s) late. Send now.",IF($U362="DUE TOMORROW","Next: "&amp;$AC362&amp;IF($AB362&lt;=TODAY()," is due TODAY ("," is due next business day (")&amp;TEXT($AB362,"dd-mmm")&amp;").","Next: "&amp;$AC362&amp;" due "&amp;TEXT($AB362,"dd-mmm")&amp;" ("&amp;(NETWORKDAYS(TODAY(),$AB362,Holidays)-1)&amp;" business day(s) left).")))))</f>
        <v/>
      </c>
      <c r="W362" s="17">
        <f>IF($Z362="","",CHOOSE($Z362,"Collection Email","1st Follow-up","2nd Follow-up","Local Office","CBE","Roxanne")&amp;IF($Z362=6," - Final"," - Day "&amp;MAX(0,NETWORKDAYS($AA362,TODAY(),Holidays)-1)&amp;" of "&amp;CHOOSE($Z362,3,3,2,2,3))&amp;" | Total Day "&amp;MAX(0,NETWORKDAYS($N362,TODAY(),Holidays)-1))</f>
        <v/>
      </c>
      <c r="X362" s="18"/>
      <c r="Y362" s="18"/>
      <c r="Z362" s="17">
        <f>IF($N362="","",COUNT($N362:$S362))</f>
        <v/>
      </c>
      <c r="AA362" s="19">
        <f>IF($Z362="","",INT(INDEX($N362:$S362,$Z362)))</f>
        <v/>
      </c>
      <c r="AB362" s="19">
        <f>IF(OR($Z362="",$Z362=6),"",WORKDAY($AA362,CHOOSE($Z362,3,3,2,2,3),Holidays))</f>
        <v/>
      </c>
      <c r="AC362" s="17">
        <f>IF(OR($Z362="",$Z362=6),"",CHOOSE($Z362,"1st Email Follow-up","2nd Email Follow-up","Escalate Local Office","Escalate to CBE","Escalate to Roxanne"))</f>
        <v/>
      </c>
    </row>
    <row r="363" spans="13:29">
      <c r="M363" s="14"/>
      <c r="T363" s="16"/>
      <c r="U363" s="17">
        <f>IF(AND(COUNTA($A363:$L363)=0,$N363=""),"",IF($T363="Paid","PAID",IF($T363="Closed","CLOSED",IF($Z363="","",IF($Z363=6,"ESCALATED TO ROXANNE",IF(TODAY()&gt;$AB363,"OVERDUE",IF($AB363&lt;=WORKDAY(TODAY(),1,Holidays),"DUE TOMORROW",IF($Z363=4,"ESCALATED TO LOCAL OFFICE",IF($Z363=5,"ESCALATED TO CBE",IF($AA363=TODAY(),"EMAIL SENT","MONITORING"))))))))))</f>
        <v/>
      </c>
      <c r="V363" s="17">
        <f>IF($U363="",IF(AND(COUNTA($A363:$L363)&gt;0,$N363=""),"Awaiting Collection Email time stamp.",""),IF(OR($U363="PAID",$U363="CLOSED"),IF($U363="PAID","Account paid. Action completed.","Account closed. No further action required."),CHOOSE($Z363,"Collection Email","1st Email Follow-up","2nd Email Follow-up","Escalation to Local Office","Escalation to CBE","Escalation to Roxanne")&amp;" sent "&amp;TEXT($AA363,"dd-mmm")&amp;". "&amp;IF($Z363=6,"Final escalation completed.",IF($U363="OVERDUE","Next: "&amp;$AC363&amp;" was due "&amp;TEXT($AB363,"dd-mmm")&amp;" - "&amp;(NETWORKDAYS($AB363,TODAY(),Holidays)-1)&amp;" business day(s) late. Send now.",IF($U363="DUE TOMORROW","Next: "&amp;$AC363&amp;IF($AB363&lt;=TODAY()," is due TODAY ("," is due next business day (")&amp;TEXT($AB363,"dd-mmm")&amp;").","Next: "&amp;$AC363&amp;" due "&amp;TEXT($AB363,"dd-mmm")&amp;" ("&amp;(NETWORKDAYS(TODAY(),$AB363,Holidays)-1)&amp;" business day(s) left).")))))</f>
        <v/>
      </c>
      <c r="W363" s="17">
        <f>IF($Z363="","",CHOOSE($Z363,"Collection Email","1st Follow-up","2nd Follow-up","Local Office","CBE","Roxanne")&amp;IF($Z363=6," - Final"," - Day "&amp;MAX(0,NETWORKDAYS($AA363,TODAY(),Holidays)-1)&amp;" of "&amp;CHOOSE($Z363,3,3,2,2,3))&amp;" | Total Day "&amp;MAX(0,NETWORKDAYS($N363,TODAY(),Holidays)-1))</f>
        <v/>
      </c>
      <c r="X363" s="18"/>
      <c r="Y363" s="18"/>
      <c r="Z363" s="17">
        <f>IF($N363="","",COUNT($N363:$S363))</f>
        <v/>
      </c>
      <c r="AA363" s="19">
        <f>IF($Z363="","",INT(INDEX($N363:$S363,$Z363)))</f>
        <v/>
      </c>
      <c r="AB363" s="19">
        <f>IF(OR($Z363="",$Z363=6),"",WORKDAY($AA363,CHOOSE($Z363,3,3,2,2,3),Holidays))</f>
        <v/>
      </c>
      <c r="AC363" s="17">
        <f>IF(OR($Z363="",$Z363=6),"",CHOOSE($Z363,"1st Email Follow-up","2nd Email Follow-up","Escalate Local Office","Escalate to CBE","Escalate to Roxanne"))</f>
        <v/>
      </c>
    </row>
    <row r="364" spans="13:29">
      <c r="M364" s="14"/>
      <c r="T364" s="16"/>
      <c r="U364" s="17">
        <f>IF(AND(COUNTA($A364:$L364)=0,$N364=""),"",IF($T364="Paid","PAID",IF($T364="Closed","CLOSED",IF($Z364="","",IF($Z364=6,"ESCALATED TO ROXANNE",IF(TODAY()&gt;$AB364,"OVERDUE",IF($AB364&lt;=WORKDAY(TODAY(),1,Holidays),"DUE TOMORROW",IF($Z364=4,"ESCALATED TO LOCAL OFFICE",IF($Z364=5,"ESCALATED TO CBE",IF($AA364=TODAY(),"EMAIL SENT","MONITORING"))))))))))</f>
        <v/>
      </c>
      <c r="V364" s="17">
        <f>IF($U364="",IF(AND(COUNTA($A364:$L364)&gt;0,$N364=""),"Awaiting Collection Email time stamp.",""),IF(OR($U364="PAID",$U364="CLOSED"),IF($U364="PAID","Account paid. Action completed.","Account closed. No further action required."),CHOOSE($Z364,"Collection Email","1st Email Follow-up","2nd Email Follow-up","Escalation to Local Office","Escalation to CBE","Escalation to Roxanne")&amp;" sent "&amp;TEXT($AA364,"dd-mmm")&amp;". "&amp;IF($Z364=6,"Final escalation completed.",IF($U364="OVERDUE","Next: "&amp;$AC364&amp;" was due "&amp;TEXT($AB364,"dd-mmm")&amp;" - "&amp;(NETWORKDAYS($AB364,TODAY(),Holidays)-1)&amp;" business day(s) late. Send now.",IF($U364="DUE TOMORROW","Next: "&amp;$AC364&amp;IF($AB364&lt;=TODAY()," is due TODAY ("," is due next business day (")&amp;TEXT($AB364,"dd-mmm")&amp;").","Next: "&amp;$AC364&amp;" due "&amp;TEXT($AB364,"dd-mmm")&amp;" ("&amp;(NETWORKDAYS(TODAY(),$AB364,Holidays)-1)&amp;" business day(s) left).")))))</f>
        <v/>
      </c>
      <c r="W364" s="17">
        <f>IF($Z364="","",CHOOSE($Z364,"Collection Email","1st Follow-up","2nd Follow-up","Local Office","CBE","Roxanne")&amp;IF($Z364=6," - Final"," - Day "&amp;MAX(0,NETWORKDAYS($AA364,TODAY(),Holidays)-1)&amp;" of "&amp;CHOOSE($Z364,3,3,2,2,3))&amp;" | Total Day "&amp;MAX(0,NETWORKDAYS($N364,TODAY(),Holidays)-1))</f>
        <v/>
      </c>
      <c r="X364" s="18"/>
      <c r="Y364" s="18"/>
      <c r="Z364" s="17">
        <f>IF($N364="","",COUNT($N364:$S364))</f>
        <v/>
      </c>
      <c r="AA364" s="19">
        <f>IF($Z364="","",INT(INDEX($N364:$S364,$Z364)))</f>
        <v/>
      </c>
      <c r="AB364" s="19">
        <f>IF(OR($Z364="",$Z364=6),"",WORKDAY($AA364,CHOOSE($Z364,3,3,2,2,3),Holidays))</f>
        <v/>
      </c>
      <c r="AC364" s="17">
        <f>IF(OR($Z364="",$Z364=6),"",CHOOSE($Z364,"1st Email Follow-up","2nd Email Follow-up","Escalate Local Office","Escalate to CBE","Escalate to Roxanne"))</f>
        <v/>
      </c>
    </row>
    <row r="365" spans="13:29">
      <c r="M365" s="14"/>
      <c r="T365" s="16"/>
      <c r="U365" s="17">
        <f>IF(AND(COUNTA($A365:$L365)=0,$N365=""),"",IF($T365="Paid","PAID",IF($T365="Closed","CLOSED",IF($Z365="","",IF($Z365=6,"ESCALATED TO ROXANNE",IF(TODAY()&gt;$AB365,"OVERDUE",IF($AB365&lt;=WORKDAY(TODAY(),1,Holidays),"DUE TOMORROW",IF($Z365=4,"ESCALATED TO LOCAL OFFICE",IF($Z365=5,"ESCALATED TO CBE",IF($AA365=TODAY(),"EMAIL SENT","MONITORING"))))))))))</f>
        <v/>
      </c>
      <c r="V365" s="17">
        <f>IF($U365="",IF(AND(COUNTA($A365:$L365)&gt;0,$N365=""),"Awaiting Collection Email time stamp.",""),IF(OR($U365="PAID",$U365="CLOSED"),IF($U365="PAID","Account paid. Action completed.","Account closed. No further action required."),CHOOSE($Z365,"Collection Email","1st Email Follow-up","2nd Email Follow-up","Escalation to Local Office","Escalation to CBE","Escalation to Roxanne")&amp;" sent "&amp;TEXT($AA365,"dd-mmm")&amp;". "&amp;IF($Z365=6,"Final escalation completed.",IF($U365="OVERDUE","Next: "&amp;$AC365&amp;" was due "&amp;TEXT($AB365,"dd-mmm")&amp;" - "&amp;(NETWORKDAYS($AB365,TODAY(),Holidays)-1)&amp;" business day(s) late. Send now.",IF($U365="DUE TOMORROW","Next: "&amp;$AC365&amp;IF($AB365&lt;=TODAY()," is due TODAY ("," is due next business day (")&amp;TEXT($AB365,"dd-mmm")&amp;").","Next: "&amp;$AC365&amp;" due "&amp;TEXT($AB365,"dd-mmm")&amp;" ("&amp;(NETWORKDAYS(TODAY(),$AB365,Holidays)-1)&amp;" business day(s) left).")))))</f>
        <v/>
      </c>
      <c r="W365" s="17">
        <f>IF($Z365="","",CHOOSE($Z365,"Collection Email","1st Follow-up","2nd Follow-up","Local Office","CBE","Roxanne")&amp;IF($Z365=6," - Final"," - Day "&amp;MAX(0,NETWORKDAYS($AA365,TODAY(),Holidays)-1)&amp;" of "&amp;CHOOSE($Z365,3,3,2,2,3))&amp;" | Total Day "&amp;MAX(0,NETWORKDAYS($N365,TODAY(),Holidays)-1))</f>
        <v/>
      </c>
      <c r="X365" s="18"/>
      <c r="Y365" s="18"/>
      <c r="Z365" s="17">
        <f>IF($N365="","",COUNT($N365:$S365))</f>
        <v/>
      </c>
      <c r="AA365" s="19">
        <f>IF($Z365="","",INT(INDEX($N365:$S365,$Z365)))</f>
        <v/>
      </c>
      <c r="AB365" s="19">
        <f>IF(OR($Z365="",$Z365=6),"",WORKDAY($AA365,CHOOSE($Z365,3,3,2,2,3),Holidays))</f>
        <v/>
      </c>
      <c r="AC365" s="17">
        <f>IF(OR($Z365="",$Z365=6),"",CHOOSE($Z365,"1st Email Follow-up","2nd Email Follow-up","Escalate Local Office","Escalate to CBE","Escalate to Roxanne"))</f>
        <v/>
      </c>
    </row>
    <row r="366" spans="13:29">
      <c r="M366" s="14"/>
      <c r="T366" s="16"/>
      <c r="U366" s="17">
        <f>IF(AND(COUNTA($A366:$L366)=0,$N366=""),"",IF($T366="Paid","PAID",IF($T366="Closed","CLOSED",IF($Z366="","",IF($Z366=6,"ESCALATED TO ROXANNE",IF(TODAY()&gt;$AB366,"OVERDUE",IF($AB366&lt;=WORKDAY(TODAY(),1,Holidays),"DUE TOMORROW",IF($Z366=4,"ESCALATED TO LOCAL OFFICE",IF($Z366=5,"ESCALATED TO CBE",IF($AA366=TODAY(),"EMAIL SENT","MONITORING"))))))))))</f>
        <v/>
      </c>
      <c r="V366" s="17">
        <f>IF($U366="",IF(AND(COUNTA($A366:$L366)&gt;0,$N366=""),"Awaiting Collection Email time stamp.",""),IF(OR($U366="PAID",$U366="CLOSED"),IF($U366="PAID","Account paid. Action completed.","Account closed. No further action required."),CHOOSE($Z366,"Collection Email","1st Email Follow-up","2nd Email Follow-up","Escalation to Local Office","Escalation to CBE","Escalation to Roxanne")&amp;" sent "&amp;TEXT($AA366,"dd-mmm")&amp;". "&amp;IF($Z366=6,"Final escalation completed.",IF($U366="OVERDUE","Next: "&amp;$AC366&amp;" was due "&amp;TEXT($AB366,"dd-mmm")&amp;" - "&amp;(NETWORKDAYS($AB366,TODAY(),Holidays)-1)&amp;" business day(s) late. Send now.",IF($U366="DUE TOMORROW","Next: "&amp;$AC366&amp;IF($AB366&lt;=TODAY()," is due TODAY ("," is due next business day (")&amp;TEXT($AB366,"dd-mmm")&amp;").","Next: "&amp;$AC366&amp;" due "&amp;TEXT($AB366,"dd-mmm")&amp;" ("&amp;(NETWORKDAYS(TODAY(),$AB366,Holidays)-1)&amp;" business day(s) left).")))))</f>
        <v/>
      </c>
      <c r="W366" s="17">
        <f>IF($Z366="","",CHOOSE($Z366,"Collection Email","1st Follow-up","2nd Follow-up","Local Office","CBE","Roxanne")&amp;IF($Z366=6," - Final"," - Day "&amp;MAX(0,NETWORKDAYS($AA366,TODAY(),Holidays)-1)&amp;" of "&amp;CHOOSE($Z366,3,3,2,2,3))&amp;" | Total Day "&amp;MAX(0,NETWORKDAYS($N366,TODAY(),Holidays)-1))</f>
        <v/>
      </c>
      <c r="X366" s="18"/>
      <c r="Y366" s="18"/>
      <c r="Z366" s="17">
        <f>IF($N366="","",COUNT($N366:$S366))</f>
        <v/>
      </c>
      <c r="AA366" s="19">
        <f>IF($Z366="","",INT(INDEX($N366:$S366,$Z366)))</f>
        <v/>
      </c>
      <c r="AB366" s="19">
        <f>IF(OR($Z366="",$Z366=6),"",WORKDAY($AA366,CHOOSE($Z366,3,3,2,2,3),Holidays))</f>
        <v/>
      </c>
      <c r="AC366" s="17">
        <f>IF(OR($Z366="",$Z366=6),"",CHOOSE($Z366,"1st Email Follow-up","2nd Email Follow-up","Escalate Local Office","Escalate to CBE","Escalate to Roxanne"))</f>
        <v/>
      </c>
    </row>
    <row r="367" spans="13:29">
      <c r="M367" s="14"/>
      <c r="T367" s="16"/>
      <c r="U367" s="17">
        <f>IF(AND(COUNTA($A367:$L367)=0,$N367=""),"",IF($T367="Paid","PAID",IF($T367="Closed","CLOSED",IF($Z367="","",IF($Z367=6,"ESCALATED TO ROXANNE",IF(TODAY()&gt;$AB367,"OVERDUE",IF($AB367&lt;=WORKDAY(TODAY(),1,Holidays),"DUE TOMORROW",IF($Z367=4,"ESCALATED TO LOCAL OFFICE",IF($Z367=5,"ESCALATED TO CBE",IF($AA367=TODAY(),"EMAIL SENT","MONITORING"))))))))))</f>
        <v/>
      </c>
      <c r="V367" s="17">
        <f>IF($U367="",IF(AND(COUNTA($A367:$L367)&gt;0,$N367=""),"Awaiting Collection Email time stamp.",""),IF(OR($U367="PAID",$U367="CLOSED"),IF($U367="PAID","Account paid. Action completed.","Account closed. No further action required."),CHOOSE($Z367,"Collection Email","1st Email Follow-up","2nd Email Follow-up","Escalation to Local Office","Escalation to CBE","Escalation to Roxanne")&amp;" sent "&amp;TEXT($AA367,"dd-mmm")&amp;". "&amp;IF($Z367=6,"Final escalation completed.",IF($U367="OVERDUE","Next: "&amp;$AC367&amp;" was due "&amp;TEXT($AB367,"dd-mmm")&amp;" - "&amp;(NETWORKDAYS($AB367,TODAY(),Holidays)-1)&amp;" business day(s) late. Send now.",IF($U367="DUE TOMORROW","Next: "&amp;$AC367&amp;IF($AB367&lt;=TODAY()," is due TODAY ("," is due next business day (")&amp;TEXT($AB367,"dd-mmm")&amp;").","Next: "&amp;$AC367&amp;" due "&amp;TEXT($AB367,"dd-mmm")&amp;" ("&amp;(NETWORKDAYS(TODAY(),$AB367,Holidays)-1)&amp;" business day(s) left).")))))</f>
        <v/>
      </c>
      <c r="W367" s="17">
        <f>IF($Z367="","",CHOOSE($Z367,"Collection Email","1st Follow-up","2nd Follow-up","Local Office","CBE","Roxanne")&amp;IF($Z367=6," - Final"," - Day "&amp;MAX(0,NETWORKDAYS($AA367,TODAY(),Holidays)-1)&amp;" of "&amp;CHOOSE($Z367,3,3,2,2,3))&amp;" | Total Day "&amp;MAX(0,NETWORKDAYS($N367,TODAY(),Holidays)-1))</f>
        <v/>
      </c>
      <c r="X367" s="18"/>
      <c r="Y367" s="18"/>
      <c r="Z367" s="17">
        <f>IF($N367="","",COUNT($N367:$S367))</f>
        <v/>
      </c>
      <c r="AA367" s="19">
        <f>IF($Z367="","",INT(INDEX($N367:$S367,$Z367)))</f>
        <v/>
      </c>
      <c r="AB367" s="19">
        <f>IF(OR($Z367="",$Z367=6),"",WORKDAY($AA367,CHOOSE($Z367,3,3,2,2,3),Holidays))</f>
        <v/>
      </c>
      <c r="AC367" s="17">
        <f>IF(OR($Z367="",$Z367=6),"",CHOOSE($Z367,"1st Email Follow-up","2nd Email Follow-up","Escalate Local Office","Escalate to CBE","Escalate to Roxanne"))</f>
        <v/>
      </c>
    </row>
    <row r="368" spans="13:29">
      <c r="M368" s="14"/>
      <c r="T368" s="16"/>
      <c r="U368" s="17">
        <f>IF(AND(COUNTA($A368:$L368)=0,$N368=""),"",IF($T368="Paid","PAID",IF($T368="Closed","CLOSED",IF($Z368="","",IF($Z368=6,"ESCALATED TO ROXANNE",IF(TODAY()&gt;$AB368,"OVERDUE",IF($AB368&lt;=WORKDAY(TODAY(),1,Holidays),"DUE TOMORROW",IF($Z368=4,"ESCALATED TO LOCAL OFFICE",IF($Z368=5,"ESCALATED TO CBE",IF($AA368=TODAY(),"EMAIL SENT","MONITORING"))))))))))</f>
        <v/>
      </c>
      <c r="V368" s="17">
        <f>IF($U368="",IF(AND(COUNTA($A368:$L368)&gt;0,$N368=""),"Awaiting Collection Email time stamp.",""),IF(OR($U368="PAID",$U368="CLOSED"),IF($U368="PAID","Account paid. Action completed.","Account closed. No further action required."),CHOOSE($Z368,"Collection Email","1st Email Follow-up","2nd Email Follow-up","Escalation to Local Office","Escalation to CBE","Escalation to Roxanne")&amp;" sent "&amp;TEXT($AA368,"dd-mmm")&amp;". "&amp;IF($Z368=6,"Final escalation completed.",IF($U368="OVERDUE","Next: "&amp;$AC368&amp;" was due "&amp;TEXT($AB368,"dd-mmm")&amp;" - "&amp;(NETWORKDAYS($AB368,TODAY(),Holidays)-1)&amp;" business day(s) late. Send now.",IF($U368="DUE TOMORROW","Next: "&amp;$AC368&amp;IF($AB368&lt;=TODAY()," is due TODAY ("," is due next business day (")&amp;TEXT($AB368,"dd-mmm")&amp;").","Next: "&amp;$AC368&amp;" due "&amp;TEXT($AB368,"dd-mmm")&amp;" ("&amp;(NETWORKDAYS(TODAY(),$AB368,Holidays)-1)&amp;" business day(s) left).")))))</f>
        <v/>
      </c>
      <c r="W368" s="17">
        <f>IF($Z368="","",CHOOSE($Z368,"Collection Email","1st Follow-up","2nd Follow-up","Local Office","CBE","Roxanne")&amp;IF($Z368=6," - Final"," - Day "&amp;MAX(0,NETWORKDAYS($AA368,TODAY(),Holidays)-1)&amp;" of "&amp;CHOOSE($Z368,3,3,2,2,3))&amp;" | Total Day "&amp;MAX(0,NETWORKDAYS($N368,TODAY(),Holidays)-1))</f>
        <v/>
      </c>
      <c r="X368" s="18"/>
      <c r="Y368" s="18"/>
      <c r="Z368" s="17">
        <f>IF($N368="","",COUNT($N368:$S368))</f>
        <v/>
      </c>
      <c r="AA368" s="19">
        <f>IF($Z368="","",INT(INDEX($N368:$S368,$Z368)))</f>
        <v/>
      </c>
      <c r="AB368" s="19">
        <f>IF(OR($Z368="",$Z368=6),"",WORKDAY($AA368,CHOOSE($Z368,3,3,2,2,3),Holidays))</f>
        <v/>
      </c>
      <c r="AC368" s="17">
        <f>IF(OR($Z368="",$Z368=6),"",CHOOSE($Z368,"1st Email Follow-up","2nd Email Follow-up","Escalate Local Office","Escalate to CBE","Escalate to Roxanne"))</f>
        <v/>
      </c>
    </row>
    <row r="369" spans="13:29">
      <c r="M369" s="14"/>
      <c r="T369" s="16"/>
      <c r="U369" s="17">
        <f>IF(AND(COUNTA($A369:$L369)=0,$N369=""),"",IF($T369="Paid","PAID",IF($T369="Closed","CLOSED",IF($Z369="","",IF($Z369=6,"ESCALATED TO ROXANNE",IF(TODAY()&gt;$AB369,"OVERDUE",IF($AB369&lt;=WORKDAY(TODAY(),1,Holidays),"DUE TOMORROW",IF($Z369=4,"ESCALATED TO LOCAL OFFICE",IF($Z369=5,"ESCALATED TO CBE",IF($AA369=TODAY(),"EMAIL SENT","MONITORING"))))))))))</f>
        <v/>
      </c>
      <c r="V369" s="17">
        <f>IF($U369="",IF(AND(COUNTA($A369:$L369)&gt;0,$N369=""),"Awaiting Collection Email time stamp.",""),IF(OR($U369="PAID",$U369="CLOSED"),IF($U369="PAID","Account paid. Action completed.","Account closed. No further action required."),CHOOSE($Z369,"Collection Email","1st Email Follow-up","2nd Email Follow-up","Escalation to Local Office","Escalation to CBE","Escalation to Roxanne")&amp;" sent "&amp;TEXT($AA369,"dd-mmm")&amp;". "&amp;IF($Z369=6,"Final escalation completed.",IF($U369="OVERDUE","Next: "&amp;$AC369&amp;" was due "&amp;TEXT($AB369,"dd-mmm")&amp;" - "&amp;(NETWORKDAYS($AB369,TODAY(),Holidays)-1)&amp;" business day(s) late. Send now.",IF($U369="DUE TOMORROW","Next: "&amp;$AC369&amp;IF($AB369&lt;=TODAY()," is due TODAY ("," is due next business day (")&amp;TEXT($AB369,"dd-mmm")&amp;").","Next: "&amp;$AC369&amp;" due "&amp;TEXT($AB369,"dd-mmm")&amp;" ("&amp;(NETWORKDAYS(TODAY(),$AB369,Holidays)-1)&amp;" business day(s) left).")))))</f>
        <v/>
      </c>
      <c r="W369" s="17">
        <f>IF($Z369="","",CHOOSE($Z369,"Collection Email","1st Follow-up","2nd Follow-up","Local Office","CBE","Roxanne")&amp;IF($Z369=6," - Final"," - Day "&amp;MAX(0,NETWORKDAYS($AA369,TODAY(),Holidays)-1)&amp;" of "&amp;CHOOSE($Z369,3,3,2,2,3))&amp;" | Total Day "&amp;MAX(0,NETWORKDAYS($N369,TODAY(),Holidays)-1))</f>
        <v/>
      </c>
      <c r="X369" s="18"/>
      <c r="Y369" s="18"/>
      <c r="Z369" s="17">
        <f>IF($N369="","",COUNT($N369:$S369))</f>
        <v/>
      </c>
      <c r="AA369" s="19">
        <f>IF($Z369="","",INT(INDEX($N369:$S369,$Z369)))</f>
        <v/>
      </c>
      <c r="AB369" s="19">
        <f>IF(OR($Z369="",$Z369=6),"",WORKDAY($AA369,CHOOSE($Z369,3,3,2,2,3),Holidays))</f>
        <v/>
      </c>
      <c r="AC369" s="17">
        <f>IF(OR($Z369="",$Z369=6),"",CHOOSE($Z369,"1st Email Follow-up","2nd Email Follow-up","Escalate Local Office","Escalate to CBE","Escalate to Roxanne"))</f>
        <v/>
      </c>
    </row>
    <row r="370" spans="13:29">
      <c r="M370" s="14"/>
      <c r="T370" s="16"/>
      <c r="U370" s="17">
        <f>IF(AND(COUNTA($A370:$L370)=0,$N370=""),"",IF($T370="Paid","PAID",IF($T370="Closed","CLOSED",IF($Z370="","",IF($Z370=6,"ESCALATED TO ROXANNE",IF(TODAY()&gt;$AB370,"OVERDUE",IF($AB370&lt;=WORKDAY(TODAY(),1,Holidays),"DUE TOMORROW",IF($Z370=4,"ESCALATED TO LOCAL OFFICE",IF($Z370=5,"ESCALATED TO CBE",IF($AA370=TODAY(),"EMAIL SENT","MONITORING"))))))))))</f>
        <v/>
      </c>
      <c r="V370" s="17">
        <f>IF($U370="",IF(AND(COUNTA($A370:$L370)&gt;0,$N370=""),"Awaiting Collection Email time stamp.",""),IF(OR($U370="PAID",$U370="CLOSED"),IF($U370="PAID","Account paid. Action completed.","Account closed. No further action required."),CHOOSE($Z370,"Collection Email","1st Email Follow-up","2nd Email Follow-up","Escalation to Local Office","Escalation to CBE","Escalation to Roxanne")&amp;" sent "&amp;TEXT($AA370,"dd-mmm")&amp;". "&amp;IF($Z370=6,"Final escalation completed.",IF($U370="OVERDUE","Next: "&amp;$AC370&amp;" was due "&amp;TEXT($AB370,"dd-mmm")&amp;" - "&amp;(NETWORKDAYS($AB370,TODAY(),Holidays)-1)&amp;" business day(s) late. Send now.",IF($U370="DUE TOMORROW","Next: "&amp;$AC370&amp;IF($AB370&lt;=TODAY()," is due TODAY ("," is due next business day (")&amp;TEXT($AB370,"dd-mmm")&amp;").","Next: "&amp;$AC370&amp;" due "&amp;TEXT($AB370,"dd-mmm")&amp;" ("&amp;(NETWORKDAYS(TODAY(),$AB370,Holidays)-1)&amp;" business day(s) left).")))))</f>
        <v/>
      </c>
      <c r="W370" s="17">
        <f>IF($Z370="","",CHOOSE($Z370,"Collection Email","1st Follow-up","2nd Follow-up","Local Office","CBE","Roxanne")&amp;IF($Z370=6," - Final"," - Day "&amp;MAX(0,NETWORKDAYS($AA370,TODAY(),Holidays)-1)&amp;" of "&amp;CHOOSE($Z370,3,3,2,2,3))&amp;" | Total Day "&amp;MAX(0,NETWORKDAYS($N370,TODAY(),Holidays)-1))</f>
        <v/>
      </c>
      <c r="X370" s="18"/>
      <c r="Y370" s="18"/>
      <c r="Z370" s="17">
        <f>IF($N370="","",COUNT($N370:$S370))</f>
        <v/>
      </c>
      <c r="AA370" s="19">
        <f>IF($Z370="","",INT(INDEX($N370:$S370,$Z370)))</f>
        <v/>
      </c>
      <c r="AB370" s="19">
        <f>IF(OR($Z370="",$Z370=6),"",WORKDAY($AA370,CHOOSE($Z370,3,3,2,2,3),Holidays))</f>
        <v/>
      </c>
      <c r="AC370" s="17">
        <f>IF(OR($Z370="",$Z370=6),"",CHOOSE($Z370,"1st Email Follow-up","2nd Email Follow-up","Escalate Local Office","Escalate to CBE","Escalate to Roxanne"))</f>
        <v/>
      </c>
    </row>
    <row r="371" spans="13:29">
      <c r="M371" s="14"/>
      <c r="T371" s="16"/>
      <c r="U371" s="17">
        <f>IF(AND(COUNTA($A371:$L371)=0,$N371=""),"",IF($T371="Paid","PAID",IF($T371="Closed","CLOSED",IF($Z371="","",IF($Z371=6,"ESCALATED TO ROXANNE",IF(TODAY()&gt;$AB371,"OVERDUE",IF($AB371&lt;=WORKDAY(TODAY(),1,Holidays),"DUE TOMORROW",IF($Z371=4,"ESCALATED TO LOCAL OFFICE",IF($Z371=5,"ESCALATED TO CBE",IF($AA371=TODAY(),"EMAIL SENT","MONITORING"))))))))))</f>
        <v/>
      </c>
      <c r="V371" s="17">
        <f>IF($U371="",IF(AND(COUNTA($A371:$L371)&gt;0,$N371=""),"Awaiting Collection Email time stamp.",""),IF(OR($U371="PAID",$U371="CLOSED"),IF($U371="PAID","Account paid. Action completed.","Account closed. No further action required."),CHOOSE($Z371,"Collection Email","1st Email Follow-up","2nd Email Follow-up","Escalation to Local Office","Escalation to CBE","Escalation to Roxanne")&amp;" sent "&amp;TEXT($AA371,"dd-mmm")&amp;". "&amp;IF($Z371=6,"Final escalation completed.",IF($U371="OVERDUE","Next: "&amp;$AC371&amp;" was due "&amp;TEXT($AB371,"dd-mmm")&amp;" - "&amp;(NETWORKDAYS($AB371,TODAY(),Holidays)-1)&amp;" business day(s) late. Send now.",IF($U371="DUE TOMORROW","Next: "&amp;$AC371&amp;IF($AB371&lt;=TODAY()," is due TODAY ("," is due next business day (")&amp;TEXT($AB371,"dd-mmm")&amp;").","Next: "&amp;$AC371&amp;" due "&amp;TEXT($AB371,"dd-mmm")&amp;" ("&amp;(NETWORKDAYS(TODAY(),$AB371,Holidays)-1)&amp;" business day(s) left).")))))</f>
        <v/>
      </c>
      <c r="W371" s="17">
        <f>IF($Z371="","",CHOOSE($Z371,"Collection Email","1st Follow-up","2nd Follow-up","Local Office","CBE","Roxanne")&amp;IF($Z371=6," - Final"," - Day "&amp;MAX(0,NETWORKDAYS($AA371,TODAY(),Holidays)-1)&amp;" of "&amp;CHOOSE($Z371,3,3,2,2,3))&amp;" | Total Day "&amp;MAX(0,NETWORKDAYS($N371,TODAY(),Holidays)-1))</f>
        <v/>
      </c>
      <c r="X371" s="18"/>
      <c r="Y371" s="18"/>
      <c r="Z371" s="17">
        <f>IF($N371="","",COUNT($N371:$S371))</f>
        <v/>
      </c>
      <c r="AA371" s="19">
        <f>IF($Z371="","",INT(INDEX($N371:$S371,$Z371)))</f>
        <v/>
      </c>
      <c r="AB371" s="19">
        <f>IF(OR($Z371="",$Z371=6),"",WORKDAY($AA371,CHOOSE($Z371,3,3,2,2,3),Holidays))</f>
        <v/>
      </c>
      <c r="AC371" s="17">
        <f>IF(OR($Z371="",$Z371=6),"",CHOOSE($Z371,"1st Email Follow-up","2nd Email Follow-up","Escalate Local Office","Escalate to CBE","Escalate to Roxanne"))</f>
        <v/>
      </c>
    </row>
    <row r="372" spans="13:29">
      <c r="M372" s="14"/>
      <c r="T372" s="16"/>
      <c r="U372" s="17">
        <f>IF(AND(COUNTA($A372:$L372)=0,$N372=""),"",IF($T372="Paid","PAID",IF($T372="Closed","CLOSED",IF($Z372="","",IF($Z372=6,"ESCALATED TO ROXANNE",IF(TODAY()&gt;$AB372,"OVERDUE",IF($AB372&lt;=WORKDAY(TODAY(),1,Holidays),"DUE TOMORROW",IF($Z372=4,"ESCALATED TO LOCAL OFFICE",IF($Z372=5,"ESCALATED TO CBE",IF($AA372=TODAY(),"EMAIL SENT","MONITORING"))))))))))</f>
        <v/>
      </c>
      <c r="V372" s="17">
        <f>IF($U372="",IF(AND(COUNTA($A372:$L372)&gt;0,$N372=""),"Awaiting Collection Email time stamp.",""),IF(OR($U372="PAID",$U372="CLOSED"),IF($U372="PAID","Account paid. Action completed.","Account closed. No further action required."),CHOOSE($Z372,"Collection Email","1st Email Follow-up","2nd Email Follow-up","Escalation to Local Office","Escalation to CBE","Escalation to Roxanne")&amp;" sent "&amp;TEXT($AA372,"dd-mmm")&amp;". "&amp;IF($Z372=6,"Final escalation completed.",IF($U372="OVERDUE","Next: "&amp;$AC372&amp;" was due "&amp;TEXT($AB372,"dd-mmm")&amp;" - "&amp;(NETWORKDAYS($AB372,TODAY(),Holidays)-1)&amp;" business day(s) late. Send now.",IF($U372="DUE TOMORROW","Next: "&amp;$AC372&amp;IF($AB372&lt;=TODAY()," is due TODAY ("," is due next business day (")&amp;TEXT($AB372,"dd-mmm")&amp;").","Next: "&amp;$AC372&amp;" due "&amp;TEXT($AB372,"dd-mmm")&amp;" ("&amp;(NETWORKDAYS(TODAY(),$AB372,Holidays)-1)&amp;" business day(s) left).")))))</f>
        <v/>
      </c>
      <c r="W372" s="17">
        <f>IF($Z372="","",CHOOSE($Z372,"Collection Email","1st Follow-up","2nd Follow-up","Local Office","CBE","Roxanne")&amp;IF($Z372=6," - Final"," - Day "&amp;MAX(0,NETWORKDAYS($AA372,TODAY(),Holidays)-1)&amp;" of "&amp;CHOOSE($Z372,3,3,2,2,3))&amp;" | Total Day "&amp;MAX(0,NETWORKDAYS($N372,TODAY(),Holidays)-1))</f>
        <v/>
      </c>
      <c r="X372" s="18"/>
      <c r="Y372" s="18"/>
      <c r="Z372" s="17">
        <f>IF($N372="","",COUNT($N372:$S372))</f>
        <v/>
      </c>
      <c r="AA372" s="19">
        <f>IF($Z372="","",INT(INDEX($N372:$S372,$Z372)))</f>
        <v/>
      </c>
      <c r="AB372" s="19">
        <f>IF(OR($Z372="",$Z372=6),"",WORKDAY($AA372,CHOOSE($Z372,3,3,2,2,3),Holidays))</f>
        <v/>
      </c>
      <c r="AC372" s="17">
        <f>IF(OR($Z372="",$Z372=6),"",CHOOSE($Z372,"1st Email Follow-up","2nd Email Follow-up","Escalate Local Office","Escalate to CBE","Escalate to Roxanne"))</f>
        <v/>
      </c>
    </row>
    <row r="373" spans="13:29">
      <c r="M373" s="14"/>
      <c r="T373" s="16"/>
      <c r="U373" s="17">
        <f>IF(AND(COUNTA($A373:$L373)=0,$N373=""),"",IF($T373="Paid","PAID",IF($T373="Closed","CLOSED",IF($Z373="","",IF($Z373=6,"ESCALATED TO ROXANNE",IF(TODAY()&gt;$AB373,"OVERDUE",IF($AB373&lt;=WORKDAY(TODAY(),1,Holidays),"DUE TOMORROW",IF($Z373=4,"ESCALATED TO LOCAL OFFICE",IF($Z373=5,"ESCALATED TO CBE",IF($AA373=TODAY(),"EMAIL SENT","MONITORING"))))))))))</f>
        <v/>
      </c>
      <c r="V373" s="17">
        <f>IF($U373="",IF(AND(COUNTA($A373:$L373)&gt;0,$N373=""),"Awaiting Collection Email time stamp.",""),IF(OR($U373="PAID",$U373="CLOSED"),IF($U373="PAID","Account paid. Action completed.","Account closed. No further action required."),CHOOSE($Z373,"Collection Email","1st Email Follow-up","2nd Email Follow-up","Escalation to Local Office","Escalation to CBE","Escalation to Roxanne")&amp;" sent "&amp;TEXT($AA373,"dd-mmm")&amp;". "&amp;IF($Z373=6,"Final escalation completed.",IF($U373="OVERDUE","Next: "&amp;$AC373&amp;" was due "&amp;TEXT($AB373,"dd-mmm")&amp;" - "&amp;(NETWORKDAYS($AB373,TODAY(),Holidays)-1)&amp;" business day(s) late. Send now.",IF($U373="DUE TOMORROW","Next: "&amp;$AC373&amp;IF($AB373&lt;=TODAY()," is due TODAY ("," is due next business day (")&amp;TEXT($AB373,"dd-mmm")&amp;").","Next: "&amp;$AC373&amp;" due "&amp;TEXT($AB373,"dd-mmm")&amp;" ("&amp;(NETWORKDAYS(TODAY(),$AB373,Holidays)-1)&amp;" business day(s) left).")))))</f>
        <v/>
      </c>
      <c r="W373" s="17">
        <f>IF($Z373="","",CHOOSE($Z373,"Collection Email","1st Follow-up","2nd Follow-up","Local Office","CBE","Roxanne")&amp;IF($Z373=6," - Final"," - Day "&amp;MAX(0,NETWORKDAYS($AA373,TODAY(),Holidays)-1)&amp;" of "&amp;CHOOSE($Z373,3,3,2,2,3))&amp;" | Total Day "&amp;MAX(0,NETWORKDAYS($N373,TODAY(),Holidays)-1))</f>
        <v/>
      </c>
      <c r="X373" s="18"/>
      <c r="Y373" s="18"/>
      <c r="Z373" s="17">
        <f>IF($N373="","",COUNT($N373:$S373))</f>
        <v/>
      </c>
      <c r="AA373" s="19">
        <f>IF($Z373="","",INT(INDEX($N373:$S373,$Z373)))</f>
        <v/>
      </c>
      <c r="AB373" s="19">
        <f>IF(OR($Z373="",$Z373=6),"",WORKDAY($AA373,CHOOSE($Z373,3,3,2,2,3),Holidays))</f>
        <v/>
      </c>
      <c r="AC373" s="17">
        <f>IF(OR($Z373="",$Z373=6),"",CHOOSE($Z373,"1st Email Follow-up","2nd Email Follow-up","Escalate Local Office","Escalate to CBE","Escalate to Roxanne"))</f>
        <v/>
      </c>
    </row>
    <row r="374" spans="13:29">
      <c r="M374" s="14"/>
      <c r="T374" s="16"/>
      <c r="U374" s="17">
        <f>IF(AND(COUNTA($A374:$L374)=0,$N374=""),"",IF($T374="Paid","PAID",IF($T374="Closed","CLOSED",IF($Z374="","",IF($Z374=6,"ESCALATED TO ROXANNE",IF(TODAY()&gt;$AB374,"OVERDUE",IF($AB374&lt;=WORKDAY(TODAY(),1,Holidays),"DUE TOMORROW",IF($Z374=4,"ESCALATED TO LOCAL OFFICE",IF($Z374=5,"ESCALATED TO CBE",IF($AA374=TODAY(),"EMAIL SENT","MONITORING"))))))))))</f>
        <v/>
      </c>
      <c r="V374" s="17">
        <f>IF($U374="",IF(AND(COUNTA($A374:$L374)&gt;0,$N374=""),"Awaiting Collection Email time stamp.",""),IF(OR($U374="PAID",$U374="CLOSED"),IF($U374="PAID","Account paid. Action completed.","Account closed. No further action required."),CHOOSE($Z374,"Collection Email","1st Email Follow-up","2nd Email Follow-up","Escalation to Local Office","Escalation to CBE","Escalation to Roxanne")&amp;" sent "&amp;TEXT($AA374,"dd-mmm")&amp;". "&amp;IF($Z374=6,"Final escalation completed.",IF($U374="OVERDUE","Next: "&amp;$AC374&amp;" was due "&amp;TEXT($AB374,"dd-mmm")&amp;" - "&amp;(NETWORKDAYS($AB374,TODAY(),Holidays)-1)&amp;" business day(s) late. Send now.",IF($U374="DUE TOMORROW","Next: "&amp;$AC374&amp;IF($AB374&lt;=TODAY()," is due TODAY ("," is due next business day (")&amp;TEXT($AB374,"dd-mmm")&amp;").","Next: "&amp;$AC374&amp;" due "&amp;TEXT($AB374,"dd-mmm")&amp;" ("&amp;(NETWORKDAYS(TODAY(),$AB374,Holidays)-1)&amp;" business day(s) left).")))))</f>
        <v/>
      </c>
      <c r="W374" s="17">
        <f>IF($Z374="","",CHOOSE($Z374,"Collection Email","1st Follow-up","2nd Follow-up","Local Office","CBE","Roxanne")&amp;IF($Z374=6," - Final"," - Day "&amp;MAX(0,NETWORKDAYS($AA374,TODAY(),Holidays)-1)&amp;" of "&amp;CHOOSE($Z374,3,3,2,2,3))&amp;" | Total Day "&amp;MAX(0,NETWORKDAYS($N374,TODAY(),Holidays)-1))</f>
        <v/>
      </c>
      <c r="X374" s="18"/>
      <c r="Y374" s="18"/>
      <c r="Z374" s="17">
        <f>IF($N374="","",COUNT($N374:$S374))</f>
        <v/>
      </c>
      <c r="AA374" s="19">
        <f>IF($Z374="","",INT(INDEX($N374:$S374,$Z374)))</f>
        <v/>
      </c>
      <c r="AB374" s="19">
        <f>IF(OR($Z374="",$Z374=6),"",WORKDAY($AA374,CHOOSE($Z374,3,3,2,2,3),Holidays))</f>
        <v/>
      </c>
      <c r="AC374" s="17">
        <f>IF(OR($Z374="",$Z374=6),"",CHOOSE($Z374,"1st Email Follow-up","2nd Email Follow-up","Escalate Local Office","Escalate to CBE","Escalate to Roxanne"))</f>
        <v/>
      </c>
    </row>
    <row r="375" spans="13:29">
      <c r="M375" s="14"/>
      <c r="T375" s="16"/>
      <c r="U375" s="17">
        <f>IF(AND(COUNTA($A375:$L375)=0,$N375=""),"",IF($T375="Paid","PAID",IF($T375="Closed","CLOSED",IF($Z375="","",IF($Z375=6,"ESCALATED TO ROXANNE",IF(TODAY()&gt;$AB375,"OVERDUE",IF($AB375&lt;=WORKDAY(TODAY(),1,Holidays),"DUE TOMORROW",IF($Z375=4,"ESCALATED TO LOCAL OFFICE",IF($Z375=5,"ESCALATED TO CBE",IF($AA375=TODAY(),"EMAIL SENT","MONITORING"))))))))))</f>
        <v/>
      </c>
      <c r="V375" s="17">
        <f>IF($U375="",IF(AND(COUNTA($A375:$L375)&gt;0,$N375=""),"Awaiting Collection Email time stamp.",""),IF(OR($U375="PAID",$U375="CLOSED"),IF($U375="PAID","Account paid. Action completed.","Account closed. No further action required."),CHOOSE($Z375,"Collection Email","1st Email Follow-up","2nd Email Follow-up","Escalation to Local Office","Escalation to CBE","Escalation to Roxanne")&amp;" sent "&amp;TEXT($AA375,"dd-mmm")&amp;". "&amp;IF($Z375=6,"Final escalation completed.",IF($U375="OVERDUE","Next: "&amp;$AC375&amp;" was due "&amp;TEXT($AB375,"dd-mmm")&amp;" - "&amp;(NETWORKDAYS($AB375,TODAY(),Holidays)-1)&amp;" business day(s) late. Send now.",IF($U375="DUE TOMORROW","Next: "&amp;$AC375&amp;IF($AB375&lt;=TODAY()," is due TODAY ("," is due next business day (")&amp;TEXT($AB375,"dd-mmm")&amp;").","Next: "&amp;$AC375&amp;" due "&amp;TEXT($AB375,"dd-mmm")&amp;" ("&amp;(NETWORKDAYS(TODAY(),$AB375,Holidays)-1)&amp;" business day(s) left).")))))</f>
        <v/>
      </c>
      <c r="W375" s="17">
        <f>IF($Z375="","",CHOOSE($Z375,"Collection Email","1st Follow-up","2nd Follow-up","Local Office","CBE","Roxanne")&amp;IF($Z375=6," - Final"," - Day "&amp;MAX(0,NETWORKDAYS($AA375,TODAY(),Holidays)-1)&amp;" of "&amp;CHOOSE($Z375,3,3,2,2,3))&amp;" | Total Day "&amp;MAX(0,NETWORKDAYS($N375,TODAY(),Holidays)-1))</f>
        <v/>
      </c>
      <c r="X375" s="18"/>
      <c r="Y375" s="18"/>
      <c r="Z375" s="17">
        <f>IF($N375="","",COUNT($N375:$S375))</f>
        <v/>
      </c>
      <c r="AA375" s="19">
        <f>IF($Z375="","",INT(INDEX($N375:$S375,$Z375)))</f>
        <v/>
      </c>
      <c r="AB375" s="19">
        <f>IF(OR($Z375="",$Z375=6),"",WORKDAY($AA375,CHOOSE($Z375,3,3,2,2,3),Holidays))</f>
        <v/>
      </c>
      <c r="AC375" s="17">
        <f>IF(OR($Z375="",$Z375=6),"",CHOOSE($Z375,"1st Email Follow-up","2nd Email Follow-up","Escalate Local Office","Escalate to CBE","Escalate to Roxanne"))</f>
        <v/>
      </c>
    </row>
    <row r="376" spans="13:29">
      <c r="M376" s="14"/>
      <c r="T376" s="16"/>
      <c r="U376" s="17">
        <f>IF(AND(COUNTA($A376:$L376)=0,$N376=""),"",IF($T376="Paid","PAID",IF($T376="Closed","CLOSED",IF($Z376="","",IF($Z376=6,"ESCALATED TO ROXANNE",IF(TODAY()&gt;$AB376,"OVERDUE",IF($AB376&lt;=WORKDAY(TODAY(),1,Holidays),"DUE TOMORROW",IF($Z376=4,"ESCALATED TO LOCAL OFFICE",IF($Z376=5,"ESCALATED TO CBE",IF($AA376=TODAY(),"EMAIL SENT","MONITORING"))))))))))</f>
        <v/>
      </c>
      <c r="V376" s="17">
        <f>IF($U376="",IF(AND(COUNTA($A376:$L376)&gt;0,$N376=""),"Awaiting Collection Email time stamp.",""),IF(OR($U376="PAID",$U376="CLOSED"),IF($U376="PAID","Account paid. Action completed.","Account closed. No further action required."),CHOOSE($Z376,"Collection Email","1st Email Follow-up","2nd Email Follow-up","Escalation to Local Office","Escalation to CBE","Escalation to Roxanne")&amp;" sent "&amp;TEXT($AA376,"dd-mmm")&amp;". "&amp;IF($Z376=6,"Final escalation completed.",IF($U376="OVERDUE","Next: "&amp;$AC376&amp;" was due "&amp;TEXT($AB376,"dd-mmm")&amp;" - "&amp;(NETWORKDAYS($AB376,TODAY(),Holidays)-1)&amp;" business day(s) late. Send now.",IF($U376="DUE TOMORROW","Next: "&amp;$AC376&amp;IF($AB376&lt;=TODAY()," is due TODAY ("," is due next business day (")&amp;TEXT($AB376,"dd-mmm")&amp;").","Next: "&amp;$AC376&amp;" due "&amp;TEXT($AB376,"dd-mmm")&amp;" ("&amp;(NETWORKDAYS(TODAY(),$AB376,Holidays)-1)&amp;" business day(s) left).")))))</f>
        <v/>
      </c>
      <c r="W376" s="17">
        <f>IF($Z376="","",CHOOSE($Z376,"Collection Email","1st Follow-up","2nd Follow-up","Local Office","CBE","Roxanne")&amp;IF($Z376=6," - Final"," - Day "&amp;MAX(0,NETWORKDAYS($AA376,TODAY(),Holidays)-1)&amp;" of "&amp;CHOOSE($Z376,3,3,2,2,3))&amp;" | Total Day "&amp;MAX(0,NETWORKDAYS($N376,TODAY(),Holidays)-1))</f>
        <v/>
      </c>
      <c r="X376" s="18"/>
      <c r="Y376" s="18"/>
      <c r="Z376" s="17">
        <f>IF($N376="","",COUNT($N376:$S376))</f>
        <v/>
      </c>
      <c r="AA376" s="19">
        <f>IF($Z376="","",INT(INDEX($N376:$S376,$Z376)))</f>
        <v/>
      </c>
      <c r="AB376" s="19">
        <f>IF(OR($Z376="",$Z376=6),"",WORKDAY($AA376,CHOOSE($Z376,3,3,2,2,3),Holidays))</f>
        <v/>
      </c>
      <c r="AC376" s="17">
        <f>IF(OR($Z376="",$Z376=6),"",CHOOSE($Z376,"1st Email Follow-up","2nd Email Follow-up","Escalate Local Office","Escalate to CBE","Escalate to Roxanne"))</f>
        <v/>
      </c>
    </row>
    <row r="377" spans="13:29">
      <c r="M377" s="14"/>
      <c r="T377" s="16"/>
      <c r="U377" s="17">
        <f>IF(AND(COUNTA($A377:$L377)=0,$N377=""),"",IF($T377="Paid","PAID",IF($T377="Closed","CLOSED",IF($Z377="","",IF($Z377=6,"ESCALATED TO ROXANNE",IF(TODAY()&gt;$AB377,"OVERDUE",IF($AB377&lt;=WORKDAY(TODAY(),1,Holidays),"DUE TOMORROW",IF($Z377=4,"ESCALATED TO LOCAL OFFICE",IF($Z377=5,"ESCALATED TO CBE",IF($AA377=TODAY(),"EMAIL SENT","MONITORING"))))))))))</f>
        <v/>
      </c>
      <c r="V377" s="17">
        <f>IF($U377="",IF(AND(COUNTA($A377:$L377)&gt;0,$N377=""),"Awaiting Collection Email time stamp.",""),IF(OR($U377="PAID",$U377="CLOSED"),IF($U377="PAID","Account paid. Action completed.","Account closed. No further action required."),CHOOSE($Z377,"Collection Email","1st Email Follow-up","2nd Email Follow-up","Escalation to Local Office","Escalation to CBE","Escalation to Roxanne")&amp;" sent "&amp;TEXT($AA377,"dd-mmm")&amp;". "&amp;IF($Z377=6,"Final escalation completed.",IF($U377="OVERDUE","Next: "&amp;$AC377&amp;" was due "&amp;TEXT($AB377,"dd-mmm")&amp;" - "&amp;(NETWORKDAYS($AB377,TODAY(),Holidays)-1)&amp;" business day(s) late. Send now.",IF($U377="DUE TOMORROW","Next: "&amp;$AC377&amp;IF($AB377&lt;=TODAY()," is due TODAY ("," is due next business day (")&amp;TEXT($AB377,"dd-mmm")&amp;").","Next: "&amp;$AC377&amp;" due "&amp;TEXT($AB377,"dd-mmm")&amp;" ("&amp;(NETWORKDAYS(TODAY(),$AB377,Holidays)-1)&amp;" business day(s) left).")))))</f>
        <v/>
      </c>
      <c r="W377" s="17">
        <f>IF($Z377="","",CHOOSE($Z377,"Collection Email","1st Follow-up","2nd Follow-up","Local Office","CBE","Roxanne")&amp;IF($Z377=6," - Final"," - Day "&amp;MAX(0,NETWORKDAYS($AA377,TODAY(),Holidays)-1)&amp;" of "&amp;CHOOSE($Z377,3,3,2,2,3))&amp;" | Total Day "&amp;MAX(0,NETWORKDAYS($N377,TODAY(),Holidays)-1))</f>
        <v/>
      </c>
      <c r="X377" s="18"/>
      <c r="Y377" s="18"/>
      <c r="Z377" s="17">
        <f>IF($N377="","",COUNT($N377:$S377))</f>
        <v/>
      </c>
      <c r="AA377" s="19">
        <f>IF($Z377="","",INT(INDEX($N377:$S377,$Z377)))</f>
        <v/>
      </c>
      <c r="AB377" s="19">
        <f>IF(OR($Z377="",$Z377=6),"",WORKDAY($AA377,CHOOSE($Z377,3,3,2,2,3),Holidays))</f>
        <v/>
      </c>
      <c r="AC377" s="17">
        <f>IF(OR($Z377="",$Z377=6),"",CHOOSE($Z377,"1st Email Follow-up","2nd Email Follow-up","Escalate Local Office","Escalate to CBE","Escalate to Roxanne"))</f>
        <v/>
      </c>
    </row>
    <row r="378" spans="13:29">
      <c r="M378" s="14"/>
      <c r="T378" s="16"/>
      <c r="U378" s="17">
        <f>IF(AND(COUNTA($A378:$L378)=0,$N378=""),"",IF($T378="Paid","PAID",IF($T378="Closed","CLOSED",IF($Z378="","",IF($Z378=6,"ESCALATED TO ROXANNE",IF(TODAY()&gt;$AB378,"OVERDUE",IF($AB378&lt;=WORKDAY(TODAY(),1,Holidays),"DUE TOMORROW",IF($Z378=4,"ESCALATED TO LOCAL OFFICE",IF($Z378=5,"ESCALATED TO CBE",IF($AA378=TODAY(),"EMAIL SENT","MONITORING"))))))))))</f>
        <v/>
      </c>
      <c r="V378" s="17">
        <f>IF($U378="",IF(AND(COUNTA($A378:$L378)&gt;0,$N378=""),"Awaiting Collection Email time stamp.",""),IF(OR($U378="PAID",$U378="CLOSED"),IF($U378="PAID","Account paid. Action completed.","Account closed. No further action required."),CHOOSE($Z378,"Collection Email","1st Email Follow-up","2nd Email Follow-up","Escalation to Local Office","Escalation to CBE","Escalation to Roxanne")&amp;" sent "&amp;TEXT($AA378,"dd-mmm")&amp;". "&amp;IF($Z378=6,"Final escalation completed.",IF($U378="OVERDUE","Next: "&amp;$AC378&amp;" was due "&amp;TEXT($AB378,"dd-mmm")&amp;" - "&amp;(NETWORKDAYS($AB378,TODAY(),Holidays)-1)&amp;" business day(s) late. Send now.",IF($U378="DUE TOMORROW","Next: "&amp;$AC378&amp;IF($AB378&lt;=TODAY()," is due TODAY ("," is due next business day (")&amp;TEXT($AB378,"dd-mmm")&amp;").","Next: "&amp;$AC378&amp;" due "&amp;TEXT($AB378,"dd-mmm")&amp;" ("&amp;(NETWORKDAYS(TODAY(),$AB378,Holidays)-1)&amp;" business day(s) left).")))))</f>
        <v/>
      </c>
      <c r="W378" s="17">
        <f>IF($Z378="","",CHOOSE($Z378,"Collection Email","1st Follow-up","2nd Follow-up","Local Office","CBE","Roxanne")&amp;IF($Z378=6," - Final"," - Day "&amp;MAX(0,NETWORKDAYS($AA378,TODAY(),Holidays)-1)&amp;" of "&amp;CHOOSE($Z378,3,3,2,2,3))&amp;" | Total Day "&amp;MAX(0,NETWORKDAYS($N378,TODAY(),Holidays)-1))</f>
        <v/>
      </c>
      <c r="X378" s="18"/>
      <c r="Y378" s="18"/>
      <c r="Z378" s="17">
        <f>IF($N378="","",COUNT($N378:$S378))</f>
        <v/>
      </c>
      <c r="AA378" s="19">
        <f>IF($Z378="","",INT(INDEX($N378:$S378,$Z378)))</f>
        <v/>
      </c>
      <c r="AB378" s="19">
        <f>IF(OR($Z378="",$Z378=6),"",WORKDAY($AA378,CHOOSE($Z378,3,3,2,2,3),Holidays))</f>
        <v/>
      </c>
      <c r="AC378" s="17">
        <f>IF(OR($Z378="",$Z378=6),"",CHOOSE($Z378,"1st Email Follow-up","2nd Email Follow-up","Escalate Local Office","Escalate to CBE","Escalate to Roxanne"))</f>
        <v/>
      </c>
    </row>
    <row r="379" spans="13:29">
      <c r="M379" s="14"/>
      <c r="T379" s="16"/>
      <c r="U379" s="17">
        <f>IF(AND(COUNTA($A379:$L379)=0,$N379=""),"",IF($T379="Paid","PAID",IF($T379="Closed","CLOSED",IF($Z379="","",IF($Z379=6,"ESCALATED TO ROXANNE",IF(TODAY()&gt;$AB379,"OVERDUE",IF($AB379&lt;=WORKDAY(TODAY(),1,Holidays),"DUE TOMORROW",IF($Z379=4,"ESCALATED TO LOCAL OFFICE",IF($Z379=5,"ESCALATED TO CBE",IF($AA379=TODAY(),"EMAIL SENT","MONITORING"))))))))))</f>
        <v/>
      </c>
      <c r="V379" s="17">
        <f>IF($U379="",IF(AND(COUNTA($A379:$L379)&gt;0,$N379=""),"Awaiting Collection Email time stamp.",""),IF(OR($U379="PAID",$U379="CLOSED"),IF($U379="PAID","Account paid. Action completed.","Account closed. No further action required."),CHOOSE($Z379,"Collection Email","1st Email Follow-up","2nd Email Follow-up","Escalation to Local Office","Escalation to CBE","Escalation to Roxanne")&amp;" sent "&amp;TEXT($AA379,"dd-mmm")&amp;". "&amp;IF($Z379=6,"Final escalation completed.",IF($U379="OVERDUE","Next: "&amp;$AC379&amp;" was due "&amp;TEXT($AB379,"dd-mmm")&amp;" - "&amp;(NETWORKDAYS($AB379,TODAY(),Holidays)-1)&amp;" business day(s) late. Send now.",IF($U379="DUE TOMORROW","Next: "&amp;$AC379&amp;IF($AB379&lt;=TODAY()," is due TODAY ("," is due next business day (")&amp;TEXT($AB379,"dd-mmm")&amp;").","Next: "&amp;$AC379&amp;" due "&amp;TEXT($AB379,"dd-mmm")&amp;" ("&amp;(NETWORKDAYS(TODAY(),$AB379,Holidays)-1)&amp;" business day(s) left).")))))</f>
        <v/>
      </c>
      <c r="W379" s="17">
        <f>IF($Z379="","",CHOOSE($Z379,"Collection Email","1st Follow-up","2nd Follow-up","Local Office","CBE","Roxanne")&amp;IF($Z379=6," - Final"," - Day "&amp;MAX(0,NETWORKDAYS($AA379,TODAY(),Holidays)-1)&amp;" of "&amp;CHOOSE($Z379,3,3,2,2,3))&amp;" | Total Day "&amp;MAX(0,NETWORKDAYS($N379,TODAY(),Holidays)-1))</f>
        <v/>
      </c>
      <c r="X379" s="18"/>
      <c r="Y379" s="18"/>
      <c r="Z379" s="17">
        <f>IF($N379="","",COUNT($N379:$S379))</f>
        <v/>
      </c>
      <c r="AA379" s="19">
        <f>IF($Z379="","",INT(INDEX($N379:$S379,$Z379)))</f>
        <v/>
      </c>
      <c r="AB379" s="19">
        <f>IF(OR($Z379="",$Z379=6),"",WORKDAY($AA379,CHOOSE($Z379,3,3,2,2,3),Holidays))</f>
        <v/>
      </c>
      <c r="AC379" s="17">
        <f>IF(OR($Z379="",$Z379=6),"",CHOOSE($Z379,"1st Email Follow-up","2nd Email Follow-up","Escalate Local Office","Escalate to CBE","Escalate to Roxanne"))</f>
        <v/>
      </c>
    </row>
    <row r="380" spans="13:29">
      <c r="M380" s="14"/>
      <c r="T380" s="16"/>
      <c r="U380" s="17">
        <f>IF(AND(COUNTA($A380:$L380)=0,$N380=""),"",IF($T380="Paid","PAID",IF($T380="Closed","CLOSED",IF($Z380="","",IF($Z380=6,"ESCALATED TO ROXANNE",IF(TODAY()&gt;$AB380,"OVERDUE",IF($AB380&lt;=WORKDAY(TODAY(),1,Holidays),"DUE TOMORROW",IF($Z380=4,"ESCALATED TO LOCAL OFFICE",IF($Z380=5,"ESCALATED TO CBE",IF($AA380=TODAY(),"EMAIL SENT","MONITORING"))))))))))</f>
        <v/>
      </c>
      <c r="V380" s="17">
        <f>IF($U380="",IF(AND(COUNTA($A380:$L380)&gt;0,$N380=""),"Awaiting Collection Email time stamp.",""),IF(OR($U380="PAID",$U380="CLOSED"),IF($U380="PAID","Account paid. Action completed.","Account closed. No further action required."),CHOOSE($Z380,"Collection Email","1st Email Follow-up","2nd Email Follow-up","Escalation to Local Office","Escalation to CBE","Escalation to Roxanne")&amp;" sent "&amp;TEXT($AA380,"dd-mmm")&amp;". "&amp;IF($Z380=6,"Final escalation completed.",IF($U380="OVERDUE","Next: "&amp;$AC380&amp;" was due "&amp;TEXT($AB380,"dd-mmm")&amp;" - "&amp;(NETWORKDAYS($AB380,TODAY(),Holidays)-1)&amp;" business day(s) late. Send now.",IF($U380="DUE TOMORROW","Next: "&amp;$AC380&amp;IF($AB380&lt;=TODAY()," is due TODAY ("," is due next business day (")&amp;TEXT($AB380,"dd-mmm")&amp;").","Next: "&amp;$AC380&amp;" due "&amp;TEXT($AB380,"dd-mmm")&amp;" ("&amp;(NETWORKDAYS(TODAY(),$AB380,Holidays)-1)&amp;" business day(s) left).")))))</f>
        <v/>
      </c>
      <c r="W380" s="17">
        <f>IF($Z380="","",CHOOSE($Z380,"Collection Email","1st Follow-up","2nd Follow-up","Local Office","CBE","Roxanne")&amp;IF($Z380=6," - Final"," - Day "&amp;MAX(0,NETWORKDAYS($AA380,TODAY(),Holidays)-1)&amp;" of "&amp;CHOOSE($Z380,3,3,2,2,3))&amp;" | Total Day "&amp;MAX(0,NETWORKDAYS($N380,TODAY(),Holidays)-1))</f>
        <v/>
      </c>
      <c r="X380" s="18"/>
      <c r="Y380" s="18"/>
      <c r="Z380" s="17">
        <f>IF($N380="","",COUNT($N380:$S380))</f>
        <v/>
      </c>
      <c r="AA380" s="19">
        <f>IF($Z380="","",INT(INDEX($N380:$S380,$Z380)))</f>
        <v/>
      </c>
      <c r="AB380" s="19">
        <f>IF(OR($Z380="",$Z380=6),"",WORKDAY($AA380,CHOOSE($Z380,3,3,2,2,3),Holidays))</f>
        <v/>
      </c>
      <c r="AC380" s="17">
        <f>IF(OR($Z380="",$Z380=6),"",CHOOSE($Z380,"1st Email Follow-up","2nd Email Follow-up","Escalate Local Office","Escalate to CBE","Escalate to Roxanne"))</f>
        <v/>
      </c>
    </row>
    <row r="381" spans="13:29">
      <c r="M381" s="14"/>
      <c r="T381" s="16"/>
      <c r="U381" s="17">
        <f>IF(AND(COUNTA($A381:$L381)=0,$N381=""),"",IF($T381="Paid","PAID",IF($T381="Closed","CLOSED",IF($Z381="","",IF($Z381=6,"ESCALATED TO ROXANNE",IF(TODAY()&gt;$AB381,"OVERDUE",IF($AB381&lt;=WORKDAY(TODAY(),1,Holidays),"DUE TOMORROW",IF($Z381=4,"ESCALATED TO LOCAL OFFICE",IF($Z381=5,"ESCALATED TO CBE",IF($AA381=TODAY(),"EMAIL SENT","MONITORING"))))))))))</f>
        <v/>
      </c>
      <c r="V381" s="17">
        <f>IF($U381="",IF(AND(COUNTA($A381:$L381)&gt;0,$N381=""),"Awaiting Collection Email time stamp.",""),IF(OR($U381="PAID",$U381="CLOSED"),IF($U381="PAID","Account paid. Action completed.","Account closed. No further action required."),CHOOSE($Z381,"Collection Email","1st Email Follow-up","2nd Email Follow-up","Escalation to Local Office","Escalation to CBE","Escalation to Roxanne")&amp;" sent "&amp;TEXT($AA381,"dd-mmm")&amp;". "&amp;IF($Z381=6,"Final escalation completed.",IF($U381="OVERDUE","Next: "&amp;$AC381&amp;" was due "&amp;TEXT($AB381,"dd-mmm")&amp;" - "&amp;(NETWORKDAYS($AB381,TODAY(),Holidays)-1)&amp;" business day(s) late. Send now.",IF($U381="DUE TOMORROW","Next: "&amp;$AC381&amp;IF($AB381&lt;=TODAY()," is due TODAY ("," is due next business day (")&amp;TEXT($AB381,"dd-mmm")&amp;").","Next: "&amp;$AC381&amp;" due "&amp;TEXT($AB381,"dd-mmm")&amp;" ("&amp;(NETWORKDAYS(TODAY(),$AB381,Holidays)-1)&amp;" business day(s) left).")))))</f>
        <v/>
      </c>
      <c r="W381" s="17">
        <f>IF($Z381="","",CHOOSE($Z381,"Collection Email","1st Follow-up","2nd Follow-up","Local Office","CBE","Roxanne")&amp;IF($Z381=6," - Final"," - Day "&amp;MAX(0,NETWORKDAYS($AA381,TODAY(),Holidays)-1)&amp;" of "&amp;CHOOSE($Z381,3,3,2,2,3))&amp;" | Total Day "&amp;MAX(0,NETWORKDAYS($N381,TODAY(),Holidays)-1))</f>
        <v/>
      </c>
      <c r="X381" s="18"/>
      <c r="Y381" s="18"/>
      <c r="Z381" s="17">
        <f>IF($N381="","",COUNT($N381:$S381))</f>
        <v/>
      </c>
      <c r="AA381" s="19">
        <f>IF($Z381="","",INT(INDEX($N381:$S381,$Z381)))</f>
        <v/>
      </c>
      <c r="AB381" s="19">
        <f>IF(OR($Z381="",$Z381=6),"",WORKDAY($AA381,CHOOSE($Z381,3,3,2,2,3),Holidays))</f>
        <v/>
      </c>
      <c r="AC381" s="17">
        <f>IF(OR($Z381="",$Z381=6),"",CHOOSE($Z381,"1st Email Follow-up","2nd Email Follow-up","Escalate Local Office","Escalate to CBE","Escalate to Roxanne"))</f>
        <v/>
      </c>
    </row>
    <row r="382" spans="13:29">
      <c r="M382" s="14"/>
      <c r="T382" s="16"/>
      <c r="U382" s="17">
        <f>IF(AND(COUNTA($A382:$L382)=0,$N382=""),"",IF($T382="Paid","PAID",IF($T382="Closed","CLOSED",IF($Z382="","",IF($Z382=6,"ESCALATED TO ROXANNE",IF(TODAY()&gt;$AB382,"OVERDUE",IF($AB382&lt;=WORKDAY(TODAY(),1,Holidays),"DUE TOMORROW",IF($Z382=4,"ESCALATED TO LOCAL OFFICE",IF($Z382=5,"ESCALATED TO CBE",IF($AA382=TODAY(),"EMAIL SENT","MONITORING"))))))))))</f>
        <v/>
      </c>
      <c r="V382" s="17">
        <f>IF($U382="",IF(AND(COUNTA($A382:$L382)&gt;0,$N382=""),"Awaiting Collection Email time stamp.",""),IF(OR($U382="PAID",$U382="CLOSED"),IF($U382="PAID","Account paid. Action completed.","Account closed. No further action required."),CHOOSE($Z382,"Collection Email","1st Email Follow-up","2nd Email Follow-up","Escalation to Local Office","Escalation to CBE","Escalation to Roxanne")&amp;" sent "&amp;TEXT($AA382,"dd-mmm")&amp;". "&amp;IF($Z382=6,"Final escalation completed.",IF($U382="OVERDUE","Next: "&amp;$AC382&amp;" was due "&amp;TEXT($AB382,"dd-mmm")&amp;" - "&amp;(NETWORKDAYS($AB382,TODAY(),Holidays)-1)&amp;" business day(s) late. Send now.",IF($U382="DUE TOMORROW","Next: "&amp;$AC382&amp;IF($AB382&lt;=TODAY()," is due TODAY ("," is due next business day (")&amp;TEXT($AB382,"dd-mmm")&amp;").","Next: "&amp;$AC382&amp;" due "&amp;TEXT($AB382,"dd-mmm")&amp;" ("&amp;(NETWORKDAYS(TODAY(),$AB382,Holidays)-1)&amp;" business day(s) left).")))))</f>
        <v/>
      </c>
      <c r="W382" s="17">
        <f>IF($Z382="","",CHOOSE($Z382,"Collection Email","1st Follow-up","2nd Follow-up","Local Office","CBE","Roxanne")&amp;IF($Z382=6," - Final"," - Day "&amp;MAX(0,NETWORKDAYS($AA382,TODAY(),Holidays)-1)&amp;" of "&amp;CHOOSE($Z382,3,3,2,2,3))&amp;" | Total Day "&amp;MAX(0,NETWORKDAYS($N382,TODAY(),Holidays)-1))</f>
        <v/>
      </c>
      <c r="X382" s="18"/>
      <c r="Y382" s="18"/>
      <c r="Z382" s="17">
        <f>IF($N382="","",COUNT($N382:$S382))</f>
        <v/>
      </c>
      <c r="AA382" s="19">
        <f>IF($Z382="","",INT(INDEX($N382:$S382,$Z382)))</f>
        <v/>
      </c>
      <c r="AB382" s="19">
        <f>IF(OR($Z382="",$Z382=6),"",WORKDAY($AA382,CHOOSE($Z382,3,3,2,2,3),Holidays))</f>
        <v/>
      </c>
      <c r="AC382" s="17">
        <f>IF(OR($Z382="",$Z382=6),"",CHOOSE($Z382,"1st Email Follow-up","2nd Email Follow-up","Escalate Local Office","Escalate to CBE","Escalate to Roxanne"))</f>
        <v/>
      </c>
    </row>
    <row r="383" spans="13:29">
      <c r="M383" s="14"/>
      <c r="T383" s="16"/>
      <c r="U383" s="17">
        <f>IF(AND(COUNTA($A383:$L383)=0,$N383=""),"",IF($T383="Paid","PAID",IF($T383="Closed","CLOSED",IF($Z383="","",IF($Z383=6,"ESCALATED TO ROXANNE",IF(TODAY()&gt;$AB383,"OVERDUE",IF($AB383&lt;=WORKDAY(TODAY(),1,Holidays),"DUE TOMORROW",IF($Z383=4,"ESCALATED TO LOCAL OFFICE",IF($Z383=5,"ESCALATED TO CBE",IF($AA383=TODAY(),"EMAIL SENT","MONITORING"))))))))))</f>
        <v/>
      </c>
      <c r="V383" s="17">
        <f>IF($U383="",IF(AND(COUNTA($A383:$L383)&gt;0,$N383=""),"Awaiting Collection Email time stamp.",""),IF(OR($U383="PAID",$U383="CLOSED"),IF($U383="PAID","Account paid. Action completed.","Account closed. No further action required."),CHOOSE($Z383,"Collection Email","1st Email Follow-up","2nd Email Follow-up","Escalation to Local Office","Escalation to CBE","Escalation to Roxanne")&amp;" sent "&amp;TEXT($AA383,"dd-mmm")&amp;". "&amp;IF($Z383=6,"Final escalation completed.",IF($U383="OVERDUE","Next: "&amp;$AC383&amp;" was due "&amp;TEXT($AB383,"dd-mmm")&amp;" - "&amp;(NETWORKDAYS($AB383,TODAY(),Holidays)-1)&amp;" business day(s) late. Send now.",IF($U383="DUE TOMORROW","Next: "&amp;$AC383&amp;IF($AB383&lt;=TODAY()," is due TODAY ("," is due next business day (")&amp;TEXT($AB383,"dd-mmm")&amp;").","Next: "&amp;$AC383&amp;" due "&amp;TEXT($AB383,"dd-mmm")&amp;" ("&amp;(NETWORKDAYS(TODAY(),$AB383,Holidays)-1)&amp;" business day(s) left).")))))</f>
        <v/>
      </c>
      <c r="W383" s="17">
        <f>IF($Z383="","",CHOOSE($Z383,"Collection Email","1st Follow-up","2nd Follow-up","Local Office","CBE","Roxanne")&amp;IF($Z383=6," - Final"," - Day "&amp;MAX(0,NETWORKDAYS($AA383,TODAY(),Holidays)-1)&amp;" of "&amp;CHOOSE($Z383,3,3,2,2,3))&amp;" | Total Day "&amp;MAX(0,NETWORKDAYS($N383,TODAY(),Holidays)-1))</f>
        <v/>
      </c>
      <c r="X383" s="18"/>
      <c r="Y383" s="18"/>
      <c r="Z383" s="17">
        <f>IF($N383="","",COUNT($N383:$S383))</f>
        <v/>
      </c>
      <c r="AA383" s="19">
        <f>IF($Z383="","",INT(INDEX($N383:$S383,$Z383)))</f>
        <v/>
      </c>
      <c r="AB383" s="19">
        <f>IF(OR($Z383="",$Z383=6),"",WORKDAY($AA383,CHOOSE($Z383,3,3,2,2,3),Holidays))</f>
        <v/>
      </c>
      <c r="AC383" s="17">
        <f>IF(OR($Z383="",$Z383=6),"",CHOOSE($Z383,"1st Email Follow-up","2nd Email Follow-up","Escalate Local Office","Escalate to CBE","Escalate to Roxanne"))</f>
        <v/>
      </c>
    </row>
    <row r="384" spans="13:29">
      <c r="M384" s="14"/>
      <c r="T384" s="16"/>
      <c r="U384" s="17">
        <f>IF(AND(COUNTA($A384:$L384)=0,$N384=""),"",IF($T384="Paid","PAID",IF($T384="Closed","CLOSED",IF($Z384="","",IF($Z384=6,"ESCALATED TO ROXANNE",IF(TODAY()&gt;$AB384,"OVERDUE",IF($AB384&lt;=WORKDAY(TODAY(),1,Holidays),"DUE TOMORROW",IF($Z384=4,"ESCALATED TO LOCAL OFFICE",IF($Z384=5,"ESCALATED TO CBE",IF($AA384=TODAY(),"EMAIL SENT","MONITORING"))))))))))</f>
        <v/>
      </c>
      <c r="V384" s="17">
        <f>IF($U384="",IF(AND(COUNTA($A384:$L384)&gt;0,$N384=""),"Awaiting Collection Email time stamp.",""),IF(OR($U384="PAID",$U384="CLOSED"),IF($U384="PAID","Account paid. Action completed.","Account closed. No further action required."),CHOOSE($Z384,"Collection Email","1st Email Follow-up","2nd Email Follow-up","Escalation to Local Office","Escalation to CBE","Escalation to Roxanne")&amp;" sent "&amp;TEXT($AA384,"dd-mmm")&amp;". "&amp;IF($Z384=6,"Final escalation completed.",IF($U384="OVERDUE","Next: "&amp;$AC384&amp;" was due "&amp;TEXT($AB384,"dd-mmm")&amp;" - "&amp;(NETWORKDAYS($AB384,TODAY(),Holidays)-1)&amp;" business day(s) late. Send now.",IF($U384="DUE TOMORROW","Next: "&amp;$AC384&amp;IF($AB384&lt;=TODAY()," is due TODAY ("," is due next business day (")&amp;TEXT($AB384,"dd-mmm")&amp;").","Next: "&amp;$AC384&amp;" due "&amp;TEXT($AB384,"dd-mmm")&amp;" ("&amp;(NETWORKDAYS(TODAY(),$AB384,Holidays)-1)&amp;" business day(s) left).")))))</f>
        <v/>
      </c>
      <c r="W384" s="17">
        <f>IF($Z384="","",CHOOSE($Z384,"Collection Email","1st Follow-up","2nd Follow-up","Local Office","CBE","Roxanne")&amp;IF($Z384=6," - Final"," - Day "&amp;MAX(0,NETWORKDAYS($AA384,TODAY(),Holidays)-1)&amp;" of "&amp;CHOOSE($Z384,3,3,2,2,3))&amp;" | Total Day "&amp;MAX(0,NETWORKDAYS($N384,TODAY(),Holidays)-1))</f>
        <v/>
      </c>
      <c r="X384" s="18"/>
      <c r="Y384" s="18"/>
      <c r="Z384" s="17">
        <f>IF($N384="","",COUNT($N384:$S384))</f>
        <v/>
      </c>
      <c r="AA384" s="19">
        <f>IF($Z384="","",INT(INDEX($N384:$S384,$Z384)))</f>
        <v/>
      </c>
      <c r="AB384" s="19">
        <f>IF(OR($Z384="",$Z384=6),"",WORKDAY($AA384,CHOOSE($Z384,3,3,2,2,3),Holidays))</f>
        <v/>
      </c>
      <c r="AC384" s="17">
        <f>IF(OR($Z384="",$Z384=6),"",CHOOSE($Z384,"1st Email Follow-up","2nd Email Follow-up","Escalate Local Office","Escalate to CBE","Escalate to Roxanne"))</f>
        <v/>
      </c>
    </row>
    <row r="385" spans="13:29">
      <c r="M385" s="14"/>
      <c r="T385" s="16"/>
      <c r="U385" s="17">
        <f>IF(AND(COUNTA($A385:$L385)=0,$N385=""),"",IF($T385="Paid","PAID",IF($T385="Closed","CLOSED",IF($Z385="","",IF($Z385=6,"ESCALATED TO ROXANNE",IF(TODAY()&gt;$AB385,"OVERDUE",IF($AB385&lt;=WORKDAY(TODAY(),1,Holidays),"DUE TOMORROW",IF($Z385=4,"ESCALATED TO LOCAL OFFICE",IF($Z385=5,"ESCALATED TO CBE",IF($AA385=TODAY(),"EMAIL SENT","MONITORING"))))))))))</f>
        <v/>
      </c>
      <c r="V385" s="17">
        <f>IF($U385="",IF(AND(COUNTA($A385:$L385)&gt;0,$N385=""),"Awaiting Collection Email time stamp.",""),IF(OR($U385="PAID",$U385="CLOSED"),IF($U385="PAID","Account paid. Action completed.","Account closed. No further action required."),CHOOSE($Z385,"Collection Email","1st Email Follow-up","2nd Email Follow-up","Escalation to Local Office","Escalation to CBE","Escalation to Roxanne")&amp;" sent "&amp;TEXT($AA385,"dd-mmm")&amp;". "&amp;IF($Z385=6,"Final escalation completed.",IF($U385="OVERDUE","Next: "&amp;$AC385&amp;" was due "&amp;TEXT($AB385,"dd-mmm")&amp;" - "&amp;(NETWORKDAYS($AB385,TODAY(),Holidays)-1)&amp;" business day(s) late. Send now.",IF($U385="DUE TOMORROW","Next: "&amp;$AC385&amp;IF($AB385&lt;=TODAY()," is due TODAY ("," is due next business day (")&amp;TEXT($AB385,"dd-mmm")&amp;").","Next: "&amp;$AC385&amp;" due "&amp;TEXT($AB385,"dd-mmm")&amp;" ("&amp;(NETWORKDAYS(TODAY(),$AB385,Holidays)-1)&amp;" business day(s) left).")))))</f>
        <v/>
      </c>
      <c r="W385" s="17">
        <f>IF($Z385="","",CHOOSE($Z385,"Collection Email","1st Follow-up","2nd Follow-up","Local Office","CBE","Roxanne")&amp;IF($Z385=6," - Final"," - Day "&amp;MAX(0,NETWORKDAYS($AA385,TODAY(),Holidays)-1)&amp;" of "&amp;CHOOSE($Z385,3,3,2,2,3))&amp;" | Total Day "&amp;MAX(0,NETWORKDAYS($N385,TODAY(),Holidays)-1))</f>
        <v/>
      </c>
      <c r="X385" s="18"/>
      <c r="Y385" s="18"/>
      <c r="Z385" s="17">
        <f>IF($N385="","",COUNT($N385:$S385))</f>
        <v/>
      </c>
      <c r="AA385" s="19">
        <f>IF($Z385="","",INT(INDEX($N385:$S385,$Z385)))</f>
        <v/>
      </c>
      <c r="AB385" s="19">
        <f>IF(OR($Z385="",$Z385=6),"",WORKDAY($AA385,CHOOSE($Z385,3,3,2,2,3),Holidays))</f>
        <v/>
      </c>
      <c r="AC385" s="17">
        <f>IF(OR($Z385="",$Z385=6),"",CHOOSE($Z385,"1st Email Follow-up","2nd Email Follow-up","Escalate Local Office","Escalate to CBE","Escalate to Roxanne"))</f>
        <v/>
      </c>
    </row>
    <row r="386" spans="13:29">
      <c r="M386" s="14"/>
      <c r="T386" s="16"/>
      <c r="U386" s="17">
        <f>IF(AND(COUNTA($A386:$L386)=0,$N386=""),"",IF($T386="Paid","PAID",IF($T386="Closed","CLOSED",IF($Z386="","",IF($Z386=6,"ESCALATED TO ROXANNE",IF(TODAY()&gt;$AB386,"OVERDUE",IF($AB386&lt;=WORKDAY(TODAY(),1,Holidays),"DUE TOMORROW",IF($Z386=4,"ESCALATED TO LOCAL OFFICE",IF($Z386=5,"ESCALATED TO CBE",IF($AA386=TODAY(),"EMAIL SENT","MONITORING"))))))))))</f>
        <v/>
      </c>
      <c r="V386" s="17">
        <f>IF($U386="",IF(AND(COUNTA($A386:$L386)&gt;0,$N386=""),"Awaiting Collection Email time stamp.",""),IF(OR($U386="PAID",$U386="CLOSED"),IF($U386="PAID","Account paid. Action completed.","Account closed. No further action required."),CHOOSE($Z386,"Collection Email","1st Email Follow-up","2nd Email Follow-up","Escalation to Local Office","Escalation to CBE","Escalation to Roxanne")&amp;" sent "&amp;TEXT($AA386,"dd-mmm")&amp;". "&amp;IF($Z386=6,"Final escalation completed.",IF($U386="OVERDUE","Next: "&amp;$AC386&amp;" was due "&amp;TEXT($AB386,"dd-mmm")&amp;" - "&amp;(NETWORKDAYS($AB386,TODAY(),Holidays)-1)&amp;" business day(s) late. Send now.",IF($U386="DUE TOMORROW","Next: "&amp;$AC386&amp;IF($AB386&lt;=TODAY()," is due TODAY ("," is due next business day (")&amp;TEXT($AB386,"dd-mmm")&amp;").","Next: "&amp;$AC386&amp;" due "&amp;TEXT($AB386,"dd-mmm")&amp;" ("&amp;(NETWORKDAYS(TODAY(),$AB386,Holidays)-1)&amp;" business day(s) left).")))))</f>
        <v/>
      </c>
      <c r="W386" s="17">
        <f>IF($Z386="","",CHOOSE($Z386,"Collection Email","1st Follow-up","2nd Follow-up","Local Office","CBE","Roxanne")&amp;IF($Z386=6," - Final"," - Day "&amp;MAX(0,NETWORKDAYS($AA386,TODAY(),Holidays)-1)&amp;" of "&amp;CHOOSE($Z386,3,3,2,2,3))&amp;" | Total Day "&amp;MAX(0,NETWORKDAYS($N386,TODAY(),Holidays)-1))</f>
        <v/>
      </c>
      <c r="X386" s="18"/>
      <c r="Y386" s="18"/>
      <c r="Z386" s="17">
        <f>IF($N386="","",COUNT($N386:$S386))</f>
        <v/>
      </c>
      <c r="AA386" s="19">
        <f>IF($Z386="","",INT(INDEX($N386:$S386,$Z386)))</f>
        <v/>
      </c>
      <c r="AB386" s="19">
        <f>IF(OR($Z386="",$Z386=6),"",WORKDAY($AA386,CHOOSE($Z386,3,3,2,2,3),Holidays))</f>
        <v/>
      </c>
      <c r="AC386" s="17">
        <f>IF(OR($Z386="",$Z386=6),"",CHOOSE($Z386,"1st Email Follow-up","2nd Email Follow-up","Escalate Local Office","Escalate to CBE","Escalate to Roxanne"))</f>
        <v/>
      </c>
    </row>
    <row r="387" spans="13:29">
      <c r="M387" s="14"/>
      <c r="T387" s="16"/>
      <c r="U387" s="17">
        <f>IF(AND(COUNTA($A387:$L387)=0,$N387=""),"",IF($T387="Paid","PAID",IF($T387="Closed","CLOSED",IF($Z387="","",IF($Z387=6,"ESCALATED TO ROXANNE",IF(TODAY()&gt;$AB387,"OVERDUE",IF($AB387&lt;=WORKDAY(TODAY(),1,Holidays),"DUE TOMORROW",IF($Z387=4,"ESCALATED TO LOCAL OFFICE",IF($Z387=5,"ESCALATED TO CBE",IF($AA387=TODAY(),"EMAIL SENT","MONITORING"))))))))))</f>
        <v/>
      </c>
      <c r="V387" s="17">
        <f>IF($U387="",IF(AND(COUNTA($A387:$L387)&gt;0,$N387=""),"Awaiting Collection Email time stamp.",""),IF(OR($U387="PAID",$U387="CLOSED"),IF($U387="PAID","Account paid. Action completed.","Account closed. No further action required."),CHOOSE($Z387,"Collection Email","1st Email Follow-up","2nd Email Follow-up","Escalation to Local Office","Escalation to CBE","Escalation to Roxanne")&amp;" sent "&amp;TEXT($AA387,"dd-mmm")&amp;". "&amp;IF($Z387=6,"Final escalation completed.",IF($U387="OVERDUE","Next: "&amp;$AC387&amp;" was due "&amp;TEXT($AB387,"dd-mmm")&amp;" - "&amp;(NETWORKDAYS($AB387,TODAY(),Holidays)-1)&amp;" business day(s) late. Send now.",IF($U387="DUE TOMORROW","Next: "&amp;$AC387&amp;IF($AB387&lt;=TODAY()," is due TODAY ("," is due next business day (")&amp;TEXT($AB387,"dd-mmm")&amp;").","Next: "&amp;$AC387&amp;" due "&amp;TEXT($AB387,"dd-mmm")&amp;" ("&amp;(NETWORKDAYS(TODAY(),$AB387,Holidays)-1)&amp;" business day(s) left).")))))</f>
        <v/>
      </c>
      <c r="W387" s="17">
        <f>IF($Z387="","",CHOOSE($Z387,"Collection Email","1st Follow-up","2nd Follow-up","Local Office","CBE","Roxanne")&amp;IF($Z387=6," - Final"," - Day "&amp;MAX(0,NETWORKDAYS($AA387,TODAY(),Holidays)-1)&amp;" of "&amp;CHOOSE($Z387,3,3,2,2,3))&amp;" | Total Day "&amp;MAX(0,NETWORKDAYS($N387,TODAY(),Holidays)-1))</f>
        <v/>
      </c>
      <c r="X387" s="18"/>
      <c r="Y387" s="18"/>
      <c r="Z387" s="17">
        <f>IF($N387="","",COUNT($N387:$S387))</f>
        <v/>
      </c>
      <c r="AA387" s="19">
        <f>IF($Z387="","",INT(INDEX($N387:$S387,$Z387)))</f>
        <v/>
      </c>
      <c r="AB387" s="19">
        <f>IF(OR($Z387="",$Z387=6),"",WORKDAY($AA387,CHOOSE($Z387,3,3,2,2,3),Holidays))</f>
        <v/>
      </c>
      <c r="AC387" s="17">
        <f>IF(OR($Z387="",$Z387=6),"",CHOOSE($Z387,"1st Email Follow-up","2nd Email Follow-up","Escalate Local Office","Escalate to CBE","Escalate to Roxanne"))</f>
        <v/>
      </c>
    </row>
    <row r="388" spans="13:29">
      <c r="M388" s="14"/>
      <c r="T388" s="16"/>
      <c r="U388" s="17">
        <f>IF(AND(COUNTA($A388:$L388)=0,$N388=""),"",IF($T388="Paid","PAID",IF($T388="Closed","CLOSED",IF($Z388="","",IF($Z388=6,"ESCALATED TO ROXANNE",IF(TODAY()&gt;$AB388,"OVERDUE",IF($AB388&lt;=WORKDAY(TODAY(),1,Holidays),"DUE TOMORROW",IF($Z388=4,"ESCALATED TO LOCAL OFFICE",IF($Z388=5,"ESCALATED TO CBE",IF($AA388=TODAY(),"EMAIL SENT","MONITORING"))))))))))</f>
        <v/>
      </c>
      <c r="V388" s="17">
        <f>IF($U388="",IF(AND(COUNTA($A388:$L388)&gt;0,$N388=""),"Awaiting Collection Email time stamp.",""),IF(OR($U388="PAID",$U388="CLOSED"),IF($U388="PAID","Account paid. Action completed.","Account closed. No further action required."),CHOOSE($Z388,"Collection Email","1st Email Follow-up","2nd Email Follow-up","Escalation to Local Office","Escalation to CBE","Escalation to Roxanne")&amp;" sent "&amp;TEXT($AA388,"dd-mmm")&amp;". "&amp;IF($Z388=6,"Final escalation completed.",IF($U388="OVERDUE","Next: "&amp;$AC388&amp;" was due "&amp;TEXT($AB388,"dd-mmm")&amp;" - "&amp;(NETWORKDAYS($AB388,TODAY(),Holidays)-1)&amp;" business day(s) late. Send now.",IF($U388="DUE TOMORROW","Next: "&amp;$AC388&amp;IF($AB388&lt;=TODAY()," is due TODAY ("," is due next business day (")&amp;TEXT($AB388,"dd-mmm")&amp;").","Next: "&amp;$AC388&amp;" due "&amp;TEXT($AB388,"dd-mmm")&amp;" ("&amp;(NETWORKDAYS(TODAY(),$AB388,Holidays)-1)&amp;" business day(s) left).")))))</f>
        <v/>
      </c>
      <c r="W388" s="17">
        <f>IF($Z388="","",CHOOSE($Z388,"Collection Email","1st Follow-up","2nd Follow-up","Local Office","CBE","Roxanne")&amp;IF($Z388=6," - Final"," - Day "&amp;MAX(0,NETWORKDAYS($AA388,TODAY(),Holidays)-1)&amp;" of "&amp;CHOOSE($Z388,3,3,2,2,3))&amp;" | Total Day "&amp;MAX(0,NETWORKDAYS($N388,TODAY(),Holidays)-1))</f>
        <v/>
      </c>
      <c r="X388" s="18"/>
      <c r="Y388" s="18"/>
      <c r="Z388" s="17">
        <f>IF($N388="","",COUNT($N388:$S388))</f>
        <v/>
      </c>
      <c r="AA388" s="19">
        <f>IF($Z388="","",INT(INDEX($N388:$S388,$Z388)))</f>
        <v/>
      </c>
      <c r="AB388" s="19">
        <f>IF(OR($Z388="",$Z388=6),"",WORKDAY($AA388,CHOOSE($Z388,3,3,2,2,3),Holidays))</f>
        <v/>
      </c>
      <c r="AC388" s="17">
        <f>IF(OR($Z388="",$Z388=6),"",CHOOSE($Z388,"1st Email Follow-up","2nd Email Follow-up","Escalate Local Office","Escalate to CBE","Escalate to Roxanne"))</f>
        <v/>
      </c>
    </row>
    <row r="389" spans="13:29">
      <c r="M389" s="14"/>
      <c r="T389" s="16"/>
      <c r="U389" s="17">
        <f>IF(AND(COUNTA($A389:$L389)=0,$N389=""),"",IF($T389="Paid","PAID",IF($T389="Closed","CLOSED",IF($Z389="","",IF($Z389=6,"ESCALATED TO ROXANNE",IF(TODAY()&gt;$AB389,"OVERDUE",IF($AB389&lt;=WORKDAY(TODAY(),1,Holidays),"DUE TOMORROW",IF($Z389=4,"ESCALATED TO LOCAL OFFICE",IF($Z389=5,"ESCALATED TO CBE",IF($AA389=TODAY(),"EMAIL SENT","MONITORING"))))))))))</f>
        <v/>
      </c>
      <c r="V389" s="17">
        <f>IF($U389="",IF(AND(COUNTA($A389:$L389)&gt;0,$N389=""),"Awaiting Collection Email time stamp.",""),IF(OR($U389="PAID",$U389="CLOSED"),IF($U389="PAID","Account paid. Action completed.","Account closed. No further action required."),CHOOSE($Z389,"Collection Email","1st Email Follow-up","2nd Email Follow-up","Escalation to Local Office","Escalation to CBE","Escalation to Roxanne")&amp;" sent "&amp;TEXT($AA389,"dd-mmm")&amp;". "&amp;IF($Z389=6,"Final escalation completed.",IF($U389="OVERDUE","Next: "&amp;$AC389&amp;" was due "&amp;TEXT($AB389,"dd-mmm")&amp;" - "&amp;(NETWORKDAYS($AB389,TODAY(),Holidays)-1)&amp;" business day(s) late. Send now.",IF($U389="DUE TOMORROW","Next: "&amp;$AC389&amp;IF($AB389&lt;=TODAY()," is due TODAY ("," is due next business day (")&amp;TEXT($AB389,"dd-mmm")&amp;").","Next: "&amp;$AC389&amp;" due "&amp;TEXT($AB389,"dd-mmm")&amp;" ("&amp;(NETWORKDAYS(TODAY(),$AB389,Holidays)-1)&amp;" business day(s) left).")))))</f>
        <v/>
      </c>
      <c r="W389" s="17">
        <f>IF($Z389="","",CHOOSE($Z389,"Collection Email","1st Follow-up","2nd Follow-up","Local Office","CBE","Roxanne")&amp;IF($Z389=6," - Final"," - Day "&amp;MAX(0,NETWORKDAYS($AA389,TODAY(),Holidays)-1)&amp;" of "&amp;CHOOSE($Z389,3,3,2,2,3))&amp;" | Total Day "&amp;MAX(0,NETWORKDAYS($N389,TODAY(),Holidays)-1))</f>
        <v/>
      </c>
      <c r="X389" s="18"/>
      <c r="Y389" s="18"/>
      <c r="Z389" s="17">
        <f>IF($N389="","",COUNT($N389:$S389))</f>
        <v/>
      </c>
      <c r="AA389" s="19">
        <f>IF($Z389="","",INT(INDEX($N389:$S389,$Z389)))</f>
        <v/>
      </c>
      <c r="AB389" s="19">
        <f>IF(OR($Z389="",$Z389=6),"",WORKDAY($AA389,CHOOSE($Z389,3,3,2,2,3),Holidays))</f>
        <v/>
      </c>
      <c r="AC389" s="17">
        <f>IF(OR($Z389="",$Z389=6),"",CHOOSE($Z389,"1st Email Follow-up","2nd Email Follow-up","Escalate Local Office","Escalate to CBE","Escalate to Roxanne"))</f>
        <v/>
      </c>
    </row>
    <row r="390" spans="13:29">
      <c r="M390" s="14"/>
      <c r="T390" s="16"/>
      <c r="U390" s="17">
        <f>IF(AND(COUNTA($A390:$L390)=0,$N390=""),"",IF($T390="Paid","PAID",IF($T390="Closed","CLOSED",IF($Z390="","",IF($Z390=6,"ESCALATED TO ROXANNE",IF(TODAY()&gt;$AB390,"OVERDUE",IF($AB390&lt;=WORKDAY(TODAY(),1,Holidays),"DUE TOMORROW",IF($Z390=4,"ESCALATED TO LOCAL OFFICE",IF($Z390=5,"ESCALATED TO CBE",IF($AA390=TODAY(),"EMAIL SENT","MONITORING"))))))))))</f>
        <v/>
      </c>
      <c r="V390" s="17">
        <f>IF($U390="",IF(AND(COUNTA($A390:$L390)&gt;0,$N390=""),"Awaiting Collection Email time stamp.",""),IF(OR($U390="PAID",$U390="CLOSED"),IF($U390="PAID","Account paid. Action completed.","Account closed. No further action required."),CHOOSE($Z390,"Collection Email","1st Email Follow-up","2nd Email Follow-up","Escalation to Local Office","Escalation to CBE","Escalation to Roxanne")&amp;" sent "&amp;TEXT($AA390,"dd-mmm")&amp;". "&amp;IF($Z390=6,"Final escalation completed.",IF($U390="OVERDUE","Next: "&amp;$AC390&amp;" was due "&amp;TEXT($AB390,"dd-mmm")&amp;" - "&amp;(NETWORKDAYS($AB390,TODAY(),Holidays)-1)&amp;" business day(s) late. Send now.",IF($U390="DUE TOMORROW","Next: "&amp;$AC390&amp;IF($AB390&lt;=TODAY()," is due TODAY ("," is due next business day (")&amp;TEXT($AB390,"dd-mmm")&amp;").","Next: "&amp;$AC390&amp;" due "&amp;TEXT($AB390,"dd-mmm")&amp;" ("&amp;(NETWORKDAYS(TODAY(),$AB390,Holidays)-1)&amp;" business day(s) left).")))))</f>
        <v/>
      </c>
      <c r="W390" s="17">
        <f>IF($Z390="","",CHOOSE($Z390,"Collection Email","1st Follow-up","2nd Follow-up","Local Office","CBE","Roxanne")&amp;IF($Z390=6," - Final"," - Day "&amp;MAX(0,NETWORKDAYS($AA390,TODAY(),Holidays)-1)&amp;" of "&amp;CHOOSE($Z390,3,3,2,2,3))&amp;" | Total Day "&amp;MAX(0,NETWORKDAYS($N390,TODAY(),Holidays)-1))</f>
        <v/>
      </c>
      <c r="X390" s="18"/>
      <c r="Y390" s="18"/>
      <c r="Z390" s="17">
        <f>IF($N390="","",COUNT($N390:$S390))</f>
        <v/>
      </c>
      <c r="AA390" s="19">
        <f>IF($Z390="","",INT(INDEX($N390:$S390,$Z390)))</f>
        <v/>
      </c>
      <c r="AB390" s="19">
        <f>IF(OR($Z390="",$Z390=6),"",WORKDAY($AA390,CHOOSE($Z390,3,3,2,2,3),Holidays))</f>
        <v/>
      </c>
      <c r="AC390" s="17">
        <f>IF(OR($Z390="",$Z390=6),"",CHOOSE($Z390,"1st Email Follow-up","2nd Email Follow-up","Escalate Local Office","Escalate to CBE","Escalate to Roxanne"))</f>
        <v/>
      </c>
    </row>
    <row r="391" spans="13:29">
      <c r="M391" s="14"/>
      <c r="T391" s="16"/>
      <c r="U391" s="17">
        <f>IF(AND(COUNTA($A391:$L391)=0,$N391=""),"",IF($T391="Paid","PAID",IF($T391="Closed","CLOSED",IF($Z391="","",IF($Z391=6,"ESCALATED TO ROXANNE",IF(TODAY()&gt;$AB391,"OVERDUE",IF($AB391&lt;=WORKDAY(TODAY(),1,Holidays),"DUE TOMORROW",IF($Z391=4,"ESCALATED TO LOCAL OFFICE",IF($Z391=5,"ESCALATED TO CBE",IF($AA391=TODAY(),"EMAIL SENT","MONITORING"))))))))))</f>
        <v/>
      </c>
      <c r="V391" s="17">
        <f>IF($U391="",IF(AND(COUNTA($A391:$L391)&gt;0,$N391=""),"Awaiting Collection Email time stamp.",""),IF(OR($U391="PAID",$U391="CLOSED"),IF($U391="PAID","Account paid. Action completed.","Account closed. No further action required."),CHOOSE($Z391,"Collection Email","1st Email Follow-up","2nd Email Follow-up","Escalation to Local Office","Escalation to CBE","Escalation to Roxanne")&amp;" sent "&amp;TEXT($AA391,"dd-mmm")&amp;". "&amp;IF($Z391=6,"Final escalation completed.",IF($U391="OVERDUE","Next: "&amp;$AC391&amp;" was due "&amp;TEXT($AB391,"dd-mmm")&amp;" - "&amp;(NETWORKDAYS($AB391,TODAY(),Holidays)-1)&amp;" business day(s) late. Send now.",IF($U391="DUE TOMORROW","Next: "&amp;$AC391&amp;IF($AB391&lt;=TODAY()," is due TODAY ("," is due next business day (")&amp;TEXT($AB391,"dd-mmm")&amp;").","Next: "&amp;$AC391&amp;" due "&amp;TEXT($AB391,"dd-mmm")&amp;" ("&amp;(NETWORKDAYS(TODAY(),$AB391,Holidays)-1)&amp;" business day(s) left).")))))</f>
        <v/>
      </c>
      <c r="W391" s="17">
        <f>IF($Z391="","",CHOOSE($Z391,"Collection Email","1st Follow-up","2nd Follow-up","Local Office","CBE","Roxanne")&amp;IF($Z391=6," - Final"," - Day "&amp;MAX(0,NETWORKDAYS($AA391,TODAY(),Holidays)-1)&amp;" of "&amp;CHOOSE($Z391,3,3,2,2,3))&amp;" | Total Day "&amp;MAX(0,NETWORKDAYS($N391,TODAY(),Holidays)-1))</f>
        <v/>
      </c>
      <c r="X391" s="18"/>
      <c r="Y391" s="18"/>
      <c r="Z391" s="17">
        <f>IF($N391="","",COUNT($N391:$S391))</f>
        <v/>
      </c>
      <c r="AA391" s="19">
        <f>IF($Z391="","",INT(INDEX($N391:$S391,$Z391)))</f>
        <v/>
      </c>
      <c r="AB391" s="19">
        <f>IF(OR($Z391="",$Z391=6),"",WORKDAY($AA391,CHOOSE($Z391,3,3,2,2,3),Holidays))</f>
        <v/>
      </c>
      <c r="AC391" s="17">
        <f>IF(OR($Z391="",$Z391=6),"",CHOOSE($Z391,"1st Email Follow-up","2nd Email Follow-up","Escalate Local Office","Escalate to CBE","Escalate to Roxanne"))</f>
        <v/>
      </c>
    </row>
    <row r="392" spans="13:29">
      <c r="M392" s="14"/>
      <c r="T392" s="16"/>
      <c r="U392" s="17">
        <f>IF(AND(COUNTA($A392:$L392)=0,$N392=""),"",IF($T392="Paid","PAID",IF($T392="Closed","CLOSED",IF($Z392="","",IF($Z392=6,"ESCALATED TO ROXANNE",IF(TODAY()&gt;$AB392,"OVERDUE",IF($AB392&lt;=WORKDAY(TODAY(),1,Holidays),"DUE TOMORROW",IF($Z392=4,"ESCALATED TO LOCAL OFFICE",IF($Z392=5,"ESCALATED TO CBE",IF($AA392=TODAY(),"EMAIL SENT","MONITORING"))))))))))</f>
        <v/>
      </c>
      <c r="V392" s="17">
        <f>IF($U392="",IF(AND(COUNTA($A392:$L392)&gt;0,$N392=""),"Awaiting Collection Email time stamp.",""),IF(OR($U392="PAID",$U392="CLOSED"),IF($U392="PAID","Account paid. Action completed.","Account closed. No further action required."),CHOOSE($Z392,"Collection Email","1st Email Follow-up","2nd Email Follow-up","Escalation to Local Office","Escalation to CBE","Escalation to Roxanne")&amp;" sent "&amp;TEXT($AA392,"dd-mmm")&amp;". "&amp;IF($Z392=6,"Final escalation completed.",IF($U392="OVERDUE","Next: "&amp;$AC392&amp;" was due "&amp;TEXT($AB392,"dd-mmm")&amp;" - "&amp;(NETWORKDAYS($AB392,TODAY(),Holidays)-1)&amp;" business day(s) late. Send now.",IF($U392="DUE TOMORROW","Next: "&amp;$AC392&amp;IF($AB392&lt;=TODAY()," is due TODAY ("," is due next business day (")&amp;TEXT($AB392,"dd-mmm")&amp;").","Next: "&amp;$AC392&amp;" due "&amp;TEXT($AB392,"dd-mmm")&amp;" ("&amp;(NETWORKDAYS(TODAY(),$AB392,Holidays)-1)&amp;" business day(s) left).")))))</f>
        <v/>
      </c>
      <c r="W392" s="17">
        <f>IF($Z392="","",CHOOSE($Z392,"Collection Email","1st Follow-up","2nd Follow-up","Local Office","CBE","Roxanne")&amp;IF($Z392=6," - Final"," - Day "&amp;MAX(0,NETWORKDAYS($AA392,TODAY(),Holidays)-1)&amp;" of "&amp;CHOOSE($Z392,3,3,2,2,3))&amp;" | Total Day "&amp;MAX(0,NETWORKDAYS($N392,TODAY(),Holidays)-1))</f>
        <v/>
      </c>
      <c r="X392" s="18"/>
      <c r="Y392" s="18"/>
      <c r="Z392" s="17">
        <f>IF($N392="","",COUNT($N392:$S392))</f>
        <v/>
      </c>
      <c r="AA392" s="19">
        <f>IF($Z392="","",INT(INDEX($N392:$S392,$Z392)))</f>
        <v/>
      </c>
      <c r="AB392" s="19">
        <f>IF(OR($Z392="",$Z392=6),"",WORKDAY($AA392,CHOOSE($Z392,3,3,2,2,3),Holidays))</f>
        <v/>
      </c>
      <c r="AC392" s="17">
        <f>IF(OR($Z392="",$Z392=6),"",CHOOSE($Z392,"1st Email Follow-up","2nd Email Follow-up","Escalate Local Office","Escalate to CBE","Escalate to Roxanne"))</f>
        <v/>
      </c>
    </row>
    <row r="393" spans="13:29">
      <c r="M393" s="14"/>
      <c r="T393" s="16"/>
      <c r="U393" s="17">
        <f>IF(AND(COUNTA($A393:$L393)=0,$N393=""),"",IF($T393="Paid","PAID",IF($T393="Closed","CLOSED",IF($Z393="","",IF($Z393=6,"ESCALATED TO ROXANNE",IF(TODAY()&gt;$AB393,"OVERDUE",IF($AB393&lt;=WORKDAY(TODAY(),1,Holidays),"DUE TOMORROW",IF($Z393=4,"ESCALATED TO LOCAL OFFICE",IF($Z393=5,"ESCALATED TO CBE",IF($AA393=TODAY(),"EMAIL SENT","MONITORING"))))))))))</f>
        <v/>
      </c>
      <c r="V393" s="17">
        <f>IF($U393="",IF(AND(COUNTA($A393:$L393)&gt;0,$N393=""),"Awaiting Collection Email time stamp.",""),IF(OR($U393="PAID",$U393="CLOSED"),IF($U393="PAID","Account paid. Action completed.","Account closed. No further action required."),CHOOSE($Z393,"Collection Email","1st Email Follow-up","2nd Email Follow-up","Escalation to Local Office","Escalation to CBE","Escalation to Roxanne")&amp;" sent "&amp;TEXT($AA393,"dd-mmm")&amp;". "&amp;IF($Z393=6,"Final escalation completed.",IF($U393="OVERDUE","Next: "&amp;$AC393&amp;" was due "&amp;TEXT($AB393,"dd-mmm")&amp;" - "&amp;(NETWORKDAYS($AB393,TODAY(),Holidays)-1)&amp;" business day(s) late. Send now.",IF($U393="DUE TOMORROW","Next: "&amp;$AC393&amp;IF($AB393&lt;=TODAY()," is due TODAY ("," is due next business day (")&amp;TEXT($AB393,"dd-mmm")&amp;").","Next: "&amp;$AC393&amp;" due "&amp;TEXT($AB393,"dd-mmm")&amp;" ("&amp;(NETWORKDAYS(TODAY(),$AB393,Holidays)-1)&amp;" business day(s) left).")))))</f>
        <v/>
      </c>
      <c r="W393" s="17">
        <f>IF($Z393="","",CHOOSE($Z393,"Collection Email","1st Follow-up","2nd Follow-up","Local Office","CBE","Roxanne")&amp;IF($Z393=6," - Final"," - Day "&amp;MAX(0,NETWORKDAYS($AA393,TODAY(),Holidays)-1)&amp;" of "&amp;CHOOSE($Z393,3,3,2,2,3))&amp;" | Total Day "&amp;MAX(0,NETWORKDAYS($N393,TODAY(),Holidays)-1))</f>
        <v/>
      </c>
      <c r="X393" s="18"/>
      <c r="Y393" s="18"/>
      <c r="Z393" s="17">
        <f>IF($N393="","",COUNT($N393:$S393))</f>
        <v/>
      </c>
      <c r="AA393" s="19">
        <f>IF($Z393="","",INT(INDEX($N393:$S393,$Z393)))</f>
        <v/>
      </c>
      <c r="AB393" s="19">
        <f>IF(OR($Z393="",$Z393=6),"",WORKDAY($AA393,CHOOSE($Z393,3,3,2,2,3),Holidays))</f>
        <v/>
      </c>
      <c r="AC393" s="17">
        <f>IF(OR($Z393="",$Z393=6),"",CHOOSE($Z393,"1st Email Follow-up","2nd Email Follow-up","Escalate Local Office","Escalate to CBE","Escalate to Roxanne"))</f>
        <v/>
      </c>
    </row>
    <row r="394" spans="13:29">
      <c r="M394" s="14"/>
      <c r="T394" s="16"/>
      <c r="U394" s="17">
        <f>IF(AND(COUNTA($A394:$L394)=0,$N394=""),"",IF($T394="Paid","PAID",IF($T394="Closed","CLOSED",IF($Z394="","",IF($Z394=6,"ESCALATED TO ROXANNE",IF(TODAY()&gt;$AB394,"OVERDUE",IF($AB394&lt;=WORKDAY(TODAY(),1,Holidays),"DUE TOMORROW",IF($Z394=4,"ESCALATED TO LOCAL OFFICE",IF($Z394=5,"ESCALATED TO CBE",IF($AA394=TODAY(),"EMAIL SENT","MONITORING"))))))))))</f>
        <v/>
      </c>
      <c r="V394" s="17">
        <f>IF($U394="",IF(AND(COUNTA($A394:$L394)&gt;0,$N394=""),"Awaiting Collection Email time stamp.",""),IF(OR($U394="PAID",$U394="CLOSED"),IF($U394="PAID","Account paid. Action completed.","Account closed. No further action required."),CHOOSE($Z394,"Collection Email","1st Email Follow-up","2nd Email Follow-up","Escalation to Local Office","Escalation to CBE","Escalation to Roxanne")&amp;" sent "&amp;TEXT($AA394,"dd-mmm")&amp;". "&amp;IF($Z394=6,"Final escalation completed.",IF($U394="OVERDUE","Next: "&amp;$AC394&amp;" was due "&amp;TEXT($AB394,"dd-mmm")&amp;" - "&amp;(NETWORKDAYS($AB394,TODAY(),Holidays)-1)&amp;" business day(s) late. Send now.",IF($U394="DUE TOMORROW","Next: "&amp;$AC394&amp;IF($AB394&lt;=TODAY()," is due TODAY ("," is due next business day (")&amp;TEXT($AB394,"dd-mmm")&amp;").","Next: "&amp;$AC394&amp;" due "&amp;TEXT($AB394,"dd-mmm")&amp;" ("&amp;(NETWORKDAYS(TODAY(),$AB394,Holidays)-1)&amp;" business day(s) left).")))))</f>
        <v/>
      </c>
      <c r="W394" s="17">
        <f>IF($Z394="","",CHOOSE($Z394,"Collection Email","1st Follow-up","2nd Follow-up","Local Office","CBE","Roxanne")&amp;IF($Z394=6," - Final"," - Day "&amp;MAX(0,NETWORKDAYS($AA394,TODAY(),Holidays)-1)&amp;" of "&amp;CHOOSE($Z394,3,3,2,2,3))&amp;" | Total Day "&amp;MAX(0,NETWORKDAYS($N394,TODAY(),Holidays)-1))</f>
        <v/>
      </c>
      <c r="X394" s="18"/>
      <c r="Y394" s="18"/>
      <c r="Z394" s="17">
        <f>IF($N394="","",COUNT($N394:$S394))</f>
        <v/>
      </c>
      <c r="AA394" s="19">
        <f>IF($Z394="","",INT(INDEX($N394:$S394,$Z394)))</f>
        <v/>
      </c>
      <c r="AB394" s="19">
        <f>IF(OR($Z394="",$Z394=6),"",WORKDAY($AA394,CHOOSE($Z394,3,3,2,2,3),Holidays))</f>
        <v/>
      </c>
      <c r="AC394" s="17">
        <f>IF(OR($Z394="",$Z394=6),"",CHOOSE($Z394,"1st Email Follow-up","2nd Email Follow-up","Escalate Local Office","Escalate to CBE","Escalate to Roxanne"))</f>
        <v/>
      </c>
    </row>
    <row r="395" spans="13:29">
      <c r="M395" s="14"/>
      <c r="T395" s="16"/>
      <c r="U395" s="17">
        <f>IF(AND(COUNTA($A395:$L395)=0,$N395=""),"",IF($T395="Paid","PAID",IF($T395="Closed","CLOSED",IF($Z395="","",IF($Z395=6,"ESCALATED TO ROXANNE",IF(TODAY()&gt;$AB395,"OVERDUE",IF($AB395&lt;=WORKDAY(TODAY(),1,Holidays),"DUE TOMORROW",IF($Z395=4,"ESCALATED TO LOCAL OFFICE",IF($Z395=5,"ESCALATED TO CBE",IF($AA395=TODAY(),"EMAIL SENT","MONITORING"))))))))))</f>
        <v/>
      </c>
      <c r="V395" s="17">
        <f>IF($U395="",IF(AND(COUNTA($A395:$L395)&gt;0,$N395=""),"Awaiting Collection Email time stamp.",""),IF(OR($U395="PAID",$U395="CLOSED"),IF($U395="PAID","Account paid. Action completed.","Account closed. No further action required."),CHOOSE($Z395,"Collection Email","1st Email Follow-up","2nd Email Follow-up","Escalation to Local Office","Escalation to CBE","Escalation to Roxanne")&amp;" sent "&amp;TEXT($AA395,"dd-mmm")&amp;". "&amp;IF($Z395=6,"Final escalation completed.",IF($U395="OVERDUE","Next: "&amp;$AC395&amp;" was due "&amp;TEXT($AB395,"dd-mmm")&amp;" - "&amp;(NETWORKDAYS($AB395,TODAY(),Holidays)-1)&amp;" business day(s) late. Send now.",IF($U395="DUE TOMORROW","Next: "&amp;$AC395&amp;IF($AB395&lt;=TODAY()," is due TODAY ("," is due next business day (")&amp;TEXT($AB395,"dd-mmm")&amp;").","Next: "&amp;$AC395&amp;" due "&amp;TEXT($AB395,"dd-mmm")&amp;" ("&amp;(NETWORKDAYS(TODAY(),$AB395,Holidays)-1)&amp;" business day(s) left).")))))</f>
        <v/>
      </c>
      <c r="W395" s="17">
        <f>IF($Z395="","",CHOOSE($Z395,"Collection Email","1st Follow-up","2nd Follow-up","Local Office","CBE","Roxanne")&amp;IF($Z395=6," - Final"," - Day "&amp;MAX(0,NETWORKDAYS($AA395,TODAY(),Holidays)-1)&amp;" of "&amp;CHOOSE($Z395,3,3,2,2,3))&amp;" | Total Day "&amp;MAX(0,NETWORKDAYS($N395,TODAY(),Holidays)-1))</f>
        <v/>
      </c>
      <c r="X395" s="18"/>
      <c r="Y395" s="18"/>
      <c r="Z395" s="17">
        <f>IF($N395="","",COUNT($N395:$S395))</f>
        <v/>
      </c>
      <c r="AA395" s="19">
        <f>IF($Z395="","",INT(INDEX($N395:$S395,$Z395)))</f>
        <v/>
      </c>
      <c r="AB395" s="19">
        <f>IF(OR($Z395="",$Z395=6),"",WORKDAY($AA395,CHOOSE($Z395,3,3,2,2,3),Holidays))</f>
        <v/>
      </c>
      <c r="AC395" s="17">
        <f>IF(OR($Z395="",$Z395=6),"",CHOOSE($Z395,"1st Email Follow-up","2nd Email Follow-up","Escalate Local Office","Escalate to CBE","Escalate to Roxanne"))</f>
        <v/>
      </c>
    </row>
    <row r="396" spans="13:29">
      <c r="M396" s="14"/>
      <c r="T396" s="16"/>
      <c r="U396" s="17">
        <f>IF(AND(COUNTA($A396:$L396)=0,$N396=""),"",IF($T396="Paid","PAID",IF($T396="Closed","CLOSED",IF($Z396="","",IF($Z396=6,"ESCALATED TO ROXANNE",IF(TODAY()&gt;$AB396,"OVERDUE",IF($AB396&lt;=WORKDAY(TODAY(),1,Holidays),"DUE TOMORROW",IF($Z396=4,"ESCALATED TO LOCAL OFFICE",IF($Z396=5,"ESCALATED TO CBE",IF($AA396=TODAY(),"EMAIL SENT","MONITORING"))))))))))</f>
        <v/>
      </c>
      <c r="V396" s="17">
        <f>IF($U396="",IF(AND(COUNTA($A396:$L396)&gt;0,$N396=""),"Awaiting Collection Email time stamp.",""),IF(OR($U396="PAID",$U396="CLOSED"),IF($U396="PAID","Account paid. Action completed.","Account closed. No further action required."),CHOOSE($Z396,"Collection Email","1st Email Follow-up","2nd Email Follow-up","Escalation to Local Office","Escalation to CBE","Escalation to Roxanne")&amp;" sent "&amp;TEXT($AA396,"dd-mmm")&amp;". "&amp;IF($Z396=6,"Final escalation completed.",IF($U396="OVERDUE","Next: "&amp;$AC396&amp;" was due "&amp;TEXT($AB396,"dd-mmm")&amp;" - "&amp;(NETWORKDAYS($AB396,TODAY(),Holidays)-1)&amp;" business day(s) late. Send now.",IF($U396="DUE TOMORROW","Next: "&amp;$AC396&amp;IF($AB396&lt;=TODAY()," is due TODAY ("," is due next business day (")&amp;TEXT($AB396,"dd-mmm")&amp;").","Next: "&amp;$AC396&amp;" due "&amp;TEXT($AB396,"dd-mmm")&amp;" ("&amp;(NETWORKDAYS(TODAY(),$AB396,Holidays)-1)&amp;" business day(s) left).")))))</f>
        <v/>
      </c>
      <c r="W396" s="17">
        <f>IF($Z396="","",CHOOSE($Z396,"Collection Email","1st Follow-up","2nd Follow-up","Local Office","CBE","Roxanne")&amp;IF($Z396=6," - Final"," - Day "&amp;MAX(0,NETWORKDAYS($AA396,TODAY(),Holidays)-1)&amp;" of "&amp;CHOOSE($Z396,3,3,2,2,3))&amp;" | Total Day "&amp;MAX(0,NETWORKDAYS($N396,TODAY(),Holidays)-1))</f>
        <v/>
      </c>
      <c r="X396" s="18"/>
      <c r="Y396" s="18"/>
      <c r="Z396" s="17">
        <f>IF($N396="","",COUNT($N396:$S396))</f>
        <v/>
      </c>
      <c r="AA396" s="19">
        <f>IF($Z396="","",INT(INDEX($N396:$S396,$Z396)))</f>
        <v/>
      </c>
      <c r="AB396" s="19">
        <f>IF(OR($Z396="",$Z396=6),"",WORKDAY($AA396,CHOOSE($Z396,3,3,2,2,3),Holidays))</f>
        <v/>
      </c>
      <c r="AC396" s="17">
        <f>IF(OR($Z396="",$Z396=6),"",CHOOSE($Z396,"1st Email Follow-up","2nd Email Follow-up","Escalate Local Office","Escalate to CBE","Escalate to Roxanne"))</f>
        <v/>
      </c>
    </row>
    <row r="397" spans="13:29">
      <c r="M397" s="14"/>
      <c r="T397" s="16"/>
      <c r="U397" s="17">
        <f>IF(AND(COUNTA($A397:$L397)=0,$N397=""),"",IF($T397="Paid","PAID",IF($T397="Closed","CLOSED",IF($Z397="","",IF($Z397=6,"ESCALATED TO ROXANNE",IF(TODAY()&gt;$AB397,"OVERDUE",IF($AB397&lt;=WORKDAY(TODAY(),1,Holidays),"DUE TOMORROW",IF($Z397=4,"ESCALATED TO LOCAL OFFICE",IF($Z397=5,"ESCALATED TO CBE",IF($AA397=TODAY(),"EMAIL SENT","MONITORING"))))))))))</f>
        <v/>
      </c>
      <c r="V397" s="17">
        <f>IF($U397="",IF(AND(COUNTA($A397:$L397)&gt;0,$N397=""),"Awaiting Collection Email time stamp.",""),IF(OR($U397="PAID",$U397="CLOSED"),IF($U397="PAID","Account paid. Action completed.","Account closed. No further action required."),CHOOSE($Z397,"Collection Email","1st Email Follow-up","2nd Email Follow-up","Escalation to Local Office","Escalation to CBE","Escalation to Roxanne")&amp;" sent "&amp;TEXT($AA397,"dd-mmm")&amp;". "&amp;IF($Z397=6,"Final escalation completed.",IF($U397="OVERDUE","Next: "&amp;$AC397&amp;" was due "&amp;TEXT($AB397,"dd-mmm")&amp;" - "&amp;(NETWORKDAYS($AB397,TODAY(),Holidays)-1)&amp;" business day(s) late. Send now.",IF($U397="DUE TOMORROW","Next: "&amp;$AC397&amp;IF($AB397&lt;=TODAY()," is due TODAY ("," is due next business day (")&amp;TEXT($AB397,"dd-mmm")&amp;").","Next: "&amp;$AC397&amp;" due "&amp;TEXT($AB397,"dd-mmm")&amp;" ("&amp;(NETWORKDAYS(TODAY(),$AB397,Holidays)-1)&amp;" business day(s) left).")))))</f>
        <v/>
      </c>
      <c r="W397" s="17">
        <f>IF($Z397="","",CHOOSE($Z397,"Collection Email","1st Follow-up","2nd Follow-up","Local Office","CBE","Roxanne")&amp;IF($Z397=6," - Final"," - Day "&amp;MAX(0,NETWORKDAYS($AA397,TODAY(),Holidays)-1)&amp;" of "&amp;CHOOSE($Z397,3,3,2,2,3))&amp;" | Total Day "&amp;MAX(0,NETWORKDAYS($N397,TODAY(),Holidays)-1))</f>
        <v/>
      </c>
      <c r="X397" s="18"/>
      <c r="Y397" s="18"/>
      <c r="Z397" s="17">
        <f>IF($N397="","",COUNT($N397:$S397))</f>
        <v/>
      </c>
      <c r="AA397" s="19">
        <f>IF($Z397="","",INT(INDEX($N397:$S397,$Z397)))</f>
        <v/>
      </c>
      <c r="AB397" s="19">
        <f>IF(OR($Z397="",$Z397=6),"",WORKDAY($AA397,CHOOSE($Z397,3,3,2,2,3),Holidays))</f>
        <v/>
      </c>
      <c r="AC397" s="17">
        <f>IF(OR($Z397="",$Z397=6),"",CHOOSE($Z397,"1st Email Follow-up","2nd Email Follow-up","Escalate Local Office","Escalate to CBE","Escalate to Roxanne"))</f>
        <v/>
      </c>
    </row>
    <row r="398" spans="13:29">
      <c r="M398" s="14"/>
      <c r="T398" s="16"/>
      <c r="U398" s="17">
        <f>IF(AND(COUNTA($A398:$L398)=0,$N398=""),"",IF($T398="Paid","PAID",IF($T398="Closed","CLOSED",IF($Z398="","",IF($Z398=6,"ESCALATED TO ROXANNE",IF(TODAY()&gt;$AB398,"OVERDUE",IF($AB398&lt;=WORKDAY(TODAY(),1,Holidays),"DUE TOMORROW",IF($Z398=4,"ESCALATED TO LOCAL OFFICE",IF($Z398=5,"ESCALATED TO CBE",IF($AA398=TODAY(),"EMAIL SENT","MONITORING"))))))))))</f>
        <v/>
      </c>
      <c r="V398" s="17">
        <f>IF($U398="",IF(AND(COUNTA($A398:$L398)&gt;0,$N398=""),"Awaiting Collection Email time stamp.",""),IF(OR($U398="PAID",$U398="CLOSED"),IF($U398="PAID","Account paid. Action completed.","Account closed. No further action required."),CHOOSE($Z398,"Collection Email","1st Email Follow-up","2nd Email Follow-up","Escalation to Local Office","Escalation to CBE","Escalation to Roxanne")&amp;" sent "&amp;TEXT($AA398,"dd-mmm")&amp;". "&amp;IF($Z398=6,"Final escalation completed.",IF($U398="OVERDUE","Next: "&amp;$AC398&amp;" was due "&amp;TEXT($AB398,"dd-mmm")&amp;" - "&amp;(NETWORKDAYS($AB398,TODAY(),Holidays)-1)&amp;" business day(s) late. Send now.",IF($U398="DUE TOMORROW","Next: "&amp;$AC398&amp;IF($AB398&lt;=TODAY()," is due TODAY ("," is due next business day (")&amp;TEXT($AB398,"dd-mmm")&amp;").","Next: "&amp;$AC398&amp;" due "&amp;TEXT($AB398,"dd-mmm")&amp;" ("&amp;(NETWORKDAYS(TODAY(),$AB398,Holidays)-1)&amp;" business day(s) left).")))))</f>
        <v/>
      </c>
      <c r="W398" s="17">
        <f>IF($Z398="","",CHOOSE($Z398,"Collection Email","1st Follow-up","2nd Follow-up","Local Office","CBE","Roxanne")&amp;IF($Z398=6," - Final"," - Day "&amp;MAX(0,NETWORKDAYS($AA398,TODAY(),Holidays)-1)&amp;" of "&amp;CHOOSE($Z398,3,3,2,2,3))&amp;" | Total Day "&amp;MAX(0,NETWORKDAYS($N398,TODAY(),Holidays)-1))</f>
        <v/>
      </c>
      <c r="X398" s="18"/>
      <c r="Y398" s="18"/>
      <c r="Z398" s="17">
        <f>IF($N398="","",COUNT($N398:$S398))</f>
        <v/>
      </c>
      <c r="AA398" s="19">
        <f>IF($Z398="","",INT(INDEX($N398:$S398,$Z398)))</f>
        <v/>
      </c>
      <c r="AB398" s="19">
        <f>IF(OR($Z398="",$Z398=6),"",WORKDAY($AA398,CHOOSE($Z398,3,3,2,2,3),Holidays))</f>
        <v/>
      </c>
      <c r="AC398" s="17">
        <f>IF(OR($Z398="",$Z398=6),"",CHOOSE($Z398,"1st Email Follow-up","2nd Email Follow-up","Escalate Local Office","Escalate to CBE","Escalate to Roxanne"))</f>
        <v/>
      </c>
    </row>
    <row r="399" spans="13:29">
      <c r="M399" s="14"/>
      <c r="T399" s="16"/>
      <c r="U399" s="17">
        <f>IF(AND(COUNTA($A399:$L399)=0,$N399=""),"",IF($T399="Paid","PAID",IF($T399="Closed","CLOSED",IF($Z399="","",IF($Z399=6,"ESCALATED TO ROXANNE",IF(TODAY()&gt;$AB399,"OVERDUE",IF($AB399&lt;=WORKDAY(TODAY(),1,Holidays),"DUE TOMORROW",IF($Z399=4,"ESCALATED TO LOCAL OFFICE",IF($Z399=5,"ESCALATED TO CBE",IF($AA399=TODAY(),"EMAIL SENT","MONITORING"))))))))))</f>
        <v/>
      </c>
      <c r="V399" s="17">
        <f>IF($U399="",IF(AND(COUNTA($A399:$L399)&gt;0,$N399=""),"Awaiting Collection Email time stamp.",""),IF(OR($U399="PAID",$U399="CLOSED"),IF($U399="PAID","Account paid. Action completed.","Account closed. No further action required."),CHOOSE($Z399,"Collection Email","1st Email Follow-up","2nd Email Follow-up","Escalation to Local Office","Escalation to CBE","Escalation to Roxanne")&amp;" sent "&amp;TEXT($AA399,"dd-mmm")&amp;". "&amp;IF($Z399=6,"Final escalation completed.",IF($U399="OVERDUE","Next: "&amp;$AC399&amp;" was due "&amp;TEXT($AB399,"dd-mmm")&amp;" - "&amp;(NETWORKDAYS($AB399,TODAY(),Holidays)-1)&amp;" business day(s) late. Send now.",IF($U399="DUE TOMORROW","Next: "&amp;$AC399&amp;IF($AB399&lt;=TODAY()," is due TODAY ("," is due next business day (")&amp;TEXT($AB399,"dd-mmm")&amp;").","Next: "&amp;$AC399&amp;" due "&amp;TEXT($AB399,"dd-mmm")&amp;" ("&amp;(NETWORKDAYS(TODAY(),$AB399,Holidays)-1)&amp;" business day(s) left).")))))</f>
        <v/>
      </c>
      <c r="W399" s="17">
        <f>IF($Z399="","",CHOOSE($Z399,"Collection Email","1st Follow-up","2nd Follow-up","Local Office","CBE","Roxanne")&amp;IF($Z399=6," - Final"," - Day "&amp;MAX(0,NETWORKDAYS($AA399,TODAY(),Holidays)-1)&amp;" of "&amp;CHOOSE($Z399,3,3,2,2,3))&amp;" | Total Day "&amp;MAX(0,NETWORKDAYS($N399,TODAY(),Holidays)-1))</f>
        <v/>
      </c>
      <c r="X399" s="18"/>
      <c r="Y399" s="18"/>
      <c r="Z399" s="17">
        <f>IF($N399="","",COUNT($N399:$S399))</f>
        <v/>
      </c>
      <c r="AA399" s="19">
        <f>IF($Z399="","",INT(INDEX($N399:$S399,$Z399)))</f>
        <v/>
      </c>
      <c r="AB399" s="19">
        <f>IF(OR($Z399="",$Z399=6),"",WORKDAY($AA399,CHOOSE($Z399,3,3,2,2,3),Holidays))</f>
        <v/>
      </c>
      <c r="AC399" s="17">
        <f>IF(OR($Z399="",$Z399=6),"",CHOOSE($Z399,"1st Email Follow-up","2nd Email Follow-up","Escalate Local Office","Escalate to CBE","Escalate to Roxanne"))</f>
        <v/>
      </c>
    </row>
    <row r="400" spans="13:29">
      <c r="M400" s="14"/>
      <c r="T400" s="16"/>
      <c r="U400" s="17">
        <f>IF(AND(COUNTA($A400:$L400)=0,$N400=""),"",IF($T400="Paid","PAID",IF($T400="Closed","CLOSED",IF($Z400="","",IF($Z400=6,"ESCALATED TO ROXANNE",IF(TODAY()&gt;$AB400,"OVERDUE",IF($AB400&lt;=WORKDAY(TODAY(),1,Holidays),"DUE TOMORROW",IF($Z400=4,"ESCALATED TO LOCAL OFFICE",IF($Z400=5,"ESCALATED TO CBE",IF($AA400=TODAY(),"EMAIL SENT","MONITORING"))))))))))</f>
        <v/>
      </c>
      <c r="V400" s="17">
        <f>IF($U400="",IF(AND(COUNTA($A400:$L400)&gt;0,$N400=""),"Awaiting Collection Email time stamp.",""),IF(OR($U400="PAID",$U400="CLOSED"),IF($U400="PAID","Account paid. Action completed.","Account closed. No further action required."),CHOOSE($Z400,"Collection Email","1st Email Follow-up","2nd Email Follow-up","Escalation to Local Office","Escalation to CBE","Escalation to Roxanne")&amp;" sent "&amp;TEXT($AA400,"dd-mmm")&amp;". "&amp;IF($Z400=6,"Final escalation completed.",IF($U400="OVERDUE","Next: "&amp;$AC400&amp;" was due "&amp;TEXT($AB400,"dd-mmm")&amp;" - "&amp;(NETWORKDAYS($AB400,TODAY(),Holidays)-1)&amp;" business day(s) late. Send now.",IF($U400="DUE TOMORROW","Next: "&amp;$AC400&amp;IF($AB400&lt;=TODAY()," is due TODAY ("," is due next business day (")&amp;TEXT($AB400,"dd-mmm")&amp;").","Next: "&amp;$AC400&amp;" due "&amp;TEXT($AB400,"dd-mmm")&amp;" ("&amp;(NETWORKDAYS(TODAY(),$AB400,Holidays)-1)&amp;" business day(s) left).")))))</f>
        <v/>
      </c>
      <c r="W400" s="17">
        <f>IF($Z400="","",CHOOSE($Z400,"Collection Email","1st Follow-up","2nd Follow-up","Local Office","CBE","Roxanne")&amp;IF($Z400=6," - Final"," - Day "&amp;MAX(0,NETWORKDAYS($AA400,TODAY(),Holidays)-1)&amp;" of "&amp;CHOOSE($Z400,3,3,2,2,3))&amp;" | Total Day "&amp;MAX(0,NETWORKDAYS($N400,TODAY(),Holidays)-1))</f>
        <v/>
      </c>
      <c r="X400" s="18"/>
      <c r="Y400" s="18"/>
      <c r="Z400" s="17">
        <f>IF($N400="","",COUNT($N400:$S400))</f>
        <v/>
      </c>
      <c r="AA400" s="19">
        <f>IF($Z400="","",INT(INDEX($N400:$S400,$Z400)))</f>
        <v/>
      </c>
      <c r="AB400" s="19">
        <f>IF(OR($Z400="",$Z400=6),"",WORKDAY($AA400,CHOOSE($Z400,3,3,2,2,3),Holidays))</f>
        <v/>
      </c>
      <c r="AC400" s="17">
        <f>IF(OR($Z400="",$Z400=6),"",CHOOSE($Z400,"1st Email Follow-up","2nd Email Follow-up","Escalate Local Office","Escalate to CBE","Escalate to Roxanne"))</f>
        <v/>
      </c>
    </row>
    <row r="401" spans="13:29">
      <c r="M401" s="14"/>
      <c r="T401" s="16"/>
      <c r="U401" s="17">
        <f>IF(AND(COUNTA($A401:$L401)=0,$N401=""),"",IF($T401="Paid","PAID",IF($T401="Closed","CLOSED",IF($Z401="","",IF($Z401=6,"ESCALATED TO ROXANNE",IF(TODAY()&gt;$AB401,"OVERDUE",IF($AB401&lt;=WORKDAY(TODAY(),1,Holidays),"DUE TOMORROW",IF($Z401=4,"ESCALATED TO LOCAL OFFICE",IF($Z401=5,"ESCALATED TO CBE",IF($AA401=TODAY(),"EMAIL SENT","MONITORING"))))))))))</f>
        <v/>
      </c>
      <c r="V401" s="17">
        <f>IF($U401="",IF(AND(COUNTA($A401:$L401)&gt;0,$N401=""),"Awaiting Collection Email time stamp.",""),IF(OR($U401="PAID",$U401="CLOSED"),IF($U401="PAID","Account paid. Action completed.","Account closed. No further action required."),CHOOSE($Z401,"Collection Email","1st Email Follow-up","2nd Email Follow-up","Escalation to Local Office","Escalation to CBE","Escalation to Roxanne")&amp;" sent "&amp;TEXT($AA401,"dd-mmm")&amp;". "&amp;IF($Z401=6,"Final escalation completed.",IF($U401="OVERDUE","Next: "&amp;$AC401&amp;" was due "&amp;TEXT($AB401,"dd-mmm")&amp;" - "&amp;(NETWORKDAYS($AB401,TODAY(),Holidays)-1)&amp;" business day(s) late. Send now.",IF($U401="DUE TOMORROW","Next: "&amp;$AC401&amp;IF($AB401&lt;=TODAY()," is due TODAY ("," is due next business day (")&amp;TEXT($AB401,"dd-mmm")&amp;").","Next: "&amp;$AC401&amp;" due "&amp;TEXT($AB401,"dd-mmm")&amp;" ("&amp;(NETWORKDAYS(TODAY(),$AB401,Holidays)-1)&amp;" business day(s) left).")))))</f>
        <v/>
      </c>
      <c r="W401" s="17">
        <f>IF($Z401="","",CHOOSE($Z401,"Collection Email","1st Follow-up","2nd Follow-up","Local Office","CBE","Roxanne")&amp;IF($Z401=6," - Final"," - Day "&amp;MAX(0,NETWORKDAYS($AA401,TODAY(),Holidays)-1)&amp;" of "&amp;CHOOSE($Z401,3,3,2,2,3))&amp;" | Total Day "&amp;MAX(0,NETWORKDAYS($N401,TODAY(),Holidays)-1))</f>
        <v/>
      </c>
      <c r="X401" s="18"/>
      <c r="Y401" s="18"/>
      <c r="Z401" s="17">
        <f>IF($N401="","",COUNT($N401:$S401))</f>
        <v/>
      </c>
      <c r="AA401" s="19">
        <f>IF($Z401="","",INT(INDEX($N401:$S401,$Z401)))</f>
        <v/>
      </c>
      <c r="AB401" s="19">
        <f>IF(OR($Z401="",$Z401=6),"",WORKDAY($AA401,CHOOSE($Z401,3,3,2,2,3),Holidays))</f>
        <v/>
      </c>
      <c r="AC401" s="17">
        <f>IF(OR($Z401="",$Z401=6),"",CHOOSE($Z401,"1st Email Follow-up","2nd Email Follow-up","Escalate Local Office","Escalate to CBE","Escalate to Roxanne"))</f>
        <v/>
      </c>
    </row>
    <row r="402" spans="13:29">
      <c r="M402" s="14"/>
      <c r="T402" s="16"/>
      <c r="U402" s="17">
        <f>IF(AND(COUNTA($A402:$L402)=0,$N402=""),"",IF($T402="Paid","PAID",IF($T402="Closed","CLOSED",IF($Z402="","",IF($Z402=6,"ESCALATED TO ROXANNE",IF(TODAY()&gt;$AB402,"OVERDUE",IF($AB402&lt;=WORKDAY(TODAY(),1,Holidays),"DUE TOMORROW",IF($Z402=4,"ESCALATED TO LOCAL OFFICE",IF($Z402=5,"ESCALATED TO CBE",IF($AA402=TODAY(),"EMAIL SENT","MONITORING"))))))))))</f>
        <v/>
      </c>
      <c r="V402" s="17">
        <f>IF($U402="",IF(AND(COUNTA($A402:$L402)&gt;0,$N402=""),"Awaiting Collection Email time stamp.",""),IF(OR($U402="PAID",$U402="CLOSED"),IF($U402="PAID","Account paid. Action completed.","Account closed. No further action required."),CHOOSE($Z402,"Collection Email","1st Email Follow-up","2nd Email Follow-up","Escalation to Local Office","Escalation to CBE","Escalation to Roxanne")&amp;" sent "&amp;TEXT($AA402,"dd-mmm")&amp;". "&amp;IF($Z402=6,"Final escalation completed.",IF($U402="OVERDUE","Next: "&amp;$AC402&amp;" was due "&amp;TEXT($AB402,"dd-mmm")&amp;" - "&amp;(NETWORKDAYS($AB402,TODAY(),Holidays)-1)&amp;" business day(s) late. Send now.",IF($U402="DUE TOMORROW","Next: "&amp;$AC402&amp;IF($AB402&lt;=TODAY()," is due TODAY ("," is due next business day (")&amp;TEXT($AB402,"dd-mmm")&amp;").","Next: "&amp;$AC402&amp;" due "&amp;TEXT($AB402,"dd-mmm")&amp;" ("&amp;(NETWORKDAYS(TODAY(),$AB402,Holidays)-1)&amp;" business day(s) left).")))))</f>
        <v/>
      </c>
      <c r="W402" s="17">
        <f>IF($Z402="","",CHOOSE($Z402,"Collection Email","1st Follow-up","2nd Follow-up","Local Office","CBE","Roxanne")&amp;IF($Z402=6," - Final"," - Day "&amp;MAX(0,NETWORKDAYS($AA402,TODAY(),Holidays)-1)&amp;" of "&amp;CHOOSE($Z402,3,3,2,2,3))&amp;" | Total Day "&amp;MAX(0,NETWORKDAYS($N402,TODAY(),Holidays)-1))</f>
        <v/>
      </c>
      <c r="X402" s="18"/>
      <c r="Y402" s="18"/>
      <c r="Z402" s="17">
        <f>IF($N402="","",COUNT($N402:$S402))</f>
        <v/>
      </c>
      <c r="AA402" s="19">
        <f>IF($Z402="","",INT(INDEX($N402:$S402,$Z402)))</f>
        <v/>
      </c>
      <c r="AB402" s="19">
        <f>IF(OR($Z402="",$Z402=6),"",WORKDAY($AA402,CHOOSE($Z402,3,3,2,2,3),Holidays))</f>
        <v/>
      </c>
      <c r="AC402" s="17">
        <f>IF(OR($Z402="",$Z402=6),"",CHOOSE($Z402,"1st Email Follow-up","2nd Email Follow-up","Escalate Local Office","Escalate to CBE","Escalate to Roxanne"))</f>
        <v/>
      </c>
    </row>
    <row r="403" spans="13:29">
      <c r="M403" s="14"/>
      <c r="T403" s="16"/>
      <c r="U403" s="17">
        <f>IF(AND(COUNTA($A403:$L403)=0,$N403=""),"",IF($T403="Paid","PAID",IF($T403="Closed","CLOSED",IF($Z403="","",IF($Z403=6,"ESCALATED TO ROXANNE",IF(TODAY()&gt;$AB403,"OVERDUE",IF($AB403&lt;=WORKDAY(TODAY(),1,Holidays),"DUE TOMORROW",IF($Z403=4,"ESCALATED TO LOCAL OFFICE",IF($Z403=5,"ESCALATED TO CBE",IF($AA403=TODAY(),"EMAIL SENT","MONITORING"))))))))))</f>
        <v/>
      </c>
      <c r="V403" s="17">
        <f>IF($U403="",IF(AND(COUNTA($A403:$L403)&gt;0,$N403=""),"Awaiting Collection Email time stamp.",""),IF(OR($U403="PAID",$U403="CLOSED"),IF($U403="PAID","Account paid. Action completed.","Account closed. No further action required."),CHOOSE($Z403,"Collection Email","1st Email Follow-up","2nd Email Follow-up","Escalation to Local Office","Escalation to CBE","Escalation to Roxanne")&amp;" sent "&amp;TEXT($AA403,"dd-mmm")&amp;". "&amp;IF($Z403=6,"Final escalation completed.",IF($U403="OVERDUE","Next: "&amp;$AC403&amp;" was due "&amp;TEXT($AB403,"dd-mmm")&amp;" - "&amp;(NETWORKDAYS($AB403,TODAY(),Holidays)-1)&amp;" business day(s) late. Send now.",IF($U403="DUE TOMORROW","Next: "&amp;$AC403&amp;IF($AB403&lt;=TODAY()," is due TODAY ("," is due next business day (")&amp;TEXT($AB403,"dd-mmm")&amp;").","Next: "&amp;$AC403&amp;" due "&amp;TEXT($AB403,"dd-mmm")&amp;" ("&amp;(NETWORKDAYS(TODAY(),$AB403,Holidays)-1)&amp;" business day(s) left).")))))</f>
        <v/>
      </c>
      <c r="W403" s="17">
        <f>IF($Z403="","",CHOOSE($Z403,"Collection Email","1st Follow-up","2nd Follow-up","Local Office","CBE","Roxanne")&amp;IF($Z403=6," - Final"," - Day "&amp;MAX(0,NETWORKDAYS($AA403,TODAY(),Holidays)-1)&amp;" of "&amp;CHOOSE($Z403,3,3,2,2,3))&amp;" | Total Day "&amp;MAX(0,NETWORKDAYS($N403,TODAY(),Holidays)-1))</f>
        <v/>
      </c>
      <c r="X403" s="18"/>
      <c r="Y403" s="18"/>
      <c r="Z403" s="17">
        <f>IF($N403="","",COUNT($N403:$S403))</f>
        <v/>
      </c>
      <c r="AA403" s="19">
        <f>IF($Z403="","",INT(INDEX($N403:$S403,$Z403)))</f>
        <v/>
      </c>
      <c r="AB403" s="19">
        <f>IF(OR($Z403="",$Z403=6),"",WORKDAY($AA403,CHOOSE($Z403,3,3,2,2,3),Holidays))</f>
        <v/>
      </c>
      <c r="AC403" s="17">
        <f>IF(OR($Z403="",$Z403=6),"",CHOOSE($Z403,"1st Email Follow-up","2nd Email Follow-up","Escalate Local Office","Escalate to CBE","Escalate to Roxanne"))</f>
        <v/>
      </c>
    </row>
    <row r="404" spans="13:29">
      <c r="M404" s="14"/>
      <c r="T404" s="16"/>
      <c r="U404" s="17">
        <f>IF(AND(COUNTA($A404:$L404)=0,$N404=""),"",IF($T404="Paid","PAID",IF($T404="Closed","CLOSED",IF($Z404="","",IF($Z404=6,"ESCALATED TO ROXANNE",IF(TODAY()&gt;$AB404,"OVERDUE",IF($AB404&lt;=WORKDAY(TODAY(),1,Holidays),"DUE TOMORROW",IF($Z404=4,"ESCALATED TO LOCAL OFFICE",IF($Z404=5,"ESCALATED TO CBE",IF($AA404=TODAY(),"EMAIL SENT","MONITORING"))))))))))</f>
        <v/>
      </c>
      <c r="V404" s="17">
        <f>IF($U404="",IF(AND(COUNTA($A404:$L404)&gt;0,$N404=""),"Awaiting Collection Email time stamp.",""),IF(OR($U404="PAID",$U404="CLOSED"),IF($U404="PAID","Account paid. Action completed.","Account closed. No further action required."),CHOOSE($Z404,"Collection Email","1st Email Follow-up","2nd Email Follow-up","Escalation to Local Office","Escalation to CBE","Escalation to Roxanne")&amp;" sent "&amp;TEXT($AA404,"dd-mmm")&amp;". "&amp;IF($Z404=6,"Final escalation completed.",IF($U404="OVERDUE","Next: "&amp;$AC404&amp;" was due "&amp;TEXT($AB404,"dd-mmm")&amp;" - "&amp;(NETWORKDAYS($AB404,TODAY(),Holidays)-1)&amp;" business day(s) late. Send now.",IF($U404="DUE TOMORROW","Next: "&amp;$AC404&amp;IF($AB404&lt;=TODAY()," is due TODAY ("," is due next business day (")&amp;TEXT($AB404,"dd-mmm")&amp;").","Next: "&amp;$AC404&amp;" due "&amp;TEXT($AB404,"dd-mmm")&amp;" ("&amp;(NETWORKDAYS(TODAY(),$AB404,Holidays)-1)&amp;" business day(s) left).")))))</f>
        <v/>
      </c>
      <c r="W404" s="17">
        <f>IF($Z404="","",CHOOSE($Z404,"Collection Email","1st Follow-up","2nd Follow-up","Local Office","CBE","Roxanne")&amp;IF($Z404=6," - Final"," - Day "&amp;MAX(0,NETWORKDAYS($AA404,TODAY(),Holidays)-1)&amp;" of "&amp;CHOOSE($Z404,3,3,2,2,3))&amp;" | Total Day "&amp;MAX(0,NETWORKDAYS($N404,TODAY(),Holidays)-1))</f>
        <v/>
      </c>
      <c r="X404" s="18"/>
      <c r="Y404" s="18"/>
      <c r="Z404" s="17">
        <f>IF($N404="","",COUNT($N404:$S404))</f>
        <v/>
      </c>
      <c r="AA404" s="19">
        <f>IF($Z404="","",INT(INDEX($N404:$S404,$Z404)))</f>
        <v/>
      </c>
      <c r="AB404" s="19">
        <f>IF(OR($Z404="",$Z404=6),"",WORKDAY($AA404,CHOOSE($Z404,3,3,2,2,3),Holidays))</f>
        <v/>
      </c>
      <c r="AC404" s="17">
        <f>IF(OR($Z404="",$Z404=6),"",CHOOSE($Z404,"1st Email Follow-up","2nd Email Follow-up","Escalate Local Office","Escalate to CBE","Escalate to Roxanne"))</f>
        <v/>
      </c>
    </row>
    <row r="405" spans="13:29">
      <c r="M405" s="14"/>
      <c r="T405" s="16"/>
      <c r="U405" s="17">
        <f>IF(AND(COUNTA($A405:$L405)=0,$N405=""),"",IF($T405="Paid","PAID",IF($T405="Closed","CLOSED",IF($Z405="","",IF($Z405=6,"ESCALATED TO ROXANNE",IF(TODAY()&gt;$AB405,"OVERDUE",IF($AB405&lt;=WORKDAY(TODAY(),1,Holidays),"DUE TOMORROW",IF($Z405=4,"ESCALATED TO LOCAL OFFICE",IF($Z405=5,"ESCALATED TO CBE",IF($AA405=TODAY(),"EMAIL SENT","MONITORING"))))))))))</f>
        <v/>
      </c>
      <c r="V405" s="17">
        <f>IF($U405="",IF(AND(COUNTA($A405:$L405)&gt;0,$N405=""),"Awaiting Collection Email time stamp.",""),IF(OR($U405="PAID",$U405="CLOSED"),IF($U405="PAID","Account paid. Action completed.","Account closed. No further action required."),CHOOSE($Z405,"Collection Email","1st Email Follow-up","2nd Email Follow-up","Escalation to Local Office","Escalation to CBE","Escalation to Roxanne")&amp;" sent "&amp;TEXT($AA405,"dd-mmm")&amp;". "&amp;IF($Z405=6,"Final escalation completed.",IF($U405="OVERDUE","Next: "&amp;$AC405&amp;" was due "&amp;TEXT($AB405,"dd-mmm")&amp;" - "&amp;(NETWORKDAYS($AB405,TODAY(),Holidays)-1)&amp;" business day(s) late. Send now.",IF($U405="DUE TOMORROW","Next: "&amp;$AC405&amp;IF($AB405&lt;=TODAY()," is due TODAY ("," is due next business day (")&amp;TEXT($AB405,"dd-mmm")&amp;").","Next: "&amp;$AC405&amp;" due "&amp;TEXT($AB405,"dd-mmm")&amp;" ("&amp;(NETWORKDAYS(TODAY(),$AB405,Holidays)-1)&amp;" business day(s) left).")))))</f>
        <v/>
      </c>
      <c r="W405" s="17">
        <f>IF($Z405="","",CHOOSE($Z405,"Collection Email","1st Follow-up","2nd Follow-up","Local Office","CBE","Roxanne")&amp;IF($Z405=6," - Final"," - Day "&amp;MAX(0,NETWORKDAYS($AA405,TODAY(),Holidays)-1)&amp;" of "&amp;CHOOSE($Z405,3,3,2,2,3))&amp;" | Total Day "&amp;MAX(0,NETWORKDAYS($N405,TODAY(),Holidays)-1))</f>
        <v/>
      </c>
      <c r="X405" s="18"/>
      <c r="Y405" s="18"/>
      <c r="Z405" s="17">
        <f>IF($N405="","",COUNT($N405:$S405))</f>
        <v/>
      </c>
      <c r="AA405" s="19">
        <f>IF($Z405="","",INT(INDEX($N405:$S405,$Z405)))</f>
        <v/>
      </c>
      <c r="AB405" s="19">
        <f>IF(OR($Z405="",$Z405=6),"",WORKDAY($AA405,CHOOSE($Z405,3,3,2,2,3),Holidays))</f>
        <v/>
      </c>
      <c r="AC405" s="17">
        <f>IF(OR($Z405="",$Z405=6),"",CHOOSE($Z405,"1st Email Follow-up","2nd Email Follow-up","Escalate Local Office","Escalate to CBE","Escalate to Roxanne"))</f>
        <v/>
      </c>
    </row>
    <row r="406" spans="13:29">
      <c r="M406" s="14"/>
      <c r="T406" s="16"/>
      <c r="U406" s="17">
        <f>IF(AND(COUNTA($A406:$L406)=0,$N406=""),"",IF($T406="Paid","PAID",IF($T406="Closed","CLOSED",IF($Z406="","",IF($Z406=6,"ESCALATED TO ROXANNE",IF(TODAY()&gt;$AB406,"OVERDUE",IF($AB406&lt;=WORKDAY(TODAY(),1,Holidays),"DUE TOMORROW",IF($Z406=4,"ESCALATED TO LOCAL OFFICE",IF($Z406=5,"ESCALATED TO CBE",IF($AA406=TODAY(),"EMAIL SENT","MONITORING"))))))))))</f>
        <v/>
      </c>
      <c r="V406" s="17">
        <f>IF($U406="",IF(AND(COUNTA($A406:$L406)&gt;0,$N406=""),"Awaiting Collection Email time stamp.",""),IF(OR($U406="PAID",$U406="CLOSED"),IF($U406="PAID","Account paid. Action completed.","Account closed. No further action required."),CHOOSE($Z406,"Collection Email","1st Email Follow-up","2nd Email Follow-up","Escalation to Local Office","Escalation to CBE","Escalation to Roxanne")&amp;" sent "&amp;TEXT($AA406,"dd-mmm")&amp;". "&amp;IF($Z406=6,"Final escalation completed.",IF($U406="OVERDUE","Next: "&amp;$AC406&amp;" was due "&amp;TEXT($AB406,"dd-mmm")&amp;" - "&amp;(NETWORKDAYS($AB406,TODAY(),Holidays)-1)&amp;" business day(s) late. Send now.",IF($U406="DUE TOMORROW","Next: "&amp;$AC406&amp;IF($AB406&lt;=TODAY()," is due TODAY ("," is due next business day (")&amp;TEXT($AB406,"dd-mmm")&amp;").","Next: "&amp;$AC406&amp;" due "&amp;TEXT($AB406,"dd-mmm")&amp;" ("&amp;(NETWORKDAYS(TODAY(),$AB406,Holidays)-1)&amp;" business day(s) left).")))))</f>
        <v/>
      </c>
      <c r="W406" s="17">
        <f>IF($Z406="","",CHOOSE($Z406,"Collection Email","1st Follow-up","2nd Follow-up","Local Office","CBE","Roxanne")&amp;IF($Z406=6," - Final"," - Day "&amp;MAX(0,NETWORKDAYS($AA406,TODAY(),Holidays)-1)&amp;" of "&amp;CHOOSE($Z406,3,3,2,2,3))&amp;" | Total Day "&amp;MAX(0,NETWORKDAYS($N406,TODAY(),Holidays)-1))</f>
        <v/>
      </c>
      <c r="X406" s="18"/>
      <c r="Y406" s="18"/>
      <c r="Z406" s="17">
        <f>IF($N406="","",COUNT($N406:$S406))</f>
        <v/>
      </c>
      <c r="AA406" s="19">
        <f>IF($Z406="","",INT(INDEX($N406:$S406,$Z406)))</f>
        <v/>
      </c>
      <c r="AB406" s="19">
        <f>IF(OR($Z406="",$Z406=6),"",WORKDAY($AA406,CHOOSE($Z406,3,3,2,2,3),Holidays))</f>
        <v/>
      </c>
      <c r="AC406" s="17">
        <f>IF(OR($Z406="",$Z406=6),"",CHOOSE($Z406,"1st Email Follow-up","2nd Email Follow-up","Escalate Local Office","Escalate to CBE","Escalate to Roxanne"))</f>
        <v/>
      </c>
    </row>
    <row r="407" spans="13:29">
      <c r="M407" s="14"/>
      <c r="T407" s="16"/>
      <c r="U407" s="17">
        <f>IF(AND(COUNTA($A407:$L407)=0,$N407=""),"",IF($T407="Paid","PAID",IF($T407="Closed","CLOSED",IF($Z407="","",IF($Z407=6,"ESCALATED TO ROXANNE",IF(TODAY()&gt;$AB407,"OVERDUE",IF($AB407&lt;=WORKDAY(TODAY(),1,Holidays),"DUE TOMORROW",IF($Z407=4,"ESCALATED TO LOCAL OFFICE",IF($Z407=5,"ESCALATED TO CBE",IF($AA407=TODAY(),"EMAIL SENT","MONITORING"))))))))))</f>
        <v/>
      </c>
      <c r="V407" s="17">
        <f>IF($U407="",IF(AND(COUNTA($A407:$L407)&gt;0,$N407=""),"Awaiting Collection Email time stamp.",""),IF(OR($U407="PAID",$U407="CLOSED"),IF($U407="PAID","Account paid. Action completed.","Account closed. No further action required."),CHOOSE($Z407,"Collection Email","1st Email Follow-up","2nd Email Follow-up","Escalation to Local Office","Escalation to CBE","Escalation to Roxanne")&amp;" sent "&amp;TEXT($AA407,"dd-mmm")&amp;". "&amp;IF($Z407=6,"Final escalation completed.",IF($U407="OVERDUE","Next: "&amp;$AC407&amp;" was due "&amp;TEXT($AB407,"dd-mmm")&amp;" - "&amp;(NETWORKDAYS($AB407,TODAY(),Holidays)-1)&amp;" business day(s) late. Send now.",IF($U407="DUE TOMORROW","Next: "&amp;$AC407&amp;IF($AB407&lt;=TODAY()," is due TODAY ("," is due next business day (")&amp;TEXT($AB407,"dd-mmm")&amp;").","Next: "&amp;$AC407&amp;" due "&amp;TEXT($AB407,"dd-mmm")&amp;" ("&amp;(NETWORKDAYS(TODAY(),$AB407,Holidays)-1)&amp;" business day(s) left).")))))</f>
        <v/>
      </c>
      <c r="W407" s="17">
        <f>IF($Z407="","",CHOOSE($Z407,"Collection Email","1st Follow-up","2nd Follow-up","Local Office","CBE","Roxanne")&amp;IF($Z407=6," - Final"," - Day "&amp;MAX(0,NETWORKDAYS($AA407,TODAY(),Holidays)-1)&amp;" of "&amp;CHOOSE($Z407,3,3,2,2,3))&amp;" | Total Day "&amp;MAX(0,NETWORKDAYS($N407,TODAY(),Holidays)-1))</f>
        <v/>
      </c>
      <c r="X407" s="18"/>
      <c r="Y407" s="18"/>
      <c r="Z407" s="17">
        <f>IF($N407="","",COUNT($N407:$S407))</f>
        <v/>
      </c>
      <c r="AA407" s="19">
        <f>IF($Z407="","",INT(INDEX($N407:$S407,$Z407)))</f>
        <v/>
      </c>
      <c r="AB407" s="19">
        <f>IF(OR($Z407="",$Z407=6),"",WORKDAY($AA407,CHOOSE($Z407,3,3,2,2,3),Holidays))</f>
        <v/>
      </c>
      <c r="AC407" s="17">
        <f>IF(OR($Z407="",$Z407=6),"",CHOOSE($Z407,"1st Email Follow-up","2nd Email Follow-up","Escalate Local Office","Escalate to CBE","Escalate to Roxanne"))</f>
        <v/>
      </c>
    </row>
    <row r="408" spans="13:29">
      <c r="M408" s="14"/>
      <c r="T408" s="16"/>
      <c r="U408" s="17">
        <f>IF(AND(COUNTA($A408:$L408)=0,$N408=""),"",IF($T408="Paid","PAID",IF($T408="Closed","CLOSED",IF($Z408="","",IF($Z408=6,"ESCALATED TO ROXANNE",IF(TODAY()&gt;$AB408,"OVERDUE",IF($AB408&lt;=WORKDAY(TODAY(),1,Holidays),"DUE TOMORROW",IF($Z408=4,"ESCALATED TO LOCAL OFFICE",IF($Z408=5,"ESCALATED TO CBE",IF($AA408=TODAY(),"EMAIL SENT","MONITORING"))))))))))</f>
        <v/>
      </c>
      <c r="V408" s="17">
        <f>IF($U408="",IF(AND(COUNTA($A408:$L408)&gt;0,$N408=""),"Awaiting Collection Email time stamp.",""),IF(OR($U408="PAID",$U408="CLOSED"),IF($U408="PAID","Account paid. Action completed.","Account closed. No further action required."),CHOOSE($Z408,"Collection Email","1st Email Follow-up","2nd Email Follow-up","Escalation to Local Office","Escalation to CBE","Escalation to Roxanne")&amp;" sent "&amp;TEXT($AA408,"dd-mmm")&amp;". "&amp;IF($Z408=6,"Final escalation completed.",IF($U408="OVERDUE","Next: "&amp;$AC408&amp;" was due "&amp;TEXT($AB408,"dd-mmm")&amp;" - "&amp;(NETWORKDAYS($AB408,TODAY(),Holidays)-1)&amp;" business day(s) late. Send now.",IF($U408="DUE TOMORROW","Next: "&amp;$AC408&amp;IF($AB408&lt;=TODAY()," is due TODAY ("," is due next business day (")&amp;TEXT($AB408,"dd-mmm")&amp;").","Next: "&amp;$AC408&amp;" due "&amp;TEXT($AB408,"dd-mmm")&amp;" ("&amp;(NETWORKDAYS(TODAY(),$AB408,Holidays)-1)&amp;" business day(s) left).")))))</f>
        <v/>
      </c>
      <c r="W408" s="17">
        <f>IF($Z408="","",CHOOSE($Z408,"Collection Email","1st Follow-up","2nd Follow-up","Local Office","CBE","Roxanne")&amp;IF($Z408=6," - Final"," - Day "&amp;MAX(0,NETWORKDAYS($AA408,TODAY(),Holidays)-1)&amp;" of "&amp;CHOOSE($Z408,3,3,2,2,3))&amp;" | Total Day "&amp;MAX(0,NETWORKDAYS($N408,TODAY(),Holidays)-1))</f>
        <v/>
      </c>
      <c r="X408" s="18"/>
      <c r="Y408" s="18"/>
      <c r="Z408" s="17">
        <f>IF($N408="","",COUNT($N408:$S408))</f>
        <v/>
      </c>
      <c r="AA408" s="19">
        <f>IF($Z408="","",INT(INDEX($N408:$S408,$Z408)))</f>
        <v/>
      </c>
      <c r="AB408" s="19">
        <f>IF(OR($Z408="",$Z408=6),"",WORKDAY($AA408,CHOOSE($Z408,3,3,2,2,3),Holidays))</f>
        <v/>
      </c>
      <c r="AC408" s="17">
        <f>IF(OR($Z408="",$Z408=6),"",CHOOSE($Z408,"1st Email Follow-up","2nd Email Follow-up","Escalate Local Office","Escalate to CBE","Escalate to Roxanne"))</f>
        <v/>
      </c>
    </row>
    <row r="409" spans="13:29">
      <c r="M409" s="14"/>
      <c r="T409" s="16"/>
      <c r="U409" s="17">
        <f>IF(AND(COUNTA($A409:$L409)=0,$N409=""),"",IF($T409="Paid","PAID",IF($T409="Closed","CLOSED",IF($Z409="","",IF($Z409=6,"ESCALATED TO ROXANNE",IF(TODAY()&gt;$AB409,"OVERDUE",IF($AB409&lt;=WORKDAY(TODAY(),1,Holidays),"DUE TOMORROW",IF($Z409=4,"ESCALATED TO LOCAL OFFICE",IF($Z409=5,"ESCALATED TO CBE",IF($AA409=TODAY(),"EMAIL SENT","MONITORING"))))))))))</f>
        <v/>
      </c>
      <c r="V409" s="17">
        <f>IF($U409="",IF(AND(COUNTA($A409:$L409)&gt;0,$N409=""),"Awaiting Collection Email time stamp.",""),IF(OR($U409="PAID",$U409="CLOSED"),IF($U409="PAID","Account paid. Action completed.","Account closed. No further action required."),CHOOSE($Z409,"Collection Email","1st Email Follow-up","2nd Email Follow-up","Escalation to Local Office","Escalation to CBE","Escalation to Roxanne")&amp;" sent "&amp;TEXT($AA409,"dd-mmm")&amp;". "&amp;IF($Z409=6,"Final escalation completed.",IF($U409="OVERDUE","Next: "&amp;$AC409&amp;" was due "&amp;TEXT($AB409,"dd-mmm")&amp;" - "&amp;(NETWORKDAYS($AB409,TODAY(),Holidays)-1)&amp;" business day(s) late. Send now.",IF($U409="DUE TOMORROW","Next: "&amp;$AC409&amp;IF($AB409&lt;=TODAY()," is due TODAY ("," is due next business day (")&amp;TEXT($AB409,"dd-mmm")&amp;").","Next: "&amp;$AC409&amp;" due "&amp;TEXT($AB409,"dd-mmm")&amp;" ("&amp;(NETWORKDAYS(TODAY(),$AB409,Holidays)-1)&amp;" business day(s) left).")))))</f>
        <v/>
      </c>
      <c r="W409" s="17">
        <f>IF($Z409="","",CHOOSE($Z409,"Collection Email","1st Follow-up","2nd Follow-up","Local Office","CBE","Roxanne")&amp;IF($Z409=6," - Final"," - Day "&amp;MAX(0,NETWORKDAYS($AA409,TODAY(),Holidays)-1)&amp;" of "&amp;CHOOSE($Z409,3,3,2,2,3))&amp;" | Total Day "&amp;MAX(0,NETWORKDAYS($N409,TODAY(),Holidays)-1))</f>
        <v/>
      </c>
      <c r="X409" s="18"/>
      <c r="Y409" s="18"/>
      <c r="Z409" s="17">
        <f>IF($N409="","",COUNT($N409:$S409))</f>
        <v/>
      </c>
      <c r="AA409" s="19">
        <f>IF($Z409="","",INT(INDEX($N409:$S409,$Z409)))</f>
        <v/>
      </c>
      <c r="AB409" s="19">
        <f>IF(OR($Z409="",$Z409=6),"",WORKDAY($AA409,CHOOSE($Z409,3,3,2,2,3),Holidays))</f>
        <v/>
      </c>
      <c r="AC409" s="17">
        <f>IF(OR($Z409="",$Z409=6),"",CHOOSE($Z409,"1st Email Follow-up","2nd Email Follow-up","Escalate Local Office","Escalate to CBE","Escalate to Roxanne"))</f>
        <v/>
      </c>
    </row>
    <row r="410" spans="13:29">
      <c r="M410" s="14"/>
      <c r="T410" s="16"/>
      <c r="U410" s="17">
        <f>IF(AND(COUNTA($A410:$L410)=0,$N410=""),"",IF($T410="Paid","PAID",IF($T410="Closed","CLOSED",IF($Z410="","",IF($Z410=6,"ESCALATED TO ROXANNE",IF(TODAY()&gt;$AB410,"OVERDUE",IF($AB410&lt;=WORKDAY(TODAY(),1,Holidays),"DUE TOMORROW",IF($Z410=4,"ESCALATED TO LOCAL OFFICE",IF($Z410=5,"ESCALATED TO CBE",IF($AA410=TODAY(),"EMAIL SENT","MONITORING"))))))))))</f>
        <v/>
      </c>
      <c r="V410" s="17">
        <f>IF($U410="",IF(AND(COUNTA($A410:$L410)&gt;0,$N410=""),"Awaiting Collection Email time stamp.",""),IF(OR($U410="PAID",$U410="CLOSED"),IF($U410="PAID","Account paid. Action completed.","Account closed. No further action required."),CHOOSE($Z410,"Collection Email","1st Email Follow-up","2nd Email Follow-up","Escalation to Local Office","Escalation to CBE","Escalation to Roxanne")&amp;" sent "&amp;TEXT($AA410,"dd-mmm")&amp;". "&amp;IF($Z410=6,"Final escalation completed.",IF($U410="OVERDUE","Next: "&amp;$AC410&amp;" was due "&amp;TEXT($AB410,"dd-mmm")&amp;" - "&amp;(NETWORKDAYS($AB410,TODAY(),Holidays)-1)&amp;" business day(s) late. Send now.",IF($U410="DUE TOMORROW","Next: "&amp;$AC410&amp;IF($AB410&lt;=TODAY()," is due TODAY ("," is due next business day (")&amp;TEXT($AB410,"dd-mmm")&amp;").","Next: "&amp;$AC410&amp;" due "&amp;TEXT($AB410,"dd-mmm")&amp;" ("&amp;(NETWORKDAYS(TODAY(),$AB410,Holidays)-1)&amp;" business day(s) left).")))))</f>
        <v/>
      </c>
      <c r="W410" s="17">
        <f>IF($Z410="","",CHOOSE($Z410,"Collection Email","1st Follow-up","2nd Follow-up","Local Office","CBE","Roxanne")&amp;IF($Z410=6," - Final"," - Day "&amp;MAX(0,NETWORKDAYS($AA410,TODAY(),Holidays)-1)&amp;" of "&amp;CHOOSE($Z410,3,3,2,2,3))&amp;" | Total Day "&amp;MAX(0,NETWORKDAYS($N410,TODAY(),Holidays)-1))</f>
        <v/>
      </c>
      <c r="X410" s="18"/>
      <c r="Y410" s="18"/>
      <c r="Z410" s="17">
        <f>IF($N410="","",COUNT($N410:$S410))</f>
        <v/>
      </c>
      <c r="AA410" s="19">
        <f>IF($Z410="","",INT(INDEX($N410:$S410,$Z410)))</f>
        <v/>
      </c>
      <c r="AB410" s="19">
        <f>IF(OR($Z410="",$Z410=6),"",WORKDAY($AA410,CHOOSE($Z410,3,3,2,2,3),Holidays))</f>
        <v/>
      </c>
      <c r="AC410" s="17">
        <f>IF(OR($Z410="",$Z410=6),"",CHOOSE($Z410,"1st Email Follow-up","2nd Email Follow-up","Escalate Local Office","Escalate to CBE","Escalate to Roxanne"))</f>
        <v/>
      </c>
    </row>
    <row r="411" spans="13:29">
      <c r="M411" s="14"/>
      <c r="T411" s="16"/>
      <c r="U411" s="17">
        <f>IF(AND(COUNTA($A411:$L411)=0,$N411=""),"",IF($T411="Paid","PAID",IF($T411="Closed","CLOSED",IF($Z411="","",IF($Z411=6,"ESCALATED TO ROXANNE",IF(TODAY()&gt;$AB411,"OVERDUE",IF($AB411&lt;=WORKDAY(TODAY(),1,Holidays),"DUE TOMORROW",IF($Z411=4,"ESCALATED TO LOCAL OFFICE",IF($Z411=5,"ESCALATED TO CBE",IF($AA411=TODAY(),"EMAIL SENT","MONITORING"))))))))))</f>
        <v/>
      </c>
      <c r="V411" s="17">
        <f>IF($U411="",IF(AND(COUNTA($A411:$L411)&gt;0,$N411=""),"Awaiting Collection Email time stamp.",""),IF(OR($U411="PAID",$U411="CLOSED"),IF($U411="PAID","Account paid. Action completed.","Account closed. No further action required."),CHOOSE($Z411,"Collection Email","1st Email Follow-up","2nd Email Follow-up","Escalation to Local Office","Escalation to CBE","Escalation to Roxanne")&amp;" sent "&amp;TEXT($AA411,"dd-mmm")&amp;". "&amp;IF($Z411=6,"Final escalation completed.",IF($U411="OVERDUE","Next: "&amp;$AC411&amp;" was due "&amp;TEXT($AB411,"dd-mmm")&amp;" - "&amp;(NETWORKDAYS($AB411,TODAY(),Holidays)-1)&amp;" business day(s) late. Send now.",IF($U411="DUE TOMORROW","Next: "&amp;$AC411&amp;IF($AB411&lt;=TODAY()," is due TODAY ("," is due next business day (")&amp;TEXT($AB411,"dd-mmm")&amp;").","Next: "&amp;$AC411&amp;" due "&amp;TEXT($AB411,"dd-mmm")&amp;" ("&amp;(NETWORKDAYS(TODAY(),$AB411,Holidays)-1)&amp;" business day(s) left).")))))</f>
        <v/>
      </c>
      <c r="W411" s="17">
        <f>IF($Z411="","",CHOOSE($Z411,"Collection Email","1st Follow-up","2nd Follow-up","Local Office","CBE","Roxanne")&amp;IF($Z411=6," - Final"," - Day "&amp;MAX(0,NETWORKDAYS($AA411,TODAY(),Holidays)-1)&amp;" of "&amp;CHOOSE($Z411,3,3,2,2,3))&amp;" | Total Day "&amp;MAX(0,NETWORKDAYS($N411,TODAY(),Holidays)-1))</f>
        <v/>
      </c>
      <c r="X411" s="18"/>
      <c r="Y411" s="18"/>
      <c r="Z411" s="17">
        <f>IF($N411="","",COUNT($N411:$S411))</f>
        <v/>
      </c>
      <c r="AA411" s="19">
        <f>IF($Z411="","",INT(INDEX($N411:$S411,$Z411)))</f>
        <v/>
      </c>
      <c r="AB411" s="19">
        <f>IF(OR($Z411="",$Z411=6),"",WORKDAY($AA411,CHOOSE($Z411,3,3,2,2,3),Holidays))</f>
        <v/>
      </c>
      <c r="AC411" s="17">
        <f>IF(OR($Z411="",$Z411=6),"",CHOOSE($Z411,"1st Email Follow-up","2nd Email Follow-up","Escalate Local Office","Escalate to CBE","Escalate to Roxanne"))</f>
        <v/>
      </c>
    </row>
    <row r="412" spans="13:29">
      <c r="M412" s="14"/>
      <c r="T412" s="16"/>
      <c r="U412" s="17">
        <f>IF(AND(COUNTA($A412:$L412)=0,$N412=""),"",IF($T412="Paid","PAID",IF($T412="Closed","CLOSED",IF($Z412="","",IF($Z412=6,"ESCALATED TO ROXANNE",IF(TODAY()&gt;$AB412,"OVERDUE",IF($AB412&lt;=WORKDAY(TODAY(),1,Holidays),"DUE TOMORROW",IF($Z412=4,"ESCALATED TO LOCAL OFFICE",IF($Z412=5,"ESCALATED TO CBE",IF($AA412=TODAY(),"EMAIL SENT","MONITORING"))))))))))</f>
        <v/>
      </c>
      <c r="V412" s="17">
        <f>IF($U412="",IF(AND(COUNTA($A412:$L412)&gt;0,$N412=""),"Awaiting Collection Email time stamp.",""),IF(OR($U412="PAID",$U412="CLOSED"),IF($U412="PAID","Account paid. Action completed.","Account closed. No further action required."),CHOOSE($Z412,"Collection Email","1st Email Follow-up","2nd Email Follow-up","Escalation to Local Office","Escalation to CBE","Escalation to Roxanne")&amp;" sent "&amp;TEXT($AA412,"dd-mmm")&amp;". "&amp;IF($Z412=6,"Final escalation completed.",IF($U412="OVERDUE","Next: "&amp;$AC412&amp;" was due "&amp;TEXT($AB412,"dd-mmm")&amp;" - "&amp;(NETWORKDAYS($AB412,TODAY(),Holidays)-1)&amp;" business day(s) late. Send now.",IF($U412="DUE TOMORROW","Next: "&amp;$AC412&amp;IF($AB412&lt;=TODAY()," is due TODAY ("," is due next business day (")&amp;TEXT($AB412,"dd-mmm")&amp;").","Next: "&amp;$AC412&amp;" due "&amp;TEXT($AB412,"dd-mmm")&amp;" ("&amp;(NETWORKDAYS(TODAY(),$AB412,Holidays)-1)&amp;" business day(s) left).")))))</f>
        <v/>
      </c>
      <c r="W412" s="17">
        <f>IF($Z412="","",CHOOSE($Z412,"Collection Email","1st Follow-up","2nd Follow-up","Local Office","CBE","Roxanne")&amp;IF($Z412=6," - Final"," - Day "&amp;MAX(0,NETWORKDAYS($AA412,TODAY(),Holidays)-1)&amp;" of "&amp;CHOOSE($Z412,3,3,2,2,3))&amp;" | Total Day "&amp;MAX(0,NETWORKDAYS($N412,TODAY(),Holidays)-1))</f>
        <v/>
      </c>
      <c r="X412" s="18"/>
      <c r="Y412" s="18"/>
      <c r="Z412" s="17">
        <f>IF($N412="","",COUNT($N412:$S412))</f>
        <v/>
      </c>
      <c r="AA412" s="19">
        <f>IF($Z412="","",INT(INDEX($N412:$S412,$Z412)))</f>
        <v/>
      </c>
      <c r="AB412" s="19">
        <f>IF(OR($Z412="",$Z412=6),"",WORKDAY($AA412,CHOOSE($Z412,3,3,2,2,3),Holidays))</f>
        <v/>
      </c>
      <c r="AC412" s="17">
        <f>IF(OR($Z412="",$Z412=6),"",CHOOSE($Z412,"1st Email Follow-up","2nd Email Follow-up","Escalate Local Office","Escalate to CBE","Escalate to Roxanne"))</f>
        <v/>
      </c>
    </row>
    <row r="413" spans="13:29">
      <c r="M413" s="14"/>
      <c r="T413" s="16"/>
      <c r="U413" s="17">
        <f>IF(AND(COUNTA($A413:$L413)=0,$N413=""),"",IF($T413="Paid","PAID",IF($T413="Closed","CLOSED",IF($Z413="","",IF($Z413=6,"ESCALATED TO ROXANNE",IF(TODAY()&gt;$AB413,"OVERDUE",IF($AB413&lt;=WORKDAY(TODAY(),1,Holidays),"DUE TOMORROW",IF($Z413=4,"ESCALATED TO LOCAL OFFICE",IF($Z413=5,"ESCALATED TO CBE",IF($AA413=TODAY(),"EMAIL SENT","MONITORING"))))))))))</f>
        <v/>
      </c>
      <c r="V413" s="17">
        <f>IF($U413="",IF(AND(COUNTA($A413:$L413)&gt;0,$N413=""),"Awaiting Collection Email time stamp.",""),IF(OR($U413="PAID",$U413="CLOSED"),IF($U413="PAID","Account paid. Action completed.","Account closed. No further action required."),CHOOSE($Z413,"Collection Email","1st Email Follow-up","2nd Email Follow-up","Escalation to Local Office","Escalation to CBE","Escalation to Roxanne")&amp;" sent "&amp;TEXT($AA413,"dd-mmm")&amp;". "&amp;IF($Z413=6,"Final escalation completed.",IF($U413="OVERDUE","Next: "&amp;$AC413&amp;" was due "&amp;TEXT($AB413,"dd-mmm")&amp;" - "&amp;(NETWORKDAYS($AB413,TODAY(),Holidays)-1)&amp;" business day(s) late. Send now.",IF($U413="DUE TOMORROW","Next: "&amp;$AC413&amp;IF($AB413&lt;=TODAY()," is due TODAY ("," is due next business day (")&amp;TEXT($AB413,"dd-mmm")&amp;").","Next: "&amp;$AC413&amp;" due "&amp;TEXT($AB413,"dd-mmm")&amp;" ("&amp;(NETWORKDAYS(TODAY(),$AB413,Holidays)-1)&amp;" business day(s) left).")))))</f>
        <v/>
      </c>
      <c r="W413" s="17">
        <f>IF($Z413="","",CHOOSE($Z413,"Collection Email","1st Follow-up","2nd Follow-up","Local Office","CBE","Roxanne")&amp;IF($Z413=6," - Final"," - Day "&amp;MAX(0,NETWORKDAYS($AA413,TODAY(),Holidays)-1)&amp;" of "&amp;CHOOSE($Z413,3,3,2,2,3))&amp;" | Total Day "&amp;MAX(0,NETWORKDAYS($N413,TODAY(),Holidays)-1))</f>
        <v/>
      </c>
      <c r="X413" s="18"/>
      <c r="Y413" s="18"/>
      <c r="Z413" s="17">
        <f>IF($N413="","",COUNT($N413:$S413))</f>
        <v/>
      </c>
      <c r="AA413" s="19">
        <f>IF($Z413="","",INT(INDEX($N413:$S413,$Z413)))</f>
        <v/>
      </c>
      <c r="AB413" s="19">
        <f>IF(OR($Z413="",$Z413=6),"",WORKDAY($AA413,CHOOSE($Z413,3,3,2,2,3),Holidays))</f>
        <v/>
      </c>
      <c r="AC413" s="17">
        <f>IF(OR($Z413="",$Z413=6),"",CHOOSE($Z413,"1st Email Follow-up","2nd Email Follow-up","Escalate Local Office","Escalate to CBE","Escalate to Roxanne"))</f>
        <v/>
      </c>
    </row>
    <row r="414" spans="13:29">
      <c r="M414" s="14"/>
      <c r="T414" s="16"/>
      <c r="U414" s="17">
        <f>IF(AND(COUNTA($A414:$L414)=0,$N414=""),"",IF($T414="Paid","PAID",IF($T414="Closed","CLOSED",IF($Z414="","",IF($Z414=6,"ESCALATED TO ROXANNE",IF(TODAY()&gt;$AB414,"OVERDUE",IF($AB414&lt;=WORKDAY(TODAY(),1,Holidays),"DUE TOMORROW",IF($Z414=4,"ESCALATED TO LOCAL OFFICE",IF($Z414=5,"ESCALATED TO CBE",IF($AA414=TODAY(),"EMAIL SENT","MONITORING"))))))))))</f>
        <v/>
      </c>
      <c r="V414" s="17">
        <f>IF($U414="",IF(AND(COUNTA($A414:$L414)&gt;0,$N414=""),"Awaiting Collection Email time stamp.",""),IF(OR($U414="PAID",$U414="CLOSED"),IF($U414="PAID","Account paid. Action completed.","Account closed. No further action required."),CHOOSE($Z414,"Collection Email","1st Email Follow-up","2nd Email Follow-up","Escalation to Local Office","Escalation to CBE","Escalation to Roxanne")&amp;" sent "&amp;TEXT($AA414,"dd-mmm")&amp;". "&amp;IF($Z414=6,"Final escalation completed.",IF($U414="OVERDUE","Next: "&amp;$AC414&amp;" was due "&amp;TEXT($AB414,"dd-mmm")&amp;" - "&amp;(NETWORKDAYS($AB414,TODAY(),Holidays)-1)&amp;" business day(s) late. Send now.",IF($U414="DUE TOMORROW","Next: "&amp;$AC414&amp;IF($AB414&lt;=TODAY()," is due TODAY ("," is due next business day (")&amp;TEXT($AB414,"dd-mmm")&amp;").","Next: "&amp;$AC414&amp;" due "&amp;TEXT($AB414,"dd-mmm")&amp;" ("&amp;(NETWORKDAYS(TODAY(),$AB414,Holidays)-1)&amp;" business day(s) left).")))))</f>
        <v/>
      </c>
      <c r="W414" s="17">
        <f>IF($Z414="","",CHOOSE($Z414,"Collection Email","1st Follow-up","2nd Follow-up","Local Office","CBE","Roxanne")&amp;IF($Z414=6," - Final"," - Day "&amp;MAX(0,NETWORKDAYS($AA414,TODAY(),Holidays)-1)&amp;" of "&amp;CHOOSE($Z414,3,3,2,2,3))&amp;" | Total Day "&amp;MAX(0,NETWORKDAYS($N414,TODAY(),Holidays)-1))</f>
        <v/>
      </c>
      <c r="X414" s="18"/>
      <c r="Y414" s="18"/>
      <c r="Z414" s="17">
        <f>IF($N414="","",COUNT($N414:$S414))</f>
        <v/>
      </c>
      <c r="AA414" s="19">
        <f>IF($Z414="","",INT(INDEX($N414:$S414,$Z414)))</f>
        <v/>
      </c>
      <c r="AB414" s="19">
        <f>IF(OR($Z414="",$Z414=6),"",WORKDAY($AA414,CHOOSE($Z414,3,3,2,2,3),Holidays))</f>
        <v/>
      </c>
      <c r="AC414" s="17">
        <f>IF(OR($Z414="",$Z414=6),"",CHOOSE($Z414,"1st Email Follow-up","2nd Email Follow-up","Escalate Local Office","Escalate to CBE","Escalate to Roxanne"))</f>
        <v/>
      </c>
    </row>
    <row r="415" spans="13:29">
      <c r="M415" s="14"/>
      <c r="T415" s="16"/>
      <c r="U415" s="17">
        <f>IF(AND(COUNTA($A415:$L415)=0,$N415=""),"",IF($T415="Paid","PAID",IF($T415="Closed","CLOSED",IF($Z415="","",IF($Z415=6,"ESCALATED TO ROXANNE",IF(TODAY()&gt;$AB415,"OVERDUE",IF($AB415&lt;=WORKDAY(TODAY(),1,Holidays),"DUE TOMORROW",IF($Z415=4,"ESCALATED TO LOCAL OFFICE",IF($Z415=5,"ESCALATED TO CBE",IF($AA415=TODAY(),"EMAIL SENT","MONITORING"))))))))))</f>
        <v/>
      </c>
      <c r="V415" s="17">
        <f>IF($U415="",IF(AND(COUNTA($A415:$L415)&gt;0,$N415=""),"Awaiting Collection Email time stamp.",""),IF(OR($U415="PAID",$U415="CLOSED"),IF($U415="PAID","Account paid. Action completed.","Account closed. No further action required."),CHOOSE($Z415,"Collection Email","1st Email Follow-up","2nd Email Follow-up","Escalation to Local Office","Escalation to CBE","Escalation to Roxanne")&amp;" sent "&amp;TEXT($AA415,"dd-mmm")&amp;". "&amp;IF($Z415=6,"Final escalation completed.",IF($U415="OVERDUE","Next: "&amp;$AC415&amp;" was due "&amp;TEXT($AB415,"dd-mmm")&amp;" - "&amp;(NETWORKDAYS($AB415,TODAY(),Holidays)-1)&amp;" business day(s) late. Send now.",IF($U415="DUE TOMORROW","Next: "&amp;$AC415&amp;IF($AB415&lt;=TODAY()," is due TODAY ("," is due next business day (")&amp;TEXT($AB415,"dd-mmm")&amp;").","Next: "&amp;$AC415&amp;" due "&amp;TEXT($AB415,"dd-mmm")&amp;" ("&amp;(NETWORKDAYS(TODAY(),$AB415,Holidays)-1)&amp;" business day(s) left).")))))</f>
        <v/>
      </c>
      <c r="W415" s="17">
        <f>IF($Z415="","",CHOOSE($Z415,"Collection Email","1st Follow-up","2nd Follow-up","Local Office","CBE","Roxanne")&amp;IF($Z415=6," - Final"," - Day "&amp;MAX(0,NETWORKDAYS($AA415,TODAY(),Holidays)-1)&amp;" of "&amp;CHOOSE($Z415,3,3,2,2,3))&amp;" | Total Day "&amp;MAX(0,NETWORKDAYS($N415,TODAY(),Holidays)-1))</f>
        <v/>
      </c>
      <c r="X415" s="18"/>
      <c r="Y415" s="18"/>
      <c r="Z415" s="17">
        <f>IF($N415="","",COUNT($N415:$S415))</f>
        <v/>
      </c>
      <c r="AA415" s="19">
        <f>IF($Z415="","",INT(INDEX($N415:$S415,$Z415)))</f>
        <v/>
      </c>
      <c r="AB415" s="19">
        <f>IF(OR($Z415="",$Z415=6),"",WORKDAY($AA415,CHOOSE($Z415,3,3,2,2,3),Holidays))</f>
        <v/>
      </c>
      <c r="AC415" s="17">
        <f>IF(OR($Z415="",$Z415=6),"",CHOOSE($Z415,"1st Email Follow-up","2nd Email Follow-up","Escalate Local Office","Escalate to CBE","Escalate to Roxanne"))</f>
        <v/>
      </c>
    </row>
    <row r="416" spans="13:29">
      <c r="M416" s="14"/>
      <c r="T416" s="16"/>
      <c r="U416" s="17">
        <f>IF(AND(COUNTA($A416:$L416)=0,$N416=""),"",IF($T416="Paid","PAID",IF($T416="Closed","CLOSED",IF($Z416="","",IF($Z416=6,"ESCALATED TO ROXANNE",IF(TODAY()&gt;$AB416,"OVERDUE",IF($AB416&lt;=WORKDAY(TODAY(),1,Holidays),"DUE TOMORROW",IF($Z416=4,"ESCALATED TO LOCAL OFFICE",IF($Z416=5,"ESCALATED TO CBE",IF($AA416=TODAY(),"EMAIL SENT","MONITORING"))))))))))</f>
        <v/>
      </c>
      <c r="V416" s="17">
        <f>IF($U416="",IF(AND(COUNTA($A416:$L416)&gt;0,$N416=""),"Awaiting Collection Email time stamp.",""),IF(OR($U416="PAID",$U416="CLOSED"),IF($U416="PAID","Account paid. Action completed.","Account closed. No further action required."),CHOOSE($Z416,"Collection Email","1st Email Follow-up","2nd Email Follow-up","Escalation to Local Office","Escalation to CBE","Escalation to Roxanne")&amp;" sent "&amp;TEXT($AA416,"dd-mmm")&amp;". "&amp;IF($Z416=6,"Final escalation completed.",IF($U416="OVERDUE","Next: "&amp;$AC416&amp;" was due "&amp;TEXT($AB416,"dd-mmm")&amp;" - "&amp;(NETWORKDAYS($AB416,TODAY(),Holidays)-1)&amp;" business day(s) late. Send now.",IF($U416="DUE TOMORROW","Next: "&amp;$AC416&amp;IF($AB416&lt;=TODAY()," is due TODAY ("," is due next business day (")&amp;TEXT($AB416,"dd-mmm")&amp;").","Next: "&amp;$AC416&amp;" due "&amp;TEXT($AB416,"dd-mmm")&amp;" ("&amp;(NETWORKDAYS(TODAY(),$AB416,Holidays)-1)&amp;" business day(s) left).")))))</f>
        <v/>
      </c>
      <c r="W416" s="17">
        <f>IF($Z416="","",CHOOSE($Z416,"Collection Email","1st Follow-up","2nd Follow-up","Local Office","CBE","Roxanne")&amp;IF($Z416=6," - Final"," - Day "&amp;MAX(0,NETWORKDAYS($AA416,TODAY(),Holidays)-1)&amp;" of "&amp;CHOOSE($Z416,3,3,2,2,3))&amp;" | Total Day "&amp;MAX(0,NETWORKDAYS($N416,TODAY(),Holidays)-1))</f>
        <v/>
      </c>
      <c r="X416" s="18"/>
      <c r="Y416" s="18"/>
      <c r="Z416" s="17">
        <f>IF($N416="","",COUNT($N416:$S416))</f>
        <v/>
      </c>
      <c r="AA416" s="19">
        <f>IF($Z416="","",INT(INDEX($N416:$S416,$Z416)))</f>
        <v/>
      </c>
      <c r="AB416" s="19">
        <f>IF(OR($Z416="",$Z416=6),"",WORKDAY($AA416,CHOOSE($Z416,3,3,2,2,3),Holidays))</f>
        <v/>
      </c>
      <c r="AC416" s="17">
        <f>IF(OR($Z416="",$Z416=6),"",CHOOSE($Z416,"1st Email Follow-up","2nd Email Follow-up","Escalate Local Office","Escalate to CBE","Escalate to Roxanne"))</f>
        <v/>
      </c>
    </row>
    <row r="417" spans="13:29">
      <c r="M417" s="14"/>
      <c r="T417" s="16"/>
      <c r="U417" s="17">
        <f>IF(AND(COUNTA($A417:$L417)=0,$N417=""),"",IF($T417="Paid","PAID",IF($T417="Closed","CLOSED",IF($Z417="","",IF($Z417=6,"ESCALATED TO ROXANNE",IF(TODAY()&gt;$AB417,"OVERDUE",IF($AB417&lt;=WORKDAY(TODAY(),1,Holidays),"DUE TOMORROW",IF($Z417=4,"ESCALATED TO LOCAL OFFICE",IF($Z417=5,"ESCALATED TO CBE",IF($AA417=TODAY(),"EMAIL SENT","MONITORING"))))))))))</f>
        <v/>
      </c>
      <c r="V417" s="17">
        <f>IF($U417="",IF(AND(COUNTA($A417:$L417)&gt;0,$N417=""),"Awaiting Collection Email time stamp.",""),IF(OR($U417="PAID",$U417="CLOSED"),IF($U417="PAID","Account paid. Action completed.","Account closed. No further action required."),CHOOSE($Z417,"Collection Email","1st Email Follow-up","2nd Email Follow-up","Escalation to Local Office","Escalation to CBE","Escalation to Roxanne")&amp;" sent "&amp;TEXT($AA417,"dd-mmm")&amp;". "&amp;IF($Z417=6,"Final escalation completed.",IF($U417="OVERDUE","Next: "&amp;$AC417&amp;" was due "&amp;TEXT($AB417,"dd-mmm")&amp;" - "&amp;(NETWORKDAYS($AB417,TODAY(),Holidays)-1)&amp;" business day(s) late. Send now.",IF($U417="DUE TOMORROW","Next: "&amp;$AC417&amp;IF($AB417&lt;=TODAY()," is due TODAY ("," is due next business day (")&amp;TEXT($AB417,"dd-mmm")&amp;").","Next: "&amp;$AC417&amp;" due "&amp;TEXT($AB417,"dd-mmm")&amp;" ("&amp;(NETWORKDAYS(TODAY(),$AB417,Holidays)-1)&amp;" business day(s) left).")))))</f>
        <v/>
      </c>
      <c r="W417" s="17">
        <f>IF($Z417="","",CHOOSE($Z417,"Collection Email","1st Follow-up","2nd Follow-up","Local Office","CBE","Roxanne")&amp;IF($Z417=6," - Final"," - Day "&amp;MAX(0,NETWORKDAYS($AA417,TODAY(),Holidays)-1)&amp;" of "&amp;CHOOSE($Z417,3,3,2,2,3))&amp;" | Total Day "&amp;MAX(0,NETWORKDAYS($N417,TODAY(),Holidays)-1))</f>
        <v/>
      </c>
      <c r="X417" s="18"/>
      <c r="Y417" s="18"/>
      <c r="Z417" s="17">
        <f>IF($N417="","",COUNT($N417:$S417))</f>
        <v/>
      </c>
      <c r="AA417" s="19">
        <f>IF($Z417="","",INT(INDEX($N417:$S417,$Z417)))</f>
        <v/>
      </c>
      <c r="AB417" s="19">
        <f>IF(OR($Z417="",$Z417=6),"",WORKDAY($AA417,CHOOSE($Z417,3,3,2,2,3),Holidays))</f>
        <v/>
      </c>
      <c r="AC417" s="17">
        <f>IF(OR($Z417="",$Z417=6),"",CHOOSE($Z417,"1st Email Follow-up","2nd Email Follow-up","Escalate Local Office","Escalate to CBE","Escalate to Roxanne"))</f>
        <v/>
      </c>
    </row>
    <row r="418" spans="13:29">
      <c r="M418" s="14"/>
      <c r="T418" s="16"/>
      <c r="U418" s="17">
        <f>IF(AND(COUNTA($A418:$L418)=0,$N418=""),"",IF($T418="Paid","PAID",IF($T418="Closed","CLOSED",IF($Z418="","",IF($Z418=6,"ESCALATED TO ROXANNE",IF(TODAY()&gt;$AB418,"OVERDUE",IF($AB418&lt;=WORKDAY(TODAY(),1,Holidays),"DUE TOMORROW",IF($Z418=4,"ESCALATED TO LOCAL OFFICE",IF($Z418=5,"ESCALATED TO CBE",IF($AA418=TODAY(),"EMAIL SENT","MONITORING"))))))))))</f>
        <v/>
      </c>
      <c r="V418" s="17">
        <f>IF($U418="",IF(AND(COUNTA($A418:$L418)&gt;0,$N418=""),"Awaiting Collection Email time stamp.",""),IF(OR($U418="PAID",$U418="CLOSED"),IF($U418="PAID","Account paid. Action completed.","Account closed. No further action required."),CHOOSE($Z418,"Collection Email","1st Email Follow-up","2nd Email Follow-up","Escalation to Local Office","Escalation to CBE","Escalation to Roxanne")&amp;" sent "&amp;TEXT($AA418,"dd-mmm")&amp;". "&amp;IF($Z418=6,"Final escalation completed.",IF($U418="OVERDUE","Next: "&amp;$AC418&amp;" was due "&amp;TEXT($AB418,"dd-mmm")&amp;" - "&amp;(NETWORKDAYS($AB418,TODAY(),Holidays)-1)&amp;" business day(s) late. Send now.",IF($U418="DUE TOMORROW","Next: "&amp;$AC418&amp;IF($AB418&lt;=TODAY()," is due TODAY ("," is due next business day (")&amp;TEXT($AB418,"dd-mmm")&amp;").","Next: "&amp;$AC418&amp;" due "&amp;TEXT($AB418,"dd-mmm")&amp;" ("&amp;(NETWORKDAYS(TODAY(),$AB418,Holidays)-1)&amp;" business day(s) left).")))))</f>
        <v/>
      </c>
      <c r="W418" s="17">
        <f>IF($Z418="","",CHOOSE($Z418,"Collection Email","1st Follow-up","2nd Follow-up","Local Office","CBE","Roxanne")&amp;IF($Z418=6," - Final"," - Day "&amp;MAX(0,NETWORKDAYS($AA418,TODAY(),Holidays)-1)&amp;" of "&amp;CHOOSE($Z418,3,3,2,2,3))&amp;" | Total Day "&amp;MAX(0,NETWORKDAYS($N418,TODAY(),Holidays)-1))</f>
        <v/>
      </c>
      <c r="X418" s="18"/>
      <c r="Y418" s="18"/>
      <c r="Z418" s="17">
        <f>IF($N418="","",COUNT($N418:$S418))</f>
        <v/>
      </c>
      <c r="AA418" s="19">
        <f>IF($Z418="","",INT(INDEX($N418:$S418,$Z418)))</f>
        <v/>
      </c>
      <c r="AB418" s="19">
        <f>IF(OR($Z418="",$Z418=6),"",WORKDAY($AA418,CHOOSE($Z418,3,3,2,2,3),Holidays))</f>
        <v/>
      </c>
      <c r="AC418" s="17">
        <f>IF(OR($Z418="",$Z418=6),"",CHOOSE($Z418,"1st Email Follow-up","2nd Email Follow-up","Escalate Local Office","Escalate to CBE","Escalate to Roxanne"))</f>
        <v/>
      </c>
    </row>
    <row r="419" spans="13:29">
      <c r="M419" s="14"/>
      <c r="T419" s="16"/>
      <c r="U419" s="17">
        <f>IF(AND(COUNTA($A419:$L419)=0,$N419=""),"",IF($T419="Paid","PAID",IF($T419="Closed","CLOSED",IF($Z419="","",IF($Z419=6,"ESCALATED TO ROXANNE",IF(TODAY()&gt;$AB419,"OVERDUE",IF($AB419&lt;=WORKDAY(TODAY(),1,Holidays),"DUE TOMORROW",IF($Z419=4,"ESCALATED TO LOCAL OFFICE",IF($Z419=5,"ESCALATED TO CBE",IF($AA419=TODAY(),"EMAIL SENT","MONITORING"))))))))))</f>
        <v/>
      </c>
      <c r="V419" s="17">
        <f>IF($U419="",IF(AND(COUNTA($A419:$L419)&gt;0,$N419=""),"Awaiting Collection Email time stamp.",""),IF(OR($U419="PAID",$U419="CLOSED"),IF($U419="PAID","Account paid. Action completed.","Account closed. No further action required."),CHOOSE($Z419,"Collection Email","1st Email Follow-up","2nd Email Follow-up","Escalation to Local Office","Escalation to CBE","Escalation to Roxanne")&amp;" sent "&amp;TEXT($AA419,"dd-mmm")&amp;". "&amp;IF($Z419=6,"Final escalation completed.",IF($U419="OVERDUE","Next: "&amp;$AC419&amp;" was due "&amp;TEXT($AB419,"dd-mmm")&amp;" - "&amp;(NETWORKDAYS($AB419,TODAY(),Holidays)-1)&amp;" business day(s) late. Send now.",IF($U419="DUE TOMORROW","Next: "&amp;$AC419&amp;IF($AB419&lt;=TODAY()," is due TODAY ("," is due next business day (")&amp;TEXT($AB419,"dd-mmm")&amp;").","Next: "&amp;$AC419&amp;" due "&amp;TEXT($AB419,"dd-mmm")&amp;" ("&amp;(NETWORKDAYS(TODAY(),$AB419,Holidays)-1)&amp;" business day(s) left).")))))</f>
        <v/>
      </c>
      <c r="W419" s="17">
        <f>IF($Z419="","",CHOOSE($Z419,"Collection Email","1st Follow-up","2nd Follow-up","Local Office","CBE","Roxanne")&amp;IF($Z419=6," - Final"," - Day "&amp;MAX(0,NETWORKDAYS($AA419,TODAY(),Holidays)-1)&amp;" of "&amp;CHOOSE($Z419,3,3,2,2,3))&amp;" | Total Day "&amp;MAX(0,NETWORKDAYS($N419,TODAY(),Holidays)-1))</f>
        <v/>
      </c>
      <c r="X419" s="18"/>
      <c r="Y419" s="18"/>
      <c r="Z419" s="17">
        <f>IF($N419="","",COUNT($N419:$S419))</f>
        <v/>
      </c>
      <c r="AA419" s="19">
        <f>IF($Z419="","",INT(INDEX($N419:$S419,$Z419)))</f>
        <v/>
      </c>
      <c r="AB419" s="19">
        <f>IF(OR($Z419="",$Z419=6),"",WORKDAY($AA419,CHOOSE($Z419,3,3,2,2,3),Holidays))</f>
        <v/>
      </c>
      <c r="AC419" s="17">
        <f>IF(OR($Z419="",$Z419=6),"",CHOOSE($Z419,"1st Email Follow-up","2nd Email Follow-up","Escalate Local Office","Escalate to CBE","Escalate to Roxanne"))</f>
        <v/>
      </c>
    </row>
    <row r="420" spans="13:29">
      <c r="M420" s="14"/>
      <c r="T420" s="16"/>
      <c r="U420" s="17">
        <f>IF(AND(COUNTA($A420:$L420)=0,$N420=""),"",IF($T420="Paid","PAID",IF($T420="Closed","CLOSED",IF($Z420="","",IF($Z420=6,"ESCALATED TO ROXANNE",IF(TODAY()&gt;$AB420,"OVERDUE",IF($AB420&lt;=WORKDAY(TODAY(),1,Holidays),"DUE TOMORROW",IF($Z420=4,"ESCALATED TO LOCAL OFFICE",IF($Z420=5,"ESCALATED TO CBE",IF($AA420=TODAY(),"EMAIL SENT","MONITORING"))))))))))</f>
        <v/>
      </c>
      <c r="V420" s="17">
        <f>IF($U420="",IF(AND(COUNTA($A420:$L420)&gt;0,$N420=""),"Awaiting Collection Email time stamp.",""),IF(OR($U420="PAID",$U420="CLOSED"),IF($U420="PAID","Account paid. Action completed.","Account closed. No further action required."),CHOOSE($Z420,"Collection Email","1st Email Follow-up","2nd Email Follow-up","Escalation to Local Office","Escalation to CBE","Escalation to Roxanne")&amp;" sent "&amp;TEXT($AA420,"dd-mmm")&amp;". "&amp;IF($Z420=6,"Final escalation completed.",IF($U420="OVERDUE","Next: "&amp;$AC420&amp;" was due "&amp;TEXT($AB420,"dd-mmm")&amp;" - "&amp;(NETWORKDAYS($AB420,TODAY(),Holidays)-1)&amp;" business day(s) late. Send now.",IF($U420="DUE TOMORROW","Next: "&amp;$AC420&amp;IF($AB420&lt;=TODAY()," is due TODAY ("," is due next business day (")&amp;TEXT($AB420,"dd-mmm")&amp;").","Next: "&amp;$AC420&amp;" due "&amp;TEXT($AB420,"dd-mmm")&amp;" ("&amp;(NETWORKDAYS(TODAY(),$AB420,Holidays)-1)&amp;" business day(s) left).")))))</f>
        <v/>
      </c>
      <c r="W420" s="17">
        <f>IF($Z420="","",CHOOSE($Z420,"Collection Email","1st Follow-up","2nd Follow-up","Local Office","CBE","Roxanne")&amp;IF($Z420=6," - Final"," - Day "&amp;MAX(0,NETWORKDAYS($AA420,TODAY(),Holidays)-1)&amp;" of "&amp;CHOOSE($Z420,3,3,2,2,3))&amp;" | Total Day "&amp;MAX(0,NETWORKDAYS($N420,TODAY(),Holidays)-1))</f>
        <v/>
      </c>
      <c r="X420" s="18"/>
      <c r="Y420" s="18"/>
      <c r="Z420" s="17">
        <f>IF($N420="","",COUNT($N420:$S420))</f>
        <v/>
      </c>
      <c r="AA420" s="19">
        <f>IF($Z420="","",INT(INDEX($N420:$S420,$Z420)))</f>
        <v/>
      </c>
      <c r="AB420" s="19">
        <f>IF(OR($Z420="",$Z420=6),"",WORKDAY($AA420,CHOOSE($Z420,3,3,2,2,3),Holidays))</f>
        <v/>
      </c>
      <c r="AC420" s="17">
        <f>IF(OR($Z420="",$Z420=6),"",CHOOSE($Z420,"1st Email Follow-up","2nd Email Follow-up","Escalate Local Office","Escalate to CBE","Escalate to Roxanne"))</f>
        <v/>
      </c>
    </row>
    <row r="421" spans="13:29">
      <c r="M421" s="14"/>
      <c r="T421" s="16"/>
      <c r="U421" s="17">
        <f>IF(AND(COUNTA($A421:$L421)=0,$N421=""),"",IF($T421="Paid","PAID",IF($T421="Closed","CLOSED",IF($Z421="","",IF($Z421=6,"ESCALATED TO ROXANNE",IF(TODAY()&gt;$AB421,"OVERDUE",IF($AB421&lt;=WORKDAY(TODAY(),1,Holidays),"DUE TOMORROW",IF($Z421=4,"ESCALATED TO LOCAL OFFICE",IF($Z421=5,"ESCALATED TO CBE",IF($AA421=TODAY(),"EMAIL SENT","MONITORING"))))))))))</f>
        <v/>
      </c>
      <c r="V421" s="17">
        <f>IF($U421="",IF(AND(COUNTA($A421:$L421)&gt;0,$N421=""),"Awaiting Collection Email time stamp.",""),IF(OR($U421="PAID",$U421="CLOSED"),IF($U421="PAID","Account paid. Action completed.","Account closed. No further action required."),CHOOSE($Z421,"Collection Email","1st Email Follow-up","2nd Email Follow-up","Escalation to Local Office","Escalation to CBE","Escalation to Roxanne")&amp;" sent "&amp;TEXT($AA421,"dd-mmm")&amp;". "&amp;IF($Z421=6,"Final escalation completed.",IF($U421="OVERDUE","Next: "&amp;$AC421&amp;" was due "&amp;TEXT($AB421,"dd-mmm")&amp;" - "&amp;(NETWORKDAYS($AB421,TODAY(),Holidays)-1)&amp;" business day(s) late. Send now.",IF($U421="DUE TOMORROW","Next: "&amp;$AC421&amp;IF($AB421&lt;=TODAY()," is due TODAY ("," is due next business day (")&amp;TEXT($AB421,"dd-mmm")&amp;").","Next: "&amp;$AC421&amp;" due "&amp;TEXT($AB421,"dd-mmm")&amp;" ("&amp;(NETWORKDAYS(TODAY(),$AB421,Holidays)-1)&amp;" business day(s) left).")))))</f>
        <v/>
      </c>
      <c r="W421" s="17">
        <f>IF($Z421="","",CHOOSE($Z421,"Collection Email","1st Follow-up","2nd Follow-up","Local Office","CBE","Roxanne")&amp;IF($Z421=6," - Final"," - Day "&amp;MAX(0,NETWORKDAYS($AA421,TODAY(),Holidays)-1)&amp;" of "&amp;CHOOSE($Z421,3,3,2,2,3))&amp;" | Total Day "&amp;MAX(0,NETWORKDAYS($N421,TODAY(),Holidays)-1))</f>
        <v/>
      </c>
      <c r="X421" s="18"/>
      <c r="Y421" s="18"/>
      <c r="Z421" s="17">
        <f>IF($N421="","",COUNT($N421:$S421))</f>
        <v/>
      </c>
      <c r="AA421" s="19">
        <f>IF($Z421="","",INT(INDEX($N421:$S421,$Z421)))</f>
        <v/>
      </c>
      <c r="AB421" s="19">
        <f>IF(OR($Z421="",$Z421=6),"",WORKDAY($AA421,CHOOSE($Z421,3,3,2,2,3),Holidays))</f>
        <v/>
      </c>
      <c r="AC421" s="17">
        <f>IF(OR($Z421="",$Z421=6),"",CHOOSE($Z421,"1st Email Follow-up","2nd Email Follow-up","Escalate Local Office","Escalate to CBE","Escalate to Roxanne"))</f>
        <v/>
      </c>
    </row>
    <row r="422" spans="13:29">
      <c r="M422" s="14"/>
      <c r="T422" s="16"/>
      <c r="U422" s="17">
        <f>IF(AND(COUNTA($A422:$L422)=0,$N422=""),"",IF($T422="Paid","PAID",IF($T422="Closed","CLOSED",IF($Z422="","",IF($Z422=6,"ESCALATED TO ROXANNE",IF(TODAY()&gt;$AB422,"OVERDUE",IF($AB422&lt;=WORKDAY(TODAY(),1,Holidays),"DUE TOMORROW",IF($Z422=4,"ESCALATED TO LOCAL OFFICE",IF($Z422=5,"ESCALATED TO CBE",IF($AA422=TODAY(),"EMAIL SENT","MONITORING"))))))))))</f>
        <v/>
      </c>
      <c r="V422" s="17">
        <f>IF($U422="",IF(AND(COUNTA($A422:$L422)&gt;0,$N422=""),"Awaiting Collection Email time stamp.",""),IF(OR($U422="PAID",$U422="CLOSED"),IF($U422="PAID","Account paid. Action completed.","Account closed. No further action required."),CHOOSE($Z422,"Collection Email","1st Email Follow-up","2nd Email Follow-up","Escalation to Local Office","Escalation to CBE","Escalation to Roxanne")&amp;" sent "&amp;TEXT($AA422,"dd-mmm")&amp;". "&amp;IF($Z422=6,"Final escalation completed.",IF($U422="OVERDUE","Next: "&amp;$AC422&amp;" was due "&amp;TEXT($AB422,"dd-mmm")&amp;" - "&amp;(NETWORKDAYS($AB422,TODAY(),Holidays)-1)&amp;" business day(s) late. Send now.",IF($U422="DUE TOMORROW","Next: "&amp;$AC422&amp;IF($AB422&lt;=TODAY()," is due TODAY ("," is due next business day (")&amp;TEXT($AB422,"dd-mmm")&amp;").","Next: "&amp;$AC422&amp;" due "&amp;TEXT($AB422,"dd-mmm")&amp;" ("&amp;(NETWORKDAYS(TODAY(),$AB422,Holidays)-1)&amp;" business day(s) left).")))))</f>
        <v/>
      </c>
      <c r="W422" s="17">
        <f>IF($Z422="","",CHOOSE($Z422,"Collection Email","1st Follow-up","2nd Follow-up","Local Office","CBE","Roxanne")&amp;IF($Z422=6," - Final"," - Day "&amp;MAX(0,NETWORKDAYS($AA422,TODAY(),Holidays)-1)&amp;" of "&amp;CHOOSE($Z422,3,3,2,2,3))&amp;" | Total Day "&amp;MAX(0,NETWORKDAYS($N422,TODAY(),Holidays)-1))</f>
        <v/>
      </c>
      <c r="X422" s="18"/>
      <c r="Y422" s="18"/>
      <c r="Z422" s="17">
        <f>IF($N422="","",COUNT($N422:$S422))</f>
        <v/>
      </c>
      <c r="AA422" s="19">
        <f>IF($Z422="","",INT(INDEX($N422:$S422,$Z422)))</f>
        <v/>
      </c>
      <c r="AB422" s="19">
        <f>IF(OR($Z422="",$Z422=6),"",WORKDAY($AA422,CHOOSE($Z422,3,3,2,2,3),Holidays))</f>
        <v/>
      </c>
      <c r="AC422" s="17">
        <f>IF(OR($Z422="",$Z422=6),"",CHOOSE($Z422,"1st Email Follow-up","2nd Email Follow-up","Escalate Local Office","Escalate to CBE","Escalate to Roxanne"))</f>
        <v/>
      </c>
    </row>
    <row r="423" spans="13:29">
      <c r="M423" s="14"/>
      <c r="T423" s="16"/>
      <c r="U423" s="17">
        <f>IF(AND(COUNTA($A423:$L423)=0,$N423=""),"",IF($T423="Paid","PAID",IF($T423="Closed","CLOSED",IF($Z423="","",IF($Z423=6,"ESCALATED TO ROXANNE",IF(TODAY()&gt;$AB423,"OVERDUE",IF($AB423&lt;=WORKDAY(TODAY(),1,Holidays),"DUE TOMORROW",IF($Z423=4,"ESCALATED TO LOCAL OFFICE",IF($Z423=5,"ESCALATED TO CBE",IF($AA423=TODAY(),"EMAIL SENT","MONITORING"))))))))))</f>
        <v/>
      </c>
      <c r="V423" s="17">
        <f>IF($U423="",IF(AND(COUNTA($A423:$L423)&gt;0,$N423=""),"Awaiting Collection Email time stamp.",""),IF(OR($U423="PAID",$U423="CLOSED"),IF($U423="PAID","Account paid. Action completed.","Account closed. No further action required."),CHOOSE($Z423,"Collection Email","1st Email Follow-up","2nd Email Follow-up","Escalation to Local Office","Escalation to CBE","Escalation to Roxanne")&amp;" sent "&amp;TEXT($AA423,"dd-mmm")&amp;". "&amp;IF($Z423=6,"Final escalation completed.",IF($U423="OVERDUE","Next: "&amp;$AC423&amp;" was due "&amp;TEXT($AB423,"dd-mmm")&amp;" - "&amp;(NETWORKDAYS($AB423,TODAY(),Holidays)-1)&amp;" business day(s) late. Send now.",IF($U423="DUE TOMORROW","Next: "&amp;$AC423&amp;IF($AB423&lt;=TODAY()," is due TODAY ("," is due next business day (")&amp;TEXT($AB423,"dd-mmm")&amp;").","Next: "&amp;$AC423&amp;" due "&amp;TEXT($AB423,"dd-mmm")&amp;" ("&amp;(NETWORKDAYS(TODAY(),$AB423,Holidays)-1)&amp;" business day(s) left).")))))</f>
        <v/>
      </c>
      <c r="W423" s="17">
        <f>IF($Z423="","",CHOOSE($Z423,"Collection Email","1st Follow-up","2nd Follow-up","Local Office","CBE","Roxanne")&amp;IF($Z423=6," - Final"," - Day "&amp;MAX(0,NETWORKDAYS($AA423,TODAY(),Holidays)-1)&amp;" of "&amp;CHOOSE($Z423,3,3,2,2,3))&amp;" | Total Day "&amp;MAX(0,NETWORKDAYS($N423,TODAY(),Holidays)-1))</f>
        <v/>
      </c>
      <c r="X423" s="18"/>
      <c r="Y423" s="18"/>
      <c r="Z423" s="17">
        <f>IF($N423="","",COUNT($N423:$S423))</f>
        <v/>
      </c>
      <c r="AA423" s="19">
        <f>IF($Z423="","",INT(INDEX($N423:$S423,$Z423)))</f>
        <v/>
      </c>
      <c r="AB423" s="19">
        <f>IF(OR($Z423="",$Z423=6),"",WORKDAY($AA423,CHOOSE($Z423,3,3,2,2,3),Holidays))</f>
        <v/>
      </c>
      <c r="AC423" s="17">
        <f>IF(OR($Z423="",$Z423=6),"",CHOOSE($Z423,"1st Email Follow-up","2nd Email Follow-up","Escalate Local Office","Escalate to CBE","Escalate to Roxanne"))</f>
        <v/>
      </c>
    </row>
    <row r="424" spans="13:29">
      <c r="M424" s="14"/>
      <c r="T424" s="16"/>
      <c r="U424" s="17">
        <f>IF(AND(COUNTA($A424:$L424)=0,$N424=""),"",IF($T424="Paid","PAID",IF($T424="Closed","CLOSED",IF($Z424="","",IF($Z424=6,"ESCALATED TO ROXANNE",IF(TODAY()&gt;$AB424,"OVERDUE",IF($AB424&lt;=WORKDAY(TODAY(),1,Holidays),"DUE TOMORROW",IF($Z424=4,"ESCALATED TO LOCAL OFFICE",IF($Z424=5,"ESCALATED TO CBE",IF($AA424=TODAY(),"EMAIL SENT","MONITORING"))))))))))</f>
        <v/>
      </c>
      <c r="V424" s="17">
        <f>IF($U424="",IF(AND(COUNTA($A424:$L424)&gt;0,$N424=""),"Awaiting Collection Email time stamp.",""),IF(OR($U424="PAID",$U424="CLOSED"),IF($U424="PAID","Account paid. Action completed.","Account closed. No further action required."),CHOOSE($Z424,"Collection Email","1st Email Follow-up","2nd Email Follow-up","Escalation to Local Office","Escalation to CBE","Escalation to Roxanne")&amp;" sent "&amp;TEXT($AA424,"dd-mmm")&amp;". "&amp;IF($Z424=6,"Final escalation completed.",IF($U424="OVERDUE","Next: "&amp;$AC424&amp;" was due "&amp;TEXT($AB424,"dd-mmm")&amp;" - "&amp;(NETWORKDAYS($AB424,TODAY(),Holidays)-1)&amp;" business day(s) late. Send now.",IF($U424="DUE TOMORROW","Next: "&amp;$AC424&amp;IF($AB424&lt;=TODAY()," is due TODAY ("," is due next business day (")&amp;TEXT($AB424,"dd-mmm")&amp;").","Next: "&amp;$AC424&amp;" due "&amp;TEXT($AB424,"dd-mmm")&amp;" ("&amp;(NETWORKDAYS(TODAY(),$AB424,Holidays)-1)&amp;" business day(s) left).")))))</f>
        <v/>
      </c>
      <c r="W424" s="17">
        <f>IF($Z424="","",CHOOSE($Z424,"Collection Email","1st Follow-up","2nd Follow-up","Local Office","CBE","Roxanne")&amp;IF($Z424=6," - Final"," - Day "&amp;MAX(0,NETWORKDAYS($AA424,TODAY(),Holidays)-1)&amp;" of "&amp;CHOOSE($Z424,3,3,2,2,3))&amp;" | Total Day "&amp;MAX(0,NETWORKDAYS($N424,TODAY(),Holidays)-1))</f>
        <v/>
      </c>
      <c r="X424" s="18"/>
      <c r="Y424" s="18"/>
      <c r="Z424" s="17">
        <f>IF($N424="","",COUNT($N424:$S424))</f>
        <v/>
      </c>
      <c r="AA424" s="19">
        <f>IF($Z424="","",INT(INDEX($N424:$S424,$Z424)))</f>
        <v/>
      </c>
      <c r="AB424" s="19">
        <f>IF(OR($Z424="",$Z424=6),"",WORKDAY($AA424,CHOOSE($Z424,3,3,2,2,3),Holidays))</f>
        <v/>
      </c>
      <c r="AC424" s="17">
        <f>IF(OR($Z424="",$Z424=6),"",CHOOSE($Z424,"1st Email Follow-up","2nd Email Follow-up","Escalate Local Office","Escalate to CBE","Escalate to Roxanne"))</f>
        <v/>
      </c>
    </row>
    <row r="425" spans="13:29">
      <c r="M425" s="14"/>
      <c r="T425" s="16"/>
      <c r="U425" s="17">
        <f>IF(AND(COUNTA($A425:$L425)=0,$N425=""),"",IF($T425="Paid","PAID",IF($T425="Closed","CLOSED",IF($Z425="","",IF($Z425=6,"ESCALATED TO ROXANNE",IF(TODAY()&gt;$AB425,"OVERDUE",IF($AB425&lt;=WORKDAY(TODAY(),1,Holidays),"DUE TOMORROW",IF($Z425=4,"ESCALATED TO LOCAL OFFICE",IF($Z425=5,"ESCALATED TO CBE",IF($AA425=TODAY(),"EMAIL SENT","MONITORING"))))))))))</f>
        <v/>
      </c>
      <c r="V425" s="17">
        <f>IF($U425="",IF(AND(COUNTA($A425:$L425)&gt;0,$N425=""),"Awaiting Collection Email time stamp.",""),IF(OR($U425="PAID",$U425="CLOSED"),IF($U425="PAID","Account paid. Action completed.","Account closed. No further action required."),CHOOSE($Z425,"Collection Email","1st Email Follow-up","2nd Email Follow-up","Escalation to Local Office","Escalation to CBE","Escalation to Roxanne")&amp;" sent "&amp;TEXT($AA425,"dd-mmm")&amp;". "&amp;IF($Z425=6,"Final escalation completed.",IF($U425="OVERDUE","Next: "&amp;$AC425&amp;" was due "&amp;TEXT($AB425,"dd-mmm")&amp;" - "&amp;(NETWORKDAYS($AB425,TODAY(),Holidays)-1)&amp;" business day(s) late. Send now.",IF($U425="DUE TOMORROW","Next: "&amp;$AC425&amp;IF($AB425&lt;=TODAY()," is due TODAY ("," is due next business day (")&amp;TEXT($AB425,"dd-mmm")&amp;").","Next: "&amp;$AC425&amp;" due "&amp;TEXT($AB425,"dd-mmm")&amp;" ("&amp;(NETWORKDAYS(TODAY(),$AB425,Holidays)-1)&amp;" business day(s) left).")))))</f>
        <v/>
      </c>
      <c r="W425" s="17">
        <f>IF($Z425="","",CHOOSE($Z425,"Collection Email","1st Follow-up","2nd Follow-up","Local Office","CBE","Roxanne")&amp;IF($Z425=6," - Final"," - Day "&amp;MAX(0,NETWORKDAYS($AA425,TODAY(),Holidays)-1)&amp;" of "&amp;CHOOSE($Z425,3,3,2,2,3))&amp;" | Total Day "&amp;MAX(0,NETWORKDAYS($N425,TODAY(),Holidays)-1))</f>
        <v/>
      </c>
      <c r="X425" s="18"/>
      <c r="Y425" s="18"/>
      <c r="Z425" s="17">
        <f>IF($N425="","",COUNT($N425:$S425))</f>
        <v/>
      </c>
      <c r="AA425" s="19">
        <f>IF($Z425="","",INT(INDEX($N425:$S425,$Z425)))</f>
        <v/>
      </c>
      <c r="AB425" s="19">
        <f>IF(OR($Z425="",$Z425=6),"",WORKDAY($AA425,CHOOSE($Z425,3,3,2,2,3),Holidays))</f>
        <v/>
      </c>
      <c r="AC425" s="17">
        <f>IF(OR($Z425="",$Z425=6),"",CHOOSE($Z425,"1st Email Follow-up","2nd Email Follow-up","Escalate Local Office","Escalate to CBE","Escalate to Roxanne"))</f>
        <v/>
      </c>
    </row>
    <row r="426" spans="13:29">
      <c r="M426" s="14"/>
      <c r="T426" s="16"/>
      <c r="U426" s="17">
        <f>IF(AND(COUNTA($A426:$L426)=0,$N426=""),"",IF($T426="Paid","PAID",IF($T426="Closed","CLOSED",IF($Z426="","",IF($Z426=6,"ESCALATED TO ROXANNE",IF(TODAY()&gt;$AB426,"OVERDUE",IF($AB426&lt;=WORKDAY(TODAY(),1,Holidays),"DUE TOMORROW",IF($Z426=4,"ESCALATED TO LOCAL OFFICE",IF($Z426=5,"ESCALATED TO CBE",IF($AA426=TODAY(),"EMAIL SENT","MONITORING"))))))))))</f>
        <v/>
      </c>
      <c r="V426" s="17">
        <f>IF($U426="",IF(AND(COUNTA($A426:$L426)&gt;0,$N426=""),"Awaiting Collection Email time stamp.",""),IF(OR($U426="PAID",$U426="CLOSED"),IF($U426="PAID","Account paid. Action completed.","Account closed. No further action required."),CHOOSE($Z426,"Collection Email","1st Email Follow-up","2nd Email Follow-up","Escalation to Local Office","Escalation to CBE","Escalation to Roxanne")&amp;" sent "&amp;TEXT($AA426,"dd-mmm")&amp;". "&amp;IF($Z426=6,"Final escalation completed.",IF($U426="OVERDUE","Next: "&amp;$AC426&amp;" was due "&amp;TEXT($AB426,"dd-mmm")&amp;" - "&amp;(NETWORKDAYS($AB426,TODAY(),Holidays)-1)&amp;" business day(s) late. Send now.",IF($U426="DUE TOMORROW","Next: "&amp;$AC426&amp;IF($AB426&lt;=TODAY()," is due TODAY ("," is due next business day (")&amp;TEXT($AB426,"dd-mmm")&amp;").","Next: "&amp;$AC426&amp;" due "&amp;TEXT($AB426,"dd-mmm")&amp;" ("&amp;(NETWORKDAYS(TODAY(),$AB426,Holidays)-1)&amp;" business day(s) left).")))))</f>
        <v/>
      </c>
      <c r="W426" s="17">
        <f>IF($Z426="","",CHOOSE($Z426,"Collection Email","1st Follow-up","2nd Follow-up","Local Office","CBE","Roxanne")&amp;IF($Z426=6," - Final"," - Day "&amp;MAX(0,NETWORKDAYS($AA426,TODAY(),Holidays)-1)&amp;" of "&amp;CHOOSE($Z426,3,3,2,2,3))&amp;" | Total Day "&amp;MAX(0,NETWORKDAYS($N426,TODAY(),Holidays)-1))</f>
        <v/>
      </c>
      <c r="X426" s="18"/>
      <c r="Y426" s="18"/>
      <c r="Z426" s="17">
        <f>IF($N426="","",COUNT($N426:$S426))</f>
        <v/>
      </c>
      <c r="AA426" s="19">
        <f>IF($Z426="","",INT(INDEX($N426:$S426,$Z426)))</f>
        <v/>
      </c>
      <c r="AB426" s="19">
        <f>IF(OR($Z426="",$Z426=6),"",WORKDAY($AA426,CHOOSE($Z426,3,3,2,2,3),Holidays))</f>
        <v/>
      </c>
      <c r="AC426" s="17">
        <f>IF(OR($Z426="",$Z426=6),"",CHOOSE($Z426,"1st Email Follow-up","2nd Email Follow-up","Escalate Local Office","Escalate to CBE","Escalate to Roxanne"))</f>
        <v/>
      </c>
    </row>
    <row r="427" spans="13:29">
      <c r="M427" s="14"/>
      <c r="T427" s="16"/>
      <c r="U427" s="17">
        <f>IF(AND(COUNTA($A427:$L427)=0,$N427=""),"",IF($T427="Paid","PAID",IF($T427="Closed","CLOSED",IF($Z427="","",IF($Z427=6,"ESCALATED TO ROXANNE",IF(TODAY()&gt;$AB427,"OVERDUE",IF($AB427&lt;=WORKDAY(TODAY(),1,Holidays),"DUE TOMORROW",IF($Z427=4,"ESCALATED TO LOCAL OFFICE",IF($Z427=5,"ESCALATED TO CBE",IF($AA427=TODAY(),"EMAIL SENT","MONITORING"))))))))))</f>
        <v/>
      </c>
      <c r="V427" s="17">
        <f>IF($U427="",IF(AND(COUNTA($A427:$L427)&gt;0,$N427=""),"Awaiting Collection Email time stamp.",""),IF(OR($U427="PAID",$U427="CLOSED"),IF($U427="PAID","Account paid. Action completed.","Account closed. No further action required."),CHOOSE($Z427,"Collection Email","1st Email Follow-up","2nd Email Follow-up","Escalation to Local Office","Escalation to CBE","Escalation to Roxanne")&amp;" sent "&amp;TEXT($AA427,"dd-mmm")&amp;". "&amp;IF($Z427=6,"Final escalation completed.",IF($U427="OVERDUE","Next: "&amp;$AC427&amp;" was due "&amp;TEXT($AB427,"dd-mmm")&amp;" - "&amp;(NETWORKDAYS($AB427,TODAY(),Holidays)-1)&amp;" business day(s) late. Send now.",IF($U427="DUE TOMORROW","Next: "&amp;$AC427&amp;IF($AB427&lt;=TODAY()," is due TODAY ("," is due next business day (")&amp;TEXT($AB427,"dd-mmm")&amp;").","Next: "&amp;$AC427&amp;" due "&amp;TEXT($AB427,"dd-mmm")&amp;" ("&amp;(NETWORKDAYS(TODAY(),$AB427,Holidays)-1)&amp;" business day(s) left).")))))</f>
        <v/>
      </c>
      <c r="W427" s="17">
        <f>IF($Z427="","",CHOOSE($Z427,"Collection Email","1st Follow-up","2nd Follow-up","Local Office","CBE","Roxanne")&amp;IF($Z427=6," - Final"," - Day "&amp;MAX(0,NETWORKDAYS($AA427,TODAY(),Holidays)-1)&amp;" of "&amp;CHOOSE($Z427,3,3,2,2,3))&amp;" | Total Day "&amp;MAX(0,NETWORKDAYS($N427,TODAY(),Holidays)-1))</f>
        <v/>
      </c>
      <c r="X427" s="18"/>
      <c r="Y427" s="18"/>
      <c r="Z427" s="17">
        <f>IF($N427="","",COUNT($N427:$S427))</f>
        <v/>
      </c>
      <c r="AA427" s="19">
        <f>IF($Z427="","",INT(INDEX($N427:$S427,$Z427)))</f>
        <v/>
      </c>
      <c r="AB427" s="19">
        <f>IF(OR($Z427="",$Z427=6),"",WORKDAY($AA427,CHOOSE($Z427,3,3,2,2,3),Holidays))</f>
        <v/>
      </c>
      <c r="AC427" s="17">
        <f>IF(OR($Z427="",$Z427=6),"",CHOOSE($Z427,"1st Email Follow-up","2nd Email Follow-up","Escalate Local Office","Escalate to CBE","Escalate to Roxanne"))</f>
        <v/>
      </c>
    </row>
    <row r="428" spans="13:29">
      <c r="M428" s="14"/>
      <c r="T428" s="16"/>
      <c r="U428" s="17">
        <f>IF(AND(COUNTA($A428:$L428)=0,$N428=""),"",IF($T428="Paid","PAID",IF($T428="Closed","CLOSED",IF($Z428="","",IF($Z428=6,"ESCALATED TO ROXANNE",IF(TODAY()&gt;$AB428,"OVERDUE",IF($AB428&lt;=WORKDAY(TODAY(),1,Holidays),"DUE TOMORROW",IF($Z428=4,"ESCALATED TO LOCAL OFFICE",IF($Z428=5,"ESCALATED TO CBE",IF($AA428=TODAY(),"EMAIL SENT","MONITORING"))))))))))</f>
        <v/>
      </c>
      <c r="V428" s="17">
        <f>IF($U428="",IF(AND(COUNTA($A428:$L428)&gt;0,$N428=""),"Awaiting Collection Email time stamp.",""),IF(OR($U428="PAID",$U428="CLOSED"),IF($U428="PAID","Account paid. Action completed.","Account closed. No further action required."),CHOOSE($Z428,"Collection Email","1st Email Follow-up","2nd Email Follow-up","Escalation to Local Office","Escalation to CBE","Escalation to Roxanne")&amp;" sent "&amp;TEXT($AA428,"dd-mmm")&amp;". "&amp;IF($Z428=6,"Final escalation completed.",IF($U428="OVERDUE","Next: "&amp;$AC428&amp;" was due "&amp;TEXT($AB428,"dd-mmm")&amp;" - "&amp;(NETWORKDAYS($AB428,TODAY(),Holidays)-1)&amp;" business day(s) late. Send now.",IF($U428="DUE TOMORROW","Next: "&amp;$AC428&amp;IF($AB428&lt;=TODAY()," is due TODAY ("," is due next business day (")&amp;TEXT($AB428,"dd-mmm")&amp;").","Next: "&amp;$AC428&amp;" due "&amp;TEXT($AB428,"dd-mmm")&amp;" ("&amp;(NETWORKDAYS(TODAY(),$AB428,Holidays)-1)&amp;" business day(s) left).")))))</f>
        <v/>
      </c>
      <c r="W428" s="17">
        <f>IF($Z428="","",CHOOSE($Z428,"Collection Email","1st Follow-up","2nd Follow-up","Local Office","CBE","Roxanne")&amp;IF($Z428=6," - Final"," - Day "&amp;MAX(0,NETWORKDAYS($AA428,TODAY(),Holidays)-1)&amp;" of "&amp;CHOOSE($Z428,3,3,2,2,3))&amp;" | Total Day "&amp;MAX(0,NETWORKDAYS($N428,TODAY(),Holidays)-1))</f>
        <v/>
      </c>
      <c r="X428" s="18"/>
      <c r="Y428" s="18"/>
      <c r="Z428" s="17">
        <f>IF($N428="","",COUNT($N428:$S428))</f>
        <v/>
      </c>
      <c r="AA428" s="19">
        <f>IF($Z428="","",INT(INDEX($N428:$S428,$Z428)))</f>
        <v/>
      </c>
      <c r="AB428" s="19">
        <f>IF(OR($Z428="",$Z428=6),"",WORKDAY($AA428,CHOOSE($Z428,3,3,2,2,3),Holidays))</f>
        <v/>
      </c>
      <c r="AC428" s="17">
        <f>IF(OR($Z428="",$Z428=6),"",CHOOSE($Z428,"1st Email Follow-up","2nd Email Follow-up","Escalate Local Office","Escalate to CBE","Escalate to Roxanne"))</f>
        <v/>
      </c>
    </row>
    <row r="429" spans="13:29">
      <c r="M429" s="14"/>
      <c r="T429" s="16"/>
      <c r="U429" s="17">
        <f>IF(AND(COUNTA($A429:$L429)=0,$N429=""),"",IF($T429="Paid","PAID",IF($T429="Closed","CLOSED",IF($Z429="","",IF($Z429=6,"ESCALATED TO ROXANNE",IF(TODAY()&gt;$AB429,"OVERDUE",IF($AB429&lt;=WORKDAY(TODAY(),1,Holidays),"DUE TOMORROW",IF($Z429=4,"ESCALATED TO LOCAL OFFICE",IF($Z429=5,"ESCALATED TO CBE",IF($AA429=TODAY(),"EMAIL SENT","MONITORING"))))))))))</f>
        <v/>
      </c>
      <c r="V429" s="17">
        <f>IF($U429="",IF(AND(COUNTA($A429:$L429)&gt;0,$N429=""),"Awaiting Collection Email time stamp.",""),IF(OR($U429="PAID",$U429="CLOSED"),IF($U429="PAID","Account paid. Action completed.","Account closed. No further action required."),CHOOSE($Z429,"Collection Email","1st Email Follow-up","2nd Email Follow-up","Escalation to Local Office","Escalation to CBE","Escalation to Roxanne")&amp;" sent "&amp;TEXT($AA429,"dd-mmm")&amp;". "&amp;IF($Z429=6,"Final escalation completed.",IF($U429="OVERDUE","Next: "&amp;$AC429&amp;" was due "&amp;TEXT($AB429,"dd-mmm")&amp;" - "&amp;(NETWORKDAYS($AB429,TODAY(),Holidays)-1)&amp;" business day(s) late. Send now.",IF($U429="DUE TOMORROW","Next: "&amp;$AC429&amp;IF($AB429&lt;=TODAY()," is due TODAY ("," is due next business day (")&amp;TEXT($AB429,"dd-mmm")&amp;").","Next: "&amp;$AC429&amp;" due "&amp;TEXT($AB429,"dd-mmm")&amp;" ("&amp;(NETWORKDAYS(TODAY(),$AB429,Holidays)-1)&amp;" business day(s) left).")))))</f>
        <v/>
      </c>
      <c r="W429" s="17">
        <f>IF($Z429="","",CHOOSE($Z429,"Collection Email","1st Follow-up","2nd Follow-up","Local Office","CBE","Roxanne")&amp;IF($Z429=6," - Final"," - Day "&amp;MAX(0,NETWORKDAYS($AA429,TODAY(),Holidays)-1)&amp;" of "&amp;CHOOSE($Z429,3,3,2,2,3))&amp;" | Total Day "&amp;MAX(0,NETWORKDAYS($N429,TODAY(),Holidays)-1))</f>
        <v/>
      </c>
      <c r="X429" s="18"/>
      <c r="Y429" s="18"/>
      <c r="Z429" s="17">
        <f>IF($N429="","",COUNT($N429:$S429))</f>
        <v/>
      </c>
      <c r="AA429" s="19">
        <f>IF($Z429="","",INT(INDEX($N429:$S429,$Z429)))</f>
        <v/>
      </c>
      <c r="AB429" s="19">
        <f>IF(OR($Z429="",$Z429=6),"",WORKDAY($AA429,CHOOSE($Z429,3,3,2,2,3),Holidays))</f>
        <v/>
      </c>
      <c r="AC429" s="17">
        <f>IF(OR($Z429="",$Z429=6),"",CHOOSE($Z429,"1st Email Follow-up","2nd Email Follow-up","Escalate Local Office","Escalate to CBE","Escalate to Roxanne"))</f>
        <v/>
      </c>
    </row>
    <row r="430" spans="13:29">
      <c r="M430" s="14"/>
      <c r="T430" s="16"/>
      <c r="U430" s="17">
        <f>IF(AND(COUNTA($A430:$L430)=0,$N430=""),"",IF($T430="Paid","PAID",IF($T430="Closed","CLOSED",IF($Z430="","",IF($Z430=6,"ESCALATED TO ROXANNE",IF(TODAY()&gt;$AB430,"OVERDUE",IF($AB430&lt;=WORKDAY(TODAY(),1,Holidays),"DUE TOMORROW",IF($Z430=4,"ESCALATED TO LOCAL OFFICE",IF($Z430=5,"ESCALATED TO CBE",IF($AA430=TODAY(),"EMAIL SENT","MONITORING"))))))))))</f>
        <v/>
      </c>
      <c r="V430" s="17">
        <f>IF($U430="",IF(AND(COUNTA($A430:$L430)&gt;0,$N430=""),"Awaiting Collection Email time stamp.",""),IF(OR($U430="PAID",$U430="CLOSED"),IF($U430="PAID","Account paid. Action completed.","Account closed. No further action required."),CHOOSE($Z430,"Collection Email","1st Email Follow-up","2nd Email Follow-up","Escalation to Local Office","Escalation to CBE","Escalation to Roxanne")&amp;" sent "&amp;TEXT($AA430,"dd-mmm")&amp;". "&amp;IF($Z430=6,"Final escalation completed.",IF($U430="OVERDUE","Next: "&amp;$AC430&amp;" was due "&amp;TEXT($AB430,"dd-mmm")&amp;" - "&amp;(NETWORKDAYS($AB430,TODAY(),Holidays)-1)&amp;" business day(s) late. Send now.",IF($U430="DUE TOMORROW","Next: "&amp;$AC430&amp;IF($AB430&lt;=TODAY()," is due TODAY ("," is due next business day (")&amp;TEXT($AB430,"dd-mmm")&amp;").","Next: "&amp;$AC430&amp;" due "&amp;TEXT($AB430,"dd-mmm")&amp;" ("&amp;(NETWORKDAYS(TODAY(),$AB430,Holidays)-1)&amp;" business day(s) left).")))))</f>
        <v/>
      </c>
      <c r="W430" s="17">
        <f>IF($Z430="","",CHOOSE($Z430,"Collection Email","1st Follow-up","2nd Follow-up","Local Office","CBE","Roxanne")&amp;IF($Z430=6," - Final"," - Day "&amp;MAX(0,NETWORKDAYS($AA430,TODAY(),Holidays)-1)&amp;" of "&amp;CHOOSE($Z430,3,3,2,2,3))&amp;" | Total Day "&amp;MAX(0,NETWORKDAYS($N430,TODAY(),Holidays)-1))</f>
        <v/>
      </c>
      <c r="X430" s="18"/>
      <c r="Y430" s="18"/>
      <c r="Z430" s="17">
        <f>IF($N430="","",COUNT($N430:$S430))</f>
        <v/>
      </c>
      <c r="AA430" s="19">
        <f>IF($Z430="","",INT(INDEX($N430:$S430,$Z430)))</f>
        <v/>
      </c>
      <c r="AB430" s="19">
        <f>IF(OR($Z430="",$Z430=6),"",WORKDAY($AA430,CHOOSE($Z430,3,3,2,2,3),Holidays))</f>
        <v/>
      </c>
      <c r="AC430" s="17">
        <f>IF(OR($Z430="",$Z430=6),"",CHOOSE($Z430,"1st Email Follow-up","2nd Email Follow-up","Escalate Local Office","Escalate to CBE","Escalate to Roxanne"))</f>
        <v/>
      </c>
    </row>
    <row r="431" spans="13:29">
      <c r="M431" s="14"/>
      <c r="T431" s="16"/>
      <c r="U431" s="17">
        <f>IF(AND(COUNTA($A431:$L431)=0,$N431=""),"",IF($T431="Paid","PAID",IF($T431="Closed","CLOSED",IF($Z431="","",IF($Z431=6,"ESCALATED TO ROXANNE",IF(TODAY()&gt;$AB431,"OVERDUE",IF($AB431&lt;=WORKDAY(TODAY(),1,Holidays),"DUE TOMORROW",IF($Z431=4,"ESCALATED TO LOCAL OFFICE",IF($Z431=5,"ESCALATED TO CBE",IF($AA431=TODAY(),"EMAIL SENT","MONITORING"))))))))))</f>
        <v/>
      </c>
      <c r="V431" s="17">
        <f>IF($U431="",IF(AND(COUNTA($A431:$L431)&gt;0,$N431=""),"Awaiting Collection Email time stamp.",""),IF(OR($U431="PAID",$U431="CLOSED"),IF($U431="PAID","Account paid. Action completed.","Account closed. No further action required."),CHOOSE($Z431,"Collection Email","1st Email Follow-up","2nd Email Follow-up","Escalation to Local Office","Escalation to CBE","Escalation to Roxanne")&amp;" sent "&amp;TEXT($AA431,"dd-mmm")&amp;". "&amp;IF($Z431=6,"Final escalation completed.",IF($U431="OVERDUE","Next: "&amp;$AC431&amp;" was due "&amp;TEXT($AB431,"dd-mmm")&amp;" - "&amp;(NETWORKDAYS($AB431,TODAY(),Holidays)-1)&amp;" business day(s) late. Send now.",IF($U431="DUE TOMORROW","Next: "&amp;$AC431&amp;IF($AB431&lt;=TODAY()," is due TODAY ("," is due next business day (")&amp;TEXT($AB431,"dd-mmm")&amp;").","Next: "&amp;$AC431&amp;" due "&amp;TEXT($AB431,"dd-mmm")&amp;" ("&amp;(NETWORKDAYS(TODAY(),$AB431,Holidays)-1)&amp;" business day(s) left).")))))</f>
        <v/>
      </c>
      <c r="W431" s="17">
        <f>IF($Z431="","",CHOOSE($Z431,"Collection Email","1st Follow-up","2nd Follow-up","Local Office","CBE","Roxanne")&amp;IF($Z431=6," - Final"," - Day "&amp;MAX(0,NETWORKDAYS($AA431,TODAY(),Holidays)-1)&amp;" of "&amp;CHOOSE($Z431,3,3,2,2,3))&amp;" | Total Day "&amp;MAX(0,NETWORKDAYS($N431,TODAY(),Holidays)-1))</f>
        <v/>
      </c>
      <c r="X431" s="18"/>
      <c r="Y431" s="18"/>
      <c r="Z431" s="17">
        <f>IF($N431="","",COUNT($N431:$S431))</f>
        <v/>
      </c>
      <c r="AA431" s="19">
        <f>IF($Z431="","",INT(INDEX($N431:$S431,$Z431)))</f>
        <v/>
      </c>
      <c r="AB431" s="19">
        <f>IF(OR($Z431="",$Z431=6),"",WORKDAY($AA431,CHOOSE($Z431,3,3,2,2,3),Holidays))</f>
        <v/>
      </c>
      <c r="AC431" s="17">
        <f>IF(OR($Z431="",$Z431=6),"",CHOOSE($Z431,"1st Email Follow-up","2nd Email Follow-up","Escalate Local Office","Escalate to CBE","Escalate to Roxanne"))</f>
        <v/>
      </c>
    </row>
    <row r="432" spans="13:29">
      <c r="M432" s="14"/>
      <c r="T432" s="16"/>
      <c r="U432" s="17">
        <f>IF(AND(COUNTA($A432:$L432)=0,$N432=""),"",IF($T432="Paid","PAID",IF($T432="Closed","CLOSED",IF($Z432="","",IF($Z432=6,"ESCALATED TO ROXANNE",IF(TODAY()&gt;$AB432,"OVERDUE",IF($AB432&lt;=WORKDAY(TODAY(),1,Holidays),"DUE TOMORROW",IF($Z432=4,"ESCALATED TO LOCAL OFFICE",IF($Z432=5,"ESCALATED TO CBE",IF($AA432=TODAY(),"EMAIL SENT","MONITORING"))))))))))</f>
        <v/>
      </c>
      <c r="V432" s="17">
        <f>IF($U432="",IF(AND(COUNTA($A432:$L432)&gt;0,$N432=""),"Awaiting Collection Email time stamp.",""),IF(OR($U432="PAID",$U432="CLOSED"),IF($U432="PAID","Account paid. Action completed.","Account closed. No further action required."),CHOOSE($Z432,"Collection Email","1st Email Follow-up","2nd Email Follow-up","Escalation to Local Office","Escalation to CBE","Escalation to Roxanne")&amp;" sent "&amp;TEXT($AA432,"dd-mmm")&amp;". "&amp;IF($Z432=6,"Final escalation completed.",IF($U432="OVERDUE","Next: "&amp;$AC432&amp;" was due "&amp;TEXT($AB432,"dd-mmm")&amp;" - "&amp;(NETWORKDAYS($AB432,TODAY(),Holidays)-1)&amp;" business day(s) late. Send now.",IF($U432="DUE TOMORROW","Next: "&amp;$AC432&amp;IF($AB432&lt;=TODAY()," is due TODAY ("," is due next business day (")&amp;TEXT($AB432,"dd-mmm")&amp;").","Next: "&amp;$AC432&amp;" due "&amp;TEXT($AB432,"dd-mmm")&amp;" ("&amp;(NETWORKDAYS(TODAY(),$AB432,Holidays)-1)&amp;" business day(s) left).")))))</f>
        <v/>
      </c>
      <c r="W432" s="17">
        <f>IF($Z432="","",CHOOSE($Z432,"Collection Email","1st Follow-up","2nd Follow-up","Local Office","CBE","Roxanne")&amp;IF($Z432=6," - Final"," - Day "&amp;MAX(0,NETWORKDAYS($AA432,TODAY(),Holidays)-1)&amp;" of "&amp;CHOOSE($Z432,3,3,2,2,3))&amp;" | Total Day "&amp;MAX(0,NETWORKDAYS($N432,TODAY(),Holidays)-1))</f>
        <v/>
      </c>
      <c r="X432" s="18"/>
      <c r="Y432" s="18"/>
      <c r="Z432" s="17">
        <f>IF($N432="","",COUNT($N432:$S432))</f>
        <v/>
      </c>
      <c r="AA432" s="19">
        <f>IF($Z432="","",INT(INDEX($N432:$S432,$Z432)))</f>
        <v/>
      </c>
      <c r="AB432" s="19">
        <f>IF(OR($Z432="",$Z432=6),"",WORKDAY($AA432,CHOOSE($Z432,3,3,2,2,3),Holidays))</f>
        <v/>
      </c>
      <c r="AC432" s="17">
        <f>IF(OR($Z432="",$Z432=6),"",CHOOSE($Z432,"1st Email Follow-up","2nd Email Follow-up","Escalate Local Office","Escalate to CBE","Escalate to Roxanne"))</f>
        <v/>
      </c>
    </row>
    <row r="433" spans="13:29">
      <c r="M433" s="14"/>
      <c r="T433" s="16"/>
      <c r="U433" s="17">
        <f>IF(AND(COUNTA($A433:$L433)=0,$N433=""),"",IF($T433="Paid","PAID",IF($T433="Closed","CLOSED",IF($Z433="","",IF($Z433=6,"ESCALATED TO ROXANNE",IF(TODAY()&gt;$AB433,"OVERDUE",IF($AB433&lt;=WORKDAY(TODAY(),1,Holidays),"DUE TOMORROW",IF($Z433=4,"ESCALATED TO LOCAL OFFICE",IF($Z433=5,"ESCALATED TO CBE",IF($AA433=TODAY(),"EMAIL SENT","MONITORING"))))))))))</f>
        <v/>
      </c>
      <c r="V433" s="17">
        <f>IF($U433="",IF(AND(COUNTA($A433:$L433)&gt;0,$N433=""),"Awaiting Collection Email time stamp.",""),IF(OR($U433="PAID",$U433="CLOSED"),IF($U433="PAID","Account paid. Action completed.","Account closed. No further action required."),CHOOSE($Z433,"Collection Email","1st Email Follow-up","2nd Email Follow-up","Escalation to Local Office","Escalation to CBE","Escalation to Roxanne")&amp;" sent "&amp;TEXT($AA433,"dd-mmm")&amp;". "&amp;IF($Z433=6,"Final escalation completed.",IF($U433="OVERDUE","Next: "&amp;$AC433&amp;" was due "&amp;TEXT($AB433,"dd-mmm")&amp;" - "&amp;(NETWORKDAYS($AB433,TODAY(),Holidays)-1)&amp;" business day(s) late. Send now.",IF($U433="DUE TOMORROW","Next: "&amp;$AC433&amp;IF($AB433&lt;=TODAY()," is due TODAY ("," is due next business day (")&amp;TEXT($AB433,"dd-mmm")&amp;").","Next: "&amp;$AC433&amp;" due "&amp;TEXT($AB433,"dd-mmm")&amp;" ("&amp;(NETWORKDAYS(TODAY(),$AB433,Holidays)-1)&amp;" business day(s) left).")))))</f>
        <v/>
      </c>
      <c r="W433" s="17">
        <f>IF($Z433="","",CHOOSE($Z433,"Collection Email","1st Follow-up","2nd Follow-up","Local Office","CBE","Roxanne")&amp;IF($Z433=6," - Final"," - Day "&amp;MAX(0,NETWORKDAYS($AA433,TODAY(),Holidays)-1)&amp;" of "&amp;CHOOSE($Z433,3,3,2,2,3))&amp;" | Total Day "&amp;MAX(0,NETWORKDAYS($N433,TODAY(),Holidays)-1))</f>
        <v/>
      </c>
      <c r="X433" s="18"/>
      <c r="Y433" s="18"/>
      <c r="Z433" s="17">
        <f>IF($N433="","",COUNT($N433:$S433))</f>
        <v/>
      </c>
      <c r="AA433" s="19">
        <f>IF($Z433="","",INT(INDEX($N433:$S433,$Z433)))</f>
        <v/>
      </c>
      <c r="AB433" s="19">
        <f>IF(OR($Z433="",$Z433=6),"",WORKDAY($AA433,CHOOSE($Z433,3,3,2,2,3),Holidays))</f>
        <v/>
      </c>
      <c r="AC433" s="17">
        <f>IF(OR($Z433="",$Z433=6),"",CHOOSE($Z433,"1st Email Follow-up","2nd Email Follow-up","Escalate Local Office","Escalate to CBE","Escalate to Roxanne"))</f>
        <v/>
      </c>
    </row>
    <row r="434" spans="13:29">
      <c r="M434" s="14"/>
      <c r="T434" s="16"/>
      <c r="U434" s="17">
        <f>IF(AND(COUNTA($A434:$L434)=0,$N434=""),"",IF($T434="Paid","PAID",IF($T434="Closed","CLOSED",IF($Z434="","",IF($Z434=6,"ESCALATED TO ROXANNE",IF(TODAY()&gt;$AB434,"OVERDUE",IF($AB434&lt;=WORKDAY(TODAY(),1,Holidays),"DUE TOMORROW",IF($Z434=4,"ESCALATED TO LOCAL OFFICE",IF($Z434=5,"ESCALATED TO CBE",IF($AA434=TODAY(),"EMAIL SENT","MONITORING"))))))))))</f>
        <v/>
      </c>
      <c r="V434" s="17">
        <f>IF($U434="",IF(AND(COUNTA($A434:$L434)&gt;0,$N434=""),"Awaiting Collection Email time stamp.",""),IF(OR($U434="PAID",$U434="CLOSED"),IF($U434="PAID","Account paid. Action completed.","Account closed. No further action required."),CHOOSE($Z434,"Collection Email","1st Email Follow-up","2nd Email Follow-up","Escalation to Local Office","Escalation to CBE","Escalation to Roxanne")&amp;" sent "&amp;TEXT($AA434,"dd-mmm")&amp;". "&amp;IF($Z434=6,"Final escalation completed.",IF($U434="OVERDUE","Next: "&amp;$AC434&amp;" was due "&amp;TEXT($AB434,"dd-mmm")&amp;" - "&amp;(NETWORKDAYS($AB434,TODAY(),Holidays)-1)&amp;" business day(s) late. Send now.",IF($U434="DUE TOMORROW","Next: "&amp;$AC434&amp;IF($AB434&lt;=TODAY()," is due TODAY ("," is due next business day (")&amp;TEXT($AB434,"dd-mmm")&amp;").","Next: "&amp;$AC434&amp;" due "&amp;TEXT($AB434,"dd-mmm")&amp;" ("&amp;(NETWORKDAYS(TODAY(),$AB434,Holidays)-1)&amp;" business day(s) left).")))))</f>
        <v/>
      </c>
      <c r="W434" s="17">
        <f>IF($Z434="","",CHOOSE($Z434,"Collection Email","1st Follow-up","2nd Follow-up","Local Office","CBE","Roxanne")&amp;IF($Z434=6," - Final"," - Day "&amp;MAX(0,NETWORKDAYS($AA434,TODAY(),Holidays)-1)&amp;" of "&amp;CHOOSE($Z434,3,3,2,2,3))&amp;" | Total Day "&amp;MAX(0,NETWORKDAYS($N434,TODAY(),Holidays)-1))</f>
        <v/>
      </c>
      <c r="X434" s="18"/>
      <c r="Y434" s="18"/>
      <c r="Z434" s="17">
        <f>IF($N434="","",COUNT($N434:$S434))</f>
        <v/>
      </c>
      <c r="AA434" s="19">
        <f>IF($Z434="","",INT(INDEX($N434:$S434,$Z434)))</f>
        <v/>
      </c>
      <c r="AB434" s="19">
        <f>IF(OR($Z434="",$Z434=6),"",WORKDAY($AA434,CHOOSE($Z434,3,3,2,2,3),Holidays))</f>
        <v/>
      </c>
      <c r="AC434" s="17">
        <f>IF(OR($Z434="",$Z434=6),"",CHOOSE($Z434,"1st Email Follow-up","2nd Email Follow-up","Escalate Local Office","Escalate to CBE","Escalate to Roxanne"))</f>
        <v/>
      </c>
    </row>
    <row r="435" spans="13:29">
      <c r="M435" s="14"/>
      <c r="T435" s="16"/>
      <c r="U435" s="17">
        <f>IF(AND(COUNTA($A435:$L435)=0,$N435=""),"",IF($T435="Paid","PAID",IF($T435="Closed","CLOSED",IF($Z435="","",IF($Z435=6,"ESCALATED TO ROXANNE",IF(TODAY()&gt;$AB435,"OVERDUE",IF($AB435&lt;=WORKDAY(TODAY(),1,Holidays),"DUE TOMORROW",IF($Z435=4,"ESCALATED TO LOCAL OFFICE",IF($Z435=5,"ESCALATED TO CBE",IF($AA435=TODAY(),"EMAIL SENT","MONITORING"))))))))))</f>
        <v/>
      </c>
      <c r="V435" s="17">
        <f>IF($U435="",IF(AND(COUNTA($A435:$L435)&gt;0,$N435=""),"Awaiting Collection Email time stamp.",""),IF(OR($U435="PAID",$U435="CLOSED"),IF($U435="PAID","Account paid. Action completed.","Account closed. No further action required."),CHOOSE($Z435,"Collection Email","1st Email Follow-up","2nd Email Follow-up","Escalation to Local Office","Escalation to CBE","Escalation to Roxanne")&amp;" sent "&amp;TEXT($AA435,"dd-mmm")&amp;". "&amp;IF($Z435=6,"Final escalation completed.",IF($U435="OVERDUE","Next: "&amp;$AC435&amp;" was due "&amp;TEXT($AB435,"dd-mmm")&amp;" - "&amp;(NETWORKDAYS($AB435,TODAY(),Holidays)-1)&amp;" business day(s) late. Send now.",IF($U435="DUE TOMORROW","Next: "&amp;$AC435&amp;IF($AB435&lt;=TODAY()," is due TODAY ("," is due next business day (")&amp;TEXT($AB435,"dd-mmm")&amp;").","Next: "&amp;$AC435&amp;" due "&amp;TEXT($AB435,"dd-mmm")&amp;" ("&amp;(NETWORKDAYS(TODAY(),$AB435,Holidays)-1)&amp;" business day(s) left).")))))</f>
        <v/>
      </c>
      <c r="W435" s="17">
        <f>IF($Z435="","",CHOOSE($Z435,"Collection Email","1st Follow-up","2nd Follow-up","Local Office","CBE","Roxanne")&amp;IF($Z435=6," - Final"," - Day "&amp;MAX(0,NETWORKDAYS($AA435,TODAY(),Holidays)-1)&amp;" of "&amp;CHOOSE($Z435,3,3,2,2,3))&amp;" | Total Day "&amp;MAX(0,NETWORKDAYS($N435,TODAY(),Holidays)-1))</f>
        <v/>
      </c>
      <c r="X435" s="18"/>
      <c r="Y435" s="18"/>
      <c r="Z435" s="17">
        <f>IF($N435="","",COUNT($N435:$S435))</f>
        <v/>
      </c>
      <c r="AA435" s="19">
        <f>IF($Z435="","",INT(INDEX($N435:$S435,$Z435)))</f>
        <v/>
      </c>
      <c r="AB435" s="19">
        <f>IF(OR($Z435="",$Z435=6),"",WORKDAY($AA435,CHOOSE($Z435,3,3,2,2,3),Holidays))</f>
        <v/>
      </c>
      <c r="AC435" s="17">
        <f>IF(OR($Z435="",$Z435=6),"",CHOOSE($Z435,"1st Email Follow-up","2nd Email Follow-up","Escalate Local Office","Escalate to CBE","Escalate to Roxanne"))</f>
        <v/>
      </c>
    </row>
    <row r="436" spans="13:29">
      <c r="M436" s="14"/>
      <c r="T436" s="16"/>
      <c r="U436" s="17">
        <f>IF(AND(COUNTA($A436:$L436)=0,$N436=""),"",IF($T436="Paid","PAID",IF($T436="Closed","CLOSED",IF($Z436="","",IF($Z436=6,"ESCALATED TO ROXANNE",IF(TODAY()&gt;$AB436,"OVERDUE",IF($AB436&lt;=WORKDAY(TODAY(),1,Holidays),"DUE TOMORROW",IF($Z436=4,"ESCALATED TO LOCAL OFFICE",IF($Z436=5,"ESCALATED TO CBE",IF($AA436=TODAY(),"EMAIL SENT","MONITORING"))))))))))</f>
        <v/>
      </c>
      <c r="V436" s="17">
        <f>IF($U436="",IF(AND(COUNTA($A436:$L436)&gt;0,$N436=""),"Awaiting Collection Email time stamp.",""),IF(OR($U436="PAID",$U436="CLOSED"),IF($U436="PAID","Account paid. Action completed.","Account closed. No further action required."),CHOOSE($Z436,"Collection Email","1st Email Follow-up","2nd Email Follow-up","Escalation to Local Office","Escalation to CBE","Escalation to Roxanne")&amp;" sent "&amp;TEXT($AA436,"dd-mmm")&amp;". "&amp;IF($Z436=6,"Final escalation completed.",IF($U436="OVERDUE","Next: "&amp;$AC436&amp;" was due "&amp;TEXT($AB436,"dd-mmm")&amp;" - "&amp;(NETWORKDAYS($AB436,TODAY(),Holidays)-1)&amp;" business day(s) late. Send now.",IF($U436="DUE TOMORROW","Next: "&amp;$AC436&amp;IF($AB436&lt;=TODAY()," is due TODAY ("," is due next business day (")&amp;TEXT($AB436,"dd-mmm")&amp;").","Next: "&amp;$AC436&amp;" due "&amp;TEXT($AB436,"dd-mmm")&amp;" ("&amp;(NETWORKDAYS(TODAY(),$AB436,Holidays)-1)&amp;" business day(s) left).")))))</f>
        <v/>
      </c>
      <c r="W436" s="17">
        <f>IF($Z436="","",CHOOSE($Z436,"Collection Email","1st Follow-up","2nd Follow-up","Local Office","CBE","Roxanne")&amp;IF($Z436=6," - Final"," - Day "&amp;MAX(0,NETWORKDAYS($AA436,TODAY(),Holidays)-1)&amp;" of "&amp;CHOOSE($Z436,3,3,2,2,3))&amp;" | Total Day "&amp;MAX(0,NETWORKDAYS($N436,TODAY(),Holidays)-1))</f>
        <v/>
      </c>
      <c r="X436" s="18"/>
      <c r="Y436" s="18"/>
      <c r="Z436" s="17">
        <f>IF($N436="","",COUNT($N436:$S436))</f>
        <v/>
      </c>
      <c r="AA436" s="19">
        <f>IF($Z436="","",INT(INDEX($N436:$S436,$Z436)))</f>
        <v/>
      </c>
      <c r="AB436" s="19">
        <f>IF(OR($Z436="",$Z436=6),"",WORKDAY($AA436,CHOOSE($Z436,3,3,2,2,3),Holidays))</f>
        <v/>
      </c>
      <c r="AC436" s="17">
        <f>IF(OR($Z436="",$Z436=6),"",CHOOSE($Z436,"1st Email Follow-up","2nd Email Follow-up","Escalate Local Office","Escalate to CBE","Escalate to Roxanne"))</f>
        <v/>
      </c>
    </row>
    <row r="437" spans="13:29">
      <c r="M437" s="14"/>
      <c r="T437" s="16"/>
      <c r="U437" s="17">
        <f>IF(AND(COUNTA($A437:$L437)=0,$N437=""),"",IF($T437="Paid","PAID",IF($T437="Closed","CLOSED",IF($Z437="","",IF($Z437=6,"ESCALATED TO ROXANNE",IF(TODAY()&gt;$AB437,"OVERDUE",IF($AB437&lt;=WORKDAY(TODAY(),1,Holidays),"DUE TOMORROW",IF($Z437=4,"ESCALATED TO LOCAL OFFICE",IF($Z437=5,"ESCALATED TO CBE",IF($AA437=TODAY(),"EMAIL SENT","MONITORING"))))))))))</f>
        <v/>
      </c>
      <c r="V437" s="17">
        <f>IF($U437="",IF(AND(COUNTA($A437:$L437)&gt;0,$N437=""),"Awaiting Collection Email time stamp.",""),IF(OR($U437="PAID",$U437="CLOSED"),IF($U437="PAID","Account paid. Action completed.","Account closed. No further action required."),CHOOSE($Z437,"Collection Email","1st Email Follow-up","2nd Email Follow-up","Escalation to Local Office","Escalation to CBE","Escalation to Roxanne")&amp;" sent "&amp;TEXT($AA437,"dd-mmm")&amp;". "&amp;IF($Z437=6,"Final escalation completed.",IF($U437="OVERDUE","Next: "&amp;$AC437&amp;" was due "&amp;TEXT($AB437,"dd-mmm")&amp;" - "&amp;(NETWORKDAYS($AB437,TODAY(),Holidays)-1)&amp;" business day(s) late. Send now.",IF($U437="DUE TOMORROW","Next: "&amp;$AC437&amp;IF($AB437&lt;=TODAY()," is due TODAY ("," is due next business day (")&amp;TEXT($AB437,"dd-mmm")&amp;").","Next: "&amp;$AC437&amp;" due "&amp;TEXT($AB437,"dd-mmm")&amp;" ("&amp;(NETWORKDAYS(TODAY(),$AB437,Holidays)-1)&amp;" business day(s) left).")))))</f>
        <v/>
      </c>
      <c r="W437" s="17">
        <f>IF($Z437="","",CHOOSE($Z437,"Collection Email","1st Follow-up","2nd Follow-up","Local Office","CBE","Roxanne")&amp;IF($Z437=6," - Final"," - Day "&amp;MAX(0,NETWORKDAYS($AA437,TODAY(),Holidays)-1)&amp;" of "&amp;CHOOSE($Z437,3,3,2,2,3))&amp;" | Total Day "&amp;MAX(0,NETWORKDAYS($N437,TODAY(),Holidays)-1))</f>
        <v/>
      </c>
      <c r="X437" s="18"/>
      <c r="Y437" s="18"/>
      <c r="Z437" s="17">
        <f>IF($N437="","",COUNT($N437:$S437))</f>
        <v/>
      </c>
      <c r="AA437" s="19">
        <f>IF($Z437="","",INT(INDEX($N437:$S437,$Z437)))</f>
        <v/>
      </c>
      <c r="AB437" s="19">
        <f>IF(OR($Z437="",$Z437=6),"",WORKDAY($AA437,CHOOSE($Z437,3,3,2,2,3),Holidays))</f>
        <v/>
      </c>
      <c r="AC437" s="17">
        <f>IF(OR($Z437="",$Z437=6),"",CHOOSE($Z437,"1st Email Follow-up","2nd Email Follow-up","Escalate Local Office","Escalate to CBE","Escalate to Roxanne"))</f>
        <v/>
      </c>
    </row>
    <row r="438" spans="13:29">
      <c r="M438" s="14"/>
      <c r="T438" s="16"/>
      <c r="U438" s="17">
        <f>IF(AND(COUNTA($A438:$L438)=0,$N438=""),"",IF($T438="Paid","PAID",IF($T438="Closed","CLOSED",IF($Z438="","",IF($Z438=6,"ESCALATED TO ROXANNE",IF(TODAY()&gt;$AB438,"OVERDUE",IF($AB438&lt;=WORKDAY(TODAY(),1,Holidays),"DUE TOMORROW",IF($Z438=4,"ESCALATED TO LOCAL OFFICE",IF($Z438=5,"ESCALATED TO CBE",IF($AA438=TODAY(),"EMAIL SENT","MONITORING"))))))))))</f>
        <v/>
      </c>
      <c r="V438" s="17">
        <f>IF($U438="",IF(AND(COUNTA($A438:$L438)&gt;0,$N438=""),"Awaiting Collection Email time stamp.",""),IF(OR($U438="PAID",$U438="CLOSED"),IF($U438="PAID","Account paid. Action completed.","Account closed. No further action required."),CHOOSE($Z438,"Collection Email","1st Email Follow-up","2nd Email Follow-up","Escalation to Local Office","Escalation to CBE","Escalation to Roxanne")&amp;" sent "&amp;TEXT($AA438,"dd-mmm")&amp;". "&amp;IF($Z438=6,"Final escalation completed.",IF($U438="OVERDUE","Next: "&amp;$AC438&amp;" was due "&amp;TEXT($AB438,"dd-mmm")&amp;" - "&amp;(NETWORKDAYS($AB438,TODAY(),Holidays)-1)&amp;" business day(s) late. Send now.",IF($U438="DUE TOMORROW","Next: "&amp;$AC438&amp;IF($AB438&lt;=TODAY()," is due TODAY ("," is due next business day (")&amp;TEXT($AB438,"dd-mmm")&amp;").","Next: "&amp;$AC438&amp;" due "&amp;TEXT($AB438,"dd-mmm")&amp;" ("&amp;(NETWORKDAYS(TODAY(),$AB438,Holidays)-1)&amp;" business day(s) left).")))))</f>
        <v/>
      </c>
      <c r="W438" s="17">
        <f>IF($Z438="","",CHOOSE($Z438,"Collection Email","1st Follow-up","2nd Follow-up","Local Office","CBE","Roxanne")&amp;IF($Z438=6," - Final"," - Day "&amp;MAX(0,NETWORKDAYS($AA438,TODAY(),Holidays)-1)&amp;" of "&amp;CHOOSE($Z438,3,3,2,2,3))&amp;" | Total Day "&amp;MAX(0,NETWORKDAYS($N438,TODAY(),Holidays)-1))</f>
        <v/>
      </c>
      <c r="X438" s="18"/>
      <c r="Y438" s="18"/>
      <c r="Z438" s="17">
        <f>IF($N438="","",COUNT($N438:$S438))</f>
        <v/>
      </c>
      <c r="AA438" s="19">
        <f>IF($Z438="","",INT(INDEX($N438:$S438,$Z438)))</f>
        <v/>
      </c>
      <c r="AB438" s="19">
        <f>IF(OR($Z438="",$Z438=6),"",WORKDAY($AA438,CHOOSE($Z438,3,3,2,2,3),Holidays))</f>
        <v/>
      </c>
      <c r="AC438" s="17">
        <f>IF(OR($Z438="",$Z438=6),"",CHOOSE($Z438,"1st Email Follow-up","2nd Email Follow-up","Escalate Local Office","Escalate to CBE","Escalate to Roxanne"))</f>
        <v/>
      </c>
    </row>
    <row r="439" spans="13:29">
      <c r="M439" s="14"/>
      <c r="T439" s="16"/>
      <c r="U439" s="17">
        <f>IF(AND(COUNTA($A439:$L439)=0,$N439=""),"",IF($T439="Paid","PAID",IF($T439="Closed","CLOSED",IF($Z439="","",IF($Z439=6,"ESCALATED TO ROXANNE",IF(TODAY()&gt;$AB439,"OVERDUE",IF($AB439&lt;=WORKDAY(TODAY(),1,Holidays),"DUE TOMORROW",IF($Z439=4,"ESCALATED TO LOCAL OFFICE",IF($Z439=5,"ESCALATED TO CBE",IF($AA439=TODAY(),"EMAIL SENT","MONITORING"))))))))))</f>
        <v/>
      </c>
      <c r="V439" s="17">
        <f>IF($U439="",IF(AND(COUNTA($A439:$L439)&gt;0,$N439=""),"Awaiting Collection Email time stamp.",""),IF(OR($U439="PAID",$U439="CLOSED"),IF($U439="PAID","Account paid. Action completed.","Account closed. No further action required."),CHOOSE($Z439,"Collection Email","1st Email Follow-up","2nd Email Follow-up","Escalation to Local Office","Escalation to CBE","Escalation to Roxanne")&amp;" sent "&amp;TEXT($AA439,"dd-mmm")&amp;". "&amp;IF($Z439=6,"Final escalation completed.",IF($U439="OVERDUE","Next: "&amp;$AC439&amp;" was due "&amp;TEXT($AB439,"dd-mmm")&amp;" - "&amp;(NETWORKDAYS($AB439,TODAY(),Holidays)-1)&amp;" business day(s) late. Send now.",IF($U439="DUE TOMORROW","Next: "&amp;$AC439&amp;IF($AB439&lt;=TODAY()," is due TODAY ("," is due next business day (")&amp;TEXT($AB439,"dd-mmm")&amp;").","Next: "&amp;$AC439&amp;" due "&amp;TEXT($AB439,"dd-mmm")&amp;" ("&amp;(NETWORKDAYS(TODAY(),$AB439,Holidays)-1)&amp;" business day(s) left).")))))</f>
        <v/>
      </c>
      <c r="W439" s="17">
        <f>IF($Z439="","",CHOOSE($Z439,"Collection Email","1st Follow-up","2nd Follow-up","Local Office","CBE","Roxanne")&amp;IF($Z439=6," - Final"," - Day "&amp;MAX(0,NETWORKDAYS($AA439,TODAY(),Holidays)-1)&amp;" of "&amp;CHOOSE($Z439,3,3,2,2,3))&amp;" | Total Day "&amp;MAX(0,NETWORKDAYS($N439,TODAY(),Holidays)-1))</f>
        <v/>
      </c>
      <c r="X439" s="18"/>
      <c r="Y439" s="18"/>
      <c r="Z439" s="17">
        <f>IF($N439="","",COUNT($N439:$S439))</f>
        <v/>
      </c>
      <c r="AA439" s="19">
        <f>IF($Z439="","",INT(INDEX($N439:$S439,$Z439)))</f>
        <v/>
      </c>
      <c r="AB439" s="19">
        <f>IF(OR($Z439="",$Z439=6),"",WORKDAY($AA439,CHOOSE($Z439,3,3,2,2,3),Holidays))</f>
        <v/>
      </c>
      <c r="AC439" s="17">
        <f>IF(OR($Z439="",$Z439=6),"",CHOOSE($Z439,"1st Email Follow-up","2nd Email Follow-up","Escalate Local Office","Escalate to CBE","Escalate to Roxanne"))</f>
        <v/>
      </c>
    </row>
    <row r="440" spans="13:29">
      <c r="M440" s="14"/>
      <c r="T440" s="16"/>
      <c r="U440" s="17">
        <f>IF(AND(COUNTA($A440:$L440)=0,$N440=""),"",IF($T440="Paid","PAID",IF($T440="Closed","CLOSED",IF($Z440="","",IF($Z440=6,"ESCALATED TO ROXANNE",IF(TODAY()&gt;$AB440,"OVERDUE",IF($AB440&lt;=WORKDAY(TODAY(),1,Holidays),"DUE TOMORROW",IF($Z440=4,"ESCALATED TO LOCAL OFFICE",IF($Z440=5,"ESCALATED TO CBE",IF($AA440=TODAY(),"EMAIL SENT","MONITORING"))))))))))</f>
        <v/>
      </c>
      <c r="V440" s="17">
        <f>IF($U440="",IF(AND(COUNTA($A440:$L440)&gt;0,$N440=""),"Awaiting Collection Email time stamp.",""),IF(OR($U440="PAID",$U440="CLOSED"),IF($U440="PAID","Account paid. Action completed.","Account closed. No further action required."),CHOOSE($Z440,"Collection Email","1st Email Follow-up","2nd Email Follow-up","Escalation to Local Office","Escalation to CBE","Escalation to Roxanne")&amp;" sent "&amp;TEXT($AA440,"dd-mmm")&amp;". "&amp;IF($Z440=6,"Final escalation completed.",IF($U440="OVERDUE","Next: "&amp;$AC440&amp;" was due "&amp;TEXT($AB440,"dd-mmm")&amp;" - "&amp;(NETWORKDAYS($AB440,TODAY(),Holidays)-1)&amp;" business day(s) late. Send now.",IF($U440="DUE TOMORROW","Next: "&amp;$AC440&amp;IF($AB440&lt;=TODAY()," is due TODAY ("," is due next business day (")&amp;TEXT($AB440,"dd-mmm")&amp;").","Next: "&amp;$AC440&amp;" due "&amp;TEXT($AB440,"dd-mmm")&amp;" ("&amp;(NETWORKDAYS(TODAY(),$AB440,Holidays)-1)&amp;" business day(s) left).")))))</f>
        <v/>
      </c>
      <c r="W440" s="17">
        <f>IF($Z440="","",CHOOSE($Z440,"Collection Email","1st Follow-up","2nd Follow-up","Local Office","CBE","Roxanne")&amp;IF($Z440=6," - Final"," - Day "&amp;MAX(0,NETWORKDAYS($AA440,TODAY(),Holidays)-1)&amp;" of "&amp;CHOOSE($Z440,3,3,2,2,3))&amp;" | Total Day "&amp;MAX(0,NETWORKDAYS($N440,TODAY(),Holidays)-1))</f>
        <v/>
      </c>
      <c r="X440" s="18"/>
      <c r="Y440" s="18"/>
      <c r="Z440" s="17">
        <f>IF($N440="","",COUNT($N440:$S440))</f>
        <v/>
      </c>
      <c r="AA440" s="19">
        <f>IF($Z440="","",INT(INDEX($N440:$S440,$Z440)))</f>
        <v/>
      </c>
      <c r="AB440" s="19">
        <f>IF(OR($Z440="",$Z440=6),"",WORKDAY($AA440,CHOOSE($Z440,3,3,2,2,3),Holidays))</f>
        <v/>
      </c>
      <c r="AC440" s="17">
        <f>IF(OR($Z440="",$Z440=6),"",CHOOSE($Z440,"1st Email Follow-up","2nd Email Follow-up","Escalate Local Office","Escalate to CBE","Escalate to Roxanne"))</f>
        <v/>
      </c>
    </row>
    <row r="441" spans="13:29">
      <c r="M441" s="14"/>
      <c r="T441" s="16"/>
      <c r="U441" s="17">
        <f>IF(AND(COUNTA($A441:$L441)=0,$N441=""),"",IF($T441="Paid","PAID",IF($T441="Closed","CLOSED",IF($Z441="","",IF($Z441=6,"ESCALATED TO ROXANNE",IF(TODAY()&gt;$AB441,"OVERDUE",IF($AB441&lt;=WORKDAY(TODAY(),1,Holidays),"DUE TOMORROW",IF($Z441=4,"ESCALATED TO LOCAL OFFICE",IF($Z441=5,"ESCALATED TO CBE",IF($AA441=TODAY(),"EMAIL SENT","MONITORING"))))))))))</f>
        <v/>
      </c>
      <c r="V441" s="17">
        <f>IF($U441="",IF(AND(COUNTA($A441:$L441)&gt;0,$N441=""),"Awaiting Collection Email time stamp.",""),IF(OR($U441="PAID",$U441="CLOSED"),IF($U441="PAID","Account paid. Action completed.","Account closed. No further action required."),CHOOSE($Z441,"Collection Email","1st Email Follow-up","2nd Email Follow-up","Escalation to Local Office","Escalation to CBE","Escalation to Roxanne")&amp;" sent "&amp;TEXT($AA441,"dd-mmm")&amp;". "&amp;IF($Z441=6,"Final escalation completed.",IF($U441="OVERDUE","Next: "&amp;$AC441&amp;" was due "&amp;TEXT($AB441,"dd-mmm")&amp;" - "&amp;(NETWORKDAYS($AB441,TODAY(),Holidays)-1)&amp;" business day(s) late. Send now.",IF($U441="DUE TOMORROW","Next: "&amp;$AC441&amp;IF($AB441&lt;=TODAY()," is due TODAY ("," is due next business day (")&amp;TEXT($AB441,"dd-mmm")&amp;").","Next: "&amp;$AC441&amp;" due "&amp;TEXT($AB441,"dd-mmm")&amp;" ("&amp;(NETWORKDAYS(TODAY(),$AB441,Holidays)-1)&amp;" business day(s) left).")))))</f>
        <v/>
      </c>
      <c r="W441" s="17">
        <f>IF($Z441="","",CHOOSE($Z441,"Collection Email","1st Follow-up","2nd Follow-up","Local Office","CBE","Roxanne")&amp;IF($Z441=6," - Final"," - Day "&amp;MAX(0,NETWORKDAYS($AA441,TODAY(),Holidays)-1)&amp;" of "&amp;CHOOSE($Z441,3,3,2,2,3))&amp;" | Total Day "&amp;MAX(0,NETWORKDAYS($N441,TODAY(),Holidays)-1))</f>
        <v/>
      </c>
      <c r="X441" s="18"/>
      <c r="Y441" s="18"/>
      <c r="Z441" s="17">
        <f>IF($N441="","",COUNT($N441:$S441))</f>
        <v/>
      </c>
      <c r="AA441" s="19">
        <f>IF($Z441="","",INT(INDEX($N441:$S441,$Z441)))</f>
        <v/>
      </c>
      <c r="AB441" s="19">
        <f>IF(OR($Z441="",$Z441=6),"",WORKDAY($AA441,CHOOSE($Z441,3,3,2,2,3),Holidays))</f>
        <v/>
      </c>
      <c r="AC441" s="17">
        <f>IF(OR($Z441="",$Z441=6),"",CHOOSE($Z441,"1st Email Follow-up","2nd Email Follow-up","Escalate Local Office","Escalate to CBE","Escalate to Roxanne"))</f>
        <v/>
      </c>
    </row>
    <row r="442" spans="13:29">
      <c r="M442" s="14"/>
      <c r="T442" s="16"/>
      <c r="U442" s="17">
        <f>IF(AND(COUNTA($A442:$L442)=0,$N442=""),"",IF($T442="Paid","PAID",IF($T442="Closed","CLOSED",IF($Z442="","",IF($Z442=6,"ESCALATED TO ROXANNE",IF(TODAY()&gt;$AB442,"OVERDUE",IF($AB442&lt;=WORKDAY(TODAY(),1,Holidays),"DUE TOMORROW",IF($Z442=4,"ESCALATED TO LOCAL OFFICE",IF($Z442=5,"ESCALATED TO CBE",IF($AA442=TODAY(),"EMAIL SENT","MONITORING"))))))))))</f>
        <v/>
      </c>
      <c r="V442" s="17">
        <f>IF($U442="",IF(AND(COUNTA($A442:$L442)&gt;0,$N442=""),"Awaiting Collection Email time stamp.",""),IF(OR($U442="PAID",$U442="CLOSED"),IF($U442="PAID","Account paid. Action completed.","Account closed. No further action required."),CHOOSE($Z442,"Collection Email","1st Email Follow-up","2nd Email Follow-up","Escalation to Local Office","Escalation to CBE","Escalation to Roxanne")&amp;" sent "&amp;TEXT($AA442,"dd-mmm")&amp;". "&amp;IF($Z442=6,"Final escalation completed.",IF($U442="OVERDUE","Next: "&amp;$AC442&amp;" was due "&amp;TEXT($AB442,"dd-mmm")&amp;" - "&amp;(NETWORKDAYS($AB442,TODAY(),Holidays)-1)&amp;" business day(s) late. Send now.",IF($U442="DUE TOMORROW","Next: "&amp;$AC442&amp;IF($AB442&lt;=TODAY()," is due TODAY ("," is due next business day (")&amp;TEXT($AB442,"dd-mmm")&amp;").","Next: "&amp;$AC442&amp;" due "&amp;TEXT($AB442,"dd-mmm")&amp;" ("&amp;(NETWORKDAYS(TODAY(),$AB442,Holidays)-1)&amp;" business day(s) left).")))))</f>
        <v/>
      </c>
      <c r="W442" s="17">
        <f>IF($Z442="","",CHOOSE($Z442,"Collection Email","1st Follow-up","2nd Follow-up","Local Office","CBE","Roxanne")&amp;IF($Z442=6," - Final"," - Day "&amp;MAX(0,NETWORKDAYS($AA442,TODAY(),Holidays)-1)&amp;" of "&amp;CHOOSE($Z442,3,3,2,2,3))&amp;" | Total Day "&amp;MAX(0,NETWORKDAYS($N442,TODAY(),Holidays)-1))</f>
        <v/>
      </c>
      <c r="X442" s="18"/>
      <c r="Y442" s="18"/>
      <c r="Z442" s="17">
        <f>IF($N442="","",COUNT($N442:$S442))</f>
        <v/>
      </c>
      <c r="AA442" s="19">
        <f>IF($Z442="","",INT(INDEX($N442:$S442,$Z442)))</f>
        <v/>
      </c>
      <c r="AB442" s="19">
        <f>IF(OR($Z442="",$Z442=6),"",WORKDAY($AA442,CHOOSE($Z442,3,3,2,2,3),Holidays))</f>
        <v/>
      </c>
      <c r="AC442" s="17">
        <f>IF(OR($Z442="",$Z442=6),"",CHOOSE($Z442,"1st Email Follow-up","2nd Email Follow-up","Escalate Local Office","Escalate to CBE","Escalate to Roxanne"))</f>
        <v/>
      </c>
    </row>
    <row r="443" spans="13:29">
      <c r="M443" s="14"/>
      <c r="T443" s="16"/>
      <c r="U443" s="17">
        <f>IF(AND(COUNTA($A443:$L443)=0,$N443=""),"",IF($T443="Paid","PAID",IF($T443="Closed","CLOSED",IF($Z443="","",IF($Z443=6,"ESCALATED TO ROXANNE",IF(TODAY()&gt;$AB443,"OVERDUE",IF($AB443&lt;=WORKDAY(TODAY(),1,Holidays),"DUE TOMORROW",IF($Z443=4,"ESCALATED TO LOCAL OFFICE",IF($Z443=5,"ESCALATED TO CBE",IF($AA443=TODAY(),"EMAIL SENT","MONITORING"))))))))))</f>
        <v/>
      </c>
      <c r="V443" s="17">
        <f>IF($U443="",IF(AND(COUNTA($A443:$L443)&gt;0,$N443=""),"Awaiting Collection Email time stamp.",""),IF(OR($U443="PAID",$U443="CLOSED"),IF($U443="PAID","Account paid. Action completed.","Account closed. No further action required."),CHOOSE($Z443,"Collection Email","1st Email Follow-up","2nd Email Follow-up","Escalation to Local Office","Escalation to CBE","Escalation to Roxanne")&amp;" sent "&amp;TEXT($AA443,"dd-mmm")&amp;". "&amp;IF($Z443=6,"Final escalation completed.",IF($U443="OVERDUE","Next: "&amp;$AC443&amp;" was due "&amp;TEXT($AB443,"dd-mmm")&amp;" - "&amp;(NETWORKDAYS($AB443,TODAY(),Holidays)-1)&amp;" business day(s) late. Send now.",IF($U443="DUE TOMORROW","Next: "&amp;$AC443&amp;IF($AB443&lt;=TODAY()," is due TODAY ("," is due next business day (")&amp;TEXT($AB443,"dd-mmm")&amp;").","Next: "&amp;$AC443&amp;" due "&amp;TEXT($AB443,"dd-mmm")&amp;" ("&amp;(NETWORKDAYS(TODAY(),$AB443,Holidays)-1)&amp;" business day(s) left).")))))</f>
        <v/>
      </c>
      <c r="W443" s="17">
        <f>IF($Z443="","",CHOOSE($Z443,"Collection Email","1st Follow-up","2nd Follow-up","Local Office","CBE","Roxanne")&amp;IF($Z443=6," - Final"," - Day "&amp;MAX(0,NETWORKDAYS($AA443,TODAY(),Holidays)-1)&amp;" of "&amp;CHOOSE($Z443,3,3,2,2,3))&amp;" | Total Day "&amp;MAX(0,NETWORKDAYS($N443,TODAY(),Holidays)-1))</f>
        <v/>
      </c>
      <c r="X443" s="18"/>
      <c r="Y443" s="18"/>
      <c r="Z443" s="17">
        <f>IF($N443="","",COUNT($N443:$S443))</f>
        <v/>
      </c>
      <c r="AA443" s="19">
        <f>IF($Z443="","",INT(INDEX($N443:$S443,$Z443)))</f>
        <v/>
      </c>
      <c r="AB443" s="19">
        <f>IF(OR($Z443="",$Z443=6),"",WORKDAY($AA443,CHOOSE($Z443,3,3,2,2,3),Holidays))</f>
        <v/>
      </c>
      <c r="AC443" s="17">
        <f>IF(OR($Z443="",$Z443=6),"",CHOOSE($Z443,"1st Email Follow-up","2nd Email Follow-up","Escalate Local Office","Escalate to CBE","Escalate to Roxanne"))</f>
        <v/>
      </c>
    </row>
    <row r="444" spans="13:29">
      <c r="M444" s="14"/>
      <c r="T444" s="16"/>
      <c r="U444" s="17">
        <f>IF(AND(COUNTA($A444:$L444)=0,$N444=""),"",IF($T444="Paid","PAID",IF($T444="Closed","CLOSED",IF($Z444="","",IF($Z444=6,"ESCALATED TO ROXANNE",IF(TODAY()&gt;$AB444,"OVERDUE",IF($AB444&lt;=WORKDAY(TODAY(),1,Holidays),"DUE TOMORROW",IF($Z444=4,"ESCALATED TO LOCAL OFFICE",IF($Z444=5,"ESCALATED TO CBE",IF($AA444=TODAY(),"EMAIL SENT","MONITORING"))))))))))</f>
        <v/>
      </c>
      <c r="V444" s="17">
        <f>IF($U444="",IF(AND(COUNTA($A444:$L444)&gt;0,$N444=""),"Awaiting Collection Email time stamp.",""),IF(OR($U444="PAID",$U444="CLOSED"),IF($U444="PAID","Account paid. Action completed.","Account closed. No further action required."),CHOOSE($Z444,"Collection Email","1st Email Follow-up","2nd Email Follow-up","Escalation to Local Office","Escalation to CBE","Escalation to Roxanne")&amp;" sent "&amp;TEXT($AA444,"dd-mmm")&amp;". "&amp;IF($Z444=6,"Final escalation completed.",IF($U444="OVERDUE","Next: "&amp;$AC444&amp;" was due "&amp;TEXT($AB444,"dd-mmm")&amp;" - "&amp;(NETWORKDAYS($AB444,TODAY(),Holidays)-1)&amp;" business day(s) late. Send now.",IF($U444="DUE TOMORROW","Next: "&amp;$AC444&amp;IF($AB444&lt;=TODAY()," is due TODAY ("," is due next business day (")&amp;TEXT($AB444,"dd-mmm")&amp;").","Next: "&amp;$AC444&amp;" due "&amp;TEXT($AB444,"dd-mmm")&amp;" ("&amp;(NETWORKDAYS(TODAY(),$AB444,Holidays)-1)&amp;" business day(s) left).")))))</f>
        <v/>
      </c>
      <c r="W444" s="17">
        <f>IF($Z444="","",CHOOSE($Z444,"Collection Email","1st Follow-up","2nd Follow-up","Local Office","CBE","Roxanne")&amp;IF($Z444=6," - Final"," - Day "&amp;MAX(0,NETWORKDAYS($AA444,TODAY(),Holidays)-1)&amp;" of "&amp;CHOOSE($Z444,3,3,2,2,3))&amp;" | Total Day "&amp;MAX(0,NETWORKDAYS($N444,TODAY(),Holidays)-1))</f>
        <v/>
      </c>
      <c r="X444" s="18"/>
      <c r="Y444" s="18"/>
      <c r="Z444" s="17">
        <f>IF($N444="","",COUNT($N444:$S444))</f>
        <v/>
      </c>
      <c r="AA444" s="19">
        <f>IF($Z444="","",INT(INDEX($N444:$S444,$Z444)))</f>
        <v/>
      </c>
      <c r="AB444" s="19">
        <f>IF(OR($Z444="",$Z444=6),"",WORKDAY($AA444,CHOOSE($Z444,3,3,2,2,3),Holidays))</f>
        <v/>
      </c>
      <c r="AC444" s="17">
        <f>IF(OR($Z444="",$Z444=6),"",CHOOSE($Z444,"1st Email Follow-up","2nd Email Follow-up","Escalate Local Office","Escalate to CBE","Escalate to Roxanne"))</f>
        <v/>
      </c>
    </row>
    <row r="445" spans="13:29">
      <c r="M445" s="14"/>
      <c r="T445" s="16"/>
      <c r="U445" s="17">
        <f>IF(AND(COUNTA($A445:$L445)=0,$N445=""),"",IF($T445="Paid","PAID",IF($T445="Closed","CLOSED",IF($Z445="","",IF($Z445=6,"ESCALATED TO ROXANNE",IF(TODAY()&gt;$AB445,"OVERDUE",IF($AB445&lt;=WORKDAY(TODAY(),1,Holidays),"DUE TOMORROW",IF($Z445=4,"ESCALATED TO LOCAL OFFICE",IF($Z445=5,"ESCALATED TO CBE",IF($AA445=TODAY(),"EMAIL SENT","MONITORING"))))))))))</f>
        <v/>
      </c>
      <c r="V445" s="17">
        <f>IF($U445="",IF(AND(COUNTA($A445:$L445)&gt;0,$N445=""),"Awaiting Collection Email time stamp.",""),IF(OR($U445="PAID",$U445="CLOSED"),IF($U445="PAID","Account paid. Action completed.","Account closed. No further action required."),CHOOSE($Z445,"Collection Email","1st Email Follow-up","2nd Email Follow-up","Escalation to Local Office","Escalation to CBE","Escalation to Roxanne")&amp;" sent "&amp;TEXT($AA445,"dd-mmm")&amp;". "&amp;IF($Z445=6,"Final escalation completed.",IF($U445="OVERDUE","Next: "&amp;$AC445&amp;" was due "&amp;TEXT($AB445,"dd-mmm")&amp;" - "&amp;(NETWORKDAYS($AB445,TODAY(),Holidays)-1)&amp;" business day(s) late. Send now.",IF($U445="DUE TOMORROW","Next: "&amp;$AC445&amp;IF($AB445&lt;=TODAY()," is due TODAY ("," is due next business day (")&amp;TEXT($AB445,"dd-mmm")&amp;").","Next: "&amp;$AC445&amp;" due "&amp;TEXT($AB445,"dd-mmm")&amp;" ("&amp;(NETWORKDAYS(TODAY(),$AB445,Holidays)-1)&amp;" business day(s) left).")))))</f>
        <v/>
      </c>
      <c r="W445" s="17">
        <f>IF($Z445="","",CHOOSE($Z445,"Collection Email","1st Follow-up","2nd Follow-up","Local Office","CBE","Roxanne")&amp;IF($Z445=6," - Final"," - Day "&amp;MAX(0,NETWORKDAYS($AA445,TODAY(),Holidays)-1)&amp;" of "&amp;CHOOSE($Z445,3,3,2,2,3))&amp;" | Total Day "&amp;MAX(0,NETWORKDAYS($N445,TODAY(),Holidays)-1))</f>
        <v/>
      </c>
      <c r="X445" s="18"/>
      <c r="Y445" s="18"/>
      <c r="Z445" s="17">
        <f>IF($N445="","",COUNT($N445:$S445))</f>
        <v/>
      </c>
      <c r="AA445" s="19">
        <f>IF($Z445="","",INT(INDEX($N445:$S445,$Z445)))</f>
        <v/>
      </c>
      <c r="AB445" s="19">
        <f>IF(OR($Z445="",$Z445=6),"",WORKDAY($AA445,CHOOSE($Z445,3,3,2,2,3),Holidays))</f>
        <v/>
      </c>
      <c r="AC445" s="17">
        <f>IF(OR($Z445="",$Z445=6),"",CHOOSE($Z445,"1st Email Follow-up","2nd Email Follow-up","Escalate Local Office","Escalate to CBE","Escalate to Roxanne"))</f>
        <v/>
      </c>
    </row>
    <row r="446" spans="13:29">
      <c r="M446" s="14"/>
      <c r="T446" s="16"/>
      <c r="U446" s="17">
        <f>IF(AND(COUNTA($A446:$L446)=0,$N446=""),"",IF($T446="Paid","PAID",IF($T446="Closed","CLOSED",IF($Z446="","",IF($Z446=6,"ESCALATED TO ROXANNE",IF(TODAY()&gt;$AB446,"OVERDUE",IF($AB446&lt;=WORKDAY(TODAY(),1,Holidays),"DUE TOMORROW",IF($Z446=4,"ESCALATED TO LOCAL OFFICE",IF($Z446=5,"ESCALATED TO CBE",IF($AA446=TODAY(),"EMAIL SENT","MONITORING"))))))))))</f>
        <v/>
      </c>
      <c r="V446" s="17">
        <f>IF($U446="",IF(AND(COUNTA($A446:$L446)&gt;0,$N446=""),"Awaiting Collection Email time stamp.",""),IF(OR($U446="PAID",$U446="CLOSED"),IF($U446="PAID","Account paid. Action completed.","Account closed. No further action required."),CHOOSE($Z446,"Collection Email","1st Email Follow-up","2nd Email Follow-up","Escalation to Local Office","Escalation to CBE","Escalation to Roxanne")&amp;" sent "&amp;TEXT($AA446,"dd-mmm")&amp;". "&amp;IF($Z446=6,"Final escalation completed.",IF($U446="OVERDUE","Next: "&amp;$AC446&amp;" was due "&amp;TEXT($AB446,"dd-mmm")&amp;" - "&amp;(NETWORKDAYS($AB446,TODAY(),Holidays)-1)&amp;" business day(s) late. Send now.",IF($U446="DUE TOMORROW","Next: "&amp;$AC446&amp;IF($AB446&lt;=TODAY()," is due TODAY ("," is due next business day (")&amp;TEXT($AB446,"dd-mmm")&amp;").","Next: "&amp;$AC446&amp;" due "&amp;TEXT($AB446,"dd-mmm")&amp;" ("&amp;(NETWORKDAYS(TODAY(),$AB446,Holidays)-1)&amp;" business day(s) left).")))))</f>
        <v/>
      </c>
      <c r="W446" s="17">
        <f>IF($Z446="","",CHOOSE($Z446,"Collection Email","1st Follow-up","2nd Follow-up","Local Office","CBE","Roxanne")&amp;IF($Z446=6," - Final"," - Day "&amp;MAX(0,NETWORKDAYS($AA446,TODAY(),Holidays)-1)&amp;" of "&amp;CHOOSE($Z446,3,3,2,2,3))&amp;" | Total Day "&amp;MAX(0,NETWORKDAYS($N446,TODAY(),Holidays)-1))</f>
        <v/>
      </c>
      <c r="X446" s="18"/>
      <c r="Y446" s="18"/>
      <c r="Z446" s="17">
        <f>IF($N446="","",COUNT($N446:$S446))</f>
        <v/>
      </c>
      <c r="AA446" s="19">
        <f>IF($Z446="","",INT(INDEX($N446:$S446,$Z446)))</f>
        <v/>
      </c>
      <c r="AB446" s="19">
        <f>IF(OR($Z446="",$Z446=6),"",WORKDAY($AA446,CHOOSE($Z446,3,3,2,2,3),Holidays))</f>
        <v/>
      </c>
      <c r="AC446" s="17">
        <f>IF(OR($Z446="",$Z446=6),"",CHOOSE($Z446,"1st Email Follow-up","2nd Email Follow-up","Escalate Local Office","Escalate to CBE","Escalate to Roxanne"))</f>
        <v/>
      </c>
    </row>
    <row r="447" spans="13:29">
      <c r="M447" s="14"/>
      <c r="T447" s="16"/>
      <c r="U447" s="17">
        <f>IF(AND(COUNTA($A447:$L447)=0,$N447=""),"",IF($T447="Paid","PAID",IF($T447="Closed","CLOSED",IF($Z447="","",IF($Z447=6,"ESCALATED TO ROXANNE",IF(TODAY()&gt;$AB447,"OVERDUE",IF($AB447&lt;=WORKDAY(TODAY(),1,Holidays),"DUE TOMORROW",IF($Z447=4,"ESCALATED TO LOCAL OFFICE",IF($Z447=5,"ESCALATED TO CBE",IF($AA447=TODAY(),"EMAIL SENT","MONITORING"))))))))))</f>
        <v/>
      </c>
      <c r="V447" s="17">
        <f>IF($U447="",IF(AND(COUNTA($A447:$L447)&gt;0,$N447=""),"Awaiting Collection Email time stamp.",""),IF(OR($U447="PAID",$U447="CLOSED"),IF($U447="PAID","Account paid. Action completed.","Account closed. No further action required."),CHOOSE($Z447,"Collection Email","1st Email Follow-up","2nd Email Follow-up","Escalation to Local Office","Escalation to CBE","Escalation to Roxanne")&amp;" sent "&amp;TEXT($AA447,"dd-mmm")&amp;". "&amp;IF($Z447=6,"Final escalation completed.",IF($U447="OVERDUE","Next: "&amp;$AC447&amp;" was due "&amp;TEXT($AB447,"dd-mmm")&amp;" - "&amp;(NETWORKDAYS($AB447,TODAY(),Holidays)-1)&amp;" business day(s) late. Send now.",IF($U447="DUE TOMORROW","Next: "&amp;$AC447&amp;IF($AB447&lt;=TODAY()," is due TODAY ("," is due next business day (")&amp;TEXT($AB447,"dd-mmm")&amp;").","Next: "&amp;$AC447&amp;" due "&amp;TEXT($AB447,"dd-mmm")&amp;" ("&amp;(NETWORKDAYS(TODAY(),$AB447,Holidays)-1)&amp;" business day(s) left).")))))</f>
        <v/>
      </c>
      <c r="W447" s="17">
        <f>IF($Z447="","",CHOOSE($Z447,"Collection Email","1st Follow-up","2nd Follow-up","Local Office","CBE","Roxanne")&amp;IF($Z447=6," - Final"," - Day "&amp;MAX(0,NETWORKDAYS($AA447,TODAY(),Holidays)-1)&amp;" of "&amp;CHOOSE($Z447,3,3,2,2,3))&amp;" | Total Day "&amp;MAX(0,NETWORKDAYS($N447,TODAY(),Holidays)-1))</f>
        <v/>
      </c>
      <c r="X447" s="18"/>
      <c r="Y447" s="18"/>
      <c r="Z447" s="17">
        <f>IF($N447="","",COUNT($N447:$S447))</f>
        <v/>
      </c>
      <c r="AA447" s="19">
        <f>IF($Z447="","",INT(INDEX($N447:$S447,$Z447)))</f>
        <v/>
      </c>
      <c r="AB447" s="19">
        <f>IF(OR($Z447="",$Z447=6),"",WORKDAY($AA447,CHOOSE($Z447,3,3,2,2,3),Holidays))</f>
        <v/>
      </c>
      <c r="AC447" s="17">
        <f>IF(OR($Z447="",$Z447=6),"",CHOOSE($Z447,"1st Email Follow-up","2nd Email Follow-up","Escalate Local Office","Escalate to CBE","Escalate to Roxanne"))</f>
        <v/>
      </c>
    </row>
    <row r="448" spans="13:29">
      <c r="M448" s="14"/>
      <c r="T448" s="16"/>
      <c r="U448" s="17">
        <f>IF(AND(COUNTA($A448:$L448)=0,$N448=""),"",IF($T448="Paid","PAID",IF($T448="Closed","CLOSED",IF($Z448="","",IF($Z448=6,"ESCALATED TO ROXANNE",IF(TODAY()&gt;$AB448,"OVERDUE",IF($AB448&lt;=WORKDAY(TODAY(),1,Holidays),"DUE TOMORROW",IF($Z448=4,"ESCALATED TO LOCAL OFFICE",IF($Z448=5,"ESCALATED TO CBE",IF($AA448=TODAY(),"EMAIL SENT","MONITORING"))))))))))</f>
        <v/>
      </c>
      <c r="V448" s="17">
        <f>IF($U448="",IF(AND(COUNTA($A448:$L448)&gt;0,$N448=""),"Awaiting Collection Email time stamp.",""),IF(OR($U448="PAID",$U448="CLOSED"),IF($U448="PAID","Account paid. Action completed.","Account closed. No further action required."),CHOOSE($Z448,"Collection Email","1st Email Follow-up","2nd Email Follow-up","Escalation to Local Office","Escalation to CBE","Escalation to Roxanne")&amp;" sent "&amp;TEXT($AA448,"dd-mmm")&amp;". "&amp;IF($Z448=6,"Final escalation completed.",IF($U448="OVERDUE","Next: "&amp;$AC448&amp;" was due "&amp;TEXT($AB448,"dd-mmm")&amp;" - "&amp;(NETWORKDAYS($AB448,TODAY(),Holidays)-1)&amp;" business day(s) late. Send now.",IF($U448="DUE TOMORROW","Next: "&amp;$AC448&amp;IF($AB448&lt;=TODAY()," is due TODAY ("," is due next business day (")&amp;TEXT($AB448,"dd-mmm")&amp;").","Next: "&amp;$AC448&amp;" due "&amp;TEXT($AB448,"dd-mmm")&amp;" ("&amp;(NETWORKDAYS(TODAY(),$AB448,Holidays)-1)&amp;" business day(s) left).")))))</f>
        <v/>
      </c>
      <c r="W448" s="17">
        <f>IF($Z448="","",CHOOSE($Z448,"Collection Email","1st Follow-up","2nd Follow-up","Local Office","CBE","Roxanne")&amp;IF($Z448=6," - Final"," - Day "&amp;MAX(0,NETWORKDAYS($AA448,TODAY(),Holidays)-1)&amp;" of "&amp;CHOOSE($Z448,3,3,2,2,3))&amp;" | Total Day "&amp;MAX(0,NETWORKDAYS($N448,TODAY(),Holidays)-1))</f>
        <v/>
      </c>
      <c r="X448" s="18"/>
      <c r="Y448" s="18"/>
      <c r="Z448" s="17">
        <f>IF($N448="","",COUNT($N448:$S448))</f>
        <v/>
      </c>
      <c r="AA448" s="19">
        <f>IF($Z448="","",INT(INDEX($N448:$S448,$Z448)))</f>
        <v/>
      </c>
      <c r="AB448" s="19">
        <f>IF(OR($Z448="",$Z448=6),"",WORKDAY($AA448,CHOOSE($Z448,3,3,2,2,3),Holidays))</f>
        <v/>
      </c>
      <c r="AC448" s="17">
        <f>IF(OR($Z448="",$Z448=6),"",CHOOSE($Z448,"1st Email Follow-up","2nd Email Follow-up","Escalate Local Office","Escalate to CBE","Escalate to Roxanne"))</f>
        <v/>
      </c>
    </row>
    <row r="449" spans="13:29">
      <c r="M449" s="14"/>
      <c r="T449" s="16"/>
      <c r="U449" s="17">
        <f>IF(AND(COUNTA($A449:$L449)=0,$N449=""),"",IF($T449="Paid","PAID",IF($T449="Closed","CLOSED",IF($Z449="","",IF($Z449=6,"ESCALATED TO ROXANNE",IF(TODAY()&gt;$AB449,"OVERDUE",IF($AB449&lt;=WORKDAY(TODAY(),1,Holidays),"DUE TOMORROW",IF($Z449=4,"ESCALATED TO LOCAL OFFICE",IF($Z449=5,"ESCALATED TO CBE",IF($AA449=TODAY(),"EMAIL SENT","MONITORING"))))))))))</f>
        <v/>
      </c>
      <c r="V449" s="17">
        <f>IF($U449="",IF(AND(COUNTA($A449:$L449)&gt;0,$N449=""),"Awaiting Collection Email time stamp.",""),IF(OR($U449="PAID",$U449="CLOSED"),IF($U449="PAID","Account paid. Action completed.","Account closed. No further action required."),CHOOSE($Z449,"Collection Email","1st Email Follow-up","2nd Email Follow-up","Escalation to Local Office","Escalation to CBE","Escalation to Roxanne")&amp;" sent "&amp;TEXT($AA449,"dd-mmm")&amp;". "&amp;IF($Z449=6,"Final escalation completed.",IF($U449="OVERDUE","Next: "&amp;$AC449&amp;" was due "&amp;TEXT($AB449,"dd-mmm")&amp;" - "&amp;(NETWORKDAYS($AB449,TODAY(),Holidays)-1)&amp;" business day(s) late. Send now.",IF($U449="DUE TOMORROW","Next: "&amp;$AC449&amp;IF($AB449&lt;=TODAY()," is due TODAY ("," is due next business day (")&amp;TEXT($AB449,"dd-mmm")&amp;").","Next: "&amp;$AC449&amp;" due "&amp;TEXT($AB449,"dd-mmm")&amp;" ("&amp;(NETWORKDAYS(TODAY(),$AB449,Holidays)-1)&amp;" business day(s) left).")))))</f>
        <v/>
      </c>
      <c r="W449" s="17">
        <f>IF($Z449="","",CHOOSE($Z449,"Collection Email","1st Follow-up","2nd Follow-up","Local Office","CBE","Roxanne")&amp;IF($Z449=6," - Final"," - Day "&amp;MAX(0,NETWORKDAYS($AA449,TODAY(),Holidays)-1)&amp;" of "&amp;CHOOSE($Z449,3,3,2,2,3))&amp;" | Total Day "&amp;MAX(0,NETWORKDAYS($N449,TODAY(),Holidays)-1))</f>
        <v/>
      </c>
      <c r="X449" s="18"/>
      <c r="Y449" s="18"/>
      <c r="Z449" s="17">
        <f>IF($N449="","",COUNT($N449:$S449))</f>
        <v/>
      </c>
      <c r="AA449" s="19">
        <f>IF($Z449="","",INT(INDEX($N449:$S449,$Z449)))</f>
        <v/>
      </c>
      <c r="AB449" s="19">
        <f>IF(OR($Z449="",$Z449=6),"",WORKDAY($AA449,CHOOSE($Z449,3,3,2,2,3),Holidays))</f>
        <v/>
      </c>
      <c r="AC449" s="17">
        <f>IF(OR($Z449="",$Z449=6),"",CHOOSE($Z449,"1st Email Follow-up","2nd Email Follow-up","Escalate Local Office","Escalate to CBE","Escalate to Roxanne"))</f>
        <v/>
      </c>
    </row>
    <row r="450" spans="13:29">
      <c r="M450" s="14"/>
      <c r="T450" s="16"/>
      <c r="U450" s="17">
        <f>IF(AND(COUNTA($A450:$L450)=0,$N450=""),"",IF($T450="Paid","PAID",IF($T450="Closed","CLOSED",IF($Z450="","",IF($Z450=6,"ESCALATED TO ROXANNE",IF(TODAY()&gt;$AB450,"OVERDUE",IF($AB450&lt;=WORKDAY(TODAY(),1,Holidays),"DUE TOMORROW",IF($Z450=4,"ESCALATED TO LOCAL OFFICE",IF($Z450=5,"ESCALATED TO CBE",IF($AA450=TODAY(),"EMAIL SENT","MONITORING"))))))))))</f>
        <v/>
      </c>
      <c r="V450" s="17">
        <f>IF($U450="",IF(AND(COUNTA($A450:$L450)&gt;0,$N450=""),"Awaiting Collection Email time stamp.",""),IF(OR($U450="PAID",$U450="CLOSED"),IF($U450="PAID","Account paid. Action completed.","Account closed. No further action required."),CHOOSE($Z450,"Collection Email","1st Email Follow-up","2nd Email Follow-up","Escalation to Local Office","Escalation to CBE","Escalation to Roxanne")&amp;" sent "&amp;TEXT($AA450,"dd-mmm")&amp;". "&amp;IF($Z450=6,"Final escalation completed.",IF($U450="OVERDUE","Next: "&amp;$AC450&amp;" was due "&amp;TEXT($AB450,"dd-mmm")&amp;" - "&amp;(NETWORKDAYS($AB450,TODAY(),Holidays)-1)&amp;" business day(s) late. Send now.",IF($U450="DUE TOMORROW","Next: "&amp;$AC450&amp;IF($AB450&lt;=TODAY()," is due TODAY ("," is due next business day (")&amp;TEXT($AB450,"dd-mmm")&amp;").","Next: "&amp;$AC450&amp;" due "&amp;TEXT($AB450,"dd-mmm")&amp;" ("&amp;(NETWORKDAYS(TODAY(),$AB450,Holidays)-1)&amp;" business day(s) left).")))))</f>
        <v/>
      </c>
      <c r="W450" s="17">
        <f>IF($Z450="","",CHOOSE($Z450,"Collection Email","1st Follow-up","2nd Follow-up","Local Office","CBE","Roxanne")&amp;IF($Z450=6," - Final"," - Day "&amp;MAX(0,NETWORKDAYS($AA450,TODAY(),Holidays)-1)&amp;" of "&amp;CHOOSE($Z450,3,3,2,2,3))&amp;" | Total Day "&amp;MAX(0,NETWORKDAYS($N450,TODAY(),Holidays)-1))</f>
        <v/>
      </c>
      <c r="X450" s="18"/>
      <c r="Y450" s="18"/>
      <c r="Z450" s="17">
        <f>IF($N450="","",COUNT($N450:$S450))</f>
        <v/>
      </c>
      <c r="AA450" s="19">
        <f>IF($Z450="","",INT(INDEX($N450:$S450,$Z450)))</f>
        <v/>
      </c>
      <c r="AB450" s="19">
        <f>IF(OR($Z450="",$Z450=6),"",WORKDAY($AA450,CHOOSE($Z450,3,3,2,2,3),Holidays))</f>
        <v/>
      </c>
      <c r="AC450" s="17">
        <f>IF(OR($Z450="",$Z450=6),"",CHOOSE($Z450,"1st Email Follow-up","2nd Email Follow-up","Escalate Local Office","Escalate to CBE","Escalate to Roxanne"))</f>
        <v/>
      </c>
    </row>
    <row r="451" spans="13:29">
      <c r="M451" s="14"/>
      <c r="T451" s="16"/>
      <c r="U451" s="17">
        <f>IF(AND(COUNTA($A451:$L451)=0,$N451=""),"",IF($T451="Paid","PAID",IF($T451="Closed","CLOSED",IF($Z451="","",IF($Z451=6,"ESCALATED TO ROXANNE",IF(TODAY()&gt;$AB451,"OVERDUE",IF($AB451&lt;=WORKDAY(TODAY(),1,Holidays),"DUE TOMORROW",IF($Z451=4,"ESCALATED TO LOCAL OFFICE",IF($Z451=5,"ESCALATED TO CBE",IF($AA451=TODAY(),"EMAIL SENT","MONITORING"))))))))))</f>
        <v/>
      </c>
      <c r="V451" s="17">
        <f>IF($U451="",IF(AND(COUNTA($A451:$L451)&gt;0,$N451=""),"Awaiting Collection Email time stamp.",""),IF(OR($U451="PAID",$U451="CLOSED"),IF($U451="PAID","Account paid. Action completed.","Account closed. No further action required."),CHOOSE($Z451,"Collection Email","1st Email Follow-up","2nd Email Follow-up","Escalation to Local Office","Escalation to CBE","Escalation to Roxanne")&amp;" sent "&amp;TEXT($AA451,"dd-mmm")&amp;". "&amp;IF($Z451=6,"Final escalation completed.",IF($U451="OVERDUE","Next: "&amp;$AC451&amp;" was due "&amp;TEXT($AB451,"dd-mmm")&amp;" - "&amp;(NETWORKDAYS($AB451,TODAY(),Holidays)-1)&amp;" business day(s) late. Send now.",IF($U451="DUE TOMORROW","Next: "&amp;$AC451&amp;IF($AB451&lt;=TODAY()," is due TODAY ("," is due next business day (")&amp;TEXT($AB451,"dd-mmm")&amp;").","Next: "&amp;$AC451&amp;" due "&amp;TEXT($AB451,"dd-mmm")&amp;" ("&amp;(NETWORKDAYS(TODAY(),$AB451,Holidays)-1)&amp;" business day(s) left).")))))</f>
        <v/>
      </c>
      <c r="W451" s="17">
        <f>IF($Z451="","",CHOOSE($Z451,"Collection Email","1st Follow-up","2nd Follow-up","Local Office","CBE","Roxanne")&amp;IF($Z451=6," - Final"," - Day "&amp;MAX(0,NETWORKDAYS($AA451,TODAY(),Holidays)-1)&amp;" of "&amp;CHOOSE($Z451,3,3,2,2,3))&amp;" | Total Day "&amp;MAX(0,NETWORKDAYS($N451,TODAY(),Holidays)-1))</f>
        <v/>
      </c>
      <c r="X451" s="18"/>
      <c r="Y451" s="18"/>
      <c r="Z451" s="17">
        <f>IF($N451="","",COUNT($N451:$S451))</f>
        <v/>
      </c>
      <c r="AA451" s="19">
        <f>IF($Z451="","",INT(INDEX($N451:$S451,$Z451)))</f>
        <v/>
      </c>
      <c r="AB451" s="19">
        <f>IF(OR($Z451="",$Z451=6),"",WORKDAY($AA451,CHOOSE($Z451,3,3,2,2,3),Holidays))</f>
        <v/>
      </c>
      <c r="AC451" s="17">
        <f>IF(OR($Z451="",$Z451=6),"",CHOOSE($Z451,"1st Email Follow-up","2nd Email Follow-up","Escalate Local Office","Escalate to CBE","Escalate to Roxanne"))</f>
        <v/>
      </c>
    </row>
    <row r="452" spans="13:29">
      <c r="M452" s="14"/>
      <c r="T452" s="16"/>
      <c r="U452" s="17">
        <f>IF(AND(COUNTA($A452:$L452)=0,$N452=""),"",IF($T452="Paid","PAID",IF($T452="Closed","CLOSED",IF($Z452="","",IF($Z452=6,"ESCALATED TO ROXANNE",IF(TODAY()&gt;$AB452,"OVERDUE",IF($AB452&lt;=WORKDAY(TODAY(),1,Holidays),"DUE TOMORROW",IF($Z452=4,"ESCALATED TO LOCAL OFFICE",IF($Z452=5,"ESCALATED TO CBE",IF($AA452=TODAY(),"EMAIL SENT","MONITORING"))))))))))</f>
        <v/>
      </c>
      <c r="V452" s="17">
        <f>IF($U452="",IF(AND(COUNTA($A452:$L452)&gt;0,$N452=""),"Awaiting Collection Email time stamp.",""),IF(OR($U452="PAID",$U452="CLOSED"),IF($U452="PAID","Account paid. Action completed.","Account closed. No further action required."),CHOOSE($Z452,"Collection Email","1st Email Follow-up","2nd Email Follow-up","Escalation to Local Office","Escalation to CBE","Escalation to Roxanne")&amp;" sent "&amp;TEXT($AA452,"dd-mmm")&amp;". "&amp;IF($Z452=6,"Final escalation completed.",IF($U452="OVERDUE","Next: "&amp;$AC452&amp;" was due "&amp;TEXT($AB452,"dd-mmm")&amp;" - "&amp;(NETWORKDAYS($AB452,TODAY(),Holidays)-1)&amp;" business day(s) late. Send now.",IF($U452="DUE TOMORROW","Next: "&amp;$AC452&amp;IF($AB452&lt;=TODAY()," is due TODAY ("," is due next business day (")&amp;TEXT($AB452,"dd-mmm")&amp;").","Next: "&amp;$AC452&amp;" due "&amp;TEXT($AB452,"dd-mmm")&amp;" ("&amp;(NETWORKDAYS(TODAY(),$AB452,Holidays)-1)&amp;" business day(s) left).")))))</f>
        <v/>
      </c>
      <c r="W452" s="17">
        <f>IF($Z452="","",CHOOSE($Z452,"Collection Email","1st Follow-up","2nd Follow-up","Local Office","CBE","Roxanne")&amp;IF($Z452=6," - Final"," - Day "&amp;MAX(0,NETWORKDAYS($AA452,TODAY(),Holidays)-1)&amp;" of "&amp;CHOOSE($Z452,3,3,2,2,3))&amp;" | Total Day "&amp;MAX(0,NETWORKDAYS($N452,TODAY(),Holidays)-1))</f>
        <v/>
      </c>
      <c r="X452" s="18"/>
      <c r="Y452" s="18"/>
      <c r="Z452" s="17">
        <f>IF($N452="","",COUNT($N452:$S452))</f>
        <v/>
      </c>
      <c r="AA452" s="19">
        <f>IF($Z452="","",INT(INDEX($N452:$S452,$Z452)))</f>
        <v/>
      </c>
      <c r="AB452" s="19">
        <f>IF(OR($Z452="",$Z452=6),"",WORKDAY($AA452,CHOOSE($Z452,3,3,2,2,3),Holidays))</f>
        <v/>
      </c>
      <c r="AC452" s="17">
        <f>IF(OR($Z452="",$Z452=6),"",CHOOSE($Z452,"1st Email Follow-up","2nd Email Follow-up","Escalate Local Office","Escalate to CBE","Escalate to Roxanne"))</f>
        <v/>
      </c>
    </row>
    <row r="453" spans="13:29">
      <c r="M453" s="14"/>
      <c r="T453" s="16"/>
      <c r="U453" s="17">
        <f>IF(AND(COUNTA($A453:$L453)=0,$N453=""),"",IF($T453="Paid","PAID",IF($T453="Closed","CLOSED",IF($Z453="","",IF($Z453=6,"ESCALATED TO ROXANNE",IF(TODAY()&gt;$AB453,"OVERDUE",IF($AB453&lt;=WORKDAY(TODAY(),1,Holidays),"DUE TOMORROW",IF($Z453=4,"ESCALATED TO LOCAL OFFICE",IF($Z453=5,"ESCALATED TO CBE",IF($AA453=TODAY(),"EMAIL SENT","MONITORING"))))))))))</f>
        <v/>
      </c>
      <c r="V453" s="17">
        <f>IF($U453="",IF(AND(COUNTA($A453:$L453)&gt;0,$N453=""),"Awaiting Collection Email time stamp.",""),IF(OR($U453="PAID",$U453="CLOSED"),IF($U453="PAID","Account paid. Action completed.","Account closed. No further action required."),CHOOSE($Z453,"Collection Email","1st Email Follow-up","2nd Email Follow-up","Escalation to Local Office","Escalation to CBE","Escalation to Roxanne")&amp;" sent "&amp;TEXT($AA453,"dd-mmm")&amp;". "&amp;IF($Z453=6,"Final escalation completed.",IF($U453="OVERDUE","Next: "&amp;$AC453&amp;" was due "&amp;TEXT($AB453,"dd-mmm")&amp;" - "&amp;(NETWORKDAYS($AB453,TODAY(),Holidays)-1)&amp;" business day(s) late. Send now.",IF($U453="DUE TOMORROW","Next: "&amp;$AC453&amp;IF($AB453&lt;=TODAY()," is due TODAY ("," is due next business day (")&amp;TEXT($AB453,"dd-mmm")&amp;").","Next: "&amp;$AC453&amp;" due "&amp;TEXT($AB453,"dd-mmm")&amp;" ("&amp;(NETWORKDAYS(TODAY(),$AB453,Holidays)-1)&amp;" business day(s) left).")))))</f>
        <v/>
      </c>
      <c r="W453" s="17">
        <f>IF($Z453="","",CHOOSE($Z453,"Collection Email","1st Follow-up","2nd Follow-up","Local Office","CBE","Roxanne")&amp;IF($Z453=6," - Final"," - Day "&amp;MAX(0,NETWORKDAYS($AA453,TODAY(),Holidays)-1)&amp;" of "&amp;CHOOSE($Z453,3,3,2,2,3))&amp;" | Total Day "&amp;MAX(0,NETWORKDAYS($N453,TODAY(),Holidays)-1))</f>
        <v/>
      </c>
      <c r="X453" s="18"/>
      <c r="Y453" s="18"/>
      <c r="Z453" s="17">
        <f>IF($N453="","",COUNT($N453:$S453))</f>
        <v/>
      </c>
      <c r="AA453" s="19">
        <f>IF($Z453="","",INT(INDEX($N453:$S453,$Z453)))</f>
        <v/>
      </c>
      <c r="AB453" s="19">
        <f>IF(OR($Z453="",$Z453=6),"",WORKDAY($AA453,CHOOSE($Z453,3,3,2,2,3),Holidays))</f>
        <v/>
      </c>
      <c r="AC453" s="17">
        <f>IF(OR($Z453="",$Z453=6),"",CHOOSE($Z453,"1st Email Follow-up","2nd Email Follow-up","Escalate Local Office","Escalate to CBE","Escalate to Roxanne"))</f>
        <v/>
      </c>
    </row>
    <row r="454" spans="13:29">
      <c r="M454" s="14"/>
      <c r="T454" s="16"/>
      <c r="U454" s="17">
        <f>IF(AND(COUNTA($A454:$L454)=0,$N454=""),"",IF($T454="Paid","PAID",IF($T454="Closed","CLOSED",IF($Z454="","",IF($Z454=6,"ESCALATED TO ROXANNE",IF(TODAY()&gt;$AB454,"OVERDUE",IF($AB454&lt;=WORKDAY(TODAY(),1,Holidays),"DUE TOMORROW",IF($Z454=4,"ESCALATED TO LOCAL OFFICE",IF($Z454=5,"ESCALATED TO CBE",IF($AA454=TODAY(),"EMAIL SENT","MONITORING"))))))))))</f>
        <v/>
      </c>
      <c r="V454" s="17">
        <f>IF($U454="",IF(AND(COUNTA($A454:$L454)&gt;0,$N454=""),"Awaiting Collection Email time stamp.",""),IF(OR($U454="PAID",$U454="CLOSED"),IF($U454="PAID","Account paid. Action completed.","Account closed. No further action required."),CHOOSE($Z454,"Collection Email","1st Email Follow-up","2nd Email Follow-up","Escalation to Local Office","Escalation to CBE","Escalation to Roxanne")&amp;" sent "&amp;TEXT($AA454,"dd-mmm")&amp;". "&amp;IF($Z454=6,"Final escalation completed.",IF($U454="OVERDUE","Next: "&amp;$AC454&amp;" was due "&amp;TEXT($AB454,"dd-mmm")&amp;" - "&amp;(NETWORKDAYS($AB454,TODAY(),Holidays)-1)&amp;" business day(s) late. Send now.",IF($U454="DUE TOMORROW","Next: "&amp;$AC454&amp;IF($AB454&lt;=TODAY()," is due TODAY ("," is due next business day (")&amp;TEXT($AB454,"dd-mmm")&amp;").","Next: "&amp;$AC454&amp;" due "&amp;TEXT($AB454,"dd-mmm")&amp;" ("&amp;(NETWORKDAYS(TODAY(),$AB454,Holidays)-1)&amp;" business day(s) left).")))))</f>
        <v/>
      </c>
      <c r="W454" s="17">
        <f>IF($Z454="","",CHOOSE($Z454,"Collection Email","1st Follow-up","2nd Follow-up","Local Office","CBE","Roxanne")&amp;IF($Z454=6," - Final"," - Day "&amp;MAX(0,NETWORKDAYS($AA454,TODAY(),Holidays)-1)&amp;" of "&amp;CHOOSE($Z454,3,3,2,2,3))&amp;" | Total Day "&amp;MAX(0,NETWORKDAYS($N454,TODAY(),Holidays)-1))</f>
        <v/>
      </c>
      <c r="X454" s="18"/>
      <c r="Y454" s="18"/>
      <c r="Z454" s="17">
        <f>IF($N454="","",COUNT($N454:$S454))</f>
        <v/>
      </c>
      <c r="AA454" s="19">
        <f>IF($Z454="","",INT(INDEX($N454:$S454,$Z454)))</f>
        <v/>
      </c>
      <c r="AB454" s="19">
        <f>IF(OR($Z454="",$Z454=6),"",WORKDAY($AA454,CHOOSE($Z454,3,3,2,2,3),Holidays))</f>
        <v/>
      </c>
      <c r="AC454" s="17">
        <f>IF(OR($Z454="",$Z454=6),"",CHOOSE($Z454,"1st Email Follow-up","2nd Email Follow-up","Escalate Local Office","Escalate to CBE","Escalate to Roxanne"))</f>
        <v/>
      </c>
    </row>
    <row r="455" spans="13:29">
      <c r="M455" s="14"/>
      <c r="T455" s="16"/>
      <c r="U455" s="17">
        <f>IF(AND(COUNTA($A455:$L455)=0,$N455=""),"",IF($T455="Paid","PAID",IF($T455="Closed","CLOSED",IF($Z455="","",IF($Z455=6,"ESCALATED TO ROXANNE",IF(TODAY()&gt;$AB455,"OVERDUE",IF($AB455&lt;=WORKDAY(TODAY(),1,Holidays),"DUE TOMORROW",IF($Z455=4,"ESCALATED TO LOCAL OFFICE",IF($Z455=5,"ESCALATED TO CBE",IF($AA455=TODAY(),"EMAIL SENT","MONITORING"))))))))))</f>
        <v/>
      </c>
      <c r="V455" s="17">
        <f>IF($U455="",IF(AND(COUNTA($A455:$L455)&gt;0,$N455=""),"Awaiting Collection Email time stamp.",""),IF(OR($U455="PAID",$U455="CLOSED"),IF($U455="PAID","Account paid. Action completed.","Account closed. No further action required."),CHOOSE($Z455,"Collection Email","1st Email Follow-up","2nd Email Follow-up","Escalation to Local Office","Escalation to CBE","Escalation to Roxanne")&amp;" sent "&amp;TEXT($AA455,"dd-mmm")&amp;". "&amp;IF($Z455=6,"Final escalation completed.",IF($U455="OVERDUE","Next: "&amp;$AC455&amp;" was due "&amp;TEXT($AB455,"dd-mmm")&amp;" - "&amp;(NETWORKDAYS($AB455,TODAY(),Holidays)-1)&amp;" business day(s) late. Send now.",IF($U455="DUE TOMORROW","Next: "&amp;$AC455&amp;IF($AB455&lt;=TODAY()," is due TODAY ("," is due next business day (")&amp;TEXT($AB455,"dd-mmm")&amp;").","Next: "&amp;$AC455&amp;" due "&amp;TEXT($AB455,"dd-mmm")&amp;" ("&amp;(NETWORKDAYS(TODAY(),$AB455,Holidays)-1)&amp;" business day(s) left).")))))</f>
        <v/>
      </c>
      <c r="W455" s="17">
        <f>IF($Z455="","",CHOOSE($Z455,"Collection Email","1st Follow-up","2nd Follow-up","Local Office","CBE","Roxanne")&amp;IF($Z455=6," - Final"," - Day "&amp;MAX(0,NETWORKDAYS($AA455,TODAY(),Holidays)-1)&amp;" of "&amp;CHOOSE($Z455,3,3,2,2,3))&amp;" | Total Day "&amp;MAX(0,NETWORKDAYS($N455,TODAY(),Holidays)-1))</f>
        <v/>
      </c>
      <c r="X455" s="18"/>
      <c r="Y455" s="18"/>
      <c r="Z455" s="17">
        <f>IF($N455="","",COUNT($N455:$S455))</f>
        <v/>
      </c>
      <c r="AA455" s="19">
        <f>IF($Z455="","",INT(INDEX($N455:$S455,$Z455)))</f>
        <v/>
      </c>
      <c r="AB455" s="19">
        <f>IF(OR($Z455="",$Z455=6),"",WORKDAY($AA455,CHOOSE($Z455,3,3,2,2,3),Holidays))</f>
        <v/>
      </c>
      <c r="AC455" s="17">
        <f>IF(OR($Z455="",$Z455=6),"",CHOOSE($Z455,"1st Email Follow-up","2nd Email Follow-up","Escalate Local Office","Escalate to CBE","Escalate to Roxanne"))</f>
        <v/>
      </c>
    </row>
    <row r="456" spans="13:29">
      <c r="M456" s="14"/>
      <c r="T456" s="16"/>
      <c r="U456" s="17">
        <f>IF(AND(COUNTA($A456:$L456)=0,$N456=""),"",IF($T456="Paid","PAID",IF($T456="Closed","CLOSED",IF($Z456="","",IF($Z456=6,"ESCALATED TO ROXANNE",IF(TODAY()&gt;$AB456,"OVERDUE",IF($AB456&lt;=WORKDAY(TODAY(),1,Holidays),"DUE TOMORROW",IF($Z456=4,"ESCALATED TO LOCAL OFFICE",IF($Z456=5,"ESCALATED TO CBE",IF($AA456=TODAY(),"EMAIL SENT","MONITORING"))))))))))</f>
        <v/>
      </c>
      <c r="V456" s="17">
        <f>IF($U456="",IF(AND(COUNTA($A456:$L456)&gt;0,$N456=""),"Awaiting Collection Email time stamp.",""),IF(OR($U456="PAID",$U456="CLOSED"),IF($U456="PAID","Account paid. Action completed.","Account closed. No further action required."),CHOOSE($Z456,"Collection Email","1st Email Follow-up","2nd Email Follow-up","Escalation to Local Office","Escalation to CBE","Escalation to Roxanne")&amp;" sent "&amp;TEXT($AA456,"dd-mmm")&amp;". "&amp;IF($Z456=6,"Final escalation completed.",IF($U456="OVERDUE","Next: "&amp;$AC456&amp;" was due "&amp;TEXT($AB456,"dd-mmm")&amp;" - "&amp;(NETWORKDAYS($AB456,TODAY(),Holidays)-1)&amp;" business day(s) late. Send now.",IF($U456="DUE TOMORROW","Next: "&amp;$AC456&amp;IF($AB456&lt;=TODAY()," is due TODAY ("," is due next business day (")&amp;TEXT($AB456,"dd-mmm")&amp;").","Next: "&amp;$AC456&amp;" due "&amp;TEXT($AB456,"dd-mmm")&amp;" ("&amp;(NETWORKDAYS(TODAY(),$AB456,Holidays)-1)&amp;" business day(s) left).")))))</f>
        <v/>
      </c>
      <c r="W456" s="17">
        <f>IF($Z456="","",CHOOSE($Z456,"Collection Email","1st Follow-up","2nd Follow-up","Local Office","CBE","Roxanne")&amp;IF($Z456=6," - Final"," - Day "&amp;MAX(0,NETWORKDAYS($AA456,TODAY(),Holidays)-1)&amp;" of "&amp;CHOOSE($Z456,3,3,2,2,3))&amp;" | Total Day "&amp;MAX(0,NETWORKDAYS($N456,TODAY(),Holidays)-1))</f>
        <v/>
      </c>
      <c r="X456" s="18"/>
      <c r="Y456" s="18"/>
      <c r="Z456" s="17">
        <f>IF($N456="","",COUNT($N456:$S456))</f>
        <v/>
      </c>
      <c r="AA456" s="19">
        <f>IF($Z456="","",INT(INDEX($N456:$S456,$Z456)))</f>
        <v/>
      </c>
      <c r="AB456" s="19">
        <f>IF(OR($Z456="",$Z456=6),"",WORKDAY($AA456,CHOOSE($Z456,3,3,2,2,3),Holidays))</f>
        <v/>
      </c>
      <c r="AC456" s="17">
        <f>IF(OR($Z456="",$Z456=6),"",CHOOSE($Z456,"1st Email Follow-up","2nd Email Follow-up","Escalate Local Office","Escalate to CBE","Escalate to Roxanne"))</f>
        <v/>
      </c>
    </row>
    <row r="457" spans="13:29">
      <c r="M457" s="14"/>
      <c r="T457" s="16"/>
      <c r="U457" s="17">
        <f>IF(AND(COUNTA($A457:$L457)=0,$N457=""),"",IF($T457="Paid","PAID",IF($T457="Closed","CLOSED",IF($Z457="","",IF($Z457=6,"ESCALATED TO ROXANNE",IF(TODAY()&gt;$AB457,"OVERDUE",IF($AB457&lt;=WORKDAY(TODAY(),1,Holidays),"DUE TOMORROW",IF($Z457=4,"ESCALATED TO LOCAL OFFICE",IF($Z457=5,"ESCALATED TO CBE",IF($AA457=TODAY(),"EMAIL SENT","MONITORING"))))))))))</f>
        <v/>
      </c>
      <c r="V457" s="17">
        <f>IF($U457="",IF(AND(COUNTA($A457:$L457)&gt;0,$N457=""),"Awaiting Collection Email time stamp.",""),IF(OR($U457="PAID",$U457="CLOSED"),IF($U457="PAID","Account paid. Action completed.","Account closed. No further action required."),CHOOSE($Z457,"Collection Email","1st Email Follow-up","2nd Email Follow-up","Escalation to Local Office","Escalation to CBE","Escalation to Roxanne")&amp;" sent "&amp;TEXT($AA457,"dd-mmm")&amp;". "&amp;IF($Z457=6,"Final escalation completed.",IF($U457="OVERDUE","Next: "&amp;$AC457&amp;" was due "&amp;TEXT($AB457,"dd-mmm")&amp;" - "&amp;(NETWORKDAYS($AB457,TODAY(),Holidays)-1)&amp;" business day(s) late. Send now.",IF($U457="DUE TOMORROW","Next: "&amp;$AC457&amp;IF($AB457&lt;=TODAY()," is due TODAY ("," is due next business day (")&amp;TEXT($AB457,"dd-mmm")&amp;").","Next: "&amp;$AC457&amp;" due "&amp;TEXT($AB457,"dd-mmm")&amp;" ("&amp;(NETWORKDAYS(TODAY(),$AB457,Holidays)-1)&amp;" business day(s) left).")))))</f>
        <v/>
      </c>
      <c r="W457" s="17">
        <f>IF($Z457="","",CHOOSE($Z457,"Collection Email","1st Follow-up","2nd Follow-up","Local Office","CBE","Roxanne")&amp;IF($Z457=6," - Final"," - Day "&amp;MAX(0,NETWORKDAYS($AA457,TODAY(),Holidays)-1)&amp;" of "&amp;CHOOSE($Z457,3,3,2,2,3))&amp;" | Total Day "&amp;MAX(0,NETWORKDAYS($N457,TODAY(),Holidays)-1))</f>
        <v/>
      </c>
      <c r="X457" s="18"/>
      <c r="Y457" s="18"/>
      <c r="Z457" s="17">
        <f>IF($N457="","",COUNT($N457:$S457))</f>
        <v/>
      </c>
      <c r="AA457" s="19">
        <f>IF($Z457="","",INT(INDEX($N457:$S457,$Z457)))</f>
        <v/>
      </c>
      <c r="AB457" s="19">
        <f>IF(OR($Z457="",$Z457=6),"",WORKDAY($AA457,CHOOSE($Z457,3,3,2,2,3),Holidays))</f>
        <v/>
      </c>
      <c r="AC457" s="17">
        <f>IF(OR($Z457="",$Z457=6),"",CHOOSE($Z457,"1st Email Follow-up","2nd Email Follow-up","Escalate Local Office","Escalate to CBE","Escalate to Roxanne"))</f>
        <v/>
      </c>
    </row>
    <row r="458" spans="13:29">
      <c r="M458" s="14"/>
      <c r="T458" s="16"/>
      <c r="U458" s="17">
        <f>IF(AND(COUNTA($A458:$L458)=0,$N458=""),"",IF($T458="Paid","PAID",IF($T458="Closed","CLOSED",IF($Z458="","",IF($Z458=6,"ESCALATED TO ROXANNE",IF(TODAY()&gt;$AB458,"OVERDUE",IF($AB458&lt;=WORKDAY(TODAY(),1,Holidays),"DUE TOMORROW",IF($Z458=4,"ESCALATED TO LOCAL OFFICE",IF($Z458=5,"ESCALATED TO CBE",IF($AA458=TODAY(),"EMAIL SENT","MONITORING"))))))))))</f>
        <v/>
      </c>
      <c r="V458" s="17">
        <f>IF($U458="",IF(AND(COUNTA($A458:$L458)&gt;0,$N458=""),"Awaiting Collection Email time stamp.",""),IF(OR($U458="PAID",$U458="CLOSED"),IF($U458="PAID","Account paid. Action completed.","Account closed. No further action required."),CHOOSE($Z458,"Collection Email","1st Email Follow-up","2nd Email Follow-up","Escalation to Local Office","Escalation to CBE","Escalation to Roxanne")&amp;" sent "&amp;TEXT($AA458,"dd-mmm")&amp;". "&amp;IF($Z458=6,"Final escalation completed.",IF($U458="OVERDUE","Next: "&amp;$AC458&amp;" was due "&amp;TEXT($AB458,"dd-mmm")&amp;" - "&amp;(NETWORKDAYS($AB458,TODAY(),Holidays)-1)&amp;" business day(s) late. Send now.",IF($U458="DUE TOMORROW","Next: "&amp;$AC458&amp;IF($AB458&lt;=TODAY()," is due TODAY ("," is due next business day (")&amp;TEXT($AB458,"dd-mmm")&amp;").","Next: "&amp;$AC458&amp;" due "&amp;TEXT($AB458,"dd-mmm")&amp;" ("&amp;(NETWORKDAYS(TODAY(),$AB458,Holidays)-1)&amp;" business day(s) left).")))))</f>
        <v/>
      </c>
      <c r="W458" s="17">
        <f>IF($Z458="","",CHOOSE($Z458,"Collection Email","1st Follow-up","2nd Follow-up","Local Office","CBE","Roxanne")&amp;IF($Z458=6," - Final"," - Day "&amp;MAX(0,NETWORKDAYS($AA458,TODAY(),Holidays)-1)&amp;" of "&amp;CHOOSE($Z458,3,3,2,2,3))&amp;" | Total Day "&amp;MAX(0,NETWORKDAYS($N458,TODAY(),Holidays)-1))</f>
        <v/>
      </c>
      <c r="X458" s="18"/>
      <c r="Y458" s="18"/>
      <c r="Z458" s="17">
        <f>IF($N458="","",COUNT($N458:$S458))</f>
        <v/>
      </c>
      <c r="AA458" s="19">
        <f>IF($Z458="","",INT(INDEX($N458:$S458,$Z458)))</f>
        <v/>
      </c>
      <c r="AB458" s="19">
        <f>IF(OR($Z458="",$Z458=6),"",WORKDAY($AA458,CHOOSE($Z458,3,3,2,2,3),Holidays))</f>
        <v/>
      </c>
      <c r="AC458" s="17">
        <f>IF(OR($Z458="",$Z458=6),"",CHOOSE($Z458,"1st Email Follow-up","2nd Email Follow-up","Escalate Local Office","Escalate to CBE","Escalate to Roxanne"))</f>
        <v/>
      </c>
    </row>
    <row r="459" spans="13:29">
      <c r="M459" s="14"/>
      <c r="T459" s="16"/>
      <c r="U459" s="17">
        <f>IF(AND(COUNTA($A459:$L459)=0,$N459=""),"",IF($T459="Paid","PAID",IF($T459="Closed","CLOSED",IF($Z459="","",IF($Z459=6,"ESCALATED TO ROXANNE",IF(TODAY()&gt;$AB459,"OVERDUE",IF($AB459&lt;=WORKDAY(TODAY(),1,Holidays),"DUE TOMORROW",IF($Z459=4,"ESCALATED TO LOCAL OFFICE",IF($Z459=5,"ESCALATED TO CBE",IF($AA459=TODAY(),"EMAIL SENT","MONITORING"))))))))))</f>
        <v/>
      </c>
      <c r="V459" s="17">
        <f>IF($U459="",IF(AND(COUNTA($A459:$L459)&gt;0,$N459=""),"Awaiting Collection Email time stamp.",""),IF(OR($U459="PAID",$U459="CLOSED"),IF($U459="PAID","Account paid. Action completed.","Account closed. No further action required."),CHOOSE($Z459,"Collection Email","1st Email Follow-up","2nd Email Follow-up","Escalation to Local Office","Escalation to CBE","Escalation to Roxanne")&amp;" sent "&amp;TEXT($AA459,"dd-mmm")&amp;". "&amp;IF($Z459=6,"Final escalation completed.",IF($U459="OVERDUE","Next: "&amp;$AC459&amp;" was due "&amp;TEXT($AB459,"dd-mmm")&amp;" - "&amp;(NETWORKDAYS($AB459,TODAY(),Holidays)-1)&amp;" business day(s) late. Send now.",IF($U459="DUE TOMORROW","Next: "&amp;$AC459&amp;IF($AB459&lt;=TODAY()," is due TODAY ("," is due next business day (")&amp;TEXT($AB459,"dd-mmm")&amp;").","Next: "&amp;$AC459&amp;" due "&amp;TEXT($AB459,"dd-mmm")&amp;" ("&amp;(NETWORKDAYS(TODAY(),$AB459,Holidays)-1)&amp;" business day(s) left).")))))</f>
        <v/>
      </c>
      <c r="W459" s="17">
        <f>IF($Z459="","",CHOOSE($Z459,"Collection Email","1st Follow-up","2nd Follow-up","Local Office","CBE","Roxanne")&amp;IF($Z459=6," - Final"," - Day "&amp;MAX(0,NETWORKDAYS($AA459,TODAY(),Holidays)-1)&amp;" of "&amp;CHOOSE($Z459,3,3,2,2,3))&amp;" | Total Day "&amp;MAX(0,NETWORKDAYS($N459,TODAY(),Holidays)-1))</f>
        <v/>
      </c>
      <c r="X459" s="18"/>
      <c r="Y459" s="18"/>
      <c r="Z459" s="17">
        <f>IF($N459="","",COUNT($N459:$S459))</f>
        <v/>
      </c>
      <c r="AA459" s="19">
        <f>IF($Z459="","",INT(INDEX($N459:$S459,$Z459)))</f>
        <v/>
      </c>
      <c r="AB459" s="19">
        <f>IF(OR($Z459="",$Z459=6),"",WORKDAY($AA459,CHOOSE($Z459,3,3,2,2,3),Holidays))</f>
        <v/>
      </c>
      <c r="AC459" s="17">
        <f>IF(OR($Z459="",$Z459=6),"",CHOOSE($Z459,"1st Email Follow-up","2nd Email Follow-up","Escalate Local Office","Escalate to CBE","Escalate to Roxanne"))</f>
        <v/>
      </c>
    </row>
    <row r="460" spans="13:29">
      <c r="M460" s="14"/>
      <c r="T460" s="16"/>
      <c r="U460" s="17">
        <f>IF(AND(COUNTA($A460:$L460)=0,$N460=""),"",IF($T460="Paid","PAID",IF($T460="Closed","CLOSED",IF($Z460="","",IF($Z460=6,"ESCALATED TO ROXANNE",IF(TODAY()&gt;$AB460,"OVERDUE",IF($AB460&lt;=WORKDAY(TODAY(),1,Holidays),"DUE TOMORROW",IF($Z460=4,"ESCALATED TO LOCAL OFFICE",IF($Z460=5,"ESCALATED TO CBE",IF($AA460=TODAY(),"EMAIL SENT","MONITORING"))))))))))</f>
        <v/>
      </c>
      <c r="V460" s="17">
        <f>IF($U460="",IF(AND(COUNTA($A460:$L460)&gt;0,$N460=""),"Awaiting Collection Email time stamp.",""),IF(OR($U460="PAID",$U460="CLOSED"),IF($U460="PAID","Account paid. Action completed.","Account closed. No further action required."),CHOOSE($Z460,"Collection Email","1st Email Follow-up","2nd Email Follow-up","Escalation to Local Office","Escalation to CBE","Escalation to Roxanne")&amp;" sent "&amp;TEXT($AA460,"dd-mmm")&amp;". "&amp;IF($Z460=6,"Final escalation completed.",IF($U460="OVERDUE","Next: "&amp;$AC460&amp;" was due "&amp;TEXT($AB460,"dd-mmm")&amp;" - "&amp;(NETWORKDAYS($AB460,TODAY(),Holidays)-1)&amp;" business day(s) late. Send now.",IF($U460="DUE TOMORROW","Next: "&amp;$AC460&amp;IF($AB460&lt;=TODAY()," is due TODAY ("," is due next business day (")&amp;TEXT($AB460,"dd-mmm")&amp;").","Next: "&amp;$AC460&amp;" due "&amp;TEXT($AB460,"dd-mmm")&amp;" ("&amp;(NETWORKDAYS(TODAY(),$AB460,Holidays)-1)&amp;" business day(s) left).")))))</f>
        <v/>
      </c>
      <c r="W460" s="17">
        <f>IF($Z460="","",CHOOSE($Z460,"Collection Email","1st Follow-up","2nd Follow-up","Local Office","CBE","Roxanne")&amp;IF($Z460=6," - Final"," - Day "&amp;MAX(0,NETWORKDAYS($AA460,TODAY(),Holidays)-1)&amp;" of "&amp;CHOOSE($Z460,3,3,2,2,3))&amp;" | Total Day "&amp;MAX(0,NETWORKDAYS($N460,TODAY(),Holidays)-1))</f>
        <v/>
      </c>
      <c r="X460" s="18"/>
      <c r="Y460" s="18"/>
      <c r="Z460" s="17">
        <f>IF($N460="","",COUNT($N460:$S460))</f>
        <v/>
      </c>
      <c r="AA460" s="19">
        <f>IF($Z460="","",INT(INDEX($N460:$S460,$Z460)))</f>
        <v/>
      </c>
      <c r="AB460" s="19">
        <f>IF(OR($Z460="",$Z460=6),"",WORKDAY($AA460,CHOOSE($Z460,3,3,2,2,3),Holidays))</f>
        <v/>
      </c>
      <c r="AC460" s="17">
        <f>IF(OR($Z460="",$Z460=6),"",CHOOSE($Z460,"1st Email Follow-up","2nd Email Follow-up","Escalate Local Office","Escalate to CBE","Escalate to Roxanne"))</f>
        <v/>
      </c>
    </row>
    <row r="461" spans="13:29">
      <c r="M461" s="14"/>
      <c r="T461" s="16"/>
      <c r="U461" s="17">
        <f>IF(AND(COUNTA($A461:$L461)=0,$N461=""),"",IF($T461="Paid","PAID",IF($T461="Closed","CLOSED",IF($Z461="","",IF($Z461=6,"ESCALATED TO ROXANNE",IF(TODAY()&gt;$AB461,"OVERDUE",IF($AB461&lt;=WORKDAY(TODAY(),1,Holidays),"DUE TOMORROW",IF($Z461=4,"ESCALATED TO LOCAL OFFICE",IF($Z461=5,"ESCALATED TO CBE",IF($AA461=TODAY(),"EMAIL SENT","MONITORING"))))))))))</f>
        <v/>
      </c>
      <c r="V461" s="17">
        <f>IF($U461="",IF(AND(COUNTA($A461:$L461)&gt;0,$N461=""),"Awaiting Collection Email time stamp.",""),IF(OR($U461="PAID",$U461="CLOSED"),IF($U461="PAID","Account paid. Action completed.","Account closed. No further action required."),CHOOSE($Z461,"Collection Email","1st Email Follow-up","2nd Email Follow-up","Escalation to Local Office","Escalation to CBE","Escalation to Roxanne")&amp;" sent "&amp;TEXT($AA461,"dd-mmm")&amp;". "&amp;IF($Z461=6,"Final escalation completed.",IF($U461="OVERDUE","Next: "&amp;$AC461&amp;" was due "&amp;TEXT($AB461,"dd-mmm")&amp;" - "&amp;(NETWORKDAYS($AB461,TODAY(),Holidays)-1)&amp;" business day(s) late. Send now.",IF($U461="DUE TOMORROW","Next: "&amp;$AC461&amp;IF($AB461&lt;=TODAY()," is due TODAY ("," is due next business day (")&amp;TEXT($AB461,"dd-mmm")&amp;").","Next: "&amp;$AC461&amp;" due "&amp;TEXT($AB461,"dd-mmm")&amp;" ("&amp;(NETWORKDAYS(TODAY(),$AB461,Holidays)-1)&amp;" business day(s) left).")))))</f>
        <v/>
      </c>
      <c r="W461" s="17">
        <f>IF($Z461="","",CHOOSE($Z461,"Collection Email","1st Follow-up","2nd Follow-up","Local Office","CBE","Roxanne")&amp;IF($Z461=6," - Final"," - Day "&amp;MAX(0,NETWORKDAYS($AA461,TODAY(),Holidays)-1)&amp;" of "&amp;CHOOSE($Z461,3,3,2,2,3))&amp;" | Total Day "&amp;MAX(0,NETWORKDAYS($N461,TODAY(),Holidays)-1))</f>
        <v/>
      </c>
      <c r="X461" s="18"/>
      <c r="Y461" s="18"/>
      <c r="Z461" s="17">
        <f>IF($N461="","",COUNT($N461:$S461))</f>
        <v/>
      </c>
      <c r="AA461" s="19">
        <f>IF($Z461="","",INT(INDEX($N461:$S461,$Z461)))</f>
        <v/>
      </c>
      <c r="AB461" s="19">
        <f>IF(OR($Z461="",$Z461=6),"",WORKDAY($AA461,CHOOSE($Z461,3,3,2,2,3),Holidays))</f>
        <v/>
      </c>
      <c r="AC461" s="17">
        <f>IF(OR($Z461="",$Z461=6),"",CHOOSE($Z461,"1st Email Follow-up","2nd Email Follow-up","Escalate Local Office","Escalate to CBE","Escalate to Roxanne"))</f>
        <v/>
      </c>
    </row>
    <row r="462" spans="13:29">
      <c r="M462" s="14"/>
      <c r="T462" s="16"/>
      <c r="U462" s="17">
        <f>IF(AND(COUNTA($A462:$L462)=0,$N462=""),"",IF($T462="Paid","PAID",IF($T462="Closed","CLOSED",IF($Z462="","",IF($Z462=6,"ESCALATED TO ROXANNE",IF(TODAY()&gt;$AB462,"OVERDUE",IF($AB462&lt;=WORKDAY(TODAY(),1,Holidays),"DUE TOMORROW",IF($Z462=4,"ESCALATED TO LOCAL OFFICE",IF($Z462=5,"ESCALATED TO CBE",IF($AA462=TODAY(),"EMAIL SENT","MONITORING"))))))))))</f>
        <v/>
      </c>
      <c r="V462" s="17">
        <f>IF($U462="",IF(AND(COUNTA($A462:$L462)&gt;0,$N462=""),"Awaiting Collection Email time stamp.",""),IF(OR($U462="PAID",$U462="CLOSED"),IF($U462="PAID","Account paid. Action completed.","Account closed. No further action required."),CHOOSE($Z462,"Collection Email","1st Email Follow-up","2nd Email Follow-up","Escalation to Local Office","Escalation to CBE","Escalation to Roxanne")&amp;" sent "&amp;TEXT($AA462,"dd-mmm")&amp;". "&amp;IF($Z462=6,"Final escalation completed.",IF($U462="OVERDUE","Next: "&amp;$AC462&amp;" was due "&amp;TEXT($AB462,"dd-mmm")&amp;" - "&amp;(NETWORKDAYS($AB462,TODAY(),Holidays)-1)&amp;" business day(s) late. Send now.",IF($U462="DUE TOMORROW","Next: "&amp;$AC462&amp;IF($AB462&lt;=TODAY()," is due TODAY ("," is due next business day (")&amp;TEXT($AB462,"dd-mmm")&amp;").","Next: "&amp;$AC462&amp;" due "&amp;TEXT($AB462,"dd-mmm")&amp;" ("&amp;(NETWORKDAYS(TODAY(),$AB462,Holidays)-1)&amp;" business day(s) left).")))))</f>
        <v/>
      </c>
      <c r="W462" s="17">
        <f>IF($Z462="","",CHOOSE($Z462,"Collection Email","1st Follow-up","2nd Follow-up","Local Office","CBE","Roxanne")&amp;IF($Z462=6," - Final"," - Day "&amp;MAX(0,NETWORKDAYS($AA462,TODAY(),Holidays)-1)&amp;" of "&amp;CHOOSE($Z462,3,3,2,2,3))&amp;" | Total Day "&amp;MAX(0,NETWORKDAYS($N462,TODAY(),Holidays)-1))</f>
        <v/>
      </c>
      <c r="X462" s="18"/>
      <c r="Y462" s="18"/>
      <c r="Z462" s="17">
        <f>IF($N462="","",COUNT($N462:$S462))</f>
        <v/>
      </c>
      <c r="AA462" s="19">
        <f>IF($Z462="","",INT(INDEX($N462:$S462,$Z462)))</f>
        <v/>
      </c>
      <c r="AB462" s="19">
        <f>IF(OR($Z462="",$Z462=6),"",WORKDAY($AA462,CHOOSE($Z462,3,3,2,2,3),Holidays))</f>
        <v/>
      </c>
      <c r="AC462" s="17">
        <f>IF(OR($Z462="",$Z462=6),"",CHOOSE($Z462,"1st Email Follow-up","2nd Email Follow-up","Escalate Local Office","Escalate to CBE","Escalate to Roxanne"))</f>
        <v/>
      </c>
    </row>
    <row r="463" spans="13:29">
      <c r="M463" s="14"/>
      <c r="T463" s="16"/>
      <c r="U463" s="17">
        <f>IF(AND(COUNTA($A463:$L463)=0,$N463=""),"",IF($T463="Paid","PAID",IF($T463="Closed","CLOSED",IF($Z463="","",IF($Z463=6,"ESCALATED TO ROXANNE",IF(TODAY()&gt;$AB463,"OVERDUE",IF($AB463&lt;=WORKDAY(TODAY(),1,Holidays),"DUE TOMORROW",IF($Z463=4,"ESCALATED TO LOCAL OFFICE",IF($Z463=5,"ESCALATED TO CBE",IF($AA463=TODAY(),"EMAIL SENT","MONITORING"))))))))))</f>
        <v/>
      </c>
      <c r="V463" s="17">
        <f>IF($U463="",IF(AND(COUNTA($A463:$L463)&gt;0,$N463=""),"Awaiting Collection Email time stamp.",""),IF(OR($U463="PAID",$U463="CLOSED"),IF($U463="PAID","Account paid. Action completed.","Account closed. No further action required."),CHOOSE($Z463,"Collection Email","1st Email Follow-up","2nd Email Follow-up","Escalation to Local Office","Escalation to CBE","Escalation to Roxanne")&amp;" sent "&amp;TEXT($AA463,"dd-mmm")&amp;". "&amp;IF($Z463=6,"Final escalation completed.",IF($U463="OVERDUE","Next: "&amp;$AC463&amp;" was due "&amp;TEXT($AB463,"dd-mmm")&amp;" - "&amp;(NETWORKDAYS($AB463,TODAY(),Holidays)-1)&amp;" business day(s) late. Send now.",IF($U463="DUE TOMORROW","Next: "&amp;$AC463&amp;IF($AB463&lt;=TODAY()," is due TODAY ("," is due next business day (")&amp;TEXT($AB463,"dd-mmm")&amp;").","Next: "&amp;$AC463&amp;" due "&amp;TEXT($AB463,"dd-mmm")&amp;" ("&amp;(NETWORKDAYS(TODAY(),$AB463,Holidays)-1)&amp;" business day(s) left).")))))</f>
        <v/>
      </c>
      <c r="W463" s="17">
        <f>IF($Z463="","",CHOOSE($Z463,"Collection Email","1st Follow-up","2nd Follow-up","Local Office","CBE","Roxanne")&amp;IF($Z463=6," - Final"," - Day "&amp;MAX(0,NETWORKDAYS($AA463,TODAY(),Holidays)-1)&amp;" of "&amp;CHOOSE($Z463,3,3,2,2,3))&amp;" | Total Day "&amp;MAX(0,NETWORKDAYS($N463,TODAY(),Holidays)-1))</f>
        <v/>
      </c>
      <c r="X463" s="18"/>
      <c r="Y463" s="18"/>
      <c r="Z463" s="17">
        <f>IF($N463="","",COUNT($N463:$S463))</f>
        <v/>
      </c>
      <c r="AA463" s="19">
        <f>IF($Z463="","",INT(INDEX($N463:$S463,$Z463)))</f>
        <v/>
      </c>
      <c r="AB463" s="19">
        <f>IF(OR($Z463="",$Z463=6),"",WORKDAY($AA463,CHOOSE($Z463,3,3,2,2,3),Holidays))</f>
        <v/>
      </c>
      <c r="AC463" s="17">
        <f>IF(OR($Z463="",$Z463=6),"",CHOOSE($Z463,"1st Email Follow-up","2nd Email Follow-up","Escalate Local Office","Escalate to CBE","Escalate to Roxanne"))</f>
        <v/>
      </c>
    </row>
    <row r="464" spans="13:29">
      <c r="M464" s="14"/>
      <c r="T464" s="16"/>
      <c r="U464" s="17">
        <f>IF(AND(COUNTA($A464:$L464)=0,$N464=""),"",IF($T464="Paid","PAID",IF($T464="Closed","CLOSED",IF($Z464="","",IF($Z464=6,"ESCALATED TO ROXANNE",IF(TODAY()&gt;$AB464,"OVERDUE",IF($AB464&lt;=WORKDAY(TODAY(),1,Holidays),"DUE TOMORROW",IF($Z464=4,"ESCALATED TO LOCAL OFFICE",IF($Z464=5,"ESCALATED TO CBE",IF($AA464=TODAY(),"EMAIL SENT","MONITORING"))))))))))</f>
        <v/>
      </c>
      <c r="V464" s="17">
        <f>IF($U464="",IF(AND(COUNTA($A464:$L464)&gt;0,$N464=""),"Awaiting Collection Email time stamp.",""),IF(OR($U464="PAID",$U464="CLOSED"),IF($U464="PAID","Account paid. Action completed.","Account closed. No further action required."),CHOOSE($Z464,"Collection Email","1st Email Follow-up","2nd Email Follow-up","Escalation to Local Office","Escalation to CBE","Escalation to Roxanne")&amp;" sent "&amp;TEXT($AA464,"dd-mmm")&amp;". "&amp;IF($Z464=6,"Final escalation completed.",IF($U464="OVERDUE","Next: "&amp;$AC464&amp;" was due "&amp;TEXT($AB464,"dd-mmm")&amp;" - "&amp;(NETWORKDAYS($AB464,TODAY(),Holidays)-1)&amp;" business day(s) late. Send now.",IF($U464="DUE TOMORROW","Next: "&amp;$AC464&amp;IF($AB464&lt;=TODAY()," is due TODAY ("," is due next business day (")&amp;TEXT($AB464,"dd-mmm")&amp;").","Next: "&amp;$AC464&amp;" due "&amp;TEXT($AB464,"dd-mmm")&amp;" ("&amp;(NETWORKDAYS(TODAY(),$AB464,Holidays)-1)&amp;" business day(s) left).")))))</f>
        <v/>
      </c>
      <c r="W464" s="17">
        <f>IF($Z464="","",CHOOSE($Z464,"Collection Email","1st Follow-up","2nd Follow-up","Local Office","CBE","Roxanne")&amp;IF($Z464=6," - Final"," - Day "&amp;MAX(0,NETWORKDAYS($AA464,TODAY(),Holidays)-1)&amp;" of "&amp;CHOOSE($Z464,3,3,2,2,3))&amp;" | Total Day "&amp;MAX(0,NETWORKDAYS($N464,TODAY(),Holidays)-1))</f>
        <v/>
      </c>
      <c r="X464" s="18"/>
      <c r="Y464" s="18"/>
      <c r="Z464" s="17">
        <f>IF($N464="","",COUNT($N464:$S464))</f>
        <v/>
      </c>
      <c r="AA464" s="19">
        <f>IF($Z464="","",INT(INDEX($N464:$S464,$Z464)))</f>
        <v/>
      </c>
      <c r="AB464" s="19">
        <f>IF(OR($Z464="",$Z464=6),"",WORKDAY($AA464,CHOOSE($Z464,3,3,2,2,3),Holidays))</f>
        <v/>
      </c>
      <c r="AC464" s="17">
        <f>IF(OR($Z464="",$Z464=6),"",CHOOSE($Z464,"1st Email Follow-up","2nd Email Follow-up","Escalate Local Office","Escalate to CBE","Escalate to Roxanne"))</f>
        <v/>
      </c>
    </row>
    <row r="465" spans="13:29">
      <c r="M465" s="14"/>
      <c r="T465" s="16"/>
      <c r="U465" s="17">
        <f>IF(AND(COUNTA($A465:$L465)=0,$N465=""),"",IF($T465="Paid","PAID",IF($T465="Closed","CLOSED",IF($Z465="","",IF($Z465=6,"ESCALATED TO ROXANNE",IF(TODAY()&gt;$AB465,"OVERDUE",IF($AB465&lt;=WORKDAY(TODAY(),1,Holidays),"DUE TOMORROW",IF($Z465=4,"ESCALATED TO LOCAL OFFICE",IF($Z465=5,"ESCALATED TO CBE",IF($AA465=TODAY(),"EMAIL SENT","MONITORING"))))))))))</f>
        <v/>
      </c>
      <c r="V465" s="17">
        <f>IF($U465="",IF(AND(COUNTA($A465:$L465)&gt;0,$N465=""),"Awaiting Collection Email time stamp.",""),IF(OR($U465="PAID",$U465="CLOSED"),IF($U465="PAID","Account paid. Action completed.","Account closed. No further action required."),CHOOSE($Z465,"Collection Email","1st Email Follow-up","2nd Email Follow-up","Escalation to Local Office","Escalation to CBE","Escalation to Roxanne")&amp;" sent "&amp;TEXT($AA465,"dd-mmm")&amp;". "&amp;IF($Z465=6,"Final escalation completed.",IF($U465="OVERDUE","Next: "&amp;$AC465&amp;" was due "&amp;TEXT($AB465,"dd-mmm")&amp;" - "&amp;(NETWORKDAYS($AB465,TODAY(),Holidays)-1)&amp;" business day(s) late. Send now.",IF($U465="DUE TOMORROW","Next: "&amp;$AC465&amp;IF($AB465&lt;=TODAY()," is due TODAY ("," is due next business day (")&amp;TEXT($AB465,"dd-mmm")&amp;").","Next: "&amp;$AC465&amp;" due "&amp;TEXT($AB465,"dd-mmm")&amp;" ("&amp;(NETWORKDAYS(TODAY(),$AB465,Holidays)-1)&amp;" business day(s) left).")))))</f>
        <v/>
      </c>
      <c r="W465" s="17">
        <f>IF($Z465="","",CHOOSE($Z465,"Collection Email","1st Follow-up","2nd Follow-up","Local Office","CBE","Roxanne")&amp;IF($Z465=6," - Final"," - Day "&amp;MAX(0,NETWORKDAYS($AA465,TODAY(),Holidays)-1)&amp;" of "&amp;CHOOSE($Z465,3,3,2,2,3))&amp;" | Total Day "&amp;MAX(0,NETWORKDAYS($N465,TODAY(),Holidays)-1))</f>
        <v/>
      </c>
      <c r="X465" s="18"/>
      <c r="Y465" s="18"/>
      <c r="Z465" s="17">
        <f>IF($N465="","",COUNT($N465:$S465))</f>
        <v/>
      </c>
      <c r="AA465" s="19">
        <f>IF($Z465="","",INT(INDEX($N465:$S465,$Z465)))</f>
        <v/>
      </c>
      <c r="AB465" s="19">
        <f>IF(OR($Z465="",$Z465=6),"",WORKDAY($AA465,CHOOSE($Z465,3,3,2,2,3),Holidays))</f>
        <v/>
      </c>
      <c r="AC465" s="17">
        <f>IF(OR($Z465="",$Z465=6),"",CHOOSE($Z465,"1st Email Follow-up","2nd Email Follow-up","Escalate Local Office","Escalate to CBE","Escalate to Roxanne"))</f>
        <v/>
      </c>
    </row>
    <row r="466" spans="13:29">
      <c r="M466" s="14"/>
      <c r="T466" s="16"/>
      <c r="U466" s="17">
        <f>IF(AND(COUNTA($A466:$L466)=0,$N466=""),"",IF($T466="Paid","PAID",IF($T466="Closed","CLOSED",IF($Z466="","",IF($Z466=6,"ESCALATED TO ROXANNE",IF(TODAY()&gt;$AB466,"OVERDUE",IF($AB466&lt;=WORKDAY(TODAY(),1,Holidays),"DUE TOMORROW",IF($Z466=4,"ESCALATED TO LOCAL OFFICE",IF($Z466=5,"ESCALATED TO CBE",IF($AA466=TODAY(),"EMAIL SENT","MONITORING"))))))))))</f>
        <v/>
      </c>
      <c r="V466" s="17">
        <f>IF($U466="",IF(AND(COUNTA($A466:$L466)&gt;0,$N466=""),"Awaiting Collection Email time stamp.",""),IF(OR($U466="PAID",$U466="CLOSED"),IF($U466="PAID","Account paid. Action completed.","Account closed. No further action required."),CHOOSE($Z466,"Collection Email","1st Email Follow-up","2nd Email Follow-up","Escalation to Local Office","Escalation to CBE","Escalation to Roxanne")&amp;" sent "&amp;TEXT($AA466,"dd-mmm")&amp;". "&amp;IF($Z466=6,"Final escalation completed.",IF($U466="OVERDUE","Next: "&amp;$AC466&amp;" was due "&amp;TEXT($AB466,"dd-mmm")&amp;" - "&amp;(NETWORKDAYS($AB466,TODAY(),Holidays)-1)&amp;" business day(s) late. Send now.",IF($U466="DUE TOMORROW","Next: "&amp;$AC466&amp;IF($AB466&lt;=TODAY()," is due TODAY ("," is due next business day (")&amp;TEXT($AB466,"dd-mmm")&amp;").","Next: "&amp;$AC466&amp;" due "&amp;TEXT($AB466,"dd-mmm")&amp;" ("&amp;(NETWORKDAYS(TODAY(),$AB466,Holidays)-1)&amp;" business day(s) left).")))))</f>
        <v/>
      </c>
      <c r="W466" s="17">
        <f>IF($Z466="","",CHOOSE($Z466,"Collection Email","1st Follow-up","2nd Follow-up","Local Office","CBE","Roxanne")&amp;IF($Z466=6," - Final"," - Day "&amp;MAX(0,NETWORKDAYS($AA466,TODAY(),Holidays)-1)&amp;" of "&amp;CHOOSE($Z466,3,3,2,2,3))&amp;" | Total Day "&amp;MAX(0,NETWORKDAYS($N466,TODAY(),Holidays)-1))</f>
        <v/>
      </c>
      <c r="X466" s="18"/>
      <c r="Y466" s="18"/>
      <c r="Z466" s="17">
        <f>IF($N466="","",COUNT($N466:$S466))</f>
        <v/>
      </c>
      <c r="AA466" s="19">
        <f>IF($Z466="","",INT(INDEX($N466:$S466,$Z466)))</f>
        <v/>
      </c>
      <c r="AB466" s="19">
        <f>IF(OR($Z466="",$Z466=6),"",WORKDAY($AA466,CHOOSE($Z466,3,3,2,2,3),Holidays))</f>
        <v/>
      </c>
      <c r="AC466" s="17">
        <f>IF(OR($Z466="",$Z466=6),"",CHOOSE($Z466,"1st Email Follow-up","2nd Email Follow-up","Escalate Local Office","Escalate to CBE","Escalate to Roxanne"))</f>
        <v/>
      </c>
    </row>
    <row r="467" spans="13:29">
      <c r="M467" s="14"/>
      <c r="T467" s="16"/>
      <c r="U467" s="17">
        <f>IF(AND(COUNTA($A467:$L467)=0,$N467=""),"",IF($T467="Paid","PAID",IF($T467="Closed","CLOSED",IF($Z467="","",IF($Z467=6,"ESCALATED TO ROXANNE",IF(TODAY()&gt;$AB467,"OVERDUE",IF($AB467&lt;=WORKDAY(TODAY(),1,Holidays),"DUE TOMORROW",IF($Z467=4,"ESCALATED TO LOCAL OFFICE",IF($Z467=5,"ESCALATED TO CBE",IF($AA467=TODAY(),"EMAIL SENT","MONITORING"))))))))))</f>
        <v/>
      </c>
      <c r="V467" s="17">
        <f>IF($U467="",IF(AND(COUNTA($A467:$L467)&gt;0,$N467=""),"Awaiting Collection Email time stamp.",""),IF(OR($U467="PAID",$U467="CLOSED"),IF($U467="PAID","Account paid. Action completed.","Account closed. No further action required."),CHOOSE($Z467,"Collection Email","1st Email Follow-up","2nd Email Follow-up","Escalation to Local Office","Escalation to CBE","Escalation to Roxanne")&amp;" sent "&amp;TEXT($AA467,"dd-mmm")&amp;". "&amp;IF($Z467=6,"Final escalation completed.",IF($U467="OVERDUE","Next: "&amp;$AC467&amp;" was due "&amp;TEXT($AB467,"dd-mmm")&amp;" - "&amp;(NETWORKDAYS($AB467,TODAY(),Holidays)-1)&amp;" business day(s) late. Send now.",IF($U467="DUE TOMORROW","Next: "&amp;$AC467&amp;IF($AB467&lt;=TODAY()," is due TODAY ("," is due next business day (")&amp;TEXT($AB467,"dd-mmm")&amp;").","Next: "&amp;$AC467&amp;" due "&amp;TEXT($AB467,"dd-mmm")&amp;" ("&amp;(NETWORKDAYS(TODAY(),$AB467,Holidays)-1)&amp;" business day(s) left).")))))</f>
        <v/>
      </c>
      <c r="W467" s="17">
        <f>IF($Z467="","",CHOOSE($Z467,"Collection Email","1st Follow-up","2nd Follow-up","Local Office","CBE","Roxanne")&amp;IF($Z467=6," - Final"," - Day "&amp;MAX(0,NETWORKDAYS($AA467,TODAY(),Holidays)-1)&amp;" of "&amp;CHOOSE($Z467,3,3,2,2,3))&amp;" | Total Day "&amp;MAX(0,NETWORKDAYS($N467,TODAY(),Holidays)-1))</f>
        <v/>
      </c>
      <c r="X467" s="18"/>
      <c r="Y467" s="18"/>
      <c r="Z467" s="17">
        <f>IF($N467="","",COUNT($N467:$S467))</f>
        <v/>
      </c>
      <c r="AA467" s="19">
        <f>IF($Z467="","",INT(INDEX($N467:$S467,$Z467)))</f>
        <v/>
      </c>
      <c r="AB467" s="19">
        <f>IF(OR($Z467="",$Z467=6),"",WORKDAY($AA467,CHOOSE($Z467,3,3,2,2,3),Holidays))</f>
        <v/>
      </c>
      <c r="AC467" s="17">
        <f>IF(OR($Z467="",$Z467=6),"",CHOOSE($Z467,"1st Email Follow-up","2nd Email Follow-up","Escalate Local Office","Escalate to CBE","Escalate to Roxanne"))</f>
        <v/>
      </c>
    </row>
    <row r="468" spans="13:29">
      <c r="M468" s="14"/>
      <c r="T468" s="16"/>
      <c r="U468" s="17">
        <f>IF(AND(COUNTA($A468:$L468)=0,$N468=""),"",IF($T468="Paid","PAID",IF($T468="Closed","CLOSED",IF($Z468="","",IF($Z468=6,"ESCALATED TO ROXANNE",IF(TODAY()&gt;$AB468,"OVERDUE",IF($AB468&lt;=WORKDAY(TODAY(),1,Holidays),"DUE TOMORROW",IF($Z468=4,"ESCALATED TO LOCAL OFFICE",IF($Z468=5,"ESCALATED TO CBE",IF($AA468=TODAY(),"EMAIL SENT","MONITORING"))))))))))</f>
        <v/>
      </c>
      <c r="V468" s="17">
        <f>IF($U468="",IF(AND(COUNTA($A468:$L468)&gt;0,$N468=""),"Awaiting Collection Email time stamp.",""),IF(OR($U468="PAID",$U468="CLOSED"),IF($U468="PAID","Account paid. Action completed.","Account closed. No further action required."),CHOOSE($Z468,"Collection Email","1st Email Follow-up","2nd Email Follow-up","Escalation to Local Office","Escalation to CBE","Escalation to Roxanne")&amp;" sent "&amp;TEXT($AA468,"dd-mmm")&amp;". "&amp;IF($Z468=6,"Final escalation completed.",IF($U468="OVERDUE","Next: "&amp;$AC468&amp;" was due "&amp;TEXT($AB468,"dd-mmm")&amp;" - "&amp;(NETWORKDAYS($AB468,TODAY(),Holidays)-1)&amp;" business day(s) late. Send now.",IF($U468="DUE TOMORROW","Next: "&amp;$AC468&amp;IF($AB468&lt;=TODAY()," is due TODAY ("," is due next business day (")&amp;TEXT($AB468,"dd-mmm")&amp;").","Next: "&amp;$AC468&amp;" due "&amp;TEXT($AB468,"dd-mmm")&amp;" ("&amp;(NETWORKDAYS(TODAY(),$AB468,Holidays)-1)&amp;" business day(s) left).")))))</f>
        <v/>
      </c>
      <c r="W468" s="17">
        <f>IF($Z468="","",CHOOSE($Z468,"Collection Email","1st Follow-up","2nd Follow-up","Local Office","CBE","Roxanne")&amp;IF($Z468=6," - Final"," - Day "&amp;MAX(0,NETWORKDAYS($AA468,TODAY(),Holidays)-1)&amp;" of "&amp;CHOOSE($Z468,3,3,2,2,3))&amp;" | Total Day "&amp;MAX(0,NETWORKDAYS($N468,TODAY(),Holidays)-1))</f>
        <v/>
      </c>
      <c r="X468" s="18"/>
      <c r="Y468" s="18"/>
      <c r="Z468" s="17">
        <f>IF($N468="","",COUNT($N468:$S468))</f>
        <v/>
      </c>
      <c r="AA468" s="19">
        <f>IF($Z468="","",INT(INDEX($N468:$S468,$Z468)))</f>
        <v/>
      </c>
      <c r="AB468" s="19">
        <f>IF(OR($Z468="",$Z468=6),"",WORKDAY($AA468,CHOOSE($Z468,3,3,2,2,3),Holidays))</f>
        <v/>
      </c>
      <c r="AC468" s="17">
        <f>IF(OR($Z468="",$Z468=6),"",CHOOSE($Z468,"1st Email Follow-up","2nd Email Follow-up","Escalate Local Office","Escalate to CBE","Escalate to Roxanne"))</f>
        <v/>
      </c>
    </row>
    <row r="469" spans="13:29">
      <c r="M469" s="14"/>
      <c r="T469" s="16"/>
      <c r="U469" s="17">
        <f>IF(AND(COUNTA($A469:$L469)=0,$N469=""),"",IF($T469="Paid","PAID",IF($T469="Closed","CLOSED",IF($Z469="","",IF($Z469=6,"ESCALATED TO ROXANNE",IF(TODAY()&gt;$AB469,"OVERDUE",IF($AB469&lt;=WORKDAY(TODAY(),1,Holidays),"DUE TOMORROW",IF($Z469=4,"ESCALATED TO LOCAL OFFICE",IF($Z469=5,"ESCALATED TO CBE",IF($AA469=TODAY(),"EMAIL SENT","MONITORING"))))))))))</f>
        <v/>
      </c>
      <c r="V469" s="17">
        <f>IF($U469="",IF(AND(COUNTA($A469:$L469)&gt;0,$N469=""),"Awaiting Collection Email time stamp.",""),IF(OR($U469="PAID",$U469="CLOSED"),IF($U469="PAID","Account paid. Action completed.","Account closed. No further action required."),CHOOSE($Z469,"Collection Email","1st Email Follow-up","2nd Email Follow-up","Escalation to Local Office","Escalation to CBE","Escalation to Roxanne")&amp;" sent "&amp;TEXT($AA469,"dd-mmm")&amp;". "&amp;IF($Z469=6,"Final escalation completed.",IF($U469="OVERDUE","Next: "&amp;$AC469&amp;" was due "&amp;TEXT($AB469,"dd-mmm")&amp;" - "&amp;(NETWORKDAYS($AB469,TODAY(),Holidays)-1)&amp;" business day(s) late. Send now.",IF($U469="DUE TOMORROW","Next: "&amp;$AC469&amp;IF($AB469&lt;=TODAY()," is due TODAY ("," is due next business day (")&amp;TEXT($AB469,"dd-mmm")&amp;").","Next: "&amp;$AC469&amp;" due "&amp;TEXT($AB469,"dd-mmm")&amp;" ("&amp;(NETWORKDAYS(TODAY(),$AB469,Holidays)-1)&amp;" business day(s) left).")))))</f>
        <v/>
      </c>
      <c r="W469" s="17">
        <f>IF($Z469="","",CHOOSE($Z469,"Collection Email","1st Follow-up","2nd Follow-up","Local Office","CBE","Roxanne")&amp;IF($Z469=6," - Final"," - Day "&amp;MAX(0,NETWORKDAYS($AA469,TODAY(),Holidays)-1)&amp;" of "&amp;CHOOSE($Z469,3,3,2,2,3))&amp;" | Total Day "&amp;MAX(0,NETWORKDAYS($N469,TODAY(),Holidays)-1))</f>
        <v/>
      </c>
      <c r="X469" s="18"/>
      <c r="Y469" s="18"/>
      <c r="Z469" s="17">
        <f>IF($N469="","",COUNT($N469:$S469))</f>
        <v/>
      </c>
      <c r="AA469" s="19">
        <f>IF($Z469="","",INT(INDEX($N469:$S469,$Z469)))</f>
        <v/>
      </c>
      <c r="AB469" s="19">
        <f>IF(OR($Z469="",$Z469=6),"",WORKDAY($AA469,CHOOSE($Z469,3,3,2,2,3),Holidays))</f>
        <v/>
      </c>
      <c r="AC469" s="17">
        <f>IF(OR($Z469="",$Z469=6),"",CHOOSE($Z469,"1st Email Follow-up","2nd Email Follow-up","Escalate Local Office","Escalate to CBE","Escalate to Roxanne"))</f>
        <v/>
      </c>
    </row>
    <row r="470" spans="13:29">
      <c r="M470" s="14"/>
      <c r="T470" s="16"/>
      <c r="U470" s="17">
        <f>IF(AND(COUNTA($A470:$L470)=0,$N470=""),"",IF($T470="Paid","PAID",IF($T470="Closed","CLOSED",IF($Z470="","",IF($Z470=6,"ESCALATED TO ROXANNE",IF(TODAY()&gt;$AB470,"OVERDUE",IF($AB470&lt;=WORKDAY(TODAY(),1,Holidays),"DUE TOMORROW",IF($Z470=4,"ESCALATED TO LOCAL OFFICE",IF($Z470=5,"ESCALATED TO CBE",IF($AA470=TODAY(),"EMAIL SENT","MONITORING"))))))))))</f>
        <v/>
      </c>
      <c r="V470" s="17">
        <f>IF($U470="",IF(AND(COUNTA($A470:$L470)&gt;0,$N470=""),"Awaiting Collection Email time stamp.",""),IF(OR($U470="PAID",$U470="CLOSED"),IF($U470="PAID","Account paid. Action completed.","Account closed. No further action required."),CHOOSE($Z470,"Collection Email","1st Email Follow-up","2nd Email Follow-up","Escalation to Local Office","Escalation to CBE","Escalation to Roxanne")&amp;" sent "&amp;TEXT($AA470,"dd-mmm")&amp;". "&amp;IF($Z470=6,"Final escalation completed.",IF($U470="OVERDUE","Next: "&amp;$AC470&amp;" was due "&amp;TEXT($AB470,"dd-mmm")&amp;" - "&amp;(NETWORKDAYS($AB470,TODAY(),Holidays)-1)&amp;" business day(s) late. Send now.",IF($U470="DUE TOMORROW","Next: "&amp;$AC470&amp;IF($AB470&lt;=TODAY()," is due TODAY ("," is due next business day (")&amp;TEXT($AB470,"dd-mmm")&amp;").","Next: "&amp;$AC470&amp;" due "&amp;TEXT($AB470,"dd-mmm")&amp;" ("&amp;(NETWORKDAYS(TODAY(),$AB470,Holidays)-1)&amp;" business day(s) left).")))))</f>
        <v/>
      </c>
      <c r="W470" s="17">
        <f>IF($Z470="","",CHOOSE($Z470,"Collection Email","1st Follow-up","2nd Follow-up","Local Office","CBE","Roxanne")&amp;IF($Z470=6," - Final"," - Day "&amp;MAX(0,NETWORKDAYS($AA470,TODAY(),Holidays)-1)&amp;" of "&amp;CHOOSE($Z470,3,3,2,2,3))&amp;" | Total Day "&amp;MAX(0,NETWORKDAYS($N470,TODAY(),Holidays)-1))</f>
        <v/>
      </c>
      <c r="X470" s="18"/>
      <c r="Y470" s="18"/>
      <c r="Z470" s="17">
        <f>IF($N470="","",COUNT($N470:$S470))</f>
        <v/>
      </c>
      <c r="AA470" s="19">
        <f>IF($Z470="","",INT(INDEX($N470:$S470,$Z470)))</f>
        <v/>
      </c>
      <c r="AB470" s="19">
        <f>IF(OR($Z470="",$Z470=6),"",WORKDAY($AA470,CHOOSE($Z470,3,3,2,2,3),Holidays))</f>
        <v/>
      </c>
      <c r="AC470" s="17">
        <f>IF(OR($Z470="",$Z470=6),"",CHOOSE($Z470,"1st Email Follow-up","2nd Email Follow-up","Escalate Local Office","Escalate to CBE","Escalate to Roxanne"))</f>
        <v/>
      </c>
    </row>
    <row r="471" spans="13:29">
      <c r="M471" s="14"/>
      <c r="T471" s="16"/>
      <c r="U471" s="17">
        <f>IF(AND(COUNTA($A471:$L471)=0,$N471=""),"",IF($T471="Paid","PAID",IF($T471="Closed","CLOSED",IF($Z471="","",IF($Z471=6,"ESCALATED TO ROXANNE",IF(TODAY()&gt;$AB471,"OVERDUE",IF($AB471&lt;=WORKDAY(TODAY(),1,Holidays),"DUE TOMORROW",IF($Z471=4,"ESCALATED TO LOCAL OFFICE",IF($Z471=5,"ESCALATED TO CBE",IF($AA471=TODAY(),"EMAIL SENT","MONITORING"))))))))))</f>
        <v/>
      </c>
      <c r="V471" s="17">
        <f>IF($U471="",IF(AND(COUNTA($A471:$L471)&gt;0,$N471=""),"Awaiting Collection Email time stamp.",""),IF(OR($U471="PAID",$U471="CLOSED"),IF($U471="PAID","Account paid. Action completed.","Account closed. No further action required."),CHOOSE($Z471,"Collection Email","1st Email Follow-up","2nd Email Follow-up","Escalation to Local Office","Escalation to CBE","Escalation to Roxanne")&amp;" sent "&amp;TEXT($AA471,"dd-mmm")&amp;". "&amp;IF($Z471=6,"Final escalation completed.",IF($U471="OVERDUE","Next: "&amp;$AC471&amp;" was due "&amp;TEXT($AB471,"dd-mmm")&amp;" - "&amp;(NETWORKDAYS($AB471,TODAY(),Holidays)-1)&amp;" business day(s) late. Send now.",IF($U471="DUE TOMORROW","Next: "&amp;$AC471&amp;IF($AB471&lt;=TODAY()," is due TODAY ("," is due next business day (")&amp;TEXT($AB471,"dd-mmm")&amp;").","Next: "&amp;$AC471&amp;" due "&amp;TEXT($AB471,"dd-mmm")&amp;" ("&amp;(NETWORKDAYS(TODAY(),$AB471,Holidays)-1)&amp;" business day(s) left).")))))</f>
        <v/>
      </c>
      <c r="W471" s="17">
        <f>IF($Z471="","",CHOOSE($Z471,"Collection Email","1st Follow-up","2nd Follow-up","Local Office","CBE","Roxanne")&amp;IF($Z471=6," - Final"," - Day "&amp;MAX(0,NETWORKDAYS($AA471,TODAY(),Holidays)-1)&amp;" of "&amp;CHOOSE($Z471,3,3,2,2,3))&amp;" | Total Day "&amp;MAX(0,NETWORKDAYS($N471,TODAY(),Holidays)-1))</f>
        <v/>
      </c>
      <c r="X471" s="18"/>
      <c r="Y471" s="18"/>
      <c r="Z471" s="17">
        <f>IF($N471="","",COUNT($N471:$S471))</f>
        <v/>
      </c>
      <c r="AA471" s="19">
        <f>IF($Z471="","",INT(INDEX($N471:$S471,$Z471)))</f>
        <v/>
      </c>
      <c r="AB471" s="19">
        <f>IF(OR($Z471="",$Z471=6),"",WORKDAY($AA471,CHOOSE($Z471,3,3,2,2,3),Holidays))</f>
        <v/>
      </c>
      <c r="AC471" s="17">
        <f>IF(OR($Z471="",$Z471=6),"",CHOOSE($Z471,"1st Email Follow-up","2nd Email Follow-up","Escalate Local Office","Escalate to CBE","Escalate to Roxanne"))</f>
        <v/>
      </c>
    </row>
    <row r="472" spans="13:29">
      <c r="M472" s="14"/>
      <c r="T472" s="16"/>
      <c r="U472" s="17">
        <f>IF(AND(COUNTA($A472:$L472)=0,$N472=""),"",IF($T472="Paid","PAID",IF($T472="Closed","CLOSED",IF($Z472="","",IF($Z472=6,"ESCALATED TO ROXANNE",IF(TODAY()&gt;$AB472,"OVERDUE",IF($AB472&lt;=WORKDAY(TODAY(),1,Holidays),"DUE TOMORROW",IF($Z472=4,"ESCALATED TO LOCAL OFFICE",IF($Z472=5,"ESCALATED TO CBE",IF($AA472=TODAY(),"EMAIL SENT","MONITORING"))))))))))</f>
        <v/>
      </c>
      <c r="V472" s="17">
        <f>IF($U472="",IF(AND(COUNTA($A472:$L472)&gt;0,$N472=""),"Awaiting Collection Email time stamp.",""),IF(OR($U472="PAID",$U472="CLOSED"),IF($U472="PAID","Account paid. Action completed.","Account closed. No further action required."),CHOOSE($Z472,"Collection Email","1st Email Follow-up","2nd Email Follow-up","Escalation to Local Office","Escalation to CBE","Escalation to Roxanne")&amp;" sent "&amp;TEXT($AA472,"dd-mmm")&amp;". "&amp;IF($Z472=6,"Final escalation completed.",IF($U472="OVERDUE","Next: "&amp;$AC472&amp;" was due "&amp;TEXT($AB472,"dd-mmm")&amp;" - "&amp;(NETWORKDAYS($AB472,TODAY(),Holidays)-1)&amp;" business day(s) late. Send now.",IF($U472="DUE TOMORROW","Next: "&amp;$AC472&amp;IF($AB472&lt;=TODAY()," is due TODAY ("," is due next business day (")&amp;TEXT($AB472,"dd-mmm")&amp;").","Next: "&amp;$AC472&amp;" due "&amp;TEXT($AB472,"dd-mmm")&amp;" ("&amp;(NETWORKDAYS(TODAY(),$AB472,Holidays)-1)&amp;" business day(s) left).")))))</f>
        <v/>
      </c>
      <c r="W472" s="17">
        <f>IF($Z472="","",CHOOSE($Z472,"Collection Email","1st Follow-up","2nd Follow-up","Local Office","CBE","Roxanne")&amp;IF($Z472=6," - Final"," - Day "&amp;MAX(0,NETWORKDAYS($AA472,TODAY(),Holidays)-1)&amp;" of "&amp;CHOOSE($Z472,3,3,2,2,3))&amp;" | Total Day "&amp;MAX(0,NETWORKDAYS($N472,TODAY(),Holidays)-1))</f>
        <v/>
      </c>
      <c r="X472" s="18"/>
      <c r="Y472" s="18"/>
      <c r="Z472" s="17">
        <f>IF($N472="","",COUNT($N472:$S472))</f>
        <v/>
      </c>
      <c r="AA472" s="19">
        <f>IF($Z472="","",INT(INDEX($N472:$S472,$Z472)))</f>
        <v/>
      </c>
      <c r="AB472" s="19">
        <f>IF(OR($Z472="",$Z472=6),"",WORKDAY($AA472,CHOOSE($Z472,3,3,2,2,3),Holidays))</f>
        <v/>
      </c>
      <c r="AC472" s="17">
        <f>IF(OR($Z472="",$Z472=6),"",CHOOSE($Z472,"1st Email Follow-up","2nd Email Follow-up","Escalate Local Office","Escalate to CBE","Escalate to Roxanne"))</f>
        <v/>
      </c>
    </row>
    <row r="473" spans="13:29">
      <c r="M473" s="14"/>
      <c r="T473" s="16"/>
      <c r="U473" s="17">
        <f>IF(AND(COUNTA($A473:$L473)=0,$N473=""),"",IF($T473="Paid","PAID",IF($T473="Closed","CLOSED",IF($Z473="","",IF($Z473=6,"ESCALATED TO ROXANNE",IF(TODAY()&gt;$AB473,"OVERDUE",IF($AB473&lt;=WORKDAY(TODAY(),1,Holidays),"DUE TOMORROW",IF($Z473=4,"ESCALATED TO LOCAL OFFICE",IF($Z473=5,"ESCALATED TO CBE",IF($AA473=TODAY(),"EMAIL SENT","MONITORING"))))))))))</f>
        <v/>
      </c>
      <c r="V473" s="17">
        <f>IF($U473="",IF(AND(COUNTA($A473:$L473)&gt;0,$N473=""),"Awaiting Collection Email time stamp.",""),IF(OR($U473="PAID",$U473="CLOSED"),IF($U473="PAID","Account paid. Action completed.","Account closed. No further action required."),CHOOSE($Z473,"Collection Email","1st Email Follow-up","2nd Email Follow-up","Escalation to Local Office","Escalation to CBE","Escalation to Roxanne")&amp;" sent "&amp;TEXT($AA473,"dd-mmm")&amp;". "&amp;IF($Z473=6,"Final escalation completed.",IF($U473="OVERDUE","Next: "&amp;$AC473&amp;" was due "&amp;TEXT($AB473,"dd-mmm")&amp;" - "&amp;(NETWORKDAYS($AB473,TODAY(),Holidays)-1)&amp;" business day(s) late. Send now.",IF($U473="DUE TOMORROW","Next: "&amp;$AC473&amp;IF($AB473&lt;=TODAY()," is due TODAY ("," is due next business day (")&amp;TEXT($AB473,"dd-mmm")&amp;").","Next: "&amp;$AC473&amp;" due "&amp;TEXT($AB473,"dd-mmm")&amp;" ("&amp;(NETWORKDAYS(TODAY(),$AB473,Holidays)-1)&amp;" business day(s) left).")))))</f>
        <v/>
      </c>
      <c r="W473" s="17">
        <f>IF($Z473="","",CHOOSE($Z473,"Collection Email","1st Follow-up","2nd Follow-up","Local Office","CBE","Roxanne")&amp;IF($Z473=6," - Final"," - Day "&amp;MAX(0,NETWORKDAYS($AA473,TODAY(),Holidays)-1)&amp;" of "&amp;CHOOSE($Z473,3,3,2,2,3))&amp;" | Total Day "&amp;MAX(0,NETWORKDAYS($N473,TODAY(),Holidays)-1))</f>
        <v/>
      </c>
      <c r="X473" s="18"/>
      <c r="Y473" s="18"/>
      <c r="Z473" s="17">
        <f>IF($N473="","",COUNT($N473:$S473))</f>
        <v/>
      </c>
      <c r="AA473" s="19">
        <f>IF($Z473="","",INT(INDEX($N473:$S473,$Z473)))</f>
        <v/>
      </c>
      <c r="AB473" s="19">
        <f>IF(OR($Z473="",$Z473=6),"",WORKDAY($AA473,CHOOSE($Z473,3,3,2,2,3),Holidays))</f>
        <v/>
      </c>
      <c r="AC473" s="17">
        <f>IF(OR($Z473="",$Z473=6),"",CHOOSE($Z473,"1st Email Follow-up","2nd Email Follow-up","Escalate Local Office","Escalate to CBE","Escalate to Roxanne"))</f>
        <v/>
      </c>
    </row>
    <row r="474" spans="13:29">
      <c r="M474" s="14"/>
      <c r="T474" s="16"/>
      <c r="U474" s="17">
        <f>IF(AND(COUNTA($A474:$L474)=0,$N474=""),"",IF($T474="Paid","PAID",IF($T474="Closed","CLOSED",IF($Z474="","",IF($Z474=6,"ESCALATED TO ROXANNE",IF(TODAY()&gt;$AB474,"OVERDUE",IF($AB474&lt;=WORKDAY(TODAY(),1,Holidays),"DUE TOMORROW",IF($Z474=4,"ESCALATED TO LOCAL OFFICE",IF($Z474=5,"ESCALATED TO CBE",IF($AA474=TODAY(),"EMAIL SENT","MONITORING"))))))))))</f>
        <v/>
      </c>
      <c r="V474" s="17">
        <f>IF($U474="",IF(AND(COUNTA($A474:$L474)&gt;0,$N474=""),"Awaiting Collection Email time stamp.",""),IF(OR($U474="PAID",$U474="CLOSED"),IF($U474="PAID","Account paid. Action completed.","Account closed. No further action required."),CHOOSE($Z474,"Collection Email","1st Email Follow-up","2nd Email Follow-up","Escalation to Local Office","Escalation to CBE","Escalation to Roxanne")&amp;" sent "&amp;TEXT($AA474,"dd-mmm")&amp;". "&amp;IF($Z474=6,"Final escalation completed.",IF($U474="OVERDUE","Next: "&amp;$AC474&amp;" was due "&amp;TEXT($AB474,"dd-mmm")&amp;" - "&amp;(NETWORKDAYS($AB474,TODAY(),Holidays)-1)&amp;" business day(s) late. Send now.",IF($U474="DUE TOMORROW","Next: "&amp;$AC474&amp;IF($AB474&lt;=TODAY()," is due TODAY ("," is due next business day (")&amp;TEXT($AB474,"dd-mmm")&amp;").","Next: "&amp;$AC474&amp;" due "&amp;TEXT($AB474,"dd-mmm")&amp;" ("&amp;(NETWORKDAYS(TODAY(),$AB474,Holidays)-1)&amp;" business day(s) left).")))))</f>
        <v/>
      </c>
      <c r="W474" s="17">
        <f>IF($Z474="","",CHOOSE($Z474,"Collection Email","1st Follow-up","2nd Follow-up","Local Office","CBE","Roxanne")&amp;IF($Z474=6," - Final"," - Day "&amp;MAX(0,NETWORKDAYS($AA474,TODAY(),Holidays)-1)&amp;" of "&amp;CHOOSE($Z474,3,3,2,2,3))&amp;" | Total Day "&amp;MAX(0,NETWORKDAYS($N474,TODAY(),Holidays)-1))</f>
        <v/>
      </c>
      <c r="X474" s="18"/>
      <c r="Y474" s="18"/>
      <c r="Z474" s="17">
        <f>IF($N474="","",COUNT($N474:$S474))</f>
        <v/>
      </c>
      <c r="AA474" s="19">
        <f>IF($Z474="","",INT(INDEX($N474:$S474,$Z474)))</f>
        <v/>
      </c>
      <c r="AB474" s="19">
        <f>IF(OR($Z474="",$Z474=6),"",WORKDAY($AA474,CHOOSE($Z474,3,3,2,2,3),Holidays))</f>
        <v/>
      </c>
      <c r="AC474" s="17">
        <f>IF(OR($Z474="",$Z474=6),"",CHOOSE($Z474,"1st Email Follow-up","2nd Email Follow-up","Escalate Local Office","Escalate to CBE","Escalate to Roxanne"))</f>
        <v/>
      </c>
    </row>
    <row r="475" spans="13:29">
      <c r="M475" s="14"/>
      <c r="T475" s="16"/>
      <c r="U475" s="17">
        <f>IF(AND(COUNTA($A475:$L475)=0,$N475=""),"",IF($T475="Paid","PAID",IF($T475="Closed","CLOSED",IF($Z475="","",IF($Z475=6,"ESCALATED TO ROXANNE",IF(TODAY()&gt;$AB475,"OVERDUE",IF($AB475&lt;=WORKDAY(TODAY(),1,Holidays),"DUE TOMORROW",IF($Z475=4,"ESCALATED TO LOCAL OFFICE",IF($Z475=5,"ESCALATED TO CBE",IF($AA475=TODAY(),"EMAIL SENT","MONITORING"))))))))))</f>
        <v/>
      </c>
      <c r="V475" s="17">
        <f>IF($U475="",IF(AND(COUNTA($A475:$L475)&gt;0,$N475=""),"Awaiting Collection Email time stamp.",""),IF(OR($U475="PAID",$U475="CLOSED"),IF($U475="PAID","Account paid. Action completed.","Account closed. No further action required."),CHOOSE($Z475,"Collection Email","1st Email Follow-up","2nd Email Follow-up","Escalation to Local Office","Escalation to CBE","Escalation to Roxanne")&amp;" sent "&amp;TEXT($AA475,"dd-mmm")&amp;". "&amp;IF($Z475=6,"Final escalation completed.",IF($U475="OVERDUE","Next: "&amp;$AC475&amp;" was due "&amp;TEXT($AB475,"dd-mmm")&amp;" - "&amp;(NETWORKDAYS($AB475,TODAY(),Holidays)-1)&amp;" business day(s) late. Send now.",IF($U475="DUE TOMORROW","Next: "&amp;$AC475&amp;IF($AB475&lt;=TODAY()," is due TODAY ("," is due next business day (")&amp;TEXT($AB475,"dd-mmm")&amp;").","Next: "&amp;$AC475&amp;" due "&amp;TEXT($AB475,"dd-mmm")&amp;" ("&amp;(NETWORKDAYS(TODAY(),$AB475,Holidays)-1)&amp;" business day(s) left).")))))</f>
        <v/>
      </c>
      <c r="W475" s="17">
        <f>IF($Z475="","",CHOOSE($Z475,"Collection Email","1st Follow-up","2nd Follow-up","Local Office","CBE","Roxanne")&amp;IF($Z475=6," - Final"," - Day "&amp;MAX(0,NETWORKDAYS($AA475,TODAY(),Holidays)-1)&amp;" of "&amp;CHOOSE($Z475,3,3,2,2,3))&amp;" | Total Day "&amp;MAX(0,NETWORKDAYS($N475,TODAY(),Holidays)-1))</f>
        <v/>
      </c>
      <c r="X475" s="18"/>
      <c r="Y475" s="18"/>
      <c r="Z475" s="17">
        <f>IF($N475="","",COUNT($N475:$S475))</f>
        <v/>
      </c>
      <c r="AA475" s="19">
        <f>IF($Z475="","",INT(INDEX($N475:$S475,$Z475)))</f>
        <v/>
      </c>
      <c r="AB475" s="19">
        <f>IF(OR($Z475="",$Z475=6),"",WORKDAY($AA475,CHOOSE($Z475,3,3,2,2,3),Holidays))</f>
        <v/>
      </c>
      <c r="AC475" s="17">
        <f>IF(OR($Z475="",$Z475=6),"",CHOOSE($Z475,"1st Email Follow-up","2nd Email Follow-up","Escalate Local Office","Escalate to CBE","Escalate to Roxanne"))</f>
        <v/>
      </c>
    </row>
    <row r="476" spans="13:29">
      <c r="M476" s="14"/>
      <c r="T476" s="16"/>
      <c r="U476" s="17">
        <f>IF(AND(COUNTA($A476:$L476)=0,$N476=""),"",IF($T476="Paid","PAID",IF($T476="Closed","CLOSED",IF($Z476="","",IF($Z476=6,"ESCALATED TO ROXANNE",IF(TODAY()&gt;$AB476,"OVERDUE",IF($AB476&lt;=WORKDAY(TODAY(),1,Holidays),"DUE TOMORROW",IF($Z476=4,"ESCALATED TO LOCAL OFFICE",IF($Z476=5,"ESCALATED TO CBE",IF($AA476=TODAY(),"EMAIL SENT","MONITORING"))))))))))</f>
        <v/>
      </c>
      <c r="V476" s="17">
        <f>IF($U476="",IF(AND(COUNTA($A476:$L476)&gt;0,$N476=""),"Awaiting Collection Email time stamp.",""),IF(OR($U476="PAID",$U476="CLOSED"),IF($U476="PAID","Account paid. Action completed.","Account closed. No further action required."),CHOOSE($Z476,"Collection Email","1st Email Follow-up","2nd Email Follow-up","Escalation to Local Office","Escalation to CBE","Escalation to Roxanne")&amp;" sent "&amp;TEXT($AA476,"dd-mmm")&amp;". "&amp;IF($Z476=6,"Final escalation completed.",IF($U476="OVERDUE","Next: "&amp;$AC476&amp;" was due "&amp;TEXT($AB476,"dd-mmm")&amp;" - "&amp;(NETWORKDAYS($AB476,TODAY(),Holidays)-1)&amp;" business day(s) late. Send now.",IF($U476="DUE TOMORROW","Next: "&amp;$AC476&amp;IF($AB476&lt;=TODAY()," is due TODAY ("," is due next business day (")&amp;TEXT($AB476,"dd-mmm")&amp;").","Next: "&amp;$AC476&amp;" due "&amp;TEXT($AB476,"dd-mmm")&amp;" ("&amp;(NETWORKDAYS(TODAY(),$AB476,Holidays)-1)&amp;" business day(s) left).")))))</f>
        <v/>
      </c>
      <c r="W476" s="17">
        <f>IF($Z476="","",CHOOSE($Z476,"Collection Email","1st Follow-up","2nd Follow-up","Local Office","CBE","Roxanne")&amp;IF($Z476=6," - Final"," - Day "&amp;MAX(0,NETWORKDAYS($AA476,TODAY(),Holidays)-1)&amp;" of "&amp;CHOOSE($Z476,3,3,2,2,3))&amp;" | Total Day "&amp;MAX(0,NETWORKDAYS($N476,TODAY(),Holidays)-1))</f>
        <v/>
      </c>
      <c r="X476" s="18"/>
      <c r="Y476" s="18"/>
      <c r="Z476" s="17">
        <f>IF($N476="","",COUNT($N476:$S476))</f>
        <v/>
      </c>
      <c r="AA476" s="19">
        <f>IF($Z476="","",INT(INDEX($N476:$S476,$Z476)))</f>
        <v/>
      </c>
      <c r="AB476" s="19">
        <f>IF(OR($Z476="",$Z476=6),"",WORKDAY($AA476,CHOOSE($Z476,3,3,2,2,3),Holidays))</f>
        <v/>
      </c>
      <c r="AC476" s="17">
        <f>IF(OR($Z476="",$Z476=6),"",CHOOSE($Z476,"1st Email Follow-up","2nd Email Follow-up","Escalate Local Office","Escalate to CBE","Escalate to Roxanne"))</f>
        <v/>
      </c>
    </row>
    <row r="477" spans="13:29">
      <c r="M477" s="14"/>
      <c r="T477" s="16"/>
      <c r="U477" s="17">
        <f>IF(AND(COUNTA($A477:$L477)=0,$N477=""),"",IF($T477="Paid","PAID",IF($T477="Closed","CLOSED",IF($Z477="","",IF($Z477=6,"ESCALATED TO ROXANNE",IF(TODAY()&gt;$AB477,"OVERDUE",IF($AB477&lt;=WORKDAY(TODAY(),1,Holidays),"DUE TOMORROW",IF($Z477=4,"ESCALATED TO LOCAL OFFICE",IF($Z477=5,"ESCALATED TO CBE",IF($AA477=TODAY(),"EMAIL SENT","MONITORING"))))))))))</f>
        <v/>
      </c>
      <c r="V477" s="17">
        <f>IF($U477="",IF(AND(COUNTA($A477:$L477)&gt;0,$N477=""),"Awaiting Collection Email time stamp.",""),IF(OR($U477="PAID",$U477="CLOSED"),IF($U477="PAID","Account paid. Action completed.","Account closed. No further action required."),CHOOSE($Z477,"Collection Email","1st Email Follow-up","2nd Email Follow-up","Escalation to Local Office","Escalation to CBE","Escalation to Roxanne")&amp;" sent "&amp;TEXT($AA477,"dd-mmm")&amp;". "&amp;IF($Z477=6,"Final escalation completed.",IF($U477="OVERDUE","Next: "&amp;$AC477&amp;" was due "&amp;TEXT($AB477,"dd-mmm")&amp;" - "&amp;(NETWORKDAYS($AB477,TODAY(),Holidays)-1)&amp;" business day(s) late. Send now.",IF($U477="DUE TOMORROW","Next: "&amp;$AC477&amp;IF($AB477&lt;=TODAY()," is due TODAY ("," is due next business day (")&amp;TEXT($AB477,"dd-mmm")&amp;").","Next: "&amp;$AC477&amp;" due "&amp;TEXT($AB477,"dd-mmm")&amp;" ("&amp;(NETWORKDAYS(TODAY(),$AB477,Holidays)-1)&amp;" business day(s) left).")))))</f>
        <v/>
      </c>
      <c r="W477" s="17">
        <f>IF($Z477="","",CHOOSE($Z477,"Collection Email","1st Follow-up","2nd Follow-up","Local Office","CBE","Roxanne")&amp;IF($Z477=6," - Final"," - Day "&amp;MAX(0,NETWORKDAYS($AA477,TODAY(),Holidays)-1)&amp;" of "&amp;CHOOSE($Z477,3,3,2,2,3))&amp;" | Total Day "&amp;MAX(0,NETWORKDAYS($N477,TODAY(),Holidays)-1))</f>
        <v/>
      </c>
      <c r="X477" s="18"/>
      <c r="Y477" s="18"/>
      <c r="Z477" s="17">
        <f>IF($N477="","",COUNT($N477:$S477))</f>
        <v/>
      </c>
      <c r="AA477" s="19">
        <f>IF($Z477="","",INT(INDEX($N477:$S477,$Z477)))</f>
        <v/>
      </c>
      <c r="AB477" s="19">
        <f>IF(OR($Z477="",$Z477=6),"",WORKDAY($AA477,CHOOSE($Z477,3,3,2,2,3),Holidays))</f>
        <v/>
      </c>
      <c r="AC477" s="17">
        <f>IF(OR($Z477="",$Z477=6),"",CHOOSE($Z477,"1st Email Follow-up","2nd Email Follow-up","Escalate Local Office","Escalate to CBE","Escalate to Roxanne"))</f>
        <v/>
      </c>
    </row>
    <row r="478" spans="13:29">
      <c r="M478" s="14"/>
      <c r="T478" s="16"/>
      <c r="U478" s="17">
        <f>IF(AND(COUNTA($A478:$L478)=0,$N478=""),"",IF($T478="Paid","PAID",IF($T478="Closed","CLOSED",IF($Z478="","",IF($Z478=6,"ESCALATED TO ROXANNE",IF(TODAY()&gt;$AB478,"OVERDUE",IF($AB478&lt;=WORKDAY(TODAY(),1,Holidays),"DUE TOMORROW",IF($Z478=4,"ESCALATED TO LOCAL OFFICE",IF($Z478=5,"ESCALATED TO CBE",IF($AA478=TODAY(),"EMAIL SENT","MONITORING"))))))))))</f>
        <v/>
      </c>
      <c r="V478" s="17">
        <f>IF($U478="",IF(AND(COUNTA($A478:$L478)&gt;0,$N478=""),"Awaiting Collection Email time stamp.",""),IF(OR($U478="PAID",$U478="CLOSED"),IF($U478="PAID","Account paid. Action completed.","Account closed. No further action required."),CHOOSE($Z478,"Collection Email","1st Email Follow-up","2nd Email Follow-up","Escalation to Local Office","Escalation to CBE","Escalation to Roxanne")&amp;" sent "&amp;TEXT($AA478,"dd-mmm")&amp;". "&amp;IF($Z478=6,"Final escalation completed.",IF($U478="OVERDUE","Next: "&amp;$AC478&amp;" was due "&amp;TEXT($AB478,"dd-mmm")&amp;" - "&amp;(NETWORKDAYS($AB478,TODAY(),Holidays)-1)&amp;" business day(s) late. Send now.",IF($U478="DUE TOMORROW","Next: "&amp;$AC478&amp;IF($AB478&lt;=TODAY()," is due TODAY ("," is due next business day (")&amp;TEXT($AB478,"dd-mmm")&amp;").","Next: "&amp;$AC478&amp;" due "&amp;TEXT($AB478,"dd-mmm")&amp;" ("&amp;(NETWORKDAYS(TODAY(),$AB478,Holidays)-1)&amp;" business day(s) left).")))))</f>
        <v/>
      </c>
      <c r="W478" s="17">
        <f>IF($Z478="","",CHOOSE($Z478,"Collection Email","1st Follow-up","2nd Follow-up","Local Office","CBE","Roxanne")&amp;IF($Z478=6," - Final"," - Day "&amp;MAX(0,NETWORKDAYS($AA478,TODAY(),Holidays)-1)&amp;" of "&amp;CHOOSE($Z478,3,3,2,2,3))&amp;" | Total Day "&amp;MAX(0,NETWORKDAYS($N478,TODAY(),Holidays)-1))</f>
        <v/>
      </c>
      <c r="X478" s="18"/>
      <c r="Y478" s="18"/>
      <c r="Z478" s="17">
        <f>IF($N478="","",COUNT($N478:$S478))</f>
        <v/>
      </c>
      <c r="AA478" s="19">
        <f>IF($Z478="","",INT(INDEX($N478:$S478,$Z478)))</f>
        <v/>
      </c>
      <c r="AB478" s="19">
        <f>IF(OR($Z478="",$Z478=6),"",WORKDAY($AA478,CHOOSE($Z478,3,3,2,2,3),Holidays))</f>
        <v/>
      </c>
      <c r="AC478" s="17">
        <f>IF(OR($Z478="",$Z478=6),"",CHOOSE($Z478,"1st Email Follow-up","2nd Email Follow-up","Escalate Local Office","Escalate to CBE","Escalate to Roxanne"))</f>
        <v/>
      </c>
    </row>
    <row r="479" spans="13:29">
      <c r="M479" s="14"/>
      <c r="T479" s="16"/>
      <c r="U479" s="17">
        <f>IF(AND(COUNTA($A479:$L479)=0,$N479=""),"",IF($T479="Paid","PAID",IF($T479="Closed","CLOSED",IF($Z479="","",IF($Z479=6,"ESCALATED TO ROXANNE",IF(TODAY()&gt;$AB479,"OVERDUE",IF($AB479&lt;=WORKDAY(TODAY(),1,Holidays),"DUE TOMORROW",IF($Z479=4,"ESCALATED TO LOCAL OFFICE",IF($Z479=5,"ESCALATED TO CBE",IF($AA479=TODAY(),"EMAIL SENT","MONITORING"))))))))))</f>
        <v/>
      </c>
      <c r="V479" s="17">
        <f>IF($U479="",IF(AND(COUNTA($A479:$L479)&gt;0,$N479=""),"Awaiting Collection Email time stamp.",""),IF(OR($U479="PAID",$U479="CLOSED"),IF($U479="PAID","Account paid. Action completed.","Account closed. No further action required."),CHOOSE($Z479,"Collection Email","1st Email Follow-up","2nd Email Follow-up","Escalation to Local Office","Escalation to CBE","Escalation to Roxanne")&amp;" sent "&amp;TEXT($AA479,"dd-mmm")&amp;". "&amp;IF($Z479=6,"Final escalation completed.",IF($U479="OVERDUE","Next: "&amp;$AC479&amp;" was due "&amp;TEXT($AB479,"dd-mmm")&amp;" - "&amp;(NETWORKDAYS($AB479,TODAY(),Holidays)-1)&amp;" business day(s) late. Send now.",IF($U479="DUE TOMORROW","Next: "&amp;$AC479&amp;IF($AB479&lt;=TODAY()," is due TODAY ("," is due next business day (")&amp;TEXT($AB479,"dd-mmm")&amp;").","Next: "&amp;$AC479&amp;" due "&amp;TEXT($AB479,"dd-mmm")&amp;" ("&amp;(NETWORKDAYS(TODAY(),$AB479,Holidays)-1)&amp;" business day(s) left).")))))</f>
        <v/>
      </c>
      <c r="W479" s="17">
        <f>IF($Z479="","",CHOOSE($Z479,"Collection Email","1st Follow-up","2nd Follow-up","Local Office","CBE","Roxanne")&amp;IF($Z479=6," - Final"," - Day "&amp;MAX(0,NETWORKDAYS($AA479,TODAY(),Holidays)-1)&amp;" of "&amp;CHOOSE($Z479,3,3,2,2,3))&amp;" | Total Day "&amp;MAX(0,NETWORKDAYS($N479,TODAY(),Holidays)-1))</f>
        <v/>
      </c>
      <c r="X479" s="18"/>
      <c r="Y479" s="18"/>
      <c r="Z479" s="17">
        <f>IF($N479="","",COUNT($N479:$S479))</f>
        <v/>
      </c>
      <c r="AA479" s="19">
        <f>IF($Z479="","",INT(INDEX($N479:$S479,$Z479)))</f>
        <v/>
      </c>
      <c r="AB479" s="19">
        <f>IF(OR($Z479="",$Z479=6),"",WORKDAY($AA479,CHOOSE($Z479,3,3,2,2,3),Holidays))</f>
        <v/>
      </c>
      <c r="AC479" s="17">
        <f>IF(OR($Z479="",$Z479=6),"",CHOOSE($Z479,"1st Email Follow-up","2nd Email Follow-up","Escalate Local Office","Escalate to CBE","Escalate to Roxanne"))</f>
        <v/>
      </c>
    </row>
    <row r="480" spans="13:29">
      <c r="M480" s="14"/>
      <c r="T480" s="16"/>
      <c r="U480" s="17">
        <f>IF(AND(COUNTA($A480:$L480)=0,$N480=""),"",IF($T480="Paid","PAID",IF($T480="Closed","CLOSED",IF($Z480="","",IF($Z480=6,"ESCALATED TO ROXANNE",IF(TODAY()&gt;$AB480,"OVERDUE",IF($AB480&lt;=WORKDAY(TODAY(),1,Holidays),"DUE TOMORROW",IF($Z480=4,"ESCALATED TO LOCAL OFFICE",IF($Z480=5,"ESCALATED TO CBE",IF($AA480=TODAY(),"EMAIL SENT","MONITORING"))))))))))</f>
        <v/>
      </c>
      <c r="V480" s="17">
        <f>IF($U480="",IF(AND(COUNTA($A480:$L480)&gt;0,$N480=""),"Awaiting Collection Email time stamp.",""),IF(OR($U480="PAID",$U480="CLOSED"),IF($U480="PAID","Account paid. Action completed.","Account closed. No further action required."),CHOOSE($Z480,"Collection Email","1st Email Follow-up","2nd Email Follow-up","Escalation to Local Office","Escalation to CBE","Escalation to Roxanne")&amp;" sent "&amp;TEXT($AA480,"dd-mmm")&amp;". "&amp;IF($Z480=6,"Final escalation completed.",IF($U480="OVERDUE","Next: "&amp;$AC480&amp;" was due "&amp;TEXT($AB480,"dd-mmm")&amp;" - "&amp;(NETWORKDAYS($AB480,TODAY(),Holidays)-1)&amp;" business day(s) late. Send now.",IF($U480="DUE TOMORROW","Next: "&amp;$AC480&amp;IF($AB480&lt;=TODAY()," is due TODAY ("," is due next business day (")&amp;TEXT($AB480,"dd-mmm")&amp;").","Next: "&amp;$AC480&amp;" due "&amp;TEXT($AB480,"dd-mmm")&amp;" ("&amp;(NETWORKDAYS(TODAY(),$AB480,Holidays)-1)&amp;" business day(s) left).")))))</f>
        <v/>
      </c>
      <c r="W480" s="17">
        <f>IF($Z480="","",CHOOSE($Z480,"Collection Email","1st Follow-up","2nd Follow-up","Local Office","CBE","Roxanne")&amp;IF($Z480=6," - Final"," - Day "&amp;MAX(0,NETWORKDAYS($AA480,TODAY(),Holidays)-1)&amp;" of "&amp;CHOOSE($Z480,3,3,2,2,3))&amp;" | Total Day "&amp;MAX(0,NETWORKDAYS($N480,TODAY(),Holidays)-1))</f>
        <v/>
      </c>
      <c r="X480" s="18"/>
      <c r="Y480" s="18"/>
      <c r="Z480" s="17">
        <f>IF($N480="","",COUNT($N480:$S480))</f>
        <v/>
      </c>
      <c r="AA480" s="19">
        <f>IF($Z480="","",INT(INDEX($N480:$S480,$Z480)))</f>
        <v/>
      </c>
      <c r="AB480" s="19">
        <f>IF(OR($Z480="",$Z480=6),"",WORKDAY($AA480,CHOOSE($Z480,3,3,2,2,3),Holidays))</f>
        <v/>
      </c>
      <c r="AC480" s="17">
        <f>IF(OR($Z480="",$Z480=6),"",CHOOSE($Z480,"1st Email Follow-up","2nd Email Follow-up","Escalate Local Office","Escalate to CBE","Escalate to Roxanne"))</f>
        <v/>
      </c>
    </row>
    <row r="481" spans="13:29">
      <c r="M481" s="14"/>
      <c r="T481" s="16"/>
      <c r="U481" s="17">
        <f>IF(AND(COUNTA($A481:$L481)=0,$N481=""),"",IF($T481="Paid","PAID",IF($T481="Closed","CLOSED",IF($Z481="","",IF($Z481=6,"ESCALATED TO ROXANNE",IF(TODAY()&gt;$AB481,"OVERDUE",IF($AB481&lt;=WORKDAY(TODAY(),1,Holidays),"DUE TOMORROW",IF($Z481=4,"ESCALATED TO LOCAL OFFICE",IF($Z481=5,"ESCALATED TO CBE",IF($AA481=TODAY(),"EMAIL SENT","MONITORING"))))))))))</f>
        <v/>
      </c>
      <c r="V481" s="17">
        <f>IF($U481="",IF(AND(COUNTA($A481:$L481)&gt;0,$N481=""),"Awaiting Collection Email time stamp.",""),IF(OR($U481="PAID",$U481="CLOSED"),IF($U481="PAID","Account paid. Action completed.","Account closed. No further action required."),CHOOSE($Z481,"Collection Email","1st Email Follow-up","2nd Email Follow-up","Escalation to Local Office","Escalation to CBE","Escalation to Roxanne")&amp;" sent "&amp;TEXT($AA481,"dd-mmm")&amp;". "&amp;IF($Z481=6,"Final escalation completed.",IF($U481="OVERDUE","Next: "&amp;$AC481&amp;" was due "&amp;TEXT($AB481,"dd-mmm")&amp;" - "&amp;(NETWORKDAYS($AB481,TODAY(),Holidays)-1)&amp;" business day(s) late. Send now.",IF($U481="DUE TOMORROW","Next: "&amp;$AC481&amp;IF($AB481&lt;=TODAY()," is due TODAY ("," is due next business day (")&amp;TEXT($AB481,"dd-mmm")&amp;").","Next: "&amp;$AC481&amp;" due "&amp;TEXT($AB481,"dd-mmm")&amp;" ("&amp;(NETWORKDAYS(TODAY(),$AB481,Holidays)-1)&amp;" business day(s) left).")))))</f>
        <v/>
      </c>
      <c r="W481" s="17">
        <f>IF($Z481="","",CHOOSE($Z481,"Collection Email","1st Follow-up","2nd Follow-up","Local Office","CBE","Roxanne")&amp;IF($Z481=6," - Final"," - Day "&amp;MAX(0,NETWORKDAYS($AA481,TODAY(),Holidays)-1)&amp;" of "&amp;CHOOSE($Z481,3,3,2,2,3))&amp;" | Total Day "&amp;MAX(0,NETWORKDAYS($N481,TODAY(),Holidays)-1))</f>
        <v/>
      </c>
      <c r="X481" s="18"/>
      <c r="Y481" s="18"/>
      <c r="Z481" s="17">
        <f>IF($N481="","",COUNT($N481:$S481))</f>
        <v/>
      </c>
      <c r="AA481" s="19">
        <f>IF($Z481="","",INT(INDEX($N481:$S481,$Z481)))</f>
        <v/>
      </c>
      <c r="AB481" s="19">
        <f>IF(OR($Z481="",$Z481=6),"",WORKDAY($AA481,CHOOSE($Z481,3,3,2,2,3),Holidays))</f>
        <v/>
      </c>
      <c r="AC481" s="17">
        <f>IF(OR($Z481="",$Z481=6),"",CHOOSE($Z481,"1st Email Follow-up","2nd Email Follow-up","Escalate Local Office","Escalate to CBE","Escalate to Roxanne"))</f>
        <v/>
      </c>
    </row>
    <row r="482" spans="13:29">
      <c r="M482" s="14"/>
      <c r="T482" s="16"/>
      <c r="U482" s="17">
        <f>IF(AND(COUNTA($A482:$L482)=0,$N482=""),"",IF($T482="Paid","PAID",IF($T482="Closed","CLOSED",IF($Z482="","",IF($Z482=6,"ESCALATED TO ROXANNE",IF(TODAY()&gt;$AB482,"OVERDUE",IF($AB482&lt;=WORKDAY(TODAY(),1,Holidays),"DUE TOMORROW",IF($Z482=4,"ESCALATED TO LOCAL OFFICE",IF($Z482=5,"ESCALATED TO CBE",IF($AA482=TODAY(),"EMAIL SENT","MONITORING"))))))))))</f>
        <v/>
      </c>
      <c r="V482" s="17">
        <f>IF($U482="",IF(AND(COUNTA($A482:$L482)&gt;0,$N482=""),"Awaiting Collection Email time stamp.",""),IF(OR($U482="PAID",$U482="CLOSED"),IF($U482="PAID","Account paid. Action completed.","Account closed. No further action required."),CHOOSE($Z482,"Collection Email","1st Email Follow-up","2nd Email Follow-up","Escalation to Local Office","Escalation to CBE","Escalation to Roxanne")&amp;" sent "&amp;TEXT($AA482,"dd-mmm")&amp;". "&amp;IF($Z482=6,"Final escalation completed.",IF($U482="OVERDUE","Next: "&amp;$AC482&amp;" was due "&amp;TEXT($AB482,"dd-mmm")&amp;" - "&amp;(NETWORKDAYS($AB482,TODAY(),Holidays)-1)&amp;" business day(s) late. Send now.",IF($U482="DUE TOMORROW","Next: "&amp;$AC482&amp;IF($AB482&lt;=TODAY()," is due TODAY ("," is due next business day (")&amp;TEXT($AB482,"dd-mmm")&amp;").","Next: "&amp;$AC482&amp;" due "&amp;TEXT($AB482,"dd-mmm")&amp;" ("&amp;(NETWORKDAYS(TODAY(),$AB482,Holidays)-1)&amp;" business day(s) left).")))))</f>
        <v/>
      </c>
      <c r="W482" s="17">
        <f>IF($Z482="","",CHOOSE($Z482,"Collection Email","1st Follow-up","2nd Follow-up","Local Office","CBE","Roxanne")&amp;IF($Z482=6," - Final"," - Day "&amp;MAX(0,NETWORKDAYS($AA482,TODAY(),Holidays)-1)&amp;" of "&amp;CHOOSE($Z482,3,3,2,2,3))&amp;" | Total Day "&amp;MAX(0,NETWORKDAYS($N482,TODAY(),Holidays)-1))</f>
        <v/>
      </c>
      <c r="X482" s="18"/>
      <c r="Y482" s="18"/>
      <c r="Z482" s="17">
        <f>IF($N482="","",COUNT($N482:$S482))</f>
        <v/>
      </c>
      <c r="AA482" s="19">
        <f>IF($Z482="","",INT(INDEX($N482:$S482,$Z482)))</f>
        <v/>
      </c>
      <c r="AB482" s="19">
        <f>IF(OR($Z482="",$Z482=6),"",WORKDAY($AA482,CHOOSE($Z482,3,3,2,2,3),Holidays))</f>
        <v/>
      </c>
      <c r="AC482" s="17">
        <f>IF(OR($Z482="",$Z482=6),"",CHOOSE($Z482,"1st Email Follow-up","2nd Email Follow-up","Escalate Local Office","Escalate to CBE","Escalate to Roxanne"))</f>
        <v/>
      </c>
    </row>
    <row r="483" spans="13:29">
      <c r="M483" s="14"/>
      <c r="T483" s="16"/>
      <c r="U483" s="17">
        <f>IF(AND(COUNTA($A483:$L483)=0,$N483=""),"",IF($T483="Paid","PAID",IF($T483="Closed","CLOSED",IF($Z483="","",IF($Z483=6,"ESCALATED TO ROXANNE",IF(TODAY()&gt;$AB483,"OVERDUE",IF($AB483&lt;=WORKDAY(TODAY(),1,Holidays),"DUE TOMORROW",IF($Z483=4,"ESCALATED TO LOCAL OFFICE",IF($Z483=5,"ESCALATED TO CBE",IF($AA483=TODAY(),"EMAIL SENT","MONITORING"))))))))))</f>
        <v/>
      </c>
      <c r="V483" s="17">
        <f>IF($U483="",IF(AND(COUNTA($A483:$L483)&gt;0,$N483=""),"Awaiting Collection Email time stamp.",""),IF(OR($U483="PAID",$U483="CLOSED"),IF($U483="PAID","Account paid. Action completed.","Account closed. No further action required."),CHOOSE($Z483,"Collection Email","1st Email Follow-up","2nd Email Follow-up","Escalation to Local Office","Escalation to CBE","Escalation to Roxanne")&amp;" sent "&amp;TEXT($AA483,"dd-mmm")&amp;". "&amp;IF($Z483=6,"Final escalation completed.",IF($U483="OVERDUE","Next: "&amp;$AC483&amp;" was due "&amp;TEXT($AB483,"dd-mmm")&amp;" - "&amp;(NETWORKDAYS($AB483,TODAY(),Holidays)-1)&amp;" business day(s) late. Send now.",IF($U483="DUE TOMORROW","Next: "&amp;$AC483&amp;IF($AB483&lt;=TODAY()," is due TODAY ("," is due next business day (")&amp;TEXT($AB483,"dd-mmm")&amp;").","Next: "&amp;$AC483&amp;" due "&amp;TEXT($AB483,"dd-mmm")&amp;" ("&amp;(NETWORKDAYS(TODAY(),$AB483,Holidays)-1)&amp;" business day(s) left).")))))</f>
        <v/>
      </c>
      <c r="W483" s="17">
        <f>IF($Z483="","",CHOOSE($Z483,"Collection Email","1st Follow-up","2nd Follow-up","Local Office","CBE","Roxanne")&amp;IF($Z483=6," - Final"," - Day "&amp;MAX(0,NETWORKDAYS($AA483,TODAY(),Holidays)-1)&amp;" of "&amp;CHOOSE($Z483,3,3,2,2,3))&amp;" | Total Day "&amp;MAX(0,NETWORKDAYS($N483,TODAY(),Holidays)-1))</f>
        <v/>
      </c>
      <c r="X483" s="18"/>
      <c r="Y483" s="18"/>
      <c r="Z483" s="17">
        <f>IF($N483="","",COUNT($N483:$S483))</f>
        <v/>
      </c>
      <c r="AA483" s="19">
        <f>IF($Z483="","",INT(INDEX($N483:$S483,$Z483)))</f>
        <v/>
      </c>
      <c r="AB483" s="19">
        <f>IF(OR($Z483="",$Z483=6),"",WORKDAY($AA483,CHOOSE($Z483,3,3,2,2,3),Holidays))</f>
        <v/>
      </c>
      <c r="AC483" s="17">
        <f>IF(OR($Z483="",$Z483=6),"",CHOOSE($Z483,"1st Email Follow-up","2nd Email Follow-up","Escalate Local Office","Escalate to CBE","Escalate to Roxanne"))</f>
        <v/>
      </c>
    </row>
    <row r="484" spans="13:29">
      <c r="M484" s="14"/>
      <c r="T484" s="16"/>
      <c r="U484" s="17">
        <f>IF(AND(COUNTA($A484:$L484)=0,$N484=""),"",IF($T484="Paid","PAID",IF($T484="Closed","CLOSED",IF($Z484="","",IF($Z484=6,"ESCALATED TO ROXANNE",IF(TODAY()&gt;$AB484,"OVERDUE",IF($AB484&lt;=WORKDAY(TODAY(),1,Holidays),"DUE TOMORROW",IF($Z484=4,"ESCALATED TO LOCAL OFFICE",IF($Z484=5,"ESCALATED TO CBE",IF($AA484=TODAY(),"EMAIL SENT","MONITORING"))))))))))</f>
        <v/>
      </c>
      <c r="V484" s="17">
        <f>IF($U484="",IF(AND(COUNTA($A484:$L484)&gt;0,$N484=""),"Awaiting Collection Email time stamp.",""),IF(OR($U484="PAID",$U484="CLOSED"),IF($U484="PAID","Account paid. Action completed.","Account closed. No further action required."),CHOOSE($Z484,"Collection Email","1st Email Follow-up","2nd Email Follow-up","Escalation to Local Office","Escalation to CBE","Escalation to Roxanne")&amp;" sent "&amp;TEXT($AA484,"dd-mmm")&amp;". "&amp;IF($Z484=6,"Final escalation completed.",IF($U484="OVERDUE","Next: "&amp;$AC484&amp;" was due "&amp;TEXT($AB484,"dd-mmm")&amp;" - "&amp;(NETWORKDAYS($AB484,TODAY(),Holidays)-1)&amp;" business day(s) late. Send now.",IF($U484="DUE TOMORROW","Next: "&amp;$AC484&amp;IF($AB484&lt;=TODAY()," is due TODAY ("," is due next business day (")&amp;TEXT($AB484,"dd-mmm")&amp;").","Next: "&amp;$AC484&amp;" due "&amp;TEXT($AB484,"dd-mmm")&amp;" ("&amp;(NETWORKDAYS(TODAY(),$AB484,Holidays)-1)&amp;" business day(s) left).")))))</f>
        <v/>
      </c>
      <c r="W484" s="17">
        <f>IF($Z484="","",CHOOSE($Z484,"Collection Email","1st Follow-up","2nd Follow-up","Local Office","CBE","Roxanne")&amp;IF($Z484=6," - Final"," - Day "&amp;MAX(0,NETWORKDAYS($AA484,TODAY(),Holidays)-1)&amp;" of "&amp;CHOOSE($Z484,3,3,2,2,3))&amp;" | Total Day "&amp;MAX(0,NETWORKDAYS($N484,TODAY(),Holidays)-1))</f>
        <v/>
      </c>
      <c r="X484" s="18"/>
      <c r="Y484" s="18"/>
      <c r="Z484" s="17">
        <f>IF($N484="","",COUNT($N484:$S484))</f>
        <v/>
      </c>
      <c r="AA484" s="19">
        <f>IF($Z484="","",INT(INDEX($N484:$S484,$Z484)))</f>
        <v/>
      </c>
      <c r="AB484" s="19">
        <f>IF(OR($Z484="",$Z484=6),"",WORKDAY($AA484,CHOOSE($Z484,3,3,2,2,3),Holidays))</f>
        <v/>
      </c>
      <c r="AC484" s="17">
        <f>IF(OR($Z484="",$Z484=6),"",CHOOSE($Z484,"1st Email Follow-up","2nd Email Follow-up","Escalate Local Office","Escalate to CBE","Escalate to Roxanne"))</f>
        <v/>
      </c>
    </row>
    <row r="485" spans="13:29">
      <c r="M485" s="14"/>
      <c r="T485" s="16"/>
      <c r="U485" s="17">
        <f>IF(AND(COUNTA($A485:$L485)=0,$N485=""),"",IF($T485="Paid","PAID",IF($T485="Closed","CLOSED",IF($Z485="","",IF($Z485=6,"ESCALATED TO ROXANNE",IF(TODAY()&gt;$AB485,"OVERDUE",IF($AB485&lt;=WORKDAY(TODAY(),1,Holidays),"DUE TOMORROW",IF($Z485=4,"ESCALATED TO LOCAL OFFICE",IF($Z485=5,"ESCALATED TO CBE",IF($AA485=TODAY(),"EMAIL SENT","MONITORING"))))))))))</f>
        <v/>
      </c>
      <c r="V485" s="17">
        <f>IF($U485="",IF(AND(COUNTA($A485:$L485)&gt;0,$N485=""),"Awaiting Collection Email time stamp.",""),IF(OR($U485="PAID",$U485="CLOSED"),IF($U485="PAID","Account paid. Action completed.","Account closed. No further action required."),CHOOSE($Z485,"Collection Email","1st Email Follow-up","2nd Email Follow-up","Escalation to Local Office","Escalation to CBE","Escalation to Roxanne")&amp;" sent "&amp;TEXT($AA485,"dd-mmm")&amp;". "&amp;IF($Z485=6,"Final escalation completed.",IF($U485="OVERDUE","Next: "&amp;$AC485&amp;" was due "&amp;TEXT($AB485,"dd-mmm")&amp;" - "&amp;(NETWORKDAYS($AB485,TODAY(),Holidays)-1)&amp;" business day(s) late. Send now.",IF($U485="DUE TOMORROW","Next: "&amp;$AC485&amp;IF($AB485&lt;=TODAY()," is due TODAY ("," is due next business day (")&amp;TEXT($AB485,"dd-mmm")&amp;").","Next: "&amp;$AC485&amp;" due "&amp;TEXT($AB485,"dd-mmm")&amp;" ("&amp;(NETWORKDAYS(TODAY(),$AB485,Holidays)-1)&amp;" business day(s) left).")))))</f>
        <v/>
      </c>
      <c r="W485" s="17">
        <f>IF($Z485="","",CHOOSE($Z485,"Collection Email","1st Follow-up","2nd Follow-up","Local Office","CBE","Roxanne")&amp;IF($Z485=6," - Final"," - Day "&amp;MAX(0,NETWORKDAYS($AA485,TODAY(),Holidays)-1)&amp;" of "&amp;CHOOSE($Z485,3,3,2,2,3))&amp;" | Total Day "&amp;MAX(0,NETWORKDAYS($N485,TODAY(),Holidays)-1))</f>
        <v/>
      </c>
      <c r="X485" s="18"/>
      <c r="Y485" s="18"/>
      <c r="Z485" s="17">
        <f>IF($N485="","",COUNT($N485:$S485))</f>
        <v/>
      </c>
      <c r="AA485" s="19">
        <f>IF($Z485="","",INT(INDEX($N485:$S485,$Z485)))</f>
        <v/>
      </c>
      <c r="AB485" s="19">
        <f>IF(OR($Z485="",$Z485=6),"",WORKDAY($AA485,CHOOSE($Z485,3,3,2,2,3),Holidays))</f>
        <v/>
      </c>
      <c r="AC485" s="17">
        <f>IF(OR($Z485="",$Z485=6),"",CHOOSE($Z485,"1st Email Follow-up","2nd Email Follow-up","Escalate Local Office","Escalate to CBE","Escalate to Roxanne"))</f>
        <v/>
      </c>
    </row>
    <row r="486" spans="13:29">
      <c r="M486" s="14"/>
      <c r="T486" s="16"/>
      <c r="U486" s="17">
        <f>IF(AND(COUNTA($A486:$L486)=0,$N486=""),"",IF($T486="Paid","PAID",IF($T486="Closed","CLOSED",IF($Z486="","",IF($Z486=6,"ESCALATED TO ROXANNE",IF(TODAY()&gt;$AB486,"OVERDUE",IF($AB486&lt;=WORKDAY(TODAY(),1,Holidays),"DUE TOMORROW",IF($Z486=4,"ESCALATED TO LOCAL OFFICE",IF($Z486=5,"ESCALATED TO CBE",IF($AA486=TODAY(),"EMAIL SENT","MONITORING"))))))))))</f>
        <v/>
      </c>
      <c r="V486" s="17">
        <f>IF($U486="",IF(AND(COUNTA($A486:$L486)&gt;0,$N486=""),"Awaiting Collection Email time stamp.",""),IF(OR($U486="PAID",$U486="CLOSED"),IF($U486="PAID","Account paid. Action completed.","Account closed. No further action required."),CHOOSE($Z486,"Collection Email","1st Email Follow-up","2nd Email Follow-up","Escalation to Local Office","Escalation to CBE","Escalation to Roxanne")&amp;" sent "&amp;TEXT($AA486,"dd-mmm")&amp;". "&amp;IF($Z486=6,"Final escalation completed.",IF($U486="OVERDUE","Next: "&amp;$AC486&amp;" was due "&amp;TEXT($AB486,"dd-mmm")&amp;" - "&amp;(NETWORKDAYS($AB486,TODAY(),Holidays)-1)&amp;" business day(s) late. Send now.",IF($U486="DUE TOMORROW","Next: "&amp;$AC486&amp;IF($AB486&lt;=TODAY()," is due TODAY ("," is due next business day (")&amp;TEXT($AB486,"dd-mmm")&amp;").","Next: "&amp;$AC486&amp;" due "&amp;TEXT($AB486,"dd-mmm")&amp;" ("&amp;(NETWORKDAYS(TODAY(),$AB486,Holidays)-1)&amp;" business day(s) left).")))))</f>
        <v/>
      </c>
      <c r="W486" s="17">
        <f>IF($Z486="","",CHOOSE($Z486,"Collection Email","1st Follow-up","2nd Follow-up","Local Office","CBE","Roxanne")&amp;IF($Z486=6," - Final"," - Day "&amp;MAX(0,NETWORKDAYS($AA486,TODAY(),Holidays)-1)&amp;" of "&amp;CHOOSE($Z486,3,3,2,2,3))&amp;" | Total Day "&amp;MAX(0,NETWORKDAYS($N486,TODAY(),Holidays)-1))</f>
        <v/>
      </c>
      <c r="X486" s="18"/>
      <c r="Y486" s="18"/>
      <c r="Z486" s="17">
        <f>IF($N486="","",COUNT($N486:$S486))</f>
        <v/>
      </c>
      <c r="AA486" s="19">
        <f>IF($Z486="","",INT(INDEX($N486:$S486,$Z486)))</f>
        <v/>
      </c>
      <c r="AB486" s="19">
        <f>IF(OR($Z486="",$Z486=6),"",WORKDAY($AA486,CHOOSE($Z486,3,3,2,2,3),Holidays))</f>
        <v/>
      </c>
      <c r="AC486" s="17">
        <f>IF(OR($Z486="",$Z486=6),"",CHOOSE($Z486,"1st Email Follow-up","2nd Email Follow-up","Escalate Local Office","Escalate to CBE","Escalate to Roxanne"))</f>
        <v/>
      </c>
    </row>
    <row r="487" spans="13:29">
      <c r="M487" s="14"/>
      <c r="T487" s="16"/>
      <c r="U487" s="17">
        <f>IF(AND(COUNTA($A487:$L487)=0,$N487=""),"",IF($T487="Paid","PAID",IF($T487="Closed","CLOSED",IF($Z487="","",IF($Z487=6,"ESCALATED TO ROXANNE",IF(TODAY()&gt;$AB487,"OVERDUE",IF($AB487&lt;=WORKDAY(TODAY(),1,Holidays),"DUE TOMORROW",IF($Z487=4,"ESCALATED TO LOCAL OFFICE",IF($Z487=5,"ESCALATED TO CBE",IF($AA487=TODAY(),"EMAIL SENT","MONITORING"))))))))))</f>
        <v/>
      </c>
      <c r="V487" s="17">
        <f>IF($U487="",IF(AND(COUNTA($A487:$L487)&gt;0,$N487=""),"Awaiting Collection Email time stamp.",""),IF(OR($U487="PAID",$U487="CLOSED"),IF($U487="PAID","Account paid. Action completed.","Account closed. No further action required."),CHOOSE($Z487,"Collection Email","1st Email Follow-up","2nd Email Follow-up","Escalation to Local Office","Escalation to CBE","Escalation to Roxanne")&amp;" sent "&amp;TEXT($AA487,"dd-mmm")&amp;". "&amp;IF($Z487=6,"Final escalation completed.",IF($U487="OVERDUE","Next: "&amp;$AC487&amp;" was due "&amp;TEXT($AB487,"dd-mmm")&amp;" - "&amp;(NETWORKDAYS($AB487,TODAY(),Holidays)-1)&amp;" business day(s) late. Send now.",IF($U487="DUE TOMORROW","Next: "&amp;$AC487&amp;IF($AB487&lt;=TODAY()," is due TODAY ("," is due next business day (")&amp;TEXT($AB487,"dd-mmm")&amp;").","Next: "&amp;$AC487&amp;" due "&amp;TEXT($AB487,"dd-mmm")&amp;" ("&amp;(NETWORKDAYS(TODAY(),$AB487,Holidays)-1)&amp;" business day(s) left).")))))</f>
        <v/>
      </c>
      <c r="W487" s="17">
        <f>IF($Z487="","",CHOOSE($Z487,"Collection Email","1st Follow-up","2nd Follow-up","Local Office","CBE","Roxanne")&amp;IF($Z487=6," - Final"," - Day "&amp;MAX(0,NETWORKDAYS($AA487,TODAY(),Holidays)-1)&amp;" of "&amp;CHOOSE($Z487,3,3,2,2,3))&amp;" | Total Day "&amp;MAX(0,NETWORKDAYS($N487,TODAY(),Holidays)-1))</f>
        <v/>
      </c>
      <c r="X487" s="18"/>
      <c r="Y487" s="18"/>
      <c r="Z487" s="17">
        <f>IF($N487="","",COUNT($N487:$S487))</f>
        <v/>
      </c>
      <c r="AA487" s="19">
        <f>IF($Z487="","",INT(INDEX($N487:$S487,$Z487)))</f>
        <v/>
      </c>
      <c r="AB487" s="19">
        <f>IF(OR($Z487="",$Z487=6),"",WORKDAY($AA487,CHOOSE($Z487,3,3,2,2,3),Holidays))</f>
        <v/>
      </c>
      <c r="AC487" s="17">
        <f>IF(OR($Z487="",$Z487=6),"",CHOOSE($Z487,"1st Email Follow-up","2nd Email Follow-up","Escalate Local Office","Escalate to CBE","Escalate to Roxanne"))</f>
        <v/>
      </c>
    </row>
    <row r="488" spans="13:29">
      <c r="M488" s="14"/>
      <c r="T488" s="16"/>
      <c r="U488" s="17">
        <f>IF(AND(COUNTA($A488:$L488)=0,$N488=""),"",IF($T488="Paid","PAID",IF($T488="Closed","CLOSED",IF($Z488="","",IF($Z488=6,"ESCALATED TO ROXANNE",IF(TODAY()&gt;$AB488,"OVERDUE",IF($AB488&lt;=WORKDAY(TODAY(),1,Holidays),"DUE TOMORROW",IF($Z488=4,"ESCALATED TO LOCAL OFFICE",IF($Z488=5,"ESCALATED TO CBE",IF($AA488=TODAY(),"EMAIL SENT","MONITORING"))))))))))</f>
        <v/>
      </c>
      <c r="V488" s="17">
        <f>IF($U488="",IF(AND(COUNTA($A488:$L488)&gt;0,$N488=""),"Awaiting Collection Email time stamp.",""),IF(OR($U488="PAID",$U488="CLOSED"),IF($U488="PAID","Account paid. Action completed.","Account closed. No further action required."),CHOOSE($Z488,"Collection Email","1st Email Follow-up","2nd Email Follow-up","Escalation to Local Office","Escalation to CBE","Escalation to Roxanne")&amp;" sent "&amp;TEXT($AA488,"dd-mmm")&amp;". "&amp;IF($Z488=6,"Final escalation completed.",IF($U488="OVERDUE","Next: "&amp;$AC488&amp;" was due "&amp;TEXT($AB488,"dd-mmm")&amp;" - "&amp;(NETWORKDAYS($AB488,TODAY(),Holidays)-1)&amp;" business day(s) late. Send now.",IF($U488="DUE TOMORROW","Next: "&amp;$AC488&amp;IF($AB488&lt;=TODAY()," is due TODAY ("," is due next business day (")&amp;TEXT($AB488,"dd-mmm")&amp;").","Next: "&amp;$AC488&amp;" due "&amp;TEXT($AB488,"dd-mmm")&amp;" ("&amp;(NETWORKDAYS(TODAY(),$AB488,Holidays)-1)&amp;" business day(s) left).")))))</f>
        <v/>
      </c>
      <c r="W488" s="17">
        <f>IF($Z488="","",CHOOSE($Z488,"Collection Email","1st Follow-up","2nd Follow-up","Local Office","CBE","Roxanne")&amp;IF($Z488=6," - Final"," - Day "&amp;MAX(0,NETWORKDAYS($AA488,TODAY(),Holidays)-1)&amp;" of "&amp;CHOOSE($Z488,3,3,2,2,3))&amp;" | Total Day "&amp;MAX(0,NETWORKDAYS($N488,TODAY(),Holidays)-1))</f>
        <v/>
      </c>
      <c r="X488" s="18"/>
      <c r="Y488" s="18"/>
      <c r="Z488" s="17">
        <f>IF($N488="","",COUNT($N488:$S488))</f>
        <v/>
      </c>
      <c r="AA488" s="19">
        <f>IF($Z488="","",INT(INDEX($N488:$S488,$Z488)))</f>
        <v/>
      </c>
      <c r="AB488" s="19">
        <f>IF(OR($Z488="",$Z488=6),"",WORKDAY($AA488,CHOOSE($Z488,3,3,2,2,3),Holidays))</f>
        <v/>
      </c>
      <c r="AC488" s="17">
        <f>IF(OR($Z488="",$Z488=6),"",CHOOSE($Z488,"1st Email Follow-up","2nd Email Follow-up","Escalate Local Office","Escalate to CBE","Escalate to Roxanne"))</f>
        <v/>
      </c>
    </row>
    <row r="489" spans="13:29">
      <c r="M489" s="14"/>
      <c r="T489" s="16"/>
      <c r="U489" s="17">
        <f>IF(AND(COUNTA($A489:$L489)=0,$N489=""),"",IF($T489="Paid","PAID",IF($T489="Closed","CLOSED",IF($Z489="","",IF($Z489=6,"ESCALATED TO ROXANNE",IF(TODAY()&gt;$AB489,"OVERDUE",IF($AB489&lt;=WORKDAY(TODAY(),1,Holidays),"DUE TOMORROW",IF($Z489=4,"ESCALATED TO LOCAL OFFICE",IF($Z489=5,"ESCALATED TO CBE",IF($AA489=TODAY(),"EMAIL SENT","MONITORING"))))))))))</f>
        <v/>
      </c>
      <c r="V489" s="17">
        <f>IF($U489="",IF(AND(COUNTA($A489:$L489)&gt;0,$N489=""),"Awaiting Collection Email time stamp.",""),IF(OR($U489="PAID",$U489="CLOSED"),IF($U489="PAID","Account paid. Action completed.","Account closed. No further action required."),CHOOSE($Z489,"Collection Email","1st Email Follow-up","2nd Email Follow-up","Escalation to Local Office","Escalation to CBE","Escalation to Roxanne")&amp;" sent "&amp;TEXT($AA489,"dd-mmm")&amp;". "&amp;IF($Z489=6,"Final escalation completed.",IF($U489="OVERDUE","Next: "&amp;$AC489&amp;" was due "&amp;TEXT($AB489,"dd-mmm")&amp;" - "&amp;(NETWORKDAYS($AB489,TODAY(),Holidays)-1)&amp;" business day(s) late. Send now.",IF($U489="DUE TOMORROW","Next: "&amp;$AC489&amp;IF($AB489&lt;=TODAY()," is due TODAY ("," is due next business day (")&amp;TEXT($AB489,"dd-mmm")&amp;").","Next: "&amp;$AC489&amp;" due "&amp;TEXT($AB489,"dd-mmm")&amp;" ("&amp;(NETWORKDAYS(TODAY(),$AB489,Holidays)-1)&amp;" business day(s) left).")))))</f>
        <v/>
      </c>
      <c r="W489" s="17">
        <f>IF($Z489="","",CHOOSE($Z489,"Collection Email","1st Follow-up","2nd Follow-up","Local Office","CBE","Roxanne")&amp;IF($Z489=6," - Final"," - Day "&amp;MAX(0,NETWORKDAYS($AA489,TODAY(),Holidays)-1)&amp;" of "&amp;CHOOSE($Z489,3,3,2,2,3))&amp;" | Total Day "&amp;MAX(0,NETWORKDAYS($N489,TODAY(),Holidays)-1))</f>
        <v/>
      </c>
      <c r="X489" s="18"/>
      <c r="Y489" s="18"/>
      <c r="Z489" s="17">
        <f>IF($N489="","",COUNT($N489:$S489))</f>
        <v/>
      </c>
      <c r="AA489" s="19">
        <f>IF($Z489="","",INT(INDEX($N489:$S489,$Z489)))</f>
        <v/>
      </c>
      <c r="AB489" s="19">
        <f>IF(OR($Z489="",$Z489=6),"",WORKDAY($AA489,CHOOSE($Z489,3,3,2,2,3),Holidays))</f>
        <v/>
      </c>
      <c r="AC489" s="17">
        <f>IF(OR($Z489="",$Z489=6),"",CHOOSE($Z489,"1st Email Follow-up","2nd Email Follow-up","Escalate Local Office","Escalate to CBE","Escalate to Roxanne"))</f>
        <v/>
      </c>
    </row>
    <row r="490" spans="13:29">
      <c r="M490" s="14"/>
      <c r="T490" s="16"/>
      <c r="U490" s="17">
        <f>IF(AND(COUNTA($A490:$L490)=0,$N490=""),"",IF($T490="Paid","PAID",IF($T490="Closed","CLOSED",IF($Z490="","",IF($Z490=6,"ESCALATED TO ROXANNE",IF(TODAY()&gt;$AB490,"OVERDUE",IF($AB490&lt;=WORKDAY(TODAY(),1,Holidays),"DUE TOMORROW",IF($Z490=4,"ESCALATED TO LOCAL OFFICE",IF($Z490=5,"ESCALATED TO CBE",IF($AA490=TODAY(),"EMAIL SENT","MONITORING"))))))))))</f>
        <v/>
      </c>
      <c r="V490" s="17">
        <f>IF($U490="",IF(AND(COUNTA($A490:$L490)&gt;0,$N490=""),"Awaiting Collection Email time stamp.",""),IF(OR($U490="PAID",$U490="CLOSED"),IF($U490="PAID","Account paid. Action completed.","Account closed. No further action required."),CHOOSE($Z490,"Collection Email","1st Email Follow-up","2nd Email Follow-up","Escalation to Local Office","Escalation to CBE","Escalation to Roxanne")&amp;" sent "&amp;TEXT($AA490,"dd-mmm")&amp;". "&amp;IF($Z490=6,"Final escalation completed.",IF($U490="OVERDUE","Next: "&amp;$AC490&amp;" was due "&amp;TEXT($AB490,"dd-mmm")&amp;" - "&amp;(NETWORKDAYS($AB490,TODAY(),Holidays)-1)&amp;" business day(s) late. Send now.",IF($U490="DUE TOMORROW","Next: "&amp;$AC490&amp;IF($AB490&lt;=TODAY()," is due TODAY ("," is due next business day (")&amp;TEXT($AB490,"dd-mmm")&amp;").","Next: "&amp;$AC490&amp;" due "&amp;TEXT($AB490,"dd-mmm")&amp;" ("&amp;(NETWORKDAYS(TODAY(),$AB490,Holidays)-1)&amp;" business day(s) left).")))))</f>
        <v/>
      </c>
      <c r="W490" s="17">
        <f>IF($Z490="","",CHOOSE($Z490,"Collection Email","1st Follow-up","2nd Follow-up","Local Office","CBE","Roxanne")&amp;IF($Z490=6," - Final"," - Day "&amp;MAX(0,NETWORKDAYS($AA490,TODAY(),Holidays)-1)&amp;" of "&amp;CHOOSE($Z490,3,3,2,2,3))&amp;" | Total Day "&amp;MAX(0,NETWORKDAYS($N490,TODAY(),Holidays)-1))</f>
        <v/>
      </c>
      <c r="X490" s="18"/>
      <c r="Y490" s="18"/>
      <c r="Z490" s="17">
        <f>IF($N490="","",COUNT($N490:$S490))</f>
        <v/>
      </c>
      <c r="AA490" s="19">
        <f>IF($Z490="","",INT(INDEX($N490:$S490,$Z490)))</f>
        <v/>
      </c>
      <c r="AB490" s="19">
        <f>IF(OR($Z490="",$Z490=6),"",WORKDAY($AA490,CHOOSE($Z490,3,3,2,2,3),Holidays))</f>
        <v/>
      </c>
      <c r="AC490" s="17">
        <f>IF(OR($Z490="",$Z490=6),"",CHOOSE($Z490,"1st Email Follow-up","2nd Email Follow-up","Escalate Local Office","Escalate to CBE","Escalate to Roxanne"))</f>
        <v/>
      </c>
    </row>
    <row r="491" spans="13:29">
      <c r="M491" s="14"/>
      <c r="T491" s="16"/>
      <c r="U491" s="17">
        <f>IF(AND(COUNTA($A491:$L491)=0,$N491=""),"",IF($T491="Paid","PAID",IF($T491="Closed","CLOSED",IF($Z491="","",IF($Z491=6,"ESCALATED TO ROXANNE",IF(TODAY()&gt;$AB491,"OVERDUE",IF($AB491&lt;=WORKDAY(TODAY(),1,Holidays),"DUE TOMORROW",IF($Z491=4,"ESCALATED TO LOCAL OFFICE",IF($Z491=5,"ESCALATED TO CBE",IF($AA491=TODAY(),"EMAIL SENT","MONITORING"))))))))))</f>
        <v/>
      </c>
      <c r="V491" s="17">
        <f>IF($U491="",IF(AND(COUNTA($A491:$L491)&gt;0,$N491=""),"Awaiting Collection Email time stamp.",""),IF(OR($U491="PAID",$U491="CLOSED"),IF($U491="PAID","Account paid. Action completed.","Account closed. No further action required."),CHOOSE($Z491,"Collection Email","1st Email Follow-up","2nd Email Follow-up","Escalation to Local Office","Escalation to CBE","Escalation to Roxanne")&amp;" sent "&amp;TEXT($AA491,"dd-mmm")&amp;". "&amp;IF($Z491=6,"Final escalation completed.",IF($U491="OVERDUE","Next: "&amp;$AC491&amp;" was due "&amp;TEXT($AB491,"dd-mmm")&amp;" - "&amp;(NETWORKDAYS($AB491,TODAY(),Holidays)-1)&amp;" business day(s) late. Send now.",IF($U491="DUE TOMORROW","Next: "&amp;$AC491&amp;IF($AB491&lt;=TODAY()," is due TODAY ("," is due next business day (")&amp;TEXT($AB491,"dd-mmm")&amp;").","Next: "&amp;$AC491&amp;" due "&amp;TEXT($AB491,"dd-mmm")&amp;" ("&amp;(NETWORKDAYS(TODAY(),$AB491,Holidays)-1)&amp;" business day(s) left).")))))</f>
        <v/>
      </c>
      <c r="W491" s="17">
        <f>IF($Z491="","",CHOOSE($Z491,"Collection Email","1st Follow-up","2nd Follow-up","Local Office","CBE","Roxanne")&amp;IF($Z491=6," - Final"," - Day "&amp;MAX(0,NETWORKDAYS($AA491,TODAY(),Holidays)-1)&amp;" of "&amp;CHOOSE($Z491,3,3,2,2,3))&amp;" | Total Day "&amp;MAX(0,NETWORKDAYS($N491,TODAY(),Holidays)-1))</f>
        <v/>
      </c>
      <c r="X491" s="18"/>
      <c r="Y491" s="18"/>
      <c r="Z491" s="17">
        <f>IF($N491="","",COUNT($N491:$S491))</f>
        <v/>
      </c>
      <c r="AA491" s="19">
        <f>IF($Z491="","",INT(INDEX($N491:$S491,$Z491)))</f>
        <v/>
      </c>
      <c r="AB491" s="19">
        <f>IF(OR($Z491="",$Z491=6),"",WORKDAY($AA491,CHOOSE($Z491,3,3,2,2,3),Holidays))</f>
        <v/>
      </c>
      <c r="AC491" s="17">
        <f>IF(OR($Z491="",$Z491=6),"",CHOOSE($Z491,"1st Email Follow-up","2nd Email Follow-up","Escalate Local Office","Escalate to CBE","Escalate to Roxanne"))</f>
        <v/>
      </c>
    </row>
    <row r="492" spans="13:29">
      <c r="M492" s="14"/>
      <c r="T492" s="16"/>
      <c r="U492" s="17">
        <f>IF(AND(COUNTA($A492:$L492)=0,$N492=""),"",IF($T492="Paid","PAID",IF($T492="Closed","CLOSED",IF($Z492="","",IF($Z492=6,"ESCALATED TO ROXANNE",IF(TODAY()&gt;$AB492,"OVERDUE",IF($AB492&lt;=WORKDAY(TODAY(),1,Holidays),"DUE TOMORROW",IF($Z492=4,"ESCALATED TO LOCAL OFFICE",IF($Z492=5,"ESCALATED TO CBE",IF($AA492=TODAY(),"EMAIL SENT","MONITORING"))))))))))</f>
        <v/>
      </c>
      <c r="V492" s="17">
        <f>IF($U492="",IF(AND(COUNTA($A492:$L492)&gt;0,$N492=""),"Awaiting Collection Email time stamp.",""),IF(OR($U492="PAID",$U492="CLOSED"),IF($U492="PAID","Account paid. Action completed.","Account closed. No further action required."),CHOOSE($Z492,"Collection Email","1st Email Follow-up","2nd Email Follow-up","Escalation to Local Office","Escalation to CBE","Escalation to Roxanne")&amp;" sent "&amp;TEXT($AA492,"dd-mmm")&amp;". "&amp;IF($Z492=6,"Final escalation completed.",IF($U492="OVERDUE","Next: "&amp;$AC492&amp;" was due "&amp;TEXT($AB492,"dd-mmm")&amp;" - "&amp;(NETWORKDAYS($AB492,TODAY(),Holidays)-1)&amp;" business day(s) late. Send now.",IF($U492="DUE TOMORROW","Next: "&amp;$AC492&amp;IF($AB492&lt;=TODAY()," is due TODAY ("," is due next business day (")&amp;TEXT($AB492,"dd-mmm")&amp;").","Next: "&amp;$AC492&amp;" due "&amp;TEXT($AB492,"dd-mmm")&amp;" ("&amp;(NETWORKDAYS(TODAY(),$AB492,Holidays)-1)&amp;" business day(s) left).")))))</f>
        <v/>
      </c>
      <c r="W492" s="17">
        <f>IF($Z492="","",CHOOSE($Z492,"Collection Email","1st Follow-up","2nd Follow-up","Local Office","CBE","Roxanne")&amp;IF($Z492=6," - Final"," - Day "&amp;MAX(0,NETWORKDAYS($AA492,TODAY(),Holidays)-1)&amp;" of "&amp;CHOOSE($Z492,3,3,2,2,3))&amp;" | Total Day "&amp;MAX(0,NETWORKDAYS($N492,TODAY(),Holidays)-1))</f>
        <v/>
      </c>
      <c r="X492" s="18"/>
      <c r="Y492" s="18"/>
      <c r="Z492" s="17">
        <f>IF($N492="","",COUNT($N492:$S492))</f>
        <v/>
      </c>
      <c r="AA492" s="19">
        <f>IF($Z492="","",INT(INDEX($N492:$S492,$Z492)))</f>
        <v/>
      </c>
      <c r="AB492" s="19">
        <f>IF(OR($Z492="",$Z492=6),"",WORKDAY($AA492,CHOOSE($Z492,3,3,2,2,3),Holidays))</f>
        <v/>
      </c>
      <c r="AC492" s="17">
        <f>IF(OR($Z492="",$Z492=6),"",CHOOSE($Z492,"1st Email Follow-up","2nd Email Follow-up","Escalate Local Office","Escalate to CBE","Escalate to Roxanne"))</f>
        <v/>
      </c>
    </row>
    <row r="493" spans="13:29">
      <c r="M493" s="14"/>
      <c r="T493" s="16"/>
      <c r="U493" s="17">
        <f>IF(AND(COUNTA($A493:$L493)=0,$N493=""),"",IF($T493="Paid","PAID",IF($T493="Closed","CLOSED",IF($Z493="","",IF($Z493=6,"ESCALATED TO ROXANNE",IF(TODAY()&gt;$AB493,"OVERDUE",IF($AB493&lt;=WORKDAY(TODAY(),1,Holidays),"DUE TOMORROW",IF($Z493=4,"ESCALATED TO LOCAL OFFICE",IF($Z493=5,"ESCALATED TO CBE",IF($AA493=TODAY(),"EMAIL SENT","MONITORING"))))))))))</f>
        <v/>
      </c>
      <c r="V493" s="17">
        <f>IF($U493="",IF(AND(COUNTA($A493:$L493)&gt;0,$N493=""),"Awaiting Collection Email time stamp.",""),IF(OR($U493="PAID",$U493="CLOSED"),IF($U493="PAID","Account paid. Action completed.","Account closed. No further action required."),CHOOSE($Z493,"Collection Email","1st Email Follow-up","2nd Email Follow-up","Escalation to Local Office","Escalation to CBE","Escalation to Roxanne")&amp;" sent "&amp;TEXT($AA493,"dd-mmm")&amp;". "&amp;IF($Z493=6,"Final escalation completed.",IF($U493="OVERDUE","Next: "&amp;$AC493&amp;" was due "&amp;TEXT($AB493,"dd-mmm")&amp;" - "&amp;(NETWORKDAYS($AB493,TODAY(),Holidays)-1)&amp;" business day(s) late. Send now.",IF($U493="DUE TOMORROW","Next: "&amp;$AC493&amp;IF($AB493&lt;=TODAY()," is due TODAY ("," is due next business day (")&amp;TEXT($AB493,"dd-mmm")&amp;").","Next: "&amp;$AC493&amp;" due "&amp;TEXT($AB493,"dd-mmm")&amp;" ("&amp;(NETWORKDAYS(TODAY(),$AB493,Holidays)-1)&amp;" business day(s) left).")))))</f>
        <v/>
      </c>
      <c r="W493" s="17">
        <f>IF($Z493="","",CHOOSE($Z493,"Collection Email","1st Follow-up","2nd Follow-up","Local Office","CBE","Roxanne")&amp;IF($Z493=6," - Final"," - Day "&amp;MAX(0,NETWORKDAYS($AA493,TODAY(),Holidays)-1)&amp;" of "&amp;CHOOSE($Z493,3,3,2,2,3))&amp;" | Total Day "&amp;MAX(0,NETWORKDAYS($N493,TODAY(),Holidays)-1))</f>
        <v/>
      </c>
      <c r="X493" s="18"/>
      <c r="Y493" s="18"/>
      <c r="Z493" s="17">
        <f>IF($N493="","",COUNT($N493:$S493))</f>
        <v/>
      </c>
      <c r="AA493" s="19">
        <f>IF($Z493="","",INT(INDEX($N493:$S493,$Z493)))</f>
        <v/>
      </c>
      <c r="AB493" s="19">
        <f>IF(OR($Z493="",$Z493=6),"",WORKDAY($AA493,CHOOSE($Z493,3,3,2,2,3),Holidays))</f>
        <v/>
      </c>
      <c r="AC493" s="17">
        <f>IF(OR($Z493="",$Z493=6),"",CHOOSE($Z493,"1st Email Follow-up","2nd Email Follow-up","Escalate Local Office","Escalate to CBE","Escalate to Roxanne"))</f>
        <v/>
      </c>
    </row>
    <row r="494" spans="13:29">
      <c r="M494" s="14"/>
      <c r="T494" s="16"/>
      <c r="U494" s="17">
        <f>IF(AND(COUNTA($A494:$L494)=0,$N494=""),"",IF($T494="Paid","PAID",IF($T494="Closed","CLOSED",IF($Z494="","",IF($Z494=6,"ESCALATED TO ROXANNE",IF(TODAY()&gt;$AB494,"OVERDUE",IF($AB494&lt;=WORKDAY(TODAY(),1,Holidays),"DUE TOMORROW",IF($Z494=4,"ESCALATED TO LOCAL OFFICE",IF($Z494=5,"ESCALATED TO CBE",IF($AA494=TODAY(),"EMAIL SENT","MONITORING"))))))))))</f>
        <v/>
      </c>
      <c r="V494" s="17">
        <f>IF($U494="",IF(AND(COUNTA($A494:$L494)&gt;0,$N494=""),"Awaiting Collection Email time stamp.",""),IF(OR($U494="PAID",$U494="CLOSED"),IF($U494="PAID","Account paid. Action completed.","Account closed. No further action required."),CHOOSE($Z494,"Collection Email","1st Email Follow-up","2nd Email Follow-up","Escalation to Local Office","Escalation to CBE","Escalation to Roxanne")&amp;" sent "&amp;TEXT($AA494,"dd-mmm")&amp;". "&amp;IF($Z494=6,"Final escalation completed.",IF($U494="OVERDUE","Next: "&amp;$AC494&amp;" was due "&amp;TEXT($AB494,"dd-mmm")&amp;" - "&amp;(NETWORKDAYS($AB494,TODAY(),Holidays)-1)&amp;" business day(s) late. Send now.",IF($U494="DUE TOMORROW","Next: "&amp;$AC494&amp;IF($AB494&lt;=TODAY()," is due TODAY ("," is due next business day (")&amp;TEXT($AB494,"dd-mmm")&amp;").","Next: "&amp;$AC494&amp;" due "&amp;TEXT($AB494,"dd-mmm")&amp;" ("&amp;(NETWORKDAYS(TODAY(),$AB494,Holidays)-1)&amp;" business day(s) left).")))))</f>
        <v/>
      </c>
      <c r="W494" s="17">
        <f>IF($Z494="","",CHOOSE($Z494,"Collection Email","1st Follow-up","2nd Follow-up","Local Office","CBE","Roxanne")&amp;IF($Z494=6," - Final"," - Day "&amp;MAX(0,NETWORKDAYS($AA494,TODAY(),Holidays)-1)&amp;" of "&amp;CHOOSE($Z494,3,3,2,2,3))&amp;" | Total Day "&amp;MAX(0,NETWORKDAYS($N494,TODAY(),Holidays)-1))</f>
        <v/>
      </c>
      <c r="X494" s="18"/>
      <c r="Y494" s="18"/>
      <c r="Z494" s="17">
        <f>IF($N494="","",COUNT($N494:$S494))</f>
        <v/>
      </c>
      <c r="AA494" s="19">
        <f>IF($Z494="","",INT(INDEX($N494:$S494,$Z494)))</f>
        <v/>
      </c>
      <c r="AB494" s="19">
        <f>IF(OR($Z494="",$Z494=6),"",WORKDAY($AA494,CHOOSE($Z494,3,3,2,2,3),Holidays))</f>
        <v/>
      </c>
      <c r="AC494" s="17">
        <f>IF(OR($Z494="",$Z494=6),"",CHOOSE($Z494,"1st Email Follow-up","2nd Email Follow-up","Escalate Local Office","Escalate to CBE","Escalate to Roxanne"))</f>
        <v/>
      </c>
    </row>
    <row r="495" spans="13:29">
      <c r="M495" s="14"/>
      <c r="T495" s="16"/>
      <c r="U495" s="17">
        <f>IF(AND(COUNTA($A495:$L495)=0,$N495=""),"",IF($T495="Paid","PAID",IF($T495="Closed","CLOSED",IF($Z495="","",IF($Z495=6,"ESCALATED TO ROXANNE",IF(TODAY()&gt;$AB495,"OVERDUE",IF($AB495&lt;=WORKDAY(TODAY(),1,Holidays),"DUE TOMORROW",IF($Z495=4,"ESCALATED TO LOCAL OFFICE",IF($Z495=5,"ESCALATED TO CBE",IF($AA495=TODAY(),"EMAIL SENT","MONITORING"))))))))))</f>
        <v/>
      </c>
      <c r="V495" s="17">
        <f>IF($U495="",IF(AND(COUNTA($A495:$L495)&gt;0,$N495=""),"Awaiting Collection Email time stamp.",""),IF(OR($U495="PAID",$U495="CLOSED"),IF($U495="PAID","Account paid. Action completed.","Account closed. No further action required."),CHOOSE($Z495,"Collection Email","1st Email Follow-up","2nd Email Follow-up","Escalation to Local Office","Escalation to CBE","Escalation to Roxanne")&amp;" sent "&amp;TEXT($AA495,"dd-mmm")&amp;". "&amp;IF($Z495=6,"Final escalation completed.",IF($U495="OVERDUE","Next: "&amp;$AC495&amp;" was due "&amp;TEXT($AB495,"dd-mmm")&amp;" - "&amp;(NETWORKDAYS($AB495,TODAY(),Holidays)-1)&amp;" business day(s) late. Send now.",IF($U495="DUE TOMORROW","Next: "&amp;$AC495&amp;IF($AB495&lt;=TODAY()," is due TODAY ("," is due next business day (")&amp;TEXT($AB495,"dd-mmm")&amp;").","Next: "&amp;$AC495&amp;" due "&amp;TEXT($AB495,"dd-mmm")&amp;" ("&amp;(NETWORKDAYS(TODAY(),$AB495,Holidays)-1)&amp;" business day(s) left).")))))</f>
        <v/>
      </c>
      <c r="W495" s="17">
        <f>IF($Z495="","",CHOOSE($Z495,"Collection Email","1st Follow-up","2nd Follow-up","Local Office","CBE","Roxanne")&amp;IF($Z495=6," - Final"," - Day "&amp;MAX(0,NETWORKDAYS($AA495,TODAY(),Holidays)-1)&amp;" of "&amp;CHOOSE($Z495,3,3,2,2,3))&amp;" | Total Day "&amp;MAX(0,NETWORKDAYS($N495,TODAY(),Holidays)-1))</f>
        <v/>
      </c>
      <c r="X495" s="18"/>
      <c r="Y495" s="18"/>
      <c r="Z495" s="17">
        <f>IF($N495="","",COUNT($N495:$S495))</f>
        <v/>
      </c>
      <c r="AA495" s="19">
        <f>IF($Z495="","",INT(INDEX($N495:$S495,$Z495)))</f>
        <v/>
      </c>
      <c r="AB495" s="19">
        <f>IF(OR($Z495="",$Z495=6),"",WORKDAY($AA495,CHOOSE($Z495,3,3,2,2,3),Holidays))</f>
        <v/>
      </c>
      <c r="AC495" s="17">
        <f>IF(OR($Z495="",$Z495=6),"",CHOOSE($Z495,"1st Email Follow-up","2nd Email Follow-up","Escalate Local Office","Escalate to CBE","Escalate to Roxanne"))</f>
        <v/>
      </c>
    </row>
    <row r="496" spans="13:29">
      <c r="M496" s="14"/>
      <c r="T496" s="16"/>
      <c r="U496" s="17">
        <f>IF(AND(COUNTA($A496:$L496)=0,$N496=""),"",IF($T496="Paid","PAID",IF($T496="Closed","CLOSED",IF($Z496="","",IF($Z496=6,"ESCALATED TO ROXANNE",IF(TODAY()&gt;$AB496,"OVERDUE",IF($AB496&lt;=WORKDAY(TODAY(),1,Holidays),"DUE TOMORROW",IF($Z496=4,"ESCALATED TO LOCAL OFFICE",IF($Z496=5,"ESCALATED TO CBE",IF($AA496=TODAY(),"EMAIL SENT","MONITORING"))))))))))</f>
        <v/>
      </c>
      <c r="V496" s="17">
        <f>IF($U496="",IF(AND(COUNTA($A496:$L496)&gt;0,$N496=""),"Awaiting Collection Email time stamp.",""),IF(OR($U496="PAID",$U496="CLOSED"),IF($U496="PAID","Account paid. Action completed.","Account closed. No further action required."),CHOOSE($Z496,"Collection Email","1st Email Follow-up","2nd Email Follow-up","Escalation to Local Office","Escalation to CBE","Escalation to Roxanne")&amp;" sent "&amp;TEXT($AA496,"dd-mmm")&amp;". "&amp;IF($Z496=6,"Final escalation completed.",IF($U496="OVERDUE","Next: "&amp;$AC496&amp;" was due "&amp;TEXT($AB496,"dd-mmm")&amp;" - "&amp;(NETWORKDAYS($AB496,TODAY(),Holidays)-1)&amp;" business day(s) late. Send now.",IF($U496="DUE TOMORROW","Next: "&amp;$AC496&amp;IF($AB496&lt;=TODAY()," is due TODAY ("," is due next business day (")&amp;TEXT($AB496,"dd-mmm")&amp;").","Next: "&amp;$AC496&amp;" due "&amp;TEXT($AB496,"dd-mmm")&amp;" ("&amp;(NETWORKDAYS(TODAY(),$AB496,Holidays)-1)&amp;" business day(s) left).")))))</f>
        <v/>
      </c>
      <c r="W496" s="17">
        <f>IF($Z496="","",CHOOSE($Z496,"Collection Email","1st Follow-up","2nd Follow-up","Local Office","CBE","Roxanne")&amp;IF($Z496=6," - Final"," - Day "&amp;MAX(0,NETWORKDAYS($AA496,TODAY(),Holidays)-1)&amp;" of "&amp;CHOOSE($Z496,3,3,2,2,3))&amp;" | Total Day "&amp;MAX(0,NETWORKDAYS($N496,TODAY(),Holidays)-1))</f>
        <v/>
      </c>
      <c r="X496" s="18"/>
      <c r="Y496" s="18"/>
      <c r="Z496" s="17">
        <f>IF($N496="","",COUNT($N496:$S496))</f>
        <v/>
      </c>
      <c r="AA496" s="19">
        <f>IF($Z496="","",INT(INDEX($N496:$S496,$Z496)))</f>
        <v/>
      </c>
      <c r="AB496" s="19">
        <f>IF(OR($Z496="",$Z496=6),"",WORKDAY($AA496,CHOOSE($Z496,3,3,2,2,3),Holidays))</f>
        <v/>
      </c>
      <c r="AC496" s="17">
        <f>IF(OR($Z496="",$Z496=6),"",CHOOSE($Z496,"1st Email Follow-up","2nd Email Follow-up","Escalate Local Office","Escalate to CBE","Escalate to Roxanne"))</f>
        <v/>
      </c>
    </row>
    <row r="497" spans="13:29">
      <c r="M497" s="14"/>
      <c r="T497" s="16"/>
      <c r="U497" s="17">
        <f>IF(AND(COUNTA($A497:$L497)=0,$N497=""),"",IF($T497="Paid","PAID",IF($T497="Closed","CLOSED",IF($Z497="","",IF($Z497=6,"ESCALATED TO ROXANNE",IF(TODAY()&gt;$AB497,"OVERDUE",IF($AB497&lt;=WORKDAY(TODAY(),1,Holidays),"DUE TOMORROW",IF($Z497=4,"ESCALATED TO LOCAL OFFICE",IF($Z497=5,"ESCALATED TO CBE",IF($AA497=TODAY(),"EMAIL SENT","MONITORING"))))))))))</f>
        <v/>
      </c>
      <c r="V497" s="17">
        <f>IF($U497="",IF(AND(COUNTA($A497:$L497)&gt;0,$N497=""),"Awaiting Collection Email time stamp.",""),IF(OR($U497="PAID",$U497="CLOSED"),IF($U497="PAID","Account paid. Action completed.","Account closed. No further action required."),CHOOSE($Z497,"Collection Email","1st Email Follow-up","2nd Email Follow-up","Escalation to Local Office","Escalation to CBE","Escalation to Roxanne")&amp;" sent "&amp;TEXT($AA497,"dd-mmm")&amp;". "&amp;IF($Z497=6,"Final escalation completed.",IF($U497="OVERDUE","Next: "&amp;$AC497&amp;" was due "&amp;TEXT($AB497,"dd-mmm")&amp;" - "&amp;(NETWORKDAYS($AB497,TODAY(),Holidays)-1)&amp;" business day(s) late. Send now.",IF($U497="DUE TOMORROW","Next: "&amp;$AC497&amp;IF($AB497&lt;=TODAY()," is due TODAY ("," is due next business day (")&amp;TEXT($AB497,"dd-mmm")&amp;").","Next: "&amp;$AC497&amp;" due "&amp;TEXT($AB497,"dd-mmm")&amp;" ("&amp;(NETWORKDAYS(TODAY(),$AB497,Holidays)-1)&amp;" business day(s) left).")))))</f>
        <v/>
      </c>
      <c r="W497" s="17">
        <f>IF($Z497="","",CHOOSE($Z497,"Collection Email","1st Follow-up","2nd Follow-up","Local Office","CBE","Roxanne")&amp;IF($Z497=6," - Final"," - Day "&amp;MAX(0,NETWORKDAYS($AA497,TODAY(),Holidays)-1)&amp;" of "&amp;CHOOSE($Z497,3,3,2,2,3))&amp;" | Total Day "&amp;MAX(0,NETWORKDAYS($N497,TODAY(),Holidays)-1))</f>
        <v/>
      </c>
      <c r="X497" s="18"/>
      <c r="Y497" s="18"/>
      <c r="Z497" s="17">
        <f>IF($N497="","",COUNT($N497:$S497))</f>
        <v/>
      </c>
      <c r="AA497" s="19">
        <f>IF($Z497="","",INT(INDEX($N497:$S497,$Z497)))</f>
        <v/>
      </c>
      <c r="AB497" s="19">
        <f>IF(OR($Z497="",$Z497=6),"",WORKDAY($AA497,CHOOSE($Z497,3,3,2,2,3),Holidays))</f>
        <v/>
      </c>
      <c r="AC497" s="17">
        <f>IF(OR($Z497="",$Z497=6),"",CHOOSE($Z497,"1st Email Follow-up","2nd Email Follow-up","Escalate Local Office","Escalate to CBE","Escalate to Roxanne"))</f>
        <v/>
      </c>
    </row>
    <row r="498" spans="13:29">
      <c r="M498" s="14"/>
      <c r="T498" s="16"/>
      <c r="U498" s="17">
        <f>IF(AND(COUNTA($A498:$L498)=0,$N498=""),"",IF($T498="Paid","PAID",IF($T498="Closed","CLOSED",IF($Z498="","",IF($Z498=6,"ESCALATED TO ROXANNE",IF(TODAY()&gt;$AB498,"OVERDUE",IF($AB498&lt;=WORKDAY(TODAY(),1,Holidays),"DUE TOMORROW",IF($Z498=4,"ESCALATED TO LOCAL OFFICE",IF($Z498=5,"ESCALATED TO CBE",IF($AA498=TODAY(),"EMAIL SENT","MONITORING"))))))))))</f>
        <v/>
      </c>
      <c r="V498" s="17">
        <f>IF($U498="",IF(AND(COUNTA($A498:$L498)&gt;0,$N498=""),"Awaiting Collection Email time stamp.",""),IF(OR($U498="PAID",$U498="CLOSED"),IF($U498="PAID","Account paid. Action completed.","Account closed. No further action required."),CHOOSE($Z498,"Collection Email","1st Email Follow-up","2nd Email Follow-up","Escalation to Local Office","Escalation to CBE","Escalation to Roxanne")&amp;" sent "&amp;TEXT($AA498,"dd-mmm")&amp;". "&amp;IF($Z498=6,"Final escalation completed.",IF($U498="OVERDUE","Next: "&amp;$AC498&amp;" was due "&amp;TEXT($AB498,"dd-mmm")&amp;" - "&amp;(NETWORKDAYS($AB498,TODAY(),Holidays)-1)&amp;" business day(s) late. Send now.",IF($U498="DUE TOMORROW","Next: "&amp;$AC498&amp;IF($AB498&lt;=TODAY()," is due TODAY ("," is due next business day (")&amp;TEXT($AB498,"dd-mmm")&amp;").","Next: "&amp;$AC498&amp;" due "&amp;TEXT($AB498,"dd-mmm")&amp;" ("&amp;(NETWORKDAYS(TODAY(),$AB498,Holidays)-1)&amp;" business day(s) left).")))))</f>
        <v/>
      </c>
      <c r="W498" s="17">
        <f>IF($Z498="","",CHOOSE($Z498,"Collection Email","1st Follow-up","2nd Follow-up","Local Office","CBE","Roxanne")&amp;IF($Z498=6," - Final"," - Day "&amp;MAX(0,NETWORKDAYS($AA498,TODAY(),Holidays)-1)&amp;" of "&amp;CHOOSE($Z498,3,3,2,2,3))&amp;" | Total Day "&amp;MAX(0,NETWORKDAYS($N498,TODAY(),Holidays)-1))</f>
        <v/>
      </c>
      <c r="X498" s="18"/>
      <c r="Y498" s="18"/>
      <c r="Z498" s="17">
        <f>IF($N498="","",COUNT($N498:$S498))</f>
        <v/>
      </c>
      <c r="AA498" s="19">
        <f>IF($Z498="","",INT(INDEX($N498:$S498,$Z498)))</f>
        <v/>
      </c>
      <c r="AB498" s="19">
        <f>IF(OR($Z498="",$Z498=6),"",WORKDAY($AA498,CHOOSE($Z498,3,3,2,2,3),Holidays))</f>
        <v/>
      </c>
      <c r="AC498" s="17">
        <f>IF(OR($Z498="",$Z498=6),"",CHOOSE($Z498,"1st Email Follow-up","2nd Email Follow-up","Escalate Local Office","Escalate to CBE","Escalate to Roxanne"))</f>
        <v/>
      </c>
    </row>
    <row r="499" spans="13:29">
      <c r="M499" s="14"/>
      <c r="T499" s="16"/>
      <c r="U499" s="17">
        <f>IF(AND(COUNTA($A499:$L499)=0,$N499=""),"",IF($T499="Paid","PAID",IF($T499="Closed","CLOSED",IF($Z499="","",IF($Z499=6,"ESCALATED TO ROXANNE",IF(TODAY()&gt;$AB499,"OVERDUE",IF($AB499&lt;=WORKDAY(TODAY(),1,Holidays),"DUE TOMORROW",IF($Z499=4,"ESCALATED TO LOCAL OFFICE",IF($Z499=5,"ESCALATED TO CBE",IF($AA499=TODAY(),"EMAIL SENT","MONITORING"))))))))))</f>
        <v/>
      </c>
      <c r="V499" s="17">
        <f>IF($U499="",IF(AND(COUNTA($A499:$L499)&gt;0,$N499=""),"Awaiting Collection Email time stamp.",""),IF(OR($U499="PAID",$U499="CLOSED"),IF($U499="PAID","Account paid. Action completed.","Account closed. No further action required."),CHOOSE($Z499,"Collection Email","1st Email Follow-up","2nd Email Follow-up","Escalation to Local Office","Escalation to CBE","Escalation to Roxanne")&amp;" sent "&amp;TEXT($AA499,"dd-mmm")&amp;". "&amp;IF($Z499=6,"Final escalation completed.",IF($U499="OVERDUE","Next: "&amp;$AC499&amp;" was due "&amp;TEXT($AB499,"dd-mmm")&amp;" - "&amp;(NETWORKDAYS($AB499,TODAY(),Holidays)-1)&amp;" business day(s) late. Send now.",IF($U499="DUE TOMORROW","Next: "&amp;$AC499&amp;IF($AB499&lt;=TODAY()," is due TODAY ("," is due next business day (")&amp;TEXT($AB499,"dd-mmm")&amp;").","Next: "&amp;$AC499&amp;" due "&amp;TEXT($AB499,"dd-mmm")&amp;" ("&amp;(NETWORKDAYS(TODAY(),$AB499,Holidays)-1)&amp;" business day(s) left).")))))</f>
        <v/>
      </c>
      <c r="W499" s="17">
        <f>IF($Z499="","",CHOOSE($Z499,"Collection Email","1st Follow-up","2nd Follow-up","Local Office","CBE","Roxanne")&amp;IF($Z499=6," - Final"," - Day "&amp;MAX(0,NETWORKDAYS($AA499,TODAY(),Holidays)-1)&amp;" of "&amp;CHOOSE($Z499,3,3,2,2,3))&amp;" | Total Day "&amp;MAX(0,NETWORKDAYS($N499,TODAY(),Holidays)-1))</f>
        <v/>
      </c>
      <c r="X499" s="18"/>
      <c r="Y499" s="18"/>
      <c r="Z499" s="17">
        <f>IF($N499="","",COUNT($N499:$S499))</f>
        <v/>
      </c>
      <c r="AA499" s="19">
        <f>IF($Z499="","",INT(INDEX($N499:$S499,$Z499)))</f>
        <v/>
      </c>
      <c r="AB499" s="19">
        <f>IF(OR($Z499="",$Z499=6),"",WORKDAY($AA499,CHOOSE($Z499,3,3,2,2,3),Holidays))</f>
        <v/>
      </c>
      <c r="AC499" s="17">
        <f>IF(OR($Z499="",$Z499=6),"",CHOOSE($Z499,"1st Email Follow-up","2nd Email Follow-up","Escalate Local Office","Escalate to CBE","Escalate to Roxanne"))</f>
        <v/>
      </c>
    </row>
    <row r="500" spans="13:29">
      <c r="M500" s="14"/>
      <c r="T500" s="16"/>
      <c r="U500" s="17">
        <f>IF(AND(COUNTA($A500:$L500)=0,$N500=""),"",IF($T500="Paid","PAID",IF($T500="Closed","CLOSED",IF($Z500="","",IF($Z500=6,"ESCALATED TO ROXANNE",IF(TODAY()&gt;$AB500,"OVERDUE",IF($AB500&lt;=WORKDAY(TODAY(),1,Holidays),"DUE TOMORROW",IF($Z500=4,"ESCALATED TO LOCAL OFFICE",IF($Z500=5,"ESCALATED TO CBE",IF($AA500=TODAY(),"EMAIL SENT","MONITORING"))))))))))</f>
        <v/>
      </c>
      <c r="V500" s="17">
        <f>IF($U500="",IF(AND(COUNTA($A500:$L500)&gt;0,$N500=""),"Awaiting Collection Email time stamp.",""),IF(OR($U500="PAID",$U500="CLOSED"),IF($U500="PAID","Account paid. Action completed.","Account closed. No further action required."),CHOOSE($Z500,"Collection Email","1st Email Follow-up","2nd Email Follow-up","Escalation to Local Office","Escalation to CBE","Escalation to Roxanne")&amp;" sent "&amp;TEXT($AA500,"dd-mmm")&amp;". "&amp;IF($Z500=6,"Final escalation completed.",IF($U500="OVERDUE","Next: "&amp;$AC500&amp;" was due "&amp;TEXT($AB500,"dd-mmm")&amp;" - "&amp;(NETWORKDAYS($AB500,TODAY(),Holidays)-1)&amp;" business day(s) late. Send now.",IF($U500="DUE TOMORROW","Next: "&amp;$AC500&amp;IF($AB500&lt;=TODAY()," is due TODAY ("," is due next business day (")&amp;TEXT($AB500,"dd-mmm")&amp;").","Next: "&amp;$AC500&amp;" due "&amp;TEXT($AB500,"dd-mmm")&amp;" ("&amp;(NETWORKDAYS(TODAY(),$AB500,Holidays)-1)&amp;" business day(s) left).")))))</f>
        <v/>
      </c>
      <c r="W500" s="17">
        <f>IF($Z500="","",CHOOSE($Z500,"Collection Email","1st Follow-up","2nd Follow-up","Local Office","CBE","Roxanne")&amp;IF($Z500=6," - Final"," - Day "&amp;MAX(0,NETWORKDAYS($AA500,TODAY(),Holidays)-1)&amp;" of "&amp;CHOOSE($Z500,3,3,2,2,3))&amp;" | Total Day "&amp;MAX(0,NETWORKDAYS($N500,TODAY(),Holidays)-1))</f>
        <v/>
      </c>
      <c r="X500" s="18"/>
      <c r="Y500" s="18"/>
      <c r="Z500" s="17">
        <f>IF($N500="","",COUNT($N500:$S500))</f>
        <v/>
      </c>
      <c r="AA500" s="19">
        <f>IF($Z500="","",INT(INDEX($N500:$S500,$Z500)))</f>
        <v/>
      </c>
      <c r="AB500" s="19">
        <f>IF(OR($Z500="",$Z500=6),"",WORKDAY($AA500,CHOOSE($Z500,3,3,2,2,3),Holidays))</f>
        <v/>
      </c>
      <c r="AC500" s="17">
        <f>IF(OR($Z500="",$Z500=6),"",CHOOSE($Z500,"1st Email Follow-up","2nd Email Follow-up","Escalate Local Office","Escalate to CBE","Escalate to Roxanne"))</f>
        <v/>
      </c>
    </row>
    <row r="501" spans="13:29">
      <c r="M501" s="14"/>
      <c r="T501" s="16"/>
      <c r="U501" s="17">
        <f>IF(AND(COUNTA($A501:$L501)=0,$N501=""),"",IF($T501="Paid","PAID",IF($T501="Closed","CLOSED",IF($Z501="","",IF($Z501=6,"ESCALATED TO ROXANNE",IF(TODAY()&gt;$AB501,"OVERDUE",IF($AB501&lt;=WORKDAY(TODAY(),1,Holidays),"DUE TOMORROW",IF($Z501=4,"ESCALATED TO LOCAL OFFICE",IF($Z501=5,"ESCALATED TO CBE",IF($AA501=TODAY(),"EMAIL SENT","MONITORING"))))))))))</f>
        <v/>
      </c>
      <c r="V501" s="17">
        <f>IF($U501="",IF(AND(COUNTA($A501:$L501)&gt;0,$N501=""),"Awaiting Collection Email time stamp.",""),IF(OR($U501="PAID",$U501="CLOSED"),IF($U501="PAID","Account paid. Action completed.","Account closed. No further action required."),CHOOSE($Z501,"Collection Email","1st Email Follow-up","2nd Email Follow-up","Escalation to Local Office","Escalation to CBE","Escalation to Roxanne")&amp;" sent "&amp;TEXT($AA501,"dd-mmm")&amp;". "&amp;IF($Z501=6,"Final escalation completed.",IF($U501="OVERDUE","Next: "&amp;$AC501&amp;" was due "&amp;TEXT($AB501,"dd-mmm")&amp;" - "&amp;(NETWORKDAYS($AB501,TODAY(),Holidays)-1)&amp;" business day(s) late. Send now.",IF($U501="DUE TOMORROW","Next: "&amp;$AC501&amp;IF($AB501&lt;=TODAY()," is due TODAY ("," is due next business day (")&amp;TEXT($AB501,"dd-mmm")&amp;").","Next: "&amp;$AC501&amp;" due "&amp;TEXT($AB501,"dd-mmm")&amp;" ("&amp;(NETWORKDAYS(TODAY(),$AB501,Holidays)-1)&amp;" business day(s) left).")))))</f>
        <v/>
      </c>
      <c r="W501" s="17">
        <f>IF($Z501="","",CHOOSE($Z501,"Collection Email","1st Follow-up","2nd Follow-up","Local Office","CBE","Roxanne")&amp;IF($Z501=6," - Final"," - Day "&amp;MAX(0,NETWORKDAYS($AA501,TODAY(),Holidays)-1)&amp;" of "&amp;CHOOSE($Z501,3,3,2,2,3))&amp;" | Total Day "&amp;MAX(0,NETWORKDAYS($N501,TODAY(),Holidays)-1))</f>
        <v/>
      </c>
      <c r="X501" s="18"/>
      <c r="Y501" s="18"/>
      <c r="Z501" s="17">
        <f>IF($N501="","",COUNT($N501:$S501))</f>
        <v/>
      </c>
      <c r="AA501" s="19">
        <f>IF($Z501="","",INT(INDEX($N501:$S501,$Z501)))</f>
        <v/>
      </c>
      <c r="AB501" s="19">
        <f>IF(OR($Z501="",$Z501=6),"",WORKDAY($AA501,CHOOSE($Z501,3,3,2,2,3),Holidays))</f>
        <v/>
      </c>
      <c r="AC501" s="17">
        <f>IF(OR($Z501="",$Z501=6),"",CHOOSE($Z501,"1st Email Follow-up","2nd Email Follow-up","Escalate Local Office","Escalate to CBE","Escalate to Roxanne"))</f>
        <v/>
      </c>
    </row>
    <row r="502" spans="13:29">
      <c r="M502" s="14"/>
      <c r="T502" s="16"/>
      <c r="U502" s="17">
        <f>IF(AND(COUNTA($A502:$L502)=0,$N502=""),"",IF($T502="Paid","PAID",IF($T502="Closed","CLOSED",IF($Z502="","",IF($Z502=6,"ESCALATED TO ROXANNE",IF(TODAY()&gt;$AB502,"OVERDUE",IF($AB502&lt;=WORKDAY(TODAY(),1,Holidays),"DUE TOMORROW",IF($Z502=4,"ESCALATED TO LOCAL OFFICE",IF($Z502=5,"ESCALATED TO CBE",IF($AA502=TODAY(),"EMAIL SENT","MONITORING"))))))))))</f>
        <v/>
      </c>
      <c r="V502" s="17">
        <f>IF($U502="",IF(AND(COUNTA($A502:$L502)&gt;0,$N502=""),"Awaiting Collection Email time stamp.",""),IF(OR($U502="PAID",$U502="CLOSED"),IF($U502="PAID","Account paid. Action completed.","Account closed. No further action required."),CHOOSE($Z502,"Collection Email","1st Email Follow-up","2nd Email Follow-up","Escalation to Local Office","Escalation to CBE","Escalation to Roxanne")&amp;" sent "&amp;TEXT($AA502,"dd-mmm")&amp;". "&amp;IF($Z502=6,"Final escalation completed.",IF($U502="OVERDUE","Next: "&amp;$AC502&amp;" was due "&amp;TEXT($AB502,"dd-mmm")&amp;" - "&amp;(NETWORKDAYS($AB502,TODAY(),Holidays)-1)&amp;" business day(s) late. Send now.",IF($U502="DUE TOMORROW","Next: "&amp;$AC502&amp;IF($AB502&lt;=TODAY()," is due TODAY ("," is due next business day (")&amp;TEXT($AB502,"dd-mmm")&amp;").","Next: "&amp;$AC502&amp;" due "&amp;TEXT($AB502,"dd-mmm")&amp;" ("&amp;(NETWORKDAYS(TODAY(),$AB502,Holidays)-1)&amp;" business day(s) left).")))))</f>
        <v/>
      </c>
      <c r="W502" s="17">
        <f>IF($Z502="","",CHOOSE($Z502,"Collection Email","1st Follow-up","2nd Follow-up","Local Office","CBE","Roxanne")&amp;IF($Z502=6," - Final"," - Day "&amp;MAX(0,NETWORKDAYS($AA502,TODAY(),Holidays)-1)&amp;" of "&amp;CHOOSE($Z502,3,3,2,2,3))&amp;" | Total Day "&amp;MAX(0,NETWORKDAYS($N502,TODAY(),Holidays)-1))</f>
        <v/>
      </c>
      <c r="X502" s="18"/>
      <c r="Y502" s="18"/>
      <c r="Z502" s="17">
        <f>IF($N502="","",COUNT($N502:$S502))</f>
        <v/>
      </c>
      <c r="AA502" s="19">
        <f>IF($Z502="","",INT(INDEX($N502:$S502,$Z502)))</f>
        <v/>
      </c>
      <c r="AB502" s="19">
        <f>IF(OR($Z502="",$Z502=6),"",WORKDAY($AA502,CHOOSE($Z502,3,3,2,2,3),Holidays))</f>
        <v/>
      </c>
      <c r="AC502" s="17">
        <f>IF(OR($Z502="",$Z502=6),"",CHOOSE($Z502,"1st Email Follow-up","2nd Email Follow-up","Escalate Local Office","Escalate to CBE","Escalate to Roxanne"))</f>
        <v/>
      </c>
    </row>
    <row r="503" spans="13:29">
      <c r="M503" s="14"/>
      <c r="T503" s="16"/>
      <c r="U503" s="17">
        <f>IF(AND(COUNTA($A503:$L503)=0,$N503=""),"",IF($T503="Paid","PAID",IF($T503="Closed","CLOSED",IF($Z503="","",IF($Z503=6,"ESCALATED TO ROXANNE",IF(TODAY()&gt;$AB503,"OVERDUE",IF($AB503&lt;=WORKDAY(TODAY(),1,Holidays),"DUE TOMORROW",IF($Z503=4,"ESCALATED TO LOCAL OFFICE",IF($Z503=5,"ESCALATED TO CBE",IF($AA503=TODAY(),"EMAIL SENT","MONITORING"))))))))))</f>
        <v/>
      </c>
      <c r="V503" s="17">
        <f>IF($U503="",IF(AND(COUNTA($A503:$L503)&gt;0,$N503=""),"Awaiting Collection Email time stamp.",""),IF(OR($U503="PAID",$U503="CLOSED"),IF($U503="PAID","Account paid. Action completed.","Account closed. No further action required."),CHOOSE($Z503,"Collection Email","1st Email Follow-up","2nd Email Follow-up","Escalation to Local Office","Escalation to CBE","Escalation to Roxanne")&amp;" sent "&amp;TEXT($AA503,"dd-mmm")&amp;". "&amp;IF($Z503=6,"Final escalation completed.",IF($U503="OVERDUE","Next: "&amp;$AC503&amp;" was due "&amp;TEXT($AB503,"dd-mmm")&amp;" - "&amp;(NETWORKDAYS($AB503,TODAY(),Holidays)-1)&amp;" business day(s) late. Send now.",IF($U503="DUE TOMORROW","Next: "&amp;$AC503&amp;IF($AB503&lt;=TODAY()," is due TODAY ("," is due next business day (")&amp;TEXT($AB503,"dd-mmm")&amp;").","Next: "&amp;$AC503&amp;" due "&amp;TEXT($AB503,"dd-mmm")&amp;" ("&amp;(NETWORKDAYS(TODAY(),$AB503,Holidays)-1)&amp;" business day(s) left).")))))</f>
        <v/>
      </c>
      <c r="W503" s="17">
        <f>IF($Z503="","",CHOOSE($Z503,"Collection Email","1st Follow-up","2nd Follow-up","Local Office","CBE","Roxanne")&amp;IF($Z503=6," - Final"," - Day "&amp;MAX(0,NETWORKDAYS($AA503,TODAY(),Holidays)-1)&amp;" of "&amp;CHOOSE($Z503,3,3,2,2,3))&amp;" | Total Day "&amp;MAX(0,NETWORKDAYS($N503,TODAY(),Holidays)-1))</f>
        <v/>
      </c>
      <c r="X503" s="18"/>
      <c r="Y503" s="18"/>
      <c r="Z503" s="17">
        <f>IF($N503="","",COUNT($N503:$S503))</f>
        <v/>
      </c>
      <c r="AA503" s="19">
        <f>IF($Z503="","",INT(INDEX($N503:$S503,$Z503)))</f>
        <v/>
      </c>
      <c r="AB503" s="19">
        <f>IF(OR($Z503="",$Z503=6),"",WORKDAY($AA503,CHOOSE($Z503,3,3,2,2,3),Holidays))</f>
        <v/>
      </c>
      <c r="AC503" s="17">
        <f>IF(OR($Z503="",$Z503=6),"",CHOOSE($Z503,"1st Email Follow-up","2nd Email Follow-up","Escalate Local Office","Escalate to CBE","Escalate to Roxanne"))</f>
        <v/>
      </c>
    </row>
    <row r="504" spans="13:29">
      <c r="M504" s="14"/>
      <c r="T504" s="16"/>
      <c r="U504" s="17">
        <f>IF(AND(COUNTA($A504:$L504)=0,$N504=""),"",IF($T504="Paid","PAID",IF($T504="Closed","CLOSED",IF($Z504="","",IF($Z504=6,"ESCALATED TO ROXANNE",IF(TODAY()&gt;$AB504,"OVERDUE",IF($AB504&lt;=WORKDAY(TODAY(),1,Holidays),"DUE TOMORROW",IF($Z504=4,"ESCALATED TO LOCAL OFFICE",IF($Z504=5,"ESCALATED TO CBE",IF($AA504=TODAY(),"EMAIL SENT","MONITORING"))))))))))</f>
        <v/>
      </c>
      <c r="V504" s="17">
        <f>IF($U504="",IF(AND(COUNTA($A504:$L504)&gt;0,$N504=""),"Awaiting Collection Email time stamp.",""),IF(OR($U504="PAID",$U504="CLOSED"),IF($U504="PAID","Account paid. Action completed.","Account closed. No further action required."),CHOOSE($Z504,"Collection Email","1st Email Follow-up","2nd Email Follow-up","Escalation to Local Office","Escalation to CBE","Escalation to Roxanne")&amp;" sent "&amp;TEXT($AA504,"dd-mmm")&amp;". "&amp;IF($Z504=6,"Final escalation completed.",IF($U504="OVERDUE","Next: "&amp;$AC504&amp;" was due "&amp;TEXT($AB504,"dd-mmm")&amp;" - "&amp;(NETWORKDAYS($AB504,TODAY(),Holidays)-1)&amp;" business day(s) late. Send now.",IF($U504="DUE TOMORROW","Next: "&amp;$AC504&amp;IF($AB504&lt;=TODAY()," is due TODAY ("," is due next business day (")&amp;TEXT($AB504,"dd-mmm")&amp;").","Next: "&amp;$AC504&amp;" due "&amp;TEXT($AB504,"dd-mmm")&amp;" ("&amp;(NETWORKDAYS(TODAY(),$AB504,Holidays)-1)&amp;" business day(s) left).")))))</f>
        <v/>
      </c>
      <c r="W504" s="17">
        <f>IF($Z504="","",CHOOSE($Z504,"Collection Email","1st Follow-up","2nd Follow-up","Local Office","CBE","Roxanne")&amp;IF($Z504=6," - Final"," - Day "&amp;MAX(0,NETWORKDAYS($AA504,TODAY(),Holidays)-1)&amp;" of "&amp;CHOOSE($Z504,3,3,2,2,3))&amp;" | Total Day "&amp;MAX(0,NETWORKDAYS($N504,TODAY(),Holidays)-1))</f>
        <v/>
      </c>
      <c r="X504" s="18"/>
      <c r="Y504" s="18"/>
      <c r="Z504" s="17">
        <f>IF($N504="","",COUNT($N504:$S504))</f>
        <v/>
      </c>
      <c r="AA504" s="19">
        <f>IF($Z504="","",INT(INDEX($N504:$S504,$Z504)))</f>
        <v/>
      </c>
      <c r="AB504" s="19">
        <f>IF(OR($Z504="",$Z504=6),"",WORKDAY($AA504,CHOOSE($Z504,3,3,2,2,3),Holidays))</f>
        <v/>
      </c>
      <c r="AC504" s="17">
        <f>IF(OR($Z504="",$Z504=6),"",CHOOSE($Z504,"1st Email Follow-up","2nd Email Follow-up","Escalate Local Office","Escalate to CBE","Escalate to Roxanne"))</f>
        <v/>
      </c>
    </row>
    <row r="505" spans="13:29">
      <c r="M505" s="14"/>
      <c r="T505" s="16"/>
      <c r="U505" s="17">
        <f>IF(AND(COUNTA($A505:$L505)=0,$N505=""),"",IF($T505="Paid","PAID",IF($T505="Closed","CLOSED",IF($Z505="","",IF($Z505=6,"ESCALATED TO ROXANNE",IF(TODAY()&gt;$AB505,"OVERDUE",IF($AB505&lt;=WORKDAY(TODAY(),1,Holidays),"DUE TOMORROW",IF($Z505=4,"ESCALATED TO LOCAL OFFICE",IF($Z505=5,"ESCALATED TO CBE",IF($AA505=TODAY(),"EMAIL SENT","MONITORING"))))))))))</f>
        <v/>
      </c>
      <c r="V505" s="17">
        <f>IF($U505="",IF(AND(COUNTA($A505:$L505)&gt;0,$N505=""),"Awaiting Collection Email time stamp.",""),IF(OR($U505="PAID",$U505="CLOSED"),IF($U505="PAID","Account paid. Action completed.","Account closed. No further action required."),CHOOSE($Z505,"Collection Email","1st Email Follow-up","2nd Email Follow-up","Escalation to Local Office","Escalation to CBE","Escalation to Roxanne")&amp;" sent "&amp;TEXT($AA505,"dd-mmm")&amp;". "&amp;IF($Z505=6,"Final escalation completed.",IF($U505="OVERDUE","Next: "&amp;$AC505&amp;" was due "&amp;TEXT($AB505,"dd-mmm")&amp;" - "&amp;(NETWORKDAYS($AB505,TODAY(),Holidays)-1)&amp;" business day(s) late. Send now.",IF($U505="DUE TOMORROW","Next: "&amp;$AC505&amp;IF($AB505&lt;=TODAY()," is due TODAY ("," is due next business day (")&amp;TEXT($AB505,"dd-mmm")&amp;").","Next: "&amp;$AC505&amp;" due "&amp;TEXT($AB505,"dd-mmm")&amp;" ("&amp;(NETWORKDAYS(TODAY(),$AB505,Holidays)-1)&amp;" business day(s) left).")))))</f>
        <v/>
      </c>
      <c r="W505" s="17">
        <f>IF($Z505="","",CHOOSE($Z505,"Collection Email","1st Follow-up","2nd Follow-up","Local Office","CBE","Roxanne")&amp;IF($Z505=6," - Final"," - Day "&amp;MAX(0,NETWORKDAYS($AA505,TODAY(),Holidays)-1)&amp;" of "&amp;CHOOSE($Z505,3,3,2,2,3))&amp;" | Total Day "&amp;MAX(0,NETWORKDAYS($N505,TODAY(),Holidays)-1))</f>
        <v/>
      </c>
      <c r="X505" s="18"/>
      <c r="Y505" s="18"/>
      <c r="Z505" s="17">
        <f>IF($N505="","",COUNT($N505:$S505))</f>
        <v/>
      </c>
      <c r="AA505" s="19">
        <f>IF($Z505="","",INT(INDEX($N505:$S505,$Z505)))</f>
        <v/>
      </c>
      <c r="AB505" s="19">
        <f>IF(OR($Z505="",$Z505=6),"",WORKDAY($AA505,CHOOSE($Z505,3,3,2,2,3),Holidays))</f>
        <v/>
      </c>
      <c r="AC505" s="17">
        <f>IF(OR($Z505="",$Z505=6),"",CHOOSE($Z505,"1st Email Follow-up","2nd Email Follow-up","Escalate Local Office","Escalate to CBE","Escalate to Roxanne"))</f>
        <v/>
      </c>
    </row>
    <row r="506" spans="13:29">
      <c r="M506" s="14"/>
      <c r="T506" s="16"/>
      <c r="U506" s="17">
        <f>IF(AND(COUNTA($A506:$L506)=0,$N506=""),"",IF($T506="Paid","PAID",IF($T506="Closed","CLOSED",IF($Z506="","",IF($Z506=6,"ESCALATED TO ROXANNE",IF(TODAY()&gt;$AB506,"OVERDUE",IF($AB506&lt;=WORKDAY(TODAY(),1,Holidays),"DUE TOMORROW",IF($Z506=4,"ESCALATED TO LOCAL OFFICE",IF($Z506=5,"ESCALATED TO CBE",IF($AA506=TODAY(),"EMAIL SENT","MONITORING"))))))))))</f>
        <v/>
      </c>
      <c r="V506" s="17">
        <f>IF($U506="",IF(AND(COUNTA($A506:$L506)&gt;0,$N506=""),"Awaiting Collection Email time stamp.",""),IF(OR($U506="PAID",$U506="CLOSED"),IF($U506="PAID","Account paid. Action completed.","Account closed. No further action required."),CHOOSE($Z506,"Collection Email","1st Email Follow-up","2nd Email Follow-up","Escalation to Local Office","Escalation to CBE","Escalation to Roxanne")&amp;" sent "&amp;TEXT($AA506,"dd-mmm")&amp;". "&amp;IF($Z506=6,"Final escalation completed.",IF($U506="OVERDUE","Next: "&amp;$AC506&amp;" was due "&amp;TEXT($AB506,"dd-mmm")&amp;" - "&amp;(NETWORKDAYS($AB506,TODAY(),Holidays)-1)&amp;" business day(s) late. Send now.",IF($U506="DUE TOMORROW","Next: "&amp;$AC506&amp;IF($AB506&lt;=TODAY()," is due TODAY ("," is due next business day (")&amp;TEXT($AB506,"dd-mmm")&amp;").","Next: "&amp;$AC506&amp;" due "&amp;TEXT($AB506,"dd-mmm")&amp;" ("&amp;(NETWORKDAYS(TODAY(),$AB506,Holidays)-1)&amp;" business day(s) left).")))))</f>
        <v/>
      </c>
      <c r="W506" s="17">
        <f>IF($Z506="","",CHOOSE($Z506,"Collection Email","1st Follow-up","2nd Follow-up","Local Office","CBE","Roxanne")&amp;IF($Z506=6," - Final"," - Day "&amp;MAX(0,NETWORKDAYS($AA506,TODAY(),Holidays)-1)&amp;" of "&amp;CHOOSE($Z506,3,3,2,2,3))&amp;" | Total Day "&amp;MAX(0,NETWORKDAYS($N506,TODAY(),Holidays)-1))</f>
        <v/>
      </c>
      <c r="X506" s="18"/>
      <c r="Y506" s="18"/>
      <c r="Z506" s="17">
        <f>IF($N506="","",COUNT($N506:$S506))</f>
        <v/>
      </c>
      <c r="AA506" s="19">
        <f>IF($Z506="","",INT(INDEX($N506:$S506,$Z506)))</f>
        <v/>
      </c>
      <c r="AB506" s="19">
        <f>IF(OR($Z506="",$Z506=6),"",WORKDAY($AA506,CHOOSE($Z506,3,3,2,2,3),Holidays))</f>
        <v/>
      </c>
      <c r="AC506" s="17">
        <f>IF(OR($Z506="",$Z506=6),"",CHOOSE($Z506,"1st Email Follow-up","2nd Email Follow-up","Escalate Local Office","Escalate to CBE","Escalate to Roxanne"))</f>
        <v/>
      </c>
    </row>
    <row r="507" spans="13:29">
      <c r="M507" s="14"/>
      <c r="T507" s="16"/>
      <c r="U507" s="17">
        <f>IF(AND(COUNTA($A507:$L507)=0,$N507=""),"",IF($T507="Paid","PAID",IF($T507="Closed","CLOSED",IF($Z507="","",IF($Z507=6,"ESCALATED TO ROXANNE",IF(TODAY()&gt;$AB507,"OVERDUE",IF($AB507&lt;=WORKDAY(TODAY(),1,Holidays),"DUE TOMORROW",IF($Z507=4,"ESCALATED TO LOCAL OFFICE",IF($Z507=5,"ESCALATED TO CBE",IF($AA507=TODAY(),"EMAIL SENT","MONITORING"))))))))))</f>
        <v/>
      </c>
      <c r="V507" s="17">
        <f>IF($U507="",IF(AND(COUNTA($A507:$L507)&gt;0,$N507=""),"Awaiting Collection Email time stamp.",""),IF(OR($U507="PAID",$U507="CLOSED"),IF($U507="PAID","Account paid. Action completed.","Account closed. No further action required."),CHOOSE($Z507,"Collection Email","1st Email Follow-up","2nd Email Follow-up","Escalation to Local Office","Escalation to CBE","Escalation to Roxanne")&amp;" sent "&amp;TEXT($AA507,"dd-mmm")&amp;". "&amp;IF($Z507=6,"Final escalation completed.",IF($U507="OVERDUE","Next: "&amp;$AC507&amp;" was due "&amp;TEXT($AB507,"dd-mmm")&amp;" - "&amp;(NETWORKDAYS($AB507,TODAY(),Holidays)-1)&amp;" business day(s) late. Send now.",IF($U507="DUE TOMORROW","Next: "&amp;$AC507&amp;IF($AB507&lt;=TODAY()," is due TODAY ("," is due next business day (")&amp;TEXT($AB507,"dd-mmm")&amp;").","Next: "&amp;$AC507&amp;" due "&amp;TEXT($AB507,"dd-mmm")&amp;" ("&amp;(NETWORKDAYS(TODAY(),$AB507,Holidays)-1)&amp;" business day(s) left).")))))</f>
        <v/>
      </c>
      <c r="W507" s="17">
        <f>IF($Z507="","",CHOOSE($Z507,"Collection Email","1st Follow-up","2nd Follow-up","Local Office","CBE","Roxanne")&amp;IF($Z507=6," - Final"," - Day "&amp;MAX(0,NETWORKDAYS($AA507,TODAY(),Holidays)-1)&amp;" of "&amp;CHOOSE($Z507,3,3,2,2,3))&amp;" | Total Day "&amp;MAX(0,NETWORKDAYS($N507,TODAY(),Holidays)-1))</f>
        <v/>
      </c>
      <c r="X507" s="18"/>
      <c r="Y507" s="18"/>
      <c r="Z507" s="17">
        <f>IF($N507="","",COUNT($N507:$S507))</f>
        <v/>
      </c>
      <c r="AA507" s="19">
        <f>IF($Z507="","",INT(INDEX($N507:$S507,$Z507)))</f>
        <v/>
      </c>
      <c r="AB507" s="19">
        <f>IF(OR($Z507="",$Z507=6),"",WORKDAY($AA507,CHOOSE($Z507,3,3,2,2,3),Holidays))</f>
        <v/>
      </c>
      <c r="AC507" s="17">
        <f>IF(OR($Z507="",$Z507=6),"",CHOOSE($Z507,"1st Email Follow-up","2nd Email Follow-up","Escalate Local Office","Escalate to CBE","Escalate to Roxanne"))</f>
        <v/>
      </c>
    </row>
    <row r="508" spans="13:29">
      <c r="M508" s="14"/>
      <c r="T508" s="16"/>
      <c r="U508" s="17">
        <f>IF(AND(COUNTA($A508:$L508)=0,$N508=""),"",IF($T508="Paid","PAID",IF($T508="Closed","CLOSED",IF($Z508="","",IF($Z508=6,"ESCALATED TO ROXANNE",IF(TODAY()&gt;$AB508,"OVERDUE",IF($AB508&lt;=WORKDAY(TODAY(),1,Holidays),"DUE TOMORROW",IF($Z508=4,"ESCALATED TO LOCAL OFFICE",IF($Z508=5,"ESCALATED TO CBE",IF($AA508=TODAY(),"EMAIL SENT","MONITORING"))))))))))</f>
        <v/>
      </c>
      <c r="V508" s="17">
        <f>IF($U508="",IF(AND(COUNTA($A508:$L508)&gt;0,$N508=""),"Awaiting Collection Email time stamp.",""),IF(OR($U508="PAID",$U508="CLOSED"),IF($U508="PAID","Account paid. Action completed.","Account closed. No further action required."),CHOOSE($Z508,"Collection Email","1st Email Follow-up","2nd Email Follow-up","Escalation to Local Office","Escalation to CBE","Escalation to Roxanne")&amp;" sent "&amp;TEXT($AA508,"dd-mmm")&amp;". "&amp;IF($Z508=6,"Final escalation completed.",IF($U508="OVERDUE","Next: "&amp;$AC508&amp;" was due "&amp;TEXT($AB508,"dd-mmm")&amp;" - "&amp;(NETWORKDAYS($AB508,TODAY(),Holidays)-1)&amp;" business day(s) late. Send now.",IF($U508="DUE TOMORROW","Next: "&amp;$AC508&amp;IF($AB508&lt;=TODAY()," is due TODAY ("," is due next business day (")&amp;TEXT($AB508,"dd-mmm")&amp;").","Next: "&amp;$AC508&amp;" due "&amp;TEXT($AB508,"dd-mmm")&amp;" ("&amp;(NETWORKDAYS(TODAY(),$AB508,Holidays)-1)&amp;" business day(s) left).")))))</f>
        <v/>
      </c>
      <c r="W508" s="17">
        <f>IF($Z508="","",CHOOSE($Z508,"Collection Email","1st Follow-up","2nd Follow-up","Local Office","CBE","Roxanne")&amp;IF($Z508=6," - Final"," - Day "&amp;MAX(0,NETWORKDAYS($AA508,TODAY(),Holidays)-1)&amp;" of "&amp;CHOOSE($Z508,3,3,2,2,3))&amp;" | Total Day "&amp;MAX(0,NETWORKDAYS($N508,TODAY(),Holidays)-1))</f>
        <v/>
      </c>
      <c r="X508" s="18"/>
      <c r="Y508" s="18"/>
      <c r="Z508" s="17">
        <f>IF($N508="","",COUNT($N508:$S508))</f>
        <v/>
      </c>
      <c r="AA508" s="19">
        <f>IF($Z508="","",INT(INDEX($N508:$S508,$Z508)))</f>
        <v/>
      </c>
      <c r="AB508" s="19">
        <f>IF(OR($Z508="",$Z508=6),"",WORKDAY($AA508,CHOOSE($Z508,3,3,2,2,3),Holidays))</f>
        <v/>
      </c>
      <c r="AC508" s="17">
        <f>IF(OR($Z508="",$Z508=6),"",CHOOSE($Z508,"1st Email Follow-up","2nd Email Follow-up","Escalate Local Office","Escalate to CBE","Escalate to Roxanne"))</f>
        <v/>
      </c>
    </row>
    <row r="509" spans="13:29">
      <c r="M509" s="14"/>
      <c r="T509" s="16"/>
      <c r="U509" s="17">
        <f>IF(AND(COUNTA($A509:$L509)=0,$N509=""),"",IF($T509="Paid","PAID",IF($T509="Closed","CLOSED",IF($Z509="","",IF($Z509=6,"ESCALATED TO ROXANNE",IF(TODAY()&gt;$AB509,"OVERDUE",IF($AB509&lt;=WORKDAY(TODAY(),1,Holidays),"DUE TOMORROW",IF($Z509=4,"ESCALATED TO LOCAL OFFICE",IF($Z509=5,"ESCALATED TO CBE",IF($AA509=TODAY(),"EMAIL SENT","MONITORING"))))))))))</f>
        <v/>
      </c>
      <c r="V509" s="17">
        <f>IF($U509="",IF(AND(COUNTA($A509:$L509)&gt;0,$N509=""),"Awaiting Collection Email time stamp.",""),IF(OR($U509="PAID",$U509="CLOSED"),IF($U509="PAID","Account paid. Action completed.","Account closed. No further action required."),CHOOSE($Z509,"Collection Email","1st Email Follow-up","2nd Email Follow-up","Escalation to Local Office","Escalation to CBE","Escalation to Roxanne")&amp;" sent "&amp;TEXT($AA509,"dd-mmm")&amp;". "&amp;IF($Z509=6,"Final escalation completed.",IF($U509="OVERDUE","Next: "&amp;$AC509&amp;" was due "&amp;TEXT($AB509,"dd-mmm")&amp;" - "&amp;(NETWORKDAYS($AB509,TODAY(),Holidays)-1)&amp;" business day(s) late. Send now.",IF($U509="DUE TOMORROW","Next: "&amp;$AC509&amp;IF($AB509&lt;=TODAY()," is due TODAY ("," is due next business day (")&amp;TEXT($AB509,"dd-mmm")&amp;").","Next: "&amp;$AC509&amp;" due "&amp;TEXT($AB509,"dd-mmm")&amp;" ("&amp;(NETWORKDAYS(TODAY(),$AB509,Holidays)-1)&amp;" business day(s) left).")))))</f>
        <v/>
      </c>
      <c r="W509" s="17">
        <f>IF($Z509="","",CHOOSE($Z509,"Collection Email","1st Follow-up","2nd Follow-up","Local Office","CBE","Roxanne")&amp;IF($Z509=6," - Final"," - Day "&amp;MAX(0,NETWORKDAYS($AA509,TODAY(),Holidays)-1)&amp;" of "&amp;CHOOSE($Z509,3,3,2,2,3))&amp;" | Total Day "&amp;MAX(0,NETWORKDAYS($N509,TODAY(),Holidays)-1))</f>
        <v/>
      </c>
      <c r="X509" s="18"/>
      <c r="Y509" s="18"/>
      <c r="Z509" s="17">
        <f>IF($N509="","",COUNT($N509:$S509))</f>
        <v/>
      </c>
      <c r="AA509" s="19">
        <f>IF($Z509="","",INT(INDEX($N509:$S509,$Z509)))</f>
        <v/>
      </c>
      <c r="AB509" s="19">
        <f>IF(OR($Z509="",$Z509=6),"",WORKDAY($AA509,CHOOSE($Z509,3,3,2,2,3),Holidays))</f>
        <v/>
      </c>
      <c r="AC509" s="17">
        <f>IF(OR($Z509="",$Z509=6),"",CHOOSE($Z509,"1st Email Follow-up","2nd Email Follow-up","Escalate Local Office","Escalate to CBE","Escalate to Roxanne"))</f>
        <v/>
      </c>
    </row>
    <row r="510" spans="13:29">
      <c r="M510" s="14"/>
      <c r="T510" s="16"/>
      <c r="U510" s="17">
        <f>IF(AND(COUNTA($A510:$L510)=0,$N510=""),"",IF($T510="Paid","PAID",IF($T510="Closed","CLOSED",IF($Z510="","",IF($Z510=6,"ESCALATED TO ROXANNE",IF(TODAY()&gt;$AB510,"OVERDUE",IF($AB510&lt;=WORKDAY(TODAY(),1,Holidays),"DUE TOMORROW",IF($Z510=4,"ESCALATED TO LOCAL OFFICE",IF($Z510=5,"ESCALATED TO CBE",IF($AA510=TODAY(),"EMAIL SENT","MONITORING"))))))))))</f>
        <v/>
      </c>
      <c r="V510" s="17">
        <f>IF($U510="",IF(AND(COUNTA($A510:$L510)&gt;0,$N510=""),"Awaiting Collection Email time stamp.",""),IF(OR($U510="PAID",$U510="CLOSED"),IF($U510="PAID","Account paid. Action completed.","Account closed. No further action required."),CHOOSE($Z510,"Collection Email","1st Email Follow-up","2nd Email Follow-up","Escalation to Local Office","Escalation to CBE","Escalation to Roxanne")&amp;" sent "&amp;TEXT($AA510,"dd-mmm")&amp;". "&amp;IF($Z510=6,"Final escalation completed.",IF($U510="OVERDUE","Next: "&amp;$AC510&amp;" was due "&amp;TEXT($AB510,"dd-mmm")&amp;" - "&amp;(NETWORKDAYS($AB510,TODAY(),Holidays)-1)&amp;" business day(s) late. Send now.",IF($U510="DUE TOMORROW","Next: "&amp;$AC510&amp;IF($AB510&lt;=TODAY()," is due TODAY ("," is due next business day (")&amp;TEXT($AB510,"dd-mmm")&amp;").","Next: "&amp;$AC510&amp;" due "&amp;TEXT($AB510,"dd-mmm")&amp;" ("&amp;(NETWORKDAYS(TODAY(),$AB510,Holidays)-1)&amp;" business day(s) left).")))))</f>
        <v/>
      </c>
      <c r="W510" s="17">
        <f>IF($Z510="","",CHOOSE($Z510,"Collection Email","1st Follow-up","2nd Follow-up","Local Office","CBE","Roxanne")&amp;IF($Z510=6," - Final"," - Day "&amp;MAX(0,NETWORKDAYS($AA510,TODAY(),Holidays)-1)&amp;" of "&amp;CHOOSE($Z510,3,3,2,2,3))&amp;" | Total Day "&amp;MAX(0,NETWORKDAYS($N510,TODAY(),Holidays)-1))</f>
        <v/>
      </c>
      <c r="X510" s="18"/>
      <c r="Y510" s="18"/>
      <c r="Z510" s="17">
        <f>IF($N510="","",COUNT($N510:$S510))</f>
        <v/>
      </c>
      <c r="AA510" s="19">
        <f>IF($Z510="","",INT(INDEX($N510:$S510,$Z510)))</f>
        <v/>
      </c>
      <c r="AB510" s="19">
        <f>IF(OR($Z510="",$Z510=6),"",WORKDAY($AA510,CHOOSE($Z510,3,3,2,2,3),Holidays))</f>
        <v/>
      </c>
      <c r="AC510" s="17">
        <f>IF(OR($Z510="",$Z510=6),"",CHOOSE($Z510,"1st Email Follow-up","2nd Email Follow-up","Escalate Local Office","Escalate to CBE","Escalate to Roxanne"))</f>
        <v/>
      </c>
    </row>
    <row r="511" spans="13:29">
      <c r="M511" s="14"/>
      <c r="T511" s="16"/>
      <c r="U511" s="17">
        <f>IF(AND(COUNTA($A511:$L511)=0,$N511=""),"",IF($T511="Paid","PAID",IF($T511="Closed","CLOSED",IF($Z511="","",IF($Z511=6,"ESCALATED TO ROXANNE",IF(TODAY()&gt;$AB511,"OVERDUE",IF($AB511&lt;=WORKDAY(TODAY(),1,Holidays),"DUE TOMORROW",IF($Z511=4,"ESCALATED TO LOCAL OFFICE",IF($Z511=5,"ESCALATED TO CBE",IF($AA511=TODAY(),"EMAIL SENT","MONITORING"))))))))))</f>
        <v/>
      </c>
      <c r="V511" s="17">
        <f>IF($U511="",IF(AND(COUNTA($A511:$L511)&gt;0,$N511=""),"Awaiting Collection Email time stamp.",""),IF(OR($U511="PAID",$U511="CLOSED"),IF($U511="PAID","Account paid. Action completed.","Account closed. No further action required."),CHOOSE($Z511,"Collection Email","1st Email Follow-up","2nd Email Follow-up","Escalation to Local Office","Escalation to CBE","Escalation to Roxanne")&amp;" sent "&amp;TEXT($AA511,"dd-mmm")&amp;". "&amp;IF($Z511=6,"Final escalation completed.",IF($U511="OVERDUE","Next: "&amp;$AC511&amp;" was due "&amp;TEXT($AB511,"dd-mmm")&amp;" - "&amp;(NETWORKDAYS($AB511,TODAY(),Holidays)-1)&amp;" business day(s) late. Send now.",IF($U511="DUE TOMORROW","Next: "&amp;$AC511&amp;IF($AB511&lt;=TODAY()," is due TODAY ("," is due next business day (")&amp;TEXT($AB511,"dd-mmm")&amp;").","Next: "&amp;$AC511&amp;" due "&amp;TEXT($AB511,"dd-mmm")&amp;" ("&amp;(NETWORKDAYS(TODAY(),$AB511,Holidays)-1)&amp;" business day(s) left).")))))</f>
        <v/>
      </c>
      <c r="W511" s="17">
        <f>IF($Z511="","",CHOOSE($Z511,"Collection Email","1st Follow-up","2nd Follow-up","Local Office","CBE","Roxanne")&amp;IF($Z511=6," - Final"," - Day "&amp;MAX(0,NETWORKDAYS($AA511,TODAY(),Holidays)-1)&amp;" of "&amp;CHOOSE($Z511,3,3,2,2,3))&amp;" | Total Day "&amp;MAX(0,NETWORKDAYS($N511,TODAY(),Holidays)-1))</f>
        <v/>
      </c>
      <c r="X511" s="18"/>
      <c r="Y511" s="18"/>
      <c r="Z511" s="17">
        <f>IF($N511="","",COUNT($N511:$S511))</f>
        <v/>
      </c>
      <c r="AA511" s="19">
        <f>IF($Z511="","",INT(INDEX($N511:$S511,$Z511)))</f>
        <v/>
      </c>
      <c r="AB511" s="19">
        <f>IF(OR($Z511="",$Z511=6),"",WORKDAY($AA511,CHOOSE($Z511,3,3,2,2,3),Holidays))</f>
        <v/>
      </c>
      <c r="AC511" s="17">
        <f>IF(OR($Z511="",$Z511=6),"",CHOOSE($Z511,"1st Email Follow-up","2nd Email Follow-up","Escalate Local Office","Escalate to CBE","Escalate to Roxanne"))</f>
        <v/>
      </c>
    </row>
    <row r="512" spans="13:29">
      <c r="M512" s="14"/>
      <c r="T512" s="16"/>
      <c r="U512" s="17">
        <f>IF(AND(COUNTA($A512:$L512)=0,$N512=""),"",IF($T512="Paid","PAID",IF($T512="Closed","CLOSED",IF($Z512="","",IF($Z512=6,"ESCALATED TO ROXANNE",IF(TODAY()&gt;$AB512,"OVERDUE",IF($AB512&lt;=WORKDAY(TODAY(),1,Holidays),"DUE TOMORROW",IF($Z512=4,"ESCALATED TO LOCAL OFFICE",IF($Z512=5,"ESCALATED TO CBE",IF($AA512=TODAY(),"EMAIL SENT","MONITORING"))))))))))</f>
        <v/>
      </c>
      <c r="V512" s="17">
        <f>IF($U512="",IF(AND(COUNTA($A512:$L512)&gt;0,$N512=""),"Awaiting Collection Email time stamp.",""),IF(OR($U512="PAID",$U512="CLOSED"),IF($U512="PAID","Account paid. Action completed.","Account closed. No further action required."),CHOOSE($Z512,"Collection Email","1st Email Follow-up","2nd Email Follow-up","Escalation to Local Office","Escalation to CBE","Escalation to Roxanne")&amp;" sent "&amp;TEXT($AA512,"dd-mmm")&amp;". "&amp;IF($Z512=6,"Final escalation completed.",IF($U512="OVERDUE","Next: "&amp;$AC512&amp;" was due "&amp;TEXT($AB512,"dd-mmm")&amp;" - "&amp;(NETWORKDAYS($AB512,TODAY(),Holidays)-1)&amp;" business day(s) late. Send now.",IF($U512="DUE TOMORROW","Next: "&amp;$AC512&amp;IF($AB512&lt;=TODAY()," is due TODAY ("," is due next business day (")&amp;TEXT($AB512,"dd-mmm")&amp;").","Next: "&amp;$AC512&amp;" due "&amp;TEXT($AB512,"dd-mmm")&amp;" ("&amp;(NETWORKDAYS(TODAY(),$AB512,Holidays)-1)&amp;" business day(s) left).")))))</f>
        <v/>
      </c>
      <c r="W512" s="17">
        <f>IF($Z512="","",CHOOSE($Z512,"Collection Email","1st Follow-up","2nd Follow-up","Local Office","CBE","Roxanne")&amp;IF($Z512=6," - Final"," - Day "&amp;MAX(0,NETWORKDAYS($AA512,TODAY(),Holidays)-1)&amp;" of "&amp;CHOOSE($Z512,3,3,2,2,3))&amp;" | Total Day "&amp;MAX(0,NETWORKDAYS($N512,TODAY(),Holidays)-1))</f>
        <v/>
      </c>
      <c r="X512" s="18"/>
      <c r="Y512" s="18"/>
      <c r="Z512" s="17">
        <f>IF($N512="","",COUNT($N512:$S512))</f>
        <v/>
      </c>
      <c r="AA512" s="19">
        <f>IF($Z512="","",INT(INDEX($N512:$S512,$Z512)))</f>
        <v/>
      </c>
      <c r="AB512" s="19">
        <f>IF(OR($Z512="",$Z512=6),"",WORKDAY($AA512,CHOOSE($Z512,3,3,2,2,3),Holidays))</f>
        <v/>
      </c>
      <c r="AC512" s="17">
        <f>IF(OR($Z512="",$Z512=6),"",CHOOSE($Z512,"1st Email Follow-up","2nd Email Follow-up","Escalate Local Office","Escalate to CBE","Escalate to Roxanne"))</f>
        <v/>
      </c>
    </row>
    <row r="513" spans="13:29">
      <c r="M513" s="14"/>
      <c r="T513" s="16"/>
      <c r="U513" s="17">
        <f>IF(AND(COUNTA($A513:$L513)=0,$N513=""),"",IF($T513="Paid","PAID",IF($T513="Closed","CLOSED",IF($Z513="","",IF($Z513=6,"ESCALATED TO ROXANNE",IF(TODAY()&gt;$AB513,"OVERDUE",IF($AB513&lt;=WORKDAY(TODAY(),1,Holidays),"DUE TOMORROW",IF($Z513=4,"ESCALATED TO LOCAL OFFICE",IF($Z513=5,"ESCALATED TO CBE",IF($AA513=TODAY(),"EMAIL SENT","MONITORING"))))))))))</f>
        <v/>
      </c>
      <c r="V513" s="17">
        <f>IF($U513="",IF(AND(COUNTA($A513:$L513)&gt;0,$N513=""),"Awaiting Collection Email time stamp.",""),IF(OR($U513="PAID",$U513="CLOSED"),IF($U513="PAID","Account paid. Action completed.","Account closed. No further action required."),CHOOSE($Z513,"Collection Email","1st Email Follow-up","2nd Email Follow-up","Escalation to Local Office","Escalation to CBE","Escalation to Roxanne")&amp;" sent "&amp;TEXT($AA513,"dd-mmm")&amp;". "&amp;IF($Z513=6,"Final escalation completed.",IF($U513="OVERDUE","Next: "&amp;$AC513&amp;" was due "&amp;TEXT($AB513,"dd-mmm")&amp;" - "&amp;(NETWORKDAYS($AB513,TODAY(),Holidays)-1)&amp;" business day(s) late. Send now.",IF($U513="DUE TOMORROW","Next: "&amp;$AC513&amp;IF($AB513&lt;=TODAY()," is due TODAY ("," is due next business day (")&amp;TEXT($AB513,"dd-mmm")&amp;").","Next: "&amp;$AC513&amp;" due "&amp;TEXT($AB513,"dd-mmm")&amp;" ("&amp;(NETWORKDAYS(TODAY(),$AB513,Holidays)-1)&amp;" business day(s) left).")))))</f>
        <v/>
      </c>
      <c r="W513" s="17">
        <f>IF($Z513="","",CHOOSE($Z513,"Collection Email","1st Follow-up","2nd Follow-up","Local Office","CBE","Roxanne")&amp;IF($Z513=6," - Final"," - Day "&amp;MAX(0,NETWORKDAYS($AA513,TODAY(),Holidays)-1)&amp;" of "&amp;CHOOSE($Z513,3,3,2,2,3))&amp;" | Total Day "&amp;MAX(0,NETWORKDAYS($N513,TODAY(),Holidays)-1))</f>
        <v/>
      </c>
      <c r="X513" s="18"/>
      <c r="Y513" s="18"/>
      <c r="Z513" s="17">
        <f>IF($N513="","",COUNT($N513:$S513))</f>
        <v/>
      </c>
      <c r="AA513" s="19">
        <f>IF($Z513="","",INT(INDEX($N513:$S513,$Z513)))</f>
        <v/>
      </c>
      <c r="AB513" s="19">
        <f>IF(OR($Z513="",$Z513=6),"",WORKDAY($AA513,CHOOSE($Z513,3,3,2,2,3),Holidays))</f>
        <v/>
      </c>
      <c r="AC513" s="17">
        <f>IF(OR($Z513="",$Z513=6),"",CHOOSE($Z513,"1st Email Follow-up","2nd Email Follow-up","Escalate Local Office","Escalate to CBE","Escalate to Roxanne"))</f>
        <v/>
      </c>
    </row>
    <row r="514" spans="13:29">
      <c r="M514" s="14"/>
      <c r="T514" s="16"/>
      <c r="U514" s="17">
        <f>IF(AND(COUNTA($A514:$L514)=0,$N514=""),"",IF($T514="Paid","PAID",IF($T514="Closed","CLOSED",IF($Z514="","",IF($Z514=6,"ESCALATED TO ROXANNE",IF(TODAY()&gt;$AB514,"OVERDUE",IF($AB514&lt;=WORKDAY(TODAY(),1,Holidays),"DUE TOMORROW",IF($Z514=4,"ESCALATED TO LOCAL OFFICE",IF($Z514=5,"ESCALATED TO CBE",IF($AA514=TODAY(),"EMAIL SENT","MONITORING"))))))))))</f>
        <v/>
      </c>
      <c r="V514" s="17">
        <f>IF($U514="",IF(AND(COUNTA($A514:$L514)&gt;0,$N514=""),"Awaiting Collection Email time stamp.",""),IF(OR($U514="PAID",$U514="CLOSED"),IF($U514="PAID","Account paid. Action completed.","Account closed. No further action required."),CHOOSE($Z514,"Collection Email","1st Email Follow-up","2nd Email Follow-up","Escalation to Local Office","Escalation to CBE","Escalation to Roxanne")&amp;" sent "&amp;TEXT($AA514,"dd-mmm")&amp;". "&amp;IF($Z514=6,"Final escalation completed.",IF($U514="OVERDUE","Next: "&amp;$AC514&amp;" was due "&amp;TEXT($AB514,"dd-mmm")&amp;" - "&amp;(NETWORKDAYS($AB514,TODAY(),Holidays)-1)&amp;" business day(s) late. Send now.",IF($U514="DUE TOMORROW","Next: "&amp;$AC514&amp;IF($AB514&lt;=TODAY()," is due TODAY ("," is due next business day (")&amp;TEXT($AB514,"dd-mmm")&amp;").","Next: "&amp;$AC514&amp;" due "&amp;TEXT($AB514,"dd-mmm")&amp;" ("&amp;(NETWORKDAYS(TODAY(),$AB514,Holidays)-1)&amp;" business day(s) left).")))))</f>
        <v/>
      </c>
      <c r="W514" s="17">
        <f>IF($Z514="","",CHOOSE($Z514,"Collection Email","1st Follow-up","2nd Follow-up","Local Office","CBE","Roxanne")&amp;IF($Z514=6," - Final"," - Day "&amp;MAX(0,NETWORKDAYS($AA514,TODAY(),Holidays)-1)&amp;" of "&amp;CHOOSE($Z514,3,3,2,2,3))&amp;" | Total Day "&amp;MAX(0,NETWORKDAYS($N514,TODAY(),Holidays)-1))</f>
        <v/>
      </c>
      <c r="X514" s="18"/>
      <c r="Y514" s="18"/>
      <c r="Z514" s="17">
        <f>IF($N514="","",COUNT($N514:$S514))</f>
        <v/>
      </c>
      <c r="AA514" s="19">
        <f>IF($Z514="","",INT(INDEX($N514:$S514,$Z514)))</f>
        <v/>
      </c>
      <c r="AB514" s="19">
        <f>IF(OR($Z514="",$Z514=6),"",WORKDAY($AA514,CHOOSE($Z514,3,3,2,2,3),Holidays))</f>
        <v/>
      </c>
      <c r="AC514" s="17">
        <f>IF(OR($Z514="",$Z514=6),"",CHOOSE($Z514,"1st Email Follow-up","2nd Email Follow-up","Escalate Local Office","Escalate to CBE","Escalate to Roxanne"))</f>
        <v/>
      </c>
    </row>
    <row r="515" spans="13:29">
      <c r="M515" s="14"/>
      <c r="T515" s="16"/>
      <c r="U515" s="17">
        <f>IF(AND(COUNTA($A515:$L515)=0,$N515=""),"",IF($T515="Paid","PAID",IF($T515="Closed","CLOSED",IF($Z515="","",IF($Z515=6,"ESCALATED TO ROXANNE",IF(TODAY()&gt;$AB515,"OVERDUE",IF($AB515&lt;=WORKDAY(TODAY(),1,Holidays),"DUE TOMORROW",IF($Z515=4,"ESCALATED TO LOCAL OFFICE",IF($Z515=5,"ESCALATED TO CBE",IF($AA515=TODAY(),"EMAIL SENT","MONITORING"))))))))))</f>
        <v/>
      </c>
      <c r="V515" s="17">
        <f>IF($U515="",IF(AND(COUNTA($A515:$L515)&gt;0,$N515=""),"Awaiting Collection Email time stamp.",""),IF(OR($U515="PAID",$U515="CLOSED"),IF($U515="PAID","Account paid. Action completed.","Account closed. No further action required."),CHOOSE($Z515,"Collection Email","1st Email Follow-up","2nd Email Follow-up","Escalation to Local Office","Escalation to CBE","Escalation to Roxanne")&amp;" sent "&amp;TEXT($AA515,"dd-mmm")&amp;". "&amp;IF($Z515=6,"Final escalation completed.",IF($U515="OVERDUE","Next: "&amp;$AC515&amp;" was due "&amp;TEXT($AB515,"dd-mmm")&amp;" - "&amp;(NETWORKDAYS($AB515,TODAY(),Holidays)-1)&amp;" business day(s) late. Send now.",IF($U515="DUE TOMORROW","Next: "&amp;$AC515&amp;IF($AB515&lt;=TODAY()," is due TODAY ("," is due next business day (")&amp;TEXT($AB515,"dd-mmm")&amp;").","Next: "&amp;$AC515&amp;" due "&amp;TEXT($AB515,"dd-mmm")&amp;" ("&amp;(NETWORKDAYS(TODAY(),$AB515,Holidays)-1)&amp;" business day(s) left).")))))</f>
        <v/>
      </c>
      <c r="W515" s="17">
        <f>IF($Z515="","",CHOOSE($Z515,"Collection Email","1st Follow-up","2nd Follow-up","Local Office","CBE","Roxanne")&amp;IF($Z515=6," - Final"," - Day "&amp;MAX(0,NETWORKDAYS($AA515,TODAY(),Holidays)-1)&amp;" of "&amp;CHOOSE($Z515,3,3,2,2,3))&amp;" | Total Day "&amp;MAX(0,NETWORKDAYS($N515,TODAY(),Holidays)-1))</f>
        <v/>
      </c>
      <c r="X515" s="18"/>
      <c r="Y515" s="18"/>
      <c r="Z515" s="17">
        <f>IF($N515="","",COUNT($N515:$S515))</f>
        <v/>
      </c>
      <c r="AA515" s="19">
        <f>IF($Z515="","",INT(INDEX($N515:$S515,$Z515)))</f>
        <v/>
      </c>
      <c r="AB515" s="19">
        <f>IF(OR($Z515="",$Z515=6),"",WORKDAY($AA515,CHOOSE($Z515,3,3,2,2,3),Holidays))</f>
        <v/>
      </c>
      <c r="AC515" s="17">
        <f>IF(OR($Z515="",$Z515=6),"",CHOOSE($Z515,"1st Email Follow-up","2nd Email Follow-up","Escalate Local Office","Escalate to CBE","Escalate to Roxanne"))</f>
        <v/>
      </c>
    </row>
    <row r="516" spans="13:29">
      <c r="M516" s="14"/>
      <c r="T516" s="16"/>
      <c r="U516" s="17">
        <f>IF(AND(COUNTA($A516:$L516)=0,$N516=""),"",IF($T516="Paid","PAID",IF($T516="Closed","CLOSED",IF($Z516="","",IF($Z516=6,"ESCALATED TO ROXANNE",IF(TODAY()&gt;$AB516,"OVERDUE",IF($AB516&lt;=WORKDAY(TODAY(),1,Holidays),"DUE TOMORROW",IF($Z516=4,"ESCALATED TO LOCAL OFFICE",IF($Z516=5,"ESCALATED TO CBE",IF($AA516=TODAY(),"EMAIL SENT","MONITORING"))))))))))</f>
        <v/>
      </c>
      <c r="V516" s="17">
        <f>IF($U516="",IF(AND(COUNTA($A516:$L516)&gt;0,$N516=""),"Awaiting Collection Email time stamp.",""),IF(OR($U516="PAID",$U516="CLOSED"),IF($U516="PAID","Account paid. Action completed.","Account closed. No further action required."),CHOOSE($Z516,"Collection Email","1st Email Follow-up","2nd Email Follow-up","Escalation to Local Office","Escalation to CBE","Escalation to Roxanne")&amp;" sent "&amp;TEXT($AA516,"dd-mmm")&amp;". "&amp;IF($Z516=6,"Final escalation completed.",IF($U516="OVERDUE","Next: "&amp;$AC516&amp;" was due "&amp;TEXT($AB516,"dd-mmm")&amp;" - "&amp;(NETWORKDAYS($AB516,TODAY(),Holidays)-1)&amp;" business day(s) late. Send now.",IF($U516="DUE TOMORROW","Next: "&amp;$AC516&amp;IF($AB516&lt;=TODAY()," is due TODAY ("," is due next business day (")&amp;TEXT($AB516,"dd-mmm")&amp;").","Next: "&amp;$AC516&amp;" due "&amp;TEXT($AB516,"dd-mmm")&amp;" ("&amp;(NETWORKDAYS(TODAY(),$AB516,Holidays)-1)&amp;" business day(s) left).")))))</f>
        <v/>
      </c>
      <c r="W516" s="17">
        <f>IF($Z516="","",CHOOSE($Z516,"Collection Email","1st Follow-up","2nd Follow-up","Local Office","CBE","Roxanne")&amp;IF($Z516=6," - Final"," - Day "&amp;MAX(0,NETWORKDAYS($AA516,TODAY(),Holidays)-1)&amp;" of "&amp;CHOOSE($Z516,3,3,2,2,3))&amp;" | Total Day "&amp;MAX(0,NETWORKDAYS($N516,TODAY(),Holidays)-1))</f>
        <v/>
      </c>
      <c r="X516" s="18"/>
      <c r="Y516" s="18"/>
      <c r="Z516" s="17">
        <f>IF($N516="","",COUNT($N516:$S516))</f>
        <v/>
      </c>
      <c r="AA516" s="19">
        <f>IF($Z516="","",INT(INDEX($N516:$S516,$Z516)))</f>
        <v/>
      </c>
      <c r="AB516" s="19">
        <f>IF(OR($Z516="",$Z516=6),"",WORKDAY($AA516,CHOOSE($Z516,3,3,2,2,3),Holidays))</f>
        <v/>
      </c>
      <c r="AC516" s="17">
        <f>IF(OR($Z516="",$Z516=6),"",CHOOSE($Z516,"1st Email Follow-up","2nd Email Follow-up","Escalate Local Office","Escalate to CBE","Escalate to Roxanne"))</f>
        <v/>
      </c>
    </row>
    <row r="517" spans="13:29">
      <c r="M517" s="14"/>
      <c r="T517" s="16"/>
      <c r="U517" s="17">
        <f>IF(AND(COUNTA($A517:$L517)=0,$N517=""),"",IF($T517="Paid","PAID",IF($T517="Closed","CLOSED",IF($Z517="","",IF($Z517=6,"ESCALATED TO ROXANNE",IF(TODAY()&gt;$AB517,"OVERDUE",IF($AB517&lt;=WORKDAY(TODAY(),1,Holidays),"DUE TOMORROW",IF($Z517=4,"ESCALATED TO LOCAL OFFICE",IF($Z517=5,"ESCALATED TO CBE",IF($AA517=TODAY(),"EMAIL SENT","MONITORING"))))))))))</f>
        <v/>
      </c>
      <c r="V517" s="17">
        <f>IF($U517="",IF(AND(COUNTA($A517:$L517)&gt;0,$N517=""),"Awaiting Collection Email time stamp.",""),IF(OR($U517="PAID",$U517="CLOSED"),IF($U517="PAID","Account paid. Action completed.","Account closed. No further action required."),CHOOSE($Z517,"Collection Email","1st Email Follow-up","2nd Email Follow-up","Escalation to Local Office","Escalation to CBE","Escalation to Roxanne")&amp;" sent "&amp;TEXT($AA517,"dd-mmm")&amp;". "&amp;IF($Z517=6,"Final escalation completed.",IF($U517="OVERDUE","Next: "&amp;$AC517&amp;" was due "&amp;TEXT($AB517,"dd-mmm")&amp;" - "&amp;(NETWORKDAYS($AB517,TODAY(),Holidays)-1)&amp;" business day(s) late. Send now.",IF($U517="DUE TOMORROW","Next: "&amp;$AC517&amp;IF($AB517&lt;=TODAY()," is due TODAY ("," is due next business day (")&amp;TEXT($AB517,"dd-mmm")&amp;").","Next: "&amp;$AC517&amp;" due "&amp;TEXT($AB517,"dd-mmm")&amp;" ("&amp;(NETWORKDAYS(TODAY(),$AB517,Holidays)-1)&amp;" business day(s) left).")))))</f>
        <v/>
      </c>
      <c r="W517" s="17">
        <f>IF($Z517="","",CHOOSE($Z517,"Collection Email","1st Follow-up","2nd Follow-up","Local Office","CBE","Roxanne")&amp;IF($Z517=6," - Final"," - Day "&amp;MAX(0,NETWORKDAYS($AA517,TODAY(),Holidays)-1)&amp;" of "&amp;CHOOSE($Z517,3,3,2,2,3))&amp;" | Total Day "&amp;MAX(0,NETWORKDAYS($N517,TODAY(),Holidays)-1))</f>
        <v/>
      </c>
      <c r="X517" s="18"/>
      <c r="Y517" s="18"/>
      <c r="Z517" s="17">
        <f>IF($N517="","",COUNT($N517:$S517))</f>
        <v/>
      </c>
      <c r="AA517" s="19">
        <f>IF($Z517="","",INT(INDEX($N517:$S517,$Z517)))</f>
        <v/>
      </c>
      <c r="AB517" s="19">
        <f>IF(OR($Z517="",$Z517=6),"",WORKDAY($AA517,CHOOSE($Z517,3,3,2,2,3),Holidays))</f>
        <v/>
      </c>
      <c r="AC517" s="17">
        <f>IF(OR($Z517="",$Z517=6),"",CHOOSE($Z517,"1st Email Follow-up","2nd Email Follow-up","Escalate Local Office","Escalate to CBE","Escalate to Roxanne"))</f>
        <v/>
      </c>
    </row>
    <row r="518" spans="13:29">
      <c r="M518" s="14"/>
      <c r="T518" s="16"/>
      <c r="U518" s="17">
        <f>IF(AND(COUNTA($A518:$L518)=0,$N518=""),"",IF($T518="Paid","PAID",IF($T518="Closed","CLOSED",IF($Z518="","",IF($Z518=6,"ESCALATED TO ROXANNE",IF(TODAY()&gt;$AB518,"OVERDUE",IF($AB518&lt;=WORKDAY(TODAY(),1,Holidays),"DUE TOMORROW",IF($Z518=4,"ESCALATED TO LOCAL OFFICE",IF($Z518=5,"ESCALATED TO CBE",IF($AA518=TODAY(),"EMAIL SENT","MONITORING"))))))))))</f>
        <v/>
      </c>
      <c r="V518" s="17">
        <f>IF($U518="",IF(AND(COUNTA($A518:$L518)&gt;0,$N518=""),"Awaiting Collection Email time stamp.",""),IF(OR($U518="PAID",$U518="CLOSED"),IF($U518="PAID","Account paid. Action completed.","Account closed. No further action required."),CHOOSE($Z518,"Collection Email","1st Email Follow-up","2nd Email Follow-up","Escalation to Local Office","Escalation to CBE","Escalation to Roxanne")&amp;" sent "&amp;TEXT($AA518,"dd-mmm")&amp;". "&amp;IF($Z518=6,"Final escalation completed.",IF($U518="OVERDUE","Next: "&amp;$AC518&amp;" was due "&amp;TEXT($AB518,"dd-mmm")&amp;" - "&amp;(NETWORKDAYS($AB518,TODAY(),Holidays)-1)&amp;" business day(s) late. Send now.",IF($U518="DUE TOMORROW","Next: "&amp;$AC518&amp;IF($AB518&lt;=TODAY()," is due TODAY ("," is due next business day (")&amp;TEXT($AB518,"dd-mmm")&amp;").","Next: "&amp;$AC518&amp;" due "&amp;TEXT($AB518,"dd-mmm")&amp;" ("&amp;(NETWORKDAYS(TODAY(),$AB518,Holidays)-1)&amp;" business day(s) left).")))))</f>
        <v/>
      </c>
      <c r="W518" s="17">
        <f>IF($Z518="","",CHOOSE($Z518,"Collection Email","1st Follow-up","2nd Follow-up","Local Office","CBE","Roxanne")&amp;IF($Z518=6," - Final"," - Day "&amp;MAX(0,NETWORKDAYS($AA518,TODAY(),Holidays)-1)&amp;" of "&amp;CHOOSE($Z518,3,3,2,2,3))&amp;" | Total Day "&amp;MAX(0,NETWORKDAYS($N518,TODAY(),Holidays)-1))</f>
        <v/>
      </c>
      <c r="X518" s="18"/>
      <c r="Y518" s="18"/>
      <c r="Z518" s="17">
        <f>IF($N518="","",COUNT($N518:$S518))</f>
        <v/>
      </c>
      <c r="AA518" s="19">
        <f>IF($Z518="","",INT(INDEX($N518:$S518,$Z518)))</f>
        <v/>
      </c>
      <c r="AB518" s="19">
        <f>IF(OR($Z518="",$Z518=6),"",WORKDAY($AA518,CHOOSE($Z518,3,3,2,2,3),Holidays))</f>
        <v/>
      </c>
      <c r="AC518" s="17">
        <f>IF(OR($Z518="",$Z518=6),"",CHOOSE($Z518,"1st Email Follow-up","2nd Email Follow-up","Escalate Local Office","Escalate to CBE","Escalate to Roxanne"))</f>
        <v/>
      </c>
    </row>
    <row r="519" spans="13:29">
      <c r="M519" s="14"/>
      <c r="T519" s="16"/>
      <c r="U519" s="17">
        <f>IF(AND(COUNTA($A519:$L519)=0,$N519=""),"",IF($T519="Paid","PAID",IF($T519="Closed","CLOSED",IF($Z519="","",IF($Z519=6,"ESCALATED TO ROXANNE",IF(TODAY()&gt;$AB519,"OVERDUE",IF($AB519&lt;=WORKDAY(TODAY(),1,Holidays),"DUE TOMORROW",IF($Z519=4,"ESCALATED TO LOCAL OFFICE",IF($Z519=5,"ESCALATED TO CBE",IF($AA519=TODAY(),"EMAIL SENT","MONITORING"))))))))))</f>
        <v/>
      </c>
      <c r="V519" s="17">
        <f>IF($U519="",IF(AND(COUNTA($A519:$L519)&gt;0,$N519=""),"Awaiting Collection Email time stamp.",""),IF(OR($U519="PAID",$U519="CLOSED"),IF($U519="PAID","Account paid. Action completed.","Account closed. No further action required."),CHOOSE($Z519,"Collection Email","1st Email Follow-up","2nd Email Follow-up","Escalation to Local Office","Escalation to CBE","Escalation to Roxanne")&amp;" sent "&amp;TEXT($AA519,"dd-mmm")&amp;". "&amp;IF($Z519=6,"Final escalation completed.",IF($U519="OVERDUE","Next: "&amp;$AC519&amp;" was due "&amp;TEXT($AB519,"dd-mmm")&amp;" - "&amp;(NETWORKDAYS($AB519,TODAY(),Holidays)-1)&amp;" business day(s) late. Send now.",IF($U519="DUE TOMORROW","Next: "&amp;$AC519&amp;IF($AB519&lt;=TODAY()," is due TODAY ("," is due next business day (")&amp;TEXT($AB519,"dd-mmm")&amp;").","Next: "&amp;$AC519&amp;" due "&amp;TEXT($AB519,"dd-mmm")&amp;" ("&amp;(NETWORKDAYS(TODAY(),$AB519,Holidays)-1)&amp;" business day(s) left).")))))</f>
        <v/>
      </c>
      <c r="W519" s="17">
        <f>IF($Z519="","",CHOOSE($Z519,"Collection Email","1st Follow-up","2nd Follow-up","Local Office","CBE","Roxanne")&amp;IF($Z519=6," - Final"," - Day "&amp;MAX(0,NETWORKDAYS($AA519,TODAY(),Holidays)-1)&amp;" of "&amp;CHOOSE($Z519,3,3,2,2,3))&amp;" | Total Day "&amp;MAX(0,NETWORKDAYS($N519,TODAY(),Holidays)-1))</f>
        <v/>
      </c>
      <c r="X519" s="18"/>
      <c r="Y519" s="18"/>
      <c r="Z519" s="17">
        <f>IF($N519="","",COUNT($N519:$S519))</f>
        <v/>
      </c>
      <c r="AA519" s="19">
        <f>IF($Z519="","",INT(INDEX($N519:$S519,$Z519)))</f>
        <v/>
      </c>
      <c r="AB519" s="19">
        <f>IF(OR($Z519="",$Z519=6),"",WORKDAY($AA519,CHOOSE($Z519,3,3,2,2,3),Holidays))</f>
        <v/>
      </c>
      <c r="AC519" s="17">
        <f>IF(OR($Z519="",$Z519=6),"",CHOOSE($Z519,"1st Email Follow-up","2nd Email Follow-up","Escalate Local Office","Escalate to CBE","Escalate to Roxanne"))</f>
        <v/>
      </c>
    </row>
    <row r="520" spans="13:29">
      <c r="M520" s="14"/>
      <c r="T520" s="16"/>
      <c r="U520" s="17">
        <f>IF(AND(COUNTA($A520:$L520)=0,$N520=""),"",IF($T520="Paid","PAID",IF($T520="Closed","CLOSED",IF($Z520="","",IF($Z520=6,"ESCALATED TO ROXANNE",IF(TODAY()&gt;$AB520,"OVERDUE",IF($AB520&lt;=WORKDAY(TODAY(),1,Holidays),"DUE TOMORROW",IF($Z520=4,"ESCALATED TO LOCAL OFFICE",IF($Z520=5,"ESCALATED TO CBE",IF($AA520=TODAY(),"EMAIL SENT","MONITORING"))))))))))</f>
        <v/>
      </c>
      <c r="V520" s="17">
        <f>IF($U520="",IF(AND(COUNTA($A520:$L520)&gt;0,$N520=""),"Awaiting Collection Email time stamp.",""),IF(OR($U520="PAID",$U520="CLOSED"),IF($U520="PAID","Account paid. Action completed.","Account closed. No further action required."),CHOOSE($Z520,"Collection Email","1st Email Follow-up","2nd Email Follow-up","Escalation to Local Office","Escalation to CBE","Escalation to Roxanne")&amp;" sent "&amp;TEXT($AA520,"dd-mmm")&amp;". "&amp;IF($Z520=6,"Final escalation completed.",IF($U520="OVERDUE","Next: "&amp;$AC520&amp;" was due "&amp;TEXT($AB520,"dd-mmm")&amp;" - "&amp;(NETWORKDAYS($AB520,TODAY(),Holidays)-1)&amp;" business day(s) late. Send now.",IF($U520="DUE TOMORROW","Next: "&amp;$AC520&amp;IF($AB520&lt;=TODAY()," is due TODAY ("," is due next business day (")&amp;TEXT($AB520,"dd-mmm")&amp;").","Next: "&amp;$AC520&amp;" due "&amp;TEXT($AB520,"dd-mmm")&amp;" ("&amp;(NETWORKDAYS(TODAY(),$AB520,Holidays)-1)&amp;" business day(s) left).")))))</f>
        <v/>
      </c>
      <c r="W520" s="17">
        <f>IF($Z520="","",CHOOSE($Z520,"Collection Email","1st Follow-up","2nd Follow-up","Local Office","CBE","Roxanne")&amp;IF($Z520=6," - Final"," - Day "&amp;MAX(0,NETWORKDAYS($AA520,TODAY(),Holidays)-1)&amp;" of "&amp;CHOOSE($Z520,3,3,2,2,3))&amp;" | Total Day "&amp;MAX(0,NETWORKDAYS($N520,TODAY(),Holidays)-1))</f>
        <v/>
      </c>
      <c r="X520" s="18"/>
      <c r="Y520" s="18"/>
      <c r="Z520" s="17">
        <f>IF($N520="","",COUNT($N520:$S520))</f>
        <v/>
      </c>
      <c r="AA520" s="19">
        <f>IF($Z520="","",INT(INDEX($N520:$S520,$Z520)))</f>
        <v/>
      </c>
      <c r="AB520" s="19">
        <f>IF(OR($Z520="",$Z520=6),"",WORKDAY($AA520,CHOOSE($Z520,3,3,2,2,3),Holidays))</f>
        <v/>
      </c>
      <c r="AC520" s="17">
        <f>IF(OR($Z520="",$Z520=6),"",CHOOSE($Z520,"1st Email Follow-up","2nd Email Follow-up","Escalate Local Office","Escalate to CBE","Escalate to Roxanne"))</f>
        <v/>
      </c>
    </row>
    <row r="521" spans="13:29">
      <c r="M521" s="14"/>
      <c r="T521" s="16"/>
      <c r="U521" s="17">
        <f>IF(AND(COUNTA($A521:$L521)=0,$N521=""),"",IF($T521="Paid","PAID",IF($T521="Closed","CLOSED",IF($Z521="","",IF($Z521=6,"ESCALATED TO ROXANNE",IF(TODAY()&gt;$AB521,"OVERDUE",IF($AB521&lt;=WORKDAY(TODAY(),1,Holidays),"DUE TOMORROW",IF($Z521=4,"ESCALATED TO LOCAL OFFICE",IF($Z521=5,"ESCALATED TO CBE",IF($AA521=TODAY(),"EMAIL SENT","MONITORING"))))))))))</f>
        <v/>
      </c>
      <c r="V521" s="17">
        <f>IF($U521="",IF(AND(COUNTA($A521:$L521)&gt;0,$N521=""),"Awaiting Collection Email time stamp.",""),IF(OR($U521="PAID",$U521="CLOSED"),IF($U521="PAID","Account paid. Action completed.","Account closed. No further action required."),CHOOSE($Z521,"Collection Email","1st Email Follow-up","2nd Email Follow-up","Escalation to Local Office","Escalation to CBE","Escalation to Roxanne")&amp;" sent "&amp;TEXT($AA521,"dd-mmm")&amp;". "&amp;IF($Z521=6,"Final escalation completed.",IF($U521="OVERDUE","Next: "&amp;$AC521&amp;" was due "&amp;TEXT($AB521,"dd-mmm")&amp;" - "&amp;(NETWORKDAYS($AB521,TODAY(),Holidays)-1)&amp;" business day(s) late. Send now.",IF($U521="DUE TOMORROW","Next: "&amp;$AC521&amp;IF($AB521&lt;=TODAY()," is due TODAY ("," is due next business day (")&amp;TEXT($AB521,"dd-mmm")&amp;").","Next: "&amp;$AC521&amp;" due "&amp;TEXT($AB521,"dd-mmm")&amp;" ("&amp;(NETWORKDAYS(TODAY(),$AB521,Holidays)-1)&amp;" business day(s) left).")))))</f>
        <v/>
      </c>
      <c r="W521" s="17">
        <f>IF($Z521="","",CHOOSE($Z521,"Collection Email","1st Follow-up","2nd Follow-up","Local Office","CBE","Roxanne")&amp;IF($Z521=6," - Final"," - Day "&amp;MAX(0,NETWORKDAYS($AA521,TODAY(),Holidays)-1)&amp;" of "&amp;CHOOSE($Z521,3,3,2,2,3))&amp;" | Total Day "&amp;MAX(0,NETWORKDAYS($N521,TODAY(),Holidays)-1))</f>
        <v/>
      </c>
      <c r="X521" s="18"/>
      <c r="Y521" s="18"/>
      <c r="Z521" s="17">
        <f>IF($N521="","",COUNT($N521:$S521))</f>
        <v/>
      </c>
      <c r="AA521" s="19">
        <f>IF($Z521="","",INT(INDEX($N521:$S521,$Z521)))</f>
        <v/>
      </c>
      <c r="AB521" s="19">
        <f>IF(OR($Z521="",$Z521=6),"",WORKDAY($AA521,CHOOSE($Z521,3,3,2,2,3),Holidays))</f>
        <v/>
      </c>
      <c r="AC521" s="17">
        <f>IF(OR($Z521="",$Z521=6),"",CHOOSE($Z521,"1st Email Follow-up","2nd Email Follow-up","Escalate Local Office","Escalate to CBE","Escalate to Roxanne"))</f>
        <v/>
      </c>
    </row>
    <row r="522" spans="13:29">
      <c r="M522" s="14"/>
      <c r="T522" s="16"/>
      <c r="U522" s="17">
        <f>IF(AND(COUNTA($A522:$L522)=0,$N522=""),"",IF($T522="Paid","PAID",IF($T522="Closed","CLOSED",IF($Z522="","",IF($Z522=6,"ESCALATED TO ROXANNE",IF(TODAY()&gt;$AB522,"OVERDUE",IF($AB522&lt;=WORKDAY(TODAY(),1,Holidays),"DUE TOMORROW",IF($Z522=4,"ESCALATED TO LOCAL OFFICE",IF($Z522=5,"ESCALATED TO CBE",IF($AA522=TODAY(),"EMAIL SENT","MONITORING"))))))))))</f>
        <v/>
      </c>
      <c r="V522" s="17">
        <f>IF($U522="",IF(AND(COUNTA($A522:$L522)&gt;0,$N522=""),"Awaiting Collection Email time stamp.",""),IF(OR($U522="PAID",$U522="CLOSED"),IF($U522="PAID","Account paid. Action completed.","Account closed. No further action required."),CHOOSE($Z522,"Collection Email","1st Email Follow-up","2nd Email Follow-up","Escalation to Local Office","Escalation to CBE","Escalation to Roxanne")&amp;" sent "&amp;TEXT($AA522,"dd-mmm")&amp;". "&amp;IF($Z522=6,"Final escalation completed.",IF($U522="OVERDUE","Next: "&amp;$AC522&amp;" was due "&amp;TEXT($AB522,"dd-mmm")&amp;" - "&amp;(NETWORKDAYS($AB522,TODAY(),Holidays)-1)&amp;" business day(s) late. Send now.",IF($U522="DUE TOMORROW","Next: "&amp;$AC522&amp;IF($AB522&lt;=TODAY()," is due TODAY ("," is due next business day (")&amp;TEXT($AB522,"dd-mmm")&amp;").","Next: "&amp;$AC522&amp;" due "&amp;TEXT($AB522,"dd-mmm")&amp;" ("&amp;(NETWORKDAYS(TODAY(),$AB522,Holidays)-1)&amp;" business day(s) left).")))))</f>
        <v/>
      </c>
      <c r="W522" s="17">
        <f>IF($Z522="","",CHOOSE($Z522,"Collection Email","1st Follow-up","2nd Follow-up","Local Office","CBE","Roxanne")&amp;IF($Z522=6," - Final"," - Day "&amp;MAX(0,NETWORKDAYS($AA522,TODAY(),Holidays)-1)&amp;" of "&amp;CHOOSE($Z522,3,3,2,2,3))&amp;" | Total Day "&amp;MAX(0,NETWORKDAYS($N522,TODAY(),Holidays)-1))</f>
        <v/>
      </c>
      <c r="X522" s="18"/>
      <c r="Y522" s="18"/>
      <c r="Z522" s="17">
        <f>IF($N522="","",COUNT($N522:$S522))</f>
        <v/>
      </c>
      <c r="AA522" s="19">
        <f>IF($Z522="","",INT(INDEX($N522:$S522,$Z522)))</f>
        <v/>
      </c>
      <c r="AB522" s="19">
        <f>IF(OR($Z522="",$Z522=6),"",WORKDAY($AA522,CHOOSE($Z522,3,3,2,2,3),Holidays))</f>
        <v/>
      </c>
      <c r="AC522" s="17">
        <f>IF(OR($Z522="",$Z522=6),"",CHOOSE($Z522,"1st Email Follow-up","2nd Email Follow-up","Escalate Local Office","Escalate to CBE","Escalate to Roxanne"))</f>
        <v/>
      </c>
    </row>
    <row r="523" spans="13:29">
      <c r="M523" s="14"/>
      <c r="T523" s="16"/>
      <c r="U523" s="17">
        <f>IF(AND(COUNTA($A523:$L523)=0,$N523=""),"",IF($T523="Paid","PAID",IF($T523="Closed","CLOSED",IF($Z523="","",IF($Z523=6,"ESCALATED TO ROXANNE",IF(TODAY()&gt;$AB523,"OVERDUE",IF($AB523&lt;=WORKDAY(TODAY(),1,Holidays),"DUE TOMORROW",IF($Z523=4,"ESCALATED TO LOCAL OFFICE",IF($Z523=5,"ESCALATED TO CBE",IF($AA523=TODAY(),"EMAIL SENT","MONITORING"))))))))))</f>
        <v/>
      </c>
      <c r="V523" s="17">
        <f>IF($U523="",IF(AND(COUNTA($A523:$L523)&gt;0,$N523=""),"Awaiting Collection Email time stamp.",""),IF(OR($U523="PAID",$U523="CLOSED"),IF($U523="PAID","Account paid. Action completed.","Account closed. No further action required."),CHOOSE($Z523,"Collection Email","1st Email Follow-up","2nd Email Follow-up","Escalation to Local Office","Escalation to CBE","Escalation to Roxanne")&amp;" sent "&amp;TEXT($AA523,"dd-mmm")&amp;". "&amp;IF($Z523=6,"Final escalation completed.",IF($U523="OVERDUE","Next: "&amp;$AC523&amp;" was due "&amp;TEXT($AB523,"dd-mmm")&amp;" - "&amp;(NETWORKDAYS($AB523,TODAY(),Holidays)-1)&amp;" business day(s) late. Send now.",IF($U523="DUE TOMORROW","Next: "&amp;$AC523&amp;IF($AB523&lt;=TODAY()," is due TODAY ("," is due next business day (")&amp;TEXT($AB523,"dd-mmm")&amp;").","Next: "&amp;$AC523&amp;" due "&amp;TEXT($AB523,"dd-mmm")&amp;" ("&amp;(NETWORKDAYS(TODAY(),$AB523,Holidays)-1)&amp;" business day(s) left).")))))</f>
        <v/>
      </c>
      <c r="W523" s="17">
        <f>IF($Z523="","",CHOOSE($Z523,"Collection Email","1st Follow-up","2nd Follow-up","Local Office","CBE","Roxanne")&amp;IF($Z523=6," - Final"," - Day "&amp;MAX(0,NETWORKDAYS($AA523,TODAY(),Holidays)-1)&amp;" of "&amp;CHOOSE($Z523,3,3,2,2,3))&amp;" | Total Day "&amp;MAX(0,NETWORKDAYS($N523,TODAY(),Holidays)-1))</f>
        <v/>
      </c>
      <c r="X523" s="18"/>
      <c r="Y523" s="18"/>
      <c r="Z523" s="17">
        <f>IF($N523="","",COUNT($N523:$S523))</f>
        <v/>
      </c>
      <c r="AA523" s="19">
        <f>IF($Z523="","",INT(INDEX($N523:$S523,$Z523)))</f>
        <v/>
      </c>
      <c r="AB523" s="19">
        <f>IF(OR($Z523="",$Z523=6),"",WORKDAY($AA523,CHOOSE($Z523,3,3,2,2,3),Holidays))</f>
        <v/>
      </c>
      <c r="AC523" s="17">
        <f>IF(OR($Z523="",$Z523=6),"",CHOOSE($Z523,"1st Email Follow-up","2nd Email Follow-up","Escalate Local Office","Escalate to CBE","Escalate to Roxanne"))</f>
        <v/>
      </c>
    </row>
    <row r="524" spans="13:29">
      <c r="M524" s="14"/>
      <c r="T524" s="16"/>
      <c r="U524" s="17">
        <f>IF(AND(COUNTA($A524:$L524)=0,$N524=""),"",IF($T524="Paid","PAID",IF($T524="Closed","CLOSED",IF($Z524="","",IF($Z524=6,"ESCALATED TO ROXANNE",IF(TODAY()&gt;$AB524,"OVERDUE",IF($AB524&lt;=WORKDAY(TODAY(),1,Holidays),"DUE TOMORROW",IF($Z524=4,"ESCALATED TO LOCAL OFFICE",IF($Z524=5,"ESCALATED TO CBE",IF($AA524=TODAY(),"EMAIL SENT","MONITORING"))))))))))</f>
        <v/>
      </c>
      <c r="V524" s="17">
        <f>IF($U524="",IF(AND(COUNTA($A524:$L524)&gt;0,$N524=""),"Awaiting Collection Email time stamp.",""),IF(OR($U524="PAID",$U524="CLOSED"),IF($U524="PAID","Account paid. Action completed.","Account closed. No further action required."),CHOOSE($Z524,"Collection Email","1st Email Follow-up","2nd Email Follow-up","Escalation to Local Office","Escalation to CBE","Escalation to Roxanne")&amp;" sent "&amp;TEXT($AA524,"dd-mmm")&amp;". "&amp;IF($Z524=6,"Final escalation completed.",IF($U524="OVERDUE","Next: "&amp;$AC524&amp;" was due "&amp;TEXT($AB524,"dd-mmm")&amp;" - "&amp;(NETWORKDAYS($AB524,TODAY(),Holidays)-1)&amp;" business day(s) late. Send now.",IF($U524="DUE TOMORROW","Next: "&amp;$AC524&amp;IF($AB524&lt;=TODAY()," is due TODAY ("," is due next business day (")&amp;TEXT($AB524,"dd-mmm")&amp;").","Next: "&amp;$AC524&amp;" due "&amp;TEXT($AB524,"dd-mmm")&amp;" ("&amp;(NETWORKDAYS(TODAY(),$AB524,Holidays)-1)&amp;" business day(s) left).")))))</f>
        <v/>
      </c>
      <c r="W524" s="17">
        <f>IF($Z524="","",CHOOSE($Z524,"Collection Email","1st Follow-up","2nd Follow-up","Local Office","CBE","Roxanne")&amp;IF($Z524=6," - Final"," - Day "&amp;MAX(0,NETWORKDAYS($AA524,TODAY(),Holidays)-1)&amp;" of "&amp;CHOOSE($Z524,3,3,2,2,3))&amp;" | Total Day "&amp;MAX(0,NETWORKDAYS($N524,TODAY(),Holidays)-1))</f>
        <v/>
      </c>
      <c r="X524" s="18"/>
      <c r="Y524" s="18"/>
      <c r="Z524" s="17">
        <f>IF($N524="","",COUNT($N524:$S524))</f>
        <v/>
      </c>
      <c r="AA524" s="19">
        <f>IF($Z524="","",INT(INDEX($N524:$S524,$Z524)))</f>
        <v/>
      </c>
      <c r="AB524" s="19">
        <f>IF(OR($Z524="",$Z524=6),"",WORKDAY($AA524,CHOOSE($Z524,3,3,2,2,3),Holidays))</f>
        <v/>
      </c>
      <c r="AC524" s="17">
        <f>IF(OR($Z524="",$Z524=6),"",CHOOSE($Z524,"1st Email Follow-up","2nd Email Follow-up","Escalate Local Office","Escalate to CBE","Escalate to Roxanne"))</f>
        <v/>
      </c>
    </row>
    <row r="525" spans="13:29">
      <c r="M525" s="14"/>
      <c r="T525" s="16"/>
      <c r="U525" s="17">
        <f>IF(AND(COUNTA($A525:$L525)=0,$N525=""),"",IF($T525="Paid","PAID",IF($T525="Closed","CLOSED",IF($Z525="","",IF($Z525=6,"ESCALATED TO ROXANNE",IF(TODAY()&gt;$AB525,"OVERDUE",IF($AB525&lt;=WORKDAY(TODAY(),1,Holidays),"DUE TOMORROW",IF($Z525=4,"ESCALATED TO LOCAL OFFICE",IF($Z525=5,"ESCALATED TO CBE",IF($AA525=TODAY(),"EMAIL SENT","MONITORING"))))))))))</f>
        <v/>
      </c>
      <c r="V525" s="17">
        <f>IF($U525="",IF(AND(COUNTA($A525:$L525)&gt;0,$N525=""),"Awaiting Collection Email time stamp.",""),IF(OR($U525="PAID",$U525="CLOSED"),IF($U525="PAID","Account paid. Action completed.","Account closed. No further action required."),CHOOSE($Z525,"Collection Email","1st Email Follow-up","2nd Email Follow-up","Escalation to Local Office","Escalation to CBE","Escalation to Roxanne")&amp;" sent "&amp;TEXT($AA525,"dd-mmm")&amp;". "&amp;IF($Z525=6,"Final escalation completed.",IF($U525="OVERDUE","Next: "&amp;$AC525&amp;" was due "&amp;TEXT($AB525,"dd-mmm")&amp;" - "&amp;(NETWORKDAYS($AB525,TODAY(),Holidays)-1)&amp;" business day(s) late. Send now.",IF($U525="DUE TOMORROW","Next: "&amp;$AC525&amp;IF($AB525&lt;=TODAY()," is due TODAY ("," is due next business day (")&amp;TEXT($AB525,"dd-mmm")&amp;").","Next: "&amp;$AC525&amp;" due "&amp;TEXT($AB525,"dd-mmm")&amp;" ("&amp;(NETWORKDAYS(TODAY(),$AB525,Holidays)-1)&amp;" business day(s) left).")))))</f>
        <v/>
      </c>
      <c r="W525" s="17">
        <f>IF($Z525="","",CHOOSE($Z525,"Collection Email","1st Follow-up","2nd Follow-up","Local Office","CBE","Roxanne")&amp;IF($Z525=6," - Final"," - Day "&amp;MAX(0,NETWORKDAYS($AA525,TODAY(),Holidays)-1)&amp;" of "&amp;CHOOSE($Z525,3,3,2,2,3))&amp;" | Total Day "&amp;MAX(0,NETWORKDAYS($N525,TODAY(),Holidays)-1))</f>
        <v/>
      </c>
      <c r="X525" s="18"/>
      <c r="Y525" s="18"/>
      <c r="Z525" s="17">
        <f>IF($N525="","",COUNT($N525:$S525))</f>
        <v/>
      </c>
      <c r="AA525" s="19">
        <f>IF($Z525="","",INT(INDEX($N525:$S525,$Z525)))</f>
        <v/>
      </c>
      <c r="AB525" s="19">
        <f>IF(OR($Z525="",$Z525=6),"",WORKDAY($AA525,CHOOSE($Z525,3,3,2,2,3),Holidays))</f>
        <v/>
      </c>
      <c r="AC525" s="17">
        <f>IF(OR($Z525="",$Z525=6),"",CHOOSE($Z525,"1st Email Follow-up","2nd Email Follow-up","Escalate Local Office","Escalate to CBE","Escalate to Roxanne"))</f>
        <v/>
      </c>
    </row>
    <row r="526" spans="13:29">
      <c r="M526" s="14"/>
      <c r="T526" s="16"/>
      <c r="U526" s="17">
        <f>IF(AND(COUNTA($A526:$L526)=0,$N526=""),"",IF($T526="Paid","PAID",IF($T526="Closed","CLOSED",IF($Z526="","",IF($Z526=6,"ESCALATED TO ROXANNE",IF(TODAY()&gt;$AB526,"OVERDUE",IF($AB526&lt;=WORKDAY(TODAY(),1,Holidays),"DUE TOMORROW",IF($Z526=4,"ESCALATED TO LOCAL OFFICE",IF($Z526=5,"ESCALATED TO CBE",IF($AA526=TODAY(),"EMAIL SENT","MONITORING"))))))))))</f>
        <v/>
      </c>
      <c r="V526" s="17">
        <f>IF($U526="",IF(AND(COUNTA($A526:$L526)&gt;0,$N526=""),"Awaiting Collection Email time stamp.",""),IF(OR($U526="PAID",$U526="CLOSED"),IF($U526="PAID","Account paid. Action completed.","Account closed. No further action required."),CHOOSE($Z526,"Collection Email","1st Email Follow-up","2nd Email Follow-up","Escalation to Local Office","Escalation to CBE","Escalation to Roxanne")&amp;" sent "&amp;TEXT($AA526,"dd-mmm")&amp;". "&amp;IF($Z526=6,"Final escalation completed.",IF($U526="OVERDUE","Next: "&amp;$AC526&amp;" was due "&amp;TEXT($AB526,"dd-mmm")&amp;" - "&amp;(NETWORKDAYS($AB526,TODAY(),Holidays)-1)&amp;" business day(s) late. Send now.",IF($U526="DUE TOMORROW","Next: "&amp;$AC526&amp;IF($AB526&lt;=TODAY()," is due TODAY ("," is due next business day (")&amp;TEXT($AB526,"dd-mmm")&amp;").","Next: "&amp;$AC526&amp;" due "&amp;TEXT($AB526,"dd-mmm")&amp;" ("&amp;(NETWORKDAYS(TODAY(),$AB526,Holidays)-1)&amp;" business day(s) left).")))))</f>
        <v/>
      </c>
      <c r="W526" s="17">
        <f>IF($Z526="","",CHOOSE($Z526,"Collection Email","1st Follow-up","2nd Follow-up","Local Office","CBE","Roxanne")&amp;IF($Z526=6," - Final"," - Day "&amp;MAX(0,NETWORKDAYS($AA526,TODAY(),Holidays)-1)&amp;" of "&amp;CHOOSE($Z526,3,3,2,2,3))&amp;" | Total Day "&amp;MAX(0,NETWORKDAYS($N526,TODAY(),Holidays)-1))</f>
        <v/>
      </c>
      <c r="X526" s="18"/>
      <c r="Y526" s="18"/>
      <c r="Z526" s="17">
        <f>IF($N526="","",COUNT($N526:$S526))</f>
        <v/>
      </c>
      <c r="AA526" s="19">
        <f>IF($Z526="","",INT(INDEX($N526:$S526,$Z526)))</f>
        <v/>
      </c>
      <c r="AB526" s="19">
        <f>IF(OR($Z526="",$Z526=6),"",WORKDAY($AA526,CHOOSE($Z526,3,3,2,2,3),Holidays))</f>
        <v/>
      </c>
      <c r="AC526" s="17">
        <f>IF(OR($Z526="",$Z526=6),"",CHOOSE($Z526,"1st Email Follow-up","2nd Email Follow-up","Escalate Local Office","Escalate to CBE","Escalate to Roxanne"))</f>
        <v/>
      </c>
    </row>
    <row r="527" spans="13:29">
      <c r="M527" s="14"/>
      <c r="T527" s="16"/>
      <c r="U527" s="17">
        <f>IF(AND(COUNTA($A527:$L527)=0,$N527=""),"",IF($T527="Paid","PAID",IF($T527="Closed","CLOSED",IF($Z527="","",IF($Z527=6,"ESCALATED TO ROXANNE",IF(TODAY()&gt;$AB527,"OVERDUE",IF($AB527&lt;=WORKDAY(TODAY(),1,Holidays),"DUE TOMORROW",IF($Z527=4,"ESCALATED TO LOCAL OFFICE",IF($Z527=5,"ESCALATED TO CBE",IF($AA527=TODAY(),"EMAIL SENT","MONITORING"))))))))))</f>
        <v/>
      </c>
      <c r="V527" s="17">
        <f>IF($U527="",IF(AND(COUNTA($A527:$L527)&gt;0,$N527=""),"Awaiting Collection Email time stamp.",""),IF(OR($U527="PAID",$U527="CLOSED"),IF($U527="PAID","Account paid. Action completed.","Account closed. No further action required."),CHOOSE($Z527,"Collection Email","1st Email Follow-up","2nd Email Follow-up","Escalation to Local Office","Escalation to CBE","Escalation to Roxanne")&amp;" sent "&amp;TEXT($AA527,"dd-mmm")&amp;". "&amp;IF($Z527=6,"Final escalation completed.",IF($U527="OVERDUE","Next: "&amp;$AC527&amp;" was due "&amp;TEXT($AB527,"dd-mmm")&amp;" - "&amp;(NETWORKDAYS($AB527,TODAY(),Holidays)-1)&amp;" business day(s) late. Send now.",IF($U527="DUE TOMORROW","Next: "&amp;$AC527&amp;IF($AB527&lt;=TODAY()," is due TODAY ("," is due next business day (")&amp;TEXT($AB527,"dd-mmm")&amp;").","Next: "&amp;$AC527&amp;" due "&amp;TEXT($AB527,"dd-mmm")&amp;" ("&amp;(NETWORKDAYS(TODAY(),$AB527,Holidays)-1)&amp;" business day(s) left).")))))</f>
        <v/>
      </c>
      <c r="W527" s="17">
        <f>IF($Z527="","",CHOOSE($Z527,"Collection Email","1st Follow-up","2nd Follow-up","Local Office","CBE","Roxanne")&amp;IF($Z527=6," - Final"," - Day "&amp;MAX(0,NETWORKDAYS($AA527,TODAY(),Holidays)-1)&amp;" of "&amp;CHOOSE($Z527,3,3,2,2,3))&amp;" | Total Day "&amp;MAX(0,NETWORKDAYS($N527,TODAY(),Holidays)-1))</f>
        <v/>
      </c>
      <c r="X527" s="18"/>
      <c r="Y527" s="18"/>
      <c r="Z527" s="17">
        <f>IF($N527="","",COUNT($N527:$S527))</f>
        <v/>
      </c>
      <c r="AA527" s="19">
        <f>IF($Z527="","",INT(INDEX($N527:$S527,$Z527)))</f>
        <v/>
      </c>
      <c r="AB527" s="19">
        <f>IF(OR($Z527="",$Z527=6),"",WORKDAY($AA527,CHOOSE($Z527,3,3,2,2,3),Holidays))</f>
        <v/>
      </c>
      <c r="AC527" s="17">
        <f>IF(OR($Z527="",$Z527=6),"",CHOOSE($Z527,"1st Email Follow-up","2nd Email Follow-up","Escalate Local Office","Escalate to CBE","Escalate to Roxanne"))</f>
        <v/>
      </c>
    </row>
    <row r="528" spans="13:29">
      <c r="M528" s="14"/>
      <c r="T528" s="16"/>
      <c r="U528" s="17">
        <f>IF(AND(COUNTA($A528:$L528)=0,$N528=""),"",IF($T528="Paid","PAID",IF($T528="Closed","CLOSED",IF($Z528="","",IF($Z528=6,"ESCALATED TO ROXANNE",IF(TODAY()&gt;$AB528,"OVERDUE",IF($AB528&lt;=WORKDAY(TODAY(),1,Holidays),"DUE TOMORROW",IF($Z528=4,"ESCALATED TO LOCAL OFFICE",IF($Z528=5,"ESCALATED TO CBE",IF($AA528=TODAY(),"EMAIL SENT","MONITORING"))))))))))</f>
        <v/>
      </c>
      <c r="V528" s="17">
        <f>IF($U528="",IF(AND(COUNTA($A528:$L528)&gt;0,$N528=""),"Awaiting Collection Email time stamp.",""),IF(OR($U528="PAID",$U528="CLOSED"),IF($U528="PAID","Account paid. Action completed.","Account closed. No further action required."),CHOOSE($Z528,"Collection Email","1st Email Follow-up","2nd Email Follow-up","Escalation to Local Office","Escalation to CBE","Escalation to Roxanne")&amp;" sent "&amp;TEXT($AA528,"dd-mmm")&amp;". "&amp;IF($Z528=6,"Final escalation completed.",IF($U528="OVERDUE","Next: "&amp;$AC528&amp;" was due "&amp;TEXT($AB528,"dd-mmm")&amp;" - "&amp;(NETWORKDAYS($AB528,TODAY(),Holidays)-1)&amp;" business day(s) late. Send now.",IF($U528="DUE TOMORROW","Next: "&amp;$AC528&amp;IF($AB528&lt;=TODAY()," is due TODAY ("," is due next business day (")&amp;TEXT($AB528,"dd-mmm")&amp;").","Next: "&amp;$AC528&amp;" due "&amp;TEXT($AB528,"dd-mmm")&amp;" ("&amp;(NETWORKDAYS(TODAY(),$AB528,Holidays)-1)&amp;" business day(s) left).")))))</f>
        <v/>
      </c>
      <c r="W528" s="17">
        <f>IF($Z528="","",CHOOSE($Z528,"Collection Email","1st Follow-up","2nd Follow-up","Local Office","CBE","Roxanne")&amp;IF($Z528=6," - Final"," - Day "&amp;MAX(0,NETWORKDAYS($AA528,TODAY(),Holidays)-1)&amp;" of "&amp;CHOOSE($Z528,3,3,2,2,3))&amp;" | Total Day "&amp;MAX(0,NETWORKDAYS($N528,TODAY(),Holidays)-1))</f>
        <v/>
      </c>
      <c r="X528" s="18"/>
      <c r="Y528" s="18"/>
      <c r="Z528" s="17">
        <f>IF($N528="","",COUNT($N528:$S528))</f>
        <v/>
      </c>
      <c r="AA528" s="19">
        <f>IF($Z528="","",INT(INDEX($N528:$S528,$Z528)))</f>
        <v/>
      </c>
      <c r="AB528" s="19">
        <f>IF(OR($Z528="",$Z528=6),"",WORKDAY($AA528,CHOOSE($Z528,3,3,2,2,3),Holidays))</f>
        <v/>
      </c>
      <c r="AC528" s="17">
        <f>IF(OR($Z528="",$Z528=6),"",CHOOSE($Z528,"1st Email Follow-up","2nd Email Follow-up","Escalate Local Office","Escalate to CBE","Escalate to Roxanne"))</f>
        <v/>
      </c>
    </row>
    <row r="529" spans="13:29">
      <c r="M529" s="14"/>
      <c r="T529" s="16"/>
      <c r="U529" s="17">
        <f>IF(AND(COUNTA($A529:$L529)=0,$N529=""),"",IF($T529="Paid","PAID",IF($T529="Closed","CLOSED",IF($Z529="","",IF($Z529=6,"ESCALATED TO ROXANNE",IF(TODAY()&gt;$AB529,"OVERDUE",IF($AB529&lt;=WORKDAY(TODAY(),1,Holidays),"DUE TOMORROW",IF($Z529=4,"ESCALATED TO LOCAL OFFICE",IF($Z529=5,"ESCALATED TO CBE",IF($AA529=TODAY(),"EMAIL SENT","MONITORING"))))))))))</f>
        <v/>
      </c>
      <c r="V529" s="17">
        <f>IF($U529="",IF(AND(COUNTA($A529:$L529)&gt;0,$N529=""),"Awaiting Collection Email time stamp.",""),IF(OR($U529="PAID",$U529="CLOSED"),IF($U529="PAID","Account paid. Action completed.","Account closed. No further action required."),CHOOSE($Z529,"Collection Email","1st Email Follow-up","2nd Email Follow-up","Escalation to Local Office","Escalation to CBE","Escalation to Roxanne")&amp;" sent "&amp;TEXT($AA529,"dd-mmm")&amp;". "&amp;IF($Z529=6,"Final escalation completed.",IF($U529="OVERDUE","Next: "&amp;$AC529&amp;" was due "&amp;TEXT($AB529,"dd-mmm")&amp;" - "&amp;(NETWORKDAYS($AB529,TODAY(),Holidays)-1)&amp;" business day(s) late. Send now.",IF($U529="DUE TOMORROW","Next: "&amp;$AC529&amp;IF($AB529&lt;=TODAY()," is due TODAY ("," is due next business day (")&amp;TEXT($AB529,"dd-mmm")&amp;").","Next: "&amp;$AC529&amp;" due "&amp;TEXT($AB529,"dd-mmm")&amp;" ("&amp;(NETWORKDAYS(TODAY(),$AB529,Holidays)-1)&amp;" business day(s) left).")))))</f>
        <v/>
      </c>
      <c r="W529" s="17">
        <f>IF($Z529="","",CHOOSE($Z529,"Collection Email","1st Follow-up","2nd Follow-up","Local Office","CBE","Roxanne")&amp;IF($Z529=6," - Final"," - Day "&amp;MAX(0,NETWORKDAYS($AA529,TODAY(),Holidays)-1)&amp;" of "&amp;CHOOSE($Z529,3,3,2,2,3))&amp;" | Total Day "&amp;MAX(0,NETWORKDAYS($N529,TODAY(),Holidays)-1))</f>
        <v/>
      </c>
      <c r="X529" s="18"/>
      <c r="Y529" s="18"/>
      <c r="Z529" s="17">
        <f>IF($N529="","",COUNT($N529:$S529))</f>
        <v/>
      </c>
      <c r="AA529" s="19">
        <f>IF($Z529="","",INT(INDEX($N529:$S529,$Z529)))</f>
        <v/>
      </c>
      <c r="AB529" s="19">
        <f>IF(OR($Z529="",$Z529=6),"",WORKDAY($AA529,CHOOSE($Z529,3,3,2,2,3),Holidays))</f>
        <v/>
      </c>
      <c r="AC529" s="17">
        <f>IF(OR($Z529="",$Z529=6),"",CHOOSE($Z529,"1st Email Follow-up","2nd Email Follow-up","Escalate Local Office","Escalate to CBE","Escalate to Roxanne"))</f>
        <v/>
      </c>
    </row>
    <row r="530" spans="13:29">
      <c r="M530" s="14"/>
      <c r="T530" s="16"/>
      <c r="U530" s="17">
        <f>IF(AND(COUNTA($A530:$L530)=0,$N530=""),"",IF($T530="Paid","PAID",IF($T530="Closed","CLOSED",IF($Z530="","",IF($Z530=6,"ESCALATED TO ROXANNE",IF(TODAY()&gt;$AB530,"OVERDUE",IF($AB530&lt;=WORKDAY(TODAY(),1,Holidays),"DUE TOMORROW",IF($Z530=4,"ESCALATED TO LOCAL OFFICE",IF($Z530=5,"ESCALATED TO CBE",IF($AA530=TODAY(),"EMAIL SENT","MONITORING"))))))))))</f>
        <v/>
      </c>
      <c r="V530" s="17">
        <f>IF($U530="",IF(AND(COUNTA($A530:$L530)&gt;0,$N530=""),"Awaiting Collection Email time stamp.",""),IF(OR($U530="PAID",$U530="CLOSED"),IF($U530="PAID","Account paid. Action completed.","Account closed. No further action required."),CHOOSE($Z530,"Collection Email","1st Email Follow-up","2nd Email Follow-up","Escalation to Local Office","Escalation to CBE","Escalation to Roxanne")&amp;" sent "&amp;TEXT($AA530,"dd-mmm")&amp;". "&amp;IF($Z530=6,"Final escalation completed.",IF($U530="OVERDUE","Next: "&amp;$AC530&amp;" was due "&amp;TEXT($AB530,"dd-mmm")&amp;" - "&amp;(NETWORKDAYS($AB530,TODAY(),Holidays)-1)&amp;" business day(s) late. Send now.",IF($U530="DUE TOMORROW","Next: "&amp;$AC530&amp;IF($AB530&lt;=TODAY()," is due TODAY ("," is due next business day (")&amp;TEXT($AB530,"dd-mmm")&amp;").","Next: "&amp;$AC530&amp;" due "&amp;TEXT($AB530,"dd-mmm")&amp;" ("&amp;(NETWORKDAYS(TODAY(),$AB530,Holidays)-1)&amp;" business day(s) left).")))))</f>
        <v/>
      </c>
      <c r="W530" s="17">
        <f>IF($Z530="","",CHOOSE($Z530,"Collection Email","1st Follow-up","2nd Follow-up","Local Office","CBE","Roxanne")&amp;IF($Z530=6," - Final"," - Day "&amp;MAX(0,NETWORKDAYS($AA530,TODAY(),Holidays)-1)&amp;" of "&amp;CHOOSE($Z530,3,3,2,2,3))&amp;" | Total Day "&amp;MAX(0,NETWORKDAYS($N530,TODAY(),Holidays)-1))</f>
        <v/>
      </c>
      <c r="X530" s="18"/>
      <c r="Y530" s="18"/>
      <c r="Z530" s="17">
        <f>IF($N530="","",COUNT($N530:$S530))</f>
        <v/>
      </c>
      <c r="AA530" s="19">
        <f>IF($Z530="","",INT(INDEX($N530:$S530,$Z530)))</f>
        <v/>
      </c>
      <c r="AB530" s="19">
        <f>IF(OR($Z530="",$Z530=6),"",WORKDAY($AA530,CHOOSE($Z530,3,3,2,2,3),Holidays))</f>
        <v/>
      </c>
      <c r="AC530" s="17">
        <f>IF(OR($Z530="",$Z530=6),"",CHOOSE($Z530,"1st Email Follow-up","2nd Email Follow-up","Escalate Local Office","Escalate to CBE","Escalate to Roxanne"))</f>
        <v/>
      </c>
    </row>
    <row r="531" spans="13:29">
      <c r="M531" s="14"/>
      <c r="T531" s="16"/>
      <c r="U531" s="17">
        <f>IF(AND(COUNTA($A531:$L531)=0,$N531=""),"",IF($T531="Paid","PAID",IF($T531="Closed","CLOSED",IF($Z531="","",IF($Z531=6,"ESCALATED TO ROXANNE",IF(TODAY()&gt;$AB531,"OVERDUE",IF($AB531&lt;=WORKDAY(TODAY(),1,Holidays),"DUE TOMORROW",IF($Z531=4,"ESCALATED TO LOCAL OFFICE",IF($Z531=5,"ESCALATED TO CBE",IF($AA531=TODAY(),"EMAIL SENT","MONITORING"))))))))))</f>
        <v/>
      </c>
      <c r="V531" s="17">
        <f>IF($U531="",IF(AND(COUNTA($A531:$L531)&gt;0,$N531=""),"Awaiting Collection Email time stamp.",""),IF(OR($U531="PAID",$U531="CLOSED"),IF($U531="PAID","Account paid. Action completed.","Account closed. No further action required."),CHOOSE($Z531,"Collection Email","1st Email Follow-up","2nd Email Follow-up","Escalation to Local Office","Escalation to CBE","Escalation to Roxanne")&amp;" sent "&amp;TEXT($AA531,"dd-mmm")&amp;". "&amp;IF($Z531=6,"Final escalation completed.",IF($U531="OVERDUE","Next: "&amp;$AC531&amp;" was due "&amp;TEXT($AB531,"dd-mmm")&amp;" - "&amp;(NETWORKDAYS($AB531,TODAY(),Holidays)-1)&amp;" business day(s) late. Send now.",IF($U531="DUE TOMORROW","Next: "&amp;$AC531&amp;IF($AB531&lt;=TODAY()," is due TODAY ("," is due next business day (")&amp;TEXT($AB531,"dd-mmm")&amp;").","Next: "&amp;$AC531&amp;" due "&amp;TEXT($AB531,"dd-mmm")&amp;" ("&amp;(NETWORKDAYS(TODAY(),$AB531,Holidays)-1)&amp;" business day(s) left).")))))</f>
        <v/>
      </c>
      <c r="W531" s="17">
        <f>IF($Z531="","",CHOOSE($Z531,"Collection Email","1st Follow-up","2nd Follow-up","Local Office","CBE","Roxanne")&amp;IF($Z531=6," - Final"," - Day "&amp;MAX(0,NETWORKDAYS($AA531,TODAY(),Holidays)-1)&amp;" of "&amp;CHOOSE($Z531,3,3,2,2,3))&amp;" | Total Day "&amp;MAX(0,NETWORKDAYS($N531,TODAY(),Holidays)-1))</f>
        <v/>
      </c>
      <c r="X531" s="18"/>
      <c r="Y531" s="18"/>
      <c r="Z531" s="17">
        <f>IF($N531="","",COUNT($N531:$S531))</f>
        <v/>
      </c>
      <c r="AA531" s="19">
        <f>IF($Z531="","",INT(INDEX($N531:$S531,$Z531)))</f>
        <v/>
      </c>
      <c r="AB531" s="19">
        <f>IF(OR($Z531="",$Z531=6),"",WORKDAY($AA531,CHOOSE($Z531,3,3,2,2,3),Holidays))</f>
        <v/>
      </c>
      <c r="AC531" s="17">
        <f>IF(OR($Z531="",$Z531=6),"",CHOOSE($Z531,"1st Email Follow-up","2nd Email Follow-up","Escalate Local Office","Escalate to CBE","Escalate to Roxanne"))</f>
        <v/>
      </c>
    </row>
    <row r="532" spans="13:29">
      <c r="M532" s="14"/>
      <c r="T532" s="16"/>
      <c r="U532" s="17">
        <f>IF(AND(COUNTA($A532:$L532)=0,$N532=""),"",IF($T532="Paid","PAID",IF($T532="Closed","CLOSED",IF($Z532="","",IF($Z532=6,"ESCALATED TO ROXANNE",IF(TODAY()&gt;$AB532,"OVERDUE",IF($AB532&lt;=WORKDAY(TODAY(),1,Holidays),"DUE TOMORROW",IF($Z532=4,"ESCALATED TO LOCAL OFFICE",IF($Z532=5,"ESCALATED TO CBE",IF($AA532=TODAY(),"EMAIL SENT","MONITORING"))))))))))</f>
        <v/>
      </c>
      <c r="V532" s="17">
        <f>IF($U532="",IF(AND(COUNTA($A532:$L532)&gt;0,$N532=""),"Awaiting Collection Email time stamp.",""),IF(OR($U532="PAID",$U532="CLOSED"),IF($U532="PAID","Account paid. Action completed.","Account closed. No further action required."),CHOOSE($Z532,"Collection Email","1st Email Follow-up","2nd Email Follow-up","Escalation to Local Office","Escalation to CBE","Escalation to Roxanne")&amp;" sent "&amp;TEXT($AA532,"dd-mmm")&amp;". "&amp;IF($Z532=6,"Final escalation completed.",IF($U532="OVERDUE","Next: "&amp;$AC532&amp;" was due "&amp;TEXT($AB532,"dd-mmm")&amp;" - "&amp;(NETWORKDAYS($AB532,TODAY(),Holidays)-1)&amp;" business day(s) late. Send now.",IF($U532="DUE TOMORROW","Next: "&amp;$AC532&amp;IF($AB532&lt;=TODAY()," is due TODAY ("," is due next business day (")&amp;TEXT($AB532,"dd-mmm")&amp;").","Next: "&amp;$AC532&amp;" due "&amp;TEXT($AB532,"dd-mmm")&amp;" ("&amp;(NETWORKDAYS(TODAY(),$AB532,Holidays)-1)&amp;" business day(s) left).")))))</f>
        <v/>
      </c>
      <c r="W532" s="17">
        <f>IF($Z532="","",CHOOSE($Z532,"Collection Email","1st Follow-up","2nd Follow-up","Local Office","CBE","Roxanne")&amp;IF($Z532=6," - Final"," - Day "&amp;MAX(0,NETWORKDAYS($AA532,TODAY(),Holidays)-1)&amp;" of "&amp;CHOOSE($Z532,3,3,2,2,3))&amp;" | Total Day "&amp;MAX(0,NETWORKDAYS($N532,TODAY(),Holidays)-1))</f>
        <v/>
      </c>
      <c r="X532" s="18"/>
      <c r="Y532" s="18"/>
      <c r="Z532" s="17">
        <f>IF($N532="","",COUNT($N532:$S532))</f>
        <v/>
      </c>
      <c r="AA532" s="19">
        <f>IF($Z532="","",INT(INDEX($N532:$S532,$Z532)))</f>
        <v/>
      </c>
      <c r="AB532" s="19">
        <f>IF(OR($Z532="",$Z532=6),"",WORKDAY($AA532,CHOOSE($Z532,3,3,2,2,3),Holidays))</f>
        <v/>
      </c>
      <c r="AC532" s="17">
        <f>IF(OR($Z532="",$Z532=6),"",CHOOSE($Z532,"1st Email Follow-up","2nd Email Follow-up","Escalate Local Office","Escalate to CBE","Escalate to Roxanne"))</f>
        <v/>
      </c>
    </row>
    <row r="533" spans="13:29">
      <c r="M533" s="14"/>
      <c r="T533" s="16"/>
      <c r="U533" s="17">
        <f>IF(AND(COUNTA($A533:$L533)=0,$N533=""),"",IF($T533="Paid","PAID",IF($T533="Closed","CLOSED",IF($Z533="","",IF($Z533=6,"ESCALATED TO ROXANNE",IF(TODAY()&gt;$AB533,"OVERDUE",IF($AB533&lt;=WORKDAY(TODAY(),1,Holidays),"DUE TOMORROW",IF($Z533=4,"ESCALATED TO LOCAL OFFICE",IF($Z533=5,"ESCALATED TO CBE",IF($AA533=TODAY(),"EMAIL SENT","MONITORING"))))))))))</f>
        <v/>
      </c>
      <c r="V533" s="17">
        <f>IF($U533="",IF(AND(COUNTA($A533:$L533)&gt;0,$N533=""),"Awaiting Collection Email time stamp.",""),IF(OR($U533="PAID",$U533="CLOSED"),IF($U533="PAID","Account paid. Action completed.","Account closed. No further action required."),CHOOSE($Z533,"Collection Email","1st Email Follow-up","2nd Email Follow-up","Escalation to Local Office","Escalation to CBE","Escalation to Roxanne")&amp;" sent "&amp;TEXT($AA533,"dd-mmm")&amp;". "&amp;IF($Z533=6,"Final escalation completed.",IF($U533="OVERDUE","Next: "&amp;$AC533&amp;" was due "&amp;TEXT($AB533,"dd-mmm")&amp;" - "&amp;(NETWORKDAYS($AB533,TODAY(),Holidays)-1)&amp;" business day(s) late. Send now.",IF($U533="DUE TOMORROW","Next: "&amp;$AC533&amp;IF($AB533&lt;=TODAY()," is due TODAY ("," is due next business day (")&amp;TEXT($AB533,"dd-mmm")&amp;").","Next: "&amp;$AC533&amp;" due "&amp;TEXT($AB533,"dd-mmm")&amp;" ("&amp;(NETWORKDAYS(TODAY(),$AB533,Holidays)-1)&amp;" business day(s) left).")))))</f>
        <v/>
      </c>
      <c r="W533" s="17">
        <f>IF($Z533="","",CHOOSE($Z533,"Collection Email","1st Follow-up","2nd Follow-up","Local Office","CBE","Roxanne")&amp;IF($Z533=6," - Final"," - Day "&amp;MAX(0,NETWORKDAYS($AA533,TODAY(),Holidays)-1)&amp;" of "&amp;CHOOSE($Z533,3,3,2,2,3))&amp;" | Total Day "&amp;MAX(0,NETWORKDAYS($N533,TODAY(),Holidays)-1))</f>
        <v/>
      </c>
      <c r="X533" s="18"/>
      <c r="Y533" s="18"/>
      <c r="Z533" s="17">
        <f>IF($N533="","",COUNT($N533:$S533))</f>
        <v/>
      </c>
      <c r="AA533" s="19">
        <f>IF($Z533="","",INT(INDEX($N533:$S533,$Z533)))</f>
        <v/>
      </c>
      <c r="AB533" s="19">
        <f>IF(OR($Z533="",$Z533=6),"",WORKDAY($AA533,CHOOSE($Z533,3,3,2,2,3),Holidays))</f>
        <v/>
      </c>
      <c r="AC533" s="17">
        <f>IF(OR($Z533="",$Z533=6),"",CHOOSE($Z533,"1st Email Follow-up","2nd Email Follow-up","Escalate Local Office","Escalate to CBE","Escalate to Roxanne"))</f>
        <v/>
      </c>
    </row>
    <row r="534" spans="13:29">
      <c r="M534" s="14"/>
      <c r="T534" s="16"/>
      <c r="U534" s="17">
        <f>IF(AND(COUNTA($A534:$L534)=0,$N534=""),"",IF($T534="Paid","PAID",IF($T534="Closed","CLOSED",IF($Z534="","",IF($Z534=6,"ESCALATED TO ROXANNE",IF(TODAY()&gt;$AB534,"OVERDUE",IF($AB534&lt;=WORKDAY(TODAY(),1,Holidays),"DUE TOMORROW",IF($Z534=4,"ESCALATED TO LOCAL OFFICE",IF($Z534=5,"ESCALATED TO CBE",IF($AA534=TODAY(),"EMAIL SENT","MONITORING"))))))))))</f>
        <v/>
      </c>
      <c r="V534" s="17">
        <f>IF($U534="",IF(AND(COUNTA($A534:$L534)&gt;0,$N534=""),"Awaiting Collection Email time stamp.",""),IF(OR($U534="PAID",$U534="CLOSED"),IF($U534="PAID","Account paid. Action completed.","Account closed. No further action required."),CHOOSE($Z534,"Collection Email","1st Email Follow-up","2nd Email Follow-up","Escalation to Local Office","Escalation to CBE","Escalation to Roxanne")&amp;" sent "&amp;TEXT($AA534,"dd-mmm")&amp;". "&amp;IF($Z534=6,"Final escalation completed.",IF($U534="OVERDUE","Next: "&amp;$AC534&amp;" was due "&amp;TEXT($AB534,"dd-mmm")&amp;" - "&amp;(NETWORKDAYS($AB534,TODAY(),Holidays)-1)&amp;" business day(s) late. Send now.",IF($U534="DUE TOMORROW","Next: "&amp;$AC534&amp;IF($AB534&lt;=TODAY()," is due TODAY ("," is due next business day (")&amp;TEXT($AB534,"dd-mmm")&amp;").","Next: "&amp;$AC534&amp;" due "&amp;TEXT($AB534,"dd-mmm")&amp;" ("&amp;(NETWORKDAYS(TODAY(),$AB534,Holidays)-1)&amp;" business day(s) left).")))))</f>
        <v/>
      </c>
      <c r="W534" s="17">
        <f>IF($Z534="","",CHOOSE($Z534,"Collection Email","1st Follow-up","2nd Follow-up","Local Office","CBE","Roxanne")&amp;IF($Z534=6," - Final"," - Day "&amp;MAX(0,NETWORKDAYS($AA534,TODAY(),Holidays)-1)&amp;" of "&amp;CHOOSE($Z534,3,3,2,2,3))&amp;" | Total Day "&amp;MAX(0,NETWORKDAYS($N534,TODAY(),Holidays)-1))</f>
        <v/>
      </c>
      <c r="X534" s="18"/>
      <c r="Y534" s="18"/>
      <c r="Z534" s="17">
        <f>IF($N534="","",COUNT($N534:$S534))</f>
        <v/>
      </c>
      <c r="AA534" s="19">
        <f>IF($Z534="","",INT(INDEX($N534:$S534,$Z534)))</f>
        <v/>
      </c>
      <c r="AB534" s="19">
        <f>IF(OR($Z534="",$Z534=6),"",WORKDAY($AA534,CHOOSE($Z534,3,3,2,2,3),Holidays))</f>
        <v/>
      </c>
      <c r="AC534" s="17">
        <f>IF(OR($Z534="",$Z534=6),"",CHOOSE($Z534,"1st Email Follow-up","2nd Email Follow-up","Escalate Local Office","Escalate to CBE","Escalate to Roxanne"))</f>
        <v/>
      </c>
    </row>
    <row r="535" spans="13:29">
      <c r="M535" s="14"/>
      <c r="T535" s="16"/>
      <c r="U535" s="17">
        <f>IF(AND(COUNTA($A535:$L535)=0,$N535=""),"",IF($T535="Paid","PAID",IF($T535="Closed","CLOSED",IF($Z535="","",IF($Z535=6,"ESCALATED TO ROXANNE",IF(TODAY()&gt;$AB535,"OVERDUE",IF($AB535&lt;=WORKDAY(TODAY(),1,Holidays),"DUE TOMORROW",IF($Z535=4,"ESCALATED TO LOCAL OFFICE",IF($Z535=5,"ESCALATED TO CBE",IF($AA535=TODAY(),"EMAIL SENT","MONITORING"))))))))))</f>
        <v/>
      </c>
      <c r="V535" s="17">
        <f>IF($U535="",IF(AND(COUNTA($A535:$L535)&gt;0,$N535=""),"Awaiting Collection Email time stamp.",""),IF(OR($U535="PAID",$U535="CLOSED"),IF($U535="PAID","Account paid. Action completed.","Account closed. No further action required."),CHOOSE($Z535,"Collection Email","1st Email Follow-up","2nd Email Follow-up","Escalation to Local Office","Escalation to CBE","Escalation to Roxanne")&amp;" sent "&amp;TEXT($AA535,"dd-mmm")&amp;". "&amp;IF($Z535=6,"Final escalation completed.",IF($U535="OVERDUE","Next: "&amp;$AC535&amp;" was due "&amp;TEXT($AB535,"dd-mmm")&amp;" - "&amp;(NETWORKDAYS($AB535,TODAY(),Holidays)-1)&amp;" business day(s) late. Send now.",IF($U535="DUE TOMORROW","Next: "&amp;$AC535&amp;IF($AB535&lt;=TODAY()," is due TODAY ("," is due next business day (")&amp;TEXT($AB535,"dd-mmm")&amp;").","Next: "&amp;$AC535&amp;" due "&amp;TEXT($AB535,"dd-mmm")&amp;" ("&amp;(NETWORKDAYS(TODAY(),$AB535,Holidays)-1)&amp;" business day(s) left).")))))</f>
        <v/>
      </c>
      <c r="W535" s="17">
        <f>IF($Z535="","",CHOOSE($Z535,"Collection Email","1st Follow-up","2nd Follow-up","Local Office","CBE","Roxanne")&amp;IF($Z535=6," - Final"," - Day "&amp;MAX(0,NETWORKDAYS($AA535,TODAY(),Holidays)-1)&amp;" of "&amp;CHOOSE($Z535,3,3,2,2,3))&amp;" | Total Day "&amp;MAX(0,NETWORKDAYS($N535,TODAY(),Holidays)-1))</f>
        <v/>
      </c>
      <c r="X535" s="18"/>
      <c r="Y535" s="18"/>
      <c r="Z535" s="17">
        <f>IF($N535="","",COUNT($N535:$S535))</f>
        <v/>
      </c>
      <c r="AA535" s="19">
        <f>IF($Z535="","",INT(INDEX($N535:$S535,$Z535)))</f>
        <v/>
      </c>
      <c r="AB535" s="19">
        <f>IF(OR($Z535="",$Z535=6),"",WORKDAY($AA535,CHOOSE($Z535,3,3,2,2,3),Holidays))</f>
        <v/>
      </c>
      <c r="AC535" s="17">
        <f>IF(OR($Z535="",$Z535=6),"",CHOOSE($Z535,"1st Email Follow-up","2nd Email Follow-up","Escalate Local Office","Escalate to CBE","Escalate to Roxanne"))</f>
        <v/>
      </c>
    </row>
    <row r="536" spans="13:29">
      <c r="M536" s="14"/>
      <c r="T536" s="16"/>
      <c r="U536" s="17">
        <f>IF(AND(COUNTA($A536:$L536)=0,$N536=""),"",IF($T536="Paid","PAID",IF($T536="Closed","CLOSED",IF($Z536="","",IF($Z536=6,"ESCALATED TO ROXANNE",IF(TODAY()&gt;$AB536,"OVERDUE",IF($AB536&lt;=WORKDAY(TODAY(),1,Holidays),"DUE TOMORROW",IF($Z536=4,"ESCALATED TO LOCAL OFFICE",IF($Z536=5,"ESCALATED TO CBE",IF($AA536=TODAY(),"EMAIL SENT","MONITORING"))))))))))</f>
        <v/>
      </c>
      <c r="V536" s="17">
        <f>IF($U536="",IF(AND(COUNTA($A536:$L536)&gt;0,$N536=""),"Awaiting Collection Email time stamp.",""),IF(OR($U536="PAID",$U536="CLOSED"),IF($U536="PAID","Account paid. Action completed.","Account closed. No further action required."),CHOOSE($Z536,"Collection Email","1st Email Follow-up","2nd Email Follow-up","Escalation to Local Office","Escalation to CBE","Escalation to Roxanne")&amp;" sent "&amp;TEXT($AA536,"dd-mmm")&amp;". "&amp;IF($Z536=6,"Final escalation completed.",IF($U536="OVERDUE","Next: "&amp;$AC536&amp;" was due "&amp;TEXT($AB536,"dd-mmm")&amp;" - "&amp;(NETWORKDAYS($AB536,TODAY(),Holidays)-1)&amp;" business day(s) late. Send now.",IF($U536="DUE TOMORROW","Next: "&amp;$AC536&amp;IF($AB536&lt;=TODAY()," is due TODAY ("," is due next business day (")&amp;TEXT($AB536,"dd-mmm")&amp;").","Next: "&amp;$AC536&amp;" due "&amp;TEXT($AB536,"dd-mmm")&amp;" ("&amp;(NETWORKDAYS(TODAY(),$AB536,Holidays)-1)&amp;" business day(s) left).")))))</f>
        <v/>
      </c>
      <c r="W536" s="17">
        <f>IF($Z536="","",CHOOSE($Z536,"Collection Email","1st Follow-up","2nd Follow-up","Local Office","CBE","Roxanne")&amp;IF($Z536=6," - Final"," - Day "&amp;MAX(0,NETWORKDAYS($AA536,TODAY(),Holidays)-1)&amp;" of "&amp;CHOOSE($Z536,3,3,2,2,3))&amp;" | Total Day "&amp;MAX(0,NETWORKDAYS($N536,TODAY(),Holidays)-1))</f>
        <v/>
      </c>
      <c r="X536" s="18"/>
      <c r="Y536" s="18"/>
      <c r="Z536" s="17">
        <f>IF($N536="","",COUNT($N536:$S536))</f>
        <v/>
      </c>
      <c r="AA536" s="19">
        <f>IF($Z536="","",INT(INDEX($N536:$S536,$Z536)))</f>
        <v/>
      </c>
      <c r="AB536" s="19">
        <f>IF(OR($Z536="",$Z536=6),"",WORKDAY($AA536,CHOOSE($Z536,3,3,2,2,3),Holidays))</f>
        <v/>
      </c>
      <c r="AC536" s="17">
        <f>IF(OR($Z536="",$Z536=6),"",CHOOSE($Z536,"1st Email Follow-up","2nd Email Follow-up","Escalate Local Office","Escalate to CBE","Escalate to Roxanne"))</f>
        <v/>
      </c>
    </row>
    <row r="537" spans="13:29">
      <c r="M537" s="14"/>
      <c r="T537" s="16"/>
      <c r="U537" s="17">
        <f>IF(AND(COUNTA($A537:$L537)=0,$N537=""),"",IF($T537="Paid","PAID",IF($T537="Closed","CLOSED",IF($Z537="","",IF($Z537=6,"ESCALATED TO ROXANNE",IF(TODAY()&gt;$AB537,"OVERDUE",IF($AB537&lt;=WORKDAY(TODAY(),1,Holidays),"DUE TOMORROW",IF($Z537=4,"ESCALATED TO LOCAL OFFICE",IF($Z537=5,"ESCALATED TO CBE",IF($AA537=TODAY(),"EMAIL SENT","MONITORING"))))))))))</f>
        <v/>
      </c>
      <c r="V537" s="17">
        <f>IF($U537="",IF(AND(COUNTA($A537:$L537)&gt;0,$N537=""),"Awaiting Collection Email time stamp.",""),IF(OR($U537="PAID",$U537="CLOSED"),IF($U537="PAID","Account paid. Action completed.","Account closed. No further action required."),CHOOSE($Z537,"Collection Email","1st Email Follow-up","2nd Email Follow-up","Escalation to Local Office","Escalation to CBE","Escalation to Roxanne")&amp;" sent "&amp;TEXT($AA537,"dd-mmm")&amp;". "&amp;IF($Z537=6,"Final escalation completed.",IF($U537="OVERDUE","Next: "&amp;$AC537&amp;" was due "&amp;TEXT($AB537,"dd-mmm")&amp;" - "&amp;(NETWORKDAYS($AB537,TODAY(),Holidays)-1)&amp;" business day(s) late. Send now.",IF($U537="DUE TOMORROW","Next: "&amp;$AC537&amp;IF($AB537&lt;=TODAY()," is due TODAY ("," is due next business day (")&amp;TEXT($AB537,"dd-mmm")&amp;").","Next: "&amp;$AC537&amp;" due "&amp;TEXT($AB537,"dd-mmm")&amp;" ("&amp;(NETWORKDAYS(TODAY(),$AB537,Holidays)-1)&amp;" business day(s) left).")))))</f>
        <v/>
      </c>
      <c r="W537" s="17">
        <f>IF($Z537="","",CHOOSE($Z537,"Collection Email","1st Follow-up","2nd Follow-up","Local Office","CBE","Roxanne")&amp;IF($Z537=6," - Final"," - Day "&amp;MAX(0,NETWORKDAYS($AA537,TODAY(),Holidays)-1)&amp;" of "&amp;CHOOSE($Z537,3,3,2,2,3))&amp;" | Total Day "&amp;MAX(0,NETWORKDAYS($N537,TODAY(),Holidays)-1))</f>
        <v/>
      </c>
      <c r="X537" s="18"/>
      <c r="Y537" s="18"/>
      <c r="Z537" s="17">
        <f>IF($N537="","",COUNT($N537:$S537))</f>
        <v/>
      </c>
      <c r="AA537" s="19">
        <f>IF($Z537="","",INT(INDEX($N537:$S537,$Z537)))</f>
        <v/>
      </c>
      <c r="AB537" s="19">
        <f>IF(OR($Z537="",$Z537=6),"",WORKDAY($AA537,CHOOSE($Z537,3,3,2,2,3),Holidays))</f>
        <v/>
      </c>
      <c r="AC537" s="17">
        <f>IF(OR($Z537="",$Z537=6),"",CHOOSE($Z537,"1st Email Follow-up","2nd Email Follow-up","Escalate Local Office","Escalate to CBE","Escalate to Roxanne"))</f>
        <v/>
      </c>
    </row>
    <row r="538" spans="13:29">
      <c r="M538" s="14"/>
      <c r="T538" s="16"/>
      <c r="U538" s="17">
        <f>IF(AND(COUNTA($A538:$L538)=0,$N538=""),"",IF($T538="Paid","PAID",IF($T538="Closed","CLOSED",IF($Z538="","",IF($Z538=6,"ESCALATED TO ROXANNE",IF(TODAY()&gt;$AB538,"OVERDUE",IF($AB538&lt;=WORKDAY(TODAY(),1,Holidays),"DUE TOMORROW",IF($Z538=4,"ESCALATED TO LOCAL OFFICE",IF($Z538=5,"ESCALATED TO CBE",IF($AA538=TODAY(),"EMAIL SENT","MONITORING"))))))))))</f>
        <v/>
      </c>
      <c r="V538" s="17">
        <f>IF($U538="",IF(AND(COUNTA($A538:$L538)&gt;0,$N538=""),"Awaiting Collection Email time stamp.",""),IF(OR($U538="PAID",$U538="CLOSED"),IF($U538="PAID","Account paid. Action completed.","Account closed. No further action required."),CHOOSE($Z538,"Collection Email","1st Email Follow-up","2nd Email Follow-up","Escalation to Local Office","Escalation to CBE","Escalation to Roxanne")&amp;" sent "&amp;TEXT($AA538,"dd-mmm")&amp;". "&amp;IF($Z538=6,"Final escalation completed.",IF($U538="OVERDUE","Next: "&amp;$AC538&amp;" was due "&amp;TEXT($AB538,"dd-mmm")&amp;" - "&amp;(NETWORKDAYS($AB538,TODAY(),Holidays)-1)&amp;" business day(s) late. Send now.",IF($U538="DUE TOMORROW","Next: "&amp;$AC538&amp;IF($AB538&lt;=TODAY()," is due TODAY ("," is due next business day (")&amp;TEXT($AB538,"dd-mmm")&amp;").","Next: "&amp;$AC538&amp;" due "&amp;TEXT($AB538,"dd-mmm")&amp;" ("&amp;(NETWORKDAYS(TODAY(),$AB538,Holidays)-1)&amp;" business day(s) left).")))))</f>
        <v/>
      </c>
      <c r="W538" s="17">
        <f>IF($Z538="","",CHOOSE($Z538,"Collection Email","1st Follow-up","2nd Follow-up","Local Office","CBE","Roxanne")&amp;IF($Z538=6," - Final"," - Day "&amp;MAX(0,NETWORKDAYS($AA538,TODAY(),Holidays)-1)&amp;" of "&amp;CHOOSE($Z538,3,3,2,2,3))&amp;" | Total Day "&amp;MAX(0,NETWORKDAYS($N538,TODAY(),Holidays)-1))</f>
        <v/>
      </c>
      <c r="X538" s="18"/>
      <c r="Y538" s="18"/>
      <c r="Z538" s="17">
        <f>IF($N538="","",COUNT($N538:$S538))</f>
        <v/>
      </c>
      <c r="AA538" s="19">
        <f>IF($Z538="","",INT(INDEX($N538:$S538,$Z538)))</f>
        <v/>
      </c>
      <c r="AB538" s="19">
        <f>IF(OR($Z538="",$Z538=6),"",WORKDAY($AA538,CHOOSE($Z538,3,3,2,2,3),Holidays))</f>
        <v/>
      </c>
      <c r="AC538" s="17">
        <f>IF(OR($Z538="",$Z538=6),"",CHOOSE($Z538,"1st Email Follow-up","2nd Email Follow-up","Escalate Local Office","Escalate to CBE","Escalate to Roxanne"))</f>
        <v/>
      </c>
    </row>
    <row r="539" spans="13:29">
      <c r="M539" s="14"/>
      <c r="T539" s="16"/>
      <c r="U539" s="17">
        <f>IF(AND(COUNTA($A539:$L539)=0,$N539=""),"",IF($T539="Paid","PAID",IF($T539="Closed","CLOSED",IF($Z539="","",IF($Z539=6,"ESCALATED TO ROXANNE",IF(TODAY()&gt;$AB539,"OVERDUE",IF($AB539&lt;=WORKDAY(TODAY(),1,Holidays),"DUE TOMORROW",IF($Z539=4,"ESCALATED TO LOCAL OFFICE",IF($Z539=5,"ESCALATED TO CBE",IF($AA539=TODAY(),"EMAIL SENT","MONITORING"))))))))))</f>
        <v/>
      </c>
      <c r="V539" s="17">
        <f>IF($U539="",IF(AND(COUNTA($A539:$L539)&gt;0,$N539=""),"Awaiting Collection Email time stamp.",""),IF(OR($U539="PAID",$U539="CLOSED"),IF($U539="PAID","Account paid. Action completed.","Account closed. No further action required."),CHOOSE($Z539,"Collection Email","1st Email Follow-up","2nd Email Follow-up","Escalation to Local Office","Escalation to CBE","Escalation to Roxanne")&amp;" sent "&amp;TEXT($AA539,"dd-mmm")&amp;". "&amp;IF($Z539=6,"Final escalation completed.",IF($U539="OVERDUE","Next: "&amp;$AC539&amp;" was due "&amp;TEXT($AB539,"dd-mmm")&amp;" - "&amp;(NETWORKDAYS($AB539,TODAY(),Holidays)-1)&amp;" business day(s) late. Send now.",IF($U539="DUE TOMORROW","Next: "&amp;$AC539&amp;IF($AB539&lt;=TODAY()," is due TODAY ("," is due next business day (")&amp;TEXT($AB539,"dd-mmm")&amp;").","Next: "&amp;$AC539&amp;" due "&amp;TEXT($AB539,"dd-mmm")&amp;" ("&amp;(NETWORKDAYS(TODAY(),$AB539,Holidays)-1)&amp;" business day(s) left).")))))</f>
        <v/>
      </c>
      <c r="W539" s="17">
        <f>IF($Z539="","",CHOOSE($Z539,"Collection Email","1st Follow-up","2nd Follow-up","Local Office","CBE","Roxanne")&amp;IF($Z539=6," - Final"," - Day "&amp;MAX(0,NETWORKDAYS($AA539,TODAY(),Holidays)-1)&amp;" of "&amp;CHOOSE($Z539,3,3,2,2,3))&amp;" | Total Day "&amp;MAX(0,NETWORKDAYS($N539,TODAY(),Holidays)-1))</f>
        <v/>
      </c>
      <c r="X539" s="18"/>
      <c r="Y539" s="18"/>
      <c r="Z539" s="17">
        <f>IF($N539="","",COUNT($N539:$S539))</f>
        <v/>
      </c>
      <c r="AA539" s="19">
        <f>IF($Z539="","",INT(INDEX($N539:$S539,$Z539)))</f>
        <v/>
      </c>
      <c r="AB539" s="19">
        <f>IF(OR($Z539="",$Z539=6),"",WORKDAY($AA539,CHOOSE($Z539,3,3,2,2,3),Holidays))</f>
        <v/>
      </c>
      <c r="AC539" s="17">
        <f>IF(OR($Z539="",$Z539=6),"",CHOOSE($Z539,"1st Email Follow-up","2nd Email Follow-up","Escalate Local Office","Escalate to CBE","Escalate to Roxanne"))</f>
        <v/>
      </c>
    </row>
    <row r="540" spans="13:29">
      <c r="M540" s="14"/>
      <c r="T540" s="16"/>
      <c r="U540" s="17">
        <f>IF(AND(COUNTA($A540:$L540)=0,$N540=""),"",IF($T540="Paid","PAID",IF($T540="Closed","CLOSED",IF($Z540="","",IF($Z540=6,"ESCALATED TO ROXANNE",IF(TODAY()&gt;$AB540,"OVERDUE",IF($AB540&lt;=WORKDAY(TODAY(),1,Holidays),"DUE TOMORROW",IF($Z540=4,"ESCALATED TO LOCAL OFFICE",IF($Z540=5,"ESCALATED TO CBE",IF($AA540=TODAY(),"EMAIL SENT","MONITORING"))))))))))</f>
        <v/>
      </c>
      <c r="V540" s="17">
        <f>IF($U540="",IF(AND(COUNTA($A540:$L540)&gt;0,$N540=""),"Awaiting Collection Email time stamp.",""),IF(OR($U540="PAID",$U540="CLOSED"),IF($U540="PAID","Account paid. Action completed.","Account closed. No further action required."),CHOOSE($Z540,"Collection Email","1st Email Follow-up","2nd Email Follow-up","Escalation to Local Office","Escalation to CBE","Escalation to Roxanne")&amp;" sent "&amp;TEXT($AA540,"dd-mmm")&amp;". "&amp;IF($Z540=6,"Final escalation completed.",IF($U540="OVERDUE","Next: "&amp;$AC540&amp;" was due "&amp;TEXT($AB540,"dd-mmm")&amp;" - "&amp;(NETWORKDAYS($AB540,TODAY(),Holidays)-1)&amp;" business day(s) late. Send now.",IF($U540="DUE TOMORROW","Next: "&amp;$AC540&amp;IF($AB540&lt;=TODAY()," is due TODAY ("," is due next business day (")&amp;TEXT($AB540,"dd-mmm")&amp;").","Next: "&amp;$AC540&amp;" due "&amp;TEXT($AB540,"dd-mmm")&amp;" ("&amp;(NETWORKDAYS(TODAY(),$AB540,Holidays)-1)&amp;" business day(s) left).")))))</f>
        <v/>
      </c>
      <c r="W540" s="17">
        <f>IF($Z540="","",CHOOSE($Z540,"Collection Email","1st Follow-up","2nd Follow-up","Local Office","CBE","Roxanne")&amp;IF($Z540=6," - Final"," - Day "&amp;MAX(0,NETWORKDAYS($AA540,TODAY(),Holidays)-1)&amp;" of "&amp;CHOOSE($Z540,3,3,2,2,3))&amp;" | Total Day "&amp;MAX(0,NETWORKDAYS($N540,TODAY(),Holidays)-1))</f>
        <v/>
      </c>
      <c r="X540" s="18"/>
      <c r="Y540" s="18"/>
      <c r="Z540" s="17">
        <f>IF($N540="","",COUNT($N540:$S540))</f>
        <v/>
      </c>
      <c r="AA540" s="19">
        <f>IF($Z540="","",INT(INDEX($N540:$S540,$Z540)))</f>
        <v/>
      </c>
      <c r="AB540" s="19">
        <f>IF(OR($Z540="",$Z540=6),"",WORKDAY($AA540,CHOOSE($Z540,3,3,2,2,3),Holidays))</f>
        <v/>
      </c>
      <c r="AC540" s="17">
        <f>IF(OR($Z540="",$Z540=6),"",CHOOSE($Z540,"1st Email Follow-up","2nd Email Follow-up","Escalate Local Office","Escalate to CBE","Escalate to Roxanne"))</f>
        <v/>
      </c>
    </row>
    <row r="541" spans="13:29">
      <c r="M541" s="14"/>
      <c r="T541" s="16"/>
      <c r="U541" s="17">
        <f>IF(AND(COUNTA($A541:$L541)=0,$N541=""),"",IF($T541="Paid","PAID",IF($T541="Closed","CLOSED",IF($Z541="","",IF($Z541=6,"ESCALATED TO ROXANNE",IF(TODAY()&gt;$AB541,"OVERDUE",IF($AB541&lt;=WORKDAY(TODAY(),1,Holidays),"DUE TOMORROW",IF($Z541=4,"ESCALATED TO LOCAL OFFICE",IF($Z541=5,"ESCALATED TO CBE",IF($AA541=TODAY(),"EMAIL SENT","MONITORING"))))))))))</f>
        <v/>
      </c>
      <c r="V541" s="17">
        <f>IF($U541="",IF(AND(COUNTA($A541:$L541)&gt;0,$N541=""),"Awaiting Collection Email time stamp.",""),IF(OR($U541="PAID",$U541="CLOSED"),IF($U541="PAID","Account paid. Action completed.","Account closed. No further action required."),CHOOSE($Z541,"Collection Email","1st Email Follow-up","2nd Email Follow-up","Escalation to Local Office","Escalation to CBE","Escalation to Roxanne")&amp;" sent "&amp;TEXT($AA541,"dd-mmm")&amp;". "&amp;IF($Z541=6,"Final escalation completed.",IF($U541="OVERDUE","Next: "&amp;$AC541&amp;" was due "&amp;TEXT($AB541,"dd-mmm")&amp;" - "&amp;(NETWORKDAYS($AB541,TODAY(),Holidays)-1)&amp;" business day(s) late. Send now.",IF($U541="DUE TOMORROW","Next: "&amp;$AC541&amp;IF($AB541&lt;=TODAY()," is due TODAY ("," is due next business day (")&amp;TEXT($AB541,"dd-mmm")&amp;").","Next: "&amp;$AC541&amp;" due "&amp;TEXT($AB541,"dd-mmm")&amp;" ("&amp;(NETWORKDAYS(TODAY(),$AB541,Holidays)-1)&amp;" business day(s) left).")))))</f>
        <v/>
      </c>
      <c r="W541" s="17">
        <f>IF($Z541="","",CHOOSE($Z541,"Collection Email","1st Follow-up","2nd Follow-up","Local Office","CBE","Roxanne")&amp;IF($Z541=6," - Final"," - Day "&amp;MAX(0,NETWORKDAYS($AA541,TODAY(),Holidays)-1)&amp;" of "&amp;CHOOSE($Z541,3,3,2,2,3))&amp;" | Total Day "&amp;MAX(0,NETWORKDAYS($N541,TODAY(),Holidays)-1))</f>
        <v/>
      </c>
      <c r="X541" s="18"/>
      <c r="Y541" s="18"/>
      <c r="Z541" s="17">
        <f>IF($N541="","",COUNT($N541:$S541))</f>
        <v/>
      </c>
      <c r="AA541" s="19">
        <f>IF($Z541="","",INT(INDEX($N541:$S541,$Z541)))</f>
        <v/>
      </c>
      <c r="AB541" s="19">
        <f>IF(OR($Z541="",$Z541=6),"",WORKDAY($AA541,CHOOSE($Z541,3,3,2,2,3),Holidays))</f>
        <v/>
      </c>
      <c r="AC541" s="17">
        <f>IF(OR($Z541="",$Z541=6),"",CHOOSE($Z541,"1st Email Follow-up","2nd Email Follow-up","Escalate Local Office","Escalate to CBE","Escalate to Roxanne"))</f>
        <v/>
      </c>
    </row>
    <row r="542" spans="13:29">
      <c r="M542" s="14"/>
      <c r="T542" s="16"/>
      <c r="U542" s="17">
        <f>IF(AND(COUNTA($A542:$L542)=0,$N542=""),"",IF($T542="Paid","PAID",IF($T542="Closed","CLOSED",IF($Z542="","",IF($Z542=6,"ESCALATED TO ROXANNE",IF(TODAY()&gt;$AB542,"OVERDUE",IF($AB542&lt;=WORKDAY(TODAY(),1,Holidays),"DUE TOMORROW",IF($Z542=4,"ESCALATED TO LOCAL OFFICE",IF($Z542=5,"ESCALATED TO CBE",IF($AA542=TODAY(),"EMAIL SENT","MONITORING"))))))))))</f>
        <v/>
      </c>
      <c r="V542" s="17">
        <f>IF($U542="",IF(AND(COUNTA($A542:$L542)&gt;0,$N542=""),"Awaiting Collection Email time stamp.",""),IF(OR($U542="PAID",$U542="CLOSED"),IF($U542="PAID","Account paid. Action completed.","Account closed. No further action required."),CHOOSE($Z542,"Collection Email","1st Email Follow-up","2nd Email Follow-up","Escalation to Local Office","Escalation to CBE","Escalation to Roxanne")&amp;" sent "&amp;TEXT($AA542,"dd-mmm")&amp;". "&amp;IF($Z542=6,"Final escalation completed.",IF($U542="OVERDUE","Next: "&amp;$AC542&amp;" was due "&amp;TEXT($AB542,"dd-mmm")&amp;" - "&amp;(NETWORKDAYS($AB542,TODAY(),Holidays)-1)&amp;" business day(s) late. Send now.",IF($U542="DUE TOMORROW","Next: "&amp;$AC542&amp;IF($AB542&lt;=TODAY()," is due TODAY ("," is due next business day (")&amp;TEXT($AB542,"dd-mmm")&amp;").","Next: "&amp;$AC542&amp;" due "&amp;TEXT($AB542,"dd-mmm")&amp;" ("&amp;(NETWORKDAYS(TODAY(),$AB542,Holidays)-1)&amp;" business day(s) left).")))))</f>
        <v/>
      </c>
      <c r="W542" s="17">
        <f>IF($Z542="","",CHOOSE($Z542,"Collection Email","1st Follow-up","2nd Follow-up","Local Office","CBE","Roxanne")&amp;IF($Z542=6," - Final"," - Day "&amp;MAX(0,NETWORKDAYS($AA542,TODAY(),Holidays)-1)&amp;" of "&amp;CHOOSE($Z542,3,3,2,2,3))&amp;" | Total Day "&amp;MAX(0,NETWORKDAYS($N542,TODAY(),Holidays)-1))</f>
        <v/>
      </c>
      <c r="X542" s="18"/>
      <c r="Y542" s="18"/>
      <c r="Z542" s="17">
        <f>IF($N542="","",COUNT($N542:$S542))</f>
        <v/>
      </c>
      <c r="AA542" s="19">
        <f>IF($Z542="","",INT(INDEX($N542:$S542,$Z542)))</f>
        <v/>
      </c>
      <c r="AB542" s="19">
        <f>IF(OR($Z542="",$Z542=6),"",WORKDAY($AA542,CHOOSE($Z542,3,3,2,2,3),Holidays))</f>
        <v/>
      </c>
      <c r="AC542" s="17">
        <f>IF(OR($Z542="",$Z542=6),"",CHOOSE($Z542,"1st Email Follow-up","2nd Email Follow-up","Escalate Local Office","Escalate to CBE","Escalate to Roxanne"))</f>
        <v/>
      </c>
    </row>
    <row r="543" spans="13:29">
      <c r="M543" s="14"/>
      <c r="T543" s="16"/>
      <c r="U543" s="17">
        <f>IF(AND(COUNTA($A543:$L543)=0,$N543=""),"",IF($T543="Paid","PAID",IF($T543="Closed","CLOSED",IF($Z543="","",IF($Z543=6,"ESCALATED TO ROXANNE",IF(TODAY()&gt;$AB543,"OVERDUE",IF($AB543&lt;=WORKDAY(TODAY(),1,Holidays),"DUE TOMORROW",IF($Z543=4,"ESCALATED TO LOCAL OFFICE",IF($Z543=5,"ESCALATED TO CBE",IF($AA543=TODAY(),"EMAIL SENT","MONITORING"))))))))))</f>
        <v/>
      </c>
      <c r="V543" s="17">
        <f>IF($U543="",IF(AND(COUNTA($A543:$L543)&gt;0,$N543=""),"Awaiting Collection Email time stamp.",""),IF(OR($U543="PAID",$U543="CLOSED"),IF($U543="PAID","Account paid. Action completed.","Account closed. No further action required."),CHOOSE($Z543,"Collection Email","1st Email Follow-up","2nd Email Follow-up","Escalation to Local Office","Escalation to CBE","Escalation to Roxanne")&amp;" sent "&amp;TEXT($AA543,"dd-mmm")&amp;". "&amp;IF($Z543=6,"Final escalation completed.",IF($U543="OVERDUE","Next: "&amp;$AC543&amp;" was due "&amp;TEXT($AB543,"dd-mmm")&amp;" - "&amp;(NETWORKDAYS($AB543,TODAY(),Holidays)-1)&amp;" business day(s) late. Send now.",IF($U543="DUE TOMORROW","Next: "&amp;$AC543&amp;IF($AB543&lt;=TODAY()," is due TODAY ("," is due next business day (")&amp;TEXT($AB543,"dd-mmm")&amp;").","Next: "&amp;$AC543&amp;" due "&amp;TEXT($AB543,"dd-mmm")&amp;" ("&amp;(NETWORKDAYS(TODAY(),$AB543,Holidays)-1)&amp;" business day(s) left).")))))</f>
        <v/>
      </c>
      <c r="W543" s="17">
        <f>IF($Z543="","",CHOOSE($Z543,"Collection Email","1st Follow-up","2nd Follow-up","Local Office","CBE","Roxanne")&amp;IF($Z543=6," - Final"," - Day "&amp;MAX(0,NETWORKDAYS($AA543,TODAY(),Holidays)-1)&amp;" of "&amp;CHOOSE($Z543,3,3,2,2,3))&amp;" | Total Day "&amp;MAX(0,NETWORKDAYS($N543,TODAY(),Holidays)-1))</f>
        <v/>
      </c>
      <c r="X543" s="18"/>
      <c r="Y543" s="18"/>
      <c r="Z543" s="17">
        <f>IF($N543="","",COUNT($N543:$S543))</f>
        <v/>
      </c>
      <c r="AA543" s="19">
        <f>IF($Z543="","",INT(INDEX($N543:$S543,$Z543)))</f>
        <v/>
      </c>
      <c r="AB543" s="19">
        <f>IF(OR($Z543="",$Z543=6),"",WORKDAY($AA543,CHOOSE($Z543,3,3,2,2,3),Holidays))</f>
        <v/>
      </c>
      <c r="AC543" s="17">
        <f>IF(OR($Z543="",$Z543=6),"",CHOOSE($Z543,"1st Email Follow-up","2nd Email Follow-up","Escalate Local Office","Escalate to CBE","Escalate to Roxanne"))</f>
        <v/>
      </c>
    </row>
    <row r="544" spans="13:29">
      <c r="M544" s="14"/>
      <c r="T544" s="16"/>
      <c r="U544" s="17">
        <f>IF(AND(COUNTA($A544:$L544)=0,$N544=""),"",IF($T544="Paid","PAID",IF($T544="Closed","CLOSED",IF($Z544="","",IF($Z544=6,"ESCALATED TO ROXANNE",IF(TODAY()&gt;$AB544,"OVERDUE",IF($AB544&lt;=WORKDAY(TODAY(),1,Holidays),"DUE TOMORROW",IF($Z544=4,"ESCALATED TO LOCAL OFFICE",IF($Z544=5,"ESCALATED TO CBE",IF($AA544=TODAY(),"EMAIL SENT","MONITORING"))))))))))</f>
        <v/>
      </c>
      <c r="V544" s="17">
        <f>IF($U544="",IF(AND(COUNTA($A544:$L544)&gt;0,$N544=""),"Awaiting Collection Email time stamp.",""),IF(OR($U544="PAID",$U544="CLOSED"),IF($U544="PAID","Account paid. Action completed.","Account closed. No further action required."),CHOOSE($Z544,"Collection Email","1st Email Follow-up","2nd Email Follow-up","Escalation to Local Office","Escalation to CBE","Escalation to Roxanne")&amp;" sent "&amp;TEXT($AA544,"dd-mmm")&amp;". "&amp;IF($Z544=6,"Final escalation completed.",IF($U544="OVERDUE","Next: "&amp;$AC544&amp;" was due "&amp;TEXT($AB544,"dd-mmm")&amp;" - "&amp;(NETWORKDAYS($AB544,TODAY(),Holidays)-1)&amp;" business day(s) late. Send now.",IF($U544="DUE TOMORROW","Next: "&amp;$AC544&amp;IF($AB544&lt;=TODAY()," is due TODAY ("," is due next business day (")&amp;TEXT($AB544,"dd-mmm")&amp;").","Next: "&amp;$AC544&amp;" due "&amp;TEXT($AB544,"dd-mmm")&amp;" ("&amp;(NETWORKDAYS(TODAY(),$AB544,Holidays)-1)&amp;" business day(s) left).")))))</f>
        <v/>
      </c>
      <c r="W544" s="17">
        <f>IF($Z544="","",CHOOSE($Z544,"Collection Email","1st Follow-up","2nd Follow-up","Local Office","CBE","Roxanne")&amp;IF($Z544=6," - Final"," - Day "&amp;MAX(0,NETWORKDAYS($AA544,TODAY(),Holidays)-1)&amp;" of "&amp;CHOOSE($Z544,3,3,2,2,3))&amp;" | Total Day "&amp;MAX(0,NETWORKDAYS($N544,TODAY(),Holidays)-1))</f>
        <v/>
      </c>
      <c r="X544" s="18"/>
      <c r="Y544" s="18"/>
      <c r="Z544" s="17">
        <f>IF($N544="","",COUNT($N544:$S544))</f>
        <v/>
      </c>
      <c r="AA544" s="19">
        <f>IF($Z544="","",INT(INDEX($N544:$S544,$Z544)))</f>
        <v/>
      </c>
      <c r="AB544" s="19">
        <f>IF(OR($Z544="",$Z544=6),"",WORKDAY($AA544,CHOOSE($Z544,3,3,2,2,3),Holidays))</f>
        <v/>
      </c>
      <c r="AC544" s="17">
        <f>IF(OR($Z544="",$Z544=6),"",CHOOSE($Z544,"1st Email Follow-up","2nd Email Follow-up","Escalate Local Office","Escalate to CBE","Escalate to Roxanne"))</f>
        <v/>
      </c>
    </row>
    <row r="545" spans="13:29">
      <c r="M545" s="14"/>
      <c r="T545" s="16"/>
      <c r="U545" s="17">
        <f>IF(AND(COUNTA($A545:$L545)=0,$N545=""),"",IF($T545="Paid","PAID",IF($T545="Closed","CLOSED",IF($Z545="","",IF($Z545=6,"ESCALATED TO ROXANNE",IF(TODAY()&gt;$AB545,"OVERDUE",IF($AB545&lt;=WORKDAY(TODAY(),1,Holidays),"DUE TOMORROW",IF($Z545=4,"ESCALATED TO LOCAL OFFICE",IF($Z545=5,"ESCALATED TO CBE",IF($AA545=TODAY(),"EMAIL SENT","MONITORING"))))))))))</f>
        <v/>
      </c>
      <c r="V545" s="17">
        <f>IF($U545="",IF(AND(COUNTA($A545:$L545)&gt;0,$N545=""),"Awaiting Collection Email time stamp.",""),IF(OR($U545="PAID",$U545="CLOSED"),IF($U545="PAID","Account paid. Action completed.","Account closed. No further action required."),CHOOSE($Z545,"Collection Email","1st Email Follow-up","2nd Email Follow-up","Escalation to Local Office","Escalation to CBE","Escalation to Roxanne")&amp;" sent "&amp;TEXT($AA545,"dd-mmm")&amp;". "&amp;IF($Z545=6,"Final escalation completed.",IF($U545="OVERDUE","Next: "&amp;$AC545&amp;" was due "&amp;TEXT($AB545,"dd-mmm")&amp;" - "&amp;(NETWORKDAYS($AB545,TODAY(),Holidays)-1)&amp;" business day(s) late. Send now.",IF($U545="DUE TOMORROW","Next: "&amp;$AC545&amp;IF($AB545&lt;=TODAY()," is due TODAY ("," is due next business day (")&amp;TEXT($AB545,"dd-mmm")&amp;").","Next: "&amp;$AC545&amp;" due "&amp;TEXT($AB545,"dd-mmm")&amp;" ("&amp;(NETWORKDAYS(TODAY(),$AB545,Holidays)-1)&amp;" business day(s) left).")))))</f>
        <v/>
      </c>
      <c r="W545" s="17">
        <f>IF($Z545="","",CHOOSE($Z545,"Collection Email","1st Follow-up","2nd Follow-up","Local Office","CBE","Roxanne")&amp;IF($Z545=6," - Final"," - Day "&amp;MAX(0,NETWORKDAYS($AA545,TODAY(),Holidays)-1)&amp;" of "&amp;CHOOSE($Z545,3,3,2,2,3))&amp;" | Total Day "&amp;MAX(0,NETWORKDAYS($N545,TODAY(),Holidays)-1))</f>
        <v/>
      </c>
      <c r="X545" s="18"/>
      <c r="Y545" s="18"/>
      <c r="Z545" s="17">
        <f>IF($N545="","",COUNT($N545:$S545))</f>
        <v/>
      </c>
      <c r="AA545" s="19">
        <f>IF($Z545="","",INT(INDEX($N545:$S545,$Z545)))</f>
        <v/>
      </c>
      <c r="AB545" s="19">
        <f>IF(OR($Z545="",$Z545=6),"",WORKDAY($AA545,CHOOSE($Z545,3,3,2,2,3),Holidays))</f>
        <v/>
      </c>
      <c r="AC545" s="17">
        <f>IF(OR($Z545="",$Z545=6),"",CHOOSE($Z545,"1st Email Follow-up","2nd Email Follow-up","Escalate Local Office","Escalate to CBE","Escalate to Roxanne"))</f>
        <v/>
      </c>
    </row>
    <row r="546" spans="13:29">
      <c r="M546" s="14"/>
      <c r="T546" s="16"/>
      <c r="U546" s="17">
        <f>IF(AND(COUNTA($A546:$L546)=0,$N546=""),"",IF($T546="Paid","PAID",IF($T546="Closed","CLOSED",IF($Z546="","",IF($Z546=6,"ESCALATED TO ROXANNE",IF(TODAY()&gt;$AB546,"OVERDUE",IF($AB546&lt;=WORKDAY(TODAY(),1,Holidays),"DUE TOMORROW",IF($Z546=4,"ESCALATED TO LOCAL OFFICE",IF($Z546=5,"ESCALATED TO CBE",IF($AA546=TODAY(),"EMAIL SENT","MONITORING"))))))))))</f>
        <v/>
      </c>
      <c r="V546" s="17">
        <f>IF($U546="",IF(AND(COUNTA($A546:$L546)&gt;0,$N546=""),"Awaiting Collection Email time stamp.",""),IF(OR($U546="PAID",$U546="CLOSED"),IF($U546="PAID","Account paid. Action completed.","Account closed. No further action required."),CHOOSE($Z546,"Collection Email","1st Email Follow-up","2nd Email Follow-up","Escalation to Local Office","Escalation to CBE","Escalation to Roxanne")&amp;" sent "&amp;TEXT($AA546,"dd-mmm")&amp;". "&amp;IF($Z546=6,"Final escalation completed.",IF($U546="OVERDUE","Next: "&amp;$AC546&amp;" was due "&amp;TEXT($AB546,"dd-mmm")&amp;" - "&amp;(NETWORKDAYS($AB546,TODAY(),Holidays)-1)&amp;" business day(s) late. Send now.",IF($U546="DUE TOMORROW","Next: "&amp;$AC546&amp;IF($AB546&lt;=TODAY()," is due TODAY ("," is due next business day (")&amp;TEXT($AB546,"dd-mmm")&amp;").","Next: "&amp;$AC546&amp;" due "&amp;TEXT($AB546,"dd-mmm")&amp;" ("&amp;(NETWORKDAYS(TODAY(),$AB546,Holidays)-1)&amp;" business day(s) left).")))))</f>
        <v/>
      </c>
      <c r="W546" s="17">
        <f>IF($Z546="","",CHOOSE($Z546,"Collection Email","1st Follow-up","2nd Follow-up","Local Office","CBE","Roxanne")&amp;IF($Z546=6," - Final"," - Day "&amp;MAX(0,NETWORKDAYS($AA546,TODAY(),Holidays)-1)&amp;" of "&amp;CHOOSE($Z546,3,3,2,2,3))&amp;" | Total Day "&amp;MAX(0,NETWORKDAYS($N546,TODAY(),Holidays)-1))</f>
        <v/>
      </c>
      <c r="X546" s="18"/>
      <c r="Y546" s="18"/>
      <c r="Z546" s="17">
        <f>IF($N546="","",COUNT($N546:$S546))</f>
        <v/>
      </c>
      <c r="AA546" s="19">
        <f>IF($Z546="","",INT(INDEX($N546:$S546,$Z546)))</f>
        <v/>
      </c>
      <c r="AB546" s="19">
        <f>IF(OR($Z546="",$Z546=6),"",WORKDAY($AA546,CHOOSE($Z546,3,3,2,2,3),Holidays))</f>
        <v/>
      </c>
      <c r="AC546" s="17">
        <f>IF(OR($Z546="",$Z546=6),"",CHOOSE($Z546,"1st Email Follow-up","2nd Email Follow-up","Escalate Local Office","Escalate to CBE","Escalate to Roxanne"))</f>
        <v/>
      </c>
    </row>
    <row r="547" spans="13:29">
      <c r="M547" s="14"/>
      <c r="T547" s="16"/>
      <c r="U547" s="17">
        <f>IF(AND(COUNTA($A547:$L547)=0,$N547=""),"",IF($T547="Paid","PAID",IF($T547="Closed","CLOSED",IF($Z547="","",IF($Z547=6,"ESCALATED TO ROXANNE",IF(TODAY()&gt;$AB547,"OVERDUE",IF($AB547&lt;=WORKDAY(TODAY(),1,Holidays),"DUE TOMORROW",IF($Z547=4,"ESCALATED TO LOCAL OFFICE",IF($Z547=5,"ESCALATED TO CBE",IF($AA547=TODAY(),"EMAIL SENT","MONITORING"))))))))))</f>
        <v/>
      </c>
      <c r="V547" s="17">
        <f>IF($U547="",IF(AND(COUNTA($A547:$L547)&gt;0,$N547=""),"Awaiting Collection Email time stamp.",""),IF(OR($U547="PAID",$U547="CLOSED"),IF($U547="PAID","Account paid. Action completed.","Account closed. No further action required."),CHOOSE($Z547,"Collection Email","1st Email Follow-up","2nd Email Follow-up","Escalation to Local Office","Escalation to CBE","Escalation to Roxanne")&amp;" sent "&amp;TEXT($AA547,"dd-mmm")&amp;". "&amp;IF($Z547=6,"Final escalation completed.",IF($U547="OVERDUE","Next: "&amp;$AC547&amp;" was due "&amp;TEXT($AB547,"dd-mmm")&amp;" - "&amp;(NETWORKDAYS($AB547,TODAY(),Holidays)-1)&amp;" business day(s) late. Send now.",IF($U547="DUE TOMORROW","Next: "&amp;$AC547&amp;IF($AB547&lt;=TODAY()," is due TODAY ("," is due next business day (")&amp;TEXT($AB547,"dd-mmm")&amp;").","Next: "&amp;$AC547&amp;" due "&amp;TEXT($AB547,"dd-mmm")&amp;" ("&amp;(NETWORKDAYS(TODAY(),$AB547,Holidays)-1)&amp;" business day(s) left).")))))</f>
        <v/>
      </c>
      <c r="W547" s="17">
        <f>IF($Z547="","",CHOOSE($Z547,"Collection Email","1st Follow-up","2nd Follow-up","Local Office","CBE","Roxanne")&amp;IF($Z547=6," - Final"," - Day "&amp;MAX(0,NETWORKDAYS($AA547,TODAY(),Holidays)-1)&amp;" of "&amp;CHOOSE($Z547,3,3,2,2,3))&amp;" | Total Day "&amp;MAX(0,NETWORKDAYS($N547,TODAY(),Holidays)-1))</f>
        <v/>
      </c>
      <c r="X547" s="18"/>
      <c r="Y547" s="18"/>
      <c r="Z547" s="17">
        <f>IF($N547="","",COUNT($N547:$S547))</f>
        <v/>
      </c>
      <c r="AA547" s="19">
        <f>IF($Z547="","",INT(INDEX($N547:$S547,$Z547)))</f>
        <v/>
      </c>
      <c r="AB547" s="19">
        <f>IF(OR($Z547="",$Z547=6),"",WORKDAY($AA547,CHOOSE($Z547,3,3,2,2,3),Holidays))</f>
        <v/>
      </c>
      <c r="AC547" s="17">
        <f>IF(OR($Z547="",$Z547=6),"",CHOOSE($Z547,"1st Email Follow-up","2nd Email Follow-up","Escalate Local Office","Escalate to CBE","Escalate to Roxanne"))</f>
        <v/>
      </c>
    </row>
    <row r="548" spans="13:29">
      <c r="M548" s="14"/>
      <c r="T548" s="16"/>
      <c r="U548" s="17">
        <f>IF(AND(COUNTA($A548:$L548)=0,$N548=""),"",IF($T548="Paid","PAID",IF($T548="Closed","CLOSED",IF($Z548="","",IF($Z548=6,"ESCALATED TO ROXANNE",IF(TODAY()&gt;$AB548,"OVERDUE",IF($AB548&lt;=WORKDAY(TODAY(),1,Holidays),"DUE TOMORROW",IF($Z548=4,"ESCALATED TO LOCAL OFFICE",IF($Z548=5,"ESCALATED TO CBE",IF($AA548=TODAY(),"EMAIL SENT","MONITORING"))))))))))</f>
        <v/>
      </c>
      <c r="V548" s="17">
        <f>IF($U548="",IF(AND(COUNTA($A548:$L548)&gt;0,$N548=""),"Awaiting Collection Email time stamp.",""),IF(OR($U548="PAID",$U548="CLOSED"),IF($U548="PAID","Account paid. Action completed.","Account closed. No further action required."),CHOOSE($Z548,"Collection Email","1st Email Follow-up","2nd Email Follow-up","Escalation to Local Office","Escalation to CBE","Escalation to Roxanne")&amp;" sent "&amp;TEXT($AA548,"dd-mmm")&amp;". "&amp;IF($Z548=6,"Final escalation completed.",IF($U548="OVERDUE","Next: "&amp;$AC548&amp;" was due "&amp;TEXT($AB548,"dd-mmm")&amp;" - "&amp;(NETWORKDAYS($AB548,TODAY(),Holidays)-1)&amp;" business day(s) late. Send now.",IF($U548="DUE TOMORROW","Next: "&amp;$AC548&amp;IF($AB548&lt;=TODAY()," is due TODAY ("," is due next business day (")&amp;TEXT($AB548,"dd-mmm")&amp;").","Next: "&amp;$AC548&amp;" due "&amp;TEXT($AB548,"dd-mmm")&amp;" ("&amp;(NETWORKDAYS(TODAY(),$AB548,Holidays)-1)&amp;" business day(s) left).")))))</f>
        <v/>
      </c>
      <c r="W548" s="17">
        <f>IF($Z548="","",CHOOSE($Z548,"Collection Email","1st Follow-up","2nd Follow-up","Local Office","CBE","Roxanne")&amp;IF($Z548=6," - Final"," - Day "&amp;MAX(0,NETWORKDAYS($AA548,TODAY(),Holidays)-1)&amp;" of "&amp;CHOOSE($Z548,3,3,2,2,3))&amp;" | Total Day "&amp;MAX(0,NETWORKDAYS($N548,TODAY(),Holidays)-1))</f>
        <v/>
      </c>
      <c r="X548" s="18"/>
      <c r="Y548" s="18"/>
      <c r="Z548" s="17">
        <f>IF($N548="","",COUNT($N548:$S548))</f>
        <v/>
      </c>
      <c r="AA548" s="19">
        <f>IF($Z548="","",INT(INDEX($N548:$S548,$Z548)))</f>
        <v/>
      </c>
      <c r="AB548" s="19">
        <f>IF(OR($Z548="",$Z548=6),"",WORKDAY($AA548,CHOOSE($Z548,3,3,2,2,3),Holidays))</f>
        <v/>
      </c>
      <c r="AC548" s="17">
        <f>IF(OR($Z548="",$Z548=6),"",CHOOSE($Z548,"1st Email Follow-up","2nd Email Follow-up","Escalate Local Office","Escalate to CBE","Escalate to Roxanne"))</f>
        <v/>
      </c>
    </row>
    <row r="549" spans="13:29">
      <c r="M549" s="14"/>
      <c r="T549" s="16"/>
      <c r="U549" s="17">
        <f>IF(AND(COUNTA($A549:$L549)=0,$N549=""),"",IF($T549="Paid","PAID",IF($T549="Closed","CLOSED",IF($Z549="","",IF($Z549=6,"ESCALATED TO ROXANNE",IF(TODAY()&gt;$AB549,"OVERDUE",IF($AB549&lt;=WORKDAY(TODAY(),1,Holidays),"DUE TOMORROW",IF($Z549=4,"ESCALATED TO LOCAL OFFICE",IF($Z549=5,"ESCALATED TO CBE",IF($AA549=TODAY(),"EMAIL SENT","MONITORING"))))))))))</f>
        <v/>
      </c>
      <c r="V549" s="17">
        <f>IF($U549="",IF(AND(COUNTA($A549:$L549)&gt;0,$N549=""),"Awaiting Collection Email time stamp.",""),IF(OR($U549="PAID",$U549="CLOSED"),IF($U549="PAID","Account paid. Action completed.","Account closed. No further action required."),CHOOSE($Z549,"Collection Email","1st Email Follow-up","2nd Email Follow-up","Escalation to Local Office","Escalation to CBE","Escalation to Roxanne")&amp;" sent "&amp;TEXT($AA549,"dd-mmm")&amp;". "&amp;IF($Z549=6,"Final escalation completed.",IF($U549="OVERDUE","Next: "&amp;$AC549&amp;" was due "&amp;TEXT($AB549,"dd-mmm")&amp;" - "&amp;(NETWORKDAYS($AB549,TODAY(),Holidays)-1)&amp;" business day(s) late. Send now.",IF($U549="DUE TOMORROW","Next: "&amp;$AC549&amp;IF($AB549&lt;=TODAY()," is due TODAY ("," is due next business day (")&amp;TEXT($AB549,"dd-mmm")&amp;").","Next: "&amp;$AC549&amp;" due "&amp;TEXT($AB549,"dd-mmm")&amp;" ("&amp;(NETWORKDAYS(TODAY(),$AB549,Holidays)-1)&amp;" business day(s) left).")))))</f>
        <v/>
      </c>
      <c r="W549" s="17">
        <f>IF($Z549="","",CHOOSE($Z549,"Collection Email","1st Follow-up","2nd Follow-up","Local Office","CBE","Roxanne")&amp;IF($Z549=6," - Final"," - Day "&amp;MAX(0,NETWORKDAYS($AA549,TODAY(),Holidays)-1)&amp;" of "&amp;CHOOSE($Z549,3,3,2,2,3))&amp;" | Total Day "&amp;MAX(0,NETWORKDAYS($N549,TODAY(),Holidays)-1))</f>
        <v/>
      </c>
      <c r="X549" s="18"/>
      <c r="Y549" s="18"/>
      <c r="Z549" s="17">
        <f>IF($N549="","",COUNT($N549:$S549))</f>
        <v/>
      </c>
      <c r="AA549" s="19">
        <f>IF($Z549="","",INT(INDEX($N549:$S549,$Z549)))</f>
        <v/>
      </c>
      <c r="AB549" s="19">
        <f>IF(OR($Z549="",$Z549=6),"",WORKDAY($AA549,CHOOSE($Z549,3,3,2,2,3),Holidays))</f>
        <v/>
      </c>
      <c r="AC549" s="17">
        <f>IF(OR($Z549="",$Z549=6),"",CHOOSE($Z549,"1st Email Follow-up","2nd Email Follow-up","Escalate Local Office","Escalate to CBE","Escalate to Roxanne"))</f>
        <v/>
      </c>
    </row>
    <row r="550" spans="13:29">
      <c r="M550" s="14"/>
      <c r="T550" s="16"/>
      <c r="U550" s="17">
        <f>IF(AND(COUNTA($A550:$L550)=0,$N550=""),"",IF($T550="Paid","PAID",IF($T550="Closed","CLOSED",IF($Z550="","",IF($Z550=6,"ESCALATED TO ROXANNE",IF(TODAY()&gt;$AB550,"OVERDUE",IF($AB550&lt;=WORKDAY(TODAY(),1,Holidays),"DUE TOMORROW",IF($Z550=4,"ESCALATED TO LOCAL OFFICE",IF($Z550=5,"ESCALATED TO CBE",IF($AA550=TODAY(),"EMAIL SENT","MONITORING"))))))))))</f>
        <v/>
      </c>
      <c r="V550" s="17">
        <f>IF($U550="",IF(AND(COUNTA($A550:$L550)&gt;0,$N550=""),"Awaiting Collection Email time stamp.",""),IF(OR($U550="PAID",$U550="CLOSED"),IF($U550="PAID","Account paid. Action completed.","Account closed. No further action required."),CHOOSE($Z550,"Collection Email","1st Email Follow-up","2nd Email Follow-up","Escalation to Local Office","Escalation to CBE","Escalation to Roxanne")&amp;" sent "&amp;TEXT($AA550,"dd-mmm")&amp;". "&amp;IF($Z550=6,"Final escalation completed.",IF($U550="OVERDUE","Next: "&amp;$AC550&amp;" was due "&amp;TEXT($AB550,"dd-mmm")&amp;" - "&amp;(NETWORKDAYS($AB550,TODAY(),Holidays)-1)&amp;" business day(s) late. Send now.",IF($U550="DUE TOMORROW","Next: "&amp;$AC550&amp;IF($AB550&lt;=TODAY()," is due TODAY ("," is due next business day (")&amp;TEXT($AB550,"dd-mmm")&amp;").","Next: "&amp;$AC550&amp;" due "&amp;TEXT($AB550,"dd-mmm")&amp;" ("&amp;(NETWORKDAYS(TODAY(),$AB550,Holidays)-1)&amp;" business day(s) left).")))))</f>
        <v/>
      </c>
      <c r="W550" s="17">
        <f>IF($Z550="","",CHOOSE($Z550,"Collection Email","1st Follow-up","2nd Follow-up","Local Office","CBE","Roxanne")&amp;IF($Z550=6," - Final"," - Day "&amp;MAX(0,NETWORKDAYS($AA550,TODAY(),Holidays)-1)&amp;" of "&amp;CHOOSE($Z550,3,3,2,2,3))&amp;" | Total Day "&amp;MAX(0,NETWORKDAYS($N550,TODAY(),Holidays)-1))</f>
        <v/>
      </c>
      <c r="X550" s="18"/>
      <c r="Y550" s="18"/>
      <c r="Z550" s="17">
        <f>IF($N550="","",COUNT($N550:$S550))</f>
        <v/>
      </c>
      <c r="AA550" s="19">
        <f>IF($Z550="","",INT(INDEX($N550:$S550,$Z550)))</f>
        <v/>
      </c>
      <c r="AB550" s="19">
        <f>IF(OR($Z550="",$Z550=6),"",WORKDAY($AA550,CHOOSE($Z550,3,3,2,2,3),Holidays))</f>
        <v/>
      </c>
      <c r="AC550" s="17">
        <f>IF(OR($Z550="",$Z550=6),"",CHOOSE($Z550,"1st Email Follow-up","2nd Email Follow-up","Escalate Local Office","Escalate to CBE","Escalate to Roxanne"))</f>
        <v/>
      </c>
    </row>
    <row r="551" spans="13:29">
      <c r="M551" s="14"/>
      <c r="T551" s="16"/>
      <c r="U551" s="17">
        <f>IF(AND(COUNTA($A551:$L551)=0,$N551=""),"",IF($T551="Paid","PAID",IF($T551="Closed","CLOSED",IF($Z551="","",IF($Z551=6,"ESCALATED TO ROXANNE",IF(TODAY()&gt;$AB551,"OVERDUE",IF($AB551&lt;=WORKDAY(TODAY(),1,Holidays),"DUE TOMORROW",IF($Z551=4,"ESCALATED TO LOCAL OFFICE",IF($Z551=5,"ESCALATED TO CBE",IF($AA551=TODAY(),"EMAIL SENT","MONITORING"))))))))))</f>
        <v/>
      </c>
      <c r="V551" s="17">
        <f>IF($U551="",IF(AND(COUNTA($A551:$L551)&gt;0,$N551=""),"Awaiting Collection Email time stamp.",""),IF(OR($U551="PAID",$U551="CLOSED"),IF($U551="PAID","Account paid. Action completed.","Account closed. No further action required."),CHOOSE($Z551,"Collection Email","1st Email Follow-up","2nd Email Follow-up","Escalation to Local Office","Escalation to CBE","Escalation to Roxanne")&amp;" sent "&amp;TEXT($AA551,"dd-mmm")&amp;". "&amp;IF($Z551=6,"Final escalation completed.",IF($U551="OVERDUE","Next: "&amp;$AC551&amp;" was due "&amp;TEXT($AB551,"dd-mmm")&amp;" - "&amp;(NETWORKDAYS($AB551,TODAY(),Holidays)-1)&amp;" business day(s) late. Send now.",IF($U551="DUE TOMORROW","Next: "&amp;$AC551&amp;IF($AB551&lt;=TODAY()," is due TODAY ("," is due next business day (")&amp;TEXT($AB551,"dd-mmm")&amp;").","Next: "&amp;$AC551&amp;" due "&amp;TEXT($AB551,"dd-mmm")&amp;" ("&amp;(NETWORKDAYS(TODAY(),$AB551,Holidays)-1)&amp;" business day(s) left).")))))</f>
        <v/>
      </c>
      <c r="W551" s="17">
        <f>IF($Z551="","",CHOOSE($Z551,"Collection Email","1st Follow-up","2nd Follow-up","Local Office","CBE","Roxanne")&amp;IF($Z551=6," - Final"," - Day "&amp;MAX(0,NETWORKDAYS($AA551,TODAY(),Holidays)-1)&amp;" of "&amp;CHOOSE($Z551,3,3,2,2,3))&amp;" | Total Day "&amp;MAX(0,NETWORKDAYS($N551,TODAY(),Holidays)-1))</f>
        <v/>
      </c>
      <c r="X551" s="18"/>
      <c r="Y551" s="18"/>
      <c r="Z551" s="17">
        <f>IF($N551="","",COUNT($N551:$S551))</f>
        <v/>
      </c>
      <c r="AA551" s="19">
        <f>IF($Z551="","",INT(INDEX($N551:$S551,$Z551)))</f>
        <v/>
      </c>
      <c r="AB551" s="19">
        <f>IF(OR($Z551="",$Z551=6),"",WORKDAY($AA551,CHOOSE($Z551,3,3,2,2,3),Holidays))</f>
        <v/>
      </c>
      <c r="AC551" s="17">
        <f>IF(OR($Z551="",$Z551=6),"",CHOOSE($Z551,"1st Email Follow-up","2nd Email Follow-up","Escalate Local Office","Escalate to CBE","Escalate to Roxanne"))</f>
        <v/>
      </c>
    </row>
    <row r="552" spans="13:29">
      <c r="M552" s="14"/>
      <c r="T552" s="16"/>
      <c r="U552" s="17">
        <f>IF(AND(COUNTA($A552:$L552)=0,$N552=""),"",IF($T552="Paid","PAID",IF($T552="Closed","CLOSED",IF($Z552="","",IF($Z552=6,"ESCALATED TO ROXANNE",IF(TODAY()&gt;$AB552,"OVERDUE",IF($AB552&lt;=WORKDAY(TODAY(),1,Holidays),"DUE TOMORROW",IF($Z552=4,"ESCALATED TO LOCAL OFFICE",IF($Z552=5,"ESCALATED TO CBE",IF($AA552=TODAY(),"EMAIL SENT","MONITORING"))))))))))</f>
        <v/>
      </c>
      <c r="V552" s="17">
        <f>IF($U552="",IF(AND(COUNTA($A552:$L552)&gt;0,$N552=""),"Awaiting Collection Email time stamp.",""),IF(OR($U552="PAID",$U552="CLOSED"),IF($U552="PAID","Account paid. Action completed.","Account closed. No further action required."),CHOOSE($Z552,"Collection Email","1st Email Follow-up","2nd Email Follow-up","Escalation to Local Office","Escalation to CBE","Escalation to Roxanne")&amp;" sent "&amp;TEXT($AA552,"dd-mmm")&amp;". "&amp;IF($Z552=6,"Final escalation completed.",IF($U552="OVERDUE","Next: "&amp;$AC552&amp;" was due "&amp;TEXT($AB552,"dd-mmm")&amp;" - "&amp;(NETWORKDAYS($AB552,TODAY(),Holidays)-1)&amp;" business day(s) late. Send now.",IF($U552="DUE TOMORROW","Next: "&amp;$AC552&amp;IF($AB552&lt;=TODAY()," is due TODAY ("," is due next business day (")&amp;TEXT($AB552,"dd-mmm")&amp;").","Next: "&amp;$AC552&amp;" due "&amp;TEXT($AB552,"dd-mmm")&amp;" ("&amp;(NETWORKDAYS(TODAY(),$AB552,Holidays)-1)&amp;" business day(s) left).")))))</f>
        <v/>
      </c>
      <c r="W552" s="17">
        <f>IF($Z552="","",CHOOSE($Z552,"Collection Email","1st Follow-up","2nd Follow-up","Local Office","CBE","Roxanne")&amp;IF($Z552=6," - Final"," - Day "&amp;MAX(0,NETWORKDAYS($AA552,TODAY(),Holidays)-1)&amp;" of "&amp;CHOOSE($Z552,3,3,2,2,3))&amp;" | Total Day "&amp;MAX(0,NETWORKDAYS($N552,TODAY(),Holidays)-1))</f>
        <v/>
      </c>
      <c r="X552" s="18"/>
      <c r="Y552" s="18"/>
      <c r="Z552" s="17">
        <f>IF($N552="","",COUNT($N552:$S552))</f>
        <v/>
      </c>
      <c r="AA552" s="19">
        <f>IF($Z552="","",INT(INDEX($N552:$S552,$Z552)))</f>
        <v/>
      </c>
      <c r="AB552" s="19">
        <f>IF(OR($Z552="",$Z552=6),"",WORKDAY($AA552,CHOOSE($Z552,3,3,2,2,3),Holidays))</f>
        <v/>
      </c>
      <c r="AC552" s="17">
        <f>IF(OR($Z552="",$Z552=6),"",CHOOSE($Z552,"1st Email Follow-up","2nd Email Follow-up","Escalate Local Office","Escalate to CBE","Escalate to Roxanne"))</f>
        <v/>
      </c>
    </row>
    <row r="553" spans="13:29">
      <c r="M553" s="14"/>
      <c r="T553" s="16"/>
      <c r="U553" s="17">
        <f>IF(AND(COUNTA($A553:$L553)=0,$N553=""),"",IF($T553="Paid","PAID",IF($T553="Closed","CLOSED",IF($Z553="","",IF($Z553=6,"ESCALATED TO ROXANNE",IF(TODAY()&gt;$AB553,"OVERDUE",IF($AB553&lt;=WORKDAY(TODAY(),1,Holidays),"DUE TOMORROW",IF($Z553=4,"ESCALATED TO LOCAL OFFICE",IF($Z553=5,"ESCALATED TO CBE",IF($AA553=TODAY(),"EMAIL SENT","MONITORING"))))))))))</f>
        <v/>
      </c>
      <c r="V553" s="17">
        <f>IF($U553="",IF(AND(COUNTA($A553:$L553)&gt;0,$N553=""),"Awaiting Collection Email time stamp.",""),IF(OR($U553="PAID",$U553="CLOSED"),IF($U553="PAID","Account paid. Action completed.","Account closed. No further action required."),CHOOSE($Z553,"Collection Email","1st Email Follow-up","2nd Email Follow-up","Escalation to Local Office","Escalation to CBE","Escalation to Roxanne")&amp;" sent "&amp;TEXT($AA553,"dd-mmm")&amp;". "&amp;IF($Z553=6,"Final escalation completed.",IF($U553="OVERDUE","Next: "&amp;$AC553&amp;" was due "&amp;TEXT($AB553,"dd-mmm")&amp;" - "&amp;(NETWORKDAYS($AB553,TODAY(),Holidays)-1)&amp;" business day(s) late. Send now.",IF($U553="DUE TOMORROW","Next: "&amp;$AC553&amp;IF($AB553&lt;=TODAY()," is due TODAY ("," is due next business day (")&amp;TEXT($AB553,"dd-mmm")&amp;").","Next: "&amp;$AC553&amp;" due "&amp;TEXT($AB553,"dd-mmm")&amp;" ("&amp;(NETWORKDAYS(TODAY(),$AB553,Holidays)-1)&amp;" business day(s) left).")))))</f>
        <v/>
      </c>
      <c r="W553" s="17">
        <f>IF($Z553="","",CHOOSE($Z553,"Collection Email","1st Follow-up","2nd Follow-up","Local Office","CBE","Roxanne")&amp;IF($Z553=6," - Final"," - Day "&amp;MAX(0,NETWORKDAYS($AA553,TODAY(),Holidays)-1)&amp;" of "&amp;CHOOSE($Z553,3,3,2,2,3))&amp;" | Total Day "&amp;MAX(0,NETWORKDAYS($N553,TODAY(),Holidays)-1))</f>
        <v/>
      </c>
      <c r="X553" s="18"/>
      <c r="Y553" s="18"/>
      <c r="Z553" s="17">
        <f>IF($N553="","",COUNT($N553:$S553))</f>
        <v/>
      </c>
      <c r="AA553" s="19">
        <f>IF($Z553="","",INT(INDEX($N553:$S553,$Z553)))</f>
        <v/>
      </c>
      <c r="AB553" s="19">
        <f>IF(OR($Z553="",$Z553=6),"",WORKDAY($AA553,CHOOSE($Z553,3,3,2,2,3),Holidays))</f>
        <v/>
      </c>
      <c r="AC553" s="17">
        <f>IF(OR($Z553="",$Z553=6),"",CHOOSE($Z553,"1st Email Follow-up","2nd Email Follow-up","Escalate Local Office","Escalate to CBE","Escalate to Roxanne"))</f>
        <v/>
      </c>
    </row>
    <row r="554" spans="13:29">
      <c r="M554" s="14"/>
      <c r="T554" s="16"/>
      <c r="U554" s="17">
        <f>IF(AND(COUNTA($A554:$L554)=0,$N554=""),"",IF($T554="Paid","PAID",IF($T554="Closed","CLOSED",IF($Z554="","",IF($Z554=6,"ESCALATED TO ROXANNE",IF(TODAY()&gt;$AB554,"OVERDUE",IF($AB554&lt;=WORKDAY(TODAY(),1,Holidays),"DUE TOMORROW",IF($Z554=4,"ESCALATED TO LOCAL OFFICE",IF($Z554=5,"ESCALATED TO CBE",IF($AA554=TODAY(),"EMAIL SENT","MONITORING"))))))))))</f>
        <v/>
      </c>
      <c r="V554" s="17">
        <f>IF($U554="",IF(AND(COUNTA($A554:$L554)&gt;0,$N554=""),"Awaiting Collection Email time stamp.",""),IF(OR($U554="PAID",$U554="CLOSED"),IF($U554="PAID","Account paid. Action completed.","Account closed. No further action required."),CHOOSE($Z554,"Collection Email","1st Email Follow-up","2nd Email Follow-up","Escalation to Local Office","Escalation to CBE","Escalation to Roxanne")&amp;" sent "&amp;TEXT($AA554,"dd-mmm")&amp;". "&amp;IF($Z554=6,"Final escalation completed.",IF($U554="OVERDUE","Next: "&amp;$AC554&amp;" was due "&amp;TEXT($AB554,"dd-mmm")&amp;" - "&amp;(NETWORKDAYS($AB554,TODAY(),Holidays)-1)&amp;" business day(s) late. Send now.",IF($U554="DUE TOMORROW","Next: "&amp;$AC554&amp;IF($AB554&lt;=TODAY()," is due TODAY ("," is due next business day (")&amp;TEXT($AB554,"dd-mmm")&amp;").","Next: "&amp;$AC554&amp;" due "&amp;TEXT($AB554,"dd-mmm")&amp;" ("&amp;(NETWORKDAYS(TODAY(),$AB554,Holidays)-1)&amp;" business day(s) left).")))))</f>
        <v/>
      </c>
      <c r="W554" s="17">
        <f>IF($Z554="","",CHOOSE($Z554,"Collection Email","1st Follow-up","2nd Follow-up","Local Office","CBE","Roxanne")&amp;IF($Z554=6," - Final"," - Day "&amp;MAX(0,NETWORKDAYS($AA554,TODAY(),Holidays)-1)&amp;" of "&amp;CHOOSE($Z554,3,3,2,2,3))&amp;" | Total Day "&amp;MAX(0,NETWORKDAYS($N554,TODAY(),Holidays)-1))</f>
        <v/>
      </c>
      <c r="X554" s="18"/>
      <c r="Y554" s="18"/>
      <c r="Z554" s="17">
        <f>IF($N554="","",COUNT($N554:$S554))</f>
        <v/>
      </c>
      <c r="AA554" s="19">
        <f>IF($Z554="","",INT(INDEX($N554:$S554,$Z554)))</f>
        <v/>
      </c>
      <c r="AB554" s="19">
        <f>IF(OR($Z554="",$Z554=6),"",WORKDAY($AA554,CHOOSE($Z554,3,3,2,2,3),Holidays))</f>
        <v/>
      </c>
      <c r="AC554" s="17">
        <f>IF(OR($Z554="",$Z554=6),"",CHOOSE($Z554,"1st Email Follow-up","2nd Email Follow-up","Escalate Local Office","Escalate to CBE","Escalate to Roxanne"))</f>
        <v/>
      </c>
    </row>
    <row r="555" spans="13:29">
      <c r="M555" s="14"/>
      <c r="T555" s="16"/>
      <c r="U555" s="17">
        <f>IF(AND(COUNTA($A555:$L555)=0,$N555=""),"",IF($T555="Paid","PAID",IF($T555="Closed","CLOSED",IF($Z555="","",IF($Z555=6,"ESCALATED TO ROXANNE",IF(TODAY()&gt;$AB555,"OVERDUE",IF($AB555&lt;=WORKDAY(TODAY(),1,Holidays),"DUE TOMORROW",IF($Z555=4,"ESCALATED TO LOCAL OFFICE",IF($Z555=5,"ESCALATED TO CBE",IF($AA555=TODAY(),"EMAIL SENT","MONITORING"))))))))))</f>
        <v/>
      </c>
      <c r="V555" s="17">
        <f>IF($U555="",IF(AND(COUNTA($A555:$L555)&gt;0,$N555=""),"Awaiting Collection Email time stamp.",""),IF(OR($U555="PAID",$U555="CLOSED"),IF($U555="PAID","Account paid. Action completed.","Account closed. No further action required."),CHOOSE($Z555,"Collection Email","1st Email Follow-up","2nd Email Follow-up","Escalation to Local Office","Escalation to CBE","Escalation to Roxanne")&amp;" sent "&amp;TEXT($AA555,"dd-mmm")&amp;". "&amp;IF($Z555=6,"Final escalation completed.",IF($U555="OVERDUE","Next: "&amp;$AC555&amp;" was due "&amp;TEXT($AB555,"dd-mmm")&amp;" - "&amp;(NETWORKDAYS($AB555,TODAY(),Holidays)-1)&amp;" business day(s) late. Send now.",IF($U555="DUE TOMORROW","Next: "&amp;$AC555&amp;IF($AB555&lt;=TODAY()," is due TODAY ("," is due next business day (")&amp;TEXT($AB555,"dd-mmm")&amp;").","Next: "&amp;$AC555&amp;" due "&amp;TEXT($AB555,"dd-mmm")&amp;" ("&amp;(NETWORKDAYS(TODAY(),$AB555,Holidays)-1)&amp;" business day(s) left).")))))</f>
        <v/>
      </c>
      <c r="W555" s="17">
        <f>IF($Z555="","",CHOOSE($Z555,"Collection Email","1st Follow-up","2nd Follow-up","Local Office","CBE","Roxanne")&amp;IF($Z555=6," - Final"," - Day "&amp;MAX(0,NETWORKDAYS($AA555,TODAY(),Holidays)-1)&amp;" of "&amp;CHOOSE($Z555,3,3,2,2,3))&amp;" | Total Day "&amp;MAX(0,NETWORKDAYS($N555,TODAY(),Holidays)-1))</f>
        <v/>
      </c>
      <c r="X555" s="18"/>
      <c r="Y555" s="18"/>
      <c r="Z555" s="17">
        <f>IF($N555="","",COUNT($N555:$S555))</f>
        <v/>
      </c>
      <c r="AA555" s="19">
        <f>IF($Z555="","",INT(INDEX($N555:$S555,$Z555)))</f>
        <v/>
      </c>
      <c r="AB555" s="19">
        <f>IF(OR($Z555="",$Z555=6),"",WORKDAY($AA555,CHOOSE($Z555,3,3,2,2,3),Holidays))</f>
        <v/>
      </c>
      <c r="AC555" s="17">
        <f>IF(OR($Z555="",$Z555=6),"",CHOOSE($Z555,"1st Email Follow-up","2nd Email Follow-up","Escalate Local Office","Escalate to CBE","Escalate to Roxanne"))</f>
        <v/>
      </c>
    </row>
    <row r="556" spans="13:29">
      <c r="M556" s="14"/>
      <c r="T556" s="16"/>
      <c r="U556" s="17">
        <f>IF(AND(COUNTA($A556:$L556)=0,$N556=""),"",IF($T556="Paid","PAID",IF($T556="Closed","CLOSED",IF($Z556="","",IF($Z556=6,"ESCALATED TO ROXANNE",IF(TODAY()&gt;$AB556,"OVERDUE",IF($AB556&lt;=WORKDAY(TODAY(),1,Holidays),"DUE TOMORROW",IF($Z556=4,"ESCALATED TO LOCAL OFFICE",IF($Z556=5,"ESCALATED TO CBE",IF($AA556=TODAY(),"EMAIL SENT","MONITORING"))))))))))</f>
        <v/>
      </c>
      <c r="V556" s="17">
        <f>IF($U556="",IF(AND(COUNTA($A556:$L556)&gt;0,$N556=""),"Awaiting Collection Email time stamp.",""),IF(OR($U556="PAID",$U556="CLOSED"),IF($U556="PAID","Account paid. Action completed.","Account closed. No further action required."),CHOOSE($Z556,"Collection Email","1st Email Follow-up","2nd Email Follow-up","Escalation to Local Office","Escalation to CBE","Escalation to Roxanne")&amp;" sent "&amp;TEXT($AA556,"dd-mmm")&amp;". "&amp;IF($Z556=6,"Final escalation completed.",IF($U556="OVERDUE","Next: "&amp;$AC556&amp;" was due "&amp;TEXT($AB556,"dd-mmm")&amp;" - "&amp;(NETWORKDAYS($AB556,TODAY(),Holidays)-1)&amp;" business day(s) late. Send now.",IF($U556="DUE TOMORROW","Next: "&amp;$AC556&amp;IF($AB556&lt;=TODAY()," is due TODAY ("," is due next business day (")&amp;TEXT($AB556,"dd-mmm")&amp;").","Next: "&amp;$AC556&amp;" due "&amp;TEXT($AB556,"dd-mmm")&amp;" ("&amp;(NETWORKDAYS(TODAY(),$AB556,Holidays)-1)&amp;" business day(s) left).")))))</f>
        <v/>
      </c>
      <c r="W556" s="17">
        <f>IF($Z556="","",CHOOSE($Z556,"Collection Email","1st Follow-up","2nd Follow-up","Local Office","CBE","Roxanne")&amp;IF($Z556=6," - Final"," - Day "&amp;MAX(0,NETWORKDAYS($AA556,TODAY(),Holidays)-1)&amp;" of "&amp;CHOOSE($Z556,3,3,2,2,3))&amp;" | Total Day "&amp;MAX(0,NETWORKDAYS($N556,TODAY(),Holidays)-1))</f>
        <v/>
      </c>
      <c r="X556" s="18"/>
      <c r="Y556" s="18"/>
      <c r="Z556" s="17">
        <f>IF($N556="","",COUNT($N556:$S556))</f>
        <v/>
      </c>
      <c r="AA556" s="19">
        <f>IF($Z556="","",INT(INDEX($N556:$S556,$Z556)))</f>
        <v/>
      </c>
      <c r="AB556" s="19">
        <f>IF(OR($Z556="",$Z556=6),"",WORKDAY($AA556,CHOOSE($Z556,3,3,2,2,3),Holidays))</f>
        <v/>
      </c>
      <c r="AC556" s="17">
        <f>IF(OR($Z556="",$Z556=6),"",CHOOSE($Z556,"1st Email Follow-up","2nd Email Follow-up","Escalate Local Office","Escalate to CBE","Escalate to Roxanne"))</f>
        <v/>
      </c>
    </row>
    <row r="557" spans="13:29">
      <c r="M557" s="14"/>
      <c r="T557" s="16"/>
      <c r="U557" s="17">
        <f>IF(AND(COUNTA($A557:$L557)=0,$N557=""),"",IF($T557="Paid","PAID",IF($T557="Closed","CLOSED",IF($Z557="","",IF($Z557=6,"ESCALATED TO ROXANNE",IF(TODAY()&gt;$AB557,"OVERDUE",IF($AB557&lt;=WORKDAY(TODAY(),1,Holidays),"DUE TOMORROW",IF($Z557=4,"ESCALATED TO LOCAL OFFICE",IF($Z557=5,"ESCALATED TO CBE",IF($AA557=TODAY(),"EMAIL SENT","MONITORING"))))))))))</f>
        <v/>
      </c>
      <c r="V557" s="17">
        <f>IF($U557="",IF(AND(COUNTA($A557:$L557)&gt;0,$N557=""),"Awaiting Collection Email time stamp.",""),IF(OR($U557="PAID",$U557="CLOSED"),IF($U557="PAID","Account paid. Action completed.","Account closed. No further action required."),CHOOSE($Z557,"Collection Email","1st Email Follow-up","2nd Email Follow-up","Escalation to Local Office","Escalation to CBE","Escalation to Roxanne")&amp;" sent "&amp;TEXT($AA557,"dd-mmm")&amp;". "&amp;IF($Z557=6,"Final escalation completed.",IF($U557="OVERDUE","Next: "&amp;$AC557&amp;" was due "&amp;TEXT($AB557,"dd-mmm")&amp;" - "&amp;(NETWORKDAYS($AB557,TODAY(),Holidays)-1)&amp;" business day(s) late. Send now.",IF($U557="DUE TOMORROW","Next: "&amp;$AC557&amp;IF($AB557&lt;=TODAY()," is due TODAY ("," is due next business day (")&amp;TEXT($AB557,"dd-mmm")&amp;").","Next: "&amp;$AC557&amp;" due "&amp;TEXT($AB557,"dd-mmm")&amp;" ("&amp;(NETWORKDAYS(TODAY(),$AB557,Holidays)-1)&amp;" business day(s) left).")))))</f>
        <v/>
      </c>
      <c r="W557" s="17">
        <f>IF($Z557="","",CHOOSE($Z557,"Collection Email","1st Follow-up","2nd Follow-up","Local Office","CBE","Roxanne")&amp;IF($Z557=6," - Final"," - Day "&amp;MAX(0,NETWORKDAYS($AA557,TODAY(),Holidays)-1)&amp;" of "&amp;CHOOSE($Z557,3,3,2,2,3))&amp;" | Total Day "&amp;MAX(0,NETWORKDAYS($N557,TODAY(),Holidays)-1))</f>
        <v/>
      </c>
      <c r="X557" s="18"/>
      <c r="Y557" s="18"/>
      <c r="Z557" s="17">
        <f>IF($N557="","",COUNT($N557:$S557))</f>
        <v/>
      </c>
      <c r="AA557" s="19">
        <f>IF($Z557="","",INT(INDEX($N557:$S557,$Z557)))</f>
        <v/>
      </c>
      <c r="AB557" s="19">
        <f>IF(OR($Z557="",$Z557=6),"",WORKDAY($AA557,CHOOSE($Z557,3,3,2,2,3),Holidays))</f>
        <v/>
      </c>
      <c r="AC557" s="17">
        <f>IF(OR($Z557="",$Z557=6),"",CHOOSE($Z557,"1st Email Follow-up","2nd Email Follow-up","Escalate Local Office","Escalate to CBE","Escalate to Roxanne"))</f>
        <v/>
      </c>
    </row>
    <row r="558" spans="13:29">
      <c r="M558" s="14"/>
      <c r="T558" s="16"/>
      <c r="U558" s="17">
        <f>IF(AND(COUNTA($A558:$L558)=0,$N558=""),"",IF($T558="Paid","PAID",IF($T558="Closed","CLOSED",IF($Z558="","",IF($Z558=6,"ESCALATED TO ROXANNE",IF(TODAY()&gt;$AB558,"OVERDUE",IF($AB558&lt;=WORKDAY(TODAY(),1,Holidays),"DUE TOMORROW",IF($Z558=4,"ESCALATED TO LOCAL OFFICE",IF($Z558=5,"ESCALATED TO CBE",IF($AA558=TODAY(),"EMAIL SENT","MONITORING"))))))))))</f>
        <v/>
      </c>
      <c r="V558" s="17">
        <f>IF($U558="",IF(AND(COUNTA($A558:$L558)&gt;0,$N558=""),"Awaiting Collection Email time stamp.",""),IF(OR($U558="PAID",$U558="CLOSED"),IF($U558="PAID","Account paid. Action completed.","Account closed. No further action required."),CHOOSE($Z558,"Collection Email","1st Email Follow-up","2nd Email Follow-up","Escalation to Local Office","Escalation to CBE","Escalation to Roxanne")&amp;" sent "&amp;TEXT($AA558,"dd-mmm")&amp;". "&amp;IF($Z558=6,"Final escalation completed.",IF($U558="OVERDUE","Next: "&amp;$AC558&amp;" was due "&amp;TEXT($AB558,"dd-mmm")&amp;" - "&amp;(NETWORKDAYS($AB558,TODAY(),Holidays)-1)&amp;" business day(s) late. Send now.",IF($U558="DUE TOMORROW","Next: "&amp;$AC558&amp;IF($AB558&lt;=TODAY()," is due TODAY ("," is due next business day (")&amp;TEXT($AB558,"dd-mmm")&amp;").","Next: "&amp;$AC558&amp;" due "&amp;TEXT($AB558,"dd-mmm")&amp;" ("&amp;(NETWORKDAYS(TODAY(),$AB558,Holidays)-1)&amp;" business day(s) left).")))))</f>
        <v/>
      </c>
      <c r="W558" s="17">
        <f>IF($Z558="","",CHOOSE($Z558,"Collection Email","1st Follow-up","2nd Follow-up","Local Office","CBE","Roxanne")&amp;IF($Z558=6," - Final"," - Day "&amp;MAX(0,NETWORKDAYS($AA558,TODAY(),Holidays)-1)&amp;" of "&amp;CHOOSE($Z558,3,3,2,2,3))&amp;" | Total Day "&amp;MAX(0,NETWORKDAYS($N558,TODAY(),Holidays)-1))</f>
        <v/>
      </c>
      <c r="X558" s="18"/>
      <c r="Y558" s="18"/>
      <c r="Z558" s="17">
        <f>IF($N558="","",COUNT($N558:$S558))</f>
        <v/>
      </c>
      <c r="AA558" s="19">
        <f>IF($Z558="","",INT(INDEX($N558:$S558,$Z558)))</f>
        <v/>
      </c>
      <c r="AB558" s="19">
        <f>IF(OR($Z558="",$Z558=6),"",WORKDAY($AA558,CHOOSE($Z558,3,3,2,2,3),Holidays))</f>
        <v/>
      </c>
      <c r="AC558" s="17">
        <f>IF(OR($Z558="",$Z558=6),"",CHOOSE($Z558,"1st Email Follow-up","2nd Email Follow-up","Escalate Local Office","Escalate to CBE","Escalate to Roxanne"))</f>
        <v/>
      </c>
    </row>
    <row r="559" spans="13:29">
      <c r="M559" s="14"/>
      <c r="T559" s="16"/>
      <c r="U559" s="17">
        <f>IF(AND(COUNTA($A559:$L559)=0,$N559=""),"",IF($T559="Paid","PAID",IF($T559="Closed","CLOSED",IF($Z559="","",IF($Z559=6,"ESCALATED TO ROXANNE",IF(TODAY()&gt;$AB559,"OVERDUE",IF($AB559&lt;=WORKDAY(TODAY(),1,Holidays),"DUE TOMORROW",IF($Z559=4,"ESCALATED TO LOCAL OFFICE",IF($Z559=5,"ESCALATED TO CBE",IF($AA559=TODAY(),"EMAIL SENT","MONITORING"))))))))))</f>
        <v/>
      </c>
      <c r="V559" s="17">
        <f>IF($U559="",IF(AND(COUNTA($A559:$L559)&gt;0,$N559=""),"Awaiting Collection Email time stamp.",""),IF(OR($U559="PAID",$U559="CLOSED"),IF($U559="PAID","Account paid. Action completed.","Account closed. No further action required."),CHOOSE($Z559,"Collection Email","1st Email Follow-up","2nd Email Follow-up","Escalation to Local Office","Escalation to CBE","Escalation to Roxanne")&amp;" sent "&amp;TEXT($AA559,"dd-mmm")&amp;". "&amp;IF($Z559=6,"Final escalation completed.",IF($U559="OVERDUE","Next: "&amp;$AC559&amp;" was due "&amp;TEXT($AB559,"dd-mmm")&amp;" - "&amp;(NETWORKDAYS($AB559,TODAY(),Holidays)-1)&amp;" business day(s) late. Send now.",IF($U559="DUE TOMORROW","Next: "&amp;$AC559&amp;IF($AB559&lt;=TODAY()," is due TODAY ("," is due next business day (")&amp;TEXT($AB559,"dd-mmm")&amp;").","Next: "&amp;$AC559&amp;" due "&amp;TEXT($AB559,"dd-mmm")&amp;" ("&amp;(NETWORKDAYS(TODAY(),$AB559,Holidays)-1)&amp;" business day(s) left).")))))</f>
        <v/>
      </c>
      <c r="W559" s="17">
        <f>IF($Z559="","",CHOOSE($Z559,"Collection Email","1st Follow-up","2nd Follow-up","Local Office","CBE","Roxanne")&amp;IF($Z559=6," - Final"," - Day "&amp;MAX(0,NETWORKDAYS($AA559,TODAY(),Holidays)-1)&amp;" of "&amp;CHOOSE($Z559,3,3,2,2,3))&amp;" | Total Day "&amp;MAX(0,NETWORKDAYS($N559,TODAY(),Holidays)-1))</f>
        <v/>
      </c>
      <c r="X559" s="18"/>
      <c r="Y559" s="18"/>
      <c r="Z559" s="17">
        <f>IF($N559="","",COUNT($N559:$S559))</f>
        <v/>
      </c>
      <c r="AA559" s="19">
        <f>IF($Z559="","",INT(INDEX($N559:$S559,$Z559)))</f>
        <v/>
      </c>
      <c r="AB559" s="19">
        <f>IF(OR($Z559="",$Z559=6),"",WORKDAY($AA559,CHOOSE($Z559,3,3,2,2,3),Holidays))</f>
        <v/>
      </c>
      <c r="AC559" s="17">
        <f>IF(OR($Z559="",$Z559=6),"",CHOOSE($Z559,"1st Email Follow-up","2nd Email Follow-up","Escalate Local Office","Escalate to CBE","Escalate to Roxanne"))</f>
        <v/>
      </c>
    </row>
    <row r="560" spans="13:29">
      <c r="M560" s="14"/>
      <c r="T560" s="16"/>
      <c r="U560" s="17">
        <f>IF(AND(COUNTA($A560:$L560)=0,$N560=""),"",IF($T560="Paid","PAID",IF($T560="Closed","CLOSED",IF($Z560="","",IF($Z560=6,"ESCALATED TO ROXANNE",IF(TODAY()&gt;$AB560,"OVERDUE",IF($AB560&lt;=WORKDAY(TODAY(),1,Holidays),"DUE TOMORROW",IF($Z560=4,"ESCALATED TO LOCAL OFFICE",IF($Z560=5,"ESCALATED TO CBE",IF($AA560=TODAY(),"EMAIL SENT","MONITORING"))))))))))</f>
        <v/>
      </c>
      <c r="V560" s="17">
        <f>IF($U560="",IF(AND(COUNTA($A560:$L560)&gt;0,$N560=""),"Awaiting Collection Email time stamp.",""),IF(OR($U560="PAID",$U560="CLOSED"),IF($U560="PAID","Account paid. Action completed.","Account closed. No further action required."),CHOOSE($Z560,"Collection Email","1st Email Follow-up","2nd Email Follow-up","Escalation to Local Office","Escalation to CBE","Escalation to Roxanne")&amp;" sent "&amp;TEXT($AA560,"dd-mmm")&amp;". "&amp;IF($Z560=6,"Final escalation completed.",IF($U560="OVERDUE","Next: "&amp;$AC560&amp;" was due "&amp;TEXT($AB560,"dd-mmm")&amp;" - "&amp;(NETWORKDAYS($AB560,TODAY(),Holidays)-1)&amp;" business day(s) late. Send now.",IF($U560="DUE TOMORROW","Next: "&amp;$AC560&amp;IF($AB560&lt;=TODAY()," is due TODAY ("," is due next business day (")&amp;TEXT($AB560,"dd-mmm")&amp;").","Next: "&amp;$AC560&amp;" due "&amp;TEXT($AB560,"dd-mmm")&amp;" ("&amp;(NETWORKDAYS(TODAY(),$AB560,Holidays)-1)&amp;" business day(s) left).")))))</f>
        <v/>
      </c>
      <c r="W560" s="17">
        <f>IF($Z560="","",CHOOSE($Z560,"Collection Email","1st Follow-up","2nd Follow-up","Local Office","CBE","Roxanne")&amp;IF($Z560=6," - Final"," - Day "&amp;MAX(0,NETWORKDAYS($AA560,TODAY(),Holidays)-1)&amp;" of "&amp;CHOOSE($Z560,3,3,2,2,3))&amp;" | Total Day "&amp;MAX(0,NETWORKDAYS($N560,TODAY(),Holidays)-1))</f>
        <v/>
      </c>
      <c r="X560" s="18"/>
      <c r="Y560" s="18"/>
      <c r="Z560" s="17">
        <f>IF($N560="","",COUNT($N560:$S560))</f>
        <v/>
      </c>
      <c r="AA560" s="19">
        <f>IF($Z560="","",INT(INDEX($N560:$S560,$Z560)))</f>
        <v/>
      </c>
      <c r="AB560" s="19">
        <f>IF(OR($Z560="",$Z560=6),"",WORKDAY($AA560,CHOOSE($Z560,3,3,2,2,3),Holidays))</f>
        <v/>
      </c>
      <c r="AC560" s="17">
        <f>IF(OR($Z560="",$Z560=6),"",CHOOSE($Z560,"1st Email Follow-up","2nd Email Follow-up","Escalate Local Office","Escalate to CBE","Escalate to Roxanne"))</f>
        <v/>
      </c>
    </row>
    <row r="561" spans="13:29">
      <c r="M561" s="14"/>
      <c r="T561" s="16"/>
      <c r="U561" s="17">
        <f>IF(AND(COUNTA($A561:$L561)=0,$N561=""),"",IF($T561="Paid","PAID",IF($T561="Closed","CLOSED",IF($Z561="","",IF($Z561=6,"ESCALATED TO ROXANNE",IF(TODAY()&gt;$AB561,"OVERDUE",IF($AB561&lt;=WORKDAY(TODAY(),1,Holidays),"DUE TOMORROW",IF($Z561=4,"ESCALATED TO LOCAL OFFICE",IF($Z561=5,"ESCALATED TO CBE",IF($AA561=TODAY(),"EMAIL SENT","MONITORING"))))))))))</f>
        <v/>
      </c>
      <c r="V561" s="17">
        <f>IF($U561="",IF(AND(COUNTA($A561:$L561)&gt;0,$N561=""),"Awaiting Collection Email time stamp.",""),IF(OR($U561="PAID",$U561="CLOSED"),IF($U561="PAID","Account paid. Action completed.","Account closed. No further action required."),CHOOSE($Z561,"Collection Email","1st Email Follow-up","2nd Email Follow-up","Escalation to Local Office","Escalation to CBE","Escalation to Roxanne")&amp;" sent "&amp;TEXT($AA561,"dd-mmm")&amp;". "&amp;IF($Z561=6,"Final escalation completed.",IF($U561="OVERDUE","Next: "&amp;$AC561&amp;" was due "&amp;TEXT($AB561,"dd-mmm")&amp;" - "&amp;(NETWORKDAYS($AB561,TODAY(),Holidays)-1)&amp;" business day(s) late. Send now.",IF($U561="DUE TOMORROW","Next: "&amp;$AC561&amp;IF($AB561&lt;=TODAY()," is due TODAY ("," is due next business day (")&amp;TEXT($AB561,"dd-mmm")&amp;").","Next: "&amp;$AC561&amp;" due "&amp;TEXT($AB561,"dd-mmm")&amp;" ("&amp;(NETWORKDAYS(TODAY(),$AB561,Holidays)-1)&amp;" business day(s) left).")))))</f>
        <v/>
      </c>
      <c r="W561" s="17">
        <f>IF($Z561="","",CHOOSE($Z561,"Collection Email","1st Follow-up","2nd Follow-up","Local Office","CBE","Roxanne")&amp;IF($Z561=6," - Final"," - Day "&amp;MAX(0,NETWORKDAYS($AA561,TODAY(),Holidays)-1)&amp;" of "&amp;CHOOSE($Z561,3,3,2,2,3))&amp;" | Total Day "&amp;MAX(0,NETWORKDAYS($N561,TODAY(),Holidays)-1))</f>
        <v/>
      </c>
      <c r="X561" s="18"/>
      <c r="Y561" s="18"/>
      <c r="Z561" s="17">
        <f>IF($N561="","",COUNT($N561:$S561))</f>
        <v/>
      </c>
      <c r="AA561" s="19">
        <f>IF($Z561="","",INT(INDEX($N561:$S561,$Z561)))</f>
        <v/>
      </c>
      <c r="AB561" s="19">
        <f>IF(OR($Z561="",$Z561=6),"",WORKDAY($AA561,CHOOSE($Z561,3,3,2,2,3),Holidays))</f>
        <v/>
      </c>
      <c r="AC561" s="17">
        <f>IF(OR($Z561="",$Z561=6),"",CHOOSE($Z561,"1st Email Follow-up","2nd Email Follow-up","Escalate Local Office","Escalate to CBE","Escalate to Roxanne"))</f>
        <v/>
      </c>
    </row>
    <row r="562" spans="13:29">
      <c r="M562" s="14"/>
      <c r="T562" s="16"/>
      <c r="U562" s="17">
        <f>IF(AND(COUNTA($A562:$L562)=0,$N562=""),"",IF($T562="Paid","PAID",IF($T562="Closed","CLOSED",IF($Z562="","",IF($Z562=6,"ESCALATED TO ROXANNE",IF(TODAY()&gt;$AB562,"OVERDUE",IF($AB562&lt;=WORKDAY(TODAY(),1,Holidays),"DUE TOMORROW",IF($Z562=4,"ESCALATED TO LOCAL OFFICE",IF($Z562=5,"ESCALATED TO CBE",IF($AA562=TODAY(),"EMAIL SENT","MONITORING"))))))))))</f>
        <v/>
      </c>
      <c r="V562" s="17">
        <f>IF($U562="",IF(AND(COUNTA($A562:$L562)&gt;0,$N562=""),"Awaiting Collection Email time stamp.",""),IF(OR($U562="PAID",$U562="CLOSED"),IF($U562="PAID","Account paid. Action completed.","Account closed. No further action required."),CHOOSE($Z562,"Collection Email","1st Email Follow-up","2nd Email Follow-up","Escalation to Local Office","Escalation to CBE","Escalation to Roxanne")&amp;" sent "&amp;TEXT($AA562,"dd-mmm")&amp;". "&amp;IF($Z562=6,"Final escalation completed.",IF($U562="OVERDUE","Next: "&amp;$AC562&amp;" was due "&amp;TEXT($AB562,"dd-mmm")&amp;" - "&amp;(NETWORKDAYS($AB562,TODAY(),Holidays)-1)&amp;" business day(s) late. Send now.",IF($U562="DUE TOMORROW","Next: "&amp;$AC562&amp;IF($AB562&lt;=TODAY()," is due TODAY ("," is due next business day (")&amp;TEXT($AB562,"dd-mmm")&amp;").","Next: "&amp;$AC562&amp;" due "&amp;TEXT($AB562,"dd-mmm")&amp;" ("&amp;(NETWORKDAYS(TODAY(),$AB562,Holidays)-1)&amp;" business day(s) left).")))))</f>
        <v/>
      </c>
      <c r="W562" s="17">
        <f>IF($Z562="","",CHOOSE($Z562,"Collection Email","1st Follow-up","2nd Follow-up","Local Office","CBE","Roxanne")&amp;IF($Z562=6," - Final"," - Day "&amp;MAX(0,NETWORKDAYS($AA562,TODAY(),Holidays)-1)&amp;" of "&amp;CHOOSE($Z562,3,3,2,2,3))&amp;" | Total Day "&amp;MAX(0,NETWORKDAYS($N562,TODAY(),Holidays)-1))</f>
        <v/>
      </c>
      <c r="X562" s="18"/>
      <c r="Y562" s="18"/>
      <c r="Z562" s="17">
        <f>IF($N562="","",COUNT($N562:$S562))</f>
        <v/>
      </c>
      <c r="AA562" s="19">
        <f>IF($Z562="","",INT(INDEX($N562:$S562,$Z562)))</f>
        <v/>
      </c>
      <c r="AB562" s="19">
        <f>IF(OR($Z562="",$Z562=6),"",WORKDAY($AA562,CHOOSE($Z562,3,3,2,2,3),Holidays))</f>
        <v/>
      </c>
      <c r="AC562" s="17">
        <f>IF(OR($Z562="",$Z562=6),"",CHOOSE($Z562,"1st Email Follow-up","2nd Email Follow-up","Escalate Local Office","Escalate to CBE","Escalate to Roxanne"))</f>
        <v/>
      </c>
    </row>
    <row r="563" spans="13:29">
      <c r="M563" s="14"/>
      <c r="T563" s="16"/>
      <c r="U563" s="17">
        <f>IF(AND(COUNTA($A563:$L563)=0,$N563=""),"",IF($T563="Paid","PAID",IF($T563="Closed","CLOSED",IF($Z563="","",IF($Z563=6,"ESCALATED TO ROXANNE",IF(TODAY()&gt;$AB563,"OVERDUE",IF($AB563&lt;=WORKDAY(TODAY(),1,Holidays),"DUE TOMORROW",IF($Z563=4,"ESCALATED TO LOCAL OFFICE",IF($Z563=5,"ESCALATED TO CBE",IF($AA563=TODAY(),"EMAIL SENT","MONITORING"))))))))))</f>
        <v/>
      </c>
      <c r="V563" s="17">
        <f>IF($U563="",IF(AND(COUNTA($A563:$L563)&gt;0,$N563=""),"Awaiting Collection Email time stamp.",""),IF(OR($U563="PAID",$U563="CLOSED"),IF($U563="PAID","Account paid. Action completed.","Account closed. No further action required."),CHOOSE($Z563,"Collection Email","1st Email Follow-up","2nd Email Follow-up","Escalation to Local Office","Escalation to CBE","Escalation to Roxanne")&amp;" sent "&amp;TEXT($AA563,"dd-mmm")&amp;". "&amp;IF($Z563=6,"Final escalation completed.",IF($U563="OVERDUE","Next: "&amp;$AC563&amp;" was due "&amp;TEXT($AB563,"dd-mmm")&amp;" - "&amp;(NETWORKDAYS($AB563,TODAY(),Holidays)-1)&amp;" business day(s) late. Send now.",IF($U563="DUE TOMORROW","Next: "&amp;$AC563&amp;IF($AB563&lt;=TODAY()," is due TODAY ("," is due next business day (")&amp;TEXT($AB563,"dd-mmm")&amp;").","Next: "&amp;$AC563&amp;" due "&amp;TEXT($AB563,"dd-mmm")&amp;" ("&amp;(NETWORKDAYS(TODAY(),$AB563,Holidays)-1)&amp;" business day(s) left).")))))</f>
        <v/>
      </c>
      <c r="W563" s="17">
        <f>IF($Z563="","",CHOOSE($Z563,"Collection Email","1st Follow-up","2nd Follow-up","Local Office","CBE","Roxanne")&amp;IF($Z563=6," - Final"," - Day "&amp;MAX(0,NETWORKDAYS($AA563,TODAY(),Holidays)-1)&amp;" of "&amp;CHOOSE($Z563,3,3,2,2,3))&amp;" | Total Day "&amp;MAX(0,NETWORKDAYS($N563,TODAY(),Holidays)-1))</f>
        <v/>
      </c>
      <c r="X563" s="18"/>
      <c r="Y563" s="18"/>
      <c r="Z563" s="17">
        <f>IF($N563="","",COUNT($N563:$S563))</f>
        <v/>
      </c>
      <c r="AA563" s="19">
        <f>IF($Z563="","",INT(INDEX($N563:$S563,$Z563)))</f>
        <v/>
      </c>
      <c r="AB563" s="19">
        <f>IF(OR($Z563="",$Z563=6),"",WORKDAY($AA563,CHOOSE($Z563,3,3,2,2,3),Holidays))</f>
        <v/>
      </c>
      <c r="AC563" s="17">
        <f>IF(OR($Z563="",$Z563=6),"",CHOOSE($Z563,"1st Email Follow-up","2nd Email Follow-up","Escalate Local Office","Escalate to CBE","Escalate to Roxanne"))</f>
        <v/>
      </c>
    </row>
    <row r="564" spans="13:29">
      <c r="M564" s="14"/>
      <c r="T564" s="16"/>
      <c r="U564" s="17">
        <f>IF(AND(COUNTA($A564:$L564)=0,$N564=""),"",IF($T564="Paid","PAID",IF($T564="Closed","CLOSED",IF($Z564="","",IF($Z564=6,"ESCALATED TO ROXANNE",IF(TODAY()&gt;$AB564,"OVERDUE",IF($AB564&lt;=WORKDAY(TODAY(),1,Holidays),"DUE TOMORROW",IF($Z564=4,"ESCALATED TO LOCAL OFFICE",IF($Z564=5,"ESCALATED TO CBE",IF($AA564=TODAY(),"EMAIL SENT","MONITORING"))))))))))</f>
        <v/>
      </c>
      <c r="V564" s="17">
        <f>IF($U564="",IF(AND(COUNTA($A564:$L564)&gt;0,$N564=""),"Awaiting Collection Email time stamp.",""),IF(OR($U564="PAID",$U564="CLOSED"),IF($U564="PAID","Account paid. Action completed.","Account closed. No further action required."),CHOOSE($Z564,"Collection Email","1st Email Follow-up","2nd Email Follow-up","Escalation to Local Office","Escalation to CBE","Escalation to Roxanne")&amp;" sent "&amp;TEXT($AA564,"dd-mmm")&amp;". "&amp;IF($Z564=6,"Final escalation completed.",IF($U564="OVERDUE","Next: "&amp;$AC564&amp;" was due "&amp;TEXT($AB564,"dd-mmm")&amp;" - "&amp;(NETWORKDAYS($AB564,TODAY(),Holidays)-1)&amp;" business day(s) late. Send now.",IF($U564="DUE TOMORROW","Next: "&amp;$AC564&amp;IF($AB564&lt;=TODAY()," is due TODAY ("," is due next business day (")&amp;TEXT($AB564,"dd-mmm")&amp;").","Next: "&amp;$AC564&amp;" due "&amp;TEXT($AB564,"dd-mmm")&amp;" ("&amp;(NETWORKDAYS(TODAY(),$AB564,Holidays)-1)&amp;" business day(s) left).")))))</f>
        <v/>
      </c>
      <c r="W564" s="17">
        <f>IF($Z564="","",CHOOSE($Z564,"Collection Email","1st Follow-up","2nd Follow-up","Local Office","CBE","Roxanne")&amp;IF($Z564=6," - Final"," - Day "&amp;MAX(0,NETWORKDAYS($AA564,TODAY(),Holidays)-1)&amp;" of "&amp;CHOOSE($Z564,3,3,2,2,3))&amp;" | Total Day "&amp;MAX(0,NETWORKDAYS($N564,TODAY(),Holidays)-1))</f>
        <v/>
      </c>
      <c r="X564" s="18"/>
      <c r="Y564" s="18"/>
      <c r="Z564" s="17">
        <f>IF($N564="","",COUNT($N564:$S564))</f>
        <v/>
      </c>
      <c r="AA564" s="19">
        <f>IF($Z564="","",INT(INDEX($N564:$S564,$Z564)))</f>
        <v/>
      </c>
      <c r="AB564" s="19">
        <f>IF(OR($Z564="",$Z564=6),"",WORKDAY($AA564,CHOOSE($Z564,3,3,2,2,3),Holidays))</f>
        <v/>
      </c>
      <c r="AC564" s="17">
        <f>IF(OR($Z564="",$Z564=6),"",CHOOSE($Z564,"1st Email Follow-up","2nd Email Follow-up","Escalate Local Office","Escalate to CBE","Escalate to Roxanne"))</f>
        <v/>
      </c>
    </row>
    <row r="565" spans="13:29">
      <c r="M565" s="14"/>
      <c r="T565" s="16"/>
      <c r="U565" s="17">
        <f>IF(AND(COUNTA($A565:$L565)=0,$N565=""),"",IF($T565="Paid","PAID",IF($T565="Closed","CLOSED",IF($Z565="","",IF($Z565=6,"ESCALATED TO ROXANNE",IF(TODAY()&gt;$AB565,"OVERDUE",IF($AB565&lt;=WORKDAY(TODAY(),1,Holidays),"DUE TOMORROW",IF($Z565=4,"ESCALATED TO LOCAL OFFICE",IF($Z565=5,"ESCALATED TO CBE",IF($AA565=TODAY(),"EMAIL SENT","MONITORING"))))))))))</f>
        <v/>
      </c>
      <c r="V565" s="17">
        <f>IF($U565="",IF(AND(COUNTA($A565:$L565)&gt;0,$N565=""),"Awaiting Collection Email time stamp.",""),IF(OR($U565="PAID",$U565="CLOSED"),IF($U565="PAID","Account paid. Action completed.","Account closed. No further action required."),CHOOSE($Z565,"Collection Email","1st Email Follow-up","2nd Email Follow-up","Escalation to Local Office","Escalation to CBE","Escalation to Roxanne")&amp;" sent "&amp;TEXT($AA565,"dd-mmm")&amp;". "&amp;IF($Z565=6,"Final escalation completed.",IF($U565="OVERDUE","Next: "&amp;$AC565&amp;" was due "&amp;TEXT($AB565,"dd-mmm")&amp;" - "&amp;(NETWORKDAYS($AB565,TODAY(),Holidays)-1)&amp;" business day(s) late. Send now.",IF($U565="DUE TOMORROW","Next: "&amp;$AC565&amp;IF($AB565&lt;=TODAY()," is due TODAY ("," is due next business day (")&amp;TEXT($AB565,"dd-mmm")&amp;").","Next: "&amp;$AC565&amp;" due "&amp;TEXT($AB565,"dd-mmm")&amp;" ("&amp;(NETWORKDAYS(TODAY(),$AB565,Holidays)-1)&amp;" business day(s) left).")))))</f>
        <v/>
      </c>
      <c r="W565" s="17">
        <f>IF($Z565="","",CHOOSE($Z565,"Collection Email","1st Follow-up","2nd Follow-up","Local Office","CBE","Roxanne")&amp;IF($Z565=6," - Final"," - Day "&amp;MAX(0,NETWORKDAYS($AA565,TODAY(),Holidays)-1)&amp;" of "&amp;CHOOSE($Z565,3,3,2,2,3))&amp;" | Total Day "&amp;MAX(0,NETWORKDAYS($N565,TODAY(),Holidays)-1))</f>
        <v/>
      </c>
      <c r="X565" s="18"/>
      <c r="Y565" s="18"/>
      <c r="Z565" s="17">
        <f>IF($N565="","",COUNT($N565:$S565))</f>
        <v/>
      </c>
      <c r="AA565" s="19">
        <f>IF($Z565="","",INT(INDEX($N565:$S565,$Z565)))</f>
        <v/>
      </c>
      <c r="AB565" s="19">
        <f>IF(OR($Z565="",$Z565=6),"",WORKDAY($AA565,CHOOSE($Z565,3,3,2,2,3),Holidays))</f>
        <v/>
      </c>
      <c r="AC565" s="17">
        <f>IF(OR($Z565="",$Z565=6),"",CHOOSE($Z565,"1st Email Follow-up","2nd Email Follow-up","Escalate Local Office","Escalate to CBE","Escalate to Roxanne"))</f>
        <v/>
      </c>
    </row>
    <row r="566" spans="13:29">
      <c r="M566" s="14"/>
      <c r="T566" s="16"/>
      <c r="U566" s="17">
        <f>IF(AND(COUNTA($A566:$L566)=0,$N566=""),"",IF($T566="Paid","PAID",IF($T566="Closed","CLOSED",IF($Z566="","",IF($Z566=6,"ESCALATED TO ROXANNE",IF(TODAY()&gt;$AB566,"OVERDUE",IF($AB566&lt;=WORKDAY(TODAY(),1,Holidays),"DUE TOMORROW",IF($Z566=4,"ESCALATED TO LOCAL OFFICE",IF($Z566=5,"ESCALATED TO CBE",IF($AA566=TODAY(),"EMAIL SENT","MONITORING"))))))))))</f>
        <v/>
      </c>
      <c r="V566" s="17">
        <f>IF($U566="",IF(AND(COUNTA($A566:$L566)&gt;0,$N566=""),"Awaiting Collection Email time stamp.",""),IF(OR($U566="PAID",$U566="CLOSED"),IF($U566="PAID","Account paid. Action completed.","Account closed. No further action required."),CHOOSE($Z566,"Collection Email","1st Email Follow-up","2nd Email Follow-up","Escalation to Local Office","Escalation to CBE","Escalation to Roxanne")&amp;" sent "&amp;TEXT($AA566,"dd-mmm")&amp;". "&amp;IF($Z566=6,"Final escalation completed.",IF($U566="OVERDUE","Next: "&amp;$AC566&amp;" was due "&amp;TEXT($AB566,"dd-mmm")&amp;" - "&amp;(NETWORKDAYS($AB566,TODAY(),Holidays)-1)&amp;" business day(s) late. Send now.",IF($U566="DUE TOMORROW","Next: "&amp;$AC566&amp;IF($AB566&lt;=TODAY()," is due TODAY ("," is due next business day (")&amp;TEXT($AB566,"dd-mmm")&amp;").","Next: "&amp;$AC566&amp;" due "&amp;TEXT($AB566,"dd-mmm")&amp;" ("&amp;(NETWORKDAYS(TODAY(),$AB566,Holidays)-1)&amp;" business day(s) left).")))))</f>
        <v/>
      </c>
      <c r="W566" s="17">
        <f>IF($Z566="","",CHOOSE($Z566,"Collection Email","1st Follow-up","2nd Follow-up","Local Office","CBE","Roxanne")&amp;IF($Z566=6," - Final"," - Day "&amp;MAX(0,NETWORKDAYS($AA566,TODAY(),Holidays)-1)&amp;" of "&amp;CHOOSE($Z566,3,3,2,2,3))&amp;" | Total Day "&amp;MAX(0,NETWORKDAYS($N566,TODAY(),Holidays)-1))</f>
        <v/>
      </c>
      <c r="X566" s="18"/>
      <c r="Y566" s="18"/>
      <c r="Z566" s="17">
        <f>IF($N566="","",COUNT($N566:$S566))</f>
        <v/>
      </c>
      <c r="AA566" s="19">
        <f>IF($Z566="","",INT(INDEX($N566:$S566,$Z566)))</f>
        <v/>
      </c>
      <c r="AB566" s="19">
        <f>IF(OR($Z566="",$Z566=6),"",WORKDAY($AA566,CHOOSE($Z566,3,3,2,2,3),Holidays))</f>
        <v/>
      </c>
      <c r="AC566" s="17">
        <f>IF(OR($Z566="",$Z566=6),"",CHOOSE($Z566,"1st Email Follow-up","2nd Email Follow-up","Escalate Local Office","Escalate to CBE","Escalate to Roxanne"))</f>
        <v/>
      </c>
    </row>
    <row r="567" spans="13:29">
      <c r="M567" s="14"/>
      <c r="T567" s="16"/>
      <c r="U567" s="17">
        <f>IF(AND(COUNTA($A567:$L567)=0,$N567=""),"",IF($T567="Paid","PAID",IF($T567="Closed","CLOSED",IF($Z567="","",IF($Z567=6,"ESCALATED TO ROXANNE",IF(TODAY()&gt;$AB567,"OVERDUE",IF($AB567&lt;=WORKDAY(TODAY(),1,Holidays),"DUE TOMORROW",IF($Z567=4,"ESCALATED TO LOCAL OFFICE",IF($Z567=5,"ESCALATED TO CBE",IF($AA567=TODAY(),"EMAIL SENT","MONITORING"))))))))))</f>
        <v/>
      </c>
      <c r="V567" s="17">
        <f>IF($U567="",IF(AND(COUNTA($A567:$L567)&gt;0,$N567=""),"Awaiting Collection Email time stamp.",""),IF(OR($U567="PAID",$U567="CLOSED"),IF($U567="PAID","Account paid. Action completed.","Account closed. No further action required."),CHOOSE($Z567,"Collection Email","1st Email Follow-up","2nd Email Follow-up","Escalation to Local Office","Escalation to CBE","Escalation to Roxanne")&amp;" sent "&amp;TEXT($AA567,"dd-mmm")&amp;". "&amp;IF($Z567=6,"Final escalation completed.",IF($U567="OVERDUE","Next: "&amp;$AC567&amp;" was due "&amp;TEXT($AB567,"dd-mmm")&amp;" - "&amp;(NETWORKDAYS($AB567,TODAY(),Holidays)-1)&amp;" business day(s) late. Send now.",IF($U567="DUE TOMORROW","Next: "&amp;$AC567&amp;IF($AB567&lt;=TODAY()," is due TODAY ("," is due next business day (")&amp;TEXT($AB567,"dd-mmm")&amp;").","Next: "&amp;$AC567&amp;" due "&amp;TEXT($AB567,"dd-mmm")&amp;" ("&amp;(NETWORKDAYS(TODAY(),$AB567,Holidays)-1)&amp;" business day(s) left).")))))</f>
        <v/>
      </c>
      <c r="W567" s="17">
        <f>IF($Z567="","",CHOOSE($Z567,"Collection Email","1st Follow-up","2nd Follow-up","Local Office","CBE","Roxanne")&amp;IF($Z567=6," - Final"," - Day "&amp;MAX(0,NETWORKDAYS($AA567,TODAY(),Holidays)-1)&amp;" of "&amp;CHOOSE($Z567,3,3,2,2,3))&amp;" | Total Day "&amp;MAX(0,NETWORKDAYS($N567,TODAY(),Holidays)-1))</f>
        <v/>
      </c>
      <c r="X567" s="18"/>
      <c r="Y567" s="18"/>
      <c r="Z567" s="17">
        <f>IF($N567="","",COUNT($N567:$S567))</f>
        <v/>
      </c>
      <c r="AA567" s="19">
        <f>IF($Z567="","",INT(INDEX($N567:$S567,$Z567)))</f>
        <v/>
      </c>
      <c r="AB567" s="19">
        <f>IF(OR($Z567="",$Z567=6),"",WORKDAY($AA567,CHOOSE($Z567,3,3,2,2,3),Holidays))</f>
        <v/>
      </c>
      <c r="AC567" s="17">
        <f>IF(OR($Z567="",$Z567=6),"",CHOOSE($Z567,"1st Email Follow-up","2nd Email Follow-up","Escalate Local Office","Escalate to CBE","Escalate to Roxanne"))</f>
        <v/>
      </c>
    </row>
    <row r="568" spans="13:29">
      <c r="M568" s="14"/>
      <c r="T568" s="16"/>
      <c r="U568" s="17">
        <f>IF(AND(COUNTA($A568:$L568)=0,$N568=""),"",IF($T568="Paid","PAID",IF($T568="Closed","CLOSED",IF($Z568="","",IF($Z568=6,"ESCALATED TO ROXANNE",IF(TODAY()&gt;$AB568,"OVERDUE",IF($AB568&lt;=WORKDAY(TODAY(),1,Holidays),"DUE TOMORROW",IF($Z568=4,"ESCALATED TO LOCAL OFFICE",IF($Z568=5,"ESCALATED TO CBE",IF($AA568=TODAY(),"EMAIL SENT","MONITORING"))))))))))</f>
        <v/>
      </c>
      <c r="V568" s="17">
        <f>IF($U568="",IF(AND(COUNTA($A568:$L568)&gt;0,$N568=""),"Awaiting Collection Email time stamp.",""),IF(OR($U568="PAID",$U568="CLOSED"),IF($U568="PAID","Account paid. Action completed.","Account closed. No further action required."),CHOOSE($Z568,"Collection Email","1st Email Follow-up","2nd Email Follow-up","Escalation to Local Office","Escalation to CBE","Escalation to Roxanne")&amp;" sent "&amp;TEXT($AA568,"dd-mmm")&amp;". "&amp;IF($Z568=6,"Final escalation completed.",IF($U568="OVERDUE","Next: "&amp;$AC568&amp;" was due "&amp;TEXT($AB568,"dd-mmm")&amp;" - "&amp;(NETWORKDAYS($AB568,TODAY(),Holidays)-1)&amp;" business day(s) late. Send now.",IF($U568="DUE TOMORROW","Next: "&amp;$AC568&amp;IF($AB568&lt;=TODAY()," is due TODAY ("," is due next business day (")&amp;TEXT($AB568,"dd-mmm")&amp;").","Next: "&amp;$AC568&amp;" due "&amp;TEXT($AB568,"dd-mmm")&amp;" ("&amp;(NETWORKDAYS(TODAY(),$AB568,Holidays)-1)&amp;" business day(s) left).")))))</f>
        <v/>
      </c>
      <c r="W568" s="17">
        <f>IF($Z568="","",CHOOSE($Z568,"Collection Email","1st Follow-up","2nd Follow-up","Local Office","CBE","Roxanne")&amp;IF($Z568=6," - Final"," - Day "&amp;MAX(0,NETWORKDAYS($AA568,TODAY(),Holidays)-1)&amp;" of "&amp;CHOOSE($Z568,3,3,2,2,3))&amp;" | Total Day "&amp;MAX(0,NETWORKDAYS($N568,TODAY(),Holidays)-1))</f>
        <v/>
      </c>
      <c r="X568" s="18"/>
      <c r="Y568" s="18"/>
      <c r="Z568" s="17">
        <f>IF($N568="","",COUNT($N568:$S568))</f>
        <v/>
      </c>
      <c r="AA568" s="19">
        <f>IF($Z568="","",INT(INDEX($N568:$S568,$Z568)))</f>
        <v/>
      </c>
      <c r="AB568" s="19">
        <f>IF(OR($Z568="",$Z568=6),"",WORKDAY($AA568,CHOOSE($Z568,3,3,2,2,3),Holidays))</f>
        <v/>
      </c>
      <c r="AC568" s="17">
        <f>IF(OR($Z568="",$Z568=6),"",CHOOSE($Z568,"1st Email Follow-up","2nd Email Follow-up","Escalate Local Office","Escalate to CBE","Escalate to Roxanne"))</f>
        <v/>
      </c>
    </row>
    <row r="569" spans="13:29">
      <c r="M569" s="14"/>
      <c r="T569" s="16"/>
      <c r="U569" s="17">
        <f>IF(AND(COUNTA($A569:$L569)=0,$N569=""),"",IF($T569="Paid","PAID",IF($T569="Closed","CLOSED",IF($Z569="","",IF($Z569=6,"ESCALATED TO ROXANNE",IF(TODAY()&gt;$AB569,"OVERDUE",IF($AB569&lt;=WORKDAY(TODAY(),1,Holidays),"DUE TOMORROW",IF($Z569=4,"ESCALATED TO LOCAL OFFICE",IF($Z569=5,"ESCALATED TO CBE",IF($AA569=TODAY(),"EMAIL SENT","MONITORING"))))))))))</f>
        <v/>
      </c>
      <c r="V569" s="17">
        <f>IF($U569="",IF(AND(COUNTA($A569:$L569)&gt;0,$N569=""),"Awaiting Collection Email time stamp.",""),IF(OR($U569="PAID",$U569="CLOSED"),IF($U569="PAID","Account paid. Action completed.","Account closed. No further action required."),CHOOSE($Z569,"Collection Email","1st Email Follow-up","2nd Email Follow-up","Escalation to Local Office","Escalation to CBE","Escalation to Roxanne")&amp;" sent "&amp;TEXT($AA569,"dd-mmm")&amp;". "&amp;IF($Z569=6,"Final escalation completed.",IF($U569="OVERDUE","Next: "&amp;$AC569&amp;" was due "&amp;TEXT($AB569,"dd-mmm")&amp;" - "&amp;(NETWORKDAYS($AB569,TODAY(),Holidays)-1)&amp;" business day(s) late. Send now.",IF($U569="DUE TOMORROW","Next: "&amp;$AC569&amp;IF($AB569&lt;=TODAY()," is due TODAY ("," is due next business day (")&amp;TEXT($AB569,"dd-mmm")&amp;").","Next: "&amp;$AC569&amp;" due "&amp;TEXT($AB569,"dd-mmm")&amp;" ("&amp;(NETWORKDAYS(TODAY(),$AB569,Holidays)-1)&amp;" business day(s) left).")))))</f>
        <v/>
      </c>
      <c r="W569" s="17">
        <f>IF($Z569="","",CHOOSE($Z569,"Collection Email","1st Follow-up","2nd Follow-up","Local Office","CBE","Roxanne")&amp;IF($Z569=6," - Final"," - Day "&amp;MAX(0,NETWORKDAYS($AA569,TODAY(),Holidays)-1)&amp;" of "&amp;CHOOSE($Z569,3,3,2,2,3))&amp;" | Total Day "&amp;MAX(0,NETWORKDAYS($N569,TODAY(),Holidays)-1))</f>
        <v/>
      </c>
      <c r="X569" s="18"/>
      <c r="Y569" s="18"/>
      <c r="Z569" s="17">
        <f>IF($N569="","",COUNT($N569:$S569))</f>
        <v/>
      </c>
      <c r="AA569" s="19">
        <f>IF($Z569="","",INT(INDEX($N569:$S569,$Z569)))</f>
        <v/>
      </c>
      <c r="AB569" s="19">
        <f>IF(OR($Z569="",$Z569=6),"",WORKDAY($AA569,CHOOSE($Z569,3,3,2,2,3),Holidays))</f>
        <v/>
      </c>
      <c r="AC569" s="17">
        <f>IF(OR($Z569="",$Z569=6),"",CHOOSE($Z569,"1st Email Follow-up","2nd Email Follow-up","Escalate Local Office","Escalate to CBE","Escalate to Roxanne"))</f>
        <v/>
      </c>
    </row>
    <row r="570" spans="13:29">
      <c r="M570" s="14"/>
      <c r="T570" s="16"/>
      <c r="U570" s="17">
        <f>IF(AND(COUNTA($A570:$L570)=0,$N570=""),"",IF($T570="Paid","PAID",IF($T570="Closed","CLOSED",IF($Z570="","",IF($Z570=6,"ESCALATED TO ROXANNE",IF(TODAY()&gt;$AB570,"OVERDUE",IF($AB570&lt;=WORKDAY(TODAY(),1,Holidays),"DUE TOMORROW",IF($Z570=4,"ESCALATED TO LOCAL OFFICE",IF($Z570=5,"ESCALATED TO CBE",IF($AA570=TODAY(),"EMAIL SENT","MONITORING"))))))))))</f>
        <v/>
      </c>
      <c r="V570" s="17">
        <f>IF($U570="",IF(AND(COUNTA($A570:$L570)&gt;0,$N570=""),"Awaiting Collection Email time stamp.",""),IF(OR($U570="PAID",$U570="CLOSED"),IF($U570="PAID","Account paid. Action completed.","Account closed. No further action required."),CHOOSE($Z570,"Collection Email","1st Email Follow-up","2nd Email Follow-up","Escalation to Local Office","Escalation to CBE","Escalation to Roxanne")&amp;" sent "&amp;TEXT($AA570,"dd-mmm")&amp;". "&amp;IF($Z570=6,"Final escalation completed.",IF($U570="OVERDUE","Next: "&amp;$AC570&amp;" was due "&amp;TEXT($AB570,"dd-mmm")&amp;" - "&amp;(NETWORKDAYS($AB570,TODAY(),Holidays)-1)&amp;" business day(s) late. Send now.",IF($U570="DUE TOMORROW","Next: "&amp;$AC570&amp;IF($AB570&lt;=TODAY()," is due TODAY ("," is due next business day (")&amp;TEXT($AB570,"dd-mmm")&amp;").","Next: "&amp;$AC570&amp;" due "&amp;TEXT($AB570,"dd-mmm")&amp;" ("&amp;(NETWORKDAYS(TODAY(),$AB570,Holidays)-1)&amp;" business day(s) left).")))))</f>
        <v/>
      </c>
      <c r="W570" s="17">
        <f>IF($Z570="","",CHOOSE($Z570,"Collection Email","1st Follow-up","2nd Follow-up","Local Office","CBE","Roxanne")&amp;IF($Z570=6," - Final"," - Day "&amp;MAX(0,NETWORKDAYS($AA570,TODAY(),Holidays)-1)&amp;" of "&amp;CHOOSE($Z570,3,3,2,2,3))&amp;" | Total Day "&amp;MAX(0,NETWORKDAYS($N570,TODAY(),Holidays)-1))</f>
        <v/>
      </c>
      <c r="X570" s="18"/>
      <c r="Y570" s="18"/>
      <c r="Z570" s="17">
        <f>IF($N570="","",COUNT($N570:$S570))</f>
        <v/>
      </c>
      <c r="AA570" s="19">
        <f>IF($Z570="","",INT(INDEX($N570:$S570,$Z570)))</f>
        <v/>
      </c>
      <c r="AB570" s="19">
        <f>IF(OR($Z570="",$Z570=6),"",WORKDAY($AA570,CHOOSE($Z570,3,3,2,2,3),Holidays))</f>
        <v/>
      </c>
      <c r="AC570" s="17">
        <f>IF(OR($Z570="",$Z570=6),"",CHOOSE($Z570,"1st Email Follow-up","2nd Email Follow-up","Escalate Local Office","Escalate to CBE","Escalate to Roxanne"))</f>
        <v/>
      </c>
    </row>
    <row r="571" spans="13:29">
      <c r="M571" s="14"/>
      <c r="T571" s="16"/>
      <c r="U571" s="17">
        <f>IF(AND(COUNTA($A571:$L571)=0,$N571=""),"",IF($T571="Paid","PAID",IF($T571="Closed","CLOSED",IF($Z571="","",IF($Z571=6,"ESCALATED TO ROXANNE",IF(TODAY()&gt;$AB571,"OVERDUE",IF($AB571&lt;=WORKDAY(TODAY(),1,Holidays),"DUE TOMORROW",IF($Z571=4,"ESCALATED TO LOCAL OFFICE",IF($Z571=5,"ESCALATED TO CBE",IF($AA571=TODAY(),"EMAIL SENT","MONITORING"))))))))))</f>
        <v/>
      </c>
      <c r="V571" s="17">
        <f>IF($U571="",IF(AND(COUNTA($A571:$L571)&gt;0,$N571=""),"Awaiting Collection Email time stamp.",""),IF(OR($U571="PAID",$U571="CLOSED"),IF($U571="PAID","Account paid. Action completed.","Account closed. No further action required."),CHOOSE($Z571,"Collection Email","1st Email Follow-up","2nd Email Follow-up","Escalation to Local Office","Escalation to CBE","Escalation to Roxanne")&amp;" sent "&amp;TEXT($AA571,"dd-mmm")&amp;". "&amp;IF($Z571=6,"Final escalation completed.",IF($U571="OVERDUE","Next: "&amp;$AC571&amp;" was due "&amp;TEXT($AB571,"dd-mmm")&amp;" - "&amp;(NETWORKDAYS($AB571,TODAY(),Holidays)-1)&amp;" business day(s) late. Send now.",IF($U571="DUE TOMORROW","Next: "&amp;$AC571&amp;IF($AB571&lt;=TODAY()," is due TODAY ("," is due next business day (")&amp;TEXT($AB571,"dd-mmm")&amp;").","Next: "&amp;$AC571&amp;" due "&amp;TEXT($AB571,"dd-mmm")&amp;" ("&amp;(NETWORKDAYS(TODAY(),$AB571,Holidays)-1)&amp;" business day(s) left).")))))</f>
        <v/>
      </c>
      <c r="W571" s="17">
        <f>IF($Z571="","",CHOOSE($Z571,"Collection Email","1st Follow-up","2nd Follow-up","Local Office","CBE","Roxanne")&amp;IF($Z571=6," - Final"," - Day "&amp;MAX(0,NETWORKDAYS($AA571,TODAY(),Holidays)-1)&amp;" of "&amp;CHOOSE($Z571,3,3,2,2,3))&amp;" | Total Day "&amp;MAX(0,NETWORKDAYS($N571,TODAY(),Holidays)-1))</f>
        <v/>
      </c>
      <c r="X571" s="18"/>
      <c r="Y571" s="18"/>
      <c r="Z571" s="17">
        <f>IF($N571="","",COUNT($N571:$S571))</f>
        <v/>
      </c>
      <c r="AA571" s="19">
        <f>IF($Z571="","",INT(INDEX($N571:$S571,$Z571)))</f>
        <v/>
      </c>
      <c r="AB571" s="19">
        <f>IF(OR($Z571="",$Z571=6),"",WORKDAY($AA571,CHOOSE($Z571,3,3,2,2,3),Holidays))</f>
        <v/>
      </c>
      <c r="AC571" s="17">
        <f>IF(OR($Z571="",$Z571=6),"",CHOOSE($Z571,"1st Email Follow-up","2nd Email Follow-up","Escalate Local Office","Escalate to CBE","Escalate to Roxanne"))</f>
        <v/>
      </c>
    </row>
    <row r="572" spans="13:29">
      <c r="M572" s="14"/>
      <c r="T572" s="16"/>
      <c r="U572" s="17">
        <f>IF(AND(COUNTA($A572:$L572)=0,$N572=""),"",IF($T572="Paid","PAID",IF($T572="Closed","CLOSED",IF($Z572="","",IF($Z572=6,"ESCALATED TO ROXANNE",IF(TODAY()&gt;$AB572,"OVERDUE",IF($AB572&lt;=WORKDAY(TODAY(),1,Holidays),"DUE TOMORROW",IF($Z572=4,"ESCALATED TO LOCAL OFFICE",IF($Z572=5,"ESCALATED TO CBE",IF($AA572=TODAY(),"EMAIL SENT","MONITORING"))))))))))</f>
        <v/>
      </c>
      <c r="V572" s="17">
        <f>IF($U572="",IF(AND(COUNTA($A572:$L572)&gt;0,$N572=""),"Awaiting Collection Email time stamp.",""),IF(OR($U572="PAID",$U572="CLOSED"),IF($U572="PAID","Account paid. Action completed.","Account closed. No further action required."),CHOOSE($Z572,"Collection Email","1st Email Follow-up","2nd Email Follow-up","Escalation to Local Office","Escalation to CBE","Escalation to Roxanne")&amp;" sent "&amp;TEXT($AA572,"dd-mmm")&amp;". "&amp;IF($Z572=6,"Final escalation completed.",IF($U572="OVERDUE","Next: "&amp;$AC572&amp;" was due "&amp;TEXT($AB572,"dd-mmm")&amp;" - "&amp;(NETWORKDAYS($AB572,TODAY(),Holidays)-1)&amp;" business day(s) late. Send now.",IF($U572="DUE TOMORROW","Next: "&amp;$AC572&amp;IF($AB572&lt;=TODAY()," is due TODAY ("," is due next business day (")&amp;TEXT($AB572,"dd-mmm")&amp;").","Next: "&amp;$AC572&amp;" due "&amp;TEXT($AB572,"dd-mmm")&amp;" ("&amp;(NETWORKDAYS(TODAY(),$AB572,Holidays)-1)&amp;" business day(s) left).")))))</f>
        <v/>
      </c>
      <c r="W572" s="17">
        <f>IF($Z572="","",CHOOSE($Z572,"Collection Email","1st Follow-up","2nd Follow-up","Local Office","CBE","Roxanne")&amp;IF($Z572=6," - Final"," - Day "&amp;MAX(0,NETWORKDAYS($AA572,TODAY(),Holidays)-1)&amp;" of "&amp;CHOOSE($Z572,3,3,2,2,3))&amp;" | Total Day "&amp;MAX(0,NETWORKDAYS($N572,TODAY(),Holidays)-1))</f>
        <v/>
      </c>
      <c r="X572" s="18"/>
      <c r="Y572" s="18"/>
      <c r="Z572" s="17">
        <f>IF($N572="","",COUNT($N572:$S572))</f>
        <v/>
      </c>
      <c r="AA572" s="19">
        <f>IF($Z572="","",INT(INDEX($N572:$S572,$Z572)))</f>
        <v/>
      </c>
      <c r="AB572" s="19">
        <f>IF(OR($Z572="",$Z572=6),"",WORKDAY($AA572,CHOOSE($Z572,3,3,2,2,3),Holidays))</f>
        <v/>
      </c>
      <c r="AC572" s="17">
        <f>IF(OR($Z572="",$Z572=6),"",CHOOSE($Z572,"1st Email Follow-up","2nd Email Follow-up","Escalate Local Office","Escalate to CBE","Escalate to Roxanne"))</f>
        <v/>
      </c>
    </row>
    <row r="573" spans="13:29">
      <c r="M573" s="14"/>
      <c r="T573" s="16"/>
      <c r="U573" s="17">
        <f>IF(AND(COUNTA($A573:$L573)=0,$N573=""),"",IF($T573="Paid","PAID",IF($T573="Closed","CLOSED",IF($Z573="","",IF($Z573=6,"ESCALATED TO ROXANNE",IF(TODAY()&gt;$AB573,"OVERDUE",IF($AB573&lt;=WORKDAY(TODAY(),1,Holidays),"DUE TOMORROW",IF($Z573=4,"ESCALATED TO LOCAL OFFICE",IF($Z573=5,"ESCALATED TO CBE",IF($AA573=TODAY(),"EMAIL SENT","MONITORING"))))))))))</f>
        <v/>
      </c>
      <c r="V573" s="17">
        <f>IF($U573="",IF(AND(COUNTA($A573:$L573)&gt;0,$N573=""),"Awaiting Collection Email time stamp.",""),IF(OR($U573="PAID",$U573="CLOSED"),IF($U573="PAID","Account paid. Action completed.","Account closed. No further action required."),CHOOSE($Z573,"Collection Email","1st Email Follow-up","2nd Email Follow-up","Escalation to Local Office","Escalation to CBE","Escalation to Roxanne")&amp;" sent "&amp;TEXT($AA573,"dd-mmm")&amp;". "&amp;IF($Z573=6,"Final escalation completed.",IF($U573="OVERDUE","Next: "&amp;$AC573&amp;" was due "&amp;TEXT($AB573,"dd-mmm")&amp;" - "&amp;(NETWORKDAYS($AB573,TODAY(),Holidays)-1)&amp;" business day(s) late. Send now.",IF($U573="DUE TOMORROW","Next: "&amp;$AC573&amp;IF($AB573&lt;=TODAY()," is due TODAY ("," is due next business day (")&amp;TEXT($AB573,"dd-mmm")&amp;").","Next: "&amp;$AC573&amp;" due "&amp;TEXT($AB573,"dd-mmm")&amp;" ("&amp;(NETWORKDAYS(TODAY(),$AB573,Holidays)-1)&amp;" business day(s) left).")))))</f>
        <v/>
      </c>
      <c r="W573" s="17">
        <f>IF($Z573="","",CHOOSE($Z573,"Collection Email","1st Follow-up","2nd Follow-up","Local Office","CBE","Roxanne")&amp;IF($Z573=6," - Final"," - Day "&amp;MAX(0,NETWORKDAYS($AA573,TODAY(),Holidays)-1)&amp;" of "&amp;CHOOSE($Z573,3,3,2,2,3))&amp;" | Total Day "&amp;MAX(0,NETWORKDAYS($N573,TODAY(),Holidays)-1))</f>
        <v/>
      </c>
      <c r="X573" s="18"/>
      <c r="Y573" s="18"/>
      <c r="Z573" s="17">
        <f>IF($N573="","",COUNT($N573:$S573))</f>
        <v/>
      </c>
      <c r="AA573" s="19">
        <f>IF($Z573="","",INT(INDEX($N573:$S573,$Z573)))</f>
        <v/>
      </c>
      <c r="AB573" s="19">
        <f>IF(OR($Z573="",$Z573=6),"",WORKDAY($AA573,CHOOSE($Z573,3,3,2,2,3),Holidays))</f>
        <v/>
      </c>
      <c r="AC573" s="17">
        <f>IF(OR($Z573="",$Z573=6),"",CHOOSE($Z573,"1st Email Follow-up","2nd Email Follow-up","Escalate Local Office","Escalate to CBE","Escalate to Roxanne"))</f>
        <v/>
      </c>
    </row>
    <row r="574" spans="13:29">
      <c r="M574" s="14"/>
      <c r="T574" s="16"/>
      <c r="U574" s="17">
        <f>IF(AND(COUNTA($A574:$L574)=0,$N574=""),"",IF($T574="Paid","PAID",IF($T574="Closed","CLOSED",IF($Z574="","",IF($Z574=6,"ESCALATED TO ROXANNE",IF(TODAY()&gt;$AB574,"OVERDUE",IF($AB574&lt;=WORKDAY(TODAY(),1,Holidays),"DUE TOMORROW",IF($Z574=4,"ESCALATED TO LOCAL OFFICE",IF($Z574=5,"ESCALATED TO CBE",IF($AA574=TODAY(),"EMAIL SENT","MONITORING"))))))))))</f>
        <v/>
      </c>
      <c r="V574" s="17">
        <f>IF($U574="",IF(AND(COUNTA($A574:$L574)&gt;0,$N574=""),"Awaiting Collection Email time stamp.",""),IF(OR($U574="PAID",$U574="CLOSED"),IF($U574="PAID","Account paid. Action completed.","Account closed. No further action required."),CHOOSE($Z574,"Collection Email","1st Email Follow-up","2nd Email Follow-up","Escalation to Local Office","Escalation to CBE","Escalation to Roxanne")&amp;" sent "&amp;TEXT($AA574,"dd-mmm")&amp;". "&amp;IF($Z574=6,"Final escalation completed.",IF($U574="OVERDUE","Next: "&amp;$AC574&amp;" was due "&amp;TEXT($AB574,"dd-mmm")&amp;" - "&amp;(NETWORKDAYS($AB574,TODAY(),Holidays)-1)&amp;" business day(s) late. Send now.",IF($U574="DUE TOMORROW","Next: "&amp;$AC574&amp;IF($AB574&lt;=TODAY()," is due TODAY ("," is due next business day (")&amp;TEXT($AB574,"dd-mmm")&amp;").","Next: "&amp;$AC574&amp;" due "&amp;TEXT($AB574,"dd-mmm")&amp;" ("&amp;(NETWORKDAYS(TODAY(),$AB574,Holidays)-1)&amp;" business day(s) left).")))))</f>
        <v/>
      </c>
      <c r="W574" s="17">
        <f>IF($Z574="","",CHOOSE($Z574,"Collection Email","1st Follow-up","2nd Follow-up","Local Office","CBE","Roxanne")&amp;IF($Z574=6," - Final"," - Day "&amp;MAX(0,NETWORKDAYS($AA574,TODAY(),Holidays)-1)&amp;" of "&amp;CHOOSE($Z574,3,3,2,2,3))&amp;" | Total Day "&amp;MAX(0,NETWORKDAYS($N574,TODAY(),Holidays)-1))</f>
        <v/>
      </c>
      <c r="X574" s="18"/>
      <c r="Y574" s="18"/>
      <c r="Z574" s="17">
        <f>IF($N574="","",COUNT($N574:$S574))</f>
        <v/>
      </c>
      <c r="AA574" s="19">
        <f>IF($Z574="","",INT(INDEX($N574:$S574,$Z574)))</f>
        <v/>
      </c>
      <c r="AB574" s="19">
        <f>IF(OR($Z574="",$Z574=6),"",WORKDAY($AA574,CHOOSE($Z574,3,3,2,2,3),Holidays))</f>
        <v/>
      </c>
      <c r="AC574" s="17">
        <f>IF(OR($Z574="",$Z574=6),"",CHOOSE($Z574,"1st Email Follow-up","2nd Email Follow-up","Escalate Local Office","Escalate to CBE","Escalate to Roxanne"))</f>
        <v/>
      </c>
    </row>
    <row r="575" spans="13:29">
      <c r="M575" s="14"/>
      <c r="T575" s="16"/>
      <c r="U575" s="17">
        <f>IF(AND(COUNTA($A575:$L575)=0,$N575=""),"",IF($T575="Paid","PAID",IF($T575="Closed","CLOSED",IF($Z575="","",IF($Z575=6,"ESCALATED TO ROXANNE",IF(TODAY()&gt;$AB575,"OVERDUE",IF($AB575&lt;=WORKDAY(TODAY(),1,Holidays),"DUE TOMORROW",IF($Z575=4,"ESCALATED TO LOCAL OFFICE",IF($Z575=5,"ESCALATED TO CBE",IF($AA575=TODAY(),"EMAIL SENT","MONITORING"))))))))))</f>
        <v/>
      </c>
      <c r="V575" s="17">
        <f>IF($U575="",IF(AND(COUNTA($A575:$L575)&gt;0,$N575=""),"Awaiting Collection Email time stamp.",""),IF(OR($U575="PAID",$U575="CLOSED"),IF($U575="PAID","Account paid. Action completed.","Account closed. No further action required."),CHOOSE($Z575,"Collection Email","1st Email Follow-up","2nd Email Follow-up","Escalation to Local Office","Escalation to CBE","Escalation to Roxanne")&amp;" sent "&amp;TEXT($AA575,"dd-mmm")&amp;". "&amp;IF($Z575=6,"Final escalation completed.",IF($U575="OVERDUE","Next: "&amp;$AC575&amp;" was due "&amp;TEXT($AB575,"dd-mmm")&amp;" - "&amp;(NETWORKDAYS($AB575,TODAY(),Holidays)-1)&amp;" business day(s) late. Send now.",IF($U575="DUE TOMORROW","Next: "&amp;$AC575&amp;IF($AB575&lt;=TODAY()," is due TODAY ("," is due next business day (")&amp;TEXT($AB575,"dd-mmm")&amp;").","Next: "&amp;$AC575&amp;" due "&amp;TEXT($AB575,"dd-mmm")&amp;" ("&amp;(NETWORKDAYS(TODAY(),$AB575,Holidays)-1)&amp;" business day(s) left).")))))</f>
        <v/>
      </c>
      <c r="W575" s="17">
        <f>IF($Z575="","",CHOOSE($Z575,"Collection Email","1st Follow-up","2nd Follow-up","Local Office","CBE","Roxanne")&amp;IF($Z575=6," - Final"," - Day "&amp;MAX(0,NETWORKDAYS($AA575,TODAY(),Holidays)-1)&amp;" of "&amp;CHOOSE($Z575,3,3,2,2,3))&amp;" | Total Day "&amp;MAX(0,NETWORKDAYS($N575,TODAY(),Holidays)-1))</f>
        <v/>
      </c>
      <c r="X575" s="18"/>
      <c r="Y575" s="18"/>
      <c r="Z575" s="17">
        <f>IF($N575="","",COUNT($N575:$S575))</f>
        <v/>
      </c>
      <c r="AA575" s="19">
        <f>IF($Z575="","",INT(INDEX($N575:$S575,$Z575)))</f>
        <v/>
      </c>
      <c r="AB575" s="19">
        <f>IF(OR($Z575="",$Z575=6),"",WORKDAY($AA575,CHOOSE($Z575,3,3,2,2,3),Holidays))</f>
        <v/>
      </c>
      <c r="AC575" s="17">
        <f>IF(OR($Z575="",$Z575=6),"",CHOOSE($Z575,"1st Email Follow-up","2nd Email Follow-up","Escalate Local Office","Escalate to CBE","Escalate to Roxanne"))</f>
        <v/>
      </c>
    </row>
    <row r="576" spans="13:29">
      <c r="M576" s="14"/>
      <c r="T576" s="16"/>
      <c r="U576" s="17">
        <f>IF(AND(COUNTA($A576:$L576)=0,$N576=""),"",IF($T576="Paid","PAID",IF($T576="Closed","CLOSED",IF($Z576="","",IF($Z576=6,"ESCALATED TO ROXANNE",IF(TODAY()&gt;$AB576,"OVERDUE",IF($AB576&lt;=WORKDAY(TODAY(),1,Holidays),"DUE TOMORROW",IF($Z576=4,"ESCALATED TO LOCAL OFFICE",IF($Z576=5,"ESCALATED TO CBE",IF($AA576=TODAY(),"EMAIL SENT","MONITORING"))))))))))</f>
        <v/>
      </c>
      <c r="V576" s="17">
        <f>IF($U576="",IF(AND(COUNTA($A576:$L576)&gt;0,$N576=""),"Awaiting Collection Email time stamp.",""),IF(OR($U576="PAID",$U576="CLOSED"),IF($U576="PAID","Account paid. Action completed.","Account closed. No further action required."),CHOOSE($Z576,"Collection Email","1st Email Follow-up","2nd Email Follow-up","Escalation to Local Office","Escalation to CBE","Escalation to Roxanne")&amp;" sent "&amp;TEXT($AA576,"dd-mmm")&amp;". "&amp;IF($Z576=6,"Final escalation completed.",IF($U576="OVERDUE","Next: "&amp;$AC576&amp;" was due "&amp;TEXT($AB576,"dd-mmm")&amp;" - "&amp;(NETWORKDAYS($AB576,TODAY(),Holidays)-1)&amp;" business day(s) late. Send now.",IF($U576="DUE TOMORROW","Next: "&amp;$AC576&amp;IF($AB576&lt;=TODAY()," is due TODAY ("," is due next business day (")&amp;TEXT($AB576,"dd-mmm")&amp;").","Next: "&amp;$AC576&amp;" due "&amp;TEXT($AB576,"dd-mmm")&amp;" ("&amp;(NETWORKDAYS(TODAY(),$AB576,Holidays)-1)&amp;" business day(s) left).")))))</f>
        <v/>
      </c>
      <c r="W576" s="17">
        <f>IF($Z576="","",CHOOSE($Z576,"Collection Email","1st Follow-up","2nd Follow-up","Local Office","CBE","Roxanne")&amp;IF($Z576=6," - Final"," - Day "&amp;MAX(0,NETWORKDAYS($AA576,TODAY(),Holidays)-1)&amp;" of "&amp;CHOOSE($Z576,3,3,2,2,3))&amp;" | Total Day "&amp;MAX(0,NETWORKDAYS($N576,TODAY(),Holidays)-1))</f>
        <v/>
      </c>
      <c r="X576" s="18"/>
      <c r="Y576" s="18"/>
      <c r="Z576" s="17">
        <f>IF($N576="","",COUNT($N576:$S576))</f>
        <v/>
      </c>
      <c r="AA576" s="19">
        <f>IF($Z576="","",INT(INDEX($N576:$S576,$Z576)))</f>
        <v/>
      </c>
      <c r="AB576" s="19">
        <f>IF(OR($Z576="",$Z576=6),"",WORKDAY($AA576,CHOOSE($Z576,3,3,2,2,3),Holidays))</f>
        <v/>
      </c>
      <c r="AC576" s="17">
        <f>IF(OR($Z576="",$Z576=6),"",CHOOSE($Z576,"1st Email Follow-up","2nd Email Follow-up","Escalate Local Office","Escalate to CBE","Escalate to Roxanne"))</f>
        <v/>
      </c>
    </row>
    <row r="577" spans="13:29">
      <c r="M577" s="14"/>
      <c r="T577" s="16"/>
      <c r="U577" s="17">
        <f>IF(AND(COUNTA($A577:$L577)=0,$N577=""),"",IF($T577="Paid","PAID",IF($T577="Closed","CLOSED",IF($Z577="","",IF($Z577=6,"ESCALATED TO ROXANNE",IF(TODAY()&gt;$AB577,"OVERDUE",IF($AB577&lt;=WORKDAY(TODAY(),1,Holidays),"DUE TOMORROW",IF($Z577=4,"ESCALATED TO LOCAL OFFICE",IF($Z577=5,"ESCALATED TO CBE",IF($AA577=TODAY(),"EMAIL SENT","MONITORING"))))))))))</f>
        <v/>
      </c>
      <c r="V577" s="17">
        <f>IF($U577="",IF(AND(COUNTA($A577:$L577)&gt;0,$N577=""),"Awaiting Collection Email time stamp.",""),IF(OR($U577="PAID",$U577="CLOSED"),IF($U577="PAID","Account paid. Action completed.","Account closed. No further action required."),CHOOSE($Z577,"Collection Email","1st Email Follow-up","2nd Email Follow-up","Escalation to Local Office","Escalation to CBE","Escalation to Roxanne")&amp;" sent "&amp;TEXT($AA577,"dd-mmm")&amp;". "&amp;IF($Z577=6,"Final escalation completed.",IF($U577="OVERDUE","Next: "&amp;$AC577&amp;" was due "&amp;TEXT($AB577,"dd-mmm")&amp;" - "&amp;(NETWORKDAYS($AB577,TODAY(),Holidays)-1)&amp;" business day(s) late. Send now.",IF($U577="DUE TOMORROW","Next: "&amp;$AC577&amp;IF($AB577&lt;=TODAY()," is due TODAY ("," is due next business day (")&amp;TEXT($AB577,"dd-mmm")&amp;").","Next: "&amp;$AC577&amp;" due "&amp;TEXT($AB577,"dd-mmm")&amp;" ("&amp;(NETWORKDAYS(TODAY(),$AB577,Holidays)-1)&amp;" business day(s) left).")))))</f>
        <v/>
      </c>
      <c r="W577" s="17">
        <f>IF($Z577="","",CHOOSE($Z577,"Collection Email","1st Follow-up","2nd Follow-up","Local Office","CBE","Roxanne")&amp;IF($Z577=6," - Final"," - Day "&amp;MAX(0,NETWORKDAYS($AA577,TODAY(),Holidays)-1)&amp;" of "&amp;CHOOSE($Z577,3,3,2,2,3))&amp;" | Total Day "&amp;MAX(0,NETWORKDAYS($N577,TODAY(),Holidays)-1))</f>
        <v/>
      </c>
      <c r="X577" s="18"/>
      <c r="Y577" s="18"/>
      <c r="Z577" s="17">
        <f>IF($N577="","",COUNT($N577:$S577))</f>
        <v/>
      </c>
      <c r="AA577" s="19">
        <f>IF($Z577="","",INT(INDEX($N577:$S577,$Z577)))</f>
        <v/>
      </c>
      <c r="AB577" s="19">
        <f>IF(OR($Z577="",$Z577=6),"",WORKDAY($AA577,CHOOSE($Z577,3,3,2,2,3),Holidays))</f>
        <v/>
      </c>
      <c r="AC577" s="17">
        <f>IF(OR($Z577="",$Z577=6),"",CHOOSE($Z577,"1st Email Follow-up","2nd Email Follow-up","Escalate Local Office","Escalate to CBE","Escalate to Roxanne"))</f>
        <v/>
      </c>
    </row>
    <row r="578" spans="13:29">
      <c r="M578" s="14"/>
      <c r="T578" s="16"/>
      <c r="U578" s="17">
        <f>IF(AND(COUNTA($A578:$L578)=0,$N578=""),"",IF($T578="Paid","PAID",IF($T578="Closed","CLOSED",IF($Z578="","",IF($Z578=6,"ESCALATED TO ROXANNE",IF(TODAY()&gt;$AB578,"OVERDUE",IF($AB578&lt;=WORKDAY(TODAY(),1,Holidays),"DUE TOMORROW",IF($Z578=4,"ESCALATED TO LOCAL OFFICE",IF($Z578=5,"ESCALATED TO CBE",IF($AA578=TODAY(),"EMAIL SENT","MONITORING"))))))))))</f>
        <v/>
      </c>
      <c r="V578" s="17">
        <f>IF($U578="",IF(AND(COUNTA($A578:$L578)&gt;0,$N578=""),"Awaiting Collection Email time stamp.",""),IF(OR($U578="PAID",$U578="CLOSED"),IF($U578="PAID","Account paid. Action completed.","Account closed. No further action required."),CHOOSE($Z578,"Collection Email","1st Email Follow-up","2nd Email Follow-up","Escalation to Local Office","Escalation to CBE","Escalation to Roxanne")&amp;" sent "&amp;TEXT($AA578,"dd-mmm")&amp;". "&amp;IF($Z578=6,"Final escalation completed.",IF($U578="OVERDUE","Next: "&amp;$AC578&amp;" was due "&amp;TEXT($AB578,"dd-mmm")&amp;" - "&amp;(NETWORKDAYS($AB578,TODAY(),Holidays)-1)&amp;" business day(s) late. Send now.",IF($U578="DUE TOMORROW","Next: "&amp;$AC578&amp;IF($AB578&lt;=TODAY()," is due TODAY ("," is due next business day (")&amp;TEXT($AB578,"dd-mmm")&amp;").","Next: "&amp;$AC578&amp;" due "&amp;TEXT($AB578,"dd-mmm")&amp;" ("&amp;(NETWORKDAYS(TODAY(),$AB578,Holidays)-1)&amp;" business day(s) left).")))))</f>
        <v/>
      </c>
      <c r="W578" s="17">
        <f>IF($Z578="","",CHOOSE($Z578,"Collection Email","1st Follow-up","2nd Follow-up","Local Office","CBE","Roxanne")&amp;IF($Z578=6," - Final"," - Day "&amp;MAX(0,NETWORKDAYS($AA578,TODAY(),Holidays)-1)&amp;" of "&amp;CHOOSE($Z578,3,3,2,2,3))&amp;" | Total Day "&amp;MAX(0,NETWORKDAYS($N578,TODAY(),Holidays)-1))</f>
        <v/>
      </c>
      <c r="X578" s="18"/>
      <c r="Y578" s="18"/>
      <c r="Z578" s="17">
        <f>IF($N578="","",COUNT($N578:$S578))</f>
        <v/>
      </c>
      <c r="AA578" s="19">
        <f>IF($Z578="","",INT(INDEX($N578:$S578,$Z578)))</f>
        <v/>
      </c>
      <c r="AB578" s="19">
        <f>IF(OR($Z578="",$Z578=6),"",WORKDAY($AA578,CHOOSE($Z578,3,3,2,2,3),Holidays))</f>
        <v/>
      </c>
      <c r="AC578" s="17">
        <f>IF(OR($Z578="",$Z578=6),"",CHOOSE($Z578,"1st Email Follow-up","2nd Email Follow-up","Escalate Local Office","Escalate to CBE","Escalate to Roxanne"))</f>
        <v/>
      </c>
    </row>
    <row r="579" spans="13:29">
      <c r="M579" s="14"/>
      <c r="T579" s="16"/>
      <c r="U579" s="17">
        <f>IF(AND(COUNTA($A579:$L579)=0,$N579=""),"",IF($T579="Paid","PAID",IF($T579="Closed","CLOSED",IF($Z579="","",IF($Z579=6,"ESCALATED TO ROXANNE",IF(TODAY()&gt;$AB579,"OVERDUE",IF($AB579&lt;=WORKDAY(TODAY(),1,Holidays),"DUE TOMORROW",IF($Z579=4,"ESCALATED TO LOCAL OFFICE",IF($Z579=5,"ESCALATED TO CBE",IF($AA579=TODAY(),"EMAIL SENT","MONITORING"))))))))))</f>
        <v/>
      </c>
      <c r="V579" s="17">
        <f>IF($U579="",IF(AND(COUNTA($A579:$L579)&gt;0,$N579=""),"Awaiting Collection Email time stamp.",""),IF(OR($U579="PAID",$U579="CLOSED"),IF($U579="PAID","Account paid. Action completed.","Account closed. No further action required."),CHOOSE($Z579,"Collection Email","1st Email Follow-up","2nd Email Follow-up","Escalation to Local Office","Escalation to CBE","Escalation to Roxanne")&amp;" sent "&amp;TEXT($AA579,"dd-mmm")&amp;". "&amp;IF($Z579=6,"Final escalation completed.",IF($U579="OVERDUE","Next: "&amp;$AC579&amp;" was due "&amp;TEXT($AB579,"dd-mmm")&amp;" - "&amp;(NETWORKDAYS($AB579,TODAY(),Holidays)-1)&amp;" business day(s) late. Send now.",IF($U579="DUE TOMORROW","Next: "&amp;$AC579&amp;IF($AB579&lt;=TODAY()," is due TODAY ("," is due next business day (")&amp;TEXT($AB579,"dd-mmm")&amp;").","Next: "&amp;$AC579&amp;" due "&amp;TEXT($AB579,"dd-mmm")&amp;" ("&amp;(NETWORKDAYS(TODAY(),$AB579,Holidays)-1)&amp;" business day(s) left).")))))</f>
        <v/>
      </c>
      <c r="W579" s="17">
        <f>IF($Z579="","",CHOOSE($Z579,"Collection Email","1st Follow-up","2nd Follow-up","Local Office","CBE","Roxanne")&amp;IF($Z579=6," - Final"," - Day "&amp;MAX(0,NETWORKDAYS($AA579,TODAY(),Holidays)-1)&amp;" of "&amp;CHOOSE($Z579,3,3,2,2,3))&amp;" | Total Day "&amp;MAX(0,NETWORKDAYS($N579,TODAY(),Holidays)-1))</f>
        <v/>
      </c>
      <c r="X579" s="18"/>
      <c r="Y579" s="18"/>
      <c r="Z579" s="17">
        <f>IF($N579="","",COUNT($N579:$S579))</f>
        <v/>
      </c>
      <c r="AA579" s="19">
        <f>IF($Z579="","",INT(INDEX($N579:$S579,$Z579)))</f>
        <v/>
      </c>
      <c r="AB579" s="19">
        <f>IF(OR($Z579="",$Z579=6),"",WORKDAY($AA579,CHOOSE($Z579,3,3,2,2,3),Holidays))</f>
        <v/>
      </c>
      <c r="AC579" s="17">
        <f>IF(OR($Z579="",$Z579=6),"",CHOOSE($Z579,"1st Email Follow-up","2nd Email Follow-up","Escalate Local Office","Escalate to CBE","Escalate to Roxanne"))</f>
        <v/>
      </c>
    </row>
    <row r="580" spans="13:29">
      <c r="M580" s="14"/>
      <c r="T580" s="16"/>
      <c r="U580" s="17">
        <f>IF(AND(COUNTA($A580:$L580)=0,$N580=""),"",IF($T580="Paid","PAID",IF($T580="Closed","CLOSED",IF($Z580="","",IF($Z580=6,"ESCALATED TO ROXANNE",IF(TODAY()&gt;$AB580,"OVERDUE",IF($AB580&lt;=WORKDAY(TODAY(),1,Holidays),"DUE TOMORROW",IF($Z580=4,"ESCALATED TO LOCAL OFFICE",IF($Z580=5,"ESCALATED TO CBE",IF($AA580=TODAY(),"EMAIL SENT","MONITORING"))))))))))</f>
        <v/>
      </c>
      <c r="V580" s="17">
        <f>IF($U580="",IF(AND(COUNTA($A580:$L580)&gt;0,$N580=""),"Awaiting Collection Email time stamp.",""),IF(OR($U580="PAID",$U580="CLOSED"),IF($U580="PAID","Account paid. Action completed.","Account closed. No further action required."),CHOOSE($Z580,"Collection Email","1st Email Follow-up","2nd Email Follow-up","Escalation to Local Office","Escalation to CBE","Escalation to Roxanne")&amp;" sent "&amp;TEXT($AA580,"dd-mmm")&amp;". "&amp;IF($Z580=6,"Final escalation completed.",IF($U580="OVERDUE","Next: "&amp;$AC580&amp;" was due "&amp;TEXT($AB580,"dd-mmm")&amp;" - "&amp;(NETWORKDAYS($AB580,TODAY(),Holidays)-1)&amp;" business day(s) late. Send now.",IF($U580="DUE TOMORROW","Next: "&amp;$AC580&amp;IF($AB580&lt;=TODAY()," is due TODAY ("," is due next business day (")&amp;TEXT($AB580,"dd-mmm")&amp;").","Next: "&amp;$AC580&amp;" due "&amp;TEXT($AB580,"dd-mmm")&amp;" ("&amp;(NETWORKDAYS(TODAY(),$AB580,Holidays)-1)&amp;" business day(s) left).")))))</f>
        <v/>
      </c>
      <c r="W580" s="17">
        <f>IF($Z580="","",CHOOSE($Z580,"Collection Email","1st Follow-up","2nd Follow-up","Local Office","CBE","Roxanne")&amp;IF($Z580=6," - Final"," - Day "&amp;MAX(0,NETWORKDAYS($AA580,TODAY(),Holidays)-1)&amp;" of "&amp;CHOOSE($Z580,3,3,2,2,3))&amp;" | Total Day "&amp;MAX(0,NETWORKDAYS($N580,TODAY(),Holidays)-1))</f>
        <v/>
      </c>
      <c r="X580" s="18"/>
      <c r="Y580" s="18"/>
      <c r="Z580" s="17">
        <f>IF($N580="","",COUNT($N580:$S580))</f>
        <v/>
      </c>
      <c r="AA580" s="19">
        <f>IF($Z580="","",INT(INDEX($N580:$S580,$Z580)))</f>
        <v/>
      </c>
      <c r="AB580" s="19">
        <f>IF(OR($Z580="",$Z580=6),"",WORKDAY($AA580,CHOOSE($Z580,3,3,2,2,3),Holidays))</f>
        <v/>
      </c>
      <c r="AC580" s="17">
        <f>IF(OR($Z580="",$Z580=6),"",CHOOSE($Z580,"1st Email Follow-up","2nd Email Follow-up","Escalate Local Office","Escalate to CBE","Escalate to Roxanne"))</f>
        <v/>
      </c>
    </row>
    <row r="581" spans="13:29">
      <c r="M581" s="14"/>
      <c r="T581" s="16"/>
      <c r="U581" s="17">
        <f>IF(AND(COUNTA($A581:$L581)=0,$N581=""),"",IF($T581="Paid","PAID",IF($T581="Closed","CLOSED",IF($Z581="","",IF($Z581=6,"ESCALATED TO ROXANNE",IF(TODAY()&gt;$AB581,"OVERDUE",IF($AB581&lt;=WORKDAY(TODAY(),1,Holidays),"DUE TOMORROW",IF($Z581=4,"ESCALATED TO LOCAL OFFICE",IF($Z581=5,"ESCALATED TO CBE",IF($AA581=TODAY(),"EMAIL SENT","MONITORING"))))))))))</f>
        <v/>
      </c>
      <c r="V581" s="17">
        <f>IF($U581="",IF(AND(COUNTA($A581:$L581)&gt;0,$N581=""),"Awaiting Collection Email time stamp.",""),IF(OR($U581="PAID",$U581="CLOSED"),IF($U581="PAID","Account paid. Action completed.","Account closed. No further action required."),CHOOSE($Z581,"Collection Email","1st Email Follow-up","2nd Email Follow-up","Escalation to Local Office","Escalation to CBE","Escalation to Roxanne")&amp;" sent "&amp;TEXT($AA581,"dd-mmm")&amp;". "&amp;IF($Z581=6,"Final escalation completed.",IF($U581="OVERDUE","Next: "&amp;$AC581&amp;" was due "&amp;TEXT($AB581,"dd-mmm")&amp;" - "&amp;(NETWORKDAYS($AB581,TODAY(),Holidays)-1)&amp;" business day(s) late. Send now.",IF($U581="DUE TOMORROW","Next: "&amp;$AC581&amp;IF($AB581&lt;=TODAY()," is due TODAY ("," is due next business day (")&amp;TEXT($AB581,"dd-mmm")&amp;").","Next: "&amp;$AC581&amp;" due "&amp;TEXT($AB581,"dd-mmm")&amp;" ("&amp;(NETWORKDAYS(TODAY(),$AB581,Holidays)-1)&amp;" business day(s) left).")))))</f>
        <v/>
      </c>
      <c r="W581" s="17">
        <f>IF($Z581="","",CHOOSE($Z581,"Collection Email","1st Follow-up","2nd Follow-up","Local Office","CBE","Roxanne")&amp;IF($Z581=6," - Final"," - Day "&amp;MAX(0,NETWORKDAYS($AA581,TODAY(),Holidays)-1)&amp;" of "&amp;CHOOSE($Z581,3,3,2,2,3))&amp;" | Total Day "&amp;MAX(0,NETWORKDAYS($N581,TODAY(),Holidays)-1))</f>
        <v/>
      </c>
      <c r="X581" s="18"/>
      <c r="Y581" s="18"/>
      <c r="Z581" s="17">
        <f>IF($N581="","",COUNT($N581:$S581))</f>
        <v/>
      </c>
      <c r="AA581" s="19">
        <f>IF($Z581="","",INT(INDEX($N581:$S581,$Z581)))</f>
        <v/>
      </c>
      <c r="AB581" s="19">
        <f>IF(OR($Z581="",$Z581=6),"",WORKDAY($AA581,CHOOSE($Z581,3,3,2,2,3),Holidays))</f>
        <v/>
      </c>
      <c r="AC581" s="17">
        <f>IF(OR($Z581="",$Z581=6),"",CHOOSE($Z581,"1st Email Follow-up","2nd Email Follow-up","Escalate Local Office","Escalate to CBE","Escalate to Roxanne"))</f>
        <v/>
      </c>
    </row>
    <row r="582" spans="13:29">
      <c r="M582" s="14"/>
      <c r="T582" s="16"/>
      <c r="U582" s="17">
        <f>IF(AND(COUNTA($A582:$L582)=0,$N582=""),"",IF($T582="Paid","PAID",IF($T582="Closed","CLOSED",IF($Z582="","",IF($Z582=6,"ESCALATED TO ROXANNE",IF(TODAY()&gt;$AB582,"OVERDUE",IF($AB582&lt;=WORKDAY(TODAY(),1,Holidays),"DUE TOMORROW",IF($Z582=4,"ESCALATED TO LOCAL OFFICE",IF($Z582=5,"ESCALATED TO CBE",IF($AA582=TODAY(),"EMAIL SENT","MONITORING"))))))))))</f>
        <v/>
      </c>
      <c r="V582" s="17">
        <f>IF($U582="",IF(AND(COUNTA($A582:$L582)&gt;0,$N582=""),"Awaiting Collection Email time stamp.",""),IF(OR($U582="PAID",$U582="CLOSED"),IF($U582="PAID","Account paid. Action completed.","Account closed. No further action required."),CHOOSE($Z582,"Collection Email","1st Email Follow-up","2nd Email Follow-up","Escalation to Local Office","Escalation to CBE","Escalation to Roxanne")&amp;" sent "&amp;TEXT($AA582,"dd-mmm")&amp;". "&amp;IF($Z582=6,"Final escalation completed.",IF($U582="OVERDUE","Next: "&amp;$AC582&amp;" was due "&amp;TEXT($AB582,"dd-mmm")&amp;" - "&amp;(NETWORKDAYS($AB582,TODAY(),Holidays)-1)&amp;" business day(s) late. Send now.",IF($U582="DUE TOMORROW","Next: "&amp;$AC582&amp;IF($AB582&lt;=TODAY()," is due TODAY ("," is due next business day (")&amp;TEXT($AB582,"dd-mmm")&amp;").","Next: "&amp;$AC582&amp;" due "&amp;TEXT($AB582,"dd-mmm")&amp;" ("&amp;(NETWORKDAYS(TODAY(),$AB582,Holidays)-1)&amp;" business day(s) left).")))))</f>
        <v/>
      </c>
      <c r="W582" s="17">
        <f>IF($Z582="","",CHOOSE($Z582,"Collection Email","1st Follow-up","2nd Follow-up","Local Office","CBE","Roxanne")&amp;IF($Z582=6," - Final"," - Day "&amp;MAX(0,NETWORKDAYS($AA582,TODAY(),Holidays)-1)&amp;" of "&amp;CHOOSE($Z582,3,3,2,2,3))&amp;" | Total Day "&amp;MAX(0,NETWORKDAYS($N582,TODAY(),Holidays)-1))</f>
        <v/>
      </c>
      <c r="X582" s="18"/>
      <c r="Y582" s="18"/>
      <c r="Z582" s="17">
        <f>IF($N582="","",COUNT($N582:$S582))</f>
        <v/>
      </c>
      <c r="AA582" s="19">
        <f>IF($Z582="","",INT(INDEX($N582:$S582,$Z582)))</f>
        <v/>
      </c>
      <c r="AB582" s="19">
        <f>IF(OR($Z582="",$Z582=6),"",WORKDAY($AA582,CHOOSE($Z582,3,3,2,2,3),Holidays))</f>
        <v/>
      </c>
      <c r="AC582" s="17">
        <f>IF(OR($Z582="",$Z582=6),"",CHOOSE($Z582,"1st Email Follow-up","2nd Email Follow-up","Escalate Local Office","Escalate to CBE","Escalate to Roxanne"))</f>
        <v/>
      </c>
    </row>
    <row r="583" spans="13:29">
      <c r="M583" s="14"/>
      <c r="T583" s="16"/>
      <c r="U583" s="17">
        <f>IF(AND(COUNTA($A583:$L583)=0,$N583=""),"",IF($T583="Paid","PAID",IF($T583="Closed","CLOSED",IF($Z583="","",IF($Z583=6,"ESCALATED TO ROXANNE",IF(TODAY()&gt;$AB583,"OVERDUE",IF($AB583&lt;=WORKDAY(TODAY(),1,Holidays),"DUE TOMORROW",IF($Z583=4,"ESCALATED TO LOCAL OFFICE",IF($Z583=5,"ESCALATED TO CBE",IF($AA583=TODAY(),"EMAIL SENT","MONITORING"))))))))))</f>
        <v/>
      </c>
      <c r="V583" s="17">
        <f>IF($U583="",IF(AND(COUNTA($A583:$L583)&gt;0,$N583=""),"Awaiting Collection Email time stamp.",""),IF(OR($U583="PAID",$U583="CLOSED"),IF($U583="PAID","Account paid. Action completed.","Account closed. No further action required."),CHOOSE($Z583,"Collection Email","1st Email Follow-up","2nd Email Follow-up","Escalation to Local Office","Escalation to CBE","Escalation to Roxanne")&amp;" sent "&amp;TEXT($AA583,"dd-mmm")&amp;". "&amp;IF($Z583=6,"Final escalation completed.",IF($U583="OVERDUE","Next: "&amp;$AC583&amp;" was due "&amp;TEXT($AB583,"dd-mmm")&amp;" - "&amp;(NETWORKDAYS($AB583,TODAY(),Holidays)-1)&amp;" business day(s) late. Send now.",IF($U583="DUE TOMORROW","Next: "&amp;$AC583&amp;IF($AB583&lt;=TODAY()," is due TODAY ("," is due next business day (")&amp;TEXT($AB583,"dd-mmm")&amp;").","Next: "&amp;$AC583&amp;" due "&amp;TEXT($AB583,"dd-mmm")&amp;" ("&amp;(NETWORKDAYS(TODAY(),$AB583,Holidays)-1)&amp;" business day(s) left).")))))</f>
        <v/>
      </c>
      <c r="W583" s="17">
        <f>IF($Z583="","",CHOOSE($Z583,"Collection Email","1st Follow-up","2nd Follow-up","Local Office","CBE","Roxanne")&amp;IF($Z583=6," - Final"," - Day "&amp;MAX(0,NETWORKDAYS($AA583,TODAY(),Holidays)-1)&amp;" of "&amp;CHOOSE($Z583,3,3,2,2,3))&amp;" | Total Day "&amp;MAX(0,NETWORKDAYS($N583,TODAY(),Holidays)-1))</f>
        <v/>
      </c>
      <c r="X583" s="18"/>
      <c r="Y583" s="18"/>
      <c r="Z583" s="17">
        <f>IF($N583="","",COUNT($N583:$S583))</f>
        <v/>
      </c>
      <c r="AA583" s="19">
        <f>IF($Z583="","",INT(INDEX($N583:$S583,$Z583)))</f>
        <v/>
      </c>
      <c r="AB583" s="19">
        <f>IF(OR($Z583="",$Z583=6),"",WORKDAY($AA583,CHOOSE($Z583,3,3,2,2,3),Holidays))</f>
        <v/>
      </c>
      <c r="AC583" s="17">
        <f>IF(OR($Z583="",$Z583=6),"",CHOOSE($Z583,"1st Email Follow-up","2nd Email Follow-up","Escalate Local Office","Escalate to CBE","Escalate to Roxanne"))</f>
        <v/>
      </c>
    </row>
    <row r="584" spans="13:29">
      <c r="M584" s="14"/>
      <c r="T584" s="16"/>
      <c r="U584" s="17">
        <f>IF(AND(COUNTA($A584:$L584)=0,$N584=""),"",IF($T584="Paid","PAID",IF($T584="Closed","CLOSED",IF($Z584="","",IF($Z584=6,"ESCALATED TO ROXANNE",IF(TODAY()&gt;$AB584,"OVERDUE",IF($AB584&lt;=WORKDAY(TODAY(),1,Holidays),"DUE TOMORROW",IF($Z584=4,"ESCALATED TO LOCAL OFFICE",IF($Z584=5,"ESCALATED TO CBE",IF($AA584=TODAY(),"EMAIL SENT","MONITORING"))))))))))</f>
        <v/>
      </c>
      <c r="V584" s="17">
        <f>IF($U584="",IF(AND(COUNTA($A584:$L584)&gt;0,$N584=""),"Awaiting Collection Email time stamp.",""),IF(OR($U584="PAID",$U584="CLOSED"),IF($U584="PAID","Account paid. Action completed.","Account closed. No further action required."),CHOOSE($Z584,"Collection Email","1st Email Follow-up","2nd Email Follow-up","Escalation to Local Office","Escalation to CBE","Escalation to Roxanne")&amp;" sent "&amp;TEXT($AA584,"dd-mmm")&amp;". "&amp;IF($Z584=6,"Final escalation completed.",IF($U584="OVERDUE","Next: "&amp;$AC584&amp;" was due "&amp;TEXT($AB584,"dd-mmm")&amp;" - "&amp;(NETWORKDAYS($AB584,TODAY(),Holidays)-1)&amp;" business day(s) late. Send now.",IF($U584="DUE TOMORROW","Next: "&amp;$AC584&amp;IF($AB584&lt;=TODAY()," is due TODAY ("," is due next business day (")&amp;TEXT($AB584,"dd-mmm")&amp;").","Next: "&amp;$AC584&amp;" due "&amp;TEXT($AB584,"dd-mmm")&amp;" ("&amp;(NETWORKDAYS(TODAY(),$AB584,Holidays)-1)&amp;" business day(s) left).")))))</f>
        <v/>
      </c>
      <c r="W584" s="17">
        <f>IF($Z584="","",CHOOSE($Z584,"Collection Email","1st Follow-up","2nd Follow-up","Local Office","CBE","Roxanne")&amp;IF($Z584=6," - Final"," - Day "&amp;MAX(0,NETWORKDAYS($AA584,TODAY(),Holidays)-1)&amp;" of "&amp;CHOOSE($Z584,3,3,2,2,3))&amp;" | Total Day "&amp;MAX(0,NETWORKDAYS($N584,TODAY(),Holidays)-1))</f>
        <v/>
      </c>
      <c r="X584" s="18"/>
      <c r="Y584" s="18"/>
      <c r="Z584" s="17">
        <f>IF($N584="","",COUNT($N584:$S584))</f>
        <v/>
      </c>
      <c r="AA584" s="19">
        <f>IF($Z584="","",INT(INDEX($N584:$S584,$Z584)))</f>
        <v/>
      </c>
      <c r="AB584" s="19">
        <f>IF(OR($Z584="",$Z584=6),"",WORKDAY($AA584,CHOOSE($Z584,3,3,2,2,3),Holidays))</f>
        <v/>
      </c>
      <c r="AC584" s="17">
        <f>IF(OR($Z584="",$Z584=6),"",CHOOSE($Z584,"1st Email Follow-up","2nd Email Follow-up","Escalate Local Office","Escalate to CBE","Escalate to Roxanne"))</f>
        <v/>
      </c>
    </row>
    <row r="585" spans="13:29">
      <c r="M585" s="14"/>
      <c r="T585" s="16"/>
      <c r="U585" s="17">
        <f>IF(AND(COUNTA($A585:$L585)=0,$N585=""),"",IF($T585="Paid","PAID",IF($T585="Closed","CLOSED",IF($Z585="","",IF($Z585=6,"ESCALATED TO ROXANNE",IF(TODAY()&gt;$AB585,"OVERDUE",IF($AB585&lt;=WORKDAY(TODAY(),1,Holidays),"DUE TOMORROW",IF($Z585=4,"ESCALATED TO LOCAL OFFICE",IF($Z585=5,"ESCALATED TO CBE",IF($AA585=TODAY(),"EMAIL SENT","MONITORING"))))))))))</f>
        <v/>
      </c>
      <c r="V585" s="17">
        <f>IF($U585="",IF(AND(COUNTA($A585:$L585)&gt;0,$N585=""),"Awaiting Collection Email time stamp.",""),IF(OR($U585="PAID",$U585="CLOSED"),IF($U585="PAID","Account paid. Action completed.","Account closed. No further action required."),CHOOSE($Z585,"Collection Email","1st Email Follow-up","2nd Email Follow-up","Escalation to Local Office","Escalation to CBE","Escalation to Roxanne")&amp;" sent "&amp;TEXT($AA585,"dd-mmm")&amp;". "&amp;IF($Z585=6,"Final escalation completed.",IF($U585="OVERDUE","Next: "&amp;$AC585&amp;" was due "&amp;TEXT($AB585,"dd-mmm")&amp;" - "&amp;(NETWORKDAYS($AB585,TODAY(),Holidays)-1)&amp;" business day(s) late. Send now.",IF($U585="DUE TOMORROW","Next: "&amp;$AC585&amp;IF($AB585&lt;=TODAY()," is due TODAY ("," is due next business day (")&amp;TEXT($AB585,"dd-mmm")&amp;").","Next: "&amp;$AC585&amp;" due "&amp;TEXT($AB585,"dd-mmm")&amp;" ("&amp;(NETWORKDAYS(TODAY(),$AB585,Holidays)-1)&amp;" business day(s) left).")))))</f>
        <v/>
      </c>
      <c r="W585" s="17">
        <f>IF($Z585="","",CHOOSE($Z585,"Collection Email","1st Follow-up","2nd Follow-up","Local Office","CBE","Roxanne")&amp;IF($Z585=6," - Final"," - Day "&amp;MAX(0,NETWORKDAYS($AA585,TODAY(),Holidays)-1)&amp;" of "&amp;CHOOSE($Z585,3,3,2,2,3))&amp;" | Total Day "&amp;MAX(0,NETWORKDAYS($N585,TODAY(),Holidays)-1))</f>
        <v/>
      </c>
      <c r="X585" s="18"/>
      <c r="Y585" s="18"/>
      <c r="Z585" s="17">
        <f>IF($N585="","",COUNT($N585:$S585))</f>
        <v/>
      </c>
      <c r="AA585" s="19">
        <f>IF($Z585="","",INT(INDEX($N585:$S585,$Z585)))</f>
        <v/>
      </c>
      <c r="AB585" s="19">
        <f>IF(OR($Z585="",$Z585=6),"",WORKDAY($AA585,CHOOSE($Z585,3,3,2,2,3),Holidays))</f>
        <v/>
      </c>
      <c r="AC585" s="17">
        <f>IF(OR($Z585="",$Z585=6),"",CHOOSE($Z585,"1st Email Follow-up","2nd Email Follow-up","Escalate Local Office","Escalate to CBE","Escalate to Roxanne"))</f>
        <v/>
      </c>
    </row>
    <row r="586" spans="13:29">
      <c r="M586" s="14"/>
      <c r="T586" s="16"/>
      <c r="U586" s="17">
        <f>IF(AND(COUNTA($A586:$L586)=0,$N586=""),"",IF($T586="Paid","PAID",IF($T586="Closed","CLOSED",IF($Z586="","",IF($Z586=6,"ESCALATED TO ROXANNE",IF(TODAY()&gt;$AB586,"OVERDUE",IF($AB586&lt;=WORKDAY(TODAY(),1,Holidays),"DUE TOMORROW",IF($Z586=4,"ESCALATED TO LOCAL OFFICE",IF($Z586=5,"ESCALATED TO CBE",IF($AA586=TODAY(),"EMAIL SENT","MONITORING"))))))))))</f>
        <v/>
      </c>
      <c r="V586" s="17">
        <f>IF($U586="",IF(AND(COUNTA($A586:$L586)&gt;0,$N586=""),"Awaiting Collection Email time stamp.",""),IF(OR($U586="PAID",$U586="CLOSED"),IF($U586="PAID","Account paid. Action completed.","Account closed. No further action required."),CHOOSE($Z586,"Collection Email","1st Email Follow-up","2nd Email Follow-up","Escalation to Local Office","Escalation to CBE","Escalation to Roxanne")&amp;" sent "&amp;TEXT($AA586,"dd-mmm")&amp;". "&amp;IF($Z586=6,"Final escalation completed.",IF($U586="OVERDUE","Next: "&amp;$AC586&amp;" was due "&amp;TEXT($AB586,"dd-mmm")&amp;" - "&amp;(NETWORKDAYS($AB586,TODAY(),Holidays)-1)&amp;" business day(s) late. Send now.",IF($U586="DUE TOMORROW","Next: "&amp;$AC586&amp;IF($AB586&lt;=TODAY()," is due TODAY ("," is due next business day (")&amp;TEXT($AB586,"dd-mmm")&amp;").","Next: "&amp;$AC586&amp;" due "&amp;TEXT($AB586,"dd-mmm")&amp;" ("&amp;(NETWORKDAYS(TODAY(),$AB586,Holidays)-1)&amp;" business day(s) left).")))))</f>
        <v/>
      </c>
      <c r="W586" s="17">
        <f>IF($Z586="","",CHOOSE($Z586,"Collection Email","1st Follow-up","2nd Follow-up","Local Office","CBE","Roxanne")&amp;IF($Z586=6," - Final"," - Day "&amp;MAX(0,NETWORKDAYS($AA586,TODAY(),Holidays)-1)&amp;" of "&amp;CHOOSE($Z586,3,3,2,2,3))&amp;" | Total Day "&amp;MAX(0,NETWORKDAYS($N586,TODAY(),Holidays)-1))</f>
        <v/>
      </c>
      <c r="X586" s="18"/>
      <c r="Y586" s="18"/>
      <c r="Z586" s="17">
        <f>IF($N586="","",COUNT($N586:$S586))</f>
        <v/>
      </c>
      <c r="AA586" s="19">
        <f>IF($Z586="","",INT(INDEX($N586:$S586,$Z586)))</f>
        <v/>
      </c>
      <c r="AB586" s="19">
        <f>IF(OR($Z586="",$Z586=6),"",WORKDAY($AA586,CHOOSE($Z586,3,3,2,2,3),Holidays))</f>
        <v/>
      </c>
      <c r="AC586" s="17">
        <f>IF(OR($Z586="",$Z586=6),"",CHOOSE($Z586,"1st Email Follow-up","2nd Email Follow-up","Escalate Local Office","Escalate to CBE","Escalate to Roxanne"))</f>
        <v/>
      </c>
    </row>
    <row r="587" spans="13:29">
      <c r="M587" s="14"/>
      <c r="T587" s="16"/>
      <c r="U587" s="17">
        <f>IF(AND(COUNTA($A587:$L587)=0,$N587=""),"",IF($T587="Paid","PAID",IF($T587="Closed","CLOSED",IF($Z587="","",IF($Z587=6,"ESCALATED TO ROXANNE",IF(TODAY()&gt;$AB587,"OVERDUE",IF($AB587&lt;=WORKDAY(TODAY(),1,Holidays),"DUE TOMORROW",IF($Z587=4,"ESCALATED TO LOCAL OFFICE",IF($Z587=5,"ESCALATED TO CBE",IF($AA587=TODAY(),"EMAIL SENT","MONITORING"))))))))))</f>
        <v/>
      </c>
      <c r="V587" s="17">
        <f>IF($U587="",IF(AND(COUNTA($A587:$L587)&gt;0,$N587=""),"Awaiting Collection Email time stamp.",""),IF(OR($U587="PAID",$U587="CLOSED"),IF($U587="PAID","Account paid. Action completed.","Account closed. No further action required."),CHOOSE($Z587,"Collection Email","1st Email Follow-up","2nd Email Follow-up","Escalation to Local Office","Escalation to CBE","Escalation to Roxanne")&amp;" sent "&amp;TEXT($AA587,"dd-mmm")&amp;". "&amp;IF($Z587=6,"Final escalation completed.",IF($U587="OVERDUE","Next: "&amp;$AC587&amp;" was due "&amp;TEXT($AB587,"dd-mmm")&amp;" - "&amp;(NETWORKDAYS($AB587,TODAY(),Holidays)-1)&amp;" business day(s) late. Send now.",IF($U587="DUE TOMORROW","Next: "&amp;$AC587&amp;IF($AB587&lt;=TODAY()," is due TODAY ("," is due next business day (")&amp;TEXT($AB587,"dd-mmm")&amp;").","Next: "&amp;$AC587&amp;" due "&amp;TEXT($AB587,"dd-mmm")&amp;" ("&amp;(NETWORKDAYS(TODAY(),$AB587,Holidays)-1)&amp;" business day(s) left).")))))</f>
        <v/>
      </c>
      <c r="W587" s="17">
        <f>IF($Z587="","",CHOOSE($Z587,"Collection Email","1st Follow-up","2nd Follow-up","Local Office","CBE","Roxanne")&amp;IF($Z587=6," - Final"," - Day "&amp;MAX(0,NETWORKDAYS($AA587,TODAY(),Holidays)-1)&amp;" of "&amp;CHOOSE($Z587,3,3,2,2,3))&amp;" | Total Day "&amp;MAX(0,NETWORKDAYS($N587,TODAY(),Holidays)-1))</f>
        <v/>
      </c>
      <c r="X587" s="18"/>
      <c r="Y587" s="18"/>
      <c r="Z587" s="17">
        <f>IF($N587="","",COUNT($N587:$S587))</f>
        <v/>
      </c>
      <c r="AA587" s="19">
        <f>IF($Z587="","",INT(INDEX($N587:$S587,$Z587)))</f>
        <v/>
      </c>
      <c r="AB587" s="19">
        <f>IF(OR($Z587="",$Z587=6),"",WORKDAY($AA587,CHOOSE($Z587,3,3,2,2,3),Holidays))</f>
        <v/>
      </c>
      <c r="AC587" s="17">
        <f>IF(OR($Z587="",$Z587=6),"",CHOOSE($Z587,"1st Email Follow-up","2nd Email Follow-up","Escalate Local Office","Escalate to CBE","Escalate to Roxanne"))</f>
        <v/>
      </c>
    </row>
    <row r="588" spans="13:29">
      <c r="M588" s="14"/>
      <c r="T588" s="16"/>
      <c r="U588" s="17">
        <f>IF(AND(COUNTA($A588:$L588)=0,$N588=""),"",IF($T588="Paid","PAID",IF($T588="Closed","CLOSED",IF($Z588="","",IF($Z588=6,"ESCALATED TO ROXANNE",IF(TODAY()&gt;$AB588,"OVERDUE",IF($AB588&lt;=WORKDAY(TODAY(),1,Holidays),"DUE TOMORROW",IF($Z588=4,"ESCALATED TO LOCAL OFFICE",IF($Z588=5,"ESCALATED TO CBE",IF($AA588=TODAY(),"EMAIL SENT","MONITORING"))))))))))</f>
        <v/>
      </c>
      <c r="V588" s="17">
        <f>IF($U588="",IF(AND(COUNTA($A588:$L588)&gt;0,$N588=""),"Awaiting Collection Email time stamp.",""),IF(OR($U588="PAID",$U588="CLOSED"),IF($U588="PAID","Account paid. Action completed.","Account closed. No further action required."),CHOOSE($Z588,"Collection Email","1st Email Follow-up","2nd Email Follow-up","Escalation to Local Office","Escalation to CBE","Escalation to Roxanne")&amp;" sent "&amp;TEXT($AA588,"dd-mmm")&amp;". "&amp;IF($Z588=6,"Final escalation completed.",IF($U588="OVERDUE","Next: "&amp;$AC588&amp;" was due "&amp;TEXT($AB588,"dd-mmm")&amp;" - "&amp;(NETWORKDAYS($AB588,TODAY(),Holidays)-1)&amp;" business day(s) late. Send now.",IF($U588="DUE TOMORROW","Next: "&amp;$AC588&amp;IF($AB588&lt;=TODAY()," is due TODAY ("," is due next business day (")&amp;TEXT($AB588,"dd-mmm")&amp;").","Next: "&amp;$AC588&amp;" due "&amp;TEXT($AB588,"dd-mmm")&amp;" ("&amp;(NETWORKDAYS(TODAY(),$AB588,Holidays)-1)&amp;" business day(s) left).")))))</f>
        <v/>
      </c>
      <c r="W588" s="17">
        <f>IF($Z588="","",CHOOSE($Z588,"Collection Email","1st Follow-up","2nd Follow-up","Local Office","CBE","Roxanne")&amp;IF($Z588=6," - Final"," - Day "&amp;MAX(0,NETWORKDAYS($AA588,TODAY(),Holidays)-1)&amp;" of "&amp;CHOOSE($Z588,3,3,2,2,3))&amp;" | Total Day "&amp;MAX(0,NETWORKDAYS($N588,TODAY(),Holidays)-1))</f>
        <v/>
      </c>
      <c r="X588" s="18"/>
      <c r="Y588" s="18"/>
      <c r="Z588" s="17">
        <f>IF($N588="","",COUNT($N588:$S588))</f>
        <v/>
      </c>
      <c r="AA588" s="19">
        <f>IF($Z588="","",INT(INDEX($N588:$S588,$Z588)))</f>
        <v/>
      </c>
      <c r="AB588" s="19">
        <f>IF(OR($Z588="",$Z588=6),"",WORKDAY($AA588,CHOOSE($Z588,3,3,2,2,3),Holidays))</f>
        <v/>
      </c>
      <c r="AC588" s="17">
        <f>IF(OR($Z588="",$Z588=6),"",CHOOSE($Z588,"1st Email Follow-up","2nd Email Follow-up","Escalate Local Office","Escalate to CBE","Escalate to Roxanne"))</f>
        <v/>
      </c>
    </row>
    <row r="589" spans="13:29">
      <c r="M589" s="14"/>
      <c r="T589" s="16"/>
      <c r="U589" s="17">
        <f>IF(AND(COUNTA($A589:$L589)=0,$N589=""),"",IF($T589="Paid","PAID",IF($T589="Closed","CLOSED",IF($Z589="","",IF($Z589=6,"ESCALATED TO ROXANNE",IF(TODAY()&gt;$AB589,"OVERDUE",IF($AB589&lt;=WORKDAY(TODAY(),1,Holidays),"DUE TOMORROW",IF($Z589=4,"ESCALATED TO LOCAL OFFICE",IF($Z589=5,"ESCALATED TO CBE",IF($AA589=TODAY(),"EMAIL SENT","MONITORING"))))))))))</f>
        <v/>
      </c>
      <c r="V589" s="17">
        <f>IF($U589="",IF(AND(COUNTA($A589:$L589)&gt;0,$N589=""),"Awaiting Collection Email time stamp.",""),IF(OR($U589="PAID",$U589="CLOSED"),IF($U589="PAID","Account paid. Action completed.","Account closed. No further action required."),CHOOSE($Z589,"Collection Email","1st Email Follow-up","2nd Email Follow-up","Escalation to Local Office","Escalation to CBE","Escalation to Roxanne")&amp;" sent "&amp;TEXT($AA589,"dd-mmm")&amp;". "&amp;IF($Z589=6,"Final escalation completed.",IF($U589="OVERDUE","Next: "&amp;$AC589&amp;" was due "&amp;TEXT($AB589,"dd-mmm")&amp;" - "&amp;(NETWORKDAYS($AB589,TODAY(),Holidays)-1)&amp;" business day(s) late. Send now.",IF($U589="DUE TOMORROW","Next: "&amp;$AC589&amp;IF($AB589&lt;=TODAY()," is due TODAY ("," is due next business day (")&amp;TEXT($AB589,"dd-mmm")&amp;").","Next: "&amp;$AC589&amp;" due "&amp;TEXT($AB589,"dd-mmm")&amp;" ("&amp;(NETWORKDAYS(TODAY(),$AB589,Holidays)-1)&amp;" business day(s) left).")))))</f>
        <v/>
      </c>
      <c r="W589" s="17">
        <f>IF($Z589="","",CHOOSE($Z589,"Collection Email","1st Follow-up","2nd Follow-up","Local Office","CBE","Roxanne")&amp;IF($Z589=6," - Final"," - Day "&amp;MAX(0,NETWORKDAYS($AA589,TODAY(),Holidays)-1)&amp;" of "&amp;CHOOSE($Z589,3,3,2,2,3))&amp;" | Total Day "&amp;MAX(0,NETWORKDAYS($N589,TODAY(),Holidays)-1))</f>
        <v/>
      </c>
      <c r="X589" s="18"/>
      <c r="Y589" s="18"/>
      <c r="Z589" s="17">
        <f>IF($N589="","",COUNT($N589:$S589))</f>
        <v/>
      </c>
      <c r="AA589" s="19">
        <f>IF($Z589="","",INT(INDEX($N589:$S589,$Z589)))</f>
        <v/>
      </c>
      <c r="AB589" s="19">
        <f>IF(OR($Z589="",$Z589=6),"",WORKDAY($AA589,CHOOSE($Z589,3,3,2,2,3),Holidays))</f>
        <v/>
      </c>
      <c r="AC589" s="17">
        <f>IF(OR($Z589="",$Z589=6),"",CHOOSE($Z589,"1st Email Follow-up","2nd Email Follow-up","Escalate Local Office","Escalate to CBE","Escalate to Roxanne"))</f>
        <v/>
      </c>
    </row>
    <row r="590" spans="13:29">
      <c r="M590" s="14"/>
      <c r="T590" s="16"/>
      <c r="U590" s="17">
        <f>IF(AND(COUNTA($A590:$L590)=0,$N590=""),"",IF($T590="Paid","PAID",IF($T590="Closed","CLOSED",IF($Z590="","",IF($Z590=6,"ESCALATED TO ROXANNE",IF(TODAY()&gt;$AB590,"OVERDUE",IF($AB590&lt;=WORKDAY(TODAY(),1,Holidays),"DUE TOMORROW",IF($Z590=4,"ESCALATED TO LOCAL OFFICE",IF($Z590=5,"ESCALATED TO CBE",IF($AA590=TODAY(),"EMAIL SENT","MONITORING"))))))))))</f>
        <v/>
      </c>
      <c r="V590" s="17">
        <f>IF($U590="",IF(AND(COUNTA($A590:$L590)&gt;0,$N590=""),"Awaiting Collection Email time stamp.",""),IF(OR($U590="PAID",$U590="CLOSED"),IF($U590="PAID","Account paid. Action completed.","Account closed. No further action required."),CHOOSE($Z590,"Collection Email","1st Email Follow-up","2nd Email Follow-up","Escalation to Local Office","Escalation to CBE","Escalation to Roxanne")&amp;" sent "&amp;TEXT($AA590,"dd-mmm")&amp;". "&amp;IF($Z590=6,"Final escalation completed.",IF($U590="OVERDUE","Next: "&amp;$AC590&amp;" was due "&amp;TEXT($AB590,"dd-mmm")&amp;" - "&amp;(NETWORKDAYS($AB590,TODAY(),Holidays)-1)&amp;" business day(s) late. Send now.",IF($U590="DUE TOMORROW","Next: "&amp;$AC590&amp;IF($AB590&lt;=TODAY()," is due TODAY ("," is due next business day (")&amp;TEXT($AB590,"dd-mmm")&amp;").","Next: "&amp;$AC590&amp;" due "&amp;TEXT($AB590,"dd-mmm")&amp;" ("&amp;(NETWORKDAYS(TODAY(),$AB590,Holidays)-1)&amp;" business day(s) left).")))))</f>
        <v/>
      </c>
      <c r="W590" s="17">
        <f>IF($Z590="","",CHOOSE($Z590,"Collection Email","1st Follow-up","2nd Follow-up","Local Office","CBE","Roxanne")&amp;IF($Z590=6," - Final"," - Day "&amp;MAX(0,NETWORKDAYS($AA590,TODAY(),Holidays)-1)&amp;" of "&amp;CHOOSE($Z590,3,3,2,2,3))&amp;" | Total Day "&amp;MAX(0,NETWORKDAYS($N590,TODAY(),Holidays)-1))</f>
        <v/>
      </c>
      <c r="X590" s="18"/>
      <c r="Y590" s="18"/>
      <c r="Z590" s="17">
        <f>IF($N590="","",COUNT($N590:$S590))</f>
        <v/>
      </c>
      <c r="AA590" s="19">
        <f>IF($Z590="","",INT(INDEX($N590:$S590,$Z590)))</f>
        <v/>
      </c>
      <c r="AB590" s="19">
        <f>IF(OR($Z590="",$Z590=6),"",WORKDAY($AA590,CHOOSE($Z590,3,3,2,2,3),Holidays))</f>
        <v/>
      </c>
      <c r="AC590" s="17">
        <f>IF(OR($Z590="",$Z590=6),"",CHOOSE($Z590,"1st Email Follow-up","2nd Email Follow-up","Escalate Local Office","Escalate to CBE","Escalate to Roxanne"))</f>
        <v/>
      </c>
    </row>
    <row r="591" spans="13:29">
      <c r="M591" s="14"/>
      <c r="T591" s="16"/>
      <c r="U591" s="17">
        <f>IF(AND(COUNTA($A591:$L591)=0,$N591=""),"",IF($T591="Paid","PAID",IF($T591="Closed","CLOSED",IF($Z591="","",IF($Z591=6,"ESCALATED TO ROXANNE",IF(TODAY()&gt;$AB591,"OVERDUE",IF($AB591&lt;=WORKDAY(TODAY(),1,Holidays),"DUE TOMORROW",IF($Z591=4,"ESCALATED TO LOCAL OFFICE",IF($Z591=5,"ESCALATED TO CBE",IF($AA591=TODAY(),"EMAIL SENT","MONITORING"))))))))))</f>
        <v/>
      </c>
      <c r="V591" s="17">
        <f>IF($U591="",IF(AND(COUNTA($A591:$L591)&gt;0,$N591=""),"Awaiting Collection Email time stamp.",""),IF(OR($U591="PAID",$U591="CLOSED"),IF($U591="PAID","Account paid. Action completed.","Account closed. No further action required."),CHOOSE($Z591,"Collection Email","1st Email Follow-up","2nd Email Follow-up","Escalation to Local Office","Escalation to CBE","Escalation to Roxanne")&amp;" sent "&amp;TEXT($AA591,"dd-mmm")&amp;". "&amp;IF($Z591=6,"Final escalation completed.",IF($U591="OVERDUE","Next: "&amp;$AC591&amp;" was due "&amp;TEXT($AB591,"dd-mmm")&amp;" - "&amp;(NETWORKDAYS($AB591,TODAY(),Holidays)-1)&amp;" business day(s) late. Send now.",IF($U591="DUE TOMORROW","Next: "&amp;$AC591&amp;IF($AB591&lt;=TODAY()," is due TODAY ("," is due next business day (")&amp;TEXT($AB591,"dd-mmm")&amp;").","Next: "&amp;$AC591&amp;" due "&amp;TEXT($AB591,"dd-mmm")&amp;" ("&amp;(NETWORKDAYS(TODAY(),$AB591,Holidays)-1)&amp;" business day(s) left).")))))</f>
        <v/>
      </c>
      <c r="W591" s="17">
        <f>IF($Z591="","",CHOOSE($Z591,"Collection Email","1st Follow-up","2nd Follow-up","Local Office","CBE","Roxanne")&amp;IF($Z591=6," - Final"," - Day "&amp;MAX(0,NETWORKDAYS($AA591,TODAY(),Holidays)-1)&amp;" of "&amp;CHOOSE($Z591,3,3,2,2,3))&amp;" | Total Day "&amp;MAX(0,NETWORKDAYS($N591,TODAY(),Holidays)-1))</f>
        <v/>
      </c>
      <c r="X591" s="18"/>
      <c r="Y591" s="18"/>
      <c r="Z591" s="17">
        <f>IF($N591="","",COUNT($N591:$S591))</f>
        <v/>
      </c>
      <c r="AA591" s="19">
        <f>IF($Z591="","",INT(INDEX($N591:$S591,$Z591)))</f>
        <v/>
      </c>
      <c r="AB591" s="19">
        <f>IF(OR($Z591="",$Z591=6),"",WORKDAY($AA591,CHOOSE($Z591,3,3,2,2,3),Holidays))</f>
        <v/>
      </c>
      <c r="AC591" s="17">
        <f>IF(OR($Z591="",$Z591=6),"",CHOOSE($Z591,"1st Email Follow-up","2nd Email Follow-up","Escalate Local Office","Escalate to CBE","Escalate to Roxanne"))</f>
        <v/>
      </c>
    </row>
    <row r="592" spans="13:29">
      <c r="M592" s="14"/>
      <c r="T592" s="16"/>
      <c r="U592" s="17">
        <f>IF(AND(COUNTA($A592:$L592)=0,$N592=""),"",IF($T592="Paid","PAID",IF($T592="Closed","CLOSED",IF($Z592="","",IF($Z592=6,"ESCALATED TO ROXANNE",IF(TODAY()&gt;$AB592,"OVERDUE",IF($AB592&lt;=WORKDAY(TODAY(),1,Holidays),"DUE TOMORROW",IF($Z592=4,"ESCALATED TO LOCAL OFFICE",IF($Z592=5,"ESCALATED TO CBE",IF($AA592=TODAY(),"EMAIL SENT","MONITORING"))))))))))</f>
        <v/>
      </c>
      <c r="V592" s="17">
        <f>IF($U592="",IF(AND(COUNTA($A592:$L592)&gt;0,$N592=""),"Awaiting Collection Email time stamp.",""),IF(OR($U592="PAID",$U592="CLOSED"),IF($U592="PAID","Account paid. Action completed.","Account closed. No further action required."),CHOOSE($Z592,"Collection Email","1st Email Follow-up","2nd Email Follow-up","Escalation to Local Office","Escalation to CBE","Escalation to Roxanne")&amp;" sent "&amp;TEXT($AA592,"dd-mmm")&amp;". "&amp;IF($Z592=6,"Final escalation completed.",IF($U592="OVERDUE","Next: "&amp;$AC592&amp;" was due "&amp;TEXT($AB592,"dd-mmm")&amp;" - "&amp;(NETWORKDAYS($AB592,TODAY(),Holidays)-1)&amp;" business day(s) late. Send now.",IF($U592="DUE TOMORROW","Next: "&amp;$AC592&amp;IF($AB592&lt;=TODAY()," is due TODAY ("," is due next business day (")&amp;TEXT($AB592,"dd-mmm")&amp;").","Next: "&amp;$AC592&amp;" due "&amp;TEXT($AB592,"dd-mmm")&amp;" ("&amp;(NETWORKDAYS(TODAY(),$AB592,Holidays)-1)&amp;" business day(s) left).")))))</f>
        <v/>
      </c>
      <c r="W592" s="17">
        <f>IF($Z592="","",CHOOSE($Z592,"Collection Email","1st Follow-up","2nd Follow-up","Local Office","CBE","Roxanne")&amp;IF($Z592=6," - Final"," - Day "&amp;MAX(0,NETWORKDAYS($AA592,TODAY(),Holidays)-1)&amp;" of "&amp;CHOOSE($Z592,3,3,2,2,3))&amp;" | Total Day "&amp;MAX(0,NETWORKDAYS($N592,TODAY(),Holidays)-1))</f>
        <v/>
      </c>
      <c r="X592" s="18"/>
      <c r="Y592" s="18"/>
      <c r="Z592" s="17">
        <f>IF($N592="","",COUNT($N592:$S592))</f>
        <v/>
      </c>
      <c r="AA592" s="19">
        <f>IF($Z592="","",INT(INDEX($N592:$S592,$Z592)))</f>
        <v/>
      </c>
      <c r="AB592" s="19">
        <f>IF(OR($Z592="",$Z592=6),"",WORKDAY($AA592,CHOOSE($Z592,3,3,2,2,3),Holidays))</f>
        <v/>
      </c>
      <c r="AC592" s="17">
        <f>IF(OR($Z592="",$Z592=6),"",CHOOSE($Z592,"1st Email Follow-up","2nd Email Follow-up","Escalate Local Office","Escalate to CBE","Escalate to Roxanne"))</f>
        <v/>
      </c>
    </row>
    <row r="593" spans="13:29">
      <c r="M593" s="14"/>
      <c r="T593" s="16"/>
      <c r="U593" s="17">
        <f>IF(AND(COUNTA($A593:$L593)=0,$N593=""),"",IF($T593="Paid","PAID",IF($T593="Closed","CLOSED",IF($Z593="","",IF($Z593=6,"ESCALATED TO ROXANNE",IF(TODAY()&gt;$AB593,"OVERDUE",IF($AB593&lt;=WORKDAY(TODAY(),1,Holidays),"DUE TOMORROW",IF($Z593=4,"ESCALATED TO LOCAL OFFICE",IF($Z593=5,"ESCALATED TO CBE",IF($AA593=TODAY(),"EMAIL SENT","MONITORING"))))))))))</f>
        <v/>
      </c>
      <c r="V593" s="17">
        <f>IF($U593="",IF(AND(COUNTA($A593:$L593)&gt;0,$N593=""),"Awaiting Collection Email time stamp.",""),IF(OR($U593="PAID",$U593="CLOSED"),IF($U593="PAID","Account paid. Action completed.","Account closed. No further action required."),CHOOSE($Z593,"Collection Email","1st Email Follow-up","2nd Email Follow-up","Escalation to Local Office","Escalation to CBE","Escalation to Roxanne")&amp;" sent "&amp;TEXT($AA593,"dd-mmm")&amp;". "&amp;IF($Z593=6,"Final escalation completed.",IF($U593="OVERDUE","Next: "&amp;$AC593&amp;" was due "&amp;TEXT($AB593,"dd-mmm")&amp;" - "&amp;(NETWORKDAYS($AB593,TODAY(),Holidays)-1)&amp;" business day(s) late. Send now.",IF($U593="DUE TOMORROW","Next: "&amp;$AC593&amp;IF($AB593&lt;=TODAY()," is due TODAY ("," is due next business day (")&amp;TEXT($AB593,"dd-mmm")&amp;").","Next: "&amp;$AC593&amp;" due "&amp;TEXT($AB593,"dd-mmm")&amp;" ("&amp;(NETWORKDAYS(TODAY(),$AB593,Holidays)-1)&amp;" business day(s) left).")))))</f>
        <v/>
      </c>
      <c r="W593" s="17">
        <f>IF($Z593="","",CHOOSE($Z593,"Collection Email","1st Follow-up","2nd Follow-up","Local Office","CBE","Roxanne")&amp;IF($Z593=6," - Final"," - Day "&amp;MAX(0,NETWORKDAYS($AA593,TODAY(),Holidays)-1)&amp;" of "&amp;CHOOSE($Z593,3,3,2,2,3))&amp;" | Total Day "&amp;MAX(0,NETWORKDAYS($N593,TODAY(),Holidays)-1))</f>
        <v/>
      </c>
      <c r="X593" s="18"/>
      <c r="Y593" s="18"/>
      <c r="Z593" s="17">
        <f>IF($N593="","",COUNT($N593:$S593))</f>
        <v/>
      </c>
      <c r="AA593" s="19">
        <f>IF($Z593="","",INT(INDEX($N593:$S593,$Z593)))</f>
        <v/>
      </c>
      <c r="AB593" s="19">
        <f>IF(OR($Z593="",$Z593=6),"",WORKDAY($AA593,CHOOSE($Z593,3,3,2,2,3),Holidays))</f>
        <v/>
      </c>
      <c r="AC593" s="17">
        <f>IF(OR($Z593="",$Z593=6),"",CHOOSE($Z593,"1st Email Follow-up","2nd Email Follow-up","Escalate Local Office","Escalate to CBE","Escalate to Roxanne"))</f>
        <v/>
      </c>
    </row>
    <row r="594" spans="13:29">
      <c r="M594" s="14"/>
      <c r="T594" s="16"/>
      <c r="U594" s="17">
        <f>IF(AND(COUNTA($A594:$L594)=0,$N594=""),"",IF($T594="Paid","PAID",IF($T594="Closed","CLOSED",IF($Z594="","",IF($Z594=6,"ESCALATED TO ROXANNE",IF(TODAY()&gt;$AB594,"OVERDUE",IF($AB594&lt;=WORKDAY(TODAY(),1,Holidays),"DUE TOMORROW",IF($Z594=4,"ESCALATED TO LOCAL OFFICE",IF($Z594=5,"ESCALATED TO CBE",IF($AA594=TODAY(),"EMAIL SENT","MONITORING"))))))))))</f>
        <v/>
      </c>
      <c r="V594" s="17">
        <f>IF($U594="",IF(AND(COUNTA($A594:$L594)&gt;0,$N594=""),"Awaiting Collection Email time stamp.",""),IF(OR($U594="PAID",$U594="CLOSED"),IF($U594="PAID","Account paid. Action completed.","Account closed. No further action required."),CHOOSE($Z594,"Collection Email","1st Email Follow-up","2nd Email Follow-up","Escalation to Local Office","Escalation to CBE","Escalation to Roxanne")&amp;" sent "&amp;TEXT($AA594,"dd-mmm")&amp;". "&amp;IF($Z594=6,"Final escalation completed.",IF($U594="OVERDUE","Next: "&amp;$AC594&amp;" was due "&amp;TEXT($AB594,"dd-mmm")&amp;" - "&amp;(NETWORKDAYS($AB594,TODAY(),Holidays)-1)&amp;" business day(s) late. Send now.",IF($U594="DUE TOMORROW","Next: "&amp;$AC594&amp;IF($AB594&lt;=TODAY()," is due TODAY ("," is due next business day (")&amp;TEXT($AB594,"dd-mmm")&amp;").","Next: "&amp;$AC594&amp;" due "&amp;TEXT($AB594,"dd-mmm")&amp;" ("&amp;(NETWORKDAYS(TODAY(),$AB594,Holidays)-1)&amp;" business day(s) left).")))))</f>
        <v/>
      </c>
      <c r="W594" s="17">
        <f>IF($Z594="","",CHOOSE($Z594,"Collection Email","1st Follow-up","2nd Follow-up","Local Office","CBE","Roxanne")&amp;IF($Z594=6," - Final"," - Day "&amp;MAX(0,NETWORKDAYS($AA594,TODAY(),Holidays)-1)&amp;" of "&amp;CHOOSE($Z594,3,3,2,2,3))&amp;" | Total Day "&amp;MAX(0,NETWORKDAYS($N594,TODAY(),Holidays)-1))</f>
        <v/>
      </c>
      <c r="X594" s="18"/>
      <c r="Y594" s="18"/>
      <c r="Z594" s="17">
        <f>IF($N594="","",COUNT($N594:$S594))</f>
        <v/>
      </c>
      <c r="AA594" s="19">
        <f>IF($Z594="","",INT(INDEX($N594:$S594,$Z594)))</f>
        <v/>
      </c>
      <c r="AB594" s="19">
        <f>IF(OR($Z594="",$Z594=6),"",WORKDAY($AA594,CHOOSE($Z594,3,3,2,2,3),Holidays))</f>
        <v/>
      </c>
      <c r="AC594" s="17">
        <f>IF(OR($Z594="",$Z594=6),"",CHOOSE($Z594,"1st Email Follow-up","2nd Email Follow-up","Escalate Local Office","Escalate to CBE","Escalate to Roxanne"))</f>
        <v/>
      </c>
    </row>
    <row r="595" spans="13:29">
      <c r="M595" s="14"/>
      <c r="T595" s="16"/>
      <c r="U595" s="17">
        <f>IF(AND(COUNTA($A595:$L595)=0,$N595=""),"",IF($T595="Paid","PAID",IF($T595="Closed","CLOSED",IF($Z595="","",IF($Z595=6,"ESCALATED TO ROXANNE",IF(TODAY()&gt;$AB595,"OVERDUE",IF($AB595&lt;=WORKDAY(TODAY(),1,Holidays),"DUE TOMORROW",IF($Z595=4,"ESCALATED TO LOCAL OFFICE",IF($Z595=5,"ESCALATED TO CBE",IF($AA595=TODAY(),"EMAIL SENT","MONITORING"))))))))))</f>
        <v/>
      </c>
      <c r="V595" s="17">
        <f>IF($U595="",IF(AND(COUNTA($A595:$L595)&gt;0,$N595=""),"Awaiting Collection Email time stamp.",""),IF(OR($U595="PAID",$U595="CLOSED"),IF($U595="PAID","Account paid. Action completed.","Account closed. No further action required."),CHOOSE($Z595,"Collection Email","1st Email Follow-up","2nd Email Follow-up","Escalation to Local Office","Escalation to CBE","Escalation to Roxanne")&amp;" sent "&amp;TEXT($AA595,"dd-mmm")&amp;". "&amp;IF($Z595=6,"Final escalation completed.",IF($U595="OVERDUE","Next: "&amp;$AC595&amp;" was due "&amp;TEXT($AB595,"dd-mmm")&amp;" - "&amp;(NETWORKDAYS($AB595,TODAY(),Holidays)-1)&amp;" business day(s) late. Send now.",IF($U595="DUE TOMORROW","Next: "&amp;$AC595&amp;IF($AB595&lt;=TODAY()," is due TODAY ("," is due next business day (")&amp;TEXT($AB595,"dd-mmm")&amp;").","Next: "&amp;$AC595&amp;" due "&amp;TEXT($AB595,"dd-mmm")&amp;" ("&amp;(NETWORKDAYS(TODAY(),$AB595,Holidays)-1)&amp;" business day(s) left).")))))</f>
        <v/>
      </c>
      <c r="W595" s="17">
        <f>IF($Z595="","",CHOOSE($Z595,"Collection Email","1st Follow-up","2nd Follow-up","Local Office","CBE","Roxanne")&amp;IF($Z595=6," - Final"," - Day "&amp;MAX(0,NETWORKDAYS($AA595,TODAY(),Holidays)-1)&amp;" of "&amp;CHOOSE($Z595,3,3,2,2,3))&amp;" | Total Day "&amp;MAX(0,NETWORKDAYS($N595,TODAY(),Holidays)-1))</f>
        <v/>
      </c>
      <c r="X595" s="18"/>
      <c r="Y595" s="18"/>
      <c r="Z595" s="17">
        <f>IF($N595="","",COUNT($N595:$S595))</f>
        <v/>
      </c>
      <c r="AA595" s="19">
        <f>IF($Z595="","",INT(INDEX($N595:$S595,$Z595)))</f>
        <v/>
      </c>
      <c r="AB595" s="19">
        <f>IF(OR($Z595="",$Z595=6),"",WORKDAY($AA595,CHOOSE($Z595,3,3,2,2,3),Holidays))</f>
        <v/>
      </c>
      <c r="AC595" s="17">
        <f>IF(OR($Z595="",$Z595=6),"",CHOOSE($Z595,"1st Email Follow-up","2nd Email Follow-up","Escalate Local Office","Escalate to CBE","Escalate to Roxanne"))</f>
        <v/>
      </c>
    </row>
    <row r="596" spans="13:29">
      <c r="M596" s="14"/>
      <c r="T596" s="16"/>
      <c r="U596" s="17">
        <f>IF(AND(COUNTA($A596:$L596)=0,$N596=""),"",IF($T596="Paid","PAID",IF($T596="Closed","CLOSED",IF($Z596="","",IF($Z596=6,"ESCALATED TO ROXANNE",IF(TODAY()&gt;$AB596,"OVERDUE",IF($AB596&lt;=WORKDAY(TODAY(),1,Holidays),"DUE TOMORROW",IF($Z596=4,"ESCALATED TO LOCAL OFFICE",IF($Z596=5,"ESCALATED TO CBE",IF($AA596=TODAY(),"EMAIL SENT","MONITORING"))))))))))</f>
        <v/>
      </c>
      <c r="V596" s="17">
        <f>IF($U596="",IF(AND(COUNTA($A596:$L596)&gt;0,$N596=""),"Awaiting Collection Email time stamp.",""),IF(OR($U596="PAID",$U596="CLOSED"),IF($U596="PAID","Account paid. Action completed.","Account closed. No further action required."),CHOOSE($Z596,"Collection Email","1st Email Follow-up","2nd Email Follow-up","Escalation to Local Office","Escalation to CBE","Escalation to Roxanne")&amp;" sent "&amp;TEXT($AA596,"dd-mmm")&amp;". "&amp;IF($Z596=6,"Final escalation completed.",IF($U596="OVERDUE","Next: "&amp;$AC596&amp;" was due "&amp;TEXT($AB596,"dd-mmm")&amp;" - "&amp;(NETWORKDAYS($AB596,TODAY(),Holidays)-1)&amp;" business day(s) late. Send now.",IF($U596="DUE TOMORROW","Next: "&amp;$AC596&amp;IF($AB596&lt;=TODAY()," is due TODAY ("," is due next business day (")&amp;TEXT($AB596,"dd-mmm")&amp;").","Next: "&amp;$AC596&amp;" due "&amp;TEXT($AB596,"dd-mmm")&amp;" ("&amp;(NETWORKDAYS(TODAY(),$AB596,Holidays)-1)&amp;" business day(s) left).")))))</f>
        <v/>
      </c>
      <c r="W596" s="17">
        <f>IF($Z596="","",CHOOSE($Z596,"Collection Email","1st Follow-up","2nd Follow-up","Local Office","CBE","Roxanne")&amp;IF($Z596=6," - Final"," - Day "&amp;MAX(0,NETWORKDAYS($AA596,TODAY(),Holidays)-1)&amp;" of "&amp;CHOOSE($Z596,3,3,2,2,3))&amp;" | Total Day "&amp;MAX(0,NETWORKDAYS($N596,TODAY(),Holidays)-1))</f>
        <v/>
      </c>
      <c r="X596" s="18"/>
      <c r="Y596" s="18"/>
      <c r="Z596" s="17">
        <f>IF($N596="","",COUNT($N596:$S596))</f>
        <v/>
      </c>
      <c r="AA596" s="19">
        <f>IF($Z596="","",INT(INDEX($N596:$S596,$Z596)))</f>
        <v/>
      </c>
      <c r="AB596" s="19">
        <f>IF(OR($Z596="",$Z596=6),"",WORKDAY($AA596,CHOOSE($Z596,3,3,2,2,3),Holidays))</f>
        <v/>
      </c>
      <c r="AC596" s="17">
        <f>IF(OR($Z596="",$Z596=6),"",CHOOSE($Z596,"1st Email Follow-up","2nd Email Follow-up","Escalate Local Office","Escalate to CBE","Escalate to Roxanne"))</f>
        <v/>
      </c>
    </row>
    <row r="597" spans="13:29">
      <c r="M597" s="14"/>
      <c r="T597" s="16"/>
      <c r="U597" s="17">
        <f>IF(AND(COUNTA($A597:$L597)=0,$N597=""),"",IF($T597="Paid","PAID",IF($T597="Closed","CLOSED",IF($Z597="","",IF($Z597=6,"ESCALATED TO ROXANNE",IF(TODAY()&gt;$AB597,"OVERDUE",IF($AB597&lt;=WORKDAY(TODAY(),1,Holidays),"DUE TOMORROW",IF($Z597=4,"ESCALATED TO LOCAL OFFICE",IF($Z597=5,"ESCALATED TO CBE",IF($AA597=TODAY(),"EMAIL SENT","MONITORING"))))))))))</f>
        <v/>
      </c>
      <c r="V597" s="17">
        <f>IF($U597="",IF(AND(COUNTA($A597:$L597)&gt;0,$N597=""),"Awaiting Collection Email time stamp.",""),IF(OR($U597="PAID",$U597="CLOSED"),IF($U597="PAID","Account paid. Action completed.","Account closed. No further action required."),CHOOSE($Z597,"Collection Email","1st Email Follow-up","2nd Email Follow-up","Escalation to Local Office","Escalation to CBE","Escalation to Roxanne")&amp;" sent "&amp;TEXT($AA597,"dd-mmm")&amp;". "&amp;IF($Z597=6,"Final escalation completed.",IF($U597="OVERDUE","Next: "&amp;$AC597&amp;" was due "&amp;TEXT($AB597,"dd-mmm")&amp;" - "&amp;(NETWORKDAYS($AB597,TODAY(),Holidays)-1)&amp;" business day(s) late. Send now.",IF($U597="DUE TOMORROW","Next: "&amp;$AC597&amp;IF($AB597&lt;=TODAY()," is due TODAY ("," is due next business day (")&amp;TEXT($AB597,"dd-mmm")&amp;").","Next: "&amp;$AC597&amp;" due "&amp;TEXT($AB597,"dd-mmm")&amp;" ("&amp;(NETWORKDAYS(TODAY(),$AB597,Holidays)-1)&amp;" business day(s) left).")))))</f>
        <v/>
      </c>
      <c r="W597" s="17">
        <f>IF($Z597="","",CHOOSE($Z597,"Collection Email","1st Follow-up","2nd Follow-up","Local Office","CBE","Roxanne")&amp;IF($Z597=6," - Final"," - Day "&amp;MAX(0,NETWORKDAYS($AA597,TODAY(),Holidays)-1)&amp;" of "&amp;CHOOSE($Z597,3,3,2,2,3))&amp;" | Total Day "&amp;MAX(0,NETWORKDAYS($N597,TODAY(),Holidays)-1))</f>
        <v/>
      </c>
      <c r="X597" s="18"/>
      <c r="Y597" s="18"/>
      <c r="Z597" s="17">
        <f>IF($N597="","",COUNT($N597:$S597))</f>
        <v/>
      </c>
      <c r="AA597" s="19">
        <f>IF($Z597="","",INT(INDEX($N597:$S597,$Z597)))</f>
        <v/>
      </c>
      <c r="AB597" s="19">
        <f>IF(OR($Z597="",$Z597=6),"",WORKDAY($AA597,CHOOSE($Z597,3,3,2,2,3),Holidays))</f>
        <v/>
      </c>
      <c r="AC597" s="17">
        <f>IF(OR($Z597="",$Z597=6),"",CHOOSE($Z597,"1st Email Follow-up","2nd Email Follow-up","Escalate Local Office","Escalate to CBE","Escalate to Roxanne"))</f>
        <v/>
      </c>
    </row>
    <row r="598" spans="13:29">
      <c r="M598" s="14"/>
      <c r="T598" s="16"/>
      <c r="U598" s="17">
        <f>IF(AND(COUNTA($A598:$L598)=0,$N598=""),"",IF($T598="Paid","PAID",IF($T598="Closed","CLOSED",IF($Z598="","",IF($Z598=6,"ESCALATED TO ROXANNE",IF(TODAY()&gt;$AB598,"OVERDUE",IF($AB598&lt;=WORKDAY(TODAY(),1,Holidays),"DUE TOMORROW",IF($Z598=4,"ESCALATED TO LOCAL OFFICE",IF($Z598=5,"ESCALATED TO CBE",IF($AA598=TODAY(),"EMAIL SENT","MONITORING"))))))))))</f>
        <v/>
      </c>
      <c r="V598" s="17">
        <f>IF($U598="",IF(AND(COUNTA($A598:$L598)&gt;0,$N598=""),"Awaiting Collection Email time stamp.",""),IF(OR($U598="PAID",$U598="CLOSED"),IF($U598="PAID","Account paid. Action completed.","Account closed. No further action required."),CHOOSE($Z598,"Collection Email","1st Email Follow-up","2nd Email Follow-up","Escalation to Local Office","Escalation to CBE","Escalation to Roxanne")&amp;" sent "&amp;TEXT($AA598,"dd-mmm")&amp;". "&amp;IF($Z598=6,"Final escalation completed.",IF($U598="OVERDUE","Next: "&amp;$AC598&amp;" was due "&amp;TEXT($AB598,"dd-mmm")&amp;" - "&amp;(NETWORKDAYS($AB598,TODAY(),Holidays)-1)&amp;" business day(s) late. Send now.",IF($U598="DUE TOMORROW","Next: "&amp;$AC598&amp;IF($AB598&lt;=TODAY()," is due TODAY ("," is due next business day (")&amp;TEXT($AB598,"dd-mmm")&amp;").","Next: "&amp;$AC598&amp;" due "&amp;TEXT($AB598,"dd-mmm")&amp;" ("&amp;(NETWORKDAYS(TODAY(),$AB598,Holidays)-1)&amp;" business day(s) left).")))))</f>
        <v/>
      </c>
      <c r="W598" s="17">
        <f>IF($Z598="","",CHOOSE($Z598,"Collection Email","1st Follow-up","2nd Follow-up","Local Office","CBE","Roxanne")&amp;IF($Z598=6," - Final"," - Day "&amp;MAX(0,NETWORKDAYS($AA598,TODAY(),Holidays)-1)&amp;" of "&amp;CHOOSE($Z598,3,3,2,2,3))&amp;" | Total Day "&amp;MAX(0,NETWORKDAYS($N598,TODAY(),Holidays)-1))</f>
        <v/>
      </c>
      <c r="X598" s="18"/>
      <c r="Y598" s="18"/>
      <c r="Z598" s="17">
        <f>IF($N598="","",COUNT($N598:$S598))</f>
        <v/>
      </c>
      <c r="AA598" s="19">
        <f>IF($Z598="","",INT(INDEX($N598:$S598,$Z598)))</f>
        <v/>
      </c>
      <c r="AB598" s="19">
        <f>IF(OR($Z598="",$Z598=6),"",WORKDAY($AA598,CHOOSE($Z598,3,3,2,2,3),Holidays))</f>
        <v/>
      </c>
      <c r="AC598" s="17">
        <f>IF(OR($Z598="",$Z598=6),"",CHOOSE($Z598,"1st Email Follow-up","2nd Email Follow-up","Escalate Local Office","Escalate to CBE","Escalate to Roxanne"))</f>
        <v/>
      </c>
    </row>
    <row r="599" spans="13:29">
      <c r="M599" s="14"/>
      <c r="T599" s="16"/>
      <c r="U599" s="17">
        <f>IF(AND(COUNTA($A599:$L599)=0,$N599=""),"",IF($T599="Paid","PAID",IF($T599="Closed","CLOSED",IF($Z599="","",IF($Z599=6,"ESCALATED TO ROXANNE",IF(TODAY()&gt;$AB599,"OVERDUE",IF($AB599&lt;=WORKDAY(TODAY(),1,Holidays),"DUE TOMORROW",IF($Z599=4,"ESCALATED TO LOCAL OFFICE",IF($Z599=5,"ESCALATED TO CBE",IF($AA599=TODAY(),"EMAIL SENT","MONITORING"))))))))))</f>
        <v/>
      </c>
      <c r="V599" s="17">
        <f>IF($U599="",IF(AND(COUNTA($A599:$L599)&gt;0,$N599=""),"Awaiting Collection Email time stamp.",""),IF(OR($U599="PAID",$U599="CLOSED"),IF($U599="PAID","Account paid. Action completed.","Account closed. No further action required."),CHOOSE($Z599,"Collection Email","1st Email Follow-up","2nd Email Follow-up","Escalation to Local Office","Escalation to CBE","Escalation to Roxanne")&amp;" sent "&amp;TEXT($AA599,"dd-mmm")&amp;". "&amp;IF($Z599=6,"Final escalation completed.",IF($U599="OVERDUE","Next: "&amp;$AC599&amp;" was due "&amp;TEXT($AB599,"dd-mmm")&amp;" - "&amp;(NETWORKDAYS($AB599,TODAY(),Holidays)-1)&amp;" business day(s) late. Send now.",IF($U599="DUE TOMORROW","Next: "&amp;$AC599&amp;IF($AB599&lt;=TODAY()," is due TODAY ("," is due next business day (")&amp;TEXT($AB599,"dd-mmm")&amp;").","Next: "&amp;$AC599&amp;" due "&amp;TEXT($AB599,"dd-mmm")&amp;" ("&amp;(NETWORKDAYS(TODAY(),$AB599,Holidays)-1)&amp;" business day(s) left).")))))</f>
        <v/>
      </c>
      <c r="W599" s="17">
        <f>IF($Z599="","",CHOOSE($Z599,"Collection Email","1st Follow-up","2nd Follow-up","Local Office","CBE","Roxanne")&amp;IF($Z599=6," - Final"," - Day "&amp;MAX(0,NETWORKDAYS($AA599,TODAY(),Holidays)-1)&amp;" of "&amp;CHOOSE($Z599,3,3,2,2,3))&amp;" | Total Day "&amp;MAX(0,NETWORKDAYS($N599,TODAY(),Holidays)-1))</f>
        <v/>
      </c>
      <c r="X599" s="18"/>
      <c r="Y599" s="18"/>
      <c r="Z599" s="17">
        <f>IF($N599="","",COUNT($N599:$S599))</f>
        <v/>
      </c>
      <c r="AA599" s="19">
        <f>IF($Z599="","",INT(INDEX($N599:$S599,$Z599)))</f>
        <v/>
      </c>
      <c r="AB599" s="19">
        <f>IF(OR($Z599="",$Z599=6),"",WORKDAY($AA599,CHOOSE($Z599,3,3,2,2,3),Holidays))</f>
        <v/>
      </c>
      <c r="AC599" s="17">
        <f>IF(OR($Z599="",$Z599=6),"",CHOOSE($Z599,"1st Email Follow-up","2nd Email Follow-up","Escalate Local Office","Escalate to CBE","Escalate to Roxanne"))</f>
        <v/>
      </c>
    </row>
    <row r="600" spans="13:29">
      <c r="M600" s="14"/>
      <c r="T600" s="16"/>
      <c r="U600" s="17">
        <f>IF(AND(COUNTA($A600:$L600)=0,$N600=""),"",IF($T600="Paid","PAID",IF($T600="Closed","CLOSED",IF($Z600="","",IF($Z600=6,"ESCALATED TO ROXANNE",IF(TODAY()&gt;$AB600,"OVERDUE",IF($AB600&lt;=WORKDAY(TODAY(),1,Holidays),"DUE TOMORROW",IF($Z600=4,"ESCALATED TO LOCAL OFFICE",IF($Z600=5,"ESCALATED TO CBE",IF($AA600=TODAY(),"EMAIL SENT","MONITORING"))))))))))</f>
        <v/>
      </c>
      <c r="V600" s="17">
        <f>IF($U600="",IF(AND(COUNTA($A600:$L600)&gt;0,$N600=""),"Awaiting Collection Email time stamp.",""),IF(OR($U600="PAID",$U600="CLOSED"),IF($U600="PAID","Account paid. Action completed.","Account closed. No further action required."),CHOOSE($Z600,"Collection Email","1st Email Follow-up","2nd Email Follow-up","Escalation to Local Office","Escalation to CBE","Escalation to Roxanne")&amp;" sent "&amp;TEXT($AA600,"dd-mmm")&amp;". "&amp;IF($Z600=6,"Final escalation completed.",IF($U600="OVERDUE","Next: "&amp;$AC600&amp;" was due "&amp;TEXT($AB600,"dd-mmm")&amp;" - "&amp;(NETWORKDAYS($AB600,TODAY(),Holidays)-1)&amp;" business day(s) late. Send now.",IF($U600="DUE TOMORROW","Next: "&amp;$AC600&amp;IF($AB600&lt;=TODAY()," is due TODAY ("," is due next business day (")&amp;TEXT($AB600,"dd-mmm")&amp;").","Next: "&amp;$AC600&amp;" due "&amp;TEXT($AB600,"dd-mmm")&amp;" ("&amp;(NETWORKDAYS(TODAY(),$AB600,Holidays)-1)&amp;" business day(s) left).")))))</f>
        <v/>
      </c>
      <c r="W600" s="17">
        <f>IF($Z600="","",CHOOSE($Z600,"Collection Email","1st Follow-up","2nd Follow-up","Local Office","CBE","Roxanne")&amp;IF($Z600=6," - Final"," - Day "&amp;MAX(0,NETWORKDAYS($AA600,TODAY(),Holidays)-1)&amp;" of "&amp;CHOOSE($Z600,3,3,2,2,3))&amp;" | Total Day "&amp;MAX(0,NETWORKDAYS($N600,TODAY(),Holidays)-1))</f>
        <v/>
      </c>
      <c r="X600" s="18"/>
      <c r="Y600" s="18"/>
      <c r="Z600" s="17">
        <f>IF($N600="","",COUNT($N600:$S600))</f>
        <v/>
      </c>
      <c r="AA600" s="19">
        <f>IF($Z600="","",INT(INDEX($N600:$S600,$Z600)))</f>
        <v/>
      </c>
      <c r="AB600" s="19">
        <f>IF(OR($Z600="",$Z600=6),"",WORKDAY($AA600,CHOOSE($Z600,3,3,2,2,3),Holidays))</f>
        <v/>
      </c>
      <c r="AC600" s="17">
        <f>IF(OR($Z600="",$Z600=6),"",CHOOSE($Z600,"1st Email Follow-up","2nd Email Follow-up","Escalate Local Office","Escalate to CBE","Escalate to Roxanne"))</f>
        <v/>
      </c>
    </row>
    <row r="601" spans="13:29">
      <c r="M601" s="14"/>
      <c r="T601" s="16"/>
      <c r="U601" s="17">
        <f>IF(AND(COUNTA($A601:$L601)=0,$N601=""),"",IF($T601="Paid","PAID",IF($T601="Closed","CLOSED",IF($Z601="","",IF($Z601=6,"ESCALATED TO ROXANNE",IF(TODAY()&gt;$AB601,"OVERDUE",IF($AB601&lt;=WORKDAY(TODAY(),1,Holidays),"DUE TOMORROW",IF($Z601=4,"ESCALATED TO LOCAL OFFICE",IF($Z601=5,"ESCALATED TO CBE",IF($AA601=TODAY(),"EMAIL SENT","MONITORING"))))))))))</f>
        <v/>
      </c>
      <c r="V601" s="17">
        <f>IF($U601="",IF(AND(COUNTA($A601:$L601)&gt;0,$N601=""),"Awaiting Collection Email time stamp.",""),IF(OR($U601="PAID",$U601="CLOSED"),IF($U601="PAID","Account paid. Action completed.","Account closed. No further action required."),CHOOSE($Z601,"Collection Email","1st Email Follow-up","2nd Email Follow-up","Escalation to Local Office","Escalation to CBE","Escalation to Roxanne")&amp;" sent "&amp;TEXT($AA601,"dd-mmm")&amp;". "&amp;IF($Z601=6,"Final escalation completed.",IF($U601="OVERDUE","Next: "&amp;$AC601&amp;" was due "&amp;TEXT($AB601,"dd-mmm")&amp;" - "&amp;(NETWORKDAYS($AB601,TODAY(),Holidays)-1)&amp;" business day(s) late. Send now.",IF($U601="DUE TOMORROW","Next: "&amp;$AC601&amp;IF($AB601&lt;=TODAY()," is due TODAY ("," is due next business day (")&amp;TEXT($AB601,"dd-mmm")&amp;").","Next: "&amp;$AC601&amp;" due "&amp;TEXT($AB601,"dd-mmm")&amp;" ("&amp;(NETWORKDAYS(TODAY(),$AB601,Holidays)-1)&amp;" business day(s) left).")))))</f>
        <v/>
      </c>
      <c r="W601" s="17">
        <f>IF($Z601="","",CHOOSE($Z601,"Collection Email","1st Follow-up","2nd Follow-up","Local Office","CBE","Roxanne")&amp;IF($Z601=6," - Final"," - Day "&amp;MAX(0,NETWORKDAYS($AA601,TODAY(),Holidays)-1)&amp;" of "&amp;CHOOSE($Z601,3,3,2,2,3))&amp;" | Total Day "&amp;MAX(0,NETWORKDAYS($N601,TODAY(),Holidays)-1))</f>
        <v/>
      </c>
      <c r="X601" s="18"/>
      <c r="Y601" s="18"/>
      <c r="Z601" s="17">
        <f>IF($N601="","",COUNT($N601:$S601))</f>
        <v/>
      </c>
      <c r="AA601" s="19">
        <f>IF($Z601="","",INT(INDEX($N601:$S601,$Z601)))</f>
        <v/>
      </c>
      <c r="AB601" s="19">
        <f>IF(OR($Z601="",$Z601=6),"",WORKDAY($AA601,CHOOSE($Z601,3,3,2,2,3),Holidays))</f>
        <v/>
      </c>
      <c r="AC601" s="17">
        <f>IF(OR($Z601="",$Z601=6),"",CHOOSE($Z601,"1st Email Follow-up","2nd Email Follow-up","Escalate Local Office","Escalate to CBE","Escalate to Roxanne"))</f>
        <v/>
      </c>
    </row>
    <row r="602" spans="13:29">
      <c r="M602" s="14"/>
      <c r="T602" s="16"/>
      <c r="U602" s="17">
        <f>IF(AND(COUNTA($A602:$L602)=0,$N602=""),"",IF($T602="Paid","PAID",IF($T602="Closed","CLOSED",IF($Z602="","",IF($Z602=6,"ESCALATED TO ROXANNE",IF(TODAY()&gt;$AB602,"OVERDUE",IF($AB602&lt;=WORKDAY(TODAY(),1,Holidays),"DUE TOMORROW",IF($Z602=4,"ESCALATED TO LOCAL OFFICE",IF($Z602=5,"ESCALATED TO CBE",IF($AA602=TODAY(),"EMAIL SENT","MONITORING"))))))))))</f>
        <v/>
      </c>
      <c r="V602" s="17">
        <f>IF($U602="",IF(AND(COUNTA($A602:$L602)&gt;0,$N602=""),"Awaiting Collection Email time stamp.",""),IF(OR($U602="PAID",$U602="CLOSED"),IF($U602="PAID","Account paid. Action completed.","Account closed. No further action required."),CHOOSE($Z602,"Collection Email","1st Email Follow-up","2nd Email Follow-up","Escalation to Local Office","Escalation to CBE","Escalation to Roxanne")&amp;" sent "&amp;TEXT($AA602,"dd-mmm")&amp;". "&amp;IF($Z602=6,"Final escalation completed.",IF($U602="OVERDUE","Next: "&amp;$AC602&amp;" was due "&amp;TEXT($AB602,"dd-mmm")&amp;" - "&amp;(NETWORKDAYS($AB602,TODAY(),Holidays)-1)&amp;" business day(s) late. Send now.",IF($U602="DUE TOMORROW","Next: "&amp;$AC602&amp;IF($AB602&lt;=TODAY()," is due TODAY ("," is due next business day (")&amp;TEXT($AB602,"dd-mmm")&amp;").","Next: "&amp;$AC602&amp;" due "&amp;TEXT($AB602,"dd-mmm")&amp;" ("&amp;(NETWORKDAYS(TODAY(),$AB602,Holidays)-1)&amp;" business day(s) left).")))))</f>
        <v/>
      </c>
      <c r="W602" s="17">
        <f>IF($Z602="","",CHOOSE($Z602,"Collection Email","1st Follow-up","2nd Follow-up","Local Office","CBE","Roxanne")&amp;IF($Z602=6," - Final"," - Day "&amp;MAX(0,NETWORKDAYS($AA602,TODAY(),Holidays)-1)&amp;" of "&amp;CHOOSE($Z602,3,3,2,2,3))&amp;" | Total Day "&amp;MAX(0,NETWORKDAYS($N602,TODAY(),Holidays)-1))</f>
        <v/>
      </c>
      <c r="X602" s="18"/>
      <c r="Y602" s="18"/>
      <c r="Z602" s="17">
        <f>IF($N602="","",COUNT($N602:$S602))</f>
        <v/>
      </c>
      <c r="AA602" s="19">
        <f>IF($Z602="","",INT(INDEX($N602:$S602,$Z602)))</f>
        <v/>
      </c>
      <c r="AB602" s="19">
        <f>IF(OR($Z602="",$Z602=6),"",WORKDAY($AA602,CHOOSE($Z602,3,3,2,2,3),Holidays))</f>
        <v/>
      </c>
      <c r="AC602" s="17">
        <f>IF(OR($Z602="",$Z602=6),"",CHOOSE($Z602,"1st Email Follow-up","2nd Email Follow-up","Escalate Local Office","Escalate to CBE","Escalate to Roxanne"))</f>
        <v/>
      </c>
    </row>
    <row r="603" spans="13:29">
      <c r="M603" s="14"/>
      <c r="T603" s="16"/>
      <c r="U603" s="17">
        <f>IF(AND(COUNTA($A603:$L603)=0,$N603=""),"",IF($T603="Paid","PAID",IF($T603="Closed","CLOSED",IF($Z603="","",IF($Z603=6,"ESCALATED TO ROXANNE",IF(TODAY()&gt;$AB603,"OVERDUE",IF($AB603&lt;=WORKDAY(TODAY(),1,Holidays),"DUE TOMORROW",IF($Z603=4,"ESCALATED TO LOCAL OFFICE",IF($Z603=5,"ESCALATED TO CBE",IF($AA603=TODAY(),"EMAIL SENT","MONITORING"))))))))))</f>
        <v/>
      </c>
      <c r="V603" s="17">
        <f>IF($U603="",IF(AND(COUNTA($A603:$L603)&gt;0,$N603=""),"Awaiting Collection Email time stamp.",""),IF(OR($U603="PAID",$U603="CLOSED"),IF($U603="PAID","Account paid. Action completed.","Account closed. No further action required."),CHOOSE($Z603,"Collection Email","1st Email Follow-up","2nd Email Follow-up","Escalation to Local Office","Escalation to CBE","Escalation to Roxanne")&amp;" sent "&amp;TEXT($AA603,"dd-mmm")&amp;". "&amp;IF($Z603=6,"Final escalation completed.",IF($U603="OVERDUE","Next: "&amp;$AC603&amp;" was due "&amp;TEXT($AB603,"dd-mmm")&amp;" - "&amp;(NETWORKDAYS($AB603,TODAY(),Holidays)-1)&amp;" business day(s) late. Send now.",IF($U603="DUE TOMORROW","Next: "&amp;$AC603&amp;IF($AB603&lt;=TODAY()," is due TODAY ("," is due next business day (")&amp;TEXT($AB603,"dd-mmm")&amp;").","Next: "&amp;$AC603&amp;" due "&amp;TEXT($AB603,"dd-mmm")&amp;" ("&amp;(NETWORKDAYS(TODAY(),$AB603,Holidays)-1)&amp;" business day(s) left).")))))</f>
        <v/>
      </c>
      <c r="W603" s="17">
        <f>IF($Z603="","",CHOOSE($Z603,"Collection Email","1st Follow-up","2nd Follow-up","Local Office","CBE","Roxanne")&amp;IF($Z603=6," - Final"," - Day "&amp;MAX(0,NETWORKDAYS($AA603,TODAY(),Holidays)-1)&amp;" of "&amp;CHOOSE($Z603,3,3,2,2,3))&amp;" | Total Day "&amp;MAX(0,NETWORKDAYS($N603,TODAY(),Holidays)-1))</f>
        <v/>
      </c>
      <c r="X603" s="18"/>
      <c r="Y603" s="18"/>
      <c r="Z603" s="17">
        <f>IF($N603="","",COUNT($N603:$S603))</f>
        <v/>
      </c>
      <c r="AA603" s="19">
        <f>IF($Z603="","",INT(INDEX($N603:$S603,$Z603)))</f>
        <v/>
      </c>
      <c r="AB603" s="19">
        <f>IF(OR($Z603="",$Z603=6),"",WORKDAY($AA603,CHOOSE($Z603,3,3,2,2,3),Holidays))</f>
        <v/>
      </c>
      <c r="AC603" s="17">
        <f>IF(OR($Z603="",$Z603=6),"",CHOOSE($Z603,"1st Email Follow-up","2nd Email Follow-up","Escalate Local Office","Escalate to CBE","Escalate to Roxanne"))</f>
        <v/>
      </c>
    </row>
    <row r="604" spans="13:29">
      <c r="M604" s="14"/>
      <c r="T604" s="16"/>
      <c r="U604" s="17">
        <f>IF(AND(COUNTA($A604:$L604)=0,$N604=""),"",IF($T604="Paid","PAID",IF($T604="Closed","CLOSED",IF($Z604="","",IF($Z604=6,"ESCALATED TO ROXANNE",IF(TODAY()&gt;$AB604,"OVERDUE",IF($AB604&lt;=WORKDAY(TODAY(),1,Holidays),"DUE TOMORROW",IF($Z604=4,"ESCALATED TO LOCAL OFFICE",IF($Z604=5,"ESCALATED TO CBE",IF($AA604=TODAY(),"EMAIL SENT","MONITORING"))))))))))</f>
        <v/>
      </c>
      <c r="V604" s="17">
        <f>IF($U604="",IF(AND(COUNTA($A604:$L604)&gt;0,$N604=""),"Awaiting Collection Email time stamp.",""),IF(OR($U604="PAID",$U604="CLOSED"),IF($U604="PAID","Account paid. Action completed.","Account closed. No further action required."),CHOOSE($Z604,"Collection Email","1st Email Follow-up","2nd Email Follow-up","Escalation to Local Office","Escalation to CBE","Escalation to Roxanne")&amp;" sent "&amp;TEXT($AA604,"dd-mmm")&amp;". "&amp;IF($Z604=6,"Final escalation completed.",IF($U604="OVERDUE","Next: "&amp;$AC604&amp;" was due "&amp;TEXT($AB604,"dd-mmm")&amp;" - "&amp;(NETWORKDAYS($AB604,TODAY(),Holidays)-1)&amp;" business day(s) late. Send now.",IF($U604="DUE TOMORROW","Next: "&amp;$AC604&amp;IF($AB604&lt;=TODAY()," is due TODAY ("," is due next business day (")&amp;TEXT($AB604,"dd-mmm")&amp;").","Next: "&amp;$AC604&amp;" due "&amp;TEXT($AB604,"dd-mmm")&amp;" ("&amp;(NETWORKDAYS(TODAY(),$AB604,Holidays)-1)&amp;" business day(s) left).")))))</f>
        <v/>
      </c>
      <c r="W604" s="17">
        <f>IF($Z604="","",CHOOSE($Z604,"Collection Email","1st Follow-up","2nd Follow-up","Local Office","CBE","Roxanne")&amp;IF($Z604=6," - Final"," - Day "&amp;MAX(0,NETWORKDAYS($AA604,TODAY(),Holidays)-1)&amp;" of "&amp;CHOOSE($Z604,3,3,2,2,3))&amp;" | Total Day "&amp;MAX(0,NETWORKDAYS($N604,TODAY(),Holidays)-1))</f>
        <v/>
      </c>
      <c r="X604" s="18"/>
      <c r="Y604" s="18"/>
      <c r="Z604" s="17">
        <f>IF($N604="","",COUNT($N604:$S604))</f>
        <v/>
      </c>
      <c r="AA604" s="19">
        <f>IF($Z604="","",INT(INDEX($N604:$S604,$Z604)))</f>
        <v/>
      </c>
      <c r="AB604" s="19">
        <f>IF(OR($Z604="",$Z604=6),"",WORKDAY($AA604,CHOOSE($Z604,3,3,2,2,3),Holidays))</f>
        <v/>
      </c>
      <c r="AC604" s="17">
        <f>IF(OR($Z604="",$Z604=6),"",CHOOSE($Z604,"1st Email Follow-up","2nd Email Follow-up","Escalate Local Office","Escalate to CBE","Escalate to Roxanne"))</f>
        <v/>
      </c>
    </row>
    <row r="605" spans="13:29">
      <c r="M605" s="14"/>
      <c r="T605" s="16"/>
      <c r="U605" s="17">
        <f>IF(AND(COUNTA($A605:$L605)=0,$N605=""),"",IF($T605="Paid","PAID",IF($T605="Closed","CLOSED",IF($Z605="","",IF($Z605=6,"ESCALATED TO ROXANNE",IF(TODAY()&gt;$AB605,"OVERDUE",IF($AB605&lt;=WORKDAY(TODAY(),1,Holidays),"DUE TOMORROW",IF($Z605=4,"ESCALATED TO LOCAL OFFICE",IF($Z605=5,"ESCALATED TO CBE",IF($AA605=TODAY(),"EMAIL SENT","MONITORING"))))))))))</f>
        <v/>
      </c>
      <c r="V605" s="17">
        <f>IF($U605="",IF(AND(COUNTA($A605:$L605)&gt;0,$N605=""),"Awaiting Collection Email time stamp.",""),IF(OR($U605="PAID",$U605="CLOSED"),IF($U605="PAID","Account paid. Action completed.","Account closed. No further action required."),CHOOSE($Z605,"Collection Email","1st Email Follow-up","2nd Email Follow-up","Escalation to Local Office","Escalation to CBE","Escalation to Roxanne")&amp;" sent "&amp;TEXT($AA605,"dd-mmm")&amp;". "&amp;IF($Z605=6,"Final escalation completed.",IF($U605="OVERDUE","Next: "&amp;$AC605&amp;" was due "&amp;TEXT($AB605,"dd-mmm")&amp;" - "&amp;(NETWORKDAYS($AB605,TODAY(),Holidays)-1)&amp;" business day(s) late. Send now.",IF($U605="DUE TOMORROW","Next: "&amp;$AC605&amp;IF($AB605&lt;=TODAY()," is due TODAY ("," is due next business day (")&amp;TEXT($AB605,"dd-mmm")&amp;").","Next: "&amp;$AC605&amp;" due "&amp;TEXT($AB605,"dd-mmm")&amp;" ("&amp;(NETWORKDAYS(TODAY(),$AB605,Holidays)-1)&amp;" business day(s) left).")))))</f>
        <v/>
      </c>
      <c r="W605" s="17">
        <f>IF($Z605="","",CHOOSE($Z605,"Collection Email","1st Follow-up","2nd Follow-up","Local Office","CBE","Roxanne")&amp;IF($Z605=6," - Final"," - Day "&amp;MAX(0,NETWORKDAYS($AA605,TODAY(),Holidays)-1)&amp;" of "&amp;CHOOSE($Z605,3,3,2,2,3))&amp;" | Total Day "&amp;MAX(0,NETWORKDAYS($N605,TODAY(),Holidays)-1))</f>
        <v/>
      </c>
      <c r="X605" s="18"/>
      <c r="Y605" s="18"/>
      <c r="Z605" s="17">
        <f>IF($N605="","",COUNT($N605:$S605))</f>
        <v/>
      </c>
      <c r="AA605" s="19">
        <f>IF($Z605="","",INT(INDEX($N605:$S605,$Z605)))</f>
        <v/>
      </c>
      <c r="AB605" s="19">
        <f>IF(OR($Z605="",$Z605=6),"",WORKDAY($AA605,CHOOSE($Z605,3,3,2,2,3),Holidays))</f>
        <v/>
      </c>
      <c r="AC605" s="17">
        <f>IF(OR($Z605="",$Z605=6),"",CHOOSE($Z605,"1st Email Follow-up","2nd Email Follow-up","Escalate Local Office","Escalate to CBE","Escalate to Roxanne"))</f>
        <v/>
      </c>
    </row>
    <row r="606" spans="13:29">
      <c r="M606" s="14"/>
      <c r="T606" s="16"/>
      <c r="U606" s="17">
        <f>IF(AND(COUNTA($A606:$L606)=0,$N606=""),"",IF($T606="Paid","PAID",IF($T606="Closed","CLOSED",IF($Z606="","",IF($Z606=6,"ESCALATED TO ROXANNE",IF(TODAY()&gt;$AB606,"OVERDUE",IF($AB606&lt;=WORKDAY(TODAY(),1,Holidays),"DUE TOMORROW",IF($Z606=4,"ESCALATED TO LOCAL OFFICE",IF($Z606=5,"ESCALATED TO CBE",IF($AA606=TODAY(),"EMAIL SENT","MONITORING"))))))))))</f>
        <v/>
      </c>
      <c r="V606" s="17">
        <f>IF($U606="",IF(AND(COUNTA($A606:$L606)&gt;0,$N606=""),"Awaiting Collection Email time stamp.",""),IF(OR($U606="PAID",$U606="CLOSED"),IF($U606="PAID","Account paid. Action completed.","Account closed. No further action required."),CHOOSE($Z606,"Collection Email","1st Email Follow-up","2nd Email Follow-up","Escalation to Local Office","Escalation to CBE","Escalation to Roxanne")&amp;" sent "&amp;TEXT($AA606,"dd-mmm")&amp;". "&amp;IF($Z606=6,"Final escalation completed.",IF($U606="OVERDUE","Next: "&amp;$AC606&amp;" was due "&amp;TEXT($AB606,"dd-mmm")&amp;" - "&amp;(NETWORKDAYS($AB606,TODAY(),Holidays)-1)&amp;" business day(s) late. Send now.",IF($U606="DUE TOMORROW","Next: "&amp;$AC606&amp;IF($AB606&lt;=TODAY()," is due TODAY ("," is due next business day (")&amp;TEXT($AB606,"dd-mmm")&amp;").","Next: "&amp;$AC606&amp;" due "&amp;TEXT($AB606,"dd-mmm")&amp;" ("&amp;(NETWORKDAYS(TODAY(),$AB606,Holidays)-1)&amp;" business day(s) left).")))))</f>
        <v/>
      </c>
      <c r="W606" s="17">
        <f>IF($Z606="","",CHOOSE($Z606,"Collection Email","1st Follow-up","2nd Follow-up","Local Office","CBE","Roxanne")&amp;IF($Z606=6," - Final"," - Day "&amp;MAX(0,NETWORKDAYS($AA606,TODAY(),Holidays)-1)&amp;" of "&amp;CHOOSE($Z606,3,3,2,2,3))&amp;" | Total Day "&amp;MAX(0,NETWORKDAYS($N606,TODAY(),Holidays)-1))</f>
        <v/>
      </c>
      <c r="X606" s="18"/>
      <c r="Y606" s="18"/>
      <c r="Z606" s="17">
        <f>IF($N606="","",COUNT($N606:$S606))</f>
        <v/>
      </c>
      <c r="AA606" s="19">
        <f>IF($Z606="","",INT(INDEX($N606:$S606,$Z606)))</f>
        <v/>
      </c>
      <c r="AB606" s="19">
        <f>IF(OR($Z606="",$Z606=6),"",WORKDAY($AA606,CHOOSE($Z606,3,3,2,2,3),Holidays))</f>
        <v/>
      </c>
      <c r="AC606" s="17">
        <f>IF(OR($Z606="",$Z606=6),"",CHOOSE($Z606,"1st Email Follow-up","2nd Email Follow-up","Escalate Local Office","Escalate to CBE","Escalate to Roxanne"))</f>
        <v/>
      </c>
    </row>
    <row r="607" spans="13:29">
      <c r="M607" s="14"/>
      <c r="T607" s="16"/>
      <c r="U607" s="17">
        <f>IF(AND(COUNTA($A607:$L607)=0,$N607=""),"",IF($T607="Paid","PAID",IF($T607="Closed","CLOSED",IF($Z607="","",IF($Z607=6,"ESCALATED TO ROXANNE",IF(TODAY()&gt;$AB607,"OVERDUE",IF($AB607&lt;=WORKDAY(TODAY(),1,Holidays),"DUE TOMORROW",IF($Z607=4,"ESCALATED TO LOCAL OFFICE",IF($Z607=5,"ESCALATED TO CBE",IF($AA607=TODAY(),"EMAIL SENT","MONITORING"))))))))))</f>
        <v/>
      </c>
      <c r="V607" s="17">
        <f>IF($U607="",IF(AND(COUNTA($A607:$L607)&gt;0,$N607=""),"Awaiting Collection Email time stamp.",""),IF(OR($U607="PAID",$U607="CLOSED"),IF($U607="PAID","Account paid. Action completed.","Account closed. No further action required."),CHOOSE($Z607,"Collection Email","1st Email Follow-up","2nd Email Follow-up","Escalation to Local Office","Escalation to CBE","Escalation to Roxanne")&amp;" sent "&amp;TEXT($AA607,"dd-mmm")&amp;". "&amp;IF($Z607=6,"Final escalation completed.",IF($U607="OVERDUE","Next: "&amp;$AC607&amp;" was due "&amp;TEXT($AB607,"dd-mmm")&amp;" - "&amp;(NETWORKDAYS($AB607,TODAY(),Holidays)-1)&amp;" business day(s) late. Send now.",IF($U607="DUE TOMORROW","Next: "&amp;$AC607&amp;IF($AB607&lt;=TODAY()," is due TODAY ("," is due next business day (")&amp;TEXT($AB607,"dd-mmm")&amp;").","Next: "&amp;$AC607&amp;" due "&amp;TEXT($AB607,"dd-mmm")&amp;" ("&amp;(NETWORKDAYS(TODAY(),$AB607,Holidays)-1)&amp;" business day(s) left).")))))</f>
        <v/>
      </c>
      <c r="W607" s="17">
        <f>IF($Z607="","",CHOOSE($Z607,"Collection Email","1st Follow-up","2nd Follow-up","Local Office","CBE","Roxanne")&amp;IF($Z607=6," - Final"," - Day "&amp;MAX(0,NETWORKDAYS($AA607,TODAY(),Holidays)-1)&amp;" of "&amp;CHOOSE($Z607,3,3,2,2,3))&amp;" | Total Day "&amp;MAX(0,NETWORKDAYS($N607,TODAY(),Holidays)-1))</f>
        <v/>
      </c>
      <c r="X607" s="18"/>
      <c r="Y607" s="18"/>
      <c r="Z607" s="17">
        <f>IF($N607="","",COUNT($N607:$S607))</f>
        <v/>
      </c>
      <c r="AA607" s="19">
        <f>IF($Z607="","",INT(INDEX($N607:$S607,$Z607)))</f>
        <v/>
      </c>
      <c r="AB607" s="19">
        <f>IF(OR($Z607="",$Z607=6),"",WORKDAY($AA607,CHOOSE($Z607,3,3,2,2,3),Holidays))</f>
        <v/>
      </c>
      <c r="AC607" s="17">
        <f>IF(OR($Z607="",$Z607=6),"",CHOOSE($Z607,"1st Email Follow-up","2nd Email Follow-up","Escalate Local Office","Escalate to CBE","Escalate to Roxanne"))</f>
        <v/>
      </c>
    </row>
    <row r="608" spans="13:29">
      <c r="M608" s="14"/>
      <c r="T608" s="16"/>
      <c r="U608" s="17">
        <f>IF(AND(COUNTA($A608:$L608)=0,$N608=""),"",IF($T608="Paid","PAID",IF($T608="Closed","CLOSED",IF($Z608="","",IF($Z608=6,"ESCALATED TO ROXANNE",IF(TODAY()&gt;$AB608,"OVERDUE",IF($AB608&lt;=WORKDAY(TODAY(),1,Holidays),"DUE TOMORROW",IF($Z608=4,"ESCALATED TO LOCAL OFFICE",IF($Z608=5,"ESCALATED TO CBE",IF($AA608=TODAY(),"EMAIL SENT","MONITORING"))))))))))</f>
        <v/>
      </c>
      <c r="V608" s="17">
        <f>IF($U608="",IF(AND(COUNTA($A608:$L608)&gt;0,$N608=""),"Awaiting Collection Email time stamp.",""),IF(OR($U608="PAID",$U608="CLOSED"),IF($U608="PAID","Account paid. Action completed.","Account closed. No further action required."),CHOOSE($Z608,"Collection Email","1st Email Follow-up","2nd Email Follow-up","Escalation to Local Office","Escalation to CBE","Escalation to Roxanne")&amp;" sent "&amp;TEXT($AA608,"dd-mmm")&amp;". "&amp;IF($Z608=6,"Final escalation completed.",IF($U608="OVERDUE","Next: "&amp;$AC608&amp;" was due "&amp;TEXT($AB608,"dd-mmm")&amp;" - "&amp;(NETWORKDAYS($AB608,TODAY(),Holidays)-1)&amp;" business day(s) late. Send now.",IF($U608="DUE TOMORROW","Next: "&amp;$AC608&amp;IF($AB608&lt;=TODAY()," is due TODAY ("," is due next business day (")&amp;TEXT($AB608,"dd-mmm")&amp;").","Next: "&amp;$AC608&amp;" due "&amp;TEXT($AB608,"dd-mmm")&amp;" ("&amp;(NETWORKDAYS(TODAY(),$AB608,Holidays)-1)&amp;" business day(s) left).")))))</f>
        <v/>
      </c>
      <c r="W608" s="17">
        <f>IF($Z608="","",CHOOSE($Z608,"Collection Email","1st Follow-up","2nd Follow-up","Local Office","CBE","Roxanne")&amp;IF($Z608=6," - Final"," - Day "&amp;MAX(0,NETWORKDAYS($AA608,TODAY(),Holidays)-1)&amp;" of "&amp;CHOOSE($Z608,3,3,2,2,3))&amp;" | Total Day "&amp;MAX(0,NETWORKDAYS($N608,TODAY(),Holidays)-1))</f>
        <v/>
      </c>
      <c r="X608" s="18"/>
      <c r="Y608" s="18"/>
      <c r="Z608" s="17">
        <f>IF($N608="","",COUNT($N608:$S608))</f>
        <v/>
      </c>
      <c r="AA608" s="19">
        <f>IF($Z608="","",INT(INDEX($N608:$S608,$Z608)))</f>
        <v/>
      </c>
      <c r="AB608" s="19">
        <f>IF(OR($Z608="",$Z608=6),"",WORKDAY($AA608,CHOOSE($Z608,3,3,2,2,3),Holidays))</f>
        <v/>
      </c>
      <c r="AC608" s="17">
        <f>IF(OR($Z608="",$Z608=6),"",CHOOSE($Z608,"1st Email Follow-up","2nd Email Follow-up","Escalate Local Office","Escalate to CBE","Escalate to Roxanne"))</f>
        <v/>
      </c>
    </row>
    <row r="609" spans="13:29">
      <c r="M609" s="14"/>
      <c r="T609" s="16"/>
      <c r="U609" s="17">
        <f>IF(AND(COUNTA($A609:$L609)=0,$N609=""),"",IF($T609="Paid","PAID",IF($T609="Closed","CLOSED",IF($Z609="","",IF($Z609=6,"ESCALATED TO ROXANNE",IF(TODAY()&gt;$AB609,"OVERDUE",IF($AB609&lt;=WORKDAY(TODAY(),1,Holidays),"DUE TOMORROW",IF($Z609=4,"ESCALATED TO LOCAL OFFICE",IF($Z609=5,"ESCALATED TO CBE",IF($AA609=TODAY(),"EMAIL SENT","MONITORING"))))))))))</f>
        <v/>
      </c>
      <c r="V609" s="17">
        <f>IF($U609="",IF(AND(COUNTA($A609:$L609)&gt;0,$N609=""),"Awaiting Collection Email time stamp.",""),IF(OR($U609="PAID",$U609="CLOSED"),IF($U609="PAID","Account paid. Action completed.","Account closed. No further action required."),CHOOSE($Z609,"Collection Email","1st Email Follow-up","2nd Email Follow-up","Escalation to Local Office","Escalation to CBE","Escalation to Roxanne")&amp;" sent "&amp;TEXT($AA609,"dd-mmm")&amp;". "&amp;IF($Z609=6,"Final escalation completed.",IF($U609="OVERDUE","Next: "&amp;$AC609&amp;" was due "&amp;TEXT($AB609,"dd-mmm")&amp;" - "&amp;(NETWORKDAYS($AB609,TODAY(),Holidays)-1)&amp;" business day(s) late. Send now.",IF($U609="DUE TOMORROW","Next: "&amp;$AC609&amp;IF($AB609&lt;=TODAY()," is due TODAY ("," is due next business day (")&amp;TEXT($AB609,"dd-mmm")&amp;").","Next: "&amp;$AC609&amp;" due "&amp;TEXT($AB609,"dd-mmm")&amp;" ("&amp;(NETWORKDAYS(TODAY(),$AB609,Holidays)-1)&amp;" business day(s) left).")))))</f>
        <v/>
      </c>
      <c r="W609" s="17">
        <f>IF($Z609="","",CHOOSE($Z609,"Collection Email","1st Follow-up","2nd Follow-up","Local Office","CBE","Roxanne")&amp;IF($Z609=6," - Final"," - Day "&amp;MAX(0,NETWORKDAYS($AA609,TODAY(),Holidays)-1)&amp;" of "&amp;CHOOSE($Z609,3,3,2,2,3))&amp;" | Total Day "&amp;MAX(0,NETWORKDAYS($N609,TODAY(),Holidays)-1))</f>
        <v/>
      </c>
      <c r="X609" s="18"/>
      <c r="Y609" s="18"/>
      <c r="Z609" s="17">
        <f>IF($N609="","",COUNT($N609:$S609))</f>
        <v/>
      </c>
      <c r="AA609" s="19">
        <f>IF($Z609="","",INT(INDEX($N609:$S609,$Z609)))</f>
        <v/>
      </c>
      <c r="AB609" s="19">
        <f>IF(OR($Z609="",$Z609=6),"",WORKDAY($AA609,CHOOSE($Z609,3,3,2,2,3),Holidays))</f>
        <v/>
      </c>
      <c r="AC609" s="17">
        <f>IF(OR($Z609="",$Z609=6),"",CHOOSE($Z609,"1st Email Follow-up","2nd Email Follow-up","Escalate Local Office","Escalate to CBE","Escalate to Roxanne"))</f>
        <v/>
      </c>
    </row>
    <row r="610" spans="13:29">
      <c r="M610" s="14"/>
      <c r="T610" s="16"/>
      <c r="U610" s="17">
        <f>IF(AND(COUNTA($A610:$L610)=0,$N610=""),"",IF($T610="Paid","PAID",IF($T610="Closed","CLOSED",IF($Z610="","",IF($Z610=6,"ESCALATED TO ROXANNE",IF(TODAY()&gt;$AB610,"OVERDUE",IF($AB610&lt;=WORKDAY(TODAY(),1,Holidays),"DUE TOMORROW",IF($Z610=4,"ESCALATED TO LOCAL OFFICE",IF($Z610=5,"ESCALATED TO CBE",IF($AA610=TODAY(),"EMAIL SENT","MONITORING"))))))))))</f>
        <v/>
      </c>
      <c r="V610" s="17">
        <f>IF($U610="",IF(AND(COUNTA($A610:$L610)&gt;0,$N610=""),"Awaiting Collection Email time stamp.",""),IF(OR($U610="PAID",$U610="CLOSED"),IF($U610="PAID","Account paid. Action completed.","Account closed. No further action required."),CHOOSE($Z610,"Collection Email","1st Email Follow-up","2nd Email Follow-up","Escalation to Local Office","Escalation to CBE","Escalation to Roxanne")&amp;" sent "&amp;TEXT($AA610,"dd-mmm")&amp;". "&amp;IF($Z610=6,"Final escalation completed.",IF($U610="OVERDUE","Next: "&amp;$AC610&amp;" was due "&amp;TEXT($AB610,"dd-mmm")&amp;" - "&amp;(NETWORKDAYS($AB610,TODAY(),Holidays)-1)&amp;" business day(s) late. Send now.",IF($U610="DUE TOMORROW","Next: "&amp;$AC610&amp;IF($AB610&lt;=TODAY()," is due TODAY ("," is due next business day (")&amp;TEXT($AB610,"dd-mmm")&amp;").","Next: "&amp;$AC610&amp;" due "&amp;TEXT($AB610,"dd-mmm")&amp;" ("&amp;(NETWORKDAYS(TODAY(),$AB610,Holidays)-1)&amp;" business day(s) left).")))))</f>
        <v/>
      </c>
      <c r="W610" s="17">
        <f>IF($Z610="","",CHOOSE($Z610,"Collection Email","1st Follow-up","2nd Follow-up","Local Office","CBE","Roxanne")&amp;IF($Z610=6," - Final"," - Day "&amp;MAX(0,NETWORKDAYS($AA610,TODAY(),Holidays)-1)&amp;" of "&amp;CHOOSE($Z610,3,3,2,2,3))&amp;" | Total Day "&amp;MAX(0,NETWORKDAYS($N610,TODAY(),Holidays)-1))</f>
        <v/>
      </c>
      <c r="X610" s="18"/>
      <c r="Y610" s="18"/>
      <c r="Z610" s="17">
        <f>IF($N610="","",COUNT($N610:$S610))</f>
        <v/>
      </c>
      <c r="AA610" s="19">
        <f>IF($Z610="","",INT(INDEX($N610:$S610,$Z610)))</f>
        <v/>
      </c>
      <c r="AB610" s="19">
        <f>IF(OR($Z610="",$Z610=6),"",WORKDAY($AA610,CHOOSE($Z610,3,3,2,2,3),Holidays))</f>
        <v/>
      </c>
      <c r="AC610" s="17">
        <f>IF(OR($Z610="",$Z610=6),"",CHOOSE($Z610,"1st Email Follow-up","2nd Email Follow-up","Escalate Local Office","Escalate to CBE","Escalate to Roxanne"))</f>
        <v/>
      </c>
    </row>
    <row r="611" spans="13:29">
      <c r="M611" s="14"/>
      <c r="T611" s="16"/>
      <c r="U611" s="17">
        <f>IF(AND(COUNTA($A611:$L611)=0,$N611=""),"",IF($T611="Paid","PAID",IF($T611="Closed","CLOSED",IF($Z611="","",IF($Z611=6,"ESCALATED TO ROXANNE",IF(TODAY()&gt;$AB611,"OVERDUE",IF($AB611&lt;=WORKDAY(TODAY(),1,Holidays),"DUE TOMORROW",IF($Z611=4,"ESCALATED TO LOCAL OFFICE",IF($Z611=5,"ESCALATED TO CBE",IF($AA611=TODAY(),"EMAIL SENT","MONITORING"))))))))))</f>
        <v/>
      </c>
      <c r="V611" s="17">
        <f>IF($U611="",IF(AND(COUNTA($A611:$L611)&gt;0,$N611=""),"Awaiting Collection Email time stamp.",""),IF(OR($U611="PAID",$U611="CLOSED"),IF($U611="PAID","Account paid. Action completed.","Account closed. No further action required."),CHOOSE($Z611,"Collection Email","1st Email Follow-up","2nd Email Follow-up","Escalation to Local Office","Escalation to CBE","Escalation to Roxanne")&amp;" sent "&amp;TEXT($AA611,"dd-mmm")&amp;". "&amp;IF($Z611=6,"Final escalation completed.",IF($U611="OVERDUE","Next: "&amp;$AC611&amp;" was due "&amp;TEXT($AB611,"dd-mmm")&amp;" - "&amp;(NETWORKDAYS($AB611,TODAY(),Holidays)-1)&amp;" business day(s) late. Send now.",IF($U611="DUE TOMORROW","Next: "&amp;$AC611&amp;IF($AB611&lt;=TODAY()," is due TODAY ("," is due next business day (")&amp;TEXT($AB611,"dd-mmm")&amp;").","Next: "&amp;$AC611&amp;" due "&amp;TEXT($AB611,"dd-mmm")&amp;" ("&amp;(NETWORKDAYS(TODAY(),$AB611,Holidays)-1)&amp;" business day(s) left).")))))</f>
        <v/>
      </c>
      <c r="W611" s="17">
        <f>IF($Z611="","",CHOOSE($Z611,"Collection Email","1st Follow-up","2nd Follow-up","Local Office","CBE","Roxanne")&amp;IF($Z611=6," - Final"," - Day "&amp;MAX(0,NETWORKDAYS($AA611,TODAY(),Holidays)-1)&amp;" of "&amp;CHOOSE($Z611,3,3,2,2,3))&amp;" | Total Day "&amp;MAX(0,NETWORKDAYS($N611,TODAY(),Holidays)-1))</f>
        <v/>
      </c>
      <c r="X611" s="18"/>
      <c r="Y611" s="18"/>
      <c r="Z611" s="17">
        <f>IF($N611="","",COUNT($N611:$S611))</f>
        <v/>
      </c>
      <c r="AA611" s="19">
        <f>IF($Z611="","",INT(INDEX($N611:$S611,$Z611)))</f>
        <v/>
      </c>
      <c r="AB611" s="19">
        <f>IF(OR($Z611="",$Z611=6),"",WORKDAY($AA611,CHOOSE($Z611,3,3,2,2,3),Holidays))</f>
        <v/>
      </c>
      <c r="AC611" s="17">
        <f>IF(OR($Z611="",$Z611=6),"",CHOOSE($Z611,"1st Email Follow-up","2nd Email Follow-up","Escalate Local Office","Escalate to CBE","Escalate to Roxanne"))</f>
        <v/>
      </c>
    </row>
    <row r="612" spans="13:29">
      <c r="M612" s="14"/>
      <c r="T612" s="16"/>
      <c r="U612" s="17">
        <f>IF(AND(COUNTA($A612:$L612)=0,$N612=""),"",IF($T612="Paid","PAID",IF($T612="Closed","CLOSED",IF($Z612="","",IF($Z612=6,"ESCALATED TO ROXANNE",IF(TODAY()&gt;$AB612,"OVERDUE",IF($AB612&lt;=WORKDAY(TODAY(),1,Holidays),"DUE TOMORROW",IF($Z612=4,"ESCALATED TO LOCAL OFFICE",IF($Z612=5,"ESCALATED TO CBE",IF($AA612=TODAY(),"EMAIL SENT","MONITORING"))))))))))</f>
        <v/>
      </c>
      <c r="V612" s="17">
        <f>IF($U612="",IF(AND(COUNTA($A612:$L612)&gt;0,$N612=""),"Awaiting Collection Email time stamp.",""),IF(OR($U612="PAID",$U612="CLOSED"),IF($U612="PAID","Account paid. Action completed.","Account closed. No further action required."),CHOOSE($Z612,"Collection Email","1st Email Follow-up","2nd Email Follow-up","Escalation to Local Office","Escalation to CBE","Escalation to Roxanne")&amp;" sent "&amp;TEXT($AA612,"dd-mmm")&amp;". "&amp;IF($Z612=6,"Final escalation completed.",IF($U612="OVERDUE","Next: "&amp;$AC612&amp;" was due "&amp;TEXT($AB612,"dd-mmm")&amp;" - "&amp;(NETWORKDAYS($AB612,TODAY(),Holidays)-1)&amp;" business day(s) late. Send now.",IF($U612="DUE TOMORROW","Next: "&amp;$AC612&amp;IF($AB612&lt;=TODAY()," is due TODAY ("," is due next business day (")&amp;TEXT($AB612,"dd-mmm")&amp;").","Next: "&amp;$AC612&amp;" due "&amp;TEXT($AB612,"dd-mmm")&amp;" ("&amp;(NETWORKDAYS(TODAY(),$AB612,Holidays)-1)&amp;" business day(s) left).")))))</f>
        <v/>
      </c>
      <c r="W612" s="17">
        <f>IF($Z612="","",CHOOSE($Z612,"Collection Email","1st Follow-up","2nd Follow-up","Local Office","CBE","Roxanne")&amp;IF($Z612=6," - Final"," - Day "&amp;MAX(0,NETWORKDAYS($AA612,TODAY(),Holidays)-1)&amp;" of "&amp;CHOOSE($Z612,3,3,2,2,3))&amp;" | Total Day "&amp;MAX(0,NETWORKDAYS($N612,TODAY(),Holidays)-1))</f>
        <v/>
      </c>
      <c r="X612" s="18"/>
      <c r="Y612" s="18"/>
      <c r="Z612" s="17">
        <f>IF($N612="","",COUNT($N612:$S612))</f>
        <v/>
      </c>
      <c r="AA612" s="19">
        <f>IF($Z612="","",INT(INDEX($N612:$S612,$Z612)))</f>
        <v/>
      </c>
      <c r="AB612" s="19">
        <f>IF(OR($Z612="",$Z612=6),"",WORKDAY($AA612,CHOOSE($Z612,3,3,2,2,3),Holidays))</f>
        <v/>
      </c>
      <c r="AC612" s="17">
        <f>IF(OR($Z612="",$Z612=6),"",CHOOSE($Z612,"1st Email Follow-up","2nd Email Follow-up","Escalate Local Office","Escalate to CBE","Escalate to Roxanne"))</f>
        <v/>
      </c>
    </row>
    <row r="613" spans="13:29">
      <c r="M613" s="14"/>
      <c r="T613" s="16"/>
      <c r="U613" s="17">
        <f>IF(AND(COUNTA($A613:$L613)=0,$N613=""),"",IF($T613="Paid","PAID",IF($T613="Closed","CLOSED",IF($Z613="","",IF($Z613=6,"ESCALATED TO ROXANNE",IF(TODAY()&gt;$AB613,"OVERDUE",IF($AB613&lt;=WORKDAY(TODAY(),1,Holidays),"DUE TOMORROW",IF($Z613=4,"ESCALATED TO LOCAL OFFICE",IF($Z613=5,"ESCALATED TO CBE",IF($AA613=TODAY(),"EMAIL SENT","MONITORING"))))))))))</f>
        <v/>
      </c>
      <c r="V613" s="17">
        <f>IF($U613="",IF(AND(COUNTA($A613:$L613)&gt;0,$N613=""),"Awaiting Collection Email time stamp.",""),IF(OR($U613="PAID",$U613="CLOSED"),IF($U613="PAID","Account paid. Action completed.","Account closed. No further action required."),CHOOSE($Z613,"Collection Email","1st Email Follow-up","2nd Email Follow-up","Escalation to Local Office","Escalation to CBE","Escalation to Roxanne")&amp;" sent "&amp;TEXT($AA613,"dd-mmm")&amp;". "&amp;IF($Z613=6,"Final escalation completed.",IF($U613="OVERDUE","Next: "&amp;$AC613&amp;" was due "&amp;TEXT($AB613,"dd-mmm")&amp;" - "&amp;(NETWORKDAYS($AB613,TODAY(),Holidays)-1)&amp;" business day(s) late. Send now.",IF($U613="DUE TOMORROW","Next: "&amp;$AC613&amp;IF($AB613&lt;=TODAY()," is due TODAY ("," is due next business day (")&amp;TEXT($AB613,"dd-mmm")&amp;").","Next: "&amp;$AC613&amp;" due "&amp;TEXT($AB613,"dd-mmm")&amp;" ("&amp;(NETWORKDAYS(TODAY(),$AB613,Holidays)-1)&amp;" business day(s) left).")))))</f>
        <v/>
      </c>
      <c r="W613" s="17">
        <f>IF($Z613="","",CHOOSE($Z613,"Collection Email","1st Follow-up","2nd Follow-up","Local Office","CBE","Roxanne")&amp;IF($Z613=6," - Final"," - Day "&amp;MAX(0,NETWORKDAYS($AA613,TODAY(),Holidays)-1)&amp;" of "&amp;CHOOSE($Z613,3,3,2,2,3))&amp;" | Total Day "&amp;MAX(0,NETWORKDAYS($N613,TODAY(),Holidays)-1))</f>
        <v/>
      </c>
      <c r="X613" s="18"/>
      <c r="Y613" s="18"/>
      <c r="Z613" s="17">
        <f>IF($N613="","",COUNT($N613:$S613))</f>
        <v/>
      </c>
      <c r="AA613" s="19">
        <f>IF($Z613="","",INT(INDEX($N613:$S613,$Z613)))</f>
        <v/>
      </c>
      <c r="AB613" s="19">
        <f>IF(OR($Z613="",$Z613=6),"",WORKDAY($AA613,CHOOSE($Z613,3,3,2,2,3),Holidays))</f>
        <v/>
      </c>
      <c r="AC613" s="17">
        <f>IF(OR($Z613="",$Z613=6),"",CHOOSE($Z613,"1st Email Follow-up","2nd Email Follow-up","Escalate Local Office","Escalate to CBE","Escalate to Roxanne"))</f>
        <v/>
      </c>
    </row>
    <row r="614" spans="13:29">
      <c r="M614" s="14"/>
      <c r="T614" s="16"/>
      <c r="U614" s="17">
        <f>IF(AND(COUNTA($A614:$L614)=0,$N614=""),"",IF($T614="Paid","PAID",IF($T614="Closed","CLOSED",IF($Z614="","",IF($Z614=6,"ESCALATED TO ROXANNE",IF(TODAY()&gt;$AB614,"OVERDUE",IF($AB614&lt;=WORKDAY(TODAY(),1,Holidays),"DUE TOMORROW",IF($Z614=4,"ESCALATED TO LOCAL OFFICE",IF($Z614=5,"ESCALATED TO CBE",IF($AA614=TODAY(),"EMAIL SENT","MONITORING"))))))))))</f>
        <v/>
      </c>
      <c r="V614" s="17">
        <f>IF($U614="",IF(AND(COUNTA($A614:$L614)&gt;0,$N614=""),"Awaiting Collection Email time stamp.",""),IF(OR($U614="PAID",$U614="CLOSED"),IF($U614="PAID","Account paid. Action completed.","Account closed. No further action required."),CHOOSE($Z614,"Collection Email","1st Email Follow-up","2nd Email Follow-up","Escalation to Local Office","Escalation to CBE","Escalation to Roxanne")&amp;" sent "&amp;TEXT($AA614,"dd-mmm")&amp;". "&amp;IF($Z614=6,"Final escalation completed.",IF($U614="OVERDUE","Next: "&amp;$AC614&amp;" was due "&amp;TEXT($AB614,"dd-mmm")&amp;" - "&amp;(NETWORKDAYS($AB614,TODAY(),Holidays)-1)&amp;" business day(s) late. Send now.",IF($U614="DUE TOMORROW","Next: "&amp;$AC614&amp;IF($AB614&lt;=TODAY()," is due TODAY ("," is due next business day (")&amp;TEXT($AB614,"dd-mmm")&amp;").","Next: "&amp;$AC614&amp;" due "&amp;TEXT($AB614,"dd-mmm")&amp;" ("&amp;(NETWORKDAYS(TODAY(),$AB614,Holidays)-1)&amp;" business day(s) left).")))))</f>
        <v/>
      </c>
      <c r="W614" s="17">
        <f>IF($Z614="","",CHOOSE($Z614,"Collection Email","1st Follow-up","2nd Follow-up","Local Office","CBE","Roxanne")&amp;IF($Z614=6," - Final"," - Day "&amp;MAX(0,NETWORKDAYS($AA614,TODAY(),Holidays)-1)&amp;" of "&amp;CHOOSE($Z614,3,3,2,2,3))&amp;" | Total Day "&amp;MAX(0,NETWORKDAYS($N614,TODAY(),Holidays)-1))</f>
        <v/>
      </c>
      <c r="X614" s="18"/>
      <c r="Y614" s="18"/>
      <c r="Z614" s="17">
        <f>IF($N614="","",COUNT($N614:$S614))</f>
        <v/>
      </c>
      <c r="AA614" s="19">
        <f>IF($Z614="","",INT(INDEX($N614:$S614,$Z614)))</f>
        <v/>
      </c>
      <c r="AB614" s="19">
        <f>IF(OR($Z614="",$Z614=6),"",WORKDAY($AA614,CHOOSE($Z614,3,3,2,2,3),Holidays))</f>
        <v/>
      </c>
      <c r="AC614" s="17">
        <f>IF(OR($Z614="",$Z614=6),"",CHOOSE($Z614,"1st Email Follow-up","2nd Email Follow-up","Escalate Local Office","Escalate to CBE","Escalate to Roxanne"))</f>
        <v/>
      </c>
    </row>
    <row r="615" spans="13:29">
      <c r="M615" s="14"/>
      <c r="T615" s="16"/>
      <c r="U615" s="17">
        <f>IF(AND(COUNTA($A615:$L615)=0,$N615=""),"",IF($T615="Paid","PAID",IF($T615="Closed","CLOSED",IF($Z615="","",IF($Z615=6,"ESCALATED TO ROXANNE",IF(TODAY()&gt;$AB615,"OVERDUE",IF($AB615&lt;=WORKDAY(TODAY(),1,Holidays),"DUE TOMORROW",IF($Z615=4,"ESCALATED TO LOCAL OFFICE",IF($Z615=5,"ESCALATED TO CBE",IF($AA615=TODAY(),"EMAIL SENT","MONITORING"))))))))))</f>
        <v/>
      </c>
      <c r="V615" s="17">
        <f>IF($U615="",IF(AND(COUNTA($A615:$L615)&gt;0,$N615=""),"Awaiting Collection Email time stamp.",""),IF(OR($U615="PAID",$U615="CLOSED"),IF($U615="PAID","Account paid. Action completed.","Account closed. No further action required."),CHOOSE($Z615,"Collection Email","1st Email Follow-up","2nd Email Follow-up","Escalation to Local Office","Escalation to CBE","Escalation to Roxanne")&amp;" sent "&amp;TEXT($AA615,"dd-mmm")&amp;". "&amp;IF($Z615=6,"Final escalation completed.",IF($U615="OVERDUE","Next: "&amp;$AC615&amp;" was due "&amp;TEXT($AB615,"dd-mmm")&amp;" - "&amp;(NETWORKDAYS($AB615,TODAY(),Holidays)-1)&amp;" business day(s) late. Send now.",IF($U615="DUE TOMORROW","Next: "&amp;$AC615&amp;IF($AB615&lt;=TODAY()," is due TODAY ("," is due next business day (")&amp;TEXT($AB615,"dd-mmm")&amp;").","Next: "&amp;$AC615&amp;" due "&amp;TEXT($AB615,"dd-mmm")&amp;" ("&amp;(NETWORKDAYS(TODAY(),$AB615,Holidays)-1)&amp;" business day(s) left).")))))</f>
        <v/>
      </c>
      <c r="W615" s="17">
        <f>IF($Z615="","",CHOOSE($Z615,"Collection Email","1st Follow-up","2nd Follow-up","Local Office","CBE","Roxanne")&amp;IF($Z615=6," - Final"," - Day "&amp;MAX(0,NETWORKDAYS($AA615,TODAY(),Holidays)-1)&amp;" of "&amp;CHOOSE($Z615,3,3,2,2,3))&amp;" | Total Day "&amp;MAX(0,NETWORKDAYS($N615,TODAY(),Holidays)-1))</f>
        <v/>
      </c>
      <c r="X615" s="18"/>
      <c r="Y615" s="18"/>
      <c r="Z615" s="17">
        <f>IF($N615="","",COUNT($N615:$S615))</f>
        <v/>
      </c>
      <c r="AA615" s="19">
        <f>IF($Z615="","",INT(INDEX($N615:$S615,$Z615)))</f>
        <v/>
      </c>
      <c r="AB615" s="19">
        <f>IF(OR($Z615="",$Z615=6),"",WORKDAY($AA615,CHOOSE($Z615,3,3,2,2,3),Holidays))</f>
        <v/>
      </c>
      <c r="AC615" s="17">
        <f>IF(OR($Z615="",$Z615=6),"",CHOOSE($Z615,"1st Email Follow-up","2nd Email Follow-up","Escalate Local Office","Escalate to CBE","Escalate to Roxanne"))</f>
        <v/>
      </c>
    </row>
    <row r="616" spans="13:29">
      <c r="M616" s="14"/>
      <c r="T616" s="16"/>
      <c r="U616" s="17">
        <f>IF(AND(COUNTA($A616:$L616)=0,$N616=""),"",IF($T616="Paid","PAID",IF($T616="Closed","CLOSED",IF($Z616="","",IF($Z616=6,"ESCALATED TO ROXANNE",IF(TODAY()&gt;$AB616,"OVERDUE",IF($AB616&lt;=WORKDAY(TODAY(),1,Holidays),"DUE TOMORROW",IF($Z616=4,"ESCALATED TO LOCAL OFFICE",IF($Z616=5,"ESCALATED TO CBE",IF($AA616=TODAY(),"EMAIL SENT","MONITORING"))))))))))</f>
        <v/>
      </c>
      <c r="V616" s="17">
        <f>IF($U616="",IF(AND(COUNTA($A616:$L616)&gt;0,$N616=""),"Awaiting Collection Email time stamp.",""),IF(OR($U616="PAID",$U616="CLOSED"),IF($U616="PAID","Account paid. Action completed.","Account closed. No further action required."),CHOOSE($Z616,"Collection Email","1st Email Follow-up","2nd Email Follow-up","Escalation to Local Office","Escalation to CBE","Escalation to Roxanne")&amp;" sent "&amp;TEXT($AA616,"dd-mmm")&amp;". "&amp;IF($Z616=6,"Final escalation completed.",IF($U616="OVERDUE","Next: "&amp;$AC616&amp;" was due "&amp;TEXT($AB616,"dd-mmm")&amp;" - "&amp;(NETWORKDAYS($AB616,TODAY(),Holidays)-1)&amp;" business day(s) late. Send now.",IF($U616="DUE TOMORROW","Next: "&amp;$AC616&amp;IF($AB616&lt;=TODAY()," is due TODAY ("," is due next business day (")&amp;TEXT($AB616,"dd-mmm")&amp;").","Next: "&amp;$AC616&amp;" due "&amp;TEXT($AB616,"dd-mmm")&amp;" ("&amp;(NETWORKDAYS(TODAY(),$AB616,Holidays)-1)&amp;" business day(s) left).")))))</f>
        <v/>
      </c>
      <c r="W616" s="17">
        <f>IF($Z616="","",CHOOSE($Z616,"Collection Email","1st Follow-up","2nd Follow-up","Local Office","CBE","Roxanne")&amp;IF($Z616=6," - Final"," - Day "&amp;MAX(0,NETWORKDAYS($AA616,TODAY(),Holidays)-1)&amp;" of "&amp;CHOOSE($Z616,3,3,2,2,3))&amp;" | Total Day "&amp;MAX(0,NETWORKDAYS($N616,TODAY(),Holidays)-1))</f>
        <v/>
      </c>
      <c r="X616" s="18"/>
      <c r="Y616" s="18"/>
      <c r="Z616" s="17">
        <f>IF($N616="","",COUNT($N616:$S616))</f>
        <v/>
      </c>
      <c r="AA616" s="19">
        <f>IF($Z616="","",INT(INDEX($N616:$S616,$Z616)))</f>
        <v/>
      </c>
      <c r="AB616" s="19">
        <f>IF(OR($Z616="",$Z616=6),"",WORKDAY($AA616,CHOOSE($Z616,3,3,2,2,3),Holidays))</f>
        <v/>
      </c>
      <c r="AC616" s="17">
        <f>IF(OR($Z616="",$Z616=6),"",CHOOSE($Z616,"1st Email Follow-up","2nd Email Follow-up","Escalate Local Office","Escalate to CBE","Escalate to Roxanne"))</f>
        <v/>
      </c>
    </row>
    <row r="617" spans="13:29">
      <c r="M617" s="14"/>
      <c r="T617" s="16"/>
      <c r="U617" s="17">
        <f>IF(AND(COUNTA($A617:$L617)=0,$N617=""),"",IF($T617="Paid","PAID",IF($T617="Closed","CLOSED",IF($Z617="","",IF($Z617=6,"ESCALATED TO ROXANNE",IF(TODAY()&gt;$AB617,"OVERDUE",IF($AB617&lt;=WORKDAY(TODAY(),1,Holidays),"DUE TOMORROW",IF($Z617=4,"ESCALATED TO LOCAL OFFICE",IF($Z617=5,"ESCALATED TO CBE",IF($AA617=TODAY(),"EMAIL SENT","MONITORING"))))))))))</f>
        <v/>
      </c>
      <c r="V617" s="17">
        <f>IF($U617="",IF(AND(COUNTA($A617:$L617)&gt;0,$N617=""),"Awaiting Collection Email time stamp.",""),IF(OR($U617="PAID",$U617="CLOSED"),IF($U617="PAID","Account paid. Action completed.","Account closed. No further action required."),CHOOSE($Z617,"Collection Email","1st Email Follow-up","2nd Email Follow-up","Escalation to Local Office","Escalation to CBE","Escalation to Roxanne")&amp;" sent "&amp;TEXT($AA617,"dd-mmm")&amp;". "&amp;IF($Z617=6,"Final escalation completed.",IF($U617="OVERDUE","Next: "&amp;$AC617&amp;" was due "&amp;TEXT($AB617,"dd-mmm")&amp;" - "&amp;(NETWORKDAYS($AB617,TODAY(),Holidays)-1)&amp;" business day(s) late. Send now.",IF($U617="DUE TOMORROW","Next: "&amp;$AC617&amp;IF($AB617&lt;=TODAY()," is due TODAY ("," is due next business day (")&amp;TEXT($AB617,"dd-mmm")&amp;").","Next: "&amp;$AC617&amp;" due "&amp;TEXT($AB617,"dd-mmm")&amp;" ("&amp;(NETWORKDAYS(TODAY(),$AB617,Holidays)-1)&amp;" business day(s) left).")))))</f>
        <v/>
      </c>
      <c r="W617" s="17">
        <f>IF($Z617="","",CHOOSE($Z617,"Collection Email","1st Follow-up","2nd Follow-up","Local Office","CBE","Roxanne")&amp;IF($Z617=6," - Final"," - Day "&amp;MAX(0,NETWORKDAYS($AA617,TODAY(),Holidays)-1)&amp;" of "&amp;CHOOSE($Z617,3,3,2,2,3))&amp;" | Total Day "&amp;MAX(0,NETWORKDAYS($N617,TODAY(),Holidays)-1))</f>
        <v/>
      </c>
      <c r="X617" s="18"/>
      <c r="Y617" s="18"/>
      <c r="Z617" s="17">
        <f>IF($N617="","",COUNT($N617:$S617))</f>
        <v/>
      </c>
      <c r="AA617" s="19">
        <f>IF($Z617="","",INT(INDEX($N617:$S617,$Z617)))</f>
        <v/>
      </c>
      <c r="AB617" s="19">
        <f>IF(OR($Z617="",$Z617=6),"",WORKDAY($AA617,CHOOSE($Z617,3,3,2,2,3),Holidays))</f>
        <v/>
      </c>
      <c r="AC617" s="17">
        <f>IF(OR($Z617="",$Z617=6),"",CHOOSE($Z617,"1st Email Follow-up","2nd Email Follow-up","Escalate Local Office","Escalate to CBE","Escalate to Roxanne"))</f>
        <v/>
      </c>
    </row>
    <row r="618" spans="13:29">
      <c r="M618" s="14"/>
      <c r="T618" s="16"/>
      <c r="U618" s="17">
        <f>IF(AND(COUNTA($A618:$L618)=0,$N618=""),"",IF($T618="Paid","PAID",IF($T618="Closed","CLOSED",IF($Z618="","",IF($Z618=6,"ESCALATED TO ROXANNE",IF(TODAY()&gt;$AB618,"OVERDUE",IF($AB618&lt;=WORKDAY(TODAY(),1,Holidays),"DUE TOMORROW",IF($Z618=4,"ESCALATED TO LOCAL OFFICE",IF($Z618=5,"ESCALATED TO CBE",IF($AA618=TODAY(),"EMAIL SENT","MONITORING"))))))))))</f>
        <v/>
      </c>
      <c r="V618" s="17">
        <f>IF($U618="",IF(AND(COUNTA($A618:$L618)&gt;0,$N618=""),"Awaiting Collection Email time stamp.",""),IF(OR($U618="PAID",$U618="CLOSED"),IF($U618="PAID","Account paid. Action completed.","Account closed. No further action required."),CHOOSE($Z618,"Collection Email","1st Email Follow-up","2nd Email Follow-up","Escalation to Local Office","Escalation to CBE","Escalation to Roxanne")&amp;" sent "&amp;TEXT($AA618,"dd-mmm")&amp;". "&amp;IF($Z618=6,"Final escalation completed.",IF($U618="OVERDUE","Next: "&amp;$AC618&amp;" was due "&amp;TEXT($AB618,"dd-mmm")&amp;" - "&amp;(NETWORKDAYS($AB618,TODAY(),Holidays)-1)&amp;" business day(s) late. Send now.",IF($U618="DUE TOMORROW","Next: "&amp;$AC618&amp;IF($AB618&lt;=TODAY()," is due TODAY ("," is due next business day (")&amp;TEXT($AB618,"dd-mmm")&amp;").","Next: "&amp;$AC618&amp;" due "&amp;TEXT($AB618,"dd-mmm")&amp;" ("&amp;(NETWORKDAYS(TODAY(),$AB618,Holidays)-1)&amp;" business day(s) left).")))))</f>
        <v/>
      </c>
      <c r="W618" s="17">
        <f>IF($Z618="","",CHOOSE($Z618,"Collection Email","1st Follow-up","2nd Follow-up","Local Office","CBE","Roxanne")&amp;IF($Z618=6," - Final"," - Day "&amp;MAX(0,NETWORKDAYS($AA618,TODAY(),Holidays)-1)&amp;" of "&amp;CHOOSE($Z618,3,3,2,2,3))&amp;" | Total Day "&amp;MAX(0,NETWORKDAYS($N618,TODAY(),Holidays)-1))</f>
        <v/>
      </c>
      <c r="X618" s="18"/>
      <c r="Y618" s="18"/>
      <c r="Z618" s="17">
        <f>IF($N618="","",COUNT($N618:$S618))</f>
        <v/>
      </c>
      <c r="AA618" s="19">
        <f>IF($Z618="","",INT(INDEX($N618:$S618,$Z618)))</f>
        <v/>
      </c>
      <c r="AB618" s="19">
        <f>IF(OR($Z618="",$Z618=6),"",WORKDAY($AA618,CHOOSE($Z618,3,3,2,2,3),Holidays))</f>
        <v/>
      </c>
      <c r="AC618" s="17">
        <f>IF(OR($Z618="",$Z618=6),"",CHOOSE($Z618,"1st Email Follow-up","2nd Email Follow-up","Escalate Local Office","Escalate to CBE","Escalate to Roxanne"))</f>
        <v/>
      </c>
    </row>
    <row r="619" spans="13:29">
      <c r="M619" s="14"/>
      <c r="T619" s="16"/>
      <c r="U619" s="17">
        <f>IF(AND(COUNTA($A619:$L619)=0,$N619=""),"",IF($T619="Paid","PAID",IF($T619="Closed","CLOSED",IF($Z619="","",IF($Z619=6,"ESCALATED TO ROXANNE",IF(TODAY()&gt;$AB619,"OVERDUE",IF($AB619&lt;=WORKDAY(TODAY(),1,Holidays),"DUE TOMORROW",IF($Z619=4,"ESCALATED TO LOCAL OFFICE",IF($Z619=5,"ESCALATED TO CBE",IF($AA619=TODAY(),"EMAIL SENT","MONITORING"))))))))))</f>
        <v/>
      </c>
      <c r="V619" s="17">
        <f>IF($U619="",IF(AND(COUNTA($A619:$L619)&gt;0,$N619=""),"Awaiting Collection Email time stamp.",""),IF(OR($U619="PAID",$U619="CLOSED"),IF($U619="PAID","Account paid. Action completed.","Account closed. No further action required."),CHOOSE($Z619,"Collection Email","1st Email Follow-up","2nd Email Follow-up","Escalation to Local Office","Escalation to CBE","Escalation to Roxanne")&amp;" sent "&amp;TEXT($AA619,"dd-mmm")&amp;". "&amp;IF($Z619=6,"Final escalation completed.",IF($U619="OVERDUE","Next: "&amp;$AC619&amp;" was due "&amp;TEXT($AB619,"dd-mmm")&amp;" - "&amp;(NETWORKDAYS($AB619,TODAY(),Holidays)-1)&amp;" business day(s) late. Send now.",IF($U619="DUE TOMORROW","Next: "&amp;$AC619&amp;IF($AB619&lt;=TODAY()," is due TODAY ("," is due next business day (")&amp;TEXT($AB619,"dd-mmm")&amp;").","Next: "&amp;$AC619&amp;" due "&amp;TEXT($AB619,"dd-mmm")&amp;" ("&amp;(NETWORKDAYS(TODAY(),$AB619,Holidays)-1)&amp;" business day(s) left).")))))</f>
        <v/>
      </c>
      <c r="W619" s="17">
        <f>IF($Z619="","",CHOOSE($Z619,"Collection Email","1st Follow-up","2nd Follow-up","Local Office","CBE","Roxanne")&amp;IF($Z619=6," - Final"," - Day "&amp;MAX(0,NETWORKDAYS($AA619,TODAY(),Holidays)-1)&amp;" of "&amp;CHOOSE($Z619,3,3,2,2,3))&amp;" | Total Day "&amp;MAX(0,NETWORKDAYS($N619,TODAY(),Holidays)-1))</f>
        <v/>
      </c>
      <c r="X619" s="18"/>
      <c r="Y619" s="18"/>
      <c r="Z619" s="17">
        <f>IF($N619="","",COUNT($N619:$S619))</f>
        <v/>
      </c>
      <c r="AA619" s="19">
        <f>IF($Z619="","",INT(INDEX($N619:$S619,$Z619)))</f>
        <v/>
      </c>
      <c r="AB619" s="19">
        <f>IF(OR($Z619="",$Z619=6),"",WORKDAY($AA619,CHOOSE($Z619,3,3,2,2,3),Holidays))</f>
        <v/>
      </c>
      <c r="AC619" s="17">
        <f>IF(OR($Z619="",$Z619=6),"",CHOOSE($Z619,"1st Email Follow-up","2nd Email Follow-up","Escalate Local Office","Escalate to CBE","Escalate to Roxanne"))</f>
        <v/>
      </c>
    </row>
    <row r="620" spans="13:29">
      <c r="M620" s="14"/>
      <c r="T620" s="16"/>
      <c r="U620" s="17">
        <f>IF(AND(COUNTA($A620:$L620)=0,$N620=""),"",IF($T620="Paid","PAID",IF($T620="Closed","CLOSED",IF($Z620="","",IF($Z620=6,"ESCALATED TO ROXANNE",IF(TODAY()&gt;$AB620,"OVERDUE",IF($AB620&lt;=WORKDAY(TODAY(),1,Holidays),"DUE TOMORROW",IF($Z620=4,"ESCALATED TO LOCAL OFFICE",IF($Z620=5,"ESCALATED TO CBE",IF($AA620=TODAY(),"EMAIL SENT","MONITORING"))))))))))</f>
        <v/>
      </c>
      <c r="V620" s="17">
        <f>IF($U620="",IF(AND(COUNTA($A620:$L620)&gt;0,$N620=""),"Awaiting Collection Email time stamp.",""),IF(OR($U620="PAID",$U620="CLOSED"),IF($U620="PAID","Account paid. Action completed.","Account closed. No further action required."),CHOOSE($Z620,"Collection Email","1st Email Follow-up","2nd Email Follow-up","Escalation to Local Office","Escalation to CBE","Escalation to Roxanne")&amp;" sent "&amp;TEXT($AA620,"dd-mmm")&amp;". "&amp;IF($Z620=6,"Final escalation completed.",IF($U620="OVERDUE","Next: "&amp;$AC620&amp;" was due "&amp;TEXT($AB620,"dd-mmm")&amp;" - "&amp;(NETWORKDAYS($AB620,TODAY(),Holidays)-1)&amp;" business day(s) late. Send now.",IF($U620="DUE TOMORROW","Next: "&amp;$AC620&amp;IF($AB620&lt;=TODAY()," is due TODAY ("," is due next business day (")&amp;TEXT($AB620,"dd-mmm")&amp;").","Next: "&amp;$AC620&amp;" due "&amp;TEXT($AB620,"dd-mmm")&amp;" ("&amp;(NETWORKDAYS(TODAY(),$AB620,Holidays)-1)&amp;" business day(s) left).")))))</f>
        <v/>
      </c>
      <c r="W620" s="17">
        <f>IF($Z620="","",CHOOSE($Z620,"Collection Email","1st Follow-up","2nd Follow-up","Local Office","CBE","Roxanne")&amp;IF($Z620=6," - Final"," - Day "&amp;MAX(0,NETWORKDAYS($AA620,TODAY(),Holidays)-1)&amp;" of "&amp;CHOOSE($Z620,3,3,2,2,3))&amp;" | Total Day "&amp;MAX(0,NETWORKDAYS($N620,TODAY(),Holidays)-1))</f>
        <v/>
      </c>
      <c r="X620" s="18"/>
      <c r="Y620" s="18"/>
      <c r="Z620" s="17">
        <f>IF($N620="","",COUNT($N620:$S620))</f>
        <v/>
      </c>
      <c r="AA620" s="19">
        <f>IF($Z620="","",INT(INDEX($N620:$S620,$Z620)))</f>
        <v/>
      </c>
      <c r="AB620" s="19">
        <f>IF(OR($Z620="",$Z620=6),"",WORKDAY($AA620,CHOOSE($Z620,3,3,2,2,3),Holidays))</f>
        <v/>
      </c>
      <c r="AC620" s="17">
        <f>IF(OR($Z620="",$Z620=6),"",CHOOSE($Z620,"1st Email Follow-up","2nd Email Follow-up","Escalate Local Office","Escalate to CBE","Escalate to Roxanne"))</f>
        <v/>
      </c>
    </row>
    <row r="621" spans="13:29">
      <c r="M621" s="14"/>
      <c r="T621" s="16"/>
      <c r="U621" s="17">
        <f>IF(AND(COUNTA($A621:$L621)=0,$N621=""),"",IF($T621="Paid","PAID",IF($T621="Closed","CLOSED",IF($Z621="","",IF($Z621=6,"ESCALATED TO ROXANNE",IF(TODAY()&gt;$AB621,"OVERDUE",IF($AB621&lt;=WORKDAY(TODAY(),1,Holidays),"DUE TOMORROW",IF($Z621=4,"ESCALATED TO LOCAL OFFICE",IF($Z621=5,"ESCALATED TO CBE",IF($AA621=TODAY(),"EMAIL SENT","MONITORING"))))))))))</f>
        <v/>
      </c>
      <c r="V621" s="17">
        <f>IF($U621="",IF(AND(COUNTA($A621:$L621)&gt;0,$N621=""),"Awaiting Collection Email time stamp.",""),IF(OR($U621="PAID",$U621="CLOSED"),IF($U621="PAID","Account paid. Action completed.","Account closed. No further action required."),CHOOSE($Z621,"Collection Email","1st Email Follow-up","2nd Email Follow-up","Escalation to Local Office","Escalation to CBE","Escalation to Roxanne")&amp;" sent "&amp;TEXT($AA621,"dd-mmm")&amp;". "&amp;IF($Z621=6,"Final escalation completed.",IF($U621="OVERDUE","Next: "&amp;$AC621&amp;" was due "&amp;TEXT($AB621,"dd-mmm")&amp;" - "&amp;(NETWORKDAYS($AB621,TODAY(),Holidays)-1)&amp;" business day(s) late. Send now.",IF($U621="DUE TOMORROW","Next: "&amp;$AC621&amp;IF($AB621&lt;=TODAY()," is due TODAY ("," is due next business day (")&amp;TEXT($AB621,"dd-mmm")&amp;").","Next: "&amp;$AC621&amp;" due "&amp;TEXT($AB621,"dd-mmm")&amp;" ("&amp;(NETWORKDAYS(TODAY(),$AB621,Holidays)-1)&amp;" business day(s) left).")))))</f>
        <v/>
      </c>
      <c r="W621" s="17">
        <f>IF($Z621="","",CHOOSE($Z621,"Collection Email","1st Follow-up","2nd Follow-up","Local Office","CBE","Roxanne")&amp;IF($Z621=6," - Final"," - Day "&amp;MAX(0,NETWORKDAYS($AA621,TODAY(),Holidays)-1)&amp;" of "&amp;CHOOSE($Z621,3,3,2,2,3))&amp;" | Total Day "&amp;MAX(0,NETWORKDAYS($N621,TODAY(),Holidays)-1))</f>
        <v/>
      </c>
      <c r="X621" s="18"/>
      <c r="Y621" s="18"/>
      <c r="Z621" s="17">
        <f>IF($N621="","",COUNT($N621:$S621))</f>
        <v/>
      </c>
      <c r="AA621" s="19">
        <f>IF($Z621="","",INT(INDEX($N621:$S621,$Z621)))</f>
        <v/>
      </c>
      <c r="AB621" s="19">
        <f>IF(OR($Z621="",$Z621=6),"",WORKDAY($AA621,CHOOSE($Z621,3,3,2,2,3),Holidays))</f>
        <v/>
      </c>
      <c r="AC621" s="17">
        <f>IF(OR($Z621="",$Z621=6),"",CHOOSE($Z621,"1st Email Follow-up","2nd Email Follow-up","Escalate Local Office","Escalate to CBE","Escalate to Roxanne"))</f>
        <v/>
      </c>
    </row>
    <row r="622" spans="13:29">
      <c r="M622" s="14"/>
      <c r="T622" s="16"/>
      <c r="U622" s="17">
        <f>IF(AND(COUNTA($A622:$L622)=0,$N622=""),"",IF($T622="Paid","PAID",IF($T622="Closed","CLOSED",IF($Z622="","",IF($Z622=6,"ESCALATED TO ROXANNE",IF(TODAY()&gt;$AB622,"OVERDUE",IF($AB622&lt;=WORKDAY(TODAY(),1,Holidays),"DUE TOMORROW",IF($Z622=4,"ESCALATED TO LOCAL OFFICE",IF($Z622=5,"ESCALATED TO CBE",IF($AA622=TODAY(),"EMAIL SENT","MONITORING"))))))))))</f>
        <v/>
      </c>
      <c r="V622" s="17">
        <f>IF($U622="",IF(AND(COUNTA($A622:$L622)&gt;0,$N622=""),"Awaiting Collection Email time stamp.",""),IF(OR($U622="PAID",$U622="CLOSED"),IF($U622="PAID","Account paid. Action completed.","Account closed. No further action required."),CHOOSE($Z622,"Collection Email","1st Email Follow-up","2nd Email Follow-up","Escalation to Local Office","Escalation to CBE","Escalation to Roxanne")&amp;" sent "&amp;TEXT($AA622,"dd-mmm")&amp;". "&amp;IF($Z622=6,"Final escalation completed.",IF($U622="OVERDUE","Next: "&amp;$AC622&amp;" was due "&amp;TEXT($AB622,"dd-mmm")&amp;" - "&amp;(NETWORKDAYS($AB622,TODAY(),Holidays)-1)&amp;" business day(s) late. Send now.",IF($U622="DUE TOMORROW","Next: "&amp;$AC622&amp;IF($AB622&lt;=TODAY()," is due TODAY ("," is due next business day (")&amp;TEXT($AB622,"dd-mmm")&amp;").","Next: "&amp;$AC622&amp;" due "&amp;TEXT($AB622,"dd-mmm")&amp;" ("&amp;(NETWORKDAYS(TODAY(),$AB622,Holidays)-1)&amp;" business day(s) left).")))))</f>
        <v/>
      </c>
      <c r="W622" s="17">
        <f>IF($Z622="","",CHOOSE($Z622,"Collection Email","1st Follow-up","2nd Follow-up","Local Office","CBE","Roxanne")&amp;IF($Z622=6," - Final"," - Day "&amp;MAX(0,NETWORKDAYS($AA622,TODAY(),Holidays)-1)&amp;" of "&amp;CHOOSE($Z622,3,3,2,2,3))&amp;" | Total Day "&amp;MAX(0,NETWORKDAYS($N622,TODAY(),Holidays)-1))</f>
        <v/>
      </c>
      <c r="X622" s="18"/>
      <c r="Y622" s="18"/>
      <c r="Z622" s="17">
        <f>IF($N622="","",COUNT($N622:$S622))</f>
        <v/>
      </c>
      <c r="AA622" s="19">
        <f>IF($Z622="","",INT(INDEX($N622:$S622,$Z622)))</f>
        <v/>
      </c>
      <c r="AB622" s="19">
        <f>IF(OR($Z622="",$Z622=6),"",WORKDAY($AA622,CHOOSE($Z622,3,3,2,2,3),Holidays))</f>
        <v/>
      </c>
      <c r="AC622" s="17">
        <f>IF(OR($Z622="",$Z622=6),"",CHOOSE($Z622,"1st Email Follow-up","2nd Email Follow-up","Escalate Local Office","Escalate to CBE","Escalate to Roxanne"))</f>
        <v/>
      </c>
    </row>
    <row r="623" spans="13:29">
      <c r="M623" s="14"/>
      <c r="T623" s="16"/>
      <c r="U623" s="17">
        <f>IF(AND(COUNTA($A623:$L623)=0,$N623=""),"",IF($T623="Paid","PAID",IF($T623="Closed","CLOSED",IF($Z623="","",IF($Z623=6,"ESCALATED TO ROXANNE",IF(TODAY()&gt;$AB623,"OVERDUE",IF($AB623&lt;=WORKDAY(TODAY(),1,Holidays),"DUE TOMORROW",IF($Z623=4,"ESCALATED TO LOCAL OFFICE",IF($Z623=5,"ESCALATED TO CBE",IF($AA623=TODAY(),"EMAIL SENT","MONITORING"))))))))))</f>
        <v/>
      </c>
      <c r="V623" s="17">
        <f>IF($U623="",IF(AND(COUNTA($A623:$L623)&gt;0,$N623=""),"Awaiting Collection Email time stamp.",""),IF(OR($U623="PAID",$U623="CLOSED"),IF($U623="PAID","Account paid. Action completed.","Account closed. No further action required."),CHOOSE($Z623,"Collection Email","1st Email Follow-up","2nd Email Follow-up","Escalation to Local Office","Escalation to CBE","Escalation to Roxanne")&amp;" sent "&amp;TEXT($AA623,"dd-mmm")&amp;". "&amp;IF($Z623=6,"Final escalation completed.",IF($U623="OVERDUE","Next: "&amp;$AC623&amp;" was due "&amp;TEXT($AB623,"dd-mmm")&amp;" - "&amp;(NETWORKDAYS($AB623,TODAY(),Holidays)-1)&amp;" business day(s) late. Send now.",IF($U623="DUE TOMORROW","Next: "&amp;$AC623&amp;IF($AB623&lt;=TODAY()," is due TODAY ("," is due next business day (")&amp;TEXT($AB623,"dd-mmm")&amp;").","Next: "&amp;$AC623&amp;" due "&amp;TEXT($AB623,"dd-mmm")&amp;" ("&amp;(NETWORKDAYS(TODAY(),$AB623,Holidays)-1)&amp;" business day(s) left).")))))</f>
        <v/>
      </c>
      <c r="W623" s="17">
        <f>IF($Z623="","",CHOOSE($Z623,"Collection Email","1st Follow-up","2nd Follow-up","Local Office","CBE","Roxanne")&amp;IF($Z623=6," - Final"," - Day "&amp;MAX(0,NETWORKDAYS($AA623,TODAY(),Holidays)-1)&amp;" of "&amp;CHOOSE($Z623,3,3,2,2,3))&amp;" | Total Day "&amp;MAX(0,NETWORKDAYS($N623,TODAY(),Holidays)-1))</f>
        <v/>
      </c>
      <c r="X623" s="18"/>
      <c r="Y623" s="18"/>
      <c r="Z623" s="17">
        <f>IF($N623="","",COUNT($N623:$S623))</f>
        <v/>
      </c>
      <c r="AA623" s="19">
        <f>IF($Z623="","",INT(INDEX($N623:$S623,$Z623)))</f>
        <v/>
      </c>
      <c r="AB623" s="19">
        <f>IF(OR($Z623="",$Z623=6),"",WORKDAY($AA623,CHOOSE($Z623,3,3,2,2,3),Holidays))</f>
        <v/>
      </c>
      <c r="AC623" s="17">
        <f>IF(OR($Z623="",$Z623=6),"",CHOOSE($Z623,"1st Email Follow-up","2nd Email Follow-up","Escalate Local Office","Escalate to CBE","Escalate to Roxanne"))</f>
        <v/>
      </c>
    </row>
    <row r="624" spans="13:29">
      <c r="M624" s="14"/>
      <c r="T624" s="16"/>
      <c r="U624" s="17">
        <f>IF(AND(COUNTA($A624:$L624)=0,$N624=""),"",IF($T624="Paid","PAID",IF($T624="Closed","CLOSED",IF($Z624="","",IF($Z624=6,"ESCALATED TO ROXANNE",IF(TODAY()&gt;$AB624,"OVERDUE",IF($AB624&lt;=WORKDAY(TODAY(),1,Holidays),"DUE TOMORROW",IF($Z624=4,"ESCALATED TO LOCAL OFFICE",IF($Z624=5,"ESCALATED TO CBE",IF($AA624=TODAY(),"EMAIL SENT","MONITORING"))))))))))</f>
        <v/>
      </c>
      <c r="V624" s="17">
        <f>IF($U624="",IF(AND(COUNTA($A624:$L624)&gt;0,$N624=""),"Awaiting Collection Email time stamp.",""),IF(OR($U624="PAID",$U624="CLOSED"),IF($U624="PAID","Account paid. Action completed.","Account closed. No further action required."),CHOOSE($Z624,"Collection Email","1st Email Follow-up","2nd Email Follow-up","Escalation to Local Office","Escalation to CBE","Escalation to Roxanne")&amp;" sent "&amp;TEXT($AA624,"dd-mmm")&amp;". "&amp;IF($Z624=6,"Final escalation completed.",IF($U624="OVERDUE","Next: "&amp;$AC624&amp;" was due "&amp;TEXT($AB624,"dd-mmm")&amp;" - "&amp;(NETWORKDAYS($AB624,TODAY(),Holidays)-1)&amp;" business day(s) late. Send now.",IF($U624="DUE TOMORROW","Next: "&amp;$AC624&amp;IF($AB624&lt;=TODAY()," is due TODAY ("," is due next business day (")&amp;TEXT($AB624,"dd-mmm")&amp;").","Next: "&amp;$AC624&amp;" due "&amp;TEXT($AB624,"dd-mmm")&amp;" ("&amp;(NETWORKDAYS(TODAY(),$AB624,Holidays)-1)&amp;" business day(s) left).")))))</f>
        <v/>
      </c>
      <c r="W624" s="17">
        <f>IF($Z624="","",CHOOSE($Z624,"Collection Email","1st Follow-up","2nd Follow-up","Local Office","CBE","Roxanne")&amp;IF($Z624=6," - Final"," - Day "&amp;MAX(0,NETWORKDAYS($AA624,TODAY(),Holidays)-1)&amp;" of "&amp;CHOOSE($Z624,3,3,2,2,3))&amp;" | Total Day "&amp;MAX(0,NETWORKDAYS($N624,TODAY(),Holidays)-1))</f>
        <v/>
      </c>
      <c r="X624" s="18"/>
      <c r="Y624" s="18"/>
      <c r="Z624" s="17">
        <f>IF($N624="","",COUNT($N624:$S624))</f>
        <v/>
      </c>
      <c r="AA624" s="19">
        <f>IF($Z624="","",INT(INDEX($N624:$S624,$Z624)))</f>
        <v/>
      </c>
      <c r="AB624" s="19">
        <f>IF(OR($Z624="",$Z624=6),"",WORKDAY($AA624,CHOOSE($Z624,3,3,2,2,3),Holidays))</f>
        <v/>
      </c>
      <c r="AC624" s="17">
        <f>IF(OR($Z624="",$Z624=6),"",CHOOSE($Z624,"1st Email Follow-up","2nd Email Follow-up","Escalate Local Office","Escalate to CBE","Escalate to Roxanne"))</f>
        <v/>
      </c>
    </row>
    <row r="625" spans="13:29">
      <c r="M625" s="14"/>
      <c r="T625" s="16"/>
      <c r="U625" s="17">
        <f>IF(AND(COUNTA($A625:$L625)=0,$N625=""),"",IF($T625="Paid","PAID",IF($T625="Closed","CLOSED",IF($Z625="","",IF($Z625=6,"ESCALATED TO ROXANNE",IF(TODAY()&gt;$AB625,"OVERDUE",IF($AB625&lt;=WORKDAY(TODAY(),1,Holidays),"DUE TOMORROW",IF($Z625=4,"ESCALATED TO LOCAL OFFICE",IF($Z625=5,"ESCALATED TO CBE",IF($AA625=TODAY(),"EMAIL SENT","MONITORING"))))))))))</f>
        <v/>
      </c>
      <c r="V625" s="17">
        <f>IF($U625="",IF(AND(COUNTA($A625:$L625)&gt;0,$N625=""),"Awaiting Collection Email time stamp.",""),IF(OR($U625="PAID",$U625="CLOSED"),IF($U625="PAID","Account paid. Action completed.","Account closed. No further action required."),CHOOSE($Z625,"Collection Email","1st Email Follow-up","2nd Email Follow-up","Escalation to Local Office","Escalation to CBE","Escalation to Roxanne")&amp;" sent "&amp;TEXT($AA625,"dd-mmm")&amp;". "&amp;IF($Z625=6,"Final escalation completed.",IF($U625="OVERDUE","Next: "&amp;$AC625&amp;" was due "&amp;TEXT($AB625,"dd-mmm")&amp;" - "&amp;(NETWORKDAYS($AB625,TODAY(),Holidays)-1)&amp;" business day(s) late. Send now.",IF($U625="DUE TOMORROW","Next: "&amp;$AC625&amp;IF($AB625&lt;=TODAY()," is due TODAY ("," is due next business day (")&amp;TEXT($AB625,"dd-mmm")&amp;").","Next: "&amp;$AC625&amp;" due "&amp;TEXT($AB625,"dd-mmm")&amp;" ("&amp;(NETWORKDAYS(TODAY(),$AB625,Holidays)-1)&amp;" business day(s) left).")))))</f>
        <v/>
      </c>
      <c r="W625" s="17">
        <f>IF($Z625="","",CHOOSE($Z625,"Collection Email","1st Follow-up","2nd Follow-up","Local Office","CBE","Roxanne")&amp;IF($Z625=6," - Final"," - Day "&amp;MAX(0,NETWORKDAYS($AA625,TODAY(),Holidays)-1)&amp;" of "&amp;CHOOSE($Z625,3,3,2,2,3))&amp;" | Total Day "&amp;MAX(0,NETWORKDAYS($N625,TODAY(),Holidays)-1))</f>
        <v/>
      </c>
      <c r="X625" s="18"/>
      <c r="Y625" s="18"/>
      <c r="Z625" s="17">
        <f>IF($N625="","",COUNT($N625:$S625))</f>
        <v/>
      </c>
      <c r="AA625" s="19">
        <f>IF($Z625="","",INT(INDEX($N625:$S625,$Z625)))</f>
        <v/>
      </c>
      <c r="AB625" s="19">
        <f>IF(OR($Z625="",$Z625=6),"",WORKDAY($AA625,CHOOSE($Z625,3,3,2,2,3),Holidays))</f>
        <v/>
      </c>
      <c r="AC625" s="17">
        <f>IF(OR($Z625="",$Z625=6),"",CHOOSE($Z625,"1st Email Follow-up","2nd Email Follow-up","Escalate Local Office","Escalate to CBE","Escalate to Roxanne"))</f>
        <v/>
      </c>
    </row>
    <row r="626" spans="13:29">
      <c r="M626" s="14"/>
      <c r="T626" s="16"/>
      <c r="U626" s="17">
        <f>IF(AND(COUNTA($A626:$L626)=0,$N626=""),"",IF($T626="Paid","PAID",IF($T626="Closed","CLOSED",IF($Z626="","",IF($Z626=6,"ESCALATED TO ROXANNE",IF(TODAY()&gt;$AB626,"OVERDUE",IF($AB626&lt;=WORKDAY(TODAY(),1,Holidays),"DUE TOMORROW",IF($Z626=4,"ESCALATED TO LOCAL OFFICE",IF($Z626=5,"ESCALATED TO CBE",IF($AA626=TODAY(),"EMAIL SENT","MONITORING"))))))))))</f>
        <v/>
      </c>
      <c r="V626" s="17">
        <f>IF($U626="",IF(AND(COUNTA($A626:$L626)&gt;0,$N626=""),"Awaiting Collection Email time stamp.",""),IF(OR($U626="PAID",$U626="CLOSED"),IF($U626="PAID","Account paid. Action completed.","Account closed. No further action required."),CHOOSE($Z626,"Collection Email","1st Email Follow-up","2nd Email Follow-up","Escalation to Local Office","Escalation to CBE","Escalation to Roxanne")&amp;" sent "&amp;TEXT($AA626,"dd-mmm")&amp;". "&amp;IF($Z626=6,"Final escalation completed.",IF($U626="OVERDUE","Next: "&amp;$AC626&amp;" was due "&amp;TEXT($AB626,"dd-mmm")&amp;" - "&amp;(NETWORKDAYS($AB626,TODAY(),Holidays)-1)&amp;" business day(s) late. Send now.",IF($U626="DUE TOMORROW","Next: "&amp;$AC626&amp;IF($AB626&lt;=TODAY()," is due TODAY ("," is due next business day (")&amp;TEXT($AB626,"dd-mmm")&amp;").","Next: "&amp;$AC626&amp;" due "&amp;TEXT($AB626,"dd-mmm")&amp;" ("&amp;(NETWORKDAYS(TODAY(),$AB626,Holidays)-1)&amp;" business day(s) left).")))))</f>
        <v/>
      </c>
      <c r="W626" s="17">
        <f>IF($Z626="","",CHOOSE($Z626,"Collection Email","1st Follow-up","2nd Follow-up","Local Office","CBE","Roxanne")&amp;IF($Z626=6," - Final"," - Day "&amp;MAX(0,NETWORKDAYS($AA626,TODAY(),Holidays)-1)&amp;" of "&amp;CHOOSE($Z626,3,3,2,2,3))&amp;" | Total Day "&amp;MAX(0,NETWORKDAYS($N626,TODAY(),Holidays)-1))</f>
        <v/>
      </c>
      <c r="X626" s="18"/>
      <c r="Y626" s="18"/>
      <c r="Z626" s="17">
        <f>IF($N626="","",COUNT($N626:$S626))</f>
        <v/>
      </c>
      <c r="AA626" s="19">
        <f>IF($Z626="","",INT(INDEX($N626:$S626,$Z626)))</f>
        <v/>
      </c>
      <c r="AB626" s="19">
        <f>IF(OR($Z626="",$Z626=6),"",WORKDAY($AA626,CHOOSE($Z626,3,3,2,2,3),Holidays))</f>
        <v/>
      </c>
      <c r="AC626" s="17">
        <f>IF(OR($Z626="",$Z626=6),"",CHOOSE($Z626,"1st Email Follow-up","2nd Email Follow-up","Escalate Local Office","Escalate to CBE","Escalate to Roxanne"))</f>
        <v/>
      </c>
    </row>
    <row r="627" spans="13:29">
      <c r="M627" s="14"/>
      <c r="T627" s="16"/>
      <c r="U627" s="17">
        <f>IF(AND(COUNTA($A627:$L627)=0,$N627=""),"",IF($T627="Paid","PAID",IF($T627="Closed","CLOSED",IF($Z627="","",IF($Z627=6,"ESCALATED TO ROXANNE",IF(TODAY()&gt;$AB627,"OVERDUE",IF($AB627&lt;=WORKDAY(TODAY(),1,Holidays),"DUE TOMORROW",IF($Z627=4,"ESCALATED TO LOCAL OFFICE",IF($Z627=5,"ESCALATED TO CBE",IF($AA627=TODAY(),"EMAIL SENT","MONITORING"))))))))))</f>
        <v/>
      </c>
      <c r="V627" s="17">
        <f>IF($U627="",IF(AND(COUNTA($A627:$L627)&gt;0,$N627=""),"Awaiting Collection Email time stamp.",""),IF(OR($U627="PAID",$U627="CLOSED"),IF($U627="PAID","Account paid. Action completed.","Account closed. No further action required."),CHOOSE($Z627,"Collection Email","1st Email Follow-up","2nd Email Follow-up","Escalation to Local Office","Escalation to CBE","Escalation to Roxanne")&amp;" sent "&amp;TEXT($AA627,"dd-mmm")&amp;". "&amp;IF($Z627=6,"Final escalation completed.",IF($U627="OVERDUE","Next: "&amp;$AC627&amp;" was due "&amp;TEXT($AB627,"dd-mmm")&amp;" - "&amp;(NETWORKDAYS($AB627,TODAY(),Holidays)-1)&amp;" business day(s) late. Send now.",IF($U627="DUE TOMORROW","Next: "&amp;$AC627&amp;IF($AB627&lt;=TODAY()," is due TODAY ("," is due next business day (")&amp;TEXT($AB627,"dd-mmm")&amp;").","Next: "&amp;$AC627&amp;" due "&amp;TEXT($AB627,"dd-mmm")&amp;" ("&amp;(NETWORKDAYS(TODAY(),$AB627,Holidays)-1)&amp;" business day(s) left).")))))</f>
        <v/>
      </c>
      <c r="W627" s="17">
        <f>IF($Z627="","",CHOOSE($Z627,"Collection Email","1st Follow-up","2nd Follow-up","Local Office","CBE","Roxanne")&amp;IF($Z627=6," - Final"," - Day "&amp;MAX(0,NETWORKDAYS($AA627,TODAY(),Holidays)-1)&amp;" of "&amp;CHOOSE($Z627,3,3,2,2,3))&amp;" | Total Day "&amp;MAX(0,NETWORKDAYS($N627,TODAY(),Holidays)-1))</f>
        <v/>
      </c>
      <c r="X627" s="18"/>
      <c r="Y627" s="18"/>
      <c r="Z627" s="17">
        <f>IF($N627="","",COUNT($N627:$S627))</f>
        <v/>
      </c>
      <c r="AA627" s="19">
        <f>IF($Z627="","",INT(INDEX($N627:$S627,$Z627)))</f>
        <v/>
      </c>
      <c r="AB627" s="19">
        <f>IF(OR($Z627="",$Z627=6),"",WORKDAY($AA627,CHOOSE($Z627,3,3,2,2,3),Holidays))</f>
        <v/>
      </c>
      <c r="AC627" s="17">
        <f>IF(OR($Z627="",$Z627=6),"",CHOOSE($Z627,"1st Email Follow-up","2nd Email Follow-up","Escalate Local Office","Escalate to CBE","Escalate to Roxanne"))</f>
        <v/>
      </c>
    </row>
    <row r="628" spans="13:29">
      <c r="M628" s="14"/>
      <c r="T628" s="16"/>
      <c r="U628" s="17">
        <f>IF(AND(COUNTA($A628:$L628)=0,$N628=""),"",IF($T628="Paid","PAID",IF($T628="Closed","CLOSED",IF($Z628="","",IF($Z628=6,"ESCALATED TO ROXANNE",IF(TODAY()&gt;$AB628,"OVERDUE",IF($AB628&lt;=WORKDAY(TODAY(),1,Holidays),"DUE TOMORROW",IF($Z628=4,"ESCALATED TO LOCAL OFFICE",IF($Z628=5,"ESCALATED TO CBE",IF($AA628=TODAY(),"EMAIL SENT","MONITORING"))))))))))</f>
        <v/>
      </c>
      <c r="V628" s="17">
        <f>IF($U628="",IF(AND(COUNTA($A628:$L628)&gt;0,$N628=""),"Awaiting Collection Email time stamp.",""),IF(OR($U628="PAID",$U628="CLOSED"),IF($U628="PAID","Account paid. Action completed.","Account closed. No further action required."),CHOOSE($Z628,"Collection Email","1st Email Follow-up","2nd Email Follow-up","Escalation to Local Office","Escalation to CBE","Escalation to Roxanne")&amp;" sent "&amp;TEXT($AA628,"dd-mmm")&amp;". "&amp;IF($Z628=6,"Final escalation completed.",IF($U628="OVERDUE","Next: "&amp;$AC628&amp;" was due "&amp;TEXT($AB628,"dd-mmm")&amp;" - "&amp;(NETWORKDAYS($AB628,TODAY(),Holidays)-1)&amp;" business day(s) late. Send now.",IF($U628="DUE TOMORROW","Next: "&amp;$AC628&amp;IF($AB628&lt;=TODAY()," is due TODAY ("," is due next business day (")&amp;TEXT($AB628,"dd-mmm")&amp;").","Next: "&amp;$AC628&amp;" due "&amp;TEXT($AB628,"dd-mmm")&amp;" ("&amp;(NETWORKDAYS(TODAY(),$AB628,Holidays)-1)&amp;" business day(s) left).")))))</f>
        <v/>
      </c>
      <c r="W628" s="17">
        <f>IF($Z628="","",CHOOSE($Z628,"Collection Email","1st Follow-up","2nd Follow-up","Local Office","CBE","Roxanne")&amp;IF($Z628=6," - Final"," - Day "&amp;MAX(0,NETWORKDAYS($AA628,TODAY(),Holidays)-1)&amp;" of "&amp;CHOOSE($Z628,3,3,2,2,3))&amp;" | Total Day "&amp;MAX(0,NETWORKDAYS($N628,TODAY(),Holidays)-1))</f>
        <v/>
      </c>
      <c r="X628" s="18"/>
      <c r="Y628" s="18"/>
      <c r="Z628" s="17">
        <f>IF($N628="","",COUNT($N628:$S628))</f>
        <v/>
      </c>
      <c r="AA628" s="19">
        <f>IF($Z628="","",INT(INDEX($N628:$S628,$Z628)))</f>
        <v/>
      </c>
      <c r="AB628" s="19">
        <f>IF(OR($Z628="",$Z628=6),"",WORKDAY($AA628,CHOOSE($Z628,3,3,2,2,3),Holidays))</f>
        <v/>
      </c>
      <c r="AC628" s="17">
        <f>IF(OR($Z628="",$Z628=6),"",CHOOSE($Z628,"1st Email Follow-up","2nd Email Follow-up","Escalate Local Office","Escalate to CBE","Escalate to Roxanne"))</f>
        <v/>
      </c>
    </row>
    <row r="629" spans="13:29">
      <c r="M629" s="14"/>
      <c r="T629" s="16"/>
      <c r="U629" s="17">
        <f>IF(AND(COUNTA($A629:$L629)=0,$N629=""),"",IF($T629="Paid","PAID",IF($T629="Closed","CLOSED",IF($Z629="","",IF($Z629=6,"ESCALATED TO ROXANNE",IF(TODAY()&gt;$AB629,"OVERDUE",IF($AB629&lt;=WORKDAY(TODAY(),1,Holidays),"DUE TOMORROW",IF($Z629=4,"ESCALATED TO LOCAL OFFICE",IF($Z629=5,"ESCALATED TO CBE",IF($AA629=TODAY(),"EMAIL SENT","MONITORING"))))))))))</f>
        <v/>
      </c>
      <c r="V629" s="17">
        <f>IF($U629="",IF(AND(COUNTA($A629:$L629)&gt;0,$N629=""),"Awaiting Collection Email time stamp.",""),IF(OR($U629="PAID",$U629="CLOSED"),IF($U629="PAID","Account paid. Action completed.","Account closed. No further action required."),CHOOSE($Z629,"Collection Email","1st Email Follow-up","2nd Email Follow-up","Escalation to Local Office","Escalation to CBE","Escalation to Roxanne")&amp;" sent "&amp;TEXT($AA629,"dd-mmm")&amp;". "&amp;IF($Z629=6,"Final escalation completed.",IF($U629="OVERDUE","Next: "&amp;$AC629&amp;" was due "&amp;TEXT($AB629,"dd-mmm")&amp;" - "&amp;(NETWORKDAYS($AB629,TODAY(),Holidays)-1)&amp;" business day(s) late. Send now.",IF($U629="DUE TOMORROW","Next: "&amp;$AC629&amp;IF($AB629&lt;=TODAY()," is due TODAY ("," is due next business day (")&amp;TEXT($AB629,"dd-mmm")&amp;").","Next: "&amp;$AC629&amp;" due "&amp;TEXT($AB629,"dd-mmm")&amp;" ("&amp;(NETWORKDAYS(TODAY(),$AB629,Holidays)-1)&amp;" business day(s) left).")))))</f>
        <v/>
      </c>
      <c r="W629" s="17">
        <f>IF($Z629="","",CHOOSE($Z629,"Collection Email","1st Follow-up","2nd Follow-up","Local Office","CBE","Roxanne")&amp;IF($Z629=6," - Final"," - Day "&amp;MAX(0,NETWORKDAYS($AA629,TODAY(),Holidays)-1)&amp;" of "&amp;CHOOSE($Z629,3,3,2,2,3))&amp;" | Total Day "&amp;MAX(0,NETWORKDAYS($N629,TODAY(),Holidays)-1))</f>
        <v/>
      </c>
      <c r="X629" s="18"/>
      <c r="Y629" s="18"/>
      <c r="Z629" s="17">
        <f>IF($N629="","",COUNT($N629:$S629))</f>
        <v/>
      </c>
      <c r="AA629" s="19">
        <f>IF($Z629="","",INT(INDEX($N629:$S629,$Z629)))</f>
        <v/>
      </c>
      <c r="AB629" s="19">
        <f>IF(OR($Z629="",$Z629=6),"",WORKDAY($AA629,CHOOSE($Z629,3,3,2,2,3),Holidays))</f>
        <v/>
      </c>
      <c r="AC629" s="17">
        <f>IF(OR($Z629="",$Z629=6),"",CHOOSE($Z629,"1st Email Follow-up","2nd Email Follow-up","Escalate Local Office","Escalate to CBE","Escalate to Roxanne"))</f>
        <v/>
      </c>
    </row>
    <row r="630" spans="13:29">
      <c r="M630" s="14"/>
      <c r="T630" s="16"/>
      <c r="U630" s="17">
        <f>IF(AND(COUNTA($A630:$L630)=0,$N630=""),"",IF($T630="Paid","PAID",IF($T630="Closed","CLOSED",IF($Z630="","",IF($Z630=6,"ESCALATED TO ROXANNE",IF(TODAY()&gt;$AB630,"OVERDUE",IF($AB630&lt;=WORKDAY(TODAY(),1,Holidays),"DUE TOMORROW",IF($Z630=4,"ESCALATED TO LOCAL OFFICE",IF($Z630=5,"ESCALATED TO CBE",IF($AA630=TODAY(),"EMAIL SENT","MONITORING"))))))))))</f>
        <v/>
      </c>
      <c r="V630" s="17">
        <f>IF($U630="",IF(AND(COUNTA($A630:$L630)&gt;0,$N630=""),"Awaiting Collection Email time stamp.",""),IF(OR($U630="PAID",$U630="CLOSED"),IF($U630="PAID","Account paid. Action completed.","Account closed. No further action required."),CHOOSE($Z630,"Collection Email","1st Email Follow-up","2nd Email Follow-up","Escalation to Local Office","Escalation to CBE","Escalation to Roxanne")&amp;" sent "&amp;TEXT($AA630,"dd-mmm")&amp;". "&amp;IF($Z630=6,"Final escalation completed.",IF($U630="OVERDUE","Next: "&amp;$AC630&amp;" was due "&amp;TEXT($AB630,"dd-mmm")&amp;" - "&amp;(NETWORKDAYS($AB630,TODAY(),Holidays)-1)&amp;" business day(s) late. Send now.",IF($U630="DUE TOMORROW","Next: "&amp;$AC630&amp;IF($AB630&lt;=TODAY()," is due TODAY ("," is due next business day (")&amp;TEXT($AB630,"dd-mmm")&amp;").","Next: "&amp;$AC630&amp;" due "&amp;TEXT($AB630,"dd-mmm")&amp;" ("&amp;(NETWORKDAYS(TODAY(),$AB630,Holidays)-1)&amp;" business day(s) left).")))))</f>
        <v/>
      </c>
      <c r="W630" s="17">
        <f>IF($Z630="","",CHOOSE($Z630,"Collection Email","1st Follow-up","2nd Follow-up","Local Office","CBE","Roxanne")&amp;IF($Z630=6," - Final"," - Day "&amp;MAX(0,NETWORKDAYS($AA630,TODAY(),Holidays)-1)&amp;" of "&amp;CHOOSE($Z630,3,3,2,2,3))&amp;" | Total Day "&amp;MAX(0,NETWORKDAYS($N630,TODAY(),Holidays)-1))</f>
        <v/>
      </c>
      <c r="X630" s="18"/>
      <c r="Y630" s="18"/>
      <c r="Z630" s="17">
        <f>IF($N630="","",COUNT($N630:$S630))</f>
        <v/>
      </c>
      <c r="AA630" s="19">
        <f>IF($Z630="","",INT(INDEX($N630:$S630,$Z630)))</f>
        <v/>
      </c>
      <c r="AB630" s="19">
        <f>IF(OR($Z630="",$Z630=6),"",WORKDAY($AA630,CHOOSE($Z630,3,3,2,2,3),Holidays))</f>
        <v/>
      </c>
      <c r="AC630" s="17">
        <f>IF(OR($Z630="",$Z630=6),"",CHOOSE($Z630,"1st Email Follow-up","2nd Email Follow-up","Escalate Local Office","Escalate to CBE","Escalate to Roxanne"))</f>
        <v/>
      </c>
    </row>
    <row r="631" spans="13:29">
      <c r="M631" s="14"/>
      <c r="T631" s="16"/>
      <c r="U631" s="17">
        <f>IF(AND(COUNTA($A631:$L631)=0,$N631=""),"",IF($T631="Paid","PAID",IF($T631="Closed","CLOSED",IF($Z631="","",IF($Z631=6,"ESCALATED TO ROXANNE",IF(TODAY()&gt;$AB631,"OVERDUE",IF($AB631&lt;=WORKDAY(TODAY(),1,Holidays),"DUE TOMORROW",IF($Z631=4,"ESCALATED TO LOCAL OFFICE",IF($Z631=5,"ESCALATED TO CBE",IF($AA631=TODAY(),"EMAIL SENT","MONITORING"))))))))))</f>
        <v/>
      </c>
      <c r="V631" s="17">
        <f>IF($U631="",IF(AND(COUNTA($A631:$L631)&gt;0,$N631=""),"Awaiting Collection Email time stamp.",""),IF(OR($U631="PAID",$U631="CLOSED"),IF($U631="PAID","Account paid. Action completed.","Account closed. No further action required."),CHOOSE($Z631,"Collection Email","1st Email Follow-up","2nd Email Follow-up","Escalation to Local Office","Escalation to CBE","Escalation to Roxanne")&amp;" sent "&amp;TEXT($AA631,"dd-mmm")&amp;". "&amp;IF($Z631=6,"Final escalation completed.",IF($U631="OVERDUE","Next: "&amp;$AC631&amp;" was due "&amp;TEXT($AB631,"dd-mmm")&amp;" - "&amp;(NETWORKDAYS($AB631,TODAY(),Holidays)-1)&amp;" business day(s) late. Send now.",IF($U631="DUE TOMORROW","Next: "&amp;$AC631&amp;IF($AB631&lt;=TODAY()," is due TODAY ("," is due next business day (")&amp;TEXT($AB631,"dd-mmm")&amp;").","Next: "&amp;$AC631&amp;" due "&amp;TEXT($AB631,"dd-mmm")&amp;" ("&amp;(NETWORKDAYS(TODAY(),$AB631,Holidays)-1)&amp;" business day(s) left).")))))</f>
        <v/>
      </c>
      <c r="W631" s="17">
        <f>IF($Z631="","",CHOOSE($Z631,"Collection Email","1st Follow-up","2nd Follow-up","Local Office","CBE","Roxanne")&amp;IF($Z631=6," - Final"," - Day "&amp;MAX(0,NETWORKDAYS($AA631,TODAY(),Holidays)-1)&amp;" of "&amp;CHOOSE($Z631,3,3,2,2,3))&amp;" | Total Day "&amp;MAX(0,NETWORKDAYS($N631,TODAY(),Holidays)-1))</f>
        <v/>
      </c>
      <c r="X631" s="18"/>
      <c r="Y631" s="18"/>
      <c r="Z631" s="17">
        <f>IF($N631="","",COUNT($N631:$S631))</f>
        <v/>
      </c>
      <c r="AA631" s="19">
        <f>IF($Z631="","",INT(INDEX($N631:$S631,$Z631)))</f>
        <v/>
      </c>
      <c r="AB631" s="19">
        <f>IF(OR($Z631="",$Z631=6),"",WORKDAY($AA631,CHOOSE($Z631,3,3,2,2,3),Holidays))</f>
        <v/>
      </c>
      <c r="AC631" s="17">
        <f>IF(OR($Z631="",$Z631=6),"",CHOOSE($Z631,"1st Email Follow-up","2nd Email Follow-up","Escalate Local Office","Escalate to CBE","Escalate to Roxanne"))</f>
        <v/>
      </c>
    </row>
    <row r="632" spans="13:29">
      <c r="M632" s="14"/>
      <c r="T632" s="16"/>
      <c r="U632" s="17">
        <f>IF(AND(COUNTA($A632:$L632)=0,$N632=""),"",IF($T632="Paid","PAID",IF($T632="Closed","CLOSED",IF($Z632="","",IF($Z632=6,"ESCALATED TO ROXANNE",IF(TODAY()&gt;$AB632,"OVERDUE",IF($AB632&lt;=WORKDAY(TODAY(),1,Holidays),"DUE TOMORROW",IF($Z632=4,"ESCALATED TO LOCAL OFFICE",IF($Z632=5,"ESCALATED TO CBE",IF($AA632=TODAY(),"EMAIL SENT","MONITORING"))))))))))</f>
        <v/>
      </c>
      <c r="V632" s="17">
        <f>IF($U632="",IF(AND(COUNTA($A632:$L632)&gt;0,$N632=""),"Awaiting Collection Email time stamp.",""),IF(OR($U632="PAID",$U632="CLOSED"),IF($U632="PAID","Account paid. Action completed.","Account closed. No further action required."),CHOOSE($Z632,"Collection Email","1st Email Follow-up","2nd Email Follow-up","Escalation to Local Office","Escalation to CBE","Escalation to Roxanne")&amp;" sent "&amp;TEXT($AA632,"dd-mmm")&amp;". "&amp;IF($Z632=6,"Final escalation completed.",IF($U632="OVERDUE","Next: "&amp;$AC632&amp;" was due "&amp;TEXT($AB632,"dd-mmm")&amp;" - "&amp;(NETWORKDAYS($AB632,TODAY(),Holidays)-1)&amp;" business day(s) late. Send now.",IF($U632="DUE TOMORROW","Next: "&amp;$AC632&amp;IF($AB632&lt;=TODAY()," is due TODAY ("," is due next business day (")&amp;TEXT($AB632,"dd-mmm")&amp;").","Next: "&amp;$AC632&amp;" due "&amp;TEXT($AB632,"dd-mmm")&amp;" ("&amp;(NETWORKDAYS(TODAY(),$AB632,Holidays)-1)&amp;" business day(s) left).")))))</f>
        <v/>
      </c>
      <c r="W632" s="17">
        <f>IF($Z632="","",CHOOSE($Z632,"Collection Email","1st Follow-up","2nd Follow-up","Local Office","CBE","Roxanne")&amp;IF($Z632=6," - Final"," - Day "&amp;MAX(0,NETWORKDAYS($AA632,TODAY(),Holidays)-1)&amp;" of "&amp;CHOOSE($Z632,3,3,2,2,3))&amp;" | Total Day "&amp;MAX(0,NETWORKDAYS($N632,TODAY(),Holidays)-1))</f>
        <v/>
      </c>
      <c r="X632" s="18"/>
      <c r="Y632" s="18"/>
      <c r="Z632" s="17">
        <f>IF($N632="","",COUNT($N632:$S632))</f>
        <v/>
      </c>
      <c r="AA632" s="19">
        <f>IF($Z632="","",INT(INDEX($N632:$S632,$Z632)))</f>
        <v/>
      </c>
      <c r="AB632" s="19">
        <f>IF(OR($Z632="",$Z632=6),"",WORKDAY($AA632,CHOOSE($Z632,3,3,2,2,3),Holidays))</f>
        <v/>
      </c>
      <c r="AC632" s="17">
        <f>IF(OR($Z632="",$Z632=6),"",CHOOSE($Z632,"1st Email Follow-up","2nd Email Follow-up","Escalate Local Office","Escalate to CBE","Escalate to Roxanne"))</f>
        <v/>
      </c>
    </row>
    <row r="633" spans="13:29">
      <c r="M633" s="14"/>
      <c r="T633" s="16"/>
      <c r="U633" s="17">
        <f>IF(AND(COUNTA($A633:$L633)=0,$N633=""),"",IF($T633="Paid","PAID",IF($T633="Closed","CLOSED",IF($Z633="","",IF($Z633=6,"ESCALATED TO ROXANNE",IF(TODAY()&gt;$AB633,"OVERDUE",IF($AB633&lt;=WORKDAY(TODAY(),1,Holidays),"DUE TOMORROW",IF($Z633=4,"ESCALATED TO LOCAL OFFICE",IF($Z633=5,"ESCALATED TO CBE",IF($AA633=TODAY(),"EMAIL SENT","MONITORING"))))))))))</f>
        <v/>
      </c>
      <c r="V633" s="17">
        <f>IF($U633="",IF(AND(COUNTA($A633:$L633)&gt;0,$N633=""),"Awaiting Collection Email time stamp.",""),IF(OR($U633="PAID",$U633="CLOSED"),IF($U633="PAID","Account paid. Action completed.","Account closed. No further action required."),CHOOSE($Z633,"Collection Email","1st Email Follow-up","2nd Email Follow-up","Escalation to Local Office","Escalation to CBE","Escalation to Roxanne")&amp;" sent "&amp;TEXT($AA633,"dd-mmm")&amp;". "&amp;IF($Z633=6,"Final escalation completed.",IF($U633="OVERDUE","Next: "&amp;$AC633&amp;" was due "&amp;TEXT($AB633,"dd-mmm")&amp;" - "&amp;(NETWORKDAYS($AB633,TODAY(),Holidays)-1)&amp;" business day(s) late. Send now.",IF($U633="DUE TOMORROW","Next: "&amp;$AC633&amp;IF($AB633&lt;=TODAY()," is due TODAY ("," is due next business day (")&amp;TEXT($AB633,"dd-mmm")&amp;").","Next: "&amp;$AC633&amp;" due "&amp;TEXT($AB633,"dd-mmm")&amp;" ("&amp;(NETWORKDAYS(TODAY(),$AB633,Holidays)-1)&amp;" business day(s) left).")))))</f>
        <v/>
      </c>
      <c r="W633" s="17">
        <f>IF($Z633="","",CHOOSE($Z633,"Collection Email","1st Follow-up","2nd Follow-up","Local Office","CBE","Roxanne")&amp;IF($Z633=6," - Final"," - Day "&amp;MAX(0,NETWORKDAYS($AA633,TODAY(),Holidays)-1)&amp;" of "&amp;CHOOSE($Z633,3,3,2,2,3))&amp;" | Total Day "&amp;MAX(0,NETWORKDAYS($N633,TODAY(),Holidays)-1))</f>
        <v/>
      </c>
      <c r="X633" s="18"/>
      <c r="Y633" s="18"/>
      <c r="Z633" s="17">
        <f>IF($N633="","",COUNT($N633:$S633))</f>
        <v/>
      </c>
      <c r="AA633" s="19">
        <f>IF($Z633="","",INT(INDEX($N633:$S633,$Z633)))</f>
        <v/>
      </c>
      <c r="AB633" s="19">
        <f>IF(OR($Z633="",$Z633=6),"",WORKDAY($AA633,CHOOSE($Z633,3,3,2,2,3),Holidays))</f>
        <v/>
      </c>
      <c r="AC633" s="17">
        <f>IF(OR($Z633="",$Z633=6),"",CHOOSE($Z633,"1st Email Follow-up","2nd Email Follow-up","Escalate Local Office","Escalate to CBE","Escalate to Roxanne"))</f>
        <v/>
      </c>
    </row>
    <row r="634" spans="13:29">
      <c r="M634" s="14"/>
      <c r="T634" s="16"/>
      <c r="U634" s="17">
        <f>IF(AND(COUNTA($A634:$L634)=0,$N634=""),"",IF($T634="Paid","PAID",IF($T634="Closed","CLOSED",IF($Z634="","",IF($Z634=6,"ESCALATED TO ROXANNE",IF(TODAY()&gt;$AB634,"OVERDUE",IF($AB634&lt;=WORKDAY(TODAY(),1,Holidays),"DUE TOMORROW",IF($Z634=4,"ESCALATED TO LOCAL OFFICE",IF($Z634=5,"ESCALATED TO CBE",IF($AA634=TODAY(),"EMAIL SENT","MONITORING"))))))))))</f>
        <v/>
      </c>
      <c r="V634" s="17">
        <f>IF($U634="",IF(AND(COUNTA($A634:$L634)&gt;0,$N634=""),"Awaiting Collection Email time stamp.",""),IF(OR($U634="PAID",$U634="CLOSED"),IF($U634="PAID","Account paid. Action completed.","Account closed. No further action required."),CHOOSE($Z634,"Collection Email","1st Email Follow-up","2nd Email Follow-up","Escalation to Local Office","Escalation to CBE","Escalation to Roxanne")&amp;" sent "&amp;TEXT($AA634,"dd-mmm")&amp;". "&amp;IF($Z634=6,"Final escalation completed.",IF($U634="OVERDUE","Next: "&amp;$AC634&amp;" was due "&amp;TEXT($AB634,"dd-mmm")&amp;" - "&amp;(NETWORKDAYS($AB634,TODAY(),Holidays)-1)&amp;" business day(s) late. Send now.",IF($U634="DUE TOMORROW","Next: "&amp;$AC634&amp;IF($AB634&lt;=TODAY()," is due TODAY ("," is due next business day (")&amp;TEXT($AB634,"dd-mmm")&amp;").","Next: "&amp;$AC634&amp;" due "&amp;TEXT($AB634,"dd-mmm")&amp;" ("&amp;(NETWORKDAYS(TODAY(),$AB634,Holidays)-1)&amp;" business day(s) left).")))))</f>
        <v/>
      </c>
      <c r="W634" s="17">
        <f>IF($Z634="","",CHOOSE($Z634,"Collection Email","1st Follow-up","2nd Follow-up","Local Office","CBE","Roxanne")&amp;IF($Z634=6," - Final"," - Day "&amp;MAX(0,NETWORKDAYS($AA634,TODAY(),Holidays)-1)&amp;" of "&amp;CHOOSE($Z634,3,3,2,2,3))&amp;" | Total Day "&amp;MAX(0,NETWORKDAYS($N634,TODAY(),Holidays)-1))</f>
        <v/>
      </c>
      <c r="X634" s="18"/>
      <c r="Y634" s="18"/>
      <c r="Z634" s="17">
        <f>IF($N634="","",COUNT($N634:$S634))</f>
        <v/>
      </c>
      <c r="AA634" s="19">
        <f>IF($Z634="","",INT(INDEX($N634:$S634,$Z634)))</f>
        <v/>
      </c>
      <c r="AB634" s="19">
        <f>IF(OR($Z634="",$Z634=6),"",WORKDAY($AA634,CHOOSE($Z634,3,3,2,2,3),Holidays))</f>
        <v/>
      </c>
      <c r="AC634" s="17">
        <f>IF(OR($Z634="",$Z634=6),"",CHOOSE($Z634,"1st Email Follow-up","2nd Email Follow-up","Escalate Local Office","Escalate to CBE","Escalate to Roxanne"))</f>
        <v/>
      </c>
    </row>
    <row r="635" spans="13:29">
      <c r="M635" s="14"/>
      <c r="T635" s="16"/>
      <c r="U635" s="17">
        <f>IF(AND(COUNTA($A635:$L635)=0,$N635=""),"",IF($T635="Paid","PAID",IF($T635="Closed","CLOSED",IF($Z635="","",IF($Z635=6,"ESCALATED TO ROXANNE",IF(TODAY()&gt;$AB635,"OVERDUE",IF($AB635&lt;=WORKDAY(TODAY(),1,Holidays),"DUE TOMORROW",IF($Z635=4,"ESCALATED TO LOCAL OFFICE",IF($Z635=5,"ESCALATED TO CBE",IF($AA635=TODAY(),"EMAIL SENT","MONITORING"))))))))))</f>
        <v/>
      </c>
      <c r="V635" s="17">
        <f>IF($U635="",IF(AND(COUNTA($A635:$L635)&gt;0,$N635=""),"Awaiting Collection Email time stamp.",""),IF(OR($U635="PAID",$U635="CLOSED"),IF($U635="PAID","Account paid. Action completed.","Account closed. No further action required."),CHOOSE($Z635,"Collection Email","1st Email Follow-up","2nd Email Follow-up","Escalation to Local Office","Escalation to CBE","Escalation to Roxanne")&amp;" sent "&amp;TEXT($AA635,"dd-mmm")&amp;". "&amp;IF($Z635=6,"Final escalation completed.",IF($U635="OVERDUE","Next: "&amp;$AC635&amp;" was due "&amp;TEXT($AB635,"dd-mmm")&amp;" - "&amp;(NETWORKDAYS($AB635,TODAY(),Holidays)-1)&amp;" business day(s) late. Send now.",IF($U635="DUE TOMORROW","Next: "&amp;$AC635&amp;IF($AB635&lt;=TODAY()," is due TODAY ("," is due next business day (")&amp;TEXT($AB635,"dd-mmm")&amp;").","Next: "&amp;$AC635&amp;" due "&amp;TEXT($AB635,"dd-mmm")&amp;" ("&amp;(NETWORKDAYS(TODAY(),$AB635,Holidays)-1)&amp;" business day(s) left).")))))</f>
        <v/>
      </c>
      <c r="W635" s="17">
        <f>IF($Z635="","",CHOOSE($Z635,"Collection Email","1st Follow-up","2nd Follow-up","Local Office","CBE","Roxanne")&amp;IF($Z635=6," - Final"," - Day "&amp;MAX(0,NETWORKDAYS($AA635,TODAY(),Holidays)-1)&amp;" of "&amp;CHOOSE($Z635,3,3,2,2,3))&amp;" | Total Day "&amp;MAX(0,NETWORKDAYS($N635,TODAY(),Holidays)-1))</f>
        <v/>
      </c>
      <c r="X635" s="18"/>
      <c r="Y635" s="18"/>
      <c r="Z635" s="17">
        <f>IF($N635="","",COUNT($N635:$S635))</f>
        <v/>
      </c>
      <c r="AA635" s="19">
        <f>IF($Z635="","",INT(INDEX($N635:$S635,$Z635)))</f>
        <v/>
      </c>
      <c r="AB635" s="19">
        <f>IF(OR($Z635="",$Z635=6),"",WORKDAY($AA635,CHOOSE($Z635,3,3,2,2,3),Holidays))</f>
        <v/>
      </c>
      <c r="AC635" s="17">
        <f>IF(OR($Z635="",$Z635=6),"",CHOOSE($Z635,"1st Email Follow-up","2nd Email Follow-up","Escalate Local Office","Escalate to CBE","Escalate to Roxanne"))</f>
        <v/>
      </c>
    </row>
    <row r="636" spans="13:29">
      <c r="M636" s="14"/>
      <c r="T636" s="16"/>
      <c r="U636" s="17">
        <f>IF(AND(COUNTA($A636:$L636)=0,$N636=""),"",IF($T636="Paid","PAID",IF($T636="Closed","CLOSED",IF($Z636="","",IF($Z636=6,"ESCALATED TO ROXANNE",IF(TODAY()&gt;$AB636,"OVERDUE",IF($AB636&lt;=WORKDAY(TODAY(),1,Holidays),"DUE TOMORROW",IF($Z636=4,"ESCALATED TO LOCAL OFFICE",IF($Z636=5,"ESCALATED TO CBE",IF($AA636=TODAY(),"EMAIL SENT","MONITORING"))))))))))</f>
        <v/>
      </c>
      <c r="V636" s="17">
        <f>IF($U636="",IF(AND(COUNTA($A636:$L636)&gt;0,$N636=""),"Awaiting Collection Email time stamp.",""),IF(OR($U636="PAID",$U636="CLOSED"),IF($U636="PAID","Account paid. Action completed.","Account closed. No further action required."),CHOOSE($Z636,"Collection Email","1st Email Follow-up","2nd Email Follow-up","Escalation to Local Office","Escalation to CBE","Escalation to Roxanne")&amp;" sent "&amp;TEXT($AA636,"dd-mmm")&amp;". "&amp;IF($Z636=6,"Final escalation completed.",IF($U636="OVERDUE","Next: "&amp;$AC636&amp;" was due "&amp;TEXT($AB636,"dd-mmm")&amp;" - "&amp;(NETWORKDAYS($AB636,TODAY(),Holidays)-1)&amp;" business day(s) late. Send now.",IF($U636="DUE TOMORROW","Next: "&amp;$AC636&amp;IF($AB636&lt;=TODAY()," is due TODAY ("," is due next business day (")&amp;TEXT($AB636,"dd-mmm")&amp;").","Next: "&amp;$AC636&amp;" due "&amp;TEXT($AB636,"dd-mmm")&amp;" ("&amp;(NETWORKDAYS(TODAY(),$AB636,Holidays)-1)&amp;" business day(s) left).")))))</f>
        <v/>
      </c>
      <c r="W636" s="17">
        <f>IF($Z636="","",CHOOSE($Z636,"Collection Email","1st Follow-up","2nd Follow-up","Local Office","CBE","Roxanne")&amp;IF($Z636=6," - Final"," - Day "&amp;MAX(0,NETWORKDAYS($AA636,TODAY(),Holidays)-1)&amp;" of "&amp;CHOOSE($Z636,3,3,2,2,3))&amp;" | Total Day "&amp;MAX(0,NETWORKDAYS($N636,TODAY(),Holidays)-1))</f>
        <v/>
      </c>
      <c r="X636" s="18"/>
      <c r="Y636" s="18"/>
      <c r="Z636" s="17">
        <f>IF($N636="","",COUNT($N636:$S636))</f>
        <v/>
      </c>
      <c r="AA636" s="19">
        <f>IF($Z636="","",INT(INDEX($N636:$S636,$Z636)))</f>
        <v/>
      </c>
      <c r="AB636" s="19">
        <f>IF(OR($Z636="",$Z636=6),"",WORKDAY($AA636,CHOOSE($Z636,3,3,2,2,3),Holidays))</f>
        <v/>
      </c>
      <c r="AC636" s="17">
        <f>IF(OR($Z636="",$Z636=6),"",CHOOSE($Z636,"1st Email Follow-up","2nd Email Follow-up","Escalate Local Office","Escalate to CBE","Escalate to Roxanne"))</f>
        <v/>
      </c>
    </row>
    <row r="637" spans="13:29">
      <c r="M637" s="14"/>
      <c r="T637" s="16"/>
      <c r="U637" s="17">
        <f>IF(AND(COUNTA($A637:$L637)=0,$N637=""),"",IF($T637="Paid","PAID",IF($T637="Closed","CLOSED",IF($Z637="","",IF($Z637=6,"ESCALATED TO ROXANNE",IF(TODAY()&gt;$AB637,"OVERDUE",IF($AB637&lt;=WORKDAY(TODAY(),1,Holidays),"DUE TOMORROW",IF($Z637=4,"ESCALATED TO LOCAL OFFICE",IF($Z637=5,"ESCALATED TO CBE",IF($AA637=TODAY(),"EMAIL SENT","MONITORING"))))))))))</f>
        <v/>
      </c>
      <c r="V637" s="17">
        <f>IF($U637="",IF(AND(COUNTA($A637:$L637)&gt;0,$N637=""),"Awaiting Collection Email time stamp.",""),IF(OR($U637="PAID",$U637="CLOSED"),IF($U637="PAID","Account paid. Action completed.","Account closed. No further action required."),CHOOSE($Z637,"Collection Email","1st Email Follow-up","2nd Email Follow-up","Escalation to Local Office","Escalation to CBE","Escalation to Roxanne")&amp;" sent "&amp;TEXT($AA637,"dd-mmm")&amp;". "&amp;IF($Z637=6,"Final escalation completed.",IF($U637="OVERDUE","Next: "&amp;$AC637&amp;" was due "&amp;TEXT($AB637,"dd-mmm")&amp;" - "&amp;(NETWORKDAYS($AB637,TODAY(),Holidays)-1)&amp;" business day(s) late. Send now.",IF($U637="DUE TOMORROW","Next: "&amp;$AC637&amp;IF($AB637&lt;=TODAY()," is due TODAY ("," is due next business day (")&amp;TEXT($AB637,"dd-mmm")&amp;").","Next: "&amp;$AC637&amp;" due "&amp;TEXT($AB637,"dd-mmm")&amp;" ("&amp;(NETWORKDAYS(TODAY(),$AB637,Holidays)-1)&amp;" business day(s) left).")))))</f>
        <v/>
      </c>
      <c r="W637" s="17">
        <f>IF($Z637="","",CHOOSE($Z637,"Collection Email","1st Follow-up","2nd Follow-up","Local Office","CBE","Roxanne")&amp;IF($Z637=6," - Final"," - Day "&amp;MAX(0,NETWORKDAYS($AA637,TODAY(),Holidays)-1)&amp;" of "&amp;CHOOSE($Z637,3,3,2,2,3))&amp;" | Total Day "&amp;MAX(0,NETWORKDAYS($N637,TODAY(),Holidays)-1))</f>
        <v/>
      </c>
      <c r="X637" s="18"/>
      <c r="Y637" s="18"/>
      <c r="Z637" s="17">
        <f>IF($N637="","",COUNT($N637:$S637))</f>
        <v/>
      </c>
      <c r="AA637" s="19">
        <f>IF($Z637="","",INT(INDEX($N637:$S637,$Z637)))</f>
        <v/>
      </c>
      <c r="AB637" s="19">
        <f>IF(OR($Z637="",$Z637=6),"",WORKDAY($AA637,CHOOSE($Z637,3,3,2,2,3),Holidays))</f>
        <v/>
      </c>
      <c r="AC637" s="17">
        <f>IF(OR($Z637="",$Z637=6),"",CHOOSE($Z637,"1st Email Follow-up","2nd Email Follow-up","Escalate Local Office","Escalate to CBE","Escalate to Roxanne"))</f>
        <v/>
      </c>
    </row>
    <row r="638" spans="13:29">
      <c r="M638" s="14"/>
      <c r="T638" s="16"/>
      <c r="U638" s="17">
        <f>IF(AND(COUNTA($A638:$L638)=0,$N638=""),"",IF($T638="Paid","PAID",IF($T638="Closed","CLOSED",IF($Z638="","",IF($Z638=6,"ESCALATED TO ROXANNE",IF(TODAY()&gt;$AB638,"OVERDUE",IF($AB638&lt;=WORKDAY(TODAY(),1,Holidays),"DUE TOMORROW",IF($Z638=4,"ESCALATED TO LOCAL OFFICE",IF($Z638=5,"ESCALATED TO CBE",IF($AA638=TODAY(),"EMAIL SENT","MONITORING"))))))))))</f>
        <v/>
      </c>
      <c r="V638" s="17">
        <f>IF($U638="",IF(AND(COUNTA($A638:$L638)&gt;0,$N638=""),"Awaiting Collection Email time stamp.",""),IF(OR($U638="PAID",$U638="CLOSED"),IF($U638="PAID","Account paid. Action completed.","Account closed. No further action required."),CHOOSE($Z638,"Collection Email","1st Email Follow-up","2nd Email Follow-up","Escalation to Local Office","Escalation to CBE","Escalation to Roxanne")&amp;" sent "&amp;TEXT($AA638,"dd-mmm")&amp;". "&amp;IF($Z638=6,"Final escalation completed.",IF($U638="OVERDUE","Next: "&amp;$AC638&amp;" was due "&amp;TEXT($AB638,"dd-mmm")&amp;" - "&amp;(NETWORKDAYS($AB638,TODAY(),Holidays)-1)&amp;" business day(s) late. Send now.",IF($U638="DUE TOMORROW","Next: "&amp;$AC638&amp;IF($AB638&lt;=TODAY()," is due TODAY ("," is due next business day (")&amp;TEXT($AB638,"dd-mmm")&amp;").","Next: "&amp;$AC638&amp;" due "&amp;TEXT($AB638,"dd-mmm")&amp;" ("&amp;(NETWORKDAYS(TODAY(),$AB638,Holidays)-1)&amp;" business day(s) left).")))))</f>
        <v/>
      </c>
      <c r="W638" s="17">
        <f>IF($Z638="","",CHOOSE($Z638,"Collection Email","1st Follow-up","2nd Follow-up","Local Office","CBE","Roxanne")&amp;IF($Z638=6," - Final"," - Day "&amp;MAX(0,NETWORKDAYS($AA638,TODAY(),Holidays)-1)&amp;" of "&amp;CHOOSE($Z638,3,3,2,2,3))&amp;" | Total Day "&amp;MAX(0,NETWORKDAYS($N638,TODAY(),Holidays)-1))</f>
        <v/>
      </c>
      <c r="X638" s="18"/>
      <c r="Y638" s="18"/>
      <c r="Z638" s="17">
        <f>IF($N638="","",COUNT($N638:$S638))</f>
        <v/>
      </c>
      <c r="AA638" s="19">
        <f>IF($Z638="","",INT(INDEX($N638:$S638,$Z638)))</f>
        <v/>
      </c>
      <c r="AB638" s="19">
        <f>IF(OR($Z638="",$Z638=6),"",WORKDAY($AA638,CHOOSE($Z638,3,3,2,2,3),Holidays))</f>
        <v/>
      </c>
      <c r="AC638" s="17">
        <f>IF(OR($Z638="",$Z638=6),"",CHOOSE($Z638,"1st Email Follow-up","2nd Email Follow-up","Escalate Local Office","Escalate to CBE","Escalate to Roxanne"))</f>
        <v/>
      </c>
    </row>
    <row r="639" spans="13:29">
      <c r="M639" s="14"/>
      <c r="T639" s="16"/>
      <c r="U639" s="17">
        <f>IF(AND(COUNTA($A639:$L639)=0,$N639=""),"",IF($T639="Paid","PAID",IF($T639="Closed","CLOSED",IF($Z639="","",IF($Z639=6,"ESCALATED TO ROXANNE",IF(TODAY()&gt;$AB639,"OVERDUE",IF($AB639&lt;=WORKDAY(TODAY(),1,Holidays),"DUE TOMORROW",IF($Z639=4,"ESCALATED TO LOCAL OFFICE",IF($Z639=5,"ESCALATED TO CBE",IF($AA639=TODAY(),"EMAIL SENT","MONITORING"))))))))))</f>
        <v/>
      </c>
      <c r="V639" s="17">
        <f>IF($U639="",IF(AND(COUNTA($A639:$L639)&gt;0,$N639=""),"Awaiting Collection Email time stamp.",""),IF(OR($U639="PAID",$U639="CLOSED"),IF($U639="PAID","Account paid. Action completed.","Account closed. No further action required."),CHOOSE($Z639,"Collection Email","1st Email Follow-up","2nd Email Follow-up","Escalation to Local Office","Escalation to CBE","Escalation to Roxanne")&amp;" sent "&amp;TEXT($AA639,"dd-mmm")&amp;". "&amp;IF($Z639=6,"Final escalation completed.",IF($U639="OVERDUE","Next: "&amp;$AC639&amp;" was due "&amp;TEXT($AB639,"dd-mmm")&amp;" - "&amp;(NETWORKDAYS($AB639,TODAY(),Holidays)-1)&amp;" business day(s) late. Send now.",IF($U639="DUE TOMORROW","Next: "&amp;$AC639&amp;IF($AB639&lt;=TODAY()," is due TODAY ("," is due next business day (")&amp;TEXT($AB639,"dd-mmm")&amp;").","Next: "&amp;$AC639&amp;" due "&amp;TEXT($AB639,"dd-mmm")&amp;" ("&amp;(NETWORKDAYS(TODAY(),$AB639,Holidays)-1)&amp;" business day(s) left).")))))</f>
        <v/>
      </c>
      <c r="W639" s="17">
        <f>IF($Z639="","",CHOOSE($Z639,"Collection Email","1st Follow-up","2nd Follow-up","Local Office","CBE","Roxanne")&amp;IF($Z639=6," - Final"," - Day "&amp;MAX(0,NETWORKDAYS($AA639,TODAY(),Holidays)-1)&amp;" of "&amp;CHOOSE($Z639,3,3,2,2,3))&amp;" | Total Day "&amp;MAX(0,NETWORKDAYS($N639,TODAY(),Holidays)-1))</f>
        <v/>
      </c>
      <c r="X639" s="18"/>
      <c r="Y639" s="18"/>
      <c r="Z639" s="17">
        <f>IF($N639="","",COUNT($N639:$S639))</f>
        <v/>
      </c>
      <c r="AA639" s="19">
        <f>IF($Z639="","",INT(INDEX($N639:$S639,$Z639)))</f>
        <v/>
      </c>
      <c r="AB639" s="19">
        <f>IF(OR($Z639="",$Z639=6),"",WORKDAY($AA639,CHOOSE($Z639,3,3,2,2,3),Holidays))</f>
        <v/>
      </c>
      <c r="AC639" s="17">
        <f>IF(OR($Z639="",$Z639=6),"",CHOOSE($Z639,"1st Email Follow-up","2nd Email Follow-up","Escalate Local Office","Escalate to CBE","Escalate to Roxanne"))</f>
        <v/>
      </c>
    </row>
    <row r="640" spans="13:29">
      <c r="M640" s="14"/>
      <c r="T640" s="16"/>
      <c r="U640" s="17">
        <f>IF(AND(COUNTA($A640:$L640)=0,$N640=""),"",IF($T640="Paid","PAID",IF($T640="Closed","CLOSED",IF($Z640="","",IF($Z640=6,"ESCALATED TO ROXANNE",IF(TODAY()&gt;$AB640,"OVERDUE",IF($AB640&lt;=WORKDAY(TODAY(),1,Holidays),"DUE TOMORROW",IF($Z640=4,"ESCALATED TO LOCAL OFFICE",IF($Z640=5,"ESCALATED TO CBE",IF($AA640=TODAY(),"EMAIL SENT","MONITORING"))))))))))</f>
        <v/>
      </c>
      <c r="V640" s="17">
        <f>IF($U640="",IF(AND(COUNTA($A640:$L640)&gt;0,$N640=""),"Awaiting Collection Email time stamp.",""),IF(OR($U640="PAID",$U640="CLOSED"),IF($U640="PAID","Account paid. Action completed.","Account closed. No further action required."),CHOOSE($Z640,"Collection Email","1st Email Follow-up","2nd Email Follow-up","Escalation to Local Office","Escalation to CBE","Escalation to Roxanne")&amp;" sent "&amp;TEXT($AA640,"dd-mmm")&amp;". "&amp;IF($Z640=6,"Final escalation completed.",IF($U640="OVERDUE","Next: "&amp;$AC640&amp;" was due "&amp;TEXT($AB640,"dd-mmm")&amp;" - "&amp;(NETWORKDAYS($AB640,TODAY(),Holidays)-1)&amp;" business day(s) late. Send now.",IF($U640="DUE TOMORROW","Next: "&amp;$AC640&amp;IF($AB640&lt;=TODAY()," is due TODAY ("," is due next business day (")&amp;TEXT($AB640,"dd-mmm")&amp;").","Next: "&amp;$AC640&amp;" due "&amp;TEXT($AB640,"dd-mmm")&amp;" ("&amp;(NETWORKDAYS(TODAY(),$AB640,Holidays)-1)&amp;" business day(s) left).")))))</f>
        <v/>
      </c>
      <c r="W640" s="17">
        <f>IF($Z640="","",CHOOSE($Z640,"Collection Email","1st Follow-up","2nd Follow-up","Local Office","CBE","Roxanne")&amp;IF($Z640=6," - Final"," - Day "&amp;MAX(0,NETWORKDAYS($AA640,TODAY(),Holidays)-1)&amp;" of "&amp;CHOOSE($Z640,3,3,2,2,3))&amp;" | Total Day "&amp;MAX(0,NETWORKDAYS($N640,TODAY(),Holidays)-1))</f>
        <v/>
      </c>
      <c r="X640" s="18"/>
      <c r="Y640" s="18"/>
      <c r="Z640" s="17">
        <f>IF($N640="","",COUNT($N640:$S640))</f>
        <v/>
      </c>
      <c r="AA640" s="19">
        <f>IF($Z640="","",INT(INDEX($N640:$S640,$Z640)))</f>
        <v/>
      </c>
      <c r="AB640" s="19">
        <f>IF(OR($Z640="",$Z640=6),"",WORKDAY($AA640,CHOOSE($Z640,3,3,2,2,3),Holidays))</f>
        <v/>
      </c>
      <c r="AC640" s="17">
        <f>IF(OR($Z640="",$Z640=6),"",CHOOSE($Z640,"1st Email Follow-up","2nd Email Follow-up","Escalate Local Office","Escalate to CBE","Escalate to Roxanne"))</f>
        <v/>
      </c>
    </row>
    <row r="641" spans="13:29">
      <c r="M641" s="14"/>
      <c r="T641" s="16"/>
      <c r="U641" s="17">
        <f>IF(AND(COUNTA($A641:$L641)=0,$N641=""),"",IF($T641="Paid","PAID",IF($T641="Closed","CLOSED",IF($Z641="","",IF($Z641=6,"ESCALATED TO ROXANNE",IF(TODAY()&gt;$AB641,"OVERDUE",IF($AB641&lt;=WORKDAY(TODAY(),1,Holidays),"DUE TOMORROW",IF($Z641=4,"ESCALATED TO LOCAL OFFICE",IF($Z641=5,"ESCALATED TO CBE",IF($AA641=TODAY(),"EMAIL SENT","MONITORING"))))))))))</f>
        <v/>
      </c>
      <c r="V641" s="17">
        <f>IF($U641="",IF(AND(COUNTA($A641:$L641)&gt;0,$N641=""),"Awaiting Collection Email time stamp.",""),IF(OR($U641="PAID",$U641="CLOSED"),IF($U641="PAID","Account paid. Action completed.","Account closed. No further action required."),CHOOSE($Z641,"Collection Email","1st Email Follow-up","2nd Email Follow-up","Escalation to Local Office","Escalation to CBE","Escalation to Roxanne")&amp;" sent "&amp;TEXT($AA641,"dd-mmm")&amp;". "&amp;IF($Z641=6,"Final escalation completed.",IF($U641="OVERDUE","Next: "&amp;$AC641&amp;" was due "&amp;TEXT($AB641,"dd-mmm")&amp;" - "&amp;(NETWORKDAYS($AB641,TODAY(),Holidays)-1)&amp;" business day(s) late. Send now.",IF($U641="DUE TOMORROW","Next: "&amp;$AC641&amp;IF($AB641&lt;=TODAY()," is due TODAY ("," is due next business day (")&amp;TEXT($AB641,"dd-mmm")&amp;").","Next: "&amp;$AC641&amp;" due "&amp;TEXT($AB641,"dd-mmm")&amp;" ("&amp;(NETWORKDAYS(TODAY(),$AB641,Holidays)-1)&amp;" business day(s) left).")))))</f>
        <v/>
      </c>
      <c r="W641" s="17">
        <f>IF($Z641="","",CHOOSE($Z641,"Collection Email","1st Follow-up","2nd Follow-up","Local Office","CBE","Roxanne")&amp;IF($Z641=6," - Final"," - Day "&amp;MAX(0,NETWORKDAYS($AA641,TODAY(),Holidays)-1)&amp;" of "&amp;CHOOSE($Z641,3,3,2,2,3))&amp;" | Total Day "&amp;MAX(0,NETWORKDAYS($N641,TODAY(),Holidays)-1))</f>
        <v/>
      </c>
      <c r="X641" s="18"/>
      <c r="Y641" s="18"/>
      <c r="Z641" s="17">
        <f>IF($N641="","",COUNT($N641:$S641))</f>
        <v/>
      </c>
      <c r="AA641" s="19">
        <f>IF($Z641="","",INT(INDEX($N641:$S641,$Z641)))</f>
        <v/>
      </c>
      <c r="AB641" s="19">
        <f>IF(OR($Z641="",$Z641=6),"",WORKDAY($AA641,CHOOSE($Z641,3,3,2,2,3),Holidays))</f>
        <v/>
      </c>
      <c r="AC641" s="17">
        <f>IF(OR($Z641="",$Z641=6),"",CHOOSE($Z641,"1st Email Follow-up","2nd Email Follow-up","Escalate Local Office","Escalate to CBE","Escalate to Roxanne"))</f>
        <v/>
      </c>
    </row>
    <row r="642" spans="13:29">
      <c r="M642" s="14"/>
      <c r="T642" s="16"/>
      <c r="U642" s="17">
        <f>IF(AND(COUNTA($A642:$L642)=0,$N642=""),"",IF($T642="Paid","PAID",IF($T642="Closed","CLOSED",IF($Z642="","",IF($Z642=6,"ESCALATED TO ROXANNE",IF(TODAY()&gt;$AB642,"OVERDUE",IF($AB642&lt;=WORKDAY(TODAY(),1,Holidays),"DUE TOMORROW",IF($Z642=4,"ESCALATED TO LOCAL OFFICE",IF($Z642=5,"ESCALATED TO CBE",IF($AA642=TODAY(),"EMAIL SENT","MONITORING"))))))))))</f>
        <v/>
      </c>
      <c r="V642" s="17">
        <f>IF($U642="",IF(AND(COUNTA($A642:$L642)&gt;0,$N642=""),"Awaiting Collection Email time stamp.",""),IF(OR($U642="PAID",$U642="CLOSED"),IF($U642="PAID","Account paid. Action completed.","Account closed. No further action required."),CHOOSE($Z642,"Collection Email","1st Email Follow-up","2nd Email Follow-up","Escalation to Local Office","Escalation to CBE","Escalation to Roxanne")&amp;" sent "&amp;TEXT($AA642,"dd-mmm")&amp;". "&amp;IF($Z642=6,"Final escalation completed.",IF($U642="OVERDUE","Next: "&amp;$AC642&amp;" was due "&amp;TEXT($AB642,"dd-mmm")&amp;" - "&amp;(NETWORKDAYS($AB642,TODAY(),Holidays)-1)&amp;" business day(s) late. Send now.",IF($U642="DUE TOMORROW","Next: "&amp;$AC642&amp;IF($AB642&lt;=TODAY()," is due TODAY ("," is due next business day (")&amp;TEXT($AB642,"dd-mmm")&amp;").","Next: "&amp;$AC642&amp;" due "&amp;TEXT($AB642,"dd-mmm")&amp;" ("&amp;(NETWORKDAYS(TODAY(),$AB642,Holidays)-1)&amp;" business day(s) left).")))))</f>
        <v/>
      </c>
      <c r="W642" s="17">
        <f>IF($Z642="","",CHOOSE($Z642,"Collection Email","1st Follow-up","2nd Follow-up","Local Office","CBE","Roxanne")&amp;IF($Z642=6," - Final"," - Day "&amp;MAX(0,NETWORKDAYS($AA642,TODAY(),Holidays)-1)&amp;" of "&amp;CHOOSE($Z642,3,3,2,2,3))&amp;" | Total Day "&amp;MAX(0,NETWORKDAYS($N642,TODAY(),Holidays)-1))</f>
        <v/>
      </c>
      <c r="X642" s="18"/>
      <c r="Y642" s="18"/>
      <c r="Z642" s="17">
        <f>IF($N642="","",COUNT($N642:$S642))</f>
        <v/>
      </c>
      <c r="AA642" s="19">
        <f>IF($Z642="","",INT(INDEX($N642:$S642,$Z642)))</f>
        <v/>
      </c>
      <c r="AB642" s="19">
        <f>IF(OR($Z642="",$Z642=6),"",WORKDAY($AA642,CHOOSE($Z642,3,3,2,2,3),Holidays))</f>
        <v/>
      </c>
      <c r="AC642" s="17">
        <f>IF(OR($Z642="",$Z642=6),"",CHOOSE($Z642,"1st Email Follow-up","2nd Email Follow-up","Escalate Local Office","Escalate to CBE","Escalate to Roxanne"))</f>
        <v/>
      </c>
    </row>
    <row r="643" spans="13:29">
      <c r="M643" s="14"/>
      <c r="T643" s="16"/>
      <c r="U643" s="17">
        <f>IF(AND(COUNTA($A643:$L643)=0,$N643=""),"",IF($T643="Paid","PAID",IF($T643="Closed","CLOSED",IF($Z643="","",IF($Z643=6,"ESCALATED TO ROXANNE",IF(TODAY()&gt;$AB643,"OVERDUE",IF($AB643&lt;=WORKDAY(TODAY(),1,Holidays),"DUE TOMORROW",IF($Z643=4,"ESCALATED TO LOCAL OFFICE",IF($Z643=5,"ESCALATED TO CBE",IF($AA643=TODAY(),"EMAIL SENT","MONITORING"))))))))))</f>
        <v/>
      </c>
      <c r="V643" s="17">
        <f>IF($U643="",IF(AND(COUNTA($A643:$L643)&gt;0,$N643=""),"Awaiting Collection Email time stamp.",""),IF(OR($U643="PAID",$U643="CLOSED"),IF($U643="PAID","Account paid. Action completed.","Account closed. No further action required."),CHOOSE($Z643,"Collection Email","1st Email Follow-up","2nd Email Follow-up","Escalation to Local Office","Escalation to CBE","Escalation to Roxanne")&amp;" sent "&amp;TEXT($AA643,"dd-mmm")&amp;". "&amp;IF($Z643=6,"Final escalation completed.",IF($U643="OVERDUE","Next: "&amp;$AC643&amp;" was due "&amp;TEXT($AB643,"dd-mmm")&amp;" - "&amp;(NETWORKDAYS($AB643,TODAY(),Holidays)-1)&amp;" business day(s) late. Send now.",IF($U643="DUE TOMORROW","Next: "&amp;$AC643&amp;IF($AB643&lt;=TODAY()," is due TODAY ("," is due next business day (")&amp;TEXT($AB643,"dd-mmm")&amp;").","Next: "&amp;$AC643&amp;" due "&amp;TEXT($AB643,"dd-mmm")&amp;" ("&amp;(NETWORKDAYS(TODAY(),$AB643,Holidays)-1)&amp;" business day(s) left).")))))</f>
        <v/>
      </c>
      <c r="W643" s="17">
        <f>IF($Z643="","",CHOOSE($Z643,"Collection Email","1st Follow-up","2nd Follow-up","Local Office","CBE","Roxanne")&amp;IF($Z643=6," - Final"," - Day "&amp;MAX(0,NETWORKDAYS($AA643,TODAY(),Holidays)-1)&amp;" of "&amp;CHOOSE($Z643,3,3,2,2,3))&amp;" | Total Day "&amp;MAX(0,NETWORKDAYS($N643,TODAY(),Holidays)-1))</f>
        <v/>
      </c>
      <c r="X643" s="18"/>
      <c r="Y643" s="18"/>
      <c r="Z643" s="17">
        <f>IF($N643="","",COUNT($N643:$S643))</f>
        <v/>
      </c>
      <c r="AA643" s="19">
        <f>IF($Z643="","",INT(INDEX($N643:$S643,$Z643)))</f>
        <v/>
      </c>
      <c r="AB643" s="19">
        <f>IF(OR($Z643="",$Z643=6),"",WORKDAY($AA643,CHOOSE($Z643,3,3,2,2,3),Holidays))</f>
        <v/>
      </c>
      <c r="AC643" s="17">
        <f>IF(OR($Z643="",$Z643=6),"",CHOOSE($Z643,"1st Email Follow-up","2nd Email Follow-up","Escalate Local Office","Escalate to CBE","Escalate to Roxanne"))</f>
        <v/>
      </c>
    </row>
    <row r="644" spans="13:29">
      <c r="M644" s="14"/>
      <c r="T644" s="16"/>
      <c r="U644" s="17">
        <f>IF(AND(COUNTA($A644:$L644)=0,$N644=""),"",IF($T644="Paid","PAID",IF($T644="Closed","CLOSED",IF($Z644="","",IF($Z644=6,"ESCALATED TO ROXANNE",IF(TODAY()&gt;$AB644,"OVERDUE",IF($AB644&lt;=WORKDAY(TODAY(),1,Holidays),"DUE TOMORROW",IF($Z644=4,"ESCALATED TO LOCAL OFFICE",IF($Z644=5,"ESCALATED TO CBE",IF($AA644=TODAY(),"EMAIL SENT","MONITORING"))))))))))</f>
        <v/>
      </c>
      <c r="V644" s="17">
        <f>IF($U644="",IF(AND(COUNTA($A644:$L644)&gt;0,$N644=""),"Awaiting Collection Email time stamp.",""),IF(OR($U644="PAID",$U644="CLOSED"),IF($U644="PAID","Account paid. Action completed.","Account closed. No further action required."),CHOOSE($Z644,"Collection Email","1st Email Follow-up","2nd Email Follow-up","Escalation to Local Office","Escalation to CBE","Escalation to Roxanne")&amp;" sent "&amp;TEXT($AA644,"dd-mmm")&amp;". "&amp;IF($Z644=6,"Final escalation completed.",IF($U644="OVERDUE","Next: "&amp;$AC644&amp;" was due "&amp;TEXT($AB644,"dd-mmm")&amp;" - "&amp;(NETWORKDAYS($AB644,TODAY(),Holidays)-1)&amp;" business day(s) late. Send now.",IF($U644="DUE TOMORROW","Next: "&amp;$AC644&amp;IF($AB644&lt;=TODAY()," is due TODAY ("," is due next business day (")&amp;TEXT($AB644,"dd-mmm")&amp;").","Next: "&amp;$AC644&amp;" due "&amp;TEXT($AB644,"dd-mmm")&amp;" ("&amp;(NETWORKDAYS(TODAY(),$AB644,Holidays)-1)&amp;" business day(s) left).")))))</f>
        <v/>
      </c>
      <c r="W644" s="17">
        <f>IF($Z644="","",CHOOSE($Z644,"Collection Email","1st Follow-up","2nd Follow-up","Local Office","CBE","Roxanne")&amp;IF($Z644=6," - Final"," - Day "&amp;MAX(0,NETWORKDAYS($AA644,TODAY(),Holidays)-1)&amp;" of "&amp;CHOOSE($Z644,3,3,2,2,3))&amp;" | Total Day "&amp;MAX(0,NETWORKDAYS($N644,TODAY(),Holidays)-1))</f>
        <v/>
      </c>
      <c r="X644" s="18"/>
      <c r="Y644" s="18"/>
      <c r="Z644" s="17">
        <f>IF($N644="","",COUNT($N644:$S644))</f>
        <v/>
      </c>
      <c r="AA644" s="19">
        <f>IF($Z644="","",INT(INDEX($N644:$S644,$Z644)))</f>
        <v/>
      </c>
      <c r="AB644" s="19">
        <f>IF(OR($Z644="",$Z644=6),"",WORKDAY($AA644,CHOOSE($Z644,3,3,2,2,3),Holidays))</f>
        <v/>
      </c>
      <c r="AC644" s="17">
        <f>IF(OR($Z644="",$Z644=6),"",CHOOSE($Z644,"1st Email Follow-up","2nd Email Follow-up","Escalate Local Office","Escalate to CBE","Escalate to Roxanne"))</f>
        <v/>
      </c>
    </row>
    <row r="645" spans="13:29">
      <c r="M645" s="14"/>
      <c r="T645" s="16"/>
      <c r="U645" s="17">
        <f>IF(AND(COUNTA($A645:$L645)=0,$N645=""),"",IF($T645="Paid","PAID",IF($T645="Closed","CLOSED",IF($Z645="","",IF($Z645=6,"ESCALATED TO ROXANNE",IF(TODAY()&gt;$AB645,"OVERDUE",IF($AB645&lt;=WORKDAY(TODAY(),1,Holidays),"DUE TOMORROW",IF($Z645=4,"ESCALATED TO LOCAL OFFICE",IF($Z645=5,"ESCALATED TO CBE",IF($AA645=TODAY(),"EMAIL SENT","MONITORING"))))))))))</f>
        <v/>
      </c>
      <c r="V645" s="17">
        <f>IF($U645="",IF(AND(COUNTA($A645:$L645)&gt;0,$N645=""),"Awaiting Collection Email time stamp.",""),IF(OR($U645="PAID",$U645="CLOSED"),IF($U645="PAID","Account paid. Action completed.","Account closed. No further action required."),CHOOSE($Z645,"Collection Email","1st Email Follow-up","2nd Email Follow-up","Escalation to Local Office","Escalation to CBE","Escalation to Roxanne")&amp;" sent "&amp;TEXT($AA645,"dd-mmm")&amp;". "&amp;IF($Z645=6,"Final escalation completed.",IF($U645="OVERDUE","Next: "&amp;$AC645&amp;" was due "&amp;TEXT($AB645,"dd-mmm")&amp;" - "&amp;(NETWORKDAYS($AB645,TODAY(),Holidays)-1)&amp;" business day(s) late. Send now.",IF($U645="DUE TOMORROW","Next: "&amp;$AC645&amp;IF($AB645&lt;=TODAY()," is due TODAY ("," is due next business day (")&amp;TEXT($AB645,"dd-mmm")&amp;").","Next: "&amp;$AC645&amp;" due "&amp;TEXT($AB645,"dd-mmm")&amp;" ("&amp;(NETWORKDAYS(TODAY(),$AB645,Holidays)-1)&amp;" business day(s) left).")))))</f>
        <v/>
      </c>
      <c r="W645" s="17">
        <f>IF($Z645="","",CHOOSE($Z645,"Collection Email","1st Follow-up","2nd Follow-up","Local Office","CBE","Roxanne")&amp;IF($Z645=6," - Final"," - Day "&amp;MAX(0,NETWORKDAYS($AA645,TODAY(),Holidays)-1)&amp;" of "&amp;CHOOSE($Z645,3,3,2,2,3))&amp;" | Total Day "&amp;MAX(0,NETWORKDAYS($N645,TODAY(),Holidays)-1))</f>
        <v/>
      </c>
      <c r="X645" s="18"/>
      <c r="Y645" s="18"/>
      <c r="Z645" s="17">
        <f>IF($N645="","",COUNT($N645:$S645))</f>
        <v/>
      </c>
      <c r="AA645" s="19">
        <f>IF($Z645="","",INT(INDEX($N645:$S645,$Z645)))</f>
        <v/>
      </c>
      <c r="AB645" s="19">
        <f>IF(OR($Z645="",$Z645=6),"",WORKDAY($AA645,CHOOSE($Z645,3,3,2,2,3),Holidays))</f>
        <v/>
      </c>
      <c r="AC645" s="17">
        <f>IF(OR($Z645="",$Z645=6),"",CHOOSE($Z645,"1st Email Follow-up","2nd Email Follow-up","Escalate Local Office","Escalate to CBE","Escalate to Roxanne"))</f>
        <v/>
      </c>
    </row>
    <row r="646" spans="13:29">
      <c r="M646" s="14"/>
      <c r="T646" s="16"/>
      <c r="U646" s="17">
        <f>IF(AND(COUNTA($A646:$L646)=0,$N646=""),"",IF($T646="Paid","PAID",IF($T646="Closed","CLOSED",IF($Z646="","",IF($Z646=6,"ESCALATED TO ROXANNE",IF(TODAY()&gt;$AB646,"OVERDUE",IF($AB646&lt;=WORKDAY(TODAY(),1,Holidays),"DUE TOMORROW",IF($Z646=4,"ESCALATED TO LOCAL OFFICE",IF($Z646=5,"ESCALATED TO CBE",IF($AA646=TODAY(),"EMAIL SENT","MONITORING"))))))))))</f>
        <v/>
      </c>
      <c r="V646" s="17">
        <f>IF($U646="",IF(AND(COUNTA($A646:$L646)&gt;0,$N646=""),"Awaiting Collection Email time stamp.",""),IF(OR($U646="PAID",$U646="CLOSED"),IF($U646="PAID","Account paid. Action completed.","Account closed. No further action required."),CHOOSE($Z646,"Collection Email","1st Email Follow-up","2nd Email Follow-up","Escalation to Local Office","Escalation to CBE","Escalation to Roxanne")&amp;" sent "&amp;TEXT($AA646,"dd-mmm")&amp;". "&amp;IF($Z646=6,"Final escalation completed.",IF($U646="OVERDUE","Next: "&amp;$AC646&amp;" was due "&amp;TEXT($AB646,"dd-mmm")&amp;" - "&amp;(NETWORKDAYS($AB646,TODAY(),Holidays)-1)&amp;" business day(s) late. Send now.",IF($U646="DUE TOMORROW","Next: "&amp;$AC646&amp;IF($AB646&lt;=TODAY()," is due TODAY ("," is due next business day (")&amp;TEXT($AB646,"dd-mmm")&amp;").","Next: "&amp;$AC646&amp;" due "&amp;TEXT($AB646,"dd-mmm")&amp;" ("&amp;(NETWORKDAYS(TODAY(),$AB646,Holidays)-1)&amp;" business day(s) left).")))))</f>
        <v/>
      </c>
      <c r="W646" s="17">
        <f>IF($Z646="","",CHOOSE($Z646,"Collection Email","1st Follow-up","2nd Follow-up","Local Office","CBE","Roxanne")&amp;IF($Z646=6," - Final"," - Day "&amp;MAX(0,NETWORKDAYS($AA646,TODAY(),Holidays)-1)&amp;" of "&amp;CHOOSE($Z646,3,3,2,2,3))&amp;" | Total Day "&amp;MAX(0,NETWORKDAYS($N646,TODAY(),Holidays)-1))</f>
        <v/>
      </c>
      <c r="X646" s="18"/>
      <c r="Y646" s="18"/>
      <c r="Z646" s="17">
        <f>IF($N646="","",COUNT($N646:$S646))</f>
        <v/>
      </c>
      <c r="AA646" s="19">
        <f>IF($Z646="","",INT(INDEX($N646:$S646,$Z646)))</f>
        <v/>
      </c>
      <c r="AB646" s="19">
        <f>IF(OR($Z646="",$Z646=6),"",WORKDAY($AA646,CHOOSE($Z646,3,3,2,2,3),Holidays))</f>
        <v/>
      </c>
      <c r="AC646" s="17">
        <f>IF(OR($Z646="",$Z646=6),"",CHOOSE($Z646,"1st Email Follow-up","2nd Email Follow-up","Escalate Local Office","Escalate to CBE","Escalate to Roxanne"))</f>
        <v/>
      </c>
    </row>
    <row r="647" spans="13:29">
      <c r="M647" s="14"/>
      <c r="T647" s="16"/>
      <c r="U647" s="17">
        <f>IF(AND(COUNTA($A647:$L647)=0,$N647=""),"",IF($T647="Paid","PAID",IF($T647="Closed","CLOSED",IF($Z647="","",IF($Z647=6,"ESCALATED TO ROXANNE",IF(TODAY()&gt;$AB647,"OVERDUE",IF($AB647&lt;=WORKDAY(TODAY(),1,Holidays),"DUE TOMORROW",IF($Z647=4,"ESCALATED TO LOCAL OFFICE",IF($Z647=5,"ESCALATED TO CBE",IF($AA647=TODAY(),"EMAIL SENT","MONITORING"))))))))))</f>
        <v/>
      </c>
      <c r="V647" s="17">
        <f>IF($U647="",IF(AND(COUNTA($A647:$L647)&gt;0,$N647=""),"Awaiting Collection Email time stamp.",""),IF(OR($U647="PAID",$U647="CLOSED"),IF($U647="PAID","Account paid. Action completed.","Account closed. No further action required."),CHOOSE($Z647,"Collection Email","1st Email Follow-up","2nd Email Follow-up","Escalation to Local Office","Escalation to CBE","Escalation to Roxanne")&amp;" sent "&amp;TEXT($AA647,"dd-mmm")&amp;". "&amp;IF($Z647=6,"Final escalation completed.",IF($U647="OVERDUE","Next: "&amp;$AC647&amp;" was due "&amp;TEXT($AB647,"dd-mmm")&amp;" - "&amp;(NETWORKDAYS($AB647,TODAY(),Holidays)-1)&amp;" business day(s) late. Send now.",IF($U647="DUE TOMORROW","Next: "&amp;$AC647&amp;IF($AB647&lt;=TODAY()," is due TODAY ("," is due next business day (")&amp;TEXT($AB647,"dd-mmm")&amp;").","Next: "&amp;$AC647&amp;" due "&amp;TEXT($AB647,"dd-mmm")&amp;" ("&amp;(NETWORKDAYS(TODAY(),$AB647,Holidays)-1)&amp;" business day(s) left).")))))</f>
        <v/>
      </c>
      <c r="W647" s="17">
        <f>IF($Z647="","",CHOOSE($Z647,"Collection Email","1st Follow-up","2nd Follow-up","Local Office","CBE","Roxanne")&amp;IF($Z647=6," - Final"," - Day "&amp;MAX(0,NETWORKDAYS($AA647,TODAY(),Holidays)-1)&amp;" of "&amp;CHOOSE($Z647,3,3,2,2,3))&amp;" | Total Day "&amp;MAX(0,NETWORKDAYS($N647,TODAY(),Holidays)-1))</f>
        <v/>
      </c>
      <c r="X647" s="18"/>
      <c r="Y647" s="18"/>
      <c r="Z647" s="17">
        <f>IF($N647="","",COUNT($N647:$S647))</f>
        <v/>
      </c>
      <c r="AA647" s="19">
        <f>IF($Z647="","",INT(INDEX($N647:$S647,$Z647)))</f>
        <v/>
      </c>
      <c r="AB647" s="19">
        <f>IF(OR($Z647="",$Z647=6),"",WORKDAY($AA647,CHOOSE($Z647,3,3,2,2,3),Holidays))</f>
        <v/>
      </c>
      <c r="AC647" s="17">
        <f>IF(OR($Z647="",$Z647=6),"",CHOOSE($Z647,"1st Email Follow-up","2nd Email Follow-up","Escalate Local Office","Escalate to CBE","Escalate to Roxanne"))</f>
        <v/>
      </c>
    </row>
    <row r="648" spans="13:29">
      <c r="M648" s="14"/>
      <c r="T648" s="16"/>
      <c r="U648" s="17">
        <f>IF(AND(COUNTA($A648:$L648)=0,$N648=""),"",IF($T648="Paid","PAID",IF($T648="Closed","CLOSED",IF($Z648="","",IF($Z648=6,"ESCALATED TO ROXANNE",IF(TODAY()&gt;$AB648,"OVERDUE",IF($AB648&lt;=WORKDAY(TODAY(),1,Holidays),"DUE TOMORROW",IF($Z648=4,"ESCALATED TO LOCAL OFFICE",IF($Z648=5,"ESCALATED TO CBE",IF($AA648=TODAY(),"EMAIL SENT","MONITORING"))))))))))</f>
        <v/>
      </c>
      <c r="V648" s="17">
        <f>IF($U648="",IF(AND(COUNTA($A648:$L648)&gt;0,$N648=""),"Awaiting Collection Email time stamp.",""),IF(OR($U648="PAID",$U648="CLOSED"),IF($U648="PAID","Account paid. Action completed.","Account closed. No further action required."),CHOOSE($Z648,"Collection Email","1st Email Follow-up","2nd Email Follow-up","Escalation to Local Office","Escalation to CBE","Escalation to Roxanne")&amp;" sent "&amp;TEXT($AA648,"dd-mmm")&amp;". "&amp;IF($Z648=6,"Final escalation completed.",IF($U648="OVERDUE","Next: "&amp;$AC648&amp;" was due "&amp;TEXT($AB648,"dd-mmm")&amp;" - "&amp;(NETWORKDAYS($AB648,TODAY(),Holidays)-1)&amp;" business day(s) late. Send now.",IF($U648="DUE TOMORROW","Next: "&amp;$AC648&amp;IF($AB648&lt;=TODAY()," is due TODAY ("," is due next business day (")&amp;TEXT($AB648,"dd-mmm")&amp;").","Next: "&amp;$AC648&amp;" due "&amp;TEXT($AB648,"dd-mmm")&amp;" ("&amp;(NETWORKDAYS(TODAY(),$AB648,Holidays)-1)&amp;" business day(s) left).")))))</f>
        <v/>
      </c>
      <c r="W648" s="17">
        <f>IF($Z648="","",CHOOSE($Z648,"Collection Email","1st Follow-up","2nd Follow-up","Local Office","CBE","Roxanne")&amp;IF($Z648=6," - Final"," - Day "&amp;MAX(0,NETWORKDAYS($AA648,TODAY(),Holidays)-1)&amp;" of "&amp;CHOOSE($Z648,3,3,2,2,3))&amp;" | Total Day "&amp;MAX(0,NETWORKDAYS($N648,TODAY(),Holidays)-1))</f>
        <v/>
      </c>
      <c r="X648" s="18"/>
      <c r="Y648" s="18"/>
      <c r="Z648" s="17">
        <f>IF($N648="","",COUNT($N648:$S648))</f>
        <v/>
      </c>
      <c r="AA648" s="19">
        <f>IF($Z648="","",INT(INDEX($N648:$S648,$Z648)))</f>
        <v/>
      </c>
      <c r="AB648" s="19">
        <f>IF(OR($Z648="",$Z648=6),"",WORKDAY($AA648,CHOOSE($Z648,3,3,2,2,3),Holidays))</f>
        <v/>
      </c>
      <c r="AC648" s="17">
        <f>IF(OR($Z648="",$Z648=6),"",CHOOSE($Z648,"1st Email Follow-up","2nd Email Follow-up","Escalate Local Office","Escalate to CBE","Escalate to Roxanne"))</f>
        <v/>
      </c>
    </row>
    <row r="649" spans="13:29">
      <c r="M649" s="14"/>
      <c r="T649" s="16"/>
      <c r="U649" s="17">
        <f>IF(AND(COUNTA($A649:$L649)=0,$N649=""),"",IF($T649="Paid","PAID",IF($T649="Closed","CLOSED",IF($Z649="","",IF($Z649=6,"ESCALATED TO ROXANNE",IF(TODAY()&gt;$AB649,"OVERDUE",IF($AB649&lt;=WORKDAY(TODAY(),1,Holidays),"DUE TOMORROW",IF($Z649=4,"ESCALATED TO LOCAL OFFICE",IF($Z649=5,"ESCALATED TO CBE",IF($AA649=TODAY(),"EMAIL SENT","MONITORING"))))))))))</f>
        <v/>
      </c>
      <c r="V649" s="17">
        <f>IF($U649="",IF(AND(COUNTA($A649:$L649)&gt;0,$N649=""),"Awaiting Collection Email time stamp.",""),IF(OR($U649="PAID",$U649="CLOSED"),IF($U649="PAID","Account paid. Action completed.","Account closed. No further action required."),CHOOSE($Z649,"Collection Email","1st Email Follow-up","2nd Email Follow-up","Escalation to Local Office","Escalation to CBE","Escalation to Roxanne")&amp;" sent "&amp;TEXT($AA649,"dd-mmm")&amp;". "&amp;IF($Z649=6,"Final escalation completed.",IF($U649="OVERDUE","Next: "&amp;$AC649&amp;" was due "&amp;TEXT($AB649,"dd-mmm")&amp;" - "&amp;(NETWORKDAYS($AB649,TODAY(),Holidays)-1)&amp;" business day(s) late. Send now.",IF($U649="DUE TOMORROW","Next: "&amp;$AC649&amp;IF($AB649&lt;=TODAY()," is due TODAY ("," is due next business day (")&amp;TEXT($AB649,"dd-mmm")&amp;").","Next: "&amp;$AC649&amp;" due "&amp;TEXT($AB649,"dd-mmm")&amp;" ("&amp;(NETWORKDAYS(TODAY(),$AB649,Holidays)-1)&amp;" business day(s) left).")))))</f>
        <v/>
      </c>
      <c r="W649" s="17">
        <f>IF($Z649="","",CHOOSE($Z649,"Collection Email","1st Follow-up","2nd Follow-up","Local Office","CBE","Roxanne")&amp;IF($Z649=6," - Final"," - Day "&amp;MAX(0,NETWORKDAYS($AA649,TODAY(),Holidays)-1)&amp;" of "&amp;CHOOSE($Z649,3,3,2,2,3))&amp;" | Total Day "&amp;MAX(0,NETWORKDAYS($N649,TODAY(),Holidays)-1))</f>
        <v/>
      </c>
      <c r="X649" s="18"/>
      <c r="Y649" s="18"/>
      <c r="Z649" s="17">
        <f>IF($N649="","",COUNT($N649:$S649))</f>
        <v/>
      </c>
      <c r="AA649" s="19">
        <f>IF($Z649="","",INT(INDEX($N649:$S649,$Z649)))</f>
        <v/>
      </c>
      <c r="AB649" s="19">
        <f>IF(OR($Z649="",$Z649=6),"",WORKDAY($AA649,CHOOSE($Z649,3,3,2,2,3),Holidays))</f>
        <v/>
      </c>
      <c r="AC649" s="17">
        <f>IF(OR($Z649="",$Z649=6),"",CHOOSE($Z649,"1st Email Follow-up","2nd Email Follow-up","Escalate Local Office","Escalate to CBE","Escalate to Roxanne"))</f>
        <v/>
      </c>
    </row>
    <row r="650" spans="13:29">
      <c r="M650" s="14"/>
      <c r="T650" s="16"/>
      <c r="U650" s="17">
        <f>IF(AND(COUNTA($A650:$L650)=0,$N650=""),"",IF($T650="Paid","PAID",IF($T650="Closed","CLOSED",IF($Z650="","",IF($Z650=6,"ESCALATED TO ROXANNE",IF(TODAY()&gt;$AB650,"OVERDUE",IF($AB650&lt;=WORKDAY(TODAY(),1,Holidays),"DUE TOMORROW",IF($Z650=4,"ESCALATED TO LOCAL OFFICE",IF($Z650=5,"ESCALATED TO CBE",IF($AA650=TODAY(),"EMAIL SENT","MONITORING"))))))))))</f>
        <v/>
      </c>
      <c r="V650" s="17">
        <f>IF($U650="",IF(AND(COUNTA($A650:$L650)&gt;0,$N650=""),"Awaiting Collection Email time stamp.",""),IF(OR($U650="PAID",$U650="CLOSED"),IF($U650="PAID","Account paid. Action completed.","Account closed. No further action required."),CHOOSE($Z650,"Collection Email","1st Email Follow-up","2nd Email Follow-up","Escalation to Local Office","Escalation to CBE","Escalation to Roxanne")&amp;" sent "&amp;TEXT($AA650,"dd-mmm")&amp;". "&amp;IF($Z650=6,"Final escalation completed.",IF($U650="OVERDUE","Next: "&amp;$AC650&amp;" was due "&amp;TEXT($AB650,"dd-mmm")&amp;" - "&amp;(NETWORKDAYS($AB650,TODAY(),Holidays)-1)&amp;" business day(s) late. Send now.",IF($U650="DUE TOMORROW","Next: "&amp;$AC650&amp;IF($AB650&lt;=TODAY()," is due TODAY ("," is due next business day (")&amp;TEXT($AB650,"dd-mmm")&amp;").","Next: "&amp;$AC650&amp;" due "&amp;TEXT($AB650,"dd-mmm")&amp;" ("&amp;(NETWORKDAYS(TODAY(),$AB650,Holidays)-1)&amp;" business day(s) left).")))))</f>
        <v/>
      </c>
      <c r="W650" s="17">
        <f>IF($Z650="","",CHOOSE($Z650,"Collection Email","1st Follow-up","2nd Follow-up","Local Office","CBE","Roxanne")&amp;IF($Z650=6," - Final"," - Day "&amp;MAX(0,NETWORKDAYS($AA650,TODAY(),Holidays)-1)&amp;" of "&amp;CHOOSE($Z650,3,3,2,2,3))&amp;" | Total Day "&amp;MAX(0,NETWORKDAYS($N650,TODAY(),Holidays)-1))</f>
        <v/>
      </c>
      <c r="X650" s="18"/>
      <c r="Y650" s="18"/>
      <c r="Z650" s="17">
        <f>IF($N650="","",COUNT($N650:$S650))</f>
        <v/>
      </c>
      <c r="AA650" s="19">
        <f>IF($Z650="","",INT(INDEX($N650:$S650,$Z650)))</f>
        <v/>
      </c>
      <c r="AB650" s="19">
        <f>IF(OR($Z650="",$Z650=6),"",WORKDAY($AA650,CHOOSE($Z650,3,3,2,2,3),Holidays))</f>
        <v/>
      </c>
      <c r="AC650" s="17">
        <f>IF(OR($Z650="",$Z650=6),"",CHOOSE($Z650,"1st Email Follow-up","2nd Email Follow-up","Escalate Local Office","Escalate to CBE","Escalate to Roxanne"))</f>
        <v/>
      </c>
    </row>
    <row r="651" spans="13:29">
      <c r="M651" s="14"/>
      <c r="T651" s="16"/>
      <c r="U651" s="17">
        <f>IF(AND(COUNTA($A651:$L651)=0,$N651=""),"",IF($T651="Paid","PAID",IF($T651="Closed","CLOSED",IF($Z651="","",IF($Z651=6,"ESCALATED TO ROXANNE",IF(TODAY()&gt;$AB651,"OVERDUE",IF($AB651&lt;=WORKDAY(TODAY(),1,Holidays),"DUE TOMORROW",IF($Z651=4,"ESCALATED TO LOCAL OFFICE",IF($Z651=5,"ESCALATED TO CBE",IF($AA651=TODAY(),"EMAIL SENT","MONITORING"))))))))))</f>
        <v/>
      </c>
      <c r="V651" s="17">
        <f>IF($U651="",IF(AND(COUNTA($A651:$L651)&gt;0,$N651=""),"Awaiting Collection Email time stamp.",""),IF(OR($U651="PAID",$U651="CLOSED"),IF($U651="PAID","Account paid. Action completed.","Account closed. No further action required."),CHOOSE($Z651,"Collection Email","1st Email Follow-up","2nd Email Follow-up","Escalation to Local Office","Escalation to CBE","Escalation to Roxanne")&amp;" sent "&amp;TEXT($AA651,"dd-mmm")&amp;". "&amp;IF($Z651=6,"Final escalation completed.",IF($U651="OVERDUE","Next: "&amp;$AC651&amp;" was due "&amp;TEXT($AB651,"dd-mmm")&amp;" - "&amp;(NETWORKDAYS($AB651,TODAY(),Holidays)-1)&amp;" business day(s) late. Send now.",IF($U651="DUE TOMORROW","Next: "&amp;$AC651&amp;IF($AB651&lt;=TODAY()," is due TODAY ("," is due next business day (")&amp;TEXT($AB651,"dd-mmm")&amp;").","Next: "&amp;$AC651&amp;" due "&amp;TEXT($AB651,"dd-mmm")&amp;" ("&amp;(NETWORKDAYS(TODAY(),$AB651,Holidays)-1)&amp;" business day(s) left).")))))</f>
        <v/>
      </c>
      <c r="W651" s="17">
        <f>IF($Z651="","",CHOOSE($Z651,"Collection Email","1st Follow-up","2nd Follow-up","Local Office","CBE","Roxanne")&amp;IF($Z651=6," - Final"," - Day "&amp;MAX(0,NETWORKDAYS($AA651,TODAY(),Holidays)-1)&amp;" of "&amp;CHOOSE($Z651,3,3,2,2,3))&amp;" | Total Day "&amp;MAX(0,NETWORKDAYS($N651,TODAY(),Holidays)-1))</f>
        <v/>
      </c>
      <c r="X651" s="18"/>
      <c r="Y651" s="18"/>
      <c r="Z651" s="17">
        <f>IF($N651="","",COUNT($N651:$S651))</f>
        <v/>
      </c>
      <c r="AA651" s="19">
        <f>IF($Z651="","",INT(INDEX($N651:$S651,$Z651)))</f>
        <v/>
      </c>
      <c r="AB651" s="19">
        <f>IF(OR($Z651="",$Z651=6),"",WORKDAY($AA651,CHOOSE($Z651,3,3,2,2,3),Holidays))</f>
        <v/>
      </c>
      <c r="AC651" s="17">
        <f>IF(OR($Z651="",$Z651=6),"",CHOOSE($Z651,"1st Email Follow-up","2nd Email Follow-up","Escalate Local Office","Escalate to CBE","Escalate to Roxanne"))</f>
        <v/>
      </c>
    </row>
    <row r="652" spans="13:29">
      <c r="M652" s="14"/>
      <c r="T652" s="16"/>
      <c r="U652" s="17">
        <f>IF(AND(COUNTA($A652:$L652)=0,$N652=""),"",IF($T652="Paid","PAID",IF($T652="Closed","CLOSED",IF($Z652="","",IF($Z652=6,"ESCALATED TO ROXANNE",IF(TODAY()&gt;$AB652,"OVERDUE",IF($AB652&lt;=WORKDAY(TODAY(),1,Holidays),"DUE TOMORROW",IF($Z652=4,"ESCALATED TO LOCAL OFFICE",IF($Z652=5,"ESCALATED TO CBE",IF($AA652=TODAY(),"EMAIL SENT","MONITORING"))))))))))</f>
        <v/>
      </c>
      <c r="V652" s="17">
        <f>IF($U652="",IF(AND(COUNTA($A652:$L652)&gt;0,$N652=""),"Awaiting Collection Email time stamp.",""),IF(OR($U652="PAID",$U652="CLOSED"),IF($U652="PAID","Account paid. Action completed.","Account closed. No further action required."),CHOOSE($Z652,"Collection Email","1st Email Follow-up","2nd Email Follow-up","Escalation to Local Office","Escalation to CBE","Escalation to Roxanne")&amp;" sent "&amp;TEXT($AA652,"dd-mmm")&amp;". "&amp;IF($Z652=6,"Final escalation completed.",IF($U652="OVERDUE","Next: "&amp;$AC652&amp;" was due "&amp;TEXT($AB652,"dd-mmm")&amp;" - "&amp;(NETWORKDAYS($AB652,TODAY(),Holidays)-1)&amp;" business day(s) late. Send now.",IF($U652="DUE TOMORROW","Next: "&amp;$AC652&amp;IF($AB652&lt;=TODAY()," is due TODAY ("," is due next business day (")&amp;TEXT($AB652,"dd-mmm")&amp;").","Next: "&amp;$AC652&amp;" due "&amp;TEXT($AB652,"dd-mmm")&amp;" ("&amp;(NETWORKDAYS(TODAY(),$AB652,Holidays)-1)&amp;" business day(s) left).")))))</f>
        <v/>
      </c>
      <c r="W652" s="17">
        <f>IF($Z652="","",CHOOSE($Z652,"Collection Email","1st Follow-up","2nd Follow-up","Local Office","CBE","Roxanne")&amp;IF($Z652=6," - Final"," - Day "&amp;MAX(0,NETWORKDAYS($AA652,TODAY(),Holidays)-1)&amp;" of "&amp;CHOOSE($Z652,3,3,2,2,3))&amp;" | Total Day "&amp;MAX(0,NETWORKDAYS($N652,TODAY(),Holidays)-1))</f>
        <v/>
      </c>
      <c r="X652" s="18"/>
      <c r="Y652" s="18"/>
      <c r="Z652" s="17">
        <f>IF($N652="","",COUNT($N652:$S652))</f>
        <v/>
      </c>
      <c r="AA652" s="19">
        <f>IF($Z652="","",INT(INDEX($N652:$S652,$Z652)))</f>
        <v/>
      </c>
      <c r="AB652" s="19">
        <f>IF(OR($Z652="",$Z652=6),"",WORKDAY($AA652,CHOOSE($Z652,3,3,2,2,3),Holidays))</f>
        <v/>
      </c>
      <c r="AC652" s="17">
        <f>IF(OR($Z652="",$Z652=6),"",CHOOSE($Z652,"1st Email Follow-up","2nd Email Follow-up","Escalate Local Office","Escalate to CBE","Escalate to Roxanne"))</f>
        <v/>
      </c>
    </row>
    <row r="653" spans="13:29">
      <c r="M653" s="14"/>
      <c r="T653" s="16"/>
      <c r="U653" s="17">
        <f>IF(AND(COUNTA($A653:$L653)=0,$N653=""),"",IF($T653="Paid","PAID",IF($T653="Closed","CLOSED",IF($Z653="","",IF($Z653=6,"ESCALATED TO ROXANNE",IF(TODAY()&gt;$AB653,"OVERDUE",IF($AB653&lt;=WORKDAY(TODAY(),1,Holidays),"DUE TOMORROW",IF($Z653=4,"ESCALATED TO LOCAL OFFICE",IF($Z653=5,"ESCALATED TO CBE",IF($AA653=TODAY(),"EMAIL SENT","MONITORING"))))))))))</f>
        <v/>
      </c>
      <c r="V653" s="17">
        <f>IF($U653="",IF(AND(COUNTA($A653:$L653)&gt;0,$N653=""),"Awaiting Collection Email time stamp.",""),IF(OR($U653="PAID",$U653="CLOSED"),IF($U653="PAID","Account paid. Action completed.","Account closed. No further action required."),CHOOSE($Z653,"Collection Email","1st Email Follow-up","2nd Email Follow-up","Escalation to Local Office","Escalation to CBE","Escalation to Roxanne")&amp;" sent "&amp;TEXT($AA653,"dd-mmm")&amp;". "&amp;IF($Z653=6,"Final escalation completed.",IF($U653="OVERDUE","Next: "&amp;$AC653&amp;" was due "&amp;TEXT($AB653,"dd-mmm")&amp;" - "&amp;(NETWORKDAYS($AB653,TODAY(),Holidays)-1)&amp;" business day(s) late. Send now.",IF($U653="DUE TOMORROW","Next: "&amp;$AC653&amp;IF($AB653&lt;=TODAY()," is due TODAY ("," is due next business day (")&amp;TEXT($AB653,"dd-mmm")&amp;").","Next: "&amp;$AC653&amp;" due "&amp;TEXT($AB653,"dd-mmm")&amp;" ("&amp;(NETWORKDAYS(TODAY(),$AB653,Holidays)-1)&amp;" business day(s) left).")))))</f>
        <v/>
      </c>
      <c r="W653" s="17">
        <f>IF($Z653="","",CHOOSE($Z653,"Collection Email","1st Follow-up","2nd Follow-up","Local Office","CBE","Roxanne")&amp;IF($Z653=6," - Final"," - Day "&amp;MAX(0,NETWORKDAYS($AA653,TODAY(),Holidays)-1)&amp;" of "&amp;CHOOSE($Z653,3,3,2,2,3))&amp;" | Total Day "&amp;MAX(0,NETWORKDAYS($N653,TODAY(),Holidays)-1))</f>
        <v/>
      </c>
      <c r="X653" s="18"/>
      <c r="Y653" s="18"/>
      <c r="Z653" s="17">
        <f>IF($N653="","",COUNT($N653:$S653))</f>
        <v/>
      </c>
      <c r="AA653" s="19">
        <f>IF($Z653="","",INT(INDEX($N653:$S653,$Z653)))</f>
        <v/>
      </c>
      <c r="AB653" s="19">
        <f>IF(OR($Z653="",$Z653=6),"",WORKDAY($AA653,CHOOSE($Z653,3,3,2,2,3),Holidays))</f>
        <v/>
      </c>
      <c r="AC653" s="17">
        <f>IF(OR($Z653="",$Z653=6),"",CHOOSE($Z653,"1st Email Follow-up","2nd Email Follow-up","Escalate Local Office","Escalate to CBE","Escalate to Roxanne"))</f>
        <v/>
      </c>
    </row>
    <row r="654" spans="13:29">
      <c r="M654" s="14"/>
      <c r="T654" s="16"/>
      <c r="U654" s="17">
        <f>IF(AND(COUNTA($A654:$L654)=0,$N654=""),"",IF($T654="Paid","PAID",IF($T654="Closed","CLOSED",IF($Z654="","",IF($Z654=6,"ESCALATED TO ROXANNE",IF(TODAY()&gt;$AB654,"OVERDUE",IF($AB654&lt;=WORKDAY(TODAY(),1,Holidays),"DUE TOMORROW",IF($Z654=4,"ESCALATED TO LOCAL OFFICE",IF($Z654=5,"ESCALATED TO CBE",IF($AA654=TODAY(),"EMAIL SENT","MONITORING"))))))))))</f>
        <v/>
      </c>
      <c r="V654" s="17">
        <f>IF($U654="",IF(AND(COUNTA($A654:$L654)&gt;0,$N654=""),"Awaiting Collection Email time stamp.",""),IF(OR($U654="PAID",$U654="CLOSED"),IF($U654="PAID","Account paid. Action completed.","Account closed. No further action required."),CHOOSE($Z654,"Collection Email","1st Email Follow-up","2nd Email Follow-up","Escalation to Local Office","Escalation to CBE","Escalation to Roxanne")&amp;" sent "&amp;TEXT($AA654,"dd-mmm")&amp;". "&amp;IF($Z654=6,"Final escalation completed.",IF($U654="OVERDUE","Next: "&amp;$AC654&amp;" was due "&amp;TEXT($AB654,"dd-mmm")&amp;" - "&amp;(NETWORKDAYS($AB654,TODAY(),Holidays)-1)&amp;" business day(s) late. Send now.",IF($U654="DUE TOMORROW","Next: "&amp;$AC654&amp;IF($AB654&lt;=TODAY()," is due TODAY ("," is due next business day (")&amp;TEXT($AB654,"dd-mmm")&amp;").","Next: "&amp;$AC654&amp;" due "&amp;TEXT($AB654,"dd-mmm")&amp;" ("&amp;(NETWORKDAYS(TODAY(),$AB654,Holidays)-1)&amp;" business day(s) left).")))))</f>
        <v/>
      </c>
      <c r="W654" s="17">
        <f>IF($Z654="","",CHOOSE($Z654,"Collection Email","1st Follow-up","2nd Follow-up","Local Office","CBE","Roxanne")&amp;IF($Z654=6," - Final"," - Day "&amp;MAX(0,NETWORKDAYS($AA654,TODAY(),Holidays)-1)&amp;" of "&amp;CHOOSE($Z654,3,3,2,2,3))&amp;" | Total Day "&amp;MAX(0,NETWORKDAYS($N654,TODAY(),Holidays)-1))</f>
        <v/>
      </c>
      <c r="X654" s="18"/>
      <c r="Y654" s="18"/>
      <c r="Z654" s="17">
        <f>IF($N654="","",COUNT($N654:$S654))</f>
        <v/>
      </c>
      <c r="AA654" s="19">
        <f>IF($Z654="","",INT(INDEX($N654:$S654,$Z654)))</f>
        <v/>
      </c>
      <c r="AB654" s="19">
        <f>IF(OR($Z654="",$Z654=6),"",WORKDAY($AA654,CHOOSE($Z654,3,3,2,2,3),Holidays))</f>
        <v/>
      </c>
      <c r="AC654" s="17">
        <f>IF(OR($Z654="",$Z654=6),"",CHOOSE($Z654,"1st Email Follow-up","2nd Email Follow-up","Escalate Local Office","Escalate to CBE","Escalate to Roxanne"))</f>
        <v/>
      </c>
    </row>
    <row r="655" spans="13:29">
      <c r="M655" s="14"/>
      <c r="T655" s="16"/>
      <c r="U655" s="17">
        <f>IF(AND(COUNTA($A655:$L655)=0,$N655=""),"",IF($T655="Paid","PAID",IF($T655="Closed","CLOSED",IF($Z655="","",IF($Z655=6,"ESCALATED TO ROXANNE",IF(TODAY()&gt;$AB655,"OVERDUE",IF($AB655&lt;=WORKDAY(TODAY(),1,Holidays),"DUE TOMORROW",IF($Z655=4,"ESCALATED TO LOCAL OFFICE",IF($Z655=5,"ESCALATED TO CBE",IF($AA655=TODAY(),"EMAIL SENT","MONITORING"))))))))))</f>
        <v/>
      </c>
      <c r="V655" s="17">
        <f>IF($U655="",IF(AND(COUNTA($A655:$L655)&gt;0,$N655=""),"Awaiting Collection Email time stamp.",""),IF(OR($U655="PAID",$U655="CLOSED"),IF($U655="PAID","Account paid. Action completed.","Account closed. No further action required."),CHOOSE($Z655,"Collection Email","1st Email Follow-up","2nd Email Follow-up","Escalation to Local Office","Escalation to CBE","Escalation to Roxanne")&amp;" sent "&amp;TEXT($AA655,"dd-mmm")&amp;". "&amp;IF($Z655=6,"Final escalation completed.",IF($U655="OVERDUE","Next: "&amp;$AC655&amp;" was due "&amp;TEXT($AB655,"dd-mmm")&amp;" - "&amp;(NETWORKDAYS($AB655,TODAY(),Holidays)-1)&amp;" business day(s) late. Send now.",IF($U655="DUE TOMORROW","Next: "&amp;$AC655&amp;IF($AB655&lt;=TODAY()," is due TODAY ("," is due next business day (")&amp;TEXT($AB655,"dd-mmm")&amp;").","Next: "&amp;$AC655&amp;" due "&amp;TEXT($AB655,"dd-mmm")&amp;" ("&amp;(NETWORKDAYS(TODAY(),$AB655,Holidays)-1)&amp;" business day(s) left).")))))</f>
        <v/>
      </c>
      <c r="W655" s="17">
        <f>IF($Z655="","",CHOOSE($Z655,"Collection Email","1st Follow-up","2nd Follow-up","Local Office","CBE","Roxanne")&amp;IF($Z655=6," - Final"," - Day "&amp;MAX(0,NETWORKDAYS($AA655,TODAY(),Holidays)-1)&amp;" of "&amp;CHOOSE($Z655,3,3,2,2,3))&amp;" | Total Day "&amp;MAX(0,NETWORKDAYS($N655,TODAY(),Holidays)-1))</f>
        <v/>
      </c>
      <c r="X655" s="18"/>
      <c r="Y655" s="18"/>
      <c r="Z655" s="17">
        <f>IF($N655="","",COUNT($N655:$S655))</f>
        <v/>
      </c>
      <c r="AA655" s="19">
        <f>IF($Z655="","",INT(INDEX($N655:$S655,$Z655)))</f>
        <v/>
      </c>
      <c r="AB655" s="19">
        <f>IF(OR($Z655="",$Z655=6),"",WORKDAY($AA655,CHOOSE($Z655,3,3,2,2,3),Holidays))</f>
        <v/>
      </c>
      <c r="AC655" s="17">
        <f>IF(OR($Z655="",$Z655=6),"",CHOOSE($Z655,"1st Email Follow-up","2nd Email Follow-up","Escalate Local Office","Escalate to CBE","Escalate to Roxanne"))</f>
        <v/>
      </c>
    </row>
    <row r="656" spans="13:29">
      <c r="M656" s="14"/>
      <c r="T656" s="16"/>
      <c r="U656" s="17">
        <f>IF(AND(COUNTA($A656:$L656)=0,$N656=""),"",IF($T656="Paid","PAID",IF($T656="Closed","CLOSED",IF($Z656="","",IF($Z656=6,"ESCALATED TO ROXANNE",IF(TODAY()&gt;$AB656,"OVERDUE",IF($AB656&lt;=WORKDAY(TODAY(),1,Holidays),"DUE TOMORROW",IF($Z656=4,"ESCALATED TO LOCAL OFFICE",IF($Z656=5,"ESCALATED TO CBE",IF($AA656=TODAY(),"EMAIL SENT","MONITORING"))))))))))</f>
        <v/>
      </c>
      <c r="V656" s="17">
        <f>IF($U656="",IF(AND(COUNTA($A656:$L656)&gt;0,$N656=""),"Awaiting Collection Email time stamp.",""),IF(OR($U656="PAID",$U656="CLOSED"),IF($U656="PAID","Account paid. Action completed.","Account closed. No further action required."),CHOOSE($Z656,"Collection Email","1st Email Follow-up","2nd Email Follow-up","Escalation to Local Office","Escalation to CBE","Escalation to Roxanne")&amp;" sent "&amp;TEXT($AA656,"dd-mmm")&amp;". "&amp;IF($Z656=6,"Final escalation completed.",IF($U656="OVERDUE","Next: "&amp;$AC656&amp;" was due "&amp;TEXT($AB656,"dd-mmm")&amp;" - "&amp;(NETWORKDAYS($AB656,TODAY(),Holidays)-1)&amp;" business day(s) late. Send now.",IF($U656="DUE TOMORROW","Next: "&amp;$AC656&amp;IF($AB656&lt;=TODAY()," is due TODAY ("," is due next business day (")&amp;TEXT($AB656,"dd-mmm")&amp;").","Next: "&amp;$AC656&amp;" due "&amp;TEXT($AB656,"dd-mmm")&amp;" ("&amp;(NETWORKDAYS(TODAY(),$AB656,Holidays)-1)&amp;" business day(s) left).")))))</f>
        <v/>
      </c>
      <c r="W656" s="17">
        <f>IF($Z656="","",CHOOSE($Z656,"Collection Email","1st Follow-up","2nd Follow-up","Local Office","CBE","Roxanne")&amp;IF($Z656=6," - Final"," - Day "&amp;MAX(0,NETWORKDAYS($AA656,TODAY(),Holidays)-1)&amp;" of "&amp;CHOOSE($Z656,3,3,2,2,3))&amp;" | Total Day "&amp;MAX(0,NETWORKDAYS($N656,TODAY(),Holidays)-1))</f>
        <v/>
      </c>
      <c r="X656" s="18"/>
      <c r="Y656" s="18"/>
      <c r="Z656" s="17">
        <f>IF($N656="","",COUNT($N656:$S656))</f>
        <v/>
      </c>
      <c r="AA656" s="19">
        <f>IF($Z656="","",INT(INDEX($N656:$S656,$Z656)))</f>
        <v/>
      </c>
      <c r="AB656" s="19">
        <f>IF(OR($Z656="",$Z656=6),"",WORKDAY($AA656,CHOOSE($Z656,3,3,2,2,3),Holidays))</f>
        <v/>
      </c>
      <c r="AC656" s="17">
        <f>IF(OR($Z656="",$Z656=6),"",CHOOSE($Z656,"1st Email Follow-up","2nd Email Follow-up","Escalate Local Office","Escalate to CBE","Escalate to Roxanne"))</f>
        <v/>
      </c>
    </row>
    <row r="657" spans="13:29">
      <c r="M657" s="14"/>
      <c r="T657" s="16"/>
      <c r="U657" s="17">
        <f>IF(AND(COUNTA($A657:$L657)=0,$N657=""),"",IF($T657="Paid","PAID",IF($T657="Closed","CLOSED",IF($Z657="","",IF($Z657=6,"ESCALATED TO ROXANNE",IF(TODAY()&gt;$AB657,"OVERDUE",IF($AB657&lt;=WORKDAY(TODAY(),1,Holidays),"DUE TOMORROW",IF($Z657=4,"ESCALATED TO LOCAL OFFICE",IF($Z657=5,"ESCALATED TO CBE",IF($AA657=TODAY(),"EMAIL SENT","MONITORING"))))))))))</f>
        <v/>
      </c>
      <c r="V657" s="17">
        <f>IF($U657="",IF(AND(COUNTA($A657:$L657)&gt;0,$N657=""),"Awaiting Collection Email time stamp.",""),IF(OR($U657="PAID",$U657="CLOSED"),IF($U657="PAID","Account paid. Action completed.","Account closed. No further action required."),CHOOSE($Z657,"Collection Email","1st Email Follow-up","2nd Email Follow-up","Escalation to Local Office","Escalation to CBE","Escalation to Roxanne")&amp;" sent "&amp;TEXT($AA657,"dd-mmm")&amp;". "&amp;IF($Z657=6,"Final escalation completed.",IF($U657="OVERDUE","Next: "&amp;$AC657&amp;" was due "&amp;TEXT($AB657,"dd-mmm")&amp;" - "&amp;(NETWORKDAYS($AB657,TODAY(),Holidays)-1)&amp;" business day(s) late. Send now.",IF($U657="DUE TOMORROW","Next: "&amp;$AC657&amp;IF($AB657&lt;=TODAY()," is due TODAY ("," is due next business day (")&amp;TEXT($AB657,"dd-mmm")&amp;").","Next: "&amp;$AC657&amp;" due "&amp;TEXT($AB657,"dd-mmm")&amp;" ("&amp;(NETWORKDAYS(TODAY(),$AB657,Holidays)-1)&amp;" business day(s) left).")))))</f>
        <v/>
      </c>
      <c r="W657" s="17">
        <f>IF($Z657="","",CHOOSE($Z657,"Collection Email","1st Follow-up","2nd Follow-up","Local Office","CBE","Roxanne")&amp;IF($Z657=6," - Final"," - Day "&amp;MAX(0,NETWORKDAYS($AA657,TODAY(),Holidays)-1)&amp;" of "&amp;CHOOSE($Z657,3,3,2,2,3))&amp;" | Total Day "&amp;MAX(0,NETWORKDAYS($N657,TODAY(),Holidays)-1))</f>
        <v/>
      </c>
      <c r="X657" s="18"/>
      <c r="Y657" s="18"/>
      <c r="Z657" s="17">
        <f>IF($N657="","",COUNT($N657:$S657))</f>
        <v/>
      </c>
      <c r="AA657" s="19">
        <f>IF($Z657="","",INT(INDEX($N657:$S657,$Z657)))</f>
        <v/>
      </c>
      <c r="AB657" s="19">
        <f>IF(OR($Z657="",$Z657=6),"",WORKDAY($AA657,CHOOSE($Z657,3,3,2,2,3),Holidays))</f>
        <v/>
      </c>
      <c r="AC657" s="17">
        <f>IF(OR($Z657="",$Z657=6),"",CHOOSE($Z657,"1st Email Follow-up","2nd Email Follow-up","Escalate Local Office","Escalate to CBE","Escalate to Roxanne"))</f>
        <v/>
      </c>
    </row>
    <row r="658" spans="13:29">
      <c r="M658" s="14"/>
      <c r="T658" s="16"/>
      <c r="U658" s="17">
        <f>IF(AND(COUNTA($A658:$L658)=0,$N658=""),"",IF($T658="Paid","PAID",IF($T658="Closed","CLOSED",IF($Z658="","",IF($Z658=6,"ESCALATED TO ROXANNE",IF(TODAY()&gt;$AB658,"OVERDUE",IF($AB658&lt;=WORKDAY(TODAY(),1,Holidays),"DUE TOMORROW",IF($Z658=4,"ESCALATED TO LOCAL OFFICE",IF($Z658=5,"ESCALATED TO CBE",IF($AA658=TODAY(),"EMAIL SENT","MONITORING"))))))))))</f>
        <v/>
      </c>
      <c r="V658" s="17">
        <f>IF($U658="",IF(AND(COUNTA($A658:$L658)&gt;0,$N658=""),"Awaiting Collection Email time stamp.",""),IF(OR($U658="PAID",$U658="CLOSED"),IF($U658="PAID","Account paid. Action completed.","Account closed. No further action required."),CHOOSE($Z658,"Collection Email","1st Email Follow-up","2nd Email Follow-up","Escalation to Local Office","Escalation to CBE","Escalation to Roxanne")&amp;" sent "&amp;TEXT($AA658,"dd-mmm")&amp;". "&amp;IF($Z658=6,"Final escalation completed.",IF($U658="OVERDUE","Next: "&amp;$AC658&amp;" was due "&amp;TEXT($AB658,"dd-mmm")&amp;" - "&amp;(NETWORKDAYS($AB658,TODAY(),Holidays)-1)&amp;" business day(s) late. Send now.",IF($U658="DUE TOMORROW","Next: "&amp;$AC658&amp;IF($AB658&lt;=TODAY()," is due TODAY ("," is due next business day (")&amp;TEXT($AB658,"dd-mmm")&amp;").","Next: "&amp;$AC658&amp;" due "&amp;TEXT($AB658,"dd-mmm")&amp;" ("&amp;(NETWORKDAYS(TODAY(),$AB658,Holidays)-1)&amp;" business day(s) left).")))))</f>
        <v/>
      </c>
      <c r="W658" s="17">
        <f>IF($Z658="","",CHOOSE($Z658,"Collection Email","1st Follow-up","2nd Follow-up","Local Office","CBE","Roxanne")&amp;IF($Z658=6," - Final"," - Day "&amp;MAX(0,NETWORKDAYS($AA658,TODAY(),Holidays)-1)&amp;" of "&amp;CHOOSE($Z658,3,3,2,2,3))&amp;" | Total Day "&amp;MAX(0,NETWORKDAYS($N658,TODAY(),Holidays)-1))</f>
        <v/>
      </c>
      <c r="X658" s="18"/>
      <c r="Y658" s="18"/>
      <c r="Z658" s="17">
        <f>IF($N658="","",COUNT($N658:$S658))</f>
        <v/>
      </c>
      <c r="AA658" s="19">
        <f>IF($Z658="","",INT(INDEX($N658:$S658,$Z658)))</f>
        <v/>
      </c>
      <c r="AB658" s="19">
        <f>IF(OR($Z658="",$Z658=6),"",WORKDAY($AA658,CHOOSE($Z658,3,3,2,2,3),Holidays))</f>
        <v/>
      </c>
      <c r="AC658" s="17">
        <f>IF(OR($Z658="",$Z658=6),"",CHOOSE($Z658,"1st Email Follow-up","2nd Email Follow-up","Escalate Local Office","Escalate to CBE","Escalate to Roxanne"))</f>
        <v/>
      </c>
    </row>
    <row r="659" spans="13:29">
      <c r="M659" s="14"/>
      <c r="T659" s="16"/>
      <c r="U659" s="17">
        <f>IF(AND(COUNTA($A659:$L659)=0,$N659=""),"",IF($T659="Paid","PAID",IF($T659="Closed","CLOSED",IF($Z659="","",IF($Z659=6,"ESCALATED TO ROXANNE",IF(TODAY()&gt;$AB659,"OVERDUE",IF($AB659&lt;=WORKDAY(TODAY(),1,Holidays),"DUE TOMORROW",IF($Z659=4,"ESCALATED TO LOCAL OFFICE",IF($Z659=5,"ESCALATED TO CBE",IF($AA659=TODAY(),"EMAIL SENT","MONITORING"))))))))))</f>
        <v/>
      </c>
      <c r="V659" s="17">
        <f>IF($U659="",IF(AND(COUNTA($A659:$L659)&gt;0,$N659=""),"Awaiting Collection Email time stamp.",""),IF(OR($U659="PAID",$U659="CLOSED"),IF($U659="PAID","Account paid. Action completed.","Account closed. No further action required."),CHOOSE($Z659,"Collection Email","1st Email Follow-up","2nd Email Follow-up","Escalation to Local Office","Escalation to CBE","Escalation to Roxanne")&amp;" sent "&amp;TEXT($AA659,"dd-mmm")&amp;". "&amp;IF($Z659=6,"Final escalation completed.",IF($U659="OVERDUE","Next: "&amp;$AC659&amp;" was due "&amp;TEXT($AB659,"dd-mmm")&amp;" - "&amp;(NETWORKDAYS($AB659,TODAY(),Holidays)-1)&amp;" business day(s) late. Send now.",IF($U659="DUE TOMORROW","Next: "&amp;$AC659&amp;IF($AB659&lt;=TODAY()," is due TODAY ("," is due next business day (")&amp;TEXT($AB659,"dd-mmm")&amp;").","Next: "&amp;$AC659&amp;" due "&amp;TEXT($AB659,"dd-mmm")&amp;" ("&amp;(NETWORKDAYS(TODAY(),$AB659,Holidays)-1)&amp;" business day(s) left).")))))</f>
        <v/>
      </c>
      <c r="W659" s="17">
        <f>IF($Z659="","",CHOOSE($Z659,"Collection Email","1st Follow-up","2nd Follow-up","Local Office","CBE","Roxanne")&amp;IF($Z659=6," - Final"," - Day "&amp;MAX(0,NETWORKDAYS($AA659,TODAY(),Holidays)-1)&amp;" of "&amp;CHOOSE($Z659,3,3,2,2,3))&amp;" | Total Day "&amp;MAX(0,NETWORKDAYS($N659,TODAY(),Holidays)-1))</f>
        <v/>
      </c>
      <c r="X659" s="18"/>
      <c r="Y659" s="18"/>
      <c r="Z659" s="17">
        <f>IF($N659="","",COUNT($N659:$S659))</f>
        <v/>
      </c>
      <c r="AA659" s="19">
        <f>IF($Z659="","",INT(INDEX($N659:$S659,$Z659)))</f>
        <v/>
      </c>
      <c r="AB659" s="19">
        <f>IF(OR($Z659="",$Z659=6),"",WORKDAY($AA659,CHOOSE($Z659,3,3,2,2,3),Holidays))</f>
        <v/>
      </c>
      <c r="AC659" s="17">
        <f>IF(OR($Z659="",$Z659=6),"",CHOOSE($Z659,"1st Email Follow-up","2nd Email Follow-up","Escalate Local Office","Escalate to CBE","Escalate to Roxanne"))</f>
        <v/>
      </c>
    </row>
    <row r="660" spans="13:29">
      <c r="M660" s="14"/>
      <c r="T660" s="16"/>
      <c r="U660" s="17">
        <f>IF(AND(COUNTA($A660:$L660)=0,$N660=""),"",IF($T660="Paid","PAID",IF($T660="Closed","CLOSED",IF($Z660="","",IF($Z660=6,"ESCALATED TO ROXANNE",IF(TODAY()&gt;$AB660,"OVERDUE",IF($AB660&lt;=WORKDAY(TODAY(),1,Holidays),"DUE TOMORROW",IF($Z660=4,"ESCALATED TO LOCAL OFFICE",IF($Z660=5,"ESCALATED TO CBE",IF($AA660=TODAY(),"EMAIL SENT","MONITORING"))))))))))</f>
        <v/>
      </c>
      <c r="V660" s="17">
        <f>IF($U660="",IF(AND(COUNTA($A660:$L660)&gt;0,$N660=""),"Awaiting Collection Email time stamp.",""),IF(OR($U660="PAID",$U660="CLOSED"),IF($U660="PAID","Account paid. Action completed.","Account closed. No further action required."),CHOOSE($Z660,"Collection Email","1st Email Follow-up","2nd Email Follow-up","Escalation to Local Office","Escalation to CBE","Escalation to Roxanne")&amp;" sent "&amp;TEXT($AA660,"dd-mmm")&amp;". "&amp;IF($Z660=6,"Final escalation completed.",IF($U660="OVERDUE","Next: "&amp;$AC660&amp;" was due "&amp;TEXT($AB660,"dd-mmm")&amp;" - "&amp;(NETWORKDAYS($AB660,TODAY(),Holidays)-1)&amp;" business day(s) late. Send now.",IF($U660="DUE TOMORROW","Next: "&amp;$AC660&amp;IF($AB660&lt;=TODAY()," is due TODAY ("," is due next business day (")&amp;TEXT($AB660,"dd-mmm")&amp;").","Next: "&amp;$AC660&amp;" due "&amp;TEXT($AB660,"dd-mmm")&amp;" ("&amp;(NETWORKDAYS(TODAY(),$AB660,Holidays)-1)&amp;" business day(s) left).")))))</f>
        <v/>
      </c>
      <c r="W660" s="17">
        <f>IF($Z660="","",CHOOSE($Z660,"Collection Email","1st Follow-up","2nd Follow-up","Local Office","CBE","Roxanne")&amp;IF($Z660=6," - Final"," - Day "&amp;MAX(0,NETWORKDAYS($AA660,TODAY(),Holidays)-1)&amp;" of "&amp;CHOOSE($Z660,3,3,2,2,3))&amp;" | Total Day "&amp;MAX(0,NETWORKDAYS($N660,TODAY(),Holidays)-1))</f>
        <v/>
      </c>
      <c r="X660" s="18"/>
      <c r="Y660" s="18"/>
      <c r="Z660" s="17">
        <f>IF($N660="","",COUNT($N660:$S660))</f>
        <v/>
      </c>
      <c r="AA660" s="19">
        <f>IF($Z660="","",INT(INDEX($N660:$S660,$Z660)))</f>
        <v/>
      </c>
      <c r="AB660" s="19">
        <f>IF(OR($Z660="",$Z660=6),"",WORKDAY($AA660,CHOOSE($Z660,3,3,2,2,3),Holidays))</f>
        <v/>
      </c>
      <c r="AC660" s="17">
        <f>IF(OR($Z660="",$Z660=6),"",CHOOSE($Z660,"1st Email Follow-up","2nd Email Follow-up","Escalate Local Office","Escalate to CBE","Escalate to Roxanne"))</f>
        <v/>
      </c>
    </row>
    <row r="661" spans="13:29">
      <c r="M661" s="14"/>
      <c r="T661" s="16"/>
      <c r="U661" s="17">
        <f>IF(AND(COUNTA($A661:$L661)=0,$N661=""),"",IF($T661="Paid","PAID",IF($T661="Closed","CLOSED",IF($Z661="","",IF($Z661=6,"ESCALATED TO ROXANNE",IF(TODAY()&gt;$AB661,"OVERDUE",IF($AB661&lt;=WORKDAY(TODAY(),1,Holidays),"DUE TOMORROW",IF($Z661=4,"ESCALATED TO LOCAL OFFICE",IF($Z661=5,"ESCALATED TO CBE",IF($AA661=TODAY(),"EMAIL SENT","MONITORING"))))))))))</f>
        <v/>
      </c>
      <c r="V661" s="17">
        <f>IF($U661="",IF(AND(COUNTA($A661:$L661)&gt;0,$N661=""),"Awaiting Collection Email time stamp.",""),IF(OR($U661="PAID",$U661="CLOSED"),IF($U661="PAID","Account paid. Action completed.","Account closed. No further action required."),CHOOSE($Z661,"Collection Email","1st Email Follow-up","2nd Email Follow-up","Escalation to Local Office","Escalation to CBE","Escalation to Roxanne")&amp;" sent "&amp;TEXT($AA661,"dd-mmm")&amp;". "&amp;IF($Z661=6,"Final escalation completed.",IF($U661="OVERDUE","Next: "&amp;$AC661&amp;" was due "&amp;TEXT($AB661,"dd-mmm")&amp;" - "&amp;(NETWORKDAYS($AB661,TODAY(),Holidays)-1)&amp;" business day(s) late. Send now.",IF($U661="DUE TOMORROW","Next: "&amp;$AC661&amp;IF($AB661&lt;=TODAY()," is due TODAY ("," is due next business day (")&amp;TEXT($AB661,"dd-mmm")&amp;").","Next: "&amp;$AC661&amp;" due "&amp;TEXT($AB661,"dd-mmm")&amp;" ("&amp;(NETWORKDAYS(TODAY(),$AB661,Holidays)-1)&amp;" business day(s) left).")))))</f>
        <v/>
      </c>
      <c r="W661" s="17">
        <f>IF($Z661="","",CHOOSE($Z661,"Collection Email","1st Follow-up","2nd Follow-up","Local Office","CBE","Roxanne")&amp;IF($Z661=6," - Final"," - Day "&amp;MAX(0,NETWORKDAYS($AA661,TODAY(),Holidays)-1)&amp;" of "&amp;CHOOSE($Z661,3,3,2,2,3))&amp;" | Total Day "&amp;MAX(0,NETWORKDAYS($N661,TODAY(),Holidays)-1))</f>
        <v/>
      </c>
      <c r="X661" s="18"/>
      <c r="Y661" s="18"/>
      <c r="Z661" s="17">
        <f>IF($N661="","",COUNT($N661:$S661))</f>
        <v/>
      </c>
      <c r="AA661" s="19">
        <f>IF($Z661="","",INT(INDEX($N661:$S661,$Z661)))</f>
        <v/>
      </c>
      <c r="AB661" s="19">
        <f>IF(OR($Z661="",$Z661=6),"",WORKDAY($AA661,CHOOSE($Z661,3,3,2,2,3),Holidays))</f>
        <v/>
      </c>
      <c r="AC661" s="17">
        <f>IF(OR($Z661="",$Z661=6),"",CHOOSE($Z661,"1st Email Follow-up","2nd Email Follow-up","Escalate Local Office","Escalate to CBE","Escalate to Roxanne"))</f>
        <v/>
      </c>
    </row>
    <row r="662" spans="13:29">
      <c r="M662" s="14"/>
      <c r="T662" s="16"/>
      <c r="U662" s="17">
        <f>IF(AND(COUNTA($A662:$L662)=0,$N662=""),"",IF($T662="Paid","PAID",IF($T662="Closed","CLOSED",IF($Z662="","",IF($Z662=6,"ESCALATED TO ROXANNE",IF(TODAY()&gt;$AB662,"OVERDUE",IF($AB662&lt;=WORKDAY(TODAY(),1,Holidays),"DUE TOMORROW",IF($Z662=4,"ESCALATED TO LOCAL OFFICE",IF($Z662=5,"ESCALATED TO CBE",IF($AA662=TODAY(),"EMAIL SENT","MONITORING"))))))))))</f>
        <v/>
      </c>
      <c r="V662" s="17">
        <f>IF($U662="",IF(AND(COUNTA($A662:$L662)&gt;0,$N662=""),"Awaiting Collection Email time stamp.",""),IF(OR($U662="PAID",$U662="CLOSED"),IF($U662="PAID","Account paid. Action completed.","Account closed. No further action required."),CHOOSE($Z662,"Collection Email","1st Email Follow-up","2nd Email Follow-up","Escalation to Local Office","Escalation to CBE","Escalation to Roxanne")&amp;" sent "&amp;TEXT($AA662,"dd-mmm")&amp;". "&amp;IF($Z662=6,"Final escalation completed.",IF($U662="OVERDUE","Next: "&amp;$AC662&amp;" was due "&amp;TEXT($AB662,"dd-mmm")&amp;" - "&amp;(NETWORKDAYS($AB662,TODAY(),Holidays)-1)&amp;" business day(s) late. Send now.",IF($U662="DUE TOMORROW","Next: "&amp;$AC662&amp;IF($AB662&lt;=TODAY()," is due TODAY ("," is due next business day (")&amp;TEXT($AB662,"dd-mmm")&amp;").","Next: "&amp;$AC662&amp;" due "&amp;TEXT($AB662,"dd-mmm")&amp;" ("&amp;(NETWORKDAYS(TODAY(),$AB662,Holidays)-1)&amp;" business day(s) left).")))))</f>
        <v/>
      </c>
      <c r="W662" s="17">
        <f>IF($Z662="","",CHOOSE($Z662,"Collection Email","1st Follow-up","2nd Follow-up","Local Office","CBE","Roxanne")&amp;IF($Z662=6," - Final"," - Day "&amp;MAX(0,NETWORKDAYS($AA662,TODAY(),Holidays)-1)&amp;" of "&amp;CHOOSE($Z662,3,3,2,2,3))&amp;" | Total Day "&amp;MAX(0,NETWORKDAYS($N662,TODAY(),Holidays)-1))</f>
        <v/>
      </c>
      <c r="X662" s="18"/>
      <c r="Y662" s="18"/>
      <c r="Z662" s="17">
        <f>IF($N662="","",COUNT($N662:$S662))</f>
        <v/>
      </c>
      <c r="AA662" s="19">
        <f>IF($Z662="","",INT(INDEX($N662:$S662,$Z662)))</f>
        <v/>
      </c>
      <c r="AB662" s="19">
        <f>IF(OR($Z662="",$Z662=6),"",WORKDAY($AA662,CHOOSE($Z662,3,3,2,2,3),Holidays))</f>
        <v/>
      </c>
      <c r="AC662" s="17">
        <f>IF(OR($Z662="",$Z662=6),"",CHOOSE($Z662,"1st Email Follow-up","2nd Email Follow-up","Escalate Local Office","Escalate to CBE","Escalate to Roxanne"))</f>
        <v/>
      </c>
    </row>
    <row r="663" spans="13:29">
      <c r="M663" s="14"/>
      <c r="T663" s="16"/>
      <c r="U663" s="17">
        <f>IF(AND(COUNTA($A663:$L663)=0,$N663=""),"",IF($T663="Paid","PAID",IF($T663="Closed","CLOSED",IF($Z663="","",IF($Z663=6,"ESCALATED TO ROXANNE",IF(TODAY()&gt;$AB663,"OVERDUE",IF($AB663&lt;=WORKDAY(TODAY(),1,Holidays),"DUE TOMORROW",IF($Z663=4,"ESCALATED TO LOCAL OFFICE",IF($Z663=5,"ESCALATED TO CBE",IF($AA663=TODAY(),"EMAIL SENT","MONITORING"))))))))))</f>
        <v/>
      </c>
      <c r="V663" s="17">
        <f>IF($U663="",IF(AND(COUNTA($A663:$L663)&gt;0,$N663=""),"Awaiting Collection Email time stamp.",""),IF(OR($U663="PAID",$U663="CLOSED"),IF($U663="PAID","Account paid. Action completed.","Account closed. No further action required."),CHOOSE($Z663,"Collection Email","1st Email Follow-up","2nd Email Follow-up","Escalation to Local Office","Escalation to CBE","Escalation to Roxanne")&amp;" sent "&amp;TEXT($AA663,"dd-mmm")&amp;". "&amp;IF($Z663=6,"Final escalation completed.",IF($U663="OVERDUE","Next: "&amp;$AC663&amp;" was due "&amp;TEXT($AB663,"dd-mmm")&amp;" - "&amp;(NETWORKDAYS($AB663,TODAY(),Holidays)-1)&amp;" business day(s) late. Send now.",IF($U663="DUE TOMORROW","Next: "&amp;$AC663&amp;IF($AB663&lt;=TODAY()," is due TODAY ("," is due next business day (")&amp;TEXT($AB663,"dd-mmm")&amp;").","Next: "&amp;$AC663&amp;" due "&amp;TEXT($AB663,"dd-mmm")&amp;" ("&amp;(NETWORKDAYS(TODAY(),$AB663,Holidays)-1)&amp;" business day(s) left).")))))</f>
        <v/>
      </c>
      <c r="W663" s="17">
        <f>IF($Z663="","",CHOOSE($Z663,"Collection Email","1st Follow-up","2nd Follow-up","Local Office","CBE","Roxanne")&amp;IF($Z663=6," - Final"," - Day "&amp;MAX(0,NETWORKDAYS($AA663,TODAY(),Holidays)-1)&amp;" of "&amp;CHOOSE($Z663,3,3,2,2,3))&amp;" | Total Day "&amp;MAX(0,NETWORKDAYS($N663,TODAY(),Holidays)-1))</f>
        <v/>
      </c>
      <c r="X663" s="18"/>
      <c r="Y663" s="18"/>
      <c r="Z663" s="17">
        <f>IF($N663="","",COUNT($N663:$S663))</f>
        <v/>
      </c>
      <c r="AA663" s="19">
        <f>IF($Z663="","",INT(INDEX($N663:$S663,$Z663)))</f>
        <v/>
      </c>
      <c r="AB663" s="19">
        <f>IF(OR($Z663="",$Z663=6),"",WORKDAY($AA663,CHOOSE($Z663,3,3,2,2,3),Holidays))</f>
        <v/>
      </c>
      <c r="AC663" s="17">
        <f>IF(OR($Z663="",$Z663=6),"",CHOOSE($Z663,"1st Email Follow-up","2nd Email Follow-up","Escalate Local Office","Escalate to CBE","Escalate to Roxanne"))</f>
        <v/>
      </c>
    </row>
    <row r="664" spans="13:29">
      <c r="M664" s="14"/>
      <c r="T664" s="16"/>
      <c r="U664" s="17">
        <f>IF(AND(COUNTA($A664:$L664)=0,$N664=""),"",IF($T664="Paid","PAID",IF($T664="Closed","CLOSED",IF($Z664="","",IF($Z664=6,"ESCALATED TO ROXANNE",IF(TODAY()&gt;$AB664,"OVERDUE",IF($AB664&lt;=WORKDAY(TODAY(),1,Holidays),"DUE TOMORROW",IF($Z664=4,"ESCALATED TO LOCAL OFFICE",IF($Z664=5,"ESCALATED TO CBE",IF($AA664=TODAY(),"EMAIL SENT","MONITORING"))))))))))</f>
        <v/>
      </c>
      <c r="V664" s="17">
        <f>IF($U664="",IF(AND(COUNTA($A664:$L664)&gt;0,$N664=""),"Awaiting Collection Email time stamp.",""),IF(OR($U664="PAID",$U664="CLOSED"),IF($U664="PAID","Account paid. Action completed.","Account closed. No further action required."),CHOOSE($Z664,"Collection Email","1st Email Follow-up","2nd Email Follow-up","Escalation to Local Office","Escalation to CBE","Escalation to Roxanne")&amp;" sent "&amp;TEXT($AA664,"dd-mmm")&amp;". "&amp;IF($Z664=6,"Final escalation completed.",IF($U664="OVERDUE","Next: "&amp;$AC664&amp;" was due "&amp;TEXT($AB664,"dd-mmm")&amp;" - "&amp;(NETWORKDAYS($AB664,TODAY(),Holidays)-1)&amp;" business day(s) late. Send now.",IF($U664="DUE TOMORROW","Next: "&amp;$AC664&amp;IF($AB664&lt;=TODAY()," is due TODAY ("," is due next business day (")&amp;TEXT($AB664,"dd-mmm")&amp;").","Next: "&amp;$AC664&amp;" due "&amp;TEXT($AB664,"dd-mmm")&amp;" ("&amp;(NETWORKDAYS(TODAY(),$AB664,Holidays)-1)&amp;" business day(s) left).")))))</f>
        <v/>
      </c>
      <c r="W664" s="17">
        <f>IF($Z664="","",CHOOSE($Z664,"Collection Email","1st Follow-up","2nd Follow-up","Local Office","CBE","Roxanne")&amp;IF($Z664=6," - Final"," - Day "&amp;MAX(0,NETWORKDAYS($AA664,TODAY(),Holidays)-1)&amp;" of "&amp;CHOOSE($Z664,3,3,2,2,3))&amp;" | Total Day "&amp;MAX(0,NETWORKDAYS($N664,TODAY(),Holidays)-1))</f>
        <v/>
      </c>
      <c r="X664" s="18"/>
      <c r="Y664" s="18"/>
      <c r="Z664" s="17">
        <f>IF($N664="","",COUNT($N664:$S664))</f>
        <v/>
      </c>
      <c r="AA664" s="19">
        <f>IF($Z664="","",INT(INDEX($N664:$S664,$Z664)))</f>
        <v/>
      </c>
      <c r="AB664" s="19">
        <f>IF(OR($Z664="",$Z664=6),"",WORKDAY($AA664,CHOOSE($Z664,3,3,2,2,3),Holidays))</f>
        <v/>
      </c>
      <c r="AC664" s="17">
        <f>IF(OR($Z664="",$Z664=6),"",CHOOSE($Z664,"1st Email Follow-up","2nd Email Follow-up","Escalate Local Office","Escalate to CBE","Escalate to Roxanne"))</f>
        <v/>
      </c>
    </row>
    <row r="665" spans="13:29">
      <c r="M665" s="14"/>
      <c r="T665" s="16"/>
      <c r="U665" s="17">
        <f>IF(AND(COUNTA($A665:$L665)=0,$N665=""),"",IF($T665="Paid","PAID",IF($T665="Closed","CLOSED",IF($Z665="","",IF($Z665=6,"ESCALATED TO ROXANNE",IF(TODAY()&gt;$AB665,"OVERDUE",IF($AB665&lt;=WORKDAY(TODAY(),1,Holidays),"DUE TOMORROW",IF($Z665=4,"ESCALATED TO LOCAL OFFICE",IF($Z665=5,"ESCALATED TO CBE",IF($AA665=TODAY(),"EMAIL SENT","MONITORING"))))))))))</f>
        <v/>
      </c>
      <c r="V665" s="17">
        <f>IF($U665="",IF(AND(COUNTA($A665:$L665)&gt;0,$N665=""),"Awaiting Collection Email time stamp.",""),IF(OR($U665="PAID",$U665="CLOSED"),IF($U665="PAID","Account paid. Action completed.","Account closed. No further action required."),CHOOSE($Z665,"Collection Email","1st Email Follow-up","2nd Email Follow-up","Escalation to Local Office","Escalation to CBE","Escalation to Roxanne")&amp;" sent "&amp;TEXT($AA665,"dd-mmm")&amp;". "&amp;IF($Z665=6,"Final escalation completed.",IF($U665="OVERDUE","Next: "&amp;$AC665&amp;" was due "&amp;TEXT($AB665,"dd-mmm")&amp;" - "&amp;(NETWORKDAYS($AB665,TODAY(),Holidays)-1)&amp;" business day(s) late. Send now.",IF($U665="DUE TOMORROW","Next: "&amp;$AC665&amp;IF($AB665&lt;=TODAY()," is due TODAY ("," is due next business day (")&amp;TEXT($AB665,"dd-mmm")&amp;").","Next: "&amp;$AC665&amp;" due "&amp;TEXT($AB665,"dd-mmm")&amp;" ("&amp;(NETWORKDAYS(TODAY(),$AB665,Holidays)-1)&amp;" business day(s) left).")))))</f>
        <v/>
      </c>
      <c r="W665" s="17">
        <f>IF($Z665="","",CHOOSE($Z665,"Collection Email","1st Follow-up","2nd Follow-up","Local Office","CBE","Roxanne")&amp;IF($Z665=6," - Final"," - Day "&amp;MAX(0,NETWORKDAYS($AA665,TODAY(),Holidays)-1)&amp;" of "&amp;CHOOSE($Z665,3,3,2,2,3))&amp;" | Total Day "&amp;MAX(0,NETWORKDAYS($N665,TODAY(),Holidays)-1))</f>
        <v/>
      </c>
      <c r="X665" s="18"/>
      <c r="Y665" s="18"/>
      <c r="Z665" s="17">
        <f>IF($N665="","",COUNT($N665:$S665))</f>
        <v/>
      </c>
      <c r="AA665" s="19">
        <f>IF($Z665="","",INT(INDEX($N665:$S665,$Z665)))</f>
        <v/>
      </c>
      <c r="AB665" s="19">
        <f>IF(OR($Z665="",$Z665=6),"",WORKDAY($AA665,CHOOSE($Z665,3,3,2,2,3),Holidays))</f>
        <v/>
      </c>
      <c r="AC665" s="17">
        <f>IF(OR($Z665="",$Z665=6),"",CHOOSE($Z665,"1st Email Follow-up","2nd Email Follow-up","Escalate Local Office","Escalate to CBE","Escalate to Roxanne"))</f>
        <v/>
      </c>
    </row>
    <row r="666" spans="13:29">
      <c r="M666" s="14"/>
      <c r="T666" s="16"/>
      <c r="U666" s="17">
        <f>IF(AND(COUNTA($A666:$L666)=0,$N666=""),"",IF($T666="Paid","PAID",IF($T666="Closed","CLOSED",IF($Z666="","",IF($Z666=6,"ESCALATED TO ROXANNE",IF(TODAY()&gt;$AB666,"OVERDUE",IF($AB666&lt;=WORKDAY(TODAY(),1,Holidays),"DUE TOMORROW",IF($Z666=4,"ESCALATED TO LOCAL OFFICE",IF($Z666=5,"ESCALATED TO CBE",IF($AA666=TODAY(),"EMAIL SENT","MONITORING"))))))))))</f>
        <v/>
      </c>
      <c r="V666" s="17">
        <f>IF($U666="",IF(AND(COUNTA($A666:$L666)&gt;0,$N666=""),"Awaiting Collection Email time stamp.",""),IF(OR($U666="PAID",$U666="CLOSED"),IF($U666="PAID","Account paid. Action completed.","Account closed. No further action required."),CHOOSE($Z666,"Collection Email","1st Email Follow-up","2nd Email Follow-up","Escalation to Local Office","Escalation to CBE","Escalation to Roxanne")&amp;" sent "&amp;TEXT($AA666,"dd-mmm")&amp;". "&amp;IF($Z666=6,"Final escalation completed.",IF($U666="OVERDUE","Next: "&amp;$AC666&amp;" was due "&amp;TEXT($AB666,"dd-mmm")&amp;" - "&amp;(NETWORKDAYS($AB666,TODAY(),Holidays)-1)&amp;" business day(s) late. Send now.",IF($U666="DUE TOMORROW","Next: "&amp;$AC666&amp;IF($AB666&lt;=TODAY()," is due TODAY ("," is due next business day (")&amp;TEXT($AB666,"dd-mmm")&amp;").","Next: "&amp;$AC666&amp;" due "&amp;TEXT($AB666,"dd-mmm")&amp;" ("&amp;(NETWORKDAYS(TODAY(),$AB666,Holidays)-1)&amp;" business day(s) left).")))))</f>
        <v/>
      </c>
      <c r="W666" s="17">
        <f>IF($Z666="","",CHOOSE($Z666,"Collection Email","1st Follow-up","2nd Follow-up","Local Office","CBE","Roxanne")&amp;IF($Z666=6," - Final"," - Day "&amp;MAX(0,NETWORKDAYS($AA666,TODAY(),Holidays)-1)&amp;" of "&amp;CHOOSE($Z666,3,3,2,2,3))&amp;" | Total Day "&amp;MAX(0,NETWORKDAYS($N666,TODAY(),Holidays)-1))</f>
        <v/>
      </c>
      <c r="X666" s="18"/>
      <c r="Y666" s="18"/>
      <c r="Z666" s="17">
        <f>IF($N666="","",COUNT($N666:$S666))</f>
        <v/>
      </c>
      <c r="AA666" s="19">
        <f>IF($Z666="","",INT(INDEX($N666:$S666,$Z666)))</f>
        <v/>
      </c>
      <c r="AB666" s="19">
        <f>IF(OR($Z666="",$Z666=6),"",WORKDAY($AA666,CHOOSE($Z666,3,3,2,2,3),Holidays))</f>
        <v/>
      </c>
      <c r="AC666" s="17">
        <f>IF(OR($Z666="",$Z666=6),"",CHOOSE($Z666,"1st Email Follow-up","2nd Email Follow-up","Escalate Local Office","Escalate to CBE","Escalate to Roxanne"))</f>
        <v/>
      </c>
    </row>
    <row r="667" spans="13:29">
      <c r="M667" s="14"/>
      <c r="T667" s="16"/>
      <c r="U667" s="17">
        <f>IF(AND(COUNTA($A667:$L667)=0,$N667=""),"",IF($T667="Paid","PAID",IF($T667="Closed","CLOSED",IF($Z667="","",IF($Z667=6,"ESCALATED TO ROXANNE",IF(TODAY()&gt;$AB667,"OVERDUE",IF($AB667&lt;=WORKDAY(TODAY(),1,Holidays),"DUE TOMORROW",IF($Z667=4,"ESCALATED TO LOCAL OFFICE",IF($Z667=5,"ESCALATED TO CBE",IF($AA667=TODAY(),"EMAIL SENT","MONITORING"))))))))))</f>
        <v/>
      </c>
      <c r="V667" s="17">
        <f>IF($U667="",IF(AND(COUNTA($A667:$L667)&gt;0,$N667=""),"Awaiting Collection Email time stamp.",""),IF(OR($U667="PAID",$U667="CLOSED"),IF($U667="PAID","Account paid. Action completed.","Account closed. No further action required."),CHOOSE($Z667,"Collection Email","1st Email Follow-up","2nd Email Follow-up","Escalation to Local Office","Escalation to CBE","Escalation to Roxanne")&amp;" sent "&amp;TEXT($AA667,"dd-mmm")&amp;". "&amp;IF($Z667=6,"Final escalation completed.",IF($U667="OVERDUE","Next: "&amp;$AC667&amp;" was due "&amp;TEXT($AB667,"dd-mmm")&amp;" - "&amp;(NETWORKDAYS($AB667,TODAY(),Holidays)-1)&amp;" business day(s) late. Send now.",IF($U667="DUE TOMORROW","Next: "&amp;$AC667&amp;IF($AB667&lt;=TODAY()," is due TODAY ("," is due next business day (")&amp;TEXT($AB667,"dd-mmm")&amp;").","Next: "&amp;$AC667&amp;" due "&amp;TEXT($AB667,"dd-mmm")&amp;" ("&amp;(NETWORKDAYS(TODAY(),$AB667,Holidays)-1)&amp;" business day(s) left).")))))</f>
        <v/>
      </c>
      <c r="W667" s="17">
        <f>IF($Z667="","",CHOOSE($Z667,"Collection Email","1st Follow-up","2nd Follow-up","Local Office","CBE","Roxanne")&amp;IF($Z667=6," - Final"," - Day "&amp;MAX(0,NETWORKDAYS($AA667,TODAY(),Holidays)-1)&amp;" of "&amp;CHOOSE($Z667,3,3,2,2,3))&amp;" | Total Day "&amp;MAX(0,NETWORKDAYS($N667,TODAY(),Holidays)-1))</f>
        <v/>
      </c>
      <c r="X667" s="18"/>
      <c r="Y667" s="18"/>
      <c r="Z667" s="17">
        <f>IF($N667="","",COUNT($N667:$S667))</f>
        <v/>
      </c>
      <c r="AA667" s="19">
        <f>IF($Z667="","",INT(INDEX($N667:$S667,$Z667)))</f>
        <v/>
      </c>
      <c r="AB667" s="19">
        <f>IF(OR($Z667="",$Z667=6),"",WORKDAY($AA667,CHOOSE($Z667,3,3,2,2,3),Holidays))</f>
        <v/>
      </c>
      <c r="AC667" s="17">
        <f>IF(OR($Z667="",$Z667=6),"",CHOOSE($Z667,"1st Email Follow-up","2nd Email Follow-up","Escalate Local Office","Escalate to CBE","Escalate to Roxanne"))</f>
        <v/>
      </c>
    </row>
    <row r="668" spans="13:29">
      <c r="M668" s="14"/>
      <c r="T668" s="16"/>
      <c r="U668" s="17">
        <f>IF(AND(COUNTA($A668:$L668)=0,$N668=""),"",IF($T668="Paid","PAID",IF($T668="Closed","CLOSED",IF($Z668="","",IF($Z668=6,"ESCALATED TO ROXANNE",IF(TODAY()&gt;$AB668,"OVERDUE",IF($AB668&lt;=WORKDAY(TODAY(),1,Holidays),"DUE TOMORROW",IF($Z668=4,"ESCALATED TO LOCAL OFFICE",IF($Z668=5,"ESCALATED TO CBE",IF($AA668=TODAY(),"EMAIL SENT","MONITORING"))))))))))</f>
        <v/>
      </c>
      <c r="V668" s="17">
        <f>IF($U668="",IF(AND(COUNTA($A668:$L668)&gt;0,$N668=""),"Awaiting Collection Email time stamp.",""),IF(OR($U668="PAID",$U668="CLOSED"),IF($U668="PAID","Account paid. Action completed.","Account closed. No further action required."),CHOOSE($Z668,"Collection Email","1st Email Follow-up","2nd Email Follow-up","Escalation to Local Office","Escalation to CBE","Escalation to Roxanne")&amp;" sent "&amp;TEXT($AA668,"dd-mmm")&amp;". "&amp;IF($Z668=6,"Final escalation completed.",IF($U668="OVERDUE","Next: "&amp;$AC668&amp;" was due "&amp;TEXT($AB668,"dd-mmm")&amp;" - "&amp;(NETWORKDAYS($AB668,TODAY(),Holidays)-1)&amp;" business day(s) late. Send now.",IF($U668="DUE TOMORROW","Next: "&amp;$AC668&amp;IF($AB668&lt;=TODAY()," is due TODAY ("," is due next business day (")&amp;TEXT($AB668,"dd-mmm")&amp;").","Next: "&amp;$AC668&amp;" due "&amp;TEXT($AB668,"dd-mmm")&amp;" ("&amp;(NETWORKDAYS(TODAY(),$AB668,Holidays)-1)&amp;" business day(s) left).")))))</f>
        <v/>
      </c>
      <c r="W668" s="17">
        <f>IF($Z668="","",CHOOSE($Z668,"Collection Email","1st Follow-up","2nd Follow-up","Local Office","CBE","Roxanne")&amp;IF($Z668=6," - Final"," - Day "&amp;MAX(0,NETWORKDAYS($AA668,TODAY(),Holidays)-1)&amp;" of "&amp;CHOOSE($Z668,3,3,2,2,3))&amp;" | Total Day "&amp;MAX(0,NETWORKDAYS($N668,TODAY(),Holidays)-1))</f>
        <v/>
      </c>
      <c r="X668" s="18"/>
      <c r="Y668" s="18"/>
      <c r="Z668" s="17">
        <f>IF($N668="","",COUNT($N668:$S668))</f>
        <v/>
      </c>
      <c r="AA668" s="19">
        <f>IF($Z668="","",INT(INDEX($N668:$S668,$Z668)))</f>
        <v/>
      </c>
      <c r="AB668" s="19">
        <f>IF(OR($Z668="",$Z668=6),"",WORKDAY($AA668,CHOOSE($Z668,3,3,2,2,3),Holidays))</f>
        <v/>
      </c>
      <c r="AC668" s="17">
        <f>IF(OR($Z668="",$Z668=6),"",CHOOSE($Z668,"1st Email Follow-up","2nd Email Follow-up","Escalate Local Office","Escalate to CBE","Escalate to Roxanne"))</f>
        <v/>
      </c>
    </row>
    <row r="669" spans="13:29">
      <c r="M669" s="14"/>
      <c r="T669" s="16"/>
      <c r="U669" s="17">
        <f>IF(AND(COUNTA($A669:$L669)=0,$N669=""),"",IF($T669="Paid","PAID",IF($T669="Closed","CLOSED",IF($Z669="","",IF($Z669=6,"ESCALATED TO ROXANNE",IF(TODAY()&gt;$AB669,"OVERDUE",IF($AB669&lt;=WORKDAY(TODAY(),1,Holidays),"DUE TOMORROW",IF($Z669=4,"ESCALATED TO LOCAL OFFICE",IF($Z669=5,"ESCALATED TO CBE",IF($AA669=TODAY(),"EMAIL SENT","MONITORING"))))))))))</f>
        <v/>
      </c>
      <c r="V669" s="17">
        <f>IF($U669="",IF(AND(COUNTA($A669:$L669)&gt;0,$N669=""),"Awaiting Collection Email time stamp.",""),IF(OR($U669="PAID",$U669="CLOSED"),IF($U669="PAID","Account paid. Action completed.","Account closed. No further action required."),CHOOSE($Z669,"Collection Email","1st Email Follow-up","2nd Email Follow-up","Escalation to Local Office","Escalation to CBE","Escalation to Roxanne")&amp;" sent "&amp;TEXT($AA669,"dd-mmm")&amp;". "&amp;IF($Z669=6,"Final escalation completed.",IF($U669="OVERDUE","Next: "&amp;$AC669&amp;" was due "&amp;TEXT($AB669,"dd-mmm")&amp;" - "&amp;(NETWORKDAYS($AB669,TODAY(),Holidays)-1)&amp;" business day(s) late. Send now.",IF($U669="DUE TOMORROW","Next: "&amp;$AC669&amp;IF($AB669&lt;=TODAY()," is due TODAY ("," is due next business day (")&amp;TEXT($AB669,"dd-mmm")&amp;").","Next: "&amp;$AC669&amp;" due "&amp;TEXT($AB669,"dd-mmm")&amp;" ("&amp;(NETWORKDAYS(TODAY(),$AB669,Holidays)-1)&amp;" business day(s) left).")))))</f>
        <v/>
      </c>
      <c r="W669" s="17">
        <f>IF($Z669="","",CHOOSE($Z669,"Collection Email","1st Follow-up","2nd Follow-up","Local Office","CBE","Roxanne")&amp;IF($Z669=6," - Final"," - Day "&amp;MAX(0,NETWORKDAYS($AA669,TODAY(),Holidays)-1)&amp;" of "&amp;CHOOSE($Z669,3,3,2,2,3))&amp;" | Total Day "&amp;MAX(0,NETWORKDAYS($N669,TODAY(),Holidays)-1))</f>
        <v/>
      </c>
      <c r="X669" s="18"/>
      <c r="Y669" s="18"/>
      <c r="Z669" s="17">
        <f>IF($N669="","",COUNT($N669:$S669))</f>
        <v/>
      </c>
      <c r="AA669" s="19">
        <f>IF($Z669="","",INT(INDEX($N669:$S669,$Z669)))</f>
        <v/>
      </c>
      <c r="AB669" s="19">
        <f>IF(OR($Z669="",$Z669=6),"",WORKDAY($AA669,CHOOSE($Z669,3,3,2,2,3),Holidays))</f>
        <v/>
      </c>
      <c r="AC669" s="17">
        <f>IF(OR($Z669="",$Z669=6),"",CHOOSE($Z669,"1st Email Follow-up","2nd Email Follow-up","Escalate Local Office","Escalate to CBE","Escalate to Roxanne"))</f>
        <v/>
      </c>
    </row>
    <row r="670" spans="13:29">
      <c r="M670" s="14"/>
      <c r="T670" s="16"/>
      <c r="U670" s="17">
        <f>IF(AND(COUNTA($A670:$L670)=0,$N670=""),"",IF($T670="Paid","PAID",IF($T670="Closed","CLOSED",IF($Z670="","",IF($Z670=6,"ESCALATED TO ROXANNE",IF(TODAY()&gt;$AB670,"OVERDUE",IF($AB670&lt;=WORKDAY(TODAY(),1,Holidays),"DUE TOMORROW",IF($Z670=4,"ESCALATED TO LOCAL OFFICE",IF($Z670=5,"ESCALATED TO CBE",IF($AA670=TODAY(),"EMAIL SENT","MONITORING"))))))))))</f>
        <v/>
      </c>
      <c r="V670" s="17">
        <f>IF($U670="",IF(AND(COUNTA($A670:$L670)&gt;0,$N670=""),"Awaiting Collection Email time stamp.",""),IF(OR($U670="PAID",$U670="CLOSED"),IF($U670="PAID","Account paid. Action completed.","Account closed. No further action required."),CHOOSE($Z670,"Collection Email","1st Email Follow-up","2nd Email Follow-up","Escalation to Local Office","Escalation to CBE","Escalation to Roxanne")&amp;" sent "&amp;TEXT($AA670,"dd-mmm")&amp;". "&amp;IF($Z670=6,"Final escalation completed.",IF($U670="OVERDUE","Next: "&amp;$AC670&amp;" was due "&amp;TEXT($AB670,"dd-mmm")&amp;" - "&amp;(NETWORKDAYS($AB670,TODAY(),Holidays)-1)&amp;" business day(s) late. Send now.",IF($U670="DUE TOMORROW","Next: "&amp;$AC670&amp;IF($AB670&lt;=TODAY()," is due TODAY ("," is due next business day (")&amp;TEXT($AB670,"dd-mmm")&amp;").","Next: "&amp;$AC670&amp;" due "&amp;TEXT($AB670,"dd-mmm")&amp;" ("&amp;(NETWORKDAYS(TODAY(),$AB670,Holidays)-1)&amp;" business day(s) left).")))))</f>
        <v/>
      </c>
      <c r="W670" s="17">
        <f>IF($Z670="","",CHOOSE($Z670,"Collection Email","1st Follow-up","2nd Follow-up","Local Office","CBE","Roxanne")&amp;IF($Z670=6," - Final"," - Day "&amp;MAX(0,NETWORKDAYS($AA670,TODAY(),Holidays)-1)&amp;" of "&amp;CHOOSE($Z670,3,3,2,2,3))&amp;" | Total Day "&amp;MAX(0,NETWORKDAYS($N670,TODAY(),Holidays)-1))</f>
        <v/>
      </c>
      <c r="X670" s="18"/>
      <c r="Y670" s="18"/>
      <c r="Z670" s="17">
        <f>IF($N670="","",COUNT($N670:$S670))</f>
        <v/>
      </c>
      <c r="AA670" s="19">
        <f>IF($Z670="","",INT(INDEX($N670:$S670,$Z670)))</f>
        <v/>
      </c>
      <c r="AB670" s="19">
        <f>IF(OR($Z670="",$Z670=6),"",WORKDAY($AA670,CHOOSE($Z670,3,3,2,2,3),Holidays))</f>
        <v/>
      </c>
      <c r="AC670" s="17">
        <f>IF(OR($Z670="",$Z670=6),"",CHOOSE($Z670,"1st Email Follow-up","2nd Email Follow-up","Escalate Local Office","Escalate to CBE","Escalate to Roxanne"))</f>
        <v/>
      </c>
    </row>
    <row r="671" spans="13:29">
      <c r="M671" s="14"/>
      <c r="T671" s="16"/>
      <c r="U671" s="17">
        <f>IF(AND(COUNTA($A671:$L671)=0,$N671=""),"",IF($T671="Paid","PAID",IF($T671="Closed","CLOSED",IF($Z671="","",IF($Z671=6,"ESCALATED TO ROXANNE",IF(TODAY()&gt;$AB671,"OVERDUE",IF($AB671&lt;=WORKDAY(TODAY(),1,Holidays),"DUE TOMORROW",IF($Z671=4,"ESCALATED TO LOCAL OFFICE",IF($Z671=5,"ESCALATED TO CBE",IF($AA671=TODAY(),"EMAIL SENT","MONITORING"))))))))))</f>
        <v/>
      </c>
      <c r="V671" s="17">
        <f>IF($U671="",IF(AND(COUNTA($A671:$L671)&gt;0,$N671=""),"Awaiting Collection Email time stamp.",""),IF(OR($U671="PAID",$U671="CLOSED"),IF($U671="PAID","Account paid. Action completed.","Account closed. No further action required."),CHOOSE($Z671,"Collection Email","1st Email Follow-up","2nd Email Follow-up","Escalation to Local Office","Escalation to CBE","Escalation to Roxanne")&amp;" sent "&amp;TEXT($AA671,"dd-mmm")&amp;". "&amp;IF($Z671=6,"Final escalation completed.",IF($U671="OVERDUE","Next: "&amp;$AC671&amp;" was due "&amp;TEXT($AB671,"dd-mmm")&amp;" - "&amp;(NETWORKDAYS($AB671,TODAY(),Holidays)-1)&amp;" business day(s) late. Send now.",IF($U671="DUE TOMORROW","Next: "&amp;$AC671&amp;IF($AB671&lt;=TODAY()," is due TODAY ("," is due next business day (")&amp;TEXT($AB671,"dd-mmm")&amp;").","Next: "&amp;$AC671&amp;" due "&amp;TEXT($AB671,"dd-mmm")&amp;" ("&amp;(NETWORKDAYS(TODAY(),$AB671,Holidays)-1)&amp;" business day(s) left).")))))</f>
        <v/>
      </c>
      <c r="W671" s="17">
        <f>IF($Z671="","",CHOOSE($Z671,"Collection Email","1st Follow-up","2nd Follow-up","Local Office","CBE","Roxanne")&amp;IF($Z671=6," - Final"," - Day "&amp;MAX(0,NETWORKDAYS($AA671,TODAY(),Holidays)-1)&amp;" of "&amp;CHOOSE($Z671,3,3,2,2,3))&amp;" | Total Day "&amp;MAX(0,NETWORKDAYS($N671,TODAY(),Holidays)-1))</f>
        <v/>
      </c>
      <c r="X671" s="18"/>
      <c r="Y671" s="18"/>
      <c r="Z671" s="17">
        <f>IF($N671="","",COUNT($N671:$S671))</f>
        <v/>
      </c>
      <c r="AA671" s="19">
        <f>IF($Z671="","",INT(INDEX($N671:$S671,$Z671)))</f>
        <v/>
      </c>
      <c r="AB671" s="19">
        <f>IF(OR($Z671="",$Z671=6),"",WORKDAY($AA671,CHOOSE($Z671,3,3,2,2,3),Holidays))</f>
        <v/>
      </c>
      <c r="AC671" s="17">
        <f>IF(OR($Z671="",$Z671=6),"",CHOOSE($Z671,"1st Email Follow-up","2nd Email Follow-up","Escalate Local Office","Escalate to CBE","Escalate to Roxanne"))</f>
        <v/>
      </c>
    </row>
    <row r="672" spans="13:29">
      <c r="M672" s="14"/>
      <c r="T672" s="16"/>
      <c r="U672" s="17">
        <f>IF(AND(COUNTA($A672:$L672)=0,$N672=""),"",IF($T672="Paid","PAID",IF($T672="Closed","CLOSED",IF($Z672="","",IF($Z672=6,"ESCALATED TO ROXANNE",IF(TODAY()&gt;$AB672,"OVERDUE",IF($AB672&lt;=WORKDAY(TODAY(),1,Holidays),"DUE TOMORROW",IF($Z672=4,"ESCALATED TO LOCAL OFFICE",IF($Z672=5,"ESCALATED TO CBE",IF($AA672=TODAY(),"EMAIL SENT","MONITORING"))))))))))</f>
        <v/>
      </c>
      <c r="V672" s="17">
        <f>IF($U672="",IF(AND(COUNTA($A672:$L672)&gt;0,$N672=""),"Awaiting Collection Email time stamp.",""),IF(OR($U672="PAID",$U672="CLOSED"),IF($U672="PAID","Account paid. Action completed.","Account closed. No further action required."),CHOOSE($Z672,"Collection Email","1st Email Follow-up","2nd Email Follow-up","Escalation to Local Office","Escalation to CBE","Escalation to Roxanne")&amp;" sent "&amp;TEXT($AA672,"dd-mmm")&amp;". "&amp;IF($Z672=6,"Final escalation completed.",IF($U672="OVERDUE","Next: "&amp;$AC672&amp;" was due "&amp;TEXT($AB672,"dd-mmm")&amp;" - "&amp;(NETWORKDAYS($AB672,TODAY(),Holidays)-1)&amp;" business day(s) late. Send now.",IF($U672="DUE TOMORROW","Next: "&amp;$AC672&amp;IF($AB672&lt;=TODAY()," is due TODAY ("," is due next business day (")&amp;TEXT($AB672,"dd-mmm")&amp;").","Next: "&amp;$AC672&amp;" due "&amp;TEXT($AB672,"dd-mmm")&amp;" ("&amp;(NETWORKDAYS(TODAY(),$AB672,Holidays)-1)&amp;" business day(s) left).")))))</f>
        <v/>
      </c>
      <c r="W672" s="17">
        <f>IF($Z672="","",CHOOSE($Z672,"Collection Email","1st Follow-up","2nd Follow-up","Local Office","CBE","Roxanne")&amp;IF($Z672=6," - Final"," - Day "&amp;MAX(0,NETWORKDAYS($AA672,TODAY(),Holidays)-1)&amp;" of "&amp;CHOOSE($Z672,3,3,2,2,3))&amp;" | Total Day "&amp;MAX(0,NETWORKDAYS($N672,TODAY(),Holidays)-1))</f>
        <v/>
      </c>
      <c r="X672" s="18"/>
      <c r="Y672" s="18"/>
      <c r="Z672" s="17">
        <f>IF($N672="","",COUNT($N672:$S672))</f>
        <v/>
      </c>
      <c r="AA672" s="19">
        <f>IF($Z672="","",INT(INDEX($N672:$S672,$Z672)))</f>
        <v/>
      </c>
      <c r="AB672" s="19">
        <f>IF(OR($Z672="",$Z672=6),"",WORKDAY($AA672,CHOOSE($Z672,3,3,2,2,3),Holidays))</f>
        <v/>
      </c>
      <c r="AC672" s="17">
        <f>IF(OR($Z672="",$Z672=6),"",CHOOSE($Z672,"1st Email Follow-up","2nd Email Follow-up","Escalate Local Office","Escalate to CBE","Escalate to Roxanne"))</f>
        <v/>
      </c>
    </row>
    <row r="673" spans="13:29">
      <c r="M673" s="14"/>
      <c r="T673" s="16"/>
      <c r="U673" s="17">
        <f>IF(AND(COUNTA($A673:$L673)=0,$N673=""),"",IF($T673="Paid","PAID",IF($T673="Closed","CLOSED",IF($Z673="","",IF($Z673=6,"ESCALATED TO ROXANNE",IF(TODAY()&gt;$AB673,"OVERDUE",IF($AB673&lt;=WORKDAY(TODAY(),1,Holidays),"DUE TOMORROW",IF($Z673=4,"ESCALATED TO LOCAL OFFICE",IF($Z673=5,"ESCALATED TO CBE",IF($AA673=TODAY(),"EMAIL SENT","MONITORING"))))))))))</f>
        <v/>
      </c>
      <c r="V673" s="17">
        <f>IF($U673="",IF(AND(COUNTA($A673:$L673)&gt;0,$N673=""),"Awaiting Collection Email time stamp.",""),IF(OR($U673="PAID",$U673="CLOSED"),IF($U673="PAID","Account paid. Action completed.","Account closed. No further action required."),CHOOSE($Z673,"Collection Email","1st Email Follow-up","2nd Email Follow-up","Escalation to Local Office","Escalation to CBE","Escalation to Roxanne")&amp;" sent "&amp;TEXT($AA673,"dd-mmm")&amp;". "&amp;IF($Z673=6,"Final escalation completed.",IF($U673="OVERDUE","Next: "&amp;$AC673&amp;" was due "&amp;TEXT($AB673,"dd-mmm")&amp;" - "&amp;(NETWORKDAYS($AB673,TODAY(),Holidays)-1)&amp;" business day(s) late. Send now.",IF($U673="DUE TOMORROW","Next: "&amp;$AC673&amp;IF($AB673&lt;=TODAY()," is due TODAY ("," is due next business day (")&amp;TEXT($AB673,"dd-mmm")&amp;").","Next: "&amp;$AC673&amp;" due "&amp;TEXT($AB673,"dd-mmm")&amp;" ("&amp;(NETWORKDAYS(TODAY(),$AB673,Holidays)-1)&amp;" business day(s) left).")))))</f>
        <v/>
      </c>
      <c r="W673" s="17">
        <f>IF($Z673="","",CHOOSE($Z673,"Collection Email","1st Follow-up","2nd Follow-up","Local Office","CBE","Roxanne")&amp;IF($Z673=6," - Final"," - Day "&amp;MAX(0,NETWORKDAYS($AA673,TODAY(),Holidays)-1)&amp;" of "&amp;CHOOSE($Z673,3,3,2,2,3))&amp;" | Total Day "&amp;MAX(0,NETWORKDAYS($N673,TODAY(),Holidays)-1))</f>
        <v/>
      </c>
      <c r="X673" s="18"/>
      <c r="Y673" s="18"/>
      <c r="Z673" s="17">
        <f>IF($N673="","",COUNT($N673:$S673))</f>
        <v/>
      </c>
      <c r="AA673" s="19">
        <f>IF($Z673="","",INT(INDEX($N673:$S673,$Z673)))</f>
        <v/>
      </c>
      <c r="AB673" s="19">
        <f>IF(OR($Z673="",$Z673=6),"",WORKDAY($AA673,CHOOSE($Z673,3,3,2,2,3),Holidays))</f>
        <v/>
      </c>
      <c r="AC673" s="17">
        <f>IF(OR($Z673="",$Z673=6),"",CHOOSE($Z673,"1st Email Follow-up","2nd Email Follow-up","Escalate Local Office","Escalate to CBE","Escalate to Roxanne"))</f>
        <v/>
      </c>
    </row>
    <row r="674" spans="13:29">
      <c r="M674" s="14"/>
      <c r="T674" s="16"/>
      <c r="U674" s="17">
        <f>IF(AND(COUNTA($A674:$L674)=0,$N674=""),"",IF($T674="Paid","PAID",IF($T674="Closed","CLOSED",IF($Z674="","",IF($Z674=6,"ESCALATED TO ROXANNE",IF(TODAY()&gt;$AB674,"OVERDUE",IF($AB674&lt;=WORKDAY(TODAY(),1,Holidays),"DUE TOMORROW",IF($Z674=4,"ESCALATED TO LOCAL OFFICE",IF($Z674=5,"ESCALATED TO CBE",IF($AA674=TODAY(),"EMAIL SENT","MONITORING"))))))))))</f>
        <v/>
      </c>
      <c r="V674" s="17">
        <f>IF($U674="",IF(AND(COUNTA($A674:$L674)&gt;0,$N674=""),"Awaiting Collection Email time stamp.",""),IF(OR($U674="PAID",$U674="CLOSED"),IF($U674="PAID","Account paid. Action completed.","Account closed. No further action required."),CHOOSE($Z674,"Collection Email","1st Email Follow-up","2nd Email Follow-up","Escalation to Local Office","Escalation to CBE","Escalation to Roxanne")&amp;" sent "&amp;TEXT($AA674,"dd-mmm")&amp;". "&amp;IF($Z674=6,"Final escalation completed.",IF($U674="OVERDUE","Next: "&amp;$AC674&amp;" was due "&amp;TEXT($AB674,"dd-mmm")&amp;" - "&amp;(NETWORKDAYS($AB674,TODAY(),Holidays)-1)&amp;" business day(s) late. Send now.",IF($U674="DUE TOMORROW","Next: "&amp;$AC674&amp;IF($AB674&lt;=TODAY()," is due TODAY ("," is due next business day (")&amp;TEXT($AB674,"dd-mmm")&amp;").","Next: "&amp;$AC674&amp;" due "&amp;TEXT($AB674,"dd-mmm")&amp;" ("&amp;(NETWORKDAYS(TODAY(),$AB674,Holidays)-1)&amp;" business day(s) left).")))))</f>
        <v/>
      </c>
      <c r="W674" s="17">
        <f>IF($Z674="","",CHOOSE($Z674,"Collection Email","1st Follow-up","2nd Follow-up","Local Office","CBE","Roxanne")&amp;IF($Z674=6," - Final"," - Day "&amp;MAX(0,NETWORKDAYS($AA674,TODAY(),Holidays)-1)&amp;" of "&amp;CHOOSE($Z674,3,3,2,2,3))&amp;" | Total Day "&amp;MAX(0,NETWORKDAYS($N674,TODAY(),Holidays)-1))</f>
        <v/>
      </c>
      <c r="X674" s="18"/>
      <c r="Y674" s="18"/>
      <c r="Z674" s="17">
        <f>IF($N674="","",COUNT($N674:$S674))</f>
        <v/>
      </c>
      <c r="AA674" s="19">
        <f>IF($Z674="","",INT(INDEX($N674:$S674,$Z674)))</f>
        <v/>
      </c>
      <c r="AB674" s="19">
        <f>IF(OR($Z674="",$Z674=6),"",WORKDAY($AA674,CHOOSE($Z674,3,3,2,2,3),Holidays))</f>
        <v/>
      </c>
      <c r="AC674" s="17">
        <f>IF(OR($Z674="",$Z674=6),"",CHOOSE($Z674,"1st Email Follow-up","2nd Email Follow-up","Escalate Local Office","Escalate to CBE","Escalate to Roxanne"))</f>
        <v/>
      </c>
    </row>
    <row r="675" spans="13:29">
      <c r="M675" s="14"/>
      <c r="T675" s="16"/>
      <c r="U675" s="17">
        <f>IF(AND(COUNTA($A675:$L675)=0,$N675=""),"",IF($T675="Paid","PAID",IF($T675="Closed","CLOSED",IF($Z675="","",IF($Z675=6,"ESCALATED TO ROXANNE",IF(TODAY()&gt;$AB675,"OVERDUE",IF($AB675&lt;=WORKDAY(TODAY(),1,Holidays),"DUE TOMORROW",IF($Z675=4,"ESCALATED TO LOCAL OFFICE",IF($Z675=5,"ESCALATED TO CBE",IF($AA675=TODAY(),"EMAIL SENT","MONITORING"))))))))))</f>
        <v/>
      </c>
      <c r="V675" s="17">
        <f>IF($U675="",IF(AND(COUNTA($A675:$L675)&gt;0,$N675=""),"Awaiting Collection Email time stamp.",""),IF(OR($U675="PAID",$U675="CLOSED"),IF($U675="PAID","Account paid. Action completed.","Account closed. No further action required."),CHOOSE($Z675,"Collection Email","1st Email Follow-up","2nd Email Follow-up","Escalation to Local Office","Escalation to CBE","Escalation to Roxanne")&amp;" sent "&amp;TEXT($AA675,"dd-mmm")&amp;". "&amp;IF($Z675=6,"Final escalation completed.",IF($U675="OVERDUE","Next: "&amp;$AC675&amp;" was due "&amp;TEXT($AB675,"dd-mmm")&amp;" - "&amp;(NETWORKDAYS($AB675,TODAY(),Holidays)-1)&amp;" business day(s) late. Send now.",IF($U675="DUE TOMORROW","Next: "&amp;$AC675&amp;IF($AB675&lt;=TODAY()," is due TODAY ("," is due next business day (")&amp;TEXT($AB675,"dd-mmm")&amp;").","Next: "&amp;$AC675&amp;" due "&amp;TEXT($AB675,"dd-mmm")&amp;" ("&amp;(NETWORKDAYS(TODAY(),$AB675,Holidays)-1)&amp;" business day(s) left).")))))</f>
        <v/>
      </c>
      <c r="W675" s="17">
        <f>IF($Z675="","",CHOOSE($Z675,"Collection Email","1st Follow-up","2nd Follow-up","Local Office","CBE","Roxanne")&amp;IF($Z675=6," - Final"," - Day "&amp;MAX(0,NETWORKDAYS($AA675,TODAY(),Holidays)-1)&amp;" of "&amp;CHOOSE($Z675,3,3,2,2,3))&amp;" | Total Day "&amp;MAX(0,NETWORKDAYS($N675,TODAY(),Holidays)-1))</f>
        <v/>
      </c>
      <c r="X675" s="18"/>
      <c r="Y675" s="18"/>
      <c r="Z675" s="17">
        <f>IF($N675="","",COUNT($N675:$S675))</f>
        <v/>
      </c>
      <c r="AA675" s="19">
        <f>IF($Z675="","",INT(INDEX($N675:$S675,$Z675)))</f>
        <v/>
      </c>
      <c r="AB675" s="19">
        <f>IF(OR($Z675="",$Z675=6),"",WORKDAY($AA675,CHOOSE($Z675,3,3,2,2,3),Holidays))</f>
        <v/>
      </c>
      <c r="AC675" s="17">
        <f>IF(OR($Z675="",$Z675=6),"",CHOOSE($Z675,"1st Email Follow-up","2nd Email Follow-up","Escalate Local Office","Escalate to CBE","Escalate to Roxanne"))</f>
        <v/>
      </c>
    </row>
    <row r="676" spans="13:29">
      <c r="M676" s="14"/>
      <c r="T676" s="16"/>
      <c r="U676" s="17">
        <f>IF(AND(COUNTA($A676:$L676)=0,$N676=""),"",IF($T676="Paid","PAID",IF($T676="Closed","CLOSED",IF($Z676="","",IF($Z676=6,"ESCALATED TO ROXANNE",IF(TODAY()&gt;$AB676,"OVERDUE",IF($AB676&lt;=WORKDAY(TODAY(),1,Holidays),"DUE TOMORROW",IF($Z676=4,"ESCALATED TO LOCAL OFFICE",IF($Z676=5,"ESCALATED TO CBE",IF($AA676=TODAY(),"EMAIL SENT","MONITORING"))))))))))</f>
        <v/>
      </c>
      <c r="V676" s="17">
        <f>IF($U676="",IF(AND(COUNTA($A676:$L676)&gt;0,$N676=""),"Awaiting Collection Email time stamp.",""),IF(OR($U676="PAID",$U676="CLOSED"),IF($U676="PAID","Account paid. Action completed.","Account closed. No further action required."),CHOOSE($Z676,"Collection Email","1st Email Follow-up","2nd Email Follow-up","Escalation to Local Office","Escalation to CBE","Escalation to Roxanne")&amp;" sent "&amp;TEXT($AA676,"dd-mmm")&amp;". "&amp;IF($Z676=6,"Final escalation completed.",IF($U676="OVERDUE","Next: "&amp;$AC676&amp;" was due "&amp;TEXT($AB676,"dd-mmm")&amp;" - "&amp;(NETWORKDAYS($AB676,TODAY(),Holidays)-1)&amp;" business day(s) late. Send now.",IF($U676="DUE TOMORROW","Next: "&amp;$AC676&amp;IF($AB676&lt;=TODAY()," is due TODAY ("," is due next business day (")&amp;TEXT($AB676,"dd-mmm")&amp;").","Next: "&amp;$AC676&amp;" due "&amp;TEXT($AB676,"dd-mmm")&amp;" ("&amp;(NETWORKDAYS(TODAY(),$AB676,Holidays)-1)&amp;" business day(s) left).")))))</f>
        <v/>
      </c>
      <c r="W676" s="17">
        <f>IF($Z676="","",CHOOSE($Z676,"Collection Email","1st Follow-up","2nd Follow-up","Local Office","CBE","Roxanne")&amp;IF($Z676=6," - Final"," - Day "&amp;MAX(0,NETWORKDAYS($AA676,TODAY(),Holidays)-1)&amp;" of "&amp;CHOOSE($Z676,3,3,2,2,3))&amp;" | Total Day "&amp;MAX(0,NETWORKDAYS($N676,TODAY(),Holidays)-1))</f>
        <v/>
      </c>
      <c r="X676" s="18"/>
      <c r="Y676" s="18"/>
      <c r="Z676" s="17">
        <f>IF($N676="","",COUNT($N676:$S676))</f>
        <v/>
      </c>
      <c r="AA676" s="19">
        <f>IF($Z676="","",INT(INDEX($N676:$S676,$Z676)))</f>
        <v/>
      </c>
      <c r="AB676" s="19">
        <f>IF(OR($Z676="",$Z676=6),"",WORKDAY($AA676,CHOOSE($Z676,3,3,2,2,3),Holidays))</f>
        <v/>
      </c>
      <c r="AC676" s="17">
        <f>IF(OR($Z676="",$Z676=6),"",CHOOSE($Z676,"1st Email Follow-up","2nd Email Follow-up","Escalate Local Office","Escalate to CBE","Escalate to Roxanne"))</f>
        <v/>
      </c>
    </row>
    <row r="677" spans="13:29">
      <c r="M677" s="14"/>
      <c r="T677" s="16"/>
      <c r="U677" s="17">
        <f>IF(AND(COUNTA($A677:$L677)=0,$N677=""),"",IF($T677="Paid","PAID",IF($T677="Closed","CLOSED",IF($Z677="","",IF($Z677=6,"ESCALATED TO ROXANNE",IF(TODAY()&gt;$AB677,"OVERDUE",IF($AB677&lt;=WORKDAY(TODAY(),1,Holidays),"DUE TOMORROW",IF($Z677=4,"ESCALATED TO LOCAL OFFICE",IF($Z677=5,"ESCALATED TO CBE",IF($AA677=TODAY(),"EMAIL SENT","MONITORING"))))))))))</f>
        <v/>
      </c>
      <c r="V677" s="17">
        <f>IF($U677="",IF(AND(COUNTA($A677:$L677)&gt;0,$N677=""),"Awaiting Collection Email time stamp.",""),IF(OR($U677="PAID",$U677="CLOSED"),IF($U677="PAID","Account paid. Action completed.","Account closed. No further action required."),CHOOSE($Z677,"Collection Email","1st Email Follow-up","2nd Email Follow-up","Escalation to Local Office","Escalation to CBE","Escalation to Roxanne")&amp;" sent "&amp;TEXT($AA677,"dd-mmm")&amp;". "&amp;IF($Z677=6,"Final escalation completed.",IF($U677="OVERDUE","Next: "&amp;$AC677&amp;" was due "&amp;TEXT($AB677,"dd-mmm")&amp;" - "&amp;(NETWORKDAYS($AB677,TODAY(),Holidays)-1)&amp;" business day(s) late. Send now.",IF($U677="DUE TOMORROW","Next: "&amp;$AC677&amp;IF($AB677&lt;=TODAY()," is due TODAY ("," is due next business day (")&amp;TEXT($AB677,"dd-mmm")&amp;").","Next: "&amp;$AC677&amp;" due "&amp;TEXT($AB677,"dd-mmm")&amp;" ("&amp;(NETWORKDAYS(TODAY(),$AB677,Holidays)-1)&amp;" business day(s) left).")))))</f>
        <v/>
      </c>
      <c r="W677" s="17">
        <f>IF($Z677="","",CHOOSE($Z677,"Collection Email","1st Follow-up","2nd Follow-up","Local Office","CBE","Roxanne")&amp;IF($Z677=6," - Final"," - Day "&amp;MAX(0,NETWORKDAYS($AA677,TODAY(),Holidays)-1)&amp;" of "&amp;CHOOSE($Z677,3,3,2,2,3))&amp;" | Total Day "&amp;MAX(0,NETWORKDAYS($N677,TODAY(),Holidays)-1))</f>
        <v/>
      </c>
      <c r="X677" s="18"/>
      <c r="Y677" s="18"/>
      <c r="Z677" s="17">
        <f>IF($N677="","",COUNT($N677:$S677))</f>
        <v/>
      </c>
      <c r="AA677" s="19">
        <f>IF($Z677="","",INT(INDEX($N677:$S677,$Z677)))</f>
        <v/>
      </c>
      <c r="AB677" s="19">
        <f>IF(OR($Z677="",$Z677=6),"",WORKDAY($AA677,CHOOSE($Z677,3,3,2,2,3),Holidays))</f>
        <v/>
      </c>
      <c r="AC677" s="17">
        <f>IF(OR($Z677="",$Z677=6),"",CHOOSE($Z677,"1st Email Follow-up","2nd Email Follow-up","Escalate Local Office","Escalate to CBE","Escalate to Roxanne"))</f>
        <v/>
      </c>
    </row>
    <row r="678" spans="13:29">
      <c r="M678" s="14"/>
      <c r="T678" s="16"/>
      <c r="U678" s="17">
        <f>IF(AND(COUNTA($A678:$L678)=0,$N678=""),"",IF($T678="Paid","PAID",IF($T678="Closed","CLOSED",IF($Z678="","",IF($Z678=6,"ESCALATED TO ROXANNE",IF(TODAY()&gt;$AB678,"OVERDUE",IF($AB678&lt;=WORKDAY(TODAY(),1,Holidays),"DUE TOMORROW",IF($Z678=4,"ESCALATED TO LOCAL OFFICE",IF($Z678=5,"ESCALATED TO CBE",IF($AA678=TODAY(),"EMAIL SENT","MONITORING"))))))))))</f>
        <v/>
      </c>
      <c r="V678" s="17">
        <f>IF($U678="",IF(AND(COUNTA($A678:$L678)&gt;0,$N678=""),"Awaiting Collection Email time stamp.",""),IF(OR($U678="PAID",$U678="CLOSED"),IF($U678="PAID","Account paid. Action completed.","Account closed. No further action required."),CHOOSE($Z678,"Collection Email","1st Email Follow-up","2nd Email Follow-up","Escalation to Local Office","Escalation to CBE","Escalation to Roxanne")&amp;" sent "&amp;TEXT($AA678,"dd-mmm")&amp;". "&amp;IF($Z678=6,"Final escalation completed.",IF($U678="OVERDUE","Next: "&amp;$AC678&amp;" was due "&amp;TEXT($AB678,"dd-mmm")&amp;" - "&amp;(NETWORKDAYS($AB678,TODAY(),Holidays)-1)&amp;" business day(s) late. Send now.",IF($U678="DUE TOMORROW","Next: "&amp;$AC678&amp;IF($AB678&lt;=TODAY()," is due TODAY ("," is due next business day (")&amp;TEXT($AB678,"dd-mmm")&amp;").","Next: "&amp;$AC678&amp;" due "&amp;TEXT($AB678,"dd-mmm")&amp;" ("&amp;(NETWORKDAYS(TODAY(),$AB678,Holidays)-1)&amp;" business day(s) left).")))))</f>
        <v/>
      </c>
      <c r="W678" s="17">
        <f>IF($Z678="","",CHOOSE($Z678,"Collection Email","1st Follow-up","2nd Follow-up","Local Office","CBE","Roxanne")&amp;IF($Z678=6," - Final"," - Day "&amp;MAX(0,NETWORKDAYS($AA678,TODAY(),Holidays)-1)&amp;" of "&amp;CHOOSE($Z678,3,3,2,2,3))&amp;" | Total Day "&amp;MAX(0,NETWORKDAYS($N678,TODAY(),Holidays)-1))</f>
        <v/>
      </c>
      <c r="X678" s="18"/>
      <c r="Y678" s="18"/>
      <c r="Z678" s="17">
        <f>IF($N678="","",COUNT($N678:$S678))</f>
        <v/>
      </c>
      <c r="AA678" s="19">
        <f>IF($Z678="","",INT(INDEX($N678:$S678,$Z678)))</f>
        <v/>
      </c>
      <c r="AB678" s="19">
        <f>IF(OR($Z678="",$Z678=6),"",WORKDAY($AA678,CHOOSE($Z678,3,3,2,2,3),Holidays))</f>
        <v/>
      </c>
      <c r="AC678" s="17">
        <f>IF(OR($Z678="",$Z678=6),"",CHOOSE($Z678,"1st Email Follow-up","2nd Email Follow-up","Escalate Local Office","Escalate to CBE","Escalate to Roxanne"))</f>
        <v/>
      </c>
    </row>
    <row r="679" spans="13:29">
      <c r="M679" s="14"/>
      <c r="T679" s="16"/>
      <c r="U679" s="17">
        <f>IF(AND(COUNTA($A679:$L679)=0,$N679=""),"",IF($T679="Paid","PAID",IF($T679="Closed","CLOSED",IF($Z679="","",IF($Z679=6,"ESCALATED TO ROXANNE",IF(TODAY()&gt;$AB679,"OVERDUE",IF($AB679&lt;=WORKDAY(TODAY(),1,Holidays),"DUE TOMORROW",IF($Z679=4,"ESCALATED TO LOCAL OFFICE",IF($Z679=5,"ESCALATED TO CBE",IF($AA679=TODAY(),"EMAIL SENT","MONITORING"))))))))))</f>
        <v/>
      </c>
      <c r="V679" s="17">
        <f>IF($U679="",IF(AND(COUNTA($A679:$L679)&gt;0,$N679=""),"Awaiting Collection Email time stamp.",""),IF(OR($U679="PAID",$U679="CLOSED"),IF($U679="PAID","Account paid. Action completed.","Account closed. No further action required."),CHOOSE($Z679,"Collection Email","1st Email Follow-up","2nd Email Follow-up","Escalation to Local Office","Escalation to CBE","Escalation to Roxanne")&amp;" sent "&amp;TEXT($AA679,"dd-mmm")&amp;". "&amp;IF($Z679=6,"Final escalation completed.",IF($U679="OVERDUE","Next: "&amp;$AC679&amp;" was due "&amp;TEXT($AB679,"dd-mmm")&amp;" - "&amp;(NETWORKDAYS($AB679,TODAY(),Holidays)-1)&amp;" business day(s) late. Send now.",IF($U679="DUE TOMORROW","Next: "&amp;$AC679&amp;IF($AB679&lt;=TODAY()," is due TODAY ("," is due next business day (")&amp;TEXT($AB679,"dd-mmm")&amp;").","Next: "&amp;$AC679&amp;" due "&amp;TEXT($AB679,"dd-mmm")&amp;" ("&amp;(NETWORKDAYS(TODAY(),$AB679,Holidays)-1)&amp;" business day(s) left).")))))</f>
        <v/>
      </c>
      <c r="W679" s="17">
        <f>IF($Z679="","",CHOOSE($Z679,"Collection Email","1st Follow-up","2nd Follow-up","Local Office","CBE","Roxanne")&amp;IF($Z679=6," - Final"," - Day "&amp;MAX(0,NETWORKDAYS($AA679,TODAY(),Holidays)-1)&amp;" of "&amp;CHOOSE($Z679,3,3,2,2,3))&amp;" | Total Day "&amp;MAX(0,NETWORKDAYS($N679,TODAY(),Holidays)-1))</f>
        <v/>
      </c>
      <c r="X679" s="18"/>
      <c r="Y679" s="18"/>
      <c r="Z679" s="17">
        <f>IF($N679="","",COUNT($N679:$S679))</f>
        <v/>
      </c>
      <c r="AA679" s="19">
        <f>IF($Z679="","",INT(INDEX($N679:$S679,$Z679)))</f>
        <v/>
      </c>
      <c r="AB679" s="19">
        <f>IF(OR($Z679="",$Z679=6),"",WORKDAY($AA679,CHOOSE($Z679,3,3,2,2,3),Holidays))</f>
        <v/>
      </c>
      <c r="AC679" s="17">
        <f>IF(OR($Z679="",$Z679=6),"",CHOOSE($Z679,"1st Email Follow-up","2nd Email Follow-up","Escalate Local Office","Escalate to CBE","Escalate to Roxanne"))</f>
        <v/>
      </c>
    </row>
    <row r="680" spans="13:29">
      <c r="M680" s="14"/>
      <c r="T680" s="16"/>
      <c r="U680" s="17">
        <f>IF(AND(COUNTA($A680:$L680)=0,$N680=""),"",IF($T680="Paid","PAID",IF($T680="Closed","CLOSED",IF($Z680="","",IF($Z680=6,"ESCALATED TO ROXANNE",IF(TODAY()&gt;$AB680,"OVERDUE",IF($AB680&lt;=WORKDAY(TODAY(),1,Holidays),"DUE TOMORROW",IF($Z680=4,"ESCALATED TO LOCAL OFFICE",IF($Z680=5,"ESCALATED TO CBE",IF($AA680=TODAY(),"EMAIL SENT","MONITORING"))))))))))</f>
        <v/>
      </c>
      <c r="V680" s="17">
        <f>IF($U680="",IF(AND(COUNTA($A680:$L680)&gt;0,$N680=""),"Awaiting Collection Email time stamp.",""),IF(OR($U680="PAID",$U680="CLOSED"),IF($U680="PAID","Account paid. Action completed.","Account closed. No further action required."),CHOOSE($Z680,"Collection Email","1st Email Follow-up","2nd Email Follow-up","Escalation to Local Office","Escalation to CBE","Escalation to Roxanne")&amp;" sent "&amp;TEXT($AA680,"dd-mmm")&amp;". "&amp;IF($Z680=6,"Final escalation completed.",IF($U680="OVERDUE","Next: "&amp;$AC680&amp;" was due "&amp;TEXT($AB680,"dd-mmm")&amp;" - "&amp;(NETWORKDAYS($AB680,TODAY(),Holidays)-1)&amp;" business day(s) late. Send now.",IF($U680="DUE TOMORROW","Next: "&amp;$AC680&amp;IF($AB680&lt;=TODAY()," is due TODAY ("," is due next business day (")&amp;TEXT($AB680,"dd-mmm")&amp;").","Next: "&amp;$AC680&amp;" due "&amp;TEXT($AB680,"dd-mmm")&amp;" ("&amp;(NETWORKDAYS(TODAY(),$AB680,Holidays)-1)&amp;" business day(s) left).")))))</f>
        <v/>
      </c>
      <c r="W680" s="17">
        <f>IF($Z680="","",CHOOSE($Z680,"Collection Email","1st Follow-up","2nd Follow-up","Local Office","CBE","Roxanne")&amp;IF($Z680=6," - Final"," - Day "&amp;MAX(0,NETWORKDAYS($AA680,TODAY(),Holidays)-1)&amp;" of "&amp;CHOOSE($Z680,3,3,2,2,3))&amp;" | Total Day "&amp;MAX(0,NETWORKDAYS($N680,TODAY(),Holidays)-1))</f>
        <v/>
      </c>
      <c r="X680" s="18"/>
      <c r="Y680" s="18"/>
      <c r="Z680" s="17">
        <f>IF($N680="","",COUNT($N680:$S680))</f>
        <v/>
      </c>
      <c r="AA680" s="19">
        <f>IF($Z680="","",INT(INDEX($N680:$S680,$Z680)))</f>
        <v/>
      </c>
      <c r="AB680" s="19">
        <f>IF(OR($Z680="",$Z680=6),"",WORKDAY($AA680,CHOOSE($Z680,3,3,2,2,3),Holidays))</f>
        <v/>
      </c>
      <c r="AC680" s="17">
        <f>IF(OR($Z680="",$Z680=6),"",CHOOSE($Z680,"1st Email Follow-up","2nd Email Follow-up","Escalate Local Office","Escalate to CBE","Escalate to Roxanne"))</f>
        <v/>
      </c>
    </row>
    <row r="681" spans="13:29">
      <c r="M681" s="14"/>
      <c r="T681" s="16"/>
      <c r="U681" s="17">
        <f>IF(AND(COUNTA($A681:$L681)=0,$N681=""),"",IF($T681="Paid","PAID",IF($T681="Closed","CLOSED",IF($Z681="","",IF($Z681=6,"ESCALATED TO ROXANNE",IF(TODAY()&gt;$AB681,"OVERDUE",IF($AB681&lt;=WORKDAY(TODAY(),1,Holidays),"DUE TOMORROW",IF($Z681=4,"ESCALATED TO LOCAL OFFICE",IF($Z681=5,"ESCALATED TO CBE",IF($AA681=TODAY(),"EMAIL SENT","MONITORING"))))))))))</f>
        <v/>
      </c>
      <c r="V681" s="17">
        <f>IF($U681="",IF(AND(COUNTA($A681:$L681)&gt;0,$N681=""),"Awaiting Collection Email time stamp.",""),IF(OR($U681="PAID",$U681="CLOSED"),IF($U681="PAID","Account paid. Action completed.","Account closed. No further action required."),CHOOSE($Z681,"Collection Email","1st Email Follow-up","2nd Email Follow-up","Escalation to Local Office","Escalation to CBE","Escalation to Roxanne")&amp;" sent "&amp;TEXT($AA681,"dd-mmm")&amp;". "&amp;IF($Z681=6,"Final escalation completed.",IF($U681="OVERDUE","Next: "&amp;$AC681&amp;" was due "&amp;TEXT($AB681,"dd-mmm")&amp;" - "&amp;(NETWORKDAYS($AB681,TODAY(),Holidays)-1)&amp;" business day(s) late. Send now.",IF($U681="DUE TOMORROW","Next: "&amp;$AC681&amp;IF($AB681&lt;=TODAY()," is due TODAY ("," is due next business day (")&amp;TEXT($AB681,"dd-mmm")&amp;").","Next: "&amp;$AC681&amp;" due "&amp;TEXT($AB681,"dd-mmm")&amp;" ("&amp;(NETWORKDAYS(TODAY(),$AB681,Holidays)-1)&amp;" business day(s) left).")))))</f>
        <v/>
      </c>
      <c r="W681" s="17">
        <f>IF($Z681="","",CHOOSE($Z681,"Collection Email","1st Follow-up","2nd Follow-up","Local Office","CBE","Roxanne")&amp;IF($Z681=6," - Final"," - Day "&amp;MAX(0,NETWORKDAYS($AA681,TODAY(),Holidays)-1)&amp;" of "&amp;CHOOSE($Z681,3,3,2,2,3))&amp;" | Total Day "&amp;MAX(0,NETWORKDAYS($N681,TODAY(),Holidays)-1))</f>
        <v/>
      </c>
      <c r="X681" s="18"/>
      <c r="Y681" s="18"/>
      <c r="Z681" s="17">
        <f>IF($N681="","",COUNT($N681:$S681))</f>
        <v/>
      </c>
      <c r="AA681" s="19">
        <f>IF($Z681="","",INT(INDEX($N681:$S681,$Z681)))</f>
        <v/>
      </c>
      <c r="AB681" s="19">
        <f>IF(OR($Z681="",$Z681=6),"",WORKDAY($AA681,CHOOSE($Z681,3,3,2,2,3),Holidays))</f>
        <v/>
      </c>
      <c r="AC681" s="17">
        <f>IF(OR($Z681="",$Z681=6),"",CHOOSE($Z681,"1st Email Follow-up","2nd Email Follow-up","Escalate Local Office","Escalate to CBE","Escalate to Roxanne"))</f>
        <v/>
      </c>
    </row>
    <row r="682" spans="13:29">
      <c r="M682" s="14"/>
      <c r="T682" s="16"/>
      <c r="U682" s="17">
        <f>IF(AND(COUNTA($A682:$L682)=0,$N682=""),"",IF($T682="Paid","PAID",IF($T682="Closed","CLOSED",IF($Z682="","",IF($Z682=6,"ESCALATED TO ROXANNE",IF(TODAY()&gt;$AB682,"OVERDUE",IF($AB682&lt;=WORKDAY(TODAY(),1,Holidays),"DUE TOMORROW",IF($Z682=4,"ESCALATED TO LOCAL OFFICE",IF($Z682=5,"ESCALATED TO CBE",IF($AA682=TODAY(),"EMAIL SENT","MONITORING"))))))))))</f>
        <v/>
      </c>
      <c r="V682" s="17">
        <f>IF($U682="",IF(AND(COUNTA($A682:$L682)&gt;0,$N682=""),"Awaiting Collection Email time stamp.",""),IF(OR($U682="PAID",$U682="CLOSED"),IF($U682="PAID","Account paid. Action completed.","Account closed. No further action required."),CHOOSE($Z682,"Collection Email","1st Email Follow-up","2nd Email Follow-up","Escalation to Local Office","Escalation to CBE","Escalation to Roxanne")&amp;" sent "&amp;TEXT($AA682,"dd-mmm")&amp;". "&amp;IF($Z682=6,"Final escalation completed.",IF($U682="OVERDUE","Next: "&amp;$AC682&amp;" was due "&amp;TEXT($AB682,"dd-mmm")&amp;" - "&amp;(NETWORKDAYS($AB682,TODAY(),Holidays)-1)&amp;" business day(s) late. Send now.",IF($U682="DUE TOMORROW","Next: "&amp;$AC682&amp;IF($AB682&lt;=TODAY()," is due TODAY ("," is due next business day (")&amp;TEXT($AB682,"dd-mmm")&amp;").","Next: "&amp;$AC682&amp;" due "&amp;TEXT($AB682,"dd-mmm")&amp;" ("&amp;(NETWORKDAYS(TODAY(),$AB682,Holidays)-1)&amp;" business day(s) left).")))))</f>
        <v/>
      </c>
      <c r="W682" s="17">
        <f>IF($Z682="","",CHOOSE($Z682,"Collection Email","1st Follow-up","2nd Follow-up","Local Office","CBE","Roxanne")&amp;IF($Z682=6," - Final"," - Day "&amp;MAX(0,NETWORKDAYS($AA682,TODAY(),Holidays)-1)&amp;" of "&amp;CHOOSE($Z682,3,3,2,2,3))&amp;" | Total Day "&amp;MAX(0,NETWORKDAYS($N682,TODAY(),Holidays)-1))</f>
        <v/>
      </c>
      <c r="X682" s="18"/>
      <c r="Y682" s="18"/>
      <c r="Z682" s="17">
        <f>IF($N682="","",COUNT($N682:$S682))</f>
        <v/>
      </c>
      <c r="AA682" s="19">
        <f>IF($Z682="","",INT(INDEX($N682:$S682,$Z682)))</f>
        <v/>
      </c>
      <c r="AB682" s="19">
        <f>IF(OR($Z682="",$Z682=6),"",WORKDAY($AA682,CHOOSE($Z682,3,3,2,2,3),Holidays))</f>
        <v/>
      </c>
      <c r="AC682" s="17">
        <f>IF(OR($Z682="",$Z682=6),"",CHOOSE($Z682,"1st Email Follow-up","2nd Email Follow-up","Escalate Local Office","Escalate to CBE","Escalate to Roxanne"))</f>
        <v/>
      </c>
    </row>
    <row r="683" spans="13:29">
      <c r="M683" s="14"/>
      <c r="T683" s="16"/>
      <c r="U683" s="17">
        <f>IF(AND(COUNTA($A683:$L683)=0,$N683=""),"",IF($T683="Paid","PAID",IF($T683="Closed","CLOSED",IF($Z683="","",IF($Z683=6,"ESCALATED TO ROXANNE",IF(TODAY()&gt;$AB683,"OVERDUE",IF($AB683&lt;=WORKDAY(TODAY(),1,Holidays),"DUE TOMORROW",IF($Z683=4,"ESCALATED TO LOCAL OFFICE",IF($Z683=5,"ESCALATED TO CBE",IF($AA683=TODAY(),"EMAIL SENT","MONITORING"))))))))))</f>
        <v/>
      </c>
      <c r="V683" s="17">
        <f>IF($U683="",IF(AND(COUNTA($A683:$L683)&gt;0,$N683=""),"Awaiting Collection Email time stamp.",""),IF(OR($U683="PAID",$U683="CLOSED"),IF($U683="PAID","Account paid. Action completed.","Account closed. No further action required."),CHOOSE($Z683,"Collection Email","1st Email Follow-up","2nd Email Follow-up","Escalation to Local Office","Escalation to CBE","Escalation to Roxanne")&amp;" sent "&amp;TEXT($AA683,"dd-mmm")&amp;". "&amp;IF($Z683=6,"Final escalation completed.",IF($U683="OVERDUE","Next: "&amp;$AC683&amp;" was due "&amp;TEXT($AB683,"dd-mmm")&amp;" - "&amp;(NETWORKDAYS($AB683,TODAY(),Holidays)-1)&amp;" business day(s) late. Send now.",IF($U683="DUE TOMORROW","Next: "&amp;$AC683&amp;IF($AB683&lt;=TODAY()," is due TODAY ("," is due next business day (")&amp;TEXT($AB683,"dd-mmm")&amp;").","Next: "&amp;$AC683&amp;" due "&amp;TEXT($AB683,"dd-mmm")&amp;" ("&amp;(NETWORKDAYS(TODAY(),$AB683,Holidays)-1)&amp;" business day(s) left).")))))</f>
        <v/>
      </c>
      <c r="W683" s="17">
        <f>IF($Z683="","",CHOOSE($Z683,"Collection Email","1st Follow-up","2nd Follow-up","Local Office","CBE","Roxanne")&amp;IF($Z683=6," - Final"," - Day "&amp;MAX(0,NETWORKDAYS($AA683,TODAY(),Holidays)-1)&amp;" of "&amp;CHOOSE($Z683,3,3,2,2,3))&amp;" | Total Day "&amp;MAX(0,NETWORKDAYS($N683,TODAY(),Holidays)-1))</f>
        <v/>
      </c>
      <c r="X683" s="18"/>
      <c r="Y683" s="18"/>
      <c r="Z683" s="17">
        <f>IF($N683="","",COUNT($N683:$S683))</f>
        <v/>
      </c>
      <c r="AA683" s="19">
        <f>IF($Z683="","",INT(INDEX($N683:$S683,$Z683)))</f>
        <v/>
      </c>
      <c r="AB683" s="19">
        <f>IF(OR($Z683="",$Z683=6),"",WORKDAY($AA683,CHOOSE($Z683,3,3,2,2,3),Holidays))</f>
        <v/>
      </c>
      <c r="AC683" s="17">
        <f>IF(OR($Z683="",$Z683=6),"",CHOOSE($Z683,"1st Email Follow-up","2nd Email Follow-up","Escalate Local Office","Escalate to CBE","Escalate to Roxanne"))</f>
        <v/>
      </c>
    </row>
    <row r="684" spans="13:29">
      <c r="M684" s="14"/>
      <c r="T684" s="16"/>
      <c r="U684" s="17">
        <f>IF(AND(COUNTA($A684:$L684)=0,$N684=""),"",IF($T684="Paid","PAID",IF($T684="Closed","CLOSED",IF($Z684="","",IF($Z684=6,"ESCALATED TO ROXANNE",IF(TODAY()&gt;$AB684,"OVERDUE",IF($AB684&lt;=WORKDAY(TODAY(),1,Holidays),"DUE TOMORROW",IF($Z684=4,"ESCALATED TO LOCAL OFFICE",IF($Z684=5,"ESCALATED TO CBE",IF($AA684=TODAY(),"EMAIL SENT","MONITORING"))))))))))</f>
        <v/>
      </c>
      <c r="V684" s="17">
        <f>IF($U684="",IF(AND(COUNTA($A684:$L684)&gt;0,$N684=""),"Awaiting Collection Email time stamp.",""),IF(OR($U684="PAID",$U684="CLOSED"),IF($U684="PAID","Account paid. Action completed.","Account closed. No further action required."),CHOOSE($Z684,"Collection Email","1st Email Follow-up","2nd Email Follow-up","Escalation to Local Office","Escalation to CBE","Escalation to Roxanne")&amp;" sent "&amp;TEXT($AA684,"dd-mmm")&amp;". "&amp;IF($Z684=6,"Final escalation completed.",IF($U684="OVERDUE","Next: "&amp;$AC684&amp;" was due "&amp;TEXT($AB684,"dd-mmm")&amp;" - "&amp;(NETWORKDAYS($AB684,TODAY(),Holidays)-1)&amp;" business day(s) late. Send now.",IF($U684="DUE TOMORROW","Next: "&amp;$AC684&amp;IF($AB684&lt;=TODAY()," is due TODAY ("," is due next business day (")&amp;TEXT($AB684,"dd-mmm")&amp;").","Next: "&amp;$AC684&amp;" due "&amp;TEXT($AB684,"dd-mmm")&amp;" ("&amp;(NETWORKDAYS(TODAY(),$AB684,Holidays)-1)&amp;" business day(s) left).")))))</f>
        <v/>
      </c>
      <c r="W684" s="17">
        <f>IF($Z684="","",CHOOSE($Z684,"Collection Email","1st Follow-up","2nd Follow-up","Local Office","CBE","Roxanne")&amp;IF($Z684=6," - Final"," - Day "&amp;MAX(0,NETWORKDAYS($AA684,TODAY(),Holidays)-1)&amp;" of "&amp;CHOOSE($Z684,3,3,2,2,3))&amp;" | Total Day "&amp;MAX(0,NETWORKDAYS($N684,TODAY(),Holidays)-1))</f>
        <v/>
      </c>
      <c r="X684" s="18"/>
      <c r="Y684" s="18"/>
      <c r="Z684" s="17">
        <f>IF($N684="","",COUNT($N684:$S684))</f>
        <v/>
      </c>
      <c r="AA684" s="19">
        <f>IF($Z684="","",INT(INDEX($N684:$S684,$Z684)))</f>
        <v/>
      </c>
      <c r="AB684" s="19">
        <f>IF(OR($Z684="",$Z684=6),"",WORKDAY($AA684,CHOOSE($Z684,3,3,2,2,3),Holidays))</f>
        <v/>
      </c>
      <c r="AC684" s="17">
        <f>IF(OR($Z684="",$Z684=6),"",CHOOSE($Z684,"1st Email Follow-up","2nd Email Follow-up","Escalate Local Office","Escalate to CBE","Escalate to Roxanne"))</f>
        <v/>
      </c>
    </row>
    <row r="685" spans="13:29">
      <c r="M685" s="14"/>
      <c r="T685" s="16"/>
      <c r="U685" s="17">
        <f>IF(AND(COUNTA($A685:$L685)=0,$N685=""),"",IF($T685="Paid","PAID",IF($T685="Closed","CLOSED",IF($Z685="","",IF($Z685=6,"ESCALATED TO ROXANNE",IF(TODAY()&gt;$AB685,"OVERDUE",IF($AB685&lt;=WORKDAY(TODAY(),1,Holidays),"DUE TOMORROW",IF($Z685=4,"ESCALATED TO LOCAL OFFICE",IF($Z685=5,"ESCALATED TO CBE",IF($AA685=TODAY(),"EMAIL SENT","MONITORING"))))))))))</f>
        <v/>
      </c>
      <c r="V685" s="17">
        <f>IF($U685="",IF(AND(COUNTA($A685:$L685)&gt;0,$N685=""),"Awaiting Collection Email time stamp.",""),IF(OR($U685="PAID",$U685="CLOSED"),IF($U685="PAID","Account paid. Action completed.","Account closed. No further action required."),CHOOSE($Z685,"Collection Email","1st Email Follow-up","2nd Email Follow-up","Escalation to Local Office","Escalation to CBE","Escalation to Roxanne")&amp;" sent "&amp;TEXT($AA685,"dd-mmm")&amp;". "&amp;IF($Z685=6,"Final escalation completed.",IF($U685="OVERDUE","Next: "&amp;$AC685&amp;" was due "&amp;TEXT($AB685,"dd-mmm")&amp;" - "&amp;(NETWORKDAYS($AB685,TODAY(),Holidays)-1)&amp;" business day(s) late. Send now.",IF($U685="DUE TOMORROW","Next: "&amp;$AC685&amp;IF($AB685&lt;=TODAY()," is due TODAY ("," is due next business day (")&amp;TEXT($AB685,"dd-mmm")&amp;").","Next: "&amp;$AC685&amp;" due "&amp;TEXT($AB685,"dd-mmm")&amp;" ("&amp;(NETWORKDAYS(TODAY(),$AB685,Holidays)-1)&amp;" business day(s) left).")))))</f>
        <v/>
      </c>
      <c r="W685" s="17">
        <f>IF($Z685="","",CHOOSE($Z685,"Collection Email","1st Follow-up","2nd Follow-up","Local Office","CBE","Roxanne")&amp;IF($Z685=6," - Final"," - Day "&amp;MAX(0,NETWORKDAYS($AA685,TODAY(),Holidays)-1)&amp;" of "&amp;CHOOSE($Z685,3,3,2,2,3))&amp;" | Total Day "&amp;MAX(0,NETWORKDAYS($N685,TODAY(),Holidays)-1))</f>
        <v/>
      </c>
      <c r="X685" s="18"/>
      <c r="Y685" s="18"/>
      <c r="Z685" s="17">
        <f>IF($N685="","",COUNT($N685:$S685))</f>
        <v/>
      </c>
      <c r="AA685" s="19">
        <f>IF($Z685="","",INT(INDEX($N685:$S685,$Z685)))</f>
        <v/>
      </c>
      <c r="AB685" s="19">
        <f>IF(OR($Z685="",$Z685=6),"",WORKDAY($AA685,CHOOSE($Z685,3,3,2,2,3),Holidays))</f>
        <v/>
      </c>
      <c r="AC685" s="17">
        <f>IF(OR($Z685="",$Z685=6),"",CHOOSE($Z685,"1st Email Follow-up","2nd Email Follow-up","Escalate Local Office","Escalate to CBE","Escalate to Roxanne"))</f>
        <v/>
      </c>
    </row>
    <row r="686" spans="13:29">
      <c r="M686" s="14"/>
      <c r="T686" s="16"/>
      <c r="U686" s="17">
        <f>IF(AND(COUNTA($A686:$L686)=0,$N686=""),"",IF($T686="Paid","PAID",IF($T686="Closed","CLOSED",IF($Z686="","",IF($Z686=6,"ESCALATED TO ROXANNE",IF(TODAY()&gt;$AB686,"OVERDUE",IF($AB686&lt;=WORKDAY(TODAY(),1,Holidays),"DUE TOMORROW",IF($Z686=4,"ESCALATED TO LOCAL OFFICE",IF($Z686=5,"ESCALATED TO CBE",IF($AA686=TODAY(),"EMAIL SENT","MONITORING"))))))))))</f>
        <v/>
      </c>
      <c r="V686" s="17">
        <f>IF($U686="",IF(AND(COUNTA($A686:$L686)&gt;0,$N686=""),"Awaiting Collection Email time stamp.",""),IF(OR($U686="PAID",$U686="CLOSED"),IF($U686="PAID","Account paid. Action completed.","Account closed. No further action required."),CHOOSE($Z686,"Collection Email","1st Email Follow-up","2nd Email Follow-up","Escalation to Local Office","Escalation to CBE","Escalation to Roxanne")&amp;" sent "&amp;TEXT($AA686,"dd-mmm")&amp;". "&amp;IF($Z686=6,"Final escalation completed.",IF($U686="OVERDUE","Next: "&amp;$AC686&amp;" was due "&amp;TEXT($AB686,"dd-mmm")&amp;" - "&amp;(NETWORKDAYS($AB686,TODAY(),Holidays)-1)&amp;" business day(s) late. Send now.",IF($U686="DUE TOMORROW","Next: "&amp;$AC686&amp;IF($AB686&lt;=TODAY()," is due TODAY ("," is due next business day (")&amp;TEXT($AB686,"dd-mmm")&amp;").","Next: "&amp;$AC686&amp;" due "&amp;TEXT($AB686,"dd-mmm")&amp;" ("&amp;(NETWORKDAYS(TODAY(),$AB686,Holidays)-1)&amp;" business day(s) left).")))))</f>
        <v/>
      </c>
      <c r="W686" s="17">
        <f>IF($Z686="","",CHOOSE($Z686,"Collection Email","1st Follow-up","2nd Follow-up","Local Office","CBE","Roxanne")&amp;IF($Z686=6," - Final"," - Day "&amp;MAX(0,NETWORKDAYS($AA686,TODAY(),Holidays)-1)&amp;" of "&amp;CHOOSE($Z686,3,3,2,2,3))&amp;" | Total Day "&amp;MAX(0,NETWORKDAYS($N686,TODAY(),Holidays)-1))</f>
        <v/>
      </c>
      <c r="X686" s="18"/>
      <c r="Y686" s="18"/>
      <c r="Z686" s="17">
        <f>IF($N686="","",COUNT($N686:$S686))</f>
        <v/>
      </c>
      <c r="AA686" s="19">
        <f>IF($Z686="","",INT(INDEX($N686:$S686,$Z686)))</f>
        <v/>
      </c>
      <c r="AB686" s="19">
        <f>IF(OR($Z686="",$Z686=6),"",WORKDAY($AA686,CHOOSE($Z686,3,3,2,2,3),Holidays))</f>
        <v/>
      </c>
      <c r="AC686" s="17">
        <f>IF(OR($Z686="",$Z686=6),"",CHOOSE($Z686,"1st Email Follow-up","2nd Email Follow-up","Escalate Local Office","Escalate to CBE","Escalate to Roxanne"))</f>
        <v/>
      </c>
    </row>
    <row r="687" spans="13:29">
      <c r="M687" s="14"/>
      <c r="T687" s="16"/>
      <c r="U687" s="17">
        <f>IF(AND(COUNTA($A687:$L687)=0,$N687=""),"",IF($T687="Paid","PAID",IF($T687="Closed","CLOSED",IF($Z687="","",IF($Z687=6,"ESCALATED TO ROXANNE",IF(TODAY()&gt;$AB687,"OVERDUE",IF($AB687&lt;=WORKDAY(TODAY(),1,Holidays),"DUE TOMORROW",IF($Z687=4,"ESCALATED TO LOCAL OFFICE",IF($Z687=5,"ESCALATED TO CBE",IF($AA687=TODAY(),"EMAIL SENT","MONITORING"))))))))))</f>
        <v/>
      </c>
      <c r="V687" s="17">
        <f>IF($U687="",IF(AND(COUNTA($A687:$L687)&gt;0,$N687=""),"Awaiting Collection Email time stamp.",""),IF(OR($U687="PAID",$U687="CLOSED"),IF($U687="PAID","Account paid. Action completed.","Account closed. No further action required."),CHOOSE($Z687,"Collection Email","1st Email Follow-up","2nd Email Follow-up","Escalation to Local Office","Escalation to CBE","Escalation to Roxanne")&amp;" sent "&amp;TEXT($AA687,"dd-mmm")&amp;". "&amp;IF($Z687=6,"Final escalation completed.",IF($U687="OVERDUE","Next: "&amp;$AC687&amp;" was due "&amp;TEXT($AB687,"dd-mmm")&amp;" - "&amp;(NETWORKDAYS($AB687,TODAY(),Holidays)-1)&amp;" business day(s) late. Send now.",IF($U687="DUE TOMORROW","Next: "&amp;$AC687&amp;IF($AB687&lt;=TODAY()," is due TODAY ("," is due next business day (")&amp;TEXT($AB687,"dd-mmm")&amp;").","Next: "&amp;$AC687&amp;" due "&amp;TEXT($AB687,"dd-mmm")&amp;" ("&amp;(NETWORKDAYS(TODAY(),$AB687,Holidays)-1)&amp;" business day(s) left).")))))</f>
        <v/>
      </c>
      <c r="W687" s="17">
        <f>IF($Z687="","",CHOOSE($Z687,"Collection Email","1st Follow-up","2nd Follow-up","Local Office","CBE","Roxanne")&amp;IF($Z687=6," - Final"," - Day "&amp;MAX(0,NETWORKDAYS($AA687,TODAY(),Holidays)-1)&amp;" of "&amp;CHOOSE($Z687,3,3,2,2,3))&amp;" | Total Day "&amp;MAX(0,NETWORKDAYS($N687,TODAY(),Holidays)-1))</f>
        <v/>
      </c>
      <c r="X687" s="18"/>
      <c r="Y687" s="18"/>
      <c r="Z687" s="17">
        <f>IF($N687="","",COUNT($N687:$S687))</f>
        <v/>
      </c>
      <c r="AA687" s="19">
        <f>IF($Z687="","",INT(INDEX($N687:$S687,$Z687)))</f>
        <v/>
      </c>
      <c r="AB687" s="19">
        <f>IF(OR($Z687="",$Z687=6),"",WORKDAY($AA687,CHOOSE($Z687,3,3,2,2,3),Holidays))</f>
        <v/>
      </c>
      <c r="AC687" s="17">
        <f>IF(OR($Z687="",$Z687=6),"",CHOOSE($Z687,"1st Email Follow-up","2nd Email Follow-up","Escalate Local Office","Escalate to CBE","Escalate to Roxanne"))</f>
        <v/>
      </c>
    </row>
    <row r="688" spans="13:29">
      <c r="M688" s="14"/>
      <c r="T688" s="16"/>
      <c r="U688" s="17">
        <f>IF(AND(COUNTA($A688:$L688)=0,$N688=""),"",IF($T688="Paid","PAID",IF($T688="Closed","CLOSED",IF($Z688="","",IF($Z688=6,"ESCALATED TO ROXANNE",IF(TODAY()&gt;$AB688,"OVERDUE",IF($AB688&lt;=WORKDAY(TODAY(),1,Holidays),"DUE TOMORROW",IF($Z688=4,"ESCALATED TO LOCAL OFFICE",IF($Z688=5,"ESCALATED TO CBE",IF($AA688=TODAY(),"EMAIL SENT","MONITORING"))))))))))</f>
        <v/>
      </c>
      <c r="V688" s="17">
        <f>IF($U688="",IF(AND(COUNTA($A688:$L688)&gt;0,$N688=""),"Awaiting Collection Email time stamp.",""),IF(OR($U688="PAID",$U688="CLOSED"),IF($U688="PAID","Account paid. Action completed.","Account closed. No further action required."),CHOOSE($Z688,"Collection Email","1st Email Follow-up","2nd Email Follow-up","Escalation to Local Office","Escalation to CBE","Escalation to Roxanne")&amp;" sent "&amp;TEXT($AA688,"dd-mmm")&amp;". "&amp;IF($Z688=6,"Final escalation completed.",IF($U688="OVERDUE","Next: "&amp;$AC688&amp;" was due "&amp;TEXT($AB688,"dd-mmm")&amp;" - "&amp;(NETWORKDAYS($AB688,TODAY(),Holidays)-1)&amp;" business day(s) late. Send now.",IF($U688="DUE TOMORROW","Next: "&amp;$AC688&amp;IF($AB688&lt;=TODAY()," is due TODAY ("," is due next business day (")&amp;TEXT($AB688,"dd-mmm")&amp;").","Next: "&amp;$AC688&amp;" due "&amp;TEXT($AB688,"dd-mmm")&amp;" ("&amp;(NETWORKDAYS(TODAY(),$AB688,Holidays)-1)&amp;" business day(s) left).")))))</f>
        <v/>
      </c>
      <c r="W688" s="17">
        <f>IF($Z688="","",CHOOSE($Z688,"Collection Email","1st Follow-up","2nd Follow-up","Local Office","CBE","Roxanne")&amp;IF($Z688=6," - Final"," - Day "&amp;MAX(0,NETWORKDAYS($AA688,TODAY(),Holidays)-1)&amp;" of "&amp;CHOOSE($Z688,3,3,2,2,3))&amp;" | Total Day "&amp;MAX(0,NETWORKDAYS($N688,TODAY(),Holidays)-1))</f>
        <v/>
      </c>
      <c r="X688" s="18"/>
      <c r="Y688" s="18"/>
      <c r="Z688" s="17">
        <f>IF($N688="","",COUNT($N688:$S688))</f>
        <v/>
      </c>
      <c r="AA688" s="19">
        <f>IF($Z688="","",INT(INDEX($N688:$S688,$Z688)))</f>
        <v/>
      </c>
      <c r="AB688" s="19">
        <f>IF(OR($Z688="",$Z688=6),"",WORKDAY($AA688,CHOOSE($Z688,3,3,2,2,3),Holidays))</f>
        <v/>
      </c>
      <c r="AC688" s="17">
        <f>IF(OR($Z688="",$Z688=6),"",CHOOSE($Z688,"1st Email Follow-up","2nd Email Follow-up","Escalate Local Office","Escalate to CBE","Escalate to Roxanne"))</f>
        <v/>
      </c>
    </row>
    <row r="689" spans="13:29">
      <c r="M689" s="14"/>
      <c r="T689" s="16"/>
      <c r="U689" s="17">
        <f>IF(AND(COUNTA($A689:$L689)=0,$N689=""),"",IF($T689="Paid","PAID",IF($T689="Closed","CLOSED",IF($Z689="","",IF($Z689=6,"ESCALATED TO ROXANNE",IF(TODAY()&gt;$AB689,"OVERDUE",IF($AB689&lt;=WORKDAY(TODAY(),1,Holidays),"DUE TOMORROW",IF($Z689=4,"ESCALATED TO LOCAL OFFICE",IF($Z689=5,"ESCALATED TO CBE",IF($AA689=TODAY(),"EMAIL SENT","MONITORING"))))))))))</f>
        <v/>
      </c>
      <c r="V689" s="17">
        <f>IF($U689="",IF(AND(COUNTA($A689:$L689)&gt;0,$N689=""),"Awaiting Collection Email time stamp.",""),IF(OR($U689="PAID",$U689="CLOSED"),IF($U689="PAID","Account paid. Action completed.","Account closed. No further action required."),CHOOSE($Z689,"Collection Email","1st Email Follow-up","2nd Email Follow-up","Escalation to Local Office","Escalation to CBE","Escalation to Roxanne")&amp;" sent "&amp;TEXT($AA689,"dd-mmm")&amp;". "&amp;IF($Z689=6,"Final escalation completed.",IF($U689="OVERDUE","Next: "&amp;$AC689&amp;" was due "&amp;TEXT($AB689,"dd-mmm")&amp;" - "&amp;(NETWORKDAYS($AB689,TODAY(),Holidays)-1)&amp;" business day(s) late. Send now.",IF($U689="DUE TOMORROW","Next: "&amp;$AC689&amp;IF($AB689&lt;=TODAY()," is due TODAY ("," is due next business day (")&amp;TEXT($AB689,"dd-mmm")&amp;").","Next: "&amp;$AC689&amp;" due "&amp;TEXT($AB689,"dd-mmm")&amp;" ("&amp;(NETWORKDAYS(TODAY(),$AB689,Holidays)-1)&amp;" business day(s) left).")))))</f>
        <v/>
      </c>
      <c r="W689" s="17">
        <f>IF($Z689="","",CHOOSE($Z689,"Collection Email","1st Follow-up","2nd Follow-up","Local Office","CBE","Roxanne")&amp;IF($Z689=6," - Final"," - Day "&amp;MAX(0,NETWORKDAYS($AA689,TODAY(),Holidays)-1)&amp;" of "&amp;CHOOSE($Z689,3,3,2,2,3))&amp;" | Total Day "&amp;MAX(0,NETWORKDAYS($N689,TODAY(),Holidays)-1))</f>
        <v/>
      </c>
      <c r="X689" s="18"/>
      <c r="Y689" s="18"/>
      <c r="Z689" s="17">
        <f>IF($N689="","",COUNT($N689:$S689))</f>
        <v/>
      </c>
      <c r="AA689" s="19">
        <f>IF($Z689="","",INT(INDEX($N689:$S689,$Z689)))</f>
        <v/>
      </c>
      <c r="AB689" s="19">
        <f>IF(OR($Z689="",$Z689=6),"",WORKDAY($AA689,CHOOSE($Z689,3,3,2,2,3),Holidays))</f>
        <v/>
      </c>
      <c r="AC689" s="17">
        <f>IF(OR($Z689="",$Z689=6),"",CHOOSE($Z689,"1st Email Follow-up","2nd Email Follow-up","Escalate Local Office","Escalate to CBE","Escalate to Roxanne"))</f>
        <v/>
      </c>
    </row>
    <row r="690" spans="13:29">
      <c r="M690" s="14"/>
      <c r="T690" s="16"/>
      <c r="U690" s="17">
        <f>IF(AND(COUNTA($A690:$L690)=0,$N690=""),"",IF($T690="Paid","PAID",IF($T690="Closed","CLOSED",IF($Z690="","",IF($Z690=6,"ESCALATED TO ROXANNE",IF(TODAY()&gt;$AB690,"OVERDUE",IF($AB690&lt;=WORKDAY(TODAY(),1,Holidays),"DUE TOMORROW",IF($Z690=4,"ESCALATED TO LOCAL OFFICE",IF($Z690=5,"ESCALATED TO CBE",IF($AA690=TODAY(),"EMAIL SENT","MONITORING"))))))))))</f>
        <v/>
      </c>
      <c r="V690" s="17">
        <f>IF($U690="",IF(AND(COUNTA($A690:$L690)&gt;0,$N690=""),"Awaiting Collection Email time stamp.",""),IF(OR($U690="PAID",$U690="CLOSED"),IF($U690="PAID","Account paid. Action completed.","Account closed. No further action required."),CHOOSE($Z690,"Collection Email","1st Email Follow-up","2nd Email Follow-up","Escalation to Local Office","Escalation to CBE","Escalation to Roxanne")&amp;" sent "&amp;TEXT($AA690,"dd-mmm")&amp;". "&amp;IF($Z690=6,"Final escalation completed.",IF($U690="OVERDUE","Next: "&amp;$AC690&amp;" was due "&amp;TEXT($AB690,"dd-mmm")&amp;" - "&amp;(NETWORKDAYS($AB690,TODAY(),Holidays)-1)&amp;" business day(s) late. Send now.",IF($U690="DUE TOMORROW","Next: "&amp;$AC690&amp;IF($AB690&lt;=TODAY()," is due TODAY ("," is due next business day (")&amp;TEXT($AB690,"dd-mmm")&amp;").","Next: "&amp;$AC690&amp;" due "&amp;TEXT($AB690,"dd-mmm")&amp;" ("&amp;(NETWORKDAYS(TODAY(),$AB690,Holidays)-1)&amp;" business day(s) left).")))))</f>
        <v/>
      </c>
      <c r="W690" s="17">
        <f>IF($Z690="","",CHOOSE($Z690,"Collection Email","1st Follow-up","2nd Follow-up","Local Office","CBE","Roxanne")&amp;IF($Z690=6," - Final"," - Day "&amp;MAX(0,NETWORKDAYS($AA690,TODAY(),Holidays)-1)&amp;" of "&amp;CHOOSE($Z690,3,3,2,2,3))&amp;" | Total Day "&amp;MAX(0,NETWORKDAYS($N690,TODAY(),Holidays)-1))</f>
        <v/>
      </c>
      <c r="X690" s="18"/>
      <c r="Y690" s="18"/>
      <c r="Z690" s="17">
        <f>IF($N690="","",COUNT($N690:$S690))</f>
        <v/>
      </c>
      <c r="AA690" s="19">
        <f>IF($Z690="","",INT(INDEX($N690:$S690,$Z690)))</f>
        <v/>
      </c>
      <c r="AB690" s="19">
        <f>IF(OR($Z690="",$Z690=6),"",WORKDAY($AA690,CHOOSE($Z690,3,3,2,2,3),Holidays))</f>
        <v/>
      </c>
      <c r="AC690" s="17">
        <f>IF(OR($Z690="",$Z690=6),"",CHOOSE($Z690,"1st Email Follow-up","2nd Email Follow-up","Escalate Local Office","Escalate to CBE","Escalate to Roxanne"))</f>
        <v/>
      </c>
    </row>
    <row r="691" spans="13:29">
      <c r="M691" s="14"/>
      <c r="T691" s="16"/>
      <c r="U691" s="17">
        <f>IF(AND(COUNTA($A691:$L691)=0,$N691=""),"",IF($T691="Paid","PAID",IF($T691="Closed","CLOSED",IF($Z691="","",IF($Z691=6,"ESCALATED TO ROXANNE",IF(TODAY()&gt;$AB691,"OVERDUE",IF($AB691&lt;=WORKDAY(TODAY(),1,Holidays),"DUE TOMORROW",IF($Z691=4,"ESCALATED TO LOCAL OFFICE",IF($Z691=5,"ESCALATED TO CBE",IF($AA691=TODAY(),"EMAIL SENT","MONITORING"))))))))))</f>
        <v/>
      </c>
      <c r="V691" s="17">
        <f>IF($U691="",IF(AND(COUNTA($A691:$L691)&gt;0,$N691=""),"Awaiting Collection Email time stamp.",""),IF(OR($U691="PAID",$U691="CLOSED"),IF($U691="PAID","Account paid. Action completed.","Account closed. No further action required."),CHOOSE($Z691,"Collection Email","1st Email Follow-up","2nd Email Follow-up","Escalation to Local Office","Escalation to CBE","Escalation to Roxanne")&amp;" sent "&amp;TEXT($AA691,"dd-mmm")&amp;". "&amp;IF($Z691=6,"Final escalation completed.",IF($U691="OVERDUE","Next: "&amp;$AC691&amp;" was due "&amp;TEXT($AB691,"dd-mmm")&amp;" - "&amp;(NETWORKDAYS($AB691,TODAY(),Holidays)-1)&amp;" business day(s) late. Send now.",IF($U691="DUE TOMORROW","Next: "&amp;$AC691&amp;IF($AB691&lt;=TODAY()," is due TODAY ("," is due next business day (")&amp;TEXT($AB691,"dd-mmm")&amp;").","Next: "&amp;$AC691&amp;" due "&amp;TEXT($AB691,"dd-mmm")&amp;" ("&amp;(NETWORKDAYS(TODAY(),$AB691,Holidays)-1)&amp;" business day(s) left).")))))</f>
        <v/>
      </c>
      <c r="W691" s="17">
        <f>IF($Z691="","",CHOOSE($Z691,"Collection Email","1st Follow-up","2nd Follow-up","Local Office","CBE","Roxanne")&amp;IF($Z691=6," - Final"," - Day "&amp;MAX(0,NETWORKDAYS($AA691,TODAY(),Holidays)-1)&amp;" of "&amp;CHOOSE($Z691,3,3,2,2,3))&amp;" | Total Day "&amp;MAX(0,NETWORKDAYS($N691,TODAY(),Holidays)-1))</f>
        <v/>
      </c>
      <c r="X691" s="18"/>
      <c r="Y691" s="18"/>
      <c r="Z691" s="17">
        <f>IF($N691="","",COUNT($N691:$S691))</f>
        <v/>
      </c>
      <c r="AA691" s="19">
        <f>IF($Z691="","",INT(INDEX($N691:$S691,$Z691)))</f>
        <v/>
      </c>
      <c r="AB691" s="19">
        <f>IF(OR($Z691="",$Z691=6),"",WORKDAY($AA691,CHOOSE($Z691,3,3,2,2,3),Holidays))</f>
        <v/>
      </c>
      <c r="AC691" s="17">
        <f>IF(OR($Z691="",$Z691=6),"",CHOOSE($Z691,"1st Email Follow-up","2nd Email Follow-up","Escalate Local Office","Escalate to CBE","Escalate to Roxanne"))</f>
        <v/>
      </c>
    </row>
    <row r="692" spans="13:29">
      <c r="M692" s="14"/>
      <c r="T692" s="16"/>
      <c r="U692" s="17">
        <f>IF(AND(COUNTA($A692:$L692)=0,$N692=""),"",IF($T692="Paid","PAID",IF($T692="Closed","CLOSED",IF($Z692="","",IF($Z692=6,"ESCALATED TO ROXANNE",IF(TODAY()&gt;$AB692,"OVERDUE",IF($AB692&lt;=WORKDAY(TODAY(),1,Holidays),"DUE TOMORROW",IF($Z692=4,"ESCALATED TO LOCAL OFFICE",IF($Z692=5,"ESCALATED TO CBE",IF($AA692=TODAY(),"EMAIL SENT","MONITORING"))))))))))</f>
        <v/>
      </c>
      <c r="V692" s="17">
        <f>IF($U692="",IF(AND(COUNTA($A692:$L692)&gt;0,$N692=""),"Awaiting Collection Email time stamp.",""),IF(OR($U692="PAID",$U692="CLOSED"),IF($U692="PAID","Account paid. Action completed.","Account closed. No further action required."),CHOOSE($Z692,"Collection Email","1st Email Follow-up","2nd Email Follow-up","Escalation to Local Office","Escalation to CBE","Escalation to Roxanne")&amp;" sent "&amp;TEXT($AA692,"dd-mmm")&amp;". "&amp;IF($Z692=6,"Final escalation completed.",IF($U692="OVERDUE","Next: "&amp;$AC692&amp;" was due "&amp;TEXT($AB692,"dd-mmm")&amp;" - "&amp;(NETWORKDAYS($AB692,TODAY(),Holidays)-1)&amp;" business day(s) late. Send now.",IF($U692="DUE TOMORROW","Next: "&amp;$AC692&amp;IF($AB692&lt;=TODAY()," is due TODAY ("," is due next business day (")&amp;TEXT($AB692,"dd-mmm")&amp;").","Next: "&amp;$AC692&amp;" due "&amp;TEXT($AB692,"dd-mmm")&amp;" ("&amp;(NETWORKDAYS(TODAY(),$AB692,Holidays)-1)&amp;" business day(s) left).")))))</f>
        <v/>
      </c>
      <c r="W692" s="17">
        <f>IF($Z692="","",CHOOSE($Z692,"Collection Email","1st Follow-up","2nd Follow-up","Local Office","CBE","Roxanne")&amp;IF($Z692=6," - Final"," - Day "&amp;MAX(0,NETWORKDAYS($AA692,TODAY(),Holidays)-1)&amp;" of "&amp;CHOOSE($Z692,3,3,2,2,3))&amp;" | Total Day "&amp;MAX(0,NETWORKDAYS($N692,TODAY(),Holidays)-1))</f>
        <v/>
      </c>
      <c r="X692" s="18"/>
      <c r="Y692" s="18"/>
      <c r="Z692" s="17">
        <f>IF($N692="","",COUNT($N692:$S692))</f>
        <v/>
      </c>
      <c r="AA692" s="19">
        <f>IF($Z692="","",INT(INDEX($N692:$S692,$Z692)))</f>
        <v/>
      </c>
      <c r="AB692" s="19">
        <f>IF(OR($Z692="",$Z692=6),"",WORKDAY($AA692,CHOOSE($Z692,3,3,2,2,3),Holidays))</f>
        <v/>
      </c>
      <c r="AC692" s="17">
        <f>IF(OR($Z692="",$Z692=6),"",CHOOSE($Z692,"1st Email Follow-up","2nd Email Follow-up","Escalate Local Office","Escalate to CBE","Escalate to Roxanne"))</f>
        <v/>
      </c>
    </row>
    <row r="693" spans="13:29">
      <c r="M693" s="14"/>
      <c r="T693" s="16"/>
      <c r="U693" s="17">
        <f>IF(AND(COUNTA($A693:$L693)=0,$N693=""),"",IF($T693="Paid","PAID",IF($T693="Closed","CLOSED",IF($Z693="","",IF($Z693=6,"ESCALATED TO ROXANNE",IF(TODAY()&gt;$AB693,"OVERDUE",IF($AB693&lt;=WORKDAY(TODAY(),1,Holidays),"DUE TOMORROW",IF($Z693=4,"ESCALATED TO LOCAL OFFICE",IF($Z693=5,"ESCALATED TO CBE",IF($AA693=TODAY(),"EMAIL SENT","MONITORING"))))))))))</f>
        <v/>
      </c>
      <c r="V693" s="17">
        <f>IF($U693="",IF(AND(COUNTA($A693:$L693)&gt;0,$N693=""),"Awaiting Collection Email time stamp.",""),IF(OR($U693="PAID",$U693="CLOSED"),IF($U693="PAID","Account paid. Action completed.","Account closed. No further action required."),CHOOSE($Z693,"Collection Email","1st Email Follow-up","2nd Email Follow-up","Escalation to Local Office","Escalation to CBE","Escalation to Roxanne")&amp;" sent "&amp;TEXT($AA693,"dd-mmm")&amp;". "&amp;IF($Z693=6,"Final escalation completed.",IF($U693="OVERDUE","Next: "&amp;$AC693&amp;" was due "&amp;TEXT($AB693,"dd-mmm")&amp;" - "&amp;(NETWORKDAYS($AB693,TODAY(),Holidays)-1)&amp;" business day(s) late. Send now.",IF($U693="DUE TOMORROW","Next: "&amp;$AC693&amp;IF($AB693&lt;=TODAY()," is due TODAY ("," is due next business day (")&amp;TEXT($AB693,"dd-mmm")&amp;").","Next: "&amp;$AC693&amp;" due "&amp;TEXT($AB693,"dd-mmm")&amp;" ("&amp;(NETWORKDAYS(TODAY(),$AB693,Holidays)-1)&amp;" business day(s) left).")))))</f>
        <v/>
      </c>
      <c r="W693" s="17">
        <f>IF($Z693="","",CHOOSE($Z693,"Collection Email","1st Follow-up","2nd Follow-up","Local Office","CBE","Roxanne")&amp;IF($Z693=6," - Final"," - Day "&amp;MAX(0,NETWORKDAYS($AA693,TODAY(),Holidays)-1)&amp;" of "&amp;CHOOSE($Z693,3,3,2,2,3))&amp;" | Total Day "&amp;MAX(0,NETWORKDAYS($N693,TODAY(),Holidays)-1))</f>
        <v/>
      </c>
      <c r="X693" s="18"/>
      <c r="Y693" s="18"/>
      <c r="Z693" s="17">
        <f>IF($N693="","",COUNT($N693:$S693))</f>
        <v/>
      </c>
      <c r="AA693" s="19">
        <f>IF($Z693="","",INT(INDEX($N693:$S693,$Z693)))</f>
        <v/>
      </c>
      <c r="AB693" s="19">
        <f>IF(OR($Z693="",$Z693=6),"",WORKDAY($AA693,CHOOSE($Z693,3,3,2,2,3),Holidays))</f>
        <v/>
      </c>
      <c r="AC693" s="17">
        <f>IF(OR($Z693="",$Z693=6),"",CHOOSE($Z693,"1st Email Follow-up","2nd Email Follow-up","Escalate Local Office","Escalate to CBE","Escalate to Roxanne"))</f>
        <v/>
      </c>
    </row>
    <row r="694" spans="13:29">
      <c r="M694" s="14"/>
      <c r="T694" s="16"/>
      <c r="U694" s="17">
        <f>IF(AND(COUNTA($A694:$L694)=0,$N694=""),"",IF($T694="Paid","PAID",IF($T694="Closed","CLOSED",IF($Z694="","",IF($Z694=6,"ESCALATED TO ROXANNE",IF(TODAY()&gt;$AB694,"OVERDUE",IF($AB694&lt;=WORKDAY(TODAY(),1,Holidays),"DUE TOMORROW",IF($Z694=4,"ESCALATED TO LOCAL OFFICE",IF($Z694=5,"ESCALATED TO CBE",IF($AA694=TODAY(),"EMAIL SENT","MONITORING"))))))))))</f>
        <v/>
      </c>
      <c r="V694" s="17">
        <f>IF($U694="",IF(AND(COUNTA($A694:$L694)&gt;0,$N694=""),"Awaiting Collection Email time stamp.",""),IF(OR($U694="PAID",$U694="CLOSED"),IF($U694="PAID","Account paid. Action completed.","Account closed. No further action required."),CHOOSE($Z694,"Collection Email","1st Email Follow-up","2nd Email Follow-up","Escalation to Local Office","Escalation to CBE","Escalation to Roxanne")&amp;" sent "&amp;TEXT($AA694,"dd-mmm")&amp;". "&amp;IF($Z694=6,"Final escalation completed.",IF($U694="OVERDUE","Next: "&amp;$AC694&amp;" was due "&amp;TEXT($AB694,"dd-mmm")&amp;" - "&amp;(NETWORKDAYS($AB694,TODAY(),Holidays)-1)&amp;" business day(s) late. Send now.",IF($U694="DUE TOMORROW","Next: "&amp;$AC694&amp;IF($AB694&lt;=TODAY()," is due TODAY ("," is due next business day (")&amp;TEXT($AB694,"dd-mmm")&amp;").","Next: "&amp;$AC694&amp;" due "&amp;TEXT($AB694,"dd-mmm")&amp;" ("&amp;(NETWORKDAYS(TODAY(),$AB694,Holidays)-1)&amp;" business day(s) left).")))))</f>
        <v/>
      </c>
      <c r="W694" s="17">
        <f>IF($Z694="","",CHOOSE($Z694,"Collection Email","1st Follow-up","2nd Follow-up","Local Office","CBE","Roxanne")&amp;IF($Z694=6," - Final"," - Day "&amp;MAX(0,NETWORKDAYS($AA694,TODAY(),Holidays)-1)&amp;" of "&amp;CHOOSE($Z694,3,3,2,2,3))&amp;" | Total Day "&amp;MAX(0,NETWORKDAYS($N694,TODAY(),Holidays)-1))</f>
        <v/>
      </c>
      <c r="X694" s="18"/>
      <c r="Y694" s="18"/>
      <c r="Z694" s="17">
        <f>IF($N694="","",COUNT($N694:$S694))</f>
        <v/>
      </c>
      <c r="AA694" s="19">
        <f>IF($Z694="","",INT(INDEX($N694:$S694,$Z694)))</f>
        <v/>
      </c>
      <c r="AB694" s="19">
        <f>IF(OR($Z694="",$Z694=6),"",WORKDAY($AA694,CHOOSE($Z694,3,3,2,2,3),Holidays))</f>
        <v/>
      </c>
      <c r="AC694" s="17">
        <f>IF(OR($Z694="",$Z694=6),"",CHOOSE($Z694,"1st Email Follow-up","2nd Email Follow-up","Escalate Local Office","Escalate to CBE","Escalate to Roxanne"))</f>
        <v/>
      </c>
    </row>
    <row r="695" spans="13:29">
      <c r="M695" s="14"/>
      <c r="T695" s="16"/>
      <c r="U695" s="17">
        <f>IF(AND(COUNTA($A695:$L695)=0,$N695=""),"",IF($T695="Paid","PAID",IF($T695="Closed","CLOSED",IF($Z695="","",IF($Z695=6,"ESCALATED TO ROXANNE",IF(TODAY()&gt;$AB695,"OVERDUE",IF($AB695&lt;=WORKDAY(TODAY(),1,Holidays),"DUE TOMORROW",IF($Z695=4,"ESCALATED TO LOCAL OFFICE",IF($Z695=5,"ESCALATED TO CBE",IF($AA695=TODAY(),"EMAIL SENT","MONITORING"))))))))))</f>
        <v/>
      </c>
      <c r="V695" s="17">
        <f>IF($U695="",IF(AND(COUNTA($A695:$L695)&gt;0,$N695=""),"Awaiting Collection Email time stamp.",""),IF(OR($U695="PAID",$U695="CLOSED"),IF($U695="PAID","Account paid. Action completed.","Account closed. No further action required."),CHOOSE($Z695,"Collection Email","1st Email Follow-up","2nd Email Follow-up","Escalation to Local Office","Escalation to CBE","Escalation to Roxanne")&amp;" sent "&amp;TEXT($AA695,"dd-mmm")&amp;". "&amp;IF($Z695=6,"Final escalation completed.",IF($U695="OVERDUE","Next: "&amp;$AC695&amp;" was due "&amp;TEXT($AB695,"dd-mmm")&amp;" - "&amp;(NETWORKDAYS($AB695,TODAY(),Holidays)-1)&amp;" business day(s) late. Send now.",IF($U695="DUE TOMORROW","Next: "&amp;$AC695&amp;IF($AB695&lt;=TODAY()," is due TODAY ("," is due next business day (")&amp;TEXT($AB695,"dd-mmm")&amp;").","Next: "&amp;$AC695&amp;" due "&amp;TEXT($AB695,"dd-mmm")&amp;" ("&amp;(NETWORKDAYS(TODAY(),$AB695,Holidays)-1)&amp;" business day(s) left).")))))</f>
        <v/>
      </c>
      <c r="W695" s="17">
        <f>IF($Z695="","",CHOOSE($Z695,"Collection Email","1st Follow-up","2nd Follow-up","Local Office","CBE","Roxanne")&amp;IF($Z695=6," - Final"," - Day "&amp;MAX(0,NETWORKDAYS($AA695,TODAY(),Holidays)-1)&amp;" of "&amp;CHOOSE($Z695,3,3,2,2,3))&amp;" | Total Day "&amp;MAX(0,NETWORKDAYS($N695,TODAY(),Holidays)-1))</f>
        <v/>
      </c>
      <c r="X695" s="18"/>
      <c r="Y695" s="18"/>
      <c r="Z695" s="17">
        <f>IF($N695="","",COUNT($N695:$S695))</f>
        <v/>
      </c>
      <c r="AA695" s="19">
        <f>IF($Z695="","",INT(INDEX($N695:$S695,$Z695)))</f>
        <v/>
      </c>
      <c r="AB695" s="19">
        <f>IF(OR($Z695="",$Z695=6),"",WORKDAY($AA695,CHOOSE($Z695,3,3,2,2,3),Holidays))</f>
        <v/>
      </c>
      <c r="AC695" s="17">
        <f>IF(OR($Z695="",$Z695=6),"",CHOOSE($Z695,"1st Email Follow-up","2nd Email Follow-up","Escalate Local Office","Escalate to CBE","Escalate to Roxanne"))</f>
        <v/>
      </c>
    </row>
    <row r="696" spans="13:29">
      <c r="M696" s="14"/>
      <c r="T696" s="16"/>
      <c r="U696" s="17">
        <f>IF(AND(COUNTA($A696:$L696)=0,$N696=""),"",IF($T696="Paid","PAID",IF($T696="Closed","CLOSED",IF($Z696="","",IF($Z696=6,"ESCALATED TO ROXANNE",IF(TODAY()&gt;$AB696,"OVERDUE",IF($AB696&lt;=WORKDAY(TODAY(),1,Holidays),"DUE TOMORROW",IF($Z696=4,"ESCALATED TO LOCAL OFFICE",IF($Z696=5,"ESCALATED TO CBE",IF($AA696=TODAY(),"EMAIL SENT","MONITORING"))))))))))</f>
        <v/>
      </c>
      <c r="V696" s="17">
        <f>IF($U696="",IF(AND(COUNTA($A696:$L696)&gt;0,$N696=""),"Awaiting Collection Email time stamp.",""),IF(OR($U696="PAID",$U696="CLOSED"),IF($U696="PAID","Account paid. Action completed.","Account closed. No further action required."),CHOOSE($Z696,"Collection Email","1st Email Follow-up","2nd Email Follow-up","Escalation to Local Office","Escalation to CBE","Escalation to Roxanne")&amp;" sent "&amp;TEXT($AA696,"dd-mmm")&amp;". "&amp;IF($Z696=6,"Final escalation completed.",IF($U696="OVERDUE","Next: "&amp;$AC696&amp;" was due "&amp;TEXT($AB696,"dd-mmm")&amp;" - "&amp;(NETWORKDAYS($AB696,TODAY(),Holidays)-1)&amp;" business day(s) late. Send now.",IF($U696="DUE TOMORROW","Next: "&amp;$AC696&amp;IF($AB696&lt;=TODAY()," is due TODAY ("," is due next business day (")&amp;TEXT($AB696,"dd-mmm")&amp;").","Next: "&amp;$AC696&amp;" due "&amp;TEXT($AB696,"dd-mmm")&amp;" ("&amp;(NETWORKDAYS(TODAY(),$AB696,Holidays)-1)&amp;" business day(s) left).")))))</f>
        <v/>
      </c>
      <c r="W696" s="17">
        <f>IF($Z696="","",CHOOSE($Z696,"Collection Email","1st Follow-up","2nd Follow-up","Local Office","CBE","Roxanne")&amp;IF($Z696=6," - Final"," - Day "&amp;MAX(0,NETWORKDAYS($AA696,TODAY(),Holidays)-1)&amp;" of "&amp;CHOOSE($Z696,3,3,2,2,3))&amp;" | Total Day "&amp;MAX(0,NETWORKDAYS($N696,TODAY(),Holidays)-1))</f>
        <v/>
      </c>
      <c r="X696" s="18"/>
      <c r="Y696" s="18"/>
      <c r="Z696" s="17">
        <f>IF($N696="","",COUNT($N696:$S696))</f>
        <v/>
      </c>
      <c r="AA696" s="19">
        <f>IF($Z696="","",INT(INDEX($N696:$S696,$Z696)))</f>
        <v/>
      </c>
      <c r="AB696" s="19">
        <f>IF(OR($Z696="",$Z696=6),"",WORKDAY($AA696,CHOOSE($Z696,3,3,2,2,3),Holidays))</f>
        <v/>
      </c>
      <c r="AC696" s="17">
        <f>IF(OR($Z696="",$Z696=6),"",CHOOSE($Z696,"1st Email Follow-up","2nd Email Follow-up","Escalate Local Office","Escalate to CBE","Escalate to Roxanne"))</f>
        <v/>
      </c>
    </row>
    <row r="697" spans="13:29">
      <c r="M697" s="14"/>
      <c r="T697" s="16"/>
      <c r="U697" s="17">
        <f>IF(AND(COUNTA($A697:$L697)=0,$N697=""),"",IF($T697="Paid","PAID",IF($T697="Closed","CLOSED",IF($Z697="","",IF($Z697=6,"ESCALATED TO ROXANNE",IF(TODAY()&gt;$AB697,"OVERDUE",IF($AB697&lt;=WORKDAY(TODAY(),1,Holidays),"DUE TOMORROW",IF($Z697=4,"ESCALATED TO LOCAL OFFICE",IF($Z697=5,"ESCALATED TO CBE",IF($AA697=TODAY(),"EMAIL SENT","MONITORING"))))))))))</f>
        <v/>
      </c>
      <c r="V697" s="17">
        <f>IF($U697="",IF(AND(COUNTA($A697:$L697)&gt;0,$N697=""),"Awaiting Collection Email time stamp.",""),IF(OR($U697="PAID",$U697="CLOSED"),IF($U697="PAID","Account paid. Action completed.","Account closed. No further action required."),CHOOSE($Z697,"Collection Email","1st Email Follow-up","2nd Email Follow-up","Escalation to Local Office","Escalation to CBE","Escalation to Roxanne")&amp;" sent "&amp;TEXT($AA697,"dd-mmm")&amp;". "&amp;IF($Z697=6,"Final escalation completed.",IF($U697="OVERDUE","Next: "&amp;$AC697&amp;" was due "&amp;TEXT($AB697,"dd-mmm")&amp;" - "&amp;(NETWORKDAYS($AB697,TODAY(),Holidays)-1)&amp;" business day(s) late. Send now.",IF($U697="DUE TOMORROW","Next: "&amp;$AC697&amp;IF($AB697&lt;=TODAY()," is due TODAY ("," is due next business day (")&amp;TEXT($AB697,"dd-mmm")&amp;").","Next: "&amp;$AC697&amp;" due "&amp;TEXT($AB697,"dd-mmm")&amp;" ("&amp;(NETWORKDAYS(TODAY(),$AB697,Holidays)-1)&amp;" business day(s) left).")))))</f>
        <v/>
      </c>
      <c r="W697" s="17">
        <f>IF($Z697="","",CHOOSE($Z697,"Collection Email","1st Follow-up","2nd Follow-up","Local Office","CBE","Roxanne")&amp;IF($Z697=6," - Final"," - Day "&amp;MAX(0,NETWORKDAYS($AA697,TODAY(),Holidays)-1)&amp;" of "&amp;CHOOSE($Z697,3,3,2,2,3))&amp;" | Total Day "&amp;MAX(0,NETWORKDAYS($N697,TODAY(),Holidays)-1))</f>
        <v/>
      </c>
      <c r="X697" s="18"/>
      <c r="Y697" s="18"/>
      <c r="Z697" s="17">
        <f>IF($N697="","",COUNT($N697:$S697))</f>
        <v/>
      </c>
      <c r="AA697" s="19">
        <f>IF($Z697="","",INT(INDEX($N697:$S697,$Z697)))</f>
        <v/>
      </c>
      <c r="AB697" s="19">
        <f>IF(OR($Z697="",$Z697=6),"",WORKDAY($AA697,CHOOSE($Z697,3,3,2,2,3),Holidays))</f>
        <v/>
      </c>
      <c r="AC697" s="17">
        <f>IF(OR($Z697="",$Z697=6),"",CHOOSE($Z697,"1st Email Follow-up","2nd Email Follow-up","Escalate Local Office","Escalate to CBE","Escalate to Roxanne"))</f>
        <v/>
      </c>
    </row>
    <row r="698" spans="13:29">
      <c r="M698" s="14"/>
      <c r="T698" s="16"/>
      <c r="U698" s="17">
        <f>IF(AND(COUNTA($A698:$L698)=0,$N698=""),"",IF($T698="Paid","PAID",IF($T698="Closed","CLOSED",IF($Z698="","",IF($Z698=6,"ESCALATED TO ROXANNE",IF(TODAY()&gt;$AB698,"OVERDUE",IF($AB698&lt;=WORKDAY(TODAY(),1,Holidays),"DUE TOMORROW",IF($Z698=4,"ESCALATED TO LOCAL OFFICE",IF($Z698=5,"ESCALATED TO CBE",IF($AA698=TODAY(),"EMAIL SENT","MONITORING"))))))))))</f>
        <v/>
      </c>
      <c r="V698" s="17">
        <f>IF($U698="",IF(AND(COUNTA($A698:$L698)&gt;0,$N698=""),"Awaiting Collection Email time stamp.",""),IF(OR($U698="PAID",$U698="CLOSED"),IF($U698="PAID","Account paid. Action completed.","Account closed. No further action required."),CHOOSE($Z698,"Collection Email","1st Email Follow-up","2nd Email Follow-up","Escalation to Local Office","Escalation to CBE","Escalation to Roxanne")&amp;" sent "&amp;TEXT($AA698,"dd-mmm")&amp;". "&amp;IF($Z698=6,"Final escalation completed.",IF($U698="OVERDUE","Next: "&amp;$AC698&amp;" was due "&amp;TEXT($AB698,"dd-mmm")&amp;" - "&amp;(NETWORKDAYS($AB698,TODAY(),Holidays)-1)&amp;" business day(s) late. Send now.",IF($U698="DUE TOMORROW","Next: "&amp;$AC698&amp;IF($AB698&lt;=TODAY()," is due TODAY ("," is due next business day (")&amp;TEXT($AB698,"dd-mmm")&amp;").","Next: "&amp;$AC698&amp;" due "&amp;TEXT($AB698,"dd-mmm")&amp;" ("&amp;(NETWORKDAYS(TODAY(),$AB698,Holidays)-1)&amp;" business day(s) left).")))))</f>
        <v/>
      </c>
      <c r="W698" s="17">
        <f>IF($Z698="","",CHOOSE($Z698,"Collection Email","1st Follow-up","2nd Follow-up","Local Office","CBE","Roxanne")&amp;IF($Z698=6," - Final"," - Day "&amp;MAX(0,NETWORKDAYS($AA698,TODAY(),Holidays)-1)&amp;" of "&amp;CHOOSE($Z698,3,3,2,2,3))&amp;" | Total Day "&amp;MAX(0,NETWORKDAYS($N698,TODAY(),Holidays)-1))</f>
        <v/>
      </c>
      <c r="X698" s="18"/>
      <c r="Y698" s="18"/>
      <c r="Z698" s="17">
        <f>IF($N698="","",COUNT($N698:$S698))</f>
        <v/>
      </c>
      <c r="AA698" s="19">
        <f>IF($Z698="","",INT(INDEX($N698:$S698,$Z698)))</f>
        <v/>
      </c>
      <c r="AB698" s="19">
        <f>IF(OR($Z698="",$Z698=6),"",WORKDAY($AA698,CHOOSE($Z698,3,3,2,2,3),Holidays))</f>
        <v/>
      </c>
      <c r="AC698" s="17">
        <f>IF(OR($Z698="",$Z698=6),"",CHOOSE($Z698,"1st Email Follow-up","2nd Email Follow-up","Escalate Local Office","Escalate to CBE","Escalate to Roxanne"))</f>
        <v/>
      </c>
    </row>
    <row r="699" spans="13:29">
      <c r="M699" s="14"/>
      <c r="T699" s="16"/>
      <c r="U699" s="17">
        <f>IF(AND(COUNTA($A699:$L699)=0,$N699=""),"",IF($T699="Paid","PAID",IF($T699="Closed","CLOSED",IF($Z699="","",IF($Z699=6,"ESCALATED TO ROXANNE",IF(TODAY()&gt;$AB699,"OVERDUE",IF($AB699&lt;=WORKDAY(TODAY(),1,Holidays),"DUE TOMORROW",IF($Z699=4,"ESCALATED TO LOCAL OFFICE",IF($Z699=5,"ESCALATED TO CBE",IF($AA699=TODAY(),"EMAIL SENT","MONITORING"))))))))))</f>
        <v/>
      </c>
      <c r="V699" s="17">
        <f>IF($U699="",IF(AND(COUNTA($A699:$L699)&gt;0,$N699=""),"Awaiting Collection Email time stamp.",""),IF(OR($U699="PAID",$U699="CLOSED"),IF($U699="PAID","Account paid. Action completed.","Account closed. No further action required."),CHOOSE($Z699,"Collection Email","1st Email Follow-up","2nd Email Follow-up","Escalation to Local Office","Escalation to CBE","Escalation to Roxanne")&amp;" sent "&amp;TEXT($AA699,"dd-mmm")&amp;". "&amp;IF($Z699=6,"Final escalation completed.",IF($U699="OVERDUE","Next: "&amp;$AC699&amp;" was due "&amp;TEXT($AB699,"dd-mmm")&amp;" - "&amp;(NETWORKDAYS($AB699,TODAY(),Holidays)-1)&amp;" business day(s) late. Send now.",IF($U699="DUE TOMORROW","Next: "&amp;$AC699&amp;IF($AB699&lt;=TODAY()," is due TODAY ("," is due next business day (")&amp;TEXT($AB699,"dd-mmm")&amp;").","Next: "&amp;$AC699&amp;" due "&amp;TEXT($AB699,"dd-mmm")&amp;" ("&amp;(NETWORKDAYS(TODAY(),$AB699,Holidays)-1)&amp;" business day(s) left).")))))</f>
        <v/>
      </c>
      <c r="W699" s="17">
        <f>IF($Z699="","",CHOOSE($Z699,"Collection Email","1st Follow-up","2nd Follow-up","Local Office","CBE","Roxanne")&amp;IF($Z699=6," - Final"," - Day "&amp;MAX(0,NETWORKDAYS($AA699,TODAY(),Holidays)-1)&amp;" of "&amp;CHOOSE($Z699,3,3,2,2,3))&amp;" | Total Day "&amp;MAX(0,NETWORKDAYS($N699,TODAY(),Holidays)-1))</f>
        <v/>
      </c>
      <c r="X699" s="18"/>
      <c r="Y699" s="18"/>
      <c r="Z699" s="17">
        <f>IF($N699="","",COUNT($N699:$S699))</f>
        <v/>
      </c>
      <c r="AA699" s="19">
        <f>IF($Z699="","",INT(INDEX($N699:$S699,$Z699)))</f>
        <v/>
      </c>
      <c r="AB699" s="19">
        <f>IF(OR($Z699="",$Z699=6),"",WORKDAY($AA699,CHOOSE($Z699,3,3,2,2,3),Holidays))</f>
        <v/>
      </c>
      <c r="AC699" s="17">
        <f>IF(OR($Z699="",$Z699=6),"",CHOOSE($Z699,"1st Email Follow-up","2nd Email Follow-up","Escalate Local Office","Escalate to CBE","Escalate to Roxanne"))</f>
        <v/>
      </c>
    </row>
    <row r="700" spans="13:29">
      <c r="M700" s="14"/>
      <c r="T700" s="16"/>
      <c r="U700" s="17">
        <f>IF(AND(COUNTA($A700:$L700)=0,$N700=""),"",IF($T700="Paid","PAID",IF($T700="Closed","CLOSED",IF($Z700="","",IF($Z700=6,"ESCALATED TO ROXANNE",IF(TODAY()&gt;$AB700,"OVERDUE",IF($AB700&lt;=WORKDAY(TODAY(),1,Holidays),"DUE TOMORROW",IF($Z700=4,"ESCALATED TO LOCAL OFFICE",IF($Z700=5,"ESCALATED TO CBE",IF($AA700=TODAY(),"EMAIL SENT","MONITORING"))))))))))</f>
        <v/>
      </c>
      <c r="V700" s="17">
        <f>IF($U700="",IF(AND(COUNTA($A700:$L700)&gt;0,$N700=""),"Awaiting Collection Email time stamp.",""),IF(OR($U700="PAID",$U700="CLOSED"),IF($U700="PAID","Account paid. Action completed.","Account closed. No further action required."),CHOOSE($Z700,"Collection Email","1st Email Follow-up","2nd Email Follow-up","Escalation to Local Office","Escalation to CBE","Escalation to Roxanne")&amp;" sent "&amp;TEXT($AA700,"dd-mmm")&amp;". "&amp;IF($Z700=6,"Final escalation completed.",IF($U700="OVERDUE","Next: "&amp;$AC700&amp;" was due "&amp;TEXT($AB700,"dd-mmm")&amp;" - "&amp;(NETWORKDAYS($AB700,TODAY(),Holidays)-1)&amp;" business day(s) late. Send now.",IF($U700="DUE TOMORROW","Next: "&amp;$AC700&amp;IF($AB700&lt;=TODAY()," is due TODAY ("," is due next business day (")&amp;TEXT($AB700,"dd-mmm")&amp;").","Next: "&amp;$AC700&amp;" due "&amp;TEXT($AB700,"dd-mmm")&amp;" ("&amp;(NETWORKDAYS(TODAY(),$AB700,Holidays)-1)&amp;" business day(s) left).")))))</f>
        <v/>
      </c>
      <c r="W700" s="17">
        <f>IF($Z700="","",CHOOSE($Z700,"Collection Email","1st Follow-up","2nd Follow-up","Local Office","CBE","Roxanne")&amp;IF($Z700=6," - Final"," - Day "&amp;MAX(0,NETWORKDAYS($AA700,TODAY(),Holidays)-1)&amp;" of "&amp;CHOOSE($Z700,3,3,2,2,3))&amp;" | Total Day "&amp;MAX(0,NETWORKDAYS($N700,TODAY(),Holidays)-1))</f>
        <v/>
      </c>
      <c r="X700" s="18"/>
      <c r="Y700" s="18"/>
      <c r="Z700" s="17">
        <f>IF($N700="","",COUNT($N700:$S700))</f>
        <v/>
      </c>
      <c r="AA700" s="19">
        <f>IF($Z700="","",INT(INDEX($N700:$S700,$Z700)))</f>
        <v/>
      </c>
      <c r="AB700" s="19">
        <f>IF(OR($Z700="",$Z700=6),"",WORKDAY($AA700,CHOOSE($Z700,3,3,2,2,3),Holidays))</f>
        <v/>
      </c>
      <c r="AC700" s="17">
        <f>IF(OR($Z700="",$Z700=6),"",CHOOSE($Z700,"1st Email Follow-up","2nd Email Follow-up","Escalate Local Office","Escalate to CBE","Escalate to Roxanne"))</f>
        <v/>
      </c>
    </row>
    <row r="701" spans="13:29">
      <c r="M701" s="14"/>
      <c r="T701" s="16"/>
      <c r="U701" s="17">
        <f>IF(AND(COUNTA($A701:$L701)=0,$N701=""),"",IF($T701="Paid","PAID",IF($T701="Closed","CLOSED",IF($Z701="","",IF($Z701=6,"ESCALATED TO ROXANNE",IF(TODAY()&gt;$AB701,"OVERDUE",IF($AB701&lt;=WORKDAY(TODAY(),1,Holidays),"DUE TOMORROW",IF($Z701=4,"ESCALATED TO LOCAL OFFICE",IF($Z701=5,"ESCALATED TO CBE",IF($AA701=TODAY(),"EMAIL SENT","MONITORING"))))))))))</f>
        <v/>
      </c>
      <c r="V701" s="17">
        <f>IF($U701="",IF(AND(COUNTA($A701:$L701)&gt;0,$N701=""),"Awaiting Collection Email time stamp.",""),IF(OR($U701="PAID",$U701="CLOSED"),IF($U701="PAID","Account paid. Action completed.","Account closed. No further action required."),CHOOSE($Z701,"Collection Email","1st Email Follow-up","2nd Email Follow-up","Escalation to Local Office","Escalation to CBE","Escalation to Roxanne")&amp;" sent "&amp;TEXT($AA701,"dd-mmm")&amp;". "&amp;IF($Z701=6,"Final escalation completed.",IF($U701="OVERDUE","Next: "&amp;$AC701&amp;" was due "&amp;TEXT($AB701,"dd-mmm")&amp;" - "&amp;(NETWORKDAYS($AB701,TODAY(),Holidays)-1)&amp;" business day(s) late. Send now.",IF($U701="DUE TOMORROW","Next: "&amp;$AC701&amp;IF($AB701&lt;=TODAY()," is due TODAY ("," is due next business day (")&amp;TEXT($AB701,"dd-mmm")&amp;").","Next: "&amp;$AC701&amp;" due "&amp;TEXT($AB701,"dd-mmm")&amp;" ("&amp;(NETWORKDAYS(TODAY(),$AB701,Holidays)-1)&amp;" business day(s) left).")))))</f>
        <v/>
      </c>
      <c r="W701" s="17">
        <f>IF($Z701="","",CHOOSE($Z701,"Collection Email","1st Follow-up","2nd Follow-up","Local Office","CBE","Roxanne")&amp;IF($Z701=6," - Final"," - Day "&amp;MAX(0,NETWORKDAYS($AA701,TODAY(),Holidays)-1)&amp;" of "&amp;CHOOSE($Z701,3,3,2,2,3))&amp;" | Total Day "&amp;MAX(0,NETWORKDAYS($N701,TODAY(),Holidays)-1))</f>
        <v/>
      </c>
      <c r="X701" s="18"/>
      <c r="Y701" s="18"/>
      <c r="Z701" s="17">
        <f>IF($N701="","",COUNT($N701:$S701))</f>
        <v/>
      </c>
      <c r="AA701" s="19">
        <f>IF($Z701="","",INT(INDEX($N701:$S701,$Z701)))</f>
        <v/>
      </c>
      <c r="AB701" s="19">
        <f>IF(OR($Z701="",$Z701=6),"",WORKDAY($AA701,CHOOSE($Z701,3,3,2,2,3),Holidays))</f>
        <v/>
      </c>
      <c r="AC701" s="17">
        <f>IF(OR($Z701="",$Z701=6),"",CHOOSE($Z701,"1st Email Follow-up","2nd Email Follow-up","Escalate Local Office","Escalate to CBE","Escalate to Roxanne"))</f>
        <v/>
      </c>
    </row>
    <row r="702" spans="13:29">
      <c r="M702" s="14"/>
      <c r="T702" s="16"/>
      <c r="U702" s="17">
        <f>IF(AND(COUNTA($A702:$L702)=0,$N702=""),"",IF($T702="Paid","PAID",IF($T702="Closed","CLOSED",IF($Z702="","",IF($Z702=6,"ESCALATED TO ROXANNE",IF(TODAY()&gt;$AB702,"OVERDUE",IF($AB702&lt;=WORKDAY(TODAY(),1,Holidays),"DUE TOMORROW",IF($Z702=4,"ESCALATED TO LOCAL OFFICE",IF($Z702=5,"ESCALATED TO CBE",IF($AA702=TODAY(),"EMAIL SENT","MONITORING"))))))))))</f>
        <v/>
      </c>
      <c r="V702" s="17">
        <f>IF($U702="",IF(AND(COUNTA($A702:$L702)&gt;0,$N702=""),"Awaiting Collection Email time stamp.",""),IF(OR($U702="PAID",$U702="CLOSED"),IF($U702="PAID","Account paid. Action completed.","Account closed. No further action required."),CHOOSE($Z702,"Collection Email","1st Email Follow-up","2nd Email Follow-up","Escalation to Local Office","Escalation to CBE","Escalation to Roxanne")&amp;" sent "&amp;TEXT($AA702,"dd-mmm")&amp;". "&amp;IF($Z702=6,"Final escalation completed.",IF($U702="OVERDUE","Next: "&amp;$AC702&amp;" was due "&amp;TEXT($AB702,"dd-mmm")&amp;" - "&amp;(NETWORKDAYS($AB702,TODAY(),Holidays)-1)&amp;" business day(s) late. Send now.",IF($U702="DUE TOMORROW","Next: "&amp;$AC702&amp;IF($AB702&lt;=TODAY()," is due TODAY ("," is due next business day (")&amp;TEXT($AB702,"dd-mmm")&amp;").","Next: "&amp;$AC702&amp;" due "&amp;TEXT($AB702,"dd-mmm")&amp;" ("&amp;(NETWORKDAYS(TODAY(),$AB702,Holidays)-1)&amp;" business day(s) left).")))))</f>
        <v/>
      </c>
      <c r="W702" s="17">
        <f>IF($Z702="","",CHOOSE($Z702,"Collection Email","1st Follow-up","2nd Follow-up","Local Office","CBE","Roxanne")&amp;IF($Z702=6," - Final"," - Day "&amp;MAX(0,NETWORKDAYS($AA702,TODAY(),Holidays)-1)&amp;" of "&amp;CHOOSE($Z702,3,3,2,2,3))&amp;" | Total Day "&amp;MAX(0,NETWORKDAYS($N702,TODAY(),Holidays)-1))</f>
        <v/>
      </c>
      <c r="X702" s="18"/>
      <c r="Y702" s="18"/>
      <c r="Z702" s="17">
        <f>IF($N702="","",COUNT($N702:$S702))</f>
        <v/>
      </c>
      <c r="AA702" s="19">
        <f>IF($Z702="","",INT(INDEX($N702:$S702,$Z702)))</f>
        <v/>
      </c>
      <c r="AB702" s="19">
        <f>IF(OR($Z702="",$Z702=6),"",WORKDAY($AA702,CHOOSE($Z702,3,3,2,2,3),Holidays))</f>
        <v/>
      </c>
      <c r="AC702" s="17">
        <f>IF(OR($Z702="",$Z702=6),"",CHOOSE($Z702,"1st Email Follow-up","2nd Email Follow-up","Escalate Local Office","Escalate to CBE","Escalate to Roxanne"))</f>
        <v/>
      </c>
    </row>
    <row r="703" spans="13:29">
      <c r="M703" s="14"/>
      <c r="T703" s="16"/>
      <c r="U703" s="17">
        <f>IF(AND(COUNTA($A703:$L703)=0,$N703=""),"",IF($T703="Paid","PAID",IF($T703="Closed","CLOSED",IF($Z703="","",IF($Z703=6,"ESCALATED TO ROXANNE",IF(TODAY()&gt;$AB703,"OVERDUE",IF($AB703&lt;=WORKDAY(TODAY(),1,Holidays),"DUE TOMORROW",IF($Z703=4,"ESCALATED TO LOCAL OFFICE",IF($Z703=5,"ESCALATED TO CBE",IF($AA703=TODAY(),"EMAIL SENT","MONITORING"))))))))))</f>
        <v/>
      </c>
      <c r="V703" s="17">
        <f>IF($U703="",IF(AND(COUNTA($A703:$L703)&gt;0,$N703=""),"Awaiting Collection Email time stamp.",""),IF(OR($U703="PAID",$U703="CLOSED"),IF($U703="PAID","Account paid. Action completed.","Account closed. No further action required."),CHOOSE($Z703,"Collection Email","1st Email Follow-up","2nd Email Follow-up","Escalation to Local Office","Escalation to CBE","Escalation to Roxanne")&amp;" sent "&amp;TEXT($AA703,"dd-mmm")&amp;". "&amp;IF($Z703=6,"Final escalation completed.",IF($U703="OVERDUE","Next: "&amp;$AC703&amp;" was due "&amp;TEXT($AB703,"dd-mmm")&amp;" - "&amp;(NETWORKDAYS($AB703,TODAY(),Holidays)-1)&amp;" business day(s) late. Send now.",IF($U703="DUE TOMORROW","Next: "&amp;$AC703&amp;IF($AB703&lt;=TODAY()," is due TODAY ("," is due next business day (")&amp;TEXT($AB703,"dd-mmm")&amp;").","Next: "&amp;$AC703&amp;" due "&amp;TEXT($AB703,"dd-mmm")&amp;" ("&amp;(NETWORKDAYS(TODAY(),$AB703,Holidays)-1)&amp;" business day(s) left).")))))</f>
        <v/>
      </c>
      <c r="W703" s="17">
        <f>IF($Z703="","",CHOOSE($Z703,"Collection Email","1st Follow-up","2nd Follow-up","Local Office","CBE","Roxanne")&amp;IF($Z703=6," - Final"," - Day "&amp;MAX(0,NETWORKDAYS($AA703,TODAY(),Holidays)-1)&amp;" of "&amp;CHOOSE($Z703,3,3,2,2,3))&amp;" | Total Day "&amp;MAX(0,NETWORKDAYS($N703,TODAY(),Holidays)-1))</f>
        <v/>
      </c>
      <c r="X703" s="18"/>
      <c r="Y703" s="18"/>
      <c r="Z703" s="17">
        <f>IF($N703="","",COUNT($N703:$S703))</f>
        <v/>
      </c>
      <c r="AA703" s="19">
        <f>IF($Z703="","",INT(INDEX($N703:$S703,$Z703)))</f>
        <v/>
      </c>
      <c r="AB703" s="19">
        <f>IF(OR($Z703="",$Z703=6),"",WORKDAY($AA703,CHOOSE($Z703,3,3,2,2,3),Holidays))</f>
        <v/>
      </c>
      <c r="AC703" s="17">
        <f>IF(OR($Z703="",$Z703=6),"",CHOOSE($Z703,"1st Email Follow-up","2nd Email Follow-up","Escalate Local Office","Escalate to CBE","Escalate to Roxanne"))</f>
        <v/>
      </c>
    </row>
    <row r="704" spans="13:29">
      <c r="M704" s="14"/>
      <c r="T704" s="16"/>
      <c r="U704" s="17">
        <f>IF(AND(COUNTA($A704:$L704)=0,$N704=""),"",IF($T704="Paid","PAID",IF($T704="Closed","CLOSED",IF($Z704="","",IF($Z704=6,"ESCALATED TO ROXANNE",IF(TODAY()&gt;$AB704,"OVERDUE",IF($AB704&lt;=WORKDAY(TODAY(),1,Holidays),"DUE TOMORROW",IF($Z704=4,"ESCALATED TO LOCAL OFFICE",IF($Z704=5,"ESCALATED TO CBE",IF($AA704=TODAY(),"EMAIL SENT","MONITORING"))))))))))</f>
        <v/>
      </c>
      <c r="V704" s="17">
        <f>IF($U704="",IF(AND(COUNTA($A704:$L704)&gt;0,$N704=""),"Awaiting Collection Email time stamp.",""),IF(OR($U704="PAID",$U704="CLOSED"),IF($U704="PAID","Account paid. Action completed.","Account closed. No further action required."),CHOOSE($Z704,"Collection Email","1st Email Follow-up","2nd Email Follow-up","Escalation to Local Office","Escalation to CBE","Escalation to Roxanne")&amp;" sent "&amp;TEXT($AA704,"dd-mmm")&amp;". "&amp;IF($Z704=6,"Final escalation completed.",IF($U704="OVERDUE","Next: "&amp;$AC704&amp;" was due "&amp;TEXT($AB704,"dd-mmm")&amp;" - "&amp;(NETWORKDAYS($AB704,TODAY(),Holidays)-1)&amp;" business day(s) late. Send now.",IF($U704="DUE TOMORROW","Next: "&amp;$AC704&amp;IF($AB704&lt;=TODAY()," is due TODAY ("," is due next business day (")&amp;TEXT($AB704,"dd-mmm")&amp;").","Next: "&amp;$AC704&amp;" due "&amp;TEXT($AB704,"dd-mmm")&amp;" ("&amp;(NETWORKDAYS(TODAY(),$AB704,Holidays)-1)&amp;" business day(s) left).")))))</f>
        <v/>
      </c>
      <c r="W704" s="17">
        <f>IF($Z704="","",CHOOSE($Z704,"Collection Email","1st Follow-up","2nd Follow-up","Local Office","CBE","Roxanne")&amp;IF($Z704=6," - Final"," - Day "&amp;MAX(0,NETWORKDAYS($AA704,TODAY(),Holidays)-1)&amp;" of "&amp;CHOOSE($Z704,3,3,2,2,3))&amp;" | Total Day "&amp;MAX(0,NETWORKDAYS($N704,TODAY(),Holidays)-1))</f>
        <v/>
      </c>
      <c r="X704" s="18"/>
      <c r="Y704" s="18"/>
      <c r="Z704" s="17">
        <f>IF($N704="","",COUNT($N704:$S704))</f>
        <v/>
      </c>
      <c r="AA704" s="19">
        <f>IF($Z704="","",INT(INDEX($N704:$S704,$Z704)))</f>
        <v/>
      </c>
      <c r="AB704" s="19">
        <f>IF(OR($Z704="",$Z704=6),"",WORKDAY($AA704,CHOOSE($Z704,3,3,2,2,3),Holidays))</f>
        <v/>
      </c>
      <c r="AC704" s="17">
        <f>IF(OR($Z704="",$Z704=6),"",CHOOSE($Z704,"1st Email Follow-up","2nd Email Follow-up","Escalate Local Office","Escalate to CBE","Escalate to Roxanne"))</f>
        <v/>
      </c>
    </row>
    <row r="705" spans="13:29">
      <c r="M705" s="14"/>
      <c r="T705" s="16"/>
      <c r="U705" s="17">
        <f>IF(AND(COUNTA($A705:$L705)=0,$N705=""),"",IF($T705="Paid","PAID",IF($T705="Closed","CLOSED",IF($Z705="","",IF($Z705=6,"ESCALATED TO ROXANNE",IF(TODAY()&gt;$AB705,"OVERDUE",IF($AB705&lt;=WORKDAY(TODAY(),1,Holidays),"DUE TOMORROW",IF($Z705=4,"ESCALATED TO LOCAL OFFICE",IF($Z705=5,"ESCALATED TO CBE",IF($AA705=TODAY(),"EMAIL SENT","MONITORING"))))))))))</f>
        <v/>
      </c>
      <c r="V705" s="17">
        <f>IF($U705="",IF(AND(COUNTA($A705:$L705)&gt;0,$N705=""),"Awaiting Collection Email time stamp.",""),IF(OR($U705="PAID",$U705="CLOSED"),IF($U705="PAID","Account paid. Action completed.","Account closed. No further action required."),CHOOSE($Z705,"Collection Email","1st Email Follow-up","2nd Email Follow-up","Escalation to Local Office","Escalation to CBE","Escalation to Roxanne")&amp;" sent "&amp;TEXT($AA705,"dd-mmm")&amp;". "&amp;IF($Z705=6,"Final escalation completed.",IF($U705="OVERDUE","Next: "&amp;$AC705&amp;" was due "&amp;TEXT($AB705,"dd-mmm")&amp;" - "&amp;(NETWORKDAYS($AB705,TODAY(),Holidays)-1)&amp;" business day(s) late. Send now.",IF($U705="DUE TOMORROW","Next: "&amp;$AC705&amp;IF($AB705&lt;=TODAY()," is due TODAY ("," is due next business day (")&amp;TEXT($AB705,"dd-mmm")&amp;").","Next: "&amp;$AC705&amp;" due "&amp;TEXT($AB705,"dd-mmm")&amp;" ("&amp;(NETWORKDAYS(TODAY(),$AB705,Holidays)-1)&amp;" business day(s) left).")))))</f>
        <v/>
      </c>
      <c r="W705" s="17">
        <f>IF($Z705="","",CHOOSE($Z705,"Collection Email","1st Follow-up","2nd Follow-up","Local Office","CBE","Roxanne")&amp;IF($Z705=6," - Final"," - Day "&amp;MAX(0,NETWORKDAYS($AA705,TODAY(),Holidays)-1)&amp;" of "&amp;CHOOSE($Z705,3,3,2,2,3))&amp;" | Total Day "&amp;MAX(0,NETWORKDAYS($N705,TODAY(),Holidays)-1))</f>
        <v/>
      </c>
      <c r="X705" s="18"/>
      <c r="Y705" s="18"/>
      <c r="Z705" s="17">
        <f>IF($N705="","",COUNT($N705:$S705))</f>
        <v/>
      </c>
      <c r="AA705" s="19">
        <f>IF($Z705="","",INT(INDEX($N705:$S705,$Z705)))</f>
        <v/>
      </c>
      <c r="AB705" s="19">
        <f>IF(OR($Z705="",$Z705=6),"",WORKDAY($AA705,CHOOSE($Z705,3,3,2,2,3),Holidays))</f>
        <v/>
      </c>
      <c r="AC705" s="17">
        <f>IF(OR($Z705="",$Z705=6),"",CHOOSE($Z705,"1st Email Follow-up","2nd Email Follow-up","Escalate Local Office","Escalate to CBE","Escalate to Roxanne"))</f>
        <v/>
      </c>
    </row>
    <row r="706" spans="13:29">
      <c r="M706" s="14"/>
      <c r="T706" s="16"/>
      <c r="U706" s="17">
        <f>IF(AND(COUNTA($A706:$L706)=0,$N706=""),"",IF($T706="Paid","PAID",IF($T706="Closed","CLOSED",IF($Z706="","",IF($Z706=6,"ESCALATED TO ROXANNE",IF(TODAY()&gt;$AB706,"OVERDUE",IF($AB706&lt;=WORKDAY(TODAY(),1,Holidays),"DUE TOMORROW",IF($Z706=4,"ESCALATED TO LOCAL OFFICE",IF($Z706=5,"ESCALATED TO CBE",IF($AA706=TODAY(),"EMAIL SENT","MONITORING"))))))))))</f>
        <v/>
      </c>
      <c r="V706" s="17">
        <f>IF($U706="",IF(AND(COUNTA($A706:$L706)&gt;0,$N706=""),"Awaiting Collection Email time stamp.",""),IF(OR($U706="PAID",$U706="CLOSED"),IF($U706="PAID","Account paid. Action completed.","Account closed. No further action required."),CHOOSE($Z706,"Collection Email","1st Email Follow-up","2nd Email Follow-up","Escalation to Local Office","Escalation to CBE","Escalation to Roxanne")&amp;" sent "&amp;TEXT($AA706,"dd-mmm")&amp;". "&amp;IF($Z706=6,"Final escalation completed.",IF($U706="OVERDUE","Next: "&amp;$AC706&amp;" was due "&amp;TEXT($AB706,"dd-mmm")&amp;" - "&amp;(NETWORKDAYS($AB706,TODAY(),Holidays)-1)&amp;" business day(s) late. Send now.",IF($U706="DUE TOMORROW","Next: "&amp;$AC706&amp;IF($AB706&lt;=TODAY()," is due TODAY ("," is due next business day (")&amp;TEXT($AB706,"dd-mmm")&amp;").","Next: "&amp;$AC706&amp;" due "&amp;TEXT($AB706,"dd-mmm")&amp;" ("&amp;(NETWORKDAYS(TODAY(),$AB706,Holidays)-1)&amp;" business day(s) left).")))))</f>
        <v/>
      </c>
      <c r="W706" s="17">
        <f>IF($Z706="","",CHOOSE($Z706,"Collection Email","1st Follow-up","2nd Follow-up","Local Office","CBE","Roxanne")&amp;IF($Z706=6," - Final"," - Day "&amp;MAX(0,NETWORKDAYS($AA706,TODAY(),Holidays)-1)&amp;" of "&amp;CHOOSE($Z706,3,3,2,2,3))&amp;" | Total Day "&amp;MAX(0,NETWORKDAYS($N706,TODAY(),Holidays)-1))</f>
        <v/>
      </c>
      <c r="X706" s="18"/>
      <c r="Y706" s="18"/>
      <c r="Z706" s="17">
        <f>IF($N706="","",COUNT($N706:$S706))</f>
        <v/>
      </c>
      <c r="AA706" s="19">
        <f>IF($Z706="","",INT(INDEX($N706:$S706,$Z706)))</f>
        <v/>
      </c>
      <c r="AB706" s="19">
        <f>IF(OR($Z706="",$Z706=6),"",WORKDAY($AA706,CHOOSE($Z706,3,3,2,2,3),Holidays))</f>
        <v/>
      </c>
      <c r="AC706" s="17">
        <f>IF(OR($Z706="",$Z706=6),"",CHOOSE($Z706,"1st Email Follow-up","2nd Email Follow-up","Escalate Local Office","Escalate to CBE","Escalate to Roxanne"))</f>
        <v/>
      </c>
    </row>
    <row r="707" spans="13:29">
      <c r="M707" s="14"/>
      <c r="T707" s="16"/>
      <c r="U707" s="17">
        <f>IF(AND(COUNTA($A707:$L707)=0,$N707=""),"",IF($T707="Paid","PAID",IF($T707="Closed","CLOSED",IF($Z707="","",IF($Z707=6,"ESCALATED TO ROXANNE",IF(TODAY()&gt;$AB707,"OVERDUE",IF($AB707&lt;=WORKDAY(TODAY(),1,Holidays),"DUE TOMORROW",IF($Z707=4,"ESCALATED TO LOCAL OFFICE",IF($Z707=5,"ESCALATED TO CBE",IF($AA707=TODAY(),"EMAIL SENT","MONITORING"))))))))))</f>
        <v/>
      </c>
      <c r="V707" s="17">
        <f>IF($U707="",IF(AND(COUNTA($A707:$L707)&gt;0,$N707=""),"Awaiting Collection Email time stamp.",""),IF(OR($U707="PAID",$U707="CLOSED"),IF($U707="PAID","Account paid. Action completed.","Account closed. No further action required."),CHOOSE($Z707,"Collection Email","1st Email Follow-up","2nd Email Follow-up","Escalation to Local Office","Escalation to CBE","Escalation to Roxanne")&amp;" sent "&amp;TEXT($AA707,"dd-mmm")&amp;". "&amp;IF($Z707=6,"Final escalation completed.",IF($U707="OVERDUE","Next: "&amp;$AC707&amp;" was due "&amp;TEXT($AB707,"dd-mmm")&amp;" - "&amp;(NETWORKDAYS($AB707,TODAY(),Holidays)-1)&amp;" business day(s) late. Send now.",IF($U707="DUE TOMORROW","Next: "&amp;$AC707&amp;IF($AB707&lt;=TODAY()," is due TODAY ("," is due next business day (")&amp;TEXT($AB707,"dd-mmm")&amp;").","Next: "&amp;$AC707&amp;" due "&amp;TEXT($AB707,"dd-mmm")&amp;" ("&amp;(NETWORKDAYS(TODAY(),$AB707,Holidays)-1)&amp;" business day(s) left).")))))</f>
        <v/>
      </c>
      <c r="W707" s="17">
        <f>IF($Z707="","",CHOOSE($Z707,"Collection Email","1st Follow-up","2nd Follow-up","Local Office","CBE","Roxanne")&amp;IF($Z707=6," - Final"," - Day "&amp;MAX(0,NETWORKDAYS($AA707,TODAY(),Holidays)-1)&amp;" of "&amp;CHOOSE($Z707,3,3,2,2,3))&amp;" | Total Day "&amp;MAX(0,NETWORKDAYS($N707,TODAY(),Holidays)-1))</f>
        <v/>
      </c>
      <c r="X707" s="18"/>
      <c r="Y707" s="18"/>
      <c r="Z707" s="17">
        <f>IF($N707="","",COUNT($N707:$S707))</f>
        <v/>
      </c>
      <c r="AA707" s="19">
        <f>IF($Z707="","",INT(INDEX($N707:$S707,$Z707)))</f>
        <v/>
      </c>
      <c r="AB707" s="19">
        <f>IF(OR($Z707="",$Z707=6),"",WORKDAY($AA707,CHOOSE($Z707,3,3,2,2,3),Holidays))</f>
        <v/>
      </c>
      <c r="AC707" s="17">
        <f>IF(OR($Z707="",$Z707=6),"",CHOOSE($Z707,"1st Email Follow-up","2nd Email Follow-up","Escalate Local Office","Escalate to CBE","Escalate to Roxanne"))</f>
        <v/>
      </c>
    </row>
    <row r="708" spans="13:29">
      <c r="M708" s="14"/>
      <c r="T708" s="16"/>
      <c r="U708" s="17">
        <f>IF(AND(COUNTA($A708:$L708)=0,$N708=""),"",IF($T708="Paid","PAID",IF($T708="Closed","CLOSED",IF($Z708="","",IF($Z708=6,"ESCALATED TO ROXANNE",IF(TODAY()&gt;$AB708,"OVERDUE",IF($AB708&lt;=WORKDAY(TODAY(),1,Holidays),"DUE TOMORROW",IF($Z708=4,"ESCALATED TO LOCAL OFFICE",IF($Z708=5,"ESCALATED TO CBE",IF($AA708=TODAY(),"EMAIL SENT","MONITORING"))))))))))</f>
        <v/>
      </c>
      <c r="V708" s="17">
        <f>IF($U708="",IF(AND(COUNTA($A708:$L708)&gt;0,$N708=""),"Awaiting Collection Email time stamp.",""),IF(OR($U708="PAID",$U708="CLOSED"),IF($U708="PAID","Account paid. Action completed.","Account closed. No further action required."),CHOOSE($Z708,"Collection Email","1st Email Follow-up","2nd Email Follow-up","Escalation to Local Office","Escalation to CBE","Escalation to Roxanne")&amp;" sent "&amp;TEXT($AA708,"dd-mmm")&amp;". "&amp;IF($Z708=6,"Final escalation completed.",IF($U708="OVERDUE","Next: "&amp;$AC708&amp;" was due "&amp;TEXT($AB708,"dd-mmm")&amp;" - "&amp;(NETWORKDAYS($AB708,TODAY(),Holidays)-1)&amp;" business day(s) late. Send now.",IF($U708="DUE TOMORROW","Next: "&amp;$AC708&amp;IF($AB708&lt;=TODAY()," is due TODAY ("," is due next business day (")&amp;TEXT($AB708,"dd-mmm")&amp;").","Next: "&amp;$AC708&amp;" due "&amp;TEXT($AB708,"dd-mmm")&amp;" ("&amp;(NETWORKDAYS(TODAY(),$AB708,Holidays)-1)&amp;" business day(s) left).")))))</f>
        <v/>
      </c>
      <c r="W708" s="17">
        <f>IF($Z708="","",CHOOSE($Z708,"Collection Email","1st Follow-up","2nd Follow-up","Local Office","CBE","Roxanne")&amp;IF($Z708=6," - Final"," - Day "&amp;MAX(0,NETWORKDAYS($AA708,TODAY(),Holidays)-1)&amp;" of "&amp;CHOOSE($Z708,3,3,2,2,3))&amp;" | Total Day "&amp;MAX(0,NETWORKDAYS($N708,TODAY(),Holidays)-1))</f>
        <v/>
      </c>
      <c r="X708" s="18"/>
      <c r="Y708" s="18"/>
      <c r="Z708" s="17">
        <f>IF($N708="","",COUNT($N708:$S708))</f>
        <v/>
      </c>
      <c r="AA708" s="19">
        <f>IF($Z708="","",INT(INDEX($N708:$S708,$Z708)))</f>
        <v/>
      </c>
      <c r="AB708" s="19">
        <f>IF(OR($Z708="",$Z708=6),"",WORKDAY($AA708,CHOOSE($Z708,3,3,2,2,3),Holidays))</f>
        <v/>
      </c>
      <c r="AC708" s="17">
        <f>IF(OR($Z708="",$Z708=6),"",CHOOSE($Z708,"1st Email Follow-up","2nd Email Follow-up","Escalate Local Office","Escalate to CBE","Escalate to Roxanne"))</f>
        <v/>
      </c>
    </row>
    <row r="709" spans="13:29">
      <c r="M709" s="14"/>
      <c r="T709" s="16"/>
      <c r="U709" s="17">
        <f>IF(AND(COUNTA($A709:$L709)=0,$N709=""),"",IF($T709="Paid","PAID",IF($T709="Closed","CLOSED",IF($Z709="","",IF($Z709=6,"ESCALATED TO ROXANNE",IF(TODAY()&gt;$AB709,"OVERDUE",IF($AB709&lt;=WORKDAY(TODAY(),1,Holidays),"DUE TOMORROW",IF($Z709=4,"ESCALATED TO LOCAL OFFICE",IF($Z709=5,"ESCALATED TO CBE",IF($AA709=TODAY(),"EMAIL SENT","MONITORING"))))))))))</f>
        <v/>
      </c>
      <c r="V709" s="17">
        <f>IF($U709="",IF(AND(COUNTA($A709:$L709)&gt;0,$N709=""),"Awaiting Collection Email time stamp.",""),IF(OR($U709="PAID",$U709="CLOSED"),IF($U709="PAID","Account paid. Action completed.","Account closed. No further action required."),CHOOSE($Z709,"Collection Email","1st Email Follow-up","2nd Email Follow-up","Escalation to Local Office","Escalation to CBE","Escalation to Roxanne")&amp;" sent "&amp;TEXT($AA709,"dd-mmm")&amp;". "&amp;IF($Z709=6,"Final escalation completed.",IF($U709="OVERDUE","Next: "&amp;$AC709&amp;" was due "&amp;TEXT($AB709,"dd-mmm")&amp;" - "&amp;(NETWORKDAYS($AB709,TODAY(),Holidays)-1)&amp;" business day(s) late. Send now.",IF($U709="DUE TOMORROW","Next: "&amp;$AC709&amp;IF($AB709&lt;=TODAY()," is due TODAY ("," is due next business day (")&amp;TEXT($AB709,"dd-mmm")&amp;").","Next: "&amp;$AC709&amp;" due "&amp;TEXT($AB709,"dd-mmm")&amp;" ("&amp;(NETWORKDAYS(TODAY(),$AB709,Holidays)-1)&amp;" business day(s) left).")))))</f>
        <v/>
      </c>
      <c r="W709" s="17">
        <f>IF($Z709="","",CHOOSE($Z709,"Collection Email","1st Follow-up","2nd Follow-up","Local Office","CBE","Roxanne")&amp;IF($Z709=6," - Final"," - Day "&amp;MAX(0,NETWORKDAYS($AA709,TODAY(),Holidays)-1)&amp;" of "&amp;CHOOSE($Z709,3,3,2,2,3))&amp;" | Total Day "&amp;MAX(0,NETWORKDAYS($N709,TODAY(),Holidays)-1))</f>
        <v/>
      </c>
      <c r="X709" s="18"/>
      <c r="Y709" s="18"/>
      <c r="Z709" s="17">
        <f>IF($N709="","",COUNT($N709:$S709))</f>
        <v/>
      </c>
      <c r="AA709" s="19">
        <f>IF($Z709="","",INT(INDEX($N709:$S709,$Z709)))</f>
        <v/>
      </c>
      <c r="AB709" s="19">
        <f>IF(OR($Z709="",$Z709=6),"",WORKDAY($AA709,CHOOSE($Z709,3,3,2,2,3),Holidays))</f>
        <v/>
      </c>
      <c r="AC709" s="17">
        <f>IF(OR($Z709="",$Z709=6),"",CHOOSE($Z709,"1st Email Follow-up","2nd Email Follow-up","Escalate Local Office","Escalate to CBE","Escalate to Roxanne"))</f>
        <v/>
      </c>
    </row>
    <row r="710" spans="13:29">
      <c r="M710" s="14"/>
      <c r="T710" s="16"/>
      <c r="U710" s="17">
        <f>IF(AND(COUNTA($A710:$L710)=0,$N710=""),"",IF($T710="Paid","PAID",IF($T710="Closed","CLOSED",IF($Z710="","",IF($Z710=6,"ESCALATED TO ROXANNE",IF(TODAY()&gt;$AB710,"OVERDUE",IF($AB710&lt;=WORKDAY(TODAY(),1,Holidays),"DUE TOMORROW",IF($Z710=4,"ESCALATED TO LOCAL OFFICE",IF($Z710=5,"ESCALATED TO CBE",IF($AA710=TODAY(),"EMAIL SENT","MONITORING"))))))))))</f>
        <v/>
      </c>
      <c r="V710" s="17">
        <f>IF($U710="",IF(AND(COUNTA($A710:$L710)&gt;0,$N710=""),"Awaiting Collection Email time stamp.",""),IF(OR($U710="PAID",$U710="CLOSED"),IF($U710="PAID","Account paid. Action completed.","Account closed. No further action required."),CHOOSE($Z710,"Collection Email","1st Email Follow-up","2nd Email Follow-up","Escalation to Local Office","Escalation to CBE","Escalation to Roxanne")&amp;" sent "&amp;TEXT($AA710,"dd-mmm")&amp;". "&amp;IF($Z710=6,"Final escalation completed.",IF($U710="OVERDUE","Next: "&amp;$AC710&amp;" was due "&amp;TEXT($AB710,"dd-mmm")&amp;" - "&amp;(NETWORKDAYS($AB710,TODAY(),Holidays)-1)&amp;" business day(s) late. Send now.",IF($U710="DUE TOMORROW","Next: "&amp;$AC710&amp;IF($AB710&lt;=TODAY()," is due TODAY ("," is due next business day (")&amp;TEXT($AB710,"dd-mmm")&amp;").","Next: "&amp;$AC710&amp;" due "&amp;TEXT($AB710,"dd-mmm")&amp;" ("&amp;(NETWORKDAYS(TODAY(),$AB710,Holidays)-1)&amp;" business day(s) left).")))))</f>
        <v/>
      </c>
      <c r="W710" s="17">
        <f>IF($Z710="","",CHOOSE($Z710,"Collection Email","1st Follow-up","2nd Follow-up","Local Office","CBE","Roxanne")&amp;IF($Z710=6," - Final"," - Day "&amp;MAX(0,NETWORKDAYS($AA710,TODAY(),Holidays)-1)&amp;" of "&amp;CHOOSE($Z710,3,3,2,2,3))&amp;" | Total Day "&amp;MAX(0,NETWORKDAYS($N710,TODAY(),Holidays)-1))</f>
        <v/>
      </c>
      <c r="X710" s="18"/>
      <c r="Y710" s="18"/>
      <c r="Z710" s="17">
        <f>IF($N710="","",COUNT($N710:$S710))</f>
        <v/>
      </c>
      <c r="AA710" s="19">
        <f>IF($Z710="","",INT(INDEX($N710:$S710,$Z710)))</f>
        <v/>
      </c>
      <c r="AB710" s="19">
        <f>IF(OR($Z710="",$Z710=6),"",WORKDAY($AA710,CHOOSE($Z710,3,3,2,2,3),Holidays))</f>
        <v/>
      </c>
      <c r="AC710" s="17">
        <f>IF(OR($Z710="",$Z710=6),"",CHOOSE($Z710,"1st Email Follow-up","2nd Email Follow-up","Escalate Local Office","Escalate to CBE","Escalate to Roxanne"))</f>
        <v/>
      </c>
    </row>
    <row r="711" spans="13:29">
      <c r="M711" s="14"/>
      <c r="T711" s="16"/>
      <c r="U711" s="17">
        <f>IF(AND(COUNTA($A711:$L711)=0,$N711=""),"",IF($T711="Paid","PAID",IF($T711="Closed","CLOSED",IF($Z711="","",IF($Z711=6,"ESCALATED TO ROXANNE",IF(TODAY()&gt;$AB711,"OVERDUE",IF($AB711&lt;=WORKDAY(TODAY(),1,Holidays),"DUE TOMORROW",IF($Z711=4,"ESCALATED TO LOCAL OFFICE",IF($Z711=5,"ESCALATED TO CBE",IF($AA711=TODAY(),"EMAIL SENT","MONITORING"))))))))))</f>
        <v/>
      </c>
      <c r="V711" s="17">
        <f>IF($U711="",IF(AND(COUNTA($A711:$L711)&gt;0,$N711=""),"Awaiting Collection Email time stamp.",""),IF(OR($U711="PAID",$U711="CLOSED"),IF($U711="PAID","Account paid. Action completed.","Account closed. No further action required."),CHOOSE($Z711,"Collection Email","1st Email Follow-up","2nd Email Follow-up","Escalation to Local Office","Escalation to CBE","Escalation to Roxanne")&amp;" sent "&amp;TEXT($AA711,"dd-mmm")&amp;". "&amp;IF($Z711=6,"Final escalation completed.",IF($U711="OVERDUE","Next: "&amp;$AC711&amp;" was due "&amp;TEXT($AB711,"dd-mmm")&amp;" - "&amp;(NETWORKDAYS($AB711,TODAY(),Holidays)-1)&amp;" business day(s) late. Send now.",IF($U711="DUE TOMORROW","Next: "&amp;$AC711&amp;IF($AB711&lt;=TODAY()," is due TODAY ("," is due next business day (")&amp;TEXT($AB711,"dd-mmm")&amp;").","Next: "&amp;$AC711&amp;" due "&amp;TEXT($AB711,"dd-mmm")&amp;" ("&amp;(NETWORKDAYS(TODAY(),$AB711,Holidays)-1)&amp;" business day(s) left).")))))</f>
        <v/>
      </c>
      <c r="W711" s="17">
        <f>IF($Z711="","",CHOOSE($Z711,"Collection Email","1st Follow-up","2nd Follow-up","Local Office","CBE","Roxanne")&amp;IF($Z711=6," - Final"," - Day "&amp;MAX(0,NETWORKDAYS($AA711,TODAY(),Holidays)-1)&amp;" of "&amp;CHOOSE($Z711,3,3,2,2,3))&amp;" | Total Day "&amp;MAX(0,NETWORKDAYS($N711,TODAY(),Holidays)-1))</f>
        <v/>
      </c>
      <c r="X711" s="18"/>
      <c r="Y711" s="18"/>
      <c r="Z711" s="17">
        <f>IF($N711="","",COUNT($N711:$S711))</f>
        <v/>
      </c>
      <c r="AA711" s="19">
        <f>IF($Z711="","",INT(INDEX($N711:$S711,$Z711)))</f>
        <v/>
      </c>
      <c r="AB711" s="19">
        <f>IF(OR($Z711="",$Z711=6),"",WORKDAY($AA711,CHOOSE($Z711,3,3,2,2,3),Holidays))</f>
        <v/>
      </c>
      <c r="AC711" s="17">
        <f>IF(OR($Z711="",$Z711=6),"",CHOOSE($Z711,"1st Email Follow-up","2nd Email Follow-up","Escalate Local Office","Escalate to CBE","Escalate to Roxanne"))</f>
        <v/>
      </c>
    </row>
    <row r="712" spans="13:29">
      <c r="M712" s="14"/>
      <c r="T712" s="16"/>
      <c r="U712" s="17">
        <f>IF(AND(COUNTA($A712:$L712)=0,$N712=""),"",IF($T712="Paid","PAID",IF($T712="Closed","CLOSED",IF($Z712="","",IF($Z712=6,"ESCALATED TO ROXANNE",IF(TODAY()&gt;$AB712,"OVERDUE",IF($AB712&lt;=WORKDAY(TODAY(),1,Holidays),"DUE TOMORROW",IF($Z712=4,"ESCALATED TO LOCAL OFFICE",IF($Z712=5,"ESCALATED TO CBE",IF($AA712=TODAY(),"EMAIL SENT","MONITORING"))))))))))</f>
        <v/>
      </c>
      <c r="V712" s="17">
        <f>IF($U712="",IF(AND(COUNTA($A712:$L712)&gt;0,$N712=""),"Awaiting Collection Email time stamp.",""),IF(OR($U712="PAID",$U712="CLOSED"),IF($U712="PAID","Account paid. Action completed.","Account closed. No further action required."),CHOOSE($Z712,"Collection Email","1st Email Follow-up","2nd Email Follow-up","Escalation to Local Office","Escalation to CBE","Escalation to Roxanne")&amp;" sent "&amp;TEXT($AA712,"dd-mmm")&amp;". "&amp;IF($Z712=6,"Final escalation completed.",IF($U712="OVERDUE","Next: "&amp;$AC712&amp;" was due "&amp;TEXT($AB712,"dd-mmm")&amp;" - "&amp;(NETWORKDAYS($AB712,TODAY(),Holidays)-1)&amp;" business day(s) late. Send now.",IF($U712="DUE TOMORROW","Next: "&amp;$AC712&amp;IF($AB712&lt;=TODAY()," is due TODAY ("," is due next business day (")&amp;TEXT($AB712,"dd-mmm")&amp;").","Next: "&amp;$AC712&amp;" due "&amp;TEXT($AB712,"dd-mmm")&amp;" ("&amp;(NETWORKDAYS(TODAY(),$AB712,Holidays)-1)&amp;" business day(s) left).")))))</f>
        <v/>
      </c>
      <c r="W712" s="17">
        <f>IF($Z712="","",CHOOSE($Z712,"Collection Email","1st Follow-up","2nd Follow-up","Local Office","CBE","Roxanne")&amp;IF($Z712=6," - Final"," - Day "&amp;MAX(0,NETWORKDAYS($AA712,TODAY(),Holidays)-1)&amp;" of "&amp;CHOOSE($Z712,3,3,2,2,3))&amp;" | Total Day "&amp;MAX(0,NETWORKDAYS($N712,TODAY(),Holidays)-1))</f>
        <v/>
      </c>
      <c r="X712" s="18"/>
      <c r="Y712" s="18"/>
      <c r="Z712" s="17">
        <f>IF($N712="","",COUNT($N712:$S712))</f>
        <v/>
      </c>
      <c r="AA712" s="19">
        <f>IF($Z712="","",INT(INDEX($N712:$S712,$Z712)))</f>
        <v/>
      </c>
      <c r="AB712" s="19">
        <f>IF(OR($Z712="",$Z712=6),"",WORKDAY($AA712,CHOOSE($Z712,3,3,2,2,3),Holidays))</f>
        <v/>
      </c>
      <c r="AC712" s="17">
        <f>IF(OR($Z712="",$Z712=6),"",CHOOSE($Z712,"1st Email Follow-up","2nd Email Follow-up","Escalate Local Office","Escalate to CBE","Escalate to Roxanne"))</f>
        <v/>
      </c>
    </row>
    <row r="713" spans="13:29">
      <c r="M713" s="14"/>
      <c r="T713" s="16"/>
      <c r="U713" s="17">
        <f>IF(AND(COUNTA($A713:$L713)=0,$N713=""),"",IF($T713="Paid","PAID",IF($T713="Closed","CLOSED",IF($Z713="","",IF($Z713=6,"ESCALATED TO ROXANNE",IF(TODAY()&gt;$AB713,"OVERDUE",IF($AB713&lt;=WORKDAY(TODAY(),1,Holidays),"DUE TOMORROW",IF($Z713=4,"ESCALATED TO LOCAL OFFICE",IF($Z713=5,"ESCALATED TO CBE",IF($AA713=TODAY(),"EMAIL SENT","MONITORING"))))))))))</f>
        <v/>
      </c>
      <c r="V713" s="17">
        <f>IF($U713="",IF(AND(COUNTA($A713:$L713)&gt;0,$N713=""),"Awaiting Collection Email time stamp.",""),IF(OR($U713="PAID",$U713="CLOSED"),IF($U713="PAID","Account paid. Action completed.","Account closed. No further action required."),CHOOSE($Z713,"Collection Email","1st Email Follow-up","2nd Email Follow-up","Escalation to Local Office","Escalation to CBE","Escalation to Roxanne")&amp;" sent "&amp;TEXT($AA713,"dd-mmm")&amp;". "&amp;IF($Z713=6,"Final escalation completed.",IF($U713="OVERDUE","Next: "&amp;$AC713&amp;" was due "&amp;TEXT($AB713,"dd-mmm")&amp;" - "&amp;(NETWORKDAYS($AB713,TODAY(),Holidays)-1)&amp;" business day(s) late. Send now.",IF($U713="DUE TOMORROW","Next: "&amp;$AC713&amp;IF($AB713&lt;=TODAY()," is due TODAY ("," is due next business day (")&amp;TEXT($AB713,"dd-mmm")&amp;").","Next: "&amp;$AC713&amp;" due "&amp;TEXT($AB713,"dd-mmm")&amp;" ("&amp;(NETWORKDAYS(TODAY(),$AB713,Holidays)-1)&amp;" business day(s) left).")))))</f>
        <v/>
      </c>
      <c r="W713" s="17">
        <f>IF($Z713="","",CHOOSE($Z713,"Collection Email","1st Follow-up","2nd Follow-up","Local Office","CBE","Roxanne")&amp;IF($Z713=6," - Final"," - Day "&amp;MAX(0,NETWORKDAYS($AA713,TODAY(),Holidays)-1)&amp;" of "&amp;CHOOSE($Z713,3,3,2,2,3))&amp;" | Total Day "&amp;MAX(0,NETWORKDAYS($N713,TODAY(),Holidays)-1))</f>
        <v/>
      </c>
      <c r="X713" s="18"/>
      <c r="Y713" s="18"/>
      <c r="Z713" s="17">
        <f>IF($N713="","",COUNT($N713:$S713))</f>
        <v/>
      </c>
      <c r="AA713" s="19">
        <f>IF($Z713="","",INT(INDEX($N713:$S713,$Z713)))</f>
        <v/>
      </c>
      <c r="AB713" s="19">
        <f>IF(OR($Z713="",$Z713=6),"",WORKDAY($AA713,CHOOSE($Z713,3,3,2,2,3),Holidays))</f>
        <v/>
      </c>
      <c r="AC713" s="17">
        <f>IF(OR($Z713="",$Z713=6),"",CHOOSE($Z713,"1st Email Follow-up","2nd Email Follow-up","Escalate Local Office","Escalate to CBE","Escalate to Roxanne"))</f>
        <v/>
      </c>
    </row>
    <row r="714" spans="13:29">
      <c r="M714" s="14"/>
      <c r="T714" s="16"/>
      <c r="U714" s="17">
        <f>IF(AND(COUNTA($A714:$L714)=0,$N714=""),"",IF($T714="Paid","PAID",IF($T714="Closed","CLOSED",IF($Z714="","",IF($Z714=6,"ESCALATED TO ROXANNE",IF(TODAY()&gt;$AB714,"OVERDUE",IF($AB714&lt;=WORKDAY(TODAY(),1,Holidays),"DUE TOMORROW",IF($Z714=4,"ESCALATED TO LOCAL OFFICE",IF($Z714=5,"ESCALATED TO CBE",IF($AA714=TODAY(),"EMAIL SENT","MONITORING"))))))))))</f>
        <v/>
      </c>
      <c r="V714" s="17">
        <f>IF($U714="",IF(AND(COUNTA($A714:$L714)&gt;0,$N714=""),"Awaiting Collection Email time stamp.",""),IF(OR($U714="PAID",$U714="CLOSED"),IF($U714="PAID","Account paid. Action completed.","Account closed. No further action required."),CHOOSE($Z714,"Collection Email","1st Email Follow-up","2nd Email Follow-up","Escalation to Local Office","Escalation to CBE","Escalation to Roxanne")&amp;" sent "&amp;TEXT($AA714,"dd-mmm")&amp;". "&amp;IF($Z714=6,"Final escalation completed.",IF($U714="OVERDUE","Next: "&amp;$AC714&amp;" was due "&amp;TEXT($AB714,"dd-mmm")&amp;" - "&amp;(NETWORKDAYS($AB714,TODAY(),Holidays)-1)&amp;" business day(s) late. Send now.",IF($U714="DUE TOMORROW","Next: "&amp;$AC714&amp;IF($AB714&lt;=TODAY()," is due TODAY ("," is due next business day (")&amp;TEXT($AB714,"dd-mmm")&amp;").","Next: "&amp;$AC714&amp;" due "&amp;TEXT($AB714,"dd-mmm")&amp;" ("&amp;(NETWORKDAYS(TODAY(),$AB714,Holidays)-1)&amp;" business day(s) left).")))))</f>
        <v/>
      </c>
      <c r="W714" s="17">
        <f>IF($Z714="","",CHOOSE($Z714,"Collection Email","1st Follow-up","2nd Follow-up","Local Office","CBE","Roxanne")&amp;IF($Z714=6," - Final"," - Day "&amp;MAX(0,NETWORKDAYS($AA714,TODAY(),Holidays)-1)&amp;" of "&amp;CHOOSE($Z714,3,3,2,2,3))&amp;" | Total Day "&amp;MAX(0,NETWORKDAYS($N714,TODAY(),Holidays)-1))</f>
        <v/>
      </c>
      <c r="X714" s="18"/>
      <c r="Y714" s="18"/>
      <c r="Z714" s="17">
        <f>IF($N714="","",COUNT($N714:$S714))</f>
        <v/>
      </c>
      <c r="AA714" s="19">
        <f>IF($Z714="","",INT(INDEX($N714:$S714,$Z714)))</f>
        <v/>
      </c>
      <c r="AB714" s="19">
        <f>IF(OR($Z714="",$Z714=6),"",WORKDAY($AA714,CHOOSE($Z714,3,3,2,2,3),Holidays))</f>
        <v/>
      </c>
      <c r="AC714" s="17">
        <f>IF(OR($Z714="",$Z714=6),"",CHOOSE($Z714,"1st Email Follow-up","2nd Email Follow-up","Escalate Local Office","Escalate to CBE","Escalate to Roxanne"))</f>
        <v/>
      </c>
    </row>
    <row r="715" spans="13:29">
      <c r="M715" s="14"/>
      <c r="T715" s="16"/>
      <c r="U715" s="17">
        <f>IF(AND(COUNTA($A715:$L715)=0,$N715=""),"",IF($T715="Paid","PAID",IF($T715="Closed","CLOSED",IF($Z715="","",IF($Z715=6,"ESCALATED TO ROXANNE",IF(TODAY()&gt;$AB715,"OVERDUE",IF($AB715&lt;=WORKDAY(TODAY(),1,Holidays),"DUE TOMORROW",IF($Z715=4,"ESCALATED TO LOCAL OFFICE",IF($Z715=5,"ESCALATED TO CBE",IF($AA715=TODAY(),"EMAIL SENT","MONITORING"))))))))))</f>
        <v/>
      </c>
      <c r="V715" s="17">
        <f>IF($U715="",IF(AND(COUNTA($A715:$L715)&gt;0,$N715=""),"Awaiting Collection Email time stamp.",""),IF(OR($U715="PAID",$U715="CLOSED"),IF($U715="PAID","Account paid. Action completed.","Account closed. No further action required."),CHOOSE($Z715,"Collection Email","1st Email Follow-up","2nd Email Follow-up","Escalation to Local Office","Escalation to CBE","Escalation to Roxanne")&amp;" sent "&amp;TEXT($AA715,"dd-mmm")&amp;". "&amp;IF($Z715=6,"Final escalation completed.",IF($U715="OVERDUE","Next: "&amp;$AC715&amp;" was due "&amp;TEXT($AB715,"dd-mmm")&amp;" - "&amp;(NETWORKDAYS($AB715,TODAY(),Holidays)-1)&amp;" business day(s) late. Send now.",IF($U715="DUE TOMORROW","Next: "&amp;$AC715&amp;IF($AB715&lt;=TODAY()," is due TODAY ("," is due next business day (")&amp;TEXT($AB715,"dd-mmm")&amp;").","Next: "&amp;$AC715&amp;" due "&amp;TEXT($AB715,"dd-mmm")&amp;" ("&amp;(NETWORKDAYS(TODAY(),$AB715,Holidays)-1)&amp;" business day(s) left).")))))</f>
        <v/>
      </c>
      <c r="W715" s="17">
        <f>IF($Z715="","",CHOOSE($Z715,"Collection Email","1st Follow-up","2nd Follow-up","Local Office","CBE","Roxanne")&amp;IF($Z715=6," - Final"," - Day "&amp;MAX(0,NETWORKDAYS($AA715,TODAY(),Holidays)-1)&amp;" of "&amp;CHOOSE($Z715,3,3,2,2,3))&amp;" | Total Day "&amp;MAX(0,NETWORKDAYS($N715,TODAY(),Holidays)-1))</f>
        <v/>
      </c>
      <c r="X715" s="18"/>
      <c r="Y715" s="18"/>
      <c r="Z715" s="17">
        <f>IF($N715="","",COUNT($N715:$S715))</f>
        <v/>
      </c>
      <c r="AA715" s="19">
        <f>IF($Z715="","",INT(INDEX($N715:$S715,$Z715)))</f>
        <v/>
      </c>
      <c r="AB715" s="19">
        <f>IF(OR($Z715="",$Z715=6),"",WORKDAY($AA715,CHOOSE($Z715,3,3,2,2,3),Holidays))</f>
        <v/>
      </c>
      <c r="AC715" s="17">
        <f>IF(OR($Z715="",$Z715=6),"",CHOOSE($Z715,"1st Email Follow-up","2nd Email Follow-up","Escalate Local Office","Escalate to CBE","Escalate to Roxanne"))</f>
        <v/>
      </c>
    </row>
    <row r="716" spans="13:29">
      <c r="M716" s="14"/>
      <c r="T716" s="16"/>
      <c r="U716" s="17">
        <f>IF(AND(COUNTA($A716:$L716)=0,$N716=""),"",IF($T716="Paid","PAID",IF($T716="Closed","CLOSED",IF($Z716="","",IF($Z716=6,"ESCALATED TO ROXANNE",IF(TODAY()&gt;$AB716,"OVERDUE",IF($AB716&lt;=WORKDAY(TODAY(),1,Holidays),"DUE TOMORROW",IF($Z716=4,"ESCALATED TO LOCAL OFFICE",IF($Z716=5,"ESCALATED TO CBE",IF($AA716=TODAY(),"EMAIL SENT","MONITORING"))))))))))</f>
        <v/>
      </c>
      <c r="V716" s="17">
        <f>IF($U716="",IF(AND(COUNTA($A716:$L716)&gt;0,$N716=""),"Awaiting Collection Email time stamp.",""),IF(OR($U716="PAID",$U716="CLOSED"),IF($U716="PAID","Account paid. Action completed.","Account closed. No further action required."),CHOOSE($Z716,"Collection Email","1st Email Follow-up","2nd Email Follow-up","Escalation to Local Office","Escalation to CBE","Escalation to Roxanne")&amp;" sent "&amp;TEXT($AA716,"dd-mmm")&amp;". "&amp;IF($Z716=6,"Final escalation completed.",IF($U716="OVERDUE","Next: "&amp;$AC716&amp;" was due "&amp;TEXT($AB716,"dd-mmm")&amp;" - "&amp;(NETWORKDAYS($AB716,TODAY(),Holidays)-1)&amp;" business day(s) late. Send now.",IF($U716="DUE TOMORROW","Next: "&amp;$AC716&amp;IF($AB716&lt;=TODAY()," is due TODAY ("," is due next business day (")&amp;TEXT($AB716,"dd-mmm")&amp;").","Next: "&amp;$AC716&amp;" due "&amp;TEXT($AB716,"dd-mmm")&amp;" ("&amp;(NETWORKDAYS(TODAY(),$AB716,Holidays)-1)&amp;" business day(s) left).")))))</f>
        <v/>
      </c>
      <c r="W716" s="17">
        <f>IF($Z716="","",CHOOSE($Z716,"Collection Email","1st Follow-up","2nd Follow-up","Local Office","CBE","Roxanne")&amp;IF($Z716=6," - Final"," - Day "&amp;MAX(0,NETWORKDAYS($AA716,TODAY(),Holidays)-1)&amp;" of "&amp;CHOOSE($Z716,3,3,2,2,3))&amp;" | Total Day "&amp;MAX(0,NETWORKDAYS($N716,TODAY(),Holidays)-1))</f>
        <v/>
      </c>
      <c r="X716" s="18"/>
      <c r="Y716" s="18"/>
      <c r="Z716" s="17">
        <f>IF($N716="","",COUNT($N716:$S716))</f>
        <v/>
      </c>
      <c r="AA716" s="19">
        <f>IF($Z716="","",INT(INDEX($N716:$S716,$Z716)))</f>
        <v/>
      </c>
      <c r="AB716" s="19">
        <f>IF(OR($Z716="",$Z716=6),"",WORKDAY($AA716,CHOOSE($Z716,3,3,2,2,3),Holidays))</f>
        <v/>
      </c>
      <c r="AC716" s="17">
        <f>IF(OR($Z716="",$Z716=6),"",CHOOSE($Z716,"1st Email Follow-up","2nd Email Follow-up","Escalate Local Office","Escalate to CBE","Escalate to Roxanne"))</f>
        <v/>
      </c>
    </row>
    <row r="717" spans="13:29">
      <c r="M717" s="14"/>
      <c r="T717" s="16"/>
      <c r="U717" s="17">
        <f>IF(AND(COUNTA($A717:$L717)=0,$N717=""),"",IF($T717="Paid","PAID",IF($T717="Closed","CLOSED",IF($Z717="","",IF($Z717=6,"ESCALATED TO ROXANNE",IF(TODAY()&gt;$AB717,"OVERDUE",IF($AB717&lt;=WORKDAY(TODAY(),1,Holidays),"DUE TOMORROW",IF($Z717=4,"ESCALATED TO LOCAL OFFICE",IF($Z717=5,"ESCALATED TO CBE",IF($AA717=TODAY(),"EMAIL SENT","MONITORING"))))))))))</f>
        <v/>
      </c>
      <c r="V717" s="17">
        <f>IF($U717="",IF(AND(COUNTA($A717:$L717)&gt;0,$N717=""),"Awaiting Collection Email time stamp.",""),IF(OR($U717="PAID",$U717="CLOSED"),IF($U717="PAID","Account paid. Action completed.","Account closed. No further action required."),CHOOSE($Z717,"Collection Email","1st Email Follow-up","2nd Email Follow-up","Escalation to Local Office","Escalation to CBE","Escalation to Roxanne")&amp;" sent "&amp;TEXT($AA717,"dd-mmm")&amp;". "&amp;IF($Z717=6,"Final escalation completed.",IF($U717="OVERDUE","Next: "&amp;$AC717&amp;" was due "&amp;TEXT($AB717,"dd-mmm")&amp;" - "&amp;(NETWORKDAYS($AB717,TODAY(),Holidays)-1)&amp;" business day(s) late. Send now.",IF($U717="DUE TOMORROW","Next: "&amp;$AC717&amp;IF($AB717&lt;=TODAY()," is due TODAY ("," is due next business day (")&amp;TEXT($AB717,"dd-mmm")&amp;").","Next: "&amp;$AC717&amp;" due "&amp;TEXT($AB717,"dd-mmm")&amp;" ("&amp;(NETWORKDAYS(TODAY(),$AB717,Holidays)-1)&amp;" business day(s) left).")))))</f>
        <v/>
      </c>
      <c r="W717" s="17">
        <f>IF($Z717="","",CHOOSE($Z717,"Collection Email","1st Follow-up","2nd Follow-up","Local Office","CBE","Roxanne")&amp;IF($Z717=6," - Final"," - Day "&amp;MAX(0,NETWORKDAYS($AA717,TODAY(),Holidays)-1)&amp;" of "&amp;CHOOSE($Z717,3,3,2,2,3))&amp;" | Total Day "&amp;MAX(0,NETWORKDAYS($N717,TODAY(),Holidays)-1))</f>
        <v/>
      </c>
      <c r="X717" s="18"/>
      <c r="Y717" s="18"/>
      <c r="Z717" s="17">
        <f>IF($N717="","",COUNT($N717:$S717))</f>
        <v/>
      </c>
      <c r="AA717" s="19">
        <f>IF($Z717="","",INT(INDEX($N717:$S717,$Z717)))</f>
        <v/>
      </c>
      <c r="AB717" s="19">
        <f>IF(OR($Z717="",$Z717=6),"",WORKDAY($AA717,CHOOSE($Z717,3,3,2,2,3),Holidays))</f>
        <v/>
      </c>
      <c r="AC717" s="17">
        <f>IF(OR($Z717="",$Z717=6),"",CHOOSE($Z717,"1st Email Follow-up","2nd Email Follow-up","Escalate Local Office","Escalate to CBE","Escalate to Roxanne"))</f>
        <v/>
      </c>
    </row>
    <row r="718" spans="13:29">
      <c r="M718" s="14"/>
      <c r="T718" s="16"/>
      <c r="U718" s="17">
        <f>IF(AND(COUNTA($A718:$L718)=0,$N718=""),"",IF($T718="Paid","PAID",IF($T718="Closed","CLOSED",IF($Z718="","",IF($Z718=6,"ESCALATED TO ROXANNE",IF(TODAY()&gt;$AB718,"OVERDUE",IF($AB718&lt;=WORKDAY(TODAY(),1,Holidays),"DUE TOMORROW",IF($Z718=4,"ESCALATED TO LOCAL OFFICE",IF($Z718=5,"ESCALATED TO CBE",IF($AA718=TODAY(),"EMAIL SENT","MONITORING"))))))))))</f>
        <v/>
      </c>
      <c r="V718" s="17">
        <f>IF($U718="",IF(AND(COUNTA($A718:$L718)&gt;0,$N718=""),"Awaiting Collection Email time stamp.",""),IF(OR($U718="PAID",$U718="CLOSED"),IF($U718="PAID","Account paid. Action completed.","Account closed. No further action required."),CHOOSE($Z718,"Collection Email","1st Email Follow-up","2nd Email Follow-up","Escalation to Local Office","Escalation to CBE","Escalation to Roxanne")&amp;" sent "&amp;TEXT($AA718,"dd-mmm")&amp;". "&amp;IF($Z718=6,"Final escalation completed.",IF($U718="OVERDUE","Next: "&amp;$AC718&amp;" was due "&amp;TEXT($AB718,"dd-mmm")&amp;" - "&amp;(NETWORKDAYS($AB718,TODAY(),Holidays)-1)&amp;" business day(s) late. Send now.",IF($U718="DUE TOMORROW","Next: "&amp;$AC718&amp;IF($AB718&lt;=TODAY()," is due TODAY ("," is due next business day (")&amp;TEXT($AB718,"dd-mmm")&amp;").","Next: "&amp;$AC718&amp;" due "&amp;TEXT($AB718,"dd-mmm")&amp;" ("&amp;(NETWORKDAYS(TODAY(),$AB718,Holidays)-1)&amp;" business day(s) left).")))))</f>
        <v/>
      </c>
      <c r="W718" s="17">
        <f>IF($Z718="","",CHOOSE($Z718,"Collection Email","1st Follow-up","2nd Follow-up","Local Office","CBE","Roxanne")&amp;IF($Z718=6," - Final"," - Day "&amp;MAX(0,NETWORKDAYS($AA718,TODAY(),Holidays)-1)&amp;" of "&amp;CHOOSE($Z718,3,3,2,2,3))&amp;" | Total Day "&amp;MAX(0,NETWORKDAYS($N718,TODAY(),Holidays)-1))</f>
        <v/>
      </c>
      <c r="X718" s="18"/>
      <c r="Y718" s="18"/>
      <c r="Z718" s="17">
        <f>IF($N718="","",COUNT($N718:$S718))</f>
        <v/>
      </c>
      <c r="AA718" s="19">
        <f>IF($Z718="","",INT(INDEX($N718:$S718,$Z718)))</f>
        <v/>
      </c>
      <c r="AB718" s="19">
        <f>IF(OR($Z718="",$Z718=6),"",WORKDAY($AA718,CHOOSE($Z718,3,3,2,2,3),Holidays))</f>
        <v/>
      </c>
      <c r="AC718" s="17">
        <f>IF(OR($Z718="",$Z718=6),"",CHOOSE($Z718,"1st Email Follow-up","2nd Email Follow-up","Escalate Local Office","Escalate to CBE","Escalate to Roxanne"))</f>
        <v/>
      </c>
    </row>
    <row r="719" spans="13:29">
      <c r="M719" s="14"/>
      <c r="T719" s="16"/>
      <c r="U719" s="17">
        <f>IF(AND(COUNTA($A719:$L719)=0,$N719=""),"",IF($T719="Paid","PAID",IF($T719="Closed","CLOSED",IF($Z719="","",IF($Z719=6,"ESCALATED TO ROXANNE",IF(TODAY()&gt;$AB719,"OVERDUE",IF($AB719&lt;=WORKDAY(TODAY(),1,Holidays),"DUE TOMORROW",IF($Z719=4,"ESCALATED TO LOCAL OFFICE",IF($Z719=5,"ESCALATED TO CBE",IF($AA719=TODAY(),"EMAIL SENT","MONITORING"))))))))))</f>
        <v/>
      </c>
      <c r="V719" s="17">
        <f>IF($U719="",IF(AND(COUNTA($A719:$L719)&gt;0,$N719=""),"Awaiting Collection Email time stamp.",""),IF(OR($U719="PAID",$U719="CLOSED"),IF($U719="PAID","Account paid. Action completed.","Account closed. No further action required."),CHOOSE($Z719,"Collection Email","1st Email Follow-up","2nd Email Follow-up","Escalation to Local Office","Escalation to CBE","Escalation to Roxanne")&amp;" sent "&amp;TEXT($AA719,"dd-mmm")&amp;". "&amp;IF($Z719=6,"Final escalation completed.",IF($U719="OVERDUE","Next: "&amp;$AC719&amp;" was due "&amp;TEXT($AB719,"dd-mmm")&amp;" - "&amp;(NETWORKDAYS($AB719,TODAY(),Holidays)-1)&amp;" business day(s) late. Send now.",IF($U719="DUE TOMORROW","Next: "&amp;$AC719&amp;IF($AB719&lt;=TODAY()," is due TODAY ("," is due next business day (")&amp;TEXT($AB719,"dd-mmm")&amp;").","Next: "&amp;$AC719&amp;" due "&amp;TEXT($AB719,"dd-mmm")&amp;" ("&amp;(NETWORKDAYS(TODAY(),$AB719,Holidays)-1)&amp;" business day(s) left).")))))</f>
        <v/>
      </c>
      <c r="W719" s="17">
        <f>IF($Z719="","",CHOOSE($Z719,"Collection Email","1st Follow-up","2nd Follow-up","Local Office","CBE","Roxanne")&amp;IF($Z719=6," - Final"," - Day "&amp;MAX(0,NETWORKDAYS($AA719,TODAY(),Holidays)-1)&amp;" of "&amp;CHOOSE($Z719,3,3,2,2,3))&amp;" | Total Day "&amp;MAX(0,NETWORKDAYS($N719,TODAY(),Holidays)-1))</f>
        <v/>
      </c>
      <c r="X719" s="18"/>
      <c r="Y719" s="18"/>
      <c r="Z719" s="17">
        <f>IF($N719="","",COUNT($N719:$S719))</f>
        <v/>
      </c>
      <c r="AA719" s="19">
        <f>IF($Z719="","",INT(INDEX($N719:$S719,$Z719)))</f>
        <v/>
      </c>
      <c r="AB719" s="19">
        <f>IF(OR($Z719="",$Z719=6),"",WORKDAY($AA719,CHOOSE($Z719,3,3,2,2,3),Holidays))</f>
        <v/>
      </c>
      <c r="AC719" s="17">
        <f>IF(OR($Z719="",$Z719=6),"",CHOOSE($Z719,"1st Email Follow-up","2nd Email Follow-up","Escalate Local Office","Escalate to CBE","Escalate to Roxanne"))</f>
        <v/>
      </c>
    </row>
    <row r="720" spans="13:29">
      <c r="M720" s="14"/>
      <c r="T720" s="16"/>
      <c r="U720" s="17">
        <f>IF(AND(COUNTA($A720:$L720)=0,$N720=""),"",IF($T720="Paid","PAID",IF($T720="Closed","CLOSED",IF($Z720="","",IF($Z720=6,"ESCALATED TO ROXANNE",IF(TODAY()&gt;$AB720,"OVERDUE",IF($AB720&lt;=WORKDAY(TODAY(),1,Holidays),"DUE TOMORROW",IF($Z720=4,"ESCALATED TO LOCAL OFFICE",IF($Z720=5,"ESCALATED TO CBE",IF($AA720=TODAY(),"EMAIL SENT","MONITORING"))))))))))</f>
        <v/>
      </c>
      <c r="V720" s="17">
        <f>IF($U720="",IF(AND(COUNTA($A720:$L720)&gt;0,$N720=""),"Awaiting Collection Email time stamp.",""),IF(OR($U720="PAID",$U720="CLOSED"),IF($U720="PAID","Account paid. Action completed.","Account closed. No further action required."),CHOOSE($Z720,"Collection Email","1st Email Follow-up","2nd Email Follow-up","Escalation to Local Office","Escalation to CBE","Escalation to Roxanne")&amp;" sent "&amp;TEXT($AA720,"dd-mmm")&amp;". "&amp;IF($Z720=6,"Final escalation completed.",IF($U720="OVERDUE","Next: "&amp;$AC720&amp;" was due "&amp;TEXT($AB720,"dd-mmm")&amp;" - "&amp;(NETWORKDAYS($AB720,TODAY(),Holidays)-1)&amp;" business day(s) late. Send now.",IF($U720="DUE TOMORROW","Next: "&amp;$AC720&amp;IF($AB720&lt;=TODAY()," is due TODAY ("," is due next business day (")&amp;TEXT($AB720,"dd-mmm")&amp;").","Next: "&amp;$AC720&amp;" due "&amp;TEXT($AB720,"dd-mmm")&amp;" ("&amp;(NETWORKDAYS(TODAY(),$AB720,Holidays)-1)&amp;" business day(s) left).")))))</f>
        <v/>
      </c>
      <c r="W720" s="17">
        <f>IF($Z720="","",CHOOSE($Z720,"Collection Email","1st Follow-up","2nd Follow-up","Local Office","CBE","Roxanne")&amp;IF($Z720=6," - Final"," - Day "&amp;MAX(0,NETWORKDAYS($AA720,TODAY(),Holidays)-1)&amp;" of "&amp;CHOOSE($Z720,3,3,2,2,3))&amp;" | Total Day "&amp;MAX(0,NETWORKDAYS($N720,TODAY(),Holidays)-1))</f>
        <v/>
      </c>
      <c r="X720" s="18"/>
      <c r="Y720" s="18"/>
      <c r="Z720" s="17">
        <f>IF($N720="","",COUNT($N720:$S720))</f>
        <v/>
      </c>
      <c r="AA720" s="19">
        <f>IF($Z720="","",INT(INDEX($N720:$S720,$Z720)))</f>
        <v/>
      </c>
      <c r="AB720" s="19">
        <f>IF(OR($Z720="",$Z720=6),"",WORKDAY($AA720,CHOOSE($Z720,3,3,2,2,3),Holidays))</f>
        <v/>
      </c>
      <c r="AC720" s="17">
        <f>IF(OR($Z720="",$Z720=6),"",CHOOSE($Z720,"1st Email Follow-up","2nd Email Follow-up","Escalate Local Office","Escalate to CBE","Escalate to Roxanne"))</f>
        <v/>
      </c>
    </row>
    <row r="721" spans="13:29">
      <c r="M721" s="14"/>
      <c r="T721" s="16"/>
      <c r="U721" s="17">
        <f>IF(AND(COUNTA($A721:$L721)=0,$N721=""),"",IF($T721="Paid","PAID",IF($T721="Closed","CLOSED",IF($Z721="","",IF($Z721=6,"ESCALATED TO ROXANNE",IF(TODAY()&gt;$AB721,"OVERDUE",IF($AB721&lt;=WORKDAY(TODAY(),1,Holidays),"DUE TOMORROW",IF($Z721=4,"ESCALATED TO LOCAL OFFICE",IF($Z721=5,"ESCALATED TO CBE",IF($AA721=TODAY(),"EMAIL SENT","MONITORING"))))))))))</f>
        <v/>
      </c>
      <c r="V721" s="17">
        <f>IF($U721="",IF(AND(COUNTA($A721:$L721)&gt;0,$N721=""),"Awaiting Collection Email time stamp.",""),IF(OR($U721="PAID",$U721="CLOSED"),IF($U721="PAID","Account paid. Action completed.","Account closed. No further action required."),CHOOSE($Z721,"Collection Email","1st Email Follow-up","2nd Email Follow-up","Escalation to Local Office","Escalation to CBE","Escalation to Roxanne")&amp;" sent "&amp;TEXT($AA721,"dd-mmm")&amp;". "&amp;IF($Z721=6,"Final escalation completed.",IF($U721="OVERDUE","Next: "&amp;$AC721&amp;" was due "&amp;TEXT($AB721,"dd-mmm")&amp;" - "&amp;(NETWORKDAYS($AB721,TODAY(),Holidays)-1)&amp;" business day(s) late. Send now.",IF($U721="DUE TOMORROW","Next: "&amp;$AC721&amp;IF($AB721&lt;=TODAY()," is due TODAY ("," is due next business day (")&amp;TEXT($AB721,"dd-mmm")&amp;").","Next: "&amp;$AC721&amp;" due "&amp;TEXT($AB721,"dd-mmm")&amp;" ("&amp;(NETWORKDAYS(TODAY(),$AB721,Holidays)-1)&amp;" business day(s) left).")))))</f>
        <v/>
      </c>
      <c r="W721" s="17">
        <f>IF($Z721="","",CHOOSE($Z721,"Collection Email","1st Follow-up","2nd Follow-up","Local Office","CBE","Roxanne")&amp;IF($Z721=6," - Final"," - Day "&amp;MAX(0,NETWORKDAYS($AA721,TODAY(),Holidays)-1)&amp;" of "&amp;CHOOSE($Z721,3,3,2,2,3))&amp;" | Total Day "&amp;MAX(0,NETWORKDAYS($N721,TODAY(),Holidays)-1))</f>
        <v/>
      </c>
      <c r="X721" s="18"/>
      <c r="Y721" s="18"/>
      <c r="Z721" s="17">
        <f>IF($N721="","",COUNT($N721:$S721))</f>
        <v/>
      </c>
      <c r="AA721" s="19">
        <f>IF($Z721="","",INT(INDEX($N721:$S721,$Z721)))</f>
        <v/>
      </c>
      <c r="AB721" s="19">
        <f>IF(OR($Z721="",$Z721=6),"",WORKDAY($AA721,CHOOSE($Z721,3,3,2,2,3),Holidays))</f>
        <v/>
      </c>
      <c r="AC721" s="17">
        <f>IF(OR($Z721="",$Z721=6),"",CHOOSE($Z721,"1st Email Follow-up","2nd Email Follow-up","Escalate Local Office","Escalate to CBE","Escalate to Roxanne"))</f>
        <v/>
      </c>
    </row>
    <row r="722" spans="13:29">
      <c r="M722" s="14"/>
      <c r="T722" s="16"/>
      <c r="U722" s="17">
        <f>IF(AND(COUNTA($A722:$L722)=0,$N722=""),"",IF($T722="Paid","PAID",IF($T722="Closed","CLOSED",IF($Z722="","",IF($Z722=6,"ESCALATED TO ROXANNE",IF(TODAY()&gt;$AB722,"OVERDUE",IF($AB722&lt;=WORKDAY(TODAY(),1,Holidays),"DUE TOMORROW",IF($Z722=4,"ESCALATED TO LOCAL OFFICE",IF($Z722=5,"ESCALATED TO CBE",IF($AA722=TODAY(),"EMAIL SENT","MONITORING"))))))))))</f>
        <v/>
      </c>
      <c r="V722" s="17">
        <f>IF($U722="",IF(AND(COUNTA($A722:$L722)&gt;0,$N722=""),"Awaiting Collection Email time stamp.",""),IF(OR($U722="PAID",$U722="CLOSED"),IF($U722="PAID","Account paid. Action completed.","Account closed. No further action required."),CHOOSE($Z722,"Collection Email","1st Email Follow-up","2nd Email Follow-up","Escalation to Local Office","Escalation to CBE","Escalation to Roxanne")&amp;" sent "&amp;TEXT($AA722,"dd-mmm")&amp;". "&amp;IF($Z722=6,"Final escalation completed.",IF($U722="OVERDUE","Next: "&amp;$AC722&amp;" was due "&amp;TEXT($AB722,"dd-mmm")&amp;" - "&amp;(NETWORKDAYS($AB722,TODAY(),Holidays)-1)&amp;" business day(s) late. Send now.",IF($U722="DUE TOMORROW","Next: "&amp;$AC722&amp;IF($AB722&lt;=TODAY()," is due TODAY ("," is due next business day (")&amp;TEXT($AB722,"dd-mmm")&amp;").","Next: "&amp;$AC722&amp;" due "&amp;TEXT($AB722,"dd-mmm")&amp;" ("&amp;(NETWORKDAYS(TODAY(),$AB722,Holidays)-1)&amp;" business day(s) left).")))))</f>
        <v/>
      </c>
      <c r="W722" s="17">
        <f>IF($Z722="","",CHOOSE($Z722,"Collection Email","1st Follow-up","2nd Follow-up","Local Office","CBE","Roxanne")&amp;IF($Z722=6," - Final"," - Day "&amp;MAX(0,NETWORKDAYS($AA722,TODAY(),Holidays)-1)&amp;" of "&amp;CHOOSE($Z722,3,3,2,2,3))&amp;" | Total Day "&amp;MAX(0,NETWORKDAYS($N722,TODAY(),Holidays)-1))</f>
        <v/>
      </c>
      <c r="X722" s="18"/>
      <c r="Y722" s="18"/>
      <c r="Z722" s="17">
        <f>IF($N722="","",COUNT($N722:$S722))</f>
        <v/>
      </c>
      <c r="AA722" s="19">
        <f>IF($Z722="","",INT(INDEX($N722:$S722,$Z722)))</f>
        <v/>
      </c>
      <c r="AB722" s="19">
        <f>IF(OR($Z722="",$Z722=6),"",WORKDAY($AA722,CHOOSE($Z722,3,3,2,2,3),Holidays))</f>
        <v/>
      </c>
      <c r="AC722" s="17">
        <f>IF(OR($Z722="",$Z722=6),"",CHOOSE($Z722,"1st Email Follow-up","2nd Email Follow-up","Escalate Local Office","Escalate to CBE","Escalate to Roxanne"))</f>
        <v/>
      </c>
    </row>
    <row r="723" spans="13:29">
      <c r="M723" s="14"/>
      <c r="T723" s="16"/>
      <c r="U723" s="17">
        <f>IF(AND(COUNTA($A723:$L723)=0,$N723=""),"",IF($T723="Paid","PAID",IF($T723="Closed","CLOSED",IF($Z723="","",IF($Z723=6,"ESCALATED TO ROXANNE",IF(TODAY()&gt;$AB723,"OVERDUE",IF($AB723&lt;=WORKDAY(TODAY(),1,Holidays),"DUE TOMORROW",IF($Z723=4,"ESCALATED TO LOCAL OFFICE",IF($Z723=5,"ESCALATED TO CBE",IF($AA723=TODAY(),"EMAIL SENT","MONITORING"))))))))))</f>
        <v/>
      </c>
      <c r="V723" s="17">
        <f>IF($U723="",IF(AND(COUNTA($A723:$L723)&gt;0,$N723=""),"Awaiting Collection Email time stamp.",""),IF(OR($U723="PAID",$U723="CLOSED"),IF($U723="PAID","Account paid. Action completed.","Account closed. No further action required."),CHOOSE($Z723,"Collection Email","1st Email Follow-up","2nd Email Follow-up","Escalation to Local Office","Escalation to CBE","Escalation to Roxanne")&amp;" sent "&amp;TEXT($AA723,"dd-mmm")&amp;". "&amp;IF($Z723=6,"Final escalation completed.",IF($U723="OVERDUE","Next: "&amp;$AC723&amp;" was due "&amp;TEXT($AB723,"dd-mmm")&amp;" - "&amp;(NETWORKDAYS($AB723,TODAY(),Holidays)-1)&amp;" business day(s) late. Send now.",IF($U723="DUE TOMORROW","Next: "&amp;$AC723&amp;IF($AB723&lt;=TODAY()," is due TODAY ("," is due next business day (")&amp;TEXT($AB723,"dd-mmm")&amp;").","Next: "&amp;$AC723&amp;" due "&amp;TEXT($AB723,"dd-mmm")&amp;" ("&amp;(NETWORKDAYS(TODAY(),$AB723,Holidays)-1)&amp;" business day(s) left).")))))</f>
        <v/>
      </c>
      <c r="W723" s="17">
        <f>IF($Z723="","",CHOOSE($Z723,"Collection Email","1st Follow-up","2nd Follow-up","Local Office","CBE","Roxanne")&amp;IF($Z723=6," - Final"," - Day "&amp;MAX(0,NETWORKDAYS($AA723,TODAY(),Holidays)-1)&amp;" of "&amp;CHOOSE($Z723,3,3,2,2,3))&amp;" | Total Day "&amp;MAX(0,NETWORKDAYS($N723,TODAY(),Holidays)-1))</f>
        <v/>
      </c>
      <c r="X723" s="18"/>
      <c r="Y723" s="18"/>
      <c r="Z723" s="17">
        <f>IF($N723="","",COUNT($N723:$S723))</f>
        <v/>
      </c>
      <c r="AA723" s="19">
        <f>IF($Z723="","",INT(INDEX($N723:$S723,$Z723)))</f>
        <v/>
      </c>
      <c r="AB723" s="19">
        <f>IF(OR($Z723="",$Z723=6),"",WORKDAY($AA723,CHOOSE($Z723,3,3,2,2,3),Holidays))</f>
        <v/>
      </c>
      <c r="AC723" s="17">
        <f>IF(OR($Z723="",$Z723=6),"",CHOOSE($Z723,"1st Email Follow-up","2nd Email Follow-up","Escalate Local Office","Escalate to CBE","Escalate to Roxanne"))</f>
        <v/>
      </c>
    </row>
    <row r="724" spans="13:29">
      <c r="M724" s="14"/>
      <c r="T724" s="16"/>
      <c r="U724" s="17">
        <f>IF(AND(COUNTA($A724:$L724)=0,$N724=""),"",IF($T724="Paid","PAID",IF($T724="Closed","CLOSED",IF($Z724="","",IF($Z724=6,"ESCALATED TO ROXANNE",IF(TODAY()&gt;$AB724,"OVERDUE",IF($AB724&lt;=WORKDAY(TODAY(),1,Holidays),"DUE TOMORROW",IF($Z724=4,"ESCALATED TO LOCAL OFFICE",IF($Z724=5,"ESCALATED TO CBE",IF($AA724=TODAY(),"EMAIL SENT","MONITORING"))))))))))</f>
        <v/>
      </c>
      <c r="V724" s="17">
        <f>IF($U724="",IF(AND(COUNTA($A724:$L724)&gt;0,$N724=""),"Awaiting Collection Email time stamp.",""),IF(OR($U724="PAID",$U724="CLOSED"),IF($U724="PAID","Account paid. Action completed.","Account closed. No further action required."),CHOOSE($Z724,"Collection Email","1st Email Follow-up","2nd Email Follow-up","Escalation to Local Office","Escalation to CBE","Escalation to Roxanne")&amp;" sent "&amp;TEXT($AA724,"dd-mmm")&amp;". "&amp;IF($Z724=6,"Final escalation completed.",IF($U724="OVERDUE","Next: "&amp;$AC724&amp;" was due "&amp;TEXT($AB724,"dd-mmm")&amp;" - "&amp;(NETWORKDAYS($AB724,TODAY(),Holidays)-1)&amp;" business day(s) late. Send now.",IF($U724="DUE TOMORROW","Next: "&amp;$AC724&amp;IF($AB724&lt;=TODAY()," is due TODAY ("," is due next business day (")&amp;TEXT($AB724,"dd-mmm")&amp;").","Next: "&amp;$AC724&amp;" due "&amp;TEXT($AB724,"dd-mmm")&amp;" ("&amp;(NETWORKDAYS(TODAY(),$AB724,Holidays)-1)&amp;" business day(s) left).")))))</f>
        <v/>
      </c>
      <c r="W724" s="17">
        <f>IF($Z724="","",CHOOSE($Z724,"Collection Email","1st Follow-up","2nd Follow-up","Local Office","CBE","Roxanne")&amp;IF($Z724=6," - Final"," - Day "&amp;MAX(0,NETWORKDAYS($AA724,TODAY(),Holidays)-1)&amp;" of "&amp;CHOOSE($Z724,3,3,2,2,3))&amp;" | Total Day "&amp;MAX(0,NETWORKDAYS($N724,TODAY(),Holidays)-1))</f>
        <v/>
      </c>
      <c r="X724" s="18"/>
      <c r="Y724" s="18"/>
      <c r="Z724" s="17">
        <f>IF($N724="","",COUNT($N724:$S724))</f>
        <v/>
      </c>
      <c r="AA724" s="19">
        <f>IF($Z724="","",INT(INDEX($N724:$S724,$Z724)))</f>
        <v/>
      </c>
      <c r="AB724" s="19">
        <f>IF(OR($Z724="",$Z724=6),"",WORKDAY($AA724,CHOOSE($Z724,3,3,2,2,3),Holidays))</f>
        <v/>
      </c>
      <c r="AC724" s="17">
        <f>IF(OR($Z724="",$Z724=6),"",CHOOSE($Z724,"1st Email Follow-up","2nd Email Follow-up","Escalate Local Office","Escalate to CBE","Escalate to Roxanne"))</f>
        <v/>
      </c>
    </row>
    <row r="725" spans="13:29">
      <c r="M725" s="14"/>
      <c r="T725" s="16"/>
      <c r="U725" s="17">
        <f>IF(AND(COUNTA($A725:$L725)=0,$N725=""),"",IF($T725="Paid","PAID",IF($T725="Closed","CLOSED",IF($Z725="","",IF($Z725=6,"ESCALATED TO ROXANNE",IF(TODAY()&gt;$AB725,"OVERDUE",IF($AB725&lt;=WORKDAY(TODAY(),1,Holidays),"DUE TOMORROW",IF($Z725=4,"ESCALATED TO LOCAL OFFICE",IF($Z725=5,"ESCALATED TO CBE",IF($AA725=TODAY(),"EMAIL SENT","MONITORING"))))))))))</f>
        <v/>
      </c>
      <c r="V725" s="17">
        <f>IF($U725="",IF(AND(COUNTA($A725:$L725)&gt;0,$N725=""),"Awaiting Collection Email time stamp.",""),IF(OR($U725="PAID",$U725="CLOSED"),IF($U725="PAID","Account paid. Action completed.","Account closed. No further action required."),CHOOSE($Z725,"Collection Email","1st Email Follow-up","2nd Email Follow-up","Escalation to Local Office","Escalation to CBE","Escalation to Roxanne")&amp;" sent "&amp;TEXT($AA725,"dd-mmm")&amp;". "&amp;IF($Z725=6,"Final escalation completed.",IF($U725="OVERDUE","Next: "&amp;$AC725&amp;" was due "&amp;TEXT($AB725,"dd-mmm")&amp;" - "&amp;(NETWORKDAYS($AB725,TODAY(),Holidays)-1)&amp;" business day(s) late. Send now.",IF($U725="DUE TOMORROW","Next: "&amp;$AC725&amp;IF($AB725&lt;=TODAY()," is due TODAY ("," is due next business day (")&amp;TEXT($AB725,"dd-mmm")&amp;").","Next: "&amp;$AC725&amp;" due "&amp;TEXT($AB725,"dd-mmm")&amp;" ("&amp;(NETWORKDAYS(TODAY(),$AB725,Holidays)-1)&amp;" business day(s) left).")))))</f>
        <v/>
      </c>
      <c r="W725" s="17">
        <f>IF($Z725="","",CHOOSE($Z725,"Collection Email","1st Follow-up","2nd Follow-up","Local Office","CBE","Roxanne")&amp;IF($Z725=6," - Final"," - Day "&amp;MAX(0,NETWORKDAYS($AA725,TODAY(),Holidays)-1)&amp;" of "&amp;CHOOSE($Z725,3,3,2,2,3))&amp;" | Total Day "&amp;MAX(0,NETWORKDAYS($N725,TODAY(),Holidays)-1))</f>
        <v/>
      </c>
      <c r="X725" s="18"/>
      <c r="Y725" s="18"/>
      <c r="Z725" s="17">
        <f>IF($N725="","",COUNT($N725:$S725))</f>
        <v/>
      </c>
      <c r="AA725" s="19">
        <f>IF($Z725="","",INT(INDEX($N725:$S725,$Z725)))</f>
        <v/>
      </c>
      <c r="AB725" s="19">
        <f>IF(OR($Z725="",$Z725=6),"",WORKDAY($AA725,CHOOSE($Z725,3,3,2,2,3),Holidays))</f>
        <v/>
      </c>
      <c r="AC725" s="17">
        <f>IF(OR($Z725="",$Z725=6),"",CHOOSE($Z725,"1st Email Follow-up","2nd Email Follow-up","Escalate Local Office","Escalate to CBE","Escalate to Roxanne"))</f>
        <v/>
      </c>
    </row>
    <row r="726" spans="13:29">
      <c r="M726" s="14"/>
      <c r="T726" s="16"/>
      <c r="U726" s="17">
        <f>IF(AND(COUNTA($A726:$L726)=0,$N726=""),"",IF($T726="Paid","PAID",IF($T726="Closed","CLOSED",IF($Z726="","",IF($Z726=6,"ESCALATED TO ROXANNE",IF(TODAY()&gt;$AB726,"OVERDUE",IF($AB726&lt;=WORKDAY(TODAY(),1,Holidays),"DUE TOMORROW",IF($Z726=4,"ESCALATED TO LOCAL OFFICE",IF($Z726=5,"ESCALATED TO CBE",IF($AA726=TODAY(),"EMAIL SENT","MONITORING"))))))))))</f>
        <v/>
      </c>
      <c r="V726" s="17">
        <f>IF($U726="",IF(AND(COUNTA($A726:$L726)&gt;0,$N726=""),"Awaiting Collection Email time stamp.",""),IF(OR($U726="PAID",$U726="CLOSED"),IF($U726="PAID","Account paid. Action completed.","Account closed. No further action required."),CHOOSE($Z726,"Collection Email","1st Email Follow-up","2nd Email Follow-up","Escalation to Local Office","Escalation to CBE","Escalation to Roxanne")&amp;" sent "&amp;TEXT($AA726,"dd-mmm")&amp;". "&amp;IF($Z726=6,"Final escalation completed.",IF($U726="OVERDUE","Next: "&amp;$AC726&amp;" was due "&amp;TEXT($AB726,"dd-mmm")&amp;" - "&amp;(NETWORKDAYS($AB726,TODAY(),Holidays)-1)&amp;" business day(s) late. Send now.",IF($U726="DUE TOMORROW","Next: "&amp;$AC726&amp;IF($AB726&lt;=TODAY()," is due TODAY ("," is due next business day (")&amp;TEXT($AB726,"dd-mmm")&amp;").","Next: "&amp;$AC726&amp;" due "&amp;TEXT($AB726,"dd-mmm")&amp;" ("&amp;(NETWORKDAYS(TODAY(),$AB726,Holidays)-1)&amp;" business day(s) left).")))))</f>
        <v/>
      </c>
      <c r="W726" s="17">
        <f>IF($Z726="","",CHOOSE($Z726,"Collection Email","1st Follow-up","2nd Follow-up","Local Office","CBE","Roxanne")&amp;IF($Z726=6," - Final"," - Day "&amp;MAX(0,NETWORKDAYS($AA726,TODAY(),Holidays)-1)&amp;" of "&amp;CHOOSE($Z726,3,3,2,2,3))&amp;" | Total Day "&amp;MAX(0,NETWORKDAYS($N726,TODAY(),Holidays)-1))</f>
        <v/>
      </c>
      <c r="X726" s="18"/>
      <c r="Y726" s="18"/>
      <c r="Z726" s="17">
        <f>IF($N726="","",COUNT($N726:$S726))</f>
        <v/>
      </c>
      <c r="AA726" s="19">
        <f>IF($Z726="","",INT(INDEX($N726:$S726,$Z726)))</f>
        <v/>
      </c>
      <c r="AB726" s="19">
        <f>IF(OR($Z726="",$Z726=6),"",WORKDAY($AA726,CHOOSE($Z726,3,3,2,2,3),Holidays))</f>
        <v/>
      </c>
      <c r="AC726" s="17">
        <f>IF(OR($Z726="",$Z726=6),"",CHOOSE($Z726,"1st Email Follow-up","2nd Email Follow-up","Escalate Local Office","Escalate to CBE","Escalate to Roxanne"))</f>
        <v/>
      </c>
    </row>
    <row r="727" spans="13:29">
      <c r="M727" s="14"/>
      <c r="T727" s="16"/>
      <c r="U727" s="17">
        <f>IF(AND(COUNTA($A727:$L727)=0,$N727=""),"",IF($T727="Paid","PAID",IF($T727="Closed","CLOSED",IF($Z727="","",IF($Z727=6,"ESCALATED TO ROXANNE",IF(TODAY()&gt;$AB727,"OVERDUE",IF($AB727&lt;=WORKDAY(TODAY(),1,Holidays),"DUE TOMORROW",IF($Z727=4,"ESCALATED TO LOCAL OFFICE",IF($Z727=5,"ESCALATED TO CBE",IF($AA727=TODAY(),"EMAIL SENT","MONITORING"))))))))))</f>
        <v/>
      </c>
      <c r="V727" s="17">
        <f>IF($U727="",IF(AND(COUNTA($A727:$L727)&gt;0,$N727=""),"Awaiting Collection Email time stamp.",""),IF(OR($U727="PAID",$U727="CLOSED"),IF($U727="PAID","Account paid. Action completed.","Account closed. No further action required."),CHOOSE($Z727,"Collection Email","1st Email Follow-up","2nd Email Follow-up","Escalation to Local Office","Escalation to CBE","Escalation to Roxanne")&amp;" sent "&amp;TEXT($AA727,"dd-mmm")&amp;". "&amp;IF($Z727=6,"Final escalation completed.",IF($U727="OVERDUE","Next: "&amp;$AC727&amp;" was due "&amp;TEXT($AB727,"dd-mmm")&amp;" - "&amp;(NETWORKDAYS($AB727,TODAY(),Holidays)-1)&amp;" business day(s) late. Send now.",IF($U727="DUE TOMORROW","Next: "&amp;$AC727&amp;IF($AB727&lt;=TODAY()," is due TODAY ("," is due next business day (")&amp;TEXT($AB727,"dd-mmm")&amp;").","Next: "&amp;$AC727&amp;" due "&amp;TEXT($AB727,"dd-mmm")&amp;" ("&amp;(NETWORKDAYS(TODAY(),$AB727,Holidays)-1)&amp;" business day(s) left).")))))</f>
        <v/>
      </c>
      <c r="W727" s="17">
        <f>IF($Z727="","",CHOOSE($Z727,"Collection Email","1st Follow-up","2nd Follow-up","Local Office","CBE","Roxanne")&amp;IF($Z727=6," - Final"," - Day "&amp;MAX(0,NETWORKDAYS($AA727,TODAY(),Holidays)-1)&amp;" of "&amp;CHOOSE($Z727,3,3,2,2,3))&amp;" | Total Day "&amp;MAX(0,NETWORKDAYS($N727,TODAY(),Holidays)-1))</f>
        <v/>
      </c>
      <c r="X727" s="18"/>
      <c r="Y727" s="18"/>
      <c r="Z727" s="17">
        <f>IF($N727="","",COUNT($N727:$S727))</f>
        <v/>
      </c>
      <c r="AA727" s="19">
        <f>IF($Z727="","",INT(INDEX($N727:$S727,$Z727)))</f>
        <v/>
      </c>
      <c r="AB727" s="19">
        <f>IF(OR($Z727="",$Z727=6),"",WORKDAY($AA727,CHOOSE($Z727,3,3,2,2,3),Holidays))</f>
        <v/>
      </c>
      <c r="AC727" s="17">
        <f>IF(OR($Z727="",$Z727=6),"",CHOOSE($Z727,"1st Email Follow-up","2nd Email Follow-up","Escalate Local Office","Escalate to CBE","Escalate to Roxanne"))</f>
        <v/>
      </c>
    </row>
    <row r="728" spans="13:29">
      <c r="M728" s="14"/>
      <c r="T728" s="16"/>
      <c r="U728" s="17">
        <f>IF(AND(COUNTA($A728:$L728)=0,$N728=""),"",IF($T728="Paid","PAID",IF($T728="Closed","CLOSED",IF($Z728="","",IF($Z728=6,"ESCALATED TO ROXANNE",IF(TODAY()&gt;$AB728,"OVERDUE",IF($AB728&lt;=WORKDAY(TODAY(),1,Holidays),"DUE TOMORROW",IF($Z728=4,"ESCALATED TO LOCAL OFFICE",IF($Z728=5,"ESCALATED TO CBE",IF($AA728=TODAY(),"EMAIL SENT","MONITORING"))))))))))</f>
        <v/>
      </c>
      <c r="V728" s="17">
        <f>IF($U728="",IF(AND(COUNTA($A728:$L728)&gt;0,$N728=""),"Awaiting Collection Email time stamp.",""),IF(OR($U728="PAID",$U728="CLOSED"),IF($U728="PAID","Account paid. Action completed.","Account closed. No further action required."),CHOOSE($Z728,"Collection Email","1st Email Follow-up","2nd Email Follow-up","Escalation to Local Office","Escalation to CBE","Escalation to Roxanne")&amp;" sent "&amp;TEXT($AA728,"dd-mmm")&amp;". "&amp;IF($Z728=6,"Final escalation completed.",IF($U728="OVERDUE","Next: "&amp;$AC728&amp;" was due "&amp;TEXT($AB728,"dd-mmm")&amp;" - "&amp;(NETWORKDAYS($AB728,TODAY(),Holidays)-1)&amp;" business day(s) late. Send now.",IF($U728="DUE TOMORROW","Next: "&amp;$AC728&amp;IF($AB728&lt;=TODAY()," is due TODAY ("," is due next business day (")&amp;TEXT($AB728,"dd-mmm")&amp;").","Next: "&amp;$AC728&amp;" due "&amp;TEXT($AB728,"dd-mmm")&amp;" ("&amp;(NETWORKDAYS(TODAY(),$AB728,Holidays)-1)&amp;" business day(s) left).")))))</f>
        <v/>
      </c>
      <c r="W728" s="17">
        <f>IF($Z728="","",CHOOSE($Z728,"Collection Email","1st Follow-up","2nd Follow-up","Local Office","CBE","Roxanne")&amp;IF($Z728=6," - Final"," - Day "&amp;MAX(0,NETWORKDAYS($AA728,TODAY(),Holidays)-1)&amp;" of "&amp;CHOOSE($Z728,3,3,2,2,3))&amp;" | Total Day "&amp;MAX(0,NETWORKDAYS($N728,TODAY(),Holidays)-1))</f>
        <v/>
      </c>
      <c r="X728" s="18"/>
      <c r="Y728" s="18"/>
      <c r="Z728" s="17">
        <f>IF($N728="","",COUNT($N728:$S728))</f>
        <v/>
      </c>
      <c r="AA728" s="19">
        <f>IF($Z728="","",INT(INDEX($N728:$S728,$Z728)))</f>
        <v/>
      </c>
      <c r="AB728" s="19">
        <f>IF(OR($Z728="",$Z728=6),"",WORKDAY($AA728,CHOOSE($Z728,3,3,2,2,3),Holidays))</f>
        <v/>
      </c>
      <c r="AC728" s="17">
        <f>IF(OR($Z728="",$Z728=6),"",CHOOSE($Z728,"1st Email Follow-up","2nd Email Follow-up","Escalate Local Office","Escalate to CBE","Escalate to Roxanne"))</f>
        <v/>
      </c>
    </row>
    <row r="729" spans="13:29">
      <c r="M729" s="14"/>
      <c r="T729" s="16"/>
      <c r="U729" s="17">
        <f>IF(AND(COUNTA($A729:$L729)=0,$N729=""),"",IF($T729="Paid","PAID",IF($T729="Closed","CLOSED",IF($Z729="","",IF($Z729=6,"ESCALATED TO ROXANNE",IF(TODAY()&gt;$AB729,"OVERDUE",IF($AB729&lt;=WORKDAY(TODAY(),1,Holidays),"DUE TOMORROW",IF($Z729=4,"ESCALATED TO LOCAL OFFICE",IF($Z729=5,"ESCALATED TO CBE",IF($AA729=TODAY(),"EMAIL SENT","MONITORING"))))))))))</f>
        <v/>
      </c>
      <c r="V729" s="17">
        <f>IF($U729="",IF(AND(COUNTA($A729:$L729)&gt;0,$N729=""),"Awaiting Collection Email time stamp.",""),IF(OR($U729="PAID",$U729="CLOSED"),IF($U729="PAID","Account paid. Action completed.","Account closed. No further action required."),CHOOSE($Z729,"Collection Email","1st Email Follow-up","2nd Email Follow-up","Escalation to Local Office","Escalation to CBE","Escalation to Roxanne")&amp;" sent "&amp;TEXT($AA729,"dd-mmm")&amp;". "&amp;IF($Z729=6,"Final escalation completed.",IF($U729="OVERDUE","Next: "&amp;$AC729&amp;" was due "&amp;TEXT($AB729,"dd-mmm")&amp;" - "&amp;(NETWORKDAYS($AB729,TODAY(),Holidays)-1)&amp;" business day(s) late. Send now.",IF($U729="DUE TOMORROW","Next: "&amp;$AC729&amp;IF($AB729&lt;=TODAY()," is due TODAY ("," is due next business day (")&amp;TEXT($AB729,"dd-mmm")&amp;").","Next: "&amp;$AC729&amp;" due "&amp;TEXT($AB729,"dd-mmm")&amp;" ("&amp;(NETWORKDAYS(TODAY(),$AB729,Holidays)-1)&amp;" business day(s) left).")))))</f>
        <v/>
      </c>
      <c r="W729" s="17">
        <f>IF($Z729="","",CHOOSE($Z729,"Collection Email","1st Follow-up","2nd Follow-up","Local Office","CBE","Roxanne")&amp;IF($Z729=6," - Final"," - Day "&amp;MAX(0,NETWORKDAYS($AA729,TODAY(),Holidays)-1)&amp;" of "&amp;CHOOSE($Z729,3,3,2,2,3))&amp;" | Total Day "&amp;MAX(0,NETWORKDAYS($N729,TODAY(),Holidays)-1))</f>
        <v/>
      </c>
      <c r="X729" s="18"/>
      <c r="Y729" s="18"/>
      <c r="Z729" s="17">
        <f>IF($N729="","",COUNT($N729:$S729))</f>
        <v/>
      </c>
      <c r="AA729" s="19">
        <f>IF($Z729="","",INT(INDEX($N729:$S729,$Z729)))</f>
        <v/>
      </c>
      <c r="AB729" s="19">
        <f>IF(OR($Z729="",$Z729=6),"",WORKDAY($AA729,CHOOSE($Z729,3,3,2,2,3),Holidays))</f>
        <v/>
      </c>
      <c r="AC729" s="17">
        <f>IF(OR($Z729="",$Z729=6),"",CHOOSE($Z729,"1st Email Follow-up","2nd Email Follow-up","Escalate Local Office","Escalate to CBE","Escalate to Roxanne"))</f>
        <v/>
      </c>
    </row>
    <row r="730" spans="13:29">
      <c r="M730" s="14"/>
      <c r="T730" s="16"/>
      <c r="U730" s="17">
        <f>IF(AND(COUNTA($A730:$L730)=0,$N730=""),"",IF($T730="Paid","PAID",IF($T730="Closed","CLOSED",IF($Z730="","",IF($Z730=6,"ESCALATED TO ROXANNE",IF(TODAY()&gt;$AB730,"OVERDUE",IF($AB730&lt;=WORKDAY(TODAY(),1,Holidays),"DUE TOMORROW",IF($Z730=4,"ESCALATED TO LOCAL OFFICE",IF($Z730=5,"ESCALATED TO CBE",IF($AA730=TODAY(),"EMAIL SENT","MONITORING"))))))))))</f>
        <v/>
      </c>
      <c r="V730" s="17">
        <f>IF($U730="",IF(AND(COUNTA($A730:$L730)&gt;0,$N730=""),"Awaiting Collection Email time stamp.",""),IF(OR($U730="PAID",$U730="CLOSED"),IF($U730="PAID","Account paid. Action completed.","Account closed. No further action required."),CHOOSE($Z730,"Collection Email","1st Email Follow-up","2nd Email Follow-up","Escalation to Local Office","Escalation to CBE","Escalation to Roxanne")&amp;" sent "&amp;TEXT($AA730,"dd-mmm")&amp;". "&amp;IF($Z730=6,"Final escalation completed.",IF($U730="OVERDUE","Next: "&amp;$AC730&amp;" was due "&amp;TEXT($AB730,"dd-mmm")&amp;" - "&amp;(NETWORKDAYS($AB730,TODAY(),Holidays)-1)&amp;" business day(s) late. Send now.",IF($U730="DUE TOMORROW","Next: "&amp;$AC730&amp;IF($AB730&lt;=TODAY()," is due TODAY ("," is due next business day (")&amp;TEXT($AB730,"dd-mmm")&amp;").","Next: "&amp;$AC730&amp;" due "&amp;TEXT($AB730,"dd-mmm")&amp;" ("&amp;(NETWORKDAYS(TODAY(),$AB730,Holidays)-1)&amp;" business day(s) left).")))))</f>
        <v/>
      </c>
      <c r="W730" s="17">
        <f>IF($Z730="","",CHOOSE($Z730,"Collection Email","1st Follow-up","2nd Follow-up","Local Office","CBE","Roxanne")&amp;IF($Z730=6," - Final"," - Day "&amp;MAX(0,NETWORKDAYS($AA730,TODAY(),Holidays)-1)&amp;" of "&amp;CHOOSE($Z730,3,3,2,2,3))&amp;" | Total Day "&amp;MAX(0,NETWORKDAYS($N730,TODAY(),Holidays)-1))</f>
        <v/>
      </c>
      <c r="X730" s="18"/>
      <c r="Y730" s="18"/>
      <c r="Z730" s="17">
        <f>IF($N730="","",COUNT($N730:$S730))</f>
        <v/>
      </c>
      <c r="AA730" s="19">
        <f>IF($Z730="","",INT(INDEX($N730:$S730,$Z730)))</f>
        <v/>
      </c>
      <c r="AB730" s="19">
        <f>IF(OR($Z730="",$Z730=6),"",WORKDAY($AA730,CHOOSE($Z730,3,3,2,2,3),Holidays))</f>
        <v/>
      </c>
      <c r="AC730" s="17">
        <f>IF(OR($Z730="",$Z730=6),"",CHOOSE($Z730,"1st Email Follow-up","2nd Email Follow-up","Escalate Local Office","Escalate to CBE","Escalate to Roxanne"))</f>
        <v/>
      </c>
    </row>
    <row r="731" spans="13:29">
      <c r="M731" s="14"/>
      <c r="T731" s="16"/>
      <c r="U731" s="17">
        <f>IF(AND(COUNTA($A731:$L731)=0,$N731=""),"",IF($T731="Paid","PAID",IF($T731="Closed","CLOSED",IF($Z731="","",IF($Z731=6,"ESCALATED TO ROXANNE",IF(TODAY()&gt;$AB731,"OVERDUE",IF($AB731&lt;=WORKDAY(TODAY(),1,Holidays),"DUE TOMORROW",IF($Z731=4,"ESCALATED TO LOCAL OFFICE",IF($Z731=5,"ESCALATED TO CBE",IF($AA731=TODAY(),"EMAIL SENT","MONITORING"))))))))))</f>
        <v/>
      </c>
      <c r="V731" s="17">
        <f>IF($U731="",IF(AND(COUNTA($A731:$L731)&gt;0,$N731=""),"Awaiting Collection Email time stamp.",""),IF(OR($U731="PAID",$U731="CLOSED"),IF($U731="PAID","Account paid. Action completed.","Account closed. No further action required."),CHOOSE($Z731,"Collection Email","1st Email Follow-up","2nd Email Follow-up","Escalation to Local Office","Escalation to CBE","Escalation to Roxanne")&amp;" sent "&amp;TEXT($AA731,"dd-mmm")&amp;". "&amp;IF($Z731=6,"Final escalation completed.",IF($U731="OVERDUE","Next: "&amp;$AC731&amp;" was due "&amp;TEXT($AB731,"dd-mmm")&amp;" - "&amp;(NETWORKDAYS($AB731,TODAY(),Holidays)-1)&amp;" business day(s) late. Send now.",IF($U731="DUE TOMORROW","Next: "&amp;$AC731&amp;IF($AB731&lt;=TODAY()," is due TODAY ("," is due next business day (")&amp;TEXT($AB731,"dd-mmm")&amp;").","Next: "&amp;$AC731&amp;" due "&amp;TEXT($AB731,"dd-mmm")&amp;" ("&amp;(NETWORKDAYS(TODAY(),$AB731,Holidays)-1)&amp;" business day(s) left).")))))</f>
        <v/>
      </c>
      <c r="W731" s="17">
        <f>IF($Z731="","",CHOOSE($Z731,"Collection Email","1st Follow-up","2nd Follow-up","Local Office","CBE","Roxanne")&amp;IF($Z731=6," - Final"," - Day "&amp;MAX(0,NETWORKDAYS($AA731,TODAY(),Holidays)-1)&amp;" of "&amp;CHOOSE($Z731,3,3,2,2,3))&amp;" | Total Day "&amp;MAX(0,NETWORKDAYS($N731,TODAY(),Holidays)-1))</f>
        <v/>
      </c>
      <c r="X731" s="18"/>
      <c r="Y731" s="18"/>
      <c r="Z731" s="17">
        <f>IF($N731="","",COUNT($N731:$S731))</f>
        <v/>
      </c>
      <c r="AA731" s="19">
        <f>IF($Z731="","",INT(INDEX($N731:$S731,$Z731)))</f>
        <v/>
      </c>
      <c r="AB731" s="19">
        <f>IF(OR($Z731="",$Z731=6),"",WORKDAY($AA731,CHOOSE($Z731,3,3,2,2,3),Holidays))</f>
        <v/>
      </c>
      <c r="AC731" s="17">
        <f>IF(OR($Z731="",$Z731=6),"",CHOOSE($Z731,"1st Email Follow-up","2nd Email Follow-up","Escalate Local Office","Escalate to CBE","Escalate to Roxanne"))</f>
        <v/>
      </c>
    </row>
    <row r="732" spans="13:29">
      <c r="M732" s="14"/>
      <c r="T732" s="16"/>
      <c r="U732" s="17">
        <f>IF(AND(COUNTA($A732:$L732)=0,$N732=""),"",IF($T732="Paid","PAID",IF($T732="Closed","CLOSED",IF($Z732="","",IF($Z732=6,"ESCALATED TO ROXANNE",IF(TODAY()&gt;$AB732,"OVERDUE",IF($AB732&lt;=WORKDAY(TODAY(),1,Holidays),"DUE TOMORROW",IF($Z732=4,"ESCALATED TO LOCAL OFFICE",IF($Z732=5,"ESCALATED TO CBE",IF($AA732=TODAY(),"EMAIL SENT","MONITORING"))))))))))</f>
        <v/>
      </c>
      <c r="V732" s="17">
        <f>IF($U732="",IF(AND(COUNTA($A732:$L732)&gt;0,$N732=""),"Awaiting Collection Email time stamp.",""),IF(OR($U732="PAID",$U732="CLOSED"),IF($U732="PAID","Account paid. Action completed.","Account closed. No further action required."),CHOOSE($Z732,"Collection Email","1st Email Follow-up","2nd Email Follow-up","Escalation to Local Office","Escalation to CBE","Escalation to Roxanne")&amp;" sent "&amp;TEXT($AA732,"dd-mmm")&amp;". "&amp;IF($Z732=6,"Final escalation completed.",IF($U732="OVERDUE","Next: "&amp;$AC732&amp;" was due "&amp;TEXT($AB732,"dd-mmm")&amp;" - "&amp;(NETWORKDAYS($AB732,TODAY(),Holidays)-1)&amp;" business day(s) late. Send now.",IF($U732="DUE TOMORROW","Next: "&amp;$AC732&amp;IF($AB732&lt;=TODAY()," is due TODAY ("," is due next business day (")&amp;TEXT($AB732,"dd-mmm")&amp;").","Next: "&amp;$AC732&amp;" due "&amp;TEXT($AB732,"dd-mmm")&amp;" ("&amp;(NETWORKDAYS(TODAY(),$AB732,Holidays)-1)&amp;" business day(s) left).")))))</f>
        <v/>
      </c>
      <c r="W732" s="17">
        <f>IF($Z732="","",CHOOSE($Z732,"Collection Email","1st Follow-up","2nd Follow-up","Local Office","CBE","Roxanne")&amp;IF($Z732=6," - Final"," - Day "&amp;MAX(0,NETWORKDAYS($AA732,TODAY(),Holidays)-1)&amp;" of "&amp;CHOOSE($Z732,3,3,2,2,3))&amp;" | Total Day "&amp;MAX(0,NETWORKDAYS($N732,TODAY(),Holidays)-1))</f>
        <v/>
      </c>
      <c r="X732" s="18"/>
      <c r="Y732" s="18"/>
      <c r="Z732" s="17">
        <f>IF($N732="","",COUNT($N732:$S732))</f>
        <v/>
      </c>
      <c r="AA732" s="19">
        <f>IF($Z732="","",INT(INDEX($N732:$S732,$Z732)))</f>
        <v/>
      </c>
      <c r="AB732" s="19">
        <f>IF(OR($Z732="",$Z732=6),"",WORKDAY($AA732,CHOOSE($Z732,3,3,2,2,3),Holidays))</f>
        <v/>
      </c>
      <c r="AC732" s="17">
        <f>IF(OR($Z732="",$Z732=6),"",CHOOSE($Z732,"1st Email Follow-up","2nd Email Follow-up","Escalate Local Office","Escalate to CBE","Escalate to Roxanne"))</f>
        <v/>
      </c>
    </row>
    <row r="733" spans="13:29">
      <c r="M733" s="14"/>
      <c r="T733" s="16"/>
      <c r="U733" s="17">
        <f>IF(AND(COUNTA($A733:$L733)=0,$N733=""),"",IF($T733="Paid","PAID",IF($T733="Closed","CLOSED",IF($Z733="","",IF($Z733=6,"ESCALATED TO ROXANNE",IF(TODAY()&gt;$AB733,"OVERDUE",IF($AB733&lt;=WORKDAY(TODAY(),1,Holidays),"DUE TOMORROW",IF($Z733=4,"ESCALATED TO LOCAL OFFICE",IF($Z733=5,"ESCALATED TO CBE",IF($AA733=TODAY(),"EMAIL SENT","MONITORING"))))))))))</f>
        <v/>
      </c>
      <c r="V733" s="17">
        <f>IF($U733="",IF(AND(COUNTA($A733:$L733)&gt;0,$N733=""),"Awaiting Collection Email time stamp.",""),IF(OR($U733="PAID",$U733="CLOSED"),IF($U733="PAID","Account paid. Action completed.","Account closed. No further action required."),CHOOSE($Z733,"Collection Email","1st Email Follow-up","2nd Email Follow-up","Escalation to Local Office","Escalation to CBE","Escalation to Roxanne")&amp;" sent "&amp;TEXT($AA733,"dd-mmm")&amp;". "&amp;IF($Z733=6,"Final escalation completed.",IF($U733="OVERDUE","Next: "&amp;$AC733&amp;" was due "&amp;TEXT($AB733,"dd-mmm")&amp;" - "&amp;(NETWORKDAYS($AB733,TODAY(),Holidays)-1)&amp;" business day(s) late. Send now.",IF($U733="DUE TOMORROW","Next: "&amp;$AC733&amp;IF($AB733&lt;=TODAY()," is due TODAY ("," is due next business day (")&amp;TEXT($AB733,"dd-mmm")&amp;").","Next: "&amp;$AC733&amp;" due "&amp;TEXT($AB733,"dd-mmm")&amp;" ("&amp;(NETWORKDAYS(TODAY(),$AB733,Holidays)-1)&amp;" business day(s) left).")))))</f>
        <v/>
      </c>
      <c r="W733" s="17">
        <f>IF($Z733="","",CHOOSE($Z733,"Collection Email","1st Follow-up","2nd Follow-up","Local Office","CBE","Roxanne")&amp;IF($Z733=6," - Final"," - Day "&amp;MAX(0,NETWORKDAYS($AA733,TODAY(),Holidays)-1)&amp;" of "&amp;CHOOSE($Z733,3,3,2,2,3))&amp;" | Total Day "&amp;MAX(0,NETWORKDAYS($N733,TODAY(),Holidays)-1))</f>
        <v/>
      </c>
      <c r="X733" s="18"/>
      <c r="Y733" s="18"/>
      <c r="Z733" s="17">
        <f>IF($N733="","",COUNT($N733:$S733))</f>
        <v/>
      </c>
      <c r="AA733" s="19">
        <f>IF($Z733="","",INT(INDEX($N733:$S733,$Z733)))</f>
        <v/>
      </c>
      <c r="AB733" s="19">
        <f>IF(OR($Z733="",$Z733=6),"",WORKDAY($AA733,CHOOSE($Z733,3,3,2,2,3),Holidays))</f>
        <v/>
      </c>
      <c r="AC733" s="17">
        <f>IF(OR($Z733="",$Z733=6),"",CHOOSE($Z733,"1st Email Follow-up","2nd Email Follow-up","Escalate Local Office","Escalate to CBE","Escalate to Roxanne"))</f>
        <v/>
      </c>
    </row>
    <row r="734" spans="13:29">
      <c r="M734" s="14"/>
      <c r="T734" s="16"/>
      <c r="U734" s="17">
        <f>IF(AND(COUNTA($A734:$L734)=0,$N734=""),"",IF($T734="Paid","PAID",IF($T734="Closed","CLOSED",IF($Z734="","",IF($Z734=6,"ESCALATED TO ROXANNE",IF(TODAY()&gt;$AB734,"OVERDUE",IF($AB734&lt;=WORKDAY(TODAY(),1,Holidays),"DUE TOMORROW",IF($Z734=4,"ESCALATED TO LOCAL OFFICE",IF($Z734=5,"ESCALATED TO CBE",IF($AA734=TODAY(),"EMAIL SENT","MONITORING"))))))))))</f>
        <v/>
      </c>
      <c r="V734" s="17">
        <f>IF($U734="",IF(AND(COUNTA($A734:$L734)&gt;0,$N734=""),"Awaiting Collection Email time stamp.",""),IF(OR($U734="PAID",$U734="CLOSED"),IF($U734="PAID","Account paid. Action completed.","Account closed. No further action required."),CHOOSE($Z734,"Collection Email","1st Email Follow-up","2nd Email Follow-up","Escalation to Local Office","Escalation to CBE","Escalation to Roxanne")&amp;" sent "&amp;TEXT($AA734,"dd-mmm")&amp;". "&amp;IF($Z734=6,"Final escalation completed.",IF($U734="OVERDUE","Next: "&amp;$AC734&amp;" was due "&amp;TEXT($AB734,"dd-mmm")&amp;" - "&amp;(NETWORKDAYS($AB734,TODAY(),Holidays)-1)&amp;" business day(s) late. Send now.",IF($U734="DUE TOMORROW","Next: "&amp;$AC734&amp;IF($AB734&lt;=TODAY()," is due TODAY ("," is due next business day (")&amp;TEXT($AB734,"dd-mmm")&amp;").","Next: "&amp;$AC734&amp;" due "&amp;TEXT($AB734,"dd-mmm")&amp;" ("&amp;(NETWORKDAYS(TODAY(),$AB734,Holidays)-1)&amp;" business day(s) left).")))))</f>
        <v/>
      </c>
      <c r="W734" s="17">
        <f>IF($Z734="","",CHOOSE($Z734,"Collection Email","1st Follow-up","2nd Follow-up","Local Office","CBE","Roxanne")&amp;IF($Z734=6," - Final"," - Day "&amp;MAX(0,NETWORKDAYS($AA734,TODAY(),Holidays)-1)&amp;" of "&amp;CHOOSE($Z734,3,3,2,2,3))&amp;" | Total Day "&amp;MAX(0,NETWORKDAYS($N734,TODAY(),Holidays)-1))</f>
        <v/>
      </c>
      <c r="X734" s="18"/>
      <c r="Y734" s="18"/>
      <c r="Z734" s="17">
        <f>IF($N734="","",COUNT($N734:$S734))</f>
        <v/>
      </c>
      <c r="AA734" s="19">
        <f>IF($Z734="","",INT(INDEX($N734:$S734,$Z734)))</f>
        <v/>
      </c>
      <c r="AB734" s="19">
        <f>IF(OR($Z734="",$Z734=6),"",WORKDAY($AA734,CHOOSE($Z734,3,3,2,2,3),Holidays))</f>
        <v/>
      </c>
      <c r="AC734" s="17">
        <f>IF(OR($Z734="",$Z734=6),"",CHOOSE($Z734,"1st Email Follow-up","2nd Email Follow-up","Escalate Local Office","Escalate to CBE","Escalate to Roxanne"))</f>
        <v/>
      </c>
    </row>
    <row r="735" spans="13:29">
      <c r="M735" s="14"/>
      <c r="T735" s="16"/>
      <c r="U735" s="17">
        <f>IF(AND(COUNTA($A735:$L735)=0,$N735=""),"",IF($T735="Paid","PAID",IF($T735="Closed","CLOSED",IF($Z735="","",IF($Z735=6,"ESCALATED TO ROXANNE",IF(TODAY()&gt;$AB735,"OVERDUE",IF($AB735&lt;=WORKDAY(TODAY(),1,Holidays),"DUE TOMORROW",IF($Z735=4,"ESCALATED TO LOCAL OFFICE",IF($Z735=5,"ESCALATED TO CBE",IF($AA735=TODAY(),"EMAIL SENT","MONITORING"))))))))))</f>
        <v/>
      </c>
      <c r="V735" s="17">
        <f>IF($U735="",IF(AND(COUNTA($A735:$L735)&gt;0,$N735=""),"Awaiting Collection Email time stamp.",""),IF(OR($U735="PAID",$U735="CLOSED"),IF($U735="PAID","Account paid. Action completed.","Account closed. No further action required."),CHOOSE($Z735,"Collection Email","1st Email Follow-up","2nd Email Follow-up","Escalation to Local Office","Escalation to CBE","Escalation to Roxanne")&amp;" sent "&amp;TEXT($AA735,"dd-mmm")&amp;". "&amp;IF($Z735=6,"Final escalation completed.",IF($U735="OVERDUE","Next: "&amp;$AC735&amp;" was due "&amp;TEXT($AB735,"dd-mmm")&amp;" - "&amp;(NETWORKDAYS($AB735,TODAY(),Holidays)-1)&amp;" business day(s) late. Send now.",IF($U735="DUE TOMORROW","Next: "&amp;$AC735&amp;IF($AB735&lt;=TODAY()," is due TODAY ("," is due next business day (")&amp;TEXT($AB735,"dd-mmm")&amp;").","Next: "&amp;$AC735&amp;" due "&amp;TEXT($AB735,"dd-mmm")&amp;" ("&amp;(NETWORKDAYS(TODAY(),$AB735,Holidays)-1)&amp;" business day(s) left).")))))</f>
        <v/>
      </c>
      <c r="W735" s="17">
        <f>IF($Z735="","",CHOOSE($Z735,"Collection Email","1st Follow-up","2nd Follow-up","Local Office","CBE","Roxanne")&amp;IF($Z735=6," - Final"," - Day "&amp;MAX(0,NETWORKDAYS($AA735,TODAY(),Holidays)-1)&amp;" of "&amp;CHOOSE($Z735,3,3,2,2,3))&amp;" | Total Day "&amp;MAX(0,NETWORKDAYS($N735,TODAY(),Holidays)-1))</f>
        <v/>
      </c>
      <c r="X735" s="18"/>
      <c r="Y735" s="18"/>
      <c r="Z735" s="17">
        <f>IF($N735="","",COUNT($N735:$S735))</f>
        <v/>
      </c>
      <c r="AA735" s="19">
        <f>IF($Z735="","",INT(INDEX($N735:$S735,$Z735)))</f>
        <v/>
      </c>
      <c r="AB735" s="19">
        <f>IF(OR($Z735="",$Z735=6),"",WORKDAY($AA735,CHOOSE($Z735,3,3,2,2,3),Holidays))</f>
        <v/>
      </c>
      <c r="AC735" s="17">
        <f>IF(OR($Z735="",$Z735=6),"",CHOOSE($Z735,"1st Email Follow-up","2nd Email Follow-up","Escalate Local Office","Escalate to CBE","Escalate to Roxanne"))</f>
        <v/>
      </c>
    </row>
    <row r="736" spans="13:29">
      <c r="M736" s="14"/>
      <c r="T736" s="16"/>
      <c r="U736" s="17">
        <f>IF(AND(COUNTA($A736:$L736)=0,$N736=""),"",IF($T736="Paid","PAID",IF($T736="Closed","CLOSED",IF($Z736="","",IF($Z736=6,"ESCALATED TO ROXANNE",IF(TODAY()&gt;$AB736,"OVERDUE",IF($AB736&lt;=WORKDAY(TODAY(),1,Holidays),"DUE TOMORROW",IF($Z736=4,"ESCALATED TO LOCAL OFFICE",IF($Z736=5,"ESCALATED TO CBE",IF($AA736=TODAY(),"EMAIL SENT","MONITORING"))))))))))</f>
        <v/>
      </c>
      <c r="V736" s="17">
        <f>IF($U736="",IF(AND(COUNTA($A736:$L736)&gt;0,$N736=""),"Awaiting Collection Email time stamp.",""),IF(OR($U736="PAID",$U736="CLOSED"),IF($U736="PAID","Account paid. Action completed.","Account closed. No further action required."),CHOOSE($Z736,"Collection Email","1st Email Follow-up","2nd Email Follow-up","Escalation to Local Office","Escalation to CBE","Escalation to Roxanne")&amp;" sent "&amp;TEXT($AA736,"dd-mmm")&amp;". "&amp;IF($Z736=6,"Final escalation completed.",IF($U736="OVERDUE","Next: "&amp;$AC736&amp;" was due "&amp;TEXT($AB736,"dd-mmm")&amp;" - "&amp;(NETWORKDAYS($AB736,TODAY(),Holidays)-1)&amp;" business day(s) late. Send now.",IF($U736="DUE TOMORROW","Next: "&amp;$AC736&amp;IF($AB736&lt;=TODAY()," is due TODAY ("," is due next business day (")&amp;TEXT($AB736,"dd-mmm")&amp;").","Next: "&amp;$AC736&amp;" due "&amp;TEXT($AB736,"dd-mmm")&amp;" ("&amp;(NETWORKDAYS(TODAY(),$AB736,Holidays)-1)&amp;" business day(s) left).")))))</f>
        <v/>
      </c>
      <c r="W736" s="17">
        <f>IF($Z736="","",CHOOSE($Z736,"Collection Email","1st Follow-up","2nd Follow-up","Local Office","CBE","Roxanne")&amp;IF($Z736=6," - Final"," - Day "&amp;MAX(0,NETWORKDAYS($AA736,TODAY(),Holidays)-1)&amp;" of "&amp;CHOOSE($Z736,3,3,2,2,3))&amp;" | Total Day "&amp;MAX(0,NETWORKDAYS($N736,TODAY(),Holidays)-1))</f>
        <v/>
      </c>
      <c r="X736" s="18"/>
      <c r="Y736" s="18"/>
      <c r="Z736" s="17">
        <f>IF($N736="","",COUNT($N736:$S736))</f>
        <v/>
      </c>
      <c r="AA736" s="19">
        <f>IF($Z736="","",INT(INDEX($N736:$S736,$Z736)))</f>
        <v/>
      </c>
      <c r="AB736" s="19">
        <f>IF(OR($Z736="",$Z736=6),"",WORKDAY($AA736,CHOOSE($Z736,3,3,2,2,3),Holidays))</f>
        <v/>
      </c>
      <c r="AC736" s="17">
        <f>IF(OR($Z736="",$Z736=6),"",CHOOSE($Z736,"1st Email Follow-up","2nd Email Follow-up","Escalate Local Office","Escalate to CBE","Escalate to Roxanne"))</f>
        <v/>
      </c>
    </row>
    <row r="737" spans="13:29">
      <c r="M737" s="14"/>
      <c r="T737" s="16"/>
      <c r="U737" s="17">
        <f>IF(AND(COUNTA($A737:$L737)=0,$N737=""),"",IF($T737="Paid","PAID",IF($T737="Closed","CLOSED",IF($Z737="","",IF($Z737=6,"ESCALATED TO ROXANNE",IF(TODAY()&gt;$AB737,"OVERDUE",IF($AB737&lt;=WORKDAY(TODAY(),1,Holidays),"DUE TOMORROW",IF($Z737=4,"ESCALATED TO LOCAL OFFICE",IF($Z737=5,"ESCALATED TO CBE",IF($AA737=TODAY(),"EMAIL SENT","MONITORING"))))))))))</f>
        <v/>
      </c>
      <c r="V737" s="17">
        <f>IF($U737="",IF(AND(COUNTA($A737:$L737)&gt;0,$N737=""),"Awaiting Collection Email time stamp.",""),IF(OR($U737="PAID",$U737="CLOSED"),IF($U737="PAID","Account paid. Action completed.","Account closed. No further action required."),CHOOSE($Z737,"Collection Email","1st Email Follow-up","2nd Email Follow-up","Escalation to Local Office","Escalation to CBE","Escalation to Roxanne")&amp;" sent "&amp;TEXT($AA737,"dd-mmm")&amp;". "&amp;IF($Z737=6,"Final escalation completed.",IF($U737="OVERDUE","Next: "&amp;$AC737&amp;" was due "&amp;TEXT($AB737,"dd-mmm")&amp;" - "&amp;(NETWORKDAYS($AB737,TODAY(),Holidays)-1)&amp;" business day(s) late. Send now.",IF($U737="DUE TOMORROW","Next: "&amp;$AC737&amp;IF($AB737&lt;=TODAY()," is due TODAY ("," is due next business day (")&amp;TEXT($AB737,"dd-mmm")&amp;").","Next: "&amp;$AC737&amp;" due "&amp;TEXT($AB737,"dd-mmm")&amp;" ("&amp;(NETWORKDAYS(TODAY(),$AB737,Holidays)-1)&amp;" business day(s) left).")))))</f>
        <v/>
      </c>
      <c r="W737" s="17">
        <f>IF($Z737="","",CHOOSE($Z737,"Collection Email","1st Follow-up","2nd Follow-up","Local Office","CBE","Roxanne")&amp;IF($Z737=6," - Final"," - Day "&amp;MAX(0,NETWORKDAYS($AA737,TODAY(),Holidays)-1)&amp;" of "&amp;CHOOSE($Z737,3,3,2,2,3))&amp;" | Total Day "&amp;MAX(0,NETWORKDAYS($N737,TODAY(),Holidays)-1))</f>
        <v/>
      </c>
      <c r="X737" s="18"/>
      <c r="Y737" s="18"/>
      <c r="Z737" s="17">
        <f>IF($N737="","",COUNT($N737:$S737))</f>
        <v/>
      </c>
      <c r="AA737" s="19">
        <f>IF($Z737="","",INT(INDEX($N737:$S737,$Z737)))</f>
        <v/>
      </c>
      <c r="AB737" s="19">
        <f>IF(OR($Z737="",$Z737=6),"",WORKDAY($AA737,CHOOSE($Z737,3,3,2,2,3),Holidays))</f>
        <v/>
      </c>
      <c r="AC737" s="17">
        <f>IF(OR($Z737="",$Z737=6),"",CHOOSE($Z737,"1st Email Follow-up","2nd Email Follow-up","Escalate Local Office","Escalate to CBE","Escalate to Roxanne"))</f>
        <v/>
      </c>
    </row>
    <row r="738" spans="13:29">
      <c r="M738" s="14"/>
      <c r="T738" s="16"/>
      <c r="U738" s="17">
        <f>IF(AND(COUNTA($A738:$L738)=0,$N738=""),"",IF($T738="Paid","PAID",IF($T738="Closed","CLOSED",IF($Z738="","",IF($Z738=6,"ESCALATED TO ROXANNE",IF(TODAY()&gt;$AB738,"OVERDUE",IF($AB738&lt;=WORKDAY(TODAY(),1,Holidays),"DUE TOMORROW",IF($Z738=4,"ESCALATED TO LOCAL OFFICE",IF($Z738=5,"ESCALATED TO CBE",IF($AA738=TODAY(),"EMAIL SENT","MONITORING"))))))))))</f>
        <v/>
      </c>
      <c r="V738" s="17">
        <f>IF($U738="",IF(AND(COUNTA($A738:$L738)&gt;0,$N738=""),"Awaiting Collection Email time stamp.",""),IF(OR($U738="PAID",$U738="CLOSED"),IF($U738="PAID","Account paid. Action completed.","Account closed. No further action required."),CHOOSE($Z738,"Collection Email","1st Email Follow-up","2nd Email Follow-up","Escalation to Local Office","Escalation to CBE","Escalation to Roxanne")&amp;" sent "&amp;TEXT($AA738,"dd-mmm")&amp;". "&amp;IF($Z738=6,"Final escalation completed.",IF($U738="OVERDUE","Next: "&amp;$AC738&amp;" was due "&amp;TEXT($AB738,"dd-mmm")&amp;" - "&amp;(NETWORKDAYS($AB738,TODAY(),Holidays)-1)&amp;" business day(s) late. Send now.",IF($U738="DUE TOMORROW","Next: "&amp;$AC738&amp;IF($AB738&lt;=TODAY()," is due TODAY ("," is due next business day (")&amp;TEXT($AB738,"dd-mmm")&amp;").","Next: "&amp;$AC738&amp;" due "&amp;TEXT($AB738,"dd-mmm")&amp;" ("&amp;(NETWORKDAYS(TODAY(),$AB738,Holidays)-1)&amp;" business day(s) left).")))))</f>
        <v/>
      </c>
      <c r="W738" s="17">
        <f>IF($Z738="","",CHOOSE($Z738,"Collection Email","1st Follow-up","2nd Follow-up","Local Office","CBE","Roxanne")&amp;IF($Z738=6," - Final"," - Day "&amp;MAX(0,NETWORKDAYS($AA738,TODAY(),Holidays)-1)&amp;" of "&amp;CHOOSE($Z738,3,3,2,2,3))&amp;" | Total Day "&amp;MAX(0,NETWORKDAYS($N738,TODAY(),Holidays)-1))</f>
        <v/>
      </c>
      <c r="X738" s="18"/>
      <c r="Y738" s="18"/>
      <c r="Z738" s="17">
        <f>IF($N738="","",COUNT($N738:$S738))</f>
        <v/>
      </c>
      <c r="AA738" s="19">
        <f>IF($Z738="","",INT(INDEX($N738:$S738,$Z738)))</f>
        <v/>
      </c>
      <c r="AB738" s="19">
        <f>IF(OR($Z738="",$Z738=6),"",WORKDAY($AA738,CHOOSE($Z738,3,3,2,2,3),Holidays))</f>
        <v/>
      </c>
      <c r="AC738" s="17">
        <f>IF(OR($Z738="",$Z738=6),"",CHOOSE($Z738,"1st Email Follow-up","2nd Email Follow-up","Escalate Local Office","Escalate to CBE","Escalate to Roxanne"))</f>
        <v/>
      </c>
    </row>
    <row r="739" spans="13:29">
      <c r="M739" s="14"/>
      <c r="T739" s="16"/>
      <c r="U739" s="17">
        <f>IF(AND(COUNTA($A739:$L739)=0,$N739=""),"",IF($T739="Paid","PAID",IF($T739="Closed","CLOSED",IF($Z739="","",IF($Z739=6,"ESCALATED TO ROXANNE",IF(TODAY()&gt;$AB739,"OVERDUE",IF($AB739&lt;=WORKDAY(TODAY(),1,Holidays),"DUE TOMORROW",IF($Z739=4,"ESCALATED TO LOCAL OFFICE",IF($Z739=5,"ESCALATED TO CBE",IF($AA739=TODAY(),"EMAIL SENT","MONITORING"))))))))))</f>
        <v/>
      </c>
      <c r="V739" s="17">
        <f>IF($U739="",IF(AND(COUNTA($A739:$L739)&gt;0,$N739=""),"Awaiting Collection Email time stamp.",""),IF(OR($U739="PAID",$U739="CLOSED"),IF($U739="PAID","Account paid. Action completed.","Account closed. No further action required."),CHOOSE($Z739,"Collection Email","1st Email Follow-up","2nd Email Follow-up","Escalation to Local Office","Escalation to CBE","Escalation to Roxanne")&amp;" sent "&amp;TEXT($AA739,"dd-mmm")&amp;". "&amp;IF($Z739=6,"Final escalation completed.",IF($U739="OVERDUE","Next: "&amp;$AC739&amp;" was due "&amp;TEXT($AB739,"dd-mmm")&amp;" - "&amp;(NETWORKDAYS($AB739,TODAY(),Holidays)-1)&amp;" business day(s) late. Send now.",IF($U739="DUE TOMORROW","Next: "&amp;$AC739&amp;IF($AB739&lt;=TODAY()," is due TODAY ("," is due next business day (")&amp;TEXT($AB739,"dd-mmm")&amp;").","Next: "&amp;$AC739&amp;" due "&amp;TEXT($AB739,"dd-mmm")&amp;" ("&amp;(NETWORKDAYS(TODAY(),$AB739,Holidays)-1)&amp;" business day(s) left).")))))</f>
        <v/>
      </c>
      <c r="W739" s="17">
        <f>IF($Z739="","",CHOOSE($Z739,"Collection Email","1st Follow-up","2nd Follow-up","Local Office","CBE","Roxanne")&amp;IF($Z739=6," - Final"," - Day "&amp;MAX(0,NETWORKDAYS($AA739,TODAY(),Holidays)-1)&amp;" of "&amp;CHOOSE($Z739,3,3,2,2,3))&amp;" | Total Day "&amp;MAX(0,NETWORKDAYS($N739,TODAY(),Holidays)-1))</f>
        <v/>
      </c>
      <c r="X739" s="18"/>
      <c r="Y739" s="18"/>
      <c r="Z739" s="17">
        <f>IF($N739="","",COUNT($N739:$S739))</f>
        <v/>
      </c>
      <c r="AA739" s="19">
        <f>IF($Z739="","",INT(INDEX($N739:$S739,$Z739)))</f>
        <v/>
      </c>
      <c r="AB739" s="19">
        <f>IF(OR($Z739="",$Z739=6),"",WORKDAY($AA739,CHOOSE($Z739,3,3,2,2,3),Holidays))</f>
        <v/>
      </c>
      <c r="AC739" s="17">
        <f>IF(OR($Z739="",$Z739=6),"",CHOOSE($Z739,"1st Email Follow-up","2nd Email Follow-up","Escalate Local Office","Escalate to CBE","Escalate to Roxanne"))</f>
        <v/>
      </c>
    </row>
    <row r="740" spans="13:29">
      <c r="M740" s="14"/>
      <c r="T740" s="16"/>
      <c r="U740" s="17">
        <f>IF(AND(COUNTA($A740:$L740)=0,$N740=""),"",IF($T740="Paid","PAID",IF($T740="Closed","CLOSED",IF($Z740="","",IF($Z740=6,"ESCALATED TO ROXANNE",IF(TODAY()&gt;$AB740,"OVERDUE",IF($AB740&lt;=WORKDAY(TODAY(),1,Holidays),"DUE TOMORROW",IF($Z740=4,"ESCALATED TO LOCAL OFFICE",IF($Z740=5,"ESCALATED TO CBE",IF($AA740=TODAY(),"EMAIL SENT","MONITORING"))))))))))</f>
        <v/>
      </c>
      <c r="V740" s="17">
        <f>IF($U740="",IF(AND(COUNTA($A740:$L740)&gt;0,$N740=""),"Awaiting Collection Email time stamp.",""),IF(OR($U740="PAID",$U740="CLOSED"),IF($U740="PAID","Account paid. Action completed.","Account closed. No further action required."),CHOOSE($Z740,"Collection Email","1st Email Follow-up","2nd Email Follow-up","Escalation to Local Office","Escalation to CBE","Escalation to Roxanne")&amp;" sent "&amp;TEXT($AA740,"dd-mmm")&amp;". "&amp;IF($Z740=6,"Final escalation completed.",IF($U740="OVERDUE","Next: "&amp;$AC740&amp;" was due "&amp;TEXT($AB740,"dd-mmm")&amp;" - "&amp;(NETWORKDAYS($AB740,TODAY(),Holidays)-1)&amp;" business day(s) late. Send now.",IF($U740="DUE TOMORROW","Next: "&amp;$AC740&amp;IF($AB740&lt;=TODAY()," is due TODAY ("," is due next business day (")&amp;TEXT($AB740,"dd-mmm")&amp;").","Next: "&amp;$AC740&amp;" due "&amp;TEXT($AB740,"dd-mmm")&amp;" ("&amp;(NETWORKDAYS(TODAY(),$AB740,Holidays)-1)&amp;" business day(s) left).")))))</f>
        <v/>
      </c>
      <c r="W740" s="17">
        <f>IF($Z740="","",CHOOSE($Z740,"Collection Email","1st Follow-up","2nd Follow-up","Local Office","CBE","Roxanne")&amp;IF($Z740=6," - Final"," - Day "&amp;MAX(0,NETWORKDAYS($AA740,TODAY(),Holidays)-1)&amp;" of "&amp;CHOOSE($Z740,3,3,2,2,3))&amp;" | Total Day "&amp;MAX(0,NETWORKDAYS($N740,TODAY(),Holidays)-1))</f>
        <v/>
      </c>
      <c r="X740" s="18"/>
      <c r="Y740" s="18"/>
      <c r="Z740" s="17">
        <f>IF($N740="","",COUNT($N740:$S740))</f>
        <v/>
      </c>
      <c r="AA740" s="19">
        <f>IF($Z740="","",INT(INDEX($N740:$S740,$Z740)))</f>
        <v/>
      </c>
      <c r="AB740" s="19">
        <f>IF(OR($Z740="",$Z740=6),"",WORKDAY($AA740,CHOOSE($Z740,3,3,2,2,3),Holidays))</f>
        <v/>
      </c>
      <c r="AC740" s="17">
        <f>IF(OR($Z740="",$Z740=6),"",CHOOSE($Z740,"1st Email Follow-up","2nd Email Follow-up","Escalate Local Office","Escalate to CBE","Escalate to Roxanne"))</f>
        <v/>
      </c>
    </row>
    <row r="741" spans="13:29">
      <c r="M741" s="14"/>
      <c r="T741" s="16"/>
      <c r="U741" s="17">
        <f>IF(AND(COUNTA($A741:$L741)=0,$N741=""),"",IF($T741="Paid","PAID",IF($T741="Closed","CLOSED",IF($Z741="","",IF($Z741=6,"ESCALATED TO ROXANNE",IF(TODAY()&gt;$AB741,"OVERDUE",IF($AB741&lt;=WORKDAY(TODAY(),1,Holidays),"DUE TOMORROW",IF($Z741=4,"ESCALATED TO LOCAL OFFICE",IF($Z741=5,"ESCALATED TO CBE",IF($AA741=TODAY(),"EMAIL SENT","MONITORING"))))))))))</f>
        <v/>
      </c>
      <c r="V741" s="17">
        <f>IF($U741="",IF(AND(COUNTA($A741:$L741)&gt;0,$N741=""),"Awaiting Collection Email time stamp.",""),IF(OR($U741="PAID",$U741="CLOSED"),IF($U741="PAID","Account paid. Action completed.","Account closed. No further action required."),CHOOSE($Z741,"Collection Email","1st Email Follow-up","2nd Email Follow-up","Escalation to Local Office","Escalation to CBE","Escalation to Roxanne")&amp;" sent "&amp;TEXT($AA741,"dd-mmm")&amp;". "&amp;IF($Z741=6,"Final escalation completed.",IF($U741="OVERDUE","Next: "&amp;$AC741&amp;" was due "&amp;TEXT($AB741,"dd-mmm")&amp;" - "&amp;(NETWORKDAYS($AB741,TODAY(),Holidays)-1)&amp;" business day(s) late. Send now.",IF($U741="DUE TOMORROW","Next: "&amp;$AC741&amp;IF($AB741&lt;=TODAY()," is due TODAY ("," is due next business day (")&amp;TEXT($AB741,"dd-mmm")&amp;").","Next: "&amp;$AC741&amp;" due "&amp;TEXT($AB741,"dd-mmm")&amp;" ("&amp;(NETWORKDAYS(TODAY(),$AB741,Holidays)-1)&amp;" business day(s) left).")))))</f>
        <v/>
      </c>
      <c r="W741" s="17">
        <f>IF($Z741="","",CHOOSE($Z741,"Collection Email","1st Follow-up","2nd Follow-up","Local Office","CBE","Roxanne")&amp;IF($Z741=6," - Final"," - Day "&amp;MAX(0,NETWORKDAYS($AA741,TODAY(),Holidays)-1)&amp;" of "&amp;CHOOSE($Z741,3,3,2,2,3))&amp;" | Total Day "&amp;MAX(0,NETWORKDAYS($N741,TODAY(),Holidays)-1))</f>
        <v/>
      </c>
      <c r="X741" s="18"/>
      <c r="Y741" s="18"/>
      <c r="Z741" s="17">
        <f>IF($N741="","",COUNT($N741:$S741))</f>
        <v/>
      </c>
      <c r="AA741" s="19">
        <f>IF($Z741="","",INT(INDEX($N741:$S741,$Z741)))</f>
        <v/>
      </c>
      <c r="AB741" s="19">
        <f>IF(OR($Z741="",$Z741=6),"",WORKDAY($AA741,CHOOSE($Z741,3,3,2,2,3),Holidays))</f>
        <v/>
      </c>
      <c r="AC741" s="17">
        <f>IF(OR($Z741="",$Z741=6),"",CHOOSE($Z741,"1st Email Follow-up","2nd Email Follow-up","Escalate Local Office","Escalate to CBE","Escalate to Roxanne"))</f>
        <v/>
      </c>
    </row>
    <row r="742" spans="13:29">
      <c r="M742" s="14"/>
      <c r="T742" s="16"/>
      <c r="U742" s="17">
        <f>IF(AND(COUNTA($A742:$L742)=0,$N742=""),"",IF($T742="Paid","PAID",IF($T742="Closed","CLOSED",IF($Z742="","",IF($Z742=6,"ESCALATED TO ROXANNE",IF(TODAY()&gt;$AB742,"OVERDUE",IF($AB742&lt;=WORKDAY(TODAY(),1,Holidays),"DUE TOMORROW",IF($Z742=4,"ESCALATED TO LOCAL OFFICE",IF($Z742=5,"ESCALATED TO CBE",IF($AA742=TODAY(),"EMAIL SENT","MONITORING"))))))))))</f>
        <v/>
      </c>
      <c r="V742" s="17">
        <f>IF($U742="",IF(AND(COUNTA($A742:$L742)&gt;0,$N742=""),"Awaiting Collection Email time stamp.",""),IF(OR($U742="PAID",$U742="CLOSED"),IF($U742="PAID","Account paid. Action completed.","Account closed. No further action required."),CHOOSE($Z742,"Collection Email","1st Email Follow-up","2nd Email Follow-up","Escalation to Local Office","Escalation to CBE","Escalation to Roxanne")&amp;" sent "&amp;TEXT($AA742,"dd-mmm")&amp;". "&amp;IF($Z742=6,"Final escalation completed.",IF($U742="OVERDUE","Next: "&amp;$AC742&amp;" was due "&amp;TEXT($AB742,"dd-mmm")&amp;" - "&amp;(NETWORKDAYS($AB742,TODAY(),Holidays)-1)&amp;" business day(s) late. Send now.",IF($U742="DUE TOMORROW","Next: "&amp;$AC742&amp;IF($AB742&lt;=TODAY()," is due TODAY ("," is due next business day (")&amp;TEXT($AB742,"dd-mmm")&amp;").","Next: "&amp;$AC742&amp;" due "&amp;TEXT($AB742,"dd-mmm")&amp;" ("&amp;(NETWORKDAYS(TODAY(),$AB742,Holidays)-1)&amp;" business day(s) left).")))))</f>
        <v/>
      </c>
      <c r="W742" s="17">
        <f>IF($Z742="","",CHOOSE($Z742,"Collection Email","1st Follow-up","2nd Follow-up","Local Office","CBE","Roxanne")&amp;IF($Z742=6," - Final"," - Day "&amp;MAX(0,NETWORKDAYS($AA742,TODAY(),Holidays)-1)&amp;" of "&amp;CHOOSE($Z742,3,3,2,2,3))&amp;" | Total Day "&amp;MAX(0,NETWORKDAYS($N742,TODAY(),Holidays)-1))</f>
        <v/>
      </c>
      <c r="X742" s="18"/>
      <c r="Y742" s="18"/>
      <c r="Z742" s="17">
        <f>IF($N742="","",COUNT($N742:$S742))</f>
        <v/>
      </c>
      <c r="AA742" s="19">
        <f>IF($Z742="","",INT(INDEX($N742:$S742,$Z742)))</f>
        <v/>
      </c>
      <c r="AB742" s="19">
        <f>IF(OR($Z742="",$Z742=6),"",WORKDAY($AA742,CHOOSE($Z742,3,3,2,2,3),Holidays))</f>
        <v/>
      </c>
      <c r="AC742" s="17">
        <f>IF(OR($Z742="",$Z742=6),"",CHOOSE($Z742,"1st Email Follow-up","2nd Email Follow-up","Escalate Local Office","Escalate to CBE","Escalate to Roxanne"))</f>
        <v/>
      </c>
    </row>
    <row r="743" spans="13:29">
      <c r="M743" s="14"/>
      <c r="T743" s="16"/>
      <c r="U743" s="17">
        <f>IF(AND(COUNTA($A743:$L743)=0,$N743=""),"",IF($T743="Paid","PAID",IF($T743="Closed","CLOSED",IF($Z743="","",IF($Z743=6,"ESCALATED TO ROXANNE",IF(TODAY()&gt;$AB743,"OVERDUE",IF($AB743&lt;=WORKDAY(TODAY(),1,Holidays),"DUE TOMORROW",IF($Z743=4,"ESCALATED TO LOCAL OFFICE",IF($Z743=5,"ESCALATED TO CBE",IF($AA743=TODAY(),"EMAIL SENT","MONITORING"))))))))))</f>
        <v/>
      </c>
      <c r="V743" s="17">
        <f>IF($U743="",IF(AND(COUNTA($A743:$L743)&gt;0,$N743=""),"Awaiting Collection Email time stamp.",""),IF(OR($U743="PAID",$U743="CLOSED"),IF($U743="PAID","Account paid. Action completed.","Account closed. No further action required."),CHOOSE($Z743,"Collection Email","1st Email Follow-up","2nd Email Follow-up","Escalation to Local Office","Escalation to CBE","Escalation to Roxanne")&amp;" sent "&amp;TEXT($AA743,"dd-mmm")&amp;". "&amp;IF($Z743=6,"Final escalation completed.",IF($U743="OVERDUE","Next: "&amp;$AC743&amp;" was due "&amp;TEXT($AB743,"dd-mmm")&amp;" - "&amp;(NETWORKDAYS($AB743,TODAY(),Holidays)-1)&amp;" business day(s) late. Send now.",IF($U743="DUE TOMORROW","Next: "&amp;$AC743&amp;IF($AB743&lt;=TODAY()," is due TODAY ("," is due next business day (")&amp;TEXT($AB743,"dd-mmm")&amp;").","Next: "&amp;$AC743&amp;" due "&amp;TEXT($AB743,"dd-mmm")&amp;" ("&amp;(NETWORKDAYS(TODAY(),$AB743,Holidays)-1)&amp;" business day(s) left).")))))</f>
        <v/>
      </c>
      <c r="W743" s="17">
        <f>IF($Z743="","",CHOOSE($Z743,"Collection Email","1st Follow-up","2nd Follow-up","Local Office","CBE","Roxanne")&amp;IF($Z743=6," - Final"," - Day "&amp;MAX(0,NETWORKDAYS($AA743,TODAY(),Holidays)-1)&amp;" of "&amp;CHOOSE($Z743,3,3,2,2,3))&amp;" | Total Day "&amp;MAX(0,NETWORKDAYS($N743,TODAY(),Holidays)-1))</f>
        <v/>
      </c>
      <c r="X743" s="18"/>
      <c r="Y743" s="18"/>
      <c r="Z743" s="17">
        <f>IF($N743="","",COUNT($N743:$S743))</f>
        <v/>
      </c>
      <c r="AA743" s="19">
        <f>IF($Z743="","",INT(INDEX($N743:$S743,$Z743)))</f>
        <v/>
      </c>
      <c r="AB743" s="19">
        <f>IF(OR($Z743="",$Z743=6),"",WORKDAY($AA743,CHOOSE($Z743,3,3,2,2,3),Holidays))</f>
        <v/>
      </c>
      <c r="AC743" s="17">
        <f>IF(OR($Z743="",$Z743=6),"",CHOOSE($Z743,"1st Email Follow-up","2nd Email Follow-up","Escalate Local Office","Escalate to CBE","Escalate to Roxanne"))</f>
        <v/>
      </c>
    </row>
    <row r="744" spans="13:29">
      <c r="M744" s="14"/>
      <c r="T744" s="16"/>
      <c r="U744" s="17">
        <f>IF(AND(COUNTA($A744:$L744)=0,$N744=""),"",IF($T744="Paid","PAID",IF($T744="Closed","CLOSED",IF($Z744="","",IF($Z744=6,"ESCALATED TO ROXANNE",IF(TODAY()&gt;$AB744,"OVERDUE",IF($AB744&lt;=WORKDAY(TODAY(),1,Holidays),"DUE TOMORROW",IF($Z744=4,"ESCALATED TO LOCAL OFFICE",IF($Z744=5,"ESCALATED TO CBE",IF($AA744=TODAY(),"EMAIL SENT","MONITORING"))))))))))</f>
        <v/>
      </c>
      <c r="V744" s="17">
        <f>IF($U744="",IF(AND(COUNTA($A744:$L744)&gt;0,$N744=""),"Awaiting Collection Email time stamp.",""),IF(OR($U744="PAID",$U744="CLOSED"),IF($U744="PAID","Account paid. Action completed.","Account closed. No further action required."),CHOOSE($Z744,"Collection Email","1st Email Follow-up","2nd Email Follow-up","Escalation to Local Office","Escalation to CBE","Escalation to Roxanne")&amp;" sent "&amp;TEXT($AA744,"dd-mmm")&amp;". "&amp;IF($Z744=6,"Final escalation completed.",IF($U744="OVERDUE","Next: "&amp;$AC744&amp;" was due "&amp;TEXT($AB744,"dd-mmm")&amp;" - "&amp;(NETWORKDAYS($AB744,TODAY(),Holidays)-1)&amp;" business day(s) late. Send now.",IF($U744="DUE TOMORROW","Next: "&amp;$AC744&amp;IF($AB744&lt;=TODAY()," is due TODAY ("," is due next business day (")&amp;TEXT($AB744,"dd-mmm")&amp;").","Next: "&amp;$AC744&amp;" due "&amp;TEXT($AB744,"dd-mmm")&amp;" ("&amp;(NETWORKDAYS(TODAY(),$AB744,Holidays)-1)&amp;" business day(s) left).")))))</f>
        <v/>
      </c>
      <c r="W744" s="17">
        <f>IF($Z744="","",CHOOSE($Z744,"Collection Email","1st Follow-up","2nd Follow-up","Local Office","CBE","Roxanne")&amp;IF($Z744=6," - Final"," - Day "&amp;MAX(0,NETWORKDAYS($AA744,TODAY(),Holidays)-1)&amp;" of "&amp;CHOOSE($Z744,3,3,2,2,3))&amp;" | Total Day "&amp;MAX(0,NETWORKDAYS($N744,TODAY(),Holidays)-1))</f>
        <v/>
      </c>
      <c r="X744" s="18"/>
      <c r="Y744" s="18"/>
      <c r="Z744" s="17">
        <f>IF($N744="","",COUNT($N744:$S744))</f>
        <v/>
      </c>
      <c r="AA744" s="19">
        <f>IF($Z744="","",INT(INDEX($N744:$S744,$Z744)))</f>
        <v/>
      </c>
      <c r="AB744" s="19">
        <f>IF(OR($Z744="",$Z744=6),"",WORKDAY($AA744,CHOOSE($Z744,3,3,2,2,3),Holidays))</f>
        <v/>
      </c>
      <c r="AC744" s="17">
        <f>IF(OR($Z744="",$Z744=6),"",CHOOSE($Z744,"1st Email Follow-up","2nd Email Follow-up","Escalate Local Office","Escalate to CBE","Escalate to Roxanne"))</f>
        <v/>
      </c>
    </row>
    <row r="745" spans="13:29">
      <c r="M745" s="14"/>
      <c r="T745" s="16"/>
      <c r="U745" s="17">
        <f>IF(AND(COUNTA($A745:$L745)=0,$N745=""),"",IF($T745="Paid","PAID",IF($T745="Closed","CLOSED",IF($Z745="","",IF($Z745=6,"ESCALATED TO ROXANNE",IF(TODAY()&gt;$AB745,"OVERDUE",IF($AB745&lt;=WORKDAY(TODAY(),1,Holidays),"DUE TOMORROW",IF($Z745=4,"ESCALATED TO LOCAL OFFICE",IF($Z745=5,"ESCALATED TO CBE",IF($AA745=TODAY(),"EMAIL SENT","MONITORING"))))))))))</f>
        <v/>
      </c>
      <c r="V745" s="17">
        <f>IF($U745="",IF(AND(COUNTA($A745:$L745)&gt;0,$N745=""),"Awaiting Collection Email time stamp.",""),IF(OR($U745="PAID",$U745="CLOSED"),IF($U745="PAID","Account paid. Action completed.","Account closed. No further action required."),CHOOSE($Z745,"Collection Email","1st Email Follow-up","2nd Email Follow-up","Escalation to Local Office","Escalation to CBE","Escalation to Roxanne")&amp;" sent "&amp;TEXT($AA745,"dd-mmm")&amp;". "&amp;IF($Z745=6,"Final escalation completed.",IF($U745="OVERDUE","Next: "&amp;$AC745&amp;" was due "&amp;TEXT($AB745,"dd-mmm")&amp;" - "&amp;(NETWORKDAYS($AB745,TODAY(),Holidays)-1)&amp;" business day(s) late. Send now.",IF($U745="DUE TOMORROW","Next: "&amp;$AC745&amp;IF($AB745&lt;=TODAY()," is due TODAY ("," is due next business day (")&amp;TEXT($AB745,"dd-mmm")&amp;").","Next: "&amp;$AC745&amp;" due "&amp;TEXT($AB745,"dd-mmm")&amp;" ("&amp;(NETWORKDAYS(TODAY(),$AB745,Holidays)-1)&amp;" business day(s) left).")))))</f>
        <v/>
      </c>
      <c r="W745" s="17">
        <f>IF($Z745="","",CHOOSE($Z745,"Collection Email","1st Follow-up","2nd Follow-up","Local Office","CBE","Roxanne")&amp;IF($Z745=6," - Final"," - Day "&amp;MAX(0,NETWORKDAYS($AA745,TODAY(),Holidays)-1)&amp;" of "&amp;CHOOSE($Z745,3,3,2,2,3))&amp;" | Total Day "&amp;MAX(0,NETWORKDAYS($N745,TODAY(),Holidays)-1))</f>
        <v/>
      </c>
      <c r="X745" s="18"/>
      <c r="Y745" s="18"/>
      <c r="Z745" s="17">
        <f>IF($N745="","",COUNT($N745:$S745))</f>
        <v/>
      </c>
      <c r="AA745" s="19">
        <f>IF($Z745="","",INT(INDEX($N745:$S745,$Z745)))</f>
        <v/>
      </c>
      <c r="AB745" s="19">
        <f>IF(OR($Z745="",$Z745=6),"",WORKDAY($AA745,CHOOSE($Z745,3,3,2,2,3),Holidays))</f>
        <v/>
      </c>
      <c r="AC745" s="17">
        <f>IF(OR($Z745="",$Z745=6),"",CHOOSE($Z745,"1st Email Follow-up","2nd Email Follow-up","Escalate Local Office","Escalate to CBE","Escalate to Roxanne"))</f>
        <v/>
      </c>
    </row>
    <row r="746" spans="13:29">
      <c r="M746" s="14"/>
      <c r="T746" s="16"/>
      <c r="U746" s="17">
        <f>IF(AND(COUNTA($A746:$L746)=0,$N746=""),"",IF($T746="Paid","PAID",IF($T746="Closed","CLOSED",IF($Z746="","",IF($Z746=6,"ESCALATED TO ROXANNE",IF(TODAY()&gt;$AB746,"OVERDUE",IF($AB746&lt;=WORKDAY(TODAY(),1,Holidays),"DUE TOMORROW",IF($Z746=4,"ESCALATED TO LOCAL OFFICE",IF($Z746=5,"ESCALATED TO CBE",IF($AA746=TODAY(),"EMAIL SENT","MONITORING"))))))))))</f>
        <v/>
      </c>
      <c r="V746" s="17">
        <f>IF($U746="",IF(AND(COUNTA($A746:$L746)&gt;0,$N746=""),"Awaiting Collection Email time stamp.",""),IF(OR($U746="PAID",$U746="CLOSED"),IF($U746="PAID","Account paid. Action completed.","Account closed. No further action required."),CHOOSE($Z746,"Collection Email","1st Email Follow-up","2nd Email Follow-up","Escalation to Local Office","Escalation to CBE","Escalation to Roxanne")&amp;" sent "&amp;TEXT($AA746,"dd-mmm")&amp;". "&amp;IF($Z746=6,"Final escalation completed.",IF($U746="OVERDUE","Next: "&amp;$AC746&amp;" was due "&amp;TEXT($AB746,"dd-mmm")&amp;" - "&amp;(NETWORKDAYS($AB746,TODAY(),Holidays)-1)&amp;" business day(s) late. Send now.",IF($U746="DUE TOMORROW","Next: "&amp;$AC746&amp;IF($AB746&lt;=TODAY()," is due TODAY ("," is due next business day (")&amp;TEXT($AB746,"dd-mmm")&amp;").","Next: "&amp;$AC746&amp;" due "&amp;TEXT($AB746,"dd-mmm")&amp;" ("&amp;(NETWORKDAYS(TODAY(),$AB746,Holidays)-1)&amp;" business day(s) left).")))))</f>
        <v/>
      </c>
      <c r="W746" s="17">
        <f>IF($Z746="","",CHOOSE($Z746,"Collection Email","1st Follow-up","2nd Follow-up","Local Office","CBE","Roxanne")&amp;IF($Z746=6," - Final"," - Day "&amp;MAX(0,NETWORKDAYS($AA746,TODAY(),Holidays)-1)&amp;" of "&amp;CHOOSE($Z746,3,3,2,2,3))&amp;" | Total Day "&amp;MAX(0,NETWORKDAYS($N746,TODAY(),Holidays)-1))</f>
        <v/>
      </c>
      <c r="X746" s="18"/>
      <c r="Y746" s="18"/>
      <c r="Z746" s="17">
        <f>IF($N746="","",COUNT($N746:$S746))</f>
        <v/>
      </c>
      <c r="AA746" s="19">
        <f>IF($Z746="","",INT(INDEX($N746:$S746,$Z746)))</f>
        <v/>
      </c>
      <c r="AB746" s="19">
        <f>IF(OR($Z746="",$Z746=6),"",WORKDAY($AA746,CHOOSE($Z746,3,3,2,2,3),Holidays))</f>
        <v/>
      </c>
      <c r="AC746" s="17">
        <f>IF(OR($Z746="",$Z746=6),"",CHOOSE($Z746,"1st Email Follow-up","2nd Email Follow-up","Escalate Local Office","Escalate to CBE","Escalate to Roxanne"))</f>
        <v/>
      </c>
    </row>
    <row r="747" spans="13:29">
      <c r="M747" s="14"/>
      <c r="T747" s="16"/>
      <c r="U747" s="17">
        <f>IF(AND(COUNTA($A747:$L747)=0,$N747=""),"",IF($T747="Paid","PAID",IF($T747="Closed","CLOSED",IF($Z747="","",IF($Z747=6,"ESCALATED TO ROXANNE",IF(TODAY()&gt;$AB747,"OVERDUE",IF($AB747&lt;=WORKDAY(TODAY(),1,Holidays),"DUE TOMORROW",IF($Z747=4,"ESCALATED TO LOCAL OFFICE",IF($Z747=5,"ESCALATED TO CBE",IF($AA747=TODAY(),"EMAIL SENT","MONITORING"))))))))))</f>
        <v/>
      </c>
      <c r="V747" s="17">
        <f>IF($U747="",IF(AND(COUNTA($A747:$L747)&gt;0,$N747=""),"Awaiting Collection Email time stamp.",""),IF(OR($U747="PAID",$U747="CLOSED"),IF($U747="PAID","Account paid. Action completed.","Account closed. No further action required."),CHOOSE($Z747,"Collection Email","1st Email Follow-up","2nd Email Follow-up","Escalation to Local Office","Escalation to CBE","Escalation to Roxanne")&amp;" sent "&amp;TEXT($AA747,"dd-mmm")&amp;". "&amp;IF($Z747=6,"Final escalation completed.",IF($U747="OVERDUE","Next: "&amp;$AC747&amp;" was due "&amp;TEXT($AB747,"dd-mmm")&amp;" - "&amp;(NETWORKDAYS($AB747,TODAY(),Holidays)-1)&amp;" business day(s) late. Send now.",IF($U747="DUE TOMORROW","Next: "&amp;$AC747&amp;IF($AB747&lt;=TODAY()," is due TODAY ("," is due next business day (")&amp;TEXT($AB747,"dd-mmm")&amp;").","Next: "&amp;$AC747&amp;" due "&amp;TEXT($AB747,"dd-mmm")&amp;" ("&amp;(NETWORKDAYS(TODAY(),$AB747,Holidays)-1)&amp;" business day(s) left).")))))</f>
        <v/>
      </c>
      <c r="W747" s="17">
        <f>IF($Z747="","",CHOOSE($Z747,"Collection Email","1st Follow-up","2nd Follow-up","Local Office","CBE","Roxanne")&amp;IF($Z747=6," - Final"," - Day "&amp;MAX(0,NETWORKDAYS($AA747,TODAY(),Holidays)-1)&amp;" of "&amp;CHOOSE($Z747,3,3,2,2,3))&amp;" | Total Day "&amp;MAX(0,NETWORKDAYS($N747,TODAY(),Holidays)-1))</f>
        <v/>
      </c>
      <c r="X747" s="18"/>
      <c r="Y747" s="18"/>
      <c r="Z747" s="17">
        <f>IF($N747="","",COUNT($N747:$S747))</f>
        <v/>
      </c>
      <c r="AA747" s="19">
        <f>IF($Z747="","",INT(INDEX($N747:$S747,$Z747)))</f>
        <v/>
      </c>
      <c r="AB747" s="19">
        <f>IF(OR($Z747="",$Z747=6),"",WORKDAY($AA747,CHOOSE($Z747,3,3,2,2,3),Holidays))</f>
        <v/>
      </c>
      <c r="AC747" s="17">
        <f>IF(OR($Z747="",$Z747=6),"",CHOOSE($Z747,"1st Email Follow-up","2nd Email Follow-up","Escalate Local Office","Escalate to CBE","Escalate to Roxanne"))</f>
        <v/>
      </c>
    </row>
    <row r="748" spans="13:29">
      <c r="M748" s="14"/>
      <c r="T748" s="16"/>
      <c r="U748" s="17">
        <f>IF(AND(COUNTA($A748:$L748)=0,$N748=""),"",IF($T748="Paid","PAID",IF($T748="Closed","CLOSED",IF($Z748="","",IF($Z748=6,"ESCALATED TO ROXANNE",IF(TODAY()&gt;$AB748,"OVERDUE",IF($AB748&lt;=WORKDAY(TODAY(),1,Holidays),"DUE TOMORROW",IF($Z748=4,"ESCALATED TO LOCAL OFFICE",IF($Z748=5,"ESCALATED TO CBE",IF($AA748=TODAY(),"EMAIL SENT","MONITORING"))))))))))</f>
        <v/>
      </c>
      <c r="V748" s="17">
        <f>IF($U748="",IF(AND(COUNTA($A748:$L748)&gt;0,$N748=""),"Awaiting Collection Email time stamp.",""),IF(OR($U748="PAID",$U748="CLOSED"),IF($U748="PAID","Account paid. Action completed.","Account closed. No further action required."),CHOOSE($Z748,"Collection Email","1st Email Follow-up","2nd Email Follow-up","Escalation to Local Office","Escalation to CBE","Escalation to Roxanne")&amp;" sent "&amp;TEXT($AA748,"dd-mmm")&amp;". "&amp;IF($Z748=6,"Final escalation completed.",IF($U748="OVERDUE","Next: "&amp;$AC748&amp;" was due "&amp;TEXT($AB748,"dd-mmm")&amp;" - "&amp;(NETWORKDAYS($AB748,TODAY(),Holidays)-1)&amp;" business day(s) late. Send now.",IF($U748="DUE TOMORROW","Next: "&amp;$AC748&amp;IF($AB748&lt;=TODAY()," is due TODAY ("," is due next business day (")&amp;TEXT($AB748,"dd-mmm")&amp;").","Next: "&amp;$AC748&amp;" due "&amp;TEXT($AB748,"dd-mmm")&amp;" ("&amp;(NETWORKDAYS(TODAY(),$AB748,Holidays)-1)&amp;" business day(s) left).")))))</f>
        <v/>
      </c>
      <c r="W748" s="17">
        <f>IF($Z748="","",CHOOSE($Z748,"Collection Email","1st Follow-up","2nd Follow-up","Local Office","CBE","Roxanne")&amp;IF($Z748=6," - Final"," - Day "&amp;MAX(0,NETWORKDAYS($AA748,TODAY(),Holidays)-1)&amp;" of "&amp;CHOOSE($Z748,3,3,2,2,3))&amp;" | Total Day "&amp;MAX(0,NETWORKDAYS($N748,TODAY(),Holidays)-1))</f>
        <v/>
      </c>
      <c r="X748" s="18"/>
      <c r="Y748" s="18"/>
      <c r="Z748" s="17">
        <f>IF($N748="","",COUNT($N748:$S748))</f>
        <v/>
      </c>
      <c r="AA748" s="19">
        <f>IF($Z748="","",INT(INDEX($N748:$S748,$Z748)))</f>
        <v/>
      </c>
      <c r="AB748" s="19">
        <f>IF(OR($Z748="",$Z748=6),"",WORKDAY($AA748,CHOOSE($Z748,3,3,2,2,3),Holidays))</f>
        <v/>
      </c>
      <c r="AC748" s="17">
        <f>IF(OR($Z748="",$Z748=6),"",CHOOSE($Z748,"1st Email Follow-up","2nd Email Follow-up","Escalate Local Office","Escalate to CBE","Escalate to Roxanne"))</f>
        <v/>
      </c>
    </row>
    <row r="749" spans="13:29">
      <c r="M749" s="14"/>
      <c r="T749" s="16"/>
      <c r="U749" s="17">
        <f>IF(AND(COUNTA($A749:$L749)=0,$N749=""),"",IF($T749="Paid","PAID",IF($T749="Closed","CLOSED",IF($Z749="","",IF($Z749=6,"ESCALATED TO ROXANNE",IF(TODAY()&gt;$AB749,"OVERDUE",IF($AB749&lt;=WORKDAY(TODAY(),1,Holidays),"DUE TOMORROW",IF($Z749=4,"ESCALATED TO LOCAL OFFICE",IF($Z749=5,"ESCALATED TO CBE",IF($AA749=TODAY(),"EMAIL SENT","MONITORING"))))))))))</f>
        <v/>
      </c>
      <c r="V749" s="17">
        <f>IF($U749="",IF(AND(COUNTA($A749:$L749)&gt;0,$N749=""),"Awaiting Collection Email time stamp.",""),IF(OR($U749="PAID",$U749="CLOSED"),IF($U749="PAID","Account paid. Action completed.","Account closed. No further action required."),CHOOSE($Z749,"Collection Email","1st Email Follow-up","2nd Email Follow-up","Escalation to Local Office","Escalation to CBE","Escalation to Roxanne")&amp;" sent "&amp;TEXT($AA749,"dd-mmm")&amp;". "&amp;IF($Z749=6,"Final escalation completed.",IF($U749="OVERDUE","Next: "&amp;$AC749&amp;" was due "&amp;TEXT($AB749,"dd-mmm")&amp;" - "&amp;(NETWORKDAYS($AB749,TODAY(),Holidays)-1)&amp;" business day(s) late. Send now.",IF($U749="DUE TOMORROW","Next: "&amp;$AC749&amp;IF($AB749&lt;=TODAY()," is due TODAY ("," is due next business day (")&amp;TEXT($AB749,"dd-mmm")&amp;").","Next: "&amp;$AC749&amp;" due "&amp;TEXT($AB749,"dd-mmm")&amp;" ("&amp;(NETWORKDAYS(TODAY(),$AB749,Holidays)-1)&amp;" business day(s) left).")))))</f>
        <v/>
      </c>
      <c r="W749" s="17">
        <f>IF($Z749="","",CHOOSE($Z749,"Collection Email","1st Follow-up","2nd Follow-up","Local Office","CBE","Roxanne")&amp;IF($Z749=6," - Final"," - Day "&amp;MAX(0,NETWORKDAYS($AA749,TODAY(),Holidays)-1)&amp;" of "&amp;CHOOSE($Z749,3,3,2,2,3))&amp;" | Total Day "&amp;MAX(0,NETWORKDAYS($N749,TODAY(),Holidays)-1))</f>
        <v/>
      </c>
      <c r="X749" s="18"/>
      <c r="Y749" s="18"/>
      <c r="Z749" s="17">
        <f>IF($N749="","",COUNT($N749:$S749))</f>
        <v/>
      </c>
      <c r="AA749" s="19">
        <f>IF($Z749="","",INT(INDEX($N749:$S749,$Z749)))</f>
        <v/>
      </c>
      <c r="AB749" s="19">
        <f>IF(OR($Z749="",$Z749=6),"",WORKDAY($AA749,CHOOSE($Z749,3,3,2,2,3),Holidays))</f>
        <v/>
      </c>
      <c r="AC749" s="17">
        <f>IF(OR($Z749="",$Z749=6),"",CHOOSE($Z749,"1st Email Follow-up","2nd Email Follow-up","Escalate Local Office","Escalate to CBE","Escalate to Roxanne"))</f>
        <v/>
      </c>
    </row>
    <row r="750" spans="13:29">
      <c r="M750" s="14"/>
      <c r="T750" s="16"/>
      <c r="U750" s="17">
        <f>IF(AND(COUNTA($A750:$L750)=0,$N750=""),"",IF($T750="Paid","PAID",IF($T750="Closed","CLOSED",IF($Z750="","",IF($Z750=6,"ESCALATED TO ROXANNE",IF(TODAY()&gt;$AB750,"OVERDUE",IF($AB750&lt;=WORKDAY(TODAY(),1,Holidays),"DUE TOMORROW",IF($Z750=4,"ESCALATED TO LOCAL OFFICE",IF($Z750=5,"ESCALATED TO CBE",IF($AA750=TODAY(),"EMAIL SENT","MONITORING"))))))))))</f>
        <v/>
      </c>
      <c r="V750" s="17">
        <f>IF($U750="",IF(AND(COUNTA($A750:$L750)&gt;0,$N750=""),"Awaiting Collection Email time stamp.",""),IF(OR($U750="PAID",$U750="CLOSED"),IF($U750="PAID","Account paid. Action completed.","Account closed. No further action required."),CHOOSE($Z750,"Collection Email","1st Email Follow-up","2nd Email Follow-up","Escalation to Local Office","Escalation to CBE","Escalation to Roxanne")&amp;" sent "&amp;TEXT($AA750,"dd-mmm")&amp;". "&amp;IF($Z750=6,"Final escalation completed.",IF($U750="OVERDUE","Next: "&amp;$AC750&amp;" was due "&amp;TEXT($AB750,"dd-mmm")&amp;" - "&amp;(NETWORKDAYS($AB750,TODAY(),Holidays)-1)&amp;" business day(s) late. Send now.",IF($U750="DUE TOMORROW","Next: "&amp;$AC750&amp;IF($AB750&lt;=TODAY()," is due TODAY ("," is due next business day (")&amp;TEXT($AB750,"dd-mmm")&amp;").","Next: "&amp;$AC750&amp;" due "&amp;TEXT($AB750,"dd-mmm")&amp;" ("&amp;(NETWORKDAYS(TODAY(),$AB750,Holidays)-1)&amp;" business day(s) left).")))))</f>
        <v/>
      </c>
      <c r="W750" s="17">
        <f>IF($Z750="","",CHOOSE($Z750,"Collection Email","1st Follow-up","2nd Follow-up","Local Office","CBE","Roxanne")&amp;IF($Z750=6," - Final"," - Day "&amp;MAX(0,NETWORKDAYS($AA750,TODAY(),Holidays)-1)&amp;" of "&amp;CHOOSE($Z750,3,3,2,2,3))&amp;" | Total Day "&amp;MAX(0,NETWORKDAYS($N750,TODAY(),Holidays)-1))</f>
        <v/>
      </c>
      <c r="X750" s="18"/>
      <c r="Y750" s="18"/>
      <c r="Z750" s="17">
        <f>IF($N750="","",COUNT($N750:$S750))</f>
        <v/>
      </c>
      <c r="AA750" s="19">
        <f>IF($Z750="","",INT(INDEX($N750:$S750,$Z750)))</f>
        <v/>
      </c>
      <c r="AB750" s="19">
        <f>IF(OR($Z750="",$Z750=6),"",WORKDAY($AA750,CHOOSE($Z750,3,3,2,2,3),Holidays))</f>
        <v/>
      </c>
      <c r="AC750" s="17">
        <f>IF(OR($Z750="",$Z750=6),"",CHOOSE($Z750,"1st Email Follow-up","2nd Email Follow-up","Escalate Local Office","Escalate to CBE","Escalate to Roxanne"))</f>
        <v/>
      </c>
    </row>
    <row r="751" spans="13:29">
      <c r="M751" s="14"/>
      <c r="T751" s="16"/>
      <c r="U751" s="17">
        <f>IF(AND(COUNTA($A751:$L751)=0,$N751=""),"",IF($T751="Paid","PAID",IF($T751="Closed","CLOSED",IF($Z751="","",IF($Z751=6,"ESCALATED TO ROXANNE",IF(TODAY()&gt;$AB751,"OVERDUE",IF($AB751&lt;=WORKDAY(TODAY(),1,Holidays),"DUE TOMORROW",IF($Z751=4,"ESCALATED TO LOCAL OFFICE",IF($Z751=5,"ESCALATED TO CBE",IF($AA751=TODAY(),"EMAIL SENT","MONITORING"))))))))))</f>
        <v/>
      </c>
      <c r="V751" s="17">
        <f>IF($U751="",IF(AND(COUNTA($A751:$L751)&gt;0,$N751=""),"Awaiting Collection Email time stamp.",""),IF(OR($U751="PAID",$U751="CLOSED"),IF($U751="PAID","Account paid. Action completed.","Account closed. No further action required."),CHOOSE($Z751,"Collection Email","1st Email Follow-up","2nd Email Follow-up","Escalation to Local Office","Escalation to CBE","Escalation to Roxanne")&amp;" sent "&amp;TEXT($AA751,"dd-mmm")&amp;". "&amp;IF($Z751=6,"Final escalation completed.",IF($U751="OVERDUE","Next: "&amp;$AC751&amp;" was due "&amp;TEXT($AB751,"dd-mmm")&amp;" - "&amp;(NETWORKDAYS($AB751,TODAY(),Holidays)-1)&amp;" business day(s) late. Send now.",IF($U751="DUE TOMORROW","Next: "&amp;$AC751&amp;IF($AB751&lt;=TODAY()," is due TODAY ("," is due next business day (")&amp;TEXT($AB751,"dd-mmm")&amp;").","Next: "&amp;$AC751&amp;" due "&amp;TEXT($AB751,"dd-mmm")&amp;" ("&amp;(NETWORKDAYS(TODAY(),$AB751,Holidays)-1)&amp;" business day(s) left).")))))</f>
        <v/>
      </c>
      <c r="W751" s="17">
        <f>IF($Z751="","",CHOOSE($Z751,"Collection Email","1st Follow-up","2nd Follow-up","Local Office","CBE","Roxanne")&amp;IF($Z751=6," - Final"," - Day "&amp;MAX(0,NETWORKDAYS($AA751,TODAY(),Holidays)-1)&amp;" of "&amp;CHOOSE($Z751,3,3,2,2,3))&amp;" | Total Day "&amp;MAX(0,NETWORKDAYS($N751,TODAY(),Holidays)-1))</f>
        <v/>
      </c>
      <c r="X751" s="18"/>
      <c r="Y751" s="18"/>
      <c r="Z751" s="17">
        <f>IF($N751="","",COUNT($N751:$S751))</f>
        <v/>
      </c>
      <c r="AA751" s="19">
        <f>IF($Z751="","",INT(INDEX($N751:$S751,$Z751)))</f>
        <v/>
      </c>
      <c r="AB751" s="19">
        <f>IF(OR($Z751="",$Z751=6),"",WORKDAY($AA751,CHOOSE($Z751,3,3,2,2,3),Holidays))</f>
        <v/>
      </c>
      <c r="AC751" s="17">
        <f>IF(OR($Z751="",$Z751=6),"",CHOOSE($Z751,"1st Email Follow-up","2nd Email Follow-up","Escalate Local Office","Escalate to CBE","Escalate to Roxanne"))</f>
        <v/>
      </c>
    </row>
    <row r="752" spans="13:29">
      <c r="M752" s="14"/>
      <c r="T752" s="16"/>
      <c r="U752" s="17">
        <f>IF(AND(COUNTA($A752:$L752)=0,$N752=""),"",IF($T752="Paid","PAID",IF($T752="Closed","CLOSED",IF($Z752="","",IF($Z752=6,"ESCALATED TO ROXANNE",IF(TODAY()&gt;$AB752,"OVERDUE",IF($AB752&lt;=WORKDAY(TODAY(),1,Holidays),"DUE TOMORROW",IF($Z752=4,"ESCALATED TO LOCAL OFFICE",IF($Z752=5,"ESCALATED TO CBE",IF($AA752=TODAY(),"EMAIL SENT","MONITORING"))))))))))</f>
        <v/>
      </c>
      <c r="V752" s="17">
        <f>IF($U752="",IF(AND(COUNTA($A752:$L752)&gt;0,$N752=""),"Awaiting Collection Email time stamp.",""),IF(OR($U752="PAID",$U752="CLOSED"),IF($U752="PAID","Account paid. Action completed.","Account closed. No further action required."),CHOOSE($Z752,"Collection Email","1st Email Follow-up","2nd Email Follow-up","Escalation to Local Office","Escalation to CBE","Escalation to Roxanne")&amp;" sent "&amp;TEXT($AA752,"dd-mmm")&amp;". "&amp;IF($Z752=6,"Final escalation completed.",IF($U752="OVERDUE","Next: "&amp;$AC752&amp;" was due "&amp;TEXT($AB752,"dd-mmm")&amp;" - "&amp;(NETWORKDAYS($AB752,TODAY(),Holidays)-1)&amp;" business day(s) late. Send now.",IF($U752="DUE TOMORROW","Next: "&amp;$AC752&amp;IF($AB752&lt;=TODAY()," is due TODAY ("," is due next business day (")&amp;TEXT($AB752,"dd-mmm")&amp;").","Next: "&amp;$AC752&amp;" due "&amp;TEXT($AB752,"dd-mmm")&amp;" ("&amp;(NETWORKDAYS(TODAY(),$AB752,Holidays)-1)&amp;" business day(s) left).")))))</f>
        <v/>
      </c>
      <c r="W752" s="17">
        <f>IF($Z752="","",CHOOSE($Z752,"Collection Email","1st Follow-up","2nd Follow-up","Local Office","CBE","Roxanne")&amp;IF($Z752=6," - Final"," - Day "&amp;MAX(0,NETWORKDAYS($AA752,TODAY(),Holidays)-1)&amp;" of "&amp;CHOOSE($Z752,3,3,2,2,3))&amp;" | Total Day "&amp;MAX(0,NETWORKDAYS($N752,TODAY(),Holidays)-1))</f>
        <v/>
      </c>
      <c r="X752" s="18"/>
      <c r="Y752" s="18"/>
      <c r="Z752" s="17">
        <f>IF($N752="","",COUNT($N752:$S752))</f>
        <v/>
      </c>
      <c r="AA752" s="19">
        <f>IF($Z752="","",INT(INDEX($N752:$S752,$Z752)))</f>
        <v/>
      </c>
      <c r="AB752" s="19">
        <f>IF(OR($Z752="",$Z752=6),"",WORKDAY($AA752,CHOOSE($Z752,3,3,2,2,3),Holidays))</f>
        <v/>
      </c>
      <c r="AC752" s="17">
        <f>IF(OR($Z752="",$Z752=6),"",CHOOSE($Z752,"1st Email Follow-up","2nd Email Follow-up","Escalate Local Office","Escalate to CBE","Escalate to Roxanne"))</f>
        <v/>
      </c>
    </row>
    <row r="753" spans="13:29">
      <c r="M753" s="14"/>
      <c r="T753" s="16"/>
      <c r="U753" s="17">
        <f>IF(AND(COUNTA($A753:$L753)=0,$N753=""),"",IF($T753="Paid","PAID",IF($T753="Closed","CLOSED",IF($Z753="","",IF($Z753=6,"ESCALATED TO ROXANNE",IF(TODAY()&gt;$AB753,"OVERDUE",IF($AB753&lt;=WORKDAY(TODAY(),1,Holidays),"DUE TOMORROW",IF($Z753=4,"ESCALATED TO LOCAL OFFICE",IF($Z753=5,"ESCALATED TO CBE",IF($AA753=TODAY(),"EMAIL SENT","MONITORING"))))))))))</f>
        <v/>
      </c>
      <c r="V753" s="17">
        <f>IF($U753="",IF(AND(COUNTA($A753:$L753)&gt;0,$N753=""),"Awaiting Collection Email time stamp.",""),IF(OR($U753="PAID",$U753="CLOSED"),IF($U753="PAID","Account paid. Action completed.","Account closed. No further action required."),CHOOSE($Z753,"Collection Email","1st Email Follow-up","2nd Email Follow-up","Escalation to Local Office","Escalation to CBE","Escalation to Roxanne")&amp;" sent "&amp;TEXT($AA753,"dd-mmm")&amp;". "&amp;IF($Z753=6,"Final escalation completed.",IF($U753="OVERDUE","Next: "&amp;$AC753&amp;" was due "&amp;TEXT($AB753,"dd-mmm")&amp;" - "&amp;(NETWORKDAYS($AB753,TODAY(),Holidays)-1)&amp;" business day(s) late. Send now.",IF($U753="DUE TOMORROW","Next: "&amp;$AC753&amp;IF($AB753&lt;=TODAY()," is due TODAY ("," is due next business day (")&amp;TEXT($AB753,"dd-mmm")&amp;").","Next: "&amp;$AC753&amp;" due "&amp;TEXT($AB753,"dd-mmm")&amp;" ("&amp;(NETWORKDAYS(TODAY(),$AB753,Holidays)-1)&amp;" business day(s) left).")))))</f>
        <v/>
      </c>
      <c r="W753" s="17">
        <f>IF($Z753="","",CHOOSE($Z753,"Collection Email","1st Follow-up","2nd Follow-up","Local Office","CBE","Roxanne")&amp;IF($Z753=6," - Final"," - Day "&amp;MAX(0,NETWORKDAYS($AA753,TODAY(),Holidays)-1)&amp;" of "&amp;CHOOSE($Z753,3,3,2,2,3))&amp;" | Total Day "&amp;MAX(0,NETWORKDAYS($N753,TODAY(),Holidays)-1))</f>
        <v/>
      </c>
      <c r="X753" s="18"/>
      <c r="Y753" s="18"/>
      <c r="Z753" s="17">
        <f>IF($N753="","",COUNT($N753:$S753))</f>
        <v/>
      </c>
      <c r="AA753" s="19">
        <f>IF($Z753="","",INT(INDEX($N753:$S753,$Z753)))</f>
        <v/>
      </c>
      <c r="AB753" s="19">
        <f>IF(OR($Z753="",$Z753=6),"",WORKDAY($AA753,CHOOSE($Z753,3,3,2,2,3),Holidays))</f>
        <v/>
      </c>
      <c r="AC753" s="17">
        <f>IF(OR($Z753="",$Z753=6),"",CHOOSE($Z753,"1st Email Follow-up","2nd Email Follow-up","Escalate Local Office","Escalate to CBE","Escalate to Roxanne"))</f>
        <v/>
      </c>
    </row>
    <row r="754" spans="13:29">
      <c r="M754" s="14"/>
      <c r="T754" s="16"/>
      <c r="U754" s="17">
        <f>IF(AND(COUNTA($A754:$L754)=0,$N754=""),"",IF($T754="Paid","PAID",IF($T754="Closed","CLOSED",IF($Z754="","",IF($Z754=6,"ESCALATED TO ROXANNE",IF(TODAY()&gt;$AB754,"OVERDUE",IF($AB754&lt;=WORKDAY(TODAY(),1,Holidays),"DUE TOMORROW",IF($Z754=4,"ESCALATED TO LOCAL OFFICE",IF($Z754=5,"ESCALATED TO CBE",IF($AA754=TODAY(),"EMAIL SENT","MONITORING"))))))))))</f>
        <v/>
      </c>
      <c r="V754" s="17">
        <f>IF($U754="",IF(AND(COUNTA($A754:$L754)&gt;0,$N754=""),"Awaiting Collection Email time stamp.",""),IF(OR($U754="PAID",$U754="CLOSED"),IF($U754="PAID","Account paid. Action completed.","Account closed. No further action required."),CHOOSE($Z754,"Collection Email","1st Email Follow-up","2nd Email Follow-up","Escalation to Local Office","Escalation to CBE","Escalation to Roxanne")&amp;" sent "&amp;TEXT($AA754,"dd-mmm")&amp;". "&amp;IF($Z754=6,"Final escalation completed.",IF($U754="OVERDUE","Next: "&amp;$AC754&amp;" was due "&amp;TEXT($AB754,"dd-mmm")&amp;" - "&amp;(NETWORKDAYS($AB754,TODAY(),Holidays)-1)&amp;" business day(s) late. Send now.",IF($U754="DUE TOMORROW","Next: "&amp;$AC754&amp;IF($AB754&lt;=TODAY()," is due TODAY ("," is due next business day (")&amp;TEXT($AB754,"dd-mmm")&amp;").","Next: "&amp;$AC754&amp;" due "&amp;TEXT($AB754,"dd-mmm")&amp;" ("&amp;(NETWORKDAYS(TODAY(),$AB754,Holidays)-1)&amp;" business day(s) left).")))))</f>
        <v/>
      </c>
      <c r="W754" s="17">
        <f>IF($Z754="","",CHOOSE($Z754,"Collection Email","1st Follow-up","2nd Follow-up","Local Office","CBE","Roxanne")&amp;IF($Z754=6," - Final"," - Day "&amp;MAX(0,NETWORKDAYS($AA754,TODAY(),Holidays)-1)&amp;" of "&amp;CHOOSE($Z754,3,3,2,2,3))&amp;" | Total Day "&amp;MAX(0,NETWORKDAYS($N754,TODAY(),Holidays)-1))</f>
        <v/>
      </c>
      <c r="X754" s="18"/>
      <c r="Y754" s="18"/>
      <c r="Z754" s="17">
        <f>IF($N754="","",COUNT($N754:$S754))</f>
        <v/>
      </c>
      <c r="AA754" s="19">
        <f>IF($Z754="","",INT(INDEX($N754:$S754,$Z754)))</f>
        <v/>
      </c>
      <c r="AB754" s="19">
        <f>IF(OR($Z754="",$Z754=6),"",WORKDAY($AA754,CHOOSE($Z754,3,3,2,2,3),Holidays))</f>
        <v/>
      </c>
      <c r="AC754" s="17">
        <f>IF(OR($Z754="",$Z754=6),"",CHOOSE($Z754,"1st Email Follow-up","2nd Email Follow-up","Escalate Local Office","Escalate to CBE","Escalate to Roxanne"))</f>
        <v/>
      </c>
    </row>
    <row r="755" spans="13:29">
      <c r="M755" s="14"/>
      <c r="T755" s="16"/>
      <c r="U755" s="17">
        <f>IF(AND(COUNTA($A755:$L755)=0,$N755=""),"",IF($T755="Paid","PAID",IF($T755="Closed","CLOSED",IF($Z755="","",IF($Z755=6,"ESCALATED TO ROXANNE",IF(TODAY()&gt;$AB755,"OVERDUE",IF($AB755&lt;=WORKDAY(TODAY(),1,Holidays),"DUE TOMORROW",IF($Z755=4,"ESCALATED TO LOCAL OFFICE",IF($Z755=5,"ESCALATED TO CBE",IF($AA755=TODAY(),"EMAIL SENT","MONITORING"))))))))))</f>
        <v/>
      </c>
      <c r="V755" s="17">
        <f>IF($U755="",IF(AND(COUNTA($A755:$L755)&gt;0,$N755=""),"Awaiting Collection Email time stamp.",""),IF(OR($U755="PAID",$U755="CLOSED"),IF($U755="PAID","Account paid. Action completed.","Account closed. No further action required."),CHOOSE($Z755,"Collection Email","1st Email Follow-up","2nd Email Follow-up","Escalation to Local Office","Escalation to CBE","Escalation to Roxanne")&amp;" sent "&amp;TEXT($AA755,"dd-mmm")&amp;". "&amp;IF($Z755=6,"Final escalation completed.",IF($U755="OVERDUE","Next: "&amp;$AC755&amp;" was due "&amp;TEXT($AB755,"dd-mmm")&amp;" - "&amp;(NETWORKDAYS($AB755,TODAY(),Holidays)-1)&amp;" business day(s) late. Send now.",IF($U755="DUE TOMORROW","Next: "&amp;$AC755&amp;IF($AB755&lt;=TODAY()," is due TODAY ("," is due next business day (")&amp;TEXT($AB755,"dd-mmm")&amp;").","Next: "&amp;$AC755&amp;" due "&amp;TEXT($AB755,"dd-mmm")&amp;" ("&amp;(NETWORKDAYS(TODAY(),$AB755,Holidays)-1)&amp;" business day(s) left).")))))</f>
        <v/>
      </c>
      <c r="W755" s="17">
        <f>IF($Z755="","",CHOOSE($Z755,"Collection Email","1st Follow-up","2nd Follow-up","Local Office","CBE","Roxanne")&amp;IF($Z755=6," - Final"," - Day "&amp;MAX(0,NETWORKDAYS($AA755,TODAY(),Holidays)-1)&amp;" of "&amp;CHOOSE($Z755,3,3,2,2,3))&amp;" | Total Day "&amp;MAX(0,NETWORKDAYS($N755,TODAY(),Holidays)-1))</f>
        <v/>
      </c>
      <c r="X755" s="18"/>
      <c r="Y755" s="18"/>
      <c r="Z755" s="17">
        <f>IF($N755="","",COUNT($N755:$S755))</f>
        <v/>
      </c>
      <c r="AA755" s="19">
        <f>IF($Z755="","",INT(INDEX($N755:$S755,$Z755)))</f>
        <v/>
      </c>
      <c r="AB755" s="19">
        <f>IF(OR($Z755="",$Z755=6),"",WORKDAY($AA755,CHOOSE($Z755,3,3,2,2,3),Holidays))</f>
        <v/>
      </c>
      <c r="AC755" s="17">
        <f>IF(OR($Z755="",$Z755=6),"",CHOOSE($Z755,"1st Email Follow-up","2nd Email Follow-up","Escalate Local Office","Escalate to CBE","Escalate to Roxanne"))</f>
        <v/>
      </c>
    </row>
    <row r="756" spans="13:29">
      <c r="M756" s="14"/>
      <c r="T756" s="16"/>
      <c r="U756" s="17">
        <f>IF(AND(COUNTA($A756:$L756)=0,$N756=""),"",IF($T756="Paid","PAID",IF($T756="Closed","CLOSED",IF($Z756="","",IF($Z756=6,"ESCALATED TO ROXANNE",IF(TODAY()&gt;$AB756,"OVERDUE",IF($AB756&lt;=WORKDAY(TODAY(),1,Holidays),"DUE TOMORROW",IF($Z756=4,"ESCALATED TO LOCAL OFFICE",IF($Z756=5,"ESCALATED TO CBE",IF($AA756=TODAY(),"EMAIL SENT","MONITORING"))))))))))</f>
        <v/>
      </c>
      <c r="V756" s="17">
        <f>IF($U756="",IF(AND(COUNTA($A756:$L756)&gt;0,$N756=""),"Awaiting Collection Email time stamp.",""),IF(OR($U756="PAID",$U756="CLOSED"),IF($U756="PAID","Account paid. Action completed.","Account closed. No further action required."),CHOOSE($Z756,"Collection Email","1st Email Follow-up","2nd Email Follow-up","Escalation to Local Office","Escalation to CBE","Escalation to Roxanne")&amp;" sent "&amp;TEXT($AA756,"dd-mmm")&amp;". "&amp;IF($Z756=6,"Final escalation completed.",IF($U756="OVERDUE","Next: "&amp;$AC756&amp;" was due "&amp;TEXT($AB756,"dd-mmm")&amp;" - "&amp;(NETWORKDAYS($AB756,TODAY(),Holidays)-1)&amp;" business day(s) late. Send now.",IF($U756="DUE TOMORROW","Next: "&amp;$AC756&amp;IF($AB756&lt;=TODAY()," is due TODAY ("," is due next business day (")&amp;TEXT($AB756,"dd-mmm")&amp;").","Next: "&amp;$AC756&amp;" due "&amp;TEXT($AB756,"dd-mmm")&amp;" ("&amp;(NETWORKDAYS(TODAY(),$AB756,Holidays)-1)&amp;" business day(s) left).")))))</f>
        <v/>
      </c>
      <c r="W756" s="17">
        <f>IF($Z756="","",CHOOSE($Z756,"Collection Email","1st Follow-up","2nd Follow-up","Local Office","CBE","Roxanne")&amp;IF($Z756=6," - Final"," - Day "&amp;MAX(0,NETWORKDAYS($AA756,TODAY(),Holidays)-1)&amp;" of "&amp;CHOOSE($Z756,3,3,2,2,3))&amp;" | Total Day "&amp;MAX(0,NETWORKDAYS($N756,TODAY(),Holidays)-1))</f>
        <v/>
      </c>
      <c r="X756" s="18"/>
      <c r="Y756" s="18"/>
      <c r="Z756" s="17">
        <f>IF($N756="","",COUNT($N756:$S756))</f>
        <v/>
      </c>
      <c r="AA756" s="19">
        <f>IF($Z756="","",INT(INDEX($N756:$S756,$Z756)))</f>
        <v/>
      </c>
      <c r="AB756" s="19">
        <f>IF(OR($Z756="",$Z756=6),"",WORKDAY($AA756,CHOOSE($Z756,3,3,2,2,3),Holidays))</f>
        <v/>
      </c>
      <c r="AC756" s="17">
        <f>IF(OR($Z756="",$Z756=6),"",CHOOSE($Z756,"1st Email Follow-up","2nd Email Follow-up","Escalate Local Office","Escalate to CBE","Escalate to Roxanne"))</f>
        <v/>
      </c>
    </row>
    <row r="757" spans="13:29">
      <c r="M757" s="14"/>
      <c r="T757" s="16"/>
      <c r="U757" s="17">
        <f>IF(AND(COUNTA($A757:$L757)=0,$N757=""),"",IF($T757="Paid","PAID",IF($T757="Closed","CLOSED",IF($Z757="","",IF($Z757=6,"ESCALATED TO ROXANNE",IF(TODAY()&gt;$AB757,"OVERDUE",IF($AB757&lt;=WORKDAY(TODAY(),1,Holidays),"DUE TOMORROW",IF($Z757=4,"ESCALATED TO LOCAL OFFICE",IF($Z757=5,"ESCALATED TO CBE",IF($AA757=TODAY(),"EMAIL SENT","MONITORING"))))))))))</f>
        <v/>
      </c>
      <c r="V757" s="17">
        <f>IF($U757="",IF(AND(COUNTA($A757:$L757)&gt;0,$N757=""),"Awaiting Collection Email time stamp.",""),IF(OR($U757="PAID",$U757="CLOSED"),IF($U757="PAID","Account paid. Action completed.","Account closed. No further action required."),CHOOSE($Z757,"Collection Email","1st Email Follow-up","2nd Email Follow-up","Escalation to Local Office","Escalation to CBE","Escalation to Roxanne")&amp;" sent "&amp;TEXT($AA757,"dd-mmm")&amp;". "&amp;IF($Z757=6,"Final escalation completed.",IF($U757="OVERDUE","Next: "&amp;$AC757&amp;" was due "&amp;TEXT($AB757,"dd-mmm")&amp;" - "&amp;(NETWORKDAYS($AB757,TODAY(),Holidays)-1)&amp;" business day(s) late. Send now.",IF($U757="DUE TOMORROW","Next: "&amp;$AC757&amp;IF($AB757&lt;=TODAY()," is due TODAY ("," is due next business day (")&amp;TEXT($AB757,"dd-mmm")&amp;").","Next: "&amp;$AC757&amp;" due "&amp;TEXT($AB757,"dd-mmm")&amp;" ("&amp;(NETWORKDAYS(TODAY(),$AB757,Holidays)-1)&amp;" business day(s) left).")))))</f>
        <v/>
      </c>
      <c r="W757" s="17">
        <f>IF($Z757="","",CHOOSE($Z757,"Collection Email","1st Follow-up","2nd Follow-up","Local Office","CBE","Roxanne")&amp;IF($Z757=6," - Final"," - Day "&amp;MAX(0,NETWORKDAYS($AA757,TODAY(),Holidays)-1)&amp;" of "&amp;CHOOSE($Z757,3,3,2,2,3))&amp;" | Total Day "&amp;MAX(0,NETWORKDAYS($N757,TODAY(),Holidays)-1))</f>
        <v/>
      </c>
      <c r="X757" s="18"/>
      <c r="Y757" s="18"/>
      <c r="Z757" s="17">
        <f>IF($N757="","",COUNT($N757:$S757))</f>
        <v/>
      </c>
      <c r="AA757" s="19">
        <f>IF($Z757="","",INT(INDEX($N757:$S757,$Z757)))</f>
        <v/>
      </c>
      <c r="AB757" s="19">
        <f>IF(OR($Z757="",$Z757=6),"",WORKDAY($AA757,CHOOSE($Z757,3,3,2,2,3),Holidays))</f>
        <v/>
      </c>
      <c r="AC757" s="17">
        <f>IF(OR($Z757="",$Z757=6),"",CHOOSE($Z757,"1st Email Follow-up","2nd Email Follow-up","Escalate Local Office","Escalate to CBE","Escalate to Roxanne"))</f>
        <v/>
      </c>
    </row>
    <row r="758" spans="13:29">
      <c r="M758" s="14"/>
      <c r="T758" s="16"/>
      <c r="U758" s="17">
        <f>IF(AND(COUNTA($A758:$L758)=0,$N758=""),"",IF($T758="Paid","PAID",IF($T758="Closed","CLOSED",IF($Z758="","",IF($Z758=6,"ESCALATED TO ROXANNE",IF(TODAY()&gt;$AB758,"OVERDUE",IF($AB758&lt;=WORKDAY(TODAY(),1,Holidays),"DUE TOMORROW",IF($Z758=4,"ESCALATED TO LOCAL OFFICE",IF($Z758=5,"ESCALATED TO CBE",IF($AA758=TODAY(),"EMAIL SENT","MONITORING"))))))))))</f>
        <v/>
      </c>
      <c r="V758" s="17">
        <f>IF($U758="",IF(AND(COUNTA($A758:$L758)&gt;0,$N758=""),"Awaiting Collection Email time stamp.",""),IF(OR($U758="PAID",$U758="CLOSED"),IF($U758="PAID","Account paid. Action completed.","Account closed. No further action required."),CHOOSE($Z758,"Collection Email","1st Email Follow-up","2nd Email Follow-up","Escalation to Local Office","Escalation to CBE","Escalation to Roxanne")&amp;" sent "&amp;TEXT($AA758,"dd-mmm")&amp;". "&amp;IF($Z758=6,"Final escalation completed.",IF($U758="OVERDUE","Next: "&amp;$AC758&amp;" was due "&amp;TEXT($AB758,"dd-mmm")&amp;" - "&amp;(NETWORKDAYS($AB758,TODAY(),Holidays)-1)&amp;" business day(s) late. Send now.",IF($U758="DUE TOMORROW","Next: "&amp;$AC758&amp;IF($AB758&lt;=TODAY()," is due TODAY ("," is due next business day (")&amp;TEXT($AB758,"dd-mmm")&amp;").","Next: "&amp;$AC758&amp;" due "&amp;TEXT($AB758,"dd-mmm")&amp;" ("&amp;(NETWORKDAYS(TODAY(),$AB758,Holidays)-1)&amp;" business day(s) left).")))))</f>
        <v/>
      </c>
      <c r="W758" s="17">
        <f>IF($Z758="","",CHOOSE($Z758,"Collection Email","1st Follow-up","2nd Follow-up","Local Office","CBE","Roxanne")&amp;IF($Z758=6," - Final"," - Day "&amp;MAX(0,NETWORKDAYS($AA758,TODAY(),Holidays)-1)&amp;" of "&amp;CHOOSE($Z758,3,3,2,2,3))&amp;" | Total Day "&amp;MAX(0,NETWORKDAYS($N758,TODAY(),Holidays)-1))</f>
        <v/>
      </c>
      <c r="X758" s="18"/>
      <c r="Y758" s="18"/>
      <c r="Z758" s="17">
        <f>IF($N758="","",COUNT($N758:$S758))</f>
        <v/>
      </c>
      <c r="AA758" s="19">
        <f>IF($Z758="","",INT(INDEX($N758:$S758,$Z758)))</f>
        <v/>
      </c>
      <c r="AB758" s="19">
        <f>IF(OR($Z758="",$Z758=6),"",WORKDAY($AA758,CHOOSE($Z758,3,3,2,2,3),Holidays))</f>
        <v/>
      </c>
      <c r="AC758" s="17">
        <f>IF(OR($Z758="",$Z758=6),"",CHOOSE($Z758,"1st Email Follow-up","2nd Email Follow-up","Escalate Local Office","Escalate to CBE","Escalate to Roxanne"))</f>
        <v/>
      </c>
    </row>
    <row r="759" spans="13:29">
      <c r="M759" s="14"/>
      <c r="T759" s="16"/>
      <c r="U759" s="17">
        <f>IF(AND(COUNTA($A759:$L759)=0,$N759=""),"",IF($T759="Paid","PAID",IF($T759="Closed","CLOSED",IF($Z759="","",IF($Z759=6,"ESCALATED TO ROXANNE",IF(TODAY()&gt;$AB759,"OVERDUE",IF($AB759&lt;=WORKDAY(TODAY(),1,Holidays),"DUE TOMORROW",IF($Z759=4,"ESCALATED TO LOCAL OFFICE",IF($Z759=5,"ESCALATED TO CBE",IF($AA759=TODAY(),"EMAIL SENT","MONITORING"))))))))))</f>
        <v/>
      </c>
      <c r="V759" s="17">
        <f>IF($U759="",IF(AND(COUNTA($A759:$L759)&gt;0,$N759=""),"Awaiting Collection Email time stamp.",""),IF(OR($U759="PAID",$U759="CLOSED"),IF($U759="PAID","Account paid. Action completed.","Account closed. No further action required."),CHOOSE($Z759,"Collection Email","1st Email Follow-up","2nd Email Follow-up","Escalation to Local Office","Escalation to CBE","Escalation to Roxanne")&amp;" sent "&amp;TEXT($AA759,"dd-mmm")&amp;". "&amp;IF($Z759=6,"Final escalation completed.",IF($U759="OVERDUE","Next: "&amp;$AC759&amp;" was due "&amp;TEXT($AB759,"dd-mmm")&amp;" - "&amp;(NETWORKDAYS($AB759,TODAY(),Holidays)-1)&amp;" business day(s) late. Send now.",IF($U759="DUE TOMORROW","Next: "&amp;$AC759&amp;IF($AB759&lt;=TODAY()," is due TODAY ("," is due next business day (")&amp;TEXT($AB759,"dd-mmm")&amp;").","Next: "&amp;$AC759&amp;" due "&amp;TEXT($AB759,"dd-mmm")&amp;" ("&amp;(NETWORKDAYS(TODAY(),$AB759,Holidays)-1)&amp;" business day(s) left).")))))</f>
        <v/>
      </c>
      <c r="W759" s="17">
        <f>IF($Z759="","",CHOOSE($Z759,"Collection Email","1st Follow-up","2nd Follow-up","Local Office","CBE","Roxanne")&amp;IF($Z759=6," - Final"," - Day "&amp;MAX(0,NETWORKDAYS($AA759,TODAY(),Holidays)-1)&amp;" of "&amp;CHOOSE($Z759,3,3,2,2,3))&amp;" | Total Day "&amp;MAX(0,NETWORKDAYS($N759,TODAY(),Holidays)-1))</f>
        <v/>
      </c>
      <c r="X759" s="18"/>
      <c r="Y759" s="18"/>
      <c r="Z759" s="17">
        <f>IF($N759="","",COUNT($N759:$S759))</f>
        <v/>
      </c>
      <c r="AA759" s="19">
        <f>IF($Z759="","",INT(INDEX($N759:$S759,$Z759)))</f>
        <v/>
      </c>
      <c r="AB759" s="19">
        <f>IF(OR($Z759="",$Z759=6),"",WORKDAY($AA759,CHOOSE($Z759,3,3,2,2,3),Holidays))</f>
        <v/>
      </c>
      <c r="AC759" s="17">
        <f>IF(OR($Z759="",$Z759=6),"",CHOOSE($Z759,"1st Email Follow-up","2nd Email Follow-up","Escalate Local Office","Escalate to CBE","Escalate to Roxanne"))</f>
        <v/>
      </c>
    </row>
    <row r="760" spans="13:29">
      <c r="M760" s="14"/>
      <c r="T760" s="16"/>
      <c r="U760" s="17">
        <f>IF(AND(COUNTA($A760:$L760)=0,$N760=""),"",IF($T760="Paid","PAID",IF($T760="Closed","CLOSED",IF($Z760="","",IF($Z760=6,"ESCALATED TO ROXANNE",IF(TODAY()&gt;$AB760,"OVERDUE",IF($AB760&lt;=WORKDAY(TODAY(),1,Holidays),"DUE TOMORROW",IF($Z760=4,"ESCALATED TO LOCAL OFFICE",IF($Z760=5,"ESCALATED TO CBE",IF($AA760=TODAY(),"EMAIL SENT","MONITORING"))))))))))</f>
        <v/>
      </c>
      <c r="V760" s="17">
        <f>IF($U760="",IF(AND(COUNTA($A760:$L760)&gt;0,$N760=""),"Awaiting Collection Email time stamp.",""),IF(OR($U760="PAID",$U760="CLOSED"),IF($U760="PAID","Account paid. Action completed.","Account closed. No further action required."),CHOOSE($Z760,"Collection Email","1st Email Follow-up","2nd Email Follow-up","Escalation to Local Office","Escalation to CBE","Escalation to Roxanne")&amp;" sent "&amp;TEXT($AA760,"dd-mmm")&amp;". "&amp;IF($Z760=6,"Final escalation completed.",IF($U760="OVERDUE","Next: "&amp;$AC760&amp;" was due "&amp;TEXT($AB760,"dd-mmm")&amp;" - "&amp;(NETWORKDAYS($AB760,TODAY(),Holidays)-1)&amp;" business day(s) late. Send now.",IF($U760="DUE TOMORROW","Next: "&amp;$AC760&amp;IF($AB760&lt;=TODAY()," is due TODAY ("," is due next business day (")&amp;TEXT($AB760,"dd-mmm")&amp;").","Next: "&amp;$AC760&amp;" due "&amp;TEXT($AB760,"dd-mmm")&amp;" ("&amp;(NETWORKDAYS(TODAY(),$AB760,Holidays)-1)&amp;" business day(s) left).")))))</f>
        <v/>
      </c>
      <c r="W760" s="17">
        <f>IF($Z760="","",CHOOSE($Z760,"Collection Email","1st Follow-up","2nd Follow-up","Local Office","CBE","Roxanne")&amp;IF($Z760=6," - Final"," - Day "&amp;MAX(0,NETWORKDAYS($AA760,TODAY(),Holidays)-1)&amp;" of "&amp;CHOOSE($Z760,3,3,2,2,3))&amp;" | Total Day "&amp;MAX(0,NETWORKDAYS($N760,TODAY(),Holidays)-1))</f>
        <v/>
      </c>
      <c r="X760" s="18"/>
      <c r="Y760" s="18"/>
      <c r="Z760" s="17">
        <f>IF($N760="","",COUNT($N760:$S760))</f>
        <v/>
      </c>
      <c r="AA760" s="19">
        <f>IF($Z760="","",INT(INDEX($N760:$S760,$Z760)))</f>
        <v/>
      </c>
      <c r="AB760" s="19">
        <f>IF(OR($Z760="",$Z760=6),"",WORKDAY($AA760,CHOOSE($Z760,3,3,2,2,3),Holidays))</f>
        <v/>
      </c>
      <c r="AC760" s="17">
        <f>IF(OR($Z760="",$Z760=6),"",CHOOSE($Z760,"1st Email Follow-up","2nd Email Follow-up","Escalate Local Office","Escalate to CBE","Escalate to Roxanne"))</f>
        <v/>
      </c>
    </row>
    <row r="761" spans="13:29">
      <c r="M761" s="14"/>
      <c r="T761" s="16"/>
      <c r="U761" s="17">
        <f>IF(AND(COUNTA($A761:$L761)=0,$N761=""),"",IF($T761="Paid","PAID",IF($T761="Closed","CLOSED",IF($Z761="","",IF($Z761=6,"ESCALATED TO ROXANNE",IF(TODAY()&gt;$AB761,"OVERDUE",IF($AB761&lt;=WORKDAY(TODAY(),1,Holidays),"DUE TOMORROW",IF($Z761=4,"ESCALATED TO LOCAL OFFICE",IF($Z761=5,"ESCALATED TO CBE",IF($AA761=TODAY(),"EMAIL SENT","MONITORING"))))))))))</f>
        <v/>
      </c>
      <c r="V761" s="17">
        <f>IF($U761="",IF(AND(COUNTA($A761:$L761)&gt;0,$N761=""),"Awaiting Collection Email time stamp.",""),IF(OR($U761="PAID",$U761="CLOSED"),IF($U761="PAID","Account paid. Action completed.","Account closed. No further action required."),CHOOSE($Z761,"Collection Email","1st Email Follow-up","2nd Email Follow-up","Escalation to Local Office","Escalation to CBE","Escalation to Roxanne")&amp;" sent "&amp;TEXT($AA761,"dd-mmm")&amp;". "&amp;IF($Z761=6,"Final escalation completed.",IF($U761="OVERDUE","Next: "&amp;$AC761&amp;" was due "&amp;TEXT($AB761,"dd-mmm")&amp;" - "&amp;(NETWORKDAYS($AB761,TODAY(),Holidays)-1)&amp;" business day(s) late. Send now.",IF($U761="DUE TOMORROW","Next: "&amp;$AC761&amp;IF($AB761&lt;=TODAY()," is due TODAY ("," is due next business day (")&amp;TEXT($AB761,"dd-mmm")&amp;").","Next: "&amp;$AC761&amp;" due "&amp;TEXT($AB761,"dd-mmm")&amp;" ("&amp;(NETWORKDAYS(TODAY(),$AB761,Holidays)-1)&amp;" business day(s) left).")))))</f>
        <v/>
      </c>
      <c r="W761" s="17">
        <f>IF($Z761="","",CHOOSE($Z761,"Collection Email","1st Follow-up","2nd Follow-up","Local Office","CBE","Roxanne")&amp;IF($Z761=6," - Final"," - Day "&amp;MAX(0,NETWORKDAYS($AA761,TODAY(),Holidays)-1)&amp;" of "&amp;CHOOSE($Z761,3,3,2,2,3))&amp;" | Total Day "&amp;MAX(0,NETWORKDAYS($N761,TODAY(),Holidays)-1))</f>
        <v/>
      </c>
      <c r="X761" s="18"/>
      <c r="Y761" s="18"/>
      <c r="Z761" s="17">
        <f>IF($N761="","",COUNT($N761:$S761))</f>
        <v/>
      </c>
      <c r="AA761" s="19">
        <f>IF($Z761="","",INT(INDEX($N761:$S761,$Z761)))</f>
        <v/>
      </c>
      <c r="AB761" s="19">
        <f>IF(OR($Z761="",$Z761=6),"",WORKDAY($AA761,CHOOSE($Z761,3,3,2,2,3),Holidays))</f>
        <v/>
      </c>
      <c r="AC761" s="17">
        <f>IF(OR($Z761="",$Z761=6),"",CHOOSE($Z761,"1st Email Follow-up","2nd Email Follow-up","Escalate Local Office","Escalate to CBE","Escalate to Roxanne"))</f>
        <v/>
      </c>
    </row>
    <row r="762" spans="13:29">
      <c r="M762" s="14"/>
      <c r="T762" s="16"/>
      <c r="U762" s="17">
        <f>IF(AND(COUNTA($A762:$L762)=0,$N762=""),"",IF($T762="Paid","PAID",IF($T762="Closed","CLOSED",IF($Z762="","",IF($Z762=6,"ESCALATED TO ROXANNE",IF(TODAY()&gt;$AB762,"OVERDUE",IF($AB762&lt;=WORKDAY(TODAY(),1,Holidays),"DUE TOMORROW",IF($Z762=4,"ESCALATED TO LOCAL OFFICE",IF($Z762=5,"ESCALATED TO CBE",IF($AA762=TODAY(),"EMAIL SENT","MONITORING"))))))))))</f>
        <v/>
      </c>
      <c r="V762" s="17">
        <f>IF($U762="",IF(AND(COUNTA($A762:$L762)&gt;0,$N762=""),"Awaiting Collection Email time stamp.",""),IF(OR($U762="PAID",$U762="CLOSED"),IF($U762="PAID","Account paid. Action completed.","Account closed. No further action required."),CHOOSE($Z762,"Collection Email","1st Email Follow-up","2nd Email Follow-up","Escalation to Local Office","Escalation to CBE","Escalation to Roxanne")&amp;" sent "&amp;TEXT($AA762,"dd-mmm")&amp;". "&amp;IF($Z762=6,"Final escalation completed.",IF($U762="OVERDUE","Next: "&amp;$AC762&amp;" was due "&amp;TEXT($AB762,"dd-mmm")&amp;" - "&amp;(NETWORKDAYS($AB762,TODAY(),Holidays)-1)&amp;" business day(s) late. Send now.",IF($U762="DUE TOMORROW","Next: "&amp;$AC762&amp;IF($AB762&lt;=TODAY()," is due TODAY ("," is due next business day (")&amp;TEXT($AB762,"dd-mmm")&amp;").","Next: "&amp;$AC762&amp;" due "&amp;TEXT($AB762,"dd-mmm")&amp;" ("&amp;(NETWORKDAYS(TODAY(),$AB762,Holidays)-1)&amp;" business day(s) left).")))))</f>
        <v/>
      </c>
      <c r="W762" s="17">
        <f>IF($Z762="","",CHOOSE($Z762,"Collection Email","1st Follow-up","2nd Follow-up","Local Office","CBE","Roxanne")&amp;IF($Z762=6," - Final"," - Day "&amp;MAX(0,NETWORKDAYS($AA762,TODAY(),Holidays)-1)&amp;" of "&amp;CHOOSE($Z762,3,3,2,2,3))&amp;" | Total Day "&amp;MAX(0,NETWORKDAYS($N762,TODAY(),Holidays)-1))</f>
        <v/>
      </c>
      <c r="X762" s="18"/>
      <c r="Y762" s="18"/>
      <c r="Z762" s="17">
        <f>IF($N762="","",COUNT($N762:$S762))</f>
        <v/>
      </c>
      <c r="AA762" s="19">
        <f>IF($Z762="","",INT(INDEX($N762:$S762,$Z762)))</f>
        <v/>
      </c>
      <c r="AB762" s="19">
        <f>IF(OR($Z762="",$Z762=6),"",WORKDAY($AA762,CHOOSE($Z762,3,3,2,2,3),Holidays))</f>
        <v/>
      </c>
      <c r="AC762" s="17">
        <f>IF(OR($Z762="",$Z762=6),"",CHOOSE($Z762,"1st Email Follow-up","2nd Email Follow-up","Escalate Local Office","Escalate to CBE","Escalate to Roxanne"))</f>
        <v/>
      </c>
    </row>
    <row r="763" spans="13:29">
      <c r="M763" s="14"/>
      <c r="T763" s="16"/>
      <c r="U763" s="17">
        <f>IF(AND(COUNTA($A763:$L763)=0,$N763=""),"",IF($T763="Paid","PAID",IF($T763="Closed","CLOSED",IF($Z763="","",IF($Z763=6,"ESCALATED TO ROXANNE",IF(TODAY()&gt;$AB763,"OVERDUE",IF($AB763&lt;=WORKDAY(TODAY(),1,Holidays),"DUE TOMORROW",IF($Z763=4,"ESCALATED TO LOCAL OFFICE",IF($Z763=5,"ESCALATED TO CBE",IF($AA763=TODAY(),"EMAIL SENT","MONITORING"))))))))))</f>
        <v/>
      </c>
      <c r="V763" s="17">
        <f>IF($U763="",IF(AND(COUNTA($A763:$L763)&gt;0,$N763=""),"Awaiting Collection Email time stamp.",""),IF(OR($U763="PAID",$U763="CLOSED"),IF($U763="PAID","Account paid. Action completed.","Account closed. No further action required."),CHOOSE($Z763,"Collection Email","1st Email Follow-up","2nd Email Follow-up","Escalation to Local Office","Escalation to CBE","Escalation to Roxanne")&amp;" sent "&amp;TEXT($AA763,"dd-mmm")&amp;". "&amp;IF($Z763=6,"Final escalation completed.",IF($U763="OVERDUE","Next: "&amp;$AC763&amp;" was due "&amp;TEXT($AB763,"dd-mmm")&amp;" - "&amp;(NETWORKDAYS($AB763,TODAY(),Holidays)-1)&amp;" business day(s) late. Send now.",IF($U763="DUE TOMORROW","Next: "&amp;$AC763&amp;IF($AB763&lt;=TODAY()," is due TODAY ("," is due next business day (")&amp;TEXT($AB763,"dd-mmm")&amp;").","Next: "&amp;$AC763&amp;" due "&amp;TEXT($AB763,"dd-mmm")&amp;" ("&amp;(NETWORKDAYS(TODAY(),$AB763,Holidays)-1)&amp;" business day(s) left).")))))</f>
        <v/>
      </c>
      <c r="W763" s="17">
        <f>IF($Z763="","",CHOOSE($Z763,"Collection Email","1st Follow-up","2nd Follow-up","Local Office","CBE","Roxanne")&amp;IF($Z763=6," - Final"," - Day "&amp;MAX(0,NETWORKDAYS($AA763,TODAY(),Holidays)-1)&amp;" of "&amp;CHOOSE($Z763,3,3,2,2,3))&amp;" | Total Day "&amp;MAX(0,NETWORKDAYS($N763,TODAY(),Holidays)-1))</f>
        <v/>
      </c>
      <c r="X763" s="18"/>
      <c r="Y763" s="18"/>
      <c r="Z763" s="17">
        <f>IF($N763="","",COUNT($N763:$S763))</f>
        <v/>
      </c>
      <c r="AA763" s="19">
        <f>IF($Z763="","",INT(INDEX($N763:$S763,$Z763)))</f>
        <v/>
      </c>
      <c r="AB763" s="19">
        <f>IF(OR($Z763="",$Z763=6),"",WORKDAY($AA763,CHOOSE($Z763,3,3,2,2,3),Holidays))</f>
        <v/>
      </c>
      <c r="AC763" s="17">
        <f>IF(OR($Z763="",$Z763=6),"",CHOOSE($Z763,"1st Email Follow-up","2nd Email Follow-up","Escalate Local Office","Escalate to CBE","Escalate to Roxanne"))</f>
        <v/>
      </c>
    </row>
    <row r="764" spans="13:29">
      <c r="M764" s="14"/>
      <c r="T764" s="16"/>
      <c r="U764" s="17">
        <f>IF(AND(COUNTA($A764:$L764)=0,$N764=""),"",IF($T764="Paid","PAID",IF($T764="Closed","CLOSED",IF($Z764="","",IF($Z764=6,"ESCALATED TO ROXANNE",IF(TODAY()&gt;$AB764,"OVERDUE",IF($AB764&lt;=WORKDAY(TODAY(),1,Holidays),"DUE TOMORROW",IF($Z764=4,"ESCALATED TO LOCAL OFFICE",IF($Z764=5,"ESCALATED TO CBE",IF($AA764=TODAY(),"EMAIL SENT","MONITORING"))))))))))</f>
        <v/>
      </c>
      <c r="V764" s="17">
        <f>IF($U764="",IF(AND(COUNTA($A764:$L764)&gt;0,$N764=""),"Awaiting Collection Email time stamp.",""),IF(OR($U764="PAID",$U764="CLOSED"),IF($U764="PAID","Account paid. Action completed.","Account closed. No further action required."),CHOOSE($Z764,"Collection Email","1st Email Follow-up","2nd Email Follow-up","Escalation to Local Office","Escalation to CBE","Escalation to Roxanne")&amp;" sent "&amp;TEXT($AA764,"dd-mmm")&amp;". "&amp;IF($Z764=6,"Final escalation completed.",IF($U764="OVERDUE","Next: "&amp;$AC764&amp;" was due "&amp;TEXT($AB764,"dd-mmm")&amp;" - "&amp;(NETWORKDAYS($AB764,TODAY(),Holidays)-1)&amp;" business day(s) late. Send now.",IF($U764="DUE TOMORROW","Next: "&amp;$AC764&amp;IF($AB764&lt;=TODAY()," is due TODAY ("," is due next business day (")&amp;TEXT($AB764,"dd-mmm")&amp;").","Next: "&amp;$AC764&amp;" due "&amp;TEXT($AB764,"dd-mmm")&amp;" ("&amp;(NETWORKDAYS(TODAY(),$AB764,Holidays)-1)&amp;" business day(s) left).")))))</f>
        <v/>
      </c>
      <c r="W764" s="17">
        <f>IF($Z764="","",CHOOSE($Z764,"Collection Email","1st Follow-up","2nd Follow-up","Local Office","CBE","Roxanne")&amp;IF($Z764=6," - Final"," - Day "&amp;MAX(0,NETWORKDAYS($AA764,TODAY(),Holidays)-1)&amp;" of "&amp;CHOOSE($Z764,3,3,2,2,3))&amp;" | Total Day "&amp;MAX(0,NETWORKDAYS($N764,TODAY(),Holidays)-1))</f>
        <v/>
      </c>
      <c r="X764" s="18"/>
      <c r="Y764" s="18"/>
      <c r="Z764" s="17">
        <f>IF($N764="","",COUNT($N764:$S764))</f>
        <v/>
      </c>
      <c r="AA764" s="19">
        <f>IF($Z764="","",INT(INDEX($N764:$S764,$Z764)))</f>
        <v/>
      </c>
      <c r="AB764" s="19">
        <f>IF(OR($Z764="",$Z764=6),"",WORKDAY($AA764,CHOOSE($Z764,3,3,2,2,3),Holidays))</f>
        <v/>
      </c>
      <c r="AC764" s="17">
        <f>IF(OR($Z764="",$Z764=6),"",CHOOSE($Z764,"1st Email Follow-up","2nd Email Follow-up","Escalate Local Office","Escalate to CBE","Escalate to Roxanne"))</f>
        <v/>
      </c>
    </row>
    <row r="765" spans="13:29">
      <c r="M765" s="14"/>
      <c r="T765" s="16"/>
      <c r="U765" s="17">
        <f>IF(AND(COUNTA($A765:$L765)=0,$N765=""),"",IF($T765="Paid","PAID",IF($T765="Closed","CLOSED",IF($Z765="","",IF($Z765=6,"ESCALATED TO ROXANNE",IF(TODAY()&gt;$AB765,"OVERDUE",IF($AB765&lt;=WORKDAY(TODAY(),1,Holidays),"DUE TOMORROW",IF($Z765=4,"ESCALATED TO LOCAL OFFICE",IF($Z765=5,"ESCALATED TO CBE",IF($AA765=TODAY(),"EMAIL SENT","MONITORING"))))))))))</f>
        <v/>
      </c>
      <c r="V765" s="17">
        <f>IF($U765="",IF(AND(COUNTA($A765:$L765)&gt;0,$N765=""),"Awaiting Collection Email time stamp.",""),IF(OR($U765="PAID",$U765="CLOSED"),IF($U765="PAID","Account paid. Action completed.","Account closed. No further action required."),CHOOSE($Z765,"Collection Email","1st Email Follow-up","2nd Email Follow-up","Escalation to Local Office","Escalation to CBE","Escalation to Roxanne")&amp;" sent "&amp;TEXT($AA765,"dd-mmm")&amp;". "&amp;IF($Z765=6,"Final escalation completed.",IF($U765="OVERDUE","Next: "&amp;$AC765&amp;" was due "&amp;TEXT($AB765,"dd-mmm")&amp;" - "&amp;(NETWORKDAYS($AB765,TODAY(),Holidays)-1)&amp;" business day(s) late. Send now.",IF($U765="DUE TOMORROW","Next: "&amp;$AC765&amp;IF($AB765&lt;=TODAY()," is due TODAY ("," is due next business day (")&amp;TEXT($AB765,"dd-mmm")&amp;").","Next: "&amp;$AC765&amp;" due "&amp;TEXT($AB765,"dd-mmm")&amp;" ("&amp;(NETWORKDAYS(TODAY(),$AB765,Holidays)-1)&amp;" business day(s) left).")))))</f>
        <v/>
      </c>
      <c r="W765" s="17">
        <f>IF($Z765="","",CHOOSE($Z765,"Collection Email","1st Follow-up","2nd Follow-up","Local Office","CBE","Roxanne")&amp;IF($Z765=6," - Final"," - Day "&amp;MAX(0,NETWORKDAYS($AA765,TODAY(),Holidays)-1)&amp;" of "&amp;CHOOSE($Z765,3,3,2,2,3))&amp;" | Total Day "&amp;MAX(0,NETWORKDAYS($N765,TODAY(),Holidays)-1))</f>
        <v/>
      </c>
      <c r="X765" s="18"/>
      <c r="Y765" s="18"/>
      <c r="Z765" s="17">
        <f>IF($N765="","",COUNT($N765:$S765))</f>
        <v/>
      </c>
      <c r="AA765" s="19">
        <f>IF($Z765="","",INT(INDEX($N765:$S765,$Z765)))</f>
        <v/>
      </c>
      <c r="AB765" s="19">
        <f>IF(OR($Z765="",$Z765=6),"",WORKDAY($AA765,CHOOSE($Z765,3,3,2,2,3),Holidays))</f>
        <v/>
      </c>
      <c r="AC765" s="17">
        <f>IF(OR($Z765="",$Z765=6),"",CHOOSE($Z765,"1st Email Follow-up","2nd Email Follow-up","Escalate Local Office","Escalate to CBE","Escalate to Roxanne"))</f>
        <v/>
      </c>
    </row>
    <row r="766" spans="13:29">
      <c r="M766" s="14"/>
      <c r="T766" s="16"/>
      <c r="U766" s="17">
        <f>IF(AND(COUNTA($A766:$L766)=0,$N766=""),"",IF($T766="Paid","PAID",IF($T766="Closed","CLOSED",IF($Z766="","",IF($Z766=6,"ESCALATED TO ROXANNE",IF(TODAY()&gt;$AB766,"OVERDUE",IF($AB766&lt;=WORKDAY(TODAY(),1,Holidays),"DUE TOMORROW",IF($Z766=4,"ESCALATED TO LOCAL OFFICE",IF($Z766=5,"ESCALATED TO CBE",IF($AA766=TODAY(),"EMAIL SENT","MONITORING"))))))))))</f>
        <v/>
      </c>
      <c r="V766" s="17">
        <f>IF($U766="",IF(AND(COUNTA($A766:$L766)&gt;0,$N766=""),"Awaiting Collection Email time stamp.",""),IF(OR($U766="PAID",$U766="CLOSED"),IF($U766="PAID","Account paid. Action completed.","Account closed. No further action required."),CHOOSE($Z766,"Collection Email","1st Email Follow-up","2nd Email Follow-up","Escalation to Local Office","Escalation to CBE","Escalation to Roxanne")&amp;" sent "&amp;TEXT($AA766,"dd-mmm")&amp;". "&amp;IF($Z766=6,"Final escalation completed.",IF($U766="OVERDUE","Next: "&amp;$AC766&amp;" was due "&amp;TEXT($AB766,"dd-mmm")&amp;" - "&amp;(NETWORKDAYS($AB766,TODAY(),Holidays)-1)&amp;" business day(s) late. Send now.",IF($U766="DUE TOMORROW","Next: "&amp;$AC766&amp;IF($AB766&lt;=TODAY()," is due TODAY ("," is due next business day (")&amp;TEXT($AB766,"dd-mmm")&amp;").","Next: "&amp;$AC766&amp;" due "&amp;TEXT($AB766,"dd-mmm")&amp;" ("&amp;(NETWORKDAYS(TODAY(),$AB766,Holidays)-1)&amp;" business day(s) left).")))))</f>
        <v/>
      </c>
      <c r="W766" s="17">
        <f>IF($Z766="","",CHOOSE($Z766,"Collection Email","1st Follow-up","2nd Follow-up","Local Office","CBE","Roxanne")&amp;IF($Z766=6," - Final"," - Day "&amp;MAX(0,NETWORKDAYS($AA766,TODAY(),Holidays)-1)&amp;" of "&amp;CHOOSE($Z766,3,3,2,2,3))&amp;" | Total Day "&amp;MAX(0,NETWORKDAYS($N766,TODAY(),Holidays)-1))</f>
        <v/>
      </c>
      <c r="X766" s="18"/>
      <c r="Y766" s="18"/>
      <c r="Z766" s="17">
        <f>IF($N766="","",COUNT($N766:$S766))</f>
        <v/>
      </c>
      <c r="AA766" s="19">
        <f>IF($Z766="","",INT(INDEX($N766:$S766,$Z766)))</f>
        <v/>
      </c>
      <c r="AB766" s="19">
        <f>IF(OR($Z766="",$Z766=6),"",WORKDAY($AA766,CHOOSE($Z766,3,3,2,2,3),Holidays))</f>
        <v/>
      </c>
      <c r="AC766" s="17">
        <f>IF(OR($Z766="",$Z766=6),"",CHOOSE($Z766,"1st Email Follow-up","2nd Email Follow-up","Escalate Local Office","Escalate to CBE","Escalate to Roxanne"))</f>
        <v/>
      </c>
    </row>
    <row r="767" spans="13:29">
      <c r="M767" s="14"/>
      <c r="T767" s="16"/>
      <c r="U767" s="17">
        <f>IF(AND(COUNTA($A767:$L767)=0,$N767=""),"",IF($T767="Paid","PAID",IF($T767="Closed","CLOSED",IF($Z767="","",IF($Z767=6,"ESCALATED TO ROXANNE",IF(TODAY()&gt;$AB767,"OVERDUE",IF($AB767&lt;=WORKDAY(TODAY(),1,Holidays),"DUE TOMORROW",IF($Z767=4,"ESCALATED TO LOCAL OFFICE",IF($Z767=5,"ESCALATED TO CBE",IF($AA767=TODAY(),"EMAIL SENT","MONITORING"))))))))))</f>
        <v/>
      </c>
      <c r="V767" s="17">
        <f>IF($U767="",IF(AND(COUNTA($A767:$L767)&gt;0,$N767=""),"Awaiting Collection Email time stamp.",""),IF(OR($U767="PAID",$U767="CLOSED"),IF($U767="PAID","Account paid. Action completed.","Account closed. No further action required."),CHOOSE($Z767,"Collection Email","1st Email Follow-up","2nd Email Follow-up","Escalation to Local Office","Escalation to CBE","Escalation to Roxanne")&amp;" sent "&amp;TEXT($AA767,"dd-mmm")&amp;". "&amp;IF($Z767=6,"Final escalation completed.",IF($U767="OVERDUE","Next: "&amp;$AC767&amp;" was due "&amp;TEXT($AB767,"dd-mmm")&amp;" - "&amp;(NETWORKDAYS($AB767,TODAY(),Holidays)-1)&amp;" business day(s) late. Send now.",IF($U767="DUE TOMORROW","Next: "&amp;$AC767&amp;IF($AB767&lt;=TODAY()," is due TODAY ("," is due next business day (")&amp;TEXT($AB767,"dd-mmm")&amp;").","Next: "&amp;$AC767&amp;" due "&amp;TEXT($AB767,"dd-mmm")&amp;" ("&amp;(NETWORKDAYS(TODAY(),$AB767,Holidays)-1)&amp;" business day(s) left).")))))</f>
        <v/>
      </c>
      <c r="W767" s="17">
        <f>IF($Z767="","",CHOOSE($Z767,"Collection Email","1st Follow-up","2nd Follow-up","Local Office","CBE","Roxanne")&amp;IF($Z767=6," - Final"," - Day "&amp;MAX(0,NETWORKDAYS($AA767,TODAY(),Holidays)-1)&amp;" of "&amp;CHOOSE($Z767,3,3,2,2,3))&amp;" | Total Day "&amp;MAX(0,NETWORKDAYS($N767,TODAY(),Holidays)-1))</f>
        <v/>
      </c>
      <c r="X767" s="18"/>
      <c r="Y767" s="18"/>
      <c r="Z767" s="17">
        <f>IF($N767="","",COUNT($N767:$S767))</f>
        <v/>
      </c>
      <c r="AA767" s="19">
        <f>IF($Z767="","",INT(INDEX($N767:$S767,$Z767)))</f>
        <v/>
      </c>
      <c r="AB767" s="19">
        <f>IF(OR($Z767="",$Z767=6),"",WORKDAY($AA767,CHOOSE($Z767,3,3,2,2,3),Holidays))</f>
        <v/>
      </c>
      <c r="AC767" s="17">
        <f>IF(OR($Z767="",$Z767=6),"",CHOOSE($Z767,"1st Email Follow-up","2nd Email Follow-up","Escalate Local Office","Escalate to CBE","Escalate to Roxanne"))</f>
        <v/>
      </c>
    </row>
    <row r="768" spans="13:29">
      <c r="M768" s="14"/>
      <c r="T768" s="16"/>
      <c r="U768" s="17">
        <f>IF(AND(COUNTA($A768:$L768)=0,$N768=""),"",IF($T768="Paid","PAID",IF($T768="Closed","CLOSED",IF($Z768="","",IF($Z768=6,"ESCALATED TO ROXANNE",IF(TODAY()&gt;$AB768,"OVERDUE",IF($AB768&lt;=WORKDAY(TODAY(),1,Holidays),"DUE TOMORROW",IF($Z768=4,"ESCALATED TO LOCAL OFFICE",IF($Z768=5,"ESCALATED TO CBE",IF($AA768=TODAY(),"EMAIL SENT","MONITORING"))))))))))</f>
        <v/>
      </c>
      <c r="V768" s="17">
        <f>IF($U768="",IF(AND(COUNTA($A768:$L768)&gt;0,$N768=""),"Awaiting Collection Email time stamp.",""),IF(OR($U768="PAID",$U768="CLOSED"),IF($U768="PAID","Account paid. Action completed.","Account closed. No further action required."),CHOOSE($Z768,"Collection Email","1st Email Follow-up","2nd Email Follow-up","Escalation to Local Office","Escalation to CBE","Escalation to Roxanne")&amp;" sent "&amp;TEXT($AA768,"dd-mmm")&amp;". "&amp;IF($Z768=6,"Final escalation completed.",IF($U768="OVERDUE","Next: "&amp;$AC768&amp;" was due "&amp;TEXT($AB768,"dd-mmm")&amp;" - "&amp;(NETWORKDAYS($AB768,TODAY(),Holidays)-1)&amp;" business day(s) late. Send now.",IF($U768="DUE TOMORROW","Next: "&amp;$AC768&amp;IF($AB768&lt;=TODAY()," is due TODAY ("," is due next business day (")&amp;TEXT($AB768,"dd-mmm")&amp;").","Next: "&amp;$AC768&amp;" due "&amp;TEXT($AB768,"dd-mmm")&amp;" ("&amp;(NETWORKDAYS(TODAY(),$AB768,Holidays)-1)&amp;" business day(s) left).")))))</f>
        <v/>
      </c>
      <c r="W768" s="17">
        <f>IF($Z768="","",CHOOSE($Z768,"Collection Email","1st Follow-up","2nd Follow-up","Local Office","CBE","Roxanne")&amp;IF($Z768=6," - Final"," - Day "&amp;MAX(0,NETWORKDAYS($AA768,TODAY(),Holidays)-1)&amp;" of "&amp;CHOOSE($Z768,3,3,2,2,3))&amp;" | Total Day "&amp;MAX(0,NETWORKDAYS($N768,TODAY(),Holidays)-1))</f>
        <v/>
      </c>
      <c r="X768" s="18"/>
      <c r="Y768" s="18"/>
      <c r="Z768" s="17">
        <f>IF($N768="","",COUNT($N768:$S768))</f>
        <v/>
      </c>
      <c r="AA768" s="19">
        <f>IF($Z768="","",INT(INDEX($N768:$S768,$Z768)))</f>
        <v/>
      </c>
      <c r="AB768" s="19">
        <f>IF(OR($Z768="",$Z768=6),"",WORKDAY($AA768,CHOOSE($Z768,3,3,2,2,3),Holidays))</f>
        <v/>
      </c>
      <c r="AC768" s="17">
        <f>IF(OR($Z768="",$Z768=6),"",CHOOSE($Z768,"1st Email Follow-up","2nd Email Follow-up","Escalate Local Office","Escalate to CBE","Escalate to Roxanne"))</f>
        <v/>
      </c>
    </row>
    <row r="769" spans="13:29">
      <c r="M769" s="14"/>
      <c r="T769" s="16"/>
      <c r="U769" s="17">
        <f>IF(AND(COUNTA($A769:$L769)=0,$N769=""),"",IF($T769="Paid","PAID",IF($T769="Closed","CLOSED",IF($Z769="","",IF($Z769=6,"ESCALATED TO ROXANNE",IF(TODAY()&gt;$AB769,"OVERDUE",IF($AB769&lt;=WORKDAY(TODAY(),1,Holidays),"DUE TOMORROW",IF($Z769=4,"ESCALATED TO LOCAL OFFICE",IF($Z769=5,"ESCALATED TO CBE",IF($AA769=TODAY(),"EMAIL SENT","MONITORING"))))))))))</f>
        <v/>
      </c>
      <c r="V769" s="17">
        <f>IF($U769="",IF(AND(COUNTA($A769:$L769)&gt;0,$N769=""),"Awaiting Collection Email time stamp.",""),IF(OR($U769="PAID",$U769="CLOSED"),IF($U769="PAID","Account paid. Action completed.","Account closed. No further action required."),CHOOSE($Z769,"Collection Email","1st Email Follow-up","2nd Email Follow-up","Escalation to Local Office","Escalation to CBE","Escalation to Roxanne")&amp;" sent "&amp;TEXT($AA769,"dd-mmm")&amp;". "&amp;IF($Z769=6,"Final escalation completed.",IF($U769="OVERDUE","Next: "&amp;$AC769&amp;" was due "&amp;TEXT($AB769,"dd-mmm")&amp;" - "&amp;(NETWORKDAYS($AB769,TODAY(),Holidays)-1)&amp;" business day(s) late. Send now.",IF($U769="DUE TOMORROW","Next: "&amp;$AC769&amp;IF($AB769&lt;=TODAY()," is due TODAY ("," is due next business day (")&amp;TEXT($AB769,"dd-mmm")&amp;").","Next: "&amp;$AC769&amp;" due "&amp;TEXT($AB769,"dd-mmm")&amp;" ("&amp;(NETWORKDAYS(TODAY(),$AB769,Holidays)-1)&amp;" business day(s) left).")))))</f>
        <v/>
      </c>
      <c r="W769" s="17">
        <f>IF($Z769="","",CHOOSE($Z769,"Collection Email","1st Follow-up","2nd Follow-up","Local Office","CBE","Roxanne")&amp;IF($Z769=6," - Final"," - Day "&amp;MAX(0,NETWORKDAYS($AA769,TODAY(),Holidays)-1)&amp;" of "&amp;CHOOSE($Z769,3,3,2,2,3))&amp;" | Total Day "&amp;MAX(0,NETWORKDAYS($N769,TODAY(),Holidays)-1))</f>
        <v/>
      </c>
      <c r="X769" s="18"/>
      <c r="Y769" s="18"/>
      <c r="Z769" s="17">
        <f>IF($N769="","",COUNT($N769:$S769))</f>
        <v/>
      </c>
      <c r="AA769" s="19">
        <f>IF($Z769="","",INT(INDEX($N769:$S769,$Z769)))</f>
        <v/>
      </c>
      <c r="AB769" s="19">
        <f>IF(OR($Z769="",$Z769=6),"",WORKDAY($AA769,CHOOSE($Z769,3,3,2,2,3),Holidays))</f>
        <v/>
      </c>
      <c r="AC769" s="17">
        <f>IF(OR($Z769="",$Z769=6),"",CHOOSE($Z769,"1st Email Follow-up","2nd Email Follow-up","Escalate Local Office","Escalate to CBE","Escalate to Roxanne"))</f>
        <v/>
      </c>
    </row>
    <row r="770" spans="13:29">
      <c r="M770" s="14"/>
      <c r="T770" s="16"/>
      <c r="U770" s="17">
        <f>IF(AND(COUNTA($A770:$L770)=0,$N770=""),"",IF($T770="Paid","PAID",IF($T770="Closed","CLOSED",IF($Z770="","",IF($Z770=6,"ESCALATED TO ROXANNE",IF(TODAY()&gt;$AB770,"OVERDUE",IF($AB770&lt;=WORKDAY(TODAY(),1,Holidays),"DUE TOMORROW",IF($Z770=4,"ESCALATED TO LOCAL OFFICE",IF($Z770=5,"ESCALATED TO CBE",IF($AA770=TODAY(),"EMAIL SENT","MONITORING"))))))))))</f>
        <v/>
      </c>
      <c r="V770" s="17">
        <f>IF($U770="",IF(AND(COUNTA($A770:$L770)&gt;0,$N770=""),"Awaiting Collection Email time stamp.",""),IF(OR($U770="PAID",$U770="CLOSED"),IF($U770="PAID","Account paid. Action completed.","Account closed. No further action required."),CHOOSE($Z770,"Collection Email","1st Email Follow-up","2nd Email Follow-up","Escalation to Local Office","Escalation to CBE","Escalation to Roxanne")&amp;" sent "&amp;TEXT($AA770,"dd-mmm")&amp;". "&amp;IF($Z770=6,"Final escalation completed.",IF($U770="OVERDUE","Next: "&amp;$AC770&amp;" was due "&amp;TEXT($AB770,"dd-mmm")&amp;" - "&amp;(NETWORKDAYS($AB770,TODAY(),Holidays)-1)&amp;" business day(s) late. Send now.",IF($U770="DUE TOMORROW","Next: "&amp;$AC770&amp;IF($AB770&lt;=TODAY()," is due TODAY ("," is due next business day (")&amp;TEXT($AB770,"dd-mmm")&amp;").","Next: "&amp;$AC770&amp;" due "&amp;TEXT($AB770,"dd-mmm")&amp;" ("&amp;(NETWORKDAYS(TODAY(),$AB770,Holidays)-1)&amp;" business day(s) left).")))))</f>
        <v/>
      </c>
      <c r="W770" s="17">
        <f>IF($Z770="","",CHOOSE($Z770,"Collection Email","1st Follow-up","2nd Follow-up","Local Office","CBE","Roxanne")&amp;IF($Z770=6," - Final"," - Day "&amp;MAX(0,NETWORKDAYS($AA770,TODAY(),Holidays)-1)&amp;" of "&amp;CHOOSE($Z770,3,3,2,2,3))&amp;" | Total Day "&amp;MAX(0,NETWORKDAYS($N770,TODAY(),Holidays)-1))</f>
        <v/>
      </c>
      <c r="X770" s="18"/>
      <c r="Y770" s="18"/>
      <c r="Z770" s="17">
        <f>IF($N770="","",COUNT($N770:$S770))</f>
        <v/>
      </c>
      <c r="AA770" s="19">
        <f>IF($Z770="","",INT(INDEX($N770:$S770,$Z770)))</f>
        <v/>
      </c>
      <c r="AB770" s="19">
        <f>IF(OR($Z770="",$Z770=6),"",WORKDAY($AA770,CHOOSE($Z770,3,3,2,2,3),Holidays))</f>
        <v/>
      </c>
      <c r="AC770" s="17">
        <f>IF(OR($Z770="",$Z770=6),"",CHOOSE($Z770,"1st Email Follow-up","2nd Email Follow-up","Escalate Local Office","Escalate to CBE","Escalate to Roxanne"))</f>
        <v/>
      </c>
    </row>
    <row r="771" spans="13:29">
      <c r="M771" s="14"/>
      <c r="T771" s="16"/>
      <c r="U771" s="17">
        <f>IF(AND(COUNTA($A771:$L771)=0,$N771=""),"",IF($T771="Paid","PAID",IF($T771="Closed","CLOSED",IF($Z771="","",IF($Z771=6,"ESCALATED TO ROXANNE",IF(TODAY()&gt;$AB771,"OVERDUE",IF($AB771&lt;=WORKDAY(TODAY(),1,Holidays),"DUE TOMORROW",IF($Z771=4,"ESCALATED TO LOCAL OFFICE",IF($Z771=5,"ESCALATED TO CBE",IF($AA771=TODAY(),"EMAIL SENT","MONITORING"))))))))))</f>
        <v/>
      </c>
      <c r="V771" s="17">
        <f>IF($U771="",IF(AND(COUNTA($A771:$L771)&gt;0,$N771=""),"Awaiting Collection Email time stamp.",""),IF(OR($U771="PAID",$U771="CLOSED"),IF($U771="PAID","Account paid. Action completed.","Account closed. No further action required."),CHOOSE($Z771,"Collection Email","1st Email Follow-up","2nd Email Follow-up","Escalation to Local Office","Escalation to CBE","Escalation to Roxanne")&amp;" sent "&amp;TEXT($AA771,"dd-mmm")&amp;". "&amp;IF($Z771=6,"Final escalation completed.",IF($U771="OVERDUE","Next: "&amp;$AC771&amp;" was due "&amp;TEXT($AB771,"dd-mmm")&amp;" - "&amp;(NETWORKDAYS($AB771,TODAY(),Holidays)-1)&amp;" business day(s) late. Send now.",IF($U771="DUE TOMORROW","Next: "&amp;$AC771&amp;IF($AB771&lt;=TODAY()," is due TODAY ("," is due next business day (")&amp;TEXT($AB771,"dd-mmm")&amp;").","Next: "&amp;$AC771&amp;" due "&amp;TEXT($AB771,"dd-mmm")&amp;" ("&amp;(NETWORKDAYS(TODAY(),$AB771,Holidays)-1)&amp;" business day(s) left).")))))</f>
        <v/>
      </c>
      <c r="W771" s="17">
        <f>IF($Z771="","",CHOOSE($Z771,"Collection Email","1st Follow-up","2nd Follow-up","Local Office","CBE","Roxanne")&amp;IF($Z771=6," - Final"," - Day "&amp;MAX(0,NETWORKDAYS($AA771,TODAY(),Holidays)-1)&amp;" of "&amp;CHOOSE($Z771,3,3,2,2,3))&amp;" | Total Day "&amp;MAX(0,NETWORKDAYS($N771,TODAY(),Holidays)-1))</f>
        <v/>
      </c>
      <c r="X771" s="18"/>
      <c r="Y771" s="18"/>
      <c r="Z771" s="17">
        <f>IF($N771="","",COUNT($N771:$S771))</f>
        <v/>
      </c>
      <c r="AA771" s="19">
        <f>IF($Z771="","",INT(INDEX($N771:$S771,$Z771)))</f>
        <v/>
      </c>
      <c r="AB771" s="19">
        <f>IF(OR($Z771="",$Z771=6),"",WORKDAY($AA771,CHOOSE($Z771,3,3,2,2,3),Holidays))</f>
        <v/>
      </c>
      <c r="AC771" s="17">
        <f>IF(OR($Z771="",$Z771=6),"",CHOOSE($Z771,"1st Email Follow-up","2nd Email Follow-up","Escalate Local Office","Escalate to CBE","Escalate to Roxanne"))</f>
        <v/>
      </c>
    </row>
    <row r="772" spans="13:29">
      <c r="M772" s="14"/>
      <c r="T772" s="16"/>
      <c r="U772" s="17">
        <f>IF(AND(COUNTA($A772:$L772)=0,$N772=""),"",IF($T772="Paid","PAID",IF($T772="Closed","CLOSED",IF($Z772="","",IF($Z772=6,"ESCALATED TO ROXANNE",IF(TODAY()&gt;$AB772,"OVERDUE",IF($AB772&lt;=WORKDAY(TODAY(),1,Holidays),"DUE TOMORROW",IF($Z772=4,"ESCALATED TO LOCAL OFFICE",IF($Z772=5,"ESCALATED TO CBE",IF($AA772=TODAY(),"EMAIL SENT","MONITORING"))))))))))</f>
        <v/>
      </c>
      <c r="V772" s="17">
        <f>IF($U772="",IF(AND(COUNTA($A772:$L772)&gt;0,$N772=""),"Awaiting Collection Email time stamp.",""),IF(OR($U772="PAID",$U772="CLOSED"),IF($U772="PAID","Account paid. Action completed.","Account closed. No further action required."),CHOOSE($Z772,"Collection Email","1st Email Follow-up","2nd Email Follow-up","Escalation to Local Office","Escalation to CBE","Escalation to Roxanne")&amp;" sent "&amp;TEXT($AA772,"dd-mmm")&amp;". "&amp;IF($Z772=6,"Final escalation completed.",IF($U772="OVERDUE","Next: "&amp;$AC772&amp;" was due "&amp;TEXT($AB772,"dd-mmm")&amp;" - "&amp;(NETWORKDAYS($AB772,TODAY(),Holidays)-1)&amp;" business day(s) late. Send now.",IF($U772="DUE TOMORROW","Next: "&amp;$AC772&amp;IF($AB772&lt;=TODAY()," is due TODAY ("," is due next business day (")&amp;TEXT($AB772,"dd-mmm")&amp;").","Next: "&amp;$AC772&amp;" due "&amp;TEXT($AB772,"dd-mmm")&amp;" ("&amp;(NETWORKDAYS(TODAY(),$AB772,Holidays)-1)&amp;" business day(s) left).")))))</f>
        <v/>
      </c>
      <c r="W772" s="17">
        <f>IF($Z772="","",CHOOSE($Z772,"Collection Email","1st Follow-up","2nd Follow-up","Local Office","CBE","Roxanne")&amp;IF($Z772=6," - Final"," - Day "&amp;MAX(0,NETWORKDAYS($AA772,TODAY(),Holidays)-1)&amp;" of "&amp;CHOOSE($Z772,3,3,2,2,3))&amp;" | Total Day "&amp;MAX(0,NETWORKDAYS($N772,TODAY(),Holidays)-1))</f>
        <v/>
      </c>
      <c r="X772" s="18"/>
      <c r="Y772" s="18"/>
      <c r="Z772" s="17">
        <f>IF($N772="","",COUNT($N772:$S772))</f>
        <v/>
      </c>
      <c r="AA772" s="19">
        <f>IF($Z772="","",INT(INDEX($N772:$S772,$Z772)))</f>
        <v/>
      </c>
      <c r="AB772" s="19">
        <f>IF(OR($Z772="",$Z772=6),"",WORKDAY($AA772,CHOOSE($Z772,3,3,2,2,3),Holidays))</f>
        <v/>
      </c>
      <c r="AC772" s="17">
        <f>IF(OR($Z772="",$Z772=6),"",CHOOSE($Z772,"1st Email Follow-up","2nd Email Follow-up","Escalate Local Office","Escalate to CBE","Escalate to Roxanne"))</f>
        <v/>
      </c>
    </row>
    <row r="773" spans="13:29">
      <c r="M773" s="14"/>
      <c r="T773" s="16"/>
      <c r="U773" s="17">
        <f>IF(AND(COUNTA($A773:$L773)=0,$N773=""),"",IF($T773="Paid","PAID",IF($T773="Closed","CLOSED",IF($Z773="","",IF($Z773=6,"ESCALATED TO ROXANNE",IF(TODAY()&gt;$AB773,"OVERDUE",IF($AB773&lt;=WORKDAY(TODAY(),1,Holidays),"DUE TOMORROW",IF($Z773=4,"ESCALATED TO LOCAL OFFICE",IF($Z773=5,"ESCALATED TO CBE",IF($AA773=TODAY(),"EMAIL SENT","MONITORING"))))))))))</f>
        <v/>
      </c>
      <c r="V773" s="17">
        <f>IF($U773="",IF(AND(COUNTA($A773:$L773)&gt;0,$N773=""),"Awaiting Collection Email time stamp.",""),IF(OR($U773="PAID",$U773="CLOSED"),IF($U773="PAID","Account paid. Action completed.","Account closed. No further action required."),CHOOSE($Z773,"Collection Email","1st Email Follow-up","2nd Email Follow-up","Escalation to Local Office","Escalation to CBE","Escalation to Roxanne")&amp;" sent "&amp;TEXT($AA773,"dd-mmm")&amp;". "&amp;IF($Z773=6,"Final escalation completed.",IF($U773="OVERDUE","Next: "&amp;$AC773&amp;" was due "&amp;TEXT($AB773,"dd-mmm")&amp;" - "&amp;(NETWORKDAYS($AB773,TODAY(),Holidays)-1)&amp;" business day(s) late. Send now.",IF($U773="DUE TOMORROW","Next: "&amp;$AC773&amp;IF($AB773&lt;=TODAY()," is due TODAY ("," is due next business day (")&amp;TEXT($AB773,"dd-mmm")&amp;").","Next: "&amp;$AC773&amp;" due "&amp;TEXT($AB773,"dd-mmm")&amp;" ("&amp;(NETWORKDAYS(TODAY(),$AB773,Holidays)-1)&amp;" business day(s) left).")))))</f>
        <v/>
      </c>
      <c r="W773" s="17">
        <f>IF($Z773="","",CHOOSE($Z773,"Collection Email","1st Follow-up","2nd Follow-up","Local Office","CBE","Roxanne")&amp;IF($Z773=6," - Final"," - Day "&amp;MAX(0,NETWORKDAYS($AA773,TODAY(),Holidays)-1)&amp;" of "&amp;CHOOSE($Z773,3,3,2,2,3))&amp;" | Total Day "&amp;MAX(0,NETWORKDAYS($N773,TODAY(),Holidays)-1))</f>
        <v/>
      </c>
      <c r="X773" s="18"/>
      <c r="Y773" s="18"/>
      <c r="Z773" s="17">
        <f>IF($N773="","",COUNT($N773:$S773))</f>
        <v/>
      </c>
      <c r="AA773" s="19">
        <f>IF($Z773="","",INT(INDEX($N773:$S773,$Z773)))</f>
        <v/>
      </c>
      <c r="AB773" s="19">
        <f>IF(OR($Z773="",$Z773=6),"",WORKDAY($AA773,CHOOSE($Z773,3,3,2,2,3),Holidays))</f>
        <v/>
      </c>
      <c r="AC773" s="17">
        <f>IF(OR($Z773="",$Z773=6),"",CHOOSE($Z773,"1st Email Follow-up","2nd Email Follow-up","Escalate Local Office","Escalate to CBE","Escalate to Roxanne"))</f>
        <v/>
      </c>
    </row>
    <row r="774" spans="13:29">
      <c r="M774" s="14"/>
      <c r="T774" s="16"/>
      <c r="U774" s="17">
        <f>IF(AND(COUNTA($A774:$L774)=0,$N774=""),"",IF($T774="Paid","PAID",IF($T774="Closed","CLOSED",IF($Z774="","",IF($Z774=6,"ESCALATED TO ROXANNE",IF(TODAY()&gt;$AB774,"OVERDUE",IF($AB774&lt;=WORKDAY(TODAY(),1,Holidays),"DUE TOMORROW",IF($Z774=4,"ESCALATED TO LOCAL OFFICE",IF($Z774=5,"ESCALATED TO CBE",IF($AA774=TODAY(),"EMAIL SENT","MONITORING"))))))))))</f>
        <v/>
      </c>
      <c r="V774" s="17">
        <f>IF($U774="",IF(AND(COUNTA($A774:$L774)&gt;0,$N774=""),"Awaiting Collection Email time stamp.",""),IF(OR($U774="PAID",$U774="CLOSED"),IF($U774="PAID","Account paid. Action completed.","Account closed. No further action required."),CHOOSE($Z774,"Collection Email","1st Email Follow-up","2nd Email Follow-up","Escalation to Local Office","Escalation to CBE","Escalation to Roxanne")&amp;" sent "&amp;TEXT($AA774,"dd-mmm")&amp;". "&amp;IF($Z774=6,"Final escalation completed.",IF($U774="OVERDUE","Next: "&amp;$AC774&amp;" was due "&amp;TEXT($AB774,"dd-mmm")&amp;" - "&amp;(NETWORKDAYS($AB774,TODAY(),Holidays)-1)&amp;" business day(s) late. Send now.",IF($U774="DUE TOMORROW","Next: "&amp;$AC774&amp;IF($AB774&lt;=TODAY()," is due TODAY ("," is due next business day (")&amp;TEXT($AB774,"dd-mmm")&amp;").","Next: "&amp;$AC774&amp;" due "&amp;TEXT($AB774,"dd-mmm")&amp;" ("&amp;(NETWORKDAYS(TODAY(),$AB774,Holidays)-1)&amp;" business day(s) left).")))))</f>
        <v/>
      </c>
      <c r="W774" s="17">
        <f>IF($Z774="","",CHOOSE($Z774,"Collection Email","1st Follow-up","2nd Follow-up","Local Office","CBE","Roxanne")&amp;IF($Z774=6," - Final"," - Day "&amp;MAX(0,NETWORKDAYS($AA774,TODAY(),Holidays)-1)&amp;" of "&amp;CHOOSE($Z774,3,3,2,2,3))&amp;" | Total Day "&amp;MAX(0,NETWORKDAYS($N774,TODAY(),Holidays)-1))</f>
        <v/>
      </c>
      <c r="X774" s="18"/>
      <c r="Y774" s="18"/>
      <c r="Z774" s="17">
        <f>IF($N774="","",COUNT($N774:$S774))</f>
        <v/>
      </c>
      <c r="AA774" s="19">
        <f>IF($Z774="","",INT(INDEX($N774:$S774,$Z774)))</f>
        <v/>
      </c>
      <c r="AB774" s="19">
        <f>IF(OR($Z774="",$Z774=6),"",WORKDAY($AA774,CHOOSE($Z774,3,3,2,2,3),Holidays))</f>
        <v/>
      </c>
      <c r="AC774" s="17">
        <f>IF(OR($Z774="",$Z774=6),"",CHOOSE($Z774,"1st Email Follow-up","2nd Email Follow-up","Escalate Local Office","Escalate to CBE","Escalate to Roxanne"))</f>
        <v/>
      </c>
    </row>
    <row r="775" spans="13:29">
      <c r="M775" s="14"/>
      <c r="T775" s="16"/>
      <c r="U775" s="17">
        <f>IF(AND(COUNTA($A775:$L775)=0,$N775=""),"",IF($T775="Paid","PAID",IF($T775="Closed","CLOSED",IF($Z775="","",IF($Z775=6,"ESCALATED TO ROXANNE",IF(TODAY()&gt;$AB775,"OVERDUE",IF($AB775&lt;=WORKDAY(TODAY(),1,Holidays),"DUE TOMORROW",IF($Z775=4,"ESCALATED TO LOCAL OFFICE",IF($Z775=5,"ESCALATED TO CBE",IF($AA775=TODAY(),"EMAIL SENT","MONITORING"))))))))))</f>
        <v/>
      </c>
      <c r="V775" s="17">
        <f>IF($U775="",IF(AND(COUNTA($A775:$L775)&gt;0,$N775=""),"Awaiting Collection Email time stamp.",""),IF(OR($U775="PAID",$U775="CLOSED"),IF($U775="PAID","Account paid. Action completed.","Account closed. No further action required."),CHOOSE($Z775,"Collection Email","1st Email Follow-up","2nd Email Follow-up","Escalation to Local Office","Escalation to CBE","Escalation to Roxanne")&amp;" sent "&amp;TEXT($AA775,"dd-mmm")&amp;". "&amp;IF($Z775=6,"Final escalation completed.",IF($U775="OVERDUE","Next: "&amp;$AC775&amp;" was due "&amp;TEXT($AB775,"dd-mmm")&amp;" - "&amp;(NETWORKDAYS($AB775,TODAY(),Holidays)-1)&amp;" business day(s) late. Send now.",IF($U775="DUE TOMORROW","Next: "&amp;$AC775&amp;IF($AB775&lt;=TODAY()," is due TODAY ("," is due next business day (")&amp;TEXT($AB775,"dd-mmm")&amp;").","Next: "&amp;$AC775&amp;" due "&amp;TEXT($AB775,"dd-mmm")&amp;" ("&amp;(NETWORKDAYS(TODAY(),$AB775,Holidays)-1)&amp;" business day(s) left).")))))</f>
        <v/>
      </c>
      <c r="W775" s="17">
        <f>IF($Z775="","",CHOOSE($Z775,"Collection Email","1st Follow-up","2nd Follow-up","Local Office","CBE","Roxanne")&amp;IF($Z775=6," - Final"," - Day "&amp;MAX(0,NETWORKDAYS($AA775,TODAY(),Holidays)-1)&amp;" of "&amp;CHOOSE($Z775,3,3,2,2,3))&amp;" | Total Day "&amp;MAX(0,NETWORKDAYS($N775,TODAY(),Holidays)-1))</f>
        <v/>
      </c>
      <c r="X775" s="18"/>
      <c r="Y775" s="18"/>
      <c r="Z775" s="17">
        <f>IF($N775="","",COUNT($N775:$S775))</f>
        <v/>
      </c>
      <c r="AA775" s="19">
        <f>IF($Z775="","",INT(INDEX($N775:$S775,$Z775)))</f>
        <v/>
      </c>
      <c r="AB775" s="19">
        <f>IF(OR($Z775="",$Z775=6),"",WORKDAY($AA775,CHOOSE($Z775,3,3,2,2,3),Holidays))</f>
        <v/>
      </c>
      <c r="AC775" s="17">
        <f>IF(OR($Z775="",$Z775=6),"",CHOOSE($Z775,"1st Email Follow-up","2nd Email Follow-up","Escalate Local Office","Escalate to CBE","Escalate to Roxanne"))</f>
        <v/>
      </c>
    </row>
    <row r="776" spans="13:29">
      <c r="M776" s="14"/>
      <c r="T776" s="16"/>
      <c r="U776" s="17">
        <f>IF(AND(COUNTA($A776:$L776)=0,$N776=""),"",IF($T776="Paid","PAID",IF($T776="Closed","CLOSED",IF($Z776="","",IF($Z776=6,"ESCALATED TO ROXANNE",IF(TODAY()&gt;$AB776,"OVERDUE",IF($AB776&lt;=WORKDAY(TODAY(),1,Holidays),"DUE TOMORROW",IF($Z776=4,"ESCALATED TO LOCAL OFFICE",IF($Z776=5,"ESCALATED TO CBE",IF($AA776=TODAY(),"EMAIL SENT","MONITORING"))))))))))</f>
        <v/>
      </c>
      <c r="V776" s="17">
        <f>IF($U776="",IF(AND(COUNTA($A776:$L776)&gt;0,$N776=""),"Awaiting Collection Email time stamp.",""),IF(OR($U776="PAID",$U776="CLOSED"),IF($U776="PAID","Account paid. Action completed.","Account closed. No further action required."),CHOOSE($Z776,"Collection Email","1st Email Follow-up","2nd Email Follow-up","Escalation to Local Office","Escalation to CBE","Escalation to Roxanne")&amp;" sent "&amp;TEXT($AA776,"dd-mmm")&amp;". "&amp;IF($Z776=6,"Final escalation completed.",IF($U776="OVERDUE","Next: "&amp;$AC776&amp;" was due "&amp;TEXT($AB776,"dd-mmm")&amp;" - "&amp;(NETWORKDAYS($AB776,TODAY(),Holidays)-1)&amp;" business day(s) late. Send now.",IF($U776="DUE TOMORROW","Next: "&amp;$AC776&amp;IF($AB776&lt;=TODAY()," is due TODAY ("," is due next business day (")&amp;TEXT($AB776,"dd-mmm")&amp;").","Next: "&amp;$AC776&amp;" due "&amp;TEXT($AB776,"dd-mmm")&amp;" ("&amp;(NETWORKDAYS(TODAY(),$AB776,Holidays)-1)&amp;" business day(s) left).")))))</f>
        <v/>
      </c>
      <c r="W776" s="17">
        <f>IF($Z776="","",CHOOSE($Z776,"Collection Email","1st Follow-up","2nd Follow-up","Local Office","CBE","Roxanne")&amp;IF($Z776=6," - Final"," - Day "&amp;MAX(0,NETWORKDAYS($AA776,TODAY(),Holidays)-1)&amp;" of "&amp;CHOOSE($Z776,3,3,2,2,3))&amp;" | Total Day "&amp;MAX(0,NETWORKDAYS($N776,TODAY(),Holidays)-1))</f>
        <v/>
      </c>
      <c r="X776" s="18"/>
      <c r="Y776" s="18"/>
      <c r="Z776" s="17">
        <f>IF($N776="","",COUNT($N776:$S776))</f>
        <v/>
      </c>
      <c r="AA776" s="19">
        <f>IF($Z776="","",INT(INDEX($N776:$S776,$Z776)))</f>
        <v/>
      </c>
      <c r="AB776" s="19">
        <f>IF(OR($Z776="",$Z776=6),"",WORKDAY($AA776,CHOOSE($Z776,3,3,2,2,3),Holidays))</f>
        <v/>
      </c>
      <c r="AC776" s="17">
        <f>IF(OR($Z776="",$Z776=6),"",CHOOSE($Z776,"1st Email Follow-up","2nd Email Follow-up","Escalate Local Office","Escalate to CBE","Escalate to Roxanne"))</f>
        <v/>
      </c>
    </row>
    <row r="777" spans="13:29">
      <c r="M777" s="14"/>
      <c r="T777" s="16"/>
      <c r="U777" s="17">
        <f>IF(AND(COUNTA($A777:$L777)=0,$N777=""),"",IF($T777="Paid","PAID",IF($T777="Closed","CLOSED",IF($Z777="","",IF($Z777=6,"ESCALATED TO ROXANNE",IF(TODAY()&gt;$AB777,"OVERDUE",IF($AB777&lt;=WORKDAY(TODAY(),1,Holidays),"DUE TOMORROW",IF($Z777=4,"ESCALATED TO LOCAL OFFICE",IF($Z777=5,"ESCALATED TO CBE",IF($AA777=TODAY(),"EMAIL SENT","MONITORING"))))))))))</f>
        <v/>
      </c>
      <c r="V777" s="17">
        <f>IF($U777="",IF(AND(COUNTA($A777:$L777)&gt;0,$N777=""),"Awaiting Collection Email time stamp.",""),IF(OR($U777="PAID",$U777="CLOSED"),IF($U777="PAID","Account paid. Action completed.","Account closed. No further action required."),CHOOSE($Z777,"Collection Email","1st Email Follow-up","2nd Email Follow-up","Escalation to Local Office","Escalation to CBE","Escalation to Roxanne")&amp;" sent "&amp;TEXT($AA777,"dd-mmm")&amp;". "&amp;IF($Z777=6,"Final escalation completed.",IF($U777="OVERDUE","Next: "&amp;$AC777&amp;" was due "&amp;TEXT($AB777,"dd-mmm")&amp;" - "&amp;(NETWORKDAYS($AB777,TODAY(),Holidays)-1)&amp;" business day(s) late. Send now.",IF($U777="DUE TOMORROW","Next: "&amp;$AC777&amp;IF($AB777&lt;=TODAY()," is due TODAY ("," is due next business day (")&amp;TEXT($AB777,"dd-mmm")&amp;").","Next: "&amp;$AC777&amp;" due "&amp;TEXT($AB777,"dd-mmm")&amp;" ("&amp;(NETWORKDAYS(TODAY(),$AB777,Holidays)-1)&amp;" business day(s) left).")))))</f>
        <v/>
      </c>
      <c r="W777" s="17">
        <f>IF($Z777="","",CHOOSE($Z777,"Collection Email","1st Follow-up","2nd Follow-up","Local Office","CBE","Roxanne")&amp;IF($Z777=6," - Final"," - Day "&amp;MAX(0,NETWORKDAYS($AA777,TODAY(),Holidays)-1)&amp;" of "&amp;CHOOSE($Z777,3,3,2,2,3))&amp;" | Total Day "&amp;MAX(0,NETWORKDAYS($N777,TODAY(),Holidays)-1))</f>
        <v/>
      </c>
      <c r="X777" s="18"/>
      <c r="Y777" s="18"/>
      <c r="Z777" s="17">
        <f>IF($N777="","",COUNT($N777:$S777))</f>
        <v/>
      </c>
      <c r="AA777" s="19">
        <f>IF($Z777="","",INT(INDEX($N777:$S777,$Z777)))</f>
        <v/>
      </c>
      <c r="AB777" s="19">
        <f>IF(OR($Z777="",$Z777=6),"",WORKDAY($AA777,CHOOSE($Z777,3,3,2,2,3),Holidays))</f>
        <v/>
      </c>
      <c r="AC777" s="17">
        <f>IF(OR($Z777="",$Z777=6),"",CHOOSE($Z777,"1st Email Follow-up","2nd Email Follow-up","Escalate Local Office","Escalate to CBE","Escalate to Roxanne"))</f>
        <v/>
      </c>
    </row>
    <row r="778" spans="13:29">
      <c r="M778" s="14"/>
      <c r="T778" s="16"/>
      <c r="U778" s="17">
        <f>IF(AND(COUNTA($A778:$L778)=0,$N778=""),"",IF($T778="Paid","PAID",IF($T778="Closed","CLOSED",IF($Z778="","",IF($Z778=6,"ESCALATED TO ROXANNE",IF(TODAY()&gt;$AB778,"OVERDUE",IF($AB778&lt;=WORKDAY(TODAY(),1,Holidays),"DUE TOMORROW",IF($Z778=4,"ESCALATED TO LOCAL OFFICE",IF($Z778=5,"ESCALATED TO CBE",IF($AA778=TODAY(),"EMAIL SENT","MONITORING"))))))))))</f>
        <v/>
      </c>
      <c r="V778" s="17">
        <f>IF($U778="",IF(AND(COUNTA($A778:$L778)&gt;0,$N778=""),"Awaiting Collection Email time stamp.",""),IF(OR($U778="PAID",$U778="CLOSED"),IF($U778="PAID","Account paid. Action completed.","Account closed. No further action required."),CHOOSE($Z778,"Collection Email","1st Email Follow-up","2nd Email Follow-up","Escalation to Local Office","Escalation to CBE","Escalation to Roxanne")&amp;" sent "&amp;TEXT($AA778,"dd-mmm")&amp;". "&amp;IF($Z778=6,"Final escalation completed.",IF($U778="OVERDUE","Next: "&amp;$AC778&amp;" was due "&amp;TEXT($AB778,"dd-mmm")&amp;" - "&amp;(NETWORKDAYS($AB778,TODAY(),Holidays)-1)&amp;" business day(s) late. Send now.",IF($U778="DUE TOMORROW","Next: "&amp;$AC778&amp;IF($AB778&lt;=TODAY()," is due TODAY ("," is due next business day (")&amp;TEXT($AB778,"dd-mmm")&amp;").","Next: "&amp;$AC778&amp;" due "&amp;TEXT($AB778,"dd-mmm")&amp;" ("&amp;(NETWORKDAYS(TODAY(),$AB778,Holidays)-1)&amp;" business day(s) left).")))))</f>
        <v/>
      </c>
      <c r="W778" s="17">
        <f>IF($Z778="","",CHOOSE($Z778,"Collection Email","1st Follow-up","2nd Follow-up","Local Office","CBE","Roxanne")&amp;IF($Z778=6," - Final"," - Day "&amp;MAX(0,NETWORKDAYS($AA778,TODAY(),Holidays)-1)&amp;" of "&amp;CHOOSE($Z778,3,3,2,2,3))&amp;" | Total Day "&amp;MAX(0,NETWORKDAYS($N778,TODAY(),Holidays)-1))</f>
        <v/>
      </c>
      <c r="X778" s="18"/>
      <c r="Y778" s="18"/>
      <c r="Z778" s="17">
        <f>IF($N778="","",COUNT($N778:$S778))</f>
        <v/>
      </c>
      <c r="AA778" s="19">
        <f>IF($Z778="","",INT(INDEX($N778:$S778,$Z778)))</f>
        <v/>
      </c>
      <c r="AB778" s="19">
        <f>IF(OR($Z778="",$Z778=6),"",WORKDAY($AA778,CHOOSE($Z778,3,3,2,2,3),Holidays))</f>
        <v/>
      </c>
      <c r="AC778" s="17">
        <f>IF(OR($Z778="",$Z778=6),"",CHOOSE($Z778,"1st Email Follow-up","2nd Email Follow-up","Escalate Local Office","Escalate to CBE","Escalate to Roxanne"))</f>
        <v/>
      </c>
    </row>
    <row r="779" spans="13:29">
      <c r="M779" s="14"/>
      <c r="T779" s="16"/>
      <c r="U779" s="17">
        <f>IF(AND(COUNTA($A779:$L779)=0,$N779=""),"",IF($T779="Paid","PAID",IF($T779="Closed","CLOSED",IF($Z779="","",IF($Z779=6,"ESCALATED TO ROXANNE",IF(TODAY()&gt;$AB779,"OVERDUE",IF($AB779&lt;=WORKDAY(TODAY(),1,Holidays),"DUE TOMORROW",IF($Z779=4,"ESCALATED TO LOCAL OFFICE",IF($Z779=5,"ESCALATED TO CBE",IF($AA779=TODAY(),"EMAIL SENT","MONITORING"))))))))))</f>
        <v/>
      </c>
      <c r="V779" s="17">
        <f>IF($U779="",IF(AND(COUNTA($A779:$L779)&gt;0,$N779=""),"Awaiting Collection Email time stamp.",""),IF(OR($U779="PAID",$U779="CLOSED"),IF($U779="PAID","Account paid. Action completed.","Account closed. No further action required."),CHOOSE($Z779,"Collection Email","1st Email Follow-up","2nd Email Follow-up","Escalation to Local Office","Escalation to CBE","Escalation to Roxanne")&amp;" sent "&amp;TEXT($AA779,"dd-mmm")&amp;". "&amp;IF($Z779=6,"Final escalation completed.",IF($U779="OVERDUE","Next: "&amp;$AC779&amp;" was due "&amp;TEXT($AB779,"dd-mmm")&amp;" - "&amp;(NETWORKDAYS($AB779,TODAY(),Holidays)-1)&amp;" business day(s) late. Send now.",IF($U779="DUE TOMORROW","Next: "&amp;$AC779&amp;IF($AB779&lt;=TODAY()," is due TODAY ("," is due next business day (")&amp;TEXT($AB779,"dd-mmm")&amp;").","Next: "&amp;$AC779&amp;" due "&amp;TEXT($AB779,"dd-mmm")&amp;" ("&amp;(NETWORKDAYS(TODAY(),$AB779,Holidays)-1)&amp;" business day(s) left).")))))</f>
        <v/>
      </c>
      <c r="W779" s="17">
        <f>IF($Z779="","",CHOOSE($Z779,"Collection Email","1st Follow-up","2nd Follow-up","Local Office","CBE","Roxanne")&amp;IF($Z779=6," - Final"," - Day "&amp;MAX(0,NETWORKDAYS($AA779,TODAY(),Holidays)-1)&amp;" of "&amp;CHOOSE($Z779,3,3,2,2,3))&amp;" | Total Day "&amp;MAX(0,NETWORKDAYS($N779,TODAY(),Holidays)-1))</f>
        <v/>
      </c>
      <c r="X779" s="18"/>
      <c r="Y779" s="18"/>
      <c r="Z779" s="17">
        <f>IF($N779="","",COUNT($N779:$S779))</f>
        <v/>
      </c>
      <c r="AA779" s="19">
        <f>IF($Z779="","",INT(INDEX($N779:$S779,$Z779)))</f>
        <v/>
      </c>
      <c r="AB779" s="19">
        <f>IF(OR($Z779="",$Z779=6),"",WORKDAY($AA779,CHOOSE($Z779,3,3,2,2,3),Holidays))</f>
        <v/>
      </c>
      <c r="AC779" s="17">
        <f>IF(OR($Z779="",$Z779=6),"",CHOOSE($Z779,"1st Email Follow-up","2nd Email Follow-up","Escalate Local Office","Escalate to CBE","Escalate to Roxanne"))</f>
        <v/>
      </c>
    </row>
    <row r="780" spans="13:29">
      <c r="M780" s="14"/>
      <c r="T780" s="16"/>
      <c r="U780" s="17">
        <f>IF(AND(COUNTA($A780:$L780)=0,$N780=""),"",IF($T780="Paid","PAID",IF($T780="Closed","CLOSED",IF($Z780="","",IF($Z780=6,"ESCALATED TO ROXANNE",IF(TODAY()&gt;$AB780,"OVERDUE",IF($AB780&lt;=WORKDAY(TODAY(),1,Holidays),"DUE TOMORROW",IF($Z780=4,"ESCALATED TO LOCAL OFFICE",IF($Z780=5,"ESCALATED TO CBE",IF($AA780=TODAY(),"EMAIL SENT","MONITORING"))))))))))</f>
        <v/>
      </c>
      <c r="V780" s="17">
        <f>IF($U780="",IF(AND(COUNTA($A780:$L780)&gt;0,$N780=""),"Awaiting Collection Email time stamp.",""),IF(OR($U780="PAID",$U780="CLOSED"),IF($U780="PAID","Account paid. Action completed.","Account closed. No further action required."),CHOOSE($Z780,"Collection Email","1st Email Follow-up","2nd Email Follow-up","Escalation to Local Office","Escalation to CBE","Escalation to Roxanne")&amp;" sent "&amp;TEXT($AA780,"dd-mmm")&amp;". "&amp;IF($Z780=6,"Final escalation completed.",IF($U780="OVERDUE","Next: "&amp;$AC780&amp;" was due "&amp;TEXT($AB780,"dd-mmm")&amp;" - "&amp;(NETWORKDAYS($AB780,TODAY(),Holidays)-1)&amp;" business day(s) late. Send now.",IF($U780="DUE TOMORROW","Next: "&amp;$AC780&amp;IF($AB780&lt;=TODAY()," is due TODAY ("," is due next business day (")&amp;TEXT($AB780,"dd-mmm")&amp;").","Next: "&amp;$AC780&amp;" due "&amp;TEXT($AB780,"dd-mmm")&amp;" ("&amp;(NETWORKDAYS(TODAY(),$AB780,Holidays)-1)&amp;" business day(s) left).")))))</f>
        <v/>
      </c>
      <c r="W780" s="17">
        <f>IF($Z780="","",CHOOSE($Z780,"Collection Email","1st Follow-up","2nd Follow-up","Local Office","CBE","Roxanne")&amp;IF($Z780=6," - Final"," - Day "&amp;MAX(0,NETWORKDAYS($AA780,TODAY(),Holidays)-1)&amp;" of "&amp;CHOOSE($Z780,3,3,2,2,3))&amp;" | Total Day "&amp;MAX(0,NETWORKDAYS($N780,TODAY(),Holidays)-1))</f>
        <v/>
      </c>
      <c r="X780" s="18"/>
      <c r="Y780" s="18"/>
      <c r="Z780" s="17">
        <f>IF($N780="","",COUNT($N780:$S780))</f>
        <v/>
      </c>
      <c r="AA780" s="19">
        <f>IF($Z780="","",INT(INDEX($N780:$S780,$Z780)))</f>
        <v/>
      </c>
      <c r="AB780" s="19">
        <f>IF(OR($Z780="",$Z780=6),"",WORKDAY($AA780,CHOOSE($Z780,3,3,2,2,3),Holidays))</f>
        <v/>
      </c>
      <c r="AC780" s="17">
        <f>IF(OR($Z780="",$Z780=6),"",CHOOSE($Z780,"1st Email Follow-up","2nd Email Follow-up","Escalate Local Office","Escalate to CBE","Escalate to Roxanne"))</f>
        <v/>
      </c>
    </row>
    <row r="781" spans="13:29">
      <c r="M781" s="14"/>
      <c r="T781" s="16"/>
      <c r="U781" s="17">
        <f>IF(AND(COUNTA($A781:$L781)=0,$N781=""),"",IF($T781="Paid","PAID",IF($T781="Closed","CLOSED",IF($Z781="","",IF($Z781=6,"ESCALATED TO ROXANNE",IF(TODAY()&gt;$AB781,"OVERDUE",IF($AB781&lt;=WORKDAY(TODAY(),1,Holidays),"DUE TOMORROW",IF($Z781=4,"ESCALATED TO LOCAL OFFICE",IF($Z781=5,"ESCALATED TO CBE",IF($AA781=TODAY(),"EMAIL SENT","MONITORING"))))))))))</f>
        <v/>
      </c>
      <c r="V781" s="17">
        <f>IF($U781="",IF(AND(COUNTA($A781:$L781)&gt;0,$N781=""),"Awaiting Collection Email time stamp.",""),IF(OR($U781="PAID",$U781="CLOSED"),IF($U781="PAID","Account paid. Action completed.","Account closed. No further action required."),CHOOSE($Z781,"Collection Email","1st Email Follow-up","2nd Email Follow-up","Escalation to Local Office","Escalation to CBE","Escalation to Roxanne")&amp;" sent "&amp;TEXT($AA781,"dd-mmm")&amp;". "&amp;IF($Z781=6,"Final escalation completed.",IF($U781="OVERDUE","Next: "&amp;$AC781&amp;" was due "&amp;TEXT($AB781,"dd-mmm")&amp;" - "&amp;(NETWORKDAYS($AB781,TODAY(),Holidays)-1)&amp;" business day(s) late. Send now.",IF($U781="DUE TOMORROW","Next: "&amp;$AC781&amp;IF($AB781&lt;=TODAY()," is due TODAY ("," is due next business day (")&amp;TEXT($AB781,"dd-mmm")&amp;").","Next: "&amp;$AC781&amp;" due "&amp;TEXT($AB781,"dd-mmm")&amp;" ("&amp;(NETWORKDAYS(TODAY(),$AB781,Holidays)-1)&amp;" business day(s) left).")))))</f>
        <v/>
      </c>
      <c r="W781" s="17">
        <f>IF($Z781="","",CHOOSE($Z781,"Collection Email","1st Follow-up","2nd Follow-up","Local Office","CBE","Roxanne")&amp;IF($Z781=6," - Final"," - Day "&amp;MAX(0,NETWORKDAYS($AA781,TODAY(),Holidays)-1)&amp;" of "&amp;CHOOSE($Z781,3,3,2,2,3))&amp;" | Total Day "&amp;MAX(0,NETWORKDAYS($N781,TODAY(),Holidays)-1))</f>
        <v/>
      </c>
      <c r="X781" s="18"/>
      <c r="Y781" s="18"/>
      <c r="Z781" s="17">
        <f>IF($N781="","",COUNT($N781:$S781))</f>
        <v/>
      </c>
      <c r="AA781" s="19">
        <f>IF($Z781="","",INT(INDEX($N781:$S781,$Z781)))</f>
        <v/>
      </c>
      <c r="AB781" s="19">
        <f>IF(OR($Z781="",$Z781=6),"",WORKDAY($AA781,CHOOSE($Z781,3,3,2,2,3),Holidays))</f>
        <v/>
      </c>
      <c r="AC781" s="17">
        <f>IF(OR($Z781="",$Z781=6),"",CHOOSE($Z781,"1st Email Follow-up","2nd Email Follow-up","Escalate Local Office","Escalate to CBE","Escalate to Roxanne"))</f>
        <v/>
      </c>
    </row>
    <row r="782" spans="13:29">
      <c r="M782" s="14"/>
      <c r="T782" s="16"/>
      <c r="U782" s="17">
        <f>IF(AND(COUNTA($A782:$L782)=0,$N782=""),"",IF($T782="Paid","PAID",IF($T782="Closed","CLOSED",IF($Z782="","",IF($Z782=6,"ESCALATED TO ROXANNE",IF(TODAY()&gt;$AB782,"OVERDUE",IF($AB782&lt;=WORKDAY(TODAY(),1,Holidays),"DUE TOMORROW",IF($Z782=4,"ESCALATED TO LOCAL OFFICE",IF($Z782=5,"ESCALATED TO CBE",IF($AA782=TODAY(),"EMAIL SENT","MONITORING"))))))))))</f>
        <v/>
      </c>
      <c r="V782" s="17">
        <f>IF($U782="",IF(AND(COUNTA($A782:$L782)&gt;0,$N782=""),"Awaiting Collection Email time stamp.",""),IF(OR($U782="PAID",$U782="CLOSED"),IF($U782="PAID","Account paid. Action completed.","Account closed. No further action required."),CHOOSE($Z782,"Collection Email","1st Email Follow-up","2nd Email Follow-up","Escalation to Local Office","Escalation to CBE","Escalation to Roxanne")&amp;" sent "&amp;TEXT($AA782,"dd-mmm")&amp;". "&amp;IF($Z782=6,"Final escalation completed.",IF($U782="OVERDUE","Next: "&amp;$AC782&amp;" was due "&amp;TEXT($AB782,"dd-mmm")&amp;" - "&amp;(NETWORKDAYS($AB782,TODAY(),Holidays)-1)&amp;" business day(s) late. Send now.",IF($U782="DUE TOMORROW","Next: "&amp;$AC782&amp;IF($AB782&lt;=TODAY()," is due TODAY ("," is due next business day (")&amp;TEXT($AB782,"dd-mmm")&amp;").","Next: "&amp;$AC782&amp;" due "&amp;TEXT($AB782,"dd-mmm")&amp;" ("&amp;(NETWORKDAYS(TODAY(),$AB782,Holidays)-1)&amp;" business day(s) left).")))))</f>
        <v/>
      </c>
      <c r="W782" s="17">
        <f>IF($Z782="","",CHOOSE($Z782,"Collection Email","1st Follow-up","2nd Follow-up","Local Office","CBE","Roxanne")&amp;IF($Z782=6," - Final"," - Day "&amp;MAX(0,NETWORKDAYS($AA782,TODAY(),Holidays)-1)&amp;" of "&amp;CHOOSE($Z782,3,3,2,2,3))&amp;" | Total Day "&amp;MAX(0,NETWORKDAYS($N782,TODAY(),Holidays)-1))</f>
        <v/>
      </c>
      <c r="X782" s="18"/>
      <c r="Y782" s="18"/>
      <c r="Z782" s="17">
        <f>IF($N782="","",COUNT($N782:$S782))</f>
        <v/>
      </c>
      <c r="AA782" s="19">
        <f>IF($Z782="","",INT(INDEX($N782:$S782,$Z782)))</f>
        <v/>
      </c>
      <c r="AB782" s="19">
        <f>IF(OR($Z782="",$Z782=6),"",WORKDAY($AA782,CHOOSE($Z782,3,3,2,2,3),Holidays))</f>
        <v/>
      </c>
      <c r="AC782" s="17">
        <f>IF(OR($Z782="",$Z782=6),"",CHOOSE($Z782,"1st Email Follow-up","2nd Email Follow-up","Escalate Local Office","Escalate to CBE","Escalate to Roxanne"))</f>
        <v/>
      </c>
    </row>
    <row r="783" spans="13:29">
      <c r="M783" s="14"/>
      <c r="T783" s="16"/>
      <c r="U783" s="17">
        <f>IF(AND(COUNTA($A783:$L783)=0,$N783=""),"",IF($T783="Paid","PAID",IF($T783="Closed","CLOSED",IF($Z783="","",IF($Z783=6,"ESCALATED TO ROXANNE",IF(TODAY()&gt;$AB783,"OVERDUE",IF($AB783&lt;=WORKDAY(TODAY(),1,Holidays),"DUE TOMORROW",IF($Z783=4,"ESCALATED TO LOCAL OFFICE",IF($Z783=5,"ESCALATED TO CBE",IF($AA783=TODAY(),"EMAIL SENT","MONITORING"))))))))))</f>
        <v/>
      </c>
      <c r="V783" s="17">
        <f>IF($U783="",IF(AND(COUNTA($A783:$L783)&gt;0,$N783=""),"Awaiting Collection Email time stamp.",""),IF(OR($U783="PAID",$U783="CLOSED"),IF($U783="PAID","Account paid. Action completed.","Account closed. No further action required."),CHOOSE($Z783,"Collection Email","1st Email Follow-up","2nd Email Follow-up","Escalation to Local Office","Escalation to CBE","Escalation to Roxanne")&amp;" sent "&amp;TEXT($AA783,"dd-mmm")&amp;". "&amp;IF($Z783=6,"Final escalation completed.",IF($U783="OVERDUE","Next: "&amp;$AC783&amp;" was due "&amp;TEXT($AB783,"dd-mmm")&amp;" - "&amp;(NETWORKDAYS($AB783,TODAY(),Holidays)-1)&amp;" business day(s) late. Send now.",IF($U783="DUE TOMORROW","Next: "&amp;$AC783&amp;IF($AB783&lt;=TODAY()," is due TODAY ("," is due next business day (")&amp;TEXT($AB783,"dd-mmm")&amp;").","Next: "&amp;$AC783&amp;" due "&amp;TEXT($AB783,"dd-mmm")&amp;" ("&amp;(NETWORKDAYS(TODAY(),$AB783,Holidays)-1)&amp;" business day(s) left).")))))</f>
        <v/>
      </c>
      <c r="W783" s="17">
        <f>IF($Z783="","",CHOOSE($Z783,"Collection Email","1st Follow-up","2nd Follow-up","Local Office","CBE","Roxanne")&amp;IF($Z783=6," - Final"," - Day "&amp;MAX(0,NETWORKDAYS($AA783,TODAY(),Holidays)-1)&amp;" of "&amp;CHOOSE($Z783,3,3,2,2,3))&amp;" | Total Day "&amp;MAX(0,NETWORKDAYS($N783,TODAY(),Holidays)-1))</f>
        <v/>
      </c>
      <c r="X783" s="18"/>
      <c r="Y783" s="18"/>
      <c r="Z783" s="17">
        <f>IF($N783="","",COUNT($N783:$S783))</f>
        <v/>
      </c>
      <c r="AA783" s="19">
        <f>IF($Z783="","",INT(INDEX($N783:$S783,$Z783)))</f>
        <v/>
      </c>
      <c r="AB783" s="19">
        <f>IF(OR($Z783="",$Z783=6),"",WORKDAY($AA783,CHOOSE($Z783,3,3,2,2,3),Holidays))</f>
        <v/>
      </c>
      <c r="AC783" s="17">
        <f>IF(OR($Z783="",$Z783=6),"",CHOOSE($Z783,"1st Email Follow-up","2nd Email Follow-up","Escalate Local Office","Escalate to CBE","Escalate to Roxanne"))</f>
        <v/>
      </c>
    </row>
    <row r="784" spans="13:29">
      <c r="M784" s="14"/>
      <c r="T784" s="16"/>
      <c r="U784" s="17">
        <f>IF(AND(COUNTA($A784:$L784)=0,$N784=""),"",IF($T784="Paid","PAID",IF($T784="Closed","CLOSED",IF($Z784="","",IF($Z784=6,"ESCALATED TO ROXANNE",IF(TODAY()&gt;$AB784,"OVERDUE",IF($AB784&lt;=WORKDAY(TODAY(),1,Holidays),"DUE TOMORROW",IF($Z784=4,"ESCALATED TO LOCAL OFFICE",IF($Z784=5,"ESCALATED TO CBE",IF($AA784=TODAY(),"EMAIL SENT","MONITORING"))))))))))</f>
        <v/>
      </c>
      <c r="V784" s="17">
        <f>IF($U784="",IF(AND(COUNTA($A784:$L784)&gt;0,$N784=""),"Awaiting Collection Email time stamp.",""),IF(OR($U784="PAID",$U784="CLOSED"),IF($U784="PAID","Account paid. Action completed.","Account closed. No further action required."),CHOOSE($Z784,"Collection Email","1st Email Follow-up","2nd Email Follow-up","Escalation to Local Office","Escalation to CBE","Escalation to Roxanne")&amp;" sent "&amp;TEXT($AA784,"dd-mmm")&amp;". "&amp;IF($Z784=6,"Final escalation completed.",IF($U784="OVERDUE","Next: "&amp;$AC784&amp;" was due "&amp;TEXT($AB784,"dd-mmm")&amp;" - "&amp;(NETWORKDAYS($AB784,TODAY(),Holidays)-1)&amp;" business day(s) late. Send now.",IF($U784="DUE TOMORROW","Next: "&amp;$AC784&amp;IF($AB784&lt;=TODAY()," is due TODAY ("," is due next business day (")&amp;TEXT($AB784,"dd-mmm")&amp;").","Next: "&amp;$AC784&amp;" due "&amp;TEXT($AB784,"dd-mmm")&amp;" ("&amp;(NETWORKDAYS(TODAY(),$AB784,Holidays)-1)&amp;" business day(s) left).")))))</f>
        <v/>
      </c>
      <c r="W784" s="17">
        <f>IF($Z784="","",CHOOSE($Z784,"Collection Email","1st Follow-up","2nd Follow-up","Local Office","CBE","Roxanne")&amp;IF($Z784=6," - Final"," - Day "&amp;MAX(0,NETWORKDAYS($AA784,TODAY(),Holidays)-1)&amp;" of "&amp;CHOOSE($Z784,3,3,2,2,3))&amp;" | Total Day "&amp;MAX(0,NETWORKDAYS($N784,TODAY(),Holidays)-1))</f>
        <v/>
      </c>
      <c r="X784" s="18"/>
      <c r="Y784" s="18"/>
      <c r="Z784" s="17">
        <f>IF($N784="","",COUNT($N784:$S784))</f>
        <v/>
      </c>
      <c r="AA784" s="19">
        <f>IF($Z784="","",INT(INDEX($N784:$S784,$Z784)))</f>
        <v/>
      </c>
      <c r="AB784" s="19">
        <f>IF(OR($Z784="",$Z784=6),"",WORKDAY($AA784,CHOOSE($Z784,3,3,2,2,3),Holidays))</f>
        <v/>
      </c>
      <c r="AC784" s="17">
        <f>IF(OR($Z784="",$Z784=6),"",CHOOSE($Z784,"1st Email Follow-up","2nd Email Follow-up","Escalate Local Office","Escalate to CBE","Escalate to Roxanne"))</f>
        <v/>
      </c>
    </row>
    <row r="785" spans="13:29">
      <c r="M785" s="14"/>
      <c r="T785" s="16"/>
      <c r="U785" s="17">
        <f>IF(AND(COUNTA($A785:$L785)=0,$N785=""),"",IF($T785="Paid","PAID",IF($T785="Closed","CLOSED",IF($Z785="","",IF($Z785=6,"ESCALATED TO ROXANNE",IF(TODAY()&gt;$AB785,"OVERDUE",IF($AB785&lt;=WORKDAY(TODAY(),1,Holidays),"DUE TOMORROW",IF($Z785=4,"ESCALATED TO LOCAL OFFICE",IF($Z785=5,"ESCALATED TO CBE",IF($AA785=TODAY(),"EMAIL SENT","MONITORING"))))))))))</f>
        <v/>
      </c>
      <c r="V785" s="17">
        <f>IF($U785="",IF(AND(COUNTA($A785:$L785)&gt;0,$N785=""),"Awaiting Collection Email time stamp.",""),IF(OR($U785="PAID",$U785="CLOSED"),IF($U785="PAID","Account paid. Action completed.","Account closed. No further action required."),CHOOSE($Z785,"Collection Email","1st Email Follow-up","2nd Email Follow-up","Escalation to Local Office","Escalation to CBE","Escalation to Roxanne")&amp;" sent "&amp;TEXT($AA785,"dd-mmm")&amp;". "&amp;IF($Z785=6,"Final escalation completed.",IF($U785="OVERDUE","Next: "&amp;$AC785&amp;" was due "&amp;TEXT($AB785,"dd-mmm")&amp;" - "&amp;(NETWORKDAYS($AB785,TODAY(),Holidays)-1)&amp;" business day(s) late. Send now.",IF($U785="DUE TOMORROW","Next: "&amp;$AC785&amp;IF($AB785&lt;=TODAY()," is due TODAY ("," is due next business day (")&amp;TEXT($AB785,"dd-mmm")&amp;").","Next: "&amp;$AC785&amp;" due "&amp;TEXT($AB785,"dd-mmm")&amp;" ("&amp;(NETWORKDAYS(TODAY(),$AB785,Holidays)-1)&amp;" business day(s) left).")))))</f>
        <v/>
      </c>
      <c r="W785" s="17">
        <f>IF($Z785="","",CHOOSE($Z785,"Collection Email","1st Follow-up","2nd Follow-up","Local Office","CBE","Roxanne")&amp;IF($Z785=6," - Final"," - Day "&amp;MAX(0,NETWORKDAYS($AA785,TODAY(),Holidays)-1)&amp;" of "&amp;CHOOSE($Z785,3,3,2,2,3))&amp;" | Total Day "&amp;MAX(0,NETWORKDAYS($N785,TODAY(),Holidays)-1))</f>
        <v/>
      </c>
      <c r="X785" s="18"/>
      <c r="Y785" s="18"/>
      <c r="Z785" s="17">
        <f>IF($N785="","",COUNT($N785:$S785))</f>
        <v/>
      </c>
      <c r="AA785" s="19">
        <f>IF($Z785="","",INT(INDEX($N785:$S785,$Z785)))</f>
        <v/>
      </c>
      <c r="AB785" s="19">
        <f>IF(OR($Z785="",$Z785=6),"",WORKDAY($AA785,CHOOSE($Z785,3,3,2,2,3),Holidays))</f>
        <v/>
      </c>
      <c r="AC785" s="17">
        <f>IF(OR($Z785="",$Z785=6),"",CHOOSE($Z785,"1st Email Follow-up","2nd Email Follow-up","Escalate Local Office","Escalate to CBE","Escalate to Roxanne"))</f>
        <v/>
      </c>
    </row>
    <row r="786" spans="13:29">
      <c r="M786" s="14"/>
      <c r="T786" s="16"/>
      <c r="U786" s="17">
        <f>IF(AND(COUNTA($A786:$L786)=0,$N786=""),"",IF($T786="Paid","PAID",IF($T786="Closed","CLOSED",IF($Z786="","",IF($Z786=6,"ESCALATED TO ROXANNE",IF(TODAY()&gt;$AB786,"OVERDUE",IF($AB786&lt;=WORKDAY(TODAY(),1,Holidays),"DUE TOMORROW",IF($Z786=4,"ESCALATED TO LOCAL OFFICE",IF($Z786=5,"ESCALATED TO CBE",IF($AA786=TODAY(),"EMAIL SENT","MONITORING"))))))))))</f>
        <v/>
      </c>
      <c r="V786" s="17">
        <f>IF($U786="",IF(AND(COUNTA($A786:$L786)&gt;0,$N786=""),"Awaiting Collection Email time stamp.",""),IF(OR($U786="PAID",$U786="CLOSED"),IF($U786="PAID","Account paid. Action completed.","Account closed. No further action required."),CHOOSE($Z786,"Collection Email","1st Email Follow-up","2nd Email Follow-up","Escalation to Local Office","Escalation to CBE","Escalation to Roxanne")&amp;" sent "&amp;TEXT($AA786,"dd-mmm")&amp;". "&amp;IF($Z786=6,"Final escalation completed.",IF($U786="OVERDUE","Next: "&amp;$AC786&amp;" was due "&amp;TEXT($AB786,"dd-mmm")&amp;" - "&amp;(NETWORKDAYS($AB786,TODAY(),Holidays)-1)&amp;" business day(s) late. Send now.",IF($U786="DUE TOMORROW","Next: "&amp;$AC786&amp;IF($AB786&lt;=TODAY()," is due TODAY ("," is due next business day (")&amp;TEXT($AB786,"dd-mmm")&amp;").","Next: "&amp;$AC786&amp;" due "&amp;TEXT($AB786,"dd-mmm")&amp;" ("&amp;(NETWORKDAYS(TODAY(),$AB786,Holidays)-1)&amp;" business day(s) left).")))))</f>
        <v/>
      </c>
      <c r="W786" s="17">
        <f>IF($Z786="","",CHOOSE($Z786,"Collection Email","1st Follow-up","2nd Follow-up","Local Office","CBE","Roxanne")&amp;IF($Z786=6," - Final"," - Day "&amp;MAX(0,NETWORKDAYS($AA786,TODAY(),Holidays)-1)&amp;" of "&amp;CHOOSE($Z786,3,3,2,2,3))&amp;" | Total Day "&amp;MAX(0,NETWORKDAYS($N786,TODAY(),Holidays)-1))</f>
        <v/>
      </c>
      <c r="X786" s="18"/>
      <c r="Y786" s="18"/>
      <c r="Z786" s="17">
        <f>IF($N786="","",COUNT($N786:$S786))</f>
        <v/>
      </c>
      <c r="AA786" s="19">
        <f>IF($Z786="","",INT(INDEX($N786:$S786,$Z786)))</f>
        <v/>
      </c>
      <c r="AB786" s="19">
        <f>IF(OR($Z786="",$Z786=6),"",WORKDAY($AA786,CHOOSE($Z786,3,3,2,2,3),Holidays))</f>
        <v/>
      </c>
      <c r="AC786" s="17">
        <f>IF(OR($Z786="",$Z786=6),"",CHOOSE($Z786,"1st Email Follow-up","2nd Email Follow-up","Escalate Local Office","Escalate to CBE","Escalate to Roxanne"))</f>
        <v/>
      </c>
    </row>
    <row r="787" spans="13:29">
      <c r="M787" s="14"/>
      <c r="T787" s="16"/>
      <c r="U787" s="17">
        <f>IF(AND(COUNTA($A787:$L787)=0,$N787=""),"",IF($T787="Paid","PAID",IF($T787="Closed","CLOSED",IF($Z787="","",IF($Z787=6,"ESCALATED TO ROXANNE",IF(TODAY()&gt;$AB787,"OVERDUE",IF($AB787&lt;=WORKDAY(TODAY(),1,Holidays),"DUE TOMORROW",IF($Z787=4,"ESCALATED TO LOCAL OFFICE",IF($Z787=5,"ESCALATED TO CBE",IF($AA787=TODAY(),"EMAIL SENT","MONITORING"))))))))))</f>
        <v/>
      </c>
      <c r="V787" s="17">
        <f>IF($U787="",IF(AND(COUNTA($A787:$L787)&gt;0,$N787=""),"Awaiting Collection Email time stamp.",""),IF(OR($U787="PAID",$U787="CLOSED"),IF($U787="PAID","Account paid. Action completed.","Account closed. No further action required."),CHOOSE($Z787,"Collection Email","1st Email Follow-up","2nd Email Follow-up","Escalation to Local Office","Escalation to CBE","Escalation to Roxanne")&amp;" sent "&amp;TEXT($AA787,"dd-mmm")&amp;". "&amp;IF($Z787=6,"Final escalation completed.",IF($U787="OVERDUE","Next: "&amp;$AC787&amp;" was due "&amp;TEXT($AB787,"dd-mmm")&amp;" - "&amp;(NETWORKDAYS($AB787,TODAY(),Holidays)-1)&amp;" business day(s) late. Send now.",IF($U787="DUE TOMORROW","Next: "&amp;$AC787&amp;IF($AB787&lt;=TODAY()," is due TODAY ("," is due next business day (")&amp;TEXT($AB787,"dd-mmm")&amp;").","Next: "&amp;$AC787&amp;" due "&amp;TEXT($AB787,"dd-mmm")&amp;" ("&amp;(NETWORKDAYS(TODAY(),$AB787,Holidays)-1)&amp;" business day(s) left).")))))</f>
        <v/>
      </c>
      <c r="W787" s="17">
        <f>IF($Z787="","",CHOOSE($Z787,"Collection Email","1st Follow-up","2nd Follow-up","Local Office","CBE","Roxanne")&amp;IF($Z787=6," - Final"," - Day "&amp;MAX(0,NETWORKDAYS($AA787,TODAY(),Holidays)-1)&amp;" of "&amp;CHOOSE($Z787,3,3,2,2,3))&amp;" | Total Day "&amp;MAX(0,NETWORKDAYS($N787,TODAY(),Holidays)-1))</f>
        <v/>
      </c>
      <c r="X787" s="18"/>
      <c r="Y787" s="18"/>
      <c r="Z787" s="17">
        <f>IF($N787="","",COUNT($N787:$S787))</f>
        <v/>
      </c>
      <c r="AA787" s="19">
        <f>IF($Z787="","",INT(INDEX($N787:$S787,$Z787)))</f>
        <v/>
      </c>
      <c r="AB787" s="19">
        <f>IF(OR($Z787="",$Z787=6),"",WORKDAY($AA787,CHOOSE($Z787,3,3,2,2,3),Holidays))</f>
        <v/>
      </c>
      <c r="AC787" s="17">
        <f>IF(OR($Z787="",$Z787=6),"",CHOOSE($Z787,"1st Email Follow-up","2nd Email Follow-up","Escalate Local Office","Escalate to CBE","Escalate to Roxanne"))</f>
        <v/>
      </c>
    </row>
    <row r="788" spans="13:29">
      <c r="M788" s="14"/>
      <c r="T788" s="16"/>
      <c r="U788" s="17">
        <f>IF(AND(COUNTA($A788:$L788)=0,$N788=""),"",IF($T788="Paid","PAID",IF($T788="Closed","CLOSED",IF($Z788="","",IF($Z788=6,"ESCALATED TO ROXANNE",IF(TODAY()&gt;$AB788,"OVERDUE",IF($AB788&lt;=WORKDAY(TODAY(),1,Holidays),"DUE TOMORROW",IF($Z788=4,"ESCALATED TO LOCAL OFFICE",IF($Z788=5,"ESCALATED TO CBE",IF($AA788=TODAY(),"EMAIL SENT","MONITORING"))))))))))</f>
        <v/>
      </c>
      <c r="V788" s="17">
        <f>IF($U788="",IF(AND(COUNTA($A788:$L788)&gt;0,$N788=""),"Awaiting Collection Email time stamp.",""),IF(OR($U788="PAID",$U788="CLOSED"),IF($U788="PAID","Account paid. Action completed.","Account closed. No further action required."),CHOOSE($Z788,"Collection Email","1st Email Follow-up","2nd Email Follow-up","Escalation to Local Office","Escalation to CBE","Escalation to Roxanne")&amp;" sent "&amp;TEXT($AA788,"dd-mmm")&amp;". "&amp;IF($Z788=6,"Final escalation completed.",IF($U788="OVERDUE","Next: "&amp;$AC788&amp;" was due "&amp;TEXT($AB788,"dd-mmm")&amp;" - "&amp;(NETWORKDAYS($AB788,TODAY(),Holidays)-1)&amp;" business day(s) late. Send now.",IF($U788="DUE TOMORROW","Next: "&amp;$AC788&amp;IF($AB788&lt;=TODAY()," is due TODAY ("," is due next business day (")&amp;TEXT($AB788,"dd-mmm")&amp;").","Next: "&amp;$AC788&amp;" due "&amp;TEXT($AB788,"dd-mmm")&amp;" ("&amp;(NETWORKDAYS(TODAY(),$AB788,Holidays)-1)&amp;" business day(s) left).")))))</f>
        <v/>
      </c>
      <c r="W788" s="17">
        <f>IF($Z788="","",CHOOSE($Z788,"Collection Email","1st Follow-up","2nd Follow-up","Local Office","CBE","Roxanne")&amp;IF($Z788=6," - Final"," - Day "&amp;MAX(0,NETWORKDAYS($AA788,TODAY(),Holidays)-1)&amp;" of "&amp;CHOOSE($Z788,3,3,2,2,3))&amp;" | Total Day "&amp;MAX(0,NETWORKDAYS($N788,TODAY(),Holidays)-1))</f>
        <v/>
      </c>
      <c r="X788" s="18"/>
      <c r="Y788" s="18"/>
      <c r="Z788" s="17">
        <f>IF($N788="","",COUNT($N788:$S788))</f>
        <v/>
      </c>
      <c r="AA788" s="19">
        <f>IF($Z788="","",INT(INDEX($N788:$S788,$Z788)))</f>
        <v/>
      </c>
      <c r="AB788" s="19">
        <f>IF(OR($Z788="",$Z788=6),"",WORKDAY($AA788,CHOOSE($Z788,3,3,2,2,3),Holidays))</f>
        <v/>
      </c>
      <c r="AC788" s="17">
        <f>IF(OR($Z788="",$Z788=6),"",CHOOSE($Z788,"1st Email Follow-up","2nd Email Follow-up","Escalate Local Office","Escalate to CBE","Escalate to Roxanne"))</f>
        <v/>
      </c>
    </row>
    <row r="789" spans="13:29">
      <c r="M789" s="14"/>
      <c r="T789" s="16"/>
      <c r="U789" s="17">
        <f>IF(AND(COUNTA($A789:$L789)=0,$N789=""),"",IF($T789="Paid","PAID",IF($T789="Closed","CLOSED",IF($Z789="","",IF($Z789=6,"ESCALATED TO ROXANNE",IF(TODAY()&gt;$AB789,"OVERDUE",IF($AB789&lt;=WORKDAY(TODAY(),1,Holidays),"DUE TOMORROW",IF($Z789=4,"ESCALATED TO LOCAL OFFICE",IF($Z789=5,"ESCALATED TO CBE",IF($AA789=TODAY(),"EMAIL SENT","MONITORING"))))))))))</f>
        <v/>
      </c>
      <c r="V789" s="17">
        <f>IF($U789="",IF(AND(COUNTA($A789:$L789)&gt;0,$N789=""),"Awaiting Collection Email time stamp.",""),IF(OR($U789="PAID",$U789="CLOSED"),IF($U789="PAID","Account paid. Action completed.","Account closed. No further action required."),CHOOSE($Z789,"Collection Email","1st Email Follow-up","2nd Email Follow-up","Escalation to Local Office","Escalation to CBE","Escalation to Roxanne")&amp;" sent "&amp;TEXT($AA789,"dd-mmm")&amp;". "&amp;IF($Z789=6,"Final escalation completed.",IF($U789="OVERDUE","Next: "&amp;$AC789&amp;" was due "&amp;TEXT($AB789,"dd-mmm")&amp;" - "&amp;(NETWORKDAYS($AB789,TODAY(),Holidays)-1)&amp;" business day(s) late. Send now.",IF($U789="DUE TOMORROW","Next: "&amp;$AC789&amp;IF($AB789&lt;=TODAY()," is due TODAY ("," is due next business day (")&amp;TEXT($AB789,"dd-mmm")&amp;").","Next: "&amp;$AC789&amp;" due "&amp;TEXT($AB789,"dd-mmm")&amp;" ("&amp;(NETWORKDAYS(TODAY(),$AB789,Holidays)-1)&amp;" business day(s) left).")))))</f>
        <v/>
      </c>
      <c r="W789" s="17">
        <f>IF($Z789="","",CHOOSE($Z789,"Collection Email","1st Follow-up","2nd Follow-up","Local Office","CBE","Roxanne")&amp;IF($Z789=6," - Final"," - Day "&amp;MAX(0,NETWORKDAYS($AA789,TODAY(),Holidays)-1)&amp;" of "&amp;CHOOSE($Z789,3,3,2,2,3))&amp;" | Total Day "&amp;MAX(0,NETWORKDAYS($N789,TODAY(),Holidays)-1))</f>
        <v/>
      </c>
      <c r="X789" s="18"/>
      <c r="Y789" s="18"/>
      <c r="Z789" s="17">
        <f>IF($N789="","",COUNT($N789:$S789))</f>
        <v/>
      </c>
      <c r="AA789" s="19">
        <f>IF($Z789="","",INT(INDEX($N789:$S789,$Z789)))</f>
        <v/>
      </c>
      <c r="AB789" s="19">
        <f>IF(OR($Z789="",$Z789=6),"",WORKDAY($AA789,CHOOSE($Z789,3,3,2,2,3),Holidays))</f>
        <v/>
      </c>
      <c r="AC789" s="17">
        <f>IF(OR($Z789="",$Z789=6),"",CHOOSE($Z789,"1st Email Follow-up","2nd Email Follow-up","Escalate Local Office","Escalate to CBE","Escalate to Roxanne"))</f>
        <v/>
      </c>
    </row>
    <row r="790" spans="13:29">
      <c r="M790" s="14"/>
      <c r="T790" s="16"/>
      <c r="U790" s="17">
        <f>IF(AND(COUNTA($A790:$L790)=0,$N790=""),"",IF($T790="Paid","PAID",IF($T790="Closed","CLOSED",IF($Z790="","",IF($Z790=6,"ESCALATED TO ROXANNE",IF(TODAY()&gt;$AB790,"OVERDUE",IF($AB790&lt;=WORKDAY(TODAY(),1,Holidays),"DUE TOMORROW",IF($Z790=4,"ESCALATED TO LOCAL OFFICE",IF($Z790=5,"ESCALATED TO CBE",IF($AA790=TODAY(),"EMAIL SENT","MONITORING"))))))))))</f>
        <v/>
      </c>
      <c r="V790" s="17">
        <f>IF($U790="",IF(AND(COUNTA($A790:$L790)&gt;0,$N790=""),"Awaiting Collection Email time stamp.",""),IF(OR($U790="PAID",$U790="CLOSED"),IF($U790="PAID","Account paid. Action completed.","Account closed. No further action required."),CHOOSE($Z790,"Collection Email","1st Email Follow-up","2nd Email Follow-up","Escalation to Local Office","Escalation to CBE","Escalation to Roxanne")&amp;" sent "&amp;TEXT($AA790,"dd-mmm")&amp;". "&amp;IF($Z790=6,"Final escalation completed.",IF($U790="OVERDUE","Next: "&amp;$AC790&amp;" was due "&amp;TEXT($AB790,"dd-mmm")&amp;" - "&amp;(NETWORKDAYS($AB790,TODAY(),Holidays)-1)&amp;" business day(s) late. Send now.",IF($U790="DUE TOMORROW","Next: "&amp;$AC790&amp;IF($AB790&lt;=TODAY()," is due TODAY ("," is due next business day (")&amp;TEXT($AB790,"dd-mmm")&amp;").","Next: "&amp;$AC790&amp;" due "&amp;TEXT($AB790,"dd-mmm")&amp;" ("&amp;(NETWORKDAYS(TODAY(),$AB790,Holidays)-1)&amp;" business day(s) left).")))))</f>
        <v/>
      </c>
      <c r="W790" s="17">
        <f>IF($Z790="","",CHOOSE($Z790,"Collection Email","1st Follow-up","2nd Follow-up","Local Office","CBE","Roxanne")&amp;IF($Z790=6," - Final"," - Day "&amp;MAX(0,NETWORKDAYS($AA790,TODAY(),Holidays)-1)&amp;" of "&amp;CHOOSE($Z790,3,3,2,2,3))&amp;" | Total Day "&amp;MAX(0,NETWORKDAYS($N790,TODAY(),Holidays)-1))</f>
        <v/>
      </c>
      <c r="X790" s="18"/>
      <c r="Y790" s="18"/>
      <c r="Z790" s="17">
        <f>IF($N790="","",COUNT($N790:$S790))</f>
        <v/>
      </c>
      <c r="AA790" s="19">
        <f>IF($Z790="","",INT(INDEX($N790:$S790,$Z790)))</f>
        <v/>
      </c>
      <c r="AB790" s="19">
        <f>IF(OR($Z790="",$Z790=6),"",WORKDAY($AA790,CHOOSE($Z790,3,3,2,2,3),Holidays))</f>
        <v/>
      </c>
      <c r="AC790" s="17">
        <f>IF(OR($Z790="",$Z790=6),"",CHOOSE($Z790,"1st Email Follow-up","2nd Email Follow-up","Escalate Local Office","Escalate to CBE","Escalate to Roxanne"))</f>
        <v/>
      </c>
    </row>
    <row r="791" spans="13:29">
      <c r="M791" s="14"/>
      <c r="T791" s="16"/>
      <c r="U791" s="17">
        <f>IF(AND(COUNTA($A791:$L791)=0,$N791=""),"",IF($T791="Paid","PAID",IF($T791="Closed","CLOSED",IF($Z791="","",IF($Z791=6,"ESCALATED TO ROXANNE",IF(TODAY()&gt;$AB791,"OVERDUE",IF($AB791&lt;=WORKDAY(TODAY(),1,Holidays),"DUE TOMORROW",IF($Z791=4,"ESCALATED TO LOCAL OFFICE",IF($Z791=5,"ESCALATED TO CBE",IF($AA791=TODAY(),"EMAIL SENT","MONITORING"))))))))))</f>
        <v/>
      </c>
      <c r="V791" s="17">
        <f>IF($U791="",IF(AND(COUNTA($A791:$L791)&gt;0,$N791=""),"Awaiting Collection Email time stamp.",""),IF(OR($U791="PAID",$U791="CLOSED"),IF($U791="PAID","Account paid. Action completed.","Account closed. No further action required."),CHOOSE($Z791,"Collection Email","1st Email Follow-up","2nd Email Follow-up","Escalation to Local Office","Escalation to CBE","Escalation to Roxanne")&amp;" sent "&amp;TEXT($AA791,"dd-mmm")&amp;". "&amp;IF($Z791=6,"Final escalation completed.",IF($U791="OVERDUE","Next: "&amp;$AC791&amp;" was due "&amp;TEXT($AB791,"dd-mmm")&amp;" - "&amp;(NETWORKDAYS($AB791,TODAY(),Holidays)-1)&amp;" business day(s) late. Send now.",IF($U791="DUE TOMORROW","Next: "&amp;$AC791&amp;IF($AB791&lt;=TODAY()," is due TODAY ("," is due next business day (")&amp;TEXT($AB791,"dd-mmm")&amp;").","Next: "&amp;$AC791&amp;" due "&amp;TEXT($AB791,"dd-mmm")&amp;" ("&amp;(NETWORKDAYS(TODAY(),$AB791,Holidays)-1)&amp;" business day(s) left).")))))</f>
        <v/>
      </c>
      <c r="W791" s="17">
        <f>IF($Z791="","",CHOOSE($Z791,"Collection Email","1st Follow-up","2nd Follow-up","Local Office","CBE","Roxanne")&amp;IF($Z791=6," - Final"," - Day "&amp;MAX(0,NETWORKDAYS($AA791,TODAY(),Holidays)-1)&amp;" of "&amp;CHOOSE($Z791,3,3,2,2,3))&amp;" | Total Day "&amp;MAX(0,NETWORKDAYS($N791,TODAY(),Holidays)-1))</f>
        <v/>
      </c>
      <c r="X791" s="18"/>
      <c r="Y791" s="18"/>
      <c r="Z791" s="17">
        <f>IF($N791="","",COUNT($N791:$S791))</f>
        <v/>
      </c>
      <c r="AA791" s="19">
        <f>IF($Z791="","",INT(INDEX($N791:$S791,$Z791)))</f>
        <v/>
      </c>
      <c r="AB791" s="19">
        <f>IF(OR($Z791="",$Z791=6),"",WORKDAY($AA791,CHOOSE($Z791,3,3,2,2,3),Holidays))</f>
        <v/>
      </c>
      <c r="AC791" s="17">
        <f>IF(OR($Z791="",$Z791=6),"",CHOOSE($Z791,"1st Email Follow-up","2nd Email Follow-up","Escalate Local Office","Escalate to CBE","Escalate to Roxanne"))</f>
        <v/>
      </c>
    </row>
    <row r="792" spans="13:29">
      <c r="M792" s="14"/>
      <c r="T792" s="16"/>
      <c r="U792" s="17">
        <f>IF(AND(COUNTA($A792:$L792)=0,$N792=""),"",IF($T792="Paid","PAID",IF($T792="Closed","CLOSED",IF($Z792="","",IF($Z792=6,"ESCALATED TO ROXANNE",IF(TODAY()&gt;$AB792,"OVERDUE",IF($AB792&lt;=WORKDAY(TODAY(),1,Holidays),"DUE TOMORROW",IF($Z792=4,"ESCALATED TO LOCAL OFFICE",IF($Z792=5,"ESCALATED TO CBE",IF($AA792=TODAY(),"EMAIL SENT","MONITORING"))))))))))</f>
        <v/>
      </c>
      <c r="V792" s="17">
        <f>IF($U792="",IF(AND(COUNTA($A792:$L792)&gt;0,$N792=""),"Awaiting Collection Email time stamp.",""),IF(OR($U792="PAID",$U792="CLOSED"),IF($U792="PAID","Account paid. Action completed.","Account closed. No further action required."),CHOOSE($Z792,"Collection Email","1st Email Follow-up","2nd Email Follow-up","Escalation to Local Office","Escalation to CBE","Escalation to Roxanne")&amp;" sent "&amp;TEXT($AA792,"dd-mmm")&amp;". "&amp;IF($Z792=6,"Final escalation completed.",IF($U792="OVERDUE","Next: "&amp;$AC792&amp;" was due "&amp;TEXT($AB792,"dd-mmm")&amp;" - "&amp;(NETWORKDAYS($AB792,TODAY(),Holidays)-1)&amp;" business day(s) late. Send now.",IF($U792="DUE TOMORROW","Next: "&amp;$AC792&amp;IF($AB792&lt;=TODAY()," is due TODAY ("," is due next business day (")&amp;TEXT($AB792,"dd-mmm")&amp;").","Next: "&amp;$AC792&amp;" due "&amp;TEXT($AB792,"dd-mmm")&amp;" ("&amp;(NETWORKDAYS(TODAY(),$AB792,Holidays)-1)&amp;" business day(s) left).")))))</f>
        <v/>
      </c>
      <c r="W792" s="17">
        <f>IF($Z792="","",CHOOSE($Z792,"Collection Email","1st Follow-up","2nd Follow-up","Local Office","CBE","Roxanne")&amp;IF($Z792=6," - Final"," - Day "&amp;MAX(0,NETWORKDAYS($AA792,TODAY(),Holidays)-1)&amp;" of "&amp;CHOOSE($Z792,3,3,2,2,3))&amp;" | Total Day "&amp;MAX(0,NETWORKDAYS($N792,TODAY(),Holidays)-1))</f>
        <v/>
      </c>
      <c r="X792" s="18"/>
      <c r="Y792" s="18"/>
      <c r="Z792" s="17">
        <f>IF($N792="","",COUNT($N792:$S792))</f>
        <v/>
      </c>
      <c r="AA792" s="19">
        <f>IF($Z792="","",INT(INDEX($N792:$S792,$Z792)))</f>
        <v/>
      </c>
      <c r="AB792" s="19">
        <f>IF(OR($Z792="",$Z792=6),"",WORKDAY($AA792,CHOOSE($Z792,3,3,2,2,3),Holidays))</f>
        <v/>
      </c>
      <c r="AC792" s="17">
        <f>IF(OR($Z792="",$Z792=6),"",CHOOSE($Z792,"1st Email Follow-up","2nd Email Follow-up","Escalate Local Office","Escalate to CBE","Escalate to Roxanne"))</f>
        <v/>
      </c>
    </row>
    <row r="793" spans="13:29">
      <c r="M793" s="14"/>
      <c r="T793" s="16"/>
      <c r="U793" s="17">
        <f>IF(AND(COUNTA($A793:$L793)=0,$N793=""),"",IF($T793="Paid","PAID",IF($T793="Closed","CLOSED",IF($Z793="","",IF($Z793=6,"ESCALATED TO ROXANNE",IF(TODAY()&gt;$AB793,"OVERDUE",IF($AB793&lt;=WORKDAY(TODAY(),1,Holidays),"DUE TOMORROW",IF($Z793=4,"ESCALATED TO LOCAL OFFICE",IF($Z793=5,"ESCALATED TO CBE",IF($AA793=TODAY(),"EMAIL SENT","MONITORING"))))))))))</f>
        <v/>
      </c>
      <c r="V793" s="17">
        <f>IF($U793="",IF(AND(COUNTA($A793:$L793)&gt;0,$N793=""),"Awaiting Collection Email time stamp.",""),IF(OR($U793="PAID",$U793="CLOSED"),IF($U793="PAID","Account paid. Action completed.","Account closed. No further action required."),CHOOSE($Z793,"Collection Email","1st Email Follow-up","2nd Email Follow-up","Escalation to Local Office","Escalation to CBE","Escalation to Roxanne")&amp;" sent "&amp;TEXT($AA793,"dd-mmm")&amp;". "&amp;IF($Z793=6,"Final escalation completed.",IF($U793="OVERDUE","Next: "&amp;$AC793&amp;" was due "&amp;TEXT($AB793,"dd-mmm")&amp;" - "&amp;(NETWORKDAYS($AB793,TODAY(),Holidays)-1)&amp;" business day(s) late. Send now.",IF($U793="DUE TOMORROW","Next: "&amp;$AC793&amp;IF($AB793&lt;=TODAY()," is due TODAY ("," is due next business day (")&amp;TEXT($AB793,"dd-mmm")&amp;").","Next: "&amp;$AC793&amp;" due "&amp;TEXT($AB793,"dd-mmm")&amp;" ("&amp;(NETWORKDAYS(TODAY(),$AB793,Holidays)-1)&amp;" business day(s) left).")))))</f>
        <v/>
      </c>
      <c r="W793" s="17">
        <f>IF($Z793="","",CHOOSE($Z793,"Collection Email","1st Follow-up","2nd Follow-up","Local Office","CBE","Roxanne")&amp;IF($Z793=6," - Final"," - Day "&amp;MAX(0,NETWORKDAYS($AA793,TODAY(),Holidays)-1)&amp;" of "&amp;CHOOSE($Z793,3,3,2,2,3))&amp;" | Total Day "&amp;MAX(0,NETWORKDAYS($N793,TODAY(),Holidays)-1))</f>
        <v/>
      </c>
      <c r="X793" s="18"/>
      <c r="Y793" s="18"/>
      <c r="Z793" s="17">
        <f>IF($N793="","",COUNT($N793:$S793))</f>
        <v/>
      </c>
      <c r="AA793" s="19">
        <f>IF($Z793="","",INT(INDEX($N793:$S793,$Z793)))</f>
        <v/>
      </c>
      <c r="AB793" s="19">
        <f>IF(OR($Z793="",$Z793=6),"",WORKDAY($AA793,CHOOSE($Z793,3,3,2,2,3),Holidays))</f>
        <v/>
      </c>
      <c r="AC793" s="17">
        <f>IF(OR($Z793="",$Z793=6),"",CHOOSE($Z793,"1st Email Follow-up","2nd Email Follow-up","Escalate Local Office","Escalate to CBE","Escalate to Roxanne"))</f>
        <v/>
      </c>
    </row>
    <row r="794" spans="13:29">
      <c r="M794" s="14"/>
      <c r="T794" s="16"/>
      <c r="U794" s="17">
        <f>IF(AND(COUNTA($A794:$L794)=0,$N794=""),"",IF($T794="Paid","PAID",IF($T794="Closed","CLOSED",IF($Z794="","",IF($Z794=6,"ESCALATED TO ROXANNE",IF(TODAY()&gt;$AB794,"OVERDUE",IF($AB794&lt;=WORKDAY(TODAY(),1,Holidays),"DUE TOMORROW",IF($Z794=4,"ESCALATED TO LOCAL OFFICE",IF($Z794=5,"ESCALATED TO CBE",IF($AA794=TODAY(),"EMAIL SENT","MONITORING"))))))))))</f>
        <v/>
      </c>
      <c r="V794" s="17">
        <f>IF($U794="",IF(AND(COUNTA($A794:$L794)&gt;0,$N794=""),"Awaiting Collection Email time stamp.",""),IF(OR($U794="PAID",$U794="CLOSED"),IF($U794="PAID","Account paid. Action completed.","Account closed. No further action required."),CHOOSE($Z794,"Collection Email","1st Email Follow-up","2nd Email Follow-up","Escalation to Local Office","Escalation to CBE","Escalation to Roxanne")&amp;" sent "&amp;TEXT($AA794,"dd-mmm")&amp;". "&amp;IF($Z794=6,"Final escalation completed.",IF($U794="OVERDUE","Next: "&amp;$AC794&amp;" was due "&amp;TEXT($AB794,"dd-mmm")&amp;" - "&amp;(NETWORKDAYS($AB794,TODAY(),Holidays)-1)&amp;" business day(s) late. Send now.",IF($U794="DUE TOMORROW","Next: "&amp;$AC794&amp;IF($AB794&lt;=TODAY()," is due TODAY ("," is due next business day (")&amp;TEXT($AB794,"dd-mmm")&amp;").","Next: "&amp;$AC794&amp;" due "&amp;TEXT($AB794,"dd-mmm")&amp;" ("&amp;(NETWORKDAYS(TODAY(),$AB794,Holidays)-1)&amp;" business day(s) left).")))))</f>
        <v/>
      </c>
      <c r="W794" s="17">
        <f>IF($Z794="","",CHOOSE($Z794,"Collection Email","1st Follow-up","2nd Follow-up","Local Office","CBE","Roxanne")&amp;IF($Z794=6," - Final"," - Day "&amp;MAX(0,NETWORKDAYS($AA794,TODAY(),Holidays)-1)&amp;" of "&amp;CHOOSE($Z794,3,3,2,2,3))&amp;" | Total Day "&amp;MAX(0,NETWORKDAYS($N794,TODAY(),Holidays)-1))</f>
        <v/>
      </c>
      <c r="X794" s="18"/>
      <c r="Y794" s="18"/>
      <c r="Z794" s="17">
        <f>IF($N794="","",COUNT($N794:$S794))</f>
        <v/>
      </c>
      <c r="AA794" s="19">
        <f>IF($Z794="","",INT(INDEX($N794:$S794,$Z794)))</f>
        <v/>
      </c>
      <c r="AB794" s="19">
        <f>IF(OR($Z794="",$Z794=6),"",WORKDAY($AA794,CHOOSE($Z794,3,3,2,2,3),Holidays))</f>
        <v/>
      </c>
      <c r="AC794" s="17">
        <f>IF(OR($Z794="",$Z794=6),"",CHOOSE($Z794,"1st Email Follow-up","2nd Email Follow-up","Escalate Local Office","Escalate to CBE","Escalate to Roxanne"))</f>
        <v/>
      </c>
    </row>
    <row r="795" spans="13:29">
      <c r="M795" s="14"/>
      <c r="T795" s="16"/>
      <c r="U795" s="17">
        <f>IF(AND(COUNTA($A795:$L795)=0,$N795=""),"",IF($T795="Paid","PAID",IF($T795="Closed","CLOSED",IF($Z795="","",IF($Z795=6,"ESCALATED TO ROXANNE",IF(TODAY()&gt;$AB795,"OVERDUE",IF($AB795&lt;=WORKDAY(TODAY(),1,Holidays),"DUE TOMORROW",IF($Z795=4,"ESCALATED TO LOCAL OFFICE",IF($Z795=5,"ESCALATED TO CBE",IF($AA795=TODAY(),"EMAIL SENT","MONITORING"))))))))))</f>
        <v/>
      </c>
      <c r="V795" s="17">
        <f>IF($U795="",IF(AND(COUNTA($A795:$L795)&gt;0,$N795=""),"Awaiting Collection Email time stamp.",""),IF(OR($U795="PAID",$U795="CLOSED"),IF($U795="PAID","Account paid. Action completed.","Account closed. No further action required."),CHOOSE($Z795,"Collection Email","1st Email Follow-up","2nd Email Follow-up","Escalation to Local Office","Escalation to CBE","Escalation to Roxanne")&amp;" sent "&amp;TEXT($AA795,"dd-mmm")&amp;". "&amp;IF($Z795=6,"Final escalation completed.",IF($U795="OVERDUE","Next: "&amp;$AC795&amp;" was due "&amp;TEXT($AB795,"dd-mmm")&amp;" - "&amp;(NETWORKDAYS($AB795,TODAY(),Holidays)-1)&amp;" business day(s) late. Send now.",IF($U795="DUE TOMORROW","Next: "&amp;$AC795&amp;IF($AB795&lt;=TODAY()," is due TODAY ("," is due next business day (")&amp;TEXT($AB795,"dd-mmm")&amp;").","Next: "&amp;$AC795&amp;" due "&amp;TEXT($AB795,"dd-mmm")&amp;" ("&amp;(NETWORKDAYS(TODAY(),$AB795,Holidays)-1)&amp;" business day(s) left).")))))</f>
        <v/>
      </c>
      <c r="W795" s="17">
        <f>IF($Z795="","",CHOOSE($Z795,"Collection Email","1st Follow-up","2nd Follow-up","Local Office","CBE","Roxanne")&amp;IF($Z795=6," - Final"," - Day "&amp;MAX(0,NETWORKDAYS($AA795,TODAY(),Holidays)-1)&amp;" of "&amp;CHOOSE($Z795,3,3,2,2,3))&amp;" | Total Day "&amp;MAX(0,NETWORKDAYS($N795,TODAY(),Holidays)-1))</f>
        <v/>
      </c>
      <c r="X795" s="18"/>
      <c r="Y795" s="18"/>
      <c r="Z795" s="17">
        <f>IF($N795="","",COUNT($N795:$S795))</f>
        <v/>
      </c>
      <c r="AA795" s="19">
        <f>IF($Z795="","",INT(INDEX($N795:$S795,$Z795)))</f>
        <v/>
      </c>
      <c r="AB795" s="19">
        <f>IF(OR($Z795="",$Z795=6),"",WORKDAY($AA795,CHOOSE($Z795,3,3,2,2,3),Holidays))</f>
        <v/>
      </c>
      <c r="AC795" s="17">
        <f>IF(OR($Z795="",$Z795=6),"",CHOOSE($Z795,"1st Email Follow-up","2nd Email Follow-up","Escalate Local Office","Escalate to CBE","Escalate to Roxanne"))</f>
        <v/>
      </c>
    </row>
    <row r="796" spans="13:29">
      <c r="M796" s="14"/>
      <c r="T796" s="16"/>
      <c r="U796" s="17">
        <f>IF(AND(COUNTA($A796:$L796)=0,$N796=""),"",IF($T796="Paid","PAID",IF($T796="Closed","CLOSED",IF($Z796="","",IF($Z796=6,"ESCALATED TO ROXANNE",IF(TODAY()&gt;$AB796,"OVERDUE",IF($AB796&lt;=WORKDAY(TODAY(),1,Holidays),"DUE TOMORROW",IF($Z796=4,"ESCALATED TO LOCAL OFFICE",IF($Z796=5,"ESCALATED TO CBE",IF($AA796=TODAY(),"EMAIL SENT","MONITORING"))))))))))</f>
        <v/>
      </c>
      <c r="V796" s="17">
        <f>IF($U796="",IF(AND(COUNTA($A796:$L796)&gt;0,$N796=""),"Awaiting Collection Email time stamp.",""),IF(OR($U796="PAID",$U796="CLOSED"),IF($U796="PAID","Account paid. Action completed.","Account closed. No further action required."),CHOOSE($Z796,"Collection Email","1st Email Follow-up","2nd Email Follow-up","Escalation to Local Office","Escalation to CBE","Escalation to Roxanne")&amp;" sent "&amp;TEXT($AA796,"dd-mmm")&amp;". "&amp;IF($Z796=6,"Final escalation completed.",IF($U796="OVERDUE","Next: "&amp;$AC796&amp;" was due "&amp;TEXT($AB796,"dd-mmm")&amp;" - "&amp;(NETWORKDAYS($AB796,TODAY(),Holidays)-1)&amp;" business day(s) late. Send now.",IF($U796="DUE TOMORROW","Next: "&amp;$AC796&amp;IF($AB796&lt;=TODAY()," is due TODAY ("," is due next business day (")&amp;TEXT($AB796,"dd-mmm")&amp;").","Next: "&amp;$AC796&amp;" due "&amp;TEXT($AB796,"dd-mmm")&amp;" ("&amp;(NETWORKDAYS(TODAY(),$AB796,Holidays)-1)&amp;" business day(s) left).")))))</f>
        <v/>
      </c>
      <c r="W796" s="17">
        <f>IF($Z796="","",CHOOSE($Z796,"Collection Email","1st Follow-up","2nd Follow-up","Local Office","CBE","Roxanne")&amp;IF($Z796=6," - Final"," - Day "&amp;MAX(0,NETWORKDAYS($AA796,TODAY(),Holidays)-1)&amp;" of "&amp;CHOOSE($Z796,3,3,2,2,3))&amp;" | Total Day "&amp;MAX(0,NETWORKDAYS($N796,TODAY(),Holidays)-1))</f>
        <v/>
      </c>
      <c r="X796" s="18"/>
      <c r="Y796" s="18"/>
      <c r="Z796" s="17">
        <f>IF($N796="","",COUNT($N796:$S796))</f>
        <v/>
      </c>
      <c r="AA796" s="19">
        <f>IF($Z796="","",INT(INDEX($N796:$S796,$Z796)))</f>
        <v/>
      </c>
      <c r="AB796" s="19">
        <f>IF(OR($Z796="",$Z796=6),"",WORKDAY($AA796,CHOOSE($Z796,3,3,2,2,3),Holidays))</f>
        <v/>
      </c>
      <c r="AC796" s="17">
        <f>IF(OR($Z796="",$Z796=6),"",CHOOSE($Z796,"1st Email Follow-up","2nd Email Follow-up","Escalate Local Office","Escalate to CBE","Escalate to Roxanne"))</f>
        <v/>
      </c>
    </row>
    <row r="797" spans="13:29">
      <c r="M797" s="14"/>
      <c r="T797" s="16"/>
      <c r="U797" s="17">
        <f>IF(AND(COUNTA($A797:$L797)=0,$N797=""),"",IF($T797="Paid","PAID",IF($T797="Closed","CLOSED",IF($Z797="","",IF($Z797=6,"ESCALATED TO ROXANNE",IF(TODAY()&gt;$AB797,"OVERDUE",IF($AB797&lt;=WORKDAY(TODAY(),1,Holidays),"DUE TOMORROW",IF($Z797=4,"ESCALATED TO LOCAL OFFICE",IF($Z797=5,"ESCALATED TO CBE",IF($AA797=TODAY(),"EMAIL SENT","MONITORING"))))))))))</f>
        <v/>
      </c>
      <c r="V797" s="17">
        <f>IF($U797="",IF(AND(COUNTA($A797:$L797)&gt;0,$N797=""),"Awaiting Collection Email time stamp.",""),IF(OR($U797="PAID",$U797="CLOSED"),IF($U797="PAID","Account paid. Action completed.","Account closed. No further action required."),CHOOSE($Z797,"Collection Email","1st Email Follow-up","2nd Email Follow-up","Escalation to Local Office","Escalation to CBE","Escalation to Roxanne")&amp;" sent "&amp;TEXT($AA797,"dd-mmm")&amp;". "&amp;IF($Z797=6,"Final escalation completed.",IF($U797="OVERDUE","Next: "&amp;$AC797&amp;" was due "&amp;TEXT($AB797,"dd-mmm")&amp;" - "&amp;(NETWORKDAYS($AB797,TODAY(),Holidays)-1)&amp;" business day(s) late. Send now.",IF($U797="DUE TOMORROW","Next: "&amp;$AC797&amp;IF($AB797&lt;=TODAY()," is due TODAY ("," is due next business day (")&amp;TEXT($AB797,"dd-mmm")&amp;").","Next: "&amp;$AC797&amp;" due "&amp;TEXT($AB797,"dd-mmm")&amp;" ("&amp;(NETWORKDAYS(TODAY(),$AB797,Holidays)-1)&amp;" business day(s) left).")))))</f>
        <v/>
      </c>
      <c r="W797" s="17">
        <f>IF($Z797="","",CHOOSE($Z797,"Collection Email","1st Follow-up","2nd Follow-up","Local Office","CBE","Roxanne")&amp;IF($Z797=6," - Final"," - Day "&amp;MAX(0,NETWORKDAYS($AA797,TODAY(),Holidays)-1)&amp;" of "&amp;CHOOSE($Z797,3,3,2,2,3))&amp;" | Total Day "&amp;MAX(0,NETWORKDAYS($N797,TODAY(),Holidays)-1))</f>
        <v/>
      </c>
      <c r="X797" s="18"/>
      <c r="Y797" s="18"/>
      <c r="Z797" s="17">
        <f>IF($N797="","",COUNT($N797:$S797))</f>
        <v/>
      </c>
      <c r="AA797" s="19">
        <f>IF($Z797="","",INT(INDEX($N797:$S797,$Z797)))</f>
        <v/>
      </c>
      <c r="AB797" s="19">
        <f>IF(OR($Z797="",$Z797=6),"",WORKDAY($AA797,CHOOSE($Z797,3,3,2,2,3),Holidays))</f>
        <v/>
      </c>
      <c r="AC797" s="17">
        <f>IF(OR($Z797="",$Z797=6),"",CHOOSE($Z797,"1st Email Follow-up","2nd Email Follow-up","Escalate Local Office","Escalate to CBE","Escalate to Roxanne"))</f>
        <v/>
      </c>
    </row>
    <row r="798" spans="13:29">
      <c r="M798" s="14"/>
      <c r="T798" s="16"/>
      <c r="U798" s="17">
        <f>IF(AND(COUNTA($A798:$L798)=0,$N798=""),"",IF($T798="Paid","PAID",IF($T798="Closed","CLOSED",IF($Z798="","",IF($Z798=6,"ESCALATED TO ROXANNE",IF(TODAY()&gt;$AB798,"OVERDUE",IF($AB798&lt;=WORKDAY(TODAY(),1,Holidays),"DUE TOMORROW",IF($Z798=4,"ESCALATED TO LOCAL OFFICE",IF($Z798=5,"ESCALATED TO CBE",IF($AA798=TODAY(),"EMAIL SENT","MONITORING"))))))))))</f>
        <v/>
      </c>
      <c r="V798" s="17">
        <f>IF($U798="",IF(AND(COUNTA($A798:$L798)&gt;0,$N798=""),"Awaiting Collection Email time stamp.",""),IF(OR($U798="PAID",$U798="CLOSED"),IF($U798="PAID","Account paid. Action completed.","Account closed. No further action required."),CHOOSE($Z798,"Collection Email","1st Email Follow-up","2nd Email Follow-up","Escalation to Local Office","Escalation to CBE","Escalation to Roxanne")&amp;" sent "&amp;TEXT($AA798,"dd-mmm")&amp;". "&amp;IF($Z798=6,"Final escalation completed.",IF($U798="OVERDUE","Next: "&amp;$AC798&amp;" was due "&amp;TEXT($AB798,"dd-mmm")&amp;" - "&amp;(NETWORKDAYS($AB798,TODAY(),Holidays)-1)&amp;" business day(s) late. Send now.",IF($U798="DUE TOMORROW","Next: "&amp;$AC798&amp;IF($AB798&lt;=TODAY()," is due TODAY ("," is due next business day (")&amp;TEXT($AB798,"dd-mmm")&amp;").","Next: "&amp;$AC798&amp;" due "&amp;TEXT($AB798,"dd-mmm")&amp;" ("&amp;(NETWORKDAYS(TODAY(),$AB798,Holidays)-1)&amp;" business day(s) left).")))))</f>
        <v/>
      </c>
      <c r="W798" s="17">
        <f>IF($Z798="","",CHOOSE($Z798,"Collection Email","1st Follow-up","2nd Follow-up","Local Office","CBE","Roxanne")&amp;IF($Z798=6," - Final"," - Day "&amp;MAX(0,NETWORKDAYS($AA798,TODAY(),Holidays)-1)&amp;" of "&amp;CHOOSE($Z798,3,3,2,2,3))&amp;" | Total Day "&amp;MAX(0,NETWORKDAYS($N798,TODAY(),Holidays)-1))</f>
        <v/>
      </c>
      <c r="X798" s="18"/>
      <c r="Y798" s="18"/>
      <c r="Z798" s="17">
        <f>IF($N798="","",COUNT($N798:$S798))</f>
        <v/>
      </c>
      <c r="AA798" s="19">
        <f>IF($Z798="","",INT(INDEX($N798:$S798,$Z798)))</f>
        <v/>
      </c>
      <c r="AB798" s="19">
        <f>IF(OR($Z798="",$Z798=6),"",WORKDAY($AA798,CHOOSE($Z798,3,3,2,2,3),Holidays))</f>
        <v/>
      </c>
      <c r="AC798" s="17">
        <f>IF(OR($Z798="",$Z798=6),"",CHOOSE($Z798,"1st Email Follow-up","2nd Email Follow-up","Escalate Local Office","Escalate to CBE","Escalate to Roxanne"))</f>
        <v/>
      </c>
    </row>
    <row r="799" spans="13:29">
      <c r="M799" s="14"/>
      <c r="T799" s="16"/>
      <c r="U799" s="17">
        <f>IF(AND(COUNTA($A799:$L799)=0,$N799=""),"",IF($T799="Paid","PAID",IF($T799="Closed","CLOSED",IF($Z799="","",IF($Z799=6,"ESCALATED TO ROXANNE",IF(TODAY()&gt;$AB799,"OVERDUE",IF($AB799&lt;=WORKDAY(TODAY(),1,Holidays),"DUE TOMORROW",IF($Z799=4,"ESCALATED TO LOCAL OFFICE",IF($Z799=5,"ESCALATED TO CBE",IF($AA799=TODAY(),"EMAIL SENT","MONITORING"))))))))))</f>
        <v/>
      </c>
      <c r="V799" s="17">
        <f>IF($U799="",IF(AND(COUNTA($A799:$L799)&gt;0,$N799=""),"Awaiting Collection Email time stamp.",""),IF(OR($U799="PAID",$U799="CLOSED"),IF($U799="PAID","Account paid. Action completed.","Account closed. No further action required."),CHOOSE($Z799,"Collection Email","1st Email Follow-up","2nd Email Follow-up","Escalation to Local Office","Escalation to CBE","Escalation to Roxanne")&amp;" sent "&amp;TEXT($AA799,"dd-mmm")&amp;". "&amp;IF($Z799=6,"Final escalation completed.",IF($U799="OVERDUE","Next: "&amp;$AC799&amp;" was due "&amp;TEXT($AB799,"dd-mmm")&amp;" - "&amp;(NETWORKDAYS($AB799,TODAY(),Holidays)-1)&amp;" business day(s) late. Send now.",IF($U799="DUE TOMORROW","Next: "&amp;$AC799&amp;IF($AB799&lt;=TODAY()," is due TODAY ("," is due next business day (")&amp;TEXT($AB799,"dd-mmm")&amp;").","Next: "&amp;$AC799&amp;" due "&amp;TEXT($AB799,"dd-mmm")&amp;" ("&amp;(NETWORKDAYS(TODAY(),$AB799,Holidays)-1)&amp;" business day(s) left).")))))</f>
        <v/>
      </c>
      <c r="W799" s="17">
        <f>IF($Z799="","",CHOOSE($Z799,"Collection Email","1st Follow-up","2nd Follow-up","Local Office","CBE","Roxanne")&amp;IF($Z799=6," - Final"," - Day "&amp;MAX(0,NETWORKDAYS($AA799,TODAY(),Holidays)-1)&amp;" of "&amp;CHOOSE($Z799,3,3,2,2,3))&amp;" | Total Day "&amp;MAX(0,NETWORKDAYS($N799,TODAY(),Holidays)-1))</f>
        <v/>
      </c>
      <c r="X799" s="18"/>
      <c r="Y799" s="18"/>
      <c r="Z799" s="17">
        <f>IF($N799="","",COUNT($N799:$S799))</f>
        <v/>
      </c>
      <c r="AA799" s="19">
        <f>IF($Z799="","",INT(INDEX($N799:$S799,$Z799)))</f>
        <v/>
      </c>
      <c r="AB799" s="19">
        <f>IF(OR($Z799="",$Z799=6),"",WORKDAY($AA799,CHOOSE($Z799,3,3,2,2,3),Holidays))</f>
        <v/>
      </c>
      <c r="AC799" s="17">
        <f>IF(OR($Z799="",$Z799=6),"",CHOOSE($Z799,"1st Email Follow-up","2nd Email Follow-up","Escalate Local Office","Escalate to CBE","Escalate to Roxanne"))</f>
        <v/>
      </c>
    </row>
    <row r="800" spans="13:29">
      <c r="M800" s="14"/>
      <c r="T800" s="16"/>
      <c r="U800" s="17">
        <f>IF(AND(COUNTA($A800:$L800)=0,$N800=""),"",IF($T800="Paid","PAID",IF($T800="Closed","CLOSED",IF($Z800="","",IF($Z800=6,"ESCALATED TO ROXANNE",IF(TODAY()&gt;$AB800,"OVERDUE",IF($AB800&lt;=WORKDAY(TODAY(),1,Holidays),"DUE TOMORROW",IF($Z800=4,"ESCALATED TO LOCAL OFFICE",IF($Z800=5,"ESCALATED TO CBE",IF($AA800=TODAY(),"EMAIL SENT","MONITORING"))))))))))</f>
        <v/>
      </c>
      <c r="V800" s="17">
        <f>IF($U800="",IF(AND(COUNTA($A800:$L800)&gt;0,$N800=""),"Awaiting Collection Email time stamp.",""),IF(OR($U800="PAID",$U800="CLOSED"),IF($U800="PAID","Account paid. Action completed.","Account closed. No further action required."),CHOOSE($Z800,"Collection Email","1st Email Follow-up","2nd Email Follow-up","Escalation to Local Office","Escalation to CBE","Escalation to Roxanne")&amp;" sent "&amp;TEXT($AA800,"dd-mmm")&amp;". "&amp;IF($Z800=6,"Final escalation completed.",IF($U800="OVERDUE","Next: "&amp;$AC800&amp;" was due "&amp;TEXT($AB800,"dd-mmm")&amp;" - "&amp;(NETWORKDAYS($AB800,TODAY(),Holidays)-1)&amp;" business day(s) late. Send now.",IF($U800="DUE TOMORROW","Next: "&amp;$AC800&amp;IF($AB800&lt;=TODAY()," is due TODAY ("," is due next business day (")&amp;TEXT($AB800,"dd-mmm")&amp;").","Next: "&amp;$AC800&amp;" due "&amp;TEXT($AB800,"dd-mmm")&amp;" ("&amp;(NETWORKDAYS(TODAY(),$AB800,Holidays)-1)&amp;" business day(s) left).")))))</f>
        <v/>
      </c>
      <c r="W800" s="17">
        <f>IF($Z800="","",CHOOSE($Z800,"Collection Email","1st Follow-up","2nd Follow-up","Local Office","CBE","Roxanne")&amp;IF($Z800=6," - Final"," - Day "&amp;MAX(0,NETWORKDAYS($AA800,TODAY(),Holidays)-1)&amp;" of "&amp;CHOOSE($Z800,3,3,2,2,3))&amp;" | Total Day "&amp;MAX(0,NETWORKDAYS($N800,TODAY(),Holidays)-1))</f>
        <v/>
      </c>
      <c r="X800" s="18"/>
      <c r="Y800" s="18"/>
      <c r="Z800" s="17">
        <f>IF($N800="","",COUNT($N800:$S800))</f>
        <v/>
      </c>
      <c r="AA800" s="19">
        <f>IF($Z800="","",INT(INDEX($N800:$S800,$Z800)))</f>
        <v/>
      </c>
      <c r="AB800" s="19">
        <f>IF(OR($Z800="",$Z800=6),"",WORKDAY($AA800,CHOOSE($Z800,3,3,2,2,3),Holidays))</f>
        <v/>
      </c>
      <c r="AC800" s="17">
        <f>IF(OR($Z800="",$Z800=6),"",CHOOSE($Z800,"1st Email Follow-up","2nd Email Follow-up","Escalate Local Office","Escalate to CBE","Escalate to Roxanne"))</f>
        <v/>
      </c>
    </row>
    <row r="801" spans="13:29">
      <c r="M801" s="14"/>
      <c r="T801" s="16"/>
      <c r="U801" s="17">
        <f>IF(AND(COUNTA($A801:$L801)=0,$N801=""),"",IF($T801="Paid","PAID",IF($T801="Closed","CLOSED",IF($Z801="","",IF($Z801=6,"ESCALATED TO ROXANNE",IF(TODAY()&gt;$AB801,"OVERDUE",IF($AB801&lt;=WORKDAY(TODAY(),1,Holidays),"DUE TOMORROW",IF($Z801=4,"ESCALATED TO LOCAL OFFICE",IF($Z801=5,"ESCALATED TO CBE",IF($AA801=TODAY(),"EMAIL SENT","MONITORING"))))))))))</f>
        <v/>
      </c>
      <c r="V801" s="17">
        <f>IF($U801="",IF(AND(COUNTA($A801:$L801)&gt;0,$N801=""),"Awaiting Collection Email time stamp.",""),IF(OR($U801="PAID",$U801="CLOSED"),IF($U801="PAID","Account paid. Action completed.","Account closed. No further action required."),CHOOSE($Z801,"Collection Email","1st Email Follow-up","2nd Email Follow-up","Escalation to Local Office","Escalation to CBE","Escalation to Roxanne")&amp;" sent "&amp;TEXT($AA801,"dd-mmm")&amp;". "&amp;IF($Z801=6,"Final escalation completed.",IF($U801="OVERDUE","Next: "&amp;$AC801&amp;" was due "&amp;TEXT($AB801,"dd-mmm")&amp;" - "&amp;(NETWORKDAYS($AB801,TODAY(),Holidays)-1)&amp;" business day(s) late. Send now.",IF($U801="DUE TOMORROW","Next: "&amp;$AC801&amp;IF($AB801&lt;=TODAY()," is due TODAY ("," is due next business day (")&amp;TEXT($AB801,"dd-mmm")&amp;").","Next: "&amp;$AC801&amp;" due "&amp;TEXT($AB801,"dd-mmm")&amp;" ("&amp;(NETWORKDAYS(TODAY(),$AB801,Holidays)-1)&amp;" business day(s) left).")))))</f>
        <v/>
      </c>
      <c r="W801" s="17">
        <f>IF($Z801="","",CHOOSE($Z801,"Collection Email","1st Follow-up","2nd Follow-up","Local Office","CBE","Roxanne")&amp;IF($Z801=6," - Final"," - Day "&amp;MAX(0,NETWORKDAYS($AA801,TODAY(),Holidays)-1)&amp;" of "&amp;CHOOSE($Z801,3,3,2,2,3))&amp;" | Total Day "&amp;MAX(0,NETWORKDAYS($N801,TODAY(),Holidays)-1))</f>
        <v/>
      </c>
      <c r="X801" s="18"/>
      <c r="Y801" s="18"/>
      <c r="Z801" s="17">
        <f>IF($N801="","",COUNT($N801:$S801))</f>
        <v/>
      </c>
      <c r="AA801" s="19">
        <f>IF($Z801="","",INT(INDEX($N801:$S801,$Z801)))</f>
        <v/>
      </c>
      <c r="AB801" s="19">
        <f>IF(OR($Z801="",$Z801=6),"",WORKDAY($AA801,CHOOSE($Z801,3,3,2,2,3),Holidays))</f>
        <v/>
      </c>
      <c r="AC801" s="17">
        <f>IF(OR($Z801="",$Z801=6),"",CHOOSE($Z801,"1st Email Follow-up","2nd Email Follow-up","Escalate Local Office","Escalate to CBE","Escalate to Roxanne"))</f>
        <v/>
      </c>
    </row>
    <row r="802" spans="13:29">
      <c r="M802" s="14"/>
      <c r="T802" s="16"/>
      <c r="U802" s="17">
        <f>IF(AND(COUNTA($A802:$L802)=0,$N802=""),"",IF($T802="Paid","PAID",IF($T802="Closed","CLOSED",IF($Z802="","",IF($Z802=6,"ESCALATED TO ROXANNE",IF(TODAY()&gt;$AB802,"OVERDUE",IF($AB802&lt;=WORKDAY(TODAY(),1,Holidays),"DUE TOMORROW",IF($Z802=4,"ESCALATED TO LOCAL OFFICE",IF($Z802=5,"ESCALATED TO CBE",IF($AA802=TODAY(),"EMAIL SENT","MONITORING"))))))))))</f>
        <v/>
      </c>
      <c r="V802" s="17">
        <f>IF($U802="",IF(AND(COUNTA($A802:$L802)&gt;0,$N802=""),"Awaiting Collection Email time stamp.",""),IF(OR($U802="PAID",$U802="CLOSED"),IF($U802="PAID","Account paid. Action completed.","Account closed. No further action required."),CHOOSE($Z802,"Collection Email","1st Email Follow-up","2nd Email Follow-up","Escalation to Local Office","Escalation to CBE","Escalation to Roxanne")&amp;" sent "&amp;TEXT($AA802,"dd-mmm")&amp;". "&amp;IF($Z802=6,"Final escalation completed.",IF($U802="OVERDUE","Next: "&amp;$AC802&amp;" was due "&amp;TEXT($AB802,"dd-mmm")&amp;" - "&amp;(NETWORKDAYS($AB802,TODAY(),Holidays)-1)&amp;" business day(s) late. Send now.",IF($U802="DUE TOMORROW","Next: "&amp;$AC802&amp;IF($AB802&lt;=TODAY()," is due TODAY ("," is due next business day (")&amp;TEXT($AB802,"dd-mmm")&amp;").","Next: "&amp;$AC802&amp;" due "&amp;TEXT($AB802,"dd-mmm")&amp;" ("&amp;(NETWORKDAYS(TODAY(),$AB802,Holidays)-1)&amp;" business day(s) left).")))))</f>
        <v/>
      </c>
      <c r="W802" s="17">
        <f>IF($Z802="","",CHOOSE($Z802,"Collection Email","1st Follow-up","2nd Follow-up","Local Office","CBE","Roxanne")&amp;IF($Z802=6," - Final"," - Day "&amp;MAX(0,NETWORKDAYS($AA802,TODAY(),Holidays)-1)&amp;" of "&amp;CHOOSE($Z802,3,3,2,2,3))&amp;" | Total Day "&amp;MAX(0,NETWORKDAYS($N802,TODAY(),Holidays)-1))</f>
        <v/>
      </c>
      <c r="X802" s="18"/>
      <c r="Y802" s="18"/>
      <c r="Z802" s="17">
        <f>IF($N802="","",COUNT($N802:$S802))</f>
        <v/>
      </c>
      <c r="AA802" s="19">
        <f>IF($Z802="","",INT(INDEX($N802:$S802,$Z802)))</f>
        <v/>
      </c>
      <c r="AB802" s="19">
        <f>IF(OR($Z802="",$Z802=6),"",WORKDAY($AA802,CHOOSE($Z802,3,3,2,2,3),Holidays))</f>
        <v/>
      </c>
      <c r="AC802" s="17">
        <f>IF(OR($Z802="",$Z802=6),"",CHOOSE($Z802,"1st Email Follow-up","2nd Email Follow-up","Escalate Local Office","Escalate to CBE","Escalate to Roxanne"))</f>
        <v/>
      </c>
    </row>
    <row r="803" spans="13:29">
      <c r="M803" s="14"/>
      <c r="T803" s="16"/>
      <c r="U803" s="17">
        <f>IF(AND(COUNTA($A803:$L803)=0,$N803=""),"",IF($T803="Paid","PAID",IF($T803="Closed","CLOSED",IF($Z803="","",IF($Z803=6,"ESCALATED TO ROXANNE",IF(TODAY()&gt;$AB803,"OVERDUE",IF($AB803&lt;=WORKDAY(TODAY(),1,Holidays),"DUE TOMORROW",IF($Z803=4,"ESCALATED TO LOCAL OFFICE",IF($Z803=5,"ESCALATED TO CBE",IF($AA803=TODAY(),"EMAIL SENT","MONITORING"))))))))))</f>
        <v/>
      </c>
      <c r="V803" s="17">
        <f>IF($U803="",IF(AND(COUNTA($A803:$L803)&gt;0,$N803=""),"Awaiting Collection Email time stamp.",""),IF(OR($U803="PAID",$U803="CLOSED"),IF($U803="PAID","Account paid. Action completed.","Account closed. No further action required."),CHOOSE($Z803,"Collection Email","1st Email Follow-up","2nd Email Follow-up","Escalation to Local Office","Escalation to CBE","Escalation to Roxanne")&amp;" sent "&amp;TEXT($AA803,"dd-mmm")&amp;". "&amp;IF($Z803=6,"Final escalation completed.",IF($U803="OVERDUE","Next: "&amp;$AC803&amp;" was due "&amp;TEXT($AB803,"dd-mmm")&amp;" - "&amp;(NETWORKDAYS($AB803,TODAY(),Holidays)-1)&amp;" business day(s) late. Send now.",IF($U803="DUE TOMORROW","Next: "&amp;$AC803&amp;IF($AB803&lt;=TODAY()," is due TODAY ("," is due next business day (")&amp;TEXT($AB803,"dd-mmm")&amp;").","Next: "&amp;$AC803&amp;" due "&amp;TEXT($AB803,"dd-mmm")&amp;" ("&amp;(NETWORKDAYS(TODAY(),$AB803,Holidays)-1)&amp;" business day(s) left).")))))</f>
        <v/>
      </c>
      <c r="W803" s="17">
        <f>IF($Z803="","",CHOOSE($Z803,"Collection Email","1st Follow-up","2nd Follow-up","Local Office","CBE","Roxanne")&amp;IF($Z803=6," - Final"," - Day "&amp;MAX(0,NETWORKDAYS($AA803,TODAY(),Holidays)-1)&amp;" of "&amp;CHOOSE($Z803,3,3,2,2,3))&amp;" | Total Day "&amp;MAX(0,NETWORKDAYS($N803,TODAY(),Holidays)-1))</f>
        <v/>
      </c>
      <c r="X803" s="18"/>
      <c r="Y803" s="18"/>
      <c r="Z803" s="17">
        <f>IF($N803="","",COUNT($N803:$S803))</f>
        <v/>
      </c>
      <c r="AA803" s="19">
        <f>IF($Z803="","",INT(INDEX($N803:$S803,$Z803)))</f>
        <v/>
      </c>
      <c r="AB803" s="19">
        <f>IF(OR($Z803="",$Z803=6),"",WORKDAY($AA803,CHOOSE($Z803,3,3,2,2,3),Holidays))</f>
        <v/>
      </c>
      <c r="AC803" s="17">
        <f>IF(OR($Z803="",$Z803=6),"",CHOOSE($Z803,"1st Email Follow-up","2nd Email Follow-up","Escalate Local Office","Escalate to CBE","Escalate to Roxanne"))</f>
        <v/>
      </c>
    </row>
    <row r="804" spans="13:29">
      <c r="M804" s="14"/>
      <c r="T804" s="16"/>
      <c r="U804" s="17">
        <f>IF(AND(COUNTA($A804:$L804)=0,$N804=""),"",IF($T804="Paid","PAID",IF($T804="Closed","CLOSED",IF($Z804="","",IF($Z804=6,"ESCALATED TO ROXANNE",IF(TODAY()&gt;$AB804,"OVERDUE",IF($AB804&lt;=WORKDAY(TODAY(),1,Holidays),"DUE TOMORROW",IF($Z804=4,"ESCALATED TO LOCAL OFFICE",IF($Z804=5,"ESCALATED TO CBE",IF($AA804=TODAY(),"EMAIL SENT","MONITORING"))))))))))</f>
        <v/>
      </c>
      <c r="V804" s="17">
        <f>IF($U804="",IF(AND(COUNTA($A804:$L804)&gt;0,$N804=""),"Awaiting Collection Email time stamp.",""),IF(OR($U804="PAID",$U804="CLOSED"),IF($U804="PAID","Account paid. Action completed.","Account closed. No further action required."),CHOOSE($Z804,"Collection Email","1st Email Follow-up","2nd Email Follow-up","Escalation to Local Office","Escalation to CBE","Escalation to Roxanne")&amp;" sent "&amp;TEXT($AA804,"dd-mmm")&amp;". "&amp;IF($Z804=6,"Final escalation completed.",IF($U804="OVERDUE","Next: "&amp;$AC804&amp;" was due "&amp;TEXT($AB804,"dd-mmm")&amp;" - "&amp;(NETWORKDAYS($AB804,TODAY(),Holidays)-1)&amp;" business day(s) late. Send now.",IF($U804="DUE TOMORROW","Next: "&amp;$AC804&amp;IF($AB804&lt;=TODAY()," is due TODAY ("," is due next business day (")&amp;TEXT($AB804,"dd-mmm")&amp;").","Next: "&amp;$AC804&amp;" due "&amp;TEXT($AB804,"dd-mmm")&amp;" ("&amp;(NETWORKDAYS(TODAY(),$AB804,Holidays)-1)&amp;" business day(s) left).")))))</f>
        <v/>
      </c>
      <c r="W804" s="17">
        <f>IF($Z804="","",CHOOSE($Z804,"Collection Email","1st Follow-up","2nd Follow-up","Local Office","CBE","Roxanne")&amp;IF($Z804=6," - Final"," - Day "&amp;MAX(0,NETWORKDAYS($AA804,TODAY(),Holidays)-1)&amp;" of "&amp;CHOOSE($Z804,3,3,2,2,3))&amp;" | Total Day "&amp;MAX(0,NETWORKDAYS($N804,TODAY(),Holidays)-1))</f>
        <v/>
      </c>
      <c r="X804" s="18"/>
      <c r="Y804" s="18"/>
      <c r="Z804" s="17">
        <f>IF($N804="","",COUNT($N804:$S804))</f>
        <v/>
      </c>
      <c r="AA804" s="19">
        <f>IF($Z804="","",INT(INDEX($N804:$S804,$Z804)))</f>
        <v/>
      </c>
      <c r="AB804" s="19">
        <f>IF(OR($Z804="",$Z804=6),"",WORKDAY($AA804,CHOOSE($Z804,3,3,2,2,3),Holidays))</f>
        <v/>
      </c>
      <c r="AC804" s="17">
        <f>IF(OR($Z804="",$Z804=6),"",CHOOSE($Z804,"1st Email Follow-up","2nd Email Follow-up","Escalate Local Office","Escalate to CBE","Escalate to Roxanne"))</f>
        <v/>
      </c>
    </row>
    <row r="805" spans="13:29">
      <c r="M805" s="14"/>
      <c r="T805" s="16"/>
      <c r="U805" s="17">
        <f>IF(AND(COUNTA($A805:$L805)=0,$N805=""),"",IF($T805="Paid","PAID",IF($T805="Closed","CLOSED",IF($Z805="","",IF($Z805=6,"ESCALATED TO ROXANNE",IF(TODAY()&gt;$AB805,"OVERDUE",IF($AB805&lt;=WORKDAY(TODAY(),1,Holidays),"DUE TOMORROW",IF($Z805=4,"ESCALATED TO LOCAL OFFICE",IF($Z805=5,"ESCALATED TO CBE",IF($AA805=TODAY(),"EMAIL SENT","MONITORING"))))))))))</f>
        <v/>
      </c>
      <c r="V805" s="17">
        <f>IF($U805="",IF(AND(COUNTA($A805:$L805)&gt;0,$N805=""),"Awaiting Collection Email time stamp.",""),IF(OR($U805="PAID",$U805="CLOSED"),IF($U805="PAID","Account paid. Action completed.","Account closed. No further action required."),CHOOSE($Z805,"Collection Email","1st Email Follow-up","2nd Email Follow-up","Escalation to Local Office","Escalation to CBE","Escalation to Roxanne")&amp;" sent "&amp;TEXT($AA805,"dd-mmm")&amp;". "&amp;IF($Z805=6,"Final escalation completed.",IF($U805="OVERDUE","Next: "&amp;$AC805&amp;" was due "&amp;TEXT($AB805,"dd-mmm")&amp;" - "&amp;(NETWORKDAYS($AB805,TODAY(),Holidays)-1)&amp;" business day(s) late. Send now.",IF($U805="DUE TOMORROW","Next: "&amp;$AC805&amp;IF($AB805&lt;=TODAY()," is due TODAY ("," is due next business day (")&amp;TEXT($AB805,"dd-mmm")&amp;").","Next: "&amp;$AC805&amp;" due "&amp;TEXT($AB805,"dd-mmm")&amp;" ("&amp;(NETWORKDAYS(TODAY(),$AB805,Holidays)-1)&amp;" business day(s) left).")))))</f>
        <v/>
      </c>
      <c r="W805" s="17">
        <f>IF($Z805="","",CHOOSE($Z805,"Collection Email","1st Follow-up","2nd Follow-up","Local Office","CBE","Roxanne")&amp;IF($Z805=6," - Final"," - Day "&amp;MAX(0,NETWORKDAYS($AA805,TODAY(),Holidays)-1)&amp;" of "&amp;CHOOSE($Z805,3,3,2,2,3))&amp;" | Total Day "&amp;MAX(0,NETWORKDAYS($N805,TODAY(),Holidays)-1))</f>
        <v/>
      </c>
      <c r="X805" s="18"/>
      <c r="Y805" s="18"/>
      <c r="Z805" s="17">
        <f>IF($N805="","",COUNT($N805:$S805))</f>
        <v/>
      </c>
      <c r="AA805" s="19">
        <f>IF($Z805="","",INT(INDEX($N805:$S805,$Z805)))</f>
        <v/>
      </c>
      <c r="AB805" s="19">
        <f>IF(OR($Z805="",$Z805=6),"",WORKDAY($AA805,CHOOSE($Z805,3,3,2,2,3),Holidays))</f>
        <v/>
      </c>
      <c r="AC805" s="17">
        <f>IF(OR($Z805="",$Z805=6),"",CHOOSE($Z805,"1st Email Follow-up","2nd Email Follow-up","Escalate Local Office","Escalate to CBE","Escalate to Roxanne"))</f>
        <v/>
      </c>
    </row>
    <row r="806" spans="13:29">
      <c r="M806" s="14"/>
      <c r="T806" s="16"/>
      <c r="U806" s="17">
        <f>IF(AND(COUNTA($A806:$L806)=0,$N806=""),"",IF($T806="Paid","PAID",IF($T806="Closed","CLOSED",IF($Z806="","",IF($Z806=6,"ESCALATED TO ROXANNE",IF(TODAY()&gt;$AB806,"OVERDUE",IF($AB806&lt;=WORKDAY(TODAY(),1,Holidays),"DUE TOMORROW",IF($Z806=4,"ESCALATED TO LOCAL OFFICE",IF($Z806=5,"ESCALATED TO CBE",IF($AA806=TODAY(),"EMAIL SENT","MONITORING"))))))))))</f>
        <v/>
      </c>
      <c r="V806" s="17">
        <f>IF($U806="",IF(AND(COUNTA($A806:$L806)&gt;0,$N806=""),"Awaiting Collection Email time stamp.",""),IF(OR($U806="PAID",$U806="CLOSED"),IF($U806="PAID","Account paid. Action completed.","Account closed. No further action required."),CHOOSE($Z806,"Collection Email","1st Email Follow-up","2nd Email Follow-up","Escalation to Local Office","Escalation to CBE","Escalation to Roxanne")&amp;" sent "&amp;TEXT($AA806,"dd-mmm")&amp;". "&amp;IF($Z806=6,"Final escalation completed.",IF($U806="OVERDUE","Next: "&amp;$AC806&amp;" was due "&amp;TEXT($AB806,"dd-mmm")&amp;" - "&amp;(NETWORKDAYS($AB806,TODAY(),Holidays)-1)&amp;" business day(s) late. Send now.",IF($U806="DUE TOMORROW","Next: "&amp;$AC806&amp;IF($AB806&lt;=TODAY()," is due TODAY ("," is due next business day (")&amp;TEXT($AB806,"dd-mmm")&amp;").","Next: "&amp;$AC806&amp;" due "&amp;TEXT($AB806,"dd-mmm")&amp;" ("&amp;(NETWORKDAYS(TODAY(),$AB806,Holidays)-1)&amp;" business day(s) left).")))))</f>
        <v/>
      </c>
      <c r="W806" s="17">
        <f>IF($Z806="","",CHOOSE($Z806,"Collection Email","1st Follow-up","2nd Follow-up","Local Office","CBE","Roxanne")&amp;IF($Z806=6," - Final"," - Day "&amp;MAX(0,NETWORKDAYS($AA806,TODAY(),Holidays)-1)&amp;" of "&amp;CHOOSE($Z806,3,3,2,2,3))&amp;" | Total Day "&amp;MAX(0,NETWORKDAYS($N806,TODAY(),Holidays)-1))</f>
        <v/>
      </c>
      <c r="X806" s="18"/>
      <c r="Y806" s="18"/>
      <c r="Z806" s="17">
        <f>IF($N806="","",COUNT($N806:$S806))</f>
        <v/>
      </c>
      <c r="AA806" s="19">
        <f>IF($Z806="","",INT(INDEX($N806:$S806,$Z806)))</f>
        <v/>
      </c>
      <c r="AB806" s="19">
        <f>IF(OR($Z806="",$Z806=6),"",WORKDAY($AA806,CHOOSE($Z806,3,3,2,2,3),Holidays))</f>
        <v/>
      </c>
      <c r="AC806" s="17">
        <f>IF(OR($Z806="",$Z806=6),"",CHOOSE($Z806,"1st Email Follow-up","2nd Email Follow-up","Escalate Local Office","Escalate to CBE","Escalate to Roxanne"))</f>
        <v/>
      </c>
    </row>
    <row r="807" spans="13:29">
      <c r="M807" s="14"/>
      <c r="T807" s="16"/>
      <c r="U807" s="17">
        <f>IF(AND(COUNTA($A807:$L807)=0,$N807=""),"",IF($T807="Paid","PAID",IF($T807="Closed","CLOSED",IF($Z807="","",IF($Z807=6,"ESCALATED TO ROXANNE",IF(TODAY()&gt;$AB807,"OVERDUE",IF($AB807&lt;=WORKDAY(TODAY(),1,Holidays),"DUE TOMORROW",IF($Z807=4,"ESCALATED TO LOCAL OFFICE",IF($Z807=5,"ESCALATED TO CBE",IF($AA807=TODAY(),"EMAIL SENT","MONITORING"))))))))))</f>
        <v/>
      </c>
      <c r="V807" s="17">
        <f>IF($U807="",IF(AND(COUNTA($A807:$L807)&gt;0,$N807=""),"Awaiting Collection Email time stamp.",""),IF(OR($U807="PAID",$U807="CLOSED"),IF($U807="PAID","Account paid. Action completed.","Account closed. No further action required."),CHOOSE($Z807,"Collection Email","1st Email Follow-up","2nd Email Follow-up","Escalation to Local Office","Escalation to CBE","Escalation to Roxanne")&amp;" sent "&amp;TEXT($AA807,"dd-mmm")&amp;". "&amp;IF($Z807=6,"Final escalation completed.",IF($U807="OVERDUE","Next: "&amp;$AC807&amp;" was due "&amp;TEXT($AB807,"dd-mmm")&amp;" - "&amp;(NETWORKDAYS($AB807,TODAY(),Holidays)-1)&amp;" business day(s) late. Send now.",IF($U807="DUE TOMORROW","Next: "&amp;$AC807&amp;IF($AB807&lt;=TODAY()," is due TODAY ("," is due next business day (")&amp;TEXT($AB807,"dd-mmm")&amp;").","Next: "&amp;$AC807&amp;" due "&amp;TEXT($AB807,"dd-mmm")&amp;" ("&amp;(NETWORKDAYS(TODAY(),$AB807,Holidays)-1)&amp;" business day(s) left).")))))</f>
        <v/>
      </c>
      <c r="W807" s="17">
        <f>IF($Z807="","",CHOOSE($Z807,"Collection Email","1st Follow-up","2nd Follow-up","Local Office","CBE","Roxanne")&amp;IF($Z807=6," - Final"," - Day "&amp;MAX(0,NETWORKDAYS($AA807,TODAY(),Holidays)-1)&amp;" of "&amp;CHOOSE($Z807,3,3,2,2,3))&amp;" | Total Day "&amp;MAX(0,NETWORKDAYS($N807,TODAY(),Holidays)-1))</f>
        <v/>
      </c>
      <c r="X807" s="18"/>
      <c r="Y807" s="18"/>
      <c r="Z807" s="17">
        <f>IF($N807="","",COUNT($N807:$S807))</f>
        <v/>
      </c>
      <c r="AA807" s="19">
        <f>IF($Z807="","",INT(INDEX($N807:$S807,$Z807)))</f>
        <v/>
      </c>
      <c r="AB807" s="19">
        <f>IF(OR($Z807="",$Z807=6),"",WORKDAY($AA807,CHOOSE($Z807,3,3,2,2,3),Holidays))</f>
        <v/>
      </c>
      <c r="AC807" s="17">
        <f>IF(OR($Z807="",$Z807=6),"",CHOOSE($Z807,"1st Email Follow-up","2nd Email Follow-up","Escalate Local Office","Escalate to CBE","Escalate to Roxanne"))</f>
        <v/>
      </c>
    </row>
    <row r="808" spans="13:29">
      <c r="M808" s="14"/>
      <c r="T808" s="16"/>
      <c r="U808" s="17">
        <f>IF(AND(COUNTA($A808:$L808)=0,$N808=""),"",IF($T808="Paid","PAID",IF($T808="Closed","CLOSED",IF($Z808="","",IF($Z808=6,"ESCALATED TO ROXANNE",IF(TODAY()&gt;$AB808,"OVERDUE",IF($AB808&lt;=WORKDAY(TODAY(),1,Holidays),"DUE TOMORROW",IF($Z808=4,"ESCALATED TO LOCAL OFFICE",IF($Z808=5,"ESCALATED TO CBE",IF($AA808=TODAY(),"EMAIL SENT","MONITORING"))))))))))</f>
        <v/>
      </c>
      <c r="V808" s="17">
        <f>IF($U808="",IF(AND(COUNTA($A808:$L808)&gt;0,$N808=""),"Awaiting Collection Email time stamp.",""),IF(OR($U808="PAID",$U808="CLOSED"),IF($U808="PAID","Account paid. Action completed.","Account closed. No further action required."),CHOOSE($Z808,"Collection Email","1st Email Follow-up","2nd Email Follow-up","Escalation to Local Office","Escalation to CBE","Escalation to Roxanne")&amp;" sent "&amp;TEXT($AA808,"dd-mmm")&amp;". "&amp;IF($Z808=6,"Final escalation completed.",IF($U808="OVERDUE","Next: "&amp;$AC808&amp;" was due "&amp;TEXT($AB808,"dd-mmm")&amp;" - "&amp;(NETWORKDAYS($AB808,TODAY(),Holidays)-1)&amp;" business day(s) late. Send now.",IF($U808="DUE TOMORROW","Next: "&amp;$AC808&amp;IF($AB808&lt;=TODAY()," is due TODAY ("," is due next business day (")&amp;TEXT($AB808,"dd-mmm")&amp;").","Next: "&amp;$AC808&amp;" due "&amp;TEXT($AB808,"dd-mmm")&amp;" ("&amp;(NETWORKDAYS(TODAY(),$AB808,Holidays)-1)&amp;" business day(s) left).")))))</f>
        <v/>
      </c>
      <c r="W808" s="17">
        <f>IF($Z808="","",CHOOSE($Z808,"Collection Email","1st Follow-up","2nd Follow-up","Local Office","CBE","Roxanne")&amp;IF($Z808=6," - Final"," - Day "&amp;MAX(0,NETWORKDAYS($AA808,TODAY(),Holidays)-1)&amp;" of "&amp;CHOOSE($Z808,3,3,2,2,3))&amp;" | Total Day "&amp;MAX(0,NETWORKDAYS($N808,TODAY(),Holidays)-1))</f>
        <v/>
      </c>
      <c r="X808" s="18"/>
      <c r="Y808" s="18"/>
      <c r="Z808" s="17">
        <f>IF($N808="","",COUNT($N808:$S808))</f>
        <v/>
      </c>
      <c r="AA808" s="19">
        <f>IF($Z808="","",INT(INDEX($N808:$S808,$Z808)))</f>
        <v/>
      </c>
      <c r="AB808" s="19">
        <f>IF(OR($Z808="",$Z808=6),"",WORKDAY($AA808,CHOOSE($Z808,3,3,2,2,3),Holidays))</f>
        <v/>
      </c>
      <c r="AC808" s="17">
        <f>IF(OR($Z808="",$Z808=6),"",CHOOSE($Z808,"1st Email Follow-up","2nd Email Follow-up","Escalate Local Office","Escalate to CBE","Escalate to Roxanne"))</f>
        <v/>
      </c>
    </row>
    <row r="809" spans="13:29">
      <c r="M809" s="14"/>
      <c r="T809" s="16"/>
      <c r="U809" s="17">
        <f>IF(AND(COUNTA($A809:$L809)=0,$N809=""),"",IF($T809="Paid","PAID",IF($T809="Closed","CLOSED",IF($Z809="","",IF($Z809=6,"ESCALATED TO ROXANNE",IF(TODAY()&gt;$AB809,"OVERDUE",IF($AB809&lt;=WORKDAY(TODAY(),1,Holidays),"DUE TOMORROW",IF($Z809=4,"ESCALATED TO LOCAL OFFICE",IF($Z809=5,"ESCALATED TO CBE",IF($AA809=TODAY(),"EMAIL SENT","MONITORING"))))))))))</f>
        <v/>
      </c>
      <c r="V809" s="17">
        <f>IF($U809="",IF(AND(COUNTA($A809:$L809)&gt;0,$N809=""),"Awaiting Collection Email time stamp.",""),IF(OR($U809="PAID",$U809="CLOSED"),IF($U809="PAID","Account paid. Action completed.","Account closed. No further action required."),CHOOSE($Z809,"Collection Email","1st Email Follow-up","2nd Email Follow-up","Escalation to Local Office","Escalation to CBE","Escalation to Roxanne")&amp;" sent "&amp;TEXT($AA809,"dd-mmm")&amp;". "&amp;IF($Z809=6,"Final escalation completed.",IF($U809="OVERDUE","Next: "&amp;$AC809&amp;" was due "&amp;TEXT($AB809,"dd-mmm")&amp;" - "&amp;(NETWORKDAYS($AB809,TODAY(),Holidays)-1)&amp;" business day(s) late. Send now.",IF($U809="DUE TOMORROW","Next: "&amp;$AC809&amp;IF($AB809&lt;=TODAY()," is due TODAY ("," is due next business day (")&amp;TEXT($AB809,"dd-mmm")&amp;").","Next: "&amp;$AC809&amp;" due "&amp;TEXT($AB809,"dd-mmm")&amp;" ("&amp;(NETWORKDAYS(TODAY(),$AB809,Holidays)-1)&amp;" business day(s) left).")))))</f>
        <v/>
      </c>
      <c r="W809" s="17">
        <f>IF($Z809="","",CHOOSE($Z809,"Collection Email","1st Follow-up","2nd Follow-up","Local Office","CBE","Roxanne")&amp;IF($Z809=6," - Final"," - Day "&amp;MAX(0,NETWORKDAYS($AA809,TODAY(),Holidays)-1)&amp;" of "&amp;CHOOSE($Z809,3,3,2,2,3))&amp;" | Total Day "&amp;MAX(0,NETWORKDAYS($N809,TODAY(),Holidays)-1))</f>
        <v/>
      </c>
      <c r="X809" s="18"/>
      <c r="Y809" s="18"/>
      <c r="Z809" s="17">
        <f>IF($N809="","",COUNT($N809:$S809))</f>
        <v/>
      </c>
      <c r="AA809" s="19">
        <f>IF($Z809="","",INT(INDEX($N809:$S809,$Z809)))</f>
        <v/>
      </c>
      <c r="AB809" s="19">
        <f>IF(OR($Z809="",$Z809=6),"",WORKDAY($AA809,CHOOSE($Z809,3,3,2,2,3),Holidays))</f>
        <v/>
      </c>
      <c r="AC809" s="17">
        <f>IF(OR($Z809="",$Z809=6),"",CHOOSE($Z809,"1st Email Follow-up","2nd Email Follow-up","Escalate Local Office","Escalate to CBE","Escalate to Roxanne"))</f>
        <v/>
      </c>
    </row>
    <row r="810" spans="13:29">
      <c r="M810" s="14"/>
      <c r="T810" s="16"/>
      <c r="U810" s="17">
        <f>IF(AND(COUNTA($A810:$L810)=0,$N810=""),"",IF($T810="Paid","PAID",IF($T810="Closed","CLOSED",IF($Z810="","",IF($Z810=6,"ESCALATED TO ROXANNE",IF(TODAY()&gt;$AB810,"OVERDUE",IF($AB810&lt;=WORKDAY(TODAY(),1,Holidays),"DUE TOMORROW",IF($Z810=4,"ESCALATED TO LOCAL OFFICE",IF($Z810=5,"ESCALATED TO CBE",IF($AA810=TODAY(),"EMAIL SENT","MONITORING"))))))))))</f>
        <v/>
      </c>
      <c r="V810" s="17">
        <f>IF($U810="",IF(AND(COUNTA($A810:$L810)&gt;0,$N810=""),"Awaiting Collection Email time stamp.",""),IF(OR($U810="PAID",$U810="CLOSED"),IF($U810="PAID","Account paid. Action completed.","Account closed. No further action required."),CHOOSE($Z810,"Collection Email","1st Email Follow-up","2nd Email Follow-up","Escalation to Local Office","Escalation to CBE","Escalation to Roxanne")&amp;" sent "&amp;TEXT($AA810,"dd-mmm")&amp;". "&amp;IF($Z810=6,"Final escalation completed.",IF($U810="OVERDUE","Next: "&amp;$AC810&amp;" was due "&amp;TEXT($AB810,"dd-mmm")&amp;" - "&amp;(NETWORKDAYS($AB810,TODAY(),Holidays)-1)&amp;" business day(s) late. Send now.",IF($U810="DUE TOMORROW","Next: "&amp;$AC810&amp;IF($AB810&lt;=TODAY()," is due TODAY ("," is due next business day (")&amp;TEXT($AB810,"dd-mmm")&amp;").","Next: "&amp;$AC810&amp;" due "&amp;TEXT($AB810,"dd-mmm")&amp;" ("&amp;(NETWORKDAYS(TODAY(),$AB810,Holidays)-1)&amp;" business day(s) left).")))))</f>
        <v/>
      </c>
      <c r="W810" s="17">
        <f>IF($Z810="","",CHOOSE($Z810,"Collection Email","1st Follow-up","2nd Follow-up","Local Office","CBE","Roxanne")&amp;IF($Z810=6," - Final"," - Day "&amp;MAX(0,NETWORKDAYS($AA810,TODAY(),Holidays)-1)&amp;" of "&amp;CHOOSE($Z810,3,3,2,2,3))&amp;" | Total Day "&amp;MAX(0,NETWORKDAYS($N810,TODAY(),Holidays)-1))</f>
        <v/>
      </c>
      <c r="X810" s="18"/>
      <c r="Y810" s="18"/>
      <c r="Z810" s="17">
        <f>IF($N810="","",COUNT($N810:$S810))</f>
        <v/>
      </c>
      <c r="AA810" s="19">
        <f>IF($Z810="","",INT(INDEX($N810:$S810,$Z810)))</f>
        <v/>
      </c>
      <c r="AB810" s="19">
        <f>IF(OR($Z810="",$Z810=6),"",WORKDAY($AA810,CHOOSE($Z810,3,3,2,2,3),Holidays))</f>
        <v/>
      </c>
      <c r="AC810" s="17">
        <f>IF(OR($Z810="",$Z810=6),"",CHOOSE($Z810,"1st Email Follow-up","2nd Email Follow-up","Escalate Local Office","Escalate to CBE","Escalate to Roxanne"))</f>
        <v/>
      </c>
    </row>
    <row r="811" spans="13:29">
      <c r="M811" s="14"/>
      <c r="T811" s="16"/>
      <c r="U811" s="17">
        <f>IF(AND(COUNTA($A811:$L811)=0,$N811=""),"",IF($T811="Paid","PAID",IF($T811="Closed","CLOSED",IF($Z811="","",IF($Z811=6,"ESCALATED TO ROXANNE",IF(TODAY()&gt;$AB811,"OVERDUE",IF($AB811&lt;=WORKDAY(TODAY(),1,Holidays),"DUE TOMORROW",IF($Z811=4,"ESCALATED TO LOCAL OFFICE",IF($Z811=5,"ESCALATED TO CBE",IF($AA811=TODAY(),"EMAIL SENT","MONITORING"))))))))))</f>
        <v/>
      </c>
      <c r="V811" s="17">
        <f>IF($U811="",IF(AND(COUNTA($A811:$L811)&gt;0,$N811=""),"Awaiting Collection Email time stamp.",""),IF(OR($U811="PAID",$U811="CLOSED"),IF($U811="PAID","Account paid. Action completed.","Account closed. No further action required."),CHOOSE($Z811,"Collection Email","1st Email Follow-up","2nd Email Follow-up","Escalation to Local Office","Escalation to CBE","Escalation to Roxanne")&amp;" sent "&amp;TEXT($AA811,"dd-mmm")&amp;". "&amp;IF($Z811=6,"Final escalation completed.",IF($U811="OVERDUE","Next: "&amp;$AC811&amp;" was due "&amp;TEXT($AB811,"dd-mmm")&amp;" - "&amp;(NETWORKDAYS($AB811,TODAY(),Holidays)-1)&amp;" business day(s) late. Send now.",IF($U811="DUE TOMORROW","Next: "&amp;$AC811&amp;IF($AB811&lt;=TODAY()," is due TODAY ("," is due next business day (")&amp;TEXT($AB811,"dd-mmm")&amp;").","Next: "&amp;$AC811&amp;" due "&amp;TEXT($AB811,"dd-mmm")&amp;" ("&amp;(NETWORKDAYS(TODAY(),$AB811,Holidays)-1)&amp;" business day(s) left).")))))</f>
        <v/>
      </c>
      <c r="W811" s="17">
        <f>IF($Z811="","",CHOOSE($Z811,"Collection Email","1st Follow-up","2nd Follow-up","Local Office","CBE","Roxanne")&amp;IF($Z811=6," - Final"," - Day "&amp;MAX(0,NETWORKDAYS($AA811,TODAY(),Holidays)-1)&amp;" of "&amp;CHOOSE($Z811,3,3,2,2,3))&amp;" | Total Day "&amp;MAX(0,NETWORKDAYS($N811,TODAY(),Holidays)-1))</f>
        <v/>
      </c>
      <c r="X811" s="18"/>
      <c r="Y811" s="18"/>
      <c r="Z811" s="17">
        <f>IF($N811="","",COUNT($N811:$S811))</f>
        <v/>
      </c>
      <c r="AA811" s="19">
        <f>IF($Z811="","",INT(INDEX($N811:$S811,$Z811)))</f>
        <v/>
      </c>
      <c r="AB811" s="19">
        <f>IF(OR($Z811="",$Z811=6),"",WORKDAY($AA811,CHOOSE($Z811,3,3,2,2,3),Holidays))</f>
        <v/>
      </c>
      <c r="AC811" s="17">
        <f>IF(OR($Z811="",$Z811=6),"",CHOOSE($Z811,"1st Email Follow-up","2nd Email Follow-up","Escalate Local Office","Escalate to CBE","Escalate to Roxanne"))</f>
        <v/>
      </c>
    </row>
    <row r="812" spans="13:29">
      <c r="M812" s="14"/>
      <c r="T812" s="16"/>
      <c r="U812" s="17">
        <f>IF(AND(COUNTA($A812:$L812)=0,$N812=""),"",IF($T812="Paid","PAID",IF($T812="Closed","CLOSED",IF($Z812="","",IF($Z812=6,"ESCALATED TO ROXANNE",IF(TODAY()&gt;$AB812,"OVERDUE",IF($AB812&lt;=WORKDAY(TODAY(),1,Holidays),"DUE TOMORROW",IF($Z812=4,"ESCALATED TO LOCAL OFFICE",IF($Z812=5,"ESCALATED TO CBE",IF($AA812=TODAY(),"EMAIL SENT","MONITORING"))))))))))</f>
        <v/>
      </c>
      <c r="V812" s="17">
        <f>IF($U812="",IF(AND(COUNTA($A812:$L812)&gt;0,$N812=""),"Awaiting Collection Email time stamp.",""),IF(OR($U812="PAID",$U812="CLOSED"),IF($U812="PAID","Account paid. Action completed.","Account closed. No further action required."),CHOOSE($Z812,"Collection Email","1st Email Follow-up","2nd Email Follow-up","Escalation to Local Office","Escalation to CBE","Escalation to Roxanne")&amp;" sent "&amp;TEXT($AA812,"dd-mmm")&amp;". "&amp;IF($Z812=6,"Final escalation completed.",IF($U812="OVERDUE","Next: "&amp;$AC812&amp;" was due "&amp;TEXT($AB812,"dd-mmm")&amp;" - "&amp;(NETWORKDAYS($AB812,TODAY(),Holidays)-1)&amp;" business day(s) late. Send now.",IF($U812="DUE TOMORROW","Next: "&amp;$AC812&amp;IF($AB812&lt;=TODAY()," is due TODAY ("," is due next business day (")&amp;TEXT($AB812,"dd-mmm")&amp;").","Next: "&amp;$AC812&amp;" due "&amp;TEXT($AB812,"dd-mmm")&amp;" ("&amp;(NETWORKDAYS(TODAY(),$AB812,Holidays)-1)&amp;" business day(s) left).")))))</f>
        <v/>
      </c>
      <c r="W812" s="17">
        <f>IF($Z812="","",CHOOSE($Z812,"Collection Email","1st Follow-up","2nd Follow-up","Local Office","CBE","Roxanne")&amp;IF($Z812=6," - Final"," - Day "&amp;MAX(0,NETWORKDAYS($AA812,TODAY(),Holidays)-1)&amp;" of "&amp;CHOOSE($Z812,3,3,2,2,3))&amp;" | Total Day "&amp;MAX(0,NETWORKDAYS($N812,TODAY(),Holidays)-1))</f>
        <v/>
      </c>
      <c r="X812" s="18"/>
      <c r="Y812" s="18"/>
      <c r="Z812" s="17">
        <f>IF($N812="","",COUNT($N812:$S812))</f>
        <v/>
      </c>
      <c r="AA812" s="19">
        <f>IF($Z812="","",INT(INDEX($N812:$S812,$Z812)))</f>
        <v/>
      </c>
      <c r="AB812" s="19">
        <f>IF(OR($Z812="",$Z812=6),"",WORKDAY($AA812,CHOOSE($Z812,3,3,2,2,3),Holidays))</f>
        <v/>
      </c>
      <c r="AC812" s="17">
        <f>IF(OR($Z812="",$Z812=6),"",CHOOSE($Z812,"1st Email Follow-up","2nd Email Follow-up","Escalate Local Office","Escalate to CBE","Escalate to Roxanne"))</f>
        <v/>
      </c>
    </row>
    <row r="813" spans="13:29">
      <c r="M813" s="14"/>
      <c r="T813" s="16"/>
      <c r="U813" s="17">
        <f>IF(AND(COUNTA($A813:$L813)=0,$N813=""),"",IF($T813="Paid","PAID",IF($T813="Closed","CLOSED",IF($Z813="","",IF($Z813=6,"ESCALATED TO ROXANNE",IF(TODAY()&gt;$AB813,"OVERDUE",IF($AB813&lt;=WORKDAY(TODAY(),1,Holidays),"DUE TOMORROW",IF($Z813=4,"ESCALATED TO LOCAL OFFICE",IF($Z813=5,"ESCALATED TO CBE",IF($AA813=TODAY(),"EMAIL SENT","MONITORING"))))))))))</f>
        <v/>
      </c>
      <c r="V813" s="17">
        <f>IF($U813="",IF(AND(COUNTA($A813:$L813)&gt;0,$N813=""),"Awaiting Collection Email time stamp.",""),IF(OR($U813="PAID",$U813="CLOSED"),IF($U813="PAID","Account paid. Action completed.","Account closed. No further action required."),CHOOSE($Z813,"Collection Email","1st Email Follow-up","2nd Email Follow-up","Escalation to Local Office","Escalation to CBE","Escalation to Roxanne")&amp;" sent "&amp;TEXT($AA813,"dd-mmm")&amp;". "&amp;IF($Z813=6,"Final escalation completed.",IF($U813="OVERDUE","Next: "&amp;$AC813&amp;" was due "&amp;TEXT($AB813,"dd-mmm")&amp;" - "&amp;(NETWORKDAYS($AB813,TODAY(),Holidays)-1)&amp;" business day(s) late. Send now.",IF($U813="DUE TOMORROW","Next: "&amp;$AC813&amp;IF($AB813&lt;=TODAY()," is due TODAY ("," is due next business day (")&amp;TEXT($AB813,"dd-mmm")&amp;").","Next: "&amp;$AC813&amp;" due "&amp;TEXT($AB813,"dd-mmm")&amp;" ("&amp;(NETWORKDAYS(TODAY(),$AB813,Holidays)-1)&amp;" business day(s) left).")))))</f>
        <v/>
      </c>
      <c r="W813" s="17">
        <f>IF($Z813="","",CHOOSE($Z813,"Collection Email","1st Follow-up","2nd Follow-up","Local Office","CBE","Roxanne")&amp;IF($Z813=6," - Final"," - Day "&amp;MAX(0,NETWORKDAYS($AA813,TODAY(),Holidays)-1)&amp;" of "&amp;CHOOSE($Z813,3,3,2,2,3))&amp;" | Total Day "&amp;MAX(0,NETWORKDAYS($N813,TODAY(),Holidays)-1))</f>
        <v/>
      </c>
      <c r="X813" s="18"/>
      <c r="Y813" s="18"/>
      <c r="Z813" s="17">
        <f>IF($N813="","",COUNT($N813:$S813))</f>
        <v/>
      </c>
      <c r="AA813" s="19">
        <f>IF($Z813="","",INT(INDEX($N813:$S813,$Z813)))</f>
        <v/>
      </c>
      <c r="AB813" s="19">
        <f>IF(OR($Z813="",$Z813=6),"",WORKDAY($AA813,CHOOSE($Z813,3,3,2,2,3),Holidays))</f>
        <v/>
      </c>
      <c r="AC813" s="17">
        <f>IF(OR($Z813="",$Z813=6),"",CHOOSE($Z813,"1st Email Follow-up","2nd Email Follow-up","Escalate Local Office","Escalate to CBE","Escalate to Roxanne"))</f>
        <v/>
      </c>
    </row>
    <row r="814" spans="13:29">
      <c r="M814" s="14"/>
      <c r="T814" s="16"/>
      <c r="U814" s="17">
        <f>IF(AND(COUNTA($A814:$L814)=0,$N814=""),"",IF($T814="Paid","PAID",IF($T814="Closed","CLOSED",IF($Z814="","",IF($Z814=6,"ESCALATED TO ROXANNE",IF(TODAY()&gt;$AB814,"OVERDUE",IF($AB814&lt;=WORKDAY(TODAY(),1,Holidays),"DUE TOMORROW",IF($Z814=4,"ESCALATED TO LOCAL OFFICE",IF($Z814=5,"ESCALATED TO CBE",IF($AA814=TODAY(),"EMAIL SENT","MONITORING"))))))))))</f>
        <v/>
      </c>
      <c r="V814" s="17">
        <f>IF($U814="",IF(AND(COUNTA($A814:$L814)&gt;0,$N814=""),"Awaiting Collection Email time stamp.",""),IF(OR($U814="PAID",$U814="CLOSED"),IF($U814="PAID","Account paid. Action completed.","Account closed. No further action required."),CHOOSE($Z814,"Collection Email","1st Email Follow-up","2nd Email Follow-up","Escalation to Local Office","Escalation to CBE","Escalation to Roxanne")&amp;" sent "&amp;TEXT($AA814,"dd-mmm")&amp;". "&amp;IF($Z814=6,"Final escalation completed.",IF($U814="OVERDUE","Next: "&amp;$AC814&amp;" was due "&amp;TEXT($AB814,"dd-mmm")&amp;" - "&amp;(NETWORKDAYS($AB814,TODAY(),Holidays)-1)&amp;" business day(s) late. Send now.",IF($U814="DUE TOMORROW","Next: "&amp;$AC814&amp;IF($AB814&lt;=TODAY()," is due TODAY ("," is due next business day (")&amp;TEXT($AB814,"dd-mmm")&amp;").","Next: "&amp;$AC814&amp;" due "&amp;TEXT($AB814,"dd-mmm")&amp;" ("&amp;(NETWORKDAYS(TODAY(),$AB814,Holidays)-1)&amp;" business day(s) left).")))))</f>
        <v/>
      </c>
      <c r="W814" s="17">
        <f>IF($Z814="","",CHOOSE($Z814,"Collection Email","1st Follow-up","2nd Follow-up","Local Office","CBE","Roxanne")&amp;IF($Z814=6," - Final"," - Day "&amp;MAX(0,NETWORKDAYS($AA814,TODAY(),Holidays)-1)&amp;" of "&amp;CHOOSE($Z814,3,3,2,2,3))&amp;" | Total Day "&amp;MAX(0,NETWORKDAYS($N814,TODAY(),Holidays)-1))</f>
        <v/>
      </c>
      <c r="X814" s="18"/>
      <c r="Y814" s="18"/>
      <c r="Z814" s="17">
        <f>IF($N814="","",COUNT($N814:$S814))</f>
        <v/>
      </c>
      <c r="AA814" s="19">
        <f>IF($Z814="","",INT(INDEX($N814:$S814,$Z814)))</f>
        <v/>
      </c>
      <c r="AB814" s="19">
        <f>IF(OR($Z814="",$Z814=6),"",WORKDAY($AA814,CHOOSE($Z814,3,3,2,2,3),Holidays))</f>
        <v/>
      </c>
      <c r="AC814" s="17">
        <f>IF(OR($Z814="",$Z814=6),"",CHOOSE($Z814,"1st Email Follow-up","2nd Email Follow-up","Escalate Local Office","Escalate to CBE","Escalate to Roxanne"))</f>
        <v/>
      </c>
    </row>
    <row r="815" spans="13:29">
      <c r="M815" s="14"/>
      <c r="T815" s="16"/>
      <c r="U815" s="17">
        <f>IF(AND(COUNTA($A815:$L815)=0,$N815=""),"",IF($T815="Paid","PAID",IF($T815="Closed","CLOSED",IF($Z815="","",IF($Z815=6,"ESCALATED TO ROXANNE",IF(TODAY()&gt;$AB815,"OVERDUE",IF($AB815&lt;=WORKDAY(TODAY(),1,Holidays),"DUE TOMORROW",IF($Z815=4,"ESCALATED TO LOCAL OFFICE",IF($Z815=5,"ESCALATED TO CBE",IF($AA815=TODAY(),"EMAIL SENT","MONITORING"))))))))))</f>
        <v/>
      </c>
      <c r="V815" s="17">
        <f>IF($U815="",IF(AND(COUNTA($A815:$L815)&gt;0,$N815=""),"Awaiting Collection Email time stamp.",""),IF(OR($U815="PAID",$U815="CLOSED"),IF($U815="PAID","Account paid. Action completed.","Account closed. No further action required."),CHOOSE($Z815,"Collection Email","1st Email Follow-up","2nd Email Follow-up","Escalation to Local Office","Escalation to CBE","Escalation to Roxanne")&amp;" sent "&amp;TEXT($AA815,"dd-mmm")&amp;". "&amp;IF($Z815=6,"Final escalation completed.",IF($U815="OVERDUE","Next: "&amp;$AC815&amp;" was due "&amp;TEXT($AB815,"dd-mmm")&amp;" - "&amp;(NETWORKDAYS($AB815,TODAY(),Holidays)-1)&amp;" business day(s) late. Send now.",IF($U815="DUE TOMORROW","Next: "&amp;$AC815&amp;IF($AB815&lt;=TODAY()," is due TODAY ("," is due next business day (")&amp;TEXT($AB815,"dd-mmm")&amp;").","Next: "&amp;$AC815&amp;" due "&amp;TEXT($AB815,"dd-mmm")&amp;" ("&amp;(NETWORKDAYS(TODAY(),$AB815,Holidays)-1)&amp;" business day(s) left).")))))</f>
        <v/>
      </c>
      <c r="W815" s="17">
        <f>IF($Z815="","",CHOOSE($Z815,"Collection Email","1st Follow-up","2nd Follow-up","Local Office","CBE","Roxanne")&amp;IF($Z815=6," - Final"," - Day "&amp;MAX(0,NETWORKDAYS($AA815,TODAY(),Holidays)-1)&amp;" of "&amp;CHOOSE($Z815,3,3,2,2,3))&amp;" | Total Day "&amp;MAX(0,NETWORKDAYS($N815,TODAY(),Holidays)-1))</f>
        <v/>
      </c>
      <c r="X815" s="18"/>
      <c r="Y815" s="18"/>
      <c r="Z815" s="17">
        <f>IF($N815="","",COUNT($N815:$S815))</f>
        <v/>
      </c>
      <c r="AA815" s="19">
        <f>IF($Z815="","",INT(INDEX($N815:$S815,$Z815)))</f>
        <v/>
      </c>
      <c r="AB815" s="19">
        <f>IF(OR($Z815="",$Z815=6),"",WORKDAY($AA815,CHOOSE($Z815,3,3,2,2,3),Holidays))</f>
        <v/>
      </c>
      <c r="AC815" s="17">
        <f>IF(OR($Z815="",$Z815=6),"",CHOOSE($Z815,"1st Email Follow-up","2nd Email Follow-up","Escalate Local Office","Escalate to CBE","Escalate to Roxanne"))</f>
        <v/>
      </c>
    </row>
    <row r="816" spans="13:29">
      <c r="M816" s="14"/>
      <c r="T816" s="16"/>
      <c r="U816" s="17">
        <f>IF(AND(COUNTA($A816:$L816)=0,$N816=""),"",IF($T816="Paid","PAID",IF($T816="Closed","CLOSED",IF($Z816="","",IF($Z816=6,"ESCALATED TO ROXANNE",IF(TODAY()&gt;$AB816,"OVERDUE",IF($AB816&lt;=WORKDAY(TODAY(),1,Holidays),"DUE TOMORROW",IF($Z816=4,"ESCALATED TO LOCAL OFFICE",IF($Z816=5,"ESCALATED TO CBE",IF($AA816=TODAY(),"EMAIL SENT","MONITORING"))))))))))</f>
        <v/>
      </c>
      <c r="V816" s="17">
        <f>IF($U816="",IF(AND(COUNTA($A816:$L816)&gt;0,$N816=""),"Awaiting Collection Email time stamp.",""),IF(OR($U816="PAID",$U816="CLOSED"),IF($U816="PAID","Account paid. Action completed.","Account closed. No further action required."),CHOOSE($Z816,"Collection Email","1st Email Follow-up","2nd Email Follow-up","Escalation to Local Office","Escalation to CBE","Escalation to Roxanne")&amp;" sent "&amp;TEXT($AA816,"dd-mmm")&amp;". "&amp;IF($Z816=6,"Final escalation completed.",IF($U816="OVERDUE","Next: "&amp;$AC816&amp;" was due "&amp;TEXT($AB816,"dd-mmm")&amp;" - "&amp;(NETWORKDAYS($AB816,TODAY(),Holidays)-1)&amp;" business day(s) late. Send now.",IF($U816="DUE TOMORROW","Next: "&amp;$AC816&amp;IF($AB816&lt;=TODAY()," is due TODAY ("," is due next business day (")&amp;TEXT($AB816,"dd-mmm")&amp;").","Next: "&amp;$AC816&amp;" due "&amp;TEXT($AB816,"dd-mmm")&amp;" ("&amp;(NETWORKDAYS(TODAY(),$AB816,Holidays)-1)&amp;" business day(s) left).")))))</f>
        <v/>
      </c>
      <c r="W816" s="17">
        <f>IF($Z816="","",CHOOSE($Z816,"Collection Email","1st Follow-up","2nd Follow-up","Local Office","CBE","Roxanne")&amp;IF($Z816=6," - Final"," - Day "&amp;MAX(0,NETWORKDAYS($AA816,TODAY(),Holidays)-1)&amp;" of "&amp;CHOOSE($Z816,3,3,2,2,3))&amp;" | Total Day "&amp;MAX(0,NETWORKDAYS($N816,TODAY(),Holidays)-1))</f>
        <v/>
      </c>
      <c r="X816" s="18"/>
      <c r="Y816" s="18"/>
      <c r="Z816" s="17">
        <f>IF($N816="","",COUNT($N816:$S816))</f>
        <v/>
      </c>
      <c r="AA816" s="19">
        <f>IF($Z816="","",INT(INDEX($N816:$S816,$Z816)))</f>
        <v/>
      </c>
      <c r="AB816" s="19">
        <f>IF(OR($Z816="",$Z816=6),"",WORKDAY($AA816,CHOOSE($Z816,3,3,2,2,3),Holidays))</f>
        <v/>
      </c>
      <c r="AC816" s="17">
        <f>IF(OR($Z816="",$Z816=6),"",CHOOSE($Z816,"1st Email Follow-up","2nd Email Follow-up","Escalate Local Office","Escalate to CBE","Escalate to Roxanne"))</f>
        <v/>
      </c>
    </row>
    <row r="817" spans="13:29">
      <c r="M817" s="14"/>
      <c r="T817" s="16"/>
      <c r="U817" s="17">
        <f>IF(AND(COUNTA($A817:$L817)=0,$N817=""),"",IF($T817="Paid","PAID",IF($T817="Closed","CLOSED",IF($Z817="","",IF($Z817=6,"ESCALATED TO ROXANNE",IF(TODAY()&gt;$AB817,"OVERDUE",IF($AB817&lt;=WORKDAY(TODAY(),1,Holidays),"DUE TOMORROW",IF($Z817=4,"ESCALATED TO LOCAL OFFICE",IF($Z817=5,"ESCALATED TO CBE",IF($AA817=TODAY(),"EMAIL SENT","MONITORING"))))))))))</f>
        <v/>
      </c>
      <c r="V817" s="17">
        <f>IF($U817="",IF(AND(COUNTA($A817:$L817)&gt;0,$N817=""),"Awaiting Collection Email time stamp.",""),IF(OR($U817="PAID",$U817="CLOSED"),IF($U817="PAID","Account paid. Action completed.","Account closed. No further action required."),CHOOSE($Z817,"Collection Email","1st Email Follow-up","2nd Email Follow-up","Escalation to Local Office","Escalation to CBE","Escalation to Roxanne")&amp;" sent "&amp;TEXT($AA817,"dd-mmm")&amp;". "&amp;IF($Z817=6,"Final escalation completed.",IF($U817="OVERDUE","Next: "&amp;$AC817&amp;" was due "&amp;TEXT($AB817,"dd-mmm")&amp;" - "&amp;(NETWORKDAYS($AB817,TODAY(),Holidays)-1)&amp;" business day(s) late. Send now.",IF($U817="DUE TOMORROW","Next: "&amp;$AC817&amp;IF($AB817&lt;=TODAY()," is due TODAY ("," is due next business day (")&amp;TEXT($AB817,"dd-mmm")&amp;").","Next: "&amp;$AC817&amp;" due "&amp;TEXT($AB817,"dd-mmm")&amp;" ("&amp;(NETWORKDAYS(TODAY(),$AB817,Holidays)-1)&amp;" business day(s) left).")))))</f>
        <v/>
      </c>
      <c r="W817" s="17">
        <f>IF($Z817="","",CHOOSE($Z817,"Collection Email","1st Follow-up","2nd Follow-up","Local Office","CBE","Roxanne")&amp;IF($Z817=6," - Final"," - Day "&amp;MAX(0,NETWORKDAYS($AA817,TODAY(),Holidays)-1)&amp;" of "&amp;CHOOSE($Z817,3,3,2,2,3))&amp;" | Total Day "&amp;MAX(0,NETWORKDAYS($N817,TODAY(),Holidays)-1))</f>
        <v/>
      </c>
      <c r="X817" s="18"/>
      <c r="Y817" s="18"/>
      <c r="Z817" s="17">
        <f>IF($N817="","",COUNT($N817:$S817))</f>
        <v/>
      </c>
      <c r="AA817" s="19">
        <f>IF($Z817="","",INT(INDEX($N817:$S817,$Z817)))</f>
        <v/>
      </c>
      <c r="AB817" s="19">
        <f>IF(OR($Z817="",$Z817=6),"",WORKDAY($AA817,CHOOSE($Z817,3,3,2,2,3),Holidays))</f>
        <v/>
      </c>
      <c r="AC817" s="17">
        <f>IF(OR($Z817="",$Z817=6),"",CHOOSE($Z817,"1st Email Follow-up","2nd Email Follow-up","Escalate Local Office","Escalate to CBE","Escalate to Roxanne"))</f>
        <v/>
      </c>
    </row>
    <row r="818" spans="13:29">
      <c r="M818" s="14"/>
      <c r="T818" s="16"/>
      <c r="U818" s="17">
        <f>IF(AND(COUNTA($A818:$L818)=0,$N818=""),"",IF($T818="Paid","PAID",IF($T818="Closed","CLOSED",IF($Z818="","",IF($Z818=6,"ESCALATED TO ROXANNE",IF(TODAY()&gt;$AB818,"OVERDUE",IF($AB818&lt;=WORKDAY(TODAY(),1,Holidays),"DUE TOMORROW",IF($Z818=4,"ESCALATED TO LOCAL OFFICE",IF($Z818=5,"ESCALATED TO CBE",IF($AA818=TODAY(),"EMAIL SENT","MONITORING"))))))))))</f>
        <v/>
      </c>
      <c r="V818" s="17">
        <f>IF($U818="",IF(AND(COUNTA($A818:$L818)&gt;0,$N818=""),"Awaiting Collection Email time stamp.",""),IF(OR($U818="PAID",$U818="CLOSED"),IF($U818="PAID","Account paid. Action completed.","Account closed. No further action required."),CHOOSE($Z818,"Collection Email","1st Email Follow-up","2nd Email Follow-up","Escalation to Local Office","Escalation to CBE","Escalation to Roxanne")&amp;" sent "&amp;TEXT($AA818,"dd-mmm")&amp;". "&amp;IF($Z818=6,"Final escalation completed.",IF($U818="OVERDUE","Next: "&amp;$AC818&amp;" was due "&amp;TEXT($AB818,"dd-mmm")&amp;" - "&amp;(NETWORKDAYS($AB818,TODAY(),Holidays)-1)&amp;" business day(s) late. Send now.",IF($U818="DUE TOMORROW","Next: "&amp;$AC818&amp;IF($AB818&lt;=TODAY()," is due TODAY ("," is due next business day (")&amp;TEXT($AB818,"dd-mmm")&amp;").","Next: "&amp;$AC818&amp;" due "&amp;TEXT($AB818,"dd-mmm")&amp;" ("&amp;(NETWORKDAYS(TODAY(),$AB818,Holidays)-1)&amp;" business day(s) left).")))))</f>
        <v/>
      </c>
      <c r="W818" s="17">
        <f>IF($Z818="","",CHOOSE($Z818,"Collection Email","1st Follow-up","2nd Follow-up","Local Office","CBE","Roxanne")&amp;IF($Z818=6," - Final"," - Day "&amp;MAX(0,NETWORKDAYS($AA818,TODAY(),Holidays)-1)&amp;" of "&amp;CHOOSE($Z818,3,3,2,2,3))&amp;" | Total Day "&amp;MAX(0,NETWORKDAYS($N818,TODAY(),Holidays)-1))</f>
        <v/>
      </c>
      <c r="X818" s="18"/>
      <c r="Y818" s="18"/>
      <c r="Z818" s="17">
        <f>IF($N818="","",COUNT($N818:$S818))</f>
        <v/>
      </c>
      <c r="AA818" s="19">
        <f>IF($Z818="","",INT(INDEX($N818:$S818,$Z818)))</f>
        <v/>
      </c>
      <c r="AB818" s="19">
        <f>IF(OR($Z818="",$Z818=6),"",WORKDAY($AA818,CHOOSE($Z818,3,3,2,2,3),Holidays))</f>
        <v/>
      </c>
      <c r="AC818" s="17">
        <f>IF(OR($Z818="",$Z818=6),"",CHOOSE($Z818,"1st Email Follow-up","2nd Email Follow-up","Escalate Local Office","Escalate to CBE","Escalate to Roxanne"))</f>
        <v/>
      </c>
    </row>
    <row r="819" spans="13:29">
      <c r="M819" s="14"/>
      <c r="T819" s="16"/>
      <c r="U819" s="17">
        <f>IF(AND(COUNTA($A819:$L819)=0,$N819=""),"",IF($T819="Paid","PAID",IF($T819="Closed","CLOSED",IF($Z819="","",IF($Z819=6,"ESCALATED TO ROXANNE",IF(TODAY()&gt;$AB819,"OVERDUE",IF($AB819&lt;=WORKDAY(TODAY(),1,Holidays),"DUE TOMORROW",IF($Z819=4,"ESCALATED TO LOCAL OFFICE",IF($Z819=5,"ESCALATED TO CBE",IF($AA819=TODAY(),"EMAIL SENT","MONITORING"))))))))))</f>
        <v/>
      </c>
      <c r="V819" s="17">
        <f>IF($U819="",IF(AND(COUNTA($A819:$L819)&gt;0,$N819=""),"Awaiting Collection Email time stamp.",""),IF(OR($U819="PAID",$U819="CLOSED"),IF($U819="PAID","Account paid. Action completed.","Account closed. No further action required."),CHOOSE($Z819,"Collection Email","1st Email Follow-up","2nd Email Follow-up","Escalation to Local Office","Escalation to CBE","Escalation to Roxanne")&amp;" sent "&amp;TEXT($AA819,"dd-mmm")&amp;". "&amp;IF($Z819=6,"Final escalation completed.",IF($U819="OVERDUE","Next: "&amp;$AC819&amp;" was due "&amp;TEXT($AB819,"dd-mmm")&amp;" - "&amp;(NETWORKDAYS($AB819,TODAY(),Holidays)-1)&amp;" business day(s) late. Send now.",IF($U819="DUE TOMORROW","Next: "&amp;$AC819&amp;IF($AB819&lt;=TODAY()," is due TODAY ("," is due next business day (")&amp;TEXT($AB819,"dd-mmm")&amp;").","Next: "&amp;$AC819&amp;" due "&amp;TEXT($AB819,"dd-mmm")&amp;" ("&amp;(NETWORKDAYS(TODAY(),$AB819,Holidays)-1)&amp;" business day(s) left).")))))</f>
        <v/>
      </c>
      <c r="W819" s="17">
        <f>IF($Z819="","",CHOOSE($Z819,"Collection Email","1st Follow-up","2nd Follow-up","Local Office","CBE","Roxanne")&amp;IF($Z819=6," - Final"," - Day "&amp;MAX(0,NETWORKDAYS($AA819,TODAY(),Holidays)-1)&amp;" of "&amp;CHOOSE($Z819,3,3,2,2,3))&amp;" | Total Day "&amp;MAX(0,NETWORKDAYS($N819,TODAY(),Holidays)-1))</f>
        <v/>
      </c>
      <c r="X819" s="18"/>
      <c r="Y819" s="18"/>
      <c r="Z819" s="17">
        <f>IF($N819="","",COUNT($N819:$S819))</f>
        <v/>
      </c>
      <c r="AA819" s="19">
        <f>IF($Z819="","",INT(INDEX($N819:$S819,$Z819)))</f>
        <v/>
      </c>
      <c r="AB819" s="19">
        <f>IF(OR($Z819="",$Z819=6),"",WORKDAY($AA819,CHOOSE($Z819,3,3,2,2,3),Holidays))</f>
        <v/>
      </c>
      <c r="AC819" s="17">
        <f>IF(OR($Z819="",$Z819=6),"",CHOOSE($Z819,"1st Email Follow-up","2nd Email Follow-up","Escalate Local Office","Escalate to CBE","Escalate to Roxanne"))</f>
        <v/>
      </c>
    </row>
    <row r="820" spans="13:29">
      <c r="M820" s="14"/>
      <c r="T820" s="16"/>
      <c r="U820" s="17">
        <f>IF(AND(COUNTA($A820:$L820)=0,$N820=""),"",IF($T820="Paid","PAID",IF($T820="Closed","CLOSED",IF($Z820="","",IF($Z820=6,"ESCALATED TO ROXANNE",IF(TODAY()&gt;$AB820,"OVERDUE",IF($AB820&lt;=WORKDAY(TODAY(),1,Holidays),"DUE TOMORROW",IF($Z820=4,"ESCALATED TO LOCAL OFFICE",IF($Z820=5,"ESCALATED TO CBE",IF($AA820=TODAY(),"EMAIL SENT","MONITORING"))))))))))</f>
        <v/>
      </c>
      <c r="V820" s="17">
        <f>IF($U820="",IF(AND(COUNTA($A820:$L820)&gt;0,$N820=""),"Awaiting Collection Email time stamp.",""),IF(OR($U820="PAID",$U820="CLOSED"),IF($U820="PAID","Account paid. Action completed.","Account closed. No further action required."),CHOOSE($Z820,"Collection Email","1st Email Follow-up","2nd Email Follow-up","Escalation to Local Office","Escalation to CBE","Escalation to Roxanne")&amp;" sent "&amp;TEXT($AA820,"dd-mmm")&amp;". "&amp;IF($Z820=6,"Final escalation completed.",IF($U820="OVERDUE","Next: "&amp;$AC820&amp;" was due "&amp;TEXT($AB820,"dd-mmm")&amp;" - "&amp;(NETWORKDAYS($AB820,TODAY(),Holidays)-1)&amp;" business day(s) late. Send now.",IF($U820="DUE TOMORROW","Next: "&amp;$AC820&amp;IF($AB820&lt;=TODAY()," is due TODAY ("," is due next business day (")&amp;TEXT($AB820,"dd-mmm")&amp;").","Next: "&amp;$AC820&amp;" due "&amp;TEXT($AB820,"dd-mmm")&amp;" ("&amp;(NETWORKDAYS(TODAY(),$AB820,Holidays)-1)&amp;" business day(s) left).")))))</f>
        <v/>
      </c>
      <c r="W820" s="17">
        <f>IF($Z820="","",CHOOSE($Z820,"Collection Email","1st Follow-up","2nd Follow-up","Local Office","CBE","Roxanne")&amp;IF($Z820=6," - Final"," - Day "&amp;MAX(0,NETWORKDAYS($AA820,TODAY(),Holidays)-1)&amp;" of "&amp;CHOOSE($Z820,3,3,2,2,3))&amp;" | Total Day "&amp;MAX(0,NETWORKDAYS($N820,TODAY(),Holidays)-1))</f>
        <v/>
      </c>
      <c r="X820" s="18"/>
      <c r="Y820" s="18"/>
      <c r="Z820" s="17">
        <f>IF($N820="","",COUNT($N820:$S820))</f>
        <v/>
      </c>
      <c r="AA820" s="19">
        <f>IF($Z820="","",INT(INDEX($N820:$S820,$Z820)))</f>
        <v/>
      </c>
      <c r="AB820" s="19">
        <f>IF(OR($Z820="",$Z820=6),"",WORKDAY($AA820,CHOOSE($Z820,3,3,2,2,3),Holidays))</f>
        <v/>
      </c>
      <c r="AC820" s="17">
        <f>IF(OR($Z820="",$Z820=6),"",CHOOSE($Z820,"1st Email Follow-up","2nd Email Follow-up","Escalate Local Office","Escalate to CBE","Escalate to Roxanne"))</f>
        <v/>
      </c>
    </row>
    <row r="821" spans="13:29">
      <c r="M821" s="14"/>
      <c r="T821" s="16"/>
      <c r="U821" s="17">
        <f>IF(AND(COUNTA($A821:$L821)=0,$N821=""),"",IF($T821="Paid","PAID",IF($T821="Closed","CLOSED",IF($Z821="","",IF($Z821=6,"ESCALATED TO ROXANNE",IF(TODAY()&gt;$AB821,"OVERDUE",IF($AB821&lt;=WORKDAY(TODAY(),1,Holidays),"DUE TOMORROW",IF($Z821=4,"ESCALATED TO LOCAL OFFICE",IF($Z821=5,"ESCALATED TO CBE",IF($AA821=TODAY(),"EMAIL SENT","MONITORING"))))))))))</f>
        <v/>
      </c>
      <c r="V821" s="17">
        <f>IF($U821="",IF(AND(COUNTA($A821:$L821)&gt;0,$N821=""),"Awaiting Collection Email time stamp.",""),IF(OR($U821="PAID",$U821="CLOSED"),IF($U821="PAID","Account paid. Action completed.","Account closed. No further action required."),CHOOSE($Z821,"Collection Email","1st Email Follow-up","2nd Email Follow-up","Escalation to Local Office","Escalation to CBE","Escalation to Roxanne")&amp;" sent "&amp;TEXT($AA821,"dd-mmm")&amp;". "&amp;IF($Z821=6,"Final escalation completed.",IF($U821="OVERDUE","Next: "&amp;$AC821&amp;" was due "&amp;TEXT($AB821,"dd-mmm")&amp;" - "&amp;(NETWORKDAYS($AB821,TODAY(),Holidays)-1)&amp;" business day(s) late. Send now.",IF($U821="DUE TOMORROW","Next: "&amp;$AC821&amp;IF($AB821&lt;=TODAY()," is due TODAY ("," is due next business day (")&amp;TEXT($AB821,"dd-mmm")&amp;").","Next: "&amp;$AC821&amp;" due "&amp;TEXT($AB821,"dd-mmm")&amp;" ("&amp;(NETWORKDAYS(TODAY(),$AB821,Holidays)-1)&amp;" business day(s) left).")))))</f>
        <v/>
      </c>
      <c r="W821" s="17">
        <f>IF($Z821="","",CHOOSE($Z821,"Collection Email","1st Follow-up","2nd Follow-up","Local Office","CBE","Roxanne")&amp;IF($Z821=6," - Final"," - Day "&amp;MAX(0,NETWORKDAYS($AA821,TODAY(),Holidays)-1)&amp;" of "&amp;CHOOSE($Z821,3,3,2,2,3))&amp;" | Total Day "&amp;MAX(0,NETWORKDAYS($N821,TODAY(),Holidays)-1))</f>
        <v/>
      </c>
      <c r="X821" s="18"/>
      <c r="Y821" s="18"/>
      <c r="Z821" s="17">
        <f>IF($N821="","",COUNT($N821:$S821))</f>
        <v/>
      </c>
      <c r="AA821" s="19">
        <f>IF($Z821="","",INT(INDEX($N821:$S821,$Z821)))</f>
        <v/>
      </c>
      <c r="AB821" s="19">
        <f>IF(OR($Z821="",$Z821=6),"",WORKDAY($AA821,CHOOSE($Z821,3,3,2,2,3),Holidays))</f>
        <v/>
      </c>
      <c r="AC821" s="17">
        <f>IF(OR($Z821="",$Z821=6),"",CHOOSE($Z821,"1st Email Follow-up","2nd Email Follow-up","Escalate Local Office","Escalate to CBE","Escalate to Roxanne"))</f>
        <v/>
      </c>
    </row>
    <row r="822" spans="13:29">
      <c r="M822" s="14"/>
      <c r="T822" s="16"/>
      <c r="U822" s="17">
        <f>IF(AND(COUNTA($A822:$L822)=0,$N822=""),"",IF($T822="Paid","PAID",IF($T822="Closed","CLOSED",IF($Z822="","",IF($Z822=6,"ESCALATED TO ROXANNE",IF(TODAY()&gt;$AB822,"OVERDUE",IF($AB822&lt;=WORKDAY(TODAY(),1,Holidays),"DUE TOMORROW",IF($Z822=4,"ESCALATED TO LOCAL OFFICE",IF($Z822=5,"ESCALATED TO CBE",IF($AA822=TODAY(),"EMAIL SENT","MONITORING"))))))))))</f>
        <v/>
      </c>
      <c r="V822" s="17">
        <f>IF($U822="",IF(AND(COUNTA($A822:$L822)&gt;0,$N822=""),"Awaiting Collection Email time stamp.",""),IF(OR($U822="PAID",$U822="CLOSED"),IF($U822="PAID","Account paid. Action completed.","Account closed. No further action required."),CHOOSE($Z822,"Collection Email","1st Email Follow-up","2nd Email Follow-up","Escalation to Local Office","Escalation to CBE","Escalation to Roxanne")&amp;" sent "&amp;TEXT($AA822,"dd-mmm")&amp;". "&amp;IF($Z822=6,"Final escalation completed.",IF($U822="OVERDUE","Next: "&amp;$AC822&amp;" was due "&amp;TEXT($AB822,"dd-mmm")&amp;" - "&amp;(NETWORKDAYS($AB822,TODAY(),Holidays)-1)&amp;" business day(s) late. Send now.",IF($U822="DUE TOMORROW","Next: "&amp;$AC822&amp;IF($AB822&lt;=TODAY()," is due TODAY ("," is due next business day (")&amp;TEXT($AB822,"dd-mmm")&amp;").","Next: "&amp;$AC822&amp;" due "&amp;TEXT($AB822,"dd-mmm")&amp;" ("&amp;(NETWORKDAYS(TODAY(),$AB822,Holidays)-1)&amp;" business day(s) left).")))))</f>
        <v/>
      </c>
      <c r="W822" s="17">
        <f>IF($Z822="","",CHOOSE($Z822,"Collection Email","1st Follow-up","2nd Follow-up","Local Office","CBE","Roxanne")&amp;IF($Z822=6," - Final"," - Day "&amp;MAX(0,NETWORKDAYS($AA822,TODAY(),Holidays)-1)&amp;" of "&amp;CHOOSE($Z822,3,3,2,2,3))&amp;" | Total Day "&amp;MAX(0,NETWORKDAYS($N822,TODAY(),Holidays)-1))</f>
        <v/>
      </c>
      <c r="X822" s="18"/>
      <c r="Y822" s="18"/>
      <c r="Z822" s="17">
        <f>IF($N822="","",COUNT($N822:$S822))</f>
        <v/>
      </c>
      <c r="AA822" s="19">
        <f>IF($Z822="","",INT(INDEX($N822:$S822,$Z822)))</f>
        <v/>
      </c>
      <c r="AB822" s="19">
        <f>IF(OR($Z822="",$Z822=6),"",WORKDAY($AA822,CHOOSE($Z822,3,3,2,2,3),Holidays))</f>
        <v/>
      </c>
      <c r="AC822" s="17">
        <f>IF(OR($Z822="",$Z822=6),"",CHOOSE($Z822,"1st Email Follow-up","2nd Email Follow-up","Escalate Local Office","Escalate to CBE","Escalate to Roxanne"))</f>
        <v/>
      </c>
    </row>
    <row r="823" spans="13:29">
      <c r="M823" s="14"/>
      <c r="T823" s="16"/>
      <c r="U823" s="17">
        <f>IF(AND(COUNTA($A823:$L823)=0,$N823=""),"",IF($T823="Paid","PAID",IF($T823="Closed","CLOSED",IF($Z823="","",IF($Z823=6,"ESCALATED TO ROXANNE",IF(TODAY()&gt;$AB823,"OVERDUE",IF($AB823&lt;=WORKDAY(TODAY(),1,Holidays),"DUE TOMORROW",IF($Z823=4,"ESCALATED TO LOCAL OFFICE",IF($Z823=5,"ESCALATED TO CBE",IF($AA823=TODAY(),"EMAIL SENT","MONITORING"))))))))))</f>
        <v/>
      </c>
      <c r="V823" s="17">
        <f>IF($U823="",IF(AND(COUNTA($A823:$L823)&gt;0,$N823=""),"Awaiting Collection Email time stamp.",""),IF(OR($U823="PAID",$U823="CLOSED"),IF($U823="PAID","Account paid. Action completed.","Account closed. No further action required."),CHOOSE($Z823,"Collection Email","1st Email Follow-up","2nd Email Follow-up","Escalation to Local Office","Escalation to CBE","Escalation to Roxanne")&amp;" sent "&amp;TEXT($AA823,"dd-mmm")&amp;". "&amp;IF($Z823=6,"Final escalation completed.",IF($U823="OVERDUE","Next: "&amp;$AC823&amp;" was due "&amp;TEXT($AB823,"dd-mmm")&amp;" - "&amp;(NETWORKDAYS($AB823,TODAY(),Holidays)-1)&amp;" business day(s) late. Send now.",IF($U823="DUE TOMORROW","Next: "&amp;$AC823&amp;IF($AB823&lt;=TODAY()," is due TODAY ("," is due next business day (")&amp;TEXT($AB823,"dd-mmm")&amp;").","Next: "&amp;$AC823&amp;" due "&amp;TEXT($AB823,"dd-mmm")&amp;" ("&amp;(NETWORKDAYS(TODAY(),$AB823,Holidays)-1)&amp;" business day(s) left).")))))</f>
        <v/>
      </c>
      <c r="W823" s="17">
        <f>IF($Z823="","",CHOOSE($Z823,"Collection Email","1st Follow-up","2nd Follow-up","Local Office","CBE","Roxanne")&amp;IF($Z823=6," - Final"," - Day "&amp;MAX(0,NETWORKDAYS($AA823,TODAY(),Holidays)-1)&amp;" of "&amp;CHOOSE($Z823,3,3,2,2,3))&amp;" | Total Day "&amp;MAX(0,NETWORKDAYS($N823,TODAY(),Holidays)-1))</f>
        <v/>
      </c>
      <c r="X823" s="18"/>
      <c r="Y823" s="18"/>
      <c r="Z823" s="17">
        <f>IF($N823="","",COUNT($N823:$S823))</f>
        <v/>
      </c>
      <c r="AA823" s="19">
        <f>IF($Z823="","",INT(INDEX($N823:$S823,$Z823)))</f>
        <v/>
      </c>
      <c r="AB823" s="19">
        <f>IF(OR($Z823="",$Z823=6),"",WORKDAY($AA823,CHOOSE($Z823,3,3,2,2,3),Holidays))</f>
        <v/>
      </c>
      <c r="AC823" s="17">
        <f>IF(OR($Z823="",$Z823=6),"",CHOOSE($Z823,"1st Email Follow-up","2nd Email Follow-up","Escalate Local Office","Escalate to CBE","Escalate to Roxanne"))</f>
        <v/>
      </c>
    </row>
    <row r="824" spans="13:29">
      <c r="M824" s="14"/>
      <c r="T824" s="16"/>
      <c r="U824" s="17">
        <f>IF(AND(COUNTA($A824:$L824)=0,$N824=""),"",IF($T824="Paid","PAID",IF($T824="Closed","CLOSED",IF($Z824="","",IF($Z824=6,"ESCALATED TO ROXANNE",IF(TODAY()&gt;$AB824,"OVERDUE",IF($AB824&lt;=WORKDAY(TODAY(),1,Holidays),"DUE TOMORROW",IF($Z824=4,"ESCALATED TO LOCAL OFFICE",IF($Z824=5,"ESCALATED TO CBE",IF($AA824=TODAY(),"EMAIL SENT","MONITORING"))))))))))</f>
        <v/>
      </c>
      <c r="V824" s="17">
        <f>IF($U824="",IF(AND(COUNTA($A824:$L824)&gt;0,$N824=""),"Awaiting Collection Email time stamp.",""),IF(OR($U824="PAID",$U824="CLOSED"),IF($U824="PAID","Account paid. Action completed.","Account closed. No further action required."),CHOOSE($Z824,"Collection Email","1st Email Follow-up","2nd Email Follow-up","Escalation to Local Office","Escalation to CBE","Escalation to Roxanne")&amp;" sent "&amp;TEXT($AA824,"dd-mmm")&amp;". "&amp;IF($Z824=6,"Final escalation completed.",IF($U824="OVERDUE","Next: "&amp;$AC824&amp;" was due "&amp;TEXT($AB824,"dd-mmm")&amp;" - "&amp;(NETWORKDAYS($AB824,TODAY(),Holidays)-1)&amp;" business day(s) late. Send now.",IF($U824="DUE TOMORROW","Next: "&amp;$AC824&amp;IF($AB824&lt;=TODAY()," is due TODAY ("," is due next business day (")&amp;TEXT($AB824,"dd-mmm")&amp;").","Next: "&amp;$AC824&amp;" due "&amp;TEXT($AB824,"dd-mmm")&amp;" ("&amp;(NETWORKDAYS(TODAY(),$AB824,Holidays)-1)&amp;" business day(s) left).")))))</f>
        <v/>
      </c>
      <c r="W824" s="17">
        <f>IF($Z824="","",CHOOSE($Z824,"Collection Email","1st Follow-up","2nd Follow-up","Local Office","CBE","Roxanne")&amp;IF($Z824=6," - Final"," - Day "&amp;MAX(0,NETWORKDAYS($AA824,TODAY(),Holidays)-1)&amp;" of "&amp;CHOOSE($Z824,3,3,2,2,3))&amp;" | Total Day "&amp;MAX(0,NETWORKDAYS($N824,TODAY(),Holidays)-1))</f>
        <v/>
      </c>
      <c r="X824" s="18"/>
      <c r="Y824" s="18"/>
      <c r="Z824" s="17">
        <f>IF($N824="","",COUNT($N824:$S824))</f>
        <v/>
      </c>
      <c r="AA824" s="19">
        <f>IF($Z824="","",INT(INDEX($N824:$S824,$Z824)))</f>
        <v/>
      </c>
      <c r="AB824" s="19">
        <f>IF(OR($Z824="",$Z824=6),"",WORKDAY($AA824,CHOOSE($Z824,3,3,2,2,3),Holidays))</f>
        <v/>
      </c>
      <c r="AC824" s="17">
        <f>IF(OR($Z824="",$Z824=6),"",CHOOSE($Z824,"1st Email Follow-up","2nd Email Follow-up","Escalate Local Office","Escalate to CBE","Escalate to Roxanne"))</f>
        <v/>
      </c>
    </row>
    <row r="825" spans="13:29">
      <c r="M825" s="14"/>
      <c r="T825" s="16"/>
      <c r="U825" s="17">
        <f>IF(AND(COUNTA($A825:$L825)=0,$N825=""),"",IF($T825="Paid","PAID",IF($T825="Closed","CLOSED",IF($Z825="","",IF($Z825=6,"ESCALATED TO ROXANNE",IF(TODAY()&gt;$AB825,"OVERDUE",IF($AB825&lt;=WORKDAY(TODAY(),1,Holidays),"DUE TOMORROW",IF($Z825=4,"ESCALATED TO LOCAL OFFICE",IF($Z825=5,"ESCALATED TO CBE",IF($AA825=TODAY(),"EMAIL SENT","MONITORING"))))))))))</f>
        <v/>
      </c>
      <c r="V825" s="17">
        <f>IF($U825="",IF(AND(COUNTA($A825:$L825)&gt;0,$N825=""),"Awaiting Collection Email time stamp.",""),IF(OR($U825="PAID",$U825="CLOSED"),IF($U825="PAID","Account paid. Action completed.","Account closed. No further action required."),CHOOSE($Z825,"Collection Email","1st Email Follow-up","2nd Email Follow-up","Escalation to Local Office","Escalation to CBE","Escalation to Roxanne")&amp;" sent "&amp;TEXT($AA825,"dd-mmm")&amp;". "&amp;IF($Z825=6,"Final escalation completed.",IF($U825="OVERDUE","Next: "&amp;$AC825&amp;" was due "&amp;TEXT($AB825,"dd-mmm")&amp;" - "&amp;(NETWORKDAYS($AB825,TODAY(),Holidays)-1)&amp;" business day(s) late. Send now.",IF($U825="DUE TOMORROW","Next: "&amp;$AC825&amp;IF($AB825&lt;=TODAY()," is due TODAY ("," is due next business day (")&amp;TEXT($AB825,"dd-mmm")&amp;").","Next: "&amp;$AC825&amp;" due "&amp;TEXT($AB825,"dd-mmm")&amp;" ("&amp;(NETWORKDAYS(TODAY(),$AB825,Holidays)-1)&amp;" business day(s) left).")))))</f>
        <v/>
      </c>
      <c r="W825" s="17">
        <f>IF($Z825="","",CHOOSE($Z825,"Collection Email","1st Follow-up","2nd Follow-up","Local Office","CBE","Roxanne")&amp;IF($Z825=6," - Final"," - Day "&amp;MAX(0,NETWORKDAYS($AA825,TODAY(),Holidays)-1)&amp;" of "&amp;CHOOSE($Z825,3,3,2,2,3))&amp;" | Total Day "&amp;MAX(0,NETWORKDAYS($N825,TODAY(),Holidays)-1))</f>
        <v/>
      </c>
      <c r="X825" s="18"/>
      <c r="Y825" s="18"/>
      <c r="Z825" s="17">
        <f>IF($N825="","",COUNT($N825:$S825))</f>
        <v/>
      </c>
      <c r="AA825" s="19">
        <f>IF($Z825="","",INT(INDEX($N825:$S825,$Z825)))</f>
        <v/>
      </c>
      <c r="AB825" s="19">
        <f>IF(OR($Z825="",$Z825=6),"",WORKDAY($AA825,CHOOSE($Z825,3,3,2,2,3),Holidays))</f>
        <v/>
      </c>
      <c r="AC825" s="17">
        <f>IF(OR($Z825="",$Z825=6),"",CHOOSE($Z825,"1st Email Follow-up","2nd Email Follow-up","Escalate Local Office","Escalate to CBE","Escalate to Roxanne"))</f>
        <v/>
      </c>
    </row>
    <row r="826" spans="13:29">
      <c r="M826" s="14"/>
      <c r="T826" s="16"/>
      <c r="U826" s="17">
        <f>IF(AND(COUNTA($A826:$L826)=0,$N826=""),"",IF($T826="Paid","PAID",IF($T826="Closed","CLOSED",IF($Z826="","",IF($Z826=6,"ESCALATED TO ROXANNE",IF(TODAY()&gt;$AB826,"OVERDUE",IF($AB826&lt;=WORKDAY(TODAY(),1,Holidays),"DUE TOMORROW",IF($Z826=4,"ESCALATED TO LOCAL OFFICE",IF($Z826=5,"ESCALATED TO CBE",IF($AA826=TODAY(),"EMAIL SENT","MONITORING"))))))))))</f>
        <v/>
      </c>
      <c r="V826" s="17">
        <f>IF($U826="",IF(AND(COUNTA($A826:$L826)&gt;0,$N826=""),"Awaiting Collection Email time stamp.",""),IF(OR($U826="PAID",$U826="CLOSED"),IF($U826="PAID","Account paid. Action completed.","Account closed. No further action required."),CHOOSE($Z826,"Collection Email","1st Email Follow-up","2nd Email Follow-up","Escalation to Local Office","Escalation to CBE","Escalation to Roxanne")&amp;" sent "&amp;TEXT($AA826,"dd-mmm")&amp;". "&amp;IF($Z826=6,"Final escalation completed.",IF($U826="OVERDUE","Next: "&amp;$AC826&amp;" was due "&amp;TEXT($AB826,"dd-mmm")&amp;" - "&amp;(NETWORKDAYS($AB826,TODAY(),Holidays)-1)&amp;" business day(s) late. Send now.",IF($U826="DUE TOMORROW","Next: "&amp;$AC826&amp;IF($AB826&lt;=TODAY()," is due TODAY ("," is due next business day (")&amp;TEXT($AB826,"dd-mmm")&amp;").","Next: "&amp;$AC826&amp;" due "&amp;TEXT($AB826,"dd-mmm")&amp;" ("&amp;(NETWORKDAYS(TODAY(),$AB826,Holidays)-1)&amp;" business day(s) left).")))))</f>
        <v/>
      </c>
      <c r="W826" s="17">
        <f>IF($Z826="","",CHOOSE($Z826,"Collection Email","1st Follow-up","2nd Follow-up","Local Office","CBE","Roxanne")&amp;IF($Z826=6," - Final"," - Day "&amp;MAX(0,NETWORKDAYS($AA826,TODAY(),Holidays)-1)&amp;" of "&amp;CHOOSE($Z826,3,3,2,2,3))&amp;" | Total Day "&amp;MAX(0,NETWORKDAYS($N826,TODAY(),Holidays)-1))</f>
        <v/>
      </c>
      <c r="X826" s="18"/>
      <c r="Y826" s="18"/>
      <c r="Z826" s="17">
        <f>IF($N826="","",COUNT($N826:$S826))</f>
        <v/>
      </c>
      <c r="AA826" s="19">
        <f>IF($Z826="","",INT(INDEX($N826:$S826,$Z826)))</f>
        <v/>
      </c>
      <c r="AB826" s="19">
        <f>IF(OR($Z826="",$Z826=6),"",WORKDAY($AA826,CHOOSE($Z826,3,3,2,2,3),Holidays))</f>
        <v/>
      </c>
      <c r="AC826" s="17">
        <f>IF(OR($Z826="",$Z826=6),"",CHOOSE($Z826,"1st Email Follow-up","2nd Email Follow-up","Escalate Local Office","Escalate to CBE","Escalate to Roxanne"))</f>
        <v/>
      </c>
    </row>
    <row r="827" spans="13:29">
      <c r="M827" s="14"/>
      <c r="T827" s="16"/>
      <c r="U827" s="17">
        <f>IF(AND(COUNTA($A827:$L827)=0,$N827=""),"",IF($T827="Paid","PAID",IF($T827="Closed","CLOSED",IF($Z827="","",IF($Z827=6,"ESCALATED TO ROXANNE",IF(TODAY()&gt;$AB827,"OVERDUE",IF($AB827&lt;=WORKDAY(TODAY(),1,Holidays),"DUE TOMORROW",IF($Z827=4,"ESCALATED TO LOCAL OFFICE",IF($Z827=5,"ESCALATED TO CBE",IF($AA827=TODAY(),"EMAIL SENT","MONITORING"))))))))))</f>
        <v/>
      </c>
      <c r="V827" s="17">
        <f>IF($U827="",IF(AND(COUNTA($A827:$L827)&gt;0,$N827=""),"Awaiting Collection Email time stamp.",""),IF(OR($U827="PAID",$U827="CLOSED"),IF($U827="PAID","Account paid. Action completed.","Account closed. No further action required."),CHOOSE($Z827,"Collection Email","1st Email Follow-up","2nd Email Follow-up","Escalation to Local Office","Escalation to CBE","Escalation to Roxanne")&amp;" sent "&amp;TEXT($AA827,"dd-mmm")&amp;". "&amp;IF($Z827=6,"Final escalation completed.",IF($U827="OVERDUE","Next: "&amp;$AC827&amp;" was due "&amp;TEXT($AB827,"dd-mmm")&amp;" - "&amp;(NETWORKDAYS($AB827,TODAY(),Holidays)-1)&amp;" business day(s) late. Send now.",IF($U827="DUE TOMORROW","Next: "&amp;$AC827&amp;IF($AB827&lt;=TODAY()," is due TODAY ("," is due next business day (")&amp;TEXT($AB827,"dd-mmm")&amp;").","Next: "&amp;$AC827&amp;" due "&amp;TEXT($AB827,"dd-mmm")&amp;" ("&amp;(NETWORKDAYS(TODAY(),$AB827,Holidays)-1)&amp;" business day(s) left).")))))</f>
        <v/>
      </c>
      <c r="W827" s="17">
        <f>IF($Z827="","",CHOOSE($Z827,"Collection Email","1st Follow-up","2nd Follow-up","Local Office","CBE","Roxanne")&amp;IF($Z827=6," - Final"," - Day "&amp;MAX(0,NETWORKDAYS($AA827,TODAY(),Holidays)-1)&amp;" of "&amp;CHOOSE($Z827,3,3,2,2,3))&amp;" | Total Day "&amp;MAX(0,NETWORKDAYS($N827,TODAY(),Holidays)-1))</f>
        <v/>
      </c>
      <c r="X827" s="18"/>
      <c r="Y827" s="18"/>
      <c r="Z827" s="17">
        <f>IF($N827="","",COUNT($N827:$S827))</f>
        <v/>
      </c>
      <c r="AA827" s="19">
        <f>IF($Z827="","",INT(INDEX($N827:$S827,$Z827)))</f>
        <v/>
      </c>
      <c r="AB827" s="19">
        <f>IF(OR($Z827="",$Z827=6),"",WORKDAY($AA827,CHOOSE($Z827,3,3,2,2,3),Holidays))</f>
        <v/>
      </c>
      <c r="AC827" s="17">
        <f>IF(OR($Z827="",$Z827=6),"",CHOOSE($Z827,"1st Email Follow-up","2nd Email Follow-up","Escalate Local Office","Escalate to CBE","Escalate to Roxanne"))</f>
        <v/>
      </c>
    </row>
    <row r="828" spans="13:29">
      <c r="M828" s="14"/>
      <c r="T828" s="16"/>
      <c r="U828" s="17">
        <f>IF(AND(COUNTA($A828:$L828)=0,$N828=""),"",IF($T828="Paid","PAID",IF($T828="Closed","CLOSED",IF($Z828="","",IF($Z828=6,"ESCALATED TO ROXANNE",IF(TODAY()&gt;$AB828,"OVERDUE",IF($AB828&lt;=WORKDAY(TODAY(),1,Holidays),"DUE TOMORROW",IF($Z828=4,"ESCALATED TO LOCAL OFFICE",IF($Z828=5,"ESCALATED TO CBE",IF($AA828=TODAY(),"EMAIL SENT","MONITORING"))))))))))</f>
        <v/>
      </c>
      <c r="V828" s="17">
        <f>IF($U828="",IF(AND(COUNTA($A828:$L828)&gt;0,$N828=""),"Awaiting Collection Email time stamp.",""),IF(OR($U828="PAID",$U828="CLOSED"),IF($U828="PAID","Account paid. Action completed.","Account closed. No further action required."),CHOOSE($Z828,"Collection Email","1st Email Follow-up","2nd Email Follow-up","Escalation to Local Office","Escalation to CBE","Escalation to Roxanne")&amp;" sent "&amp;TEXT($AA828,"dd-mmm")&amp;". "&amp;IF($Z828=6,"Final escalation completed.",IF($U828="OVERDUE","Next: "&amp;$AC828&amp;" was due "&amp;TEXT($AB828,"dd-mmm")&amp;" - "&amp;(NETWORKDAYS($AB828,TODAY(),Holidays)-1)&amp;" business day(s) late. Send now.",IF($U828="DUE TOMORROW","Next: "&amp;$AC828&amp;IF($AB828&lt;=TODAY()," is due TODAY ("," is due next business day (")&amp;TEXT($AB828,"dd-mmm")&amp;").","Next: "&amp;$AC828&amp;" due "&amp;TEXT($AB828,"dd-mmm")&amp;" ("&amp;(NETWORKDAYS(TODAY(),$AB828,Holidays)-1)&amp;" business day(s) left).")))))</f>
        <v/>
      </c>
      <c r="W828" s="17">
        <f>IF($Z828="","",CHOOSE($Z828,"Collection Email","1st Follow-up","2nd Follow-up","Local Office","CBE","Roxanne")&amp;IF($Z828=6," - Final"," - Day "&amp;MAX(0,NETWORKDAYS($AA828,TODAY(),Holidays)-1)&amp;" of "&amp;CHOOSE($Z828,3,3,2,2,3))&amp;" | Total Day "&amp;MAX(0,NETWORKDAYS($N828,TODAY(),Holidays)-1))</f>
        <v/>
      </c>
      <c r="X828" s="18"/>
      <c r="Y828" s="18"/>
      <c r="Z828" s="17">
        <f>IF($N828="","",COUNT($N828:$S828))</f>
        <v/>
      </c>
      <c r="AA828" s="19">
        <f>IF($Z828="","",INT(INDEX($N828:$S828,$Z828)))</f>
        <v/>
      </c>
      <c r="AB828" s="19">
        <f>IF(OR($Z828="",$Z828=6),"",WORKDAY($AA828,CHOOSE($Z828,3,3,2,2,3),Holidays))</f>
        <v/>
      </c>
      <c r="AC828" s="17">
        <f>IF(OR($Z828="",$Z828=6),"",CHOOSE($Z828,"1st Email Follow-up","2nd Email Follow-up","Escalate Local Office","Escalate to CBE","Escalate to Roxanne"))</f>
        <v/>
      </c>
    </row>
    <row r="829" spans="13:29">
      <c r="M829" s="14"/>
      <c r="T829" s="16"/>
      <c r="U829" s="17">
        <f>IF(AND(COUNTA($A829:$L829)=0,$N829=""),"",IF($T829="Paid","PAID",IF($T829="Closed","CLOSED",IF($Z829="","",IF($Z829=6,"ESCALATED TO ROXANNE",IF(TODAY()&gt;$AB829,"OVERDUE",IF($AB829&lt;=WORKDAY(TODAY(),1,Holidays),"DUE TOMORROW",IF($Z829=4,"ESCALATED TO LOCAL OFFICE",IF($Z829=5,"ESCALATED TO CBE",IF($AA829=TODAY(),"EMAIL SENT","MONITORING"))))))))))</f>
        <v/>
      </c>
      <c r="V829" s="17">
        <f>IF($U829="",IF(AND(COUNTA($A829:$L829)&gt;0,$N829=""),"Awaiting Collection Email time stamp.",""),IF(OR($U829="PAID",$U829="CLOSED"),IF($U829="PAID","Account paid. Action completed.","Account closed. No further action required."),CHOOSE($Z829,"Collection Email","1st Email Follow-up","2nd Email Follow-up","Escalation to Local Office","Escalation to CBE","Escalation to Roxanne")&amp;" sent "&amp;TEXT($AA829,"dd-mmm")&amp;". "&amp;IF($Z829=6,"Final escalation completed.",IF($U829="OVERDUE","Next: "&amp;$AC829&amp;" was due "&amp;TEXT($AB829,"dd-mmm")&amp;" - "&amp;(NETWORKDAYS($AB829,TODAY(),Holidays)-1)&amp;" business day(s) late. Send now.",IF($U829="DUE TOMORROW","Next: "&amp;$AC829&amp;IF($AB829&lt;=TODAY()," is due TODAY ("," is due next business day (")&amp;TEXT($AB829,"dd-mmm")&amp;").","Next: "&amp;$AC829&amp;" due "&amp;TEXT($AB829,"dd-mmm")&amp;" ("&amp;(NETWORKDAYS(TODAY(),$AB829,Holidays)-1)&amp;" business day(s) left).")))))</f>
        <v/>
      </c>
      <c r="W829" s="17">
        <f>IF($Z829="","",CHOOSE($Z829,"Collection Email","1st Follow-up","2nd Follow-up","Local Office","CBE","Roxanne")&amp;IF($Z829=6," - Final"," - Day "&amp;MAX(0,NETWORKDAYS($AA829,TODAY(),Holidays)-1)&amp;" of "&amp;CHOOSE($Z829,3,3,2,2,3))&amp;" | Total Day "&amp;MAX(0,NETWORKDAYS($N829,TODAY(),Holidays)-1))</f>
        <v/>
      </c>
      <c r="X829" s="18"/>
      <c r="Y829" s="18"/>
      <c r="Z829" s="17">
        <f>IF($N829="","",COUNT($N829:$S829))</f>
        <v/>
      </c>
      <c r="AA829" s="19">
        <f>IF($Z829="","",INT(INDEX($N829:$S829,$Z829)))</f>
        <v/>
      </c>
      <c r="AB829" s="19">
        <f>IF(OR($Z829="",$Z829=6),"",WORKDAY($AA829,CHOOSE($Z829,3,3,2,2,3),Holidays))</f>
        <v/>
      </c>
      <c r="AC829" s="17">
        <f>IF(OR($Z829="",$Z829=6),"",CHOOSE($Z829,"1st Email Follow-up","2nd Email Follow-up","Escalate Local Office","Escalate to CBE","Escalate to Roxanne"))</f>
        <v/>
      </c>
    </row>
    <row r="830" spans="13:29">
      <c r="M830" s="14"/>
      <c r="T830" s="16"/>
      <c r="U830" s="17">
        <f>IF(AND(COUNTA($A830:$L830)=0,$N830=""),"",IF($T830="Paid","PAID",IF($T830="Closed","CLOSED",IF($Z830="","",IF($Z830=6,"ESCALATED TO ROXANNE",IF(TODAY()&gt;$AB830,"OVERDUE",IF($AB830&lt;=WORKDAY(TODAY(),1,Holidays),"DUE TOMORROW",IF($Z830=4,"ESCALATED TO LOCAL OFFICE",IF($Z830=5,"ESCALATED TO CBE",IF($AA830=TODAY(),"EMAIL SENT","MONITORING"))))))))))</f>
        <v/>
      </c>
      <c r="V830" s="17">
        <f>IF($U830="",IF(AND(COUNTA($A830:$L830)&gt;0,$N830=""),"Awaiting Collection Email time stamp.",""),IF(OR($U830="PAID",$U830="CLOSED"),IF($U830="PAID","Account paid. Action completed.","Account closed. No further action required."),CHOOSE($Z830,"Collection Email","1st Email Follow-up","2nd Email Follow-up","Escalation to Local Office","Escalation to CBE","Escalation to Roxanne")&amp;" sent "&amp;TEXT($AA830,"dd-mmm")&amp;". "&amp;IF($Z830=6,"Final escalation completed.",IF($U830="OVERDUE","Next: "&amp;$AC830&amp;" was due "&amp;TEXT($AB830,"dd-mmm")&amp;" - "&amp;(NETWORKDAYS($AB830,TODAY(),Holidays)-1)&amp;" business day(s) late. Send now.",IF($U830="DUE TOMORROW","Next: "&amp;$AC830&amp;IF($AB830&lt;=TODAY()," is due TODAY ("," is due next business day (")&amp;TEXT($AB830,"dd-mmm")&amp;").","Next: "&amp;$AC830&amp;" due "&amp;TEXT($AB830,"dd-mmm")&amp;" ("&amp;(NETWORKDAYS(TODAY(),$AB830,Holidays)-1)&amp;" business day(s) left).")))))</f>
        <v/>
      </c>
      <c r="W830" s="17">
        <f>IF($Z830="","",CHOOSE($Z830,"Collection Email","1st Follow-up","2nd Follow-up","Local Office","CBE","Roxanne")&amp;IF($Z830=6," - Final"," - Day "&amp;MAX(0,NETWORKDAYS($AA830,TODAY(),Holidays)-1)&amp;" of "&amp;CHOOSE($Z830,3,3,2,2,3))&amp;" | Total Day "&amp;MAX(0,NETWORKDAYS($N830,TODAY(),Holidays)-1))</f>
        <v/>
      </c>
      <c r="X830" s="18"/>
      <c r="Y830" s="18"/>
      <c r="Z830" s="17">
        <f>IF($N830="","",COUNT($N830:$S830))</f>
        <v/>
      </c>
      <c r="AA830" s="19">
        <f>IF($Z830="","",INT(INDEX($N830:$S830,$Z830)))</f>
        <v/>
      </c>
      <c r="AB830" s="19">
        <f>IF(OR($Z830="",$Z830=6),"",WORKDAY($AA830,CHOOSE($Z830,3,3,2,2,3),Holidays))</f>
        <v/>
      </c>
      <c r="AC830" s="17">
        <f>IF(OR($Z830="",$Z830=6),"",CHOOSE($Z830,"1st Email Follow-up","2nd Email Follow-up","Escalate Local Office","Escalate to CBE","Escalate to Roxanne"))</f>
        <v/>
      </c>
    </row>
    <row r="831" spans="13:29">
      <c r="M831" s="14"/>
      <c r="T831" s="16"/>
      <c r="U831" s="17">
        <f>IF(AND(COUNTA($A831:$L831)=0,$N831=""),"",IF($T831="Paid","PAID",IF($T831="Closed","CLOSED",IF($Z831="","",IF($Z831=6,"ESCALATED TO ROXANNE",IF(TODAY()&gt;$AB831,"OVERDUE",IF($AB831&lt;=WORKDAY(TODAY(),1,Holidays),"DUE TOMORROW",IF($Z831=4,"ESCALATED TO LOCAL OFFICE",IF($Z831=5,"ESCALATED TO CBE",IF($AA831=TODAY(),"EMAIL SENT","MONITORING"))))))))))</f>
        <v/>
      </c>
      <c r="V831" s="17">
        <f>IF($U831="",IF(AND(COUNTA($A831:$L831)&gt;0,$N831=""),"Awaiting Collection Email time stamp.",""),IF(OR($U831="PAID",$U831="CLOSED"),IF($U831="PAID","Account paid. Action completed.","Account closed. No further action required."),CHOOSE($Z831,"Collection Email","1st Email Follow-up","2nd Email Follow-up","Escalation to Local Office","Escalation to CBE","Escalation to Roxanne")&amp;" sent "&amp;TEXT($AA831,"dd-mmm")&amp;". "&amp;IF($Z831=6,"Final escalation completed.",IF($U831="OVERDUE","Next: "&amp;$AC831&amp;" was due "&amp;TEXT($AB831,"dd-mmm")&amp;" - "&amp;(NETWORKDAYS($AB831,TODAY(),Holidays)-1)&amp;" business day(s) late. Send now.",IF($U831="DUE TOMORROW","Next: "&amp;$AC831&amp;IF($AB831&lt;=TODAY()," is due TODAY ("," is due next business day (")&amp;TEXT($AB831,"dd-mmm")&amp;").","Next: "&amp;$AC831&amp;" due "&amp;TEXT($AB831,"dd-mmm")&amp;" ("&amp;(NETWORKDAYS(TODAY(),$AB831,Holidays)-1)&amp;" business day(s) left).")))))</f>
        <v/>
      </c>
      <c r="W831" s="17">
        <f>IF($Z831="","",CHOOSE($Z831,"Collection Email","1st Follow-up","2nd Follow-up","Local Office","CBE","Roxanne")&amp;IF($Z831=6," - Final"," - Day "&amp;MAX(0,NETWORKDAYS($AA831,TODAY(),Holidays)-1)&amp;" of "&amp;CHOOSE($Z831,3,3,2,2,3))&amp;" | Total Day "&amp;MAX(0,NETWORKDAYS($N831,TODAY(),Holidays)-1))</f>
        <v/>
      </c>
      <c r="X831" s="18"/>
      <c r="Y831" s="18"/>
      <c r="Z831" s="17">
        <f>IF($N831="","",COUNT($N831:$S831))</f>
        <v/>
      </c>
      <c r="AA831" s="19">
        <f>IF($Z831="","",INT(INDEX($N831:$S831,$Z831)))</f>
        <v/>
      </c>
      <c r="AB831" s="19">
        <f>IF(OR($Z831="",$Z831=6),"",WORKDAY($AA831,CHOOSE($Z831,3,3,2,2,3),Holidays))</f>
        <v/>
      </c>
      <c r="AC831" s="17">
        <f>IF(OR($Z831="",$Z831=6),"",CHOOSE($Z831,"1st Email Follow-up","2nd Email Follow-up","Escalate Local Office","Escalate to CBE","Escalate to Roxanne"))</f>
        <v/>
      </c>
    </row>
    <row r="832" spans="13:29">
      <c r="M832" s="14"/>
      <c r="T832" s="16"/>
      <c r="U832" s="17">
        <f>IF(AND(COUNTA($A832:$L832)=0,$N832=""),"",IF($T832="Paid","PAID",IF($T832="Closed","CLOSED",IF($Z832="","",IF($Z832=6,"ESCALATED TO ROXANNE",IF(TODAY()&gt;$AB832,"OVERDUE",IF($AB832&lt;=WORKDAY(TODAY(),1,Holidays),"DUE TOMORROW",IF($Z832=4,"ESCALATED TO LOCAL OFFICE",IF($Z832=5,"ESCALATED TO CBE",IF($AA832=TODAY(),"EMAIL SENT","MONITORING"))))))))))</f>
        <v/>
      </c>
      <c r="V832" s="17">
        <f>IF($U832="",IF(AND(COUNTA($A832:$L832)&gt;0,$N832=""),"Awaiting Collection Email time stamp.",""),IF(OR($U832="PAID",$U832="CLOSED"),IF($U832="PAID","Account paid. Action completed.","Account closed. No further action required."),CHOOSE($Z832,"Collection Email","1st Email Follow-up","2nd Email Follow-up","Escalation to Local Office","Escalation to CBE","Escalation to Roxanne")&amp;" sent "&amp;TEXT($AA832,"dd-mmm")&amp;". "&amp;IF($Z832=6,"Final escalation completed.",IF($U832="OVERDUE","Next: "&amp;$AC832&amp;" was due "&amp;TEXT($AB832,"dd-mmm")&amp;" - "&amp;(NETWORKDAYS($AB832,TODAY(),Holidays)-1)&amp;" business day(s) late. Send now.",IF($U832="DUE TOMORROW","Next: "&amp;$AC832&amp;IF($AB832&lt;=TODAY()," is due TODAY ("," is due next business day (")&amp;TEXT($AB832,"dd-mmm")&amp;").","Next: "&amp;$AC832&amp;" due "&amp;TEXT($AB832,"dd-mmm")&amp;" ("&amp;(NETWORKDAYS(TODAY(),$AB832,Holidays)-1)&amp;" business day(s) left).")))))</f>
        <v/>
      </c>
      <c r="W832" s="17">
        <f>IF($Z832="","",CHOOSE($Z832,"Collection Email","1st Follow-up","2nd Follow-up","Local Office","CBE","Roxanne")&amp;IF($Z832=6," - Final"," - Day "&amp;MAX(0,NETWORKDAYS($AA832,TODAY(),Holidays)-1)&amp;" of "&amp;CHOOSE($Z832,3,3,2,2,3))&amp;" | Total Day "&amp;MAX(0,NETWORKDAYS($N832,TODAY(),Holidays)-1))</f>
        <v/>
      </c>
      <c r="X832" s="18"/>
      <c r="Y832" s="18"/>
      <c r="Z832" s="17">
        <f>IF($N832="","",COUNT($N832:$S832))</f>
        <v/>
      </c>
      <c r="AA832" s="19">
        <f>IF($Z832="","",INT(INDEX($N832:$S832,$Z832)))</f>
        <v/>
      </c>
      <c r="AB832" s="19">
        <f>IF(OR($Z832="",$Z832=6),"",WORKDAY($AA832,CHOOSE($Z832,3,3,2,2,3),Holidays))</f>
        <v/>
      </c>
      <c r="AC832" s="17">
        <f>IF(OR($Z832="",$Z832=6),"",CHOOSE($Z832,"1st Email Follow-up","2nd Email Follow-up","Escalate Local Office","Escalate to CBE","Escalate to Roxanne"))</f>
        <v/>
      </c>
    </row>
    <row r="833" spans="13:29">
      <c r="M833" s="14"/>
      <c r="T833" s="16"/>
      <c r="U833" s="17">
        <f>IF(AND(COUNTA($A833:$L833)=0,$N833=""),"",IF($T833="Paid","PAID",IF($T833="Closed","CLOSED",IF($Z833="","",IF($Z833=6,"ESCALATED TO ROXANNE",IF(TODAY()&gt;$AB833,"OVERDUE",IF($AB833&lt;=WORKDAY(TODAY(),1,Holidays),"DUE TOMORROW",IF($Z833=4,"ESCALATED TO LOCAL OFFICE",IF($Z833=5,"ESCALATED TO CBE",IF($AA833=TODAY(),"EMAIL SENT","MONITORING"))))))))))</f>
        <v/>
      </c>
      <c r="V833" s="17">
        <f>IF($U833="",IF(AND(COUNTA($A833:$L833)&gt;0,$N833=""),"Awaiting Collection Email time stamp.",""),IF(OR($U833="PAID",$U833="CLOSED"),IF($U833="PAID","Account paid. Action completed.","Account closed. No further action required."),CHOOSE($Z833,"Collection Email","1st Email Follow-up","2nd Email Follow-up","Escalation to Local Office","Escalation to CBE","Escalation to Roxanne")&amp;" sent "&amp;TEXT($AA833,"dd-mmm")&amp;". "&amp;IF($Z833=6,"Final escalation completed.",IF($U833="OVERDUE","Next: "&amp;$AC833&amp;" was due "&amp;TEXT($AB833,"dd-mmm")&amp;" - "&amp;(NETWORKDAYS($AB833,TODAY(),Holidays)-1)&amp;" business day(s) late. Send now.",IF($U833="DUE TOMORROW","Next: "&amp;$AC833&amp;IF($AB833&lt;=TODAY()," is due TODAY ("," is due next business day (")&amp;TEXT($AB833,"dd-mmm")&amp;").","Next: "&amp;$AC833&amp;" due "&amp;TEXT($AB833,"dd-mmm")&amp;" ("&amp;(NETWORKDAYS(TODAY(),$AB833,Holidays)-1)&amp;" business day(s) left).")))))</f>
        <v/>
      </c>
      <c r="W833" s="17">
        <f>IF($Z833="","",CHOOSE($Z833,"Collection Email","1st Follow-up","2nd Follow-up","Local Office","CBE","Roxanne")&amp;IF($Z833=6," - Final"," - Day "&amp;MAX(0,NETWORKDAYS($AA833,TODAY(),Holidays)-1)&amp;" of "&amp;CHOOSE($Z833,3,3,2,2,3))&amp;" | Total Day "&amp;MAX(0,NETWORKDAYS($N833,TODAY(),Holidays)-1))</f>
        <v/>
      </c>
      <c r="X833" s="18"/>
      <c r="Y833" s="18"/>
      <c r="Z833" s="17">
        <f>IF($N833="","",COUNT($N833:$S833))</f>
        <v/>
      </c>
      <c r="AA833" s="19">
        <f>IF($Z833="","",INT(INDEX($N833:$S833,$Z833)))</f>
        <v/>
      </c>
      <c r="AB833" s="19">
        <f>IF(OR($Z833="",$Z833=6),"",WORKDAY($AA833,CHOOSE($Z833,3,3,2,2,3),Holidays))</f>
        <v/>
      </c>
      <c r="AC833" s="17">
        <f>IF(OR($Z833="",$Z833=6),"",CHOOSE($Z833,"1st Email Follow-up","2nd Email Follow-up","Escalate Local Office","Escalate to CBE","Escalate to Roxanne"))</f>
        <v/>
      </c>
    </row>
    <row r="834" spans="13:29">
      <c r="M834" s="14"/>
      <c r="T834" s="16"/>
      <c r="U834" s="17">
        <f>IF(AND(COUNTA($A834:$L834)=0,$N834=""),"",IF($T834="Paid","PAID",IF($T834="Closed","CLOSED",IF($Z834="","",IF($Z834=6,"ESCALATED TO ROXANNE",IF(TODAY()&gt;$AB834,"OVERDUE",IF($AB834&lt;=WORKDAY(TODAY(),1,Holidays),"DUE TOMORROW",IF($Z834=4,"ESCALATED TO LOCAL OFFICE",IF($Z834=5,"ESCALATED TO CBE",IF($AA834=TODAY(),"EMAIL SENT","MONITORING"))))))))))</f>
        <v/>
      </c>
      <c r="V834" s="17">
        <f>IF($U834="",IF(AND(COUNTA($A834:$L834)&gt;0,$N834=""),"Awaiting Collection Email time stamp.",""),IF(OR($U834="PAID",$U834="CLOSED"),IF($U834="PAID","Account paid. Action completed.","Account closed. No further action required."),CHOOSE($Z834,"Collection Email","1st Email Follow-up","2nd Email Follow-up","Escalation to Local Office","Escalation to CBE","Escalation to Roxanne")&amp;" sent "&amp;TEXT($AA834,"dd-mmm")&amp;". "&amp;IF($Z834=6,"Final escalation completed.",IF($U834="OVERDUE","Next: "&amp;$AC834&amp;" was due "&amp;TEXT($AB834,"dd-mmm")&amp;" - "&amp;(NETWORKDAYS($AB834,TODAY(),Holidays)-1)&amp;" business day(s) late. Send now.",IF($U834="DUE TOMORROW","Next: "&amp;$AC834&amp;IF($AB834&lt;=TODAY()," is due TODAY ("," is due next business day (")&amp;TEXT($AB834,"dd-mmm")&amp;").","Next: "&amp;$AC834&amp;" due "&amp;TEXT($AB834,"dd-mmm")&amp;" ("&amp;(NETWORKDAYS(TODAY(),$AB834,Holidays)-1)&amp;" business day(s) left).")))))</f>
        <v/>
      </c>
      <c r="W834" s="17">
        <f>IF($Z834="","",CHOOSE($Z834,"Collection Email","1st Follow-up","2nd Follow-up","Local Office","CBE","Roxanne")&amp;IF($Z834=6," - Final"," - Day "&amp;MAX(0,NETWORKDAYS($AA834,TODAY(),Holidays)-1)&amp;" of "&amp;CHOOSE($Z834,3,3,2,2,3))&amp;" | Total Day "&amp;MAX(0,NETWORKDAYS($N834,TODAY(),Holidays)-1))</f>
        <v/>
      </c>
      <c r="X834" s="18"/>
      <c r="Y834" s="18"/>
      <c r="Z834" s="17">
        <f>IF($N834="","",COUNT($N834:$S834))</f>
        <v/>
      </c>
      <c r="AA834" s="19">
        <f>IF($Z834="","",INT(INDEX($N834:$S834,$Z834)))</f>
        <v/>
      </c>
      <c r="AB834" s="19">
        <f>IF(OR($Z834="",$Z834=6),"",WORKDAY($AA834,CHOOSE($Z834,3,3,2,2,3),Holidays))</f>
        <v/>
      </c>
      <c r="AC834" s="17">
        <f>IF(OR($Z834="",$Z834=6),"",CHOOSE($Z834,"1st Email Follow-up","2nd Email Follow-up","Escalate Local Office","Escalate to CBE","Escalate to Roxanne"))</f>
        <v/>
      </c>
    </row>
    <row r="835" spans="13:29">
      <c r="M835" s="14"/>
      <c r="T835" s="16"/>
      <c r="U835" s="17">
        <f>IF(AND(COUNTA($A835:$L835)=0,$N835=""),"",IF($T835="Paid","PAID",IF($T835="Closed","CLOSED",IF($Z835="","",IF($Z835=6,"ESCALATED TO ROXANNE",IF(TODAY()&gt;$AB835,"OVERDUE",IF($AB835&lt;=WORKDAY(TODAY(),1,Holidays),"DUE TOMORROW",IF($Z835=4,"ESCALATED TO LOCAL OFFICE",IF($Z835=5,"ESCALATED TO CBE",IF($AA835=TODAY(),"EMAIL SENT","MONITORING"))))))))))</f>
        <v/>
      </c>
      <c r="V835" s="17">
        <f>IF($U835="",IF(AND(COUNTA($A835:$L835)&gt;0,$N835=""),"Awaiting Collection Email time stamp.",""),IF(OR($U835="PAID",$U835="CLOSED"),IF($U835="PAID","Account paid. Action completed.","Account closed. No further action required."),CHOOSE($Z835,"Collection Email","1st Email Follow-up","2nd Email Follow-up","Escalation to Local Office","Escalation to CBE","Escalation to Roxanne")&amp;" sent "&amp;TEXT($AA835,"dd-mmm")&amp;". "&amp;IF($Z835=6,"Final escalation completed.",IF($U835="OVERDUE","Next: "&amp;$AC835&amp;" was due "&amp;TEXT($AB835,"dd-mmm")&amp;" - "&amp;(NETWORKDAYS($AB835,TODAY(),Holidays)-1)&amp;" business day(s) late. Send now.",IF($U835="DUE TOMORROW","Next: "&amp;$AC835&amp;IF($AB835&lt;=TODAY()," is due TODAY ("," is due next business day (")&amp;TEXT($AB835,"dd-mmm")&amp;").","Next: "&amp;$AC835&amp;" due "&amp;TEXT($AB835,"dd-mmm")&amp;" ("&amp;(NETWORKDAYS(TODAY(),$AB835,Holidays)-1)&amp;" business day(s) left).")))))</f>
        <v/>
      </c>
      <c r="W835" s="17">
        <f>IF($Z835="","",CHOOSE($Z835,"Collection Email","1st Follow-up","2nd Follow-up","Local Office","CBE","Roxanne")&amp;IF($Z835=6," - Final"," - Day "&amp;MAX(0,NETWORKDAYS($AA835,TODAY(),Holidays)-1)&amp;" of "&amp;CHOOSE($Z835,3,3,2,2,3))&amp;" | Total Day "&amp;MAX(0,NETWORKDAYS($N835,TODAY(),Holidays)-1))</f>
        <v/>
      </c>
      <c r="X835" s="18"/>
      <c r="Y835" s="18"/>
      <c r="Z835" s="17">
        <f>IF($N835="","",COUNT($N835:$S835))</f>
        <v/>
      </c>
      <c r="AA835" s="19">
        <f>IF($Z835="","",INT(INDEX($N835:$S835,$Z835)))</f>
        <v/>
      </c>
      <c r="AB835" s="19">
        <f>IF(OR($Z835="",$Z835=6),"",WORKDAY($AA835,CHOOSE($Z835,3,3,2,2,3),Holidays))</f>
        <v/>
      </c>
      <c r="AC835" s="17">
        <f>IF(OR($Z835="",$Z835=6),"",CHOOSE($Z835,"1st Email Follow-up","2nd Email Follow-up","Escalate Local Office","Escalate to CBE","Escalate to Roxanne"))</f>
        <v/>
      </c>
    </row>
    <row r="836" spans="13:29">
      <c r="M836" s="14"/>
      <c r="T836" s="16"/>
      <c r="U836" s="17">
        <f>IF(AND(COUNTA($A836:$L836)=0,$N836=""),"",IF($T836="Paid","PAID",IF($T836="Closed","CLOSED",IF($Z836="","",IF($Z836=6,"ESCALATED TO ROXANNE",IF(TODAY()&gt;$AB836,"OVERDUE",IF($AB836&lt;=WORKDAY(TODAY(),1,Holidays),"DUE TOMORROW",IF($Z836=4,"ESCALATED TO LOCAL OFFICE",IF($Z836=5,"ESCALATED TO CBE",IF($AA836=TODAY(),"EMAIL SENT","MONITORING"))))))))))</f>
        <v/>
      </c>
      <c r="V836" s="17">
        <f>IF($U836="",IF(AND(COUNTA($A836:$L836)&gt;0,$N836=""),"Awaiting Collection Email time stamp.",""),IF(OR($U836="PAID",$U836="CLOSED"),IF($U836="PAID","Account paid. Action completed.","Account closed. No further action required."),CHOOSE($Z836,"Collection Email","1st Email Follow-up","2nd Email Follow-up","Escalation to Local Office","Escalation to CBE","Escalation to Roxanne")&amp;" sent "&amp;TEXT($AA836,"dd-mmm")&amp;". "&amp;IF($Z836=6,"Final escalation completed.",IF($U836="OVERDUE","Next: "&amp;$AC836&amp;" was due "&amp;TEXT($AB836,"dd-mmm")&amp;" - "&amp;(NETWORKDAYS($AB836,TODAY(),Holidays)-1)&amp;" business day(s) late. Send now.",IF($U836="DUE TOMORROW","Next: "&amp;$AC836&amp;IF($AB836&lt;=TODAY()," is due TODAY ("," is due next business day (")&amp;TEXT($AB836,"dd-mmm")&amp;").","Next: "&amp;$AC836&amp;" due "&amp;TEXT($AB836,"dd-mmm")&amp;" ("&amp;(NETWORKDAYS(TODAY(),$AB836,Holidays)-1)&amp;" business day(s) left).")))))</f>
        <v/>
      </c>
      <c r="W836" s="17">
        <f>IF($Z836="","",CHOOSE($Z836,"Collection Email","1st Follow-up","2nd Follow-up","Local Office","CBE","Roxanne")&amp;IF($Z836=6," - Final"," - Day "&amp;MAX(0,NETWORKDAYS($AA836,TODAY(),Holidays)-1)&amp;" of "&amp;CHOOSE($Z836,3,3,2,2,3))&amp;" | Total Day "&amp;MAX(0,NETWORKDAYS($N836,TODAY(),Holidays)-1))</f>
        <v/>
      </c>
      <c r="X836" s="18"/>
      <c r="Y836" s="18"/>
      <c r="Z836" s="17">
        <f>IF($N836="","",COUNT($N836:$S836))</f>
        <v/>
      </c>
      <c r="AA836" s="19">
        <f>IF($Z836="","",INT(INDEX($N836:$S836,$Z836)))</f>
        <v/>
      </c>
      <c r="AB836" s="19">
        <f>IF(OR($Z836="",$Z836=6),"",WORKDAY($AA836,CHOOSE($Z836,3,3,2,2,3),Holidays))</f>
        <v/>
      </c>
      <c r="AC836" s="17">
        <f>IF(OR($Z836="",$Z836=6),"",CHOOSE($Z836,"1st Email Follow-up","2nd Email Follow-up","Escalate Local Office","Escalate to CBE","Escalate to Roxanne"))</f>
        <v/>
      </c>
    </row>
    <row r="837" spans="13:29">
      <c r="M837" s="14"/>
      <c r="T837" s="16"/>
      <c r="U837" s="17">
        <f>IF(AND(COUNTA($A837:$L837)=0,$N837=""),"",IF($T837="Paid","PAID",IF($T837="Closed","CLOSED",IF($Z837="","",IF($Z837=6,"ESCALATED TO ROXANNE",IF(TODAY()&gt;$AB837,"OVERDUE",IF($AB837&lt;=WORKDAY(TODAY(),1,Holidays),"DUE TOMORROW",IF($Z837=4,"ESCALATED TO LOCAL OFFICE",IF($Z837=5,"ESCALATED TO CBE",IF($AA837=TODAY(),"EMAIL SENT","MONITORING"))))))))))</f>
        <v/>
      </c>
      <c r="V837" s="17">
        <f>IF($U837="",IF(AND(COUNTA($A837:$L837)&gt;0,$N837=""),"Awaiting Collection Email time stamp.",""),IF(OR($U837="PAID",$U837="CLOSED"),IF($U837="PAID","Account paid. Action completed.","Account closed. No further action required."),CHOOSE($Z837,"Collection Email","1st Email Follow-up","2nd Email Follow-up","Escalation to Local Office","Escalation to CBE","Escalation to Roxanne")&amp;" sent "&amp;TEXT($AA837,"dd-mmm")&amp;". "&amp;IF($Z837=6,"Final escalation completed.",IF($U837="OVERDUE","Next: "&amp;$AC837&amp;" was due "&amp;TEXT($AB837,"dd-mmm")&amp;" - "&amp;(NETWORKDAYS($AB837,TODAY(),Holidays)-1)&amp;" business day(s) late. Send now.",IF($U837="DUE TOMORROW","Next: "&amp;$AC837&amp;IF($AB837&lt;=TODAY()," is due TODAY ("," is due next business day (")&amp;TEXT($AB837,"dd-mmm")&amp;").","Next: "&amp;$AC837&amp;" due "&amp;TEXT($AB837,"dd-mmm")&amp;" ("&amp;(NETWORKDAYS(TODAY(),$AB837,Holidays)-1)&amp;" business day(s) left).")))))</f>
        <v/>
      </c>
      <c r="W837" s="17">
        <f>IF($Z837="","",CHOOSE($Z837,"Collection Email","1st Follow-up","2nd Follow-up","Local Office","CBE","Roxanne")&amp;IF($Z837=6," - Final"," - Day "&amp;MAX(0,NETWORKDAYS($AA837,TODAY(),Holidays)-1)&amp;" of "&amp;CHOOSE($Z837,3,3,2,2,3))&amp;" | Total Day "&amp;MAX(0,NETWORKDAYS($N837,TODAY(),Holidays)-1))</f>
        <v/>
      </c>
      <c r="X837" s="18"/>
      <c r="Y837" s="18"/>
      <c r="Z837" s="17">
        <f>IF($N837="","",COUNT($N837:$S837))</f>
        <v/>
      </c>
      <c r="AA837" s="19">
        <f>IF($Z837="","",INT(INDEX($N837:$S837,$Z837)))</f>
        <v/>
      </c>
      <c r="AB837" s="19">
        <f>IF(OR($Z837="",$Z837=6),"",WORKDAY($AA837,CHOOSE($Z837,3,3,2,2,3),Holidays))</f>
        <v/>
      </c>
      <c r="AC837" s="17">
        <f>IF(OR($Z837="",$Z837=6),"",CHOOSE($Z837,"1st Email Follow-up","2nd Email Follow-up","Escalate Local Office","Escalate to CBE","Escalate to Roxanne"))</f>
        <v/>
      </c>
    </row>
    <row r="838" spans="13:29">
      <c r="M838" s="14"/>
      <c r="T838" s="16"/>
      <c r="U838" s="17">
        <f>IF(AND(COUNTA($A838:$L838)=0,$N838=""),"",IF($T838="Paid","PAID",IF($T838="Closed","CLOSED",IF($Z838="","",IF($Z838=6,"ESCALATED TO ROXANNE",IF(TODAY()&gt;$AB838,"OVERDUE",IF($AB838&lt;=WORKDAY(TODAY(),1,Holidays),"DUE TOMORROW",IF($Z838=4,"ESCALATED TO LOCAL OFFICE",IF($Z838=5,"ESCALATED TO CBE",IF($AA838=TODAY(),"EMAIL SENT","MONITORING"))))))))))</f>
        <v/>
      </c>
      <c r="V838" s="17">
        <f>IF($U838="",IF(AND(COUNTA($A838:$L838)&gt;0,$N838=""),"Awaiting Collection Email time stamp.",""),IF(OR($U838="PAID",$U838="CLOSED"),IF($U838="PAID","Account paid. Action completed.","Account closed. No further action required."),CHOOSE($Z838,"Collection Email","1st Email Follow-up","2nd Email Follow-up","Escalation to Local Office","Escalation to CBE","Escalation to Roxanne")&amp;" sent "&amp;TEXT($AA838,"dd-mmm")&amp;". "&amp;IF($Z838=6,"Final escalation completed.",IF($U838="OVERDUE","Next: "&amp;$AC838&amp;" was due "&amp;TEXT($AB838,"dd-mmm")&amp;" - "&amp;(NETWORKDAYS($AB838,TODAY(),Holidays)-1)&amp;" business day(s) late. Send now.",IF($U838="DUE TOMORROW","Next: "&amp;$AC838&amp;IF($AB838&lt;=TODAY()," is due TODAY ("," is due next business day (")&amp;TEXT($AB838,"dd-mmm")&amp;").","Next: "&amp;$AC838&amp;" due "&amp;TEXT($AB838,"dd-mmm")&amp;" ("&amp;(NETWORKDAYS(TODAY(),$AB838,Holidays)-1)&amp;" business day(s) left).")))))</f>
        <v/>
      </c>
      <c r="W838" s="17">
        <f>IF($Z838="","",CHOOSE($Z838,"Collection Email","1st Follow-up","2nd Follow-up","Local Office","CBE","Roxanne")&amp;IF($Z838=6," - Final"," - Day "&amp;MAX(0,NETWORKDAYS($AA838,TODAY(),Holidays)-1)&amp;" of "&amp;CHOOSE($Z838,3,3,2,2,3))&amp;" | Total Day "&amp;MAX(0,NETWORKDAYS($N838,TODAY(),Holidays)-1))</f>
        <v/>
      </c>
      <c r="X838" s="18"/>
      <c r="Y838" s="18"/>
      <c r="Z838" s="17">
        <f>IF($N838="","",COUNT($N838:$S838))</f>
        <v/>
      </c>
      <c r="AA838" s="19">
        <f>IF($Z838="","",INT(INDEX($N838:$S838,$Z838)))</f>
        <v/>
      </c>
      <c r="AB838" s="19">
        <f>IF(OR($Z838="",$Z838=6),"",WORKDAY($AA838,CHOOSE($Z838,3,3,2,2,3),Holidays))</f>
        <v/>
      </c>
      <c r="AC838" s="17">
        <f>IF(OR($Z838="",$Z838=6),"",CHOOSE($Z838,"1st Email Follow-up","2nd Email Follow-up","Escalate Local Office","Escalate to CBE","Escalate to Roxanne"))</f>
        <v/>
      </c>
    </row>
    <row r="839" spans="13:29">
      <c r="M839" s="14"/>
      <c r="T839" s="16"/>
      <c r="U839" s="17">
        <f>IF(AND(COUNTA($A839:$L839)=0,$N839=""),"",IF($T839="Paid","PAID",IF($T839="Closed","CLOSED",IF($Z839="","",IF($Z839=6,"ESCALATED TO ROXANNE",IF(TODAY()&gt;$AB839,"OVERDUE",IF($AB839&lt;=WORKDAY(TODAY(),1,Holidays),"DUE TOMORROW",IF($Z839=4,"ESCALATED TO LOCAL OFFICE",IF($Z839=5,"ESCALATED TO CBE",IF($AA839=TODAY(),"EMAIL SENT","MONITORING"))))))))))</f>
        <v/>
      </c>
      <c r="V839" s="17">
        <f>IF($U839="",IF(AND(COUNTA($A839:$L839)&gt;0,$N839=""),"Awaiting Collection Email time stamp.",""),IF(OR($U839="PAID",$U839="CLOSED"),IF($U839="PAID","Account paid. Action completed.","Account closed. No further action required."),CHOOSE($Z839,"Collection Email","1st Email Follow-up","2nd Email Follow-up","Escalation to Local Office","Escalation to CBE","Escalation to Roxanne")&amp;" sent "&amp;TEXT($AA839,"dd-mmm")&amp;". "&amp;IF($Z839=6,"Final escalation completed.",IF($U839="OVERDUE","Next: "&amp;$AC839&amp;" was due "&amp;TEXT($AB839,"dd-mmm")&amp;" - "&amp;(NETWORKDAYS($AB839,TODAY(),Holidays)-1)&amp;" business day(s) late. Send now.",IF($U839="DUE TOMORROW","Next: "&amp;$AC839&amp;IF($AB839&lt;=TODAY()," is due TODAY ("," is due next business day (")&amp;TEXT($AB839,"dd-mmm")&amp;").","Next: "&amp;$AC839&amp;" due "&amp;TEXT($AB839,"dd-mmm")&amp;" ("&amp;(NETWORKDAYS(TODAY(),$AB839,Holidays)-1)&amp;" business day(s) left).")))))</f>
        <v/>
      </c>
      <c r="W839" s="17">
        <f>IF($Z839="","",CHOOSE($Z839,"Collection Email","1st Follow-up","2nd Follow-up","Local Office","CBE","Roxanne")&amp;IF($Z839=6," - Final"," - Day "&amp;MAX(0,NETWORKDAYS($AA839,TODAY(),Holidays)-1)&amp;" of "&amp;CHOOSE($Z839,3,3,2,2,3))&amp;" | Total Day "&amp;MAX(0,NETWORKDAYS($N839,TODAY(),Holidays)-1))</f>
        <v/>
      </c>
      <c r="X839" s="18"/>
      <c r="Y839" s="18"/>
      <c r="Z839" s="17">
        <f>IF($N839="","",COUNT($N839:$S839))</f>
        <v/>
      </c>
      <c r="AA839" s="19">
        <f>IF($Z839="","",INT(INDEX($N839:$S839,$Z839)))</f>
        <v/>
      </c>
      <c r="AB839" s="19">
        <f>IF(OR($Z839="",$Z839=6),"",WORKDAY($AA839,CHOOSE($Z839,3,3,2,2,3),Holidays))</f>
        <v/>
      </c>
      <c r="AC839" s="17">
        <f>IF(OR($Z839="",$Z839=6),"",CHOOSE($Z839,"1st Email Follow-up","2nd Email Follow-up","Escalate Local Office","Escalate to CBE","Escalate to Roxanne"))</f>
        <v/>
      </c>
    </row>
    <row r="840" spans="13:29">
      <c r="M840" s="14"/>
      <c r="T840" s="16"/>
      <c r="U840" s="17">
        <f>IF(AND(COUNTA($A840:$L840)=0,$N840=""),"",IF($T840="Paid","PAID",IF($T840="Closed","CLOSED",IF($Z840="","",IF($Z840=6,"ESCALATED TO ROXANNE",IF(TODAY()&gt;$AB840,"OVERDUE",IF($AB840&lt;=WORKDAY(TODAY(),1,Holidays),"DUE TOMORROW",IF($Z840=4,"ESCALATED TO LOCAL OFFICE",IF($Z840=5,"ESCALATED TO CBE",IF($AA840=TODAY(),"EMAIL SENT","MONITORING"))))))))))</f>
        <v/>
      </c>
      <c r="V840" s="17">
        <f>IF($U840="",IF(AND(COUNTA($A840:$L840)&gt;0,$N840=""),"Awaiting Collection Email time stamp.",""),IF(OR($U840="PAID",$U840="CLOSED"),IF($U840="PAID","Account paid. Action completed.","Account closed. No further action required."),CHOOSE($Z840,"Collection Email","1st Email Follow-up","2nd Email Follow-up","Escalation to Local Office","Escalation to CBE","Escalation to Roxanne")&amp;" sent "&amp;TEXT($AA840,"dd-mmm")&amp;". "&amp;IF($Z840=6,"Final escalation completed.",IF($U840="OVERDUE","Next: "&amp;$AC840&amp;" was due "&amp;TEXT($AB840,"dd-mmm")&amp;" - "&amp;(NETWORKDAYS($AB840,TODAY(),Holidays)-1)&amp;" business day(s) late. Send now.",IF($U840="DUE TOMORROW","Next: "&amp;$AC840&amp;IF($AB840&lt;=TODAY()," is due TODAY ("," is due next business day (")&amp;TEXT($AB840,"dd-mmm")&amp;").","Next: "&amp;$AC840&amp;" due "&amp;TEXT($AB840,"dd-mmm")&amp;" ("&amp;(NETWORKDAYS(TODAY(),$AB840,Holidays)-1)&amp;" business day(s) left).")))))</f>
        <v/>
      </c>
      <c r="W840" s="17">
        <f>IF($Z840="","",CHOOSE($Z840,"Collection Email","1st Follow-up","2nd Follow-up","Local Office","CBE","Roxanne")&amp;IF($Z840=6," - Final"," - Day "&amp;MAX(0,NETWORKDAYS($AA840,TODAY(),Holidays)-1)&amp;" of "&amp;CHOOSE($Z840,3,3,2,2,3))&amp;" | Total Day "&amp;MAX(0,NETWORKDAYS($N840,TODAY(),Holidays)-1))</f>
        <v/>
      </c>
      <c r="X840" s="18"/>
      <c r="Y840" s="18"/>
      <c r="Z840" s="17">
        <f>IF($N840="","",COUNT($N840:$S840))</f>
        <v/>
      </c>
      <c r="AA840" s="19">
        <f>IF($Z840="","",INT(INDEX($N840:$S840,$Z840)))</f>
        <v/>
      </c>
      <c r="AB840" s="19">
        <f>IF(OR($Z840="",$Z840=6),"",WORKDAY($AA840,CHOOSE($Z840,3,3,2,2,3),Holidays))</f>
        <v/>
      </c>
      <c r="AC840" s="17">
        <f>IF(OR($Z840="",$Z840=6),"",CHOOSE($Z840,"1st Email Follow-up","2nd Email Follow-up","Escalate Local Office","Escalate to CBE","Escalate to Roxanne"))</f>
        <v/>
      </c>
    </row>
    <row r="841" spans="13:29">
      <c r="M841" s="14"/>
      <c r="T841" s="16"/>
      <c r="U841" s="17">
        <f>IF(AND(COUNTA($A841:$L841)=0,$N841=""),"",IF($T841="Paid","PAID",IF($T841="Closed","CLOSED",IF($Z841="","",IF($Z841=6,"ESCALATED TO ROXANNE",IF(TODAY()&gt;$AB841,"OVERDUE",IF($AB841&lt;=WORKDAY(TODAY(),1,Holidays),"DUE TOMORROW",IF($Z841=4,"ESCALATED TO LOCAL OFFICE",IF($Z841=5,"ESCALATED TO CBE",IF($AA841=TODAY(),"EMAIL SENT","MONITORING"))))))))))</f>
        <v/>
      </c>
      <c r="V841" s="17">
        <f>IF($U841="",IF(AND(COUNTA($A841:$L841)&gt;0,$N841=""),"Awaiting Collection Email time stamp.",""),IF(OR($U841="PAID",$U841="CLOSED"),IF($U841="PAID","Account paid. Action completed.","Account closed. No further action required."),CHOOSE($Z841,"Collection Email","1st Email Follow-up","2nd Email Follow-up","Escalation to Local Office","Escalation to CBE","Escalation to Roxanne")&amp;" sent "&amp;TEXT($AA841,"dd-mmm")&amp;". "&amp;IF($Z841=6,"Final escalation completed.",IF($U841="OVERDUE","Next: "&amp;$AC841&amp;" was due "&amp;TEXT($AB841,"dd-mmm")&amp;" - "&amp;(NETWORKDAYS($AB841,TODAY(),Holidays)-1)&amp;" business day(s) late. Send now.",IF($U841="DUE TOMORROW","Next: "&amp;$AC841&amp;IF($AB841&lt;=TODAY()," is due TODAY ("," is due next business day (")&amp;TEXT($AB841,"dd-mmm")&amp;").","Next: "&amp;$AC841&amp;" due "&amp;TEXT($AB841,"dd-mmm")&amp;" ("&amp;(NETWORKDAYS(TODAY(),$AB841,Holidays)-1)&amp;" business day(s) left).")))))</f>
        <v/>
      </c>
      <c r="W841" s="17">
        <f>IF($Z841="","",CHOOSE($Z841,"Collection Email","1st Follow-up","2nd Follow-up","Local Office","CBE","Roxanne")&amp;IF($Z841=6," - Final"," - Day "&amp;MAX(0,NETWORKDAYS($AA841,TODAY(),Holidays)-1)&amp;" of "&amp;CHOOSE($Z841,3,3,2,2,3))&amp;" | Total Day "&amp;MAX(0,NETWORKDAYS($N841,TODAY(),Holidays)-1))</f>
        <v/>
      </c>
      <c r="X841" s="18"/>
      <c r="Y841" s="18"/>
      <c r="Z841" s="17">
        <f>IF($N841="","",COUNT($N841:$S841))</f>
        <v/>
      </c>
      <c r="AA841" s="19">
        <f>IF($Z841="","",INT(INDEX($N841:$S841,$Z841)))</f>
        <v/>
      </c>
      <c r="AB841" s="19">
        <f>IF(OR($Z841="",$Z841=6),"",WORKDAY($AA841,CHOOSE($Z841,3,3,2,2,3),Holidays))</f>
        <v/>
      </c>
      <c r="AC841" s="17">
        <f>IF(OR($Z841="",$Z841=6),"",CHOOSE($Z841,"1st Email Follow-up","2nd Email Follow-up","Escalate Local Office","Escalate to CBE","Escalate to Roxanne"))</f>
        <v/>
      </c>
    </row>
    <row r="842" spans="13:29">
      <c r="M842" s="14"/>
      <c r="T842" s="16"/>
      <c r="U842" s="17">
        <f>IF(AND(COUNTA($A842:$L842)=0,$N842=""),"",IF($T842="Paid","PAID",IF($T842="Closed","CLOSED",IF($Z842="","",IF($Z842=6,"ESCALATED TO ROXANNE",IF(TODAY()&gt;$AB842,"OVERDUE",IF($AB842&lt;=WORKDAY(TODAY(),1,Holidays),"DUE TOMORROW",IF($Z842=4,"ESCALATED TO LOCAL OFFICE",IF($Z842=5,"ESCALATED TO CBE",IF($AA842=TODAY(),"EMAIL SENT","MONITORING"))))))))))</f>
        <v/>
      </c>
      <c r="V842" s="17">
        <f>IF($U842="",IF(AND(COUNTA($A842:$L842)&gt;0,$N842=""),"Awaiting Collection Email time stamp.",""),IF(OR($U842="PAID",$U842="CLOSED"),IF($U842="PAID","Account paid. Action completed.","Account closed. No further action required."),CHOOSE($Z842,"Collection Email","1st Email Follow-up","2nd Email Follow-up","Escalation to Local Office","Escalation to CBE","Escalation to Roxanne")&amp;" sent "&amp;TEXT($AA842,"dd-mmm")&amp;". "&amp;IF($Z842=6,"Final escalation completed.",IF($U842="OVERDUE","Next: "&amp;$AC842&amp;" was due "&amp;TEXT($AB842,"dd-mmm")&amp;" - "&amp;(NETWORKDAYS($AB842,TODAY(),Holidays)-1)&amp;" business day(s) late. Send now.",IF($U842="DUE TOMORROW","Next: "&amp;$AC842&amp;IF($AB842&lt;=TODAY()," is due TODAY ("," is due next business day (")&amp;TEXT($AB842,"dd-mmm")&amp;").","Next: "&amp;$AC842&amp;" due "&amp;TEXT($AB842,"dd-mmm")&amp;" ("&amp;(NETWORKDAYS(TODAY(),$AB842,Holidays)-1)&amp;" business day(s) left).")))))</f>
        <v/>
      </c>
      <c r="W842" s="17">
        <f>IF($Z842="","",CHOOSE($Z842,"Collection Email","1st Follow-up","2nd Follow-up","Local Office","CBE","Roxanne")&amp;IF($Z842=6," - Final"," - Day "&amp;MAX(0,NETWORKDAYS($AA842,TODAY(),Holidays)-1)&amp;" of "&amp;CHOOSE($Z842,3,3,2,2,3))&amp;" | Total Day "&amp;MAX(0,NETWORKDAYS($N842,TODAY(),Holidays)-1))</f>
        <v/>
      </c>
      <c r="X842" s="18"/>
      <c r="Y842" s="18"/>
      <c r="Z842" s="17">
        <f>IF($N842="","",COUNT($N842:$S842))</f>
        <v/>
      </c>
      <c r="AA842" s="19">
        <f>IF($Z842="","",INT(INDEX($N842:$S842,$Z842)))</f>
        <v/>
      </c>
      <c r="AB842" s="19">
        <f>IF(OR($Z842="",$Z842=6),"",WORKDAY($AA842,CHOOSE($Z842,3,3,2,2,3),Holidays))</f>
        <v/>
      </c>
      <c r="AC842" s="17">
        <f>IF(OR($Z842="",$Z842=6),"",CHOOSE($Z842,"1st Email Follow-up","2nd Email Follow-up","Escalate Local Office","Escalate to CBE","Escalate to Roxanne"))</f>
        <v/>
      </c>
    </row>
    <row r="843" spans="13:29">
      <c r="M843" s="14"/>
      <c r="T843" s="16"/>
      <c r="U843" s="17">
        <f>IF(AND(COUNTA($A843:$L843)=0,$N843=""),"",IF($T843="Paid","PAID",IF($T843="Closed","CLOSED",IF($Z843="","",IF($Z843=6,"ESCALATED TO ROXANNE",IF(TODAY()&gt;$AB843,"OVERDUE",IF($AB843&lt;=WORKDAY(TODAY(),1,Holidays),"DUE TOMORROW",IF($Z843=4,"ESCALATED TO LOCAL OFFICE",IF($Z843=5,"ESCALATED TO CBE",IF($AA843=TODAY(),"EMAIL SENT","MONITORING"))))))))))</f>
        <v/>
      </c>
      <c r="V843" s="17">
        <f>IF($U843="",IF(AND(COUNTA($A843:$L843)&gt;0,$N843=""),"Awaiting Collection Email time stamp.",""),IF(OR($U843="PAID",$U843="CLOSED"),IF($U843="PAID","Account paid. Action completed.","Account closed. No further action required."),CHOOSE($Z843,"Collection Email","1st Email Follow-up","2nd Email Follow-up","Escalation to Local Office","Escalation to CBE","Escalation to Roxanne")&amp;" sent "&amp;TEXT($AA843,"dd-mmm")&amp;". "&amp;IF($Z843=6,"Final escalation completed.",IF($U843="OVERDUE","Next: "&amp;$AC843&amp;" was due "&amp;TEXT($AB843,"dd-mmm")&amp;" - "&amp;(NETWORKDAYS($AB843,TODAY(),Holidays)-1)&amp;" business day(s) late. Send now.",IF($U843="DUE TOMORROW","Next: "&amp;$AC843&amp;IF($AB843&lt;=TODAY()," is due TODAY ("," is due next business day (")&amp;TEXT($AB843,"dd-mmm")&amp;").","Next: "&amp;$AC843&amp;" due "&amp;TEXT($AB843,"dd-mmm")&amp;" ("&amp;(NETWORKDAYS(TODAY(),$AB843,Holidays)-1)&amp;" business day(s) left).")))))</f>
        <v/>
      </c>
      <c r="W843" s="17">
        <f>IF($Z843="","",CHOOSE($Z843,"Collection Email","1st Follow-up","2nd Follow-up","Local Office","CBE","Roxanne")&amp;IF($Z843=6," - Final"," - Day "&amp;MAX(0,NETWORKDAYS($AA843,TODAY(),Holidays)-1)&amp;" of "&amp;CHOOSE($Z843,3,3,2,2,3))&amp;" | Total Day "&amp;MAX(0,NETWORKDAYS($N843,TODAY(),Holidays)-1))</f>
        <v/>
      </c>
      <c r="X843" s="18"/>
      <c r="Y843" s="18"/>
      <c r="Z843" s="17">
        <f>IF($N843="","",COUNT($N843:$S843))</f>
        <v/>
      </c>
      <c r="AA843" s="19">
        <f>IF($Z843="","",INT(INDEX($N843:$S843,$Z843)))</f>
        <v/>
      </c>
      <c r="AB843" s="19">
        <f>IF(OR($Z843="",$Z843=6),"",WORKDAY($AA843,CHOOSE($Z843,3,3,2,2,3),Holidays))</f>
        <v/>
      </c>
      <c r="AC843" s="17">
        <f>IF(OR($Z843="",$Z843=6),"",CHOOSE($Z843,"1st Email Follow-up","2nd Email Follow-up","Escalate Local Office","Escalate to CBE","Escalate to Roxanne"))</f>
        <v/>
      </c>
    </row>
    <row r="844" spans="13:29">
      <c r="M844" s="14"/>
      <c r="T844" s="16"/>
      <c r="U844" s="17">
        <f>IF(AND(COUNTA($A844:$L844)=0,$N844=""),"",IF($T844="Paid","PAID",IF($T844="Closed","CLOSED",IF($Z844="","",IF($Z844=6,"ESCALATED TO ROXANNE",IF(TODAY()&gt;$AB844,"OVERDUE",IF($AB844&lt;=WORKDAY(TODAY(),1,Holidays),"DUE TOMORROW",IF($Z844=4,"ESCALATED TO LOCAL OFFICE",IF($Z844=5,"ESCALATED TO CBE",IF($AA844=TODAY(),"EMAIL SENT","MONITORING"))))))))))</f>
        <v/>
      </c>
      <c r="V844" s="17">
        <f>IF($U844="",IF(AND(COUNTA($A844:$L844)&gt;0,$N844=""),"Awaiting Collection Email time stamp.",""),IF(OR($U844="PAID",$U844="CLOSED"),IF($U844="PAID","Account paid. Action completed.","Account closed. No further action required."),CHOOSE($Z844,"Collection Email","1st Email Follow-up","2nd Email Follow-up","Escalation to Local Office","Escalation to CBE","Escalation to Roxanne")&amp;" sent "&amp;TEXT($AA844,"dd-mmm")&amp;". "&amp;IF($Z844=6,"Final escalation completed.",IF($U844="OVERDUE","Next: "&amp;$AC844&amp;" was due "&amp;TEXT($AB844,"dd-mmm")&amp;" - "&amp;(NETWORKDAYS($AB844,TODAY(),Holidays)-1)&amp;" business day(s) late. Send now.",IF($U844="DUE TOMORROW","Next: "&amp;$AC844&amp;IF($AB844&lt;=TODAY()," is due TODAY ("," is due next business day (")&amp;TEXT($AB844,"dd-mmm")&amp;").","Next: "&amp;$AC844&amp;" due "&amp;TEXT($AB844,"dd-mmm")&amp;" ("&amp;(NETWORKDAYS(TODAY(),$AB844,Holidays)-1)&amp;" business day(s) left).")))))</f>
        <v/>
      </c>
      <c r="W844" s="17">
        <f>IF($Z844="","",CHOOSE($Z844,"Collection Email","1st Follow-up","2nd Follow-up","Local Office","CBE","Roxanne")&amp;IF($Z844=6," - Final"," - Day "&amp;MAX(0,NETWORKDAYS($AA844,TODAY(),Holidays)-1)&amp;" of "&amp;CHOOSE($Z844,3,3,2,2,3))&amp;" | Total Day "&amp;MAX(0,NETWORKDAYS($N844,TODAY(),Holidays)-1))</f>
        <v/>
      </c>
      <c r="X844" s="18"/>
      <c r="Y844" s="18"/>
      <c r="Z844" s="17">
        <f>IF($N844="","",COUNT($N844:$S844))</f>
        <v/>
      </c>
      <c r="AA844" s="19">
        <f>IF($Z844="","",INT(INDEX($N844:$S844,$Z844)))</f>
        <v/>
      </c>
      <c r="AB844" s="19">
        <f>IF(OR($Z844="",$Z844=6),"",WORKDAY($AA844,CHOOSE($Z844,3,3,2,2,3),Holidays))</f>
        <v/>
      </c>
      <c r="AC844" s="17">
        <f>IF(OR($Z844="",$Z844=6),"",CHOOSE($Z844,"1st Email Follow-up","2nd Email Follow-up","Escalate Local Office","Escalate to CBE","Escalate to Roxanne"))</f>
        <v/>
      </c>
    </row>
    <row r="845" spans="13:29">
      <c r="M845" s="14"/>
      <c r="T845" s="16"/>
      <c r="U845" s="17">
        <f>IF(AND(COUNTA($A845:$L845)=0,$N845=""),"",IF($T845="Paid","PAID",IF($T845="Closed","CLOSED",IF($Z845="","",IF($Z845=6,"ESCALATED TO ROXANNE",IF(TODAY()&gt;$AB845,"OVERDUE",IF($AB845&lt;=WORKDAY(TODAY(),1,Holidays),"DUE TOMORROW",IF($Z845=4,"ESCALATED TO LOCAL OFFICE",IF($Z845=5,"ESCALATED TO CBE",IF($AA845=TODAY(),"EMAIL SENT","MONITORING"))))))))))</f>
        <v/>
      </c>
      <c r="V845" s="17">
        <f>IF($U845="",IF(AND(COUNTA($A845:$L845)&gt;0,$N845=""),"Awaiting Collection Email time stamp.",""),IF(OR($U845="PAID",$U845="CLOSED"),IF($U845="PAID","Account paid. Action completed.","Account closed. No further action required."),CHOOSE($Z845,"Collection Email","1st Email Follow-up","2nd Email Follow-up","Escalation to Local Office","Escalation to CBE","Escalation to Roxanne")&amp;" sent "&amp;TEXT($AA845,"dd-mmm")&amp;". "&amp;IF($Z845=6,"Final escalation completed.",IF($U845="OVERDUE","Next: "&amp;$AC845&amp;" was due "&amp;TEXT($AB845,"dd-mmm")&amp;" - "&amp;(NETWORKDAYS($AB845,TODAY(),Holidays)-1)&amp;" business day(s) late. Send now.",IF($U845="DUE TOMORROW","Next: "&amp;$AC845&amp;IF($AB845&lt;=TODAY()," is due TODAY ("," is due next business day (")&amp;TEXT($AB845,"dd-mmm")&amp;").","Next: "&amp;$AC845&amp;" due "&amp;TEXT($AB845,"dd-mmm")&amp;" ("&amp;(NETWORKDAYS(TODAY(),$AB845,Holidays)-1)&amp;" business day(s) left).")))))</f>
        <v/>
      </c>
      <c r="W845" s="17">
        <f>IF($Z845="","",CHOOSE($Z845,"Collection Email","1st Follow-up","2nd Follow-up","Local Office","CBE","Roxanne")&amp;IF($Z845=6," - Final"," - Day "&amp;MAX(0,NETWORKDAYS($AA845,TODAY(),Holidays)-1)&amp;" of "&amp;CHOOSE($Z845,3,3,2,2,3))&amp;" | Total Day "&amp;MAX(0,NETWORKDAYS($N845,TODAY(),Holidays)-1))</f>
        <v/>
      </c>
      <c r="X845" s="18"/>
      <c r="Y845" s="18"/>
      <c r="Z845" s="17">
        <f>IF($N845="","",COUNT($N845:$S845))</f>
        <v/>
      </c>
      <c r="AA845" s="19">
        <f>IF($Z845="","",INT(INDEX($N845:$S845,$Z845)))</f>
        <v/>
      </c>
      <c r="AB845" s="19">
        <f>IF(OR($Z845="",$Z845=6),"",WORKDAY($AA845,CHOOSE($Z845,3,3,2,2,3),Holidays))</f>
        <v/>
      </c>
      <c r="AC845" s="17">
        <f>IF(OR($Z845="",$Z845=6),"",CHOOSE($Z845,"1st Email Follow-up","2nd Email Follow-up","Escalate Local Office","Escalate to CBE","Escalate to Roxanne"))</f>
        <v/>
      </c>
    </row>
    <row r="846" spans="13:29">
      <c r="M846" s="14"/>
      <c r="T846" s="16"/>
      <c r="U846" s="17">
        <f>IF(AND(COUNTA($A846:$L846)=0,$N846=""),"",IF($T846="Paid","PAID",IF($T846="Closed","CLOSED",IF($Z846="","",IF($Z846=6,"ESCALATED TO ROXANNE",IF(TODAY()&gt;$AB846,"OVERDUE",IF($AB846&lt;=WORKDAY(TODAY(),1,Holidays),"DUE TOMORROW",IF($Z846=4,"ESCALATED TO LOCAL OFFICE",IF($Z846=5,"ESCALATED TO CBE",IF($AA846=TODAY(),"EMAIL SENT","MONITORING"))))))))))</f>
        <v/>
      </c>
      <c r="V846" s="17">
        <f>IF($U846="",IF(AND(COUNTA($A846:$L846)&gt;0,$N846=""),"Awaiting Collection Email time stamp.",""),IF(OR($U846="PAID",$U846="CLOSED"),IF($U846="PAID","Account paid. Action completed.","Account closed. No further action required."),CHOOSE($Z846,"Collection Email","1st Email Follow-up","2nd Email Follow-up","Escalation to Local Office","Escalation to CBE","Escalation to Roxanne")&amp;" sent "&amp;TEXT($AA846,"dd-mmm")&amp;". "&amp;IF($Z846=6,"Final escalation completed.",IF($U846="OVERDUE","Next: "&amp;$AC846&amp;" was due "&amp;TEXT($AB846,"dd-mmm")&amp;" - "&amp;(NETWORKDAYS($AB846,TODAY(),Holidays)-1)&amp;" business day(s) late. Send now.",IF($U846="DUE TOMORROW","Next: "&amp;$AC846&amp;IF($AB846&lt;=TODAY()," is due TODAY ("," is due next business day (")&amp;TEXT($AB846,"dd-mmm")&amp;").","Next: "&amp;$AC846&amp;" due "&amp;TEXT($AB846,"dd-mmm")&amp;" ("&amp;(NETWORKDAYS(TODAY(),$AB846,Holidays)-1)&amp;" business day(s) left).")))))</f>
        <v/>
      </c>
      <c r="W846" s="17">
        <f>IF($Z846="","",CHOOSE($Z846,"Collection Email","1st Follow-up","2nd Follow-up","Local Office","CBE","Roxanne")&amp;IF($Z846=6," - Final"," - Day "&amp;MAX(0,NETWORKDAYS($AA846,TODAY(),Holidays)-1)&amp;" of "&amp;CHOOSE($Z846,3,3,2,2,3))&amp;" | Total Day "&amp;MAX(0,NETWORKDAYS($N846,TODAY(),Holidays)-1))</f>
        <v/>
      </c>
      <c r="X846" s="18"/>
      <c r="Y846" s="18"/>
      <c r="Z846" s="17">
        <f>IF($N846="","",COUNT($N846:$S846))</f>
        <v/>
      </c>
      <c r="AA846" s="19">
        <f>IF($Z846="","",INT(INDEX($N846:$S846,$Z846)))</f>
        <v/>
      </c>
      <c r="AB846" s="19">
        <f>IF(OR($Z846="",$Z846=6),"",WORKDAY($AA846,CHOOSE($Z846,3,3,2,2,3),Holidays))</f>
        <v/>
      </c>
      <c r="AC846" s="17">
        <f>IF(OR($Z846="",$Z846=6),"",CHOOSE($Z846,"1st Email Follow-up","2nd Email Follow-up","Escalate Local Office","Escalate to CBE","Escalate to Roxanne"))</f>
        <v/>
      </c>
    </row>
    <row r="847" spans="13:29">
      <c r="M847" s="14"/>
      <c r="T847" s="16"/>
      <c r="U847" s="17">
        <f>IF(AND(COUNTA($A847:$L847)=0,$N847=""),"",IF($T847="Paid","PAID",IF($T847="Closed","CLOSED",IF($Z847="","",IF($Z847=6,"ESCALATED TO ROXANNE",IF(TODAY()&gt;$AB847,"OVERDUE",IF($AB847&lt;=WORKDAY(TODAY(),1,Holidays),"DUE TOMORROW",IF($Z847=4,"ESCALATED TO LOCAL OFFICE",IF($Z847=5,"ESCALATED TO CBE",IF($AA847=TODAY(),"EMAIL SENT","MONITORING"))))))))))</f>
        <v/>
      </c>
      <c r="V847" s="17">
        <f>IF($U847="",IF(AND(COUNTA($A847:$L847)&gt;0,$N847=""),"Awaiting Collection Email time stamp.",""),IF(OR($U847="PAID",$U847="CLOSED"),IF($U847="PAID","Account paid. Action completed.","Account closed. No further action required."),CHOOSE($Z847,"Collection Email","1st Email Follow-up","2nd Email Follow-up","Escalation to Local Office","Escalation to CBE","Escalation to Roxanne")&amp;" sent "&amp;TEXT($AA847,"dd-mmm")&amp;". "&amp;IF($Z847=6,"Final escalation completed.",IF($U847="OVERDUE","Next: "&amp;$AC847&amp;" was due "&amp;TEXT($AB847,"dd-mmm")&amp;" - "&amp;(NETWORKDAYS($AB847,TODAY(),Holidays)-1)&amp;" business day(s) late. Send now.",IF($U847="DUE TOMORROW","Next: "&amp;$AC847&amp;IF($AB847&lt;=TODAY()," is due TODAY ("," is due next business day (")&amp;TEXT($AB847,"dd-mmm")&amp;").","Next: "&amp;$AC847&amp;" due "&amp;TEXT($AB847,"dd-mmm")&amp;" ("&amp;(NETWORKDAYS(TODAY(),$AB847,Holidays)-1)&amp;" business day(s) left).")))))</f>
        <v/>
      </c>
      <c r="W847" s="17">
        <f>IF($Z847="","",CHOOSE($Z847,"Collection Email","1st Follow-up","2nd Follow-up","Local Office","CBE","Roxanne")&amp;IF($Z847=6," - Final"," - Day "&amp;MAX(0,NETWORKDAYS($AA847,TODAY(),Holidays)-1)&amp;" of "&amp;CHOOSE($Z847,3,3,2,2,3))&amp;" | Total Day "&amp;MAX(0,NETWORKDAYS($N847,TODAY(),Holidays)-1))</f>
        <v/>
      </c>
      <c r="X847" s="18"/>
      <c r="Y847" s="18"/>
      <c r="Z847" s="17">
        <f>IF($N847="","",COUNT($N847:$S847))</f>
        <v/>
      </c>
      <c r="AA847" s="19">
        <f>IF($Z847="","",INT(INDEX($N847:$S847,$Z847)))</f>
        <v/>
      </c>
      <c r="AB847" s="19">
        <f>IF(OR($Z847="",$Z847=6),"",WORKDAY($AA847,CHOOSE($Z847,3,3,2,2,3),Holidays))</f>
        <v/>
      </c>
      <c r="AC847" s="17">
        <f>IF(OR($Z847="",$Z847=6),"",CHOOSE($Z847,"1st Email Follow-up","2nd Email Follow-up","Escalate Local Office","Escalate to CBE","Escalate to Roxanne"))</f>
        <v/>
      </c>
    </row>
    <row r="848" spans="13:29">
      <c r="M848" s="14"/>
      <c r="T848" s="16"/>
      <c r="U848" s="17">
        <f>IF(AND(COUNTA($A848:$L848)=0,$N848=""),"",IF($T848="Paid","PAID",IF($T848="Closed","CLOSED",IF($Z848="","",IF($Z848=6,"ESCALATED TO ROXANNE",IF(TODAY()&gt;$AB848,"OVERDUE",IF($AB848&lt;=WORKDAY(TODAY(),1,Holidays),"DUE TOMORROW",IF($Z848=4,"ESCALATED TO LOCAL OFFICE",IF($Z848=5,"ESCALATED TO CBE",IF($AA848=TODAY(),"EMAIL SENT","MONITORING"))))))))))</f>
        <v/>
      </c>
      <c r="V848" s="17">
        <f>IF($U848="",IF(AND(COUNTA($A848:$L848)&gt;0,$N848=""),"Awaiting Collection Email time stamp.",""),IF(OR($U848="PAID",$U848="CLOSED"),IF($U848="PAID","Account paid. Action completed.","Account closed. No further action required."),CHOOSE($Z848,"Collection Email","1st Email Follow-up","2nd Email Follow-up","Escalation to Local Office","Escalation to CBE","Escalation to Roxanne")&amp;" sent "&amp;TEXT($AA848,"dd-mmm")&amp;". "&amp;IF($Z848=6,"Final escalation completed.",IF($U848="OVERDUE","Next: "&amp;$AC848&amp;" was due "&amp;TEXT($AB848,"dd-mmm")&amp;" - "&amp;(NETWORKDAYS($AB848,TODAY(),Holidays)-1)&amp;" business day(s) late. Send now.",IF($U848="DUE TOMORROW","Next: "&amp;$AC848&amp;IF($AB848&lt;=TODAY()," is due TODAY ("," is due next business day (")&amp;TEXT($AB848,"dd-mmm")&amp;").","Next: "&amp;$AC848&amp;" due "&amp;TEXT($AB848,"dd-mmm")&amp;" ("&amp;(NETWORKDAYS(TODAY(),$AB848,Holidays)-1)&amp;" business day(s) left).")))))</f>
        <v/>
      </c>
      <c r="W848" s="17">
        <f>IF($Z848="","",CHOOSE($Z848,"Collection Email","1st Follow-up","2nd Follow-up","Local Office","CBE","Roxanne")&amp;IF($Z848=6," - Final"," - Day "&amp;MAX(0,NETWORKDAYS($AA848,TODAY(),Holidays)-1)&amp;" of "&amp;CHOOSE($Z848,3,3,2,2,3))&amp;" | Total Day "&amp;MAX(0,NETWORKDAYS($N848,TODAY(),Holidays)-1))</f>
        <v/>
      </c>
      <c r="X848" s="18"/>
      <c r="Y848" s="18"/>
      <c r="Z848" s="17">
        <f>IF($N848="","",COUNT($N848:$S848))</f>
        <v/>
      </c>
      <c r="AA848" s="19">
        <f>IF($Z848="","",INT(INDEX($N848:$S848,$Z848)))</f>
        <v/>
      </c>
      <c r="AB848" s="19">
        <f>IF(OR($Z848="",$Z848=6),"",WORKDAY($AA848,CHOOSE($Z848,3,3,2,2,3),Holidays))</f>
        <v/>
      </c>
      <c r="AC848" s="17">
        <f>IF(OR($Z848="",$Z848=6),"",CHOOSE($Z848,"1st Email Follow-up","2nd Email Follow-up","Escalate Local Office","Escalate to CBE","Escalate to Roxanne"))</f>
        <v/>
      </c>
    </row>
    <row r="849" spans="13:29">
      <c r="M849" s="14"/>
      <c r="T849" s="16"/>
      <c r="U849" s="17">
        <f>IF(AND(COUNTA($A849:$L849)=0,$N849=""),"",IF($T849="Paid","PAID",IF($T849="Closed","CLOSED",IF($Z849="","",IF($Z849=6,"ESCALATED TO ROXANNE",IF(TODAY()&gt;$AB849,"OVERDUE",IF($AB849&lt;=WORKDAY(TODAY(),1,Holidays),"DUE TOMORROW",IF($Z849=4,"ESCALATED TO LOCAL OFFICE",IF($Z849=5,"ESCALATED TO CBE",IF($AA849=TODAY(),"EMAIL SENT","MONITORING"))))))))))</f>
        <v/>
      </c>
      <c r="V849" s="17">
        <f>IF($U849="",IF(AND(COUNTA($A849:$L849)&gt;0,$N849=""),"Awaiting Collection Email time stamp.",""),IF(OR($U849="PAID",$U849="CLOSED"),IF($U849="PAID","Account paid. Action completed.","Account closed. No further action required."),CHOOSE($Z849,"Collection Email","1st Email Follow-up","2nd Email Follow-up","Escalation to Local Office","Escalation to CBE","Escalation to Roxanne")&amp;" sent "&amp;TEXT($AA849,"dd-mmm")&amp;". "&amp;IF($Z849=6,"Final escalation completed.",IF($U849="OVERDUE","Next: "&amp;$AC849&amp;" was due "&amp;TEXT($AB849,"dd-mmm")&amp;" - "&amp;(NETWORKDAYS($AB849,TODAY(),Holidays)-1)&amp;" business day(s) late. Send now.",IF($U849="DUE TOMORROW","Next: "&amp;$AC849&amp;IF($AB849&lt;=TODAY()," is due TODAY ("," is due next business day (")&amp;TEXT($AB849,"dd-mmm")&amp;").","Next: "&amp;$AC849&amp;" due "&amp;TEXT($AB849,"dd-mmm")&amp;" ("&amp;(NETWORKDAYS(TODAY(),$AB849,Holidays)-1)&amp;" business day(s) left).")))))</f>
        <v/>
      </c>
      <c r="W849" s="17">
        <f>IF($Z849="","",CHOOSE($Z849,"Collection Email","1st Follow-up","2nd Follow-up","Local Office","CBE","Roxanne")&amp;IF($Z849=6," - Final"," - Day "&amp;MAX(0,NETWORKDAYS($AA849,TODAY(),Holidays)-1)&amp;" of "&amp;CHOOSE($Z849,3,3,2,2,3))&amp;" | Total Day "&amp;MAX(0,NETWORKDAYS($N849,TODAY(),Holidays)-1))</f>
        <v/>
      </c>
      <c r="X849" s="18"/>
      <c r="Y849" s="18"/>
      <c r="Z849" s="17">
        <f>IF($N849="","",COUNT($N849:$S849))</f>
        <v/>
      </c>
      <c r="AA849" s="19">
        <f>IF($Z849="","",INT(INDEX($N849:$S849,$Z849)))</f>
        <v/>
      </c>
      <c r="AB849" s="19">
        <f>IF(OR($Z849="",$Z849=6),"",WORKDAY($AA849,CHOOSE($Z849,3,3,2,2,3),Holidays))</f>
        <v/>
      </c>
      <c r="AC849" s="17">
        <f>IF(OR($Z849="",$Z849=6),"",CHOOSE($Z849,"1st Email Follow-up","2nd Email Follow-up","Escalate Local Office","Escalate to CBE","Escalate to Roxanne"))</f>
        <v/>
      </c>
    </row>
    <row r="850" spans="13:29">
      <c r="M850" s="14"/>
      <c r="T850" s="16"/>
      <c r="U850" s="17">
        <f>IF(AND(COUNTA($A850:$L850)=0,$N850=""),"",IF($T850="Paid","PAID",IF($T850="Closed","CLOSED",IF($Z850="","",IF($Z850=6,"ESCALATED TO ROXANNE",IF(TODAY()&gt;$AB850,"OVERDUE",IF($AB850&lt;=WORKDAY(TODAY(),1,Holidays),"DUE TOMORROW",IF($Z850=4,"ESCALATED TO LOCAL OFFICE",IF($Z850=5,"ESCALATED TO CBE",IF($AA850=TODAY(),"EMAIL SENT","MONITORING"))))))))))</f>
        <v/>
      </c>
      <c r="V850" s="17">
        <f>IF($U850="",IF(AND(COUNTA($A850:$L850)&gt;0,$N850=""),"Awaiting Collection Email time stamp.",""),IF(OR($U850="PAID",$U850="CLOSED"),IF($U850="PAID","Account paid. Action completed.","Account closed. No further action required."),CHOOSE($Z850,"Collection Email","1st Email Follow-up","2nd Email Follow-up","Escalation to Local Office","Escalation to CBE","Escalation to Roxanne")&amp;" sent "&amp;TEXT($AA850,"dd-mmm")&amp;". "&amp;IF($Z850=6,"Final escalation completed.",IF($U850="OVERDUE","Next: "&amp;$AC850&amp;" was due "&amp;TEXT($AB850,"dd-mmm")&amp;" - "&amp;(NETWORKDAYS($AB850,TODAY(),Holidays)-1)&amp;" business day(s) late. Send now.",IF($U850="DUE TOMORROW","Next: "&amp;$AC850&amp;IF($AB850&lt;=TODAY()," is due TODAY ("," is due next business day (")&amp;TEXT($AB850,"dd-mmm")&amp;").","Next: "&amp;$AC850&amp;" due "&amp;TEXT($AB850,"dd-mmm")&amp;" ("&amp;(NETWORKDAYS(TODAY(),$AB850,Holidays)-1)&amp;" business day(s) left).")))))</f>
        <v/>
      </c>
      <c r="W850" s="17">
        <f>IF($Z850="","",CHOOSE($Z850,"Collection Email","1st Follow-up","2nd Follow-up","Local Office","CBE","Roxanne")&amp;IF($Z850=6," - Final"," - Day "&amp;MAX(0,NETWORKDAYS($AA850,TODAY(),Holidays)-1)&amp;" of "&amp;CHOOSE($Z850,3,3,2,2,3))&amp;" | Total Day "&amp;MAX(0,NETWORKDAYS($N850,TODAY(),Holidays)-1))</f>
        <v/>
      </c>
      <c r="X850" s="18"/>
      <c r="Y850" s="18"/>
      <c r="Z850" s="17">
        <f>IF($N850="","",COUNT($N850:$S850))</f>
        <v/>
      </c>
      <c r="AA850" s="19">
        <f>IF($Z850="","",INT(INDEX($N850:$S850,$Z850)))</f>
        <v/>
      </c>
      <c r="AB850" s="19">
        <f>IF(OR($Z850="",$Z850=6),"",WORKDAY($AA850,CHOOSE($Z850,3,3,2,2,3),Holidays))</f>
        <v/>
      </c>
      <c r="AC850" s="17">
        <f>IF(OR($Z850="",$Z850=6),"",CHOOSE($Z850,"1st Email Follow-up","2nd Email Follow-up","Escalate Local Office","Escalate to CBE","Escalate to Roxanne"))</f>
        <v/>
      </c>
    </row>
    <row r="851" spans="13:29">
      <c r="M851" s="14"/>
      <c r="T851" s="16"/>
      <c r="U851" s="17">
        <f>IF(AND(COUNTA($A851:$L851)=0,$N851=""),"",IF($T851="Paid","PAID",IF($T851="Closed","CLOSED",IF($Z851="","",IF($Z851=6,"ESCALATED TO ROXANNE",IF(TODAY()&gt;$AB851,"OVERDUE",IF($AB851&lt;=WORKDAY(TODAY(),1,Holidays),"DUE TOMORROW",IF($Z851=4,"ESCALATED TO LOCAL OFFICE",IF($Z851=5,"ESCALATED TO CBE",IF($AA851=TODAY(),"EMAIL SENT","MONITORING"))))))))))</f>
        <v/>
      </c>
      <c r="V851" s="17">
        <f>IF($U851="",IF(AND(COUNTA($A851:$L851)&gt;0,$N851=""),"Awaiting Collection Email time stamp.",""),IF(OR($U851="PAID",$U851="CLOSED"),IF($U851="PAID","Account paid. Action completed.","Account closed. No further action required."),CHOOSE($Z851,"Collection Email","1st Email Follow-up","2nd Email Follow-up","Escalation to Local Office","Escalation to CBE","Escalation to Roxanne")&amp;" sent "&amp;TEXT($AA851,"dd-mmm")&amp;". "&amp;IF($Z851=6,"Final escalation completed.",IF($U851="OVERDUE","Next: "&amp;$AC851&amp;" was due "&amp;TEXT($AB851,"dd-mmm")&amp;" - "&amp;(NETWORKDAYS($AB851,TODAY(),Holidays)-1)&amp;" business day(s) late. Send now.",IF($U851="DUE TOMORROW","Next: "&amp;$AC851&amp;IF($AB851&lt;=TODAY()," is due TODAY ("," is due next business day (")&amp;TEXT($AB851,"dd-mmm")&amp;").","Next: "&amp;$AC851&amp;" due "&amp;TEXT($AB851,"dd-mmm")&amp;" ("&amp;(NETWORKDAYS(TODAY(),$AB851,Holidays)-1)&amp;" business day(s) left).")))))</f>
        <v/>
      </c>
      <c r="W851" s="17">
        <f>IF($Z851="","",CHOOSE($Z851,"Collection Email","1st Follow-up","2nd Follow-up","Local Office","CBE","Roxanne")&amp;IF($Z851=6," - Final"," - Day "&amp;MAX(0,NETWORKDAYS($AA851,TODAY(),Holidays)-1)&amp;" of "&amp;CHOOSE($Z851,3,3,2,2,3))&amp;" | Total Day "&amp;MAX(0,NETWORKDAYS($N851,TODAY(),Holidays)-1))</f>
        <v/>
      </c>
      <c r="X851" s="18"/>
      <c r="Y851" s="18"/>
      <c r="Z851" s="17">
        <f>IF($N851="","",COUNT($N851:$S851))</f>
        <v/>
      </c>
      <c r="AA851" s="19">
        <f>IF($Z851="","",INT(INDEX($N851:$S851,$Z851)))</f>
        <v/>
      </c>
      <c r="AB851" s="19">
        <f>IF(OR($Z851="",$Z851=6),"",WORKDAY($AA851,CHOOSE($Z851,3,3,2,2,3),Holidays))</f>
        <v/>
      </c>
      <c r="AC851" s="17">
        <f>IF(OR($Z851="",$Z851=6),"",CHOOSE($Z851,"1st Email Follow-up","2nd Email Follow-up","Escalate Local Office","Escalate to CBE","Escalate to Roxanne"))</f>
        <v/>
      </c>
    </row>
    <row r="852" spans="13:29">
      <c r="M852" s="14"/>
      <c r="T852" s="16"/>
      <c r="U852" s="17">
        <f>IF(AND(COUNTA($A852:$L852)=0,$N852=""),"",IF($T852="Paid","PAID",IF($T852="Closed","CLOSED",IF($Z852="","",IF($Z852=6,"ESCALATED TO ROXANNE",IF(TODAY()&gt;$AB852,"OVERDUE",IF($AB852&lt;=WORKDAY(TODAY(),1,Holidays),"DUE TOMORROW",IF($Z852=4,"ESCALATED TO LOCAL OFFICE",IF($Z852=5,"ESCALATED TO CBE",IF($AA852=TODAY(),"EMAIL SENT","MONITORING"))))))))))</f>
        <v/>
      </c>
      <c r="V852" s="17">
        <f>IF($U852="",IF(AND(COUNTA($A852:$L852)&gt;0,$N852=""),"Awaiting Collection Email time stamp.",""),IF(OR($U852="PAID",$U852="CLOSED"),IF($U852="PAID","Account paid. Action completed.","Account closed. No further action required."),CHOOSE($Z852,"Collection Email","1st Email Follow-up","2nd Email Follow-up","Escalation to Local Office","Escalation to CBE","Escalation to Roxanne")&amp;" sent "&amp;TEXT($AA852,"dd-mmm")&amp;". "&amp;IF($Z852=6,"Final escalation completed.",IF($U852="OVERDUE","Next: "&amp;$AC852&amp;" was due "&amp;TEXT($AB852,"dd-mmm")&amp;" - "&amp;(NETWORKDAYS($AB852,TODAY(),Holidays)-1)&amp;" business day(s) late. Send now.",IF($U852="DUE TOMORROW","Next: "&amp;$AC852&amp;IF($AB852&lt;=TODAY()," is due TODAY ("," is due next business day (")&amp;TEXT($AB852,"dd-mmm")&amp;").","Next: "&amp;$AC852&amp;" due "&amp;TEXT($AB852,"dd-mmm")&amp;" ("&amp;(NETWORKDAYS(TODAY(),$AB852,Holidays)-1)&amp;" business day(s) left).")))))</f>
        <v/>
      </c>
      <c r="W852" s="17">
        <f>IF($Z852="","",CHOOSE($Z852,"Collection Email","1st Follow-up","2nd Follow-up","Local Office","CBE","Roxanne")&amp;IF($Z852=6," - Final"," - Day "&amp;MAX(0,NETWORKDAYS($AA852,TODAY(),Holidays)-1)&amp;" of "&amp;CHOOSE($Z852,3,3,2,2,3))&amp;" | Total Day "&amp;MAX(0,NETWORKDAYS($N852,TODAY(),Holidays)-1))</f>
        <v/>
      </c>
      <c r="X852" s="18"/>
      <c r="Y852" s="18"/>
      <c r="Z852" s="17">
        <f>IF($N852="","",COUNT($N852:$S852))</f>
        <v/>
      </c>
      <c r="AA852" s="19">
        <f>IF($Z852="","",INT(INDEX($N852:$S852,$Z852)))</f>
        <v/>
      </c>
      <c r="AB852" s="19">
        <f>IF(OR($Z852="",$Z852=6),"",WORKDAY($AA852,CHOOSE($Z852,3,3,2,2,3),Holidays))</f>
        <v/>
      </c>
      <c r="AC852" s="17">
        <f>IF(OR($Z852="",$Z852=6),"",CHOOSE($Z852,"1st Email Follow-up","2nd Email Follow-up","Escalate Local Office","Escalate to CBE","Escalate to Roxanne"))</f>
        <v/>
      </c>
    </row>
    <row r="853" spans="13:29">
      <c r="M853" s="14"/>
      <c r="T853" s="16"/>
      <c r="U853" s="17">
        <f>IF(AND(COUNTA($A853:$L853)=0,$N853=""),"",IF($T853="Paid","PAID",IF($T853="Closed","CLOSED",IF($Z853="","",IF($Z853=6,"ESCALATED TO ROXANNE",IF(TODAY()&gt;$AB853,"OVERDUE",IF($AB853&lt;=WORKDAY(TODAY(),1,Holidays),"DUE TOMORROW",IF($Z853=4,"ESCALATED TO LOCAL OFFICE",IF($Z853=5,"ESCALATED TO CBE",IF($AA853=TODAY(),"EMAIL SENT","MONITORING"))))))))))</f>
        <v/>
      </c>
      <c r="V853" s="17">
        <f>IF($U853="",IF(AND(COUNTA($A853:$L853)&gt;0,$N853=""),"Awaiting Collection Email time stamp.",""),IF(OR($U853="PAID",$U853="CLOSED"),IF($U853="PAID","Account paid. Action completed.","Account closed. No further action required."),CHOOSE($Z853,"Collection Email","1st Email Follow-up","2nd Email Follow-up","Escalation to Local Office","Escalation to CBE","Escalation to Roxanne")&amp;" sent "&amp;TEXT($AA853,"dd-mmm")&amp;". "&amp;IF($Z853=6,"Final escalation completed.",IF($U853="OVERDUE","Next: "&amp;$AC853&amp;" was due "&amp;TEXT($AB853,"dd-mmm")&amp;" - "&amp;(NETWORKDAYS($AB853,TODAY(),Holidays)-1)&amp;" business day(s) late. Send now.",IF($U853="DUE TOMORROW","Next: "&amp;$AC853&amp;IF($AB853&lt;=TODAY()," is due TODAY ("," is due next business day (")&amp;TEXT($AB853,"dd-mmm")&amp;").","Next: "&amp;$AC853&amp;" due "&amp;TEXT($AB853,"dd-mmm")&amp;" ("&amp;(NETWORKDAYS(TODAY(),$AB853,Holidays)-1)&amp;" business day(s) left).")))))</f>
        <v/>
      </c>
      <c r="W853" s="17">
        <f>IF($Z853="","",CHOOSE($Z853,"Collection Email","1st Follow-up","2nd Follow-up","Local Office","CBE","Roxanne")&amp;IF($Z853=6," - Final"," - Day "&amp;MAX(0,NETWORKDAYS($AA853,TODAY(),Holidays)-1)&amp;" of "&amp;CHOOSE($Z853,3,3,2,2,3))&amp;" | Total Day "&amp;MAX(0,NETWORKDAYS($N853,TODAY(),Holidays)-1))</f>
        <v/>
      </c>
      <c r="X853" s="18"/>
      <c r="Y853" s="18"/>
      <c r="Z853" s="17">
        <f>IF($N853="","",COUNT($N853:$S853))</f>
        <v/>
      </c>
      <c r="AA853" s="19">
        <f>IF($Z853="","",INT(INDEX($N853:$S853,$Z853)))</f>
        <v/>
      </c>
      <c r="AB853" s="19">
        <f>IF(OR($Z853="",$Z853=6),"",WORKDAY($AA853,CHOOSE($Z853,3,3,2,2,3),Holidays))</f>
        <v/>
      </c>
      <c r="AC853" s="17">
        <f>IF(OR($Z853="",$Z853=6),"",CHOOSE($Z853,"1st Email Follow-up","2nd Email Follow-up","Escalate Local Office","Escalate to CBE","Escalate to Roxanne"))</f>
        <v/>
      </c>
    </row>
    <row r="854" spans="13:29">
      <c r="M854" s="14"/>
      <c r="T854" s="16"/>
      <c r="U854" s="17">
        <f>IF(AND(COUNTA($A854:$L854)=0,$N854=""),"",IF($T854="Paid","PAID",IF($T854="Closed","CLOSED",IF($Z854="","",IF($Z854=6,"ESCALATED TO ROXANNE",IF(TODAY()&gt;$AB854,"OVERDUE",IF($AB854&lt;=WORKDAY(TODAY(),1,Holidays),"DUE TOMORROW",IF($Z854=4,"ESCALATED TO LOCAL OFFICE",IF($Z854=5,"ESCALATED TO CBE",IF($AA854=TODAY(),"EMAIL SENT","MONITORING"))))))))))</f>
        <v/>
      </c>
      <c r="V854" s="17">
        <f>IF($U854="",IF(AND(COUNTA($A854:$L854)&gt;0,$N854=""),"Awaiting Collection Email time stamp.",""),IF(OR($U854="PAID",$U854="CLOSED"),IF($U854="PAID","Account paid. Action completed.","Account closed. No further action required."),CHOOSE($Z854,"Collection Email","1st Email Follow-up","2nd Email Follow-up","Escalation to Local Office","Escalation to CBE","Escalation to Roxanne")&amp;" sent "&amp;TEXT($AA854,"dd-mmm")&amp;". "&amp;IF($Z854=6,"Final escalation completed.",IF($U854="OVERDUE","Next: "&amp;$AC854&amp;" was due "&amp;TEXT($AB854,"dd-mmm")&amp;" - "&amp;(NETWORKDAYS($AB854,TODAY(),Holidays)-1)&amp;" business day(s) late. Send now.",IF($U854="DUE TOMORROW","Next: "&amp;$AC854&amp;IF($AB854&lt;=TODAY()," is due TODAY ("," is due next business day (")&amp;TEXT($AB854,"dd-mmm")&amp;").","Next: "&amp;$AC854&amp;" due "&amp;TEXT($AB854,"dd-mmm")&amp;" ("&amp;(NETWORKDAYS(TODAY(),$AB854,Holidays)-1)&amp;" business day(s) left).")))))</f>
        <v/>
      </c>
      <c r="W854" s="17">
        <f>IF($Z854="","",CHOOSE($Z854,"Collection Email","1st Follow-up","2nd Follow-up","Local Office","CBE","Roxanne")&amp;IF($Z854=6," - Final"," - Day "&amp;MAX(0,NETWORKDAYS($AA854,TODAY(),Holidays)-1)&amp;" of "&amp;CHOOSE($Z854,3,3,2,2,3))&amp;" | Total Day "&amp;MAX(0,NETWORKDAYS($N854,TODAY(),Holidays)-1))</f>
        <v/>
      </c>
      <c r="X854" s="18"/>
      <c r="Y854" s="18"/>
      <c r="Z854" s="17">
        <f>IF($N854="","",COUNT($N854:$S854))</f>
        <v/>
      </c>
      <c r="AA854" s="19">
        <f>IF($Z854="","",INT(INDEX($N854:$S854,$Z854)))</f>
        <v/>
      </c>
      <c r="AB854" s="19">
        <f>IF(OR($Z854="",$Z854=6),"",WORKDAY($AA854,CHOOSE($Z854,3,3,2,2,3),Holidays))</f>
        <v/>
      </c>
      <c r="AC854" s="17">
        <f>IF(OR($Z854="",$Z854=6),"",CHOOSE($Z854,"1st Email Follow-up","2nd Email Follow-up","Escalate Local Office","Escalate to CBE","Escalate to Roxanne"))</f>
        <v/>
      </c>
    </row>
    <row r="855" spans="13:29">
      <c r="M855" s="14"/>
      <c r="T855" s="16"/>
      <c r="U855" s="17">
        <f>IF(AND(COUNTA($A855:$L855)=0,$N855=""),"",IF($T855="Paid","PAID",IF($T855="Closed","CLOSED",IF($Z855="","",IF($Z855=6,"ESCALATED TO ROXANNE",IF(TODAY()&gt;$AB855,"OVERDUE",IF($AB855&lt;=WORKDAY(TODAY(),1,Holidays),"DUE TOMORROW",IF($Z855=4,"ESCALATED TO LOCAL OFFICE",IF($Z855=5,"ESCALATED TO CBE",IF($AA855=TODAY(),"EMAIL SENT","MONITORING"))))))))))</f>
        <v/>
      </c>
      <c r="V855" s="17">
        <f>IF($U855="",IF(AND(COUNTA($A855:$L855)&gt;0,$N855=""),"Awaiting Collection Email time stamp.",""),IF(OR($U855="PAID",$U855="CLOSED"),IF($U855="PAID","Account paid. Action completed.","Account closed. No further action required."),CHOOSE($Z855,"Collection Email","1st Email Follow-up","2nd Email Follow-up","Escalation to Local Office","Escalation to CBE","Escalation to Roxanne")&amp;" sent "&amp;TEXT($AA855,"dd-mmm")&amp;". "&amp;IF($Z855=6,"Final escalation completed.",IF($U855="OVERDUE","Next: "&amp;$AC855&amp;" was due "&amp;TEXT($AB855,"dd-mmm")&amp;" - "&amp;(NETWORKDAYS($AB855,TODAY(),Holidays)-1)&amp;" business day(s) late. Send now.",IF($U855="DUE TOMORROW","Next: "&amp;$AC855&amp;IF($AB855&lt;=TODAY()," is due TODAY ("," is due next business day (")&amp;TEXT($AB855,"dd-mmm")&amp;").","Next: "&amp;$AC855&amp;" due "&amp;TEXT($AB855,"dd-mmm")&amp;" ("&amp;(NETWORKDAYS(TODAY(),$AB855,Holidays)-1)&amp;" business day(s) left).")))))</f>
        <v/>
      </c>
      <c r="W855" s="17">
        <f>IF($Z855="","",CHOOSE($Z855,"Collection Email","1st Follow-up","2nd Follow-up","Local Office","CBE","Roxanne")&amp;IF($Z855=6," - Final"," - Day "&amp;MAX(0,NETWORKDAYS($AA855,TODAY(),Holidays)-1)&amp;" of "&amp;CHOOSE($Z855,3,3,2,2,3))&amp;" | Total Day "&amp;MAX(0,NETWORKDAYS($N855,TODAY(),Holidays)-1))</f>
        <v/>
      </c>
      <c r="X855" s="18"/>
      <c r="Y855" s="18"/>
      <c r="Z855" s="17">
        <f>IF($N855="","",COUNT($N855:$S855))</f>
        <v/>
      </c>
      <c r="AA855" s="19">
        <f>IF($Z855="","",INT(INDEX($N855:$S855,$Z855)))</f>
        <v/>
      </c>
      <c r="AB855" s="19">
        <f>IF(OR($Z855="",$Z855=6),"",WORKDAY($AA855,CHOOSE($Z855,3,3,2,2,3),Holidays))</f>
        <v/>
      </c>
      <c r="AC855" s="17">
        <f>IF(OR($Z855="",$Z855=6),"",CHOOSE($Z855,"1st Email Follow-up","2nd Email Follow-up","Escalate Local Office","Escalate to CBE","Escalate to Roxanne"))</f>
        <v/>
      </c>
    </row>
    <row r="856" spans="13:29">
      <c r="M856" s="14"/>
      <c r="T856" s="16"/>
      <c r="U856" s="17">
        <f>IF(AND(COUNTA($A856:$L856)=0,$N856=""),"",IF($T856="Paid","PAID",IF($T856="Closed","CLOSED",IF($Z856="","",IF($Z856=6,"ESCALATED TO ROXANNE",IF(TODAY()&gt;$AB856,"OVERDUE",IF($AB856&lt;=WORKDAY(TODAY(),1,Holidays),"DUE TOMORROW",IF($Z856=4,"ESCALATED TO LOCAL OFFICE",IF($Z856=5,"ESCALATED TO CBE",IF($AA856=TODAY(),"EMAIL SENT","MONITORING"))))))))))</f>
        <v/>
      </c>
      <c r="V856" s="17">
        <f>IF($U856="",IF(AND(COUNTA($A856:$L856)&gt;0,$N856=""),"Awaiting Collection Email time stamp.",""),IF(OR($U856="PAID",$U856="CLOSED"),IF($U856="PAID","Account paid. Action completed.","Account closed. No further action required."),CHOOSE($Z856,"Collection Email","1st Email Follow-up","2nd Email Follow-up","Escalation to Local Office","Escalation to CBE","Escalation to Roxanne")&amp;" sent "&amp;TEXT($AA856,"dd-mmm")&amp;". "&amp;IF($Z856=6,"Final escalation completed.",IF($U856="OVERDUE","Next: "&amp;$AC856&amp;" was due "&amp;TEXT($AB856,"dd-mmm")&amp;" - "&amp;(NETWORKDAYS($AB856,TODAY(),Holidays)-1)&amp;" business day(s) late. Send now.",IF($U856="DUE TOMORROW","Next: "&amp;$AC856&amp;IF($AB856&lt;=TODAY()," is due TODAY ("," is due next business day (")&amp;TEXT($AB856,"dd-mmm")&amp;").","Next: "&amp;$AC856&amp;" due "&amp;TEXT($AB856,"dd-mmm")&amp;" ("&amp;(NETWORKDAYS(TODAY(),$AB856,Holidays)-1)&amp;" business day(s) left).")))))</f>
        <v/>
      </c>
      <c r="W856" s="17">
        <f>IF($Z856="","",CHOOSE($Z856,"Collection Email","1st Follow-up","2nd Follow-up","Local Office","CBE","Roxanne")&amp;IF($Z856=6," - Final"," - Day "&amp;MAX(0,NETWORKDAYS($AA856,TODAY(),Holidays)-1)&amp;" of "&amp;CHOOSE($Z856,3,3,2,2,3))&amp;" | Total Day "&amp;MAX(0,NETWORKDAYS($N856,TODAY(),Holidays)-1))</f>
        <v/>
      </c>
      <c r="X856" s="18"/>
      <c r="Y856" s="18"/>
      <c r="Z856" s="17">
        <f>IF($N856="","",COUNT($N856:$S856))</f>
        <v/>
      </c>
      <c r="AA856" s="19">
        <f>IF($Z856="","",INT(INDEX($N856:$S856,$Z856)))</f>
        <v/>
      </c>
      <c r="AB856" s="19">
        <f>IF(OR($Z856="",$Z856=6),"",WORKDAY($AA856,CHOOSE($Z856,3,3,2,2,3),Holidays))</f>
        <v/>
      </c>
      <c r="AC856" s="17">
        <f>IF(OR($Z856="",$Z856=6),"",CHOOSE($Z856,"1st Email Follow-up","2nd Email Follow-up","Escalate Local Office","Escalate to CBE","Escalate to Roxanne"))</f>
        <v/>
      </c>
    </row>
    <row r="857" spans="13:29">
      <c r="M857" s="14"/>
      <c r="T857" s="16"/>
      <c r="U857" s="17">
        <f>IF(AND(COUNTA($A857:$L857)=0,$N857=""),"",IF($T857="Paid","PAID",IF($T857="Closed","CLOSED",IF($Z857="","",IF($Z857=6,"ESCALATED TO ROXANNE",IF(TODAY()&gt;$AB857,"OVERDUE",IF($AB857&lt;=WORKDAY(TODAY(),1,Holidays),"DUE TOMORROW",IF($Z857=4,"ESCALATED TO LOCAL OFFICE",IF($Z857=5,"ESCALATED TO CBE",IF($AA857=TODAY(),"EMAIL SENT","MONITORING"))))))))))</f>
        <v/>
      </c>
      <c r="V857" s="17">
        <f>IF($U857="",IF(AND(COUNTA($A857:$L857)&gt;0,$N857=""),"Awaiting Collection Email time stamp.",""),IF(OR($U857="PAID",$U857="CLOSED"),IF($U857="PAID","Account paid. Action completed.","Account closed. No further action required."),CHOOSE($Z857,"Collection Email","1st Email Follow-up","2nd Email Follow-up","Escalation to Local Office","Escalation to CBE","Escalation to Roxanne")&amp;" sent "&amp;TEXT($AA857,"dd-mmm")&amp;". "&amp;IF($Z857=6,"Final escalation completed.",IF($U857="OVERDUE","Next: "&amp;$AC857&amp;" was due "&amp;TEXT($AB857,"dd-mmm")&amp;" - "&amp;(NETWORKDAYS($AB857,TODAY(),Holidays)-1)&amp;" business day(s) late. Send now.",IF($U857="DUE TOMORROW","Next: "&amp;$AC857&amp;IF($AB857&lt;=TODAY()," is due TODAY ("," is due next business day (")&amp;TEXT($AB857,"dd-mmm")&amp;").","Next: "&amp;$AC857&amp;" due "&amp;TEXT($AB857,"dd-mmm")&amp;" ("&amp;(NETWORKDAYS(TODAY(),$AB857,Holidays)-1)&amp;" business day(s) left).")))))</f>
        <v/>
      </c>
      <c r="W857" s="17">
        <f>IF($Z857="","",CHOOSE($Z857,"Collection Email","1st Follow-up","2nd Follow-up","Local Office","CBE","Roxanne")&amp;IF($Z857=6," - Final"," - Day "&amp;MAX(0,NETWORKDAYS($AA857,TODAY(),Holidays)-1)&amp;" of "&amp;CHOOSE($Z857,3,3,2,2,3))&amp;" | Total Day "&amp;MAX(0,NETWORKDAYS($N857,TODAY(),Holidays)-1))</f>
        <v/>
      </c>
      <c r="X857" s="18"/>
      <c r="Y857" s="18"/>
      <c r="Z857" s="17">
        <f>IF($N857="","",COUNT($N857:$S857))</f>
        <v/>
      </c>
      <c r="AA857" s="19">
        <f>IF($Z857="","",INT(INDEX($N857:$S857,$Z857)))</f>
        <v/>
      </c>
      <c r="AB857" s="19">
        <f>IF(OR($Z857="",$Z857=6),"",WORKDAY($AA857,CHOOSE($Z857,3,3,2,2,3),Holidays))</f>
        <v/>
      </c>
      <c r="AC857" s="17">
        <f>IF(OR($Z857="",$Z857=6),"",CHOOSE($Z857,"1st Email Follow-up","2nd Email Follow-up","Escalate Local Office","Escalate to CBE","Escalate to Roxanne"))</f>
        <v/>
      </c>
    </row>
    <row r="858" spans="13:29">
      <c r="M858" s="14"/>
      <c r="T858" s="16"/>
      <c r="U858" s="17">
        <f>IF(AND(COUNTA($A858:$L858)=0,$N858=""),"",IF($T858="Paid","PAID",IF($T858="Closed","CLOSED",IF($Z858="","",IF($Z858=6,"ESCALATED TO ROXANNE",IF(TODAY()&gt;$AB858,"OVERDUE",IF($AB858&lt;=WORKDAY(TODAY(),1,Holidays),"DUE TOMORROW",IF($Z858=4,"ESCALATED TO LOCAL OFFICE",IF($Z858=5,"ESCALATED TO CBE",IF($AA858=TODAY(),"EMAIL SENT","MONITORING"))))))))))</f>
        <v/>
      </c>
      <c r="V858" s="17">
        <f>IF($U858="",IF(AND(COUNTA($A858:$L858)&gt;0,$N858=""),"Awaiting Collection Email time stamp.",""),IF(OR($U858="PAID",$U858="CLOSED"),IF($U858="PAID","Account paid. Action completed.","Account closed. No further action required."),CHOOSE($Z858,"Collection Email","1st Email Follow-up","2nd Email Follow-up","Escalation to Local Office","Escalation to CBE","Escalation to Roxanne")&amp;" sent "&amp;TEXT($AA858,"dd-mmm")&amp;". "&amp;IF($Z858=6,"Final escalation completed.",IF($U858="OVERDUE","Next: "&amp;$AC858&amp;" was due "&amp;TEXT($AB858,"dd-mmm")&amp;" - "&amp;(NETWORKDAYS($AB858,TODAY(),Holidays)-1)&amp;" business day(s) late. Send now.",IF($U858="DUE TOMORROW","Next: "&amp;$AC858&amp;IF($AB858&lt;=TODAY()," is due TODAY ("," is due next business day (")&amp;TEXT($AB858,"dd-mmm")&amp;").","Next: "&amp;$AC858&amp;" due "&amp;TEXT($AB858,"dd-mmm")&amp;" ("&amp;(NETWORKDAYS(TODAY(),$AB858,Holidays)-1)&amp;" business day(s) left).")))))</f>
        <v/>
      </c>
      <c r="W858" s="17">
        <f>IF($Z858="","",CHOOSE($Z858,"Collection Email","1st Follow-up","2nd Follow-up","Local Office","CBE","Roxanne")&amp;IF($Z858=6," - Final"," - Day "&amp;MAX(0,NETWORKDAYS($AA858,TODAY(),Holidays)-1)&amp;" of "&amp;CHOOSE($Z858,3,3,2,2,3))&amp;" | Total Day "&amp;MAX(0,NETWORKDAYS($N858,TODAY(),Holidays)-1))</f>
        <v/>
      </c>
      <c r="X858" s="18"/>
      <c r="Y858" s="18"/>
      <c r="Z858" s="17">
        <f>IF($N858="","",COUNT($N858:$S858))</f>
        <v/>
      </c>
      <c r="AA858" s="19">
        <f>IF($Z858="","",INT(INDEX($N858:$S858,$Z858)))</f>
        <v/>
      </c>
      <c r="AB858" s="19">
        <f>IF(OR($Z858="",$Z858=6),"",WORKDAY($AA858,CHOOSE($Z858,3,3,2,2,3),Holidays))</f>
        <v/>
      </c>
      <c r="AC858" s="17">
        <f>IF(OR($Z858="",$Z858=6),"",CHOOSE($Z858,"1st Email Follow-up","2nd Email Follow-up","Escalate Local Office","Escalate to CBE","Escalate to Roxanne"))</f>
        <v/>
      </c>
    </row>
    <row r="859" spans="13:29">
      <c r="M859" s="14"/>
      <c r="T859" s="16"/>
      <c r="U859" s="17">
        <f>IF(AND(COUNTA($A859:$L859)=0,$N859=""),"",IF($T859="Paid","PAID",IF($T859="Closed","CLOSED",IF($Z859="","",IF($Z859=6,"ESCALATED TO ROXANNE",IF(TODAY()&gt;$AB859,"OVERDUE",IF($AB859&lt;=WORKDAY(TODAY(),1,Holidays),"DUE TOMORROW",IF($Z859=4,"ESCALATED TO LOCAL OFFICE",IF($Z859=5,"ESCALATED TO CBE",IF($AA859=TODAY(),"EMAIL SENT","MONITORING"))))))))))</f>
        <v/>
      </c>
      <c r="V859" s="17">
        <f>IF($U859="",IF(AND(COUNTA($A859:$L859)&gt;0,$N859=""),"Awaiting Collection Email time stamp.",""),IF(OR($U859="PAID",$U859="CLOSED"),IF($U859="PAID","Account paid. Action completed.","Account closed. No further action required."),CHOOSE($Z859,"Collection Email","1st Email Follow-up","2nd Email Follow-up","Escalation to Local Office","Escalation to CBE","Escalation to Roxanne")&amp;" sent "&amp;TEXT($AA859,"dd-mmm")&amp;". "&amp;IF($Z859=6,"Final escalation completed.",IF($U859="OVERDUE","Next: "&amp;$AC859&amp;" was due "&amp;TEXT($AB859,"dd-mmm")&amp;" - "&amp;(NETWORKDAYS($AB859,TODAY(),Holidays)-1)&amp;" business day(s) late. Send now.",IF($U859="DUE TOMORROW","Next: "&amp;$AC859&amp;IF($AB859&lt;=TODAY()," is due TODAY ("," is due next business day (")&amp;TEXT($AB859,"dd-mmm")&amp;").","Next: "&amp;$AC859&amp;" due "&amp;TEXT($AB859,"dd-mmm")&amp;" ("&amp;(NETWORKDAYS(TODAY(),$AB859,Holidays)-1)&amp;" business day(s) left).")))))</f>
        <v/>
      </c>
      <c r="W859" s="17">
        <f>IF($Z859="","",CHOOSE($Z859,"Collection Email","1st Follow-up","2nd Follow-up","Local Office","CBE","Roxanne")&amp;IF($Z859=6," - Final"," - Day "&amp;MAX(0,NETWORKDAYS($AA859,TODAY(),Holidays)-1)&amp;" of "&amp;CHOOSE($Z859,3,3,2,2,3))&amp;" | Total Day "&amp;MAX(0,NETWORKDAYS($N859,TODAY(),Holidays)-1))</f>
        <v/>
      </c>
      <c r="X859" s="18"/>
      <c r="Y859" s="18"/>
      <c r="Z859" s="17">
        <f>IF($N859="","",COUNT($N859:$S859))</f>
        <v/>
      </c>
      <c r="AA859" s="19">
        <f>IF($Z859="","",INT(INDEX($N859:$S859,$Z859)))</f>
        <v/>
      </c>
      <c r="AB859" s="19">
        <f>IF(OR($Z859="",$Z859=6),"",WORKDAY($AA859,CHOOSE($Z859,3,3,2,2,3),Holidays))</f>
        <v/>
      </c>
      <c r="AC859" s="17">
        <f>IF(OR($Z859="",$Z859=6),"",CHOOSE($Z859,"1st Email Follow-up","2nd Email Follow-up","Escalate Local Office","Escalate to CBE","Escalate to Roxanne"))</f>
        <v/>
      </c>
    </row>
    <row r="860" spans="13:29">
      <c r="M860" s="14"/>
      <c r="T860" s="16"/>
      <c r="U860" s="17">
        <f>IF(AND(COUNTA($A860:$L860)=0,$N860=""),"",IF($T860="Paid","PAID",IF($T860="Closed","CLOSED",IF($Z860="","",IF($Z860=6,"ESCALATED TO ROXANNE",IF(TODAY()&gt;$AB860,"OVERDUE",IF($AB860&lt;=WORKDAY(TODAY(),1,Holidays),"DUE TOMORROW",IF($Z860=4,"ESCALATED TO LOCAL OFFICE",IF($Z860=5,"ESCALATED TO CBE",IF($AA860=TODAY(),"EMAIL SENT","MONITORING"))))))))))</f>
        <v/>
      </c>
      <c r="V860" s="17">
        <f>IF($U860="",IF(AND(COUNTA($A860:$L860)&gt;0,$N860=""),"Awaiting Collection Email time stamp.",""),IF(OR($U860="PAID",$U860="CLOSED"),IF($U860="PAID","Account paid. Action completed.","Account closed. No further action required."),CHOOSE($Z860,"Collection Email","1st Email Follow-up","2nd Email Follow-up","Escalation to Local Office","Escalation to CBE","Escalation to Roxanne")&amp;" sent "&amp;TEXT($AA860,"dd-mmm")&amp;". "&amp;IF($Z860=6,"Final escalation completed.",IF($U860="OVERDUE","Next: "&amp;$AC860&amp;" was due "&amp;TEXT($AB860,"dd-mmm")&amp;" - "&amp;(NETWORKDAYS($AB860,TODAY(),Holidays)-1)&amp;" business day(s) late. Send now.",IF($U860="DUE TOMORROW","Next: "&amp;$AC860&amp;IF($AB860&lt;=TODAY()," is due TODAY ("," is due next business day (")&amp;TEXT($AB860,"dd-mmm")&amp;").","Next: "&amp;$AC860&amp;" due "&amp;TEXT($AB860,"dd-mmm")&amp;" ("&amp;(NETWORKDAYS(TODAY(),$AB860,Holidays)-1)&amp;" business day(s) left).")))))</f>
        <v/>
      </c>
      <c r="W860" s="17">
        <f>IF($Z860="","",CHOOSE($Z860,"Collection Email","1st Follow-up","2nd Follow-up","Local Office","CBE","Roxanne")&amp;IF($Z860=6," - Final"," - Day "&amp;MAX(0,NETWORKDAYS($AA860,TODAY(),Holidays)-1)&amp;" of "&amp;CHOOSE($Z860,3,3,2,2,3))&amp;" | Total Day "&amp;MAX(0,NETWORKDAYS($N860,TODAY(),Holidays)-1))</f>
        <v/>
      </c>
      <c r="X860" s="18"/>
      <c r="Y860" s="18"/>
      <c r="Z860" s="17">
        <f>IF($N860="","",COUNT($N860:$S860))</f>
        <v/>
      </c>
      <c r="AA860" s="19">
        <f>IF($Z860="","",INT(INDEX($N860:$S860,$Z860)))</f>
        <v/>
      </c>
      <c r="AB860" s="19">
        <f>IF(OR($Z860="",$Z860=6),"",WORKDAY($AA860,CHOOSE($Z860,3,3,2,2,3),Holidays))</f>
        <v/>
      </c>
      <c r="AC860" s="17">
        <f>IF(OR($Z860="",$Z860=6),"",CHOOSE($Z860,"1st Email Follow-up","2nd Email Follow-up","Escalate Local Office","Escalate to CBE","Escalate to Roxanne"))</f>
        <v/>
      </c>
    </row>
    <row r="861" spans="13:29">
      <c r="M861" s="14"/>
      <c r="T861" s="16"/>
      <c r="U861" s="17">
        <f>IF(AND(COUNTA($A861:$L861)=0,$N861=""),"",IF($T861="Paid","PAID",IF($T861="Closed","CLOSED",IF($Z861="","",IF($Z861=6,"ESCALATED TO ROXANNE",IF(TODAY()&gt;$AB861,"OVERDUE",IF($AB861&lt;=WORKDAY(TODAY(),1,Holidays),"DUE TOMORROW",IF($Z861=4,"ESCALATED TO LOCAL OFFICE",IF($Z861=5,"ESCALATED TO CBE",IF($AA861=TODAY(),"EMAIL SENT","MONITORING"))))))))))</f>
        <v/>
      </c>
      <c r="V861" s="17">
        <f>IF($U861="",IF(AND(COUNTA($A861:$L861)&gt;0,$N861=""),"Awaiting Collection Email time stamp.",""),IF(OR($U861="PAID",$U861="CLOSED"),IF($U861="PAID","Account paid. Action completed.","Account closed. No further action required."),CHOOSE($Z861,"Collection Email","1st Email Follow-up","2nd Email Follow-up","Escalation to Local Office","Escalation to CBE","Escalation to Roxanne")&amp;" sent "&amp;TEXT($AA861,"dd-mmm")&amp;". "&amp;IF($Z861=6,"Final escalation completed.",IF($U861="OVERDUE","Next: "&amp;$AC861&amp;" was due "&amp;TEXT($AB861,"dd-mmm")&amp;" - "&amp;(NETWORKDAYS($AB861,TODAY(),Holidays)-1)&amp;" business day(s) late. Send now.",IF($U861="DUE TOMORROW","Next: "&amp;$AC861&amp;IF($AB861&lt;=TODAY()," is due TODAY ("," is due next business day (")&amp;TEXT($AB861,"dd-mmm")&amp;").","Next: "&amp;$AC861&amp;" due "&amp;TEXT($AB861,"dd-mmm")&amp;" ("&amp;(NETWORKDAYS(TODAY(),$AB861,Holidays)-1)&amp;" business day(s) left).")))))</f>
        <v/>
      </c>
      <c r="W861" s="17">
        <f>IF($Z861="","",CHOOSE($Z861,"Collection Email","1st Follow-up","2nd Follow-up","Local Office","CBE","Roxanne")&amp;IF($Z861=6," - Final"," - Day "&amp;MAX(0,NETWORKDAYS($AA861,TODAY(),Holidays)-1)&amp;" of "&amp;CHOOSE($Z861,3,3,2,2,3))&amp;" | Total Day "&amp;MAX(0,NETWORKDAYS($N861,TODAY(),Holidays)-1))</f>
        <v/>
      </c>
      <c r="X861" s="18"/>
      <c r="Y861" s="18"/>
      <c r="Z861" s="17">
        <f>IF($N861="","",COUNT($N861:$S861))</f>
        <v/>
      </c>
      <c r="AA861" s="19">
        <f>IF($Z861="","",INT(INDEX($N861:$S861,$Z861)))</f>
        <v/>
      </c>
      <c r="AB861" s="19">
        <f>IF(OR($Z861="",$Z861=6),"",WORKDAY($AA861,CHOOSE($Z861,3,3,2,2,3),Holidays))</f>
        <v/>
      </c>
      <c r="AC861" s="17">
        <f>IF(OR($Z861="",$Z861=6),"",CHOOSE($Z861,"1st Email Follow-up","2nd Email Follow-up","Escalate Local Office","Escalate to CBE","Escalate to Roxanne"))</f>
        <v/>
      </c>
    </row>
    <row r="862" spans="13:29">
      <c r="M862" s="14"/>
      <c r="T862" s="16"/>
      <c r="U862" s="17">
        <f>IF(AND(COUNTA($A862:$L862)=0,$N862=""),"",IF($T862="Paid","PAID",IF($T862="Closed","CLOSED",IF($Z862="","",IF($Z862=6,"ESCALATED TO ROXANNE",IF(TODAY()&gt;$AB862,"OVERDUE",IF($AB862&lt;=WORKDAY(TODAY(),1,Holidays),"DUE TOMORROW",IF($Z862=4,"ESCALATED TO LOCAL OFFICE",IF($Z862=5,"ESCALATED TO CBE",IF($AA862=TODAY(),"EMAIL SENT","MONITORING"))))))))))</f>
        <v/>
      </c>
      <c r="V862" s="17">
        <f>IF($U862="",IF(AND(COUNTA($A862:$L862)&gt;0,$N862=""),"Awaiting Collection Email time stamp.",""),IF(OR($U862="PAID",$U862="CLOSED"),IF($U862="PAID","Account paid. Action completed.","Account closed. No further action required."),CHOOSE($Z862,"Collection Email","1st Email Follow-up","2nd Email Follow-up","Escalation to Local Office","Escalation to CBE","Escalation to Roxanne")&amp;" sent "&amp;TEXT($AA862,"dd-mmm")&amp;". "&amp;IF($Z862=6,"Final escalation completed.",IF($U862="OVERDUE","Next: "&amp;$AC862&amp;" was due "&amp;TEXT($AB862,"dd-mmm")&amp;" - "&amp;(NETWORKDAYS($AB862,TODAY(),Holidays)-1)&amp;" business day(s) late. Send now.",IF($U862="DUE TOMORROW","Next: "&amp;$AC862&amp;IF($AB862&lt;=TODAY()," is due TODAY ("," is due next business day (")&amp;TEXT($AB862,"dd-mmm")&amp;").","Next: "&amp;$AC862&amp;" due "&amp;TEXT($AB862,"dd-mmm")&amp;" ("&amp;(NETWORKDAYS(TODAY(),$AB862,Holidays)-1)&amp;" business day(s) left).")))))</f>
        <v/>
      </c>
      <c r="W862" s="17">
        <f>IF($Z862="","",CHOOSE($Z862,"Collection Email","1st Follow-up","2nd Follow-up","Local Office","CBE","Roxanne")&amp;IF($Z862=6," - Final"," - Day "&amp;MAX(0,NETWORKDAYS($AA862,TODAY(),Holidays)-1)&amp;" of "&amp;CHOOSE($Z862,3,3,2,2,3))&amp;" | Total Day "&amp;MAX(0,NETWORKDAYS($N862,TODAY(),Holidays)-1))</f>
        <v/>
      </c>
      <c r="X862" s="18"/>
      <c r="Y862" s="18"/>
      <c r="Z862" s="17">
        <f>IF($N862="","",COUNT($N862:$S862))</f>
        <v/>
      </c>
      <c r="AA862" s="19">
        <f>IF($Z862="","",INT(INDEX($N862:$S862,$Z862)))</f>
        <v/>
      </c>
      <c r="AB862" s="19">
        <f>IF(OR($Z862="",$Z862=6),"",WORKDAY($AA862,CHOOSE($Z862,3,3,2,2,3),Holidays))</f>
        <v/>
      </c>
      <c r="AC862" s="17">
        <f>IF(OR($Z862="",$Z862=6),"",CHOOSE($Z862,"1st Email Follow-up","2nd Email Follow-up","Escalate Local Office","Escalate to CBE","Escalate to Roxanne"))</f>
        <v/>
      </c>
    </row>
    <row r="863" spans="13:29">
      <c r="M863" s="14"/>
      <c r="T863" s="16"/>
      <c r="U863" s="17">
        <f>IF(AND(COUNTA($A863:$L863)=0,$N863=""),"",IF($T863="Paid","PAID",IF($T863="Closed","CLOSED",IF($Z863="","",IF($Z863=6,"ESCALATED TO ROXANNE",IF(TODAY()&gt;$AB863,"OVERDUE",IF($AB863&lt;=WORKDAY(TODAY(),1,Holidays),"DUE TOMORROW",IF($Z863=4,"ESCALATED TO LOCAL OFFICE",IF($Z863=5,"ESCALATED TO CBE",IF($AA863=TODAY(),"EMAIL SENT","MONITORING"))))))))))</f>
        <v/>
      </c>
      <c r="V863" s="17">
        <f>IF($U863="",IF(AND(COUNTA($A863:$L863)&gt;0,$N863=""),"Awaiting Collection Email time stamp.",""),IF(OR($U863="PAID",$U863="CLOSED"),IF($U863="PAID","Account paid. Action completed.","Account closed. No further action required."),CHOOSE($Z863,"Collection Email","1st Email Follow-up","2nd Email Follow-up","Escalation to Local Office","Escalation to CBE","Escalation to Roxanne")&amp;" sent "&amp;TEXT($AA863,"dd-mmm")&amp;". "&amp;IF($Z863=6,"Final escalation completed.",IF($U863="OVERDUE","Next: "&amp;$AC863&amp;" was due "&amp;TEXT($AB863,"dd-mmm")&amp;" - "&amp;(NETWORKDAYS($AB863,TODAY(),Holidays)-1)&amp;" business day(s) late. Send now.",IF($U863="DUE TOMORROW","Next: "&amp;$AC863&amp;IF($AB863&lt;=TODAY()," is due TODAY ("," is due next business day (")&amp;TEXT($AB863,"dd-mmm")&amp;").","Next: "&amp;$AC863&amp;" due "&amp;TEXT($AB863,"dd-mmm")&amp;" ("&amp;(NETWORKDAYS(TODAY(),$AB863,Holidays)-1)&amp;" business day(s) left).")))))</f>
        <v/>
      </c>
      <c r="W863" s="17">
        <f>IF($Z863="","",CHOOSE($Z863,"Collection Email","1st Follow-up","2nd Follow-up","Local Office","CBE","Roxanne")&amp;IF($Z863=6," - Final"," - Day "&amp;MAX(0,NETWORKDAYS($AA863,TODAY(),Holidays)-1)&amp;" of "&amp;CHOOSE($Z863,3,3,2,2,3))&amp;" | Total Day "&amp;MAX(0,NETWORKDAYS($N863,TODAY(),Holidays)-1))</f>
        <v/>
      </c>
      <c r="X863" s="18"/>
      <c r="Y863" s="18"/>
      <c r="Z863" s="17">
        <f>IF($N863="","",COUNT($N863:$S863))</f>
        <v/>
      </c>
      <c r="AA863" s="19">
        <f>IF($Z863="","",INT(INDEX($N863:$S863,$Z863)))</f>
        <v/>
      </c>
      <c r="AB863" s="19">
        <f>IF(OR($Z863="",$Z863=6),"",WORKDAY($AA863,CHOOSE($Z863,3,3,2,2,3),Holidays))</f>
        <v/>
      </c>
      <c r="AC863" s="17">
        <f>IF(OR($Z863="",$Z863=6),"",CHOOSE($Z863,"1st Email Follow-up","2nd Email Follow-up","Escalate Local Office","Escalate to CBE","Escalate to Roxanne"))</f>
        <v/>
      </c>
    </row>
    <row r="864" spans="13:29">
      <c r="M864" s="14"/>
      <c r="T864" s="16"/>
      <c r="U864" s="17">
        <f>IF(AND(COUNTA($A864:$L864)=0,$N864=""),"",IF($T864="Paid","PAID",IF($T864="Closed","CLOSED",IF($Z864="","",IF($Z864=6,"ESCALATED TO ROXANNE",IF(TODAY()&gt;$AB864,"OVERDUE",IF($AB864&lt;=WORKDAY(TODAY(),1,Holidays),"DUE TOMORROW",IF($Z864=4,"ESCALATED TO LOCAL OFFICE",IF($Z864=5,"ESCALATED TO CBE",IF($AA864=TODAY(),"EMAIL SENT","MONITORING"))))))))))</f>
        <v/>
      </c>
      <c r="V864" s="17">
        <f>IF($U864="",IF(AND(COUNTA($A864:$L864)&gt;0,$N864=""),"Awaiting Collection Email time stamp.",""),IF(OR($U864="PAID",$U864="CLOSED"),IF($U864="PAID","Account paid. Action completed.","Account closed. No further action required."),CHOOSE($Z864,"Collection Email","1st Email Follow-up","2nd Email Follow-up","Escalation to Local Office","Escalation to CBE","Escalation to Roxanne")&amp;" sent "&amp;TEXT($AA864,"dd-mmm")&amp;". "&amp;IF($Z864=6,"Final escalation completed.",IF($U864="OVERDUE","Next: "&amp;$AC864&amp;" was due "&amp;TEXT($AB864,"dd-mmm")&amp;" - "&amp;(NETWORKDAYS($AB864,TODAY(),Holidays)-1)&amp;" business day(s) late. Send now.",IF($U864="DUE TOMORROW","Next: "&amp;$AC864&amp;IF($AB864&lt;=TODAY()," is due TODAY ("," is due next business day (")&amp;TEXT($AB864,"dd-mmm")&amp;").","Next: "&amp;$AC864&amp;" due "&amp;TEXT($AB864,"dd-mmm")&amp;" ("&amp;(NETWORKDAYS(TODAY(),$AB864,Holidays)-1)&amp;" business day(s) left).")))))</f>
        <v/>
      </c>
      <c r="W864" s="17">
        <f>IF($Z864="","",CHOOSE($Z864,"Collection Email","1st Follow-up","2nd Follow-up","Local Office","CBE","Roxanne")&amp;IF($Z864=6," - Final"," - Day "&amp;MAX(0,NETWORKDAYS($AA864,TODAY(),Holidays)-1)&amp;" of "&amp;CHOOSE($Z864,3,3,2,2,3))&amp;" | Total Day "&amp;MAX(0,NETWORKDAYS($N864,TODAY(),Holidays)-1))</f>
        <v/>
      </c>
      <c r="X864" s="18"/>
      <c r="Y864" s="18"/>
      <c r="Z864" s="17">
        <f>IF($N864="","",COUNT($N864:$S864))</f>
        <v/>
      </c>
      <c r="AA864" s="19">
        <f>IF($Z864="","",INT(INDEX($N864:$S864,$Z864)))</f>
        <v/>
      </c>
      <c r="AB864" s="19">
        <f>IF(OR($Z864="",$Z864=6),"",WORKDAY($AA864,CHOOSE($Z864,3,3,2,2,3),Holidays))</f>
        <v/>
      </c>
      <c r="AC864" s="17">
        <f>IF(OR($Z864="",$Z864=6),"",CHOOSE($Z864,"1st Email Follow-up","2nd Email Follow-up","Escalate Local Office","Escalate to CBE","Escalate to Roxanne"))</f>
        <v/>
      </c>
    </row>
    <row r="865" spans="13:29">
      <c r="M865" s="14"/>
      <c r="T865" s="16"/>
      <c r="U865" s="17">
        <f>IF(AND(COUNTA($A865:$L865)=0,$N865=""),"",IF($T865="Paid","PAID",IF($T865="Closed","CLOSED",IF($Z865="","",IF($Z865=6,"ESCALATED TO ROXANNE",IF(TODAY()&gt;$AB865,"OVERDUE",IF($AB865&lt;=WORKDAY(TODAY(),1,Holidays),"DUE TOMORROW",IF($Z865=4,"ESCALATED TO LOCAL OFFICE",IF($Z865=5,"ESCALATED TO CBE",IF($AA865=TODAY(),"EMAIL SENT","MONITORING"))))))))))</f>
        <v/>
      </c>
      <c r="V865" s="17">
        <f>IF($U865="",IF(AND(COUNTA($A865:$L865)&gt;0,$N865=""),"Awaiting Collection Email time stamp.",""),IF(OR($U865="PAID",$U865="CLOSED"),IF($U865="PAID","Account paid. Action completed.","Account closed. No further action required."),CHOOSE($Z865,"Collection Email","1st Email Follow-up","2nd Email Follow-up","Escalation to Local Office","Escalation to CBE","Escalation to Roxanne")&amp;" sent "&amp;TEXT($AA865,"dd-mmm")&amp;". "&amp;IF($Z865=6,"Final escalation completed.",IF($U865="OVERDUE","Next: "&amp;$AC865&amp;" was due "&amp;TEXT($AB865,"dd-mmm")&amp;" - "&amp;(NETWORKDAYS($AB865,TODAY(),Holidays)-1)&amp;" business day(s) late. Send now.",IF($U865="DUE TOMORROW","Next: "&amp;$AC865&amp;IF($AB865&lt;=TODAY()," is due TODAY ("," is due next business day (")&amp;TEXT($AB865,"dd-mmm")&amp;").","Next: "&amp;$AC865&amp;" due "&amp;TEXT($AB865,"dd-mmm")&amp;" ("&amp;(NETWORKDAYS(TODAY(),$AB865,Holidays)-1)&amp;" business day(s) left).")))))</f>
        <v/>
      </c>
      <c r="W865" s="17">
        <f>IF($Z865="","",CHOOSE($Z865,"Collection Email","1st Follow-up","2nd Follow-up","Local Office","CBE","Roxanne")&amp;IF($Z865=6," - Final"," - Day "&amp;MAX(0,NETWORKDAYS($AA865,TODAY(),Holidays)-1)&amp;" of "&amp;CHOOSE($Z865,3,3,2,2,3))&amp;" | Total Day "&amp;MAX(0,NETWORKDAYS($N865,TODAY(),Holidays)-1))</f>
        <v/>
      </c>
      <c r="X865" s="18"/>
      <c r="Y865" s="18"/>
      <c r="Z865" s="17">
        <f>IF($N865="","",COUNT($N865:$S865))</f>
        <v/>
      </c>
      <c r="AA865" s="19">
        <f>IF($Z865="","",INT(INDEX($N865:$S865,$Z865)))</f>
        <v/>
      </c>
      <c r="AB865" s="19">
        <f>IF(OR($Z865="",$Z865=6),"",WORKDAY($AA865,CHOOSE($Z865,3,3,2,2,3),Holidays))</f>
        <v/>
      </c>
      <c r="AC865" s="17">
        <f>IF(OR($Z865="",$Z865=6),"",CHOOSE($Z865,"1st Email Follow-up","2nd Email Follow-up","Escalate Local Office","Escalate to CBE","Escalate to Roxanne"))</f>
        <v/>
      </c>
    </row>
    <row r="866" spans="13:29">
      <c r="M866" s="14"/>
      <c r="T866" s="16"/>
      <c r="U866" s="17">
        <f>IF(AND(COUNTA($A866:$L866)=0,$N866=""),"",IF($T866="Paid","PAID",IF($T866="Closed","CLOSED",IF($Z866="","",IF($Z866=6,"ESCALATED TO ROXANNE",IF(TODAY()&gt;$AB866,"OVERDUE",IF($AB866&lt;=WORKDAY(TODAY(),1,Holidays),"DUE TOMORROW",IF($Z866=4,"ESCALATED TO LOCAL OFFICE",IF($Z866=5,"ESCALATED TO CBE",IF($AA866=TODAY(),"EMAIL SENT","MONITORING"))))))))))</f>
        <v/>
      </c>
      <c r="V866" s="17">
        <f>IF($U866="",IF(AND(COUNTA($A866:$L866)&gt;0,$N866=""),"Awaiting Collection Email time stamp.",""),IF(OR($U866="PAID",$U866="CLOSED"),IF($U866="PAID","Account paid. Action completed.","Account closed. No further action required."),CHOOSE($Z866,"Collection Email","1st Email Follow-up","2nd Email Follow-up","Escalation to Local Office","Escalation to CBE","Escalation to Roxanne")&amp;" sent "&amp;TEXT($AA866,"dd-mmm")&amp;". "&amp;IF($Z866=6,"Final escalation completed.",IF($U866="OVERDUE","Next: "&amp;$AC866&amp;" was due "&amp;TEXT($AB866,"dd-mmm")&amp;" - "&amp;(NETWORKDAYS($AB866,TODAY(),Holidays)-1)&amp;" business day(s) late. Send now.",IF($U866="DUE TOMORROW","Next: "&amp;$AC866&amp;IF($AB866&lt;=TODAY()," is due TODAY ("," is due next business day (")&amp;TEXT($AB866,"dd-mmm")&amp;").","Next: "&amp;$AC866&amp;" due "&amp;TEXT($AB866,"dd-mmm")&amp;" ("&amp;(NETWORKDAYS(TODAY(),$AB866,Holidays)-1)&amp;" business day(s) left).")))))</f>
        <v/>
      </c>
      <c r="W866" s="17">
        <f>IF($Z866="","",CHOOSE($Z866,"Collection Email","1st Follow-up","2nd Follow-up","Local Office","CBE","Roxanne")&amp;IF($Z866=6," - Final"," - Day "&amp;MAX(0,NETWORKDAYS($AA866,TODAY(),Holidays)-1)&amp;" of "&amp;CHOOSE($Z866,3,3,2,2,3))&amp;" | Total Day "&amp;MAX(0,NETWORKDAYS($N866,TODAY(),Holidays)-1))</f>
        <v/>
      </c>
      <c r="X866" s="18"/>
      <c r="Y866" s="18"/>
      <c r="Z866" s="17">
        <f>IF($N866="","",COUNT($N866:$S866))</f>
        <v/>
      </c>
      <c r="AA866" s="19">
        <f>IF($Z866="","",INT(INDEX($N866:$S866,$Z866)))</f>
        <v/>
      </c>
      <c r="AB866" s="19">
        <f>IF(OR($Z866="",$Z866=6),"",WORKDAY($AA866,CHOOSE($Z866,3,3,2,2,3),Holidays))</f>
        <v/>
      </c>
      <c r="AC866" s="17">
        <f>IF(OR($Z866="",$Z866=6),"",CHOOSE($Z866,"1st Email Follow-up","2nd Email Follow-up","Escalate Local Office","Escalate to CBE","Escalate to Roxanne"))</f>
        <v/>
      </c>
    </row>
    <row r="867" spans="13:29">
      <c r="M867" s="14"/>
      <c r="T867" s="16"/>
      <c r="U867" s="17">
        <f>IF(AND(COUNTA($A867:$L867)=0,$N867=""),"",IF($T867="Paid","PAID",IF($T867="Closed","CLOSED",IF($Z867="","",IF($Z867=6,"ESCALATED TO ROXANNE",IF(TODAY()&gt;$AB867,"OVERDUE",IF($AB867&lt;=WORKDAY(TODAY(),1,Holidays),"DUE TOMORROW",IF($Z867=4,"ESCALATED TO LOCAL OFFICE",IF($Z867=5,"ESCALATED TO CBE",IF($AA867=TODAY(),"EMAIL SENT","MONITORING"))))))))))</f>
        <v/>
      </c>
      <c r="V867" s="17">
        <f>IF($U867="",IF(AND(COUNTA($A867:$L867)&gt;0,$N867=""),"Awaiting Collection Email time stamp.",""),IF(OR($U867="PAID",$U867="CLOSED"),IF($U867="PAID","Account paid. Action completed.","Account closed. No further action required."),CHOOSE($Z867,"Collection Email","1st Email Follow-up","2nd Email Follow-up","Escalation to Local Office","Escalation to CBE","Escalation to Roxanne")&amp;" sent "&amp;TEXT($AA867,"dd-mmm")&amp;". "&amp;IF($Z867=6,"Final escalation completed.",IF($U867="OVERDUE","Next: "&amp;$AC867&amp;" was due "&amp;TEXT($AB867,"dd-mmm")&amp;" - "&amp;(NETWORKDAYS($AB867,TODAY(),Holidays)-1)&amp;" business day(s) late. Send now.",IF($U867="DUE TOMORROW","Next: "&amp;$AC867&amp;IF($AB867&lt;=TODAY()," is due TODAY ("," is due next business day (")&amp;TEXT($AB867,"dd-mmm")&amp;").","Next: "&amp;$AC867&amp;" due "&amp;TEXT($AB867,"dd-mmm")&amp;" ("&amp;(NETWORKDAYS(TODAY(),$AB867,Holidays)-1)&amp;" business day(s) left).")))))</f>
        <v/>
      </c>
      <c r="W867" s="17">
        <f>IF($Z867="","",CHOOSE($Z867,"Collection Email","1st Follow-up","2nd Follow-up","Local Office","CBE","Roxanne")&amp;IF($Z867=6," - Final"," - Day "&amp;MAX(0,NETWORKDAYS($AA867,TODAY(),Holidays)-1)&amp;" of "&amp;CHOOSE($Z867,3,3,2,2,3))&amp;" | Total Day "&amp;MAX(0,NETWORKDAYS($N867,TODAY(),Holidays)-1))</f>
        <v/>
      </c>
      <c r="X867" s="18"/>
      <c r="Y867" s="18"/>
      <c r="Z867" s="17">
        <f>IF($N867="","",COUNT($N867:$S867))</f>
        <v/>
      </c>
      <c r="AA867" s="19">
        <f>IF($Z867="","",INT(INDEX($N867:$S867,$Z867)))</f>
        <v/>
      </c>
      <c r="AB867" s="19">
        <f>IF(OR($Z867="",$Z867=6),"",WORKDAY($AA867,CHOOSE($Z867,3,3,2,2,3),Holidays))</f>
        <v/>
      </c>
      <c r="AC867" s="17">
        <f>IF(OR($Z867="",$Z867=6),"",CHOOSE($Z867,"1st Email Follow-up","2nd Email Follow-up","Escalate Local Office","Escalate to CBE","Escalate to Roxanne"))</f>
        <v/>
      </c>
    </row>
    <row r="868" spans="13:29">
      <c r="M868" s="14"/>
      <c r="T868" s="16"/>
      <c r="U868" s="17">
        <f>IF(AND(COUNTA($A868:$L868)=0,$N868=""),"",IF($T868="Paid","PAID",IF($T868="Closed","CLOSED",IF($Z868="","",IF($Z868=6,"ESCALATED TO ROXANNE",IF(TODAY()&gt;$AB868,"OVERDUE",IF($AB868&lt;=WORKDAY(TODAY(),1,Holidays),"DUE TOMORROW",IF($Z868=4,"ESCALATED TO LOCAL OFFICE",IF($Z868=5,"ESCALATED TO CBE",IF($AA868=TODAY(),"EMAIL SENT","MONITORING"))))))))))</f>
        <v/>
      </c>
      <c r="V868" s="17">
        <f>IF($U868="",IF(AND(COUNTA($A868:$L868)&gt;0,$N868=""),"Awaiting Collection Email time stamp.",""),IF(OR($U868="PAID",$U868="CLOSED"),IF($U868="PAID","Account paid. Action completed.","Account closed. No further action required."),CHOOSE($Z868,"Collection Email","1st Email Follow-up","2nd Email Follow-up","Escalation to Local Office","Escalation to CBE","Escalation to Roxanne")&amp;" sent "&amp;TEXT($AA868,"dd-mmm")&amp;". "&amp;IF($Z868=6,"Final escalation completed.",IF($U868="OVERDUE","Next: "&amp;$AC868&amp;" was due "&amp;TEXT($AB868,"dd-mmm")&amp;" - "&amp;(NETWORKDAYS($AB868,TODAY(),Holidays)-1)&amp;" business day(s) late. Send now.",IF($U868="DUE TOMORROW","Next: "&amp;$AC868&amp;IF($AB868&lt;=TODAY()," is due TODAY ("," is due next business day (")&amp;TEXT($AB868,"dd-mmm")&amp;").","Next: "&amp;$AC868&amp;" due "&amp;TEXT($AB868,"dd-mmm")&amp;" ("&amp;(NETWORKDAYS(TODAY(),$AB868,Holidays)-1)&amp;" business day(s) left).")))))</f>
        <v/>
      </c>
      <c r="W868" s="17">
        <f>IF($Z868="","",CHOOSE($Z868,"Collection Email","1st Follow-up","2nd Follow-up","Local Office","CBE","Roxanne")&amp;IF($Z868=6," - Final"," - Day "&amp;MAX(0,NETWORKDAYS($AA868,TODAY(),Holidays)-1)&amp;" of "&amp;CHOOSE($Z868,3,3,2,2,3))&amp;" | Total Day "&amp;MAX(0,NETWORKDAYS($N868,TODAY(),Holidays)-1))</f>
        <v/>
      </c>
      <c r="X868" s="18"/>
      <c r="Y868" s="18"/>
      <c r="Z868" s="17">
        <f>IF($N868="","",COUNT($N868:$S868))</f>
        <v/>
      </c>
      <c r="AA868" s="19">
        <f>IF($Z868="","",INT(INDEX($N868:$S868,$Z868)))</f>
        <v/>
      </c>
      <c r="AB868" s="19">
        <f>IF(OR($Z868="",$Z868=6),"",WORKDAY($AA868,CHOOSE($Z868,3,3,2,2,3),Holidays))</f>
        <v/>
      </c>
      <c r="AC868" s="17">
        <f>IF(OR($Z868="",$Z868=6),"",CHOOSE($Z868,"1st Email Follow-up","2nd Email Follow-up","Escalate Local Office","Escalate to CBE","Escalate to Roxanne"))</f>
        <v/>
      </c>
    </row>
    <row r="869" spans="13:29">
      <c r="M869" s="14"/>
      <c r="T869" s="16"/>
      <c r="U869" s="17">
        <f>IF(AND(COUNTA($A869:$L869)=0,$N869=""),"",IF($T869="Paid","PAID",IF($T869="Closed","CLOSED",IF($Z869="","",IF($Z869=6,"ESCALATED TO ROXANNE",IF(TODAY()&gt;$AB869,"OVERDUE",IF($AB869&lt;=WORKDAY(TODAY(),1,Holidays),"DUE TOMORROW",IF($Z869=4,"ESCALATED TO LOCAL OFFICE",IF($Z869=5,"ESCALATED TO CBE",IF($AA869=TODAY(),"EMAIL SENT","MONITORING"))))))))))</f>
        <v/>
      </c>
      <c r="V869" s="17">
        <f>IF($U869="",IF(AND(COUNTA($A869:$L869)&gt;0,$N869=""),"Awaiting Collection Email time stamp.",""),IF(OR($U869="PAID",$U869="CLOSED"),IF($U869="PAID","Account paid. Action completed.","Account closed. No further action required."),CHOOSE($Z869,"Collection Email","1st Email Follow-up","2nd Email Follow-up","Escalation to Local Office","Escalation to CBE","Escalation to Roxanne")&amp;" sent "&amp;TEXT($AA869,"dd-mmm")&amp;". "&amp;IF($Z869=6,"Final escalation completed.",IF($U869="OVERDUE","Next: "&amp;$AC869&amp;" was due "&amp;TEXT($AB869,"dd-mmm")&amp;" - "&amp;(NETWORKDAYS($AB869,TODAY(),Holidays)-1)&amp;" business day(s) late. Send now.",IF($U869="DUE TOMORROW","Next: "&amp;$AC869&amp;IF($AB869&lt;=TODAY()," is due TODAY ("," is due next business day (")&amp;TEXT($AB869,"dd-mmm")&amp;").","Next: "&amp;$AC869&amp;" due "&amp;TEXT($AB869,"dd-mmm")&amp;" ("&amp;(NETWORKDAYS(TODAY(),$AB869,Holidays)-1)&amp;" business day(s) left).")))))</f>
        <v/>
      </c>
      <c r="W869" s="17">
        <f>IF($Z869="","",CHOOSE($Z869,"Collection Email","1st Follow-up","2nd Follow-up","Local Office","CBE","Roxanne")&amp;IF($Z869=6," - Final"," - Day "&amp;MAX(0,NETWORKDAYS($AA869,TODAY(),Holidays)-1)&amp;" of "&amp;CHOOSE($Z869,3,3,2,2,3))&amp;" | Total Day "&amp;MAX(0,NETWORKDAYS($N869,TODAY(),Holidays)-1))</f>
        <v/>
      </c>
      <c r="X869" s="18"/>
      <c r="Y869" s="18"/>
      <c r="Z869" s="17">
        <f>IF($N869="","",COUNT($N869:$S869))</f>
        <v/>
      </c>
      <c r="AA869" s="19">
        <f>IF($Z869="","",INT(INDEX($N869:$S869,$Z869)))</f>
        <v/>
      </c>
      <c r="AB869" s="19">
        <f>IF(OR($Z869="",$Z869=6),"",WORKDAY($AA869,CHOOSE($Z869,3,3,2,2,3),Holidays))</f>
        <v/>
      </c>
      <c r="AC869" s="17">
        <f>IF(OR($Z869="",$Z869=6),"",CHOOSE($Z869,"1st Email Follow-up","2nd Email Follow-up","Escalate Local Office","Escalate to CBE","Escalate to Roxanne"))</f>
        <v/>
      </c>
    </row>
    <row r="870" spans="13:29">
      <c r="M870" s="14"/>
      <c r="T870" s="16"/>
      <c r="U870" s="17">
        <f>IF(AND(COUNTA($A870:$L870)=0,$N870=""),"",IF($T870="Paid","PAID",IF($T870="Closed","CLOSED",IF($Z870="","",IF($Z870=6,"ESCALATED TO ROXANNE",IF(TODAY()&gt;$AB870,"OVERDUE",IF($AB870&lt;=WORKDAY(TODAY(),1,Holidays),"DUE TOMORROW",IF($Z870=4,"ESCALATED TO LOCAL OFFICE",IF($Z870=5,"ESCALATED TO CBE",IF($AA870=TODAY(),"EMAIL SENT","MONITORING"))))))))))</f>
        <v/>
      </c>
      <c r="V870" s="17">
        <f>IF($U870="",IF(AND(COUNTA($A870:$L870)&gt;0,$N870=""),"Awaiting Collection Email time stamp.",""),IF(OR($U870="PAID",$U870="CLOSED"),IF($U870="PAID","Account paid. Action completed.","Account closed. No further action required."),CHOOSE($Z870,"Collection Email","1st Email Follow-up","2nd Email Follow-up","Escalation to Local Office","Escalation to CBE","Escalation to Roxanne")&amp;" sent "&amp;TEXT($AA870,"dd-mmm")&amp;". "&amp;IF($Z870=6,"Final escalation completed.",IF($U870="OVERDUE","Next: "&amp;$AC870&amp;" was due "&amp;TEXT($AB870,"dd-mmm")&amp;" - "&amp;(NETWORKDAYS($AB870,TODAY(),Holidays)-1)&amp;" business day(s) late. Send now.",IF($U870="DUE TOMORROW","Next: "&amp;$AC870&amp;IF($AB870&lt;=TODAY()," is due TODAY ("," is due next business day (")&amp;TEXT($AB870,"dd-mmm")&amp;").","Next: "&amp;$AC870&amp;" due "&amp;TEXT($AB870,"dd-mmm")&amp;" ("&amp;(NETWORKDAYS(TODAY(),$AB870,Holidays)-1)&amp;" business day(s) left).")))))</f>
        <v/>
      </c>
      <c r="W870" s="17">
        <f>IF($Z870="","",CHOOSE($Z870,"Collection Email","1st Follow-up","2nd Follow-up","Local Office","CBE","Roxanne")&amp;IF($Z870=6," - Final"," - Day "&amp;MAX(0,NETWORKDAYS($AA870,TODAY(),Holidays)-1)&amp;" of "&amp;CHOOSE($Z870,3,3,2,2,3))&amp;" | Total Day "&amp;MAX(0,NETWORKDAYS($N870,TODAY(),Holidays)-1))</f>
        <v/>
      </c>
      <c r="X870" s="18"/>
      <c r="Y870" s="18"/>
      <c r="Z870" s="17">
        <f>IF($N870="","",COUNT($N870:$S870))</f>
        <v/>
      </c>
      <c r="AA870" s="19">
        <f>IF($Z870="","",INT(INDEX($N870:$S870,$Z870)))</f>
        <v/>
      </c>
      <c r="AB870" s="19">
        <f>IF(OR($Z870="",$Z870=6),"",WORKDAY($AA870,CHOOSE($Z870,3,3,2,2,3),Holidays))</f>
        <v/>
      </c>
      <c r="AC870" s="17">
        <f>IF(OR($Z870="",$Z870=6),"",CHOOSE($Z870,"1st Email Follow-up","2nd Email Follow-up","Escalate Local Office","Escalate to CBE","Escalate to Roxanne"))</f>
        <v/>
      </c>
    </row>
    <row r="871" spans="13:29">
      <c r="M871" s="14"/>
      <c r="T871" s="16"/>
      <c r="U871" s="17">
        <f>IF(AND(COUNTA($A871:$L871)=0,$N871=""),"",IF($T871="Paid","PAID",IF($T871="Closed","CLOSED",IF($Z871="","",IF($Z871=6,"ESCALATED TO ROXANNE",IF(TODAY()&gt;$AB871,"OVERDUE",IF($AB871&lt;=WORKDAY(TODAY(),1,Holidays),"DUE TOMORROW",IF($Z871=4,"ESCALATED TO LOCAL OFFICE",IF($Z871=5,"ESCALATED TO CBE",IF($AA871=TODAY(),"EMAIL SENT","MONITORING"))))))))))</f>
        <v/>
      </c>
      <c r="V871" s="17">
        <f>IF($U871="",IF(AND(COUNTA($A871:$L871)&gt;0,$N871=""),"Awaiting Collection Email time stamp.",""),IF(OR($U871="PAID",$U871="CLOSED"),IF($U871="PAID","Account paid. Action completed.","Account closed. No further action required."),CHOOSE($Z871,"Collection Email","1st Email Follow-up","2nd Email Follow-up","Escalation to Local Office","Escalation to CBE","Escalation to Roxanne")&amp;" sent "&amp;TEXT($AA871,"dd-mmm")&amp;". "&amp;IF($Z871=6,"Final escalation completed.",IF($U871="OVERDUE","Next: "&amp;$AC871&amp;" was due "&amp;TEXT($AB871,"dd-mmm")&amp;" - "&amp;(NETWORKDAYS($AB871,TODAY(),Holidays)-1)&amp;" business day(s) late. Send now.",IF($U871="DUE TOMORROW","Next: "&amp;$AC871&amp;IF($AB871&lt;=TODAY()," is due TODAY ("," is due next business day (")&amp;TEXT($AB871,"dd-mmm")&amp;").","Next: "&amp;$AC871&amp;" due "&amp;TEXT($AB871,"dd-mmm")&amp;" ("&amp;(NETWORKDAYS(TODAY(),$AB871,Holidays)-1)&amp;" business day(s) left).")))))</f>
        <v/>
      </c>
      <c r="W871" s="17">
        <f>IF($Z871="","",CHOOSE($Z871,"Collection Email","1st Follow-up","2nd Follow-up","Local Office","CBE","Roxanne")&amp;IF($Z871=6," - Final"," - Day "&amp;MAX(0,NETWORKDAYS($AA871,TODAY(),Holidays)-1)&amp;" of "&amp;CHOOSE($Z871,3,3,2,2,3))&amp;" | Total Day "&amp;MAX(0,NETWORKDAYS($N871,TODAY(),Holidays)-1))</f>
        <v/>
      </c>
      <c r="X871" s="18"/>
      <c r="Y871" s="18"/>
      <c r="Z871" s="17">
        <f>IF($N871="","",COUNT($N871:$S871))</f>
        <v/>
      </c>
      <c r="AA871" s="19">
        <f>IF($Z871="","",INT(INDEX($N871:$S871,$Z871)))</f>
        <v/>
      </c>
      <c r="AB871" s="19">
        <f>IF(OR($Z871="",$Z871=6),"",WORKDAY($AA871,CHOOSE($Z871,3,3,2,2,3),Holidays))</f>
        <v/>
      </c>
      <c r="AC871" s="17">
        <f>IF(OR($Z871="",$Z871=6),"",CHOOSE($Z871,"1st Email Follow-up","2nd Email Follow-up","Escalate Local Office","Escalate to CBE","Escalate to Roxanne"))</f>
        <v/>
      </c>
    </row>
    <row r="872" spans="13:29">
      <c r="M872" s="14"/>
      <c r="T872" s="16"/>
      <c r="U872" s="17">
        <f>IF(AND(COUNTA($A872:$L872)=0,$N872=""),"",IF($T872="Paid","PAID",IF($T872="Closed","CLOSED",IF($Z872="","",IF($Z872=6,"ESCALATED TO ROXANNE",IF(TODAY()&gt;$AB872,"OVERDUE",IF($AB872&lt;=WORKDAY(TODAY(),1,Holidays),"DUE TOMORROW",IF($Z872=4,"ESCALATED TO LOCAL OFFICE",IF($Z872=5,"ESCALATED TO CBE",IF($AA872=TODAY(),"EMAIL SENT","MONITORING"))))))))))</f>
        <v/>
      </c>
      <c r="V872" s="17">
        <f>IF($U872="",IF(AND(COUNTA($A872:$L872)&gt;0,$N872=""),"Awaiting Collection Email time stamp.",""),IF(OR($U872="PAID",$U872="CLOSED"),IF($U872="PAID","Account paid. Action completed.","Account closed. No further action required."),CHOOSE($Z872,"Collection Email","1st Email Follow-up","2nd Email Follow-up","Escalation to Local Office","Escalation to CBE","Escalation to Roxanne")&amp;" sent "&amp;TEXT($AA872,"dd-mmm")&amp;". "&amp;IF($Z872=6,"Final escalation completed.",IF($U872="OVERDUE","Next: "&amp;$AC872&amp;" was due "&amp;TEXT($AB872,"dd-mmm")&amp;" - "&amp;(NETWORKDAYS($AB872,TODAY(),Holidays)-1)&amp;" business day(s) late. Send now.",IF($U872="DUE TOMORROW","Next: "&amp;$AC872&amp;IF($AB872&lt;=TODAY()," is due TODAY ("," is due next business day (")&amp;TEXT($AB872,"dd-mmm")&amp;").","Next: "&amp;$AC872&amp;" due "&amp;TEXT($AB872,"dd-mmm")&amp;" ("&amp;(NETWORKDAYS(TODAY(),$AB872,Holidays)-1)&amp;" business day(s) left).")))))</f>
        <v/>
      </c>
      <c r="W872" s="17">
        <f>IF($Z872="","",CHOOSE($Z872,"Collection Email","1st Follow-up","2nd Follow-up","Local Office","CBE","Roxanne")&amp;IF($Z872=6," - Final"," - Day "&amp;MAX(0,NETWORKDAYS($AA872,TODAY(),Holidays)-1)&amp;" of "&amp;CHOOSE($Z872,3,3,2,2,3))&amp;" | Total Day "&amp;MAX(0,NETWORKDAYS($N872,TODAY(),Holidays)-1))</f>
        <v/>
      </c>
      <c r="X872" s="18"/>
      <c r="Y872" s="18"/>
      <c r="Z872" s="17">
        <f>IF($N872="","",COUNT($N872:$S872))</f>
        <v/>
      </c>
      <c r="AA872" s="19">
        <f>IF($Z872="","",INT(INDEX($N872:$S872,$Z872)))</f>
        <v/>
      </c>
      <c r="AB872" s="19">
        <f>IF(OR($Z872="",$Z872=6),"",WORKDAY($AA872,CHOOSE($Z872,3,3,2,2,3),Holidays))</f>
        <v/>
      </c>
      <c r="AC872" s="17">
        <f>IF(OR($Z872="",$Z872=6),"",CHOOSE($Z872,"1st Email Follow-up","2nd Email Follow-up","Escalate Local Office","Escalate to CBE","Escalate to Roxanne"))</f>
        <v/>
      </c>
    </row>
    <row r="873" spans="13:29">
      <c r="M873" s="14"/>
      <c r="T873" s="16"/>
      <c r="U873" s="17">
        <f>IF(AND(COUNTA($A873:$L873)=0,$N873=""),"",IF($T873="Paid","PAID",IF($T873="Closed","CLOSED",IF($Z873="","",IF($Z873=6,"ESCALATED TO ROXANNE",IF(TODAY()&gt;$AB873,"OVERDUE",IF($AB873&lt;=WORKDAY(TODAY(),1,Holidays),"DUE TOMORROW",IF($Z873=4,"ESCALATED TO LOCAL OFFICE",IF($Z873=5,"ESCALATED TO CBE",IF($AA873=TODAY(),"EMAIL SENT","MONITORING"))))))))))</f>
        <v/>
      </c>
      <c r="V873" s="17">
        <f>IF($U873="",IF(AND(COUNTA($A873:$L873)&gt;0,$N873=""),"Awaiting Collection Email time stamp.",""),IF(OR($U873="PAID",$U873="CLOSED"),IF($U873="PAID","Account paid. Action completed.","Account closed. No further action required."),CHOOSE($Z873,"Collection Email","1st Email Follow-up","2nd Email Follow-up","Escalation to Local Office","Escalation to CBE","Escalation to Roxanne")&amp;" sent "&amp;TEXT($AA873,"dd-mmm")&amp;". "&amp;IF($Z873=6,"Final escalation completed.",IF($U873="OVERDUE","Next: "&amp;$AC873&amp;" was due "&amp;TEXT($AB873,"dd-mmm")&amp;" - "&amp;(NETWORKDAYS($AB873,TODAY(),Holidays)-1)&amp;" business day(s) late. Send now.",IF($U873="DUE TOMORROW","Next: "&amp;$AC873&amp;IF($AB873&lt;=TODAY()," is due TODAY ("," is due next business day (")&amp;TEXT($AB873,"dd-mmm")&amp;").","Next: "&amp;$AC873&amp;" due "&amp;TEXT($AB873,"dd-mmm")&amp;" ("&amp;(NETWORKDAYS(TODAY(),$AB873,Holidays)-1)&amp;" business day(s) left).")))))</f>
        <v/>
      </c>
      <c r="W873" s="17">
        <f>IF($Z873="","",CHOOSE($Z873,"Collection Email","1st Follow-up","2nd Follow-up","Local Office","CBE","Roxanne")&amp;IF($Z873=6," - Final"," - Day "&amp;MAX(0,NETWORKDAYS($AA873,TODAY(),Holidays)-1)&amp;" of "&amp;CHOOSE($Z873,3,3,2,2,3))&amp;" | Total Day "&amp;MAX(0,NETWORKDAYS($N873,TODAY(),Holidays)-1))</f>
        <v/>
      </c>
      <c r="X873" s="18"/>
      <c r="Y873" s="18"/>
      <c r="Z873" s="17">
        <f>IF($N873="","",COUNT($N873:$S873))</f>
        <v/>
      </c>
      <c r="AA873" s="19">
        <f>IF($Z873="","",INT(INDEX($N873:$S873,$Z873)))</f>
        <v/>
      </c>
      <c r="AB873" s="19">
        <f>IF(OR($Z873="",$Z873=6),"",WORKDAY($AA873,CHOOSE($Z873,3,3,2,2,3),Holidays))</f>
        <v/>
      </c>
      <c r="AC873" s="17">
        <f>IF(OR($Z873="",$Z873=6),"",CHOOSE($Z873,"1st Email Follow-up","2nd Email Follow-up","Escalate Local Office","Escalate to CBE","Escalate to Roxanne"))</f>
        <v/>
      </c>
    </row>
    <row r="874" spans="13:29">
      <c r="M874" s="14"/>
      <c r="T874" s="16"/>
      <c r="U874" s="17">
        <f>IF(AND(COUNTA($A874:$L874)=0,$N874=""),"",IF($T874="Paid","PAID",IF($T874="Closed","CLOSED",IF($Z874="","",IF($Z874=6,"ESCALATED TO ROXANNE",IF(TODAY()&gt;$AB874,"OVERDUE",IF($AB874&lt;=WORKDAY(TODAY(),1,Holidays),"DUE TOMORROW",IF($Z874=4,"ESCALATED TO LOCAL OFFICE",IF($Z874=5,"ESCALATED TO CBE",IF($AA874=TODAY(),"EMAIL SENT","MONITORING"))))))))))</f>
        <v/>
      </c>
      <c r="V874" s="17">
        <f>IF($U874="",IF(AND(COUNTA($A874:$L874)&gt;0,$N874=""),"Awaiting Collection Email time stamp.",""),IF(OR($U874="PAID",$U874="CLOSED"),IF($U874="PAID","Account paid. Action completed.","Account closed. No further action required."),CHOOSE($Z874,"Collection Email","1st Email Follow-up","2nd Email Follow-up","Escalation to Local Office","Escalation to CBE","Escalation to Roxanne")&amp;" sent "&amp;TEXT($AA874,"dd-mmm")&amp;". "&amp;IF($Z874=6,"Final escalation completed.",IF($U874="OVERDUE","Next: "&amp;$AC874&amp;" was due "&amp;TEXT($AB874,"dd-mmm")&amp;" - "&amp;(NETWORKDAYS($AB874,TODAY(),Holidays)-1)&amp;" business day(s) late. Send now.",IF($U874="DUE TOMORROW","Next: "&amp;$AC874&amp;IF($AB874&lt;=TODAY()," is due TODAY ("," is due next business day (")&amp;TEXT($AB874,"dd-mmm")&amp;").","Next: "&amp;$AC874&amp;" due "&amp;TEXT($AB874,"dd-mmm")&amp;" ("&amp;(NETWORKDAYS(TODAY(),$AB874,Holidays)-1)&amp;" business day(s) left).")))))</f>
        <v/>
      </c>
      <c r="W874" s="17">
        <f>IF($Z874="","",CHOOSE($Z874,"Collection Email","1st Follow-up","2nd Follow-up","Local Office","CBE","Roxanne")&amp;IF($Z874=6," - Final"," - Day "&amp;MAX(0,NETWORKDAYS($AA874,TODAY(),Holidays)-1)&amp;" of "&amp;CHOOSE($Z874,3,3,2,2,3))&amp;" | Total Day "&amp;MAX(0,NETWORKDAYS($N874,TODAY(),Holidays)-1))</f>
        <v/>
      </c>
      <c r="X874" s="18"/>
      <c r="Y874" s="18"/>
      <c r="Z874" s="17">
        <f>IF($N874="","",COUNT($N874:$S874))</f>
        <v/>
      </c>
      <c r="AA874" s="19">
        <f>IF($Z874="","",INT(INDEX($N874:$S874,$Z874)))</f>
        <v/>
      </c>
      <c r="AB874" s="19">
        <f>IF(OR($Z874="",$Z874=6),"",WORKDAY($AA874,CHOOSE($Z874,3,3,2,2,3),Holidays))</f>
        <v/>
      </c>
      <c r="AC874" s="17">
        <f>IF(OR($Z874="",$Z874=6),"",CHOOSE($Z874,"1st Email Follow-up","2nd Email Follow-up","Escalate Local Office","Escalate to CBE","Escalate to Roxanne"))</f>
        <v/>
      </c>
    </row>
    <row r="875" spans="13:29">
      <c r="M875" s="14"/>
      <c r="T875" s="16"/>
      <c r="U875" s="17">
        <f>IF(AND(COUNTA($A875:$L875)=0,$N875=""),"",IF($T875="Paid","PAID",IF($T875="Closed","CLOSED",IF($Z875="","",IF($Z875=6,"ESCALATED TO ROXANNE",IF(TODAY()&gt;$AB875,"OVERDUE",IF($AB875&lt;=WORKDAY(TODAY(),1,Holidays),"DUE TOMORROW",IF($Z875=4,"ESCALATED TO LOCAL OFFICE",IF($Z875=5,"ESCALATED TO CBE",IF($AA875=TODAY(),"EMAIL SENT","MONITORING"))))))))))</f>
        <v/>
      </c>
      <c r="V875" s="17">
        <f>IF($U875="",IF(AND(COUNTA($A875:$L875)&gt;0,$N875=""),"Awaiting Collection Email time stamp.",""),IF(OR($U875="PAID",$U875="CLOSED"),IF($U875="PAID","Account paid. Action completed.","Account closed. No further action required."),CHOOSE($Z875,"Collection Email","1st Email Follow-up","2nd Email Follow-up","Escalation to Local Office","Escalation to CBE","Escalation to Roxanne")&amp;" sent "&amp;TEXT($AA875,"dd-mmm")&amp;". "&amp;IF($Z875=6,"Final escalation completed.",IF($U875="OVERDUE","Next: "&amp;$AC875&amp;" was due "&amp;TEXT($AB875,"dd-mmm")&amp;" - "&amp;(NETWORKDAYS($AB875,TODAY(),Holidays)-1)&amp;" business day(s) late. Send now.",IF($U875="DUE TOMORROW","Next: "&amp;$AC875&amp;IF($AB875&lt;=TODAY()," is due TODAY ("," is due next business day (")&amp;TEXT($AB875,"dd-mmm")&amp;").","Next: "&amp;$AC875&amp;" due "&amp;TEXT($AB875,"dd-mmm")&amp;" ("&amp;(NETWORKDAYS(TODAY(),$AB875,Holidays)-1)&amp;" business day(s) left).")))))</f>
        <v/>
      </c>
      <c r="W875" s="17">
        <f>IF($Z875="","",CHOOSE($Z875,"Collection Email","1st Follow-up","2nd Follow-up","Local Office","CBE","Roxanne")&amp;IF($Z875=6," - Final"," - Day "&amp;MAX(0,NETWORKDAYS($AA875,TODAY(),Holidays)-1)&amp;" of "&amp;CHOOSE($Z875,3,3,2,2,3))&amp;" | Total Day "&amp;MAX(0,NETWORKDAYS($N875,TODAY(),Holidays)-1))</f>
        <v/>
      </c>
      <c r="X875" s="18"/>
      <c r="Y875" s="18"/>
      <c r="Z875" s="17">
        <f>IF($N875="","",COUNT($N875:$S875))</f>
        <v/>
      </c>
      <c r="AA875" s="19">
        <f>IF($Z875="","",INT(INDEX($N875:$S875,$Z875)))</f>
        <v/>
      </c>
      <c r="AB875" s="19">
        <f>IF(OR($Z875="",$Z875=6),"",WORKDAY($AA875,CHOOSE($Z875,3,3,2,2,3),Holidays))</f>
        <v/>
      </c>
      <c r="AC875" s="17">
        <f>IF(OR($Z875="",$Z875=6),"",CHOOSE($Z875,"1st Email Follow-up","2nd Email Follow-up","Escalate Local Office","Escalate to CBE","Escalate to Roxanne"))</f>
        <v/>
      </c>
    </row>
    <row r="876" spans="13:29">
      <c r="M876" s="14"/>
      <c r="T876" s="16"/>
      <c r="U876" s="17">
        <f>IF(AND(COUNTA($A876:$L876)=0,$N876=""),"",IF($T876="Paid","PAID",IF($T876="Closed","CLOSED",IF($Z876="","",IF($Z876=6,"ESCALATED TO ROXANNE",IF(TODAY()&gt;$AB876,"OVERDUE",IF($AB876&lt;=WORKDAY(TODAY(),1,Holidays),"DUE TOMORROW",IF($Z876=4,"ESCALATED TO LOCAL OFFICE",IF($Z876=5,"ESCALATED TO CBE",IF($AA876=TODAY(),"EMAIL SENT","MONITORING"))))))))))</f>
        <v/>
      </c>
      <c r="V876" s="17">
        <f>IF($U876="",IF(AND(COUNTA($A876:$L876)&gt;0,$N876=""),"Awaiting Collection Email time stamp.",""),IF(OR($U876="PAID",$U876="CLOSED"),IF($U876="PAID","Account paid. Action completed.","Account closed. No further action required."),CHOOSE($Z876,"Collection Email","1st Email Follow-up","2nd Email Follow-up","Escalation to Local Office","Escalation to CBE","Escalation to Roxanne")&amp;" sent "&amp;TEXT($AA876,"dd-mmm")&amp;". "&amp;IF($Z876=6,"Final escalation completed.",IF($U876="OVERDUE","Next: "&amp;$AC876&amp;" was due "&amp;TEXT($AB876,"dd-mmm")&amp;" - "&amp;(NETWORKDAYS($AB876,TODAY(),Holidays)-1)&amp;" business day(s) late. Send now.",IF($U876="DUE TOMORROW","Next: "&amp;$AC876&amp;IF($AB876&lt;=TODAY()," is due TODAY ("," is due next business day (")&amp;TEXT($AB876,"dd-mmm")&amp;").","Next: "&amp;$AC876&amp;" due "&amp;TEXT($AB876,"dd-mmm")&amp;" ("&amp;(NETWORKDAYS(TODAY(),$AB876,Holidays)-1)&amp;" business day(s) left).")))))</f>
        <v/>
      </c>
      <c r="W876" s="17">
        <f>IF($Z876="","",CHOOSE($Z876,"Collection Email","1st Follow-up","2nd Follow-up","Local Office","CBE","Roxanne")&amp;IF($Z876=6," - Final"," - Day "&amp;MAX(0,NETWORKDAYS($AA876,TODAY(),Holidays)-1)&amp;" of "&amp;CHOOSE($Z876,3,3,2,2,3))&amp;" | Total Day "&amp;MAX(0,NETWORKDAYS($N876,TODAY(),Holidays)-1))</f>
        <v/>
      </c>
      <c r="X876" s="18"/>
      <c r="Y876" s="18"/>
      <c r="Z876" s="17">
        <f>IF($N876="","",COUNT($N876:$S876))</f>
        <v/>
      </c>
      <c r="AA876" s="19">
        <f>IF($Z876="","",INT(INDEX($N876:$S876,$Z876)))</f>
        <v/>
      </c>
      <c r="AB876" s="19">
        <f>IF(OR($Z876="",$Z876=6),"",WORKDAY($AA876,CHOOSE($Z876,3,3,2,2,3),Holidays))</f>
        <v/>
      </c>
      <c r="AC876" s="17">
        <f>IF(OR($Z876="",$Z876=6),"",CHOOSE($Z876,"1st Email Follow-up","2nd Email Follow-up","Escalate Local Office","Escalate to CBE","Escalate to Roxanne"))</f>
        <v/>
      </c>
    </row>
    <row r="877" spans="13:29">
      <c r="M877" s="14"/>
      <c r="T877" s="16"/>
      <c r="U877" s="17">
        <f>IF(AND(COUNTA($A877:$L877)=0,$N877=""),"",IF($T877="Paid","PAID",IF($T877="Closed","CLOSED",IF($Z877="","",IF($Z877=6,"ESCALATED TO ROXANNE",IF(TODAY()&gt;$AB877,"OVERDUE",IF($AB877&lt;=WORKDAY(TODAY(),1,Holidays),"DUE TOMORROW",IF($Z877=4,"ESCALATED TO LOCAL OFFICE",IF($Z877=5,"ESCALATED TO CBE",IF($AA877=TODAY(),"EMAIL SENT","MONITORING"))))))))))</f>
        <v/>
      </c>
      <c r="V877" s="17">
        <f>IF($U877="",IF(AND(COUNTA($A877:$L877)&gt;0,$N877=""),"Awaiting Collection Email time stamp.",""),IF(OR($U877="PAID",$U877="CLOSED"),IF($U877="PAID","Account paid. Action completed.","Account closed. No further action required."),CHOOSE($Z877,"Collection Email","1st Email Follow-up","2nd Email Follow-up","Escalation to Local Office","Escalation to CBE","Escalation to Roxanne")&amp;" sent "&amp;TEXT($AA877,"dd-mmm")&amp;". "&amp;IF($Z877=6,"Final escalation completed.",IF($U877="OVERDUE","Next: "&amp;$AC877&amp;" was due "&amp;TEXT($AB877,"dd-mmm")&amp;" - "&amp;(NETWORKDAYS($AB877,TODAY(),Holidays)-1)&amp;" business day(s) late. Send now.",IF($U877="DUE TOMORROW","Next: "&amp;$AC877&amp;IF($AB877&lt;=TODAY()," is due TODAY ("," is due next business day (")&amp;TEXT($AB877,"dd-mmm")&amp;").","Next: "&amp;$AC877&amp;" due "&amp;TEXT($AB877,"dd-mmm")&amp;" ("&amp;(NETWORKDAYS(TODAY(),$AB877,Holidays)-1)&amp;" business day(s) left).")))))</f>
        <v/>
      </c>
      <c r="W877" s="17">
        <f>IF($Z877="","",CHOOSE($Z877,"Collection Email","1st Follow-up","2nd Follow-up","Local Office","CBE","Roxanne")&amp;IF($Z877=6," - Final"," - Day "&amp;MAX(0,NETWORKDAYS($AA877,TODAY(),Holidays)-1)&amp;" of "&amp;CHOOSE($Z877,3,3,2,2,3))&amp;" | Total Day "&amp;MAX(0,NETWORKDAYS($N877,TODAY(),Holidays)-1))</f>
        <v/>
      </c>
      <c r="X877" s="18"/>
      <c r="Y877" s="18"/>
      <c r="Z877" s="17">
        <f>IF($N877="","",COUNT($N877:$S877))</f>
        <v/>
      </c>
      <c r="AA877" s="19">
        <f>IF($Z877="","",INT(INDEX($N877:$S877,$Z877)))</f>
        <v/>
      </c>
      <c r="AB877" s="19">
        <f>IF(OR($Z877="",$Z877=6),"",WORKDAY($AA877,CHOOSE($Z877,3,3,2,2,3),Holidays))</f>
        <v/>
      </c>
      <c r="AC877" s="17">
        <f>IF(OR($Z877="",$Z877=6),"",CHOOSE($Z877,"1st Email Follow-up","2nd Email Follow-up","Escalate Local Office","Escalate to CBE","Escalate to Roxanne"))</f>
        <v/>
      </c>
    </row>
    <row r="878" spans="13:29">
      <c r="M878" s="14"/>
      <c r="T878" s="16"/>
      <c r="U878" s="17">
        <f>IF(AND(COUNTA($A878:$L878)=0,$N878=""),"",IF($T878="Paid","PAID",IF($T878="Closed","CLOSED",IF($Z878="","",IF($Z878=6,"ESCALATED TO ROXANNE",IF(TODAY()&gt;$AB878,"OVERDUE",IF($AB878&lt;=WORKDAY(TODAY(),1,Holidays),"DUE TOMORROW",IF($Z878=4,"ESCALATED TO LOCAL OFFICE",IF($Z878=5,"ESCALATED TO CBE",IF($AA878=TODAY(),"EMAIL SENT","MONITORING"))))))))))</f>
        <v/>
      </c>
      <c r="V878" s="17">
        <f>IF($U878="",IF(AND(COUNTA($A878:$L878)&gt;0,$N878=""),"Awaiting Collection Email time stamp.",""),IF(OR($U878="PAID",$U878="CLOSED"),IF($U878="PAID","Account paid. Action completed.","Account closed. No further action required."),CHOOSE($Z878,"Collection Email","1st Email Follow-up","2nd Email Follow-up","Escalation to Local Office","Escalation to CBE","Escalation to Roxanne")&amp;" sent "&amp;TEXT($AA878,"dd-mmm")&amp;". "&amp;IF($Z878=6,"Final escalation completed.",IF($U878="OVERDUE","Next: "&amp;$AC878&amp;" was due "&amp;TEXT($AB878,"dd-mmm")&amp;" - "&amp;(NETWORKDAYS($AB878,TODAY(),Holidays)-1)&amp;" business day(s) late. Send now.",IF($U878="DUE TOMORROW","Next: "&amp;$AC878&amp;IF($AB878&lt;=TODAY()," is due TODAY ("," is due next business day (")&amp;TEXT($AB878,"dd-mmm")&amp;").","Next: "&amp;$AC878&amp;" due "&amp;TEXT($AB878,"dd-mmm")&amp;" ("&amp;(NETWORKDAYS(TODAY(),$AB878,Holidays)-1)&amp;" business day(s) left).")))))</f>
        <v/>
      </c>
      <c r="W878" s="17">
        <f>IF($Z878="","",CHOOSE($Z878,"Collection Email","1st Follow-up","2nd Follow-up","Local Office","CBE","Roxanne")&amp;IF($Z878=6," - Final"," - Day "&amp;MAX(0,NETWORKDAYS($AA878,TODAY(),Holidays)-1)&amp;" of "&amp;CHOOSE($Z878,3,3,2,2,3))&amp;" | Total Day "&amp;MAX(0,NETWORKDAYS($N878,TODAY(),Holidays)-1))</f>
        <v/>
      </c>
      <c r="X878" s="18"/>
      <c r="Y878" s="18"/>
      <c r="Z878" s="17">
        <f>IF($N878="","",COUNT($N878:$S878))</f>
        <v/>
      </c>
      <c r="AA878" s="19">
        <f>IF($Z878="","",INT(INDEX($N878:$S878,$Z878)))</f>
        <v/>
      </c>
      <c r="AB878" s="19">
        <f>IF(OR($Z878="",$Z878=6),"",WORKDAY($AA878,CHOOSE($Z878,3,3,2,2,3),Holidays))</f>
        <v/>
      </c>
      <c r="AC878" s="17">
        <f>IF(OR($Z878="",$Z878=6),"",CHOOSE($Z878,"1st Email Follow-up","2nd Email Follow-up","Escalate Local Office","Escalate to CBE","Escalate to Roxanne"))</f>
        <v/>
      </c>
    </row>
    <row r="879" spans="13:29">
      <c r="M879" s="14"/>
      <c r="T879" s="16"/>
      <c r="U879" s="17">
        <f>IF(AND(COUNTA($A879:$L879)=0,$N879=""),"",IF($T879="Paid","PAID",IF($T879="Closed","CLOSED",IF($Z879="","",IF($Z879=6,"ESCALATED TO ROXANNE",IF(TODAY()&gt;$AB879,"OVERDUE",IF($AB879&lt;=WORKDAY(TODAY(),1,Holidays),"DUE TOMORROW",IF($Z879=4,"ESCALATED TO LOCAL OFFICE",IF($Z879=5,"ESCALATED TO CBE",IF($AA879=TODAY(),"EMAIL SENT","MONITORING"))))))))))</f>
        <v/>
      </c>
      <c r="V879" s="17">
        <f>IF($U879="",IF(AND(COUNTA($A879:$L879)&gt;0,$N879=""),"Awaiting Collection Email time stamp.",""),IF(OR($U879="PAID",$U879="CLOSED"),IF($U879="PAID","Account paid. Action completed.","Account closed. No further action required."),CHOOSE($Z879,"Collection Email","1st Email Follow-up","2nd Email Follow-up","Escalation to Local Office","Escalation to CBE","Escalation to Roxanne")&amp;" sent "&amp;TEXT($AA879,"dd-mmm")&amp;". "&amp;IF($Z879=6,"Final escalation completed.",IF($U879="OVERDUE","Next: "&amp;$AC879&amp;" was due "&amp;TEXT($AB879,"dd-mmm")&amp;" - "&amp;(NETWORKDAYS($AB879,TODAY(),Holidays)-1)&amp;" business day(s) late. Send now.",IF($U879="DUE TOMORROW","Next: "&amp;$AC879&amp;IF($AB879&lt;=TODAY()," is due TODAY ("," is due next business day (")&amp;TEXT($AB879,"dd-mmm")&amp;").","Next: "&amp;$AC879&amp;" due "&amp;TEXT($AB879,"dd-mmm")&amp;" ("&amp;(NETWORKDAYS(TODAY(),$AB879,Holidays)-1)&amp;" business day(s) left).")))))</f>
        <v/>
      </c>
      <c r="W879" s="17">
        <f>IF($Z879="","",CHOOSE($Z879,"Collection Email","1st Follow-up","2nd Follow-up","Local Office","CBE","Roxanne")&amp;IF($Z879=6," - Final"," - Day "&amp;MAX(0,NETWORKDAYS($AA879,TODAY(),Holidays)-1)&amp;" of "&amp;CHOOSE($Z879,3,3,2,2,3))&amp;" | Total Day "&amp;MAX(0,NETWORKDAYS($N879,TODAY(),Holidays)-1))</f>
        <v/>
      </c>
      <c r="X879" s="18"/>
      <c r="Y879" s="18"/>
      <c r="Z879" s="17">
        <f>IF($N879="","",COUNT($N879:$S879))</f>
        <v/>
      </c>
      <c r="AA879" s="19">
        <f>IF($Z879="","",INT(INDEX($N879:$S879,$Z879)))</f>
        <v/>
      </c>
      <c r="AB879" s="19">
        <f>IF(OR($Z879="",$Z879=6),"",WORKDAY($AA879,CHOOSE($Z879,3,3,2,2,3),Holidays))</f>
        <v/>
      </c>
      <c r="AC879" s="17">
        <f>IF(OR($Z879="",$Z879=6),"",CHOOSE($Z879,"1st Email Follow-up","2nd Email Follow-up","Escalate Local Office","Escalate to CBE","Escalate to Roxanne"))</f>
        <v/>
      </c>
    </row>
    <row r="880" spans="13:29">
      <c r="M880" s="14"/>
      <c r="T880" s="16"/>
      <c r="U880" s="17">
        <f>IF(AND(COUNTA($A880:$L880)=0,$N880=""),"",IF($T880="Paid","PAID",IF($T880="Closed","CLOSED",IF($Z880="","",IF($Z880=6,"ESCALATED TO ROXANNE",IF(TODAY()&gt;$AB880,"OVERDUE",IF($AB880&lt;=WORKDAY(TODAY(),1,Holidays),"DUE TOMORROW",IF($Z880=4,"ESCALATED TO LOCAL OFFICE",IF($Z880=5,"ESCALATED TO CBE",IF($AA880=TODAY(),"EMAIL SENT","MONITORING"))))))))))</f>
        <v/>
      </c>
      <c r="V880" s="17">
        <f>IF($U880="",IF(AND(COUNTA($A880:$L880)&gt;0,$N880=""),"Awaiting Collection Email time stamp.",""),IF(OR($U880="PAID",$U880="CLOSED"),IF($U880="PAID","Account paid. Action completed.","Account closed. No further action required."),CHOOSE($Z880,"Collection Email","1st Email Follow-up","2nd Email Follow-up","Escalation to Local Office","Escalation to CBE","Escalation to Roxanne")&amp;" sent "&amp;TEXT($AA880,"dd-mmm")&amp;". "&amp;IF($Z880=6,"Final escalation completed.",IF($U880="OVERDUE","Next: "&amp;$AC880&amp;" was due "&amp;TEXT($AB880,"dd-mmm")&amp;" - "&amp;(NETWORKDAYS($AB880,TODAY(),Holidays)-1)&amp;" business day(s) late. Send now.",IF($U880="DUE TOMORROW","Next: "&amp;$AC880&amp;IF($AB880&lt;=TODAY()," is due TODAY ("," is due next business day (")&amp;TEXT($AB880,"dd-mmm")&amp;").","Next: "&amp;$AC880&amp;" due "&amp;TEXT($AB880,"dd-mmm")&amp;" ("&amp;(NETWORKDAYS(TODAY(),$AB880,Holidays)-1)&amp;" business day(s) left).")))))</f>
        <v/>
      </c>
      <c r="W880" s="17">
        <f>IF($Z880="","",CHOOSE($Z880,"Collection Email","1st Follow-up","2nd Follow-up","Local Office","CBE","Roxanne")&amp;IF($Z880=6," - Final"," - Day "&amp;MAX(0,NETWORKDAYS($AA880,TODAY(),Holidays)-1)&amp;" of "&amp;CHOOSE($Z880,3,3,2,2,3))&amp;" | Total Day "&amp;MAX(0,NETWORKDAYS($N880,TODAY(),Holidays)-1))</f>
        <v/>
      </c>
      <c r="X880" s="18"/>
      <c r="Y880" s="18"/>
      <c r="Z880" s="17">
        <f>IF($N880="","",COUNT($N880:$S880))</f>
        <v/>
      </c>
      <c r="AA880" s="19">
        <f>IF($Z880="","",INT(INDEX($N880:$S880,$Z880)))</f>
        <v/>
      </c>
      <c r="AB880" s="19">
        <f>IF(OR($Z880="",$Z880=6),"",WORKDAY($AA880,CHOOSE($Z880,3,3,2,2,3),Holidays))</f>
        <v/>
      </c>
      <c r="AC880" s="17">
        <f>IF(OR($Z880="",$Z880=6),"",CHOOSE($Z880,"1st Email Follow-up","2nd Email Follow-up","Escalate Local Office","Escalate to CBE","Escalate to Roxanne"))</f>
        <v/>
      </c>
    </row>
    <row r="881" spans="13:29">
      <c r="M881" s="14"/>
      <c r="T881" s="16"/>
      <c r="U881" s="17">
        <f>IF(AND(COUNTA($A881:$L881)=0,$N881=""),"",IF($T881="Paid","PAID",IF($T881="Closed","CLOSED",IF($Z881="","",IF($Z881=6,"ESCALATED TO ROXANNE",IF(TODAY()&gt;$AB881,"OVERDUE",IF($AB881&lt;=WORKDAY(TODAY(),1,Holidays),"DUE TOMORROW",IF($Z881=4,"ESCALATED TO LOCAL OFFICE",IF($Z881=5,"ESCALATED TO CBE",IF($AA881=TODAY(),"EMAIL SENT","MONITORING"))))))))))</f>
        <v/>
      </c>
      <c r="V881" s="17">
        <f>IF($U881="",IF(AND(COUNTA($A881:$L881)&gt;0,$N881=""),"Awaiting Collection Email time stamp.",""),IF(OR($U881="PAID",$U881="CLOSED"),IF($U881="PAID","Account paid. Action completed.","Account closed. No further action required."),CHOOSE($Z881,"Collection Email","1st Email Follow-up","2nd Email Follow-up","Escalation to Local Office","Escalation to CBE","Escalation to Roxanne")&amp;" sent "&amp;TEXT($AA881,"dd-mmm")&amp;". "&amp;IF($Z881=6,"Final escalation completed.",IF($U881="OVERDUE","Next: "&amp;$AC881&amp;" was due "&amp;TEXT($AB881,"dd-mmm")&amp;" - "&amp;(NETWORKDAYS($AB881,TODAY(),Holidays)-1)&amp;" business day(s) late. Send now.",IF($U881="DUE TOMORROW","Next: "&amp;$AC881&amp;IF($AB881&lt;=TODAY()," is due TODAY ("," is due next business day (")&amp;TEXT($AB881,"dd-mmm")&amp;").","Next: "&amp;$AC881&amp;" due "&amp;TEXT($AB881,"dd-mmm")&amp;" ("&amp;(NETWORKDAYS(TODAY(),$AB881,Holidays)-1)&amp;" business day(s) left).")))))</f>
        <v/>
      </c>
      <c r="W881" s="17">
        <f>IF($Z881="","",CHOOSE($Z881,"Collection Email","1st Follow-up","2nd Follow-up","Local Office","CBE","Roxanne")&amp;IF($Z881=6," - Final"," - Day "&amp;MAX(0,NETWORKDAYS($AA881,TODAY(),Holidays)-1)&amp;" of "&amp;CHOOSE($Z881,3,3,2,2,3))&amp;" | Total Day "&amp;MAX(0,NETWORKDAYS($N881,TODAY(),Holidays)-1))</f>
        <v/>
      </c>
      <c r="X881" s="18"/>
      <c r="Y881" s="18"/>
      <c r="Z881" s="17">
        <f>IF($N881="","",COUNT($N881:$S881))</f>
        <v/>
      </c>
      <c r="AA881" s="19">
        <f>IF($Z881="","",INT(INDEX($N881:$S881,$Z881)))</f>
        <v/>
      </c>
      <c r="AB881" s="19">
        <f>IF(OR($Z881="",$Z881=6),"",WORKDAY($AA881,CHOOSE($Z881,3,3,2,2,3),Holidays))</f>
        <v/>
      </c>
      <c r="AC881" s="17">
        <f>IF(OR($Z881="",$Z881=6),"",CHOOSE($Z881,"1st Email Follow-up","2nd Email Follow-up","Escalate Local Office","Escalate to CBE","Escalate to Roxanne"))</f>
        <v/>
      </c>
    </row>
    <row r="882" spans="13:29">
      <c r="M882" s="14"/>
      <c r="T882" s="16"/>
      <c r="U882" s="17">
        <f>IF(AND(COUNTA($A882:$L882)=0,$N882=""),"",IF($T882="Paid","PAID",IF($T882="Closed","CLOSED",IF($Z882="","",IF($Z882=6,"ESCALATED TO ROXANNE",IF(TODAY()&gt;$AB882,"OVERDUE",IF($AB882&lt;=WORKDAY(TODAY(),1,Holidays),"DUE TOMORROW",IF($Z882=4,"ESCALATED TO LOCAL OFFICE",IF($Z882=5,"ESCALATED TO CBE",IF($AA882=TODAY(),"EMAIL SENT","MONITORING"))))))))))</f>
        <v/>
      </c>
      <c r="V882" s="17">
        <f>IF($U882="",IF(AND(COUNTA($A882:$L882)&gt;0,$N882=""),"Awaiting Collection Email time stamp.",""),IF(OR($U882="PAID",$U882="CLOSED"),IF($U882="PAID","Account paid. Action completed.","Account closed. No further action required."),CHOOSE($Z882,"Collection Email","1st Email Follow-up","2nd Email Follow-up","Escalation to Local Office","Escalation to CBE","Escalation to Roxanne")&amp;" sent "&amp;TEXT($AA882,"dd-mmm")&amp;". "&amp;IF($Z882=6,"Final escalation completed.",IF($U882="OVERDUE","Next: "&amp;$AC882&amp;" was due "&amp;TEXT($AB882,"dd-mmm")&amp;" - "&amp;(NETWORKDAYS($AB882,TODAY(),Holidays)-1)&amp;" business day(s) late. Send now.",IF($U882="DUE TOMORROW","Next: "&amp;$AC882&amp;IF($AB882&lt;=TODAY()," is due TODAY ("," is due next business day (")&amp;TEXT($AB882,"dd-mmm")&amp;").","Next: "&amp;$AC882&amp;" due "&amp;TEXT($AB882,"dd-mmm")&amp;" ("&amp;(NETWORKDAYS(TODAY(),$AB882,Holidays)-1)&amp;" business day(s) left).")))))</f>
        <v/>
      </c>
      <c r="W882" s="17">
        <f>IF($Z882="","",CHOOSE($Z882,"Collection Email","1st Follow-up","2nd Follow-up","Local Office","CBE","Roxanne")&amp;IF($Z882=6," - Final"," - Day "&amp;MAX(0,NETWORKDAYS($AA882,TODAY(),Holidays)-1)&amp;" of "&amp;CHOOSE($Z882,3,3,2,2,3))&amp;" | Total Day "&amp;MAX(0,NETWORKDAYS($N882,TODAY(),Holidays)-1))</f>
        <v/>
      </c>
      <c r="X882" s="18"/>
      <c r="Y882" s="18"/>
      <c r="Z882" s="17">
        <f>IF($N882="","",COUNT($N882:$S882))</f>
        <v/>
      </c>
      <c r="AA882" s="19">
        <f>IF($Z882="","",INT(INDEX($N882:$S882,$Z882)))</f>
        <v/>
      </c>
      <c r="AB882" s="19">
        <f>IF(OR($Z882="",$Z882=6),"",WORKDAY($AA882,CHOOSE($Z882,3,3,2,2,3),Holidays))</f>
        <v/>
      </c>
      <c r="AC882" s="17">
        <f>IF(OR($Z882="",$Z882=6),"",CHOOSE($Z882,"1st Email Follow-up","2nd Email Follow-up","Escalate Local Office","Escalate to CBE","Escalate to Roxanne"))</f>
        <v/>
      </c>
    </row>
    <row r="883" spans="13:29">
      <c r="M883" s="14"/>
      <c r="T883" s="16"/>
      <c r="U883" s="17">
        <f>IF(AND(COUNTA($A883:$L883)=0,$N883=""),"",IF($T883="Paid","PAID",IF($T883="Closed","CLOSED",IF($Z883="","",IF($Z883=6,"ESCALATED TO ROXANNE",IF(TODAY()&gt;$AB883,"OVERDUE",IF($AB883&lt;=WORKDAY(TODAY(),1,Holidays),"DUE TOMORROW",IF($Z883=4,"ESCALATED TO LOCAL OFFICE",IF($Z883=5,"ESCALATED TO CBE",IF($AA883=TODAY(),"EMAIL SENT","MONITORING"))))))))))</f>
        <v/>
      </c>
      <c r="V883" s="17">
        <f>IF($U883="",IF(AND(COUNTA($A883:$L883)&gt;0,$N883=""),"Awaiting Collection Email time stamp.",""),IF(OR($U883="PAID",$U883="CLOSED"),IF($U883="PAID","Account paid. Action completed.","Account closed. No further action required."),CHOOSE($Z883,"Collection Email","1st Email Follow-up","2nd Email Follow-up","Escalation to Local Office","Escalation to CBE","Escalation to Roxanne")&amp;" sent "&amp;TEXT($AA883,"dd-mmm")&amp;". "&amp;IF($Z883=6,"Final escalation completed.",IF($U883="OVERDUE","Next: "&amp;$AC883&amp;" was due "&amp;TEXT($AB883,"dd-mmm")&amp;" - "&amp;(NETWORKDAYS($AB883,TODAY(),Holidays)-1)&amp;" business day(s) late. Send now.",IF($U883="DUE TOMORROW","Next: "&amp;$AC883&amp;IF($AB883&lt;=TODAY()," is due TODAY ("," is due next business day (")&amp;TEXT($AB883,"dd-mmm")&amp;").","Next: "&amp;$AC883&amp;" due "&amp;TEXT($AB883,"dd-mmm")&amp;" ("&amp;(NETWORKDAYS(TODAY(),$AB883,Holidays)-1)&amp;" business day(s) left).")))))</f>
        <v/>
      </c>
      <c r="W883" s="17">
        <f>IF($Z883="","",CHOOSE($Z883,"Collection Email","1st Follow-up","2nd Follow-up","Local Office","CBE","Roxanne")&amp;IF($Z883=6," - Final"," - Day "&amp;MAX(0,NETWORKDAYS($AA883,TODAY(),Holidays)-1)&amp;" of "&amp;CHOOSE($Z883,3,3,2,2,3))&amp;" | Total Day "&amp;MAX(0,NETWORKDAYS($N883,TODAY(),Holidays)-1))</f>
        <v/>
      </c>
      <c r="X883" s="18"/>
      <c r="Y883" s="18"/>
      <c r="Z883" s="17">
        <f>IF($N883="","",COUNT($N883:$S883))</f>
        <v/>
      </c>
      <c r="AA883" s="19">
        <f>IF($Z883="","",INT(INDEX($N883:$S883,$Z883)))</f>
        <v/>
      </c>
      <c r="AB883" s="19">
        <f>IF(OR($Z883="",$Z883=6),"",WORKDAY($AA883,CHOOSE($Z883,3,3,2,2,3),Holidays))</f>
        <v/>
      </c>
      <c r="AC883" s="17">
        <f>IF(OR($Z883="",$Z883=6),"",CHOOSE($Z883,"1st Email Follow-up","2nd Email Follow-up","Escalate Local Office","Escalate to CBE","Escalate to Roxanne"))</f>
        <v/>
      </c>
    </row>
    <row r="884" spans="13:29">
      <c r="M884" s="14"/>
      <c r="T884" s="16"/>
      <c r="U884" s="17">
        <f>IF(AND(COUNTA($A884:$L884)=0,$N884=""),"",IF($T884="Paid","PAID",IF($T884="Closed","CLOSED",IF($Z884="","",IF($Z884=6,"ESCALATED TO ROXANNE",IF(TODAY()&gt;$AB884,"OVERDUE",IF($AB884&lt;=WORKDAY(TODAY(),1,Holidays),"DUE TOMORROW",IF($Z884=4,"ESCALATED TO LOCAL OFFICE",IF($Z884=5,"ESCALATED TO CBE",IF($AA884=TODAY(),"EMAIL SENT","MONITORING"))))))))))</f>
        <v/>
      </c>
      <c r="V884" s="17">
        <f>IF($U884="",IF(AND(COUNTA($A884:$L884)&gt;0,$N884=""),"Awaiting Collection Email time stamp.",""),IF(OR($U884="PAID",$U884="CLOSED"),IF($U884="PAID","Account paid. Action completed.","Account closed. No further action required."),CHOOSE($Z884,"Collection Email","1st Email Follow-up","2nd Email Follow-up","Escalation to Local Office","Escalation to CBE","Escalation to Roxanne")&amp;" sent "&amp;TEXT($AA884,"dd-mmm")&amp;". "&amp;IF($Z884=6,"Final escalation completed.",IF($U884="OVERDUE","Next: "&amp;$AC884&amp;" was due "&amp;TEXT($AB884,"dd-mmm")&amp;" - "&amp;(NETWORKDAYS($AB884,TODAY(),Holidays)-1)&amp;" business day(s) late. Send now.",IF($U884="DUE TOMORROW","Next: "&amp;$AC884&amp;IF($AB884&lt;=TODAY()," is due TODAY ("," is due next business day (")&amp;TEXT($AB884,"dd-mmm")&amp;").","Next: "&amp;$AC884&amp;" due "&amp;TEXT($AB884,"dd-mmm")&amp;" ("&amp;(NETWORKDAYS(TODAY(),$AB884,Holidays)-1)&amp;" business day(s) left).")))))</f>
        <v/>
      </c>
      <c r="W884" s="17">
        <f>IF($Z884="","",CHOOSE($Z884,"Collection Email","1st Follow-up","2nd Follow-up","Local Office","CBE","Roxanne")&amp;IF($Z884=6," - Final"," - Day "&amp;MAX(0,NETWORKDAYS($AA884,TODAY(),Holidays)-1)&amp;" of "&amp;CHOOSE($Z884,3,3,2,2,3))&amp;" | Total Day "&amp;MAX(0,NETWORKDAYS($N884,TODAY(),Holidays)-1))</f>
        <v/>
      </c>
      <c r="X884" s="18"/>
      <c r="Y884" s="18"/>
      <c r="Z884" s="17">
        <f>IF($N884="","",COUNT($N884:$S884))</f>
        <v/>
      </c>
      <c r="AA884" s="19">
        <f>IF($Z884="","",INT(INDEX($N884:$S884,$Z884)))</f>
        <v/>
      </c>
      <c r="AB884" s="19">
        <f>IF(OR($Z884="",$Z884=6),"",WORKDAY($AA884,CHOOSE($Z884,3,3,2,2,3),Holidays))</f>
        <v/>
      </c>
      <c r="AC884" s="17">
        <f>IF(OR($Z884="",$Z884=6),"",CHOOSE($Z884,"1st Email Follow-up","2nd Email Follow-up","Escalate Local Office","Escalate to CBE","Escalate to Roxanne"))</f>
        <v/>
      </c>
    </row>
    <row r="885" spans="13:29">
      <c r="M885" s="14"/>
      <c r="T885" s="16"/>
      <c r="U885" s="17">
        <f>IF(AND(COUNTA($A885:$L885)=0,$N885=""),"",IF($T885="Paid","PAID",IF($T885="Closed","CLOSED",IF($Z885="","",IF($Z885=6,"ESCALATED TO ROXANNE",IF(TODAY()&gt;$AB885,"OVERDUE",IF($AB885&lt;=WORKDAY(TODAY(),1,Holidays),"DUE TOMORROW",IF($Z885=4,"ESCALATED TO LOCAL OFFICE",IF($Z885=5,"ESCALATED TO CBE",IF($AA885=TODAY(),"EMAIL SENT","MONITORING"))))))))))</f>
        <v/>
      </c>
      <c r="V885" s="17">
        <f>IF($U885="",IF(AND(COUNTA($A885:$L885)&gt;0,$N885=""),"Awaiting Collection Email time stamp.",""),IF(OR($U885="PAID",$U885="CLOSED"),IF($U885="PAID","Account paid. Action completed.","Account closed. No further action required."),CHOOSE($Z885,"Collection Email","1st Email Follow-up","2nd Email Follow-up","Escalation to Local Office","Escalation to CBE","Escalation to Roxanne")&amp;" sent "&amp;TEXT($AA885,"dd-mmm")&amp;". "&amp;IF($Z885=6,"Final escalation completed.",IF($U885="OVERDUE","Next: "&amp;$AC885&amp;" was due "&amp;TEXT($AB885,"dd-mmm")&amp;" - "&amp;(NETWORKDAYS($AB885,TODAY(),Holidays)-1)&amp;" business day(s) late. Send now.",IF($U885="DUE TOMORROW","Next: "&amp;$AC885&amp;IF($AB885&lt;=TODAY()," is due TODAY ("," is due next business day (")&amp;TEXT($AB885,"dd-mmm")&amp;").","Next: "&amp;$AC885&amp;" due "&amp;TEXT($AB885,"dd-mmm")&amp;" ("&amp;(NETWORKDAYS(TODAY(),$AB885,Holidays)-1)&amp;" business day(s) left).")))))</f>
        <v/>
      </c>
      <c r="W885" s="17">
        <f>IF($Z885="","",CHOOSE($Z885,"Collection Email","1st Follow-up","2nd Follow-up","Local Office","CBE","Roxanne")&amp;IF($Z885=6," - Final"," - Day "&amp;MAX(0,NETWORKDAYS($AA885,TODAY(),Holidays)-1)&amp;" of "&amp;CHOOSE($Z885,3,3,2,2,3))&amp;" | Total Day "&amp;MAX(0,NETWORKDAYS($N885,TODAY(),Holidays)-1))</f>
        <v/>
      </c>
      <c r="X885" s="18"/>
      <c r="Y885" s="18"/>
      <c r="Z885" s="17">
        <f>IF($N885="","",COUNT($N885:$S885))</f>
        <v/>
      </c>
      <c r="AA885" s="19">
        <f>IF($Z885="","",INT(INDEX($N885:$S885,$Z885)))</f>
        <v/>
      </c>
      <c r="AB885" s="19">
        <f>IF(OR($Z885="",$Z885=6),"",WORKDAY($AA885,CHOOSE($Z885,3,3,2,2,3),Holidays))</f>
        <v/>
      </c>
      <c r="AC885" s="17">
        <f>IF(OR($Z885="",$Z885=6),"",CHOOSE($Z885,"1st Email Follow-up","2nd Email Follow-up","Escalate Local Office","Escalate to CBE","Escalate to Roxanne"))</f>
        <v/>
      </c>
    </row>
    <row r="886" spans="13:29">
      <c r="M886" s="14"/>
      <c r="T886" s="16"/>
      <c r="U886" s="17">
        <f>IF(AND(COUNTA($A886:$L886)=0,$N886=""),"",IF($T886="Paid","PAID",IF($T886="Closed","CLOSED",IF($Z886="","",IF($Z886=6,"ESCALATED TO ROXANNE",IF(TODAY()&gt;$AB886,"OVERDUE",IF($AB886&lt;=WORKDAY(TODAY(),1,Holidays),"DUE TOMORROW",IF($Z886=4,"ESCALATED TO LOCAL OFFICE",IF($Z886=5,"ESCALATED TO CBE",IF($AA886=TODAY(),"EMAIL SENT","MONITORING"))))))))))</f>
        <v/>
      </c>
      <c r="V886" s="17">
        <f>IF($U886="",IF(AND(COUNTA($A886:$L886)&gt;0,$N886=""),"Awaiting Collection Email time stamp.",""),IF(OR($U886="PAID",$U886="CLOSED"),IF($U886="PAID","Account paid. Action completed.","Account closed. No further action required."),CHOOSE($Z886,"Collection Email","1st Email Follow-up","2nd Email Follow-up","Escalation to Local Office","Escalation to CBE","Escalation to Roxanne")&amp;" sent "&amp;TEXT($AA886,"dd-mmm")&amp;". "&amp;IF($Z886=6,"Final escalation completed.",IF($U886="OVERDUE","Next: "&amp;$AC886&amp;" was due "&amp;TEXT($AB886,"dd-mmm")&amp;" - "&amp;(NETWORKDAYS($AB886,TODAY(),Holidays)-1)&amp;" business day(s) late. Send now.",IF($U886="DUE TOMORROW","Next: "&amp;$AC886&amp;IF($AB886&lt;=TODAY()," is due TODAY ("," is due next business day (")&amp;TEXT($AB886,"dd-mmm")&amp;").","Next: "&amp;$AC886&amp;" due "&amp;TEXT($AB886,"dd-mmm")&amp;" ("&amp;(NETWORKDAYS(TODAY(),$AB886,Holidays)-1)&amp;" business day(s) left).")))))</f>
        <v/>
      </c>
      <c r="W886" s="17">
        <f>IF($Z886="","",CHOOSE($Z886,"Collection Email","1st Follow-up","2nd Follow-up","Local Office","CBE","Roxanne")&amp;IF($Z886=6," - Final"," - Day "&amp;MAX(0,NETWORKDAYS($AA886,TODAY(),Holidays)-1)&amp;" of "&amp;CHOOSE($Z886,3,3,2,2,3))&amp;" | Total Day "&amp;MAX(0,NETWORKDAYS($N886,TODAY(),Holidays)-1))</f>
        <v/>
      </c>
      <c r="X886" s="18"/>
      <c r="Y886" s="18"/>
      <c r="Z886" s="17">
        <f>IF($N886="","",COUNT($N886:$S886))</f>
        <v/>
      </c>
      <c r="AA886" s="19">
        <f>IF($Z886="","",INT(INDEX($N886:$S886,$Z886)))</f>
        <v/>
      </c>
      <c r="AB886" s="19">
        <f>IF(OR($Z886="",$Z886=6),"",WORKDAY($AA886,CHOOSE($Z886,3,3,2,2,3),Holidays))</f>
        <v/>
      </c>
      <c r="AC886" s="17">
        <f>IF(OR($Z886="",$Z886=6),"",CHOOSE($Z886,"1st Email Follow-up","2nd Email Follow-up","Escalate Local Office","Escalate to CBE","Escalate to Roxanne"))</f>
        <v/>
      </c>
    </row>
    <row r="887" spans="13:29">
      <c r="M887" s="14"/>
      <c r="T887" s="16"/>
      <c r="U887" s="17">
        <f>IF(AND(COUNTA($A887:$L887)=0,$N887=""),"",IF($T887="Paid","PAID",IF($T887="Closed","CLOSED",IF($Z887="","",IF($Z887=6,"ESCALATED TO ROXANNE",IF(TODAY()&gt;$AB887,"OVERDUE",IF($AB887&lt;=WORKDAY(TODAY(),1,Holidays),"DUE TOMORROW",IF($Z887=4,"ESCALATED TO LOCAL OFFICE",IF($Z887=5,"ESCALATED TO CBE",IF($AA887=TODAY(),"EMAIL SENT","MONITORING"))))))))))</f>
        <v/>
      </c>
      <c r="V887" s="17">
        <f>IF($U887="",IF(AND(COUNTA($A887:$L887)&gt;0,$N887=""),"Awaiting Collection Email time stamp.",""),IF(OR($U887="PAID",$U887="CLOSED"),IF($U887="PAID","Account paid. Action completed.","Account closed. No further action required."),CHOOSE($Z887,"Collection Email","1st Email Follow-up","2nd Email Follow-up","Escalation to Local Office","Escalation to CBE","Escalation to Roxanne")&amp;" sent "&amp;TEXT($AA887,"dd-mmm")&amp;". "&amp;IF($Z887=6,"Final escalation completed.",IF($U887="OVERDUE","Next: "&amp;$AC887&amp;" was due "&amp;TEXT($AB887,"dd-mmm")&amp;" - "&amp;(NETWORKDAYS($AB887,TODAY(),Holidays)-1)&amp;" business day(s) late. Send now.",IF($U887="DUE TOMORROW","Next: "&amp;$AC887&amp;IF($AB887&lt;=TODAY()," is due TODAY ("," is due next business day (")&amp;TEXT($AB887,"dd-mmm")&amp;").","Next: "&amp;$AC887&amp;" due "&amp;TEXT($AB887,"dd-mmm")&amp;" ("&amp;(NETWORKDAYS(TODAY(),$AB887,Holidays)-1)&amp;" business day(s) left).")))))</f>
        <v/>
      </c>
      <c r="W887" s="17">
        <f>IF($Z887="","",CHOOSE($Z887,"Collection Email","1st Follow-up","2nd Follow-up","Local Office","CBE","Roxanne")&amp;IF($Z887=6," - Final"," - Day "&amp;MAX(0,NETWORKDAYS($AA887,TODAY(),Holidays)-1)&amp;" of "&amp;CHOOSE($Z887,3,3,2,2,3))&amp;" | Total Day "&amp;MAX(0,NETWORKDAYS($N887,TODAY(),Holidays)-1))</f>
        <v/>
      </c>
      <c r="X887" s="18"/>
      <c r="Y887" s="18"/>
      <c r="Z887" s="17">
        <f>IF($N887="","",COUNT($N887:$S887))</f>
        <v/>
      </c>
      <c r="AA887" s="19">
        <f>IF($Z887="","",INT(INDEX($N887:$S887,$Z887)))</f>
        <v/>
      </c>
      <c r="AB887" s="19">
        <f>IF(OR($Z887="",$Z887=6),"",WORKDAY($AA887,CHOOSE($Z887,3,3,2,2,3),Holidays))</f>
        <v/>
      </c>
      <c r="AC887" s="17">
        <f>IF(OR($Z887="",$Z887=6),"",CHOOSE($Z887,"1st Email Follow-up","2nd Email Follow-up","Escalate Local Office","Escalate to CBE","Escalate to Roxanne"))</f>
        <v/>
      </c>
    </row>
    <row r="888" spans="13:29">
      <c r="M888" s="14"/>
      <c r="T888" s="16"/>
      <c r="U888" s="17">
        <f>IF(AND(COUNTA($A888:$L888)=0,$N888=""),"",IF($T888="Paid","PAID",IF($T888="Closed","CLOSED",IF($Z888="","",IF($Z888=6,"ESCALATED TO ROXANNE",IF(TODAY()&gt;$AB888,"OVERDUE",IF($AB888&lt;=WORKDAY(TODAY(),1,Holidays),"DUE TOMORROW",IF($Z888=4,"ESCALATED TO LOCAL OFFICE",IF($Z888=5,"ESCALATED TO CBE",IF($AA888=TODAY(),"EMAIL SENT","MONITORING"))))))))))</f>
        <v/>
      </c>
      <c r="V888" s="17">
        <f>IF($U888="",IF(AND(COUNTA($A888:$L888)&gt;0,$N888=""),"Awaiting Collection Email time stamp.",""),IF(OR($U888="PAID",$U888="CLOSED"),IF($U888="PAID","Account paid. Action completed.","Account closed. No further action required."),CHOOSE($Z888,"Collection Email","1st Email Follow-up","2nd Email Follow-up","Escalation to Local Office","Escalation to CBE","Escalation to Roxanne")&amp;" sent "&amp;TEXT($AA888,"dd-mmm")&amp;". "&amp;IF($Z888=6,"Final escalation completed.",IF($U888="OVERDUE","Next: "&amp;$AC888&amp;" was due "&amp;TEXT($AB888,"dd-mmm")&amp;" - "&amp;(NETWORKDAYS($AB888,TODAY(),Holidays)-1)&amp;" business day(s) late. Send now.",IF($U888="DUE TOMORROW","Next: "&amp;$AC888&amp;IF($AB888&lt;=TODAY()," is due TODAY ("," is due next business day (")&amp;TEXT($AB888,"dd-mmm")&amp;").","Next: "&amp;$AC888&amp;" due "&amp;TEXT($AB888,"dd-mmm")&amp;" ("&amp;(NETWORKDAYS(TODAY(),$AB888,Holidays)-1)&amp;" business day(s) left).")))))</f>
        <v/>
      </c>
      <c r="W888" s="17">
        <f>IF($Z888="","",CHOOSE($Z888,"Collection Email","1st Follow-up","2nd Follow-up","Local Office","CBE","Roxanne")&amp;IF($Z888=6," - Final"," - Day "&amp;MAX(0,NETWORKDAYS($AA888,TODAY(),Holidays)-1)&amp;" of "&amp;CHOOSE($Z888,3,3,2,2,3))&amp;" | Total Day "&amp;MAX(0,NETWORKDAYS($N888,TODAY(),Holidays)-1))</f>
        <v/>
      </c>
      <c r="X888" s="18"/>
      <c r="Y888" s="18"/>
      <c r="Z888" s="17">
        <f>IF($N888="","",COUNT($N888:$S888))</f>
        <v/>
      </c>
      <c r="AA888" s="19">
        <f>IF($Z888="","",INT(INDEX($N888:$S888,$Z888)))</f>
        <v/>
      </c>
      <c r="AB888" s="19">
        <f>IF(OR($Z888="",$Z888=6),"",WORKDAY($AA888,CHOOSE($Z888,3,3,2,2,3),Holidays))</f>
        <v/>
      </c>
      <c r="AC888" s="17">
        <f>IF(OR($Z888="",$Z888=6),"",CHOOSE($Z888,"1st Email Follow-up","2nd Email Follow-up","Escalate Local Office","Escalate to CBE","Escalate to Roxanne"))</f>
        <v/>
      </c>
    </row>
    <row r="889" spans="13:29">
      <c r="M889" s="14"/>
      <c r="T889" s="16"/>
      <c r="U889" s="17">
        <f>IF(AND(COUNTA($A889:$L889)=0,$N889=""),"",IF($T889="Paid","PAID",IF($T889="Closed","CLOSED",IF($Z889="","",IF($Z889=6,"ESCALATED TO ROXANNE",IF(TODAY()&gt;$AB889,"OVERDUE",IF($AB889&lt;=WORKDAY(TODAY(),1,Holidays),"DUE TOMORROW",IF($Z889=4,"ESCALATED TO LOCAL OFFICE",IF($Z889=5,"ESCALATED TO CBE",IF($AA889=TODAY(),"EMAIL SENT","MONITORING"))))))))))</f>
        <v/>
      </c>
      <c r="V889" s="17">
        <f>IF($U889="",IF(AND(COUNTA($A889:$L889)&gt;0,$N889=""),"Awaiting Collection Email time stamp.",""),IF(OR($U889="PAID",$U889="CLOSED"),IF($U889="PAID","Account paid. Action completed.","Account closed. No further action required."),CHOOSE($Z889,"Collection Email","1st Email Follow-up","2nd Email Follow-up","Escalation to Local Office","Escalation to CBE","Escalation to Roxanne")&amp;" sent "&amp;TEXT($AA889,"dd-mmm")&amp;". "&amp;IF($Z889=6,"Final escalation completed.",IF($U889="OVERDUE","Next: "&amp;$AC889&amp;" was due "&amp;TEXT($AB889,"dd-mmm")&amp;" - "&amp;(NETWORKDAYS($AB889,TODAY(),Holidays)-1)&amp;" business day(s) late. Send now.",IF($U889="DUE TOMORROW","Next: "&amp;$AC889&amp;IF($AB889&lt;=TODAY()," is due TODAY ("," is due next business day (")&amp;TEXT($AB889,"dd-mmm")&amp;").","Next: "&amp;$AC889&amp;" due "&amp;TEXT($AB889,"dd-mmm")&amp;" ("&amp;(NETWORKDAYS(TODAY(),$AB889,Holidays)-1)&amp;" business day(s) left).")))))</f>
        <v/>
      </c>
      <c r="W889" s="17">
        <f>IF($Z889="","",CHOOSE($Z889,"Collection Email","1st Follow-up","2nd Follow-up","Local Office","CBE","Roxanne")&amp;IF($Z889=6," - Final"," - Day "&amp;MAX(0,NETWORKDAYS($AA889,TODAY(),Holidays)-1)&amp;" of "&amp;CHOOSE($Z889,3,3,2,2,3))&amp;" | Total Day "&amp;MAX(0,NETWORKDAYS($N889,TODAY(),Holidays)-1))</f>
        <v/>
      </c>
      <c r="X889" s="18"/>
      <c r="Y889" s="18"/>
      <c r="Z889" s="17">
        <f>IF($N889="","",COUNT($N889:$S889))</f>
        <v/>
      </c>
      <c r="AA889" s="19">
        <f>IF($Z889="","",INT(INDEX($N889:$S889,$Z889)))</f>
        <v/>
      </c>
      <c r="AB889" s="19">
        <f>IF(OR($Z889="",$Z889=6),"",WORKDAY($AA889,CHOOSE($Z889,3,3,2,2,3),Holidays))</f>
        <v/>
      </c>
      <c r="AC889" s="17">
        <f>IF(OR($Z889="",$Z889=6),"",CHOOSE($Z889,"1st Email Follow-up","2nd Email Follow-up","Escalate Local Office","Escalate to CBE","Escalate to Roxanne"))</f>
        <v/>
      </c>
    </row>
    <row r="890" spans="13:29">
      <c r="M890" s="14"/>
      <c r="T890" s="16"/>
      <c r="U890" s="17">
        <f>IF(AND(COUNTA($A890:$L890)=0,$N890=""),"",IF($T890="Paid","PAID",IF($T890="Closed","CLOSED",IF($Z890="","",IF($Z890=6,"ESCALATED TO ROXANNE",IF(TODAY()&gt;$AB890,"OVERDUE",IF($AB890&lt;=WORKDAY(TODAY(),1,Holidays),"DUE TOMORROW",IF($Z890=4,"ESCALATED TO LOCAL OFFICE",IF($Z890=5,"ESCALATED TO CBE",IF($AA890=TODAY(),"EMAIL SENT","MONITORING"))))))))))</f>
        <v/>
      </c>
      <c r="V890" s="17">
        <f>IF($U890="",IF(AND(COUNTA($A890:$L890)&gt;0,$N890=""),"Awaiting Collection Email time stamp.",""),IF(OR($U890="PAID",$U890="CLOSED"),IF($U890="PAID","Account paid. Action completed.","Account closed. No further action required."),CHOOSE($Z890,"Collection Email","1st Email Follow-up","2nd Email Follow-up","Escalation to Local Office","Escalation to CBE","Escalation to Roxanne")&amp;" sent "&amp;TEXT($AA890,"dd-mmm")&amp;". "&amp;IF($Z890=6,"Final escalation completed.",IF($U890="OVERDUE","Next: "&amp;$AC890&amp;" was due "&amp;TEXT($AB890,"dd-mmm")&amp;" - "&amp;(NETWORKDAYS($AB890,TODAY(),Holidays)-1)&amp;" business day(s) late. Send now.",IF($U890="DUE TOMORROW","Next: "&amp;$AC890&amp;IF($AB890&lt;=TODAY()," is due TODAY ("," is due next business day (")&amp;TEXT($AB890,"dd-mmm")&amp;").","Next: "&amp;$AC890&amp;" due "&amp;TEXT($AB890,"dd-mmm")&amp;" ("&amp;(NETWORKDAYS(TODAY(),$AB890,Holidays)-1)&amp;" business day(s) left).")))))</f>
        <v/>
      </c>
      <c r="W890" s="17">
        <f>IF($Z890="","",CHOOSE($Z890,"Collection Email","1st Follow-up","2nd Follow-up","Local Office","CBE","Roxanne")&amp;IF($Z890=6," - Final"," - Day "&amp;MAX(0,NETWORKDAYS($AA890,TODAY(),Holidays)-1)&amp;" of "&amp;CHOOSE($Z890,3,3,2,2,3))&amp;" | Total Day "&amp;MAX(0,NETWORKDAYS($N890,TODAY(),Holidays)-1))</f>
        <v/>
      </c>
      <c r="X890" s="18"/>
      <c r="Y890" s="18"/>
      <c r="Z890" s="17">
        <f>IF($N890="","",COUNT($N890:$S890))</f>
        <v/>
      </c>
      <c r="AA890" s="19">
        <f>IF($Z890="","",INT(INDEX($N890:$S890,$Z890)))</f>
        <v/>
      </c>
      <c r="AB890" s="19">
        <f>IF(OR($Z890="",$Z890=6),"",WORKDAY($AA890,CHOOSE($Z890,3,3,2,2,3),Holidays))</f>
        <v/>
      </c>
      <c r="AC890" s="17">
        <f>IF(OR($Z890="",$Z890=6),"",CHOOSE($Z890,"1st Email Follow-up","2nd Email Follow-up","Escalate Local Office","Escalate to CBE","Escalate to Roxanne"))</f>
        <v/>
      </c>
    </row>
    <row r="891" spans="13:29">
      <c r="M891" s="14"/>
      <c r="T891" s="16"/>
      <c r="U891" s="17">
        <f>IF(AND(COUNTA($A891:$L891)=0,$N891=""),"",IF($T891="Paid","PAID",IF($T891="Closed","CLOSED",IF($Z891="","",IF($Z891=6,"ESCALATED TO ROXANNE",IF(TODAY()&gt;$AB891,"OVERDUE",IF($AB891&lt;=WORKDAY(TODAY(),1,Holidays),"DUE TOMORROW",IF($Z891=4,"ESCALATED TO LOCAL OFFICE",IF($Z891=5,"ESCALATED TO CBE",IF($AA891=TODAY(),"EMAIL SENT","MONITORING"))))))))))</f>
        <v/>
      </c>
      <c r="V891" s="17">
        <f>IF($U891="",IF(AND(COUNTA($A891:$L891)&gt;0,$N891=""),"Awaiting Collection Email time stamp.",""),IF(OR($U891="PAID",$U891="CLOSED"),IF($U891="PAID","Account paid. Action completed.","Account closed. No further action required."),CHOOSE($Z891,"Collection Email","1st Email Follow-up","2nd Email Follow-up","Escalation to Local Office","Escalation to CBE","Escalation to Roxanne")&amp;" sent "&amp;TEXT($AA891,"dd-mmm")&amp;". "&amp;IF($Z891=6,"Final escalation completed.",IF($U891="OVERDUE","Next: "&amp;$AC891&amp;" was due "&amp;TEXT($AB891,"dd-mmm")&amp;" - "&amp;(NETWORKDAYS($AB891,TODAY(),Holidays)-1)&amp;" business day(s) late. Send now.",IF($U891="DUE TOMORROW","Next: "&amp;$AC891&amp;IF($AB891&lt;=TODAY()," is due TODAY ("," is due next business day (")&amp;TEXT($AB891,"dd-mmm")&amp;").","Next: "&amp;$AC891&amp;" due "&amp;TEXT($AB891,"dd-mmm")&amp;" ("&amp;(NETWORKDAYS(TODAY(),$AB891,Holidays)-1)&amp;" business day(s) left).")))))</f>
        <v/>
      </c>
      <c r="W891" s="17">
        <f>IF($Z891="","",CHOOSE($Z891,"Collection Email","1st Follow-up","2nd Follow-up","Local Office","CBE","Roxanne")&amp;IF($Z891=6," - Final"," - Day "&amp;MAX(0,NETWORKDAYS($AA891,TODAY(),Holidays)-1)&amp;" of "&amp;CHOOSE($Z891,3,3,2,2,3))&amp;" | Total Day "&amp;MAX(0,NETWORKDAYS($N891,TODAY(),Holidays)-1))</f>
        <v/>
      </c>
      <c r="X891" s="18"/>
      <c r="Y891" s="18"/>
      <c r="Z891" s="17">
        <f>IF($N891="","",COUNT($N891:$S891))</f>
        <v/>
      </c>
      <c r="AA891" s="19">
        <f>IF($Z891="","",INT(INDEX($N891:$S891,$Z891)))</f>
        <v/>
      </c>
      <c r="AB891" s="19">
        <f>IF(OR($Z891="",$Z891=6),"",WORKDAY($AA891,CHOOSE($Z891,3,3,2,2,3),Holidays))</f>
        <v/>
      </c>
      <c r="AC891" s="17">
        <f>IF(OR($Z891="",$Z891=6),"",CHOOSE($Z891,"1st Email Follow-up","2nd Email Follow-up","Escalate Local Office","Escalate to CBE","Escalate to Roxanne"))</f>
        <v/>
      </c>
    </row>
    <row r="892" spans="13:29">
      <c r="M892" s="14"/>
      <c r="T892" s="16"/>
      <c r="U892" s="17">
        <f>IF(AND(COUNTA($A892:$L892)=0,$N892=""),"",IF($T892="Paid","PAID",IF($T892="Closed","CLOSED",IF($Z892="","",IF($Z892=6,"ESCALATED TO ROXANNE",IF(TODAY()&gt;$AB892,"OVERDUE",IF($AB892&lt;=WORKDAY(TODAY(),1,Holidays),"DUE TOMORROW",IF($Z892=4,"ESCALATED TO LOCAL OFFICE",IF($Z892=5,"ESCALATED TO CBE",IF($AA892=TODAY(),"EMAIL SENT","MONITORING"))))))))))</f>
        <v/>
      </c>
      <c r="V892" s="17">
        <f>IF($U892="",IF(AND(COUNTA($A892:$L892)&gt;0,$N892=""),"Awaiting Collection Email time stamp.",""),IF(OR($U892="PAID",$U892="CLOSED"),IF($U892="PAID","Account paid. Action completed.","Account closed. No further action required."),CHOOSE($Z892,"Collection Email","1st Email Follow-up","2nd Email Follow-up","Escalation to Local Office","Escalation to CBE","Escalation to Roxanne")&amp;" sent "&amp;TEXT($AA892,"dd-mmm")&amp;". "&amp;IF($Z892=6,"Final escalation completed.",IF($U892="OVERDUE","Next: "&amp;$AC892&amp;" was due "&amp;TEXT($AB892,"dd-mmm")&amp;" - "&amp;(NETWORKDAYS($AB892,TODAY(),Holidays)-1)&amp;" business day(s) late. Send now.",IF($U892="DUE TOMORROW","Next: "&amp;$AC892&amp;IF($AB892&lt;=TODAY()," is due TODAY ("," is due next business day (")&amp;TEXT($AB892,"dd-mmm")&amp;").","Next: "&amp;$AC892&amp;" due "&amp;TEXT($AB892,"dd-mmm")&amp;" ("&amp;(NETWORKDAYS(TODAY(),$AB892,Holidays)-1)&amp;" business day(s) left).")))))</f>
        <v/>
      </c>
      <c r="W892" s="17">
        <f>IF($Z892="","",CHOOSE($Z892,"Collection Email","1st Follow-up","2nd Follow-up","Local Office","CBE","Roxanne")&amp;IF($Z892=6," - Final"," - Day "&amp;MAX(0,NETWORKDAYS($AA892,TODAY(),Holidays)-1)&amp;" of "&amp;CHOOSE($Z892,3,3,2,2,3))&amp;" | Total Day "&amp;MAX(0,NETWORKDAYS($N892,TODAY(),Holidays)-1))</f>
        <v/>
      </c>
      <c r="X892" s="18"/>
      <c r="Y892" s="18"/>
      <c r="Z892" s="17">
        <f>IF($N892="","",COUNT($N892:$S892))</f>
        <v/>
      </c>
      <c r="AA892" s="19">
        <f>IF($Z892="","",INT(INDEX($N892:$S892,$Z892)))</f>
        <v/>
      </c>
      <c r="AB892" s="19">
        <f>IF(OR($Z892="",$Z892=6),"",WORKDAY($AA892,CHOOSE($Z892,3,3,2,2,3),Holidays))</f>
        <v/>
      </c>
      <c r="AC892" s="17">
        <f>IF(OR($Z892="",$Z892=6),"",CHOOSE($Z892,"1st Email Follow-up","2nd Email Follow-up","Escalate Local Office","Escalate to CBE","Escalate to Roxanne"))</f>
        <v/>
      </c>
    </row>
    <row r="893" spans="13:29">
      <c r="M893" s="14"/>
      <c r="T893" s="16"/>
      <c r="U893" s="17">
        <f>IF(AND(COUNTA($A893:$L893)=0,$N893=""),"",IF($T893="Paid","PAID",IF($T893="Closed","CLOSED",IF($Z893="","",IF($Z893=6,"ESCALATED TO ROXANNE",IF(TODAY()&gt;$AB893,"OVERDUE",IF($AB893&lt;=WORKDAY(TODAY(),1,Holidays),"DUE TOMORROW",IF($Z893=4,"ESCALATED TO LOCAL OFFICE",IF($Z893=5,"ESCALATED TO CBE",IF($AA893=TODAY(),"EMAIL SENT","MONITORING"))))))))))</f>
        <v/>
      </c>
      <c r="V893" s="17">
        <f>IF($U893="",IF(AND(COUNTA($A893:$L893)&gt;0,$N893=""),"Awaiting Collection Email time stamp.",""),IF(OR($U893="PAID",$U893="CLOSED"),IF($U893="PAID","Account paid. Action completed.","Account closed. No further action required."),CHOOSE($Z893,"Collection Email","1st Email Follow-up","2nd Email Follow-up","Escalation to Local Office","Escalation to CBE","Escalation to Roxanne")&amp;" sent "&amp;TEXT($AA893,"dd-mmm")&amp;". "&amp;IF($Z893=6,"Final escalation completed.",IF($U893="OVERDUE","Next: "&amp;$AC893&amp;" was due "&amp;TEXT($AB893,"dd-mmm")&amp;" - "&amp;(NETWORKDAYS($AB893,TODAY(),Holidays)-1)&amp;" business day(s) late. Send now.",IF($U893="DUE TOMORROW","Next: "&amp;$AC893&amp;IF($AB893&lt;=TODAY()," is due TODAY ("," is due next business day (")&amp;TEXT($AB893,"dd-mmm")&amp;").","Next: "&amp;$AC893&amp;" due "&amp;TEXT($AB893,"dd-mmm")&amp;" ("&amp;(NETWORKDAYS(TODAY(),$AB893,Holidays)-1)&amp;" business day(s) left).")))))</f>
        <v/>
      </c>
      <c r="W893" s="17">
        <f>IF($Z893="","",CHOOSE($Z893,"Collection Email","1st Follow-up","2nd Follow-up","Local Office","CBE","Roxanne")&amp;IF($Z893=6," - Final"," - Day "&amp;MAX(0,NETWORKDAYS($AA893,TODAY(),Holidays)-1)&amp;" of "&amp;CHOOSE($Z893,3,3,2,2,3))&amp;" | Total Day "&amp;MAX(0,NETWORKDAYS($N893,TODAY(),Holidays)-1))</f>
        <v/>
      </c>
      <c r="X893" s="18"/>
      <c r="Y893" s="18"/>
      <c r="Z893" s="17">
        <f>IF($N893="","",COUNT($N893:$S893))</f>
        <v/>
      </c>
      <c r="AA893" s="19">
        <f>IF($Z893="","",INT(INDEX($N893:$S893,$Z893)))</f>
        <v/>
      </c>
      <c r="AB893" s="19">
        <f>IF(OR($Z893="",$Z893=6),"",WORKDAY($AA893,CHOOSE($Z893,3,3,2,2,3),Holidays))</f>
        <v/>
      </c>
      <c r="AC893" s="17">
        <f>IF(OR($Z893="",$Z893=6),"",CHOOSE($Z893,"1st Email Follow-up","2nd Email Follow-up","Escalate Local Office","Escalate to CBE","Escalate to Roxanne"))</f>
        <v/>
      </c>
    </row>
    <row r="894" spans="13:29">
      <c r="M894" s="14"/>
      <c r="T894" s="16"/>
      <c r="U894" s="17">
        <f>IF(AND(COUNTA($A894:$L894)=0,$N894=""),"",IF($T894="Paid","PAID",IF($T894="Closed","CLOSED",IF($Z894="","",IF($Z894=6,"ESCALATED TO ROXANNE",IF(TODAY()&gt;$AB894,"OVERDUE",IF($AB894&lt;=WORKDAY(TODAY(),1,Holidays),"DUE TOMORROW",IF($Z894=4,"ESCALATED TO LOCAL OFFICE",IF($Z894=5,"ESCALATED TO CBE",IF($AA894=TODAY(),"EMAIL SENT","MONITORING"))))))))))</f>
        <v/>
      </c>
      <c r="V894" s="17">
        <f>IF($U894="",IF(AND(COUNTA($A894:$L894)&gt;0,$N894=""),"Awaiting Collection Email time stamp.",""),IF(OR($U894="PAID",$U894="CLOSED"),IF($U894="PAID","Account paid. Action completed.","Account closed. No further action required."),CHOOSE($Z894,"Collection Email","1st Email Follow-up","2nd Email Follow-up","Escalation to Local Office","Escalation to CBE","Escalation to Roxanne")&amp;" sent "&amp;TEXT($AA894,"dd-mmm")&amp;". "&amp;IF($Z894=6,"Final escalation completed.",IF($U894="OVERDUE","Next: "&amp;$AC894&amp;" was due "&amp;TEXT($AB894,"dd-mmm")&amp;" - "&amp;(NETWORKDAYS($AB894,TODAY(),Holidays)-1)&amp;" business day(s) late. Send now.",IF($U894="DUE TOMORROW","Next: "&amp;$AC894&amp;IF($AB894&lt;=TODAY()," is due TODAY ("," is due next business day (")&amp;TEXT($AB894,"dd-mmm")&amp;").","Next: "&amp;$AC894&amp;" due "&amp;TEXT($AB894,"dd-mmm")&amp;" ("&amp;(NETWORKDAYS(TODAY(),$AB894,Holidays)-1)&amp;" business day(s) left).")))))</f>
        <v/>
      </c>
      <c r="W894" s="17">
        <f>IF($Z894="","",CHOOSE($Z894,"Collection Email","1st Follow-up","2nd Follow-up","Local Office","CBE","Roxanne")&amp;IF($Z894=6," - Final"," - Day "&amp;MAX(0,NETWORKDAYS($AA894,TODAY(),Holidays)-1)&amp;" of "&amp;CHOOSE($Z894,3,3,2,2,3))&amp;" | Total Day "&amp;MAX(0,NETWORKDAYS($N894,TODAY(),Holidays)-1))</f>
        <v/>
      </c>
      <c r="X894" s="18"/>
      <c r="Y894" s="18"/>
      <c r="Z894" s="17">
        <f>IF($N894="","",COUNT($N894:$S894))</f>
        <v/>
      </c>
      <c r="AA894" s="19">
        <f>IF($Z894="","",INT(INDEX($N894:$S894,$Z894)))</f>
        <v/>
      </c>
      <c r="AB894" s="19">
        <f>IF(OR($Z894="",$Z894=6),"",WORKDAY($AA894,CHOOSE($Z894,3,3,2,2,3),Holidays))</f>
        <v/>
      </c>
      <c r="AC894" s="17">
        <f>IF(OR($Z894="",$Z894=6),"",CHOOSE($Z894,"1st Email Follow-up","2nd Email Follow-up","Escalate Local Office","Escalate to CBE","Escalate to Roxanne"))</f>
        <v/>
      </c>
    </row>
    <row r="895" spans="13:29">
      <c r="M895" s="14"/>
      <c r="T895" s="16"/>
      <c r="U895" s="17">
        <f>IF(AND(COUNTA($A895:$L895)=0,$N895=""),"",IF($T895="Paid","PAID",IF($T895="Closed","CLOSED",IF($Z895="","",IF($Z895=6,"ESCALATED TO ROXANNE",IF(TODAY()&gt;$AB895,"OVERDUE",IF($AB895&lt;=WORKDAY(TODAY(),1,Holidays),"DUE TOMORROW",IF($Z895=4,"ESCALATED TO LOCAL OFFICE",IF($Z895=5,"ESCALATED TO CBE",IF($AA895=TODAY(),"EMAIL SENT","MONITORING"))))))))))</f>
        <v/>
      </c>
      <c r="V895" s="17">
        <f>IF($U895="",IF(AND(COUNTA($A895:$L895)&gt;0,$N895=""),"Awaiting Collection Email time stamp.",""),IF(OR($U895="PAID",$U895="CLOSED"),IF($U895="PAID","Account paid. Action completed.","Account closed. No further action required."),CHOOSE($Z895,"Collection Email","1st Email Follow-up","2nd Email Follow-up","Escalation to Local Office","Escalation to CBE","Escalation to Roxanne")&amp;" sent "&amp;TEXT($AA895,"dd-mmm")&amp;". "&amp;IF($Z895=6,"Final escalation completed.",IF($U895="OVERDUE","Next: "&amp;$AC895&amp;" was due "&amp;TEXT($AB895,"dd-mmm")&amp;" - "&amp;(NETWORKDAYS($AB895,TODAY(),Holidays)-1)&amp;" business day(s) late. Send now.",IF($U895="DUE TOMORROW","Next: "&amp;$AC895&amp;IF($AB895&lt;=TODAY()," is due TODAY ("," is due next business day (")&amp;TEXT($AB895,"dd-mmm")&amp;").","Next: "&amp;$AC895&amp;" due "&amp;TEXT($AB895,"dd-mmm")&amp;" ("&amp;(NETWORKDAYS(TODAY(),$AB895,Holidays)-1)&amp;" business day(s) left).")))))</f>
        <v/>
      </c>
      <c r="W895" s="17">
        <f>IF($Z895="","",CHOOSE($Z895,"Collection Email","1st Follow-up","2nd Follow-up","Local Office","CBE","Roxanne")&amp;IF($Z895=6," - Final"," - Day "&amp;MAX(0,NETWORKDAYS($AA895,TODAY(),Holidays)-1)&amp;" of "&amp;CHOOSE($Z895,3,3,2,2,3))&amp;" | Total Day "&amp;MAX(0,NETWORKDAYS($N895,TODAY(),Holidays)-1))</f>
        <v/>
      </c>
      <c r="X895" s="18"/>
      <c r="Y895" s="18"/>
      <c r="Z895" s="17">
        <f>IF($N895="","",COUNT($N895:$S895))</f>
        <v/>
      </c>
      <c r="AA895" s="19">
        <f>IF($Z895="","",INT(INDEX($N895:$S895,$Z895)))</f>
        <v/>
      </c>
      <c r="AB895" s="19">
        <f>IF(OR($Z895="",$Z895=6),"",WORKDAY($AA895,CHOOSE($Z895,3,3,2,2,3),Holidays))</f>
        <v/>
      </c>
      <c r="AC895" s="17">
        <f>IF(OR($Z895="",$Z895=6),"",CHOOSE($Z895,"1st Email Follow-up","2nd Email Follow-up","Escalate Local Office","Escalate to CBE","Escalate to Roxanne"))</f>
        <v/>
      </c>
    </row>
    <row r="896" spans="13:29">
      <c r="M896" s="14"/>
      <c r="T896" s="16"/>
      <c r="U896" s="17">
        <f>IF(AND(COUNTA($A896:$L896)=0,$N896=""),"",IF($T896="Paid","PAID",IF($T896="Closed","CLOSED",IF($Z896="","",IF($Z896=6,"ESCALATED TO ROXANNE",IF(TODAY()&gt;$AB896,"OVERDUE",IF($AB896&lt;=WORKDAY(TODAY(),1,Holidays),"DUE TOMORROW",IF($Z896=4,"ESCALATED TO LOCAL OFFICE",IF($Z896=5,"ESCALATED TO CBE",IF($AA896=TODAY(),"EMAIL SENT","MONITORING"))))))))))</f>
        <v/>
      </c>
      <c r="V896" s="17">
        <f>IF($U896="",IF(AND(COUNTA($A896:$L896)&gt;0,$N896=""),"Awaiting Collection Email time stamp.",""),IF(OR($U896="PAID",$U896="CLOSED"),IF($U896="PAID","Account paid. Action completed.","Account closed. No further action required."),CHOOSE($Z896,"Collection Email","1st Email Follow-up","2nd Email Follow-up","Escalation to Local Office","Escalation to CBE","Escalation to Roxanne")&amp;" sent "&amp;TEXT($AA896,"dd-mmm")&amp;". "&amp;IF($Z896=6,"Final escalation completed.",IF($U896="OVERDUE","Next: "&amp;$AC896&amp;" was due "&amp;TEXT($AB896,"dd-mmm")&amp;" - "&amp;(NETWORKDAYS($AB896,TODAY(),Holidays)-1)&amp;" business day(s) late. Send now.",IF($U896="DUE TOMORROW","Next: "&amp;$AC896&amp;IF($AB896&lt;=TODAY()," is due TODAY ("," is due next business day (")&amp;TEXT($AB896,"dd-mmm")&amp;").","Next: "&amp;$AC896&amp;" due "&amp;TEXT($AB896,"dd-mmm")&amp;" ("&amp;(NETWORKDAYS(TODAY(),$AB896,Holidays)-1)&amp;" business day(s) left).")))))</f>
        <v/>
      </c>
      <c r="W896" s="17">
        <f>IF($Z896="","",CHOOSE($Z896,"Collection Email","1st Follow-up","2nd Follow-up","Local Office","CBE","Roxanne")&amp;IF($Z896=6," - Final"," - Day "&amp;MAX(0,NETWORKDAYS($AA896,TODAY(),Holidays)-1)&amp;" of "&amp;CHOOSE($Z896,3,3,2,2,3))&amp;" | Total Day "&amp;MAX(0,NETWORKDAYS($N896,TODAY(),Holidays)-1))</f>
        <v/>
      </c>
      <c r="X896" s="18"/>
      <c r="Y896" s="18"/>
      <c r="Z896" s="17">
        <f>IF($N896="","",COUNT($N896:$S896))</f>
        <v/>
      </c>
      <c r="AA896" s="19">
        <f>IF($Z896="","",INT(INDEX($N896:$S896,$Z896)))</f>
        <v/>
      </c>
      <c r="AB896" s="19">
        <f>IF(OR($Z896="",$Z896=6),"",WORKDAY($AA896,CHOOSE($Z896,3,3,2,2,3),Holidays))</f>
        <v/>
      </c>
      <c r="AC896" s="17">
        <f>IF(OR($Z896="",$Z896=6),"",CHOOSE($Z896,"1st Email Follow-up","2nd Email Follow-up","Escalate Local Office","Escalate to CBE","Escalate to Roxanne"))</f>
        <v/>
      </c>
    </row>
    <row r="897" spans="13:29">
      <c r="M897" s="14"/>
      <c r="T897" s="16"/>
      <c r="U897" s="17">
        <f>IF(AND(COUNTA($A897:$L897)=0,$N897=""),"",IF($T897="Paid","PAID",IF($T897="Closed","CLOSED",IF($Z897="","",IF($Z897=6,"ESCALATED TO ROXANNE",IF(TODAY()&gt;$AB897,"OVERDUE",IF($AB897&lt;=WORKDAY(TODAY(),1,Holidays),"DUE TOMORROW",IF($Z897=4,"ESCALATED TO LOCAL OFFICE",IF($Z897=5,"ESCALATED TO CBE",IF($AA897=TODAY(),"EMAIL SENT","MONITORING"))))))))))</f>
        <v/>
      </c>
      <c r="V897" s="17">
        <f>IF($U897="",IF(AND(COUNTA($A897:$L897)&gt;0,$N897=""),"Awaiting Collection Email time stamp.",""),IF(OR($U897="PAID",$U897="CLOSED"),IF($U897="PAID","Account paid. Action completed.","Account closed. No further action required."),CHOOSE($Z897,"Collection Email","1st Email Follow-up","2nd Email Follow-up","Escalation to Local Office","Escalation to CBE","Escalation to Roxanne")&amp;" sent "&amp;TEXT($AA897,"dd-mmm")&amp;". "&amp;IF($Z897=6,"Final escalation completed.",IF($U897="OVERDUE","Next: "&amp;$AC897&amp;" was due "&amp;TEXT($AB897,"dd-mmm")&amp;" - "&amp;(NETWORKDAYS($AB897,TODAY(),Holidays)-1)&amp;" business day(s) late. Send now.",IF($U897="DUE TOMORROW","Next: "&amp;$AC897&amp;IF($AB897&lt;=TODAY()," is due TODAY ("," is due next business day (")&amp;TEXT($AB897,"dd-mmm")&amp;").","Next: "&amp;$AC897&amp;" due "&amp;TEXT($AB897,"dd-mmm")&amp;" ("&amp;(NETWORKDAYS(TODAY(),$AB897,Holidays)-1)&amp;" business day(s) left).")))))</f>
        <v/>
      </c>
      <c r="W897" s="17">
        <f>IF($Z897="","",CHOOSE($Z897,"Collection Email","1st Follow-up","2nd Follow-up","Local Office","CBE","Roxanne")&amp;IF($Z897=6," - Final"," - Day "&amp;MAX(0,NETWORKDAYS($AA897,TODAY(),Holidays)-1)&amp;" of "&amp;CHOOSE($Z897,3,3,2,2,3))&amp;" | Total Day "&amp;MAX(0,NETWORKDAYS($N897,TODAY(),Holidays)-1))</f>
        <v/>
      </c>
      <c r="X897" s="18"/>
      <c r="Y897" s="18"/>
      <c r="Z897" s="17">
        <f>IF($N897="","",COUNT($N897:$S897))</f>
        <v/>
      </c>
      <c r="AA897" s="19">
        <f>IF($Z897="","",INT(INDEX($N897:$S897,$Z897)))</f>
        <v/>
      </c>
      <c r="AB897" s="19">
        <f>IF(OR($Z897="",$Z897=6),"",WORKDAY($AA897,CHOOSE($Z897,3,3,2,2,3),Holidays))</f>
        <v/>
      </c>
      <c r="AC897" s="17">
        <f>IF(OR($Z897="",$Z897=6),"",CHOOSE($Z897,"1st Email Follow-up","2nd Email Follow-up","Escalate Local Office","Escalate to CBE","Escalate to Roxanne"))</f>
        <v/>
      </c>
    </row>
    <row r="898" spans="13:29">
      <c r="M898" s="14"/>
      <c r="T898" s="16"/>
      <c r="U898" s="17">
        <f>IF(AND(COUNTA($A898:$L898)=0,$N898=""),"",IF($T898="Paid","PAID",IF($T898="Closed","CLOSED",IF($Z898="","",IF($Z898=6,"ESCALATED TO ROXANNE",IF(TODAY()&gt;$AB898,"OVERDUE",IF($AB898&lt;=WORKDAY(TODAY(),1,Holidays),"DUE TOMORROW",IF($Z898=4,"ESCALATED TO LOCAL OFFICE",IF($Z898=5,"ESCALATED TO CBE",IF($AA898=TODAY(),"EMAIL SENT","MONITORING"))))))))))</f>
        <v/>
      </c>
      <c r="V898" s="17">
        <f>IF($U898="",IF(AND(COUNTA($A898:$L898)&gt;0,$N898=""),"Awaiting Collection Email time stamp.",""),IF(OR($U898="PAID",$U898="CLOSED"),IF($U898="PAID","Account paid. Action completed.","Account closed. No further action required."),CHOOSE($Z898,"Collection Email","1st Email Follow-up","2nd Email Follow-up","Escalation to Local Office","Escalation to CBE","Escalation to Roxanne")&amp;" sent "&amp;TEXT($AA898,"dd-mmm")&amp;". "&amp;IF($Z898=6,"Final escalation completed.",IF($U898="OVERDUE","Next: "&amp;$AC898&amp;" was due "&amp;TEXT($AB898,"dd-mmm")&amp;" - "&amp;(NETWORKDAYS($AB898,TODAY(),Holidays)-1)&amp;" business day(s) late. Send now.",IF($U898="DUE TOMORROW","Next: "&amp;$AC898&amp;IF($AB898&lt;=TODAY()," is due TODAY ("," is due next business day (")&amp;TEXT($AB898,"dd-mmm")&amp;").","Next: "&amp;$AC898&amp;" due "&amp;TEXT($AB898,"dd-mmm")&amp;" ("&amp;(NETWORKDAYS(TODAY(),$AB898,Holidays)-1)&amp;" business day(s) left).")))))</f>
        <v/>
      </c>
      <c r="W898" s="17">
        <f>IF($Z898="","",CHOOSE($Z898,"Collection Email","1st Follow-up","2nd Follow-up","Local Office","CBE","Roxanne")&amp;IF($Z898=6," - Final"," - Day "&amp;MAX(0,NETWORKDAYS($AA898,TODAY(),Holidays)-1)&amp;" of "&amp;CHOOSE($Z898,3,3,2,2,3))&amp;" | Total Day "&amp;MAX(0,NETWORKDAYS($N898,TODAY(),Holidays)-1))</f>
        <v/>
      </c>
      <c r="X898" s="18"/>
      <c r="Y898" s="18"/>
      <c r="Z898" s="17">
        <f>IF($N898="","",COUNT($N898:$S898))</f>
        <v/>
      </c>
      <c r="AA898" s="19">
        <f>IF($Z898="","",INT(INDEX($N898:$S898,$Z898)))</f>
        <v/>
      </c>
      <c r="AB898" s="19">
        <f>IF(OR($Z898="",$Z898=6),"",WORKDAY($AA898,CHOOSE($Z898,3,3,2,2,3),Holidays))</f>
        <v/>
      </c>
      <c r="AC898" s="17">
        <f>IF(OR($Z898="",$Z898=6),"",CHOOSE($Z898,"1st Email Follow-up","2nd Email Follow-up","Escalate Local Office","Escalate to CBE","Escalate to Roxanne"))</f>
        <v/>
      </c>
    </row>
    <row r="899" spans="13:29">
      <c r="M899" s="14"/>
      <c r="T899" s="16"/>
      <c r="U899" s="17">
        <f>IF(AND(COUNTA($A899:$L899)=0,$N899=""),"",IF($T899="Paid","PAID",IF($T899="Closed","CLOSED",IF($Z899="","",IF($Z899=6,"ESCALATED TO ROXANNE",IF(TODAY()&gt;$AB899,"OVERDUE",IF($AB899&lt;=WORKDAY(TODAY(),1,Holidays),"DUE TOMORROW",IF($Z899=4,"ESCALATED TO LOCAL OFFICE",IF($Z899=5,"ESCALATED TO CBE",IF($AA899=TODAY(),"EMAIL SENT","MONITORING"))))))))))</f>
        <v/>
      </c>
      <c r="V899" s="17">
        <f>IF($U899="",IF(AND(COUNTA($A899:$L899)&gt;0,$N899=""),"Awaiting Collection Email time stamp.",""),IF(OR($U899="PAID",$U899="CLOSED"),IF($U899="PAID","Account paid. Action completed.","Account closed. No further action required."),CHOOSE($Z899,"Collection Email","1st Email Follow-up","2nd Email Follow-up","Escalation to Local Office","Escalation to CBE","Escalation to Roxanne")&amp;" sent "&amp;TEXT($AA899,"dd-mmm")&amp;". "&amp;IF($Z899=6,"Final escalation completed.",IF($U899="OVERDUE","Next: "&amp;$AC899&amp;" was due "&amp;TEXT($AB899,"dd-mmm")&amp;" - "&amp;(NETWORKDAYS($AB899,TODAY(),Holidays)-1)&amp;" business day(s) late. Send now.",IF($U899="DUE TOMORROW","Next: "&amp;$AC899&amp;IF($AB899&lt;=TODAY()," is due TODAY ("," is due next business day (")&amp;TEXT($AB899,"dd-mmm")&amp;").","Next: "&amp;$AC899&amp;" due "&amp;TEXT($AB899,"dd-mmm")&amp;" ("&amp;(NETWORKDAYS(TODAY(),$AB899,Holidays)-1)&amp;" business day(s) left).")))))</f>
        <v/>
      </c>
      <c r="W899" s="17">
        <f>IF($Z899="","",CHOOSE($Z899,"Collection Email","1st Follow-up","2nd Follow-up","Local Office","CBE","Roxanne")&amp;IF($Z899=6," - Final"," - Day "&amp;MAX(0,NETWORKDAYS($AA899,TODAY(),Holidays)-1)&amp;" of "&amp;CHOOSE($Z899,3,3,2,2,3))&amp;" | Total Day "&amp;MAX(0,NETWORKDAYS($N899,TODAY(),Holidays)-1))</f>
        <v/>
      </c>
      <c r="X899" s="18"/>
      <c r="Y899" s="18"/>
      <c r="Z899" s="17">
        <f>IF($N899="","",COUNT($N899:$S899))</f>
        <v/>
      </c>
      <c r="AA899" s="19">
        <f>IF($Z899="","",INT(INDEX($N899:$S899,$Z899)))</f>
        <v/>
      </c>
      <c r="AB899" s="19">
        <f>IF(OR($Z899="",$Z899=6),"",WORKDAY($AA899,CHOOSE($Z899,3,3,2,2,3),Holidays))</f>
        <v/>
      </c>
      <c r="AC899" s="17">
        <f>IF(OR($Z899="",$Z899=6),"",CHOOSE($Z899,"1st Email Follow-up","2nd Email Follow-up","Escalate Local Office","Escalate to CBE","Escalate to Roxanne"))</f>
        <v/>
      </c>
    </row>
    <row r="900" spans="13:29">
      <c r="M900" s="14"/>
      <c r="T900" s="16"/>
      <c r="U900" s="17">
        <f>IF(AND(COUNTA($A900:$L900)=0,$N900=""),"",IF($T900="Paid","PAID",IF($T900="Closed","CLOSED",IF($Z900="","",IF($Z900=6,"ESCALATED TO ROXANNE",IF(TODAY()&gt;$AB900,"OVERDUE",IF($AB900&lt;=WORKDAY(TODAY(),1,Holidays),"DUE TOMORROW",IF($Z900=4,"ESCALATED TO LOCAL OFFICE",IF($Z900=5,"ESCALATED TO CBE",IF($AA900=TODAY(),"EMAIL SENT","MONITORING"))))))))))</f>
        <v/>
      </c>
      <c r="V900" s="17">
        <f>IF($U900="",IF(AND(COUNTA($A900:$L900)&gt;0,$N900=""),"Awaiting Collection Email time stamp.",""),IF(OR($U900="PAID",$U900="CLOSED"),IF($U900="PAID","Account paid. Action completed.","Account closed. No further action required."),CHOOSE($Z900,"Collection Email","1st Email Follow-up","2nd Email Follow-up","Escalation to Local Office","Escalation to CBE","Escalation to Roxanne")&amp;" sent "&amp;TEXT($AA900,"dd-mmm")&amp;". "&amp;IF($Z900=6,"Final escalation completed.",IF($U900="OVERDUE","Next: "&amp;$AC900&amp;" was due "&amp;TEXT($AB900,"dd-mmm")&amp;" - "&amp;(NETWORKDAYS($AB900,TODAY(),Holidays)-1)&amp;" business day(s) late. Send now.",IF($U900="DUE TOMORROW","Next: "&amp;$AC900&amp;IF($AB900&lt;=TODAY()," is due TODAY ("," is due next business day (")&amp;TEXT($AB900,"dd-mmm")&amp;").","Next: "&amp;$AC900&amp;" due "&amp;TEXT($AB900,"dd-mmm")&amp;" ("&amp;(NETWORKDAYS(TODAY(),$AB900,Holidays)-1)&amp;" business day(s) left).")))))</f>
        <v/>
      </c>
      <c r="W900" s="17">
        <f>IF($Z900="","",CHOOSE($Z900,"Collection Email","1st Follow-up","2nd Follow-up","Local Office","CBE","Roxanne")&amp;IF($Z900=6," - Final"," - Day "&amp;MAX(0,NETWORKDAYS($AA900,TODAY(),Holidays)-1)&amp;" of "&amp;CHOOSE($Z900,3,3,2,2,3))&amp;" | Total Day "&amp;MAX(0,NETWORKDAYS($N900,TODAY(),Holidays)-1))</f>
        <v/>
      </c>
      <c r="X900" s="18"/>
      <c r="Y900" s="18"/>
      <c r="Z900" s="17">
        <f>IF($N900="","",COUNT($N900:$S900))</f>
        <v/>
      </c>
      <c r="AA900" s="19">
        <f>IF($Z900="","",INT(INDEX($N900:$S900,$Z900)))</f>
        <v/>
      </c>
      <c r="AB900" s="19">
        <f>IF(OR($Z900="",$Z900=6),"",WORKDAY($AA900,CHOOSE($Z900,3,3,2,2,3),Holidays))</f>
        <v/>
      </c>
      <c r="AC900" s="17">
        <f>IF(OR($Z900="",$Z900=6),"",CHOOSE($Z900,"1st Email Follow-up","2nd Email Follow-up","Escalate Local Office","Escalate to CBE","Escalate to Roxanne"))</f>
        <v/>
      </c>
    </row>
    <row r="901" spans="13:29">
      <c r="M901" s="14"/>
      <c r="T901" s="16"/>
      <c r="U901" s="17">
        <f>IF(AND(COUNTA($A901:$L901)=0,$N901=""),"",IF($T901="Paid","PAID",IF($T901="Closed","CLOSED",IF($Z901="","",IF($Z901=6,"ESCALATED TO ROXANNE",IF(TODAY()&gt;$AB901,"OVERDUE",IF($AB901&lt;=WORKDAY(TODAY(),1,Holidays),"DUE TOMORROW",IF($Z901=4,"ESCALATED TO LOCAL OFFICE",IF($Z901=5,"ESCALATED TO CBE",IF($AA901=TODAY(),"EMAIL SENT","MONITORING"))))))))))</f>
        <v/>
      </c>
      <c r="V901" s="17">
        <f>IF($U901="",IF(AND(COUNTA($A901:$L901)&gt;0,$N901=""),"Awaiting Collection Email time stamp.",""),IF(OR($U901="PAID",$U901="CLOSED"),IF($U901="PAID","Account paid. Action completed.","Account closed. No further action required."),CHOOSE($Z901,"Collection Email","1st Email Follow-up","2nd Email Follow-up","Escalation to Local Office","Escalation to CBE","Escalation to Roxanne")&amp;" sent "&amp;TEXT($AA901,"dd-mmm")&amp;". "&amp;IF($Z901=6,"Final escalation completed.",IF($U901="OVERDUE","Next: "&amp;$AC901&amp;" was due "&amp;TEXT($AB901,"dd-mmm")&amp;" - "&amp;(NETWORKDAYS($AB901,TODAY(),Holidays)-1)&amp;" business day(s) late. Send now.",IF($U901="DUE TOMORROW","Next: "&amp;$AC901&amp;IF($AB901&lt;=TODAY()," is due TODAY ("," is due next business day (")&amp;TEXT($AB901,"dd-mmm")&amp;").","Next: "&amp;$AC901&amp;" due "&amp;TEXT($AB901,"dd-mmm")&amp;" ("&amp;(NETWORKDAYS(TODAY(),$AB901,Holidays)-1)&amp;" business day(s) left).")))))</f>
        <v/>
      </c>
      <c r="W901" s="17">
        <f>IF($Z901="","",CHOOSE($Z901,"Collection Email","1st Follow-up","2nd Follow-up","Local Office","CBE","Roxanne")&amp;IF($Z901=6," - Final"," - Day "&amp;MAX(0,NETWORKDAYS($AA901,TODAY(),Holidays)-1)&amp;" of "&amp;CHOOSE($Z901,3,3,2,2,3))&amp;" | Total Day "&amp;MAX(0,NETWORKDAYS($N901,TODAY(),Holidays)-1))</f>
        <v/>
      </c>
      <c r="X901" s="18"/>
      <c r="Y901" s="18"/>
      <c r="Z901" s="17">
        <f>IF($N901="","",COUNT($N901:$S901))</f>
        <v/>
      </c>
      <c r="AA901" s="19">
        <f>IF($Z901="","",INT(INDEX($N901:$S901,$Z901)))</f>
        <v/>
      </c>
      <c r="AB901" s="19">
        <f>IF(OR($Z901="",$Z901=6),"",WORKDAY($AA901,CHOOSE($Z901,3,3,2,2,3),Holidays))</f>
        <v/>
      </c>
      <c r="AC901" s="17">
        <f>IF(OR($Z901="",$Z901=6),"",CHOOSE($Z901,"1st Email Follow-up","2nd Email Follow-up","Escalate Local Office","Escalate to CBE","Escalate to Roxanne"))</f>
        <v/>
      </c>
    </row>
    <row r="902" spans="13:29">
      <c r="M902" s="14"/>
      <c r="T902" s="16"/>
      <c r="U902" s="17">
        <f>IF(AND(COUNTA($A902:$L902)=0,$N902=""),"",IF($T902="Paid","PAID",IF($T902="Closed","CLOSED",IF($Z902="","",IF($Z902=6,"ESCALATED TO ROXANNE",IF(TODAY()&gt;$AB902,"OVERDUE",IF($AB902&lt;=WORKDAY(TODAY(),1,Holidays),"DUE TOMORROW",IF($Z902=4,"ESCALATED TO LOCAL OFFICE",IF($Z902=5,"ESCALATED TO CBE",IF($AA902=TODAY(),"EMAIL SENT","MONITORING"))))))))))</f>
        <v/>
      </c>
      <c r="V902" s="17">
        <f>IF($U902="",IF(AND(COUNTA($A902:$L902)&gt;0,$N902=""),"Awaiting Collection Email time stamp.",""),IF(OR($U902="PAID",$U902="CLOSED"),IF($U902="PAID","Account paid. Action completed.","Account closed. No further action required."),CHOOSE($Z902,"Collection Email","1st Email Follow-up","2nd Email Follow-up","Escalation to Local Office","Escalation to CBE","Escalation to Roxanne")&amp;" sent "&amp;TEXT($AA902,"dd-mmm")&amp;". "&amp;IF($Z902=6,"Final escalation completed.",IF($U902="OVERDUE","Next: "&amp;$AC902&amp;" was due "&amp;TEXT($AB902,"dd-mmm")&amp;" - "&amp;(NETWORKDAYS($AB902,TODAY(),Holidays)-1)&amp;" business day(s) late. Send now.",IF($U902="DUE TOMORROW","Next: "&amp;$AC902&amp;IF($AB902&lt;=TODAY()," is due TODAY ("," is due next business day (")&amp;TEXT($AB902,"dd-mmm")&amp;").","Next: "&amp;$AC902&amp;" due "&amp;TEXT($AB902,"dd-mmm")&amp;" ("&amp;(NETWORKDAYS(TODAY(),$AB902,Holidays)-1)&amp;" business day(s) left).")))))</f>
        <v/>
      </c>
      <c r="W902" s="17">
        <f>IF($Z902="","",CHOOSE($Z902,"Collection Email","1st Follow-up","2nd Follow-up","Local Office","CBE","Roxanne")&amp;IF($Z902=6," - Final"," - Day "&amp;MAX(0,NETWORKDAYS($AA902,TODAY(),Holidays)-1)&amp;" of "&amp;CHOOSE($Z902,3,3,2,2,3))&amp;" | Total Day "&amp;MAX(0,NETWORKDAYS($N902,TODAY(),Holidays)-1))</f>
        <v/>
      </c>
      <c r="X902" s="18"/>
      <c r="Y902" s="18"/>
      <c r="Z902" s="17">
        <f>IF($N902="","",COUNT($N902:$S902))</f>
        <v/>
      </c>
      <c r="AA902" s="19">
        <f>IF($Z902="","",INT(INDEX($N902:$S902,$Z902)))</f>
        <v/>
      </c>
      <c r="AB902" s="19">
        <f>IF(OR($Z902="",$Z902=6),"",WORKDAY($AA902,CHOOSE($Z902,3,3,2,2,3),Holidays))</f>
        <v/>
      </c>
      <c r="AC902" s="17">
        <f>IF(OR($Z902="",$Z902=6),"",CHOOSE($Z902,"1st Email Follow-up","2nd Email Follow-up","Escalate Local Office","Escalate to CBE","Escalate to Roxanne"))</f>
        <v/>
      </c>
    </row>
    <row r="903" spans="13:29">
      <c r="M903" s="14"/>
      <c r="T903" s="16"/>
      <c r="U903" s="17">
        <f>IF(AND(COUNTA($A903:$L903)=0,$N903=""),"",IF($T903="Paid","PAID",IF($T903="Closed","CLOSED",IF($Z903="","",IF($Z903=6,"ESCALATED TO ROXANNE",IF(TODAY()&gt;$AB903,"OVERDUE",IF($AB903&lt;=WORKDAY(TODAY(),1,Holidays),"DUE TOMORROW",IF($Z903=4,"ESCALATED TO LOCAL OFFICE",IF($Z903=5,"ESCALATED TO CBE",IF($AA903=TODAY(),"EMAIL SENT","MONITORING"))))))))))</f>
        <v/>
      </c>
      <c r="V903" s="17">
        <f>IF($U903="",IF(AND(COUNTA($A903:$L903)&gt;0,$N903=""),"Awaiting Collection Email time stamp.",""),IF(OR($U903="PAID",$U903="CLOSED"),IF($U903="PAID","Account paid. Action completed.","Account closed. No further action required."),CHOOSE($Z903,"Collection Email","1st Email Follow-up","2nd Email Follow-up","Escalation to Local Office","Escalation to CBE","Escalation to Roxanne")&amp;" sent "&amp;TEXT($AA903,"dd-mmm")&amp;". "&amp;IF($Z903=6,"Final escalation completed.",IF($U903="OVERDUE","Next: "&amp;$AC903&amp;" was due "&amp;TEXT($AB903,"dd-mmm")&amp;" - "&amp;(NETWORKDAYS($AB903,TODAY(),Holidays)-1)&amp;" business day(s) late. Send now.",IF($U903="DUE TOMORROW","Next: "&amp;$AC903&amp;IF($AB903&lt;=TODAY()," is due TODAY ("," is due next business day (")&amp;TEXT($AB903,"dd-mmm")&amp;").","Next: "&amp;$AC903&amp;" due "&amp;TEXT($AB903,"dd-mmm")&amp;" ("&amp;(NETWORKDAYS(TODAY(),$AB903,Holidays)-1)&amp;" business day(s) left).")))))</f>
        <v/>
      </c>
      <c r="W903" s="17">
        <f>IF($Z903="","",CHOOSE($Z903,"Collection Email","1st Follow-up","2nd Follow-up","Local Office","CBE","Roxanne")&amp;IF($Z903=6," - Final"," - Day "&amp;MAX(0,NETWORKDAYS($AA903,TODAY(),Holidays)-1)&amp;" of "&amp;CHOOSE($Z903,3,3,2,2,3))&amp;" | Total Day "&amp;MAX(0,NETWORKDAYS($N903,TODAY(),Holidays)-1))</f>
        <v/>
      </c>
      <c r="X903" s="18"/>
      <c r="Y903" s="18"/>
      <c r="Z903" s="17">
        <f>IF($N903="","",COUNT($N903:$S903))</f>
        <v/>
      </c>
      <c r="AA903" s="19">
        <f>IF($Z903="","",INT(INDEX($N903:$S903,$Z903)))</f>
        <v/>
      </c>
      <c r="AB903" s="19">
        <f>IF(OR($Z903="",$Z903=6),"",WORKDAY($AA903,CHOOSE($Z903,3,3,2,2,3),Holidays))</f>
        <v/>
      </c>
      <c r="AC903" s="17">
        <f>IF(OR($Z903="",$Z903=6),"",CHOOSE($Z903,"1st Email Follow-up","2nd Email Follow-up","Escalate Local Office","Escalate to CBE","Escalate to Roxanne"))</f>
        <v/>
      </c>
    </row>
    <row r="904" spans="13:29">
      <c r="M904" s="14"/>
      <c r="T904" s="16"/>
      <c r="U904" s="17">
        <f>IF(AND(COUNTA($A904:$L904)=0,$N904=""),"",IF($T904="Paid","PAID",IF($T904="Closed","CLOSED",IF($Z904="","",IF($Z904=6,"ESCALATED TO ROXANNE",IF(TODAY()&gt;$AB904,"OVERDUE",IF($AB904&lt;=WORKDAY(TODAY(),1,Holidays),"DUE TOMORROW",IF($Z904=4,"ESCALATED TO LOCAL OFFICE",IF($Z904=5,"ESCALATED TO CBE",IF($AA904=TODAY(),"EMAIL SENT","MONITORING"))))))))))</f>
        <v/>
      </c>
      <c r="V904" s="17">
        <f>IF($U904="",IF(AND(COUNTA($A904:$L904)&gt;0,$N904=""),"Awaiting Collection Email time stamp.",""),IF(OR($U904="PAID",$U904="CLOSED"),IF($U904="PAID","Account paid. Action completed.","Account closed. No further action required."),CHOOSE($Z904,"Collection Email","1st Email Follow-up","2nd Email Follow-up","Escalation to Local Office","Escalation to CBE","Escalation to Roxanne")&amp;" sent "&amp;TEXT($AA904,"dd-mmm")&amp;". "&amp;IF($Z904=6,"Final escalation completed.",IF($U904="OVERDUE","Next: "&amp;$AC904&amp;" was due "&amp;TEXT($AB904,"dd-mmm")&amp;" - "&amp;(NETWORKDAYS($AB904,TODAY(),Holidays)-1)&amp;" business day(s) late. Send now.",IF($U904="DUE TOMORROW","Next: "&amp;$AC904&amp;IF($AB904&lt;=TODAY()," is due TODAY ("," is due next business day (")&amp;TEXT($AB904,"dd-mmm")&amp;").","Next: "&amp;$AC904&amp;" due "&amp;TEXT($AB904,"dd-mmm")&amp;" ("&amp;(NETWORKDAYS(TODAY(),$AB904,Holidays)-1)&amp;" business day(s) left).")))))</f>
        <v/>
      </c>
      <c r="W904" s="17">
        <f>IF($Z904="","",CHOOSE($Z904,"Collection Email","1st Follow-up","2nd Follow-up","Local Office","CBE","Roxanne")&amp;IF($Z904=6," - Final"," - Day "&amp;MAX(0,NETWORKDAYS($AA904,TODAY(),Holidays)-1)&amp;" of "&amp;CHOOSE($Z904,3,3,2,2,3))&amp;" | Total Day "&amp;MAX(0,NETWORKDAYS($N904,TODAY(),Holidays)-1))</f>
        <v/>
      </c>
      <c r="X904" s="18"/>
      <c r="Y904" s="18"/>
      <c r="Z904" s="17">
        <f>IF($N904="","",COUNT($N904:$S904))</f>
        <v/>
      </c>
      <c r="AA904" s="19">
        <f>IF($Z904="","",INT(INDEX($N904:$S904,$Z904)))</f>
        <v/>
      </c>
      <c r="AB904" s="19">
        <f>IF(OR($Z904="",$Z904=6),"",WORKDAY($AA904,CHOOSE($Z904,3,3,2,2,3),Holidays))</f>
        <v/>
      </c>
      <c r="AC904" s="17">
        <f>IF(OR($Z904="",$Z904=6),"",CHOOSE($Z904,"1st Email Follow-up","2nd Email Follow-up","Escalate Local Office","Escalate to CBE","Escalate to Roxanne"))</f>
        <v/>
      </c>
    </row>
    <row r="905" spans="13:29">
      <c r="M905" s="14"/>
      <c r="T905" s="16"/>
      <c r="U905" s="17">
        <f>IF(AND(COUNTA($A905:$L905)=0,$N905=""),"",IF($T905="Paid","PAID",IF($T905="Closed","CLOSED",IF($Z905="","",IF($Z905=6,"ESCALATED TO ROXANNE",IF(TODAY()&gt;$AB905,"OVERDUE",IF($AB905&lt;=WORKDAY(TODAY(),1,Holidays),"DUE TOMORROW",IF($Z905=4,"ESCALATED TO LOCAL OFFICE",IF($Z905=5,"ESCALATED TO CBE",IF($AA905=TODAY(),"EMAIL SENT","MONITORING"))))))))))</f>
        <v/>
      </c>
      <c r="V905" s="17">
        <f>IF($U905="",IF(AND(COUNTA($A905:$L905)&gt;0,$N905=""),"Awaiting Collection Email time stamp.",""),IF(OR($U905="PAID",$U905="CLOSED"),IF($U905="PAID","Account paid. Action completed.","Account closed. No further action required."),CHOOSE($Z905,"Collection Email","1st Email Follow-up","2nd Email Follow-up","Escalation to Local Office","Escalation to CBE","Escalation to Roxanne")&amp;" sent "&amp;TEXT($AA905,"dd-mmm")&amp;". "&amp;IF($Z905=6,"Final escalation completed.",IF($U905="OVERDUE","Next: "&amp;$AC905&amp;" was due "&amp;TEXT($AB905,"dd-mmm")&amp;" - "&amp;(NETWORKDAYS($AB905,TODAY(),Holidays)-1)&amp;" business day(s) late. Send now.",IF($U905="DUE TOMORROW","Next: "&amp;$AC905&amp;IF($AB905&lt;=TODAY()," is due TODAY ("," is due next business day (")&amp;TEXT($AB905,"dd-mmm")&amp;").","Next: "&amp;$AC905&amp;" due "&amp;TEXT($AB905,"dd-mmm")&amp;" ("&amp;(NETWORKDAYS(TODAY(),$AB905,Holidays)-1)&amp;" business day(s) left).")))))</f>
        <v/>
      </c>
      <c r="W905" s="17">
        <f>IF($Z905="","",CHOOSE($Z905,"Collection Email","1st Follow-up","2nd Follow-up","Local Office","CBE","Roxanne")&amp;IF($Z905=6," - Final"," - Day "&amp;MAX(0,NETWORKDAYS($AA905,TODAY(),Holidays)-1)&amp;" of "&amp;CHOOSE($Z905,3,3,2,2,3))&amp;" | Total Day "&amp;MAX(0,NETWORKDAYS($N905,TODAY(),Holidays)-1))</f>
        <v/>
      </c>
      <c r="X905" s="18"/>
      <c r="Y905" s="18"/>
      <c r="Z905" s="17">
        <f>IF($N905="","",COUNT($N905:$S905))</f>
        <v/>
      </c>
      <c r="AA905" s="19">
        <f>IF($Z905="","",INT(INDEX($N905:$S905,$Z905)))</f>
        <v/>
      </c>
      <c r="AB905" s="19">
        <f>IF(OR($Z905="",$Z905=6),"",WORKDAY($AA905,CHOOSE($Z905,3,3,2,2,3),Holidays))</f>
        <v/>
      </c>
      <c r="AC905" s="17">
        <f>IF(OR($Z905="",$Z905=6),"",CHOOSE($Z905,"1st Email Follow-up","2nd Email Follow-up","Escalate Local Office","Escalate to CBE","Escalate to Roxanne"))</f>
        <v/>
      </c>
    </row>
    <row r="906" spans="13:29">
      <c r="M906" s="14"/>
      <c r="T906" s="16"/>
      <c r="U906" s="17">
        <f>IF(AND(COUNTA($A906:$L906)=0,$N906=""),"",IF($T906="Paid","PAID",IF($T906="Closed","CLOSED",IF($Z906="","",IF($Z906=6,"ESCALATED TO ROXANNE",IF(TODAY()&gt;$AB906,"OVERDUE",IF($AB906&lt;=WORKDAY(TODAY(),1,Holidays),"DUE TOMORROW",IF($Z906=4,"ESCALATED TO LOCAL OFFICE",IF($Z906=5,"ESCALATED TO CBE",IF($AA906=TODAY(),"EMAIL SENT","MONITORING"))))))))))</f>
        <v/>
      </c>
      <c r="V906" s="17">
        <f>IF($U906="",IF(AND(COUNTA($A906:$L906)&gt;0,$N906=""),"Awaiting Collection Email time stamp.",""),IF(OR($U906="PAID",$U906="CLOSED"),IF($U906="PAID","Account paid. Action completed.","Account closed. No further action required."),CHOOSE($Z906,"Collection Email","1st Email Follow-up","2nd Email Follow-up","Escalation to Local Office","Escalation to CBE","Escalation to Roxanne")&amp;" sent "&amp;TEXT($AA906,"dd-mmm")&amp;". "&amp;IF($Z906=6,"Final escalation completed.",IF($U906="OVERDUE","Next: "&amp;$AC906&amp;" was due "&amp;TEXT($AB906,"dd-mmm")&amp;" - "&amp;(NETWORKDAYS($AB906,TODAY(),Holidays)-1)&amp;" business day(s) late. Send now.",IF($U906="DUE TOMORROW","Next: "&amp;$AC906&amp;IF($AB906&lt;=TODAY()," is due TODAY ("," is due next business day (")&amp;TEXT($AB906,"dd-mmm")&amp;").","Next: "&amp;$AC906&amp;" due "&amp;TEXT($AB906,"dd-mmm")&amp;" ("&amp;(NETWORKDAYS(TODAY(),$AB906,Holidays)-1)&amp;" business day(s) left).")))))</f>
        <v/>
      </c>
      <c r="W906" s="17">
        <f>IF($Z906="","",CHOOSE($Z906,"Collection Email","1st Follow-up","2nd Follow-up","Local Office","CBE","Roxanne")&amp;IF($Z906=6," - Final"," - Day "&amp;MAX(0,NETWORKDAYS($AA906,TODAY(),Holidays)-1)&amp;" of "&amp;CHOOSE($Z906,3,3,2,2,3))&amp;" | Total Day "&amp;MAX(0,NETWORKDAYS($N906,TODAY(),Holidays)-1))</f>
        <v/>
      </c>
      <c r="X906" s="18"/>
      <c r="Y906" s="18"/>
      <c r="Z906" s="17">
        <f>IF($N906="","",COUNT($N906:$S906))</f>
        <v/>
      </c>
      <c r="AA906" s="19">
        <f>IF($Z906="","",INT(INDEX($N906:$S906,$Z906)))</f>
        <v/>
      </c>
      <c r="AB906" s="19">
        <f>IF(OR($Z906="",$Z906=6),"",WORKDAY($AA906,CHOOSE($Z906,3,3,2,2,3),Holidays))</f>
        <v/>
      </c>
      <c r="AC906" s="17">
        <f>IF(OR($Z906="",$Z906=6),"",CHOOSE($Z906,"1st Email Follow-up","2nd Email Follow-up","Escalate Local Office","Escalate to CBE","Escalate to Roxanne"))</f>
        <v/>
      </c>
    </row>
    <row r="907" spans="13:29">
      <c r="M907" s="14"/>
      <c r="T907" s="16"/>
      <c r="U907" s="17">
        <f>IF(AND(COUNTA($A907:$L907)=0,$N907=""),"",IF($T907="Paid","PAID",IF($T907="Closed","CLOSED",IF($Z907="","",IF($Z907=6,"ESCALATED TO ROXANNE",IF(TODAY()&gt;$AB907,"OVERDUE",IF($AB907&lt;=WORKDAY(TODAY(),1,Holidays),"DUE TOMORROW",IF($Z907=4,"ESCALATED TO LOCAL OFFICE",IF($Z907=5,"ESCALATED TO CBE",IF($AA907=TODAY(),"EMAIL SENT","MONITORING"))))))))))</f>
        <v/>
      </c>
      <c r="V907" s="17">
        <f>IF($U907="",IF(AND(COUNTA($A907:$L907)&gt;0,$N907=""),"Awaiting Collection Email time stamp.",""),IF(OR($U907="PAID",$U907="CLOSED"),IF($U907="PAID","Account paid. Action completed.","Account closed. No further action required."),CHOOSE($Z907,"Collection Email","1st Email Follow-up","2nd Email Follow-up","Escalation to Local Office","Escalation to CBE","Escalation to Roxanne")&amp;" sent "&amp;TEXT($AA907,"dd-mmm")&amp;". "&amp;IF($Z907=6,"Final escalation completed.",IF($U907="OVERDUE","Next: "&amp;$AC907&amp;" was due "&amp;TEXT($AB907,"dd-mmm")&amp;" - "&amp;(NETWORKDAYS($AB907,TODAY(),Holidays)-1)&amp;" business day(s) late. Send now.",IF($U907="DUE TOMORROW","Next: "&amp;$AC907&amp;IF($AB907&lt;=TODAY()," is due TODAY ("," is due next business day (")&amp;TEXT($AB907,"dd-mmm")&amp;").","Next: "&amp;$AC907&amp;" due "&amp;TEXT($AB907,"dd-mmm")&amp;" ("&amp;(NETWORKDAYS(TODAY(),$AB907,Holidays)-1)&amp;" business day(s) left).")))))</f>
        <v/>
      </c>
      <c r="W907" s="17">
        <f>IF($Z907="","",CHOOSE($Z907,"Collection Email","1st Follow-up","2nd Follow-up","Local Office","CBE","Roxanne")&amp;IF($Z907=6," - Final"," - Day "&amp;MAX(0,NETWORKDAYS($AA907,TODAY(),Holidays)-1)&amp;" of "&amp;CHOOSE($Z907,3,3,2,2,3))&amp;" | Total Day "&amp;MAX(0,NETWORKDAYS($N907,TODAY(),Holidays)-1))</f>
        <v/>
      </c>
      <c r="X907" s="18"/>
      <c r="Y907" s="18"/>
      <c r="Z907" s="17">
        <f>IF($N907="","",COUNT($N907:$S907))</f>
        <v/>
      </c>
      <c r="AA907" s="19">
        <f>IF($Z907="","",INT(INDEX($N907:$S907,$Z907)))</f>
        <v/>
      </c>
      <c r="AB907" s="19">
        <f>IF(OR($Z907="",$Z907=6),"",WORKDAY($AA907,CHOOSE($Z907,3,3,2,2,3),Holidays))</f>
        <v/>
      </c>
      <c r="AC907" s="17">
        <f>IF(OR($Z907="",$Z907=6),"",CHOOSE($Z907,"1st Email Follow-up","2nd Email Follow-up","Escalate Local Office","Escalate to CBE","Escalate to Roxanne"))</f>
        <v/>
      </c>
    </row>
    <row r="908" spans="13:29">
      <c r="M908" s="14"/>
      <c r="T908" s="16"/>
      <c r="U908" s="17">
        <f>IF(AND(COUNTA($A908:$L908)=0,$N908=""),"",IF($T908="Paid","PAID",IF($T908="Closed","CLOSED",IF($Z908="","",IF($Z908=6,"ESCALATED TO ROXANNE",IF(TODAY()&gt;$AB908,"OVERDUE",IF($AB908&lt;=WORKDAY(TODAY(),1,Holidays),"DUE TOMORROW",IF($Z908=4,"ESCALATED TO LOCAL OFFICE",IF($Z908=5,"ESCALATED TO CBE",IF($AA908=TODAY(),"EMAIL SENT","MONITORING"))))))))))</f>
        <v/>
      </c>
      <c r="V908" s="17">
        <f>IF($U908="",IF(AND(COUNTA($A908:$L908)&gt;0,$N908=""),"Awaiting Collection Email time stamp.",""),IF(OR($U908="PAID",$U908="CLOSED"),IF($U908="PAID","Account paid. Action completed.","Account closed. No further action required."),CHOOSE($Z908,"Collection Email","1st Email Follow-up","2nd Email Follow-up","Escalation to Local Office","Escalation to CBE","Escalation to Roxanne")&amp;" sent "&amp;TEXT($AA908,"dd-mmm")&amp;". "&amp;IF($Z908=6,"Final escalation completed.",IF($U908="OVERDUE","Next: "&amp;$AC908&amp;" was due "&amp;TEXT($AB908,"dd-mmm")&amp;" - "&amp;(NETWORKDAYS($AB908,TODAY(),Holidays)-1)&amp;" business day(s) late. Send now.",IF($U908="DUE TOMORROW","Next: "&amp;$AC908&amp;IF($AB908&lt;=TODAY()," is due TODAY ("," is due next business day (")&amp;TEXT($AB908,"dd-mmm")&amp;").","Next: "&amp;$AC908&amp;" due "&amp;TEXT($AB908,"dd-mmm")&amp;" ("&amp;(NETWORKDAYS(TODAY(),$AB908,Holidays)-1)&amp;" business day(s) left).")))))</f>
        <v/>
      </c>
      <c r="W908" s="17">
        <f>IF($Z908="","",CHOOSE($Z908,"Collection Email","1st Follow-up","2nd Follow-up","Local Office","CBE","Roxanne")&amp;IF($Z908=6," - Final"," - Day "&amp;MAX(0,NETWORKDAYS($AA908,TODAY(),Holidays)-1)&amp;" of "&amp;CHOOSE($Z908,3,3,2,2,3))&amp;" | Total Day "&amp;MAX(0,NETWORKDAYS($N908,TODAY(),Holidays)-1))</f>
        <v/>
      </c>
      <c r="X908" s="18"/>
      <c r="Y908" s="18"/>
      <c r="Z908" s="17">
        <f>IF($N908="","",COUNT($N908:$S908))</f>
        <v/>
      </c>
      <c r="AA908" s="19">
        <f>IF($Z908="","",INT(INDEX($N908:$S908,$Z908)))</f>
        <v/>
      </c>
      <c r="AB908" s="19">
        <f>IF(OR($Z908="",$Z908=6),"",WORKDAY($AA908,CHOOSE($Z908,3,3,2,2,3),Holidays))</f>
        <v/>
      </c>
      <c r="AC908" s="17">
        <f>IF(OR($Z908="",$Z908=6),"",CHOOSE($Z908,"1st Email Follow-up","2nd Email Follow-up","Escalate Local Office","Escalate to CBE","Escalate to Roxanne"))</f>
        <v/>
      </c>
    </row>
    <row r="909" spans="13:29">
      <c r="M909" s="14"/>
      <c r="T909" s="16"/>
      <c r="U909" s="17">
        <f>IF(AND(COUNTA($A909:$L909)=0,$N909=""),"",IF($T909="Paid","PAID",IF($T909="Closed","CLOSED",IF($Z909="","",IF($Z909=6,"ESCALATED TO ROXANNE",IF(TODAY()&gt;$AB909,"OVERDUE",IF($AB909&lt;=WORKDAY(TODAY(),1,Holidays),"DUE TOMORROW",IF($Z909=4,"ESCALATED TO LOCAL OFFICE",IF($Z909=5,"ESCALATED TO CBE",IF($AA909=TODAY(),"EMAIL SENT","MONITORING"))))))))))</f>
        <v/>
      </c>
      <c r="V909" s="17">
        <f>IF($U909="",IF(AND(COUNTA($A909:$L909)&gt;0,$N909=""),"Awaiting Collection Email time stamp.",""),IF(OR($U909="PAID",$U909="CLOSED"),IF($U909="PAID","Account paid. Action completed.","Account closed. No further action required."),CHOOSE($Z909,"Collection Email","1st Email Follow-up","2nd Email Follow-up","Escalation to Local Office","Escalation to CBE","Escalation to Roxanne")&amp;" sent "&amp;TEXT($AA909,"dd-mmm")&amp;". "&amp;IF($Z909=6,"Final escalation completed.",IF($U909="OVERDUE","Next: "&amp;$AC909&amp;" was due "&amp;TEXT($AB909,"dd-mmm")&amp;" - "&amp;(NETWORKDAYS($AB909,TODAY(),Holidays)-1)&amp;" business day(s) late. Send now.",IF($U909="DUE TOMORROW","Next: "&amp;$AC909&amp;IF($AB909&lt;=TODAY()," is due TODAY ("," is due next business day (")&amp;TEXT($AB909,"dd-mmm")&amp;").","Next: "&amp;$AC909&amp;" due "&amp;TEXT($AB909,"dd-mmm")&amp;" ("&amp;(NETWORKDAYS(TODAY(),$AB909,Holidays)-1)&amp;" business day(s) left).")))))</f>
        <v/>
      </c>
      <c r="W909" s="17">
        <f>IF($Z909="","",CHOOSE($Z909,"Collection Email","1st Follow-up","2nd Follow-up","Local Office","CBE","Roxanne")&amp;IF($Z909=6," - Final"," - Day "&amp;MAX(0,NETWORKDAYS($AA909,TODAY(),Holidays)-1)&amp;" of "&amp;CHOOSE($Z909,3,3,2,2,3))&amp;" | Total Day "&amp;MAX(0,NETWORKDAYS($N909,TODAY(),Holidays)-1))</f>
        <v/>
      </c>
      <c r="X909" s="18"/>
      <c r="Y909" s="18"/>
      <c r="Z909" s="17">
        <f>IF($N909="","",COUNT($N909:$S909))</f>
        <v/>
      </c>
      <c r="AA909" s="19">
        <f>IF($Z909="","",INT(INDEX($N909:$S909,$Z909)))</f>
        <v/>
      </c>
      <c r="AB909" s="19">
        <f>IF(OR($Z909="",$Z909=6),"",WORKDAY($AA909,CHOOSE($Z909,3,3,2,2,3),Holidays))</f>
        <v/>
      </c>
      <c r="AC909" s="17">
        <f>IF(OR($Z909="",$Z909=6),"",CHOOSE($Z909,"1st Email Follow-up","2nd Email Follow-up","Escalate Local Office","Escalate to CBE","Escalate to Roxanne"))</f>
        <v/>
      </c>
    </row>
    <row r="910" spans="13:29">
      <c r="M910" s="14"/>
      <c r="T910" s="16"/>
      <c r="U910" s="17">
        <f>IF(AND(COUNTA($A910:$L910)=0,$N910=""),"",IF($T910="Paid","PAID",IF($T910="Closed","CLOSED",IF($Z910="","",IF($Z910=6,"ESCALATED TO ROXANNE",IF(TODAY()&gt;$AB910,"OVERDUE",IF($AB910&lt;=WORKDAY(TODAY(),1,Holidays),"DUE TOMORROW",IF($Z910=4,"ESCALATED TO LOCAL OFFICE",IF($Z910=5,"ESCALATED TO CBE",IF($AA910=TODAY(),"EMAIL SENT","MONITORING"))))))))))</f>
        <v/>
      </c>
      <c r="V910" s="17">
        <f>IF($U910="",IF(AND(COUNTA($A910:$L910)&gt;0,$N910=""),"Awaiting Collection Email time stamp.",""),IF(OR($U910="PAID",$U910="CLOSED"),IF($U910="PAID","Account paid. Action completed.","Account closed. No further action required."),CHOOSE($Z910,"Collection Email","1st Email Follow-up","2nd Email Follow-up","Escalation to Local Office","Escalation to CBE","Escalation to Roxanne")&amp;" sent "&amp;TEXT($AA910,"dd-mmm")&amp;". "&amp;IF($Z910=6,"Final escalation completed.",IF($U910="OVERDUE","Next: "&amp;$AC910&amp;" was due "&amp;TEXT($AB910,"dd-mmm")&amp;" - "&amp;(NETWORKDAYS($AB910,TODAY(),Holidays)-1)&amp;" business day(s) late. Send now.",IF($U910="DUE TOMORROW","Next: "&amp;$AC910&amp;IF($AB910&lt;=TODAY()," is due TODAY ("," is due next business day (")&amp;TEXT($AB910,"dd-mmm")&amp;").","Next: "&amp;$AC910&amp;" due "&amp;TEXT($AB910,"dd-mmm")&amp;" ("&amp;(NETWORKDAYS(TODAY(),$AB910,Holidays)-1)&amp;" business day(s) left).")))))</f>
        <v/>
      </c>
      <c r="W910" s="17">
        <f>IF($Z910="","",CHOOSE($Z910,"Collection Email","1st Follow-up","2nd Follow-up","Local Office","CBE","Roxanne")&amp;IF($Z910=6," - Final"," - Day "&amp;MAX(0,NETWORKDAYS($AA910,TODAY(),Holidays)-1)&amp;" of "&amp;CHOOSE($Z910,3,3,2,2,3))&amp;" | Total Day "&amp;MAX(0,NETWORKDAYS($N910,TODAY(),Holidays)-1))</f>
        <v/>
      </c>
      <c r="X910" s="18"/>
      <c r="Y910" s="18"/>
      <c r="Z910" s="17">
        <f>IF($N910="","",COUNT($N910:$S910))</f>
        <v/>
      </c>
      <c r="AA910" s="19">
        <f>IF($Z910="","",INT(INDEX($N910:$S910,$Z910)))</f>
        <v/>
      </c>
      <c r="AB910" s="19">
        <f>IF(OR($Z910="",$Z910=6),"",WORKDAY($AA910,CHOOSE($Z910,3,3,2,2,3),Holidays))</f>
        <v/>
      </c>
      <c r="AC910" s="17">
        <f>IF(OR($Z910="",$Z910=6),"",CHOOSE($Z910,"1st Email Follow-up","2nd Email Follow-up","Escalate Local Office","Escalate to CBE","Escalate to Roxanne"))</f>
        <v/>
      </c>
    </row>
    <row r="911" spans="13:29">
      <c r="M911" s="14"/>
      <c r="T911" s="16"/>
      <c r="U911" s="17">
        <f>IF(AND(COUNTA($A911:$L911)=0,$N911=""),"",IF($T911="Paid","PAID",IF($T911="Closed","CLOSED",IF($Z911="","",IF($Z911=6,"ESCALATED TO ROXANNE",IF(TODAY()&gt;$AB911,"OVERDUE",IF($AB911&lt;=WORKDAY(TODAY(),1,Holidays),"DUE TOMORROW",IF($Z911=4,"ESCALATED TO LOCAL OFFICE",IF($Z911=5,"ESCALATED TO CBE",IF($AA911=TODAY(),"EMAIL SENT","MONITORING"))))))))))</f>
        <v/>
      </c>
      <c r="V911" s="17">
        <f>IF($U911="",IF(AND(COUNTA($A911:$L911)&gt;0,$N911=""),"Awaiting Collection Email time stamp.",""),IF(OR($U911="PAID",$U911="CLOSED"),IF($U911="PAID","Account paid. Action completed.","Account closed. No further action required."),CHOOSE($Z911,"Collection Email","1st Email Follow-up","2nd Email Follow-up","Escalation to Local Office","Escalation to CBE","Escalation to Roxanne")&amp;" sent "&amp;TEXT($AA911,"dd-mmm")&amp;". "&amp;IF($Z911=6,"Final escalation completed.",IF($U911="OVERDUE","Next: "&amp;$AC911&amp;" was due "&amp;TEXT($AB911,"dd-mmm")&amp;" - "&amp;(NETWORKDAYS($AB911,TODAY(),Holidays)-1)&amp;" business day(s) late. Send now.",IF($U911="DUE TOMORROW","Next: "&amp;$AC911&amp;IF($AB911&lt;=TODAY()," is due TODAY ("," is due next business day (")&amp;TEXT($AB911,"dd-mmm")&amp;").","Next: "&amp;$AC911&amp;" due "&amp;TEXT($AB911,"dd-mmm")&amp;" ("&amp;(NETWORKDAYS(TODAY(),$AB911,Holidays)-1)&amp;" business day(s) left).")))))</f>
        <v/>
      </c>
      <c r="W911" s="17">
        <f>IF($Z911="","",CHOOSE($Z911,"Collection Email","1st Follow-up","2nd Follow-up","Local Office","CBE","Roxanne")&amp;IF($Z911=6," - Final"," - Day "&amp;MAX(0,NETWORKDAYS($AA911,TODAY(),Holidays)-1)&amp;" of "&amp;CHOOSE($Z911,3,3,2,2,3))&amp;" | Total Day "&amp;MAX(0,NETWORKDAYS($N911,TODAY(),Holidays)-1))</f>
        <v/>
      </c>
      <c r="X911" s="18"/>
      <c r="Y911" s="18"/>
      <c r="Z911" s="17">
        <f>IF($N911="","",COUNT($N911:$S911))</f>
        <v/>
      </c>
      <c r="AA911" s="19">
        <f>IF($Z911="","",INT(INDEX($N911:$S911,$Z911)))</f>
        <v/>
      </c>
      <c r="AB911" s="19">
        <f>IF(OR($Z911="",$Z911=6),"",WORKDAY($AA911,CHOOSE($Z911,3,3,2,2,3),Holidays))</f>
        <v/>
      </c>
      <c r="AC911" s="17">
        <f>IF(OR($Z911="",$Z911=6),"",CHOOSE($Z911,"1st Email Follow-up","2nd Email Follow-up","Escalate Local Office","Escalate to CBE","Escalate to Roxanne"))</f>
        <v/>
      </c>
    </row>
    <row r="912" spans="13:29">
      <c r="M912" s="14"/>
      <c r="T912" s="16"/>
      <c r="U912" s="17">
        <f>IF(AND(COUNTA($A912:$L912)=0,$N912=""),"",IF($T912="Paid","PAID",IF($T912="Closed","CLOSED",IF($Z912="","",IF($Z912=6,"ESCALATED TO ROXANNE",IF(TODAY()&gt;$AB912,"OVERDUE",IF($AB912&lt;=WORKDAY(TODAY(),1,Holidays),"DUE TOMORROW",IF($Z912=4,"ESCALATED TO LOCAL OFFICE",IF($Z912=5,"ESCALATED TO CBE",IF($AA912=TODAY(),"EMAIL SENT","MONITORING"))))))))))</f>
        <v/>
      </c>
      <c r="V912" s="17">
        <f>IF($U912="",IF(AND(COUNTA($A912:$L912)&gt;0,$N912=""),"Awaiting Collection Email time stamp.",""),IF(OR($U912="PAID",$U912="CLOSED"),IF($U912="PAID","Account paid. Action completed.","Account closed. No further action required."),CHOOSE($Z912,"Collection Email","1st Email Follow-up","2nd Email Follow-up","Escalation to Local Office","Escalation to CBE","Escalation to Roxanne")&amp;" sent "&amp;TEXT($AA912,"dd-mmm")&amp;". "&amp;IF($Z912=6,"Final escalation completed.",IF($U912="OVERDUE","Next: "&amp;$AC912&amp;" was due "&amp;TEXT($AB912,"dd-mmm")&amp;" - "&amp;(NETWORKDAYS($AB912,TODAY(),Holidays)-1)&amp;" business day(s) late. Send now.",IF($U912="DUE TOMORROW","Next: "&amp;$AC912&amp;IF($AB912&lt;=TODAY()," is due TODAY ("," is due next business day (")&amp;TEXT($AB912,"dd-mmm")&amp;").","Next: "&amp;$AC912&amp;" due "&amp;TEXT($AB912,"dd-mmm")&amp;" ("&amp;(NETWORKDAYS(TODAY(),$AB912,Holidays)-1)&amp;" business day(s) left).")))))</f>
        <v/>
      </c>
      <c r="W912" s="17">
        <f>IF($Z912="","",CHOOSE($Z912,"Collection Email","1st Follow-up","2nd Follow-up","Local Office","CBE","Roxanne")&amp;IF($Z912=6," - Final"," - Day "&amp;MAX(0,NETWORKDAYS($AA912,TODAY(),Holidays)-1)&amp;" of "&amp;CHOOSE($Z912,3,3,2,2,3))&amp;" | Total Day "&amp;MAX(0,NETWORKDAYS($N912,TODAY(),Holidays)-1))</f>
        <v/>
      </c>
      <c r="X912" s="18"/>
      <c r="Y912" s="18"/>
      <c r="Z912" s="17">
        <f>IF($N912="","",COUNT($N912:$S912))</f>
        <v/>
      </c>
      <c r="AA912" s="19">
        <f>IF($Z912="","",INT(INDEX($N912:$S912,$Z912)))</f>
        <v/>
      </c>
      <c r="AB912" s="19">
        <f>IF(OR($Z912="",$Z912=6),"",WORKDAY($AA912,CHOOSE($Z912,3,3,2,2,3),Holidays))</f>
        <v/>
      </c>
      <c r="AC912" s="17">
        <f>IF(OR($Z912="",$Z912=6),"",CHOOSE($Z912,"1st Email Follow-up","2nd Email Follow-up","Escalate Local Office","Escalate to CBE","Escalate to Roxanne"))</f>
        <v/>
      </c>
    </row>
    <row r="913" spans="13:29">
      <c r="M913" s="14"/>
      <c r="T913" s="16"/>
      <c r="U913" s="17">
        <f>IF(AND(COUNTA($A913:$L913)=0,$N913=""),"",IF($T913="Paid","PAID",IF($T913="Closed","CLOSED",IF($Z913="","",IF($Z913=6,"ESCALATED TO ROXANNE",IF(TODAY()&gt;$AB913,"OVERDUE",IF($AB913&lt;=WORKDAY(TODAY(),1,Holidays),"DUE TOMORROW",IF($Z913=4,"ESCALATED TO LOCAL OFFICE",IF($Z913=5,"ESCALATED TO CBE",IF($AA913=TODAY(),"EMAIL SENT","MONITORING"))))))))))</f>
        <v/>
      </c>
      <c r="V913" s="17">
        <f>IF($U913="",IF(AND(COUNTA($A913:$L913)&gt;0,$N913=""),"Awaiting Collection Email time stamp.",""),IF(OR($U913="PAID",$U913="CLOSED"),IF($U913="PAID","Account paid. Action completed.","Account closed. No further action required."),CHOOSE($Z913,"Collection Email","1st Email Follow-up","2nd Email Follow-up","Escalation to Local Office","Escalation to CBE","Escalation to Roxanne")&amp;" sent "&amp;TEXT($AA913,"dd-mmm")&amp;". "&amp;IF($Z913=6,"Final escalation completed.",IF($U913="OVERDUE","Next: "&amp;$AC913&amp;" was due "&amp;TEXT($AB913,"dd-mmm")&amp;" - "&amp;(NETWORKDAYS($AB913,TODAY(),Holidays)-1)&amp;" business day(s) late. Send now.",IF($U913="DUE TOMORROW","Next: "&amp;$AC913&amp;IF($AB913&lt;=TODAY()," is due TODAY ("," is due next business day (")&amp;TEXT($AB913,"dd-mmm")&amp;").","Next: "&amp;$AC913&amp;" due "&amp;TEXT($AB913,"dd-mmm")&amp;" ("&amp;(NETWORKDAYS(TODAY(),$AB913,Holidays)-1)&amp;" business day(s) left).")))))</f>
        <v/>
      </c>
      <c r="W913" s="17">
        <f>IF($Z913="","",CHOOSE($Z913,"Collection Email","1st Follow-up","2nd Follow-up","Local Office","CBE","Roxanne")&amp;IF($Z913=6," - Final"," - Day "&amp;MAX(0,NETWORKDAYS($AA913,TODAY(),Holidays)-1)&amp;" of "&amp;CHOOSE($Z913,3,3,2,2,3))&amp;" | Total Day "&amp;MAX(0,NETWORKDAYS($N913,TODAY(),Holidays)-1))</f>
        <v/>
      </c>
      <c r="X913" s="18"/>
      <c r="Y913" s="18"/>
      <c r="Z913" s="17">
        <f>IF($N913="","",COUNT($N913:$S913))</f>
        <v/>
      </c>
      <c r="AA913" s="19">
        <f>IF($Z913="","",INT(INDEX($N913:$S913,$Z913)))</f>
        <v/>
      </c>
      <c r="AB913" s="19">
        <f>IF(OR($Z913="",$Z913=6),"",WORKDAY($AA913,CHOOSE($Z913,3,3,2,2,3),Holidays))</f>
        <v/>
      </c>
      <c r="AC913" s="17">
        <f>IF(OR($Z913="",$Z913=6),"",CHOOSE($Z913,"1st Email Follow-up","2nd Email Follow-up","Escalate Local Office","Escalate to CBE","Escalate to Roxanne"))</f>
        <v/>
      </c>
    </row>
    <row r="914" spans="13:29">
      <c r="M914" s="14"/>
      <c r="T914" s="16"/>
      <c r="U914" s="17">
        <f>IF(AND(COUNTA($A914:$L914)=0,$N914=""),"",IF($T914="Paid","PAID",IF($T914="Closed","CLOSED",IF($Z914="","",IF($Z914=6,"ESCALATED TO ROXANNE",IF(TODAY()&gt;$AB914,"OVERDUE",IF($AB914&lt;=WORKDAY(TODAY(),1,Holidays),"DUE TOMORROW",IF($Z914=4,"ESCALATED TO LOCAL OFFICE",IF($Z914=5,"ESCALATED TO CBE",IF($AA914=TODAY(),"EMAIL SENT","MONITORING"))))))))))</f>
        <v/>
      </c>
      <c r="V914" s="17">
        <f>IF($U914="",IF(AND(COUNTA($A914:$L914)&gt;0,$N914=""),"Awaiting Collection Email time stamp.",""),IF(OR($U914="PAID",$U914="CLOSED"),IF($U914="PAID","Account paid. Action completed.","Account closed. No further action required."),CHOOSE($Z914,"Collection Email","1st Email Follow-up","2nd Email Follow-up","Escalation to Local Office","Escalation to CBE","Escalation to Roxanne")&amp;" sent "&amp;TEXT($AA914,"dd-mmm")&amp;". "&amp;IF($Z914=6,"Final escalation completed.",IF($U914="OVERDUE","Next: "&amp;$AC914&amp;" was due "&amp;TEXT($AB914,"dd-mmm")&amp;" - "&amp;(NETWORKDAYS($AB914,TODAY(),Holidays)-1)&amp;" business day(s) late. Send now.",IF($U914="DUE TOMORROW","Next: "&amp;$AC914&amp;IF($AB914&lt;=TODAY()," is due TODAY ("," is due next business day (")&amp;TEXT($AB914,"dd-mmm")&amp;").","Next: "&amp;$AC914&amp;" due "&amp;TEXT($AB914,"dd-mmm")&amp;" ("&amp;(NETWORKDAYS(TODAY(),$AB914,Holidays)-1)&amp;" business day(s) left).")))))</f>
        <v/>
      </c>
      <c r="W914" s="17">
        <f>IF($Z914="","",CHOOSE($Z914,"Collection Email","1st Follow-up","2nd Follow-up","Local Office","CBE","Roxanne")&amp;IF($Z914=6," - Final"," - Day "&amp;MAX(0,NETWORKDAYS($AA914,TODAY(),Holidays)-1)&amp;" of "&amp;CHOOSE($Z914,3,3,2,2,3))&amp;" | Total Day "&amp;MAX(0,NETWORKDAYS($N914,TODAY(),Holidays)-1))</f>
        <v/>
      </c>
      <c r="X914" s="18"/>
      <c r="Y914" s="18"/>
      <c r="Z914" s="17">
        <f>IF($N914="","",COUNT($N914:$S914))</f>
        <v/>
      </c>
      <c r="AA914" s="19">
        <f>IF($Z914="","",INT(INDEX($N914:$S914,$Z914)))</f>
        <v/>
      </c>
      <c r="AB914" s="19">
        <f>IF(OR($Z914="",$Z914=6),"",WORKDAY($AA914,CHOOSE($Z914,3,3,2,2,3),Holidays))</f>
        <v/>
      </c>
      <c r="AC914" s="17">
        <f>IF(OR($Z914="",$Z914=6),"",CHOOSE($Z914,"1st Email Follow-up","2nd Email Follow-up","Escalate Local Office","Escalate to CBE","Escalate to Roxanne"))</f>
        <v/>
      </c>
    </row>
    <row r="915" spans="13:29">
      <c r="M915" s="14"/>
      <c r="T915" s="16"/>
      <c r="U915" s="17">
        <f>IF(AND(COUNTA($A915:$L915)=0,$N915=""),"",IF($T915="Paid","PAID",IF($T915="Closed","CLOSED",IF($Z915="","",IF($Z915=6,"ESCALATED TO ROXANNE",IF(TODAY()&gt;$AB915,"OVERDUE",IF($AB915&lt;=WORKDAY(TODAY(),1,Holidays),"DUE TOMORROW",IF($Z915=4,"ESCALATED TO LOCAL OFFICE",IF($Z915=5,"ESCALATED TO CBE",IF($AA915=TODAY(),"EMAIL SENT","MONITORING"))))))))))</f>
        <v/>
      </c>
      <c r="V915" s="17">
        <f>IF($U915="",IF(AND(COUNTA($A915:$L915)&gt;0,$N915=""),"Awaiting Collection Email time stamp.",""),IF(OR($U915="PAID",$U915="CLOSED"),IF($U915="PAID","Account paid. Action completed.","Account closed. No further action required."),CHOOSE($Z915,"Collection Email","1st Email Follow-up","2nd Email Follow-up","Escalation to Local Office","Escalation to CBE","Escalation to Roxanne")&amp;" sent "&amp;TEXT($AA915,"dd-mmm")&amp;". "&amp;IF($Z915=6,"Final escalation completed.",IF($U915="OVERDUE","Next: "&amp;$AC915&amp;" was due "&amp;TEXT($AB915,"dd-mmm")&amp;" - "&amp;(NETWORKDAYS($AB915,TODAY(),Holidays)-1)&amp;" business day(s) late. Send now.",IF($U915="DUE TOMORROW","Next: "&amp;$AC915&amp;IF($AB915&lt;=TODAY()," is due TODAY ("," is due next business day (")&amp;TEXT($AB915,"dd-mmm")&amp;").","Next: "&amp;$AC915&amp;" due "&amp;TEXT($AB915,"dd-mmm")&amp;" ("&amp;(NETWORKDAYS(TODAY(),$AB915,Holidays)-1)&amp;" business day(s) left).")))))</f>
        <v/>
      </c>
      <c r="W915" s="17">
        <f>IF($Z915="","",CHOOSE($Z915,"Collection Email","1st Follow-up","2nd Follow-up","Local Office","CBE","Roxanne")&amp;IF($Z915=6," - Final"," - Day "&amp;MAX(0,NETWORKDAYS($AA915,TODAY(),Holidays)-1)&amp;" of "&amp;CHOOSE($Z915,3,3,2,2,3))&amp;" | Total Day "&amp;MAX(0,NETWORKDAYS($N915,TODAY(),Holidays)-1))</f>
        <v/>
      </c>
      <c r="X915" s="18"/>
      <c r="Y915" s="18"/>
      <c r="Z915" s="17">
        <f>IF($N915="","",COUNT($N915:$S915))</f>
        <v/>
      </c>
      <c r="AA915" s="19">
        <f>IF($Z915="","",INT(INDEX($N915:$S915,$Z915)))</f>
        <v/>
      </c>
      <c r="AB915" s="19">
        <f>IF(OR($Z915="",$Z915=6),"",WORKDAY($AA915,CHOOSE($Z915,3,3,2,2,3),Holidays))</f>
        <v/>
      </c>
      <c r="AC915" s="17">
        <f>IF(OR($Z915="",$Z915=6),"",CHOOSE($Z915,"1st Email Follow-up","2nd Email Follow-up","Escalate Local Office","Escalate to CBE","Escalate to Roxanne"))</f>
        <v/>
      </c>
    </row>
    <row r="916" spans="13:29">
      <c r="M916" s="14"/>
      <c r="T916" s="16"/>
      <c r="U916" s="17">
        <f>IF(AND(COUNTA($A916:$L916)=0,$N916=""),"",IF($T916="Paid","PAID",IF($T916="Closed","CLOSED",IF($Z916="","",IF($Z916=6,"ESCALATED TO ROXANNE",IF(TODAY()&gt;$AB916,"OVERDUE",IF($AB916&lt;=WORKDAY(TODAY(),1,Holidays),"DUE TOMORROW",IF($Z916=4,"ESCALATED TO LOCAL OFFICE",IF($Z916=5,"ESCALATED TO CBE",IF($AA916=TODAY(),"EMAIL SENT","MONITORING"))))))))))</f>
        <v/>
      </c>
      <c r="V916" s="17">
        <f>IF($U916="",IF(AND(COUNTA($A916:$L916)&gt;0,$N916=""),"Awaiting Collection Email time stamp.",""),IF(OR($U916="PAID",$U916="CLOSED"),IF($U916="PAID","Account paid. Action completed.","Account closed. No further action required."),CHOOSE($Z916,"Collection Email","1st Email Follow-up","2nd Email Follow-up","Escalation to Local Office","Escalation to CBE","Escalation to Roxanne")&amp;" sent "&amp;TEXT($AA916,"dd-mmm")&amp;". "&amp;IF($Z916=6,"Final escalation completed.",IF($U916="OVERDUE","Next: "&amp;$AC916&amp;" was due "&amp;TEXT($AB916,"dd-mmm")&amp;" - "&amp;(NETWORKDAYS($AB916,TODAY(),Holidays)-1)&amp;" business day(s) late. Send now.",IF($U916="DUE TOMORROW","Next: "&amp;$AC916&amp;IF($AB916&lt;=TODAY()," is due TODAY ("," is due next business day (")&amp;TEXT($AB916,"dd-mmm")&amp;").","Next: "&amp;$AC916&amp;" due "&amp;TEXT($AB916,"dd-mmm")&amp;" ("&amp;(NETWORKDAYS(TODAY(),$AB916,Holidays)-1)&amp;" business day(s) left).")))))</f>
        <v/>
      </c>
      <c r="W916" s="17">
        <f>IF($Z916="","",CHOOSE($Z916,"Collection Email","1st Follow-up","2nd Follow-up","Local Office","CBE","Roxanne")&amp;IF($Z916=6," - Final"," - Day "&amp;MAX(0,NETWORKDAYS($AA916,TODAY(),Holidays)-1)&amp;" of "&amp;CHOOSE($Z916,3,3,2,2,3))&amp;" | Total Day "&amp;MAX(0,NETWORKDAYS($N916,TODAY(),Holidays)-1))</f>
        <v/>
      </c>
      <c r="X916" s="18"/>
      <c r="Y916" s="18"/>
      <c r="Z916" s="17">
        <f>IF($N916="","",COUNT($N916:$S916))</f>
        <v/>
      </c>
      <c r="AA916" s="19">
        <f>IF($Z916="","",INT(INDEX($N916:$S916,$Z916)))</f>
        <v/>
      </c>
      <c r="AB916" s="19">
        <f>IF(OR($Z916="",$Z916=6),"",WORKDAY($AA916,CHOOSE($Z916,3,3,2,2,3),Holidays))</f>
        <v/>
      </c>
      <c r="AC916" s="17">
        <f>IF(OR($Z916="",$Z916=6),"",CHOOSE($Z916,"1st Email Follow-up","2nd Email Follow-up","Escalate Local Office","Escalate to CBE","Escalate to Roxanne"))</f>
        <v/>
      </c>
    </row>
    <row r="917" spans="13:29">
      <c r="M917" s="14"/>
      <c r="T917" s="16"/>
      <c r="U917" s="17">
        <f>IF(AND(COUNTA($A917:$L917)=0,$N917=""),"",IF($T917="Paid","PAID",IF($T917="Closed","CLOSED",IF($Z917="","",IF($Z917=6,"ESCALATED TO ROXANNE",IF(TODAY()&gt;$AB917,"OVERDUE",IF($AB917&lt;=WORKDAY(TODAY(),1,Holidays),"DUE TOMORROW",IF($Z917=4,"ESCALATED TO LOCAL OFFICE",IF($Z917=5,"ESCALATED TO CBE",IF($AA917=TODAY(),"EMAIL SENT","MONITORING"))))))))))</f>
        <v/>
      </c>
      <c r="V917" s="17">
        <f>IF($U917="",IF(AND(COUNTA($A917:$L917)&gt;0,$N917=""),"Awaiting Collection Email time stamp.",""),IF(OR($U917="PAID",$U917="CLOSED"),IF($U917="PAID","Account paid. Action completed.","Account closed. No further action required."),CHOOSE($Z917,"Collection Email","1st Email Follow-up","2nd Email Follow-up","Escalation to Local Office","Escalation to CBE","Escalation to Roxanne")&amp;" sent "&amp;TEXT($AA917,"dd-mmm")&amp;". "&amp;IF($Z917=6,"Final escalation completed.",IF($U917="OVERDUE","Next: "&amp;$AC917&amp;" was due "&amp;TEXT($AB917,"dd-mmm")&amp;" - "&amp;(NETWORKDAYS($AB917,TODAY(),Holidays)-1)&amp;" business day(s) late. Send now.",IF($U917="DUE TOMORROW","Next: "&amp;$AC917&amp;IF($AB917&lt;=TODAY()," is due TODAY ("," is due next business day (")&amp;TEXT($AB917,"dd-mmm")&amp;").","Next: "&amp;$AC917&amp;" due "&amp;TEXT($AB917,"dd-mmm")&amp;" ("&amp;(NETWORKDAYS(TODAY(),$AB917,Holidays)-1)&amp;" business day(s) left).")))))</f>
        <v/>
      </c>
      <c r="W917" s="17">
        <f>IF($Z917="","",CHOOSE($Z917,"Collection Email","1st Follow-up","2nd Follow-up","Local Office","CBE","Roxanne")&amp;IF($Z917=6," - Final"," - Day "&amp;MAX(0,NETWORKDAYS($AA917,TODAY(),Holidays)-1)&amp;" of "&amp;CHOOSE($Z917,3,3,2,2,3))&amp;" | Total Day "&amp;MAX(0,NETWORKDAYS($N917,TODAY(),Holidays)-1))</f>
        <v/>
      </c>
      <c r="X917" s="18"/>
      <c r="Y917" s="18"/>
      <c r="Z917" s="17">
        <f>IF($N917="","",COUNT($N917:$S917))</f>
        <v/>
      </c>
      <c r="AA917" s="19">
        <f>IF($Z917="","",INT(INDEX($N917:$S917,$Z917)))</f>
        <v/>
      </c>
      <c r="AB917" s="19">
        <f>IF(OR($Z917="",$Z917=6),"",WORKDAY($AA917,CHOOSE($Z917,3,3,2,2,3),Holidays))</f>
        <v/>
      </c>
      <c r="AC917" s="17">
        <f>IF(OR($Z917="",$Z917=6),"",CHOOSE($Z917,"1st Email Follow-up","2nd Email Follow-up","Escalate Local Office","Escalate to CBE","Escalate to Roxanne"))</f>
        <v/>
      </c>
    </row>
    <row r="918" spans="13:29">
      <c r="M918" s="14"/>
      <c r="T918" s="16"/>
      <c r="U918" s="17">
        <f>IF(AND(COUNTA($A918:$L918)=0,$N918=""),"",IF($T918="Paid","PAID",IF($T918="Closed","CLOSED",IF($Z918="","",IF($Z918=6,"ESCALATED TO ROXANNE",IF(TODAY()&gt;$AB918,"OVERDUE",IF($AB918&lt;=WORKDAY(TODAY(),1,Holidays),"DUE TOMORROW",IF($Z918=4,"ESCALATED TO LOCAL OFFICE",IF($Z918=5,"ESCALATED TO CBE",IF($AA918=TODAY(),"EMAIL SENT","MONITORING"))))))))))</f>
        <v/>
      </c>
      <c r="V918" s="17">
        <f>IF($U918="",IF(AND(COUNTA($A918:$L918)&gt;0,$N918=""),"Awaiting Collection Email time stamp.",""),IF(OR($U918="PAID",$U918="CLOSED"),IF($U918="PAID","Account paid. Action completed.","Account closed. No further action required."),CHOOSE($Z918,"Collection Email","1st Email Follow-up","2nd Email Follow-up","Escalation to Local Office","Escalation to CBE","Escalation to Roxanne")&amp;" sent "&amp;TEXT($AA918,"dd-mmm")&amp;". "&amp;IF($Z918=6,"Final escalation completed.",IF($U918="OVERDUE","Next: "&amp;$AC918&amp;" was due "&amp;TEXT($AB918,"dd-mmm")&amp;" - "&amp;(NETWORKDAYS($AB918,TODAY(),Holidays)-1)&amp;" business day(s) late. Send now.",IF($U918="DUE TOMORROW","Next: "&amp;$AC918&amp;IF($AB918&lt;=TODAY()," is due TODAY ("," is due next business day (")&amp;TEXT($AB918,"dd-mmm")&amp;").","Next: "&amp;$AC918&amp;" due "&amp;TEXT($AB918,"dd-mmm")&amp;" ("&amp;(NETWORKDAYS(TODAY(),$AB918,Holidays)-1)&amp;" business day(s) left).")))))</f>
        <v/>
      </c>
      <c r="W918" s="17">
        <f>IF($Z918="","",CHOOSE($Z918,"Collection Email","1st Follow-up","2nd Follow-up","Local Office","CBE","Roxanne")&amp;IF($Z918=6," - Final"," - Day "&amp;MAX(0,NETWORKDAYS($AA918,TODAY(),Holidays)-1)&amp;" of "&amp;CHOOSE($Z918,3,3,2,2,3))&amp;" | Total Day "&amp;MAX(0,NETWORKDAYS($N918,TODAY(),Holidays)-1))</f>
        <v/>
      </c>
      <c r="X918" s="18"/>
      <c r="Y918" s="18"/>
      <c r="Z918" s="17">
        <f>IF($N918="","",COUNT($N918:$S918))</f>
        <v/>
      </c>
      <c r="AA918" s="19">
        <f>IF($Z918="","",INT(INDEX($N918:$S918,$Z918)))</f>
        <v/>
      </c>
      <c r="AB918" s="19">
        <f>IF(OR($Z918="",$Z918=6),"",WORKDAY($AA918,CHOOSE($Z918,3,3,2,2,3),Holidays))</f>
        <v/>
      </c>
      <c r="AC918" s="17">
        <f>IF(OR($Z918="",$Z918=6),"",CHOOSE($Z918,"1st Email Follow-up","2nd Email Follow-up","Escalate Local Office","Escalate to CBE","Escalate to Roxanne"))</f>
        <v/>
      </c>
    </row>
    <row r="919" spans="13:29">
      <c r="M919" s="14"/>
      <c r="T919" s="16"/>
      <c r="U919" s="17">
        <f>IF(AND(COUNTA($A919:$L919)=0,$N919=""),"",IF($T919="Paid","PAID",IF($T919="Closed","CLOSED",IF($Z919="","",IF($Z919=6,"ESCALATED TO ROXANNE",IF(TODAY()&gt;$AB919,"OVERDUE",IF($AB919&lt;=WORKDAY(TODAY(),1,Holidays),"DUE TOMORROW",IF($Z919=4,"ESCALATED TO LOCAL OFFICE",IF($Z919=5,"ESCALATED TO CBE",IF($AA919=TODAY(),"EMAIL SENT","MONITORING"))))))))))</f>
        <v/>
      </c>
      <c r="V919" s="17">
        <f>IF($U919="",IF(AND(COUNTA($A919:$L919)&gt;0,$N919=""),"Awaiting Collection Email time stamp.",""),IF(OR($U919="PAID",$U919="CLOSED"),IF($U919="PAID","Account paid. Action completed.","Account closed. No further action required."),CHOOSE($Z919,"Collection Email","1st Email Follow-up","2nd Email Follow-up","Escalation to Local Office","Escalation to CBE","Escalation to Roxanne")&amp;" sent "&amp;TEXT($AA919,"dd-mmm")&amp;". "&amp;IF($Z919=6,"Final escalation completed.",IF($U919="OVERDUE","Next: "&amp;$AC919&amp;" was due "&amp;TEXT($AB919,"dd-mmm")&amp;" - "&amp;(NETWORKDAYS($AB919,TODAY(),Holidays)-1)&amp;" business day(s) late. Send now.",IF($U919="DUE TOMORROW","Next: "&amp;$AC919&amp;IF($AB919&lt;=TODAY()," is due TODAY ("," is due next business day (")&amp;TEXT($AB919,"dd-mmm")&amp;").","Next: "&amp;$AC919&amp;" due "&amp;TEXT($AB919,"dd-mmm")&amp;" ("&amp;(NETWORKDAYS(TODAY(),$AB919,Holidays)-1)&amp;" business day(s) left).")))))</f>
        <v/>
      </c>
      <c r="W919" s="17">
        <f>IF($Z919="","",CHOOSE($Z919,"Collection Email","1st Follow-up","2nd Follow-up","Local Office","CBE","Roxanne")&amp;IF($Z919=6," - Final"," - Day "&amp;MAX(0,NETWORKDAYS($AA919,TODAY(),Holidays)-1)&amp;" of "&amp;CHOOSE($Z919,3,3,2,2,3))&amp;" | Total Day "&amp;MAX(0,NETWORKDAYS($N919,TODAY(),Holidays)-1))</f>
        <v/>
      </c>
      <c r="X919" s="18"/>
      <c r="Y919" s="18"/>
      <c r="Z919" s="17">
        <f>IF($N919="","",COUNT($N919:$S919))</f>
        <v/>
      </c>
      <c r="AA919" s="19">
        <f>IF($Z919="","",INT(INDEX($N919:$S919,$Z919)))</f>
        <v/>
      </c>
      <c r="AB919" s="19">
        <f>IF(OR($Z919="",$Z919=6),"",WORKDAY($AA919,CHOOSE($Z919,3,3,2,2,3),Holidays))</f>
        <v/>
      </c>
      <c r="AC919" s="17">
        <f>IF(OR($Z919="",$Z919=6),"",CHOOSE($Z919,"1st Email Follow-up","2nd Email Follow-up","Escalate Local Office","Escalate to CBE","Escalate to Roxanne"))</f>
        <v/>
      </c>
    </row>
    <row r="920" spans="13:29">
      <c r="M920" s="14"/>
      <c r="T920" s="16"/>
      <c r="U920" s="17">
        <f>IF(AND(COUNTA($A920:$L920)=0,$N920=""),"",IF($T920="Paid","PAID",IF($T920="Closed","CLOSED",IF($Z920="","",IF($Z920=6,"ESCALATED TO ROXANNE",IF(TODAY()&gt;$AB920,"OVERDUE",IF($AB920&lt;=WORKDAY(TODAY(),1,Holidays),"DUE TOMORROW",IF($Z920=4,"ESCALATED TO LOCAL OFFICE",IF($Z920=5,"ESCALATED TO CBE",IF($AA920=TODAY(),"EMAIL SENT","MONITORING"))))))))))</f>
        <v/>
      </c>
      <c r="V920" s="17">
        <f>IF($U920="",IF(AND(COUNTA($A920:$L920)&gt;0,$N920=""),"Awaiting Collection Email time stamp.",""),IF(OR($U920="PAID",$U920="CLOSED"),IF($U920="PAID","Account paid. Action completed.","Account closed. No further action required."),CHOOSE($Z920,"Collection Email","1st Email Follow-up","2nd Email Follow-up","Escalation to Local Office","Escalation to CBE","Escalation to Roxanne")&amp;" sent "&amp;TEXT($AA920,"dd-mmm")&amp;". "&amp;IF($Z920=6,"Final escalation completed.",IF($U920="OVERDUE","Next: "&amp;$AC920&amp;" was due "&amp;TEXT($AB920,"dd-mmm")&amp;" - "&amp;(NETWORKDAYS($AB920,TODAY(),Holidays)-1)&amp;" business day(s) late. Send now.",IF($U920="DUE TOMORROW","Next: "&amp;$AC920&amp;IF($AB920&lt;=TODAY()," is due TODAY ("," is due next business day (")&amp;TEXT($AB920,"dd-mmm")&amp;").","Next: "&amp;$AC920&amp;" due "&amp;TEXT($AB920,"dd-mmm")&amp;" ("&amp;(NETWORKDAYS(TODAY(),$AB920,Holidays)-1)&amp;" business day(s) left).")))))</f>
        <v/>
      </c>
      <c r="W920" s="17">
        <f>IF($Z920="","",CHOOSE($Z920,"Collection Email","1st Follow-up","2nd Follow-up","Local Office","CBE","Roxanne")&amp;IF($Z920=6," - Final"," - Day "&amp;MAX(0,NETWORKDAYS($AA920,TODAY(),Holidays)-1)&amp;" of "&amp;CHOOSE($Z920,3,3,2,2,3))&amp;" | Total Day "&amp;MAX(0,NETWORKDAYS($N920,TODAY(),Holidays)-1))</f>
        <v/>
      </c>
      <c r="X920" s="18"/>
      <c r="Y920" s="18"/>
      <c r="Z920" s="17">
        <f>IF($N920="","",COUNT($N920:$S920))</f>
        <v/>
      </c>
      <c r="AA920" s="19">
        <f>IF($Z920="","",INT(INDEX($N920:$S920,$Z920)))</f>
        <v/>
      </c>
      <c r="AB920" s="19">
        <f>IF(OR($Z920="",$Z920=6),"",WORKDAY($AA920,CHOOSE($Z920,3,3,2,2,3),Holidays))</f>
        <v/>
      </c>
      <c r="AC920" s="17">
        <f>IF(OR($Z920="",$Z920=6),"",CHOOSE($Z920,"1st Email Follow-up","2nd Email Follow-up","Escalate Local Office","Escalate to CBE","Escalate to Roxanne"))</f>
        <v/>
      </c>
    </row>
    <row r="921" spans="13:29">
      <c r="M921" s="14"/>
      <c r="T921" s="16"/>
      <c r="U921" s="17">
        <f>IF(AND(COUNTA($A921:$L921)=0,$N921=""),"",IF($T921="Paid","PAID",IF($T921="Closed","CLOSED",IF($Z921="","",IF($Z921=6,"ESCALATED TO ROXANNE",IF(TODAY()&gt;$AB921,"OVERDUE",IF($AB921&lt;=WORKDAY(TODAY(),1,Holidays),"DUE TOMORROW",IF($Z921=4,"ESCALATED TO LOCAL OFFICE",IF($Z921=5,"ESCALATED TO CBE",IF($AA921=TODAY(),"EMAIL SENT","MONITORING"))))))))))</f>
        <v/>
      </c>
      <c r="V921" s="17">
        <f>IF($U921="",IF(AND(COUNTA($A921:$L921)&gt;0,$N921=""),"Awaiting Collection Email time stamp.",""),IF(OR($U921="PAID",$U921="CLOSED"),IF($U921="PAID","Account paid. Action completed.","Account closed. No further action required."),CHOOSE($Z921,"Collection Email","1st Email Follow-up","2nd Email Follow-up","Escalation to Local Office","Escalation to CBE","Escalation to Roxanne")&amp;" sent "&amp;TEXT($AA921,"dd-mmm")&amp;". "&amp;IF($Z921=6,"Final escalation completed.",IF($U921="OVERDUE","Next: "&amp;$AC921&amp;" was due "&amp;TEXT($AB921,"dd-mmm")&amp;" - "&amp;(NETWORKDAYS($AB921,TODAY(),Holidays)-1)&amp;" business day(s) late. Send now.",IF($U921="DUE TOMORROW","Next: "&amp;$AC921&amp;IF($AB921&lt;=TODAY()," is due TODAY ("," is due next business day (")&amp;TEXT($AB921,"dd-mmm")&amp;").","Next: "&amp;$AC921&amp;" due "&amp;TEXT($AB921,"dd-mmm")&amp;" ("&amp;(NETWORKDAYS(TODAY(),$AB921,Holidays)-1)&amp;" business day(s) left).")))))</f>
        <v/>
      </c>
      <c r="W921" s="17">
        <f>IF($Z921="","",CHOOSE($Z921,"Collection Email","1st Follow-up","2nd Follow-up","Local Office","CBE","Roxanne")&amp;IF($Z921=6," - Final"," - Day "&amp;MAX(0,NETWORKDAYS($AA921,TODAY(),Holidays)-1)&amp;" of "&amp;CHOOSE($Z921,3,3,2,2,3))&amp;" | Total Day "&amp;MAX(0,NETWORKDAYS($N921,TODAY(),Holidays)-1))</f>
        <v/>
      </c>
      <c r="X921" s="18"/>
      <c r="Y921" s="18"/>
      <c r="Z921" s="17">
        <f>IF($N921="","",COUNT($N921:$S921))</f>
        <v/>
      </c>
      <c r="AA921" s="19">
        <f>IF($Z921="","",INT(INDEX($N921:$S921,$Z921)))</f>
        <v/>
      </c>
      <c r="AB921" s="19">
        <f>IF(OR($Z921="",$Z921=6),"",WORKDAY($AA921,CHOOSE($Z921,3,3,2,2,3),Holidays))</f>
        <v/>
      </c>
      <c r="AC921" s="17">
        <f>IF(OR($Z921="",$Z921=6),"",CHOOSE($Z921,"1st Email Follow-up","2nd Email Follow-up","Escalate Local Office","Escalate to CBE","Escalate to Roxanne"))</f>
        <v/>
      </c>
    </row>
    <row r="922" spans="13:29">
      <c r="M922" s="14"/>
      <c r="T922" s="16"/>
      <c r="U922" s="17">
        <f>IF(AND(COUNTA($A922:$L922)=0,$N922=""),"",IF($T922="Paid","PAID",IF($T922="Closed","CLOSED",IF($Z922="","",IF($Z922=6,"ESCALATED TO ROXANNE",IF(TODAY()&gt;$AB922,"OVERDUE",IF($AB922&lt;=WORKDAY(TODAY(),1,Holidays),"DUE TOMORROW",IF($Z922=4,"ESCALATED TO LOCAL OFFICE",IF($Z922=5,"ESCALATED TO CBE",IF($AA922=TODAY(),"EMAIL SENT","MONITORING"))))))))))</f>
        <v/>
      </c>
      <c r="V922" s="17">
        <f>IF($U922="",IF(AND(COUNTA($A922:$L922)&gt;0,$N922=""),"Awaiting Collection Email time stamp.",""),IF(OR($U922="PAID",$U922="CLOSED"),IF($U922="PAID","Account paid. Action completed.","Account closed. No further action required."),CHOOSE($Z922,"Collection Email","1st Email Follow-up","2nd Email Follow-up","Escalation to Local Office","Escalation to CBE","Escalation to Roxanne")&amp;" sent "&amp;TEXT($AA922,"dd-mmm")&amp;". "&amp;IF($Z922=6,"Final escalation completed.",IF($U922="OVERDUE","Next: "&amp;$AC922&amp;" was due "&amp;TEXT($AB922,"dd-mmm")&amp;" - "&amp;(NETWORKDAYS($AB922,TODAY(),Holidays)-1)&amp;" business day(s) late. Send now.",IF($U922="DUE TOMORROW","Next: "&amp;$AC922&amp;IF($AB922&lt;=TODAY()," is due TODAY ("," is due next business day (")&amp;TEXT($AB922,"dd-mmm")&amp;").","Next: "&amp;$AC922&amp;" due "&amp;TEXT($AB922,"dd-mmm")&amp;" ("&amp;(NETWORKDAYS(TODAY(),$AB922,Holidays)-1)&amp;" business day(s) left).")))))</f>
        <v/>
      </c>
      <c r="W922" s="17">
        <f>IF($Z922="","",CHOOSE($Z922,"Collection Email","1st Follow-up","2nd Follow-up","Local Office","CBE","Roxanne")&amp;IF($Z922=6," - Final"," - Day "&amp;MAX(0,NETWORKDAYS($AA922,TODAY(),Holidays)-1)&amp;" of "&amp;CHOOSE($Z922,3,3,2,2,3))&amp;" | Total Day "&amp;MAX(0,NETWORKDAYS($N922,TODAY(),Holidays)-1))</f>
        <v/>
      </c>
      <c r="X922" s="18"/>
      <c r="Y922" s="18"/>
      <c r="Z922" s="17">
        <f>IF($N922="","",COUNT($N922:$S922))</f>
        <v/>
      </c>
      <c r="AA922" s="19">
        <f>IF($Z922="","",INT(INDEX($N922:$S922,$Z922)))</f>
        <v/>
      </c>
      <c r="AB922" s="19">
        <f>IF(OR($Z922="",$Z922=6),"",WORKDAY($AA922,CHOOSE($Z922,3,3,2,2,3),Holidays))</f>
        <v/>
      </c>
      <c r="AC922" s="17">
        <f>IF(OR($Z922="",$Z922=6),"",CHOOSE($Z922,"1st Email Follow-up","2nd Email Follow-up","Escalate Local Office","Escalate to CBE","Escalate to Roxanne"))</f>
        <v/>
      </c>
    </row>
    <row r="923" spans="13:29">
      <c r="M923" s="14"/>
      <c r="T923" s="16"/>
      <c r="U923" s="17">
        <f>IF(AND(COUNTA($A923:$L923)=0,$N923=""),"",IF($T923="Paid","PAID",IF($T923="Closed","CLOSED",IF($Z923="","",IF($Z923=6,"ESCALATED TO ROXANNE",IF(TODAY()&gt;$AB923,"OVERDUE",IF($AB923&lt;=WORKDAY(TODAY(),1,Holidays),"DUE TOMORROW",IF($Z923=4,"ESCALATED TO LOCAL OFFICE",IF($Z923=5,"ESCALATED TO CBE",IF($AA923=TODAY(),"EMAIL SENT","MONITORING"))))))))))</f>
        <v/>
      </c>
      <c r="V923" s="17">
        <f>IF($U923="",IF(AND(COUNTA($A923:$L923)&gt;0,$N923=""),"Awaiting Collection Email time stamp.",""),IF(OR($U923="PAID",$U923="CLOSED"),IF($U923="PAID","Account paid. Action completed.","Account closed. No further action required."),CHOOSE($Z923,"Collection Email","1st Email Follow-up","2nd Email Follow-up","Escalation to Local Office","Escalation to CBE","Escalation to Roxanne")&amp;" sent "&amp;TEXT($AA923,"dd-mmm")&amp;". "&amp;IF($Z923=6,"Final escalation completed.",IF($U923="OVERDUE","Next: "&amp;$AC923&amp;" was due "&amp;TEXT($AB923,"dd-mmm")&amp;" - "&amp;(NETWORKDAYS($AB923,TODAY(),Holidays)-1)&amp;" business day(s) late. Send now.",IF($U923="DUE TOMORROW","Next: "&amp;$AC923&amp;IF($AB923&lt;=TODAY()," is due TODAY ("," is due next business day (")&amp;TEXT($AB923,"dd-mmm")&amp;").","Next: "&amp;$AC923&amp;" due "&amp;TEXT($AB923,"dd-mmm")&amp;" ("&amp;(NETWORKDAYS(TODAY(),$AB923,Holidays)-1)&amp;" business day(s) left).")))))</f>
        <v/>
      </c>
      <c r="W923" s="17">
        <f>IF($Z923="","",CHOOSE($Z923,"Collection Email","1st Follow-up","2nd Follow-up","Local Office","CBE","Roxanne")&amp;IF($Z923=6," - Final"," - Day "&amp;MAX(0,NETWORKDAYS($AA923,TODAY(),Holidays)-1)&amp;" of "&amp;CHOOSE($Z923,3,3,2,2,3))&amp;" | Total Day "&amp;MAX(0,NETWORKDAYS($N923,TODAY(),Holidays)-1))</f>
        <v/>
      </c>
      <c r="X923" s="18"/>
      <c r="Y923" s="18"/>
      <c r="Z923" s="17">
        <f>IF($N923="","",COUNT($N923:$S923))</f>
        <v/>
      </c>
      <c r="AA923" s="19">
        <f>IF($Z923="","",INT(INDEX($N923:$S923,$Z923)))</f>
        <v/>
      </c>
      <c r="AB923" s="19">
        <f>IF(OR($Z923="",$Z923=6),"",WORKDAY($AA923,CHOOSE($Z923,3,3,2,2,3),Holidays))</f>
        <v/>
      </c>
      <c r="AC923" s="17">
        <f>IF(OR($Z923="",$Z923=6),"",CHOOSE($Z923,"1st Email Follow-up","2nd Email Follow-up","Escalate Local Office","Escalate to CBE","Escalate to Roxanne"))</f>
        <v/>
      </c>
    </row>
    <row r="924" spans="13:29">
      <c r="M924" s="14"/>
      <c r="T924" s="16"/>
      <c r="U924" s="17">
        <f>IF(AND(COUNTA($A924:$L924)=0,$N924=""),"",IF($T924="Paid","PAID",IF($T924="Closed","CLOSED",IF($Z924="","",IF($Z924=6,"ESCALATED TO ROXANNE",IF(TODAY()&gt;$AB924,"OVERDUE",IF($AB924&lt;=WORKDAY(TODAY(),1,Holidays),"DUE TOMORROW",IF($Z924=4,"ESCALATED TO LOCAL OFFICE",IF($Z924=5,"ESCALATED TO CBE",IF($AA924=TODAY(),"EMAIL SENT","MONITORING"))))))))))</f>
        <v/>
      </c>
      <c r="V924" s="17">
        <f>IF($U924="",IF(AND(COUNTA($A924:$L924)&gt;0,$N924=""),"Awaiting Collection Email time stamp.",""),IF(OR($U924="PAID",$U924="CLOSED"),IF($U924="PAID","Account paid. Action completed.","Account closed. No further action required."),CHOOSE($Z924,"Collection Email","1st Email Follow-up","2nd Email Follow-up","Escalation to Local Office","Escalation to CBE","Escalation to Roxanne")&amp;" sent "&amp;TEXT($AA924,"dd-mmm")&amp;". "&amp;IF($Z924=6,"Final escalation completed.",IF($U924="OVERDUE","Next: "&amp;$AC924&amp;" was due "&amp;TEXT($AB924,"dd-mmm")&amp;" - "&amp;(NETWORKDAYS($AB924,TODAY(),Holidays)-1)&amp;" business day(s) late. Send now.",IF($U924="DUE TOMORROW","Next: "&amp;$AC924&amp;IF($AB924&lt;=TODAY()," is due TODAY ("," is due next business day (")&amp;TEXT($AB924,"dd-mmm")&amp;").","Next: "&amp;$AC924&amp;" due "&amp;TEXT($AB924,"dd-mmm")&amp;" ("&amp;(NETWORKDAYS(TODAY(),$AB924,Holidays)-1)&amp;" business day(s) left).")))))</f>
        <v/>
      </c>
      <c r="W924" s="17">
        <f>IF($Z924="","",CHOOSE($Z924,"Collection Email","1st Follow-up","2nd Follow-up","Local Office","CBE","Roxanne")&amp;IF($Z924=6," - Final"," - Day "&amp;MAX(0,NETWORKDAYS($AA924,TODAY(),Holidays)-1)&amp;" of "&amp;CHOOSE($Z924,3,3,2,2,3))&amp;" | Total Day "&amp;MAX(0,NETWORKDAYS($N924,TODAY(),Holidays)-1))</f>
        <v/>
      </c>
      <c r="X924" s="18"/>
      <c r="Y924" s="18"/>
      <c r="Z924" s="17">
        <f>IF($N924="","",COUNT($N924:$S924))</f>
        <v/>
      </c>
      <c r="AA924" s="19">
        <f>IF($Z924="","",INT(INDEX($N924:$S924,$Z924)))</f>
        <v/>
      </c>
      <c r="AB924" s="19">
        <f>IF(OR($Z924="",$Z924=6),"",WORKDAY($AA924,CHOOSE($Z924,3,3,2,2,3),Holidays))</f>
        <v/>
      </c>
      <c r="AC924" s="17">
        <f>IF(OR($Z924="",$Z924=6),"",CHOOSE($Z924,"1st Email Follow-up","2nd Email Follow-up","Escalate Local Office","Escalate to CBE","Escalate to Roxanne"))</f>
        <v/>
      </c>
    </row>
    <row r="925" spans="13:29">
      <c r="M925" s="14"/>
      <c r="T925" s="16"/>
      <c r="U925" s="17">
        <f>IF(AND(COUNTA($A925:$L925)=0,$N925=""),"",IF($T925="Paid","PAID",IF($T925="Closed","CLOSED",IF($Z925="","",IF($Z925=6,"ESCALATED TO ROXANNE",IF(TODAY()&gt;$AB925,"OVERDUE",IF($AB925&lt;=WORKDAY(TODAY(),1,Holidays),"DUE TOMORROW",IF($Z925=4,"ESCALATED TO LOCAL OFFICE",IF($Z925=5,"ESCALATED TO CBE",IF($AA925=TODAY(),"EMAIL SENT","MONITORING"))))))))))</f>
        <v/>
      </c>
      <c r="V925" s="17">
        <f>IF($U925="",IF(AND(COUNTA($A925:$L925)&gt;0,$N925=""),"Awaiting Collection Email time stamp.",""),IF(OR($U925="PAID",$U925="CLOSED"),IF($U925="PAID","Account paid. Action completed.","Account closed. No further action required."),CHOOSE($Z925,"Collection Email","1st Email Follow-up","2nd Email Follow-up","Escalation to Local Office","Escalation to CBE","Escalation to Roxanne")&amp;" sent "&amp;TEXT($AA925,"dd-mmm")&amp;". "&amp;IF($Z925=6,"Final escalation completed.",IF($U925="OVERDUE","Next: "&amp;$AC925&amp;" was due "&amp;TEXT($AB925,"dd-mmm")&amp;" - "&amp;(NETWORKDAYS($AB925,TODAY(),Holidays)-1)&amp;" business day(s) late. Send now.",IF($U925="DUE TOMORROW","Next: "&amp;$AC925&amp;IF($AB925&lt;=TODAY()," is due TODAY ("," is due next business day (")&amp;TEXT($AB925,"dd-mmm")&amp;").","Next: "&amp;$AC925&amp;" due "&amp;TEXT($AB925,"dd-mmm")&amp;" ("&amp;(NETWORKDAYS(TODAY(),$AB925,Holidays)-1)&amp;" business day(s) left).")))))</f>
        <v/>
      </c>
      <c r="W925" s="17">
        <f>IF($Z925="","",CHOOSE($Z925,"Collection Email","1st Follow-up","2nd Follow-up","Local Office","CBE","Roxanne")&amp;IF($Z925=6," - Final"," - Day "&amp;MAX(0,NETWORKDAYS($AA925,TODAY(),Holidays)-1)&amp;" of "&amp;CHOOSE($Z925,3,3,2,2,3))&amp;" | Total Day "&amp;MAX(0,NETWORKDAYS($N925,TODAY(),Holidays)-1))</f>
        <v/>
      </c>
      <c r="X925" s="18"/>
      <c r="Y925" s="18"/>
      <c r="Z925" s="17">
        <f>IF($N925="","",COUNT($N925:$S925))</f>
        <v/>
      </c>
      <c r="AA925" s="19">
        <f>IF($Z925="","",INT(INDEX($N925:$S925,$Z925)))</f>
        <v/>
      </c>
      <c r="AB925" s="19">
        <f>IF(OR($Z925="",$Z925=6),"",WORKDAY($AA925,CHOOSE($Z925,3,3,2,2,3),Holidays))</f>
        <v/>
      </c>
      <c r="AC925" s="17">
        <f>IF(OR($Z925="",$Z925=6),"",CHOOSE($Z925,"1st Email Follow-up","2nd Email Follow-up","Escalate Local Office","Escalate to CBE","Escalate to Roxanne"))</f>
        <v/>
      </c>
    </row>
    <row r="926" spans="13:29">
      <c r="M926" s="14"/>
      <c r="T926" s="16"/>
      <c r="U926" s="17">
        <f>IF(AND(COUNTA($A926:$L926)=0,$N926=""),"",IF($T926="Paid","PAID",IF($T926="Closed","CLOSED",IF($Z926="","",IF($Z926=6,"ESCALATED TO ROXANNE",IF(TODAY()&gt;$AB926,"OVERDUE",IF($AB926&lt;=WORKDAY(TODAY(),1,Holidays),"DUE TOMORROW",IF($Z926=4,"ESCALATED TO LOCAL OFFICE",IF($Z926=5,"ESCALATED TO CBE",IF($AA926=TODAY(),"EMAIL SENT","MONITORING"))))))))))</f>
        <v/>
      </c>
      <c r="V926" s="17">
        <f>IF($U926="",IF(AND(COUNTA($A926:$L926)&gt;0,$N926=""),"Awaiting Collection Email time stamp.",""),IF(OR($U926="PAID",$U926="CLOSED"),IF($U926="PAID","Account paid. Action completed.","Account closed. No further action required."),CHOOSE($Z926,"Collection Email","1st Email Follow-up","2nd Email Follow-up","Escalation to Local Office","Escalation to CBE","Escalation to Roxanne")&amp;" sent "&amp;TEXT($AA926,"dd-mmm")&amp;". "&amp;IF($Z926=6,"Final escalation completed.",IF($U926="OVERDUE","Next: "&amp;$AC926&amp;" was due "&amp;TEXT($AB926,"dd-mmm")&amp;" - "&amp;(NETWORKDAYS($AB926,TODAY(),Holidays)-1)&amp;" business day(s) late. Send now.",IF($U926="DUE TOMORROW","Next: "&amp;$AC926&amp;IF($AB926&lt;=TODAY()," is due TODAY ("," is due next business day (")&amp;TEXT($AB926,"dd-mmm")&amp;").","Next: "&amp;$AC926&amp;" due "&amp;TEXT($AB926,"dd-mmm")&amp;" ("&amp;(NETWORKDAYS(TODAY(),$AB926,Holidays)-1)&amp;" business day(s) left).")))))</f>
        <v/>
      </c>
      <c r="W926" s="17">
        <f>IF($Z926="","",CHOOSE($Z926,"Collection Email","1st Follow-up","2nd Follow-up","Local Office","CBE","Roxanne")&amp;IF($Z926=6," - Final"," - Day "&amp;MAX(0,NETWORKDAYS($AA926,TODAY(),Holidays)-1)&amp;" of "&amp;CHOOSE($Z926,3,3,2,2,3))&amp;" | Total Day "&amp;MAX(0,NETWORKDAYS($N926,TODAY(),Holidays)-1))</f>
        <v/>
      </c>
      <c r="X926" s="18"/>
      <c r="Y926" s="18"/>
      <c r="Z926" s="17">
        <f>IF($N926="","",COUNT($N926:$S926))</f>
        <v/>
      </c>
      <c r="AA926" s="19">
        <f>IF($Z926="","",INT(INDEX($N926:$S926,$Z926)))</f>
        <v/>
      </c>
      <c r="AB926" s="19">
        <f>IF(OR($Z926="",$Z926=6),"",WORKDAY($AA926,CHOOSE($Z926,3,3,2,2,3),Holidays))</f>
        <v/>
      </c>
      <c r="AC926" s="17">
        <f>IF(OR($Z926="",$Z926=6),"",CHOOSE($Z926,"1st Email Follow-up","2nd Email Follow-up","Escalate Local Office","Escalate to CBE","Escalate to Roxanne"))</f>
        <v/>
      </c>
    </row>
    <row r="927" spans="13:29">
      <c r="M927" s="14"/>
      <c r="T927" s="16"/>
      <c r="U927" s="17">
        <f>IF(AND(COUNTA($A927:$L927)=0,$N927=""),"",IF($T927="Paid","PAID",IF($T927="Closed","CLOSED",IF($Z927="","",IF($Z927=6,"ESCALATED TO ROXANNE",IF(TODAY()&gt;$AB927,"OVERDUE",IF($AB927&lt;=WORKDAY(TODAY(),1,Holidays),"DUE TOMORROW",IF($Z927=4,"ESCALATED TO LOCAL OFFICE",IF($Z927=5,"ESCALATED TO CBE",IF($AA927=TODAY(),"EMAIL SENT","MONITORING"))))))))))</f>
        <v/>
      </c>
      <c r="V927" s="17">
        <f>IF($U927="",IF(AND(COUNTA($A927:$L927)&gt;0,$N927=""),"Awaiting Collection Email time stamp.",""),IF(OR($U927="PAID",$U927="CLOSED"),IF($U927="PAID","Account paid. Action completed.","Account closed. No further action required."),CHOOSE($Z927,"Collection Email","1st Email Follow-up","2nd Email Follow-up","Escalation to Local Office","Escalation to CBE","Escalation to Roxanne")&amp;" sent "&amp;TEXT($AA927,"dd-mmm")&amp;". "&amp;IF($Z927=6,"Final escalation completed.",IF($U927="OVERDUE","Next: "&amp;$AC927&amp;" was due "&amp;TEXT($AB927,"dd-mmm")&amp;" - "&amp;(NETWORKDAYS($AB927,TODAY(),Holidays)-1)&amp;" business day(s) late. Send now.",IF($U927="DUE TOMORROW","Next: "&amp;$AC927&amp;IF($AB927&lt;=TODAY()," is due TODAY ("," is due next business day (")&amp;TEXT($AB927,"dd-mmm")&amp;").","Next: "&amp;$AC927&amp;" due "&amp;TEXT($AB927,"dd-mmm")&amp;" ("&amp;(NETWORKDAYS(TODAY(),$AB927,Holidays)-1)&amp;" business day(s) left).")))))</f>
        <v/>
      </c>
      <c r="W927" s="17">
        <f>IF($Z927="","",CHOOSE($Z927,"Collection Email","1st Follow-up","2nd Follow-up","Local Office","CBE","Roxanne")&amp;IF($Z927=6," - Final"," - Day "&amp;MAX(0,NETWORKDAYS($AA927,TODAY(),Holidays)-1)&amp;" of "&amp;CHOOSE($Z927,3,3,2,2,3))&amp;" | Total Day "&amp;MAX(0,NETWORKDAYS($N927,TODAY(),Holidays)-1))</f>
        <v/>
      </c>
      <c r="X927" s="18"/>
      <c r="Y927" s="18"/>
      <c r="Z927" s="17">
        <f>IF($N927="","",COUNT($N927:$S927))</f>
        <v/>
      </c>
      <c r="AA927" s="19">
        <f>IF($Z927="","",INT(INDEX($N927:$S927,$Z927)))</f>
        <v/>
      </c>
      <c r="AB927" s="19">
        <f>IF(OR($Z927="",$Z927=6),"",WORKDAY($AA927,CHOOSE($Z927,3,3,2,2,3),Holidays))</f>
        <v/>
      </c>
      <c r="AC927" s="17">
        <f>IF(OR($Z927="",$Z927=6),"",CHOOSE($Z927,"1st Email Follow-up","2nd Email Follow-up","Escalate Local Office","Escalate to CBE","Escalate to Roxanne"))</f>
        <v/>
      </c>
    </row>
    <row r="928" spans="13:29">
      <c r="M928" s="14"/>
      <c r="T928" s="16"/>
      <c r="U928" s="17">
        <f>IF(AND(COUNTA($A928:$L928)=0,$N928=""),"",IF($T928="Paid","PAID",IF($T928="Closed","CLOSED",IF($Z928="","",IF($Z928=6,"ESCALATED TO ROXANNE",IF(TODAY()&gt;$AB928,"OVERDUE",IF($AB928&lt;=WORKDAY(TODAY(),1,Holidays),"DUE TOMORROW",IF($Z928=4,"ESCALATED TO LOCAL OFFICE",IF($Z928=5,"ESCALATED TO CBE",IF($AA928=TODAY(),"EMAIL SENT","MONITORING"))))))))))</f>
        <v/>
      </c>
      <c r="V928" s="17">
        <f>IF($U928="",IF(AND(COUNTA($A928:$L928)&gt;0,$N928=""),"Awaiting Collection Email time stamp.",""),IF(OR($U928="PAID",$U928="CLOSED"),IF($U928="PAID","Account paid. Action completed.","Account closed. No further action required."),CHOOSE($Z928,"Collection Email","1st Email Follow-up","2nd Email Follow-up","Escalation to Local Office","Escalation to CBE","Escalation to Roxanne")&amp;" sent "&amp;TEXT($AA928,"dd-mmm")&amp;". "&amp;IF($Z928=6,"Final escalation completed.",IF($U928="OVERDUE","Next: "&amp;$AC928&amp;" was due "&amp;TEXT($AB928,"dd-mmm")&amp;" - "&amp;(NETWORKDAYS($AB928,TODAY(),Holidays)-1)&amp;" business day(s) late. Send now.",IF($U928="DUE TOMORROW","Next: "&amp;$AC928&amp;IF($AB928&lt;=TODAY()," is due TODAY ("," is due next business day (")&amp;TEXT($AB928,"dd-mmm")&amp;").","Next: "&amp;$AC928&amp;" due "&amp;TEXT($AB928,"dd-mmm")&amp;" ("&amp;(NETWORKDAYS(TODAY(),$AB928,Holidays)-1)&amp;" business day(s) left).")))))</f>
        <v/>
      </c>
      <c r="W928" s="17">
        <f>IF($Z928="","",CHOOSE($Z928,"Collection Email","1st Follow-up","2nd Follow-up","Local Office","CBE","Roxanne")&amp;IF($Z928=6," - Final"," - Day "&amp;MAX(0,NETWORKDAYS($AA928,TODAY(),Holidays)-1)&amp;" of "&amp;CHOOSE($Z928,3,3,2,2,3))&amp;" | Total Day "&amp;MAX(0,NETWORKDAYS($N928,TODAY(),Holidays)-1))</f>
        <v/>
      </c>
      <c r="X928" s="18"/>
      <c r="Y928" s="18"/>
      <c r="Z928" s="17">
        <f>IF($N928="","",COUNT($N928:$S928))</f>
        <v/>
      </c>
      <c r="AA928" s="19">
        <f>IF($Z928="","",INT(INDEX($N928:$S928,$Z928)))</f>
        <v/>
      </c>
      <c r="AB928" s="19">
        <f>IF(OR($Z928="",$Z928=6),"",WORKDAY($AA928,CHOOSE($Z928,3,3,2,2,3),Holidays))</f>
        <v/>
      </c>
      <c r="AC928" s="17">
        <f>IF(OR($Z928="",$Z928=6),"",CHOOSE($Z928,"1st Email Follow-up","2nd Email Follow-up","Escalate Local Office","Escalate to CBE","Escalate to Roxanne"))</f>
        <v/>
      </c>
    </row>
    <row r="929" spans="13:29">
      <c r="M929" s="14"/>
      <c r="T929" s="16"/>
      <c r="U929" s="17">
        <f>IF(AND(COUNTA($A929:$L929)=0,$N929=""),"",IF($T929="Paid","PAID",IF($T929="Closed","CLOSED",IF($Z929="","",IF($Z929=6,"ESCALATED TO ROXANNE",IF(TODAY()&gt;$AB929,"OVERDUE",IF($AB929&lt;=WORKDAY(TODAY(),1,Holidays),"DUE TOMORROW",IF($Z929=4,"ESCALATED TO LOCAL OFFICE",IF($Z929=5,"ESCALATED TO CBE",IF($AA929=TODAY(),"EMAIL SENT","MONITORING"))))))))))</f>
        <v/>
      </c>
      <c r="V929" s="17">
        <f>IF($U929="",IF(AND(COUNTA($A929:$L929)&gt;0,$N929=""),"Awaiting Collection Email time stamp.",""),IF(OR($U929="PAID",$U929="CLOSED"),IF($U929="PAID","Account paid. Action completed.","Account closed. No further action required."),CHOOSE($Z929,"Collection Email","1st Email Follow-up","2nd Email Follow-up","Escalation to Local Office","Escalation to CBE","Escalation to Roxanne")&amp;" sent "&amp;TEXT($AA929,"dd-mmm")&amp;". "&amp;IF($Z929=6,"Final escalation completed.",IF($U929="OVERDUE","Next: "&amp;$AC929&amp;" was due "&amp;TEXT($AB929,"dd-mmm")&amp;" - "&amp;(NETWORKDAYS($AB929,TODAY(),Holidays)-1)&amp;" business day(s) late. Send now.",IF($U929="DUE TOMORROW","Next: "&amp;$AC929&amp;IF($AB929&lt;=TODAY()," is due TODAY ("," is due next business day (")&amp;TEXT($AB929,"dd-mmm")&amp;").","Next: "&amp;$AC929&amp;" due "&amp;TEXT($AB929,"dd-mmm")&amp;" ("&amp;(NETWORKDAYS(TODAY(),$AB929,Holidays)-1)&amp;" business day(s) left).")))))</f>
        <v/>
      </c>
      <c r="W929" s="17">
        <f>IF($Z929="","",CHOOSE($Z929,"Collection Email","1st Follow-up","2nd Follow-up","Local Office","CBE","Roxanne")&amp;IF($Z929=6," - Final"," - Day "&amp;MAX(0,NETWORKDAYS($AA929,TODAY(),Holidays)-1)&amp;" of "&amp;CHOOSE($Z929,3,3,2,2,3))&amp;" | Total Day "&amp;MAX(0,NETWORKDAYS($N929,TODAY(),Holidays)-1))</f>
        <v/>
      </c>
      <c r="X929" s="18"/>
      <c r="Y929" s="18"/>
      <c r="Z929" s="17">
        <f>IF($N929="","",COUNT($N929:$S929))</f>
        <v/>
      </c>
      <c r="AA929" s="19">
        <f>IF($Z929="","",INT(INDEX($N929:$S929,$Z929)))</f>
        <v/>
      </c>
      <c r="AB929" s="19">
        <f>IF(OR($Z929="",$Z929=6),"",WORKDAY($AA929,CHOOSE($Z929,3,3,2,2,3),Holidays))</f>
        <v/>
      </c>
      <c r="AC929" s="17">
        <f>IF(OR($Z929="",$Z929=6),"",CHOOSE($Z929,"1st Email Follow-up","2nd Email Follow-up","Escalate Local Office","Escalate to CBE","Escalate to Roxanne"))</f>
        <v/>
      </c>
    </row>
    <row r="930" spans="13:29">
      <c r="M930" s="14"/>
      <c r="T930" s="16"/>
      <c r="U930" s="17">
        <f>IF(AND(COUNTA($A930:$L930)=0,$N930=""),"",IF($T930="Paid","PAID",IF($T930="Closed","CLOSED",IF($Z930="","",IF($Z930=6,"ESCALATED TO ROXANNE",IF(TODAY()&gt;$AB930,"OVERDUE",IF($AB930&lt;=WORKDAY(TODAY(),1,Holidays),"DUE TOMORROW",IF($Z930=4,"ESCALATED TO LOCAL OFFICE",IF($Z930=5,"ESCALATED TO CBE",IF($AA930=TODAY(),"EMAIL SENT","MONITORING"))))))))))</f>
        <v/>
      </c>
      <c r="V930" s="17">
        <f>IF($U930="",IF(AND(COUNTA($A930:$L930)&gt;0,$N930=""),"Awaiting Collection Email time stamp.",""),IF(OR($U930="PAID",$U930="CLOSED"),IF($U930="PAID","Account paid. Action completed.","Account closed. No further action required."),CHOOSE($Z930,"Collection Email","1st Email Follow-up","2nd Email Follow-up","Escalation to Local Office","Escalation to CBE","Escalation to Roxanne")&amp;" sent "&amp;TEXT($AA930,"dd-mmm")&amp;". "&amp;IF($Z930=6,"Final escalation completed.",IF($U930="OVERDUE","Next: "&amp;$AC930&amp;" was due "&amp;TEXT($AB930,"dd-mmm")&amp;" - "&amp;(NETWORKDAYS($AB930,TODAY(),Holidays)-1)&amp;" business day(s) late. Send now.",IF($U930="DUE TOMORROW","Next: "&amp;$AC930&amp;IF($AB930&lt;=TODAY()," is due TODAY ("," is due next business day (")&amp;TEXT($AB930,"dd-mmm")&amp;").","Next: "&amp;$AC930&amp;" due "&amp;TEXT($AB930,"dd-mmm")&amp;" ("&amp;(NETWORKDAYS(TODAY(),$AB930,Holidays)-1)&amp;" business day(s) left).")))))</f>
        <v/>
      </c>
      <c r="W930" s="17">
        <f>IF($Z930="","",CHOOSE($Z930,"Collection Email","1st Follow-up","2nd Follow-up","Local Office","CBE","Roxanne")&amp;IF($Z930=6," - Final"," - Day "&amp;MAX(0,NETWORKDAYS($AA930,TODAY(),Holidays)-1)&amp;" of "&amp;CHOOSE($Z930,3,3,2,2,3))&amp;" | Total Day "&amp;MAX(0,NETWORKDAYS($N930,TODAY(),Holidays)-1))</f>
        <v/>
      </c>
      <c r="X930" s="18"/>
      <c r="Y930" s="18"/>
      <c r="Z930" s="17">
        <f>IF($N930="","",COUNT($N930:$S930))</f>
        <v/>
      </c>
      <c r="AA930" s="19">
        <f>IF($Z930="","",INT(INDEX($N930:$S930,$Z930)))</f>
        <v/>
      </c>
      <c r="AB930" s="19">
        <f>IF(OR($Z930="",$Z930=6),"",WORKDAY($AA930,CHOOSE($Z930,3,3,2,2,3),Holidays))</f>
        <v/>
      </c>
      <c r="AC930" s="17">
        <f>IF(OR($Z930="",$Z930=6),"",CHOOSE($Z930,"1st Email Follow-up","2nd Email Follow-up","Escalate Local Office","Escalate to CBE","Escalate to Roxanne"))</f>
        <v/>
      </c>
    </row>
    <row r="931" spans="13:29">
      <c r="M931" s="14"/>
      <c r="T931" s="16"/>
      <c r="U931" s="17">
        <f>IF(AND(COUNTA($A931:$L931)=0,$N931=""),"",IF($T931="Paid","PAID",IF($T931="Closed","CLOSED",IF($Z931="","",IF($Z931=6,"ESCALATED TO ROXANNE",IF(TODAY()&gt;$AB931,"OVERDUE",IF($AB931&lt;=WORKDAY(TODAY(),1,Holidays),"DUE TOMORROW",IF($Z931=4,"ESCALATED TO LOCAL OFFICE",IF($Z931=5,"ESCALATED TO CBE",IF($AA931=TODAY(),"EMAIL SENT","MONITORING"))))))))))</f>
        <v/>
      </c>
      <c r="V931" s="17">
        <f>IF($U931="",IF(AND(COUNTA($A931:$L931)&gt;0,$N931=""),"Awaiting Collection Email time stamp.",""),IF(OR($U931="PAID",$U931="CLOSED"),IF($U931="PAID","Account paid. Action completed.","Account closed. No further action required."),CHOOSE($Z931,"Collection Email","1st Email Follow-up","2nd Email Follow-up","Escalation to Local Office","Escalation to CBE","Escalation to Roxanne")&amp;" sent "&amp;TEXT($AA931,"dd-mmm")&amp;". "&amp;IF($Z931=6,"Final escalation completed.",IF($U931="OVERDUE","Next: "&amp;$AC931&amp;" was due "&amp;TEXT($AB931,"dd-mmm")&amp;" - "&amp;(NETWORKDAYS($AB931,TODAY(),Holidays)-1)&amp;" business day(s) late. Send now.",IF($U931="DUE TOMORROW","Next: "&amp;$AC931&amp;IF($AB931&lt;=TODAY()," is due TODAY ("," is due next business day (")&amp;TEXT($AB931,"dd-mmm")&amp;").","Next: "&amp;$AC931&amp;" due "&amp;TEXT($AB931,"dd-mmm")&amp;" ("&amp;(NETWORKDAYS(TODAY(),$AB931,Holidays)-1)&amp;" business day(s) left).")))))</f>
        <v/>
      </c>
      <c r="W931" s="17">
        <f>IF($Z931="","",CHOOSE($Z931,"Collection Email","1st Follow-up","2nd Follow-up","Local Office","CBE","Roxanne")&amp;IF($Z931=6," - Final"," - Day "&amp;MAX(0,NETWORKDAYS($AA931,TODAY(),Holidays)-1)&amp;" of "&amp;CHOOSE($Z931,3,3,2,2,3))&amp;" | Total Day "&amp;MAX(0,NETWORKDAYS($N931,TODAY(),Holidays)-1))</f>
        <v/>
      </c>
      <c r="X931" s="18"/>
      <c r="Y931" s="18"/>
      <c r="Z931" s="17">
        <f>IF($N931="","",COUNT($N931:$S931))</f>
        <v/>
      </c>
      <c r="AA931" s="19">
        <f>IF($Z931="","",INT(INDEX($N931:$S931,$Z931)))</f>
        <v/>
      </c>
      <c r="AB931" s="19">
        <f>IF(OR($Z931="",$Z931=6),"",WORKDAY($AA931,CHOOSE($Z931,3,3,2,2,3),Holidays))</f>
        <v/>
      </c>
      <c r="AC931" s="17">
        <f>IF(OR($Z931="",$Z931=6),"",CHOOSE($Z931,"1st Email Follow-up","2nd Email Follow-up","Escalate Local Office","Escalate to CBE","Escalate to Roxanne"))</f>
        <v/>
      </c>
    </row>
    <row r="932" spans="13:29">
      <c r="M932" s="14"/>
      <c r="T932" s="16"/>
      <c r="U932" s="17">
        <f>IF(AND(COUNTA($A932:$L932)=0,$N932=""),"",IF($T932="Paid","PAID",IF($T932="Closed","CLOSED",IF($Z932="","",IF($Z932=6,"ESCALATED TO ROXANNE",IF(TODAY()&gt;$AB932,"OVERDUE",IF($AB932&lt;=WORKDAY(TODAY(),1,Holidays),"DUE TOMORROW",IF($Z932=4,"ESCALATED TO LOCAL OFFICE",IF($Z932=5,"ESCALATED TO CBE",IF($AA932=TODAY(),"EMAIL SENT","MONITORING"))))))))))</f>
        <v/>
      </c>
      <c r="V932" s="17">
        <f>IF($U932="",IF(AND(COUNTA($A932:$L932)&gt;0,$N932=""),"Awaiting Collection Email time stamp.",""),IF(OR($U932="PAID",$U932="CLOSED"),IF($U932="PAID","Account paid. Action completed.","Account closed. No further action required."),CHOOSE($Z932,"Collection Email","1st Email Follow-up","2nd Email Follow-up","Escalation to Local Office","Escalation to CBE","Escalation to Roxanne")&amp;" sent "&amp;TEXT($AA932,"dd-mmm")&amp;". "&amp;IF($Z932=6,"Final escalation completed.",IF($U932="OVERDUE","Next: "&amp;$AC932&amp;" was due "&amp;TEXT($AB932,"dd-mmm")&amp;" - "&amp;(NETWORKDAYS($AB932,TODAY(),Holidays)-1)&amp;" business day(s) late. Send now.",IF($U932="DUE TOMORROW","Next: "&amp;$AC932&amp;IF($AB932&lt;=TODAY()," is due TODAY ("," is due next business day (")&amp;TEXT($AB932,"dd-mmm")&amp;").","Next: "&amp;$AC932&amp;" due "&amp;TEXT($AB932,"dd-mmm")&amp;" ("&amp;(NETWORKDAYS(TODAY(),$AB932,Holidays)-1)&amp;" business day(s) left).")))))</f>
        <v/>
      </c>
      <c r="W932" s="17">
        <f>IF($Z932="","",CHOOSE($Z932,"Collection Email","1st Follow-up","2nd Follow-up","Local Office","CBE","Roxanne")&amp;IF($Z932=6," - Final"," - Day "&amp;MAX(0,NETWORKDAYS($AA932,TODAY(),Holidays)-1)&amp;" of "&amp;CHOOSE($Z932,3,3,2,2,3))&amp;" | Total Day "&amp;MAX(0,NETWORKDAYS($N932,TODAY(),Holidays)-1))</f>
        <v/>
      </c>
      <c r="X932" s="18"/>
      <c r="Y932" s="18"/>
      <c r="Z932" s="17">
        <f>IF($N932="","",COUNT($N932:$S932))</f>
        <v/>
      </c>
      <c r="AA932" s="19">
        <f>IF($Z932="","",INT(INDEX($N932:$S932,$Z932)))</f>
        <v/>
      </c>
      <c r="AB932" s="19">
        <f>IF(OR($Z932="",$Z932=6),"",WORKDAY($AA932,CHOOSE($Z932,3,3,2,2,3),Holidays))</f>
        <v/>
      </c>
      <c r="AC932" s="17">
        <f>IF(OR($Z932="",$Z932=6),"",CHOOSE($Z932,"1st Email Follow-up","2nd Email Follow-up","Escalate Local Office","Escalate to CBE","Escalate to Roxanne"))</f>
        <v/>
      </c>
    </row>
    <row r="933" spans="13:29">
      <c r="M933" s="14"/>
      <c r="T933" s="16"/>
      <c r="U933" s="17">
        <f>IF(AND(COUNTA($A933:$L933)=0,$N933=""),"",IF($T933="Paid","PAID",IF($T933="Closed","CLOSED",IF($Z933="","",IF($Z933=6,"ESCALATED TO ROXANNE",IF(TODAY()&gt;$AB933,"OVERDUE",IF($AB933&lt;=WORKDAY(TODAY(),1,Holidays),"DUE TOMORROW",IF($Z933=4,"ESCALATED TO LOCAL OFFICE",IF($Z933=5,"ESCALATED TO CBE",IF($AA933=TODAY(),"EMAIL SENT","MONITORING"))))))))))</f>
        <v/>
      </c>
      <c r="V933" s="17">
        <f>IF($U933="",IF(AND(COUNTA($A933:$L933)&gt;0,$N933=""),"Awaiting Collection Email time stamp.",""),IF(OR($U933="PAID",$U933="CLOSED"),IF($U933="PAID","Account paid. Action completed.","Account closed. No further action required."),CHOOSE($Z933,"Collection Email","1st Email Follow-up","2nd Email Follow-up","Escalation to Local Office","Escalation to CBE","Escalation to Roxanne")&amp;" sent "&amp;TEXT($AA933,"dd-mmm")&amp;". "&amp;IF($Z933=6,"Final escalation completed.",IF($U933="OVERDUE","Next: "&amp;$AC933&amp;" was due "&amp;TEXT($AB933,"dd-mmm")&amp;" - "&amp;(NETWORKDAYS($AB933,TODAY(),Holidays)-1)&amp;" business day(s) late. Send now.",IF($U933="DUE TOMORROW","Next: "&amp;$AC933&amp;IF($AB933&lt;=TODAY()," is due TODAY ("," is due next business day (")&amp;TEXT($AB933,"dd-mmm")&amp;").","Next: "&amp;$AC933&amp;" due "&amp;TEXT($AB933,"dd-mmm")&amp;" ("&amp;(NETWORKDAYS(TODAY(),$AB933,Holidays)-1)&amp;" business day(s) left).")))))</f>
        <v/>
      </c>
      <c r="W933" s="17">
        <f>IF($Z933="","",CHOOSE($Z933,"Collection Email","1st Follow-up","2nd Follow-up","Local Office","CBE","Roxanne")&amp;IF($Z933=6," - Final"," - Day "&amp;MAX(0,NETWORKDAYS($AA933,TODAY(),Holidays)-1)&amp;" of "&amp;CHOOSE($Z933,3,3,2,2,3))&amp;" | Total Day "&amp;MAX(0,NETWORKDAYS($N933,TODAY(),Holidays)-1))</f>
        <v/>
      </c>
      <c r="X933" s="18"/>
      <c r="Y933" s="18"/>
      <c r="Z933" s="17">
        <f>IF($N933="","",COUNT($N933:$S933))</f>
        <v/>
      </c>
      <c r="AA933" s="19">
        <f>IF($Z933="","",INT(INDEX($N933:$S933,$Z933)))</f>
        <v/>
      </c>
      <c r="AB933" s="19">
        <f>IF(OR($Z933="",$Z933=6),"",WORKDAY($AA933,CHOOSE($Z933,3,3,2,2,3),Holidays))</f>
        <v/>
      </c>
      <c r="AC933" s="17">
        <f>IF(OR($Z933="",$Z933=6),"",CHOOSE($Z933,"1st Email Follow-up","2nd Email Follow-up","Escalate Local Office","Escalate to CBE","Escalate to Roxanne"))</f>
        <v/>
      </c>
    </row>
    <row r="934" spans="13:29">
      <c r="M934" s="14"/>
      <c r="T934" s="16"/>
      <c r="U934" s="17">
        <f>IF(AND(COUNTA($A934:$L934)=0,$N934=""),"",IF($T934="Paid","PAID",IF($T934="Closed","CLOSED",IF($Z934="","",IF($Z934=6,"ESCALATED TO ROXANNE",IF(TODAY()&gt;$AB934,"OVERDUE",IF($AB934&lt;=WORKDAY(TODAY(),1,Holidays),"DUE TOMORROW",IF($Z934=4,"ESCALATED TO LOCAL OFFICE",IF($Z934=5,"ESCALATED TO CBE",IF($AA934=TODAY(),"EMAIL SENT","MONITORING"))))))))))</f>
        <v/>
      </c>
      <c r="V934" s="17">
        <f>IF($U934="",IF(AND(COUNTA($A934:$L934)&gt;0,$N934=""),"Awaiting Collection Email time stamp.",""),IF(OR($U934="PAID",$U934="CLOSED"),IF($U934="PAID","Account paid. Action completed.","Account closed. No further action required."),CHOOSE($Z934,"Collection Email","1st Email Follow-up","2nd Email Follow-up","Escalation to Local Office","Escalation to CBE","Escalation to Roxanne")&amp;" sent "&amp;TEXT($AA934,"dd-mmm")&amp;". "&amp;IF($Z934=6,"Final escalation completed.",IF($U934="OVERDUE","Next: "&amp;$AC934&amp;" was due "&amp;TEXT($AB934,"dd-mmm")&amp;" - "&amp;(NETWORKDAYS($AB934,TODAY(),Holidays)-1)&amp;" business day(s) late. Send now.",IF($U934="DUE TOMORROW","Next: "&amp;$AC934&amp;IF($AB934&lt;=TODAY()," is due TODAY ("," is due next business day (")&amp;TEXT($AB934,"dd-mmm")&amp;").","Next: "&amp;$AC934&amp;" due "&amp;TEXT($AB934,"dd-mmm")&amp;" ("&amp;(NETWORKDAYS(TODAY(),$AB934,Holidays)-1)&amp;" business day(s) left).")))))</f>
        <v/>
      </c>
      <c r="W934" s="17">
        <f>IF($Z934="","",CHOOSE($Z934,"Collection Email","1st Follow-up","2nd Follow-up","Local Office","CBE","Roxanne")&amp;IF($Z934=6," - Final"," - Day "&amp;MAX(0,NETWORKDAYS($AA934,TODAY(),Holidays)-1)&amp;" of "&amp;CHOOSE($Z934,3,3,2,2,3))&amp;" | Total Day "&amp;MAX(0,NETWORKDAYS($N934,TODAY(),Holidays)-1))</f>
        <v/>
      </c>
      <c r="X934" s="18"/>
      <c r="Y934" s="18"/>
      <c r="Z934" s="17">
        <f>IF($N934="","",COUNT($N934:$S934))</f>
        <v/>
      </c>
      <c r="AA934" s="19">
        <f>IF($Z934="","",INT(INDEX($N934:$S934,$Z934)))</f>
        <v/>
      </c>
      <c r="AB934" s="19">
        <f>IF(OR($Z934="",$Z934=6),"",WORKDAY($AA934,CHOOSE($Z934,3,3,2,2,3),Holidays))</f>
        <v/>
      </c>
      <c r="AC934" s="17">
        <f>IF(OR($Z934="",$Z934=6),"",CHOOSE($Z934,"1st Email Follow-up","2nd Email Follow-up","Escalate Local Office","Escalate to CBE","Escalate to Roxanne"))</f>
        <v/>
      </c>
    </row>
    <row r="935" spans="13:29">
      <c r="M935" s="14"/>
      <c r="T935" s="16"/>
      <c r="U935" s="17">
        <f>IF(AND(COUNTA($A935:$L935)=0,$N935=""),"",IF($T935="Paid","PAID",IF($T935="Closed","CLOSED",IF($Z935="","",IF($Z935=6,"ESCALATED TO ROXANNE",IF(TODAY()&gt;$AB935,"OVERDUE",IF($AB935&lt;=WORKDAY(TODAY(),1,Holidays),"DUE TOMORROW",IF($Z935=4,"ESCALATED TO LOCAL OFFICE",IF($Z935=5,"ESCALATED TO CBE",IF($AA935=TODAY(),"EMAIL SENT","MONITORING"))))))))))</f>
        <v/>
      </c>
      <c r="V935" s="17">
        <f>IF($U935="",IF(AND(COUNTA($A935:$L935)&gt;0,$N935=""),"Awaiting Collection Email time stamp.",""),IF(OR($U935="PAID",$U935="CLOSED"),IF($U935="PAID","Account paid. Action completed.","Account closed. No further action required."),CHOOSE($Z935,"Collection Email","1st Email Follow-up","2nd Email Follow-up","Escalation to Local Office","Escalation to CBE","Escalation to Roxanne")&amp;" sent "&amp;TEXT($AA935,"dd-mmm")&amp;". "&amp;IF($Z935=6,"Final escalation completed.",IF($U935="OVERDUE","Next: "&amp;$AC935&amp;" was due "&amp;TEXT($AB935,"dd-mmm")&amp;" - "&amp;(NETWORKDAYS($AB935,TODAY(),Holidays)-1)&amp;" business day(s) late. Send now.",IF($U935="DUE TOMORROW","Next: "&amp;$AC935&amp;IF($AB935&lt;=TODAY()," is due TODAY ("," is due next business day (")&amp;TEXT($AB935,"dd-mmm")&amp;").","Next: "&amp;$AC935&amp;" due "&amp;TEXT($AB935,"dd-mmm")&amp;" ("&amp;(NETWORKDAYS(TODAY(),$AB935,Holidays)-1)&amp;" business day(s) left).")))))</f>
        <v/>
      </c>
      <c r="W935" s="17">
        <f>IF($Z935="","",CHOOSE($Z935,"Collection Email","1st Follow-up","2nd Follow-up","Local Office","CBE","Roxanne")&amp;IF($Z935=6," - Final"," - Day "&amp;MAX(0,NETWORKDAYS($AA935,TODAY(),Holidays)-1)&amp;" of "&amp;CHOOSE($Z935,3,3,2,2,3))&amp;" | Total Day "&amp;MAX(0,NETWORKDAYS($N935,TODAY(),Holidays)-1))</f>
        <v/>
      </c>
      <c r="X935" s="18"/>
      <c r="Y935" s="18"/>
      <c r="Z935" s="17">
        <f>IF($N935="","",COUNT($N935:$S935))</f>
        <v/>
      </c>
      <c r="AA935" s="19">
        <f>IF($Z935="","",INT(INDEX($N935:$S935,$Z935)))</f>
        <v/>
      </c>
      <c r="AB935" s="19">
        <f>IF(OR($Z935="",$Z935=6),"",WORKDAY($AA935,CHOOSE($Z935,3,3,2,2,3),Holidays))</f>
        <v/>
      </c>
      <c r="AC935" s="17">
        <f>IF(OR($Z935="",$Z935=6),"",CHOOSE($Z935,"1st Email Follow-up","2nd Email Follow-up","Escalate Local Office","Escalate to CBE","Escalate to Roxanne"))</f>
        <v/>
      </c>
    </row>
    <row r="936" spans="13:29">
      <c r="M936" s="14"/>
      <c r="T936" s="16"/>
      <c r="U936" s="17">
        <f>IF(AND(COUNTA($A936:$L936)=0,$N936=""),"",IF($T936="Paid","PAID",IF($T936="Closed","CLOSED",IF($Z936="","",IF($Z936=6,"ESCALATED TO ROXANNE",IF(TODAY()&gt;$AB936,"OVERDUE",IF($AB936&lt;=WORKDAY(TODAY(),1,Holidays),"DUE TOMORROW",IF($Z936=4,"ESCALATED TO LOCAL OFFICE",IF($Z936=5,"ESCALATED TO CBE",IF($AA936=TODAY(),"EMAIL SENT","MONITORING"))))))))))</f>
        <v/>
      </c>
      <c r="V936" s="17">
        <f>IF($U936="",IF(AND(COUNTA($A936:$L936)&gt;0,$N936=""),"Awaiting Collection Email time stamp.",""),IF(OR($U936="PAID",$U936="CLOSED"),IF($U936="PAID","Account paid. Action completed.","Account closed. No further action required."),CHOOSE($Z936,"Collection Email","1st Email Follow-up","2nd Email Follow-up","Escalation to Local Office","Escalation to CBE","Escalation to Roxanne")&amp;" sent "&amp;TEXT($AA936,"dd-mmm")&amp;". "&amp;IF($Z936=6,"Final escalation completed.",IF($U936="OVERDUE","Next: "&amp;$AC936&amp;" was due "&amp;TEXT($AB936,"dd-mmm")&amp;" - "&amp;(NETWORKDAYS($AB936,TODAY(),Holidays)-1)&amp;" business day(s) late. Send now.",IF($U936="DUE TOMORROW","Next: "&amp;$AC936&amp;IF($AB936&lt;=TODAY()," is due TODAY ("," is due next business day (")&amp;TEXT($AB936,"dd-mmm")&amp;").","Next: "&amp;$AC936&amp;" due "&amp;TEXT($AB936,"dd-mmm")&amp;" ("&amp;(NETWORKDAYS(TODAY(),$AB936,Holidays)-1)&amp;" business day(s) left).")))))</f>
        <v/>
      </c>
      <c r="W936" s="17">
        <f>IF($Z936="","",CHOOSE($Z936,"Collection Email","1st Follow-up","2nd Follow-up","Local Office","CBE","Roxanne")&amp;IF($Z936=6," - Final"," - Day "&amp;MAX(0,NETWORKDAYS($AA936,TODAY(),Holidays)-1)&amp;" of "&amp;CHOOSE($Z936,3,3,2,2,3))&amp;" | Total Day "&amp;MAX(0,NETWORKDAYS($N936,TODAY(),Holidays)-1))</f>
        <v/>
      </c>
      <c r="X936" s="18"/>
      <c r="Y936" s="18"/>
      <c r="Z936" s="17">
        <f>IF($N936="","",COUNT($N936:$S936))</f>
        <v/>
      </c>
      <c r="AA936" s="19">
        <f>IF($Z936="","",INT(INDEX($N936:$S936,$Z936)))</f>
        <v/>
      </c>
      <c r="AB936" s="19">
        <f>IF(OR($Z936="",$Z936=6),"",WORKDAY($AA936,CHOOSE($Z936,3,3,2,2,3),Holidays))</f>
        <v/>
      </c>
      <c r="AC936" s="17">
        <f>IF(OR($Z936="",$Z936=6),"",CHOOSE($Z936,"1st Email Follow-up","2nd Email Follow-up","Escalate Local Office","Escalate to CBE","Escalate to Roxanne"))</f>
        <v/>
      </c>
    </row>
    <row r="937" spans="13:29">
      <c r="M937" s="14"/>
      <c r="T937" s="16"/>
      <c r="U937" s="17">
        <f>IF(AND(COUNTA($A937:$L937)=0,$N937=""),"",IF($T937="Paid","PAID",IF($T937="Closed","CLOSED",IF($Z937="","",IF($Z937=6,"ESCALATED TO ROXANNE",IF(TODAY()&gt;$AB937,"OVERDUE",IF($AB937&lt;=WORKDAY(TODAY(),1,Holidays),"DUE TOMORROW",IF($Z937=4,"ESCALATED TO LOCAL OFFICE",IF($Z937=5,"ESCALATED TO CBE",IF($AA937=TODAY(),"EMAIL SENT","MONITORING"))))))))))</f>
        <v/>
      </c>
      <c r="V937" s="17">
        <f>IF($U937="",IF(AND(COUNTA($A937:$L937)&gt;0,$N937=""),"Awaiting Collection Email time stamp.",""),IF(OR($U937="PAID",$U937="CLOSED"),IF($U937="PAID","Account paid. Action completed.","Account closed. No further action required."),CHOOSE($Z937,"Collection Email","1st Email Follow-up","2nd Email Follow-up","Escalation to Local Office","Escalation to CBE","Escalation to Roxanne")&amp;" sent "&amp;TEXT($AA937,"dd-mmm")&amp;". "&amp;IF($Z937=6,"Final escalation completed.",IF($U937="OVERDUE","Next: "&amp;$AC937&amp;" was due "&amp;TEXT($AB937,"dd-mmm")&amp;" - "&amp;(NETWORKDAYS($AB937,TODAY(),Holidays)-1)&amp;" business day(s) late. Send now.",IF($U937="DUE TOMORROW","Next: "&amp;$AC937&amp;IF($AB937&lt;=TODAY()," is due TODAY ("," is due next business day (")&amp;TEXT($AB937,"dd-mmm")&amp;").","Next: "&amp;$AC937&amp;" due "&amp;TEXT($AB937,"dd-mmm")&amp;" ("&amp;(NETWORKDAYS(TODAY(),$AB937,Holidays)-1)&amp;" business day(s) left).")))))</f>
        <v/>
      </c>
      <c r="W937" s="17">
        <f>IF($Z937="","",CHOOSE($Z937,"Collection Email","1st Follow-up","2nd Follow-up","Local Office","CBE","Roxanne")&amp;IF($Z937=6," - Final"," - Day "&amp;MAX(0,NETWORKDAYS($AA937,TODAY(),Holidays)-1)&amp;" of "&amp;CHOOSE($Z937,3,3,2,2,3))&amp;" | Total Day "&amp;MAX(0,NETWORKDAYS($N937,TODAY(),Holidays)-1))</f>
        <v/>
      </c>
      <c r="X937" s="18"/>
      <c r="Y937" s="18"/>
      <c r="Z937" s="17">
        <f>IF($N937="","",COUNT($N937:$S937))</f>
        <v/>
      </c>
      <c r="AA937" s="19">
        <f>IF($Z937="","",INT(INDEX($N937:$S937,$Z937)))</f>
        <v/>
      </c>
      <c r="AB937" s="19">
        <f>IF(OR($Z937="",$Z937=6),"",WORKDAY($AA937,CHOOSE($Z937,3,3,2,2,3),Holidays))</f>
        <v/>
      </c>
      <c r="AC937" s="17">
        <f>IF(OR($Z937="",$Z937=6),"",CHOOSE($Z937,"1st Email Follow-up","2nd Email Follow-up","Escalate Local Office","Escalate to CBE","Escalate to Roxanne"))</f>
        <v/>
      </c>
    </row>
    <row r="938" spans="13:29">
      <c r="M938" s="14"/>
      <c r="T938" s="16"/>
      <c r="U938" s="17">
        <f>IF(AND(COUNTA($A938:$L938)=0,$N938=""),"",IF($T938="Paid","PAID",IF($T938="Closed","CLOSED",IF($Z938="","",IF($Z938=6,"ESCALATED TO ROXANNE",IF(TODAY()&gt;$AB938,"OVERDUE",IF($AB938&lt;=WORKDAY(TODAY(),1,Holidays),"DUE TOMORROW",IF($Z938=4,"ESCALATED TO LOCAL OFFICE",IF($Z938=5,"ESCALATED TO CBE",IF($AA938=TODAY(),"EMAIL SENT","MONITORING"))))))))))</f>
        <v/>
      </c>
      <c r="V938" s="17">
        <f>IF($U938="",IF(AND(COUNTA($A938:$L938)&gt;0,$N938=""),"Awaiting Collection Email time stamp.",""),IF(OR($U938="PAID",$U938="CLOSED"),IF($U938="PAID","Account paid. Action completed.","Account closed. No further action required."),CHOOSE($Z938,"Collection Email","1st Email Follow-up","2nd Email Follow-up","Escalation to Local Office","Escalation to CBE","Escalation to Roxanne")&amp;" sent "&amp;TEXT($AA938,"dd-mmm")&amp;". "&amp;IF($Z938=6,"Final escalation completed.",IF($U938="OVERDUE","Next: "&amp;$AC938&amp;" was due "&amp;TEXT($AB938,"dd-mmm")&amp;" - "&amp;(NETWORKDAYS($AB938,TODAY(),Holidays)-1)&amp;" business day(s) late. Send now.",IF($U938="DUE TOMORROW","Next: "&amp;$AC938&amp;IF($AB938&lt;=TODAY()," is due TODAY ("," is due next business day (")&amp;TEXT($AB938,"dd-mmm")&amp;").","Next: "&amp;$AC938&amp;" due "&amp;TEXT($AB938,"dd-mmm")&amp;" ("&amp;(NETWORKDAYS(TODAY(),$AB938,Holidays)-1)&amp;" business day(s) left).")))))</f>
        <v/>
      </c>
      <c r="W938" s="17">
        <f>IF($Z938="","",CHOOSE($Z938,"Collection Email","1st Follow-up","2nd Follow-up","Local Office","CBE","Roxanne")&amp;IF($Z938=6," - Final"," - Day "&amp;MAX(0,NETWORKDAYS($AA938,TODAY(),Holidays)-1)&amp;" of "&amp;CHOOSE($Z938,3,3,2,2,3))&amp;" | Total Day "&amp;MAX(0,NETWORKDAYS($N938,TODAY(),Holidays)-1))</f>
        <v/>
      </c>
      <c r="X938" s="18"/>
      <c r="Y938" s="18"/>
      <c r="Z938" s="17">
        <f>IF($N938="","",COUNT($N938:$S938))</f>
        <v/>
      </c>
      <c r="AA938" s="19">
        <f>IF($Z938="","",INT(INDEX($N938:$S938,$Z938)))</f>
        <v/>
      </c>
      <c r="AB938" s="19">
        <f>IF(OR($Z938="",$Z938=6),"",WORKDAY($AA938,CHOOSE($Z938,3,3,2,2,3),Holidays))</f>
        <v/>
      </c>
      <c r="AC938" s="17">
        <f>IF(OR($Z938="",$Z938=6),"",CHOOSE($Z938,"1st Email Follow-up","2nd Email Follow-up","Escalate Local Office","Escalate to CBE","Escalate to Roxanne"))</f>
        <v/>
      </c>
    </row>
    <row r="939" spans="13:29">
      <c r="M939" s="14"/>
      <c r="T939" s="16"/>
      <c r="U939" s="17">
        <f>IF(AND(COUNTA($A939:$L939)=0,$N939=""),"",IF($T939="Paid","PAID",IF($T939="Closed","CLOSED",IF($Z939="","",IF($Z939=6,"ESCALATED TO ROXANNE",IF(TODAY()&gt;$AB939,"OVERDUE",IF($AB939&lt;=WORKDAY(TODAY(),1,Holidays),"DUE TOMORROW",IF($Z939=4,"ESCALATED TO LOCAL OFFICE",IF($Z939=5,"ESCALATED TO CBE",IF($AA939=TODAY(),"EMAIL SENT","MONITORING"))))))))))</f>
        <v/>
      </c>
      <c r="V939" s="17">
        <f>IF($U939="",IF(AND(COUNTA($A939:$L939)&gt;0,$N939=""),"Awaiting Collection Email time stamp.",""),IF(OR($U939="PAID",$U939="CLOSED"),IF($U939="PAID","Account paid. Action completed.","Account closed. No further action required."),CHOOSE($Z939,"Collection Email","1st Email Follow-up","2nd Email Follow-up","Escalation to Local Office","Escalation to CBE","Escalation to Roxanne")&amp;" sent "&amp;TEXT($AA939,"dd-mmm")&amp;". "&amp;IF($Z939=6,"Final escalation completed.",IF($U939="OVERDUE","Next: "&amp;$AC939&amp;" was due "&amp;TEXT($AB939,"dd-mmm")&amp;" - "&amp;(NETWORKDAYS($AB939,TODAY(),Holidays)-1)&amp;" business day(s) late. Send now.",IF($U939="DUE TOMORROW","Next: "&amp;$AC939&amp;IF($AB939&lt;=TODAY()," is due TODAY ("," is due next business day (")&amp;TEXT($AB939,"dd-mmm")&amp;").","Next: "&amp;$AC939&amp;" due "&amp;TEXT($AB939,"dd-mmm")&amp;" ("&amp;(NETWORKDAYS(TODAY(),$AB939,Holidays)-1)&amp;" business day(s) left).")))))</f>
        <v/>
      </c>
      <c r="W939" s="17">
        <f>IF($Z939="","",CHOOSE($Z939,"Collection Email","1st Follow-up","2nd Follow-up","Local Office","CBE","Roxanne")&amp;IF($Z939=6," - Final"," - Day "&amp;MAX(0,NETWORKDAYS($AA939,TODAY(),Holidays)-1)&amp;" of "&amp;CHOOSE($Z939,3,3,2,2,3))&amp;" | Total Day "&amp;MAX(0,NETWORKDAYS($N939,TODAY(),Holidays)-1))</f>
        <v/>
      </c>
      <c r="X939" s="18"/>
      <c r="Y939" s="18"/>
      <c r="Z939" s="17">
        <f>IF($N939="","",COUNT($N939:$S939))</f>
        <v/>
      </c>
      <c r="AA939" s="19">
        <f>IF($Z939="","",INT(INDEX($N939:$S939,$Z939)))</f>
        <v/>
      </c>
      <c r="AB939" s="19">
        <f>IF(OR($Z939="",$Z939=6),"",WORKDAY($AA939,CHOOSE($Z939,3,3,2,2,3),Holidays))</f>
        <v/>
      </c>
      <c r="AC939" s="17">
        <f>IF(OR($Z939="",$Z939=6),"",CHOOSE($Z939,"1st Email Follow-up","2nd Email Follow-up","Escalate Local Office","Escalate to CBE","Escalate to Roxanne"))</f>
        <v/>
      </c>
    </row>
    <row r="940" spans="13:29">
      <c r="M940" s="14"/>
      <c r="T940" s="16"/>
      <c r="U940" s="17">
        <f>IF(AND(COUNTA($A940:$L940)=0,$N940=""),"",IF($T940="Paid","PAID",IF($T940="Closed","CLOSED",IF($Z940="","",IF($Z940=6,"ESCALATED TO ROXANNE",IF(TODAY()&gt;$AB940,"OVERDUE",IF($AB940&lt;=WORKDAY(TODAY(),1,Holidays),"DUE TOMORROW",IF($Z940=4,"ESCALATED TO LOCAL OFFICE",IF($Z940=5,"ESCALATED TO CBE",IF($AA940=TODAY(),"EMAIL SENT","MONITORING"))))))))))</f>
        <v/>
      </c>
      <c r="V940" s="17">
        <f>IF($U940="",IF(AND(COUNTA($A940:$L940)&gt;0,$N940=""),"Awaiting Collection Email time stamp.",""),IF(OR($U940="PAID",$U940="CLOSED"),IF($U940="PAID","Account paid. Action completed.","Account closed. No further action required."),CHOOSE($Z940,"Collection Email","1st Email Follow-up","2nd Email Follow-up","Escalation to Local Office","Escalation to CBE","Escalation to Roxanne")&amp;" sent "&amp;TEXT($AA940,"dd-mmm")&amp;". "&amp;IF($Z940=6,"Final escalation completed.",IF($U940="OVERDUE","Next: "&amp;$AC940&amp;" was due "&amp;TEXT($AB940,"dd-mmm")&amp;" - "&amp;(NETWORKDAYS($AB940,TODAY(),Holidays)-1)&amp;" business day(s) late. Send now.",IF($U940="DUE TOMORROW","Next: "&amp;$AC940&amp;IF($AB940&lt;=TODAY()," is due TODAY ("," is due next business day (")&amp;TEXT($AB940,"dd-mmm")&amp;").","Next: "&amp;$AC940&amp;" due "&amp;TEXT($AB940,"dd-mmm")&amp;" ("&amp;(NETWORKDAYS(TODAY(),$AB940,Holidays)-1)&amp;" business day(s) left).")))))</f>
        <v/>
      </c>
      <c r="W940" s="17">
        <f>IF($Z940="","",CHOOSE($Z940,"Collection Email","1st Follow-up","2nd Follow-up","Local Office","CBE","Roxanne")&amp;IF($Z940=6," - Final"," - Day "&amp;MAX(0,NETWORKDAYS($AA940,TODAY(),Holidays)-1)&amp;" of "&amp;CHOOSE($Z940,3,3,2,2,3))&amp;" | Total Day "&amp;MAX(0,NETWORKDAYS($N940,TODAY(),Holidays)-1))</f>
        <v/>
      </c>
      <c r="X940" s="18"/>
      <c r="Y940" s="18"/>
      <c r="Z940" s="17">
        <f>IF($N940="","",COUNT($N940:$S940))</f>
        <v/>
      </c>
      <c r="AA940" s="19">
        <f>IF($Z940="","",INT(INDEX($N940:$S940,$Z940)))</f>
        <v/>
      </c>
      <c r="AB940" s="19">
        <f>IF(OR($Z940="",$Z940=6),"",WORKDAY($AA940,CHOOSE($Z940,3,3,2,2,3),Holidays))</f>
        <v/>
      </c>
      <c r="AC940" s="17">
        <f>IF(OR($Z940="",$Z940=6),"",CHOOSE($Z940,"1st Email Follow-up","2nd Email Follow-up","Escalate Local Office","Escalate to CBE","Escalate to Roxanne"))</f>
        <v/>
      </c>
    </row>
    <row r="941" spans="13:29">
      <c r="M941" s="14"/>
      <c r="T941" s="16"/>
      <c r="U941" s="17">
        <f>IF(AND(COUNTA($A941:$L941)=0,$N941=""),"",IF($T941="Paid","PAID",IF($T941="Closed","CLOSED",IF($Z941="","",IF($Z941=6,"ESCALATED TO ROXANNE",IF(TODAY()&gt;$AB941,"OVERDUE",IF($AB941&lt;=WORKDAY(TODAY(),1,Holidays),"DUE TOMORROW",IF($Z941=4,"ESCALATED TO LOCAL OFFICE",IF($Z941=5,"ESCALATED TO CBE",IF($AA941=TODAY(),"EMAIL SENT","MONITORING"))))))))))</f>
        <v/>
      </c>
      <c r="V941" s="17">
        <f>IF($U941="",IF(AND(COUNTA($A941:$L941)&gt;0,$N941=""),"Awaiting Collection Email time stamp.",""),IF(OR($U941="PAID",$U941="CLOSED"),IF($U941="PAID","Account paid. Action completed.","Account closed. No further action required."),CHOOSE($Z941,"Collection Email","1st Email Follow-up","2nd Email Follow-up","Escalation to Local Office","Escalation to CBE","Escalation to Roxanne")&amp;" sent "&amp;TEXT($AA941,"dd-mmm")&amp;". "&amp;IF($Z941=6,"Final escalation completed.",IF($U941="OVERDUE","Next: "&amp;$AC941&amp;" was due "&amp;TEXT($AB941,"dd-mmm")&amp;" - "&amp;(NETWORKDAYS($AB941,TODAY(),Holidays)-1)&amp;" business day(s) late. Send now.",IF($U941="DUE TOMORROW","Next: "&amp;$AC941&amp;IF($AB941&lt;=TODAY()," is due TODAY ("," is due next business day (")&amp;TEXT($AB941,"dd-mmm")&amp;").","Next: "&amp;$AC941&amp;" due "&amp;TEXT($AB941,"dd-mmm")&amp;" ("&amp;(NETWORKDAYS(TODAY(),$AB941,Holidays)-1)&amp;" business day(s) left).")))))</f>
        <v/>
      </c>
      <c r="W941" s="17">
        <f>IF($Z941="","",CHOOSE($Z941,"Collection Email","1st Follow-up","2nd Follow-up","Local Office","CBE","Roxanne")&amp;IF($Z941=6," - Final"," - Day "&amp;MAX(0,NETWORKDAYS($AA941,TODAY(),Holidays)-1)&amp;" of "&amp;CHOOSE($Z941,3,3,2,2,3))&amp;" | Total Day "&amp;MAX(0,NETWORKDAYS($N941,TODAY(),Holidays)-1))</f>
        <v/>
      </c>
      <c r="X941" s="18"/>
      <c r="Y941" s="18"/>
      <c r="Z941" s="17">
        <f>IF($N941="","",COUNT($N941:$S941))</f>
        <v/>
      </c>
      <c r="AA941" s="19">
        <f>IF($Z941="","",INT(INDEX($N941:$S941,$Z941)))</f>
        <v/>
      </c>
      <c r="AB941" s="19">
        <f>IF(OR($Z941="",$Z941=6),"",WORKDAY($AA941,CHOOSE($Z941,3,3,2,2,3),Holidays))</f>
        <v/>
      </c>
      <c r="AC941" s="17">
        <f>IF(OR($Z941="",$Z941=6),"",CHOOSE($Z941,"1st Email Follow-up","2nd Email Follow-up","Escalate Local Office","Escalate to CBE","Escalate to Roxanne"))</f>
        <v/>
      </c>
    </row>
    <row r="942" spans="13:29">
      <c r="M942" s="14"/>
      <c r="T942" s="16"/>
      <c r="U942" s="17">
        <f>IF(AND(COUNTA($A942:$L942)=0,$N942=""),"",IF($T942="Paid","PAID",IF($T942="Closed","CLOSED",IF($Z942="","",IF($Z942=6,"ESCALATED TO ROXANNE",IF(TODAY()&gt;$AB942,"OVERDUE",IF($AB942&lt;=WORKDAY(TODAY(),1,Holidays),"DUE TOMORROW",IF($Z942=4,"ESCALATED TO LOCAL OFFICE",IF($Z942=5,"ESCALATED TO CBE",IF($AA942=TODAY(),"EMAIL SENT","MONITORING"))))))))))</f>
        <v/>
      </c>
      <c r="V942" s="17">
        <f>IF($U942="",IF(AND(COUNTA($A942:$L942)&gt;0,$N942=""),"Awaiting Collection Email time stamp.",""),IF(OR($U942="PAID",$U942="CLOSED"),IF($U942="PAID","Account paid. Action completed.","Account closed. No further action required."),CHOOSE($Z942,"Collection Email","1st Email Follow-up","2nd Email Follow-up","Escalation to Local Office","Escalation to CBE","Escalation to Roxanne")&amp;" sent "&amp;TEXT($AA942,"dd-mmm")&amp;". "&amp;IF($Z942=6,"Final escalation completed.",IF($U942="OVERDUE","Next: "&amp;$AC942&amp;" was due "&amp;TEXT($AB942,"dd-mmm")&amp;" - "&amp;(NETWORKDAYS($AB942,TODAY(),Holidays)-1)&amp;" business day(s) late. Send now.",IF($U942="DUE TOMORROW","Next: "&amp;$AC942&amp;IF($AB942&lt;=TODAY()," is due TODAY ("," is due next business day (")&amp;TEXT($AB942,"dd-mmm")&amp;").","Next: "&amp;$AC942&amp;" due "&amp;TEXT($AB942,"dd-mmm")&amp;" ("&amp;(NETWORKDAYS(TODAY(),$AB942,Holidays)-1)&amp;" business day(s) left).")))))</f>
        <v/>
      </c>
      <c r="W942" s="17">
        <f>IF($Z942="","",CHOOSE($Z942,"Collection Email","1st Follow-up","2nd Follow-up","Local Office","CBE","Roxanne")&amp;IF($Z942=6," - Final"," - Day "&amp;MAX(0,NETWORKDAYS($AA942,TODAY(),Holidays)-1)&amp;" of "&amp;CHOOSE($Z942,3,3,2,2,3))&amp;" | Total Day "&amp;MAX(0,NETWORKDAYS($N942,TODAY(),Holidays)-1))</f>
        <v/>
      </c>
      <c r="X942" s="18"/>
      <c r="Y942" s="18"/>
      <c r="Z942" s="17">
        <f>IF($N942="","",COUNT($N942:$S942))</f>
        <v/>
      </c>
      <c r="AA942" s="19">
        <f>IF($Z942="","",INT(INDEX($N942:$S942,$Z942)))</f>
        <v/>
      </c>
      <c r="AB942" s="19">
        <f>IF(OR($Z942="",$Z942=6),"",WORKDAY($AA942,CHOOSE($Z942,3,3,2,2,3),Holidays))</f>
        <v/>
      </c>
      <c r="AC942" s="17">
        <f>IF(OR($Z942="",$Z942=6),"",CHOOSE($Z942,"1st Email Follow-up","2nd Email Follow-up","Escalate Local Office","Escalate to CBE","Escalate to Roxanne"))</f>
        <v/>
      </c>
    </row>
    <row r="943" spans="13:29">
      <c r="M943" s="14"/>
      <c r="T943" s="16"/>
      <c r="U943" s="17">
        <f>IF(AND(COUNTA($A943:$L943)=0,$N943=""),"",IF($T943="Paid","PAID",IF($T943="Closed","CLOSED",IF($Z943="","",IF($Z943=6,"ESCALATED TO ROXANNE",IF(TODAY()&gt;$AB943,"OVERDUE",IF($AB943&lt;=WORKDAY(TODAY(),1,Holidays),"DUE TOMORROW",IF($Z943=4,"ESCALATED TO LOCAL OFFICE",IF($Z943=5,"ESCALATED TO CBE",IF($AA943=TODAY(),"EMAIL SENT","MONITORING"))))))))))</f>
        <v/>
      </c>
      <c r="V943" s="17">
        <f>IF($U943="",IF(AND(COUNTA($A943:$L943)&gt;0,$N943=""),"Awaiting Collection Email time stamp.",""),IF(OR($U943="PAID",$U943="CLOSED"),IF($U943="PAID","Account paid. Action completed.","Account closed. No further action required."),CHOOSE($Z943,"Collection Email","1st Email Follow-up","2nd Email Follow-up","Escalation to Local Office","Escalation to CBE","Escalation to Roxanne")&amp;" sent "&amp;TEXT($AA943,"dd-mmm")&amp;". "&amp;IF($Z943=6,"Final escalation completed.",IF($U943="OVERDUE","Next: "&amp;$AC943&amp;" was due "&amp;TEXT($AB943,"dd-mmm")&amp;" - "&amp;(NETWORKDAYS($AB943,TODAY(),Holidays)-1)&amp;" business day(s) late. Send now.",IF($U943="DUE TOMORROW","Next: "&amp;$AC943&amp;IF($AB943&lt;=TODAY()," is due TODAY ("," is due next business day (")&amp;TEXT($AB943,"dd-mmm")&amp;").","Next: "&amp;$AC943&amp;" due "&amp;TEXT($AB943,"dd-mmm")&amp;" ("&amp;(NETWORKDAYS(TODAY(),$AB943,Holidays)-1)&amp;" business day(s) left).")))))</f>
        <v/>
      </c>
      <c r="W943" s="17">
        <f>IF($Z943="","",CHOOSE($Z943,"Collection Email","1st Follow-up","2nd Follow-up","Local Office","CBE","Roxanne")&amp;IF($Z943=6," - Final"," - Day "&amp;MAX(0,NETWORKDAYS($AA943,TODAY(),Holidays)-1)&amp;" of "&amp;CHOOSE($Z943,3,3,2,2,3))&amp;" | Total Day "&amp;MAX(0,NETWORKDAYS($N943,TODAY(),Holidays)-1))</f>
        <v/>
      </c>
      <c r="X943" s="18"/>
      <c r="Y943" s="18"/>
      <c r="Z943" s="17">
        <f>IF($N943="","",COUNT($N943:$S943))</f>
        <v/>
      </c>
      <c r="AA943" s="19">
        <f>IF($Z943="","",INT(INDEX($N943:$S943,$Z943)))</f>
        <v/>
      </c>
      <c r="AB943" s="19">
        <f>IF(OR($Z943="",$Z943=6),"",WORKDAY($AA943,CHOOSE($Z943,3,3,2,2,3),Holidays))</f>
        <v/>
      </c>
      <c r="AC943" s="17">
        <f>IF(OR($Z943="",$Z943=6),"",CHOOSE($Z943,"1st Email Follow-up","2nd Email Follow-up","Escalate Local Office","Escalate to CBE","Escalate to Roxanne"))</f>
        <v/>
      </c>
    </row>
    <row r="944" spans="13:29">
      <c r="M944" s="14"/>
      <c r="T944" s="16"/>
      <c r="U944" s="17">
        <f>IF(AND(COUNTA($A944:$L944)=0,$N944=""),"",IF($T944="Paid","PAID",IF($T944="Closed","CLOSED",IF($Z944="","",IF($Z944=6,"ESCALATED TO ROXANNE",IF(TODAY()&gt;$AB944,"OVERDUE",IF($AB944&lt;=WORKDAY(TODAY(),1,Holidays),"DUE TOMORROW",IF($Z944=4,"ESCALATED TO LOCAL OFFICE",IF($Z944=5,"ESCALATED TO CBE",IF($AA944=TODAY(),"EMAIL SENT","MONITORING"))))))))))</f>
        <v/>
      </c>
      <c r="V944" s="17">
        <f>IF($U944="",IF(AND(COUNTA($A944:$L944)&gt;0,$N944=""),"Awaiting Collection Email time stamp.",""),IF(OR($U944="PAID",$U944="CLOSED"),IF($U944="PAID","Account paid. Action completed.","Account closed. No further action required."),CHOOSE($Z944,"Collection Email","1st Email Follow-up","2nd Email Follow-up","Escalation to Local Office","Escalation to CBE","Escalation to Roxanne")&amp;" sent "&amp;TEXT($AA944,"dd-mmm")&amp;". "&amp;IF($Z944=6,"Final escalation completed.",IF($U944="OVERDUE","Next: "&amp;$AC944&amp;" was due "&amp;TEXT($AB944,"dd-mmm")&amp;" - "&amp;(NETWORKDAYS($AB944,TODAY(),Holidays)-1)&amp;" business day(s) late. Send now.",IF($U944="DUE TOMORROW","Next: "&amp;$AC944&amp;IF($AB944&lt;=TODAY()," is due TODAY ("," is due next business day (")&amp;TEXT($AB944,"dd-mmm")&amp;").","Next: "&amp;$AC944&amp;" due "&amp;TEXT($AB944,"dd-mmm")&amp;" ("&amp;(NETWORKDAYS(TODAY(),$AB944,Holidays)-1)&amp;" business day(s) left).")))))</f>
        <v/>
      </c>
      <c r="W944" s="17">
        <f>IF($Z944="","",CHOOSE($Z944,"Collection Email","1st Follow-up","2nd Follow-up","Local Office","CBE","Roxanne")&amp;IF($Z944=6," - Final"," - Day "&amp;MAX(0,NETWORKDAYS($AA944,TODAY(),Holidays)-1)&amp;" of "&amp;CHOOSE($Z944,3,3,2,2,3))&amp;" | Total Day "&amp;MAX(0,NETWORKDAYS($N944,TODAY(),Holidays)-1))</f>
        <v/>
      </c>
      <c r="X944" s="18"/>
      <c r="Y944" s="18"/>
      <c r="Z944" s="17">
        <f>IF($N944="","",COUNT($N944:$S944))</f>
        <v/>
      </c>
      <c r="AA944" s="19">
        <f>IF($Z944="","",INT(INDEX($N944:$S944,$Z944)))</f>
        <v/>
      </c>
      <c r="AB944" s="19">
        <f>IF(OR($Z944="",$Z944=6),"",WORKDAY($AA944,CHOOSE($Z944,3,3,2,2,3),Holidays))</f>
        <v/>
      </c>
      <c r="AC944" s="17">
        <f>IF(OR($Z944="",$Z944=6),"",CHOOSE($Z944,"1st Email Follow-up","2nd Email Follow-up","Escalate Local Office","Escalate to CBE","Escalate to Roxanne"))</f>
        <v/>
      </c>
    </row>
    <row r="945" spans="13:29">
      <c r="M945" s="14"/>
      <c r="T945" s="16"/>
      <c r="U945" s="17">
        <f>IF(AND(COUNTA($A945:$L945)=0,$N945=""),"",IF($T945="Paid","PAID",IF($T945="Closed","CLOSED",IF($Z945="","",IF($Z945=6,"ESCALATED TO ROXANNE",IF(TODAY()&gt;$AB945,"OVERDUE",IF($AB945&lt;=WORKDAY(TODAY(),1,Holidays),"DUE TOMORROW",IF($Z945=4,"ESCALATED TO LOCAL OFFICE",IF($Z945=5,"ESCALATED TO CBE",IF($AA945=TODAY(),"EMAIL SENT","MONITORING"))))))))))</f>
        <v/>
      </c>
      <c r="V945" s="17">
        <f>IF($U945="",IF(AND(COUNTA($A945:$L945)&gt;0,$N945=""),"Awaiting Collection Email time stamp.",""),IF(OR($U945="PAID",$U945="CLOSED"),IF($U945="PAID","Account paid. Action completed.","Account closed. No further action required."),CHOOSE($Z945,"Collection Email","1st Email Follow-up","2nd Email Follow-up","Escalation to Local Office","Escalation to CBE","Escalation to Roxanne")&amp;" sent "&amp;TEXT($AA945,"dd-mmm")&amp;". "&amp;IF($Z945=6,"Final escalation completed.",IF($U945="OVERDUE","Next: "&amp;$AC945&amp;" was due "&amp;TEXT($AB945,"dd-mmm")&amp;" - "&amp;(NETWORKDAYS($AB945,TODAY(),Holidays)-1)&amp;" business day(s) late. Send now.",IF($U945="DUE TOMORROW","Next: "&amp;$AC945&amp;IF($AB945&lt;=TODAY()," is due TODAY ("," is due next business day (")&amp;TEXT($AB945,"dd-mmm")&amp;").","Next: "&amp;$AC945&amp;" due "&amp;TEXT($AB945,"dd-mmm")&amp;" ("&amp;(NETWORKDAYS(TODAY(),$AB945,Holidays)-1)&amp;" business day(s) left).")))))</f>
        <v/>
      </c>
      <c r="W945" s="17">
        <f>IF($Z945="","",CHOOSE($Z945,"Collection Email","1st Follow-up","2nd Follow-up","Local Office","CBE","Roxanne")&amp;IF($Z945=6," - Final"," - Day "&amp;MAX(0,NETWORKDAYS($AA945,TODAY(),Holidays)-1)&amp;" of "&amp;CHOOSE($Z945,3,3,2,2,3))&amp;" | Total Day "&amp;MAX(0,NETWORKDAYS($N945,TODAY(),Holidays)-1))</f>
        <v/>
      </c>
      <c r="X945" s="18"/>
      <c r="Y945" s="18"/>
      <c r="Z945" s="17">
        <f>IF($N945="","",COUNT($N945:$S945))</f>
        <v/>
      </c>
      <c r="AA945" s="19">
        <f>IF($Z945="","",INT(INDEX($N945:$S945,$Z945)))</f>
        <v/>
      </c>
      <c r="AB945" s="19">
        <f>IF(OR($Z945="",$Z945=6),"",WORKDAY($AA945,CHOOSE($Z945,3,3,2,2,3),Holidays))</f>
        <v/>
      </c>
      <c r="AC945" s="17">
        <f>IF(OR($Z945="",$Z945=6),"",CHOOSE($Z945,"1st Email Follow-up","2nd Email Follow-up","Escalate Local Office","Escalate to CBE","Escalate to Roxanne"))</f>
        <v/>
      </c>
    </row>
    <row r="946" spans="13:29">
      <c r="M946" s="14"/>
      <c r="T946" s="16"/>
      <c r="U946" s="17">
        <f>IF(AND(COUNTA($A946:$L946)=0,$N946=""),"",IF($T946="Paid","PAID",IF($T946="Closed","CLOSED",IF($Z946="","",IF($Z946=6,"ESCALATED TO ROXANNE",IF(TODAY()&gt;$AB946,"OVERDUE",IF($AB946&lt;=WORKDAY(TODAY(),1,Holidays),"DUE TOMORROW",IF($Z946=4,"ESCALATED TO LOCAL OFFICE",IF($Z946=5,"ESCALATED TO CBE",IF($AA946=TODAY(),"EMAIL SENT","MONITORING"))))))))))</f>
        <v/>
      </c>
      <c r="V946" s="17">
        <f>IF($U946="",IF(AND(COUNTA($A946:$L946)&gt;0,$N946=""),"Awaiting Collection Email time stamp.",""),IF(OR($U946="PAID",$U946="CLOSED"),IF($U946="PAID","Account paid. Action completed.","Account closed. No further action required."),CHOOSE($Z946,"Collection Email","1st Email Follow-up","2nd Email Follow-up","Escalation to Local Office","Escalation to CBE","Escalation to Roxanne")&amp;" sent "&amp;TEXT($AA946,"dd-mmm")&amp;". "&amp;IF($Z946=6,"Final escalation completed.",IF($U946="OVERDUE","Next: "&amp;$AC946&amp;" was due "&amp;TEXT($AB946,"dd-mmm")&amp;" - "&amp;(NETWORKDAYS($AB946,TODAY(),Holidays)-1)&amp;" business day(s) late. Send now.",IF($U946="DUE TOMORROW","Next: "&amp;$AC946&amp;IF($AB946&lt;=TODAY()," is due TODAY ("," is due next business day (")&amp;TEXT($AB946,"dd-mmm")&amp;").","Next: "&amp;$AC946&amp;" due "&amp;TEXT($AB946,"dd-mmm")&amp;" ("&amp;(NETWORKDAYS(TODAY(),$AB946,Holidays)-1)&amp;" business day(s) left).")))))</f>
        <v/>
      </c>
      <c r="W946" s="17">
        <f>IF($Z946="","",CHOOSE($Z946,"Collection Email","1st Follow-up","2nd Follow-up","Local Office","CBE","Roxanne")&amp;IF($Z946=6," - Final"," - Day "&amp;MAX(0,NETWORKDAYS($AA946,TODAY(),Holidays)-1)&amp;" of "&amp;CHOOSE($Z946,3,3,2,2,3))&amp;" | Total Day "&amp;MAX(0,NETWORKDAYS($N946,TODAY(),Holidays)-1))</f>
        <v/>
      </c>
      <c r="X946" s="18"/>
      <c r="Y946" s="18"/>
      <c r="Z946" s="17">
        <f>IF($N946="","",COUNT($N946:$S946))</f>
        <v/>
      </c>
      <c r="AA946" s="19">
        <f>IF($Z946="","",INT(INDEX($N946:$S946,$Z946)))</f>
        <v/>
      </c>
      <c r="AB946" s="19">
        <f>IF(OR($Z946="",$Z946=6),"",WORKDAY($AA946,CHOOSE($Z946,3,3,2,2,3),Holidays))</f>
        <v/>
      </c>
      <c r="AC946" s="17">
        <f>IF(OR($Z946="",$Z946=6),"",CHOOSE($Z946,"1st Email Follow-up","2nd Email Follow-up","Escalate Local Office","Escalate to CBE","Escalate to Roxanne"))</f>
        <v/>
      </c>
    </row>
    <row r="947" spans="13:29">
      <c r="M947" s="14"/>
      <c r="T947" s="16"/>
      <c r="U947" s="17">
        <f>IF(AND(COUNTA($A947:$L947)=0,$N947=""),"",IF($T947="Paid","PAID",IF($T947="Closed","CLOSED",IF($Z947="","",IF($Z947=6,"ESCALATED TO ROXANNE",IF(TODAY()&gt;$AB947,"OVERDUE",IF($AB947&lt;=WORKDAY(TODAY(),1,Holidays),"DUE TOMORROW",IF($Z947=4,"ESCALATED TO LOCAL OFFICE",IF($Z947=5,"ESCALATED TO CBE",IF($AA947=TODAY(),"EMAIL SENT","MONITORING"))))))))))</f>
        <v/>
      </c>
      <c r="V947" s="17">
        <f>IF($U947="",IF(AND(COUNTA($A947:$L947)&gt;0,$N947=""),"Awaiting Collection Email time stamp.",""),IF(OR($U947="PAID",$U947="CLOSED"),IF($U947="PAID","Account paid. Action completed.","Account closed. No further action required."),CHOOSE($Z947,"Collection Email","1st Email Follow-up","2nd Email Follow-up","Escalation to Local Office","Escalation to CBE","Escalation to Roxanne")&amp;" sent "&amp;TEXT($AA947,"dd-mmm")&amp;". "&amp;IF($Z947=6,"Final escalation completed.",IF($U947="OVERDUE","Next: "&amp;$AC947&amp;" was due "&amp;TEXT($AB947,"dd-mmm")&amp;" - "&amp;(NETWORKDAYS($AB947,TODAY(),Holidays)-1)&amp;" business day(s) late. Send now.",IF($U947="DUE TOMORROW","Next: "&amp;$AC947&amp;IF($AB947&lt;=TODAY()," is due TODAY ("," is due next business day (")&amp;TEXT($AB947,"dd-mmm")&amp;").","Next: "&amp;$AC947&amp;" due "&amp;TEXT($AB947,"dd-mmm")&amp;" ("&amp;(NETWORKDAYS(TODAY(),$AB947,Holidays)-1)&amp;" business day(s) left).")))))</f>
        <v/>
      </c>
      <c r="W947" s="17">
        <f>IF($Z947="","",CHOOSE($Z947,"Collection Email","1st Follow-up","2nd Follow-up","Local Office","CBE","Roxanne")&amp;IF($Z947=6," - Final"," - Day "&amp;MAX(0,NETWORKDAYS($AA947,TODAY(),Holidays)-1)&amp;" of "&amp;CHOOSE($Z947,3,3,2,2,3))&amp;" | Total Day "&amp;MAX(0,NETWORKDAYS($N947,TODAY(),Holidays)-1))</f>
        <v/>
      </c>
      <c r="X947" s="18"/>
      <c r="Y947" s="18"/>
      <c r="Z947" s="17">
        <f>IF($N947="","",COUNT($N947:$S947))</f>
        <v/>
      </c>
      <c r="AA947" s="19">
        <f>IF($Z947="","",INT(INDEX($N947:$S947,$Z947)))</f>
        <v/>
      </c>
      <c r="AB947" s="19">
        <f>IF(OR($Z947="",$Z947=6),"",WORKDAY($AA947,CHOOSE($Z947,3,3,2,2,3),Holidays))</f>
        <v/>
      </c>
      <c r="AC947" s="17">
        <f>IF(OR($Z947="",$Z947=6),"",CHOOSE($Z947,"1st Email Follow-up","2nd Email Follow-up","Escalate Local Office","Escalate to CBE","Escalate to Roxanne"))</f>
        <v/>
      </c>
    </row>
    <row r="948" spans="13:29">
      <c r="M948" s="14"/>
      <c r="T948" s="16"/>
      <c r="U948" s="17">
        <f>IF(AND(COUNTA($A948:$L948)=0,$N948=""),"",IF($T948="Paid","PAID",IF($T948="Closed","CLOSED",IF($Z948="","",IF($Z948=6,"ESCALATED TO ROXANNE",IF(TODAY()&gt;$AB948,"OVERDUE",IF($AB948&lt;=WORKDAY(TODAY(),1,Holidays),"DUE TOMORROW",IF($Z948=4,"ESCALATED TO LOCAL OFFICE",IF($Z948=5,"ESCALATED TO CBE",IF($AA948=TODAY(),"EMAIL SENT","MONITORING"))))))))))</f>
        <v/>
      </c>
      <c r="V948" s="17">
        <f>IF($U948="",IF(AND(COUNTA($A948:$L948)&gt;0,$N948=""),"Awaiting Collection Email time stamp.",""),IF(OR($U948="PAID",$U948="CLOSED"),IF($U948="PAID","Account paid. Action completed.","Account closed. No further action required."),CHOOSE($Z948,"Collection Email","1st Email Follow-up","2nd Email Follow-up","Escalation to Local Office","Escalation to CBE","Escalation to Roxanne")&amp;" sent "&amp;TEXT($AA948,"dd-mmm")&amp;". "&amp;IF($Z948=6,"Final escalation completed.",IF($U948="OVERDUE","Next: "&amp;$AC948&amp;" was due "&amp;TEXT($AB948,"dd-mmm")&amp;" - "&amp;(NETWORKDAYS($AB948,TODAY(),Holidays)-1)&amp;" business day(s) late. Send now.",IF($U948="DUE TOMORROW","Next: "&amp;$AC948&amp;IF($AB948&lt;=TODAY()," is due TODAY ("," is due next business day (")&amp;TEXT($AB948,"dd-mmm")&amp;").","Next: "&amp;$AC948&amp;" due "&amp;TEXT($AB948,"dd-mmm")&amp;" ("&amp;(NETWORKDAYS(TODAY(),$AB948,Holidays)-1)&amp;" business day(s) left).")))))</f>
        <v/>
      </c>
      <c r="W948" s="17">
        <f>IF($Z948="","",CHOOSE($Z948,"Collection Email","1st Follow-up","2nd Follow-up","Local Office","CBE","Roxanne")&amp;IF($Z948=6," - Final"," - Day "&amp;MAX(0,NETWORKDAYS($AA948,TODAY(),Holidays)-1)&amp;" of "&amp;CHOOSE($Z948,3,3,2,2,3))&amp;" | Total Day "&amp;MAX(0,NETWORKDAYS($N948,TODAY(),Holidays)-1))</f>
        <v/>
      </c>
      <c r="X948" s="18"/>
      <c r="Y948" s="18"/>
      <c r="Z948" s="17">
        <f>IF($N948="","",COUNT($N948:$S948))</f>
        <v/>
      </c>
      <c r="AA948" s="19">
        <f>IF($Z948="","",INT(INDEX($N948:$S948,$Z948)))</f>
        <v/>
      </c>
      <c r="AB948" s="19">
        <f>IF(OR($Z948="",$Z948=6),"",WORKDAY($AA948,CHOOSE($Z948,3,3,2,2,3),Holidays))</f>
        <v/>
      </c>
      <c r="AC948" s="17">
        <f>IF(OR($Z948="",$Z948=6),"",CHOOSE($Z948,"1st Email Follow-up","2nd Email Follow-up","Escalate Local Office","Escalate to CBE","Escalate to Roxanne"))</f>
        <v/>
      </c>
    </row>
    <row r="949" spans="13:29">
      <c r="M949" s="14"/>
      <c r="T949" s="16"/>
      <c r="U949" s="17">
        <f>IF(AND(COUNTA($A949:$L949)=0,$N949=""),"",IF($T949="Paid","PAID",IF($T949="Closed","CLOSED",IF($Z949="","",IF($Z949=6,"ESCALATED TO ROXANNE",IF(TODAY()&gt;$AB949,"OVERDUE",IF($AB949&lt;=WORKDAY(TODAY(),1,Holidays),"DUE TOMORROW",IF($Z949=4,"ESCALATED TO LOCAL OFFICE",IF($Z949=5,"ESCALATED TO CBE",IF($AA949=TODAY(),"EMAIL SENT","MONITORING"))))))))))</f>
        <v/>
      </c>
      <c r="V949" s="17">
        <f>IF($U949="",IF(AND(COUNTA($A949:$L949)&gt;0,$N949=""),"Awaiting Collection Email time stamp.",""),IF(OR($U949="PAID",$U949="CLOSED"),IF($U949="PAID","Account paid. Action completed.","Account closed. No further action required."),CHOOSE($Z949,"Collection Email","1st Email Follow-up","2nd Email Follow-up","Escalation to Local Office","Escalation to CBE","Escalation to Roxanne")&amp;" sent "&amp;TEXT($AA949,"dd-mmm")&amp;". "&amp;IF($Z949=6,"Final escalation completed.",IF($U949="OVERDUE","Next: "&amp;$AC949&amp;" was due "&amp;TEXT($AB949,"dd-mmm")&amp;" - "&amp;(NETWORKDAYS($AB949,TODAY(),Holidays)-1)&amp;" business day(s) late. Send now.",IF($U949="DUE TOMORROW","Next: "&amp;$AC949&amp;IF($AB949&lt;=TODAY()," is due TODAY ("," is due next business day (")&amp;TEXT($AB949,"dd-mmm")&amp;").","Next: "&amp;$AC949&amp;" due "&amp;TEXT($AB949,"dd-mmm")&amp;" ("&amp;(NETWORKDAYS(TODAY(),$AB949,Holidays)-1)&amp;" business day(s) left).")))))</f>
        <v/>
      </c>
      <c r="W949" s="17">
        <f>IF($Z949="","",CHOOSE($Z949,"Collection Email","1st Follow-up","2nd Follow-up","Local Office","CBE","Roxanne")&amp;IF($Z949=6," - Final"," - Day "&amp;MAX(0,NETWORKDAYS($AA949,TODAY(),Holidays)-1)&amp;" of "&amp;CHOOSE($Z949,3,3,2,2,3))&amp;" | Total Day "&amp;MAX(0,NETWORKDAYS($N949,TODAY(),Holidays)-1))</f>
        <v/>
      </c>
      <c r="X949" s="18"/>
      <c r="Y949" s="18"/>
      <c r="Z949" s="17">
        <f>IF($N949="","",COUNT($N949:$S949))</f>
        <v/>
      </c>
      <c r="AA949" s="19">
        <f>IF($Z949="","",INT(INDEX($N949:$S949,$Z949)))</f>
        <v/>
      </c>
      <c r="AB949" s="19">
        <f>IF(OR($Z949="",$Z949=6),"",WORKDAY($AA949,CHOOSE($Z949,3,3,2,2,3),Holidays))</f>
        <v/>
      </c>
      <c r="AC949" s="17">
        <f>IF(OR($Z949="",$Z949=6),"",CHOOSE($Z949,"1st Email Follow-up","2nd Email Follow-up","Escalate Local Office","Escalate to CBE","Escalate to Roxanne"))</f>
        <v/>
      </c>
    </row>
    <row r="950" spans="13:29">
      <c r="M950" s="14"/>
      <c r="T950" s="16"/>
      <c r="U950" s="17">
        <f>IF(AND(COUNTA($A950:$L950)=0,$N950=""),"",IF($T950="Paid","PAID",IF($T950="Closed","CLOSED",IF($Z950="","",IF($Z950=6,"ESCALATED TO ROXANNE",IF(TODAY()&gt;$AB950,"OVERDUE",IF($AB950&lt;=WORKDAY(TODAY(),1,Holidays),"DUE TOMORROW",IF($Z950=4,"ESCALATED TO LOCAL OFFICE",IF($Z950=5,"ESCALATED TO CBE",IF($AA950=TODAY(),"EMAIL SENT","MONITORING"))))))))))</f>
        <v/>
      </c>
      <c r="V950" s="17">
        <f>IF($U950="",IF(AND(COUNTA($A950:$L950)&gt;0,$N950=""),"Awaiting Collection Email time stamp.",""),IF(OR($U950="PAID",$U950="CLOSED"),IF($U950="PAID","Account paid. Action completed.","Account closed. No further action required."),CHOOSE($Z950,"Collection Email","1st Email Follow-up","2nd Email Follow-up","Escalation to Local Office","Escalation to CBE","Escalation to Roxanne")&amp;" sent "&amp;TEXT($AA950,"dd-mmm")&amp;". "&amp;IF($Z950=6,"Final escalation completed.",IF($U950="OVERDUE","Next: "&amp;$AC950&amp;" was due "&amp;TEXT($AB950,"dd-mmm")&amp;" - "&amp;(NETWORKDAYS($AB950,TODAY(),Holidays)-1)&amp;" business day(s) late. Send now.",IF($U950="DUE TOMORROW","Next: "&amp;$AC950&amp;IF($AB950&lt;=TODAY()," is due TODAY ("," is due next business day (")&amp;TEXT($AB950,"dd-mmm")&amp;").","Next: "&amp;$AC950&amp;" due "&amp;TEXT($AB950,"dd-mmm")&amp;" ("&amp;(NETWORKDAYS(TODAY(),$AB950,Holidays)-1)&amp;" business day(s) left).")))))</f>
        <v/>
      </c>
      <c r="W950" s="17">
        <f>IF($Z950="","",CHOOSE($Z950,"Collection Email","1st Follow-up","2nd Follow-up","Local Office","CBE","Roxanne")&amp;IF($Z950=6," - Final"," - Day "&amp;MAX(0,NETWORKDAYS($AA950,TODAY(),Holidays)-1)&amp;" of "&amp;CHOOSE($Z950,3,3,2,2,3))&amp;" | Total Day "&amp;MAX(0,NETWORKDAYS($N950,TODAY(),Holidays)-1))</f>
        <v/>
      </c>
      <c r="X950" s="18"/>
      <c r="Y950" s="18"/>
      <c r="Z950" s="17">
        <f>IF($N950="","",COUNT($N950:$S950))</f>
        <v/>
      </c>
      <c r="AA950" s="19">
        <f>IF($Z950="","",INT(INDEX($N950:$S950,$Z950)))</f>
        <v/>
      </c>
      <c r="AB950" s="19">
        <f>IF(OR($Z950="",$Z950=6),"",WORKDAY($AA950,CHOOSE($Z950,3,3,2,2,3),Holidays))</f>
        <v/>
      </c>
      <c r="AC950" s="17">
        <f>IF(OR($Z950="",$Z950=6),"",CHOOSE($Z950,"1st Email Follow-up","2nd Email Follow-up","Escalate Local Office","Escalate to CBE","Escalate to Roxanne"))</f>
        <v/>
      </c>
    </row>
    <row r="951" spans="13:29">
      <c r="M951" s="14"/>
      <c r="T951" s="16"/>
      <c r="U951" s="17">
        <f>IF(AND(COUNTA($A951:$L951)=0,$N951=""),"",IF($T951="Paid","PAID",IF($T951="Closed","CLOSED",IF($Z951="","",IF($Z951=6,"ESCALATED TO ROXANNE",IF(TODAY()&gt;$AB951,"OVERDUE",IF($AB951&lt;=WORKDAY(TODAY(),1,Holidays),"DUE TOMORROW",IF($Z951=4,"ESCALATED TO LOCAL OFFICE",IF($Z951=5,"ESCALATED TO CBE",IF($AA951=TODAY(),"EMAIL SENT","MONITORING"))))))))))</f>
        <v/>
      </c>
      <c r="V951" s="17">
        <f>IF($U951="",IF(AND(COUNTA($A951:$L951)&gt;0,$N951=""),"Awaiting Collection Email time stamp.",""),IF(OR($U951="PAID",$U951="CLOSED"),IF($U951="PAID","Account paid. Action completed.","Account closed. No further action required."),CHOOSE($Z951,"Collection Email","1st Email Follow-up","2nd Email Follow-up","Escalation to Local Office","Escalation to CBE","Escalation to Roxanne")&amp;" sent "&amp;TEXT($AA951,"dd-mmm")&amp;". "&amp;IF($Z951=6,"Final escalation completed.",IF($U951="OVERDUE","Next: "&amp;$AC951&amp;" was due "&amp;TEXT($AB951,"dd-mmm")&amp;" - "&amp;(NETWORKDAYS($AB951,TODAY(),Holidays)-1)&amp;" business day(s) late. Send now.",IF($U951="DUE TOMORROW","Next: "&amp;$AC951&amp;IF($AB951&lt;=TODAY()," is due TODAY ("," is due next business day (")&amp;TEXT($AB951,"dd-mmm")&amp;").","Next: "&amp;$AC951&amp;" due "&amp;TEXT($AB951,"dd-mmm")&amp;" ("&amp;(NETWORKDAYS(TODAY(),$AB951,Holidays)-1)&amp;" business day(s) left).")))))</f>
        <v/>
      </c>
      <c r="W951" s="17">
        <f>IF($Z951="","",CHOOSE($Z951,"Collection Email","1st Follow-up","2nd Follow-up","Local Office","CBE","Roxanne")&amp;IF($Z951=6," - Final"," - Day "&amp;MAX(0,NETWORKDAYS($AA951,TODAY(),Holidays)-1)&amp;" of "&amp;CHOOSE($Z951,3,3,2,2,3))&amp;" | Total Day "&amp;MAX(0,NETWORKDAYS($N951,TODAY(),Holidays)-1))</f>
        <v/>
      </c>
      <c r="X951" s="18"/>
      <c r="Y951" s="18"/>
      <c r="Z951" s="17">
        <f>IF($N951="","",COUNT($N951:$S951))</f>
        <v/>
      </c>
      <c r="AA951" s="19">
        <f>IF($Z951="","",INT(INDEX($N951:$S951,$Z951)))</f>
        <v/>
      </c>
      <c r="AB951" s="19">
        <f>IF(OR($Z951="",$Z951=6),"",WORKDAY($AA951,CHOOSE($Z951,3,3,2,2,3),Holidays))</f>
        <v/>
      </c>
      <c r="AC951" s="17">
        <f>IF(OR($Z951="",$Z951=6),"",CHOOSE($Z951,"1st Email Follow-up","2nd Email Follow-up","Escalate Local Office","Escalate to CBE","Escalate to Roxanne"))</f>
        <v/>
      </c>
    </row>
    <row r="952" spans="13:29">
      <c r="M952" s="14"/>
      <c r="T952" s="16"/>
      <c r="U952" s="17">
        <f>IF(AND(COUNTA($A952:$L952)=0,$N952=""),"",IF($T952="Paid","PAID",IF($T952="Closed","CLOSED",IF($Z952="","",IF($Z952=6,"ESCALATED TO ROXANNE",IF(TODAY()&gt;$AB952,"OVERDUE",IF($AB952&lt;=WORKDAY(TODAY(),1,Holidays),"DUE TOMORROW",IF($Z952=4,"ESCALATED TO LOCAL OFFICE",IF($Z952=5,"ESCALATED TO CBE",IF($AA952=TODAY(),"EMAIL SENT","MONITORING"))))))))))</f>
        <v/>
      </c>
      <c r="V952" s="17">
        <f>IF($U952="",IF(AND(COUNTA($A952:$L952)&gt;0,$N952=""),"Awaiting Collection Email time stamp.",""),IF(OR($U952="PAID",$U952="CLOSED"),IF($U952="PAID","Account paid. Action completed.","Account closed. No further action required."),CHOOSE($Z952,"Collection Email","1st Email Follow-up","2nd Email Follow-up","Escalation to Local Office","Escalation to CBE","Escalation to Roxanne")&amp;" sent "&amp;TEXT($AA952,"dd-mmm")&amp;". "&amp;IF($Z952=6,"Final escalation completed.",IF($U952="OVERDUE","Next: "&amp;$AC952&amp;" was due "&amp;TEXT($AB952,"dd-mmm")&amp;" - "&amp;(NETWORKDAYS($AB952,TODAY(),Holidays)-1)&amp;" business day(s) late. Send now.",IF($U952="DUE TOMORROW","Next: "&amp;$AC952&amp;IF($AB952&lt;=TODAY()," is due TODAY ("," is due next business day (")&amp;TEXT($AB952,"dd-mmm")&amp;").","Next: "&amp;$AC952&amp;" due "&amp;TEXT($AB952,"dd-mmm")&amp;" ("&amp;(NETWORKDAYS(TODAY(),$AB952,Holidays)-1)&amp;" business day(s) left).")))))</f>
        <v/>
      </c>
      <c r="W952" s="17">
        <f>IF($Z952="","",CHOOSE($Z952,"Collection Email","1st Follow-up","2nd Follow-up","Local Office","CBE","Roxanne")&amp;IF($Z952=6," - Final"," - Day "&amp;MAX(0,NETWORKDAYS($AA952,TODAY(),Holidays)-1)&amp;" of "&amp;CHOOSE($Z952,3,3,2,2,3))&amp;" | Total Day "&amp;MAX(0,NETWORKDAYS($N952,TODAY(),Holidays)-1))</f>
        <v/>
      </c>
      <c r="X952" s="18"/>
      <c r="Y952" s="18"/>
      <c r="Z952" s="17">
        <f>IF($N952="","",COUNT($N952:$S952))</f>
        <v/>
      </c>
      <c r="AA952" s="19">
        <f>IF($Z952="","",INT(INDEX($N952:$S952,$Z952)))</f>
        <v/>
      </c>
      <c r="AB952" s="19">
        <f>IF(OR($Z952="",$Z952=6),"",WORKDAY($AA952,CHOOSE($Z952,3,3,2,2,3),Holidays))</f>
        <v/>
      </c>
      <c r="AC952" s="17">
        <f>IF(OR($Z952="",$Z952=6),"",CHOOSE($Z952,"1st Email Follow-up","2nd Email Follow-up","Escalate Local Office","Escalate to CBE","Escalate to Roxanne"))</f>
        <v/>
      </c>
    </row>
    <row r="953" spans="13:29">
      <c r="M953" s="14"/>
      <c r="T953" s="16"/>
      <c r="U953" s="17">
        <f>IF(AND(COUNTA($A953:$L953)=0,$N953=""),"",IF($T953="Paid","PAID",IF($T953="Closed","CLOSED",IF($Z953="","",IF($Z953=6,"ESCALATED TO ROXANNE",IF(TODAY()&gt;$AB953,"OVERDUE",IF($AB953&lt;=WORKDAY(TODAY(),1,Holidays),"DUE TOMORROW",IF($Z953=4,"ESCALATED TO LOCAL OFFICE",IF($Z953=5,"ESCALATED TO CBE",IF($AA953=TODAY(),"EMAIL SENT","MONITORING"))))))))))</f>
        <v/>
      </c>
      <c r="V953" s="17">
        <f>IF($U953="",IF(AND(COUNTA($A953:$L953)&gt;0,$N953=""),"Awaiting Collection Email time stamp.",""),IF(OR($U953="PAID",$U953="CLOSED"),IF($U953="PAID","Account paid. Action completed.","Account closed. No further action required."),CHOOSE($Z953,"Collection Email","1st Email Follow-up","2nd Email Follow-up","Escalation to Local Office","Escalation to CBE","Escalation to Roxanne")&amp;" sent "&amp;TEXT($AA953,"dd-mmm")&amp;". "&amp;IF($Z953=6,"Final escalation completed.",IF($U953="OVERDUE","Next: "&amp;$AC953&amp;" was due "&amp;TEXT($AB953,"dd-mmm")&amp;" - "&amp;(NETWORKDAYS($AB953,TODAY(),Holidays)-1)&amp;" business day(s) late. Send now.",IF($U953="DUE TOMORROW","Next: "&amp;$AC953&amp;IF($AB953&lt;=TODAY()," is due TODAY ("," is due next business day (")&amp;TEXT($AB953,"dd-mmm")&amp;").","Next: "&amp;$AC953&amp;" due "&amp;TEXT($AB953,"dd-mmm")&amp;" ("&amp;(NETWORKDAYS(TODAY(),$AB953,Holidays)-1)&amp;" business day(s) left).")))))</f>
        <v/>
      </c>
      <c r="W953" s="17">
        <f>IF($Z953="","",CHOOSE($Z953,"Collection Email","1st Follow-up","2nd Follow-up","Local Office","CBE","Roxanne")&amp;IF($Z953=6," - Final"," - Day "&amp;MAX(0,NETWORKDAYS($AA953,TODAY(),Holidays)-1)&amp;" of "&amp;CHOOSE($Z953,3,3,2,2,3))&amp;" | Total Day "&amp;MAX(0,NETWORKDAYS($N953,TODAY(),Holidays)-1))</f>
        <v/>
      </c>
      <c r="X953" s="18"/>
      <c r="Y953" s="18"/>
      <c r="Z953" s="17">
        <f>IF($N953="","",COUNT($N953:$S953))</f>
        <v/>
      </c>
      <c r="AA953" s="19">
        <f>IF($Z953="","",INT(INDEX($N953:$S953,$Z953)))</f>
        <v/>
      </c>
      <c r="AB953" s="19">
        <f>IF(OR($Z953="",$Z953=6),"",WORKDAY($AA953,CHOOSE($Z953,3,3,2,2,3),Holidays))</f>
        <v/>
      </c>
      <c r="AC953" s="17">
        <f>IF(OR($Z953="",$Z953=6),"",CHOOSE($Z953,"1st Email Follow-up","2nd Email Follow-up","Escalate Local Office","Escalate to CBE","Escalate to Roxanne"))</f>
        <v/>
      </c>
    </row>
    <row r="954" spans="13:29">
      <c r="M954" s="14"/>
      <c r="T954" s="16"/>
      <c r="U954" s="17">
        <f>IF(AND(COUNTA($A954:$L954)=0,$N954=""),"",IF($T954="Paid","PAID",IF($T954="Closed","CLOSED",IF($Z954="","",IF($Z954=6,"ESCALATED TO ROXANNE",IF(TODAY()&gt;$AB954,"OVERDUE",IF($AB954&lt;=WORKDAY(TODAY(),1,Holidays),"DUE TOMORROW",IF($Z954=4,"ESCALATED TO LOCAL OFFICE",IF($Z954=5,"ESCALATED TO CBE",IF($AA954=TODAY(),"EMAIL SENT","MONITORING"))))))))))</f>
        <v/>
      </c>
      <c r="V954" s="17">
        <f>IF($U954="",IF(AND(COUNTA($A954:$L954)&gt;0,$N954=""),"Awaiting Collection Email time stamp.",""),IF(OR($U954="PAID",$U954="CLOSED"),IF($U954="PAID","Account paid. Action completed.","Account closed. No further action required."),CHOOSE($Z954,"Collection Email","1st Email Follow-up","2nd Email Follow-up","Escalation to Local Office","Escalation to CBE","Escalation to Roxanne")&amp;" sent "&amp;TEXT($AA954,"dd-mmm")&amp;". "&amp;IF($Z954=6,"Final escalation completed.",IF($U954="OVERDUE","Next: "&amp;$AC954&amp;" was due "&amp;TEXT($AB954,"dd-mmm")&amp;" - "&amp;(NETWORKDAYS($AB954,TODAY(),Holidays)-1)&amp;" business day(s) late. Send now.",IF($U954="DUE TOMORROW","Next: "&amp;$AC954&amp;IF($AB954&lt;=TODAY()," is due TODAY ("," is due next business day (")&amp;TEXT($AB954,"dd-mmm")&amp;").","Next: "&amp;$AC954&amp;" due "&amp;TEXT($AB954,"dd-mmm")&amp;" ("&amp;(NETWORKDAYS(TODAY(),$AB954,Holidays)-1)&amp;" business day(s) left).")))))</f>
        <v/>
      </c>
      <c r="W954" s="17">
        <f>IF($Z954="","",CHOOSE($Z954,"Collection Email","1st Follow-up","2nd Follow-up","Local Office","CBE","Roxanne")&amp;IF($Z954=6," - Final"," - Day "&amp;MAX(0,NETWORKDAYS($AA954,TODAY(),Holidays)-1)&amp;" of "&amp;CHOOSE($Z954,3,3,2,2,3))&amp;" | Total Day "&amp;MAX(0,NETWORKDAYS($N954,TODAY(),Holidays)-1))</f>
        <v/>
      </c>
      <c r="X954" s="18"/>
      <c r="Y954" s="18"/>
      <c r="Z954" s="17">
        <f>IF($N954="","",COUNT($N954:$S954))</f>
        <v/>
      </c>
      <c r="AA954" s="19">
        <f>IF($Z954="","",INT(INDEX($N954:$S954,$Z954)))</f>
        <v/>
      </c>
      <c r="AB954" s="19">
        <f>IF(OR($Z954="",$Z954=6),"",WORKDAY($AA954,CHOOSE($Z954,3,3,2,2,3),Holidays))</f>
        <v/>
      </c>
      <c r="AC954" s="17">
        <f>IF(OR($Z954="",$Z954=6),"",CHOOSE($Z954,"1st Email Follow-up","2nd Email Follow-up","Escalate Local Office","Escalate to CBE","Escalate to Roxanne"))</f>
        <v/>
      </c>
    </row>
    <row r="955" spans="13:29">
      <c r="M955" s="14"/>
      <c r="T955" s="16"/>
      <c r="U955" s="17">
        <f>IF(AND(COUNTA($A955:$L955)=0,$N955=""),"",IF($T955="Paid","PAID",IF($T955="Closed","CLOSED",IF($Z955="","",IF($Z955=6,"ESCALATED TO ROXANNE",IF(TODAY()&gt;$AB955,"OVERDUE",IF($AB955&lt;=WORKDAY(TODAY(),1,Holidays),"DUE TOMORROW",IF($Z955=4,"ESCALATED TO LOCAL OFFICE",IF($Z955=5,"ESCALATED TO CBE",IF($AA955=TODAY(),"EMAIL SENT","MONITORING"))))))))))</f>
        <v/>
      </c>
      <c r="V955" s="17">
        <f>IF($U955="",IF(AND(COUNTA($A955:$L955)&gt;0,$N955=""),"Awaiting Collection Email time stamp.",""),IF(OR($U955="PAID",$U955="CLOSED"),IF($U955="PAID","Account paid. Action completed.","Account closed. No further action required."),CHOOSE($Z955,"Collection Email","1st Email Follow-up","2nd Email Follow-up","Escalation to Local Office","Escalation to CBE","Escalation to Roxanne")&amp;" sent "&amp;TEXT($AA955,"dd-mmm")&amp;". "&amp;IF($Z955=6,"Final escalation completed.",IF($U955="OVERDUE","Next: "&amp;$AC955&amp;" was due "&amp;TEXT($AB955,"dd-mmm")&amp;" - "&amp;(NETWORKDAYS($AB955,TODAY(),Holidays)-1)&amp;" business day(s) late. Send now.",IF($U955="DUE TOMORROW","Next: "&amp;$AC955&amp;IF($AB955&lt;=TODAY()," is due TODAY ("," is due next business day (")&amp;TEXT($AB955,"dd-mmm")&amp;").","Next: "&amp;$AC955&amp;" due "&amp;TEXT($AB955,"dd-mmm")&amp;" ("&amp;(NETWORKDAYS(TODAY(),$AB955,Holidays)-1)&amp;" business day(s) left).")))))</f>
        <v/>
      </c>
      <c r="W955" s="17">
        <f>IF($Z955="","",CHOOSE($Z955,"Collection Email","1st Follow-up","2nd Follow-up","Local Office","CBE","Roxanne")&amp;IF($Z955=6," - Final"," - Day "&amp;MAX(0,NETWORKDAYS($AA955,TODAY(),Holidays)-1)&amp;" of "&amp;CHOOSE($Z955,3,3,2,2,3))&amp;" | Total Day "&amp;MAX(0,NETWORKDAYS($N955,TODAY(),Holidays)-1))</f>
        <v/>
      </c>
      <c r="X955" s="18"/>
      <c r="Y955" s="18"/>
      <c r="Z955" s="17">
        <f>IF($N955="","",COUNT($N955:$S955))</f>
        <v/>
      </c>
      <c r="AA955" s="19">
        <f>IF($Z955="","",INT(INDEX($N955:$S955,$Z955)))</f>
        <v/>
      </c>
      <c r="AB955" s="19">
        <f>IF(OR($Z955="",$Z955=6),"",WORKDAY($AA955,CHOOSE($Z955,3,3,2,2,3),Holidays))</f>
        <v/>
      </c>
      <c r="AC955" s="17">
        <f>IF(OR($Z955="",$Z955=6),"",CHOOSE($Z955,"1st Email Follow-up","2nd Email Follow-up","Escalate Local Office","Escalate to CBE","Escalate to Roxanne"))</f>
        <v/>
      </c>
    </row>
    <row r="956" spans="13:29">
      <c r="M956" s="14"/>
      <c r="T956" s="16"/>
      <c r="U956" s="17">
        <f>IF(AND(COUNTA($A956:$L956)=0,$N956=""),"",IF($T956="Paid","PAID",IF($T956="Closed","CLOSED",IF($Z956="","",IF($Z956=6,"ESCALATED TO ROXANNE",IF(TODAY()&gt;$AB956,"OVERDUE",IF($AB956&lt;=WORKDAY(TODAY(),1,Holidays),"DUE TOMORROW",IF($Z956=4,"ESCALATED TO LOCAL OFFICE",IF($Z956=5,"ESCALATED TO CBE",IF($AA956=TODAY(),"EMAIL SENT","MONITORING"))))))))))</f>
        <v/>
      </c>
      <c r="V956" s="17">
        <f>IF($U956="",IF(AND(COUNTA($A956:$L956)&gt;0,$N956=""),"Awaiting Collection Email time stamp.",""),IF(OR($U956="PAID",$U956="CLOSED"),IF($U956="PAID","Account paid. Action completed.","Account closed. No further action required."),CHOOSE($Z956,"Collection Email","1st Email Follow-up","2nd Email Follow-up","Escalation to Local Office","Escalation to CBE","Escalation to Roxanne")&amp;" sent "&amp;TEXT($AA956,"dd-mmm")&amp;". "&amp;IF($Z956=6,"Final escalation completed.",IF($U956="OVERDUE","Next: "&amp;$AC956&amp;" was due "&amp;TEXT($AB956,"dd-mmm")&amp;" - "&amp;(NETWORKDAYS($AB956,TODAY(),Holidays)-1)&amp;" business day(s) late. Send now.",IF($U956="DUE TOMORROW","Next: "&amp;$AC956&amp;IF($AB956&lt;=TODAY()," is due TODAY ("," is due next business day (")&amp;TEXT($AB956,"dd-mmm")&amp;").","Next: "&amp;$AC956&amp;" due "&amp;TEXT($AB956,"dd-mmm")&amp;" ("&amp;(NETWORKDAYS(TODAY(),$AB956,Holidays)-1)&amp;" business day(s) left).")))))</f>
        <v/>
      </c>
      <c r="W956" s="17">
        <f>IF($Z956="","",CHOOSE($Z956,"Collection Email","1st Follow-up","2nd Follow-up","Local Office","CBE","Roxanne")&amp;IF($Z956=6," - Final"," - Day "&amp;MAX(0,NETWORKDAYS($AA956,TODAY(),Holidays)-1)&amp;" of "&amp;CHOOSE($Z956,3,3,2,2,3))&amp;" | Total Day "&amp;MAX(0,NETWORKDAYS($N956,TODAY(),Holidays)-1))</f>
        <v/>
      </c>
      <c r="X956" s="18"/>
      <c r="Y956" s="18"/>
      <c r="Z956" s="17">
        <f>IF($N956="","",COUNT($N956:$S956))</f>
        <v/>
      </c>
      <c r="AA956" s="19">
        <f>IF($Z956="","",INT(INDEX($N956:$S956,$Z956)))</f>
        <v/>
      </c>
      <c r="AB956" s="19">
        <f>IF(OR($Z956="",$Z956=6),"",WORKDAY($AA956,CHOOSE($Z956,3,3,2,2,3),Holidays))</f>
        <v/>
      </c>
      <c r="AC956" s="17">
        <f>IF(OR($Z956="",$Z956=6),"",CHOOSE($Z956,"1st Email Follow-up","2nd Email Follow-up","Escalate Local Office","Escalate to CBE","Escalate to Roxanne"))</f>
        <v/>
      </c>
    </row>
    <row r="957" spans="13:29">
      <c r="M957" s="14"/>
      <c r="T957" s="16"/>
      <c r="U957" s="17">
        <f>IF(AND(COUNTA($A957:$L957)=0,$N957=""),"",IF($T957="Paid","PAID",IF($T957="Closed","CLOSED",IF($Z957="","",IF($Z957=6,"ESCALATED TO ROXANNE",IF(TODAY()&gt;$AB957,"OVERDUE",IF($AB957&lt;=WORKDAY(TODAY(),1,Holidays),"DUE TOMORROW",IF($Z957=4,"ESCALATED TO LOCAL OFFICE",IF($Z957=5,"ESCALATED TO CBE",IF($AA957=TODAY(),"EMAIL SENT","MONITORING"))))))))))</f>
        <v/>
      </c>
      <c r="V957" s="17">
        <f>IF($U957="",IF(AND(COUNTA($A957:$L957)&gt;0,$N957=""),"Awaiting Collection Email time stamp.",""),IF(OR($U957="PAID",$U957="CLOSED"),IF($U957="PAID","Account paid. Action completed.","Account closed. No further action required."),CHOOSE($Z957,"Collection Email","1st Email Follow-up","2nd Email Follow-up","Escalation to Local Office","Escalation to CBE","Escalation to Roxanne")&amp;" sent "&amp;TEXT($AA957,"dd-mmm")&amp;". "&amp;IF($Z957=6,"Final escalation completed.",IF($U957="OVERDUE","Next: "&amp;$AC957&amp;" was due "&amp;TEXT($AB957,"dd-mmm")&amp;" - "&amp;(NETWORKDAYS($AB957,TODAY(),Holidays)-1)&amp;" business day(s) late. Send now.",IF($U957="DUE TOMORROW","Next: "&amp;$AC957&amp;IF($AB957&lt;=TODAY()," is due TODAY ("," is due next business day (")&amp;TEXT($AB957,"dd-mmm")&amp;").","Next: "&amp;$AC957&amp;" due "&amp;TEXT($AB957,"dd-mmm")&amp;" ("&amp;(NETWORKDAYS(TODAY(),$AB957,Holidays)-1)&amp;" business day(s) left).")))))</f>
        <v/>
      </c>
      <c r="W957" s="17">
        <f>IF($Z957="","",CHOOSE($Z957,"Collection Email","1st Follow-up","2nd Follow-up","Local Office","CBE","Roxanne")&amp;IF($Z957=6," - Final"," - Day "&amp;MAX(0,NETWORKDAYS($AA957,TODAY(),Holidays)-1)&amp;" of "&amp;CHOOSE($Z957,3,3,2,2,3))&amp;" | Total Day "&amp;MAX(0,NETWORKDAYS($N957,TODAY(),Holidays)-1))</f>
        <v/>
      </c>
      <c r="X957" s="18"/>
      <c r="Y957" s="18"/>
      <c r="Z957" s="17">
        <f>IF($N957="","",COUNT($N957:$S957))</f>
        <v/>
      </c>
      <c r="AA957" s="19">
        <f>IF($Z957="","",INT(INDEX($N957:$S957,$Z957)))</f>
        <v/>
      </c>
      <c r="AB957" s="19">
        <f>IF(OR($Z957="",$Z957=6),"",WORKDAY($AA957,CHOOSE($Z957,3,3,2,2,3),Holidays))</f>
        <v/>
      </c>
      <c r="AC957" s="17">
        <f>IF(OR($Z957="",$Z957=6),"",CHOOSE($Z957,"1st Email Follow-up","2nd Email Follow-up","Escalate Local Office","Escalate to CBE","Escalate to Roxanne"))</f>
        <v/>
      </c>
    </row>
    <row r="958" spans="13:29">
      <c r="M958" s="14"/>
      <c r="T958" s="16"/>
      <c r="U958" s="17">
        <f>IF(AND(COUNTA($A958:$L958)=0,$N958=""),"",IF($T958="Paid","PAID",IF($T958="Closed","CLOSED",IF($Z958="","",IF($Z958=6,"ESCALATED TO ROXANNE",IF(TODAY()&gt;$AB958,"OVERDUE",IF($AB958&lt;=WORKDAY(TODAY(),1,Holidays),"DUE TOMORROW",IF($Z958=4,"ESCALATED TO LOCAL OFFICE",IF($Z958=5,"ESCALATED TO CBE",IF($AA958=TODAY(),"EMAIL SENT","MONITORING"))))))))))</f>
        <v/>
      </c>
      <c r="V958" s="17">
        <f>IF($U958="",IF(AND(COUNTA($A958:$L958)&gt;0,$N958=""),"Awaiting Collection Email time stamp.",""),IF(OR($U958="PAID",$U958="CLOSED"),IF($U958="PAID","Account paid. Action completed.","Account closed. No further action required."),CHOOSE($Z958,"Collection Email","1st Email Follow-up","2nd Email Follow-up","Escalation to Local Office","Escalation to CBE","Escalation to Roxanne")&amp;" sent "&amp;TEXT($AA958,"dd-mmm")&amp;". "&amp;IF($Z958=6,"Final escalation completed.",IF($U958="OVERDUE","Next: "&amp;$AC958&amp;" was due "&amp;TEXT($AB958,"dd-mmm")&amp;" - "&amp;(NETWORKDAYS($AB958,TODAY(),Holidays)-1)&amp;" business day(s) late. Send now.",IF($U958="DUE TOMORROW","Next: "&amp;$AC958&amp;IF($AB958&lt;=TODAY()," is due TODAY ("," is due next business day (")&amp;TEXT($AB958,"dd-mmm")&amp;").","Next: "&amp;$AC958&amp;" due "&amp;TEXT($AB958,"dd-mmm")&amp;" ("&amp;(NETWORKDAYS(TODAY(),$AB958,Holidays)-1)&amp;" business day(s) left).")))))</f>
        <v/>
      </c>
      <c r="W958" s="17">
        <f>IF($Z958="","",CHOOSE($Z958,"Collection Email","1st Follow-up","2nd Follow-up","Local Office","CBE","Roxanne")&amp;IF($Z958=6," - Final"," - Day "&amp;MAX(0,NETWORKDAYS($AA958,TODAY(),Holidays)-1)&amp;" of "&amp;CHOOSE($Z958,3,3,2,2,3))&amp;" | Total Day "&amp;MAX(0,NETWORKDAYS($N958,TODAY(),Holidays)-1))</f>
        <v/>
      </c>
      <c r="X958" s="18"/>
      <c r="Y958" s="18"/>
      <c r="Z958" s="17">
        <f>IF($N958="","",COUNT($N958:$S958))</f>
        <v/>
      </c>
      <c r="AA958" s="19">
        <f>IF($Z958="","",INT(INDEX($N958:$S958,$Z958)))</f>
        <v/>
      </c>
      <c r="AB958" s="19">
        <f>IF(OR($Z958="",$Z958=6),"",WORKDAY($AA958,CHOOSE($Z958,3,3,2,2,3),Holidays))</f>
        <v/>
      </c>
      <c r="AC958" s="17">
        <f>IF(OR($Z958="",$Z958=6),"",CHOOSE($Z958,"1st Email Follow-up","2nd Email Follow-up","Escalate Local Office","Escalate to CBE","Escalate to Roxanne"))</f>
        <v/>
      </c>
    </row>
    <row r="959" spans="13:29">
      <c r="M959" s="14"/>
      <c r="T959" s="16"/>
      <c r="U959" s="17">
        <f>IF(AND(COUNTA($A959:$L959)=0,$N959=""),"",IF($T959="Paid","PAID",IF($T959="Closed","CLOSED",IF($Z959="","",IF($Z959=6,"ESCALATED TO ROXANNE",IF(TODAY()&gt;$AB959,"OVERDUE",IF($AB959&lt;=WORKDAY(TODAY(),1,Holidays),"DUE TOMORROW",IF($Z959=4,"ESCALATED TO LOCAL OFFICE",IF($Z959=5,"ESCALATED TO CBE",IF($AA959=TODAY(),"EMAIL SENT","MONITORING"))))))))))</f>
        <v/>
      </c>
      <c r="V959" s="17">
        <f>IF($U959="",IF(AND(COUNTA($A959:$L959)&gt;0,$N959=""),"Awaiting Collection Email time stamp.",""),IF(OR($U959="PAID",$U959="CLOSED"),IF($U959="PAID","Account paid. Action completed.","Account closed. No further action required."),CHOOSE($Z959,"Collection Email","1st Email Follow-up","2nd Email Follow-up","Escalation to Local Office","Escalation to CBE","Escalation to Roxanne")&amp;" sent "&amp;TEXT($AA959,"dd-mmm")&amp;". "&amp;IF($Z959=6,"Final escalation completed.",IF($U959="OVERDUE","Next: "&amp;$AC959&amp;" was due "&amp;TEXT($AB959,"dd-mmm")&amp;" - "&amp;(NETWORKDAYS($AB959,TODAY(),Holidays)-1)&amp;" business day(s) late. Send now.",IF($U959="DUE TOMORROW","Next: "&amp;$AC959&amp;IF($AB959&lt;=TODAY()," is due TODAY ("," is due next business day (")&amp;TEXT($AB959,"dd-mmm")&amp;").","Next: "&amp;$AC959&amp;" due "&amp;TEXT($AB959,"dd-mmm")&amp;" ("&amp;(NETWORKDAYS(TODAY(),$AB959,Holidays)-1)&amp;" business day(s) left).")))))</f>
        <v/>
      </c>
      <c r="W959" s="17">
        <f>IF($Z959="","",CHOOSE($Z959,"Collection Email","1st Follow-up","2nd Follow-up","Local Office","CBE","Roxanne")&amp;IF($Z959=6," - Final"," - Day "&amp;MAX(0,NETWORKDAYS($AA959,TODAY(),Holidays)-1)&amp;" of "&amp;CHOOSE($Z959,3,3,2,2,3))&amp;" | Total Day "&amp;MAX(0,NETWORKDAYS($N959,TODAY(),Holidays)-1))</f>
        <v/>
      </c>
      <c r="X959" s="18"/>
      <c r="Y959" s="18"/>
      <c r="Z959" s="17">
        <f>IF($N959="","",COUNT($N959:$S959))</f>
        <v/>
      </c>
      <c r="AA959" s="19">
        <f>IF($Z959="","",INT(INDEX($N959:$S959,$Z959)))</f>
        <v/>
      </c>
      <c r="AB959" s="19">
        <f>IF(OR($Z959="",$Z959=6),"",WORKDAY($AA959,CHOOSE($Z959,3,3,2,2,3),Holidays))</f>
        <v/>
      </c>
      <c r="AC959" s="17">
        <f>IF(OR($Z959="",$Z959=6),"",CHOOSE($Z959,"1st Email Follow-up","2nd Email Follow-up","Escalate Local Office","Escalate to CBE","Escalate to Roxanne"))</f>
        <v/>
      </c>
    </row>
    <row r="960" spans="13:29">
      <c r="M960" s="14"/>
      <c r="T960" s="16"/>
      <c r="U960" s="17">
        <f>IF(AND(COUNTA($A960:$L960)=0,$N960=""),"",IF($T960="Paid","PAID",IF($T960="Closed","CLOSED",IF($Z960="","",IF($Z960=6,"ESCALATED TO ROXANNE",IF(TODAY()&gt;$AB960,"OVERDUE",IF($AB960&lt;=WORKDAY(TODAY(),1,Holidays),"DUE TOMORROW",IF($Z960=4,"ESCALATED TO LOCAL OFFICE",IF($Z960=5,"ESCALATED TO CBE",IF($AA960=TODAY(),"EMAIL SENT","MONITORING"))))))))))</f>
        <v/>
      </c>
      <c r="V960" s="17">
        <f>IF($U960="",IF(AND(COUNTA($A960:$L960)&gt;0,$N960=""),"Awaiting Collection Email time stamp.",""),IF(OR($U960="PAID",$U960="CLOSED"),IF($U960="PAID","Account paid. Action completed.","Account closed. No further action required."),CHOOSE($Z960,"Collection Email","1st Email Follow-up","2nd Email Follow-up","Escalation to Local Office","Escalation to CBE","Escalation to Roxanne")&amp;" sent "&amp;TEXT($AA960,"dd-mmm")&amp;". "&amp;IF($Z960=6,"Final escalation completed.",IF($U960="OVERDUE","Next: "&amp;$AC960&amp;" was due "&amp;TEXT($AB960,"dd-mmm")&amp;" - "&amp;(NETWORKDAYS($AB960,TODAY(),Holidays)-1)&amp;" business day(s) late. Send now.",IF($U960="DUE TOMORROW","Next: "&amp;$AC960&amp;IF($AB960&lt;=TODAY()," is due TODAY ("," is due next business day (")&amp;TEXT($AB960,"dd-mmm")&amp;").","Next: "&amp;$AC960&amp;" due "&amp;TEXT($AB960,"dd-mmm")&amp;" ("&amp;(NETWORKDAYS(TODAY(),$AB960,Holidays)-1)&amp;" business day(s) left).")))))</f>
        <v/>
      </c>
      <c r="W960" s="17">
        <f>IF($Z960="","",CHOOSE($Z960,"Collection Email","1st Follow-up","2nd Follow-up","Local Office","CBE","Roxanne")&amp;IF($Z960=6," - Final"," - Day "&amp;MAX(0,NETWORKDAYS($AA960,TODAY(),Holidays)-1)&amp;" of "&amp;CHOOSE($Z960,3,3,2,2,3))&amp;" | Total Day "&amp;MAX(0,NETWORKDAYS($N960,TODAY(),Holidays)-1))</f>
        <v/>
      </c>
      <c r="X960" s="18"/>
      <c r="Y960" s="18"/>
      <c r="Z960" s="17">
        <f>IF($N960="","",COUNT($N960:$S960))</f>
        <v/>
      </c>
      <c r="AA960" s="19">
        <f>IF($Z960="","",INT(INDEX($N960:$S960,$Z960)))</f>
        <v/>
      </c>
      <c r="AB960" s="19">
        <f>IF(OR($Z960="",$Z960=6),"",WORKDAY($AA960,CHOOSE($Z960,3,3,2,2,3),Holidays))</f>
        <v/>
      </c>
      <c r="AC960" s="17">
        <f>IF(OR($Z960="",$Z960=6),"",CHOOSE($Z960,"1st Email Follow-up","2nd Email Follow-up","Escalate Local Office","Escalate to CBE","Escalate to Roxanne"))</f>
        <v/>
      </c>
    </row>
    <row r="961" spans="13:29">
      <c r="M961" s="14"/>
      <c r="T961" s="16"/>
      <c r="U961" s="17">
        <f>IF(AND(COUNTA($A961:$L961)=0,$N961=""),"",IF($T961="Paid","PAID",IF($T961="Closed","CLOSED",IF($Z961="","",IF($Z961=6,"ESCALATED TO ROXANNE",IF(TODAY()&gt;$AB961,"OVERDUE",IF($AB961&lt;=WORKDAY(TODAY(),1,Holidays),"DUE TOMORROW",IF($Z961=4,"ESCALATED TO LOCAL OFFICE",IF($Z961=5,"ESCALATED TO CBE",IF($AA961=TODAY(),"EMAIL SENT","MONITORING"))))))))))</f>
        <v/>
      </c>
      <c r="V961" s="17">
        <f>IF($U961="",IF(AND(COUNTA($A961:$L961)&gt;0,$N961=""),"Awaiting Collection Email time stamp.",""),IF(OR($U961="PAID",$U961="CLOSED"),IF($U961="PAID","Account paid. Action completed.","Account closed. No further action required."),CHOOSE($Z961,"Collection Email","1st Email Follow-up","2nd Email Follow-up","Escalation to Local Office","Escalation to CBE","Escalation to Roxanne")&amp;" sent "&amp;TEXT($AA961,"dd-mmm")&amp;". "&amp;IF($Z961=6,"Final escalation completed.",IF($U961="OVERDUE","Next: "&amp;$AC961&amp;" was due "&amp;TEXT($AB961,"dd-mmm")&amp;" - "&amp;(NETWORKDAYS($AB961,TODAY(),Holidays)-1)&amp;" business day(s) late. Send now.",IF($U961="DUE TOMORROW","Next: "&amp;$AC961&amp;IF($AB961&lt;=TODAY()," is due TODAY ("," is due next business day (")&amp;TEXT($AB961,"dd-mmm")&amp;").","Next: "&amp;$AC961&amp;" due "&amp;TEXT($AB961,"dd-mmm")&amp;" ("&amp;(NETWORKDAYS(TODAY(),$AB961,Holidays)-1)&amp;" business day(s) left).")))))</f>
        <v/>
      </c>
      <c r="W961" s="17">
        <f>IF($Z961="","",CHOOSE($Z961,"Collection Email","1st Follow-up","2nd Follow-up","Local Office","CBE","Roxanne")&amp;IF($Z961=6," - Final"," - Day "&amp;MAX(0,NETWORKDAYS($AA961,TODAY(),Holidays)-1)&amp;" of "&amp;CHOOSE($Z961,3,3,2,2,3))&amp;" | Total Day "&amp;MAX(0,NETWORKDAYS($N961,TODAY(),Holidays)-1))</f>
        <v/>
      </c>
      <c r="X961" s="18"/>
      <c r="Y961" s="18"/>
      <c r="Z961" s="17">
        <f>IF($N961="","",COUNT($N961:$S961))</f>
        <v/>
      </c>
      <c r="AA961" s="19">
        <f>IF($Z961="","",INT(INDEX($N961:$S961,$Z961)))</f>
        <v/>
      </c>
      <c r="AB961" s="19">
        <f>IF(OR($Z961="",$Z961=6),"",WORKDAY($AA961,CHOOSE($Z961,3,3,2,2,3),Holidays))</f>
        <v/>
      </c>
      <c r="AC961" s="17">
        <f>IF(OR($Z961="",$Z961=6),"",CHOOSE($Z961,"1st Email Follow-up","2nd Email Follow-up","Escalate Local Office","Escalate to CBE","Escalate to Roxanne"))</f>
        <v/>
      </c>
    </row>
    <row r="962" spans="13:29">
      <c r="M962" s="14"/>
      <c r="T962" s="16"/>
      <c r="U962" s="17">
        <f>IF(AND(COUNTA($A962:$L962)=0,$N962=""),"",IF($T962="Paid","PAID",IF($T962="Closed","CLOSED",IF($Z962="","",IF($Z962=6,"ESCALATED TO ROXANNE",IF(TODAY()&gt;$AB962,"OVERDUE",IF($AB962&lt;=WORKDAY(TODAY(),1,Holidays),"DUE TOMORROW",IF($Z962=4,"ESCALATED TO LOCAL OFFICE",IF($Z962=5,"ESCALATED TO CBE",IF($AA962=TODAY(),"EMAIL SENT","MONITORING"))))))))))</f>
        <v/>
      </c>
      <c r="V962" s="17">
        <f>IF($U962="",IF(AND(COUNTA($A962:$L962)&gt;0,$N962=""),"Awaiting Collection Email time stamp.",""),IF(OR($U962="PAID",$U962="CLOSED"),IF($U962="PAID","Account paid. Action completed.","Account closed. No further action required."),CHOOSE($Z962,"Collection Email","1st Email Follow-up","2nd Email Follow-up","Escalation to Local Office","Escalation to CBE","Escalation to Roxanne")&amp;" sent "&amp;TEXT($AA962,"dd-mmm")&amp;". "&amp;IF($Z962=6,"Final escalation completed.",IF($U962="OVERDUE","Next: "&amp;$AC962&amp;" was due "&amp;TEXT($AB962,"dd-mmm")&amp;" - "&amp;(NETWORKDAYS($AB962,TODAY(),Holidays)-1)&amp;" business day(s) late. Send now.",IF($U962="DUE TOMORROW","Next: "&amp;$AC962&amp;IF($AB962&lt;=TODAY()," is due TODAY ("," is due next business day (")&amp;TEXT($AB962,"dd-mmm")&amp;").","Next: "&amp;$AC962&amp;" due "&amp;TEXT($AB962,"dd-mmm")&amp;" ("&amp;(NETWORKDAYS(TODAY(),$AB962,Holidays)-1)&amp;" business day(s) left).")))))</f>
        <v/>
      </c>
      <c r="W962" s="17">
        <f>IF($Z962="","",CHOOSE($Z962,"Collection Email","1st Follow-up","2nd Follow-up","Local Office","CBE","Roxanne")&amp;IF($Z962=6," - Final"," - Day "&amp;MAX(0,NETWORKDAYS($AA962,TODAY(),Holidays)-1)&amp;" of "&amp;CHOOSE($Z962,3,3,2,2,3))&amp;" | Total Day "&amp;MAX(0,NETWORKDAYS($N962,TODAY(),Holidays)-1))</f>
        <v/>
      </c>
      <c r="X962" s="18"/>
      <c r="Y962" s="18"/>
      <c r="Z962" s="17">
        <f>IF($N962="","",COUNT($N962:$S962))</f>
        <v/>
      </c>
      <c r="AA962" s="19">
        <f>IF($Z962="","",INT(INDEX($N962:$S962,$Z962)))</f>
        <v/>
      </c>
      <c r="AB962" s="19">
        <f>IF(OR($Z962="",$Z962=6),"",WORKDAY($AA962,CHOOSE($Z962,3,3,2,2,3),Holidays))</f>
        <v/>
      </c>
      <c r="AC962" s="17">
        <f>IF(OR($Z962="",$Z962=6),"",CHOOSE($Z962,"1st Email Follow-up","2nd Email Follow-up","Escalate Local Office","Escalate to CBE","Escalate to Roxanne"))</f>
        <v/>
      </c>
    </row>
    <row r="963" spans="13:29">
      <c r="M963" s="14"/>
      <c r="T963" s="16"/>
      <c r="U963" s="17">
        <f>IF(AND(COUNTA($A963:$L963)=0,$N963=""),"",IF($T963="Paid","PAID",IF($T963="Closed","CLOSED",IF($Z963="","",IF($Z963=6,"ESCALATED TO ROXANNE",IF(TODAY()&gt;$AB963,"OVERDUE",IF($AB963&lt;=WORKDAY(TODAY(),1,Holidays),"DUE TOMORROW",IF($Z963=4,"ESCALATED TO LOCAL OFFICE",IF($Z963=5,"ESCALATED TO CBE",IF($AA963=TODAY(),"EMAIL SENT","MONITORING"))))))))))</f>
        <v/>
      </c>
      <c r="V963" s="17">
        <f>IF($U963="",IF(AND(COUNTA($A963:$L963)&gt;0,$N963=""),"Awaiting Collection Email time stamp.",""),IF(OR($U963="PAID",$U963="CLOSED"),IF($U963="PAID","Account paid. Action completed.","Account closed. No further action required."),CHOOSE($Z963,"Collection Email","1st Email Follow-up","2nd Email Follow-up","Escalation to Local Office","Escalation to CBE","Escalation to Roxanne")&amp;" sent "&amp;TEXT($AA963,"dd-mmm")&amp;". "&amp;IF($Z963=6,"Final escalation completed.",IF($U963="OVERDUE","Next: "&amp;$AC963&amp;" was due "&amp;TEXT($AB963,"dd-mmm")&amp;" - "&amp;(NETWORKDAYS($AB963,TODAY(),Holidays)-1)&amp;" business day(s) late. Send now.",IF($U963="DUE TOMORROW","Next: "&amp;$AC963&amp;IF($AB963&lt;=TODAY()," is due TODAY ("," is due next business day (")&amp;TEXT($AB963,"dd-mmm")&amp;").","Next: "&amp;$AC963&amp;" due "&amp;TEXT($AB963,"dd-mmm")&amp;" ("&amp;(NETWORKDAYS(TODAY(),$AB963,Holidays)-1)&amp;" business day(s) left).")))))</f>
        <v/>
      </c>
      <c r="W963" s="17">
        <f>IF($Z963="","",CHOOSE($Z963,"Collection Email","1st Follow-up","2nd Follow-up","Local Office","CBE","Roxanne")&amp;IF($Z963=6," - Final"," - Day "&amp;MAX(0,NETWORKDAYS($AA963,TODAY(),Holidays)-1)&amp;" of "&amp;CHOOSE($Z963,3,3,2,2,3))&amp;" | Total Day "&amp;MAX(0,NETWORKDAYS($N963,TODAY(),Holidays)-1))</f>
        <v/>
      </c>
      <c r="X963" s="18"/>
      <c r="Y963" s="18"/>
      <c r="Z963" s="17">
        <f>IF($N963="","",COUNT($N963:$S963))</f>
        <v/>
      </c>
      <c r="AA963" s="19">
        <f>IF($Z963="","",INT(INDEX($N963:$S963,$Z963)))</f>
        <v/>
      </c>
      <c r="AB963" s="19">
        <f>IF(OR($Z963="",$Z963=6),"",WORKDAY($AA963,CHOOSE($Z963,3,3,2,2,3),Holidays))</f>
        <v/>
      </c>
      <c r="AC963" s="17">
        <f>IF(OR($Z963="",$Z963=6),"",CHOOSE($Z963,"1st Email Follow-up","2nd Email Follow-up","Escalate Local Office","Escalate to CBE","Escalate to Roxanne"))</f>
        <v/>
      </c>
    </row>
    <row r="964" spans="13:29">
      <c r="M964" s="14"/>
      <c r="T964" s="16"/>
      <c r="U964" s="17">
        <f>IF(AND(COUNTA($A964:$L964)=0,$N964=""),"",IF($T964="Paid","PAID",IF($T964="Closed","CLOSED",IF($Z964="","",IF($Z964=6,"ESCALATED TO ROXANNE",IF(TODAY()&gt;$AB964,"OVERDUE",IF($AB964&lt;=WORKDAY(TODAY(),1,Holidays),"DUE TOMORROW",IF($Z964=4,"ESCALATED TO LOCAL OFFICE",IF($Z964=5,"ESCALATED TO CBE",IF($AA964=TODAY(),"EMAIL SENT","MONITORING"))))))))))</f>
        <v/>
      </c>
      <c r="V964" s="17">
        <f>IF($U964="",IF(AND(COUNTA($A964:$L964)&gt;0,$N964=""),"Awaiting Collection Email time stamp.",""),IF(OR($U964="PAID",$U964="CLOSED"),IF($U964="PAID","Account paid. Action completed.","Account closed. No further action required."),CHOOSE($Z964,"Collection Email","1st Email Follow-up","2nd Email Follow-up","Escalation to Local Office","Escalation to CBE","Escalation to Roxanne")&amp;" sent "&amp;TEXT($AA964,"dd-mmm")&amp;". "&amp;IF($Z964=6,"Final escalation completed.",IF($U964="OVERDUE","Next: "&amp;$AC964&amp;" was due "&amp;TEXT($AB964,"dd-mmm")&amp;" - "&amp;(NETWORKDAYS($AB964,TODAY(),Holidays)-1)&amp;" business day(s) late. Send now.",IF($U964="DUE TOMORROW","Next: "&amp;$AC964&amp;IF($AB964&lt;=TODAY()," is due TODAY ("," is due next business day (")&amp;TEXT($AB964,"dd-mmm")&amp;").","Next: "&amp;$AC964&amp;" due "&amp;TEXT($AB964,"dd-mmm")&amp;" ("&amp;(NETWORKDAYS(TODAY(),$AB964,Holidays)-1)&amp;" business day(s) left).")))))</f>
        <v/>
      </c>
      <c r="W964" s="17">
        <f>IF($Z964="","",CHOOSE($Z964,"Collection Email","1st Follow-up","2nd Follow-up","Local Office","CBE","Roxanne")&amp;IF($Z964=6," - Final"," - Day "&amp;MAX(0,NETWORKDAYS($AA964,TODAY(),Holidays)-1)&amp;" of "&amp;CHOOSE($Z964,3,3,2,2,3))&amp;" | Total Day "&amp;MAX(0,NETWORKDAYS($N964,TODAY(),Holidays)-1))</f>
        <v/>
      </c>
      <c r="X964" s="18"/>
      <c r="Y964" s="18"/>
      <c r="Z964" s="17">
        <f>IF($N964="","",COUNT($N964:$S964))</f>
        <v/>
      </c>
      <c r="AA964" s="19">
        <f>IF($Z964="","",INT(INDEX($N964:$S964,$Z964)))</f>
        <v/>
      </c>
      <c r="AB964" s="19">
        <f>IF(OR($Z964="",$Z964=6),"",WORKDAY($AA964,CHOOSE($Z964,3,3,2,2,3),Holidays))</f>
        <v/>
      </c>
      <c r="AC964" s="17">
        <f>IF(OR($Z964="",$Z964=6),"",CHOOSE($Z964,"1st Email Follow-up","2nd Email Follow-up","Escalate Local Office","Escalate to CBE","Escalate to Roxanne"))</f>
        <v/>
      </c>
    </row>
    <row r="965" spans="13:29">
      <c r="M965" s="14"/>
      <c r="T965" s="16"/>
      <c r="U965" s="17">
        <f>IF(AND(COUNTA($A965:$L965)=0,$N965=""),"",IF($T965="Paid","PAID",IF($T965="Closed","CLOSED",IF($Z965="","",IF($Z965=6,"ESCALATED TO ROXANNE",IF(TODAY()&gt;$AB965,"OVERDUE",IF($AB965&lt;=WORKDAY(TODAY(),1,Holidays),"DUE TOMORROW",IF($Z965=4,"ESCALATED TO LOCAL OFFICE",IF($Z965=5,"ESCALATED TO CBE",IF($AA965=TODAY(),"EMAIL SENT","MONITORING"))))))))))</f>
        <v/>
      </c>
      <c r="V965" s="17">
        <f>IF($U965="",IF(AND(COUNTA($A965:$L965)&gt;0,$N965=""),"Awaiting Collection Email time stamp.",""),IF(OR($U965="PAID",$U965="CLOSED"),IF($U965="PAID","Account paid. Action completed.","Account closed. No further action required."),CHOOSE($Z965,"Collection Email","1st Email Follow-up","2nd Email Follow-up","Escalation to Local Office","Escalation to CBE","Escalation to Roxanne")&amp;" sent "&amp;TEXT($AA965,"dd-mmm")&amp;". "&amp;IF($Z965=6,"Final escalation completed.",IF($U965="OVERDUE","Next: "&amp;$AC965&amp;" was due "&amp;TEXT($AB965,"dd-mmm")&amp;" - "&amp;(NETWORKDAYS($AB965,TODAY(),Holidays)-1)&amp;" business day(s) late. Send now.",IF($U965="DUE TOMORROW","Next: "&amp;$AC965&amp;IF($AB965&lt;=TODAY()," is due TODAY ("," is due next business day (")&amp;TEXT($AB965,"dd-mmm")&amp;").","Next: "&amp;$AC965&amp;" due "&amp;TEXT($AB965,"dd-mmm")&amp;" ("&amp;(NETWORKDAYS(TODAY(),$AB965,Holidays)-1)&amp;" business day(s) left).")))))</f>
        <v/>
      </c>
      <c r="W965" s="17">
        <f>IF($Z965="","",CHOOSE($Z965,"Collection Email","1st Follow-up","2nd Follow-up","Local Office","CBE","Roxanne")&amp;IF($Z965=6," - Final"," - Day "&amp;MAX(0,NETWORKDAYS($AA965,TODAY(),Holidays)-1)&amp;" of "&amp;CHOOSE($Z965,3,3,2,2,3))&amp;" | Total Day "&amp;MAX(0,NETWORKDAYS($N965,TODAY(),Holidays)-1))</f>
        <v/>
      </c>
      <c r="X965" s="18"/>
      <c r="Y965" s="18"/>
      <c r="Z965" s="17">
        <f>IF($N965="","",COUNT($N965:$S965))</f>
        <v/>
      </c>
      <c r="AA965" s="19">
        <f>IF($Z965="","",INT(INDEX($N965:$S965,$Z965)))</f>
        <v/>
      </c>
      <c r="AB965" s="19">
        <f>IF(OR($Z965="",$Z965=6),"",WORKDAY($AA965,CHOOSE($Z965,3,3,2,2,3),Holidays))</f>
        <v/>
      </c>
      <c r="AC965" s="17">
        <f>IF(OR($Z965="",$Z965=6),"",CHOOSE($Z965,"1st Email Follow-up","2nd Email Follow-up","Escalate Local Office","Escalate to CBE","Escalate to Roxanne"))</f>
        <v/>
      </c>
    </row>
    <row r="966" spans="13:29">
      <c r="M966" s="14"/>
      <c r="T966" s="16"/>
      <c r="U966" s="17">
        <f>IF(AND(COUNTA($A966:$L966)=0,$N966=""),"",IF($T966="Paid","PAID",IF($T966="Closed","CLOSED",IF($Z966="","",IF($Z966=6,"ESCALATED TO ROXANNE",IF(TODAY()&gt;$AB966,"OVERDUE",IF($AB966&lt;=WORKDAY(TODAY(),1,Holidays),"DUE TOMORROW",IF($Z966=4,"ESCALATED TO LOCAL OFFICE",IF($Z966=5,"ESCALATED TO CBE",IF($AA966=TODAY(),"EMAIL SENT","MONITORING"))))))))))</f>
        <v/>
      </c>
      <c r="V966" s="17">
        <f>IF($U966="",IF(AND(COUNTA($A966:$L966)&gt;0,$N966=""),"Awaiting Collection Email time stamp.",""),IF(OR($U966="PAID",$U966="CLOSED"),IF($U966="PAID","Account paid. Action completed.","Account closed. No further action required."),CHOOSE($Z966,"Collection Email","1st Email Follow-up","2nd Email Follow-up","Escalation to Local Office","Escalation to CBE","Escalation to Roxanne")&amp;" sent "&amp;TEXT($AA966,"dd-mmm")&amp;". "&amp;IF($Z966=6,"Final escalation completed.",IF($U966="OVERDUE","Next: "&amp;$AC966&amp;" was due "&amp;TEXT($AB966,"dd-mmm")&amp;" - "&amp;(NETWORKDAYS($AB966,TODAY(),Holidays)-1)&amp;" business day(s) late. Send now.",IF($U966="DUE TOMORROW","Next: "&amp;$AC966&amp;IF($AB966&lt;=TODAY()," is due TODAY ("," is due next business day (")&amp;TEXT($AB966,"dd-mmm")&amp;").","Next: "&amp;$AC966&amp;" due "&amp;TEXT($AB966,"dd-mmm")&amp;" ("&amp;(NETWORKDAYS(TODAY(),$AB966,Holidays)-1)&amp;" business day(s) left).")))))</f>
        <v/>
      </c>
      <c r="W966" s="17">
        <f>IF($Z966="","",CHOOSE($Z966,"Collection Email","1st Follow-up","2nd Follow-up","Local Office","CBE","Roxanne")&amp;IF($Z966=6," - Final"," - Day "&amp;MAX(0,NETWORKDAYS($AA966,TODAY(),Holidays)-1)&amp;" of "&amp;CHOOSE($Z966,3,3,2,2,3))&amp;" | Total Day "&amp;MAX(0,NETWORKDAYS($N966,TODAY(),Holidays)-1))</f>
        <v/>
      </c>
      <c r="X966" s="18"/>
      <c r="Y966" s="18"/>
      <c r="Z966" s="17">
        <f>IF($N966="","",COUNT($N966:$S966))</f>
        <v/>
      </c>
      <c r="AA966" s="19">
        <f>IF($Z966="","",INT(INDEX($N966:$S966,$Z966)))</f>
        <v/>
      </c>
      <c r="AB966" s="19">
        <f>IF(OR($Z966="",$Z966=6),"",WORKDAY($AA966,CHOOSE($Z966,3,3,2,2,3),Holidays))</f>
        <v/>
      </c>
      <c r="AC966" s="17">
        <f>IF(OR($Z966="",$Z966=6),"",CHOOSE($Z966,"1st Email Follow-up","2nd Email Follow-up","Escalate Local Office","Escalate to CBE","Escalate to Roxanne"))</f>
        <v/>
      </c>
    </row>
    <row r="967" spans="13:29">
      <c r="M967" s="14"/>
      <c r="T967" s="16"/>
      <c r="U967" s="17">
        <f>IF(AND(COUNTA($A967:$L967)=0,$N967=""),"",IF($T967="Paid","PAID",IF($T967="Closed","CLOSED",IF($Z967="","",IF($Z967=6,"ESCALATED TO ROXANNE",IF(TODAY()&gt;$AB967,"OVERDUE",IF($AB967&lt;=WORKDAY(TODAY(),1,Holidays),"DUE TOMORROW",IF($Z967=4,"ESCALATED TO LOCAL OFFICE",IF($Z967=5,"ESCALATED TO CBE",IF($AA967=TODAY(),"EMAIL SENT","MONITORING"))))))))))</f>
        <v/>
      </c>
      <c r="V967" s="17">
        <f>IF($U967="",IF(AND(COUNTA($A967:$L967)&gt;0,$N967=""),"Awaiting Collection Email time stamp.",""),IF(OR($U967="PAID",$U967="CLOSED"),IF($U967="PAID","Account paid. Action completed.","Account closed. No further action required."),CHOOSE($Z967,"Collection Email","1st Email Follow-up","2nd Email Follow-up","Escalation to Local Office","Escalation to CBE","Escalation to Roxanne")&amp;" sent "&amp;TEXT($AA967,"dd-mmm")&amp;". "&amp;IF($Z967=6,"Final escalation completed.",IF($U967="OVERDUE","Next: "&amp;$AC967&amp;" was due "&amp;TEXT($AB967,"dd-mmm")&amp;" - "&amp;(NETWORKDAYS($AB967,TODAY(),Holidays)-1)&amp;" business day(s) late. Send now.",IF($U967="DUE TOMORROW","Next: "&amp;$AC967&amp;IF($AB967&lt;=TODAY()," is due TODAY ("," is due next business day (")&amp;TEXT($AB967,"dd-mmm")&amp;").","Next: "&amp;$AC967&amp;" due "&amp;TEXT($AB967,"dd-mmm")&amp;" ("&amp;(NETWORKDAYS(TODAY(),$AB967,Holidays)-1)&amp;" business day(s) left).")))))</f>
        <v/>
      </c>
      <c r="W967" s="17">
        <f>IF($Z967="","",CHOOSE($Z967,"Collection Email","1st Follow-up","2nd Follow-up","Local Office","CBE","Roxanne")&amp;IF($Z967=6," - Final"," - Day "&amp;MAX(0,NETWORKDAYS($AA967,TODAY(),Holidays)-1)&amp;" of "&amp;CHOOSE($Z967,3,3,2,2,3))&amp;" | Total Day "&amp;MAX(0,NETWORKDAYS($N967,TODAY(),Holidays)-1))</f>
        <v/>
      </c>
      <c r="X967" s="18"/>
      <c r="Y967" s="18"/>
      <c r="Z967" s="17">
        <f>IF($N967="","",COUNT($N967:$S967))</f>
        <v/>
      </c>
      <c r="AA967" s="19">
        <f>IF($Z967="","",INT(INDEX($N967:$S967,$Z967)))</f>
        <v/>
      </c>
      <c r="AB967" s="19">
        <f>IF(OR($Z967="",$Z967=6),"",WORKDAY($AA967,CHOOSE($Z967,3,3,2,2,3),Holidays))</f>
        <v/>
      </c>
      <c r="AC967" s="17">
        <f>IF(OR($Z967="",$Z967=6),"",CHOOSE($Z967,"1st Email Follow-up","2nd Email Follow-up","Escalate Local Office","Escalate to CBE","Escalate to Roxanne"))</f>
        <v/>
      </c>
    </row>
    <row r="968" spans="13:29">
      <c r="M968" s="14"/>
      <c r="T968" s="16"/>
      <c r="U968" s="17">
        <f>IF(AND(COUNTA($A968:$L968)=0,$N968=""),"",IF($T968="Paid","PAID",IF($T968="Closed","CLOSED",IF($Z968="","",IF($Z968=6,"ESCALATED TO ROXANNE",IF(TODAY()&gt;$AB968,"OVERDUE",IF($AB968&lt;=WORKDAY(TODAY(),1,Holidays),"DUE TOMORROW",IF($Z968=4,"ESCALATED TO LOCAL OFFICE",IF($Z968=5,"ESCALATED TO CBE",IF($AA968=TODAY(),"EMAIL SENT","MONITORING"))))))))))</f>
        <v/>
      </c>
      <c r="V968" s="17">
        <f>IF($U968="",IF(AND(COUNTA($A968:$L968)&gt;0,$N968=""),"Awaiting Collection Email time stamp.",""),IF(OR($U968="PAID",$U968="CLOSED"),IF($U968="PAID","Account paid. Action completed.","Account closed. No further action required."),CHOOSE($Z968,"Collection Email","1st Email Follow-up","2nd Email Follow-up","Escalation to Local Office","Escalation to CBE","Escalation to Roxanne")&amp;" sent "&amp;TEXT($AA968,"dd-mmm")&amp;". "&amp;IF($Z968=6,"Final escalation completed.",IF($U968="OVERDUE","Next: "&amp;$AC968&amp;" was due "&amp;TEXT($AB968,"dd-mmm")&amp;" - "&amp;(NETWORKDAYS($AB968,TODAY(),Holidays)-1)&amp;" business day(s) late. Send now.",IF($U968="DUE TOMORROW","Next: "&amp;$AC968&amp;IF($AB968&lt;=TODAY()," is due TODAY ("," is due next business day (")&amp;TEXT($AB968,"dd-mmm")&amp;").","Next: "&amp;$AC968&amp;" due "&amp;TEXT($AB968,"dd-mmm")&amp;" ("&amp;(NETWORKDAYS(TODAY(),$AB968,Holidays)-1)&amp;" business day(s) left).")))))</f>
        <v/>
      </c>
      <c r="W968" s="17">
        <f>IF($Z968="","",CHOOSE($Z968,"Collection Email","1st Follow-up","2nd Follow-up","Local Office","CBE","Roxanne")&amp;IF($Z968=6," - Final"," - Day "&amp;MAX(0,NETWORKDAYS($AA968,TODAY(),Holidays)-1)&amp;" of "&amp;CHOOSE($Z968,3,3,2,2,3))&amp;" | Total Day "&amp;MAX(0,NETWORKDAYS($N968,TODAY(),Holidays)-1))</f>
        <v/>
      </c>
      <c r="X968" s="18"/>
      <c r="Y968" s="18"/>
      <c r="Z968" s="17">
        <f>IF($N968="","",COUNT($N968:$S968))</f>
        <v/>
      </c>
      <c r="AA968" s="19">
        <f>IF($Z968="","",INT(INDEX($N968:$S968,$Z968)))</f>
        <v/>
      </c>
      <c r="AB968" s="19">
        <f>IF(OR($Z968="",$Z968=6),"",WORKDAY($AA968,CHOOSE($Z968,3,3,2,2,3),Holidays))</f>
        <v/>
      </c>
      <c r="AC968" s="17">
        <f>IF(OR($Z968="",$Z968=6),"",CHOOSE($Z968,"1st Email Follow-up","2nd Email Follow-up","Escalate Local Office","Escalate to CBE","Escalate to Roxanne"))</f>
        <v/>
      </c>
    </row>
    <row r="969" spans="13:29">
      <c r="M969" s="14"/>
      <c r="T969" s="16"/>
      <c r="U969" s="17">
        <f>IF(AND(COUNTA($A969:$L969)=0,$N969=""),"",IF($T969="Paid","PAID",IF($T969="Closed","CLOSED",IF($Z969="","",IF($Z969=6,"ESCALATED TO ROXANNE",IF(TODAY()&gt;$AB969,"OVERDUE",IF($AB969&lt;=WORKDAY(TODAY(),1,Holidays),"DUE TOMORROW",IF($Z969=4,"ESCALATED TO LOCAL OFFICE",IF($Z969=5,"ESCALATED TO CBE",IF($AA969=TODAY(),"EMAIL SENT","MONITORING"))))))))))</f>
        <v/>
      </c>
      <c r="V969" s="17">
        <f>IF($U969="",IF(AND(COUNTA($A969:$L969)&gt;0,$N969=""),"Awaiting Collection Email time stamp.",""),IF(OR($U969="PAID",$U969="CLOSED"),IF($U969="PAID","Account paid. Action completed.","Account closed. No further action required."),CHOOSE($Z969,"Collection Email","1st Email Follow-up","2nd Email Follow-up","Escalation to Local Office","Escalation to CBE","Escalation to Roxanne")&amp;" sent "&amp;TEXT($AA969,"dd-mmm")&amp;". "&amp;IF($Z969=6,"Final escalation completed.",IF($U969="OVERDUE","Next: "&amp;$AC969&amp;" was due "&amp;TEXT($AB969,"dd-mmm")&amp;" - "&amp;(NETWORKDAYS($AB969,TODAY(),Holidays)-1)&amp;" business day(s) late. Send now.",IF($U969="DUE TOMORROW","Next: "&amp;$AC969&amp;IF($AB969&lt;=TODAY()," is due TODAY ("," is due next business day (")&amp;TEXT($AB969,"dd-mmm")&amp;").","Next: "&amp;$AC969&amp;" due "&amp;TEXT($AB969,"dd-mmm")&amp;" ("&amp;(NETWORKDAYS(TODAY(),$AB969,Holidays)-1)&amp;" business day(s) left).")))))</f>
        <v/>
      </c>
      <c r="W969" s="17">
        <f>IF($Z969="","",CHOOSE($Z969,"Collection Email","1st Follow-up","2nd Follow-up","Local Office","CBE","Roxanne")&amp;IF($Z969=6," - Final"," - Day "&amp;MAX(0,NETWORKDAYS($AA969,TODAY(),Holidays)-1)&amp;" of "&amp;CHOOSE($Z969,3,3,2,2,3))&amp;" | Total Day "&amp;MAX(0,NETWORKDAYS($N969,TODAY(),Holidays)-1))</f>
        <v/>
      </c>
      <c r="X969" s="18"/>
      <c r="Y969" s="18"/>
      <c r="Z969" s="17">
        <f>IF($N969="","",COUNT($N969:$S969))</f>
        <v/>
      </c>
      <c r="AA969" s="19">
        <f>IF($Z969="","",INT(INDEX($N969:$S969,$Z969)))</f>
        <v/>
      </c>
      <c r="AB969" s="19">
        <f>IF(OR($Z969="",$Z969=6),"",WORKDAY($AA969,CHOOSE($Z969,3,3,2,2,3),Holidays))</f>
        <v/>
      </c>
      <c r="AC969" s="17">
        <f>IF(OR($Z969="",$Z969=6),"",CHOOSE($Z969,"1st Email Follow-up","2nd Email Follow-up","Escalate Local Office","Escalate to CBE","Escalate to Roxanne"))</f>
        <v/>
      </c>
    </row>
    <row r="970" spans="13:29">
      <c r="M970" s="14"/>
      <c r="T970" s="16"/>
      <c r="U970" s="17">
        <f>IF(AND(COUNTA($A970:$L970)=0,$N970=""),"",IF($T970="Paid","PAID",IF($T970="Closed","CLOSED",IF($Z970="","",IF($Z970=6,"ESCALATED TO ROXANNE",IF(TODAY()&gt;$AB970,"OVERDUE",IF($AB970&lt;=WORKDAY(TODAY(),1,Holidays),"DUE TOMORROW",IF($Z970=4,"ESCALATED TO LOCAL OFFICE",IF($Z970=5,"ESCALATED TO CBE",IF($AA970=TODAY(),"EMAIL SENT","MONITORING"))))))))))</f>
        <v/>
      </c>
      <c r="V970" s="17">
        <f>IF($U970="",IF(AND(COUNTA($A970:$L970)&gt;0,$N970=""),"Awaiting Collection Email time stamp.",""),IF(OR($U970="PAID",$U970="CLOSED"),IF($U970="PAID","Account paid. Action completed.","Account closed. No further action required."),CHOOSE($Z970,"Collection Email","1st Email Follow-up","2nd Email Follow-up","Escalation to Local Office","Escalation to CBE","Escalation to Roxanne")&amp;" sent "&amp;TEXT($AA970,"dd-mmm")&amp;". "&amp;IF($Z970=6,"Final escalation completed.",IF($U970="OVERDUE","Next: "&amp;$AC970&amp;" was due "&amp;TEXT($AB970,"dd-mmm")&amp;" - "&amp;(NETWORKDAYS($AB970,TODAY(),Holidays)-1)&amp;" business day(s) late. Send now.",IF($U970="DUE TOMORROW","Next: "&amp;$AC970&amp;IF($AB970&lt;=TODAY()," is due TODAY ("," is due next business day (")&amp;TEXT($AB970,"dd-mmm")&amp;").","Next: "&amp;$AC970&amp;" due "&amp;TEXT($AB970,"dd-mmm")&amp;" ("&amp;(NETWORKDAYS(TODAY(),$AB970,Holidays)-1)&amp;" business day(s) left).")))))</f>
        <v/>
      </c>
      <c r="W970" s="17">
        <f>IF($Z970="","",CHOOSE($Z970,"Collection Email","1st Follow-up","2nd Follow-up","Local Office","CBE","Roxanne")&amp;IF($Z970=6," - Final"," - Day "&amp;MAX(0,NETWORKDAYS($AA970,TODAY(),Holidays)-1)&amp;" of "&amp;CHOOSE($Z970,3,3,2,2,3))&amp;" | Total Day "&amp;MAX(0,NETWORKDAYS($N970,TODAY(),Holidays)-1))</f>
        <v/>
      </c>
      <c r="X970" s="18"/>
      <c r="Y970" s="18"/>
      <c r="Z970" s="17">
        <f>IF($N970="","",COUNT($N970:$S970))</f>
        <v/>
      </c>
      <c r="AA970" s="19">
        <f>IF($Z970="","",INT(INDEX($N970:$S970,$Z970)))</f>
        <v/>
      </c>
      <c r="AB970" s="19">
        <f>IF(OR($Z970="",$Z970=6),"",WORKDAY($AA970,CHOOSE($Z970,3,3,2,2,3),Holidays))</f>
        <v/>
      </c>
      <c r="AC970" s="17">
        <f>IF(OR($Z970="",$Z970=6),"",CHOOSE($Z970,"1st Email Follow-up","2nd Email Follow-up","Escalate Local Office","Escalate to CBE","Escalate to Roxanne"))</f>
        <v/>
      </c>
    </row>
    <row r="971" spans="13:29">
      <c r="M971" s="14"/>
      <c r="T971" s="16"/>
      <c r="U971" s="17">
        <f>IF(AND(COUNTA($A971:$L971)=0,$N971=""),"",IF($T971="Paid","PAID",IF($T971="Closed","CLOSED",IF($Z971="","",IF($Z971=6,"ESCALATED TO ROXANNE",IF(TODAY()&gt;$AB971,"OVERDUE",IF($AB971&lt;=WORKDAY(TODAY(),1,Holidays),"DUE TOMORROW",IF($Z971=4,"ESCALATED TO LOCAL OFFICE",IF($Z971=5,"ESCALATED TO CBE",IF($AA971=TODAY(),"EMAIL SENT","MONITORING"))))))))))</f>
        <v/>
      </c>
      <c r="V971" s="17">
        <f>IF($U971="",IF(AND(COUNTA($A971:$L971)&gt;0,$N971=""),"Awaiting Collection Email time stamp.",""),IF(OR($U971="PAID",$U971="CLOSED"),IF($U971="PAID","Account paid. Action completed.","Account closed. No further action required."),CHOOSE($Z971,"Collection Email","1st Email Follow-up","2nd Email Follow-up","Escalation to Local Office","Escalation to CBE","Escalation to Roxanne")&amp;" sent "&amp;TEXT($AA971,"dd-mmm")&amp;". "&amp;IF($Z971=6,"Final escalation completed.",IF($U971="OVERDUE","Next: "&amp;$AC971&amp;" was due "&amp;TEXT($AB971,"dd-mmm")&amp;" - "&amp;(NETWORKDAYS($AB971,TODAY(),Holidays)-1)&amp;" business day(s) late. Send now.",IF($U971="DUE TOMORROW","Next: "&amp;$AC971&amp;IF($AB971&lt;=TODAY()," is due TODAY ("," is due next business day (")&amp;TEXT($AB971,"dd-mmm")&amp;").","Next: "&amp;$AC971&amp;" due "&amp;TEXT($AB971,"dd-mmm")&amp;" ("&amp;(NETWORKDAYS(TODAY(),$AB971,Holidays)-1)&amp;" business day(s) left).")))))</f>
        <v/>
      </c>
      <c r="W971" s="17">
        <f>IF($Z971="","",CHOOSE($Z971,"Collection Email","1st Follow-up","2nd Follow-up","Local Office","CBE","Roxanne")&amp;IF($Z971=6," - Final"," - Day "&amp;MAX(0,NETWORKDAYS($AA971,TODAY(),Holidays)-1)&amp;" of "&amp;CHOOSE($Z971,3,3,2,2,3))&amp;" | Total Day "&amp;MAX(0,NETWORKDAYS($N971,TODAY(),Holidays)-1))</f>
        <v/>
      </c>
      <c r="X971" s="18"/>
      <c r="Y971" s="18"/>
      <c r="Z971" s="17">
        <f>IF($N971="","",COUNT($N971:$S971))</f>
        <v/>
      </c>
      <c r="AA971" s="19">
        <f>IF($Z971="","",INT(INDEX($N971:$S971,$Z971)))</f>
        <v/>
      </c>
      <c r="AB971" s="19">
        <f>IF(OR($Z971="",$Z971=6),"",WORKDAY($AA971,CHOOSE($Z971,3,3,2,2,3),Holidays))</f>
        <v/>
      </c>
      <c r="AC971" s="17">
        <f>IF(OR($Z971="",$Z971=6),"",CHOOSE($Z971,"1st Email Follow-up","2nd Email Follow-up","Escalate Local Office","Escalate to CBE","Escalate to Roxanne"))</f>
        <v/>
      </c>
    </row>
    <row r="972" spans="13:29">
      <c r="M972" s="14"/>
      <c r="T972" s="16"/>
      <c r="U972" s="17">
        <f>IF(AND(COUNTA($A972:$L972)=0,$N972=""),"",IF($T972="Paid","PAID",IF($T972="Closed","CLOSED",IF($Z972="","",IF($Z972=6,"ESCALATED TO ROXANNE",IF(TODAY()&gt;$AB972,"OVERDUE",IF($AB972&lt;=WORKDAY(TODAY(),1,Holidays),"DUE TOMORROW",IF($Z972=4,"ESCALATED TO LOCAL OFFICE",IF($Z972=5,"ESCALATED TO CBE",IF($AA972=TODAY(),"EMAIL SENT","MONITORING"))))))))))</f>
        <v/>
      </c>
      <c r="V972" s="17">
        <f>IF($U972="",IF(AND(COUNTA($A972:$L972)&gt;0,$N972=""),"Awaiting Collection Email time stamp.",""),IF(OR($U972="PAID",$U972="CLOSED"),IF($U972="PAID","Account paid. Action completed.","Account closed. No further action required."),CHOOSE($Z972,"Collection Email","1st Email Follow-up","2nd Email Follow-up","Escalation to Local Office","Escalation to CBE","Escalation to Roxanne")&amp;" sent "&amp;TEXT($AA972,"dd-mmm")&amp;". "&amp;IF($Z972=6,"Final escalation completed.",IF($U972="OVERDUE","Next: "&amp;$AC972&amp;" was due "&amp;TEXT($AB972,"dd-mmm")&amp;" - "&amp;(NETWORKDAYS($AB972,TODAY(),Holidays)-1)&amp;" business day(s) late. Send now.",IF($U972="DUE TOMORROW","Next: "&amp;$AC972&amp;IF($AB972&lt;=TODAY()," is due TODAY ("," is due next business day (")&amp;TEXT($AB972,"dd-mmm")&amp;").","Next: "&amp;$AC972&amp;" due "&amp;TEXT($AB972,"dd-mmm")&amp;" ("&amp;(NETWORKDAYS(TODAY(),$AB972,Holidays)-1)&amp;" business day(s) left).")))))</f>
        <v/>
      </c>
      <c r="W972" s="17">
        <f>IF($Z972="","",CHOOSE($Z972,"Collection Email","1st Follow-up","2nd Follow-up","Local Office","CBE","Roxanne")&amp;IF($Z972=6," - Final"," - Day "&amp;MAX(0,NETWORKDAYS($AA972,TODAY(),Holidays)-1)&amp;" of "&amp;CHOOSE($Z972,3,3,2,2,3))&amp;" | Total Day "&amp;MAX(0,NETWORKDAYS($N972,TODAY(),Holidays)-1))</f>
        <v/>
      </c>
      <c r="X972" s="18"/>
      <c r="Y972" s="18"/>
      <c r="Z972" s="17">
        <f>IF($N972="","",COUNT($N972:$S972))</f>
        <v/>
      </c>
      <c r="AA972" s="19">
        <f>IF($Z972="","",INT(INDEX($N972:$S972,$Z972)))</f>
        <v/>
      </c>
      <c r="AB972" s="19">
        <f>IF(OR($Z972="",$Z972=6),"",WORKDAY($AA972,CHOOSE($Z972,3,3,2,2,3),Holidays))</f>
        <v/>
      </c>
      <c r="AC972" s="17">
        <f>IF(OR($Z972="",$Z972=6),"",CHOOSE($Z972,"1st Email Follow-up","2nd Email Follow-up","Escalate Local Office","Escalate to CBE","Escalate to Roxanne"))</f>
        <v/>
      </c>
    </row>
    <row r="973" spans="13:29">
      <c r="M973" s="14"/>
      <c r="T973" s="16"/>
      <c r="U973" s="17">
        <f>IF(AND(COUNTA($A973:$L973)=0,$N973=""),"",IF($T973="Paid","PAID",IF($T973="Closed","CLOSED",IF($Z973="","",IF($Z973=6,"ESCALATED TO ROXANNE",IF(TODAY()&gt;$AB973,"OVERDUE",IF($AB973&lt;=WORKDAY(TODAY(),1,Holidays),"DUE TOMORROW",IF($Z973=4,"ESCALATED TO LOCAL OFFICE",IF($Z973=5,"ESCALATED TO CBE",IF($AA973=TODAY(),"EMAIL SENT","MONITORING"))))))))))</f>
        <v/>
      </c>
      <c r="V973" s="17">
        <f>IF($U973="",IF(AND(COUNTA($A973:$L973)&gt;0,$N973=""),"Awaiting Collection Email time stamp.",""),IF(OR($U973="PAID",$U973="CLOSED"),IF($U973="PAID","Account paid. Action completed.","Account closed. No further action required."),CHOOSE($Z973,"Collection Email","1st Email Follow-up","2nd Email Follow-up","Escalation to Local Office","Escalation to CBE","Escalation to Roxanne")&amp;" sent "&amp;TEXT($AA973,"dd-mmm")&amp;". "&amp;IF($Z973=6,"Final escalation completed.",IF($U973="OVERDUE","Next: "&amp;$AC973&amp;" was due "&amp;TEXT($AB973,"dd-mmm")&amp;" - "&amp;(NETWORKDAYS($AB973,TODAY(),Holidays)-1)&amp;" business day(s) late. Send now.",IF($U973="DUE TOMORROW","Next: "&amp;$AC973&amp;IF($AB973&lt;=TODAY()," is due TODAY ("," is due next business day (")&amp;TEXT($AB973,"dd-mmm")&amp;").","Next: "&amp;$AC973&amp;" due "&amp;TEXT($AB973,"dd-mmm")&amp;" ("&amp;(NETWORKDAYS(TODAY(),$AB973,Holidays)-1)&amp;" business day(s) left).")))))</f>
        <v/>
      </c>
      <c r="W973" s="17">
        <f>IF($Z973="","",CHOOSE($Z973,"Collection Email","1st Follow-up","2nd Follow-up","Local Office","CBE","Roxanne")&amp;IF($Z973=6," - Final"," - Day "&amp;MAX(0,NETWORKDAYS($AA973,TODAY(),Holidays)-1)&amp;" of "&amp;CHOOSE($Z973,3,3,2,2,3))&amp;" | Total Day "&amp;MAX(0,NETWORKDAYS($N973,TODAY(),Holidays)-1))</f>
        <v/>
      </c>
      <c r="X973" s="18"/>
      <c r="Y973" s="18"/>
      <c r="Z973" s="17">
        <f>IF($N973="","",COUNT($N973:$S973))</f>
        <v/>
      </c>
      <c r="AA973" s="19">
        <f>IF($Z973="","",INT(INDEX($N973:$S973,$Z973)))</f>
        <v/>
      </c>
      <c r="AB973" s="19">
        <f>IF(OR($Z973="",$Z973=6),"",WORKDAY($AA973,CHOOSE($Z973,3,3,2,2,3),Holidays))</f>
        <v/>
      </c>
      <c r="AC973" s="17">
        <f>IF(OR($Z973="",$Z973=6),"",CHOOSE($Z973,"1st Email Follow-up","2nd Email Follow-up","Escalate Local Office","Escalate to CBE","Escalate to Roxanne"))</f>
        <v/>
      </c>
    </row>
    <row r="974" spans="13:29">
      <c r="M974" s="14"/>
      <c r="T974" s="16"/>
      <c r="U974" s="17">
        <f>IF(AND(COUNTA($A974:$L974)=0,$N974=""),"",IF($T974="Paid","PAID",IF($T974="Closed","CLOSED",IF($Z974="","",IF($Z974=6,"ESCALATED TO ROXANNE",IF(TODAY()&gt;$AB974,"OVERDUE",IF($AB974&lt;=WORKDAY(TODAY(),1,Holidays),"DUE TOMORROW",IF($Z974=4,"ESCALATED TO LOCAL OFFICE",IF($Z974=5,"ESCALATED TO CBE",IF($AA974=TODAY(),"EMAIL SENT","MONITORING"))))))))))</f>
        <v/>
      </c>
      <c r="V974" s="17">
        <f>IF($U974="",IF(AND(COUNTA($A974:$L974)&gt;0,$N974=""),"Awaiting Collection Email time stamp.",""),IF(OR($U974="PAID",$U974="CLOSED"),IF($U974="PAID","Account paid. Action completed.","Account closed. No further action required."),CHOOSE($Z974,"Collection Email","1st Email Follow-up","2nd Email Follow-up","Escalation to Local Office","Escalation to CBE","Escalation to Roxanne")&amp;" sent "&amp;TEXT($AA974,"dd-mmm")&amp;". "&amp;IF($Z974=6,"Final escalation completed.",IF($U974="OVERDUE","Next: "&amp;$AC974&amp;" was due "&amp;TEXT($AB974,"dd-mmm")&amp;" - "&amp;(NETWORKDAYS($AB974,TODAY(),Holidays)-1)&amp;" business day(s) late. Send now.",IF($U974="DUE TOMORROW","Next: "&amp;$AC974&amp;IF($AB974&lt;=TODAY()," is due TODAY ("," is due next business day (")&amp;TEXT($AB974,"dd-mmm")&amp;").","Next: "&amp;$AC974&amp;" due "&amp;TEXT($AB974,"dd-mmm")&amp;" ("&amp;(NETWORKDAYS(TODAY(),$AB974,Holidays)-1)&amp;" business day(s) left).")))))</f>
        <v/>
      </c>
      <c r="W974" s="17">
        <f>IF($Z974="","",CHOOSE($Z974,"Collection Email","1st Follow-up","2nd Follow-up","Local Office","CBE","Roxanne")&amp;IF($Z974=6," - Final"," - Day "&amp;MAX(0,NETWORKDAYS($AA974,TODAY(),Holidays)-1)&amp;" of "&amp;CHOOSE($Z974,3,3,2,2,3))&amp;" | Total Day "&amp;MAX(0,NETWORKDAYS($N974,TODAY(),Holidays)-1))</f>
        <v/>
      </c>
      <c r="X974" s="18"/>
      <c r="Y974" s="18"/>
      <c r="Z974" s="17">
        <f>IF($N974="","",COUNT($N974:$S974))</f>
        <v/>
      </c>
      <c r="AA974" s="19">
        <f>IF($Z974="","",INT(INDEX($N974:$S974,$Z974)))</f>
        <v/>
      </c>
      <c r="AB974" s="19">
        <f>IF(OR($Z974="",$Z974=6),"",WORKDAY($AA974,CHOOSE($Z974,3,3,2,2,3),Holidays))</f>
        <v/>
      </c>
      <c r="AC974" s="17">
        <f>IF(OR($Z974="",$Z974=6),"",CHOOSE($Z974,"1st Email Follow-up","2nd Email Follow-up","Escalate Local Office","Escalate to CBE","Escalate to Roxanne"))</f>
        <v/>
      </c>
    </row>
    <row r="975" spans="13:29">
      <c r="M975" s="14"/>
      <c r="T975" s="16"/>
      <c r="U975" s="17">
        <f>IF(AND(COUNTA($A975:$L975)=0,$N975=""),"",IF($T975="Paid","PAID",IF($T975="Closed","CLOSED",IF($Z975="","",IF($Z975=6,"ESCALATED TO ROXANNE",IF(TODAY()&gt;$AB975,"OVERDUE",IF($AB975&lt;=WORKDAY(TODAY(),1,Holidays),"DUE TOMORROW",IF($Z975=4,"ESCALATED TO LOCAL OFFICE",IF($Z975=5,"ESCALATED TO CBE",IF($AA975=TODAY(),"EMAIL SENT","MONITORING"))))))))))</f>
        <v/>
      </c>
      <c r="V975" s="17">
        <f>IF($U975="",IF(AND(COUNTA($A975:$L975)&gt;0,$N975=""),"Awaiting Collection Email time stamp.",""),IF(OR($U975="PAID",$U975="CLOSED"),IF($U975="PAID","Account paid. Action completed.","Account closed. No further action required."),CHOOSE($Z975,"Collection Email","1st Email Follow-up","2nd Email Follow-up","Escalation to Local Office","Escalation to CBE","Escalation to Roxanne")&amp;" sent "&amp;TEXT($AA975,"dd-mmm")&amp;". "&amp;IF($Z975=6,"Final escalation completed.",IF($U975="OVERDUE","Next: "&amp;$AC975&amp;" was due "&amp;TEXT($AB975,"dd-mmm")&amp;" - "&amp;(NETWORKDAYS($AB975,TODAY(),Holidays)-1)&amp;" business day(s) late. Send now.",IF($U975="DUE TOMORROW","Next: "&amp;$AC975&amp;IF($AB975&lt;=TODAY()," is due TODAY ("," is due next business day (")&amp;TEXT($AB975,"dd-mmm")&amp;").","Next: "&amp;$AC975&amp;" due "&amp;TEXT($AB975,"dd-mmm")&amp;" ("&amp;(NETWORKDAYS(TODAY(),$AB975,Holidays)-1)&amp;" business day(s) left).")))))</f>
        <v/>
      </c>
      <c r="W975" s="17">
        <f>IF($Z975="","",CHOOSE($Z975,"Collection Email","1st Follow-up","2nd Follow-up","Local Office","CBE","Roxanne")&amp;IF($Z975=6," - Final"," - Day "&amp;MAX(0,NETWORKDAYS($AA975,TODAY(),Holidays)-1)&amp;" of "&amp;CHOOSE($Z975,3,3,2,2,3))&amp;" | Total Day "&amp;MAX(0,NETWORKDAYS($N975,TODAY(),Holidays)-1))</f>
        <v/>
      </c>
      <c r="X975" s="18"/>
      <c r="Y975" s="18"/>
      <c r="Z975" s="17">
        <f>IF($N975="","",COUNT($N975:$S975))</f>
        <v/>
      </c>
      <c r="AA975" s="19">
        <f>IF($Z975="","",INT(INDEX($N975:$S975,$Z975)))</f>
        <v/>
      </c>
      <c r="AB975" s="19">
        <f>IF(OR($Z975="",$Z975=6),"",WORKDAY($AA975,CHOOSE($Z975,3,3,2,2,3),Holidays))</f>
        <v/>
      </c>
      <c r="AC975" s="17">
        <f>IF(OR($Z975="",$Z975=6),"",CHOOSE($Z975,"1st Email Follow-up","2nd Email Follow-up","Escalate Local Office","Escalate to CBE","Escalate to Roxanne"))</f>
        <v/>
      </c>
    </row>
    <row r="976" spans="13:29">
      <c r="M976" s="14"/>
      <c r="T976" s="16"/>
      <c r="U976" s="17">
        <f>IF(AND(COUNTA($A976:$L976)=0,$N976=""),"",IF($T976="Paid","PAID",IF($T976="Closed","CLOSED",IF($Z976="","",IF($Z976=6,"ESCALATED TO ROXANNE",IF(TODAY()&gt;$AB976,"OVERDUE",IF($AB976&lt;=WORKDAY(TODAY(),1,Holidays),"DUE TOMORROW",IF($Z976=4,"ESCALATED TO LOCAL OFFICE",IF($Z976=5,"ESCALATED TO CBE",IF($AA976=TODAY(),"EMAIL SENT","MONITORING"))))))))))</f>
        <v/>
      </c>
      <c r="V976" s="17">
        <f>IF($U976="",IF(AND(COUNTA($A976:$L976)&gt;0,$N976=""),"Awaiting Collection Email time stamp.",""),IF(OR($U976="PAID",$U976="CLOSED"),IF($U976="PAID","Account paid. Action completed.","Account closed. No further action required."),CHOOSE($Z976,"Collection Email","1st Email Follow-up","2nd Email Follow-up","Escalation to Local Office","Escalation to CBE","Escalation to Roxanne")&amp;" sent "&amp;TEXT($AA976,"dd-mmm")&amp;". "&amp;IF($Z976=6,"Final escalation completed.",IF($U976="OVERDUE","Next: "&amp;$AC976&amp;" was due "&amp;TEXT($AB976,"dd-mmm")&amp;" - "&amp;(NETWORKDAYS($AB976,TODAY(),Holidays)-1)&amp;" business day(s) late. Send now.",IF($U976="DUE TOMORROW","Next: "&amp;$AC976&amp;IF($AB976&lt;=TODAY()," is due TODAY ("," is due next business day (")&amp;TEXT($AB976,"dd-mmm")&amp;").","Next: "&amp;$AC976&amp;" due "&amp;TEXT($AB976,"dd-mmm")&amp;" ("&amp;(NETWORKDAYS(TODAY(),$AB976,Holidays)-1)&amp;" business day(s) left).")))))</f>
        <v/>
      </c>
      <c r="W976" s="17">
        <f>IF($Z976="","",CHOOSE($Z976,"Collection Email","1st Follow-up","2nd Follow-up","Local Office","CBE","Roxanne")&amp;IF($Z976=6," - Final"," - Day "&amp;MAX(0,NETWORKDAYS($AA976,TODAY(),Holidays)-1)&amp;" of "&amp;CHOOSE($Z976,3,3,2,2,3))&amp;" | Total Day "&amp;MAX(0,NETWORKDAYS($N976,TODAY(),Holidays)-1))</f>
        <v/>
      </c>
      <c r="X976" s="18"/>
      <c r="Y976" s="18"/>
      <c r="Z976" s="17">
        <f>IF($N976="","",COUNT($N976:$S976))</f>
        <v/>
      </c>
      <c r="AA976" s="19">
        <f>IF($Z976="","",INT(INDEX($N976:$S976,$Z976)))</f>
        <v/>
      </c>
      <c r="AB976" s="19">
        <f>IF(OR($Z976="",$Z976=6),"",WORKDAY($AA976,CHOOSE($Z976,3,3,2,2,3),Holidays))</f>
        <v/>
      </c>
      <c r="AC976" s="17">
        <f>IF(OR($Z976="",$Z976=6),"",CHOOSE($Z976,"1st Email Follow-up","2nd Email Follow-up","Escalate Local Office","Escalate to CBE","Escalate to Roxanne"))</f>
        <v/>
      </c>
    </row>
    <row r="977" spans="13:29">
      <c r="M977" s="14"/>
      <c r="T977" s="16"/>
      <c r="U977" s="17">
        <f>IF(AND(COUNTA($A977:$L977)=0,$N977=""),"",IF($T977="Paid","PAID",IF($T977="Closed","CLOSED",IF($Z977="","",IF($Z977=6,"ESCALATED TO ROXANNE",IF(TODAY()&gt;$AB977,"OVERDUE",IF($AB977&lt;=WORKDAY(TODAY(),1,Holidays),"DUE TOMORROW",IF($Z977=4,"ESCALATED TO LOCAL OFFICE",IF($Z977=5,"ESCALATED TO CBE",IF($AA977=TODAY(),"EMAIL SENT","MONITORING"))))))))))</f>
        <v/>
      </c>
      <c r="V977" s="17">
        <f>IF($U977="",IF(AND(COUNTA($A977:$L977)&gt;0,$N977=""),"Awaiting Collection Email time stamp.",""),IF(OR($U977="PAID",$U977="CLOSED"),IF($U977="PAID","Account paid. Action completed.","Account closed. No further action required."),CHOOSE($Z977,"Collection Email","1st Email Follow-up","2nd Email Follow-up","Escalation to Local Office","Escalation to CBE","Escalation to Roxanne")&amp;" sent "&amp;TEXT($AA977,"dd-mmm")&amp;". "&amp;IF($Z977=6,"Final escalation completed.",IF($U977="OVERDUE","Next: "&amp;$AC977&amp;" was due "&amp;TEXT($AB977,"dd-mmm")&amp;" - "&amp;(NETWORKDAYS($AB977,TODAY(),Holidays)-1)&amp;" business day(s) late. Send now.",IF($U977="DUE TOMORROW","Next: "&amp;$AC977&amp;IF($AB977&lt;=TODAY()," is due TODAY ("," is due next business day (")&amp;TEXT($AB977,"dd-mmm")&amp;").","Next: "&amp;$AC977&amp;" due "&amp;TEXT($AB977,"dd-mmm")&amp;" ("&amp;(NETWORKDAYS(TODAY(),$AB977,Holidays)-1)&amp;" business day(s) left).")))))</f>
        <v/>
      </c>
      <c r="W977" s="17">
        <f>IF($Z977="","",CHOOSE($Z977,"Collection Email","1st Follow-up","2nd Follow-up","Local Office","CBE","Roxanne")&amp;IF($Z977=6," - Final"," - Day "&amp;MAX(0,NETWORKDAYS($AA977,TODAY(),Holidays)-1)&amp;" of "&amp;CHOOSE($Z977,3,3,2,2,3))&amp;" | Total Day "&amp;MAX(0,NETWORKDAYS($N977,TODAY(),Holidays)-1))</f>
        <v/>
      </c>
      <c r="X977" s="18"/>
      <c r="Y977" s="18"/>
      <c r="Z977" s="17">
        <f>IF($N977="","",COUNT($N977:$S977))</f>
        <v/>
      </c>
      <c r="AA977" s="19">
        <f>IF($Z977="","",INT(INDEX($N977:$S977,$Z977)))</f>
        <v/>
      </c>
      <c r="AB977" s="19">
        <f>IF(OR($Z977="",$Z977=6),"",WORKDAY($AA977,CHOOSE($Z977,3,3,2,2,3),Holidays))</f>
        <v/>
      </c>
      <c r="AC977" s="17">
        <f>IF(OR($Z977="",$Z977=6),"",CHOOSE($Z977,"1st Email Follow-up","2nd Email Follow-up","Escalate Local Office","Escalate to CBE","Escalate to Roxanne"))</f>
        <v/>
      </c>
    </row>
    <row r="978" spans="13:29">
      <c r="M978" s="14"/>
      <c r="T978" s="16"/>
      <c r="U978" s="17">
        <f>IF(AND(COUNTA($A978:$L978)=0,$N978=""),"",IF($T978="Paid","PAID",IF($T978="Closed","CLOSED",IF($Z978="","",IF($Z978=6,"ESCALATED TO ROXANNE",IF(TODAY()&gt;$AB978,"OVERDUE",IF($AB978&lt;=WORKDAY(TODAY(),1,Holidays),"DUE TOMORROW",IF($Z978=4,"ESCALATED TO LOCAL OFFICE",IF($Z978=5,"ESCALATED TO CBE",IF($AA978=TODAY(),"EMAIL SENT","MONITORING"))))))))))</f>
        <v/>
      </c>
      <c r="V978" s="17">
        <f>IF($U978="",IF(AND(COUNTA($A978:$L978)&gt;0,$N978=""),"Awaiting Collection Email time stamp.",""),IF(OR($U978="PAID",$U978="CLOSED"),IF($U978="PAID","Account paid. Action completed.","Account closed. No further action required."),CHOOSE($Z978,"Collection Email","1st Email Follow-up","2nd Email Follow-up","Escalation to Local Office","Escalation to CBE","Escalation to Roxanne")&amp;" sent "&amp;TEXT($AA978,"dd-mmm")&amp;". "&amp;IF($Z978=6,"Final escalation completed.",IF($U978="OVERDUE","Next: "&amp;$AC978&amp;" was due "&amp;TEXT($AB978,"dd-mmm")&amp;" - "&amp;(NETWORKDAYS($AB978,TODAY(),Holidays)-1)&amp;" business day(s) late. Send now.",IF($U978="DUE TOMORROW","Next: "&amp;$AC978&amp;IF($AB978&lt;=TODAY()," is due TODAY ("," is due next business day (")&amp;TEXT($AB978,"dd-mmm")&amp;").","Next: "&amp;$AC978&amp;" due "&amp;TEXT($AB978,"dd-mmm")&amp;" ("&amp;(NETWORKDAYS(TODAY(),$AB978,Holidays)-1)&amp;" business day(s) left).")))))</f>
        <v/>
      </c>
      <c r="W978" s="17">
        <f>IF($Z978="","",CHOOSE($Z978,"Collection Email","1st Follow-up","2nd Follow-up","Local Office","CBE","Roxanne")&amp;IF($Z978=6," - Final"," - Day "&amp;MAX(0,NETWORKDAYS($AA978,TODAY(),Holidays)-1)&amp;" of "&amp;CHOOSE($Z978,3,3,2,2,3))&amp;" | Total Day "&amp;MAX(0,NETWORKDAYS($N978,TODAY(),Holidays)-1))</f>
        <v/>
      </c>
      <c r="X978" s="18"/>
      <c r="Y978" s="18"/>
      <c r="Z978" s="17">
        <f>IF($N978="","",COUNT($N978:$S978))</f>
        <v/>
      </c>
      <c r="AA978" s="19">
        <f>IF($Z978="","",INT(INDEX($N978:$S978,$Z978)))</f>
        <v/>
      </c>
      <c r="AB978" s="19">
        <f>IF(OR($Z978="",$Z978=6),"",WORKDAY($AA978,CHOOSE($Z978,3,3,2,2,3),Holidays))</f>
        <v/>
      </c>
      <c r="AC978" s="17">
        <f>IF(OR($Z978="",$Z978=6),"",CHOOSE($Z978,"1st Email Follow-up","2nd Email Follow-up","Escalate Local Office","Escalate to CBE","Escalate to Roxanne"))</f>
        <v/>
      </c>
    </row>
    <row r="979" spans="13:29">
      <c r="M979" s="14"/>
      <c r="T979" s="16"/>
      <c r="U979" s="17">
        <f>IF(AND(COUNTA($A979:$L979)=0,$N979=""),"",IF($T979="Paid","PAID",IF($T979="Closed","CLOSED",IF($Z979="","",IF($Z979=6,"ESCALATED TO ROXANNE",IF(TODAY()&gt;$AB979,"OVERDUE",IF($AB979&lt;=WORKDAY(TODAY(),1,Holidays),"DUE TOMORROW",IF($Z979=4,"ESCALATED TO LOCAL OFFICE",IF($Z979=5,"ESCALATED TO CBE",IF($AA979=TODAY(),"EMAIL SENT","MONITORING"))))))))))</f>
        <v/>
      </c>
      <c r="V979" s="17">
        <f>IF($U979="",IF(AND(COUNTA($A979:$L979)&gt;0,$N979=""),"Awaiting Collection Email time stamp.",""),IF(OR($U979="PAID",$U979="CLOSED"),IF($U979="PAID","Account paid. Action completed.","Account closed. No further action required."),CHOOSE($Z979,"Collection Email","1st Email Follow-up","2nd Email Follow-up","Escalation to Local Office","Escalation to CBE","Escalation to Roxanne")&amp;" sent "&amp;TEXT($AA979,"dd-mmm")&amp;". "&amp;IF($Z979=6,"Final escalation completed.",IF($U979="OVERDUE","Next: "&amp;$AC979&amp;" was due "&amp;TEXT($AB979,"dd-mmm")&amp;" - "&amp;(NETWORKDAYS($AB979,TODAY(),Holidays)-1)&amp;" business day(s) late. Send now.",IF($U979="DUE TOMORROW","Next: "&amp;$AC979&amp;IF($AB979&lt;=TODAY()," is due TODAY ("," is due next business day (")&amp;TEXT($AB979,"dd-mmm")&amp;").","Next: "&amp;$AC979&amp;" due "&amp;TEXT($AB979,"dd-mmm")&amp;" ("&amp;(NETWORKDAYS(TODAY(),$AB979,Holidays)-1)&amp;" business day(s) left).")))))</f>
        <v/>
      </c>
      <c r="W979" s="17">
        <f>IF($Z979="","",CHOOSE($Z979,"Collection Email","1st Follow-up","2nd Follow-up","Local Office","CBE","Roxanne")&amp;IF($Z979=6," - Final"," - Day "&amp;MAX(0,NETWORKDAYS($AA979,TODAY(),Holidays)-1)&amp;" of "&amp;CHOOSE($Z979,3,3,2,2,3))&amp;" | Total Day "&amp;MAX(0,NETWORKDAYS($N979,TODAY(),Holidays)-1))</f>
        <v/>
      </c>
      <c r="X979" s="18"/>
      <c r="Y979" s="18"/>
      <c r="Z979" s="17">
        <f>IF($N979="","",COUNT($N979:$S979))</f>
        <v/>
      </c>
      <c r="AA979" s="19">
        <f>IF($Z979="","",INT(INDEX($N979:$S979,$Z979)))</f>
        <v/>
      </c>
      <c r="AB979" s="19">
        <f>IF(OR($Z979="",$Z979=6),"",WORKDAY($AA979,CHOOSE($Z979,3,3,2,2,3),Holidays))</f>
        <v/>
      </c>
      <c r="AC979" s="17">
        <f>IF(OR($Z979="",$Z979=6),"",CHOOSE($Z979,"1st Email Follow-up","2nd Email Follow-up","Escalate Local Office","Escalate to CBE","Escalate to Roxanne"))</f>
        <v/>
      </c>
    </row>
    <row r="980" spans="13:29">
      <c r="M980" s="14"/>
      <c r="T980" s="16"/>
      <c r="U980" s="17">
        <f>IF(AND(COUNTA($A980:$L980)=0,$N980=""),"",IF($T980="Paid","PAID",IF($T980="Closed","CLOSED",IF($Z980="","",IF($Z980=6,"ESCALATED TO ROXANNE",IF(TODAY()&gt;$AB980,"OVERDUE",IF($AB980&lt;=WORKDAY(TODAY(),1,Holidays),"DUE TOMORROW",IF($Z980=4,"ESCALATED TO LOCAL OFFICE",IF($Z980=5,"ESCALATED TO CBE",IF($AA980=TODAY(),"EMAIL SENT","MONITORING"))))))))))</f>
        <v/>
      </c>
      <c r="V980" s="17">
        <f>IF($U980="",IF(AND(COUNTA($A980:$L980)&gt;0,$N980=""),"Awaiting Collection Email time stamp.",""),IF(OR($U980="PAID",$U980="CLOSED"),IF($U980="PAID","Account paid. Action completed.","Account closed. No further action required."),CHOOSE($Z980,"Collection Email","1st Email Follow-up","2nd Email Follow-up","Escalation to Local Office","Escalation to CBE","Escalation to Roxanne")&amp;" sent "&amp;TEXT($AA980,"dd-mmm")&amp;". "&amp;IF($Z980=6,"Final escalation completed.",IF($U980="OVERDUE","Next: "&amp;$AC980&amp;" was due "&amp;TEXT($AB980,"dd-mmm")&amp;" - "&amp;(NETWORKDAYS($AB980,TODAY(),Holidays)-1)&amp;" business day(s) late. Send now.",IF($U980="DUE TOMORROW","Next: "&amp;$AC980&amp;IF($AB980&lt;=TODAY()," is due TODAY ("," is due next business day (")&amp;TEXT($AB980,"dd-mmm")&amp;").","Next: "&amp;$AC980&amp;" due "&amp;TEXT($AB980,"dd-mmm")&amp;" ("&amp;(NETWORKDAYS(TODAY(),$AB980,Holidays)-1)&amp;" business day(s) left).")))))</f>
        <v/>
      </c>
      <c r="W980" s="17">
        <f>IF($Z980="","",CHOOSE($Z980,"Collection Email","1st Follow-up","2nd Follow-up","Local Office","CBE","Roxanne")&amp;IF($Z980=6," - Final"," - Day "&amp;MAX(0,NETWORKDAYS($AA980,TODAY(),Holidays)-1)&amp;" of "&amp;CHOOSE($Z980,3,3,2,2,3))&amp;" | Total Day "&amp;MAX(0,NETWORKDAYS($N980,TODAY(),Holidays)-1))</f>
        <v/>
      </c>
      <c r="X980" s="18"/>
      <c r="Y980" s="18"/>
      <c r="Z980" s="17">
        <f>IF($N980="","",COUNT($N980:$S980))</f>
        <v/>
      </c>
      <c r="AA980" s="19">
        <f>IF($Z980="","",INT(INDEX($N980:$S980,$Z980)))</f>
        <v/>
      </c>
      <c r="AB980" s="19">
        <f>IF(OR($Z980="",$Z980=6),"",WORKDAY($AA980,CHOOSE($Z980,3,3,2,2,3),Holidays))</f>
        <v/>
      </c>
      <c r="AC980" s="17">
        <f>IF(OR($Z980="",$Z980=6),"",CHOOSE($Z980,"1st Email Follow-up","2nd Email Follow-up","Escalate Local Office","Escalate to CBE","Escalate to Roxanne"))</f>
        <v/>
      </c>
    </row>
    <row r="981" spans="13:29">
      <c r="M981" s="14"/>
      <c r="T981" s="16"/>
      <c r="U981" s="17">
        <f>IF(AND(COUNTA($A981:$L981)=0,$N981=""),"",IF($T981="Paid","PAID",IF($T981="Closed","CLOSED",IF($Z981="","",IF($Z981=6,"ESCALATED TO ROXANNE",IF(TODAY()&gt;$AB981,"OVERDUE",IF($AB981&lt;=WORKDAY(TODAY(),1,Holidays),"DUE TOMORROW",IF($Z981=4,"ESCALATED TO LOCAL OFFICE",IF($Z981=5,"ESCALATED TO CBE",IF($AA981=TODAY(),"EMAIL SENT","MONITORING"))))))))))</f>
        <v/>
      </c>
      <c r="V981" s="17">
        <f>IF($U981="",IF(AND(COUNTA($A981:$L981)&gt;0,$N981=""),"Awaiting Collection Email time stamp.",""),IF(OR($U981="PAID",$U981="CLOSED"),IF($U981="PAID","Account paid. Action completed.","Account closed. No further action required."),CHOOSE($Z981,"Collection Email","1st Email Follow-up","2nd Email Follow-up","Escalation to Local Office","Escalation to CBE","Escalation to Roxanne")&amp;" sent "&amp;TEXT($AA981,"dd-mmm")&amp;". "&amp;IF($Z981=6,"Final escalation completed.",IF($U981="OVERDUE","Next: "&amp;$AC981&amp;" was due "&amp;TEXT($AB981,"dd-mmm")&amp;" - "&amp;(NETWORKDAYS($AB981,TODAY(),Holidays)-1)&amp;" business day(s) late. Send now.",IF($U981="DUE TOMORROW","Next: "&amp;$AC981&amp;IF($AB981&lt;=TODAY()," is due TODAY ("," is due next business day (")&amp;TEXT($AB981,"dd-mmm")&amp;").","Next: "&amp;$AC981&amp;" due "&amp;TEXT($AB981,"dd-mmm")&amp;" ("&amp;(NETWORKDAYS(TODAY(),$AB981,Holidays)-1)&amp;" business day(s) left).")))))</f>
        <v/>
      </c>
      <c r="W981" s="17">
        <f>IF($Z981="","",CHOOSE($Z981,"Collection Email","1st Follow-up","2nd Follow-up","Local Office","CBE","Roxanne")&amp;IF($Z981=6," - Final"," - Day "&amp;MAX(0,NETWORKDAYS($AA981,TODAY(),Holidays)-1)&amp;" of "&amp;CHOOSE($Z981,3,3,2,2,3))&amp;" | Total Day "&amp;MAX(0,NETWORKDAYS($N981,TODAY(),Holidays)-1))</f>
        <v/>
      </c>
      <c r="X981" s="18"/>
      <c r="Y981" s="18"/>
      <c r="Z981" s="17">
        <f>IF($N981="","",COUNT($N981:$S981))</f>
        <v/>
      </c>
      <c r="AA981" s="19">
        <f>IF($Z981="","",INT(INDEX($N981:$S981,$Z981)))</f>
        <v/>
      </c>
      <c r="AB981" s="19">
        <f>IF(OR($Z981="",$Z981=6),"",WORKDAY($AA981,CHOOSE($Z981,3,3,2,2,3),Holidays))</f>
        <v/>
      </c>
      <c r="AC981" s="17">
        <f>IF(OR($Z981="",$Z981=6),"",CHOOSE($Z981,"1st Email Follow-up","2nd Email Follow-up","Escalate Local Office","Escalate to CBE","Escalate to Roxanne"))</f>
        <v/>
      </c>
    </row>
    <row r="982" spans="13:29">
      <c r="M982" s="14"/>
      <c r="T982" s="16"/>
      <c r="U982" s="17">
        <f>IF(AND(COUNTA($A982:$L982)=0,$N982=""),"",IF($T982="Paid","PAID",IF($T982="Closed","CLOSED",IF($Z982="","",IF($Z982=6,"ESCALATED TO ROXANNE",IF(TODAY()&gt;$AB982,"OVERDUE",IF($AB982&lt;=WORKDAY(TODAY(),1,Holidays),"DUE TOMORROW",IF($Z982=4,"ESCALATED TO LOCAL OFFICE",IF($Z982=5,"ESCALATED TO CBE",IF($AA982=TODAY(),"EMAIL SENT","MONITORING"))))))))))</f>
        <v/>
      </c>
      <c r="V982" s="17">
        <f>IF($U982="",IF(AND(COUNTA($A982:$L982)&gt;0,$N982=""),"Awaiting Collection Email time stamp.",""),IF(OR($U982="PAID",$U982="CLOSED"),IF($U982="PAID","Account paid. Action completed.","Account closed. No further action required."),CHOOSE($Z982,"Collection Email","1st Email Follow-up","2nd Email Follow-up","Escalation to Local Office","Escalation to CBE","Escalation to Roxanne")&amp;" sent "&amp;TEXT($AA982,"dd-mmm")&amp;". "&amp;IF($Z982=6,"Final escalation completed.",IF($U982="OVERDUE","Next: "&amp;$AC982&amp;" was due "&amp;TEXT($AB982,"dd-mmm")&amp;" - "&amp;(NETWORKDAYS($AB982,TODAY(),Holidays)-1)&amp;" business day(s) late. Send now.",IF($U982="DUE TOMORROW","Next: "&amp;$AC982&amp;IF($AB982&lt;=TODAY()," is due TODAY ("," is due next business day (")&amp;TEXT($AB982,"dd-mmm")&amp;").","Next: "&amp;$AC982&amp;" due "&amp;TEXT($AB982,"dd-mmm")&amp;" ("&amp;(NETWORKDAYS(TODAY(),$AB982,Holidays)-1)&amp;" business day(s) left).")))))</f>
        <v/>
      </c>
      <c r="W982" s="17">
        <f>IF($Z982="","",CHOOSE($Z982,"Collection Email","1st Follow-up","2nd Follow-up","Local Office","CBE","Roxanne")&amp;IF($Z982=6," - Final"," - Day "&amp;MAX(0,NETWORKDAYS($AA982,TODAY(),Holidays)-1)&amp;" of "&amp;CHOOSE($Z982,3,3,2,2,3))&amp;" | Total Day "&amp;MAX(0,NETWORKDAYS($N982,TODAY(),Holidays)-1))</f>
        <v/>
      </c>
      <c r="X982" s="18"/>
      <c r="Y982" s="18"/>
      <c r="Z982" s="17">
        <f>IF($N982="","",COUNT($N982:$S982))</f>
        <v/>
      </c>
      <c r="AA982" s="19">
        <f>IF($Z982="","",INT(INDEX($N982:$S982,$Z982)))</f>
        <v/>
      </c>
      <c r="AB982" s="19">
        <f>IF(OR($Z982="",$Z982=6),"",WORKDAY($AA982,CHOOSE($Z982,3,3,2,2,3),Holidays))</f>
        <v/>
      </c>
      <c r="AC982" s="17">
        <f>IF(OR($Z982="",$Z982=6),"",CHOOSE($Z982,"1st Email Follow-up","2nd Email Follow-up","Escalate Local Office","Escalate to CBE","Escalate to Roxanne"))</f>
        <v/>
      </c>
    </row>
    <row r="983" spans="13:29">
      <c r="M983" s="14"/>
      <c r="T983" s="16"/>
      <c r="U983" s="17">
        <f>IF(AND(COUNTA($A983:$L983)=0,$N983=""),"",IF($T983="Paid","PAID",IF($T983="Closed","CLOSED",IF($Z983="","",IF($Z983=6,"ESCALATED TO ROXANNE",IF(TODAY()&gt;$AB983,"OVERDUE",IF($AB983&lt;=WORKDAY(TODAY(),1,Holidays),"DUE TOMORROW",IF($Z983=4,"ESCALATED TO LOCAL OFFICE",IF($Z983=5,"ESCALATED TO CBE",IF($AA983=TODAY(),"EMAIL SENT","MONITORING"))))))))))</f>
        <v/>
      </c>
      <c r="V983" s="17">
        <f>IF($U983="",IF(AND(COUNTA($A983:$L983)&gt;0,$N983=""),"Awaiting Collection Email time stamp.",""),IF(OR($U983="PAID",$U983="CLOSED"),IF($U983="PAID","Account paid. Action completed.","Account closed. No further action required."),CHOOSE($Z983,"Collection Email","1st Email Follow-up","2nd Email Follow-up","Escalation to Local Office","Escalation to CBE","Escalation to Roxanne")&amp;" sent "&amp;TEXT($AA983,"dd-mmm")&amp;". "&amp;IF($Z983=6,"Final escalation completed.",IF($U983="OVERDUE","Next: "&amp;$AC983&amp;" was due "&amp;TEXT($AB983,"dd-mmm")&amp;" - "&amp;(NETWORKDAYS($AB983,TODAY(),Holidays)-1)&amp;" business day(s) late. Send now.",IF($U983="DUE TOMORROW","Next: "&amp;$AC983&amp;IF($AB983&lt;=TODAY()," is due TODAY ("," is due next business day (")&amp;TEXT($AB983,"dd-mmm")&amp;").","Next: "&amp;$AC983&amp;" due "&amp;TEXT($AB983,"dd-mmm")&amp;" ("&amp;(NETWORKDAYS(TODAY(),$AB983,Holidays)-1)&amp;" business day(s) left).")))))</f>
        <v/>
      </c>
      <c r="W983" s="17">
        <f>IF($Z983="","",CHOOSE($Z983,"Collection Email","1st Follow-up","2nd Follow-up","Local Office","CBE","Roxanne")&amp;IF($Z983=6," - Final"," - Day "&amp;MAX(0,NETWORKDAYS($AA983,TODAY(),Holidays)-1)&amp;" of "&amp;CHOOSE($Z983,3,3,2,2,3))&amp;" | Total Day "&amp;MAX(0,NETWORKDAYS($N983,TODAY(),Holidays)-1))</f>
        <v/>
      </c>
      <c r="X983" s="18"/>
      <c r="Y983" s="18"/>
      <c r="Z983" s="17">
        <f>IF($N983="","",COUNT($N983:$S983))</f>
        <v/>
      </c>
      <c r="AA983" s="19">
        <f>IF($Z983="","",INT(INDEX($N983:$S983,$Z983)))</f>
        <v/>
      </c>
      <c r="AB983" s="19">
        <f>IF(OR($Z983="",$Z983=6),"",WORKDAY($AA983,CHOOSE($Z983,3,3,2,2,3),Holidays))</f>
        <v/>
      </c>
      <c r="AC983" s="17">
        <f>IF(OR($Z983="",$Z983=6),"",CHOOSE($Z983,"1st Email Follow-up","2nd Email Follow-up","Escalate Local Office","Escalate to CBE","Escalate to Roxanne"))</f>
        <v/>
      </c>
    </row>
    <row r="984" spans="13:29">
      <c r="M984" s="14"/>
      <c r="T984" s="16"/>
      <c r="U984" s="17">
        <f>IF(AND(COUNTA($A984:$L984)=0,$N984=""),"",IF($T984="Paid","PAID",IF($T984="Closed","CLOSED",IF($Z984="","",IF($Z984=6,"ESCALATED TO ROXANNE",IF(TODAY()&gt;$AB984,"OVERDUE",IF($AB984&lt;=WORKDAY(TODAY(),1,Holidays),"DUE TOMORROW",IF($Z984=4,"ESCALATED TO LOCAL OFFICE",IF($Z984=5,"ESCALATED TO CBE",IF($AA984=TODAY(),"EMAIL SENT","MONITORING"))))))))))</f>
        <v/>
      </c>
      <c r="V984" s="17">
        <f>IF($U984="",IF(AND(COUNTA($A984:$L984)&gt;0,$N984=""),"Awaiting Collection Email time stamp.",""),IF(OR($U984="PAID",$U984="CLOSED"),IF($U984="PAID","Account paid. Action completed.","Account closed. No further action required."),CHOOSE($Z984,"Collection Email","1st Email Follow-up","2nd Email Follow-up","Escalation to Local Office","Escalation to CBE","Escalation to Roxanne")&amp;" sent "&amp;TEXT($AA984,"dd-mmm")&amp;". "&amp;IF($Z984=6,"Final escalation completed.",IF($U984="OVERDUE","Next: "&amp;$AC984&amp;" was due "&amp;TEXT($AB984,"dd-mmm")&amp;" - "&amp;(NETWORKDAYS($AB984,TODAY(),Holidays)-1)&amp;" business day(s) late. Send now.",IF($U984="DUE TOMORROW","Next: "&amp;$AC984&amp;IF($AB984&lt;=TODAY()," is due TODAY ("," is due next business day (")&amp;TEXT($AB984,"dd-mmm")&amp;").","Next: "&amp;$AC984&amp;" due "&amp;TEXT($AB984,"dd-mmm")&amp;" ("&amp;(NETWORKDAYS(TODAY(),$AB984,Holidays)-1)&amp;" business day(s) left).")))))</f>
        <v/>
      </c>
      <c r="W984" s="17">
        <f>IF($Z984="","",CHOOSE($Z984,"Collection Email","1st Follow-up","2nd Follow-up","Local Office","CBE","Roxanne")&amp;IF($Z984=6," - Final"," - Day "&amp;MAX(0,NETWORKDAYS($AA984,TODAY(),Holidays)-1)&amp;" of "&amp;CHOOSE($Z984,3,3,2,2,3))&amp;" | Total Day "&amp;MAX(0,NETWORKDAYS($N984,TODAY(),Holidays)-1))</f>
        <v/>
      </c>
      <c r="X984" s="18"/>
      <c r="Y984" s="18"/>
      <c r="Z984" s="17">
        <f>IF($N984="","",COUNT($N984:$S984))</f>
        <v/>
      </c>
      <c r="AA984" s="19">
        <f>IF($Z984="","",INT(INDEX($N984:$S984,$Z984)))</f>
        <v/>
      </c>
      <c r="AB984" s="19">
        <f>IF(OR($Z984="",$Z984=6),"",WORKDAY($AA984,CHOOSE($Z984,3,3,2,2,3),Holidays))</f>
        <v/>
      </c>
      <c r="AC984" s="17">
        <f>IF(OR($Z984="",$Z984=6),"",CHOOSE($Z984,"1st Email Follow-up","2nd Email Follow-up","Escalate Local Office","Escalate to CBE","Escalate to Roxanne"))</f>
        <v/>
      </c>
    </row>
    <row r="985" spans="13:29">
      <c r="M985" s="14"/>
      <c r="T985" s="16"/>
      <c r="U985" s="17">
        <f>IF(AND(COUNTA($A985:$L985)=0,$N985=""),"",IF($T985="Paid","PAID",IF($T985="Closed","CLOSED",IF($Z985="","",IF($Z985=6,"ESCALATED TO ROXANNE",IF(TODAY()&gt;$AB985,"OVERDUE",IF($AB985&lt;=WORKDAY(TODAY(),1,Holidays),"DUE TOMORROW",IF($Z985=4,"ESCALATED TO LOCAL OFFICE",IF($Z985=5,"ESCALATED TO CBE",IF($AA985=TODAY(),"EMAIL SENT","MONITORING"))))))))))</f>
        <v/>
      </c>
      <c r="V985" s="17">
        <f>IF($U985="",IF(AND(COUNTA($A985:$L985)&gt;0,$N985=""),"Awaiting Collection Email time stamp.",""),IF(OR($U985="PAID",$U985="CLOSED"),IF($U985="PAID","Account paid. Action completed.","Account closed. No further action required."),CHOOSE($Z985,"Collection Email","1st Email Follow-up","2nd Email Follow-up","Escalation to Local Office","Escalation to CBE","Escalation to Roxanne")&amp;" sent "&amp;TEXT($AA985,"dd-mmm")&amp;". "&amp;IF($Z985=6,"Final escalation completed.",IF($U985="OVERDUE","Next: "&amp;$AC985&amp;" was due "&amp;TEXT($AB985,"dd-mmm")&amp;" - "&amp;(NETWORKDAYS($AB985,TODAY(),Holidays)-1)&amp;" business day(s) late. Send now.",IF($U985="DUE TOMORROW","Next: "&amp;$AC985&amp;IF($AB985&lt;=TODAY()," is due TODAY ("," is due next business day (")&amp;TEXT($AB985,"dd-mmm")&amp;").","Next: "&amp;$AC985&amp;" due "&amp;TEXT($AB985,"dd-mmm")&amp;" ("&amp;(NETWORKDAYS(TODAY(),$AB985,Holidays)-1)&amp;" business day(s) left).")))))</f>
        <v/>
      </c>
      <c r="W985" s="17">
        <f>IF($Z985="","",CHOOSE($Z985,"Collection Email","1st Follow-up","2nd Follow-up","Local Office","CBE","Roxanne")&amp;IF($Z985=6," - Final"," - Day "&amp;MAX(0,NETWORKDAYS($AA985,TODAY(),Holidays)-1)&amp;" of "&amp;CHOOSE($Z985,3,3,2,2,3))&amp;" | Total Day "&amp;MAX(0,NETWORKDAYS($N985,TODAY(),Holidays)-1))</f>
        <v/>
      </c>
      <c r="X985" s="18"/>
      <c r="Y985" s="18"/>
      <c r="Z985" s="17">
        <f>IF($N985="","",COUNT($N985:$S985))</f>
        <v/>
      </c>
      <c r="AA985" s="19">
        <f>IF($Z985="","",INT(INDEX($N985:$S985,$Z985)))</f>
        <v/>
      </c>
      <c r="AB985" s="19">
        <f>IF(OR($Z985="",$Z985=6),"",WORKDAY($AA985,CHOOSE($Z985,3,3,2,2,3),Holidays))</f>
        <v/>
      </c>
      <c r="AC985" s="17">
        <f>IF(OR($Z985="",$Z985=6),"",CHOOSE($Z985,"1st Email Follow-up","2nd Email Follow-up","Escalate Local Office","Escalate to CBE","Escalate to Roxanne"))</f>
        <v/>
      </c>
    </row>
    <row r="986" spans="13:29">
      <c r="M986" s="14"/>
      <c r="T986" s="16"/>
      <c r="U986" s="17">
        <f>IF(AND(COUNTA($A986:$L986)=0,$N986=""),"",IF($T986="Paid","PAID",IF($T986="Closed","CLOSED",IF($Z986="","",IF($Z986=6,"ESCALATED TO ROXANNE",IF(TODAY()&gt;$AB986,"OVERDUE",IF($AB986&lt;=WORKDAY(TODAY(),1,Holidays),"DUE TOMORROW",IF($Z986=4,"ESCALATED TO LOCAL OFFICE",IF($Z986=5,"ESCALATED TO CBE",IF($AA986=TODAY(),"EMAIL SENT","MONITORING"))))))))))</f>
        <v/>
      </c>
      <c r="V986" s="17">
        <f>IF($U986="",IF(AND(COUNTA($A986:$L986)&gt;0,$N986=""),"Awaiting Collection Email time stamp.",""),IF(OR($U986="PAID",$U986="CLOSED"),IF($U986="PAID","Account paid. Action completed.","Account closed. No further action required."),CHOOSE($Z986,"Collection Email","1st Email Follow-up","2nd Email Follow-up","Escalation to Local Office","Escalation to CBE","Escalation to Roxanne")&amp;" sent "&amp;TEXT($AA986,"dd-mmm")&amp;". "&amp;IF($Z986=6,"Final escalation completed.",IF($U986="OVERDUE","Next: "&amp;$AC986&amp;" was due "&amp;TEXT($AB986,"dd-mmm")&amp;" - "&amp;(NETWORKDAYS($AB986,TODAY(),Holidays)-1)&amp;" business day(s) late. Send now.",IF($U986="DUE TOMORROW","Next: "&amp;$AC986&amp;IF($AB986&lt;=TODAY()," is due TODAY ("," is due next business day (")&amp;TEXT($AB986,"dd-mmm")&amp;").","Next: "&amp;$AC986&amp;" due "&amp;TEXT($AB986,"dd-mmm")&amp;" ("&amp;(NETWORKDAYS(TODAY(),$AB986,Holidays)-1)&amp;" business day(s) left).")))))</f>
        <v/>
      </c>
      <c r="W986" s="17">
        <f>IF($Z986="","",CHOOSE($Z986,"Collection Email","1st Follow-up","2nd Follow-up","Local Office","CBE","Roxanne")&amp;IF($Z986=6," - Final"," - Day "&amp;MAX(0,NETWORKDAYS($AA986,TODAY(),Holidays)-1)&amp;" of "&amp;CHOOSE($Z986,3,3,2,2,3))&amp;" | Total Day "&amp;MAX(0,NETWORKDAYS($N986,TODAY(),Holidays)-1))</f>
        <v/>
      </c>
      <c r="X986" s="18"/>
      <c r="Y986" s="18"/>
      <c r="Z986" s="17">
        <f>IF($N986="","",COUNT($N986:$S986))</f>
        <v/>
      </c>
      <c r="AA986" s="19">
        <f>IF($Z986="","",INT(INDEX($N986:$S986,$Z986)))</f>
        <v/>
      </c>
      <c r="AB986" s="19">
        <f>IF(OR($Z986="",$Z986=6),"",WORKDAY($AA986,CHOOSE($Z986,3,3,2,2,3),Holidays))</f>
        <v/>
      </c>
      <c r="AC986" s="17">
        <f>IF(OR($Z986="",$Z986=6),"",CHOOSE($Z986,"1st Email Follow-up","2nd Email Follow-up","Escalate Local Office","Escalate to CBE","Escalate to Roxanne"))</f>
        <v/>
      </c>
    </row>
    <row r="987" spans="13:29">
      <c r="M987" s="14"/>
      <c r="T987" s="16"/>
      <c r="U987" s="17">
        <f>IF(AND(COUNTA($A987:$L987)=0,$N987=""),"",IF($T987="Paid","PAID",IF($T987="Closed","CLOSED",IF($Z987="","",IF($Z987=6,"ESCALATED TO ROXANNE",IF(TODAY()&gt;$AB987,"OVERDUE",IF($AB987&lt;=WORKDAY(TODAY(),1,Holidays),"DUE TOMORROW",IF($Z987=4,"ESCALATED TO LOCAL OFFICE",IF($Z987=5,"ESCALATED TO CBE",IF($AA987=TODAY(),"EMAIL SENT","MONITORING"))))))))))</f>
        <v/>
      </c>
      <c r="V987" s="17">
        <f>IF($U987="",IF(AND(COUNTA($A987:$L987)&gt;0,$N987=""),"Awaiting Collection Email time stamp.",""),IF(OR($U987="PAID",$U987="CLOSED"),IF($U987="PAID","Account paid. Action completed.","Account closed. No further action required."),CHOOSE($Z987,"Collection Email","1st Email Follow-up","2nd Email Follow-up","Escalation to Local Office","Escalation to CBE","Escalation to Roxanne")&amp;" sent "&amp;TEXT($AA987,"dd-mmm")&amp;". "&amp;IF($Z987=6,"Final escalation completed.",IF($U987="OVERDUE","Next: "&amp;$AC987&amp;" was due "&amp;TEXT($AB987,"dd-mmm")&amp;" - "&amp;(NETWORKDAYS($AB987,TODAY(),Holidays)-1)&amp;" business day(s) late. Send now.",IF($U987="DUE TOMORROW","Next: "&amp;$AC987&amp;IF($AB987&lt;=TODAY()," is due TODAY ("," is due next business day (")&amp;TEXT($AB987,"dd-mmm")&amp;").","Next: "&amp;$AC987&amp;" due "&amp;TEXT($AB987,"dd-mmm")&amp;" ("&amp;(NETWORKDAYS(TODAY(),$AB987,Holidays)-1)&amp;" business day(s) left).")))))</f>
        <v/>
      </c>
      <c r="W987" s="17">
        <f>IF($Z987="","",CHOOSE($Z987,"Collection Email","1st Follow-up","2nd Follow-up","Local Office","CBE","Roxanne")&amp;IF($Z987=6," - Final"," - Day "&amp;MAX(0,NETWORKDAYS($AA987,TODAY(),Holidays)-1)&amp;" of "&amp;CHOOSE($Z987,3,3,2,2,3))&amp;" | Total Day "&amp;MAX(0,NETWORKDAYS($N987,TODAY(),Holidays)-1))</f>
        <v/>
      </c>
      <c r="X987" s="18"/>
      <c r="Y987" s="18"/>
      <c r="Z987" s="17">
        <f>IF($N987="","",COUNT($N987:$S987))</f>
        <v/>
      </c>
      <c r="AA987" s="19">
        <f>IF($Z987="","",INT(INDEX($N987:$S987,$Z987)))</f>
        <v/>
      </c>
      <c r="AB987" s="19">
        <f>IF(OR($Z987="",$Z987=6),"",WORKDAY($AA987,CHOOSE($Z987,3,3,2,2,3),Holidays))</f>
        <v/>
      </c>
      <c r="AC987" s="17">
        <f>IF(OR($Z987="",$Z987=6),"",CHOOSE($Z987,"1st Email Follow-up","2nd Email Follow-up","Escalate Local Office","Escalate to CBE","Escalate to Roxanne"))</f>
        <v/>
      </c>
    </row>
    <row r="988" spans="13:29">
      <c r="M988" s="14"/>
      <c r="T988" s="16"/>
      <c r="U988" s="17">
        <f>IF(AND(COUNTA($A988:$L988)=0,$N988=""),"",IF($T988="Paid","PAID",IF($T988="Closed","CLOSED",IF($Z988="","",IF($Z988=6,"ESCALATED TO ROXANNE",IF(TODAY()&gt;$AB988,"OVERDUE",IF($AB988&lt;=WORKDAY(TODAY(),1,Holidays),"DUE TOMORROW",IF($Z988=4,"ESCALATED TO LOCAL OFFICE",IF($Z988=5,"ESCALATED TO CBE",IF($AA988=TODAY(),"EMAIL SENT","MONITORING"))))))))))</f>
        <v/>
      </c>
      <c r="V988" s="17">
        <f>IF($U988="",IF(AND(COUNTA($A988:$L988)&gt;0,$N988=""),"Awaiting Collection Email time stamp.",""),IF(OR($U988="PAID",$U988="CLOSED"),IF($U988="PAID","Account paid. Action completed.","Account closed. No further action required."),CHOOSE($Z988,"Collection Email","1st Email Follow-up","2nd Email Follow-up","Escalation to Local Office","Escalation to CBE","Escalation to Roxanne")&amp;" sent "&amp;TEXT($AA988,"dd-mmm")&amp;". "&amp;IF($Z988=6,"Final escalation completed.",IF($U988="OVERDUE","Next: "&amp;$AC988&amp;" was due "&amp;TEXT($AB988,"dd-mmm")&amp;" - "&amp;(NETWORKDAYS($AB988,TODAY(),Holidays)-1)&amp;" business day(s) late. Send now.",IF($U988="DUE TOMORROW","Next: "&amp;$AC988&amp;IF($AB988&lt;=TODAY()," is due TODAY ("," is due next business day (")&amp;TEXT($AB988,"dd-mmm")&amp;").","Next: "&amp;$AC988&amp;" due "&amp;TEXT($AB988,"dd-mmm")&amp;" ("&amp;(NETWORKDAYS(TODAY(),$AB988,Holidays)-1)&amp;" business day(s) left).")))))</f>
        <v/>
      </c>
      <c r="W988" s="17">
        <f>IF($Z988="","",CHOOSE($Z988,"Collection Email","1st Follow-up","2nd Follow-up","Local Office","CBE","Roxanne")&amp;IF($Z988=6," - Final"," - Day "&amp;MAX(0,NETWORKDAYS($AA988,TODAY(),Holidays)-1)&amp;" of "&amp;CHOOSE($Z988,3,3,2,2,3))&amp;" | Total Day "&amp;MAX(0,NETWORKDAYS($N988,TODAY(),Holidays)-1))</f>
        <v/>
      </c>
      <c r="X988" s="18"/>
      <c r="Y988" s="18"/>
      <c r="Z988" s="17">
        <f>IF($N988="","",COUNT($N988:$S988))</f>
        <v/>
      </c>
      <c r="AA988" s="19">
        <f>IF($Z988="","",INT(INDEX($N988:$S988,$Z988)))</f>
        <v/>
      </c>
      <c r="AB988" s="19">
        <f>IF(OR($Z988="",$Z988=6),"",WORKDAY($AA988,CHOOSE($Z988,3,3,2,2,3),Holidays))</f>
        <v/>
      </c>
      <c r="AC988" s="17">
        <f>IF(OR($Z988="",$Z988=6),"",CHOOSE($Z988,"1st Email Follow-up","2nd Email Follow-up","Escalate Local Office","Escalate to CBE","Escalate to Roxanne"))</f>
        <v/>
      </c>
    </row>
    <row r="989" spans="13:29">
      <c r="M989" s="14"/>
      <c r="T989" s="16"/>
      <c r="U989" s="17">
        <f>IF(AND(COUNTA($A989:$L989)=0,$N989=""),"",IF($T989="Paid","PAID",IF($T989="Closed","CLOSED",IF($Z989="","",IF($Z989=6,"ESCALATED TO ROXANNE",IF(TODAY()&gt;$AB989,"OVERDUE",IF($AB989&lt;=WORKDAY(TODAY(),1,Holidays),"DUE TOMORROW",IF($Z989=4,"ESCALATED TO LOCAL OFFICE",IF($Z989=5,"ESCALATED TO CBE",IF($AA989=TODAY(),"EMAIL SENT","MONITORING"))))))))))</f>
        <v/>
      </c>
      <c r="V989" s="17">
        <f>IF($U989="",IF(AND(COUNTA($A989:$L989)&gt;0,$N989=""),"Awaiting Collection Email time stamp.",""),IF(OR($U989="PAID",$U989="CLOSED"),IF($U989="PAID","Account paid. Action completed.","Account closed. No further action required."),CHOOSE($Z989,"Collection Email","1st Email Follow-up","2nd Email Follow-up","Escalation to Local Office","Escalation to CBE","Escalation to Roxanne")&amp;" sent "&amp;TEXT($AA989,"dd-mmm")&amp;". "&amp;IF($Z989=6,"Final escalation completed.",IF($U989="OVERDUE","Next: "&amp;$AC989&amp;" was due "&amp;TEXT($AB989,"dd-mmm")&amp;" - "&amp;(NETWORKDAYS($AB989,TODAY(),Holidays)-1)&amp;" business day(s) late. Send now.",IF($U989="DUE TOMORROW","Next: "&amp;$AC989&amp;IF($AB989&lt;=TODAY()," is due TODAY ("," is due next business day (")&amp;TEXT($AB989,"dd-mmm")&amp;").","Next: "&amp;$AC989&amp;" due "&amp;TEXT($AB989,"dd-mmm")&amp;" ("&amp;(NETWORKDAYS(TODAY(),$AB989,Holidays)-1)&amp;" business day(s) left).")))))</f>
        <v/>
      </c>
      <c r="W989" s="17">
        <f>IF($Z989="","",CHOOSE($Z989,"Collection Email","1st Follow-up","2nd Follow-up","Local Office","CBE","Roxanne")&amp;IF($Z989=6," - Final"," - Day "&amp;MAX(0,NETWORKDAYS($AA989,TODAY(),Holidays)-1)&amp;" of "&amp;CHOOSE($Z989,3,3,2,2,3))&amp;" | Total Day "&amp;MAX(0,NETWORKDAYS($N989,TODAY(),Holidays)-1))</f>
        <v/>
      </c>
      <c r="X989" s="18"/>
      <c r="Y989" s="18"/>
      <c r="Z989" s="17">
        <f>IF($N989="","",COUNT($N989:$S989))</f>
        <v/>
      </c>
      <c r="AA989" s="19">
        <f>IF($Z989="","",INT(INDEX($N989:$S989,$Z989)))</f>
        <v/>
      </c>
      <c r="AB989" s="19">
        <f>IF(OR($Z989="",$Z989=6),"",WORKDAY($AA989,CHOOSE($Z989,3,3,2,2,3),Holidays))</f>
        <v/>
      </c>
      <c r="AC989" s="17">
        <f>IF(OR($Z989="",$Z989=6),"",CHOOSE($Z989,"1st Email Follow-up","2nd Email Follow-up","Escalate Local Office","Escalate to CBE","Escalate to Roxanne"))</f>
        <v/>
      </c>
    </row>
    <row r="990" spans="13:29">
      <c r="M990" s="14"/>
      <c r="T990" s="16"/>
      <c r="U990" s="17">
        <f>IF(AND(COUNTA($A990:$L990)=0,$N990=""),"",IF($T990="Paid","PAID",IF($T990="Closed","CLOSED",IF($Z990="","",IF($Z990=6,"ESCALATED TO ROXANNE",IF(TODAY()&gt;$AB990,"OVERDUE",IF($AB990&lt;=WORKDAY(TODAY(),1,Holidays),"DUE TOMORROW",IF($Z990=4,"ESCALATED TO LOCAL OFFICE",IF($Z990=5,"ESCALATED TO CBE",IF($AA990=TODAY(),"EMAIL SENT","MONITORING"))))))))))</f>
        <v/>
      </c>
      <c r="V990" s="17">
        <f>IF($U990="",IF(AND(COUNTA($A990:$L990)&gt;0,$N990=""),"Awaiting Collection Email time stamp.",""),IF(OR($U990="PAID",$U990="CLOSED"),IF($U990="PAID","Account paid. Action completed.","Account closed. No further action required."),CHOOSE($Z990,"Collection Email","1st Email Follow-up","2nd Email Follow-up","Escalation to Local Office","Escalation to CBE","Escalation to Roxanne")&amp;" sent "&amp;TEXT($AA990,"dd-mmm")&amp;". "&amp;IF($Z990=6,"Final escalation completed.",IF($U990="OVERDUE","Next: "&amp;$AC990&amp;" was due "&amp;TEXT($AB990,"dd-mmm")&amp;" - "&amp;(NETWORKDAYS($AB990,TODAY(),Holidays)-1)&amp;" business day(s) late. Send now.",IF($U990="DUE TOMORROW","Next: "&amp;$AC990&amp;IF($AB990&lt;=TODAY()," is due TODAY ("," is due next business day (")&amp;TEXT($AB990,"dd-mmm")&amp;").","Next: "&amp;$AC990&amp;" due "&amp;TEXT($AB990,"dd-mmm")&amp;" ("&amp;(NETWORKDAYS(TODAY(),$AB990,Holidays)-1)&amp;" business day(s) left).")))))</f>
        <v/>
      </c>
      <c r="W990" s="17">
        <f>IF($Z990="","",CHOOSE($Z990,"Collection Email","1st Follow-up","2nd Follow-up","Local Office","CBE","Roxanne")&amp;IF($Z990=6," - Final"," - Day "&amp;MAX(0,NETWORKDAYS($AA990,TODAY(),Holidays)-1)&amp;" of "&amp;CHOOSE($Z990,3,3,2,2,3))&amp;" | Total Day "&amp;MAX(0,NETWORKDAYS($N990,TODAY(),Holidays)-1))</f>
        <v/>
      </c>
      <c r="X990" s="18"/>
      <c r="Y990" s="18"/>
      <c r="Z990" s="17">
        <f>IF($N990="","",COUNT($N990:$S990))</f>
        <v/>
      </c>
      <c r="AA990" s="19">
        <f>IF($Z990="","",INT(INDEX($N990:$S990,$Z990)))</f>
        <v/>
      </c>
      <c r="AB990" s="19">
        <f>IF(OR($Z990="",$Z990=6),"",WORKDAY($AA990,CHOOSE($Z990,3,3,2,2,3),Holidays))</f>
        <v/>
      </c>
      <c r="AC990" s="17">
        <f>IF(OR($Z990="",$Z990=6),"",CHOOSE($Z990,"1st Email Follow-up","2nd Email Follow-up","Escalate Local Office","Escalate to CBE","Escalate to Roxanne"))</f>
        <v/>
      </c>
    </row>
    <row r="991" spans="13:29">
      <c r="M991" s="14"/>
      <c r="T991" s="16"/>
      <c r="U991" s="17">
        <f>IF(AND(COUNTA($A991:$L991)=0,$N991=""),"",IF($T991="Paid","PAID",IF($T991="Closed","CLOSED",IF($Z991="","",IF($Z991=6,"ESCALATED TO ROXANNE",IF(TODAY()&gt;$AB991,"OVERDUE",IF($AB991&lt;=WORKDAY(TODAY(),1,Holidays),"DUE TOMORROW",IF($Z991=4,"ESCALATED TO LOCAL OFFICE",IF($Z991=5,"ESCALATED TO CBE",IF($AA991=TODAY(),"EMAIL SENT","MONITORING"))))))))))</f>
        <v/>
      </c>
      <c r="V991" s="17">
        <f>IF($U991="",IF(AND(COUNTA($A991:$L991)&gt;0,$N991=""),"Awaiting Collection Email time stamp.",""),IF(OR($U991="PAID",$U991="CLOSED"),IF($U991="PAID","Account paid. Action completed.","Account closed. No further action required."),CHOOSE($Z991,"Collection Email","1st Email Follow-up","2nd Email Follow-up","Escalation to Local Office","Escalation to CBE","Escalation to Roxanne")&amp;" sent "&amp;TEXT($AA991,"dd-mmm")&amp;". "&amp;IF($Z991=6,"Final escalation completed.",IF($U991="OVERDUE","Next: "&amp;$AC991&amp;" was due "&amp;TEXT($AB991,"dd-mmm")&amp;" - "&amp;(NETWORKDAYS($AB991,TODAY(),Holidays)-1)&amp;" business day(s) late. Send now.",IF($U991="DUE TOMORROW","Next: "&amp;$AC991&amp;IF($AB991&lt;=TODAY()," is due TODAY ("," is due next business day (")&amp;TEXT($AB991,"dd-mmm")&amp;").","Next: "&amp;$AC991&amp;" due "&amp;TEXT($AB991,"dd-mmm")&amp;" ("&amp;(NETWORKDAYS(TODAY(),$AB991,Holidays)-1)&amp;" business day(s) left).")))))</f>
        <v/>
      </c>
      <c r="W991" s="17">
        <f>IF($Z991="","",CHOOSE($Z991,"Collection Email","1st Follow-up","2nd Follow-up","Local Office","CBE","Roxanne")&amp;IF($Z991=6," - Final"," - Day "&amp;MAX(0,NETWORKDAYS($AA991,TODAY(),Holidays)-1)&amp;" of "&amp;CHOOSE($Z991,3,3,2,2,3))&amp;" | Total Day "&amp;MAX(0,NETWORKDAYS($N991,TODAY(),Holidays)-1))</f>
        <v/>
      </c>
      <c r="X991" s="18"/>
      <c r="Y991" s="18"/>
      <c r="Z991" s="17">
        <f>IF($N991="","",COUNT($N991:$S991))</f>
        <v/>
      </c>
      <c r="AA991" s="19">
        <f>IF($Z991="","",INT(INDEX($N991:$S991,$Z991)))</f>
        <v/>
      </c>
      <c r="AB991" s="19">
        <f>IF(OR($Z991="",$Z991=6),"",WORKDAY($AA991,CHOOSE($Z991,3,3,2,2,3),Holidays))</f>
        <v/>
      </c>
      <c r="AC991" s="17">
        <f>IF(OR($Z991="",$Z991=6),"",CHOOSE($Z991,"1st Email Follow-up","2nd Email Follow-up","Escalate Local Office","Escalate to CBE","Escalate to Roxanne"))</f>
        <v/>
      </c>
    </row>
    <row r="992" spans="13:29">
      <c r="M992" s="14"/>
      <c r="T992" s="16"/>
      <c r="U992" s="17">
        <f>IF(AND(COUNTA($A992:$L992)=0,$N992=""),"",IF($T992="Paid","PAID",IF($T992="Closed","CLOSED",IF($Z992="","",IF($Z992=6,"ESCALATED TO ROXANNE",IF(TODAY()&gt;$AB992,"OVERDUE",IF($AB992&lt;=WORKDAY(TODAY(),1,Holidays),"DUE TOMORROW",IF($Z992=4,"ESCALATED TO LOCAL OFFICE",IF($Z992=5,"ESCALATED TO CBE",IF($AA992=TODAY(),"EMAIL SENT","MONITORING"))))))))))</f>
        <v/>
      </c>
      <c r="V992" s="17">
        <f>IF($U992="",IF(AND(COUNTA($A992:$L992)&gt;0,$N992=""),"Awaiting Collection Email time stamp.",""),IF(OR($U992="PAID",$U992="CLOSED"),IF($U992="PAID","Account paid. Action completed.","Account closed. No further action required."),CHOOSE($Z992,"Collection Email","1st Email Follow-up","2nd Email Follow-up","Escalation to Local Office","Escalation to CBE","Escalation to Roxanne")&amp;" sent "&amp;TEXT($AA992,"dd-mmm")&amp;". "&amp;IF($Z992=6,"Final escalation completed.",IF($U992="OVERDUE","Next: "&amp;$AC992&amp;" was due "&amp;TEXT($AB992,"dd-mmm")&amp;" - "&amp;(NETWORKDAYS($AB992,TODAY(),Holidays)-1)&amp;" business day(s) late. Send now.",IF($U992="DUE TOMORROW","Next: "&amp;$AC992&amp;IF($AB992&lt;=TODAY()," is due TODAY ("," is due next business day (")&amp;TEXT($AB992,"dd-mmm")&amp;").","Next: "&amp;$AC992&amp;" due "&amp;TEXT($AB992,"dd-mmm")&amp;" ("&amp;(NETWORKDAYS(TODAY(),$AB992,Holidays)-1)&amp;" business day(s) left).")))))</f>
        <v/>
      </c>
      <c r="W992" s="17">
        <f>IF($Z992="","",CHOOSE($Z992,"Collection Email","1st Follow-up","2nd Follow-up","Local Office","CBE","Roxanne")&amp;IF($Z992=6," - Final"," - Day "&amp;MAX(0,NETWORKDAYS($AA992,TODAY(),Holidays)-1)&amp;" of "&amp;CHOOSE($Z992,3,3,2,2,3))&amp;" | Total Day "&amp;MAX(0,NETWORKDAYS($N992,TODAY(),Holidays)-1))</f>
        <v/>
      </c>
      <c r="X992" s="18"/>
      <c r="Y992" s="18"/>
      <c r="Z992" s="17">
        <f>IF($N992="","",COUNT($N992:$S992))</f>
        <v/>
      </c>
      <c r="AA992" s="19">
        <f>IF($Z992="","",INT(INDEX($N992:$S992,$Z992)))</f>
        <v/>
      </c>
      <c r="AB992" s="19">
        <f>IF(OR($Z992="",$Z992=6),"",WORKDAY($AA992,CHOOSE($Z992,3,3,2,2,3),Holidays))</f>
        <v/>
      </c>
      <c r="AC992" s="17">
        <f>IF(OR($Z992="",$Z992=6),"",CHOOSE($Z992,"1st Email Follow-up","2nd Email Follow-up","Escalate Local Office","Escalate to CBE","Escalate to Roxanne"))</f>
        <v/>
      </c>
    </row>
    <row r="993" spans="13:29">
      <c r="M993" s="14"/>
      <c r="T993" s="16"/>
      <c r="U993" s="17">
        <f>IF(AND(COUNTA($A993:$L993)=0,$N993=""),"",IF($T993="Paid","PAID",IF($T993="Closed","CLOSED",IF($Z993="","",IF($Z993=6,"ESCALATED TO ROXANNE",IF(TODAY()&gt;$AB993,"OVERDUE",IF($AB993&lt;=WORKDAY(TODAY(),1,Holidays),"DUE TOMORROW",IF($Z993=4,"ESCALATED TO LOCAL OFFICE",IF($Z993=5,"ESCALATED TO CBE",IF($AA993=TODAY(),"EMAIL SENT","MONITORING"))))))))))</f>
        <v/>
      </c>
      <c r="V993" s="17">
        <f>IF($U993="",IF(AND(COUNTA($A993:$L993)&gt;0,$N993=""),"Awaiting Collection Email time stamp.",""),IF(OR($U993="PAID",$U993="CLOSED"),IF($U993="PAID","Account paid. Action completed.","Account closed. No further action required."),CHOOSE($Z993,"Collection Email","1st Email Follow-up","2nd Email Follow-up","Escalation to Local Office","Escalation to CBE","Escalation to Roxanne")&amp;" sent "&amp;TEXT($AA993,"dd-mmm")&amp;". "&amp;IF($Z993=6,"Final escalation completed.",IF($U993="OVERDUE","Next: "&amp;$AC993&amp;" was due "&amp;TEXT($AB993,"dd-mmm")&amp;" - "&amp;(NETWORKDAYS($AB993,TODAY(),Holidays)-1)&amp;" business day(s) late. Send now.",IF($U993="DUE TOMORROW","Next: "&amp;$AC993&amp;IF($AB993&lt;=TODAY()," is due TODAY ("," is due next business day (")&amp;TEXT($AB993,"dd-mmm")&amp;").","Next: "&amp;$AC993&amp;" due "&amp;TEXT($AB993,"dd-mmm")&amp;" ("&amp;(NETWORKDAYS(TODAY(),$AB993,Holidays)-1)&amp;" business day(s) left).")))))</f>
        <v/>
      </c>
      <c r="W993" s="17">
        <f>IF($Z993="","",CHOOSE($Z993,"Collection Email","1st Follow-up","2nd Follow-up","Local Office","CBE","Roxanne")&amp;IF($Z993=6," - Final"," - Day "&amp;MAX(0,NETWORKDAYS($AA993,TODAY(),Holidays)-1)&amp;" of "&amp;CHOOSE($Z993,3,3,2,2,3))&amp;" | Total Day "&amp;MAX(0,NETWORKDAYS($N993,TODAY(),Holidays)-1))</f>
        <v/>
      </c>
      <c r="X993" s="18"/>
      <c r="Y993" s="18"/>
      <c r="Z993" s="17">
        <f>IF($N993="","",COUNT($N993:$S993))</f>
        <v/>
      </c>
      <c r="AA993" s="19">
        <f>IF($Z993="","",INT(INDEX($N993:$S993,$Z993)))</f>
        <v/>
      </c>
      <c r="AB993" s="19">
        <f>IF(OR($Z993="",$Z993=6),"",WORKDAY($AA993,CHOOSE($Z993,3,3,2,2,3),Holidays))</f>
        <v/>
      </c>
      <c r="AC993" s="17">
        <f>IF(OR($Z993="",$Z993=6),"",CHOOSE($Z993,"1st Email Follow-up","2nd Email Follow-up","Escalate Local Office","Escalate to CBE","Escalate to Roxanne"))</f>
        <v/>
      </c>
    </row>
    <row r="994" spans="13:29">
      <c r="M994" s="14"/>
      <c r="T994" s="16"/>
      <c r="U994" s="17">
        <f>IF(AND(COUNTA($A994:$L994)=0,$N994=""),"",IF($T994="Paid","PAID",IF($T994="Closed","CLOSED",IF($Z994="","",IF($Z994=6,"ESCALATED TO ROXANNE",IF(TODAY()&gt;$AB994,"OVERDUE",IF($AB994&lt;=WORKDAY(TODAY(),1,Holidays),"DUE TOMORROW",IF($Z994=4,"ESCALATED TO LOCAL OFFICE",IF($Z994=5,"ESCALATED TO CBE",IF($AA994=TODAY(),"EMAIL SENT","MONITORING"))))))))))</f>
        <v/>
      </c>
      <c r="V994" s="17">
        <f>IF($U994="",IF(AND(COUNTA($A994:$L994)&gt;0,$N994=""),"Awaiting Collection Email time stamp.",""),IF(OR($U994="PAID",$U994="CLOSED"),IF($U994="PAID","Account paid. Action completed.","Account closed. No further action required."),CHOOSE($Z994,"Collection Email","1st Email Follow-up","2nd Email Follow-up","Escalation to Local Office","Escalation to CBE","Escalation to Roxanne")&amp;" sent "&amp;TEXT($AA994,"dd-mmm")&amp;". "&amp;IF($Z994=6,"Final escalation completed.",IF($U994="OVERDUE","Next: "&amp;$AC994&amp;" was due "&amp;TEXT($AB994,"dd-mmm")&amp;" - "&amp;(NETWORKDAYS($AB994,TODAY(),Holidays)-1)&amp;" business day(s) late. Send now.",IF($U994="DUE TOMORROW","Next: "&amp;$AC994&amp;IF($AB994&lt;=TODAY()," is due TODAY ("," is due next business day (")&amp;TEXT($AB994,"dd-mmm")&amp;").","Next: "&amp;$AC994&amp;" due "&amp;TEXT($AB994,"dd-mmm")&amp;" ("&amp;(NETWORKDAYS(TODAY(),$AB994,Holidays)-1)&amp;" business day(s) left).")))))</f>
        <v/>
      </c>
      <c r="W994" s="17">
        <f>IF($Z994="","",CHOOSE($Z994,"Collection Email","1st Follow-up","2nd Follow-up","Local Office","CBE","Roxanne")&amp;IF($Z994=6," - Final"," - Day "&amp;MAX(0,NETWORKDAYS($AA994,TODAY(),Holidays)-1)&amp;" of "&amp;CHOOSE($Z994,3,3,2,2,3))&amp;" | Total Day "&amp;MAX(0,NETWORKDAYS($N994,TODAY(),Holidays)-1))</f>
        <v/>
      </c>
      <c r="X994" s="18"/>
      <c r="Y994" s="18"/>
      <c r="Z994" s="17">
        <f>IF($N994="","",COUNT($N994:$S994))</f>
        <v/>
      </c>
      <c r="AA994" s="19">
        <f>IF($Z994="","",INT(INDEX($N994:$S994,$Z994)))</f>
        <v/>
      </c>
      <c r="AB994" s="19">
        <f>IF(OR($Z994="",$Z994=6),"",WORKDAY($AA994,CHOOSE($Z994,3,3,2,2,3),Holidays))</f>
        <v/>
      </c>
      <c r="AC994" s="17">
        <f>IF(OR($Z994="",$Z994=6),"",CHOOSE($Z994,"1st Email Follow-up","2nd Email Follow-up","Escalate Local Office","Escalate to CBE","Escalate to Roxanne"))</f>
        <v/>
      </c>
    </row>
    <row r="995" spans="13:29">
      <c r="M995" s="14"/>
      <c r="T995" s="16"/>
      <c r="U995" s="17">
        <f>IF(AND(COUNTA($A995:$L995)=0,$N995=""),"",IF($T995="Paid","PAID",IF($T995="Closed","CLOSED",IF($Z995="","",IF($Z995=6,"ESCALATED TO ROXANNE",IF(TODAY()&gt;$AB995,"OVERDUE",IF($AB995&lt;=WORKDAY(TODAY(),1,Holidays),"DUE TOMORROW",IF($Z995=4,"ESCALATED TO LOCAL OFFICE",IF($Z995=5,"ESCALATED TO CBE",IF($AA995=TODAY(),"EMAIL SENT","MONITORING"))))))))))</f>
        <v/>
      </c>
      <c r="V995" s="17">
        <f>IF($U995="",IF(AND(COUNTA($A995:$L995)&gt;0,$N995=""),"Awaiting Collection Email time stamp.",""),IF(OR($U995="PAID",$U995="CLOSED"),IF($U995="PAID","Account paid. Action completed.","Account closed. No further action required."),CHOOSE($Z995,"Collection Email","1st Email Follow-up","2nd Email Follow-up","Escalation to Local Office","Escalation to CBE","Escalation to Roxanne")&amp;" sent "&amp;TEXT($AA995,"dd-mmm")&amp;". "&amp;IF($Z995=6,"Final escalation completed.",IF($U995="OVERDUE","Next: "&amp;$AC995&amp;" was due "&amp;TEXT($AB995,"dd-mmm")&amp;" - "&amp;(NETWORKDAYS($AB995,TODAY(),Holidays)-1)&amp;" business day(s) late. Send now.",IF($U995="DUE TOMORROW","Next: "&amp;$AC995&amp;IF($AB995&lt;=TODAY()," is due TODAY ("," is due next business day (")&amp;TEXT($AB995,"dd-mmm")&amp;").","Next: "&amp;$AC995&amp;" due "&amp;TEXT($AB995,"dd-mmm")&amp;" ("&amp;(NETWORKDAYS(TODAY(),$AB995,Holidays)-1)&amp;" business day(s) left).")))))</f>
        <v/>
      </c>
      <c r="W995" s="17">
        <f>IF($Z995="","",CHOOSE($Z995,"Collection Email","1st Follow-up","2nd Follow-up","Local Office","CBE","Roxanne")&amp;IF($Z995=6," - Final"," - Day "&amp;MAX(0,NETWORKDAYS($AA995,TODAY(),Holidays)-1)&amp;" of "&amp;CHOOSE($Z995,3,3,2,2,3))&amp;" | Total Day "&amp;MAX(0,NETWORKDAYS($N995,TODAY(),Holidays)-1))</f>
        <v/>
      </c>
      <c r="X995" s="18"/>
      <c r="Y995" s="18"/>
      <c r="Z995" s="17">
        <f>IF($N995="","",COUNT($N995:$S995))</f>
        <v/>
      </c>
      <c r="AA995" s="19">
        <f>IF($Z995="","",INT(INDEX($N995:$S995,$Z995)))</f>
        <v/>
      </c>
      <c r="AB995" s="19">
        <f>IF(OR($Z995="",$Z995=6),"",WORKDAY($AA995,CHOOSE($Z995,3,3,2,2,3),Holidays))</f>
        <v/>
      </c>
      <c r="AC995" s="17">
        <f>IF(OR($Z995="",$Z995=6),"",CHOOSE($Z995,"1st Email Follow-up","2nd Email Follow-up","Escalate Local Office","Escalate to CBE","Escalate to Roxanne"))</f>
        <v/>
      </c>
    </row>
    <row r="996" spans="13:29">
      <c r="M996" s="14"/>
      <c r="T996" s="16"/>
      <c r="U996" s="17">
        <f>IF(AND(COUNTA($A996:$L996)=0,$N996=""),"",IF($T996="Paid","PAID",IF($T996="Closed","CLOSED",IF($Z996="","",IF($Z996=6,"ESCALATED TO ROXANNE",IF(TODAY()&gt;$AB996,"OVERDUE",IF($AB996&lt;=WORKDAY(TODAY(),1,Holidays),"DUE TOMORROW",IF($Z996=4,"ESCALATED TO LOCAL OFFICE",IF($Z996=5,"ESCALATED TO CBE",IF($AA996=TODAY(),"EMAIL SENT","MONITORING"))))))))))</f>
        <v/>
      </c>
      <c r="V996" s="17">
        <f>IF($U996="",IF(AND(COUNTA($A996:$L996)&gt;0,$N996=""),"Awaiting Collection Email time stamp.",""),IF(OR($U996="PAID",$U996="CLOSED"),IF($U996="PAID","Account paid. Action completed.","Account closed. No further action required."),CHOOSE($Z996,"Collection Email","1st Email Follow-up","2nd Email Follow-up","Escalation to Local Office","Escalation to CBE","Escalation to Roxanne")&amp;" sent "&amp;TEXT($AA996,"dd-mmm")&amp;". "&amp;IF($Z996=6,"Final escalation completed.",IF($U996="OVERDUE","Next: "&amp;$AC996&amp;" was due "&amp;TEXT($AB996,"dd-mmm")&amp;" - "&amp;(NETWORKDAYS($AB996,TODAY(),Holidays)-1)&amp;" business day(s) late. Send now.",IF($U996="DUE TOMORROW","Next: "&amp;$AC996&amp;IF($AB996&lt;=TODAY()," is due TODAY ("," is due next business day (")&amp;TEXT($AB996,"dd-mmm")&amp;").","Next: "&amp;$AC996&amp;" due "&amp;TEXT($AB996,"dd-mmm")&amp;" ("&amp;(NETWORKDAYS(TODAY(),$AB996,Holidays)-1)&amp;" business day(s) left).")))))</f>
        <v/>
      </c>
      <c r="W996" s="17">
        <f>IF($Z996="","",CHOOSE($Z996,"Collection Email","1st Follow-up","2nd Follow-up","Local Office","CBE","Roxanne")&amp;IF($Z996=6," - Final"," - Day "&amp;MAX(0,NETWORKDAYS($AA996,TODAY(),Holidays)-1)&amp;" of "&amp;CHOOSE($Z996,3,3,2,2,3))&amp;" | Total Day "&amp;MAX(0,NETWORKDAYS($N996,TODAY(),Holidays)-1))</f>
        <v/>
      </c>
      <c r="X996" s="18"/>
      <c r="Y996" s="18"/>
      <c r="Z996" s="17">
        <f>IF($N996="","",COUNT($N996:$S996))</f>
        <v/>
      </c>
      <c r="AA996" s="19">
        <f>IF($Z996="","",INT(INDEX($N996:$S996,$Z996)))</f>
        <v/>
      </c>
      <c r="AB996" s="19">
        <f>IF(OR($Z996="",$Z996=6),"",WORKDAY($AA996,CHOOSE($Z996,3,3,2,2,3),Holidays))</f>
        <v/>
      </c>
      <c r="AC996" s="17">
        <f>IF(OR($Z996="",$Z996=6),"",CHOOSE($Z996,"1st Email Follow-up","2nd Email Follow-up","Escalate Local Office","Escalate to CBE","Escalate to Roxanne"))</f>
        <v/>
      </c>
    </row>
    <row r="997" spans="13:29">
      <c r="M997" s="14"/>
      <c r="T997" s="16"/>
      <c r="U997" s="17">
        <f>IF(AND(COUNTA($A997:$L997)=0,$N997=""),"",IF($T997="Paid","PAID",IF($T997="Closed","CLOSED",IF($Z997="","",IF($Z997=6,"ESCALATED TO ROXANNE",IF(TODAY()&gt;$AB997,"OVERDUE",IF($AB997&lt;=WORKDAY(TODAY(),1,Holidays),"DUE TOMORROW",IF($Z997=4,"ESCALATED TO LOCAL OFFICE",IF($Z997=5,"ESCALATED TO CBE",IF($AA997=TODAY(),"EMAIL SENT","MONITORING"))))))))))</f>
        <v/>
      </c>
      <c r="V997" s="17">
        <f>IF($U997="",IF(AND(COUNTA($A997:$L997)&gt;0,$N997=""),"Awaiting Collection Email time stamp.",""),IF(OR($U997="PAID",$U997="CLOSED"),IF($U997="PAID","Account paid. Action completed.","Account closed. No further action required."),CHOOSE($Z997,"Collection Email","1st Email Follow-up","2nd Email Follow-up","Escalation to Local Office","Escalation to CBE","Escalation to Roxanne")&amp;" sent "&amp;TEXT($AA997,"dd-mmm")&amp;". "&amp;IF($Z997=6,"Final escalation completed.",IF($U997="OVERDUE","Next: "&amp;$AC997&amp;" was due "&amp;TEXT($AB997,"dd-mmm")&amp;" - "&amp;(NETWORKDAYS($AB997,TODAY(),Holidays)-1)&amp;" business day(s) late. Send now.",IF($U997="DUE TOMORROW","Next: "&amp;$AC997&amp;IF($AB997&lt;=TODAY()," is due TODAY ("," is due next business day (")&amp;TEXT($AB997,"dd-mmm")&amp;").","Next: "&amp;$AC997&amp;" due "&amp;TEXT($AB997,"dd-mmm")&amp;" ("&amp;(NETWORKDAYS(TODAY(),$AB997,Holidays)-1)&amp;" business day(s) left).")))))</f>
        <v/>
      </c>
      <c r="W997" s="17">
        <f>IF($Z997="","",CHOOSE($Z997,"Collection Email","1st Follow-up","2nd Follow-up","Local Office","CBE","Roxanne")&amp;IF($Z997=6," - Final"," - Day "&amp;MAX(0,NETWORKDAYS($AA997,TODAY(),Holidays)-1)&amp;" of "&amp;CHOOSE($Z997,3,3,2,2,3))&amp;" | Total Day "&amp;MAX(0,NETWORKDAYS($N997,TODAY(),Holidays)-1))</f>
        <v/>
      </c>
      <c r="X997" s="18"/>
      <c r="Y997" s="18"/>
      <c r="Z997" s="17">
        <f>IF($N997="","",COUNT($N997:$S997))</f>
        <v/>
      </c>
      <c r="AA997" s="19">
        <f>IF($Z997="","",INT(INDEX($N997:$S997,$Z997)))</f>
        <v/>
      </c>
      <c r="AB997" s="19">
        <f>IF(OR($Z997="",$Z997=6),"",WORKDAY($AA997,CHOOSE($Z997,3,3,2,2,3),Holidays))</f>
        <v/>
      </c>
      <c r="AC997" s="17">
        <f>IF(OR($Z997="",$Z997=6),"",CHOOSE($Z997,"1st Email Follow-up","2nd Email Follow-up","Escalate Local Office","Escalate to CBE","Escalate to Roxanne"))</f>
        <v/>
      </c>
    </row>
    <row r="998" spans="13:29">
      <c r="M998" s="14"/>
      <c r="T998" s="16"/>
      <c r="U998" s="17">
        <f>IF(AND(COUNTA($A998:$L998)=0,$N998=""),"",IF($T998="Paid","PAID",IF($T998="Closed","CLOSED",IF($Z998="","",IF($Z998=6,"ESCALATED TO ROXANNE",IF(TODAY()&gt;$AB998,"OVERDUE",IF($AB998&lt;=WORKDAY(TODAY(),1,Holidays),"DUE TOMORROW",IF($Z998=4,"ESCALATED TO LOCAL OFFICE",IF($Z998=5,"ESCALATED TO CBE",IF($AA998=TODAY(),"EMAIL SENT","MONITORING"))))))))))</f>
        <v/>
      </c>
      <c r="V998" s="17">
        <f>IF($U998="",IF(AND(COUNTA($A998:$L998)&gt;0,$N998=""),"Awaiting Collection Email time stamp.",""),IF(OR($U998="PAID",$U998="CLOSED"),IF($U998="PAID","Account paid. Action completed.","Account closed. No further action required."),CHOOSE($Z998,"Collection Email","1st Email Follow-up","2nd Email Follow-up","Escalation to Local Office","Escalation to CBE","Escalation to Roxanne")&amp;" sent "&amp;TEXT($AA998,"dd-mmm")&amp;". "&amp;IF($Z998=6,"Final escalation completed.",IF($U998="OVERDUE","Next: "&amp;$AC998&amp;" was due "&amp;TEXT($AB998,"dd-mmm")&amp;" - "&amp;(NETWORKDAYS($AB998,TODAY(),Holidays)-1)&amp;" business day(s) late. Send now.",IF($U998="DUE TOMORROW","Next: "&amp;$AC998&amp;IF($AB998&lt;=TODAY()," is due TODAY ("," is due next business day (")&amp;TEXT($AB998,"dd-mmm")&amp;").","Next: "&amp;$AC998&amp;" due "&amp;TEXT($AB998,"dd-mmm")&amp;" ("&amp;(NETWORKDAYS(TODAY(),$AB998,Holidays)-1)&amp;" business day(s) left).")))))</f>
        <v/>
      </c>
      <c r="W998" s="17">
        <f>IF($Z998="","",CHOOSE($Z998,"Collection Email","1st Follow-up","2nd Follow-up","Local Office","CBE","Roxanne")&amp;IF($Z998=6," - Final"," - Day "&amp;MAX(0,NETWORKDAYS($AA998,TODAY(),Holidays)-1)&amp;" of "&amp;CHOOSE($Z998,3,3,2,2,3))&amp;" | Total Day "&amp;MAX(0,NETWORKDAYS($N998,TODAY(),Holidays)-1))</f>
        <v/>
      </c>
      <c r="X998" s="18"/>
      <c r="Y998" s="18"/>
      <c r="Z998" s="17">
        <f>IF($N998="","",COUNT($N998:$S998))</f>
        <v/>
      </c>
      <c r="AA998" s="19">
        <f>IF($Z998="","",INT(INDEX($N998:$S998,$Z998)))</f>
        <v/>
      </c>
      <c r="AB998" s="19">
        <f>IF(OR($Z998="",$Z998=6),"",WORKDAY($AA998,CHOOSE($Z998,3,3,2,2,3),Holidays))</f>
        <v/>
      </c>
      <c r="AC998" s="17">
        <f>IF(OR($Z998="",$Z998=6),"",CHOOSE($Z998,"1st Email Follow-up","2nd Email Follow-up","Escalate Local Office","Escalate to CBE","Escalate to Roxanne"))</f>
        <v/>
      </c>
    </row>
    <row r="999" spans="13:29">
      <c r="M999" s="14"/>
      <c r="T999" s="16"/>
      <c r="U999" s="17">
        <f>IF(AND(COUNTA($A999:$L999)=0,$N999=""),"",IF($T999="Paid","PAID",IF($T999="Closed","CLOSED",IF($Z999="","",IF($Z999=6,"ESCALATED TO ROXANNE",IF(TODAY()&gt;$AB999,"OVERDUE",IF($AB999&lt;=WORKDAY(TODAY(),1,Holidays),"DUE TOMORROW",IF($Z999=4,"ESCALATED TO LOCAL OFFICE",IF($Z999=5,"ESCALATED TO CBE",IF($AA999=TODAY(),"EMAIL SENT","MONITORING"))))))))))</f>
        <v/>
      </c>
      <c r="V999" s="17">
        <f>IF($U999="",IF(AND(COUNTA($A999:$L999)&gt;0,$N999=""),"Awaiting Collection Email time stamp.",""),IF(OR($U999="PAID",$U999="CLOSED"),IF($U999="PAID","Account paid. Action completed.","Account closed. No further action required."),CHOOSE($Z999,"Collection Email","1st Email Follow-up","2nd Email Follow-up","Escalation to Local Office","Escalation to CBE","Escalation to Roxanne")&amp;" sent "&amp;TEXT($AA999,"dd-mmm")&amp;". "&amp;IF($Z999=6,"Final escalation completed.",IF($U999="OVERDUE","Next: "&amp;$AC999&amp;" was due "&amp;TEXT($AB999,"dd-mmm")&amp;" - "&amp;(NETWORKDAYS($AB999,TODAY(),Holidays)-1)&amp;" business day(s) late. Send now.",IF($U999="DUE TOMORROW","Next: "&amp;$AC999&amp;IF($AB999&lt;=TODAY()," is due TODAY ("," is due next business day (")&amp;TEXT($AB999,"dd-mmm")&amp;").","Next: "&amp;$AC999&amp;" due "&amp;TEXT($AB999,"dd-mmm")&amp;" ("&amp;(NETWORKDAYS(TODAY(),$AB999,Holidays)-1)&amp;" business day(s) left).")))))</f>
        <v/>
      </c>
      <c r="W999" s="17">
        <f>IF($Z999="","",CHOOSE($Z999,"Collection Email","1st Follow-up","2nd Follow-up","Local Office","CBE","Roxanne")&amp;IF($Z999=6," - Final"," - Day "&amp;MAX(0,NETWORKDAYS($AA999,TODAY(),Holidays)-1)&amp;" of "&amp;CHOOSE($Z999,3,3,2,2,3))&amp;" | Total Day "&amp;MAX(0,NETWORKDAYS($N999,TODAY(),Holidays)-1))</f>
        <v/>
      </c>
      <c r="X999" s="18"/>
      <c r="Y999" s="18"/>
      <c r="Z999" s="17">
        <f>IF($N999="","",COUNT($N999:$S999))</f>
        <v/>
      </c>
      <c r="AA999" s="19">
        <f>IF($Z999="","",INT(INDEX($N999:$S999,$Z999)))</f>
        <v/>
      </c>
      <c r="AB999" s="19">
        <f>IF(OR($Z999="",$Z999=6),"",WORKDAY($AA999,CHOOSE($Z999,3,3,2,2,3),Holidays))</f>
        <v/>
      </c>
      <c r="AC999" s="17">
        <f>IF(OR($Z999="",$Z999=6),"",CHOOSE($Z999,"1st Email Follow-up","2nd Email Follow-up","Escalate Local Office","Escalate to CBE","Escalate to Roxanne"))</f>
        <v/>
      </c>
    </row>
    <row r="1000" spans="13:29">
      <c r="M1000" s="14"/>
      <c r="T1000" s="16"/>
      <c r="U1000" s="17">
        <f>IF(AND(COUNTA($A1000:$L1000)=0,$N1000=""),"",IF($T1000="Paid","PAID",IF($T1000="Closed","CLOSED",IF($Z1000="","",IF($Z1000=6,"ESCALATED TO ROXANNE",IF(TODAY()&gt;$AB1000,"OVERDUE",IF($AB1000&lt;=WORKDAY(TODAY(),1,Holidays),"DUE TOMORROW",IF($Z1000=4,"ESCALATED TO LOCAL OFFICE",IF($Z1000=5,"ESCALATED TO CBE",IF($AA1000=TODAY(),"EMAIL SENT","MONITORING"))))))))))</f>
        <v/>
      </c>
      <c r="V1000" s="17">
        <f>IF($U1000="",IF(AND(COUNTA($A1000:$L1000)&gt;0,$N1000=""),"Awaiting Collection Email time stamp.",""),IF(OR($U1000="PAID",$U1000="CLOSED"),IF($U1000="PAID","Account paid. Action completed.","Account closed. No further action required."),CHOOSE($Z1000,"Collection Email","1st Email Follow-up","2nd Email Follow-up","Escalation to Local Office","Escalation to CBE","Escalation to Roxanne")&amp;" sent "&amp;TEXT($AA1000,"dd-mmm")&amp;". "&amp;IF($Z1000=6,"Final escalation completed.",IF($U1000="OVERDUE","Next: "&amp;$AC1000&amp;" was due "&amp;TEXT($AB1000,"dd-mmm")&amp;" - "&amp;(NETWORKDAYS($AB1000,TODAY(),Holidays)-1)&amp;" business day(s) late. Send now.",IF($U1000="DUE TOMORROW","Next: "&amp;$AC1000&amp;IF($AB1000&lt;=TODAY()," is due TODAY ("," is due next business day (")&amp;TEXT($AB1000,"dd-mmm")&amp;").","Next: "&amp;$AC1000&amp;" due "&amp;TEXT($AB1000,"dd-mmm")&amp;" ("&amp;(NETWORKDAYS(TODAY(),$AB1000,Holidays)-1)&amp;" business day(s) left).")))))</f>
        <v/>
      </c>
      <c r="W1000" s="17">
        <f>IF($Z1000="","",CHOOSE($Z1000,"Collection Email","1st Follow-up","2nd Follow-up","Local Office","CBE","Roxanne")&amp;IF($Z1000=6," - Final"," - Day "&amp;MAX(0,NETWORKDAYS($AA1000,TODAY(),Holidays)-1)&amp;" of "&amp;CHOOSE($Z1000,3,3,2,2,3))&amp;" | Total Day "&amp;MAX(0,NETWORKDAYS($N1000,TODAY(),Holidays)-1))</f>
        <v/>
      </c>
      <c r="X1000" s="18"/>
      <c r="Y1000" s="18"/>
      <c r="Z1000" s="17">
        <f>IF($N1000="","",COUNT($N1000:$S1000))</f>
        <v/>
      </c>
      <c r="AA1000" s="19">
        <f>IF($Z1000="","",INT(INDEX($N1000:$S1000,$Z1000)))</f>
        <v/>
      </c>
      <c r="AB1000" s="19">
        <f>IF(OR($Z1000="",$Z1000=6),"",WORKDAY($AA1000,CHOOSE($Z1000,3,3,2,2,3),Holidays))</f>
        <v/>
      </c>
      <c r="AC1000" s="17">
        <f>IF(OR($Z1000="",$Z1000=6),"",CHOOSE($Z1000,"1st Email Follow-up","2nd Email Follow-up","Escalate Local Office","Escalate to CBE","Escalate to Roxanne"))</f>
        <v/>
      </c>
    </row>
    <row r="1001" spans="13:29">
      <c r="M1001" s="14"/>
      <c r="T1001" s="16"/>
      <c r="U1001" s="17">
        <f>IF(AND(COUNTA($A1001:$L1001)=0,$N1001=""),"",IF($T1001="Paid","PAID",IF($T1001="Closed","CLOSED",IF($Z1001="","",IF($Z1001=6,"ESCALATED TO ROXANNE",IF(TODAY()&gt;$AB1001,"OVERDUE",IF($AB1001&lt;=WORKDAY(TODAY(),1,Holidays),"DUE TOMORROW",IF($Z1001=4,"ESCALATED TO LOCAL OFFICE",IF($Z1001=5,"ESCALATED TO CBE",IF($AA1001=TODAY(),"EMAIL SENT","MONITORING"))))))))))</f>
        <v/>
      </c>
      <c r="V1001" s="17">
        <f>IF($U1001="",IF(AND(COUNTA($A1001:$L1001)&gt;0,$N1001=""),"Awaiting Collection Email time stamp.",""),IF(OR($U1001="PAID",$U1001="CLOSED"),IF($U1001="PAID","Account paid. Action completed.","Account closed. No further action required."),CHOOSE($Z1001,"Collection Email","1st Email Follow-up","2nd Email Follow-up","Escalation to Local Office","Escalation to CBE","Escalation to Roxanne")&amp;" sent "&amp;TEXT($AA1001,"dd-mmm")&amp;". "&amp;IF($Z1001=6,"Final escalation completed.",IF($U1001="OVERDUE","Next: "&amp;$AC1001&amp;" was due "&amp;TEXT($AB1001,"dd-mmm")&amp;" - "&amp;(NETWORKDAYS($AB1001,TODAY(),Holidays)-1)&amp;" business day(s) late. Send now.",IF($U1001="DUE TOMORROW","Next: "&amp;$AC1001&amp;IF($AB1001&lt;=TODAY()," is due TODAY ("," is due next business day (")&amp;TEXT($AB1001,"dd-mmm")&amp;").","Next: "&amp;$AC1001&amp;" due "&amp;TEXT($AB1001,"dd-mmm")&amp;" ("&amp;(NETWORKDAYS(TODAY(),$AB1001,Holidays)-1)&amp;" business day(s) left).")))))</f>
        <v/>
      </c>
      <c r="W1001" s="17">
        <f>IF($Z1001="","",CHOOSE($Z1001,"Collection Email","1st Follow-up","2nd Follow-up","Local Office","CBE","Roxanne")&amp;IF($Z1001=6," - Final"," - Day "&amp;MAX(0,NETWORKDAYS($AA1001,TODAY(),Holidays)-1)&amp;" of "&amp;CHOOSE($Z1001,3,3,2,2,3))&amp;" | Total Day "&amp;MAX(0,NETWORKDAYS($N1001,TODAY(),Holidays)-1))</f>
        <v/>
      </c>
      <c r="X1001" s="18"/>
      <c r="Y1001" s="18"/>
      <c r="Z1001" s="17">
        <f>IF($N1001="","",COUNT($N1001:$S1001))</f>
        <v/>
      </c>
      <c r="AA1001" s="19">
        <f>IF($Z1001="","",INT(INDEX($N1001:$S1001,$Z1001)))</f>
        <v/>
      </c>
      <c r="AB1001" s="19">
        <f>IF(OR($Z1001="",$Z1001=6),"",WORKDAY($AA1001,CHOOSE($Z1001,3,3,2,2,3),Holidays))</f>
        <v/>
      </c>
      <c r="AC1001" s="17">
        <f>IF(OR($Z1001="",$Z1001=6),"",CHOOSE($Z1001,"1st Email Follow-up","2nd Email Follow-up","Escalate Local Office","Escalate to CBE","Escalate to Roxanne"))</f>
        <v/>
      </c>
    </row>
    <row r="1002" spans="13:29">
      <c r="M1002" s="14"/>
      <c r="T1002" s="16"/>
      <c r="U1002" s="17">
        <f>IF(AND(COUNTA($A1002:$L1002)=0,$N1002=""),"",IF($T1002="Paid","PAID",IF($T1002="Closed","CLOSED",IF($Z1002="","",IF($Z1002=6,"ESCALATED TO ROXANNE",IF(TODAY()&gt;$AB1002,"OVERDUE",IF($AB1002&lt;=WORKDAY(TODAY(),1,Holidays),"DUE TOMORROW",IF($Z1002=4,"ESCALATED TO LOCAL OFFICE",IF($Z1002=5,"ESCALATED TO CBE",IF($AA1002=TODAY(),"EMAIL SENT","MONITORING"))))))))))</f>
        <v/>
      </c>
      <c r="V1002" s="17">
        <f>IF($U1002="",IF(AND(COUNTA($A1002:$L1002)&gt;0,$N1002=""),"Awaiting Collection Email time stamp.",""),IF(OR($U1002="PAID",$U1002="CLOSED"),IF($U1002="PAID","Account paid. Action completed.","Account closed. No further action required."),CHOOSE($Z1002,"Collection Email","1st Email Follow-up","2nd Email Follow-up","Escalation to Local Office","Escalation to CBE","Escalation to Roxanne")&amp;" sent "&amp;TEXT($AA1002,"dd-mmm")&amp;". "&amp;IF($Z1002=6,"Final escalation completed.",IF($U1002="OVERDUE","Next: "&amp;$AC1002&amp;" was due "&amp;TEXT($AB1002,"dd-mmm")&amp;" - "&amp;(NETWORKDAYS($AB1002,TODAY(),Holidays)-1)&amp;" business day(s) late. Send now.",IF($U1002="DUE TOMORROW","Next: "&amp;$AC1002&amp;IF($AB1002&lt;=TODAY()," is due TODAY ("," is due next business day (")&amp;TEXT($AB1002,"dd-mmm")&amp;").","Next: "&amp;$AC1002&amp;" due "&amp;TEXT($AB1002,"dd-mmm")&amp;" ("&amp;(NETWORKDAYS(TODAY(),$AB1002,Holidays)-1)&amp;" business day(s) left).")))))</f>
        <v/>
      </c>
      <c r="W1002" s="17">
        <f>IF($Z1002="","",CHOOSE($Z1002,"Collection Email","1st Follow-up","2nd Follow-up","Local Office","CBE","Roxanne")&amp;IF($Z1002=6," - Final"," - Day "&amp;MAX(0,NETWORKDAYS($AA1002,TODAY(),Holidays)-1)&amp;" of "&amp;CHOOSE($Z1002,3,3,2,2,3))&amp;" | Total Day "&amp;MAX(0,NETWORKDAYS($N1002,TODAY(),Holidays)-1))</f>
        <v/>
      </c>
      <c r="X1002" s="18"/>
      <c r="Y1002" s="18"/>
      <c r="Z1002" s="17">
        <f>IF($N1002="","",COUNT($N1002:$S1002))</f>
        <v/>
      </c>
      <c r="AA1002" s="19">
        <f>IF($Z1002="","",INT(INDEX($N1002:$S1002,$Z1002)))</f>
        <v/>
      </c>
      <c r="AB1002" s="19">
        <f>IF(OR($Z1002="",$Z1002=6),"",WORKDAY($AA1002,CHOOSE($Z1002,3,3,2,2,3),Holidays))</f>
        <v/>
      </c>
      <c r="AC1002" s="17">
        <f>IF(OR($Z1002="",$Z1002=6),"",CHOOSE($Z1002,"1st Email Follow-up","2nd Email Follow-up","Escalate Local Office","Escalate to CBE","Escalate to Roxanne"))</f>
        <v/>
      </c>
    </row>
    <row r="1003" spans="13:29">
      <c r="M1003" s="14"/>
      <c r="T1003" s="16"/>
      <c r="U1003" s="17">
        <f>IF(AND(COUNTA($A1003:$L1003)=0,$N1003=""),"",IF($T1003="Paid","PAID",IF($T1003="Closed","CLOSED",IF($Z1003="","",IF($Z1003=6,"ESCALATED TO ROXANNE",IF(TODAY()&gt;$AB1003,"OVERDUE",IF($AB1003&lt;=WORKDAY(TODAY(),1,Holidays),"DUE TOMORROW",IF($Z1003=4,"ESCALATED TO LOCAL OFFICE",IF($Z1003=5,"ESCALATED TO CBE",IF($AA1003=TODAY(),"EMAIL SENT","MONITORING"))))))))))</f>
        <v/>
      </c>
      <c r="V1003" s="17">
        <f>IF($U1003="",IF(AND(COUNTA($A1003:$L1003)&gt;0,$N1003=""),"Awaiting Collection Email time stamp.",""),IF(OR($U1003="PAID",$U1003="CLOSED"),IF($U1003="PAID","Account paid. Action completed.","Account closed. No further action required."),CHOOSE($Z1003,"Collection Email","1st Email Follow-up","2nd Email Follow-up","Escalation to Local Office","Escalation to CBE","Escalation to Roxanne")&amp;" sent "&amp;TEXT($AA1003,"dd-mmm")&amp;". "&amp;IF($Z1003=6,"Final escalation completed.",IF($U1003="OVERDUE","Next: "&amp;$AC1003&amp;" was due "&amp;TEXT($AB1003,"dd-mmm")&amp;" - "&amp;(NETWORKDAYS($AB1003,TODAY(),Holidays)-1)&amp;" business day(s) late. Send now.",IF($U1003="DUE TOMORROW","Next: "&amp;$AC1003&amp;IF($AB1003&lt;=TODAY()," is due TODAY ("," is due next business day (")&amp;TEXT($AB1003,"dd-mmm")&amp;").","Next: "&amp;$AC1003&amp;" due "&amp;TEXT($AB1003,"dd-mmm")&amp;" ("&amp;(NETWORKDAYS(TODAY(),$AB1003,Holidays)-1)&amp;" business day(s) left).")))))</f>
        <v/>
      </c>
      <c r="W1003" s="17">
        <f>IF($Z1003="","",CHOOSE($Z1003,"Collection Email","1st Follow-up","2nd Follow-up","Local Office","CBE","Roxanne")&amp;IF($Z1003=6," - Final"," - Day "&amp;MAX(0,NETWORKDAYS($AA1003,TODAY(),Holidays)-1)&amp;" of "&amp;CHOOSE($Z1003,3,3,2,2,3))&amp;" | Total Day "&amp;MAX(0,NETWORKDAYS($N1003,TODAY(),Holidays)-1))</f>
        <v/>
      </c>
      <c r="X1003" s="18"/>
      <c r="Y1003" s="18"/>
      <c r="Z1003" s="17">
        <f>IF($N1003="","",COUNT($N1003:$S1003))</f>
        <v/>
      </c>
      <c r="AA1003" s="19">
        <f>IF($Z1003="","",INT(INDEX($N1003:$S1003,$Z1003)))</f>
        <v/>
      </c>
      <c r="AB1003" s="19">
        <f>IF(OR($Z1003="",$Z1003=6),"",WORKDAY($AA1003,CHOOSE($Z1003,3,3,2,2,3),Holidays))</f>
        <v/>
      </c>
      <c r="AC1003" s="17">
        <f>IF(OR($Z1003="",$Z1003=6),"",CHOOSE($Z1003,"1st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U4:V1003">
    <cfRule type="expression" dxfId="0" priority="1" stopIfTrue="1">
      <formula>$U4="PAID"</formula>
    </cfRule>
    <cfRule type="expression" dxfId="0" priority="2" stopIfTrue="1">
      <formula>$U4="CLOSED"</formula>
    </cfRule>
    <cfRule type="expression" dxfId="0" priority="3" stopIfTrue="1">
      <formula>$U4="EMAIL SENT"</formula>
    </cfRule>
    <cfRule type="expression" dxfId="1" priority="4" stopIfTrue="1">
      <formula>$U4="DUE TOMORROW"</formula>
    </cfRule>
    <cfRule type="expression" dxfId="2" priority="5" stopIfTrue="1">
      <formula>$U4="OVERDUE"</formula>
    </cfRule>
    <cfRule type="expression" dxfId="3" priority="6" stopIfTrue="1">
      <formula>$U4="ESCALATED TO LOCAL OFFICE"</formula>
    </cfRule>
    <cfRule type="expression" dxfId="3" priority="7" stopIfTrue="1">
      <formula>$U4="ESCALATED TO CBE"</formula>
    </cfRule>
    <cfRule type="expression" dxfId="4" priority="8" stopIfTrue="1">
      <formula>$U4="ESCALATED TO ROXANNE"</formula>
    </cfRule>
    <cfRule type="expression" dxfId="5" priority="9" stopIfTrue="1">
      <formula>$U4="MONITORING"</formula>
    </cfRule>
  </conditionalFormatting>
  <dataValidations count="2">
    <dataValidation type="list" allowBlank="1" showInputMessage="1" showErrorMessage="1" errorTitle="Resolution" error="Choose Paid or Closed from the list, or leave blank." sqref="T4:T1003">
      <formula1>"Paid,Closed"</formula1>
    </dataValidation>
    <dataValidation type="list" allowBlank="1" showInputMessage="1" showErrorMessage="1" errorTitle="Invoice Receive" error="Choose Yes or No from the list, or leave blank." sqref="M4:M1003">
      <formula1>"Yes,No"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/>
  </sheetViews>
  <sheetFormatPr defaultRowHeight="15"/>
  <cols>
    <col min="1" max="1" width="16.7109375" style="24" customWidth="1"/>
    <col min="2" max="2" width="40.7109375" customWidth="1"/>
  </cols>
  <sheetData>
    <row r="1" spans="1:4">
      <c r="A1" s="25" t="s">
        <v>31</v>
      </c>
      <c r="B1" s="25" t="s">
        <v>32</v>
      </c>
      <c r="D1" s="26" t="s">
        <v>33</v>
      </c>
    </row>
    <row r="2" spans="1:4">
      <c r="D2" s="26" t="s">
        <v>34</v>
      </c>
    </row>
  </sheetData>
  <sheetProtection password="F422"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User Guide</vt:lpstr>
      <vt:lpstr>365 Days</vt:lpstr>
      <vt:lpstr>180 Days</vt:lpstr>
      <vt:lpstr>120 Days</vt:lpstr>
      <vt:lpstr>90 Days</vt:lpstr>
      <vt:lpstr>Holidays</vt:lpstr>
      <vt:lpstr>Holidays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2026-10-07T06:21:02Z</dcterms:created>
  <dcterms:modified xsi:type="dcterms:W3CDTF">2026-10-07T06:21:02Z</dcterms:modified>
</cp:coreProperties>
</file>